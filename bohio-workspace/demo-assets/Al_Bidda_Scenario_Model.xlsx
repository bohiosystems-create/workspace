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Scenarios" sheetId="2" r:id="rId2"/>
    <sheet name="What must be tru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AL BIDDA WATERFRONT — SCENARIO MODEL</t>
        </is>
      </c>
    </row>
    <row r="2">
      <c r="A2" t="inlineStr">
        <is>
          <t>Project being contributed into Bohio RE Opportunity Fund III</t>
        </is>
      </c>
    </row>
    <row r="3"/>
    <row r="4">
      <c r="A4" t="inlineStr">
        <is>
          <t>DRIVER</t>
        </is>
      </c>
      <c r="B4" t="inlineStr">
        <is>
          <t>Unit</t>
        </is>
      </c>
      <c r="C4" t="inlineStr">
        <is>
          <t>Bear</t>
        </is>
      </c>
      <c r="D4" t="inlineStr">
        <is>
          <t>Base</t>
        </is>
      </c>
      <c r="E4" t="inlineStr">
        <is>
          <t>Bull</t>
        </is>
      </c>
      <c r="F4" t="inlineStr">
        <is>
          <t>Stress</t>
        </is>
      </c>
      <c r="G4" t="inlineStr">
        <is>
          <t>Stretch</t>
        </is>
      </c>
      <c r="H4" t="inlineStr">
        <is>
          <t>Note</t>
        </is>
      </c>
    </row>
    <row r="5">
      <c r="A5" t="inlineStr">
        <is>
          <t>Construction cost</t>
        </is>
      </c>
      <c r="B5" t="inlineStr">
        <is>
          <t>SAR/sqm</t>
        </is>
      </c>
      <c r="C5">
        <v>6100</v>
      </c>
      <c r="D5">
        <v>5800</v>
      </c>
      <c r="E5">
        <v>5600</v>
      </c>
      <c r="F5">
        <v>6500</v>
      </c>
      <c r="G5">
        <v>5450</v>
      </c>
      <c r="H5" t="inlineStr">
        <is>
          <t>QS estimate +/- tender outcome</t>
        </is>
      </c>
    </row>
    <row r="6">
      <c r="A6" t="inlineStr">
        <is>
          <t>Programme</t>
        </is>
      </c>
      <c r="B6" t="inlineStr">
        <is>
          <t>months</t>
        </is>
      </c>
      <c r="C6">
        <v>34</v>
      </c>
      <c r="D6">
        <v>30</v>
      </c>
      <c r="E6">
        <v>28</v>
      </c>
      <c r="F6">
        <v>39</v>
      </c>
      <c r="G6">
        <v>26</v>
      </c>
      <c r="H6" t="inlineStr">
        <is>
          <t>Critical path; each month carries finance cost</t>
        </is>
      </c>
    </row>
    <row r="7">
      <c r="A7" t="inlineStr">
        <is>
          <t>Residential price</t>
        </is>
      </c>
      <c r="B7" t="inlineStr">
        <is>
          <t>SAR/sqft</t>
        </is>
      </c>
      <c r="C7">
        <v>1360</v>
      </c>
      <c r="D7">
        <v>1450</v>
      </c>
      <c r="E7">
        <v>1520</v>
      </c>
      <c r="F7">
        <v>1270</v>
      </c>
      <c r="G7">
        <v>1570</v>
      </c>
      <c r="H7" t="inlineStr">
        <is>
          <t>Corniche comparables</t>
        </is>
      </c>
    </row>
    <row r="8">
      <c r="A8" t="inlineStr">
        <is>
          <t>Sales absorption</t>
        </is>
      </c>
      <c r="B8" t="inlineStr">
        <is>
          <t>units/month</t>
        </is>
      </c>
      <c r="C8">
        <v>14</v>
      </c>
      <c r="D8">
        <v>22</v>
      </c>
      <c r="E8">
        <v>27</v>
      </c>
      <c r="F8">
        <v>11</v>
      </c>
      <c r="G8">
        <v>29</v>
      </c>
      <c r="H8" t="inlineStr">
        <is>
          <t>Drives sell-out and working capital</t>
        </is>
      </c>
    </row>
    <row r="9">
      <c r="A9" t="inlineStr">
        <is>
          <t>Retail rent</t>
        </is>
      </c>
      <c r="B9" t="inlineStr">
        <is>
          <t>SAR/sqm/yr</t>
        </is>
      </c>
      <c r="C9">
        <v>1600</v>
      </c>
      <c r="D9">
        <v>1800</v>
      </c>
      <c r="E9">
        <v>1900</v>
      </c>
      <c r="F9">
        <v>1480</v>
      </c>
      <c r="G9">
        <v>1960</v>
      </c>
      <c r="H9" t="inlineStr">
        <is>
          <t>Ground-floor podium</t>
        </is>
      </c>
    </row>
    <row r="10">
      <c r="A10" t="inlineStr">
        <is>
          <t>Stabilised occupancy</t>
        </is>
      </c>
      <c r="B10" t="inlineStr">
        <is>
          <t>%</t>
        </is>
      </c>
      <c r="C10">
        <v>90</v>
      </c>
      <c r="D10">
        <v>94</v>
      </c>
      <c r="E10">
        <v>97</v>
      </c>
      <c r="F10">
        <v>85</v>
      </c>
      <c r="G10">
        <v>98</v>
      </c>
      <c r="H10" t="inlineStr">
        <is>
          <t>Retail + serviced component</t>
        </is>
      </c>
    </row>
    <row r="11">
      <c r="A11" t="inlineStr">
        <is>
          <t>Exit cap rate</t>
        </is>
      </c>
      <c r="B11" t="inlineStr">
        <is>
          <t>%</t>
        </is>
      </c>
      <c r="C11">
        <v>6.4</v>
      </c>
      <c r="D11">
        <v>6.0</v>
      </c>
      <c r="E11">
        <v>5.75</v>
      </c>
      <c r="F11">
        <v>6.9</v>
      </c>
      <c r="G11">
        <v>5.5</v>
      </c>
      <c r="H11" t="inlineStr">
        <is>
          <t>On stabilised NOI</t>
        </is>
      </c>
    </row>
    <row r="12">
      <c r="A12" t="inlineStr">
        <is>
          <t>SAIBOR + margin</t>
        </is>
      </c>
      <c r="B12" t="inlineStr">
        <is>
          <t>%</t>
        </is>
      </c>
      <c r="C12">
        <v>7.4</v>
      </c>
      <c r="D12">
        <v>6.6</v>
      </c>
      <c r="E12">
        <v>6.1</v>
      </c>
      <c r="F12">
        <v>8.0</v>
      </c>
      <c r="G12">
        <v>5.9</v>
      </c>
      <c r="H12" t="inlineStr">
        <is>
          <t>All-in cost of debt</t>
        </is>
      </c>
    </row>
    <row r="13">
      <c r="A13" t="inlineStr">
        <is>
          <t>Loan-to-cost</t>
        </is>
      </c>
      <c r="B13" t="inlineStr">
        <is>
          <t>%</t>
        </is>
      </c>
      <c r="C13">
        <v>50</v>
      </c>
      <c r="D13">
        <v>55</v>
      </c>
      <c r="E13">
        <v>60</v>
      </c>
      <c r="F13">
        <v>45</v>
      </c>
      <c r="G13">
        <v>60</v>
      </c>
      <c r="H13" t="inlineStr">
        <is>
          <t>Senior facility</t>
        </is>
      </c>
    </row>
    <row r="14"/>
    <row r="15">
      <c r="A15" t="inlineStr">
        <is>
          <t>FIXED INPUTS</t>
        </is>
      </c>
    </row>
    <row r="16">
      <c r="A16" t="inlineStr">
        <is>
          <t>Site area</t>
        </is>
      </c>
      <c r="B16" t="inlineStr">
        <is>
          <t>sqm</t>
        </is>
      </c>
      <c r="C16">
        <v>18500</v>
      </c>
    </row>
    <row r="17">
      <c r="A17" t="inlineStr">
        <is>
          <t>GFA</t>
        </is>
      </c>
      <c r="B17" t="inlineStr">
        <is>
          <t>sqm</t>
        </is>
      </c>
      <c r="C17">
        <v>96000</v>
      </c>
    </row>
    <row r="18">
      <c r="A18" t="inlineStr">
        <is>
          <t>Net sellable / leasable</t>
        </is>
      </c>
      <c r="B18" t="inlineStr">
        <is>
          <t>sqm</t>
        </is>
      </c>
      <c r="C18">
        <v>72000</v>
      </c>
    </row>
    <row r="19">
      <c r="A19" t="inlineStr">
        <is>
          <t>Residential share of NSA</t>
        </is>
      </c>
      <c r="B19" t="inlineStr">
        <is>
          <t>%</t>
        </is>
      </c>
      <c r="C19">
        <v>78</v>
      </c>
    </row>
    <row r="20">
      <c r="A20" t="inlineStr">
        <is>
          <t>Retail share of NSA</t>
        </is>
      </c>
      <c r="B20" t="inlineStr">
        <is>
          <t>%</t>
        </is>
      </c>
      <c r="C20">
        <v>22</v>
      </c>
    </row>
    <row r="21">
      <c r="A21" t="inlineStr">
        <is>
          <t>Land cost</t>
        </is>
      </c>
      <c r="B21" t="inlineStr">
        <is>
          <t>SAR M</t>
        </is>
      </c>
      <c r="C21">
        <v>210</v>
      </c>
    </row>
    <row r="22">
      <c r="A22" t="inlineStr">
        <is>
          <t>Soft costs</t>
        </is>
      </c>
      <c r="B22" t="inlineStr">
        <is>
          <t>% of hard cost</t>
        </is>
      </c>
      <c r="C22">
        <v>14</v>
      </c>
    </row>
    <row r="23">
      <c r="A23" t="inlineStr">
        <is>
          <t>Contingency</t>
        </is>
      </c>
      <c r="B23" t="inlineStr">
        <is>
          <t>% of hard cost</t>
        </is>
      </c>
      <c r="C23">
        <v>7</v>
      </c>
    </row>
    <row r="24">
      <c r="A24" t="inlineStr">
        <is>
          <t>Selling costs</t>
        </is>
      </c>
      <c r="B24" t="inlineStr">
        <is>
          <t>% of revenue</t>
        </is>
      </c>
      <c r="C24">
        <v>3.5</v>
      </c>
    </row>
    <row r="25">
      <c r="A25" t="inlineStr">
        <is>
          <t>Opex</t>
        </is>
      </c>
      <c r="B25" t="inlineStr">
        <is>
          <t>% of retail revenue</t>
        </is>
      </c>
      <c r="C25">
        <v>28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SCENARIO ENGINE — OUTPUTS BY CASE</t>
        </is>
      </c>
    </row>
    <row r="2">
      <c r="A2" t="inlineStr">
        <is>
          <t>All cases read their drivers from Assumptions. SAR M unless stated.</t>
        </is>
      </c>
    </row>
    <row r="3"/>
    <row r="4">
      <c r="A4" t="inlineStr">
        <is>
          <t>Line</t>
        </is>
      </c>
      <c r="B4" t="inlineStr">
        <is>
          <t>Bear</t>
        </is>
      </c>
      <c r="C4" t="inlineStr">
        <is>
          <t>Base</t>
        </is>
      </c>
      <c r="D4" t="inlineStr">
        <is>
          <t>Bull</t>
        </is>
      </c>
      <c r="E4" t="inlineStr">
        <is>
          <t>Stress</t>
        </is>
      </c>
      <c r="F4" t="inlineStr">
        <is>
          <t>Stretch</t>
        </is>
      </c>
    </row>
    <row r="5">
      <c r="A5" t="inlineStr">
        <is>
          <t>Construction cost (SAR/sqm)</t>
        </is>
      </c>
      <c r="B5">
        <f>Assumptions!C5</f>
      </c>
      <c r="C5">
        <f>Assumptions!D5</f>
      </c>
      <c r="D5">
        <f>Assumptions!E5</f>
      </c>
      <c r="E5">
        <f>Assumptions!F5</f>
      </c>
      <c r="F5">
        <f>Assumptions!G5</f>
      </c>
    </row>
    <row r="6">
      <c r="A6" t="inlineStr">
        <is>
          <t>Programme (months)</t>
        </is>
      </c>
      <c r="B6">
        <f>Assumptions!C6</f>
      </c>
      <c r="C6">
        <f>Assumptions!D6</f>
      </c>
      <c r="D6">
        <f>Assumptions!E6</f>
      </c>
      <c r="E6">
        <f>Assumptions!F6</f>
      </c>
      <c r="F6">
        <f>Assumptions!G6</f>
      </c>
    </row>
    <row r="7">
      <c r="A7" t="inlineStr">
        <is>
          <t>Resi price (SAR/sqft)</t>
        </is>
      </c>
      <c r="B7">
        <f>Assumptions!C7</f>
      </c>
      <c r="C7">
        <f>Assumptions!D7</f>
      </c>
      <c r="D7">
        <f>Assumptions!E7</f>
      </c>
      <c r="E7">
        <f>Assumptions!F7</f>
      </c>
      <c r="F7">
        <f>Assumptions!G7</f>
      </c>
    </row>
    <row r="8">
      <c r="A8" t="inlineStr">
        <is>
          <t>Absorption (units/mo)</t>
        </is>
      </c>
      <c r="B8">
        <f>Assumptions!C8</f>
      </c>
      <c r="C8">
        <f>Assumptions!D8</f>
      </c>
      <c r="D8">
        <f>Assumptions!E8</f>
      </c>
      <c r="E8">
        <f>Assumptions!F8</f>
      </c>
      <c r="F8">
        <f>Assumptions!G8</f>
      </c>
    </row>
    <row r="9">
      <c r="A9" t="inlineStr">
        <is>
          <t>Retail rent (SAR/sqm/yr)</t>
        </is>
      </c>
      <c r="B9">
        <f>Assumptions!C9</f>
      </c>
      <c r="C9">
        <f>Assumptions!D9</f>
      </c>
      <c r="D9">
        <f>Assumptions!E9</f>
      </c>
      <c r="E9">
        <f>Assumptions!F9</f>
      </c>
      <c r="F9">
        <f>Assumptions!G9</f>
      </c>
    </row>
    <row r="10">
      <c r="A10" t="inlineStr">
        <is>
          <t>Occupancy (%)</t>
        </is>
      </c>
      <c r="B10">
        <f>Assumptions!C10</f>
      </c>
      <c r="C10">
        <f>Assumptions!D10</f>
      </c>
      <c r="D10">
        <f>Assumptions!E10</f>
      </c>
      <c r="E10">
        <f>Assumptions!F10</f>
      </c>
      <c r="F10">
        <f>Assumptions!G10</f>
      </c>
    </row>
    <row r="11">
      <c r="A11" t="inlineStr">
        <is>
          <t>Exit cap (%)</t>
        </is>
      </c>
      <c r="B11">
        <f>Assumptions!C11</f>
      </c>
      <c r="C11">
        <f>Assumptions!D11</f>
      </c>
      <c r="D11">
        <f>Assumptions!E11</f>
      </c>
      <c r="E11">
        <f>Assumptions!F11</f>
      </c>
      <c r="F11">
        <f>Assumptions!G11</f>
      </c>
    </row>
    <row r="12">
      <c r="A12" t="inlineStr">
        <is>
          <t>Cost of debt (%)</t>
        </is>
      </c>
      <c r="B12">
        <f>Assumptions!C12</f>
      </c>
      <c r="C12">
        <f>Assumptions!D12</f>
      </c>
      <c r="D12">
        <f>Assumptions!E12</f>
      </c>
      <c r="E12">
        <f>Assumptions!F12</f>
      </c>
      <c r="F12">
        <f>Assumptions!G12</f>
      </c>
    </row>
    <row r="13">
      <c r="A13" t="inlineStr">
        <is>
          <t>LTC (%)</t>
        </is>
      </c>
      <c r="B13">
        <f>Assumptions!C13</f>
      </c>
      <c r="C13">
        <f>Assumptions!D13</f>
      </c>
      <c r="D13">
        <f>Assumptions!E13</f>
      </c>
      <c r="E13">
        <f>Assumptions!F13</f>
      </c>
      <c r="F13">
        <f>Assumptions!G13</f>
      </c>
    </row>
    <row r="14"/>
    <row r="15">
      <c r="A15" t="inlineStr">
        <is>
          <t>COST</t>
        </is>
      </c>
    </row>
    <row r="16">
      <c r="A16" t="inlineStr">
        <is>
          <t>Hard cost</t>
        </is>
      </c>
      <c r="B16">
        <f>Assumptions!C17*B5/1000000</f>
      </c>
      <c r="C16">
        <f>Assumptions!C17*C5/1000000</f>
      </c>
      <c r="D16">
        <f>Assumptions!C17*D5/1000000</f>
      </c>
      <c r="E16">
        <f>Assumptions!C17*E5/1000000</f>
      </c>
      <c r="F16">
        <f>Assumptions!C17*F5/1000000</f>
      </c>
    </row>
    <row r="17">
      <c r="A17" t="inlineStr">
        <is>
          <t>Soft costs</t>
        </is>
      </c>
      <c r="B17">
        <f>B16*Assumptions!C22/100</f>
      </c>
      <c r="C17">
        <f>C16*Assumptions!C22/100</f>
      </c>
      <c r="D17">
        <f>D16*Assumptions!C22/100</f>
      </c>
      <c r="E17">
        <f>E16*Assumptions!C22/100</f>
      </c>
      <c r="F17">
        <f>F16*Assumptions!C22/100</f>
      </c>
    </row>
    <row r="18">
      <c r="A18" t="inlineStr">
        <is>
          <t>Contingency</t>
        </is>
      </c>
      <c r="B18">
        <f>B16*Assumptions!C23/100</f>
      </c>
      <c r="C18">
        <f>C16*Assumptions!C23/100</f>
      </c>
      <c r="D18">
        <f>D16*Assumptions!C23/100</f>
      </c>
      <c r="E18">
        <f>E16*Assumptions!C23/100</f>
      </c>
      <c r="F18">
        <f>F16*Assumptions!C23/100</f>
      </c>
    </row>
    <row r="19">
      <c r="A19" t="inlineStr">
        <is>
          <t>Land</t>
        </is>
      </c>
      <c r="B19">
        <f>Assumptions!C21</f>
      </c>
      <c r="C19">
        <f>Assumptions!C21</f>
      </c>
      <c r="D19">
        <f>Assumptions!C21</f>
      </c>
      <c r="E19">
        <f>Assumptions!C21</f>
      </c>
      <c r="F19">
        <f>Assumptions!C21</f>
      </c>
    </row>
    <row r="20">
      <c r="A20" t="inlineStr">
        <is>
          <t>Total development cost</t>
        </is>
      </c>
      <c r="B20">
        <f>SUM(B16:B19)</f>
      </c>
      <c r="C20">
        <f>SUM(C16:C19)</f>
      </c>
      <c r="D20">
        <f>SUM(D16:D19)</f>
      </c>
      <c r="E20">
        <f>SUM(E16:E19)</f>
      </c>
      <c r="F20">
        <f>SUM(F16:F19)</f>
      </c>
    </row>
    <row r="21"/>
    <row r="22">
      <c r="A22" t="inlineStr">
        <is>
          <t>REVENUE</t>
        </is>
      </c>
    </row>
    <row r="23">
      <c r="A23" t="inlineStr">
        <is>
          <t>Residential sales</t>
        </is>
      </c>
      <c r="B23">
        <f>Assumptions!C18*Assumptions!C19/100*10.7639*B7/1000000</f>
      </c>
      <c r="C23">
        <f>Assumptions!C18*Assumptions!C19/100*10.7639*C7/1000000</f>
      </c>
      <c r="D23">
        <f>Assumptions!C18*Assumptions!C19/100*10.7639*D7/1000000</f>
      </c>
      <c r="E23">
        <f>Assumptions!C18*Assumptions!C19/100*10.7639*E7/1000000</f>
      </c>
      <c r="F23">
        <f>Assumptions!C18*Assumptions!C19/100*10.7639*F7/1000000</f>
      </c>
    </row>
    <row r="24">
      <c r="A24" t="inlineStr">
        <is>
          <t>Retail NOI (stabilised)</t>
        </is>
      </c>
      <c r="B24">
        <f>Assumptions!C18*Assumptions!C20/100*B9*B10/100*(1-Assumptions!C25/100)/1000000</f>
      </c>
      <c r="C24">
        <f>Assumptions!C18*Assumptions!C20/100*C9*C10/100*(1-Assumptions!C25/100)/1000000</f>
      </c>
      <c r="D24">
        <f>Assumptions!C18*Assumptions!C20/100*D9*D10/100*(1-Assumptions!C25/100)/1000000</f>
      </c>
      <c r="E24">
        <f>Assumptions!C18*Assumptions!C20/100*E9*E10/100*(1-Assumptions!C25/100)/1000000</f>
      </c>
      <c r="F24">
        <f>Assumptions!C18*Assumptions!C20/100*F9*F10/100*(1-Assumptions!C25/100)/1000000</f>
      </c>
    </row>
    <row r="25">
      <c r="A25" t="inlineStr">
        <is>
          <t>Retail exit value</t>
        </is>
      </c>
      <c r="B25">
        <f>B24/(B11/100)</f>
      </c>
      <c r="C25">
        <f>C24/(C11/100)</f>
      </c>
      <c r="D25">
        <f>D24/(D11/100)</f>
      </c>
      <c r="E25">
        <f>E24/(E11/100)</f>
      </c>
      <c r="F25">
        <f>F24/(F11/100)</f>
      </c>
    </row>
    <row r="26">
      <c r="A26" t="inlineStr">
        <is>
          <t>Selling costs</t>
        </is>
      </c>
      <c r="B26">
        <f>-B23*Assumptions!C24/100</f>
      </c>
      <c r="C26">
        <f>-C23*Assumptions!C24/100</f>
      </c>
      <c r="D26">
        <f>-D23*Assumptions!C24/100</f>
      </c>
      <c r="E26">
        <f>-E23*Assumptions!C24/100</f>
      </c>
      <c r="F26">
        <f>-F23*Assumptions!C24/100</f>
      </c>
    </row>
    <row r="27">
      <c r="A27" t="inlineStr">
        <is>
          <t>Total revenue</t>
        </is>
      </c>
      <c r="B27">
        <f>B23+B25+B26</f>
      </c>
      <c r="C27">
        <f>C23+C25+C26</f>
      </c>
      <c r="D27">
        <f>D23+D25+D26</f>
      </c>
      <c r="E27">
        <f>E23+E25+E26</f>
      </c>
      <c r="F27">
        <f>F23+F25+F26</f>
      </c>
    </row>
    <row r="28"/>
    <row r="29">
      <c r="A29" t="inlineStr">
        <is>
          <t>FINANCE</t>
        </is>
      </c>
    </row>
    <row r="30">
      <c r="A30" t="inlineStr">
        <is>
          <t>Debt drawn</t>
        </is>
      </c>
      <c r="B30">
        <f>B20*B13/100</f>
      </c>
      <c r="C30">
        <f>C20*C13/100</f>
      </c>
      <c r="D30">
        <f>D20*D13/100</f>
      </c>
      <c r="E30">
        <f>E20*E13/100</f>
      </c>
      <c r="F30">
        <f>F20*F13/100</f>
      </c>
    </row>
    <row r="31">
      <c r="A31" t="inlineStr">
        <is>
          <t>Equity</t>
        </is>
      </c>
      <c r="B31">
        <f>B20-B30</f>
      </c>
      <c r="C31">
        <f>C20-C30</f>
      </c>
      <c r="D31">
        <f>D20-D30</f>
      </c>
      <c r="E31">
        <f>E20-E30</f>
      </c>
      <c r="F31">
        <f>F20-F30</f>
      </c>
    </row>
    <row r="32">
      <c r="A32" t="inlineStr">
        <is>
          <t>Finance cost</t>
        </is>
      </c>
      <c r="B32">
        <f>B30*B12/100*B6/12*0.6</f>
      </c>
      <c r="C32">
        <f>C30*C12/100*C6/12*0.6</f>
      </c>
      <c r="D32">
        <f>D30*D12/100*D6/12*0.6</f>
      </c>
      <c r="E32">
        <f>E30*E12/100*E6/12*0.6</f>
      </c>
      <c r="F32">
        <f>F30*F12/100*F6/12*0.6</f>
      </c>
    </row>
    <row r="33"/>
    <row r="34">
      <c r="A34" t="inlineStr">
        <is>
          <t>RETURNS</t>
        </is>
      </c>
    </row>
    <row r="35">
      <c r="A35" t="inlineStr">
        <is>
          <t>Profit</t>
        </is>
      </c>
      <c r="B35">
        <f>B27-B20-B32</f>
      </c>
      <c r="C35">
        <f>C27-C20-C32</f>
      </c>
      <c r="D35">
        <f>D27-D20-D32</f>
      </c>
      <c r="E35">
        <f>E27-E20-E32</f>
      </c>
      <c r="F35">
        <f>F27-F20-F32</f>
      </c>
    </row>
    <row r="36">
      <c r="A36" t="inlineStr">
        <is>
          <t>ROI on cost (%)</t>
        </is>
      </c>
      <c r="B36">
        <f>B35/B20*100</f>
      </c>
      <c r="C36">
        <f>C35/C20*100</f>
      </c>
      <c r="D36">
        <f>D35/D20*100</f>
      </c>
      <c r="E36">
        <f>E35/E20*100</f>
      </c>
      <c r="F36">
        <f>F35/F20*100</f>
      </c>
    </row>
    <row r="37">
      <c r="A37" t="inlineStr">
        <is>
          <t>Equity multiple (x)</t>
        </is>
      </c>
      <c r="B37">
        <f>(B31+B35)/B31</f>
      </c>
      <c r="C37">
        <f>(C31+C35)/C31</f>
      </c>
      <c r="D37">
        <f>(D31+D35)/D31</f>
      </c>
      <c r="E37">
        <f>(E31+E35)/E31</f>
      </c>
      <c r="F37">
        <f>(F31+F35)/F31</f>
      </c>
    </row>
    <row r="38">
      <c r="A38" t="inlineStr">
        <is>
          <t>Yield on cost (%)</t>
        </is>
      </c>
      <c r="B38">
        <f>B24/(B20*Assumptions!C20/100)*100</f>
      </c>
      <c r="C38">
        <f>C24/(C20*Assumptions!C20/100)*100</f>
      </c>
      <c r="D38">
        <f>D24/(D20*Assumptions!C20/100)*100</f>
      </c>
      <c r="E38">
        <f>E24/(E20*Assumptions!C20/100)*100</f>
      </c>
      <c r="F38">
        <f>F24/(F20*Assumptions!C20/100)*100</f>
      </c>
    </row>
    <row r="39">
      <c r="A39" t="inlineStr">
        <is>
          <t>Project IRR (%)</t>
        </is>
      </c>
      <c r="B39">
        <f>((B31+B35)/B31)^(12/B6)*100-100</f>
      </c>
      <c r="C39">
        <f>((C31+C35)/C31)^(12/C6)*100-100</f>
      </c>
      <c r="D39">
        <f>((D31+D35)/D31)^(12/D6)*100-100</f>
      </c>
      <c r="E39">
        <f>((E31+E35)/E31)^(12/E6)*100-100</f>
      </c>
      <c r="F39">
        <f>((F31+F35)/F31)^(12/F6)*100-100</f>
      </c>
    </row>
    <row r="40">
      <c r="A40" t="inlineStr">
        <is>
          <t>Profit on revenue (%)</t>
        </is>
      </c>
      <c r="B40">
        <f>B35/B27*100</f>
      </c>
      <c r="C40">
        <f>C35/C27*100</f>
      </c>
      <c r="D40">
        <f>D35/D27*100</f>
      </c>
      <c r="E40">
        <f>E35/E27*100</f>
      </c>
      <c r="F40">
        <f>F35/F27*100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WHAT HAS TO BE TRUE FOR EACH CASE</t>
        </is>
      </c>
    </row>
    <row r="2"/>
    <row r="3">
      <c r="A3" t="inlineStr">
        <is>
          <t>Case</t>
        </is>
      </c>
      <c r="B3" t="inlineStr">
        <is>
          <t>Has to be true</t>
        </is>
      </c>
      <c r="C3" t="inlineStr">
        <is>
          <t>Evidence to watch</t>
        </is>
      </c>
      <c r="D3" t="inlineStr">
        <is>
          <t>Owner</t>
        </is>
      </c>
    </row>
    <row r="4">
      <c r="A4" t="inlineStr">
        <is>
          <t>Bear</t>
        </is>
      </c>
      <c r="B4" t="inlineStr">
        <is>
          <t>Tender clears at SAR 6,100/sqm (5% over QS) and absorption slows to 14/mo</t>
        </is>
      </c>
      <c r="C4" t="inlineStr">
        <is>
          <t>Tender returns; monthly reservations</t>
        </is>
      </c>
      <c r="D4" t="inlineStr">
        <is>
          <t>Development / Commercial</t>
        </is>
      </c>
    </row>
    <row r="5">
      <c r="A5" t="inlineStr">
        <is>
          <t>Bear</t>
        </is>
      </c>
      <c r="B5" t="inlineStr">
        <is>
          <t>Exit cap widens to 6.40% on a softer rate outlook</t>
        </is>
      </c>
      <c r="C5" t="inlineStr">
        <is>
          <t>SAIBOR forward curve; comparable trades</t>
        </is>
      </c>
      <c r="D5" t="inlineStr">
        <is>
          <t>Investments</t>
        </is>
      </c>
    </row>
    <row r="6">
      <c r="A6" t="inlineStr">
        <is>
          <t>Bear</t>
        </is>
      </c>
      <c r="B6" t="inlineStr">
        <is>
          <t>Resi pricing gives back to SAR 1,360/sqft</t>
        </is>
      </c>
      <c r="C6" t="inlineStr">
        <is>
          <t>Corniche comparables</t>
        </is>
      </c>
      <c r="D6" t="inlineStr">
        <is>
          <t>Commercial</t>
        </is>
      </c>
    </row>
    <row r="7">
      <c r="A7" t="inlineStr">
        <is>
          <t>Base</t>
        </is>
      </c>
      <c r="B7" t="inlineStr">
        <is>
          <t>Tender lands at the QS estimate of SAR 5,800/sqm</t>
        </is>
      </c>
      <c r="C7" t="inlineStr">
        <is>
          <t>Tender returns vs QS</t>
        </is>
      </c>
      <c r="D7" t="inlineStr">
        <is>
          <t>Development</t>
        </is>
      </c>
    </row>
    <row r="8">
      <c r="A8" t="inlineStr">
        <is>
          <t>Base</t>
        </is>
      </c>
      <c r="B8" t="inlineStr">
        <is>
          <t>Resi pricing holds at SAR 1,450/sqft with 22 units/mo</t>
        </is>
      </c>
      <c r="C8" t="inlineStr">
        <is>
          <t>Corniche comparables; reservation run-rate</t>
        </is>
      </c>
      <c r="D8" t="inlineStr">
        <is>
          <t>Commercial</t>
        </is>
      </c>
    </row>
    <row r="9">
      <c r="A9" t="inlineStr">
        <is>
          <t>Base</t>
        </is>
      </c>
      <c r="B9" t="inlineStr">
        <is>
          <t>30-month programme is held with no critical-path slip</t>
        </is>
      </c>
      <c r="C9" t="inlineStr">
        <is>
          <t>Monthly programme report; float</t>
        </is>
      </c>
      <c r="D9" t="inlineStr">
        <is>
          <t>Development</t>
        </is>
      </c>
    </row>
    <row r="10">
      <c r="A10" t="inlineStr">
        <is>
          <t>Bull</t>
        </is>
      </c>
      <c r="B10" t="inlineStr">
        <is>
          <t>Value engineering takes cost to SAR 5,600/sqm</t>
        </is>
      </c>
      <c r="C10" t="inlineStr">
        <is>
          <t>VE register; contractor buy-in</t>
        </is>
      </c>
      <c r="D10" t="inlineStr">
        <is>
          <t>Development</t>
        </is>
      </c>
    </row>
    <row r="11">
      <c r="A11" t="inlineStr">
        <is>
          <t>Bull</t>
        </is>
      </c>
      <c r="B11" t="inlineStr">
        <is>
          <t>Waterfront premium supports SAR 1,520/sqft at 27 units/mo</t>
        </is>
      </c>
      <c r="C11" t="inlineStr">
        <is>
          <t>Achieved prices on Tower B launch</t>
        </is>
      </c>
      <c r="D11" t="inlineStr">
        <is>
          <t>Commercial</t>
        </is>
      </c>
    </row>
    <row r="12">
      <c r="A12" t="inlineStr">
        <is>
          <t>Bull</t>
        </is>
      </c>
      <c r="B12" t="inlineStr">
        <is>
          <t>Exit cap compresses to 5.75% on a REIT block bid for the podium</t>
        </is>
      </c>
      <c r="C12" t="inlineStr">
        <is>
          <t>REIT appetite; 2026 trades</t>
        </is>
      </c>
      <c r="D12" t="inlineStr">
        <is>
          <t>Investments</t>
        </is>
      </c>
    </row>
    <row r="13">
      <c r="A13" t="inlineStr">
        <is>
          <t>Stress</t>
        </is>
      </c>
      <c r="B13" t="inlineStr">
        <is>
          <t>Bear cost +6.5% AND programme +5 months AND cap +50bps together</t>
        </is>
      </c>
      <c r="C13" t="inlineStr">
        <is>
          <t>All three simultaneously</t>
        </is>
      </c>
      <c r="D13" t="inlineStr">
        <is>
          <t>Investment Committee</t>
        </is>
      </c>
    </row>
    <row r="14">
      <c r="A14" t="inlineStr">
        <is>
          <t>Stress</t>
        </is>
      </c>
      <c r="B14" t="inlineStr">
        <is>
          <t>Absorption falls to 11/mo and the lender cuts LTC to 45%</t>
        </is>
      </c>
      <c r="C14" t="inlineStr">
        <is>
          <t>Reservation run-rate; credit committee terms</t>
        </is>
      </c>
      <c r="D14" t="inlineStr">
        <is>
          <t>Investments / Finance</t>
        </is>
      </c>
    </row>
    <row r="15">
      <c r="A15" t="inlineStr">
        <is>
          <t>Stretch</t>
        </is>
      </c>
      <c r="B15" t="inlineStr">
        <is>
          <t>Bull cost -3% with delivery pulled 2 months earlier</t>
        </is>
      </c>
      <c r="C15" t="inlineStr">
        <is>
          <t>Acceleration plan signed off</t>
        </is>
      </c>
      <c r="D15" t="inlineStr">
        <is>
          <t>Development</t>
        </is>
      </c>
    </row>
    <row r="16">
      <c r="A16" t="inlineStr">
        <is>
          <t>Stretch</t>
        </is>
      </c>
      <c r="B16" t="inlineStr">
        <is>
          <t>Cap compresses to 5.50% with the podium 98% let</t>
        </is>
      </c>
      <c r="C16" t="inlineStr">
        <is>
          <t>Letting schedule; REIT bid</t>
        </is>
      </c>
      <c r="D16" t="inlineStr">
        <is>
          <t>Investments</t>
        </is>
      </c>
    </row>
    <row r="17"/>
    <row r="18">
      <c r="A18" t="inlineStr">
        <is>
          <t>READ-ACROSS</t>
        </is>
      </c>
    </row>
    <row r="19">
      <c r="A19" t="inlineStr">
        <is>
          <t>Resi pricing is the largest single swing: every SAR 50/sqft on the 605k saleable sqft moves profit by ~SAR 29M net of selling costs.</t>
        </is>
      </c>
    </row>
    <row r="20">
      <c r="A20" t="inlineStr">
        <is>
          <t>Construction cost is next: every SAR 100/sqm moves profit by ~SAR 11.6M once soft costs and contingency scale with it.</t>
        </is>
      </c>
    </row>
    <row r="21">
      <c r="A21" t="inlineStr">
        <is>
          <t>Exit cap only bites the podium: 25bps of compression is worth ~SAR 14M of exit value.</t>
        </is>
      </c>
    </row>
    <row r="22">
      <c r="A22" t="inlineStr">
        <is>
          <t>Programme drives finance cost only; a 3-month slip is not fatal alone but compounds with cost and cap in the stress case.</t>
        </is>
      </c>
    </row>
    <row r="23">
      <c r="A23" t="inlineStr">
        <is>
          <t>Yield on cost is measured on the retail podium only (NOI over its pro-rata share of TDC); the residential is for sale, not held.</t>
        </is>
      </c>
    </row>
  </sheetData>
</worksheet>
</file>