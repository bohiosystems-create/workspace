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PALM COURT – CASES (USD)</t>
        </is>
      </c>
    </row>
    <row r="2">
      <c r="A2" t="inlineStr">
        <is>
          <t>Case</t>
        </is>
      </c>
      <c r="B2" t="inlineStr">
        <is>
          <t>Base</t>
        </is>
      </c>
    </row>
    <row r="4">
      <c r="A4" t="inlineStr">
        <is>
          <t>Case inputs</t>
        </is>
      </c>
      <c r="B4" t="inlineStr">
        <is>
          <t>Base</t>
        </is>
      </c>
      <c r="C4" t="inlineStr">
        <is>
          <t>Downside</t>
        </is>
      </c>
      <c r="D4" t="inlineStr">
        <is>
          <t>Live</t>
        </is>
      </c>
    </row>
    <row r="5">
      <c r="A5" t="inlineStr">
        <is>
          <t>Rent</t>
        </is>
      </c>
      <c r="B5" t="n">
        <v>5000000</v>
      </c>
      <c r="C5" t="n">
        <v>4500000</v>
      </c>
      <c r="D5">
        <f>INDEX(B5:C5,MATCH($B$2,$B$4:$C$4,0))</f>
        <v/>
      </c>
    </row>
    <row r="6">
      <c r="A6" t="inlineStr">
        <is>
          <t>Exit yield</t>
        </is>
      </c>
      <c r="B6" t="n">
        <v>0.06</v>
      </c>
      <c r="C6" t="n">
        <v>0.07000000000000001</v>
      </c>
      <c r="D6">
        <f>INDEX(B6:C6,MATCH($B$2,$B$4:$C$4,0))</f>
        <v/>
      </c>
    </row>
    <row r="8">
      <c r="A8" t="inlineStr">
        <is>
          <t>Price</t>
        </is>
      </c>
      <c r="B8" t="n">
        <v>60000000</v>
      </c>
    </row>
    <row r="9">
      <c r="A9" t="inlineStr">
        <is>
          <t>Hold (years)</t>
        </is>
      </c>
      <c r="B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Net cash flow</t>
        </is>
      </c>
      <c r="B2">
        <f>-Inputs!$B$8</f>
        <v/>
      </c>
      <c r="C2">
        <f>IF(C1&lt;=Inputs!$B$9,Inputs!$D$5,0)+IF(C1=Inputs!$B$9,Inputs!$D$5/Inputs!$D$6,0)</f>
        <v/>
      </c>
      <c r="D2">
        <f>IF(D1&lt;=Inputs!$B$9,Inputs!$D$5,0)+IF(D1=Inputs!$B$9,Inputs!$D$5/Inputs!$D$6,0)</f>
        <v/>
      </c>
      <c r="E2">
        <f>IF(E1&lt;=Inputs!$B$9,Inputs!$D$5,0)+IF(E1=Inputs!$B$9,Inputs!$D$5/Inputs!$D$6,0)</f>
        <v/>
      </c>
      <c r="F2">
        <f>IF(F1&lt;=Inputs!$B$9,Inputs!$D$5,0)+IF(F1=Inputs!$B$9,Inputs!$D$5/Inputs!$D$6,0)</f>
        <v/>
      </c>
      <c r="G2">
        <f>IF(G1&lt;=Inputs!$B$9,Inputs!$D$5,0)+IF(G1=Inputs!$B$9,Inputs!$D$5/Inputs!$D$6,0)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IRR('Cash Flow'!B2:G2)</f>
        <v/>
      </c>
    </row>
    <row r="2">
      <c r="A2" t="inlineStr">
        <is>
          <t>Net profit</t>
        </is>
      </c>
      <c r="B2">
        <f>SUM('Cash Flow'!B2:G2)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2026-10-24T11:34:00Z</dcterms:created>
  <dcterms:modified xsi:type="dcterms:W3CDTF">2026-10-24T11:34:00Z</dcterms:modified>
</cp:coreProperties>
</file>