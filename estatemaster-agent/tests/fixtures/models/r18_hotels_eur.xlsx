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rtfolio" sheetId="1" state="visible" r:id="rId3"/>
    <sheet name="Lisbon" sheetId="2" state="visible" r:id="rId4"/>
    <sheet name="Porto" sheetId="3" state="visible" r:id="rId5"/>
    <sheet name="Madrid" sheetId="4" state="visible" r:id="rId6"/>
    <sheet name="Consolidated" sheetId="5" state="visible" r:id="rId7"/>
    <sheet name="Retur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<sst xmlns="http://schemas.openxmlformats.org/spreadsheetml/2006/main" count="56" uniqueCount="34">
  <si>
    <t xml:space="preserve">IBERIA HOTEL PORTFOLIO (EUR)</t>
  </si>
  <si>
    <t xml:space="preserve">Loan to value</t>
  </si>
  <si>
    <t xml:space="preserve">Interest rate</t>
  </si>
  <si>
    <t xml:space="preserve">Exit cap rate</t>
  </si>
  <si>
    <t xml:space="preserve">Hold (years)</t>
  </si>
  <si>
    <t xml:space="preserve">Acquisition costs</t>
  </si>
  <si>
    <t xml:space="preserve">LISBON HOTEL</t>
  </si>
  <si>
    <t xml:space="preserve">Keys</t>
  </si>
  <si>
    <t xml:space="preserve">ADR (€)</t>
  </si>
  <si>
    <t xml:space="preserve">Occupancy</t>
  </si>
  <si>
    <t xml:space="preserve">ADR growth</t>
  </si>
  <si>
    <t xml:space="preserve">F&amp;B and other (% of rooms)</t>
  </si>
  <si>
    <t xml:space="preserve">GOP margin</t>
  </si>
  <si>
    <t xml:space="preserve">FF&amp;E reserve</t>
  </si>
  <si>
    <t xml:space="preserve">Purchase price (€)</t>
  </si>
  <si>
    <t xml:space="preserve">Rooms revenue (year 1)</t>
  </si>
  <si>
    <t xml:space="preserve">Total revenue (year 1)</t>
  </si>
  <si>
    <t xml:space="preserve">EBITDA after FF&amp;E (year 1)</t>
  </si>
  <si>
    <t xml:space="preserve">PORTO HOTEL</t>
  </si>
  <si>
    <t xml:space="preserve">MADRID HOTEL</t>
  </si>
  <si>
    <t xml:space="preserve">Year</t>
  </si>
  <si>
    <t xml:space="preserve">EBITDA</t>
  </si>
  <si>
    <t xml:space="preserve">Purchase</t>
  </si>
  <si>
    <t xml:space="preserve">Sale</t>
  </si>
  <si>
    <t xml:space="preserve">Unlevered cash flow</t>
  </si>
  <si>
    <t xml:space="preserve">Debt</t>
  </si>
  <si>
    <t xml:space="preserve">Interest</t>
  </si>
  <si>
    <t xml:space="preserve">Equity cash flow</t>
  </si>
  <si>
    <t xml:space="preserve">Unlevered IRR</t>
  </si>
  <si>
    <t xml:space="preserve">Levered IRR</t>
  </si>
  <si>
    <t xml:space="preserve">Equity multiple</t>
  </si>
  <si>
    <t xml:space="preserve">Net profit</t>
  </si>
  <si>
    <t xml:space="preserve">Year 1 debt yield</t>
  </si>
  <si>
    <t xml:space="preserve">Year 1 interest cover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</si>
</sst>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"/>
    <numFmt numFmtId="167" formatCode="#,##0"/>
    <numFmt numFmtId="168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0.55</v>
      </c>
    </row>
    <row r="4" customFormat="false" ht="15" hidden="false" customHeight="false" outlineLevel="0" collapsed="false">
      <c r="A4" s="0" t="s">
        <v>2</v>
      </c>
      <c r="B4" s="1" t="n">
        <v>0.048</v>
      </c>
    </row>
    <row r="5" customFormat="false" ht="15" hidden="false" customHeight="false" outlineLevel="0" collapsed="false">
      <c r="A5" s="0" t="s">
        <v>3</v>
      </c>
      <c r="B5" s="1" t="n">
        <v>0.07</v>
      </c>
    </row>
    <row r="6" customFormat="false" ht="15" hidden="false" customHeight="false" outlineLevel="0" collapsed="false">
      <c r="A6" s="0" t="s">
        <v>4</v>
      </c>
      <c r="B6" s="2" t="n">
        <v>5</v>
      </c>
    </row>
    <row r="7" customFormat="false" ht="15" hidden="false" customHeight="false" outlineLevel="0" collapsed="false">
      <c r="A7" s="0" t="s">
        <v>5</v>
      </c>
      <c r="B7" s="1" t="n">
        <v>0.045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6</v>
      </c>
    </row>
    <row r="3" customFormat="false" ht="15" hidden="false" customHeight="false" outlineLevel="0" collapsed="false">
      <c r="A3" s="0" t="s">
        <v>7</v>
      </c>
      <c r="B3" s="3" t="n">
        <v>180</v>
      </c>
    </row>
    <row r="4" customFormat="false" ht="15" hidden="false" customHeight="false" outlineLevel="0" collapsed="false">
      <c r="A4" s="0" t="s">
        <v>8</v>
      </c>
      <c r="B4" s="3" t="n">
        <v>185</v>
      </c>
    </row>
    <row r="5" customFormat="false" ht="15" hidden="false" customHeight="false" outlineLevel="0" collapsed="false">
      <c r="A5" s="0" t="s">
        <v>9</v>
      </c>
      <c r="B5" s="1" t="n">
        <v>0.78</v>
      </c>
    </row>
    <row r="6" customFormat="false" ht="15" hidden="false" customHeight="false" outlineLevel="0" collapsed="false">
      <c r="A6" s="0" t="s">
        <v>10</v>
      </c>
      <c r="B6" s="1" t="n">
        <v>0.03</v>
      </c>
    </row>
    <row r="7" customFormat="false" ht="15" hidden="false" customHeight="false" outlineLevel="0" collapsed="false">
      <c r="A7" s="0" t="s">
        <v>11</v>
      </c>
      <c r="B7" s="1" t="n">
        <v>0.35</v>
      </c>
    </row>
    <row r="8" customFormat="false" ht="15" hidden="false" customHeight="false" outlineLevel="0" collapsed="false">
      <c r="A8" s="0" t="s">
        <v>12</v>
      </c>
      <c r="B8" s="1" t="n">
        <v>0.36</v>
      </c>
    </row>
    <row r="9" customFormat="false" ht="15" hidden="false" customHeight="false" outlineLevel="0" collapsed="false">
      <c r="A9" s="0" t="s">
        <v>13</v>
      </c>
      <c r="B9" s="1" t="n">
        <v>0.04</v>
      </c>
    </row>
    <row r="10" customFormat="false" ht="15" hidden="false" customHeight="false" outlineLevel="0" collapsed="false">
      <c r="A10" s="0" t="s">
        <v>14</v>
      </c>
      <c r="B10" s="3" t="n">
        <v>62000000</v>
      </c>
    </row>
    <row r="13" customFormat="false" ht="15" hidden="false" customHeight="false" outlineLevel="0" collapsed="false">
      <c r="A13" s="0" t="s">
        <v>15</v>
      </c>
      <c r="B13" s="3" t="n">
        <f aca="false">Lisbon!$B$3*365*Lisbon!$B$4*Lisbon!$B$5</f>
        <v>9480510</v>
      </c>
    </row>
    <row r="14" customFormat="false" ht="15" hidden="false" customHeight="false" outlineLevel="0" collapsed="false">
      <c r="A14" s="0" t="s">
        <v>16</v>
      </c>
      <c r="B14" s="3" t="n">
        <f aca="false">B13*(1+Lisbon!$B$7)</f>
        <v>12798688.5</v>
      </c>
    </row>
    <row r="15" customFormat="false" ht="15" hidden="false" customHeight="false" outlineLevel="0" collapsed="false">
      <c r="A15" s="0" t="s">
        <v>17</v>
      </c>
      <c r="B15" s="3" t="n">
        <f aca="false">B14*(Lisbon!$B$8-Lisbon!$B$9)</f>
        <v>4095580.32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18</v>
      </c>
    </row>
    <row r="3" customFormat="false" ht="15" hidden="false" customHeight="false" outlineLevel="0" collapsed="false">
      <c r="A3" s="0" t="s">
        <v>7</v>
      </c>
      <c r="B3" s="3" t="n">
        <v>140</v>
      </c>
    </row>
    <row r="4" customFormat="false" ht="15" hidden="false" customHeight="false" outlineLevel="0" collapsed="false">
      <c r="A4" s="0" t="s">
        <v>8</v>
      </c>
      <c r="B4" s="3" t="n">
        <v>150</v>
      </c>
    </row>
    <row r="5" customFormat="false" ht="15" hidden="false" customHeight="false" outlineLevel="0" collapsed="false">
      <c r="A5" s="0" t="s">
        <v>9</v>
      </c>
      <c r="B5" s="1" t="n">
        <v>0.74</v>
      </c>
    </row>
    <row r="6" customFormat="false" ht="15" hidden="false" customHeight="false" outlineLevel="0" collapsed="false">
      <c r="A6" s="0" t="s">
        <v>10</v>
      </c>
      <c r="B6" s="1" t="n">
        <v>0.03</v>
      </c>
    </row>
    <row r="7" customFormat="false" ht="15" hidden="false" customHeight="false" outlineLevel="0" collapsed="false">
      <c r="A7" s="0" t="s">
        <v>11</v>
      </c>
      <c r="B7" s="1" t="n">
        <v>0.35</v>
      </c>
    </row>
    <row r="8" customFormat="false" ht="15" hidden="false" customHeight="false" outlineLevel="0" collapsed="false">
      <c r="A8" s="0" t="s">
        <v>12</v>
      </c>
      <c r="B8" s="1" t="n">
        <v>0.34</v>
      </c>
    </row>
    <row r="9" customFormat="false" ht="15" hidden="false" customHeight="false" outlineLevel="0" collapsed="false">
      <c r="A9" s="0" t="s">
        <v>13</v>
      </c>
      <c r="B9" s="1" t="n">
        <v>0.04</v>
      </c>
    </row>
    <row r="10" customFormat="false" ht="15" hidden="false" customHeight="false" outlineLevel="0" collapsed="false">
      <c r="A10" s="0" t="s">
        <v>14</v>
      </c>
      <c r="B10" s="3" t="n">
        <v>41000000</v>
      </c>
    </row>
    <row r="13" customFormat="false" ht="15" hidden="false" customHeight="false" outlineLevel="0" collapsed="false">
      <c r="A13" s="0" t="s">
        <v>15</v>
      </c>
      <c r="B13" s="3" t="n">
        <f aca="false">Porto!$B$3*365*Porto!$B$4*Porto!$B$5</f>
        <v>5672100</v>
      </c>
    </row>
    <row r="14" customFormat="false" ht="15" hidden="false" customHeight="false" outlineLevel="0" collapsed="false">
      <c r="A14" s="0" t="s">
        <v>16</v>
      </c>
      <c r="B14" s="3" t="n">
        <f aca="false">B13*(1+Porto!$B$7)</f>
        <v>7657335</v>
      </c>
    </row>
    <row r="15" customFormat="false" ht="15" hidden="false" customHeight="false" outlineLevel="0" collapsed="false">
      <c r="A15" s="0" t="s">
        <v>17</v>
      </c>
      <c r="B15" s="3" t="n">
        <f aca="false">B14*(Porto!$B$8-Porto!$B$9)</f>
        <v>2297200.5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19</v>
      </c>
    </row>
    <row r="3" customFormat="false" ht="15" hidden="false" customHeight="false" outlineLevel="0" collapsed="false">
      <c r="A3" s="0" t="s">
        <v>7</v>
      </c>
      <c r="B3" s="3" t="n">
        <v>220</v>
      </c>
    </row>
    <row r="4" customFormat="false" ht="15" hidden="false" customHeight="false" outlineLevel="0" collapsed="false">
      <c r="A4" s="0" t="s">
        <v>8</v>
      </c>
      <c r="B4" s="3" t="n">
        <v>170</v>
      </c>
    </row>
    <row r="5" customFormat="false" ht="15" hidden="false" customHeight="false" outlineLevel="0" collapsed="false">
      <c r="A5" s="0" t="s">
        <v>9</v>
      </c>
      <c r="B5" s="1" t="n">
        <v>0.8</v>
      </c>
    </row>
    <row r="6" customFormat="false" ht="15" hidden="false" customHeight="false" outlineLevel="0" collapsed="false">
      <c r="A6" s="0" t="s">
        <v>10</v>
      </c>
      <c r="B6" s="1" t="n">
        <v>0.03</v>
      </c>
    </row>
    <row r="7" customFormat="false" ht="15" hidden="false" customHeight="false" outlineLevel="0" collapsed="false">
      <c r="A7" s="0" t="s">
        <v>11</v>
      </c>
      <c r="B7" s="1" t="n">
        <v>0.35</v>
      </c>
    </row>
    <row r="8" customFormat="false" ht="15" hidden="false" customHeight="false" outlineLevel="0" collapsed="false">
      <c r="A8" s="0" t="s">
        <v>12</v>
      </c>
      <c r="B8" s="1" t="n">
        <v>0.38</v>
      </c>
    </row>
    <row r="9" customFormat="false" ht="15" hidden="false" customHeight="false" outlineLevel="0" collapsed="false">
      <c r="A9" s="0" t="s">
        <v>13</v>
      </c>
      <c r="B9" s="1" t="n">
        <v>0.04</v>
      </c>
    </row>
    <row r="10" customFormat="false" ht="15" hidden="false" customHeight="false" outlineLevel="0" collapsed="false">
      <c r="A10" s="0" t="s">
        <v>14</v>
      </c>
      <c r="B10" s="3" t="n">
        <v>88000000</v>
      </c>
    </row>
    <row r="13" customFormat="false" ht="15" hidden="false" customHeight="false" outlineLevel="0" collapsed="false">
      <c r="A13" s="0" t="s">
        <v>15</v>
      </c>
      <c r="B13" s="3" t="n">
        <f aca="false">Madrid!$B$3*365*Madrid!$B$4*Madrid!$B$5</f>
        <v>10920800</v>
      </c>
    </row>
    <row r="14" customFormat="false" ht="15" hidden="false" customHeight="false" outlineLevel="0" collapsed="false">
      <c r="A14" s="0" t="s">
        <v>16</v>
      </c>
      <c r="B14" s="3" t="n">
        <f aca="false">B13*(1+Madrid!$B$7)</f>
        <v>14743080</v>
      </c>
    </row>
    <row r="15" customFormat="false" ht="15" hidden="false" customHeight="false" outlineLevel="0" collapsed="false">
      <c r="A15" s="0" t="s">
        <v>17</v>
      </c>
      <c r="B15" s="3" t="n">
        <f aca="false">B14*(Madrid!$B$8-Madrid!$B$9)</f>
        <v>5012647.2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20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</row>
    <row r="4" customFormat="false" ht="15" hidden="false" customHeight="false" outlineLevel="0" collapsed="false">
      <c r="A4" s="0" t="s">
        <v>21</v>
      </c>
      <c r="B4" s="0" t="n">
        <f aca="false">(B$3&gt;=1)*(B$3&lt;=Portfolio!$B$6)*(Lisbon!$B$15*(1+Lisbon!$B$6)^(B$3-1)+Porto!$B$15*(1+Porto!$B$6)^(B$3-1)+Madrid!$B$15*(1+Madrid!$B$6)^(B$3-1))</f>
        <v>0</v>
      </c>
      <c r="C4" s="0" t="n">
        <f aca="false">(C$3&gt;=1)*(C$3&lt;=Portfolio!$B$6)*(Lisbon!$B$15*(1+Lisbon!$B$6)^(C$3-1)+Porto!$B$15*(1+Porto!$B$6)^(C$3-1)+Madrid!$B$15*(1+Madrid!$B$6)^(C$3-1))</f>
        <v>11405428.02</v>
      </c>
      <c r="D4" s="0" t="n">
        <f aca="false">(D$3&gt;=1)*(D$3&lt;=Portfolio!$B$6)*(Lisbon!$B$15*(1+Lisbon!$B$6)^(D$3-1)+Porto!$B$15*(1+Porto!$B$6)^(D$3-1)+Madrid!$B$15*(1+Madrid!$B$6)^(D$3-1))</f>
        <v>11747590.8606</v>
      </c>
      <c r="E4" s="0" t="n">
        <f aca="false">(E$3&gt;=1)*(E$3&lt;=Portfolio!$B$6)*(Lisbon!$B$15*(1+Lisbon!$B$6)^(E$3-1)+Porto!$B$15*(1+Porto!$B$6)^(E$3-1)+Madrid!$B$15*(1+Madrid!$B$6)^(E$3-1))</f>
        <v>12100018.586418</v>
      </c>
      <c r="F4" s="0" t="n">
        <f aca="false">(F$3&gt;=1)*(F$3&lt;=Portfolio!$B$6)*(Lisbon!$B$15*(1+Lisbon!$B$6)^(F$3-1)+Porto!$B$15*(1+Porto!$B$6)^(F$3-1)+Madrid!$B$15*(1+Madrid!$B$6)^(F$3-1))</f>
        <v>12463019.1440105</v>
      </c>
      <c r="G4" s="0" t="n">
        <f aca="false">(G$3&gt;=1)*(G$3&lt;=Portfolio!$B$6)*(Lisbon!$B$15*(1+Lisbon!$B$6)^(G$3-1)+Porto!$B$15*(1+Porto!$B$6)^(G$3-1)+Madrid!$B$15*(1+Madrid!$B$6)^(G$3-1))</f>
        <v>12836909.7183309</v>
      </c>
      <c r="H4" s="0" t="n">
        <f aca="false">(H$3&gt;=1)*(H$3&lt;=Portfolio!$B$6)*(Lisbon!$B$15*(1+Lisbon!$B$6)^(H$3-1)+Porto!$B$15*(1+Porto!$B$6)^(H$3-1)+Madrid!$B$15*(1+Madrid!$B$6)^(H$3-1))</f>
        <v>0</v>
      </c>
      <c r="I4" s="0" t="n">
        <f aca="false">(I$3&gt;=1)*(I$3&lt;=Portfolio!$B$6)*(Lisbon!$B$15*(1+Lisbon!$B$6)^(I$3-1)+Porto!$B$15*(1+Porto!$B$6)^(I$3-1)+Madrid!$B$15*(1+Madrid!$B$6)^(I$3-1))</f>
        <v>0</v>
      </c>
    </row>
    <row r="5" customFormat="false" ht="15" hidden="false" customHeight="false" outlineLevel="0" collapsed="false">
      <c r="A5" s="0" t="s">
        <v>22</v>
      </c>
      <c r="B5" s="0" t="n">
        <f aca="false">IF(B$3=0,-(Lisbon!$B$10+Porto!$B$10+Madrid!$B$10)*(1+Portfolio!$B$7),0)</f>
        <v>-199595000</v>
      </c>
      <c r="C5" s="0" t="n">
        <f aca="false">IF(C$3=0,-(Lisbon!$B$10+Porto!$B$10+Madrid!$B$10)*(1+Portfolio!$B$7),0)</f>
        <v>0</v>
      </c>
      <c r="D5" s="0" t="n">
        <f aca="false">IF(D$3=0,-(Lisbon!$B$10+Porto!$B$10+Madrid!$B$10)*(1+Portfolio!$B$7),0)</f>
        <v>0</v>
      </c>
      <c r="E5" s="0" t="n">
        <f aca="false">IF(E$3=0,-(Lisbon!$B$10+Porto!$B$10+Madrid!$B$10)*(1+Portfolio!$B$7),0)</f>
        <v>0</v>
      </c>
      <c r="F5" s="0" t="n">
        <f aca="false">IF(F$3=0,-(Lisbon!$B$10+Porto!$B$10+Madrid!$B$10)*(1+Portfolio!$B$7),0)</f>
        <v>0</v>
      </c>
      <c r="G5" s="0" t="n">
        <f aca="false">IF(G$3=0,-(Lisbon!$B$10+Porto!$B$10+Madrid!$B$10)*(1+Portfolio!$B$7),0)</f>
        <v>0</v>
      </c>
      <c r="H5" s="0" t="n">
        <f aca="false">IF(H$3=0,-(Lisbon!$B$10+Porto!$B$10+Madrid!$B$10)*(1+Portfolio!$B$7),0)</f>
        <v>0</v>
      </c>
      <c r="I5" s="0" t="n">
        <f aca="false">IF(I$3=0,-(Lisbon!$B$10+Porto!$B$10+Madrid!$B$10)*(1+Portfolio!$B$7),0)</f>
        <v>0</v>
      </c>
    </row>
    <row r="6" customFormat="false" ht="15" hidden="false" customHeight="false" outlineLevel="0" collapsed="false">
      <c r="A6" s="0" t="s">
        <v>23</v>
      </c>
      <c r="B6" s="0" t="n">
        <f aca="false">IF(B$3=Portfolio!$B$6,(Lisbon!$B$15*(1+Lisbon!$B$6)^B$3+Porto!$B$15*(1+Porto!$B$6)^B$3+Madrid!$B$15*(1+Madrid!$B$6)^B$3)/Portfolio!$B$5,0)</f>
        <v>0</v>
      </c>
      <c r="C6" s="0" t="n">
        <f aca="false">IF(C$3=Portfolio!$B$6,(Lisbon!$B$15*(1+Lisbon!$B$6)^C$3+Porto!$B$15*(1+Porto!$B$6)^C$3+Madrid!$B$15*(1+Madrid!$B$6)^C$3)/Portfolio!$B$5,0)</f>
        <v>0</v>
      </c>
      <c r="D6" s="0" t="n">
        <f aca="false">IF(D$3=Portfolio!$B$6,(Lisbon!$B$15*(1+Lisbon!$B$6)^D$3+Porto!$B$15*(1+Porto!$B$6)^D$3+Madrid!$B$15*(1+Madrid!$B$6)^D$3)/Portfolio!$B$5,0)</f>
        <v>0</v>
      </c>
      <c r="E6" s="0" t="n">
        <f aca="false">IF(E$3=Portfolio!$B$6,(Lisbon!$B$15*(1+Lisbon!$B$6)^E$3+Porto!$B$15*(1+Porto!$B$6)^E$3+Madrid!$B$15*(1+Madrid!$B$6)^E$3)/Portfolio!$B$5,0)</f>
        <v>0</v>
      </c>
      <c r="F6" s="0" t="n">
        <f aca="false">IF(F$3=Portfolio!$B$6,(Lisbon!$B$15*(1+Lisbon!$B$6)^F$3+Porto!$B$15*(1+Porto!$B$6)^F$3+Madrid!$B$15*(1+Madrid!$B$6)^F$3)/Portfolio!$B$5,0)</f>
        <v>0</v>
      </c>
      <c r="G6" s="0" t="n">
        <f aca="false">IF(G$3=Portfolio!$B$6,(Lisbon!$B$15*(1+Lisbon!$B$6)^G$3+Porto!$B$15*(1+Porto!$B$6)^G$3+Madrid!$B$15*(1+Madrid!$B$6)^G$3)/Portfolio!$B$5,0)</f>
        <v>188885957.284011</v>
      </c>
      <c r="H6" s="0" t="n">
        <f aca="false">IF(H$3=Portfolio!$B$6,(Lisbon!$B$15*(1+Lisbon!$B$6)^H$3+Porto!$B$15*(1+Porto!$B$6)^H$3+Madrid!$B$15*(1+Madrid!$B$6)^H$3)/Portfolio!$B$5,0)</f>
        <v>0</v>
      </c>
      <c r="I6" s="0" t="n">
        <f aca="false">IF(I$3=Portfolio!$B$6,(Lisbon!$B$15*(1+Lisbon!$B$6)^I$3+Porto!$B$15*(1+Porto!$B$6)^I$3+Madrid!$B$15*(1+Madrid!$B$6)^I$3)/Portfolio!$B$5,0)</f>
        <v>0</v>
      </c>
    </row>
    <row r="7" customFormat="false" ht="15" hidden="false" customHeight="false" outlineLevel="0" collapsed="false">
      <c r="A7" s="0" t="s">
        <v>24</v>
      </c>
      <c r="B7" s="0" t="n">
        <f aca="false">SUM(B4:B6)</f>
        <v>-199595000</v>
      </c>
      <c r="C7" s="0" t="n">
        <f aca="false">SUM(C4:C6)</f>
        <v>11405428.02</v>
      </c>
      <c r="D7" s="0" t="n">
        <f aca="false">SUM(D4:D6)</f>
        <v>11747590.8606</v>
      </c>
      <c r="E7" s="0" t="n">
        <f aca="false">SUM(E4:E6)</f>
        <v>12100018.586418</v>
      </c>
      <c r="F7" s="0" t="n">
        <f aca="false">SUM(F4:F6)</f>
        <v>12463019.1440105</v>
      </c>
      <c r="G7" s="0" t="n">
        <f aca="false">SUM(G4:G6)</f>
        <v>201722867.002342</v>
      </c>
      <c r="H7" s="0" t="n">
        <f aca="false">SUM(H4:H6)</f>
        <v>0</v>
      </c>
      <c r="I7" s="0" t="n">
        <f aca="false">SUM(I4:I6)</f>
        <v>0</v>
      </c>
    </row>
    <row r="8" customFormat="false" ht="15" hidden="false" customHeight="false" outlineLevel="0" collapsed="false">
      <c r="A8" s="0" t="s">
        <v>25</v>
      </c>
      <c r="B8" s="0" t="n">
        <f aca="false">IF(B$3=0,(Lisbon!$B$10+Porto!$B$10+Madrid!$B$10)*Portfolio!$B$3,0)-IF(B$3=Portfolio!$B$6,(Lisbon!$B$10+Porto!$B$10+Madrid!$B$10)*Portfolio!$B$3,0)</f>
        <v>105050000</v>
      </c>
      <c r="C8" s="0" t="n">
        <f aca="false">IF(C$3=0,(Lisbon!$B$10+Porto!$B$10+Madrid!$B$10)*Portfolio!$B$3,0)-IF(C$3=Portfolio!$B$6,(Lisbon!$B$10+Porto!$B$10+Madrid!$B$10)*Portfolio!$B$3,0)</f>
        <v>0</v>
      </c>
      <c r="D8" s="0" t="n">
        <f aca="false">IF(D$3=0,(Lisbon!$B$10+Porto!$B$10+Madrid!$B$10)*Portfolio!$B$3,0)-IF(D$3=Portfolio!$B$6,(Lisbon!$B$10+Porto!$B$10+Madrid!$B$10)*Portfolio!$B$3,0)</f>
        <v>0</v>
      </c>
      <c r="E8" s="0" t="n">
        <f aca="false">IF(E$3=0,(Lisbon!$B$10+Porto!$B$10+Madrid!$B$10)*Portfolio!$B$3,0)-IF(E$3=Portfolio!$B$6,(Lisbon!$B$10+Porto!$B$10+Madrid!$B$10)*Portfolio!$B$3,0)</f>
        <v>0</v>
      </c>
      <c r="F8" s="0" t="n">
        <f aca="false">IF(F$3=0,(Lisbon!$B$10+Porto!$B$10+Madrid!$B$10)*Portfolio!$B$3,0)-IF(F$3=Portfolio!$B$6,(Lisbon!$B$10+Porto!$B$10+Madrid!$B$10)*Portfolio!$B$3,0)</f>
        <v>0</v>
      </c>
      <c r="G8" s="0" t="n">
        <f aca="false">IF(G$3=0,(Lisbon!$B$10+Porto!$B$10+Madrid!$B$10)*Portfolio!$B$3,0)-IF(G$3=Portfolio!$B$6,(Lisbon!$B$10+Porto!$B$10+Madrid!$B$10)*Portfolio!$B$3,0)</f>
        <v>-105050000</v>
      </c>
      <c r="H8" s="0" t="n">
        <f aca="false">IF(H$3=0,(Lisbon!$B$10+Porto!$B$10+Madrid!$B$10)*Portfolio!$B$3,0)-IF(H$3=Portfolio!$B$6,(Lisbon!$B$10+Porto!$B$10+Madrid!$B$10)*Portfolio!$B$3,0)</f>
        <v>0</v>
      </c>
      <c r="I8" s="0" t="n">
        <f aca="false">IF(I$3=0,(Lisbon!$B$10+Porto!$B$10+Madrid!$B$10)*Portfolio!$B$3,0)-IF(I$3=Portfolio!$B$6,(Lisbon!$B$10+Porto!$B$10+Madrid!$B$10)*Portfolio!$B$3,0)</f>
        <v>0</v>
      </c>
    </row>
    <row r="9" customFormat="false" ht="15" hidden="false" customHeight="false" outlineLevel="0" collapsed="false">
      <c r="A9" s="0" t="s">
        <v>26</v>
      </c>
      <c r="B9" s="0" t="n">
        <f aca="false">-(B$3&gt;=1)*(B$3&lt;=Portfolio!$B$6)*(Lisbon!$B$10+Porto!$B$10+Madrid!$B$10)*Portfolio!$B$3*Portfolio!$B$4</f>
        <v>-0</v>
      </c>
      <c r="C9" s="0" t="n">
        <f aca="false">-(C$3&gt;=1)*(C$3&lt;=Portfolio!$B$6)*(Lisbon!$B$10+Porto!$B$10+Madrid!$B$10)*Portfolio!$B$3*Portfolio!$B$4</f>
        <v>-5042400</v>
      </c>
      <c r="D9" s="0" t="n">
        <f aca="false">-(D$3&gt;=1)*(D$3&lt;=Portfolio!$B$6)*(Lisbon!$B$10+Porto!$B$10+Madrid!$B$10)*Portfolio!$B$3*Portfolio!$B$4</f>
        <v>-5042400</v>
      </c>
      <c r="E9" s="0" t="n">
        <f aca="false">-(E$3&gt;=1)*(E$3&lt;=Portfolio!$B$6)*(Lisbon!$B$10+Porto!$B$10+Madrid!$B$10)*Portfolio!$B$3*Portfolio!$B$4</f>
        <v>-5042400</v>
      </c>
      <c r="F9" s="0" t="n">
        <f aca="false">-(F$3&gt;=1)*(F$3&lt;=Portfolio!$B$6)*(Lisbon!$B$10+Porto!$B$10+Madrid!$B$10)*Portfolio!$B$3*Portfolio!$B$4</f>
        <v>-5042400</v>
      </c>
      <c r="G9" s="0" t="n">
        <f aca="false">-(G$3&gt;=1)*(G$3&lt;=Portfolio!$B$6)*(Lisbon!$B$10+Porto!$B$10+Madrid!$B$10)*Portfolio!$B$3*Portfolio!$B$4</f>
        <v>-5042400</v>
      </c>
      <c r="H9" s="0" t="n">
        <f aca="false">-(H$3&gt;=1)*(H$3&lt;=Portfolio!$B$6)*(Lisbon!$B$10+Porto!$B$10+Madrid!$B$10)*Portfolio!$B$3*Portfolio!$B$4</f>
        <v>-0</v>
      </c>
      <c r="I9" s="0" t="n">
        <f aca="false">-(I$3&gt;=1)*(I$3&lt;=Portfolio!$B$6)*(Lisbon!$B$10+Porto!$B$10+Madrid!$B$10)*Portfolio!$B$3*Portfolio!$B$4</f>
        <v>-0</v>
      </c>
    </row>
    <row r="10" customFormat="false" ht="15" hidden="false" customHeight="false" outlineLevel="0" collapsed="false">
      <c r="A10" s="0" t="s">
        <v>27</v>
      </c>
      <c r="B10" s="0" t="n">
        <f aca="false">B7+B8+B9</f>
        <v>-94545000</v>
      </c>
      <c r="C10" s="0" t="n">
        <f aca="false">C7+C8+C9</f>
        <v>6363028.02</v>
      </c>
      <c r="D10" s="0" t="n">
        <f aca="false">D7+D8+D9</f>
        <v>6705190.8606</v>
      </c>
      <c r="E10" s="0" t="n">
        <f aca="false">E7+E8+E9</f>
        <v>7057618.586418</v>
      </c>
      <c r="F10" s="0" t="n">
        <f aca="false">F7+F8+F9</f>
        <v>7420619.14401054</v>
      </c>
      <c r="G10" s="0" t="n">
        <f aca="false">G7+G8+G9</f>
        <v>91630467.002342</v>
      </c>
      <c r="H10" s="0" t="n">
        <f aca="false">H7+H8+H9</f>
        <v>0</v>
      </c>
      <c r="I10" s="0" t="n">
        <f aca="false">I7+I8+I9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28</v>
      </c>
      <c r="B3" s="1" t="n">
        <f aca="false">IRR(Consolidated!B7:I7)</f>
        <v>0.0508040108551233</v>
      </c>
    </row>
    <row r="4" customFormat="false" ht="15" hidden="false" customHeight="false" outlineLevel="0" collapsed="false">
      <c r="A4" s="0" t="s">
        <v>29</v>
      </c>
      <c r="B4" s="1" t="n">
        <f aca="false">IRR(Consolidated!B10:I10)</f>
        <v>0.0540278543868565</v>
      </c>
    </row>
    <row r="5" customFormat="false" ht="15" hidden="false" customHeight="false" outlineLevel="0" collapsed="false">
      <c r="A5" s="0" t="s">
        <v>30</v>
      </c>
      <c r="B5" s="4" t="n">
        <f aca="false">SUMIF(Consolidated!B10:I10,"&gt;0")/-SUMIF(Consolidated!B10:I10,"&lt;0")</f>
        <v>1.26053121384918</v>
      </c>
    </row>
    <row r="6" customFormat="false" ht="15" hidden="false" customHeight="false" outlineLevel="0" collapsed="false">
      <c r="A6" s="0" t="s">
        <v>31</v>
      </c>
      <c r="B6" s="3" t="n">
        <f aca="false">SUM(Consolidated!B10:I10)</f>
        <v>24631923.6133706</v>
      </c>
    </row>
    <row r="7" customFormat="false" ht="15" hidden="false" customHeight="false" outlineLevel="0" collapsed="false">
      <c r="A7" s="0" t="s">
        <v>32</v>
      </c>
      <c r="B7" s="1" t="n">
        <f aca="false">Consolidated!C4/((Lisbon!$B$10+Porto!$B$10+Madrid!$B$10)*Portfolio!$B$3)</f>
        <v>0.108571423322228</v>
      </c>
    </row>
    <row r="8" customFormat="false" ht="15" hidden="false" customHeight="false" outlineLevel="0" collapsed="false">
      <c r="A8" s="0" t="s">
        <v>33</v>
      </c>
      <c r="B8" s="4" t="n">
        <f aca="false">-Consolidated!C4/Consolidated!C9</f>
        <v>2.26190465254641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2026-10-17T10:02:28Z</dcterms:created>
  <dc:creator>openpyxl</dc:creator>
  <dc:description/>
  <dc:language>en-US</dc:language>
  <cp:lastModifiedBy/>
  <dcterms:modified xsi:type="dcterms:W3CDTF">2026-10-17T10:02:28Z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