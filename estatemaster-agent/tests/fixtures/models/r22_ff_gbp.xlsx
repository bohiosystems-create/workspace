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puts" sheetId="1" state="visible" r:id="rId3"/>
    <sheet name="Curve" sheetId="2" state="visible" r:id="rId4"/>
    <sheet name="SDLT" sheetId="3" state="visible" r:id="rId5"/>
    <sheet name="Cash Flow" sheetId="4" state="visible" r:id="rId6"/>
    <sheet name="Returns" sheetId="5" state="visible" r:id="rId7"/>
    <sheet name="FY Summary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<sst xmlns="http://schemas.openxmlformats.org/spreadsheetml/2006/main" count="68" uniqueCount="67">
  <si>
    <t xml:space="preserve">CASTLE QUAY STUDENT – FORWARD FUNDING (GBP)</t>
  </si>
  <si>
    <t xml:space="preserve">Funding date</t>
  </si>
  <si>
    <t xml:space="preserve">Land (£)</t>
  </si>
  <si>
    <t xml:space="preserve">Beds</t>
  </si>
  <si>
    <t xml:space="preserve">Rent per bed a week (£)</t>
  </si>
  <si>
    <t xml:space="preserve">Weeks let a year</t>
  </si>
  <si>
    <t xml:space="preserve">Rent growth a year</t>
  </si>
  <si>
    <t xml:space="preserve">Voids</t>
  </si>
  <si>
    <t xml:space="preserve">Operating cost (% of income)</t>
  </si>
  <si>
    <t xml:space="preserve">Construction cost (£)</t>
  </si>
  <si>
    <t xml:space="preserve">Build (quarters)</t>
  </si>
  <si>
    <t xml:space="preserve">Delay (quarters)</t>
  </si>
  <si>
    <t xml:space="preserve">Long-stop (quarters)</t>
  </si>
  <si>
    <t xml:space="preserve">Delay penalty a quarter past long-stop (£)</t>
  </si>
  <si>
    <t xml:space="preserve">Funder's coupon a year</t>
  </si>
  <si>
    <t xml:space="preserve">Purchase NIY</t>
  </si>
  <si>
    <t xml:space="preserve">Purchaser's fees (% of price)</t>
  </si>
  <si>
    <t xml:space="preserve">Investor hold after completion (quarters)</t>
  </si>
  <si>
    <t xml:space="preserve">Investor exit yield</t>
  </si>
  <si>
    <t xml:space="preserve">Share of build elapsed</t>
  </si>
  <si>
    <t xml:space="preserve">Cumulative cost</t>
  </si>
  <si>
    <t xml:space="preserve">Band from (£)</t>
  </si>
  <si>
    <t xml:space="preserve">Rate</t>
  </si>
  <si>
    <t xml:space="preserve">Tax below band (£)</t>
  </si>
  <si>
    <t xml:space="preserve">Quarter</t>
  </si>
  <si>
    <t xml:space="preserve">Date</t>
  </si>
  <si>
    <t xml:space="preserve">Fiscal year</t>
  </si>
  <si>
    <t xml:space="preserve">Elapsed share</t>
  </si>
  <si>
    <t xml:space="preserve">Cumulative cost share</t>
  </si>
  <si>
    <t xml:space="preserve">Construction draw</t>
  </si>
  <si>
    <t xml:space="preserve">Land</t>
  </si>
  <si>
    <t xml:space="preserve">Funds advanced</t>
  </si>
  <si>
    <t xml:space="preserve">Coupon</t>
  </si>
  <si>
    <t xml:space="preserve">Penalty</t>
  </si>
  <si>
    <t xml:space="preserve">Operating</t>
  </si>
  <si>
    <t xml:space="preserve">Gross income</t>
  </si>
  <si>
    <t xml:space="preserve">Net operating income</t>
  </si>
  <si>
    <t xml:space="preserve">Investor exit</t>
  </si>
  <si>
    <t xml:space="preserve">Investor cash flow</t>
  </si>
  <si>
    <t xml:space="preserve">Practical completion (quarter)</t>
  </si>
  <si>
    <t xml:space="preserve">Year-1 net rent (£)</t>
  </si>
  <si>
    <t xml:space="preserve">Gross value at NIY (£)</t>
  </si>
  <si>
    <t xml:space="preserve">Purchase price (£)</t>
  </si>
  <si>
    <t xml:space="preserve">SDLT (£)</t>
  </si>
  <si>
    <t xml:space="preserve">Developer profit (£)</t>
  </si>
  <si>
    <t xml:space="preserve">Funder's coupon (£)</t>
  </si>
  <si>
    <t xml:space="preserve">Delay penalties (£)</t>
  </si>
  <si>
    <t xml:space="preserve">Developer margin on price</t>
  </si>
  <si>
    <t xml:space="preserve">Investor yield on cost</t>
  </si>
  <si>
    <t xml:space="preserve">Investor IRR (XIRR)</t>
  </si>
  <si>
    <t xml:space="preserve">Net profit to investor (£)</t>
  </si>
  <si>
    <t xml:space="preserve">NOI in FY30 (£)</t>
  </si>
  <si>
    <t xml:space="preserve">Net operating income (£)</t>
  </si>
  <si>
    <t xml:space="preserve">Gross income (£)</t>
  </si>
  <si>
    <t xml:space="preserve">FY27</t>
  </si>
  <si>
    <t xml:space="preserve">FY28</t>
  </si>
  <si>
    <t xml:space="preserve">FY29</t>
  </si>
  <si>
    <t xml:space="preserve">FY30</t>
  </si>
  <si>
    <t xml:space="preserve">FY31</t>
  </si>
  <si>
    <t xml:space="preserve">FY32</t>
  </si>
  <si>
    <t xml:space="preserve">FY33</t>
  </si>
  <si>
    <t xml:space="preserve">FY34</t>
  </si>
  <si>
    <t xml:space="preserve">FY35</t>
  </si>
  <si>
    <t xml:space="preserve">FY36</t>
  </si>
  <si>
    <t xml:space="preserve">FY37</t>
  </si>
  <si>
    <t xml:space="preserve">FY38</t>
  </si>
  <si>
    <t xml:space="preserve">FY39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</si>
</sst>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dd\-mmm\-yyyy"/>
    <numFmt numFmtId="166" formatCode="#,##0"/>
    <numFmt numFmtId="167" formatCode="0.00%"/>
    <numFmt numFmtId="168" formatCode="0"/>
    <numFmt numFmtId="169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0" t="s">
        <v>0</v>
      </c>
    </row>
    <row r="3" customFormat="false" ht="15" hidden="false" customHeight="false" outlineLevel="0" collapsed="false">
      <c r="A3" s="0" t="s">
        <v>1</v>
      </c>
      <c r="B3" s="1" t="n">
        <v>46234</v>
      </c>
    </row>
    <row r="4" customFormat="false" ht="15" hidden="false" customHeight="false" outlineLevel="0" collapsed="false">
      <c r="A4" s="0" t="s">
        <v>2</v>
      </c>
      <c r="B4" s="2" t="n">
        <v>18000000</v>
      </c>
    </row>
    <row r="5" customFormat="false" ht="15" hidden="false" customHeight="false" outlineLevel="0" collapsed="false">
      <c r="A5" s="0" t="s">
        <v>3</v>
      </c>
      <c r="B5" s="2" t="n">
        <v>650</v>
      </c>
    </row>
    <row r="6" customFormat="false" ht="15" hidden="false" customHeight="false" outlineLevel="0" collapsed="false">
      <c r="A6" s="0" t="s">
        <v>4</v>
      </c>
      <c r="B6" s="2" t="n">
        <v>289</v>
      </c>
    </row>
    <row r="7" customFormat="false" ht="15" hidden="false" customHeight="false" outlineLevel="0" collapsed="false">
      <c r="A7" s="0" t="s">
        <v>5</v>
      </c>
      <c r="B7" s="2" t="n">
        <v>51</v>
      </c>
    </row>
    <row r="8" customFormat="false" ht="15" hidden="false" customHeight="false" outlineLevel="0" collapsed="false">
      <c r="A8" s="0" t="s">
        <v>6</v>
      </c>
      <c r="B8" s="3" t="n">
        <v>0.03</v>
      </c>
    </row>
    <row r="9" customFormat="false" ht="15" hidden="false" customHeight="false" outlineLevel="0" collapsed="false">
      <c r="A9" s="0" t="s">
        <v>7</v>
      </c>
      <c r="B9" s="3" t="n">
        <v>0.03</v>
      </c>
    </row>
    <row r="10" customFormat="false" ht="15" hidden="false" customHeight="false" outlineLevel="0" collapsed="false">
      <c r="A10" s="0" t="s">
        <v>8</v>
      </c>
      <c r="B10" s="3" t="n">
        <v>0.28</v>
      </c>
    </row>
    <row r="11" customFormat="false" ht="15" hidden="false" customHeight="false" outlineLevel="0" collapsed="false">
      <c r="A11" s="0" t="s">
        <v>9</v>
      </c>
      <c r="B11" s="2" t="n">
        <v>86000000</v>
      </c>
    </row>
    <row r="12" customFormat="false" ht="15" hidden="false" customHeight="false" outlineLevel="0" collapsed="false">
      <c r="A12" s="0" t="s">
        <v>10</v>
      </c>
      <c r="B12" s="4" t="n">
        <v>9</v>
      </c>
    </row>
    <row r="13" customFormat="false" ht="15" hidden="false" customHeight="false" outlineLevel="0" collapsed="false">
      <c r="A13" s="0" t="s">
        <v>11</v>
      </c>
      <c r="B13" s="4" t="n">
        <v>0</v>
      </c>
    </row>
    <row r="14" customFormat="false" ht="15" hidden="false" customHeight="false" outlineLevel="0" collapsed="false">
      <c r="A14" s="0" t="s">
        <v>12</v>
      </c>
      <c r="B14" s="4" t="n">
        <v>10</v>
      </c>
    </row>
    <row r="15" customFormat="false" ht="15" hidden="false" customHeight="false" outlineLevel="0" collapsed="false">
      <c r="A15" s="0" t="s">
        <v>13</v>
      </c>
      <c r="B15" s="2" t="n">
        <v>400000</v>
      </c>
    </row>
    <row r="16" customFormat="false" ht="15" hidden="false" customHeight="false" outlineLevel="0" collapsed="false">
      <c r="A16" s="0" t="s">
        <v>14</v>
      </c>
      <c r="B16" s="3" t="n">
        <v>0.065</v>
      </c>
    </row>
    <row r="17" customFormat="false" ht="15" hidden="false" customHeight="false" outlineLevel="0" collapsed="false">
      <c r="A17" s="0" t="s">
        <v>15</v>
      </c>
      <c r="B17" s="3" t="n">
        <v>0.0475</v>
      </c>
    </row>
    <row r="18" customFormat="false" ht="15" hidden="false" customHeight="false" outlineLevel="0" collapsed="false">
      <c r="A18" s="0" t="s">
        <v>16</v>
      </c>
      <c r="B18" s="3" t="n">
        <v>0.018</v>
      </c>
    </row>
    <row r="19" customFormat="false" ht="15" hidden="false" customHeight="false" outlineLevel="0" collapsed="false">
      <c r="A19" s="0" t="s">
        <v>17</v>
      </c>
      <c r="B19" s="4" t="n">
        <v>40</v>
      </c>
    </row>
    <row r="20" customFormat="false" ht="15" hidden="false" customHeight="false" outlineLevel="0" collapsed="false">
      <c r="A20" s="0" t="s">
        <v>18</v>
      </c>
      <c r="B20" s="3" t="n">
        <v>0.05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0" t="s">
        <v>19</v>
      </c>
      <c r="B1" s="0" t="s">
        <v>20</v>
      </c>
    </row>
    <row r="2" customFormat="false" ht="15" hidden="false" customHeight="false" outlineLevel="0" collapsed="false">
      <c r="A2" s="0" t="n">
        <v>0</v>
      </c>
      <c r="B2" s="0" t="n">
        <v>0</v>
      </c>
    </row>
    <row r="3" customFormat="false" ht="15" hidden="false" customHeight="false" outlineLevel="0" collapsed="false">
      <c r="A3" s="0" t="n">
        <v>0.1</v>
      </c>
      <c r="B3" s="0" t="n">
        <v>0.04</v>
      </c>
    </row>
    <row r="4" customFormat="false" ht="15" hidden="false" customHeight="false" outlineLevel="0" collapsed="false">
      <c r="A4" s="0" t="n">
        <v>0.2</v>
      </c>
      <c r="B4" s="0" t="n">
        <v>0.11</v>
      </c>
    </row>
    <row r="5" customFormat="false" ht="15" hidden="false" customHeight="false" outlineLevel="0" collapsed="false">
      <c r="A5" s="0" t="n">
        <v>0.3</v>
      </c>
      <c r="B5" s="0" t="n">
        <v>0.21</v>
      </c>
    </row>
    <row r="6" customFormat="false" ht="15" hidden="false" customHeight="false" outlineLevel="0" collapsed="false">
      <c r="A6" s="0" t="n">
        <v>0.4</v>
      </c>
      <c r="B6" s="0" t="n">
        <v>0.33</v>
      </c>
    </row>
    <row r="7" customFormat="false" ht="15" hidden="false" customHeight="false" outlineLevel="0" collapsed="false">
      <c r="A7" s="0" t="n">
        <v>0.5</v>
      </c>
      <c r="B7" s="0" t="n">
        <v>0.46</v>
      </c>
    </row>
    <row r="8" customFormat="false" ht="15" hidden="false" customHeight="false" outlineLevel="0" collapsed="false">
      <c r="A8" s="0" t="n">
        <v>0.6</v>
      </c>
      <c r="B8" s="0" t="n">
        <v>0.59</v>
      </c>
    </row>
    <row r="9" customFormat="false" ht="15" hidden="false" customHeight="false" outlineLevel="0" collapsed="false">
      <c r="A9" s="0" t="n">
        <v>0.7</v>
      </c>
      <c r="B9" s="0" t="n">
        <v>0.71</v>
      </c>
    </row>
    <row r="10" customFormat="false" ht="15" hidden="false" customHeight="false" outlineLevel="0" collapsed="false">
      <c r="A10" s="0" t="n">
        <v>0.8</v>
      </c>
      <c r="B10" s="0" t="n">
        <v>0.82</v>
      </c>
    </row>
    <row r="11" customFormat="false" ht="15" hidden="false" customHeight="false" outlineLevel="0" collapsed="false">
      <c r="A11" s="0" t="n">
        <v>0.9</v>
      </c>
      <c r="B11" s="0" t="n">
        <v>0.92</v>
      </c>
    </row>
    <row r="12" customFormat="false" ht="15" hidden="false" customHeight="false" outlineLevel="0" collapsed="false">
      <c r="A12" s="0" t="n">
        <v>1</v>
      </c>
      <c r="B12" s="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0" t="s">
        <v>21</v>
      </c>
      <c r="B1" s="0" t="s">
        <v>22</v>
      </c>
      <c r="C1" s="0" t="s">
        <v>23</v>
      </c>
    </row>
    <row r="2" customFormat="false" ht="15" hidden="false" customHeight="false" outlineLevel="0" collapsed="false">
      <c r="A2" s="0" t="n">
        <v>0</v>
      </c>
      <c r="B2" s="0" t="n">
        <v>0</v>
      </c>
      <c r="C2" s="0" t="n">
        <v>0</v>
      </c>
    </row>
    <row r="3" customFormat="false" ht="15" hidden="false" customHeight="false" outlineLevel="0" collapsed="false">
      <c r="A3" s="0" t="n">
        <v>150000</v>
      </c>
      <c r="B3" s="0" t="n">
        <v>0.02</v>
      </c>
      <c r="C3" s="0" t="n">
        <v>0</v>
      </c>
    </row>
    <row r="4" customFormat="false" ht="15" hidden="false" customHeight="false" outlineLevel="0" collapsed="false">
      <c r="A4" s="0" t="n">
        <v>250000</v>
      </c>
      <c r="B4" s="0" t="n">
        <v>0.05</v>
      </c>
      <c r="C4" s="0" t="n">
        <v>2000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BB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3" customFormat="false" ht="15" hidden="false" customHeight="false" outlineLevel="0" collapsed="false">
      <c r="A3" s="0" t="s">
        <v>24</v>
      </c>
      <c r="B3" s="0" t="n">
        <v>0</v>
      </c>
      <c r="C3" s="0" t="n">
        <v>1</v>
      </c>
      <c r="D3" s="0" t="n">
        <v>2</v>
      </c>
      <c r="E3" s="0" t="n">
        <v>3</v>
      </c>
      <c r="F3" s="0" t="n">
        <v>4</v>
      </c>
      <c r="G3" s="0" t="n">
        <v>5</v>
      </c>
      <c r="H3" s="0" t="n">
        <v>6</v>
      </c>
      <c r="I3" s="0" t="n">
        <v>7</v>
      </c>
      <c r="J3" s="0" t="n">
        <v>8</v>
      </c>
      <c r="K3" s="0" t="n">
        <v>9</v>
      </c>
      <c r="L3" s="0" t="n">
        <v>10</v>
      </c>
      <c r="M3" s="0" t="n">
        <v>11</v>
      </c>
      <c r="N3" s="0" t="n">
        <v>12</v>
      </c>
      <c r="O3" s="0" t="n">
        <v>13</v>
      </c>
      <c r="P3" s="0" t="n">
        <v>14</v>
      </c>
      <c r="Q3" s="0" t="n">
        <v>15</v>
      </c>
      <c r="R3" s="0" t="n">
        <v>16</v>
      </c>
      <c r="S3" s="0" t="n">
        <v>17</v>
      </c>
      <c r="T3" s="0" t="n">
        <v>18</v>
      </c>
      <c r="U3" s="0" t="n">
        <v>19</v>
      </c>
      <c r="V3" s="0" t="n">
        <v>20</v>
      </c>
      <c r="W3" s="0" t="n">
        <v>21</v>
      </c>
      <c r="X3" s="0" t="n">
        <v>22</v>
      </c>
      <c r="Y3" s="0" t="n">
        <v>23</v>
      </c>
      <c r="Z3" s="0" t="n">
        <v>24</v>
      </c>
      <c r="AA3" s="0" t="n">
        <v>25</v>
      </c>
      <c r="AB3" s="0" t="n">
        <v>26</v>
      </c>
      <c r="AC3" s="0" t="n">
        <v>27</v>
      </c>
      <c r="AD3" s="0" t="n">
        <v>28</v>
      </c>
      <c r="AE3" s="0" t="n">
        <v>29</v>
      </c>
      <c r="AF3" s="0" t="n">
        <v>30</v>
      </c>
      <c r="AG3" s="0" t="n">
        <v>31</v>
      </c>
      <c r="AH3" s="0" t="n">
        <v>32</v>
      </c>
      <c r="AI3" s="0" t="n">
        <v>33</v>
      </c>
      <c r="AJ3" s="0" t="n">
        <v>34</v>
      </c>
      <c r="AK3" s="0" t="n">
        <v>35</v>
      </c>
      <c r="AL3" s="0" t="n">
        <v>36</v>
      </c>
      <c r="AM3" s="0" t="n">
        <v>37</v>
      </c>
      <c r="AN3" s="0" t="n">
        <v>38</v>
      </c>
      <c r="AO3" s="0" t="n">
        <v>39</v>
      </c>
      <c r="AP3" s="0" t="n">
        <v>40</v>
      </c>
      <c r="AQ3" s="0" t="n">
        <v>41</v>
      </c>
      <c r="AR3" s="0" t="n">
        <v>42</v>
      </c>
      <c r="AS3" s="0" t="n">
        <v>43</v>
      </c>
      <c r="AT3" s="0" t="n">
        <v>44</v>
      </c>
      <c r="AU3" s="0" t="n">
        <v>45</v>
      </c>
      <c r="AV3" s="0" t="n">
        <v>46</v>
      </c>
      <c r="AW3" s="0" t="n">
        <v>47</v>
      </c>
      <c r="AX3" s="0" t="n">
        <v>48</v>
      </c>
      <c r="AY3" s="0" t="n">
        <v>49</v>
      </c>
      <c r="AZ3" s="0" t="n">
        <v>50</v>
      </c>
      <c r="BA3" s="0" t="n">
        <v>51</v>
      </c>
      <c r="BB3" s="0" t="n">
        <v>52</v>
      </c>
    </row>
    <row r="4" customFormat="false" ht="15" hidden="false" customHeight="false" outlineLevel="0" collapsed="false">
      <c r="A4" s="0" t="s">
        <v>25</v>
      </c>
      <c r="B4" s="1" t="n">
        <f aca="false">EOMONTH(Inputs!$B$3,3*B$3)</f>
        <v>46234</v>
      </c>
      <c r="C4" s="1" t="n">
        <f aca="false">EOMONTH(Inputs!$B$3,3*C$3)</f>
        <v>46326</v>
      </c>
      <c r="D4" s="1" t="n">
        <f aca="false">EOMONTH(Inputs!$B$3,3*D$3)</f>
        <v>46418</v>
      </c>
      <c r="E4" s="1" t="n">
        <f aca="false">EOMONTH(Inputs!$B$3,3*E$3)</f>
        <v>46507</v>
      </c>
      <c r="F4" s="1" t="n">
        <f aca="false">EOMONTH(Inputs!$B$3,3*F$3)</f>
        <v>46599</v>
      </c>
      <c r="G4" s="1" t="n">
        <f aca="false">EOMONTH(Inputs!$B$3,3*G$3)</f>
        <v>46691</v>
      </c>
      <c r="H4" s="1" t="n">
        <f aca="false">EOMONTH(Inputs!$B$3,3*H$3)</f>
        <v>46783</v>
      </c>
      <c r="I4" s="1" t="n">
        <f aca="false">EOMONTH(Inputs!$B$3,3*I$3)</f>
        <v>46873</v>
      </c>
      <c r="J4" s="1" t="n">
        <f aca="false">EOMONTH(Inputs!$B$3,3*J$3)</f>
        <v>46965</v>
      </c>
      <c r="K4" s="1" t="n">
        <f aca="false">EOMONTH(Inputs!$B$3,3*K$3)</f>
        <v>47057</v>
      </c>
      <c r="L4" s="1" t="n">
        <f aca="false">EOMONTH(Inputs!$B$3,3*L$3)</f>
        <v>47149</v>
      </c>
      <c r="M4" s="1" t="n">
        <f aca="false">EOMONTH(Inputs!$B$3,3*M$3)</f>
        <v>47238</v>
      </c>
      <c r="N4" s="1" t="n">
        <f aca="false">EOMONTH(Inputs!$B$3,3*N$3)</f>
        <v>47330</v>
      </c>
      <c r="O4" s="1" t="n">
        <f aca="false">EOMONTH(Inputs!$B$3,3*O$3)</f>
        <v>47422</v>
      </c>
      <c r="P4" s="1" t="n">
        <f aca="false">EOMONTH(Inputs!$B$3,3*P$3)</f>
        <v>47514</v>
      </c>
      <c r="Q4" s="1" t="n">
        <f aca="false">EOMONTH(Inputs!$B$3,3*Q$3)</f>
        <v>47603</v>
      </c>
      <c r="R4" s="1" t="n">
        <f aca="false">EOMONTH(Inputs!$B$3,3*R$3)</f>
        <v>47695</v>
      </c>
      <c r="S4" s="1" t="n">
        <f aca="false">EOMONTH(Inputs!$B$3,3*S$3)</f>
        <v>47787</v>
      </c>
      <c r="T4" s="1" t="n">
        <f aca="false">EOMONTH(Inputs!$B$3,3*T$3)</f>
        <v>47879</v>
      </c>
      <c r="U4" s="1" t="n">
        <f aca="false">EOMONTH(Inputs!$B$3,3*U$3)</f>
        <v>47968</v>
      </c>
      <c r="V4" s="1" t="n">
        <f aca="false">EOMONTH(Inputs!$B$3,3*V$3)</f>
        <v>48060</v>
      </c>
      <c r="W4" s="1" t="n">
        <f aca="false">EOMONTH(Inputs!$B$3,3*W$3)</f>
        <v>48152</v>
      </c>
      <c r="X4" s="1" t="n">
        <f aca="false">EOMONTH(Inputs!$B$3,3*X$3)</f>
        <v>48244</v>
      </c>
      <c r="Y4" s="1" t="n">
        <f aca="false">EOMONTH(Inputs!$B$3,3*Y$3)</f>
        <v>48334</v>
      </c>
      <c r="Z4" s="1" t="n">
        <f aca="false">EOMONTH(Inputs!$B$3,3*Z$3)</f>
        <v>48426</v>
      </c>
      <c r="AA4" s="1" t="n">
        <f aca="false">EOMONTH(Inputs!$B$3,3*AA$3)</f>
        <v>48518</v>
      </c>
      <c r="AB4" s="1" t="n">
        <f aca="false">EOMONTH(Inputs!$B$3,3*AB$3)</f>
        <v>48610</v>
      </c>
      <c r="AC4" s="1" t="n">
        <f aca="false">EOMONTH(Inputs!$B$3,3*AC$3)</f>
        <v>48699</v>
      </c>
      <c r="AD4" s="1" t="n">
        <f aca="false">EOMONTH(Inputs!$B$3,3*AD$3)</f>
        <v>48791</v>
      </c>
      <c r="AE4" s="1" t="n">
        <f aca="false">EOMONTH(Inputs!$B$3,3*AE$3)</f>
        <v>48883</v>
      </c>
      <c r="AF4" s="1" t="n">
        <f aca="false">EOMONTH(Inputs!$B$3,3*AF$3)</f>
        <v>48975</v>
      </c>
      <c r="AG4" s="1" t="n">
        <f aca="false">EOMONTH(Inputs!$B$3,3*AG$3)</f>
        <v>49064</v>
      </c>
      <c r="AH4" s="1" t="n">
        <f aca="false">EOMONTH(Inputs!$B$3,3*AH$3)</f>
        <v>49156</v>
      </c>
      <c r="AI4" s="1" t="n">
        <f aca="false">EOMONTH(Inputs!$B$3,3*AI$3)</f>
        <v>49248</v>
      </c>
      <c r="AJ4" s="1" t="n">
        <f aca="false">EOMONTH(Inputs!$B$3,3*AJ$3)</f>
        <v>49340</v>
      </c>
      <c r="AK4" s="1" t="n">
        <f aca="false">EOMONTH(Inputs!$B$3,3*AK$3)</f>
        <v>49429</v>
      </c>
      <c r="AL4" s="1" t="n">
        <f aca="false">EOMONTH(Inputs!$B$3,3*AL$3)</f>
        <v>49521</v>
      </c>
      <c r="AM4" s="1" t="n">
        <f aca="false">EOMONTH(Inputs!$B$3,3*AM$3)</f>
        <v>49613</v>
      </c>
      <c r="AN4" s="1" t="n">
        <f aca="false">EOMONTH(Inputs!$B$3,3*AN$3)</f>
        <v>49705</v>
      </c>
      <c r="AO4" s="1" t="n">
        <f aca="false">EOMONTH(Inputs!$B$3,3*AO$3)</f>
        <v>49795</v>
      </c>
      <c r="AP4" s="1" t="n">
        <f aca="false">EOMONTH(Inputs!$B$3,3*AP$3)</f>
        <v>49887</v>
      </c>
      <c r="AQ4" s="1" t="n">
        <f aca="false">EOMONTH(Inputs!$B$3,3*AQ$3)</f>
        <v>49979</v>
      </c>
      <c r="AR4" s="1" t="n">
        <f aca="false">EOMONTH(Inputs!$B$3,3*AR$3)</f>
        <v>50071</v>
      </c>
      <c r="AS4" s="1" t="n">
        <f aca="false">EOMONTH(Inputs!$B$3,3*AS$3)</f>
        <v>50160</v>
      </c>
      <c r="AT4" s="1" t="n">
        <f aca="false">EOMONTH(Inputs!$B$3,3*AT$3)</f>
        <v>50252</v>
      </c>
      <c r="AU4" s="1" t="n">
        <f aca="false">EOMONTH(Inputs!$B$3,3*AU$3)</f>
        <v>50344</v>
      </c>
      <c r="AV4" s="1" t="n">
        <f aca="false">EOMONTH(Inputs!$B$3,3*AV$3)</f>
        <v>50436</v>
      </c>
      <c r="AW4" s="1" t="n">
        <f aca="false">EOMONTH(Inputs!$B$3,3*AW$3)</f>
        <v>50525</v>
      </c>
      <c r="AX4" s="1" t="n">
        <f aca="false">EOMONTH(Inputs!$B$3,3*AX$3)</f>
        <v>50617</v>
      </c>
      <c r="AY4" s="1" t="n">
        <f aca="false">EOMONTH(Inputs!$B$3,3*AY$3)</f>
        <v>50709</v>
      </c>
      <c r="AZ4" s="1" t="n">
        <f aca="false">EOMONTH(Inputs!$B$3,3*AZ$3)</f>
        <v>50801</v>
      </c>
      <c r="BA4" s="1" t="n">
        <f aca="false">EOMONTH(Inputs!$B$3,3*BA$3)</f>
        <v>50890</v>
      </c>
      <c r="BB4" s="1" t="n">
        <f aca="false">EOMONTH(Inputs!$B$3,3*BB$3)</f>
        <v>50982</v>
      </c>
    </row>
    <row r="5" customFormat="false" ht="15" hidden="false" customHeight="false" outlineLevel="0" collapsed="false">
      <c r="A5" s="0" t="s">
        <v>26</v>
      </c>
      <c r="B5" s="0" t="str">
        <f aca="false">"FY"&amp;TEXT(EDATE(B4,-3),"yy")</f>
        <v>FY26</v>
      </c>
      <c r="C5" s="0" t="str">
        <f aca="false">"FY"&amp;TEXT(EDATE(C4,-3),"yy")</f>
        <v>FY26</v>
      </c>
      <c r="D5" s="0" t="str">
        <f aca="false">"FY"&amp;TEXT(EDATE(D4,-3),"yy")</f>
        <v>FY26</v>
      </c>
      <c r="E5" s="0" t="str">
        <f aca="false">"FY"&amp;TEXT(EDATE(E4,-3),"yy")</f>
        <v>FY27</v>
      </c>
      <c r="F5" s="0" t="str">
        <f aca="false">"FY"&amp;TEXT(EDATE(F4,-3),"yy")</f>
        <v>FY27</v>
      </c>
      <c r="G5" s="0" t="str">
        <f aca="false">"FY"&amp;TEXT(EDATE(G4,-3),"yy")</f>
        <v>FY27</v>
      </c>
      <c r="H5" s="0" t="str">
        <f aca="false">"FY"&amp;TEXT(EDATE(H4,-3),"yy")</f>
        <v>FY27</v>
      </c>
      <c r="I5" s="0" t="str">
        <f aca="false">"FY"&amp;TEXT(EDATE(I4,-3),"yy")</f>
        <v>FY28</v>
      </c>
      <c r="J5" s="0" t="str">
        <f aca="false">"FY"&amp;TEXT(EDATE(J4,-3),"yy")</f>
        <v>FY28</v>
      </c>
      <c r="K5" s="0" t="str">
        <f aca="false">"FY"&amp;TEXT(EDATE(K4,-3),"yy")</f>
        <v>FY28</v>
      </c>
      <c r="L5" s="0" t="str">
        <f aca="false">"FY"&amp;TEXT(EDATE(L4,-3),"yy")</f>
        <v>FY28</v>
      </c>
      <c r="M5" s="0" t="str">
        <f aca="false">"FY"&amp;TEXT(EDATE(M4,-3),"yy")</f>
        <v>FY29</v>
      </c>
      <c r="N5" s="0" t="str">
        <f aca="false">"FY"&amp;TEXT(EDATE(N4,-3),"yy")</f>
        <v>FY29</v>
      </c>
      <c r="O5" s="0" t="str">
        <f aca="false">"FY"&amp;TEXT(EDATE(O4,-3),"yy")</f>
        <v>FY29</v>
      </c>
      <c r="P5" s="0" t="str">
        <f aca="false">"FY"&amp;TEXT(EDATE(P4,-3),"yy")</f>
        <v>FY29</v>
      </c>
      <c r="Q5" s="0" t="str">
        <f aca="false">"FY"&amp;TEXT(EDATE(Q4,-3),"yy")</f>
        <v>FY30</v>
      </c>
      <c r="R5" s="0" t="str">
        <f aca="false">"FY"&amp;TEXT(EDATE(R4,-3),"yy")</f>
        <v>FY30</v>
      </c>
      <c r="S5" s="0" t="str">
        <f aca="false">"FY"&amp;TEXT(EDATE(S4,-3),"yy")</f>
        <v>FY30</v>
      </c>
      <c r="T5" s="0" t="str">
        <f aca="false">"FY"&amp;TEXT(EDATE(T4,-3),"yy")</f>
        <v>FY30</v>
      </c>
      <c r="U5" s="0" t="str">
        <f aca="false">"FY"&amp;TEXT(EDATE(U4,-3),"yy")</f>
        <v>FY31</v>
      </c>
      <c r="V5" s="0" t="str">
        <f aca="false">"FY"&amp;TEXT(EDATE(V4,-3),"yy")</f>
        <v>FY31</v>
      </c>
      <c r="W5" s="0" t="str">
        <f aca="false">"FY"&amp;TEXT(EDATE(W4,-3),"yy")</f>
        <v>FY31</v>
      </c>
      <c r="X5" s="0" t="str">
        <f aca="false">"FY"&amp;TEXT(EDATE(X4,-3),"yy")</f>
        <v>FY31</v>
      </c>
      <c r="Y5" s="0" t="str">
        <f aca="false">"FY"&amp;TEXT(EDATE(Y4,-3),"yy")</f>
        <v>FY32</v>
      </c>
      <c r="Z5" s="0" t="str">
        <f aca="false">"FY"&amp;TEXT(EDATE(Z4,-3),"yy")</f>
        <v>FY32</v>
      </c>
      <c r="AA5" s="0" t="str">
        <f aca="false">"FY"&amp;TEXT(EDATE(AA4,-3),"yy")</f>
        <v>FY32</v>
      </c>
      <c r="AB5" s="0" t="str">
        <f aca="false">"FY"&amp;TEXT(EDATE(AB4,-3),"yy")</f>
        <v>FY32</v>
      </c>
      <c r="AC5" s="0" t="str">
        <f aca="false">"FY"&amp;TEXT(EDATE(AC4,-3),"yy")</f>
        <v>FY33</v>
      </c>
      <c r="AD5" s="0" t="str">
        <f aca="false">"FY"&amp;TEXT(EDATE(AD4,-3),"yy")</f>
        <v>FY33</v>
      </c>
      <c r="AE5" s="0" t="str">
        <f aca="false">"FY"&amp;TEXT(EDATE(AE4,-3),"yy")</f>
        <v>FY33</v>
      </c>
      <c r="AF5" s="0" t="str">
        <f aca="false">"FY"&amp;TEXT(EDATE(AF4,-3),"yy")</f>
        <v>FY33</v>
      </c>
      <c r="AG5" s="0" t="str">
        <f aca="false">"FY"&amp;TEXT(EDATE(AG4,-3),"yy")</f>
        <v>FY34</v>
      </c>
      <c r="AH5" s="0" t="str">
        <f aca="false">"FY"&amp;TEXT(EDATE(AH4,-3),"yy")</f>
        <v>FY34</v>
      </c>
      <c r="AI5" s="0" t="str">
        <f aca="false">"FY"&amp;TEXT(EDATE(AI4,-3),"yy")</f>
        <v>FY34</v>
      </c>
      <c r="AJ5" s="0" t="str">
        <f aca="false">"FY"&amp;TEXT(EDATE(AJ4,-3),"yy")</f>
        <v>FY34</v>
      </c>
      <c r="AK5" s="0" t="str">
        <f aca="false">"FY"&amp;TEXT(EDATE(AK4,-3),"yy")</f>
        <v>FY35</v>
      </c>
      <c r="AL5" s="0" t="str">
        <f aca="false">"FY"&amp;TEXT(EDATE(AL4,-3),"yy")</f>
        <v>FY35</v>
      </c>
      <c r="AM5" s="0" t="str">
        <f aca="false">"FY"&amp;TEXT(EDATE(AM4,-3),"yy")</f>
        <v>FY35</v>
      </c>
      <c r="AN5" s="0" t="str">
        <f aca="false">"FY"&amp;TEXT(EDATE(AN4,-3),"yy")</f>
        <v>FY35</v>
      </c>
      <c r="AO5" s="0" t="str">
        <f aca="false">"FY"&amp;TEXT(EDATE(AO4,-3),"yy")</f>
        <v>FY36</v>
      </c>
      <c r="AP5" s="0" t="str">
        <f aca="false">"FY"&amp;TEXT(EDATE(AP4,-3),"yy")</f>
        <v>FY36</v>
      </c>
      <c r="AQ5" s="0" t="str">
        <f aca="false">"FY"&amp;TEXT(EDATE(AQ4,-3),"yy")</f>
        <v>FY36</v>
      </c>
      <c r="AR5" s="0" t="str">
        <f aca="false">"FY"&amp;TEXT(EDATE(AR4,-3),"yy")</f>
        <v>FY36</v>
      </c>
      <c r="AS5" s="0" t="str">
        <f aca="false">"FY"&amp;TEXT(EDATE(AS4,-3),"yy")</f>
        <v>FY37</v>
      </c>
      <c r="AT5" s="0" t="str">
        <f aca="false">"FY"&amp;TEXT(EDATE(AT4,-3),"yy")</f>
        <v>FY37</v>
      </c>
      <c r="AU5" s="0" t="str">
        <f aca="false">"FY"&amp;TEXT(EDATE(AU4,-3),"yy")</f>
        <v>FY37</v>
      </c>
      <c r="AV5" s="0" t="str">
        <f aca="false">"FY"&amp;TEXT(EDATE(AV4,-3),"yy")</f>
        <v>FY37</v>
      </c>
      <c r="AW5" s="0" t="str">
        <f aca="false">"FY"&amp;TEXT(EDATE(AW4,-3),"yy")</f>
        <v>FY38</v>
      </c>
      <c r="AX5" s="0" t="str">
        <f aca="false">"FY"&amp;TEXT(EDATE(AX4,-3),"yy")</f>
        <v>FY38</v>
      </c>
      <c r="AY5" s="0" t="str">
        <f aca="false">"FY"&amp;TEXT(EDATE(AY4,-3),"yy")</f>
        <v>FY38</v>
      </c>
      <c r="AZ5" s="0" t="str">
        <f aca="false">"FY"&amp;TEXT(EDATE(AZ4,-3),"yy")</f>
        <v>FY38</v>
      </c>
      <c r="BA5" s="0" t="str">
        <f aca="false">"FY"&amp;TEXT(EDATE(BA4,-3),"yy")</f>
        <v>FY39</v>
      </c>
      <c r="BB5" s="0" t="str">
        <f aca="false">"FY"&amp;TEXT(EDATE(BB4,-3),"yy")</f>
        <v>FY39</v>
      </c>
    </row>
    <row r="6" customFormat="false" ht="15" hidden="false" customHeight="false" outlineLevel="0" collapsed="false">
      <c r="A6" s="0" t="s">
        <v>27</v>
      </c>
      <c r="B6" s="0" t="n">
        <f aca="false">MIN(1,B$3/(Inputs!$B$12+Inputs!$B$13))</f>
        <v>0</v>
      </c>
      <c r="C6" s="0" t="n">
        <f aca="false">MIN(1,C$3/(Inputs!$B$12+Inputs!$B$13))</f>
        <v>0.111111111111111</v>
      </c>
      <c r="D6" s="0" t="n">
        <f aca="false">MIN(1,D$3/(Inputs!$B$12+Inputs!$B$13))</f>
        <v>0.222222222222222</v>
      </c>
      <c r="E6" s="0" t="n">
        <f aca="false">MIN(1,E$3/(Inputs!$B$12+Inputs!$B$13))</f>
        <v>0.333333333333333</v>
      </c>
      <c r="F6" s="0" t="n">
        <f aca="false">MIN(1,F$3/(Inputs!$B$12+Inputs!$B$13))</f>
        <v>0.444444444444444</v>
      </c>
      <c r="G6" s="0" t="n">
        <f aca="false">MIN(1,G$3/(Inputs!$B$12+Inputs!$B$13))</f>
        <v>0.555555555555556</v>
      </c>
      <c r="H6" s="0" t="n">
        <f aca="false">MIN(1,H$3/(Inputs!$B$12+Inputs!$B$13))</f>
        <v>0.666666666666667</v>
      </c>
      <c r="I6" s="0" t="n">
        <f aca="false">MIN(1,I$3/(Inputs!$B$12+Inputs!$B$13))</f>
        <v>0.777777777777778</v>
      </c>
      <c r="J6" s="0" t="n">
        <f aca="false">MIN(1,J$3/(Inputs!$B$12+Inputs!$B$13))</f>
        <v>0.888888888888889</v>
      </c>
      <c r="K6" s="0" t="n">
        <f aca="false">MIN(1,K$3/(Inputs!$B$12+Inputs!$B$13))</f>
        <v>1</v>
      </c>
      <c r="L6" s="0" t="n">
        <f aca="false">MIN(1,L$3/(Inputs!$B$12+Inputs!$B$13))</f>
        <v>1</v>
      </c>
      <c r="M6" s="0" t="n">
        <f aca="false">MIN(1,M$3/(Inputs!$B$12+Inputs!$B$13))</f>
        <v>1</v>
      </c>
      <c r="N6" s="0" t="n">
        <f aca="false">MIN(1,N$3/(Inputs!$B$12+Inputs!$B$13))</f>
        <v>1</v>
      </c>
      <c r="O6" s="0" t="n">
        <f aca="false">MIN(1,O$3/(Inputs!$B$12+Inputs!$B$13))</f>
        <v>1</v>
      </c>
      <c r="P6" s="0" t="n">
        <f aca="false">MIN(1,P$3/(Inputs!$B$12+Inputs!$B$13))</f>
        <v>1</v>
      </c>
      <c r="Q6" s="0" t="n">
        <f aca="false">MIN(1,Q$3/(Inputs!$B$12+Inputs!$B$13))</f>
        <v>1</v>
      </c>
      <c r="R6" s="0" t="n">
        <f aca="false">MIN(1,R$3/(Inputs!$B$12+Inputs!$B$13))</f>
        <v>1</v>
      </c>
      <c r="S6" s="0" t="n">
        <f aca="false">MIN(1,S$3/(Inputs!$B$12+Inputs!$B$13))</f>
        <v>1</v>
      </c>
      <c r="T6" s="0" t="n">
        <f aca="false">MIN(1,T$3/(Inputs!$B$12+Inputs!$B$13))</f>
        <v>1</v>
      </c>
      <c r="U6" s="0" t="n">
        <f aca="false">MIN(1,U$3/(Inputs!$B$12+Inputs!$B$13))</f>
        <v>1</v>
      </c>
      <c r="V6" s="0" t="n">
        <f aca="false">MIN(1,V$3/(Inputs!$B$12+Inputs!$B$13))</f>
        <v>1</v>
      </c>
      <c r="W6" s="0" t="n">
        <f aca="false">MIN(1,W$3/(Inputs!$B$12+Inputs!$B$13))</f>
        <v>1</v>
      </c>
      <c r="X6" s="0" t="n">
        <f aca="false">MIN(1,X$3/(Inputs!$B$12+Inputs!$B$13))</f>
        <v>1</v>
      </c>
      <c r="Y6" s="0" t="n">
        <f aca="false">MIN(1,Y$3/(Inputs!$B$12+Inputs!$B$13))</f>
        <v>1</v>
      </c>
      <c r="Z6" s="0" t="n">
        <f aca="false">MIN(1,Z$3/(Inputs!$B$12+Inputs!$B$13))</f>
        <v>1</v>
      </c>
      <c r="AA6" s="0" t="n">
        <f aca="false">MIN(1,AA$3/(Inputs!$B$12+Inputs!$B$13))</f>
        <v>1</v>
      </c>
      <c r="AB6" s="0" t="n">
        <f aca="false">MIN(1,AB$3/(Inputs!$B$12+Inputs!$B$13))</f>
        <v>1</v>
      </c>
      <c r="AC6" s="0" t="n">
        <f aca="false">MIN(1,AC$3/(Inputs!$B$12+Inputs!$B$13))</f>
        <v>1</v>
      </c>
      <c r="AD6" s="0" t="n">
        <f aca="false">MIN(1,AD$3/(Inputs!$B$12+Inputs!$B$13))</f>
        <v>1</v>
      </c>
      <c r="AE6" s="0" t="n">
        <f aca="false">MIN(1,AE$3/(Inputs!$B$12+Inputs!$B$13))</f>
        <v>1</v>
      </c>
      <c r="AF6" s="0" t="n">
        <f aca="false">MIN(1,AF$3/(Inputs!$B$12+Inputs!$B$13))</f>
        <v>1</v>
      </c>
      <c r="AG6" s="0" t="n">
        <f aca="false">MIN(1,AG$3/(Inputs!$B$12+Inputs!$B$13))</f>
        <v>1</v>
      </c>
      <c r="AH6" s="0" t="n">
        <f aca="false">MIN(1,AH$3/(Inputs!$B$12+Inputs!$B$13))</f>
        <v>1</v>
      </c>
      <c r="AI6" s="0" t="n">
        <f aca="false">MIN(1,AI$3/(Inputs!$B$12+Inputs!$B$13))</f>
        <v>1</v>
      </c>
      <c r="AJ6" s="0" t="n">
        <f aca="false">MIN(1,AJ$3/(Inputs!$B$12+Inputs!$B$13))</f>
        <v>1</v>
      </c>
      <c r="AK6" s="0" t="n">
        <f aca="false">MIN(1,AK$3/(Inputs!$B$12+Inputs!$B$13))</f>
        <v>1</v>
      </c>
      <c r="AL6" s="0" t="n">
        <f aca="false">MIN(1,AL$3/(Inputs!$B$12+Inputs!$B$13))</f>
        <v>1</v>
      </c>
      <c r="AM6" s="0" t="n">
        <f aca="false">MIN(1,AM$3/(Inputs!$B$12+Inputs!$B$13))</f>
        <v>1</v>
      </c>
      <c r="AN6" s="0" t="n">
        <f aca="false">MIN(1,AN$3/(Inputs!$B$12+Inputs!$B$13))</f>
        <v>1</v>
      </c>
      <c r="AO6" s="0" t="n">
        <f aca="false">MIN(1,AO$3/(Inputs!$B$12+Inputs!$B$13))</f>
        <v>1</v>
      </c>
      <c r="AP6" s="0" t="n">
        <f aca="false">MIN(1,AP$3/(Inputs!$B$12+Inputs!$B$13))</f>
        <v>1</v>
      </c>
      <c r="AQ6" s="0" t="n">
        <f aca="false">MIN(1,AQ$3/(Inputs!$B$12+Inputs!$B$13))</f>
        <v>1</v>
      </c>
      <c r="AR6" s="0" t="n">
        <f aca="false">MIN(1,AR$3/(Inputs!$B$12+Inputs!$B$13))</f>
        <v>1</v>
      </c>
      <c r="AS6" s="0" t="n">
        <f aca="false">MIN(1,AS$3/(Inputs!$B$12+Inputs!$B$13))</f>
        <v>1</v>
      </c>
      <c r="AT6" s="0" t="n">
        <f aca="false">MIN(1,AT$3/(Inputs!$B$12+Inputs!$B$13))</f>
        <v>1</v>
      </c>
      <c r="AU6" s="0" t="n">
        <f aca="false">MIN(1,AU$3/(Inputs!$B$12+Inputs!$B$13))</f>
        <v>1</v>
      </c>
      <c r="AV6" s="0" t="n">
        <f aca="false">MIN(1,AV$3/(Inputs!$B$12+Inputs!$B$13))</f>
        <v>1</v>
      </c>
      <c r="AW6" s="0" t="n">
        <f aca="false">MIN(1,AW$3/(Inputs!$B$12+Inputs!$B$13))</f>
        <v>1</v>
      </c>
      <c r="AX6" s="0" t="n">
        <f aca="false">MIN(1,AX$3/(Inputs!$B$12+Inputs!$B$13))</f>
        <v>1</v>
      </c>
      <c r="AY6" s="0" t="n">
        <f aca="false">MIN(1,AY$3/(Inputs!$B$12+Inputs!$B$13))</f>
        <v>1</v>
      </c>
      <c r="AZ6" s="0" t="n">
        <f aca="false">MIN(1,AZ$3/(Inputs!$B$12+Inputs!$B$13))</f>
        <v>1</v>
      </c>
      <c r="BA6" s="0" t="n">
        <f aca="false">MIN(1,BA$3/(Inputs!$B$12+Inputs!$B$13))</f>
        <v>1</v>
      </c>
      <c r="BB6" s="0" t="n">
        <f aca="false">MIN(1,BB$3/(Inputs!$B$12+Inputs!$B$13))</f>
        <v>1</v>
      </c>
    </row>
    <row r="7" customFormat="false" ht="15" hidden="false" customHeight="false" outlineLevel="0" collapsed="false">
      <c r="A7" s="0" t="s">
        <v>28</v>
      </c>
      <c r="B7" s="0" t="n">
        <f aca="false">VLOOKUP(B6,Curve!$A$2:$B$12,2)</f>
        <v>0</v>
      </c>
      <c r="C7" s="0" t="n">
        <f aca="false">VLOOKUP(C6,Curve!$A$2:$B$12,2)</f>
        <v>0.04</v>
      </c>
      <c r="D7" s="0" t="n">
        <f aca="false">VLOOKUP(D6,Curve!$A$2:$B$12,2)</f>
        <v>0.11</v>
      </c>
      <c r="E7" s="0" t="n">
        <f aca="false">VLOOKUP(E6,Curve!$A$2:$B$12,2)</f>
        <v>0.21</v>
      </c>
      <c r="F7" s="0" t="n">
        <f aca="false">VLOOKUP(F6,Curve!$A$2:$B$12,2)</f>
        <v>0.33</v>
      </c>
      <c r="G7" s="0" t="n">
        <f aca="false">VLOOKUP(G6,Curve!$A$2:$B$12,2)</f>
        <v>0.46</v>
      </c>
      <c r="H7" s="0" t="n">
        <f aca="false">VLOOKUP(H6,Curve!$A$2:$B$12,2)</f>
        <v>0.59</v>
      </c>
      <c r="I7" s="0" t="n">
        <f aca="false">VLOOKUP(I6,Curve!$A$2:$B$12,2)</f>
        <v>0.71</v>
      </c>
      <c r="J7" s="0" t="n">
        <f aca="false">VLOOKUP(J6,Curve!$A$2:$B$12,2)</f>
        <v>0.82</v>
      </c>
      <c r="K7" s="0" t="n">
        <f aca="false">VLOOKUP(K6,Curve!$A$2:$B$12,2)</f>
        <v>1</v>
      </c>
      <c r="L7" s="0" t="n">
        <f aca="false">VLOOKUP(L6,Curve!$A$2:$B$12,2)</f>
        <v>1</v>
      </c>
      <c r="M7" s="0" t="n">
        <f aca="false">VLOOKUP(M6,Curve!$A$2:$B$12,2)</f>
        <v>1</v>
      </c>
      <c r="N7" s="0" t="n">
        <f aca="false">VLOOKUP(N6,Curve!$A$2:$B$12,2)</f>
        <v>1</v>
      </c>
      <c r="O7" s="0" t="n">
        <f aca="false">VLOOKUP(O6,Curve!$A$2:$B$12,2)</f>
        <v>1</v>
      </c>
      <c r="P7" s="0" t="n">
        <f aca="false">VLOOKUP(P6,Curve!$A$2:$B$12,2)</f>
        <v>1</v>
      </c>
      <c r="Q7" s="0" t="n">
        <f aca="false">VLOOKUP(Q6,Curve!$A$2:$B$12,2)</f>
        <v>1</v>
      </c>
      <c r="R7" s="0" t="n">
        <f aca="false">VLOOKUP(R6,Curve!$A$2:$B$12,2)</f>
        <v>1</v>
      </c>
      <c r="S7" s="0" t="n">
        <f aca="false">VLOOKUP(S6,Curve!$A$2:$B$12,2)</f>
        <v>1</v>
      </c>
      <c r="T7" s="0" t="n">
        <f aca="false">VLOOKUP(T6,Curve!$A$2:$B$12,2)</f>
        <v>1</v>
      </c>
      <c r="U7" s="0" t="n">
        <f aca="false">VLOOKUP(U6,Curve!$A$2:$B$12,2)</f>
        <v>1</v>
      </c>
      <c r="V7" s="0" t="n">
        <f aca="false">VLOOKUP(V6,Curve!$A$2:$B$12,2)</f>
        <v>1</v>
      </c>
      <c r="W7" s="0" t="n">
        <f aca="false">VLOOKUP(W6,Curve!$A$2:$B$12,2)</f>
        <v>1</v>
      </c>
      <c r="X7" s="0" t="n">
        <f aca="false">VLOOKUP(X6,Curve!$A$2:$B$12,2)</f>
        <v>1</v>
      </c>
      <c r="Y7" s="0" t="n">
        <f aca="false">VLOOKUP(Y6,Curve!$A$2:$B$12,2)</f>
        <v>1</v>
      </c>
      <c r="Z7" s="0" t="n">
        <f aca="false">VLOOKUP(Z6,Curve!$A$2:$B$12,2)</f>
        <v>1</v>
      </c>
      <c r="AA7" s="0" t="n">
        <f aca="false">VLOOKUP(AA6,Curve!$A$2:$B$12,2)</f>
        <v>1</v>
      </c>
      <c r="AB7" s="0" t="n">
        <f aca="false">VLOOKUP(AB6,Curve!$A$2:$B$12,2)</f>
        <v>1</v>
      </c>
      <c r="AC7" s="0" t="n">
        <f aca="false">VLOOKUP(AC6,Curve!$A$2:$B$12,2)</f>
        <v>1</v>
      </c>
      <c r="AD7" s="0" t="n">
        <f aca="false">VLOOKUP(AD6,Curve!$A$2:$B$12,2)</f>
        <v>1</v>
      </c>
      <c r="AE7" s="0" t="n">
        <f aca="false">VLOOKUP(AE6,Curve!$A$2:$B$12,2)</f>
        <v>1</v>
      </c>
      <c r="AF7" s="0" t="n">
        <f aca="false">VLOOKUP(AF6,Curve!$A$2:$B$12,2)</f>
        <v>1</v>
      </c>
      <c r="AG7" s="0" t="n">
        <f aca="false">VLOOKUP(AG6,Curve!$A$2:$B$12,2)</f>
        <v>1</v>
      </c>
      <c r="AH7" s="0" t="n">
        <f aca="false">VLOOKUP(AH6,Curve!$A$2:$B$12,2)</f>
        <v>1</v>
      </c>
      <c r="AI7" s="0" t="n">
        <f aca="false">VLOOKUP(AI6,Curve!$A$2:$B$12,2)</f>
        <v>1</v>
      </c>
      <c r="AJ7" s="0" t="n">
        <f aca="false">VLOOKUP(AJ6,Curve!$A$2:$B$12,2)</f>
        <v>1</v>
      </c>
      <c r="AK7" s="0" t="n">
        <f aca="false">VLOOKUP(AK6,Curve!$A$2:$B$12,2)</f>
        <v>1</v>
      </c>
      <c r="AL7" s="0" t="n">
        <f aca="false">VLOOKUP(AL6,Curve!$A$2:$B$12,2)</f>
        <v>1</v>
      </c>
      <c r="AM7" s="0" t="n">
        <f aca="false">VLOOKUP(AM6,Curve!$A$2:$B$12,2)</f>
        <v>1</v>
      </c>
      <c r="AN7" s="0" t="n">
        <f aca="false">VLOOKUP(AN6,Curve!$A$2:$B$12,2)</f>
        <v>1</v>
      </c>
      <c r="AO7" s="0" t="n">
        <f aca="false">VLOOKUP(AO6,Curve!$A$2:$B$12,2)</f>
        <v>1</v>
      </c>
      <c r="AP7" s="0" t="n">
        <f aca="false">VLOOKUP(AP6,Curve!$A$2:$B$12,2)</f>
        <v>1</v>
      </c>
      <c r="AQ7" s="0" t="n">
        <f aca="false">VLOOKUP(AQ6,Curve!$A$2:$B$12,2)</f>
        <v>1</v>
      </c>
      <c r="AR7" s="0" t="n">
        <f aca="false">VLOOKUP(AR6,Curve!$A$2:$B$12,2)</f>
        <v>1</v>
      </c>
      <c r="AS7" s="0" t="n">
        <f aca="false">VLOOKUP(AS6,Curve!$A$2:$B$12,2)</f>
        <v>1</v>
      </c>
      <c r="AT7" s="0" t="n">
        <f aca="false">VLOOKUP(AT6,Curve!$A$2:$B$12,2)</f>
        <v>1</v>
      </c>
      <c r="AU7" s="0" t="n">
        <f aca="false">VLOOKUP(AU6,Curve!$A$2:$B$12,2)</f>
        <v>1</v>
      </c>
      <c r="AV7" s="0" t="n">
        <f aca="false">VLOOKUP(AV6,Curve!$A$2:$B$12,2)</f>
        <v>1</v>
      </c>
      <c r="AW7" s="0" t="n">
        <f aca="false">VLOOKUP(AW6,Curve!$A$2:$B$12,2)</f>
        <v>1</v>
      </c>
      <c r="AX7" s="0" t="n">
        <f aca="false">VLOOKUP(AX6,Curve!$A$2:$B$12,2)</f>
        <v>1</v>
      </c>
      <c r="AY7" s="0" t="n">
        <f aca="false">VLOOKUP(AY6,Curve!$A$2:$B$12,2)</f>
        <v>1</v>
      </c>
      <c r="AZ7" s="0" t="n">
        <f aca="false">VLOOKUP(AZ6,Curve!$A$2:$B$12,2)</f>
        <v>1</v>
      </c>
      <c r="BA7" s="0" t="n">
        <f aca="false">VLOOKUP(BA6,Curve!$A$2:$B$12,2)</f>
        <v>1</v>
      </c>
      <c r="BB7" s="0" t="n">
        <f aca="false">VLOOKUP(BB6,Curve!$A$2:$B$12,2)</f>
        <v>1</v>
      </c>
    </row>
    <row r="8" customFormat="false" ht="15" hidden="false" customHeight="false" outlineLevel="0" collapsed="false">
      <c r="A8" s="0" t="s">
        <v>29</v>
      </c>
      <c r="B8" s="0" t="n">
        <f aca="false">0</f>
        <v>0</v>
      </c>
      <c r="C8" s="0" t="n">
        <f aca="false">IF(C$3&lt;=(Inputs!$B$12+Inputs!$B$13),Inputs!$B$11*(C7-B7),0)</f>
        <v>3440000</v>
      </c>
      <c r="D8" s="0" t="n">
        <f aca="false">IF(D$3&lt;=(Inputs!$B$12+Inputs!$B$13),Inputs!$B$11*(D7-C7),0)</f>
        <v>6020000</v>
      </c>
      <c r="E8" s="0" t="n">
        <f aca="false">IF(E$3&lt;=(Inputs!$B$12+Inputs!$B$13),Inputs!$B$11*(E7-D7),0)</f>
        <v>8600000</v>
      </c>
      <c r="F8" s="0" t="n">
        <f aca="false">IF(F$3&lt;=(Inputs!$B$12+Inputs!$B$13),Inputs!$B$11*(F7-E7),0)</f>
        <v>10320000</v>
      </c>
      <c r="G8" s="0" t="n">
        <f aca="false">IF(G$3&lt;=(Inputs!$B$12+Inputs!$B$13),Inputs!$B$11*(G7-F7),0)</f>
        <v>11180000</v>
      </c>
      <c r="H8" s="0" t="n">
        <f aca="false">IF(H$3&lt;=(Inputs!$B$12+Inputs!$B$13),Inputs!$B$11*(H7-G7),0)</f>
        <v>11180000</v>
      </c>
      <c r="I8" s="0" t="n">
        <f aca="false">IF(I$3&lt;=(Inputs!$B$12+Inputs!$B$13),Inputs!$B$11*(I7-H7),0)</f>
        <v>10320000</v>
      </c>
      <c r="J8" s="0" t="n">
        <f aca="false">IF(J$3&lt;=(Inputs!$B$12+Inputs!$B$13),Inputs!$B$11*(J7-I7),0)</f>
        <v>9460000</v>
      </c>
      <c r="K8" s="0" t="n">
        <f aca="false">IF(K$3&lt;=(Inputs!$B$12+Inputs!$B$13),Inputs!$B$11*(K7-J7),0)</f>
        <v>15480000</v>
      </c>
      <c r="L8" s="0" t="n">
        <f aca="false">IF(L$3&lt;=(Inputs!$B$12+Inputs!$B$13),Inputs!$B$11*(L7-K7),0)</f>
        <v>0</v>
      </c>
      <c r="M8" s="0" t="n">
        <f aca="false">IF(M$3&lt;=(Inputs!$B$12+Inputs!$B$13),Inputs!$B$11*(M7-L7),0)</f>
        <v>0</v>
      </c>
      <c r="N8" s="0" t="n">
        <f aca="false">IF(N$3&lt;=(Inputs!$B$12+Inputs!$B$13),Inputs!$B$11*(N7-M7),0)</f>
        <v>0</v>
      </c>
      <c r="O8" s="0" t="n">
        <f aca="false">IF(O$3&lt;=(Inputs!$B$12+Inputs!$B$13),Inputs!$B$11*(O7-N7),0)</f>
        <v>0</v>
      </c>
      <c r="P8" s="0" t="n">
        <f aca="false">IF(P$3&lt;=(Inputs!$B$12+Inputs!$B$13),Inputs!$B$11*(P7-O7),0)</f>
        <v>0</v>
      </c>
      <c r="Q8" s="0" t="n">
        <f aca="false">IF(Q$3&lt;=(Inputs!$B$12+Inputs!$B$13),Inputs!$B$11*(Q7-P7),0)</f>
        <v>0</v>
      </c>
      <c r="R8" s="0" t="n">
        <f aca="false">IF(R$3&lt;=(Inputs!$B$12+Inputs!$B$13),Inputs!$B$11*(R7-Q7),0)</f>
        <v>0</v>
      </c>
      <c r="S8" s="0" t="n">
        <f aca="false">IF(S$3&lt;=(Inputs!$B$12+Inputs!$B$13),Inputs!$B$11*(S7-R7),0)</f>
        <v>0</v>
      </c>
      <c r="T8" s="0" t="n">
        <f aca="false">IF(T$3&lt;=(Inputs!$B$12+Inputs!$B$13),Inputs!$B$11*(T7-S7),0)</f>
        <v>0</v>
      </c>
      <c r="U8" s="0" t="n">
        <f aca="false">IF(U$3&lt;=(Inputs!$B$12+Inputs!$B$13),Inputs!$B$11*(U7-T7),0)</f>
        <v>0</v>
      </c>
      <c r="V8" s="0" t="n">
        <f aca="false">IF(V$3&lt;=(Inputs!$B$12+Inputs!$B$13),Inputs!$B$11*(V7-U7),0)</f>
        <v>0</v>
      </c>
      <c r="W8" s="0" t="n">
        <f aca="false">IF(W$3&lt;=(Inputs!$B$12+Inputs!$B$13),Inputs!$B$11*(W7-V7),0)</f>
        <v>0</v>
      </c>
      <c r="X8" s="0" t="n">
        <f aca="false">IF(X$3&lt;=(Inputs!$B$12+Inputs!$B$13),Inputs!$B$11*(X7-W7),0)</f>
        <v>0</v>
      </c>
      <c r="Y8" s="0" t="n">
        <f aca="false">IF(Y$3&lt;=(Inputs!$B$12+Inputs!$B$13),Inputs!$B$11*(Y7-X7),0)</f>
        <v>0</v>
      </c>
      <c r="Z8" s="0" t="n">
        <f aca="false">IF(Z$3&lt;=(Inputs!$B$12+Inputs!$B$13),Inputs!$B$11*(Z7-Y7),0)</f>
        <v>0</v>
      </c>
      <c r="AA8" s="0" t="n">
        <f aca="false">IF(AA$3&lt;=(Inputs!$B$12+Inputs!$B$13),Inputs!$B$11*(AA7-Z7),0)</f>
        <v>0</v>
      </c>
      <c r="AB8" s="0" t="n">
        <f aca="false">IF(AB$3&lt;=(Inputs!$B$12+Inputs!$B$13),Inputs!$B$11*(AB7-AA7),0)</f>
        <v>0</v>
      </c>
      <c r="AC8" s="0" t="n">
        <f aca="false">IF(AC$3&lt;=(Inputs!$B$12+Inputs!$B$13),Inputs!$B$11*(AC7-AB7),0)</f>
        <v>0</v>
      </c>
      <c r="AD8" s="0" t="n">
        <f aca="false">IF(AD$3&lt;=(Inputs!$B$12+Inputs!$B$13),Inputs!$B$11*(AD7-AC7),0)</f>
        <v>0</v>
      </c>
      <c r="AE8" s="0" t="n">
        <f aca="false">IF(AE$3&lt;=(Inputs!$B$12+Inputs!$B$13),Inputs!$B$11*(AE7-AD7),0)</f>
        <v>0</v>
      </c>
      <c r="AF8" s="0" t="n">
        <f aca="false">IF(AF$3&lt;=(Inputs!$B$12+Inputs!$B$13),Inputs!$B$11*(AF7-AE7),0)</f>
        <v>0</v>
      </c>
      <c r="AG8" s="0" t="n">
        <f aca="false">IF(AG$3&lt;=(Inputs!$B$12+Inputs!$B$13),Inputs!$B$11*(AG7-AF7),0)</f>
        <v>0</v>
      </c>
      <c r="AH8" s="0" t="n">
        <f aca="false">IF(AH$3&lt;=(Inputs!$B$12+Inputs!$B$13),Inputs!$B$11*(AH7-AG7),0)</f>
        <v>0</v>
      </c>
      <c r="AI8" s="0" t="n">
        <f aca="false">IF(AI$3&lt;=(Inputs!$B$12+Inputs!$B$13),Inputs!$B$11*(AI7-AH7),0)</f>
        <v>0</v>
      </c>
      <c r="AJ8" s="0" t="n">
        <f aca="false">IF(AJ$3&lt;=(Inputs!$B$12+Inputs!$B$13),Inputs!$B$11*(AJ7-AI7),0)</f>
        <v>0</v>
      </c>
      <c r="AK8" s="0" t="n">
        <f aca="false">IF(AK$3&lt;=(Inputs!$B$12+Inputs!$B$13),Inputs!$B$11*(AK7-AJ7),0)</f>
        <v>0</v>
      </c>
      <c r="AL8" s="0" t="n">
        <f aca="false">IF(AL$3&lt;=(Inputs!$B$12+Inputs!$B$13),Inputs!$B$11*(AL7-AK7),0)</f>
        <v>0</v>
      </c>
      <c r="AM8" s="0" t="n">
        <f aca="false">IF(AM$3&lt;=(Inputs!$B$12+Inputs!$B$13),Inputs!$B$11*(AM7-AL7),0)</f>
        <v>0</v>
      </c>
      <c r="AN8" s="0" t="n">
        <f aca="false">IF(AN$3&lt;=(Inputs!$B$12+Inputs!$B$13),Inputs!$B$11*(AN7-AM7),0)</f>
        <v>0</v>
      </c>
      <c r="AO8" s="0" t="n">
        <f aca="false">IF(AO$3&lt;=(Inputs!$B$12+Inputs!$B$13),Inputs!$B$11*(AO7-AN7),0)</f>
        <v>0</v>
      </c>
      <c r="AP8" s="0" t="n">
        <f aca="false">IF(AP$3&lt;=(Inputs!$B$12+Inputs!$B$13),Inputs!$B$11*(AP7-AO7),0)</f>
        <v>0</v>
      </c>
      <c r="AQ8" s="0" t="n">
        <f aca="false">IF(AQ$3&lt;=(Inputs!$B$12+Inputs!$B$13),Inputs!$B$11*(AQ7-AP7),0)</f>
        <v>0</v>
      </c>
      <c r="AR8" s="0" t="n">
        <f aca="false">IF(AR$3&lt;=(Inputs!$B$12+Inputs!$B$13),Inputs!$B$11*(AR7-AQ7),0)</f>
        <v>0</v>
      </c>
      <c r="AS8" s="0" t="n">
        <f aca="false">IF(AS$3&lt;=(Inputs!$B$12+Inputs!$B$13),Inputs!$B$11*(AS7-AR7),0)</f>
        <v>0</v>
      </c>
      <c r="AT8" s="0" t="n">
        <f aca="false">IF(AT$3&lt;=(Inputs!$B$12+Inputs!$B$13),Inputs!$B$11*(AT7-AS7),0)</f>
        <v>0</v>
      </c>
      <c r="AU8" s="0" t="n">
        <f aca="false">IF(AU$3&lt;=(Inputs!$B$12+Inputs!$B$13),Inputs!$B$11*(AU7-AT7),0)</f>
        <v>0</v>
      </c>
      <c r="AV8" s="0" t="n">
        <f aca="false">IF(AV$3&lt;=(Inputs!$B$12+Inputs!$B$13),Inputs!$B$11*(AV7-AU7),0)</f>
        <v>0</v>
      </c>
      <c r="AW8" s="0" t="n">
        <f aca="false">IF(AW$3&lt;=(Inputs!$B$12+Inputs!$B$13),Inputs!$B$11*(AW7-AV7),0)</f>
        <v>0</v>
      </c>
      <c r="AX8" s="0" t="n">
        <f aca="false">IF(AX$3&lt;=(Inputs!$B$12+Inputs!$B$13),Inputs!$B$11*(AX7-AW7),0)</f>
        <v>0</v>
      </c>
      <c r="AY8" s="0" t="n">
        <f aca="false">IF(AY$3&lt;=(Inputs!$B$12+Inputs!$B$13),Inputs!$B$11*(AY7-AX7),0)</f>
        <v>0</v>
      </c>
      <c r="AZ8" s="0" t="n">
        <f aca="false">IF(AZ$3&lt;=(Inputs!$B$12+Inputs!$B$13),Inputs!$B$11*(AZ7-AY7),0)</f>
        <v>0</v>
      </c>
      <c r="BA8" s="0" t="n">
        <f aca="false">IF(BA$3&lt;=(Inputs!$B$12+Inputs!$B$13),Inputs!$B$11*(BA7-AZ7),0)</f>
        <v>0</v>
      </c>
      <c r="BB8" s="0" t="n">
        <f aca="false">IF(BB$3&lt;=(Inputs!$B$12+Inputs!$B$13),Inputs!$B$11*(BB7-BA7),0)</f>
        <v>0</v>
      </c>
    </row>
    <row r="9" customFormat="false" ht="15" hidden="false" customHeight="false" outlineLevel="0" collapsed="false">
      <c r="A9" s="0" t="s">
        <v>30</v>
      </c>
      <c r="B9" s="2" t="n">
        <f aca="false">IF(B$3=0,Inputs!$B$4,0)</f>
        <v>18000000</v>
      </c>
      <c r="C9" s="5" t="n">
        <f aca="false">IF(C$3=0,Inputs!$B$4,0)</f>
        <v>0</v>
      </c>
      <c r="D9" s="5" t="n">
        <f aca="false">IF(D$3=0,Inputs!$B$4,0)</f>
        <v>0</v>
      </c>
      <c r="E9" s="5" t="n">
        <f aca="false">IF(E$3=0,Inputs!$B$4,0)</f>
        <v>0</v>
      </c>
      <c r="F9" s="5" t="n">
        <f aca="false">IF(F$3=0,Inputs!$B$4,0)</f>
        <v>0</v>
      </c>
      <c r="G9" s="5" t="n">
        <f aca="false">IF(G$3=0,Inputs!$B$4,0)</f>
        <v>0</v>
      </c>
      <c r="H9" s="5" t="n">
        <f aca="false">IF(H$3=0,Inputs!$B$4,0)</f>
        <v>0</v>
      </c>
      <c r="I9" s="5" t="n">
        <f aca="false">IF(I$3=0,Inputs!$B$4,0)</f>
        <v>0</v>
      </c>
      <c r="J9" s="5" t="n">
        <f aca="false">IF(J$3=0,Inputs!$B$4,0)</f>
        <v>0</v>
      </c>
      <c r="K9" s="5" t="n">
        <f aca="false">IF(K$3=0,Inputs!$B$4,0)</f>
        <v>0</v>
      </c>
      <c r="L9" s="5" t="n">
        <f aca="false">IF(L$3=0,Inputs!$B$4,0)</f>
        <v>0</v>
      </c>
      <c r="M9" s="5" t="n">
        <f aca="false">IF(M$3=0,Inputs!$B$4,0)</f>
        <v>0</v>
      </c>
      <c r="N9" s="5" t="n">
        <f aca="false">IF(N$3=0,Inputs!$B$4,0)</f>
        <v>0</v>
      </c>
      <c r="O9" s="5" t="n">
        <f aca="false">IF(O$3=0,Inputs!$B$4,0)</f>
        <v>0</v>
      </c>
      <c r="P9" s="5" t="n">
        <f aca="false">IF(P$3=0,Inputs!$B$4,0)</f>
        <v>0</v>
      </c>
      <c r="Q9" s="5" t="n">
        <f aca="false">IF(Q$3=0,Inputs!$B$4,0)</f>
        <v>0</v>
      </c>
      <c r="R9" s="5" t="n">
        <f aca="false">IF(R$3=0,Inputs!$B$4,0)</f>
        <v>0</v>
      </c>
      <c r="S9" s="5" t="n">
        <f aca="false">IF(S$3=0,Inputs!$B$4,0)</f>
        <v>0</v>
      </c>
      <c r="T9" s="5" t="n">
        <f aca="false">IF(T$3=0,Inputs!$B$4,0)</f>
        <v>0</v>
      </c>
      <c r="U9" s="5" t="n">
        <f aca="false">IF(U$3=0,Inputs!$B$4,0)</f>
        <v>0</v>
      </c>
      <c r="V9" s="5" t="n">
        <f aca="false">IF(V$3=0,Inputs!$B$4,0)</f>
        <v>0</v>
      </c>
      <c r="W9" s="5" t="n">
        <f aca="false">IF(W$3=0,Inputs!$B$4,0)</f>
        <v>0</v>
      </c>
      <c r="X9" s="5" t="n">
        <f aca="false">IF(X$3=0,Inputs!$B$4,0)</f>
        <v>0</v>
      </c>
      <c r="Y9" s="5" t="n">
        <f aca="false">IF(Y$3=0,Inputs!$B$4,0)</f>
        <v>0</v>
      </c>
      <c r="Z9" s="5" t="n">
        <f aca="false">IF(Z$3=0,Inputs!$B$4,0)</f>
        <v>0</v>
      </c>
      <c r="AA9" s="5" t="n">
        <f aca="false">IF(AA$3=0,Inputs!$B$4,0)</f>
        <v>0</v>
      </c>
      <c r="AB9" s="5" t="n">
        <f aca="false">IF(AB$3=0,Inputs!$B$4,0)</f>
        <v>0</v>
      </c>
      <c r="AC9" s="5" t="n">
        <f aca="false">IF(AC$3=0,Inputs!$B$4,0)</f>
        <v>0</v>
      </c>
      <c r="AD9" s="5" t="n">
        <f aca="false">IF(AD$3=0,Inputs!$B$4,0)</f>
        <v>0</v>
      </c>
      <c r="AE9" s="5" t="n">
        <f aca="false">IF(AE$3=0,Inputs!$B$4,0)</f>
        <v>0</v>
      </c>
      <c r="AF9" s="5" t="n">
        <f aca="false">IF(AF$3=0,Inputs!$B$4,0)</f>
        <v>0</v>
      </c>
      <c r="AG9" s="5" t="n">
        <f aca="false">IF(AG$3=0,Inputs!$B$4,0)</f>
        <v>0</v>
      </c>
      <c r="AH9" s="5" t="n">
        <f aca="false">IF(AH$3=0,Inputs!$B$4,0)</f>
        <v>0</v>
      </c>
      <c r="AI9" s="5" t="n">
        <f aca="false">IF(AI$3=0,Inputs!$B$4,0)</f>
        <v>0</v>
      </c>
      <c r="AJ9" s="5" t="n">
        <f aca="false">IF(AJ$3=0,Inputs!$B$4,0)</f>
        <v>0</v>
      </c>
      <c r="AK9" s="5" t="n">
        <f aca="false">IF(AK$3=0,Inputs!$B$4,0)</f>
        <v>0</v>
      </c>
      <c r="AL9" s="5" t="n">
        <f aca="false">IF(AL$3=0,Inputs!$B$4,0)</f>
        <v>0</v>
      </c>
      <c r="AM9" s="5" t="n">
        <f aca="false">IF(AM$3=0,Inputs!$B$4,0)</f>
        <v>0</v>
      </c>
      <c r="AN9" s="5" t="n">
        <f aca="false">IF(AN$3=0,Inputs!$B$4,0)</f>
        <v>0</v>
      </c>
      <c r="AO9" s="5" t="n">
        <f aca="false">IF(AO$3=0,Inputs!$B$4,0)</f>
        <v>0</v>
      </c>
      <c r="AP9" s="5" t="n">
        <f aca="false">IF(AP$3=0,Inputs!$B$4,0)</f>
        <v>0</v>
      </c>
      <c r="AQ9" s="5" t="n">
        <f aca="false">IF(AQ$3=0,Inputs!$B$4,0)</f>
        <v>0</v>
      </c>
      <c r="AR9" s="5" t="n">
        <f aca="false">IF(AR$3=0,Inputs!$B$4,0)</f>
        <v>0</v>
      </c>
      <c r="AS9" s="5" t="n">
        <f aca="false">IF(AS$3=0,Inputs!$B$4,0)</f>
        <v>0</v>
      </c>
      <c r="AT9" s="5" t="n">
        <f aca="false">IF(AT$3=0,Inputs!$B$4,0)</f>
        <v>0</v>
      </c>
      <c r="AU9" s="5" t="n">
        <f aca="false">IF(AU$3=0,Inputs!$B$4,0)</f>
        <v>0</v>
      </c>
      <c r="AV9" s="5" t="n">
        <f aca="false">IF(AV$3=0,Inputs!$B$4,0)</f>
        <v>0</v>
      </c>
      <c r="AW9" s="5" t="n">
        <f aca="false">IF(AW$3=0,Inputs!$B$4,0)</f>
        <v>0</v>
      </c>
      <c r="AX9" s="5" t="n">
        <f aca="false">IF(AX$3=0,Inputs!$B$4,0)</f>
        <v>0</v>
      </c>
      <c r="AY9" s="5" t="n">
        <f aca="false">IF(AY$3=0,Inputs!$B$4,0)</f>
        <v>0</v>
      </c>
      <c r="AZ9" s="5" t="n">
        <f aca="false">IF(AZ$3=0,Inputs!$B$4,0)</f>
        <v>0</v>
      </c>
      <c r="BA9" s="5" t="n">
        <f aca="false">IF(BA$3=0,Inputs!$B$4,0)</f>
        <v>0</v>
      </c>
      <c r="BB9" s="5" t="n">
        <f aca="false">IF(BB$3=0,Inputs!$B$4,0)</f>
        <v>0</v>
      </c>
    </row>
    <row r="10" customFormat="false" ht="15" hidden="false" customHeight="false" outlineLevel="0" collapsed="false">
      <c r="A10" s="0" t="s">
        <v>31</v>
      </c>
      <c r="B10" s="0" t="n">
        <f aca="false">SUM($B$8:B8)+Inputs!$B$4</f>
        <v>18000000</v>
      </c>
      <c r="C10" s="0" t="n">
        <f aca="false">SUM($B$8:C8)+Inputs!$B$4</f>
        <v>21440000</v>
      </c>
      <c r="D10" s="0" t="n">
        <f aca="false">SUM($B$8:D8)+Inputs!$B$4</f>
        <v>27460000</v>
      </c>
      <c r="E10" s="0" t="n">
        <f aca="false">SUM($B$8:E8)+Inputs!$B$4</f>
        <v>36060000</v>
      </c>
      <c r="F10" s="0" t="n">
        <f aca="false">SUM($B$8:F8)+Inputs!$B$4</f>
        <v>46380000</v>
      </c>
      <c r="G10" s="0" t="n">
        <f aca="false">SUM($B$8:G8)+Inputs!$B$4</f>
        <v>57560000</v>
      </c>
      <c r="H10" s="0" t="n">
        <f aca="false">SUM($B$8:H8)+Inputs!$B$4</f>
        <v>68740000</v>
      </c>
      <c r="I10" s="0" t="n">
        <f aca="false">SUM($B$8:I8)+Inputs!$B$4</f>
        <v>79060000</v>
      </c>
      <c r="J10" s="0" t="n">
        <f aca="false">SUM($B$8:J8)+Inputs!$B$4</f>
        <v>88520000</v>
      </c>
      <c r="K10" s="0" t="n">
        <f aca="false">SUM($B$8:K8)+Inputs!$B$4</f>
        <v>104000000</v>
      </c>
      <c r="L10" s="0" t="n">
        <f aca="false">SUM($B$8:L8)+Inputs!$B$4</f>
        <v>104000000</v>
      </c>
      <c r="M10" s="0" t="n">
        <f aca="false">SUM($B$8:M8)+Inputs!$B$4</f>
        <v>104000000</v>
      </c>
      <c r="N10" s="0" t="n">
        <f aca="false">SUM($B$8:N8)+Inputs!$B$4</f>
        <v>104000000</v>
      </c>
      <c r="O10" s="0" t="n">
        <f aca="false">SUM($B$8:O8)+Inputs!$B$4</f>
        <v>104000000</v>
      </c>
      <c r="P10" s="0" t="n">
        <f aca="false">SUM($B$8:P8)+Inputs!$B$4</f>
        <v>104000000</v>
      </c>
      <c r="Q10" s="0" t="n">
        <f aca="false">SUM($B$8:Q8)+Inputs!$B$4</f>
        <v>104000000</v>
      </c>
      <c r="R10" s="0" t="n">
        <f aca="false">SUM($B$8:R8)+Inputs!$B$4</f>
        <v>104000000</v>
      </c>
      <c r="S10" s="0" t="n">
        <f aca="false">SUM($B$8:S8)+Inputs!$B$4</f>
        <v>104000000</v>
      </c>
      <c r="T10" s="0" t="n">
        <f aca="false">SUM($B$8:T8)+Inputs!$B$4</f>
        <v>104000000</v>
      </c>
      <c r="U10" s="0" t="n">
        <f aca="false">SUM($B$8:U8)+Inputs!$B$4</f>
        <v>104000000</v>
      </c>
      <c r="V10" s="0" t="n">
        <f aca="false">SUM($B$8:V8)+Inputs!$B$4</f>
        <v>104000000</v>
      </c>
      <c r="W10" s="0" t="n">
        <f aca="false">SUM($B$8:W8)+Inputs!$B$4</f>
        <v>104000000</v>
      </c>
      <c r="X10" s="0" t="n">
        <f aca="false">SUM($B$8:X8)+Inputs!$B$4</f>
        <v>104000000</v>
      </c>
      <c r="Y10" s="0" t="n">
        <f aca="false">SUM($B$8:Y8)+Inputs!$B$4</f>
        <v>104000000</v>
      </c>
      <c r="Z10" s="0" t="n">
        <f aca="false">SUM($B$8:Z8)+Inputs!$B$4</f>
        <v>104000000</v>
      </c>
      <c r="AA10" s="0" t="n">
        <f aca="false">SUM($B$8:AA8)+Inputs!$B$4</f>
        <v>104000000</v>
      </c>
      <c r="AB10" s="0" t="n">
        <f aca="false">SUM($B$8:AB8)+Inputs!$B$4</f>
        <v>104000000</v>
      </c>
      <c r="AC10" s="0" t="n">
        <f aca="false">SUM($B$8:AC8)+Inputs!$B$4</f>
        <v>104000000</v>
      </c>
      <c r="AD10" s="0" t="n">
        <f aca="false">SUM($B$8:AD8)+Inputs!$B$4</f>
        <v>104000000</v>
      </c>
      <c r="AE10" s="0" t="n">
        <f aca="false">SUM($B$8:AE8)+Inputs!$B$4</f>
        <v>104000000</v>
      </c>
      <c r="AF10" s="0" t="n">
        <f aca="false">SUM($B$8:AF8)+Inputs!$B$4</f>
        <v>104000000</v>
      </c>
      <c r="AG10" s="0" t="n">
        <f aca="false">SUM($B$8:AG8)+Inputs!$B$4</f>
        <v>104000000</v>
      </c>
      <c r="AH10" s="0" t="n">
        <f aca="false">SUM($B$8:AH8)+Inputs!$B$4</f>
        <v>104000000</v>
      </c>
      <c r="AI10" s="0" t="n">
        <f aca="false">SUM($B$8:AI8)+Inputs!$B$4</f>
        <v>104000000</v>
      </c>
      <c r="AJ10" s="0" t="n">
        <f aca="false">SUM($B$8:AJ8)+Inputs!$B$4</f>
        <v>104000000</v>
      </c>
      <c r="AK10" s="0" t="n">
        <f aca="false">SUM($B$8:AK8)+Inputs!$B$4</f>
        <v>104000000</v>
      </c>
      <c r="AL10" s="0" t="n">
        <f aca="false">SUM($B$8:AL8)+Inputs!$B$4</f>
        <v>104000000</v>
      </c>
      <c r="AM10" s="0" t="n">
        <f aca="false">SUM($B$8:AM8)+Inputs!$B$4</f>
        <v>104000000</v>
      </c>
      <c r="AN10" s="0" t="n">
        <f aca="false">SUM($B$8:AN8)+Inputs!$B$4</f>
        <v>104000000</v>
      </c>
      <c r="AO10" s="0" t="n">
        <f aca="false">SUM($B$8:AO8)+Inputs!$B$4</f>
        <v>104000000</v>
      </c>
      <c r="AP10" s="0" t="n">
        <f aca="false">SUM($B$8:AP8)+Inputs!$B$4</f>
        <v>104000000</v>
      </c>
      <c r="AQ10" s="0" t="n">
        <f aca="false">SUM($B$8:AQ8)+Inputs!$B$4</f>
        <v>104000000</v>
      </c>
      <c r="AR10" s="0" t="n">
        <f aca="false">SUM($B$8:AR8)+Inputs!$B$4</f>
        <v>104000000</v>
      </c>
      <c r="AS10" s="0" t="n">
        <f aca="false">SUM($B$8:AS8)+Inputs!$B$4</f>
        <v>104000000</v>
      </c>
      <c r="AT10" s="0" t="n">
        <f aca="false">SUM($B$8:AT8)+Inputs!$B$4</f>
        <v>104000000</v>
      </c>
      <c r="AU10" s="0" t="n">
        <f aca="false">SUM($B$8:AU8)+Inputs!$B$4</f>
        <v>104000000</v>
      </c>
      <c r="AV10" s="0" t="n">
        <f aca="false">SUM($B$8:AV8)+Inputs!$B$4</f>
        <v>104000000</v>
      </c>
      <c r="AW10" s="0" t="n">
        <f aca="false">SUM($B$8:AW8)+Inputs!$B$4</f>
        <v>104000000</v>
      </c>
      <c r="AX10" s="0" t="n">
        <f aca="false">SUM($B$8:AX8)+Inputs!$B$4</f>
        <v>104000000</v>
      </c>
      <c r="AY10" s="0" t="n">
        <f aca="false">SUM($B$8:AY8)+Inputs!$B$4</f>
        <v>104000000</v>
      </c>
      <c r="AZ10" s="0" t="n">
        <f aca="false">SUM($B$8:AZ8)+Inputs!$B$4</f>
        <v>104000000</v>
      </c>
      <c r="BA10" s="0" t="n">
        <f aca="false">SUM($B$8:BA8)+Inputs!$B$4</f>
        <v>104000000</v>
      </c>
      <c r="BB10" s="0" t="n">
        <f aca="false">SUM($B$8:BB8)+Inputs!$B$4</f>
        <v>104000000</v>
      </c>
    </row>
    <row r="11" customFormat="false" ht="15" hidden="false" customHeight="false" outlineLevel="0" collapsed="false">
      <c r="A11" s="0" t="s">
        <v>32</v>
      </c>
      <c r="B11" s="0" t="n">
        <f aca="false">0</f>
        <v>0</v>
      </c>
      <c r="C11" s="0" t="n">
        <f aca="false">IF(C$3&lt;=(Inputs!$B$12+Inputs!$B$13),B10*Inputs!$B$16/4,0)</f>
        <v>292500</v>
      </c>
      <c r="D11" s="0" t="n">
        <f aca="false">IF(D$3&lt;=(Inputs!$B$12+Inputs!$B$13),C10*Inputs!$B$16/4,0)</f>
        <v>348400</v>
      </c>
      <c r="E11" s="0" t="n">
        <f aca="false">IF(E$3&lt;=(Inputs!$B$12+Inputs!$B$13),D10*Inputs!$B$16/4,0)</f>
        <v>446225</v>
      </c>
      <c r="F11" s="0" t="n">
        <f aca="false">IF(F$3&lt;=(Inputs!$B$12+Inputs!$B$13),E10*Inputs!$B$16/4,0)</f>
        <v>585975</v>
      </c>
      <c r="G11" s="0" t="n">
        <f aca="false">IF(G$3&lt;=(Inputs!$B$12+Inputs!$B$13),F10*Inputs!$B$16/4,0)</f>
        <v>753675</v>
      </c>
      <c r="H11" s="0" t="n">
        <f aca="false">IF(H$3&lt;=(Inputs!$B$12+Inputs!$B$13),G10*Inputs!$B$16/4,0)</f>
        <v>935350</v>
      </c>
      <c r="I11" s="0" t="n">
        <f aca="false">IF(I$3&lt;=(Inputs!$B$12+Inputs!$B$13),H10*Inputs!$B$16/4,0)</f>
        <v>1117025</v>
      </c>
      <c r="J11" s="0" t="n">
        <f aca="false">IF(J$3&lt;=(Inputs!$B$12+Inputs!$B$13),I10*Inputs!$B$16/4,0)</f>
        <v>1284725</v>
      </c>
      <c r="K11" s="0" t="n">
        <f aca="false">IF(K$3&lt;=(Inputs!$B$12+Inputs!$B$13),J10*Inputs!$B$16/4,0)</f>
        <v>1438450</v>
      </c>
      <c r="L11" s="0" t="n">
        <f aca="false">IF(L$3&lt;=(Inputs!$B$12+Inputs!$B$13),K10*Inputs!$B$16/4,0)</f>
        <v>0</v>
      </c>
      <c r="M11" s="0" t="n">
        <f aca="false">IF(M$3&lt;=(Inputs!$B$12+Inputs!$B$13),L10*Inputs!$B$16/4,0)</f>
        <v>0</v>
      </c>
      <c r="N11" s="0" t="n">
        <f aca="false">IF(N$3&lt;=(Inputs!$B$12+Inputs!$B$13),M10*Inputs!$B$16/4,0)</f>
        <v>0</v>
      </c>
      <c r="O11" s="0" t="n">
        <f aca="false">IF(O$3&lt;=(Inputs!$B$12+Inputs!$B$13),N10*Inputs!$B$16/4,0)</f>
        <v>0</v>
      </c>
      <c r="P11" s="0" t="n">
        <f aca="false">IF(P$3&lt;=(Inputs!$B$12+Inputs!$B$13),O10*Inputs!$B$16/4,0)</f>
        <v>0</v>
      </c>
      <c r="Q11" s="0" t="n">
        <f aca="false">IF(Q$3&lt;=(Inputs!$B$12+Inputs!$B$13),P10*Inputs!$B$16/4,0)</f>
        <v>0</v>
      </c>
      <c r="R11" s="0" t="n">
        <f aca="false">IF(R$3&lt;=(Inputs!$B$12+Inputs!$B$13),Q10*Inputs!$B$16/4,0)</f>
        <v>0</v>
      </c>
      <c r="S11" s="0" t="n">
        <f aca="false">IF(S$3&lt;=(Inputs!$B$12+Inputs!$B$13),R10*Inputs!$B$16/4,0)</f>
        <v>0</v>
      </c>
      <c r="T11" s="0" t="n">
        <f aca="false">IF(T$3&lt;=(Inputs!$B$12+Inputs!$B$13),S10*Inputs!$B$16/4,0)</f>
        <v>0</v>
      </c>
      <c r="U11" s="0" t="n">
        <f aca="false">IF(U$3&lt;=(Inputs!$B$12+Inputs!$B$13),T10*Inputs!$B$16/4,0)</f>
        <v>0</v>
      </c>
      <c r="V11" s="0" t="n">
        <f aca="false">IF(V$3&lt;=(Inputs!$B$12+Inputs!$B$13),U10*Inputs!$B$16/4,0)</f>
        <v>0</v>
      </c>
      <c r="W11" s="0" t="n">
        <f aca="false">IF(W$3&lt;=(Inputs!$B$12+Inputs!$B$13),V10*Inputs!$B$16/4,0)</f>
        <v>0</v>
      </c>
      <c r="X11" s="0" t="n">
        <f aca="false">IF(X$3&lt;=(Inputs!$B$12+Inputs!$B$13),W10*Inputs!$B$16/4,0)</f>
        <v>0</v>
      </c>
      <c r="Y11" s="0" t="n">
        <f aca="false">IF(Y$3&lt;=(Inputs!$B$12+Inputs!$B$13),X10*Inputs!$B$16/4,0)</f>
        <v>0</v>
      </c>
      <c r="Z11" s="0" t="n">
        <f aca="false">IF(Z$3&lt;=(Inputs!$B$12+Inputs!$B$13),Y10*Inputs!$B$16/4,0)</f>
        <v>0</v>
      </c>
      <c r="AA11" s="0" t="n">
        <f aca="false">IF(AA$3&lt;=(Inputs!$B$12+Inputs!$B$13),Z10*Inputs!$B$16/4,0)</f>
        <v>0</v>
      </c>
      <c r="AB11" s="0" t="n">
        <f aca="false">IF(AB$3&lt;=(Inputs!$B$12+Inputs!$B$13),AA10*Inputs!$B$16/4,0)</f>
        <v>0</v>
      </c>
      <c r="AC11" s="0" t="n">
        <f aca="false">IF(AC$3&lt;=(Inputs!$B$12+Inputs!$B$13),AB10*Inputs!$B$16/4,0)</f>
        <v>0</v>
      </c>
      <c r="AD11" s="0" t="n">
        <f aca="false">IF(AD$3&lt;=(Inputs!$B$12+Inputs!$B$13),AC10*Inputs!$B$16/4,0)</f>
        <v>0</v>
      </c>
      <c r="AE11" s="0" t="n">
        <f aca="false">IF(AE$3&lt;=(Inputs!$B$12+Inputs!$B$13),AD10*Inputs!$B$16/4,0)</f>
        <v>0</v>
      </c>
      <c r="AF11" s="0" t="n">
        <f aca="false">IF(AF$3&lt;=(Inputs!$B$12+Inputs!$B$13),AE10*Inputs!$B$16/4,0)</f>
        <v>0</v>
      </c>
      <c r="AG11" s="0" t="n">
        <f aca="false">IF(AG$3&lt;=(Inputs!$B$12+Inputs!$B$13),AF10*Inputs!$B$16/4,0)</f>
        <v>0</v>
      </c>
      <c r="AH11" s="0" t="n">
        <f aca="false">IF(AH$3&lt;=(Inputs!$B$12+Inputs!$B$13),AG10*Inputs!$B$16/4,0)</f>
        <v>0</v>
      </c>
      <c r="AI11" s="0" t="n">
        <f aca="false">IF(AI$3&lt;=(Inputs!$B$12+Inputs!$B$13),AH10*Inputs!$B$16/4,0)</f>
        <v>0</v>
      </c>
      <c r="AJ11" s="0" t="n">
        <f aca="false">IF(AJ$3&lt;=(Inputs!$B$12+Inputs!$B$13),AI10*Inputs!$B$16/4,0)</f>
        <v>0</v>
      </c>
      <c r="AK11" s="0" t="n">
        <f aca="false">IF(AK$3&lt;=(Inputs!$B$12+Inputs!$B$13),AJ10*Inputs!$B$16/4,0)</f>
        <v>0</v>
      </c>
      <c r="AL11" s="0" t="n">
        <f aca="false">IF(AL$3&lt;=(Inputs!$B$12+Inputs!$B$13),AK10*Inputs!$B$16/4,0)</f>
        <v>0</v>
      </c>
      <c r="AM11" s="0" t="n">
        <f aca="false">IF(AM$3&lt;=(Inputs!$B$12+Inputs!$B$13),AL10*Inputs!$B$16/4,0)</f>
        <v>0</v>
      </c>
      <c r="AN11" s="0" t="n">
        <f aca="false">IF(AN$3&lt;=(Inputs!$B$12+Inputs!$B$13),AM10*Inputs!$B$16/4,0)</f>
        <v>0</v>
      </c>
      <c r="AO11" s="0" t="n">
        <f aca="false">IF(AO$3&lt;=(Inputs!$B$12+Inputs!$B$13),AN10*Inputs!$B$16/4,0)</f>
        <v>0</v>
      </c>
      <c r="AP11" s="0" t="n">
        <f aca="false">IF(AP$3&lt;=(Inputs!$B$12+Inputs!$B$13),AO10*Inputs!$B$16/4,0)</f>
        <v>0</v>
      </c>
      <c r="AQ11" s="0" t="n">
        <f aca="false">IF(AQ$3&lt;=(Inputs!$B$12+Inputs!$B$13),AP10*Inputs!$B$16/4,0)</f>
        <v>0</v>
      </c>
      <c r="AR11" s="0" t="n">
        <f aca="false">IF(AR$3&lt;=(Inputs!$B$12+Inputs!$B$13),AQ10*Inputs!$B$16/4,0)</f>
        <v>0</v>
      </c>
      <c r="AS11" s="0" t="n">
        <f aca="false">IF(AS$3&lt;=(Inputs!$B$12+Inputs!$B$13),AR10*Inputs!$B$16/4,0)</f>
        <v>0</v>
      </c>
      <c r="AT11" s="0" t="n">
        <f aca="false">IF(AT$3&lt;=(Inputs!$B$12+Inputs!$B$13),AS10*Inputs!$B$16/4,0)</f>
        <v>0</v>
      </c>
      <c r="AU11" s="0" t="n">
        <f aca="false">IF(AU$3&lt;=(Inputs!$B$12+Inputs!$B$13),AT10*Inputs!$B$16/4,0)</f>
        <v>0</v>
      </c>
      <c r="AV11" s="0" t="n">
        <f aca="false">IF(AV$3&lt;=(Inputs!$B$12+Inputs!$B$13),AU10*Inputs!$B$16/4,0)</f>
        <v>0</v>
      </c>
      <c r="AW11" s="0" t="n">
        <f aca="false">IF(AW$3&lt;=(Inputs!$B$12+Inputs!$B$13),AV10*Inputs!$B$16/4,0)</f>
        <v>0</v>
      </c>
      <c r="AX11" s="0" t="n">
        <f aca="false">IF(AX$3&lt;=(Inputs!$B$12+Inputs!$B$13),AW10*Inputs!$B$16/4,0)</f>
        <v>0</v>
      </c>
      <c r="AY11" s="0" t="n">
        <f aca="false">IF(AY$3&lt;=(Inputs!$B$12+Inputs!$B$13),AX10*Inputs!$B$16/4,0)</f>
        <v>0</v>
      </c>
      <c r="AZ11" s="0" t="n">
        <f aca="false">IF(AZ$3&lt;=(Inputs!$B$12+Inputs!$B$13),AY10*Inputs!$B$16/4,0)</f>
        <v>0</v>
      </c>
      <c r="BA11" s="0" t="n">
        <f aca="false">IF(BA$3&lt;=(Inputs!$B$12+Inputs!$B$13),AZ10*Inputs!$B$16/4,0)</f>
        <v>0</v>
      </c>
      <c r="BB11" s="0" t="n">
        <f aca="false">IF(BB$3&lt;=(Inputs!$B$12+Inputs!$B$13),BA10*Inputs!$B$16/4,0)</f>
        <v>0</v>
      </c>
    </row>
    <row r="12" customFormat="false" ht="15" hidden="false" customHeight="false" outlineLevel="0" collapsed="false">
      <c r="A12" s="0" t="s">
        <v>33</v>
      </c>
      <c r="B12" s="0" t="n">
        <f aca="false">IF(AND(B$3&gt;Inputs!$B$14,B$3&lt;=(Inputs!$B$12+Inputs!$B$13)),Inputs!$B$15,0)</f>
        <v>0</v>
      </c>
      <c r="C12" s="0" t="n">
        <f aca="false">IF(AND(C$3&gt;Inputs!$B$14,C$3&lt;=(Inputs!$B$12+Inputs!$B$13)),Inputs!$B$15,0)</f>
        <v>0</v>
      </c>
      <c r="D12" s="0" t="n">
        <f aca="false">IF(AND(D$3&gt;Inputs!$B$14,D$3&lt;=(Inputs!$B$12+Inputs!$B$13)),Inputs!$B$15,0)</f>
        <v>0</v>
      </c>
      <c r="E12" s="0" t="n">
        <f aca="false">IF(AND(E$3&gt;Inputs!$B$14,E$3&lt;=(Inputs!$B$12+Inputs!$B$13)),Inputs!$B$15,0)</f>
        <v>0</v>
      </c>
      <c r="F12" s="0" t="n">
        <f aca="false">IF(AND(F$3&gt;Inputs!$B$14,F$3&lt;=(Inputs!$B$12+Inputs!$B$13)),Inputs!$B$15,0)</f>
        <v>0</v>
      </c>
      <c r="G12" s="0" t="n">
        <f aca="false">IF(AND(G$3&gt;Inputs!$B$14,G$3&lt;=(Inputs!$B$12+Inputs!$B$13)),Inputs!$B$15,0)</f>
        <v>0</v>
      </c>
      <c r="H12" s="0" t="n">
        <f aca="false">IF(AND(H$3&gt;Inputs!$B$14,H$3&lt;=(Inputs!$B$12+Inputs!$B$13)),Inputs!$B$15,0)</f>
        <v>0</v>
      </c>
      <c r="I12" s="0" t="n">
        <f aca="false">IF(AND(I$3&gt;Inputs!$B$14,I$3&lt;=(Inputs!$B$12+Inputs!$B$13)),Inputs!$B$15,0)</f>
        <v>0</v>
      </c>
      <c r="J12" s="0" t="n">
        <f aca="false">IF(AND(J$3&gt;Inputs!$B$14,J$3&lt;=(Inputs!$B$12+Inputs!$B$13)),Inputs!$B$15,0)</f>
        <v>0</v>
      </c>
      <c r="K12" s="0" t="n">
        <f aca="false">IF(AND(K$3&gt;Inputs!$B$14,K$3&lt;=(Inputs!$B$12+Inputs!$B$13)),Inputs!$B$15,0)</f>
        <v>0</v>
      </c>
      <c r="L12" s="0" t="n">
        <f aca="false">IF(AND(L$3&gt;Inputs!$B$14,L$3&lt;=(Inputs!$B$12+Inputs!$B$13)),Inputs!$B$15,0)</f>
        <v>0</v>
      </c>
      <c r="M12" s="0" t="n">
        <f aca="false">IF(AND(M$3&gt;Inputs!$B$14,M$3&lt;=(Inputs!$B$12+Inputs!$B$13)),Inputs!$B$15,0)</f>
        <v>0</v>
      </c>
      <c r="N12" s="0" t="n">
        <f aca="false">IF(AND(N$3&gt;Inputs!$B$14,N$3&lt;=(Inputs!$B$12+Inputs!$B$13)),Inputs!$B$15,0)</f>
        <v>0</v>
      </c>
      <c r="O12" s="0" t="n">
        <f aca="false">IF(AND(O$3&gt;Inputs!$B$14,O$3&lt;=(Inputs!$B$12+Inputs!$B$13)),Inputs!$B$15,0)</f>
        <v>0</v>
      </c>
      <c r="P12" s="0" t="n">
        <f aca="false">IF(AND(P$3&gt;Inputs!$B$14,P$3&lt;=(Inputs!$B$12+Inputs!$B$13)),Inputs!$B$15,0)</f>
        <v>0</v>
      </c>
      <c r="Q12" s="0" t="n">
        <f aca="false">IF(AND(Q$3&gt;Inputs!$B$14,Q$3&lt;=(Inputs!$B$12+Inputs!$B$13)),Inputs!$B$15,0)</f>
        <v>0</v>
      </c>
      <c r="R12" s="0" t="n">
        <f aca="false">IF(AND(R$3&gt;Inputs!$B$14,R$3&lt;=(Inputs!$B$12+Inputs!$B$13)),Inputs!$B$15,0)</f>
        <v>0</v>
      </c>
      <c r="S12" s="0" t="n">
        <f aca="false">IF(AND(S$3&gt;Inputs!$B$14,S$3&lt;=(Inputs!$B$12+Inputs!$B$13)),Inputs!$B$15,0)</f>
        <v>0</v>
      </c>
      <c r="T12" s="0" t="n">
        <f aca="false">IF(AND(T$3&gt;Inputs!$B$14,T$3&lt;=(Inputs!$B$12+Inputs!$B$13)),Inputs!$B$15,0)</f>
        <v>0</v>
      </c>
      <c r="U12" s="0" t="n">
        <f aca="false">IF(AND(U$3&gt;Inputs!$B$14,U$3&lt;=(Inputs!$B$12+Inputs!$B$13)),Inputs!$B$15,0)</f>
        <v>0</v>
      </c>
      <c r="V12" s="0" t="n">
        <f aca="false">IF(AND(V$3&gt;Inputs!$B$14,V$3&lt;=(Inputs!$B$12+Inputs!$B$13)),Inputs!$B$15,0)</f>
        <v>0</v>
      </c>
      <c r="W12" s="0" t="n">
        <f aca="false">IF(AND(W$3&gt;Inputs!$B$14,W$3&lt;=(Inputs!$B$12+Inputs!$B$13)),Inputs!$B$15,0)</f>
        <v>0</v>
      </c>
      <c r="X12" s="0" t="n">
        <f aca="false">IF(AND(X$3&gt;Inputs!$B$14,X$3&lt;=(Inputs!$B$12+Inputs!$B$13)),Inputs!$B$15,0)</f>
        <v>0</v>
      </c>
      <c r="Y12" s="0" t="n">
        <f aca="false">IF(AND(Y$3&gt;Inputs!$B$14,Y$3&lt;=(Inputs!$B$12+Inputs!$B$13)),Inputs!$B$15,0)</f>
        <v>0</v>
      </c>
      <c r="Z12" s="0" t="n">
        <f aca="false">IF(AND(Z$3&gt;Inputs!$B$14,Z$3&lt;=(Inputs!$B$12+Inputs!$B$13)),Inputs!$B$15,0)</f>
        <v>0</v>
      </c>
      <c r="AA12" s="0" t="n">
        <f aca="false">IF(AND(AA$3&gt;Inputs!$B$14,AA$3&lt;=(Inputs!$B$12+Inputs!$B$13)),Inputs!$B$15,0)</f>
        <v>0</v>
      </c>
      <c r="AB12" s="0" t="n">
        <f aca="false">IF(AND(AB$3&gt;Inputs!$B$14,AB$3&lt;=(Inputs!$B$12+Inputs!$B$13)),Inputs!$B$15,0)</f>
        <v>0</v>
      </c>
      <c r="AC12" s="0" t="n">
        <f aca="false">IF(AND(AC$3&gt;Inputs!$B$14,AC$3&lt;=(Inputs!$B$12+Inputs!$B$13)),Inputs!$B$15,0)</f>
        <v>0</v>
      </c>
      <c r="AD12" s="0" t="n">
        <f aca="false">IF(AND(AD$3&gt;Inputs!$B$14,AD$3&lt;=(Inputs!$B$12+Inputs!$B$13)),Inputs!$B$15,0)</f>
        <v>0</v>
      </c>
      <c r="AE12" s="0" t="n">
        <f aca="false">IF(AND(AE$3&gt;Inputs!$B$14,AE$3&lt;=(Inputs!$B$12+Inputs!$B$13)),Inputs!$B$15,0)</f>
        <v>0</v>
      </c>
      <c r="AF12" s="0" t="n">
        <f aca="false">IF(AND(AF$3&gt;Inputs!$B$14,AF$3&lt;=(Inputs!$B$12+Inputs!$B$13)),Inputs!$B$15,0)</f>
        <v>0</v>
      </c>
      <c r="AG12" s="0" t="n">
        <f aca="false">IF(AND(AG$3&gt;Inputs!$B$14,AG$3&lt;=(Inputs!$B$12+Inputs!$B$13)),Inputs!$B$15,0)</f>
        <v>0</v>
      </c>
      <c r="AH12" s="0" t="n">
        <f aca="false">IF(AND(AH$3&gt;Inputs!$B$14,AH$3&lt;=(Inputs!$B$12+Inputs!$B$13)),Inputs!$B$15,0)</f>
        <v>0</v>
      </c>
      <c r="AI12" s="0" t="n">
        <f aca="false">IF(AND(AI$3&gt;Inputs!$B$14,AI$3&lt;=(Inputs!$B$12+Inputs!$B$13)),Inputs!$B$15,0)</f>
        <v>0</v>
      </c>
      <c r="AJ12" s="0" t="n">
        <f aca="false">IF(AND(AJ$3&gt;Inputs!$B$14,AJ$3&lt;=(Inputs!$B$12+Inputs!$B$13)),Inputs!$B$15,0)</f>
        <v>0</v>
      </c>
      <c r="AK12" s="0" t="n">
        <f aca="false">IF(AND(AK$3&gt;Inputs!$B$14,AK$3&lt;=(Inputs!$B$12+Inputs!$B$13)),Inputs!$B$15,0)</f>
        <v>0</v>
      </c>
      <c r="AL12" s="0" t="n">
        <f aca="false">IF(AND(AL$3&gt;Inputs!$B$14,AL$3&lt;=(Inputs!$B$12+Inputs!$B$13)),Inputs!$B$15,0)</f>
        <v>0</v>
      </c>
      <c r="AM12" s="0" t="n">
        <f aca="false">IF(AND(AM$3&gt;Inputs!$B$14,AM$3&lt;=(Inputs!$B$12+Inputs!$B$13)),Inputs!$B$15,0)</f>
        <v>0</v>
      </c>
      <c r="AN12" s="0" t="n">
        <f aca="false">IF(AND(AN$3&gt;Inputs!$B$14,AN$3&lt;=(Inputs!$B$12+Inputs!$B$13)),Inputs!$B$15,0)</f>
        <v>0</v>
      </c>
      <c r="AO12" s="0" t="n">
        <f aca="false">IF(AND(AO$3&gt;Inputs!$B$14,AO$3&lt;=(Inputs!$B$12+Inputs!$B$13)),Inputs!$B$15,0)</f>
        <v>0</v>
      </c>
      <c r="AP12" s="0" t="n">
        <f aca="false">IF(AND(AP$3&gt;Inputs!$B$14,AP$3&lt;=(Inputs!$B$12+Inputs!$B$13)),Inputs!$B$15,0)</f>
        <v>0</v>
      </c>
      <c r="AQ12" s="0" t="n">
        <f aca="false">IF(AND(AQ$3&gt;Inputs!$B$14,AQ$3&lt;=(Inputs!$B$12+Inputs!$B$13)),Inputs!$B$15,0)</f>
        <v>0</v>
      </c>
      <c r="AR12" s="0" t="n">
        <f aca="false">IF(AND(AR$3&gt;Inputs!$B$14,AR$3&lt;=(Inputs!$B$12+Inputs!$B$13)),Inputs!$B$15,0)</f>
        <v>0</v>
      </c>
      <c r="AS12" s="0" t="n">
        <f aca="false">IF(AND(AS$3&gt;Inputs!$B$14,AS$3&lt;=(Inputs!$B$12+Inputs!$B$13)),Inputs!$B$15,0)</f>
        <v>0</v>
      </c>
      <c r="AT12" s="0" t="n">
        <f aca="false">IF(AND(AT$3&gt;Inputs!$B$14,AT$3&lt;=(Inputs!$B$12+Inputs!$B$13)),Inputs!$B$15,0)</f>
        <v>0</v>
      </c>
      <c r="AU12" s="0" t="n">
        <f aca="false">IF(AND(AU$3&gt;Inputs!$B$14,AU$3&lt;=(Inputs!$B$12+Inputs!$B$13)),Inputs!$B$15,0)</f>
        <v>0</v>
      </c>
      <c r="AV12" s="0" t="n">
        <f aca="false">IF(AND(AV$3&gt;Inputs!$B$14,AV$3&lt;=(Inputs!$B$12+Inputs!$B$13)),Inputs!$B$15,0)</f>
        <v>0</v>
      </c>
      <c r="AW12" s="0" t="n">
        <f aca="false">IF(AND(AW$3&gt;Inputs!$B$14,AW$3&lt;=(Inputs!$B$12+Inputs!$B$13)),Inputs!$B$15,0)</f>
        <v>0</v>
      </c>
      <c r="AX12" s="0" t="n">
        <f aca="false">IF(AND(AX$3&gt;Inputs!$B$14,AX$3&lt;=(Inputs!$B$12+Inputs!$B$13)),Inputs!$B$15,0)</f>
        <v>0</v>
      </c>
      <c r="AY12" s="0" t="n">
        <f aca="false">IF(AND(AY$3&gt;Inputs!$B$14,AY$3&lt;=(Inputs!$B$12+Inputs!$B$13)),Inputs!$B$15,0)</f>
        <v>0</v>
      </c>
      <c r="AZ12" s="0" t="n">
        <f aca="false">IF(AND(AZ$3&gt;Inputs!$B$14,AZ$3&lt;=(Inputs!$B$12+Inputs!$B$13)),Inputs!$B$15,0)</f>
        <v>0</v>
      </c>
      <c r="BA12" s="0" t="n">
        <f aca="false">IF(AND(BA$3&gt;Inputs!$B$14,BA$3&lt;=(Inputs!$B$12+Inputs!$B$13)),Inputs!$B$15,0)</f>
        <v>0</v>
      </c>
      <c r="BB12" s="0" t="n">
        <f aca="false">IF(AND(BB$3&gt;Inputs!$B$14,BB$3&lt;=(Inputs!$B$12+Inputs!$B$13)),Inputs!$B$15,0)</f>
        <v>0</v>
      </c>
    </row>
    <row r="13" customFormat="false" ht="15" hidden="false" customHeight="false" outlineLevel="0" collapsed="false">
      <c r="A13" s="0" t="s">
        <v>34</v>
      </c>
      <c r="B13" s="0" t="n">
        <f aca="false">IF(AND(B$3&gt;(Inputs!$B$12+Inputs!$B$13),B$3&lt;=(Inputs!$B$12+Inputs!$B$13)+Inputs!$B$19),1,0)</f>
        <v>0</v>
      </c>
      <c r="C13" s="0" t="n">
        <f aca="false">IF(AND(C$3&gt;(Inputs!$B$12+Inputs!$B$13),C$3&lt;=(Inputs!$B$12+Inputs!$B$13)+Inputs!$B$19),1,0)</f>
        <v>0</v>
      </c>
      <c r="D13" s="0" t="n">
        <f aca="false">IF(AND(D$3&gt;(Inputs!$B$12+Inputs!$B$13),D$3&lt;=(Inputs!$B$12+Inputs!$B$13)+Inputs!$B$19),1,0)</f>
        <v>0</v>
      </c>
      <c r="E13" s="0" t="n">
        <f aca="false">IF(AND(E$3&gt;(Inputs!$B$12+Inputs!$B$13),E$3&lt;=(Inputs!$B$12+Inputs!$B$13)+Inputs!$B$19),1,0)</f>
        <v>0</v>
      </c>
      <c r="F13" s="0" t="n">
        <f aca="false">IF(AND(F$3&gt;(Inputs!$B$12+Inputs!$B$13),F$3&lt;=(Inputs!$B$12+Inputs!$B$13)+Inputs!$B$19),1,0)</f>
        <v>0</v>
      </c>
      <c r="G13" s="0" t="n">
        <f aca="false">IF(AND(G$3&gt;(Inputs!$B$12+Inputs!$B$13),G$3&lt;=(Inputs!$B$12+Inputs!$B$13)+Inputs!$B$19),1,0)</f>
        <v>0</v>
      </c>
      <c r="H13" s="0" t="n">
        <f aca="false">IF(AND(H$3&gt;(Inputs!$B$12+Inputs!$B$13),H$3&lt;=(Inputs!$B$12+Inputs!$B$13)+Inputs!$B$19),1,0)</f>
        <v>0</v>
      </c>
      <c r="I13" s="0" t="n">
        <f aca="false">IF(AND(I$3&gt;(Inputs!$B$12+Inputs!$B$13),I$3&lt;=(Inputs!$B$12+Inputs!$B$13)+Inputs!$B$19),1,0)</f>
        <v>0</v>
      </c>
      <c r="J13" s="0" t="n">
        <f aca="false">IF(AND(J$3&gt;(Inputs!$B$12+Inputs!$B$13),J$3&lt;=(Inputs!$B$12+Inputs!$B$13)+Inputs!$B$19),1,0)</f>
        <v>0</v>
      </c>
      <c r="K13" s="0" t="n">
        <f aca="false">IF(AND(K$3&gt;(Inputs!$B$12+Inputs!$B$13),K$3&lt;=(Inputs!$B$12+Inputs!$B$13)+Inputs!$B$19),1,0)</f>
        <v>0</v>
      </c>
      <c r="L13" s="0" t="n">
        <f aca="false">IF(AND(L$3&gt;(Inputs!$B$12+Inputs!$B$13),L$3&lt;=(Inputs!$B$12+Inputs!$B$13)+Inputs!$B$19),1,0)</f>
        <v>1</v>
      </c>
      <c r="M13" s="0" t="n">
        <f aca="false">IF(AND(M$3&gt;(Inputs!$B$12+Inputs!$B$13),M$3&lt;=(Inputs!$B$12+Inputs!$B$13)+Inputs!$B$19),1,0)</f>
        <v>1</v>
      </c>
      <c r="N13" s="0" t="n">
        <f aca="false">IF(AND(N$3&gt;(Inputs!$B$12+Inputs!$B$13),N$3&lt;=(Inputs!$B$12+Inputs!$B$13)+Inputs!$B$19),1,0)</f>
        <v>1</v>
      </c>
      <c r="O13" s="0" t="n">
        <f aca="false">IF(AND(O$3&gt;(Inputs!$B$12+Inputs!$B$13),O$3&lt;=(Inputs!$B$12+Inputs!$B$13)+Inputs!$B$19),1,0)</f>
        <v>1</v>
      </c>
      <c r="P13" s="0" t="n">
        <f aca="false">IF(AND(P$3&gt;(Inputs!$B$12+Inputs!$B$13),P$3&lt;=(Inputs!$B$12+Inputs!$B$13)+Inputs!$B$19),1,0)</f>
        <v>1</v>
      </c>
      <c r="Q13" s="0" t="n">
        <f aca="false">IF(AND(Q$3&gt;(Inputs!$B$12+Inputs!$B$13),Q$3&lt;=(Inputs!$B$12+Inputs!$B$13)+Inputs!$B$19),1,0)</f>
        <v>1</v>
      </c>
      <c r="R13" s="0" t="n">
        <f aca="false">IF(AND(R$3&gt;(Inputs!$B$12+Inputs!$B$13),R$3&lt;=(Inputs!$B$12+Inputs!$B$13)+Inputs!$B$19),1,0)</f>
        <v>1</v>
      </c>
      <c r="S13" s="0" t="n">
        <f aca="false">IF(AND(S$3&gt;(Inputs!$B$12+Inputs!$B$13),S$3&lt;=(Inputs!$B$12+Inputs!$B$13)+Inputs!$B$19),1,0)</f>
        <v>1</v>
      </c>
      <c r="T13" s="0" t="n">
        <f aca="false">IF(AND(T$3&gt;(Inputs!$B$12+Inputs!$B$13),T$3&lt;=(Inputs!$B$12+Inputs!$B$13)+Inputs!$B$19),1,0)</f>
        <v>1</v>
      </c>
      <c r="U13" s="0" t="n">
        <f aca="false">IF(AND(U$3&gt;(Inputs!$B$12+Inputs!$B$13),U$3&lt;=(Inputs!$B$12+Inputs!$B$13)+Inputs!$B$19),1,0)</f>
        <v>1</v>
      </c>
      <c r="V13" s="0" t="n">
        <f aca="false">IF(AND(V$3&gt;(Inputs!$B$12+Inputs!$B$13),V$3&lt;=(Inputs!$B$12+Inputs!$B$13)+Inputs!$B$19),1,0)</f>
        <v>1</v>
      </c>
      <c r="W13" s="0" t="n">
        <f aca="false">IF(AND(W$3&gt;(Inputs!$B$12+Inputs!$B$13),W$3&lt;=(Inputs!$B$12+Inputs!$B$13)+Inputs!$B$19),1,0)</f>
        <v>1</v>
      </c>
      <c r="X13" s="0" t="n">
        <f aca="false">IF(AND(X$3&gt;(Inputs!$B$12+Inputs!$B$13),X$3&lt;=(Inputs!$B$12+Inputs!$B$13)+Inputs!$B$19),1,0)</f>
        <v>1</v>
      </c>
      <c r="Y13" s="0" t="n">
        <f aca="false">IF(AND(Y$3&gt;(Inputs!$B$12+Inputs!$B$13),Y$3&lt;=(Inputs!$B$12+Inputs!$B$13)+Inputs!$B$19),1,0)</f>
        <v>1</v>
      </c>
      <c r="Z13" s="0" t="n">
        <f aca="false">IF(AND(Z$3&gt;(Inputs!$B$12+Inputs!$B$13),Z$3&lt;=(Inputs!$B$12+Inputs!$B$13)+Inputs!$B$19),1,0)</f>
        <v>1</v>
      </c>
      <c r="AA13" s="0" t="n">
        <f aca="false">IF(AND(AA$3&gt;(Inputs!$B$12+Inputs!$B$13),AA$3&lt;=(Inputs!$B$12+Inputs!$B$13)+Inputs!$B$19),1,0)</f>
        <v>1</v>
      </c>
      <c r="AB13" s="0" t="n">
        <f aca="false">IF(AND(AB$3&gt;(Inputs!$B$12+Inputs!$B$13),AB$3&lt;=(Inputs!$B$12+Inputs!$B$13)+Inputs!$B$19),1,0)</f>
        <v>1</v>
      </c>
      <c r="AC13" s="0" t="n">
        <f aca="false">IF(AND(AC$3&gt;(Inputs!$B$12+Inputs!$B$13),AC$3&lt;=(Inputs!$B$12+Inputs!$B$13)+Inputs!$B$19),1,0)</f>
        <v>1</v>
      </c>
      <c r="AD13" s="0" t="n">
        <f aca="false">IF(AND(AD$3&gt;(Inputs!$B$12+Inputs!$B$13),AD$3&lt;=(Inputs!$B$12+Inputs!$B$13)+Inputs!$B$19),1,0)</f>
        <v>1</v>
      </c>
      <c r="AE13" s="0" t="n">
        <f aca="false">IF(AND(AE$3&gt;(Inputs!$B$12+Inputs!$B$13),AE$3&lt;=(Inputs!$B$12+Inputs!$B$13)+Inputs!$B$19),1,0)</f>
        <v>1</v>
      </c>
      <c r="AF13" s="0" t="n">
        <f aca="false">IF(AND(AF$3&gt;(Inputs!$B$12+Inputs!$B$13),AF$3&lt;=(Inputs!$B$12+Inputs!$B$13)+Inputs!$B$19),1,0)</f>
        <v>1</v>
      </c>
      <c r="AG13" s="0" t="n">
        <f aca="false">IF(AND(AG$3&gt;(Inputs!$B$12+Inputs!$B$13),AG$3&lt;=(Inputs!$B$12+Inputs!$B$13)+Inputs!$B$19),1,0)</f>
        <v>1</v>
      </c>
      <c r="AH13" s="0" t="n">
        <f aca="false">IF(AND(AH$3&gt;(Inputs!$B$12+Inputs!$B$13),AH$3&lt;=(Inputs!$B$12+Inputs!$B$13)+Inputs!$B$19),1,0)</f>
        <v>1</v>
      </c>
      <c r="AI13" s="0" t="n">
        <f aca="false">IF(AND(AI$3&gt;(Inputs!$B$12+Inputs!$B$13),AI$3&lt;=(Inputs!$B$12+Inputs!$B$13)+Inputs!$B$19),1,0)</f>
        <v>1</v>
      </c>
      <c r="AJ13" s="0" t="n">
        <f aca="false">IF(AND(AJ$3&gt;(Inputs!$B$12+Inputs!$B$13),AJ$3&lt;=(Inputs!$B$12+Inputs!$B$13)+Inputs!$B$19),1,0)</f>
        <v>1</v>
      </c>
      <c r="AK13" s="0" t="n">
        <f aca="false">IF(AND(AK$3&gt;(Inputs!$B$12+Inputs!$B$13),AK$3&lt;=(Inputs!$B$12+Inputs!$B$13)+Inputs!$B$19),1,0)</f>
        <v>1</v>
      </c>
      <c r="AL13" s="0" t="n">
        <f aca="false">IF(AND(AL$3&gt;(Inputs!$B$12+Inputs!$B$13),AL$3&lt;=(Inputs!$B$12+Inputs!$B$13)+Inputs!$B$19),1,0)</f>
        <v>1</v>
      </c>
      <c r="AM13" s="0" t="n">
        <f aca="false">IF(AND(AM$3&gt;(Inputs!$B$12+Inputs!$B$13),AM$3&lt;=(Inputs!$B$12+Inputs!$B$13)+Inputs!$B$19),1,0)</f>
        <v>1</v>
      </c>
      <c r="AN13" s="0" t="n">
        <f aca="false">IF(AND(AN$3&gt;(Inputs!$B$12+Inputs!$B$13),AN$3&lt;=(Inputs!$B$12+Inputs!$B$13)+Inputs!$B$19),1,0)</f>
        <v>1</v>
      </c>
      <c r="AO13" s="0" t="n">
        <f aca="false">IF(AND(AO$3&gt;(Inputs!$B$12+Inputs!$B$13),AO$3&lt;=(Inputs!$B$12+Inputs!$B$13)+Inputs!$B$19),1,0)</f>
        <v>1</v>
      </c>
      <c r="AP13" s="0" t="n">
        <f aca="false">IF(AND(AP$3&gt;(Inputs!$B$12+Inputs!$B$13),AP$3&lt;=(Inputs!$B$12+Inputs!$B$13)+Inputs!$B$19),1,0)</f>
        <v>1</v>
      </c>
      <c r="AQ13" s="0" t="n">
        <f aca="false">IF(AND(AQ$3&gt;(Inputs!$B$12+Inputs!$B$13),AQ$3&lt;=(Inputs!$B$12+Inputs!$B$13)+Inputs!$B$19),1,0)</f>
        <v>1</v>
      </c>
      <c r="AR13" s="0" t="n">
        <f aca="false">IF(AND(AR$3&gt;(Inputs!$B$12+Inputs!$B$13),AR$3&lt;=(Inputs!$B$12+Inputs!$B$13)+Inputs!$B$19),1,0)</f>
        <v>1</v>
      </c>
      <c r="AS13" s="0" t="n">
        <f aca="false">IF(AND(AS$3&gt;(Inputs!$B$12+Inputs!$B$13),AS$3&lt;=(Inputs!$B$12+Inputs!$B$13)+Inputs!$B$19),1,0)</f>
        <v>1</v>
      </c>
      <c r="AT13" s="0" t="n">
        <f aca="false">IF(AND(AT$3&gt;(Inputs!$B$12+Inputs!$B$13),AT$3&lt;=(Inputs!$B$12+Inputs!$B$13)+Inputs!$B$19),1,0)</f>
        <v>1</v>
      </c>
      <c r="AU13" s="0" t="n">
        <f aca="false">IF(AND(AU$3&gt;(Inputs!$B$12+Inputs!$B$13),AU$3&lt;=(Inputs!$B$12+Inputs!$B$13)+Inputs!$B$19),1,0)</f>
        <v>1</v>
      </c>
      <c r="AV13" s="0" t="n">
        <f aca="false">IF(AND(AV$3&gt;(Inputs!$B$12+Inputs!$B$13),AV$3&lt;=(Inputs!$B$12+Inputs!$B$13)+Inputs!$B$19),1,0)</f>
        <v>1</v>
      </c>
      <c r="AW13" s="0" t="n">
        <f aca="false">IF(AND(AW$3&gt;(Inputs!$B$12+Inputs!$B$13),AW$3&lt;=(Inputs!$B$12+Inputs!$B$13)+Inputs!$B$19),1,0)</f>
        <v>1</v>
      </c>
      <c r="AX13" s="0" t="n">
        <f aca="false">IF(AND(AX$3&gt;(Inputs!$B$12+Inputs!$B$13),AX$3&lt;=(Inputs!$B$12+Inputs!$B$13)+Inputs!$B$19),1,0)</f>
        <v>1</v>
      </c>
      <c r="AY13" s="0" t="n">
        <f aca="false">IF(AND(AY$3&gt;(Inputs!$B$12+Inputs!$B$13),AY$3&lt;=(Inputs!$B$12+Inputs!$B$13)+Inputs!$B$19),1,0)</f>
        <v>1</v>
      </c>
      <c r="AZ13" s="0" t="n">
        <f aca="false">IF(AND(AZ$3&gt;(Inputs!$B$12+Inputs!$B$13),AZ$3&lt;=(Inputs!$B$12+Inputs!$B$13)+Inputs!$B$19),1,0)</f>
        <v>0</v>
      </c>
      <c r="BA13" s="0" t="n">
        <f aca="false">IF(AND(BA$3&gt;(Inputs!$B$12+Inputs!$B$13),BA$3&lt;=(Inputs!$B$12+Inputs!$B$13)+Inputs!$B$19),1,0)</f>
        <v>0</v>
      </c>
      <c r="BB13" s="0" t="n">
        <f aca="false">IF(AND(BB$3&gt;(Inputs!$B$12+Inputs!$B$13),BB$3&lt;=(Inputs!$B$12+Inputs!$B$13)+Inputs!$B$19),1,0)</f>
        <v>0</v>
      </c>
    </row>
    <row r="14" customFormat="false" ht="15" hidden="false" customHeight="false" outlineLevel="0" collapsed="false">
      <c r="A14" s="0" t="s">
        <v>35</v>
      </c>
      <c r="B14" s="0" t="n">
        <f aca="false">B13*Inputs!$B$5*Inputs!$B$6*Inputs!$B$7/4*(1-Inputs!$B$9)*(1+Inputs!$B$8)^INT((B$3-(Inputs!$B$12+Inputs!$B$13)-1)/4)</f>
        <v>0</v>
      </c>
      <c r="C14" s="0" t="n">
        <f aca="false">C13*Inputs!$B$5*Inputs!$B$6*Inputs!$B$7/4*(1-Inputs!$B$9)*(1+Inputs!$B$8)^INT((C$3-(Inputs!$B$12+Inputs!$B$13)-1)/4)</f>
        <v>0</v>
      </c>
      <c r="D14" s="0" t="n">
        <f aca="false">D13*Inputs!$B$5*Inputs!$B$6*Inputs!$B$7/4*(1-Inputs!$B$9)*(1+Inputs!$B$8)^INT((D$3-(Inputs!$B$12+Inputs!$B$13)-1)/4)</f>
        <v>0</v>
      </c>
      <c r="E14" s="0" t="n">
        <f aca="false">E13*Inputs!$B$5*Inputs!$B$6*Inputs!$B$7/4*(1-Inputs!$B$9)*(1+Inputs!$B$8)^INT((E$3-(Inputs!$B$12+Inputs!$B$13)-1)/4)</f>
        <v>0</v>
      </c>
      <c r="F14" s="0" t="n">
        <f aca="false">F13*Inputs!$B$5*Inputs!$B$6*Inputs!$B$7/4*(1-Inputs!$B$9)*(1+Inputs!$B$8)^INT((F$3-(Inputs!$B$12+Inputs!$B$13)-1)/4)</f>
        <v>0</v>
      </c>
      <c r="G14" s="0" t="n">
        <f aca="false">G13*Inputs!$B$5*Inputs!$B$6*Inputs!$B$7/4*(1-Inputs!$B$9)*(1+Inputs!$B$8)^INT((G$3-(Inputs!$B$12+Inputs!$B$13)-1)/4)</f>
        <v>0</v>
      </c>
      <c r="H14" s="0" t="n">
        <f aca="false">H13*Inputs!$B$5*Inputs!$B$6*Inputs!$B$7/4*(1-Inputs!$B$9)*(1+Inputs!$B$8)^INT((H$3-(Inputs!$B$12+Inputs!$B$13)-1)/4)</f>
        <v>0</v>
      </c>
      <c r="I14" s="0" t="n">
        <f aca="false">I13*Inputs!$B$5*Inputs!$B$6*Inputs!$B$7/4*(1-Inputs!$B$9)*(1+Inputs!$B$8)^INT((I$3-(Inputs!$B$12+Inputs!$B$13)-1)/4)</f>
        <v>0</v>
      </c>
      <c r="J14" s="0" t="n">
        <f aca="false">J13*Inputs!$B$5*Inputs!$B$6*Inputs!$B$7/4*(1-Inputs!$B$9)*(1+Inputs!$B$8)^INT((J$3-(Inputs!$B$12+Inputs!$B$13)-1)/4)</f>
        <v>0</v>
      </c>
      <c r="K14" s="0" t="n">
        <f aca="false">K13*Inputs!$B$5*Inputs!$B$6*Inputs!$B$7/4*(1-Inputs!$B$9)*(1+Inputs!$B$8)^INT((K$3-(Inputs!$B$12+Inputs!$B$13)-1)/4)</f>
        <v>0</v>
      </c>
      <c r="L14" s="0" t="n">
        <f aca="false">L13*Inputs!$B$5*Inputs!$B$6*Inputs!$B$7/4*(1-Inputs!$B$9)*(1+Inputs!$B$8)^INT((L$3-(Inputs!$B$12+Inputs!$B$13)-1)/4)</f>
        <v>2323234.875</v>
      </c>
      <c r="M14" s="0" t="n">
        <f aca="false">M13*Inputs!$B$5*Inputs!$B$6*Inputs!$B$7/4*(1-Inputs!$B$9)*(1+Inputs!$B$8)^INT((M$3-(Inputs!$B$12+Inputs!$B$13)-1)/4)</f>
        <v>2323234.875</v>
      </c>
      <c r="N14" s="0" t="n">
        <f aca="false">N13*Inputs!$B$5*Inputs!$B$6*Inputs!$B$7/4*(1-Inputs!$B$9)*(1+Inputs!$B$8)^INT((N$3-(Inputs!$B$12+Inputs!$B$13)-1)/4)</f>
        <v>2323234.875</v>
      </c>
      <c r="O14" s="0" t="n">
        <f aca="false">O13*Inputs!$B$5*Inputs!$B$6*Inputs!$B$7/4*(1-Inputs!$B$9)*(1+Inputs!$B$8)^INT((O$3-(Inputs!$B$12+Inputs!$B$13)-1)/4)</f>
        <v>2323234.875</v>
      </c>
      <c r="P14" s="0" t="n">
        <f aca="false">P13*Inputs!$B$5*Inputs!$B$6*Inputs!$B$7/4*(1-Inputs!$B$9)*(1+Inputs!$B$8)^INT((P$3-(Inputs!$B$12+Inputs!$B$13)-1)/4)</f>
        <v>2392931.92125</v>
      </c>
      <c r="Q14" s="0" t="n">
        <f aca="false">Q13*Inputs!$B$5*Inputs!$B$6*Inputs!$B$7/4*(1-Inputs!$B$9)*(1+Inputs!$B$8)^INT((Q$3-(Inputs!$B$12+Inputs!$B$13)-1)/4)</f>
        <v>2392931.92125</v>
      </c>
      <c r="R14" s="0" t="n">
        <f aca="false">R13*Inputs!$B$5*Inputs!$B$6*Inputs!$B$7/4*(1-Inputs!$B$9)*(1+Inputs!$B$8)^INT((R$3-(Inputs!$B$12+Inputs!$B$13)-1)/4)</f>
        <v>2392931.92125</v>
      </c>
      <c r="S14" s="0" t="n">
        <f aca="false">S13*Inputs!$B$5*Inputs!$B$6*Inputs!$B$7/4*(1-Inputs!$B$9)*(1+Inputs!$B$8)^INT((S$3-(Inputs!$B$12+Inputs!$B$13)-1)/4)</f>
        <v>2392931.92125</v>
      </c>
      <c r="T14" s="0" t="n">
        <f aca="false">T13*Inputs!$B$5*Inputs!$B$6*Inputs!$B$7/4*(1-Inputs!$B$9)*(1+Inputs!$B$8)^INT((T$3-(Inputs!$B$12+Inputs!$B$13)-1)/4)</f>
        <v>2464719.8788875</v>
      </c>
      <c r="U14" s="0" t="n">
        <f aca="false">U13*Inputs!$B$5*Inputs!$B$6*Inputs!$B$7/4*(1-Inputs!$B$9)*(1+Inputs!$B$8)^INT((U$3-(Inputs!$B$12+Inputs!$B$13)-1)/4)</f>
        <v>2464719.8788875</v>
      </c>
      <c r="V14" s="0" t="n">
        <f aca="false">V13*Inputs!$B$5*Inputs!$B$6*Inputs!$B$7/4*(1-Inputs!$B$9)*(1+Inputs!$B$8)^INT((V$3-(Inputs!$B$12+Inputs!$B$13)-1)/4)</f>
        <v>2464719.8788875</v>
      </c>
      <c r="W14" s="0" t="n">
        <f aca="false">W13*Inputs!$B$5*Inputs!$B$6*Inputs!$B$7/4*(1-Inputs!$B$9)*(1+Inputs!$B$8)^INT((W$3-(Inputs!$B$12+Inputs!$B$13)-1)/4)</f>
        <v>2464719.8788875</v>
      </c>
      <c r="X14" s="0" t="n">
        <f aca="false">X13*Inputs!$B$5*Inputs!$B$6*Inputs!$B$7/4*(1-Inputs!$B$9)*(1+Inputs!$B$8)^INT((X$3-(Inputs!$B$12+Inputs!$B$13)-1)/4)</f>
        <v>2538661.47525413</v>
      </c>
      <c r="Y14" s="0" t="n">
        <f aca="false">Y13*Inputs!$B$5*Inputs!$B$6*Inputs!$B$7/4*(1-Inputs!$B$9)*(1+Inputs!$B$8)^INT((Y$3-(Inputs!$B$12+Inputs!$B$13)-1)/4)</f>
        <v>2538661.47525413</v>
      </c>
      <c r="Z14" s="0" t="n">
        <f aca="false">Z13*Inputs!$B$5*Inputs!$B$6*Inputs!$B$7/4*(1-Inputs!$B$9)*(1+Inputs!$B$8)^INT((Z$3-(Inputs!$B$12+Inputs!$B$13)-1)/4)</f>
        <v>2538661.47525413</v>
      </c>
      <c r="AA14" s="0" t="n">
        <f aca="false">AA13*Inputs!$B$5*Inputs!$B$6*Inputs!$B$7/4*(1-Inputs!$B$9)*(1+Inputs!$B$8)^INT((AA$3-(Inputs!$B$12+Inputs!$B$13)-1)/4)</f>
        <v>2538661.47525413</v>
      </c>
      <c r="AB14" s="0" t="n">
        <f aca="false">AB13*Inputs!$B$5*Inputs!$B$6*Inputs!$B$7/4*(1-Inputs!$B$9)*(1+Inputs!$B$8)^INT((AB$3-(Inputs!$B$12+Inputs!$B$13)-1)/4)</f>
        <v>2614821.31951175</v>
      </c>
      <c r="AC14" s="0" t="n">
        <f aca="false">AC13*Inputs!$B$5*Inputs!$B$6*Inputs!$B$7/4*(1-Inputs!$B$9)*(1+Inputs!$B$8)^INT((AC$3-(Inputs!$B$12+Inputs!$B$13)-1)/4)</f>
        <v>2614821.31951175</v>
      </c>
      <c r="AD14" s="0" t="n">
        <f aca="false">AD13*Inputs!$B$5*Inputs!$B$6*Inputs!$B$7/4*(1-Inputs!$B$9)*(1+Inputs!$B$8)^INT((AD$3-(Inputs!$B$12+Inputs!$B$13)-1)/4)</f>
        <v>2614821.31951175</v>
      </c>
      <c r="AE14" s="0" t="n">
        <f aca="false">AE13*Inputs!$B$5*Inputs!$B$6*Inputs!$B$7/4*(1-Inputs!$B$9)*(1+Inputs!$B$8)^INT((AE$3-(Inputs!$B$12+Inputs!$B$13)-1)/4)</f>
        <v>2614821.31951175</v>
      </c>
      <c r="AF14" s="0" t="n">
        <f aca="false">AF13*Inputs!$B$5*Inputs!$B$6*Inputs!$B$7/4*(1-Inputs!$B$9)*(1+Inputs!$B$8)^INT((AF$3-(Inputs!$B$12+Inputs!$B$13)-1)/4)</f>
        <v>2693265.9590971</v>
      </c>
      <c r="AG14" s="0" t="n">
        <f aca="false">AG13*Inputs!$B$5*Inputs!$B$6*Inputs!$B$7/4*(1-Inputs!$B$9)*(1+Inputs!$B$8)^INT((AG$3-(Inputs!$B$12+Inputs!$B$13)-1)/4)</f>
        <v>2693265.9590971</v>
      </c>
      <c r="AH14" s="0" t="n">
        <f aca="false">AH13*Inputs!$B$5*Inputs!$B$6*Inputs!$B$7/4*(1-Inputs!$B$9)*(1+Inputs!$B$8)^INT((AH$3-(Inputs!$B$12+Inputs!$B$13)-1)/4)</f>
        <v>2693265.9590971</v>
      </c>
      <c r="AI14" s="0" t="n">
        <f aca="false">AI13*Inputs!$B$5*Inputs!$B$6*Inputs!$B$7/4*(1-Inputs!$B$9)*(1+Inputs!$B$8)^INT((AI$3-(Inputs!$B$12+Inputs!$B$13)-1)/4)</f>
        <v>2693265.9590971</v>
      </c>
      <c r="AJ14" s="0" t="n">
        <f aca="false">AJ13*Inputs!$B$5*Inputs!$B$6*Inputs!$B$7/4*(1-Inputs!$B$9)*(1+Inputs!$B$8)^INT((AJ$3-(Inputs!$B$12+Inputs!$B$13)-1)/4)</f>
        <v>2774063.93787001</v>
      </c>
      <c r="AK14" s="0" t="n">
        <f aca="false">AK13*Inputs!$B$5*Inputs!$B$6*Inputs!$B$7/4*(1-Inputs!$B$9)*(1+Inputs!$B$8)^INT((AK$3-(Inputs!$B$12+Inputs!$B$13)-1)/4)</f>
        <v>2774063.93787001</v>
      </c>
      <c r="AL14" s="0" t="n">
        <f aca="false">AL13*Inputs!$B$5*Inputs!$B$6*Inputs!$B$7/4*(1-Inputs!$B$9)*(1+Inputs!$B$8)^INT((AL$3-(Inputs!$B$12+Inputs!$B$13)-1)/4)</f>
        <v>2774063.93787001</v>
      </c>
      <c r="AM14" s="0" t="n">
        <f aca="false">AM13*Inputs!$B$5*Inputs!$B$6*Inputs!$B$7/4*(1-Inputs!$B$9)*(1+Inputs!$B$8)^INT((AM$3-(Inputs!$B$12+Inputs!$B$13)-1)/4)</f>
        <v>2774063.93787001</v>
      </c>
      <c r="AN14" s="0" t="n">
        <f aca="false">AN13*Inputs!$B$5*Inputs!$B$6*Inputs!$B$7/4*(1-Inputs!$B$9)*(1+Inputs!$B$8)^INT((AN$3-(Inputs!$B$12+Inputs!$B$13)-1)/4)</f>
        <v>2857285.85600612</v>
      </c>
      <c r="AO14" s="0" t="n">
        <f aca="false">AO13*Inputs!$B$5*Inputs!$B$6*Inputs!$B$7/4*(1-Inputs!$B$9)*(1+Inputs!$B$8)^INT((AO$3-(Inputs!$B$12+Inputs!$B$13)-1)/4)</f>
        <v>2857285.85600612</v>
      </c>
      <c r="AP14" s="0" t="n">
        <f aca="false">AP13*Inputs!$B$5*Inputs!$B$6*Inputs!$B$7/4*(1-Inputs!$B$9)*(1+Inputs!$B$8)^INT((AP$3-(Inputs!$B$12+Inputs!$B$13)-1)/4)</f>
        <v>2857285.85600612</v>
      </c>
      <c r="AQ14" s="0" t="n">
        <f aca="false">AQ13*Inputs!$B$5*Inputs!$B$6*Inputs!$B$7/4*(1-Inputs!$B$9)*(1+Inputs!$B$8)^INT((AQ$3-(Inputs!$B$12+Inputs!$B$13)-1)/4)</f>
        <v>2857285.85600612</v>
      </c>
      <c r="AR14" s="0" t="n">
        <f aca="false">AR13*Inputs!$B$5*Inputs!$B$6*Inputs!$B$7/4*(1-Inputs!$B$9)*(1+Inputs!$B$8)^INT((AR$3-(Inputs!$B$12+Inputs!$B$13)-1)/4)</f>
        <v>2943004.4316863</v>
      </c>
      <c r="AS14" s="0" t="n">
        <f aca="false">AS13*Inputs!$B$5*Inputs!$B$6*Inputs!$B$7/4*(1-Inputs!$B$9)*(1+Inputs!$B$8)^INT((AS$3-(Inputs!$B$12+Inputs!$B$13)-1)/4)</f>
        <v>2943004.4316863</v>
      </c>
      <c r="AT14" s="0" t="n">
        <f aca="false">AT13*Inputs!$B$5*Inputs!$B$6*Inputs!$B$7/4*(1-Inputs!$B$9)*(1+Inputs!$B$8)^INT((AT$3-(Inputs!$B$12+Inputs!$B$13)-1)/4)</f>
        <v>2943004.4316863</v>
      </c>
      <c r="AU14" s="0" t="n">
        <f aca="false">AU13*Inputs!$B$5*Inputs!$B$6*Inputs!$B$7/4*(1-Inputs!$B$9)*(1+Inputs!$B$8)^INT((AU$3-(Inputs!$B$12+Inputs!$B$13)-1)/4)</f>
        <v>2943004.4316863</v>
      </c>
      <c r="AV14" s="0" t="n">
        <f aca="false">AV13*Inputs!$B$5*Inputs!$B$6*Inputs!$B$7/4*(1-Inputs!$B$9)*(1+Inputs!$B$8)^INT((AV$3-(Inputs!$B$12+Inputs!$B$13)-1)/4)</f>
        <v>3031294.56463689</v>
      </c>
      <c r="AW14" s="0" t="n">
        <f aca="false">AW13*Inputs!$B$5*Inputs!$B$6*Inputs!$B$7/4*(1-Inputs!$B$9)*(1+Inputs!$B$8)^INT((AW$3-(Inputs!$B$12+Inputs!$B$13)-1)/4)</f>
        <v>3031294.56463689</v>
      </c>
      <c r="AX14" s="0" t="n">
        <f aca="false">AX13*Inputs!$B$5*Inputs!$B$6*Inputs!$B$7/4*(1-Inputs!$B$9)*(1+Inputs!$B$8)^INT((AX$3-(Inputs!$B$12+Inputs!$B$13)-1)/4)</f>
        <v>3031294.56463689</v>
      </c>
      <c r="AY14" s="0" t="n">
        <f aca="false">AY13*Inputs!$B$5*Inputs!$B$6*Inputs!$B$7/4*(1-Inputs!$B$9)*(1+Inputs!$B$8)^INT((AY$3-(Inputs!$B$12+Inputs!$B$13)-1)/4)</f>
        <v>3031294.56463689</v>
      </c>
      <c r="AZ14" s="0" t="n">
        <f aca="false">AZ13*Inputs!$B$5*Inputs!$B$6*Inputs!$B$7/4*(1-Inputs!$B$9)*(1+Inputs!$B$8)^INT((AZ$3-(Inputs!$B$12+Inputs!$B$13)-1)/4)</f>
        <v>0</v>
      </c>
      <c r="BA14" s="0" t="n">
        <f aca="false">BA13*Inputs!$B$5*Inputs!$B$6*Inputs!$B$7/4*(1-Inputs!$B$9)*(1+Inputs!$B$8)^INT((BA$3-(Inputs!$B$12+Inputs!$B$13)-1)/4)</f>
        <v>0</v>
      </c>
      <c r="BB14" s="0" t="n">
        <f aca="false">BB13*Inputs!$B$5*Inputs!$B$6*Inputs!$B$7/4*(1-Inputs!$B$9)*(1+Inputs!$B$8)^INT((BB$3-(Inputs!$B$12+Inputs!$B$13)-1)/4)</f>
        <v>0</v>
      </c>
    </row>
    <row r="15" customFormat="false" ht="15" hidden="false" customHeight="false" outlineLevel="0" collapsed="false">
      <c r="A15" s="0" t="s">
        <v>36</v>
      </c>
      <c r="B15" s="0" t="n">
        <f aca="false">B14*(1-Inputs!$B$10)</f>
        <v>0</v>
      </c>
      <c r="C15" s="0" t="n">
        <f aca="false">C14*(1-Inputs!$B$10)</f>
        <v>0</v>
      </c>
      <c r="D15" s="0" t="n">
        <f aca="false">D14*(1-Inputs!$B$10)</f>
        <v>0</v>
      </c>
      <c r="E15" s="0" t="n">
        <f aca="false">E14*(1-Inputs!$B$10)</f>
        <v>0</v>
      </c>
      <c r="F15" s="0" t="n">
        <f aca="false">F14*(1-Inputs!$B$10)</f>
        <v>0</v>
      </c>
      <c r="G15" s="0" t="n">
        <f aca="false">G14*(1-Inputs!$B$10)</f>
        <v>0</v>
      </c>
      <c r="H15" s="0" t="n">
        <f aca="false">H14*(1-Inputs!$B$10)</f>
        <v>0</v>
      </c>
      <c r="I15" s="0" t="n">
        <f aca="false">I14*(1-Inputs!$B$10)</f>
        <v>0</v>
      </c>
      <c r="J15" s="0" t="n">
        <f aca="false">J14*(1-Inputs!$B$10)</f>
        <v>0</v>
      </c>
      <c r="K15" s="0" t="n">
        <f aca="false">K14*(1-Inputs!$B$10)</f>
        <v>0</v>
      </c>
      <c r="L15" s="0" t="n">
        <f aca="false">L14*(1-Inputs!$B$10)</f>
        <v>1672729.11</v>
      </c>
      <c r="M15" s="0" t="n">
        <f aca="false">M14*(1-Inputs!$B$10)</f>
        <v>1672729.11</v>
      </c>
      <c r="N15" s="0" t="n">
        <f aca="false">N14*(1-Inputs!$B$10)</f>
        <v>1672729.11</v>
      </c>
      <c r="O15" s="0" t="n">
        <f aca="false">O14*(1-Inputs!$B$10)</f>
        <v>1672729.11</v>
      </c>
      <c r="P15" s="0" t="n">
        <f aca="false">P14*(1-Inputs!$B$10)</f>
        <v>1722910.9833</v>
      </c>
      <c r="Q15" s="0" t="n">
        <f aca="false">Q14*(1-Inputs!$B$10)</f>
        <v>1722910.9833</v>
      </c>
      <c r="R15" s="0" t="n">
        <f aca="false">R14*(1-Inputs!$B$10)</f>
        <v>1722910.9833</v>
      </c>
      <c r="S15" s="0" t="n">
        <f aca="false">S14*(1-Inputs!$B$10)</f>
        <v>1722910.9833</v>
      </c>
      <c r="T15" s="0" t="n">
        <f aca="false">T14*(1-Inputs!$B$10)</f>
        <v>1774598.312799</v>
      </c>
      <c r="U15" s="0" t="n">
        <f aca="false">U14*(1-Inputs!$B$10)</f>
        <v>1774598.312799</v>
      </c>
      <c r="V15" s="0" t="n">
        <f aca="false">V14*(1-Inputs!$B$10)</f>
        <v>1774598.312799</v>
      </c>
      <c r="W15" s="0" t="n">
        <f aca="false">W14*(1-Inputs!$B$10)</f>
        <v>1774598.312799</v>
      </c>
      <c r="X15" s="0" t="n">
        <f aca="false">X14*(1-Inputs!$B$10)</f>
        <v>1827836.26218297</v>
      </c>
      <c r="Y15" s="0" t="n">
        <f aca="false">Y14*(1-Inputs!$B$10)</f>
        <v>1827836.26218297</v>
      </c>
      <c r="Z15" s="0" t="n">
        <f aca="false">Z14*(1-Inputs!$B$10)</f>
        <v>1827836.26218297</v>
      </c>
      <c r="AA15" s="0" t="n">
        <f aca="false">AA14*(1-Inputs!$B$10)</f>
        <v>1827836.26218297</v>
      </c>
      <c r="AB15" s="0" t="n">
        <f aca="false">AB14*(1-Inputs!$B$10)</f>
        <v>1882671.35004846</v>
      </c>
      <c r="AC15" s="0" t="n">
        <f aca="false">AC14*(1-Inputs!$B$10)</f>
        <v>1882671.35004846</v>
      </c>
      <c r="AD15" s="0" t="n">
        <f aca="false">AD14*(1-Inputs!$B$10)</f>
        <v>1882671.35004846</v>
      </c>
      <c r="AE15" s="0" t="n">
        <f aca="false">AE14*(1-Inputs!$B$10)</f>
        <v>1882671.35004846</v>
      </c>
      <c r="AF15" s="0" t="n">
        <f aca="false">AF14*(1-Inputs!$B$10)</f>
        <v>1939151.49054991</v>
      </c>
      <c r="AG15" s="0" t="n">
        <f aca="false">AG14*(1-Inputs!$B$10)</f>
        <v>1939151.49054991</v>
      </c>
      <c r="AH15" s="0" t="n">
        <f aca="false">AH14*(1-Inputs!$B$10)</f>
        <v>1939151.49054991</v>
      </c>
      <c r="AI15" s="0" t="n">
        <f aca="false">AI14*(1-Inputs!$B$10)</f>
        <v>1939151.49054991</v>
      </c>
      <c r="AJ15" s="0" t="n">
        <f aca="false">AJ14*(1-Inputs!$B$10)</f>
        <v>1997326.03526641</v>
      </c>
      <c r="AK15" s="0" t="n">
        <f aca="false">AK14*(1-Inputs!$B$10)</f>
        <v>1997326.03526641</v>
      </c>
      <c r="AL15" s="0" t="n">
        <f aca="false">AL14*(1-Inputs!$B$10)</f>
        <v>1997326.03526641</v>
      </c>
      <c r="AM15" s="0" t="n">
        <f aca="false">AM14*(1-Inputs!$B$10)</f>
        <v>1997326.03526641</v>
      </c>
      <c r="AN15" s="0" t="n">
        <f aca="false">AN14*(1-Inputs!$B$10)</f>
        <v>2057245.8163244</v>
      </c>
      <c r="AO15" s="0" t="n">
        <f aca="false">AO14*(1-Inputs!$B$10)</f>
        <v>2057245.8163244</v>
      </c>
      <c r="AP15" s="0" t="n">
        <f aca="false">AP14*(1-Inputs!$B$10)</f>
        <v>2057245.8163244</v>
      </c>
      <c r="AQ15" s="0" t="n">
        <f aca="false">AQ14*(1-Inputs!$B$10)</f>
        <v>2057245.8163244</v>
      </c>
      <c r="AR15" s="0" t="n">
        <f aca="false">AR14*(1-Inputs!$B$10)</f>
        <v>2118963.19081414</v>
      </c>
      <c r="AS15" s="0" t="n">
        <f aca="false">AS14*(1-Inputs!$B$10)</f>
        <v>2118963.19081414</v>
      </c>
      <c r="AT15" s="0" t="n">
        <f aca="false">AT14*(1-Inputs!$B$10)</f>
        <v>2118963.19081414</v>
      </c>
      <c r="AU15" s="0" t="n">
        <f aca="false">AU14*(1-Inputs!$B$10)</f>
        <v>2118963.19081414</v>
      </c>
      <c r="AV15" s="0" t="n">
        <f aca="false">AV14*(1-Inputs!$B$10)</f>
        <v>2182532.08653856</v>
      </c>
      <c r="AW15" s="0" t="n">
        <f aca="false">AW14*(1-Inputs!$B$10)</f>
        <v>2182532.08653856</v>
      </c>
      <c r="AX15" s="0" t="n">
        <f aca="false">AX14*(1-Inputs!$B$10)</f>
        <v>2182532.08653856</v>
      </c>
      <c r="AY15" s="0" t="n">
        <f aca="false">AY14*(1-Inputs!$B$10)</f>
        <v>2182532.08653856</v>
      </c>
      <c r="AZ15" s="0" t="n">
        <f aca="false">AZ14*(1-Inputs!$B$10)</f>
        <v>0</v>
      </c>
      <c r="BA15" s="0" t="n">
        <f aca="false">BA14*(1-Inputs!$B$10)</f>
        <v>0</v>
      </c>
      <c r="BB15" s="0" t="n">
        <f aca="false">BB14*(1-Inputs!$B$10)</f>
        <v>0</v>
      </c>
    </row>
    <row r="16" customFormat="false" ht="15" hidden="false" customHeight="false" outlineLevel="0" collapsed="false">
      <c r="A16" s="0" t="s">
        <v>37</v>
      </c>
      <c r="B16" s="0" t="n">
        <f aca="false">IF(B$3=(Inputs!$B$12+Inputs!$B$13)+Inputs!$B$19,B15*4*(1+Inputs!$B$8)/Inputs!$B$20,0)</f>
        <v>0</v>
      </c>
      <c r="C16" s="0" t="n">
        <f aca="false">IF(C$3=(Inputs!$B$12+Inputs!$B$13)+Inputs!$B$19,C15*4*(1+Inputs!$B$8)/Inputs!$B$20,0)</f>
        <v>0</v>
      </c>
      <c r="D16" s="0" t="n">
        <f aca="false">IF(D$3=(Inputs!$B$12+Inputs!$B$13)+Inputs!$B$19,D15*4*(1+Inputs!$B$8)/Inputs!$B$20,0)</f>
        <v>0</v>
      </c>
      <c r="E16" s="0" t="n">
        <f aca="false">IF(E$3=(Inputs!$B$12+Inputs!$B$13)+Inputs!$B$19,E15*4*(1+Inputs!$B$8)/Inputs!$B$20,0)</f>
        <v>0</v>
      </c>
      <c r="F16" s="0" t="n">
        <f aca="false">IF(F$3=(Inputs!$B$12+Inputs!$B$13)+Inputs!$B$19,F15*4*(1+Inputs!$B$8)/Inputs!$B$20,0)</f>
        <v>0</v>
      </c>
      <c r="G16" s="0" t="n">
        <f aca="false">IF(G$3=(Inputs!$B$12+Inputs!$B$13)+Inputs!$B$19,G15*4*(1+Inputs!$B$8)/Inputs!$B$20,0)</f>
        <v>0</v>
      </c>
      <c r="H16" s="0" t="n">
        <f aca="false">IF(H$3=(Inputs!$B$12+Inputs!$B$13)+Inputs!$B$19,H15*4*(1+Inputs!$B$8)/Inputs!$B$20,0)</f>
        <v>0</v>
      </c>
      <c r="I16" s="0" t="n">
        <f aca="false">IF(I$3=(Inputs!$B$12+Inputs!$B$13)+Inputs!$B$19,I15*4*(1+Inputs!$B$8)/Inputs!$B$20,0)</f>
        <v>0</v>
      </c>
      <c r="J16" s="0" t="n">
        <f aca="false">IF(J$3=(Inputs!$B$12+Inputs!$B$13)+Inputs!$B$19,J15*4*(1+Inputs!$B$8)/Inputs!$B$20,0)</f>
        <v>0</v>
      </c>
      <c r="K16" s="0" t="n">
        <f aca="false">IF(K$3=(Inputs!$B$12+Inputs!$B$13)+Inputs!$B$19,K15*4*(1+Inputs!$B$8)/Inputs!$B$20,0)</f>
        <v>0</v>
      </c>
      <c r="L16" s="0" t="n">
        <f aca="false">IF(L$3=(Inputs!$B$12+Inputs!$B$13)+Inputs!$B$19,L15*4*(1+Inputs!$B$8)/Inputs!$B$20,0)</f>
        <v>0</v>
      </c>
      <c r="M16" s="0" t="n">
        <f aca="false">IF(M$3=(Inputs!$B$12+Inputs!$B$13)+Inputs!$B$19,M15*4*(1+Inputs!$B$8)/Inputs!$B$20,0)</f>
        <v>0</v>
      </c>
      <c r="N16" s="0" t="n">
        <f aca="false">IF(N$3=(Inputs!$B$12+Inputs!$B$13)+Inputs!$B$19,N15*4*(1+Inputs!$B$8)/Inputs!$B$20,0)</f>
        <v>0</v>
      </c>
      <c r="O16" s="0" t="n">
        <f aca="false">IF(O$3=(Inputs!$B$12+Inputs!$B$13)+Inputs!$B$19,O15*4*(1+Inputs!$B$8)/Inputs!$B$20,0)</f>
        <v>0</v>
      </c>
      <c r="P16" s="0" t="n">
        <f aca="false">IF(P$3=(Inputs!$B$12+Inputs!$B$13)+Inputs!$B$19,P15*4*(1+Inputs!$B$8)/Inputs!$B$20,0)</f>
        <v>0</v>
      </c>
      <c r="Q16" s="0" t="n">
        <f aca="false">IF(Q$3=(Inputs!$B$12+Inputs!$B$13)+Inputs!$B$19,Q15*4*(1+Inputs!$B$8)/Inputs!$B$20,0)</f>
        <v>0</v>
      </c>
      <c r="R16" s="0" t="n">
        <f aca="false">IF(R$3=(Inputs!$B$12+Inputs!$B$13)+Inputs!$B$19,R15*4*(1+Inputs!$B$8)/Inputs!$B$20,0)</f>
        <v>0</v>
      </c>
      <c r="S16" s="0" t="n">
        <f aca="false">IF(S$3=(Inputs!$B$12+Inputs!$B$13)+Inputs!$B$19,S15*4*(1+Inputs!$B$8)/Inputs!$B$20,0)</f>
        <v>0</v>
      </c>
      <c r="T16" s="0" t="n">
        <f aca="false">IF(T$3=(Inputs!$B$12+Inputs!$B$13)+Inputs!$B$19,T15*4*(1+Inputs!$B$8)/Inputs!$B$20,0)</f>
        <v>0</v>
      </c>
      <c r="U16" s="0" t="n">
        <f aca="false">IF(U$3=(Inputs!$B$12+Inputs!$B$13)+Inputs!$B$19,U15*4*(1+Inputs!$B$8)/Inputs!$B$20,0)</f>
        <v>0</v>
      </c>
      <c r="V16" s="0" t="n">
        <f aca="false">IF(V$3=(Inputs!$B$12+Inputs!$B$13)+Inputs!$B$19,V15*4*(1+Inputs!$B$8)/Inputs!$B$20,0)</f>
        <v>0</v>
      </c>
      <c r="W16" s="0" t="n">
        <f aca="false">IF(W$3=(Inputs!$B$12+Inputs!$B$13)+Inputs!$B$19,W15*4*(1+Inputs!$B$8)/Inputs!$B$20,0)</f>
        <v>0</v>
      </c>
      <c r="X16" s="0" t="n">
        <f aca="false">IF(X$3=(Inputs!$B$12+Inputs!$B$13)+Inputs!$B$19,X15*4*(1+Inputs!$B$8)/Inputs!$B$20,0)</f>
        <v>0</v>
      </c>
      <c r="Y16" s="0" t="n">
        <f aca="false">IF(Y$3=(Inputs!$B$12+Inputs!$B$13)+Inputs!$B$19,Y15*4*(1+Inputs!$B$8)/Inputs!$B$20,0)</f>
        <v>0</v>
      </c>
      <c r="Z16" s="0" t="n">
        <f aca="false">IF(Z$3=(Inputs!$B$12+Inputs!$B$13)+Inputs!$B$19,Z15*4*(1+Inputs!$B$8)/Inputs!$B$20,0)</f>
        <v>0</v>
      </c>
      <c r="AA16" s="0" t="n">
        <f aca="false">IF(AA$3=(Inputs!$B$12+Inputs!$B$13)+Inputs!$B$19,AA15*4*(1+Inputs!$B$8)/Inputs!$B$20,0)</f>
        <v>0</v>
      </c>
      <c r="AB16" s="0" t="n">
        <f aca="false">IF(AB$3=(Inputs!$B$12+Inputs!$B$13)+Inputs!$B$19,AB15*4*(1+Inputs!$B$8)/Inputs!$B$20,0)</f>
        <v>0</v>
      </c>
      <c r="AC16" s="0" t="n">
        <f aca="false">IF(AC$3=(Inputs!$B$12+Inputs!$B$13)+Inputs!$B$19,AC15*4*(1+Inputs!$B$8)/Inputs!$B$20,0)</f>
        <v>0</v>
      </c>
      <c r="AD16" s="0" t="n">
        <f aca="false">IF(AD$3=(Inputs!$B$12+Inputs!$B$13)+Inputs!$B$19,AD15*4*(1+Inputs!$B$8)/Inputs!$B$20,0)</f>
        <v>0</v>
      </c>
      <c r="AE16" s="0" t="n">
        <f aca="false">IF(AE$3=(Inputs!$B$12+Inputs!$B$13)+Inputs!$B$19,AE15*4*(1+Inputs!$B$8)/Inputs!$B$20,0)</f>
        <v>0</v>
      </c>
      <c r="AF16" s="0" t="n">
        <f aca="false">IF(AF$3=(Inputs!$B$12+Inputs!$B$13)+Inputs!$B$19,AF15*4*(1+Inputs!$B$8)/Inputs!$B$20,0)</f>
        <v>0</v>
      </c>
      <c r="AG16" s="0" t="n">
        <f aca="false">IF(AG$3=(Inputs!$B$12+Inputs!$B$13)+Inputs!$B$19,AG15*4*(1+Inputs!$B$8)/Inputs!$B$20,0)</f>
        <v>0</v>
      </c>
      <c r="AH16" s="0" t="n">
        <f aca="false">IF(AH$3=(Inputs!$B$12+Inputs!$B$13)+Inputs!$B$19,AH15*4*(1+Inputs!$B$8)/Inputs!$B$20,0)</f>
        <v>0</v>
      </c>
      <c r="AI16" s="0" t="n">
        <f aca="false">IF(AI$3=(Inputs!$B$12+Inputs!$B$13)+Inputs!$B$19,AI15*4*(1+Inputs!$B$8)/Inputs!$B$20,0)</f>
        <v>0</v>
      </c>
      <c r="AJ16" s="0" t="n">
        <f aca="false">IF(AJ$3=(Inputs!$B$12+Inputs!$B$13)+Inputs!$B$19,AJ15*4*(1+Inputs!$B$8)/Inputs!$B$20,0)</f>
        <v>0</v>
      </c>
      <c r="AK16" s="0" t="n">
        <f aca="false">IF(AK$3=(Inputs!$B$12+Inputs!$B$13)+Inputs!$B$19,AK15*4*(1+Inputs!$B$8)/Inputs!$B$20,0)</f>
        <v>0</v>
      </c>
      <c r="AL16" s="0" t="n">
        <f aca="false">IF(AL$3=(Inputs!$B$12+Inputs!$B$13)+Inputs!$B$19,AL15*4*(1+Inputs!$B$8)/Inputs!$B$20,0)</f>
        <v>0</v>
      </c>
      <c r="AM16" s="0" t="n">
        <f aca="false">IF(AM$3=(Inputs!$B$12+Inputs!$B$13)+Inputs!$B$19,AM15*4*(1+Inputs!$B$8)/Inputs!$B$20,0)</f>
        <v>0</v>
      </c>
      <c r="AN16" s="0" t="n">
        <f aca="false">IF(AN$3=(Inputs!$B$12+Inputs!$B$13)+Inputs!$B$19,AN15*4*(1+Inputs!$B$8)/Inputs!$B$20,0)</f>
        <v>0</v>
      </c>
      <c r="AO16" s="0" t="n">
        <f aca="false">IF(AO$3=(Inputs!$B$12+Inputs!$B$13)+Inputs!$B$19,AO15*4*(1+Inputs!$B$8)/Inputs!$B$20,0)</f>
        <v>0</v>
      </c>
      <c r="AP16" s="0" t="n">
        <f aca="false">IF(AP$3=(Inputs!$B$12+Inputs!$B$13)+Inputs!$B$19,AP15*4*(1+Inputs!$B$8)/Inputs!$B$20,0)</f>
        <v>0</v>
      </c>
      <c r="AQ16" s="0" t="n">
        <f aca="false">IF(AQ$3=(Inputs!$B$12+Inputs!$B$13)+Inputs!$B$19,AQ15*4*(1+Inputs!$B$8)/Inputs!$B$20,0)</f>
        <v>0</v>
      </c>
      <c r="AR16" s="0" t="n">
        <f aca="false">IF(AR$3=(Inputs!$B$12+Inputs!$B$13)+Inputs!$B$19,AR15*4*(1+Inputs!$B$8)/Inputs!$B$20,0)</f>
        <v>0</v>
      </c>
      <c r="AS16" s="0" t="n">
        <f aca="false">IF(AS$3=(Inputs!$B$12+Inputs!$B$13)+Inputs!$B$19,AS15*4*(1+Inputs!$B$8)/Inputs!$B$20,0)</f>
        <v>0</v>
      </c>
      <c r="AT16" s="0" t="n">
        <f aca="false">IF(AT$3=(Inputs!$B$12+Inputs!$B$13)+Inputs!$B$19,AT15*4*(1+Inputs!$B$8)/Inputs!$B$20,0)</f>
        <v>0</v>
      </c>
      <c r="AU16" s="0" t="n">
        <f aca="false">IF(AU$3=(Inputs!$B$12+Inputs!$B$13)+Inputs!$B$19,AU15*4*(1+Inputs!$B$8)/Inputs!$B$20,0)</f>
        <v>0</v>
      </c>
      <c r="AV16" s="0" t="n">
        <f aca="false">IF(AV$3=(Inputs!$B$12+Inputs!$B$13)+Inputs!$B$19,AV15*4*(1+Inputs!$B$8)/Inputs!$B$20,0)</f>
        <v>0</v>
      </c>
      <c r="AW16" s="0" t="n">
        <f aca="false">IF(AW$3=(Inputs!$B$12+Inputs!$B$13)+Inputs!$B$19,AW15*4*(1+Inputs!$B$8)/Inputs!$B$20,0)</f>
        <v>0</v>
      </c>
      <c r="AX16" s="0" t="n">
        <f aca="false">IF(AX$3=(Inputs!$B$12+Inputs!$B$13)+Inputs!$B$19,AX15*4*(1+Inputs!$B$8)/Inputs!$B$20,0)</f>
        <v>0</v>
      </c>
      <c r="AY16" s="0" t="n">
        <f aca="false">IF(AY$3=(Inputs!$B$12+Inputs!$B$13)+Inputs!$B$19,AY15*4*(1+Inputs!$B$8)/Inputs!$B$20,0)</f>
        <v>179840643.930777</v>
      </c>
      <c r="AZ16" s="0" t="n">
        <f aca="false">IF(AZ$3=(Inputs!$B$12+Inputs!$B$13)+Inputs!$B$19,AZ15*4*(1+Inputs!$B$8)/Inputs!$B$20,0)</f>
        <v>0</v>
      </c>
      <c r="BA16" s="0" t="n">
        <f aca="false">IF(BA$3=(Inputs!$B$12+Inputs!$B$13)+Inputs!$B$19,BA15*4*(1+Inputs!$B$8)/Inputs!$B$20,0)</f>
        <v>0</v>
      </c>
      <c r="BB16" s="0" t="n">
        <f aca="false">IF(BB$3=(Inputs!$B$12+Inputs!$B$13)+Inputs!$B$19,BB15*4*(1+Inputs!$B$8)/Inputs!$B$20,0)</f>
        <v>0</v>
      </c>
    </row>
    <row r="17" customFormat="false" ht="15" hidden="false" customHeight="false" outlineLevel="0" collapsed="false">
      <c r="A17" s="0" t="s">
        <v>38</v>
      </c>
      <c r="B17" s="0" t="n">
        <f aca="false">-B9-B8-IF(B$3=(Inputs!$B$12+Inputs!$B$13),Returns!$B$8+Returns!$B$7+Returns!$B$6*Inputs!$B$18,0)+B15+B16</f>
        <v>-18000000</v>
      </c>
      <c r="C17" s="0" t="n">
        <f aca="false">-C9-C8-IF(C$3=(Inputs!$B$12+Inputs!$B$13),Returns!$B$8+Returns!$B$7+Returns!$B$6*Inputs!$B$18,0)+C15+C16</f>
        <v>-3440000</v>
      </c>
      <c r="D17" s="0" t="n">
        <f aca="false">-D9-D8-IF(D$3=(Inputs!$B$12+Inputs!$B$13),Returns!$B$8+Returns!$B$7+Returns!$B$6*Inputs!$B$18,0)+D15+D16</f>
        <v>-6020000</v>
      </c>
      <c r="E17" s="0" t="n">
        <f aca="false">-E9-E8-IF(E$3=(Inputs!$B$12+Inputs!$B$13),Returns!$B$8+Returns!$B$7+Returns!$B$6*Inputs!$B$18,0)+E15+E16</f>
        <v>-8600000</v>
      </c>
      <c r="F17" s="0" t="n">
        <f aca="false">-F9-F8-IF(F$3=(Inputs!$B$12+Inputs!$B$13),Returns!$B$8+Returns!$B$7+Returns!$B$6*Inputs!$B$18,0)+F15+F16</f>
        <v>-10320000</v>
      </c>
      <c r="G17" s="0" t="n">
        <f aca="false">-G9-G8-IF(G$3=(Inputs!$B$12+Inputs!$B$13),Returns!$B$8+Returns!$B$7+Returns!$B$6*Inputs!$B$18,0)+G15+G16</f>
        <v>-11180000</v>
      </c>
      <c r="H17" s="0" t="n">
        <f aca="false">-H9-H8-IF(H$3=(Inputs!$B$12+Inputs!$B$13),Returns!$B$8+Returns!$B$7+Returns!$B$6*Inputs!$B$18,0)+H15+H16</f>
        <v>-11180000</v>
      </c>
      <c r="I17" s="0" t="n">
        <f aca="false">-I9-I8-IF(I$3=(Inputs!$B$12+Inputs!$B$13),Returns!$B$8+Returns!$B$7+Returns!$B$6*Inputs!$B$18,0)+I15+I16</f>
        <v>-10320000</v>
      </c>
      <c r="J17" s="0" t="n">
        <f aca="false">-J9-J8-IF(J$3=(Inputs!$B$12+Inputs!$B$13),Returns!$B$8+Returns!$B$7+Returns!$B$6*Inputs!$B$18,0)+J15+J16</f>
        <v>-9460000</v>
      </c>
      <c r="K17" s="0" t="n">
        <f aca="false">-K9-K8-IF(K$3=(Inputs!$B$12+Inputs!$B$13),Returns!$B$8+Returns!$B$7+Returns!$B$6*Inputs!$B$18,0)+K15+K16</f>
        <v>-45012487.477979</v>
      </c>
      <c r="L17" s="0" t="n">
        <f aca="false">-L9-L8-IF(L$3=(Inputs!$B$12+Inputs!$B$13),Returns!$B$8+Returns!$B$7+Returns!$B$6*Inputs!$B$18,0)+L15+L16</f>
        <v>1672729.11</v>
      </c>
      <c r="M17" s="0" t="n">
        <f aca="false">-M9-M8-IF(M$3=(Inputs!$B$12+Inputs!$B$13),Returns!$B$8+Returns!$B$7+Returns!$B$6*Inputs!$B$18,0)+M15+M16</f>
        <v>1672729.11</v>
      </c>
      <c r="N17" s="0" t="n">
        <f aca="false">-N9-N8-IF(N$3=(Inputs!$B$12+Inputs!$B$13),Returns!$B$8+Returns!$B$7+Returns!$B$6*Inputs!$B$18,0)+N15+N16</f>
        <v>1672729.11</v>
      </c>
      <c r="O17" s="0" t="n">
        <f aca="false">-O9-O8-IF(O$3=(Inputs!$B$12+Inputs!$B$13),Returns!$B$8+Returns!$B$7+Returns!$B$6*Inputs!$B$18,0)+O15+O16</f>
        <v>1672729.11</v>
      </c>
      <c r="P17" s="0" t="n">
        <f aca="false">-P9-P8-IF(P$3=(Inputs!$B$12+Inputs!$B$13),Returns!$B$8+Returns!$B$7+Returns!$B$6*Inputs!$B$18,0)+P15+P16</f>
        <v>1722910.9833</v>
      </c>
      <c r="Q17" s="0" t="n">
        <f aca="false">-Q9-Q8-IF(Q$3=(Inputs!$B$12+Inputs!$B$13),Returns!$B$8+Returns!$B$7+Returns!$B$6*Inputs!$B$18,0)+Q15+Q16</f>
        <v>1722910.9833</v>
      </c>
      <c r="R17" s="0" t="n">
        <f aca="false">-R9-R8-IF(R$3=(Inputs!$B$12+Inputs!$B$13),Returns!$B$8+Returns!$B$7+Returns!$B$6*Inputs!$B$18,0)+R15+R16</f>
        <v>1722910.9833</v>
      </c>
      <c r="S17" s="0" t="n">
        <f aca="false">-S9-S8-IF(S$3=(Inputs!$B$12+Inputs!$B$13),Returns!$B$8+Returns!$B$7+Returns!$B$6*Inputs!$B$18,0)+S15+S16</f>
        <v>1722910.9833</v>
      </c>
      <c r="T17" s="0" t="n">
        <f aca="false">-T9-T8-IF(T$3=(Inputs!$B$12+Inputs!$B$13),Returns!$B$8+Returns!$B$7+Returns!$B$6*Inputs!$B$18,0)+T15+T16</f>
        <v>1774598.312799</v>
      </c>
      <c r="U17" s="0" t="n">
        <f aca="false">-U9-U8-IF(U$3=(Inputs!$B$12+Inputs!$B$13),Returns!$B$8+Returns!$B$7+Returns!$B$6*Inputs!$B$18,0)+U15+U16</f>
        <v>1774598.312799</v>
      </c>
      <c r="V17" s="0" t="n">
        <f aca="false">-V9-V8-IF(V$3=(Inputs!$B$12+Inputs!$B$13),Returns!$B$8+Returns!$B$7+Returns!$B$6*Inputs!$B$18,0)+V15+V16</f>
        <v>1774598.312799</v>
      </c>
      <c r="W17" s="0" t="n">
        <f aca="false">-W9-W8-IF(W$3=(Inputs!$B$12+Inputs!$B$13),Returns!$B$8+Returns!$B$7+Returns!$B$6*Inputs!$B$18,0)+W15+W16</f>
        <v>1774598.312799</v>
      </c>
      <c r="X17" s="0" t="n">
        <f aca="false">-X9-X8-IF(X$3=(Inputs!$B$12+Inputs!$B$13),Returns!$B$8+Returns!$B$7+Returns!$B$6*Inputs!$B$18,0)+X15+X16</f>
        <v>1827836.26218297</v>
      </c>
      <c r="Y17" s="0" t="n">
        <f aca="false">-Y9-Y8-IF(Y$3=(Inputs!$B$12+Inputs!$B$13),Returns!$B$8+Returns!$B$7+Returns!$B$6*Inputs!$B$18,0)+Y15+Y16</f>
        <v>1827836.26218297</v>
      </c>
      <c r="Z17" s="0" t="n">
        <f aca="false">-Z9-Z8-IF(Z$3=(Inputs!$B$12+Inputs!$B$13),Returns!$B$8+Returns!$B$7+Returns!$B$6*Inputs!$B$18,0)+Z15+Z16</f>
        <v>1827836.26218297</v>
      </c>
      <c r="AA17" s="0" t="n">
        <f aca="false">-AA9-AA8-IF(AA$3=(Inputs!$B$12+Inputs!$B$13),Returns!$B$8+Returns!$B$7+Returns!$B$6*Inputs!$B$18,0)+AA15+AA16</f>
        <v>1827836.26218297</v>
      </c>
      <c r="AB17" s="0" t="n">
        <f aca="false">-AB9-AB8-IF(AB$3=(Inputs!$B$12+Inputs!$B$13),Returns!$B$8+Returns!$B$7+Returns!$B$6*Inputs!$B$18,0)+AB15+AB16</f>
        <v>1882671.35004846</v>
      </c>
      <c r="AC17" s="0" t="n">
        <f aca="false">-AC9-AC8-IF(AC$3=(Inputs!$B$12+Inputs!$B$13),Returns!$B$8+Returns!$B$7+Returns!$B$6*Inputs!$B$18,0)+AC15+AC16</f>
        <v>1882671.35004846</v>
      </c>
      <c r="AD17" s="0" t="n">
        <f aca="false">-AD9-AD8-IF(AD$3=(Inputs!$B$12+Inputs!$B$13),Returns!$B$8+Returns!$B$7+Returns!$B$6*Inputs!$B$18,0)+AD15+AD16</f>
        <v>1882671.35004846</v>
      </c>
      <c r="AE17" s="0" t="n">
        <f aca="false">-AE9-AE8-IF(AE$3=(Inputs!$B$12+Inputs!$B$13),Returns!$B$8+Returns!$B$7+Returns!$B$6*Inputs!$B$18,0)+AE15+AE16</f>
        <v>1882671.35004846</v>
      </c>
      <c r="AF17" s="0" t="n">
        <f aca="false">-AF9-AF8-IF(AF$3=(Inputs!$B$12+Inputs!$B$13),Returns!$B$8+Returns!$B$7+Returns!$B$6*Inputs!$B$18,0)+AF15+AF16</f>
        <v>1939151.49054991</v>
      </c>
      <c r="AG17" s="0" t="n">
        <f aca="false">-AG9-AG8-IF(AG$3=(Inputs!$B$12+Inputs!$B$13),Returns!$B$8+Returns!$B$7+Returns!$B$6*Inputs!$B$18,0)+AG15+AG16</f>
        <v>1939151.49054991</v>
      </c>
      <c r="AH17" s="0" t="n">
        <f aca="false">-AH9-AH8-IF(AH$3=(Inputs!$B$12+Inputs!$B$13),Returns!$B$8+Returns!$B$7+Returns!$B$6*Inputs!$B$18,0)+AH15+AH16</f>
        <v>1939151.49054991</v>
      </c>
      <c r="AI17" s="0" t="n">
        <f aca="false">-AI9-AI8-IF(AI$3=(Inputs!$B$12+Inputs!$B$13),Returns!$B$8+Returns!$B$7+Returns!$B$6*Inputs!$B$18,0)+AI15+AI16</f>
        <v>1939151.49054991</v>
      </c>
      <c r="AJ17" s="0" t="n">
        <f aca="false">-AJ9-AJ8-IF(AJ$3=(Inputs!$B$12+Inputs!$B$13),Returns!$B$8+Returns!$B$7+Returns!$B$6*Inputs!$B$18,0)+AJ15+AJ16</f>
        <v>1997326.03526641</v>
      </c>
      <c r="AK17" s="0" t="n">
        <f aca="false">-AK9-AK8-IF(AK$3=(Inputs!$B$12+Inputs!$B$13),Returns!$B$8+Returns!$B$7+Returns!$B$6*Inputs!$B$18,0)+AK15+AK16</f>
        <v>1997326.03526641</v>
      </c>
      <c r="AL17" s="0" t="n">
        <f aca="false">-AL9-AL8-IF(AL$3=(Inputs!$B$12+Inputs!$B$13),Returns!$B$8+Returns!$B$7+Returns!$B$6*Inputs!$B$18,0)+AL15+AL16</f>
        <v>1997326.03526641</v>
      </c>
      <c r="AM17" s="0" t="n">
        <f aca="false">-AM9-AM8-IF(AM$3=(Inputs!$B$12+Inputs!$B$13),Returns!$B$8+Returns!$B$7+Returns!$B$6*Inputs!$B$18,0)+AM15+AM16</f>
        <v>1997326.03526641</v>
      </c>
      <c r="AN17" s="0" t="n">
        <f aca="false">-AN9-AN8-IF(AN$3=(Inputs!$B$12+Inputs!$B$13),Returns!$B$8+Returns!$B$7+Returns!$B$6*Inputs!$B$18,0)+AN15+AN16</f>
        <v>2057245.8163244</v>
      </c>
      <c r="AO17" s="0" t="n">
        <f aca="false">-AO9-AO8-IF(AO$3=(Inputs!$B$12+Inputs!$B$13),Returns!$B$8+Returns!$B$7+Returns!$B$6*Inputs!$B$18,0)+AO15+AO16</f>
        <v>2057245.8163244</v>
      </c>
      <c r="AP17" s="0" t="n">
        <f aca="false">-AP9-AP8-IF(AP$3=(Inputs!$B$12+Inputs!$B$13),Returns!$B$8+Returns!$B$7+Returns!$B$6*Inputs!$B$18,0)+AP15+AP16</f>
        <v>2057245.8163244</v>
      </c>
      <c r="AQ17" s="0" t="n">
        <f aca="false">-AQ9-AQ8-IF(AQ$3=(Inputs!$B$12+Inputs!$B$13),Returns!$B$8+Returns!$B$7+Returns!$B$6*Inputs!$B$18,0)+AQ15+AQ16</f>
        <v>2057245.8163244</v>
      </c>
      <c r="AR17" s="0" t="n">
        <f aca="false">-AR9-AR8-IF(AR$3=(Inputs!$B$12+Inputs!$B$13),Returns!$B$8+Returns!$B$7+Returns!$B$6*Inputs!$B$18,0)+AR15+AR16</f>
        <v>2118963.19081414</v>
      </c>
      <c r="AS17" s="0" t="n">
        <f aca="false">-AS9-AS8-IF(AS$3=(Inputs!$B$12+Inputs!$B$13),Returns!$B$8+Returns!$B$7+Returns!$B$6*Inputs!$B$18,0)+AS15+AS16</f>
        <v>2118963.19081414</v>
      </c>
      <c r="AT17" s="0" t="n">
        <f aca="false">-AT9-AT8-IF(AT$3=(Inputs!$B$12+Inputs!$B$13),Returns!$B$8+Returns!$B$7+Returns!$B$6*Inputs!$B$18,0)+AT15+AT16</f>
        <v>2118963.19081414</v>
      </c>
      <c r="AU17" s="0" t="n">
        <f aca="false">-AU9-AU8-IF(AU$3=(Inputs!$B$12+Inputs!$B$13),Returns!$B$8+Returns!$B$7+Returns!$B$6*Inputs!$B$18,0)+AU15+AU16</f>
        <v>2118963.19081414</v>
      </c>
      <c r="AV17" s="0" t="n">
        <f aca="false">-AV9-AV8-IF(AV$3=(Inputs!$B$12+Inputs!$B$13),Returns!$B$8+Returns!$B$7+Returns!$B$6*Inputs!$B$18,0)+AV15+AV16</f>
        <v>2182532.08653856</v>
      </c>
      <c r="AW17" s="0" t="n">
        <f aca="false">-AW9-AW8-IF(AW$3=(Inputs!$B$12+Inputs!$B$13),Returns!$B$8+Returns!$B$7+Returns!$B$6*Inputs!$B$18,0)+AW15+AW16</f>
        <v>2182532.08653856</v>
      </c>
      <c r="AX17" s="0" t="n">
        <f aca="false">-AX9-AX8-IF(AX$3=(Inputs!$B$12+Inputs!$B$13),Returns!$B$8+Returns!$B$7+Returns!$B$6*Inputs!$B$18,0)+AX15+AX16</f>
        <v>2182532.08653856</v>
      </c>
      <c r="AY17" s="0" t="n">
        <f aca="false">-AY9-AY8-IF(AY$3=(Inputs!$B$12+Inputs!$B$13),Returns!$B$8+Returns!$B$7+Returns!$B$6*Inputs!$B$18,0)+AY15+AY16</f>
        <v>182023176.017316</v>
      </c>
      <c r="AZ17" s="0" t="n">
        <f aca="false">-AZ9-AZ8-IF(AZ$3=(Inputs!$B$12+Inputs!$B$13),Returns!$B$8+Returns!$B$7+Returns!$B$6*Inputs!$B$18,0)+AZ15+AZ16</f>
        <v>0</v>
      </c>
      <c r="BA17" s="0" t="n">
        <f aca="false">-BA9-BA8-IF(BA$3=(Inputs!$B$12+Inputs!$B$13),Returns!$B$8+Returns!$B$7+Returns!$B$6*Inputs!$B$18,0)+BA15+BA16</f>
        <v>0</v>
      </c>
      <c r="BB17" s="0" t="n">
        <f aca="false">-BB9-BB8-IF(BB$3=(Inputs!$B$12+Inputs!$B$13),Returns!$B$8+Returns!$B$7+Returns!$B$6*Inputs!$B$18,0)+BB15+BB16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B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3" customFormat="false" ht="15" hidden="false" customHeight="false" outlineLevel="0" collapsed="false">
      <c r="A3" s="0" t="s">
        <v>39</v>
      </c>
      <c r="B3" s="4" t="n">
        <f aca="false">(Inputs!$B$12+Inputs!$B$13)</f>
        <v>9</v>
      </c>
    </row>
    <row r="4" customFormat="false" ht="15" hidden="false" customHeight="false" outlineLevel="0" collapsed="false">
      <c r="A4" s="0" t="s">
        <v>40</v>
      </c>
      <c r="B4" s="2" t="n">
        <f aca="false">Inputs!$B$5*Inputs!$B$6*Inputs!$B$7*(1-Inputs!$B$9)*(1-Inputs!$B$10)</f>
        <v>6690916.44</v>
      </c>
    </row>
    <row r="5" customFormat="false" ht="15" hidden="false" customHeight="false" outlineLevel="0" collapsed="false">
      <c r="A5" s="0" t="s">
        <v>41</v>
      </c>
      <c r="B5" s="2" t="n">
        <f aca="false">B4/Inputs!$B$17</f>
        <v>140861398.736842</v>
      </c>
    </row>
    <row r="6" customFormat="false" ht="15" hidden="false" customHeight="false" outlineLevel="0" collapsed="false">
      <c r="A6" s="0" t="s">
        <v>42</v>
      </c>
      <c r="B6" s="2" t="n">
        <f aca="false">B5/(1+Inputs!$B$18)-B7</f>
        <v>131338155.737855</v>
      </c>
    </row>
    <row r="7" customFormat="false" ht="15" hidden="false" customHeight="false" outlineLevel="0" collapsed="false">
      <c r="A7" s="0" t="s">
        <v>43</v>
      </c>
      <c r="B7" s="2" t="n">
        <f aca="false">VLOOKUP(B5,SDLT!$A$2:$C$4,3)+(B5-VLOOKUP(B5,SDLT!$A$2:$C$4,1))*VLOOKUP(B5,SDLT!$A$2:$C$4,2)</f>
        <v>7032569.93684211</v>
      </c>
    </row>
    <row r="8" customFormat="false" ht="15" hidden="false" customHeight="false" outlineLevel="0" collapsed="false">
      <c r="A8" s="0" t="s">
        <v>44</v>
      </c>
      <c r="B8" s="2" t="n">
        <f aca="false">B6-Inputs!$B$4-Inputs!$B$11-SUM('Cash Flow'!$B$11:$BB$11)-SUM('Cash Flow'!$B$12:$BB$12)</f>
        <v>20135830.7378555</v>
      </c>
    </row>
    <row r="9" customFormat="false" ht="15" hidden="false" customHeight="false" outlineLevel="0" collapsed="false">
      <c r="A9" s="0" t="s">
        <v>45</v>
      </c>
      <c r="B9" s="2" t="n">
        <f aca="false">SUM('Cash Flow'!$B$11:$BB$11)</f>
        <v>7202325</v>
      </c>
    </row>
    <row r="10" customFormat="false" ht="15" hidden="false" customHeight="false" outlineLevel="0" collapsed="false">
      <c r="A10" s="0" t="s">
        <v>46</v>
      </c>
      <c r="B10" s="2" t="n">
        <f aca="false">SUM('Cash Flow'!$B$12:$BB$12)</f>
        <v>0</v>
      </c>
    </row>
    <row r="11" customFormat="false" ht="15" hidden="false" customHeight="false" outlineLevel="0" collapsed="false">
      <c r="A11" s="0" t="s">
        <v>47</v>
      </c>
      <c r="B11" s="3" t="n">
        <f aca="false">B8/B6</f>
        <v>0.153312878688853</v>
      </c>
    </row>
    <row r="12" customFormat="false" ht="15" hidden="false" customHeight="false" outlineLevel="0" collapsed="false">
      <c r="A12" s="0" t="s">
        <v>48</v>
      </c>
      <c r="B12" s="3" t="n">
        <f aca="false">B4/(B6+B7+B6*Inputs!$B$18)</f>
        <v>0.0475427246620088</v>
      </c>
    </row>
    <row r="13" customFormat="false" ht="15" hidden="false" customHeight="false" outlineLevel="0" collapsed="false">
      <c r="A13" s="0" t="s">
        <v>49</v>
      </c>
      <c r="B13" s="3" t="n">
        <f aca="false">XIRR('Cash Flow'!$B$17:$BB$17,'Cash Flow'!$B$4:$BB$4)</f>
        <v>0.0735684565792811</v>
      </c>
    </row>
    <row r="14" customFormat="false" ht="15" hidden="false" customHeight="false" outlineLevel="0" collapsed="false">
      <c r="A14" s="0" t="s">
        <v>50</v>
      </c>
      <c r="B14" s="2" t="n">
        <f aca="false">SUM('Cash Flow'!$B$17:$BB$17)</f>
        <v>123012015.004094</v>
      </c>
    </row>
    <row r="16" customFormat="false" ht="15" hidden="false" customHeight="false" outlineLevel="0" collapsed="false">
      <c r="A16" s="0" t="s">
        <v>51</v>
      </c>
      <c r="B16" s="2" t="n">
        <f aca="false">INDEX('FY Summary'!$B$2:$B$14,MATCH("FY30",'FY Summary'!$A$2:$A$14,0))</f>
        <v>6943331.262699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0" t="s">
        <v>26</v>
      </c>
      <c r="B1" s="0" t="s">
        <v>52</v>
      </c>
      <c r="C1" s="0" t="s">
        <v>53</v>
      </c>
    </row>
    <row r="2" customFormat="false" ht="15" hidden="false" customHeight="false" outlineLevel="0" collapsed="false">
      <c r="A2" s="0" t="s">
        <v>54</v>
      </c>
      <c r="B2" s="0" t="n">
        <f aca="false">SUMIF('Cash Flow'!$B$5:$BB$5,A2,'Cash Flow'!$B$15:$BB$15)</f>
        <v>0</v>
      </c>
      <c r="C2" s="0" t="n">
        <f aca="false">SUMIF('Cash Flow'!$B$5:$BB$5,A2,'Cash Flow'!$B$14:$BB$14)</f>
        <v>0</v>
      </c>
    </row>
    <row r="3" customFormat="false" ht="15" hidden="false" customHeight="false" outlineLevel="0" collapsed="false">
      <c r="A3" s="0" t="s">
        <v>55</v>
      </c>
      <c r="B3" s="0" t="n">
        <f aca="false">SUMIF('Cash Flow'!$B$5:$BB$5,A3,'Cash Flow'!$B$15:$BB$15)</f>
        <v>1672729.11</v>
      </c>
      <c r="C3" s="0" t="n">
        <f aca="false">SUMIF('Cash Flow'!$B$5:$BB$5,A3,'Cash Flow'!$B$14:$BB$14)</f>
        <v>2323234.875</v>
      </c>
    </row>
    <row r="4" customFormat="false" ht="15" hidden="false" customHeight="false" outlineLevel="0" collapsed="false">
      <c r="A4" s="0" t="s">
        <v>56</v>
      </c>
      <c r="B4" s="0" t="n">
        <f aca="false">SUMIF('Cash Flow'!$B$5:$BB$5,A4,'Cash Flow'!$B$15:$BB$15)</f>
        <v>6741098.3133</v>
      </c>
      <c r="C4" s="0" t="n">
        <f aca="false">SUMIF('Cash Flow'!$B$5:$BB$5,A4,'Cash Flow'!$B$14:$BB$14)</f>
        <v>9362636.54625</v>
      </c>
    </row>
    <row r="5" customFormat="false" ht="15" hidden="false" customHeight="false" outlineLevel="0" collapsed="false">
      <c r="A5" s="0" t="s">
        <v>57</v>
      </c>
      <c r="B5" s="0" t="n">
        <f aca="false">SUMIF('Cash Flow'!$B$5:$BB$5,A5,'Cash Flow'!$B$15:$BB$15)</f>
        <v>6943331.262699</v>
      </c>
      <c r="C5" s="0" t="n">
        <f aca="false">SUMIF('Cash Flow'!$B$5:$BB$5,A5,'Cash Flow'!$B$14:$BB$14)</f>
        <v>9643515.6426375</v>
      </c>
    </row>
    <row r="6" customFormat="false" ht="15" hidden="false" customHeight="false" outlineLevel="0" collapsed="false">
      <c r="A6" s="0" t="s">
        <v>58</v>
      </c>
      <c r="B6" s="0" t="n">
        <f aca="false">SUMIF('Cash Flow'!$B$5:$BB$5,A6,'Cash Flow'!$B$15:$BB$15)</f>
        <v>7151631.20057997</v>
      </c>
      <c r="C6" s="0" t="n">
        <f aca="false">SUMIF('Cash Flow'!$B$5:$BB$5,A6,'Cash Flow'!$B$14:$BB$14)</f>
        <v>9932821.11191662</v>
      </c>
    </row>
    <row r="7" customFormat="false" ht="15" hidden="false" customHeight="false" outlineLevel="0" collapsed="false">
      <c r="A7" s="0" t="s">
        <v>59</v>
      </c>
      <c r="B7" s="0" t="n">
        <f aca="false">SUMIF('Cash Flow'!$B$5:$BB$5,A7,'Cash Flow'!$B$15:$BB$15)</f>
        <v>7366180.13659737</v>
      </c>
      <c r="C7" s="0" t="n">
        <f aca="false">SUMIF('Cash Flow'!$B$5:$BB$5,A7,'Cash Flow'!$B$14:$BB$14)</f>
        <v>10230805.7452741</v>
      </c>
    </row>
    <row r="8" customFormat="false" ht="15" hidden="false" customHeight="false" outlineLevel="0" collapsed="false">
      <c r="A8" s="0" t="s">
        <v>60</v>
      </c>
      <c r="B8" s="0" t="n">
        <f aca="false">SUMIF('Cash Flow'!$B$5:$BB$5,A8,'Cash Flow'!$B$15:$BB$15)</f>
        <v>7587165.54069529</v>
      </c>
      <c r="C8" s="0" t="n">
        <f aca="false">SUMIF('Cash Flow'!$B$5:$BB$5,A8,'Cash Flow'!$B$14:$BB$14)</f>
        <v>10537729.9176323</v>
      </c>
    </row>
    <row r="9" customFormat="false" ht="15" hidden="false" customHeight="false" outlineLevel="0" collapsed="false">
      <c r="A9" s="0" t="s">
        <v>61</v>
      </c>
      <c r="B9" s="0" t="n">
        <f aca="false">SUMIF('Cash Flow'!$B$5:$BB$5,A9,'Cash Flow'!$B$15:$BB$15)</f>
        <v>7814780.50691615</v>
      </c>
      <c r="C9" s="0" t="n">
        <f aca="false">SUMIF('Cash Flow'!$B$5:$BB$5,A9,'Cash Flow'!$B$14:$BB$14)</f>
        <v>10853861.8151613</v>
      </c>
    </row>
    <row r="10" customFormat="false" ht="15" hidden="false" customHeight="false" outlineLevel="0" collapsed="false">
      <c r="A10" s="0" t="s">
        <v>62</v>
      </c>
      <c r="B10" s="0" t="n">
        <f aca="false">SUMIF('Cash Flow'!$B$5:$BB$5,A10,'Cash Flow'!$B$15:$BB$15)</f>
        <v>8049223.92212363</v>
      </c>
      <c r="C10" s="0" t="n">
        <f aca="false">SUMIF('Cash Flow'!$B$5:$BB$5,A10,'Cash Flow'!$B$14:$BB$14)</f>
        <v>11179477.6696162</v>
      </c>
    </row>
    <row r="11" customFormat="false" ht="15" hidden="false" customHeight="false" outlineLevel="0" collapsed="false">
      <c r="A11" s="0" t="s">
        <v>63</v>
      </c>
      <c r="B11" s="0" t="n">
        <f aca="false">SUMIF('Cash Flow'!$B$5:$BB$5,A11,'Cash Flow'!$B$15:$BB$15)</f>
        <v>8290700.63978734</v>
      </c>
      <c r="C11" s="0" t="n">
        <f aca="false">SUMIF('Cash Flow'!$B$5:$BB$5,A11,'Cash Flow'!$B$14:$BB$14)</f>
        <v>11514861.9997046</v>
      </c>
    </row>
    <row r="12" customFormat="false" ht="15" hidden="false" customHeight="false" outlineLevel="0" collapsed="false">
      <c r="A12" s="0" t="s">
        <v>64</v>
      </c>
      <c r="B12" s="0" t="n">
        <f aca="false">SUMIF('Cash Flow'!$B$5:$BB$5,A12,'Cash Flow'!$B$15:$BB$15)</f>
        <v>8539421.65898097</v>
      </c>
      <c r="C12" s="0" t="n">
        <f aca="false">SUMIF('Cash Flow'!$B$5:$BB$5,A12,'Cash Flow'!$B$14:$BB$14)</f>
        <v>11860307.8596958</v>
      </c>
    </row>
    <row r="13" customFormat="false" ht="15" hidden="false" customHeight="false" outlineLevel="0" collapsed="false">
      <c r="A13" s="0" t="s">
        <v>65</v>
      </c>
      <c r="B13" s="0" t="n">
        <f aca="false">SUMIF('Cash Flow'!$B$5:$BB$5,A13,'Cash Flow'!$B$15:$BB$15)</f>
        <v>6547596.25961568</v>
      </c>
      <c r="C13" s="0" t="n">
        <f aca="false">SUMIF('Cash Flow'!$B$5:$BB$5,A13,'Cash Flow'!$B$14:$BB$14)</f>
        <v>9093883.69391066</v>
      </c>
    </row>
    <row r="14" customFormat="false" ht="15" hidden="false" customHeight="false" outlineLevel="0" collapsed="false">
      <c r="A14" s="0" t="s">
        <v>66</v>
      </c>
      <c r="B14" s="0" t="n">
        <f aca="false">SUMIF('Cash Flow'!$B$5:$BB$5,A14,'Cash Flow'!$B$15:$BB$15)</f>
        <v>0</v>
      </c>
      <c r="C14" s="0" t="n">
        <f aca="false">SUMIF('Cash Flow'!$B$5:$BB$5,A14,'Cash Flow'!$B$14:$BB$14)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2026-10-17T19:14:16Z</dcterms:created>
  <dc:creator>openpyxl</dc:creator>
  <dc:description/>
  <dc:language>en-US</dc:language>
  <cp:lastModifiedBy/>
  <dcterms:modified xsi:type="dcterms:W3CDTF">2026-10-17T19:14:16Z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