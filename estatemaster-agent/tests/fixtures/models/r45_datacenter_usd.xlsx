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nderwriting" sheetId="1" state="visible" r:id="rId3"/>
    <sheet name="Annual CF" sheetId="2" state="visible" r:id="rId4"/>
  </sheets>
  <definedNames>
    <definedName function="false" hidden="false" name="Exit_Cap" vbProcedure="false">Underwriting!$C$48</definedName>
    <definedName function="false" hidden="false" name="Exit_NOI" vbProcedure="false">Underwriting!$E$53</definedName>
    <definedName function="false" hidden="false" name="IT_Load" vbProcedure="false">Underwriting!$E$10</definedName>
    <definedName function="false" hidden="false" name="Perm_Debt" vbProcedure="false">Underwriting!$E$54</definedName>
    <definedName function="false" hidden="false" name="Project_Cost_Total" vbProcedure="false">Underwriting!$E$22</definedName>
    <definedName function="false" hidden="false" name="Sale_Month" vbProcedure="false">Underwriting!$E$8</definedName>
    <definedName function="false" hidden="false" name="Stabilization_1st_Month" vbProcedure="false">Underwriting!$E$9</definedName>
    <definedName function="false" hidden="false" name="Stabilized_NOI" vbProcedure="false">Underwriting!$E$55</definedName>
    <definedName function="false" hidden="false" name="Stabilized_NOI_Untrended" vbProcedure="false">Underwriting!$E$56</definedName>
    <definedName function="false" hidden="false" name="Timing_Start" vbProcedure="false">Underwriting!$E$7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<sst xmlns="http://schemas.openxmlformats.org/spreadsheetml/2006/main" count="139" uniqueCount="104">
  <si>
    <t xml:space="preserve">DATA CENTER DEVELOPMENT | UNDERWRITING</t>
  </si>
  <si>
    <t xml:space="preserve">All amounts in USD</t>
  </si>
  <si>
    <t xml:space="preserve">KEY METRICS</t>
  </si>
  <si>
    <t xml:space="preserve">EQUITY MULTIPLE</t>
  </si>
  <si>
    <t xml:space="preserve">IRR</t>
  </si>
  <si>
    <t xml:space="preserve">NET PROFIT</t>
  </si>
  <si>
    <t xml:space="preserve">Unlevered</t>
  </si>
  <si>
    <t xml:space="preserve">TIMING</t>
  </si>
  <si>
    <t xml:space="preserve">Levered</t>
  </si>
  <si>
    <t xml:space="preserve">Analysis Start</t>
  </si>
  <si>
    <t xml:space="preserve">Sale Month</t>
  </si>
  <si>
    <t xml:space="preserve">YIELD ON COST</t>
  </si>
  <si>
    <t xml:space="preserve">Stabilization (1st month)</t>
  </si>
  <si>
    <t xml:space="preserve">Untrended</t>
  </si>
  <si>
    <t xml:space="preserve">Total IT Load (kW)</t>
  </si>
  <si>
    <t xml:space="preserve">Trended</t>
  </si>
  <si>
    <t xml:space="preserve">Land Area (SF)</t>
  </si>
  <si>
    <t xml:space="preserve">At Sale</t>
  </si>
  <si>
    <t xml:space="preserve">Gross Building Area (SF)</t>
  </si>
  <si>
    <t xml:space="preserve">Development Spread (bps)</t>
  </si>
  <si>
    <t xml:space="preserve">USES</t>
  </si>
  <si>
    <t xml:space="preserve">Per kW</t>
  </si>
  <si>
    <t xml:space="preserve">Per GSF</t>
  </si>
  <si>
    <t xml:space="preserve">Total</t>
  </si>
  <si>
    <t xml:space="preserve">Start Month</t>
  </si>
  <si>
    <t xml:space="preserve">End Month</t>
  </si>
  <si>
    <t xml:space="preserve">Method</t>
  </si>
  <si>
    <t xml:space="preserve">Land Acquisition</t>
  </si>
  <si>
    <t xml:space="preserve">Straight-Line</t>
  </si>
  <si>
    <t xml:space="preserve">Shell &amp; Core</t>
  </si>
  <si>
    <t xml:space="preserve">S-Curve</t>
  </si>
  <si>
    <t xml:space="preserve">Power &amp; Cooling (MEP)</t>
  </si>
  <si>
    <t xml:space="preserve">Fit-Out &amp; IT Infrastructure</t>
  </si>
  <si>
    <t xml:space="preserve">Soft Costs</t>
  </si>
  <si>
    <t xml:space="preserve">Developer Fee</t>
  </si>
  <si>
    <t xml:space="preserve">Contingency</t>
  </si>
  <si>
    <t xml:space="preserve">Total Project Cost</t>
  </si>
  <si>
    <t xml:space="preserve">FINANCING</t>
  </si>
  <si>
    <t xml:space="preserve">Construction Loan to Cost</t>
  </si>
  <si>
    <t xml:space="preserve">Rate</t>
  </si>
  <si>
    <t xml:space="preserve">Permanent Loan LTV</t>
  </si>
  <si>
    <t xml:space="preserve">TENANT</t>
  </si>
  <si>
    <t xml:space="preserve">IT Load (kW)</t>
  </si>
  <si>
    <t xml:space="preserve">Rent / kW / Month</t>
  </si>
  <si>
    <t xml:space="preserve">Growth (% /Yr.)</t>
  </si>
  <si>
    <t xml:space="preserve">Lease Start Month</t>
  </si>
  <si>
    <t xml:space="preserve">Ramp-Up (months)</t>
  </si>
  <si>
    <t xml:space="preserve">Hyperscaler A</t>
  </si>
  <si>
    <t xml:space="preserve">Hyperscaler B</t>
  </si>
  <si>
    <t xml:space="preserve">Enterprise Colocation</t>
  </si>
  <si>
    <t xml:space="preserve">Cloud On-Ramp</t>
  </si>
  <si>
    <t xml:space="preserve">OPERATING EXPENSES</t>
  </si>
  <si>
    <t xml:space="preserve">Year 1</t>
  </si>
  <si>
    <t xml:space="preserve">Basis</t>
  </si>
  <si>
    <t xml:space="preserve">Utilities</t>
  </si>
  <si>
    <t xml:space="preserve">per leased kW / yr</t>
  </si>
  <si>
    <t xml:space="preserve">Maintenance</t>
  </si>
  <si>
    <t xml:space="preserve">fixed / yr</t>
  </si>
  <si>
    <t xml:space="preserve">Staffing</t>
  </si>
  <si>
    <t xml:space="preserve">Insurance</t>
  </si>
  <si>
    <t xml:space="preserve">G&amp;A</t>
  </si>
  <si>
    <t xml:space="preserve">Property Taxes</t>
  </si>
  <si>
    <t xml:space="preserve">Management Fee</t>
  </si>
  <si>
    <t xml:space="preserve">% of rent</t>
  </si>
  <si>
    <t xml:space="preserve">Expense Growth (% /Yr.)</t>
  </si>
  <si>
    <t xml:space="preserve">Expense Recovery %</t>
  </si>
  <si>
    <t xml:space="preserve">Opex Start Month</t>
  </si>
  <si>
    <t xml:space="preserve">REVERSION</t>
  </si>
  <si>
    <t xml:space="preserve">Exit Cap Rate</t>
  </si>
  <si>
    <t xml:space="preserve">Selling Costs</t>
  </si>
  <si>
    <t xml:space="preserve">Month</t>
  </si>
  <si>
    <t xml:space="preserve">Month Ending</t>
  </si>
  <si>
    <t xml:space="preserve">Year</t>
  </si>
  <si>
    <t xml:space="preserve">Exit NOI (forward)</t>
  </si>
  <si>
    <t xml:space="preserve">Permanent Loan</t>
  </si>
  <si>
    <t xml:space="preserve">Stabilized NOI (annualised)</t>
  </si>
  <si>
    <t xml:space="preserve">Stabilized NOI (untrended)</t>
  </si>
  <si>
    <t xml:space="preserve">Total Development Cost</t>
  </si>
  <si>
    <t xml:space="preserve">Leased IT Load (kW)</t>
  </si>
  <si>
    <t xml:space="preserve">Rent - Hyperscaler A</t>
  </si>
  <si>
    <t xml:space="preserve">Rent - Hyperscaler B</t>
  </si>
  <si>
    <t xml:space="preserve">Rent - Enterprise Colocation</t>
  </si>
  <si>
    <t xml:space="preserve">Rent - Cloud On-Ramp</t>
  </si>
  <si>
    <t xml:space="preserve">Total Rental Revenue</t>
  </si>
  <si>
    <t xml:space="preserve">Recovery - Hyperscaler A</t>
  </si>
  <si>
    <t xml:space="preserve">Recovery - Hyperscaler B</t>
  </si>
  <si>
    <t xml:space="preserve">Recovery - Enterprise Colocation</t>
  </si>
  <si>
    <t xml:space="preserve">Recovery - Cloud On-Ramp</t>
  </si>
  <si>
    <t xml:space="preserve">Total Recovery Income</t>
  </si>
  <si>
    <t xml:space="preserve">Effective Gross Revenue</t>
  </si>
  <si>
    <t xml:space="preserve">Net Operating Income</t>
  </si>
  <si>
    <t xml:space="preserve">Total Operating Expenses</t>
  </si>
  <si>
    <t xml:space="preserve">Gross Sale Price</t>
  </si>
  <si>
    <t xml:space="preserve">Net Sale Proceeds</t>
  </si>
  <si>
    <t xml:space="preserve">Construction Loan Draw</t>
  </si>
  <si>
    <t xml:space="preserve">Construction Loan Interest</t>
  </si>
  <si>
    <t xml:space="preserve">Construction Loan Repayment</t>
  </si>
  <si>
    <t xml:space="preserve">Construction Loan Balance</t>
  </si>
  <si>
    <t xml:space="preserve">Permanent Loan Proceeds</t>
  </si>
  <si>
    <t xml:space="preserve">Permanent Loan Interest</t>
  </si>
  <si>
    <t xml:space="preserve">Permanent Loan Repayment</t>
  </si>
  <si>
    <t xml:space="preserve">Unlevered Cash Flow</t>
  </si>
  <si>
    <t xml:space="preserve">Levered Cash Flow</t>
  </si>
  <si>
    <t xml:space="preserve">DATA CENTER DEVELOPMENT | ANNUAL CASH FLOW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</si>
</sst>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\x"/>
    <numFmt numFmtId="166" formatCode="0.00%"/>
    <numFmt numFmtId="167" formatCode="#,##0"/>
    <numFmt numFmtId="168" formatCode="mmm\-yy"/>
    <numFmt numFmtId="169" formatCode="0"/>
    <numFmt numFmtId="170" formatCode="#,##0;\(#,##0\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Y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3" customFormat="false" ht="15" hidden="false" customHeight="false" outlineLevel="0" collapsed="false">
      <c r="B3" s="0" t="s">
        <v>1</v>
      </c>
      <c r="H3" s="0" t="s">
        <v>2</v>
      </c>
    </row>
    <row r="4" customFormat="false" ht="15" hidden="false" customHeight="false" outlineLevel="0" collapsed="false">
      <c r="I4" s="0" t="s">
        <v>3</v>
      </c>
      <c r="J4" s="0" t="s">
        <v>4</v>
      </c>
      <c r="K4" s="0" t="s">
        <v>5</v>
      </c>
    </row>
    <row r="5" customFormat="false" ht="15" hidden="false" customHeight="false" outlineLevel="0" collapsed="false">
      <c r="H5" s="0" t="s">
        <v>6</v>
      </c>
      <c r="I5" s="1" t="n">
        <f aca="false">SUMIF($S$104:$CY$104,"&gt;0")/-SUMIF($S$104:$CY$104,"&lt;0")</f>
        <v>1.96086600445208</v>
      </c>
      <c r="J5" s="2" t="n">
        <f aca="true">XIRR(OFFSET($S$104,0,0,1,Sale_Month+1),OFFSET($S$51,0,0,1,Sale_Month+1))</f>
        <v>0.15417690016106</v>
      </c>
      <c r="K5" s="3" t="n">
        <f aca="false">SUM($S$104:$CY$104)</f>
        <v>412515745.548938</v>
      </c>
    </row>
    <row r="6" customFormat="false" ht="15" hidden="false" customHeight="false" outlineLevel="0" collapsed="false">
      <c r="B6" s="0" t="s">
        <v>7</v>
      </c>
      <c r="H6" s="0" t="s">
        <v>8</v>
      </c>
      <c r="I6" s="1" t="n">
        <f aca="false">SUMIF($S$112:$CY$112,"&gt;0")/-SUMIF($S$112:$CY$112,"&lt;0")</f>
        <v>2.60379848268938</v>
      </c>
      <c r="J6" s="2" t="n">
        <f aca="true">XIRR(OFFSET($S$112,0,0,1,Sale_Month+1),OFFSET($S$51,0,0,1,Sale_Month+1))</f>
        <v>0.250787604610578</v>
      </c>
      <c r="K6" s="3" t="n">
        <f aca="false">SUM($S$112:$CY$112)</f>
        <v>312506900.048938</v>
      </c>
    </row>
    <row r="7" customFormat="false" ht="15" hidden="false" customHeight="false" outlineLevel="0" collapsed="false">
      <c r="B7" s="0" t="s">
        <v>9</v>
      </c>
      <c r="E7" s="4" t="n">
        <v>46388</v>
      </c>
    </row>
    <row r="8" customFormat="false" ht="15" hidden="false" customHeight="false" outlineLevel="0" collapsed="false">
      <c r="B8" s="0" t="s">
        <v>10</v>
      </c>
      <c r="E8" s="0" t="n">
        <v>72</v>
      </c>
      <c r="H8" s="0" t="s">
        <v>11</v>
      </c>
    </row>
    <row r="9" customFormat="false" ht="15" hidden="false" customHeight="false" outlineLevel="0" collapsed="false">
      <c r="B9" s="0" t="s">
        <v>12</v>
      </c>
      <c r="E9" s="0" t="n">
        <f aca="false">MAX(F29+G29,F30+G30,F31+G31,F32+G32)</f>
        <v>40</v>
      </c>
      <c r="H9" s="0" t="s">
        <v>13</v>
      </c>
      <c r="J9" s="2" t="n">
        <f aca="false">Stabilized_NOI_Untrended/Project_Cost_Total</f>
        <v>0.0921092120012109</v>
      </c>
    </row>
    <row r="10" customFormat="false" ht="15" hidden="false" customHeight="false" outlineLevel="0" collapsed="false">
      <c r="B10" s="0" t="s">
        <v>14</v>
      </c>
      <c r="E10" s="3" t="n">
        <f aca="false">SUM(C29:C32)</f>
        <v>24000</v>
      </c>
      <c r="H10" s="5" t="s">
        <v>15</v>
      </c>
      <c r="J10" s="2" t="n">
        <f aca="false">Stabilized_NOI/Project_Cost_Total</f>
        <v>0.0945140033218514</v>
      </c>
    </row>
    <row r="11" customFormat="false" ht="15" hidden="false" customHeight="false" outlineLevel="0" collapsed="false">
      <c r="B11" s="0" t="s">
        <v>16</v>
      </c>
      <c r="E11" s="3" t="n">
        <v>420000</v>
      </c>
      <c r="H11" s="5" t="s">
        <v>17</v>
      </c>
      <c r="J11" s="2" t="n">
        <f aca="false">Exit_NOI/Project_Cost_Total</f>
        <v>0.102649488177164</v>
      </c>
    </row>
    <row r="12" customFormat="false" ht="15" hidden="false" customHeight="false" outlineLevel="0" collapsed="false">
      <c r="B12" s="0" t="s">
        <v>18</v>
      </c>
      <c r="E12" s="3" t="n">
        <v>185000</v>
      </c>
      <c r="H12" s="5" t="s">
        <v>19</v>
      </c>
      <c r="J12" s="6" t="n">
        <f aca="false">(J10-Exit_Cap)*10000</f>
        <v>320.140033218514</v>
      </c>
    </row>
    <row r="14" customFormat="false" ht="15" hidden="false" customHeight="false" outlineLevel="0" collapsed="false">
      <c r="B14" s="0" t="s">
        <v>20</v>
      </c>
      <c r="C14" s="0" t="s">
        <v>21</v>
      </c>
      <c r="D14" s="0" t="s">
        <v>22</v>
      </c>
      <c r="E14" s="0" t="s">
        <v>23</v>
      </c>
      <c r="F14" s="0" t="s">
        <v>24</v>
      </c>
      <c r="G14" s="0" t="s">
        <v>25</v>
      </c>
      <c r="H14" s="0" t="s">
        <v>26</v>
      </c>
    </row>
    <row r="15" customFormat="false" ht="15" hidden="false" customHeight="false" outlineLevel="0" collapsed="false">
      <c r="B15" s="0" t="s">
        <v>27</v>
      </c>
      <c r="E15" s="3" t="n">
        <f aca="false">E11*42</f>
        <v>17640000</v>
      </c>
      <c r="F15" s="0" t="n">
        <v>0</v>
      </c>
      <c r="G15" s="0" t="n">
        <v>0</v>
      </c>
      <c r="H15" s="5" t="s">
        <v>28</v>
      </c>
    </row>
    <row r="16" customFormat="false" ht="15" hidden="false" customHeight="false" outlineLevel="0" collapsed="false">
      <c r="B16" s="0" t="s">
        <v>29</v>
      </c>
      <c r="D16" s="0" t="n">
        <v>410</v>
      </c>
      <c r="E16" s="3" t="n">
        <f aca="false">D16*E12</f>
        <v>75850000</v>
      </c>
      <c r="F16" s="0" t="n">
        <v>1</v>
      </c>
      <c r="G16" s="0" t="n">
        <v>16</v>
      </c>
      <c r="H16" s="5" t="s">
        <v>30</v>
      </c>
    </row>
    <row r="17" customFormat="false" ht="15" hidden="false" customHeight="false" outlineLevel="0" collapsed="false">
      <c r="B17" s="0" t="s">
        <v>31</v>
      </c>
      <c r="C17" s="0" t="n">
        <v>9800</v>
      </c>
      <c r="E17" s="3" t="n">
        <f aca="false">C17*IT_Load</f>
        <v>235200000</v>
      </c>
      <c r="F17" s="0" t="n">
        <v>4</v>
      </c>
      <c r="G17" s="0" t="n">
        <v>20</v>
      </c>
      <c r="H17" s="5" t="s">
        <v>30</v>
      </c>
    </row>
    <row r="18" customFormat="false" ht="15" hidden="false" customHeight="false" outlineLevel="0" collapsed="false">
      <c r="B18" s="0" t="s">
        <v>32</v>
      </c>
      <c r="C18" s="0" t="n">
        <v>1400</v>
      </c>
      <c r="E18" s="3" t="n">
        <f aca="false">C18*IT_Load</f>
        <v>33600000</v>
      </c>
      <c r="F18" s="0" t="n">
        <v>12</v>
      </c>
      <c r="G18" s="0" t="n">
        <v>22</v>
      </c>
      <c r="H18" s="5" t="s">
        <v>28</v>
      </c>
    </row>
    <row r="19" customFormat="false" ht="15" hidden="false" customHeight="false" outlineLevel="0" collapsed="false">
      <c r="B19" s="0" t="s">
        <v>33</v>
      </c>
      <c r="E19" s="3" t="n">
        <f aca="false">0.11*SUM(E16:E18)</f>
        <v>37911500</v>
      </c>
      <c r="F19" s="0" t="n">
        <v>1</v>
      </c>
      <c r="G19" s="0" t="n">
        <v>22</v>
      </c>
      <c r="H19" s="5" t="s">
        <v>28</v>
      </c>
    </row>
    <row r="20" customFormat="false" ht="15" hidden="false" customHeight="false" outlineLevel="0" collapsed="false">
      <c r="B20" s="0" t="s">
        <v>34</v>
      </c>
      <c r="E20" s="3" t="n">
        <f aca="false">0.03*SUM(E16:E18)</f>
        <v>10339500</v>
      </c>
      <c r="F20" s="0" t="n">
        <v>1</v>
      </c>
      <c r="G20" s="0" t="n">
        <v>22</v>
      </c>
      <c r="H20" s="5" t="s">
        <v>28</v>
      </c>
    </row>
    <row r="21" customFormat="false" ht="15" hidden="false" customHeight="false" outlineLevel="0" collapsed="false">
      <c r="B21" s="0" t="s">
        <v>35</v>
      </c>
      <c r="E21" s="3" t="n">
        <f aca="false">0.05*SUM(E16:E18)</f>
        <v>17232500</v>
      </c>
      <c r="F21" s="0" t="n">
        <v>4</v>
      </c>
      <c r="G21" s="0" t="n">
        <v>22</v>
      </c>
      <c r="H21" s="5" t="s">
        <v>30</v>
      </c>
    </row>
    <row r="22" customFormat="false" ht="15" hidden="false" customHeight="false" outlineLevel="0" collapsed="false">
      <c r="B22" s="0" t="s">
        <v>36</v>
      </c>
      <c r="E22" s="3" t="n">
        <f aca="false">SUM(E15:E21)</f>
        <v>427773500</v>
      </c>
    </row>
    <row r="24" customFormat="false" ht="15" hidden="false" customHeight="false" outlineLevel="0" collapsed="false">
      <c r="B24" s="0" t="s">
        <v>37</v>
      </c>
    </row>
    <row r="25" customFormat="false" ht="15" hidden="false" customHeight="false" outlineLevel="0" collapsed="false">
      <c r="B25" s="0" t="s">
        <v>38</v>
      </c>
      <c r="E25" s="2" t="n">
        <v>0.6</v>
      </c>
      <c r="F25" s="5" t="s">
        <v>39</v>
      </c>
      <c r="G25" s="2" t="n">
        <v>0.075</v>
      </c>
    </row>
    <row r="26" customFormat="false" ht="15" hidden="false" customHeight="false" outlineLevel="0" collapsed="false">
      <c r="B26" s="0" t="s">
        <v>40</v>
      </c>
      <c r="E26" s="2" t="n">
        <v>0.5</v>
      </c>
      <c r="F26" s="5" t="s">
        <v>39</v>
      </c>
      <c r="G26" s="2" t="n">
        <v>0.0625</v>
      </c>
    </row>
    <row r="28" customFormat="false" ht="15" hidden="false" customHeight="false" outlineLevel="0" collapsed="false">
      <c r="B28" s="0" t="s">
        <v>41</v>
      </c>
      <c r="C28" s="0" t="s">
        <v>42</v>
      </c>
      <c r="D28" s="0" t="s">
        <v>43</v>
      </c>
      <c r="E28" s="0" t="s">
        <v>44</v>
      </c>
      <c r="F28" s="0" t="s">
        <v>45</v>
      </c>
      <c r="G28" s="0" t="s">
        <v>46</v>
      </c>
    </row>
    <row r="29" customFormat="false" ht="15" hidden="false" customHeight="false" outlineLevel="0" collapsed="false">
      <c r="B29" s="0" t="s">
        <v>47</v>
      </c>
      <c r="C29" s="3" t="n">
        <v>12000</v>
      </c>
      <c r="D29" s="0" t="n">
        <v>128</v>
      </c>
      <c r="E29" s="2" t="n">
        <v>0.025</v>
      </c>
      <c r="F29" s="0" t="n">
        <v>20</v>
      </c>
      <c r="G29" s="0" t="n">
        <v>12</v>
      </c>
    </row>
    <row r="30" customFormat="false" ht="15" hidden="false" customHeight="false" outlineLevel="0" collapsed="false">
      <c r="B30" s="0" t="s">
        <v>48</v>
      </c>
      <c r="C30" s="3" t="n">
        <v>8000</v>
      </c>
      <c r="D30" s="0" t="n">
        <v>134</v>
      </c>
      <c r="E30" s="2" t="n">
        <v>0.025</v>
      </c>
      <c r="F30" s="0" t="n">
        <v>24</v>
      </c>
      <c r="G30" s="0" t="n">
        <v>9</v>
      </c>
    </row>
    <row r="31" customFormat="false" ht="15" hidden="false" customHeight="false" outlineLevel="0" collapsed="false">
      <c r="B31" s="0" t="s">
        <v>49</v>
      </c>
      <c r="C31" s="3" t="n">
        <v>2500</v>
      </c>
      <c r="D31" s="0" t="n">
        <v>195</v>
      </c>
      <c r="E31" s="2" t="n">
        <v>0.03</v>
      </c>
      <c r="F31" s="0" t="n">
        <v>22</v>
      </c>
      <c r="G31" s="0" t="n">
        <v>18</v>
      </c>
    </row>
    <row r="32" customFormat="false" ht="15" hidden="false" customHeight="false" outlineLevel="0" collapsed="false">
      <c r="B32" s="0" t="s">
        <v>50</v>
      </c>
      <c r="C32" s="3" t="n">
        <v>1500</v>
      </c>
      <c r="D32" s="0" t="n">
        <v>170</v>
      </c>
      <c r="E32" s="2" t="n">
        <v>0.03</v>
      </c>
      <c r="F32" s="0" t="n">
        <v>26</v>
      </c>
      <c r="G32" s="0" t="n">
        <v>6</v>
      </c>
    </row>
    <row r="33" customFormat="false" ht="15" hidden="false" customHeight="false" outlineLevel="0" collapsed="false">
      <c r="B33" s="0" t="s">
        <v>23</v>
      </c>
      <c r="C33" s="3" t="n">
        <f aca="false">SUM(C29:C32)</f>
        <v>24000</v>
      </c>
    </row>
    <row r="35" customFormat="false" ht="15" hidden="false" customHeight="false" outlineLevel="0" collapsed="false">
      <c r="B35" s="0" t="s">
        <v>51</v>
      </c>
      <c r="C35" s="0" t="s">
        <v>52</v>
      </c>
      <c r="D35" s="0" t="s">
        <v>53</v>
      </c>
    </row>
    <row r="36" customFormat="false" ht="15" hidden="false" customHeight="false" outlineLevel="0" collapsed="false">
      <c r="B36" s="0" t="s">
        <v>54</v>
      </c>
      <c r="C36" s="3" t="n">
        <v>1150</v>
      </c>
      <c r="D36" s="5" t="s">
        <v>55</v>
      </c>
    </row>
    <row r="37" customFormat="false" ht="15" hidden="false" customHeight="false" outlineLevel="0" collapsed="false">
      <c r="B37" s="0" t="s">
        <v>56</v>
      </c>
      <c r="C37" s="3" t="n">
        <v>2600000</v>
      </c>
      <c r="D37" s="5" t="s">
        <v>57</v>
      </c>
    </row>
    <row r="38" customFormat="false" ht="15" hidden="false" customHeight="false" outlineLevel="0" collapsed="false">
      <c r="B38" s="0" t="s">
        <v>58</v>
      </c>
      <c r="C38" s="3" t="n">
        <v>3300000</v>
      </c>
      <c r="D38" s="5" t="s">
        <v>57</v>
      </c>
    </row>
    <row r="39" customFormat="false" ht="15" hidden="false" customHeight="false" outlineLevel="0" collapsed="false">
      <c r="B39" s="0" t="s">
        <v>59</v>
      </c>
      <c r="C39" s="3" t="n">
        <v>950000</v>
      </c>
      <c r="D39" s="5" t="s">
        <v>57</v>
      </c>
    </row>
    <row r="40" customFormat="false" ht="15" hidden="false" customHeight="false" outlineLevel="0" collapsed="false">
      <c r="B40" s="0" t="s">
        <v>60</v>
      </c>
      <c r="C40" s="3" t="n">
        <v>650000</v>
      </c>
      <c r="D40" s="5" t="s">
        <v>57</v>
      </c>
    </row>
    <row r="41" customFormat="false" ht="15" hidden="false" customHeight="false" outlineLevel="0" collapsed="false">
      <c r="B41" s="0" t="s">
        <v>61</v>
      </c>
      <c r="C41" s="3" t="n">
        <v>1900000</v>
      </c>
      <c r="D41" s="5" t="s">
        <v>57</v>
      </c>
    </row>
    <row r="42" customFormat="false" ht="15" hidden="false" customHeight="false" outlineLevel="0" collapsed="false">
      <c r="B42" s="0" t="s">
        <v>62</v>
      </c>
      <c r="C42" s="2" t="n">
        <v>0.02</v>
      </c>
      <c r="D42" s="5" t="s">
        <v>63</v>
      </c>
    </row>
    <row r="43" customFormat="false" ht="15" hidden="false" customHeight="false" outlineLevel="0" collapsed="false">
      <c r="B43" s="0" t="s">
        <v>64</v>
      </c>
      <c r="C43" s="2" t="n">
        <v>0.03</v>
      </c>
    </row>
    <row r="44" customFormat="false" ht="15" hidden="false" customHeight="false" outlineLevel="0" collapsed="false">
      <c r="B44" s="0" t="s">
        <v>65</v>
      </c>
      <c r="C44" s="2" t="n">
        <v>1</v>
      </c>
    </row>
    <row r="45" customFormat="false" ht="15" hidden="false" customHeight="false" outlineLevel="0" collapsed="false">
      <c r="B45" s="0" t="s">
        <v>66</v>
      </c>
      <c r="C45" s="0" t="n">
        <f aca="false">MIN(F29:F32)</f>
        <v>20</v>
      </c>
    </row>
    <row r="47" customFormat="false" ht="15" hidden="false" customHeight="false" outlineLevel="0" collapsed="false">
      <c r="B47" s="0" t="s">
        <v>67</v>
      </c>
    </row>
    <row r="48" customFormat="false" ht="15" hidden="false" customHeight="false" outlineLevel="0" collapsed="false">
      <c r="B48" s="0" t="s">
        <v>68</v>
      </c>
      <c r="C48" s="2" t="n">
        <v>0.0625</v>
      </c>
    </row>
    <row r="49" customFormat="false" ht="15" hidden="false" customHeight="false" outlineLevel="0" collapsed="false">
      <c r="B49" s="0" t="s">
        <v>69</v>
      </c>
      <c r="C49" s="2" t="n">
        <v>0.02</v>
      </c>
    </row>
    <row r="50" customFormat="false" ht="15" hidden="false" customHeight="false" outlineLevel="0" collapsed="false">
      <c r="B50" s="0" t="s">
        <v>70</v>
      </c>
      <c r="C50" s="2" t="n">
        <v>0.025</v>
      </c>
      <c r="S50" s="0" t="n">
        <v>0</v>
      </c>
      <c r="T50" s="0" t="n">
        <v>1</v>
      </c>
      <c r="U50" s="0" t="n">
        <v>2</v>
      </c>
      <c r="V50" s="0" t="n">
        <v>3</v>
      </c>
      <c r="W50" s="0" t="n">
        <v>4</v>
      </c>
      <c r="X50" s="0" t="n">
        <v>5</v>
      </c>
      <c r="Y50" s="0" t="n">
        <v>6</v>
      </c>
      <c r="Z50" s="0" t="n">
        <v>7</v>
      </c>
      <c r="AA50" s="0" t="n">
        <v>8</v>
      </c>
      <c r="AB50" s="0" t="n">
        <v>9</v>
      </c>
      <c r="AC50" s="0" t="n">
        <v>10</v>
      </c>
      <c r="AD50" s="0" t="n">
        <v>11</v>
      </c>
      <c r="AE50" s="0" t="n">
        <v>12</v>
      </c>
      <c r="AF50" s="0" t="n">
        <v>13</v>
      </c>
      <c r="AG50" s="0" t="n">
        <v>14</v>
      </c>
      <c r="AH50" s="0" t="n">
        <v>15</v>
      </c>
      <c r="AI50" s="0" t="n">
        <v>16</v>
      </c>
      <c r="AJ50" s="0" t="n">
        <v>17</v>
      </c>
      <c r="AK50" s="0" t="n">
        <v>18</v>
      </c>
      <c r="AL50" s="0" t="n">
        <v>19</v>
      </c>
      <c r="AM50" s="0" t="n">
        <v>20</v>
      </c>
      <c r="AN50" s="0" t="n">
        <v>21</v>
      </c>
      <c r="AO50" s="0" t="n">
        <v>22</v>
      </c>
      <c r="AP50" s="0" t="n">
        <v>23</v>
      </c>
      <c r="AQ50" s="0" t="n">
        <v>24</v>
      </c>
      <c r="AR50" s="0" t="n">
        <v>25</v>
      </c>
      <c r="AS50" s="0" t="n">
        <v>26</v>
      </c>
      <c r="AT50" s="0" t="n">
        <v>27</v>
      </c>
      <c r="AU50" s="0" t="n">
        <v>28</v>
      </c>
      <c r="AV50" s="0" t="n">
        <v>29</v>
      </c>
      <c r="AW50" s="0" t="n">
        <v>30</v>
      </c>
      <c r="AX50" s="0" t="n">
        <v>31</v>
      </c>
      <c r="AY50" s="0" t="n">
        <v>32</v>
      </c>
      <c r="AZ50" s="0" t="n">
        <v>33</v>
      </c>
      <c r="BA50" s="0" t="n">
        <v>34</v>
      </c>
      <c r="BB50" s="0" t="n">
        <v>35</v>
      </c>
      <c r="BC50" s="0" t="n">
        <v>36</v>
      </c>
      <c r="BD50" s="0" t="n">
        <v>37</v>
      </c>
      <c r="BE50" s="0" t="n">
        <v>38</v>
      </c>
      <c r="BF50" s="0" t="n">
        <v>39</v>
      </c>
      <c r="BG50" s="0" t="n">
        <v>40</v>
      </c>
      <c r="BH50" s="0" t="n">
        <v>41</v>
      </c>
      <c r="BI50" s="0" t="n">
        <v>42</v>
      </c>
      <c r="BJ50" s="0" t="n">
        <v>43</v>
      </c>
      <c r="BK50" s="0" t="n">
        <v>44</v>
      </c>
      <c r="BL50" s="0" t="n">
        <v>45</v>
      </c>
      <c r="BM50" s="0" t="n">
        <v>46</v>
      </c>
      <c r="BN50" s="0" t="n">
        <v>47</v>
      </c>
      <c r="BO50" s="0" t="n">
        <v>48</v>
      </c>
      <c r="BP50" s="0" t="n">
        <v>49</v>
      </c>
      <c r="BQ50" s="0" t="n">
        <v>50</v>
      </c>
      <c r="BR50" s="0" t="n">
        <v>51</v>
      </c>
      <c r="BS50" s="0" t="n">
        <v>52</v>
      </c>
      <c r="BT50" s="0" t="n">
        <v>53</v>
      </c>
      <c r="BU50" s="0" t="n">
        <v>54</v>
      </c>
      <c r="BV50" s="0" t="n">
        <v>55</v>
      </c>
      <c r="BW50" s="0" t="n">
        <v>56</v>
      </c>
      <c r="BX50" s="0" t="n">
        <v>57</v>
      </c>
      <c r="BY50" s="0" t="n">
        <v>58</v>
      </c>
      <c r="BZ50" s="0" t="n">
        <v>59</v>
      </c>
      <c r="CA50" s="0" t="n">
        <v>60</v>
      </c>
      <c r="CB50" s="0" t="n">
        <v>61</v>
      </c>
      <c r="CC50" s="0" t="n">
        <v>62</v>
      </c>
      <c r="CD50" s="0" t="n">
        <v>63</v>
      </c>
      <c r="CE50" s="0" t="n">
        <v>64</v>
      </c>
      <c r="CF50" s="0" t="n">
        <v>65</v>
      </c>
      <c r="CG50" s="0" t="n">
        <v>66</v>
      </c>
      <c r="CH50" s="0" t="n">
        <v>67</v>
      </c>
      <c r="CI50" s="0" t="n">
        <v>68</v>
      </c>
      <c r="CJ50" s="0" t="n">
        <v>69</v>
      </c>
      <c r="CK50" s="0" t="n">
        <v>70</v>
      </c>
      <c r="CL50" s="0" t="n">
        <v>71</v>
      </c>
      <c r="CM50" s="0" t="n">
        <v>72</v>
      </c>
      <c r="CN50" s="0" t="n">
        <v>73</v>
      </c>
      <c r="CO50" s="0" t="n">
        <v>74</v>
      </c>
      <c r="CP50" s="0" t="n">
        <v>75</v>
      </c>
      <c r="CQ50" s="0" t="n">
        <v>76</v>
      </c>
      <c r="CR50" s="0" t="n">
        <v>77</v>
      </c>
      <c r="CS50" s="0" t="n">
        <v>78</v>
      </c>
      <c r="CT50" s="0" t="n">
        <v>79</v>
      </c>
      <c r="CU50" s="0" t="n">
        <v>80</v>
      </c>
      <c r="CV50" s="0" t="n">
        <v>81</v>
      </c>
      <c r="CW50" s="0" t="n">
        <v>82</v>
      </c>
      <c r="CX50" s="0" t="n">
        <v>83</v>
      </c>
      <c r="CY50" s="0" t="n">
        <v>84</v>
      </c>
    </row>
    <row r="51" customFormat="false" ht="15" hidden="false" customHeight="false" outlineLevel="0" collapsed="false">
      <c r="B51" s="0" t="s">
        <v>71</v>
      </c>
      <c r="S51" s="4" t="n">
        <f aca="false">EOMONTH(Timing_Start,S50-1)</f>
        <v>46387</v>
      </c>
      <c r="T51" s="4" t="n">
        <f aca="false">EOMONTH(Timing_Start,T50-1)</f>
        <v>46418</v>
      </c>
      <c r="U51" s="4" t="n">
        <f aca="false">EOMONTH(Timing_Start,U50-1)</f>
        <v>46446</v>
      </c>
      <c r="V51" s="4" t="n">
        <f aca="false">EOMONTH(Timing_Start,V50-1)</f>
        <v>46477</v>
      </c>
      <c r="W51" s="4" t="n">
        <f aca="false">EOMONTH(Timing_Start,W50-1)</f>
        <v>46507</v>
      </c>
      <c r="X51" s="4" t="n">
        <f aca="false">EOMONTH(Timing_Start,X50-1)</f>
        <v>46538</v>
      </c>
      <c r="Y51" s="4" t="n">
        <f aca="false">EOMONTH(Timing_Start,Y50-1)</f>
        <v>46568</v>
      </c>
      <c r="Z51" s="4" t="n">
        <f aca="false">EOMONTH(Timing_Start,Z50-1)</f>
        <v>46599</v>
      </c>
      <c r="AA51" s="4" t="n">
        <f aca="false">EOMONTH(Timing_Start,AA50-1)</f>
        <v>46630</v>
      </c>
      <c r="AB51" s="4" t="n">
        <f aca="false">EOMONTH(Timing_Start,AB50-1)</f>
        <v>46660</v>
      </c>
      <c r="AC51" s="4" t="n">
        <f aca="false">EOMONTH(Timing_Start,AC50-1)</f>
        <v>46691</v>
      </c>
      <c r="AD51" s="4" t="n">
        <f aca="false">EOMONTH(Timing_Start,AD50-1)</f>
        <v>46721</v>
      </c>
      <c r="AE51" s="4" t="n">
        <f aca="false">EOMONTH(Timing_Start,AE50-1)</f>
        <v>46752</v>
      </c>
      <c r="AF51" s="4" t="n">
        <f aca="false">EOMONTH(Timing_Start,AF50-1)</f>
        <v>46783</v>
      </c>
      <c r="AG51" s="4" t="n">
        <f aca="false">EOMONTH(Timing_Start,AG50-1)</f>
        <v>46812</v>
      </c>
      <c r="AH51" s="4" t="n">
        <f aca="false">EOMONTH(Timing_Start,AH50-1)</f>
        <v>46843</v>
      </c>
      <c r="AI51" s="4" t="n">
        <f aca="false">EOMONTH(Timing_Start,AI50-1)</f>
        <v>46873</v>
      </c>
      <c r="AJ51" s="4" t="n">
        <f aca="false">EOMONTH(Timing_Start,AJ50-1)</f>
        <v>46904</v>
      </c>
      <c r="AK51" s="4" t="n">
        <f aca="false">EOMONTH(Timing_Start,AK50-1)</f>
        <v>46934</v>
      </c>
      <c r="AL51" s="4" t="n">
        <f aca="false">EOMONTH(Timing_Start,AL50-1)</f>
        <v>46965</v>
      </c>
      <c r="AM51" s="4" t="n">
        <f aca="false">EOMONTH(Timing_Start,AM50-1)</f>
        <v>46996</v>
      </c>
      <c r="AN51" s="4" t="n">
        <f aca="false">EOMONTH(Timing_Start,AN50-1)</f>
        <v>47026</v>
      </c>
      <c r="AO51" s="4" t="n">
        <f aca="false">EOMONTH(Timing_Start,AO50-1)</f>
        <v>47057</v>
      </c>
      <c r="AP51" s="4" t="n">
        <f aca="false">EOMONTH(Timing_Start,AP50-1)</f>
        <v>47087</v>
      </c>
      <c r="AQ51" s="4" t="n">
        <f aca="false">EOMONTH(Timing_Start,AQ50-1)</f>
        <v>47118</v>
      </c>
      <c r="AR51" s="4" t="n">
        <f aca="false">EOMONTH(Timing_Start,AR50-1)</f>
        <v>47149</v>
      </c>
      <c r="AS51" s="4" t="n">
        <f aca="false">EOMONTH(Timing_Start,AS50-1)</f>
        <v>47177</v>
      </c>
      <c r="AT51" s="4" t="n">
        <f aca="false">EOMONTH(Timing_Start,AT50-1)</f>
        <v>47208</v>
      </c>
      <c r="AU51" s="4" t="n">
        <f aca="false">EOMONTH(Timing_Start,AU50-1)</f>
        <v>47238</v>
      </c>
      <c r="AV51" s="4" t="n">
        <f aca="false">EOMONTH(Timing_Start,AV50-1)</f>
        <v>47269</v>
      </c>
      <c r="AW51" s="4" t="n">
        <f aca="false">EOMONTH(Timing_Start,AW50-1)</f>
        <v>47299</v>
      </c>
      <c r="AX51" s="4" t="n">
        <f aca="false">EOMONTH(Timing_Start,AX50-1)</f>
        <v>47330</v>
      </c>
      <c r="AY51" s="4" t="n">
        <f aca="false">EOMONTH(Timing_Start,AY50-1)</f>
        <v>47361</v>
      </c>
      <c r="AZ51" s="4" t="n">
        <f aca="false">EOMONTH(Timing_Start,AZ50-1)</f>
        <v>47391</v>
      </c>
      <c r="BA51" s="4" t="n">
        <f aca="false">EOMONTH(Timing_Start,BA50-1)</f>
        <v>47422</v>
      </c>
      <c r="BB51" s="4" t="n">
        <f aca="false">EOMONTH(Timing_Start,BB50-1)</f>
        <v>47452</v>
      </c>
      <c r="BC51" s="4" t="n">
        <f aca="false">EOMONTH(Timing_Start,BC50-1)</f>
        <v>47483</v>
      </c>
      <c r="BD51" s="4" t="n">
        <f aca="false">EOMONTH(Timing_Start,BD50-1)</f>
        <v>47514</v>
      </c>
      <c r="BE51" s="4" t="n">
        <f aca="false">EOMONTH(Timing_Start,BE50-1)</f>
        <v>47542</v>
      </c>
      <c r="BF51" s="4" t="n">
        <f aca="false">EOMONTH(Timing_Start,BF50-1)</f>
        <v>47573</v>
      </c>
      <c r="BG51" s="4" t="n">
        <f aca="false">EOMONTH(Timing_Start,BG50-1)</f>
        <v>47603</v>
      </c>
      <c r="BH51" s="4" t="n">
        <f aca="false">EOMONTH(Timing_Start,BH50-1)</f>
        <v>47634</v>
      </c>
      <c r="BI51" s="4" t="n">
        <f aca="false">EOMONTH(Timing_Start,BI50-1)</f>
        <v>47664</v>
      </c>
      <c r="BJ51" s="4" t="n">
        <f aca="false">EOMONTH(Timing_Start,BJ50-1)</f>
        <v>47695</v>
      </c>
      <c r="BK51" s="4" t="n">
        <f aca="false">EOMONTH(Timing_Start,BK50-1)</f>
        <v>47726</v>
      </c>
      <c r="BL51" s="4" t="n">
        <f aca="false">EOMONTH(Timing_Start,BL50-1)</f>
        <v>47756</v>
      </c>
      <c r="BM51" s="4" t="n">
        <f aca="false">EOMONTH(Timing_Start,BM50-1)</f>
        <v>47787</v>
      </c>
      <c r="BN51" s="4" t="n">
        <f aca="false">EOMONTH(Timing_Start,BN50-1)</f>
        <v>47817</v>
      </c>
      <c r="BO51" s="4" t="n">
        <f aca="false">EOMONTH(Timing_Start,BO50-1)</f>
        <v>47848</v>
      </c>
      <c r="BP51" s="4" t="n">
        <f aca="false">EOMONTH(Timing_Start,BP50-1)</f>
        <v>47879</v>
      </c>
      <c r="BQ51" s="4" t="n">
        <f aca="false">EOMONTH(Timing_Start,BQ50-1)</f>
        <v>47907</v>
      </c>
      <c r="BR51" s="4" t="n">
        <f aca="false">EOMONTH(Timing_Start,BR50-1)</f>
        <v>47938</v>
      </c>
      <c r="BS51" s="4" t="n">
        <f aca="false">EOMONTH(Timing_Start,BS50-1)</f>
        <v>47968</v>
      </c>
      <c r="BT51" s="4" t="n">
        <f aca="false">EOMONTH(Timing_Start,BT50-1)</f>
        <v>47999</v>
      </c>
      <c r="BU51" s="4" t="n">
        <f aca="false">EOMONTH(Timing_Start,BU50-1)</f>
        <v>48029</v>
      </c>
      <c r="BV51" s="4" t="n">
        <f aca="false">EOMONTH(Timing_Start,BV50-1)</f>
        <v>48060</v>
      </c>
      <c r="BW51" s="4" t="n">
        <f aca="false">EOMONTH(Timing_Start,BW50-1)</f>
        <v>48091</v>
      </c>
      <c r="BX51" s="4" t="n">
        <f aca="false">EOMONTH(Timing_Start,BX50-1)</f>
        <v>48121</v>
      </c>
      <c r="BY51" s="4" t="n">
        <f aca="false">EOMONTH(Timing_Start,BY50-1)</f>
        <v>48152</v>
      </c>
      <c r="BZ51" s="4" t="n">
        <f aca="false">EOMONTH(Timing_Start,BZ50-1)</f>
        <v>48182</v>
      </c>
      <c r="CA51" s="4" t="n">
        <f aca="false">EOMONTH(Timing_Start,CA50-1)</f>
        <v>48213</v>
      </c>
      <c r="CB51" s="4" t="n">
        <f aca="false">EOMONTH(Timing_Start,CB50-1)</f>
        <v>48244</v>
      </c>
      <c r="CC51" s="4" t="n">
        <f aca="false">EOMONTH(Timing_Start,CC50-1)</f>
        <v>48273</v>
      </c>
      <c r="CD51" s="4" t="n">
        <f aca="false">EOMONTH(Timing_Start,CD50-1)</f>
        <v>48304</v>
      </c>
      <c r="CE51" s="4" t="n">
        <f aca="false">EOMONTH(Timing_Start,CE50-1)</f>
        <v>48334</v>
      </c>
      <c r="CF51" s="4" t="n">
        <f aca="false">EOMONTH(Timing_Start,CF50-1)</f>
        <v>48365</v>
      </c>
      <c r="CG51" s="4" t="n">
        <f aca="false">EOMONTH(Timing_Start,CG50-1)</f>
        <v>48395</v>
      </c>
      <c r="CH51" s="4" t="n">
        <f aca="false">EOMONTH(Timing_Start,CH50-1)</f>
        <v>48426</v>
      </c>
      <c r="CI51" s="4" t="n">
        <f aca="false">EOMONTH(Timing_Start,CI50-1)</f>
        <v>48457</v>
      </c>
      <c r="CJ51" s="4" t="n">
        <f aca="false">EOMONTH(Timing_Start,CJ50-1)</f>
        <v>48487</v>
      </c>
      <c r="CK51" s="4" t="n">
        <f aca="false">EOMONTH(Timing_Start,CK50-1)</f>
        <v>48518</v>
      </c>
      <c r="CL51" s="4" t="n">
        <f aca="false">EOMONTH(Timing_Start,CL50-1)</f>
        <v>48548</v>
      </c>
      <c r="CM51" s="4" t="n">
        <f aca="false">EOMONTH(Timing_Start,CM50-1)</f>
        <v>48579</v>
      </c>
      <c r="CN51" s="4" t="n">
        <f aca="false">EOMONTH(Timing_Start,CN50-1)</f>
        <v>48610</v>
      </c>
      <c r="CO51" s="4" t="n">
        <f aca="false">EOMONTH(Timing_Start,CO50-1)</f>
        <v>48638</v>
      </c>
      <c r="CP51" s="4" t="n">
        <f aca="false">EOMONTH(Timing_Start,CP50-1)</f>
        <v>48669</v>
      </c>
      <c r="CQ51" s="4" t="n">
        <f aca="false">EOMONTH(Timing_Start,CQ50-1)</f>
        <v>48699</v>
      </c>
      <c r="CR51" s="4" t="n">
        <f aca="false">EOMONTH(Timing_Start,CR50-1)</f>
        <v>48730</v>
      </c>
      <c r="CS51" s="4" t="n">
        <f aca="false">EOMONTH(Timing_Start,CS50-1)</f>
        <v>48760</v>
      </c>
      <c r="CT51" s="4" t="n">
        <f aca="false">EOMONTH(Timing_Start,CT50-1)</f>
        <v>48791</v>
      </c>
      <c r="CU51" s="4" t="n">
        <f aca="false">EOMONTH(Timing_Start,CU50-1)</f>
        <v>48822</v>
      </c>
      <c r="CV51" s="4" t="n">
        <f aca="false">EOMONTH(Timing_Start,CV50-1)</f>
        <v>48852</v>
      </c>
      <c r="CW51" s="4" t="n">
        <f aca="false">EOMONTH(Timing_Start,CW50-1)</f>
        <v>48883</v>
      </c>
      <c r="CX51" s="4" t="n">
        <f aca="false">EOMONTH(Timing_Start,CX50-1)</f>
        <v>48913</v>
      </c>
      <c r="CY51" s="4" t="n">
        <f aca="false">EOMONTH(Timing_Start,CY50-1)</f>
        <v>48944</v>
      </c>
    </row>
    <row r="52" customFormat="false" ht="15" hidden="false" customHeight="false" outlineLevel="0" collapsed="false">
      <c r="B52" s="0" t="s">
        <v>72</v>
      </c>
      <c r="S52" s="0" t="n">
        <f aca="false">ROUNDUP(S50/12,0)</f>
        <v>0</v>
      </c>
      <c r="T52" s="0" t="n">
        <f aca="false">ROUNDUP(T50/12,0)</f>
        <v>1</v>
      </c>
      <c r="U52" s="0" t="n">
        <f aca="false">ROUNDUP(U50/12,0)</f>
        <v>1</v>
      </c>
      <c r="V52" s="0" t="n">
        <f aca="false">ROUNDUP(V50/12,0)</f>
        <v>1</v>
      </c>
      <c r="W52" s="0" t="n">
        <f aca="false">ROUNDUP(W50/12,0)</f>
        <v>1</v>
      </c>
      <c r="X52" s="0" t="n">
        <f aca="false">ROUNDUP(X50/12,0)</f>
        <v>1</v>
      </c>
      <c r="Y52" s="0" t="n">
        <f aca="false">ROUNDUP(Y50/12,0)</f>
        <v>1</v>
      </c>
      <c r="Z52" s="0" t="n">
        <f aca="false">ROUNDUP(Z50/12,0)</f>
        <v>1</v>
      </c>
      <c r="AA52" s="0" t="n">
        <f aca="false">ROUNDUP(AA50/12,0)</f>
        <v>1</v>
      </c>
      <c r="AB52" s="0" t="n">
        <f aca="false">ROUNDUP(AB50/12,0)</f>
        <v>1</v>
      </c>
      <c r="AC52" s="0" t="n">
        <f aca="false">ROUNDUP(AC50/12,0)</f>
        <v>1</v>
      </c>
      <c r="AD52" s="0" t="n">
        <f aca="false">ROUNDUP(AD50/12,0)</f>
        <v>1</v>
      </c>
      <c r="AE52" s="0" t="n">
        <f aca="false">ROUNDUP(AE50/12,0)</f>
        <v>1</v>
      </c>
      <c r="AF52" s="0" t="n">
        <f aca="false">ROUNDUP(AF50/12,0)</f>
        <v>2</v>
      </c>
      <c r="AG52" s="0" t="n">
        <f aca="false">ROUNDUP(AG50/12,0)</f>
        <v>2</v>
      </c>
      <c r="AH52" s="0" t="n">
        <f aca="false">ROUNDUP(AH50/12,0)</f>
        <v>2</v>
      </c>
      <c r="AI52" s="0" t="n">
        <f aca="false">ROUNDUP(AI50/12,0)</f>
        <v>2</v>
      </c>
      <c r="AJ52" s="0" t="n">
        <f aca="false">ROUNDUP(AJ50/12,0)</f>
        <v>2</v>
      </c>
      <c r="AK52" s="0" t="n">
        <f aca="false">ROUNDUP(AK50/12,0)</f>
        <v>2</v>
      </c>
      <c r="AL52" s="0" t="n">
        <f aca="false">ROUNDUP(AL50/12,0)</f>
        <v>2</v>
      </c>
      <c r="AM52" s="0" t="n">
        <f aca="false">ROUNDUP(AM50/12,0)</f>
        <v>2</v>
      </c>
      <c r="AN52" s="0" t="n">
        <f aca="false">ROUNDUP(AN50/12,0)</f>
        <v>2</v>
      </c>
      <c r="AO52" s="0" t="n">
        <f aca="false">ROUNDUP(AO50/12,0)</f>
        <v>2</v>
      </c>
      <c r="AP52" s="0" t="n">
        <f aca="false">ROUNDUP(AP50/12,0)</f>
        <v>2</v>
      </c>
      <c r="AQ52" s="0" t="n">
        <f aca="false">ROUNDUP(AQ50/12,0)</f>
        <v>2</v>
      </c>
      <c r="AR52" s="0" t="n">
        <f aca="false">ROUNDUP(AR50/12,0)</f>
        <v>3</v>
      </c>
      <c r="AS52" s="0" t="n">
        <f aca="false">ROUNDUP(AS50/12,0)</f>
        <v>3</v>
      </c>
      <c r="AT52" s="0" t="n">
        <f aca="false">ROUNDUP(AT50/12,0)</f>
        <v>3</v>
      </c>
      <c r="AU52" s="0" t="n">
        <f aca="false">ROUNDUP(AU50/12,0)</f>
        <v>3</v>
      </c>
      <c r="AV52" s="0" t="n">
        <f aca="false">ROUNDUP(AV50/12,0)</f>
        <v>3</v>
      </c>
      <c r="AW52" s="0" t="n">
        <f aca="false">ROUNDUP(AW50/12,0)</f>
        <v>3</v>
      </c>
      <c r="AX52" s="0" t="n">
        <f aca="false">ROUNDUP(AX50/12,0)</f>
        <v>3</v>
      </c>
      <c r="AY52" s="0" t="n">
        <f aca="false">ROUNDUP(AY50/12,0)</f>
        <v>3</v>
      </c>
      <c r="AZ52" s="0" t="n">
        <f aca="false">ROUNDUP(AZ50/12,0)</f>
        <v>3</v>
      </c>
      <c r="BA52" s="0" t="n">
        <f aca="false">ROUNDUP(BA50/12,0)</f>
        <v>3</v>
      </c>
      <c r="BB52" s="0" t="n">
        <f aca="false">ROUNDUP(BB50/12,0)</f>
        <v>3</v>
      </c>
      <c r="BC52" s="0" t="n">
        <f aca="false">ROUNDUP(BC50/12,0)</f>
        <v>3</v>
      </c>
      <c r="BD52" s="0" t="n">
        <f aca="false">ROUNDUP(BD50/12,0)</f>
        <v>4</v>
      </c>
      <c r="BE52" s="0" t="n">
        <f aca="false">ROUNDUP(BE50/12,0)</f>
        <v>4</v>
      </c>
      <c r="BF52" s="0" t="n">
        <f aca="false">ROUNDUP(BF50/12,0)</f>
        <v>4</v>
      </c>
      <c r="BG52" s="0" t="n">
        <f aca="false">ROUNDUP(BG50/12,0)</f>
        <v>4</v>
      </c>
      <c r="BH52" s="0" t="n">
        <f aca="false">ROUNDUP(BH50/12,0)</f>
        <v>4</v>
      </c>
      <c r="BI52" s="0" t="n">
        <f aca="false">ROUNDUP(BI50/12,0)</f>
        <v>4</v>
      </c>
      <c r="BJ52" s="0" t="n">
        <f aca="false">ROUNDUP(BJ50/12,0)</f>
        <v>4</v>
      </c>
      <c r="BK52" s="0" t="n">
        <f aca="false">ROUNDUP(BK50/12,0)</f>
        <v>4</v>
      </c>
      <c r="BL52" s="0" t="n">
        <f aca="false">ROUNDUP(BL50/12,0)</f>
        <v>4</v>
      </c>
      <c r="BM52" s="0" t="n">
        <f aca="false">ROUNDUP(BM50/12,0)</f>
        <v>4</v>
      </c>
      <c r="BN52" s="0" t="n">
        <f aca="false">ROUNDUP(BN50/12,0)</f>
        <v>4</v>
      </c>
      <c r="BO52" s="0" t="n">
        <f aca="false">ROUNDUP(BO50/12,0)</f>
        <v>4</v>
      </c>
      <c r="BP52" s="0" t="n">
        <f aca="false">ROUNDUP(BP50/12,0)</f>
        <v>5</v>
      </c>
      <c r="BQ52" s="0" t="n">
        <f aca="false">ROUNDUP(BQ50/12,0)</f>
        <v>5</v>
      </c>
      <c r="BR52" s="0" t="n">
        <f aca="false">ROUNDUP(BR50/12,0)</f>
        <v>5</v>
      </c>
      <c r="BS52" s="0" t="n">
        <f aca="false">ROUNDUP(BS50/12,0)</f>
        <v>5</v>
      </c>
      <c r="BT52" s="0" t="n">
        <f aca="false">ROUNDUP(BT50/12,0)</f>
        <v>5</v>
      </c>
      <c r="BU52" s="0" t="n">
        <f aca="false">ROUNDUP(BU50/12,0)</f>
        <v>5</v>
      </c>
      <c r="BV52" s="0" t="n">
        <f aca="false">ROUNDUP(BV50/12,0)</f>
        <v>5</v>
      </c>
      <c r="BW52" s="0" t="n">
        <f aca="false">ROUNDUP(BW50/12,0)</f>
        <v>5</v>
      </c>
      <c r="BX52" s="0" t="n">
        <f aca="false">ROUNDUP(BX50/12,0)</f>
        <v>5</v>
      </c>
      <c r="BY52" s="0" t="n">
        <f aca="false">ROUNDUP(BY50/12,0)</f>
        <v>5</v>
      </c>
      <c r="BZ52" s="0" t="n">
        <f aca="false">ROUNDUP(BZ50/12,0)</f>
        <v>5</v>
      </c>
      <c r="CA52" s="0" t="n">
        <f aca="false">ROUNDUP(CA50/12,0)</f>
        <v>5</v>
      </c>
      <c r="CB52" s="0" t="n">
        <f aca="false">ROUNDUP(CB50/12,0)</f>
        <v>6</v>
      </c>
      <c r="CC52" s="0" t="n">
        <f aca="false">ROUNDUP(CC50/12,0)</f>
        <v>6</v>
      </c>
      <c r="CD52" s="0" t="n">
        <f aca="false">ROUNDUP(CD50/12,0)</f>
        <v>6</v>
      </c>
      <c r="CE52" s="0" t="n">
        <f aca="false">ROUNDUP(CE50/12,0)</f>
        <v>6</v>
      </c>
      <c r="CF52" s="0" t="n">
        <f aca="false">ROUNDUP(CF50/12,0)</f>
        <v>6</v>
      </c>
      <c r="CG52" s="0" t="n">
        <f aca="false">ROUNDUP(CG50/12,0)</f>
        <v>6</v>
      </c>
      <c r="CH52" s="0" t="n">
        <f aca="false">ROUNDUP(CH50/12,0)</f>
        <v>6</v>
      </c>
      <c r="CI52" s="0" t="n">
        <f aca="false">ROUNDUP(CI50/12,0)</f>
        <v>6</v>
      </c>
      <c r="CJ52" s="0" t="n">
        <f aca="false">ROUNDUP(CJ50/12,0)</f>
        <v>6</v>
      </c>
      <c r="CK52" s="0" t="n">
        <f aca="false">ROUNDUP(CK50/12,0)</f>
        <v>6</v>
      </c>
      <c r="CL52" s="0" t="n">
        <f aca="false">ROUNDUP(CL50/12,0)</f>
        <v>6</v>
      </c>
      <c r="CM52" s="0" t="n">
        <f aca="false">ROUNDUP(CM50/12,0)</f>
        <v>6</v>
      </c>
      <c r="CN52" s="0" t="n">
        <f aca="false">ROUNDUP(CN50/12,0)</f>
        <v>7</v>
      </c>
      <c r="CO52" s="0" t="n">
        <f aca="false">ROUNDUP(CO50/12,0)</f>
        <v>7</v>
      </c>
      <c r="CP52" s="0" t="n">
        <f aca="false">ROUNDUP(CP50/12,0)</f>
        <v>7</v>
      </c>
      <c r="CQ52" s="0" t="n">
        <f aca="false">ROUNDUP(CQ50/12,0)</f>
        <v>7</v>
      </c>
      <c r="CR52" s="0" t="n">
        <f aca="false">ROUNDUP(CR50/12,0)</f>
        <v>7</v>
      </c>
      <c r="CS52" s="0" t="n">
        <f aca="false">ROUNDUP(CS50/12,0)</f>
        <v>7</v>
      </c>
      <c r="CT52" s="0" t="n">
        <f aca="false">ROUNDUP(CT50/12,0)</f>
        <v>7</v>
      </c>
      <c r="CU52" s="0" t="n">
        <f aca="false">ROUNDUP(CU50/12,0)</f>
        <v>7</v>
      </c>
      <c r="CV52" s="0" t="n">
        <f aca="false">ROUNDUP(CV50/12,0)</f>
        <v>7</v>
      </c>
      <c r="CW52" s="0" t="n">
        <f aca="false">ROUNDUP(CW50/12,0)</f>
        <v>7</v>
      </c>
      <c r="CX52" s="0" t="n">
        <f aca="false">ROUNDUP(CX50/12,0)</f>
        <v>7</v>
      </c>
      <c r="CY52" s="0" t="n">
        <f aca="false">ROUNDUP(CY50/12,0)</f>
        <v>7</v>
      </c>
    </row>
    <row r="53" customFormat="false" ht="15" hidden="false" customHeight="false" outlineLevel="0" collapsed="false">
      <c r="D53" s="0" t="s">
        <v>73</v>
      </c>
      <c r="E53" s="3" t="n">
        <f aca="false">SUMPRODUCT(($S$50:$CY$50&gt;Sale_Month-12)*($S$50:$CY$50&lt;=Sale_Month)*$S$83:$CY$83)*(1+C50)</f>
        <v>43910730.8307539</v>
      </c>
    </row>
    <row r="54" customFormat="false" ht="15" hidden="false" customHeight="false" outlineLevel="0" collapsed="false">
      <c r="B54" s="0" t="s">
        <v>27</v>
      </c>
      <c r="D54" s="0" t="s">
        <v>74</v>
      </c>
      <c r="E54" s="3" t="n">
        <f aca="false">E26*E55/C48</f>
        <v>323444688</v>
      </c>
      <c r="S54" s="7" t="n">
        <f aca="false">IF(AND(S$50&gt;=$F$15,S$50&lt;=$G$15),$E$15*IF($H$15="S-Curve",(COS(PI()*(S$50-$F$15)/($G$15-$F$15+1))-COS(PI()*((S$50-$F$15)+1)/($G$15-$F$15+1)))/2,1/($G$15-$F$15+1)),0)</f>
        <v>17640000</v>
      </c>
      <c r="T54" s="7" t="n">
        <f aca="false">IF(AND(T$50&gt;=$F$15,T$50&lt;=$G$15),$E$15*IF($H$15="S-Curve",(COS(PI()*(T$50-$F$15)/($G$15-$F$15+1))-COS(PI()*((T$50-$F$15)+1)/($G$15-$F$15+1)))/2,1/($G$15-$F$15+1)),0)</f>
        <v>0</v>
      </c>
      <c r="U54" s="7" t="n">
        <f aca="false">IF(AND(U$50&gt;=$F$15,U$50&lt;=$G$15),$E$15*IF($H$15="S-Curve",(COS(PI()*(U$50-$F$15)/($G$15-$F$15+1))-COS(PI()*((U$50-$F$15)+1)/($G$15-$F$15+1)))/2,1/($G$15-$F$15+1)),0)</f>
        <v>0</v>
      </c>
      <c r="V54" s="7" t="n">
        <f aca="false">IF(AND(V$50&gt;=$F$15,V$50&lt;=$G$15),$E$15*IF($H$15="S-Curve",(COS(PI()*(V$50-$F$15)/($G$15-$F$15+1))-COS(PI()*((V$50-$F$15)+1)/($G$15-$F$15+1)))/2,1/($G$15-$F$15+1)),0)</f>
        <v>0</v>
      </c>
      <c r="W54" s="7" t="n">
        <f aca="false">IF(AND(W$50&gt;=$F$15,W$50&lt;=$G$15),$E$15*IF($H$15="S-Curve",(COS(PI()*(W$50-$F$15)/($G$15-$F$15+1))-COS(PI()*((W$50-$F$15)+1)/($G$15-$F$15+1)))/2,1/($G$15-$F$15+1)),0)</f>
        <v>0</v>
      </c>
      <c r="X54" s="7" t="n">
        <f aca="false">IF(AND(X$50&gt;=$F$15,X$50&lt;=$G$15),$E$15*IF($H$15="S-Curve",(COS(PI()*(X$50-$F$15)/($G$15-$F$15+1))-COS(PI()*((X$50-$F$15)+1)/($G$15-$F$15+1)))/2,1/($G$15-$F$15+1)),0)</f>
        <v>0</v>
      </c>
      <c r="Y54" s="7" t="n">
        <f aca="false">IF(AND(Y$50&gt;=$F$15,Y$50&lt;=$G$15),$E$15*IF($H$15="S-Curve",(COS(PI()*(Y$50-$F$15)/($G$15-$F$15+1))-COS(PI()*((Y$50-$F$15)+1)/($G$15-$F$15+1)))/2,1/($G$15-$F$15+1)),0)</f>
        <v>0</v>
      </c>
      <c r="Z54" s="7" t="n">
        <f aca="false">IF(AND(Z$50&gt;=$F$15,Z$50&lt;=$G$15),$E$15*IF($H$15="S-Curve",(COS(PI()*(Z$50-$F$15)/($G$15-$F$15+1))-COS(PI()*((Z$50-$F$15)+1)/($G$15-$F$15+1)))/2,1/($G$15-$F$15+1)),0)</f>
        <v>0</v>
      </c>
      <c r="AA54" s="7" t="n">
        <f aca="false">IF(AND(AA$50&gt;=$F$15,AA$50&lt;=$G$15),$E$15*IF($H$15="S-Curve",(COS(PI()*(AA$50-$F$15)/($G$15-$F$15+1))-COS(PI()*((AA$50-$F$15)+1)/($G$15-$F$15+1)))/2,1/($G$15-$F$15+1)),0)</f>
        <v>0</v>
      </c>
      <c r="AB54" s="7" t="n">
        <f aca="false">IF(AND(AB$50&gt;=$F$15,AB$50&lt;=$G$15),$E$15*IF($H$15="S-Curve",(COS(PI()*(AB$50-$F$15)/($G$15-$F$15+1))-COS(PI()*((AB$50-$F$15)+1)/($G$15-$F$15+1)))/2,1/($G$15-$F$15+1)),0)</f>
        <v>0</v>
      </c>
      <c r="AC54" s="7" t="n">
        <f aca="false">IF(AND(AC$50&gt;=$F$15,AC$50&lt;=$G$15),$E$15*IF($H$15="S-Curve",(COS(PI()*(AC$50-$F$15)/($G$15-$F$15+1))-COS(PI()*((AC$50-$F$15)+1)/($G$15-$F$15+1)))/2,1/($G$15-$F$15+1)),0)</f>
        <v>0</v>
      </c>
      <c r="AD54" s="7" t="n">
        <f aca="false">IF(AND(AD$50&gt;=$F$15,AD$50&lt;=$G$15),$E$15*IF($H$15="S-Curve",(COS(PI()*(AD$50-$F$15)/($G$15-$F$15+1))-COS(PI()*((AD$50-$F$15)+1)/($G$15-$F$15+1)))/2,1/($G$15-$F$15+1)),0)</f>
        <v>0</v>
      </c>
      <c r="AE54" s="7" t="n">
        <f aca="false">IF(AND(AE$50&gt;=$F$15,AE$50&lt;=$G$15),$E$15*IF($H$15="S-Curve",(COS(PI()*(AE$50-$F$15)/($G$15-$F$15+1))-COS(PI()*((AE$50-$F$15)+1)/($G$15-$F$15+1)))/2,1/($G$15-$F$15+1)),0)</f>
        <v>0</v>
      </c>
      <c r="AF54" s="7" t="n">
        <f aca="false">IF(AND(AF$50&gt;=$F$15,AF$50&lt;=$G$15),$E$15*IF($H$15="S-Curve",(COS(PI()*(AF$50-$F$15)/($G$15-$F$15+1))-COS(PI()*((AF$50-$F$15)+1)/($G$15-$F$15+1)))/2,1/($G$15-$F$15+1)),0)</f>
        <v>0</v>
      </c>
      <c r="AG54" s="7" t="n">
        <f aca="false">IF(AND(AG$50&gt;=$F$15,AG$50&lt;=$G$15),$E$15*IF($H$15="S-Curve",(COS(PI()*(AG$50-$F$15)/($G$15-$F$15+1))-COS(PI()*((AG$50-$F$15)+1)/($G$15-$F$15+1)))/2,1/($G$15-$F$15+1)),0)</f>
        <v>0</v>
      </c>
      <c r="AH54" s="7" t="n">
        <f aca="false">IF(AND(AH$50&gt;=$F$15,AH$50&lt;=$G$15),$E$15*IF($H$15="S-Curve",(COS(PI()*(AH$50-$F$15)/($G$15-$F$15+1))-COS(PI()*((AH$50-$F$15)+1)/($G$15-$F$15+1)))/2,1/($G$15-$F$15+1)),0)</f>
        <v>0</v>
      </c>
      <c r="AI54" s="7" t="n">
        <f aca="false">IF(AND(AI$50&gt;=$F$15,AI$50&lt;=$G$15),$E$15*IF($H$15="S-Curve",(COS(PI()*(AI$50-$F$15)/($G$15-$F$15+1))-COS(PI()*((AI$50-$F$15)+1)/($G$15-$F$15+1)))/2,1/($G$15-$F$15+1)),0)</f>
        <v>0</v>
      </c>
      <c r="AJ54" s="7" t="n">
        <f aca="false">IF(AND(AJ$50&gt;=$F$15,AJ$50&lt;=$G$15),$E$15*IF($H$15="S-Curve",(COS(PI()*(AJ$50-$F$15)/($G$15-$F$15+1))-COS(PI()*((AJ$50-$F$15)+1)/($G$15-$F$15+1)))/2,1/($G$15-$F$15+1)),0)</f>
        <v>0</v>
      </c>
      <c r="AK54" s="7" t="n">
        <f aca="false">IF(AND(AK$50&gt;=$F$15,AK$50&lt;=$G$15),$E$15*IF($H$15="S-Curve",(COS(PI()*(AK$50-$F$15)/($G$15-$F$15+1))-COS(PI()*((AK$50-$F$15)+1)/($G$15-$F$15+1)))/2,1/($G$15-$F$15+1)),0)</f>
        <v>0</v>
      </c>
      <c r="AL54" s="7" t="n">
        <f aca="false">IF(AND(AL$50&gt;=$F$15,AL$50&lt;=$G$15),$E$15*IF($H$15="S-Curve",(COS(PI()*(AL$50-$F$15)/($G$15-$F$15+1))-COS(PI()*((AL$50-$F$15)+1)/($G$15-$F$15+1)))/2,1/($G$15-$F$15+1)),0)</f>
        <v>0</v>
      </c>
      <c r="AM54" s="7" t="n">
        <f aca="false">IF(AND(AM$50&gt;=$F$15,AM$50&lt;=$G$15),$E$15*IF($H$15="S-Curve",(COS(PI()*(AM$50-$F$15)/($G$15-$F$15+1))-COS(PI()*((AM$50-$F$15)+1)/($G$15-$F$15+1)))/2,1/($G$15-$F$15+1)),0)</f>
        <v>0</v>
      </c>
      <c r="AN54" s="7" t="n">
        <f aca="false">IF(AND(AN$50&gt;=$F$15,AN$50&lt;=$G$15),$E$15*IF($H$15="S-Curve",(COS(PI()*(AN$50-$F$15)/($G$15-$F$15+1))-COS(PI()*((AN$50-$F$15)+1)/($G$15-$F$15+1)))/2,1/($G$15-$F$15+1)),0)</f>
        <v>0</v>
      </c>
      <c r="AO54" s="7" t="n">
        <f aca="false">IF(AND(AO$50&gt;=$F$15,AO$50&lt;=$G$15),$E$15*IF($H$15="S-Curve",(COS(PI()*(AO$50-$F$15)/($G$15-$F$15+1))-COS(PI()*((AO$50-$F$15)+1)/($G$15-$F$15+1)))/2,1/($G$15-$F$15+1)),0)</f>
        <v>0</v>
      </c>
      <c r="AP54" s="7" t="n">
        <f aca="false">IF(AND(AP$50&gt;=$F$15,AP$50&lt;=$G$15),$E$15*IF($H$15="S-Curve",(COS(PI()*(AP$50-$F$15)/($G$15-$F$15+1))-COS(PI()*((AP$50-$F$15)+1)/($G$15-$F$15+1)))/2,1/($G$15-$F$15+1)),0)</f>
        <v>0</v>
      </c>
      <c r="AQ54" s="7" t="n">
        <f aca="false">IF(AND(AQ$50&gt;=$F$15,AQ$50&lt;=$G$15),$E$15*IF($H$15="S-Curve",(COS(PI()*(AQ$50-$F$15)/($G$15-$F$15+1))-COS(PI()*((AQ$50-$F$15)+1)/($G$15-$F$15+1)))/2,1/($G$15-$F$15+1)),0)</f>
        <v>0</v>
      </c>
      <c r="AR54" s="7" t="n">
        <f aca="false">IF(AND(AR$50&gt;=$F$15,AR$50&lt;=$G$15),$E$15*IF($H$15="S-Curve",(COS(PI()*(AR$50-$F$15)/($G$15-$F$15+1))-COS(PI()*((AR$50-$F$15)+1)/($G$15-$F$15+1)))/2,1/($G$15-$F$15+1)),0)</f>
        <v>0</v>
      </c>
      <c r="AS54" s="7" t="n">
        <f aca="false">IF(AND(AS$50&gt;=$F$15,AS$50&lt;=$G$15),$E$15*IF($H$15="S-Curve",(COS(PI()*(AS$50-$F$15)/($G$15-$F$15+1))-COS(PI()*((AS$50-$F$15)+1)/($G$15-$F$15+1)))/2,1/($G$15-$F$15+1)),0)</f>
        <v>0</v>
      </c>
      <c r="AT54" s="7" t="n">
        <f aca="false">IF(AND(AT$50&gt;=$F$15,AT$50&lt;=$G$15),$E$15*IF($H$15="S-Curve",(COS(PI()*(AT$50-$F$15)/($G$15-$F$15+1))-COS(PI()*((AT$50-$F$15)+1)/($G$15-$F$15+1)))/2,1/($G$15-$F$15+1)),0)</f>
        <v>0</v>
      </c>
      <c r="AU54" s="7" t="n">
        <f aca="false">IF(AND(AU$50&gt;=$F$15,AU$50&lt;=$G$15),$E$15*IF($H$15="S-Curve",(COS(PI()*(AU$50-$F$15)/($G$15-$F$15+1))-COS(PI()*((AU$50-$F$15)+1)/($G$15-$F$15+1)))/2,1/($G$15-$F$15+1)),0)</f>
        <v>0</v>
      </c>
      <c r="AV54" s="7" t="n">
        <f aca="false">IF(AND(AV$50&gt;=$F$15,AV$50&lt;=$G$15),$E$15*IF($H$15="S-Curve",(COS(PI()*(AV$50-$F$15)/($G$15-$F$15+1))-COS(PI()*((AV$50-$F$15)+1)/($G$15-$F$15+1)))/2,1/($G$15-$F$15+1)),0)</f>
        <v>0</v>
      </c>
      <c r="AW54" s="7" t="n">
        <f aca="false">IF(AND(AW$50&gt;=$F$15,AW$50&lt;=$G$15),$E$15*IF($H$15="S-Curve",(COS(PI()*(AW$50-$F$15)/($G$15-$F$15+1))-COS(PI()*((AW$50-$F$15)+1)/($G$15-$F$15+1)))/2,1/($G$15-$F$15+1)),0)</f>
        <v>0</v>
      </c>
      <c r="AX54" s="7" t="n">
        <f aca="false">IF(AND(AX$50&gt;=$F$15,AX$50&lt;=$G$15),$E$15*IF($H$15="S-Curve",(COS(PI()*(AX$50-$F$15)/($G$15-$F$15+1))-COS(PI()*((AX$50-$F$15)+1)/($G$15-$F$15+1)))/2,1/($G$15-$F$15+1)),0)</f>
        <v>0</v>
      </c>
      <c r="AY54" s="7" t="n">
        <f aca="false">IF(AND(AY$50&gt;=$F$15,AY$50&lt;=$G$15),$E$15*IF($H$15="S-Curve",(COS(PI()*(AY$50-$F$15)/($G$15-$F$15+1))-COS(PI()*((AY$50-$F$15)+1)/($G$15-$F$15+1)))/2,1/($G$15-$F$15+1)),0)</f>
        <v>0</v>
      </c>
      <c r="AZ54" s="7" t="n">
        <f aca="false">IF(AND(AZ$50&gt;=$F$15,AZ$50&lt;=$G$15),$E$15*IF($H$15="S-Curve",(COS(PI()*(AZ$50-$F$15)/($G$15-$F$15+1))-COS(PI()*((AZ$50-$F$15)+1)/($G$15-$F$15+1)))/2,1/($G$15-$F$15+1)),0)</f>
        <v>0</v>
      </c>
      <c r="BA54" s="7" t="n">
        <f aca="false">IF(AND(BA$50&gt;=$F$15,BA$50&lt;=$G$15),$E$15*IF($H$15="S-Curve",(COS(PI()*(BA$50-$F$15)/($G$15-$F$15+1))-COS(PI()*((BA$50-$F$15)+1)/($G$15-$F$15+1)))/2,1/($G$15-$F$15+1)),0)</f>
        <v>0</v>
      </c>
      <c r="BB54" s="7" t="n">
        <f aca="false">IF(AND(BB$50&gt;=$F$15,BB$50&lt;=$G$15),$E$15*IF($H$15="S-Curve",(COS(PI()*(BB$50-$F$15)/($G$15-$F$15+1))-COS(PI()*((BB$50-$F$15)+1)/($G$15-$F$15+1)))/2,1/($G$15-$F$15+1)),0)</f>
        <v>0</v>
      </c>
      <c r="BC54" s="7" t="n">
        <f aca="false">IF(AND(BC$50&gt;=$F$15,BC$50&lt;=$G$15),$E$15*IF($H$15="S-Curve",(COS(PI()*(BC$50-$F$15)/($G$15-$F$15+1))-COS(PI()*((BC$50-$F$15)+1)/($G$15-$F$15+1)))/2,1/($G$15-$F$15+1)),0)</f>
        <v>0</v>
      </c>
      <c r="BD54" s="7" t="n">
        <f aca="false">IF(AND(BD$50&gt;=$F$15,BD$50&lt;=$G$15),$E$15*IF($H$15="S-Curve",(COS(PI()*(BD$50-$F$15)/($G$15-$F$15+1))-COS(PI()*((BD$50-$F$15)+1)/($G$15-$F$15+1)))/2,1/($G$15-$F$15+1)),0)</f>
        <v>0</v>
      </c>
      <c r="BE54" s="7" t="n">
        <f aca="false">IF(AND(BE$50&gt;=$F$15,BE$50&lt;=$G$15),$E$15*IF($H$15="S-Curve",(COS(PI()*(BE$50-$F$15)/($G$15-$F$15+1))-COS(PI()*((BE$50-$F$15)+1)/($G$15-$F$15+1)))/2,1/($G$15-$F$15+1)),0)</f>
        <v>0</v>
      </c>
      <c r="BF54" s="7" t="n">
        <f aca="false">IF(AND(BF$50&gt;=$F$15,BF$50&lt;=$G$15),$E$15*IF($H$15="S-Curve",(COS(PI()*(BF$50-$F$15)/($G$15-$F$15+1))-COS(PI()*((BF$50-$F$15)+1)/($G$15-$F$15+1)))/2,1/($G$15-$F$15+1)),0)</f>
        <v>0</v>
      </c>
      <c r="BG54" s="7" t="n">
        <f aca="false">IF(AND(BG$50&gt;=$F$15,BG$50&lt;=$G$15),$E$15*IF($H$15="S-Curve",(COS(PI()*(BG$50-$F$15)/($G$15-$F$15+1))-COS(PI()*((BG$50-$F$15)+1)/($G$15-$F$15+1)))/2,1/($G$15-$F$15+1)),0)</f>
        <v>0</v>
      </c>
      <c r="BH54" s="7" t="n">
        <f aca="false">IF(AND(BH$50&gt;=$F$15,BH$50&lt;=$G$15),$E$15*IF($H$15="S-Curve",(COS(PI()*(BH$50-$F$15)/($G$15-$F$15+1))-COS(PI()*((BH$50-$F$15)+1)/($G$15-$F$15+1)))/2,1/($G$15-$F$15+1)),0)</f>
        <v>0</v>
      </c>
      <c r="BI54" s="7" t="n">
        <f aca="false">IF(AND(BI$50&gt;=$F$15,BI$50&lt;=$G$15),$E$15*IF($H$15="S-Curve",(COS(PI()*(BI$50-$F$15)/($G$15-$F$15+1))-COS(PI()*((BI$50-$F$15)+1)/($G$15-$F$15+1)))/2,1/($G$15-$F$15+1)),0)</f>
        <v>0</v>
      </c>
      <c r="BJ54" s="7" t="n">
        <f aca="false">IF(AND(BJ$50&gt;=$F$15,BJ$50&lt;=$G$15),$E$15*IF($H$15="S-Curve",(COS(PI()*(BJ$50-$F$15)/($G$15-$F$15+1))-COS(PI()*((BJ$50-$F$15)+1)/($G$15-$F$15+1)))/2,1/($G$15-$F$15+1)),0)</f>
        <v>0</v>
      </c>
      <c r="BK54" s="7" t="n">
        <f aca="false">IF(AND(BK$50&gt;=$F$15,BK$50&lt;=$G$15),$E$15*IF($H$15="S-Curve",(COS(PI()*(BK$50-$F$15)/($G$15-$F$15+1))-COS(PI()*((BK$50-$F$15)+1)/($G$15-$F$15+1)))/2,1/($G$15-$F$15+1)),0)</f>
        <v>0</v>
      </c>
      <c r="BL54" s="7" t="n">
        <f aca="false">IF(AND(BL$50&gt;=$F$15,BL$50&lt;=$G$15),$E$15*IF($H$15="S-Curve",(COS(PI()*(BL$50-$F$15)/($G$15-$F$15+1))-COS(PI()*((BL$50-$F$15)+1)/($G$15-$F$15+1)))/2,1/($G$15-$F$15+1)),0)</f>
        <v>0</v>
      </c>
      <c r="BM54" s="7" t="n">
        <f aca="false">IF(AND(BM$50&gt;=$F$15,BM$50&lt;=$G$15),$E$15*IF($H$15="S-Curve",(COS(PI()*(BM$50-$F$15)/($G$15-$F$15+1))-COS(PI()*((BM$50-$F$15)+1)/($G$15-$F$15+1)))/2,1/($G$15-$F$15+1)),0)</f>
        <v>0</v>
      </c>
      <c r="BN54" s="7" t="n">
        <f aca="false">IF(AND(BN$50&gt;=$F$15,BN$50&lt;=$G$15),$E$15*IF($H$15="S-Curve",(COS(PI()*(BN$50-$F$15)/($G$15-$F$15+1))-COS(PI()*((BN$50-$F$15)+1)/($G$15-$F$15+1)))/2,1/($G$15-$F$15+1)),0)</f>
        <v>0</v>
      </c>
      <c r="BO54" s="7" t="n">
        <f aca="false">IF(AND(BO$50&gt;=$F$15,BO$50&lt;=$G$15),$E$15*IF($H$15="S-Curve",(COS(PI()*(BO$50-$F$15)/($G$15-$F$15+1))-COS(PI()*((BO$50-$F$15)+1)/($G$15-$F$15+1)))/2,1/($G$15-$F$15+1)),0)</f>
        <v>0</v>
      </c>
      <c r="BP54" s="7" t="n">
        <f aca="false">IF(AND(BP$50&gt;=$F$15,BP$50&lt;=$G$15),$E$15*IF($H$15="S-Curve",(COS(PI()*(BP$50-$F$15)/($G$15-$F$15+1))-COS(PI()*((BP$50-$F$15)+1)/($G$15-$F$15+1)))/2,1/($G$15-$F$15+1)),0)</f>
        <v>0</v>
      </c>
      <c r="BQ54" s="7" t="n">
        <f aca="false">IF(AND(BQ$50&gt;=$F$15,BQ$50&lt;=$G$15),$E$15*IF($H$15="S-Curve",(COS(PI()*(BQ$50-$F$15)/($G$15-$F$15+1))-COS(PI()*((BQ$50-$F$15)+1)/($G$15-$F$15+1)))/2,1/($G$15-$F$15+1)),0)</f>
        <v>0</v>
      </c>
      <c r="BR54" s="7" t="n">
        <f aca="false">IF(AND(BR$50&gt;=$F$15,BR$50&lt;=$G$15),$E$15*IF($H$15="S-Curve",(COS(PI()*(BR$50-$F$15)/($G$15-$F$15+1))-COS(PI()*((BR$50-$F$15)+1)/($G$15-$F$15+1)))/2,1/($G$15-$F$15+1)),0)</f>
        <v>0</v>
      </c>
      <c r="BS54" s="7" t="n">
        <f aca="false">IF(AND(BS$50&gt;=$F$15,BS$50&lt;=$G$15),$E$15*IF($H$15="S-Curve",(COS(PI()*(BS$50-$F$15)/($G$15-$F$15+1))-COS(PI()*((BS$50-$F$15)+1)/($G$15-$F$15+1)))/2,1/($G$15-$F$15+1)),0)</f>
        <v>0</v>
      </c>
      <c r="BT54" s="7" t="n">
        <f aca="false">IF(AND(BT$50&gt;=$F$15,BT$50&lt;=$G$15),$E$15*IF($H$15="S-Curve",(COS(PI()*(BT$50-$F$15)/($G$15-$F$15+1))-COS(PI()*((BT$50-$F$15)+1)/($G$15-$F$15+1)))/2,1/($G$15-$F$15+1)),0)</f>
        <v>0</v>
      </c>
      <c r="BU54" s="7" t="n">
        <f aca="false">IF(AND(BU$50&gt;=$F$15,BU$50&lt;=$G$15),$E$15*IF($H$15="S-Curve",(COS(PI()*(BU$50-$F$15)/($G$15-$F$15+1))-COS(PI()*((BU$50-$F$15)+1)/($G$15-$F$15+1)))/2,1/($G$15-$F$15+1)),0)</f>
        <v>0</v>
      </c>
      <c r="BV54" s="7" t="n">
        <f aca="false">IF(AND(BV$50&gt;=$F$15,BV$50&lt;=$G$15),$E$15*IF($H$15="S-Curve",(COS(PI()*(BV$50-$F$15)/($G$15-$F$15+1))-COS(PI()*((BV$50-$F$15)+1)/($G$15-$F$15+1)))/2,1/($G$15-$F$15+1)),0)</f>
        <v>0</v>
      </c>
      <c r="BW54" s="7" t="n">
        <f aca="false">IF(AND(BW$50&gt;=$F$15,BW$50&lt;=$G$15),$E$15*IF($H$15="S-Curve",(COS(PI()*(BW$50-$F$15)/($G$15-$F$15+1))-COS(PI()*((BW$50-$F$15)+1)/($G$15-$F$15+1)))/2,1/($G$15-$F$15+1)),0)</f>
        <v>0</v>
      </c>
      <c r="BX54" s="7" t="n">
        <f aca="false">IF(AND(BX$50&gt;=$F$15,BX$50&lt;=$G$15),$E$15*IF($H$15="S-Curve",(COS(PI()*(BX$50-$F$15)/($G$15-$F$15+1))-COS(PI()*((BX$50-$F$15)+1)/($G$15-$F$15+1)))/2,1/($G$15-$F$15+1)),0)</f>
        <v>0</v>
      </c>
      <c r="BY54" s="7" t="n">
        <f aca="false">IF(AND(BY$50&gt;=$F$15,BY$50&lt;=$G$15),$E$15*IF($H$15="S-Curve",(COS(PI()*(BY$50-$F$15)/($G$15-$F$15+1))-COS(PI()*((BY$50-$F$15)+1)/($G$15-$F$15+1)))/2,1/($G$15-$F$15+1)),0)</f>
        <v>0</v>
      </c>
      <c r="BZ54" s="7" t="n">
        <f aca="false">IF(AND(BZ$50&gt;=$F$15,BZ$50&lt;=$G$15),$E$15*IF($H$15="S-Curve",(COS(PI()*(BZ$50-$F$15)/($G$15-$F$15+1))-COS(PI()*((BZ$50-$F$15)+1)/($G$15-$F$15+1)))/2,1/($G$15-$F$15+1)),0)</f>
        <v>0</v>
      </c>
      <c r="CA54" s="7" t="n">
        <f aca="false">IF(AND(CA$50&gt;=$F$15,CA$50&lt;=$G$15),$E$15*IF($H$15="S-Curve",(COS(PI()*(CA$50-$F$15)/($G$15-$F$15+1))-COS(PI()*((CA$50-$F$15)+1)/($G$15-$F$15+1)))/2,1/($G$15-$F$15+1)),0)</f>
        <v>0</v>
      </c>
      <c r="CB54" s="7" t="n">
        <f aca="false">IF(AND(CB$50&gt;=$F$15,CB$50&lt;=$G$15),$E$15*IF($H$15="S-Curve",(COS(PI()*(CB$50-$F$15)/($G$15-$F$15+1))-COS(PI()*((CB$50-$F$15)+1)/($G$15-$F$15+1)))/2,1/($G$15-$F$15+1)),0)</f>
        <v>0</v>
      </c>
      <c r="CC54" s="7" t="n">
        <f aca="false">IF(AND(CC$50&gt;=$F$15,CC$50&lt;=$G$15),$E$15*IF($H$15="S-Curve",(COS(PI()*(CC$50-$F$15)/($G$15-$F$15+1))-COS(PI()*((CC$50-$F$15)+1)/($G$15-$F$15+1)))/2,1/($G$15-$F$15+1)),0)</f>
        <v>0</v>
      </c>
      <c r="CD54" s="7" t="n">
        <f aca="false">IF(AND(CD$50&gt;=$F$15,CD$50&lt;=$G$15),$E$15*IF($H$15="S-Curve",(COS(PI()*(CD$50-$F$15)/($G$15-$F$15+1))-COS(PI()*((CD$50-$F$15)+1)/($G$15-$F$15+1)))/2,1/($G$15-$F$15+1)),0)</f>
        <v>0</v>
      </c>
      <c r="CE54" s="7" t="n">
        <f aca="false">IF(AND(CE$50&gt;=$F$15,CE$50&lt;=$G$15),$E$15*IF($H$15="S-Curve",(COS(PI()*(CE$50-$F$15)/($G$15-$F$15+1))-COS(PI()*((CE$50-$F$15)+1)/($G$15-$F$15+1)))/2,1/($G$15-$F$15+1)),0)</f>
        <v>0</v>
      </c>
      <c r="CF54" s="7" t="n">
        <f aca="false">IF(AND(CF$50&gt;=$F$15,CF$50&lt;=$G$15),$E$15*IF($H$15="S-Curve",(COS(PI()*(CF$50-$F$15)/($G$15-$F$15+1))-COS(PI()*((CF$50-$F$15)+1)/($G$15-$F$15+1)))/2,1/($G$15-$F$15+1)),0)</f>
        <v>0</v>
      </c>
      <c r="CG54" s="7" t="n">
        <f aca="false">IF(AND(CG$50&gt;=$F$15,CG$50&lt;=$G$15),$E$15*IF($H$15="S-Curve",(COS(PI()*(CG$50-$F$15)/($G$15-$F$15+1))-COS(PI()*((CG$50-$F$15)+1)/($G$15-$F$15+1)))/2,1/($G$15-$F$15+1)),0)</f>
        <v>0</v>
      </c>
      <c r="CH54" s="7" t="n">
        <f aca="false">IF(AND(CH$50&gt;=$F$15,CH$50&lt;=$G$15),$E$15*IF($H$15="S-Curve",(COS(PI()*(CH$50-$F$15)/($G$15-$F$15+1))-COS(PI()*((CH$50-$F$15)+1)/($G$15-$F$15+1)))/2,1/($G$15-$F$15+1)),0)</f>
        <v>0</v>
      </c>
      <c r="CI54" s="7" t="n">
        <f aca="false">IF(AND(CI$50&gt;=$F$15,CI$50&lt;=$G$15),$E$15*IF($H$15="S-Curve",(COS(PI()*(CI$50-$F$15)/($G$15-$F$15+1))-COS(PI()*((CI$50-$F$15)+1)/($G$15-$F$15+1)))/2,1/($G$15-$F$15+1)),0)</f>
        <v>0</v>
      </c>
      <c r="CJ54" s="7" t="n">
        <f aca="false">IF(AND(CJ$50&gt;=$F$15,CJ$50&lt;=$G$15),$E$15*IF($H$15="S-Curve",(COS(PI()*(CJ$50-$F$15)/($G$15-$F$15+1))-COS(PI()*((CJ$50-$F$15)+1)/($G$15-$F$15+1)))/2,1/($G$15-$F$15+1)),0)</f>
        <v>0</v>
      </c>
      <c r="CK54" s="7" t="n">
        <f aca="false">IF(AND(CK$50&gt;=$F$15,CK$50&lt;=$G$15),$E$15*IF($H$15="S-Curve",(COS(PI()*(CK$50-$F$15)/($G$15-$F$15+1))-COS(PI()*((CK$50-$F$15)+1)/($G$15-$F$15+1)))/2,1/($G$15-$F$15+1)),0)</f>
        <v>0</v>
      </c>
      <c r="CL54" s="7" t="n">
        <f aca="false">IF(AND(CL$50&gt;=$F$15,CL$50&lt;=$G$15),$E$15*IF($H$15="S-Curve",(COS(PI()*(CL$50-$F$15)/($G$15-$F$15+1))-COS(PI()*((CL$50-$F$15)+1)/($G$15-$F$15+1)))/2,1/($G$15-$F$15+1)),0)</f>
        <v>0</v>
      </c>
      <c r="CM54" s="7" t="n">
        <f aca="false">IF(AND(CM$50&gt;=$F$15,CM$50&lt;=$G$15),$E$15*IF($H$15="S-Curve",(COS(PI()*(CM$50-$F$15)/($G$15-$F$15+1))-COS(PI()*((CM$50-$F$15)+1)/($G$15-$F$15+1)))/2,1/($G$15-$F$15+1)),0)</f>
        <v>0</v>
      </c>
      <c r="CN54" s="7" t="n">
        <f aca="false">IF(AND(CN$50&gt;=$F$15,CN$50&lt;=$G$15),$E$15*IF($H$15="S-Curve",(COS(PI()*(CN$50-$F$15)/($G$15-$F$15+1))-COS(PI()*((CN$50-$F$15)+1)/($G$15-$F$15+1)))/2,1/($G$15-$F$15+1)),0)</f>
        <v>0</v>
      </c>
      <c r="CO54" s="7" t="n">
        <f aca="false">IF(AND(CO$50&gt;=$F$15,CO$50&lt;=$G$15),$E$15*IF($H$15="S-Curve",(COS(PI()*(CO$50-$F$15)/($G$15-$F$15+1))-COS(PI()*((CO$50-$F$15)+1)/($G$15-$F$15+1)))/2,1/($G$15-$F$15+1)),0)</f>
        <v>0</v>
      </c>
      <c r="CP54" s="7" t="n">
        <f aca="false">IF(AND(CP$50&gt;=$F$15,CP$50&lt;=$G$15),$E$15*IF($H$15="S-Curve",(COS(PI()*(CP$50-$F$15)/($G$15-$F$15+1))-COS(PI()*((CP$50-$F$15)+1)/($G$15-$F$15+1)))/2,1/($G$15-$F$15+1)),0)</f>
        <v>0</v>
      </c>
      <c r="CQ54" s="7" t="n">
        <f aca="false">IF(AND(CQ$50&gt;=$F$15,CQ$50&lt;=$G$15),$E$15*IF($H$15="S-Curve",(COS(PI()*(CQ$50-$F$15)/($G$15-$F$15+1))-COS(PI()*((CQ$50-$F$15)+1)/($G$15-$F$15+1)))/2,1/($G$15-$F$15+1)),0)</f>
        <v>0</v>
      </c>
      <c r="CR54" s="7" t="n">
        <f aca="false">IF(AND(CR$50&gt;=$F$15,CR$50&lt;=$G$15),$E$15*IF($H$15="S-Curve",(COS(PI()*(CR$50-$F$15)/($G$15-$F$15+1))-COS(PI()*((CR$50-$F$15)+1)/($G$15-$F$15+1)))/2,1/($G$15-$F$15+1)),0)</f>
        <v>0</v>
      </c>
      <c r="CS54" s="7" t="n">
        <f aca="false">IF(AND(CS$50&gt;=$F$15,CS$50&lt;=$G$15),$E$15*IF($H$15="S-Curve",(COS(PI()*(CS$50-$F$15)/($G$15-$F$15+1))-COS(PI()*((CS$50-$F$15)+1)/($G$15-$F$15+1)))/2,1/($G$15-$F$15+1)),0)</f>
        <v>0</v>
      </c>
      <c r="CT54" s="7" t="n">
        <f aca="false">IF(AND(CT$50&gt;=$F$15,CT$50&lt;=$G$15),$E$15*IF($H$15="S-Curve",(COS(PI()*(CT$50-$F$15)/($G$15-$F$15+1))-COS(PI()*((CT$50-$F$15)+1)/($G$15-$F$15+1)))/2,1/($G$15-$F$15+1)),0)</f>
        <v>0</v>
      </c>
      <c r="CU54" s="7" t="n">
        <f aca="false">IF(AND(CU$50&gt;=$F$15,CU$50&lt;=$G$15),$E$15*IF($H$15="S-Curve",(COS(PI()*(CU$50-$F$15)/($G$15-$F$15+1))-COS(PI()*((CU$50-$F$15)+1)/($G$15-$F$15+1)))/2,1/($G$15-$F$15+1)),0)</f>
        <v>0</v>
      </c>
      <c r="CV54" s="7" t="n">
        <f aca="false">IF(AND(CV$50&gt;=$F$15,CV$50&lt;=$G$15),$E$15*IF($H$15="S-Curve",(COS(PI()*(CV$50-$F$15)/($G$15-$F$15+1))-COS(PI()*((CV$50-$F$15)+1)/($G$15-$F$15+1)))/2,1/($G$15-$F$15+1)),0)</f>
        <v>0</v>
      </c>
      <c r="CW54" s="7" t="n">
        <f aca="false">IF(AND(CW$50&gt;=$F$15,CW$50&lt;=$G$15),$E$15*IF($H$15="S-Curve",(COS(PI()*(CW$50-$F$15)/($G$15-$F$15+1))-COS(PI()*((CW$50-$F$15)+1)/($G$15-$F$15+1)))/2,1/($G$15-$F$15+1)),0)</f>
        <v>0</v>
      </c>
      <c r="CX54" s="7" t="n">
        <f aca="false">IF(AND(CX$50&gt;=$F$15,CX$50&lt;=$G$15),$E$15*IF($H$15="S-Curve",(COS(PI()*(CX$50-$F$15)/($G$15-$F$15+1))-COS(PI()*((CX$50-$F$15)+1)/($G$15-$F$15+1)))/2,1/($G$15-$F$15+1)),0)</f>
        <v>0</v>
      </c>
      <c r="CY54" s="7" t="n">
        <f aca="false">IF(AND(CY$50&gt;=$F$15,CY$50&lt;=$G$15),$E$15*IF($H$15="S-Curve",(COS(PI()*(CY$50-$F$15)/($G$15-$F$15+1))-COS(PI()*((CY$50-$F$15)+1)/($G$15-$F$15+1)))/2,1/($G$15-$F$15+1)),0)</f>
        <v>0</v>
      </c>
    </row>
    <row r="55" customFormat="false" ht="15" hidden="false" customHeight="false" outlineLevel="0" collapsed="false">
      <c r="B55" s="0" t="s">
        <v>29</v>
      </c>
      <c r="D55" s="0" t="s">
        <v>75</v>
      </c>
      <c r="E55" s="3" t="n">
        <f aca="false">12*SUMPRODUCT(($S$50:$CY$50=Stabilization_1st_Month)*$S$83:$CY$83)</f>
        <v>40430586</v>
      </c>
      <c r="S55" s="7" t="n">
        <f aca="false">IF(AND(S$50&gt;=$F$16,S$50&lt;=$G$16),$E$16*IF($H$16="S-Curve",(COS(PI()*(S$50-$F$16)/($G$16-$F$16+1))-COS(PI()*((S$50-$F$16)+1)/($G$16-$F$16+1)))/2,1/($G$16-$F$16+1)),0)</f>
        <v>0</v>
      </c>
      <c r="T55" s="7" t="n">
        <f aca="false">IF(AND(T$50&gt;=$F$16,T$50&lt;=$G$16),$E$16*IF($H$16="S-Curve",(COS(PI()*(T$50-$F$16)/($G$16-$F$16+1))-COS(PI()*((T$50-$F$16)+1)/($G$16-$F$16+1)))/2,1/($G$16-$F$16+1)),0)</f>
        <v>728718.240707486</v>
      </c>
      <c r="U55" s="7" t="n">
        <f aca="false">IF(AND(U$50&gt;=$F$16,U$50&lt;=$G$16),$E$16*IF($H$16="S-Curve",(COS(PI()*(U$50-$F$16)/($G$16-$F$16+1))-COS(PI()*((U$50-$F$16)+1)/($G$16-$F$16+1)))/2,1/($G$16-$F$16+1)),0)</f>
        <v>2158150.48880196</v>
      </c>
      <c r="V55" s="7" t="n">
        <f aca="false">IF(AND(V$50&gt;=$F$16,V$50&lt;=$G$16),$E$16*IF($H$16="S-Curve",(COS(PI()*(V$50-$F$16)/($G$16-$F$16+1))-COS(PI()*((V$50-$F$16)+1)/($G$16-$F$16+1)))/2,1/($G$16-$F$16+1)),0)</f>
        <v>3504646.22391652</v>
      </c>
      <c r="W55" s="7" t="n">
        <f aca="false">IF(AND(W$50&gt;=$F$16,W$50&lt;=$G$16),$E$16*IF($H$16="S-Curve",(COS(PI()*(W$50-$F$16)/($G$16-$F$16+1))-COS(PI()*((W$50-$F$16)+1)/($G$16-$F$16+1)))/2,1/($G$16-$F$16+1)),0)</f>
        <v>4716460.37007421</v>
      </c>
      <c r="X55" s="7" t="n">
        <f aca="false">IF(AND(X$50&gt;=$F$16,X$50&lt;=$G$16),$E$16*IF($H$16="S-Curve",(COS(PI()*(X$50-$F$16)/($G$16-$F$16+1))-COS(PI()*((X$50-$F$16)+1)/($G$16-$F$16+1)))/2,1/($G$16-$F$16+1)),0)</f>
        <v>5747023.5892314</v>
      </c>
      <c r="Y55" s="7" t="n">
        <f aca="false">IF(AND(Y$50&gt;=$F$16,Y$50&lt;=$G$16),$E$16*IF($H$16="S-Curve",(COS(PI()*(Y$50-$F$16)/($G$16-$F$16+1))-COS(PI()*((Y$50-$F$16)+1)/($G$16-$F$16+1)))/2,1/($G$16-$F$16+1)),0)</f>
        <v>6556731.91482239</v>
      </c>
      <c r="Z55" s="7" t="n">
        <f aca="false">IF(AND(Z$50&gt;=$F$16,Z$50&lt;=$G$16),$E$16*IF($H$16="S-Curve",(COS(PI()*(Z$50-$F$16)/($G$16-$F$16+1))-COS(PI()*((Z$50-$F$16)+1)/($G$16-$F$16+1)))/2,1/($G$16-$F$16+1)),0)</f>
        <v>7114468.70998437</v>
      </c>
      <c r="AA55" s="7" t="n">
        <f aca="false">IF(AND(AA$50&gt;=$F$16,AA$50&lt;=$G$16),$E$16*IF($H$16="S-Curve",(COS(PI()*(AA$50-$F$16)/($G$16-$F$16+1))-COS(PI()*((AA$50-$F$16)+1)/($G$16-$F$16+1)))/2,1/($G$16-$F$16+1)),0)</f>
        <v>7398800.46246167</v>
      </c>
      <c r="AB55" s="7" t="n">
        <f aca="false">IF(AND(AB$50&gt;=$F$16,AB$50&lt;=$G$16),$E$16*IF($H$16="S-Curve",(COS(PI()*(AB$50-$F$16)/($G$16-$F$16+1))-COS(PI()*((AB$50-$F$16)+1)/($G$16-$F$16+1)))/2,1/($G$16-$F$16+1)),0)</f>
        <v>7398800.46246166</v>
      </c>
      <c r="AC55" s="7" t="n">
        <f aca="false">IF(AND(AC$50&gt;=$F$16,AC$50&lt;=$G$16),$E$16*IF($H$16="S-Curve",(COS(PI()*(AC$50-$F$16)/($G$16-$F$16+1))-COS(PI()*((AC$50-$F$16)+1)/($G$16-$F$16+1)))/2,1/($G$16-$F$16+1)),0)</f>
        <v>7114468.70998437</v>
      </c>
      <c r="AD55" s="7" t="n">
        <f aca="false">IF(AND(AD$50&gt;=$F$16,AD$50&lt;=$G$16),$E$16*IF($H$16="S-Curve",(COS(PI()*(AD$50-$F$16)/($G$16-$F$16+1))-COS(PI()*((AD$50-$F$16)+1)/($G$16-$F$16+1)))/2,1/($G$16-$F$16+1)),0)</f>
        <v>6556731.91482238</v>
      </c>
      <c r="AE55" s="7" t="n">
        <f aca="false">IF(AND(AE$50&gt;=$F$16,AE$50&lt;=$G$16),$E$16*IF($H$16="S-Curve",(COS(PI()*(AE$50-$F$16)/($G$16-$F$16+1))-COS(PI()*((AE$50-$F$16)+1)/($G$16-$F$16+1)))/2,1/($G$16-$F$16+1)),0)</f>
        <v>5747023.58923141</v>
      </c>
      <c r="AF55" s="7" t="n">
        <f aca="false">IF(AND(AF$50&gt;=$F$16,AF$50&lt;=$G$16),$E$16*IF($H$16="S-Curve",(COS(PI()*(AF$50-$F$16)/($G$16-$F$16+1))-COS(PI()*((AF$50-$F$16)+1)/($G$16-$F$16+1)))/2,1/($G$16-$F$16+1)),0)</f>
        <v>4716460.37007422</v>
      </c>
      <c r="AG55" s="7" t="n">
        <f aca="false">IF(AND(AG$50&gt;=$F$16,AG$50&lt;=$G$16),$E$16*IF($H$16="S-Curve",(COS(PI()*(AG$50-$F$16)/($G$16-$F$16+1))-COS(PI()*((AG$50-$F$16)+1)/($G$16-$F$16+1)))/2,1/($G$16-$F$16+1)),0)</f>
        <v>3504646.22391652</v>
      </c>
      <c r="AH55" s="7" t="n">
        <f aca="false">IF(AND(AH$50&gt;=$F$16,AH$50&lt;=$G$16),$E$16*IF($H$16="S-Curve",(COS(PI()*(AH$50-$F$16)/($G$16-$F$16+1))-COS(PI()*((AH$50-$F$16)+1)/($G$16-$F$16+1)))/2,1/($G$16-$F$16+1)),0)</f>
        <v>2158150.48880196</v>
      </c>
      <c r="AI55" s="7" t="n">
        <f aca="false">IF(AND(AI$50&gt;=$F$16,AI$50&lt;=$G$16),$E$16*IF($H$16="S-Curve",(COS(PI()*(AI$50-$F$16)/($G$16-$F$16+1))-COS(PI()*((AI$50-$F$16)+1)/($G$16-$F$16+1)))/2,1/($G$16-$F$16+1)),0)</f>
        <v>728718.240707486</v>
      </c>
      <c r="AJ55" s="7" t="n">
        <f aca="false">IF(AND(AJ$50&gt;=$F$16,AJ$50&lt;=$G$16),$E$16*IF($H$16="S-Curve",(COS(PI()*(AJ$50-$F$16)/($G$16-$F$16+1))-COS(PI()*((AJ$50-$F$16)+1)/($G$16-$F$16+1)))/2,1/($G$16-$F$16+1)),0)</f>
        <v>0</v>
      </c>
      <c r="AK55" s="7" t="n">
        <f aca="false">IF(AND(AK$50&gt;=$F$16,AK$50&lt;=$G$16),$E$16*IF($H$16="S-Curve",(COS(PI()*(AK$50-$F$16)/($G$16-$F$16+1))-COS(PI()*((AK$50-$F$16)+1)/($G$16-$F$16+1)))/2,1/($G$16-$F$16+1)),0)</f>
        <v>0</v>
      </c>
      <c r="AL55" s="7" t="n">
        <f aca="false">IF(AND(AL$50&gt;=$F$16,AL$50&lt;=$G$16),$E$16*IF($H$16="S-Curve",(COS(PI()*(AL$50-$F$16)/($G$16-$F$16+1))-COS(PI()*((AL$50-$F$16)+1)/($G$16-$F$16+1)))/2,1/($G$16-$F$16+1)),0)</f>
        <v>0</v>
      </c>
      <c r="AM55" s="7" t="n">
        <f aca="false">IF(AND(AM$50&gt;=$F$16,AM$50&lt;=$G$16),$E$16*IF($H$16="S-Curve",(COS(PI()*(AM$50-$F$16)/($G$16-$F$16+1))-COS(PI()*((AM$50-$F$16)+1)/($G$16-$F$16+1)))/2,1/($G$16-$F$16+1)),0)</f>
        <v>0</v>
      </c>
      <c r="AN55" s="7" t="n">
        <f aca="false">IF(AND(AN$50&gt;=$F$16,AN$50&lt;=$G$16),$E$16*IF($H$16="S-Curve",(COS(PI()*(AN$50-$F$16)/($G$16-$F$16+1))-COS(PI()*((AN$50-$F$16)+1)/($G$16-$F$16+1)))/2,1/($G$16-$F$16+1)),0)</f>
        <v>0</v>
      </c>
      <c r="AO55" s="7" t="n">
        <f aca="false">IF(AND(AO$50&gt;=$F$16,AO$50&lt;=$G$16),$E$16*IF($H$16="S-Curve",(COS(PI()*(AO$50-$F$16)/($G$16-$F$16+1))-COS(PI()*((AO$50-$F$16)+1)/($G$16-$F$16+1)))/2,1/($G$16-$F$16+1)),0)</f>
        <v>0</v>
      </c>
      <c r="AP55" s="7" t="n">
        <f aca="false">IF(AND(AP$50&gt;=$F$16,AP$50&lt;=$G$16),$E$16*IF($H$16="S-Curve",(COS(PI()*(AP$50-$F$16)/($G$16-$F$16+1))-COS(PI()*((AP$50-$F$16)+1)/($G$16-$F$16+1)))/2,1/($G$16-$F$16+1)),0)</f>
        <v>0</v>
      </c>
      <c r="AQ55" s="7" t="n">
        <f aca="false">IF(AND(AQ$50&gt;=$F$16,AQ$50&lt;=$G$16),$E$16*IF($H$16="S-Curve",(COS(PI()*(AQ$50-$F$16)/($G$16-$F$16+1))-COS(PI()*((AQ$50-$F$16)+1)/($G$16-$F$16+1)))/2,1/($G$16-$F$16+1)),0)</f>
        <v>0</v>
      </c>
      <c r="AR55" s="7" t="n">
        <f aca="false">IF(AND(AR$50&gt;=$F$16,AR$50&lt;=$G$16),$E$16*IF($H$16="S-Curve",(COS(PI()*(AR$50-$F$16)/($G$16-$F$16+1))-COS(PI()*((AR$50-$F$16)+1)/($G$16-$F$16+1)))/2,1/($G$16-$F$16+1)),0)</f>
        <v>0</v>
      </c>
      <c r="AS55" s="7" t="n">
        <f aca="false">IF(AND(AS$50&gt;=$F$16,AS$50&lt;=$G$16),$E$16*IF($H$16="S-Curve",(COS(PI()*(AS$50-$F$16)/($G$16-$F$16+1))-COS(PI()*((AS$50-$F$16)+1)/($G$16-$F$16+1)))/2,1/($G$16-$F$16+1)),0)</f>
        <v>0</v>
      </c>
      <c r="AT55" s="7" t="n">
        <f aca="false">IF(AND(AT$50&gt;=$F$16,AT$50&lt;=$G$16),$E$16*IF($H$16="S-Curve",(COS(PI()*(AT$50-$F$16)/($G$16-$F$16+1))-COS(PI()*((AT$50-$F$16)+1)/($G$16-$F$16+1)))/2,1/($G$16-$F$16+1)),0)</f>
        <v>0</v>
      </c>
      <c r="AU55" s="7" t="n">
        <f aca="false">IF(AND(AU$50&gt;=$F$16,AU$50&lt;=$G$16),$E$16*IF($H$16="S-Curve",(COS(PI()*(AU$50-$F$16)/($G$16-$F$16+1))-COS(PI()*((AU$50-$F$16)+1)/($G$16-$F$16+1)))/2,1/($G$16-$F$16+1)),0)</f>
        <v>0</v>
      </c>
      <c r="AV55" s="7" t="n">
        <f aca="false">IF(AND(AV$50&gt;=$F$16,AV$50&lt;=$G$16),$E$16*IF($H$16="S-Curve",(COS(PI()*(AV$50-$F$16)/($G$16-$F$16+1))-COS(PI()*((AV$50-$F$16)+1)/($G$16-$F$16+1)))/2,1/($G$16-$F$16+1)),0)</f>
        <v>0</v>
      </c>
      <c r="AW55" s="7" t="n">
        <f aca="false">IF(AND(AW$50&gt;=$F$16,AW$50&lt;=$G$16),$E$16*IF($H$16="S-Curve",(COS(PI()*(AW$50-$F$16)/($G$16-$F$16+1))-COS(PI()*((AW$50-$F$16)+1)/($G$16-$F$16+1)))/2,1/($G$16-$F$16+1)),0)</f>
        <v>0</v>
      </c>
      <c r="AX55" s="7" t="n">
        <f aca="false">IF(AND(AX$50&gt;=$F$16,AX$50&lt;=$G$16),$E$16*IF($H$16="S-Curve",(COS(PI()*(AX$50-$F$16)/($G$16-$F$16+1))-COS(PI()*((AX$50-$F$16)+1)/($G$16-$F$16+1)))/2,1/($G$16-$F$16+1)),0)</f>
        <v>0</v>
      </c>
      <c r="AY55" s="7" t="n">
        <f aca="false">IF(AND(AY$50&gt;=$F$16,AY$50&lt;=$G$16),$E$16*IF($H$16="S-Curve",(COS(PI()*(AY$50-$F$16)/($G$16-$F$16+1))-COS(PI()*((AY$50-$F$16)+1)/($G$16-$F$16+1)))/2,1/($G$16-$F$16+1)),0)</f>
        <v>0</v>
      </c>
      <c r="AZ55" s="7" t="n">
        <f aca="false">IF(AND(AZ$50&gt;=$F$16,AZ$50&lt;=$G$16),$E$16*IF($H$16="S-Curve",(COS(PI()*(AZ$50-$F$16)/($G$16-$F$16+1))-COS(PI()*((AZ$50-$F$16)+1)/($G$16-$F$16+1)))/2,1/($G$16-$F$16+1)),0)</f>
        <v>0</v>
      </c>
      <c r="BA55" s="7" t="n">
        <f aca="false">IF(AND(BA$50&gt;=$F$16,BA$50&lt;=$G$16),$E$16*IF($H$16="S-Curve",(COS(PI()*(BA$50-$F$16)/($G$16-$F$16+1))-COS(PI()*((BA$50-$F$16)+1)/($G$16-$F$16+1)))/2,1/($G$16-$F$16+1)),0)</f>
        <v>0</v>
      </c>
      <c r="BB55" s="7" t="n">
        <f aca="false">IF(AND(BB$50&gt;=$F$16,BB$50&lt;=$G$16),$E$16*IF($H$16="S-Curve",(COS(PI()*(BB$50-$F$16)/($G$16-$F$16+1))-COS(PI()*((BB$50-$F$16)+1)/($G$16-$F$16+1)))/2,1/($G$16-$F$16+1)),0)</f>
        <v>0</v>
      </c>
      <c r="BC55" s="7" t="n">
        <f aca="false">IF(AND(BC$50&gt;=$F$16,BC$50&lt;=$G$16),$E$16*IF($H$16="S-Curve",(COS(PI()*(BC$50-$F$16)/($G$16-$F$16+1))-COS(PI()*((BC$50-$F$16)+1)/($G$16-$F$16+1)))/2,1/($G$16-$F$16+1)),0)</f>
        <v>0</v>
      </c>
      <c r="BD55" s="7" t="n">
        <f aca="false">IF(AND(BD$50&gt;=$F$16,BD$50&lt;=$G$16),$E$16*IF($H$16="S-Curve",(COS(PI()*(BD$50-$F$16)/($G$16-$F$16+1))-COS(PI()*((BD$50-$F$16)+1)/($G$16-$F$16+1)))/2,1/($G$16-$F$16+1)),0)</f>
        <v>0</v>
      </c>
      <c r="BE55" s="7" t="n">
        <f aca="false">IF(AND(BE$50&gt;=$F$16,BE$50&lt;=$G$16),$E$16*IF($H$16="S-Curve",(COS(PI()*(BE$50-$F$16)/($G$16-$F$16+1))-COS(PI()*((BE$50-$F$16)+1)/($G$16-$F$16+1)))/2,1/($G$16-$F$16+1)),0)</f>
        <v>0</v>
      </c>
      <c r="BF55" s="7" t="n">
        <f aca="false">IF(AND(BF$50&gt;=$F$16,BF$50&lt;=$G$16),$E$16*IF($H$16="S-Curve",(COS(PI()*(BF$50-$F$16)/($G$16-$F$16+1))-COS(PI()*((BF$50-$F$16)+1)/($G$16-$F$16+1)))/2,1/($G$16-$F$16+1)),0)</f>
        <v>0</v>
      </c>
      <c r="BG55" s="7" t="n">
        <f aca="false">IF(AND(BG$50&gt;=$F$16,BG$50&lt;=$G$16),$E$16*IF($H$16="S-Curve",(COS(PI()*(BG$50-$F$16)/($G$16-$F$16+1))-COS(PI()*((BG$50-$F$16)+1)/($G$16-$F$16+1)))/2,1/($G$16-$F$16+1)),0)</f>
        <v>0</v>
      </c>
      <c r="BH55" s="7" t="n">
        <f aca="false">IF(AND(BH$50&gt;=$F$16,BH$50&lt;=$G$16),$E$16*IF($H$16="S-Curve",(COS(PI()*(BH$50-$F$16)/($G$16-$F$16+1))-COS(PI()*((BH$50-$F$16)+1)/($G$16-$F$16+1)))/2,1/($G$16-$F$16+1)),0)</f>
        <v>0</v>
      </c>
      <c r="BI55" s="7" t="n">
        <f aca="false">IF(AND(BI$50&gt;=$F$16,BI$50&lt;=$G$16),$E$16*IF($H$16="S-Curve",(COS(PI()*(BI$50-$F$16)/($G$16-$F$16+1))-COS(PI()*((BI$50-$F$16)+1)/($G$16-$F$16+1)))/2,1/($G$16-$F$16+1)),0)</f>
        <v>0</v>
      </c>
      <c r="BJ55" s="7" t="n">
        <f aca="false">IF(AND(BJ$50&gt;=$F$16,BJ$50&lt;=$G$16),$E$16*IF($H$16="S-Curve",(COS(PI()*(BJ$50-$F$16)/($G$16-$F$16+1))-COS(PI()*((BJ$50-$F$16)+1)/($G$16-$F$16+1)))/2,1/($G$16-$F$16+1)),0)</f>
        <v>0</v>
      </c>
      <c r="BK55" s="7" t="n">
        <f aca="false">IF(AND(BK$50&gt;=$F$16,BK$50&lt;=$G$16),$E$16*IF($H$16="S-Curve",(COS(PI()*(BK$50-$F$16)/($G$16-$F$16+1))-COS(PI()*((BK$50-$F$16)+1)/($G$16-$F$16+1)))/2,1/($G$16-$F$16+1)),0)</f>
        <v>0</v>
      </c>
      <c r="BL55" s="7" t="n">
        <f aca="false">IF(AND(BL$50&gt;=$F$16,BL$50&lt;=$G$16),$E$16*IF($H$16="S-Curve",(COS(PI()*(BL$50-$F$16)/($G$16-$F$16+1))-COS(PI()*((BL$50-$F$16)+1)/($G$16-$F$16+1)))/2,1/($G$16-$F$16+1)),0)</f>
        <v>0</v>
      </c>
      <c r="BM55" s="7" t="n">
        <f aca="false">IF(AND(BM$50&gt;=$F$16,BM$50&lt;=$G$16),$E$16*IF($H$16="S-Curve",(COS(PI()*(BM$50-$F$16)/($G$16-$F$16+1))-COS(PI()*((BM$50-$F$16)+1)/($G$16-$F$16+1)))/2,1/($G$16-$F$16+1)),0)</f>
        <v>0</v>
      </c>
      <c r="BN55" s="7" t="n">
        <f aca="false">IF(AND(BN$50&gt;=$F$16,BN$50&lt;=$G$16),$E$16*IF($H$16="S-Curve",(COS(PI()*(BN$50-$F$16)/($G$16-$F$16+1))-COS(PI()*((BN$50-$F$16)+1)/($G$16-$F$16+1)))/2,1/($G$16-$F$16+1)),0)</f>
        <v>0</v>
      </c>
      <c r="BO55" s="7" t="n">
        <f aca="false">IF(AND(BO$50&gt;=$F$16,BO$50&lt;=$G$16),$E$16*IF($H$16="S-Curve",(COS(PI()*(BO$50-$F$16)/($G$16-$F$16+1))-COS(PI()*((BO$50-$F$16)+1)/($G$16-$F$16+1)))/2,1/($G$16-$F$16+1)),0)</f>
        <v>0</v>
      </c>
      <c r="BP55" s="7" t="n">
        <f aca="false">IF(AND(BP$50&gt;=$F$16,BP$50&lt;=$G$16),$E$16*IF($H$16="S-Curve",(COS(PI()*(BP$50-$F$16)/($G$16-$F$16+1))-COS(PI()*((BP$50-$F$16)+1)/($G$16-$F$16+1)))/2,1/($G$16-$F$16+1)),0)</f>
        <v>0</v>
      </c>
      <c r="BQ55" s="7" t="n">
        <f aca="false">IF(AND(BQ$50&gt;=$F$16,BQ$50&lt;=$G$16),$E$16*IF($H$16="S-Curve",(COS(PI()*(BQ$50-$F$16)/($G$16-$F$16+1))-COS(PI()*((BQ$50-$F$16)+1)/($G$16-$F$16+1)))/2,1/($G$16-$F$16+1)),0)</f>
        <v>0</v>
      </c>
      <c r="BR55" s="7" t="n">
        <f aca="false">IF(AND(BR$50&gt;=$F$16,BR$50&lt;=$G$16),$E$16*IF($H$16="S-Curve",(COS(PI()*(BR$50-$F$16)/($G$16-$F$16+1))-COS(PI()*((BR$50-$F$16)+1)/($G$16-$F$16+1)))/2,1/($G$16-$F$16+1)),0)</f>
        <v>0</v>
      </c>
      <c r="BS55" s="7" t="n">
        <f aca="false">IF(AND(BS$50&gt;=$F$16,BS$50&lt;=$G$16),$E$16*IF($H$16="S-Curve",(COS(PI()*(BS$50-$F$16)/($G$16-$F$16+1))-COS(PI()*((BS$50-$F$16)+1)/($G$16-$F$16+1)))/2,1/($G$16-$F$16+1)),0)</f>
        <v>0</v>
      </c>
      <c r="BT55" s="7" t="n">
        <f aca="false">IF(AND(BT$50&gt;=$F$16,BT$50&lt;=$G$16),$E$16*IF($H$16="S-Curve",(COS(PI()*(BT$50-$F$16)/($G$16-$F$16+1))-COS(PI()*((BT$50-$F$16)+1)/($G$16-$F$16+1)))/2,1/($G$16-$F$16+1)),0)</f>
        <v>0</v>
      </c>
      <c r="BU55" s="7" t="n">
        <f aca="false">IF(AND(BU$50&gt;=$F$16,BU$50&lt;=$G$16),$E$16*IF($H$16="S-Curve",(COS(PI()*(BU$50-$F$16)/($G$16-$F$16+1))-COS(PI()*((BU$50-$F$16)+1)/($G$16-$F$16+1)))/2,1/($G$16-$F$16+1)),0)</f>
        <v>0</v>
      </c>
      <c r="BV55" s="7" t="n">
        <f aca="false">IF(AND(BV$50&gt;=$F$16,BV$50&lt;=$G$16),$E$16*IF($H$16="S-Curve",(COS(PI()*(BV$50-$F$16)/($G$16-$F$16+1))-COS(PI()*((BV$50-$F$16)+1)/($G$16-$F$16+1)))/2,1/($G$16-$F$16+1)),0)</f>
        <v>0</v>
      </c>
      <c r="BW55" s="7" t="n">
        <f aca="false">IF(AND(BW$50&gt;=$F$16,BW$50&lt;=$G$16),$E$16*IF($H$16="S-Curve",(COS(PI()*(BW$50-$F$16)/($G$16-$F$16+1))-COS(PI()*((BW$50-$F$16)+1)/($G$16-$F$16+1)))/2,1/($G$16-$F$16+1)),0)</f>
        <v>0</v>
      </c>
      <c r="BX55" s="7" t="n">
        <f aca="false">IF(AND(BX$50&gt;=$F$16,BX$50&lt;=$G$16),$E$16*IF($H$16="S-Curve",(COS(PI()*(BX$50-$F$16)/($G$16-$F$16+1))-COS(PI()*((BX$50-$F$16)+1)/($G$16-$F$16+1)))/2,1/($G$16-$F$16+1)),0)</f>
        <v>0</v>
      </c>
      <c r="BY55" s="7" t="n">
        <f aca="false">IF(AND(BY$50&gt;=$F$16,BY$50&lt;=$G$16),$E$16*IF($H$16="S-Curve",(COS(PI()*(BY$50-$F$16)/($G$16-$F$16+1))-COS(PI()*((BY$50-$F$16)+1)/($G$16-$F$16+1)))/2,1/($G$16-$F$16+1)),0)</f>
        <v>0</v>
      </c>
      <c r="BZ55" s="7" t="n">
        <f aca="false">IF(AND(BZ$50&gt;=$F$16,BZ$50&lt;=$G$16),$E$16*IF($H$16="S-Curve",(COS(PI()*(BZ$50-$F$16)/($G$16-$F$16+1))-COS(PI()*((BZ$50-$F$16)+1)/($G$16-$F$16+1)))/2,1/($G$16-$F$16+1)),0)</f>
        <v>0</v>
      </c>
      <c r="CA55" s="7" t="n">
        <f aca="false">IF(AND(CA$50&gt;=$F$16,CA$50&lt;=$G$16),$E$16*IF($H$16="S-Curve",(COS(PI()*(CA$50-$F$16)/($G$16-$F$16+1))-COS(PI()*((CA$50-$F$16)+1)/($G$16-$F$16+1)))/2,1/($G$16-$F$16+1)),0)</f>
        <v>0</v>
      </c>
      <c r="CB55" s="7" t="n">
        <f aca="false">IF(AND(CB$50&gt;=$F$16,CB$50&lt;=$G$16),$E$16*IF($H$16="S-Curve",(COS(PI()*(CB$50-$F$16)/($G$16-$F$16+1))-COS(PI()*((CB$50-$F$16)+1)/($G$16-$F$16+1)))/2,1/($G$16-$F$16+1)),0)</f>
        <v>0</v>
      </c>
      <c r="CC55" s="7" t="n">
        <f aca="false">IF(AND(CC$50&gt;=$F$16,CC$50&lt;=$G$16),$E$16*IF($H$16="S-Curve",(COS(PI()*(CC$50-$F$16)/($G$16-$F$16+1))-COS(PI()*((CC$50-$F$16)+1)/($G$16-$F$16+1)))/2,1/($G$16-$F$16+1)),0)</f>
        <v>0</v>
      </c>
      <c r="CD55" s="7" t="n">
        <f aca="false">IF(AND(CD$50&gt;=$F$16,CD$50&lt;=$G$16),$E$16*IF($H$16="S-Curve",(COS(PI()*(CD$50-$F$16)/($G$16-$F$16+1))-COS(PI()*((CD$50-$F$16)+1)/($G$16-$F$16+1)))/2,1/($G$16-$F$16+1)),0)</f>
        <v>0</v>
      </c>
      <c r="CE55" s="7" t="n">
        <f aca="false">IF(AND(CE$50&gt;=$F$16,CE$50&lt;=$G$16),$E$16*IF($H$16="S-Curve",(COS(PI()*(CE$50-$F$16)/($G$16-$F$16+1))-COS(PI()*((CE$50-$F$16)+1)/($G$16-$F$16+1)))/2,1/($G$16-$F$16+1)),0)</f>
        <v>0</v>
      </c>
      <c r="CF55" s="7" t="n">
        <f aca="false">IF(AND(CF$50&gt;=$F$16,CF$50&lt;=$G$16),$E$16*IF($H$16="S-Curve",(COS(PI()*(CF$50-$F$16)/($G$16-$F$16+1))-COS(PI()*((CF$50-$F$16)+1)/($G$16-$F$16+1)))/2,1/($G$16-$F$16+1)),0)</f>
        <v>0</v>
      </c>
      <c r="CG55" s="7" t="n">
        <f aca="false">IF(AND(CG$50&gt;=$F$16,CG$50&lt;=$G$16),$E$16*IF($H$16="S-Curve",(COS(PI()*(CG$50-$F$16)/($G$16-$F$16+1))-COS(PI()*((CG$50-$F$16)+1)/($G$16-$F$16+1)))/2,1/($G$16-$F$16+1)),0)</f>
        <v>0</v>
      </c>
      <c r="CH55" s="7" t="n">
        <f aca="false">IF(AND(CH$50&gt;=$F$16,CH$50&lt;=$G$16),$E$16*IF($H$16="S-Curve",(COS(PI()*(CH$50-$F$16)/($G$16-$F$16+1))-COS(PI()*((CH$50-$F$16)+1)/($G$16-$F$16+1)))/2,1/($G$16-$F$16+1)),0)</f>
        <v>0</v>
      </c>
      <c r="CI55" s="7" t="n">
        <f aca="false">IF(AND(CI$50&gt;=$F$16,CI$50&lt;=$G$16),$E$16*IF($H$16="S-Curve",(COS(PI()*(CI$50-$F$16)/($G$16-$F$16+1))-COS(PI()*((CI$50-$F$16)+1)/($G$16-$F$16+1)))/2,1/($G$16-$F$16+1)),0)</f>
        <v>0</v>
      </c>
      <c r="CJ55" s="7" t="n">
        <f aca="false">IF(AND(CJ$50&gt;=$F$16,CJ$50&lt;=$G$16),$E$16*IF($H$16="S-Curve",(COS(PI()*(CJ$50-$F$16)/($G$16-$F$16+1))-COS(PI()*((CJ$50-$F$16)+1)/($G$16-$F$16+1)))/2,1/($G$16-$F$16+1)),0)</f>
        <v>0</v>
      </c>
      <c r="CK55" s="7" t="n">
        <f aca="false">IF(AND(CK$50&gt;=$F$16,CK$50&lt;=$G$16),$E$16*IF($H$16="S-Curve",(COS(PI()*(CK$50-$F$16)/($G$16-$F$16+1))-COS(PI()*((CK$50-$F$16)+1)/($G$16-$F$16+1)))/2,1/($G$16-$F$16+1)),0)</f>
        <v>0</v>
      </c>
      <c r="CL55" s="7" t="n">
        <f aca="false">IF(AND(CL$50&gt;=$F$16,CL$50&lt;=$G$16),$E$16*IF($H$16="S-Curve",(COS(PI()*(CL$50-$F$16)/($G$16-$F$16+1))-COS(PI()*((CL$50-$F$16)+1)/($G$16-$F$16+1)))/2,1/($G$16-$F$16+1)),0)</f>
        <v>0</v>
      </c>
      <c r="CM55" s="7" t="n">
        <f aca="false">IF(AND(CM$50&gt;=$F$16,CM$50&lt;=$G$16),$E$16*IF($H$16="S-Curve",(COS(PI()*(CM$50-$F$16)/($G$16-$F$16+1))-COS(PI()*((CM$50-$F$16)+1)/($G$16-$F$16+1)))/2,1/($G$16-$F$16+1)),0)</f>
        <v>0</v>
      </c>
      <c r="CN55" s="7" t="n">
        <f aca="false">IF(AND(CN$50&gt;=$F$16,CN$50&lt;=$G$16),$E$16*IF($H$16="S-Curve",(COS(PI()*(CN$50-$F$16)/($G$16-$F$16+1))-COS(PI()*((CN$50-$F$16)+1)/($G$16-$F$16+1)))/2,1/($G$16-$F$16+1)),0)</f>
        <v>0</v>
      </c>
      <c r="CO55" s="7" t="n">
        <f aca="false">IF(AND(CO$50&gt;=$F$16,CO$50&lt;=$G$16),$E$16*IF($H$16="S-Curve",(COS(PI()*(CO$50-$F$16)/($G$16-$F$16+1))-COS(PI()*((CO$50-$F$16)+1)/($G$16-$F$16+1)))/2,1/($G$16-$F$16+1)),0)</f>
        <v>0</v>
      </c>
      <c r="CP55" s="7" t="n">
        <f aca="false">IF(AND(CP$50&gt;=$F$16,CP$50&lt;=$G$16),$E$16*IF($H$16="S-Curve",(COS(PI()*(CP$50-$F$16)/($G$16-$F$16+1))-COS(PI()*((CP$50-$F$16)+1)/($G$16-$F$16+1)))/2,1/($G$16-$F$16+1)),0)</f>
        <v>0</v>
      </c>
      <c r="CQ55" s="7" t="n">
        <f aca="false">IF(AND(CQ$50&gt;=$F$16,CQ$50&lt;=$G$16),$E$16*IF($H$16="S-Curve",(COS(PI()*(CQ$50-$F$16)/($G$16-$F$16+1))-COS(PI()*((CQ$50-$F$16)+1)/($G$16-$F$16+1)))/2,1/($G$16-$F$16+1)),0)</f>
        <v>0</v>
      </c>
      <c r="CR55" s="7" t="n">
        <f aca="false">IF(AND(CR$50&gt;=$F$16,CR$50&lt;=$G$16),$E$16*IF($H$16="S-Curve",(COS(PI()*(CR$50-$F$16)/($G$16-$F$16+1))-COS(PI()*((CR$50-$F$16)+1)/($G$16-$F$16+1)))/2,1/($G$16-$F$16+1)),0)</f>
        <v>0</v>
      </c>
      <c r="CS55" s="7" t="n">
        <f aca="false">IF(AND(CS$50&gt;=$F$16,CS$50&lt;=$G$16),$E$16*IF($H$16="S-Curve",(COS(PI()*(CS$50-$F$16)/($G$16-$F$16+1))-COS(PI()*((CS$50-$F$16)+1)/($G$16-$F$16+1)))/2,1/($G$16-$F$16+1)),0)</f>
        <v>0</v>
      </c>
      <c r="CT55" s="7" t="n">
        <f aca="false">IF(AND(CT$50&gt;=$F$16,CT$50&lt;=$G$16),$E$16*IF($H$16="S-Curve",(COS(PI()*(CT$50-$F$16)/($G$16-$F$16+1))-COS(PI()*((CT$50-$F$16)+1)/($G$16-$F$16+1)))/2,1/($G$16-$F$16+1)),0)</f>
        <v>0</v>
      </c>
      <c r="CU55" s="7" t="n">
        <f aca="false">IF(AND(CU$50&gt;=$F$16,CU$50&lt;=$G$16),$E$16*IF($H$16="S-Curve",(COS(PI()*(CU$50-$F$16)/($G$16-$F$16+1))-COS(PI()*((CU$50-$F$16)+1)/($G$16-$F$16+1)))/2,1/($G$16-$F$16+1)),0)</f>
        <v>0</v>
      </c>
      <c r="CV55" s="7" t="n">
        <f aca="false">IF(AND(CV$50&gt;=$F$16,CV$50&lt;=$G$16),$E$16*IF($H$16="S-Curve",(COS(PI()*(CV$50-$F$16)/($G$16-$F$16+1))-COS(PI()*((CV$50-$F$16)+1)/($G$16-$F$16+1)))/2,1/($G$16-$F$16+1)),0)</f>
        <v>0</v>
      </c>
      <c r="CW55" s="7" t="n">
        <f aca="false">IF(AND(CW$50&gt;=$F$16,CW$50&lt;=$G$16),$E$16*IF($H$16="S-Curve",(COS(PI()*(CW$50-$F$16)/($G$16-$F$16+1))-COS(PI()*((CW$50-$F$16)+1)/($G$16-$F$16+1)))/2,1/($G$16-$F$16+1)),0)</f>
        <v>0</v>
      </c>
      <c r="CX55" s="7" t="n">
        <f aca="false">IF(AND(CX$50&gt;=$F$16,CX$50&lt;=$G$16),$E$16*IF($H$16="S-Curve",(COS(PI()*(CX$50-$F$16)/($G$16-$F$16+1))-COS(PI()*((CX$50-$F$16)+1)/($G$16-$F$16+1)))/2,1/($G$16-$F$16+1)),0)</f>
        <v>0</v>
      </c>
      <c r="CY55" s="7" t="n">
        <f aca="false">IF(AND(CY$50&gt;=$F$16,CY$50&lt;=$G$16),$E$16*IF($H$16="S-Curve",(COS(PI()*(CY$50-$F$16)/($G$16-$F$16+1))-COS(PI()*((CY$50-$F$16)+1)/($G$16-$F$16+1)))/2,1/($G$16-$F$16+1)),0)</f>
        <v>0</v>
      </c>
    </row>
    <row r="56" customFormat="false" ht="15" hidden="false" customHeight="false" outlineLevel="0" collapsed="false">
      <c r="B56" s="0" t="s">
        <v>31</v>
      </c>
      <c r="D56" s="0" t="s">
        <v>76</v>
      </c>
      <c r="E56" s="3" t="n">
        <f aca="false">SUMPRODUCT(C29:C32,D29:D32)*12*(1-C42)-SUM(C37:C41)-C36*IT_Load+C44*(SUM(C37:C41)+C36*IT_Load)</f>
        <v>39401880</v>
      </c>
      <c r="S56" s="7" t="n">
        <f aca="false">IF(AND(S$50&gt;=$F$17,S$50&lt;=$G$17),$E$17*IF($H$17="S-Curve",(COS(PI()*(S$50-$F$17)/($G$17-$F$17+1))-COS(PI()*((S$50-$F$17)+1)/($G$17-$F$17+1)))/2,1/($G$17-$F$17+1)),0)</f>
        <v>0</v>
      </c>
      <c r="T56" s="7" t="n">
        <f aca="false">IF(AND(T$50&gt;=$F$17,T$50&lt;=$G$17),$E$17*IF($H$17="S-Curve",(COS(PI()*(T$50-$F$17)/($G$17-$F$17+1))-COS(PI()*((T$50-$F$17)+1)/($G$17-$F$17+1)))/2,1/($G$17-$F$17+1)),0)</f>
        <v>0</v>
      </c>
      <c r="U56" s="7" t="n">
        <f aca="false">IF(AND(U$50&gt;=$F$17,U$50&lt;=$G$17),$E$17*IF($H$17="S-Curve",(COS(PI()*(U$50-$F$17)/($G$17-$F$17+1))-COS(PI()*((U$50-$F$17)+1)/($G$17-$F$17+1)))/2,1/($G$17-$F$17+1)),0)</f>
        <v>0</v>
      </c>
      <c r="V56" s="7" t="n">
        <f aca="false">IF(AND(V$50&gt;=$F$17,V$50&lt;=$G$17),$E$17*IF($H$17="S-Curve",(COS(PI()*(V$50-$F$17)/($G$17-$F$17+1))-COS(PI()*((V$50-$F$17)+1)/($G$17-$F$17+1)))/2,1/($G$17-$F$17+1)),0)</f>
        <v>0</v>
      </c>
      <c r="W56" s="7" t="n">
        <f aca="false">IF(AND(W$50&gt;=$F$17,W$50&lt;=$G$17),$E$17*IF($H$17="S-Curve",(COS(PI()*(W$50-$F$17)/($G$17-$F$17+1))-COS(PI()*((W$50-$F$17)+1)/($G$17-$F$17+1)))/2,1/($G$17-$F$17+1)),0)</f>
        <v>2002363.47717315</v>
      </c>
      <c r="X56" s="7" t="n">
        <f aca="false">IF(AND(X$50&gt;=$F$17,X$50&lt;=$G$17),$E$17*IF($H$17="S-Curve",(COS(PI()*(X$50-$F$17)/($G$17-$F$17+1))-COS(PI()*((X$50-$F$17)+1)/($G$17-$F$17+1)))/2,1/($G$17-$F$17+1)),0)</f>
        <v>5938902.34487461</v>
      </c>
      <c r="Y56" s="7" t="n">
        <f aca="false">IF(AND(Y$50&gt;=$F$17,Y$50&lt;=$G$17),$E$17*IF($H$17="S-Curve",(COS(PI()*(Y$50-$F$17)/($G$17-$F$17+1))-COS(PI()*((Y$50-$F$17)+1)/($G$17-$F$17+1)))/2,1/($G$17-$F$17+1)),0)</f>
        <v>9673199.01614961</v>
      </c>
      <c r="Z56" s="7" t="n">
        <f aca="false">IF(AND(Z$50&gt;=$F$17,Z$50&lt;=$G$17),$E$17*IF($H$17="S-Curve",(COS(PI()*(Z$50-$F$17)/($G$17-$F$17+1))-COS(PI()*((Z$50-$F$17)+1)/($G$17-$F$17+1)))/2,1/($G$17-$F$17+1)),0)</f>
        <v>13078086.4966531</v>
      </c>
      <c r="AA56" s="7" t="n">
        <f aca="false">IF(AND(AA$50&gt;=$F$17,AA$50&lt;=$G$17),$E$17*IF($H$17="S-Curve",(COS(PI()*(AA$50-$F$17)/($G$17-$F$17+1))-COS(PI()*((AA$50-$F$17)+1)/($G$17-$F$17+1)))/2,1/($G$17-$F$17+1)),0)</f>
        <v>16037615.426949</v>
      </c>
      <c r="AB56" s="7" t="n">
        <f aca="false">IF(AND(AB$50&gt;=$F$17,AB$50&lt;=$G$17),$E$17*IF($H$17="S-Curve",(COS(PI()*(AB$50-$F$17)/($G$17-$F$17+1))-COS(PI()*((AB$50-$F$17)+1)/($G$17-$F$17+1)))/2,1/($G$17-$F$17+1)),0)</f>
        <v>18451002.5988796</v>
      </c>
      <c r="AC56" s="7" t="n">
        <f aca="false">IF(AND(AC$50&gt;=$F$17,AC$50&lt;=$G$17),$E$17*IF($H$17="S-Curve",(COS(PI()*(AC$50-$F$17)/($G$17-$F$17+1))-COS(PI()*((AC$50-$F$17)+1)/($G$17-$F$17+1)))/2,1/($G$17-$F$17+1)),0)</f>
        <v>20236063.0068439</v>
      </c>
      <c r="AD56" s="7" t="n">
        <f aca="false">IF(AND(AD$50&gt;=$F$17,AD$50&lt;=$G$17),$E$17*IF($H$17="S-Curve",(COS(PI()*(AD$50-$F$17)/($G$17-$F$17+1))-COS(PI()*((AD$50-$F$17)+1)/($G$17-$F$17+1)))/2,1/($G$17-$F$17+1)),0)</f>
        <v>21332008.5595926</v>
      </c>
      <c r="AE56" s="7" t="n">
        <f aca="false">IF(AND(AE$50&gt;=$F$17,AE$50&lt;=$G$17),$E$17*IF($H$17="S-Curve",(COS(PI()*(AE$50-$F$17)/($G$17-$F$17+1))-COS(PI()*((AE$50-$F$17)+1)/($G$17-$F$17+1)))/2,1/($G$17-$F$17+1)),0)</f>
        <v>21701518.1457686</v>
      </c>
      <c r="AF56" s="7" t="n">
        <f aca="false">IF(AND(AF$50&gt;=$F$17,AF$50&lt;=$G$17),$E$17*IF($H$17="S-Curve",(COS(PI()*(AF$50-$F$17)/($G$17-$F$17+1))-COS(PI()*((AF$50-$F$17)+1)/($G$17-$F$17+1)))/2,1/($G$17-$F$17+1)),0)</f>
        <v>21332008.5595926</v>
      </c>
      <c r="AG56" s="7" t="n">
        <f aca="false">IF(AND(AG$50&gt;=$F$17,AG$50&lt;=$G$17),$E$17*IF($H$17="S-Curve",(COS(PI()*(AG$50-$F$17)/($G$17-$F$17+1))-COS(PI()*((AG$50-$F$17)+1)/($G$17-$F$17+1)))/2,1/($G$17-$F$17+1)),0)</f>
        <v>20236063.0068439</v>
      </c>
      <c r="AH56" s="7" t="n">
        <f aca="false">IF(AND(AH$50&gt;=$F$17,AH$50&lt;=$G$17),$E$17*IF($H$17="S-Curve",(COS(PI()*(AH$50-$F$17)/($G$17-$F$17+1))-COS(PI()*((AH$50-$F$17)+1)/($G$17-$F$17+1)))/2,1/($G$17-$F$17+1)),0)</f>
        <v>18451002.5988797</v>
      </c>
      <c r="AI56" s="7" t="n">
        <f aca="false">IF(AND(AI$50&gt;=$F$17,AI$50&lt;=$G$17),$E$17*IF($H$17="S-Curve",(COS(PI()*(AI$50-$F$17)/($G$17-$F$17+1))-COS(PI()*((AI$50-$F$17)+1)/($G$17-$F$17+1)))/2,1/($G$17-$F$17+1)),0)</f>
        <v>16037615.426949</v>
      </c>
      <c r="AJ56" s="7" t="n">
        <f aca="false">IF(AND(AJ$50&gt;=$F$17,AJ$50&lt;=$G$17),$E$17*IF($H$17="S-Curve",(COS(PI()*(AJ$50-$F$17)/($G$17-$F$17+1))-COS(PI()*((AJ$50-$F$17)+1)/($G$17-$F$17+1)))/2,1/($G$17-$F$17+1)),0)</f>
        <v>13078086.4966531</v>
      </c>
      <c r="AK56" s="7" t="n">
        <f aca="false">IF(AND(AK$50&gt;=$F$17,AK$50&lt;=$G$17),$E$17*IF($H$17="S-Curve",(COS(PI()*(AK$50-$F$17)/($G$17-$F$17+1))-COS(PI()*((AK$50-$F$17)+1)/($G$17-$F$17+1)))/2,1/($G$17-$F$17+1)),0)</f>
        <v>9673199.01614963</v>
      </c>
      <c r="AL56" s="7" t="n">
        <f aca="false">IF(AND(AL$50&gt;=$F$17,AL$50&lt;=$G$17),$E$17*IF($H$17="S-Curve",(COS(PI()*(AL$50-$F$17)/($G$17-$F$17+1))-COS(PI()*((AL$50-$F$17)+1)/($G$17-$F$17+1)))/2,1/($G$17-$F$17+1)),0)</f>
        <v>5938902.34487462</v>
      </c>
      <c r="AM56" s="7" t="n">
        <f aca="false">IF(AND(AM$50&gt;=$F$17,AM$50&lt;=$G$17),$E$17*IF($H$17="S-Curve",(COS(PI()*(AM$50-$F$17)/($G$17-$F$17+1))-COS(PI()*((AM$50-$F$17)+1)/($G$17-$F$17+1)))/2,1/($G$17-$F$17+1)),0)</f>
        <v>2002363.47717315</v>
      </c>
      <c r="AN56" s="7" t="n">
        <f aca="false">IF(AND(AN$50&gt;=$F$17,AN$50&lt;=$G$17),$E$17*IF($H$17="S-Curve",(COS(PI()*(AN$50-$F$17)/($G$17-$F$17+1))-COS(PI()*((AN$50-$F$17)+1)/($G$17-$F$17+1)))/2,1/($G$17-$F$17+1)),0)</f>
        <v>0</v>
      </c>
      <c r="AO56" s="7" t="n">
        <f aca="false">IF(AND(AO$50&gt;=$F$17,AO$50&lt;=$G$17),$E$17*IF($H$17="S-Curve",(COS(PI()*(AO$50-$F$17)/($G$17-$F$17+1))-COS(PI()*((AO$50-$F$17)+1)/($G$17-$F$17+1)))/2,1/($G$17-$F$17+1)),0)</f>
        <v>0</v>
      </c>
      <c r="AP56" s="7" t="n">
        <f aca="false">IF(AND(AP$50&gt;=$F$17,AP$50&lt;=$G$17),$E$17*IF($H$17="S-Curve",(COS(PI()*(AP$50-$F$17)/($G$17-$F$17+1))-COS(PI()*((AP$50-$F$17)+1)/($G$17-$F$17+1)))/2,1/($G$17-$F$17+1)),0)</f>
        <v>0</v>
      </c>
      <c r="AQ56" s="7" t="n">
        <f aca="false">IF(AND(AQ$50&gt;=$F$17,AQ$50&lt;=$G$17),$E$17*IF($H$17="S-Curve",(COS(PI()*(AQ$50-$F$17)/($G$17-$F$17+1))-COS(PI()*((AQ$50-$F$17)+1)/($G$17-$F$17+1)))/2,1/($G$17-$F$17+1)),0)</f>
        <v>0</v>
      </c>
      <c r="AR56" s="7" t="n">
        <f aca="false">IF(AND(AR$50&gt;=$F$17,AR$50&lt;=$G$17),$E$17*IF($H$17="S-Curve",(COS(PI()*(AR$50-$F$17)/($G$17-$F$17+1))-COS(PI()*((AR$50-$F$17)+1)/($G$17-$F$17+1)))/2,1/($G$17-$F$17+1)),0)</f>
        <v>0</v>
      </c>
      <c r="AS56" s="7" t="n">
        <f aca="false">IF(AND(AS$50&gt;=$F$17,AS$50&lt;=$G$17),$E$17*IF($H$17="S-Curve",(COS(PI()*(AS$50-$F$17)/($G$17-$F$17+1))-COS(PI()*((AS$50-$F$17)+1)/($G$17-$F$17+1)))/2,1/($G$17-$F$17+1)),0)</f>
        <v>0</v>
      </c>
      <c r="AT56" s="7" t="n">
        <f aca="false">IF(AND(AT$50&gt;=$F$17,AT$50&lt;=$G$17),$E$17*IF($H$17="S-Curve",(COS(PI()*(AT$50-$F$17)/($G$17-$F$17+1))-COS(PI()*((AT$50-$F$17)+1)/($G$17-$F$17+1)))/2,1/($G$17-$F$17+1)),0)</f>
        <v>0</v>
      </c>
      <c r="AU56" s="7" t="n">
        <f aca="false">IF(AND(AU$50&gt;=$F$17,AU$50&lt;=$G$17),$E$17*IF($H$17="S-Curve",(COS(PI()*(AU$50-$F$17)/($G$17-$F$17+1))-COS(PI()*((AU$50-$F$17)+1)/($G$17-$F$17+1)))/2,1/($G$17-$F$17+1)),0)</f>
        <v>0</v>
      </c>
      <c r="AV56" s="7" t="n">
        <f aca="false">IF(AND(AV$50&gt;=$F$17,AV$50&lt;=$G$17),$E$17*IF($H$17="S-Curve",(COS(PI()*(AV$50-$F$17)/($G$17-$F$17+1))-COS(PI()*((AV$50-$F$17)+1)/($G$17-$F$17+1)))/2,1/($G$17-$F$17+1)),0)</f>
        <v>0</v>
      </c>
      <c r="AW56" s="7" t="n">
        <f aca="false">IF(AND(AW$50&gt;=$F$17,AW$50&lt;=$G$17),$E$17*IF($H$17="S-Curve",(COS(PI()*(AW$50-$F$17)/($G$17-$F$17+1))-COS(PI()*((AW$50-$F$17)+1)/($G$17-$F$17+1)))/2,1/($G$17-$F$17+1)),0)</f>
        <v>0</v>
      </c>
      <c r="AX56" s="7" t="n">
        <f aca="false">IF(AND(AX$50&gt;=$F$17,AX$50&lt;=$G$17),$E$17*IF($H$17="S-Curve",(COS(PI()*(AX$50-$F$17)/($G$17-$F$17+1))-COS(PI()*((AX$50-$F$17)+1)/($G$17-$F$17+1)))/2,1/($G$17-$F$17+1)),0)</f>
        <v>0</v>
      </c>
      <c r="AY56" s="7" t="n">
        <f aca="false">IF(AND(AY$50&gt;=$F$17,AY$50&lt;=$G$17),$E$17*IF($H$17="S-Curve",(COS(PI()*(AY$50-$F$17)/($G$17-$F$17+1))-COS(PI()*((AY$50-$F$17)+1)/($G$17-$F$17+1)))/2,1/($G$17-$F$17+1)),0)</f>
        <v>0</v>
      </c>
      <c r="AZ56" s="7" t="n">
        <f aca="false">IF(AND(AZ$50&gt;=$F$17,AZ$50&lt;=$G$17),$E$17*IF($H$17="S-Curve",(COS(PI()*(AZ$50-$F$17)/($G$17-$F$17+1))-COS(PI()*((AZ$50-$F$17)+1)/($G$17-$F$17+1)))/2,1/($G$17-$F$17+1)),0)</f>
        <v>0</v>
      </c>
      <c r="BA56" s="7" t="n">
        <f aca="false">IF(AND(BA$50&gt;=$F$17,BA$50&lt;=$G$17),$E$17*IF($H$17="S-Curve",(COS(PI()*(BA$50-$F$17)/($G$17-$F$17+1))-COS(PI()*((BA$50-$F$17)+1)/($G$17-$F$17+1)))/2,1/($G$17-$F$17+1)),0)</f>
        <v>0</v>
      </c>
      <c r="BB56" s="7" t="n">
        <f aca="false">IF(AND(BB$50&gt;=$F$17,BB$50&lt;=$G$17),$E$17*IF($H$17="S-Curve",(COS(PI()*(BB$50-$F$17)/($G$17-$F$17+1))-COS(PI()*((BB$50-$F$17)+1)/($G$17-$F$17+1)))/2,1/($G$17-$F$17+1)),0)</f>
        <v>0</v>
      </c>
      <c r="BC56" s="7" t="n">
        <f aca="false">IF(AND(BC$50&gt;=$F$17,BC$50&lt;=$G$17),$E$17*IF($H$17="S-Curve",(COS(PI()*(BC$50-$F$17)/($G$17-$F$17+1))-COS(PI()*((BC$50-$F$17)+1)/($G$17-$F$17+1)))/2,1/($G$17-$F$17+1)),0)</f>
        <v>0</v>
      </c>
      <c r="BD56" s="7" t="n">
        <f aca="false">IF(AND(BD$50&gt;=$F$17,BD$50&lt;=$G$17),$E$17*IF($H$17="S-Curve",(COS(PI()*(BD$50-$F$17)/($G$17-$F$17+1))-COS(PI()*((BD$50-$F$17)+1)/($G$17-$F$17+1)))/2,1/($G$17-$F$17+1)),0)</f>
        <v>0</v>
      </c>
      <c r="BE56" s="7" t="n">
        <f aca="false">IF(AND(BE$50&gt;=$F$17,BE$50&lt;=$G$17),$E$17*IF($H$17="S-Curve",(COS(PI()*(BE$50-$F$17)/($G$17-$F$17+1))-COS(PI()*((BE$50-$F$17)+1)/($G$17-$F$17+1)))/2,1/($G$17-$F$17+1)),0)</f>
        <v>0</v>
      </c>
      <c r="BF56" s="7" t="n">
        <f aca="false">IF(AND(BF$50&gt;=$F$17,BF$50&lt;=$G$17),$E$17*IF($H$17="S-Curve",(COS(PI()*(BF$50-$F$17)/($G$17-$F$17+1))-COS(PI()*((BF$50-$F$17)+1)/($G$17-$F$17+1)))/2,1/($G$17-$F$17+1)),0)</f>
        <v>0</v>
      </c>
      <c r="BG56" s="7" t="n">
        <f aca="false">IF(AND(BG$50&gt;=$F$17,BG$50&lt;=$G$17),$E$17*IF($H$17="S-Curve",(COS(PI()*(BG$50-$F$17)/($G$17-$F$17+1))-COS(PI()*((BG$50-$F$17)+1)/($G$17-$F$17+1)))/2,1/($G$17-$F$17+1)),0)</f>
        <v>0</v>
      </c>
      <c r="BH56" s="7" t="n">
        <f aca="false">IF(AND(BH$50&gt;=$F$17,BH$50&lt;=$G$17),$E$17*IF($H$17="S-Curve",(COS(PI()*(BH$50-$F$17)/($G$17-$F$17+1))-COS(PI()*((BH$50-$F$17)+1)/($G$17-$F$17+1)))/2,1/($G$17-$F$17+1)),0)</f>
        <v>0</v>
      </c>
      <c r="BI56" s="7" t="n">
        <f aca="false">IF(AND(BI$50&gt;=$F$17,BI$50&lt;=$G$17),$E$17*IF($H$17="S-Curve",(COS(PI()*(BI$50-$F$17)/($G$17-$F$17+1))-COS(PI()*((BI$50-$F$17)+1)/($G$17-$F$17+1)))/2,1/($G$17-$F$17+1)),0)</f>
        <v>0</v>
      </c>
      <c r="BJ56" s="7" t="n">
        <f aca="false">IF(AND(BJ$50&gt;=$F$17,BJ$50&lt;=$G$17),$E$17*IF($H$17="S-Curve",(COS(PI()*(BJ$50-$F$17)/($G$17-$F$17+1))-COS(PI()*((BJ$50-$F$17)+1)/($G$17-$F$17+1)))/2,1/($G$17-$F$17+1)),0)</f>
        <v>0</v>
      </c>
      <c r="BK56" s="7" t="n">
        <f aca="false">IF(AND(BK$50&gt;=$F$17,BK$50&lt;=$G$17),$E$17*IF($H$17="S-Curve",(COS(PI()*(BK$50-$F$17)/($G$17-$F$17+1))-COS(PI()*((BK$50-$F$17)+1)/($G$17-$F$17+1)))/2,1/($G$17-$F$17+1)),0)</f>
        <v>0</v>
      </c>
      <c r="BL56" s="7" t="n">
        <f aca="false">IF(AND(BL$50&gt;=$F$17,BL$50&lt;=$G$17),$E$17*IF($H$17="S-Curve",(COS(PI()*(BL$50-$F$17)/($G$17-$F$17+1))-COS(PI()*((BL$50-$F$17)+1)/($G$17-$F$17+1)))/2,1/($G$17-$F$17+1)),0)</f>
        <v>0</v>
      </c>
      <c r="BM56" s="7" t="n">
        <f aca="false">IF(AND(BM$50&gt;=$F$17,BM$50&lt;=$G$17),$E$17*IF($H$17="S-Curve",(COS(PI()*(BM$50-$F$17)/($G$17-$F$17+1))-COS(PI()*((BM$50-$F$17)+1)/($G$17-$F$17+1)))/2,1/($G$17-$F$17+1)),0)</f>
        <v>0</v>
      </c>
      <c r="BN56" s="7" t="n">
        <f aca="false">IF(AND(BN$50&gt;=$F$17,BN$50&lt;=$G$17),$E$17*IF($H$17="S-Curve",(COS(PI()*(BN$50-$F$17)/($G$17-$F$17+1))-COS(PI()*((BN$50-$F$17)+1)/($G$17-$F$17+1)))/2,1/($G$17-$F$17+1)),0)</f>
        <v>0</v>
      </c>
      <c r="BO56" s="7" t="n">
        <f aca="false">IF(AND(BO$50&gt;=$F$17,BO$50&lt;=$G$17),$E$17*IF($H$17="S-Curve",(COS(PI()*(BO$50-$F$17)/($G$17-$F$17+1))-COS(PI()*((BO$50-$F$17)+1)/($G$17-$F$17+1)))/2,1/($G$17-$F$17+1)),0)</f>
        <v>0</v>
      </c>
      <c r="BP56" s="7" t="n">
        <f aca="false">IF(AND(BP$50&gt;=$F$17,BP$50&lt;=$G$17),$E$17*IF($H$17="S-Curve",(COS(PI()*(BP$50-$F$17)/($G$17-$F$17+1))-COS(PI()*((BP$50-$F$17)+1)/($G$17-$F$17+1)))/2,1/($G$17-$F$17+1)),0)</f>
        <v>0</v>
      </c>
      <c r="BQ56" s="7" t="n">
        <f aca="false">IF(AND(BQ$50&gt;=$F$17,BQ$50&lt;=$G$17),$E$17*IF($H$17="S-Curve",(COS(PI()*(BQ$50-$F$17)/($G$17-$F$17+1))-COS(PI()*((BQ$50-$F$17)+1)/($G$17-$F$17+1)))/2,1/($G$17-$F$17+1)),0)</f>
        <v>0</v>
      </c>
      <c r="BR56" s="7" t="n">
        <f aca="false">IF(AND(BR$50&gt;=$F$17,BR$50&lt;=$G$17),$E$17*IF($H$17="S-Curve",(COS(PI()*(BR$50-$F$17)/($G$17-$F$17+1))-COS(PI()*((BR$50-$F$17)+1)/($G$17-$F$17+1)))/2,1/($G$17-$F$17+1)),0)</f>
        <v>0</v>
      </c>
      <c r="BS56" s="7" t="n">
        <f aca="false">IF(AND(BS$50&gt;=$F$17,BS$50&lt;=$G$17),$E$17*IF($H$17="S-Curve",(COS(PI()*(BS$50-$F$17)/($G$17-$F$17+1))-COS(PI()*((BS$50-$F$17)+1)/($G$17-$F$17+1)))/2,1/($G$17-$F$17+1)),0)</f>
        <v>0</v>
      </c>
      <c r="BT56" s="7" t="n">
        <f aca="false">IF(AND(BT$50&gt;=$F$17,BT$50&lt;=$G$17),$E$17*IF($H$17="S-Curve",(COS(PI()*(BT$50-$F$17)/($G$17-$F$17+1))-COS(PI()*((BT$50-$F$17)+1)/($G$17-$F$17+1)))/2,1/($G$17-$F$17+1)),0)</f>
        <v>0</v>
      </c>
      <c r="BU56" s="7" t="n">
        <f aca="false">IF(AND(BU$50&gt;=$F$17,BU$50&lt;=$G$17),$E$17*IF($H$17="S-Curve",(COS(PI()*(BU$50-$F$17)/($G$17-$F$17+1))-COS(PI()*((BU$50-$F$17)+1)/($G$17-$F$17+1)))/2,1/($G$17-$F$17+1)),0)</f>
        <v>0</v>
      </c>
      <c r="BV56" s="7" t="n">
        <f aca="false">IF(AND(BV$50&gt;=$F$17,BV$50&lt;=$G$17),$E$17*IF($H$17="S-Curve",(COS(PI()*(BV$50-$F$17)/($G$17-$F$17+1))-COS(PI()*((BV$50-$F$17)+1)/($G$17-$F$17+1)))/2,1/($G$17-$F$17+1)),0)</f>
        <v>0</v>
      </c>
      <c r="BW56" s="7" t="n">
        <f aca="false">IF(AND(BW$50&gt;=$F$17,BW$50&lt;=$G$17),$E$17*IF($H$17="S-Curve",(COS(PI()*(BW$50-$F$17)/($G$17-$F$17+1))-COS(PI()*((BW$50-$F$17)+1)/($G$17-$F$17+1)))/2,1/($G$17-$F$17+1)),0)</f>
        <v>0</v>
      </c>
      <c r="BX56" s="7" t="n">
        <f aca="false">IF(AND(BX$50&gt;=$F$17,BX$50&lt;=$G$17),$E$17*IF($H$17="S-Curve",(COS(PI()*(BX$50-$F$17)/($G$17-$F$17+1))-COS(PI()*((BX$50-$F$17)+1)/($G$17-$F$17+1)))/2,1/($G$17-$F$17+1)),0)</f>
        <v>0</v>
      </c>
      <c r="BY56" s="7" t="n">
        <f aca="false">IF(AND(BY$50&gt;=$F$17,BY$50&lt;=$G$17),$E$17*IF($H$17="S-Curve",(COS(PI()*(BY$50-$F$17)/($G$17-$F$17+1))-COS(PI()*((BY$50-$F$17)+1)/($G$17-$F$17+1)))/2,1/($G$17-$F$17+1)),0)</f>
        <v>0</v>
      </c>
      <c r="BZ56" s="7" t="n">
        <f aca="false">IF(AND(BZ$50&gt;=$F$17,BZ$50&lt;=$G$17),$E$17*IF($H$17="S-Curve",(COS(PI()*(BZ$50-$F$17)/($G$17-$F$17+1))-COS(PI()*((BZ$50-$F$17)+1)/($G$17-$F$17+1)))/2,1/($G$17-$F$17+1)),0)</f>
        <v>0</v>
      </c>
      <c r="CA56" s="7" t="n">
        <f aca="false">IF(AND(CA$50&gt;=$F$17,CA$50&lt;=$G$17),$E$17*IF($H$17="S-Curve",(COS(PI()*(CA$50-$F$17)/($G$17-$F$17+1))-COS(PI()*((CA$50-$F$17)+1)/($G$17-$F$17+1)))/2,1/($G$17-$F$17+1)),0)</f>
        <v>0</v>
      </c>
      <c r="CB56" s="7" t="n">
        <f aca="false">IF(AND(CB$50&gt;=$F$17,CB$50&lt;=$G$17),$E$17*IF($H$17="S-Curve",(COS(PI()*(CB$50-$F$17)/($G$17-$F$17+1))-COS(PI()*((CB$50-$F$17)+1)/($G$17-$F$17+1)))/2,1/($G$17-$F$17+1)),0)</f>
        <v>0</v>
      </c>
      <c r="CC56" s="7" t="n">
        <f aca="false">IF(AND(CC$50&gt;=$F$17,CC$50&lt;=$G$17),$E$17*IF($H$17="S-Curve",(COS(PI()*(CC$50-$F$17)/($G$17-$F$17+1))-COS(PI()*((CC$50-$F$17)+1)/($G$17-$F$17+1)))/2,1/($G$17-$F$17+1)),0)</f>
        <v>0</v>
      </c>
      <c r="CD56" s="7" t="n">
        <f aca="false">IF(AND(CD$50&gt;=$F$17,CD$50&lt;=$G$17),$E$17*IF($H$17="S-Curve",(COS(PI()*(CD$50-$F$17)/($G$17-$F$17+1))-COS(PI()*((CD$50-$F$17)+1)/($G$17-$F$17+1)))/2,1/($G$17-$F$17+1)),0)</f>
        <v>0</v>
      </c>
      <c r="CE56" s="7" t="n">
        <f aca="false">IF(AND(CE$50&gt;=$F$17,CE$50&lt;=$G$17),$E$17*IF($H$17="S-Curve",(COS(PI()*(CE$50-$F$17)/($G$17-$F$17+1))-COS(PI()*((CE$50-$F$17)+1)/($G$17-$F$17+1)))/2,1/($G$17-$F$17+1)),0)</f>
        <v>0</v>
      </c>
      <c r="CF56" s="7" t="n">
        <f aca="false">IF(AND(CF$50&gt;=$F$17,CF$50&lt;=$G$17),$E$17*IF($H$17="S-Curve",(COS(PI()*(CF$50-$F$17)/($G$17-$F$17+1))-COS(PI()*((CF$50-$F$17)+1)/($G$17-$F$17+1)))/2,1/($G$17-$F$17+1)),0)</f>
        <v>0</v>
      </c>
      <c r="CG56" s="7" t="n">
        <f aca="false">IF(AND(CG$50&gt;=$F$17,CG$50&lt;=$G$17),$E$17*IF($H$17="S-Curve",(COS(PI()*(CG$50-$F$17)/($G$17-$F$17+1))-COS(PI()*((CG$50-$F$17)+1)/($G$17-$F$17+1)))/2,1/($G$17-$F$17+1)),0)</f>
        <v>0</v>
      </c>
      <c r="CH56" s="7" t="n">
        <f aca="false">IF(AND(CH$50&gt;=$F$17,CH$50&lt;=$G$17),$E$17*IF($H$17="S-Curve",(COS(PI()*(CH$50-$F$17)/($G$17-$F$17+1))-COS(PI()*((CH$50-$F$17)+1)/($G$17-$F$17+1)))/2,1/($G$17-$F$17+1)),0)</f>
        <v>0</v>
      </c>
      <c r="CI56" s="7" t="n">
        <f aca="false">IF(AND(CI$50&gt;=$F$17,CI$50&lt;=$G$17),$E$17*IF($H$17="S-Curve",(COS(PI()*(CI$50-$F$17)/($G$17-$F$17+1))-COS(PI()*((CI$50-$F$17)+1)/($G$17-$F$17+1)))/2,1/($G$17-$F$17+1)),0)</f>
        <v>0</v>
      </c>
      <c r="CJ56" s="7" t="n">
        <f aca="false">IF(AND(CJ$50&gt;=$F$17,CJ$50&lt;=$G$17),$E$17*IF($H$17="S-Curve",(COS(PI()*(CJ$50-$F$17)/($G$17-$F$17+1))-COS(PI()*((CJ$50-$F$17)+1)/($G$17-$F$17+1)))/2,1/($G$17-$F$17+1)),0)</f>
        <v>0</v>
      </c>
      <c r="CK56" s="7" t="n">
        <f aca="false">IF(AND(CK$50&gt;=$F$17,CK$50&lt;=$G$17),$E$17*IF($H$17="S-Curve",(COS(PI()*(CK$50-$F$17)/($G$17-$F$17+1))-COS(PI()*((CK$50-$F$17)+1)/($G$17-$F$17+1)))/2,1/($G$17-$F$17+1)),0)</f>
        <v>0</v>
      </c>
      <c r="CL56" s="7" t="n">
        <f aca="false">IF(AND(CL$50&gt;=$F$17,CL$50&lt;=$G$17),$E$17*IF($H$17="S-Curve",(COS(PI()*(CL$50-$F$17)/($G$17-$F$17+1))-COS(PI()*((CL$50-$F$17)+1)/($G$17-$F$17+1)))/2,1/($G$17-$F$17+1)),0)</f>
        <v>0</v>
      </c>
      <c r="CM56" s="7" t="n">
        <f aca="false">IF(AND(CM$50&gt;=$F$17,CM$50&lt;=$G$17),$E$17*IF($H$17="S-Curve",(COS(PI()*(CM$50-$F$17)/($G$17-$F$17+1))-COS(PI()*((CM$50-$F$17)+1)/($G$17-$F$17+1)))/2,1/($G$17-$F$17+1)),0)</f>
        <v>0</v>
      </c>
      <c r="CN56" s="7" t="n">
        <f aca="false">IF(AND(CN$50&gt;=$F$17,CN$50&lt;=$G$17),$E$17*IF($H$17="S-Curve",(COS(PI()*(CN$50-$F$17)/($G$17-$F$17+1))-COS(PI()*((CN$50-$F$17)+1)/($G$17-$F$17+1)))/2,1/($G$17-$F$17+1)),0)</f>
        <v>0</v>
      </c>
      <c r="CO56" s="7" t="n">
        <f aca="false">IF(AND(CO$50&gt;=$F$17,CO$50&lt;=$G$17),$E$17*IF($H$17="S-Curve",(COS(PI()*(CO$50-$F$17)/($G$17-$F$17+1))-COS(PI()*((CO$50-$F$17)+1)/($G$17-$F$17+1)))/2,1/($G$17-$F$17+1)),0)</f>
        <v>0</v>
      </c>
      <c r="CP56" s="7" t="n">
        <f aca="false">IF(AND(CP$50&gt;=$F$17,CP$50&lt;=$G$17),$E$17*IF($H$17="S-Curve",(COS(PI()*(CP$50-$F$17)/($G$17-$F$17+1))-COS(PI()*((CP$50-$F$17)+1)/($G$17-$F$17+1)))/2,1/($G$17-$F$17+1)),0)</f>
        <v>0</v>
      </c>
      <c r="CQ56" s="7" t="n">
        <f aca="false">IF(AND(CQ$50&gt;=$F$17,CQ$50&lt;=$G$17),$E$17*IF($H$17="S-Curve",(COS(PI()*(CQ$50-$F$17)/($G$17-$F$17+1))-COS(PI()*((CQ$50-$F$17)+1)/($G$17-$F$17+1)))/2,1/($G$17-$F$17+1)),0)</f>
        <v>0</v>
      </c>
      <c r="CR56" s="7" t="n">
        <f aca="false">IF(AND(CR$50&gt;=$F$17,CR$50&lt;=$G$17),$E$17*IF($H$17="S-Curve",(COS(PI()*(CR$50-$F$17)/($G$17-$F$17+1))-COS(PI()*((CR$50-$F$17)+1)/($G$17-$F$17+1)))/2,1/($G$17-$F$17+1)),0)</f>
        <v>0</v>
      </c>
      <c r="CS56" s="7" t="n">
        <f aca="false">IF(AND(CS$50&gt;=$F$17,CS$50&lt;=$G$17),$E$17*IF($H$17="S-Curve",(COS(PI()*(CS$50-$F$17)/($G$17-$F$17+1))-COS(PI()*((CS$50-$F$17)+1)/($G$17-$F$17+1)))/2,1/($G$17-$F$17+1)),0)</f>
        <v>0</v>
      </c>
      <c r="CT56" s="7" t="n">
        <f aca="false">IF(AND(CT$50&gt;=$F$17,CT$50&lt;=$G$17),$E$17*IF($H$17="S-Curve",(COS(PI()*(CT$50-$F$17)/($G$17-$F$17+1))-COS(PI()*((CT$50-$F$17)+1)/($G$17-$F$17+1)))/2,1/($G$17-$F$17+1)),0)</f>
        <v>0</v>
      </c>
      <c r="CU56" s="7" t="n">
        <f aca="false">IF(AND(CU$50&gt;=$F$17,CU$50&lt;=$G$17),$E$17*IF($H$17="S-Curve",(COS(PI()*(CU$50-$F$17)/($G$17-$F$17+1))-COS(PI()*((CU$50-$F$17)+1)/($G$17-$F$17+1)))/2,1/($G$17-$F$17+1)),0)</f>
        <v>0</v>
      </c>
      <c r="CV56" s="7" t="n">
        <f aca="false">IF(AND(CV$50&gt;=$F$17,CV$50&lt;=$G$17),$E$17*IF($H$17="S-Curve",(COS(PI()*(CV$50-$F$17)/($G$17-$F$17+1))-COS(PI()*((CV$50-$F$17)+1)/($G$17-$F$17+1)))/2,1/($G$17-$F$17+1)),0)</f>
        <v>0</v>
      </c>
      <c r="CW56" s="7" t="n">
        <f aca="false">IF(AND(CW$50&gt;=$F$17,CW$50&lt;=$G$17),$E$17*IF($H$17="S-Curve",(COS(PI()*(CW$50-$F$17)/($G$17-$F$17+1))-COS(PI()*((CW$50-$F$17)+1)/($G$17-$F$17+1)))/2,1/($G$17-$F$17+1)),0)</f>
        <v>0</v>
      </c>
      <c r="CX56" s="7" t="n">
        <f aca="false">IF(AND(CX$50&gt;=$F$17,CX$50&lt;=$G$17),$E$17*IF($H$17="S-Curve",(COS(PI()*(CX$50-$F$17)/($G$17-$F$17+1))-COS(PI()*((CX$50-$F$17)+1)/($G$17-$F$17+1)))/2,1/($G$17-$F$17+1)),0)</f>
        <v>0</v>
      </c>
      <c r="CY56" s="7" t="n">
        <f aca="false">IF(AND(CY$50&gt;=$F$17,CY$50&lt;=$G$17),$E$17*IF($H$17="S-Curve",(COS(PI()*(CY$50-$F$17)/($G$17-$F$17+1))-COS(PI()*((CY$50-$F$17)+1)/($G$17-$F$17+1)))/2,1/($G$17-$F$17+1)),0)</f>
        <v>0</v>
      </c>
    </row>
    <row r="57" customFormat="false" ht="15" hidden="false" customHeight="false" outlineLevel="0" collapsed="false">
      <c r="B57" s="0" t="s">
        <v>32</v>
      </c>
      <c r="S57" s="7" t="n">
        <f aca="false">IF(AND(S$50&gt;=$F$18,S$50&lt;=$G$18),$E$18*IF($H$18="S-Curve",(COS(PI()*(S$50-$F$18)/($G$18-$F$18+1))-COS(PI()*((S$50-$F$18)+1)/($G$18-$F$18+1)))/2,1/($G$18-$F$18+1)),0)</f>
        <v>0</v>
      </c>
      <c r="T57" s="7" t="n">
        <f aca="false">IF(AND(T$50&gt;=$F$18,T$50&lt;=$G$18),$E$18*IF($H$18="S-Curve",(COS(PI()*(T$50-$F$18)/($G$18-$F$18+1))-COS(PI()*((T$50-$F$18)+1)/($G$18-$F$18+1)))/2,1/($G$18-$F$18+1)),0)</f>
        <v>0</v>
      </c>
      <c r="U57" s="7" t="n">
        <f aca="false">IF(AND(U$50&gt;=$F$18,U$50&lt;=$G$18),$E$18*IF($H$18="S-Curve",(COS(PI()*(U$50-$F$18)/($G$18-$F$18+1))-COS(PI()*((U$50-$F$18)+1)/($G$18-$F$18+1)))/2,1/($G$18-$F$18+1)),0)</f>
        <v>0</v>
      </c>
      <c r="V57" s="7" t="n">
        <f aca="false">IF(AND(V$50&gt;=$F$18,V$50&lt;=$G$18),$E$18*IF($H$18="S-Curve",(COS(PI()*(V$50-$F$18)/($G$18-$F$18+1))-COS(PI()*((V$50-$F$18)+1)/($G$18-$F$18+1)))/2,1/($G$18-$F$18+1)),0)</f>
        <v>0</v>
      </c>
      <c r="W57" s="7" t="n">
        <f aca="false">IF(AND(W$50&gt;=$F$18,W$50&lt;=$G$18),$E$18*IF($H$18="S-Curve",(COS(PI()*(W$50-$F$18)/($G$18-$F$18+1))-COS(PI()*((W$50-$F$18)+1)/($G$18-$F$18+1)))/2,1/($G$18-$F$18+1)),0)</f>
        <v>0</v>
      </c>
      <c r="X57" s="7" t="n">
        <f aca="false">IF(AND(X$50&gt;=$F$18,X$50&lt;=$G$18),$E$18*IF($H$18="S-Curve",(COS(PI()*(X$50-$F$18)/($G$18-$F$18+1))-COS(PI()*((X$50-$F$18)+1)/($G$18-$F$18+1)))/2,1/($G$18-$F$18+1)),0)</f>
        <v>0</v>
      </c>
      <c r="Y57" s="7" t="n">
        <f aca="false">IF(AND(Y$50&gt;=$F$18,Y$50&lt;=$G$18),$E$18*IF($H$18="S-Curve",(COS(PI()*(Y$50-$F$18)/($G$18-$F$18+1))-COS(PI()*((Y$50-$F$18)+1)/($G$18-$F$18+1)))/2,1/($G$18-$F$18+1)),0)</f>
        <v>0</v>
      </c>
      <c r="Z57" s="7" t="n">
        <f aca="false">IF(AND(Z$50&gt;=$F$18,Z$50&lt;=$G$18),$E$18*IF($H$18="S-Curve",(COS(PI()*(Z$50-$F$18)/($G$18-$F$18+1))-COS(PI()*((Z$50-$F$18)+1)/($G$18-$F$18+1)))/2,1/($G$18-$F$18+1)),0)</f>
        <v>0</v>
      </c>
      <c r="AA57" s="7" t="n">
        <f aca="false">IF(AND(AA$50&gt;=$F$18,AA$50&lt;=$G$18),$E$18*IF($H$18="S-Curve",(COS(PI()*(AA$50-$F$18)/($G$18-$F$18+1))-COS(PI()*((AA$50-$F$18)+1)/($G$18-$F$18+1)))/2,1/($G$18-$F$18+1)),0)</f>
        <v>0</v>
      </c>
      <c r="AB57" s="7" t="n">
        <f aca="false">IF(AND(AB$50&gt;=$F$18,AB$50&lt;=$G$18),$E$18*IF($H$18="S-Curve",(COS(PI()*(AB$50-$F$18)/($G$18-$F$18+1))-COS(PI()*((AB$50-$F$18)+1)/($G$18-$F$18+1)))/2,1/($G$18-$F$18+1)),0)</f>
        <v>0</v>
      </c>
      <c r="AC57" s="7" t="n">
        <f aca="false">IF(AND(AC$50&gt;=$F$18,AC$50&lt;=$G$18),$E$18*IF($H$18="S-Curve",(COS(PI()*(AC$50-$F$18)/($G$18-$F$18+1))-COS(PI()*((AC$50-$F$18)+1)/($G$18-$F$18+1)))/2,1/($G$18-$F$18+1)),0)</f>
        <v>0</v>
      </c>
      <c r="AD57" s="7" t="n">
        <f aca="false">IF(AND(AD$50&gt;=$F$18,AD$50&lt;=$G$18),$E$18*IF($H$18="S-Curve",(COS(PI()*(AD$50-$F$18)/($G$18-$F$18+1))-COS(PI()*((AD$50-$F$18)+1)/($G$18-$F$18+1)))/2,1/($G$18-$F$18+1)),0)</f>
        <v>0</v>
      </c>
      <c r="AE57" s="7" t="n">
        <f aca="false">IF(AND(AE$50&gt;=$F$18,AE$50&lt;=$G$18),$E$18*IF($H$18="S-Curve",(COS(PI()*(AE$50-$F$18)/($G$18-$F$18+1))-COS(PI()*((AE$50-$F$18)+1)/($G$18-$F$18+1)))/2,1/($G$18-$F$18+1)),0)</f>
        <v>3054545.45454545</v>
      </c>
      <c r="AF57" s="7" t="n">
        <f aca="false">IF(AND(AF$50&gt;=$F$18,AF$50&lt;=$G$18),$E$18*IF($H$18="S-Curve",(COS(PI()*(AF$50-$F$18)/($G$18-$F$18+1))-COS(PI()*((AF$50-$F$18)+1)/($G$18-$F$18+1)))/2,1/($G$18-$F$18+1)),0)</f>
        <v>3054545.45454545</v>
      </c>
      <c r="AG57" s="7" t="n">
        <f aca="false">IF(AND(AG$50&gt;=$F$18,AG$50&lt;=$G$18),$E$18*IF($H$18="S-Curve",(COS(PI()*(AG$50-$F$18)/($G$18-$F$18+1))-COS(PI()*((AG$50-$F$18)+1)/($G$18-$F$18+1)))/2,1/($G$18-$F$18+1)),0)</f>
        <v>3054545.45454545</v>
      </c>
      <c r="AH57" s="7" t="n">
        <f aca="false">IF(AND(AH$50&gt;=$F$18,AH$50&lt;=$G$18),$E$18*IF($H$18="S-Curve",(COS(PI()*(AH$50-$F$18)/($G$18-$F$18+1))-COS(PI()*((AH$50-$F$18)+1)/($G$18-$F$18+1)))/2,1/($G$18-$F$18+1)),0)</f>
        <v>3054545.45454545</v>
      </c>
      <c r="AI57" s="7" t="n">
        <f aca="false">IF(AND(AI$50&gt;=$F$18,AI$50&lt;=$G$18),$E$18*IF($H$18="S-Curve",(COS(PI()*(AI$50-$F$18)/($G$18-$F$18+1))-COS(PI()*((AI$50-$F$18)+1)/($G$18-$F$18+1)))/2,1/($G$18-$F$18+1)),0)</f>
        <v>3054545.45454545</v>
      </c>
      <c r="AJ57" s="7" t="n">
        <f aca="false">IF(AND(AJ$50&gt;=$F$18,AJ$50&lt;=$G$18),$E$18*IF($H$18="S-Curve",(COS(PI()*(AJ$50-$F$18)/($G$18-$F$18+1))-COS(PI()*((AJ$50-$F$18)+1)/($G$18-$F$18+1)))/2,1/($G$18-$F$18+1)),0)</f>
        <v>3054545.45454545</v>
      </c>
      <c r="AK57" s="7" t="n">
        <f aca="false">IF(AND(AK$50&gt;=$F$18,AK$50&lt;=$G$18),$E$18*IF($H$18="S-Curve",(COS(PI()*(AK$50-$F$18)/($G$18-$F$18+1))-COS(PI()*((AK$50-$F$18)+1)/($G$18-$F$18+1)))/2,1/($G$18-$F$18+1)),0)</f>
        <v>3054545.45454545</v>
      </c>
      <c r="AL57" s="7" t="n">
        <f aca="false">IF(AND(AL$50&gt;=$F$18,AL$50&lt;=$G$18),$E$18*IF($H$18="S-Curve",(COS(PI()*(AL$50-$F$18)/($G$18-$F$18+1))-COS(PI()*((AL$50-$F$18)+1)/($G$18-$F$18+1)))/2,1/($G$18-$F$18+1)),0)</f>
        <v>3054545.45454545</v>
      </c>
      <c r="AM57" s="7" t="n">
        <f aca="false">IF(AND(AM$50&gt;=$F$18,AM$50&lt;=$G$18),$E$18*IF($H$18="S-Curve",(COS(PI()*(AM$50-$F$18)/($G$18-$F$18+1))-COS(PI()*((AM$50-$F$18)+1)/($G$18-$F$18+1)))/2,1/($G$18-$F$18+1)),0)</f>
        <v>3054545.45454545</v>
      </c>
      <c r="AN57" s="7" t="n">
        <f aca="false">IF(AND(AN$50&gt;=$F$18,AN$50&lt;=$G$18),$E$18*IF($H$18="S-Curve",(COS(PI()*(AN$50-$F$18)/($G$18-$F$18+1))-COS(PI()*((AN$50-$F$18)+1)/($G$18-$F$18+1)))/2,1/($G$18-$F$18+1)),0)</f>
        <v>3054545.45454545</v>
      </c>
      <c r="AO57" s="7" t="n">
        <f aca="false">IF(AND(AO$50&gt;=$F$18,AO$50&lt;=$G$18),$E$18*IF($H$18="S-Curve",(COS(PI()*(AO$50-$F$18)/($G$18-$F$18+1))-COS(PI()*((AO$50-$F$18)+1)/($G$18-$F$18+1)))/2,1/($G$18-$F$18+1)),0)</f>
        <v>3054545.45454545</v>
      </c>
      <c r="AP57" s="7" t="n">
        <f aca="false">IF(AND(AP$50&gt;=$F$18,AP$50&lt;=$G$18),$E$18*IF($H$18="S-Curve",(COS(PI()*(AP$50-$F$18)/($G$18-$F$18+1))-COS(PI()*((AP$50-$F$18)+1)/($G$18-$F$18+1)))/2,1/($G$18-$F$18+1)),0)</f>
        <v>0</v>
      </c>
      <c r="AQ57" s="7" t="n">
        <f aca="false">IF(AND(AQ$50&gt;=$F$18,AQ$50&lt;=$G$18),$E$18*IF($H$18="S-Curve",(COS(PI()*(AQ$50-$F$18)/($G$18-$F$18+1))-COS(PI()*((AQ$50-$F$18)+1)/($G$18-$F$18+1)))/2,1/($G$18-$F$18+1)),0)</f>
        <v>0</v>
      </c>
      <c r="AR57" s="7" t="n">
        <f aca="false">IF(AND(AR$50&gt;=$F$18,AR$50&lt;=$G$18),$E$18*IF($H$18="S-Curve",(COS(PI()*(AR$50-$F$18)/($G$18-$F$18+1))-COS(PI()*((AR$50-$F$18)+1)/($G$18-$F$18+1)))/2,1/($G$18-$F$18+1)),0)</f>
        <v>0</v>
      </c>
      <c r="AS57" s="7" t="n">
        <f aca="false">IF(AND(AS$50&gt;=$F$18,AS$50&lt;=$G$18),$E$18*IF($H$18="S-Curve",(COS(PI()*(AS$50-$F$18)/($G$18-$F$18+1))-COS(PI()*((AS$50-$F$18)+1)/($G$18-$F$18+1)))/2,1/($G$18-$F$18+1)),0)</f>
        <v>0</v>
      </c>
      <c r="AT57" s="7" t="n">
        <f aca="false">IF(AND(AT$50&gt;=$F$18,AT$50&lt;=$G$18),$E$18*IF($H$18="S-Curve",(COS(PI()*(AT$50-$F$18)/($G$18-$F$18+1))-COS(PI()*((AT$50-$F$18)+1)/($G$18-$F$18+1)))/2,1/($G$18-$F$18+1)),0)</f>
        <v>0</v>
      </c>
      <c r="AU57" s="7" t="n">
        <f aca="false">IF(AND(AU$50&gt;=$F$18,AU$50&lt;=$G$18),$E$18*IF($H$18="S-Curve",(COS(PI()*(AU$50-$F$18)/($G$18-$F$18+1))-COS(PI()*((AU$50-$F$18)+1)/($G$18-$F$18+1)))/2,1/($G$18-$F$18+1)),0)</f>
        <v>0</v>
      </c>
      <c r="AV57" s="7" t="n">
        <f aca="false">IF(AND(AV$50&gt;=$F$18,AV$50&lt;=$G$18),$E$18*IF($H$18="S-Curve",(COS(PI()*(AV$50-$F$18)/($G$18-$F$18+1))-COS(PI()*((AV$50-$F$18)+1)/($G$18-$F$18+1)))/2,1/($G$18-$F$18+1)),0)</f>
        <v>0</v>
      </c>
      <c r="AW57" s="7" t="n">
        <f aca="false">IF(AND(AW$50&gt;=$F$18,AW$50&lt;=$G$18),$E$18*IF($H$18="S-Curve",(COS(PI()*(AW$50-$F$18)/($G$18-$F$18+1))-COS(PI()*((AW$50-$F$18)+1)/($G$18-$F$18+1)))/2,1/($G$18-$F$18+1)),0)</f>
        <v>0</v>
      </c>
      <c r="AX57" s="7" t="n">
        <f aca="false">IF(AND(AX$50&gt;=$F$18,AX$50&lt;=$G$18),$E$18*IF($H$18="S-Curve",(COS(PI()*(AX$50-$F$18)/($G$18-$F$18+1))-COS(PI()*((AX$50-$F$18)+1)/($G$18-$F$18+1)))/2,1/($G$18-$F$18+1)),0)</f>
        <v>0</v>
      </c>
      <c r="AY57" s="7" t="n">
        <f aca="false">IF(AND(AY$50&gt;=$F$18,AY$50&lt;=$G$18),$E$18*IF($H$18="S-Curve",(COS(PI()*(AY$50-$F$18)/($G$18-$F$18+1))-COS(PI()*((AY$50-$F$18)+1)/($G$18-$F$18+1)))/2,1/($G$18-$F$18+1)),0)</f>
        <v>0</v>
      </c>
      <c r="AZ57" s="7" t="n">
        <f aca="false">IF(AND(AZ$50&gt;=$F$18,AZ$50&lt;=$G$18),$E$18*IF($H$18="S-Curve",(COS(PI()*(AZ$50-$F$18)/($G$18-$F$18+1))-COS(PI()*((AZ$50-$F$18)+1)/($G$18-$F$18+1)))/2,1/($G$18-$F$18+1)),0)</f>
        <v>0</v>
      </c>
      <c r="BA57" s="7" t="n">
        <f aca="false">IF(AND(BA$50&gt;=$F$18,BA$50&lt;=$G$18),$E$18*IF($H$18="S-Curve",(COS(PI()*(BA$50-$F$18)/($G$18-$F$18+1))-COS(PI()*((BA$50-$F$18)+1)/($G$18-$F$18+1)))/2,1/($G$18-$F$18+1)),0)</f>
        <v>0</v>
      </c>
      <c r="BB57" s="7" t="n">
        <f aca="false">IF(AND(BB$50&gt;=$F$18,BB$50&lt;=$G$18),$E$18*IF($H$18="S-Curve",(COS(PI()*(BB$50-$F$18)/($G$18-$F$18+1))-COS(PI()*((BB$50-$F$18)+1)/($G$18-$F$18+1)))/2,1/($G$18-$F$18+1)),0)</f>
        <v>0</v>
      </c>
      <c r="BC57" s="7" t="n">
        <f aca="false">IF(AND(BC$50&gt;=$F$18,BC$50&lt;=$G$18),$E$18*IF($H$18="S-Curve",(COS(PI()*(BC$50-$F$18)/($G$18-$F$18+1))-COS(PI()*((BC$50-$F$18)+1)/($G$18-$F$18+1)))/2,1/($G$18-$F$18+1)),0)</f>
        <v>0</v>
      </c>
      <c r="BD57" s="7" t="n">
        <f aca="false">IF(AND(BD$50&gt;=$F$18,BD$50&lt;=$G$18),$E$18*IF($H$18="S-Curve",(COS(PI()*(BD$50-$F$18)/($G$18-$F$18+1))-COS(PI()*((BD$50-$F$18)+1)/($G$18-$F$18+1)))/2,1/($G$18-$F$18+1)),0)</f>
        <v>0</v>
      </c>
      <c r="BE57" s="7" t="n">
        <f aca="false">IF(AND(BE$50&gt;=$F$18,BE$50&lt;=$G$18),$E$18*IF($H$18="S-Curve",(COS(PI()*(BE$50-$F$18)/($G$18-$F$18+1))-COS(PI()*((BE$50-$F$18)+1)/($G$18-$F$18+1)))/2,1/($G$18-$F$18+1)),0)</f>
        <v>0</v>
      </c>
      <c r="BF57" s="7" t="n">
        <f aca="false">IF(AND(BF$50&gt;=$F$18,BF$50&lt;=$G$18),$E$18*IF($H$18="S-Curve",(COS(PI()*(BF$50-$F$18)/($G$18-$F$18+1))-COS(PI()*((BF$50-$F$18)+1)/($G$18-$F$18+1)))/2,1/($G$18-$F$18+1)),0)</f>
        <v>0</v>
      </c>
      <c r="BG57" s="7" t="n">
        <f aca="false">IF(AND(BG$50&gt;=$F$18,BG$50&lt;=$G$18),$E$18*IF($H$18="S-Curve",(COS(PI()*(BG$50-$F$18)/($G$18-$F$18+1))-COS(PI()*((BG$50-$F$18)+1)/($G$18-$F$18+1)))/2,1/($G$18-$F$18+1)),0)</f>
        <v>0</v>
      </c>
      <c r="BH57" s="7" t="n">
        <f aca="false">IF(AND(BH$50&gt;=$F$18,BH$50&lt;=$G$18),$E$18*IF($H$18="S-Curve",(COS(PI()*(BH$50-$F$18)/($G$18-$F$18+1))-COS(PI()*((BH$50-$F$18)+1)/($G$18-$F$18+1)))/2,1/($G$18-$F$18+1)),0)</f>
        <v>0</v>
      </c>
      <c r="BI57" s="7" t="n">
        <f aca="false">IF(AND(BI$50&gt;=$F$18,BI$50&lt;=$G$18),$E$18*IF($H$18="S-Curve",(COS(PI()*(BI$50-$F$18)/($G$18-$F$18+1))-COS(PI()*((BI$50-$F$18)+1)/($G$18-$F$18+1)))/2,1/($G$18-$F$18+1)),0)</f>
        <v>0</v>
      </c>
      <c r="BJ57" s="7" t="n">
        <f aca="false">IF(AND(BJ$50&gt;=$F$18,BJ$50&lt;=$G$18),$E$18*IF($H$18="S-Curve",(COS(PI()*(BJ$50-$F$18)/($G$18-$F$18+1))-COS(PI()*((BJ$50-$F$18)+1)/($G$18-$F$18+1)))/2,1/($G$18-$F$18+1)),0)</f>
        <v>0</v>
      </c>
      <c r="BK57" s="7" t="n">
        <f aca="false">IF(AND(BK$50&gt;=$F$18,BK$50&lt;=$G$18),$E$18*IF($H$18="S-Curve",(COS(PI()*(BK$50-$F$18)/($G$18-$F$18+1))-COS(PI()*((BK$50-$F$18)+1)/($G$18-$F$18+1)))/2,1/($G$18-$F$18+1)),0)</f>
        <v>0</v>
      </c>
      <c r="BL57" s="7" t="n">
        <f aca="false">IF(AND(BL$50&gt;=$F$18,BL$50&lt;=$G$18),$E$18*IF($H$18="S-Curve",(COS(PI()*(BL$50-$F$18)/($G$18-$F$18+1))-COS(PI()*((BL$50-$F$18)+1)/($G$18-$F$18+1)))/2,1/($G$18-$F$18+1)),0)</f>
        <v>0</v>
      </c>
      <c r="BM57" s="7" t="n">
        <f aca="false">IF(AND(BM$50&gt;=$F$18,BM$50&lt;=$G$18),$E$18*IF($H$18="S-Curve",(COS(PI()*(BM$50-$F$18)/($G$18-$F$18+1))-COS(PI()*((BM$50-$F$18)+1)/($G$18-$F$18+1)))/2,1/($G$18-$F$18+1)),0)</f>
        <v>0</v>
      </c>
      <c r="BN57" s="7" t="n">
        <f aca="false">IF(AND(BN$50&gt;=$F$18,BN$50&lt;=$G$18),$E$18*IF($H$18="S-Curve",(COS(PI()*(BN$50-$F$18)/($G$18-$F$18+1))-COS(PI()*((BN$50-$F$18)+1)/($G$18-$F$18+1)))/2,1/($G$18-$F$18+1)),0)</f>
        <v>0</v>
      </c>
      <c r="BO57" s="7" t="n">
        <f aca="false">IF(AND(BO$50&gt;=$F$18,BO$50&lt;=$G$18),$E$18*IF($H$18="S-Curve",(COS(PI()*(BO$50-$F$18)/($G$18-$F$18+1))-COS(PI()*((BO$50-$F$18)+1)/($G$18-$F$18+1)))/2,1/($G$18-$F$18+1)),0)</f>
        <v>0</v>
      </c>
      <c r="BP57" s="7" t="n">
        <f aca="false">IF(AND(BP$50&gt;=$F$18,BP$50&lt;=$G$18),$E$18*IF($H$18="S-Curve",(COS(PI()*(BP$50-$F$18)/($G$18-$F$18+1))-COS(PI()*((BP$50-$F$18)+1)/($G$18-$F$18+1)))/2,1/($G$18-$F$18+1)),0)</f>
        <v>0</v>
      </c>
      <c r="BQ57" s="7" t="n">
        <f aca="false">IF(AND(BQ$50&gt;=$F$18,BQ$50&lt;=$G$18),$E$18*IF($H$18="S-Curve",(COS(PI()*(BQ$50-$F$18)/($G$18-$F$18+1))-COS(PI()*((BQ$50-$F$18)+1)/($G$18-$F$18+1)))/2,1/($G$18-$F$18+1)),0)</f>
        <v>0</v>
      </c>
      <c r="BR57" s="7" t="n">
        <f aca="false">IF(AND(BR$50&gt;=$F$18,BR$50&lt;=$G$18),$E$18*IF($H$18="S-Curve",(COS(PI()*(BR$50-$F$18)/($G$18-$F$18+1))-COS(PI()*((BR$50-$F$18)+1)/($G$18-$F$18+1)))/2,1/($G$18-$F$18+1)),0)</f>
        <v>0</v>
      </c>
      <c r="BS57" s="7" t="n">
        <f aca="false">IF(AND(BS$50&gt;=$F$18,BS$50&lt;=$G$18),$E$18*IF($H$18="S-Curve",(COS(PI()*(BS$50-$F$18)/($G$18-$F$18+1))-COS(PI()*((BS$50-$F$18)+1)/($G$18-$F$18+1)))/2,1/($G$18-$F$18+1)),0)</f>
        <v>0</v>
      </c>
      <c r="BT57" s="7" t="n">
        <f aca="false">IF(AND(BT$50&gt;=$F$18,BT$50&lt;=$G$18),$E$18*IF($H$18="S-Curve",(COS(PI()*(BT$50-$F$18)/($G$18-$F$18+1))-COS(PI()*((BT$50-$F$18)+1)/($G$18-$F$18+1)))/2,1/($G$18-$F$18+1)),0)</f>
        <v>0</v>
      </c>
      <c r="BU57" s="7" t="n">
        <f aca="false">IF(AND(BU$50&gt;=$F$18,BU$50&lt;=$G$18),$E$18*IF($H$18="S-Curve",(COS(PI()*(BU$50-$F$18)/($G$18-$F$18+1))-COS(PI()*((BU$50-$F$18)+1)/($G$18-$F$18+1)))/2,1/($G$18-$F$18+1)),0)</f>
        <v>0</v>
      </c>
      <c r="BV57" s="7" t="n">
        <f aca="false">IF(AND(BV$50&gt;=$F$18,BV$50&lt;=$G$18),$E$18*IF($H$18="S-Curve",(COS(PI()*(BV$50-$F$18)/($G$18-$F$18+1))-COS(PI()*((BV$50-$F$18)+1)/($G$18-$F$18+1)))/2,1/($G$18-$F$18+1)),0)</f>
        <v>0</v>
      </c>
      <c r="BW57" s="7" t="n">
        <f aca="false">IF(AND(BW$50&gt;=$F$18,BW$50&lt;=$G$18),$E$18*IF($H$18="S-Curve",(COS(PI()*(BW$50-$F$18)/($G$18-$F$18+1))-COS(PI()*((BW$50-$F$18)+1)/($G$18-$F$18+1)))/2,1/($G$18-$F$18+1)),0)</f>
        <v>0</v>
      </c>
      <c r="BX57" s="7" t="n">
        <f aca="false">IF(AND(BX$50&gt;=$F$18,BX$50&lt;=$G$18),$E$18*IF($H$18="S-Curve",(COS(PI()*(BX$50-$F$18)/($G$18-$F$18+1))-COS(PI()*((BX$50-$F$18)+1)/($G$18-$F$18+1)))/2,1/($G$18-$F$18+1)),0)</f>
        <v>0</v>
      </c>
      <c r="BY57" s="7" t="n">
        <f aca="false">IF(AND(BY$50&gt;=$F$18,BY$50&lt;=$G$18),$E$18*IF($H$18="S-Curve",(COS(PI()*(BY$50-$F$18)/($G$18-$F$18+1))-COS(PI()*((BY$50-$F$18)+1)/($G$18-$F$18+1)))/2,1/($G$18-$F$18+1)),0)</f>
        <v>0</v>
      </c>
      <c r="BZ57" s="7" t="n">
        <f aca="false">IF(AND(BZ$50&gt;=$F$18,BZ$50&lt;=$G$18),$E$18*IF($H$18="S-Curve",(COS(PI()*(BZ$50-$F$18)/($G$18-$F$18+1))-COS(PI()*((BZ$50-$F$18)+1)/($G$18-$F$18+1)))/2,1/($G$18-$F$18+1)),0)</f>
        <v>0</v>
      </c>
      <c r="CA57" s="7" t="n">
        <f aca="false">IF(AND(CA$50&gt;=$F$18,CA$50&lt;=$G$18),$E$18*IF($H$18="S-Curve",(COS(PI()*(CA$50-$F$18)/($G$18-$F$18+1))-COS(PI()*((CA$50-$F$18)+1)/($G$18-$F$18+1)))/2,1/($G$18-$F$18+1)),0)</f>
        <v>0</v>
      </c>
      <c r="CB57" s="7" t="n">
        <f aca="false">IF(AND(CB$50&gt;=$F$18,CB$50&lt;=$G$18),$E$18*IF($H$18="S-Curve",(COS(PI()*(CB$50-$F$18)/($G$18-$F$18+1))-COS(PI()*((CB$50-$F$18)+1)/($G$18-$F$18+1)))/2,1/($G$18-$F$18+1)),0)</f>
        <v>0</v>
      </c>
      <c r="CC57" s="7" t="n">
        <f aca="false">IF(AND(CC$50&gt;=$F$18,CC$50&lt;=$G$18),$E$18*IF($H$18="S-Curve",(COS(PI()*(CC$50-$F$18)/($G$18-$F$18+1))-COS(PI()*((CC$50-$F$18)+1)/($G$18-$F$18+1)))/2,1/($G$18-$F$18+1)),0)</f>
        <v>0</v>
      </c>
      <c r="CD57" s="7" t="n">
        <f aca="false">IF(AND(CD$50&gt;=$F$18,CD$50&lt;=$G$18),$E$18*IF($H$18="S-Curve",(COS(PI()*(CD$50-$F$18)/($G$18-$F$18+1))-COS(PI()*((CD$50-$F$18)+1)/($G$18-$F$18+1)))/2,1/($G$18-$F$18+1)),0)</f>
        <v>0</v>
      </c>
      <c r="CE57" s="7" t="n">
        <f aca="false">IF(AND(CE$50&gt;=$F$18,CE$50&lt;=$G$18),$E$18*IF($H$18="S-Curve",(COS(PI()*(CE$50-$F$18)/($G$18-$F$18+1))-COS(PI()*((CE$50-$F$18)+1)/($G$18-$F$18+1)))/2,1/($G$18-$F$18+1)),0)</f>
        <v>0</v>
      </c>
      <c r="CF57" s="7" t="n">
        <f aca="false">IF(AND(CF$50&gt;=$F$18,CF$50&lt;=$G$18),$E$18*IF($H$18="S-Curve",(COS(PI()*(CF$50-$F$18)/($G$18-$F$18+1))-COS(PI()*((CF$50-$F$18)+1)/($G$18-$F$18+1)))/2,1/($G$18-$F$18+1)),0)</f>
        <v>0</v>
      </c>
      <c r="CG57" s="7" t="n">
        <f aca="false">IF(AND(CG$50&gt;=$F$18,CG$50&lt;=$G$18),$E$18*IF($H$18="S-Curve",(COS(PI()*(CG$50-$F$18)/($G$18-$F$18+1))-COS(PI()*((CG$50-$F$18)+1)/($G$18-$F$18+1)))/2,1/($G$18-$F$18+1)),0)</f>
        <v>0</v>
      </c>
      <c r="CH57" s="7" t="n">
        <f aca="false">IF(AND(CH$50&gt;=$F$18,CH$50&lt;=$G$18),$E$18*IF($H$18="S-Curve",(COS(PI()*(CH$50-$F$18)/($G$18-$F$18+1))-COS(PI()*((CH$50-$F$18)+1)/($G$18-$F$18+1)))/2,1/($G$18-$F$18+1)),0)</f>
        <v>0</v>
      </c>
      <c r="CI57" s="7" t="n">
        <f aca="false">IF(AND(CI$50&gt;=$F$18,CI$50&lt;=$G$18),$E$18*IF($H$18="S-Curve",(COS(PI()*(CI$50-$F$18)/($G$18-$F$18+1))-COS(PI()*((CI$50-$F$18)+1)/($G$18-$F$18+1)))/2,1/($G$18-$F$18+1)),0)</f>
        <v>0</v>
      </c>
      <c r="CJ57" s="7" t="n">
        <f aca="false">IF(AND(CJ$50&gt;=$F$18,CJ$50&lt;=$G$18),$E$18*IF($H$18="S-Curve",(COS(PI()*(CJ$50-$F$18)/($G$18-$F$18+1))-COS(PI()*((CJ$50-$F$18)+1)/($G$18-$F$18+1)))/2,1/($G$18-$F$18+1)),0)</f>
        <v>0</v>
      </c>
      <c r="CK57" s="7" t="n">
        <f aca="false">IF(AND(CK$50&gt;=$F$18,CK$50&lt;=$G$18),$E$18*IF($H$18="S-Curve",(COS(PI()*(CK$50-$F$18)/($G$18-$F$18+1))-COS(PI()*((CK$50-$F$18)+1)/($G$18-$F$18+1)))/2,1/($G$18-$F$18+1)),0)</f>
        <v>0</v>
      </c>
      <c r="CL57" s="7" t="n">
        <f aca="false">IF(AND(CL$50&gt;=$F$18,CL$50&lt;=$G$18),$E$18*IF($H$18="S-Curve",(COS(PI()*(CL$50-$F$18)/($G$18-$F$18+1))-COS(PI()*((CL$50-$F$18)+1)/($G$18-$F$18+1)))/2,1/($G$18-$F$18+1)),0)</f>
        <v>0</v>
      </c>
      <c r="CM57" s="7" t="n">
        <f aca="false">IF(AND(CM$50&gt;=$F$18,CM$50&lt;=$G$18),$E$18*IF($H$18="S-Curve",(COS(PI()*(CM$50-$F$18)/($G$18-$F$18+1))-COS(PI()*((CM$50-$F$18)+1)/($G$18-$F$18+1)))/2,1/($G$18-$F$18+1)),0)</f>
        <v>0</v>
      </c>
      <c r="CN57" s="7" t="n">
        <f aca="false">IF(AND(CN$50&gt;=$F$18,CN$50&lt;=$G$18),$E$18*IF($H$18="S-Curve",(COS(PI()*(CN$50-$F$18)/($G$18-$F$18+1))-COS(PI()*((CN$50-$F$18)+1)/($G$18-$F$18+1)))/2,1/($G$18-$F$18+1)),0)</f>
        <v>0</v>
      </c>
      <c r="CO57" s="7" t="n">
        <f aca="false">IF(AND(CO$50&gt;=$F$18,CO$50&lt;=$G$18),$E$18*IF($H$18="S-Curve",(COS(PI()*(CO$50-$F$18)/($G$18-$F$18+1))-COS(PI()*((CO$50-$F$18)+1)/($G$18-$F$18+1)))/2,1/($G$18-$F$18+1)),0)</f>
        <v>0</v>
      </c>
      <c r="CP57" s="7" t="n">
        <f aca="false">IF(AND(CP$50&gt;=$F$18,CP$50&lt;=$G$18),$E$18*IF($H$18="S-Curve",(COS(PI()*(CP$50-$F$18)/($G$18-$F$18+1))-COS(PI()*((CP$50-$F$18)+1)/($G$18-$F$18+1)))/2,1/($G$18-$F$18+1)),0)</f>
        <v>0</v>
      </c>
      <c r="CQ57" s="7" t="n">
        <f aca="false">IF(AND(CQ$50&gt;=$F$18,CQ$50&lt;=$G$18),$E$18*IF($H$18="S-Curve",(COS(PI()*(CQ$50-$F$18)/($G$18-$F$18+1))-COS(PI()*((CQ$50-$F$18)+1)/($G$18-$F$18+1)))/2,1/($G$18-$F$18+1)),0)</f>
        <v>0</v>
      </c>
      <c r="CR57" s="7" t="n">
        <f aca="false">IF(AND(CR$50&gt;=$F$18,CR$50&lt;=$G$18),$E$18*IF($H$18="S-Curve",(COS(PI()*(CR$50-$F$18)/($G$18-$F$18+1))-COS(PI()*((CR$50-$F$18)+1)/($G$18-$F$18+1)))/2,1/($G$18-$F$18+1)),0)</f>
        <v>0</v>
      </c>
      <c r="CS57" s="7" t="n">
        <f aca="false">IF(AND(CS$50&gt;=$F$18,CS$50&lt;=$G$18),$E$18*IF($H$18="S-Curve",(COS(PI()*(CS$50-$F$18)/($G$18-$F$18+1))-COS(PI()*((CS$50-$F$18)+1)/($G$18-$F$18+1)))/2,1/($G$18-$F$18+1)),0)</f>
        <v>0</v>
      </c>
      <c r="CT57" s="7" t="n">
        <f aca="false">IF(AND(CT$50&gt;=$F$18,CT$50&lt;=$G$18),$E$18*IF($H$18="S-Curve",(COS(PI()*(CT$50-$F$18)/($G$18-$F$18+1))-COS(PI()*((CT$50-$F$18)+1)/($G$18-$F$18+1)))/2,1/($G$18-$F$18+1)),0)</f>
        <v>0</v>
      </c>
      <c r="CU57" s="7" t="n">
        <f aca="false">IF(AND(CU$50&gt;=$F$18,CU$50&lt;=$G$18),$E$18*IF($H$18="S-Curve",(COS(PI()*(CU$50-$F$18)/($G$18-$F$18+1))-COS(PI()*((CU$50-$F$18)+1)/($G$18-$F$18+1)))/2,1/($G$18-$F$18+1)),0)</f>
        <v>0</v>
      </c>
      <c r="CV57" s="7" t="n">
        <f aca="false">IF(AND(CV$50&gt;=$F$18,CV$50&lt;=$G$18),$E$18*IF($H$18="S-Curve",(COS(PI()*(CV$50-$F$18)/($G$18-$F$18+1))-COS(PI()*((CV$50-$F$18)+1)/($G$18-$F$18+1)))/2,1/($G$18-$F$18+1)),0)</f>
        <v>0</v>
      </c>
      <c r="CW57" s="7" t="n">
        <f aca="false">IF(AND(CW$50&gt;=$F$18,CW$50&lt;=$G$18),$E$18*IF($H$18="S-Curve",(COS(PI()*(CW$50-$F$18)/($G$18-$F$18+1))-COS(PI()*((CW$50-$F$18)+1)/($G$18-$F$18+1)))/2,1/($G$18-$F$18+1)),0)</f>
        <v>0</v>
      </c>
      <c r="CX57" s="7" t="n">
        <f aca="false">IF(AND(CX$50&gt;=$F$18,CX$50&lt;=$G$18),$E$18*IF($H$18="S-Curve",(COS(PI()*(CX$50-$F$18)/($G$18-$F$18+1))-COS(PI()*((CX$50-$F$18)+1)/($G$18-$F$18+1)))/2,1/($G$18-$F$18+1)),0)</f>
        <v>0</v>
      </c>
      <c r="CY57" s="7" t="n">
        <f aca="false">IF(AND(CY$50&gt;=$F$18,CY$50&lt;=$G$18),$E$18*IF($H$18="S-Curve",(COS(PI()*(CY$50-$F$18)/($G$18-$F$18+1))-COS(PI()*((CY$50-$F$18)+1)/($G$18-$F$18+1)))/2,1/($G$18-$F$18+1)),0)</f>
        <v>0</v>
      </c>
    </row>
    <row r="58" customFormat="false" ht="15" hidden="false" customHeight="false" outlineLevel="0" collapsed="false">
      <c r="B58" s="0" t="s">
        <v>33</v>
      </c>
      <c r="S58" s="7" t="n">
        <f aca="false">IF(AND(S$50&gt;=$F$19,S$50&lt;=$G$19),$E$19*IF($H$19="S-Curve",(COS(PI()*(S$50-$F$19)/($G$19-$F$19+1))-COS(PI()*((S$50-$F$19)+1)/($G$19-$F$19+1)))/2,1/($G$19-$F$19+1)),0)</f>
        <v>0</v>
      </c>
      <c r="T58" s="7" t="n">
        <f aca="false">IF(AND(T$50&gt;=$F$19,T$50&lt;=$G$19),$E$19*IF($H$19="S-Curve",(COS(PI()*(T$50-$F$19)/($G$19-$F$19+1))-COS(PI()*((T$50-$F$19)+1)/($G$19-$F$19+1)))/2,1/($G$19-$F$19+1)),0)</f>
        <v>1723250</v>
      </c>
      <c r="U58" s="7" t="n">
        <f aca="false">IF(AND(U$50&gt;=$F$19,U$50&lt;=$G$19),$E$19*IF($H$19="S-Curve",(COS(PI()*(U$50-$F$19)/($G$19-$F$19+1))-COS(PI()*((U$50-$F$19)+1)/($G$19-$F$19+1)))/2,1/($G$19-$F$19+1)),0)</f>
        <v>1723250</v>
      </c>
      <c r="V58" s="7" t="n">
        <f aca="false">IF(AND(V$50&gt;=$F$19,V$50&lt;=$G$19),$E$19*IF($H$19="S-Curve",(COS(PI()*(V$50-$F$19)/($G$19-$F$19+1))-COS(PI()*((V$50-$F$19)+1)/($G$19-$F$19+1)))/2,1/($G$19-$F$19+1)),0)</f>
        <v>1723250</v>
      </c>
      <c r="W58" s="7" t="n">
        <f aca="false">IF(AND(W$50&gt;=$F$19,W$50&lt;=$G$19),$E$19*IF($H$19="S-Curve",(COS(PI()*(W$50-$F$19)/($G$19-$F$19+1))-COS(PI()*((W$50-$F$19)+1)/($G$19-$F$19+1)))/2,1/($G$19-$F$19+1)),0)</f>
        <v>1723250</v>
      </c>
      <c r="X58" s="7" t="n">
        <f aca="false">IF(AND(X$50&gt;=$F$19,X$50&lt;=$G$19),$E$19*IF($H$19="S-Curve",(COS(PI()*(X$50-$F$19)/($G$19-$F$19+1))-COS(PI()*((X$50-$F$19)+1)/($G$19-$F$19+1)))/2,1/($G$19-$F$19+1)),0)</f>
        <v>1723250</v>
      </c>
      <c r="Y58" s="7" t="n">
        <f aca="false">IF(AND(Y$50&gt;=$F$19,Y$50&lt;=$G$19),$E$19*IF($H$19="S-Curve",(COS(PI()*(Y$50-$F$19)/($G$19-$F$19+1))-COS(PI()*((Y$50-$F$19)+1)/($G$19-$F$19+1)))/2,1/($G$19-$F$19+1)),0)</f>
        <v>1723250</v>
      </c>
      <c r="Z58" s="7" t="n">
        <f aca="false">IF(AND(Z$50&gt;=$F$19,Z$50&lt;=$G$19),$E$19*IF($H$19="S-Curve",(COS(PI()*(Z$50-$F$19)/($G$19-$F$19+1))-COS(PI()*((Z$50-$F$19)+1)/($G$19-$F$19+1)))/2,1/($G$19-$F$19+1)),0)</f>
        <v>1723250</v>
      </c>
      <c r="AA58" s="7" t="n">
        <f aca="false">IF(AND(AA$50&gt;=$F$19,AA$50&lt;=$G$19),$E$19*IF($H$19="S-Curve",(COS(PI()*(AA$50-$F$19)/($G$19-$F$19+1))-COS(PI()*((AA$50-$F$19)+1)/($G$19-$F$19+1)))/2,1/($G$19-$F$19+1)),0)</f>
        <v>1723250</v>
      </c>
      <c r="AB58" s="7" t="n">
        <f aca="false">IF(AND(AB$50&gt;=$F$19,AB$50&lt;=$G$19),$E$19*IF($H$19="S-Curve",(COS(PI()*(AB$50-$F$19)/($G$19-$F$19+1))-COS(PI()*((AB$50-$F$19)+1)/($G$19-$F$19+1)))/2,1/($G$19-$F$19+1)),0)</f>
        <v>1723250</v>
      </c>
      <c r="AC58" s="7" t="n">
        <f aca="false">IF(AND(AC$50&gt;=$F$19,AC$50&lt;=$G$19),$E$19*IF($H$19="S-Curve",(COS(PI()*(AC$50-$F$19)/($G$19-$F$19+1))-COS(PI()*((AC$50-$F$19)+1)/($G$19-$F$19+1)))/2,1/($G$19-$F$19+1)),0)</f>
        <v>1723250</v>
      </c>
      <c r="AD58" s="7" t="n">
        <f aca="false">IF(AND(AD$50&gt;=$F$19,AD$50&lt;=$G$19),$E$19*IF($H$19="S-Curve",(COS(PI()*(AD$50-$F$19)/($G$19-$F$19+1))-COS(PI()*((AD$50-$F$19)+1)/($G$19-$F$19+1)))/2,1/($G$19-$F$19+1)),0)</f>
        <v>1723250</v>
      </c>
      <c r="AE58" s="7" t="n">
        <f aca="false">IF(AND(AE$50&gt;=$F$19,AE$50&lt;=$G$19),$E$19*IF($H$19="S-Curve",(COS(PI()*(AE$50-$F$19)/($G$19-$F$19+1))-COS(PI()*((AE$50-$F$19)+1)/($G$19-$F$19+1)))/2,1/($G$19-$F$19+1)),0)</f>
        <v>1723250</v>
      </c>
      <c r="AF58" s="7" t="n">
        <f aca="false">IF(AND(AF$50&gt;=$F$19,AF$50&lt;=$G$19),$E$19*IF($H$19="S-Curve",(COS(PI()*(AF$50-$F$19)/($G$19-$F$19+1))-COS(PI()*((AF$50-$F$19)+1)/($G$19-$F$19+1)))/2,1/($G$19-$F$19+1)),0)</f>
        <v>1723250</v>
      </c>
      <c r="AG58" s="7" t="n">
        <f aca="false">IF(AND(AG$50&gt;=$F$19,AG$50&lt;=$G$19),$E$19*IF($H$19="S-Curve",(COS(PI()*(AG$50-$F$19)/($G$19-$F$19+1))-COS(PI()*((AG$50-$F$19)+1)/($G$19-$F$19+1)))/2,1/($G$19-$F$19+1)),0)</f>
        <v>1723250</v>
      </c>
      <c r="AH58" s="7" t="n">
        <f aca="false">IF(AND(AH$50&gt;=$F$19,AH$50&lt;=$G$19),$E$19*IF($H$19="S-Curve",(COS(PI()*(AH$50-$F$19)/($G$19-$F$19+1))-COS(PI()*((AH$50-$F$19)+1)/($G$19-$F$19+1)))/2,1/($G$19-$F$19+1)),0)</f>
        <v>1723250</v>
      </c>
      <c r="AI58" s="7" t="n">
        <f aca="false">IF(AND(AI$50&gt;=$F$19,AI$50&lt;=$G$19),$E$19*IF($H$19="S-Curve",(COS(PI()*(AI$50-$F$19)/($G$19-$F$19+1))-COS(PI()*((AI$50-$F$19)+1)/($G$19-$F$19+1)))/2,1/($G$19-$F$19+1)),0)</f>
        <v>1723250</v>
      </c>
      <c r="AJ58" s="7" t="n">
        <f aca="false">IF(AND(AJ$50&gt;=$F$19,AJ$50&lt;=$G$19),$E$19*IF($H$19="S-Curve",(COS(PI()*(AJ$50-$F$19)/($G$19-$F$19+1))-COS(PI()*((AJ$50-$F$19)+1)/($G$19-$F$19+1)))/2,1/($G$19-$F$19+1)),0)</f>
        <v>1723250</v>
      </c>
      <c r="AK58" s="7" t="n">
        <f aca="false">IF(AND(AK$50&gt;=$F$19,AK$50&lt;=$G$19),$E$19*IF($H$19="S-Curve",(COS(PI()*(AK$50-$F$19)/($G$19-$F$19+1))-COS(PI()*((AK$50-$F$19)+1)/($G$19-$F$19+1)))/2,1/($G$19-$F$19+1)),0)</f>
        <v>1723250</v>
      </c>
      <c r="AL58" s="7" t="n">
        <f aca="false">IF(AND(AL$50&gt;=$F$19,AL$50&lt;=$G$19),$E$19*IF($H$19="S-Curve",(COS(PI()*(AL$50-$F$19)/($G$19-$F$19+1))-COS(PI()*((AL$50-$F$19)+1)/($G$19-$F$19+1)))/2,1/($G$19-$F$19+1)),0)</f>
        <v>1723250</v>
      </c>
      <c r="AM58" s="7" t="n">
        <f aca="false">IF(AND(AM$50&gt;=$F$19,AM$50&lt;=$G$19),$E$19*IF($H$19="S-Curve",(COS(PI()*(AM$50-$F$19)/($G$19-$F$19+1))-COS(PI()*((AM$50-$F$19)+1)/($G$19-$F$19+1)))/2,1/($G$19-$F$19+1)),0)</f>
        <v>1723250</v>
      </c>
      <c r="AN58" s="7" t="n">
        <f aca="false">IF(AND(AN$50&gt;=$F$19,AN$50&lt;=$G$19),$E$19*IF($H$19="S-Curve",(COS(PI()*(AN$50-$F$19)/($G$19-$F$19+1))-COS(PI()*((AN$50-$F$19)+1)/($G$19-$F$19+1)))/2,1/($G$19-$F$19+1)),0)</f>
        <v>1723250</v>
      </c>
      <c r="AO58" s="7" t="n">
        <f aca="false">IF(AND(AO$50&gt;=$F$19,AO$50&lt;=$G$19),$E$19*IF($H$19="S-Curve",(COS(PI()*(AO$50-$F$19)/($G$19-$F$19+1))-COS(PI()*((AO$50-$F$19)+1)/($G$19-$F$19+1)))/2,1/($G$19-$F$19+1)),0)</f>
        <v>1723250</v>
      </c>
      <c r="AP58" s="7" t="n">
        <f aca="false">IF(AND(AP$50&gt;=$F$19,AP$50&lt;=$G$19),$E$19*IF($H$19="S-Curve",(COS(PI()*(AP$50-$F$19)/($G$19-$F$19+1))-COS(PI()*((AP$50-$F$19)+1)/($G$19-$F$19+1)))/2,1/($G$19-$F$19+1)),0)</f>
        <v>0</v>
      </c>
      <c r="AQ58" s="7" t="n">
        <f aca="false">IF(AND(AQ$50&gt;=$F$19,AQ$50&lt;=$G$19),$E$19*IF($H$19="S-Curve",(COS(PI()*(AQ$50-$F$19)/($G$19-$F$19+1))-COS(PI()*((AQ$50-$F$19)+1)/($G$19-$F$19+1)))/2,1/($G$19-$F$19+1)),0)</f>
        <v>0</v>
      </c>
      <c r="AR58" s="7" t="n">
        <f aca="false">IF(AND(AR$50&gt;=$F$19,AR$50&lt;=$G$19),$E$19*IF($H$19="S-Curve",(COS(PI()*(AR$50-$F$19)/($G$19-$F$19+1))-COS(PI()*((AR$50-$F$19)+1)/($G$19-$F$19+1)))/2,1/($G$19-$F$19+1)),0)</f>
        <v>0</v>
      </c>
      <c r="AS58" s="7" t="n">
        <f aca="false">IF(AND(AS$50&gt;=$F$19,AS$50&lt;=$G$19),$E$19*IF($H$19="S-Curve",(COS(PI()*(AS$50-$F$19)/($G$19-$F$19+1))-COS(PI()*((AS$50-$F$19)+1)/($G$19-$F$19+1)))/2,1/($G$19-$F$19+1)),0)</f>
        <v>0</v>
      </c>
      <c r="AT58" s="7" t="n">
        <f aca="false">IF(AND(AT$50&gt;=$F$19,AT$50&lt;=$G$19),$E$19*IF($H$19="S-Curve",(COS(PI()*(AT$50-$F$19)/($G$19-$F$19+1))-COS(PI()*((AT$50-$F$19)+1)/($G$19-$F$19+1)))/2,1/($G$19-$F$19+1)),0)</f>
        <v>0</v>
      </c>
      <c r="AU58" s="7" t="n">
        <f aca="false">IF(AND(AU$50&gt;=$F$19,AU$50&lt;=$G$19),$E$19*IF($H$19="S-Curve",(COS(PI()*(AU$50-$F$19)/($G$19-$F$19+1))-COS(PI()*((AU$50-$F$19)+1)/($G$19-$F$19+1)))/2,1/($G$19-$F$19+1)),0)</f>
        <v>0</v>
      </c>
      <c r="AV58" s="7" t="n">
        <f aca="false">IF(AND(AV$50&gt;=$F$19,AV$50&lt;=$G$19),$E$19*IF($H$19="S-Curve",(COS(PI()*(AV$50-$F$19)/($G$19-$F$19+1))-COS(PI()*((AV$50-$F$19)+1)/($G$19-$F$19+1)))/2,1/($G$19-$F$19+1)),0)</f>
        <v>0</v>
      </c>
      <c r="AW58" s="7" t="n">
        <f aca="false">IF(AND(AW$50&gt;=$F$19,AW$50&lt;=$G$19),$E$19*IF($H$19="S-Curve",(COS(PI()*(AW$50-$F$19)/($G$19-$F$19+1))-COS(PI()*((AW$50-$F$19)+1)/($G$19-$F$19+1)))/2,1/($G$19-$F$19+1)),0)</f>
        <v>0</v>
      </c>
      <c r="AX58" s="7" t="n">
        <f aca="false">IF(AND(AX$50&gt;=$F$19,AX$50&lt;=$G$19),$E$19*IF($H$19="S-Curve",(COS(PI()*(AX$50-$F$19)/($G$19-$F$19+1))-COS(PI()*((AX$50-$F$19)+1)/($G$19-$F$19+1)))/2,1/($G$19-$F$19+1)),0)</f>
        <v>0</v>
      </c>
      <c r="AY58" s="7" t="n">
        <f aca="false">IF(AND(AY$50&gt;=$F$19,AY$50&lt;=$G$19),$E$19*IF($H$19="S-Curve",(COS(PI()*(AY$50-$F$19)/($G$19-$F$19+1))-COS(PI()*((AY$50-$F$19)+1)/($G$19-$F$19+1)))/2,1/($G$19-$F$19+1)),0)</f>
        <v>0</v>
      </c>
      <c r="AZ58" s="7" t="n">
        <f aca="false">IF(AND(AZ$50&gt;=$F$19,AZ$50&lt;=$G$19),$E$19*IF($H$19="S-Curve",(COS(PI()*(AZ$50-$F$19)/($G$19-$F$19+1))-COS(PI()*((AZ$50-$F$19)+1)/($G$19-$F$19+1)))/2,1/($G$19-$F$19+1)),0)</f>
        <v>0</v>
      </c>
      <c r="BA58" s="7" t="n">
        <f aca="false">IF(AND(BA$50&gt;=$F$19,BA$50&lt;=$G$19),$E$19*IF($H$19="S-Curve",(COS(PI()*(BA$50-$F$19)/($G$19-$F$19+1))-COS(PI()*((BA$50-$F$19)+1)/($G$19-$F$19+1)))/2,1/($G$19-$F$19+1)),0)</f>
        <v>0</v>
      </c>
      <c r="BB58" s="7" t="n">
        <f aca="false">IF(AND(BB$50&gt;=$F$19,BB$50&lt;=$G$19),$E$19*IF($H$19="S-Curve",(COS(PI()*(BB$50-$F$19)/($G$19-$F$19+1))-COS(PI()*((BB$50-$F$19)+1)/($G$19-$F$19+1)))/2,1/($G$19-$F$19+1)),0)</f>
        <v>0</v>
      </c>
      <c r="BC58" s="7" t="n">
        <f aca="false">IF(AND(BC$50&gt;=$F$19,BC$50&lt;=$G$19),$E$19*IF($H$19="S-Curve",(COS(PI()*(BC$50-$F$19)/($G$19-$F$19+1))-COS(PI()*((BC$50-$F$19)+1)/($G$19-$F$19+1)))/2,1/($G$19-$F$19+1)),0)</f>
        <v>0</v>
      </c>
      <c r="BD58" s="7" t="n">
        <f aca="false">IF(AND(BD$50&gt;=$F$19,BD$50&lt;=$G$19),$E$19*IF($H$19="S-Curve",(COS(PI()*(BD$50-$F$19)/($G$19-$F$19+1))-COS(PI()*((BD$50-$F$19)+1)/($G$19-$F$19+1)))/2,1/($G$19-$F$19+1)),0)</f>
        <v>0</v>
      </c>
      <c r="BE58" s="7" t="n">
        <f aca="false">IF(AND(BE$50&gt;=$F$19,BE$50&lt;=$G$19),$E$19*IF($H$19="S-Curve",(COS(PI()*(BE$50-$F$19)/($G$19-$F$19+1))-COS(PI()*((BE$50-$F$19)+1)/($G$19-$F$19+1)))/2,1/($G$19-$F$19+1)),0)</f>
        <v>0</v>
      </c>
      <c r="BF58" s="7" t="n">
        <f aca="false">IF(AND(BF$50&gt;=$F$19,BF$50&lt;=$G$19),$E$19*IF($H$19="S-Curve",(COS(PI()*(BF$50-$F$19)/($G$19-$F$19+1))-COS(PI()*((BF$50-$F$19)+1)/($G$19-$F$19+1)))/2,1/($G$19-$F$19+1)),0)</f>
        <v>0</v>
      </c>
      <c r="BG58" s="7" t="n">
        <f aca="false">IF(AND(BG$50&gt;=$F$19,BG$50&lt;=$G$19),$E$19*IF($H$19="S-Curve",(COS(PI()*(BG$50-$F$19)/($G$19-$F$19+1))-COS(PI()*((BG$50-$F$19)+1)/($G$19-$F$19+1)))/2,1/($G$19-$F$19+1)),0)</f>
        <v>0</v>
      </c>
      <c r="BH58" s="7" t="n">
        <f aca="false">IF(AND(BH$50&gt;=$F$19,BH$50&lt;=$G$19),$E$19*IF($H$19="S-Curve",(COS(PI()*(BH$50-$F$19)/($G$19-$F$19+1))-COS(PI()*((BH$50-$F$19)+1)/($G$19-$F$19+1)))/2,1/($G$19-$F$19+1)),0)</f>
        <v>0</v>
      </c>
      <c r="BI58" s="7" t="n">
        <f aca="false">IF(AND(BI$50&gt;=$F$19,BI$50&lt;=$G$19),$E$19*IF($H$19="S-Curve",(COS(PI()*(BI$50-$F$19)/($G$19-$F$19+1))-COS(PI()*((BI$50-$F$19)+1)/($G$19-$F$19+1)))/2,1/($G$19-$F$19+1)),0)</f>
        <v>0</v>
      </c>
      <c r="BJ58" s="7" t="n">
        <f aca="false">IF(AND(BJ$50&gt;=$F$19,BJ$50&lt;=$G$19),$E$19*IF($H$19="S-Curve",(COS(PI()*(BJ$50-$F$19)/($G$19-$F$19+1))-COS(PI()*((BJ$50-$F$19)+1)/($G$19-$F$19+1)))/2,1/($G$19-$F$19+1)),0)</f>
        <v>0</v>
      </c>
      <c r="BK58" s="7" t="n">
        <f aca="false">IF(AND(BK$50&gt;=$F$19,BK$50&lt;=$G$19),$E$19*IF($H$19="S-Curve",(COS(PI()*(BK$50-$F$19)/($G$19-$F$19+1))-COS(PI()*((BK$50-$F$19)+1)/($G$19-$F$19+1)))/2,1/($G$19-$F$19+1)),0)</f>
        <v>0</v>
      </c>
      <c r="BL58" s="7" t="n">
        <f aca="false">IF(AND(BL$50&gt;=$F$19,BL$50&lt;=$G$19),$E$19*IF($H$19="S-Curve",(COS(PI()*(BL$50-$F$19)/($G$19-$F$19+1))-COS(PI()*((BL$50-$F$19)+1)/($G$19-$F$19+1)))/2,1/($G$19-$F$19+1)),0)</f>
        <v>0</v>
      </c>
      <c r="BM58" s="7" t="n">
        <f aca="false">IF(AND(BM$50&gt;=$F$19,BM$50&lt;=$G$19),$E$19*IF($H$19="S-Curve",(COS(PI()*(BM$50-$F$19)/($G$19-$F$19+1))-COS(PI()*((BM$50-$F$19)+1)/($G$19-$F$19+1)))/2,1/($G$19-$F$19+1)),0)</f>
        <v>0</v>
      </c>
      <c r="BN58" s="7" t="n">
        <f aca="false">IF(AND(BN$50&gt;=$F$19,BN$50&lt;=$G$19),$E$19*IF($H$19="S-Curve",(COS(PI()*(BN$50-$F$19)/($G$19-$F$19+1))-COS(PI()*((BN$50-$F$19)+1)/($G$19-$F$19+1)))/2,1/($G$19-$F$19+1)),0)</f>
        <v>0</v>
      </c>
      <c r="BO58" s="7" t="n">
        <f aca="false">IF(AND(BO$50&gt;=$F$19,BO$50&lt;=$G$19),$E$19*IF($H$19="S-Curve",(COS(PI()*(BO$50-$F$19)/($G$19-$F$19+1))-COS(PI()*((BO$50-$F$19)+1)/($G$19-$F$19+1)))/2,1/($G$19-$F$19+1)),0)</f>
        <v>0</v>
      </c>
      <c r="BP58" s="7" t="n">
        <f aca="false">IF(AND(BP$50&gt;=$F$19,BP$50&lt;=$G$19),$E$19*IF($H$19="S-Curve",(COS(PI()*(BP$50-$F$19)/($G$19-$F$19+1))-COS(PI()*((BP$50-$F$19)+1)/($G$19-$F$19+1)))/2,1/($G$19-$F$19+1)),0)</f>
        <v>0</v>
      </c>
      <c r="BQ58" s="7" t="n">
        <f aca="false">IF(AND(BQ$50&gt;=$F$19,BQ$50&lt;=$G$19),$E$19*IF($H$19="S-Curve",(COS(PI()*(BQ$50-$F$19)/($G$19-$F$19+1))-COS(PI()*((BQ$50-$F$19)+1)/($G$19-$F$19+1)))/2,1/($G$19-$F$19+1)),0)</f>
        <v>0</v>
      </c>
      <c r="BR58" s="7" t="n">
        <f aca="false">IF(AND(BR$50&gt;=$F$19,BR$50&lt;=$G$19),$E$19*IF($H$19="S-Curve",(COS(PI()*(BR$50-$F$19)/($G$19-$F$19+1))-COS(PI()*((BR$50-$F$19)+1)/($G$19-$F$19+1)))/2,1/($G$19-$F$19+1)),0)</f>
        <v>0</v>
      </c>
      <c r="BS58" s="7" t="n">
        <f aca="false">IF(AND(BS$50&gt;=$F$19,BS$50&lt;=$G$19),$E$19*IF($H$19="S-Curve",(COS(PI()*(BS$50-$F$19)/($G$19-$F$19+1))-COS(PI()*((BS$50-$F$19)+1)/($G$19-$F$19+1)))/2,1/($G$19-$F$19+1)),0)</f>
        <v>0</v>
      </c>
      <c r="BT58" s="7" t="n">
        <f aca="false">IF(AND(BT$50&gt;=$F$19,BT$50&lt;=$G$19),$E$19*IF($H$19="S-Curve",(COS(PI()*(BT$50-$F$19)/($G$19-$F$19+1))-COS(PI()*((BT$50-$F$19)+1)/($G$19-$F$19+1)))/2,1/($G$19-$F$19+1)),0)</f>
        <v>0</v>
      </c>
      <c r="BU58" s="7" t="n">
        <f aca="false">IF(AND(BU$50&gt;=$F$19,BU$50&lt;=$G$19),$E$19*IF($H$19="S-Curve",(COS(PI()*(BU$50-$F$19)/($G$19-$F$19+1))-COS(PI()*((BU$50-$F$19)+1)/($G$19-$F$19+1)))/2,1/($G$19-$F$19+1)),0)</f>
        <v>0</v>
      </c>
      <c r="BV58" s="7" t="n">
        <f aca="false">IF(AND(BV$50&gt;=$F$19,BV$50&lt;=$G$19),$E$19*IF($H$19="S-Curve",(COS(PI()*(BV$50-$F$19)/($G$19-$F$19+1))-COS(PI()*((BV$50-$F$19)+1)/($G$19-$F$19+1)))/2,1/($G$19-$F$19+1)),0)</f>
        <v>0</v>
      </c>
      <c r="BW58" s="7" t="n">
        <f aca="false">IF(AND(BW$50&gt;=$F$19,BW$50&lt;=$G$19),$E$19*IF($H$19="S-Curve",(COS(PI()*(BW$50-$F$19)/($G$19-$F$19+1))-COS(PI()*((BW$50-$F$19)+1)/($G$19-$F$19+1)))/2,1/($G$19-$F$19+1)),0)</f>
        <v>0</v>
      </c>
      <c r="BX58" s="7" t="n">
        <f aca="false">IF(AND(BX$50&gt;=$F$19,BX$50&lt;=$G$19),$E$19*IF($H$19="S-Curve",(COS(PI()*(BX$50-$F$19)/($G$19-$F$19+1))-COS(PI()*((BX$50-$F$19)+1)/($G$19-$F$19+1)))/2,1/($G$19-$F$19+1)),0)</f>
        <v>0</v>
      </c>
      <c r="BY58" s="7" t="n">
        <f aca="false">IF(AND(BY$50&gt;=$F$19,BY$50&lt;=$G$19),$E$19*IF($H$19="S-Curve",(COS(PI()*(BY$50-$F$19)/($G$19-$F$19+1))-COS(PI()*((BY$50-$F$19)+1)/($G$19-$F$19+1)))/2,1/($G$19-$F$19+1)),0)</f>
        <v>0</v>
      </c>
      <c r="BZ58" s="7" t="n">
        <f aca="false">IF(AND(BZ$50&gt;=$F$19,BZ$50&lt;=$G$19),$E$19*IF($H$19="S-Curve",(COS(PI()*(BZ$50-$F$19)/($G$19-$F$19+1))-COS(PI()*((BZ$50-$F$19)+1)/($G$19-$F$19+1)))/2,1/($G$19-$F$19+1)),0)</f>
        <v>0</v>
      </c>
      <c r="CA58" s="7" t="n">
        <f aca="false">IF(AND(CA$50&gt;=$F$19,CA$50&lt;=$G$19),$E$19*IF($H$19="S-Curve",(COS(PI()*(CA$50-$F$19)/($G$19-$F$19+1))-COS(PI()*((CA$50-$F$19)+1)/($G$19-$F$19+1)))/2,1/($G$19-$F$19+1)),0)</f>
        <v>0</v>
      </c>
      <c r="CB58" s="7" t="n">
        <f aca="false">IF(AND(CB$50&gt;=$F$19,CB$50&lt;=$G$19),$E$19*IF($H$19="S-Curve",(COS(PI()*(CB$50-$F$19)/($G$19-$F$19+1))-COS(PI()*((CB$50-$F$19)+1)/($G$19-$F$19+1)))/2,1/($G$19-$F$19+1)),0)</f>
        <v>0</v>
      </c>
      <c r="CC58" s="7" t="n">
        <f aca="false">IF(AND(CC$50&gt;=$F$19,CC$50&lt;=$G$19),$E$19*IF($H$19="S-Curve",(COS(PI()*(CC$50-$F$19)/($G$19-$F$19+1))-COS(PI()*((CC$50-$F$19)+1)/($G$19-$F$19+1)))/2,1/($G$19-$F$19+1)),0)</f>
        <v>0</v>
      </c>
      <c r="CD58" s="7" t="n">
        <f aca="false">IF(AND(CD$50&gt;=$F$19,CD$50&lt;=$G$19),$E$19*IF($H$19="S-Curve",(COS(PI()*(CD$50-$F$19)/($G$19-$F$19+1))-COS(PI()*((CD$50-$F$19)+1)/($G$19-$F$19+1)))/2,1/($G$19-$F$19+1)),0)</f>
        <v>0</v>
      </c>
      <c r="CE58" s="7" t="n">
        <f aca="false">IF(AND(CE$50&gt;=$F$19,CE$50&lt;=$G$19),$E$19*IF($H$19="S-Curve",(COS(PI()*(CE$50-$F$19)/($G$19-$F$19+1))-COS(PI()*((CE$50-$F$19)+1)/($G$19-$F$19+1)))/2,1/($G$19-$F$19+1)),0)</f>
        <v>0</v>
      </c>
      <c r="CF58" s="7" t="n">
        <f aca="false">IF(AND(CF$50&gt;=$F$19,CF$50&lt;=$G$19),$E$19*IF($H$19="S-Curve",(COS(PI()*(CF$50-$F$19)/($G$19-$F$19+1))-COS(PI()*((CF$50-$F$19)+1)/($G$19-$F$19+1)))/2,1/($G$19-$F$19+1)),0)</f>
        <v>0</v>
      </c>
      <c r="CG58" s="7" t="n">
        <f aca="false">IF(AND(CG$50&gt;=$F$19,CG$50&lt;=$G$19),$E$19*IF($H$19="S-Curve",(COS(PI()*(CG$50-$F$19)/($G$19-$F$19+1))-COS(PI()*((CG$50-$F$19)+1)/($G$19-$F$19+1)))/2,1/($G$19-$F$19+1)),0)</f>
        <v>0</v>
      </c>
      <c r="CH58" s="7" t="n">
        <f aca="false">IF(AND(CH$50&gt;=$F$19,CH$50&lt;=$G$19),$E$19*IF($H$19="S-Curve",(COS(PI()*(CH$50-$F$19)/($G$19-$F$19+1))-COS(PI()*((CH$50-$F$19)+1)/($G$19-$F$19+1)))/2,1/($G$19-$F$19+1)),0)</f>
        <v>0</v>
      </c>
      <c r="CI58" s="7" t="n">
        <f aca="false">IF(AND(CI$50&gt;=$F$19,CI$50&lt;=$G$19),$E$19*IF($H$19="S-Curve",(COS(PI()*(CI$50-$F$19)/($G$19-$F$19+1))-COS(PI()*((CI$50-$F$19)+1)/($G$19-$F$19+1)))/2,1/($G$19-$F$19+1)),0)</f>
        <v>0</v>
      </c>
      <c r="CJ58" s="7" t="n">
        <f aca="false">IF(AND(CJ$50&gt;=$F$19,CJ$50&lt;=$G$19),$E$19*IF($H$19="S-Curve",(COS(PI()*(CJ$50-$F$19)/($G$19-$F$19+1))-COS(PI()*((CJ$50-$F$19)+1)/($G$19-$F$19+1)))/2,1/($G$19-$F$19+1)),0)</f>
        <v>0</v>
      </c>
      <c r="CK58" s="7" t="n">
        <f aca="false">IF(AND(CK$50&gt;=$F$19,CK$50&lt;=$G$19),$E$19*IF($H$19="S-Curve",(COS(PI()*(CK$50-$F$19)/($G$19-$F$19+1))-COS(PI()*((CK$50-$F$19)+1)/($G$19-$F$19+1)))/2,1/($G$19-$F$19+1)),0)</f>
        <v>0</v>
      </c>
      <c r="CL58" s="7" t="n">
        <f aca="false">IF(AND(CL$50&gt;=$F$19,CL$50&lt;=$G$19),$E$19*IF($H$19="S-Curve",(COS(PI()*(CL$50-$F$19)/($G$19-$F$19+1))-COS(PI()*((CL$50-$F$19)+1)/($G$19-$F$19+1)))/2,1/($G$19-$F$19+1)),0)</f>
        <v>0</v>
      </c>
      <c r="CM58" s="7" t="n">
        <f aca="false">IF(AND(CM$50&gt;=$F$19,CM$50&lt;=$G$19),$E$19*IF($H$19="S-Curve",(COS(PI()*(CM$50-$F$19)/($G$19-$F$19+1))-COS(PI()*((CM$50-$F$19)+1)/($G$19-$F$19+1)))/2,1/($G$19-$F$19+1)),0)</f>
        <v>0</v>
      </c>
      <c r="CN58" s="7" t="n">
        <f aca="false">IF(AND(CN$50&gt;=$F$19,CN$50&lt;=$G$19),$E$19*IF($H$19="S-Curve",(COS(PI()*(CN$50-$F$19)/($G$19-$F$19+1))-COS(PI()*((CN$50-$F$19)+1)/($G$19-$F$19+1)))/2,1/($G$19-$F$19+1)),0)</f>
        <v>0</v>
      </c>
      <c r="CO58" s="7" t="n">
        <f aca="false">IF(AND(CO$50&gt;=$F$19,CO$50&lt;=$G$19),$E$19*IF($H$19="S-Curve",(COS(PI()*(CO$50-$F$19)/($G$19-$F$19+1))-COS(PI()*((CO$50-$F$19)+1)/($G$19-$F$19+1)))/2,1/($G$19-$F$19+1)),0)</f>
        <v>0</v>
      </c>
      <c r="CP58" s="7" t="n">
        <f aca="false">IF(AND(CP$50&gt;=$F$19,CP$50&lt;=$G$19),$E$19*IF($H$19="S-Curve",(COS(PI()*(CP$50-$F$19)/($G$19-$F$19+1))-COS(PI()*((CP$50-$F$19)+1)/($G$19-$F$19+1)))/2,1/($G$19-$F$19+1)),0)</f>
        <v>0</v>
      </c>
      <c r="CQ58" s="7" t="n">
        <f aca="false">IF(AND(CQ$50&gt;=$F$19,CQ$50&lt;=$G$19),$E$19*IF($H$19="S-Curve",(COS(PI()*(CQ$50-$F$19)/($G$19-$F$19+1))-COS(PI()*((CQ$50-$F$19)+1)/($G$19-$F$19+1)))/2,1/($G$19-$F$19+1)),0)</f>
        <v>0</v>
      </c>
      <c r="CR58" s="7" t="n">
        <f aca="false">IF(AND(CR$50&gt;=$F$19,CR$50&lt;=$G$19),$E$19*IF($H$19="S-Curve",(COS(PI()*(CR$50-$F$19)/($G$19-$F$19+1))-COS(PI()*((CR$50-$F$19)+1)/($G$19-$F$19+1)))/2,1/($G$19-$F$19+1)),0)</f>
        <v>0</v>
      </c>
      <c r="CS58" s="7" t="n">
        <f aca="false">IF(AND(CS$50&gt;=$F$19,CS$50&lt;=$G$19),$E$19*IF($H$19="S-Curve",(COS(PI()*(CS$50-$F$19)/($G$19-$F$19+1))-COS(PI()*((CS$50-$F$19)+1)/($G$19-$F$19+1)))/2,1/($G$19-$F$19+1)),0)</f>
        <v>0</v>
      </c>
      <c r="CT58" s="7" t="n">
        <f aca="false">IF(AND(CT$50&gt;=$F$19,CT$50&lt;=$G$19),$E$19*IF($H$19="S-Curve",(COS(PI()*(CT$50-$F$19)/($G$19-$F$19+1))-COS(PI()*((CT$50-$F$19)+1)/($G$19-$F$19+1)))/2,1/($G$19-$F$19+1)),0)</f>
        <v>0</v>
      </c>
      <c r="CU58" s="7" t="n">
        <f aca="false">IF(AND(CU$50&gt;=$F$19,CU$50&lt;=$G$19),$E$19*IF($H$19="S-Curve",(COS(PI()*(CU$50-$F$19)/($G$19-$F$19+1))-COS(PI()*((CU$50-$F$19)+1)/($G$19-$F$19+1)))/2,1/($G$19-$F$19+1)),0)</f>
        <v>0</v>
      </c>
      <c r="CV58" s="7" t="n">
        <f aca="false">IF(AND(CV$50&gt;=$F$19,CV$50&lt;=$G$19),$E$19*IF($H$19="S-Curve",(COS(PI()*(CV$50-$F$19)/($G$19-$F$19+1))-COS(PI()*((CV$50-$F$19)+1)/($G$19-$F$19+1)))/2,1/($G$19-$F$19+1)),0)</f>
        <v>0</v>
      </c>
      <c r="CW58" s="7" t="n">
        <f aca="false">IF(AND(CW$50&gt;=$F$19,CW$50&lt;=$G$19),$E$19*IF($H$19="S-Curve",(COS(PI()*(CW$50-$F$19)/($G$19-$F$19+1))-COS(PI()*((CW$50-$F$19)+1)/($G$19-$F$19+1)))/2,1/($G$19-$F$19+1)),0)</f>
        <v>0</v>
      </c>
      <c r="CX58" s="7" t="n">
        <f aca="false">IF(AND(CX$50&gt;=$F$19,CX$50&lt;=$G$19),$E$19*IF($H$19="S-Curve",(COS(PI()*(CX$50-$F$19)/($G$19-$F$19+1))-COS(PI()*((CX$50-$F$19)+1)/($G$19-$F$19+1)))/2,1/($G$19-$F$19+1)),0)</f>
        <v>0</v>
      </c>
      <c r="CY58" s="7" t="n">
        <f aca="false">IF(AND(CY$50&gt;=$F$19,CY$50&lt;=$G$19),$E$19*IF($H$19="S-Curve",(COS(PI()*(CY$50-$F$19)/($G$19-$F$19+1))-COS(PI()*((CY$50-$F$19)+1)/($G$19-$F$19+1)))/2,1/($G$19-$F$19+1)),0)</f>
        <v>0</v>
      </c>
    </row>
    <row r="59" customFormat="false" ht="15" hidden="false" customHeight="false" outlineLevel="0" collapsed="false">
      <c r="B59" s="0" t="s">
        <v>34</v>
      </c>
      <c r="S59" s="7" t="n">
        <f aca="false">IF(AND(S$50&gt;=$F$20,S$50&lt;=$G$20),$E$20*IF($H$20="S-Curve",(COS(PI()*(S$50-$F$20)/($G$20-$F$20+1))-COS(PI()*((S$50-$F$20)+1)/($G$20-$F$20+1)))/2,1/($G$20-$F$20+1)),0)</f>
        <v>0</v>
      </c>
      <c r="T59" s="7" t="n">
        <f aca="false">IF(AND(T$50&gt;=$F$20,T$50&lt;=$G$20),$E$20*IF($H$20="S-Curve",(COS(PI()*(T$50-$F$20)/($G$20-$F$20+1))-COS(PI()*((T$50-$F$20)+1)/($G$20-$F$20+1)))/2,1/($G$20-$F$20+1)),0)</f>
        <v>469977.272727273</v>
      </c>
      <c r="U59" s="7" t="n">
        <f aca="false">IF(AND(U$50&gt;=$F$20,U$50&lt;=$G$20),$E$20*IF($H$20="S-Curve",(COS(PI()*(U$50-$F$20)/($G$20-$F$20+1))-COS(PI()*((U$50-$F$20)+1)/($G$20-$F$20+1)))/2,1/($G$20-$F$20+1)),0)</f>
        <v>469977.272727273</v>
      </c>
      <c r="V59" s="7" t="n">
        <f aca="false">IF(AND(V$50&gt;=$F$20,V$50&lt;=$G$20),$E$20*IF($H$20="S-Curve",(COS(PI()*(V$50-$F$20)/($G$20-$F$20+1))-COS(PI()*((V$50-$F$20)+1)/($G$20-$F$20+1)))/2,1/($G$20-$F$20+1)),0)</f>
        <v>469977.272727273</v>
      </c>
      <c r="W59" s="7" t="n">
        <f aca="false">IF(AND(W$50&gt;=$F$20,W$50&lt;=$G$20),$E$20*IF($H$20="S-Curve",(COS(PI()*(W$50-$F$20)/($G$20-$F$20+1))-COS(PI()*((W$50-$F$20)+1)/($G$20-$F$20+1)))/2,1/($G$20-$F$20+1)),0)</f>
        <v>469977.272727273</v>
      </c>
      <c r="X59" s="7" t="n">
        <f aca="false">IF(AND(X$50&gt;=$F$20,X$50&lt;=$G$20),$E$20*IF($H$20="S-Curve",(COS(PI()*(X$50-$F$20)/($G$20-$F$20+1))-COS(PI()*((X$50-$F$20)+1)/($G$20-$F$20+1)))/2,1/($G$20-$F$20+1)),0)</f>
        <v>469977.272727273</v>
      </c>
      <c r="Y59" s="7" t="n">
        <f aca="false">IF(AND(Y$50&gt;=$F$20,Y$50&lt;=$G$20),$E$20*IF($H$20="S-Curve",(COS(PI()*(Y$50-$F$20)/($G$20-$F$20+1))-COS(PI()*((Y$50-$F$20)+1)/($G$20-$F$20+1)))/2,1/($G$20-$F$20+1)),0)</f>
        <v>469977.272727273</v>
      </c>
      <c r="Z59" s="7" t="n">
        <f aca="false">IF(AND(Z$50&gt;=$F$20,Z$50&lt;=$G$20),$E$20*IF($H$20="S-Curve",(COS(PI()*(Z$50-$F$20)/($G$20-$F$20+1))-COS(PI()*((Z$50-$F$20)+1)/($G$20-$F$20+1)))/2,1/($G$20-$F$20+1)),0)</f>
        <v>469977.272727273</v>
      </c>
      <c r="AA59" s="7" t="n">
        <f aca="false">IF(AND(AA$50&gt;=$F$20,AA$50&lt;=$G$20),$E$20*IF($H$20="S-Curve",(COS(PI()*(AA$50-$F$20)/($G$20-$F$20+1))-COS(PI()*((AA$50-$F$20)+1)/($G$20-$F$20+1)))/2,1/($G$20-$F$20+1)),0)</f>
        <v>469977.272727273</v>
      </c>
      <c r="AB59" s="7" t="n">
        <f aca="false">IF(AND(AB$50&gt;=$F$20,AB$50&lt;=$G$20),$E$20*IF($H$20="S-Curve",(COS(PI()*(AB$50-$F$20)/($G$20-$F$20+1))-COS(PI()*((AB$50-$F$20)+1)/($G$20-$F$20+1)))/2,1/($G$20-$F$20+1)),0)</f>
        <v>469977.272727273</v>
      </c>
      <c r="AC59" s="7" t="n">
        <f aca="false">IF(AND(AC$50&gt;=$F$20,AC$50&lt;=$G$20),$E$20*IF($H$20="S-Curve",(COS(PI()*(AC$50-$F$20)/($G$20-$F$20+1))-COS(PI()*((AC$50-$F$20)+1)/($G$20-$F$20+1)))/2,1/($G$20-$F$20+1)),0)</f>
        <v>469977.272727273</v>
      </c>
      <c r="AD59" s="7" t="n">
        <f aca="false">IF(AND(AD$50&gt;=$F$20,AD$50&lt;=$G$20),$E$20*IF($H$20="S-Curve",(COS(PI()*(AD$50-$F$20)/($G$20-$F$20+1))-COS(PI()*((AD$50-$F$20)+1)/($G$20-$F$20+1)))/2,1/($G$20-$F$20+1)),0)</f>
        <v>469977.272727273</v>
      </c>
      <c r="AE59" s="7" t="n">
        <f aca="false">IF(AND(AE$50&gt;=$F$20,AE$50&lt;=$G$20),$E$20*IF($H$20="S-Curve",(COS(PI()*(AE$50-$F$20)/($G$20-$F$20+1))-COS(PI()*((AE$50-$F$20)+1)/($G$20-$F$20+1)))/2,1/($G$20-$F$20+1)),0)</f>
        <v>469977.272727273</v>
      </c>
      <c r="AF59" s="7" t="n">
        <f aca="false">IF(AND(AF$50&gt;=$F$20,AF$50&lt;=$G$20),$E$20*IF($H$20="S-Curve",(COS(PI()*(AF$50-$F$20)/($G$20-$F$20+1))-COS(PI()*((AF$50-$F$20)+1)/($G$20-$F$20+1)))/2,1/($G$20-$F$20+1)),0)</f>
        <v>469977.272727273</v>
      </c>
      <c r="AG59" s="7" t="n">
        <f aca="false">IF(AND(AG$50&gt;=$F$20,AG$50&lt;=$G$20),$E$20*IF($H$20="S-Curve",(COS(PI()*(AG$50-$F$20)/($G$20-$F$20+1))-COS(PI()*((AG$50-$F$20)+1)/($G$20-$F$20+1)))/2,1/($G$20-$F$20+1)),0)</f>
        <v>469977.272727273</v>
      </c>
      <c r="AH59" s="7" t="n">
        <f aca="false">IF(AND(AH$50&gt;=$F$20,AH$50&lt;=$G$20),$E$20*IF($H$20="S-Curve",(COS(PI()*(AH$50-$F$20)/($G$20-$F$20+1))-COS(PI()*((AH$50-$F$20)+1)/($G$20-$F$20+1)))/2,1/($G$20-$F$20+1)),0)</f>
        <v>469977.272727273</v>
      </c>
      <c r="AI59" s="7" t="n">
        <f aca="false">IF(AND(AI$50&gt;=$F$20,AI$50&lt;=$G$20),$E$20*IF($H$20="S-Curve",(COS(PI()*(AI$50-$F$20)/($G$20-$F$20+1))-COS(PI()*((AI$50-$F$20)+1)/($G$20-$F$20+1)))/2,1/($G$20-$F$20+1)),0)</f>
        <v>469977.272727273</v>
      </c>
      <c r="AJ59" s="7" t="n">
        <f aca="false">IF(AND(AJ$50&gt;=$F$20,AJ$50&lt;=$G$20),$E$20*IF($H$20="S-Curve",(COS(PI()*(AJ$50-$F$20)/($G$20-$F$20+1))-COS(PI()*((AJ$50-$F$20)+1)/($G$20-$F$20+1)))/2,1/($G$20-$F$20+1)),0)</f>
        <v>469977.272727273</v>
      </c>
      <c r="AK59" s="7" t="n">
        <f aca="false">IF(AND(AK$50&gt;=$F$20,AK$50&lt;=$G$20),$E$20*IF($H$20="S-Curve",(COS(PI()*(AK$50-$F$20)/($G$20-$F$20+1))-COS(PI()*((AK$50-$F$20)+1)/($G$20-$F$20+1)))/2,1/($G$20-$F$20+1)),0)</f>
        <v>469977.272727273</v>
      </c>
      <c r="AL59" s="7" t="n">
        <f aca="false">IF(AND(AL$50&gt;=$F$20,AL$50&lt;=$G$20),$E$20*IF($H$20="S-Curve",(COS(PI()*(AL$50-$F$20)/($G$20-$F$20+1))-COS(PI()*((AL$50-$F$20)+1)/($G$20-$F$20+1)))/2,1/($G$20-$F$20+1)),0)</f>
        <v>469977.272727273</v>
      </c>
      <c r="AM59" s="7" t="n">
        <f aca="false">IF(AND(AM$50&gt;=$F$20,AM$50&lt;=$G$20),$E$20*IF($H$20="S-Curve",(COS(PI()*(AM$50-$F$20)/($G$20-$F$20+1))-COS(PI()*((AM$50-$F$20)+1)/($G$20-$F$20+1)))/2,1/($G$20-$F$20+1)),0)</f>
        <v>469977.272727273</v>
      </c>
      <c r="AN59" s="7" t="n">
        <f aca="false">IF(AND(AN$50&gt;=$F$20,AN$50&lt;=$G$20),$E$20*IF($H$20="S-Curve",(COS(PI()*(AN$50-$F$20)/($G$20-$F$20+1))-COS(PI()*((AN$50-$F$20)+1)/($G$20-$F$20+1)))/2,1/($G$20-$F$20+1)),0)</f>
        <v>469977.272727273</v>
      </c>
      <c r="AO59" s="7" t="n">
        <f aca="false">IF(AND(AO$50&gt;=$F$20,AO$50&lt;=$G$20),$E$20*IF($H$20="S-Curve",(COS(PI()*(AO$50-$F$20)/($G$20-$F$20+1))-COS(PI()*((AO$50-$F$20)+1)/($G$20-$F$20+1)))/2,1/($G$20-$F$20+1)),0)</f>
        <v>469977.272727273</v>
      </c>
      <c r="AP59" s="7" t="n">
        <f aca="false">IF(AND(AP$50&gt;=$F$20,AP$50&lt;=$G$20),$E$20*IF($H$20="S-Curve",(COS(PI()*(AP$50-$F$20)/($G$20-$F$20+1))-COS(PI()*((AP$50-$F$20)+1)/($G$20-$F$20+1)))/2,1/($G$20-$F$20+1)),0)</f>
        <v>0</v>
      </c>
      <c r="AQ59" s="7" t="n">
        <f aca="false">IF(AND(AQ$50&gt;=$F$20,AQ$50&lt;=$G$20),$E$20*IF($H$20="S-Curve",(COS(PI()*(AQ$50-$F$20)/($G$20-$F$20+1))-COS(PI()*((AQ$50-$F$20)+1)/($G$20-$F$20+1)))/2,1/($G$20-$F$20+1)),0)</f>
        <v>0</v>
      </c>
      <c r="AR59" s="7" t="n">
        <f aca="false">IF(AND(AR$50&gt;=$F$20,AR$50&lt;=$G$20),$E$20*IF($H$20="S-Curve",(COS(PI()*(AR$50-$F$20)/($G$20-$F$20+1))-COS(PI()*((AR$50-$F$20)+1)/($G$20-$F$20+1)))/2,1/($G$20-$F$20+1)),0)</f>
        <v>0</v>
      </c>
      <c r="AS59" s="7" t="n">
        <f aca="false">IF(AND(AS$50&gt;=$F$20,AS$50&lt;=$G$20),$E$20*IF($H$20="S-Curve",(COS(PI()*(AS$50-$F$20)/($G$20-$F$20+1))-COS(PI()*((AS$50-$F$20)+1)/($G$20-$F$20+1)))/2,1/($G$20-$F$20+1)),0)</f>
        <v>0</v>
      </c>
      <c r="AT59" s="7" t="n">
        <f aca="false">IF(AND(AT$50&gt;=$F$20,AT$50&lt;=$G$20),$E$20*IF($H$20="S-Curve",(COS(PI()*(AT$50-$F$20)/($G$20-$F$20+1))-COS(PI()*((AT$50-$F$20)+1)/($G$20-$F$20+1)))/2,1/($G$20-$F$20+1)),0)</f>
        <v>0</v>
      </c>
      <c r="AU59" s="7" t="n">
        <f aca="false">IF(AND(AU$50&gt;=$F$20,AU$50&lt;=$G$20),$E$20*IF($H$20="S-Curve",(COS(PI()*(AU$50-$F$20)/($G$20-$F$20+1))-COS(PI()*((AU$50-$F$20)+1)/($G$20-$F$20+1)))/2,1/($G$20-$F$20+1)),0)</f>
        <v>0</v>
      </c>
      <c r="AV59" s="7" t="n">
        <f aca="false">IF(AND(AV$50&gt;=$F$20,AV$50&lt;=$G$20),$E$20*IF($H$20="S-Curve",(COS(PI()*(AV$50-$F$20)/($G$20-$F$20+1))-COS(PI()*((AV$50-$F$20)+1)/($G$20-$F$20+1)))/2,1/($G$20-$F$20+1)),0)</f>
        <v>0</v>
      </c>
      <c r="AW59" s="7" t="n">
        <f aca="false">IF(AND(AW$50&gt;=$F$20,AW$50&lt;=$G$20),$E$20*IF($H$20="S-Curve",(COS(PI()*(AW$50-$F$20)/($G$20-$F$20+1))-COS(PI()*((AW$50-$F$20)+1)/($G$20-$F$20+1)))/2,1/($G$20-$F$20+1)),0)</f>
        <v>0</v>
      </c>
      <c r="AX59" s="7" t="n">
        <f aca="false">IF(AND(AX$50&gt;=$F$20,AX$50&lt;=$G$20),$E$20*IF($H$20="S-Curve",(COS(PI()*(AX$50-$F$20)/($G$20-$F$20+1))-COS(PI()*((AX$50-$F$20)+1)/($G$20-$F$20+1)))/2,1/($G$20-$F$20+1)),0)</f>
        <v>0</v>
      </c>
      <c r="AY59" s="7" t="n">
        <f aca="false">IF(AND(AY$50&gt;=$F$20,AY$50&lt;=$G$20),$E$20*IF($H$20="S-Curve",(COS(PI()*(AY$50-$F$20)/($G$20-$F$20+1))-COS(PI()*((AY$50-$F$20)+1)/($G$20-$F$20+1)))/2,1/($G$20-$F$20+1)),0)</f>
        <v>0</v>
      </c>
      <c r="AZ59" s="7" t="n">
        <f aca="false">IF(AND(AZ$50&gt;=$F$20,AZ$50&lt;=$G$20),$E$20*IF($H$20="S-Curve",(COS(PI()*(AZ$50-$F$20)/($G$20-$F$20+1))-COS(PI()*((AZ$50-$F$20)+1)/($G$20-$F$20+1)))/2,1/($G$20-$F$20+1)),0)</f>
        <v>0</v>
      </c>
      <c r="BA59" s="7" t="n">
        <f aca="false">IF(AND(BA$50&gt;=$F$20,BA$50&lt;=$G$20),$E$20*IF($H$20="S-Curve",(COS(PI()*(BA$50-$F$20)/($G$20-$F$20+1))-COS(PI()*((BA$50-$F$20)+1)/($G$20-$F$20+1)))/2,1/($G$20-$F$20+1)),0)</f>
        <v>0</v>
      </c>
      <c r="BB59" s="7" t="n">
        <f aca="false">IF(AND(BB$50&gt;=$F$20,BB$50&lt;=$G$20),$E$20*IF($H$20="S-Curve",(COS(PI()*(BB$50-$F$20)/($G$20-$F$20+1))-COS(PI()*((BB$50-$F$20)+1)/($G$20-$F$20+1)))/2,1/($G$20-$F$20+1)),0)</f>
        <v>0</v>
      </c>
      <c r="BC59" s="7" t="n">
        <f aca="false">IF(AND(BC$50&gt;=$F$20,BC$50&lt;=$G$20),$E$20*IF($H$20="S-Curve",(COS(PI()*(BC$50-$F$20)/($G$20-$F$20+1))-COS(PI()*((BC$50-$F$20)+1)/($G$20-$F$20+1)))/2,1/($G$20-$F$20+1)),0)</f>
        <v>0</v>
      </c>
      <c r="BD59" s="7" t="n">
        <f aca="false">IF(AND(BD$50&gt;=$F$20,BD$50&lt;=$G$20),$E$20*IF($H$20="S-Curve",(COS(PI()*(BD$50-$F$20)/($G$20-$F$20+1))-COS(PI()*((BD$50-$F$20)+1)/($G$20-$F$20+1)))/2,1/($G$20-$F$20+1)),0)</f>
        <v>0</v>
      </c>
      <c r="BE59" s="7" t="n">
        <f aca="false">IF(AND(BE$50&gt;=$F$20,BE$50&lt;=$G$20),$E$20*IF($H$20="S-Curve",(COS(PI()*(BE$50-$F$20)/($G$20-$F$20+1))-COS(PI()*((BE$50-$F$20)+1)/($G$20-$F$20+1)))/2,1/($G$20-$F$20+1)),0)</f>
        <v>0</v>
      </c>
      <c r="BF59" s="7" t="n">
        <f aca="false">IF(AND(BF$50&gt;=$F$20,BF$50&lt;=$G$20),$E$20*IF($H$20="S-Curve",(COS(PI()*(BF$50-$F$20)/($G$20-$F$20+1))-COS(PI()*((BF$50-$F$20)+1)/($G$20-$F$20+1)))/2,1/($G$20-$F$20+1)),0)</f>
        <v>0</v>
      </c>
      <c r="BG59" s="7" t="n">
        <f aca="false">IF(AND(BG$50&gt;=$F$20,BG$50&lt;=$G$20),$E$20*IF($H$20="S-Curve",(COS(PI()*(BG$50-$F$20)/($G$20-$F$20+1))-COS(PI()*((BG$50-$F$20)+1)/($G$20-$F$20+1)))/2,1/($G$20-$F$20+1)),0)</f>
        <v>0</v>
      </c>
      <c r="BH59" s="7" t="n">
        <f aca="false">IF(AND(BH$50&gt;=$F$20,BH$50&lt;=$G$20),$E$20*IF($H$20="S-Curve",(COS(PI()*(BH$50-$F$20)/($G$20-$F$20+1))-COS(PI()*((BH$50-$F$20)+1)/($G$20-$F$20+1)))/2,1/($G$20-$F$20+1)),0)</f>
        <v>0</v>
      </c>
      <c r="BI59" s="7" t="n">
        <f aca="false">IF(AND(BI$50&gt;=$F$20,BI$50&lt;=$G$20),$E$20*IF($H$20="S-Curve",(COS(PI()*(BI$50-$F$20)/($G$20-$F$20+1))-COS(PI()*((BI$50-$F$20)+1)/($G$20-$F$20+1)))/2,1/($G$20-$F$20+1)),0)</f>
        <v>0</v>
      </c>
      <c r="BJ59" s="7" t="n">
        <f aca="false">IF(AND(BJ$50&gt;=$F$20,BJ$50&lt;=$G$20),$E$20*IF($H$20="S-Curve",(COS(PI()*(BJ$50-$F$20)/($G$20-$F$20+1))-COS(PI()*((BJ$50-$F$20)+1)/($G$20-$F$20+1)))/2,1/($G$20-$F$20+1)),0)</f>
        <v>0</v>
      </c>
      <c r="BK59" s="7" t="n">
        <f aca="false">IF(AND(BK$50&gt;=$F$20,BK$50&lt;=$G$20),$E$20*IF($H$20="S-Curve",(COS(PI()*(BK$50-$F$20)/($G$20-$F$20+1))-COS(PI()*((BK$50-$F$20)+1)/($G$20-$F$20+1)))/2,1/($G$20-$F$20+1)),0)</f>
        <v>0</v>
      </c>
      <c r="BL59" s="7" t="n">
        <f aca="false">IF(AND(BL$50&gt;=$F$20,BL$50&lt;=$G$20),$E$20*IF($H$20="S-Curve",(COS(PI()*(BL$50-$F$20)/($G$20-$F$20+1))-COS(PI()*((BL$50-$F$20)+1)/($G$20-$F$20+1)))/2,1/($G$20-$F$20+1)),0)</f>
        <v>0</v>
      </c>
      <c r="BM59" s="7" t="n">
        <f aca="false">IF(AND(BM$50&gt;=$F$20,BM$50&lt;=$G$20),$E$20*IF($H$20="S-Curve",(COS(PI()*(BM$50-$F$20)/($G$20-$F$20+1))-COS(PI()*((BM$50-$F$20)+1)/($G$20-$F$20+1)))/2,1/($G$20-$F$20+1)),0)</f>
        <v>0</v>
      </c>
      <c r="BN59" s="7" t="n">
        <f aca="false">IF(AND(BN$50&gt;=$F$20,BN$50&lt;=$G$20),$E$20*IF($H$20="S-Curve",(COS(PI()*(BN$50-$F$20)/($G$20-$F$20+1))-COS(PI()*((BN$50-$F$20)+1)/($G$20-$F$20+1)))/2,1/($G$20-$F$20+1)),0)</f>
        <v>0</v>
      </c>
      <c r="BO59" s="7" t="n">
        <f aca="false">IF(AND(BO$50&gt;=$F$20,BO$50&lt;=$G$20),$E$20*IF($H$20="S-Curve",(COS(PI()*(BO$50-$F$20)/($G$20-$F$20+1))-COS(PI()*((BO$50-$F$20)+1)/($G$20-$F$20+1)))/2,1/($G$20-$F$20+1)),0)</f>
        <v>0</v>
      </c>
      <c r="BP59" s="7" t="n">
        <f aca="false">IF(AND(BP$50&gt;=$F$20,BP$50&lt;=$G$20),$E$20*IF($H$20="S-Curve",(COS(PI()*(BP$50-$F$20)/($G$20-$F$20+1))-COS(PI()*((BP$50-$F$20)+1)/($G$20-$F$20+1)))/2,1/($G$20-$F$20+1)),0)</f>
        <v>0</v>
      </c>
      <c r="BQ59" s="7" t="n">
        <f aca="false">IF(AND(BQ$50&gt;=$F$20,BQ$50&lt;=$G$20),$E$20*IF($H$20="S-Curve",(COS(PI()*(BQ$50-$F$20)/($G$20-$F$20+1))-COS(PI()*((BQ$50-$F$20)+1)/($G$20-$F$20+1)))/2,1/($G$20-$F$20+1)),0)</f>
        <v>0</v>
      </c>
      <c r="BR59" s="7" t="n">
        <f aca="false">IF(AND(BR$50&gt;=$F$20,BR$50&lt;=$G$20),$E$20*IF($H$20="S-Curve",(COS(PI()*(BR$50-$F$20)/($G$20-$F$20+1))-COS(PI()*((BR$50-$F$20)+1)/($G$20-$F$20+1)))/2,1/($G$20-$F$20+1)),0)</f>
        <v>0</v>
      </c>
      <c r="BS59" s="7" t="n">
        <f aca="false">IF(AND(BS$50&gt;=$F$20,BS$50&lt;=$G$20),$E$20*IF($H$20="S-Curve",(COS(PI()*(BS$50-$F$20)/($G$20-$F$20+1))-COS(PI()*((BS$50-$F$20)+1)/($G$20-$F$20+1)))/2,1/($G$20-$F$20+1)),0)</f>
        <v>0</v>
      </c>
      <c r="BT59" s="7" t="n">
        <f aca="false">IF(AND(BT$50&gt;=$F$20,BT$50&lt;=$G$20),$E$20*IF($H$20="S-Curve",(COS(PI()*(BT$50-$F$20)/($G$20-$F$20+1))-COS(PI()*((BT$50-$F$20)+1)/($G$20-$F$20+1)))/2,1/($G$20-$F$20+1)),0)</f>
        <v>0</v>
      </c>
      <c r="BU59" s="7" t="n">
        <f aca="false">IF(AND(BU$50&gt;=$F$20,BU$50&lt;=$G$20),$E$20*IF($H$20="S-Curve",(COS(PI()*(BU$50-$F$20)/($G$20-$F$20+1))-COS(PI()*((BU$50-$F$20)+1)/($G$20-$F$20+1)))/2,1/($G$20-$F$20+1)),0)</f>
        <v>0</v>
      </c>
      <c r="BV59" s="7" t="n">
        <f aca="false">IF(AND(BV$50&gt;=$F$20,BV$50&lt;=$G$20),$E$20*IF($H$20="S-Curve",(COS(PI()*(BV$50-$F$20)/($G$20-$F$20+1))-COS(PI()*((BV$50-$F$20)+1)/($G$20-$F$20+1)))/2,1/($G$20-$F$20+1)),0)</f>
        <v>0</v>
      </c>
      <c r="BW59" s="7" t="n">
        <f aca="false">IF(AND(BW$50&gt;=$F$20,BW$50&lt;=$G$20),$E$20*IF($H$20="S-Curve",(COS(PI()*(BW$50-$F$20)/($G$20-$F$20+1))-COS(PI()*((BW$50-$F$20)+1)/($G$20-$F$20+1)))/2,1/($G$20-$F$20+1)),0)</f>
        <v>0</v>
      </c>
      <c r="BX59" s="7" t="n">
        <f aca="false">IF(AND(BX$50&gt;=$F$20,BX$50&lt;=$G$20),$E$20*IF($H$20="S-Curve",(COS(PI()*(BX$50-$F$20)/($G$20-$F$20+1))-COS(PI()*((BX$50-$F$20)+1)/($G$20-$F$20+1)))/2,1/($G$20-$F$20+1)),0)</f>
        <v>0</v>
      </c>
      <c r="BY59" s="7" t="n">
        <f aca="false">IF(AND(BY$50&gt;=$F$20,BY$50&lt;=$G$20),$E$20*IF($H$20="S-Curve",(COS(PI()*(BY$50-$F$20)/($G$20-$F$20+1))-COS(PI()*((BY$50-$F$20)+1)/($G$20-$F$20+1)))/2,1/($G$20-$F$20+1)),0)</f>
        <v>0</v>
      </c>
      <c r="BZ59" s="7" t="n">
        <f aca="false">IF(AND(BZ$50&gt;=$F$20,BZ$50&lt;=$G$20),$E$20*IF($H$20="S-Curve",(COS(PI()*(BZ$50-$F$20)/($G$20-$F$20+1))-COS(PI()*((BZ$50-$F$20)+1)/($G$20-$F$20+1)))/2,1/($G$20-$F$20+1)),0)</f>
        <v>0</v>
      </c>
      <c r="CA59" s="7" t="n">
        <f aca="false">IF(AND(CA$50&gt;=$F$20,CA$50&lt;=$G$20),$E$20*IF($H$20="S-Curve",(COS(PI()*(CA$50-$F$20)/($G$20-$F$20+1))-COS(PI()*((CA$50-$F$20)+1)/($G$20-$F$20+1)))/2,1/($G$20-$F$20+1)),0)</f>
        <v>0</v>
      </c>
      <c r="CB59" s="7" t="n">
        <f aca="false">IF(AND(CB$50&gt;=$F$20,CB$50&lt;=$G$20),$E$20*IF($H$20="S-Curve",(COS(PI()*(CB$50-$F$20)/($G$20-$F$20+1))-COS(PI()*((CB$50-$F$20)+1)/($G$20-$F$20+1)))/2,1/($G$20-$F$20+1)),0)</f>
        <v>0</v>
      </c>
      <c r="CC59" s="7" t="n">
        <f aca="false">IF(AND(CC$50&gt;=$F$20,CC$50&lt;=$G$20),$E$20*IF($H$20="S-Curve",(COS(PI()*(CC$50-$F$20)/($G$20-$F$20+1))-COS(PI()*((CC$50-$F$20)+1)/($G$20-$F$20+1)))/2,1/($G$20-$F$20+1)),0)</f>
        <v>0</v>
      </c>
      <c r="CD59" s="7" t="n">
        <f aca="false">IF(AND(CD$50&gt;=$F$20,CD$50&lt;=$G$20),$E$20*IF($H$20="S-Curve",(COS(PI()*(CD$50-$F$20)/($G$20-$F$20+1))-COS(PI()*((CD$50-$F$20)+1)/($G$20-$F$20+1)))/2,1/($G$20-$F$20+1)),0)</f>
        <v>0</v>
      </c>
      <c r="CE59" s="7" t="n">
        <f aca="false">IF(AND(CE$50&gt;=$F$20,CE$50&lt;=$G$20),$E$20*IF($H$20="S-Curve",(COS(PI()*(CE$50-$F$20)/($G$20-$F$20+1))-COS(PI()*((CE$50-$F$20)+1)/($G$20-$F$20+1)))/2,1/($G$20-$F$20+1)),0)</f>
        <v>0</v>
      </c>
      <c r="CF59" s="7" t="n">
        <f aca="false">IF(AND(CF$50&gt;=$F$20,CF$50&lt;=$G$20),$E$20*IF($H$20="S-Curve",(COS(PI()*(CF$50-$F$20)/($G$20-$F$20+1))-COS(PI()*((CF$50-$F$20)+1)/($G$20-$F$20+1)))/2,1/($G$20-$F$20+1)),0)</f>
        <v>0</v>
      </c>
      <c r="CG59" s="7" t="n">
        <f aca="false">IF(AND(CG$50&gt;=$F$20,CG$50&lt;=$G$20),$E$20*IF($H$20="S-Curve",(COS(PI()*(CG$50-$F$20)/($G$20-$F$20+1))-COS(PI()*((CG$50-$F$20)+1)/($G$20-$F$20+1)))/2,1/($G$20-$F$20+1)),0)</f>
        <v>0</v>
      </c>
      <c r="CH59" s="7" t="n">
        <f aca="false">IF(AND(CH$50&gt;=$F$20,CH$50&lt;=$G$20),$E$20*IF($H$20="S-Curve",(COS(PI()*(CH$50-$F$20)/($G$20-$F$20+1))-COS(PI()*((CH$50-$F$20)+1)/($G$20-$F$20+1)))/2,1/($G$20-$F$20+1)),0)</f>
        <v>0</v>
      </c>
      <c r="CI59" s="7" t="n">
        <f aca="false">IF(AND(CI$50&gt;=$F$20,CI$50&lt;=$G$20),$E$20*IF($H$20="S-Curve",(COS(PI()*(CI$50-$F$20)/($G$20-$F$20+1))-COS(PI()*((CI$50-$F$20)+1)/($G$20-$F$20+1)))/2,1/($G$20-$F$20+1)),0)</f>
        <v>0</v>
      </c>
      <c r="CJ59" s="7" t="n">
        <f aca="false">IF(AND(CJ$50&gt;=$F$20,CJ$50&lt;=$G$20),$E$20*IF($H$20="S-Curve",(COS(PI()*(CJ$50-$F$20)/($G$20-$F$20+1))-COS(PI()*((CJ$50-$F$20)+1)/($G$20-$F$20+1)))/2,1/($G$20-$F$20+1)),0)</f>
        <v>0</v>
      </c>
      <c r="CK59" s="7" t="n">
        <f aca="false">IF(AND(CK$50&gt;=$F$20,CK$50&lt;=$G$20),$E$20*IF($H$20="S-Curve",(COS(PI()*(CK$50-$F$20)/($G$20-$F$20+1))-COS(PI()*((CK$50-$F$20)+1)/($G$20-$F$20+1)))/2,1/($G$20-$F$20+1)),0)</f>
        <v>0</v>
      </c>
      <c r="CL59" s="7" t="n">
        <f aca="false">IF(AND(CL$50&gt;=$F$20,CL$50&lt;=$G$20),$E$20*IF($H$20="S-Curve",(COS(PI()*(CL$50-$F$20)/($G$20-$F$20+1))-COS(PI()*((CL$50-$F$20)+1)/($G$20-$F$20+1)))/2,1/($G$20-$F$20+1)),0)</f>
        <v>0</v>
      </c>
      <c r="CM59" s="7" t="n">
        <f aca="false">IF(AND(CM$50&gt;=$F$20,CM$50&lt;=$G$20),$E$20*IF($H$20="S-Curve",(COS(PI()*(CM$50-$F$20)/($G$20-$F$20+1))-COS(PI()*((CM$50-$F$20)+1)/($G$20-$F$20+1)))/2,1/($G$20-$F$20+1)),0)</f>
        <v>0</v>
      </c>
      <c r="CN59" s="7" t="n">
        <f aca="false">IF(AND(CN$50&gt;=$F$20,CN$50&lt;=$G$20),$E$20*IF($H$20="S-Curve",(COS(PI()*(CN$50-$F$20)/($G$20-$F$20+1))-COS(PI()*((CN$50-$F$20)+1)/($G$20-$F$20+1)))/2,1/($G$20-$F$20+1)),0)</f>
        <v>0</v>
      </c>
      <c r="CO59" s="7" t="n">
        <f aca="false">IF(AND(CO$50&gt;=$F$20,CO$50&lt;=$G$20),$E$20*IF($H$20="S-Curve",(COS(PI()*(CO$50-$F$20)/($G$20-$F$20+1))-COS(PI()*((CO$50-$F$20)+1)/($G$20-$F$20+1)))/2,1/($G$20-$F$20+1)),0)</f>
        <v>0</v>
      </c>
      <c r="CP59" s="7" t="n">
        <f aca="false">IF(AND(CP$50&gt;=$F$20,CP$50&lt;=$G$20),$E$20*IF($H$20="S-Curve",(COS(PI()*(CP$50-$F$20)/($G$20-$F$20+1))-COS(PI()*((CP$50-$F$20)+1)/($G$20-$F$20+1)))/2,1/($G$20-$F$20+1)),0)</f>
        <v>0</v>
      </c>
      <c r="CQ59" s="7" t="n">
        <f aca="false">IF(AND(CQ$50&gt;=$F$20,CQ$50&lt;=$G$20),$E$20*IF($H$20="S-Curve",(COS(PI()*(CQ$50-$F$20)/($G$20-$F$20+1))-COS(PI()*((CQ$50-$F$20)+1)/($G$20-$F$20+1)))/2,1/($G$20-$F$20+1)),0)</f>
        <v>0</v>
      </c>
      <c r="CR59" s="7" t="n">
        <f aca="false">IF(AND(CR$50&gt;=$F$20,CR$50&lt;=$G$20),$E$20*IF($H$20="S-Curve",(COS(PI()*(CR$50-$F$20)/($G$20-$F$20+1))-COS(PI()*((CR$50-$F$20)+1)/($G$20-$F$20+1)))/2,1/($G$20-$F$20+1)),0)</f>
        <v>0</v>
      </c>
      <c r="CS59" s="7" t="n">
        <f aca="false">IF(AND(CS$50&gt;=$F$20,CS$50&lt;=$G$20),$E$20*IF($H$20="S-Curve",(COS(PI()*(CS$50-$F$20)/($G$20-$F$20+1))-COS(PI()*((CS$50-$F$20)+1)/($G$20-$F$20+1)))/2,1/($G$20-$F$20+1)),0)</f>
        <v>0</v>
      </c>
      <c r="CT59" s="7" t="n">
        <f aca="false">IF(AND(CT$50&gt;=$F$20,CT$50&lt;=$G$20),$E$20*IF($H$20="S-Curve",(COS(PI()*(CT$50-$F$20)/($G$20-$F$20+1))-COS(PI()*((CT$50-$F$20)+1)/($G$20-$F$20+1)))/2,1/($G$20-$F$20+1)),0)</f>
        <v>0</v>
      </c>
      <c r="CU59" s="7" t="n">
        <f aca="false">IF(AND(CU$50&gt;=$F$20,CU$50&lt;=$G$20),$E$20*IF($H$20="S-Curve",(COS(PI()*(CU$50-$F$20)/($G$20-$F$20+1))-COS(PI()*((CU$50-$F$20)+1)/($G$20-$F$20+1)))/2,1/($G$20-$F$20+1)),0)</f>
        <v>0</v>
      </c>
      <c r="CV59" s="7" t="n">
        <f aca="false">IF(AND(CV$50&gt;=$F$20,CV$50&lt;=$G$20),$E$20*IF($H$20="S-Curve",(COS(PI()*(CV$50-$F$20)/($G$20-$F$20+1))-COS(PI()*((CV$50-$F$20)+1)/($G$20-$F$20+1)))/2,1/($G$20-$F$20+1)),0)</f>
        <v>0</v>
      </c>
      <c r="CW59" s="7" t="n">
        <f aca="false">IF(AND(CW$50&gt;=$F$20,CW$50&lt;=$G$20),$E$20*IF($H$20="S-Curve",(COS(PI()*(CW$50-$F$20)/($G$20-$F$20+1))-COS(PI()*((CW$50-$F$20)+1)/($G$20-$F$20+1)))/2,1/($G$20-$F$20+1)),0)</f>
        <v>0</v>
      </c>
      <c r="CX59" s="7" t="n">
        <f aca="false">IF(AND(CX$50&gt;=$F$20,CX$50&lt;=$G$20),$E$20*IF($H$20="S-Curve",(COS(PI()*(CX$50-$F$20)/($G$20-$F$20+1))-COS(PI()*((CX$50-$F$20)+1)/($G$20-$F$20+1)))/2,1/($G$20-$F$20+1)),0)</f>
        <v>0</v>
      </c>
      <c r="CY59" s="7" t="n">
        <f aca="false">IF(AND(CY$50&gt;=$F$20,CY$50&lt;=$G$20),$E$20*IF($H$20="S-Curve",(COS(PI()*(CY$50-$F$20)/($G$20-$F$20+1))-COS(PI()*((CY$50-$F$20)+1)/($G$20-$F$20+1)))/2,1/($G$20-$F$20+1)),0)</f>
        <v>0</v>
      </c>
    </row>
    <row r="60" customFormat="false" ht="15" hidden="false" customHeight="false" outlineLevel="0" collapsed="false">
      <c r="B60" s="0" t="s">
        <v>35</v>
      </c>
      <c r="S60" s="7" t="n">
        <f aca="false">IF(AND(S$50&gt;=$F$21,S$50&lt;=$G$21),$E$21*IF($H$21="S-Curve",(COS(PI()*(S$50-$F$21)/($G$21-$F$21+1))-COS(PI()*((S$50-$F$21)+1)/($G$21-$F$21+1)))/2,1/($G$21-$F$21+1)),0)</f>
        <v>0</v>
      </c>
      <c r="T60" s="7" t="n">
        <f aca="false">IF(AND(T$50&gt;=$F$21,T$50&lt;=$G$21),$E$21*IF($H$21="S-Curve",(COS(PI()*(T$50-$F$21)/($G$21-$F$21+1))-COS(PI()*((T$50-$F$21)+1)/($G$21-$F$21+1)))/2,1/($G$21-$F$21+1)),0)</f>
        <v>0</v>
      </c>
      <c r="U60" s="7" t="n">
        <f aca="false">IF(AND(U$50&gt;=$F$21,U$50&lt;=$G$21),$E$21*IF($H$21="S-Curve",(COS(PI()*(U$50-$F$21)/($G$21-$F$21+1))-COS(PI()*((U$50-$F$21)+1)/($G$21-$F$21+1)))/2,1/($G$21-$F$21+1)),0)</f>
        <v>0</v>
      </c>
      <c r="V60" s="7" t="n">
        <f aca="false">IF(AND(V$50&gt;=$F$21,V$50&lt;=$G$21),$E$21*IF($H$21="S-Curve",(COS(PI()*(V$50-$F$21)/($G$21-$F$21+1))-COS(PI()*((V$50-$F$21)+1)/($G$21-$F$21+1)))/2,1/($G$21-$F$21+1)),0)</f>
        <v>0</v>
      </c>
      <c r="W60" s="7" t="n">
        <f aca="false">IF(AND(W$50&gt;=$F$21,W$50&lt;=$G$21),$E$21*IF($H$21="S-Curve",(COS(PI()*(W$50-$F$21)/($G$21-$F$21+1))-COS(PI()*((W$50-$F$21)+1)/($G$21-$F$21+1)))/2,1/($G$21-$F$21+1)),0)</f>
        <v>117514.419556294</v>
      </c>
      <c r="X60" s="7" t="n">
        <f aca="false">IF(AND(X$50&gt;=$F$21,X$50&lt;=$G$21),$E$21*IF($H$21="S-Curve",(COS(PI()*(X$50-$F$21)/($G$21-$F$21+1))-COS(PI()*((X$50-$F$21)+1)/($G$21-$F$21+1)))/2,1/($G$21-$F$21+1)),0)</f>
        <v>349337.771640613</v>
      </c>
      <c r="Y60" s="7" t="n">
        <f aca="false">IF(AND(Y$50&gt;=$F$21,Y$50&lt;=$G$21),$E$21*IF($H$21="S-Curve",(COS(PI()*(Y$50-$F$21)/($G$21-$F$21+1))-COS(PI()*((Y$50-$F$21)+1)/($G$21-$F$21+1)))/2,1/($G$21-$F$21+1)),0)</f>
        <v>571632.099970182</v>
      </c>
      <c r="Z60" s="7" t="n">
        <f aca="false">IF(AND(Z$50&gt;=$F$21,Z$50&lt;=$G$21),$E$21*IF($H$21="S-Curve",(COS(PI()*(Z$50-$F$21)/($G$21-$F$21+1))-COS(PI()*((Z$50-$F$21)+1)/($G$21-$F$21+1)))/2,1/($G$21-$F$21+1)),0)</f>
        <v>778333.794746235</v>
      </c>
      <c r="AA60" s="7" t="n">
        <f aca="false">IF(AND(AA$50&gt;=$F$21,AA$50&lt;=$G$21),$E$21*IF($H$21="S-Curve",(COS(PI()*(AA$50-$F$21)/($G$21-$F$21+1))-COS(PI()*((AA$50-$F$21)+1)/($G$21-$F$21+1)))/2,1/($G$21-$F$21+1)),0)</f>
        <v>963804.572566384</v>
      </c>
      <c r="AB60" s="7" t="n">
        <f aca="false">IF(AND(AB$50&gt;=$F$21,AB$50&lt;=$G$21),$E$21*IF($H$21="S-Curve",(COS(PI()*(AB$50-$F$21)/($G$21-$F$21+1))-COS(PI()*((AB$50-$F$21)+1)/($G$21-$F$21+1)))/2,1/($G$21-$F$21+1)),0)</f>
        <v>1122985.27409793</v>
      </c>
      <c r="AC60" s="7" t="n">
        <f aca="false">IF(AND(AC$50&gt;=$F$21,AC$50&lt;=$G$21),$E$21*IF($H$21="S-Curve",(COS(PI()*(AC$50-$F$21)/($G$21-$F$21+1))-COS(PI()*((AC$50-$F$21)+1)/($G$21-$F$21+1)))/2,1/($G$21-$F$21+1)),0)</f>
        <v>1251533.86475621</v>
      </c>
      <c r="AD60" s="7" t="n">
        <f aca="false">IF(AND(AD$50&gt;=$F$21,AD$50&lt;=$G$21),$E$21*IF($H$21="S-Curve",(COS(PI()*(AD$50-$F$21)/($G$21-$F$21+1))-COS(PI()*((AD$50-$F$21)+1)/($G$21-$F$21+1)))/2,1/($G$21-$F$21+1)),0)</f>
        <v>1345943.87408924</v>
      </c>
      <c r="AE60" s="7" t="n">
        <f aca="false">IF(AND(AE$50&gt;=$F$21,AE$50&lt;=$G$21),$E$21*IF($H$21="S-Curve",(COS(PI()*(AE$50-$F$21)/($G$21-$F$21+1))-COS(PI()*((AE$50-$F$21)+1)/($G$21-$F$21+1)))/2,1/($G$21-$F$21+1)),0)</f>
        <v>1403640.04315093</v>
      </c>
      <c r="AF60" s="7" t="n">
        <f aca="false">IF(AND(AF$50&gt;=$F$21,AF$50&lt;=$G$21),$E$21*IF($H$21="S-Curve",(COS(PI()*(AF$50-$F$21)/($G$21-$F$21+1))-COS(PI()*((AF$50-$F$21)+1)/($G$21-$F$21+1)))/2,1/($G$21-$F$21+1)),0)</f>
        <v>1423048.57085197</v>
      </c>
      <c r="AG60" s="7" t="n">
        <f aca="false">IF(AND(AG$50&gt;=$F$21,AG$50&lt;=$G$21),$E$21*IF($H$21="S-Curve",(COS(PI()*(AG$50-$F$21)/($G$21-$F$21+1))-COS(PI()*((AG$50-$F$21)+1)/($G$21-$F$21+1)))/2,1/($G$21-$F$21+1)),0)</f>
        <v>1403640.04315093</v>
      </c>
      <c r="AH60" s="7" t="n">
        <f aca="false">IF(AND(AH$50&gt;=$F$21,AH$50&lt;=$G$21),$E$21*IF($H$21="S-Curve",(COS(PI()*(AH$50-$F$21)/($G$21-$F$21+1))-COS(PI()*((AH$50-$F$21)+1)/($G$21-$F$21+1)))/2,1/($G$21-$F$21+1)),0)</f>
        <v>1345943.87408924</v>
      </c>
      <c r="AI60" s="7" t="n">
        <f aca="false">IF(AND(AI$50&gt;=$F$21,AI$50&lt;=$G$21),$E$21*IF($H$21="S-Curve",(COS(PI()*(AI$50-$F$21)/($G$21-$F$21+1))-COS(PI()*((AI$50-$F$21)+1)/($G$21-$F$21+1)))/2,1/($G$21-$F$21+1)),0)</f>
        <v>1251533.86475621</v>
      </c>
      <c r="AJ60" s="7" t="n">
        <f aca="false">IF(AND(AJ$50&gt;=$F$21,AJ$50&lt;=$G$21),$E$21*IF($H$21="S-Curve",(COS(PI()*(AJ$50-$F$21)/($G$21-$F$21+1))-COS(PI()*((AJ$50-$F$21)+1)/($G$21-$F$21+1)))/2,1/($G$21-$F$21+1)),0)</f>
        <v>1122985.27409793</v>
      </c>
      <c r="AK60" s="7" t="n">
        <f aca="false">IF(AND(AK$50&gt;=$F$21,AK$50&lt;=$G$21),$E$21*IF($H$21="S-Curve",(COS(PI()*(AK$50-$F$21)/($G$21-$F$21+1))-COS(PI()*((AK$50-$F$21)+1)/($G$21-$F$21+1)))/2,1/($G$21-$F$21+1)),0)</f>
        <v>963804.572566385</v>
      </c>
      <c r="AL60" s="7" t="n">
        <f aca="false">IF(AND(AL$50&gt;=$F$21,AL$50&lt;=$G$21),$E$21*IF($H$21="S-Curve",(COS(PI()*(AL$50-$F$21)/($G$21-$F$21+1))-COS(PI()*((AL$50-$F$21)+1)/($G$21-$F$21+1)))/2,1/($G$21-$F$21+1)),0)</f>
        <v>778333.794746235</v>
      </c>
      <c r="AM60" s="7" t="n">
        <f aca="false">IF(AND(AM$50&gt;=$F$21,AM$50&lt;=$G$21),$E$21*IF($H$21="S-Curve",(COS(PI()*(AM$50-$F$21)/($G$21-$F$21+1))-COS(PI()*((AM$50-$F$21)+1)/($G$21-$F$21+1)))/2,1/($G$21-$F$21+1)),0)</f>
        <v>571632.099970184</v>
      </c>
      <c r="AN60" s="7" t="n">
        <f aca="false">IF(AND(AN$50&gt;=$F$21,AN$50&lt;=$G$21),$E$21*IF($H$21="S-Curve",(COS(PI()*(AN$50-$F$21)/($G$21-$F$21+1))-COS(PI()*((AN$50-$F$21)+1)/($G$21-$F$21+1)))/2,1/($G$21-$F$21+1)),0)</f>
        <v>349337.771640612</v>
      </c>
      <c r="AO60" s="7" t="n">
        <f aca="false">IF(AND(AO$50&gt;=$F$21,AO$50&lt;=$G$21),$E$21*IF($H$21="S-Curve",(COS(PI()*(AO$50-$F$21)/($G$21-$F$21+1))-COS(PI()*((AO$50-$F$21)+1)/($G$21-$F$21+1)))/2,1/($G$21-$F$21+1)),0)</f>
        <v>117514.419556294</v>
      </c>
      <c r="AP60" s="7" t="n">
        <f aca="false">IF(AND(AP$50&gt;=$F$21,AP$50&lt;=$G$21),$E$21*IF($H$21="S-Curve",(COS(PI()*(AP$50-$F$21)/($G$21-$F$21+1))-COS(PI()*((AP$50-$F$21)+1)/($G$21-$F$21+1)))/2,1/($G$21-$F$21+1)),0)</f>
        <v>0</v>
      </c>
      <c r="AQ60" s="7" t="n">
        <f aca="false">IF(AND(AQ$50&gt;=$F$21,AQ$50&lt;=$G$21),$E$21*IF($H$21="S-Curve",(COS(PI()*(AQ$50-$F$21)/($G$21-$F$21+1))-COS(PI()*((AQ$50-$F$21)+1)/($G$21-$F$21+1)))/2,1/($G$21-$F$21+1)),0)</f>
        <v>0</v>
      </c>
      <c r="AR60" s="7" t="n">
        <f aca="false">IF(AND(AR$50&gt;=$F$21,AR$50&lt;=$G$21),$E$21*IF($H$21="S-Curve",(COS(PI()*(AR$50-$F$21)/($G$21-$F$21+1))-COS(PI()*((AR$50-$F$21)+1)/($G$21-$F$21+1)))/2,1/($G$21-$F$21+1)),0)</f>
        <v>0</v>
      </c>
      <c r="AS60" s="7" t="n">
        <f aca="false">IF(AND(AS$50&gt;=$F$21,AS$50&lt;=$G$21),$E$21*IF($H$21="S-Curve",(COS(PI()*(AS$50-$F$21)/($G$21-$F$21+1))-COS(PI()*((AS$50-$F$21)+1)/($G$21-$F$21+1)))/2,1/($G$21-$F$21+1)),0)</f>
        <v>0</v>
      </c>
      <c r="AT60" s="7" t="n">
        <f aca="false">IF(AND(AT$50&gt;=$F$21,AT$50&lt;=$G$21),$E$21*IF($H$21="S-Curve",(COS(PI()*(AT$50-$F$21)/($G$21-$F$21+1))-COS(PI()*((AT$50-$F$21)+1)/($G$21-$F$21+1)))/2,1/($G$21-$F$21+1)),0)</f>
        <v>0</v>
      </c>
      <c r="AU60" s="7" t="n">
        <f aca="false">IF(AND(AU$50&gt;=$F$21,AU$50&lt;=$G$21),$E$21*IF($H$21="S-Curve",(COS(PI()*(AU$50-$F$21)/($G$21-$F$21+1))-COS(PI()*((AU$50-$F$21)+1)/($G$21-$F$21+1)))/2,1/($G$21-$F$21+1)),0)</f>
        <v>0</v>
      </c>
      <c r="AV60" s="7" t="n">
        <f aca="false">IF(AND(AV$50&gt;=$F$21,AV$50&lt;=$G$21),$E$21*IF($H$21="S-Curve",(COS(PI()*(AV$50-$F$21)/($G$21-$F$21+1))-COS(PI()*((AV$50-$F$21)+1)/($G$21-$F$21+1)))/2,1/($G$21-$F$21+1)),0)</f>
        <v>0</v>
      </c>
      <c r="AW60" s="7" t="n">
        <f aca="false">IF(AND(AW$50&gt;=$F$21,AW$50&lt;=$G$21),$E$21*IF($H$21="S-Curve",(COS(PI()*(AW$50-$F$21)/($G$21-$F$21+1))-COS(PI()*((AW$50-$F$21)+1)/($G$21-$F$21+1)))/2,1/($G$21-$F$21+1)),0)</f>
        <v>0</v>
      </c>
      <c r="AX60" s="7" t="n">
        <f aca="false">IF(AND(AX$50&gt;=$F$21,AX$50&lt;=$G$21),$E$21*IF($H$21="S-Curve",(COS(PI()*(AX$50-$F$21)/($G$21-$F$21+1))-COS(PI()*((AX$50-$F$21)+1)/($G$21-$F$21+1)))/2,1/($G$21-$F$21+1)),0)</f>
        <v>0</v>
      </c>
      <c r="AY60" s="7" t="n">
        <f aca="false">IF(AND(AY$50&gt;=$F$21,AY$50&lt;=$G$21),$E$21*IF($H$21="S-Curve",(COS(PI()*(AY$50-$F$21)/($G$21-$F$21+1))-COS(PI()*((AY$50-$F$21)+1)/($G$21-$F$21+1)))/2,1/($G$21-$F$21+1)),0)</f>
        <v>0</v>
      </c>
      <c r="AZ60" s="7" t="n">
        <f aca="false">IF(AND(AZ$50&gt;=$F$21,AZ$50&lt;=$G$21),$E$21*IF($H$21="S-Curve",(COS(PI()*(AZ$50-$F$21)/($G$21-$F$21+1))-COS(PI()*((AZ$50-$F$21)+1)/($G$21-$F$21+1)))/2,1/($G$21-$F$21+1)),0)</f>
        <v>0</v>
      </c>
      <c r="BA60" s="7" t="n">
        <f aca="false">IF(AND(BA$50&gt;=$F$21,BA$50&lt;=$G$21),$E$21*IF($H$21="S-Curve",(COS(PI()*(BA$50-$F$21)/($G$21-$F$21+1))-COS(PI()*((BA$50-$F$21)+1)/($G$21-$F$21+1)))/2,1/($G$21-$F$21+1)),0)</f>
        <v>0</v>
      </c>
      <c r="BB60" s="7" t="n">
        <f aca="false">IF(AND(BB$50&gt;=$F$21,BB$50&lt;=$G$21),$E$21*IF($H$21="S-Curve",(COS(PI()*(BB$50-$F$21)/($G$21-$F$21+1))-COS(PI()*((BB$50-$F$21)+1)/($G$21-$F$21+1)))/2,1/($G$21-$F$21+1)),0)</f>
        <v>0</v>
      </c>
      <c r="BC60" s="7" t="n">
        <f aca="false">IF(AND(BC$50&gt;=$F$21,BC$50&lt;=$G$21),$E$21*IF($H$21="S-Curve",(COS(PI()*(BC$50-$F$21)/($G$21-$F$21+1))-COS(PI()*((BC$50-$F$21)+1)/($G$21-$F$21+1)))/2,1/($G$21-$F$21+1)),0)</f>
        <v>0</v>
      </c>
      <c r="BD60" s="7" t="n">
        <f aca="false">IF(AND(BD$50&gt;=$F$21,BD$50&lt;=$G$21),$E$21*IF($H$21="S-Curve",(COS(PI()*(BD$50-$F$21)/($G$21-$F$21+1))-COS(PI()*((BD$50-$F$21)+1)/($G$21-$F$21+1)))/2,1/($G$21-$F$21+1)),0)</f>
        <v>0</v>
      </c>
      <c r="BE60" s="7" t="n">
        <f aca="false">IF(AND(BE$50&gt;=$F$21,BE$50&lt;=$G$21),$E$21*IF($H$21="S-Curve",(COS(PI()*(BE$50-$F$21)/($G$21-$F$21+1))-COS(PI()*((BE$50-$F$21)+1)/($G$21-$F$21+1)))/2,1/($G$21-$F$21+1)),0)</f>
        <v>0</v>
      </c>
      <c r="BF60" s="7" t="n">
        <f aca="false">IF(AND(BF$50&gt;=$F$21,BF$50&lt;=$G$21),$E$21*IF($H$21="S-Curve",(COS(PI()*(BF$50-$F$21)/($G$21-$F$21+1))-COS(PI()*((BF$50-$F$21)+1)/($G$21-$F$21+1)))/2,1/($G$21-$F$21+1)),0)</f>
        <v>0</v>
      </c>
      <c r="BG60" s="7" t="n">
        <f aca="false">IF(AND(BG$50&gt;=$F$21,BG$50&lt;=$G$21),$E$21*IF($H$21="S-Curve",(COS(PI()*(BG$50-$F$21)/($G$21-$F$21+1))-COS(PI()*((BG$50-$F$21)+1)/($G$21-$F$21+1)))/2,1/($G$21-$F$21+1)),0)</f>
        <v>0</v>
      </c>
      <c r="BH60" s="7" t="n">
        <f aca="false">IF(AND(BH$50&gt;=$F$21,BH$50&lt;=$G$21),$E$21*IF($H$21="S-Curve",(COS(PI()*(BH$50-$F$21)/($G$21-$F$21+1))-COS(PI()*((BH$50-$F$21)+1)/($G$21-$F$21+1)))/2,1/($G$21-$F$21+1)),0)</f>
        <v>0</v>
      </c>
      <c r="BI60" s="7" t="n">
        <f aca="false">IF(AND(BI$50&gt;=$F$21,BI$50&lt;=$G$21),$E$21*IF($H$21="S-Curve",(COS(PI()*(BI$50-$F$21)/($G$21-$F$21+1))-COS(PI()*((BI$50-$F$21)+1)/($G$21-$F$21+1)))/2,1/($G$21-$F$21+1)),0)</f>
        <v>0</v>
      </c>
      <c r="BJ60" s="7" t="n">
        <f aca="false">IF(AND(BJ$50&gt;=$F$21,BJ$50&lt;=$G$21),$E$21*IF($H$21="S-Curve",(COS(PI()*(BJ$50-$F$21)/($G$21-$F$21+1))-COS(PI()*((BJ$50-$F$21)+1)/($G$21-$F$21+1)))/2,1/($G$21-$F$21+1)),0)</f>
        <v>0</v>
      </c>
      <c r="BK60" s="7" t="n">
        <f aca="false">IF(AND(BK$50&gt;=$F$21,BK$50&lt;=$G$21),$E$21*IF($H$21="S-Curve",(COS(PI()*(BK$50-$F$21)/($G$21-$F$21+1))-COS(PI()*((BK$50-$F$21)+1)/($G$21-$F$21+1)))/2,1/($G$21-$F$21+1)),0)</f>
        <v>0</v>
      </c>
      <c r="BL60" s="7" t="n">
        <f aca="false">IF(AND(BL$50&gt;=$F$21,BL$50&lt;=$G$21),$E$21*IF($H$21="S-Curve",(COS(PI()*(BL$50-$F$21)/($G$21-$F$21+1))-COS(PI()*((BL$50-$F$21)+1)/($G$21-$F$21+1)))/2,1/($G$21-$F$21+1)),0)</f>
        <v>0</v>
      </c>
      <c r="BM60" s="7" t="n">
        <f aca="false">IF(AND(BM$50&gt;=$F$21,BM$50&lt;=$G$21),$E$21*IF($H$21="S-Curve",(COS(PI()*(BM$50-$F$21)/($G$21-$F$21+1))-COS(PI()*((BM$50-$F$21)+1)/($G$21-$F$21+1)))/2,1/($G$21-$F$21+1)),0)</f>
        <v>0</v>
      </c>
      <c r="BN60" s="7" t="n">
        <f aca="false">IF(AND(BN$50&gt;=$F$21,BN$50&lt;=$G$21),$E$21*IF($H$21="S-Curve",(COS(PI()*(BN$50-$F$21)/($G$21-$F$21+1))-COS(PI()*((BN$50-$F$21)+1)/($G$21-$F$21+1)))/2,1/($G$21-$F$21+1)),0)</f>
        <v>0</v>
      </c>
      <c r="BO60" s="7" t="n">
        <f aca="false">IF(AND(BO$50&gt;=$F$21,BO$50&lt;=$G$21),$E$21*IF($H$21="S-Curve",(COS(PI()*(BO$50-$F$21)/($G$21-$F$21+1))-COS(PI()*((BO$50-$F$21)+1)/($G$21-$F$21+1)))/2,1/($G$21-$F$21+1)),0)</f>
        <v>0</v>
      </c>
      <c r="BP60" s="7" t="n">
        <f aca="false">IF(AND(BP$50&gt;=$F$21,BP$50&lt;=$G$21),$E$21*IF($H$21="S-Curve",(COS(PI()*(BP$50-$F$21)/($G$21-$F$21+1))-COS(PI()*((BP$50-$F$21)+1)/($G$21-$F$21+1)))/2,1/($G$21-$F$21+1)),0)</f>
        <v>0</v>
      </c>
      <c r="BQ60" s="7" t="n">
        <f aca="false">IF(AND(BQ$50&gt;=$F$21,BQ$50&lt;=$G$21),$E$21*IF($H$21="S-Curve",(COS(PI()*(BQ$50-$F$21)/($G$21-$F$21+1))-COS(PI()*((BQ$50-$F$21)+1)/($G$21-$F$21+1)))/2,1/($G$21-$F$21+1)),0)</f>
        <v>0</v>
      </c>
      <c r="BR60" s="7" t="n">
        <f aca="false">IF(AND(BR$50&gt;=$F$21,BR$50&lt;=$G$21),$E$21*IF($H$21="S-Curve",(COS(PI()*(BR$50-$F$21)/($G$21-$F$21+1))-COS(PI()*((BR$50-$F$21)+1)/($G$21-$F$21+1)))/2,1/($G$21-$F$21+1)),0)</f>
        <v>0</v>
      </c>
      <c r="BS60" s="7" t="n">
        <f aca="false">IF(AND(BS$50&gt;=$F$21,BS$50&lt;=$G$21),$E$21*IF($H$21="S-Curve",(COS(PI()*(BS$50-$F$21)/($G$21-$F$21+1))-COS(PI()*((BS$50-$F$21)+1)/($G$21-$F$21+1)))/2,1/($G$21-$F$21+1)),0)</f>
        <v>0</v>
      </c>
      <c r="BT60" s="7" t="n">
        <f aca="false">IF(AND(BT$50&gt;=$F$21,BT$50&lt;=$G$21),$E$21*IF($H$21="S-Curve",(COS(PI()*(BT$50-$F$21)/($G$21-$F$21+1))-COS(PI()*((BT$50-$F$21)+1)/($G$21-$F$21+1)))/2,1/($G$21-$F$21+1)),0)</f>
        <v>0</v>
      </c>
      <c r="BU60" s="7" t="n">
        <f aca="false">IF(AND(BU$50&gt;=$F$21,BU$50&lt;=$G$21),$E$21*IF($H$21="S-Curve",(COS(PI()*(BU$50-$F$21)/($G$21-$F$21+1))-COS(PI()*((BU$50-$F$21)+1)/($G$21-$F$21+1)))/2,1/($G$21-$F$21+1)),0)</f>
        <v>0</v>
      </c>
      <c r="BV60" s="7" t="n">
        <f aca="false">IF(AND(BV$50&gt;=$F$21,BV$50&lt;=$G$21),$E$21*IF($H$21="S-Curve",(COS(PI()*(BV$50-$F$21)/($G$21-$F$21+1))-COS(PI()*((BV$50-$F$21)+1)/($G$21-$F$21+1)))/2,1/($G$21-$F$21+1)),0)</f>
        <v>0</v>
      </c>
      <c r="BW60" s="7" t="n">
        <f aca="false">IF(AND(BW$50&gt;=$F$21,BW$50&lt;=$G$21),$E$21*IF($H$21="S-Curve",(COS(PI()*(BW$50-$F$21)/($G$21-$F$21+1))-COS(PI()*((BW$50-$F$21)+1)/($G$21-$F$21+1)))/2,1/($G$21-$F$21+1)),0)</f>
        <v>0</v>
      </c>
      <c r="BX60" s="7" t="n">
        <f aca="false">IF(AND(BX$50&gt;=$F$21,BX$50&lt;=$G$21),$E$21*IF($H$21="S-Curve",(COS(PI()*(BX$50-$F$21)/($G$21-$F$21+1))-COS(PI()*((BX$50-$F$21)+1)/($G$21-$F$21+1)))/2,1/($G$21-$F$21+1)),0)</f>
        <v>0</v>
      </c>
      <c r="BY60" s="7" t="n">
        <f aca="false">IF(AND(BY$50&gt;=$F$21,BY$50&lt;=$G$21),$E$21*IF($H$21="S-Curve",(COS(PI()*(BY$50-$F$21)/($G$21-$F$21+1))-COS(PI()*((BY$50-$F$21)+1)/($G$21-$F$21+1)))/2,1/($G$21-$F$21+1)),0)</f>
        <v>0</v>
      </c>
      <c r="BZ60" s="7" t="n">
        <f aca="false">IF(AND(BZ$50&gt;=$F$21,BZ$50&lt;=$G$21),$E$21*IF($H$21="S-Curve",(COS(PI()*(BZ$50-$F$21)/($G$21-$F$21+1))-COS(PI()*((BZ$50-$F$21)+1)/($G$21-$F$21+1)))/2,1/($G$21-$F$21+1)),0)</f>
        <v>0</v>
      </c>
      <c r="CA60" s="7" t="n">
        <f aca="false">IF(AND(CA$50&gt;=$F$21,CA$50&lt;=$G$21),$E$21*IF($H$21="S-Curve",(COS(PI()*(CA$50-$F$21)/($G$21-$F$21+1))-COS(PI()*((CA$50-$F$21)+1)/($G$21-$F$21+1)))/2,1/($G$21-$F$21+1)),0)</f>
        <v>0</v>
      </c>
      <c r="CB60" s="7" t="n">
        <f aca="false">IF(AND(CB$50&gt;=$F$21,CB$50&lt;=$G$21),$E$21*IF($H$21="S-Curve",(COS(PI()*(CB$50-$F$21)/($G$21-$F$21+1))-COS(PI()*((CB$50-$F$21)+1)/($G$21-$F$21+1)))/2,1/($G$21-$F$21+1)),0)</f>
        <v>0</v>
      </c>
      <c r="CC60" s="7" t="n">
        <f aca="false">IF(AND(CC$50&gt;=$F$21,CC$50&lt;=$G$21),$E$21*IF($H$21="S-Curve",(COS(PI()*(CC$50-$F$21)/($G$21-$F$21+1))-COS(PI()*((CC$50-$F$21)+1)/($G$21-$F$21+1)))/2,1/($G$21-$F$21+1)),0)</f>
        <v>0</v>
      </c>
      <c r="CD60" s="7" t="n">
        <f aca="false">IF(AND(CD$50&gt;=$F$21,CD$50&lt;=$G$21),$E$21*IF($H$21="S-Curve",(COS(PI()*(CD$50-$F$21)/($G$21-$F$21+1))-COS(PI()*((CD$50-$F$21)+1)/($G$21-$F$21+1)))/2,1/($G$21-$F$21+1)),0)</f>
        <v>0</v>
      </c>
      <c r="CE60" s="7" t="n">
        <f aca="false">IF(AND(CE$50&gt;=$F$21,CE$50&lt;=$G$21),$E$21*IF($H$21="S-Curve",(COS(PI()*(CE$50-$F$21)/($G$21-$F$21+1))-COS(PI()*((CE$50-$F$21)+1)/($G$21-$F$21+1)))/2,1/($G$21-$F$21+1)),0)</f>
        <v>0</v>
      </c>
      <c r="CF60" s="7" t="n">
        <f aca="false">IF(AND(CF$50&gt;=$F$21,CF$50&lt;=$G$21),$E$21*IF($H$21="S-Curve",(COS(PI()*(CF$50-$F$21)/($G$21-$F$21+1))-COS(PI()*((CF$50-$F$21)+1)/($G$21-$F$21+1)))/2,1/($G$21-$F$21+1)),0)</f>
        <v>0</v>
      </c>
      <c r="CG60" s="7" t="n">
        <f aca="false">IF(AND(CG$50&gt;=$F$21,CG$50&lt;=$G$21),$E$21*IF($H$21="S-Curve",(COS(PI()*(CG$50-$F$21)/($G$21-$F$21+1))-COS(PI()*((CG$50-$F$21)+1)/($G$21-$F$21+1)))/2,1/($G$21-$F$21+1)),0)</f>
        <v>0</v>
      </c>
      <c r="CH60" s="7" t="n">
        <f aca="false">IF(AND(CH$50&gt;=$F$21,CH$50&lt;=$G$21),$E$21*IF($H$21="S-Curve",(COS(PI()*(CH$50-$F$21)/($G$21-$F$21+1))-COS(PI()*((CH$50-$F$21)+1)/($G$21-$F$21+1)))/2,1/($G$21-$F$21+1)),0)</f>
        <v>0</v>
      </c>
      <c r="CI60" s="7" t="n">
        <f aca="false">IF(AND(CI$50&gt;=$F$21,CI$50&lt;=$G$21),$E$21*IF($H$21="S-Curve",(COS(PI()*(CI$50-$F$21)/($G$21-$F$21+1))-COS(PI()*((CI$50-$F$21)+1)/($G$21-$F$21+1)))/2,1/($G$21-$F$21+1)),0)</f>
        <v>0</v>
      </c>
      <c r="CJ60" s="7" t="n">
        <f aca="false">IF(AND(CJ$50&gt;=$F$21,CJ$50&lt;=$G$21),$E$21*IF($H$21="S-Curve",(COS(PI()*(CJ$50-$F$21)/($G$21-$F$21+1))-COS(PI()*((CJ$50-$F$21)+1)/($G$21-$F$21+1)))/2,1/($G$21-$F$21+1)),0)</f>
        <v>0</v>
      </c>
      <c r="CK60" s="7" t="n">
        <f aca="false">IF(AND(CK$50&gt;=$F$21,CK$50&lt;=$G$21),$E$21*IF($H$21="S-Curve",(COS(PI()*(CK$50-$F$21)/($G$21-$F$21+1))-COS(PI()*((CK$50-$F$21)+1)/($G$21-$F$21+1)))/2,1/($G$21-$F$21+1)),0)</f>
        <v>0</v>
      </c>
      <c r="CL60" s="7" t="n">
        <f aca="false">IF(AND(CL$50&gt;=$F$21,CL$50&lt;=$G$21),$E$21*IF($H$21="S-Curve",(COS(PI()*(CL$50-$F$21)/($G$21-$F$21+1))-COS(PI()*((CL$50-$F$21)+1)/($G$21-$F$21+1)))/2,1/($G$21-$F$21+1)),0)</f>
        <v>0</v>
      </c>
      <c r="CM60" s="7" t="n">
        <f aca="false">IF(AND(CM$50&gt;=$F$21,CM$50&lt;=$G$21),$E$21*IF($H$21="S-Curve",(COS(PI()*(CM$50-$F$21)/($G$21-$F$21+1))-COS(PI()*((CM$50-$F$21)+1)/($G$21-$F$21+1)))/2,1/($G$21-$F$21+1)),0)</f>
        <v>0</v>
      </c>
      <c r="CN60" s="7" t="n">
        <f aca="false">IF(AND(CN$50&gt;=$F$21,CN$50&lt;=$G$21),$E$21*IF($H$21="S-Curve",(COS(PI()*(CN$50-$F$21)/($G$21-$F$21+1))-COS(PI()*((CN$50-$F$21)+1)/($G$21-$F$21+1)))/2,1/($G$21-$F$21+1)),0)</f>
        <v>0</v>
      </c>
      <c r="CO60" s="7" t="n">
        <f aca="false">IF(AND(CO$50&gt;=$F$21,CO$50&lt;=$G$21),$E$21*IF($H$21="S-Curve",(COS(PI()*(CO$50-$F$21)/($G$21-$F$21+1))-COS(PI()*((CO$50-$F$21)+1)/($G$21-$F$21+1)))/2,1/($G$21-$F$21+1)),0)</f>
        <v>0</v>
      </c>
      <c r="CP60" s="7" t="n">
        <f aca="false">IF(AND(CP$50&gt;=$F$21,CP$50&lt;=$G$21),$E$21*IF($H$21="S-Curve",(COS(PI()*(CP$50-$F$21)/($G$21-$F$21+1))-COS(PI()*((CP$50-$F$21)+1)/($G$21-$F$21+1)))/2,1/($G$21-$F$21+1)),0)</f>
        <v>0</v>
      </c>
      <c r="CQ60" s="7" t="n">
        <f aca="false">IF(AND(CQ$50&gt;=$F$21,CQ$50&lt;=$G$21),$E$21*IF($H$21="S-Curve",(COS(PI()*(CQ$50-$F$21)/($G$21-$F$21+1))-COS(PI()*((CQ$50-$F$21)+1)/($G$21-$F$21+1)))/2,1/($G$21-$F$21+1)),0)</f>
        <v>0</v>
      </c>
      <c r="CR60" s="7" t="n">
        <f aca="false">IF(AND(CR$50&gt;=$F$21,CR$50&lt;=$G$21),$E$21*IF($H$21="S-Curve",(COS(PI()*(CR$50-$F$21)/($G$21-$F$21+1))-COS(PI()*((CR$50-$F$21)+1)/($G$21-$F$21+1)))/2,1/($G$21-$F$21+1)),0)</f>
        <v>0</v>
      </c>
      <c r="CS60" s="7" t="n">
        <f aca="false">IF(AND(CS$50&gt;=$F$21,CS$50&lt;=$G$21),$E$21*IF($H$21="S-Curve",(COS(PI()*(CS$50-$F$21)/($G$21-$F$21+1))-COS(PI()*((CS$50-$F$21)+1)/($G$21-$F$21+1)))/2,1/($G$21-$F$21+1)),0)</f>
        <v>0</v>
      </c>
      <c r="CT60" s="7" t="n">
        <f aca="false">IF(AND(CT$50&gt;=$F$21,CT$50&lt;=$G$21),$E$21*IF($H$21="S-Curve",(COS(PI()*(CT$50-$F$21)/($G$21-$F$21+1))-COS(PI()*((CT$50-$F$21)+1)/($G$21-$F$21+1)))/2,1/($G$21-$F$21+1)),0)</f>
        <v>0</v>
      </c>
      <c r="CU60" s="7" t="n">
        <f aca="false">IF(AND(CU$50&gt;=$F$21,CU$50&lt;=$G$21),$E$21*IF($H$21="S-Curve",(COS(PI()*(CU$50-$F$21)/($G$21-$F$21+1))-COS(PI()*((CU$50-$F$21)+1)/($G$21-$F$21+1)))/2,1/($G$21-$F$21+1)),0)</f>
        <v>0</v>
      </c>
      <c r="CV60" s="7" t="n">
        <f aca="false">IF(AND(CV$50&gt;=$F$21,CV$50&lt;=$G$21),$E$21*IF($H$21="S-Curve",(COS(PI()*(CV$50-$F$21)/($G$21-$F$21+1))-COS(PI()*((CV$50-$F$21)+1)/($G$21-$F$21+1)))/2,1/($G$21-$F$21+1)),0)</f>
        <v>0</v>
      </c>
      <c r="CW60" s="7" t="n">
        <f aca="false">IF(AND(CW$50&gt;=$F$21,CW$50&lt;=$G$21),$E$21*IF($H$21="S-Curve",(COS(PI()*(CW$50-$F$21)/($G$21-$F$21+1))-COS(PI()*((CW$50-$F$21)+1)/($G$21-$F$21+1)))/2,1/($G$21-$F$21+1)),0)</f>
        <v>0</v>
      </c>
      <c r="CX60" s="7" t="n">
        <f aca="false">IF(AND(CX$50&gt;=$F$21,CX$50&lt;=$G$21),$E$21*IF($H$21="S-Curve",(COS(PI()*(CX$50-$F$21)/($G$21-$F$21+1))-COS(PI()*((CX$50-$F$21)+1)/($G$21-$F$21+1)))/2,1/($G$21-$F$21+1)),0)</f>
        <v>0</v>
      </c>
      <c r="CY60" s="7" t="n">
        <f aca="false">IF(AND(CY$50&gt;=$F$21,CY$50&lt;=$G$21),$E$21*IF($H$21="S-Curve",(COS(PI()*(CY$50-$F$21)/($G$21-$F$21+1))-COS(PI()*((CY$50-$F$21)+1)/($G$21-$F$21+1)))/2,1/($G$21-$F$21+1)),0)</f>
        <v>0</v>
      </c>
    </row>
    <row r="61" customFormat="false" ht="15" hidden="false" customHeight="false" outlineLevel="0" collapsed="false">
      <c r="B61" s="0" t="s">
        <v>77</v>
      </c>
      <c r="S61" s="7" t="n">
        <f aca="false">SUM(S54:S60)</f>
        <v>17640000</v>
      </c>
      <c r="T61" s="7" t="n">
        <f aca="false">SUM(T54:T60)</f>
        <v>2921945.51343476</v>
      </c>
      <c r="U61" s="7" t="n">
        <f aca="false">SUM(U54:U60)</f>
        <v>4351377.76152924</v>
      </c>
      <c r="V61" s="7" t="n">
        <f aca="false">SUM(V54:V60)</f>
        <v>5697873.49664379</v>
      </c>
      <c r="W61" s="7" t="n">
        <f aca="false">SUM(W54:W60)</f>
        <v>9029565.53953093</v>
      </c>
      <c r="X61" s="7" t="n">
        <f aca="false">SUM(X54:X60)</f>
        <v>14228490.9784739</v>
      </c>
      <c r="Y61" s="7" t="n">
        <f aca="false">SUM(Y54:Y60)</f>
        <v>18994790.3036695</v>
      </c>
      <c r="Z61" s="7" t="n">
        <f aca="false">SUM(Z54:Z60)</f>
        <v>23164116.274111</v>
      </c>
      <c r="AA61" s="7" t="n">
        <f aca="false">SUM(AA54:AA60)</f>
        <v>26593447.7347043</v>
      </c>
      <c r="AB61" s="7" t="n">
        <f aca="false">SUM(AB54:AB60)</f>
        <v>29166015.6081665</v>
      </c>
      <c r="AC61" s="7" t="n">
        <f aca="false">SUM(AC54:AC60)</f>
        <v>30795292.8543118</v>
      </c>
      <c r="AD61" s="7" t="n">
        <f aca="false">SUM(AD54:AD60)</f>
        <v>31427911.6212315</v>
      </c>
      <c r="AE61" s="7" t="n">
        <f aca="false">SUM(AE54:AE60)</f>
        <v>34099954.5054237</v>
      </c>
      <c r="AF61" s="7" t="n">
        <f aca="false">SUM(AF54:AF60)</f>
        <v>32719290.2277916</v>
      </c>
      <c r="AG61" s="7" t="n">
        <f aca="false">SUM(AG54:AG60)</f>
        <v>30392122.0011841</v>
      </c>
      <c r="AH61" s="7" t="n">
        <f aca="false">SUM(AH54:AH60)</f>
        <v>27202869.6890436</v>
      </c>
      <c r="AI61" s="7" t="n">
        <f aca="false">SUM(AI54:AI60)</f>
        <v>23265640.2596854</v>
      </c>
      <c r="AJ61" s="7" t="n">
        <f aca="false">SUM(AJ54:AJ60)</f>
        <v>19448844.4980237</v>
      </c>
      <c r="AK61" s="7" t="n">
        <f aca="false">SUM(AK54:AK60)</f>
        <v>15884776.3159887</v>
      </c>
      <c r="AL61" s="7" t="n">
        <f aca="false">SUM(AL54:AL60)</f>
        <v>11965008.8668936</v>
      </c>
      <c r="AM61" s="7" t="n">
        <f aca="false">SUM(AM54:AM60)</f>
        <v>7821768.30441606</v>
      </c>
      <c r="AN61" s="7" t="n">
        <f aca="false">SUM(AN54:AN60)</f>
        <v>5597110.49891334</v>
      </c>
      <c r="AO61" s="7" t="n">
        <f aca="false">SUM(AO54:AO60)</f>
        <v>5365287.14682902</v>
      </c>
      <c r="AP61" s="7" t="n">
        <f aca="false">SUM(AP54:AP60)</f>
        <v>0</v>
      </c>
      <c r="AQ61" s="7" t="n">
        <f aca="false">SUM(AQ54:AQ60)</f>
        <v>0</v>
      </c>
      <c r="AR61" s="7" t="n">
        <f aca="false">SUM(AR54:AR60)</f>
        <v>0</v>
      </c>
      <c r="AS61" s="7" t="n">
        <f aca="false">SUM(AS54:AS60)</f>
        <v>0</v>
      </c>
      <c r="AT61" s="7" t="n">
        <f aca="false">SUM(AT54:AT60)</f>
        <v>0</v>
      </c>
      <c r="AU61" s="7" t="n">
        <f aca="false">SUM(AU54:AU60)</f>
        <v>0</v>
      </c>
      <c r="AV61" s="7" t="n">
        <f aca="false">SUM(AV54:AV60)</f>
        <v>0</v>
      </c>
      <c r="AW61" s="7" t="n">
        <f aca="false">SUM(AW54:AW60)</f>
        <v>0</v>
      </c>
      <c r="AX61" s="7" t="n">
        <f aca="false">SUM(AX54:AX60)</f>
        <v>0</v>
      </c>
      <c r="AY61" s="7" t="n">
        <f aca="false">SUM(AY54:AY60)</f>
        <v>0</v>
      </c>
      <c r="AZ61" s="7" t="n">
        <f aca="false">SUM(AZ54:AZ60)</f>
        <v>0</v>
      </c>
      <c r="BA61" s="7" t="n">
        <f aca="false">SUM(BA54:BA60)</f>
        <v>0</v>
      </c>
      <c r="BB61" s="7" t="n">
        <f aca="false">SUM(BB54:BB60)</f>
        <v>0</v>
      </c>
      <c r="BC61" s="7" t="n">
        <f aca="false">SUM(BC54:BC60)</f>
        <v>0</v>
      </c>
      <c r="BD61" s="7" t="n">
        <f aca="false">SUM(BD54:BD60)</f>
        <v>0</v>
      </c>
      <c r="BE61" s="7" t="n">
        <f aca="false">SUM(BE54:BE60)</f>
        <v>0</v>
      </c>
      <c r="BF61" s="7" t="n">
        <f aca="false">SUM(BF54:BF60)</f>
        <v>0</v>
      </c>
      <c r="BG61" s="7" t="n">
        <f aca="false">SUM(BG54:BG60)</f>
        <v>0</v>
      </c>
      <c r="BH61" s="7" t="n">
        <f aca="false">SUM(BH54:BH60)</f>
        <v>0</v>
      </c>
      <c r="BI61" s="7" t="n">
        <f aca="false">SUM(BI54:BI60)</f>
        <v>0</v>
      </c>
      <c r="BJ61" s="7" t="n">
        <f aca="false">SUM(BJ54:BJ60)</f>
        <v>0</v>
      </c>
      <c r="BK61" s="7" t="n">
        <f aca="false">SUM(BK54:BK60)</f>
        <v>0</v>
      </c>
      <c r="BL61" s="7" t="n">
        <f aca="false">SUM(BL54:BL60)</f>
        <v>0</v>
      </c>
      <c r="BM61" s="7" t="n">
        <f aca="false">SUM(BM54:BM60)</f>
        <v>0</v>
      </c>
      <c r="BN61" s="7" t="n">
        <f aca="false">SUM(BN54:BN60)</f>
        <v>0</v>
      </c>
      <c r="BO61" s="7" t="n">
        <f aca="false">SUM(BO54:BO60)</f>
        <v>0</v>
      </c>
      <c r="BP61" s="7" t="n">
        <f aca="false">SUM(BP54:BP60)</f>
        <v>0</v>
      </c>
      <c r="BQ61" s="7" t="n">
        <f aca="false">SUM(BQ54:BQ60)</f>
        <v>0</v>
      </c>
      <c r="BR61" s="7" t="n">
        <f aca="false">SUM(BR54:BR60)</f>
        <v>0</v>
      </c>
      <c r="BS61" s="7" t="n">
        <f aca="false">SUM(BS54:BS60)</f>
        <v>0</v>
      </c>
      <c r="BT61" s="7" t="n">
        <f aca="false">SUM(BT54:BT60)</f>
        <v>0</v>
      </c>
      <c r="BU61" s="7" t="n">
        <f aca="false">SUM(BU54:BU60)</f>
        <v>0</v>
      </c>
      <c r="BV61" s="7" t="n">
        <f aca="false">SUM(BV54:BV60)</f>
        <v>0</v>
      </c>
      <c r="BW61" s="7" t="n">
        <f aca="false">SUM(BW54:BW60)</f>
        <v>0</v>
      </c>
      <c r="BX61" s="7" t="n">
        <f aca="false">SUM(BX54:BX60)</f>
        <v>0</v>
      </c>
      <c r="BY61" s="7" t="n">
        <f aca="false">SUM(BY54:BY60)</f>
        <v>0</v>
      </c>
      <c r="BZ61" s="7" t="n">
        <f aca="false">SUM(BZ54:BZ60)</f>
        <v>0</v>
      </c>
      <c r="CA61" s="7" t="n">
        <f aca="false">SUM(CA54:CA60)</f>
        <v>0</v>
      </c>
      <c r="CB61" s="7" t="n">
        <f aca="false">SUM(CB54:CB60)</f>
        <v>0</v>
      </c>
      <c r="CC61" s="7" t="n">
        <f aca="false">SUM(CC54:CC60)</f>
        <v>0</v>
      </c>
      <c r="CD61" s="7" t="n">
        <f aca="false">SUM(CD54:CD60)</f>
        <v>0</v>
      </c>
      <c r="CE61" s="7" t="n">
        <f aca="false">SUM(CE54:CE60)</f>
        <v>0</v>
      </c>
      <c r="CF61" s="7" t="n">
        <f aca="false">SUM(CF54:CF60)</f>
        <v>0</v>
      </c>
      <c r="CG61" s="7" t="n">
        <f aca="false">SUM(CG54:CG60)</f>
        <v>0</v>
      </c>
      <c r="CH61" s="7" t="n">
        <f aca="false">SUM(CH54:CH60)</f>
        <v>0</v>
      </c>
      <c r="CI61" s="7" t="n">
        <f aca="false">SUM(CI54:CI60)</f>
        <v>0</v>
      </c>
      <c r="CJ61" s="7" t="n">
        <f aca="false">SUM(CJ54:CJ60)</f>
        <v>0</v>
      </c>
      <c r="CK61" s="7" t="n">
        <f aca="false">SUM(CK54:CK60)</f>
        <v>0</v>
      </c>
      <c r="CL61" s="7" t="n">
        <f aca="false">SUM(CL54:CL60)</f>
        <v>0</v>
      </c>
      <c r="CM61" s="7" t="n">
        <f aca="false">SUM(CM54:CM60)</f>
        <v>0</v>
      </c>
      <c r="CN61" s="7" t="n">
        <f aca="false">SUM(CN54:CN60)</f>
        <v>0</v>
      </c>
      <c r="CO61" s="7" t="n">
        <f aca="false">SUM(CO54:CO60)</f>
        <v>0</v>
      </c>
      <c r="CP61" s="7" t="n">
        <f aca="false">SUM(CP54:CP60)</f>
        <v>0</v>
      </c>
      <c r="CQ61" s="7" t="n">
        <f aca="false">SUM(CQ54:CQ60)</f>
        <v>0</v>
      </c>
      <c r="CR61" s="7" t="n">
        <f aca="false">SUM(CR54:CR60)</f>
        <v>0</v>
      </c>
      <c r="CS61" s="7" t="n">
        <f aca="false">SUM(CS54:CS60)</f>
        <v>0</v>
      </c>
      <c r="CT61" s="7" t="n">
        <f aca="false">SUM(CT54:CT60)</f>
        <v>0</v>
      </c>
      <c r="CU61" s="7" t="n">
        <f aca="false">SUM(CU54:CU60)</f>
        <v>0</v>
      </c>
      <c r="CV61" s="7" t="n">
        <f aca="false">SUM(CV54:CV60)</f>
        <v>0</v>
      </c>
      <c r="CW61" s="7" t="n">
        <f aca="false">SUM(CW54:CW60)</f>
        <v>0</v>
      </c>
      <c r="CX61" s="7" t="n">
        <f aca="false">SUM(CX54:CX60)</f>
        <v>0</v>
      </c>
      <c r="CY61" s="7" t="n">
        <f aca="false">SUM(CY54:CY60)</f>
        <v>0</v>
      </c>
    </row>
    <row r="63" customFormat="false" ht="15" hidden="false" customHeight="false" outlineLevel="0" collapsed="false">
      <c r="B63" s="0" t="s">
        <v>78</v>
      </c>
      <c r="S63" s="0" t="n">
        <f aca="false">$C$29*MAX(0,MIN(1,(S$50-$F$29+1)/$G$29))+$C$30*MAX(0,MIN(1,(S$50-$F$30+1)/$G$30))+$C$31*MAX(0,MIN(1,(S$50-$F$31+1)/$G$31))+$C$32*MAX(0,MIN(1,(S$50-$F$32+1)/$G$32))</f>
        <v>0</v>
      </c>
      <c r="T63" s="0" t="n">
        <f aca="false">$C$29*MAX(0,MIN(1,(T$50-$F$29+1)/$G$29))+$C$30*MAX(0,MIN(1,(T$50-$F$30+1)/$G$30))+$C$31*MAX(0,MIN(1,(T$50-$F$31+1)/$G$31))+$C$32*MAX(0,MIN(1,(T$50-$F$32+1)/$G$32))</f>
        <v>0</v>
      </c>
      <c r="U63" s="0" t="n">
        <f aca="false">$C$29*MAX(0,MIN(1,(U$50-$F$29+1)/$G$29))+$C$30*MAX(0,MIN(1,(U$50-$F$30+1)/$G$30))+$C$31*MAX(0,MIN(1,(U$50-$F$31+1)/$G$31))+$C$32*MAX(0,MIN(1,(U$50-$F$32+1)/$G$32))</f>
        <v>0</v>
      </c>
      <c r="V63" s="0" t="n">
        <f aca="false">$C$29*MAX(0,MIN(1,(V$50-$F$29+1)/$G$29))+$C$30*MAX(0,MIN(1,(V$50-$F$30+1)/$G$30))+$C$31*MAX(0,MIN(1,(V$50-$F$31+1)/$G$31))+$C$32*MAX(0,MIN(1,(V$50-$F$32+1)/$G$32))</f>
        <v>0</v>
      </c>
      <c r="W63" s="0" t="n">
        <f aca="false">$C$29*MAX(0,MIN(1,(W$50-$F$29+1)/$G$29))+$C$30*MAX(0,MIN(1,(W$50-$F$30+1)/$G$30))+$C$31*MAX(0,MIN(1,(W$50-$F$31+1)/$G$31))+$C$32*MAX(0,MIN(1,(W$50-$F$32+1)/$G$32))</f>
        <v>0</v>
      </c>
      <c r="X63" s="0" t="n">
        <f aca="false">$C$29*MAX(0,MIN(1,(X$50-$F$29+1)/$G$29))+$C$30*MAX(0,MIN(1,(X$50-$F$30+1)/$G$30))+$C$31*MAX(0,MIN(1,(X$50-$F$31+1)/$G$31))+$C$32*MAX(0,MIN(1,(X$50-$F$32+1)/$G$32))</f>
        <v>0</v>
      </c>
      <c r="Y63" s="0" t="n">
        <f aca="false">$C$29*MAX(0,MIN(1,(Y$50-$F$29+1)/$G$29))+$C$30*MAX(0,MIN(1,(Y$50-$F$30+1)/$G$30))+$C$31*MAX(0,MIN(1,(Y$50-$F$31+1)/$G$31))+$C$32*MAX(0,MIN(1,(Y$50-$F$32+1)/$G$32))</f>
        <v>0</v>
      </c>
      <c r="Z63" s="0" t="n">
        <f aca="false">$C$29*MAX(0,MIN(1,(Z$50-$F$29+1)/$G$29))+$C$30*MAX(0,MIN(1,(Z$50-$F$30+1)/$G$30))+$C$31*MAX(0,MIN(1,(Z$50-$F$31+1)/$G$31))+$C$32*MAX(0,MIN(1,(Z$50-$F$32+1)/$G$32))</f>
        <v>0</v>
      </c>
      <c r="AA63" s="0" t="n">
        <f aca="false">$C$29*MAX(0,MIN(1,(AA$50-$F$29+1)/$G$29))+$C$30*MAX(0,MIN(1,(AA$50-$F$30+1)/$G$30))+$C$31*MAX(0,MIN(1,(AA$50-$F$31+1)/$G$31))+$C$32*MAX(0,MIN(1,(AA$50-$F$32+1)/$G$32))</f>
        <v>0</v>
      </c>
      <c r="AB63" s="0" t="n">
        <f aca="false">$C$29*MAX(0,MIN(1,(AB$50-$F$29+1)/$G$29))+$C$30*MAX(0,MIN(1,(AB$50-$F$30+1)/$G$30))+$C$31*MAX(0,MIN(1,(AB$50-$F$31+1)/$G$31))+$C$32*MAX(0,MIN(1,(AB$50-$F$32+1)/$G$32))</f>
        <v>0</v>
      </c>
      <c r="AC63" s="0" t="n">
        <f aca="false">$C$29*MAX(0,MIN(1,(AC$50-$F$29+1)/$G$29))+$C$30*MAX(0,MIN(1,(AC$50-$F$30+1)/$G$30))+$C$31*MAX(0,MIN(1,(AC$50-$F$31+1)/$G$31))+$C$32*MAX(0,MIN(1,(AC$50-$F$32+1)/$G$32))</f>
        <v>0</v>
      </c>
      <c r="AD63" s="0" t="n">
        <f aca="false">$C$29*MAX(0,MIN(1,(AD$50-$F$29+1)/$G$29))+$C$30*MAX(0,MIN(1,(AD$50-$F$30+1)/$G$30))+$C$31*MAX(0,MIN(1,(AD$50-$F$31+1)/$G$31))+$C$32*MAX(0,MIN(1,(AD$50-$F$32+1)/$G$32))</f>
        <v>0</v>
      </c>
      <c r="AE63" s="0" t="n">
        <f aca="false">$C$29*MAX(0,MIN(1,(AE$50-$F$29+1)/$G$29))+$C$30*MAX(0,MIN(1,(AE$50-$F$30+1)/$G$30))+$C$31*MAX(0,MIN(1,(AE$50-$F$31+1)/$G$31))+$C$32*MAX(0,MIN(1,(AE$50-$F$32+1)/$G$32))</f>
        <v>0</v>
      </c>
      <c r="AF63" s="0" t="n">
        <f aca="false">$C$29*MAX(0,MIN(1,(AF$50-$F$29+1)/$G$29))+$C$30*MAX(0,MIN(1,(AF$50-$F$30+1)/$G$30))+$C$31*MAX(0,MIN(1,(AF$50-$F$31+1)/$G$31))+$C$32*MAX(0,MIN(1,(AF$50-$F$32+1)/$G$32))</f>
        <v>0</v>
      </c>
      <c r="AG63" s="0" t="n">
        <f aca="false">$C$29*MAX(0,MIN(1,(AG$50-$F$29+1)/$G$29))+$C$30*MAX(0,MIN(1,(AG$50-$F$30+1)/$G$30))+$C$31*MAX(0,MIN(1,(AG$50-$F$31+1)/$G$31))+$C$32*MAX(0,MIN(1,(AG$50-$F$32+1)/$G$32))</f>
        <v>0</v>
      </c>
      <c r="AH63" s="0" t="n">
        <f aca="false">$C$29*MAX(0,MIN(1,(AH$50-$F$29+1)/$G$29))+$C$30*MAX(0,MIN(1,(AH$50-$F$30+1)/$G$30))+$C$31*MAX(0,MIN(1,(AH$50-$F$31+1)/$G$31))+$C$32*MAX(0,MIN(1,(AH$50-$F$32+1)/$G$32))</f>
        <v>0</v>
      </c>
      <c r="AI63" s="0" t="n">
        <f aca="false">$C$29*MAX(0,MIN(1,(AI$50-$F$29+1)/$G$29))+$C$30*MAX(0,MIN(1,(AI$50-$F$30+1)/$G$30))+$C$31*MAX(0,MIN(1,(AI$50-$F$31+1)/$G$31))+$C$32*MAX(0,MIN(1,(AI$50-$F$32+1)/$G$32))</f>
        <v>0</v>
      </c>
      <c r="AJ63" s="0" t="n">
        <f aca="false">$C$29*MAX(0,MIN(1,(AJ$50-$F$29+1)/$G$29))+$C$30*MAX(0,MIN(1,(AJ$50-$F$30+1)/$G$30))+$C$31*MAX(0,MIN(1,(AJ$50-$F$31+1)/$G$31))+$C$32*MAX(0,MIN(1,(AJ$50-$F$32+1)/$G$32))</f>
        <v>0</v>
      </c>
      <c r="AK63" s="0" t="n">
        <f aca="false">$C$29*MAX(0,MIN(1,(AK$50-$F$29+1)/$G$29))+$C$30*MAX(0,MIN(1,(AK$50-$F$30+1)/$G$30))+$C$31*MAX(0,MIN(1,(AK$50-$F$31+1)/$G$31))+$C$32*MAX(0,MIN(1,(AK$50-$F$32+1)/$G$32))</f>
        <v>0</v>
      </c>
      <c r="AL63" s="0" t="n">
        <f aca="false">$C$29*MAX(0,MIN(1,(AL$50-$F$29+1)/$G$29))+$C$30*MAX(0,MIN(1,(AL$50-$F$30+1)/$G$30))+$C$31*MAX(0,MIN(1,(AL$50-$F$31+1)/$G$31))+$C$32*MAX(0,MIN(1,(AL$50-$F$32+1)/$G$32))</f>
        <v>0</v>
      </c>
      <c r="AM63" s="0" t="n">
        <f aca="false">$C$29*MAX(0,MIN(1,(AM$50-$F$29+1)/$G$29))+$C$30*MAX(0,MIN(1,(AM$50-$F$30+1)/$G$30))+$C$31*MAX(0,MIN(1,(AM$50-$F$31+1)/$G$31))+$C$32*MAX(0,MIN(1,(AM$50-$F$32+1)/$G$32))</f>
        <v>1000</v>
      </c>
      <c r="AN63" s="0" t="n">
        <f aca="false">$C$29*MAX(0,MIN(1,(AN$50-$F$29+1)/$G$29))+$C$30*MAX(0,MIN(1,(AN$50-$F$30+1)/$G$30))+$C$31*MAX(0,MIN(1,(AN$50-$F$31+1)/$G$31))+$C$32*MAX(0,MIN(1,(AN$50-$F$32+1)/$G$32))</f>
        <v>2000</v>
      </c>
      <c r="AO63" s="0" t="n">
        <f aca="false">$C$29*MAX(0,MIN(1,(AO$50-$F$29+1)/$G$29))+$C$30*MAX(0,MIN(1,(AO$50-$F$30+1)/$G$30))+$C$31*MAX(0,MIN(1,(AO$50-$F$31+1)/$G$31))+$C$32*MAX(0,MIN(1,(AO$50-$F$32+1)/$G$32))</f>
        <v>3138.88888888889</v>
      </c>
      <c r="AP63" s="0" t="n">
        <f aca="false">$C$29*MAX(0,MIN(1,(AP$50-$F$29+1)/$G$29))+$C$30*MAX(0,MIN(1,(AP$50-$F$30+1)/$G$30))+$C$31*MAX(0,MIN(1,(AP$50-$F$31+1)/$G$31))+$C$32*MAX(0,MIN(1,(AP$50-$F$32+1)/$G$32))</f>
        <v>4277.77777777778</v>
      </c>
      <c r="AQ63" s="0" t="n">
        <f aca="false">$C$29*MAX(0,MIN(1,(AQ$50-$F$29+1)/$G$29))+$C$30*MAX(0,MIN(1,(AQ$50-$F$30+1)/$G$30))+$C$31*MAX(0,MIN(1,(AQ$50-$F$31+1)/$G$31))+$C$32*MAX(0,MIN(1,(AQ$50-$F$32+1)/$G$32))</f>
        <v>6305.55555555556</v>
      </c>
      <c r="AR63" s="0" t="n">
        <f aca="false">$C$29*MAX(0,MIN(1,(AR$50-$F$29+1)/$G$29))+$C$30*MAX(0,MIN(1,(AR$50-$F$30+1)/$G$30))+$C$31*MAX(0,MIN(1,(AR$50-$F$31+1)/$G$31))+$C$32*MAX(0,MIN(1,(AR$50-$F$32+1)/$G$32))</f>
        <v>8333.33333333333</v>
      </c>
      <c r="AS63" s="0" t="n">
        <f aca="false">$C$29*MAX(0,MIN(1,(AS$50-$F$29+1)/$G$29))+$C$30*MAX(0,MIN(1,(AS$50-$F$30+1)/$G$30))+$C$31*MAX(0,MIN(1,(AS$50-$F$31+1)/$G$31))+$C$32*MAX(0,MIN(1,(AS$50-$F$32+1)/$G$32))</f>
        <v>10611.1111111111</v>
      </c>
      <c r="AT63" s="0" t="n">
        <f aca="false">$C$29*MAX(0,MIN(1,(AT$50-$F$29+1)/$G$29))+$C$30*MAX(0,MIN(1,(AT$50-$F$30+1)/$G$30))+$C$31*MAX(0,MIN(1,(AT$50-$F$31+1)/$G$31))+$C$32*MAX(0,MIN(1,(AT$50-$F$32+1)/$G$32))</f>
        <v>12888.8888888889</v>
      </c>
      <c r="AU63" s="0" t="n">
        <f aca="false">$C$29*MAX(0,MIN(1,(AU$50-$F$29+1)/$G$29))+$C$30*MAX(0,MIN(1,(AU$50-$F$30+1)/$G$30))+$C$31*MAX(0,MIN(1,(AU$50-$F$31+1)/$G$31))+$C$32*MAX(0,MIN(1,(AU$50-$F$32+1)/$G$32))</f>
        <v>15166.6666666667</v>
      </c>
      <c r="AV63" s="0" t="n">
        <f aca="false">$C$29*MAX(0,MIN(1,(AV$50-$F$29+1)/$G$29))+$C$30*MAX(0,MIN(1,(AV$50-$F$30+1)/$G$30))+$C$31*MAX(0,MIN(1,(AV$50-$F$31+1)/$G$31))+$C$32*MAX(0,MIN(1,(AV$50-$F$32+1)/$G$32))</f>
        <v>17444.4444444444</v>
      </c>
      <c r="AW63" s="0" t="n">
        <f aca="false">$C$29*MAX(0,MIN(1,(AW$50-$F$29+1)/$G$29))+$C$30*MAX(0,MIN(1,(AW$50-$F$30+1)/$G$30))+$C$31*MAX(0,MIN(1,(AW$50-$F$31+1)/$G$31))+$C$32*MAX(0,MIN(1,(AW$50-$F$32+1)/$G$32))</f>
        <v>19722.2222222222</v>
      </c>
      <c r="AX63" s="0" t="n">
        <f aca="false">$C$29*MAX(0,MIN(1,(AX$50-$F$29+1)/$G$29))+$C$30*MAX(0,MIN(1,(AX$50-$F$30+1)/$G$30))+$C$31*MAX(0,MIN(1,(AX$50-$F$31+1)/$G$31))+$C$32*MAX(0,MIN(1,(AX$50-$F$32+1)/$G$32))</f>
        <v>22000</v>
      </c>
      <c r="AY63" s="0" t="n">
        <f aca="false">$C$29*MAX(0,MIN(1,(AY$50-$F$29+1)/$G$29))+$C$30*MAX(0,MIN(1,(AY$50-$F$30+1)/$G$30))+$C$31*MAX(0,MIN(1,(AY$50-$F$31+1)/$G$31))+$C$32*MAX(0,MIN(1,(AY$50-$F$32+1)/$G$32))</f>
        <v>23027.7777777778</v>
      </c>
      <c r="AZ63" s="0" t="n">
        <f aca="false">$C$29*MAX(0,MIN(1,(AZ$50-$F$29+1)/$G$29))+$C$30*MAX(0,MIN(1,(AZ$50-$F$30+1)/$G$30))+$C$31*MAX(0,MIN(1,(AZ$50-$F$31+1)/$G$31))+$C$32*MAX(0,MIN(1,(AZ$50-$F$32+1)/$G$32))</f>
        <v>23166.6666666667</v>
      </c>
      <c r="BA63" s="0" t="n">
        <f aca="false">$C$29*MAX(0,MIN(1,(BA$50-$F$29+1)/$G$29))+$C$30*MAX(0,MIN(1,(BA$50-$F$30+1)/$G$30))+$C$31*MAX(0,MIN(1,(BA$50-$F$31+1)/$G$31))+$C$32*MAX(0,MIN(1,(BA$50-$F$32+1)/$G$32))</f>
        <v>23305.5555555556</v>
      </c>
      <c r="BB63" s="0" t="n">
        <f aca="false">$C$29*MAX(0,MIN(1,(BB$50-$F$29+1)/$G$29))+$C$30*MAX(0,MIN(1,(BB$50-$F$30+1)/$G$30))+$C$31*MAX(0,MIN(1,(BB$50-$F$31+1)/$G$31))+$C$32*MAX(0,MIN(1,(BB$50-$F$32+1)/$G$32))</f>
        <v>23444.4444444444</v>
      </c>
      <c r="BC63" s="0" t="n">
        <f aca="false">$C$29*MAX(0,MIN(1,(BC$50-$F$29+1)/$G$29))+$C$30*MAX(0,MIN(1,(BC$50-$F$30+1)/$G$30))+$C$31*MAX(0,MIN(1,(BC$50-$F$31+1)/$G$31))+$C$32*MAX(0,MIN(1,(BC$50-$F$32+1)/$G$32))</f>
        <v>23583.3333333333</v>
      </c>
      <c r="BD63" s="0" t="n">
        <f aca="false">$C$29*MAX(0,MIN(1,(BD$50-$F$29+1)/$G$29))+$C$30*MAX(0,MIN(1,(BD$50-$F$30+1)/$G$30))+$C$31*MAX(0,MIN(1,(BD$50-$F$31+1)/$G$31))+$C$32*MAX(0,MIN(1,(BD$50-$F$32+1)/$G$32))</f>
        <v>23722.2222222222</v>
      </c>
      <c r="BE63" s="0" t="n">
        <f aca="false">$C$29*MAX(0,MIN(1,(BE$50-$F$29+1)/$G$29))+$C$30*MAX(0,MIN(1,(BE$50-$F$30+1)/$G$30))+$C$31*MAX(0,MIN(1,(BE$50-$F$31+1)/$G$31))+$C$32*MAX(0,MIN(1,(BE$50-$F$32+1)/$G$32))</f>
        <v>23861.1111111111</v>
      </c>
      <c r="BF63" s="0" t="n">
        <f aca="false">$C$29*MAX(0,MIN(1,(BF$50-$F$29+1)/$G$29))+$C$30*MAX(0,MIN(1,(BF$50-$F$30+1)/$G$30))+$C$31*MAX(0,MIN(1,(BF$50-$F$31+1)/$G$31))+$C$32*MAX(0,MIN(1,(BF$50-$F$32+1)/$G$32))</f>
        <v>24000</v>
      </c>
      <c r="BG63" s="0" t="n">
        <f aca="false">$C$29*MAX(0,MIN(1,(BG$50-$F$29+1)/$G$29))+$C$30*MAX(0,MIN(1,(BG$50-$F$30+1)/$G$30))+$C$31*MAX(0,MIN(1,(BG$50-$F$31+1)/$G$31))+$C$32*MAX(0,MIN(1,(BG$50-$F$32+1)/$G$32))</f>
        <v>24000</v>
      </c>
      <c r="BH63" s="0" t="n">
        <f aca="false">$C$29*MAX(0,MIN(1,(BH$50-$F$29+1)/$G$29))+$C$30*MAX(0,MIN(1,(BH$50-$F$30+1)/$G$30))+$C$31*MAX(0,MIN(1,(BH$50-$F$31+1)/$G$31))+$C$32*MAX(0,MIN(1,(BH$50-$F$32+1)/$G$32))</f>
        <v>24000</v>
      </c>
      <c r="BI63" s="0" t="n">
        <f aca="false">$C$29*MAX(0,MIN(1,(BI$50-$F$29+1)/$G$29))+$C$30*MAX(0,MIN(1,(BI$50-$F$30+1)/$G$30))+$C$31*MAX(0,MIN(1,(BI$50-$F$31+1)/$G$31))+$C$32*MAX(0,MIN(1,(BI$50-$F$32+1)/$G$32))</f>
        <v>24000</v>
      </c>
      <c r="BJ63" s="0" t="n">
        <f aca="false">$C$29*MAX(0,MIN(1,(BJ$50-$F$29+1)/$G$29))+$C$30*MAX(0,MIN(1,(BJ$50-$F$30+1)/$G$30))+$C$31*MAX(0,MIN(1,(BJ$50-$F$31+1)/$G$31))+$C$32*MAX(0,MIN(1,(BJ$50-$F$32+1)/$G$32))</f>
        <v>24000</v>
      </c>
      <c r="BK63" s="0" t="n">
        <f aca="false">$C$29*MAX(0,MIN(1,(BK$50-$F$29+1)/$G$29))+$C$30*MAX(0,MIN(1,(BK$50-$F$30+1)/$G$30))+$C$31*MAX(0,MIN(1,(BK$50-$F$31+1)/$G$31))+$C$32*MAX(0,MIN(1,(BK$50-$F$32+1)/$G$32))</f>
        <v>24000</v>
      </c>
      <c r="BL63" s="0" t="n">
        <f aca="false">$C$29*MAX(0,MIN(1,(BL$50-$F$29+1)/$G$29))+$C$30*MAX(0,MIN(1,(BL$50-$F$30+1)/$G$30))+$C$31*MAX(0,MIN(1,(BL$50-$F$31+1)/$G$31))+$C$32*MAX(0,MIN(1,(BL$50-$F$32+1)/$G$32))</f>
        <v>24000</v>
      </c>
      <c r="BM63" s="0" t="n">
        <f aca="false">$C$29*MAX(0,MIN(1,(BM$50-$F$29+1)/$G$29))+$C$30*MAX(0,MIN(1,(BM$50-$F$30+1)/$G$30))+$C$31*MAX(0,MIN(1,(BM$50-$F$31+1)/$G$31))+$C$32*MAX(0,MIN(1,(BM$50-$F$32+1)/$G$32))</f>
        <v>24000</v>
      </c>
      <c r="BN63" s="0" t="n">
        <f aca="false">$C$29*MAX(0,MIN(1,(BN$50-$F$29+1)/$G$29))+$C$30*MAX(0,MIN(1,(BN$50-$F$30+1)/$G$30))+$C$31*MAX(0,MIN(1,(BN$50-$F$31+1)/$G$31))+$C$32*MAX(0,MIN(1,(BN$50-$F$32+1)/$G$32))</f>
        <v>24000</v>
      </c>
      <c r="BO63" s="0" t="n">
        <f aca="false">$C$29*MAX(0,MIN(1,(BO$50-$F$29+1)/$G$29))+$C$30*MAX(0,MIN(1,(BO$50-$F$30+1)/$G$30))+$C$31*MAX(0,MIN(1,(BO$50-$F$31+1)/$G$31))+$C$32*MAX(0,MIN(1,(BO$50-$F$32+1)/$G$32))</f>
        <v>24000</v>
      </c>
      <c r="BP63" s="0" t="n">
        <f aca="false">$C$29*MAX(0,MIN(1,(BP$50-$F$29+1)/$G$29))+$C$30*MAX(0,MIN(1,(BP$50-$F$30+1)/$G$30))+$C$31*MAX(0,MIN(1,(BP$50-$F$31+1)/$G$31))+$C$32*MAX(0,MIN(1,(BP$50-$F$32+1)/$G$32))</f>
        <v>24000</v>
      </c>
      <c r="BQ63" s="0" t="n">
        <f aca="false">$C$29*MAX(0,MIN(1,(BQ$50-$F$29+1)/$G$29))+$C$30*MAX(0,MIN(1,(BQ$50-$F$30+1)/$G$30))+$C$31*MAX(0,MIN(1,(BQ$50-$F$31+1)/$G$31))+$C$32*MAX(0,MIN(1,(BQ$50-$F$32+1)/$G$32))</f>
        <v>24000</v>
      </c>
      <c r="BR63" s="0" t="n">
        <f aca="false">$C$29*MAX(0,MIN(1,(BR$50-$F$29+1)/$G$29))+$C$30*MAX(0,MIN(1,(BR$50-$F$30+1)/$G$30))+$C$31*MAX(0,MIN(1,(BR$50-$F$31+1)/$G$31))+$C$32*MAX(0,MIN(1,(BR$50-$F$32+1)/$G$32))</f>
        <v>24000</v>
      </c>
      <c r="BS63" s="0" t="n">
        <f aca="false">$C$29*MAX(0,MIN(1,(BS$50-$F$29+1)/$G$29))+$C$30*MAX(0,MIN(1,(BS$50-$F$30+1)/$G$30))+$C$31*MAX(0,MIN(1,(BS$50-$F$31+1)/$G$31))+$C$32*MAX(0,MIN(1,(BS$50-$F$32+1)/$G$32))</f>
        <v>24000</v>
      </c>
      <c r="BT63" s="0" t="n">
        <f aca="false">$C$29*MAX(0,MIN(1,(BT$50-$F$29+1)/$G$29))+$C$30*MAX(0,MIN(1,(BT$50-$F$30+1)/$G$30))+$C$31*MAX(0,MIN(1,(BT$50-$F$31+1)/$G$31))+$C$32*MAX(0,MIN(1,(BT$50-$F$32+1)/$G$32))</f>
        <v>24000</v>
      </c>
      <c r="BU63" s="0" t="n">
        <f aca="false">$C$29*MAX(0,MIN(1,(BU$50-$F$29+1)/$G$29))+$C$30*MAX(0,MIN(1,(BU$50-$F$30+1)/$G$30))+$C$31*MAX(0,MIN(1,(BU$50-$F$31+1)/$G$31))+$C$32*MAX(0,MIN(1,(BU$50-$F$32+1)/$G$32))</f>
        <v>24000</v>
      </c>
      <c r="BV63" s="0" t="n">
        <f aca="false">$C$29*MAX(0,MIN(1,(BV$50-$F$29+1)/$G$29))+$C$30*MAX(0,MIN(1,(BV$50-$F$30+1)/$G$30))+$C$31*MAX(0,MIN(1,(BV$50-$F$31+1)/$G$31))+$C$32*MAX(0,MIN(1,(BV$50-$F$32+1)/$G$32))</f>
        <v>24000</v>
      </c>
      <c r="BW63" s="0" t="n">
        <f aca="false">$C$29*MAX(0,MIN(1,(BW$50-$F$29+1)/$G$29))+$C$30*MAX(0,MIN(1,(BW$50-$F$30+1)/$G$30))+$C$31*MAX(0,MIN(1,(BW$50-$F$31+1)/$G$31))+$C$32*MAX(0,MIN(1,(BW$50-$F$32+1)/$G$32))</f>
        <v>24000</v>
      </c>
      <c r="BX63" s="0" t="n">
        <f aca="false">$C$29*MAX(0,MIN(1,(BX$50-$F$29+1)/$G$29))+$C$30*MAX(0,MIN(1,(BX$50-$F$30+1)/$G$30))+$C$31*MAX(0,MIN(1,(BX$50-$F$31+1)/$G$31))+$C$32*MAX(0,MIN(1,(BX$50-$F$32+1)/$G$32))</f>
        <v>24000</v>
      </c>
      <c r="BY63" s="0" t="n">
        <f aca="false">$C$29*MAX(0,MIN(1,(BY$50-$F$29+1)/$G$29))+$C$30*MAX(0,MIN(1,(BY$50-$F$30+1)/$G$30))+$C$31*MAX(0,MIN(1,(BY$50-$F$31+1)/$G$31))+$C$32*MAX(0,MIN(1,(BY$50-$F$32+1)/$G$32))</f>
        <v>24000</v>
      </c>
      <c r="BZ63" s="0" t="n">
        <f aca="false">$C$29*MAX(0,MIN(1,(BZ$50-$F$29+1)/$G$29))+$C$30*MAX(0,MIN(1,(BZ$50-$F$30+1)/$G$30))+$C$31*MAX(0,MIN(1,(BZ$50-$F$31+1)/$G$31))+$C$32*MAX(0,MIN(1,(BZ$50-$F$32+1)/$G$32))</f>
        <v>24000</v>
      </c>
      <c r="CA63" s="0" t="n">
        <f aca="false">$C$29*MAX(0,MIN(1,(CA$50-$F$29+1)/$G$29))+$C$30*MAX(0,MIN(1,(CA$50-$F$30+1)/$G$30))+$C$31*MAX(0,MIN(1,(CA$50-$F$31+1)/$G$31))+$C$32*MAX(0,MIN(1,(CA$50-$F$32+1)/$G$32))</f>
        <v>24000</v>
      </c>
      <c r="CB63" s="0" t="n">
        <f aca="false">$C$29*MAX(0,MIN(1,(CB$50-$F$29+1)/$G$29))+$C$30*MAX(0,MIN(1,(CB$50-$F$30+1)/$G$30))+$C$31*MAX(0,MIN(1,(CB$50-$F$31+1)/$G$31))+$C$32*MAX(0,MIN(1,(CB$50-$F$32+1)/$G$32))</f>
        <v>24000</v>
      </c>
      <c r="CC63" s="0" t="n">
        <f aca="false">$C$29*MAX(0,MIN(1,(CC$50-$F$29+1)/$G$29))+$C$30*MAX(0,MIN(1,(CC$50-$F$30+1)/$G$30))+$C$31*MAX(0,MIN(1,(CC$50-$F$31+1)/$G$31))+$C$32*MAX(0,MIN(1,(CC$50-$F$32+1)/$G$32))</f>
        <v>24000</v>
      </c>
      <c r="CD63" s="0" t="n">
        <f aca="false">$C$29*MAX(0,MIN(1,(CD$50-$F$29+1)/$G$29))+$C$30*MAX(0,MIN(1,(CD$50-$F$30+1)/$G$30))+$C$31*MAX(0,MIN(1,(CD$50-$F$31+1)/$G$31))+$C$32*MAX(0,MIN(1,(CD$50-$F$32+1)/$G$32))</f>
        <v>24000</v>
      </c>
      <c r="CE63" s="0" t="n">
        <f aca="false">$C$29*MAX(0,MIN(1,(CE$50-$F$29+1)/$G$29))+$C$30*MAX(0,MIN(1,(CE$50-$F$30+1)/$G$30))+$C$31*MAX(0,MIN(1,(CE$50-$F$31+1)/$G$31))+$C$32*MAX(0,MIN(1,(CE$50-$F$32+1)/$G$32))</f>
        <v>24000</v>
      </c>
      <c r="CF63" s="0" t="n">
        <f aca="false">$C$29*MAX(0,MIN(1,(CF$50-$F$29+1)/$G$29))+$C$30*MAX(0,MIN(1,(CF$50-$F$30+1)/$G$30))+$C$31*MAX(0,MIN(1,(CF$50-$F$31+1)/$G$31))+$C$32*MAX(0,MIN(1,(CF$50-$F$32+1)/$G$32))</f>
        <v>24000</v>
      </c>
      <c r="CG63" s="0" t="n">
        <f aca="false">$C$29*MAX(0,MIN(1,(CG$50-$F$29+1)/$G$29))+$C$30*MAX(0,MIN(1,(CG$50-$F$30+1)/$G$30))+$C$31*MAX(0,MIN(1,(CG$50-$F$31+1)/$G$31))+$C$32*MAX(0,MIN(1,(CG$50-$F$32+1)/$G$32))</f>
        <v>24000</v>
      </c>
      <c r="CH63" s="0" t="n">
        <f aca="false">$C$29*MAX(0,MIN(1,(CH$50-$F$29+1)/$G$29))+$C$30*MAX(0,MIN(1,(CH$50-$F$30+1)/$G$30))+$C$31*MAX(0,MIN(1,(CH$50-$F$31+1)/$G$31))+$C$32*MAX(0,MIN(1,(CH$50-$F$32+1)/$G$32))</f>
        <v>24000</v>
      </c>
      <c r="CI63" s="0" t="n">
        <f aca="false">$C$29*MAX(0,MIN(1,(CI$50-$F$29+1)/$G$29))+$C$30*MAX(0,MIN(1,(CI$50-$F$30+1)/$G$30))+$C$31*MAX(0,MIN(1,(CI$50-$F$31+1)/$G$31))+$C$32*MAX(0,MIN(1,(CI$50-$F$32+1)/$G$32))</f>
        <v>24000</v>
      </c>
      <c r="CJ63" s="0" t="n">
        <f aca="false">$C$29*MAX(0,MIN(1,(CJ$50-$F$29+1)/$G$29))+$C$30*MAX(0,MIN(1,(CJ$50-$F$30+1)/$G$30))+$C$31*MAX(0,MIN(1,(CJ$50-$F$31+1)/$G$31))+$C$32*MAX(0,MIN(1,(CJ$50-$F$32+1)/$G$32))</f>
        <v>24000</v>
      </c>
      <c r="CK63" s="0" t="n">
        <f aca="false">$C$29*MAX(0,MIN(1,(CK$50-$F$29+1)/$G$29))+$C$30*MAX(0,MIN(1,(CK$50-$F$30+1)/$G$30))+$C$31*MAX(0,MIN(1,(CK$50-$F$31+1)/$G$31))+$C$32*MAX(0,MIN(1,(CK$50-$F$32+1)/$G$32))</f>
        <v>24000</v>
      </c>
      <c r="CL63" s="0" t="n">
        <f aca="false">$C$29*MAX(0,MIN(1,(CL$50-$F$29+1)/$G$29))+$C$30*MAX(0,MIN(1,(CL$50-$F$30+1)/$G$30))+$C$31*MAX(0,MIN(1,(CL$50-$F$31+1)/$G$31))+$C$32*MAX(0,MIN(1,(CL$50-$F$32+1)/$G$32))</f>
        <v>24000</v>
      </c>
      <c r="CM63" s="0" t="n">
        <f aca="false">$C$29*MAX(0,MIN(1,(CM$50-$F$29+1)/$G$29))+$C$30*MAX(0,MIN(1,(CM$50-$F$30+1)/$G$30))+$C$31*MAX(0,MIN(1,(CM$50-$F$31+1)/$G$31))+$C$32*MAX(0,MIN(1,(CM$50-$F$32+1)/$G$32))</f>
        <v>24000</v>
      </c>
      <c r="CN63" s="0" t="n">
        <f aca="false">$C$29*MAX(0,MIN(1,(CN$50-$F$29+1)/$G$29))+$C$30*MAX(0,MIN(1,(CN$50-$F$30+1)/$G$30))+$C$31*MAX(0,MIN(1,(CN$50-$F$31+1)/$G$31))+$C$32*MAX(0,MIN(1,(CN$50-$F$32+1)/$G$32))</f>
        <v>24000</v>
      </c>
      <c r="CO63" s="0" t="n">
        <f aca="false">$C$29*MAX(0,MIN(1,(CO$50-$F$29+1)/$G$29))+$C$30*MAX(0,MIN(1,(CO$50-$F$30+1)/$G$30))+$C$31*MAX(0,MIN(1,(CO$50-$F$31+1)/$G$31))+$C$32*MAX(0,MIN(1,(CO$50-$F$32+1)/$G$32))</f>
        <v>24000</v>
      </c>
      <c r="CP63" s="0" t="n">
        <f aca="false">$C$29*MAX(0,MIN(1,(CP$50-$F$29+1)/$G$29))+$C$30*MAX(0,MIN(1,(CP$50-$F$30+1)/$G$30))+$C$31*MAX(0,MIN(1,(CP$50-$F$31+1)/$G$31))+$C$32*MAX(0,MIN(1,(CP$50-$F$32+1)/$G$32))</f>
        <v>24000</v>
      </c>
      <c r="CQ63" s="0" t="n">
        <f aca="false">$C$29*MAX(0,MIN(1,(CQ$50-$F$29+1)/$G$29))+$C$30*MAX(0,MIN(1,(CQ$50-$F$30+1)/$G$30))+$C$31*MAX(0,MIN(1,(CQ$50-$F$31+1)/$G$31))+$C$32*MAX(0,MIN(1,(CQ$50-$F$32+1)/$G$32))</f>
        <v>24000</v>
      </c>
      <c r="CR63" s="0" t="n">
        <f aca="false">$C$29*MAX(0,MIN(1,(CR$50-$F$29+1)/$G$29))+$C$30*MAX(0,MIN(1,(CR$50-$F$30+1)/$G$30))+$C$31*MAX(0,MIN(1,(CR$50-$F$31+1)/$G$31))+$C$32*MAX(0,MIN(1,(CR$50-$F$32+1)/$G$32))</f>
        <v>24000</v>
      </c>
      <c r="CS63" s="0" t="n">
        <f aca="false">$C$29*MAX(0,MIN(1,(CS$50-$F$29+1)/$G$29))+$C$30*MAX(0,MIN(1,(CS$50-$F$30+1)/$G$30))+$C$31*MAX(0,MIN(1,(CS$50-$F$31+1)/$G$31))+$C$32*MAX(0,MIN(1,(CS$50-$F$32+1)/$G$32))</f>
        <v>24000</v>
      </c>
      <c r="CT63" s="0" t="n">
        <f aca="false">$C$29*MAX(0,MIN(1,(CT$50-$F$29+1)/$G$29))+$C$30*MAX(0,MIN(1,(CT$50-$F$30+1)/$G$30))+$C$31*MAX(0,MIN(1,(CT$50-$F$31+1)/$G$31))+$C$32*MAX(0,MIN(1,(CT$50-$F$32+1)/$G$32))</f>
        <v>24000</v>
      </c>
      <c r="CU63" s="0" t="n">
        <f aca="false">$C$29*MAX(0,MIN(1,(CU$50-$F$29+1)/$G$29))+$C$30*MAX(0,MIN(1,(CU$50-$F$30+1)/$G$30))+$C$31*MAX(0,MIN(1,(CU$50-$F$31+1)/$G$31))+$C$32*MAX(0,MIN(1,(CU$50-$F$32+1)/$G$32))</f>
        <v>24000</v>
      </c>
      <c r="CV63" s="0" t="n">
        <f aca="false">$C$29*MAX(0,MIN(1,(CV$50-$F$29+1)/$G$29))+$C$30*MAX(0,MIN(1,(CV$50-$F$30+1)/$G$30))+$C$31*MAX(0,MIN(1,(CV$50-$F$31+1)/$G$31))+$C$32*MAX(0,MIN(1,(CV$50-$F$32+1)/$G$32))</f>
        <v>24000</v>
      </c>
      <c r="CW63" s="0" t="n">
        <f aca="false">$C$29*MAX(0,MIN(1,(CW$50-$F$29+1)/$G$29))+$C$30*MAX(0,MIN(1,(CW$50-$F$30+1)/$G$30))+$C$31*MAX(0,MIN(1,(CW$50-$F$31+1)/$G$31))+$C$32*MAX(0,MIN(1,(CW$50-$F$32+1)/$G$32))</f>
        <v>24000</v>
      </c>
      <c r="CX63" s="0" t="n">
        <f aca="false">$C$29*MAX(0,MIN(1,(CX$50-$F$29+1)/$G$29))+$C$30*MAX(0,MIN(1,(CX$50-$F$30+1)/$G$30))+$C$31*MAX(0,MIN(1,(CX$50-$F$31+1)/$G$31))+$C$32*MAX(0,MIN(1,(CX$50-$F$32+1)/$G$32))</f>
        <v>24000</v>
      </c>
      <c r="CY63" s="0" t="n">
        <f aca="false">$C$29*MAX(0,MIN(1,(CY$50-$F$29+1)/$G$29))+$C$30*MAX(0,MIN(1,(CY$50-$F$30+1)/$G$30))+$C$31*MAX(0,MIN(1,(CY$50-$F$31+1)/$G$31))+$C$32*MAX(0,MIN(1,(CY$50-$F$32+1)/$G$32))</f>
        <v>24000</v>
      </c>
    </row>
    <row r="64" customFormat="false" ht="15" hidden="false" customHeight="false" outlineLevel="0" collapsed="false">
      <c r="B64" s="0" t="s">
        <v>79</v>
      </c>
      <c r="S64" s="7" t="n">
        <f aca="false">(S$50&lt;=Sale_Month)*$C$29*MAX(0,MIN(1,(S$50-$F$29+1)/$G$29))*$D$29*(1+$E$29)^MAX(0,ROUNDUP((S$50-$F$29+1)/12,0)-1)</f>
        <v>0</v>
      </c>
      <c r="T64" s="7" t="n">
        <f aca="false">(T$50&lt;=Sale_Month)*$C$29*MAX(0,MIN(1,(T$50-$F$29+1)/$G$29))*$D$29*(1+$E$29)^MAX(0,ROUNDUP((T$50-$F$29+1)/12,0)-1)</f>
        <v>0</v>
      </c>
      <c r="U64" s="7" t="n">
        <f aca="false">(U$50&lt;=Sale_Month)*$C$29*MAX(0,MIN(1,(U$50-$F$29+1)/$G$29))*$D$29*(1+$E$29)^MAX(0,ROUNDUP((U$50-$F$29+1)/12,0)-1)</f>
        <v>0</v>
      </c>
      <c r="V64" s="7" t="n">
        <f aca="false">(V$50&lt;=Sale_Month)*$C$29*MAX(0,MIN(1,(V$50-$F$29+1)/$G$29))*$D$29*(1+$E$29)^MAX(0,ROUNDUP((V$50-$F$29+1)/12,0)-1)</f>
        <v>0</v>
      </c>
      <c r="W64" s="7" t="n">
        <f aca="false">(W$50&lt;=Sale_Month)*$C$29*MAX(0,MIN(1,(W$50-$F$29+1)/$G$29))*$D$29*(1+$E$29)^MAX(0,ROUNDUP((W$50-$F$29+1)/12,0)-1)</f>
        <v>0</v>
      </c>
      <c r="X64" s="7" t="n">
        <f aca="false">(X$50&lt;=Sale_Month)*$C$29*MAX(0,MIN(1,(X$50-$F$29+1)/$G$29))*$D$29*(1+$E$29)^MAX(0,ROUNDUP((X$50-$F$29+1)/12,0)-1)</f>
        <v>0</v>
      </c>
      <c r="Y64" s="7" t="n">
        <f aca="false">(Y$50&lt;=Sale_Month)*$C$29*MAX(0,MIN(1,(Y$50-$F$29+1)/$G$29))*$D$29*(1+$E$29)^MAX(0,ROUNDUP((Y$50-$F$29+1)/12,0)-1)</f>
        <v>0</v>
      </c>
      <c r="Z64" s="7" t="n">
        <f aca="false">(Z$50&lt;=Sale_Month)*$C$29*MAX(0,MIN(1,(Z$50-$F$29+1)/$G$29))*$D$29*(1+$E$29)^MAX(0,ROUNDUP((Z$50-$F$29+1)/12,0)-1)</f>
        <v>0</v>
      </c>
      <c r="AA64" s="7" t="n">
        <f aca="false">(AA$50&lt;=Sale_Month)*$C$29*MAX(0,MIN(1,(AA$50-$F$29+1)/$G$29))*$D$29*(1+$E$29)^MAX(0,ROUNDUP((AA$50-$F$29+1)/12,0)-1)</f>
        <v>0</v>
      </c>
      <c r="AB64" s="7" t="n">
        <f aca="false">(AB$50&lt;=Sale_Month)*$C$29*MAX(0,MIN(1,(AB$50-$F$29+1)/$G$29))*$D$29*(1+$E$29)^MAX(0,ROUNDUP((AB$50-$F$29+1)/12,0)-1)</f>
        <v>0</v>
      </c>
      <c r="AC64" s="7" t="n">
        <f aca="false">(AC$50&lt;=Sale_Month)*$C$29*MAX(0,MIN(1,(AC$50-$F$29+1)/$G$29))*$D$29*(1+$E$29)^MAX(0,ROUNDUP((AC$50-$F$29+1)/12,0)-1)</f>
        <v>0</v>
      </c>
      <c r="AD64" s="7" t="n">
        <f aca="false">(AD$50&lt;=Sale_Month)*$C$29*MAX(0,MIN(1,(AD$50-$F$29+1)/$G$29))*$D$29*(1+$E$29)^MAX(0,ROUNDUP((AD$50-$F$29+1)/12,0)-1)</f>
        <v>0</v>
      </c>
      <c r="AE64" s="7" t="n">
        <f aca="false">(AE$50&lt;=Sale_Month)*$C$29*MAX(0,MIN(1,(AE$50-$F$29+1)/$G$29))*$D$29*(1+$E$29)^MAX(0,ROUNDUP((AE$50-$F$29+1)/12,0)-1)</f>
        <v>0</v>
      </c>
      <c r="AF64" s="7" t="n">
        <f aca="false">(AF$50&lt;=Sale_Month)*$C$29*MAX(0,MIN(1,(AF$50-$F$29+1)/$G$29))*$D$29*(1+$E$29)^MAX(0,ROUNDUP((AF$50-$F$29+1)/12,0)-1)</f>
        <v>0</v>
      </c>
      <c r="AG64" s="7" t="n">
        <f aca="false">(AG$50&lt;=Sale_Month)*$C$29*MAX(0,MIN(1,(AG$50-$F$29+1)/$G$29))*$D$29*(1+$E$29)^MAX(0,ROUNDUP((AG$50-$F$29+1)/12,0)-1)</f>
        <v>0</v>
      </c>
      <c r="AH64" s="7" t="n">
        <f aca="false">(AH$50&lt;=Sale_Month)*$C$29*MAX(0,MIN(1,(AH$50-$F$29+1)/$G$29))*$D$29*(1+$E$29)^MAX(0,ROUNDUP((AH$50-$F$29+1)/12,0)-1)</f>
        <v>0</v>
      </c>
      <c r="AI64" s="7" t="n">
        <f aca="false">(AI$50&lt;=Sale_Month)*$C$29*MAX(0,MIN(1,(AI$50-$F$29+1)/$G$29))*$D$29*(1+$E$29)^MAX(0,ROUNDUP((AI$50-$F$29+1)/12,0)-1)</f>
        <v>0</v>
      </c>
      <c r="AJ64" s="7" t="n">
        <f aca="false">(AJ$50&lt;=Sale_Month)*$C$29*MAX(0,MIN(1,(AJ$50-$F$29+1)/$G$29))*$D$29*(1+$E$29)^MAX(0,ROUNDUP((AJ$50-$F$29+1)/12,0)-1)</f>
        <v>0</v>
      </c>
      <c r="AK64" s="7" t="n">
        <f aca="false">(AK$50&lt;=Sale_Month)*$C$29*MAX(0,MIN(1,(AK$50-$F$29+1)/$G$29))*$D$29*(1+$E$29)^MAX(0,ROUNDUP((AK$50-$F$29+1)/12,0)-1)</f>
        <v>0</v>
      </c>
      <c r="AL64" s="7" t="n">
        <f aca="false">(AL$50&lt;=Sale_Month)*$C$29*MAX(0,MIN(1,(AL$50-$F$29+1)/$G$29))*$D$29*(1+$E$29)^MAX(0,ROUNDUP((AL$50-$F$29+1)/12,0)-1)</f>
        <v>0</v>
      </c>
      <c r="AM64" s="7" t="n">
        <f aca="false">(AM$50&lt;=Sale_Month)*$C$29*MAX(0,MIN(1,(AM$50-$F$29+1)/$G$29))*$D$29*(1+$E$29)^MAX(0,ROUNDUP((AM$50-$F$29+1)/12,0)-1)</f>
        <v>128000</v>
      </c>
      <c r="AN64" s="7" t="n">
        <f aca="false">(AN$50&lt;=Sale_Month)*$C$29*MAX(0,MIN(1,(AN$50-$F$29+1)/$G$29))*$D$29*(1+$E$29)^MAX(0,ROUNDUP((AN$50-$F$29+1)/12,0)-1)</f>
        <v>256000</v>
      </c>
      <c r="AO64" s="7" t="n">
        <f aca="false">(AO$50&lt;=Sale_Month)*$C$29*MAX(0,MIN(1,(AO$50-$F$29+1)/$G$29))*$D$29*(1+$E$29)^MAX(0,ROUNDUP((AO$50-$F$29+1)/12,0)-1)</f>
        <v>384000</v>
      </c>
      <c r="AP64" s="7" t="n">
        <f aca="false">(AP$50&lt;=Sale_Month)*$C$29*MAX(0,MIN(1,(AP$50-$F$29+1)/$G$29))*$D$29*(1+$E$29)^MAX(0,ROUNDUP((AP$50-$F$29+1)/12,0)-1)</f>
        <v>512000</v>
      </c>
      <c r="AQ64" s="7" t="n">
        <f aca="false">(AQ$50&lt;=Sale_Month)*$C$29*MAX(0,MIN(1,(AQ$50-$F$29+1)/$G$29))*$D$29*(1+$E$29)^MAX(0,ROUNDUP((AQ$50-$F$29+1)/12,0)-1)</f>
        <v>640000</v>
      </c>
      <c r="AR64" s="7" t="n">
        <f aca="false">(AR$50&lt;=Sale_Month)*$C$29*MAX(0,MIN(1,(AR$50-$F$29+1)/$G$29))*$D$29*(1+$E$29)^MAX(0,ROUNDUP((AR$50-$F$29+1)/12,0)-1)</f>
        <v>768000</v>
      </c>
      <c r="AS64" s="7" t="n">
        <f aca="false">(AS$50&lt;=Sale_Month)*$C$29*MAX(0,MIN(1,(AS$50-$F$29+1)/$G$29))*$D$29*(1+$E$29)^MAX(0,ROUNDUP((AS$50-$F$29+1)/12,0)-1)</f>
        <v>896000</v>
      </c>
      <c r="AT64" s="7" t="n">
        <f aca="false">(AT$50&lt;=Sale_Month)*$C$29*MAX(0,MIN(1,(AT$50-$F$29+1)/$G$29))*$D$29*(1+$E$29)^MAX(0,ROUNDUP((AT$50-$F$29+1)/12,0)-1)</f>
        <v>1024000</v>
      </c>
      <c r="AU64" s="7" t="n">
        <f aca="false">(AU$50&lt;=Sale_Month)*$C$29*MAX(0,MIN(1,(AU$50-$F$29+1)/$G$29))*$D$29*(1+$E$29)^MAX(0,ROUNDUP((AU$50-$F$29+1)/12,0)-1)</f>
        <v>1152000</v>
      </c>
      <c r="AV64" s="7" t="n">
        <f aca="false">(AV$50&lt;=Sale_Month)*$C$29*MAX(0,MIN(1,(AV$50-$F$29+1)/$G$29))*$D$29*(1+$E$29)^MAX(0,ROUNDUP((AV$50-$F$29+1)/12,0)-1)</f>
        <v>1280000</v>
      </c>
      <c r="AW64" s="7" t="n">
        <f aca="false">(AW$50&lt;=Sale_Month)*$C$29*MAX(0,MIN(1,(AW$50-$F$29+1)/$G$29))*$D$29*(1+$E$29)^MAX(0,ROUNDUP((AW$50-$F$29+1)/12,0)-1)</f>
        <v>1408000</v>
      </c>
      <c r="AX64" s="7" t="n">
        <f aca="false">(AX$50&lt;=Sale_Month)*$C$29*MAX(0,MIN(1,(AX$50-$F$29+1)/$G$29))*$D$29*(1+$E$29)^MAX(0,ROUNDUP((AX$50-$F$29+1)/12,0)-1)</f>
        <v>1536000</v>
      </c>
      <c r="AY64" s="7" t="n">
        <f aca="false">(AY$50&lt;=Sale_Month)*$C$29*MAX(0,MIN(1,(AY$50-$F$29+1)/$G$29))*$D$29*(1+$E$29)^MAX(0,ROUNDUP((AY$50-$F$29+1)/12,0)-1)</f>
        <v>1574400</v>
      </c>
      <c r="AZ64" s="7" t="n">
        <f aca="false">(AZ$50&lt;=Sale_Month)*$C$29*MAX(0,MIN(1,(AZ$50-$F$29+1)/$G$29))*$D$29*(1+$E$29)^MAX(0,ROUNDUP((AZ$50-$F$29+1)/12,0)-1)</f>
        <v>1574400</v>
      </c>
      <c r="BA64" s="7" t="n">
        <f aca="false">(BA$50&lt;=Sale_Month)*$C$29*MAX(0,MIN(1,(BA$50-$F$29+1)/$G$29))*$D$29*(1+$E$29)^MAX(0,ROUNDUP((BA$50-$F$29+1)/12,0)-1)</f>
        <v>1574400</v>
      </c>
      <c r="BB64" s="7" t="n">
        <f aca="false">(BB$50&lt;=Sale_Month)*$C$29*MAX(0,MIN(1,(BB$50-$F$29+1)/$G$29))*$D$29*(1+$E$29)^MAX(0,ROUNDUP((BB$50-$F$29+1)/12,0)-1)</f>
        <v>1574400</v>
      </c>
      <c r="BC64" s="7" t="n">
        <f aca="false">(BC$50&lt;=Sale_Month)*$C$29*MAX(0,MIN(1,(BC$50-$F$29+1)/$G$29))*$D$29*(1+$E$29)^MAX(0,ROUNDUP((BC$50-$F$29+1)/12,0)-1)</f>
        <v>1574400</v>
      </c>
      <c r="BD64" s="7" t="n">
        <f aca="false">(BD$50&lt;=Sale_Month)*$C$29*MAX(0,MIN(1,(BD$50-$F$29+1)/$G$29))*$D$29*(1+$E$29)^MAX(0,ROUNDUP((BD$50-$F$29+1)/12,0)-1)</f>
        <v>1574400</v>
      </c>
      <c r="BE64" s="7" t="n">
        <f aca="false">(BE$50&lt;=Sale_Month)*$C$29*MAX(0,MIN(1,(BE$50-$F$29+1)/$G$29))*$D$29*(1+$E$29)^MAX(0,ROUNDUP((BE$50-$F$29+1)/12,0)-1)</f>
        <v>1574400</v>
      </c>
      <c r="BF64" s="7" t="n">
        <f aca="false">(BF$50&lt;=Sale_Month)*$C$29*MAX(0,MIN(1,(BF$50-$F$29+1)/$G$29))*$D$29*(1+$E$29)^MAX(0,ROUNDUP((BF$50-$F$29+1)/12,0)-1)</f>
        <v>1574400</v>
      </c>
      <c r="BG64" s="7" t="n">
        <f aca="false">(BG$50&lt;=Sale_Month)*$C$29*MAX(0,MIN(1,(BG$50-$F$29+1)/$G$29))*$D$29*(1+$E$29)^MAX(0,ROUNDUP((BG$50-$F$29+1)/12,0)-1)</f>
        <v>1574400</v>
      </c>
      <c r="BH64" s="7" t="n">
        <f aca="false">(BH$50&lt;=Sale_Month)*$C$29*MAX(0,MIN(1,(BH$50-$F$29+1)/$G$29))*$D$29*(1+$E$29)^MAX(0,ROUNDUP((BH$50-$F$29+1)/12,0)-1)</f>
        <v>1574400</v>
      </c>
      <c r="BI64" s="7" t="n">
        <f aca="false">(BI$50&lt;=Sale_Month)*$C$29*MAX(0,MIN(1,(BI$50-$F$29+1)/$G$29))*$D$29*(1+$E$29)^MAX(0,ROUNDUP((BI$50-$F$29+1)/12,0)-1)</f>
        <v>1574400</v>
      </c>
      <c r="BJ64" s="7" t="n">
        <f aca="false">(BJ$50&lt;=Sale_Month)*$C$29*MAX(0,MIN(1,(BJ$50-$F$29+1)/$G$29))*$D$29*(1+$E$29)^MAX(0,ROUNDUP((BJ$50-$F$29+1)/12,0)-1)</f>
        <v>1574400</v>
      </c>
      <c r="BK64" s="7" t="n">
        <f aca="false">(BK$50&lt;=Sale_Month)*$C$29*MAX(0,MIN(1,(BK$50-$F$29+1)/$G$29))*$D$29*(1+$E$29)^MAX(0,ROUNDUP((BK$50-$F$29+1)/12,0)-1)</f>
        <v>1613760</v>
      </c>
      <c r="BL64" s="7" t="n">
        <f aca="false">(BL$50&lt;=Sale_Month)*$C$29*MAX(0,MIN(1,(BL$50-$F$29+1)/$G$29))*$D$29*(1+$E$29)^MAX(0,ROUNDUP((BL$50-$F$29+1)/12,0)-1)</f>
        <v>1613760</v>
      </c>
      <c r="BM64" s="7" t="n">
        <f aca="false">(BM$50&lt;=Sale_Month)*$C$29*MAX(0,MIN(1,(BM$50-$F$29+1)/$G$29))*$D$29*(1+$E$29)^MAX(0,ROUNDUP((BM$50-$F$29+1)/12,0)-1)</f>
        <v>1613760</v>
      </c>
      <c r="BN64" s="7" t="n">
        <f aca="false">(BN$50&lt;=Sale_Month)*$C$29*MAX(0,MIN(1,(BN$50-$F$29+1)/$G$29))*$D$29*(1+$E$29)^MAX(0,ROUNDUP((BN$50-$F$29+1)/12,0)-1)</f>
        <v>1613760</v>
      </c>
      <c r="BO64" s="7" t="n">
        <f aca="false">(BO$50&lt;=Sale_Month)*$C$29*MAX(0,MIN(1,(BO$50-$F$29+1)/$G$29))*$D$29*(1+$E$29)^MAX(0,ROUNDUP((BO$50-$F$29+1)/12,0)-1)</f>
        <v>1613760</v>
      </c>
      <c r="BP64" s="7" t="n">
        <f aca="false">(BP$50&lt;=Sale_Month)*$C$29*MAX(0,MIN(1,(BP$50-$F$29+1)/$G$29))*$D$29*(1+$E$29)^MAX(0,ROUNDUP((BP$50-$F$29+1)/12,0)-1)</f>
        <v>1613760</v>
      </c>
      <c r="BQ64" s="7" t="n">
        <f aca="false">(BQ$50&lt;=Sale_Month)*$C$29*MAX(0,MIN(1,(BQ$50-$F$29+1)/$G$29))*$D$29*(1+$E$29)^MAX(0,ROUNDUP((BQ$50-$F$29+1)/12,0)-1)</f>
        <v>1613760</v>
      </c>
      <c r="BR64" s="7" t="n">
        <f aca="false">(BR$50&lt;=Sale_Month)*$C$29*MAX(0,MIN(1,(BR$50-$F$29+1)/$G$29))*$D$29*(1+$E$29)^MAX(0,ROUNDUP((BR$50-$F$29+1)/12,0)-1)</f>
        <v>1613760</v>
      </c>
      <c r="BS64" s="7" t="n">
        <f aca="false">(BS$50&lt;=Sale_Month)*$C$29*MAX(0,MIN(1,(BS$50-$F$29+1)/$G$29))*$D$29*(1+$E$29)^MAX(0,ROUNDUP((BS$50-$F$29+1)/12,0)-1)</f>
        <v>1613760</v>
      </c>
      <c r="BT64" s="7" t="n">
        <f aca="false">(BT$50&lt;=Sale_Month)*$C$29*MAX(0,MIN(1,(BT$50-$F$29+1)/$G$29))*$D$29*(1+$E$29)^MAX(0,ROUNDUP((BT$50-$F$29+1)/12,0)-1)</f>
        <v>1613760</v>
      </c>
      <c r="BU64" s="7" t="n">
        <f aca="false">(BU$50&lt;=Sale_Month)*$C$29*MAX(0,MIN(1,(BU$50-$F$29+1)/$G$29))*$D$29*(1+$E$29)^MAX(0,ROUNDUP((BU$50-$F$29+1)/12,0)-1)</f>
        <v>1613760</v>
      </c>
      <c r="BV64" s="7" t="n">
        <f aca="false">(BV$50&lt;=Sale_Month)*$C$29*MAX(0,MIN(1,(BV$50-$F$29+1)/$G$29))*$D$29*(1+$E$29)^MAX(0,ROUNDUP((BV$50-$F$29+1)/12,0)-1)</f>
        <v>1613760</v>
      </c>
      <c r="BW64" s="7" t="n">
        <f aca="false">(BW$50&lt;=Sale_Month)*$C$29*MAX(0,MIN(1,(BW$50-$F$29+1)/$G$29))*$D$29*(1+$E$29)^MAX(0,ROUNDUP((BW$50-$F$29+1)/12,0)-1)</f>
        <v>1654104</v>
      </c>
      <c r="BX64" s="7" t="n">
        <f aca="false">(BX$50&lt;=Sale_Month)*$C$29*MAX(0,MIN(1,(BX$50-$F$29+1)/$G$29))*$D$29*(1+$E$29)^MAX(0,ROUNDUP((BX$50-$F$29+1)/12,0)-1)</f>
        <v>1654104</v>
      </c>
      <c r="BY64" s="7" t="n">
        <f aca="false">(BY$50&lt;=Sale_Month)*$C$29*MAX(0,MIN(1,(BY$50-$F$29+1)/$G$29))*$D$29*(1+$E$29)^MAX(0,ROUNDUP((BY$50-$F$29+1)/12,0)-1)</f>
        <v>1654104</v>
      </c>
      <c r="BZ64" s="7" t="n">
        <f aca="false">(BZ$50&lt;=Sale_Month)*$C$29*MAX(0,MIN(1,(BZ$50-$F$29+1)/$G$29))*$D$29*(1+$E$29)^MAX(0,ROUNDUP((BZ$50-$F$29+1)/12,0)-1)</f>
        <v>1654104</v>
      </c>
      <c r="CA64" s="7" t="n">
        <f aca="false">(CA$50&lt;=Sale_Month)*$C$29*MAX(0,MIN(1,(CA$50-$F$29+1)/$G$29))*$D$29*(1+$E$29)^MAX(0,ROUNDUP((CA$50-$F$29+1)/12,0)-1)</f>
        <v>1654104</v>
      </c>
      <c r="CB64" s="7" t="n">
        <f aca="false">(CB$50&lt;=Sale_Month)*$C$29*MAX(0,MIN(1,(CB$50-$F$29+1)/$G$29))*$D$29*(1+$E$29)^MAX(0,ROUNDUP((CB$50-$F$29+1)/12,0)-1)</f>
        <v>1654104</v>
      </c>
      <c r="CC64" s="7" t="n">
        <f aca="false">(CC$50&lt;=Sale_Month)*$C$29*MAX(0,MIN(1,(CC$50-$F$29+1)/$G$29))*$D$29*(1+$E$29)^MAX(0,ROUNDUP((CC$50-$F$29+1)/12,0)-1)</f>
        <v>1654104</v>
      </c>
      <c r="CD64" s="7" t="n">
        <f aca="false">(CD$50&lt;=Sale_Month)*$C$29*MAX(0,MIN(1,(CD$50-$F$29+1)/$G$29))*$D$29*(1+$E$29)^MAX(0,ROUNDUP((CD$50-$F$29+1)/12,0)-1)</f>
        <v>1654104</v>
      </c>
      <c r="CE64" s="7" t="n">
        <f aca="false">(CE$50&lt;=Sale_Month)*$C$29*MAX(0,MIN(1,(CE$50-$F$29+1)/$G$29))*$D$29*(1+$E$29)^MAX(0,ROUNDUP((CE$50-$F$29+1)/12,0)-1)</f>
        <v>1654104</v>
      </c>
      <c r="CF64" s="7" t="n">
        <f aca="false">(CF$50&lt;=Sale_Month)*$C$29*MAX(0,MIN(1,(CF$50-$F$29+1)/$G$29))*$D$29*(1+$E$29)^MAX(0,ROUNDUP((CF$50-$F$29+1)/12,0)-1)</f>
        <v>1654104</v>
      </c>
      <c r="CG64" s="7" t="n">
        <f aca="false">(CG$50&lt;=Sale_Month)*$C$29*MAX(0,MIN(1,(CG$50-$F$29+1)/$G$29))*$D$29*(1+$E$29)^MAX(0,ROUNDUP((CG$50-$F$29+1)/12,0)-1)</f>
        <v>1654104</v>
      </c>
      <c r="CH64" s="7" t="n">
        <f aca="false">(CH$50&lt;=Sale_Month)*$C$29*MAX(0,MIN(1,(CH$50-$F$29+1)/$G$29))*$D$29*(1+$E$29)^MAX(0,ROUNDUP((CH$50-$F$29+1)/12,0)-1)</f>
        <v>1654104</v>
      </c>
      <c r="CI64" s="7" t="n">
        <f aca="false">(CI$50&lt;=Sale_Month)*$C$29*MAX(0,MIN(1,(CI$50-$F$29+1)/$G$29))*$D$29*(1+$E$29)^MAX(0,ROUNDUP((CI$50-$F$29+1)/12,0)-1)</f>
        <v>1695456.6</v>
      </c>
      <c r="CJ64" s="7" t="n">
        <f aca="false">(CJ$50&lt;=Sale_Month)*$C$29*MAX(0,MIN(1,(CJ$50-$F$29+1)/$G$29))*$D$29*(1+$E$29)^MAX(0,ROUNDUP((CJ$50-$F$29+1)/12,0)-1)</f>
        <v>1695456.6</v>
      </c>
      <c r="CK64" s="7" t="n">
        <f aca="false">(CK$50&lt;=Sale_Month)*$C$29*MAX(0,MIN(1,(CK$50-$F$29+1)/$G$29))*$D$29*(1+$E$29)^MAX(0,ROUNDUP((CK$50-$F$29+1)/12,0)-1)</f>
        <v>1695456.6</v>
      </c>
      <c r="CL64" s="7" t="n">
        <f aca="false">(CL$50&lt;=Sale_Month)*$C$29*MAX(0,MIN(1,(CL$50-$F$29+1)/$G$29))*$D$29*(1+$E$29)^MAX(0,ROUNDUP((CL$50-$F$29+1)/12,0)-1)</f>
        <v>1695456.6</v>
      </c>
      <c r="CM64" s="7" t="n">
        <f aca="false">(CM$50&lt;=Sale_Month)*$C$29*MAX(0,MIN(1,(CM$50-$F$29+1)/$G$29))*$D$29*(1+$E$29)^MAX(0,ROUNDUP((CM$50-$F$29+1)/12,0)-1)</f>
        <v>1695456.6</v>
      </c>
      <c r="CN64" s="7" t="n">
        <f aca="false">(CN$50&lt;=Sale_Month)*$C$29*MAX(0,MIN(1,(CN$50-$F$29+1)/$G$29))*$D$29*(1+$E$29)^MAX(0,ROUNDUP((CN$50-$F$29+1)/12,0)-1)</f>
        <v>0</v>
      </c>
      <c r="CO64" s="7" t="n">
        <f aca="false">(CO$50&lt;=Sale_Month)*$C$29*MAX(0,MIN(1,(CO$50-$F$29+1)/$G$29))*$D$29*(1+$E$29)^MAX(0,ROUNDUP((CO$50-$F$29+1)/12,0)-1)</f>
        <v>0</v>
      </c>
      <c r="CP64" s="7" t="n">
        <f aca="false">(CP$50&lt;=Sale_Month)*$C$29*MAX(0,MIN(1,(CP$50-$F$29+1)/$G$29))*$D$29*(1+$E$29)^MAX(0,ROUNDUP((CP$50-$F$29+1)/12,0)-1)</f>
        <v>0</v>
      </c>
      <c r="CQ64" s="7" t="n">
        <f aca="false">(CQ$50&lt;=Sale_Month)*$C$29*MAX(0,MIN(1,(CQ$50-$F$29+1)/$G$29))*$D$29*(1+$E$29)^MAX(0,ROUNDUP((CQ$50-$F$29+1)/12,0)-1)</f>
        <v>0</v>
      </c>
      <c r="CR64" s="7" t="n">
        <f aca="false">(CR$50&lt;=Sale_Month)*$C$29*MAX(0,MIN(1,(CR$50-$F$29+1)/$G$29))*$D$29*(1+$E$29)^MAX(0,ROUNDUP((CR$50-$F$29+1)/12,0)-1)</f>
        <v>0</v>
      </c>
      <c r="CS64" s="7" t="n">
        <f aca="false">(CS$50&lt;=Sale_Month)*$C$29*MAX(0,MIN(1,(CS$50-$F$29+1)/$G$29))*$D$29*(1+$E$29)^MAX(0,ROUNDUP((CS$50-$F$29+1)/12,0)-1)</f>
        <v>0</v>
      </c>
      <c r="CT64" s="7" t="n">
        <f aca="false">(CT$50&lt;=Sale_Month)*$C$29*MAX(0,MIN(1,(CT$50-$F$29+1)/$G$29))*$D$29*(1+$E$29)^MAX(0,ROUNDUP((CT$50-$F$29+1)/12,0)-1)</f>
        <v>0</v>
      </c>
      <c r="CU64" s="7" t="n">
        <f aca="false">(CU$50&lt;=Sale_Month)*$C$29*MAX(0,MIN(1,(CU$50-$F$29+1)/$G$29))*$D$29*(1+$E$29)^MAX(0,ROUNDUP((CU$50-$F$29+1)/12,0)-1)</f>
        <v>0</v>
      </c>
      <c r="CV64" s="7" t="n">
        <f aca="false">(CV$50&lt;=Sale_Month)*$C$29*MAX(0,MIN(1,(CV$50-$F$29+1)/$G$29))*$D$29*(1+$E$29)^MAX(0,ROUNDUP((CV$50-$F$29+1)/12,0)-1)</f>
        <v>0</v>
      </c>
      <c r="CW64" s="7" t="n">
        <f aca="false">(CW$50&lt;=Sale_Month)*$C$29*MAX(0,MIN(1,(CW$50-$F$29+1)/$G$29))*$D$29*(1+$E$29)^MAX(0,ROUNDUP((CW$50-$F$29+1)/12,0)-1)</f>
        <v>0</v>
      </c>
      <c r="CX64" s="7" t="n">
        <f aca="false">(CX$50&lt;=Sale_Month)*$C$29*MAX(0,MIN(1,(CX$50-$F$29+1)/$G$29))*$D$29*(1+$E$29)^MAX(0,ROUNDUP((CX$50-$F$29+1)/12,0)-1)</f>
        <v>0</v>
      </c>
      <c r="CY64" s="7" t="n">
        <f aca="false">(CY$50&lt;=Sale_Month)*$C$29*MAX(0,MIN(1,(CY$50-$F$29+1)/$G$29))*$D$29*(1+$E$29)^MAX(0,ROUNDUP((CY$50-$F$29+1)/12,0)-1)</f>
        <v>0</v>
      </c>
    </row>
    <row r="65" customFormat="false" ht="15" hidden="false" customHeight="false" outlineLevel="0" collapsed="false">
      <c r="B65" s="0" t="s">
        <v>80</v>
      </c>
      <c r="S65" s="7" t="n">
        <f aca="false">(S$50&lt;=Sale_Month)*$C$30*MAX(0,MIN(1,(S$50-$F$30+1)/$G$30))*$D$30*(1+$E$30)^MAX(0,ROUNDUP((S$50-$F$30+1)/12,0)-1)</f>
        <v>0</v>
      </c>
      <c r="T65" s="7" t="n">
        <f aca="false">(T$50&lt;=Sale_Month)*$C$30*MAX(0,MIN(1,(T$50-$F$30+1)/$G$30))*$D$30*(1+$E$30)^MAX(0,ROUNDUP((T$50-$F$30+1)/12,0)-1)</f>
        <v>0</v>
      </c>
      <c r="U65" s="7" t="n">
        <f aca="false">(U$50&lt;=Sale_Month)*$C$30*MAX(0,MIN(1,(U$50-$F$30+1)/$G$30))*$D$30*(1+$E$30)^MAX(0,ROUNDUP((U$50-$F$30+1)/12,0)-1)</f>
        <v>0</v>
      </c>
      <c r="V65" s="7" t="n">
        <f aca="false">(V$50&lt;=Sale_Month)*$C$30*MAX(0,MIN(1,(V$50-$F$30+1)/$G$30))*$D$30*(1+$E$30)^MAX(0,ROUNDUP((V$50-$F$30+1)/12,0)-1)</f>
        <v>0</v>
      </c>
      <c r="W65" s="7" t="n">
        <f aca="false">(W$50&lt;=Sale_Month)*$C$30*MAX(0,MIN(1,(W$50-$F$30+1)/$G$30))*$D$30*(1+$E$30)^MAX(0,ROUNDUP((W$50-$F$30+1)/12,0)-1)</f>
        <v>0</v>
      </c>
      <c r="X65" s="7" t="n">
        <f aca="false">(X$50&lt;=Sale_Month)*$C$30*MAX(0,MIN(1,(X$50-$F$30+1)/$G$30))*$D$30*(1+$E$30)^MAX(0,ROUNDUP((X$50-$F$30+1)/12,0)-1)</f>
        <v>0</v>
      </c>
      <c r="Y65" s="7" t="n">
        <f aca="false">(Y$50&lt;=Sale_Month)*$C$30*MAX(0,MIN(1,(Y$50-$F$30+1)/$G$30))*$D$30*(1+$E$30)^MAX(0,ROUNDUP((Y$50-$F$30+1)/12,0)-1)</f>
        <v>0</v>
      </c>
      <c r="Z65" s="7" t="n">
        <f aca="false">(Z$50&lt;=Sale_Month)*$C$30*MAX(0,MIN(1,(Z$50-$F$30+1)/$G$30))*$D$30*(1+$E$30)^MAX(0,ROUNDUP((Z$50-$F$30+1)/12,0)-1)</f>
        <v>0</v>
      </c>
      <c r="AA65" s="7" t="n">
        <f aca="false">(AA$50&lt;=Sale_Month)*$C$30*MAX(0,MIN(1,(AA$50-$F$30+1)/$G$30))*$D$30*(1+$E$30)^MAX(0,ROUNDUP((AA$50-$F$30+1)/12,0)-1)</f>
        <v>0</v>
      </c>
      <c r="AB65" s="7" t="n">
        <f aca="false">(AB$50&lt;=Sale_Month)*$C$30*MAX(0,MIN(1,(AB$50-$F$30+1)/$G$30))*$D$30*(1+$E$30)^MAX(0,ROUNDUP((AB$50-$F$30+1)/12,0)-1)</f>
        <v>0</v>
      </c>
      <c r="AC65" s="7" t="n">
        <f aca="false">(AC$50&lt;=Sale_Month)*$C$30*MAX(0,MIN(1,(AC$50-$F$30+1)/$G$30))*$D$30*(1+$E$30)^MAX(0,ROUNDUP((AC$50-$F$30+1)/12,0)-1)</f>
        <v>0</v>
      </c>
      <c r="AD65" s="7" t="n">
        <f aca="false">(AD$50&lt;=Sale_Month)*$C$30*MAX(0,MIN(1,(AD$50-$F$30+1)/$G$30))*$D$30*(1+$E$30)^MAX(0,ROUNDUP((AD$50-$F$30+1)/12,0)-1)</f>
        <v>0</v>
      </c>
      <c r="AE65" s="7" t="n">
        <f aca="false">(AE$50&lt;=Sale_Month)*$C$30*MAX(0,MIN(1,(AE$50-$F$30+1)/$G$30))*$D$30*(1+$E$30)^MAX(0,ROUNDUP((AE$50-$F$30+1)/12,0)-1)</f>
        <v>0</v>
      </c>
      <c r="AF65" s="7" t="n">
        <f aca="false">(AF$50&lt;=Sale_Month)*$C$30*MAX(0,MIN(1,(AF$50-$F$30+1)/$G$30))*$D$30*(1+$E$30)^MAX(0,ROUNDUP((AF$50-$F$30+1)/12,0)-1)</f>
        <v>0</v>
      </c>
      <c r="AG65" s="7" t="n">
        <f aca="false">(AG$50&lt;=Sale_Month)*$C$30*MAX(0,MIN(1,(AG$50-$F$30+1)/$G$30))*$D$30*(1+$E$30)^MAX(0,ROUNDUP((AG$50-$F$30+1)/12,0)-1)</f>
        <v>0</v>
      </c>
      <c r="AH65" s="7" t="n">
        <f aca="false">(AH$50&lt;=Sale_Month)*$C$30*MAX(0,MIN(1,(AH$50-$F$30+1)/$G$30))*$D$30*(1+$E$30)^MAX(0,ROUNDUP((AH$50-$F$30+1)/12,0)-1)</f>
        <v>0</v>
      </c>
      <c r="AI65" s="7" t="n">
        <f aca="false">(AI$50&lt;=Sale_Month)*$C$30*MAX(0,MIN(1,(AI$50-$F$30+1)/$G$30))*$D$30*(1+$E$30)^MAX(0,ROUNDUP((AI$50-$F$30+1)/12,0)-1)</f>
        <v>0</v>
      </c>
      <c r="AJ65" s="7" t="n">
        <f aca="false">(AJ$50&lt;=Sale_Month)*$C$30*MAX(0,MIN(1,(AJ$50-$F$30+1)/$G$30))*$D$30*(1+$E$30)^MAX(0,ROUNDUP((AJ$50-$F$30+1)/12,0)-1)</f>
        <v>0</v>
      </c>
      <c r="AK65" s="7" t="n">
        <f aca="false">(AK$50&lt;=Sale_Month)*$C$30*MAX(0,MIN(1,(AK$50-$F$30+1)/$G$30))*$D$30*(1+$E$30)^MAX(0,ROUNDUP((AK$50-$F$30+1)/12,0)-1)</f>
        <v>0</v>
      </c>
      <c r="AL65" s="7" t="n">
        <f aca="false">(AL$50&lt;=Sale_Month)*$C$30*MAX(0,MIN(1,(AL$50-$F$30+1)/$G$30))*$D$30*(1+$E$30)^MAX(0,ROUNDUP((AL$50-$F$30+1)/12,0)-1)</f>
        <v>0</v>
      </c>
      <c r="AM65" s="7" t="n">
        <f aca="false">(AM$50&lt;=Sale_Month)*$C$30*MAX(0,MIN(1,(AM$50-$F$30+1)/$G$30))*$D$30*(1+$E$30)^MAX(0,ROUNDUP((AM$50-$F$30+1)/12,0)-1)</f>
        <v>0</v>
      </c>
      <c r="AN65" s="7" t="n">
        <f aca="false">(AN$50&lt;=Sale_Month)*$C$30*MAX(0,MIN(1,(AN$50-$F$30+1)/$G$30))*$D$30*(1+$E$30)^MAX(0,ROUNDUP((AN$50-$F$30+1)/12,0)-1)</f>
        <v>0</v>
      </c>
      <c r="AO65" s="7" t="n">
        <f aca="false">(AO$50&lt;=Sale_Month)*$C$30*MAX(0,MIN(1,(AO$50-$F$30+1)/$G$30))*$D$30*(1+$E$30)^MAX(0,ROUNDUP((AO$50-$F$30+1)/12,0)-1)</f>
        <v>0</v>
      </c>
      <c r="AP65" s="7" t="n">
        <f aca="false">(AP$50&lt;=Sale_Month)*$C$30*MAX(0,MIN(1,(AP$50-$F$30+1)/$G$30))*$D$30*(1+$E$30)^MAX(0,ROUNDUP((AP$50-$F$30+1)/12,0)-1)</f>
        <v>0</v>
      </c>
      <c r="AQ65" s="7" t="n">
        <f aca="false">(AQ$50&lt;=Sale_Month)*$C$30*MAX(0,MIN(1,(AQ$50-$F$30+1)/$G$30))*$D$30*(1+$E$30)^MAX(0,ROUNDUP((AQ$50-$F$30+1)/12,0)-1)</f>
        <v>119111.111111111</v>
      </c>
      <c r="AR65" s="7" t="n">
        <f aca="false">(AR$50&lt;=Sale_Month)*$C$30*MAX(0,MIN(1,(AR$50-$F$30+1)/$G$30))*$D$30*(1+$E$30)^MAX(0,ROUNDUP((AR$50-$F$30+1)/12,0)-1)</f>
        <v>238222.222222222</v>
      </c>
      <c r="AS65" s="7" t="n">
        <f aca="false">(AS$50&lt;=Sale_Month)*$C$30*MAX(0,MIN(1,(AS$50-$F$30+1)/$G$30))*$D$30*(1+$E$30)^MAX(0,ROUNDUP((AS$50-$F$30+1)/12,0)-1)</f>
        <v>357333.333333333</v>
      </c>
      <c r="AT65" s="7" t="n">
        <f aca="false">(AT$50&lt;=Sale_Month)*$C$30*MAX(0,MIN(1,(AT$50-$F$30+1)/$G$30))*$D$30*(1+$E$30)^MAX(0,ROUNDUP((AT$50-$F$30+1)/12,0)-1)</f>
        <v>476444.444444444</v>
      </c>
      <c r="AU65" s="7" t="n">
        <f aca="false">(AU$50&lt;=Sale_Month)*$C$30*MAX(0,MIN(1,(AU$50-$F$30+1)/$G$30))*$D$30*(1+$E$30)^MAX(0,ROUNDUP((AU$50-$F$30+1)/12,0)-1)</f>
        <v>595555.555555556</v>
      </c>
      <c r="AV65" s="7" t="n">
        <f aca="false">(AV$50&lt;=Sale_Month)*$C$30*MAX(0,MIN(1,(AV$50-$F$30+1)/$G$30))*$D$30*(1+$E$30)^MAX(0,ROUNDUP((AV$50-$F$30+1)/12,0)-1)</f>
        <v>714666.666666667</v>
      </c>
      <c r="AW65" s="7" t="n">
        <f aca="false">(AW$50&lt;=Sale_Month)*$C$30*MAX(0,MIN(1,(AW$50-$F$30+1)/$G$30))*$D$30*(1+$E$30)^MAX(0,ROUNDUP((AW$50-$F$30+1)/12,0)-1)</f>
        <v>833777.777777778</v>
      </c>
      <c r="AX65" s="7" t="n">
        <f aca="false">(AX$50&lt;=Sale_Month)*$C$30*MAX(0,MIN(1,(AX$50-$F$30+1)/$G$30))*$D$30*(1+$E$30)^MAX(0,ROUNDUP((AX$50-$F$30+1)/12,0)-1)</f>
        <v>952888.888888889</v>
      </c>
      <c r="AY65" s="7" t="n">
        <f aca="false">(AY$50&lt;=Sale_Month)*$C$30*MAX(0,MIN(1,(AY$50-$F$30+1)/$G$30))*$D$30*(1+$E$30)^MAX(0,ROUNDUP((AY$50-$F$30+1)/12,0)-1)</f>
        <v>1072000</v>
      </c>
      <c r="AZ65" s="7" t="n">
        <f aca="false">(AZ$50&lt;=Sale_Month)*$C$30*MAX(0,MIN(1,(AZ$50-$F$30+1)/$G$30))*$D$30*(1+$E$30)^MAX(0,ROUNDUP((AZ$50-$F$30+1)/12,0)-1)</f>
        <v>1072000</v>
      </c>
      <c r="BA65" s="7" t="n">
        <f aca="false">(BA$50&lt;=Sale_Month)*$C$30*MAX(0,MIN(1,(BA$50-$F$30+1)/$G$30))*$D$30*(1+$E$30)^MAX(0,ROUNDUP((BA$50-$F$30+1)/12,0)-1)</f>
        <v>1072000</v>
      </c>
      <c r="BB65" s="7" t="n">
        <f aca="false">(BB$50&lt;=Sale_Month)*$C$30*MAX(0,MIN(1,(BB$50-$F$30+1)/$G$30))*$D$30*(1+$E$30)^MAX(0,ROUNDUP((BB$50-$F$30+1)/12,0)-1)</f>
        <v>1072000</v>
      </c>
      <c r="BC65" s="7" t="n">
        <f aca="false">(BC$50&lt;=Sale_Month)*$C$30*MAX(0,MIN(1,(BC$50-$F$30+1)/$G$30))*$D$30*(1+$E$30)^MAX(0,ROUNDUP((BC$50-$F$30+1)/12,0)-1)</f>
        <v>1098800</v>
      </c>
      <c r="BD65" s="7" t="n">
        <f aca="false">(BD$50&lt;=Sale_Month)*$C$30*MAX(0,MIN(1,(BD$50-$F$30+1)/$G$30))*$D$30*(1+$E$30)^MAX(0,ROUNDUP((BD$50-$F$30+1)/12,0)-1)</f>
        <v>1098800</v>
      </c>
      <c r="BE65" s="7" t="n">
        <f aca="false">(BE$50&lt;=Sale_Month)*$C$30*MAX(0,MIN(1,(BE$50-$F$30+1)/$G$30))*$D$30*(1+$E$30)^MAX(0,ROUNDUP((BE$50-$F$30+1)/12,0)-1)</f>
        <v>1098800</v>
      </c>
      <c r="BF65" s="7" t="n">
        <f aca="false">(BF$50&lt;=Sale_Month)*$C$30*MAX(0,MIN(1,(BF$50-$F$30+1)/$G$30))*$D$30*(1+$E$30)^MAX(0,ROUNDUP((BF$50-$F$30+1)/12,0)-1)</f>
        <v>1098800</v>
      </c>
      <c r="BG65" s="7" t="n">
        <f aca="false">(BG$50&lt;=Sale_Month)*$C$30*MAX(0,MIN(1,(BG$50-$F$30+1)/$G$30))*$D$30*(1+$E$30)^MAX(0,ROUNDUP((BG$50-$F$30+1)/12,0)-1)</f>
        <v>1098800</v>
      </c>
      <c r="BH65" s="7" t="n">
        <f aca="false">(BH$50&lt;=Sale_Month)*$C$30*MAX(0,MIN(1,(BH$50-$F$30+1)/$G$30))*$D$30*(1+$E$30)^MAX(0,ROUNDUP((BH$50-$F$30+1)/12,0)-1)</f>
        <v>1098800</v>
      </c>
      <c r="BI65" s="7" t="n">
        <f aca="false">(BI$50&lt;=Sale_Month)*$C$30*MAX(0,MIN(1,(BI$50-$F$30+1)/$G$30))*$D$30*(1+$E$30)^MAX(0,ROUNDUP((BI$50-$F$30+1)/12,0)-1)</f>
        <v>1098800</v>
      </c>
      <c r="BJ65" s="7" t="n">
        <f aca="false">(BJ$50&lt;=Sale_Month)*$C$30*MAX(0,MIN(1,(BJ$50-$F$30+1)/$G$30))*$D$30*(1+$E$30)^MAX(0,ROUNDUP((BJ$50-$F$30+1)/12,0)-1)</f>
        <v>1098800</v>
      </c>
      <c r="BK65" s="7" t="n">
        <f aca="false">(BK$50&lt;=Sale_Month)*$C$30*MAX(0,MIN(1,(BK$50-$F$30+1)/$G$30))*$D$30*(1+$E$30)^MAX(0,ROUNDUP((BK$50-$F$30+1)/12,0)-1)</f>
        <v>1098800</v>
      </c>
      <c r="BL65" s="7" t="n">
        <f aca="false">(BL$50&lt;=Sale_Month)*$C$30*MAX(0,MIN(1,(BL$50-$F$30+1)/$G$30))*$D$30*(1+$E$30)^MAX(0,ROUNDUP((BL$50-$F$30+1)/12,0)-1)</f>
        <v>1098800</v>
      </c>
      <c r="BM65" s="7" t="n">
        <f aca="false">(BM$50&lt;=Sale_Month)*$C$30*MAX(0,MIN(1,(BM$50-$F$30+1)/$G$30))*$D$30*(1+$E$30)^MAX(0,ROUNDUP((BM$50-$F$30+1)/12,0)-1)</f>
        <v>1098800</v>
      </c>
      <c r="BN65" s="7" t="n">
        <f aca="false">(BN$50&lt;=Sale_Month)*$C$30*MAX(0,MIN(1,(BN$50-$F$30+1)/$G$30))*$D$30*(1+$E$30)^MAX(0,ROUNDUP((BN$50-$F$30+1)/12,0)-1)</f>
        <v>1098800</v>
      </c>
      <c r="BO65" s="7" t="n">
        <f aca="false">(BO$50&lt;=Sale_Month)*$C$30*MAX(0,MIN(1,(BO$50-$F$30+1)/$G$30))*$D$30*(1+$E$30)^MAX(0,ROUNDUP((BO$50-$F$30+1)/12,0)-1)</f>
        <v>1126270</v>
      </c>
      <c r="BP65" s="7" t="n">
        <f aca="false">(BP$50&lt;=Sale_Month)*$C$30*MAX(0,MIN(1,(BP$50-$F$30+1)/$G$30))*$D$30*(1+$E$30)^MAX(0,ROUNDUP((BP$50-$F$30+1)/12,0)-1)</f>
        <v>1126270</v>
      </c>
      <c r="BQ65" s="7" t="n">
        <f aca="false">(BQ$50&lt;=Sale_Month)*$C$30*MAX(0,MIN(1,(BQ$50-$F$30+1)/$G$30))*$D$30*(1+$E$30)^MAX(0,ROUNDUP((BQ$50-$F$30+1)/12,0)-1)</f>
        <v>1126270</v>
      </c>
      <c r="BR65" s="7" t="n">
        <f aca="false">(BR$50&lt;=Sale_Month)*$C$30*MAX(0,MIN(1,(BR$50-$F$30+1)/$G$30))*$D$30*(1+$E$30)^MAX(0,ROUNDUP((BR$50-$F$30+1)/12,0)-1)</f>
        <v>1126270</v>
      </c>
      <c r="BS65" s="7" t="n">
        <f aca="false">(BS$50&lt;=Sale_Month)*$C$30*MAX(0,MIN(1,(BS$50-$F$30+1)/$G$30))*$D$30*(1+$E$30)^MAX(0,ROUNDUP((BS$50-$F$30+1)/12,0)-1)</f>
        <v>1126270</v>
      </c>
      <c r="BT65" s="7" t="n">
        <f aca="false">(BT$50&lt;=Sale_Month)*$C$30*MAX(0,MIN(1,(BT$50-$F$30+1)/$G$30))*$D$30*(1+$E$30)^MAX(0,ROUNDUP((BT$50-$F$30+1)/12,0)-1)</f>
        <v>1126270</v>
      </c>
      <c r="BU65" s="7" t="n">
        <f aca="false">(BU$50&lt;=Sale_Month)*$C$30*MAX(0,MIN(1,(BU$50-$F$30+1)/$G$30))*$D$30*(1+$E$30)^MAX(0,ROUNDUP((BU$50-$F$30+1)/12,0)-1)</f>
        <v>1126270</v>
      </c>
      <c r="BV65" s="7" t="n">
        <f aca="false">(BV$50&lt;=Sale_Month)*$C$30*MAX(0,MIN(1,(BV$50-$F$30+1)/$G$30))*$D$30*(1+$E$30)^MAX(0,ROUNDUP((BV$50-$F$30+1)/12,0)-1)</f>
        <v>1126270</v>
      </c>
      <c r="BW65" s="7" t="n">
        <f aca="false">(BW$50&lt;=Sale_Month)*$C$30*MAX(0,MIN(1,(BW$50-$F$30+1)/$G$30))*$D$30*(1+$E$30)^MAX(0,ROUNDUP((BW$50-$F$30+1)/12,0)-1)</f>
        <v>1126270</v>
      </c>
      <c r="BX65" s="7" t="n">
        <f aca="false">(BX$50&lt;=Sale_Month)*$C$30*MAX(0,MIN(1,(BX$50-$F$30+1)/$G$30))*$D$30*(1+$E$30)^MAX(0,ROUNDUP((BX$50-$F$30+1)/12,0)-1)</f>
        <v>1126270</v>
      </c>
      <c r="BY65" s="7" t="n">
        <f aca="false">(BY$50&lt;=Sale_Month)*$C$30*MAX(0,MIN(1,(BY$50-$F$30+1)/$G$30))*$D$30*(1+$E$30)^MAX(0,ROUNDUP((BY$50-$F$30+1)/12,0)-1)</f>
        <v>1126270</v>
      </c>
      <c r="BZ65" s="7" t="n">
        <f aca="false">(BZ$50&lt;=Sale_Month)*$C$30*MAX(0,MIN(1,(BZ$50-$F$30+1)/$G$30))*$D$30*(1+$E$30)^MAX(0,ROUNDUP((BZ$50-$F$30+1)/12,0)-1)</f>
        <v>1126270</v>
      </c>
      <c r="CA65" s="7" t="n">
        <f aca="false">(CA$50&lt;=Sale_Month)*$C$30*MAX(0,MIN(1,(CA$50-$F$30+1)/$G$30))*$D$30*(1+$E$30)^MAX(0,ROUNDUP((CA$50-$F$30+1)/12,0)-1)</f>
        <v>1154426.75</v>
      </c>
      <c r="CB65" s="7" t="n">
        <f aca="false">(CB$50&lt;=Sale_Month)*$C$30*MAX(0,MIN(1,(CB$50-$F$30+1)/$G$30))*$D$30*(1+$E$30)^MAX(0,ROUNDUP((CB$50-$F$30+1)/12,0)-1)</f>
        <v>1154426.75</v>
      </c>
      <c r="CC65" s="7" t="n">
        <f aca="false">(CC$50&lt;=Sale_Month)*$C$30*MAX(0,MIN(1,(CC$50-$F$30+1)/$G$30))*$D$30*(1+$E$30)^MAX(0,ROUNDUP((CC$50-$F$30+1)/12,0)-1)</f>
        <v>1154426.75</v>
      </c>
      <c r="CD65" s="7" t="n">
        <f aca="false">(CD$50&lt;=Sale_Month)*$C$30*MAX(0,MIN(1,(CD$50-$F$30+1)/$G$30))*$D$30*(1+$E$30)^MAX(0,ROUNDUP((CD$50-$F$30+1)/12,0)-1)</f>
        <v>1154426.75</v>
      </c>
      <c r="CE65" s="7" t="n">
        <f aca="false">(CE$50&lt;=Sale_Month)*$C$30*MAX(0,MIN(1,(CE$50-$F$30+1)/$G$30))*$D$30*(1+$E$30)^MAX(0,ROUNDUP((CE$50-$F$30+1)/12,0)-1)</f>
        <v>1154426.75</v>
      </c>
      <c r="CF65" s="7" t="n">
        <f aca="false">(CF$50&lt;=Sale_Month)*$C$30*MAX(0,MIN(1,(CF$50-$F$30+1)/$G$30))*$D$30*(1+$E$30)^MAX(0,ROUNDUP((CF$50-$F$30+1)/12,0)-1)</f>
        <v>1154426.75</v>
      </c>
      <c r="CG65" s="7" t="n">
        <f aca="false">(CG$50&lt;=Sale_Month)*$C$30*MAX(0,MIN(1,(CG$50-$F$30+1)/$G$30))*$D$30*(1+$E$30)^MAX(0,ROUNDUP((CG$50-$F$30+1)/12,0)-1)</f>
        <v>1154426.75</v>
      </c>
      <c r="CH65" s="7" t="n">
        <f aca="false">(CH$50&lt;=Sale_Month)*$C$30*MAX(0,MIN(1,(CH$50-$F$30+1)/$G$30))*$D$30*(1+$E$30)^MAX(0,ROUNDUP((CH$50-$F$30+1)/12,0)-1)</f>
        <v>1154426.75</v>
      </c>
      <c r="CI65" s="7" t="n">
        <f aca="false">(CI$50&lt;=Sale_Month)*$C$30*MAX(0,MIN(1,(CI$50-$F$30+1)/$G$30))*$D$30*(1+$E$30)^MAX(0,ROUNDUP((CI$50-$F$30+1)/12,0)-1)</f>
        <v>1154426.75</v>
      </c>
      <c r="CJ65" s="7" t="n">
        <f aca="false">(CJ$50&lt;=Sale_Month)*$C$30*MAX(0,MIN(1,(CJ$50-$F$30+1)/$G$30))*$D$30*(1+$E$30)^MAX(0,ROUNDUP((CJ$50-$F$30+1)/12,0)-1)</f>
        <v>1154426.75</v>
      </c>
      <c r="CK65" s="7" t="n">
        <f aca="false">(CK$50&lt;=Sale_Month)*$C$30*MAX(0,MIN(1,(CK$50-$F$30+1)/$G$30))*$D$30*(1+$E$30)^MAX(0,ROUNDUP((CK$50-$F$30+1)/12,0)-1)</f>
        <v>1154426.75</v>
      </c>
      <c r="CL65" s="7" t="n">
        <f aca="false">(CL$50&lt;=Sale_Month)*$C$30*MAX(0,MIN(1,(CL$50-$F$30+1)/$G$30))*$D$30*(1+$E$30)^MAX(0,ROUNDUP((CL$50-$F$30+1)/12,0)-1)</f>
        <v>1154426.75</v>
      </c>
      <c r="CM65" s="7" t="n">
        <f aca="false">(CM$50&lt;=Sale_Month)*$C$30*MAX(0,MIN(1,(CM$50-$F$30+1)/$G$30))*$D$30*(1+$E$30)^MAX(0,ROUNDUP((CM$50-$F$30+1)/12,0)-1)</f>
        <v>1183287.41875</v>
      </c>
      <c r="CN65" s="7" t="n">
        <f aca="false">(CN$50&lt;=Sale_Month)*$C$30*MAX(0,MIN(1,(CN$50-$F$30+1)/$G$30))*$D$30*(1+$E$30)^MAX(0,ROUNDUP((CN$50-$F$30+1)/12,0)-1)</f>
        <v>0</v>
      </c>
      <c r="CO65" s="7" t="n">
        <f aca="false">(CO$50&lt;=Sale_Month)*$C$30*MAX(0,MIN(1,(CO$50-$F$30+1)/$G$30))*$D$30*(1+$E$30)^MAX(0,ROUNDUP((CO$50-$F$30+1)/12,0)-1)</f>
        <v>0</v>
      </c>
      <c r="CP65" s="7" t="n">
        <f aca="false">(CP$50&lt;=Sale_Month)*$C$30*MAX(0,MIN(1,(CP$50-$F$30+1)/$G$30))*$D$30*(1+$E$30)^MAX(0,ROUNDUP((CP$50-$F$30+1)/12,0)-1)</f>
        <v>0</v>
      </c>
      <c r="CQ65" s="7" t="n">
        <f aca="false">(CQ$50&lt;=Sale_Month)*$C$30*MAX(0,MIN(1,(CQ$50-$F$30+1)/$G$30))*$D$30*(1+$E$30)^MAX(0,ROUNDUP((CQ$50-$F$30+1)/12,0)-1)</f>
        <v>0</v>
      </c>
      <c r="CR65" s="7" t="n">
        <f aca="false">(CR$50&lt;=Sale_Month)*$C$30*MAX(0,MIN(1,(CR$50-$F$30+1)/$G$30))*$D$30*(1+$E$30)^MAX(0,ROUNDUP((CR$50-$F$30+1)/12,0)-1)</f>
        <v>0</v>
      </c>
      <c r="CS65" s="7" t="n">
        <f aca="false">(CS$50&lt;=Sale_Month)*$C$30*MAX(0,MIN(1,(CS$50-$F$30+1)/$G$30))*$D$30*(1+$E$30)^MAX(0,ROUNDUP((CS$50-$F$30+1)/12,0)-1)</f>
        <v>0</v>
      </c>
      <c r="CT65" s="7" t="n">
        <f aca="false">(CT$50&lt;=Sale_Month)*$C$30*MAX(0,MIN(1,(CT$50-$F$30+1)/$G$30))*$D$30*(1+$E$30)^MAX(0,ROUNDUP((CT$50-$F$30+1)/12,0)-1)</f>
        <v>0</v>
      </c>
      <c r="CU65" s="7" t="n">
        <f aca="false">(CU$50&lt;=Sale_Month)*$C$30*MAX(0,MIN(1,(CU$50-$F$30+1)/$G$30))*$D$30*(1+$E$30)^MAX(0,ROUNDUP((CU$50-$F$30+1)/12,0)-1)</f>
        <v>0</v>
      </c>
      <c r="CV65" s="7" t="n">
        <f aca="false">(CV$50&lt;=Sale_Month)*$C$30*MAX(0,MIN(1,(CV$50-$F$30+1)/$G$30))*$D$30*(1+$E$30)^MAX(0,ROUNDUP((CV$50-$F$30+1)/12,0)-1)</f>
        <v>0</v>
      </c>
      <c r="CW65" s="7" t="n">
        <f aca="false">(CW$50&lt;=Sale_Month)*$C$30*MAX(0,MIN(1,(CW$50-$F$30+1)/$G$30))*$D$30*(1+$E$30)^MAX(0,ROUNDUP((CW$50-$F$30+1)/12,0)-1)</f>
        <v>0</v>
      </c>
      <c r="CX65" s="7" t="n">
        <f aca="false">(CX$50&lt;=Sale_Month)*$C$30*MAX(0,MIN(1,(CX$50-$F$30+1)/$G$30))*$D$30*(1+$E$30)^MAX(0,ROUNDUP((CX$50-$F$30+1)/12,0)-1)</f>
        <v>0</v>
      </c>
      <c r="CY65" s="7" t="n">
        <f aca="false">(CY$50&lt;=Sale_Month)*$C$30*MAX(0,MIN(1,(CY$50-$F$30+1)/$G$30))*$D$30*(1+$E$30)^MAX(0,ROUNDUP((CY$50-$F$30+1)/12,0)-1)</f>
        <v>0</v>
      </c>
    </row>
    <row r="66" customFormat="false" ht="15" hidden="false" customHeight="false" outlineLevel="0" collapsed="false">
      <c r="B66" s="0" t="s">
        <v>81</v>
      </c>
      <c r="S66" s="7" t="n">
        <f aca="false">(S$50&lt;=Sale_Month)*$C$31*MAX(0,MIN(1,(S$50-$F$31+1)/$G$31))*$D$31*(1+$E$31)^MAX(0,ROUNDUP((S$50-$F$31+1)/12,0)-1)</f>
        <v>0</v>
      </c>
      <c r="T66" s="7" t="n">
        <f aca="false">(T$50&lt;=Sale_Month)*$C$31*MAX(0,MIN(1,(T$50-$F$31+1)/$G$31))*$D$31*(1+$E$31)^MAX(0,ROUNDUP((T$50-$F$31+1)/12,0)-1)</f>
        <v>0</v>
      </c>
      <c r="U66" s="7" t="n">
        <f aca="false">(U$50&lt;=Sale_Month)*$C$31*MAX(0,MIN(1,(U$50-$F$31+1)/$G$31))*$D$31*(1+$E$31)^MAX(0,ROUNDUP((U$50-$F$31+1)/12,0)-1)</f>
        <v>0</v>
      </c>
      <c r="V66" s="7" t="n">
        <f aca="false">(V$50&lt;=Sale_Month)*$C$31*MAX(0,MIN(1,(V$50-$F$31+1)/$G$31))*$D$31*(1+$E$31)^MAX(0,ROUNDUP((V$50-$F$31+1)/12,0)-1)</f>
        <v>0</v>
      </c>
      <c r="W66" s="7" t="n">
        <f aca="false">(W$50&lt;=Sale_Month)*$C$31*MAX(0,MIN(1,(W$50-$F$31+1)/$G$31))*$D$31*(1+$E$31)^MAX(0,ROUNDUP((W$50-$F$31+1)/12,0)-1)</f>
        <v>0</v>
      </c>
      <c r="X66" s="7" t="n">
        <f aca="false">(X$50&lt;=Sale_Month)*$C$31*MAX(0,MIN(1,(X$50-$F$31+1)/$G$31))*$D$31*(1+$E$31)^MAX(0,ROUNDUP((X$50-$F$31+1)/12,0)-1)</f>
        <v>0</v>
      </c>
      <c r="Y66" s="7" t="n">
        <f aca="false">(Y$50&lt;=Sale_Month)*$C$31*MAX(0,MIN(1,(Y$50-$F$31+1)/$G$31))*$D$31*(1+$E$31)^MAX(0,ROUNDUP((Y$50-$F$31+1)/12,0)-1)</f>
        <v>0</v>
      </c>
      <c r="Z66" s="7" t="n">
        <f aca="false">(Z$50&lt;=Sale_Month)*$C$31*MAX(0,MIN(1,(Z$50-$F$31+1)/$G$31))*$D$31*(1+$E$31)^MAX(0,ROUNDUP((Z$50-$F$31+1)/12,0)-1)</f>
        <v>0</v>
      </c>
      <c r="AA66" s="7" t="n">
        <f aca="false">(AA$50&lt;=Sale_Month)*$C$31*MAX(0,MIN(1,(AA$50-$F$31+1)/$G$31))*$D$31*(1+$E$31)^MAX(0,ROUNDUP((AA$50-$F$31+1)/12,0)-1)</f>
        <v>0</v>
      </c>
      <c r="AB66" s="7" t="n">
        <f aca="false">(AB$50&lt;=Sale_Month)*$C$31*MAX(0,MIN(1,(AB$50-$F$31+1)/$G$31))*$D$31*(1+$E$31)^MAX(0,ROUNDUP((AB$50-$F$31+1)/12,0)-1)</f>
        <v>0</v>
      </c>
      <c r="AC66" s="7" t="n">
        <f aca="false">(AC$50&lt;=Sale_Month)*$C$31*MAX(0,MIN(1,(AC$50-$F$31+1)/$G$31))*$D$31*(1+$E$31)^MAX(0,ROUNDUP((AC$50-$F$31+1)/12,0)-1)</f>
        <v>0</v>
      </c>
      <c r="AD66" s="7" t="n">
        <f aca="false">(AD$50&lt;=Sale_Month)*$C$31*MAX(0,MIN(1,(AD$50-$F$31+1)/$G$31))*$D$31*(1+$E$31)^MAX(0,ROUNDUP((AD$50-$F$31+1)/12,0)-1)</f>
        <v>0</v>
      </c>
      <c r="AE66" s="7" t="n">
        <f aca="false">(AE$50&lt;=Sale_Month)*$C$31*MAX(0,MIN(1,(AE$50-$F$31+1)/$G$31))*$D$31*(1+$E$31)^MAX(0,ROUNDUP((AE$50-$F$31+1)/12,0)-1)</f>
        <v>0</v>
      </c>
      <c r="AF66" s="7" t="n">
        <f aca="false">(AF$50&lt;=Sale_Month)*$C$31*MAX(0,MIN(1,(AF$50-$F$31+1)/$G$31))*$D$31*(1+$E$31)^MAX(0,ROUNDUP((AF$50-$F$31+1)/12,0)-1)</f>
        <v>0</v>
      </c>
      <c r="AG66" s="7" t="n">
        <f aca="false">(AG$50&lt;=Sale_Month)*$C$31*MAX(0,MIN(1,(AG$50-$F$31+1)/$G$31))*$D$31*(1+$E$31)^MAX(0,ROUNDUP((AG$50-$F$31+1)/12,0)-1)</f>
        <v>0</v>
      </c>
      <c r="AH66" s="7" t="n">
        <f aca="false">(AH$50&lt;=Sale_Month)*$C$31*MAX(0,MIN(1,(AH$50-$F$31+1)/$G$31))*$D$31*(1+$E$31)^MAX(0,ROUNDUP((AH$50-$F$31+1)/12,0)-1)</f>
        <v>0</v>
      </c>
      <c r="AI66" s="7" t="n">
        <f aca="false">(AI$50&lt;=Sale_Month)*$C$31*MAX(0,MIN(1,(AI$50-$F$31+1)/$G$31))*$D$31*(1+$E$31)^MAX(0,ROUNDUP((AI$50-$F$31+1)/12,0)-1)</f>
        <v>0</v>
      </c>
      <c r="AJ66" s="7" t="n">
        <f aca="false">(AJ$50&lt;=Sale_Month)*$C$31*MAX(0,MIN(1,(AJ$50-$F$31+1)/$G$31))*$D$31*(1+$E$31)^MAX(0,ROUNDUP((AJ$50-$F$31+1)/12,0)-1)</f>
        <v>0</v>
      </c>
      <c r="AK66" s="7" t="n">
        <f aca="false">(AK$50&lt;=Sale_Month)*$C$31*MAX(0,MIN(1,(AK$50-$F$31+1)/$G$31))*$D$31*(1+$E$31)^MAX(0,ROUNDUP((AK$50-$F$31+1)/12,0)-1)</f>
        <v>0</v>
      </c>
      <c r="AL66" s="7" t="n">
        <f aca="false">(AL$50&lt;=Sale_Month)*$C$31*MAX(0,MIN(1,(AL$50-$F$31+1)/$G$31))*$D$31*(1+$E$31)^MAX(0,ROUNDUP((AL$50-$F$31+1)/12,0)-1)</f>
        <v>0</v>
      </c>
      <c r="AM66" s="7" t="n">
        <f aca="false">(AM$50&lt;=Sale_Month)*$C$31*MAX(0,MIN(1,(AM$50-$F$31+1)/$G$31))*$D$31*(1+$E$31)^MAX(0,ROUNDUP((AM$50-$F$31+1)/12,0)-1)</f>
        <v>0</v>
      </c>
      <c r="AN66" s="7" t="n">
        <f aca="false">(AN$50&lt;=Sale_Month)*$C$31*MAX(0,MIN(1,(AN$50-$F$31+1)/$G$31))*$D$31*(1+$E$31)^MAX(0,ROUNDUP((AN$50-$F$31+1)/12,0)-1)</f>
        <v>0</v>
      </c>
      <c r="AO66" s="7" t="n">
        <f aca="false">(AO$50&lt;=Sale_Month)*$C$31*MAX(0,MIN(1,(AO$50-$F$31+1)/$G$31))*$D$31*(1+$E$31)^MAX(0,ROUNDUP((AO$50-$F$31+1)/12,0)-1)</f>
        <v>27083.3333333333</v>
      </c>
      <c r="AP66" s="7" t="n">
        <f aca="false">(AP$50&lt;=Sale_Month)*$C$31*MAX(0,MIN(1,(AP$50-$F$31+1)/$G$31))*$D$31*(1+$E$31)^MAX(0,ROUNDUP((AP$50-$F$31+1)/12,0)-1)</f>
        <v>54166.6666666667</v>
      </c>
      <c r="AQ66" s="7" t="n">
        <f aca="false">(AQ$50&lt;=Sale_Month)*$C$31*MAX(0,MIN(1,(AQ$50-$F$31+1)/$G$31))*$D$31*(1+$E$31)^MAX(0,ROUNDUP((AQ$50-$F$31+1)/12,0)-1)</f>
        <v>81250</v>
      </c>
      <c r="AR66" s="7" t="n">
        <f aca="false">(AR$50&lt;=Sale_Month)*$C$31*MAX(0,MIN(1,(AR$50-$F$31+1)/$G$31))*$D$31*(1+$E$31)^MAX(0,ROUNDUP((AR$50-$F$31+1)/12,0)-1)</f>
        <v>108333.333333333</v>
      </c>
      <c r="AS66" s="7" t="n">
        <f aca="false">(AS$50&lt;=Sale_Month)*$C$31*MAX(0,MIN(1,(AS$50-$F$31+1)/$G$31))*$D$31*(1+$E$31)^MAX(0,ROUNDUP((AS$50-$F$31+1)/12,0)-1)</f>
        <v>135416.666666667</v>
      </c>
      <c r="AT66" s="7" t="n">
        <f aca="false">(AT$50&lt;=Sale_Month)*$C$31*MAX(0,MIN(1,(AT$50-$F$31+1)/$G$31))*$D$31*(1+$E$31)^MAX(0,ROUNDUP((AT$50-$F$31+1)/12,0)-1)</f>
        <v>162500</v>
      </c>
      <c r="AU66" s="7" t="n">
        <f aca="false">(AU$50&lt;=Sale_Month)*$C$31*MAX(0,MIN(1,(AU$50-$F$31+1)/$G$31))*$D$31*(1+$E$31)^MAX(0,ROUNDUP((AU$50-$F$31+1)/12,0)-1)</f>
        <v>189583.333333333</v>
      </c>
      <c r="AV66" s="7" t="n">
        <f aca="false">(AV$50&lt;=Sale_Month)*$C$31*MAX(0,MIN(1,(AV$50-$F$31+1)/$G$31))*$D$31*(1+$E$31)^MAX(0,ROUNDUP((AV$50-$F$31+1)/12,0)-1)</f>
        <v>216666.666666667</v>
      </c>
      <c r="AW66" s="7" t="n">
        <f aca="false">(AW$50&lt;=Sale_Month)*$C$31*MAX(0,MIN(1,(AW$50-$F$31+1)/$G$31))*$D$31*(1+$E$31)^MAX(0,ROUNDUP((AW$50-$F$31+1)/12,0)-1)</f>
        <v>243750</v>
      </c>
      <c r="AX66" s="7" t="n">
        <f aca="false">(AX$50&lt;=Sale_Month)*$C$31*MAX(0,MIN(1,(AX$50-$F$31+1)/$G$31))*$D$31*(1+$E$31)^MAX(0,ROUNDUP((AX$50-$F$31+1)/12,0)-1)</f>
        <v>270833.333333333</v>
      </c>
      <c r="AY66" s="7" t="n">
        <f aca="false">(AY$50&lt;=Sale_Month)*$C$31*MAX(0,MIN(1,(AY$50-$F$31+1)/$G$31))*$D$31*(1+$E$31)^MAX(0,ROUNDUP((AY$50-$F$31+1)/12,0)-1)</f>
        <v>297916.666666667</v>
      </c>
      <c r="AZ66" s="7" t="n">
        <f aca="false">(AZ$50&lt;=Sale_Month)*$C$31*MAX(0,MIN(1,(AZ$50-$F$31+1)/$G$31))*$D$31*(1+$E$31)^MAX(0,ROUNDUP((AZ$50-$F$31+1)/12,0)-1)</f>
        <v>325000</v>
      </c>
      <c r="BA66" s="7" t="n">
        <f aca="false">(BA$50&lt;=Sale_Month)*$C$31*MAX(0,MIN(1,(BA$50-$F$31+1)/$G$31))*$D$31*(1+$E$31)^MAX(0,ROUNDUP((BA$50-$F$31+1)/12,0)-1)</f>
        <v>362645.833333333</v>
      </c>
      <c r="BB66" s="7" t="n">
        <f aca="false">(BB$50&lt;=Sale_Month)*$C$31*MAX(0,MIN(1,(BB$50-$F$31+1)/$G$31))*$D$31*(1+$E$31)^MAX(0,ROUNDUP((BB$50-$F$31+1)/12,0)-1)</f>
        <v>390541.666666667</v>
      </c>
      <c r="BC66" s="7" t="n">
        <f aca="false">(BC$50&lt;=Sale_Month)*$C$31*MAX(0,MIN(1,(BC$50-$F$31+1)/$G$31))*$D$31*(1+$E$31)^MAX(0,ROUNDUP((BC$50-$F$31+1)/12,0)-1)</f>
        <v>418437.5</v>
      </c>
      <c r="BD66" s="7" t="n">
        <f aca="false">(BD$50&lt;=Sale_Month)*$C$31*MAX(0,MIN(1,(BD$50-$F$31+1)/$G$31))*$D$31*(1+$E$31)^MAX(0,ROUNDUP((BD$50-$F$31+1)/12,0)-1)</f>
        <v>446333.333333333</v>
      </c>
      <c r="BE66" s="7" t="n">
        <f aca="false">(BE$50&lt;=Sale_Month)*$C$31*MAX(0,MIN(1,(BE$50-$F$31+1)/$G$31))*$D$31*(1+$E$31)^MAX(0,ROUNDUP((BE$50-$F$31+1)/12,0)-1)</f>
        <v>474229.166666667</v>
      </c>
      <c r="BF66" s="7" t="n">
        <f aca="false">(BF$50&lt;=Sale_Month)*$C$31*MAX(0,MIN(1,(BF$50-$F$31+1)/$G$31))*$D$31*(1+$E$31)^MAX(0,ROUNDUP((BF$50-$F$31+1)/12,0)-1)</f>
        <v>502125</v>
      </c>
      <c r="BG66" s="7" t="n">
        <f aca="false">(BG$50&lt;=Sale_Month)*$C$31*MAX(0,MIN(1,(BG$50-$F$31+1)/$G$31))*$D$31*(1+$E$31)^MAX(0,ROUNDUP((BG$50-$F$31+1)/12,0)-1)</f>
        <v>502125</v>
      </c>
      <c r="BH66" s="7" t="n">
        <f aca="false">(BH$50&lt;=Sale_Month)*$C$31*MAX(0,MIN(1,(BH$50-$F$31+1)/$G$31))*$D$31*(1+$E$31)^MAX(0,ROUNDUP((BH$50-$F$31+1)/12,0)-1)</f>
        <v>502125</v>
      </c>
      <c r="BI66" s="7" t="n">
        <f aca="false">(BI$50&lt;=Sale_Month)*$C$31*MAX(0,MIN(1,(BI$50-$F$31+1)/$G$31))*$D$31*(1+$E$31)^MAX(0,ROUNDUP((BI$50-$F$31+1)/12,0)-1)</f>
        <v>502125</v>
      </c>
      <c r="BJ66" s="7" t="n">
        <f aca="false">(BJ$50&lt;=Sale_Month)*$C$31*MAX(0,MIN(1,(BJ$50-$F$31+1)/$G$31))*$D$31*(1+$E$31)^MAX(0,ROUNDUP((BJ$50-$F$31+1)/12,0)-1)</f>
        <v>502125</v>
      </c>
      <c r="BK66" s="7" t="n">
        <f aca="false">(BK$50&lt;=Sale_Month)*$C$31*MAX(0,MIN(1,(BK$50-$F$31+1)/$G$31))*$D$31*(1+$E$31)^MAX(0,ROUNDUP((BK$50-$F$31+1)/12,0)-1)</f>
        <v>502125</v>
      </c>
      <c r="BL66" s="7" t="n">
        <f aca="false">(BL$50&lt;=Sale_Month)*$C$31*MAX(0,MIN(1,(BL$50-$F$31+1)/$G$31))*$D$31*(1+$E$31)^MAX(0,ROUNDUP((BL$50-$F$31+1)/12,0)-1)</f>
        <v>502125</v>
      </c>
      <c r="BM66" s="7" t="n">
        <f aca="false">(BM$50&lt;=Sale_Month)*$C$31*MAX(0,MIN(1,(BM$50-$F$31+1)/$G$31))*$D$31*(1+$E$31)^MAX(0,ROUNDUP((BM$50-$F$31+1)/12,0)-1)</f>
        <v>517188.75</v>
      </c>
      <c r="BN66" s="7" t="n">
        <f aca="false">(BN$50&lt;=Sale_Month)*$C$31*MAX(0,MIN(1,(BN$50-$F$31+1)/$G$31))*$D$31*(1+$E$31)^MAX(0,ROUNDUP((BN$50-$F$31+1)/12,0)-1)</f>
        <v>517188.75</v>
      </c>
      <c r="BO66" s="7" t="n">
        <f aca="false">(BO$50&lt;=Sale_Month)*$C$31*MAX(0,MIN(1,(BO$50-$F$31+1)/$G$31))*$D$31*(1+$E$31)^MAX(0,ROUNDUP((BO$50-$F$31+1)/12,0)-1)</f>
        <v>517188.75</v>
      </c>
      <c r="BP66" s="7" t="n">
        <f aca="false">(BP$50&lt;=Sale_Month)*$C$31*MAX(0,MIN(1,(BP$50-$F$31+1)/$G$31))*$D$31*(1+$E$31)^MAX(0,ROUNDUP((BP$50-$F$31+1)/12,0)-1)</f>
        <v>517188.75</v>
      </c>
      <c r="BQ66" s="7" t="n">
        <f aca="false">(BQ$50&lt;=Sale_Month)*$C$31*MAX(0,MIN(1,(BQ$50-$F$31+1)/$G$31))*$D$31*(1+$E$31)^MAX(0,ROUNDUP((BQ$50-$F$31+1)/12,0)-1)</f>
        <v>517188.75</v>
      </c>
      <c r="BR66" s="7" t="n">
        <f aca="false">(BR$50&lt;=Sale_Month)*$C$31*MAX(0,MIN(1,(BR$50-$F$31+1)/$G$31))*$D$31*(1+$E$31)^MAX(0,ROUNDUP((BR$50-$F$31+1)/12,0)-1)</f>
        <v>517188.75</v>
      </c>
      <c r="BS66" s="7" t="n">
        <f aca="false">(BS$50&lt;=Sale_Month)*$C$31*MAX(0,MIN(1,(BS$50-$F$31+1)/$G$31))*$D$31*(1+$E$31)^MAX(0,ROUNDUP((BS$50-$F$31+1)/12,0)-1)</f>
        <v>517188.75</v>
      </c>
      <c r="BT66" s="7" t="n">
        <f aca="false">(BT$50&lt;=Sale_Month)*$C$31*MAX(0,MIN(1,(BT$50-$F$31+1)/$G$31))*$D$31*(1+$E$31)^MAX(0,ROUNDUP((BT$50-$F$31+1)/12,0)-1)</f>
        <v>517188.75</v>
      </c>
      <c r="BU66" s="7" t="n">
        <f aca="false">(BU$50&lt;=Sale_Month)*$C$31*MAX(0,MIN(1,(BU$50-$F$31+1)/$G$31))*$D$31*(1+$E$31)^MAX(0,ROUNDUP((BU$50-$F$31+1)/12,0)-1)</f>
        <v>517188.75</v>
      </c>
      <c r="BV66" s="7" t="n">
        <f aca="false">(BV$50&lt;=Sale_Month)*$C$31*MAX(0,MIN(1,(BV$50-$F$31+1)/$G$31))*$D$31*(1+$E$31)^MAX(0,ROUNDUP((BV$50-$F$31+1)/12,0)-1)</f>
        <v>517188.75</v>
      </c>
      <c r="BW66" s="7" t="n">
        <f aca="false">(BW$50&lt;=Sale_Month)*$C$31*MAX(0,MIN(1,(BW$50-$F$31+1)/$G$31))*$D$31*(1+$E$31)^MAX(0,ROUNDUP((BW$50-$F$31+1)/12,0)-1)</f>
        <v>517188.75</v>
      </c>
      <c r="BX66" s="7" t="n">
        <f aca="false">(BX$50&lt;=Sale_Month)*$C$31*MAX(0,MIN(1,(BX$50-$F$31+1)/$G$31))*$D$31*(1+$E$31)^MAX(0,ROUNDUP((BX$50-$F$31+1)/12,0)-1)</f>
        <v>517188.75</v>
      </c>
      <c r="BY66" s="7" t="n">
        <f aca="false">(BY$50&lt;=Sale_Month)*$C$31*MAX(0,MIN(1,(BY$50-$F$31+1)/$G$31))*$D$31*(1+$E$31)^MAX(0,ROUNDUP((BY$50-$F$31+1)/12,0)-1)</f>
        <v>532704.4125</v>
      </c>
      <c r="BZ66" s="7" t="n">
        <f aca="false">(BZ$50&lt;=Sale_Month)*$C$31*MAX(0,MIN(1,(BZ$50-$F$31+1)/$G$31))*$D$31*(1+$E$31)^MAX(0,ROUNDUP((BZ$50-$F$31+1)/12,0)-1)</f>
        <v>532704.4125</v>
      </c>
      <c r="CA66" s="7" t="n">
        <f aca="false">(CA$50&lt;=Sale_Month)*$C$31*MAX(0,MIN(1,(CA$50-$F$31+1)/$G$31))*$D$31*(1+$E$31)^MAX(0,ROUNDUP((CA$50-$F$31+1)/12,0)-1)</f>
        <v>532704.4125</v>
      </c>
      <c r="CB66" s="7" t="n">
        <f aca="false">(CB$50&lt;=Sale_Month)*$C$31*MAX(0,MIN(1,(CB$50-$F$31+1)/$G$31))*$D$31*(1+$E$31)^MAX(0,ROUNDUP((CB$50-$F$31+1)/12,0)-1)</f>
        <v>532704.4125</v>
      </c>
      <c r="CC66" s="7" t="n">
        <f aca="false">(CC$50&lt;=Sale_Month)*$C$31*MAX(0,MIN(1,(CC$50-$F$31+1)/$G$31))*$D$31*(1+$E$31)^MAX(0,ROUNDUP((CC$50-$F$31+1)/12,0)-1)</f>
        <v>532704.4125</v>
      </c>
      <c r="CD66" s="7" t="n">
        <f aca="false">(CD$50&lt;=Sale_Month)*$C$31*MAX(0,MIN(1,(CD$50-$F$31+1)/$G$31))*$D$31*(1+$E$31)^MAX(0,ROUNDUP((CD$50-$F$31+1)/12,0)-1)</f>
        <v>532704.4125</v>
      </c>
      <c r="CE66" s="7" t="n">
        <f aca="false">(CE$50&lt;=Sale_Month)*$C$31*MAX(0,MIN(1,(CE$50-$F$31+1)/$G$31))*$D$31*(1+$E$31)^MAX(0,ROUNDUP((CE$50-$F$31+1)/12,0)-1)</f>
        <v>532704.4125</v>
      </c>
      <c r="CF66" s="7" t="n">
        <f aca="false">(CF$50&lt;=Sale_Month)*$C$31*MAX(0,MIN(1,(CF$50-$F$31+1)/$G$31))*$D$31*(1+$E$31)^MAX(0,ROUNDUP((CF$50-$F$31+1)/12,0)-1)</f>
        <v>532704.4125</v>
      </c>
      <c r="CG66" s="7" t="n">
        <f aca="false">(CG$50&lt;=Sale_Month)*$C$31*MAX(0,MIN(1,(CG$50-$F$31+1)/$G$31))*$D$31*(1+$E$31)^MAX(0,ROUNDUP((CG$50-$F$31+1)/12,0)-1)</f>
        <v>532704.4125</v>
      </c>
      <c r="CH66" s="7" t="n">
        <f aca="false">(CH$50&lt;=Sale_Month)*$C$31*MAX(0,MIN(1,(CH$50-$F$31+1)/$G$31))*$D$31*(1+$E$31)^MAX(0,ROUNDUP((CH$50-$F$31+1)/12,0)-1)</f>
        <v>532704.4125</v>
      </c>
      <c r="CI66" s="7" t="n">
        <f aca="false">(CI$50&lt;=Sale_Month)*$C$31*MAX(0,MIN(1,(CI$50-$F$31+1)/$G$31))*$D$31*(1+$E$31)^MAX(0,ROUNDUP((CI$50-$F$31+1)/12,0)-1)</f>
        <v>532704.4125</v>
      </c>
      <c r="CJ66" s="7" t="n">
        <f aca="false">(CJ$50&lt;=Sale_Month)*$C$31*MAX(0,MIN(1,(CJ$50-$F$31+1)/$G$31))*$D$31*(1+$E$31)^MAX(0,ROUNDUP((CJ$50-$F$31+1)/12,0)-1)</f>
        <v>532704.4125</v>
      </c>
      <c r="CK66" s="7" t="n">
        <f aca="false">(CK$50&lt;=Sale_Month)*$C$31*MAX(0,MIN(1,(CK$50-$F$31+1)/$G$31))*$D$31*(1+$E$31)^MAX(0,ROUNDUP((CK$50-$F$31+1)/12,0)-1)</f>
        <v>548685.544875</v>
      </c>
      <c r="CL66" s="7" t="n">
        <f aca="false">(CL$50&lt;=Sale_Month)*$C$31*MAX(0,MIN(1,(CL$50-$F$31+1)/$G$31))*$D$31*(1+$E$31)^MAX(0,ROUNDUP((CL$50-$F$31+1)/12,0)-1)</f>
        <v>548685.544875</v>
      </c>
      <c r="CM66" s="7" t="n">
        <f aca="false">(CM$50&lt;=Sale_Month)*$C$31*MAX(0,MIN(1,(CM$50-$F$31+1)/$G$31))*$D$31*(1+$E$31)^MAX(0,ROUNDUP((CM$50-$F$31+1)/12,0)-1)</f>
        <v>548685.544875</v>
      </c>
      <c r="CN66" s="7" t="n">
        <f aca="false">(CN$50&lt;=Sale_Month)*$C$31*MAX(0,MIN(1,(CN$50-$F$31+1)/$G$31))*$D$31*(1+$E$31)^MAX(0,ROUNDUP((CN$50-$F$31+1)/12,0)-1)</f>
        <v>0</v>
      </c>
      <c r="CO66" s="7" t="n">
        <f aca="false">(CO$50&lt;=Sale_Month)*$C$31*MAX(0,MIN(1,(CO$50-$F$31+1)/$G$31))*$D$31*(1+$E$31)^MAX(0,ROUNDUP((CO$50-$F$31+1)/12,0)-1)</f>
        <v>0</v>
      </c>
      <c r="CP66" s="7" t="n">
        <f aca="false">(CP$50&lt;=Sale_Month)*$C$31*MAX(0,MIN(1,(CP$50-$F$31+1)/$G$31))*$D$31*(1+$E$31)^MAX(0,ROUNDUP((CP$50-$F$31+1)/12,0)-1)</f>
        <v>0</v>
      </c>
      <c r="CQ66" s="7" t="n">
        <f aca="false">(CQ$50&lt;=Sale_Month)*$C$31*MAX(0,MIN(1,(CQ$50-$F$31+1)/$G$31))*$D$31*(1+$E$31)^MAX(0,ROUNDUP((CQ$50-$F$31+1)/12,0)-1)</f>
        <v>0</v>
      </c>
      <c r="CR66" s="7" t="n">
        <f aca="false">(CR$50&lt;=Sale_Month)*$C$31*MAX(0,MIN(1,(CR$50-$F$31+1)/$G$31))*$D$31*(1+$E$31)^MAX(0,ROUNDUP((CR$50-$F$31+1)/12,0)-1)</f>
        <v>0</v>
      </c>
      <c r="CS66" s="7" t="n">
        <f aca="false">(CS$50&lt;=Sale_Month)*$C$31*MAX(0,MIN(1,(CS$50-$F$31+1)/$G$31))*$D$31*(1+$E$31)^MAX(0,ROUNDUP((CS$50-$F$31+1)/12,0)-1)</f>
        <v>0</v>
      </c>
      <c r="CT66" s="7" t="n">
        <f aca="false">(CT$50&lt;=Sale_Month)*$C$31*MAX(0,MIN(1,(CT$50-$F$31+1)/$G$31))*$D$31*(1+$E$31)^MAX(0,ROUNDUP((CT$50-$F$31+1)/12,0)-1)</f>
        <v>0</v>
      </c>
      <c r="CU66" s="7" t="n">
        <f aca="false">(CU$50&lt;=Sale_Month)*$C$31*MAX(0,MIN(1,(CU$50-$F$31+1)/$G$31))*$D$31*(1+$E$31)^MAX(0,ROUNDUP((CU$50-$F$31+1)/12,0)-1)</f>
        <v>0</v>
      </c>
      <c r="CV66" s="7" t="n">
        <f aca="false">(CV$50&lt;=Sale_Month)*$C$31*MAX(0,MIN(1,(CV$50-$F$31+1)/$G$31))*$D$31*(1+$E$31)^MAX(0,ROUNDUP((CV$50-$F$31+1)/12,0)-1)</f>
        <v>0</v>
      </c>
      <c r="CW66" s="7" t="n">
        <f aca="false">(CW$50&lt;=Sale_Month)*$C$31*MAX(0,MIN(1,(CW$50-$F$31+1)/$G$31))*$D$31*(1+$E$31)^MAX(0,ROUNDUP((CW$50-$F$31+1)/12,0)-1)</f>
        <v>0</v>
      </c>
      <c r="CX66" s="7" t="n">
        <f aca="false">(CX$50&lt;=Sale_Month)*$C$31*MAX(0,MIN(1,(CX$50-$F$31+1)/$G$31))*$D$31*(1+$E$31)^MAX(0,ROUNDUP((CX$50-$F$31+1)/12,0)-1)</f>
        <v>0</v>
      </c>
      <c r="CY66" s="7" t="n">
        <f aca="false">(CY$50&lt;=Sale_Month)*$C$31*MAX(0,MIN(1,(CY$50-$F$31+1)/$G$31))*$D$31*(1+$E$31)^MAX(0,ROUNDUP((CY$50-$F$31+1)/12,0)-1)</f>
        <v>0</v>
      </c>
    </row>
    <row r="67" customFormat="false" ht="15" hidden="false" customHeight="false" outlineLevel="0" collapsed="false">
      <c r="B67" s="0" t="s">
        <v>82</v>
      </c>
      <c r="S67" s="7" t="n">
        <f aca="false">(S$50&lt;=Sale_Month)*$C$32*MAX(0,MIN(1,(S$50-$F$32+1)/$G$32))*$D$32*(1+$E$32)^MAX(0,ROUNDUP((S$50-$F$32+1)/12,0)-1)</f>
        <v>0</v>
      </c>
      <c r="T67" s="7" t="n">
        <f aca="false">(T$50&lt;=Sale_Month)*$C$32*MAX(0,MIN(1,(T$50-$F$32+1)/$G$32))*$D$32*(1+$E$32)^MAX(0,ROUNDUP((T$50-$F$32+1)/12,0)-1)</f>
        <v>0</v>
      </c>
      <c r="U67" s="7" t="n">
        <f aca="false">(U$50&lt;=Sale_Month)*$C$32*MAX(0,MIN(1,(U$50-$F$32+1)/$G$32))*$D$32*(1+$E$32)^MAX(0,ROUNDUP((U$50-$F$32+1)/12,0)-1)</f>
        <v>0</v>
      </c>
      <c r="V67" s="7" t="n">
        <f aca="false">(V$50&lt;=Sale_Month)*$C$32*MAX(0,MIN(1,(V$50-$F$32+1)/$G$32))*$D$32*(1+$E$32)^MAX(0,ROUNDUP((V$50-$F$32+1)/12,0)-1)</f>
        <v>0</v>
      </c>
      <c r="W67" s="7" t="n">
        <f aca="false">(W$50&lt;=Sale_Month)*$C$32*MAX(0,MIN(1,(W$50-$F$32+1)/$G$32))*$D$32*(1+$E$32)^MAX(0,ROUNDUP((W$50-$F$32+1)/12,0)-1)</f>
        <v>0</v>
      </c>
      <c r="X67" s="7" t="n">
        <f aca="false">(X$50&lt;=Sale_Month)*$C$32*MAX(0,MIN(1,(X$50-$F$32+1)/$G$32))*$D$32*(1+$E$32)^MAX(0,ROUNDUP((X$50-$F$32+1)/12,0)-1)</f>
        <v>0</v>
      </c>
      <c r="Y67" s="7" t="n">
        <f aca="false">(Y$50&lt;=Sale_Month)*$C$32*MAX(0,MIN(1,(Y$50-$F$32+1)/$G$32))*$D$32*(1+$E$32)^MAX(0,ROUNDUP((Y$50-$F$32+1)/12,0)-1)</f>
        <v>0</v>
      </c>
      <c r="Z67" s="7" t="n">
        <f aca="false">(Z$50&lt;=Sale_Month)*$C$32*MAX(0,MIN(1,(Z$50-$F$32+1)/$G$32))*$D$32*(1+$E$32)^MAX(0,ROUNDUP((Z$50-$F$32+1)/12,0)-1)</f>
        <v>0</v>
      </c>
      <c r="AA67" s="7" t="n">
        <f aca="false">(AA$50&lt;=Sale_Month)*$C$32*MAX(0,MIN(1,(AA$50-$F$32+1)/$G$32))*$D$32*(1+$E$32)^MAX(0,ROUNDUP((AA$50-$F$32+1)/12,0)-1)</f>
        <v>0</v>
      </c>
      <c r="AB67" s="7" t="n">
        <f aca="false">(AB$50&lt;=Sale_Month)*$C$32*MAX(0,MIN(1,(AB$50-$F$32+1)/$G$32))*$D$32*(1+$E$32)^MAX(0,ROUNDUP((AB$50-$F$32+1)/12,0)-1)</f>
        <v>0</v>
      </c>
      <c r="AC67" s="7" t="n">
        <f aca="false">(AC$50&lt;=Sale_Month)*$C$32*MAX(0,MIN(1,(AC$50-$F$32+1)/$G$32))*$D$32*(1+$E$32)^MAX(0,ROUNDUP((AC$50-$F$32+1)/12,0)-1)</f>
        <v>0</v>
      </c>
      <c r="AD67" s="7" t="n">
        <f aca="false">(AD$50&lt;=Sale_Month)*$C$32*MAX(0,MIN(1,(AD$50-$F$32+1)/$G$32))*$D$32*(1+$E$32)^MAX(0,ROUNDUP((AD$50-$F$32+1)/12,0)-1)</f>
        <v>0</v>
      </c>
      <c r="AE67" s="7" t="n">
        <f aca="false">(AE$50&lt;=Sale_Month)*$C$32*MAX(0,MIN(1,(AE$50-$F$32+1)/$G$32))*$D$32*(1+$E$32)^MAX(0,ROUNDUP((AE$50-$F$32+1)/12,0)-1)</f>
        <v>0</v>
      </c>
      <c r="AF67" s="7" t="n">
        <f aca="false">(AF$50&lt;=Sale_Month)*$C$32*MAX(0,MIN(1,(AF$50-$F$32+1)/$G$32))*$D$32*(1+$E$32)^MAX(0,ROUNDUP((AF$50-$F$32+1)/12,0)-1)</f>
        <v>0</v>
      </c>
      <c r="AG67" s="7" t="n">
        <f aca="false">(AG$50&lt;=Sale_Month)*$C$32*MAX(0,MIN(1,(AG$50-$F$32+1)/$G$32))*$D$32*(1+$E$32)^MAX(0,ROUNDUP((AG$50-$F$32+1)/12,0)-1)</f>
        <v>0</v>
      </c>
      <c r="AH67" s="7" t="n">
        <f aca="false">(AH$50&lt;=Sale_Month)*$C$32*MAX(0,MIN(1,(AH$50-$F$32+1)/$G$32))*$D$32*(1+$E$32)^MAX(0,ROUNDUP((AH$50-$F$32+1)/12,0)-1)</f>
        <v>0</v>
      </c>
      <c r="AI67" s="7" t="n">
        <f aca="false">(AI$50&lt;=Sale_Month)*$C$32*MAX(0,MIN(1,(AI$50-$F$32+1)/$G$32))*$D$32*(1+$E$32)^MAX(0,ROUNDUP((AI$50-$F$32+1)/12,0)-1)</f>
        <v>0</v>
      </c>
      <c r="AJ67" s="7" t="n">
        <f aca="false">(AJ$50&lt;=Sale_Month)*$C$32*MAX(0,MIN(1,(AJ$50-$F$32+1)/$G$32))*$D$32*(1+$E$32)^MAX(0,ROUNDUP((AJ$50-$F$32+1)/12,0)-1)</f>
        <v>0</v>
      </c>
      <c r="AK67" s="7" t="n">
        <f aca="false">(AK$50&lt;=Sale_Month)*$C$32*MAX(0,MIN(1,(AK$50-$F$32+1)/$G$32))*$D$32*(1+$E$32)^MAX(0,ROUNDUP((AK$50-$F$32+1)/12,0)-1)</f>
        <v>0</v>
      </c>
      <c r="AL67" s="7" t="n">
        <f aca="false">(AL$50&lt;=Sale_Month)*$C$32*MAX(0,MIN(1,(AL$50-$F$32+1)/$G$32))*$D$32*(1+$E$32)^MAX(0,ROUNDUP((AL$50-$F$32+1)/12,0)-1)</f>
        <v>0</v>
      </c>
      <c r="AM67" s="7" t="n">
        <f aca="false">(AM$50&lt;=Sale_Month)*$C$32*MAX(0,MIN(1,(AM$50-$F$32+1)/$G$32))*$D$32*(1+$E$32)^MAX(0,ROUNDUP((AM$50-$F$32+1)/12,0)-1)</f>
        <v>0</v>
      </c>
      <c r="AN67" s="7" t="n">
        <f aca="false">(AN$50&lt;=Sale_Month)*$C$32*MAX(0,MIN(1,(AN$50-$F$32+1)/$G$32))*$D$32*(1+$E$32)^MAX(0,ROUNDUP((AN$50-$F$32+1)/12,0)-1)</f>
        <v>0</v>
      </c>
      <c r="AO67" s="7" t="n">
        <f aca="false">(AO$50&lt;=Sale_Month)*$C$32*MAX(0,MIN(1,(AO$50-$F$32+1)/$G$32))*$D$32*(1+$E$32)^MAX(0,ROUNDUP((AO$50-$F$32+1)/12,0)-1)</f>
        <v>0</v>
      </c>
      <c r="AP67" s="7" t="n">
        <f aca="false">(AP$50&lt;=Sale_Month)*$C$32*MAX(0,MIN(1,(AP$50-$F$32+1)/$G$32))*$D$32*(1+$E$32)^MAX(0,ROUNDUP((AP$50-$F$32+1)/12,0)-1)</f>
        <v>0</v>
      </c>
      <c r="AQ67" s="7" t="n">
        <f aca="false">(AQ$50&lt;=Sale_Month)*$C$32*MAX(0,MIN(1,(AQ$50-$F$32+1)/$G$32))*$D$32*(1+$E$32)^MAX(0,ROUNDUP((AQ$50-$F$32+1)/12,0)-1)</f>
        <v>0</v>
      </c>
      <c r="AR67" s="7" t="n">
        <f aca="false">(AR$50&lt;=Sale_Month)*$C$32*MAX(0,MIN(1,(AR$50-$F$32+1)/$G$32))*$D$32*(1+$E$32)^MAX(0,ROUNDUP((AR$50-$F$32+1)/12,0)-1)</f>
        <v>0</v>
      </c>
      <c r="AS67" s="7" t="n">
        <f aca="false">(AS$50&lt;=Sale_Month)*$C$32*MAX(0,MIN(1,(AS$50-$F$32+1)/$G$32))*$D$32*(1+$E$32)^MAX(0,ROUNDUP((AS$50-$F$32+1)/12,0)-1)</f>
        <v>42500</v>
      </c>
      <c r="AT67" s="7" t="n">
        <f aca="false">(AT$50&lt;=Sale_Month)*$C$32*MAX(0,MIN(1,(AT$50-$F$32+1)/$G$32))*$D$32*(1+$E$32)^MAX(0,ROUNDUP((AT$50-$F$32+1)/12,0)-1)</f>
        <v>85000</v>
      </c>
      <c r="AU67" s="7" t="n">
        <f aca="false">(AU$50&lt;=Sale_Month)*$C$32*MAX(0,MIN(1,(AU$50-$F$32+1)/$G$32))*$D$32*(1+$E$32)^MAX(0,ROUNDUP((AU$50-$F$32+1)/12,0)-1)</f>
        <v>127500</v>
      </c>
      <c r="AV67" s="7" t="n">
        <f aca="false">(AV$50&lt;=Sale_Month)*$C$32*MAX(0,MIN(1,(AV$50-$F$32+1)/$G$32))*$D$32*(1+$E$32)^MAX(0,ROUNDUP((AV$50-$F$32+1)/12,0)-1)</f>
        <v>170000</v>
      </c>
      <c r="AW67" s="7" t="n">
        <f aca="false">(AW$50&lt;=Sale_Month)*$C$32*MAX(0,MIN(1,(AW$50-$F$32+1)/$G$32))*$D$32*(1+$E$32)^MAX(0,ROUNDUP((AW$50-$F$32+1)/12,0)-1)</f>
        <v>212500</v>
      </c>
      <c r="AX67" s="7" t="n">
        <f aca="false">(AX$50&lt;=Sale_Month)*$C$32*MAX(0,MIN(1,(AX$50-$F$32+1)/$G$32))*$D$32*(1+$E$32)^MAX(0,ROUNDUP((AX$50-$F$32+1)/12,0)-1)</f>
        <v>255000</v>
      </c>
      <c r="AY67" s="7" t="n">
        <f aca="false">(AY$50&lt;=Sale_Month)*$C$32*MAX(0,MIN(1,(AY$50-$F$32+1)/$G$32))*$D$32*(1+$E$32)^MAX(0,ROUNDUP((AY$50-$F$32+1)/12,0)-1)</f>
        <v>255000</v>
      </c>
      <c r="AZ67" s="7" t="n">
        <f aca="false">(AZ$50&lt;=Sale_Month)*$C$32*MAX(0,MIN(1,(AZ$50-$F$32+1)/$G$32))*$D$32*(1+$E$32)^MAX(0,ROUNDUP((AZ$50-$F$32+1)/12,0)-1)</f>
        <v>255000</v>
      </c>
      <c r="BA67" s="7" t="n">
        <f aca="false">(BA$50&lt;=Sale_Month)*$C$32*MAX(0,MIN(1,(BA$50-$F$32+1)/$G$32))*$D$32*(1+$E$32)^MAX(0,ROUNDUP((BA$50-$F$32+1)/12,0)-1)</f>
        <v>255000</v>
      </c>
      <c r="BB67" s="7" t="n">
        <f aca="false">(BB$50&lt;=Sale_Month)*$C$32*MAX(0,MIN(1,(BB$50-$F$32+1)/$G$32))*$D$32*(1+$E$32)^MAX(0,ROUNDUP((BB$50-$F$32+1)/12,0)-1)</f>
        <v>255000</v>
      </c>
      <c r="BC67" s="7" t="n">
        <f aca="false">(BC$50&lt;=Sale_Month)*$C$32*MAX(0,MIN(1,(BC$50-$F$32+1)/$G$32))*$D$32*(1+$E$32)^MAX(0,ROUNDUP((BC$50-$F$32+1)/12,0)-1)</f>
        <v>255000</v>
      </c>
      <c r="BD67" s="7" t="n">
        <f aca="false">(BD$50&lt;=Sale_Month)*$C$32*MAX(0,MIN(1,(BD$50-$F$32+1)/$G$32))*$D$32*(1+$E$32)^MAX(0,ROUNDUP((BD$50-$F$32+1)/12,0)-1)</f>
        <v>255000</v>
      </c>
      <c r="BE67" s="7" t="n">
        <f aca="false">(BE$50&lt;=Sale_Month)*$C$32*MAX(0,MIN(1,(BE$50-$F$32+1)/$G$32))*$D$32*(1+$E$32)^MAX(0,ROUNDUP((BE$50-$F$32+1)/12,0)-1)</f>
        <v>262650</v>
      </c>
      <c r="BF67" s="7" t="n">
        <f aca="false">(BF$50&lt;=Sale_Month)*$C$32*MAX(0,MIN(1,(BF$50-$F$32+1)/$G$32))*$D$32*(1+$E$32)^MAX(0,ROUNDUP((BF$50-$F$32+1)/12,0)-1)</f>
        <v>262650</v>
      </c>
      <c r="BG67" s="7" t="n">
        <f aca="false">(BG$50&lt;=Sale_Month)*$C$32*MAX(0,MIN(1,(BG$50-$F$32+1)/$G$32))*$D$32*(1+$E$32)^MAX(0,ROUNDUP((BG$50-$F$32+1)/12,0)-1)</f>
        <v>262650</v>
      </c>
      <c r="BH67" s="7" t="n">
        <f aca="false">(BH$50&lt;=Sale_Month)*$C$32*MAX(0,MIN(1,(BH$50-$F$32+1)/$G$32))*$D$32*(1+$E$32)^MAX(0,ROUNDUP((BH$50-$F$32+1)/12,0)-1)</f>
        <v>262650</v>
      </c>
      <c r="BI67" s="7" t="n">
        <f aca="false">(BI$50&lt;=Sale_Month)*$C$32*MAX(0,MIN(1,(BI$50-$F$32+1)/$G$32))*$D$32*(1+$E$32)^MAX(0,ROUNDUP((BI$50-$F$32+1)/12,0)-1)</f>
        <v>262650</v>
      </c>
      <c r="BJ67" s="7" t="n">
        <f aca="false">(BJ$50&lt;=Sale_Month)*$C$32*MAX(0,MIN(1,(BJ$50-$F$32+1)/$G$32))*$D$32*(1+$E$32)^MAX(0,ROUNDUP((BJ$50-$F$32+1)/12,0)-1)</f>
        <v>262650</v>
      </c>
      <c r="BK67" s="7" t="n">
        <f aca="false">(BK$50&lt;=Sale_Month)*$C$32*MAX(0,MIN(1,(BK$50-$F$32+1)/$G$32))*$D$32*(1+$E$32)^MAX(0,ROUNDUP((BK$50-$F$32+1)/12,0)-1)</f>
        <v>262650</v>
      </c>
      <c r="BL67" s="7" t="n">
        <f aca="false">(BL$50&lt;=Sale_Month)*$C$32*MAX(0,MIN(1,(BL$50-$F$32+1)/$G$32))*$D$32*(1+$E$32)^MAX(0,ROUNDUP((BL$50-$F$32+1)/12,0)-1)</f>
        <v>262650</v>
      </c>
      <c r="BM67" s="7" t="n">
        <f aca="false">(BM$50&lt;=Sale_Month)*$C$32*MAX(0,MIN(1,(BM$50-$F$32+1)/$G$32))*$D$32*(1+$E$32)^MAX(0,ROUNDUP((BM$50-$F$32+1)/12,0)-1)</f>
        <v>262650</v>
      </c>
      <c r="BN67" s="7" t="n">
        <f aca="false">(BN$50&lt;=Sale_Month)*$C$32*MAX(0,MIN(1,(BN$50-$F$32+1)/$G$32))*$D$32*(1+$E$32)^MAX(0,ROUNDUP((BN$50-$F$32+1)/12,0)-1)</f>
        <v>262650</v>
      </c>
      <c r="BO67" s="7" t="n">
        <f aca="false">(BO$50&lt;=Sale_Month)*$C$32*MAX(0,MIN(1,(BO$50-$F$32+1)/$G$32))*$D$32*(1+$E$32)^MAX(0,ROUNDUP((BO$50-$F$32+1)/12,0)-1)</f>
        <v>262650</v>
      </c>
      <c r="BP67" s="7" t="n">
        <f aca="false">(BP$50&lt;=Sale_Month)*$C$32*MAX(0,MIN(1,(BP$50-$F$32+1)/$G$32))*$D$32*(1+$E$32)^MAX(0,ROUNDUP((BP$50-$F$32+1)/12,0)-1)</f>
        <v>262650</v>
      </c>
      <c r="BQ67" s="7" t="n">
        <f aca="false">(BQ$50&lt;=Sale_Month)*$C$32*MAX(0,MIN(1,(BQ$50-$F$32+1)/$G$32))*$D$32*(1+$E$32)^MAX(0,ROUNDUP((BQ$50-$F$32+1)/12,0)-1)</f>
        <v>270529.5</v>
      </c>
      <c r="BR67" s="7" t="n">
        <f aca="false">(BR$50&lt;=Sale_Month)*$C$32*MAX(0,MIN(1,(BR$50-$F$32+1)/$G$32))*$D$32*(1+$E$32)^MAX(0,ROUNDUP((BR$50-$F$32+1)/12,0)-1)</f>
        <v>270529.5</v>
      </c>
      <c r="BS67" s="7" t="n">
        <f aca="false">(BS$50&lt;=Sale_Month)*$C$32*MAX(0,MIN(1,(BS$50-$F$32+1)/$G$32))*$D$32*(1+$E$32)^MAX(0,ROUNDUP((BS$50-$F$32+1)/12,0)-1)</f>
        <v>270529.5</v>
      </c>
      <c r="BT67" s="7" t="n">
        <f aca="false">(BT$50&lt;=Sale_Month)*$C$32*MAX(0,MIN(1,(BT$50-$F$32+1)/$G$32))*$D$32*(1+$E$32)^MAX(0,ROUNDUP((BT$50-$F$32+1)/12,0)-1)</f>
        <v>270529.5</v>
      </c>
      <c r="BU67" s="7" t="n">
        <f aca="false">(BU$50&lt;=Sale_Month)*$C$32*MAX(0,MIN(1,(BU$50-$F$32+1)/$G$32))*$D$32*(1+$E$32)^MAX(0,ROUNDUP((BU$50-$F$32+1)/12,0)-1)</f>
        <v>270529.5</v>
      </c>
      <c r="BV67" s="7" t="n">
        <f aca="false">(BV$50&lt;=Sale_Month)*$C$32*MAX(0,MIN(1,(BV$50-$F$32+1)/$G$32))*$D$32*(1+$E$32)^MAX(0,ROUNDUP((BV$50-$F$32+1)/12,0)-1)</f>
        <v>270529.5</v>
      </c>
      <c r="BW67" s="7" t="n">
        <f aca="false">(BW$50&lt;=Sale_Month)*$C$32*MAX(0,MIN(1,(BW$50-$F$32+1)/$G$32))*$D$32*(1+$E$32)^MAX(0,ROUNDUP((BW$50-$F$32+1)/12,0)-1)</f>
        <v>270529.5</v>
      </c>
      <c r="BX67" s="7" t="n">
        <f aca="false">(BX$50&lt;=Sale_Month)*$C$32*MAX(0,MIN(1,(BX$50-$F$32+1)/$G$32))*$D$32*(1+$E$32)^MAX(0,ROUNDUP((BX$50-$F$32+1)/12,0)-1)</f>
        <v>270529.5</v>
      </c>
      <c r="BY67" s="7" t="n">
        <f aca="false">(BY$50&lt;=Sale_Month)*$C$32*MAX(0,MIN(1,(BY$50-$F$32+1)/$G$32))*$D$32*(1+$E$32)^MAX(0,ROUNDUP((BY$50-$F$32+1)/12,0)-1)</f>
        <v>270529.5</v>
      </c>
      <c r="BZ67" s="7" t="n">
        <f aca="false">(BZ$50&lt;=Sale_Month)*$C$32*MAX(0,MIN(1,(BZ$50-$F$32+1)/$G$32))*$D$32*(1+$E$32)^MAX(0,ROUNDUP((BZ$50-$F$32+1)/12,0)-1)</f>
        <v>270529.5</v>
      </c>
      <c r="CA67" s="7" t="n">
        <f aca="false">(CA$50&lt;=Sale_Month)*$C$32*MAX(0,MIN(1,(CA$50-$F$32+1)/$G$32))*$D$32*(1+$E$32)^MAX(0,ROUNDUP((CA$50-$F$32+1)/12,0)-1)</f>
        <v>270529.5</v>
      </c>
      <c r="CB67" s="7" t="n">
        <f aca="false">(CB$50&lt;=Sale_Month)*$C$32*MAX(0,MIN(1,(CB$50-$F$32+1)/$G$32))*$D$32*(1+$E$32)^MAX(0,ROUNDUP((CB$50-$F$32+1)/12,0)-1)</f>
        <v>270529.5</v>
      </c>
      <c r="CC67" s="7" t="n">
        <f aca="false">(CC$50&lt;=Sale_Month)*$C$32*MAX(0,MIN(1,(CC$50-$F$32+1)/$G$32))*$D$32*(1+$E$32)^MAX(0,ROUNDUP((CC$50-$F$32+1)/12,0)-1)</f>
        <v>278645.385</v>
      </c>
      <c r="CD67" s="7" t="n">
        <f aca="false">(CD$50&lt;=Sale_Month)*$C$32*MAX(0,MIN(1,(CD$50-$F$32+1)/$G$32))*$D$32*(1+$E$32)^MAX(0,ROUNDUP((CD$50-$F$32+1)/12,0)-1)</f>
        <v>278645.385</v>
      </c>
      <c r="CE67" s="7" t="n">
        <f aca="false">(CE$50&lt;=Sale_Month)*$C$32*MAX(0,MIN(1,(CE$50-$F$32+1)/$G$32))*$D$32*(1+$E$32)^MAX(0,ROUNDUP((CE$50-$F$32+1)/12,0)-1)</f>
        <v>278645.385</v>
      </c>
      <c r="CF67" s="7" t="n">
        <f aca="false">(CF$50&lt;=Sale_Month)*$C$32*MAX(0,MIN(1,(CF$50-$F$32+1)/$G$32))*$D$32*(1+$E$32)^MAX(0,ROUNDUP((CF$50-$F$32+1)/12,0)-1)</f>
        <v>278645.385</v>
      </c>
      <c r="CG67" s="7" t="n">
        <f aca="false">(CG$50&lt;=Sale_Month)*$C$32*MAX(0,MIN(1,(CG$50-$F$32+1)/$G$32))*$D$32*(1+$E$32)^MAX(0,ROUNDUP((CG$50-$F$32+1)/12,0)-1)</f>
        <v>278645.385</v>
      </c>
      <c r="CH67" s="7" t="n">
        <f aca="false">(CH$50&lt;=Sale_Month)*$C$32*MAX(0,MIN(1,(CH$50-$F$32+1)/$G$32))*$D$32*(1+$E$32)^MAX(0,ROUNDUP((CH$50-$F$32+1)/12,0)-1)</f>
        <v>278645.385</v>
      </c>
      <c r="CI67" s="7" t="n">
        <f aca="false">(CI$50&lt;=Sale_Month)*$C$32*MAX(0,MIN(1,(CI$50-$F$32+1)/$G$32))*$D$32*(1+$E$32)^MAX(0,ROUNDUP((CI$50-$F$32+1)/12,0)-1)</f>
        <v>278645.385</v>
      </c>
      <c r="CJ67" s="7" t="n">
        <f aca="false">(CJ$50&lt;=Sale_Month)*$C$32*MAX(0,MIN(1,(CJ$50-$F$32+1)/$G$32))*$D$32*(1+$E$32)^MAX(0,ROUNDUP((CJ$50-$F$32+1)/12,0)-1)</f>
        <v>278645.385</v>
      </c>
      <c r="CK67" s="7" t="n">
        <f aca="false">(CK$50&lt;=Sale_Month)*$C$32*MAX(0,MIN(1,(CK$50-$F$32+1)/$G$32))*$D$32*(1+$E$32)^MAX(0,ROUNDUP((CK$50-$F$32+1)/12,0)-1)</f>
        <v>278645.385</v>
      </c>
      <c r="CL67" s="7" t="n">
        <f aca="false">(CL$50&lt;=Sale_Month)*$C$32*MAX(0,MIN(1,(CL$50-$F$32+1)/$G$32))*$D$32*(1+$E$32)^MAX(0,ROUNDUP((CL$50-$F$32+1)/12,0)-1)</f>
        <v>278645.385</v>
      </c>
      <c r="CM67" s="7" t="n">
        <f aca="false">(CM$50&lt;=Sale_Month)*$C$32*MAX(0,MIN(1,(CM$50-$F$32+1)/$G$32))*$D$32*(1+$E$32)^MAX(0,ROUNDUP((CM$50-$F$32+1)/12,0)-1)</f>
        <v>278645.385</v>
      </c>
      <c r="CN67" s="7" t="n">
        <f aca="false">(CN$50&lt;=Sale_Month)*$C$32*MAX(0,MIN(1,(CN$50-$F$32+1)/$G$32))*$D$32*(1+$E$32)^MAX(0,ROUNDUP((CN$50-$F$32+1)/12,0)-1)</f>
        <v>0</v>
      </c>
      <c r="CO67" s="7" t="n">
        <f aca="false">(CO$50&lt;=Sale_Month)*$C$32*MAX(0,MIN(1,(CO$50-$F$32+1)/$G$32))*$D$32*(1+$E$32)^MAX(0,ROUNDUP((CO$50-$F$32+1)/12,0)-1)</f>
        <v>0</v>
      </c>
      <c r="CP67" s="7" t="n">
        <f aca="false">(CP$50&lt;=Sale_Month)*$C$32*MAX(0,MIN(1,(CP$50-$F$32+1)/$G$32))*$D$32*(1+$E$32)^MAX(0,ROUNDUP((CP$50-$F$32+1)/12,0)-1)</f>
        <v>0</v>
      </c>
      <c r="CQ67" s="7" t="n">
        <f aca="false">(CQ$50&lt;=Sale_Month)*$C$32*MAX(0,MIN(1,(CQ$50-$F$32+1)/$G$32))*$D$32*(1+$E$32)^MAX(0,ROUNDUP((CQ$50-$F$32+1)/12,0)-1)</f>
        <v>0</v>
      </c>
      <c r="CR67" s="7" t="n">
        <f aca="false">(CR$50&lt;=Sale_Month)*$C$32*MAX(0,MIN(1,(CR$50-$F$32+1)/$G$32))*$D$32*(1+$E$32)^MAX(0,ROUNDUP((CR$50-$F$32+1)/12,0)-1)</f>
        <v>0</v>
      </c>
      <c r="CS67" s="7" t="n">
        <f aca="false">(CS$50&lt;=Sale_Month)*$C$32*MAX(0,MIN(1,(CS$50-$F$32+1)/$G$32))*$D$32*(1+$E$32)^MAX(0,ROUNDUP((CS$50-$F$32+1)/12,0)-1)</f>
        <v>0</v>
      </c>
      <c r="CT67" s="7" t="n">
        <f aca="false">(CT$50&lt;=Sale_Month)*$C$32*MAX(0,MIN(1,(CT$50-$F$32+1)/$G$32))*$D$32*(1+$E$32)^MAX(0,ROUNDUP((CT$50-$F$32+1)/12,0)-1)</f>
        <v>0</v>
      </c>
      <c r="CU67" s="7" t="n">
        <f aca="false">(CU$50&lt;=Sale_Month)*$C$32*MAX(0,MIN(1,(CU$50-$F$32+1)/$G$32))*$D$32*(1+$E$32)^MAX(0,ROUNDUP((CU$50-$F$32+1)/12,0)-1)</f>
        <v>0</v>
      </c>
      <c r="CV67" s="7" t="n">
        <f aca="false">(CV$50&lt;=Sale_Month)*$C$32*MAX(0,MIN(1,(CV$50-$F$32+1)/$G$32))*$D$32*(1+$E$32)^MAX(0,ROUNDUP((CV$50-$F$32+1)/12,0)-1)</f>
        <v>0</v>
      </c>
      <c r="CW67" s="7" t="n">
        <f aca="false">(CW$50&lt;=Sale_Month)*$C$32*MAX(0,MIN(1,(CW$50-$F$32+1)/$G$32))*$D$32*(1+$E$32)^MAX(0,ROUNDUP((CW$50-$F$32+1)/12,0)-1)</f>
        <v>0</v>
      </c>
      <c r="CX67" s="7" t="n">
        <f aca="false">(CX$50&lt;=Sale_Month)*$C$32*MAX(0,MIN(1,(CX$50-$F$32+1)/$G$32))*$D$32*(1+$E$32)^MAX(0,ROUNDUP((CX$50-$F$32+1)/12,0)-1)</f>
        <v>0</v>
      </c>
      <c r="CY67" s="7" t="n">
        <f aca="false">(CY$50&lt;=Sale_Month)*$C$32*MAX(0,MIN(1,(CY$50-$F$32+1)/$G$32))*$D$32*(1+$E$32)^MAX(0,ROUNDUP((CY$50-$F$32+1)/12,0)-1)</f>
        <v>0</v>
      </c>
    </row>
    <row r="68" customFormat="false" ht="15" hidden="false" customHeight="false" outlineLevel="0" collapsed="false">
      <c r="B68" s="0" t="s">
        <v>83</v>
      </c>
      <c r="S68" s="7" t="n">
        <f aca="false">SUM(S64:S67)</f>
        <v>0</v>
      </c>
      <c r="T68" s="7" t="n">
        <f aca="false">SUM(T64:T67)</f>
        <v>0</v>
      </c>
      <c r="U68" s="7" t="n">
        <f aca="false">SUM(U64:U67)</f>
        <v>0</v>
      </c>
      <c r="V68" s="7" t="n">
        <f aca="false">SUM(V64:V67)</f>
        <v>0</v>
      </c>
      <c r="W68" s="7" t="n">
        <f aca="false">SUM(W64:W67)</f>
        <v>0</v>
      </c>
      <c r="X68" s="7" t="n">
        <f aca="false">SUM(X64:X67)</f>
        <v>0</v>
      </c>
      <c r="Y68" s="7" t="n">
        <f aca="false">SUM(Y64:Y67)</f>
        <v>0</v>
      </c>
      <c r="Z68" s="7" t="n">
        <f aca="false">SUM(Z64:Z67)</f>
        <v>0</v>
      </c>
      <c r="AA68" s="7" t="n">
        <f aca="false">SUM(AA64:AA67)</f>
        <v>0</v>
      </c>
      <c r="AB68" s="7" t="n">
        <f aca="false">SUM(AB64:AB67)</f>
        <v>0</v>
      </c>
      <c r="AC68" s="7" t="n">
        <f aca="false">SUM(AC64:AC67)</f>
        <v>0</v>
      </c>
      <c r="AD68" s="7" t="n">
        <f aca="false">SUM(AD64:AD67)</f>
        <v>0</v>
      </c>
      <c r="AE68" s="7" t="n">
        <f aca="false">SUM(AE64:AE67)</f>
        <v>0</v>
      </c>
      <c r="AF68" s="7" t="n">
        <f aca="false">SUM(AF64:AF67)</f>
        <v>0</v>
      </c>
      <c r="AG68" s="7" t="n">
        <f aca="false">SUM(AG64:AG67)</f>
        <v>0</v>
      </c>
      <c r="AH68" s="7" t="n">
        <f aca="false">SUM(AH64:AH67)</f>
        <v>0</v>
      </c>
      <c r="AI68" s="7" t="n">
        <f aca="false">SUM(AI64:AI67)</f>
        <v>0</v>
      </c>
      <c r="AJ68" s="7" t="n">
        <f aca="false">SUM(AJ64:AJ67)</f>
        <v>0</v>
      </c>
      <c r="AK68" s="7" t="n">
        <f aca="false">SUM(AK64:AK67)</f>
        <v>0</v>
      </c>
      <c r="AL68" s="7" t="n">
        <f aca="false">SUM(AL64:AL67)</f>
        <v>0</v>
      </c>
      <c r="AM68" s="7" t="n">
        <f aca="false">SUM(AM64:AM67)</f>
        <v>128000</v>
      </c>
      <c r="AN68" s="7" t="n">
        <f aca="false">SUM(AN64:AN67)</f>
        <v>256000</v>
      </c>
      <c r="AO68" s="7" t="n">
        <f aca="false">SUM(AO64:AO67)</f>
        <v>411083.333333333</v>
      </c>
      <c r="AP68" s="7" t="n">
        <f aca="false">SUM(AP64:AP67)</f>
        <v>566166.666666667</v>
      </c>
      <c r="AQ68" s="7" t="n">
        <f aca="false">SUM(AQ64:AQ67)</f>
        <v>840361.111111111</v>
      </c>
      <c r="AR68" s="7" t="n">
        <f aca="false">SUM(AR64:AR67)</f>
        <v>1114555.55555556</v>
      </c>
      <c r="AS68" s="7" t="n">
        <f aca="false">SUM(AS64:AS67)</f>
        <v>1431250</v>
      </c>
      <c r="AT68" s="7" t="n">
        <f aca="false">SUM(AT64:AT67)</f>
        <v>1747944.44444444</v>
      </c>
      <c r="AU68" s="7" t="n">
        <f aca="false">SUM(AU64:AU67)</f>
        <v>2064638.88888889</v>
      </c>
      <c r="AV68" s="7" t="n">
        <f aca="false">SUM(AV64:AV67)</f>
        <v>2381333.33333333</v>
      </c>
      <c r="AW68" s="7" t="n">
        <f aca="false">SUM(AW64:AW67)</f>
        <v>2698027.77777778</v>
      </c>
      <c r="AX68" s="7" t="n">
        <f aca="false">SUM(AX64:AX67)</f>
        <v>3014722.22222222</v>
      </c>
      <c r="AY68" s="7" t="n">
        <f aca="false">SUM(AY64:AY67)</f>
        <v>3199316.66666667</v>
      </c>
      <c r="AZ68" s="7" t="n">
        <f aca="false">SUM(AZ64:AZ67)</f>
        <v>3226400</v>
      </c>
      <c r="BA68" s="7" t="n">
        <f aca="false">SUM(BA64:BA67)</f>
        <v>3264045.83333333</v>
      </c>
      <c r="BB68" s="7" t="n">
        <f aca="false">SUM(BB64:BB67)</f>
        <v>3291941.66666667</v>
      </c>
      <c r="BC68" s="7" t="n">
        <f aca="false">SUM(BC64:BC67)</f>
        <v>3346637.5</v>
      </c>
      <c r="BD68" s="7" t="n">
        <f aca="false">SUM(BD64:BD67)</f>
        <v>3374533.33333333</v>
      </c>
      <c r="BE68" s="7" t="n">
        <f aca="false">SUM(BE64:BE67)</f>
        <v>3410079.16666667</v>
      </c>
      <c r="BF68" s="7" t="n">
        <f aca="false">SUM(BF64:BF67)</f>
        <v>3437975</v>
      </c>
      <c r="BG68" s="7" t="n">
        <f aca="false">SUM(BG64:BG67)</f>
        <v>3437975</v>
      </c>
      <c r="BH68" s="7" t="n">
        <f aca="false">SUM(BH64:BH67)</f>
        <v>3437975</v>
      </c>
      <c r="BI68" s="7" t="n">
        <f aca="false">SUM(BI64:BI67)</f>
        <v>3437975</v>
      </c>
      <c r="BJ68" s="7" t="n">
        <f aca="false">SUM(BJ64:BJ67)</f>
        <v>3437975</v>
      </c>
      <c r="BK68" s="7" t="n">
        <f aca="false">SUM(BK64:BK67)</f>
        <v>3477335</v>
      </c>
      <c r="BL68" s="7" t="n">
        <f aca="false">SUM(BL64:BL67)</f>
        <v>3477335</v>
      </c>
      <c r="BM68" s="7" t="n">
        <f aca="false">SUM(BM64:BM67)</f>
        <v>3492398.75</v>
      </c>
      <c r="BN68" s="7" t="n">
        <f aca="false">SUM(BN64:BN67)</f>
        <v>3492398.75</v>
      </c>
      <c r="BO68" s="7" t="n">
        <f aca="false">SUM(BO64:BO67)</f>
        <v>3519868.75</v>
      </c>
      <c r="BP68" s="7" t="n">
        <f aca="false">SUM(BP64:BP67)</f>
        <v>3519868.75</v>
      </c>
      <c r="BQ68" s="7" t="n">
        <f aca="false">SUM(BQ64:BQ67)</f>
        <v>3527748.25</v>
      </c>
      <c r="BR68" s="7" t="n">
        <f aca="false">SUM(BR64:BR67)</f>
        <v>3527748.25</v>
      </c>
      <c r="BS68" s="7" t="n">
        <f aca="false">SUM(BS64:BS67)</f>
        <v>3527748.25</v>
      </c>
      <c r="BT68" s="7" t="n">
        <f aca="false">SUM(BT64:BT67)</f>
        <v>3527748.25</v>
      </c>
      <c r="BU68" s="7" t="n">
        <f aca="false">SUM(BU64:BU67)</f>
        <v>3527748.25</v>
      </c>
      <c r="BV68" s="7" t="n">
        <f aca="false">SUM(BV64:BV67)</f>
        <v>3527748.25</v>
      </c>
      <c r="BW68" s="7" t="n">
        <f aca="false">SUM(BW64:BW67)</f>
        <v>3568092.25</v>
      </c>
      <c r="BX68" s="7" t="n">
        <f aca="false">SUM(BX64:BX67)</f>
        <v>3568092.25</v>
      </c>
      <c r="BY68" s="7" t="n">
        <f aca="false">SUM(BY64:BY67)</f>
        <v>3583607.9125</v>
      </c>
      <c r="BZ68" s="7" t="n">
        <f aca="false">SUM(BZ64:BZ67)</f>
        <v>3583607.9125</v>
      </c>
      <c r="CA68" s="7" t="n">
        <f aca="false">SUM(CA64:CA67)</f>
        <v>3611764.6625</v>
      </c>
      <c r="CB68" s="7" t="n">
        <f aca="false">SUM(CB64:CB67)</f>
        <v>3611764.6625</v>
      </c>
      <c r="CC68" s="7" t="n">
        <f aca="false">SUM(CC64:CC67)</f>
        <v>3619880.5475</v>
      </c>
      <c r="CD68" s="7" t="n">
        <f aca="false">SUM(CD64:CD67)</f>
        <v>3619880.5475</v>
      </c>
      <c r="CE68" s="7" t="n">
        <f aca="false">SUM(CE64:CE67)</f>
        <v>3619880.5475</v>
      </c>
      <c r="CF68" s="7" t="n">
        <f aca="false">SUM(CF64:CF67)</f>
        <v>3619880.5475</v>
      </c>
      <c r="CG68" s="7" t="n">
        <f aca="false">SUM(CG64:CG67)</f>
        <v>3619880.5475</v>
      </c>
      <c r="CH68" s="7" t="n">
        <f aca="false">SUM(CH64:CH67)</f>
        <v>3619880.5475</v>
      </c>
      <c r="CI68" s="7" t="n">
        <f aca="false">SUM(CI64:CI67)</f>
        <v>3661233.1475</v>
      </c>
      <c r="CJ68" s="7" t="n">
        <f aca="false">SUM(CJ64:CJ67)</f>
        <v>3661233.1475</v>
      </c>
      <c r="CK68" s="7" t="n">
        <f aca="false">SUM(CK64:CK67)</f>
        <v>3677214.279875</v>
      </c>
      <c r="CL68" s="7" t="n">
        <f aca="false">SUM(CL64:CL67)</f>
        <v>3677214.279875</v>
      </c>
      <c r="CM68" s="7" t="n">
        <f aca="false">SUM(CM64:CM67)</f>
        <v>3706074.948625</v>
      </c>
      <c r="CN68" s="7" t="n">
        <f aca="false">SUM(CN64:CN67)</f>
        <v>0</v>
      </c>
      <c r="CO68" s="7" t="n">
        <f aca="false">SUM(CO64:CO67)</f>
        <v>0</v>
      </c>
      <c r="CP68" s="7" t="n">
        <f aca="false">SUM(CP64:CP67)</f>
        <v>0</v>
      </c>
      <c r="CQ68" s="7" t="n">
        <f aca="false">SUM(CQ64:CQ67)</f>
        <v>0</v>
      </c>
      <c r="CR68" s="7" t="n">
        <f aca="false">SUM(CR64:CR67)</f>
        <v>0</v>
      </c>
      <c r="CS68" s="7" t="n">
        <f aca="false">SUM(CS64:CS67)</f>
        <v>0</v>
      </c>
      <c r="CT68" s="7" t="n">
        <f aca="false">SUM(CT64:CT67)</f>
        <v>0</v>
      </c>
      <c r="CU68" s="7" t="n">
        <f aca="false">SUM(CU64:CU67)</f>
        <v>0</v>
      </c>
      <c r="CV68" s="7" t="n">
        <f aca="false">SUM(CV64:CV67)</f>
        <v>0</v>
      </c>
      <c r="CW68" s="7" t="n">
        <f aca="false">SUM(CW64:CW67)</f>
        <v>0</v>
      </c>
      <c r="CX68" s="7" t="n">
        <f aca="false">SUM(CX64:CX67)</f>
        <v>0</v>
      </c>
      <c r="CY68" s="7" t="n">
        <f aca="false">SUM(CY64:CY67)</f>
        <v>0</v>
      </c>
    </row>
    <row r="69" customFormat="false" ht="15" hidden="false" customHeight="false" outlineLevel="0" collapsed="false"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</row>
    <row r="70" customFormat="false" ht="15" hidden="false" customHeight="false" outlineLevel="0" collapsed="false">
      <c r="B70" s="0" t="s">
        <v>84</v>
      </c>
      <c r="S70" s="7" t="n">
        <f aca="false">(S$50&lt;=Sale_Month)*$C$29/IT_Load*MAX(0,MIN(1,(S$50-$F$29+1)/$G$29))*$C$44*(SUM(S77:S81)+$C$36/12*IT_Load*(1+$C$43)^(S$52-1))</f>
        <v>0</v>
      </c>
      <c r="T70" s="7" t="n">
        <f aca="false">(T$50&lt;=Sale_Month)*$C$29/IT_Load*MAX(0,MIN(1,(T$50-$F$29+1)/$G$29))*$C$44*(SUM(T77:T81)+$C$36/12*IT_Load*(1+$C$43)^(T$52-1))</f>
        <v>0</v>
      </c>
      <c r="U70" s="7" t="n">
        <f aca="false">(U$50&lt;=Sale_Month)*$C$29/IT_Load*MAX(0,MIN(1,(U$50-$F$29+1)/$G$29))*$C$44*(SUM(U77:U81)+$C$36/12*IT_Load*(1+$C$43)^(U$52-1))</f>
        <v>0</v>
      </c>
      <c r="V70" s="7" t="n">
        <f aca="false">(V$50&lt;=Sale_Month)*$C$29/IT_Load*MAX(0,MIN(1,(V$50-$F$29+1)/$G$29))*$C$44*(SUM(V77:V81)+$C$36/12*IT_Load*(1+$C$43)^(V$52-1))</f>
        <v>0</v>
      </c>
      <c r="W70" s="7" t="n">
        <f aca="false">(W$50&lt;=Sale_Month)*$C$29/IT_Load*MAX(0,MIN(1,(W$50-$F$29+1)/$G$29))*$C$44*(SUM(W77:W81)+$C$36/12*IT_Load*(1+$C$43)^(W$52-1))</f>
        <v>0</v>
      </c>
      <c r="X70" s="7" t="n">
        <f aca="false">(X$50&lt;=Sale_Month)*$C$29/IT_Load*MAX(0,MIN(1,(X$50-$F$29+1)/$G$29))*$C$44*(SUM(X77:X81)+$C$36/12*IT_Load*(1+$C$43)^(X$52-1))</f>
        <v>0</v>
      </c>
      <c r="Y70" s="7" t="n">
        <f aca="false">(Y$50&lt;=Sale_Month)*$C$29/IT_Load*MAX(0,MIN(1,(Y$50-$F$29+1)/$G$29))*$C$44*(SUM(Y77:Y81)+$C$36/12*IT_Load*(1+$C$43)^(Y$52-1))</f>
        <v>0</v>
      </c>
      <c r="Z70" s="7" t="n">
        <f aca="false">(Z$50&lt;=Sale_Month)*$C$29/IT_Load*MAX(0,MIN(1,(Z$50-$F$29+1)/$G$29))*$C$44*(SUM(Z77:Z81)+$C$36/12*IT_Load*(1+$C$43)^(Z$52-1))</f>
        <v>0</v>
      </c>
      <c r="AA70" s="7" t="n">
        <f aca="false">(AA$50&lt;=Sale_Month)*$C$29/IT_Load*MAX(0,MIN(1,(AA$50-$F$29+1)/$G$29))*$C$44*(SUM(AA77:AA81)+$C$36/12*IT_Load*(1+$C$43)^(AA$52-1))</f>
        <v>0</v>
      </c>
      <c r="AB70" s="7" t="n">
        <f aca="false">(AB$50&lt;=Sale_Month)*$C$29/IT_Load*MAX(0,MIN(1,(AB$50-$F$29+1)/$G$29))*$C$44*(SUM(AB77:AB81)+$C$36/12*IT_Load*(1+$C$43)^(AB$52-1))</f>
        <v>0</v>
      </c>
      <c r="AC70" s="7" t="n">
        <f aca="false">(AC$50&lt;=Sale_Month)*$C$29/IT_Load*MAX(0,MIN(1,(AC$50-$F$29+1)/$G$29))*$C$44*(SUM(AC77:AC81)+$C$36/12*IT_Load*(1+$C$43)^(AC$52-1))</f>
        <v>0</v>
      </c>
      <c r="AD70" s="7" t="n">
        <f aca="false">(AD$50&lt;=Sale_Month)*$C$29/IT_Load*MAX(0,MIN(1,(AD$50-$F$29+1)/$G$29))*$C$44*(SUM(AD77:AD81)+$C$36/12*IT_Load*(1+$C$43)^(AD$52-1))</f>
        <v>0</v>
      </c>
      <c r="AE70" s="7" t="n">
        <f aca="false">(AE$50&lt;=Sale_Month)*$C$29/IT_Load*MAX(0,MIN(1,(AE$50-$F$29+1)/$G$29))*$C$44*(SUM(AE77:AE81)+$C$36/12*IT_Load*(1+$C$43)^(AE$52-1))</f>
        <v>0</v>
      </c>
      <c r="AF70" s="7" t="n">
        <f aca="false">(AF$50&lt;=Sale_Month)*$C$29/IT_Load*MAX(0,MIN(1,(AF$50-$F$29+1)/$G$29))*$C$44*(SUM(AF77:AF81)+$C$36/12*IT_Load*(1+$C$43)^(AF$52-1))</f>
        <v>0</v>
      </c>
      <c r="AG70" s="7" t="n">
        <f aca="false">(AG$50&lt;=Sale_Month)*$C$29/IT_Load*MAX(0,MIN(1,(AG$50-$F$29+1)/$G$29))*$C$44*(SUM(AG77:AG81)+$C$36/12*IT_Load*(1+$C$43)^(AG$52-1))</f>
        <v>0</v>
      </c>
      <c r="AH70" s="7" t="n">
        <f aca="false">(AH$50&lt;=Sale_Month)*$C$29/IT_Load*MAX(0,MIN(1,(AH$50-$F$29+1)/$G$29))*$C$44*(SUM(AH77:AH81)+$C$36/12*IT_Load*(1+$C$43)^(AH$52-1))</f>
        <v>0</v>
      </c>
      <c r="AI70" s="7" t="n">
        <f aca="false">(AI$50&lt;=Sale_Month)*$C$29/IT_Load*MAX(0,MIN(1,(AI$50-$F$29+1)/$G$29))*$C$44*(SUM(AI77:AI81)+$C$36/12*IT_Load*(1+$C$43)^(AI$52-1))</f>
        <v>0</v>
      </c>
      <c r="AJ70" s="7" t="n">
        <f aca="false">(AJ$50&lt;=Sale_Month)*$C$29/IT_Load*MAX(0,MIN(1,(AJ$50-$F$29+1)/$G$29))*$C$44*(SUM(AJ77:AJ81)+$C$36/12*IT_Load*(1+$C$43)^(AJ$52-1))</f>
        <v>0</v>
      </c>
      <c r="AK70" s="7" t="n">
        <f aca="false">(AK$50&lt;=Sale_Month)*$C$29/IT_Load*MAX(0,MIN(1,(AK$50-$F$29+1)/$G$29))*$C$44*(SUM(AK77:AK81)+$C$36/12*IT_Load*(1+$C$43)^(AK$52-1))</f>
        <v>0</v>
      </c>
      <c r="AL70" s="7" t="n">
        <f aca="false">(AL$50&lt;=Sale_Month)*$C$29/IT_Load*MAX(0,MIN(1,(AL$50-$F$29+1)/$G$29))*$C$44*(SUM(AL77:AL81)+$C$36/12*IT_Load*(1+$C$43)^(AL$52-1))</f>
        <v>0</v>
      </c>
      <c r="AM70" s="7" t="n">
        <f aca="false">(AM$50&lt;=Sale_Month)*$C$29/IT_Load*MAX(0,MIN(1,(AM$50-$F$29+1)/$G$29))*$C$44*(SUM(AM77:AM81)+$C$36/12*IT_Load*(1+$C$43)^(AM$52-1))</f>
        <v>132326.388888889</v>
      </c>
      <c r="AN70" s="7" t="n">
        <f aca="false">(AN$50&lt;=Sale_Month)*$C$29/IT_Load*MAX(0,MIN(1,(AN$50-$F$29+1)/$G$29))*$C$44*(SUM(AN77:AN81)+$C$36/12*IT_Load*(1+$C$43)^(AN$52-1))</f>
        <v>264652.777777778</v>
      </c>
      <c r="AO70" s="7" t="n">
        <f aca="false">(AO$50&lt;=Sale_Month)*$C$29/IT_Load*MAX(0,MIN(1,(AO$50-$F$29+1)/$G$29))*$C$44*(SUM(AO77:AO81)+$C$36/12*IT_Load*(1+$C$43)^(AO$52-1))</f>
        <v>396979.166666667</v>
      </c>
      <c r="AP70" s="7" t="n">
        <f aca="false">(AP$50&lt;=Sale_Month)*$C$29/IT_Load*MAX(0,MIN(1,(AP$50-$F$29+1)/$G$29))*$C$44*(SUM(AP77:AP81)+$C$36/12*IT_Load*(1+$C$43)^(AP$52-1))</f>
        <v>529305.555555556</v>
      </c>
      <c r="AQ70" s="7" t="n">
        <f aca="false">(AQ$50&lt;=Sale_Month)*$C$29/IT_Load*MAX(0,MIN(1,(AQ$50-$F$29+1)/$G$29))*$C$44*(SUM(AQ77:AQ81)+$C$36/12*IT_Load*(1+$C$43)^(AQ$52-1))</f>
        <v>661631.944444445</v>
      </c>
      <c r="AR70" s="7" t="n">
        <f aca="false">(AR$50&lt;=Sale_Month)*$C$29/IT_Load*MAX(0,MIN(1,(AR$50-$F$29+1)/$G$29))*$C$44*(SUM(AR77:AR81)+$C$36/12*IT_Load*(1+$C$43)^(AR$52-1))</f>
        <v>817777.083333333</v>
      </c>
      <c r="AS70" s="7" t="n">
        <f aca="false">(AS$50&lt;=Sale_Month)*$C$29/IT_Load*MAX(0,MIN(1,(AS$50-$F$29+1)/$G$29))*$C$44*(SUM(AS77:AS81)+$C$36/12*IT_Load*(1+$C$43)^(AS$52-1))</f>
        <v>954073.263888889</v>
      </c>
      <c r="AT70" s="7" t="n">
        <f aca="false">(AT$50&lt;=Sale_Month)*$C$29/IT_Load*MAX(0,MIN(1,(AT$50-$F$29+1)/$G$29))*$C$44*(SUM(AT77:AT81)+$C$36/12*IT_Load*(1+$C$43)^(AT$52-1))</f>
        <v>1090369.44444444</v>
      </c>
      <c r="AU70" s="7" t="n">
        <f aca="false">(AU$50&lt;=Sale_Month)*$C$29/IT_Load*MAX(0,MIN(1,(AU$50-$F$29+1)/$G$29))*$C$44*(SUM(AU77:AU81)+$C$36/12*IT_Load*(1+$C$43)^(AU$52-1))</f>
        <v>1226665.625</v>
      </c>
      <c r="AV70" s="7" t="n">
        <f aca="false">(AV$50&lt;=Sale_Month)*$C$29/IT_Load*MAX(0,MIN(1,(AV$50-$F$29+1)/$G$29))*$C$44*(SUM(AV77:AV81)+$C$36/12*IT_Load*(1+$C$43)^(AV$52-1))</f>
        <v>1362961.80555556</v>
      </c>
      <c r="AW70" s="7" t="n">
        <f aca="false">(AW$50&lt;=Sale_Month)*$C$29/IT_Load*MAX(0,MIN(1,(AW$50-$F$29+1)/$G$29))*$C$44*(SUM(AW77:AW81)+$C$36/12*IT_Load*(1+$C$43)^(AW$52-1))</f>
        <v>1499257.98611111</v>
      </c>
      <c r="AX70" s="7" t="n">
        <f aca="false">(AX$50&lt;=Sale_Month)*$C$29/IT_Load*MAX(0,MIN(1,(AX$50-$F$29+1)/$G$29))*$C$44*(SUM(AX77:AX81)+$C$36/12*IT_Load*(1+$C$43)^(AX$52-1))</f>
        <v>1635554.16666667</v>
      </c>
      <c r="AY70" s="7" t="n">
        <f aca="false">(AY$50&lt;=Sale_Month)*$C$29/IT_Load*MAX(0,MIN(1,(AY$50-$F$29+1)/$G$29))*$C$44*(SUM(AY77:AY81)+$C$36/12*IT_Load*(1+$C$43)^(AY$52-1))</f>
        <v>1635554.16666667</v>
      </c>
      <c r="AZ70" s="7" t="n">
        <f aca="false">(AZ$50&lt;=Sale_Month)*$C$29/IT_Load*MAX(0,MIN(1,(AZ$50-$F$29+1)/$G$29))*$C$44*(SUM(AZ77:AZ81)+$C$36/12*IT_Load*(1+$C$43)^(AZ$52-1))</f>
        <v>1635554.16666667</v>
      </c>
      <c r="BA70" s="7" t="n">
        <f aca="false">(BA$50&lt;=Sale_Month)*$C$29/IT_Load*MAX(0,MIN(1,(BA$50-$F$29+1)/$G$29))*$C$44*(SUM(BA77:BA81)+$C$36/12*IT_Load*(1+$C$43)^(BA$52-1))</f>
        <v>1635554.16666667</v>
      </c>
      <c r="BB70" s="7" t="n">
        <f aca="false">(BB$50&lt;=Sale_Month)*$C$29/IT_Load*MAX(0,MIN(1,(BB$50-$F$29+1)/$G$29))*$C$44*(SUM(BB77:BB81)+$C$36/12*IT_Load*(1+$C$43)^(BB$52-1))</f>
        <v>1635554.16666667</v>
      </c>
      <c r="BC70" s="7" t="n">
        <f aca="false">(BC$50&lt;=Sale_Month)*$C$29/IT_Load*MAX(0,MIN(1,(BC$50-$F$29+1)/$G$29))*$C$44*(SUM(BC77:BC81)+$C$36/12*IT_Load*(1+$C$43)^(BC$52-1))</f>
        <v>1635554.16666667</v>
      </c>
      <c r="BD70" s="7" t="n">
        <f aca="false">(BD$50&lt;=Sale_Month)*$C$29/IT_Load*MAX(0,MIN(1,(BD$50-$F$29+1)/$G$29))*$C$44*(SUM(BD77:BD81)+$C$36/12*IT_Load*(1+$C$43)^(BD$52-1))</f>
        <v>1684620.79166667</v>
      </c>
      <c r="BE70" s="7" t="n">
        <f aca="false">(BE$50&lt;=Sale_Month)*$C$29/IT_Load*MAX(0,MIN(1,(BE$50-$F$29+1)/$G$29))*$C$44*(SUM(BE77:BE81)+$C$36/12*IT_Load*(1+$C$43)^(BE$52-1))</f>
        <v>1684620.79166667</v>
      </c>
      <c r="BF70" s="7" t="n">
        <f aca="false">(BF$50&lt;=Sale_Month)*$C$29/IT_Load*MAX(0,MIN(1,(BF$50-$F$29+1)/$G$29))*$C$44*(SUM(BF77:BF81)+$C$36/12*IT_Load*(1+$C$43)^(BF$52-1))</f>
        <v>1684620.79166667</v>
      </c>
      <c r="BG70" s="7" t="n">
        <f aca="false">(BG$50&lt;=Sale_Month)*$C$29/IT_Load*MAX(0,MIN(1,(BG$50-$F$29+1)/$G$29))*$C$44*(SUM(BG77:BG81)+$C$36/12*IT_Load*(1+$C$43)^(BG$52-1))</f>
        <v>1684620.79166667</v>
      </c>
      <c r="BH70" s="7" t="n">
        <f aca="false">(BH$50&lt;=Sale_Month)*$C$29/IT_Load*MAX(0,MIN(1,(BH$50-$F$29+1)/$G$29))*$C$44*(SUM(BH77:BH81)+$C$36/12*IT_Load*(1+$C$43)^(BH$52-1))</f>
        <v>1684620.79166667</v>
      </c>
      <c r="BI70" s="7" t="n">
        <f aca="false">(BI$50&lt;=Sale_Month)*$C$29/IT_Load*MAX(0,MIN(1,(BI$50-$F$29+1)/$G$29))*$C$44*(SUM(BI77:BI81)+$C$36/12*IT_Load*(1+$C$43)^(BI$52-1))</f>
        <v>1684620.79166667</v>
      </c>
      <c r="BJ70" s="7" t="n">
        <f aca="false">(BJ$50&lt;=Sale_Month)*$C$29/IT_Load*MAX(0,MIN(1,(BJ$50-$F$29+1)/$G$29))*$C$44*(SUM(BJ77:BJ81)+$C$36/12*IT_Load*(1+$C$43)^(BJ$52-1))</f>
        <v>1684620.79166667</v>
      </c>
      <c r="BK70" s="7" t="n">
        <f aca="false">(BK$50&lt;=Sale_Month)*$C$29/IT_Load*MAX(0,MIN(1,(BK$50-$F$29+1)/$G$29))*$C$44*(SUM(BK77:BK81)+$C$36/12*IT_Load*(1+$C$43)^(BK$52-1))</f>
        <v>1684620.79166667</v>
      </c>
      <c r="BL70" s="7" t="n">
        <f aca="false">(BL$50&lt;=Sale_Month)*$C$29/IT_Load*MAX(0,MIN(1,(BL$50-$F$29+1)/$G$29))*$C$44*(SUM(BL77:BL81)+$C$36/12*IT_Load*(1+$C$43)^(BL$52-1))</f>
        <v>1684620.79166667</v>
      </c>
      <c r="BM70" s="7" t="n">
        <f aca="false">(BM$50&lt;=Sale_Month)*$C$29/IT_Load*MAX(0,MIN(1,(BM$50-$F$29+1)/$G$29))*$C$44*(SUM(BM77:BM81)+$C$36/12*IT_Load*(1+$C$43)^(BM$52-1))</f>
        <v>1684620.79166667</v>
      </c>
      <c r="BN70" s="7" t="n">
        <f aca="false">(BN$50&lt;=Sale_Month)*$C$29/IT_Load*MAX(0,MIN(1,(BN$50-$F$29+1)/$G$29))*$C$44*(SUM(BN77:BN81)+$C$36/12*IT_Load*(1+$C$43)^(BN$52-1))</f>
        <v>1684620.79166667</v>
      </c>
      <c r="BO70" s="7" t="n">
        <f aca="false">(BO$50&lt;=Sale_Month)*$C$29/IT_Load*MAX(0,MIN(1,(BO$50-$F$29+1)/$G$29))*$C$44*(SUM(BO77:BO81)+$C$36/12*IT_Load*(1+$C$43)^(BO$52-1))</f>
        <v>1684620.79166667</v>
      </c>
      <c r="BP70" s="7" t="n">
        <f aca="false">(BP$50&lt;=Sale_Month)*$C$29/IT_Load*MAX(0,MIN(1,(BP$50-$F$29+1)/$G$29))*$C$44*(SUM(BP77:BP81)+$C$36/12*IT_Load*(1+$C$43)^(BP$52-1))</f>
        <v>1735159.41541667</v>
      </c>
      <c r="BQ70" s="7" t="n">
        <f aca="false">(BQ$50&lt;=Sale_Month)*$C$29/IT_Load*MAX(0,MIN(1,(BQ$50-$F$29+1)/$G$29))*$C$44*(SUM(BQ77:BQ81)+$C$36/12*IT_Load*(1+$C$43)^(BQ$52-1))</f>
        <v>1735159.41541667</v>
      </c>
      <c r="BR70" s="7" t="n">
        <f aca="false">(BR$50&lt;=Sale_Month)*$C$29/IT_Load*MAX(0,MIN(1,(BR$50-$F$29+1)/$G$29))*$C$44*(SUM(BR77:BR81)+$C$36/12*IT_Load*(1+$C$43)^(BR$52-1))</f>
        <v>1735159.41541667</v>
      </c>
      <c r="BS70" s="7" t="n">
        <f aca="false">(BS$50&lt;=Sale_Month)*$C$29/IT_Load*MAX(0,MIN(1,(BS$50-$F$29+1)/$G$29))*$C$44*(SUM(BS77:BS81)+$C$36/12*IT_Load*(1+$C$43)^(BS$52-1))</f>
        <v>1735159.41541667</v>
      </c>
      <c r="BT70" s="7" t="n">
        <f aca="false">(BT$50&lt;=Sale_Month)*$C$29/IT_Load*MAX(0,MIN(1,(BT$50-$F$29+1)/$G$29))*$C$44*(SUM(BT77:BT81)+$C$36/12*IT_Load*(1+$C$43)^(BT$52-1))</f>
        <v>1735159.41541667</v>
      </c>
      <c r="BU70" s="7" t="n">
        <f aca="false">(BU$50&lt;=Sale_Month)*$C$29/IT_Load*MAX(0,MIN(1,(BU$50-$F$29+1)/$G$29))*$C$44*(SUM(BU77:BU81)+$C$36/12*IT_Load*(1+$C$43)^(BU$52-1))</f>
        <v>1735159.41541667</v>
      </c>
      <c r="BV70" s="7" t="n">
        <f aca="false">(BV$50&lt;=Sale_Month)*$C$29/IT_Load*MAX(0,MIN(1,(BV$50-$F$29+1)/$G$29))*$C$44*(SUM(BV77:BV81)+$C$36/12*IT_Load*(1+$C$43)^(BV$52-1))</f>
        <v>1735159.41541667</v>
      </c>
      <c r="BW70" s="7" t="n">
        <f aca="false">(BW$50&lt;=Sale_Month)*$C$29/IT_Load*MAX(0,MIN(1,(BW$50-$F$29+1)/$G$29))*$C$44*(SUM(BW77:BW81)+$C$36/12*IT_Load*(1+$C$43)^(BW$52-1))</f>
        <v>1735159.41541667</v>
      </c>
      <c r="BX70" s="7" t="n">
        <f aca="false">(BX$50&lt;=Sale_Month)*$C$29/IT_Load*MAX(0,MIN(1,(BX$50-$F$29+1)/$G$29))*$C$44*(SUM(BX77:BX81)+$C$36/12*IT_Load*(1+$C$43)^(BX$52-1))</f>
        <v>1735159.41541667</v>
      </c>
      <c r="BY70" s="7" t="n">
        <f aca="false">(BY$50&lt;=Sale_Month)*$C$29/IT_Load*MAX(0,MIN(1,(BY$50-$F$29+1)/$G$29))*$C$44*(SUM(BY77:BY81)+$C$36/12*IT_Load*(1+$C$43)^(BY$52-1))</f>
        <v>1735159.41541667</v>
      </c>
      <c r="BZ70" s="7" t="n">
        <f aca="false">(BZ$50&lt;=Sale_Month)*$C$29/IT_Load*MAX(0,MIN(1,(BZ$50-$F$29+1)/$G$29))*$C$44*(SUM(BZ77:BZ81)+$C$36/12*IT_Load*(1+$C$43)^(BZ$52-1))</f>
        <v>1735159.41541667</v>
      </c>
      <c r="CA70" s="7" t="n">
        <f aca="false">(CA$50&lt;=Sale_Month)*$C$29/IT_Load*MAX(0,MIN(1,(CA$50-$F$29+1)/$G$29))*$C$44*(SUM(CA77:CA81)+$C$36/12*IT_Load*(1+$C$43)^(CA$52-1))</f>
        <v>1735159.41541667</v>
      </c>
      <c r="CB70" s="7" t="n">
        <f aca="false">(CB$50&lt;=Sale_Month)*$C$29/IT_Load*MAX(0,MIN(1,(CB$50-$F$29+1)/$G$29))*$C$44*(SUM(CB77:CB81)+$C$36/12*IT_Load*(1+$C$43)^(CB$52-1))</f>
        <v>1787214.19787917</v>
      </c>
      <c r="CC70" s="7" t="n">
        <f aca="false">(CC$50&lt;=Sale_Month)*$C$29/IT_Load*MAX(0,MIN(1,(CC$50-$F$29+1)/$G$29))*$C$44*(SUM(CC77:CC81)+$C$36/12*IT_Load*(1+$C$43)^(CC$52-1))</f>
        <v>1787214.19787917</v>
      </c>
      <c r="CD70" s="7" t="n">
        <f aca="false">(CD$50&lt;=Sale_Month)*$C$29/IT_Load*MAX(0,MIN(1,(CD$50-$F$29+1)/$G$29))*$C$44*(SUM(CD77:CD81)+$C$36/12*IT_Load*(1+$C$43)^(CD$52-1))</f>
        <v>1787214.19787917</v>
      </c>
      <c r="CE70" s="7" t="n">
        <f aca="false">(CE$50&lt;=Sale_Month)*$C$29/IT_Load*MAX(0,MIN(1,(CE$50-$F$29+1)/$G$29))*$C$44*(SUM(CE77:CE81)+$C$36/12*IT_Load*(1+$C$43)^(CE$52-1))</f>
        <v>1787214.19787917</v>
      </c>
      <c r="CF70" s="7" t="n">
        <f aca="false">(CF$50&lt;=Sale_Month)*$C$29/IT_Load*MAX(0,MIN(1,(CF$50-$F$29+1)/$G$29))*$C$44*(SUM(CF77:CF81)+$C$36/12*IT_Load*(1+$C$43)^(CF$52-1))</f>
        <v>1787214.19787917</v>
      </c>
      <c r="CG70" s="7" t="n">
        <f aca="false">(CG$50&lt;=Sale_Month)*$C$29/IT_Load*MAX(0,MIN(1,(CG$50-$F$29+1)/$G$29))*$C$44*(SUM(CG77:CG81)+$C$36/12*IT_Load*(1+$C$43)^(CG$52-1))</f>
        <v>1787214.19787917</v>
      </c>
      <c r="CH70" s="7" t="n">
        <f aca="false">(CH$50&lt;=Sale_Month)*$C$29/IT_Load*MAX(0,MIN(1,(CH$50-$F$29+1)/$G$29))*$C$44*(SUM(CH77:CH81)+$C$36/12*IT_Load*(1+$C$43)^(CH$52-1))</f>
        <v>1787214.19787917</v>
      </c>
      <c r="CI70" s="7" t="n">
        <f aca="false">(CI$50&lt;=Sale_Month)*$C$29/IT_Load*MAX(0,MIN(1,(CI$50-$F$29+1)/$G$29))*$C$44*(SUM(CI77:CI81)+$C$36/12*IT_Load*(1+$C$43)^(CI$52-1))</f>
        <v>1787214.19787917</v>
      </c>
      <c r="CJ70" s="7" t="n">
        <f aca="false">(CJ$50&lt;=Sale_Month)*$C$29/IT_Load*MAX(0,MIN(1,(CJ$50-$F$29+1)/$G$29))*$C$44*(SUM(CJ77:CJ81)+$C$36/12*IT_Load*(1+$C$43)^(CJ$52-1))</f>
        <v>1787214.19787917</v>
      </c>
      <c r="CK70" s="7" t="n">
        <f aca="false">(CK$50&lt;=Sale_Month)*$C$29/IT_Load*MAX(0,MIN(1,(CK$50-$F$29+1)/$G$29))*$C$44*(SUM(CK77:CK81)+$C$36/12*IT_Load*(1+$C$43)^(CK$52-1))</f>
        <v>1787214.19787917</v>
      </c>
      <c r="CL70" s="7" t="n">
        <f aca="false">(CL$50&lt;=Sale_Month)*$C$29/IT_Load*MAX(0,MIN(1,(CL$50-$F$29+1)/$G$29))*$C$44*(SUM(CL77:CL81)+$C$36/12*IT_Load*(1+$C$43)^(CL$52-1))</f>
        <v>1787214.19787917</v>
      </c>
      <c r="CM70" s="7" t="n">
        <f aca="false">(CM$50&lt;=Sale_Month)*$C$29/IT_Load*MAX(0,MIN(1,(CM$50-$F$29+1)/$G$29))*$C$44*(SUM(CM77:CM81)+$C$36/12*IT_Load*(1+$C$43)^(CM$52-1))</f>
        <v>1787214.19787917</v>
      </c>
      <c r="CN70" s="7" t="n">
        <f aca="false">(CN$50&lt;=Sale_Month)*$C$29/IT_Load*MAX(0,MIN(1,(CN$50-$F$29+1)/$G$29))*$C$44*(SUM(CN77:CN81)+$C$36/12*IT_Load*(1+$C$43)^(CN$52-1))</f>
        <v>0</v>
      </c>
      <c r="CO70" s="7" t="n">
        <f aca="false">(CO$50&lt;=Sale_Month)*$C$29/IT_Load*MAX(0,MIN(1,(CO$50-$F$29+1)/$G$29))*$C$44*(SUM(CO77:CO81)+$C$36/12*IT_Load*(1+$C$43)^(CO$52-1))</f>
        <v>0</v>
      </c>
      <c r="CP70" s="7" t="n">
        <f aca="false">(CP$50&lt;=Sale_Month)*$C$29/IT_Load*MAX(0,MIN(1,(CP$50-$F$29+1)/$G$29))*$C$44*(SUM(CP77:CP81)+$C$36/12*IT_Load*(1+$C$43)^(CP$52-1))</f>
        <v>0</v>
      </c>
      <c r="CQ70" s="7" t="n">
        <f aca="false">(CQ$50&lt;=Sale_Month)*$C$29/IT_Load*MAX(0,MIN(1,(CQ$50-$F$29+1)/$G$29))*$C$44*(SUM(CQ77:CQ81)+$C$36/12*IT_Load*(1+$C$43)^(CQ$52-1))</f>
        <v>0</v>
      </c>
      <c r="CR70" s="7" t="n">
        <f aca="false">(CR$50&lt;=Sale_Month)*$C$29/IT_Load*MAX(0,MIN(1,(CR$50-$F$29+1)/$G$29))*$C$44*(SUM(CR77:CR81)+$C$36/12*IT_Load*(1+$C$43)^(CR$52-1))</f>
        <v>0</v>
      </c>
      <c r="CS70" s="7" t="n">
        <f aca="false">(CS$50&lt;=Sale_Month)*$C$29/IT_Load*MAX(0,MIN(1,(CS$50-$F$29+1)/$G$29))*$C$44*(SUM(CS77:CS81)+$C$36/12*IT_Load*(1+$C$43)^(CS$52-1))</f>
        <v>0</v>
      </c>
      <c r="CT70" s="7" t="n">
        <f aca="false">(CT$50&lt;=Sale_Month)*$C$29/IT_Load*MAX(0,MIN(1,(CT$50-$F$29+1)/$G$29))*$C$44*(SUM(CT77:CT81)+$C$36/12*IT_Load*(1+$C$43)^(CT$52-1))</f>
        <v>0</v>
      </c>
      <c r="CU70" s="7" t="n">
        <f aca="false">(CU$50&lt;=Sale_Month)*$C$29/IT_Load*MAX(0,MIN(1,(CU$50-$F$29+1)/$G$29))*$C$44*(SUM(CU77:CU81)+$C$36/12*IT_Load*(1+$C$43)^(CU$52-1))</f>
        <v>0</v>
      </c>
      <c r="CV70" s="7" t="n">
        <f aca="false">(CV$50&lt;=Sale_Month)*$C$29/IT_Load*MAX(0,MIN(1,(CV$50-$F$29+1)/$G$29))*$C$44*(SUM(CV77:CV81)+$C$36/12*IT_Load*(1+$C$43)^(CV$52-1))</f>
        <v>0</v>
      </c>
      <c r="CW70" s="7" t="n">
        <f aca="false">(CW$50&lt;=Sale_Month)*$C$29/IT_Load*MAX(0,MIN(1,(CW$50-$F$29+1)/$G$29))*$C$44*(SUM(CW77:CW81)+$C$36/12*IT_Load*(1+$C$43)^(CW$52-1))</f>
        <v>0</v>
      </c>
      <c r="CX70" s="7" t="n">
        <f aca="false">(CX$50&lt;=Sale_Month)*$C$29/IT_Load*MAX(0,MIN(1,(CX$50-$F$29+1)/$G$29))*$C$44*(SUM(CX77:CX81)+$C$36/12*IT_Load*(1+$C$43)^(CX$52-1))</f>
        <v>0</v>
      </c>
      <c r="CY70" s="7" t="n">
        <f aca="false">(CY$50&lt;=Sale_Month)*$C$29/IT_Load*MAX(0,MIN(1,(CY$50-$F$29+1)/$G$29))*$C$44*(SUM(CY77:CY81)+$C$36/12*IT_Load*(1+$C$43)^(CY$52-1))</f>
        <v>0</v>
      </c>
    </row>
    <row r="71" customFormat="false" ht="15" hidden="false" customHeight="false" outlineLevel="0" collapsed="false">
      <c r="B71" s="0" t="s">
        <v>85</v>
      </c>
      <c r="S71" s="7" t="n">
        <f aca="false">(S$50&lt;=Sale_Month)*$C$30/IT_Load*MAX(0,MIN(1,(S$50-$F$30+1)/$G$30))*$C$44*(SUM(S77:S81)+$C$36/12*IT_Load*(1+$C$43)^(S$52-1))</f>
        <v>0</v>
      </c>
      <c r="T71" s="7" t="n">
        <f aca="false">(T$50&lt;=Sale_Month)*$C$30/IT_Load*MAX(0,MIN(1,(T$50-$F$30+1)/$G$30))*$C$44*(SUM(T77:T81)+$C$36/12*IT_Load*(1+$C$43)^(T$52-1))</f>
        <v>0</v>
      </c>
      <c r="U71" s="7" t="n">
        <f aca="false">(U$50&lt;=Sale_Month)*$C$30/IT_Load*MAX(0,MIN(1,(U$50-$F$30+1)/$G$30))*$C$44*(SUM(U77:U81)+$C$36/12*IT_Load*(1+$C$43)^(U$52-1))</f>
        <v>0</v>
      </c>
      <c r="V71" s="7" t="n">
        <f aca="false">(V$50&lt;=Sale_Month)*$C$30/IT_Load*MAX(0,MIN(1,(V$50-$F$30+1)/$G$30))*$C$44*(SUM(V77:V81)+$C$36/12*IT_Load*(1+$C$43)^(V$52-1))</f>
        <v>0</v>
      </c>
      <c r="W71" s="7" t="n">
        <f aca="false">(W$50&lt;=Sale_Month)*$C$30/IT_Load*MAX(0,MIN(1,(W$50-$F$30+1)/$G$30))*$C$44*(SUM(W77:W81)+$C$36/12*IT_Load*(1+$C$43)^(W$52-1))</f>
        <v>0</v>
      </c>
      <c r="X71" s="7" t="n">
        <f aca="false">(X$50&lt;=Sale_Month)*$C$30/IT_Load*MAX(0,MIN(1,(X$50-$F$30+1)/$G$30))*$C$44*(SUM(X77:X81)+$C$36/12*IT_Load*(1+$C$43)^(X$52-1))</f>
        <v>0</v>
      </c>
      <c r="Y71" s="7" t="n">
        <f aca="false">(Y$50&lt;=Sale_Month)*$C$30/IT_Load*MAX(0,MIN(1,(Y$50-$F$30+1)/$G$30))*$C$44*(SUM(Y77:Y81)+$C$36/12*IT_Load*(1+$C$43)^(Y$52-1))</f>
        <v>0</v>
      </c>
      <c r="Z71" s="7" t="n">
        <f aca="false">(Z$50&lt;=Sale_Month)*$C$30/IT_Load*MAX(0,MIN(1,(Z$50-$F$30+1)/$G$30))*$C$44*(SUM(Z77:Z81)+$C$36/12*IT_Load*(1+$C$43)^(Z$52-1))</f>
        <v>0</v>
      </c>
      <c r="AA71" s="7" t="n">
        <f aca="false">(AA$50&lt;=Sale_Month)*$C$30/IT_Load*MAX(0,MIN(1,(AA$50-$F$30+1)/$G$30))*$C$44*(SUM(AA77:AA81)+$C$36/12*IT_Load*(1+$C$43)^(AA$52-1))</f>
        <v>0</v>
      </c>
      <c r="AB71" s="7" t="n">
        <f aca="false">(AB$50&lt;=Sale_Month)*$C$30/IT_Load*MAX(0,MIN(1,(AB$50-$F$30+1)/$G$30))*$C$44*(SUM(AB77:AB81)+$C$36/12*IT_Load*(1+$C$43)^(AB$52-1))</f>
        <v>0</v>
      </c>
      <c r="AC71" s="7" t="n">
        <f aca="false">(AC$50&lt;=Sale_Month)*$C$30/IT_Load*MAX(0,MIN(1,(AC$50-$F$30+1)/$G$30))*$C$44*(SUM(AC77:AC81)+$C$36/12*IT_Load*(1+$C$43)^(AC$52-1))</f>
        <v>0</v>
      </c>
      <c r="AD71" s="7" t="n">
        <f aca="false">(AD$50&lt;=Sale_Month)*$C$30/IT_Load*MAX(0,MIN(1,(AD$50-$F$30+1)/$G$30))*$C$44*(SUM(AD77:AD81)+$C$36/12*IT_Load*(1+$C$43)^(AD$52-1))</f>
        <v>0</v>
      </c>
      <c r="AE71" s="7" t="n">
        <f aca="false">(AE$50&lt;=Sale_Month)*$C$30/IT_Load*MAX(0,MIN(1,(AE$50-$F$30+1)/$G$30))*$C$44*(SUM(AE77:AE81)+$C$36/12*IT_Load*(1+$C$43)^(AE$52-1))</f>
        <v>0</v>
      </c>
      <c r="AF71" s="7" t="n">
        <f aca="false">(AF$50&lt;=Sale_Month)*$C$30/IT_Load*MAX(0,MIN(1,(AF$50-$F$30+1)/$G$30))*$C$44*(SUM(AF77:AF81)+$C$36/12*IT_Load*(1+$C$43)^(AF$52-1))</f>
        <v>0</v>
      </c>
      <c r="AG71" s="7" t="n">
        <f aca="false">(AG$50&lt;=Sale_Month)*$C$30/IT_Load*MAX(0,MIN(1,(AG$50-$F$30+1)/$G$30))*$C$44*(SUM(AG77:AG81)+$C$36/12*IT_Load*(1+$C$43)^(AG$52-1))</f>
        <v>0</v>
      </c>
      <c r="AH71" s="7" t="n">
        <f aca="false">(AH$50&lt;=Sale_Month)*$C$30/IT_Load*MAX(0,MIN(1,(AH$50-$F$30+1)/$G$30))*$C$44*(SUM(AH77:AH81)+$C$36/12*IT_Load*(1+$C$43)^(AH$52-1))</f>
        <v>0</v>
      </c>
      <c r="AI71" s="7" t="n">
        <f aca="false">(AI$50&lt;=Sale_Month)*$C$30/IT_Load*MAX(0,MIN(1,(AI$50-$F$30+1)/$G$30))*$C$44*(SUM(AI77:AI81)+$C$36/12*IT_Load*(1+$C$43)^(AI$52-1))</f>
        <v>0</v>
      </c>
      <c r="AJ71" s="7" t="n">
        <f aca="false">(AJ$50&lt;=Sale_Month)*$C$30/IT_Load*MAX(0,MIN(1,(AJ$50-$F$30+1)/$G$30))*$C$44*(SUM(AJ77:AJ81)+$C$36/12*IT_Load*(1+$C$43)^(AJ$52-1))</f>
        <v>0</v>
      </c>
      <c r="AK71" s="7" t="n">
        <f aca="false">(AK$50&lt;=Sale_Month)*$C$30/IT_Load*MAX(0,MIN(1,(AK$50-$F$30+1)/$G$30))*$C$44*(SUM(AK77:AK81)+$C$36/12*IT_Load*(1+$C$43)^(AK$52-1))</f>
        <v>0</v>
      </c>
      <c r="AL71" s="7" t="n">
        <f aca="false">(AL$50&lt;=Sale_Month)*$C$30/IT_Load*MAX(0,MIN(1,(AL$50-$F$30+1)/$G$30))*$C$44*(SUM(AL77:AL81)+$C$36/12*IT_Load*(1+$C$43)^(AL$52-1))</f>
        <v>0</v>
      </c>
      <c r="AM71" s="7" t="n">
        <f aca="false">(AM$50&lt;=Sale_Month)*$C$30/IT_Load*MAX(0,MIN(1,(AM$50-$F$30+1)/$G$30))*$C$44*(SUM(AM77:AM81)+$C$36/12*IT_Load*(1+$C$43)^(AM$52-1))</f>
        <v>0</v>
      </c>
      <c r="AN71" s="7" t="n">
        <f aca="false">(AN$50&lt;=Sale_Month)*$C$30/IT_Load*MAX(0,MIN(1,(AN$50-$F$30+1)/$G$30))*$C$44*(SUM(AN77:AN81)+$C$36/12*IT_Load*(1+$C$43)^(AN$52-1))</f>
        <v>0</v>
      </c>
      <c r="AO71" s="7" t="n">
        <f aca="false">(AO$50&lt;=Sale_Month)*$C$30/IT_Load*MAX(0,MIN(1,(AO$50-$F$30+1)/$G$30))*$C$44*(SUM(AO77:AO81)+$C$36/12*IT_Load*(1+$C$43)^(AO$52-1))</f>
        <v>0</v>
      </c>
      <c r="AP71" s="7" t="n">
        <f aca="false">(AP$50&lt;=Sale_Month)*$C$30/IT_Load*MAX(0,MIN(1,(AP$50-$F$30+1)/$G$30))*$C$44*(SUM(AP77:AP81)+$C$36/12*IT_Load*(1+$C$43)^(AP$52-1))</f>
        <v>0</v>
      </c>
      <c r="AQ71" s="7" t="n">
        <f aca="false">(AQ$50&lt;=Sale_Month)*$C$30/IT_Load*MAX(0,MIN(1,(AQ$50-$F$30+1)/$G$30))*$C$44*(SUM(AQ77:AQ81)+$C$36/12*IT_Load*(1+$C$43)^(AQ$52-1))</f>
        <v>117623.456790123</v>
      </c>
      <c r="AR71" s="7" t="n">
        <f aca="false">(AR$50&lt;=Sale_Month)*$C$30/IT_Load*MAX(0,MIN(1,(AR$50-$F$30+1)/$G$30))*$C$44*(SUM(AR77:AR81)+$C$36/12*IT_Load*(1+$C$43)^(AR$52-1))</f>
        <v>242304.320987654</v>
      </c>
      <c r="AS71" s="7" t="n">
        <f aca="false">(AS$50&lt;=Sale_Month)*$C$30/IT_Load*MAX(0,MIN(1,(AS$50-$F$30+1)/$G$30))*$C$44*(SUM(AS77:AS81)+$C$36/12*IT_Load*(1+$C$43)^(AS$52-1))</f>
        <v>363456.481481481</v>
      </c>
      <c r="AT71" s="7" t="n">
        <f aca="false">(AT$50&lt;=Sale_Month)*$C$30/IT_Load*MAX(0,MIN(1,(AT$50-$F$30+1)/$G$30))*$C$44*(SUM(AT77:AT81)+$C$36/12*IT_Load*(1+$C$43)^(AT$52-1))</f>
        <v>484608.641975309</v>
      </c>
      <c r="AU71" s="7" t="n">
        <f aca="false">(AU$50&lt;=Sale_Month)*$C$30/IT_Load*MAX(0,MIN(1,(AU$50-$F$30+1)/$G$30))*$C$44*(SUM(AU77:AU81)+$C$36/12*IT_Load*(1+$C$43)^(AU$52-1))</f>
        <v>605760.802469136</v>
      </c>
      <c r="AV71" s="7" t="n">
        <f aca="false">(AV$50&lt;=Sale_Month)*$C$30/IT_Load*MAX(0,MIN(1,(AV$50-$F$30+1)/$G$30))*$C$44*(SUM(AV77:AV81)+$C$36/12*IT_Load*(1+$C$43)^(AV$52-1))</f>
        <v>726912.962962963</v>
      </c>
      <c r="AW71" s="7" t="n">
        <f aca="false">(AW$50&lt;=Sale_Month)*$C$30/IT_Load*MAX(0,MIN(1,(AW$50-$F$30+1)/$G$30))*$C$44*(SUM(AW77:AW81)+$C$36/12*IT_Load*(1+$C$43)^(AW$52-1))</f>
        <v>848065.12345679</v>
      </c>
      <c r="AX71" s="7" t="n">
        <f aca="false">(AX$50&lt;=Sale_Month)*$C$30/IT_Load*MAX(0,MIN(1,(AX$50-$F$30+1)/$G$30))*$C$44*(SUM(AX77:AX81)+$C$36/12*IT_Load*(1+$C$43)^(AX$52-1))</f>
        <v>969217.283950617</v>
      </c>
      <c r="AY71" s="7" t="n">
        <f aca="false">(AY$50&lt;=Sale_Month)*$C$30/IT_Load*MAX(0,MIN(1,(AY$50-$F$30+1)/$G$30))*$C$44*(SUM(AY77:AY81)+$C$36/12*IT_Load*(1+$C$43)^(AY$52-1))</f>
        <v>1090369.44444444</v>
      </c>
      <c r="AZ71" s="7" t="n">
        <f aca="false">(AZ$50&lt;=Sale_Month)*$C$30/IT_Load*MAX(0,MIN(1,(AZ$50-$F$30+1)/$G$30))*$C$44*(SUM(AZ77:AZ81)+$C$36/12*IT_Load*(1+$C$43)^(AZ$52-1))</f>
        <v>1090369.44444444</v>
      </c>
      <c r="BA71" s="7" t="n">
        <f aca="false">(BA$50&lt;=Sale_Month)*$C$30/IT_Load*MAX(0,MIN(1,(BA$50-$F$30+1)/$G$30))*$C$44*(SUM(BA77:BA81)+$C$36/12*IT_Load*(1+$C$43)^(BA$52-1))</f>
        <v>1090369.44444444</v>
      </c>
      <c r="BB71" s="7" t="n">
        <f aca="false">(BB$50&lt;=Sale_Month)*$C$30/IT_Load*MAX(0,MIN(1,(BB$50-$F$30+1)/$G$30))*$C$44*(SUM(BB77:BB81)+$C$36/12*IT_Load*(1+$C$43)^(BB$52-1))</f>
        <v>1090369.44444444</v>
      </c>
      <c r="BC71" s="7" t="n">
        <f aca="false">(BC$50&lt;=Sale_Month)*$C$30/IT_Load*MAX(0,MIN(1,(BC$50-$F$30+1)/$G$30))*$C$44*(SUM(BC77:BC81)+$C$36/12*IT_Load*(1+$C$43)^(BC$52-1))</f>
        <v>1090369.44444444</v>
      </c>
      <c r="BD71" s="7" t="n">
        <f aca="false">(BD$50&lt;=Sale_Month)*$C$30/IT_Load*MAX(0,MIN(1,(BD$50-$F$30+1)/$G$30))*$C$44*(SUM(BD77:BD81)+$C$36/12*IT_Load*(1+$C$43)^(BD$52-1))</f>
        <v>1123080.52777778</v>
      </c>
      <c r="BE71" s="7" t="n">
        <f aca="false">(BE$50&lt;=Sale_Month)*$C$30/IT_Load*MAX(0,MIN(1,(BE$50-$F$30+1)/$G$30))*$C$44*(SUM(BE77:BE81)+$C$36/12*IT_Load*(1+$C$43)^(BE$52-1))</f>
        <v>1123080.52777778</v>
      </c>
      <c r="BF71" s="7" t="n">
        <f aca="false">(BF$50&lt;=Sale_Month)*$C$30/IT_Load*MAX(0,MIN(1,(BF$50-$F$30+1)/$G$30))*$C$44*(SUM(BF77:BF81)+$C$36/12*IT_Load*(1+$C$43)^(BF$52-1))</f>
        <v>1123080.52777778</v>
      </c>
      <c r="BG71" s="7" t="n">
        <f aca="false">(BG$50&lt;=Sale_Month)*$C$30/IT_Load*MAX(0,MIN(1,(BG$50-$F$30+1)/$G$30))*$C$44*(SUM(BG77:BG81)+$C$36/12*IT_Load*(1+$C$43)^(BG$52-1))</f>
        <v>1123080.52777778</v>
      </c>
      <c r="BH71" s="7" t="n">
        <f aca="false">(BH$50&lt;=Sale_Month)*$C$30/IT_Load*MAX(0,MIN(1,(BH$50-$F$30+1)/$G$30))*$C$44*(SUM(BH77:BH81)+$C$36/12*IT_Load*(1+$C$43)^(BH$52-1))</f>
        <v>1123080.52777778</v>
      </c>
      <c r="BI71" s="7" t="n">
        <f aca="false">(BI$50&lt;=Sale_Month)*$C$30/IT_Load*MAX(0,MIN(1,(BI$50-$F$30+1)/$G$30))*$C$44*(SUM(BI77:BI81)+$C$36/12*IT_Load*(1+$C$43)^(BI$52-1))</f>
        <v>1123080.52777778</v>
      </c>
      <c r="BJ71" s="7" t="n">
        <f aca="false">(BJ$50&lt;=Sale_Month)*$C$30/IT_Load*MAX(0,MIN(1,(BJ$50-$F$30+1)/$G$30))*$C$44*(SUM(BJ77:BJ81)+$C$36/12*IT_Load*(1+$C$43)^(BJ$52-1))</f>
        <v>1123080.52777778</v>
      </c>
      <c r="BK71" s="7" t="n">
        <f aca="false">(BK$50&lt;=Sale_Month)*$C$30/IT_Load*MAX(0,MIN(1,(BK$50-$F$30+1)/$G$30))*$C$44*(SUM(BK77:BK81)+$C$36/12*IT_Load*(1+$C$43)^(BK$52-1))</f>
        <v>1123080.52777778</v>
      </c>
      <c r="BL71" s="7" t="n">
        <f aca="false">(BL$50&lt;=Sale_Month)*$C$30/IT_Load*MAX(0,MIN(1,(BL$50-$F$30+1)/$G$30))*$C$44*(SUM(BL77:BL81)+$C$36/12*IT_Load*(1+$C$43)^(BL$52-1))</f>
        <v>1123080.52777778</v>
      </c>
      <c r="BM71" s="7" t="n">
        <f aca="false">(BM$50&lt;=Sale_Month)*$C$30/IT_Load*MAX(0,MIN(1,(BM$50-$F$30+1)/$G$30))*$C$44*(SUM(BM77:BM81)+$C$36/12*IT_Load*(1+$C$43)^(BM$52-1))</f>
        <v>1123080.52777778</v>
      </c>
      <c r="BN71" s="7" t="n">
        <f aca="false">(BN$50&lt;=Sale_Month)*$C$30/IT_Load*MAX(0,MIN(1,(BN$50-$F$30+1)/$G$30))*$C$44*(SUM(BN77:BN81)+$C$36/12*IT_Load*(1+$C$43)^(BN$52-1))</f>
        <v>1123080.52777778</v>
      </c>
      <c r="BO71" s="7" t="n">
        <f aca="false">(BO$50&lt;=Sale_Month)*$C$30/IT_Load*MAX(0,MIN(1,(BO$50-$F$30+1)/$G$30))*$C$44*(SUM(BO77:BO81)+$C$36/12*IT_Load*(1+$C$43)^(BO$52-1))</f>
        <v>1123080.52777778</v>
      </c>
      <c r="BP71" s="7" t="n">
        <f aca="false">(BP$50&lt;=Sale_Month)*$C$30/IT_Load*MAX(0,MIN(1,(BP$50-$F$30+1)/$G$30))*$C$44*(SUM(BP77:BP81)+$C$36/12*IT_Load*(1+$C$43)^(BP$52-1))</f>
        <v>1156772.94361111</v>
      </c>
      <c r="BQ71" s="7" t="n">
        <f aca="false">(BQ$50&lt;=Sale_Month)*$C$30/IT_Load*MAX(0,MIN(1,(BQ$50-$F$30+1)/$G$30))*$C$44*(SUM(BQ77:BQ81)+$C$36/12*IT_Load*(1+$C$43)^(BQ$52-1))</f>
        <v>1156772.94361111</v>
      </c>
      <c r="BR71" s="7" t="n">
        <f aca="false">(BR$50&lt;=Sale_Month)*$C$30/IT_Load*MAX(0,MIN(1,(BR$50-$F$30+1)/$G$30))*$C$44*(SUM(BR77:BR81)+$C$36/12*IT_Load*(1+$C$43)^(BR$52-1))</f>
        <v>1156772.94361111</v>
      </c>
      <c r="BS71" s="7" t="n">
        <f aca="false">(BS$50&lt;=Sale_Month)*$C$30/IT_Load*MAX(0,MIN(1,(BS$50-$F$30+1)/$G$30))*$C$44*(SUM(BS77:BS81)+$C$36/12*IT_Load*(1+$C$43)^(BS$52-1))</f>
        <v>1156772.94361111</v>
      </c>
      <c r="BT71" s="7" t="n">
        <f aca="false">(BT$50&lt;=Sale_Month)*$C$30/IT_Load*MAX(0,MIN(1,(BT$50-$F$30+1)/$G$30))*$C$44*(SUM(BT77:BT81)+$C$36/12*IT_Load*(1+$C$43)^(BT$52-1))</f>
        <v>1156772.94361111</v>
      </c>
      <c r="BU71" s="7" t="n">
        <f aca="false">(BU$50&lt;=Sale_Month)*$C$30/IT_Load*MAX(0,MIN(1,(BU$50-$F$30+1)/$G$30))*$C$44*(SUM(BU77:BU81)+$C$36/12*IT_Load*(1+$C$43)^(BU$52-1))</f>
        <v>1156772.94361111</v>
      </c>
      <c r="BV71" s="7" t="n">
        <f aca="false">(BV$50&lt;=Sale_Month)*$C$30/IT_Load*MAX(0,MIN(1,(BV$50-$F$30+1)/$G$30))*$C$44*(SUM(BV77:BV81)+$C$36/12*IT_Load*(1+$C$43)^(BV$52-1))</f>
        <v>1156772.94361111</v>
      </c>
      <c r="BW71" s="7" t="n">
        <f aca="false">(BW$50&lt;=Sale_Month)*$C$30/IT_Load*MAX(0,MIN(1,(BW$50-$F$30+1)/$G$30))*$C$44*(SUM(BW77:BW81)+$C$36/12*IT_Load*(1+$C$43)^(BW$52-1))</f>
        <v>1156772.94361111</v>
      </c>
      <c r="BX71" s="7" t="n">
        <f aca="false">(BX$50&lt;=Sale_Month)*$C$30/IT_Load*MAX(0,MIN(1,(BX$50-$F$30+1)/$G$30))*$C$44*(SUM(BX77:BX81)+$C$36/12*IT_Load*(1+$C$43)^(BX$52-1))</f>
        <v>1156772.94361111</v>
      </c>
      <c r="BY71" s="7" t="n">
        <f aca="false">(BY$50&lt;=Sale_Month)*$C$30/IT_Load*MAX(0,MIN(1,(BY$50-$F$30+1)/$G$30))*$C$44*(SUM(BY77:BY81)+$C$36/12*IT_Load*(1+$C$43)^(BY$52-1))</f>
        <v>1156772.94361111</v>
      </c>
      <c r="BZ71" s="7" t="n">
        <f aca="false">(BZ$50&lt;=Sale_Month)*$C$30/IT_Load*MAX(0,MIN(1,(BZ$50-$F$30+1)/$G$30))*$C$44*(SUM(BZ77:BZ81)+$C$36/12*IT_Load*(1+$C$43)^(BZ$52-1))</f>
        <v>1156772.94361111</v>
      </c>
      <c r="CA71" s="7" t="n">
        <f aca="false">(CA$50&lt;=Sale_Month)*$C$30/IT_Load*MAX(0,MIN(1,(CA$50-$F$30+1)/$G$30))*$C$44*(SUM(CA77:CA81)+$C$36/12*IT_Load*(1+$C$43)^(CA$52-1))</f>
        <v>1156772.94361111</v>
      </c>
      <c r="CB71" s="7" t="n">
        <f aca="false">(CB$50&lt;=Sale_Month)*$C$30/IT_Load*MAX(0,MIN(1,(CB$50-$F$30+1)/$G$30))*$C$44*(SUM(CB77:CB81)+$C$36/12*IT_Load*(1+$C$43)^(CB$52-1))</f>
        <v>1191476.13191944</v>
      </c>
      <c r="CC71" s="7" t="n">
        <f aca="false">(CC$50&lt;=Sale_Month)*$C$30/IT_Load*MAX(0,MIN(1,(CC$50-$F$30+1)/$G$30))*$C$44*(SUM(CC77:CC81)+$C$36/12*IT_Load*(1+$C$43)^(CC$52-1))</f>
        <v>1191476.13191944</v>
      </c>
      <c r="CD71" s="7" t="n">
        <f aca="false">(CD$50&lt;=Sale_Month)*$C$30/IT_Load*MAX(0,MIN(1,(CD$50-$F$30+1)/$G$30))*$C$44*(SUM(CD77:CD81)+$C$36/12*IT_Load*(1+$C$43)^(CD$52-1))</f>
        <v>1191476.13191944</v>
      </c>
      <c r="CE71" s="7" t="n">
        <f aca="false">(CE$50&lt;=Sale_Month)*$C$30/IT_Load*MAX(0,MIN(1,(CE$50-$F$30+1)/$G$30))*$C$44*(SUM(CE77:CE81)+$C$36/12*IT_Load*(1+$C$43)^(CE$52-1))</f>
        <v>1191476.13191944</v>
      </c>
      <c r="CF71" s="7" t="n">
        <f aca="false">(CF$50&lt;=Sale_Month)*$C$30/IT_Load*MAX(0,MIN(1,(CF$50-$F$30+1)/$G$30))*$C$44*(SUM(CF77:CF81)+$C$36/12*IT_Load*(1+$C$43)^(CF$52-1))</f>
        <v>1191476.13191944</v>
      </c>
      <c r="CG71" s="7" t="n">
        <f aca="false">(CG$50&lt;=Sale_Month)*$C$30/IT_Load*MAX(0,MIN(1,(CG$50-$F$30+1)/$G$30))*$C$44*(SUM(CG77:CG81)+$C$36/12*IT_Load*(1+$C$43)^(CG$52-1))</f>
        <v>1191476.13191944</v>
      </c>
      <c r="CH71" s="7" t="n">
        <f aca="false">(CH$50&lt;=Sale_Month)*$C$30/IT_Load*MAX(0,MIN(1,(CH$50-$F$30+1)/$G$30))*$C$44*(SUM(CH77:CH81)+$C$36/12*IT_Load*(1+$C$43)^(CH$52-1))</f>
        <v>1191476.13191944</v>
      </c>
      <c r="CI71" s="7" t="n">
        <f aca="false">(CI$50&lt;=Sale_Month)*$C$30/IT_Load*MAX(0,MIN(1,(CI$50-$F$30+1)/$G$30))*$C$44*(SUM(CI77:CI81)+$C$36/12*IT_Load*(1+$C$43)^(CI$52-1))</f>
        <v>1191476.13191944</v>
      </c>
      <c r="CJ71" s="7" t="n">
        <f aca="false">(CJ$50&lt;=Sale_Month)*$C$30/IT_Load*MAX(0,MIN(1,(CJ$50-$F$30+1)/$G$30))*$C$44*(SUM(CJ77:CJ81)+$C$36/12*IT_Load*(1+$C$43)^(CJ$52-1))</f>
        <v>1191476.13191944</v>
      </c>
      <c r="CK71" s="7" t="n">
        <f aca="false">(CK$50&lt;=Sale_Month)*$C$30/IT_Load*MAX(0,MIN(1,(CK$50-$F$30+1)/$G$30))*$C$44*(SUM(CK77:CK81)+$C$36/12*IT_Load*(1+$C$43)^(CK$52-1))</f>
        <v>1191476.13191944</v>
      </c>
      <c r="CL71" s="7" t="n">
        <f aca="false">(CL$50&lt;=Sale_Month)*$C$30/IT_Load*MAX(0,MIN(1,(CL$50-$F$30+1)/$G$30))*$C$44*(SUM(CL77:CL81)+$C$36/12*IT_Load*(1+$C$43)^(CL$52-1))</f>
        <v>1191476.13191944</v>
      </c>
      <c r="CM71" s="7" t="n">
        <f aca="false">(CM$50&lt;=Sale_Month)*$C$30/IT_Load*MAX(0,MIN(1,(CM$50-$F$30+1)/$G$30))*$C$44*(SUM(CM77:CM81)+$C$36/12*IT_Load*(1+$C$43)^(CM$52-1))</f>
        <v>1191476.13191944</v>
      </c>
      <c r="CN71" s="7" t="n">
        <f aca="false">(CN$50&lt;=Sale_Month)*$C$30/IT_Load*MAX(0,MIN(1,(CN$50-$F$30+1)/$G$30))*$C$44*(SUM(CN77:CN81)+$C$36/12*IT_Load*(1+$C$43)^(CN$52-1))</f>
        <v>0</v>
      </c>
      <c r="CO71" s="7" t="n">
        <f aca="false">(CO$50&lt;=Sale_Month)*$C$30/IT_Load*MAX(0,MIN(1,(CO$50-$F$30+1)/$G$30))*$C$44*(SUM(CO77:CO81)+$C$36/12*IT_Load*(1+$C$43)^(CO$52-1))</f>
        <v>0</v>
      </c>
      <c r="CP71" s="7" t="n">
        <f aca="false">(CP$50&lt;=Sale_Month)*$C$30/IT_Load*MAX(0,MIN(1,(CP$50-$F$30+1)/$G$30))*$C$44*(SUM(CP77:CP81)+$C$36/12*IT_Load*(1+$C$43)^(CP$52-1))</f>
        <v>0</v>
      </c>
      <c r="CQ71" s="7" t="n">
        <f aca="false">(CQ$50&lt;=Sale_Month)*$C$30/IT_Load*MAX(0,MIN(1,(CQ$50-$F$30+1)/$G$30))*$C$44*(SUM(CQ77:CQ81)+$C$36/12*IT_Load*(1+$C$43)^(CQ$52-1))</f>
        <v>0</v>
      </c>
      <c r="CR71" s="7" t="n">
        <f aca="false">(CR$50&lt;=Sale_Month)*$C$30/IT_Load*MAX(0,MIN(1,(CR$50-$F$30+1)/$G$30))*$C$44*(SUM(CR77:CR81)+$C$36/12*IT_Load*(1+$C$43)^(CR$52-1))</f>
        <v>0</v>
      </c>
      <c r="CS71" s="7" t="n">
        <f aca="false">(CS$50&lt;=Sale_Month)*$C$30/IT_Load*MAX(0,MIN(1,(CS$50-$F$30+1)/$G$30))*$C$44*(SUM(CS77:CS81)+$C$36/12*IT_Load*(1+$C$43)^(CS$52-1))</f>
        <v>0</v>
      </c>
      <c r="CT71" s="7" t="n">
        <f aca="false">(CT$50&lt;=Sale_Month)*$C$30/IT_Load*MAX(0,MIN(1,(CT$50-$F$30+1)/$G$30))*$C$44*(SUM(CT77:CT81)+$C$36/12*IT_Load*(1+$C$43)^(CT$52-1))</f>
        <v>0</v>
      </c>
      <c r="CU71" s="7" t="n">
        <f aca="false">(CU$50&lt;=Sale_Month)*$C$30/IT_Load*MAX(0,MIN(1,(CU$50-$F$30+1)/$G$30))*$C$44*(SUM(CU77:CU81)+$C$36/12*IT_Load*(1+$C$43)^(CU$52-1))</f>
        <v>0</v>
      </c>
      <c r="CV71" s="7" t="n">
        <f aca="false">(CV$50&lt;=Sale_Month)*$C$30/IT_Load*MAX(0,MIN(1,(CV$50-$F$30+1)/$G$30))*$C$44*(SUM(CV77:CV81)+$C$36/12*IT_Load*(1+$C$43)^(CV$52-1))</f>
        <v>0</v>
      </c>
      <c r="CW71" s="7" t="n">
        <f aca="false">(CW$50&lt;=Sale_Month)*$C$30/IT_Load*MAX(0,MIN(1,(CW$50-$F$30+1)/$G$30))*$C$44*(SUM(CW77:CW81)+$C$36/12*IT_Load*(1+$C$43)^(CW$52-1))</f>
        <v>0</v>
      </c>
      <c r="CX71" s="7" t="n">
        <f aca="false">(CX$50&lt;=Sale_Month)*$C$30/IT_Load*MAX(0,MIN(1,(CX$50-$F$30+1)/$G$30))*$C$44*(SUM(CX77:CX81)+$C$36/12*IT_Load*(1+$C$43)^(CX$52-1))</f>
        <v>0</v>
      </c>
      <c r="CY71" s="7" t="n">
        <f aca="false">(CY$50&lt;=Sale_Month)*$C$30/IT_Load*MAX(0,MIN(1,(CY$50-$F$30+1)/$G$30))*$C$44*(SUM(CY77:CY81)+$C$36/12*IT_Load*(1+$C$43)^(CY$52-1))</f>
        <v>0</v>
      </c>
    </row>
    <row r="72" customFormat="false" ht="15" hidden="false" customHeight="false" outlineLevel="0" collapsed="false">
      <c r="B72" s="0" t="s">
        <v>86</v>
      </c>
      <c r="S72" s="7" t="n">
        <f aca="false">(S$50&lt;=Sale_Month)*$C$31/IT_Load*MAX(0,MIN(1,(S$50-$F$31+1)/$G$31))*$C$44*(SUM(S77:S81)+$C$36/12*IT_Load*(1+$C$43)^(S$52-1))</f>
        <v>0</v>
      </c>
      <c r="T72" s="7" t="n">
        <f aca="false">(T$50&lt;=Sale_Month)*$C$31/IT_Load*MAX(0,MIN(1,(T$50-$F$31+1)/$G$31))*$C$44*(SUM(T77:T81)+$C$36/12*IT_Load*(1+$C$43)^(T$52-1))</f>
        <v>0</v>
      </c>
      <c r="U72" s="7" t="n">
        <f aca="false">(U$50&lt;=Sale_Month)*$C$31/IT_Load*MAX(0,MIN(1,(U$50-$F$31+1)/$G$31))*$C$44*(SUM(U77:U81)+$C$36/12*IT_Load*(1+$C$43)^(U$52-1))</f>
        <v>0</v>
      </c>
      <c r="V72" s="7" t="n">
        <f aca="false">(V$50&lt;=Sale_Month)*$C$31/IT_Load*MAX(0,MIN(1,(V$50-$F$31+1)/$G$31))*$C$44*(SUM(V77:V81)+$C$36/12*IT_Load*(1+$C$43)^(V$52-1))</f>
        <v>0</v>
      </c>
      <c r="W72" s="7" t="n">
        <f aca="false">(W$50&lt;=Sale_Month)*$C$31/IT_Load*MAX(0,MIN(1,(W$50-$F$31+1)/$G$31))*$C$44*(SUM(W77:W81)+$C$36/12*IT_Load*(1+$C$43)^(W$52-1))</f>
        <v>0</v>
      </c>
      <c r="X72" s="7" t="n">
        <f aca="false">(X$50&lt;=Sale_Month)*$C$31/IT_Load*MAX(0,MIN(1,(X$50-$F$31+1)/$G$31))*$C$44*(SUM(X77:X81)+$C$36/12*IT_Load*(1+$C$43)^(X$52-1))</f>
        <v>0</v>
      </c>
      <c r="Y72" s="7" t="n">
        <f aca="false">(Y$50&lt;=Sale_Month)*$C$31/IT_Load*MAX(0,MIN(1,(Y$50-$F$31+1)/$G$31))*$C$44*(SUM(Y77:Y81)+$C$36/12*IT_Load*(1+$C$43)^(Y$52-1))</f>
        <v>0</v>
      </c>
      <c r="Z72" s="7" t="n">
        <f aca="false">(Z$50&lt;=Sale_Month)*$C$31/IT_Load*MAX(0,MIN(1,(Z$50-$F$31+1)/$G$31))*$C$44*(SUM(Z77:Z81)+$C$36/12*IT_Load*(1+$C$43)^(Z$52-1))</f>
        <v>0</v>
      </c>
      <c r="AA72" s="7" t="n">
        <f aca="false">(AA$50&lt;=Sale_Month)*$C$31/IT_Load*MAX(0,MIN(1,(AA$50-$F$31+1)/$G$31))*$C$44*(SUM(AA77:AA81)+$C$36/12*IT_Load*(1+$C$43)^(AA$52-1))</f>
        <v>0</v>
      </c>
      <c r="AB72" s="7" t="n">
        <f aca="false">(AB$50&lt;=Sale_Month)*$C$31/IT_Load*MAX(0,MIN(1,(AB$50-$F$31+1)/$G$31))*$C$44*(SUM(AB77:AB81)+$C$36/12*IT_Load*(1+$C$43)^(AB$52-1))</f>
        <v>0</v>
      </c>
      <c r="AC72" s="7" t="n">
        <f aca="false">(AC$50&lt;=Sale_Month)*$C$31/IT_Load*MAX(0,MIN(1,(AC$50-$F$31+1)/$G$31))*$C$44*(SUM(AC77:AC81)+$C$36/12*IT_Load*(1+$C$43)^(AC$52-1))</f>
        <v>0</v>
      </c>
      <c r="AD72" s="7" t="n">
        <f aca="false">(AD$50&lt;=Sale_Month)*$C$31/IT_Load*MAX(0,MIN(1,(AD$50-$F$31+1)/$G$31))*$C$44*(SUM(AD77:AD81)+$C$36/12*IT_Load*(1+$C$43)^(AD$52-1))</f>
        <v>0</v>
      </c>
      <c r="AE72" s="7" t="n">
        <f aca="false">(AE$50&lt;=Sale_Month)*$C$31/IT_Load*MAX(0,MIN(1,(AE$50-$F$31+1)/$G$31))*$C$44*(SUM(AE77:AE81)+$C$36/12*IT_Load*(1+$C$43)^(AE$52-1))</f>
        <v>0</v>
      </c>
      <c r="AF72" s="7" t="n">
        <f aca="false">(AF$50&lt;=Sale_Month)*$C$31/IT_Load*MAX(0,MIN(1,(AF$50-$F$31+1)/$G$31))*$C$44*(SUM(AF77:AF81)+$C$36/12*IT_Load*(1+$C$43)^(AF$52-1))</f>
        <v>0</v>
      </c>
      <c r="AG72" s="7" t="n">
        <f aca="false">(AG$50&lt;=Sale_Month)*$C$31/IT_Load*MAX(0,MIN(1,(AG$50-$F$31+1)/$G$31))*$C$44*(SUM(AG77:AG81)+$C$36/12*IT_Load*(1+$C$43)^(AG$52-1))</f>
        <v>0</v>
      </c>
      <c r="AH72" s="7" t="n">
        <f aca="false">(AH$50&lt;=Sale_Month)*$C$31/IT_Load*MAX(0,MIN(1,(AH$50-$F$31+1)/$G$31))*$C$44*(SUM(AH77:AH81)+$C$36/12*IT_Load*(1+$C$43)^(AH$52-1))</f>
        <v>0</v>
      </c>
      <c r="AI72" s="7" t="n">
        <f aca="false">(AI$50&lt;=Sale_Month)*$C$31/IT_Load*MAX(0,MIN(1,(AI$50-$F$31+1)/$G$31))*$C$44*(SUM(AI77:AI81)+$C$36/12*IT_Load*(1+$C$43)^(AI$52-1))</f>
        <v>0</v>
      </c>
      <c r="AJ72" s="7" t="n">
        <f aca="false">(AJ$50&lt;=Sale_Month)*$C$31/IT_Load*MAX(0,MIN(1,(AJ$50-$F$31+1)/$G$31))*$C$44*(SUM(AJ77:AJ81)+$C$36/12*IT_Load*(1+$C$43)^(AJ$52-1))</f>
        <v>0</v>
      </c>
      <c r="AK72" s="7" t="n">
        <f aca="false">(AK$50&lt;=Sale_Month)*$C$31/IT_Load*MAX(0,MIN(1,(AK$50-$F$31+1)/$G$31))*$C$44*(SUM(AK77:AK81)+$C$36/12*IT_Load*(1+$C$43)^(AK$52-1))</f>
        <v>0</v>
      </c>
      <c r="AL72" s="7" t="n">
        <f aca="false">(AL$50&lt;=Sale_Month)*$C$31/IT_Load*MAX(0,MIN(1,(AL$50-$F$31+1)/$G$31))*$C$44*(SUM(AL77:AL81)+$C$36/12*IT_Load*(1+$C$43)^(AL$52-1))</f>
        <v>0</v>
      </c>
      <c r="AM72" s="7" t="n">
        <f aca="false">(AM$50&lt;=Sale_Month)*$C$31/IT_Load*MAX(0,MIN(1,(AM$50-$F$31+1)/$G$31))*$C$44*(SUM(AM77:AM81)+$C$36/12*IT_Load*(1+$C$43)^(AM$52-1))</f>
        <v>0</v>
      </c>
      <c r="AN72" s="7" t="n">
        <f aca="false">(AN$50&lt;=Sale_Month)*$C$31/IT_Load*MAX(0,MIN(1,(AN$50-$F$31+1)/$G$31))*$C$44*(SUM(AN77:AN81)+$C$36/12*IT_Load*(1+$C$43)^(AN$52-1))</f>
        <v>0</v>
      </c>
      <c r="AO72" s="7" t="n">
        <f aca="false">(AO$50&lt;=Sale_Month)*$C$31/IT_Load*MAX(0,MIN(1,(AO$50-$F$31+1)/$G$31))*$C$44*(SUM(AO77:AO81)+$C$36/12*IT_Load*(1+$C$43)^(AO$52-1))</f>
        <v>18378.6651234568</v>
      </c>
      <c r="AP72" s="7" t="n">
        <f aca="false">(AP$50&lt;=Sale_Month)*$C$31/IT_Load*MAX(0,MIN(1,(AP$50-$F$31+1)/$G$31))*$C$44*(SUM(AP77:AP81)+$C$36/12*IT_Load*(1+$C$43)^(AP$52-1))</f>
        <v>36757.3302469136</v>
      </c>
      <c r="AQ72" s="7" t="n">
        <f aca="false">(AQ$50&lt;=Sale_Month)*$C$31/IT_Load*MAX(0,MIN(1,(AQ$50-$F$31+1)/$G$31))*$C$44*(SUM(AQ77:AQ81)+$C$36/12*IT_Load*(1+$C$43)^(AQ$52-1))</f>
        <v>55135.9953703704</v>
      </c>
      <c r="AR72" s="7" t="n">
        <f aca="false">(AR$50&lt;=Sale_Month)*$C$31/IT_Load*MAX(0,MIN(1,(AR$50-$F$31+1)/$G$31))*$C$44*(SUM(AR77:AR81)+$C$36/12*IT_Load*(1+$C$43)^(AR$52-1))</f>
        <v>75720.100308642</v>
      </c>
      <c r="AS72" s="7" t="n">
        <f aca="false">(AS$50&lt;=Sale_Month)*$C$31/IT_Load*MAX(0,MIN(1,(AS$50-$F$31+1)/$G$31))*$C$44*(SUM(AS77:AS81)+$C$36/12*IT_Load*(1+$C$43)^(AS$52-1))</f>
        <v>94650.1253858025</v>
      </c>
      <c r="AT72" s="7" t="n">
        <f aca="false">(AT$50&lt;=Sale_Month)*$C$31/IT_Load*MAX(0,MIN(1,(AT$50-$F$31+1)/$G$31))*$C$44*(SUM(AT77:AT81)+$C$36/12*IT_Load*(1+$C$43)^(AT$52-1))</f>
        <v>113580.150462963</v>
      </c>
      <c r="AU72" s="7" t="n">
        <f aca="false">(AU$50&lt;=Sale_Month)*$C$31/IT_Load*MAX(0,MIN(1,(AU$50-$F$31+1)/$G$31))*$C$44*(SUM(AU77:AU81)+$C$36/12*IT_Load*(1+$C$43)^(AU$52-1))</f>
        <v>132510.175540123</v>
      </c>
      <c r="AV72" s="7" t="n">
        <f aca="false">(AV$50&lt;=Sale_Month)*$C$31/IT_Load*MAX(0,MIN(1,(AV$50-$F$31+1)/$G$31))*$C$44*(SUM(AV77:AV81)+$C$36/12*IT_Load*(1+$C$43)^(AV$52-1))</f>
        <v>151440.200617284</v>
      </c>
      <c r="AW72" s="7" t="n">
        <f aca="false">(AW$50&lt;=Sale_Month)*$C$31/IT_Load*MAX(0,MIN(1,(AW$50-$F$31+1)/$G$31))*$C$44*(SUM(AW77:AW81)+$C$36/12*IT_Load*(1+$C$43)^(AW$52-1))</f>
        <v>170370.225694444</v>
      </c>
      <c r="AX72" s="7" t="n">
        <f aca="false">(AX$50&lt;=Sale_Month)*$C$31/IT_Load*MAX(0,MIN(1,(AX$50-$F$31+1)/$G$31))*$C$44*(SUM(AX77:AX81)+$C$36/12*IT_Load*(1+$C$43)^(AX$52-1))</f>
        <v>189300.250771605</v>
      </c>
      <c r="AY72" s="7" t="n">
        <f aca="false">(AY$50&lt;=Sale_Month)*$C$31/IT_Load*MAX(0,MIN(1,(AY$50-$F$31+1)/$G$31))*$C$44*(SUM(AY77:AY81)+$C$36/12*IT_Load*(1+$C$43)^(AY$52-1))</f>
        <v>208230.275848765</v>
      </c>
      <c r="AZ72" s="7" t="n">
        <f aca="false">(AZ$50&lt;=Sale_Month)*$C$31/IT_Load*MAX(0,MIN(1,(AZ$50-$F$31+1)/$G$31))*$C$44*(SUM(AZ77:AZ81)+$C$36/12*IT_Load*(1+$C$43)^(AZ$52-1))</f>
        <v>227160.300925926</v>
      </c>
      <c r="BA72" s="7" t="n">
        <f aca="false">(BA$50&lt;=Sale_Month)*$C$31/IT_Load*MAX(0,MIN(1,(BA$50-$F$31+1)/$G$31))*$C$44*(SUM(BA77:BA81)+$C$36/12*IT_Load*(1+$C$43)^(BA$52-1))</f>
        <v>246090.326003086</v>
      </c>
      <c r="BB72" s="7" t="n">
        <f aca="false">(BB$50&lt;=Sale_Month)*$C$31/IT_Load*MAX(0,MIN(1,(BB$50-$F$31+1)/$G$31))*$C$44*(SUM(BB77:BB81)+$C$36/12*IT_Load*(1+$C$43)^(BB$52-1))</f>
        <v>265020.351080247</v>
      </c>
      <c r="BC72" s="7" t="n">
        <f aca="false">(BC$50&lt;=Sale_Month)*$C$31/IT_Load*MAX(0,MIN(1,(BC$50-$F$31+1)/$G$31))*$C$44*(SUM(BC77:BC81)+$C$36/12*IT_Load*(1+$C$43)^(BC$52-1))</f>
        <v>283950.376157408</v>
      </c>
      <c r="BD72" s="7" t="n">
        <f aca="false">(BD$50&lt;=Sale_Month)*$C$31/IT_Load*MAX(0,MIN(1,(BD$50-$F$31+1)/$G$31))*$C$44*(SUM(BD77:BD81)+$C$36/12*IT_Load*(1+$C$43)^(BD$52-1))</f>
        <v>311966.813271605</v>
      </c>
      <c r="BE72" s="7" t="n">
        <f aca="false">(BE$50&lt;=Sale_Month)*$C$31/IT_Load*MAX(0,MIN(1,(BE$50-$F$31+1)/$G$31))*$C$44*(SUM(BE77:BE81)+$C$36/12*IT_Load*(1+$C$43)^(BE$52-1))</f>
        <v>331464.73910108</v>
      </c>
      <c r="BF72" s="7" t="n">
        <f aca="false">(BF$50&lt;=Sale_Month)*$C$31/IT_Load*MAX(0,MIN(1,(BF$50-$F$31+1)/$G$31))*$C$44*(SUM(BF77:BF81)+$C$36/12*IT_Load*(1+$C$43)^(BF$52-1))</f>
        <v>350962.664930556</v>
      </c>
      <c r="BG72" s="7" t="n">
        <f aca="false">(BG$50&lt;=Sale_Month)*$C$31/IT_Load*MAX(0,MIN(1,(BG$50-$F$31+1)/$G$31))*$C$44*(SUM(BG77:BG81)+$C$36/12*IT_Load*(1+$C$43)^(BG$52-1))</f>
        <v>350962.664930556</v>
      </c>
      <c r="BH72" s="7" t="n">
        <f aca="false">(BH$50&lt;=Sale_Month)*$C$31/IT_Load*MAX(0,MIN(1,(BH$50-$F$31+1)/$G$31))*$C$44*(SUM(BH77:BH81)+$C$36/12*IT_Load*(1+$C$43)^(BH$52-1))</f>
        <v>350962.664930556</v>
      </c>
      <c r="BI72" s="7" t="n">
        <f aca="false">(BI$50&lt;=Sale_Month)*$C$31/IT_Load*MAX(0,MIN(1,(BI$50-$F$31+1)/$G$31))*$C$44*(SUM(BI77:BI81)+$C$36/12*IT_Load*(1+$C$43)^(BI$52-1))</f>
        <v>350962.664930556</v>
      </c>
      <c r="BJ72" s="7" t="n">
        <f aca="false">(BJ$50&lt;=Sale_Month)*$C$31/IT_Load*MAX(0,MIN(1,(BJ$50-$F$31+1)/$G$31))*$C$44*(SUM(BJ77:BJ81)+$C$36/12*IT_Load*(1+$C$43)^(BJ$52-1))</f>
        <v>350962.664930556</v>
      </c>
      <c r="BK72" s="7" t="n">
        <f aca="false">(BK$50&lt;=Sale_Month)*$C$31/IT_Load*MAX(0,MIN(1,(BK$50-$F$31+1)/$G$31))*$C$44*(SUM(BK77:BK81)+$C$36/12*IT_Load*(1+$C$43)^(BK$52-1))</f>
        <v>350962.664930556</v>
      </c>
      <c r="BL72" s="7" t="n">
        <f aca="false">(BL$50&lt;=Sale_Month)*$C$31/IT_Load*MAX(0,MIN(1,(BL$50-$F$31+1)/$G$31))*$C$44*(SUM(BL77:BL81)+$C$36/12*IT_Load*(1+$C$43)^(BL$52-1))</f>
        <v>350962.664930556</v>
      </c>
      <c r="BM72" s="7" t="n">
        <f aca="false">(BM$50&lt;=Sale_Month)*$C$31/IT_Load*MAX(0,MIN(1,(BM$50-$F$31+1)/$G$31))*$C$44*(SUM(BM77:BM81)+$C$36/12*IT_Load*(1+$C$43)^(BM$52-1))</f>
        <v>350962.664930556</v>
      </c>
      <c r="BN72" s="7" t="n">
        <f aca="false">(BN$50&lt;=Sale_Month)*$C$31/IT_Load*MAX(0,MIN(1,(BN$50-$F$31+1)/$G$31))*$C$44*(SUM(BN77:BN81)+$C$36/12*IT_Load*(1+$C$43)^(BN$52-1))</f>
        <v>350962.664930556</v>
      </c>
      <c r="BO72" s="7" t="n">
        <f aca="false">(BO$50&lt;=Sale_Month)*$C$31/IT_Load*MAX(0,MIN(1,(BO$50-$F$31+1)/$G$31))*$C$44*(SUM(BO77:BO81)+$C$36/12*IT_Load*(1+$C$43)^(BO$52-1))</f>
        <v>350962.664930556</v>
      </c>
      <c r="BP72" s="7" t="n">
        <f aca="false">(BP$50&lt;=Sale_Month)*$C$31/IT_Load*MAX(0,MIN(1,(BP$50-$F$31+1)/$G$31))*$C$44*(SUM(BP77:BP81)+$C$36/12*IT_Load*(1+$C$43)^(BP$52-1))</f>
        <v>361491.544878472</v>
      </c>
      <c r="BQ72" s="7" t="n">
        <f aca="false">(BQ$50&lt;=Sale_Month)*$C$31/IT_Load*MAX(0,MIN(1,(BQ$50-$F$31+1)/$G$31))*$C$44*(SUM(BQ77:BQ81)+$C$36/12*IT_Load*(1+$C$43)^(BQ$52-1))</f>
        <v>361491.544878472</v>
      </c>
      <c r="BR72" s="7" t="n">
        <f aca="false">(BR$50&lt;=Sale_Month)*$C$31/IT_Load*MAX(0,MIN(1,(BR$50-$F$31+1)/$G$31))*$C$44*(SUM(BR77:BR81)+$C$36/12*IT_Load*(1+$C$43)^(BR$52-1))</f>
        <v>361491.544878472</v>
      </c>
      <c r="BS72" s="7" t="n">
        <f aca="false">(BS$50&lt;=Sale_Month)*$C$31/IT_Load*MAX(0,MIN(1,(BS$50-$F$31+1)/$G$31))*$C$44*(SUM(BS77:BS81)+$C$36/12*IT_Load*(1+$C$43)^(BS$52-1))</f>
        <v>361491.544878472</v>
      </c>
      <c r="BT72" s="7" t="n">
        <f aca="false">(BT$50&lt;=Sale_Month)*$C$31/IT_Load*MAX(0,MIN(1,(BT$50-$F$31+1)/$G$31))*$C$44*(SUM(BT77:BT81)+$C$36/12*IT_Load*(1+$C$43)^(BT$52-1))</f>
        <v>361491.544878472</v>
      </c>
      <c r="BU72" s="7" t="n">
        <f aca="false">(BU$50&lt;=Sale_Month)*$C$31/IT_Load*MAX(0,MIN(1,(BU$50-$F$31+1)/$G$31))*$C$44*(SUM(BU77:BU81)+$C$36/12*IT_Load*(1+$C$43)^(BU$52-1))</f>
        <v>361491.544878472</v>
      </c>
      <c r="BV72" s="7" t="n">
        <f aca="false">(BV$50&lt;=Sale_Month)*$C$31/IT_Load*MAX(0,MIN(1,(BV$50-$F$31+1)/$G$31))*$C$44*(SUM(BV77:BV81)+$C$36/12*IT_Load*(1+$C$43)^(BV$52-1))</f>
        <v>361491.544878472</v>
      </c>
      <c r="BW72" s="7" t="n">
        <f aca="false">(BW$50&lt;=Sale_Month)*$C$31/IT_Load*MAX(0,MIN(1,(BW$50-$F$31+1)/$G$31))*$C$44*(SUM(BW77:BW81)+$C$36/12*IT_Load*(1+$C$43)^(BW$52-1))</f>
        <v>361491.544878472</v>
      </c>
      <c r="BX72" s="7" t="n">
        <f aca="false">(BX$50&lt;=Sale_Month)*$C$31/IT_Load*MAX(0,MIN(1,(BX$50-$F$31+1)/$G$31))*$C$44*(SUM(BX77:BX81)+$C$36/12*IT_Load*(1+$C$43)^(BX$52-1))</f>
        <v>361491.544878472</v>
      </c>
      <c r="BY72" s="7" t="n">
        <f aca="false">(BY$50&lt;=Sale_Month)*$C$31/IT_Load*MAX(0,MIN(1,(BY$50-$F$31+1)/$G$31))*$C$44*(SUM(BY77:BY81)+$C$36/12*IT_Load*(1+$C$43)^(BY$52-1))</f>
        <v>361491.544878472</v>
      </c>
      <c r="BZ72" s="7" t="n">
        <f aca="false">(BZ$50&lt;=Sale_Month)*$C$31/IT_Load*MAX(0,MIN(1,(BZ$50-$F$31+1)/$G$31))*$C$44*(SUM(BZ77:BZ81)+$C$36/12*IT_Load*(1+$C$43)^(BZ$52-1))</f>
        <v>361491.544878472</v>
      </c>
      <c r="CA72" s="7" t="n">
        <f aca="false">(CA$50&lt;=Sale_Month)*$C$31/IT_Load*MAX(0,MIN(1,(CA$50-$F$31+1)/$G$31))*$C$44*(SUM(CA77:CA81)+$C$36/12*IT_Load*(1+$C$43)^(CA$52-1))</f>
        <v>361491.544878472</v>
      </c>
      <c r="CB72" s="7" t="n">
        <f aca="false">(CB$50&lt;=Sale_Month)*$C$31/IT_Load*MAX(0,MIN(1,(CB$50-$F$31+1)/$G$31))*$C$44*(SUM(CB77:CB81)+$C$36/12*IT_Load*(1+$C$43)^(CB$52-1))</f>
        <v>372336.291224826</v>
      </c>
      <c r="CC72" s="7" t="n">
        <f aca="false">(CC$50&lt;=Sale_Month)*$C$31/IT_Load*MAX(0,MIN(1,(CC$50-$F$31+1)/$G$31))*$C$44*(SUM(CC77:CC81)+$C$36/12*IT_Load*(1+$C$43)^(CC$52-1))</f>
        <v>372336.291224826</v>
      </c>
      <c r="CD72" s="7" t="n">
        <f aca="false">(CD$50&lt;=Sale_Month)*$C$31/IT_Load*MAX(0,MIN(1,(CD$50-$F$31+1)/$G$31))*$C$44*(SUM(CD77:CD81)+$C$36/12*IT_Load*(1+$C$43)^(CD$52-1))</f>
        <v>372336.291224826</v>
      </c>
      <c r="CE72" s="7" t="n">
        <f aca="false">(CE$50&lt;=Sale_Month)*$C$31/IT_Load*MAX(0,MIN(1,(CE$50-$F$31+1)/$G$31))*$C$44*(SUM(CE77:CE81)+$C$36/12*IT_Load*(1+$C$43)^(CE$52-1))</f>
        <v>372336.291224826</v>
      </c>
      <c r="CF72" s="7" t="n">
        <f aca="false">(CF$50&lt;=Sale_Month)*$C$31/IT_Load*MAX(0,MIN(1,(CF$50-$F$31+1)/$G$31))*$C$44*(SUM(CF77:CF81)+$C$36/12*IT_Load*(1+$C$43)^(CF$52-1))</f>
        <v>372336.291224826</v>
      </c>
      <c r="CG72" s="7" t="n">
        <f aca="false">(CG$50&lt;=Sale_Month)*$C$31/IT_Load*MAX(0,MIN(1,(CG$50-$F$31+1)/$G$31))*$C$44*(SUM(CG77:CG81)+$C$36/12*IT_Load*(1+$C$43)^(CG$52-1))</f>
        <v>372336.291224826</v>
      </c>
      <c r="CH72" s="7" t="n">
        <f aca="false">(CH$50&lt;=Sale_Month)*$C$31/IT_Load*MAX(0,MIN(1,(CH$50-$F$31+1)/$G$31))*$C$44*(SUM(CH77:CH81)+$C$36/12*IT_Load*(1+$C$43)^(CH$52-1))</f>
        <v>372336.291224826</v>
      </c>
      <c r="CI72" s="7" t="n">
        <f aca="false">(CI$50&lt;=Sale_Month)*$C$31/IT_Load*MAX(0,MIN(1,(CI$50-$F$31+1)/$G$31))*$C$44*(SUM(CI77:CI81)+$C$36/12*IT_Load*(1+$C$43)^(CI$52-1))</f>
        <v>372336.291224826</v>
      </c>
      <c r="CJ72" s="7" t="n">
        <f aca="false">(CJ$50&lt;=Sale_Month)*$C$31/IT_Load*MAX(0,MIN(1,(CJ$50-$F$31+1)/$G$31))*$C$44*(SUM(CJ77:CJ81)+$C$36/12*IT_Load*(1+$C$43)^(CJ$52-1))</f>
        <v>372336.291224826</v>
      </c>
      <c r="CK72" s="7" t="n">
        <f aca="false">(CK$50&lt;=Sale_Month)*$C$31/IT_Load*MAX(0,MIN(1,(CK$50-$F$31+1)/$G$31))*$C$44*(SUM(CK77:CK81)+$C$36/12*IT_Load*(1+$C$43)^(CK$52-1))</f>
        <v>372336.291224826</v>
      </c>
      <c r="CL72" s="7" t="n">
        <f aca="false">(CL$50&lt;=Sale_Month)*$C$31/IT_Load*MAX(0,MIN(1,(CL$50-$F$31+1)/$G$31))*$C$44*(SUM(CL77:CL81)+$C$36/12*IT_Load*(1+$C$43)^(CL$52-1))</f>
        <v>372336.291224826</v>
      </c>
      <c r="CM72" s="7" t="n">
        <f aca="false">(CM$50&lt;=Sale_Month)*$C$31/IT_Load*MAX(0,MIN(1,(CM$50-$F$31+1)/$G$31))*$C$44*(SUM(CM77:CM81)+$C$36/12*IT_Load*(1+$C$43)^(CM$52-1))</f>
        <v>372336.291224826</v>
      </c>
      <c r="CN72" s="7" t="n">
        <f aca="false">(CN$50&lt;=Sale_Month)*$C$31/IT_Load*MAX(0,MIN(1,(CN$50-$F$31+1)/$G$31))*$C$44*(SUM(CN77:CN81)+$C$36/12*IT_Load*(1+$C$43)^(CN$52-1))</f>
        <v>0</v>
      </c>
      <c r="CO72" s="7" t="n">
        <f aca="false">(CO$50&lt;=Sale_Month)*$C$31/IT_Load*MAX(0,MIN(1,(CO$50-$F$31+1)/$G$31))*$C$44*(SUM(CO77:CO81)+$C$36/12*IT_Load*(1+$C$43)^(CO$52-1))</f>
        <v>0</v>
      </c>
      <c r="CP72" s="7" t="n">
        <f aca="false">(CP$50&lt;=Sale_Month)*$C$31/IT_Load*MAX(0,MIN(1,(CP$50-$F$31+1)/$G$31))*$C$44*(SUM(CP77:CP81)+$C$36/12*IT_Load*(1+$C$43)^(CP$52-1))</f>
        <v>0</v>
      </c>
      <c r="CQ72" s="7" t="n">
        <f aca="false">(CQ$50&lt;=Sale_Month)*$C$31/IT_Load*MAX(0,MIN(1,(CQ$50-$F$31+1)/$G$31))*$C$44*(SUM(CQ77:CQ81)+$C$36/12*IT_Load*(1+$C$43)^(CQ$52-1))</f>
        <v>0</v>
      </c>
      <c r="CR72" s="7" t="n">
        <f aca="false">(CR$50&lt;=Sale_Month)*$C$31/IT_Load*MAX(0,MIN(1,(CR$50-$F$31+1)/$G$31))*$C$44*(SUM(CR77:CR81)+$C$36/12*IT_Load*(1+$C$43)^(CR$52-1))</f>
        <v>0</v>
      </c>
      <c r="CS72" s="7" t="n">
        <f aca="false">(CS$50&lt;=Sale_Month)*$C$31/IT_Load*MAX(0,MIN(1,(CS$50-$F$31+1)/$G$31))*$C$44*(SUM(CS77:CS81)+$C$36/12*IT_Load*(1+$C$43)^(CS$52-1))</f>
        <v>0</v>
      </c>
      <c r="CT72" s="7" t="n">
        <f aca="false">(CT$50&lt;=Sale_Month)*$C$31/IT_Load*MAX(0,MIN(1,(CT$50-$F$31+1)/$G$31))*$C$44*(SUM(CT77:CT81)+$C$36/12*IT_Load*(1+$C$43)^(CT$52-1))</f>
        <v>0</v>
      </c>
      <c r="CU72" s="7" t="n">
        <f aca="false">(CU$50&lt;=Sale_Month)*$C$31/IT_Load*MAX(0,MIN(1,(CU$50-$F$31+1)/$G$31))*$C$44*(SUM(CU77:CU81)+$C$36/12*IT_Load*(1+$C$43)^(CU$52-1))</f>
        <v>0</v>
      </c>
      <c r="CV72" s="7" t="n">
        <f aca="false">(CV$50&lt;=Sale_Month)*$C$31/IT_Load*MAX(0,MIN(1,(CV$50-$F$31+1)/$G$31))*$C$44*(SUM(CV77:CV81)+$C$36/12*IT_Load*(1+$C$43)^(CV$52-1))</f>
        <v>0</v>
      </c>
      <c r="CW72" s="7" t="n">
        <f aca="false">(CW$50&lt;=Sale_Month)*$C$31/IT_Load*MAX(0,MIN(1,(CW$50-$F$31+1)/$G$31))*$C$44*(SUM(CW77:CW81)+$C$36/12*IT_Load*(1+$C$43)^(CW$52-1))</f>
        <v>0</v>
      </c>
      <c r="CX72" s="7" t="n">
        <f aca="false">(CX$50&lt;=Sale_Month)*$C$31/IT_Load*MAX(0,MIN(1,(CX$50-$F$31+1)/$G$31))*$C$44*(SUM(CX77:CX81)+$C$36/12*IT_Load*(1+$C$43)^(CX$52-1))</f>
        <v>0</v>
      </c>
      <c r="CY72" s="7" t="n">
        <f aca="false">(CY$50&lt;=Sale_Month)*$C$31/IT_Load*MAX(0,MIN(1,(CY$50-$F$31+1)/$G$31))*$C$44*(SUM(CY77:CY81)+$C$36/12*IT_Load*(1+$C$43)^(CY$52-1))</f>
        <v>0</v>
      </c>
    </row>
    <row r="73" customFormat="false" ht="15" hidden="false" customHeight="false" outlineLevel="0" collapsed="false">
      <c r="B73" s="0" t="s">
        <v>87</v>
      </c>
      <c r="S73" s="7" t="n">
        <f aca="false">(S$50&lt;=Sale_Month)*$C$32/IT_Load*MAX(0,MIN(1,(S$50-$F$32+1)/$G$32))*$C$44*(SUM(S77:S81)+$C$36/12*IT_Load*(1+$C$43)^(S$52-1))</f>
        <v>0</v>
      </c>
      <c r="T73" s="7" t="n">
        <f aca="false">(T$50&lt;=Sale_Month)*$C$32/IT_Load*MAX(0,MIN(1,(T$50-$F$32+1)/$G$32))*$C$44*(SUM(T77:T81)+$C$36/12*IT_Load*(1+$C$43)^(T$52-1))</f>
        <v>0</v>
      </c>
      <c r="U73" s="7" t="n">
        <f aca="false">(U$50&lt;=Sale_Month)*$C$32/IT_Load*MAX(0,MIN(1,(U$50-$F$32+1)/$G$32))*$C$44*(SUM(U77:U81)+$C$36/12*IT_Load*(1+$C$43)^(U$52-1))</f>
        <v>0</v>
      </c>
      <c r="V73" s="7" t="n">
        <f aca="false">(V$50&lt;=Sale_Month)*$C$32/IT_Load*MAX(0,MIN(1,(V$50-$F$32+1)/$G$32))*$C$44*(SUM(V77:V81)+$C$36/12*IT_Load*(1+$C$43)^(V$52-1))</f>
        <v>0</v>
      </c>
      <c r="W73" s="7" t="n">
        <f aca="false">(W$50&lt;=Sale_Month)*$C$32/IT_Load*MAX(0,MIN(1,(W$50-$F$32+1)/$G$32))*$C$44*(SUM(W77:W81)+$C$36/12*IT_Load*(1+$C$43)^(W$52-1))</f>
        <v>0</v>
      </c>
      <c r="X73" s="7" t="n">
        <f aca="false">(X$50&lt;=Sale_Month)*$C$32/IT_Load*MAX(0,MIN(1,(X$50-$F$32+1)/$G$32))*$C$44*(SUM(X77:X81)+$C$36/12*IT_Load*(1+$C$43)^(X$52-1))</f>
        <v>0</v>
      </c>
      <c r="Y73" s="7" t="n">
        <f aca="false">(Y$50&lt;=Sale_Month)*$C$32/IT_Load*MAX(0,MIN(1,(Y$50-$F$32+1)/$G$32))*$C$44*(SUM(Y77:Y81)+$C$36/12*IT_Load*(1+$C$43)^(Y$52-1))</f>
        <v>0</v>
      </c>
      <c r="Z73" s="7" t="n">
        <f aca="false">(Z$50&lt;=Sale_Month)*$C$32/IT_Load*MAX(0,MIN(1,(Z$50-$F$32+1)/$G$32))*$C$44*(SUM(Z77:Z81)+$C$36/12*IT_Load*(1+$C$43)^(Z$52-1))</f>
        <v>0</v>
      </c>
      <c r="AA73" s="7" t="n">
        <f aca="false">(AA$50&lt;=Sale_Month)*$C$32/IT_Load*MAX(0,MIN(1,(AA$50-$F$32+1)/$G$32))*$C$44*(SUM(AA77:AA81)+$C$36/12*IT_Load*(1+$C$43)^(AA$52-1))</f>
        <v>0</v>
      </c>
      <c r="AB73" s="7" t="n">
        <f aca="false">(AB$50&lt;=Sale_Month)*$C$32/IT_Load*MAX(0,MIN(1,(AB$50-$F$32+1)/$G$32))*$C$44*(SUM(AB77:AB81)+$C$36/12*IT_Load*(1+$C$43)^(AB$52-1))</f>
        <v>0</v>
      </c>
      <c r="AC73" s="7" t="n">
        <f aca="false">(AC$50&lt;=Sale_Month)*$C$32/IT_Load*MAX(0,MIN(1,(AC$50-$F$32+1)/$G$32))*$C$44*(SUM(AC77:AC81)+$C$36/12*IT_Load*(1+$C$43)^(AC$52-1))</f>
        <v>0</v>
      </c>
      <c r="AD73" s="7" t="n">
        <f aca="false">(AD$50&lt;=Sale_Month)*$C$32/IT_Load*MAX(0,MIN(1,(AD$50-$F$32+1)/$G$32))*$C$44*(SUM(AD77:AD81)+$C$36/12*IT_Load*(1+$C$43)^(AD$52-1))</f>
        <v>0</v>
      </c>
      <c r="AE73" s="7" t="n">
        <f aca="false">(AE$50&lt;=Sale_Month)*$C$32/IT_Load*MAX(0,MIN(1,(AE$50-$F$32+1)/$G$32))*$C$44*(SUM(AE77:AE81)+$C$36/12*IT_Load*(1+$C$43)^(AE$52-1))</f>
        <v>0</v>
      </c>
      <c r="AF73" s="7" t="n">
        <f aca="false">(AF$50&lt;=Sale_Month)*$C$32/IT_Load*MAX(0,MIN(1,(AF$50-$F$32+1)/$G$32))*$C$44*(SUM(AF77:AF81)+$C$36/12*IT_Load*(1+$C$43)^(AF$52-1))</f>
        <v>0</v>
      </c>
      <c r="AG73" s="7" t="n">
        <f aca="false">(AG$50&lt;=Sale_Month)*$C$32/IT_Load*MAX(0,MIN(1,(AG$50-$F$32+1)/$G$32))*$C$44*(SUM(AG77:AG81)+$C$36/12*IT_Load*(1+$C$43)^(AG$52-1))</f>
        <v>0</v>
      </c>
      <c r="AH73" s="7" t="n">
        <f aca="false">(AH$50&lt;=Sale_Month)*$C$32/IT_Load*MAX(0,MIN(1,(AH$50-$F$32+1)/$G$32))*$C$44*(SUM(AH77:AH81)+$C$36/12*IT_Load*(1+$C$43)^(AH$52-1))</f>
        <v>0</v>
      </c>
      <c r="AI73" s="7" t="n">
        <f aca="false">(AI$50&lt;=Sale_Month)*$C$32/IT_Load*MAX(0,MIN(1,(AI$50-$F$32+1)/$G$32))*$C$44*(SUM(AI77:AI81)+$C$36/12*IT_Load*(1+$C$43)^(AI$52-1))</f>
        <v>0</v>
      </c>
      <c r="AJ73" s="7" t="n">
        <f aca="false">(AJ$50&lt;=Sale_Month)*$C$32/IT_Load*MAX(0,MIN(1,(AJ$50-$F$32+1)/$G$32))*$C$44*(SUM(AJ77:AJ81)+$C$36/12*IT_Load*(1+$C$43)^(AJ$52-1))</f>
        <v>0</v>
      </c>
      <c r="AK73" s="7" t="n">
        <f aca="false">(AK$50&lt;=Sale_Month)*$C$32/IT_Load*MAX(0,MIN(1,(AK$50-$F$32+1)/$G$32))*$C$44*(SUM(AK77:AK81)+$C$36/12*IT_Load*(1+$C$43)^(AK$52-1))</f>
        <v>0</v>
      </c>
      <c r="AL73" s="7" t="n">
        <f aca="false">(AL$50&lt;=Sale_Month)*$C$32/IT_Load*MAX(0,MIN(1,(AL$50-$F$32+1)/$G$32))*$C$44*(SUM(AL77:AL81)+$C$36/12*IT_Load*(1+$C$43)^(AL$52-1))</f>
        <v>0</v>
      </c>
      <c r="AM73" s="7" t="n">
        <f aca="false">(AM$50&lt;=Sale_Month)*$C$32/IT_Load*MAX(0,MIN(1,(AM$50-$F$32+1)/$G$32))*$C$44*(SUM(AM77:AM81)+$C$36/12*IT_Load*(1+$C$43)^(AM$52-1))</f>
        <v>0</v>
      </c>
      <c r="AN73" s="7" t="n">
        <f aca="false">(AN$50&lt;=Sale_Month)*$C$32/IT_Load*MAX(0,MIN(1,(AN$50-$F$32+1)/$G$32))*$C$44*(SUM(AN77:AN81)+$C$36/12*IT_Load*(1+$C$43)^(AN$52-1))</f>
        <v>0</v>
      </c>
      <c r="AO73" s="7" t="n">
        <f aca="false">(AO$50&lt;=Sale_Month)*$C$32/IT_Load*MAX(0,MIN(1,(AO$50-$F$32+1)/$G$32))*$C$44*(SUM(AO77:AO81)+$C$36/12*IT_Load*(1+$C$43)^(AO$52-1))</f>
        <v>0</v>
      </c>
      <c r="AP73" s="7" t="n">
        <f aca="false">(AP$50&lt;=Sale_Month)*$C$32/IT_Load*MAX(0,MIN(1,(AP$50-$F$32+1)/$G$32))*$C$44*(SUM(AP77:AP81)+$C$36/12*IT_Load*(1+$C$43)^(AP$52-1))</f>
        <v>0</v>
      </c>
      <c r="AQ73" s="7" t="n">
        <f aca="false">(AQ$50&lt;=Sale_Month)*$C$32/IT_Load*MAX(0,MIN(1,(AQ$50-$F$32+1)/$G$32))*$C$44*(SUM(AQ77:AQ81)+$C$36/12*IT_Load*(1+$C$43)^(AQ$52-1))</f>
        <v>0</v>
      </c>
      <c r="AR73" s="7" t="n">
        <f aca="false">(AR$50&lt;=Sale_Month)*$C$32/IT_Load*MAX(0,MIN(1,(AR$50-$F$32+1)/$G$32))*$C$44*(SUM(AR77:AR81)+$C$36/12*IT_Load*(1+$C$43)^(AR$52-1))</f>
        <v>0</v>
      </c>
      <c r="AS73" s="7" t="n">
        <f aca="false">(AS$50&lt;=Sale_Month)*$C$32/IT_Load*MAX(0,MIN(1,(AS$50-$F$32+1)/$G$32))*$C$44*(SUM(AS77:AS81)+$C$36/12*IT_Load*(1+$C$43)^(AS$52-1))</f>
        <v>34074.0451388889</v>
      </c>
      <c r="AT73" s="7" t="n">
        <f aca="false">(AT$50&lt;=Sale_Month)*$C$32/IT_Load*MAX(0,MIN(1,(AT$50-$F$32+1)/$G$32))*$C$44*(SUM(AT77:AT81)+$C$36/12*IT_Load*(1+$C$43)^(AT$52-1))</f>
        <v>68148.0902777778</v>
      </c>
      <c r="AU73" s="7" t="n">
        <f aca="false">(AU$50&lt;=Sale_Month)*$C$32/IT_Load*MAX(0,MIN(1,(AU$50-$F$32+1)/$G$32))*$C$44*(SUM(AU77:AU81)+$C$36/12*IT_Load*(1+$C$43)^(AU$52-1))</f>
        <v>102222.135416667</v>
      </c>
      <c r="AV73" s="7" t="n">
        <f aca="false">(AV$50&lt;=Sale_Month)*$C$32/IT_Load*MAX(0,MIN(1,(AV$50-$F$32+1)/$G$32))*$C$44*(SUM(AV77:AV81)+$C$36/12*IT_Load*(1+$C$43)^(AV$52-1))</f>
        <v>136296.180555556</v>
      </c>
      <c r="AW73" s="7" t="n">
        <f aca="false">(AW$50&lt;=Sale_Month)*$C$32/IT_Load*MAX(0,MIN(1,(AW$50-$F$32+1)/$G$32))*$C$44*(SUM(AW77:AW81)+$C$36/12*IT_Load*(1+$C$43)^(AW$52-1))</f>
        <v>170370.225694444</v>
      </c>
      <c r="AX73" s="7" t="n">
        <f aca="false">(AX$50&lt;=Sale_Month)*$C$32/IT_Load*MAX(0,MIN(1,(AX$50-$F$32+1)/$G$32))*$C$44*(SUM(AX77:AX81)+$C$36/12*IT_Load*(1+$C$43)^(AX$52-1))</f>
        <v>204444.270833333</v>
      </c>
      <c r="AY73" s="7" t="n">
        <f aca="false">(AY$50&lt;=Sale_Month)*$C$32/IT_Load*MAX(0,MIN(1,(AY$50-$F$32+1)/$G$32))*$C$44*(SUM(AY77:AY81)+$C$36/12*IT_Load*(1+$C$43)^(AY$52-1))</f>
        <v>204444.270833333</v>
      </c>
      <c r="AZ73" s="7" t="n">
        <f aca="false">(AZ$50&lt;=Sale_Month)*$C$32/IT_Load*MAX(0,MIN(1,(AZ$50-$F$32+1)/$G$32))*$C$44*(SUM(AZ77:AZ81)+$C$36/12*IT_Load*(1+$C$43)^(AZ$52-1))</f>
        <v>204444.270833333</v>
      </c>
      <c r="BA73" s="7" t="n">
        <f aca="false">(BA$50&lt;=Sale_Month)*$C$32/IT_Load*MAX(0,MIN(1,(BA$50-$F$32+1)/$G$32))*$C$44*(SUM(BA77:BA81)+$C$36/12*IT_Load*(1+$C$43)^(BA$52-1))</f>
        <v>204444.270833333</v>
      </c>
      <c r="BB73" s="7" t="n">
        <f aca="false">(BB$50&lt;=Sale_Month)*$C$32/IT_Load*MAX(0,MIN(1,(BB$50-$F$32+1)/$G$32))*$C$44*(SUM(BB77:BB81)+$C$36/12*IT_Load*(1+$C$43)^(BB$52-1))</f>
        <v>204444.270833333</v>
      </c>
      <c r="BC73" s="7" t="n">
        <f aca="false">(BC$50&lt;=Sale_Month)*$C$32/IT_Load*MAX(0,MIN(1,(BC$50-$F$32+1)/$G$32))*$C$44*(SUM(BC77:BC81)+$C$36/12*IT_Load*(1+$C$43)^(BC$52-1))</f>
        <v>204444.270833333</v>
      </c>
      <c r="BD73" s="7" t="n">
        <f aca="false">(BD$50&lt;=Sale_Month)*$C$32/IT_Load*MAX(0,MIN(1,(BD$50-$F$32+1)/$G$32))*$C$44*(SUM(BD77:BD81)+$C$36/12*IT_Load*(1+$C$43)^(BD$52-1))</f>
        <v>210577.598958333</v>
      </c>
      <c r="BE73" s="7" t="n">
        <f aca="false">(BE$50&lt;=Sale_Month)*$C$32/IT_Load*MAX(0,MIN(1,(BE$50-$F$32+1)/$G$32))*$C$44*(SUM(BE77:BE81)+$C$36/12*IT_Load*(1+$C$43)^(BE$52-1))</f>
        <v>210577.598958333</v>
      </c>
      <c r="BF73" s="7" t="n">
        <f aca="false">(BF$50&lt;=Sale_Month)*$C$32/IT_Load*MAX(0,MIN(1,(BF$50-$F$32+1)/$G$32))*$C$44*(SUM(BF77:BF81)+$C$36/12*IT_Load*(1+$C$43)^(BF$52-1))</f>
        <v>210577.598958333</v>
      </c>
      <c r="BG73" s="7" t="n">
        <f aca="false">(BG$50&lt;=Sale_Month)*$C$32/IT_Load*MAX(0,MIN(1,(BG$50-$F$32+1)/$G$32))*$C$44*(SUM(BG77:BG81)+$C$36/12*IT_Load*(1+$C$43)^(BG$52-1))</f>
        <v>210577.598958333</v>
      </c>
      <c r="BH73" s="7" t="n">
        <f aca="false">(BH$50&lt;=Sale_Month)*$C$32/IT_Load*MAX(0,MIN(1,(BH$50-$F$32+1)/$G$32))*$C$44*(SUM(BH77:BH81)+$C$36/12*IT_Load*(1+$C$43)^(BH$52-1))</f>
        <v>210577.598958333</v>
      </c>
      <c r="BI73" s="7" t="n">
        <f aca="false">(BI$50&lt;=Sale_Month)*$C$32/IT_Load*MAX(0,MIN(1,(BI$50-$F$32+1)/$G$32))*$C$44*(SUM(BI77:BI81)+$C$36/12*IT_Load*(1+$C$43)^(BI$52-1))</f>
        <v>210577.598958333</v>
      </c>
      <c r="BJ73" s="7" t="n">
        <f aca="false">(BJ$50&lt;=Sale_Month)*$C$32/IT_Load*MAX(0,MIN(1,(BJ$50-$F$32+1)/$G$32))*$C$44*(SUM(BJ77:BJ81)+$C$36/12*IT_Load*(1+$C$43)^(BJ$52-1))</f>
        <v>210577.598958333</v>
      </c>
      <c r="BK73" s="7" t="n">
        <f aca="false">(BK$50&lt;=Sale_Month)*$C$32/IT_Load*MAX(0,MIN(1,(BK$50-$F$32+1)/$G$32))*$C$44*(SUM(BK77:BK81)+$C$36/12*IT_Load*(1+$C$43)^(BK$52-1))</f>
        <v>210577.598958333</v>
      </c>
      <c r="BL73" s="7" t="n">
        <f aca="false">(BL$50&lt;=Sale_Month)*$C$32/IT_Load*MAX(0,MIN(1,(BL$50-$F$32+1)/$G$32))*$C$44*(SUM(BL77:BL81)+$C$36/12*IT_Load*(1+$C$43)^(BL$52-1))</f>
        <v>210577.598958333</v>
      </c>
      <c r="BM73" s="7" t="n">
        <f aca="false">(BM$50&lt;=Sale_Month)*$C$32/IT_Load*MAX(0,MIN(1,(BM$50-$F$32+1)/$G$32))*$C$44*(SUM(BM77:BM81)+$C$36/12*IT_Load*(1+$C$43)^(BM$52-1))</f>
        <v>210577.598958333</v>
      </c>
      <c r="BN73" s="7" t="n">
        <f aca="false">(BN$50&lt;=Sale_Month)*$C$32/IT_Load*MAX(0,MIN(1,(BN$50-$F$32+1)/$G$32))*$C$44*(SUM(BN77:BN81)+$C$36/12*IT_Load*(1+$C$43)^(BN$52-1))</f>
        <v>210577.598958333</v>
      </c>
      <c r="BO73" s="7" t="n">
        <f aca="false">(BO$50&lt;=Sale_Month)*$C$32/IT_Load*MAX(0,MIN(1,(BO$50-$F$32+1)/$G$32))*$C$44*(SUM(BO77:BO81)+$C$36/12*IT_Load*(1+$C$43)^(BO$52-1))</f>
        <v>210577.598958333</v>
      </c>
      <c r="BP73" s="7" t="n">
        <f aca="false">(BP$50&lt;=Sale_Month)*$C$32/IT_Load*MAX(0,MIN(1,(BP$50-$F$32+1)/$G$32))*$C$44*(SUM(BP77:BP81)+$C$36/12*IT_Load*(1+$C$43)^(BP$52-1))</f>
        <v>216894.926927083</v>
      </c>
      <c r="BQ73" s="7" t="n">
        <f aca="false">(BQ$50&lt;=Sale_Month)*$C$32/IT_Load*MAX(0,MIN(1,(BQ$50-$F$32+1)/$G$32))*$C$44*(SUM(BQ77:BQ81)+$C$36/12*IT_Load*(1+$C$43)^(BQ$52-1))</f>
        <v>216894.926927083</v>
      </c>
      <c r="BR73" s="7" t="n">
        <f aca="false">(BR$50&lt;=Sale_Month)*$C$32/IT_Load*MAX(0,MIN(1,(BR$50-$F$32+1)/$G$32))*$C$44*(SUM(BR77:BR81)+$C$36/12*IT_Load*(1+$C$43)^(BR$52-1))</f>
        <v>216894.926927083</v>
      </c>
      <c r="BS73" s="7" t="n">
        <f aca="false">(BS$50&lt;=Sale_Month)*$C$32/IT_Load*MAX(0,MIN(1,(BS$50-$F$32+1)/$G$32))*$C$44*(SUM(BS77:BS81)+$C$36/12*IT_Load*(1+$C$43)^(BS$52-1))</f>
        <v>216894.926927083</v>
      </c>
      <c r="BT73" s="7" t="n">
        <f aca="false">(BT$50&lt;=Sale_Month)*$C$32/IT_Load*MAX(0,MIN(1,(BT$50-$F$32+1)/$G$32))*$C$44*(SUM(BT77:BT81)+$C$36/12*IT_Load*(1+$C$43)^(BT$52-1))</f>
        <v>216894.926927083</v>
      </c>
      <c r="BU73" s="7" t="n">
        <f aca="false">(BU$50&lt;=Sale_Month)*$C$32/IT_Load*MAX(0,MIN(1,(BU$50-$F$32+1)/$G$32))*$C$44*(SUM(BU77:BU81)+$C$36/12*IT_Load*(1+$C$43)^(BU$52-1))</f>
        <v>216894.926927083</v>
      </c>
      <c r="BV73" s="7" t="n">
        <f aca="false">(BV$50&lt;=Sale_Month)*$C$32/IT_Load*MAX(0,MIN(1,(BV$50-$F$32+1)/$G$32))*$C$44*(SUM(BV77:BV81)+$C$36/12*IT_Load*(1+$C$43)^(BV$52-1))</f>
        <v>216894.926927083</v>
      </c>
      <c r="BW73" s="7" t="n">
        <f aca="false">(BW$50&lt;=Sale_Month)*$C$32/IT_Load*MAX(0,MIN(1,(BW$50-$F$32+1)/$G$32))*$C$44*(SUM(BW77:BW81)+$C$36/12*IT_Load*(1+$C$43)^(BW$52-1))</f>
        <v>216894.926927083</v>
      </c>
      <c r="BX73" s="7" t="n">
        <f aca="false">(BX$50&lt;=Sale_Month)*$C$32/IT_Load*MAX(0,MIN(1,(BX$50-$F$32+1)/$G$32))*$C$44*(SUM(BX77:BX81)+$C$36/12*IT_Load*(1+$C$43)^(BX$52-1))</f>
        <v>216894.926927083</v>
      </c>
      <c r="BY73" s="7" t="n">
        <f aca="false">(BY$50&lt;=Sale_Month)*$C$32/IT_Load*MAX(0,MIN(1,(BY$50-$F$32+1)/$G$32))*$C$44*(SUM(BY77:BY81)+$C$36/12*IT_Load*(1+$C$43)^(BY$52-1))</f>
        <v>216894.926927083</v>
      </c>
      <c r="BZ73" s="7" t="n">
        <f aca="false">(BZ$50&lt;=Sale_Month)*$C$32/IT_Load*MAX(0,MIN(1,(BZ$50-$F$32+1)/$G$32))*$C$44*(SUM(BZ77:BZ81)+$C$36/12*IT_Load*(1+$C$43)^(BZ$52-1))</f>
        <v>216894.926927083</v>
      </c>
      <c r="CA73" s="7" t="n">
        <f aca="false">(CA$50&lt;=Sale_Month)*$C$32/IT_Load*MAX(0,MIN(1,(CA$50-$F$32+1)/$G$32))*$C$44*(SUM(CA77:CA81)+$C$36/12*IT_Load*(1+$C$43)^(CA$52-1))</f>
        <v>216894.926927083</v>
      </c>
      <c r="CB73" s="7" t="n">
        <f aca="false">(CB$50&lt;=Sale_Month)*$C$32/IT_Load*MAX(0,MIN(1,(CB$50-$F$32+1)/$G$32))*$C$44*(SUM(CB77:CB81)+$C$36/12*IT_Load*(1+$C$43)^(CB$52-1))</f>
        <v>223401.774734896</v>
      </c>
      <c r="CC73" s="7" t="n">
        <f aca="false">(CC$50&lt;=Sale_Month)*$C$32/IT_Load*MAX(0,MIN(1,(CC$50-$F$32+1)/$G$32))*$C$44*(SUM(CC77:CC81)+$C$36/12*IT_Load*(1+$C$43)^(CC$52-1))</f>
        <v>223401.774734896</v>
      </c>
      <c r="CD73" s="7" t="n">
        <f aca="false">(CD$50&lt;=Sale_Month)*$C$32/IT_Load*MAX(0,MIN(1,(CD$50-$F$32+1)/$G$32))*$C$44*(SUM(CD77:CD81)+$C$36/12*IT_Load*(1+$C$43)^(CD$52-1))</f>
        <v>223401.774734896</v>
      </c>
      <c r="CE73" s="7" t="n">
        <f aca="false">(CE$50&lt;=Sale_Month)*$C$32/IT_Load*MAX(0,MIN(1,(CE$50-$F$32+1)/$G$32))*$C$44*(SUM(CE77:CE81)+$C$36/12*IT_Load*(1+$C$43)^(CE$52-1))</f>
        <v>223401.774734896</v>
      </c>
      <c r="CF73" s="7" t="n">
        <f aca="false">(CF$50&lt;=Sale_Month)*$C$32/IT_Load*MAX(0,MIN(1,(CF$50-$F$32+1)/$G$32))*$C$44*(SUM(CF77:CF81)+$C$36/12*IT_Load*(1+$C$43)^(CF$52-1))</f>
        <v>223401.774734896</v>
      </c>
      <c r="CG73" s="7" t="n">
        <f aca="false">(CG$50&lt;=Sale_Month)*$C$32/IT_Load*MAX(0,MIN(1,(CG$50-$F$32+1)/$G$32))*$C$44*(SUM(CG77:CG81)+$C$36/12*IT_Load*(1+$C$43)^(CG$52-1))</f>
        <v>223401.774734896</v>
      </c>
      <c r="CH73" s="7" t="n">
        <f aca="false">(CH$50&lt;=Sale_Month)*$C$32/IT_Load*MAX(0,MIN(1,(CH$50-$F$32+1)/$G$32))*$C$44*(SUM(CH77:CH81)+$C$36/12*IT_Load*(1+$C$43)^(CH$52-1))</f>
        <v>223401.774734896</v>
      </c>
      <c r="CI73" s="7" t="n">
        <f aca="false">(CI$50&lt;=Sale_Month)*$C$32/IT_Load*MAX(0,MIN(1,(CI$50-$F$32+1)/$G$32))*$C$44*(SUM(CI77:CI81)+$C$36/12*IT_Load*(1+$C$43)^(CI$52-1))</f>
        <v>223401.774734896</v>
      </c>
      <c r="CJ73" s="7" t="n">
        <f aca="false">(CJ$50&lt;=Sale_Month)*$C$32/IT_Load*MAX(0,MIN(1,(CJ$50-$F$32+1)/$G$32))*$C$44*(SUM(CJ77:CJ81)+$C$36/12*IT_Load*(1+$C$43)^(CJ$52-1))</f>
        <v>223401.774734896</v>
      </c>
      <c r="CK73" s="7" t="n">
        <f aca="false">(CK$50&lt;=Sale_Month)*$C$32/IT_Load*MAX(0,MIN(1,(CK$50-$F$32+1)/$G$32))*$C$44*(SUM(CK77:CK81)+$C$36/12*IT_Load*(1+$C$43)^(CK$52-1))</f>
        <v>223401.774734896</v>
      </c>
      <c r="CL73" s="7" t="n">
        <f aca="false">(CL$50&lt;=Sale_Month)*$C$32/IT_Load*MAX(0,MIN(1,(CL$50-$F$32+1)/$G$32))*$C$44*(SUM(CL77:CL81)+$C$36/12*IT_Load*(1+$C$43)^(CL$52-1))</f>
        <v>223401.774734896</v>
      </c>
      <c r="CM73" s="7" t="n">
        <f aca="false">(CM$50&lt;=Sale_Month)*$C$32/IT_Load*MAX(0,MIN(1,(CM$50-$F$32+1)/$G$32))*$C$44*(SUM(CM77:CM81)+$C$36/12*IT_Load*(1+$C$43)^(CM$52-1))</f>
        <v>223401.774734896</v>
      </c>
      <c r="CN73" s="7" t="n">
        <f aca="false">(CN$50&lt;=Sale_Month)*$C$32/IT_Load*MAX(0,MIN(1,(CN$50-$F$32+1)/$G$32))*$C$44*(SUM(CN77:CN81)+$C$36/12*IT_Load*(1+$C$43)^(CN$52-1))</f>
        <v>0</v>
      </c>
      <c r="CO73" s="7" t="n">
        <f aca="false">(CO$50&lt;=Sale_Month)*$C$32/IT_Load*MAX(0,MIN(1,(CO$50-$F$32+1)/$G$32))*$C$44*(SUM(CO77:CO81)+$C$36/12*IT_Load*(1+$C$43)^(CO$52-1))</f>
        <v>0</v>
      </c>
      <c r="CP73" s="7" t="n">
        <f aca="false">(CP$50&lt;=Sale_Month)*$C$32/IT_Load*MAX(0,MIN(1,(CP$50-$F$32+1)/$G$32))*$C$44*(SUM(CP77:CP81)+$C$36/12*IT_Load*(1+$C$43)^(CP$52-1))</f>
        <v>0</v>
      </c>
      <c r="CQ73" s="7" t="n">
        <f aca="false">(CQ$50&lt;=Sale_Month)*$C$32/IT_Load*MAX(0,MIN(1,(CQ$50-$F$32+1)/$G$32))*$C$44*(SUM(CQ77:CQ81)+$C$36/12*IT_Load*(1+$C$43)^(CQ$52-1))</f>
        <v>0</v>
      </c>
      <c r="CR73" s="7" t="n">
        <f aca="false">(CR$50&lt;=Sale_Month)*$C$32/IT_Load*MAX(0,MIN(1,(CR$50-$F$32+1)/$G$32))*$C$44*(SUM(CR77:CR81)+$C$36/12*IT_Load*(1+$C$43)^(CR$52-1))</f>
        <v>0</v>
      </c>
      <c r="CS73" s="7" t="n">
        <f aca="false">(CS$50&lt;=Sale_Month)*$C$32/IT_Load*MAX(0,MIN(1,(CS$50-$F$32+1)/$G$32))*$C$44*(SUM(CS77:CS81)+$C$36/12*IT_Load*(1+$C$43)^(CS$52-1))</f>
        <v>0</v>
      </c>
      <c r="CT73" s="7" t="n">
        <f aca="false">(CT$50&lt;=Sale_Month)*$C$32/IT_Load*MAX(0,MIN(1,(CT$50-$F$32+1)/$G$32))*$C$44*(SUM(CT77:CT81)+$C$36/12*IT_Load*(1+$C$43)^(CT$52-1))</f>
        <v>0</v>
      </c>
      <c r="CU73" s="7" t="n">
        <f aca="false">(CU$50&lt;=Sale_Month)*$C$32/IT_Load*MAX(0,MIN(1,(CU$50-$F$32+1)/$G$32))*$C$44*(SUM(CU77:CU81)+$C$36/12*IT_Load*(1+$C$43)^(CU$52-1))</f>
        <v>0</v>
      </c>
      <c r="CV73" s="7" t="n">
        <f aca="false">(CV$50&lt;=Sale_Month)*$C$32/IT_Load*MAX(0,MIN(1,(CV$50-$F$32+1)/$G$32))*$C$44*(SUM(CV77:CV81)+$C$36/12*IT_Load*(1+$C$43)^(CV$52-1))</f>
        <v>0</v>
      </c>
      <c r="CW73" s="7" t="n">
        <f aca="false">(CW$50&lt;=Sale_Month)*$C$32/IT_Load*MAX(0,MIN(1,(CW$50-$F$32+1)/$G$32))*$C$44*(SUM(CW77:CW81)+$C$36/12*IT_Load*(1+$C$43)^(CW$52-1))</f>
        <v>0</v>
      </c>
      <c r="CX73" s="7" t="n">
        <f aca="false">(CX$50&lt;=Sale_Month)*$C$32/IT_Load*MAX(0,MIN(1,(CX$50-$F$32+1)/$G$32))*$C$44*(SUM(CX77:CX81)+$C$36/12*IT_Load*(1+$C$43)^(CX$52-1))</f>
        <v>0</v>
      </c>
      <c r="CY73" s="7" t="n">
        <f aca="false">(CY$50&lt;=Sale_Month)*$C$32/IT_Load*MAX(0,MIN(1,(CY$50-$F$32+1)/$G$32))*$C$44*(SUM(CY77:CY81)+$C$36/12*IT_Load*(1+$C$43)^(CY$52-1))</f>
        <v>0</v>
      </c>
    </row>
    <row r="74" customFormat="false" ht="15" hidden="false" customHeight="false" outlineLevel="0" collapsed="false">
      <c r="B74" s="0" t="s">
        <v>88</v>
      </c>
      <c r="S74" s="7" t="n">
        <f aca="false">SUM(S70:S73)</f>
        <v>0</v>
      </c>
      <c r="T74" s="7" t="n">
        <f aca="false">SUM(T70:T73)</f>
        <v>0</v>
      </c>
      <c r="U74" s="7" t="n">
        <f aca="false">SUM(U70:U73)</f>
        <v>0</v>
      </c>
      <c r="V74" s="7" t="n">
        <f aca="false">SUM(V70:V73)</f>
        <v>0</v>
      </c>
      <c r="W74" s="7" t="n">
        <f aca="false">SUM(W70:W73)</f>
        <v>0</v>
      </c>
      <c r="X74" s="7" t="n">
        <f aca="false">SUM(X70:X73)</f>
        <v>0</v>
      </c>
      <c r="Y74" s="7" t="n">
        <f aca="false">SUM(Y70:Y73)</f>
        <v>0</v>
      </c>
      <c r="Z74" s="7" t="n">
        <f aca="false">SUM(Z70:Z73)</f>
        <v>0</v>
      </c>
      <c r="AA74" s="7" t="n">
        <f aca="false">SUM(AA70:AA73)</f>
        <v>0</v>
      </c>
      <c r="AB74" s="7" t="n">
        <f aca="false">SUM(AB70:AB73)</f>
        <v>0</v>
      </c>
      <c r="AC74" s="7" t="n">
        <f aca="false">SUM(AC70:AC73)</f>
        <v>0</v>
      </c>
      <c r="AD74" s="7" t="n">
        <f aca="false">SUM(AD70:AD73)</f>
        <v>0</v>
      </c>
      <c r="AE74" s="7" t="n">
        <f aca="false">SUM(AE70:AE73)</f>
        <v>0</v>
      </c>
      <c r="AF74" s="7" t="n">
        <f aca="false">SUM(AF70:AF73)</f>
        <v>0</v>
      </c>
      <c r="AG74" s="7" t="n">
        <f aca="false">SUM(AG70:AG73)</f>
        <v>0</v>
      </c>
      <c r="AH74" s="7" t="n">
        <f aca="false">SUM(AH70:AH73)</f>
        <v>0</v>
      </c>
      <c r="AI74" s="7" t="n">
        <f aca="false">SUM(AI70:AI73)</f>
        <v>0</v>
      </c>
      <c r="AJ74" s="7" t="n">
        <f aca="false">SUM(AJ70:AJ73)</f>
        <v>0</v>
      </c>
      <c r="AK74" s="7" t="n">
        <f aca="false">SUM(AK70:AK73)</f>
        <v>0</v>
      </c>
      <c r="AL74" s="7" t="n">
        <f aca="false">SUM(AL70:AL73)</f>
        <v>0</v>
      </c>
      <c r="AM74" s="7" t="n">
        <f aca="false">SUM(AM70:AM73)</f>
        <v>132326.388888889</v>
      </c>
      <c r="AN74" s="7" t="n">
        <f aca="false">SUM(AN70:AN73)</f>
        <v>264652.777777778</v>
      </c>
      <c r="AO74" s="7" t="n">
        <f aca="false">SUM(AO70:AO73)</f>
        <v>415357.831790124</v>
      </c>
      <c r="AP74" s="7" t="n">
        <f aca="false">SUM(AP70:AP73)</f>
        <v>566062.885802469</v>
      </c>
      <c r="AQ74" s="7" t="n">
        <f aca="false">SUM(AQ70:AQ73)</f>
        <v>834391.396604938</v>
      </c>
      <c r="AR74" s="7" t="n">
        <f aca="false">SUM(AR70:AR73)</f>
        <v>1135801.50462963</v>
      </c>
      <c r="AS74" s="7" t="n">
        <f aca="false">SUM(AS70:AS73)</f>
        <v>1446253.91589506</v>
      </c>
      <c r="AT74" s="7" t="n">
        <f aca="false">SUM(AT70:AT73)</f>
        <v>1756706.32716049</v>
      </c>
      <c r="AU74" s="7" t="n">
        <f aca="false">SUM(AU70:AU73)</f>
        <v>2067158.73842593</v>
      </c>
      <c r="AV74" s="7" t="n">
        <f aca="false">SUM(AV70:AV73)</f>
        <v>2377611.14969136</v>
      </c>
      <c r="AW74" s="7" t="n">
        <f aca="false">SUM(AW70:AW73)</f>
        <v>2688063.56095679</v>
      </c>
      <c r="AX74" s="7" t="n">
        <f aca="false">SUM(AX70:AX73)</f>
        <v>2998515.97222222</v>
      </c>
      <c r="AY74" s="7" t="n">
        <f aca="false">SUM(AY70:AY73)</f>
        <v>3138598.15779321</v>
      </c>
      <c r="AZ74" s="7" t="n">
        <f aca="false">SUM(AZ70:AZ73)</f>
        <v>3157528.18287037</v>
      </c>
      <c r="BA74" s="7" t="n">
        <f aca="false">SUM(BA70:BA73)</f>
        <v>3176458.20794753</v>
      </c>
      <c r="BB74" s="7" t="n">
        <f aca="false">SUM(BB70:BB73)</f>
        <v>3195388.23302469</v>
      </c>
      <c r="BC74" s="7" t="n">
        <f aca="false">SUM(BC70:BC73)</f>
        <v>3214318.25810185</v>
      </c>
      <c r="BD74" s="7" t="n">
        <f aca="false">SUM(BD70:BD73)</f>
        <v>3330245.73167438</v>
      </c>
      <c r="BE74" s="7" t="n">
        <f aca="false">SUM(BE70:BE73)</f>
        <v>3349743.65750386</v>
      </c>
      <c r="BF74" s="7" t="n">
        <f aca="false">SUM(BF70:BF73)</f>
        <v>3369241.58333333</v>
      </c>
      <c r="BG74" s="7" t="n">
        <f aca="false">SUM(BG70:BG73)</f>
        <v>3369241.58333333</v>
      </c>
      <c r="BH74" s="7" t="n">
        <f aca="false">SUM(BH70:BH73)</f>
        <v>3369241.58333333</v>
      </c>
      <c r="BI74" s="7" t="n">
        <f aca="false">SUM(BI70:BI73)</f>
        <v>3369241.58333333</v>
      </c>
      <c r="BJ74" s="7" t="n">
        <f aca="false">SUM(BJ70:BJ73)</f>
        <v>3369241.58333333</v>
      </c>
      <c r="BK74" s="7" t="n">
        <f aca="false">SUM(BK70:BK73)</f>
        <v>3369241.58333333</v>
      </c>
      <c r="BL74" s="7" t="n">
        <f aca="false">SUM(BL70:BL73)</f>
        <v>3369241.58333333</v>
      </c>
      <c r="BM74" s="7" t="n">
        <f aca="false">SUM(BM70:BM73)</f>
        <v>3369241.58333333</v>
      </c>
      <c r="BN74" s="7" t="n">
        <f aca="false">SUM(BN70:BN73)</f>
        <v>3369241.58333333</v>
      </c>
      <c r="BO74" s="7" t="n">
        <f aca="false">SUM(BO70:BO73)</f>
        <v>3369241.58333333</v>
      </c>
      <c r="BP74" s="7" t="n">
        <f aca="false">SUM(BP70:BP73)</f>
        <v>3470318.83083333</v>
      </c>
      <c r="BQ74" s="7" t="n">
        <f aca="false">SUM(BQ70:BQ73)</f>
        <v>3470318.83083333</v>
      </c>
      <c r="BR74" s="7" t="n">
        <f aca="false">SUM(BR70:BR73)</f>
        <v>3470318.83083333</v>
      </c>
      <c r="BS74" s="7" t="n">
        <f aca="false">SUM(BS70:BS73)</f>
        <v>3470318.83083333</v>
      </c>
      <c r="BT74" s="7" t="n">
        <f aca="false">SUM(BT70:BT73)</f>
        <v>3470318.83083333</v>
      </c>
      <c r="BU74" s="7" t="n">
        <f aca="false">SUM(BU70:BU73)</f>
        <v>3470318.83083333</v>
      </c>
      <c r="BV74" s="7" t="n">
        <f aca="false">SUM(BV70:BV73)</f>
        <v>3470318.83083333</v>
      </c>
      <c r="BW74" s="7" t="n">
        <f aca="false">SUM(BW70:BW73)</f>
        <v>3470318.83083333</v>
      </c>
      <c r="BX74" s="7" t="n">
        <f aca="false">SUM(BX70:BX73)</f>
        <v>3470318.83083333</v>
      </c>
      <c r="BY74" s="7" t="n">
        <f aca="false">SUM(BY70:BY73)</f>
        <v>3470318.83083333</v>
      </c>
      <c r="BZ74" s="7" t="n">
        <f aca="false">SUM(BZ70:BZ73)</f>
        <v>3470318.83083333</v>
      </c>
      <c r="CA74" s="7" t="n">
        <f aca="false">SUM(CA70:CA73)</f>
        <v>3470318.83083333</v>
      </c>
      <c r="CB74" s="7" t="n">
        <f aca="false">SUM(CB70:CB73)</f>
        <v>3574428.39575833</v>
      </c>
      <c r="CC74" s="7" t="n">
        <f aca="false">SUM(CC70:CC73)</f>
        <v>3574428.39575833</v>
      </c>
      <c r="CD74" s="7" t="n">
        <f aca="false">SUM(CD70:CD73)</f>
        <v>3574428.39575833</v>
      </c>
      <c r="CE74" s="7" t="n">
        <f aca="false">SUM(CE70:CE73)</f>
        <v>3574428.39575833</v>
      </c>
      <c r="CF74" s="7" t="n">
        <f aca="false">SUM(CF70:CF73)</f>
        <v>3574428.39575833</v>
      </c>
      <c r="CG74" s="7" t="n">
        <f aca="false">SUM(CG70:CG73)</f>
        <v>3574428.39575833</v>
      </c>
      <c r="CH74" s="7" t="n">
        <f aca="false">SUM(CH70:CH73)</f>
        <v>3574428.39575833</v>
      </c>
      <c r="CI74" s="7" t="n">
        <f aca="false">SUM(CI70:CI73)</f>
        <v>3574428.39575833</v>
      </c>
      <c r="CJ74" s="7" t="n">
        <f aca="false">SUM(CJ70:CJ73)</f>
        <v>3574428.39575833</v>
      </c>
      <c r="CK74" s="7" t="n">
        <f aca="false">SUM(CK70:CK73)</f>
        <v>3574428.39575833</v>
      </c>
      <c r="CL74" s="7" t="n">
        <f aca="false">SUM(CL70:CL73)</f>
        <v>3574428.39575833</v>
      </c>
      <c r="CM74" s="7" t="n">
        <f aca="false">SUM(CM70:CM73)</f>
        <v>3574428.39575833</v>
      </c>
      <c r="CN74" s="7" t="n">
        <f aca="false">SUM(CN70:CN73)</f>
        <v>0</v>
      </c>
      <c r="CO74" s="7" t="n">
        <f aca="false">SUM(CO70:CO73)</f>
        <v>0</v>
      </c>
      <c r="CP74" s="7" t="n">
        <f aca="false">SUM(CP70:CP73)</f>
        <v>0</v>
      </c>
      <c r="CQ74" s="7" t="n">
        <f aca="false">SUM(CQ70:CQ73)</f>
        <v>0</v>
      </c>
      <c r="CR74" s="7" t="n">
        <f aca="false">SUM(CR70:CR73)</f>
        <v>0</v>
      </c>
      <c r="CS74" s="7" t="n">
        <f aca="false">SUM(CS70:CS73)</f>
        <v>0</v>
      </c>
      <c r="CT74" s="7" t="n">
        <f aca="false">SUM(CT70:CT73)</f>
        <v>0</v>
      </c>
      <c r="CU74" s="7" t="n">
        <f aca="false">SUM(CU70:CU73)</f>
        <v>0</v>
      </c>
      <c r="CV74" s="7" t="n">
        <f aca="false">SUM(CV70:CV73)</f>
        <v>0</v>
      </c>
      <c r="CW74" s="7" t="n">
        <f aca="false">SUM(CW70:CW73)</f>
        <v>0</v>
      </c>
      <c r="CX74" s="7" t="n">
        <f aca="false">SUM(CX70:CX73)</f>
        <v>0</v>
      </c>
      <c r="CY74" s="7" t="n">
        <f aca="false">SUM(CY70:CY73)</f>
        <v>0</v>
      </c>
    </row>
    <row r="75" customFormat="false" ht="15" hidden="false" customHeight="false" outlineLevel="0" collapsed="false">
      <c r="B75" s="0" t="s">
        <v>89</v>
      </c>
      <c r="S75" s="7" t="n">
        <f aca="false">S68+S74</f>
        <v>0</v>
      </c>
      <c r="T75" s="7" t="n">
        <f aca="false">T68+T74</f>
        <v>0</v>
      </c>
      <c r="U75" s="7" t="n">
        <f aca="false">U68+U74</f>
        <v>0</v>
      </c>
      <c r="V75" s="7" t="n">
        <f aca="false">V68+V74</f>
        <v>0</v>
      </c>
      <c r="W75" s="7" t="n">
        <f aca="false">W68+W74</f>
        <v>0</v>
      </c>
      <c r="X75" s="7" t="n">
        <f aca="false">X68+X74</f>
        <v>0</v>
      </c>
      <c r="Y75" s="7" t="n">
        <f aca="false">Y68+Y74</f>
        <v>0</v>
      </c>
      <c r="Z75" s="7" t="n">
        <f aca="false">Z68+Z74</f>
        <v>0</v>
      </c>
      <c r="AA75" s="7" t="n">
        <f aca="false">AA68+AA74</f>
        <v>0</v>
      </c>
      <c r="AB75" s="7" t="n">
        <f aca="false">AB68+AB74</f>
        <v>0</v>
      </c>
      <c r="AC75" s="7" t="n">
        <f aca="false">AC68+AC74</f>
        <v>0</v>
      </c>
      <c r="AD75" s="7" t="n">
        <f aca="false">AD68+AD74</f>
        <v>0</v>
      </c>
      <c r="AE75" s="7" t="n">
        <f aca="false">AE68+AE74</f>
        <v>0</v>
      </c>
      <c r="AF75" s="7" t="n">
        <f aca="false">AF68+AF74</f>
        <v>0</v>
      </c>
      <c r="AG75" s="7" t="n">
        <f aca="false">AG68+AG74</f>
        <v>0</v>
      </c>
      <c r="AH75" s="7" t="n">
        <f aca="false">AH68+AH74</f>
        <v>0</v>
      </c>
      <c r="AI75" s="7" t="n">
        <f aca="false">AI68+AI74</f>
        <v>0</v>
      </c>
      <c r="AJ75" s="7" t="n">
        <f aca="false">AJ68+AJ74</f>
        <v>0</v>
      </c>
      <c r="AK75" s="7" t="n">
        <f aca="false">AK68+AK74</f>
        <v>0</v>
      </c>
      <c r="AL75" s="7" t="n">
        <f aca="false">AL68+AL74</f>
        <v>0</v>
      </c>
      <c r="AM75" s="7" t="n">
        <f aca="false">AM68+AM74</f>
        <v>260326.388888889</v>
      </c>
      <c r="AN75" s="7" t="n">
        <f aca="false">AN68+AN74</f>
        <v>520652.777777778</v>
      </c>
      <c r="AO75" s="7" t="n">
        <f aca="false">AO68+AO74</f>
        <v>826441.165123457</v>
      </c>
      <c r="AP75" s="7" t="n">
        <f aca="false">AP68+AP74</f>
        <v>1132229.55246914</v>
      </c>
      <c r="AQ75" s="7" t="n">
        <f aca="false">AQ68+AQ74</f>
        <v>1674752.50771605</v>
      </c>
      <c r="AR75" s="7" t="n">
        <f aca="false">AR68+AR74</f>
        <v>2250357.06018519</v>
      </c>
      <c r="AS75" s="7" t="n">
        <f aca="false">AS68+AS74</f>
        <v>2877503.91589506</v>
      </c>
      <c r="AT75" s="7" t="n">
        <f aca="false">AT68+AT74</f>
        <v>3504650.77160494</v>
      </c>
      <c r="AU75" s="7" t="n">
        <f aca="false">AU68+AU74</f>
        <v>4131797.62731482</v>
      </c>
      <c r="AV75" s="7" t="n">
        <f aca="false">AV68+AV74</f>
        <v>4758944.48302469</v>
      </c>
      <c r="AW75" s="7" t="n">
        <f aca="false">AW68+AW74</f>
        <v>5386091.33873457</v>
      </c>
      <c r="AX75" s="7" t="n">
        <f aca="false">AX68+AX74</f>
        <v>6013238.19444444</v>
      </c>
      <c r="AY75" s="7" t="n">
        <f aca="false">AY68+AY74</f>
        <v>6337914.82445988</v>
      </c>
      <c r="AZ75" s="7" t="n">
        <f aca="false">AZ68+AZ74</f>
        <v>6383928.18287037</v>
      </c>
      <c r="BA75" s="7" t="n">
        <f aca="false">BA68+BA74</f>
        <v>6440504.04128086</v>
      </c>
      <c r="BB75" s="7" t="n">
        <f aca="false">BB68+BB74</f>
        <v>6487329.89969136</v>
      </c>
      <c r="BC75" s="7" t="n">
        <f aca="false">BC68+BC74</f>
        <v>6560955.75810185</v>
      </c>
      <c r="BD75" s="7" t="n">
        <f aca="false">BD68+BD74</f>
        <v>6704779.06500772</v>
      </c>
      <c r="BE75" s="7" t="n">
        <f aca="false">BE68+BE74</f>
        <v>6759822.82417052</v>
      </c>
      <c r="BF75" s="7" t="n">
        <f aca="false">BF68+BF74</f>
        <v>6807216.58333333</v>
      </c>
      <c r="BG75" s="7" t="n">
        <f aca="false">BG68+BG74</f>
        <v>6807216.58333333</v>
      </c>
      <c r="BH75" s="7" t="n">
        <f aca="false">BH68+BH74</f>
        <v>6807216.58333333</v>
      </c>
      <c r="BI75" s="7" t="n">
        <f aca="false">BI68+BI74</f>
        <v>6807216.58333333</v>
      </c>
      <c r="BJ75" s="7" t="n">
        <f aca="false">BJ68+BJ74</f>
        <v>6807216.58333333</v>
      </c>
      <c r="BK75" s="7" t="n">
        <f aca="false">BK68+BK74</f>
        <v>6846576.58333333</v>
      </c>
      <c r="BL75" s="7" t="n">
        <f aca="false">BL68+BL74</f>
        <v>6846576.58333333</v>
      </c>
      <c r="BM75" s="7" t="n">
        <f aca="false">BM68+BM74</f>
        <v>6861640.33333333</v>
      </c>
      <c r="BN75" s="7" t="n">
        <f aca="false">BN68+BN74</f>
        <v>6861640.33333333</v>
      </c>
      <c r="BO75" s="7" t="n">
        <f aca="false">BO68+BO74</f>
        <v>6889110.33333333</v>
      </c>
      <c r="BP75" s="7" t="n">
        <f aca="false">BP68+BP74</f>
        <v>6990187.58083333</v>
      </c>
      <c r="BQ75" s="7" t="n">
        <f aca="false">BQ68+BQ74</f>
        <v>6998067.08083333</v>
      </c>
      <c r="BR75" s="7" t="n">
        <f aca="false">BR68+BR74</f>
        <v>6998067.08083333</v>
      </c>
      <c r="BS75" s="7" t="n">
        <f aca="false">BS68+BS74</f>
        <v>6998067.08083333</v>
      </c>
      <c r="BT75" s="7" t="n">
        <f aca="false">BT68+BT74</f>
        <v>6998067.08083333</v>
      </c>
      <c r="BU75" s="7" t="n">
        <f aca="false">BU68+BU74</f>
        <v>6998067.08083333</v>
      </c>
      <c r="BV75" s="7" t="n">
        <f aca="false">BV68+BV74</f>
        <v>6998067.08083333</v>
      </c>
      <c r="BW75" s="7" t="n">
        <f aca="false">BW68+BW74</f>
        <v>7038411.08083333</v>
      </c>
      <c r="BX75" s="7" t="n">
        <f aca="false">BX68+BX74</f>
        <v>7038411.08083333</v>
      </c>
      <c r="BY75" s="7" t="n">
        <f aca="false">BY68+BY74</f>
        <v>7053926.74333333</v>
      </c>
      <c r="BZ75" s="7" t="n">
        <f aca="false">BZ68+BZ74</f>
        <v>7053926.74333333</v>
      </c>
      <c r="CA75" s="7" t="n">
        <f aca="false">CA68+CA74</f>
        <v>7082083.49333333</v>
      </c>
      <c r="CB75" s="7" t="n">
        <f aca="false">CB68+CB74</f>
        <v>7186193.05825833</v>
      </c>
      <c r="CC75" s="7" t="n">
        <f aca="false">CC68+CC74</f>
        <v>7194308.94325833</v>
      </c>
      <c r="CD75" s="7" t="n">
        <f aca="false">CD68+CD74</f>
        <v>7194308.94325833</v>
      </c>
      <c r="CE75" s="7" t="n">
        <f aca="false">CE68+CE74</f>
        <v>7194308.94325833</v>
      </c>
      <c r="CF75" s="7" t="n">
        <f aca="false">CF68+CF74</f>
        <v>7194308.94325833</v>
      </c>
      <c r="CG75" s="7" t="n">
        <f aca="false">CG68+CG74</f>
        <v>7194308.94325833</v>
      </c>
      <c r="CH75" s="7" t="n">
        <f aca="false">CH68+CH74</f>
        <v>7194308.94325833</v>
      </c>
      <c r="CI75" s="7" t="n">
        <f aca="false">CI68+CI74</f>
        <v>7235661.54325833</v>
      </c>
      <c r="CJ75" s="7" t="n">
        <f aca="false">CJ68+CJ74</f>
        <v>7235661.54325833</v>
      </c>
      <c r="CK75" s="7" t="n">
        <f aca="false">CK68+CK74</f>
        <v>7251642.67563333</v>
      </c>
      <c r="CL75" s="7" t="n">
        <f aca="false">CL68+CL74</f>
        <v>7251642.67563333</v>
      </c>
      <c r="CM75" s="7" t="n">
        <f aca="false">CM68+CM74</f>
        <v>7280503.34438333</v>
      </c>
      <c r="CN75" s="7" t="n">
        <f aca="false">CN68+CN74</f>
        <v>0</v>
      </c>
      <c r="CO75" s="7" t="n">
        <f aca="false">CO68+CO74</f>
        <v>0</v>
      </c>
      <c r="CP75" s="7" t="n">
        <f aca="false">CP68+CP74</f>
        <v>0</v>
      </c>
      <c r="CQ75" s="7" t="n">
        <f aca="false">CQ68+CQ74</f>
        <v>0</v>
      </c>
      <c r="CR75" s="7" t="n">
        <f aca="false">CR68+CR74</f>
        <v>0</v>
      </c>
      <c r="CS75" s="7" t="n">
        <f aca="false">CS68+CS74</f>
        <v>0</v>
      </c>
      <c r="CT75" s="7" t="n">
        <f aca="false">CT68+CT74</f>
        <v>0</v>
      </c>
      <c r="CU75" s="7" t="n">
        <f aca="false">CU68+CU74</f>
        <v>0</v>
      </c>
      <c r="CV75" s="7" t="n">
        <f aca="false">CV68+CV74</f>
        <v>0</v>
      </c>
      <c r="CW75" s="7" t="n">
        <f aca="false">CW68+CW74</f>
        <v>0</v>
      </c>
      <c r="CX75" s="7" t="n">
        <f aca="false">CX68+CX74</f>
        <v>0</v>
      </c>
      <c r="CY75" s="7" t="n">
        <f aca="false">CY68+CY74</f>
        <v>0</v>
      </c>
    </row>
    <row r="76" customFormat="false" ht="15" hidden="false" customHeight="false" outlineLevel="0" collapsed="false">
      <c r="B76" s="0" t="s">
        <v>54</v>
      </c>
      <c r="S76" s="7" t="n">
        <f aca="false">(S$50&lt;=Sale_Month)*$C$36/12*S63*(1+$C$43)^(S$52-1)</f>
        <v>0</v>
      </c>
      <c r="T76" s="7" t="n">
        <f aca="false">(T$50&lt;=Sale_Month)*$C$36/12*T63*(1+$C$43)^(T$52-1)</f>
        <v>0</v>
      </c>
      <c r="U76" s="7" t="n">
        <f aca="false">(U$50&lt;=Sale_Month)*$C$36/12*U63*(1+$C$43)^(U$52-1)</f>
        <v>0</v>
      </c>
      <c r="V76" s="7" t="n">
        <f aca="false">(V$50&lt;=Sale_Month)*$C$36/12*V63*(1+$C$43)^(V$52-1)</f>
        <v>0</v>
      </c>
      <c r="W76" s="7" t="n">
        <f aca="false">(W$50&lt;=Sale_Month)*$C$36/12*W63*(1+$C$43)^(W$52-1)</f>
        <v>0</v>
      </c>
      <c r="X76" s="7" t="n">
        <f aca="false">(X$50&lt;=Sale_Month)*$C$36/12*X63*(1+$C$43)^(X$52-1)</f>
        <v>0</v>
      </c>
      <c r="Y76" s="7" t="n">
        <f aca="false">(Y$50&lt;=Sale_Month)*$C$36/12*Y63*(1+$C$43)^(Y$52-1)</f>
        <v>0</v>
      </c>
      <c r="Z76" s="7" t="n">
        <f aca="false">(Z$50&lt;=Sale_Month)*$C$36/12*Z63*(1+$C$43)^(Z$52-1)</f>
        <v>0</v>
      </c>
      <c r="AA76" s="7" t="n">
        <f aca="false">(AA$50&lt;=Sale_Month)*$C$36/12*AA63*(1+$C$43)^(AA$52-1)</f>
        <v>0</v>
      </c>
      <c r="AB76" s="7" t="n">
        <f aca="false">(AB$50&lt;=Sale_Month)*$C$36/12*AB63*(1+$C$43)^(AB$52-1)</f>
        <v>0</v>
      </c>
      <c r="AC76" s="7" t="n">
        <f aca="false">(AC$50&lt;=Sale_Month)*$C$36/12*AC63*(1+$C$43)^(AC$52-1)</f>
        <v>0</v>
      </c>
      <c r="AD76" s="7" t="n">
        <f aca="false">(AD$50&lt;=Sale_Month)*$C$36/12*AD63*(1+$C$43)^(AD$52-1)</f>
        <v>0</v>
      </c>
      <c r="AE76" s="7" t="n">
        <f aca="false">(AE$50&lt;=Sale_Month)*$C$36/12*AE63*(1+$C$43)^(AE$52-1)</f>
        <v>0</v>
      </c>
      <c r="AF76" s="7" t="n">
        <f aca="false">(AF$50&lt;=Sale_Month)*$C$36/12*AF63*(1+$C$43)^(AF$52-1)</f>
        <v>0</v>
      </c>
      <c r="AG76" s="7" t="n">
        <f aca="false">(AG$50&lt;=Sale_Month)*$C$36/12*AG63*(1+$C$43)^(AG$52-1)</f>
        <v>0</v>
      </c>
      <c r="AH76" s="7" t="n">
        <f aca="false">(AH$50&lt;=Sale_Month)*$C$36/12*AH63*(1+$C$43)^(AH$52-1)</f>
        <v>0</v>
      </c>
      <c r="AI76" s="7" t="n">
        <f aca="false">(AI$50&lt;=Sale_Month)*$C$36/12*AI63*(1+$C$43)^(AI$52-1)</f>
        <v>0</v>
      </c>
      <c r="AJ76" s="7" t="n">
        <f aca="false">(AJ$50&lt;=Sale_Month)*$C$36/12*AJ63*(1+$C$43)^(AJ$52-1)</f>
        <v>0</v>
      </c>
      <c r="AK76" s="7" t="n">
        <f aca="false">(AK$50&lt;=Sale_Month)*$C$36/12*AK63*(1+$C$43)^(AK$52-1)</f>
        <v>0</v>
      </c>
      <c r="AL76" s="7" t="n">
        <f aca="false">(AL$50&lt;=Sale_Month)*$C$36/12*AL63*(1+$C$43)^(AL$52-1)</f>
        <v>0</v>
      </c>
      <c r="AM76" s="7" t="n">
        <f aca="false">(AM$50&lt;=Sale_Month)*$C$36/12*AM63*(1+$C$43)^(AM$52-1)</f>
        <v>98708.3333333333</v>
      </c>
      <c r="AN76" s="7" t="n">
        <f aca="false">(AN$50&lt;=Sale_Month)*$C$36/12*AN63*(1+$C$43)^(AN$52-1)</f>
        <v>197416.666666667</v>
      </c>
      <c r="AO76" s="7" t="n">
        <f aca="false">(AO$50&lt;=Sale_Month)*$C$36/12*AO63*(1+$C$43)^(AO$52-1)</f>
        <v>309834.490740741</v>
      </c>
      <c r="AP76" s="7" t="n">
        <f aca="false">(AP$50&lt;=Sale_Month)*$C$36/12*AP63*(1+$C$43)^(AP$52-1)</f>
        <v>422252.314814815</v>
      </c>
      <c r="AQ76" s="7" t="n">
        <f aca="false">(AQ$50&lt;=Sale_Month)*$C$36/12*AQ63*(1+$C$43)^(AQ$52-1)</f>
        <v>622410.87962963</v>
      </c>
      <c r="AR76" s="7" t="n">
        <f aca="false">(AR$50&lt;=Sale_Month)*$C$36/12*AR63*(1+$C$43)^(AR$52-1)</f>
        <v>847246.527777778</v>
      </c>
      <c r="AS76" s="7" t="n">
        <f aca="false">(AS$50&lt;=Sale_Month)*$C$36/12*AS63*(1+$C$43)^(AS$52-1)</f>
        <v>1078827.24537037</v>
      </c>
      <c r="AT76" s="7" t="n">
        <f aca="false">(AT$50&lt;=Sale_Month)*$C$36/12*AT63*(1+$C$43)^(AT$52-1)</f>
        <v>1310407.96296296</v>
      </c>
      <c r="AU76" s="7" t="n">
        <f aca="false">(AU$50&lt;=Sale_Month)*$C$36/12*AU63*(1+$C$43)^(AU$52-1)</f>
        <v>1541988.68055556</v>
      </c>
      <c r="AV76" s="7" t="n">
        <f aca="false">(AV$50&lt;=Sale_Month)*$C$36/12*AV63*(1+$C$43)^(AV$52-1)</f>
        <v>1773569.39814815</v>
      </c>
      <c r="AW76" s="7" t="n">
        <f aca="false">(AW$50&lt;=Sale_Month)*$C$36/12*AW63*(1+$C$43)^(AW$52-1)</f>
        <v>2005150.11574074</v>
      </c>
      <c r="AX76" s="7" t="n">
        <f aca="false">(AX$50&lt;=Sale_Month)*$C$36/12*AX63*(1+$C$43)^(AX$52-1)</f>
        <v>2236730.83333333</v>
      </c>
      <c r="AY76" s="7" t="n">
        <f aca="false">(AY$50&lt;=Sale_Month)*$C$36/12*AY63*(1+$C$43)^(AY$52-1)</f>
        <v>2341224.57175926</v>
      </c>
      <c r="AZ76" s="7" t="n">
        <f aca="false">(AZ$50&lt;=Sale_Month)*$C$36/12*AZ63*(1+$C$43)^(AZ$52-1)</f>
        <v>2355345.34722222</v>
      </c>
      <c r="BA76" s="7" t="n">
        <f aca="false">(BA$50&lt;=Sale_Month)*$C$36/12*BA63*(1+$C$43)^(BA$52-1)</f>
        <v>2369466.12268518</v>
      </c>
      <c r="BB76" s="7" t="n">
        <f aca="false">(BB$50&lt;=Sale_Month)*$C$36/12*BB63*(1+$C$43)^(BB$52-1)</f>
        <v>2383586.89814815</v>
      </c>
      <c r="BC76" s="7" t="n">
        <f aca="false">(BC$50&lt;=Sale_Month)*$C$36/12*BC63*(1+$C$43)^(BC$52-1)</f>
        <v>2397707.67361111</v>
      </c>
      <c r="BD76" s="7" t="n">
        <f aca="false">(BD$50&lt;=Sale_Month)*$C$36/12*BD63*(1+$C$43)^(BD$52-1)</f>
        <v>2484183.3025463</v>
      </c>
      <c r="BE76" s="7" t="n">
        <f aca="false">(BE$50&lt;=Sale_Month)*$C$36/12*BE63*(1+$C$43)^(BE$52-1)</f>
        <v>2498727.70127315</v>
      </c>
      <c r="BF76" s="7" t="n">
        <f aca="false">(BF$50&lt;=Sale_Month)*$C$36/12*BF63*(1+$C$43)^(BF$52-1)</f>
        <v>2513272.1</v>
      </c>
      <c r="BG76" s="7" t="n">
        <f aca="false">(BG$50&lt;=Sale_Month)*$C$36/12*BG63*(1+$C$43)^(BG$52-1)</f>
        <v>2513272.1</v>
      </c>
      <c r="BH76" s="7" t="n">
        <f aca="false">(BH$50&lt;=Sale_Month)*$C$36/12*BH63*(1+$C$43)^(BH$52-1)</f>
        <v>2513272.1</v>
      </c>
      <c r="BI76" s="7" t="n">
        <f aca="false">(BI$50&lt;=Sale_Month)*$C$36/12*BI63*(1+$C$43)^(BI$52-1)</f>
        <v>2513272.1</v>
      </c>
      <c r="BJ76" s="7" t="n">
        <f aca="false">(BJ$50&lt;=Sale_Month)*$C$36/12*BJ63*(1+$C$43)^(BJ$52-1)</f>
        <v>2513272.1</v>
      </c>
      <c r="BK76" s="7" t="n">
        <f aca="false">(BK$50&lt;=Sale_Month)*$C$36/12*BK63*(1+$C$43)^(BK$52-1)</f>
        <v>2513272.1</v>
      </c>
      <c r="BL76" s="7" t="n">
        <f aca="false">(BL$50&lt;=Sale_Month)*$C$36/12*BL63*(1+$C$43)^(BL$52-1)</f>
        <v>2513272.1</v>
      </c>
      <c r="BM76" s="7" t="n">
        <f aca="false">(BM$50&lt;=Sale_Month)*$C$36/12*BM63*(1+$C$43)^(BM$52-1)</f>
        <v>2513272.1</v>
      </c>
      <c r="BN76" s="7" t="n">
        <f aca="false">(BN$50&lt;=Sale_Month)*$C$36/12*BN63*(1+$C$43)^(BN$52-1)</f>
        <v>2513272.1</v>
      </c>
      <c r="BO76" s="7" t="n">
        <f aca="false">(BO$50&lt;=Sale_Month)*$C$36/12*BO63*(1+$C$43)^(BO$52-1)</f>
        <v>2513272.1</v>
      </c>
      <c r="BP76" s="7" t="n">
        <f aca="false">(BP$50&lt;=Sale_Month)*$C$36/12*BP63*(1+$C$43)^(BP$52-1)</f>
        <v>2588670.263</v>
      </c>
      <c r="BQ76" s="7" t="n">
        <f aca="false">(BQ$50&lt;=Sale_Month)*$C$36/12*BQ63*(1+$C$43)^(BQ$52-1)</f>
        <v>2588670.263</v>
      </c>
      <c r="BR76" s="7" t="n">
        <f aca="false">(BR$50&lt;=Sale_Month)*$C$36/12*BR63*(1+$C$43)^(BR$52-1)</f>
        <v>2588670.263</v>
      </c>
      <c r="BS76" s="7" t="n">
        <f aca="false">(BS$50&lt;=Sale_Month)*$C$36/12*BS63*(1+$C$43)^(BS$52-1)</f>
        <v>2588670.263</v>
      </c>
      <c r="BT76" s="7" t="n">
        <f aca="false">(BT$50&lt;=Sale_Month)*$C$36/12*BT63*(1+$C$43)^(BT$52-1)</f>
        <v>2588670.263</v>
      </c>
      <c r="BU76" s="7" t="n">
        <f aca="false">(BU$50&lt;=Sale_Month)*$C$36/12*BU63*(1+$C$43)^(BU$52-1)</f>
        <v>2588670.263</v>
      </c>
      <c r="BV76" s="7" t="n">
        <f aca="false">(BV$50&lt;=Sale_Month)*$C$36/12*BV63*(1+$C$43)^(BV$52-1)</f>
        <v>2588670.263</v>
      </c>
      <c r="BW76" s="7" t="n">
        <f aca="false">(BW$50&lt;=Sale_Month)*$C$36/12*BW63*(1+$C$43)^(BW$52-1)</f>
        <v>2588670.263</v>
      </c>
      <c r="BX76" s="7" t="n">
        <f aca="false">(BX$50&lt;=Sale_Month)*$C$36/12*BX63*(1+$C$43)^(BX$52-1)</f>
        <v>2588670.263</v>
      </c>
      <c r="BY76" s="7" t="n">
        <f aca="false">(BY$50&lt;=Sale_Month)*$C$36/12*BY63*(1+$C$43)^(BY$52-1)</f>
        <v>2588670.263</v>
      </c>
      <c r="BZ76" s="7" t="n">
        <f aca="false">(BZ$50&lt;=Sale_Month)*$C$36/12*BZ63*(1+$C$43)^(BZ$52-1)</f>
        <v>2588670.263</v>
      </c>
      <c r="CA76" s="7" t="n">
        <f aca="false">(CA$50&lt;=Sale_Month)*$C$36/12*CA63*(1+$C$43)^(CA$52-1)</f>
        <v>2588670.263</v>
      </c>
      <c r="CB76" s="7" t="n">
        <f aca="false">(CB$50&lt;=Sale_Month)*$C$36/12*CB63*(1+$C$43)^(CB$52-1)</f>
        <v>2666330.37089</v>
      </c>
      <c r="CC76" s="7" t="n">
        <f aca="false">(CC$50&lt;=Sale_Month)*$C$36/12*CC63*(1+$C$43)^(CC$52-1)</f>
        <v>2666330.37089</v>
      </c>
      <c r="CD76" s="7" t="n">
        <f aca="false">(CD$50&lt;=Sale_Month)*$C$36/12*CD63*(1+$C$43)^(CD$52-1)</f>
        <v>2666330.37089</v>
      </c>
      <c r="CE76" s="7" t="n">
        <f aca="false">(CE$50&lt;=Sale_Month)*$C$36/12*CE63*(1+$C$43)^(CE$52-1)</f>
        <v>2666330.37089</v>
      </c>
      <c r="CF76" s="7" t="n">
        <f aca="false">(CF$50&lt;=Sale_Month)*$C$36/12*CF63*(1+$C$43)^(CF$52-1)</f>
        <v>2666330.37089</v>
      </c>
      <c r="CG76" s="7" t="n">
        <f aca="false">(CG$50&lt;=Sale_Month)*$C$36/12*CG63*(1+$C$43)^(CG$52-1)</f>
        <v>2666330.37089</v>
      </c>
      <c r="CH76" s="7" t="n">
        <f aca="false">(CH$50&lt;=Sale_Month)*$C$36/12*CH63*(1+$C$43)^(CH$52-1)</f>
        <v>2666330.37089</v>
      </c>
      <c r="CI76" s="7" t="n">
        <f aca="false">(CI$50&lt;=Sale_Month)*$C$36/12*CI63*(1+$C$43)^(CI$52-1)</f>
        <v>2666330.37089</v>
      </c>
      <c r="CJ76" s="7" t="n">
        <f aca="false">(CJ$50&lt;=Sale_Month)*$C$36/12*CJ63*(1+$C$43)^(CJ$52-1)</f>
        <v>2666330.37089</v>
      </c>
      <c r="CK76" s="7" t="n">
        <f aca="false">(CK$50&lt;=Sale_Month)*$C$36/12*CK63*(1+$C$43)^(CK$52-1)</f>
        <v>2666330.37089</v>
      </c>
      <c r="CL76" s="7" t="n">
        <f aca="false">(CL$50&lt;=Sale_Month)*$C$36/12*CL63*(1+$C$43)^(CL$52-1)</f>
        <v>2666330.37089</v>
      </c>
      <c r="CM76" s="7" t="n">
        <f aca="false">(CM$50&lt;=Sale_Month)*$C$36/12*CM63*(1+$C$43)^(CM$52-1)</f>
        <v>2666330.37089</v>
      </c>
      <c r="CN76" s="7" t="n">
        <f aca="false">(CN$50&lt;=Sale_Month)*$C$36/12*CN63*(1+$C$43)^(CN$52-1)</f>
        <v>0</v>
      </c>
      <c r="CO76" s="7" t="n">
        <f aca="false">(CO$50&lt;=Sale_Month)*$C$36/12*CO63*(1+$C$43)^(CO$52-1)</f>
        <v>0</v>
      </c>
      <c r="CP76" s="7" t="n">
        <f aca="false">(CP$50&lt;=Sale_Month)*$C$36/12*CP63*(1+$C$43)^(CP$52-1)</f>
        <v>0</v>
      </c>
      <c r="CQ76" s="7" t="n">
        <f aca="false">(CQ$50&lt;=Sale_Month)*$C$36/12*CQ63*(1+$C$43)^(CQ$52-1)</f>
        <v>0</v>
      </c>
      <c r="CR76" s="7" t="n">
        <f aca="false">(CR$50&lt;=Sale_Month)*$C$36/12*CR63*(1+$C$43)^(CR$52-1)</f>
        <v>0</v>
      </c>
      <c r="CS76" s="7" t="n">
        <f aca="false">(CS$50&lt;=Sale_Month)*$C$36/12*CS63*(1+$C$43)^(CS$52-1)</f>
        <v>0</v>
      </c>
      <c r="CT76" s="7" t="n">
        <f aca="false">(CT$50&lt;=Sale_Month)*$C$36/12*CT63*(1+$C$43)^(CT$52-1)</f>
        <v>0</v>
      </c>
      <c r="CU76" s="7" t="n">
        <f aca="false">(CU$50&lt;=Sale_Month)*$C$36/12*CU63*(1+$C$43)^(CU$52-1)</f>
        <v>0</v>
      </c>
      <c r="CV76" s="7" t="n">
        <f aca="false">(CV$50&lt;=Sale_Month)*$C$36/12*CV63*(1+$C$43)^(CV$52-1)</f>
        <v>0</v>
      </c>
      <c r="CW76" s="7" t="n">
        <f aca="false">(CW$50&lt;=Sale_Month)*$C$36/12*CW63*(1+$C$43)^(CW$52-1)</f>
        <v>0</v>
      </c>
      <c r="CX76" s="7" t="n">
        <f aca="false">(CX$50&lt;=Sale_Month)*$C$36/12*CX63*(1+$C$43)^(CX$52-1)</f>
        <v>0</v>
      </c>
      <c r="CY76" s="7" t="n">
        <f aca="false">(CY$50&lt;=Sale_Month)*$C$36/12*CY63*(1+$C$43)^(CY$52-1)</f>
        <v>0</v>
      </c>
    </row>
    <row r="77" customFormat="false" ht="15" hidden="false" customHeight="false" outlineLevel="0" collapsed="false">
      <c r="B77" s="0" t="s">
        <v>56</v>
      </c>
      <c r="S77" s="7" t="n">
        <f aca="false">(S$50&lt;=Sale_Month)*(S$50&gt;=$C$45)*$C$37/12*(1+$C$43)^(S$52-1)</f>
        <v>0</v>
      </c>
      <c r="T77" s="7" t="n">
        <f aca="false">(T$50&lt;=Sale_Month)*(T$50&gt;=$C$45)*$C$37/12*(1+$C$43)^(T$52-1)</f>
        <v>0</v>
      </c>
      <c r="U77" s="7" t="n">
        <f aca="false">(U$50&lt;=Sale_Month)*(U$50&gt;=$C$45)*$C$37/12*(1+$C$43)^(U$52-1)</f>
        <v>0</v>
      </c>
      <c r="V77" s="7" t="n">
        <f aca="false">(V$50&lt;=Sale_Month)*(V$50&gt;=$C$45)*$C$37/12*(1+$C$43)^(V$52-1)</f>
        <v>0</v>
      </c>
      <c r="W77" s="7" t="n">
        <f aca="false">(W$50&lt;=Sale_Month)*(W$50&gt;=$C$45)*$C$37/12*(1+$C$43)^(W$52-1)</f>
        <v>0</v>
      </c>
      <c r="X77" s="7" t="n">
        <f aca="false">(X$50&lt;=Sale_Month)*(X$50&gt;=$C$45)*$C$37/12*(1+$C$43)^(X$52-1)</f>
        <v>0</v>
      </c>
      <c r="Y77" s="7" t="n">
        <f aca="false">(Y$50&lt;=Sale_Month)*(Y$50&gt;=$C$45)*$C$37/12*(1+$C$43)^(Y$52-1)</f>
        <v>0</v>
      </c>
      <c r="Z77" s="7" t="n">
        <f aca="false">(Z$50&lt;=Sale_Month)*(Z$50&gt;=$C$45)*$C$37/12*(1+$C$43)^(Z$52-1)</f>
        <v>0</v>
      </c>
      <c r="AA77" s="7" t="n">
        <f aca="false">(AA$50&lt;=Sale_Month)*(AA$50&gt;=$C$45)*$C$37/12*(1+$C$43)^(AA$52-1)</f>
        <v>0</v>
      </c>
      <c r="AB77" s="7" t="n">
        <f aca="false">(AB$50&lt;=Sale_Month)*(AB$50&gt;=$C$45)*$C$37/12*(1+$C$43)^(AB$52-1)</f>
        <v>0</v>
      </c>
      <c r="AC77" s="7" t="n">
        <f aca="false">(AC$50&lt;=Sale_Month)*(AC$50&gt;=$C$45)*$C$37/12*(1+$C$43)^(AC$52-1)</f>
        <v>0</v>
      </c>
      <c r="AD77" s="7" t="n">
        <f aca="false">(AD$50&lt;=Sale_Month)*(AD$50&gt;=$C$45)*$C$37/12*(1+$C$43)^(AD$52-1)</f>
        <v>0</v>
      </c>
      <c r="AE77" s="7" t="n">
        <f aca="false">(AE$50&lt;=Sale_Month)*(AE$50&gt;=$C$45)*$C$37/12*(1+$C$43)^(AE$52-1)</f>
        <v>0</v>
      </c>
      <c r="AF77" s="7" t="n">
        <f aca="false">(AF$50&lt;=Sale_Month)*(AF$50&gt;=$C$45)*$C$37/12*(1+$C$43)^(AF$52-1)</f>
        <v>0</v>
      </c>
      <c r="AG77" s="7" t="n">
        <f aca="false">(AG$50&lt;=Sale_Month)*(AG$50&gt;=$C$45)*$C$37/12*(1+$C$43)^(AG$52-1)</f>
        <v>0</v>
      </c>
      <c r="AH77" s="7" t="n">
        <f aca="false">(AH$50&lt;=Sale_Month)*(AH$50&gt;=$C$45)*$C$37/12*(1+$C$43)^(AH$52-1)</f>
        <v>0</v>
      </c>
      <c r="AI77" s="7" t="n">
        <f aca="false">(AI$50&lt;=Sale_Month)*(AI$50&gt;=$C$45)*$C$37/12*(1+$C$43)^(AI$52-1)</f>
        <v>0</v>
      </c>
      <c r="AJ77" s="7" t="n">
        <f aca="false">(AJ$50&lt;=Sale_Month)*(AJ$50&gt;=$C$45)*$C$37/12*(1+$C$43)^(AJ$52-1)</f>
        <v>0</v>
      </c>
      <c r="AK77" s="7" t="n">
        <f aca="false">(AK$50&lt;=Sale_Month)*(AK$50&gt;=$C$45)*$C$37/12*(1+$C$43)^(AK$52-1)</f>
        <v>0</v>
      </c>
      <c r="AL77" s="7" t="n">
        <f aca="false">(AL$50&lt;=Sale_Month)*(AL$50&gt;=$C$45)*$C$37/12*(1+$C$43)^(AL$52-1)</f>
        <v>0</v>
      </c>
      <c r="AM77" s="7" t="n">
        <f aca="false">(AM$50&lt;=Sale_Month)*(AM$50&gt;=$C$45)*$C$37/12*(1+$C$43)^(AM$52-1)</f>
        <v>223166.666666667</v>
      </c>
      <c r="AN77" s="7" t="n">
        <f aca="false">(AN$50&lt;=Sale_Month)*(AN$50&gt;=$C$45)*$C$37/12*(1+$C$43)^(AN$52-1)</f>
        <v>223166.666666667</v>
      </c>
      <c r="AO77" s="7" t="n">
        <f aca="false">(AO$50&lt;=Sale_Month)*(AO$50&gt;=$C$45)*$C$37/12*(1+$C$43)^(AO$52-1)</f>
        <v>223166.666666667</v>
      </c>
      <c r="AP77" s="7" t="n">
        <f aca="false">(AP$50&lt;=Sale_Month)*(AP$50&gt;=$C$45)*$C$37/12*(1+$C$43)^(AP$52-1)</f>
        <v>223166.666666667</v>
      </c>
      <c r="AQ77" s="7" t="n">
        <f aca="false">(AQ$50&lt;=Sale_Month)*(AQ$50&gt;=$C$45)*$C$37/12*(1+$C$43)^(AQ$52-1)</f>
        <v>223166.666666667</v>
      </c>
      <c r="AR77" s="7" t="n">
        <f aca="false">(AR$50&lt;=Sale_Month)*(AR$50&gt;=$C$45)*$C$37/12*(1+$C$43)^(AR$52-1)</f>
        <v>229861.666666667</v>
      </c>
      <c r="AS77" s="7" t="n">
        <f aca="false">(AS$50&lt;=Sale_Month)*(AS$50&gt;=$C$45)*$C$37/12*(1+$C$43)^(AS$52-1)</f>
        <v>229861.666666667</v>
      </c>
      <c r="AT77" s="7" t="n">
        <f aca="false">(AT$50&lt;=Sale_Month)*(AT$50&gt;=$C$45)*$C$37/12*(1+$C$43)^(AT$52-1)</f>
        <v>229861.666666667</v>
      </c>
      <c r="AU77" s="7" t="n">
        <f aca="false">(AU$50&lt;=Sale_Month)*(AU$50&gt;=$C$45)*$C$37/12*(1+$C$43)^(AU$52-1)</f>
        <v>229861.666666667</v>
      </c>
      <c r="AV77" s="7" t="n">
        <f aca="false">(AV$50&lt;=Sale_Month)*(AV$50&gt;=$C$45)*$C$37/12*(1+$C$43)^(AV$52-1)</f>
        <v>229861.666666667</v>
      </c>
      <c r="AW77" s="7" t="n">
        <f aca="false">(AW$50&lt;=Sale_Month)*(AW$50&gt;=$C$45)*$C$37/12*(1+$C$43)^(AW$52-1)</f>
        <v>229861.666666667</v>
      </c>
      <c r="AX77" s="7" t="n">
        <f aca="false">(AX$50&lt;=Sale_Month)*(AX$50&gt;=$C$45)*$C$37/12*(1+$C$43)^(AX$52-1)</f>
        <v>229861.666666667</v>
      </c>
      <c r="AY77" s="7" t="n">
        <f aca="false">(AY$50&lt;=Sale_Month)*(AY$50&gt;=$C$45)*$C$37/12*(1+$C$43)^(AY$52-1)</f>
        <v>229861.666666667</v>
      </c>
      <c r="AZ77" s="7" t="n">
        <f aca="false">(AZ$50&lt;=Sale_Month)*(AZ$50&gt;=$C$45)*$C$37/12*(1+$C$43)^(AZ$52-1)</f>
        <v>229861.666666667</v>
      </c>
      <c r="BA77" s="7" t="n">
        <f aca="false">(BA$50&lt;=Sale_Month)*(BA$50&gt;=$C$45)*$C$37/12*(1+$C$43)^(BA$52-1)</f>
        <v>229861.666666667</v>
      </c>
      <c r="BB77" s="7" t="n">
        <f aca="false">(BB$50&lt;=Sale_Month)*(BB$50&gt;=$C$45)*$C$37/12*(1+$C$43)^(BB$52-1)</f>
        <v>229861.666666667</v>
      </c>
      <c r="BC77" s="7" t="n">
        <f aca="false">(BC$50&lt;=Sale_Month)*(BC$50&gt;=$C$45)*$C$37/12*(1+$C$43)^(BC$52-1)</f>
        <v>229861.666666667</v>
      </c>
      <c r="BD77" s="7" t="n">
        <f aca="false">(BD$50&lt;=Sale_Month)*(BD$50&gt;=$C$45)*$C$37/12*(1+$C$43)^(BD$52-1)</f>
        <v>236757.516666667</v>
      </c>
      <c r="BE77" s="7" t="n">
        <f aca="false">(BE$50&lt;=Sale_Month)*(BE$50&gt;=$C$45)*$C$37/12*(1+$C$43)^(BE$52-1)</f>
        <v>236757.516666667</v>
      </c>
      <c r="BF77" s="7" t="n">
        <f aca="false">(BF$50&lt;=Sale_Month)*(BF$50&gt;=$C$45)*$C$37/12*(1+$C$43)^(BF$52-1)</f>
        <v>236757.516666667</v>
      </c>
      <c r="BG77" s="7" t="n">
        <f aca="false">(BG$50&lt;=Sale_Month)*(BG$50&gt;=$C$45)*$C$37/12*(1+$C$43)^(BG$52-1)</f>
        <v>236757.516666667</v>
      </c>
      <c r="BH77" s="7" t="n">
        <f aca="false">(BH$50&lt;=Sale_Month)*(BH$50&gt;=$C$45)*$C$37/12*(1+$C$43)^(BH$52-1)</f>
        <v>236757.516666667</v>
      </c>
      <c r="BI77" s="7" t="n">
        <f aca="false">(BI$50&lt;=Sale_Month)*(BI$50&gt;=$C$45)*$C$37/12*(1+$C$43)^(BI$52-1)</f>
        <v>236757.516666667</v>
      </c>
      <c r="BJ77" s="7" t="n">
        <f aca="false">(BJ$50&lt;=Sale_Month)*(BJ$50&gt;=$C$45)*$C$37/12*(1+$C$43)^(BJ$52-1)</f>
        <v>236757.516666667</v>
      </c>
      <c r="BK77" s="7" t="n">
        <f aca="false">(BK$50&lt;=Sale_Month)*(BK$50&gt;=$C$45)*$C$37/12*(1+$C$43)^(BK$52-1)</f>
        <v>236757.516666667</v>
      </c>
      <c r="BL77" s="7" t="n">
        <f aca="false">(BL$50&lt;=Sale_Month)*(BL$50&gt;=$C$45)*$C$37/12*(1+$C$43)^(BL$52-1)</f>
        <v>236757.516666667</v>
      </c>
      <c r="BM77" s="7" t="n">
        <f aca="false">(BM$50&lt;=Sale_Month)*(BM$50&gt;=$C$45)*$C$37/12*(1+$C$43)^(BM$52-1)</f>
        <v>236757.516666667</v>
      </c>
      <c r="BN77" s="7" t="n">
        <f aca="false">(BN$50&lt;=Sale_Month)*(BN$50&gt;=$C$45)*$C$37/12*(1+$C$43)^(BN$52-1)</f>
        <v>236757.516666667</v>
      </c>
      <c r="BO77" s="7" t="n">
        <f aca="false">(BO$50&lt;=Sale_Month)*(BO$50&gt;=$C$45)*$C$37/12*(1+$C$43)^(BO$52-1)</f>
        <v>236757.516666667</v>
      </c>
      <c r="BP77" s="7" t="n">
        <f aca="false">(BP$50&lt;=Sale_Month)*(BP$50&gt;=$C$45)*$C$37/12*(1+$C$43)^(BP$52-1)</f>
        <v>243860.242166667</v>
      </c>
      <c r="BQ77" s="7" t="n">
        <f aca="false">(BQ$50&lt;=Sale_Month)*(BQ$50&gt;=$C$45)*$C$37/12*(1+$C$43)^(BQ$52-1)</f>
        <v>243860.242166667</v>
      </c>
      <c r="BR77" s="7" t="n">
        <f aca="false">(BR$50&lt;=Sale_Month)*(BR$50&gt;=$C$45)*$C$37/12*(1+$C$43)^(BR$52-1)</f>
        <v>243860.242166667</v>
      </c>
      <c r="BS77" s="7" t="n">
        <f aca="false">(BS$50&lt;=Sale_Month)*(BS$50&gt;=$C$45)*$C$37/12*(1+$C$43)^(BS$52-1)</f>
        <v>243860.242166667</v>
      </c>
      <c r="BT77" s="7" t="n">
        <f aca="false">(BT$50&lt;=Sale_Month)*(BT$50&gt;=$C$45)*$C$37/12*(1+$C$43)^(BT$52-1)</f>
        <v>243860.242166667</v>
      </c>
      <c r="BU77" s="7" t="n">
        <f aca="false">(BU$50&lt;=Sale_Month)*(BU$50&gt;=$C$45)*$C$37/12*(1+$C$43)^(BU$52-1)</f>
        <v>243860.242166667</v>
      </c>
      <c r="BV77" s="7" t="n">
        <f aca="false">(BV$50&lt;=Sale_Month)*(BV$50&gt;=$C$45)*$C$37/12*(1+$C$43)^(BV$52-1)</f>
        <v>243860.242166667</v>
      </c>
      <c r="BW77" s="7" t="n">
        <f aca="false">(BW$50&lt;=Sale_Month)*(BW$50&gt;=$C$45)*$C$37/12*(1+$C$43)^(BW$52-1)</f>
        <v>243860.242166667</v>
      </c>
      <c r="BX77" s="7" t="n">
        <f aca="false">(BX$50&lt;=Sale_Month)*(BX$50&gt;=$C$45)*$C$37/12*(1+$C$43)^(BX$52-1)</f>
        <v>243860.242166667</v>
      </c>
      <c r="BY77" s="7" t="n">
        <f aca="false">(BY$50&lt;=Sale_Month)*(BY$50&gt;=$C$45)*$C$37/12*(1+$C$43)^(BY$52-1)</f>
        <v>243860.242166667</v>
      </c>
      <c r="BZ77" s="7" t="n">
        <f aca="false">(BZ$50&lt;=Sale_Month)*(BZ$50&gt;=$C$45)*$C$37/12*(1+$C$43)^(BZ$52-1)</f>
        <v>243860.242166667</v>
      </c>
      <c r="CA77" s="7" t="n">
        <f aca="false">(CA$50&lt;=Sale_Month)*(CA$50&gt;=$C$45)*$C$37/12*(1+$C$43)^(CA$52-1)</f>
        <v>243860.242166667</v>
      </c>
      <c r="CB77" s="7" t="n">
        <f aca="false">(CB$50&lt;=Sale_Month)*(CB$50&gt;=$C$45)*$C$37/12*(1+$C$43)^(CB$52-1)</f>
        <v>251176.049431667</v>
      </c>
      <c r="CC77" s="7" t="n">
        <f aca="false">(CC$50&lt;=Sale_Month)*(CC$50&gt;=$C$45)*$C$37/12*(1+$C$43)^(CC$52-1)</f>
        <v>251176.049431667</v>
      </c>
      <c r="CD77" s="7" t="n">
        <f aca="false">(CD$50&lt;=Sale_Month)*(CD$50&gt;=$C$45)*$C$37/12*(1+$C$43)^(CD$52-1)</f>
        <v>251176.049431667</v>
      </c>
      <c r="CE77" s="7" t="n">
        <f aca="false">(CE$50&lt;=Sale_Month)*(CE$50&gt;=$C$45)*$C$37/12*(1+$C$43)^(CE$52-1)</f>
        <v>251176.049431667</v>
      </c>
      <c r="CF77" s="7" t="n">
        <f aca="false">(CF$50&lt;=Sale_Month)*(CF$50&gt;=$C$45)*$C$37/12*(1+$C$43)^(CF$52-1)</f>
        <v>251176.049431667</v>
      </c>
      <c r="CG77" s="7" t="n">
        <f aca="false">(CG$50&lt;=Sale_Month)*(CG$50&gt;=$C$45)*$C$37/12*(1+$C$43)^(CG$52-1)</f>
        <v>251176.049431667</v>
      </c>
      <c r="CH77" s="7" t="n">
        <f aca="false">(CH$50&lt;=Sale_Month)*(CH$50&gt;=$C$45)*$C$37/12*(1+$C$43)^(CH$52-1)</f>
        <v>251176.049431667</v>
      </c>
      <c r="CI77" s="7" t="n">
        <f aca="false">(CI$50&lt;=Sale_Month)*(CI$50&gt;=$C$45)*$C$37/12*(1+$C$43)^(CI$52-1)</f>
        <v>251176.049431667</v>
      </c>
      <c r="CJ77" s="7" t="n">
        <f aca="false">(CJ$50&lt;=Sale_Month)*(CJ$50&gt;=$C$45)*$C$37/12*(1+$C$43)^(CJ$52-1)</f>
        <v>251176.049431667</v>
      </c>
      <c r="CK77" s="7" t="n">
        <f aca="false">(CK$50&lt;=Sale_Month)*(CK$50&gt;=$C$45)*$C$37/12*(1+$C$43)^(CK$52-1)</f>
        <v>251176.049431667</v>
      </c>
      <c r="CL77" s="7" t="n">
        <f aca="false">(CL$50&lt;=Sale_Month)*(CL$50&gt;=$C$45)*$C$37/12*(1+$C$43)^(CL$52-1)</f>
        <v>251176.049431667</v>
      </c>
      <c r="CM77" s="7" t="n">
        <f aca="false">(CM$50&lt;=Sale_Month)*(CM$50&gt;=$C$45)*$C$37/12*(1+$C$43)^(CM$52-1)</f>
        <v>251176.049431667</v>
      </c>
      <c r="CN77" s="7" t="n">
        <f aca="false">(CN$50&lt;=Sale_Month)*(CN$50&gt;=$C$45)*$C$37/12*(1+$C$43)^(CN$52-1)</f>
        <v>0</v>
      </c>
      <c r="CO77" s="7" t="n">
        <f aca="false">(CO$50&lt;=Sale_Month)*(CO$50&gt;=$C$45)*$C$37/12*(1+$C$43)^(CO$52-1)</f>
        <v>0</v>
      </c>
      <c r="CP77" s="7" t="n">
        <f aca="false">(CP$50&lt;=Sale_Month)*(CP$50&gt;=$C$45)*$C$37/12*(1+$C$43)^(CP$52-1)</f>
        <v>0</v>
      </c>
      <c r="CQ77" s="7" t="n">
        <f aca="false">(CQ$50&lt;=Sale_Month)*(CQ$50&gt;=$C$45)*$C$37/12*(1+$C$43)^(CQ$52-1)</f>
        <v>0</v>
      </c>
      <c r="CR77" s="7" t="n">
        <f aca="false">(CR$50&lt;=Sale_Month)*(CR$50&gt;=$C$45)*$C$37/12*(1+$C$43)^(CR$52-1)</f>
        <v>0</v>
      </c>
      <c r="CS77" s="7" t="n">
        <f aca="false">(CS$50&lt;=Sale_Month)*(CS$50&gt;=$C$45)*$C$37/12*(1+$C$43)^(CS$52-1)</f>
        <v>0</v>
      </c>
      <c r="CT77" s="7" t="n">
        <f aca="false">(CT$50&lt;=Sale_Month)*(CT$50&gt;=$C$45)*$C$37/12*(1+$C$43)^(CT$52-1)</f>
        <v>0</v>
      </c>
      <c r="CU77" s="7" t="n">
        <f aca="false">(CU$50&lt;=Sale_Month)*(CU$50&gt;=$C$45)*$C$37/12*(1+$C$43)^(CU$52-1)</f>
        <v>0</v>
      </c>
      <c r="CV77" s="7" t="n">
        <f aca="false">(CV$50&lt;=Sale_Month)*(CV$50&gt;=$C$45)*$C$37/12*(1+$C$43)^(CV$52-1)</f>
        <v>0</v>
      </c>
      <c r="CW77" s="7" t="n">
        <f aca="false">(CW$50&lt;=Sale_Month)*(CW$50&gt;=$C$45)*$C$37/12*(1+$C$43)^(CW$52-1)</f>
        <v>0</v>
      </c>
      <c r="CX77" s="7" t="n">
        <f aca="false">(CX$50&lt;=Sale_Month)*(CX$50&gt;=$C$45)*$C$37/12*(1+$C$43)^(CX$52-1)</f>
        <v>0</v>
      </c>
      <c r="CY77" s="7" t="n">
        <f aca="false">(CY$50&lt;=Sale_Month)*(CY$50&gt;=$C$45)*$C$37/12*(1+$C$43)^(CY$52-1)</f>
        <v>0</v>
      </c>
    </row>
    <row r="78" customFormat="false" ht="15" hidden="false" customHeight="false" outlineLevel="0" collapsed="false">
      <c r="B78" s="0" t="s">
        <v>58</v>
      </c>
      <c r="S78" s="7" t="n">
        <f aca="false">(S$50&lt;=Sale_Month)*(S$50&gt;=$C$45)*$C$38/12*(1+$C$43)^(S$52-1)</f>
        <v>0</v>
      </c>
      <c r="T78" s="7" t="n">
        <f aca="false">(T$50&lt;=Sale_Month)*(T$50&gt;=$C$45)*$C$38/12*(1+$C$43)^(T$52-1)</f>
        <v>0</v>
      </c>
      <c r="U78" s="7" t="n">
        <f aca="false">(U$50&lt;=Sale_Month)*(U$50&gt;=$C$45)*$C$38/12*(1+$C$43)^(U$52-1)</f>
        <v>0</v>
      </c>
      <c r="V78" s="7" t="n">
        <f aca="false">(V$50&lt;=Sale_Month)*(V$50&gt;=$C$45)*$C$38/12*(1+$C$43)^(V$52-1)</f>
        <v>0</v>
      </c>
      <c r="W78" s="7" t="n">
        <f aca="false">(W$50&lt;=Sale_Month)*(W$50&gt;=$C$45)*$C$38/12*(1+$C$43)^(W$52-1)</f>
        <v>0</v>
      </c>
      <c r="X78" s="7" t="n">
        <f aca="false">(X$50&lt;=Sale_Month)*(X$50&gt;=$C$45)*$C$38/12*(1+$C$43)^(X$52-1)</f>
        <v>0</v>
      </c>
      <c r="Y78" s="7" t="n">
        <f aca="false">(Y$50&lt;=Sale_Month)*(Y$50&gt;=$C$45)*$C$38/12*(1+$C$43)^(Y$52-1)</f>
        <v>0</v>
      </c>
      <c r="Z78" s="7" t="n">
        <f aca="false">(Z$50&lt;=Sale_Month)*(Z$50&gt;=$C$45)*$C$38/12*(1+$C$43)^(Z$52-1)</f>
        <v>0</v>
      </c>
      <c r="AA78" s="7" t="n">
        <f aca="false">(AA$50&lt;=Sale_Month)*(AA$50&gt;=$C$45)*$C$38/12*(1+$C$43)^(AA$52-1)</f>
        <v>0</v>
      </c>
      <c r="AB78" s="7" t="n">
        <f aca="false">(AB$50&lt;=Sale_Month)*(AB$50&gt;=$C$45)*$C$38/12*(1+$C$43)^(AB$52-1)</f>
        <v>0</v>
      </c>
      <c r="AC78" s="7" t="n">
        <f aca="false">(AC$50&lt;=Sale_Month)*(AC$50&gt;=$C$45)*$C$38/12*(1+$C$43)^(AC$52-1)</f>
        <v>0</v>
      </c>
      <c r="AD78" s="7" t="n">
        <f aca="false">(AD$50&lt;=Sale_Month)*(AD$50&gt;=$C$45)*$C$38/12*(1+$C$43)^(AD$52-1)</f>
        <v>0</v>
      </c>
      <c r="AE78" s="7" t="n">
        <f aca="false">(AE$50&lt;=Sale_Month)*(AE$50&gt;=$C$45)*$C$38/12*(1+$C$43)^(AE$52-1)</f>
        <v>0</v>
      </c>
      <c r="AF78" s="7" t="n">
        <f aca="false">(AF$50&lt;=Sale_Month)*(AF$50&gt;=$C$45)*$C$38/12*(1+$C$43)^(AF$52-1)</f>
        <v>0</v>
      </c>
      <c r="AG78" s="7" t="n">
        <f aca="false">(AG$50&lt;=Sale_Month)*(AG$50&gt;=$C$45)*$C$38/12*(1+$C$43)^(AG$52-1)</f>
        <v>0</v>
      </c>
      <c r="AH78" s="7" t="n">
        <f aca="false">(AH$50&lt;=Sale_Month)*(AH$50&gt;=$C$45)*$C$38/12*(1+$C$43)^(AH$52-1)</f>
        <v>0</v>
      </c>
      <c r="AI78" s="7" t="n">
        <f aca="false">(AI$50&lt;=Sale_Month)*(AI$50&gt;=$C$45)*$C$38/12*(1+$C$43)^(AI$52-1)</f>
        <v>0</v>
      </c>
      <c r="AJ78" s="7" t="n">
        <f aca="false">(AJ$50&lt;=Sale_Month)*(AJ$50&gt;=$C$45)*$C$38/12*(1+$C$43)^(AJ$52-1)</f>
        <v>0</v>
      </c>
      <c r="AK78" s="7" t="n">
        <f aca="false">(AK$50&lt;=Sale_Month)*(AK$50&gt;=$C$45)*$C$38/12*(1+$C$43)^(AK$52-1)</f>
        <v>0</v>
      </c>
      <c r="AL78" s="7" t="n">
        <f aca="false">(AL$50&lt;=Sale_Month)*(AL$50&gt;=$C$45)*$C$38/12*(1+$C$43)^(AL$52-1)</f>
        <v>0</v>
      </c>
      <c r="AM78" s="7" t="n">
        <f aca="false">(AM$50&lt;=Sale_Month)*(AM$50&gt;=$C$45)*$C$38/12*(1+$C$43)^(AM$52-1)</f>
        <v>283250</v>
      </c>
      <c r="AN78" s="7" t="n">
        <f aca="false">(AN$50&lt;=Sale_Month)*(AN$50&gt;=$C$45)*$C$38/12*(1+$C$43)^(AN$52-1)</f>
        <v>283250</v>
      </c>
      <c r="AO78" s="7" t="n">
        <f aca="false">(AO$50&lt;=Sale_Month)*(AO$50&gt;=$C$45)*$C$38/12*(1+$C$43)^(AO$52-1)</f>
        <v>283250</v>
      </c>
      <c r="AP78" s="7" t="n">
        <f aca="false">(AP$50&lt;=Sale_Month)*(AP$50&gt;=$C$45)*$C$38/12*(1+$C$43)^(AP$52-1)</f>
        <v>283250</v>
      </c>
      <c r="AQ78" s="7" t="n">
        <f aca="false">(AQ$50&lt;=Sale_Month)*(AQ$50&gt;=$C$45)*$C$38/12*(1+$C$43)^(AQ$52-1)</f>
        <v>283250</v>
      </c>
      <c r="AR78" s="7" t="n">
        <f aca="false">(AR$50&lt;=Sale_Month)*(AR$50&gt;=$C$45)*$C$38/12*(1+$C$43)^(AR$52-1)</f>
        <v>291747.5</v>
      </c>
      <c r="AS78" s="7" t="n">
        <f aca="false">(AS$50&lt;=Sale_Month)*(AS$50&gt;=$C$45)*$C$38/12*(1+$C$43)^(AS$52-1)</f>
        <v>291747.5</v>
      </c>
      <c r="AT78" s="7" t="n">
        <f aca="false">(AT$50&lt;=Sale_Month)*(AT$50&gt;=$C$45)*$C$38/12*(1+$C$43)^(AT$52-1)</f>
        <v>291747.5</v>
      </c>
      <c r="AU78" s="7" t="n">
        <f aca="false">(AU$50&lt;=Sale_Month)*(AU$50&gt;=$C$45)*$C$38/12*(1+$C$43)^(AU$52-1)</f>
        <v>291747.5</v>
      </c>
      <c r="AV78" s="7" t="n">
        <f aca="false">(AV$50&lt;=Sale_Month)*(AV$50&gt;=$C$45)*$C$38/12*(1+$C$43)^(AV$52-1)</f>
        <v>291747.5</v>
      </c>
      <c r="AW78" s="7" t="n">
        <f aca="false">(AW$50&lt;=Sale_Month)*(AW$50&gt;=$C$45)*$C$38/12*(1+$C$43)^(AW$52-1)</f>
        <v>291747.5</v>
      </c>
      <c r="AX78" s="7" t="n">
        <f aca="false">(AX$50&lt;=Sale_Month)*(AX$50&gt;=$C$45)*$C$38/12*(1+$C$43)^(AX$52-1)</f>
        <v>291747.5</v>
      </c>
      <c r="AY78" s="7" t="n">
        <f aca="false">(AY$50&lt;=Sale_Month)*(AY$50&gt;=$C$45)*$C$38/12*(1+$C$43)^(AY$52-1)</f>
        <v>291747.5</v>
      </c>
      <c r="AZ78" s="7" t="n">
        <f aca="false">(AZ$50&lt;=Sale_Month)*(AZ$50&gt;=$C$45)*$C$38/12*(1+$C$43)^(AZ$52-1)</f>
        <v>291747.5</v>
      </c>
      <c r="BA78" s="7" t="n">
        <f aca="false">(BA$50&lt;=Sale_Month)*(BA$50&gt;=$C$45)*$C$38/12*(1+$C$43)^(BA$52-1)</f>
        <v>291747.5</v>
      </c>
      <c r="BB78" s="7" t="n">
        <f aca="false">(BB$50&lt;=Sale_Month)*(BB$50&gt;=$C$45)*$C$38/12*(1+$C$43)^(BB$52-1)</f>
        <v>291747.5</v>
      </c>
      <c r="BC78" s="7" t="n">
        <f aca="false">(BC$50&lt;=Sale_Month)*(BC$50&gt;=$C$45)*$C$38/12*(1+$C$43)^(BC$52-1)</f>
        <v>291747.5</v>
      </c>
      <c r="BD78" s="7" t="n">
        <f aca="false">(BD$50&lt;=Sale_Month)*(BD$50&gt;=$C$45)*$C$38/12*(1+$C$43)^(BD$52-1)</f>
        <v>300499.925</v>
      </c>
      <c r="BE78" s="7" t="n">
        <f aca="false">(BE$50&lt;=Sale_Month)*(BE$50&gt;=$C$45)*$C$38/12*(1+$C$43)^(BE$52-1)</f>
        <v>300499.925</v>
      </c>
      <c r="BF78" s="7" t="n">
        <f aca="false">(BF$50&lt;=Sale_Month)*(BF$50&gt;=$C$45)*$C$38/12*(1+$C$43)^(BF$52-1)</f>
        <v>300499.925</v>
      </c>
      <c r="BG78" s="7" t="n">
        <f aca="false">(BG$50&lt;=Sale_Month)*(BG$50&gt;=$C$45)*$C$38/12*(1+$C$43)^(BG$52-1)</f>
        <v>300499.925</v>
      </c>
      <c r="BH78" s="7" t="n">
        <f aca="false">(BH$50&lt;=Sale_Month)*(BH$50&gt;=$C$45)*$C$38/12*(1+$C$43)^(BH$52-1)</f>
        <v>300499.925</v>
      </c>
      <c r="BI78" s="7" t="n">
        <f aca="false">(BI$50&lt;=Sale_Month)*(BI$50&gt;=$C$45)*$C$38/12*(1+$C$43)^(BI$52-1)</f>
        <v>300499.925</v>
      </c>
      <c r="BJ78" s="7" t="n">
        <f aca="false">(BJ$50&lt;=Sale_Month)*(BJ$50&gt;=$C$45)*$C$38/12*(1+$C$43)^(BJ$52-1)</f>
        <v>300499.925</v>
      </c>
      <c r="BK78" s="7" t="n">
        <f aca="false">(BK$50&lt;=Sale_Month)*(BK$50&gt;=$C$45)*$C$38/12*(1+$C$43)^(BK$52-1)</f>
        <v>300499.925</v>
      </c>
      <c r="BL78" s="7" t="n">
        <f aca="false">(BL$50&lt;=Sale_Month)*(BL$50&gt;=$C$45)*$C$38/12*(1+$C$43)^(BL$52-1)</f>
        <v>300499.925</v>
      </c>
      <c r="BM78" s="7" t="n">
        <f aca="false">(BM$50&lt;=Sale_Month)*(BM$50&gt;=$C$45)*$C$38/12*(1+$C$43)^(BM$52-1)</f>
        <v>300499.925</v>
      </c>
      <c r="BN78" s="7" t="n">
        <f aca="false">(BN$50&lt;=Sale_Month)*(BN$50&gt;=$C$45)*$C$38/12*(1+$C$43)^(BN$52-1)</f>
        <v>300499.925</v>
      </c>
      <c r="BO78" s="7" t="n">
        <f aca="false">(BO$50&lt;=Sale_Month)*(BO$50&gt;=$C$45)*$C$38/12*(1+$C$43)^(BO$52-1)</f>
        <v>300499.925</v>
      </c>
      <c r="BP78" s="7" t="n">
        <f aca="false">(BP$50&lt;=Sale_Month)*(BP$50&gt;=$C$45)*$C$38/12*(1+$C$43)^(BP$52-1)</f>
        <v>309514.92275</v>
      </c>
      <c r="BQ78" s="7" t="n">
        <f aca="false">(BQ$50&lt;=Sale_Month)*(BQ$50&gt;=$C$45)*$C$38/12*(1+$C$43)^(BQ$52-1)</f>
        <v>309514.92275</v>
      </c>
      <c r="BR78" s="7" t="n">
        <f aca="false">(BR$50&lt;=Sale_Month)*(BR$50&gt;=$C$45)*$C$38/12*(1+$C$43)^(BR$52-1)</f>
        <v>309514.92275</v>
      </c>
      <c r="BS78" s="7" t="n">
        <f aca="false">(BS$50&lt;=Sale_Month)*(BS$50&gt;=$C$45)*$C$38/12*(1+$C$43)^(BS$52-1)</f>
        <v>309514.92275</v>
      </c>
      <c r="BT78" s="7" t="n">
        <f aca="false">(BT$50&lt;=Sale_Month)*(BT$50&gt;=$C$45)*$C$38/12*(1+$C$43)^(BT$52-1)</f>
        <v>309514.92275</v>
      </c>
      <c r="BU78" s="7" t="n">
        <f aca="false">(BU$50&lt;=Sale_Month)*(BU$50&gt;=$C$45)*$C$38/12*(1+$C$43)^(BU$52-1)</f>
        <v>309514.92275</v>
      </c>
      <c r="BV78" s="7" t="n">
        <f aca="false">(BV$50&lt;=Sale_Month)*(BV$50&gt;=$C$45)*$C$38/12*(1+$C$43)^(BV$52-1)</f>
        <v>309514.92275</v>
      </c>
      <c r="BW78" s="7" t="n">
        <f aca="false">(BW$50&lt;=Sale_Month)*(BW$50&gt;=$C$45)*$C$38/12*(1+$C$43)^(BW$52-1)</f>
        <v>309514.92275</v>
      </c>
      <c r="BX78" s="7" t="n">
        <f aca="false">(BX$50&lt;=Sale_Month)*(BX$50&gt;=$C$45)*$C$38/12*(1+$C$43)^(BX$52-1)</f>
        <v>309514.92275</v>
      </c>
      <c r="BY78" s="7" t="n">
        <f aca="false">(BY$50&lt;=Sale_Month)*(BY$50&gt;=$C$45)*$C$38/12*(1+$C$43)^(BY$52-1)</f>
        <v>309514.92275</v>
      </c>
      <c r="BZ78" s="7" t="n">
        <f aca="false">(BZ$50&lt;=Sale_Month)*(BZ$50&gt;=$C$45)*$C$38/12*(1+$C$43)^(BZ$52-1)</f>
        <v>309514.92275</v>
      </c>
      <c r="CA78" s="7" t="n">
        <f aca="false">(CA$50&lt;=Sale_Month)*(CA$50&gt;=$C$45)*$C$38/12*(1+$C$43)^(CA$52-1)</f>
        <v>309514.92275</v>
      </c>
      <c r="CB78" s="7" t="n">
        <f aca="false">(CB$50&lt;=Sale_Month)*(CB$50&gt;=$C$45)*$C$38/12*(1+$C$43)^(CB$52-1)</f>
        <v>318800.3704325</v>
      </c>
      <c r="CC78" s="7" t="n">
        <f aca="false">(CC$50&lt;=Sale_Month)*(CC$50&gt;=$C$45)*$C$38/12*(1+$C$43)^(CC$52-1)</f>
        <v>318800.3704325</v>
      </c>
      <c r="CD78" s="7" t="n">
        <f aca="false">(CD$50&lt;=Sale_Month)*(CD$50&gt;=$C$45)*$C$38/12*(1+$C$43)^(CD$52-1)</f>
        <v>318800.3704325</v>
      </c>
      <c r="CE78" s="7" t="n">
        <f aca="false">(CE$50&lt;=Sale_Month)*(CE$50&gt;=$C$45)*$C$38/12*(1+$C$43)^(CE$52-1)</f>
        <v>318800.3704325</v>
      </c>
      <c r="CF78" s="7" t="n">
        <f aca="false">(CF$50&lt;=Sale_Month)*(CF$50&gt;=$C$45)*$C$38/12*(1+$C$43)^(CF$52-1)</f>
        <v>318800.3704325</v>
      </c>
      <c r="CG78" s="7" t="n">
        <f aca="false">(CG$50&lt;=Sale_Month)*(CG$50&gt;=$C$45)*$C$38/12*(1+$C$43)^(CG$52-1)</f>
        <v>318800.3704325</v>
      </c>
      <c r="CH78" s="7" t="n">
        <f aca="false">(CH$50&lt;=Sale_Month)*(CH$50&gt;=$C$45)*$C$38/12*(1+$C$43)^(CH$52-1)</f>
        <v>318800.3704325</v>
      </c>
      <c r="CI78" s="7" t="n">
        <f aca="false">(CI$50&lt;=Sale_Month)*(CI$50&gt;=$C$45)*$C$38/12*(1+$C$43)^(CI$52-1)</f>
        <v>318800.3704325</v>
      </c>
      <c r="CJ78" s="7" t="n">
        <f aca="false">(CJ$50&lt;=Sale_Month)*(CJ$50&gt;=$C$45)*$C$38/12*(1+$C$43)^(CJ$52-1)</f>
        <v>318800.3704325</v>
      </c>
      <c r="CK78" s="7" t="n">
        <f aca="false">(CK$50&lt;=Sale_Month)*(CK$50&gt;=$C$45)*$C$38/12*(1+$C$43)^(CK$52-1)</f>
        <v>318800.3704325</v>
      </c>
      <c r="CL78" s="7" t="n">
        <f aca="false">(CL$50&lt;=Sale_Month)*(CL$50&gt;=$C$45)*$C$38/12*(1+$C$43)^(CL$52-1)</f>
        <v>318800.3704325</v>
      </c>
      <c r="CM78" s="7" t="n">
        <f aca="false">(CM$50&lt;=Sale_Month)*(CM$50&gt;=$C$45)*$C$38/12*(1+$C$43)^(CM$52-1)</f>
        <v>318800.3704325</v>
      </c>
      <c r="CN78" s="7" t="n">
        <f aca="false">(CN$50&lt;=Sale_Month)*(CN$50&gt;=$C$45)*$C$38/12*(1+$C$43)^(CN$52-1)</f>
        <v>0</v>
      </c>
      <c r="CO78" s="7" t="n">
        <f aca="false">(CO$50&lt;=Sale_Month)*(CO$50&gt;=$C$45)*$C$38/12*(1+$C$43)^(CO$52-1)</f>
        <v>0</v>
      </c>
      <c r="CP78" s="7" t="n">
        <f aca="false">(CP$50&lt;=Sale_Month)*(CP$50&gt;=$C$45)*$C$38/12*(1+$C$43)^(CP$52-1)</f>
        <v>0</v>
      </c>
      <c r="CQ78" s="7" t="n">
        <f aca="false">(CQ$50&lt;=Sale_Month)*(CQ$50&gt;=$C$45)*$C$38/12*(1+$C$43)^(CQ$52-1)</f>
        <v>0</v>
      </c>
      <c r="CR78" s="7" t="n">
        <f aca="false">(CR$50&lt;=Sale_Month)*(CR$50&gt;=$C$45)*$C$38/12*(1+$C$43)^(CR$52-1)</f>
        <v>0</v>
      </c>
      <c r="CS78" s="7" t="n">
        <f aca="false">(CS$50&lt;=Sale_Month)*(CS$50&gt;=$C$45)*$C$38/12*(1+$C$43)^(CS$52-1)</f>
        <v>0</v>
      </c>
      <c r="CT78" s="7" t="n">
        <f aca="false">(CT$50&lt;=Sale_Month)*(CT$50&gt;=$C$45)*$C$38/12*(1+$C$43)^(CT$52-1)</f>
        <v>0</v>
      </c>
      <c r="CU78" s="7" t="n">
        <f aca="false">(CU$50&lt;=Sale_Month)*(CU$50&gt;=$C$45)*$C$38/12*(1+$C$43)^(CU$52-1)</f>
        <v>0</v>
      </c>
      <c r="CV78" s="7" t="n">
        <f aca="false">(CV$50&lt;=Sale_Month)*(CV$50&gt;=$C$45)*$C$38/12*(1+$C$43)^(CV$52-1)</f>
        <v>0</v>
      </c>
      <c r="CW78" s="7" t="n">
        <f aca="false">(CW$50&lt;=Sale_Month)*(CW$50&gt;=$C$45)*$C$38/12*(1+$C$43)^(CW$52-1)</f>
        <v>0</v>
      </c>
      <c r="CX78" s="7" t="n">
        <f aca="false">(CX$50&lt;=Sale_Month)*(CX$50&gt;=$C$45)*$C$38/12*(1+$C$43)^(CX$52-1)</f>
        <v>0</v>
      </c>
      <c r="CY78" s="7" t="n">
        <f aca="false">(CY$50&lt;=Sale_Month)*(CY$50&gt;=$C$45)*$C$38/12*(1+$C$43)^(CY$52-1)</f>
        <v>0</v>
      </c>
    </row>
    <row r="79" customFormat="false" ht="15" hidden="false" customHeight="false" outlineLevel="0" collapsed="false">
      <c r="B79" s="0" t="s">
        <v>59</v>
      </c>
      <c r="S79" s="7" t="n">
        <f aca="false">(S$50&lt;=Sale_Month)*(S$50&gt;=$C$45)*$C$39/12*(1+$C$43)^(S$52-1)</f>
        <v>0</v>
      </c>
      <c r="T79" s="7" t="n">
        <f aca="false">(T$50&lt;=Sale_Month)*(T$50&gt;=$C$45)*$C$39/12*(1+$C$43)^(T$52-1)</f>
        <v>0</v>
      </c>
      <c r="U79" s="7" t="n">
        <f aca="false">(U$50&lt;=Sale_Month)*(U$50&gt;=$C$45)*$C$39/12*(1+$C$43)^(U$52-1)</f>
        <v>0</v>
      </c>
      <c r="V79" s="7" t="n">
        <f aca="false">(V$50&lt;=Sale_Month)*(V$50&gt;=$C$45)*$C$39/12*(1+$C$43)^(V$52-1)</f>
        <v>0</v>
      </c>
      <c r="W79" s="7" t="n">
        <f aca="false">(W$50&lt;=Sale_Month)*(W$50&gt;=$C$45)*$C$39/12*(1+$C$43)^(W$52-1)</f>
        <v>0</v>
      </c>
      <c r="X79" s="7" t="n">
        <f aca="false">(X$50&lt;=Sale_Month)*(X$50&gt;=$C$45)*$C$39/12*(1+$C$43)^(X$52-1)</f>
        <v>0</v>
      </c>
      <c r="Y79" s="7" t="n">
        <f aca="false">(Y$50&lt;=Sale_Month)*(Y$50&gt;=$C$45)*$C$39/12*(1+$C$43)^(Y$52-1)</f>
        <v>0</v>
      </c>
      <c r="Z79" s="7" t="n">
        <f aca="false">(Z$50&lt;=Sale_Month)*(Z$50&gt;=$C$45)*$C$39/12*(1+$C$43)^(Z$52-1)</f>
        <v>0</v>
      </c>
      <c r="AA79" s="7" t="n">
        <f aca="false">(AA$50&lt;=Sale_Month)*(AA$50&gt;=$C$45)*$C$39/12*(1+$C$43)^(AA$52-1)</f>
        <v>0</v>
      </c>
      <c r="AB79" s="7" t="n">
        <f aca="false">(AB$50&lt;=Sale_Month)*(AB$50&gt;=$C$45)*$C$39/12*(1+$C$43)^(AB$52-1)</f>
        <v>0</v>
      </c>
      <c r="AC79" s="7" t="n">
        <f aca="false">(AC$50&lt;=Sale_Month)*(AC$50&gt;=$C$45)*$C$39/12*(1+$C$43)^(AC$52-1)</f>
        <v>0</v>
      </c>
      <c r="AD79" s="7" t="n">
        <f aca="false">(AD$50&lt;=Sale_Month)*(AD$50&gt;=$C$45)*$C$39/12*(1+$C$43)^(AD$52-1)</f>
        <v>0</v>
      </c>
      <c r="AE79" s="7" t="n">
        <f aca="false">(AE$50&lt;=Sale_Month)*(AE$50&gt;=$C$45)*$C$39/12*(1+$C$43)^(AE$52-1)</f>
        <v>0</v>
      </c>
      <c r="AF79" s="7" t="n">
        <f aca="false">(AF$50&lt;=Sale_Month)*(AF$50&gt;=$C$45)*$C$39/12*(1+$C$43)^(AF$52-1)</f>
        <v>0</v>
      </c>
      <c r="AG79" s="7" t="n">
        <f aca="false">(AG$50&lt;=Sale_Month)*(AG$50&gt;=$C$45)*$C$39/12*(1+$C$43)^(AG$52-1)</f>
        <v>0</v>
      </c>
      <c r="AH79" s="7" t="n">
        <f aca="false">(AH$50&lt;=Sale_Month)*(AH$50&gt;=$C$45)*$C$39/12*(1+$C$43)^(AH$52-1)</f>
        <v>0</v>
      </c>
      <c r="AI79" s="7" t="n">
        <f aca="false">(AI$50&lt;=Sale_Month)*(AI$50&gt;=$C$45)*$C$39/12*(1+$C$43)^(AI$52-1)</f>
        <v>0</v>
      </c>
      <c r="AJ79" s="7" t="n">
        <f aca="false">(AJ$50&lt;=Sale_Month)*(AJ$50&gt;=$C$45)*$C$39/12*(1+$C$43)^(AJ$52-1)</f>
        <v>0</v>
      </c>
      <c r="AK79" s="7" t="n">
        <f aca="false">(AK$50&lt;=Sale_Month)*(AK$50&gt;=$C$45)*$C$39/12*(1+$C$43)^(AK$52-1)</f>
        <v>0</v>
      </c>
      <c r="AL79" s="7" t="n">
        <f aca="false">(AL$50&lt;=Sale_Month)*(AL$50&gt;=$C$45)*$C$39/12*(1+$C$43)^(AL$52-1)</f>
        <v>0</v>
      </c>
      <c r="AM79" s="7" t="n">
        <f aca="false">(AM$50&lt;=Sale_Month)*(AM$50&gt;=$C$45)*$C$39/12*(1+$C$43)^(AM$52-1)</f>
        <v>81541.6666666667</v>
      </c>
      <c r="AN79" s="7" t="n">
        <f aca="false">(AN$50&lt;=Sale_Month)*(AN$50&gt;=$C$45)*$C$39/12*(1+$C$43)^(AN$52-1)</f>
        <v>81541.6666666667</v>
      </c>
      <c r="AO79" s="7" t="n">
        <f aca="false">(AO$50&lt;=Sale_Month)*(AO$50&gt;=$C$45)*$C$39/12*(1+$C$43)^(AO$52-1)</f>
        <v>81541.6666666667</v>
      </c>
      <c r="AP79" s="7" t="n">
        <f aca="false">(AP$50&lt;=Sale_Month)*(AP$50&gt;=$C$45)*$C$39/12*(1+$C$43)^(AP$52-1)</f>
        <v>81541.6666666667</v>
      </c>
      <c r="AQ79" s="7" t="n">
        <f aca="false">(AQ$50&lt;=Sale_Month)*(AQ$50&gt;=$C$45)*$C$39/12*(1+$C$43)^(AQ$52-1)</f>
        <v>81541.6666666667</v>
      </c>
      <c r="AR79" s="7" t="n">
        <f aca="false">(AR$50&lt;=Sale_Month)*(AR$50&gt;=$C$45)*$C$39/12*(1+$C$43)^(AR$52-1)</f>
        <v>83987.9166666667</v>
      </c>
      <c r="AS79" s="7" t="n">
        <f aca="false">(AS$50&lt;=Sale_Month)*(AS$50&gt;=$C$45)*$C$39/12*(1+$C$43)^(AS$52-1)</f>
        <v>83987.9166666667</v>
      </c>
      <c r="AT79" s="7" t="n">
        <f aca="false">(AT$50&lt;=Sale_Month)*(AT$50&gt;=$C$45)*$C$39/12*(1+$C$43)^(AT$52-1)</f>
        <v>83987.9166666667</v>
      </c>
      <c r="AU79" s="7" t="n">
        <f aca="false">(AU$50&lt;=Sale_Month)*(AU$50&gt;=$C$45)*$C$39/12*(1+$C$43)^(AU$52-1)</f>
        <v>83987.9166666667</v>
      </c>
      <c r="AV79" s="7" t="n">
        <f aca="false">(AV$50&lt;=Sale_Month)*(AV$50&gt;=$C$45)*$C$39/12*(1+$C$43)^(AV$52-1)</f>
        <v>83987.9166666667</v>
      </c>
      <c r="AW79" s="7" t="n">
        <f aca="false">(AW$50&lt;=Sale_Month)*(AW$50&gt;=$C$45)*$C$39/12*(1+$C$43)^(AW$52-1)</f>
        <v>83987.9166666667</v>
      </c>
      <c r="AX79" s="7" t="n">
        <f aca="false">(AX$50&lt;=Sale_Month)*(AX$50&gt;=$C$45)*$C$39/12*(1+$C$43)^(AX$52-1)</f>
        <v>83987.9166666667</v>
      </c>
      <c r="AY79" s="7" t="n">
        <f aca="false">(AY$50&lt;=Sale_Month)*(AY$50&gt;=$C$45)*$C$39/12*(1+$C$43)^(AY$52-1)</f>
        <v>83987.9166666667</v>
      </c>
      <c r="AZ79" s="7" t="n">
        <f aca="false">(AZ$50&lt;=Sale_Month)*(AZ$50&gt;=$C$45)*$C$39/12*(1+$C$43)^(AZ$52-1)</f>
        <v>83987.9166666667</v>
      </c>
      <c r="BA79" s="7" t="n">
        <f aca="false">(BA$50&lt;=Sale_Month)*(BA$50&gt;=$C$45)*$C$39/12*(1+$C$43)^(BA$52-1)</f>
        <v>83987.9166666667</v>
      </c>
      <c r="BB79" s="7" t="n">
        <f aca="false">(BB$50&lt;=Sale_Month)*(BB$50&gt;=$C$45)*$C$39/12*(1+$C$43)^(BB$52-1)</f>
        <v>83987.9166666667</v>
      </c>
      <c r="BC79" s="7" t="n">
        <f aca="false">(BC$50&lt;=Sale_Month)*(BC$50&gt;=$C$45)*$C$39/12*(1+$C$43)^(BC$52-1)</f>
        <v>83987.9166666667</v>
      </c>
      <c r="BD79" s="7" t="n">
        <f aca="false">(BD$50&lt;=Sale_Month)*(BD$50&gt;=$C$45)*$C$39/12*(1+$C$43)^(BD$52-1)</f>
        <v>86507.5541666667</v>
      </c>
      <c r="BE79" s="7" t="n">
        <f aca="false">(BE$50&lt;=Sale_Month)*(BE$50&gt;=$C$45)*$C$39/12*(1+$C$43)^(BE$52-1)</f>
        <v>86507.5541666667</v>
      </c>
      <c r="BF79" s="7" t="n">
        <f aca="false">(BF$50&lt;=Sale_Month)*(BF$50&gt;=$C$45)*$C$39/12*(1+$C$43)^(BF$52-1)</f>
        <v>86507.5541666667</v>
      </c>
      <c r="BG79" s="7" t="n">
        <f aca="false">(BG$50&lt;=Sale_Month)*(BG$50&gt;=$C$45)*$C$39/12*(1+$C$43)^(BG$52-1)</f>
        <v>86507.5541666667</v>
      </c>
      <c r="BH79" s="7" t="n">
        <f aca="false">(BH$50&lt;=Sale_Month)*(BH$50&gt;=$C$45)*$C$39/12*(1+$C$43)^(BH$52-1)</f>
        <v>86507.5541666667</v>
      </c>
      <c r="BI79" s="7" t="n">
        <f aca="false">(BI$50&lt;=Sale_Month)*(BI$50&gt;=$C$45)*$C$39/12*(1+$C$43)^(BI$52-1)</f>
        <v>86507.5541666667</v>
      </c>
      <c r="BJ79" s="7" t="n">
        <f aca="false">(BJ$50&lt;=Sale_Month)*(BJ$50&gt;=$C$45)*$C$39/12*(1+$C$43)^(BJ$52-1)</f>
        <v>86507.5541666667</v>
      </c>
      <c r="BK79" s="7" t="n">
        <f aca="false">(BK$50&lt;=Sale_Month)*(BK$50&gt;=$C$45)*$C$39/12*(1+$C$43)^(BK$52-1)</f>
        <v>86507.5541666667</v>
      </c>
      <c r="BL79" s="7" t="n">
        <f aca="false">(BL$50&lt;=Sale_Month)*(BL$50&gt;=$C$45)*$C$39/12*(1+$C$43)^(BL$52-1)</f>
        <v>86507.5541666667</v>
      </c>
      <c r="BM79" s="7" t="n">
        <f aca="false">(BM$50&lt;=Sale_Month)*(BM$50&gt;=$C$45)*$C$39/12*(1+$C$43)^(BM$52-1)</f>
        <v>86507.5541666667</v>
      </c>
      <c r="BN79" s="7" t="n">
        <f aca="false">(BN$50&lt;=Sale_Month)*(BN$50&gt;=$C$45)*$C$39/12*(1+$C$43)^(BN$52-1)</f>
        <v>86507.5541666667</v>
      </c>
      <c r="BO79" s="7" t="n">
        <f aca="false">(BO$50&lt;=Sale_Month)*(BO$50&gt;=$C$45)*$C$39/12*(1+$C$43)^(BO$52-1)</f>
        <v>86507.5541666667</v>
      </c>
      <c r="BP79" s="7" t="n">
        <f aca="false">(BP$50&lt;=Sale_Month)*(BP$50&gt;=$C$45)*$C$39/12*(1+$C$43)^(BP$52-1)</f>
        <v>89102.7807916667</v>
      </c>
      <c r="BQ79" s="7" t="n">
        <f aca="false">(BQ$50&lt;=Sale_Month)*(BQ$50&gt;=$C$45)*$C$39/12*(1+$C$43)^(BQ$52-1)</f>
        <v>89102.7807916667</v>
      </c>
      <c r="BR79" s="7" t="n">
        <f aca="false">(BR$50&lt;=Sale_Month)*(BR$50&gt;=$C$45)*$C$39/12*(1+$C$43)^(BR$52-1)</f>
        <v>89102.7807916667</v>
      </c>
      <c r="BS79" s="7" t="n">
        <f aca="false">(BS$50&lt;=Sale_Month)*(BS$50&gt;=$C$45)*$C$39/12*(1+$C$43)^(BS$52-1)</f>
        <v>89102.7807916667</v>
      </c>
      <c r="BT79" s="7" t="n">
        <f aca="false">(BT$50&lt;=Sale_Month)*(BT$50&gt;=$C$45)*$C$39/12*(1+$C$43)^(BT$52-1)</f>
        <v>89102.7807916667</v>
      </c>
      <c r="BU79" s="7" t="n">
        <f aca="false">(BU$50&lt;=Sale_Month)*(BU$50&gt;=$C$45)*$C$39/12*(1+$C$43)^(BU$52-1)</f>
        <v>89102.7807916667</v>
      </c>
      <c r="BV79" s="7" t="n">
        <f aca="false">(BV$50&lt;=Sale_Month)*(BV$50&gt;=$C$45)*$C$39/12*(1+$C$43)^(BV$52-1)</f>
        <v>89102.7807916667</v>
      </c>
      <c r="BW79" s="7" t="n">
        <f aca="false">(BW$50&lt;=Sale_Month)*(BW$50&gt;=$C$45)*$C$39/12*(1+$C$43)^(BW$52-1)</f>
        <v>89102.7807916667</v>
      </c>
      <c r="BX79" s="7" t="n">
        <f aca="false">(BX$50&lt;=Sale_Month)*(BX$50&gt;=$C$45)*$C$39/12*(1+$C$43)^(BX$52-1)</f>
        <v>89102.7807916667</v>
      </c>
      <c r="BY79" s="7" t="n">
        <f aca="false">(BY$50&lt;=Sale_Month)*(BY$50&gt;=$C$45)*$C$39/12*(1+$C$43)^(BY$52-1)</f>
        <v>89102.7807916667</v>
      </c>
      <c r="BZ79" s="7" t="n">
        <f aca="false">(BZ$50&lt;=Sale_Month)*(BZ$50&gt;=$C$45)*$C$39/12*(1+$C$43)^(BZ$52-1)</f>
        <v>89102.7807916667</v>
      </c>
      <c r="CA79" s="7" t="n">
        <f aca="false">(CA$50&lt;=Sale_Month)*(CA$50&gt;=$C$45)*$C$39/12*(1+$C$43)^(CA$52-1)</f>
        <v>89102.7807916667</v>
      </c>
      <c r="CB79" s="7" t="n">
        <f aca="false">(CB$50&lt;=Sale_Month)*(CB$50&gt;=$C$45)*$C$39/12*(1+$C$43)^(CB$52-1)</f>
        <v>91775.8642154167</v>
      </c>
      <c r="CC79" s="7" t="n">
        <f aca="false">(CC$50&lt;=Sale_Month)*(CC$50&gt;=$C$45)*$C$39/12*(1+$C$43)^(CC$52-1)</f>
        <v>91775.8642154167</v>
      </c>
      <c r="CD79" s="7" t="n">
        <f aca="false">(CD$50&lt;=Sale_Month)*(CD$50&gt;=$C$45)*$C$39/12*(1+$C$43)^(CD$52-1)</f>
        <v>91775.8642154167</v>
      </c>
      <c r="CE79" s="7" t="n">
        <f aca="false">(CE$50&lt;=Sale_Month)*(CE$50&gt;=$C$45)*$C$39/12*(1+$C$43)^(CE$52-1)</f>
        <v>91775.8642154167</v>
      </c>
      <c r="CF79" s="7" t="n">
        <f aca="false">(CF$50&lt;=Sale_Month)*(CF$50&gt;=$C$45)*$C$39/12*(1+$C$43)^(CF$52-1)</f>
        <v>91775.8642154167</v>
      </c>
      <c r="CG79" s="7" t="n">
        <f aca="false">(CG$50&lt;=Sale_Month)*(CG$50&gt;=$C$45)*$C$39/12*(1+$C$43)^(CG$52-1)</f>
        <v>91775.8642154167</v>
      </c>
      <c r="CH79" s="7" t="n">
        <f aca="false">(CH$50&lt;=Sale_Month)*(CH$50&gt;=$C$45)*$C$39/12*(1+$C$43)^(CH$52-1)</f>
        <v>91775.8642154167</v>
      </c>
      <c r="CI79" s="7" t="n">
        <f aca="false">(CI$50&lt;=Sale_Month)*(CI$50&gt;=$C$45)*$C$39/12*(1+$C$43)^(CI$52-1)</f>
        <v>91775.8642154167</v>
      </c>
      <c r="CJ79" s="7" t="n">
        <f aca="false">(CJ$50&lt;=Sale_Month)*(CJ$50&gt;=$C$45)*$C$39/12*(1+$C$43)^(CJ$52-1)</f>
        <v>91775.8642154167</v>
      </c>
      <c r="CK79" s="7" t="n">
        <f aca="false">(CK$50&lt;=Sale_Month)*(CK$50&gt;=$C$45)*$C$39/12*(1+$C$43)^(CK$52-1)</f>
        <v>91775.8642154167</v>
      </c>
      <c r="CL79" s="7" t="n">
        <f aca="false">(CL$50&lt;=Sale_Month)*(CL$50&gt;=$C$45)*$C$39/12*(1+$C$43)^(CL$52-1)</f>
        <v>91775.8642154167</v>
      </c>
      <c r="CM79" s="7" t="n">
        <f aca="false">(CM$50&lt;=Sale_Month)*(CM$50&gt;=$C$45)*$C$39/12*(1+$C$43)^(CM$52-1)</f>
        <v>91775.8642154167</v>
      </c>
      <c r="CN79" s="7" t="n">
        <f aca="false">(CN$50&lt;=Sale_Month)*(CN$50&gt;=$C$45)*$C$39/12*(1+$C$43)^(CN$52-1)</f>
        <v>0</v>
      </c>
      <c r="CO79" s="7" t="n">
        <f aca="false">(CO$50&lt;=Sale_Month)*(CO$50&gt;=$C$45)*$C$39/12*(1+$C$43)^(CO$52-1)</f>
        <v>0</v>
      </c>
      <c r="CP79" s="7" t="n">
        <f aca="false">(CP$50&lt;=Sale_Month)*(CP$50&gt;=$C$45)*$C$39/12*(1+$C$43)^(CP$52-1)</f>
        <v>0</v>
      </c>
      <c r="CQ79" s="7" t="n">
        <f aca="false">(CQ$50&lt;=Sale_Month)*(CQ$50&gt;=$C$45)*$C$39/12*(1+$C$43)^(CQ$52-1)</f>
        <v>0</v>
      </c>
      <c r="CR79" s="7" t="n">
        <f aca="false">(CR$50&lt;=Sale_Month)*(CR$50&gt;=$C$45)*$C$39/12*(1+$C$43)^(CR$52-1)</f>
        <v>0</v>
      </c>
      <c r="CS79" s="7" t="n">
        <f aca="false">(CS$50&lt;=Sale_Month)*(CS$50&gt;=$C$45)*$C$39/12*(1+$C$43)^(CS$52-1)</f>
        <v>0</v>
      </c>
      <c r="CT79" s="7" t="n">
        <f aca="false">(CT$50&lt;=Sale_Month)*(CT$50&gt;=$C$45)*$C$39/12*(1+$C$43)^(CT$52-1)</f>
        <v>0</v>
      </c>
      <c r="CU79" s="7" t="n">
        <f aca="false">(CU$50&lt;=Sale_Month)*(CU$50&gt;=$C$45)*$C$39/12*(1+$C$43)^(CU$52-1)</f>
        <v>0</v>
      </c>
      <c r="CV79" s="7" t="n">
        <f aca="false">(CV$50&lt;=Sale_Month)*(CV$50&gt;=$C$45)*$C$39/12*(1+$C$43)^(CV$52-1)</f>
        <v>0</v>
      </c>
      <c r="CW79" s="7" t="n">
        <f aca="false">(CW$50&lt;=Sale_Month)*(CW$50&gt;=$C$45)*$C$39/12*(1+$C$43)^(CW$52-1)</f>
        <v>0</v>
      </c>
      <c r="CX79" s="7" t="n">
        <f aca="false">(CX$50&lt;=Sale_Month)*(CX$50&gt;=$C$45)*$C$39/12*(1+$C$43)^(CX$52-1)</f>
        <v>0</v>
      </c>
      <c r="CY79" s="7" t="n">
        <f aca="false">(CY$50&lt;=Sale_Month)*(CY$50&gt;=$C$45)*$C$39/12*(1+$C$43)^(CY$52-1)</f>
        <v>0</v>
      </c>
    </row>
    <row r="80" customFormat="false" ht="15" hidden="false" customHeight="false" outlineLevel="0" collapsed="false">
      <c r="B80" s="0" t="s">
        <v>60</v>
      </c>
      <c r="S80" s="7" t="n">
        <f aca="false">(S$50&lt;=Sale_Month)*(S$50&gt;=$C$45)*$C$40/12*(1+$C$43)^(S$52-1)</f>
        <v>0</v>
      </c>
      <c r="T80" s="7" t="n">
        <f aca="false">(T$50&lt;=Sale_Month)*(T$50&gt;=$C$45)*$C$40/12*(1+$C$43)^(T$52-1)</f>
        <v>0</v>
      </c>
      <c r="U80" s="7" t="n">
        <f aca="false">(U$50&lt;=Sale_Month)*(U$50&gt;=$C$45)*$C$40/12*(1+$C$43)^(U$52-1)</f>
        <v>0</v>
      </c>
      <c r="V80" s="7" t="n">
        <f aca="false">(V$50&lt;=Sale_Month)*(V$50&gt;=$C$45)*$C$40/12*(1+$C$43)^(V$52-1)</f>
        <v>0</v>
      </c>
      <c r="W80" s="7" t="n">
        <f aca="false">(W$50&lt;=Sale_Month)*(W$50&gt;=$C$45)*$C$40/12*(1+$C$43)^(W$52-1)</f>
        <v>0</v>
      </c>
      <c r="X80" s="7" t="n">
        <f aca="false">(X$50&lt;=Sale_Month)*(X$50&gt;=$C$45)*$C$40/12*(1+$C$43)^(X$52-1)</f>
        <v>0</v>
      </c>
      <c r="Y80" s="7" t="n">
        <f aca="false">(Y$50&lt;=Sale_Month)*(Y$50&gt;=$C$45)*$C$40/12*(1+$C$43)^(Y$52-1)</f>
        <v>0</v>
      </c>
      <c r="Z80" s="7" t="n">
        <f aca="false">(Z$50&lt;=Sale_Month)*(Z$50&gt;=$C$45)*$C$40/12*(1+$C$43)^(Z$52-1)</f>
        <v>0</v>
      </c>
      <c r="AA80" s="7" t="n">
        <f aca="false">(AA$50&lt;=Sale_Month)*(AA$50&gt;=$C$45)*$C$40/12*(1+$C$43)^(AA$52-1)</f>
        <v>0</v>
      </c>
      <c r="AB80" s="7" t="n">
        <f aca="false">(AB$50&lt;=Sale_Month)*(AB$50&gt;=$C$45)*$C$40/12*(1+$C$43)^(AB$52-1)</f>
        <v>0</v>
      </c>
      <c r="AC80" s="7" t="n">
        <f aca="false">(AC$50&lt;=Sale_Month)*(AC$50&gt;=$C$45)*$C$40/12*(1+$C$43)^(AC$52-1)</f>
        <v>0</v>
      </c>
      <c r="AD80" s="7" t="n">
        <f aca="false">(AD$50&lt;=Sale_Month)*(AD$50&gt;=$C$45)*$C$40/12*(1+$C$43)^(AD$52-1)</f>
        <v>0</v>
      </c>
      <c r="AE80" s="7" t="n">
        <f aca="false">(AE$50&lt;=Sale_Month)*(AE$50&gt;=$C$45)*$C$40/12*(1+$C$43)^(AE$52-1)</f>
        <v>0</v>
      </c>
      <c r="AF80" s="7" t="n">
        <f aca="false">(AF$50&lt;=Sale_Month)*(AF$50&gt;=$C$45)*$C$40/12*(1+$C$43)^(AF$52-1)</f>
        <v>0</v>
      </c>
      <c r="AG80" s="7" t="n">
        <f aca="false">(AG$50&lt;=Sale_Month)*(AG$50&gt;=$C$45)*$C$40/12*(1+$C$43)^(AG$52-1)</f>
        <v>0</v>
      </c>
      <c r="AH80" s="7" t="n">
        <f aca="false">(AH$50&lt;=Sale_Month)*(AH$50&gt;=$C$45)*$C$40/12*(1+$C$43)^(AH$52-1)</f>
        <v>0</v>
      </c>
      <c r="AI80" s="7" t="n">
        <f aca="false">(AI$50&lt;=Sale_Month)*(AI$50&gt;=$C$45)*$C$40/12*(1+$C$43)^(AI$52-1)</f>
        <v>0</v>
      </c>
      <c r="AJ80" s="7" t="n">
        <f aca="false">(AJ$50&lt;=Sale_Month)*(AJ$50&gt;=$C$45)*$C$40/12*(1+$C$43)^(AJ$52-1)</f>
        <v>0</v>
      </c>
      <c r="AK80" s="7" t="n">
        <f aca="false">(AK$50&lt;=Sale_Month)*(AK$50&gt;=$C$45)*$C$40/12*(1+$C$43)^(AK$52-1)</f>
        <v>0</v>
      </c>
      <c r="AL80" s="7" t="n">
        <f aca="false">(AL$50&lt;=Sale_Month)*(AL$50&gt;=$C$45)*$C$40/12*(1+$C$43)^(AL$52-1)</f>
        <v>0</v>
      </c>
      <c r="AM80" s="7" t="n">
        <f aca="false">(AM$50&lt;=Sale_Month)*(AM$50&gt;=$C$45)*$C$40/12*(1+$C$43)^(AM$52-1)</f>
        <v>55791.6666666667</v>
      </c>
      <c r="AN80" s="7" t="n">
        <f aca="false">(AN$50&lt;=Sale_Month)*(AN$50&gt;=$C$45)*$C$40/12*(1+$C$43)^(AN$52-1)</f>
        <v>55791.6666666667</v>
      </c>
      <c r="AO80" s="7" t="n">
        <f aca="false">(AO$50&lt;=Sale_Month)*(AO$50&gt;=$C$45)*$C$40/12*(1+$C$43)^(AO$52-1)</f>
        <v>55791.6666666667</v>
      </c>
      <c r="AP80" s="7" t="n">
        <f aca="false">(AP$50&lt;=Sale_Month)*(AP$50&gt;=$C$45)*$C$40/12*(1+$C$43)^(AP$52-1)</f>
        <v>55791.6666666667</v>
      </c>
      <c r="AQ80" s="7" t="n">
        <f aca="false">(AQ$50&lt;=Sale_Month)*(AQ$50&gt;=$C$45)*$C$40/12*(1+$C$43)^(AQ$52-1)</f>
        <v>55791.6666666667</v>
      </c>
      <c r="AR80" s="7" t="n">
        <f aca="false">(AR$50&lt;=Sale_Month)*(AR$50&gt;=$C$45)*$C$40/12*(1+$C$43)^(AR$52-1)</f>
        <v>57465.4166666667</v>
      </c>
      <c r="AS80" s="7" t="n">
        <f aca="false">(AS$50&lt;=Sale_Month)*(AS$50&gt;=$C$45)*$C$40/12*(1+$C$43)^(AS$52-1)</f>
        <v>57465.4166666667</v>
      </c>
      <c r="AT80" s="7" t="n">
        <f aca="false">(AT$50&lt;=Sale_Month)*(AT$50&gt;=$C$45)*$C$40/12*(1+$C$43)^(AT$52-1)</f>
        <v>57465.4166666667</v>
      </c>
      <c r="AU80" s="7" t="n">
        <f aca="false">(AU$50&lt;=Sale_Month)*(AU$50&gt;=$C$45)*$C$40/12*(1+$C$43)^(AU$52-1)</f>
        <v>57465.4166666667</v>
      </c>
      <c r="AV80" s="7" t="n">
        <f aca="false">(AV$50&lt;=Sale_Month)*(AV$50&gt;=$C$45)*$C$40/12*(1+$C$43)^(AV$52-1)</f>
        <v>57465.4166666667</v>
      </c>
      <c r="AW80" s="7" t="n">
        <f aca="false">(AW$50&lt;=Sale_Month)*(AW$50&gt;=$C$45)*$C$40/12*(1+$C$43)^(AW$52-1)</f>
        <v>57465.4166666667</v>
      </c>
      <c r="AX80" s="7" t="n">
        <f aca="false">(AX$50&lt;=Sale_Month)*(AX$50&gt;=$C$45)*$C$40/12*(1+$C$43)^(AX$52-1)</f>
        <v>57465.4166666667</v>
      </c>
      <c r="AY80" s="7" t="n">
        <f aca="false">(AY$50&lt;=Sale_Month)*(AY$50&gt;=$C$45)*$C$40/12*(1+$C$43)^(AY$52-1)</f>
        <v>57465.4166666667</v>
      </c>
      <c r="AZ80" s="7" t="n">
        <f aca="false">(AZ$50&lt;=Sale_Month)*(AZ$50&gt;=$C$45)*$C$40/12*(1+$C$43)^(AZ$52-1)</f>
        <v>57465.4166666667</v>
      </c>
      <c r="BA80" s="7" t="n">
        <f aca="false">(BA$50&lt;=Sale_Month)*(BA$50&gt;=$C$45)*$C$40/12*(1+$C$43)^(BA$52-1)</f>
        <v>57465.4166666667</v>
      </c>
      <c r="BB80" s="7" t="n">
        <f aca="false">(BB$50&lt;=Sale_Month)*(BB$50&gt;=$C$45)*$C$40/12*(1+$C$43)^(BB$52-1)</f>
        <v>57465.4166666667</v>
      </c>
      <c r="BC80" s="7" t="n">
        <f aca="false">(BC$50&lt;=Sale_Month)*(BC$50&gt;=$C$45)*$C$40/12*(1+$C$43)^(BC$52-1)</f>
        <v>57465.4166666667</v>
      </c>
      <c r="BD80" s="7" t="n">
        <f aca="false">(BD$50&lt;=Sale_Month)*(BD$50&gt;=$C$45)*$C$40/12*(1+$C$43)^(BD$52-1)</f>
        <v>59189.3791666667</v>
      </c>
      <c r="BE80" s="7" t="n">
        <f aca="false">(BE$50&lt;=Sale_Month)*(BE$50&gt;=$C$45)*$C$40/12*(1+$C$43)^(BE$52-1)</f>
        <v>59189.3791666667</v>
      </c>
      <c r="BF80" s="7" t="n">
        <f aca="false">(BF$50&lt;=Sale_Month)*(BF$50&gt;=$C$45)*$C$40/12*(1+$C$43)^(BF$52-1)</f>
        <v>59189.3791666667</v>
      </c>
      <c r="BG80" s="7" t="n">
        <f aca="false">(BG$50&lt;=Sale_Month)*(BG$50&gt;=$C$45)*$C$40/12*(1+$C$43)^(BG$52-1)</f>
        <v>59189.3791666667</v>
      </c>
      <c r="BH80" s="7" t="n">
        <f aca="false">(BH$50&lt;=Sale_Month)*(BH$50&gt;=$C$45)*$C$40/12*(1+$C$43)^(BH$52-1)</f>
        <v>59189.3791666667</v>
      </c>
      <c r="BI80" s="7" t="n">
        <f aca="false">(BI$50&lt;=Sale_Month)*(BI$50&gt;=$C$45)*$C$40/12*(1+$C$43)^(BI$52-1)</f>
        <v>59189.3791666667</v>
      </c>
      <c r="BJ80" s="7" t="n">
        <f aca="false">(BJ$50&lt;=Sale_Month)*(BJ$50&gt;=$C$45)*$C$40/12*(1+$C$43)^(BJ$52-1)</f>
        <v>59189.3791666667</v>
      </c>
      <c r="BK80" s="7" t="n">
        <f aca="false">(BK$50&lt;=Sale_Month)*(BK$50&gt;=$C$45)*$C$40/12*(1+$C$43)^(BK$52-1)</f>
        <v>59189.3791666667</v>
      </c>
      <c r="BL80" s="7" t="n">
        <f aca="false">(BL$50&lt;=Sale_Month)*(BL$50&gt;=$C$45)*$C$40/12*(1+$C$43)^(BL$52-1)</f>
        <v>59189.3791666667</v>
      </c>
      <c r="BM80" s="7" t="n">
        <f aca="false">(BM$50&lt;=Sale_Month)*(BM$50&gt;=$C$45)*$C$40/12*(1+$C$43)^(BM$52-1)</f>
        <v>59189.3791666667</v>
      </c>
      <c r="BN80" s="7" t="n">
        <f aca="false">(BN$50&lt;=Sale_Month)*(BN$50&gt;=$C$45)*$C$40/12*(1+$C$43)^(BN$52-1)</f>
        <v>59189.3791666667</v>
      </c>
      <c r="BO80" s="7" t="n">
        <f aca="false">(BO$50&lt;=Sale_Month)*(BO$50&gt;=$C$45)*$C$40/12*(1+$C$43)^(BO$52-1)</f>
        <v>59189.3791666667</v>
      </c>
      <c r="BP80" s="7" t="n">
        <f aca="false">(BP$50&lt;=Sale_Month)*(BP$50&gt;=$C$45)*$C$40/12*(1+$C$43)^(BP$52-1)</f>
        <v>60965.0605416667</v>
      </c>
      <c r="BQ80" s="7" t="n">
        <f aca="false">(BQ$50&lt;=Sale_Month)*(BQ$50&gt;=$C$45)*$C$40/12*(1+$C$43)^(BQ$52-1)</f>
        <v>60965.0605416667</v>
      </c>
      <c r="BR80" s="7" t="n">
        <f aca="false">(BR$50&lt;=Sale_Month)*(BR$50&gt;=$C$45)*$C$40/12*(1+$C$43)^(BR$52-1)</f>
        <v>60965.0605416667</v>
      </c>
      <c r="BS80" s="7" t="n">
        <f aca="false">(BS$50&lt;=Sale_Month)*(BS$50&gt;=$C$45)*$C$40/12*(1+$C$43)^(BS$52-1)</f>
        <v>60965.0605416667</v>
      </c>
      <c r="BT80" s="7" t="n">
        <f aca="false">(BT$50&lt;=Sale_Month)*(BT$50&gt;=$C$45)*$C$40/12*(1+$C$43)^(BT$52-1)</f>
        <v>60965.0605416667</v>
      </c>
      <c r="BU80" s="7" t="n">
        <f aca="false">(BU$50&lt;=Sale_Month)*(BU$50&gt;=$C$45)*$C$40/12*(1+$C$43)^(BU$52-1)</f>
        <v>60965.0605416667</v>
      </c>
      <c r="BV80" s="7" t="n">
        <f aca="false">(BV$50&lt;=Sale_Month)*(BV$50&gt;=$C$45)*$C$40/12*(1+$C$43)^(BV$52-1)</f>
        <v>60965.0605416667</v>
      </c>
      <c r="BW80" s="7" t="n">
        <f aca="false">(BW$50&lt;=Sale_Month)*(BW$50&gt;=$C$45)*$C$40/12*(1+$C$43)^(BW$52-1)</f>
        <v>60965.0605416667</v>
      </c>
      <c r="BX80" s="7" t="n">
        <f aca="false">(BX$50&lt;=Sale_Month)*(BX$50&gt;=$C$45)*$C$40/12*(1+$C$43)^(BX$52-1)</f>
        <v>60965.0605416667</v>
      </c>
      <c r="BY80" s="7" t="n">
        <f aca="false">(BY$50&lt;=Sale_Month)*(BY$50&gt;=$C$45)*$C$40/12*(1+$C$43)^(BY$52-1)</f>
        <v>60965.0605416667</v>
      </c>
      <c r="BZ80" s="7" t="n">
        <f aca="false">(BZ$50&lt;=Sale_Month)*(BZ$50&gt;=$C$45)*$C$40/12*(1+$C$43)^(BZ$52-1)</f>
        <v>60965.0605416667</v>
      </c>
      <c r="CA80" s="7" t="n">
        <f aca="false">(CA$50&lt;=Sale_Month)*(CA$50&gt;=$C$45)*$C$40/12*(1+$C$43)^(CA$52-1)</f>
        <v>60965.0605416667</v>
      </c>
      <c r="CB80" s="7" t="n">
        <f aca="false">(CB$50&lt;=Sale_Month)*(CB$50&gt;=$C$45)*$C$40/12*(1+$C$43)^(CB$52-1)</f>
        <v>62794.0123579167</v>
      </c>
      <c r="CC80" s="7" t="n">
        <f aca="false">(CC$50&lt;=Sale_Month)*(CC$50&gt;=$C$45)*$C$40/12*(1+$C$43)^(CC$52-1)</f>
        <v>62794.0123579167</v>
      </c>
      <c r="CD80" s="7" t="n">
        <f aca="false">(CD$50&lt;=Sale_Month)*(CD$50&gt;=$C$45)*$C$40/12*(1+$C$43)^(CD$52-1)</f>
        <v>62794.0123579167</v>
      </c>
      <c r="CE80" s="7" t="n">
        <f aca="false">(CE$50&lt;=Sale_Month)*(CE$50&gt;=$C$45)*$C$40/12*(1+$C$43)^(CE$52-1)</f>
        <v>62794.0123579167</v>
      </c>
      <c r="CF80" s="7" t="n">
        <f aca="false">(CF$50&lt;=Sale_Month)*(CF$50&gt;=$C$45)*$C$40/12*(1+$C$43)^(CF$52-1)</f>
        <v>62794.0123579167</v>
      </c>
      <c r="CG80" s="7" t="n">
        <f aca="false">(CG$50&lt;=Sale_Month)*(CG$50&gt;=$C$45)*$C$40/12*(1+$C$43)^(CG$52-1)</f>
        <v>62794.0123579167</v>
      </c>
      <c r="CH80" s="7" t="n">
        <f aca="false">(CH$50&lt;=Sale_Month)*(CH$50&gt;=$C$45)*$C$40/12*(1+$C$43)^(CH$52-1)</f>
        <v>62794.0123579167</v>
      </c>
      <c r="CI80" s="7" t="n">
        <f aca="false">(CI$50&lt;=Sale_Month)*(CI$50&gt;=$C$45)*$C$40/12*(1+$C$43)^(CI$52-1)</f>
        <v>62794.0123579167</v>
      </c>
      <c r="CJ80" s="7" t="n">
        <f aca="false">(CJ$50&lt;=Sale_Month)*(CJ$50&gt;=$C$45)*$C$40/12*(1+$C$43)^(CJ$52-1)</f>
        <v>62794.0123579167</v>
      </c>
      <c r="CK80" s="7" t="n">
        <f aca="false">(CK$50&lt;=Sale_Month)*(CK$50&gt;=$C$45)*$C$40/12*(1+$C$43)^(CK$52-1)</f>
        <v>62794.0123579167</v>
      </c>
      <c r="CL80" s="7" t="n">
        <f aca="false">(CL$50&lt;=Sale_Month)*(CL$50&gt;=$C$45)*$C$40/12*(1+$C$43)^(CL$52-1)</f>
        <v>62794.0123579167</v>
      </c>
      <c r="CM80" s="7" t="n">
        <f aca="false">(CM$50&lt;=Sale_Month)*(CM$50&gt;=$C$45)*$C$40/12*(1+$C$43)^(CM$52-1)</f>
        <v>62794.0123579167</v>
      </c>
      <c r="CN80" s="7" t="n">
        <f aca="false">(CN$50&lt;=Sale_Month)*(CN$50&gt;=$C$45)*$C$40/12*(1+$C$43)^(CN$52-1)</f>
        <v>0</v>
      </c>
      <c r="CO80" s="7" t="n">
        <f aca="false">(CO$50&lt;=Sale_Month)*(CO$50&gt;=$C$45)*$C$40/12*(1+$C$43)^(CO$52-1)</f>
        <v>0</v>
      </c>
      <c r="CP80" s="7" t="n">
        <f aca="false">(CP$50&lt;=Sale_Month)*(CP$50&gt;=$C$45)*$C$40/12*(1+$C$43)^(CP$52-1)</f>
        <v>0</v>
      </c>
      <c r="CQ80" s="7" t="n">
        <f aca="false">(CQ$50&lt;=Sale_Month)*(CQ$50&gt;=$C$45)*$C$40/12*(1+$C$43)^(CQ$52-1)</f>
        <v>0</v>
      </c>
      <c r="CR80" s="7" t="n">
        <f aca="false">(CR$50&lt;=Sale_Month)*(CR$50&gt;=$C$45)*$C$40/12*(1+$C$43)^(CR$52-1)</f>
        <v>0</v>
      </c>
      <c r="CS80" s="7" t="n">
        <f aca="false">(CS$50&lt;=Sale_Month)*(CS$50&gt;=$C$45)*$C$40/12*(1+$C$43)^(CS$52-1)</f>
        <v>0</v>
      </c>
      <c r="CT80" s="7" t="n">
        <f aca="false">(CT$50&lt;=Sale_Month)*(CT$50&gt;=$C$45)*$C$40/12*(1+$C$43)^(CT$52-1)</f>
        <v>0</v>
      </c>
      <c r="CU80" s="7" t="n">
        <f aca="false">(CU$50&lt;=Sale_Month)*(CU$50&gt;=$C$45)*$C$40/12*(1+$C$43)^(CU$52-1)</f>
        <v>0</v>
      </c>
      <c r="CV80" s="7" t="n">
        <f aca="false">(CV$50&lt;=Sale_Month)*(CV$50&gt;=$C$45)*$C$40/12*(1+$C$43)^(CV$52-1)</f>
        <v>0</v>
      </c>
      <c r="CW80" s="7" t="n">
        <f aca="false">(CW$50&lt;=Sale_Month)*(CW$50&gt;=$C$45)*$C$40/12*(1+$C$43)^(CW$52-1)</f>
        <v>0</v>
      </c>
      <c r="CX80" s="7" t="n">
        <f aca="false">(CX$50&lt;=Sale_Month)*(CX$50&gt;=$C$45)*$C$40/12*(1+$C$43)^(CX$52-1)</f>
        <v>0</v>
      </c>
      <c r="CY80" s="7" t="n">
        <f aca="false">(CY$50&lt;=Sale_Month)*(CY$50&gt;=$C$45)*$C$40/12*(1+$C$43)^(CY$52-1)</f>
        <v>0</v>
      </c>
    </row>
    <row r="81" customFormat="false" ht="15" hidden="false" customHeight="false" outlineLevel="0" collapsed="false">
      <c r="B81" s="0" t="s">
        <v>61</v>
      </c>
      <c r="S81" s="7" t="n">
        <f aca="false">(S$50&lt;=Sale_Month)*(S$50&gt;=$C$45)*$C$41/12*(1+$C$43)^(S$52-1)</f>
        <v>0</v>
      </c>
      <c r="T81" s="7" t="n">
        <f aca="false">(T$50&lt;=Sale_Month)*(T$50&gt;=$C$45)*$C$41/12*(1+$C$43)^(T$52-1)</f>
        <v>0</v>
      </c>
      <c r="U81" s="7" t="n">
        <f aca="false">(U$50&lt;=Sale_Month)*(U$50&gt;=$C$45)*$C$41/12*(1+$C$43)^(U$52-1)</f>
        <v>0</v>
      </c>
      <c r="V81" s="7" t="n">
        <f aca="false">(V$50&lt;=Sale_Month)*(V$50&gt;=$C$45)*$C$41/12*(1+$C$43)^(V$52-1)</f>
        <v>0</v>
      </c>
      <c r="W81" s="7" t="n">
        <f aca="false">(W$50&lt;=Sale_Month)*(W$50&gt;=$C$45)*$C$41/12*(1+$C$43)^(W$52-1)</f>
        <v>0</v>
      </c>
      <c r="X81" s="7" t="n">
        <f aca="false">(X$50&lt;=Sale_Month)*(X$50&gt;=$C$45)*$C$41/12*(1+$C$43)^(X$52-1)</f>
        <v>0</v>
      </c>
      <c r="Y81" s="7" t="n">
        <f aca="false">(Y$50&lt;=Sale_Month)*(Y$50&gt;=$C$45)*$C$41/12*(1+$C$43)^(Y$52-1)</f>
        <v>0</v>
      </c>
      <c r="Z81" s="7" t="n">
        <f aca="false">(Z$50&lt;=Sale_Month)*(Z$50&gt;=$C$45)*$C$41/12*(1+$C$43)^(Z$52-1)</f>
        <v>0</v>
      </c>
      <c r="AA81" s="7" t="n">
        <f aca="false">(AA$50&lt;=Sale_Month)*(AA$50&gt;=$C$45)*$C$41/12*(1+$C$43)^(AA$52-1)</f>
        <v>0</v>
      </c>
      <c r="AB81" s="7" t="n">
        <f aca="false">(AB$50&lt;=Sale_Month)*(AB$50&gt;=$C$45)*$C$41/12*(1+$C$43)^(AB$52-1)</f>
        <v>0</v>
      </c>
      <c r="AC81" s="7" t="n">
        <f aca="false">(AC$50&lt;=Sale_Month)*(AC$50&gt;=$C$45)*$C$41/12*(1+$C$43)^(AC$52-1)</f>
        <v>0</v>
      </c>
      <c r="AD81" s="7" t="n">
        <f aca="false">(AD$50&lt;=Sale_Month)*(AD$50&gt;=$C$45)*$C$41/12*(1+$C$43)^(AD$52-1)</f>
        <v>0</v>
      </c>
      <c r="AE81" s="7" t="n">
        <f aca="false">(AE$50&lt;=Sale_Month)*(AE$50&gt;=$C$45)*$C$41/12*(1+$C$43)^(AE$52-1)</f>
        <v>0</v>
      </c>
      <c r="AF81" s="7" t="n">
        <f aca="false">(AF$50&lt;=Sale_Month)*(AF$50&gt;=$C$45)*$C$41/12*(1+$C$43)^(AF$52-1)</f>
        <v>0</v>
      </c>
      <c r="AG81" s="7" t="n">
        <f aca="false">(AG$50&lt;=Sale_Month)*(AG$50&gt;=$C$45)*$C$41/12*(1+$C$43)^(AG$52-1)</f>
        <v>0</v>
      </c>
      <c r="AH81" s="7" t="n">
        <f aca="false">(AH$50&lt;=Sale_Month)*(AH$50&gt;=$C$45)*$C$41/12*(1+$C$43)^(AH$52-1)</f>
        <v>0</v>
      </c>
      <c r="AI81" s="7" t="n">
        <f aca="false">(AI$50&lt;=Sale_Month)*(AI$50&gt;=$C$45)*$C$41/12*(1+$C$43)^(AI$52-1)</f>
        <v>0</v>
      </c>
      <c r="AJ81" s="7" t="n">
        <f aca="false">(AJ$50&lt;=Sale_Month)*(AJ$50&gt;=$C$45)*$C$41/12*(1+$C$43)^(AJ$52-1)</f>
        <v>0</v>
      </c>
      <c r="AK81" s="7" t="n">
        <f aca="false">(AK$50&lt;=Sale_Month)*(AK$50&gt;=$C$45)*$C$41/12*(1+$C$43)^(AK$52-1)</f>
        <v>0</v>
      </c>
      <c r="AL81" s="7" t="n">
        <f aca="false">(AL$50&lt;=Sale_Month)*(AL$50&gt;=$C$45)*$C$41/12*(1+$C$43)^(AL$52-1)</f>
        <v>0</v>
      </c>
      <c r="AM81" s="7" t="n">
        <f aca="false">(AM$50&lt;=Sale_Month)*(AM$50&gt;=$C$45)*$C$41/12*(1+$C$43)^(AM$52-1)</f>
        <v>163083.333333333</v>
      </c>
      <c r="AN81" s="7" t="n">
        <f aca="false">(AN$50&lt;=Sale_Month)*(AN$50&gt;=$C$45)*$C$41/12*(1+$C$43)^(AN$52-1)</f>
        <v>163083.333333333</v>
      </c>
      <c r="AO81" s="7" t="n">
        <f aca="false">(AO$50&lt;=Sale_Month)*(AO$50&gt;=$C$45)*$C$41/12*(1+$C$43)^(AO$52-1)</f>
        <v>163083.333333333</v>
      </c>
      <c r="AP81" s="7" t="n">
        <f aca="false">(AP$50&lt;=Sale_Month)*(AP$50&gt;=$C$45)*$C$41/12*(1+$C$43)^(AP$52-1)</f>
        <v>163083.333333333</v>
      </c>
      <c r="AQ81" s="7" t="n">
        <f aca="false">(AQ$50&lt;=Sale_Month)*(AQ$50&gt;=$C$45)*$C$41/12*(1+$C$43)^(AQ$52-1)</f>
        <v>163083.333333333</v>
      </c>
      <c r="AR81" s="7" t="n">
        <f aca="false">(AR$50&lt;=Sale_Month)*(AR$50&gt;=$C$45)*$C$41/12*(1+$C$43)^(AR$52-1)</f>
        <v>167975.833333333</v>
      </c>
      <c r="AS81" s="7" t="n">
        <f aca="false">(AS$50&lt;=Sale_Month)*(AS$50&gt;=$C$45)*$C$41/12*(1+$C$43)^(AS$52-1)</f>
        <v>167975.833333333</v>
      </c>
      <c r="AT81" s="7" t="n">
        <f aca="false">(AT$50&lt;=Sale_Month)*(AT$50&gt;=$C$45)*$C$41/12*(1+$C$43)^(AT$52-1)</f>
        <v>167975.833333333</v>
      </c>
      <c r="AU81" s="7" t="n">
        <f aca="false">(AU$50&lt;=Sale_Month)*(AU$50&gt;=$C$45)*$C$41/12*(1+$C$43)^(AU$52-1)</f>
        <v>167975.833333333</v>
      </c>
      <c r="AV81" s="7" t="n">
        <f aca="false">(AV$50&lt;=Sale_Month)*(AV$50&gt;=$C$45)*$C$41/12*(1+$C$43)^(AV$52-1)</f>
        <v>167975.833333333</v>
      </c>
      <c r="AW81" s="7" t="n">
        <f aca="false">(AW$50&lt;=Sale_Month)*(AW$50&gt;=$C$45)*$C$41/12*(1+$C$43)^(AW$52-1)</f>
        <v>167975.833333333</v>
      </c>
      <c r="AX81" s="7" t="n">
        <f aca="false">(AX$50&lt;=Sale_Month)*(AX$50&gt;=$C$45)*$C$41/12*(1+$C$43)^(AX$52-1)</f>
        <v>167975.833333333</v>
      </c>
      <c r="AY81" s="7" t="n">
        <f aca="false">(AY$50&lt;=Sale_Month)*(AY$50&gt;=$C$45)*$C$41/12*(1+$C$43)^(AY$52-1)</f>
        <v>167975.833333333</v>
      </c>
      <c r="AZ81" s="7" t="n">
        <f aca="false">(AZ$50&lt;=Sale_Month)*(AZ$50&gt;=$C$45)*$C$41/12*(1+$C$43)^(AZ$52-1)</f>
        <v>167975.833333333</v>
      </c>
      <c r="BA81" s="7" t="n">
        <f aca="false">(BA$50&lt;=Sale_Month)*(BA$50&gt;=$C$45)*$C$41/12*(1+$C$43)^(BA$52-1)</f>
        <v>167975.833333333</v>
      </c>
      <c r="BB81" s="7" t="n">
        <f aca="false">(BB$50&lt;=Sale_Month)*(BB$50&gt;=$C$45)*$C$41/12*(1+$C$43)^(BB$52-1)</f>
        <v>167975.833333333</v>
      </c>
      <c r="BC81" s="7" t="n">
        <f aca="false">(BC$50&lt;=Sale_Month)*(BC$50&gt;=$C$45)*$C$41/12*(1+$C$43)^(BC$52-1)</f>
        <v>167975.833333333</v>
      </c>
      <c r="BD81" s="7" t="n">
        <f aca="false">(BD$50&lt;=Sale_Month)*(BD$50&gt;=$C$45)*$C$41/12*(1+$C$43)^(BD$52-1)</f>
        <v>173015.108333333</v>
      </c>
      <c r="BE81" s="7" t="n">
        <f aca="false">(BE$50&lt;=Sale_Month)*(BE$50&gt;=$C$45)*$C$41/12*(1+$C$43)^(BE$52-1)</f>
        <v>173015.108333333</v>
      </c>
      <c r="BF81" s="7" t="n">
        <f aca="false">(BF$50&lt;=Sale_Month)*(BF$50&gt;=$C$45)*$C$41/12*(1+$C$43)^(BF$52-1)</f>
        <v>173015.108333333</v>
      </c>
      <c r="BG81" s="7" t="n">
        <f aca="false">(BG$50&lt;=Sale_Month)*(BG$50&gt;=$C$45)*$C$41/12*(1+$C$43)^(BG$52-1)</f>
        <v>173015.108333333</v>
      </c>
      <c r="BH81" s="7" t="n">
        <f aca="false">(BH$50&lt;=Sale_Month)*(BH$50&gt;=$C$45)*$C$41/12*(1+$C$43)^(BH$52-1)</f>
        <v>173015.108333333</v>
      </c>
      <c r="BI81" s="7" t="n">
        <f aca="false">(BI$50&lt;=Sale_Month)*(BI$50&gt;=$C$45)*$C$41/12*(1+$C$43)^(BI$52-1)</f>
        <v>173015.108333333</v>
      </c>
      <c r="BJ81" s="7" t="n">
        <f aca="false">(BJ$50&lt;=Sale_Month)*(BJ$50&gt;=$C$45)*$C$41/12*(1+$C$43)^(BJ$52-1)</f>
        <v>173015.108333333</v>
      </c>
      <c r="BK81" s="7" t="n">
        <f aca="false">(BK$50&lt;=Sale_Month)*(BK$50&gt;=$C$45)*$C$41/12*(1+$C$43)^(BK$52-1)</f>
        <v>173015.108333333</v>
      </c>
      <c r="BL81" s="7" t="n">
        <f aca="false">(BL$50&lt;=Sale_Month)*(BL$50&gt;=$C$45)*$C$41/12*(1+$C$43)^(BL$52-1)</f>
        <v>173015.108333333</v>
      </c>
      <c r="BM81" s="7" t="n">
        <f aca="false">(BM$50&lt;=Sale_Month)*(BM$50&gt;=$C$45)*$C$41/12*(1+$C$43)^(BM$52-1)</f>
        <v>173015.108333333</v>
      </c>
      <c r="BN81" s="7" t="n">
        <f aca="false">(BN$50&lt;=Sale_Month)*(BN$50&gt;=$C$45)*$C$41/12*(1+$C$43)^(BN$52-1)</f>
        <v>173015.108333333</v>
      </c>
      <c r="BO81" s="7" t="n">
        <f aca="false">(BO$50&lt;=Sale_Month)*(BO$50&gt;=$C$45)*$C$41/12*(1+$C$43)^(BO$52-1)</f>
        <v>173015.108333333</v>
      </c>
      <c r="BP81" s="7" t="n">
        <f aca="false">(BP$50&lt;=Sale_Month)*(BP$50&gt;=$C$45)*$C$41/12*(1+$C$43)^(BP$52-1)</f>
        <v>178205.561583333</v>
      </c>
      <c r="BQ81" s="7" t="n">
        <f aca="false">(BQ$50&lt;=Sale_Month)*(BQ$50&gt;=$C$45)*$C$41/12*(1+$C$43)^(BQ$52-1)</f>
        <v>178205.561583333</v>
      </c>
      <c r="BR81" s="7" t="n">
        <f aca="false">(BR$50&lt;=Sale_Month)*(BR$50&gt;=$C$45)*$C$41/12*(1+$C$43)^(BR$52-1)</f>
        <v>178205.561583333</v>
      </c>
      <c r="BS81" s="7" t="n">
        <f aca="false">(BS$50&lt;=Sale_Month)*(BS$50&gt;=$C$45)*$C$41/12*(1+$C$43)^(BS$52-1)</f>
        <v>178205.561583333</v>
      </c>
      <c r="BT81" s="7" t="n">
        <f aca="false">(BT$50&lt;=Sale_Month)*(BT$50&gt;=$C$45)*$C$41/12*(1+$C$43)^(BT$52-1)</f>
        <v>178205.561583333</v>
      </c>
      <c r="BU81" s="7" t="n">
        <f aca="false">(BU$50&lt;=Sale_Month)*(BU$50&gt;=$C$45)*$C$41/12*(1+$C$43)^(BU$52-1)</f>
        <v>178205.561583333</v>
      </c>
      <c r="BV81" s="7" t="n">
        <f aca="false">(BV$50&lt;=Sale_Month)*(BV$50&gt;=$C$45)*$C$41/12*(1+$C$43)^(BV$52-1)</f>
        <v>178205.561583333</v>
      </c>
      <c r="BW81" s="7" t="n">
        <f aca="false">(BW$50&lt;=Sale_Month)*(BW$50&gt;=$C$45)*$C$41/12*(1+$C$43)^(BW$52-1)</f>
        <v>178205.561583333</v>
      </c>
      <c r="BX81" s="7" t="n">
        <f aca="false">(BX$50&lt;=Sale_Month)*(BX$50&gt;=$C$45)*$C$41/12*(1+$C$43)^(BX$52-1)</f>
        <v>178205.561583333</v>
      </c>
      <c r="BY81" s="7" t="n">
        <f aca="false">(BY$50&lt;=Sale_Month)*(BY$50&gt;=$C$45)*$C$41/12*(1+$C$43)^(BY$52-1)</f>
        <v>178205.561583333</v>
      </c>
      <c r="BZ81" s="7" t="n">
        <f aca="false">(BZ$50&lt;=Sale_Month)*(BZ$50&gt;=$C$45)*$C$41/12*(1+$C$43)^(BZ$52-1)</f>
        <v>178205.561583333</v>
      </c>
      <c r="CA81" s="7" t="n">
        <f aca="false">(CA$50&lt;=Sale_Month)*(CA$50&gt;=$C$45)*$C$41/12*(1+$C$43)^(CA$52-1)</f>
        <v>178205.561583333</v>
      </c>
      <c r="CB81" s="7" t="n">
        <f aca="false">(CB$50&lt;=Sale_Month)*(CB$50&gt;=$C$45)*$C$41/12*(1+$C$43)^(CB$52-1)</f>
        <v>183551.728430833</v>
      </c>
      <c r="CC81" s="7" t="n">
        <f aca="false">(CC$50&lt;=Sale_Month)*(CC$50&gt;=$C$45)*$C$41/12*(1+$C$43)^(CC$52-1)</f>
        <v>183551.728430833</v>
      </c>
      <c r="CD81" s="7" t="n">
        <f aca="false">(CD$50&lt;=Sale_Month)*(CD$50&gt;=$C$45)*$C$41/12*(1+$C$43)^(CD$52-1)</f>
        <v>183551.728430833</v>
      </c>
      <c r="CE81" s="7" t="n">
        <f aca="false">(CE$50&lt;=Sale_Month)*(CE$50&gt;=$C$45)*$C$41/12*(1+$C$43)^(CE$52-1)</f>
        <v>183551.728430833</v>
      </c>
      <c r="CF81" s="7" t="n">
        <f aca="false">(CF$50&lt;=Sale_Month)*(CF$50&gt;=$C$45)*$C$41/12*(1+$C$43)^(CF$52-1)</f>
        <v>183551.728430833</v>
      </c>
      <c r="CG81" s="7" t="n">
        <f aca="false">(CG$50&lt;=Sale_Month)*(CG$50&gt;=$C$45)*$C$41/12*(1+$C$43)^(CG$52-1)</f>
        <v>183551.728430833</v>
      </c>
      <c r="CH81" s="7" t="n">
        <f aca="false">(CH$50&lt;=Sale_Month)*(CH$50&gt;=$C$45)*$C$41/12*(1+$C$43)^(CH$52-1)</f>
        <v>183551.728430833</v>
      </c>
      <c r="CI81" s="7" t="n">
        <f aca="false">(CI$50&lt;=Sale_Month)*(CI$50&gt;=$C$45)*$C$41/12*(1+$C$43)^(CI$52-1)</f>
        <v>183551.728430833</v>
      </c>
      <c r="CJ81" s="7" t="n">
        <f aca="false">(CJ$50&lt;=Sale_Month)*(CJ$50&gt;=$C$45)*$C$41/12*(1+$C$43)^(CJ$52-1)</f>
        <v>183551.728430833</v>
      </c>
      <c r="CK81" s="7" t="n">
        <f aca="false">(CK$50&lt;=Sale_Month)*(CK$50&gt;=$C$45)*$C$41/12*(1+$C$43)^(CK$52-1)</f>
        <v>183551.728430833</v>
      </c>
      <c r="CL81" s="7" t="n">
        <f aca="false">(CL$50&lt;=Sale_Month)*(CL$50&gt;=$C$45)*$C$41/12*(1+$C$43)^(CL$52-1)</f>
        <v>183551.728430833</v>
      </c>
      <c r="CM81" s="7" t="n">
        <f aca="false">(CM$50&lt;=Sale_Month)*(CM$50&gt;=$C$45)*$C$41/12*(1+$C$43)^(CM$52-1)</f>
        <v>183551.728430833</v>
      </c>
      <c r="CN81" s="7" t="n">
        <f aca="false">(CN$50&lt;=Sale_Month)*(CN$50&gt;=$C$45)*$C$41/12*(1+$C$43)^(CN$52-1)</f>
        <v>0</v>
      </c>
      <c r="CO81" s="7" t="n">
        <f aca="false">(CO$50&lt;=Sale_Month)*(CO$50&gt;=$C$45)*$C$41/12*(1+$C$43)^(CO$52-1)</f>
        <v>0</v>
      </c>
      <c r="CP81" s="7" t="n">
        <f aca="false">(CP$50&lt;=Sale_Month)*(CP$50&gt;=$C$45)*$C$41/12*(1+$C$43)^(CP$52-1)</f>
        <v>0</v>
      </c>
      <c r="CQ81" s="7" t="n">
        <f aca="false">(CQ$50&lt;=Sale_Month)*(CQ$50&gt;=$C$45)*$C$41/12*(1+$C$43)^(CQ$52-1)</f>
        <v>0</v>
      </c>
      <c r="CR81" s="7" t="n">
        <f aca="false">(CR$50&lt;=Sale_Month)*(CR$50&gt;=$C$45)*$C$41/12*(1+$C$43)^(CR$52-1)</f>
        <v>0</v>
      </c>
      <c r="CS81" s="7" t="n">
        <f aca="false">(CS$50&lt;=Sale_Month)*(CS$50&gt;=$C$45)*$C$41/12*(1+$C$43)^(CS$52-1)</f>
        <v>0</v>
      </c>
      <c r="CT81" s="7" t="n">
        <f aca="false">(CT$50&lt;=Sale_Month)*(CT$50&gt;=$C$45)*$C$41/12*(1+$C$43)^(CT$52-1)</f>
        <v>0</v>
      </c>
      <c r="CU81" s="7" t="n">
        <f aca="false">(CU$50&lt;=Sale_Month)*(CU$50&gt;=$C$45)*$C$41/12*(1+$C$43)^(CU$52-1)</f>
        <v>0</v>
      </c>
      <c r="CV81" s="7" t="n">
        <f aca="false">(CV$50&lt;=Sale_Month)*(CV$50&gt;=$C$45)*$C$41/12*(1+$C$43)^(CV$52-1)</f>
        <v>0</v>
      </c>
      <c r="CW81" s="7" t="n">
        <f aca="false">(CW$50&lt;=Sale_Month)*(CW$50&gt;=$C$45)*$C$41/12*(1+$C$43)^(CW$52-1)</f>
        <v>0</v>
      </c>
      <c r="CX81" s="7" t="n">
        <f aca="false">(CX$50&lt;=Sale_Month)*(CX$50&gt;=$C$45)*$C$41/12*(1+$C$43)^(CX$52-1)</f>
        <v>0</v>
      </c>
      <c r="CY81" s="7" t="n">
        <f aca="false">(CY$50&lt;=Sale_Month)*(CY$50&gt;=$C$45)*$C$41/12*(1+$C$43)^(CY$52-1)</f>
        <v>0</v>
      </c>
    </row>
    <row r="82" customFormat="false" ht="15" hidden="false" customHeight="false" outlineLevel="0" collapsed="false">
      <c r="B82" s="0" t="s">
        <v>62</v>
      </c>
      <c r="S82" s="7" t="n">
        <f aca="false">$C$42*S68</f>
        <v>0</v>
      </c>
      <c r="T82" s="7" t="n">
        <f aca="false">$C$42*T68</f>
        <v>0</v>
      </c>
      <c r="U82" s="7" t="n">
        <f aca="false">$C$42*U68</f>
        <v>0</v>
      </c>
      <c r="V82" s="7" t="n">
        <f aca="false">$C$42*V68</f>
        <v>0</v>
      </c>
      <c r="W82" s="7" t="n">
        <f aca="false">$C$42*W68</f>
        <v>0</v>
      </c>
      <c r="X82" s="7" t="n">
        <f aca="false">$C$42*X68</f>
        <v>0</v>
      </c>
      <c r="Y82" s="7" t="n">
        <f aca="false">$C$42*Y68</f>
        <v>0</v>
      </c>
      <c r="Z82" s="7" t="n">
        <f aca="false">$C$42*Z68</f>
        <v>0</v>
      </c>
      <c r="AA82" s="7" t="n">
        <f aca="false">$C$42*AA68</f>
        <v>0</v>
      </c>
      <c r="AB82" s="7" t="n">
        <f aca="false">$C$42*AB68</f>
        <v>0</v>
      </c>
      <c r="AC82" s="7" t="n">
        <f aca="false">$C$42*AC68</f>
        <v>0</v>
      </c>
      <c r="AD82" s="7" t="n">
        <f aca="false">$C$42*AD68</f>
        <v>0</v>
      </c>
      <c r="AE82" s="7" t="n">
        <f aca="false">$C$42*AE68</f>
        <v>0</v>
      </c>
      <c r="AF82" s="7" t="n">
        <f aca="false">$C$42*AF68</f>
        <v>0</v>
      </c>
      <c r="AG82" s="7" t="n">
        <f aca="false">$C$42*AG68</f>
        <v>0</v>
      </c>
      <c r="AH82" s="7" t="n">
        <f aca="false">$C$42*AH68</f>
        <v>0</v>
      </c>
      <c r="AI82" s="7" t="n">
        <f aca="false">$C$42*AI68</f>
        <v>0</v>
      </c>
      <c r="AJ82" s="7" t="n">
        <f aca="false">$C$42*AJ68</f>
        <v>0</v>
      </c>
      <c r="AK82" s="7" t="n">
        <f aca="false">$C$42*AK68</f>
        <v>0</v>
      </c>
      <c r="AL82" s="7" t="n">
        <f aca="false">$C$42*AL68</f>
        <v>0</v>
      </c>
      <c r="AM82" s="7" t="n">
        <f aca="false">$C$42*AM68</f>
        <v>2560</v>
      </c>
      <c r="AN82" s="7" t="n">
        <f aca="false">$C$42*AN68</f>
        <v>5120</v>
      </c>
      <c r="AO82" s="7" t="n">
        <f aca="false">$C$42*AO68</f>
        <v>8221.66666666667</v>
      </c>
      <c r="AP82" s="7" t="n">
        <f aca="false">$C$42*AP68</f>
        <v>11323.3333333333</v>
      </c>
      <c r="AQ82" s="7" t="n">
        <f aca="false">$C$42*AQ68</f>
        <v>16807.2222222222</v>
      </c>
      <c r="AR82" s="7" t="n">
        <f aca="false">$C$42*AR68</f>
        <v>22291.1111111111</v>
      </c>
      <c r="AS82" s="7" t="n">
        <f aca="false">$C$42*AS68</f>
        <v>28625</v>
      </c>
      <c r="AT82" s="7" t="n">
        <f aca="false">$C$42*AT68</f>
        <v>34958.8888888889</v>
      </c>
      <c r="AU82" s="7" t="n">
        <f aca="false">$C$42*AU68</f>
        <v>41292.7777777778</v>
      </c>
      <c r="AV82" s="7" t="n">
        <f aca="false">$C$42*AV68</f>
        <v>47626.6666666667</v>
      </c>
      <c r="AW82" s="7" t="n">
        <f aca="false">$C$42*AW68</f>
        <v>53960.5555555556</v>
      </c>
      <c r="AX82" s="7" t="n">
        <f aca="false">$C$42*AX68</f>
        <v>60294.4444444444</v>
      </c>
      <c r="AY82" s="7" t="n">
        <f aca="false">$C$42*AY68</f>
        <v>63986.3333333333</v>
      </c>
      <c r="AZ82" s="7" t="n">
        <f aca="false">$C$42*AZ68</f>
        <v>64528</v>
      </c>
      <c r="BA82" s="7" t="n">
        <f aca="false">$C$42*BA68</f>
        <v>65280.9166666667</v>
      </c>
      <c r="BB82" s="7" t="n">
        <f aca="false">$C$42*BB68</f>
        <v>65838.8333333333</v>
      </c>
      <c r="BC82" s="7" t="n">
        <f aca="false">$C$42*BC68</f>
        <v>66932.75</v>
      </c>
      <c r="BD82" s="7" t="n">
        <f aca="false">$C$42*BD68</f>
        <v>67490.6666666667</v>
      </c>
      <c r="BE82" s="7" t="n">
        <f aca="false">$C$42*BE68</f>
        <v>68201.5833333333</v>
      </c>
      <c r="BF82" s="7" t="n">
        <f aca="false">$C$42*BF68</f>
        <v>68759.5</v>
      </c>
      <c r="BG82" s="7" t="n">
        <f aca="false">$C$42*BG68</f>
        <v>68759.5</v>
      </c>
      <c r="BH82" s="7" t="n">
        <f aca="false">$C$42*BH68</f>
        <v>68759.5</v>
      </c>
      <c r="BI82" s="7" t="n">
        <f aca="false">$C$42*BI68</f>
        <v>68759.5</v>
      </c>
      <c r="BJ82" s="7" t="n">
        <f aca="false">$C$42*BJ68</f>
        <v>68759.5</v>
      </c>
      <c r="BK82" s="7" t="n">
        <f aca="false">$C$42*BK68</f>
        <v>69546.7</v>
      </c>
      <c r="BL82" s="7" t="n">
        <f aca="false">$C$42*BL68</f>
        <v>69546.7</v>
      </c>
      <c r="BM82" s="7" t="n">
        <f aca="false">$C$42*BM68</f>
        <v>69847.975</v>
      </c>
      <c r="BN82" s="7" t="n">
        <f aca="false">$C$42*BN68</f>
        <v>69847.975</v>
      </c>
      <c r="BO82" s="7" t="n">
        <f aca="false">$C$42*BO68</f>
        <v>70397.375</v>
      </c>
      <c r="BP82" s="7" t="n">
        <f aca="false">$C$42*BP68</f>
        <v>70397.375</v>
      </c>
      <c r="BQ82" s="7" t="n">
        <f aca="false">$C$42*BQ68</f>
        <v>70554.965</v>
      </c>
      <c r="BR82" s="7" t="n">
        <f aca="false">$C$42*BR68</f>
        <v>70554.965</v>
      </c>
      <c r="BS82" s="7" t="n">
        <f aca="false">$C$42*BS68</f>
        <v>70554.965</v>
      </c>
      <c r="BT82" s="7" t="n">
        <f aca="false">$C$42*BT68</f>
        <v>70554.965</v>
      </c>
      <c r="BU82" s="7" t="n">
        <f aca="false">$C$42*BU68</f>
        <v>70554.965</v>
      </c>
      <c r="BV82" s="7" t="n">
        <f aca="false">$C$42*BV68</f>
        <v>70554.965</v>
      </c>
      <c r="BW82" s="7" t="n">
        <f aca="false">$C$42*BW68</f>
        <v>71361.845</v>
      </c>
      <c r="BX82" s="7" t="n">
        <f aca="false">$C$42*BX68</f>
        <v>71361.845</v>
      </c>
      <c r="BY82" s="7" t="n">
        <f aca="false">$C$42*BY68</f>
        <v>71672.15825</v>
      </c>
      <c r="BZ82" s="7" t="n">
        <f aca="false">$C$42*BZ68</f>
        <v>71672.15825</v>
      </c>
      <c r="CA82" s="7" t="n">
        <f aca="false">$C$42*CA68</f>
        <v>72235.29325</v>
      </c>
      <c r="CB82" s="7" t="n">
        <f aca="false">$C$42*CB68</f>
        <v>72235.29325</v>
      </c>
      <c r="CC82" s="7" t="n">
        <f aca="false">$C$42*CC68</f>
        <v>72397.61095</v>
      </c>
      <c r="CD82" s="7" t="n">
        <f aca="false">$C$42*CD68</f>
        <v>72397.61095</v>
      </c>
      <c r="CE82" s="7" t="n">
        <f aca="false">$C$42*CE68</f>
        <v>72397.61095</v>
      </c>
      <c r="CF82" s="7" t="n">
        <f aca="false">$C$42*CF68</f>
        <v>72397.61095</v>
      </c>
      <c r="CG82" s="7" t="n">
        <f aca="false">$C$42*CG68</f>
        <v>72397.61095</v>
      </c>
      <c r="CH82" s="7" t="n">
        <f aca="false">$C$42*CH68</f>
        <v>72397.61095</v>
      </c>
      <c r="CI82" s="7" t="n">
        <f aca="false">$C$42*CI68</f>
        <v>73224.66295</v>
      </c>
      <c r="CJ82" s="7" t="n">
        <f aca="false">$C$42*CJ68</f>
        <v>73224.66295</v>
      </c>
      <c r="CK82" s="7" t="n">
        <f aca="false">$C$42*CK68</f>
        <v>73544.2855975</v>
      </c>
      <c r="CL82" s="7" t="n">
        <f aca="false">$C$42*CL68</f>
        <v>73544.2855975</v>
      </c>
      <c r="CM82" s="7" t="n">
        <f aca="false">$C$42*CM68</f>
        <v>74121.4989725</v>
      </c>
      <c r="CN82" s="7" t="n">
        <f aca="false">$C$42*CN68</f>
        <v>0</v>
      </c>
      <c r="CO82" s="7" t="n">
        <f aca="false">$C$42*CO68</f>
        <v>0</v>
      </c>
      <c r="CP82" s="7" t="n">
        <f aca="false">$C$42*CP68</f>
        <v>0</v>
      </c>
      <c r="CQ82" s="7" t="n">
        <f aca="false">$C$42*CQ68</f>
        <v>0</v>
      </c>
      <c r="CR82" s="7" t="n">
        <f aca="false">$C$42*CR68</f>
        <v>0</v>
      </c>
      <c r="CS82" s="7" t="n">
        <f aca="false">$C$42*CS68</f>
        <v>0</v>
      </c>
      <c r="CT82" s="7" t="n">
        <f aca="false">$C$42*CT68</f>
        <v>0</v>
      </c>
      <c r="CU82" s="7" t="n">
        <f aca="false">$C$42*CU68</f>
        <v>0</v>
      </c>
      <c r="CV82" s="7" t="n">
        <f aca="false">$C$42*CV68</f>
        <v>0</v>
      </c>
      <c r="CW82" s="7" t="n">
        <f aca="false">$C$42*CW68</f>
        <v>0</v>
      </c>
      <c r="CX82" s="7" t="n">
        <f aca="false">$C$42*CX68</f>
        <v>0</v>
      </c>
      <c r="CY82" s="7" t="n">
        <f aca="false">$C$42*CY68</f>
        <v>0</v>
      </c>
    </row>
    <row r="83" customFormat="false" ht="15" hidden="false" customHeight="false" outlineLevel="0" collapsed="false">
      <c r="B83" s="0" t="s">
        <v>90</v>
      </c>
      <c r="S83" s="7" t="n">
        <f aca="false">S75-S84</f>
        <v>0</v>
      </c>
      <c r="T83" s="7" t="n">
        <f aca="false">T75-T84</f>
        <v>0</v>
      </c>
      <c r="U83" s="7" t="n">
        <f aca="false">U75-U84</f>
        <v>0</v>
      </c>
      <c r="V83" s="7" t="n">
        <f aca="false">V75-V84</f>
        <v>0</v>
      </c>
      <c r="W83" s="7" t="n">
        <f aca="false">W75-W84</f>
        <v>0</v>
      </c>
      <c r="X83" s="7" t="n">
        <f aca="false">X75-X84</f>
        <v>0</v>
      </c>
      <c r="Y83" s="7" t="n">
        <f aca="false">Y75-Y84</f>
        <v>0</v>
      </c>
      <c r="Z83" s="7" t="n">
        <f aca="false">Z75-Z84</f>
        <v>0</v>
      </c>
      <c r="AA83" s="7" t="n">
        <f aca="false">AA75-AA84</f>
        <v>0</v>
      </c>
      <c r="AB83" s="7" t="n">
        <f aca="false">AB75-AB84</f>
        <v>0</v>
      </c>
      <c r="AC83" s="7" t="n">
        <f aca="false">AC75-AC84</f>
        <v>0</v>
      </c>
      <c r="AD83" s="7" t="n">
        <f aca="false">AD75-AD84</f>
        <v>0</v>
      </c>
      <c r="AE83" s="7" t="n">
        <f aca="false">AE75-AE84</f>
        <v>0</v>
      </c>
      <c r="AF83" s="7" t="n">
        <f aca="false">AF75-AF84</f>
        <v>0</v>
      </c>
      <c r="AG83" s="7" t="n">
        <f aca="false">AG75-AG84</f>
        <v>0</v>
      </c>
      <c r="AH83" s="7" t="n">
        <f aca="false">AH75-AH84</f>
        <v>0</v>
      </c>
      <c r="AI83" s="7" t="n">
        <f aca="false">AI75-AI84</f>
        <v>0</v>
      </c>
      <c r="AJ83" s="7" t="n">
        <f aca="false">AJ75-AJ84</f>
        <v>0</v>
      </c>
      <c r="AK83" s="7" t="n">
        <f aca="false">AK75-AK84</f>
        <v>0</v>
      </c>
      <c r="AL83" s="7" t="n">
        <f aca="false">AL75-AL84</f>
        <v>0</v>
      </c>
      <c r="AM83" s="7" t="n">
        <f aca="false">AM75-AM84</f>
        <v>-647775.277777778</v>
      </c>
      <c r="AN83" s="7" t="n">
        <f aca="false">AN75-AN84</f>
        <v>-488717.222222222</v>
      </c>
      <c r="AO83" s="7" t="n">
        <f aca="false">AO75-AO84</f>
        <v>-298448.325617284</v>
      </c>
      <c r="AP83" s="7" t="n">
        <f aca="false">AP75-AP84</f>
        <v>-108179.429012346</v>
      </c>
      <c r="AQ83" s="7" t="n">
        <f aca="false">AQ75-AQ84</f>
        <v>228701.072530864</v>
      </c>
      <c r="AR83" s="7" t="n">
        <f aca="false">AR75-AR84</f>
        <v>549781.087962963</v>
      </c>
      <c r="AS83" s="7" t="n">
        <f aca="false">AS75-AS84</f>
        <v>939013.337191358</v>
      </c>
      <c r="AT83" s="7" t="n">
        <f aca="false">AT75-AT84</f>
        <v>1328245.58641975</v>
      </c>
      <c r="AU83" s="7" t="n">
        <f aca="false">AU75-AU84</f>
        <v>1717477.83564815</v>
      </c>
      <c r="AV83" s="7" t="n">
        <f aca="false">AV75-AV84</f>
        <v>2106710.08487655</v>
      </c>
      <c r="AW83" s="7" t="n">
        <f aca="false">AW75-AW84</f>
        <v>2495942.33410494</v>
      </c>
      <c r="AX83" s="7" t="n">
        <f aca="false">AX75-AX84</f>
        <v>2885174.58333333</v>
      </c>
      <c r="AY83" s="7" t="n">
        <f aca="false">AY75-AY84</f>
        <v>3101665.58603395</v>
      </c>
      <c r="AZ83" s="7" t="n">
        <f aca="false">AZ75-AZ84</f>
        <v>3133016.50231482</v>
      </c>
      <c r="BA83" s="7" t="n">
        <f aca="false">BA75-BA84</f>
        <v>3174718.66859568</v>
      </c>
      <c r="BB83" s="7" t="n">
        <f aca="false">BB75-BB84</f>
        <v>3206865.83487654</v>
      </c>
      <c r="BC83" s="7" t="n">
        <f aca="false">BC75-BC84</f>
        <v>3265277.00115741</v>
      </c>
      <c r="BD83" s="7" t="n">
        <f aca="false">BD75-BD84</f>
        <v>3297135.61246142</v>
      </c>
      <c r="BE83" s="7" t="n">
        <f aca="false">BE75-BE84</f>
        <v>3336924.05623071</v>
      </c>
      <c r="BF83" s="7" t="n">
        <f aca="false">BF75-BF84</f>
        <v>3369215.5</v>
      </c>
      <c r="BG83" s="7" t="n">
        <f aca="false">BG75-BG84</f>
        <v>3369215.5</v>
      </c>
      <c r="BH83" s="7" t="n">
        <f aca="false">BH75-BH84</f>
        <v>3369215.5</v>
      </c>
      <c r="BI83" s="7" t="n">
        <f aca="false">BI75-BI84</f>
        <v>3369215.5</v>
      </c>
      <c r="BJ83" s="7" t="n">
        <f aca="false">BJ75-BJ84</f>
        <v>3369215.5</v>
      </c>
      <c r="BK83" s="7" t="n">
        <f aca="false">BK75-BK84</f>
        <v>3407788.3</v>
      </c>
      <c r="BL83" s="7" t="n">
        <f aca="false">BL75-BL84</f>
        <v>3407788.3</v>
      </c>
      <c r="BM83" s="7" t="n">
        <f aca="false">BM75-BM84</f>
        <v>3422550.775</v>
      </c>
      <c r="BN83" s="7" t="n">
        <f aca="false">BN75-BN84</f>
        <v>3422550.775</v>
      </c>
      <c r="BO83" s="7" t="n">
        <f aca="false">BO75-BO84</f>
        <v>3449471.375</v>
      </c>
      <c r="BP83" s="7" t="n">
        <f aca="false">BP75-BP84</f>
        <v>3449471.375</v>
      </c>
      <c r="BQ83" s="7" t="n">
        <f aca="false">BQ75-BQ84</f>
        <v>3457193.285</v>
      </c>
      <c r="BR83" s="7" t="n">
        <f aca="false">BR75-BR84</f>
        <v>3457193.285</v>
      </c>
      <c r="BS83" s="7" t="n">
        <f aca="false">BS75-BS84</f>
        <v>3457193.285</v>
      </c>
      <c r="BT83" s="7" t="n">
        <f aca="false">BT75-BT84</f>
        <v>3457193.285</v>
      </c>
      <c r="BU83" s="7" t="n">
        <f aca="false">BU75-BU84</f>
        <v>3457193.285</v>
      </c>
      <c r="BV83" s="7" t="n">
        <f aca="false">BV75-BV84</f>
        <v>3457193.285</v>
      </c>
      <c r="BW83" s="7" t="n">
        <f aca="false">BW75-BW84</f>
        <v>3496730.405</v>
      </c>
      <c r="BX83" s="7" t="n">
        <f aca="false">BX75-BX84</f>
        <v>3496730.405</v>
      </c>
      <c r="BY83" s="7" t="n">
        <f aca="false">BY75-BY84</f>
        <v>3511935.75425</v>
      </c>
      <c r="BZ83" s="7" t="n">
        <f aca="false">BZ75-BZ84</f>
        <v>3511935.75425</v>
      </c>
      <c r="CA83" s="7" t="n">
        <f aca="false">CA75-CA84</f>
        <v>3539529.36925</v>
      </c>
      <c r="CB83" s="7" t="n">
        <f aca="false">CB75-CB84</f>
        <v>3539529.36925</v>
      </c>
      <c r="CC83" s="7" t="n">
        <f aca="false">CC75-CC84</f>
        <v>3547482.93655</v>
      </c>
      <c r="CD83" s="7" t="n">
        <f aca="false">CD75-CD84</f>
        <v>3547482.93655</v>
      </c>
      <c r="CE83" s="7" t="n">
        <f aca="false">CE75-CE84</f>
        <v>3547482.93655</v>
      </c>
      <c r="CF83" s="7" t="n">
        <f aca="false">CF75-CF84</f>
        <v>3547482.93655</v>
      </c>
      <c r="CG83" s="7" t="n">
        <f aca="false">CG75-CG84</f>
        <v>3547482.93655</v>
      </c>
      <c r="CH83" s="7" t="n">
        <f aca="false">CH75-CH84</f>
        <v>3547482.93655</v>
      </c>
      <c r="CI83" s="7" t="n">
        <f aca="false">CI75-CI84</f>
        <v>3588008.48455</v>
      </c>
      <c r="CJ83" s="7" t="n">
        <f aca="false">CJ75-CJ84</f>
        <v>3588008.48455</v>
      </c>
      <c r="CK83" s="7" t="n">
        <f aca="false">CK75-CK84</f>
        <v>3603669.9942775</v>
      </c>
      <c r="CL83" s="7" t="n">
        <f aca="false">CL75-CL84</f>
        <v>3603669.9942775</v>
      </c>
      <c r="CM83" s="7" t="n">
        <f aca="false">CM75-CM84</f>
        <v>3631953.4496525</v>
      </c>
      <c r="CN83" s="7" t="n">
        <f aca="false">CN75-CN84</f>
        <v>0</v>
      </c>
      <c r="CO83" s="7" t="n">
        <f aca="false">CO75-CO84</f>
        <v>0</v>
      </c>
      <c r="CP83" s="7" t="n">
        <f aca="false">CP75-CP84</f>
        <v>0</v>
      </c>
      <c r="CQ83" s="7" t="n">
        <f aca="false">CQ75-CQ84</f>
        <v>0</v>
      </c>
      <c r="CR83" s="7" t="n">
        <f aca="false">CR75-CR84</f>
        <v>0</v>
      </c>
      <c r="CS83" s="7" t="n">
        <f aca="false">CS75-CS84</f>
        <v>0</v>
      </c>
      <c r="CT83" s="7" t="n">
        <f aca="false">CT75-CT84</f>
        <v>0</v>
      </c>
      <c r="CU83" s="7" t="n">
        <f aca="false">CU75-CU84</f>
        <v>0</v>
      </c>
      <c r="CV83" s="7" t="n">
        <f aca="false">CV75-CV84</f>
        <v>0</v>
      </c>
      <c r="CW83" s="7" t="n">
        <f aca="false">CW75-CW84</f>
        <v>0</v>
      </c>
      <c r="CX83" s="7" t="n">
        <f aca="false">CX75-CX84</f>
        <v>0</v>
      </c>
      <c r="CY83" s="7" t="n">
        <f aca="false">CY75-CY84</f>
        <v>0</v>
      </c>
    </row>
    <row r="84" customFormat="false" ht="15" hidden="false" customHeight="false" outlineLevel="0" collapsed="false">
      <c r="B84" s="0" t="s">
        <v>91</v>
      </c>
      <c r="S84" s="7" t="n">
        <f aca="false">SUM(S76:S82)</f>
        <v>0</v>
      </c>
      <c r="T84" s="7" t="n">
        <f aca="false">SUM(T76:T82)</f>
        <v>0</v>
      </c>
      <c r="U84" s="7" t="n">
        <f aca="false">SUM(U76:U82)</f>
        <v>0</v>
      </c>
      <c r="V84" s="7" t="n">
        <f aca="false">SUM(V76:V82)</f>
        <v>0</v>
      </c>
      <c r="W84" s="7" t="n">
        <f aca="false">SUM(W76:W82)</f>
        <v>0</v>
      </c>
      <c r="X84" s="7" t="n">
        <f aca="false">SUM(X76:X82)</f>
        <v>0</v>
      </c>
      <c r="Y84" s="7" t="n">
        <f aca="false">SUM(Y76:Y82)</f>
        <v>0</v>
      </c>
      <c r="Z84" s="7" t="n">
        <f aca="false">SUM(Z76:Z82)</f>
        <v>0</v>
      </c>
      <c r="AA84" s="7" t="n">
        <f aca="false">SUM(AA76:AA82)</f>
        <v>0</v>
      </c>
      <c r="AB84" s="7" t="n">
        <f aca="false">SUM(AB76:AB82)</f>
        <v>0</v>
      </c>
      <c r="AC84" s="7" t="n">
        <f aca="false">SUM(AC76:AC82)</f>
        <v>0</v>
      </c>
      <c r="AD84" s="7" t="n">
        <f aca="false">SUM(AD76:AD82)</f>
        <v>0</v>
      </c>
      <c r="AE84" s="7" t="n">
        <f aca="false">SUM(AE76:AE82)</f>
        <v>0</v>
      </c>
      <c r="AF84" s="7" t="n">
        <f aca="false">SUM(AF76:AF82)</f>
        <v>0</v>
      </c>
      <c r="AG84" s="7" t="n">
        <f aca="false">SUM(AG76:AG82)</f>
        <v>0</v>
      </c>
      <c r="AH84" s="7" t="n">
        <f aca="false">SUM(AH76:AH82)</f>
        <v>0</v>
      </c>
      <c r="AI84" s="7" t="n">
        <f aca="false">SUM(AI76:AI82)</f>
        <v>0</v>
      </c>
      <c r="AJ84" s="7" t="n">
        <f aca="false">SUM(AJ76:AJ82)</f>
        <v>0</v>
      </c>
      <c r="AK84" s="7" t="n">
        <f aca="false">SUM(AK76:AK82)</f>
        <v>0</v>
      </c>
      <c r="AL84" s="7" t="n">
        <f aca="false">SUM(AL76:AL82)</f>
        <v>0</v>
      </c>
      <c r="AM84" s="7" t="n">
        <f aca="false">SUM(AM76:AM82)</f>
        <v>908101.666666667</v>
      </c>
      <c r="AN84" s="7" t="n">
        <f aca="false">SUM(AN76:AN82)</f>
        <v>1009370</v>
      </c>
      <c r="AO84" s="7" t="n">
        <f aca="false">SUM(AO76:AO82)</f>
        <v>1124889.49074074</v>
      </c>
      <c r="AP84" s="7" t="n">
        <f aca="false">SUM(AP76:AP82)</f>
        <v>1240408.98148148</v>
      </c>
      <c r="AQ84" s="7" t="n">
        <f aca="false">SUM(AQ76:AQ82)</f>
        <v>1446051.43518519</v>
      </c>
      <c r="AR84" s="7" t="n">
        <f aca="false">SUM(AR76:AR82)</f>
        <v>1700575.97222222</v>
      </c>
      <c r="AS84" s="7" t="n">
        <f aca="false">SUM(AS76:AS82)</f>
        <v>1938490.5787037</v>
      </c>
      <c r="AT84" s="7" t="n">
        <f aca="false">SUM(AT76:AT82)</f>
        <v>2176405.18518519</v>
      </c>
      <c r="AU84" s="7" t="n">
        <f aca="false">SUM(AU76:AU82)</f>
        <v>2414319.79166667</v>
      </c>
      <c r="AV84" s="7" t="n">
        <f aca="false">SUM(AV76:AV82)</f>
        <v>2652234.39814815</v>
      </c>
      <c r="AW84" s="7" t="n">
        <f aca="false">SUM(AW76:AW82)</f>
        <v>2890149.00462963</v>
      </c>
      <c r="AX84" s="7" t="n">
        <f aca="false">SUM(AX76:AX82)</f>
        <v>3128063.61111111</v>
      </c>
      <c r="AY84" s="7" t="n">
        <f aca="false">SUM(AY76:AY82)</f>
        <v>3236249.23842593</v>
      </c>
      <c r="AZ84" s="7" t="n">
        <f aca="false">SUM(AZ76:AZ82)</f>
        <v>3250911.68055556</v>
      </c>
      <c r="BA84" s="7" t="n">
        <f aca="false">SUM(BA76:BA82)</f>
        <v>3265785.37268518</v>
      </c>
      <c r="BB84" s="7" t="n">
        <f aca="false">SUM(BB76:BB82)</f>
        <v>3280464.06481482</v>
      </c>
      <c r="BC84" s="7" t="n">
        <f aca="false">SUM(BC76:BC82)</f>
        <v>3295678.75694444</v>
      </c>
      <c r="BD84" s="7" t="n">
        <f aca="false">SUM(BD76:BD82)</f>
        <v>3407643.4525463</v>
      </c>
      <c r="BE84" s="7" t="n">
        <f aca="false">SUM(BE76:BE82)</f>
        <v>3422898.76793981</v>
      </c>
      <c r="BF84" s="7" t="n">
        <f aca="false">SUM(BF76:BF82)</f>
        <v>3438001.08333333</v>
      </c>
      <c r="BG84" s="7" t="n">
        <f aca="false">SUM(BG76:BG82)</f>
        <v>3438001.08333333</v>
      </c>
      <c r="BH84" s="7" t="n">
        <f aca="false">SUM(BH76:BH82)</f>
        <v>3438001.08333333</v>
      </c>
      <c r="BI84" s="7" t="n">
        <f aca="false">SUM(BI76:BI82)</f>
        <v>3438001.08333333</v>
      </c>
      <c r="BJ84" s="7" t="n">
        <f aca="false">SUM(BJ76:BJ82)</f>
        <v>3438001.08333333</v>
      </c>
      <c r="BK84" s="7" t="n">
        <f aca="false">SUM(BK76:BK82)</f>
        <v>3438788.28333333</v>
      </c>
      <c r="BL84" s="7" t="n">
        <f aca="false">SUM(BL76:BL82)</f>
        <v>3438788.28333333</v>
      </c>
      <c r="BM84" s="7" t="n">
        <f aca="false">SUM(BM76:BM82)</f>
        <v>3439089.55833333</v>
      </c>
      <c r="BN84" s="7" t="n">
        <f aca="false">SUM(BN76:BN82)</f>
        <v>3439089.55833333</v>
      </c>
      <c r="BO84" s="7" t="n">
        <f aca="false">SUM(BO76:BO82)</f>
        <v>3439638.95833333</v>
      </c>
      <c r="BP84" s="7" t="n">
        <f aca="false">SUM(BP76:BP82)</f>
        <v>3540716.20583333</v>
      </c>
      <c r="BQ84" s="7" t="n">
        <f aca="false">SUM(BQ76:BQ82)</f>
        <v>3540873.79583333</v>
      </c>
      <c r="BR84" s="7" t="n">
        <f aca="false">SUM(BR76:BR82)</f>
        <v>3540873.79583333</v>
      </c>
      <c r="BS84" s="7" t="n">
        <f aca="false">SUM(BS76:BS82)</f>
        <v>3540873.79583333</v>
      </c>
      <c r="BT84" s="7" t="n">
        <f aca="false">SUM(BT76:BT82)</f>
        <v>3540873.79583333</v>
      </c>
      <c r="BU84" s="7" t="n">
        <f aca="false">SUM(BU76:BU82)</f>
        <v>3540873.79583333</v>
      </c>
      <c r="BV84" s="7" t="n">
        <f aca="false">SUM(BV76:BV82)</f>
        <v>3540873.79583333</v>
      </c>
      <c r="BW84" s="7" t="n">
        <f aca="false">SUM(BW76:BW82)</f>
        <v>3541680.67583333</v>
      </c>
      <c r="BX84" s="7" t="n">
        <f aca="false">SUM(BX76:BX82)</f>
        <v>3541680.67583333</v>
      </c>
      <c r="BY84" s="7" t="n">
        <f aca="false">SUM(BY76:BY82)</f>
        <v>3541990.98908333</v>
      </c>
      <c r="BZ84" s="7" t="n">
        <f aca="false">SUM(BZ76:BZ82)</f>
        <v>3541990.98908333</v>
      </c>
      <c r="CA84" s="7" t="n">
        <f aca="false">SUM(CA76:CA82)</f>
        <v>3542554.12408333</v>
      </c>
      <c r="CB84" s="7" t="n">
        <f aca="false">SUM(CB76:CB82)</f>
        <v>3646663.68900833</v>
      </c>
      <c r="CC84" s="7" t="n">
        <f aca="false">SUM(CC76:CC82)</f>
        <v>3646826.00670833</v>
      </c>
      <c r="CD84" s="7" t="n">
        <f aca="false">SUM(CD76:CD82)</f>
        <v>3646826.00670833</v>
      </c>
      <c r="CE84" s="7" t="n">
        <f aca="false">SUM(CE76:CE82)</f>
        <v>3646826.00670833</v>
      </c>
      <c r="CF84" s="7" t="n">
        <f aca="false">SUM(CF76:CF82)</f>
        <v>3646826.00670833</v>
      </c>
      <c r="CG84" s="7" t="n">
        <f aca="false">SUM(CG76:CG82)</f>
        <v>3646826.00670833</v>
      </c>
      <c r="CH84" s="7" t="n">
        <f aca="false">SUM(CH76:CH82)</f>
        <v>3646826.00670833</v>
      </c>
      <c r="CI84" s="7" t="n">
        <f aca="false">SUM(CI76:CI82)</f>
        <v>3647653.05870833</v>
      </c>
      <c r="CJ84" s="7" t="n">
        <f aca="false">SUM(CJ76:CJ82)</f>
        <v>3647653.05870833</v>
      </c>
      <c r="CK84" s="7" t="n">
        <f aca="false">SUM(CK76:CK82)</f>
        <v>3647972.68135583</v>
      </c>
      <c r="CL84" s="7" t="n">
        <f aca="false">SUM(CL76:CL82)</f>
        <v>3647972.68135583</v>
      </c>
      <c r="CM84" s="7" t="n">
        <f aca="false">SUM(CM76:CM82)</f>
        <v>3648549.89473083</v>
      </c>
      <c r="CN84" s="7" t="n">
        <f aca="false">SUM(CN76:CN82)</f>
        <v>0</v>
      </c>
      <c r="CO84" s="7" t="n">
        <f aca="false">SUM(CO76:CO82)</f>
        <v>0</v>
      </c>
      <c r="CP84" s="7" t="n">
        <f aca="false">SUM(CP76:CP82)</f>
        <v>0</v>
      </c>
      <c r="CQ84" s="7" t="n">
        <f aca="false">SUM(CQ76:CQ82)</f>
        <v>0</v>
      </c>
      <c r="CR84" s="7" t="n">
        <f aca="false">SUM(CR76:CR82)</f>
        <v>0</v>
      </c>
      <c r="CS84" s="7" t="n">
        <f aca="false">SUM(CS76:CS82)</f>
        <v>0</v>
      </c>
      <c r="CT84" s="7" t="n">
        <f aca="false">SUM(CT76:CT82)</f>
        <v>0</v>
      </c>
      <c r="CU84" s="7" t="n">
        <f aca="false">SUM(CU76:CU82)</f>
        <v>0</v>
      </c>
      <c r="CV84" s="7" t="n">
        <f aca="false">SUM(CV76:CV82)</f>
        <v>0</v>
      </c>
      <c r="CW84" s="7" t="n">
        <f aca="false">SUM(CW76:CW82)</f>
        <v>0</v>
      </c>
      <c r="CX84" s="7" t="n">
        <f aca="false">SUM(CX76:CX82)</f>
        <v>0</v>
      </c>
      <c r="CY84" s="7" t="n">
        <f aca="false">SUM(CY76:CY82)</f>
        <v>0</v>
      </c>
    </row>
    <row r="85" customFormat="false" ht="15" hidden="false" customHeight="false" outlineLevel="0" collapsed="false"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</row>
    <row r="86" customFormat="false" ht="15" hidden="false" customHeight="false" outlineLevel="0" collapsed="false">
      <c r="B86" s="0" t="s">
        <v>92</v>
      </c>
      <c r="S86" s="7" t="n">
        <f aca="false">(S$50=Sale_Month)*Exit_NOI/Exit_Cap</f>
        <v>0</v>
      </c>
      <c r="T86" s="7" t="n">
        <f aca="false">(T$50=Sale_Month)*Exit_NOI/Exit_Cap</f>
        <v>0</v>
      </c>
      <c r="U86" s="7" t="n">
        <f aca="false">(U$50=Sale_Month)*Exit_NOI/Exit_Cap</f>
        <v>0</v>
      </c>
      <c r="V86" s="7" t="n">
        <f aca="false">(V$50=Sale_Month)*Exit_NOI/Exit_Cap</f>
        <v>0</v>
      </c>
      <c r="W86" s="7" t="n">
        <f aca="false">(W$50=Sale_Month)*Exit_NOI/Exit_Cap</f>
        <v>0</v>
      </c>
      <c r="X86" s="7" t="n">
        <f aca="false">(X$50=Sale_Month)*Exit_NOI/Exit_Cap</f>
        <v>0</v>
      </c>
      <c r="Y86" s="7" t="n">
        <f aca="false">(Y$50=Sale_Month)*Exit_NOI/Exit_Cap</f>
        <v>0</v>
      </c>
      <c r="Z86" s="7" t="n">
        <f aca="false">(Z$50=Sale_Month)*Exit_NOI/Exit_Cap</f>
        <v>0</v>
      </c>
      <c r="AA86" s="7" t="n">
        <f aca="false">(AA$50=Sale_Month)*Exit_NOI/Exit_Cap</f>
        <v>0</v>
      </c>
      <c r="AB86" s="7" t="n">
        <f aca="false">(AB$50=Sale_Month)*Exit_NOI/Exit_Cap</f>
        <v>0</v>
      </c>
      <c r="AC86" s="7" t="n">
        <f aca="false">(AC$50=Sale_Month)*Exit_NOI/Exit_Cap</f>
        <v>0</v>
      </c>
      <c r="AD86" s="7" t="n">
        <f aca="false">(AD$50=Sale_Month)*Exit_NOI/Exit_Cap</f>
        <v>0</v>
      </c>
      <c r="AE86" s="7" t="n">
        <f aca="false">(AE$50=Sale_Month)*Exit_NOI/Exit_Cap</f>
        <v>0</v>
      </c>
      <c r="AF86" s="7" t="n">
        <f aca="false">(AF$50=Sale_Month)*Exit_NOI/Exit_Cap</f>
        <v>0</v>
      </c>
      <c r="AG86" s="7" t="n">
        <f aca="false">(AG$50=Sale_Month)*Exit_NOI/Exit_Cap</f>
        <v>0</v>
      </c>
      <c r="AH86" s="7" t="n">
        <f aca="false">(AH$50=Sale_Month)*Exit_NOI/Exit_Cap</f>
        <v>0</v>
      </c>
      <c r="AI86" s="7" t="n">
        <f aca="false">(AI$50=Sale_Month)*Exit_NOI/Exit_Cap</f>
        <v>0</v>
      </c>
      <c r="AJ86" s="7" t="n">
        <f aca="false">(AJ$50=Sale_Month)*Exit_NOI/Exit_Cap</f>
        <v>0</v>
      </c>
      <c r="AK86" s="7" t="n">
        <f aca="false">(AK$50=Sale_Month)*Exit_NOI/Exit_Cap</f>
        <v>0</v>
      </c>
      <c r="AL86" s="7" t="n">
        <f aca="false">(AL$50=Sale_Month)*Exit_NOI/Exit_Cap</f>
        <v>0</v>
      </c>
      <c r="AM86" s="7" t="n">
        <f aca="false">(AM$50=Sale_Month)*Exit_NOI/Exit_Cap</f>
        <v>0</v>
      </c>
      <c r="AN86" s="7" t="n">
        <f aca="false">(AN$50=Sale_Month)*Exit_NOI/Exit_Cap</f>
        <v>0</v>
      </c>
      <c r="AO86" s="7" t="n">
        <f aca="false">(AO$50=Sale_Month)*Exit_NOI/Exit_Cap</f>
        <v>0</v>
      </c>
      <c r="AP86" s="7" t="n">
        <f aca="false">(AP$50=Sale_Month)*Exit_NOI/Exit_Cap</f>
        <v>0</v>
      </c>
      <c r="AQ86" s="7" t="n">
        <f aca="false">(AQ$50=Sale_Month)*Exit_NOI/Exit_Cap</f>
        <v>0</v>
      </c>
      <c r="AR86" s="7" t="n">
        <f aca="false">(AR$50=Sale_Month)*Exit_NOI/Exit_Cap</f>
        <v>0</v>
      </c>
      <c r="AS86" s="7" t="n">
        <f aca="false">(AS$50=Sale_Month)*Exit_NOI/Exit_Cap</f>
        <v>0</v>
      </c>
      <c r="AT86" s="7" t="n">
        <f aca="false">(AT$50=Sale_Month)*Exit_NOI/Exit_Cap</f>
        <v>0</v>
      </c>
      <c r="AU86" s="7" t="n">
        <f aca="false">(AU$50=Sale_Month)*Exit_NOI/Exit_Cap</f>
        <v>0</v>
      </c>
      <c r="AV86" s="7" t="n">
        <f aca="false">(AV$50=Sale_Month)*Exit_NOI/Exit_Cap</f>
        <v>0</v>
      </c>
      <c r="AW86" s="7" t="n">
        <f aca="false">(AW$50=Sale_Month)*Exit_NOI/Exit_Cap</f>
        <v>0</v>
      </c>
      <c r="AX86" s="7" t="n">
        <f aca="false">(AX$50=Sale_Month)*Exit_NOI/Exit_Cap</f>
        <v>0</v>
      </c>
      <c r="AY86" s="7" t="n">
        <f aca="false">(AY$50=Sale_Month)*Exit_NOI/Exit_Cap</f>
        <v>0</v>
      </c>
      <c r="AZ86" s="7" t="n">
        <f aca="false">(AZ$50=Sale_Month)*Exit_NOI/Exit_Cap</f>
        <v>0</v>
      </c>
      <c r="BA86" s="7" t="n">
        <f aca="false">(BA$50=Sale_Month)*Exit_NOI/Exit_Cap</f>
        <v>0</v>
      </c>
      <c r="BB86" s="7" t="n">
        <f aca="false">(BB$50=Sale_Month)*Exit_NOI/Exit_Cap</f>
        <v>0</v>
      </c>
      <c r="BC86" s="7" t="n">
        <f aca="false">(BC$50=Sale_Month)*Exit_NOI/Exit_Cap</f>
        <v>0</v>
      </c>
      <c r="BD86" s="7" t="n">
        <f aca="false">(BD$50=Sale_Month)*Exit_NOI/Exit_Cap</f>
        <v>0</v>
      </c>
      <c r="BE86" s="7" t="n">
        <f aca="false">(BE$50=Sale_Month)*Exit_NOI/Exit_Cap</f>
        <v>0</v>
      </c>
      <c r="BF86" s="7" t="n">
        <f aca="false">(BF$50=Sale_Month)*Exit_NOI/Exit_Cap</f>
        <v>0</v>
      </c>
      <c r="BG86" s="7" t="n">
        <f aca="false">(BG$50=Sale_Month)*Exit_NOI/Exit_Cap</f>
        <v>0</v>
      </c>
      <c r="BH86" s="7" t="n">
        <f aca="false">(BH$50=Sale_Month)*Exit_NOI/Exit_Cap</f>
        <v>0</v>
      </c>
      <c r="BI86" s="7" t="n">
        <f aca="false">(BI$50=Sale_Month)*Exit_NOI/Exit_Cap</f>
        <v>0</v>
      </c>
      <c r="BJ86" s="7" t="n">
        <f aca="false">(BJ$50=Sale_Month)*Exit_NOI/Exit_Cap</f>
        <v>0</v>
      </c>
      <c r="BK86" s="7" t="n">
        <f aca="false">(BK$50=Sale_Month)*Exit_NOI/Exit_Cap</f>
        <v>0</v>
      </c>
      <c r="BL86" s="7" t="n">
        <f aca="false">(BL$50=Sale_Month)*Exit_NOI/Exit_Cap</f>
        <v>0</v>
      </c>
      <c r="BM86" s="7" t="n">
        <f aca="false">(BM$50=Sale_Month)*Exit_NOI/Exit_Cap</f>
        <v>0</v>
      </c>
      <c r="BN86" s="7" t="n">
        <f aca="false">(BN$50=Sale_Month)*Exit_NOI/Exit_Cap</f>
        <v>0</v>
      </c>
      <c r="BO86" s="7" t="n">
        <f aca="false">(BO$50=Sale_Month)*Exit_NOI/Exit_Cap</f>
        <v>0</v>
      </c>
      <c r="BP86" s="7" t="n">
        <f aca="false">(BP$50=Sale_Month)*Exit_NOI/Exit_Cap</f>
        <v>0</v>
      </c>
      <c r="BQ86" s="7" t="n">
        <f aca="false">(BQ$50=Sale_Month)*Exit_NOI/Exit_Cap</f>
        <v>0</v>
      </c>
      <c r="BR86" s="7" t="n">
        <f aca="false">(BR$50=Sale_Month)*Exit_NOI/Exit_Cap</f>
        <v>0</v>
      </c>
      <c r="BS86" s="7" t="n">
        <f aca="false">(BS$50=Sale_Month)*Exit_NOI/Exit_Cap</f>
        <v>0</v>
      </c>
      <c r="BT86" s="7" t="n">
        <f aca="false">(BT$50=Sale_Month)*Exit_NOI/Exit_Cap</f>
        <v>0</v>
      </c>
      <c r="BU86" s="7" t="n">
        <f aca="false">(BU$50=Sale_Month)*Exit_NOI/Exit_Cap</f>
        <v>0</v>
      </c>
      <c r="BV86" s="7" t="n">
        <f aca="false">(BV$50=Sale_Month)*Exit_NOI/Exit_Cap</f>
        <v>0</v>
      </c>
      <c r="BW86" s="7" t="n">
        <f aca="false">(BW$50=Sale_Month)*Exit_NOI/Exit_Cap</f>
        <v>0</v>
      </c>
      <c r="BX86" s="7" t="n">
        <f aca="false">(BX$50=Sale_Month)*Exit_NOI/Exit_Cap</f>
        <v>0</v>
      </c>
      <c r="BY86" s="7" t="n">
        <f aca="false">(BY$50=Sale_Month)*Exit_NOI/Exit_Cap</f>
        <v>0</v>
      </c>
      <c r="BZ86" s="7" t="n">
        <f aca="false">(BZ$50=Sale_Month)*Exit_NOI/Exit_Cap</f>
        <v>0</v>
      </c>
      <c r="CA86" s="7" t="n">
        <f aca="false">(CA$50=Sale_Month)*Exit_NOI/Exit_Cap</f>
        <v>0</v>
      </c>
      <c r="CB86" s="7" t="n">
        <f aca="false">(CB$50=Sale_Month)*Exit_NOI/Exit_Cap</f>
        <v>0</v>
      </c>
      <c r="CC86" s="7" t="n">
        <f aca="false">(CC$50=Sale_Month)*Exit_NOI/Exit_Cap</f>
        <v>0</v>
      </c>
      <c r="CD86" s="7" t="n">
        <f aca="false">(CD$50=Sale_Month)*Exit_NOI/Exit_Cap</f>
        <v>0</v>
      </c>
      <c r="CE86" s="7" t="n">
        <f aca="false">(CE$50=Sale_Month)*Exit_NOI/Exit_Cap</f>
        <v>0</v>
      </c>
      <c r="CF86" s="7" t="n">
        <f aca="false">(CF$50=Sale_Month)*Exit_NOI/Exit_Cap</f>
        <v>0</v>
      </c>
      <c r="CG86" s="7" t="n">
        <f aca="false">(CG$50=Sale_Month)*Exit_NOI/Exit_Cap</f>
        <v>0</v>
      </c>
      <c r="CH86" s="7" t="n">
        <f aca="false">(CH$50=Sale_Month)*Exit_NOI/Exit_Cap</f>
        <v>0</v>
      </c>
      <c r="CI86" s="7" t="n">
        <f aca="false">(CI$50=Sale_Month)*Exit_NOI/Exit_Cap</f>
        <v>0</v>
      </c>
      <c r="CJ86" s="7" t="n">
        <f aca="false">(CJ$50=Sale_Month)*Exit_NOI/Exit_Cap</f>
        <v>0</v>
      </c>
      <c r="CK86" s="7" t="n">
        <f aca="false">(CK$50=Sale_Month)*Exit_NOI/Exit_Cap</f>
        <v>0</v>
      </c>
      <c r="CL86" s="7" t="n">
        <f aca="false">(CL$50=Sale_Month)*Exit_NOI/Exit_Cap</f>
        <v>0</v>
      </c>
      <c r="CM86" s="7" t="n">
        <f aca="false">(CM$50=Sale_Month)*Exit_NOI/Exit_Cap</f>
        <v>702571693.292063</v>
      </c>
      <c r="CN86" s="7" t="n">
        <f aca="false">(CN$50=Sale_Month)*Exit_NOI/Exit_Cap</f>
        <v>0</v>
      </c>
      <c r="CO86" s="7" t="n">
        <f aca="false">(CO$50=Sale_Month)*Exit_NOI/Exit_Cap</f>
        <v>0</v>
      </c>
      <c r="CP86" s="7" t="n">
        <f aca="false">(CP$50=Sale_Month)*Exit_NOI/Exit_Cap</f>
        <v>0</v>
      </c>
      <c r="CQ86" s="7" t="n">
        <f aca="false">(CQ$50=Sale_Month)*Exit_NOI/Exit_Cap</f>
        <v>0</v>
      </c>
      <c r="CR86" s="7" t="n">
        <f aca="false">(CR$50=Sale_Month)*Exit_NOI/Exit_Cap</f>
        <v>0</v>
      </c>
      <c r="CS86" s="7" t="n">
        <f aca="false">(CS$50=Sale_Month)*Exit_NOI/Exit_Cap</f>
        <v>0</v>
      </c>
      <c r="CT86" s="7" t="n">
        <f aca="false">(CT$50=Sale_Month)*Exit_NOI/Exit_Cap</f>
        <v>0</v>
      </c>
      <c r="CU86" s="7" t="n">
        <f aca="false">(CU$50=Sale_Month)*Exit_NOI/Exit_Cap</f>
        <v>0</v>
      </c>
      <c r="CV86" s="7" t="n">
        <f aca="false">(CV$50=Sale_Month)*Exit_NOI/Exit_Cap</f>
        <v>0</v>
      </c>
      <c r="CW86" s="7" t="n">
        <f aca="false">(CW$50=Sale_Month)*Exit_NOI/Exit_Cap</f>
        <v>0</v>
      </c>
      <c r="CX86" s="7" t="n">
        <f aca="false">(CX$50=Sale_Month)*Exit_NOI/Exit_Cap</f>
        <v>0</v>
      </c>
      <c r="CY86" s="7" t="n">
        <f aca="false">(CY$50=Sale_Month)*Exit_NOI/Exit_Cap</f>
        <v>0</v>
      </c>
    </row>
    <row r="87" customFormat="false" ht="15" hidden="false" customHeight="false" outlineLevel="0" collapsed="false">
      <c r="B87" s="0" t="s">
        <v>69</v>
      </c>
      <c r="S87" s="7" t="n">
        <f aca="false">-S86*$C$49</f>
        <v>-0</v>
      </c>
      <c r="T87" s="7" t="n">
        <f aca="false">-T86*$C$49</f>
        <v>-0</v>
      </c>
      <c r="U87" s="7" t="n">
        <f aca="false">-U86*$C$49</f>
        <v>-0</v>
      </c>
      <c r="V87" s="7" t="n">
        <f aca="false">-V86*$C$49</f>
        <v>-0</v>
      </c>
      <c r="W87" s="7" t="n">
        <f aca="false">-W86*$C$49</f>
        <v>-0</v>
      </c>
      <c r="X87" s="7" t="n">
        <f aca="false">-X86*$C$49</f>
        <v>-0</v>
      </c>
      <c r="Y87" s="7" t="n">
        <f aca="false">-Y86*$C$49</f>
        <v>-0</v>
      </c>
      <c r="Z87" s="7" t="n">
        <f aca="false">-Z86*$C$49</f>
        <v>-0</v>
      </c>
      <c r="AA87" s="7" t="n">
        <f aca="false">-AA86*$C$49</f>
        <v>-0</v>
      </c>
      <c r="AB87" s="7" t="n">
        <f aca="false">-AB86*$C$49</f>
        <v>-0</v>
      </c>
      <c r="AC87" s="7" t="n">
        <f aca="false">-AC86*$C$49</f>
        <v>-0</v>
      </c>
      <c r="AD87" s="7" t="n">
        <f aca="false">-AD86*$C$49</f>
        <v>-0</v>
      </c>
      <c r="AE87" s="7" t="n">
        <f aca="false">-AE86*$C$49</f>
        <v>-0</v>
      </c>
      <c r="AF87" s="7" t="n">
        <f aca="false">-AF86*$C$49</f>
        <v>-0</v>
      </c>
      <c r="AG87" s="7" t="n">
        <f aca="false">-AG86*$C$49</f>
        <v>-0</v>
      </c>
      <c r="AH87" s="7" t="n">
        <f aca="false">-AH86*$C$49</f>
        <v>-0</v>
      </c>
      <c r="AI87" s="7" t="n">
        <f aca="false">-AI86*$C$49</f>
        <v>-0</v>
      </c>
      <c r="AJ87" s="7" t="n">
        <f aca="false">-AJ86*$C$49</f>
        <v>-0</v>
      </c>
      <c r="AK87" s="7" t="n">
        <f aca="false">-AK86*$C$49</f>
        <v>-0</v>
      </c>
      <c r="AL87" s="7" t="n">
        <f aca="false">-AL86*$C$49</f>
        <v>-0</v>
      </c>
      <c r="AM87" s="7" t="n">
        <f aca="false">-AM86*$C$49</f>
        <v>-0</v>
      </c>
      <c r="AN87" s="7" t="n">
        <f aca="false">-AN86*$C$49</f>
        <v>-0</v>
      </c>
      <c r="AO87" s="7" t="n">
        <f aca="false">-AO86*$C$49</f>
        <v>-0</v>
      </c>
      <c r="AP87" s="7" t="n">
        <f aca="false">-AP86*$C$49</f>
        <v>-0</v>
      </c>
      <c r="AQ87" s="7" t="n">
        <f aca="false">-AQ86*$C$49</f>
        <v>-0</v>
      </c>
      <c r="AR87" s="7" t="n">
        <f aca="false">-AR86*$C$49</f>
        <v>-0</v>
      </c>
      <c r="AS87" s="7" t="n">
        <f aca="false">-AS86*$C$49</f>
        <v>-0</v>
      </c>
      <c r="AT87" s="7" t="n">
        <f aca="false">-AT86*$C$49</f>
        <v>-0</v>
      </c>
      <c r="AU87" s="7" t="n">
        <f aca="false">-AU86*$C$49</f>
        <v>-0</v>
      </c>
      <c r="AV87" s="7" t="n">
        <f aca="false">-AV86*$C$49</f>
        <v>-0</v>
      </c>
      <c r="AW87" s="7" t="n">
        <f aca="false">-AW86*$C$49</f>
        <v>-0</v>
      </c>
      <c r="AX87" s="7" t="n">
        <f aca="false">-AX86*$C$49</f>
        <v>-0</v>
      </c>
      <c r="AY87" s="7" t="n">
        <f aca="false">-AY86*$C$49</f>
        <v>-0</v>
      </c>
      <c r="AZ87" s="7" t="n">
        <f aca="false">-AZ86*$C$49</f>
        <v>-0</v>
      </c>
      <c r="BA87" s="7" t="n">
        <f aca="false">-BA86*$C$49</f>
        <v>-0</v>
      </c>
      <c r="BB87" s="7" t="n">
        <f aca="false">-BB86*$C$49</f>
        <v>-0</v>
      </c>
      <c r="BC87" s="7" t="n">
        <f aca="false">-BC86*$C$49</f>
        <v>-0</v>
      </c>
      <c r="BD87" s="7" t="n">
        <f aca="false">-BD86*$C$49</f>
        <v>-0</v>
      </c>
      <c r="BE87" s="7" t="n">
        <f aca="false">-BE86*$C$49</f>
        <v>-0</v>
      </c>
      <c r="BF87" s="7" t="n">
        <f aca="false">-BF86*$C$49</f>
        <v>-0</v>
      </c>
      <c r="BG87" s="7" t="n">
        <f aca="false">-BG86*$C$49</f>
        <v>-0</v>
      </c>
      <c r="BH87" s="7" t="n">
        <f aca="false">-BH86*$C$49</f>
        <v>-0</v>
      </c>
      <c r="BI87" s="7" t="n">
        <f aca="false">-BI86*$C$49</f>
        <v>-0</v>
      </c>
      <c r="BJ87" s="7" t="n">
        <f aca="false">-BJ86*$C$49</f>
        <v>-0</v>
      </c>
      <c r="BK87" s="7" t="n">
        <f aca="false">-BK86*$C$49</f>
        <v>-0</v>
      </c>
      <c r="BL87" s="7" t="n">
        <f aca="false">-BL86*$C$49</f>
        <v>-0</v>
      </c>
      <c r="BM87" s="7" t="n">
        <f aca="false">-BM86*$C$49</f>
        <v>-0</v>
      </c>
      <c r="BN87" s="7" t="n">
        <f aca="false">-BN86*$C$49</f>
        <v>-0</v>
      </c>
      <c r="BO87" s="7" t="n">
        <f aca="false">-BO86*$C$49</f>
        <v>-0</v>
      </c>
      <c r="BP87" s="7" t="n">
        <f aca="false">-BP86*$C$49</f>
        <v>-0</v>
      </c>
      <c r="BQ87" s="7" t="n">
        <f aca="false">-BQ86*$C$49</f>
        <v>-0</v>
      </c>
      <c r="BR87" s="7" t="n">
        <f aca="false">-BR86*$C$49</f>
        <v>-0</v>
      </c>
      <c r="BS87" s="7" t="n">
        <f aca="false">-BS86*$C$49</f>
        <v>-0</v>
      </c>
      <c r="BT87" s="7" t="n">
        <f aca="false">-BT86*$C$49</f>
        <v>-0</v>
      </c>
      <c r="BU87" s="7" t="n">
        <f aca="false">-BU86*$C$49</f>
        <v>-0</v>
      </c>
      <c r="BV87" s="7" t="n">
        <f aca="false">-BV86*$C$49</f>
        <v>-0</v>
      </c>
      <c r="BW87" s="7" t="n">
        <f aca="false">-BW86*$C$49</f>
        <v>-0</v>
      </c>
      <c r="BX87" s="7" t="n">
        <f aca="false">-BX86*$C$49</f>
        <v>-0</v>
      </c>
      <c r="BY87" s="7" t="n">
        <f aca="false">-BY86*$C$49</f>
        <v>-0</v>
      </c>
      <c r="BZ87" s="7" t="n">
        <f aca="false">-BZ86*$C$49</f>
        <v>-0</v>
      </c>
      <c r="CA87" s="7" t="n">
        <f aca="false">-CA86*$C$49</f>
        <v>-0</v>
      </c>
      <c r="CB87" s="7" t="n">
        <f aca="false">-CB86*$C$49</f>
        <v>-0</v>
      </c>
      <c r="CC87" s="7" t="n">
        <f aca="false">-CC86*$C$49</f>
        <v>-0</v>
      </c>
      <c r="CD87" s="7" t="n">
        <f aca="false">-CD86*$C$49</f>
        <v>-0</v>
      </c>
      <c r="CE87" s="7" t="n">
        <f aca="false">-CE86*$C$49</f>
        <v>-0</v>
      </c>
      <c r="CF87" s="7" t="n">
        <f aca="false">-CF86*$C$49</f>
        <v>-0</v>
      </c>
      <c r="CG87" s="7" t="n">
        <f aca="false">-CG86*$C$49</f>
        <v>-0</v>
      </c>
      <c r="CH87" s="7" t="n">
        <f aca="false">-CH86*$C$49</f>
        <v>-0</v>
      </c>
      <c r="CI87" s="7" t="n">
        <f aca="false">-CI86*$C$49</f>
        <v>-0</v>
      </c>
      <c r="CJ87" s="7" t="n">
        <f aca="false">-CJ86*$C$49</f>
        <v>-0</v>
      </c>
      <c r="CK87" s="7" t="n">
        <f aca="false">-CK86*$C$49</f>
        <v>-0</v>
      </c>
      <c r="CL87" s="7" t="n">
        <f aca="false">-CL86*$C$49</f>
        <v>-0</v>
      </c>
      <c r="CM87" s="7" t="n">
        <f aca="false">-CM86*$C$49</f>
        <v>-14051433.8658413</v>
      </c>
      <c r="CN87" s="7" t="n">
        <f aca="false">-CN86*$C$49</f>
        <v>-0</v>
      </c>
      <c r="CO87" s="7" t="n">
        <f aca="false">-CO86*$C$49</f>
        <v>-0</v>
      </c>
      <c r="CP87" s="7" t="n">
        <f aca="false">-CP86*$C$49</f>
        <v>-0</v>
      </c>
      <c r="CQ87" s="7" t="n">
        <f aca="false">-CQ86*$C$49</f>
        <v>-0</v>
      </c>
      <c r="CR87" s="7" t="n">
        <f aca="false">-CR86*$C$49</f>
        <v>-0</v>
      </c>
      <c r="CS87" s="7" t="n">
        <f aca="false">-CS86*$C$49</f>
        <v>-0</v>
      </c>
      <c r="CT87" s="7" t="n">
        <f aca="false">-CT86*$C$49</f>
        <v>-0</v>
      </c>
      <c r="CU87" s="7" t="n">
        <f aca="false">-CU86*$C$49</f>
        <v>-0</v>
      </c>
      <c r="CV87" s="7" t="n">
        <f aca="false">-CV86*$C$49</f>
        <v>-0</v>
      </c>
      <c r="CW87" s="7" t="n">
        <f aca="false">-CW86*$C$49</f>
        <v>-0</v>
      </c>
      <c r="CX87" s="7" t="n">
        <f aca="false">-CX86*$C$49</f>
        <v>-0</v>
      </c>
      <c r="CY87" s="7" t="n">
        <f aca="false">-CY86*$C$49</f>
        <v>-0</v>
      </c>
    </row>
    <row r="88" customFormat="false" ht="15" hidden="false" customHeight="false" outlineLevel="0" collapsed="false">
      <c r="B88" s="0" t="s">
        <v>93</v>
      </c>
      <c r="S88" s="7" t="n">
        <f aca="false">S86+S87</f>
        <v>0</v>
      </c>
      <c r="T88" s="7" t="n">
        <f aca="false">T86+T87</f>
        <v>0</v>
      </c>
      <c r="U88" s="7" t="n">
        <f aca="false">U86+U87</f>
        <v>0</v>
      </c>
      <c r="V88" s="7" t="n">
        <f aca="false">V86+V87</f>
        <v>0</v>
      </c>
      <c r="W88" s="7" t="n">
        <f aca="false">W86+W87</f>
        <v>0</v>
      </c>
      <c r="X88" s="7" t="n">
        <f aca="false">X86+X87</f>
        <v>0</v>
      </c>
      <c r="Y88" s="7" t="n">
        <f aca="false">Y86+Y87</f>
        <v>0</v>
      </c>
      <c r="Z88" s="7" t="n">
        <f aca="false">Z86+Z87</f>
        <v>0</v>
      </c>
      <c r="AA88" s="7" t="n">
        <f aca="false">AA86+AA87</f>
        <v>0</v>
      </c>
      <c r="AB88" s="7" t="n">
        <f aca="false">AB86+AB87</f>
        <v>0</v>
      </c>
      <c r="AC88" s="7" t="n">
        <f aca="false">AC86+AC87</f>
        <v>0</v>
      </c>
      <c r="AD88" s="7" t="n">
        <f aca="false">AD86+AD87</f>
        <v>0</v>
      </c>
      <c r="AE88" s="7" t="n">
        <f aca="false">AE86+AE87</f>
        <v>0</v>
      </c>
      <c r="AF88" s="7" t="n">
        <f aca="false">AF86+AF87</f>
        <v>0</v>
      </c>
      <c r="AG88" s="7" t="n">
        <f aca="false">AG86+AG87</f>
        <v>0</v>
      </c>
      <c r="AH88" s="7" t="n">
        <f aca="false">AH86+AH87</f>
        <v>0</v>
      </c>
      <c r="AI88" s="7" t="n">
        <f aca="false">AI86+AI87</f>
        <v>0</v>
      </c>
      <c r="AJ88" s="7" t="n">
        <f aca="false">AJ86+AJ87</f>
        <v>0</v>
      </c>
      <c r="AK88" s="7" t="n">
        <f aca="false">AK86+AK87</f>
        <v>0</v>
      </c>
      <c r="AL88" s="7" t="n">
        <f aca="false">AL86+AL87</f>
        <v>0</v>
      </c>
      <c r="AM88" s="7" t="n">
        <f aca="false">AM86+AM87</f>
        <v>0</v>
      </c>
      <c r="AN88" s="7" t="n">
        <f aca="false">AN86+AN87</f>
        <v>0</v>
      </c>
      <c r="AO88" s="7" t="n">
        <f aca="false">AO86+AO87</f>
        <v>0</v>
      </c>
      <c r="AP88" s="7" t="n">
        <f aca="false">AP86+AP87</f>
        <v>0</v>
      </c>
      <c r="AQ88" s="7" t="n">
        <f aca="false">AQ86+AQ87</f>
        <v>0</v>
      </c>
      <c r="AR88" s="7" t="n">
        <f aca="false">AR86+AR87</f>
        <v>0</v>
      </c>
      <c r="AS88" s="7" t="n">
        <f aca="false">AS86+AS87</f>
        <v>0</v>
      </c>
      <c r="AT88" s="7" t="n">
        <f aca="false">AT86+AT87</f>
        <v>0</v>
      </c>
      <c r="AU88" s="7" t="n">
        <f aca="false">AU86+AU87</f>
        <v>0</v>
      </c>
      <c r="AV88" s="7" t="n">
        <f aca="false">AV86+AV87</f>
        <v>0</v>
      </c>
      <c r="AW88" s="7" t="n">
        <f aca="false">AW86+AW87</f>
        <v>0</v>
      </c>
      <c r="AX88" s="7" t="n">
        <f aca="false">AX86+AX87</f>
        <v>0</v>
      </c>
      <c r="AY88" s="7" t="n">
        <f aca="false">AY86+AY87</f>
        <v>0</v>
      </c>
      <c r="AZ88" s="7" t="n">
        <f aca="false">AZ86+AZ87</f>
        <v>0</v>
      </c>
      <c r="BA88" s="7" t="n">
        <f aca="false">BA86+BA87</f>
        <v>0</v>
      </c>
      <c r="BB88" s="7" t="n">
        <f aca="false">BB86+BB87</f>
        <v>0</v>
      </c>
      <c r="BC88" s="7" t="n">
        <f aca="false">BC86+BC87</f>
        <v>0</v>
      </c>
      <c r="BD88" s="7" t="n">
        <f aca="false">BD86+BD87</f>
        <v>0</v>
      </c>
      <c r="BE88" s="7" t="n">
        <f aca="false">BE86+BE87</f>
        <v>0</v>
      </c>
      <c r="BF88" s="7" t="n">
        <f aca="false">BF86+BF87</f>
        <v>0</v>
      </c>
      <c r="BG88" s="7" t="n">
        <f aca="false">BG86+BG87</f>
        <v>0</v>
      </c>
      <c r="BH88" s="7" t="n">
        <f aca="false">BH86+BH87</f>
        <v>0</v>
      </c>
      <c r="BI88" s="7" t="n">
        <f aca="false">BI86+BI87</f>
        <v>0</v>
      </c>
      <c r="BJ88" s="7" t="n">
        <f aca="false">BJ86+BJ87</f>
        <v>0</v>
      </c>
      <c r="BK88" s="7" t="n">
        <f aca="false">BK86+BK87</f>
        <v>0</v>
      </c>
      <c r="BL88" s="7" t="n">
        <f aca="false">BL86+BL87</f>
        <v>0</v>
      </c>
      <c r="BM88" s="7" t="n">
        <f aca="false">BM86+BM87</f>
        <v>0</v>
      </c>
      <c r="BN88" s="7" t="n">
        <f aca="false">BN86+BN87</f>
        <v>0</v>
      </c>
      <c r="BO88" s="7" t="n">
        <f aca="false">BO86+BO87</f>
        <v>0</v>
      </c>
      <c r="BP88" s="7" t="n">
        <f aca="false">BP86+BP87</f>
        <v>0</v>
      </c>
      <c r="BQ88" s="7" t="n">
        <f aca="false">BQ86+BQ87</f>
        <v>0</v>
      </c>
      <c r="BR88" s="7" t="n">
        <f aca="false">BR86+BR87</f>
        <v>0</v>
      </c>
      <c r="BS88" s="7" t="n">
        <f aca="false">BS86+BS87</f>
        <v>0</v>
      </c>
      <c r="BT88" s="7" t="n">
        <f aca="false">BT86+BT87</f>
        <v>0</v>
      </c>
      <c r="BU88" s="7" t="n">
        <f aca="false">BU86+BU87</f>
        <v>0</v>
      </c>
      <c r="BV88" s="7" t="n">
        <f aca="false">BV86+BV87</f>
        <v>0</v>
      </c>
      <c r="BW88" s="7" t="n">
        <f aca="false">BW86+BW87</f>
        <v>0</v>
      </c>
      <c r="BX88" s="7" t="n">
        <f aca="false">BX86+BX87</f>
        <v>0</v>
      </c>
      <c r="BY88" s="7" t="n">
        <f aca="false">BY86+BY87</f>
        <v>0</v>
      </c>
      <c r="BZ88" s="7" t="n">
        <f aca="false">BZ86+BZ87</f>
        <v>0</v>
      </c>
      <c r="CA88" s="7" t="n">
        <f aca="false">CA86+CA87</f>
        <v>0</v>
      </c>
      <c r="CB88" s="7" t="n">
        <f aca="false">CB86+CB87</f>
        <v>0</v>
      </c>
      <c r="CC88" s="7" t="n">
        <f aca="false">CC86+CC87</f>
        <v>0</v>
      </c>
      <c r="CD88" s="7" t="n">
        <f aca="false">CD86+CD87</f>
        <v>0</v>
      </c>
      <c r="CE88" s="7" t="n">
        <f aca="false">CE86+CE87</f>
        <v>0</v>
      </c>
      <c r="CF88" s="7" t="n">
        <f aca="false">CF86+CF87</f>
        <v>0</v>
      </c>
      <c r="CG88" s="7" t="n">
        <f aca="false">CG86+CG87</f>
        <v>0</v>
      </c>
      <c r="CH88" s="7" t="n">
        <f aca="false">CH86+CH87</f>
        <v>0</v>
      </c>
      <c r="CI88" s="7" t="n">
        <f aca="false">CI86+CI87</f>
        <v>0</v>
      </c>
      <c r="CJ88" s="7" t="n">
        <f aca="false">CJ86+CJ87</f>
        <v>0</v>
      </c>
      <c r="CK88" s="7" t="n">
        <f aca="false">CK86+CK87</f>
        <v>0</v>
      </c>
      <c r="CL88" s="7" t="n">
        <f aca="false">CL86+CL87</f>
        <v>0</v>
      </c>
      <c r="CM88" s="7" t="n">
        <f aca="false">CM86+CM87</f>
        <v>688520259.426222</v>
      </c>
      <c r="CN88" s="7" t="n">
        <f aca="false">CN86+CN87</f>
        <v>0</v>
      </c>
      <c r="CO88" s="7" t="n">
        <f aca="false">CO86+CO87</f>
        <v>0</v>
      </c>
      <c r="CP88" s="7" t="n">
        <f aca="false">CP86+CP87</f>
        <v>0</v>
      </c>
      <c r="CQ88" s="7" t="n">
        <f aca="false">CQ86+CQ87</f>
        <v>0</v>
      </c>
      <c r="CR88" s="7" t="n">
        <f aca="false">CR86+CR87</f>
        <v>0</v>
      </c>
      <c r="CS88" s="7" t="n">
        <f aca="false">CS86+CS87</f>
        <v>0</v>
      </c>
      <c r="CT88" s="7" t="n">
        <f aca="false">CT86+CT87</f>
        <v>0</v>
      </c>
      <c r="CU88" s="7" t="n">
        <f aca="false">CU86+CU87</f>
        <v>0</v>
      </c>
      <c r="CV88" s="7" t="n">
        <f aca="false">CV86+CV87</f>
        <v>0</v>
      </c>
      <c r="CW88" s="7" t="n">
        <f aca="false">CW86+CW87</f>
        <v>0</v>
      </c>
      <c r="CX88" s="7" t="n">
        <f aca="false">CX86+CX87</f>
        <v>0</v>
      </c>
      <c r="CY88" s="7" t="n">
        <f aca="false">CY86+CY87</f>
        <v>0</v>
      </c>
    </row>
    <row r="90" customFormat="false" ht="15" hidden="false" customHeight="false" outlineLevel="0" collapsed="false">
      <c r="B90" s="0" t="s">
        <v>94</v>
      </c>
      <c r="S90" s="7" t="n">
        <f aca="false">S61*$E$25</f>
        <v>10584000</v>
      </c>
      <c r="T90" s="7" t="n">
        <f aca="false">T61*$E$25</f>
        <v>1753167.30806086</v>
      </c>
      <c r="U90" s="7" t="n">
        <f aca="false">U61*$E$25</f>
        <v>2610826.65691754</v>
      </c>
      <c r="V90" s="7" t="n">
        <f aca="false">V61*$E$25</f>
        <v>3418724.09798628</v>
      </c>
      <c r="W90" s="7" t="n">
        <f aca="false">W61*$E$25</f>
        <v>5417739.32371856</v>
      </c>
      <c r="X90" s="7" t="n">
        <f aca="false">X61*$E$25</f>
        <v>8537094.58708433</v>
      </c>
      <c r="Y90" s="7" t="n">
        <f aca="false">Y61*$E$25</f>
        <v>11396874.1822017</v>
      </c>
      <c r="Z90" s="7" t="n">
        <f aca="false">Z61*$E$25</f>
        <v>13898469.7644666</v>
      </c>
      <c r="AA90" s="7" t="n">
        <f aca="false">AA61*$E$25</f>
        <v>15956068.6408226</v>
      </c>
      <c r="AB90" s="7" t="n">
        <f aca="false">AB61*$E$25</f>
        <v>17499609.3648999</v>
      </c>
      <c r="AC90" s="7" t="n">
        <f aca="false">AC61*$E$25</f>
        <v>18477175.7125871</v>
      </c>
      <c r="AD90" s="7" t="n">
        <f aca="false">AD61*$E$25</f>
        <v>18856746.9727389</v>
      </c>
      <c r="AE90" s="7" t="n">
        <f aca="false">AE61*$E$25</f>
        <v>20459972.7032542</v>
      </c>
      <c r="AF90" s="7" t="n">
        <f aca="false">AF61*$E$25</f>
        <v>19631574.1366749</v>
      </c>
      <c r="AG90" s="7" t="n">
        <f aca="false">AG61*$E$25</f>
        <v>18235273.2007104</v>
      </c>
      <c r="AH90" s="7" t="n">
        <f aca="false">AH61*$E$25</f>
        <v>16321721.8134262</v>
      </c>
      <c r="AI90" s="7" t="n">
        <f aca="false">AI61*$E$25</f>
        <v>13959384.1558113</v>
      </c>
      <c r="AJ90" s="7" t="n">
        <f aca="false">AJ61*$E$25</f>
        <v>11669306.6988142</v>
      </c>
      <c r="AK90" s="7" t="n">
        <f aca="false">AK61*$E$25</f>
        <v>9530865.78959324</v>
      </c>
      <c r="AL90" s="7" t="n">
        <f aca="false">AL61*$E$25</f>
        <v>7179005.32013615</v>
      </c>
      <c r="AM90" s="7" t="n">
        <f aca="false">AM61*$E$25</f>
        <v>4693060.98264964</v>
      </c>
      <c r="AN90" s="7" t="n">
        <f aca="false">AN61*$E$25</f>
        <v>3358266.299348</v>
      </c>
      <c r="AO90" s="7" t="n">
        <f aca="false">AO61*$E$25</f>
        <v>3219172.28809741</v>
      </c>
      <c r="AP90" s="7" t="n">
        <f aca="false">AP61*$E$25</f>
        <v>0</v>
      </c>
      <c r="AQ90" s="7" t="n">
        <f aca="false">AQ61*$E$25</f>
        <v>0</v>
      </c>
      <c r="AR90" s="7" t="n">
        <f aca="false">AR61*$E$25</f>
        <v>0</v>
      </c>
      <c r="AS90" s="7" t="n">
        <f aca="false">AS61*$E$25</f>
        <v>0</v>
      </c>
      <c r="AT90" s="7" t="n">
        <f aca="false">AT61*$E$25</f>
        <v>0</v>
      </c>
      <c r="AU90" s="7" t="n">
        <f aca="false">AU61*$E$25</f>
        <v>0</v>
      </c>
      <c r="AV90" s="7" t="n">
        <f aca="false">AV61*$E$25</f>
        <v>0</v>
      </c>
      <c r="AW90" s="7" t="n">
        <f aca="false">AW61*$E$25</f>
        <v>0</v>
      </c>
      <c r="AX90" s="7" t="n">
        <f aca="false">AX61*$E$25</f>
        <v>0</v>
      </c>
      <c r="AY90" s="7" t="n">
        <f aca="false">AY61*$E$25</f>
        <v>0</v>
      </c>
      <c r="AZ90" s="7" t="n">
        <f aca="false">AZ61*$E$25</f>
        <v>0</v>
      </c>
      <c r="BA90" s="7" t="n">
        <f aca="false">BA61*$E$25</f>
        <v>0</v>
      </c>
      <c r="BB90" s="7" t="n">
        <f aca="false">BB61*$E$25</f>
        <v>0</v>
      </c>
      <c r="BC90" s="7" t="n">
        <f aca="false">BC61*$E$25</f>
        <v>0</v>
      </c>
      <c r="BD90" s="7" t="n">
        <f aca="false">BD61*$E$25</f>
        <v>0</v>
      </c>
      <c r="BE90" s="7" t="n">
        <f aca="false">BE61*$E$25</f>
        <v>0</v>
      </c>
      <c r="BF90" s="7" t="n">
        <f aca="false">BF61*$E$25</f>
        <v>0</v>
      </c>
      <c r="BG90" s="7" t="n">
        <f aca="false">BG61*$E$25</f>
        <v>0</v>
      </c>
      <c r="BH90" s="7" t="n">
        <f aca="false">BH61*$E$25</f>
        <v>0</v>
      </c>
      <c r="BI90" s="7" t="n">
        <f aca="false">BI61*$E$25</f>
        <v>0</v>
      </c>
      <c r="BJ90" s="7" t="n">
        <f aca="false">BJ61*$E$25</f>
        <v>0</v>
      </c>
      <c r="BK90" s="7" t="n">
        <f aca="false">BK61*$E$25</f>
        <v>0</v>
      </c>
      <c r="BL90" s="7" t="n">
        <f aca="false">BL61*$E$25</f>
        <v>0</v>
      </c>
      <c r="BM90" s="7" t="n">
        <f aca="false">BM61*$E$25</f>
        <v>0</v>
      </c>
      <c r="BN90" s="7" t="n">
        <f aca="false">BN61*$E$25</f>
        <v>0</v>
      </c>
      <c r="BO90" s="7" t="n">
        <f aca="false">BO61*$E$25</f>
        <v>0</v>
      </c>
      <c r="BP90" s="7" t="n">
        <f aca="false">BP61*$E$25</f>
        <v>0</v>
      </c>
      <c r="BQ90" s="7" t="n">
        <f aca="false">BQ61*$E$25</f>
        <v>0</v>
      </c>
      <c r="BR90" s="7" t="n">
        <f aca="false">BR61*$E$25</f>
        <v>0</v>
      </c>
      <c r="BS90" s="7" t="n">
        <f aca="false">BS61*$E$25</f>
        <v>0</v>
      </c>
      <c r="BT90" s="7" t="n">
        <f aca="false">BT61*$E$25</f>
        <v>0</v>
      </c>
      <c r="BU90" s="7" t="n">
        <f aca="false">BU61*$E$25</f>
        <v>0</v>
      </c>
      <c r="BV90" s="7" t="n">
        <f aca="false">BV61*$E$25</f>
        <v>0</v>
      </c>
      <c r="BW90" s="7" t="n">
        <f aca="false">BW61*$E$25</f>
        <v>0</v>
      </c>
      <c r="BX90" s="7" t="n">
        <f aca="false">BX61*$E$25</f>
        <v>0</v>
      </c>
      <c r="BY90" s="7" t="n">
        <f aca="false">BY61*$E$25</f>
        <v>0</v>
      </c>
      <c r="BZ90" s="7" t="n">
        <f aca="false">BZ61*$E$25</f>
        <v>0</v>
      </c>
      <c r="CA90" s="7" t="n">
        <f aca="false">CA61*$E$25</f>
        <v>0</v>
      </c>
      <c r="CB90" s="7" t="n">
        <f aca="false">CB61*$E$25</f>
        <v>0</v>
      </c>
      <c r="CC90" s="7" t="n">
        <f aca="false">CC61*$E$25</f>
        <v>0</v>
      </c>
      <c r="CD90" s="7" t="n">
        <f aca="false">CD61*$E$25</f>
        <v>0</v>
      </c>
      <c r="CE90" s="7" t="n">
        <f aca="false">CE61*$E$25</f>
        <v>0</v>
      </c>
      <c r="CF90" s="7" t="n">
        <f aca="false">CF61*$E$25</f>
        <v>0</v>
      </c>
      <c r="CG90" s="7" t="n">
        <f aca="false">CG61*$E$25</f>
        <v>0</v>
      </c>
      <c r="CH90" s="7" t="n">
        <f aca="false">CH61*$E$25</f>
        <v>0</v>
      </c>
      <c r="CI90" s="7" t="n">
        <f aca="false">CI61*$E$25</f>
        <v>0</v>
      </c>
      <c r="CJ90" s="7" t="n">
        <f aca="false">CJ61*$E$25</f>
        <v>0</v>
      </c>
      <c r="CK90" s="7" t="n">
        <f aca="false">CK61*$E$25</f>
        <v>0</v>
      </c>
      <c r="CL90" s="7" t="n">
        <f aca="false">CL61*$E$25</f>
        <v>0</v>
      </c>
      <c r="CM90" s="7" t="n">
        <f aca="false">CM61*$E$25</f>
        <v>0</v>
      </c>
      <c r="CN90" s="7" t="n">
        <f aca="false">CN61*$E$25</f>
        <v>0</v>
      </c>
      <c r="CO90" s="7" t="n">
        <f aca="false">CO61*$E$25</f>
        <v>0</v>
      </c>
      <c r="CP90" s="7" t="n">
        <f aca="false">CP61*$E$25</f>
        <v>0</v>
      </c>
      <c r="CQ90" s="7" t="n">
        <f aca="false">CQ61*$E$25</f>
        <v>0</v>
      </c>
      <c r="CR90" s="7" t="n">
        <f aca="false">CR61*$E$25</f>
        <v>0</v>
      </c>
      <c r="CS90" s="7" t="n">
        <f aca="false">CS61*$E$25</f>
        <v>0</v>
      </c>
      <c r="CT90" s="7" t="n">
        <f aca="false">CT61*$E$25</f>
        <v>0</v>
      </c>
      <c r="CU90" s="7" t="n">
        <f aca="false">CU61*$E$25</f>
        <v>0</v>
      </c>
      <c r="CV90" s="7" t="n">
        <f aca="false">CV61*$E$25</f>
        <v>0</v>
      </c>
      <c r="CW90" s="7" t="n">
        <f aca="false">CW61*$E$25</f>
        <v>0</v>
      </c>
      <c r="CX90" s="7" t="n">
        <f aca="false">CX61*$E$25</f>
        <v>0</v>
      </c>
      <c r="CY90" s="7" t="n">
        <f aca="false">CY61*$E$25</f>
        <v>0</v>
      </c>
    </row>
    <row r="91" customFormat="false" ht="15" hidden="false" customHeight="false" outlineLevel="0" collapsed="false">
      <c r="B91" s="0" t="s">
        <v>95</v>
      </c>
      <c r="S91" s="7" t="n">
        <f aca="false">0</f>
        <v>0</v>
      </c>
      <c r="T91" s="7" t="n">
        <f aca="false">IF(T$50&lt;=Stabilization_1st_Month,S93*$G$25/12,0)</f>
        <v>66150</v>
      </c>
      <c r="U91" s="7" t="n">
        <f aca="false">IF(U$50&lt;=Stabilization_1st_Month,T93*$G$25/12,0)</f>
        <v>77107.2956753803</v>
      </c>
      <c r="V91" s="7" t="n">
        <f aca="false">IF(V$50&lt;=Stabilization_1st_Month,U93*$G$25/12,0)</f>
        <v>93424.962281115</v>
      </c>
      <c r="W91" s="7" t="n">
        <f aca="false">IF(W$50&lt;=Stabilization_1st_Month,V93*$G$25/12,0)</f>
        <v>114791.987893529</v>
      </c>
      <c r="X91" s="7" t="n">
        <f aca="false">IF(X$50&lt;=Stabilization_1st_Month,W93*$G$25/12,0)</f>
        <v>148652.85866677</v>
      </c>
      <c r="Y91" s="7" t="n">
        <f aca="false">IF(Y$50&lt;=Stabilization_1st_Month,X93*$G$25/12,0)</f>
        <v>202009.699836047</v>
      </c>
      <c r="Z91" s="7" t="n">
        <f aca="false">IF(Z$50&lt;=Stabilization_1st_Month,Y93*$G$25/12,0)</f>
        <v>273240.163474808</v>
      </c>
      <c r="AA91" s="7" t="n">
        <f aca="false">IF(AA$50&lt;=Stabilization_1st_Month,Z93*$G$25/12,0)</f>
        <v>360105.599502724</v>
      </c>
      <c r="AB91" s="7" t="n">
        <f aca="false">IF(AB$50&lt;=Stabilization_1st_Month,AA93*$G$25/12,0)</f>
        <v>459831.028507865</v>
      </c>
      <c r="AC91" s="7" t="n">
        <f aca="false">IF(AC$50&lt;=Stabilization_1st_Month,AB93*$G$25/12,0)</f>
        <v>569203.587038489</v>
      </c>
      <c r="AD91" s="7" t="n">
        <f aca="false">IF(AD$50&lt;=Stabilization_1st_Month,AC93*$G$25/12,0)</f>
        <v>684685.935242159</v>
      </c>
      <c r="AE91" s="7" t="n">
        <f aca="false">IF(AE$50&lt;=Stabilization_1st_Month,AD93*$G$25/12,0)</f>
        <v>802540.603821777</v>
      </c>
      <c r="AF91" s="7" t="n">
        <f aca="false">IF(AF$50&lt;=Stabilization_1st_Month,AE93*$G$25/12,0)</f>
        <v>930415.433217116</v>
      </c>
      <c r="AG91" s="7" t="n">
        <f aca="false">IF(AG$50&lt;=Stabilization_1st_Month,AF93*$G$25/12,0)</f>
        <v>1053112.77157133</v>
      </c>
      <c r="AH91" s="7" t="n">
        <f aca="false">IF(AH$50&lt;=Stabilization_1st_Month,AG93*$G$25/12,0)</f>
        <v>1167083.22907577</v>
      </c>
      <c r="AI91" s="7" t="n">
        <f aca="false">IF(AI$50&lt;=Stabilization_1st_Month,AH93*$G$25/12,0)</f>
        <v>1269093.99040969</v>
      </c>
      <c r="AJ91" s="7" t="n">
        <f aca="false">IF(AJ$50&lt;=Stabilization_1st_Month,AI93*$G$25/12,0)</f>
        <v>1356340.14138351</v>
      </c>
      <c r="AK91" s="7" t="n">
        <f aca="false">IF(AK$50&lt;=Stabilization_1st_Month,AJ93*$G$25/12,0)</f>
        <v>1429273.3082511</v>
      </c>
      <c r="AL91" s="7" t="n">
        <f aca="false">IF(AL$50&lt;=Stabilization_1st_Month,AK93*$G$25/12,0)</f>
        <v>1488841.21943606</v>
      </c>
      <c r="AM91" s="7" t="n">
        <f aca="false">IF(AM$50&lt;=Stabilization_1st_Month,AL93*$G$25/12,0)</f>
        <v>1533710.00268691</v>
      </c>
      <c r="AN91" s="7" t="n">
        <f aca="false">IF(AN$50&lt;=Stabilization_1st_Month,AM93*$G$25/12,0)</f>
        <v>1563041.63382847</v>
      </c>
      <c r="AO91" s="7" t="n">
        <f aca="false">IF(AO$50&lt;=Stabilization_1st_Month,AN93*$G$25/12,0)</f>
        <v>1584030.79819939</v>
      </c>
      <c r="AP91" s="7" t="n">
        <f aca="false">IF(AP$50&lt;=Stabilization_1st_Month,AO93*$G$25/12,0)</f>
        <v>1604150.625</v>
      </c>
      <c r="AQ91" s="7" t="n">
        <f aca="false">IF(AQ$50&lt;=Stabilization_1st_Month,AP93*$G$25/12,0)</f>
        <v>1604150.625</v>
      </c>
      <c r="AR91" s="7" t="n">
        <f aca="false">IF(AR$50&lt;=Stabilization_1st_Month,AQ93*$G$25/12,0)</f>
        <v>1604150.625</v>
      </c>
      <c r="AS91" s="7" t="n">
        <f aca="false">IF(AS$50&lt;=Stabilization_1st_Month,AR93*$G$25/12,0)</f>
        <v>1604150.625</v>
      </c>
      <c r="AT91" s="7" t="n">
        <f aca="false">IF(AT$50&lt;=Stabilization_1st_Month,AS93*$G$25/12,0)</f>
        <v>1604150.625</v>
      </c>
      <c r="AU91" s="7" t="n">
        <f aca="false">IF(AU$50&lt;=Stabilization_1st_Month,AT93*$G$25/12,0)</f>
        <v>1604150.625</v>
      </c>
      <c r="AV91" s="7" t="n">
        <f aca="false">IF(AV$50&lt;=Stabilization_1st_Month,AU93*$G$25/12,0)</f>
        <v>1604150.625</v>
      </c>
      <c r="AW91" s="7" t="n">
        <f aca="false">IF(AW$50&lt;=Stabilization_1st_Month,AV93*$G$25/12,0)</f>
        <v>1604150.625</v>
      </c>
      <c r="AX91" s="7" t="n">
        <f aca="false">IF(AX$50&lt;=Stabilization_1st_Month,AW93*$G$25/12,0)</f>
        <v>1604150.625</v>
      </c>
      <c r="AY91" s="7" t="n">
        <f aca="false">IF(AY$50&lt;=Stabilization_1st_Month,AX93*$G$25/12,0)</f>
        <v>1604150.625</v>
      </c>
      <c r="AZ91" s="7" t="n">
        <f aca="false">IF(AZ$50&lt;=Stabilization_1st_Month,AY93*$G$25/12,0)</f>
        <v>1604150.625</v>
      </c>
      <c r="BA91" s="7" t="n">
        <f aca="false">IF(BA$50&lt;=Stabilization_1st_Month,AZ93*$G$25/12,0)</f>
        <v>1604150.625</v>
      </c>
      <c r="BB91" s="7" t="n">
        <f aca="false">IF(BB$50&lt;=Stabilization_1st_Month,BA93*$G$25/12,0)</f>
        <v>1604150.625</v>
      </c>
      <c r="BC91" s="7" t="n">
        <f aca="false">IF(BC$50&lt;=Stabilization_1st_Month,BB93*$G$25/12,0)</f>
        <v>1604150.625</v>
      </c>
      <c r="BD91" s="7" t="n">
        <f aca="false">IF(BD$50&lt;=Stabilization_1st_Month,BC93*$G$25/12,0)</f>
        <v>1604150.625</v>
      </c>
      <c r="BE91" s="7" t="n">
        <f aca="false">IF(BE$50&lt;=Stabilization_1st_Month,BD93*$G$25/12,0)</f>
        <v>1604150.625</v>
      </c>
      <c r="BF91" s="7" t="n">
        <f aca="false">IF(BF$50&lt;=Stabilization_1st_Month,BE93*$G$25/12,0)</f>
        <v>1604150.625</v>
      </c>
      <c r="BG91" s="7" t="n">
        <f aca="false">IF(BG$50&lt;=Stabilization_1st_Month,BF93*$G$25/12,0)</f>
        <v>1604150.625</v>
      </c>
      <c r="BH91" s="7" t="n">
        <f aca="false">IF(BH$50&lt;=Stabilization_1st_Month,BG93*$G$25/12,0)</f>
        <v>0</v>
      </c>
      <c r="BI91" s="7" t="n">
        <f aca="false">IF(BI$50&lt;=Stabilization_1st_Month,BH93*$G$25/12,0)</f>
        <v>0</v>
      </c>
      <c r="BJ91" s="7" t="n">
        <f aca="false">IF(BJ$50&lt;=Stabilization_1st_Month,BI93*$G$25/12,0)</f>
        <v>0</v>
      </c>
      <c r="BK91" s="7" t="n">
        <f aca="false">IF(BK$50&lt;=Stabilization_1st_Month,BJ93*$G$25/12,0)</f>
        <v>0</v>
      </c>
      <c r="BL91" s="7" t="n">
        <f aca="false">IF(BL$50&lt;=Stabilization_1st_Month,BK93*$G$25/12,0)</f>
        <v>0</v>
      </c>
      <c r="BM91" s="7" t="n">
        <f aca="false">IF(BM$50&lt;=Stabilization_1st_Month,BL93*$G$25/12,0)</f>
        <v>0</v>
      </c>
      <c r="BN91" s="7" t="n">
        <f aca="false">IF(BN$50&lt;=Stabilization_1st_Month,BM93*$G$25/12,0)</f>
        <v>0</v>
      </c>
      <c r="BO91" s="7" t="n">
        <f aca="false">IF(BO$50&lt;=Stabilization_1st_Month,BN93*$G$25/12,0)</f>
        <v>0</v>
      </c>
      <c r="BP91" s="7" t="n">
        <f aca="false">IF(BP$50&lt;=Stabilization_1st_Month,BO93*$G$25/12,0)</f>
        <v>0</v>
      </c>
      <c r="BQ91" s="7" t="n">
        <f aca="false">IF(BQ$50&lt;=Stabilization_1st_Month,BP93*$G$25/12,0)</f>
        <v>0</v>
      </c>
      <c r="BR91" s="7" t="n">
        <f aca="false">IF(BR$50&lt;=Stabilization_1st_Month,BQ93*$G$25/12,0)</f>
        <v>0</v>
      </c>
      <c r="BS91" s="7" t="n">
        <f aca="false">IF(BS$50&lt;=Stabilization_1st_Month,BR93*$G$25/12,0)</f>
        <v>0</v>
      </c>
      <c r="BT91" s="7" t="n">
        <f aca="false">IF(BT$50&lt;=Stabilization_1st_Month,BS93*$G$25/12,0)</f>
        <v>0</v>
      </c>
      <c r="BU91" s="7" t="n">
        <f aca="false">IF(BU$50&lt;=Stabilization_1st_Month,BT93*$G$25/12,0)</f>
        <v>0</v>
      </c>
      <c r="BV91" s="7" t="n">
        <f aca="false">IF(BV$50&lt;=Stabilization_1st_Month,BU93*$G$25/12,0)</f>
        <v>0</v>
      </c>
      <c r="BW91" s="7" t="n">
        <f aca="false">IF(BW$50&lt;=Stabilization_1st_Month,BV93*$G$25/12,0)</f>
        <v>0</v>
      </c>
      <c r="BX91" s="7" t="n">
        <f aca="false">IF(BX$50&lt;=Stabilization_1st_Month,BW93*$G$25/12,0)</f>
        <v>0</v>
      </c>
      <c r="BY91" s="7" t="n">
        <f aca="false">IF(BY$50&lt;=Stabilization_1st_Month,BX93*$G$25/12,0)</f>
        <v>0</v>
      </c>
      <c r="BZ91" s="7" t="n">
        <f aca="false">IF(BZ$50&lt;=Stabilization_1st_Month,BY93*$G$25/12,0)</f>
        <v>0</v>
      </c>
      <c r="CA91" s="7" t="n">
        <f aca="false">IF(CA$50&lt;=Stabilization_1st_Month,BZ93*$G$25/12,0)</f>
        <v>0</v>
      </c>
      <c r="CB91" s="7" t="n">
        <f aca="false">IF(CB$50&lt;=Stabilization_1st_Month,CA93*$G$25/12,0)</f>
        <v>0</v>
      </c>
      <c r="CC91" s="7" t="n">
        <f aca="false">IF(CC$50&lt;=Stabilization_1st_Month,CB93*$G$25/12,0)</f>
        <v>0</v>
      </c>
      <c r="CD91" s="7" t="n">
        <f aca="false">IF(CD$50&lt;=Stabilization_1st_Month,CC93*$G$25/12,0)</f>
        <v>0</v>
      </c>
      <c r="CE91" s="7" t="n">
        <f aca="false">IF(CE$50&lt;=Stabilization_1st_Month,CD93*$G$25/12,0)</f>
        <v>0</v>
      </c>
      <c r="CF91" s="7" t="n">
        <f aca="false">IF(CF$50&lt;=Stabilization_1st_Month,CE93*$G$25/12,0)</f>
        <v>0</v>
      </c>
      <c r="CG91" s="7" t="n">
        <f aca="false">IF(CG$50&lt;=Stabilization_1st_Month,CF93*$G$25/12,0)</f>
        <v>0</v>
      </c>
      <c r="CH91" s="7" t="n">
        <f aca="false">IF(CH$50&lt;=Stabilization_1st_Month,CG93*$G$25/12,0)</f>
        <v>0</v>
      </c>
      <c r="CI91" s="7" t="n">
        <f aca="false">IF(CI$50&lt;=Stabilization_1st_Month,CH93*$G$25/12,0)</f>
        <v>0</v>
      </c>
      <c r="CJ91" s="7" t="n">
        <f aca="false">IF(CJ$50&lt;=Stabilization_1st_Month,CI93*$G$25/12,0)</f>
        <v>0</v>
      </c>
      <c r="CK91" s="7" t="n">
        <f aca="false">IF(CK$50&lt;=Stabilization_1st_Month,CJ93*$G$25/12,0)</f>
        <v>0</v>
      </c>
      <c r="CL91" s="7" t="n">
        <f aca="false">IF(CL$50&lt;=Stabilization_1st_Month,CK93*$G$25/12,0)</f>
        <v>0</v>
      </c>
      <c r="CM91" s="7" t="n">
        <f aca="false">IF(CM$50&lt;=Stabilization_1st_Month,CL93*$G$25/12,0)</f>
        <v>0</v>
      </c>
      <c r="CN91" s="7" t="n">
        <f aca="false">IF(CN$50&lt;=Stabilization_1st_Month,CM93*$G$25/12,0)</f>
        <v>0</v>
      </c>
      <c r="CO91" s="7" t="n">
        <f aca="false">IF(CO$50&lt;=Stabilization_1st_Month,CN93*$G$25/12,0)</f>
        <v>0</v>
      </c>
      <c r="CP91" s="7" t="n">
        <f aca="false">IF(CP$50&lt;=Stabilization_1st_Month,CO93*$G$25/12,0)</f>
        <v>0</v>
      </c>
      <c r="CQ91" s="7" t="n">
        <f aca="false">IF(CQ$50&lt;=Stabilization_1st_Month,CP93*$G$25/12,0)</f>
        <v>0</v>
      </c>
      <c r="CR91" s="7" t="n">
        <f aca="false">IF(CR$50&lt;=Stabilization_1st_Month,CQ93*$G$25/12,0)</f>
        <v>0</v>
      </c>
      <c r="CS91" s="7" t="n">
        <f aca="false">IF(CS$50&lt;=Stabilization_1st_Month,CR93*$G$25/12,0)</f>
        <v>0</v>
      </c>
      <c r="CT91" s="7" t="n">
        <f aca="false">IF(CT$50&lt;=Stabilization_1st_Month,CS93*$G$25/12,0)</f>
        <v>0</v>
      </c>
      <c r="CU91" s="7" t="n">
        <f aca="false">IF(CU$50&lt;=Stabilization_1st_Month,CT93*$G$25/12,0)</f>
        <v>0</v>
      </c>
      <c r="CV91" s="7" t="n">
        <f aca="false">IF(CV$50&lt;=Stabilization_1st_Month,CU93*$G$25/12,0)</f>
        <v>0</v>
      </c>
      <c r="CW91" s="7" t="n">
        <f aca="false">IF(CW$50&lt;=Stabilization_1st_Month,CV93*$G$25/12,0)</f>
        <v>0</v>
      </c>
      <c r="CX91" s="7" t="n">
        <f aca="false">IF(CX$50&lt;=Stabilization_1st_Month,CW93*$G$25/12,0)</f>
        <v>0</v>
      </c>
      <c r="CY91" s="7" t="n">
        <f aca="false">IF(CY$50&lt;=Stabilization_1st_Month,CX93*$G$25/12,0)</f>
        <v>0</v>
      </c>
    </row>
    <row r="92" customFormat="false" ht="15" hidden="false" customHeight="false" outlineLevel="0" collapsed="false">
      <c r="B92" s="0" t="s">
        <v>96</v>
      </c>
      <c r="S92" s="7" t="n">
        <f aca="false">IF(S$50=Stabilization_1st_Month,0+S90,0)</f>
        <v>0</v>
      </c>
      <c r="T92" s="7" t="n">
        <f aca="false">IF(T$50=Stabilization_1st_Month,S93+T90,0)</f>
        <v>0</v>
      </c>
      <c r="U92" s="7" t="n">
        <f aca="false">IF(U$50=Stabilization_1st_Month,T93+U90,0)</f>
        <v>0</v>
      </c>
      <c r="V92" s="7" t="n">
        <f aca="false">IF(V$50=Stabilization_1st_Month,U93+V90,0)</f>
        <v>0</v>
      </c>
      <c r="W92" s="7" t="n">
        <f aca="false">IF(W$50=Stabilization_1st_Month,V93+W90,0)</f>
        <v>0</v>
      </c>
      <c r="X92" s="7" t="n">
        <f aca="false">IF(X$50=Stabilization_1st_Month,W93+X90,0)</f>
        <v>0</v>
      </c>
      <c r="Y92" s="7" t="n">
        <f aca="false">IF(Y$50=Stabilization_1st_Month,X93+Y90,0)</f>
        <v>0</v>
      </c>
      <c r="Z92" s="7" t="n">
        <f aca="false">IF(Z$50=Stabilization_1st_Month,Y93+Z90,0)</f>
        <v>0</v>
      </c>
      <c r="AA92" s="7" t="n">
        <f aca="false">IF(AA$50=Stabilization_1st_Month,Z93+AA90,0)</f>
        <v>0</v>
      </c>
      <c r="AB92" s="7" t="n">
        <f aca="false">IF(AB$50=Stabilization_1st_Month,AA93+AB90,0)</f>
        <v>0</v>
      </c>
      <c r="AC92" s="7" t="n">
        <f aca="false">IF(AC$50=Stabilization_1st_Month,AB93+AC90,0)</f>
        <v>0</v>
      </c>
      <c r="AD92" s="7" t="n">
        <f aca="false">IF(AD$50=Stabilization_1st_Month,AC93+AD90,0)</f>
        <v>0</v>
      </c>
      <c r="AE92" s="7" t="n">
        <f aca="false">IF(AE$50=Stabilization_1st_Month,AD93+AE90,0)</f>
        <v>0</v>
      </c>
      <c r="AF92" s="7" t="n">
        <f aca="false">IF(AF$50=Stabilization_1st_Month,AE93+AF90,0)</f>
        <v>0</v>
      </c>
      <c r="AG92" s="7" t="n">
        <f aca="false">IF(AG$50=Stabilization_1st_Month,AF93+AG90,0)</f>
        <v>0</v>
      </c>
      <c r="AH92" s="7" t="n">
        <f aca="false">IF(AH$50=Stabilization_1st_Month,AG93+AH90,0)</f>
        <v>0</v>
      </c>
      <c r="AI92" s="7" t="n">
        <f aca="false">IF(AI$50=Stabilization_1st_Month,AH93+AI90,0)</f>
        <v>0</v>
      </c>
      <c r="AJ92" s="7" t="n">
        <f aca="false">IF(AJ$50=Stabilization_1st_Month,AI93+AJ90,0)</f>
        <v>0</v>
      </c>
      <c r="AK92" s="7" t="n">
        <f aca="false">IF(AK$50=Stabilization_1st_Month,AJ93+AK90,0)</f>
        <v>0</v>
      </c>
      <c r="AL92" s="7" t="n">
        <f aca="false">IF(AL$50=Stabilization_1st_Month,AK93+AL90,0)</f>
        <v>0</v>
      </c>
      <c r="AM92" s="7" t="n">
        <f aca="false">IF(AM$50=Stabilization_1st_Month,AL93+AM90,0)</f>
        <v>0</v>
      </c>
      <c r="AN92" s="7" t="n">
        <f aca="false">IF(AN$50=Stabilization_1st_Month,AM93+AN90,0)</f>
        <v>0</v>
      </c>
      <c r="AO92" s="7" t="n">
        <f aca="false">IF(AO$50=Stabilization_1st_Month,AN93+AO90,0)</f>
        <v>0</v>
      </c>
      <c r="AP92" s="7" t="n">
        <f aca="false">IF(AP$50=Stabilization_1st_Month,AO93+AP90,0)</f>
        <v>0</v>
      </c>
      <c r="AQ92" s="7" t="n">
        <f aca="false">IF(AQ$50=Stabilization_1st_Month,AP93+AQ90,0)</f>
        <v>0</v>
      </c>
      <c r="AR92" s="7" t="n">
        <f aca="false">IF(AR$50=Stabilization_1st_Month,AQ93+AR90,0)</f>
        <v>0</v>
      </c>
      <c r="AS92" s="7" t="n">
        <f aca="false">IF(AS$50=Stabilization_1st_Month,AR93+AS90,0)</f>
        <v>0</v>
      </c>
      <c r="AT92" s="7" t="n">
        <f aca="false">IF(AT$50=Stabilization_1st_Month,AS93+AT90,0)</f>
        <v>0</v>
      </c>
      <c r="AU92" s="7" t="n">
        <f aca="false">IF(AU$50=Stabilization_1st_Month,AT93+AU90,0)</f>
        <v>0</v>
      </c>
      <c r="AV92" s="7" t="n">
        <f aca="false">IF(AV$50=Stabilization_1st_Month,AU93+AV90,0)</f>
        <v>0</v>
      </c>
      <c r="AW92" s="7" t="n">
        <f aca="false">IF(AW$50=Stabilization_1st_Month,AV93+AW90,0)</f>
        <v>0</v>
      </c>
      <c r="AX92" s="7" t="n">
        <f aca="false">IF(AX$50=Stabilization_1st_Month,AW93+AX90,0)</f>
        <v>0</v>
      </c>
      <c r="AY92" s="7" t="n">
        <f aca="false">IF(AY$50=Stabilization_1st_Month,AX93+AY90,0)</f>
        <v>0</v>
      </c>
      <c r="AZ92" s="7" t="n">
        <f aca="false">IF(AZ$50=Stabilization_1st_Month,AY93+AZ90,0)</f>
        <v>0</v>
      </c>
      <c r="BA92" s="7" t="n">
        <f aca="false">IF(BA$50=Stabilization_1st_Month,AZ93+BA90,0)</f>
        <v>0</v>
      </c>
      <c r="BB92" s="7" t="n">
        <f aca="false">IF(BB$50=Stabilization_1st_Month,BA93+BB90,0)</f>
        <v>0</v>
      </c>
      <c r="BC92" s="7" t="n">
        <f aca="false">IF(BC$50=Stabilization_1st_Month,BB93+BC90,0)</f>
        <v>0</v>
      </c>
      <c r="BD92" s="7" t="n">
        <f aca="false">IF(BD$50=Stabilization_1st_Month,BC93+BD90,0)</f>
        <v>0</v>
      </c>
      <c r="BE92" s="7" t="n">
        <f aca="false">IF(BE$50=Stabilization_1st_Month,BD93+BE90,0)</f>
        <v>0</v>
      </c>
      <c r="BF92" s="7" t="n">
        <f aca="false">IF(BF$50=Stabilization_1st_Month,BE93+BF90,0)</f>
        <v>0</v>
      </c>
      <c r="BG92" s="7" t="n">
        <f aca="false">IF(BG$50=Stabilization_1st_Month,BF93+BG90,0)</f>
        <v>256664100</v>
      </c>
      <c r="BH92" s="7" t="n">
        <f aca="false">IF(BH$50=Stabilization_1st_Month,BG93+BH90,0)</f>
        <v>0</v>
      </c>
      <c r="BI92" s="7" t="n">
        <f aca="false">IF(BI$50=Stabilization_1st_Month,BH93+BI90,0)</f>
        <v>0</v>
      </c>
      <c r="BJ92" s="7" t="n">
        <f aca="false">IF(BJ$50=Stabilization_1st_Month,BI93+BJ90,0)</f>
        <v>0</v>
      </c>
      <c r="BK92" s="7" t="n">
        <f aca="false">IF(BK$50=Stabilization_1st_Month,BJ93+BK90,0)</f>
        <v>0</v>
      </c>
      <c r="BL92" s="7" t="n">
        <f aca="false">IF(BL$50=Stabilization_1st_Month,BK93+BL90,0)</f>
        <v>0</v>
      </c>
      <c r="BM92" s="7" t="n">
        <f aca="false">IF(BM$50=Stabilization_1st_Month,BL93+BM90,0)</f>
        <v>0</v>
      </c>
      <c r="BN92" s="7" t="n">
        <f aca="false">IF(BN$50=Stabilization_1st_Month,BM93+BN90,0)</f>
        <v>0</v>
      </c>
      <c r="BO92" s="7" t="n">
        <f aca="false">IF(BO$50=Stabilization_1st_Month,BN93+BO90,0)</f>
        <v>0</v>
      </c>
      <c r="BP92" s="7" t="n">
        <f aca="false">IF(BP$50=Stabilization_1st_Month,BO93+BP90,0)</f>
        <v>0</v>
      </c>
      <c r="BQ92" s="7" t="n">
        <f aca="false">IF(BQ$50=Stabilization_1st_Month,BP93+BQ90,0)</f>
        <v>0</v>
      </c>
      <c r="BR92" s="7" t="n">
        <f aca="false">IF(BR$50=Stabilization_1st_Month,BQ93+BR90,0)</f>
        <v>0</v>
      </c>
      <c r="BS92" s="7" t="n">
        <f aca="false">IF(BS$50=Stabilization_1st_Month,BR93+BS90,0)</f>
        <v>0</v>
      </c>
      <c r="BT92" s="7" t="n">
        <f aca="false">IF(BT$50=Stabilization_1st_Month,BS93+BT90,0)</f>
        <v>0</v>
      </c>
      <c r="BU92" s="7" t="n">
        <f aca="false">IF(BU$50=Stabilization_1st_Month,BT93+BU90,0)</f>
        <v>0</v>
      </c>
      <c r="BV92" s="7" t="n">
        <f aca="false">IF(BV$50=Stabilization_1st_Month,BU93+BV90,0)</f>
        <v>0</v>
      </c>
      <c r="BW92" s="7" t="n">
        <f aca="false">IF(BW$50=Stabilization_1st_Month,BV93+BW90,0)</f>
        <v>0</v>
      </c>
      <c r="BX92" s="7" t="n">
        <f aca="false">IF(BX$50=Stabilization_1st_Month,BW93+BX90,0)</f>
        <v>0</v>
      </c>
      <c r="BY92" s="7" t="n">
        <f aca="false">IF(BY$50=Stabilization_1st_Month,BX93+BY90,0)</f>
        <v>0</v>
      </c>
      <c r="BZ92" s="7" t="n">
        <f aca="false">IF(BZ$50=Stabilization_1st_Month,BY93+BZ90,0)</f>
        <v>0</v>
      </c>
      <c r="CA92" s="7" t="n">
        <f aca="false">IF(CA$50=Stabilization_1st_Month,BZ93+CA90,0)</f>
        <v>0</v>
      </c>
      <c r="CB92" s="7" t="n">
        <f aca="false">IF(CB$50=Stabilization_1st_Month,CA93+CB90,0)</f>
        <v>0</v>
      </c>
      <c r="CC92" s="7" t="n">
        <f aca="false">IF(CC$50=Stabilization_1st_Month,CB93+CC90,0)</f>
        <v>0</v>
      </c>
      <c r="CD92" s="7" t="n">
        <f aca="false">IF(CD$50=Stabilization_1st_Month,CC93+CD90,0)</f>
        <v>0</v>
      </c>
      <c r="CE92" s="7" t="n">
        <f aca="false">IF(CE$50=Stabilization_1st_Month,CD93+CE90,0)</f>
        <v>0</v>
      </c>
      <c r="CF92" s="7" t="n">
        <f aca="false">IF(CF$50=Stabilization_1st_Month,CE93+CF90,0)</f>
        <v>0</v>
      </c>
      <c r="CG92" s="7" t="n">
        <f aca="false">IF(CG$50=Stabilization_1st_Month,CF93+CG90,0)</f>
        <v>0</v>
      </c>
      <c r="CH92" s="7" t="n">
        <f aca="false">IF(CH$50=Stabilization_1st_Month,CG93+CH90,0)</f>
        <v>0</v>
      </c>
      <c r="CI92" s="7" t="n">
        <f aca="false">IF(CI$50=Stabilization_1st_Month,CH93+CI90,0)</f>
        <v>0</v>
      </c>
      <c r="CJ92" s="7" t="n">
        <f aca="false">IF(CJ$50=Stabilization_1st_Month,CI93+CJ90,0)</f>
        <v>0</v>
      </c>
      <c r="CK92" s="7" t="n">
        <f aca="false">IF(CK$50=Stabilization_1st_Month,CJ93+CK90,0)</f>
        <v>0</v>
      </c>
      <c r="CL92" s="7" t="n">
        <f aca="false">IF(CL$50=Stabilization_1st_Month,CK93+CL90,0)</f>
        <v>0</v>
      </c>
      <c r="CM92" s="7" t="n">
        <f aca="false">IF(CM$50=Stabilization_1st_Month,CL93+CM90,0)</f>
        <v>0</v>
      </c>
      <c r="CN92" s="7" t="n">
        <f aca="false">IF(CN$50=Stabilization_1st_Month,CM93+CN90,0)</f>
        <v>0</v>
      </c>
      <c r="CO92" s="7" t="n">
        <f aca="false">IF(CO$50=Stabilization_1st_Month,CN93+CO90,0)</f>
        <v>0</v>
      </c>
      <c r="CP92" s="7" t="n">
        <f aca="false">IF(CP$50=Stabilization_1st_Month,CO93+CP90,0)</f>
        <v>0</v>
      </c>
      <c r="CQ92" s="7" t="n">
        <f aca="false">IF(CQ$50=Stabilization_1st_Month,CP93+CQ90,0)</f>
        <v>0</v>
      </c>
      <c r="CR92" s="7" t="n">
        <f aca="false">IF(CR$50=Stabilization_1st_Month,CQ93+CR90,0)</f>
        <v>0</v>
      </c>
      <c r="CS92" s="7" t="n">
        <f aca="false">IF(CS$50=Stabilization_1st_Month,CR93+CS90,0)</f>
        <v>0</v>
      </c>
      <c r="CT92" s="7" t="n">
        <f aca="false">IF(CT$50=Stabilization_1st_Month,CS93+CT90,0)</f>
        <v>0</v>
      </c>
      <c r="CU92" s="7" t="n">
        <f aca="false">IF(CU$50=Stabilization_1st_Month,CT93+CU90,0)</f>
        <v>0</v>
      </c>
      <c r="CV92" s="7" t="n">
        <f aca="false">IF(CV$50=Stabilization_1st_Month,CU93+CV90,0)</f>
        <v>0</v>
      </c>
      <c r="CW92" s="7" t="n">
        <f aca="false">IF(CW$50=Stabilization_1st_Month,CV93+CW90,0)</f>
        <v>0</v>
      </c>
      <c r="CX92" s="7" t="n">
        <f aca="false">IF(CX$50=Stabilization_1st_Month,CW93+CX90,0)</f>
        <v>0</v>
      </c>
      <c r="CY92" s="7" t="n">
        <f aca="false">IF(CY$50=Stabilization_1st_Month,CX93+CY90,0)</f>
        <v>0</v>
      </c>
    </row>
    <row r="93" customFormat="false" ht="15" hidden="false" customHeight="false" outlineLevel="0" collapsed="false">
      <c r="B93" s="0" t="s">
        <v>97</v>
      </c>
      <c r="S93" s="7" t="n">
        <f aca="false">0+S90-S92</f>
        <v>10584000</v>
      </c>
      <c r="T93" s="7" t="n">
        <f aca="false">S93+T90-T92</f>
        <v>12337167.3080609</v>
      </c>
      <c r="U93" s="7" t="n">
        <f aca="false">T93+U90-U92</f>
        <v>14947993.9649784</v>
      </c>
      <c r="V93" s="7" t="n">
        <f aca="false">U93+V90-V92</f>
        <v>18366718.0629647</v>
      </c>
      <c r="W93" s="7" t="n">
        <f aca="false">V93+W90-W92</f>
        <v>23784457.3866832</v>
      </c>
      <c r="X93" s="7" t="n">
        <f aca="false">W93+X90-X92</f>
        <v>32321551.9737676</v>
      </c>
      <c r="Y93" s="7" t="n">
        <f aca="false">X93+Y90-Y92</f>
        <v>43718426.1559692</v>
      </c>
      <c r="Z93" s="7" t="n">
        <f aca="false">Y93+Z90-Z92</f>
        <v>57616895.9204358</v>
      </c>
      <c r="AA93" s="7" t="n">
        <f aca="false">Z93+AA90-AA92</f>
        <v>73572964.5612584</v>
      </c>
      <c r="AB93" s="7" t="n">
        <f aca="false">AA93+AB90-AB92</f>
        <v>91072573.9261583</v>
      </c>
      <c r="AC93" s="7" t="n">
        <f aca="false">AB93+AC90-AC92</f>
        <v>109549749.638745</v>
      </c>
      <c r="AD93" s="7" t="n">
        <f aca="false">AC93+AD90-AD92</f>
        <v>128406496.611484</v>
      </c>
      <c r="AE93" s="7" t="n">
        <f aca="false">AD93+AE90-AE92</f>
        <v>148866469.314739</v>
      </c>
      <c r="AF93" s="7" t="n">
        <f aca="false">AE93+AF90-AF92</f>
        <v>168498043.451413</v>
      </c>
      <c r="AG93" s="7" t="n">
        <f aca="false">AF93+AG90-AG92</f>
        <v>186733316.652124</v>
      </c>
      <c r="AH93" s="7" t="n">
        <f aca="false">AG93+AH90-AH92</f>
        <v>203055038.46555</v>
      </c>
      <c r="AI93" s="7" t="n">
        <f aca="false">AH93+AI90-AI92</f>
        <v>217014422.621361</v>
      </c>
      <c r="AJ93" s="7" t="n">
        <f aca="false">AI93+AJ90-AJ92</f>
        <v>228683729.320176</v>
      </c>
      <c r="AK93" s="7" t="n">
        <f aca="false">AJ93+AK90-AK92</f>
        <v>238214595.109769</v>
      </c>
      <c r="AL93" s="7" t="n">
        <f aca="false">AK93+AL90-AL92</f>
        <v>245393600.429905</v>
      </c>
      <c r="AM93" s="7" t="n">
        <f aca="false">AL93+AM90-AM92</f>
        <v>250086661.412555</v>
      </c>
      <c r="AN93" s="7" t="n">
        <f aca="false">AM93+AN90-AN92</f>
        <v>253444927.711903</v>
      </c>
      <c r="AO93" s="7" t="n">
        <f aca="false">AN93+AO90-AO92</f>
        <v>256664100</v>
      </c>
      <c r="AP93" s="7" t="n">
        <f aca="false">AO93+AP90-AP92</f>
        <v>256664100</v>
      </c>
      <c r="AQ93" s="7" t="n">
        <f aca="false">AP93+AQ90-AQ92</f>
        <v>256664100</v>
      </c>
      <c r="AR93" s="7" t="n">
        <f aca="false">AQ93+AR90-AR92</f>
        <v>256664100</v>
      </c>
      <c r="AS93" s="7" t="n">
        <f aca="false">AR93+AS90-AS92</f>
        <v>256664100</v>
      </c>
      <c r="AT93" s="7" t="n">
        <f aca="false">AS93+AT90-AT92</f>
        <v>256664100</v>
      </c>
      <c r="AU93" s="7" t="n">
        <f aca="false">AT93+AU90-AU92</f>
        <v>256664100</v>
      </c>
      <c r="AV93" s="7" t="n">
        <f aca="false">AU93+AV90-AV92</f>
        <v>256664100</v>
      </c>
      <c r="AW93" s="7" t="n">
        <f aca="false">AV93+AW90-AW92</f>
        <v>256664100</v>
      </c>
      <c r="AX93" s="7" t="n">
        <f aca="false">AW93+AX90-AX92</f>
        <v>256664100</v>
      </c>
      <c r="AY93" s="7" t="n">
        <f aca="false">AX93+AY90-AY92</f>
        <v>256664100</v>
      </c>
      <c r="AZ93" s="7" t="n">
        <f aca="false">AY93+AZ90-AZ92</f>
        <v>256664100</v>
      </c>
      <c r="BA93" s="7" t="n">
        <f aca="false">AZ93+BA90-BA92</f>
        <v>256664100</v>
      </c>
      <c r="BB93" s="7" t="n">
        <f aca="false">BA93+BB90-BB92</f>
        <v>256664100</v>
      </c>
      <c r="BC93" s="7" t="n">
        <f aca="false">BB93+BC90-BC92</f>
        <v>256664100</v>
      </c>
      <c r="BD93" s="7" t="n">
        <f aca="false">BC93+BD90-BD92</f>
        <v>256664100</v>
      </c>
      <c r="BE93" s="7" t="n">
        <f aca="false">BD93+BE90-BE92</f>
        <v>256664100</v>
      </c>
      <c r="BF93" s="7" t="n">
        <f aca="false">BE93+BF90-BF92</f>
        <v>256664100</v>
      </c>
      <c r="BG93" s="7" t="n">
        <f aca="false">BF93+BG90-BG92</f>
        <v>0</v>
      </c>
      <c r="BH93" s="7" t="n">
        <f aca="false">BG93+BH90-BH92</f>
        <v>0</v>
      </c>
      <c r="BI93" s="7" t="n">
        <f aca="false">BH93+BI90-BI92</f>
        <v>0</v>
      </c>
      <c r="BJ93" s="7" t="n">
        <f aca="false">BI93+BJ90-BJ92</f>
        <v>0</v>
      </c>
      <c r="BK93" s="7" t="n">
        <f aca="false">BJ93+BK90-BK92</f>
        <v>0</v>
      </c>
      <c r="BL93" s="7" t="n">
        <f aca="false">BK93+BL90-BL92</f>
        <v>0</v>
      </c>
      <c r="BM93" s="7" t="n">
        <f aca="false">BL93+BM90-BM92</f>
        <v>0</v>
      </c>
      <c r="BN93" s="7" t="n">
        <f aca="false">BM93+BN90-BN92</f>
        <v>0</v>
      </c>
      <c r="BO93" s="7" t="n">
        <f aca="false">BN93+BO90-BO92</f>
        <v>0</v>
      </c>
      <c r="BP93" s="7" t="n">
        <f aca="false">BO93+BP90-BP92</f>
        <v>0</v>
      </c>
      <c r="BQ93" s="7" t="n">
        <f aca="false">BP93+BQ90-BQ92</f>
        <v>0</v>
      </c>
      <c r="BR93" s="7" t="n">
        <f aca="false">BQ93+BR90-BR92</f>
        <v>0</v>
      </c>
      <c r="BS93" s="7" t="n">
        <f aca="false">BR93+BS90-BS92</f>
        <v>0</v>
      </c>
      <c r="BT93" s="7" t="n">
        <f aca="false">BS93+BT90-BT92</f>
        <v>0</v>
      </c>
      <c r="BU93" s="7" t="n">
        <f aca="false">BT93+BU90-BU92</f>
        <v>0</v>
      </c>
      <c r="BV93" s="7" t="n">
        <f aca="false">BU93+BV90-BV92</f>
        <v>0</v>
      </c>
      <c r="BW93" s="7" t="n">
        <f aca="false">BV93+BW90-BW92</f>
        <v>0</v>
      </c>
      <c r="BX93" s="7" t="n">
        <f aca="false">BW93+BX90-BX92</f>
        <v>0</v>
      </c>
      <c r="BY93" s="7" t="n">
        <f aca="false">BX93+BY90-BY92</f>
        <v>0</v>
      </c>
      <c r="BZ93" s="7" t="n">
        <f aca="false">BY93+BZ90-BZ92</f>
        <v>0</v>
      </c>
      <c r="CA93" s="7" t="n">
        <f aca="false">BZ93+CA90-CA92</f>
        <v>0</v>
      </c>
      <c r="CB93" s="7" t="n">
        <f aca="false">CA93+CB90-CB92</f>
        <v>0</v>
      </c>
      <c r="CC93" s="7" t="n">
        <f aca="false">CB93+CC90-CC92</f>
        <v>0</v>
      </c>
      <c r="CD93" s="7" t="n">
        <f aca="false">CC93+CD90-CD92</f>
        <v>0</v>
      </c>
      <c r="CE93" s="7" t="n">
        <f aca="false">CD93+CE90-CE92</f>
        <v>0</v>
      </c>
      <c r="CF93" s="7" t="n">
        <f aca="false">CE93+CF90-CF92</f>
        <v>0</v>
      </c>
      <c r="CG93" s="7" t="n">
        <f aca="false">CF93+CG90-CG92</f>
        <v>0</v>
      </c>
      <c r="CH93" s="7" t="n">
        <f aca="false">CG93+CH90-CH92</f>
        <v>0</v>
      </c>
      <c r="CI93" s="7" t="n">
        <f aca="false">CH93+CI90-CI92</f>
        <v>0</v>
      </c>
      <c r="CJ93" s="7" t="n">
        <f aca="false">CI93+CJ90-CJ92</f>
        <v>0</v>
      </c>
      <c r="CK93" s="7" t="n">
        <f aca="false">CJ93+CK90-CK92</f>
        <v>0</v>
      </c>
      <c r="CL93" s="7" t="n">
        <f aca="false">CK93+CL90-CL92</f>
        <v>0</v>
      </c>
      <c r="CM93" s="7" t="n">
        <f aca="false">CL93+CM90-CM92</f>
        <v>0</v>
      </c>
      <c r="CN93" s="7" t="n">
        <f aca="false">CM93+CN90-CN92</f>
        <v>0</v>
      </c>
      <c r="CO93" s="7" t="n">
        <f aca="false">CN93+CO90-CO92</f>
        <v>0</v>
      </c>
      <c r="CP93" s="7" t="n">
        <f aca="false">CO93+CP90-CP92</f>
        <v>0</v>
      </c>
      <c r="CQ93" s="7" t="n">
        <f aca="false">CP93+CQ90-CQ92</f>
        <v>0</v>
      </c>
      <c r="CR93" s="7" t="n">
        <f aca="false">CQ93+CR90-CR92</f>
        <v>0</v>
      </c>
      <c r="CS93" s="7" t="n">
        <f aca="false">CR93+CS90-CS92</f>
        <v>0</v>
      </c>
      <c r="CT93" s="7" t="n">
        <f aca="false">CS93+CT90-CT92</f>
        <v>0</v>
      </c>
      <c r="CU93" s="7" t="n">
        <f aca="false">CT93+CU90-CU92</f>
        <v>0</v>
      </c>
      <c r="CV93" s="7" t="n">
        <f aca="false">CU93+CV90-CV92</f>
        <v>0</v>
      </c>
      <c r="CW93" s="7" t="n">
        <f aca="false">CV93+CW90-CW92</f>
        <v>0</v>
      </c>
      <c r="CX93" s="7" t="n">
        <f aca="false">CW93+CX90-CX92</f>
        <v>0</v>
      </c>
      <c r="CY93" s="7" t="n">
        <f aca="false">CX93+CY90-CY92</f>
        <v>0</v>
      </c>
    </row>
    <row r="95" customFormat="false" ht="15" hidden="false" customHeight="false" outlineLevel="0" collapsed="false">
      <c r="B95" s="0" t="s">
        <v>98</v>
      </c>
      <c r="S95" s="7" t="n">
        <f aca="false">(S$50=Stabilization_1st_Month)*Perm_Debt</f>
        <v>0</v>
      </c>
      <c r="T95" s="7" t="n">
        <f aca="false">(T$50=Stabilization_1st_Month)*Perm_Debt</f>
        <v>0</v>
      </c>
      <c r="U95" s="7" t="n">
        <f aca="false">(U$50=Stabilization_1st_Month)*Perm_Debt</f>
        <v>0</v>
      </c>
      <c r="V95" s="7" t="n">
        <f aca="false">(V$50=Stabilization_1st_Month)*Perm_Debt</f>
        <v>0</v>
      </c>
      <c r="W95" s="7" t="n">
        <f aca="false">(W$50=Stabilization_1st_Month)*Perm_Debt</f>
        <v>0</v>
      </c>
      <c r="X95" s="7" t="n">
        <f aca="false">(X$50=Stabilization_1st_Month)*Perm_Debt</f>
        <v>0</v>
      </c>
      <c r="Y95" s="7" t="n">
        <f aca="false">(Y$50=Stabilization_1st_Month)*Perm_Debt</f>
        <v>0</v>
      </c>
      <c r="Z95" s="7" t="n">
        <f aca="false">(Z$50=Stabilization_1st_Month)*Perm_Debt</f>
        <v>0</v>
      </c>
      <c r="AA95" s="7" t="n">
        <f aca="false">(AA$50=Stabilization_1st_Month)*Perm_Debt</f>
        <v>0</v>
      </c>
      <c r="AB95" s="7" t="n">
        <f aca="false">(AB$50=Stabilization_1st_Month)*Perm_Debt</f>
        <v>0</v>
      </c>
      <c r="AC95" s="7" t="n">
        <f aca="false">(AC$50=Stabilization_1st_Month)*Perm_Debt</f>
        <v>0</v>
      </c>
      <c r="AD95" s="7" t="n">
        <f aca="false">(AD$50=Stabilization_1st_Month)*Perm_Debt</f>
        <v>0</v>
      </c>
      <c r="AE95" s="7" t="n">
        <f aca="false">(AE$50=Stabilization_1st_Month)*Perm_Debt</f>
        <v>0</v>
      </c>
      <c r="AF95" s="7" t="n">
        <f aca="false">(AF$50=Stabilization_1st_Month)*Perm_Debt</f>
        <v>0</v>
      </c>
      <c r="AG95" s="7" t="n">
        <f aca="false">(AG$50=Stabilization_1st_Month)*Perm_Debt</f>
        <v>0</v>
      </c>
      <c r="AH95" s="7" t="n">
        <f aca="false">(AH$50=Stabilization_1st_Month)*Perm_Debt</f>
        <v>0</v>
      </c>
      <c r="AI95" s="7" t="n">
        <f aca="false">(AI$50=Stabilization_1st_Month)*Perm_Debt</f>
        <v>0</v>
      </c>
      <c r="AJ95" s="7" t="n">
        <f aca="false">(AJ$50=Stabilization_1st_Month)*Perm_Debt</f>
        <v>0</v>
      </c>
      <c r="AK95" s="7" t="n">
        <f aca="false">(AK$50=Stabilization_1st_Month)*Perm_Debt</f>
        <v>0</v>
      </c>
      <c r="AL95" s="7" t="n">
        <f aca="false">(AL$50=Stabilization_1st_Month)*Perm_Debt</f>
        <v>0</v>
      </c>
      <c r="AM95" s="7" t="n">
        <f aca="false">(AM$50=Stabilization_1st_Month)*Perm_Debt</f>
        <v>0</v>
      </c>
      <c r="AN95" s="7" t="n">
        <f aca="false">(AN$50=Stabilization_1st_Month)*Perm_Debt</f>
        <v>0</v>
      </c>
      <c r="AO95" s="7" t="n">
        <f aca="false">(AO$50=Stabilization_1st_Month)*Perm_Debt</f>
        <v>0</v>
      </c>
      <c r="AP95" s="7" t="n">
        <f aca="false">(AP$50=Stabilization_1st_Month)*Perm_Debt</f>
        <v>0</v>
      </c>
      <c r="AQ95" s="7" t="n">
        <f aca="false">(AQ$50=Stabilization_1st_Month)*Perm_Debt</f>
        <v>0</v>
      </c>
      <c r="AR95" s="7" t="n">
        <f aca="false">(AR$50=Stabilization_1st_Month)*Perm_Debt</f>
        <v>0</v>
      </c>
      <c r="AS95" s="7" t="n">
        <f aca="false">(AS$50=Stabilization_1st_Month)*Perm_Debt</f>
        <v>0</v>
      </c>
      <c r="AT95" s="7" t="n">
        <f aca="false">(AT$50=Stabilization_1st_Month)*Perm_Debt</f>
        <v>0</v>
      </c>
      <c r="AU95" s="7" t="n">
        <f aca="false">(AU$50=Stabilization_1st_Month)*Perm_Debt</f>
        <v>0</v>
      </c>
      <c r="AV95" s="7" t="n">
        <f aca="false">(AV$50=Stabilization_1st_Month)*Perm_Debt</f>
        <v>0</v>
      </c>
      <c r="AW95" s="7" t="n">
        <f aca="false">(AW$50=Stabilization_1st_Month)*Perm_Debt</f>
        <v>0</v>
      </c>
      <c r="AX95" s="7" t="n">
        <f aca="false">(AX$50=Stabilization_1st_Month)*Perm_Debt</f>
        <v>0</v>
      </c>
      <c r="AY95" s="7" t="n">
        <f aca="false">(AY$50=Stabilization_1st_Month)*Perm_Debt</f>
        <v>0</v>
      </c>
      <c r="AZ95" s="7" t="n">
        <f aca="false">(AZ$50=Stabilization_1st_Month)*Perm_Debt</f>
        <v>0</v>
      </c>
      <c r="BA95" s="7" t="n">
        <f aca="false">(BA$50=Stabilization_1st_Month)*Perm_Debt</f>
        <v>0</v>
      </c>
      <c r="BB95" s="7" t="n">
        <f aca="false">(BB$50=Stabilization_1st_Month)*Perm_Debt</f>
        <v>0</v>
      </c>
      <c r="BC95" s="7" t="n">
        <f aca="false">(BC$50=Stabilization_1st_Month)*Perm_Debt</f>
        <v>0</v>
      </c>
      <c r="BD95" s="7" t="n">
        <f aca="false">(BD$50=Stabilization_1st_Month)*Perm_Debt</f>
        <v>0</v>
      </c>
      <c r="BE95" s="7" t="n">
        <f aca="false">(BE$50=Stabilization_1st_Month)*Perm_Debt</f>
        <v>0</v>
      </c>
      <c r="BF95" s="7" t="n">
        <f aca="false">(BF$50=Stabilization_1st_Month)*Perm_Debt</f>
        <v>0</v>
      </c>
      <c r="BG95" s="7" t="n">
        <f aca="false">(BG$50=Stabilization_1st_Month)*Perm_Debt</f>
        <v>323444688</v>
      </c>
      <c r="BH95" s="7" t="n">
        <f aca="false">(BH$50=Stabilization_1st_Month)*Perm_Debt</f>
        <v>0</v>
      </c>
      <c r="BI95" s="7" t="n">
        <f aca="false">(BI$50=Stabilization_1st_Month)*Perm_Debt</f>
        <v>0</v>
      </c>
      <c r="BJ95" s="7" t="n">
        <f aca="false">(BJ$50=Stabilization_1st_Month)*Perm_Debt</f>
        <v>0</v>
      </c>
      <c r="BK95" s="7" t="n">
        <f aca="false">(BK$50=Stabilization_1st_Month)*Perm_Debt</f>
        <v>0</v>
      </c>
      <c r="BL95" s="7" t="n">
        <f aca="false">(BL$50=Stabilization_1st_Month)*Perm_Debt</f>
        <v>0</v>
      </c>
      <c r="BM95" s="7" t="n">
        <f aca="false">(BM$50=Stabilization_1st_Month)*Perm_Debt</f>
        <v>0</v>
      </c>
      <c r="BN95" s="7" t="n">
        <f aca="false">(BN$50=Stabilization_1st_Month)*Perm_Debt</f>
        <v>0</v>
      </c>
      <c r="BO95" s="7" t="n">
        <f aca="false">(BO$50=Stabilization_1st_Month)*Perm_Debt</f>
        <v>0</v>
      </c>
      <c r="BP95" s="7" t="n">
        <f aca="false">(BP$50=Stabilization_1st_Month)*Perm_Debt</f>
        <v>0</v>
      </c>
      <c r="BQ95" s="7" t="n">
        <f aca="false">(BQ$50=Stabilization_1st_Month)*Perm_Debt</f>
        <v>0</v>
      </c>
      <c r="BR95" s="7" t="n">
        <f aca="false">(BR$50=Stabilization_1st_Month)*Perm_Debt</f>
        <v>0</v>
      </c>
      <c r="BS95" s="7" t="n">
        <f aca="false">(BS$50=Stabilization_1st_Month)*Perm_Debt</f>
        <v>0</v>
      </c>
      <c r="BT95" s="7" t="n">
        <f aca="false">(BT$50=Stabilization_1st_Month)*Perm_Debt</f>
        <v>0</v>
      </c>
      <c r="BU95" s="7" t="n">
        <f aca="false">(BU$50=Stabilization_1st_Month)*Perm_Debt</f>
        <v>0</v>
      </c>
      <c r="BV95" s="7" t="n">
        <f aca="false">(BV$50=Stabilization_1st_Month)*Perm_Debt</f>
        <v>0</v>
      </c>
      <c r="BW95" s="7" t="n">
        <f aca="false">(BW$50=Stabilization_1st_Month)*Perm_Debt</f>
        <v>0</v>
      </c>
      <c r="BX95" s="7" t="n">
        <f aca="false">(BX$50=Stabilization_1st_Month)*Perm_Debt</f>
        <v>0</v>
      </c>
      <c r="BY95" s="7" t="n">
        <f aca="false">(BY$50=Stabilization_1st_Month)*Perm_Debt</f>
        <v>0</v>
      </c>
      <c r="BZ95" s="7" t="n">
        <f aca="false">(BZ$50=Stabilization_1st_Month)*Perm_Debt</f>
        <v>0</v>
      </c>
      <c r="CA95" s="7" t="n">
        <f aca="false">(CA$50=Stabilization_1st_Month)*Perm_Debt</f>
        <v>0</v>
      </c>
      <c r="CB95" s="7" t="n">
        <f aca="false">(CB$50=Stabilization_1st_Month)*Perm_Debt</f>
        <v>0</v>
      </c>
      <c r="CC95" s="7" t="n">
        <f aca="false">(CC$50=Stabilization_1st_Month)*Perm_Debt</f>
        <v>0</v>
      </c>
      <c r="CD95" s="7" t="n">
        <f aca="false">(CD$50=Stabilization_1st_Month)*Perm_Debt</f>
        <v>0</v>
      </c>
      <c r="CE95" s="7" t="n">
        <f aca="false">(CE$50=Stabilization_1st_Month)*Perm_Debt</f>
        <v>0</v>
      </c>
      <c r="CF95" s="7" t="n">
        <f aca="false">(CF$50=Stabilization_1st_Month)*Perm_Debt</f>
        <v>0</v>
      </c>
      <c r="CG95" s="7" t="n">
        <f aca="false">(CG$50=Stabilization_1st_Month)*Perm_Debt</f>
        <v>0</v>
      </c>
      <c r="CH95" s="7" t="n">
        <f aca="false">(CH$50=Stabilization_1st_Month)*Perm_Debt</f>
        <v>0</v>
      </c>
      <c r="CI95" s="7" t="n">
        <f aca="false">(CI$50=Stabilization_1st_Month)*Perm_Debt</f>
        <v>0</v>
      </c>
      <c r="CJ95" s="7" t="n">
        <f aca="false">(CJ$50=Stabilization_1st_Month)*Perm_Debt</f>
        <v>0</v>
      </c>
      <c r="CK95" s="7" t="n">
        <f aca="false">(CK$50=Stabilization_1st_Month)*Perm_Debt</f>
        <v>0</v>
      </c>
      <c r="CL95" s="7" t="n">
        <f aca="false">(CL$50=Stabilization_1st_Month)*Perm_Debt</f>
        <v>0</v>
      </c>
      <c r="CM95" s="7" t="n">
        <f aca="false">(CM$50=Stabilization_1st_Month)*Perm_Debt</f>
        <v>0</v>
      </c>
      <c r="CN95" s="7" t="n">
        <f aca="false">(CN$50=Stabilization_1st_Month)*Perm_Debt</f>
        <v>0</v>
      </c>
      <c r="CO95" s="7" t="n">
        <f aca="false">(CO$50=Stabilization_1st_Month)*Perm_Debt</f>
        <v>0</v>
      </c>
      <c r="CP95" s="7" t="n">
        <f aca="false">(CP$50=Stabilization_1st_Month)*Perm_Debt</f>
        <v>0</v>
      </c>
      <c r="CQ95" s="7" t="n">
        <f aca="false">(CQ$50=Stabilization_1st_Month)*Perm_Debt</f>
        <v>0</v>
      </c>
      <c r="CR95" s="7" t="n">
        <f aca="false">(CR$50=Stabilization_1st_Month)*Perm_Debt</f>
        <v>0</v>
      </c>
      <c r="CS95" s="7" t="n">
        <f aca="false">(CS$50=Stabilization_1st_Month)*Perm_Debt</f>
        <v>0</v>
      </c>
      <c r="CT95" s="7" t="n">
        <f aca="false">(CT$50=Stabilization_1st_Month)*Perm_Debt</f>
        <v>0</v>
      </c>
      <c r="CU95" s="7" t="n">
        <f aca="false">(CU$50=Stabilization_1st_Month)*Perm_Debt</f>
        <v>0</v>
      </c>
      <c r="CV95" s="7" t="n">
        <f aca="false">(CV$50=Stabilization_1st_Month)*Perm_Debt</f>
        <v>0</v>
      </c>
      <c r="CW95" s="7" t="n">
        <f aca="false">(CW$50=Stabilization_1st_Month)*Perm_Debt</f>
        <v>0</v>
      </c>
      <c r="CX95" s="7" t="n">
        <f aca="false">(CX$50=Stabilization_1st_Month)*Perm_Debt</f>
        <v>0</v>
      </c>
      <c r="CY95" s="7" t="n">
        <f aca="false">(CY$50=Stabilization_1st_Month)*Perm_Debt</f>
        <v>0</v>
      </c>
    </row>
    <row r="96" customFormat="false" ht="15" hidden="false" customHeight="false" outlineLevel="0" collapsed="false">
      <c r="B96" s="0" t="s">
        <v>99</v>
      </c>
      <c r="S96" s="7" t="n">
        <f aca="false">AND(S$50&gt;Stabilization_1st_Month,(S$50&lt;=Sale_Month))*Perm_Debt*$G$26/12</f>
        <v>0</v>
      </c>
      <c r="T96" s="7" t="n">
        <f aca="false">AND(T$50&gt;Stabilization_1st_Month,(T$50&lt;=Sale_Month))*Perm_Debt*$G$26/12</f>
        <v>0</v>
      </c>
      <c r="U96" s="7" t="n">
        <f aca="false">AND(U$50&gt;Stabilization_1st_Month,(U$50&lt;=Sale_Month))*Perm_Debt*$G$26/12</f>
        <v>0</v>
      </c>
      <c r="V96" s="7" t="n">
        <f aca="false">AND(V$50&gt;Stabilization_1st_Month,(V$50&lt;=Sale_Month))*Perm_Debt*$G$26/12</f>
        <v>0</v>
      </c>
      <c r="W96" s="7" t="n">
        <f aca="false">AND(W$50&gt;Stabilization_1st_Month,(W$50&lt;=Sale_Month))*Perm_Debt*$G$26/12</f>
        <v>0</v>
      </c>
      <c r="X96" s="7" t="n">
        <f aca="false">AND(X$50&gt;Stabilization_1st_Month,(X$50&lt;=Sale_Month))*Perm_Debt*$G$26/12</f>
        <v>0</v>
      </c>
      <c r="Y96" s="7" t="n">
        <f aca="false">AND(Y$50&gt;Stabilization_1st_Month,(Y$50&lt;=Sale_Month))*Perm_Debt*$G$26/12</f>
        <v>0</v>
      </c>
      <c r="Z96" s="7" t="n">
        <f aca="false">AND(Z$50&gt;Stabilization_1st_Month,(Z$50&lt;=Sale_Month))*Perm_Debt*$G$26/12</f>
        <v>0</v>
      </c>
      <c r="AA96" s="7" t="n">
        <f aca="false">AND(AA$50&gt;Stabilization_1st_Month,(AA$50&lt;=Sale_Month))*Perm_Debt*$G$26/12</f>
        <v>0</v>
      </c>
      <c r="AB96" s="7" t="n">
        <f aca="false">AND(AB$50&gt;Stabilization_1st_Month,(AB$50&lt;=Sale_Month))*Perm_Debt*$G$26/12</f>
        <v>0</v>
      </c>
      <c r="AC96" s="7" t="n">
        <f aca="false">AND(AC$50&gt;Stabilization_1st_Month,(AC$50&lt;=Sale_Month))*Perm_Debt*$G$26/12</f>
        <v>0</v>
      </c>
      <c r="AD96" s="7" t="n">
        <f aca="false">AND(AD$50&gt;Stabilization_1st_Month,(AD$50&lt;=Sale_Month))*Perm_Debt*$G$26/12</f>
        <v>0</v>
      </c>
      <c r="AE96" s="7" t="n">
        <f aca="false">AND(AE$50&gt;Stabilization_1st_Month,(AE$50&lt;=Sale_Month))*Perm_Debt*$G$26/12</f>
        <v>0</v>
      </c>
      <c r="AF96" s="7" t="n">
        <f aca="false">AND(AF$50&gt;Stabilization_1st_Month,(AF$50&lt;=Sale_Month))*Perm_Debt*$G$26/12</f>
        <v>0</v>
      </c>
      <c r="AG96" s="7" t="n">
        <f aca="false">AND(AG$50&gt;Stabilization_1st_Month,(AG$50&lt;=Sale_Month))*Perm_Debt*$G$26/12</f>
        <v>0</v>
      </c>
      <c r="AH96" s="7" t="n">
        <f aca="false">AND(AH$50&gt;Stabilization_1st_Month,(AH$50&lt;=Sale_Month))*Perm_Debt*$G$26/12</f>
        <v>0</v>
      </c>
      <c r="AI96" s="7" t="n">
        <f aca="false">AND(AI$50&gt;Stabilization_1st_Month,(AI$50&lt;=Sale_Month))*Perm_Debt*$G$26/12</f>
        <v>0</v>
      </c>
      <c r="AJ96" s="7" t="n">
        <f aca="false">AND(AJ$50&gt;Stabilization_1st_Month,(AJ$50&lt;=Sale_Month))*Perm_Debt*$G$26/12</f>
        <v>0</v>
      </c>
      <c r="AK96" s="7" t="n">
        <f aca="false">AND(AK$50&gt;Stabilization_1st_Month,(AK$50&lt;=Sale_Month))*Perm_Debt*$G$26/12</f>
        <v>0</v>
      </c>
      <c r="AL96" s="7" t="n">
        <f aca="false">AND(AL$50&gt;Stabilization_1st_Month,(AL$50&lt;=Sale_Month))*Perm_Debt*$G$26/12</f>
        <v>0</v>
      </c>
      <c r="AM96" s="7" t="n">
        <f aca="false">AND(AM$50&gt;Stabilization_1st_Month,(AM$50&lt;=Sale_Month))*Perm_Debt*$G$26/12</f>
        <v>0</v>
      </c>
      <c r="AN96" s="7" t="n">
        <f aca="false">AND(AN$50&gt;Stabilization_1st_Month,(AN$50&lt;=Sale_Month))*Perm_Debt*$G$26/12</f>
        <v>0</v>
      </c>
      <c r="AO96" s="7" t="n">
        <f aca="false">AND(AO$50&gt;Stabilization_1st_Month,(AO$50&lt;=Sale_Month))*Perm_Debt*$G$26/12</f>
        <v>0</v>
      </c>
      <c r="AP96" s="7" t="n">
        <f aca="false">AND(AP$50&gt;Stabilization_1st_Month,(AP$50&lt;=Sale_Month))*Perm_Debt*$G$26/12</f>
        <v>0</v>
      </c>
      <c r="AQ96" s="7" t="n">
        <f aca="false">AND(AQ$50&gt;Stabilization_1st_Month,(AQ$50&lt;=Sale_Month))*Perm_Debt*$G$26/12</f>
        <v>0</v>
      </c>
      <c r="AR96" s="7" t="n">
        <f aca="false">AND(AR$50&gt;Stabilization_1st_Month,(AR$50&lt;=Sale_Month))*Perm_Debt*$G$26/12</f>
        <v>0</v>
      </c>
      <c r="AS96" s="7" t="n">
        <f aca="false">AND(AS$50&gt;Stabilization_1st_Month,(AS$50&lt;=Sale_Month))*Perm_Debt*$G$26/12</f>
        <v>0</v>
      </c>
      <c r="AT96" s="7" t="n">
        <f aca="false">AND(AT$50&gt;Stabilization_1st_Month,(AT$50&lt;=Sale_Month))*Perm_Debt*$G$26/12</f>
        <v>0</v>
      </c>
      <c r="AU96" s="7" t="n">
        <f aca="false">AND(AU$50&gt;Stabilization_1st_Month,(AU$50&lt;=Sale_Month))*Perm_Debt*$G$26/12</f>
        <v>0</v>
      </c>
      <c r="AV96" s="7" t="n">
        <f aca="false">AND(AV$50&gt;Stabilization_1st_Month,(AV$50&lt;=Sale_Month))*Perm_Debt*$G$26/12</f>
        <v>0</v>
      </c>
      <c r="AW96" s="7" t="n">
        <f aca="false">AND(AW$50&gt;Stabilization_1st_Month,(AW$50&lt;=Sale_Month))*Perm_Debt*$G$26/12</f>
        <v>0</v>
      </c>
      <c r="AX96" s="7" t="n">
        <f aca="false">AND(AX$50&gt;Stabilization_1st_Month,(AX$50&lt;=Sale_Month))*Perm_Debt*$G$26/12</f>
        <v>0</v>
      </c>
      <c r="AY96" s="7" t="n">
        <f aca="false">AND(AY$50&gt;Stabilization_1st_Month,(AY$50&lt;=Sale_Month))*Perm_Debt*$G$26/12</f>
        <v>0</v>
      </c>
      <c r="AZ96" s="7" t="n">
        <f aca="false">AND(AZ$50&gt;Stabilization_1st_Month,(AZ$50&lt;=Sale_Month))*Perm_Debt*$G$26/12</f>
        <v>0</v>
      </c>
      <c r="BA96" s="7" t="n">
        <f aca="false">AND(BA$50&gt;Stabilization_1st_Month,(BA$50&lt;=Sale_Month))*Perm_Debt*$G$26/12</f>
        <v>0</v>
      </c>
      <c r="BB96" s="7" t="n">
        <f aca="false">AND(BB$50&gt;Stabilization_1st_Month,(BB$50&lt;=Sale_Month))*Perm_Debt*$G$26/12</f>
        <v>0</v>
      </c>
      <c r="BC96" s="7" t="n">
        <f aca="false">AND(BC$50&gt;Stabilization_1st_Month,(BC$50&lt;=Sale_Month))*Perm_Debt*$G$26/12</f>
        <v>0</v>
      </c>
      <c r="BD96" s="7" t="n">
        <f aca="false">AND(BD$50&gt;Stabilization_1st_Month,(BD$50&lt;=Sale_Month))*Perm_Debt*$G$26/12</f>
        <v>0</v>
      </c>
      <c r="BE96" s="7" t="n">
        <f aca="false">AND(BE$50&gt;Stabilization_1st_Month,(BE$50&lt;=Sale_Month))*Perm_Debt*$G$26/12</f>
        <v>0</v>
      </c>
      <c r="BF96" s="7" t="n">
        <f aca="false">AND(BF$50&gt;Stabilization_1st_Month,(BF$50&lt;=Sale_Month))*Perm_Debt*$G$26/12</f>
        <v>0</v>
      </c>
      <c r="BG96" s="7" t="n">
        <f aca="false">AND(BG$50&gt;Stabilization_1st_Month,(BG$50&lt;=Sale_Month))*Perm_Debt*$G$26/12</f>
        <v>0</v>
      </c>
      <c r="BH96" s="7" t="n">
        <f aca="false">AND(BH$50&gt;Stabilization_1st_Month,(BH$50&lt;=Sale_Month))*Perm_Debt*$G$26/12</f>
        <v>1684607.75</v>
      </c>
      <c r="BI96" s="7" t="n">
        <f aca="false">AND(BI$50&gt;Stabilization_1st_Month,(BI$50&lt;=Sale_Month))*Perm_Debt*$G$26/12</f>
        <v>1684607.75</v>
      </c>
      <c r="BJ96" s="7" t="n">
        <f aca="false">AND(BJ$50&gt;Stabilization_1st_Month,(BJ$50&lt;=Sale_Month))*Perm_Debt*$G$26/12</f>
        <v>1684607.75</v>
      </c>
      <c r="BK96" s="7" t="n">
        <f aca="false">AND(BK$50&gt;Stabilization_1st_Month,(BK$50&lt;=Sale_Month))*Perm_Debt*$G$26/12</f>
        <v>1684607.75</v>
      </c>
      <c r="BL96" s="7" t="n">
        <f aca="false">AND(BL$50&gt;Stabilization_1st_Month,(BL$50&lt;=Sale_Month))*Perm_Debt*$G$26/12</f>
        <v>1684607.75</v>
      </c>
      <c r="BM96" s="7" t="n">
        <f aca="false">AND(BM$50&gt;Stabilization_1st_Month,(BM$50&lt;=Sale_Month))*Perm_Debt*$G$26/12</f>
        <v>1684607.75</v>
      </c>
      <c r="BN96" s="7" t="n">
        <f aca="false">AND(BN$50&gt;Stabilization_1st_Month,(BN$50&lt;=Sale_Month))*Perm_Debt*$G$26/12</f>
        <v>1684607.75</v>
      </c>
      <c r="BO96" s="7" t="n">
        <f aca="false">AND(BO$50&gt;Stabilization_1st_Month,(BO$50&lt;=Sale_Month))*Perm_Debt*$G$26/12</f>
        <v>1684607.75</v>
      </c>
      <c r="BP96" s="7" t="n">
        <f aca="false">AND(BP$50&gt;Stabilization_1st_Month,(BP$50&lt;=Sale_Month))*Perm_Debt*$G$26/12</f>
        <v>1684607.75</v>
      </c>
      <c r="BQ96" s="7" t="n">
        <f aca="false">AND(BQ$50&gt;Stabilization_1st_Month,(BQ$50&lt;=Sale_Month))*Perm_Debt*$G$26/12</f>
        <v>1684607.75</v>
      </c>
      <c r="BR96" s="7" t="n">
        <f aca="false">AND(BR$50&gt;Stabilization_1st_Month,(BR$50&lt;=Sale_Month))*Perm_Debt*$G$26/12</f>
        <v>1684607.75</v>
      </c>
      <c r="BS96" s="7" t="n">
        <f aca="false">AND(BS$50&gt;Stabilization_1st_Month,(BS$50&lt;=Sale_Month))*Perm_Debt*$G$26/12</f>
        <v>1684607.75</v>
      </c>
      <c r="BT96" s="7" t="n">
        <f aca="false">AND(BT$50&gt;Stabilization_1st_Month,(BT$50&lt;=Sale_Month))*Perm_Debt*$G$26/12</f>
        <v>1684607.75</v>
      </c>
      <c r="BU96" s="7" t="n">
        <f aca="false">AND(BU$50&gt;Stabilization_1st_Month,(BU$50&lt;=Sale_Month))*Perm_Debt*$G$26/12</f>
        <v>1684607.75</v>
      </c>
      <c r="BV96" s="7" t="n">
        <f aca="false">AND(BV$50&gt;Stabilization_1st_Month,(BV$50&lt;=Sale_Month))*Perm_Debt*$G$26/12</f>
        <v>1684607.75</v>
      </c>
      <c r="BW96" s="7" t="n">
        <f aca="false">AND(BW$50&gt;Stabilization_1st_Month,(BW$50&lt;=Sale_Month))*Perm_Debt*$G$26/12</f>
        <v>1684607.75</v>
      </c>
      <c r="BX96" s="7" t="n">
        <f aca="false">AND(BX$50&gt;Stabilization_1st_Month,(BX$50&lt;=Sale_Month))*Perm_Debt*$G$26/12</f>
        <v>1684607.75</v>
      </c>
      <c r="BY96" s="7" t="n">
        <f aca="false">AND(BY$50&gt;Stabilization_1st_Month,(BY$50&lt;=Sale_Month))*Perm_Debt*$G$26/12</f>
        <v>1684607.75</v>
      </c>
      <c r="BZ96" s="7" t="n">
        <f aca="false">AND(BZ$50&gt;Stabilization_1st_Month,(BZ$50&lt;=Sale_Month))*Perm_Debt*$G$26/12</f>
        <v>1684607.75</v>
      </c>
      <c r="CA96" s="7" t="n">
        <f aca="false">AND(CA$50&gt;Stabilization_1st_Month,(CA$50&lt;=Sale_Month))*Perm_Debt*$G$26/12</f>
        <v>1684607.75</v>
      </c>
      <c r="CB96" s="7" t="n">
        <f aca="false">AND(CB$50&gt;Stabilization_1st_Month,(CB$50&lt;=Sale_Month))*Perm_Debt*$G$26/12</f>
        <v>1684607.75</v>
      </c>
      <c r="CC96" s="7" t="n">
        <f aca="false">AND(CC$50&gt;Stabilization_1st_Month,(CC$50&lt;=Sale_Month))*Perm_Debt*$G$26/12</f>
        <v>1684607.75</v>
      </c>
      <c r="CD96" s="7" t="n">
        <f aca="false">AND(CD$50&gt;Stabilization_1st_Month,(CD$50&lt;=Sale_Month))*Perm_Debt*$G$26/12</f>
        <v>1684607.75</v>
      </c>
      <c r="CE96" s="7" t="n">
        <f aca="false">AND(CE$50&gt;Stabilization_1st_Month,(CE$50&lt;=Sale_Month))*Perm_Debt*$G$26/12</f>
        <v>1684607.75</v>
      </c>
      <c r="CF96" s="7" t="n">
        <f aca="false">AND(CF$50&gt;Stabilization_1st_Month,(CF$50&lt;=Sale_Month))*Perm_Debt*$G$26/12</f>
        <v>1684607.75</v>
      </c>
      <c r="CG96" s="7" t="n">
        <f aca="false">AND(CG$50&gt;Stabilization_1st_Month,(CG$50&lt;=Sale_Month))*Perm_Debt*$G$26/12</f>
        <v>1684607.75</v>
      </c>
      <c r="CH96" s="7" t="n">
        <f aca="false">AND(CH$50&gt;Stabilization_1st_Month,(CH$50&lt;=Sale_Month))*Perm_Debt*$G$26/12</f>
        <v>1684607.75</v>
      </c>
      <c r="CI96" s="7" t="n">
        <f aca="false">AND(CI$50&gt;Stabilization_1st_Month,(CI$50&lt;=Sale_Month))*Perm_Debt*$G$26/12</f>
        <v>1684607.75</v>
      </c>
      <c r="CJ96" s="7" t="n">
        <f aca="false">AND(CJ$50&gt;Stabilization_1st_Month,(CJ$50&lt;=Sale_Month))*Perm_Debt*$G$26/12</f>
        <v>1684607.75</v>
      </c>
      <c r="CK96" s="7" t="n">
        <f aca="false">AND(CK$50&gt;Stabilization_1st_Month,(CK$50&lt;=Sale_Month))*Perm_Debt*$G$26/12</f>
        <v>1684607.75</v>
      </c>
      <c r="CL96" s="7" t="n">
        <f aca="false">AND(CL$50&gt;Stabilization_1st_Month,(CL$50&lt;=Sale_Month))*Perm_Debt*$G$26/12</f>
        <v>1684607.75</v>
      </c>
      <c r="CM96" s="7" t="n">
        <f aca="false">AND(CM$50&gt;Stabilization_1st_Month,(CM$50&lt;=Sale_Month))*Perm_Debt*$G$26/12</f>
        <v>1684607.75</v>
      </c>
      <c r="CN96" s="7" t="n">
        <f aca="false">AND(CN$50&gt;Stabilization_1st_Month,(CN$50&lt;=Sale_Month))*Perm_Debt*$G$26/12</f>
        <v>0</v>
      </c>
      <c r="CO96" s="7" t="n">
        <f aca="false">AND(CO$50&gt;Stabilization_1st_Month,(CO$50&lt;=Sale_Month))*Perm_Debt*$G$26/12</f>
        <v>0</v>
      </c>
      <c r="CP96" s="7" t="n">
        <f aca="false">AND(CP$50&gt;Stabilization_1st_Month,(CP$50&lt;=Sale_Month))*Perm_Debt*$G$26/12</f>
        <v>0</v>
      </c>
      <c r="CQ96" s="7" t="n">
        <f aca="false">AND(CQ$50&gt;Stabilization_1st_Month,(CQ$50&lt;=Sale_Month))*Perm_Debt*$G$26/12</f>
        <v>0</v>
      </c>
      <c r="CR96" s="7" t="n">
        <f aca="false">AND(CR$50&gt;Stabilization_1st_Month,(CR$50&lt;=Sale_Month))*Perm_Debt*$G$26/12</f>
        <v>0</v>
      </c>
      <c r="CS96" s="7" t="n">
        <f aca="false">AND(CS$50&gt;Stabilization_1st_Month,(CS$50&lt;=Sale_Month))*Perm_Debt*$G$26/12</f>
        <v>0</v>
      </c>
      <c r="CT96" s="7" t="n">
        <f aca="false">AND(CT$50&gt;Stabilization_1st_Month,(CT$50&lt;=Sale_Month))*Perm_Debt*$G$26/12</f>
        <v>0</v>
      </c>
      <c r="CU96" s="7" t="n">
        <f aca="false">AND(CU$50&gt;Stabilization_1st_Month,(CU$50&lt;=Sale_Month))*Perm_Debt*$G$26/12</f>
        <v>0</v>
      </c>
      <c r="CV96" s="7" t="n">
        <f aca="false">AND(CV$50&gt;Stabilization_1st_Month,(CV$50&lt;=Sale_Month))*Perm_Debt*$G$26/12</f>
        <v>0</v>
      </c>
      <c r="CW96" s="7" t="n">
        <f aca="false">AND(CW$50&gt;Stabilization_1st_Month,(CW$50&lt;=Sale_Month))*Perm_Debt*$G$26/12</f>
        <v>0</v>
      </c>
      <c r="CX96" s="7" t="n">
        <f aca="false">AND(CX$50&gt;Stabilization_1st_Month,(CX$50&lt;=Sale_Month))*Perm_Debt*$G$26/12</f>
        <v>0</v>
      </c>
      <c r="CY96" s="7" t="n">
        <f aca="false">AND(CY$50&gt;Stabilization_1st_Month,(CY$50&lt;=Sale_Month))*Perm_Debt*$G$26/12</f>
        <v>0</v>
      </c>
    </row>
    <row r="97" customFormat="false" ht="15" hidden="false" customHeight="false" outlineLevel="0" collapsed="false">
      <c r="B97" s="0" t="s">
        <v>100</v>
      </c>
      <c r="S97" s="7" t="n">
        <f aca="false">(S$50=Sale_Month)*Perm_Debt</f>
        <v>0</v>
      </c>
      <c r="T97" s="7" t="n">
        <f aca="false">(T$50=Sale_Month)*Perm_Debt</f>
        <v>0</v>
      </c>
      <c r="U97" s="7" t="n">
        <f aca="false">(U$50=Sale_Month)*Perm_Debt</f>
        <v>0</v>
      </c>
      <c r="V97" s="7" t="n">
        <f aca="false">(V$50=Sale_Month)*Perm_Debt</f>
        <v>0</v>
      </c>
      <c r="W97" s="7" t="n">
        <f aca="false">(W$50=Sale_Month)*Perm_Debt</f>
        <v>0</v>
      </c>
      <c r="X97" s="7" t="n">
        <f aca="false">(X$50=Sale_Month)*Perm_Debt</f>
        <v>0</v>
      </c>
      <c r="Y97" s="7" t="n">
        <f aca="false">(Y$50=Sale_Month)*Perm_Debt</f>
        <v>0</v>
      </c>
      <c r="Z97" s="7" t="n">
        <f aca="false">(Z$50=Sale_Month)*Perm_Debt</f>
        <v>0</v>
      </c>
      <c r="AA97" s="7" t="n">
        <f aca="false">(AA$50=Sale_Month)*Perm_Debt</f>
        <v>0</v>
      </c>
      <c r="AB97" s="7" t="n">
        <f aca="false">(AB$50=Sale_Month)*Perm_Debt</f>
        <v>0</v>
      </c>
      <c r="AC97" s="7" t="n">
        <f aca="false">(AC$50=Sale_Month)*Perm_Debt</f>
        <v>0</v>
      </c>
      <c r="AD97" s="7" t="n">
        <f aca="false">(AD$50=Sale_Month)*Perm_Debt</f>
        <v>0</v>
      </c>
      <c r="AE97" s="7" t="n">
        <f aca="false">(AE$50=Sale_Month)*Perm_Debt</f>
        <v>0</v>
      </c>
      <c r="AF97" s="7" t="n">
        <f aca="false">(AF$50=Sale_Month)*Perm_Debt</f>
        <v>0</v>
      </c>
      <c r="AG97" s="7" t="n">
        <f aca="false">(AG$50=Sale_Month)*Perm_Debt</f>
        <v>0</v>
      </c>
      <c r="AH97" s="7" t="n">
        <f aca="false">(AH$50=Sale_Month)*Perm_Debt</f>
        <v>0</v>
      </c>
      <c r="AI97" s="7" t="n">
        <f aca="false">(AI$50=Sale_Month)*Perm_Debt</f>
        <v>0</v>
      </c>
      <c r="AJ97" s="7" t="n">
        <f aca="false">(AJ$50=Sale_Month)*Perm_Debt</f>
        <v>0</v>
      </c>
      <c r="AK97" s="7" t="n">
        <f aca="false">(AK$50=Sale_Month)*Perm_Debt</f>
        <v>0</v>
      </c>
      <c r="AL97" s="7" t="n">
        <f aca="false">(AL$50=Sale_Month)*Perm_Debt</f>
        <v>0</v>
      </c>
      <c r="AM97" s="7" t="n">
        <f aca="false">(AM$50=Sale_Month)*Perm_Debt</f>
        <v>0</v>
      </c>
      <c r="AN97" s="7" t="n">
        <f aca="false">(AN$50=Sale_Month)*Perm_Debt</f>
        <v>0</v>
      </c>
      <c r="AO97" s="7" t="n">
        <f aca="false">(AO$50=Sale_Month)*Perm_Debt</f>
        <v>0</v>
      </c>
      <c r="AP97" s="7" t="n">
        <f aca="false">(AP$50=Sale_Month)*Perm_Debt</f>
        <v>0</v>
      </c>
      <c r="AQ97" s="7" t="n">
        <f aca="false">(AQ$50=Sale_Month)*Perm_Debt</f>
        <v>0</v>
      </c>
      <c r="AR97" s="7" t="n">
        <f aca="false">(AR$50=Sale_Month)*Perm_Debt</f>
        <v>0</v>
      </c>
      <c r="AS97" s="7" t="n">
        <f aca="false">(AS$50=Sale_Month)*Perm_Debt</f>
        <v>0</v>
      </c>
      <c r="AT97" s="7" t="n">
        <f aca="false">(AT$50=Sale_Month)*Perm_Debt</f>
        <v>0</v>
      </c>
      <c r="AU97" s="7" t="n">
        <f aca="false">(AU$50=Sale_Month)*Perm_Debt</f>
        <v>0</v>
      </c>
      <c r="AV97" s="7" t="n">
        <f aca="false">(AV$50=Sale_Month)*Perm_Debt</f>
        <v>0</v>
      </c>
      <c r="AW97" s="7" t="n">
        <f aca="false">(AW$50=Sale_Month)*Perm_Debt</f>
        <v>0</v>
      </c>
      <c r="AX97" s="7" t="n">
        <f aca="false">(AX$50=Sale_Month)*Perm_Debt</f>
        <v>0</v>
      </c>
      <c r="AY97" s="7" t="n">
        <f aca="false">(AY$50=Sale_Month)*Perm_Debt</f>
        <v>0</v>
      </c>
      <c r="AZ97" s="7" t="n">
        <f aca="false">(AZ$50=Sale_Month)*Perm_Debt</f>
        <v>0</v>
      </c>
      <c r="BA97" s="7" t="n">
        <f aca="false">(BA$50=Sale_Month)*Perm_Debt</f>
        <v>0</v>
      </c>
      <c r="BB97" s="7" t="n">
        <f aca="false">(BB$50=Sale_Month)*Perm_Debt</f>
        <v>0</v>
      </c>
      <c r="BC97" s="7" t="n">
        <f aca="false">(BC$50=Sale_Month)*Perm_Debt</f>
        <v>0</v>
      </c>
      <c r="BD97" s="7" t="n">
        <f aca="false">(BD$50=Sale_Month)*Perm_Debt</f>
        <v>0</v>
      </c>
      <c r="BE97" s="7" t="n">
        <f aca="false">(BE$50=Sale_Month)*Perm_Debt</f>
        <v>0</v>
      </c>
      <c r="BF97" s="7" t="n">
        <f aca="false">(BF$50=Sale_Month)*Perm_Debt</f>
        <v>0</v>
      </c>
      <c r="BG97" s="7" t="n">
        <f aca="false">(BG$50=Sale_Month)*Perm_Debt</f>
        <v>0</v>
      </c>
      <c r="BH97" s="7" t="n">
        <f aca="false">(BH$50=Sale_Month)*Perm_Debt</f>
        <v>0</v>
      </c>
      <c r="BI97" s="7" t="n">
        <f aca="false">(BI$50=Sale_Month)*Perm_Debt</f>
        <v>0</v>
      </c>
      <c r="BJ97" s="7" t="n">
        <f aca="false">(BJ$50=Sale_Month)*Perm_Debt</f>
        <v>0</v>
      </c>
      <c r="BK97" s="7" t="n">
        <f aca="false">(BK$50=Sale_Month)*Perm_Debt</f>
        <v>0</v>
      </c>
      <c r="BL97" s="7" t="n">
        <f aca="false">(BL$50=Sale_Month)*Perm_Debt</f>
        <v>0</v>
      </c>
      <c r="BM97" s="7" t="n">
        <f aca="false">(BM$50=Sale_Month)*Perm_Debt</f>
        <v>0</v>
      </c>
      <c r="BN97" s="7" t="n">
        <f aca="false">(BN$50=Sale_Month)*Perm_Debt</f>
        <v>0</v>
      </c>
      <c r="BO97" s="7" t="n">
        <f aca="false">(BO$50=Sale_Month)*Perm_Debt</f>
        <v>0</v>
      </c>
      <c r="BP97" s="7" t="n">
        <f aca="false">(BP$50=Sale_Month)*Perm_Debt</f>
        <v>0</v>
      </c>
      <c r="BQ97" s="7" t="n">
        <f aca="false">(BQ$50=Sale_Month)*Perm_Debt</f>
        <v>0</v>
      </c>
      <c r="BR97" s="7" t="n">
        <f aca="false">(BR$50=Sale_Month)*Perm_Debt</f>
        <v>0</v>
      </c>
      <c r="BS97" s="7" t="n">
        <f aca="false">(BS$50=Sale_Month)*Perm_Debt</f>
        <v>0</v>
      </c>
      <c r="BT97" s="7" t="n">
        <f aca="false">(BT$50=Sale_Month)*Perm_Debt</f>
        <v>0</v>
      </c>
      <c r="BU97" s="7" t="n">
        <f aca="false">(BU$50=Sale_Month)*Perm_Debt</f>
        <v>0</v>
      </c>
      <c r="BV97" s="7" t="n">
        <f aca="false">(BV$50=Sale_Month)*Perm_Debt</f>
        <v>0</v>
      </c>
      <c r="BW97" s="7" t="n">
        <f aca="false">(BW$50=Sale_Month)*Perm_Debt</f>
        <v>0</v>
      </c>
      <c r="BX97" s="7" t="n">
        <f aca="false">(BX$50=Sale_Month)*Perm_Debt</f>
        <v>0</v>
      </c>
      <c r="BY97" s="7" t="n">
        <f aca="false">(BY$50=Sale_Month)*Perm_Debt</f>
        <v>0</v>
      </c>
      <c r="BZ97" s="7" t="n">
        <f aca="false">(BZ$50=Sale_Month)*Perm_Debt</f>
        <v>0</v>
      </c>
      <c r="CA97" s="7" t="n">
        <f aca="false">(CA$50=Sale_Month)*Perm_Debt</f>
        <v>0</v>
      </c>
      <c r="CB97" s="7" t="n">
        <f aca="false">(CB$50=Sale_Month)*Perm_Debt</f>
        <v>0</v>
      </c>
      <c r="CC97" s="7" t="n">
        <f aca="false">(CC$50=Sale_Month)*Perm_Debt</f>
        <v>0</v>
      </c>
      <c r="CD97" s="7" t="n">
        <f aca="false">(CD$50=Sale_Month)*Perm_Debt</f>
        <v>0</v>
      </c>
      <c r="CE97" s="7" t="n">
        <f aca="false">(CE$50=Sale_Month)*Perm_Debt</f>
        <v>0</v>
      </c>
      <c r="CF97" s="7" t="n">
        <f aca="false">(CF$50=Sale_Month)*Perm_Debt</f>
        <v>0</v>
      </c>
      <c r="CG97" s="7" t="n">
        <f aca="false">(CG$50=Sale_Month)*Perm_Debt</f>
        <v>0</v>
      </c>
      <c r="CH97" s="7" t="n">
        <f aca="false">(CH$50=Sale_Month)*Perm_Debt</f>
        <v>0</v>
      </c>
      <c r="CI97" s="7" t="n">
        <f aca="false">(CI$50=Sale_Month)*Perm_Debt</f>
        <v>0</v>
      </c>
      <c r="CJ97" s="7" t="n">
        <f aca="false">(CJ$50=Sale_Month)*Perm_Debt</f>
        <v>0</v>
      </c>
      <c r="CK97" s="7" t="n">
        <f aca="false">(CK$50=Sale_Month)*Perm_Debt</f>
        <v>0</v>
      </c>
      <c r="CL97" s="7" t="n">
        <f aca="false">(CL$50=Sale_Month)*Perm_Debt</f>
        <v>0</v>
      </c>
      <c r="CM97" s="7" t="n">
        <f aca="false">(CM$50=Sale_Month)*Perm_Debt</f>
        <v>323444688</v>
      </c>
      <c r="CN97" s="7" t="n">
        <f aca="false">(CN$50=Sale_Month)*Perm_Debt</f>
        <v>0</v>
      </c>
      <c r="CO97" s="7" t="n">
        <f aca="false">(CO$50=Sale_Month)*Perm_Debt</f>
        <v>0</v>
      </c>
      <c r="CP97" s="7" t="n">
        <f aca="false">(CP$50=Sale_Month)*Perm_Debt</f>
        <v>0</v>
      </c>
      <c r="CQ97" s="7" t="n">
        <f aca="false">(CQ$50=Sale_Month)*Perm_Debt</f>
        <v>0</v>
      </c>
      <c r="CR97" s="7" t="n">
        <f aca="false">(CR$50=Sale_Month)*Perm_Debt</f>
        <v>0</v>
      </c>
      <c r="CS97" s="7" t="n">
        <f aca="false">(CS$50=Sale_Month)*Perm_Debt</f>
        <v>0</v>
      </c>
      <c r="CT97" s="7" t="n">
        <f aca="false">(CT$50=Sale_Month)*Perm_Debt</f>
        <v>0</v>
      </c>
      <c r="CU97" s="7" t="n">
        <f aca="false">(CU$50=Sale_Month)*Perm_Debt</f>
        <v>0</v>
      </c>
      <c r="CV97" s="7" t="n">
        <f aca="false">(CV$50=Sale_Month)*Perm_Debt</f>
        <v>0</v>
      </c>
      <c r="CW97" s="7" t="n">
        <f aca="false">(CW$50=Sale_Month)*Perm_Debt</f>
        <v>0</v>
      </c>
      <c r="CX97" s="7" t="n">
        <f aca="false">(CX$50=Sale_Month)*Perm_Debt</f>
        <v>0</v>
      </c>
      <c r="CY97" s="7" t="n">
        <f aca="false">(CY$50=Sale_Month)*Perm_Debt</f>
        <v>0</v>
      </c>
    </row>
    <row r="104" customFormat="false" ht="15" hidden="false" customHeight="false" outlineLevel="0" collapsed="false">
      <c r="B104" s="0" t="s">
        <v>101</v>
      </c>
      <c r="S104" s="7" t="n">
        <f aca="false">(S$50&lt;=Sale_Month)*(-S61+S83+S88)</f>
        <v>-17640000</v>
      </c>
      <c r="T104" s="7" t="n">
        <f aca="false">(T$50&lt;=Sale_Month)*(-T61+T83+T88)</f>
        <v>-2921945.51343476</v>
      </c>
      <c r="U104" s="7" t="n">
        <f aca="false">(U$50&lt;=Sale_Month)*(-U61+U83+U88)</f>
        <v>-4351377.76152924</v>
      </c>
      <c r="V104" s="7" t="n">
        <f aca="false">(V$50&lt;=Sale_Month)*(-V61+V83+V88)</f>
        <v>-5697873.49664379</v>
      </c>
      <c r="W104" s="7" t="n">
        <f aca="false">(W$50&lt;=Sale_Month)*(-W61+W83+W88)</f>
        <v>-9029565.53953093</v>
      </c>
      <c r="X104" s="7" t="n">
        <f aca="false">(X$50&lt;=Sale_Month)*(-X61+X83+X88)</f>
        <v>-14228490.9784739</v>
      </c>
      <c r="Y104" s="7" t="n">
        <f aca="false">(Y$50&lt;=Sale_Month)*(-Y61+Y83+Y88)</f>
        <v>-18994790.3036695</v>
      </c>
      <c r="Z104" s="7" t="n">
        <f aca="false">(Z$50&lt;=Sale_Month)*(-Z61+Z83+Z88)</f>
        <v>-23164116.274111</v>
      </c>
      <c r="AA104" s="7" t="n">
        <f aca="false">(AA$50&lt;=Sale_Month)*(-AA61+AA83+AA88)</f>
        <v>-26593447.7347043</v>
      </c>
      <c r="AB104" s="7" t="n">
        <f aca="false">(AB$50&lt;=Sale_Month)*(-AB61+AB83+AB88)</f>
        <v>-29166015.6081665</v>
      </c>
      <c r="AC104" s="7" t="n">
        <f aca="false">(AC$50&lt;=Sale_Month)*(-AC61+AC83+AC88)</f>
        <v>-30795292.8543118</v>
      </c>
      <c r="AD104" s="7" t="n">
        <f aca="false">(AD$50&lt;=Sale_Month)*(-AD61+AD83+AD88)</f>
        <v>-31427911.6212315</v>
      </c>
      <c r="AE104" s="7" t="n">
        <f aca="false">(AE$50&lt;=Sale_Month)*(-AE61+AE83+AE88)</f>
        <v>-34099954.5054237</v>
      </c>
      <c r="AF104" s="7" t="n">
        <f aca="false">(AF$50&lt;=Sale_Month)*(-AF61+AF83+AF88)</f>
        <v>-32719290.2277916</v>
      </c>
      <c r="AG104" s="7" t="n">
        <f aca="false">(AG$50&lt;=Sale_Month)*(-AG61+AG83+AG88)</f>
        <v>-30392122.0011841</v>
      </c>
      <c r="AH104" s="7" t="n">
        <f aca="false">(AH$50&lt;=Sale_Month)*(-AH61+AH83+AH88)</f>
        <v>-27202869.6890436</v>
      </c>
      <c r="AI104" s="7" t="n">
        <f aca="false">(AI$50&lt;=Sale_Month)*(-AI61+AI83+AI88)</f>
        <v>-23265640.2596854</v>
      </c>
      <c r="AJ104" s="7" t="n">
        <f aca="false">(AJ$50&lt;=Sale_Month)*(-AJ61+AJ83+AJ88)</f>
        <v>-19448844.4980237</v>
      </c>
      <c r="AK104" s="7" t="n">
        <f aca="false">(AK$50&lt;=Sale_Month)*(-AK61+AK83+AK88)</f>
        <v>-15884776.3159887</v>
      </c>
      <c r="AL104" s="7" t="n">
        <f aca="false">(AL$50&lt;=Sale_Month)*(-AL61+AL83+AL88)</f>
        <v>-11965008.8668936</v>
      </c>
      <c r="AM104" s="7" t="n">
        <f aca="false">(AM$50&lt;=Sale_Month)*(-AM61+AM83+AM88)</f>
        <v>-8469543.58219384</v>
      </c>
      <c r="AN104" s="7" t="n">
        <f aca="false">(AN$50&lt;=Sale_Month)*(-AN61+AN83+AN88)</f>
        <v>-6085827.72113556</v>
      </c>
      <c r="AO104" s="7" t="n">
        <f aca="false">(AO$50&lt;=Sale_Month)*(-AO61+AO83+AO88)</f>
        <v>-5663735.47244631</v>
      </c>
      <c r="AP104" s="7" t="n">
        <f aca="false">(AP$50&lt;=Sale_Month)*(-AP61+AP83+AP88)</f>
        <v>-108179.429012346</v>
      </c>
      <c r="AQ104" s="7" t="n">
        <f aca="false">(AQ$50&lt;=Sale_Month)*(-AQ61+AQ83+AQ88)</f>
        <v>228701.072530864</v>
      </c>
      <c r="AR104" s="7" t="n">
        <f aca="false">(AR$50&lt;=Sale_Month)*(-AR61+AR83+AR88)</f>
        <v>549781.087962963</v>
      </c>
      <c r="AS104" s="7" t="n">
        <f aca="false">(AS$50&lt;=Sale_Month)*(-AS61+AS83+AS88)</f>
        <v>939013.337191358</v>
      </c>
      <c r="AT104" s="7" t="n">
        <f aca="false">(AT$50&lt;=Sale_Month)*(-AT61+AT83+AT88)</f>
        <v>1328245.58641975</v>
      </c>
      <c r="AU104" s="7" t="n">
        <f aca="false">(AU$50&lt;=Sale_Month)*(-AU61+AU83+AU88)</f>
        <v>1717477.83564815</v>
      </c>
      <c r="AV104" s="7" t="n">
        <f aca="false">(AV$50&lt;=Sale_Month)*(-AV61+AV83+AV88)</f>
        <v>2106710.08487655</v>
      </c>
      <c r="AW104" s="7" t="n">
        <f aca="false">(AW$50&lt;=Sale_Month)*(-AW61+AW83+AW88)</f>
        <v>2495942.33410494</v>
      </c>
      <c r="AX104" s="7" t="n">
        <f aca="false">(AX$50&lt;=Sale_Month)*(-AX61+AX83+AX88)</f>
        <v>2885174.58333333</v>
      </c>
      <c r="AY104" s="7" t="n">
        <f aca="false">(AY$50&lt;=Sale_Month)*(-AY61+AY83+AY88)</f>
        <v>3101665.58603395</v>
      </c>
      <c r="AZ104" s="7" t="n">
        <f aca="false">(AZ$50&lt;=Sale_Month)*(-AZ61+AZ83+AZ88)</f>
        <v>3133016.50231482</v>
      </c>
      <c r="BA104" s="7" t="n">
        <f aca="false">(BA$50&lt;=Sale_Month)*(-BA61+BA83+BA88)</f>
        <v>3174718.66859568</v>
      </c>
      <c r="BB104" s="7" t="n">
        <f aca="false">(BB$50&lt;=Sale_Month)*(-BB61+BB83+BB88)</f>
        <v>3206865.83487654</v>
      </c>
      <c r="BC104" s="7" t="n">
        <f aca="false">(BC$50&lt;=Sale_Month)*(-BC61+BC83+BC88)</f>
        <v>3265277.00115741</v>
      </c>
      <c r="BD104" s="7" t="n">
        <f aca="false">(BD$50&lt;=Sale_Month)*(-BD61+BD83+BD88)</f>
        <v>3297135.61246142</v>
      </c>
      <c r="BE104" s="7" t="n">
        <f aca="false">(BE$50&lt;=Sale_Month)*(-BE61+BE83+BE88)</f>
        <v>3336924.05623071</v>
      </c>
      <c r="BF104" s="7" t="n">
        <f aca="false">(BF$50&lt;=Sale_Month)*(-BF61+BF83+BF88)</f>
        <v>3369215.5</v>
      </c>
      <c r="BG104" s="7" t="n">
        <f aca="false">(BG$50&lt;=Sale_Month)*(-BG61+BG83+BG88)</f>
        <v>3369215.5</v>
      </c>
      <c r="BH104" s="7" t="n">
        <f aca="false">(BH$50&lt;=Sale_Month)*(-BH61+BH83+BH88)</f>
        <v>3369215.5</v>
      </c>
      <c r="BI104" s="7" t="n">
        <f aca="false">(BI$50&lt;=Sale_Month)*(-BI61+BI83+BI88)</f>
        <v>3369215.5</v>
      </c>
      <c r="BJ104" s="7" t="n">
        <f aca="false">(BJ$50&lt;=Sale_Month)*(-BJ61+BJ83+BJ88)</f>
        <v>3369215.5</v>
      </c>
      <c r="BK104" s="7" t="n">
        <f aca="false">(BK$50&lt;=Sale_Month)*(-BK61+BK83+BK88)</f>
        <v>3407788.3</v>
      </c>
      <c r="BL104" s="7" t="n">
        <f aca="false">(BL$50&lt;=Sale_Month)*(-BL61+BL83+BL88)</f>
        <v>3407788.3</v>
      </c>
      <c r="BM104" s="7" t="n">
        <f aca="false">(BM$50&lt;=Sale_Month)*(-BM61+BM83+BM88)</f>
        <v>3422550.775</v>
      </c>
      <c r="BN104" s="7" t="n">
        <f aca="false">(BN$50&lt;=Sale_Month)*(-BN61+BN83+BN88)</f>
        <v>3422550.775</v>
      </c>
      <c r="BO104" s="7" t="n">
        <f aca="false">(BO$50&lt;=Sale_Month)*(-BO61+BO83+BO88)</f>
        <v>3449471.375</v>
      </c>
      <c r="BP104" s="7" t="n">
        <f aca="false">(BP$50&lt;=Sale_Month)*(-BP61+BP83+BP88)</f>
        <v>3449471.375</v>
      </c>
      <c r="BQ104" s="7" t="n">
        <f aca="false">(BQ$50&lt;=Sale_Month)*(-BQ61+BQ83+BQ88)</f>
        <v>3457193.285</v>
      </c>
      <c r="BR104" s="7" t="n">
        <f aca="false">(BR$50&lt;=Sale_Month)*(-BR61+BR83+BR88)</f>
        <v>3457193.285</v>
      </c>
      <c r="BS104" s="7" t="n">
        <f aca="false">(BS$50&lt;=Sale_Month)*(-BS61+BS83+BS88)</f>
        <v>3457193.285</v>
      </c>
      <c r="BT104" s="7" t="n">
        <f aca="false">(BT$50&lt;=Sale_Month)*(-BT61+BT83+BT88)</f>
        <v>3457193.285</v>
      </c>
      <c r="BU104" s="7" t="n">
        <f aca="false">(BU$50&lt;=Sale_Month)*(-BU61+BU83+BU88)</f>
        <v>3457193.285</v>
      </c>
      <c r="BV104" s="7" t="n">
        <f aca="false">(BV$50&lt;=Sale_Month)*(-BV61+BV83+BV88)</f>
        <v>3457193.285</v>
      </c>
      <c r="BW104" s="7" t="n">
        <f aca="false">(BW$50&lt;=Sale_Month)*(-BW61+BW83+BW88)</f>
        <v>3496730.405</v>
      </c>
      <c r="BX104" s="7" t="n">
        <f aca="false">(BX$50&lt;=Sale_Month)*(-BX61+BX83+BX88)</f>
        <v>3496730.405</v>
      </c>
      <c r="BY104" s="7" t="n">
        <f aca="false">(BY$50&lt;=Sale_Month)*(-BY61+BY83+BY88)</f>
        <v>3511935.75425</v>
      </c>
      <c r="BZ104" s="7" t="n">
        <f aca="false">(BZ$50&lt;=Sale_Month)*(-BZ61+BZ83+BZ88)</f>
        <v>3511935.75425</v>
      </c>
      <c r="CA104" s="7" t="n">
        <f aca="false">(CA$50&lt;=Sale_Month)*(-CA61+CA83+CA88)</f>
        <v>3539529.36925</v>
      </c>
      <c r="CB104" s="7" t="n">
        <f aca="false">(CB$50&lt;=Sale_Month)*(-CB61+CB83+CB88)</f>
        <v>3539529.36925</v>
      </c>
      <c r="CC104" s="7" t="n">
        <f aca="false">(CC$50&lt;=Sale_Month)*(-CC61+CC83+CC88)</f>
        <v>3547482.93655</v>
      </c>
      <c r="CD104" s="7" t="n">
        <f aca="false">(CD$50&lt;=Sale_Month)*(-CD61+CD83+CD88)</f>
        <v>3547482.93655</v>
      </c>
      <c r="CE104" s="7" t="n">
        <f aca="false">(CE$50&lt;=Sale_Month)*(-CE61+CE83+CE88)</f>
        <v>3547482.93655</v>
      </c>
      <c r="CF104" s="7" t="n">
        <f aca="false">(CF$50&lt;=Sale_Month)*(-CF61+CF83+CF88)</f>
        <v>3547482.93655</v>
      </c>
      <c r="CG104" s="7" t="n">
        <f aca="false">(CG$50&lt;=Sale_Month)*(-CG61+CG83+CG88)</f>
        <v>3547482.93655</v>
      </c>
      <c r="CH104" s="7" t="n">
        <f aca="false">(CH$50&lt;=Sale_Month)*(-CH61+CH83+CH88)</f>
        <v>3547482.93655</v>
      </c>
      <c r="CI104" s="7" t="n">
        <f aca="false">(CI$50&lt;=Sale_Month)*(-CI61+CI83+CI88)</f>
        <v>3588008.48455</v>
      </c>
      <c r="CJ104" s="7" t="n">
        <f aca="false">(CJ$50&lt;=Sale_Month)*(-CJ61+CJ83+CJ88)</f>
        <v>3588008.48455</v>
      </c>
      <c r="CK104" s="7" t="n">
        <f aca="false">(CK$50&lt;=Sale_Month)*(-CK61+CK83+CK88)</f>
        <v>3603669.9942775</v>
      </c>
      <c r="CL104" s="7" t="n">
        <f aca="false">(CL$50&lt;=Sale_Month)*(-CL61+CL83+CL88)</f>
        <v>3603669.9942775</v>
      </c>
      <c r="CM104" s="7" t="n">
        <f aca="false">(CM$50&lt;=Sale_Month)*(-CM61+CM83+CM88)</f>
        <v>692152212.875874</v>
      </c>
      <c r="CN104" s="7" t="n">
        <f aca="false">(CN$50&lt;=Sale_Month)*(-CN61+CN83+CN88)</f>
        <v>0</v>
      </c>
      <c r="CO104" s="7" t="n">
        <f aca="false">(CO$50&lt;=Sale_Month)*(-CO61+CO83+CO88)</f>
        <v>0</v>
      </c>
      <c r="CP104" s="7" t="n">
        <f aca="false">(CP$50&lt;=Sale_Month)*(-CP61+CP83+CP88)</f>
        <v>0</v>
      </c>
      <c r="CQ104" s="7" t="n">
        <f aca="false">(CQ$50&lt;=Sale_Month)*(-CQ61+CQ83+CQ88)</f>
        <v>0</v>
      </c>
      <c r="CR104" s="7" t="n">
        <f aca="false">(CR$50&lt;=Sale_Month)*(-CR61+CR83+CR88)</f>
        <v>0</v>
      </c>
      <c r="CS104" s="7" t="n">
        <f aca="false">(CS$50&lt;=Sale_Month)*(-CS61+CS83+CS88)</f>
        <v>0</v>
      </c>
      <c r="CT104" s="7" t="n">
        <f aca="false">(CT$50&lt;=Sale_Month)*(-CT61+CT83+CT88)</f>
        <v>0</v>
      </c>
      <c r="CU104" s="7" t="n">
        <f aca="false">(CU$50&lt;=Sale_Month)*(-CU61+CU83+CU88)</f>
        <v>0</v>
      </c>
      <c r="CV104" s="7" t="n">
        <f aca="false">(CV$50&lt;=Sale_Month)*(-CV61+CV83+CV88)</f>
        <v>0</v>
      </c>
      <c r="CW104" s="7" t="n">
        <f aca="false">(CW$50&lt;=Sale_Month)*(-CW61+CW83+CW88)</f>
        <v>0</v>
      </c>
      <c r="CX104" s="7" t="n">
        <f aca="false">(CX$50&lt;=Sale_Month)*(-CX61+CX83+CX88)</f>
        <v>0</v>
      </c>
      <c r="CY104" s="7" t="n">
        <f aca="false">(CY$50&lt;=Sale_Month)*(-CY61+CY83+CY88)</f>
        <v>0</v>
      </c>
    </row>
    <row r="112" customFormat="false" ht="15" hidden="false" customHeight="false" outlineLevel="0" collapsed="false">
      <c r="B112" s="0" t="s">
        <v>102</v>
      </c>
      <c r="S112" s="7" t="n">
        <f aca="false">(S$50&lt;=Sale_Month)*(S104+S90-S91-S92+S95-S96-S97)</f>
        <v>-7056000</v>
      </c>
      <c r="T112" s="7" t="n">
        <f aca="false">(T$50&lt;=Sale_Month)*(T104+T90-T91-T92+T95-T96-T97)</f>
        <v>-1234928.2053739</v>
      </c>
      <c r="U112" s="7" t="n">
        <f aca="false">(U$50&lt;=Sale_Month)*(U104+U90-U91-U92+U95-U96-U97)</f>
        <v>-1817658.40028708</v>
      </c>
      <c r="V112" s="7" t="n">
        <f aca="false">(V$50&lt;=Sale_Month)*(V104+V90-V91-V92+V95-V96-V97)</f>
        <v>-2372574.36093863</v>
      </c>
      <c r="W112" s="7" t="n">
        <f aca="false">(W$50&lt;=Sale_Month)*(W104+W90-W91-W92+W95-W96-W97)</f>
        <v>-3726618.2037059</v>
      </c>
      <c r="X112" s="7" t="n">
        <f aca="false">(X$50&lt;=Sale_Month)*(X104+X90-X91-X92+X95-X96-X97)</f>
        <v>-5840049.25005633</v>
      </c>
      <c r="Y112" s="7" t="n">
        <f aca="false">(Y$50&lt;=Sale_Month)*(Y104+Y90-Y91-Y92+Y95-Y96-Y97)</f>
        <v>-7799925.82130383</v>
      </c>
      <c r="Z112" s="7" t="n">
        <f aca="false">(Z$50&lt;=Sale_Month)*(Z104+Z90-Z91-Z92+Z95-Z96-Z97)</f>
        <v>-9538886.67311921</v>
      </c>
      <c r="AA112" s="7" t="n">
        <f aca="false">(AA$50&lt;=Sale_Month)*(AA104+AA90-AA91-AA92+AA95-AA96-AA97)</f>
        <v>-10997484.6933844</v>
      </c>
      <c r="AB112" s="7" t="n">
        <f aca="false">(AB$50&lt;=Sale_Month)*(AB104+AB90-AB91-AB92+AB95-AB96-AB97)</f>
        <v>-12126237.2717745</v>
      </c>
      <c r="AC112" s="7" t="n">
        <f aca="false">(AC$50&lt;=Sale_Month)*(AC104+AC90-AC91-AC92+AC95-AC96-AC97)</f>
        <v>-12887320.7287632</v>
      </c>
      <c r="AD112" s="7" t="n">
        <f aca="false">(AD$50&lt;=Sale_Month)*(AD104+AD90-AD91-AD92+AD95-AD96-AD97)</f>
        <v>-13255850.5837348</v>
      </c>
      <c r="AE112" s="7" t="n">
        <f aca="false">(AE$50&lt;=Sale_Month)*(AE104+AE90-AE91-AE92+AE95-AE96-AE97)</f>
        <v>-14442522.4059912</v>
      </c>
      <c r="AF112" s="7" t="n">
        <f aca="false">(AF$50&lt;=Sale_Month)*(AF104+AF90-AF91-AF92+AF95-AF96-AF97)</f>
        <v>-14018131.5243337</v>
      </c>
      <c r="AG112" s="7" t="n">
        <f aca="false">(AG$50&lt;=Sale_Month)*(AG104+AG90-AG91-AG92+AG95-AG96-AG97)</f>
        <v>-13209961.572045</v>
      </c>
      <c r="AH112" s="7" t="n">
        <f aca="false">(AH$50&lt;=Sale_Month)*(AH104+AH90-AH91-AH92+AH95-AH96-AH97)</f>
        <v>-12048231.1046932</v>
      </c>
      <c r="AI112" s="7" t="n">
        <f aca="false">(AI$50&lt;=Sale_Month)*(AI104+AI90-AI91-AI92+AI95-AI96-AI97)</f>
        <v>-10575350.0942839</v>
      </c>
      <c r="AJ112" s="7" t="n">
        <f aca="false">(AJ$50&lt;=Sale_Month)*(AJ104+AJ90-AJ91-AJ92+AJ95-AJ96-AJ97)</f>
        <v>-9135877.940593</v>
      </c>
      <c r="AK112" s="7" t="n">
        <f aca="false">(AK$50&lt;=Sale_Month)*(AK104+AK90-AK91-AK92+AK95-AK96-AK97)</f>
        <v>-7783183.83464659</v>
      </c>
      <c r="AL112" s="7" t="n">
        <f aca="false">(AL$50&lt;=Sale_Month)*(AL104+AL90-AL91-AL92+AL95-AL96-AL97)</f>
        <v>-6274844.76619349</v>
      </c>
      <c r="AM112" s="7" t="n">
        <f aca="false">(AM$50&lt;=Sale_Month)*(AM104+AM90-AM91-AM92+AM95-AM96-AM97)</f>
        <v>-5310192.60223111</v>
      </c>
      <c r="AN112" s="7" t="n">
        <f aca="false">(AN$50&lt;=Sale_Month)*(AN104+AN90-AN91-AN92+AN95-AN96-AN97)</f>
        <v>-4290603.05561602</v>
      </c>
      <c r="AO112" s="7" t="n">
        <f aca="false">(AO$50&lt;=Sale_Month)*(AO104+AO90-AO91-AO92+AO95-AO96-AO97)</f>
        <v>-4028593.98254828</v>
      </c>
      <c r="AP112" s="7" t="n">
        <f aca="false">(AP$50&lt;=Sale_Month)*(AP104+AP90-AP91-AP92+AP95-AP96-AP97)</f>
        <v>-1712330.05401235</v>
      </c>
      <c r="AQ112" s="7" t="n">
        <f aca="false">(AQ$50&lt;=Sale_Month)*(AQ104+AQ90-AQ91-AQ92+AQ95-AQ96-AQ97)</f>
        <v>-1375449.55246914</v>
      </c>
      <c r="AR112" s="7" t="n">
        <f aca="false">(AR$50&lt;=Sale_Month)*(AR104+AR90-AR91-AR92+AR95-AR96-AR97)</f>
        <v>-1054369.53703704</v>
      </c>
      <c r="AS112" s="7" t="n">
        <f aca="false">(AS$50&lt;=Sale_Month)*(AS104+AS90-AS91-AS92+AS95-AS96-AS97)</f>
        <v>-665137.287808642</v>
      </c>
      <c r="AT112" s="7" t="n">
        <f aca="false">(AT$50&lt;=Sale_Month)*(AT104+AT90-AT91-AT92+AT95-AT96-AT97)</f>
        <v>-275905.038580247</v>
      </c>
      <c r="AU112" s="7" t="n">
        <f aca="false">(AU$50&lt;=Sale_Month)*(AU104+AU90-AU91-AU92+AU95-AU96-AU97)</f>
        <v>113327.210648148</v>
      </c>
      <c r="AV112" s="7" t="n">
        <f aca="false">(AV$50&lt;=Sale_Month)*(AV104+AV90-AV91-AV92+AV95-AV96-AV97)</f>
        <v>502559.459876545</v>
      </c>
      <c r="AW112" s="7" t="n">
        <f aca="false">(AW$50&lt;=Sale_Month)*(AW104+AW90-AW91-AW92+AW95-AW96-AW97)</f>
        <v>891791.709104939</v>
      </c>
      <c r="AX112" s="7" t="n">
        <f aca="false">(AX$50&lt;=Sale_Month)*(AX104+AX90-AX91-AX92+AX95-AX96-AX97)</f>
        <v>1281023.95833333</v>
      </c>
      <c r="AY112" s="7" t="n">
        <f aca="false">(AY$50&lt;=Sale_Month)*(AY104+AY90-AY91-AY92+AY95-AY96-AY97)</f>
        <v>1497514.96103395</v>
      </c>
      <c r="AZ112" s="7" t="n">
        <f aca="false">(AZ$50&lt;=Sale_Month)*(AZ104+AZ90-AZ91-AZ92+AZ95-AZ96-AZ97)</f>
        <v>1528865.87731481</v>
      </c>
      <c r="BA112" s="7" t="n">
        <f aca="false">(BA$50&lt;=Sale_Month)*(BA104+BA90-BA91-BA92+BA95-BA96-BA97)</f>
        <v>1570568.04359568</v>
      </c>
      <c r="BB112" s="7" t="n">
        <f aca="false">(BB$50&lt;=Sale_Month)*(BB104+BB90-BB91-BB92+BB95-BB96-BB97)</f>
        <v>1602715.20987654</v>
      </c>
      <c r="BC112" s="7" t="n">
        <f aca="false">(BC$50&lt;=Sale_Month)*(BC104+BC90-BC91-BC92+BC95-BC96-BC97)</f>
        <v>1661126.37615741</v>
      </c>
      <c r="BD112" s="7" t="n">
        <f aca="false">(BD$50&lt;=Sale_Month)*(BD104+BD90-BD91-BD92+BD95-BD96-BD97)</f>
        <v>1692984.98746142</v>
      </c>
      <c r="BE112" s="7" t="n">
        <f aca="false">(BE$50&lt;=Sale_Month)*(BE104+BE90-BE91-BE92+BE95-BE96-BE97)</f>
        <v>1732773.43123071</v>
      </c>
      <c r="BF112" s="7" t="n">
        <f aca="false">(BF$50&lt;=Sale_Month)*(BF104+BF90-BF91-BF92+BF95-BF96-BF97)</f>
        <v>1765064.875</v>
      </c>
      <c r="BG112" s="7" t="n">
        <f aca="false">(BG$50&lt;=Sale_Month)*(BG104+BG90-BG91-BG92+BG95-BG96-BG97)</f>
        <v>68545652.8750001</v>
      </c>
      <c r="BH112" s="7" t="n">
        <f aca="false">(BH$50&lt;=Sale_Month)*(BH104+BH90-BH91-BH92+BH95-BH96-BH97)</f>
        <v>1684607.75</v>
      </c>
      <c r="BI112" s="7" t="n">
        <f aca="false">(BI$50&lt;=Sale_Month)*(BI104+BI90-BI91-BI92+BI95-BI96-BI97)</f>
        <v>1684607.75</v>
      </c>
      <c r="BJ112" s="7" t="n">
        <f aca="false">(BJ$50&lt;=Sale_Month)*(BJ104+BJ90-BJ91-BJ92+BJ95-BJ96-BJ97)</f>
        <v>1684607.75</v>
      </c>
      <c r="BK112" s="7" t="n">
        <f aca="false">(BK$50&lt;=Sale_Month)*(BK104+BK90-BK91-BK92+BK95-BK96-BK97)</f>
        <v>1723180.55</v>
      </c>
      <c r="BL112" s="7" t="n">
        <f aca="false">(BL$50&lt;=Sale_Month)*(BL104+BL90-BL91-BL92+BL95-BL96-BL97)</f>
        <v>1723180.55</v>
      </c>
      <c r="BM112" s="7" t="n">
        <f aca="false">(BM$50&lt;=Sale_Month)*(BM104+BM90-BM91-BM92+BM95-BM96-BM97)</f>
        <v>1737943.025</v>
      </c>
      <c r="BN112" s="7" t="n">
        <f aca="false">(BN$50&lt;=Sale_Month)*(BN104+BN90-BN91-BN92+BN95-BN96-BN97)</f>
        <v>1737943.025</v>
      </c>
      <c r="BO112" s="7" t="n">
        <f aca="false">(BO$50&lt;=Sale_Month)*(BO104+BO90-BO91-BO92+BO95-BO96-BO97)</f>
        <v>1764863.625</v>
      </c>
      <c r="BP112" s="7" t="n">
        <f aca="false">(BP$50&lt;=Sale_Month)*(BP104+BP90-BP91-BP92+BP95-BP96-BP97)</f>
        <v>1764863.625</v>
      </c>
      <c r="BQ112" s="7" t="n">
        <f aca="false">(BQ$50&lt;=Sale_Month)*(BQ104+BQ90-BQ91-BQ92+BQ95-BQ96-BQ97)</f>
        <v>1772585.535</v>
      </c>
      <c r="BR112" s="7" t="n">
        <f aca="false">(BR$50&lt;=Sale_Month)*(BR104+BR90-BR91-BR92+BR95-BR96-BR97)</f>
        <v>1772585.535</v>
      </c>
      <c r="BS112" s="7" t="n">
        <f aca="false">(BS$50&lt;=Sale_Month)*(BS104+BS90-BS91-BS92+BS95-BS96-BS97)</f>
        <v>1772585.535</v>
      </c>
      <c r="BT112" s="7" t="n">
        <f aca="false">(BT$50&lt;=Sale_Month)*(BT104+BT90-BT91-BT92+BT95-BT96-BT97)</f>
        <v>1772585.535</v>
      </c>
      <c r="BU112" s="7" t="n">
        <f aca="false">(BU$50&lt;=Sale_Month)*(BU104+BU90-BU91-BU92+BU95-BU96-BU97)</f>
        <v>1772585.535</v>
      </c>
      <c r="BV112" s="7" t="n">
        <f aca="false">(BV$50&lt;=Sale_Month)*(BV104+BV90-BV91-BV92+BV95-BV96-BV97)</f>
        <v>1772585.535</v>
      </c>
      <c r="BW112" s="7" t="n">
        <f aca="false">(BW$50&lt;=Sale_Month)*(BW104+BW90-BW91-BW92+BW95-BW96-BW97)</f>
        <v>1812122.655</v>
      </c>
      <c r="BX112" s="7" t="n">
        <f aca="false">(BX$50&lt;=Sale_Month)*(BX104+BX90-BX91-BX92+BX95-BX96-BX97)</f>
        <v>1812122.655</v>
      </c>
      <c r="BY112" s="7" t="n">
        <f aca="false">(BY$50&lt;=Sale_Month)*(BY104+BY90-BY91-BY92+BY95-BY96-BY97)</f>
        <v>1827328.00425</v>
      </c>
      <c r="BZ112" s="7" t="n">
        <f aca="false">(BZ$50&lt;=Sale_Month)*(BZ104+BZ90-BZ91-BZ92+BZ95-BZ96-BZ97)</f>
        <v>1827328.00425</v>
      </c>
      <c r="CA112" s="7" t="n">
        <f aca="false">(CA$50&lt;=Sale_Month)*(CA104+CA90-CA91-CA92+CA95-CA96-CA97)</f>
        <v>1854921.61925</v>
      </c>
      <c r="CB112" s="7" t="n">
        <f aca="false">(CB$50&lt;=Sale_Month)*(CB104+CB90-CB91-CB92+CB95-CB96-CB97)</f>
        <v>1854921.61925</v>
      </c>
      <c r="CC112" s="7" t="n">
        <f aca="false">(CC$50&lt;=Sale_Month)*(CC104+CC90-CC91-CC92+CC95-CC96-CC97)</f>
        <v>1862875.18655</v>
      </c>
      <c r="CD112" s="7" t="n">
        <f aca="false">(CD$50&lt;=Sale_Month)*(CD104+CD90-CD91-CD92+CD95-CD96-CD97)</f>
        <v>1862875.18655</v>
      </c>
      <c r="CE112" s="7" t="n">
        <f aca="false">(CE$50&lt;=Sale_Month)*(CE104+CE90-CE91-CE92+CE95-CE96-CE97)</f>
        <v>1862875.18655</v>
      </c>
      <c r="CF112" s="7" t="n">
        <f aca="false">(CF$50&lt;=Sale_Month)*(CF104+CF90-CF91-CF92+CF95-CF96-CF97)</f>
        <v>1862875.18655</v>
      </c>
      <c r="CG112" s="7" t="n">
        <f aca="false">(CG$50&lt;=Sale_Month)*(CG104+CG90-CG91-CG92+CG95-CG96-CG97)</f>
        <v>1862875.18655</v>
      </c>
      <c r="CH112" s="7" t="n">
        <f aca="false">(CH$50&lt;=Sale_Month)*(CH104+CH90-CH91-CH92+CH95-CH96-CH97)</f>
        <v>1862875.18655</v>
      </c>
      <c r="CI112" s="7" t="n">
        <f aca="false">(CI$50&lt;=Sale_Month)*(CI104+CI90-CI91-CI92+CI95-CI96-CI97)</f>
        <v>1903400.73455</v>
      </c>
      <c r="CJ112" s="7" t="n">
        <f aca="false">(CJ$50&lt;=Sale_Month)*(CJ104+CJ90-CJ91-CJ92+CJ95-CJ96-CJ97)</f>
        <v>1903400.73455</v>
      </c>
      <c r="CK112" s="7" t="n">
        <f aca="false">(CK$50&lt;=Sale_Month)*(CK104+CK90-CK91-CK92+CK95-CK96-CK97)</f>
        <v>1919062.2442775</v>
      </c>
      <c r="CL112" s="7" t="n">
        <f aca="false">(CL$50&lt;=Sale_Month)*(CL104+CL90-CL91-CL92+CL95-CL96-CL97)</f>
        <v>1919062.2442775</v>
      </c>
      <c r="CM112" s="7" t="n">
        <f aca="false">(CM$50&lt;=Sale_Month)*(CM104+CM90-CM91-CM92+CM95-CM96-CM97)</f>
        <v>367022917.125874</v>
      </c>
      <c r="CN112" s="7" t="n">
        <f aca="false">(CN$50&lt;=Sale_Month)*(CN104+CN90-CN91-CN92+CN95-CN96-CN97)</f>
        <v>0</v>
      </c>
      <c r="CO112" s="7" t="n">
        <f aca="false">(CO$50&lt;=Sale_Month)*(CO104+CO90-CO91-CO92+CO95-CO96-CO97)</f>
        <v>0</v>
      </c>
      <c r="CP112" s="7" t="n">
        <f aca="false">(CP$50&lt;=Sale_Month)*(CP104+CP90-CP91-CP92+CP95-CP96-CP97)</f>
        <v>0</v>
      </c>
      <c r="CQ112" s="7" t="n">
        <f aca="false">(CQ$50&lt;=Sale_Month)*(CQ104+CQ90-CQ91-CQ92+CQ95-CQ96-CQ97)</f>
        <v>0</v>
      </c>
      <c r="CR112" s="7" t="n">
        <f aca="false">(CR$50&lt;=Sale_Month)*(CR104+CR90-CR91-CR92+CR95-CR96-CR97)</f>
        <v>0</v>
      </c>
      <c r="CS112" s="7" t="n">
        <f aca="false">(CS$50&lt;=Sale_Month)*(CS104+CS90-CS91-CS92+CS95-CS96-CS97)</f>
        <v>0</v>
      </c>
      <c r="CT112" s="7" t="n">
        <f aca="false">(CT$50&lt;=Sale_Month)*(CT104+CT90-CT91-CT92+CT95-CT96-CT97)</f>
        <v>0</v>
      </c>
      <c r="CU112" s="7" t="n">
        <f aca="false">(CU$50&lt;=Sale_Month)*(CU104+CU90-CU91-CU92+CU95-CU96-CU97)</f>
        <v>0</v>
      </c>
      <c r="CV112" s="7" t="n">
        <f aca="false">(CV$50&lt;=Sale_Month)*(CV104+CV90-CV91-CV92+CV95-CV96-CV97)</f>
        <v>0</v>
      </c>
      <c r="CW112" s="7" t="n">
        <f aca="false">(CW$50&lt;=Sale_Month)*(CW104+CW90-CW91-CW92+CW95-CW96-CW97)</f>
        <v>0</v>
      </c>
      <c r="CX112" s="7" t="n">
        <f aca="false">(CX$50&lt;=Sale_Month)*(CX104+CX90-CX91-CX92+CX95-CX96-CX97)</f>
        <v>0</v>
      </c>
      <c r="CY112" s="7" t="n">
        <f aca="false">(CY$50&lt;=Sale_Month)*(CY104+CY90-CY91-CY92+CY95-CY96-CY97)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103</v>
      </c>
    </row>
    <row r="4" customFormat="false" ht="15" hidden="false" customHeight="false" outlineLevel="0" collapsed="false">
      <c r="B4" s="0" t="s">
        <v>72</v>
      </c>
      <c r="C4" s="0" t="n">
        <v>0</v>
      </c>
      <c r="D4" s="0" t="n">
        <v>1</v>
      </c>
      <c r="E4" s="0" t="n">
        <v>2</v>
      </c>
      <c r="F4" s="0" t="n">
        <v>3</v>
      </c>
      <c r="G4" s="0" t="n">
        <v>4</v>
      </c>
      <c r="H4" s="0" t="n">
        <v>5</v>
      </c>
      <c r="I4" s="0" t="n">
        <v>6</v>
      </c>
      <c r="J4" s="0" t="n">
        <v>7</v>
      </c>
    </row>
    <row r="5" customFormat="false" ht="15" hidden="false" customHeight="false" outlineLevel="0" collapsed="false">
      <c r="B5" s="0" t="s">
        <v>77</v>
      </c>
      <c r="C5" s="7" t="n">
        <f aca="false">SUMIF(Underwriting!$S$52:$CY$52,C$4,Underwriting!$S$61:$CY$61)</f>
        <v>17640000</v>
      </c>
      <c r="D5" s="7" t="n">
        <f aca="false">SUMIF(Underwriting!$S$52:$CY$52,D$4,Underwriting!$S$61:$CY$61)</f>
        <v>230470782.191231</v>
      </c>
      <c r="E5" s="7" t="n">
        <f aca="false">SUMIF(Underwriting!$S$52:$CY$52,E$4,Underwriting!$S$61:$CY$61)</f>
        <v>179662717.808769</v>
      </c>
      <c r="F5" s="7" t="n">
        <f aca="false">SUMIF(Underwriting!$S$52:$CY$52,F$4,Underwriting!$S$61:$CY$61)</f>
        <v>0</v>
      </c>
      <c r="G5" s="7" t="n">
        <f aca="false">SUMIF(Underwriting!$S$52:$CY$52,G$4,Underwriting!$S$61:$CY$61)</f>
        <v>0</v>
      </c>
      <c r="H5" s="7" t="n">
        <f aca="false">SUMIF(Underwriting!$S$52:$CY$52,H$4,Underwriting!$S$61:$CY$61)</f>
        <v>0</v>
      </c>
      <c r="I5" s="7" t="n">
        <f aca="false">SUMIF(Underwriting!$S$52:$CY$52,I$4,Underwriting!$S$61:$CY$61)</f>
        <v>0</v>
      </c>
      <c r="J5" s="7" t="n">
        <f aca="false">SUMIF(Underwriting!$S$52:$CY$52,J$4,Underwriting!$S$61:$CY$61)</f>
        <v>0</v>
      </c>
    </row>
    <row r="6" customFormat="false" ht="15" hidden="false" customHeight="false" outlineLevel="0" collapsed="false">
      <c r="B6" s="0" t="s">
        <v>83</v>
      </c>
      <c r="C6" s="7" t="n">
        <f aca="false">SUMIF(Underwriting!$S$52:$CY$52,C$4,Underwriting!$S$68:$CY$68)</f>
        <v>0</v>
      </c>
      <c r="D6" s="7" t="n">
        <f aca="false">SUMIF(Underwriting!$S$52:$CY$52,D$4,Underwriting!$S$68:$CY$68)</f>
        <v>0</v>
      </c>
      <c r="E6" s="7" t="n">
        <f aca="false">SUMIF(Underwriting!$S$52:$CY$52,E$4,Underwriting!$S$68:$CY$68)</f>
        <v>2201611.11111111</v>
      </c>
      <c r="F6" s="7" t="n">
        <f aca="false">SUMIF(Underwriting!$S$52:$CY$52,F$4,Underwriting!$S$68:$CY$68)</f>
        <v>30780813.8888889</v>
      </c>
      <c r="G6" s="7" t="n">
        <f aca="false">SUMIF(Underwriting!$S$52:$CY$52,G$4,Underwriting!$S$68:$CY$68)</f>
        <v>41433823.75</v>
      </c>
      <c r="H6" s="7" t="n">
        <f aca="false">SUMIF(Underwriting!$S$52:$CY$52,H$4,Underwriting!$S$68:$CY$68)</f>
        <v>42601523.2375</v>
      </c>
      <c r="I6" s="7" t="n">
        <f aca="false">SUMIF(Underwriting!$S$52:$CY$52,I$4,Underwriting!$S$68:$CY$68)</f>
        <v>43714017.750875</v>
      </c>
      <c r="J6" s="7" t="n">
        <f aca="false">SUMIF(Underwriting!$S$52:$CY$52,J$4,Underwriting!$S$68:$CY$68)</f>
        <v>0</v>
      </c>
    </row>
    <row r="7" customFormat="false" ht="15" hidden="false" customHeight="false" outlineLevel="0" collapsed="false">
      <c r="B7" s="0" t="s">
        <v>88</v>
      </c>
      <c r="C7" s="7" t="n">
        <f aca="false">SUMIF(Underwriting!$S$52:$CY$52,C$4,Underwriting!$S$74:$CY$74)</f>
        <v>0</v>
      </c>
      <c r="D7" s="7" t="n">
        <f aca="false">SUMIF(Underwriting!$S$52:$CY$52,D$4,Underwriting!$S$74:$CY$74)</f>
        <v>0</v>
      </c>
      <c r="E7" s="7" t="n">
        <f aca="false">SUMIF(Underwriting!$S$52:$CY$52,E$4,Underwriting!$S$74:$CY$74)</f>
        <v>2212791.2808642</v>
      </c>
      <c r="F7" s="7" t="n">
        <f aca="false">SUMIF(Underwriting!$S$52:$CY$52,F$4,Underwriting!$S$74:$CY$74)</f>
        <v>30352402.2087191</v>
      </c>
      <c r="G7" s="7" t="n">
        <f aca="false">SUMIF(Underwriting!$S$52:$CY$52,G$4,Underwriting!$S$74:$CY$74)</f>
        <v>40372405.2225116</v>
      </c>
      <c r="H7" s="7" t="n">
        <f aca="false">SUMIF(Underwriting!$S$52:$CY$52,H$4,Underwriting!$S$74:$CY$74)</f>
        <v>41643825.97</v>
      </c>
      <c r="I7" s="7" t="n">
        <f aca="false">SUMIF(Underwriting!$S$52:$CY$52,I$4,Underwriting!$S$74:$CY$74)</f>
        <v>42893140.7491</v>
      </c>
      <c r="J7" s="7" t="n">
        <f aca="false">SUMIF(Underwriting!$S$52:$CY$52,J$4,Underwriting!$S$74:$CY$74)</f>
        <v>0</v>
      </c>
    </row>
    <row r="8" customFormat="false" ht="15" hidden="false" customHeight="false" outlineLevel="0" collapsed="false">
      <c r="B8" s="0" t="s">
        <v>91</v>
      </c>
      <c r="C8" s="7" t="n">
        <f aca="false">SUMIF(Underwriting!$S$52:$CY$52,C$4,Underwriting!$S$84:$CY$84)</f>
        <v>0</v>
      </c>
      <c r="D8" s="7" t="n">
        <f aca="false">SUMIF(Underwriting!$S$52:$CY$52,D$4,Underwriting!$S$84:$CY$84)</f>
        <v>0</v>
      </c>
      <c r="E8" s="7" t="n">
        <f aca="false">SUMIF(Underwriting!$S$52:$CY$52,E$4,Underwriting!$S$84:$CY$84)</f>
        <v>5728821.57407407</v>
      </c>
      <c r="F8" s="7" t="n">
        <f aca="false">SUMIF(Underwriting!$S$52:$CY$52,F$4,Underwriting!$S$84:$CY$84)</f>
        <v>33229327.6550926</v>
      </c>
      <c r="G8" s="7" t="n">
        <f aca="false">SUMIF(Underwriting!$S$52:$CY$52,G$4,Underwriting!$S$84:$CY$84)</f>
        <v>41215942.2788195</v>
      </c>
      <c r="H8" s="7" t="n">
        <f aca="false">SUMIF(Underwriting!$S$52:$CY$52,H$4,Underwriting!$S$84:$CY$84)</f>
        <v>42495856.43475</v>
      </c>
      <c r="I8" s="7" t="n">
        <f aca="false">SUMIF(Underwriting!$S$52:$CY$52,I$4,Underwriting!$S$84:$CY$84)</f>
        <v>43767421.1041175</v>
      </c>
      <c r="J8" s="7" t="n">
        <f aca="false">SUMIF(Underwriting!$S$52:$CY$52,J$4,Underwriting!$S$84:$CY$84)</f>
        <v>0</v>
      </c>
    </row>
    <row r="9" customFormat="false" ht="15" hidden="false" customHeight="false" outlineLevel="0" collapsed="false">
      <c r="B9" s="0" t="s">
        <v>90</v>
      </c>
      <c r="C9" s="7" t="n">
        <f aca="false">SUMIF(Underwriting!$S$52:$CY$52,C$4,Underwriting!$S$83:$CY$83)</f>
        <v>0</v>
      </c>
      <c r="D9" s="7" t="n">
        <f aca="false">SUMIF(Underwriting!$S$52:$CY$52,D$4,Underwriting!$S$83:$CY$83)</f>
        <v>0</v>
      </c>
      <c r="E9" s="7" t="n">
        <f aca="false">SUMIF(Underwriting!$S$52:$CY$52,E$4,Underwriting!$S$83:$CY$83)</f>
        <v>-1314419.18209877</v>
      </c>
      <c r="F9" s="7" t="n">
        <f aca="false">SUMIF(Underwriting!$S$52:$CY$52,F$4,Underwriting!$S$83:$CY$83)</f>
        <v>27903888.4425154</v>
      </c>
      <c r="G9" s="7" t="n">
        <f aca="false">SUMIF(Underwriting!$S$52:$CY$52,G$4,Underwriting!$S$83:$CY$83)</f>
        <v>40590286.6936921</v>
      </c>
      <c r="H9" s="7" t="n">
        <f aca="false">SUMIF(Underwriting!$S$52:$CY$52,H$4,Underwriting!$S$83:$CY$83)</f>
        <v>41749492.77275</v>
      </c>
      <c r="I9" s="7" t="n">
        <f aca="false">SUMIF(Underwriting!$S$52:$CY$52,I$4,Underwriting!$S$83:$CY$83)</f>
        <v>42839737.3958575</v>
      </c>
      <c r="J9" s="7" t="n">
        <f aca="false">SUMIF(Underwriting!$S$52:$CY$52,J$4,Underwriting!$S$83:$CY$83)</f>
        <v>0</v>
      </c>
    </row>
    <row r="10" customFormat="false" ht="15" hidden="false" customHeight="false" outlineLevel="0" collapsed="false">
      <c r="B10" s="0" t="s">
        <v>93</v>
      </c>
      <c r="C10" s="7" t="n">
        <f aca="false">SUMIF(Underwriting!$S$52:$CY$52,C$4,Underwriting!$S$88:$CY$88)</f>
        <v>0</v>
      </c>
      <c r="D10" s="7" t="n">
        <f aca="false">SUMIF(Underwriting!$S$52:$CY$52,D$4,Underwriting!$S$88:$CY$88)</f>
        <v>0</v>
      </c>
      <c r="E10" s="7" t="n">
        <f aca="false">SUMIF(Underwriting!$S$52:$CY$52,E$4,Underwriting!$S$88:$CY$88)</f>
        <v>0</v>
      </c>
      <c r="F10" s="7" t="n">
        <f aca="false">SUMIF(Underwriting!$S$52:$CY$52,F$4,Underwriting!$S$88:$CY$88)</f>
        <v>0</v>
      </c>
      <c r="G10" s="7" t="n">
        <f aca="false">SUMIF(Underwriting!$S$52:$CY$52,G$4,Underwriting!$S$88:$CY$88)</f>
        <v>0</v>
      </c>
      <c r="H10" s="7" t="n">
        <f aca="false">SUMIF(Underwriting!$S$52:$CY$52,H$4,Underwriting!$S$88:$CY$88)</f>
        <v>0</v>
      </c>
      <c r="I10" s="7" t="n">
        <f aca="false">SUMIF(Underwriting!$S$52:$CY$52,I$4,Underwriting!$S$88:$CY$88)</f>
        <v>688520259.426222</v>
      </c>
      <c r="J10" s="7" t="n">
        <f aca="false">SUMIF(Underwriting!$S$52:$CY$52,J$4,Underwriting!$S$88:$CY$88)</f>
        <v>0</v>
      </c>
    </row>
    <row r="11" customFormat="false" ht="15" hidden="false" customHeight="false" outlineLevel="0" collapsed="false">
      <c r="B11" s="0" t="s">
        <v>101</v>
      </c>
      <c r="C11" s="7" t="n">
        <f aca="false">SUMIF(Underwriting!$S$52:$CY$52,C$4,Underwriting!$S$104:$CY$104)</f>
        <v>-17640000</v>
      </c>
      <c r="D11" s="7" t="n">
        <f aca="false">SUMIF(Underwriting!$S$52:$CY$52,D$4,Underwriting!$S$104:$CY$104)</f>
        <v>-230470782.191231</v>
      </c>
      <c r="E11" s="7" t="n">
        <f aca="false">SUMIF(Underwriting!$S$52:$CY$52,E$4,Underwriting!$S$104:$CY$104)</f>
        <v>-180977136.990868</v>
      </c>
      <c r="F11" s="7" t="n">
        <f aca="false">SUMIF(Underwriting!$S$52:$CY$52,F$4,Underwriting!$S$104:$CY$104)</f>
        <v>27903888.4425154</v>
      </c>
      <c r="G11" s="7" t="n">
        <f aca="false">SUMIF(Underwriting!$S$52:$CY$52,G$4,Underwriting!$S$104:$CY$104)</f>
        <v>40590286.6936921</v>
      </c>
      <c r="H11" s="7" t="n">
        <f aca="false">SUMIF(Underwriting!$S$52:$CY$52,H$4,Underwriting!$S$104:$CY$104)</f>
        <v>41749492.77275</v>
      </c>
      <c r="I11" s="7" t="n">
        <f aca="false">SUMIF(Underwriting!$S$52:$CY$52,I$4,Underwriting!$S$104:$CY$104)</f>
        <v>731359996.822079</v>
      </c>
      <c r="J11" s="7" t="n">
        <f aca="false">SUMIF(Underwriting!$S$52:$CY$52,J$4,Underwriting!$S$104:$CY$104)</f>
        <v>0</v>
      </c>
    </row>
    <row r="12" customFormat="false" ht="15" hidden="false" customHeight="false" outlineLevel="0" collapsed="false">
      <c r="B12" s="0" t="s">
        <v>102</v>
      </c>
      <c r="C12" s="7" t="n">
        <f aca="false">SUMIF(Underwriting!$S$52:$CY$52,C$4,Underwriting!$S$112:$CY$112)</f>
        <v>-7056000</v>
      </c>
      <c r="D12" s="7" t="n">
        <f aca="false">SUMIF(Underwriting!$S$52:$CY$52,D$4,Underwriting!$S$112:$CY$112)</f>
        <v>-96040056.598433</v>
      </c>
      <c r="E12" s="7" t="n">
        <f aca="false">SUMIF(Underwriting!$S$52:$CY$52,E$4,Underwriting!$S$112:$CY$112)</f>
        <v>-89762750.0836658</v>
      </c>
      <c r="F12" s="7" t="n">
        <f aca="false">SUMIF(Underwriting!$S$52:$CY$52,F$4,Underwriting!$S$112:$CY$112)</f>
        <v>8654080.94251544</v>
      </c>
      <c r="G12" s="7" t="n">
        <f aca="false">SUMIF(Underwriting!$S$52:$CY$52,G$4,Underwriting!$S$112:$CY$112)</f>
        <v>87477410.1936922</v>
      </c>
      <c r="H12" s="7" t="n">
        <f aca="false">SUMIF(Underwriting!$S$52:$CY$52,H$4,Underwriting!$S$112:$CY$112)</f>
        <v>21534199.77275</v>
      </c>
      <c r="I12" s="7" t="n">
        <f aca="false">SUMIF(Underwriting!$S$52:$CY$52,I$4,Underwriting!$S$112:$CY$112)</f>
        <v>387700015.822079</v>
      </c>
      <c r="J12" s="7" t="n">
        <f aca="false">SUMIF(Underwriting!$S$52:$CY$52,J$4,Underwriting!$S$112:$CY$112)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2026-10-19T19:02:44Z</dcterms:created>
  <dc:creator>openpyxl</dc:creator>
  <dc:description/>
  <dc:language>en-US</dc:language>
  <cp:lastModifiedBy/>
  <dcterms:modified xsi:type="dcterms:W3CDTF">2026-10-19T19:02:44Z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