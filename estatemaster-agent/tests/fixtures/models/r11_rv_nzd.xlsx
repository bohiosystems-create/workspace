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<sst xmlns="http://schemas.openxmlformats.org/spreadsheetml/2006/main" count="31" uniqueCount="31">
  <si>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TE AWA RETIREMENT VILLAGE – ORA / DMF MODEL (NZ$)</t>
  </si>
  <si>
    <t xml:space="preserve">Independent living units</t>
  </si>
  <si>
    <t xml:space="preserve">Occupation right price (NZ$)</t>
  </si>
  <si>
    <t xml:space="preserve">Units sold per year (first sales)</t>
  </si>
  <si>
    <t xml:space="preserve">Build cost per unit (NZ$)</t>
  </si>
  <si>
    <t xml:space="preserve">Land (NZ$)</t>
  </si>
  <si>
    <t xml:space="preserve">DMF (% of ORA)</t>
  </si>
  <si>
    <t xml:space="preserve">DMF accrual period (years)</t>
  </si>
  <si>
    <t xml:space="preserve">Average tenure (years)</t>
  </si>
  <si>
    <t xml:space="preserve">House price growth</t>
  </si>
  <si>
    <t xml:space="preserve">Weekly fee (NZ$)</t>
  </si>
  <si>
    <t xml:space="preserve">Village opex per unit (NZ$/yr)</t>
  </si>
  <si>
    <t xml:space="preserve">Discount rate</t>
  </si>
  <si>
    <t xml:space="preserve">Year</t>
  </si>
  <si>
    <t xml:space="preserve">First sales (units)</t>
  </si>
  <si>
    <t xml:space="preserve">Cumulative sold</t>
  </si>
  <si>
    <t xml:space="preserve">ORA receipts (first sales)</t>
  </si>
  <si>
    <t xml:space="preserve">Resales (units)</t>
  </si>
  <si>
    <t xml:space="preserve">DMF on resales</t>
  </si>
  <si>
    <t xml:space="preserve">Resale gain</t>
  </si>
  <si>
    <t xml:space="preserve">Weekly fees</t>
  </si>
  <si>
    <t xml:space="preserve">Village opex</t>
  </si>
  <si>
    <t xml:space="preserve">Build cost</t>
  </si>
  <si>
    <t xml:space="preserve">Land</t>
  </si>
  <si>
    <t xml:space="preserve">Net cash flow</t>
  </si>
  <si>
    <t xml:space="preserve">Project IRR</t>
  </si>
  <si>
    <t xml:space="preserve">NPV</t>
  </si>
  <si>
    <t xml:space="preserve">Development margin</t>
  </si>
  <si>
    <t xml:space="preserve">Net profit</t>
  </si>
  <si>
    <t xml:space="preserve">Total development cost</t>
  </si>
  <si>
    <t xml:space="preserve">Annual DMF at stabilisation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</si>
</sst>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"/>
    <numFmt numFmtId="168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160</v>
      </c>
    </row>
    <row r="4" customFormat="false" ht="15" hidden="false" customHeight="false" outlineLevel="0" collapsed="false">
      <c r="A4" s="0" t="s">
        <v>2</v>
      </c>
      <c r="B4" s="1" t="n">
        <v>780000</v>
      </c>
    </row>
    <row r="5" customFormat="false" ht="15" hidden="false" customHeight="false" outlineLevel="0" collapsed="false">
      <c r="A5" s="0" t="s">
        <v>3</v>
      </c>
      <c r="B5" s="1" t="n">
        <v>45</v>
      </c>
    </row>
    <row r="6" customFormat="false" ht="15" hidden="false" customHeight="false" outlineLevel="0" collapsed="false">
      <c r="A6" s="0" t="s">
        <v>4</v>
      </c>
      <c r="B6" s="1" t="n">
        <v>505000</v>
      </c>
    </row>
    <row r="7" customFormat="false" ht="15" hidden="false" customHeight="false" outlineLevel="0" collapsed="false">
      <c r="A7" s="0" t="s">
        <v>5</v>
      </c>
      <c r="B7" s="1" t="n">
        <v>21000000</v>
      </c>
    </row>
    <row r="8" customFormat="false" ht="15" hidden="false" customHeight="false" outlineLevel="0" collapsed="false">
      <c r="A8" s="0" t="s">
        <v>6</v>
      </c>
      <c r="B8" s="2" t="n">
        <v>0.3</v>
      </c>
    </row>
    <row r="9" customFormat="false" ht="15" hidden="false" customHeight="false" outlineLevel="0" collapsed="false">
      <c r="A9" s="0" t="s">
        <v>7</v>
      </c>
      <c r="B9" s="3" t="n">
        <v>3</v>
      </c>
    </row>
    <row r="10" customFormat="false" ht="15" hidden="false" customHeight="false" outlineLevel="0" collapsed="false">
      <c r="A10" s="0" t="s">
        <v>8</v>
      </c>
      <c r="B10" s="4" t="n">
        <v>8</v>
      </c>
    </row>
    <row r="11" customFormat="false" ht="15" hidden="false" customHeight="false" outlineLevel="0" collapsed="false">
      <c r="A11" s="0" t="s">
        <v>9</v>
      </c>
      <c r="B11" s="2" t="n">
        <v>0.035</v>
      </c>
    </row>
    <row r="12" customFormat="false" ht="15" hidden="false" customHeight="false" outlineLevel="0" collapsed="false">
      <c r="A12" s="0" t="s">
        <v>10</v>
      </c>
      <c r="B12" s="1" t="n">
        <v>165</v>
      </c>
    </row>
    <row r="13" customFormat="false" ht="15" hidden="false" customHeight="false" outlineLevel="0" collapsed="false">
      <c r="A13" s="0" t="s">
        <v>11</v>
      </c>
      <c r="B13" s="1" t="n">
        <v>9800</v>
      </c>
    </row>
    <row r="14" customFormat="false" ht="15" hidden="false" customHeight="false" outlineLevel="0" collapsed="false">
      <c r="A14" s="0" t="s">
        <v>12</v>
      </c>
      <c r="B14" s="2" t="n">
        <v>0.09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13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</row>
    <row r="4" customFormat="false" ht="15" hidden="false" customHeight="false" outlineLevel="0" collapsed="false">
      <c r="A4" s="0" t="s">
        <v>14</v>
      </c>
      <c r="B4" s="0" t="n">
        <f aca="false">0</f>
        <v>0</v>
      </c>
      <c r="C4" s="0" t="n">
        <f aca="false">IF(C$3=0,0,MIN(Inputs!$B$5,Inputs!$B$3-B5))</f>
        <v>45</v>
      </c>
      <c r="D4" s="0" t="n">
        <f aca="false">IF(D$3=0,0,MIN(Inputs!$B$5,Inputs!$B$3-C5))</f>
        <v>45</v>
      </c>
      <c r="E4" s="0" t="n">
        <f aca="false">IF(E$3=0,0,MIN(Inputs!$B$5,Inputs!$B$3-D5))</f>
        <v>45</v>
      </c>
      <c r="F4" s="0" t="n">
        <f aca="false">IF(F$3=0,0,MIN(Inputs!$B$5,Inputs!$B$3-E5))</f>
        <v>25</v>
      </c>
      <c r="G4" s="0" t="n">
        <f aca="false">IF(G$3=0,0,MIN(Inputs!$B$5,Inputs!$B$3-F5))</f>
        <v>0</v>
      </c>
      <c r="H4" s="0" t="n">
        <f aca="false">IF(H$3=0,0,MIN(Inputs!$B$5,Inputs!$B$3-G5))</f>
        <v>0</v>
      </c>
      <c r="I4" s="0" t="n">
        <f aca="false">IF(I$3=0,0,MIN(Inputs!$B$5,Inputs!$B$3-H5))</f>
        <v>0</v>
      </c>
      <c r="J4" s="0" t="n">
        <f aca="false">IF(J$3=0,0,MIN(Inputs!$B$5,Inputs!$B$3-I5))</f>
        <v>0</v>
      </c>
      <c r="K4" s="0" t="n">
        <f aca="false">IF(K$3=0,0,MIN(Inputs!$B$5,Inputs!$B$3-J5))</f>
        <v>0</v>
      </c>
      <c r="L4" s="0" t="n">
        <f aca="false">IF(L$3=0,0,MIN(Inputs!$B$5,Inputs!$B$3-K5))</f>
        <v>0</v>
      </c>
      <c r="M4" s="0" t="n">
        <f aca="false">IF(M$3=0,0,MIN(Inputs!$B$5,Inputs!$B$3-L5))</f>
        <v>0</v>
      </c>
      <c r="N4" s="0" t="n">
        <f aca="false">IF(N$3=0,0,MIN(Inputs!$B$5,Inputs!$B$3-M5))</f>
        <v>0</v>
      </c>
      <c r="O4" s="0" t="n">
        <f aca="false">IF(O$3=0,0,MIN(Inputs!$B$5,Inputs!$B$3-N5))</f>
        <v>0</v>
      </c>
      <c r="P4" s="0" t="n">
        <f aca="false">IF(P$3=0,0,MIN(Inputs!$B$5,Inputs!$B$3-O5))</f>
        <v>0</v>
      </c>
      <c r="Q4" s="0" t="n">
        <f aca="false">IF(Q$3=0,0,MIN(Inputs!$B$5,Inputs!$B$3-P5))</f>
        <v>0</v>
      </c>
    </row>
    <row r="5" customFormat="false" ht="15" hidden="false" customHeight="false" outlineLevel="0" collapsed="false">
      <c r="A5" s="0" t="s">
        <v>15</v>
      </c>
      <c r="B5" s="0" t="n">
        <f aca="false">B4</f>
        <v>0</v>
      </c>
      <c r="C5" s="0" t="n">
        <f aca="false">B5+C4</f>
        <v>45</v>
      </c>
      <c r="D5" s="0" t="n">
        <f aca="false">C5+D4</f>
        <v>90</v>
      </c>
      <c r="E5" s="0" t="n">
        <f aca="false">D5+E4</f>
        <v>135</v>
      </c>
      <c r="F5" s="0" t="n">
        <f aca="false">E5+F4</f>
        <v>160</v>
      </c>
      <c r="G5" s="0" t="n">
        <f aca="false">F5+G4</f>
        <v>160</v>
      </c>
      <c r="H5" s="0" t="n">
        <f aca="false">G5+H4</f>
        <v>160</v>
      </c>
      <c r="I5" s="0" t="n">
        <f aca="false">H5+I4</f>
        <v>160</v>
      </c>
      <c r="J5" s="0" t="n">
        <f aca="false">I5+J4</f>
        <v>160</v>
      </c>
      <c r="K5" s="0" t="n">
        <f aca="false">J5+K4</f>
        <v>160</v>
      </c>
      <c r="L5" s="0" t="n">
        <f aca="false">K5+L4</f>
        <v>160</v>
      </c>
      <c r="M5" s="0" t="n">
        <f aca="false">L5+M4</f>
        <v>160</v>
      </c>
      <c r="N5" s="0" t="n">
        <f aca="false">M5+N4</f>
        <v>160</v>
      </c>
      <c r="O5" s="0" t="n">
        <f aca="false">N5+O4</f>
        <v>160</v>
      </c>
      <c r="P5" s="0" t="n">
        <f aca="false">O5+P4</f>
        <v>160</v>
      </c>
      <c r="Q5" s="0" t="n">
        <f aca="false">P5+Q4</f>
        <v>160</v>
      </c>
    </row>
    <row r="6" customFormat="false" ht="15" hidden="false" customHeight="false" outlineLevel="0" collapsed="false">
      <c r="A6" s="0" t="s">
        <v>16</v>
      </c>
      <c r="B6" s="0" t="n">
        <f aca="false">B4*Inputs!$B$4*(1+Inputs!$B$11)^B$3</f>
        <v>0</v>
      </c>
      <c r="C6" s="0" t="n">
        <f aca="false">C4*Inputs!$B$4*(1+Inputs!$B$11)^C$3</f>
        <v>36328500</v>
      </c>
      <c r="D6" s="0" t="n">
        <f aca="false">D4*Inputs!$B$4*(1+Inputs!$B$11)^D$3</f>
        <v>37599997.5</v>
      </c>
      <c r="E6" s="0" t="n">
        <f aca="false">E4*Inputs!$B$4*(1+Inputs!$B$11)^E$3</f>
        <v>38915997.4125</v>
      </c>
      <c r="F6" s="0" t="n">
        <f aca="false">F4*Inputs!$B$4*(1+Inputs!$B$11)^F$3</f>
        <v>22376698.5121875</v>
      </c>
      <c r="G6" s="0" t="n">
        <f aca="false">G4*Inputs!$B$4*(1+Inputs!$B$11)^G$3</f>
        <v>0</v>
      </c>
      <c r="H6" s="0" t="n">
        <f aca="false">H4*Inputs!$B$4*(1+Inputs!$B$11)^H$3</f>
        <v>0</v>
      </c>
      <c r="I6" s="0" t="n">
        <f aca="false">I4*Inputs!$B$4*(1+Inputs!$B$11)^I$3</f>
        <v>0</v>
      </c>
      <c r="J6" s="0" t="n">
        <f aca="false">J4*Inputs!$B$4*(1+Inputs!$B$11)^J$3</f>
        <v>0</v>
      </c>
      <c r="K6" s="0" t="n">
        <f aca="false">K4*Inputs!$B$4*(1+Inputs!$B$11)^K$3</f>
        <v>0</v>
      </c>
      <c r="L6" s="0" t="n">
        <f aca="false">L4*Inputs!$B$4*(1+Inputs!$B$11)^L$3</f>
        <v>0</v>
      </c>
      <c r="M6" s="0" t="n">
        <f aca="false">M4*Inputs!$B$4*(1+Inputs!$B$11)^M$3</f>
        <v>0</v>
      </c>
      <c r="N6" s="0" t="n">
        <f aca="false">N4*Inputs!$B$4*(1+Inputs!$B$11)^N$3</f>
        <v>0</v>
      </c>
      <c r="O6" s="0" t="n">
        <f aca="false">O4*Inputs!$B$4*(1+Inputs!$B$11)^O$3</f>
        <v>0</v>
      </c>
      <c r="P6" s="0" t="n">
        <f aca="false">P4*Inputs!$B$4*(1+Inputs!$B$11)^P$3</f>
        <v>0</v>
      </c>
      <c r="Q6" s="0" t="n">
        <f aca="false">Q4*Inputs!$B$4*(1+Inputs!$B$11)^Q$3</f>
        <v>0</v>
      </c>
    </row>
    <row r="7" customFormat="false" ht="15" hidden="false" customHeight="false" outlineLevel="0" collapsed="false">
      <c r="A7" s="0" t="s">
        <v>17</v>
      </c>
      <c r="B7" s="0" t="n">
        <f aca="false">0</f>
        <v>0</v>
      </c>
      <c r="C7" s="0" t="n">
        <f aca="false">B5/Inputs!$B$10</f>
        <v>0</v>
      </c>
      <c r="D7" s="0" t="n">
        <f aca="false">C5/Inputs!$B$10</f>
        <v>5.625</v>
      </c>
      <c r="E7" s="0" t="n">
        <f aca="false">D5/Inputs!$B$10</f>
        <v>11.25</v>
      </c>
      <c r="F7" s="0" t="n">
        <f aca="false">E5/Inputs!$B$10</f>
        <v>16.875</v>
      </c>
      <c r="G7" s="0" t="n">
        <f aca="false">F5/Inputs!$B$10</f>
        <v>20</v>
      </c>
      <c r="H7" s="0" t="n">
        <f aca="false">G5/Inputs!$B$10</f>
        <v>20</v>
      </c>
      <c r="I7" s="0" t="n">
        <f aca="false">H5/Inputs!$B$10</f>
        <v>20</v>
      </c>
      <c r="J7" s="0" t="n">
        <f aca="false">I5/Inputs!$B$10</f>
        <v>20</v>
      </c>
      <c r="K7" s="0" t="n">
        <f aca="false">J5/Inputs!$B$10</f>
        <v>20</v>
      </c>
      <c r="L7" s="0" t="n">
        <f aca="false">K5/Inputs!$B$10</f>
        <v>20</v>
      </c>
      <c r="M7" s="0" t="n">
        <f aca="false">L5/Inputs!$B$10</f>
        <v>20</v>
      </c>
      <c r="N7" s="0" t="n">
        <f aca="false">M5/Inputs!$B$10</f>
        <v>20</v>
      </c>
      <c r="O7" s="0" t="n">
        <f aca="false">N5/Inputs!$B$10</f>
        <v>20</v>
      </c>
      <c r="P7" s="0" t="n">
        <f aca="false">O5/Inputs!$B$10</f>
        <v>20</v>
      </c>
      <c r="Q7" s="0" t="n">
        <f aca="false">P5/Inputs!$B$10</f>
        <v>20</v>
      </c>
    </row>
    <row r="8" customFormat="false" ht="15" hidden="false" customHeight="false" outlineLevel="0" collapsed="false">
      <c r="A8" s="0" t="s">
        <v>18</v>
      </c>
      <c r="B8" s="0" t="n">
        <f aca="false">B7*Inputs!$B$4*Inputs!$B$8*MIN(1,Inputs!$B$10/Inputs!$B$9)</f>
        <v>0</v>
      </c>
      <c r="C8" s="0" t="n">
        <f aca="false">C7*Inputs!$B$4*Inputs!$B$8*MIN(1,Inputs!$B$10/Inputs!$B$9)</f>
        <v>0</v>
      </c>
      <c r="D8" s="0" t="n">
        <f aca="false">D7*Inputs!$B$4*Inputs!$B$8*MIN(1,Inputs!$B$10/Inputs!$B$9)</f>
        <v>1316250</v>
      </c>
      <c r="E8" s="0" t="n">
        <f aca="false">E7*Inputs!$B$4*Inputs!$B$8*MIN(1,Inputs!$B$10/Inputs!$B$9)</f>
        <v>2632500</v>
      </c>
      <c r="F8" s="0" t="n">
        <f aca="false">F7*Inputs!$B$4*Inputs!$B$8*MIN(1,Inputs!$B$10/Inputs!$B$9)</f>
        <v>3948750</v>
      </c>
      <c r="G8" s="0" t="n">
        <f aca="false">G7*Inputs!$B$4*Inputs!$B$8*MIN(1,Inputs!$B$10/Inputs!$B$9)</f>
        <v>4680000</v>
      </c>
      <c r="H8" s="0" t="n">
        <f aca="false">H7*Inputs!$B$4*Inputs!$B$8*MIN(1,Inputs!$B$10/Inputs!$B$9)</f>
        <v>4680000</v>
      </c>
      <c r="I8" s="0" t="n">
        <f aca="false">I7*Inputs!$B$4*Inputs!$B$8*MIN(1,Inputs!$B$10/Inputs!$B$9)</f>
        <v>4680000</v>
      </c>
      <c r="J8" s="0" t="n">
        <f aca="false">J7*Inputs!$B$4*Inputs!$B$8*MIN(1,Inputs!$B$10/Inputs!$B$9)</f>
        <v>4680000</v>
      </c>
      <c r="K8" s="0" t="n">
        <f aca="false">K7*Inputs!$B$4*Inputs!$B$8*MIN(1,Inputs!$B$10/Inputs!$B$9)</f>
        <v>4680000</v>
      </c>
      <c r="L8" s="0" t="n">
        <f aca="false">L7*Inputs!$B$4*Inputs!$B$8*MIN(1,Inputs!$B$10/Inputs!$B$9)</f>
        <v>4680000</v>
      </c>
      <c r="M8" s="0" t="n">
        <f aca="false">M7*Inputs!$B$4*Inputs!$B$8*MIN(1,Inputs!$B$10/Inputs!$B$9)</f>
        <v>4680000</v>
      </c>
      <c r="N8" s="0" t="n">
        <f aca="false">N7*Inputs!$B$4*Inputs!$B$8*MIN(1,Inputs!$B$10/Inputs!$B$9)</f>
        <v>4680000</v>
      </c>
      <c r="O8" s="0" t="n">
        <f aca="false">O7*Inputs!$B$4*Inputs!$B$8*MIN(1,Inputs!$B$10/Inputs!$B$9)</f>
        <v>4680000</v>
      </c>
      <c r="P8" s="0" t="n">
        <f aca="false">P7*Inputs!$B$4*Inputs!$B$8*MIN(1,Inputs!$B$10/Inputs!$B$9)</f>
        <v>4680000</v>
      </c>
      <c r="Q8" s="0" t="n">
        <f aca="false">Q7*Inputs!$B$4*Inputs!$B$8*MIN(1,Inputs!$B$10/Inputs!$B$9)</f>
        <v>4680000</v>
      </c>
    </row>
    <row r="9" customFormat="false" ht="15" hidden="false" customHeight="false" outlineLevel="0" collapsed="false">
      <c r="A9" s="0" t="s">
        <v>19</v>
      </c>
      <c r="B9" s="0" t="n">
        <f aca="false">B7*Inputs!$B$4*((1+Inputs!$B$11)^B$3-(1+Inputs!$B$11)^MAX(0,B$3-Inputs!$B$10))</f>
        <v>0</v>
      </c>
      <c r="C9" s="0" t="n">
        <f aca="false">C7*Inputs!$B$4*((1+Inputs!$B$11)^C$3-(1+Inputs!$B$11)^MAX(0,C$3-Inputs!$B$10))</f>
        <v>0</v>
      </c>
      <c r="D9" s="0" t="n">
        <f aca="false">D7*Inputs!$B$4*((1+Inputs!$B$11)^D$3-(1+Inputs!$B$11)^MAX(0,D$3-Inputs!$B$10))</f>
        <v>312499.687499999</v>
      </c>
      <c r="E9" s="0" t="n">
        <f aca="false">E7*Inputs!$B$4*((1+Inputs!$B$11)^E$3-(1+Inputs!$B$11)^MAX(0,E$3-Inputs!$B$10))</f>
        <v>953999.353124998</v>
      </c>
      <c r="F9" s="0" t="n">
        <f aca="false">F7*Inputs!$B$4*((1+Inputs!$B$11)^F$3-(1+Inputs!$B$11)^MAX(0,F$3-Inputs!$B$10))</f>
        <v>1941771.49572656</v>
      </c>
      <c r="G9" s="0" t="n">
        <f aca="false">G7*Inputs!$B$4*((1+Inputs!$B$11)^G$3-(1+Inputs!$B$11)^MAX(0,G$3-Inputs!$B$10))</f>
        <v>2927906.36809124</v>
      </c>
      <c r="H9" s="0" t="n">
        <f aca="false">H7*Inputs!$B$4*((1+Inputs!$B$11)^H$3-(1+Inputs!$B$11)^MAX(0,H$3-Inputs!$B$10))</f>
        <v>3576383.09097443</v>
      </c>
      <c r="I9" s="0" t="n">
        <f aca="false">I7*Inputs!$B$4*((1+Inputs!$B$11)^I$3-(1+Inputs!$B$11)^MAX(0,I$3-Inputs!$B$10))</f>
        <v>4247556.49915854</v>
      </c>
      <c r="J9" s="0" t="n">
        <f aca="false">J7*Inputs!$B$4*((1+Inputs!$B$11)^J$3-(1+Inputs!$B$11)^MAX(0,J$3-Inputs!$B$10))</f>
        <v>4942220.97662909</v>
      </c>
      <c r="K9" s="0" t="n">
        <f aca="false">K7*Inputs!$B$4*((1+Inputs!$B$11)^K$3-(1+Inputs!$B$11)^MAX(0,K$3-Inputs!$B$10))</f>
        <v>5115198.71081111</v>
      </c>
      <c r="L9" s="0" t="n">
        <f aca="false">L7*Inputs!$B$4*((1+Inputs!$B$11)^L$3-(1+Inputs!$B$11)^MAX(0,L$3-Inputs!$B$10))</f>
        <v>5294230.66568949</v>
      </c>
      <c r="M9" s="0" t="n">
        <f aca="false">M7*Inputs!$B$4*((1+Inputs!$B$11)^M$3-(1+Inputs!$B$11)^MAX(0,M$3-Inputs!$B$10))</f>
        <v>5479528.73898863</v>
      </c>
      <c r="N9" s="0" t="n">
        <f aca="false">N7*Inputs!$B$4*((1+Inputs!$B$11)^N$3-(1+Inputs!$B$11)^MAX(0,N$3-Inputs!$B$10))</f>
        <v>5671312.24485323</v>
      </c>
      <c r="O9" s="0" t="n">
        <f aca="false">O7*Inputs!$B$4*((1+Inputs!$B$11)^O$3-(1+Inputs!$B$11)^MAX(0,O$3-Inputs!$B$10))</f>
        <v>5869808.17342309</v>
      </c>
      <c r="P9" s="0" t="n">
        <f aca="false">P7*Inputs!$B$4*((1+Inputs!$B$11)^P$3-(1+Inputs!$B$11)^MAX(0,P$3-Inputs!$B$10))</f>
        <v>6075251.4594929</v>
      </c>
      <c r="Q9" s="0" t="n">
        <f aca="false">Q7*Inputs!$B$4*((1+Inputs!$B$11)^Q$3-(1+Inputs!$B$11)^MAX(0,Q$3-Inputs!$B$10))</f>
        <v>6287885.26057515</v>
      </c>
    </row>
    <row r="10" customFormat="false" ht="15" hidden="false" customHeight="false" outlineLevel="0" collapsed="false">
      <c r="A10" s="0" t="s">
        <v>20</v>
      </c>
      <c r="B10" s="0" t="n">
        <f aca="false">B5*Inputs!$B$12*52</f>
        <v>0</v>
      </c>
      <c r="C10" s="0" t="n">
        <f aca="false">C5*Inputs!$B$12*52</f>
        <v>386100</v>
      </c>
      <c r="D10" s="0" t="n">
        <f aca="false">D5*Inputs!$B$12*52</f>
        <v>772200</v>
      </c>
      <c r="E10" s="0" t="n">
        <f aca="false">E5*Inputs!$B$12*52</f>
        <v>1158300</v>
      </c>
      <c r="F10" s="0" t="n">
        <f aca="false">F5*Inputs!$B$12*52</f>
        <v>1372800</v>
      </c>
      <c r="G10" s="0" t="n">
        <f aca="false">G5*Inputs!$B$12*52</f>
        <v>1372800</v>
      </c>
      <c r="H10" s="0" t="n">
        <f aca="false">H5*Inputs!$B$12*52</f>
        <v>1372800</v>
      </c>
      <c r="I10" s="0" t="n">
        <f aca="false">I5*Inputs!$B$12*52</f>
        <v>1372800</v>
      </c>
      <c r="J10" s="0" t="n">
        <f aca="false">J5*Inputs!$B$12*52</f>
        <v>1372800</v>
      </c>
      <c r="K10" s="0" t="n">
        <f aca="false">K5*Inputs!$B$12*52</f>
        <v>1372800</v>
      </c>
      <c r="L10" s="0" t="n">
        <f aca="false">L5*Inputs!$B$12*52</f>
        <v>1372800</v>
      </c>
      <c r="M10" s="0" t="n">
        <f aca="false">M5*Inputs!$B$12*52</f>
        <v>1372800</v>
      </c>
      <c r="N10" s="0" t="n">
        <f aca="false">N5*Inputs!$B$12*52</f>
        <v>1372800</v>
      </c>
      <c r="O10" s="0" t="n">
        <f aca="false">O5*Inputs!$B$12*52</f>
        <v>1372800</v>
      </c>
      <c r="P10" s="0" t="n">
        <f aca="false">P5*Inputs!$B$12*52</f>
        <v>1372800</v>
      </c>
      <c r="Q10" s="0" t="n">
        <f aca="false">Q5*Inputs!$B$12*52</f>
        <v>1372800</v>
      </c>
    </row>
    <row r="11" customFormat="false" ht="15" hidden="false" customHeight="false" outlineLevel="0" collapsed="false">
      <c r="A11" s="0" t="s">
        <v>21</v>
      </c>
      <c r="B11" s="0" t="n">
        <f aca="false">-B5*Inputs!$B$13</f>
        <v>-0</v>
      </c>
      <c r="C11" s="0" t="n">
        <f aca="false">-C5*Inputs!$B$13</f>
        <v>-441000</v>
      </c>
      <c r="D11" s="0" t="n">
        <f aca="false">-D5*Inputs!$B$13</f>
        <v>-882000</v>
      </c>
      <c r="E11" s="0" t="n">
        <f aca="false">-E5*Inputs!$B$13</f>
        <v>-1323000</v>
      </c>
      <c r="F11" s="0" t="n">
        <f aca="false">-F5*Inputs!$B$13</f>
        <v>-1568000</v>
      </c>
      <c r="G11" s="0" t="n">
        <f aca="false">-G5*Inputs!$B$13</f>
        <v>-1568000</v>
      </c>
      <c r="H11" s="0" t="n">
        <f aca="false">-H5*Inputs!$B$13</f>
        <v>-1568000</v>
      </c>
      <c r="I11" s="0" t="n">
        <f aca="false">-I5*Inputs!$B$13</f>
        <v>-1568000</v>
      </c>
      <c r="J11" s="0" t="n">
        <f aca="false">-J5*Inputs!$B$13</f>
        <v>-1568000</v>
      </c>
      <c r="K11" s="0" t="n">
        <f aca="false">-K5*Inputs!$B$13</f>
        <v>-1568000</v>
      </c>
      <c r="L11" s="0" t="n">
        <f aca="false">-L5*Inputs!$B$13</f>
        <v>-1568000</v>
      </c>
      <c r="M11" s="0" t="n">
        <f aca="false">-M5*Inputs!$B$13</f>
        <v>-1568000</v>
      </c>
      <c r="N11" s="0" t="n">
        <f aca="false">-N5*Inputs!$B$13</f>
        <v>-1568000</v>
      </c>
      <c r="O11" s="0" t="n">
        <f aca="false">-O5*Inputs!$B$13</f>
        <v>-1568000</v>
      </c>
      <c r="P11" s="0" t="n">
        <f aca="false">-P5*Inputs!$B$13</f>
        <v>-1568000</v>
      </c>
      <c r="Q11" s="0" t="n">
        <f aca="false">-Q5*Inputs!$B$13</f>
        <v>-1568000</v>
      </c>
    </row>
    <row r="12" customFormat="false" ht="15" hidden="false" customHeight="false" outlineLevel="0" collapsed="false">
      <c r="A12" s="0" t="s">
        <v>22</v>
      </c>
      <c r="B12" s="0" t="n">
        <f aca="false">-IF(B$3&lt;=3,Inputs!$B$3*Inputs!$B$6/4,0)</f>
        <v>-20200000</v>
      </c>
      <c r="C12" s="0" t="n">
        <f aca="false">-IF(C$3&lt;=3,Inputs!$B$3*Inputs!$B$6/4,0)</f>
        <v>-20200000</v>
      </c>
      <c r="D12" s="0" t="n">
        <f aca="false">-IF(D$3&lt;=3,Inputs!$B$3*Inputs!$B$6/4,0)</f>
        <v>-20200000</v>
      </c>
      <c r="E12" s="0" t="n">
        <f aca="false">-IF(E$3&lt;=3,Inputs!$B$3*Inputs!$B$6/4,0)</f>
        <v>-20200000</v>
      </c>
      <c r="F12" s="0" t="n">
        <f aca="false">-IF(F$3&lt;=3,Inputs!$B$3*Inputs!$B$6/4,0)</f>
        <v>-0</v>
      </c>
      <c r="G12" s="0" t="n">
        <f aca="false">-IF(G$3&lt;=3,Inputs!$B$3*Inputs!$B$6/4,0)</f>
        <v>-0</v>
      </c>
      <c r="H12" s="0" t="n">
        <f aca="false">-IF(H$3&lt;=3,Inputs!$B$3*Inputs!$B$6/4,0)</f>
        <v>-0</v>
      </c>
      <c r="I12" s="0" t="n">
        <f aca="false">-IF(I$3&lt;=3,Inputs!$B$3*Inputs!$B$6/4,0)</f>
        <v>-0</v>
      </c>
      <c r="J12" s="0" t="n">
        <f aca="false">-IF(J$3&lt;=3,Inputs!$B$3*Inputs!$B$6/4,0)</f>
        <v>-0</v>
      </c>
      <c r="K12" s="0" t="n">
        <f aca="false">-IF(K$3&lt;=3,Inputs!$B$3*Inputs!$B$6/4,0)</f>
        <v>-0</v>
      </c>
      <c r="L12" s="0" t="n">
        <f aca="false">-IF(L$3&lt;=3,Inputs!$B$3*Inputs!$B$6/4,0)</f>
        <v>-0</v>
      </c>
      <c r="M12" s="0" t="n">
        <f aca="false">-IF(M$3&lt;=3,Inputs!$B$3*Inputs!$B$6/4,0)</f>
        <v>-0</v>
      </c>
      <c r="N12" s="0" t="n">
        <f aca="false">-IF(N$3&lt;=3,Inputs!$B$3*Inputs!$B$6/4,0)</f>
        <v>-0</v>
      </c>
      <c r="O12" s="0" t="n">
        <f aca="false">-IF(O$3&lt;=3,Inputs!$B$3*Inputs!$B$6/4,0)</f>
        <v>-0</v>
      </c>
      <c r="P12" s="0" t="n">
        <f aca="false">-IF(P$3&lt;=3,Inputs!$B$3*Inputs!$B$6/4,0)</f>
        <v>-0</v>
      </c>
      <c r="Q12" s="0" t="n">
        <f aca="false">-IF(Q$3&lt;=3,Inputs!$B$3*Inputs!$B$6/4,0)</f>
        <v>-0</v>
      </c>
    </row>
    <row r="13" customFormat="false" ht="15" hidden="false" customHeight="false" outlineLevel="0" collapsed="false">
      <c r="A13" s="0" t="s">
        <v>23</v>
      </c>
      <c r="B13" s="0" t="n">
        <f aca="false">IF(B$3=0,-Inputs!$B$7,0)</f>
        <v>-21000000</v>
      </c>
      <c r="C13" s="0" t="n">
        <f aca="false">IF(C$3=0,-Inputs!$B$7,0)</f>
        <v>0</v>
      </c>
      <c r="D13" s="0" t="n">
        <f aca="false">IF(D$3=0,-Inputs!$B$7,0)</f>
        <v>0</v>
      </c>
      <c r="E13" s="0" t="n">
        <f aca="false">IF(E$3=0,-Inputs!$B$7,0)</f>
        <v>0</v>
      </c>
      <c r="F13" s="0" t="n">
        <f aca="false">IF(F$3=0,-Inputs!$B$7,0)</f>
        <v>0</v>
      </c>
      <c r="G13" s="0" t="n">
        <f aca="false">IF(G$3=0,-Inputs!$B$7,0)</f>
        <v>0</v>
      </c>
      <c r="H13" s="0" t="n">
        <f aca="false">IF(H$3=0,-Inputs!$B$7,0)</f>
        <v>0</v>
      </c>
      <c r="I13" s="0" t="n">
        <f aca="false">IF(I$3=0,-Inputs!$B$7,0)</f>
        <v>0</v>
      </c>
      <c r="J13" s="0" t="n">
        <f aca="false">IF(J$3=0,-Inputs!$B$7,0)</f>
        <v>0</v>
      </c>
      <c r="K13" s="0" t="n">
        <f aca="false">IF(K$3=0,-Inputs!$B$7,0)</f>
        <v>0</v>
      </c>
      <c r="L13" s="0" t="n">
        <f aca="false">IF(L$3=0,-Inputs!$B$7,0)</f>
        <v>0</v>
      </c>
      <c r="M13" s="0" t="n">
        <f aca="false">IF(M$3=0,-Inputs!$B$7,0)</f>
        <v>0</v>
      </c>
      <c r="N13" s="0" t="n">
        <f aca="false">IF(N$3=0,-Inputs!$B$7,0)</f>
        <v>0</v>
      </c>
      <c r="O13" s="0" t="n">
        <f aca="false">IF(O$3=0,-Inputs!$B$7,0)</f>
        <v>0</v>
      </c>
      <c r="P13" s="0" t="n">
        <f aca="false">IF(P$3=0,-Inputs!$B$7,0)</f>
        <v>0</v>
      </c>
      <c r="Q13" s="0" t="n">
        <f aca="false">IF(Q$3=0,-Inputs!$B$7,0)</f>
        <v>0</v>
      </c>
    </row>
    <row r="14" customFormat="false" ht="15" hidden="false" customHeight="false" outlineLevel="0" collapsed="false">
      <c r="A14" s="0" t="s">
        <v>24</v>
      </c>
      <c r="B14" s="0" t="n">
        <f aca="false">SUM(B6,B8:B13)</f>
        <v>-41200000</v>
      </c>
      <c r="C14" s="0" t="n">
        <f aca="false">SUM(C6,C8:C13)</f>
        <v>16073600</v>
      </c>
      <c r="D14" s="0" t="n">
        <f aca="false">SUM(D6,D8:D13)</f>
        <v>18918947.1875</v>
      </c>
      <c r="E14" s="0" t="n">
        <f aca="false">SUM(E6,E8:E13)</f>
        <v>22137796.765625</v>
      </c>
      <c r="F14" s="0" t="n">
        <f aca="false">SUM(F6,F8:F13)</f>
        <v>28072020.0079141</v>
      </c>
      <c r="G14" s="0" t="n">
        <f aca="false">SUM(G6,G8:G13)</f>
        <v>7412706.36809124</v>
      </c>
      <c r="H14" s="0" t="n">
        <f aca="false">SUM(H6,H8:H13)</f>
        <v>8061183.09097443</v>
      </c>
      <c r="I14" s="0" t="n">
        <f aca="false">SUM(I6,I8:I13)</f>
        <v>8732356.49915854</v>
      </c>
      <c r="J14" s="0" t="n">
        <f aca="false">SUM(J6,J8:J13)</f>
        <v>9427020.97662909</v>
      </c>
      <c r="K14" s="0" t="n">
        <f aca="false">SUM(K6,K8:K13)</f>
        <v>9599998.71081111</v>
      </c>
      <c r="L14" s="0" t="n">
        <f aca="false">SUM(L6,L8:L13)</f>
        <v>9779030.66568949</v>
      </c>
      <c r="M14" s="0" t="n">
        <f aca="false">SUM(M6,M8:M13)</f>
        <v>9964328.73898863</v>
      </c>
      <c r="N14" s="0" t="n">
        <f aca="false">SUM(N6,N8:N13)</f>
        <v>10156112.2448532</v>
      </c>
      <c r="O14" s="0" t="n">
        <f aca="false">SUM(O6,O8:O13)</f>
        <v>10354608.1734231</v>
      </c>
      <c r="P14" s="0" t="n">
        <f aca="false">SUM(P6,P8:P13)</f>
        <v>10560051.4594929</v>
      </c>
      <c r="Q14" s="0" t="n">
        <f aca="false">SUM(Q6,Q8:Q13)</f>
        <v>10772685.2605752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25</v>
      </c>
      <c r="B3" s="2" t="n">
        <f aca="false">IRR('Cash Flow'!B14:Q14)</f>
        <v>0.408519811192203</v>
      </c>
    </row>
    <row r="4" customFormat="false" ht="15" hidden="false" customHeight="false" outlineLevel="0" collapsed="false">
      <c r="A4" s="0" t="s">
        <v>26</v>
      </c>
      <c r="B4" s="1" t="n">
        <f aca="false">NPV(Inputs!$B$14,'Cash Flow'!C14:Q14)+'Cash Flow'!B14</f>
        <v>71102113.2957103</v>
      </c>
    </row>
    <row r="5" customFormat="false" ht="15" hidden="false" customHeight="false" outlineLevel="0" collapsed="false">
      <c r="A5" s="0" t="s">
        <v>27</v>
      </c>
      <c r="B5" s="2" t="n">
        <f aca="false">(SUM('Cash Flow'!B6:Q6)+SUM('Cash Flow'!B12:Q13))/-SUM('Cash Flow'!B12:Q13)</f>
        <v>0.328302489437009</v>
      </c>
    </row>
    <row r="6" customFormat="false" ht="15" hidden="false" customHeight="false" outlineLevel="0" collapsed="false">
      <c r="A6" s="0" t="s">
        <v>28</v>
      </c>
      <c r="B6" s="1" t="n">
        <f aca="false">SUM('Cash Flow'!B14:Q14)</f>
        <v>148822446.149726</v>
      </c>
    </row>
    <row r="7" customFormat="false" ht="15" hidden="false" customHeight="false" outlineLevel="0" collapsed="false">
      <c r="A7" s="0" t="s">
        <v>29</v>
      </c>
      <c r="B7" s="1" t="n">
        <f aca="false">-SUM('Cash Flow'!B12:Q13)</f>
        <v>101800000</v>
      </c>
    </row>
    <row r="8" customFormat="false" ht="15" hidden="false" customHeight="false" outlineLevel="0" collapsed="false">
      <c r="A8" s="0" t="s">
        <v>30</v>
      </c>
      <c r="B8" s="1" t="n">
        <f aca="false">'Cash Flow'!Q8</f>
        <v>4680000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2026-10-16T17:29:18Z</dcterms:created>
  <dc:creator>openpyxl</dc:creator>
  <dc:description/>
  <dc:language>en-US</dc:language>
  <cp:lastModifiedBy/>
  <dcterms:modified xsi:type="dcterms:W3CDTF">2026-10-16T17:29:18Z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