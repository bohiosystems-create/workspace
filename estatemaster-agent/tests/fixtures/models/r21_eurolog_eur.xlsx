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ountries" sheetId="2" state="visible" r:id="rId4"/>
    <sheet name="Assets" sheetId="3" state="visible" r:id="rId5"/>
    <sheet name="Cash Flow" sheetId="4" state="visible" r:id="rId6"/>
    <sheet name="Retur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<sst xmlns="http://schemas.openxmlformats.org/spreadsheetml/2006/main" count="90" uniqueCount="81">
  <si>
    <t xml:space="preserve">NORTHGATE EUROPEAN LOGISTICS – EIGHT ASSETS, FOUR COUNTRIES (EUR)</t>
  </si>
  <si>
    <t xml:space="preserve">Valuation date</t>
  </si>
  <si>
    <t xml:space="preserve">Portfolio price (EUR)</t>
  </si>
  <si>
    <t xml:space="preserve">Purchase costs</t>
  </si>
  <si>
    <t xml:space="preserve">Loan to value</t>
  </si>
  <si>
    <t xml:space="preserve">All-in rate</t>
  </si>
  <si>
    <t xml:space="preserve">LTV covenant</t>
  </si>
  <si>
    <t xml:space="preserve">Cash trap LTV</t>
  </si>
  <si>
    <t xml:space="preserve">Exit yield (blended)</t>
  </si>
  <si>
    <t xml:space="preserve">Hold (years)</t>
  </si>
  <si>
    <t xml:space="preserve">Void on expiry (months)</t>
  </si>
  <si>
    <t xml:space="preserve">Renewal probability</t>
  </si>
  <si>
    <t xml:space="preserve">Non-recoverable (% of rent)</t>
  </si>
  <si>
    <t xml:space="preserve">Country</t>
  </si>
  <si>
    <t xml:space="preserve">Currency</t>
  </si>
  <si>
    <t xml:space="preserve">FX to EUR</t>
  </si>
  <si>
    <t xml:space="preserve">CPI</t>
  </si>
  <si>
    <t xml:space="preserve">Indexation floor</t>
  </si>
  <si>
    <t xml:space="preserve">Indexation cap</t>
  </si>
  <si>
    <t xml:space="preserve">Germany</t>
  </si>
  <si>
    <t xml:space="preserve">EUR</t>
  </si>
  <si>
    <t xml:space="preserve">Poland</t>
  </si>
  <si>
    <t xml:space="preserve">PLN</t>
  </si>
  <si>
    <t xml:space="preserve">Sweden</t>
  </si>
  <si>
    <t xml:space="preserve">SEK</t>
  </si>
  <si>
    <t xml:space="preserve">UK</t>
  </si>
  <si>
    <t xml:space="preserve">GBP</t>
  </si>
  <si>
    <t xml:space="preserve">Asset</t>
  </si>
  <si>
    <t xml:space="preserve">Area (sqm)</t>
  </si>
  <si>
    <t xml:space="preserve">Rent (local/sqm/yr)</t>
  </si>
  <si>
    <t xml:space="preserve">Lease expiry</t>
  </si>
  <si>
    <t xml:space="preserve">ERV (local/sqm/yr)</t>
  </si>
  <si>
    <t xml:space="preserve">Disposal date</t>
  </si>
  <si>
    <t xml:space="preserve">Disposal yield</t>
  </si>
  <si>
    <t xml:space="preserve">Hamburg Nord</t>
  </si>
  <si>
    <t xml:space="preserve">Leipzig Park</t>
  </si>
  <si>
    <t xml:space="preserve">Warsaw West</t>
  </si>
  <si>
    <t xml:space="preserve">Lodz Hub</t>
  </si>
  <si>
    <t xml:space="preserve">Malmo Gate</t>
  </si>
  <si>
    <t xml:space="preserve">Gothenburg Port</t>
  </si>
  <si>
    <t xml:space="preserve">Midlands Cross</t>
  </si>
  <si>
    <t xml:space="preserve">Thames Gateway</t>
  </si>
  <si>
    <t xml:space="preserve">Year</t>
  </si>
  <si>
    <t xml:space="preserve">Year start</t>
  </si>
  <si>
    <t xml:space="preserve">Hamburg Nord · rent (EUR)</t>
  </si>
  <si>
    <t xml:space="preserve">Hamburg Nord · disposal (EUR)</t>
  </si>
  <si>
    <t xml:space="preserve">Leipzig Park · rent (EUR)</t>
  </si>
  <si>
    <t xml:space="preserve">Leipzig Park · disposal (EUR)</t>
  </si>
  <si>
    <t xml:space="preserve">Warsaw West · rent (EUR)</t>
  </si>
  <si>
    <t xml:space="preserve">Warsaw West · disposal (EUR)</t>
  </si>
  <si>
    <t xml:space="preserve">Lodz Hub · rent (EUR)</t>
  </si>
  <si>
    <t xml:space="preserve">Lodz Hub · disposal (EUR)</t>
  </si>
  <si>
    <t xml:space="preserve">Malmo Gate · rent (EUR)</t>
  </si>
  <si>
    <t xml:space="preserve">Malmo Gate · disposal (EUR)</t>
  </si>
  <si>
    <t xml:space="preserve">Gothenburg Port · rent (EUR)</t>
  </si>
  <si>
    <t xml:space="preserve">Gothenburg Port · disposal (EUR)</t>
  </si>
  <si>
    <t xml:space="preserve">Midlands Cross · rent (EUR)</t>
  </si>
  <si>
    <t xml:space="preserve">Midlands Cross · disposal (EUR)</t>
  </si>
  <si>
    <t xml:space="preserve">Thames Gateway · rent (EUR)</t>
  </si>
  <si>
    <t xml:space="preserve">Thames Gateway · disposal (EUR)</t>
  </si>
  <si>
    <t xml:space="preserve">Rent (EUR)</t>
  </si>
  <si>
    <t xml:space="preserve">Non-recoverable</t>
  </si>
  <si>
    <t xml:space="preserve">NOI</t>
  </si>
  <si>
    <t xml:space="preserve">Disposals</t>
  </si>
  <si>
    <t xml:space="preserve">Exit</t>
  </si>
  <si>
    <t xml:space="preserve">Loan</t>
  </si>
  <si>
    <t xml:space="preserve">Interest</t>
  </si>
  <si>
    <t xml:space="preserve">Value (EUR)</t>
  </si>
  <si>
    <t xml:space="preserve">LTV</t>
  </si>
  <si>
    <t xml:space="preserve">Cash trap</t>
  </si>
  <si>
    <t xml:space="preserve">Equity cash flow</t>
  </si>
  <si>
    <t xml:space="preserve">Unlevered cash flow</t>
  </si>
  <si>
    <t xml:space="preserve">Levered IRR (XIRR)</t>
  </si>
  <si>
    <t xml:space="preserve">Unlevered IRR (XIRR)</t>
  </si>
  <si>
    <t xml:space="preserve">Equity multiple</t>
  </si>
  <si>
    <t xml:space="preserve">Net profit (EUR)</t>
  </si>
  <si>
    <t xml:space="preserve">Peak LTV</t>
  </si>
  <si>
    <t xml:space="preserve">Years in cash trap</t>
  </si>
  <si>
    <t xml:space="preserve">Year 1 NOI (EUR)</t>
  </si>
  <si>
    <t xml:space="preserve">Disposal proceeds (EUR)</t>
  </si>
  <si>
    <t xml:space="preserve">Covenant breached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</si>
</sst>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#,##0"/>
    <numFmt numFmtId="167" formatCode="0.00%"/>
    <numFmt numFmtId="168" formatCode="0"/>
    <numFmt numFmtId="169" formatCode="0.0000"/>
    <numFmt numFmtId="170" formatCode="#,##0.00"/>
    <numFmt numFmtId="171" formatCode="0.00\x"/>
    <numFmt numFmtId="172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46023</v>
      </c>
    </row>
    <row r="4" customFormat="false" ht="15" hidden="false" customHeight="false" outlineLevel="0" collapsed="false">
      <c r="A4" s="0" t="s">
        <v>2</v>
      </c>
      <c r="B4" s="2" t="n">
        <v>610000000</v>
      </c>
    </row>
    <row r="5" customFormat="false" ht="15" hidden="false" customHeight="false" outlineLevel="0" collapsed="false">
      <c r="A5" s="0" t="s">
        <v>3</v>
      </c>
      <c r="B5" s="3" t="n">
        <v>0.04</v>
      </c>
    </row>
    <row r="6" customFormat="false" ht="15" hidden="false" customHeight="false" outlineLevel="0" collapsed="false">
      <c r="A6" s="0" t="s">
        <v>4</v>
      </c>
      <c r="B6" s="3" t="n">
        <v>0.5</v>
      </c>
    </row>
    <row r="7" customFormat="false" ht="15" hidden="false" customHeight="false" outlineLevel="0" collapsed="false">
      <c r="A7" s="0" t="s">
        <v>5</v>
      </c>
      <c r="B7" s="3" t="n">
        <v>0.045</v>
      </c>
    </row>
    <row r="8" customFormat="false" ht="15" hidden="false" customHeight="false" outlineLevel="0" collapsed="false">
      <c r="A8" s="0" t="s">
        <v>6</v>
      </c>
      <c r="B8" s="3" t="n">
        <v>0.6</v>
      </c>
    </row>
    <row r="9" customFormat="false" ht="15" hidden="false" customHeight="false" outlineLevel="0" collapsed="false">
      <c r="A9" s="0" t="s">
        <v>7</v>
      </c>
      <c r="B9" s="3" t="n">
        <v>0.55</v>
      </c>
    </row>
    <row r="10" customFormat="false" ht="15" hidden="false" customHeight="false" outlineLevel="0" collapsed="false">
      <c r="A10" s="0" t="s">
        <v>8</v>
      </c>
      <c r="B10" s="3" t="n">
        <v>0.055</v>
      </c>
    </row>
    <row r="11" customFormat="false" ht="15" hidden="false" customHeight="false" outlineLevel="0" collapsed="false">
      <c r="A11" s="0" t="s">
        <v>9</v>
      </c>
      <c r="B11" s="4" t="n">
        <v>7</v>
      </c>
    </row>
    <row r="12" customFormat="false" ht="15" hidden="false" customHeight="false" outlineLevel="0" collapsed="false">
      <c r="A12" s="0" t="s">
        <v>10</v>
      </c>
      <c r="B12" s="4" t="n">
        <v>9</v>
      </c>
    </row>
    <row r="13" customFormat="false" ht="15" hidden="false" customHeight="false" outlineLevel="0" collapsed="false">
      <c r="A13" s="0" t="s">
        <v>11</v>
      </c>
      <c r="B13" s="3" t="n">
        <v>0.6</v>
      </c>
    </row>
    <row r="14" customFormat="false" ht="15" hidden="false" customHeight="false" outlineLevel="0" collapsed="false">
      <c r="A14" s="0" t="s">
        <v>12</v>
      </c>
      <c r="B14" s="3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5" t="n">
        <v>1</v>
      </c>
      <c r="D2" s="3" t="n">
        <v>0.022</v>
      </c>
      <c r="E2" s="3" t="n">
        <v>0</v>
      </c>
      <c r="F2" s="3" t="n">
        <v>0.05</v>
      </c>
    </row>
    <row r="3" customFormat="false" ht="15" hidden="false" customHeight="false" outlineLevel="0" collapsed="false">
      <c r="A3" s="0" t="s">
        <v>21</v>
      </c>
      <c r="B3" s="0" t="s">
        <v>22</v>
      </c>
      <c r="C3" s="5" t="n">
        <v>0.2315</v>
      </c>
      <c r="D3" s="3" t="n">
        <v>0.045</v>
      </c>
      <c r="E3" s="3" t="n">
        <v>0.01</v>
      </c>
      <c r="F3" s="3" t="n">
        <v>0.04</v>
      </c>
    </row>
    <row r="4" customFormat="false" ht="15" hidden="false" customHeight="false" outlineLevel="0" collapsed="false">
      <c r="A4" s="0" t="s">
        <v>23</v>
      </c>
      <c r="B4" s="0" t="s">
        <v>24</v>
      </c>
      <c r="C4" s="5" t="n">
        <v>0.0875</v>
      </c>
      <c r="D4" s="3" t="n">
        <v>0.02</v>
      </c>
      <c r="E4" s="3" t="n">
        <v>0</v>
      </c>
      <c r="F4" s="3" t="n">
        <v>0.03</v>
      </c>
    </row>
    <row r="5" customFormat="false" ht="15" hidden="false" customHeight="false" outlineLevel="0" collapsed="false">
      <c r="A5" s="0" t="s">
        <v>25</v>
      </c>
      <c r="B5" s="0" t="s">
        <v>26</v>
      </c>
      <c r="C5" s="5" t="n">
        <v>1.17</v>
      </c>
      <c r="D5" s="3" t="n">
        <v>0.03</v>
      </c>
      <c r="E5" s="3" t="n">
        <v>0.01</v>
      </c>
      <c r="F5" s="3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13</v>
      </c>
      <c r="C1" s="0" t="s">
        <v>28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</row>
    <row r="2" customFormat="false" ht="15" hidden="false" customHeight="false" outlineLevel="0" collapsed="false">
      <c r="A2" s="0" t="s">
        <v>34</v>
      </c>
      <c r="B2" s="0" t="s">
        <v>19</v>
      </c>
      <c r="C2" s="0" t="n">
        <v>48000</v>
      </c>
      <c r="D2" s="6" t="n">
        <v>62</v>
      </c>
      <c r="E2" s="1" t="n">
        <v>47938</v>
      </c>
      <c r="F2" s="6" t="n">
        <v>66</v>
      </c>
    </row>
    <row r="3" customFormat="false" ht="15" hidden="false" customHeight="false" outlineLevel="0" collapsed="false">
      <c r="A3" s="0" t="s">
        <v>35</v>
      </c>
      <c r="B3" s="0" t="s">
        <v>19</v>
      </c>
      <c r="C3" s="0" t="n">
        <v>61000</v>
      </c>
      <c r="D3" s="6" t="n">
        <v>55</v>
      </c>
      <c r="E3" s="1" t="n">
        <v>47026</v>
      </c>
      <c r="F3" s="6" t="n">
        <v>60</v>
      </c>
      <c r="G3" s="1" t="n">
        <v>47483</v>
      </c>
      <c r="H3" s="3" t="n">
        <v>0.052</v>
      </c>
    </row>
    <row r="4" customFormat="false" ht="15" hidden="false" customHeight="false" outlineLevel="0" collapsed="false">
      <c r="A4" s="0" t="s">
        <v>36</v>
      </c>
      <c r="B4" s="0" t="s">
        <v>21</v>
      </c>
      <c r="C4" s="0" t="n">
        <v>72000</v>
      </c>
      <c r="D4" s="6" t="n">
        <v>260</v>
      </c>
      <c r="E4" s="1" t="n">
        <v>47664</v>
      </c>
      <c r="F4" s="6" t="n">
        <v>280</v>
      </c>
    </row>
    <row r="5" customFormat="false" ht="15" hidden="false" customHeight="false" outlineLevel="0" collapsed="false">
      <c r="A5" s="0" t="s">
        <v>37</v>
      </c>
      <c r="B5" s="0" t="s">
        <v>21</v>
      </c>
      <c r="C5" s="0" t="n">
        <v>55000</v>
      </c>
      <c r="D5" s="6" t="n">
        <v>240</v>
      </c>
      <c r="E5" s="1" t="n">
        <v>46752</v>
      </c>
      <c r="F5" s="6" t="n">
        <v>265</v>
      </c>
    </row>
    <row r="6" customFormat="false" ht="15" hidden="false" customHeight="false" outlineLevel="0" collapsed="false">
      <c r="A6" s="0" t="s">
        <v>38</v>
      </c>
      <c r="B6" s="0" t="s">
        <v>23</v>
      </c>
      <c r="C6" s="0" t="n">
        <v>38000</v>
      </c>
      <c r="D6" s="6" t="n">
        <v>780</v>
      </c>
      <c r="E6" s="1" t="n">
        <v>48579</v>
      </c>
      <c r="F6" s="6" t="n">
        <v>800</v>
      </c>
    </row>
    <row r="7" customFormat="false" ht="15" hidden="false" customHeight="false" outlineLevel="0" collapsed="false">
      <c r="A7" s="0" t="s">
        <v>39</v>
      </c>
      <c r="B7" s="0" t="s">
        <v>23</v>
      </c>
      <c r="C7" s="0" t="n">
        <v>44000</v>
      </c>
      <c r="D7" s="6" t="n">
        <v>760</v>
      </c>
      <c r="E7" s="1" t="n">
        <v>47299</v>
      </c>
      <c r="F7" s="6" t="n">
        <v>810</v>
      </c>
      <c r="G7" s="1" t="n">
        <v>47664</v>
      </c>
      <c r="H7" s="3" t="n">
        <v>0.05</v>
      </c>
    </row>
    <row r="8" customFormat="false" ht="15" hidden="false" customHeight="false" outlineLevel="0" collapsed="false">
      <c r="A8" s="0" t="s">
        <v>40</v>
      </c>
      <c r="B8" s="0" t="s">
        <v>25</v>
      </c>
      <c r="C8" s="0" t="n">
        <v>66000</v>
      </c>
      <c r="D8" s="6" t="n">
        <v>88</v>
      </c>
      <c r="E8" s="1" t="n">
        <v>48669</v>
      </c>
      <c r="F8" s="6" t="n">
        <v>96</v>
      </c>
    </row>
    <row r="9" customFormat="false" ht="15" hidden="false" customHeight="false" outlineLevel="0" collapsed="false">
      <c r="A9" s="0" t="s">
        <v>41</v>
      </c>
      <c r="B9" s="0" t="s">
        <v>25</v>
      </c>
      <c r="C9" s="0" t="n">
        <v>52000</v>
      </c>
      <c r="D9" s="6" t="n">
        <v>98</v>
      </c>
      <c r="E9" s="1" t="n">
        <v>46843</v>
      </c>
      <c r="F9" s="6" t="n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42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</row>
    <row r="4" customFormat="false" ht="15" hidden="false" customHeight="false" outlineLevel="0" collapsed="false">
      <c r="A4" s="0" t="s">
        <v>43</v>
      </c>
      <c r="B4" s="1" t="n">
        <f aca="false">EDATE(Inputs!$B$3,12*B3)</f>
        <v>46023</v>
      </c>
      <c r="C4" s="1" t="n">
        <f aca="false">EDATE(Inputs!$B$3,12*C3)</f>
        <v>46388</v>
      </c>
      <c r="D4" s="1" t="n">
        <f aca="false">EDATE(Inputs!$B$3,12*D3)</f>
        <v>46753</v>
      </c>
      <c r="E4" s="1" t="n">
        <f aca="false">EDATE(Inputs!$B$3,12*E3)</f>
        <v>47119</v>
      </c>
      <c r="F4" s="1" t="n">
        <f aca="false">EDATE(Inputs!$B$3,12*F3)</f>
        <v>47484</v>
      </c>
      <c r="G4" s="1" t="n">
        <f aca="false">EDATE(Inputs!$B$3,12*G3)</f>
        <v>47849</v>
      </c>
      <c r="H4" s="1" t="n">
        <f aca="false">EDATE(Inputs!$B$3,12*H3)</f>
        <v>48214</v>
      </c>
      <c r="I4" s="1" t="n">
        <f aca="false">EDATE(Inputs!$B$3,12*I3)</f>
        <v>48580</v>
      </c>
      <c r="J4" s="1" t="n">
        <f aca="false">EDATE(Inputs!$B$3,12*J3)</f>
        <v>48945</v>
      </c>
      <c r="K4" s="1" t="n">
        <f aca="false">EDATE(Inputs!$B$3,12*K3)</f>
        <v>49310</v>
      </c>
      <c r="L4" s="1" t="n">
        <f aca="false">EDATE(Inputs!$B$3,12*L3)</f>
        <v>49675</v>
      </c>
    </row>
    <row r="5" customFormat="false" ht="15" hidden="false" customHeight="false" outlineLevel="0" collapsed="false">
      <c r="A5" s="0" t="s">
        <v>44</v>
      </c>
      <c r="B5" s="0" t="n">
        <f aca="false">IF(AND(B$3&gt;=1,B$3&lt;=Inputs!$B$11,OR(Assets!$G$2="",B$4&lt;Assets!$G$2)),Assets!$C$2*(Assets!$D$2*(1+MIN(INDEX(Countries!$F$2:$F$5,MATCH(Assets!$B$2,Countries!$A$2:$A$5,0)),MAX(INDEX(Countries!$E$2:$E$5,MATCH(Assets!$B$2,Countries!$A$2:$A$5,0)),INDEX(Countries!$D$2:$D$5,MATCH(Assets!$B$2,Countries!$A$2:$A$5,0)))))^(B$3-1)*MAX(0,MIN(1,YEARFRAC(B$4,MIN(Assets!$E$2,EDATE(B$4,12)),1)*(Assets!$E$2&gt;B$4)))+Assets!$F$2*(1+MIN(INDEX(Countries!$F$2:$F$5,MATCH(Assets!$B$2,Countries!$A$2:$A$5,0)),MAX(INDEX(Countries!$E$2:$E$5,MATCH(Assets!$B$2,Countries!$A$2:$A$5,0)),INDEX(Countries!$D$2:$D$5,MATCH(Assets!$B$2,Countries!$A$2:$A$5,0)))))^(B$3-1)*IF(Assets!$E$2&lt;EDATE(B$4,12),(Inputs!$B$13*MAX(0,MIN(12,DATEDIF(MAX(Assets!$E$2,B$4),EDATE(B$4,12),"m")))+(1-Inputs!$B$13)*MAX(0,MAX(0,MIN(12,DATEDIF(MAX(Assets!$E$2,B$4),EDATE(B$4,12),"m")))-MAX(0,Inputs!$B$12-IF(Assets!$E$2&lt;B$4,DATEDIF(Assets!$E$2,B$4,"m"),0))))/12,0))*INDEX(Countries!$C$2:$C$5,MATCH(Assets!$B$2,Countries!$A$2:$A$5,0)),0)</f>
        <v>0</v>
      </c>
      <c r="C5" s="0" t="n">
        <f aca="false">IF(AND(C$3&gt;=1,C$3&lt;=Inputs!$B$11,OR(Assets!$G$2="",C$4&lt;Assets!$G$2)),Assets!$C$2*(Assets!$D$2*(1+MIN(INDEX(Countries!$F$2:$F$5,MATCH(Assets!$B$2,Countries!$A$2:$A$5,0)),MAX(INDEX(Countries!$E$2:$E$5,MATCH(Assets!$B$2,Countries!$A$2:$A$5,0)),INDEX(Countries!$D$2:$D$5,MATCH(Assets!$B$2,Countries!$A$2:$A$5,0)))))^(C$3-1)*MAX(0,MIN(1,YEARFRAC(C$4,MIN(Assets!$E$2,EDATE(C$4,12)),1)*(Assets!$E$2&gt;C$4)))+Assets!$F$2*(1+MIN(INDEX(Countries!$F$2:$F$5,MATCH(Assets!$B$2,Countries!$A$2:$A$5,0)),MAX(INDEX(Countries!$E$2:$E$5,MATCH(Assets!$B$2,Countries!$A$2:$A$5,0)),INDEX(Countries!$D$2:$D$5,MATCH(Assets!$B$2,Countries!$A$2:$A$5,0)))))^(C$3-1)*IF(Assets!$E$2&lt;EDATE(C$4,12),(Inputs!$B$13*MAX(0,MIN(12,DATEDIF(MAX(Assets!$E$2,C$4),EDATE(C$4,12),"m")))+(1-Inputs!$B$13)*MAX(0,MAX(0,MIN(12,DATEDIF(MAX(Assets!$E$2,C$4),EDATE(C$4,12),"m")))-MAX(0,Inputs!$B$12-IF(Assets!$E$2&lt;C$4,DATEDIF(Assets!$E$2,C$4,"m"),0))))/12,0))*INDEX(Countries!$C$2:$C$5,MATCH(Assets!$B$2,Countries!$A$2:$A$5,0)),0)</f>
        <v>2976000</v>
      </c>
      <c r="D5" s="0" t="n">
        <f aca="false">IF(AND(D$3&gt;=1,D$3&lt;=Inputs!$B$11,OR(Assets!$G$2="",D$4&lt;Assets!$G$2)),Assets!$C$2*(Assets!$D$2*(1+MIN(INDEX(Countries!$F$2:$F$5,MATCH(Assets!$B$2,Countries!$A$2:$A$5,0)),MAX(INDEX(Countries!$E$2:$E$5,MATCH(Assets!$B$2,Countries!$A$2:$A$5,0)),INDEX(Countries!$D$2:$D$5,MATCH(Assets!$B$2,Countries!$A$2:$A$5,0)))))^(D$3-1)*MAX(0,MIN(1,YEARFRAC(D$4,MIN(Assets!$E$2,EDATE(D$4,12)),1)*(Assets!$E$2&gt;D$4)))+Assets!$F$2*(1+MIN(INDEX(Countries!$F$2:$F$5,MATCH(Assets!$B$2,Countries!$A$2:$A$5,0)),MAX(INDEX(Countries!$E$2:$E$5,MATCH(Assets!$B$2,Countries!$A$2:$A$5,0)),INDEX(Countries!$D$2:$D$5,MATCH(Assets!$B$2,Countries!$A$2:$A$5,0)))))^(D$3-1)*IF(Assets!$E$2&lt;EDATE(D$4,12),(Inputs!$B$13*MAX(0,MIN(12,DATEDIF(MAX(Assets!$E$2,D$4),EDATE(D$4,12),"m")))+(1-Inputs!$B$13)*MAX(0,MAX(0,MIN(12,DATEDIF(MAX(Assets!$E$2,D$4),EDATE(D$4,12),"m")))-MAX(0,Inputs!$B$12-IF(Assets!$E$2&lt;D$4,DATEDIF(Assets!$E$2,D$4,"m"),0))))/12,0))*INDEX(Countries!$C$2:$C$5,MATCH(Assets!$B$2,Countries!$A$2:$A$5,0)),0)</f>
        <v>3041472</v>
      </c>
      <c r="E5" s="0" t="n">
        <f aca="false">IF(AND(E$3&gt;=1,E$3&lt;=Inputs!$B$11,OR(Assets!$G$2="",E$4&lt;Assets!$G$2)),Assets!$C$2*(Assets!$D$2*(1+MIN(INDEX(Countries!$F$2:$F$5,MATCH(Assets!$B$2,Countries!$A$2:$A$5,0)),MAX(INDEX(Countries!$E$2:$E$5,MATCH(Assets!$B$2,Countries!$A$2:$A$5,0)),INDEX(Countries!$D$2:$D$5,MATCH(Assets!$B$2,Countries!$A$2:$A$5,0)))))^(E$3-1)*MAX(0,MIN(1,YEARFRAC(E$4,MIN(Assets!$E$2,EDATE(E$4,12)),1)*(Assets!$E$2&gt;E$4)))+Assets!$F$2*(1+MIN(INDEX(Countries!$F$2:$F$5,MATCH(Assets!$B$2,Countries!$A$2:$A$5,0)),MAX(INDEX(Countries!$E$2:$E$5,MATCH(Assets!$B$2,Countries!$A$2:$A$5,0)),INDEX(Countries!$D$2:$D$5,MATCH(Assets!$B$2,Countries!$A$2:$A$5,0)))))^(E$3-1)*IF(Assets!$E$2&lt;EDATE(E$4,12),(Inputs!$B$13*MAX(0,MIN(12,DATEDIF(MAX(Assets!$E$2,E$4),EDATE(E$4,12),"m")))+(1-Inputs!$B$13)*MAX(0,MAX(0,MIN(12,DATEDIF(MAX(Assets!$E$2,E$4),EDATE(E$4,12),"m")))-MAX(0,Inputs!$B$12-IF(Assets!$E$2&lt;E$4,DATEDIF(Assets!$E$2,E$4,"m"),0))))/12,0))*INDEX(Countries!$C$2:$C$5,MATCH(Assets!$B$2,Countries!$A$2:$A$5,0)),0)</f>
        <v>3108384.384</v>
      </c>
      <c r="F5" s="0" t="n">
        <f aca="false">IF(AND(F$3&gt;=1,F$3&lt;=Inputs!$B$11,OR(Assets!$G$2="",F$4&lt;Assets!$G$2)),Assets!$C$2*(Assets!$D$2*(1+MIN(INDEX(Countries!$F$2:$F$5,MATCH(Assets!$B$2,Countries!$A$2:$A$5,0)),MAX(INDEX(Countries!$E$2:$E$5,MATCH(Assets!$B$2,Countries!$A$2:$A$5,0)),INDEX(Countries!$D$2:$D$5,MATCH(Assets!$B$2,Countries!$A$2:$A$5,0)))))^(F$3-1)*MAX(0,MIN(1,YEARFRAC(F$4,MIN(Assets!$E$2,EDATE(F$4,12)),1)*(Assets!$E$2&gt;F$4)))+Assets!$F$2*(1+MIN(INDEX(Countries!$F$2:$F$5,MATCH(Assets!$B$2,Countries!$A$2:$A$5,0)),MAX(INDEX(Countries!$E$2:$E$5,MATCH(Assets!$B$2,Countries!$A$2:$A$5,0)),INDEX(Countries!$D$2:$D$5,MATCH(Assets!$B$2,Countries!$A$2:$A$5,0)))))^(F$3-1)*IF(Assets!$E$2&lt;EDATE(F$4,12),(Inputs!$B$13*MAX(0,MIN(12,DATEDIF(MAX(Assets!$E$2,F$4),EDATE(F$4,12),"m")))+(1-Inputs!$B$13)*MAX(0,MAX(0,MIN(12,DATEDIF(MAX(Assets!$E$2,F$4),EDATE(F$4,12),"m")))-MAX(0,Inputs!$B$12-IF(Assets!$E$2&lt;F$4,DATEDIF(Assets!$E$2,F$4,"m"),0))))/12,0))*INDEX(Countries!$C$2:$C$5,MATCH(Assets!$B$2,Countries!$A$2:$A$5,0)),0)</f>
        <v>3176768.840448</v>
      </c>
      <c r="G5" s="0" t="n">
        <f aca="false">IF(AND(G$3&gt;=1,G$3&lt;=Inputs!$B$11,OR(Assets!$G$2="",G$4&lt;Assets!$G$2)),Assets!$C$2*(Assets!$D$2*(1+MIN(INDEX(Countries!$F$2:$F$5,MATCH(Assets!$B$2,Countries!$A$2:$A$5,0)),MAX(INDEX(Countries!$E$2:$E$5,MATCH(Assets!$B$2,Countries!$A$2:$A$5,0)),INDEX(Countries!$D$2:$D$5,MATCH(Assets!$B$2,Countries!$A$2:$A$5,0)))))^(G$3-1)*MAX(0,MIN(1,YEARFRAC(G$4,MIN(Assets!$E$2,EDATE(G$4,12)),1)*(Assets!$E$2&gt;G$4)))+Assets!$F$2*(1+MIN(INDEX(Countries!$F$2:$F$5,MATCH(Assets!$B$2,Countries!$A$2:$A$5,0)),MAX(INDEX(Countries!$E$2:$E$5,MATCH(Assets!$B$2,Countries!$A$2:$A$5,0)),INDEX(Countries!$D$2:$D$5,MATCH(Assets!$B$2,Countries!$A$2:$A$5,0)))))^(G$3-1)*IF(Assets!$E$2&lt;EDATE(G$4,12),(Inputs!$B$13*MAX(0,MIN(12,DATEDIF(MAX(Assets!$E$2,G$4),EDATE(G$4,12),"m")))+(1-Inputs!$B$13)*MAX(0,MAX(0,MIN(12,DATEDIF(MAX(Assets!$E$2,G$4),EDATE(G$4,12),"m")))-MAX(0,Inputs!$B$12-IF(Assets!$E$2&lt;G$4,DATEDIF(Assets!$E$2,G$4,"m"),0))))/12,0))*INDEX(Countries!$C$2:$C$5,MATCH(Assets!$B$2,Countries!$A$2:$A$5,0)),0)</f>
        <v>2346904.5905502</v>
      </c>
      <c r="H5" s="0" t="n">
        <f aca="false">IF(AND(H$3&gt;=1,H$3&lt;=Inputs!$B$11,OR(Assets!$G$2="",H$4&lt;Assets!$G$2)),Assets!$C$2*(Assets!$D$2*(1+MIN(INDEX(Countries!$F$2:$F$5,MATCH(Assets!$B$2,Countries!$A$2:$A$5,0)),MAX(INDEX(Countries!$E$2:$E$5,MATCH(Assets!$B$2,Countries!$A$2:$A$5,0)),INDEX(Countries!$D$2:$D$5,MATCH(Assets!$B$2,Countries!$A$2:$A$5,0)))))^(H$3-1)*MAX(0,MIN(1,YEARFRAC(H$4,MIN(Assets!$E$2,EDATE(H$4,12)),1)*(Assets!$E$2&gt;H$4)))+Assets!$F$2*(1+MIN(INDEX(Countries!$F$2:$F$5,MATCH(Assets!$B$2,Countries!$A$2:$A$5,0)),MAX(INDEX(Countries!$E$2:$E$5,MATCH(Assets!$B$2,Countries!$A$2:$A$5,0)),INDEX(Countries!$D$2:$D$5,MATCH(Assets!$B$2,Countries!$A$2:$A$5,0)))))^(H$3-1)*IF(Assets!$E$2&lt;EDATE(H$4,12),(Inputs!$B$13*MAX(0,MIN(12,DATEDIF(MAX(Assets!$E$2,H$4),EDATE(H$4,12),"m")))+(1-Inputs!$B$13)*MAX(0,MAX(0,MIN(12,DATEDIF(MAX(Assets!$E$2,H$4),EDATE(H$4,12),"m")))-MAX(0,Inputs!$B$12-IF(Assets!$E$2&lt;H$4,DATEDIF(Assets!$E$2,H$4,"m"),0))))/12,0))*INDEX(Countries!$C$2:$C$5,MATCH(Assets!$B$2,Countries!$A$2:$A$5,0)),0)</f>
        <v>3532154.17558175</v>
      </c>
      <c r="I5" s="0" t="n">
        <f aca="false">IF(AND(I$3&gt;=1,I$3&lt;=Inputs!$B$11,OR(Assets!$G$2="",I$4&lt;Assets!$G$2)),Assets!$C$2*(Assets!$D$2*(1+MIN(INDEX(Countries!$F$2:$F$5,MATCH(Assets!$B$2,Countries!$A$2:$A$5,0)),MAX(INDEX(Countries!$E$2:$E$5,MATCH(Assets!$B$2,Countries!$A$2:$A$5,0)),INDEX(Countries!$D$2:$D$5,MATCH(Assets!$B$2,Countries!$A$2:$A$5,0)))))^(I$3-1)*MAX(0,MIN(1,YEARFRAC(I$4,MIN(Assets!$E$2,EDATE(I$4,12)),1)*(Assets!$E$2&gt;I$4)))+Assets!$F$2*(1+MIN(INDEX(Countries!$F$2:$F$5,MATCH(Assets!$B$2,Countries!$A$2:$A$5,0)),MAX(INDEX(Countries!$E$2:$E$5,MATCH(Assets!$B$2,Countries!$A$2:$A$5,0)),INDEX(Countries!$D$2:$D$5,MATCH(Assets!$B$2,Countries!$A$2:$A$5,0)))))^(I$3-1)*IF(Assets!$E$2&lt;EDATE(I$4,12),(Inputs!$B$13*MAX(0,MIN(12,DATEDIF(MAX(Assets!$E$2,I$4),EDATE(I$4,12),"m")))+(1-Inputs!$B$13)*MAX(0,MAX(0,MIN(12,DATEDIF(MAX(Assets!$E$2,I$4),EDATE(I$4,12),"m")))-MAX(0,Inputs!$B$12-IF(Assets!$E$2&lt;I$4,DATEDIF(Assets!$E$2,I$4,"m"),0))))/12,0))*INDEX(Countries!$C$2:$C$5,MATCH(Assets!$B$2,Countries!$A$2:$A$5,0)),0)</f>
        <v>3609861.56744454</v>
      </c>
      <c r="J5" s="0" t="n">
        <f aca="false">IF(AND(J$3&gt;=1,J$3&lt;=Inputs!$B$11,OR(Assets!$G$2="",J$4&lt;Assets!$G$2)),Assets!$C$2*(Assets!$D$2*(1+MIN(INDEX(Countries!$F$2:$F$5,MATCH(Assets!$B$2,Countries!$A$2:$A$5,0)),MAX(INDEX(Countries!$E$2:$E$5,MATCH(Assets!$B$2,Countries!$A$2:$A$5,0)),INDEX(Countries!$D$2:$D$5,MATCH(Assets!$B$2,Countries!$A$2:$A$5,0)))))^(J$3-1)*MAX(0,MIN(1,YEARFRAC(J$4,MIN(Assets!$E$2,EDATE(J$4,12)),1)*(Assets!$E$2&gt;J$4)))+Assets!$F$2*(1+MIN(INDEX(Countries!$F$2:$F$5,MATCH(Assets!$B$2,Countries!$A$2:$A$5,0)),MAX(INDEX(Countries!$E$2:$E$5,MATCH(Assets!$B$2,Countries!$A$2:$A$5,0)),INDEX(Countries!$D$2:$D$5,MATCH(Assets!$B$2,Countries!$A$2:$A$5,0)))))^(J$3-1)*IF(Assets!$E$2&lt;EDATE(J$4,12),(Inputs!$B$13*MAX(0,MIN(12,DATEDIF(MAX(Assets!$E$2,J$4),EDATE(J$4,12),"m")))+(1-Inputs!$B$13)*MAX(0,MAX(0,MIN(12,DATEDIF(MAX(Assets!$E$2,J$4),EDATE(J$4,12),"m")))-MAX(0,Inputs!$B$12-IF(Assets!$E$2&lt;J$4,DATEDIF(Assets!$E$2,J$4,"m"),0))))/12,0))*INDEX(Countries!$C$2:$C$5,MATCH(Assets!$B$2,Countries!$A$2:$A$5,0)),0)</f>
        <v>0</v>
      </c>
      <c r="K5" s="0" t="n">
        <f aca="false">IF(AND(K$3&gt;=1,K$3&lt;=Inputs!$B$11,OR(Assets!$G$2="",K$4&lt;Assets!$G$2)),Assets!$C$2*(Assets!$D$2*(1+MIN(INDEX(Countries!$F$2:$F$5,MATCH(Assets!$B$2,Countries!$A$2:$A$5,0)),MAX(INDEX(Countries!$E$2:$E$5,MATCH(Assets!$B$2,Countries!$A$2:$A$5,0)),INDEX(Countries!$D$2:$D$5,MATCH(Assets!$B$2,Countries!$A$2:$A$5,0)))))^(K$3-1)*MAX(0,MIN(1,YEARFRAC(K$4,MIN(Assets!$E$2,EDATE(K$4,12)),1)*(Assets!$E$2&gt;K$4)))+Assets!$F$2*(1+MIN(INDEX(Countries!$F$2:$F$5,MATCH(Assets!$B$2,Countries!$A$2:$A$5,0)),MAX(INDEX(Countries!$E$2:$E$5,MATCH(Assets!$B$2,Countries!$A$2:$A$5,0)),INDEX(Countries!$D$2:$D$5,MATCH(Assets!$B$2,Countries!$A$2:$A$5,0)))))^(K$3-1)*IF(Assets!$E$2&lt;EDATE(K$4,12),(Inputs!$B$13*MAX(0,MIN(12,DATEDIF(MAX(Assets!$E$2,K$4),EDATE(K$4,12),"m")))+(1-Inputs!$B$13)*MAX(0,MAX(0,MIN(12,DATEDIF(MAX(Assets!$E$2,K$4),EDATE(K$4,12),"m")))-MAX(0,Inputs!$B$12-IF(Assets!$E$2&lt;K$4,DATEDIF(Assets!$E$2,K$4,"m"),0))))/12,0))*INDEX(Countries!$C$2:$C$5,MATCH(Assets!$B$2,Countries!$A$2:$A$5,0)),0)</f>
        <v>0</v>
      </c>
      <c r="L5" s="0" t="n">
        <f aca="false">IF(AND(L$3&gt;=1,L$3&lt;=Inputs!$B$11,OR(Assets!$G$2="",L$4&lt;Assets!$G$2)),Assets!$C$2*(Assets!$D$2*(1+MIN(INDEX(Countries!$F$2:$F$5,MATCH(Assets!$B$2,Countries!$A$2:$A$5,0)),MAX(INDEX(Countries!$E$2:$E$5,MATCH(Assets!$B$2,Countries!$A$2:$A$5,0)),INDEX(Countries!$D$2:$D$5,MATCH(Assets!$B$2,Countries!$A$2:$A$5,0)))))^(L$3-1)*MAX(0,MIN(1,YEARFRAC(L$4,MIN(Assets!$E$2,EDATE(L$4,12)),1)*(Assets!$E$2&gt;L$4)))+Assets!$F$2*(1+MIN(INDEX(Countries!$F$2:$F$5,MATCH(Assets!$B$2,Countries!$A$2:$A$5,0)),MAX(INDEX(Countries!$E$2:$E$5,MATCH(Assets!$B$2,Countries!$A$2:$A$5,0)),INDEX(Countries!$D$2:$D$5,MATCH(Assets!$B$2,Countries!$A$2:$A$5,0)))))^(L$3-1)*IF(Assets!$E$2&lt;EDATE(L$4,12),(Inputs!$B$13*MAX(0,MIN(12,DATEDIF(MAX(Assets!$E$2,L$4),EDATE(L$4,12),"m")))+(1-Inputs!$B$13)*MAX(0,MAX(0,MIN(12,DATEDIF(MAX(Assets!$E$2,L$4),EDATE(L$4,12),"m")))-MAX(0,Inputs!$B$12-IF(Assets!$E$2&lt;L$4,DATEDIF(Assets!$E$2,L$4,"m"),0))))/12,0))*INDEX(Countries!$C$2:$C$5,MATCH(Assets!$B$2,Countries!$A$2:$A$5,0)),0)</f>
        <v>0</v>
      </c>
    </row>
    <row r="6" customFormat="false" ht="15" hidden="false" customHeight="false" outlineLevel="0" collapsed="false">
      <c r="A6" s="0" t="s">
        <v>45</v>
      </c>
      <c r="B6" s="0" t="n">
        <f aca="false">IF(AND(Assets!$G$2&lt;&gt;"",Assets!$G$2&gt;=B$4,Assets!$G$2&lt;EDATE(B$4,12)),Assets!$C$2*Assets!$F$2*(1+MIN(INDEX(Countries!$F$2:$F$5,MATCH(Assets!$B$2,Countries!$A$2:$A$5,0)),MAX(INDEX(Countries!$E$2:$E$5,MATCH(Assets!$B$2,Countries!$A$2:$A$5,0)),INDEX(Countries!$D$2:$D$5,MATCH(Assets!$B$2,Countries!$A$2:$A$5,0)))))^(B$3-1)*INDEX(Countries!$C$2:$C$5,MATCH(Assets!$B$2,Countries!$A$2:$A$5,0))/Assets!$H$2,0)</f>
        <v>0</v>
      </c>
      <c r="C6" s="0" t="n">
        <f aca="false">IF(AND(Assets!$G$2&lt;&gt;"",Assets!$G$2&gt;=C$4,Assets!$G$2&lt;EDATE(C$4,12)),Assets!$C$2*Assets!$F$2*(1+MIN(INDEX(Countries!$F$2:$F$5,MATCH(Assets!$B$2,Countries!$A$2:$A$5,0)),MAX(INDEX(Countries!$E$2:$E$5,MATCH(Assets!$B$2,Countries!$A$2:$A$5,0)),INDEX(Countries!$D$2:$D$5,MATCH(Assets!$B$2,Countries!$A$2:$A$5,0)))))^(C$3-1)*INDEX(Countries!$C$2:$C$5,MATCH(Assets!$B$2,Countries!$A$2:$A$5,0))/Assets!$H$2,0)</f>
        <v>0</v>
      </c>
      <c r="D6" s="0" t="n">
        <f aca="false">IF(AND(Assets!$G$2&lt;&gt;"",Assets!$G$2&gt;=D$4,Assets!$G$2&lt;EDATE(D$4,12)),Assets!$C$2*Assets!$F$2*(1+MIN(INDEX(Countries!$F$2:$F$5,MATCH(Assets!$B$2,Countries!$A$2:$A$5,0)),MAX(INDEX(Countries!$E$2:$E$5,MATCH(Assets!$B$2,Countries!$A$2:$A$5,0)),INDEX(Countries!$D$2:$D$5,MATCH(Assets!$B$2,Countries!$A$2:$A$5,0)))))^(D$3-1)*INDEX(Countries!$C$2:$C$5,MATCH(Assets!$B$2,Countries!$A$2:$A$5,0))/Assets!$H$2,0)</f>
        <v>0</v>
      </c>
      <c r="E6" s="0" t="n">
        <f aca="false">IF(AND(Assets!$G$2&lt;&gt;"",Assets!$G$2&gt;=E$4,Assets!$G$2&lt;EDATE(E$4,12)),Assets!$C$2*Assets!$F$2*(1+MIN(INDEX(Countries!$F$2:$F$5,MATCH(Assets!$B$2,Countries!$A$2:$A$5,0)),MAX(INDEX(Countries!$E$2:$E$5,MATCH(Assets!$B$2,Countries!$A$2:$A$5,0)),INDEX(Countries!$D$2:$D$5,MATCH(Assets!$B$2,Countries!$A$2:$A$5,0)))))^(E$3-1)*INDEX(Countries!$C$2:$C$5,MATCH(Assets!$B$2,Countries!$A$2:$A$5,0))/Assets!$H$2,0)</f>
        <v>0</v>
      </c>
      <c r="F6" s="0" t="n">
        <f aca="false">IF(AND(Assets!$G$2&lt;&gt;"",Assets!$G$2&gt;=F$4,Assets!$G$2&lt;EDATE(F$4,12)),Assets!$C$2*Assets!$F$2*(1+MIN(INDEX(Countries!$F$2:$F$5,MATCH(Assets!$B$2,Countries!$A$2:$A$5,0)),MAX(INDEX(Countries!$E$2:$E$5,MATCH(Assets!$B$2,Countries!$A$2:$A$5,0)),INDEX(Countries!$D$2:$D$5,MATCH(Assets!$B$2,Countries!$A$2:$A$5,0)))))^(F$3-1)*INDEX(Countries!$C$2:$C$5,MATCH(Assets!$B$2,Countries!$A$2:$A$5,0))/Assets!$H$2,0)</f>
        <v>0</v>
      </c>
      <c r="G6" s="0" t="n">
        <f aca="false">IF(AND(Assets!$G$2&lt;&gt;"",Assets!$G$2&gt;=G$4,Assets!$G$2&lt;EDATE(G$4,12)),Assets!$C$2*Assets!$F$2*(1+MIN(INDEX(Countries!$F$2:$F$5,MATCH(Assets!$B$2,Countries!$A$2:$A$5,0)),MAX(INDEX(Countries!$E$2:$E$5,MATCH(Assets!$B$2,Countries!$A$2:$A$5,0)),INDEX(Countries!$D$2:$D$5,MATCH(Assets!$B$2,Countries!$A$2:$A$5,0)))))^(G$3-1)*INDEX(Countries!$C$2:$C$5,MATCH(Assets!$B$2,Countries!$A$2:$A$5,0))/Assets!$H$2,0)</f>
        <v>0</v>
      </c>
      <c r="H6" s="0" t="n">
        <f aca="false">IF(AND(Assets!$G$2&lt;&gt;"",Assets!$G$2&gt;=H$4,Assets!$G$2&lt;EDATE(H$4,12)),Assets!$C$2*Assets!$F$2*(1+MIN(INDEX(Countries!$F$2:$F$5,MATCH(Assets!$B$2,Countries!$A$2:$A$5,0)),MAX(INDEX(Countries!$E$2:$E$5,MATCH(Assets!$B$2,Countries!$A$2:$A$5,0)),INDEX(Countries!$D$2:$D$5,MATCH(Assets!$B$2,Countries!$A$2:$A$5,0)))))^(H$3-1)*INDEX(Countries!$C$2:$C$5,MATCH(Assets!$B$2,Countries!$A$2:$A$5,0))/Assets!$H$2,0)</f>
        <v>0</v>
      </c>
      <c r="I6" s="0" t="n">
        <f aca="false">IF(AND(Assets!$G$2&lt;&gt;"",Assets!$G$2&gt;=I$4,Assets!$G$2&lt;EDATE(I$4,12)),Assets!$C$2*Assets!$F$2*(1+MIN(INDEX(Countries!$F$2:$F$5,MATCH(Assets!$B$2,Countries!$A$2:$A$5,0)),MAX(INDEX(Countries!$E$2:$E$5,MATCH(Assets!$B$2,Countries!$A$2:$A$5,0)),INDEX(Countries!$D$2:$D$5,MATCH(Assets!$B$2,Countries!$A$2:$A$5,0)))))^(I$3-1)*INDEX(Countries!$C$2:$C$5,MATCH(Assets!$B$2,Countries!$A$2:$A$5,0))/Assets!$H$2,0)</f>
        <v>0</v>
      </c>
      <c r="J6" s="0" t="n">
        <f aca="false">IF(AND(Assets!$G$2&lt;&gt;"",Assets!$G$2&gt;=J$4,Assets!$G$2&lt;EDATE(J$4,12)),Assets!$C$2*Assets!$F$2*(1+MIN(INDEX(Countries!$F$2:$F$5,MATCH(Assets!$B$2,Countries!$A$2:$A$5,0)),MAX(INDEX(Countries!$E$2:$E$5,MATCH(Assets!$B$2,Countries!$A$2:$A$5,0)),INDEX(Countries!$D$2:$D$5,MATCH(Assets!$B$2,Countries!$A$2:$A$5,0)))))^(J$3-1)*INDEX(Countries!$C$2:$C$5,MATCH(Assets!$B$2,Countries!$A$2:$A$5,0))/Assets!$H$2,0)</f>
        <v>0</v>
      </c>
      <c r="K6" s="0" t="n">
        <f aca="false">IF(AND(Assets!$G$2&lt;&gt;"",Assets!$G$2&gt;=K$4,Assets!$G$2&lt;EDATE(K$4,12)),Assets!$C$2*Assets!$F$2*(1+MIN(INDEX(Countries!$F$2:$F$5,MATCH(Assets!$B$2,Countries!$A$2:$A$5,0)),MAX(INDEX(Countries!$E$2:$E$5,MATCH(Assets!$B$2,Countries!$A$2:$A$5,0)),INDEX(Countries!$D$2:$D$5,MATCH(Assets!$B$2,Countries!$A$2:$A$5,0)))))^(K$3-1)*INDEX(Countries!$C$2:$C$5,MATCH(Assets!$B$2,Countries!$A$2:$A$5,0))/Assets!$H$2,0)</f>
        <v>0</v>
      </c>
      <c r="L6" s="0" t="n">
        <f aca="false">IF(AND(Assets!$G$2&lt;&gt;"",Assets!$G$2&gt;=L$4,Assets!$G$2&lt;EDATE(L$4,12)),Assets!$C$2*Assets!$F$2*(1+MIN(INDEX(Countries!$F$2:$F$5,MATCH(Assets!$B$2,Countries!$A$2:$A$5,0)),MAX(INDEX(Countries!$E$2:$E$5,MATCH(Assets!$B$2,Countries!$A$2:$A$5,0)),INDEX(Countries!$D$2:$D$5,MATCH(Assets!$B$2,Countries!$A$2:$A$5,0)))))^(L$3-1)*INDEX(Countries!$C$2:$C$5,MATCH(Assets!$B$2,Countries!$A$2:$A$5,0))/Assets!$H$2,0)</f>
        <v>0</v>
      </c>
    </row>
    <row r="7" customFormat="false" ht="15" hidden="false" customHeight="false" outlineLevel="0" collapsed="false">
      <c r="A7" s="0" t="s">
        <v>46</v>
      </c>
      <c r="B7" s="0" t="n">
        <f aca="false">IF(AND(B$3&gt;=1,B$3&lt;=Inputs!$B$11,OR(Assets!$G$3="",B$4&lt;Assets!$G$3)),Assets!$C$3*(Assets!$D$3*(1+MIN(INDEX(Countries!$F$2:$F$5,MATCH(Assets!$B$3,Countries!$A$2:$A$5,0)),MAX(INDEX(Countries!$E$2:$E$5,MATCH(Assets!$B$3,Countries!$A$2:$A$5,0)),INDEX(Countries!$D$2:$D$5,MATCH(Assets!$B$3,Countries!$A$2:$A$5,0)))))^(B$3-1)*MAX(0,MIN(1,YEARFRAC(B$4,MIN(Assets!$E$3,EDATE(B$4,12)),1)*(Assets!$E$3&gt;B$4)))+Assets!$F$3*(1+MIN(INDEX(Countries!$F$2:$F$5,MATCH(Assets!$B$3,Countries!$A$2:$A$5,0)),MAX(INDEX(Countries!$E$2:$E$5,MATCH(Assets!$B$3,Countries!$A$2:$A$5,0)),INDEX(Countries!$D$2:$D$5,MATCH(Assets!$B$3,Countries!$A$2:$A$5,0)))))^(B$3-1)*IF(Assets!$E$3&lt;EDATE(B$4,12),(Inputs!$B$13*MAX(0,MIN(12,DATEDIF(MAX(Assets!$E$3,B$4),EDATE(B$4,12),"m")))+(1-Inputs!$B$13)*MAX(0,MAX(0,MIN(12,DATEDIF(MAX(Assets!$E$3,B$4),EDATE(B$4,12),"m")))-MAX(0,Inputs!$B$12-IF(Assets!$E$3&lt;B$4,DATEDIF(Assets!$E$3,B$4,"m"),0))))/12,0))*INDEX(Countries!$C$2:$C$5,MATCH(Assets!$B$3,Countries!$A$2:$A$5,0)),0)</f>
        <v>0</v>
      </c>
      <c r="C7" s="0" t="n">
        <f aca="false">IF(AND(C$3&gt;=1,C$3&lt;=Inputs!$B$11,OR(Assets!$G$3="",C$4&lt;Assets!$G$3)),Assets!$C$3*(Assets!$D$3*(1+MIN(INDEX(Countries!$F$2:$F$5,MATCH(Assets!$B$3,Countries!$A$2:$A$5,0)),MAX(INDEX(Countries!$E$2:$E$5,MATCH(Assets!$B$3,Countries!$A$2:$A$5,0)),INDEX(Countries!$D$2:$D$5,MATCH(Assets!$B$3,Countries!$A$2:$A$5,0)))))^(C$3-1)*MAX(0,MIN(1,YEARFRAC(C$4,MIN(Assets!$E$3,EDATE(C$4,12)),1)*(Assets!$E$3&gt;C$4)))+Assets!$F$3*(1+MIN(INDEX(Countries!$F$2:$F$5,MATCH(Assets!$B$3,Countries!$A$2:$A$5,0)),MAX(INDEX(Countries!$E$2:$E$5,MATCH(Assets!$B$3,Countries!$A$2:$A$5,0)),INDEX(Countries!$D$2:$D$5,MATCH(Assets!$B$3,Countries!$A$2:$A$5,0)))))^(C$3-1)*IF(Assets!$E$3&lt;EDATE(C$4,12),(Inputs!$B$13*MAX(0,MIN(12,DATEDIF(MAX(Assets!$E$3,C$4),EDATE(C$4,12),"m")))+(1-Inputs!$B$13)*MAX(0,MAX(0,MIN(12,DATEDIF(MAX(Assets!$E$3,C$4),EDATE(C$4,12),"m")))-MAX(0,Inputs!$B$12-IF(Assets!$E$3&lt;C$4,DATEDIF(Assets!$E$3,C$4,"m"),0))))/12,0))*INDEX(Countries!$C$2:$C$5,MATCH(Assets!$B$3,Countries!$A$2:$A$5,0)),0)</f>
        <v>3355000</v>
      </c>
      <c r="D7" s="0" t="n">
        <f aca="false">IF(AND(D$3&gt;=1,D$3&lt;=Inputs!$B$11,OR(Assets!$G$3="",D$4&lt;Assets!$G$3)),Assets!$C$3*(Assets!$D$3*(1+MIN(INDEX(Countries!$F$2:$F$5,MATCH(Assets!$B$3,Countries!$A$2:$A$5,0)),MAX(INDEX(Countries!$E$2:$E$5,MATCH(Assets!$B$3,Countries!$A$2:$A$5,0)),INDEX(Countries!$D$2:$D$5,MATCH(Assets!$B$3,Countries!$A$2:$A$5,0)))))^(D$3-1)*MAX(0,MIN(1,YEARFRAC(D$4,MIN(Assets!$E$3,EDATE(D$4,12)),1)*(Assets!$E$3&gt;D$4)))+Assets!$F$3*(1+MIN(INDEX(Countries!$F$2:$F$5,MATCH(Assets!$B$3,Countries!$A$2:$A$5,0)),MAX(INDEX(Countries!$E$2:$E$5,MATCH(Assets!$B$3,Countries!$A$2:$A$5,0)),INDEX(Countries!$D$2:$D$5,MATCH(Assets!$B$3,Countries!$A$2:$A$5,0)))))^(D$3-1)*IF(Assets!$E$3&lt;EDATE(D$4,12),(Inputs!$B$13*MAX(0,MIN(12,DATEDIF(MAX(Assets!$E$3,D$4),EDATE(D$4,12),"m")))+(1-Inputs!$B$13)*MAX(0,MAX(0,MIN(12,DATEDIF(MAX(Assets!$E$3,D$4),EDATE(D$4,12),"m")))-MAX(0,Inputs!$B$12-IF(Assets!$E$3&lt;D$4,DATEDIF(Assets!$E$3,D$4,"m"),0))))/12,0))*INDEX(Countries!$C$2:$C$5,MATCH(Assets!$B$3,Countries!$A$2:$A$5,0)),0)</f>
        <v>3118633</v>
      </c>
      <c r="E7" s="0" t="n">
        <f aca="false">IF(AND(E$3&gt;=1,E$3&lt;=Inputs!$B$11,OR(Assets!$G$3="",E$4&lt;Assets!$G$3)),Assets!$C$3*(Assets!$D$3*(1+MIN(INDEX(Countries!$F$2:$F$5,MATCH(Assets!$B$3,Countries!$A$2:$A$5,0)),MAX(INDEX(Countries!$E$2:$E$5,MATCH(Assets!$B$3,Countries!$A$2:$A$5,0)),INDEX(Countries!$D$2:$D$5,MATCH(Assets!$B$3,Countries!$A$2:$A$5,0)))))^(E$3-1)*MAX(0,MIN(1,YEARFRAC(E$4,MIN(Assets!$E$3,EDATE(E$4,12)),1)*(Assets!$E$3&gt;E$4)))+Assets!$F$3*(1+MIN(INDEX(Countries!$F$2:$F$5,MATCH(Assets!$B$3,Countries!$A$2:$A$5,0)),MAX(INDEX(Countries!$E$2:$E$5,MATCH(Assets!$B$3,Countries!$A$2:$A$5,0)),INDEX(Countries!$D$2:$D$5,MATCH(Assets!$B$3,Countries!$A$2:$A$5,0)))))^(E$3-1)*IF(Assets!$E$3&lt;EDATE(E$4,12),(Inputs!$B$13*MAX(0,MIN(12,DATEDIF(MAX(Assets!$E$3,E$4),EDATE(E$4,12),"m")))+(1-Inputs!$B$13)*MAX(0,MAX(0,MIN(12,DATEDIF(MAX(Assets!$E$3,E$4),EDATE(E$4,12),"m")))-MAX(0,Inputs!$B$12-IF(Assets!$E$3&lt;E$4,DATEDIF(Assets!$E$3,E$4,"m"),0))))/12,0))*INDEX(Countries!$C$2:$C$5,MATCH(Assets!$B$3,Countries!$A$2:$A$5,0)),0)</f>
        <v>3058249.152</v>
      </c>
      <c r="F7" s="0" t="n">
        <f aca="false">IF(AND(F$3&gt;=1,F$3&lt;=Inputs!$B$11,OR(Assets!$G$3="",F$4&lt;Assets!$G$3)),Assets!$C$3*(Assets!$D$3*(1+MIN(INDEX(Countries!$F$2:$F$5,MATCH(Assets!$B$3,Countries!$A$2:$A$5,0)),MAX(INDEX(Countries!$E$2:$E$5,MATCH(Assets!$B$3,Countries!$A$2:$A$5,0)),INDEX(Countries!$D$2:$D$5,MATCH(Assets!$B$3,Countries!$A$2:$A$5,0)))))^(F$3-1)*MAX(0,MIN(1,YEARFRAC(F$4,MIN(Assets!$E$3,EDATE(F$4,12)),1)*(Assets!$E$3&gt;F$4)))+Assets!$F$3*(1+MIN(INDEX(Countries!$F$2:$F$5,MATCH(Assets!$B$3,Countries!$A$2:$A$5,0)),MAX(INDEX(Countries!$E$2:$E$5,MATCH(Assets!$B$3,Countries!$A$2:$A$5,0)),INDEX(Countries!$D$2:$D$5,MATCH(Assets!$B$3,Countries!$A$2:$A$5,0)))))^(F$3-1)*IF(Assets!$E$3&lt;EDATE(F$4,12),(Inputs!$B$13*MAX(0,MIN(12,DATEDIF(MAX(Assets!$E$3,F$4),EDATE(F$4,12),"m")))+(1-Inputs!$B$13)*MAX(0,MAX(0,MIN(12,DATEDIF(MAX(Assets!$E$3,F$4),EDATE(F$4,12),"m")))-MAX(0,Inputs!$B$12-IF(Assets!$E$3&lt;F$4,DATEDIF(Assets!$E$3,F$4,"m"),0))))/12,0))*INDEX(Countries!$C$2:$C$5,MATCH(Assets!$B$3,Countries!$A$2:$A$5,0)),0)</f>
        <v>0</v>
      </c>
      <c r="G7" s="0" t="n">
        <f aca="false">IF(AND(G$3&gt;=1,G$3&lt;=Inputs!$B$11,OR(Assets!$G$3="",G$4&lt;Assets!$G$3)),Assets!$C$3*(Assets!$D$3*(1+MIN(INDEX(Countries!$F$2:$F$5,MATCH(Assets!$B$3,Countries!$A$2:$A$5,0)),MAX(INDEX(Countries!$E$2:$E$5,MATCH(Assets!$B$3,Countries!$A$2:$A$5,0)),INDEX(Countries!$D$2:$D$5,MATCH(Assets!$B$3,Countries!$A$2:$A$5,0)))))^(G$3-1)*MAX(0,MIN(1,YEARFRAC(G$4,MIN(Assets!$E$3,EDATE(G$4,12)),1)*(Assets!$E$3&gt;G$4)))+Assets!$F$3*(1+MIN(INDEX(Countries!$F$2:$F$5,MATCH(Assets!$B$3,Countries!$A$2:$A$5,0)),MAX(INDEX(Countries!$E$2:$E$5,MATCH(Assets!$B$3,Countries!$A$2:$A$5,0)),INDEX(Countries!$D$2:$D$5,MATCH(Assets!$B$3,Countries!$A$2:$A$5,0)))))^(G$3-1)*IF(Assets!$E$3&lt;EDATE(G$4,12),(Inputs!$B$13*MAX(0,MIN(12,DATEDIF(MAX(Assets!$E$3,G$4),EDATE(G$4,12),"m")))+(1-Inputs!$B$13)*MAX(0,MAX(0,MIN(12,DATEDIF(MAX(Assets!$E$3,G$4),EDATE(G$4,12),"m")))-MAX(0,Inputs!$B$12-IF(Assets!$E$3&lt;G$4,DATEDIF(Assets!$E$3,G$4,"m"),0))))/12,0))*INDEX(Countries!$C$2:$C$5,MATCH(Assets!$B$3,Countries!$A$2:$A$5,0)),0)</f>
        <v>0</v>
      </c>
      <c r="H7" s="0" t="n">
        <f aca="false">IF(AND(H$3&gt;=1,H$3&lt;=Inputs!$B$11,OR(Assets!$G$3="",H$4&lt;Assets!$G$3)),Assets!$C$3*(Assets!$D$3*(1+MIN(INDEX(Countries!$F$2:$F$5,MATCH(Assets!$B$3,Countries!$A$2:$A$5,0)),MAX(INDEX(Countries!$E$2:$E$5,MATCH(Assets!$B$3,Countries!$A$2:$A$5,0)),INDEX(Countries!$D$2:$D$5,MATCH(Assets!$B$3,Countries!$A$2:$A$5,0)))))^(H$3-1)*MAX(0,MIN(1,YEARFRAC(H$4,MIN(Assets!$E$3,EDATE(H$4,12)),1)*(Assets!$E$3&gt;H$4)))+Assets!$F$3*(1+MIN(INDEX(Countries!$F$2:$F$5,MATCH(Assets!$B$3,Countries!$A$2:$A$5,0)),MAX(INDEX(Countries!$E$2:$E$5,MATCH(Assets!$B$3,Countries!$A$2:$A$5,0)),INDEX(Countries!$D$2:$D$5,MATCH(Assets!$B$3,Countries!$A$2:$A$5,0)))))^(H$3-1)*IF(Assets!$E$3&lt;EDATE(H$4,12),(Inputs!$B$13*MAX(0,MIN(12,DATEDIF(MAX(Assets!$E$3,H$4),EDATE(H$4,12),"m")))+(1-Inputs!$B$13)*MAX(0,MAX(0,MIN(12,DATEDIF(MAX(Assets!$E$3,H$4),EDATE(H$4,12),"m")))-MAX(0,Inputs!$B$12-IF(Assets!$E$3&lt;H$4,DATEDIF(Assets!$E$3,H$4,"m"),0))))/12,0))*INDEX(Countries!$C$2:$C$5,MATCH(Assets!$B$3,Countries!$A$2:$A$5,0)),0)</f>
        <v>0</v>
      </c>
      <c r="I7" s="0" t="n">
        <f aca="false">IF(AND(I$3&gt;=1,I$3&lt;=Inputs!$B$11,OR(Assets!$G$3="",I$4&lt;Assets!$G$3)),Assets!$C$3*(Assets!$D$3*(1+MIN(INDEX(Countries!$F$2:$F$5,MATCH(Assets!$B$3,Countries!$A$2:$A$5,0)),MAX(INDEX(Countries!$E$2:$E$5,MATCH(Assets!$B$3,Countries!$A$2:$A$5,0)),INDEX(Countries!$D$2:$D$5,MATCH(Assets!$B$3,Countries!$A$2:$A$5,0)))))^(I$3-1)*MAX(0,MIN(1,YEARFRAC(I$4,MIN(Assets!$E$3,EDATE(I$4,12)),1)*(Assets!$E$3&gt;I$4)))+Assets!$F$3*(1+MIN(INDEX(Countries!$F$2:$F$5,MATCH(Assets!$B$3,Countries!$A$2:$A$5,0)),MAX(INDEX(Countries!$E$2:$E$5,MATCH(Assets!$B$3,Countries!$A$2:$A$5,0)),INDEX(Countries!$D$2:$D$5,MATCH(Assets!$B$3,Countries!$A$2:$A$5,0)))))^(I$3-1)*IF(Assets!$E$3&lt;EDATE(I$4,12),(Inputs!$B$13*MAX(0,MIN(12,DATEDIF(MAX(Assets!$E$3,I$4),EDATE(I$4,12),"m")))+(1-Inputs!$B$13)*MAX(0,MAX(0,MIN(12,DATEDIF(MAX(Assets!$E$3,I$4),EDATE(I$4,12),"m")))-MAX(0,Inputs!$B$12-IF(Assets!$E$3&lt;I$4,DATEDIF(Assets!$E$3,I$4,"m"),0))))/12,0))*INDEX(Countries!$C$2:$C$5,MATCH(Assets!$B$3,Countries!$A$2:$A$5,0)),0)</f>
        <v>0</v>
      </c>
      <c r="J7" s="0" t="n">
        <f aca="false">IF(AND(J$3&gt;=1,J$3&lt;=Inputs!$B$11,OR(Assets!$G$3="",J$4&lt;Assets!$G$3)),Assets!$C$3*(Assets!$D$3*(1+MIN(INDEX(Countries!$F$2:$F$5,MATCH(Assets!$B$3,Countries!$A$2:$A$5,0)),MAX(INDEX(Countries!$E$2:$E$5,MATCH(Assets!$B$3,Countries!$A$2:$A$5,0)),INDEX(Countries!$D$2:$D$5,MATCH(Assets!$B$3,Countries!$A$2:$A$5,0)))))^(J$3-1)*MAX(0,MIN(1,YEARFRAC(J$4,MIN(Assets!$E$3,EDATE(J$4,12)),1)*(Assets!$E$3&gt;J$4)))+Assets!$F$3*(1+MIN(INDEX(Countries!$F$2:$F$5,MATCH(Assets!$B$3,Countries!$A$2:$A$5,0)),MAX(INDEX(Countries!$E$2:$E$5,MATCH(Assets!$B$3,Countries!$A$2:$A$5,0)),INDEX(Countries!$D$2:$D$5,MATCH(Assets!$B$3,Countries!$A$2:$A$5,0)))))^(J$3-1)*IF(Assets!$E$3&lt;EDATE(J$4,12),(Inputs!$B$13*MAX(0,MIN(12,DATEDIF(MAX(Assets!$E$3,J$4),EDATE(J$4,12),"m")))+(1-Inputs!$B$13)*MAX(0,MAX(0,MIN(12,DATEDIF(MAX(Assets!$E$3,J$4),EDATE(J$4,12),"m")))-MAX(0,Inputs!$B$12-IF(Assets!$E$3&lt;J$4,DATEDIF(Assets!$E$3,J$4,"m"),0))))/12,0))*INDEX(Countries!$C$2:$C$5,MATCH(Assets!$B$3,Countries!$A$2:$A$5,0)),0)</f>
        <v>0</v>
      </c>
      <c r="K7" s="0" t="n">
        <f aca="false">IF(AND(K$3&gt;=1,K$3&lt;=Inputs!$B$11,OR(Assets!$G$3="",K$4&lt;Assets!$G$3)),Assets!$C$3*(Assets!$D$3*(1+MIN(INDEX(Countries!$F$2:$F$5,MATCH(Assets!$B$3,Countries!$A$2:$A$5,0)),MAX(INDEX(Countries!$E$2:$E$5,MATCH(Assets!$B$3,Countries!$A$2:$A$5,0)),INDEX(Countries!$D$2:$D$5,MATCH(Assets!$B$3,Countries!$A$2:$A$5,0)))))^(K$3-1)*MAX(0,MIN(1,YEARFRAC(K$4,MIN(Assets!$E$3,EDATE(K$4,12)),1)*(Assets!$E$3&gt;K$4)))+Assets!$F$3*(1+MIN(INDEX(Countries!$F$2:$F$5,MATCH(Assets!$B$3,Countries!$A$2:$A$5,0)),MAX(INDEX(Countries!$E$2:$E$5,MATCH(Assets!$B$3,Countries!$A$2:$A$5,0)),INDEX(Countries!$D$2:$D$5,MATCH(Assets!$B$3,Countries!$A$2:$A$5,0)))))^(K$3-1)*IF(Assets!$E$3&lt;EDATE(K$4,12),(Inputs!$B$13*MAX(0,MIN(12,DATEDIF(MAX(Assets!$E$3,K$4),EDATE(K$4,12),"m")))+(1-Inputs!$B$13)*MAX(0,MAX(0,MIN(12,DATEDIF(MAX(Assets!$E$3,K$4),EDATE(K$4,12),"m")))-MAX(0,Inputs!$B$12-IF(Assets!$E$3&lt;K$4,DATEDIF(Assets!$E$3,K$4,"m"),0))))/12,0))*INDEX(Countries!$C$2:$C$5,MATCH(Assets!$B$3,Countries!$A$2:$A$5,0)),0)</f>
        <v>0</v>
      </c>
      <c r="L7" s="0" t="n">
        <f aca="false">IF(AND(L$3&gt;=1,L$3&lt;=Inputs!$B$11,OR(Assets!$G$3="",L$4&lt;Assets!$G$3)),Assets!$C$3*(Assets!$D$3*(1+MIN(INDEX(Countries!$F$2:$F$5,MATCH(Assets!$B$3,Countries!$A$2:$A$5,0)),MAX(INDEX(Countries!$E$2:$E$5,MATCH(Assets!$B$3,Countries!$A$2:$A$5,0)),INDEX(Countries!$D$2:$D$5,MATCH(Assets!$B$3,Countries!$A$2:$A$5,0)))))^(L$3-1)*MAX(0,MIN(1,YEARFRAC(L$4,MIN(Assets!$E$3,EDATE(L$4,12)),1)*(Assets!$E$3&gt;L$4)))+Assets!$F$3*(1+MIN(INDEX(Countries!$F$2:$F$5,MATCH(Assets!$B$3,Countries!$A$2:$A$5,0)),MAX(INDEX(Countries!$E$2:$E$5,MATCH(Assets!$B$3,Countries!$A$2:$A$5,0)),INDEX(Countries!$D$2:$D$5,MATCH(Assets!$B$3,Countries!$A$2:$A$5,0)))))^(L$3-1)*IF(Assets!$E$3&lt;EDATE(L$4,12),(Inputs!$B$13*MAX(0,MIN(12,DATEDIF(MAX(Assets!$E$3,L$4),EDATE(L$4,12),"m")))+(1-Inputs!$B$13)*MAX(0,MAX(0,MIN(12,DATEDIF(MAX(Assets!$E$3,L$4),EDATE(L$4,12),"m")))-MAX(0,Inputs!$B$12-IF(Assets!$E$3&lt;L$4,DATEDIF(Assets!$E$3,L$4,"m"),0))))/12,0))*INDEX(Countries!$C$2:$C$5,MATCH(Assets!$B$3,Countries!$A$2:$A$5,0)),0)</f>
        <v>0</v>
      </c>
    </row>
    <row r="8" customFormat="false" ht="15" hidden="false" customHeight="false" outlineLevel="0" collapsed="false">
      <c r="A8" s="0" t="s">
        <v>47</v>
      </c>
      <c r="B8" s="0" t="n">
        <f aca="false">IF(AND(Assets!$G$3&lt;&gt;"",Assets!$G$3&gt;=B$4,Assets!$G$3&lt;EDATE(B$4,12)),Assets!$C$3*Assets!$F$3*(1+MIN(INDEX(Countries!$F$2:$F$5,MATCH(Assets!$B$3,Countries!$A$2:$A$5,0)),MAX(INDEX(Countries!$E$2:$E$5,MATCH(Assets!$B$3,Countries!$A$2:$A$5,0)),INDEX(Countries!$D$2:$D$5,MATCH(Assets!$B$3,Countries!$A$2:$A$5,0)))))^(B$3-1)*INDEX(Countries!$C$2:$C$5,MATCH(Assets!$B$3,Countries!$A$2:$A$5,0))/Assets!$H$3,0)</f>
        <v>0</v>
      </c>
      <c r="C8" s="0" t="n">
        <f aca="false">IF(AND(Assets!$G$3&lt;&gt;"",Assets!$G$3&gt;=C$4,Assets!$G$3&lt;EDATE(C$4,12)),Assets!$C$3*Assets!$F$3*(1+MIN(INDEX(Countries!$F$2:$F$5,MATCH(Assets!$B$3,Countries!$A$2:$A$5,0)),MAX(INDEX(Countries!$E$2:$E$5,MATCH(Assets!$B$3,Countries!$A$2:$A$5,0)),INDEX(Countries!$D$2:$D$5,MATCH(Assets!$B$3,Countries!$A$2:$A$5,0)))))^(C$3-1)*INDEX(Countries!$C$2:$C$5,MATCH(Assets!$B$3,Countries!$A$2:$A$5,0))/Assets!$H$3,0)</f>
        <v>0</v>
      </c>
      <c r="D8" s="0" t="n">
        <f aca="false">IF(AND(Assets!$G$3&lt;&gt;"",Assets!$G$3&gt;=D$4,Assets!$G$3&lt;EDATE(D$4,12)),Assets!$C$3*Assets!$F$3*(1+MIN(INDEX(Countries!$F$2:$F$5,MATCH(Assets!$B$3,Countries!$A$2:$A$5,0)),MAX(INDEX(Countries!$E$2:$E$5,MATCH(Assets!$B$3,Countries!$A$2:$A$5,0)),INDEX(Countries!$D$2:$D$5,MATCH(Assets!$B$3,Countries!$A$2:$A$5,0)))))^(D$3-1)*INDEX(Countries!$C$2:$C$5,MATCH(Assets!$B$3,Countries!$A$2:$A$5,0))/Assets!$H$3,0)</f>
        <v>0</v>
      </c>
      <c r="E8" s="0" t="n">
        <f aca="false">IF(AND(Assets!$G$3&lt;&gt;"",Assets!$G$3&gt;=E$4,Assets!$G$3&lt;EDATE(E$4,12)),Assets!$C$3*Assets!$F$3*(1+MIN(INDEX(Countries!$F$2:$F$5,MATCH(Assets!$B$3,Countries!$A$2:$A$5,0)),MAX(INDEX(Countries!$E$2:$E$5,MATCH(Assets!$B$3,Countries!$A$2:$A$5,0)),INDEX(Countries!$D$2:$D$5,MATCH(Assets!$B$3,Countries!$A$2:$A$5,0)))))^(E$3-1)*INDEX(Countries!$C$2:$C$5,MATCH(Assets!$B$3,Countries!$A$2:$A$5,0))/Assets!$H$3,0)</f>
        <v>73515604.6153846</v>
      </c>
      <c r="F8" s="0" t="n">
        <f aca="false">IF(AND(Assets!$G$3&lt;&gt;"",Assets!$G$3&gt;=F$4,Assets!$G$3&lt;EDATE(F$4,12)),Assets!$C$3*Assets!$F$3*(1+MIN(INDEX(Countries!$F$2:$F$5,MATCH(Assets!$B$3,Countries!$A$2:$A$5,0)),MAX(INDEX(Countries!$E$2:$E$5,MATCH(Assets!$B$3,Countries!$A$2:$A$5,0)),INDEX(Countries!$D$2:$D$5,MATCH(Assets!$B$3,Countries!$A$2:$A$5,0)))))^(F$3-1)*INDEX(Countries!$C$2:$C$5,MATCH(Assets!$B$3,Countries!$A$2:$A$5,0))/Assets!$H$3,0)</f>
        <v>0</v>
      </c>
      <c r="G8" s="0" t="n">
        <f aca="false">IF(AND(Assets!$G$3&lt;&gt;"",Assets!$G$3&gt;=G$4,Assets!$G$3&lt;EDATE(G$4,12)),Assets!$C$3*Assets!$F$3*(1+MIN(INDEX(Countries!$F$2:$F$5,MATCH(Assets!$B$3,Countries!$A$2:$A$5,0)),MAX(INDEX(Countries!$E$2:$E$5,MATCH(Assets!$B$3,Countries!$A$2:$A$5,0)),INDEX(Countries!$D$2:$D$5,MATCH(Assets!$B$3,Countries!$A$2:$A$5,0)))))^(G$3-1)*INDEX(Countries!$C$2:$C$5,MATCH(Assets!$B$3,Countries!$A$2:$A$5,0))/Assets!$H$3,0)</f>
        <v>0</v>
      </c>
      <c r="H8" s="0" t="n">
        <f aca="false">IF(AND(Assets!$G$3&lt;&gt;"",Assets!$G$3&gt;=H$4,Assets!$G$3&lt;EDATE(H$4,12)),Assets!$C$3*Assets!$F$3*(1+MIN(INDEX(Countries!$F$2:$F$5,MATCH(Assets!$B$3,Countries!$A$2:$A$5,0)),MAX(INDEX(Countries!$E$2:$E$5,MATCH(Assets!$B$3,Countries!$A$2:$A$5,0)),INDEX(Countries!$D$2:$D$5,MATCH(Assets!$B$3,Countries!$A$2:$A$5,0)))))^(H$3-1)*INDEX(Countries!$C$2:$C$5,MATCH(Assets!$B$3,Countries!$A$2:$A$5,0))/Assets!$H$3,0)</f>
        <v>0</v>
      </c>
      <c r="I8" s="0" t="n">
        <f aca="false">IF(AND(Assets!$G$3&lt;&gt;"",Assets!$G$3&gt;=I$4,Assets!$G$3&lt;EDATE(I$4,12)),Assets!$C$3*Assets!$F$3*(1+MIN(INDEX(Countries!$F$2:$F$5,MATCH(Assets!$B$3,Countries!$A$2:$A$5,0)),MAX(INDEX(Countries!$E$2:$E$5,MATCH(Assets!$B$3,Countries!$A$2:$A$5,0)),INDEX(Countries!$D$2:$D$5,MATCH(Assets!$B$3,Countries!$A$2:$A$5,0)))))^(I$3-1)*INDEX(Countries!$C$2:$C$5,MATCH(Assets!$B$3,Countries!$A$2:$A$5,0))/Assets!$H$3,0)</f>
        <v>0</v>
      </c>
      <c r="J8" s="0" t="n">
        <f aca="false">IF(AND(Assets!$G$3&lt;&gt;"",Assets!$G$3&gt;=J$4,Assets!$G$3&lt;EDATE(J$4,12)),Assets!$C$3*Assets!$F$3*(1+MIN(INDEX(Countries!$F$2:$F$5,MATCH(Assets!$B$3,Countries!$A$2:$A$5,0)),MAX(INDEX(Countries!$E$2:$E$5,MATCH(Assets!$B$3,Countries!$A$2:$A$5,0)),INDEX(Countries!$D$2:$D$5,MATCH(Assets!$B$3,Countries!$A$2:$A$5,0)))))^(J$3-1)*INDEX(Countries!$C$2:$C$5,MATCH(Assets!$B$3,Countries!$A$2:$A$5,0))/Assets!$H$3,0)</f>
        <v>0</v>
      </c>
      <c r="K8" s="0" t="n">
        <f aca="false">IF(AND(Assets!$G$3&lt;&gt;"",Assets!$G$3&gt;=K$4,Assets!$G$3&lt;EDATE(K$4,12)),Assets!$C$3*Assets!$F$3*(1+MIN(INDEX(Countries!$F$2:$F$5,MATCH(Assets!$B$3,Countries!$A$2:$A$5,0)),MAX(INDEX(Countries!$E$2:$E$5,MATCH(Assets!$B$3,Countries!$A$2:$A$5,0)),INDEX(Countries!$D$2:$D$5,MATCH(Assets!$B$3,Countries!$A$2:$A$5,0)))))^(K$3-1)*INDEX(Countries!$C$2:$C$5,MATCH(Assets!$B$3,Countries!$A$2:$A$5,0))/Assets!$H$3,0)</f>
        <v>0</v>
      </c>
      <c r="L8" s="0" t="n">
        <f aca="false">IF(AND(Assets!$G$3&lt;&gt;"",Assets!$G$3&gt;=L$4,Assets!$G$3&lt;EDATE(L$4,12)),Assets!$C$3*Assets!$F$3*(1+MIN(INDEX(Countries!$F$2:$F$5,MATCH(Assets!$B$3,Countries!$A$2:$A$5,0)),MAX(INDEX(Countries!$E$2:$E$5,MATCH(Assets!$B$3,Countries!$A$2:$A$5,0)),INDEX(Countries!$D$2:$D$5,MATCH(Assets!$B$3,Countries!$A$2:$A$5,0)))))^(L$3-1)*INDEX(Countries!$C$2:$C$5,MATCH(Assets!$B$3,Countries!$A$2:$A$5,0))/Assets!$H$3,0)</f>
        <v>0</v>
      </c>
    </row>
    <row r="9" customFormat="false" ht="15" hidden="false" customHeight="false" outlineLevel="0" collapsed="false">
      <c r="A9" s="0" t="s">
        <v>48</v>
      </c>
      <c r="B9" s="0" t="n">
        <f aca="false">IF(AND(B$3&gt;=1,B$3&lt;=Inputs!$B$11,OR(Assets!$G$4="",B$4&lt;Assets!$G$4)),Assets!$C$4*(Assets!$D$4*(1+MIN(INDEX(Countries!$F$2:$F$5,MATCH(Assets!$B$4,Countries!$A$2:$A$5,0)),MAX(INDEX(Countries!$E$2:$E$5,MATCH(Assets!$B$4,Countries!$A$2:$A$5,0)),INDEX(Countries!$D$2:$D$5,MATCH(Assets!$B$4,Countries!$A$2:$A$5,0)))))^(B$3-1)*MAX(0,MIN(1,YEARFRAC(B$4,MIN(Assets!$E$4,EDATE(B$4,12)),1)*(Assets!$E$4&gt;B$4)))+Assets!$F$4*(1+MIN(INDEX(Countries!$F$2:$F$5,MATCH(Assets!$B$4,Countries!$A$2:$A$5,0)),MAX(INDEX(Countries!$E$2:$E$5,MATCH(Assets!$B$4,Countries!$A$2:$A$5,0)),INDEX(Countries!$D$2:$D$5,MATCH(Assets!$B$4,Countries!$A$2:$A$5,0)))))^(B$3-1)*IF(Assets!$E$4&lt;EDATE(B$4,12),(Inputs!$B$13*MAX(0,MIN(12,DATEDIF(MAX(Assets!$E$4,B$4),EDATE(B$4,12),"m")))+(1-Inputs!$B$13)*MAX(0,MAX(0,MIN(12,DATEDIF(MAX(Assets!$E$4,B$4),EDATE(B$4,12),"m")))-MAX(0,Inputs!$B$12-IF(Assets!$E$4&lt;B$4,DATEDIF(Assets!$E$4,B$4,"m"),0))))/12,0))*INDEX(Countries!$C$2:$C$5,MATCH(Assets!$B$4,Countries!$A$2:$A$5,0)),0)</f>
        <v>0</v>
      </c>
      <c r="C9" s="0" t="n">
        <f aca="false">IF(AND(C$3&gt;=1,C$3&lt;=Inputs!$B$11,OR(Assets!$G$4="",C$4&lt;Assets!$G$4)),Assets!$C$4*(Assets!$D$4*(1+MIN(INDEX(Countries!$F$2:$F$5,MATCH(Assets!$B$4,Countries!$A$2:$A$5,0)),MAX(INDEX(Countries!$E$2:$E$5,MATCH(Assets!$B$4,Countries!$A$2:$A$5,0)),INDEX(Countries!$D$2:$D$5,MATCH(Assets!$B$4,Countries!$A$2:$A$5,0)))))^(C$3-1)*MAX(0,MIN(1,YEARFRAC(C$4,MIN(Assets!$E$4,EDATE(C$4,12)),1)*(Assets!$E$4&gt;C$4)))+Assets!$F$4*(1+MIN(INDEX(Countries!$F$2:$F$5,MATCH(Assets!$B$4,Countries!$A$2:$A$5,0)),MAX(INDEX(Countries!$E$2:$E$5,MATCH(Assets!$B$4,Countries!$A$2:$A$5,0)),INDEX(Countries!$D$2:$D$5,MATCH(Assets!$B$4,Countries!$A$2:$A$5,0)))))^(C$3-1)*IF(Assets!$E$4&lt;EDATE(C$4,12),(Inputs!$B$13*MAX(0,MIN(12,DATEDIF(MAX(Assets!$E$4,C$4),EDATE(C$4,12),"m")))+(1-Inputs!$B$13)*MAX(0,MAX(0,MIN(12,DATEDIF(MAX(Assets!$E$4,C$4),EDATE(C$4,12),"m")))-MAX(0,Inputs!$B$12-IF(Assets!$E$4&lt;C$4,DATEDIF(Assets!$E$4,C$4,"m"),0))))/12,0))*INDEX(Countries!$C$2:$C$5,MATCH(Assets!$B$4,Countries!$A$2:$A$5,0)),0)</f>
        <v>4333680</v>
      </c>
      <c r="D9" s="0" t="n">
        <f aca="false">IF(AND(D$3&gt;=1,D$3&lt;=Inputs!$B$11,OR(Assets!$G$4="",D$4&lt;Assets!$G$4)),Assets!$C$4*(Assets!$D$4*(1+MIN(INDEX(Countries!$F$2:$F$5,MATCH(Assets!$B$4,Countries!$A$2:$A$5,0)),MAX(INDEX(Countries!$E$2:$E$5,MATCH(Assets!$B$4,Countries!$A$2:$A$5,0)),INDEX(Countries!$D$2:$D$5,MATCH(Assets!$B$4,Countries!$A$2:$A$5,0)))))^(D$3-1)*MAX(0,MIN(1,YEARFRAC(D$4,MIN(Assets!$E$4,EDATE(D$4,12)),1)*(Assets!$E$4&gt;D$4)))+Assets!$F$4*(1+MIN(INDEX(Countries!$F$2:$F$5,MATCH(Assets!$B$4,Countries!$A$2:$A$5,0)),MAX(INDEX(Countries!$E$2:$E$5,MATCH(Assets!$B$4,Countries!$A$2:$A$5,0)),INDEX(Countries!$D$2:$D$5,MATCH(Assets!$B$4,Countries!$A$2:$A$5,0)))))^(D$3-1)*IF(Assets!$E$4&lt;EDATE(D$4,12),(Inputs!$B$13*MAX(0,MIN(12,DATEDIF(MAX(Assets!$E$4,D$4),EDATE(D$4,12),"m")))+(1-Inputs!$B$13)*MAX(0,MAX(0,MIN(12,DATEDIF(MAX(Assets!$E$4,D$4),EDATE(D$4,12),"m")))-MAX(0,Inputs!$B$12-IF(Assets!$E$4&lt;D$4,DATEDIF(Assets!$E$4,D$4,"m"),0))))/12,0))*INDEX(Countries!$C$2:$C$5,MATCH(Assets!$B$4,Countries!$A$2:$A$5,0)),0)</f>
        <v>4507027.2</v>
      </c>
      <c r="E9" s="0" t="n">
        <f aca="false">IF(AND(E$3&gt;=1,E$3&lt;=Inputs!$B$11,OR(Assets!$G$4="",E$4&lt;Assets!$G$4)),Assets!$C$4*(Assets!$D$4*(1+MIN(INDEX(Countries!$F$2:$F$5,MATCH(Assets!$B$4,Countries!$A$2:$A$5,0)),MAX(INDEX(Countries!$E$2:$E$5,MATCH(Assets!$B$4,Countries!$A$2:$A$5,0)),INDEX(Countries!$D$2:$D$5,MATCH(Assets!$B$4,Countries!$A$2:$A$5,0)))))^(E$3-1)*MAX(0,MIN(1,YEARFRAC(E$4,MIN(Assets!$E$4,EDATE(E$4,12)),1)*(Assets!$E$4&gt;E$4)))+Assets!$F$4*(1+MIN(INDEX(Countries!$F$2:$F$5,MATCH(Assets!$B$4,Countries!$A$2:$A$5,0)),MAX(INDEX(Countries!$E$2:$E$5,MATCH(Assets!$B$4,Countries!$A$2:$A$5,0)),INDEX(Countries!$D$2:$D$5,MATCH(Assets!$B$4,Countries!$A$2:$A$5,0)))))^(E$3-1)*IF(Assets!$E$4&lt;EDATE(E$4,12),(Inputs!$B$13*MAX(0,MIN(12,DATEDIF(MAX(Assets!$E$4,E$4),EDATE(E$4,12),"m")))+(1-Inputs!$B$13)*MAX(0,MAX(0,MIN(12,DATEDIF(MAX(Assets!$E$4,E$4),EDATE(E$4,12),"m")))-MAX(0,Inputs!$B$12-IF(Assets!$E$4&lt;E$4,DATEDIF(Assets!$E$4,E$4,"m"),0))))/12,0))*INDEX(Countries!$C$2:$C$5,MATCH(Assets!$B$4,Countries!$A$2:$A$5,0)),0)</f>
        <v>4687308.288</v>
      </c>
      <c r="F9" s="0" t="n">
        <f aca="false">IF(AND(F$3&gt;=1,F$3&lt;=Inputs!$B$11,OR(Assets!$G$4="",F$4&lt;Assets!$G$4)),Assets!$C$4*(Assets!$D$4*(1+MIN(INDEX(Countries!$F$2:$F$5,MATCH(Assets!$B$4,Countries!$A$2:$A$5,0)),MAX(INDEX(Countries!$E$2:$E$5,MATCH(Assets!$B$4,Countries!$A$2:$A$5,0)),INDEX(Countries!$D$2:$D$5,MATCH(Assets!$B$4,Countries!$A$2:$A$5,0)))))^(F$3-1)*MAX(0,MIN(1,YEARFRAC(F$4,MIN(Assets!$E$4,EDATE(F$4,12)),1)*(Assets!$E$4&gt;F$4)))+Assets!$F$4*(1+MIN(INDEX(Countries!$F$2:$F$5,MATCH(Assets!$B$4,Countries!$A$2:$A$5,0)),MAX(INDEX(Countries!$E$2:$E$5,MATCH(Assets!$B$4,Countries!$A$2:$A$5,0)),INDEX(Countries!$D$2:$D$5,MATCH(Assets!$B$4,Countries!$A$2:$A$5,0)))))^(F$3-1)*IF(Assets!$E$4&lt;EDATE(F$4,12),(Inputs!$B$13*MAX(0,MIN(12,DATEDIF(MAX(Assets!$E$4,F$4),EDATE(F$4,12),"m")))+(1-Inputs!$B$13)*MAX(0,MAX(0,MIN(12,DATEDIF(MAX(Assets!$E$4,F$4),EDATE(F$4,12),"m")))-MAX(0,Inputs!$B$12-IF(Assets!$E$4&lt;F$4,DATEDIF(Assets!$E$4,F$4,"m"),0))))/12,0))*INDEX(Countries!$C$2:$C$5,MATCH(Assets!$B$4,Countries!$A$2:$A$5,0)),0)</f>
        <v>3978946.84918882</v>
      </c>
      <c r="G9" s="0" t="n">
        <f aca="false">IF(AND(G$3&gt;=1,G$3&lt;=Inputs!$B$11,OR(Assets!$G$4="",G$4&lt;Assets!$G$4)),Assets!$C$4*(Assets!$D$4*(1+MIN(INDEX(Countries!$F$2:$F$5,MATCH(Assets!$B$4,Countries!$A$2:$A$5,0)),MAX(INDEX(Countries!$E$2:$E$5,MATCH(Assets!$B$4,Countries!$A$2:$A$5,0)),INDEX(Countries!$D$2:$D$5,MATCH(Assets!$B$4,Countries!$A$2:$A$5,0)))))^(G$3-1)*MAX(0,MIN(1,YEARFRAC(G$4,MIN(Assets!$E$4,EDATE(G$4,12)),1)*(Assets!$E$4&gt;G$4)))+Assets!$F$4*(1+MIN(INDEX(Countries!$F$2:$F$5,MATCH(Assets!$B$4,Countries!$A$2:$A$5,0)),MAX(INDEX(Countries!$E$2:$E$5,MATCH(Assets!$B$4,Countries!$A$2:$A$5,0)),INDEX(Countries!$D$2:$D$5,MATCH(Assets!$B$4,Countries!$A$2:$A$5,0)))))^(G$3-1)*IF(Assets!$E$4&lt;EDATE(G$4,12),(Inputs!$B$13*MAX(0,MIN(12,DATEDIF(MAX(Assets!$E$4,G$4),EDATE(G$4,12),"m")))+(1-Inputs!$B$13)*MAX(0,MAX(0,MIN(12,DATEDIF(MAX(Assets!$E$4,G$4),EDATE(G$4,12),"m")))-MAX(0,Inputs!$B$12-IF(Assets!$E$4&lt;G$4,DATEDIF(Assets!$E$4,G$4,"m"),0))))/12,0))*INDEX(Countries!$C$2:$C$5,MATCH(Assets!$B$4,Countries!$A$2:$A$5,0)),0)</f>
        <v>4913799.02447616</v>
      </c>
      <c r="H9" s="0" t="n">
        <f aca="false">IF(AND(H$3&gt;=1,H$3&lt;=Inputs!$B$11,OR(Assets!$G$4="",H$4&lt;Assets!$G$4)),Assets!$C$4*(Assets!$D$4*(1+MIN(INDEX(Countries!$F$2:$F$5,MATCH(Assets!$B$4,Countries!$A$2:$A$5,0)),MAX(INDEX(Countries!$E$2:$E$5,MATCH(Assets!$B$4,Countries!$A$2:$A$5,0)),INDEX(Countries!$D$2:$D$5,MATCH(Assets!$B$4,Countries!$A$2:$A$5,0)))))^(H$3-1)*MAX(0,MIN(1,YEARFRAC(H$4,MIN(Assets!$E$4,EDATE(H$4,12)),1)*(Assets!$E$4&gt;H$4)))+Assets!$F$4*(1+MIN(INDEX(Countries!$F$2:$F$5,MATCH(Assets!$B$4,Countries!$A$2:$A$5,0)),MAX(INDEX(Countries!$E$2:$E$5,MATCH(Assets!$B$4,Countries!$A$2:$A$5,0)),INDEX(Countries!$D$2:$D$5,MATCH(Assets!$B$4,Countries!$A$2:$A$5,0)))))^(H$3-1)*IF(Assets!$E$4&lt;EDATE(H$4,12),(Inputs!$B$13*MAX(0,MIN(12,DATEDIF(MAX(Assets!$E$4,H$4),EDATE(H$4,12),"m")))+(1-Inputs!$B$13)*MAX(0,MAX(0,MIN(12,DATEDIF(MAX(Assets!$E$4,H$4),EDATE(H$4,12),"m")))-MAX(0,Inputs!$B$12-IF(Assets!$E$4&lt;H$4,DATEDIF(Assets!$E$4,H$4,"m"),0))))/12,0))*INDEX(Countries!$C$2:$C$5,MATCH(Assets!$B$4,Countries!$A$2:$A$5,0)),0)</f>
        <v>5678167.7616169</v>
      </c>
      <c r="I9" s="0" t="n">
        <f aca="false">IF(AND(I$3&gt;=1,I$3&lt;=Inputs!$B$11,OR(Assets!$G$4="",I$4&lt;Assets!$G$4)),Assets!$C$4*(Assets!$D$4*(1+MIN(INDEX(Countries!$F$2:$F$5,MATCH(Assets!$B$4,Countries!$A$2:$A$5,0)),MAX(INDEX(Countries!$E$2:$E$5,MATCH(Assets!$B$4,Countries!$A$2:$A$5,0)),INDEX(Countries!$D$2:$D$5,MATCH(Assets!$B$4,Countries!$A$2:$A$5,0)))))^(I$3-1)*MAX(0,MIN(1,YEARFRAC(I$4,MIN(Assets!$E$4,EDATE(I$4,12)),1)*(Assets!$E$4&gt;I$4)))+Assets!$F$4*(1+MIN(INDEX(Countries!$F$2:$F$5,MATCH(Assets!$B$4,Countries!$A$2:$A$5,0)),MAX(INDEX(Countries!$E$2:$E$5,MATCH(Assets!$B$4,Countries!$A$2:$A$5,0)),INDEX(Countries!$D$2:$D$5,MATCH(Assets!$B$4,Countries!$A$2:$A$5,0)))))^(I$3-1)*IF(Assets!$E$4&lt;EDATE(I$4,12),(Inputs!$B$13*MAX(0,MIN(12,DATEDIF(MAX(Assets!$E$4,I$4),EDATE(I$4,12),"m")))+(1-Inputs!$B$13)*MAX(0,MAX(0,MIN(12,DATEDIF(MAX(Assets!$E$4,I$4),EDATE(I$4,12),"m")))-MAX(0,Inputs!$B$12-IF(Assets!$E$4&lt;I$4,DATEDIF(Assets!$E$4,I$4,"m"),0))))/12,0))*INDEX(Countries!$C$2:$C$5,MATCH(Assets!$B$4,Countries!$A$2:$A$5,0)),0)</f>
        <v>5905294.47208158</v>
      </c>
      <c r="J9" s="0" t="n">
        <f aca="false">IF(AND(J$3&gt;=1,J$3&lt;=Inputs!$B$11,OR(Assets!$G$4="",J$4&lt;Assets!$G$4)),Assets!$C$4*(Assets!$D$4*(1+MIN(INDEX(Countries!$F$2:$F$5,MATCH(Assets!$B$4,Countries!$A$2:$A$5,0)),MAX(INDEX(Countries!$E$2:$E$5,MATCH(Assets!$B$4,Countries!$A$2:$A$5,0)),INDEX(Countries!$D$2:$D$5,MATCH(Assets!$B$4,Countries!$A$2:$A$5,0)))))^(J$3-1)*MAX(0,MIN(1,YEARFRAC(J$4,MIN(Assets!$E$4,EDATE(J$4,12)),1)*(Assets!$E$4&gt;J$4)))+Assets!$F$4*(1+MIN(INDEX(Countries!$F$2:$F$5,MATCH(Assets!$B$4,Countries!$A$2:$A$5,0)),MAX(INDEX(Countries!$E$2:$E$5,MATCH(Assets!$B$4,Countries!$A$2:$A$5,0)),INDEX(Countries!$D$2:$D$5,MATCH(Assets!$B$4,Countries!$A$2:$A$5,0)))))^(J$3-1)*IF(Assets!$E$4&lt;EDATE(J$4,12),(Inputs!$B$13*MAX(0,MIN(12,DATEDIF(MAX(Assets!$E$4,J$4),EDATE(J$4,12),"m")))+(1-Inputs!$B$13)*MAX(0,MAX(0,MIN(12,DATEDIF(MAX(Assets!$E$4,J$4),EDATE(J$4,12),"m")))-MAX(0,Inputs!$B$12-IF(Assets!$E$4&lt;J$4,DATEDIF(Assets!$E$4,J$4,"m"),0))))/12,0))*INDEX(Countries!$C$2:$C$5,MATCH(Assets!$B$4,Countries!$A$2:$A$5,0)),0)</f>
        <v>0</v>
      </c>
      <c r="K9" s="0" t="n">
        <f aca="false">IF(AND(K$3&gt;=1,K$3&lt;=Inputs!$B$11,OR(Assets!$G$4="",K$4&lt;Assets!$G$4)),Assets!$C$4*(Assets!$D$4*(1+MIN(INDEX(Countries!$F$2:$F$5,MATCH(Assets!$B$4,Countries!$A$2:$A$5,0)),MAX(INDEX(Countries!$E$2:$E$5,MATCH(Assets!$B$4,Countries!$A$2:$A$5,0)),INDEX(Countries!$D$2:$D$5,MATCH(Assets!$B$4,Countries!$A$2:$A$5,0)))))^(K$3-1)*MAX(0,MIN(1,YEARFRAC(K$4,MIN(Assets!$E$4,EDATE(K$4,12)),1)*(Assets!$E$4&gt;K$4)))+Assets!$F$4*(1+MIN(INDEX(Countries!$F$2:$F$5,MATCH(Assets!$B$4,Countries!$A$2:$A$5,0)),MAX(INDEX(Countries!$E$2:$E$5,MATCH(Assets!$B$4,Countries!$A$2:$A$5,0)),INDEX(Countries!$D$2:$D$5,MATCH(Assets!$B$4,Countries!$A$2:$A$5,0)))))^(K$3-1)*IF(Assets!$E$4&lt;EDATE(K$4,12),(Inputs!$B$13*MAX(0,MIN(12,DATEDIF(MAX(Assets!$E$4,K$4),EDATE(K$4,12),"m")))+(1-Inputs!$B$13)*MAX(0,MAX(0,MIN(12,DATEDIF(MAX(Assets!$E$4,K$4),EDATE(K$4,12),"m")))-MAX(0,Inputs!$B$12-IF(Assets!$E$4&lt;K$4,DATEDIF(Assets!$E$4,K$4,"m"),0))))/12,0))*INDEX(Countries!$C$2:$C$5,MATCH(Assets!$B$4,Countries!$A$2:$A$5,0)),0)</f>
        <v>0</v>
      </c>
      <c r="L9" s="0" t="n">
        <f aca="false">IF(AND(L$3&gt;=1,L$3&lt;=Inputs!$B$11,OR(Assets!$G$4="",L$4&lt;Assets!$G$4)),Assets!$C$4*(Assets!$D$4*(1+MIN(INDEX(Countries!$F$2:$F$5,MATCH(Assets!$B$4,Countries!$A$2:$A$5,0)),MAX(INDEX(Countries!$E$2:$E$5,MATCH(Assets!$B$4,Countries!$A$2:$A$5,0)),INDEX(Countries!$D$2:$D$5,MATCH(Assets!$B$4,Countries!$A$2:$A$5,0)))))^(L$3-1)*MAX(0,MIN(1,YEARFRAC(L$4,MIN(Assets!$E$4,EDATE(L$4,12)),1)*(Assets!$E$4&gt;L$4)))+Assets!$F$4*(1+MIN(INDEX(Countries!$F$2:$F$5,MATCH(Assets!$B$4,Countries!$A$2:$A$5,0)),MAX(INDEX(Countries!$E$2:$E$5,MATCH(Assets!$B$4,Countries!$A$2:$A$5,0)),INDEX(Countries!$D$2:$D$5,MATCH(Assets!$B$4,Countries!$A$2:$A$5,0)))))^(L$3-1)*IF(Assets!$E$4&lt;EDATE(L$4,12),(Inputs!$B$13*MAX(0,MIN(12,DATEDIF(MAX(Assets!$E$4,L$4),EDATE(L$4,12),"m")))+(1-Inputs!$B$13)*MAX(0,MAX(0,MIN(12,DATEDIF(MAX(Assets!$E$4,L$4),EDATE(L$4,12),"m")))-MAX(0,Inputs!$B$12-IF(Assets!$E$4&lt;L$4,DATEDIF(Assets!$E$4,L$4,"m"),0))))/12,0))*INDEX(Countries!$C$2:$C$5,MATCH(Assets!$B$4,Countries!$A$2:$A$5,0)),0)</f>
        <v>0</v>
      </c>
    </row>
    <row r="10" customFormat="false" ht="15" hidden="false" customHeight="false" outlineLevel="0" collapsed="false">
      <c r="A10" s="0" t="s">
        <v>49</v>
      </c>
      <c r="B10" s="0" t="n">
        <f aca="false">IF(AND(Assets!$G$4&lt;&gt;"",Assets!$G$4&gt;=B$4,Assets!$G$4&lt;EDATE(B$4,12)),Assets!$C$4*Assets!$F$4*(1+MIN(INDEX(Countries!$F$2:$F$5,MATCH(Assets!$B$4,Countries!$A$2:$A$5,0)),MAX(INDEX(Countries!$E$2:$E$5,MATCH(Assets!$B$4,Countries!$A$2:$A$5,0)),INDEX(Countries!$D$2:$D$5,MATCH(Assets!$B$4,Countries!$A$2:$A$5,0)))))^(B$3-1)*INDEX(Countries!$C$2:$C$5,MATCH(Assets!$B$4,Countries!$A$2:$A$5,0))/Assets!$H$4,0)</f>
        <v>0</v>
      </c>
      <c r="C10" s="0" t="n">
        <f aca="false">IF(AND(Assets!$G$4&lt;&gt;"",Assets!$G$4&gt;=C$4,Assets!$G$4&lt;EDATE(C$4,12)),Assets!$C$4*Assets!$F$4*(1+MIN(INDEX(Countries!$F$2:$F$5,MATCH(Assets!$B$4,Countries!$A$2:$A$5,0)),MAX(INDEX(Countries!$E$2:$E$5,MATCH(Assets!$B$4,Countries!$A$2:$A$5,0)),INDEX(Countries!$D$2:$D$5,MATCH(Assets!$B$4,Countries!$A$2:$A$5,0)))))^(C$3-1)*INDEX(Countries!$C$2:$C$5,MATCH(Assets!$B$4,Countries!$A$2:$A$5,0))/Assets!$H$4,0)</f>
        <v>0</v>
      </c>
      <c r="D10" s="0" t="n">
        <f aca="false">IF(AND(Assets!$G$4&lt;&gt;"",Assets!$G$4&gt;=D$4,Assets!$G$4&lt;EDATE(D$4,12)),Assets!$C$4*Assets!$F$4*(1+MIN(INDEX(Countries!$F$2:$F$5,MATCH(Assets!$B$4,Countries!$A$2:$A$5,0)),MAX(INDEX(Countries!$E$2:$E$5,MATCH(Assets!$B$4,Countries!$A$2:$A$5,0)),INDEX(Countries!$D$2:$D$5,MATCH(Assets!$B$4,Countries!$A$2:$A$5,0)))))^(D$3-1)*INDEX(Countries!$C$2:$C$5,MATCH(Assets!$B$4,Countries!$A$2:$A$5,0))/Assets!$H$4,0)</f>
        <v>0</v>
      </c>
      <c r="E10" s="0" t="n">
        <f aca="false">IF(AND(Assets!$G$4&lt;&gt;"",Assets!$G$4&gt;=E$4,Assets!$G$4&lt;EDATE(E$4,12)),Assets!$C$4*Assets!$F$4*(1+MIN(INDEX(Countries!$F$2:$F$5,MATCH(Assets!$B$4,Countries!$A$2:$A$5,0)),MAX(INDEX(Countries!$E$2:$E$5,MATCH(Assets!$B$4,Countries!$A$2:$A$5,0)),INDEX(Countries!$D$2:$D$5,MATCH(Assets!$B$4,Countries!$A$2:$A$5,0)))))^(E$3-1)*INDEX(Countries!$C$2:$C$5,MATCH(Assets!$B$4,Countries!$A$2:$A$5,0))/Assets!$H$4,0)</f>
        <v>0</v>
      </c>
      <c r="F10" s="0" t="n">
        <f aca="false">IF(AND(Assets!$G$4&lt;&gt;"",Assets!$G$4&gt;=F$4,Assets!$G$4&lt;EDATE(F$4,12)),Assets!$C$4*Assets!$F$4*(1+MIN(INDEX(Countries!$F$2:$F$5,MATCH(Assets!$B$4,Countries!$A$2:$A$5,0)),MAX(INDEX(Countries!$E$2:$E$5,MATCH(Assets!$B$4,Countries!$A$2:$A$5,0)),INDEX(Countries!$D$2:$D$5,MATCH(Assets!$B$4,Countries!$A$2:$A$5,0)))))^(F$3-1)*INDEX(Countries!$C$2:$C$5,MATCH(Assets!$B$4,Countries!$A$2:$A$5,0))/Assets!$H$4,0)</f>
        <v>0</v>
      </c>
      <c r="G10" s="0" t="n">
        <f aca="false">IF(AND(Assets!$G$4&lt;&gt;"",Assets!$G$4&gt;=G$4,Assets!$G$4&lt;EDATE(G$4,12)),Assets!$C$4*Assets!$F$4*(1+MIN(INDEX(Countries!$F$2:$F$5,MATCH(Assets!$B$4,Countries!$A$2:$A$5,0)),MAX(INDEX(Countries!$E$2:$E$5,MATCH(Assets!$B$4,Countries!$A$2:$A$5,0)),INDEX(Countries!$D$2:$D$5,MATCH(Assets!$B$4,Countries!$A$2:$A$5,0)))))^(G$3-1)*INDEX(Countries!$C$2:$C$5,MATCH(Assets!$B$4,Countries!$A$2:$A$5,0))/Assets!$H$4,0)</f>
        <v>0</v>
      </c>
      <c r="H10" s="0" t="n">
        <f aca="false">IF(AND(Assets!$G$4&lt;&gt;"",Assets!$G$4&gt;=H$4,Assets!$G$4&lt;EDATE(H$4,12)),Assets!$C$4*Assets!$F$4*(1+MIN(INDEX(Countries!$F$2:$F$5,MATCH(Assets!$B$4,Countries!$A$2:$A$5,0)),MAX(INDEX(Countries!$E$2:$E$5,MATCH(Assets!$B$4,Countries!$A$2:$A$5,0)),INDEX(Countries!$D$2:$D$5,MATCH(Assets!$B$4,Countries!$A$2:$A$5,0)))))^(H$3-1)*INDEX(Countries!$C$2:$C$5,MATCH(Assets!$B$4,Countries!$A$2:$A$5,0))/Assets!$H$4,0)</f>
        <v>0</v>
      </c>
      <c r="I10" s="0" t="n">
        <f aca="false">IF(AND(Assets!$G$4&lt;&gt;"",Assets!$G$4&gt;=I$4,Assets!$G$4&lt;EDATE(I$4,12)),Assets!$C$4*Assets!$F$4*(1+MIN(INDEX(Countries!$F$2:$F$5,MATCH(Assets!$B$4,Countries!$A$2:$A$5,0)),MAX(INDEX(Countries!$E$2:$E$5,MATCH(Assets!$B$4,Countries!$A$2:$A$5,0)),INDEX(Countries!$D$2:$D$5,MATCH(Assets!$B$4,Countries!$A$2:$A$5,0)))))^(I$3-1)*INDEX(Countries!$C$2:$C$5,MATCH(Assets!$B$4,Countries!$A$2:$A$5,0))/Assets!$H$4,0)</f>
        <v>0</v>
      </c>
      <c r="J10" s="0" t="n">
        <f aca="false">IF(AND(Assets!$G$4&lt;&gt;"",Assets!$G$4&gt;=J$4,Assets!$G$4&lt;EDATE(J$4,12)),Assets!$C$4*Assets!$F$4*(1+MIN(INDEX(Countries!$F$2:$F$5,MATCH(Assets!$B$4,Countries!$A$2:$A$5,0)),MAX(INDEX(Countries!$E$2:$E$5,MATCH(Assets!$B$4,Countries!$A$2:$A$5,0)),INDEX(Countries!$D$2:$D$5,MATCH(Assets!$B$4,Countries!$A$2:$A$5,0)))))^(J$3-1)*INDEX(Countries!$C$2:$C$5,MATCH(Assets!$B$4,Countries!$A$2:$A$5,0))/Assets!$H$4,0)</f>
        <v>0</v>
      </c>
      <c r="K10" s="0" t="n">
        <f aca="false">IF(AND(Assets!$G$4&lt;&gt;"",Assets!$G$4&gt;=K$4,Assets!$G$4&lt;EDATE(K$4,12)),Assets!$C$4*Assets!$F$4*(1+MIN(INDEX(Countries!$F$2:$F$5,MATCH(Assets!$B$4,Countries!$A$2:$A$5,0)),MAX(INDEX(Countries!$E$2:$E$5,MATCH(Assets!$B$4,Countries!$A$2:$A$5,0)),INDEX(Countries!$D$2:$D$5,MATCH(Assets!$B$4,Countries!$A$2:$A$5,0)))))^(K$3-1)*INDEX(Countries!$C$2:$C$5,MATCH(Assets!$B$4,Countries!$A$2:$A$5,0))/Assets!$H$4,0)</f>
        <v>0</v>
      </c>
      <c r="L10" s="0" t="n">
        <f aca="false">IF(AND(Assets!$G$4&lt;&gt;"",Assets!$G$4&gt;=L$4,Assets!$G$4&lt;EDATE(L$4,12)),Assets!$C$4*Assets!$F$4*(1+MIN(INDEX(Countries!$F$2:$F$5,MATCH(Assets!$B$4,Countries!$A$2:$A$5,0)),MAX(INDEX(Countries!$E$2:$E$5,MATCH(Assets!$B$4,Countries!$A$2:$A$5,0)),INDEX(Countries!$D$2:$D$5,MATCH(Assets!$B$4,Countries!$A$2:$A$5,0)))))^(L$3-1)*INDEX(Countries!$C$2:$C$5,MATCH(Assets!$B$4,Countries!$A$2:$A$5,0))/Assets!$H$4,0)</f>
        <v>0</v>
      </c>
    </row>
    <row r="11" customFormat="false" ht="15" hidden="false" customHeight="false" outlineLevel="0" collapsed="false">
      <c r="A11" s="0" t="s">
        <v>50</v>
      </c>
      <c r="B11" s="0" t="n">
        <f aca="false">IF(AND(B$3&gt;=1,B$3&lt;=Inputs!$B$11,OR(Assets!$G$5="",B$4&lt;Assets!$G$5)),Assets!$C$5*(Assets!$D$5*(1+MIN(INDEX(Countries!$F$2:$F$5,MATCH(Assets!$B$5,Countries!$A$2:$A$5,0)),MAX(INDEX(Countries!$E$2:$E$5,MATCH(Assets!$B$5,Countries!$A$2:$A$5,0)),INDEX(Countries!$D$2:$D$5,MATCH(Assets!$B$5,Countries!$A$2:$A$5,0)))))^(B$3-1)*MAX(0,MIN(1,YEARFRAC(B$4,MIN(Assets!$E$5,EDATE(B$4,12)),1)*(Assets!$E$5&gt;B$4)))+Assets!$F$5*(1+MIN(INDEX(Countries!$F$2:$F$5,MATCH(Assets!$B$5,Countries!$A$2:$A$5,0)),MAX(INDEX(Countries!$E$2:$E$5,MATCH(Assets!$B$5,Countries!$A$2:$A$5,0)),INDEX(Countries!$D$2:$D$5,MATCH(Assets!$B$5,Countries!$A$2:$A$5,0)))))^(B$3-1)*IF(Assets!$E$5&lt;EDATE(B$4,12),(Inputs!$B$13*MAX(0,MIN(12,DATEDIF(MAX(Assets!$E$5,B$4),EDATE(B$4,12),"m")))+(1-Inputs!$B$13)*MAX(0,MAX(0,MIN(12,DATEDIF(MAX(Assets!$E$5,B$4),EDATE(B$4,12),"m")))-MAX(0,Inputs!$B$12-IF(Assets!$E$5&lt;B$4,DATEDIF(Assets!$E$5,B$4,"m"),0))))/12,0))*INDEX(Countries!$C$2:$C$5,MATCH(Assets!$B$5,Countries!$A$2:$A$5,0)),0)</f>
        <v>0</v>
      </c>
      <c r="C11" s="0" t="n">
        <f aca="false">IF(AND(C$3&gt;=1,C$3&lt;=Inputs!$B$11,OR(Assets!$G$5="",C$4&lt;Assets!$G$5)),Assets!$C$5*(Assets!$D$5*(1+MIN(INDEX(Countries!$F$2:$F$5,MATCH(Assets!$B$5,Countries!$A$2:$A$5,0)),MAX(INDEX(Countries!$E$2:$E$5,MATCH(Assets!$B$5,Countries!$A$2:$A$5,0)),INDEX(Countries!$D$2:$D$5,MATCH(Assets!$B$5,Countries!$A$2:$A$5,0)))))^(C$3-1)*MAX(0,MIN(1,YEARFRAC(C$4,MIN(Assets!$E$5,EDATE(C$4,12)),1)*(Assets!$E$5&gt;C$4)))+Assets!$F$5*(1+MIN(INDEX(Countries!$F$2:$F$5,MATCH(Assets!$B$5,Countries!$A$2:$A$5,0)),MAX(INDEX(Countries!$E$2:$E$5,MATCH(Assets!$B$5,Countries!$A$2:$A$5,0)),INDEX(Countries!$D$2:$D$5,MATCH(Assets!$B$5,Countries!$A$2:$A$5,0)))))^(C$3-1)*IF(Assets!$E$5&lt;EDATE(C$4,12),(Inputs!$B$13*MAX(0,MIN(12,DATEDIF(MAX(Assets!$E$5,C$4),EDATE(C$4,12),"m")))+(1-Inputs!$B$13)*MAX(0,MAX(0,MIN(12,DATEDIF(MAX(Assets!$E$5,C$4),EDATE(C$4,12),"m")))-MAX(0,Inputs!$B$12-IF(Assets!$E$5&lt;C$4,DATEDIF(Assets!$E$5,C$4,"m"),0))))/12,0))*INDEX(Countries!$C$2:$C$5,MATCH(Assets!$B$5,Countries!$A$2:$A$5,0)),0)</f>
        <v>3047427.94520548</v>
      </c>
      <c r="D11" s="0" t="n">
        <f aca="false">IF(AND(D$3&gt;=1,D$3&lt;=Inputs!$B$11,OR(Assets!$G$5="",D$4&lt;Assets!$G$5)),Assets!$C$5*(Assets!$D$5*(1+MIN(INDEX(Countries!$F$2:$F$5,MATCH(Assets!$B$5,Countries!$A$2:$A$5,0)),MAX(INDEX(Countries!$E$2:$E$5,MATCH(Assets!$B$5,Countries!$A$2:$A$5,0)),INDEX(Countries!$D$2:$D$5,MATCH(Assets!$B$5,Countries!$A$2:$A$5,0)))))^(D$3-1)*MAX(0,MIN(1,YEARFRAC(D$4,MIN(Assets!$E$5,EDATE(D$4,12)),1)*(Assets!$E$5&gt;D$4)))+Assets!$F$5*(1+MIN(INDEX(Countries!$F$2:$F$5,MATCH(Assets!$B$5,Countries!$A$2:$A$5,0)),MAX(INDEX(Countries!$E$2:$E$5,MATCH(Assets!$B$5,Countries!$A$2:$A$5,0)),INDEX(Countries!$D$2:$D$5,MATCH(Assets!$B$5,Countries!$A$2:$A$5,0)))))^(D$3-1)*IF(Assets!$E$5&lt;EDATE(D$4,12),(Inputs!$B$13*MAX(0,MIN(12,DATEDIF(MAX(Assets!$E$5,D$4),EDATE(D$4,12),"m")))+(1-Inputs!$B$13)*MAX(0,MAX(0,MIN(12,DATEDIF(MAX(Assets!$E$5,D$4),EDATE(D$4,12),"m")))-MAX(0,Inputs!$B$12-IF(Assets!$E$5&lt;D$4,DATEDIF(Assets!$E$5,D$4,"m"),0))))/12,0))*INDEX(Countries!$C$2:$C$5,MATCH(Assets!$B$5,Countries!$A$2:$A$5,0)),0)</f>
        <v>2456353.9</v>
      </c>
      <c r="E11" s="0" t="n">
        <f aca="false">IF(AND(E$3&gt;=1,E$3&lt;=Inputs!$B$11,OR(Assets!$G$5="",E$4&lt;Assets!$G$5)),Assets!$C$5*(Assets!$D$5*(1+MIN(INDEX(Countries!$F$2:$F$5,MATCH(Assets!$B$5,Countries!$A$2:$A$5,0)),MAX(INDEX(Countries!$E$2:$E$5,MATCH(Assets!$B$5,Countries!$A$2:$A$5,0)),INDEX(Countries!$D$2:$D$5,MATCH(Assets!$B$5,Countries!$A$2:$A$5,0)))))^(E$3-1)*MAX(0,MIN(1,YEARFRAC(E$4,MIN(Assets!$E$5,EDATE(E$4,12)),1)*(Assets!$E$5&gt;E$4)))+Assets!$F$5*(1+MIN(INDEX(Countries!$F$2:$F$5,MATCH(Assets!$B$5,Countries!$A$2:$A$5,0)),MAX(INDEX(Countries!$E$2:$E$5,MATCH(Assets!$B$5,Countries!$A$2:$A$5,0)),INDEX(Countries!$D$2:$D$5,MATCH(Assets!$B$5,Countries!$A$2:$A$5,0)))))^(E$3-1)*IF(Assets!$E$5&lt;EDATE(E$4,12),(Inputs!$B$13*MAX(0,MIN(12,DATEDIF(MAX(Assets!$E$5,E$4),EDATE(E$4,12),"m")))+(1-Inputs!$B$13)*MAX(0,MAX(0,MIN(12,DATEDIF(MAX(Assets!$E$5,E$4),EDATE(E$4,12),"m")))-MAX(0,Inputs!$B$12-IF(Assets!$E$5&lt;E$4,DATEDIF(Assets!$E$5,E$4,"m"),0))))/12,0))*INDEX(Countries!$C$2:$C$5,MATCH(Assets!$B$5,Countries!$A$2:$A$5,0)),0)</f>
        <v>3649440.08</v>
      </c>
      <c r="F11" s="0" t="n">
        <f aca="false">IF(AND(F$3&gt;=1,F$3&lt;=Inputs!$B$11,OR(Assets!$G$5="",F$4&lt;Assets!$G$5)),Assets!$C$5*(Assets!$D$5*(1+MIN(INDEX(Countries!$F$2:$F$5,MATCH(Assets!$B$5,Countries!$A$2:$A$5,0)),MAX(INDEX(Countries!$E$2:$E$5,MATCH(Assets!$B$5,Countries!$A$2:$A$5,0)),INDEX(Countries!$D$2:$D$5,MATCH(Assets!$B$5,Countries!$A$2:$A$5,0)))))^(F$3-1)*MAX(0,MIN(1,YEARFRAC(F$4,MIN(Assets!$E$5,EDATE(F$4,12)),1)*(Assets!$E$5&gt;F$4)))+Assets!$F$5*(1+MIN(INDEX(Countries!$F$2:$F$5,MATCH(Assets!$B$5,Countries!$A$2:$A$5,0)),MAX(INDEX(Countries!$E$2:$E$5,MATCH(Assets!$B$5,Countries!$A$2:$A$5,0)),INDEX(Countries!$D$2:$D$5,MATCH(Assets!$B$5,Countries!$A$2:$A$5,0)))))^(F$3-1)*IF(Assets!$E$5&lt;EDATE(F$4,12),(Inputs!$B$13*MAX(0,MIN(12,DATEDIF(MAX(Assets!$E$5,F$4),EDATE(F$4,12),"m")))+(1-Inputs!$B$13)*MAX(0,MAX(0,MIN(12,DATEDIF(MAX(Assets!$E$5,F$4),EDATE(F$4,12),"m")))-MAX(0,Inputs!$B$12-IF(Assets!$E$5&lt;F$4,DATEDIF(Assets!$E$5,F$4,"m"),0))))/12,0))*INDEX(Countries!$C$2:$C$5,MATCH(Assets!$B$5,Countries!$A$2:$A$5,0)),0)</f>
        <v>3795417.6832</v>
      </c>
      <c r="G11" s="0" t="n">
        <f aca="false">IF(AND(G$3&gt;=1,G$3&lt;=Inputs!$B$11,OR(Assets!$G$5="",G$4&lt;Assets!$G$5)),Assets!$C$5*(Assets!$D$5*(1+MIN(INDEX(Countries!$F$2:$F$5,MATCH(Assets!$B$5,Countries!$A$2:$A$5,0)),MAX(INDEX(Countries!$E$2:$E$5,MATCH(Assets!$B$5,Countries!$A$2:$A$5,0)),INDEX(Countries!$D$2:$D$5,MATCH(Assets!$B$5,Countries!$A$2:$A$5,0)))))^(G$3-1)*MAX(0,MIN(1,YEARFRAC(G$4,MIN(Assets!$E$5,EDATE(G$4,12)),1)*(Assets!$E$5&gt;G$4)))+Assets!$F$5*(1+MIN(INDEX(Countries!$F$2:$F$5,MATCH(Assets!$B$5,Countries!$A$2:$A$5,0)),MAX(INDEX(Countries!$E$2:$E$5,MATCH(Assets!$B$5,Countries!$A$2:$A$5,0)),INDEX(Countries!$D$2:$D$5,MATCH(Assets!$B$5,Countries!$A$2:$A$5,0)))))^(G$3-1)*IF(Assets!$E$5&lt;EDATE(G$4,12),(Inputs!$B$13*MAX(0,MIN(12,DATEDIF(MAX(Assets!$E$5,G$4),EDATE(G$4,12),"m")))+(1-Inputs!$B$13)*MAX(0,MAX(0,MIN(12,DATEDIF(MAX(Assets!$E$5,G$4),EDATE(G$4,12),"m")))-MAX(0,Inputs!$B$12-IF(Assets!$E$5&lt;G$4,DATEDIF(Assets!$E$5,G$4,"m"),0))))/12,0))*INDEX(Countries!$C$2:$C$5,MATCH(Assets!$B$5,Countries!$A$2:$A$5,0)),0)</f>
        <v>3947234.390528</v>
      </c>
      <c r="H11" s="0" t="n">
        <f aca="false">IF(AND(H$3&gt;=1,H$3&lt;=Inputs!$B$11,OR(Assets!$G$5="",H$4&lt;Assets!$G$5)),Assets!$C$5*(Assets!$D$5*(1+MIN(INDEX(Countries!$F$2:$F$5,MATCH(Assets!$B$5,Countries!$A$2:$A$5,0)),MAX(INDEX(Countries!$E$2:$E$5,MATCH(Assets!$B$5,Countries!$A$2:$A$5,0)),INDEX(Countries!$D$2:$D$5,MATCH(Assets!$B$5,Countries!$A$2:$A$5,0)))))^(H$3-1)*MAX(0,MIN(1,YEARFRAC(H$4,MIN(Assets!$E$5,EDATE(H$4,12)),1)*(Assets!$E$5&gt;H$4)))+Assets!$F$5*(1+MIN(INDEX(Countries!$F$2:$F$5,MATCH(Assets!$B$5,Countries!$A$2:$A$5,0)),MAX(INDEX(Countries!$E$2:$E$5,MATCH(Assets!$B$5,Countries!$A$2:$A$5,0)),INDEX(Countries!$D$2:$D$5,MATCH(Assets!$B$5,Countries!$A$2:$A$5,0)))))^(H$3-1)*IF(Assets!$E$5&lt;EDATE(H$4,12),(Inputs!$B$13*MAX(0,MIN(12,DATEDIF(MAX(Assets!$E$5,H$4),EDATE(H$4,12),"m")))+(1-Inputs!$B$13)*MAX(0,MAX(0,MIN(12,DATEDIF(MAX(Assets!$E$5,H$4),EDATE(H$4,12),"m")))-MAX(0,Inputs!$B$12-IF(Assets!$E$5&lt;H$4,DATEDIF(Assets!$E$5,H$4,"m"),0))))/12,0))*INDEX(Countries!$C$2:$C$5,MATCH(Assets!$B$5,Countries!$A$2:$A$5,0)),0)</f>
        <v>4105123.76614912</v>
      </c>
      <c r="I11" s="0" t="n">
        <f aca="false">IF(AND(I$3&gt;=1,I$3&lt;=Inputs!$B$11,OR(Assets!$G$5="",I$4&lt;Assets!$G$5)),Assets!$C$5*(Assets!$D$5*(1+MIN(INDEX(Countries!$F$2:$F$5,MATCH(Assets!$B$5,Countries!$A$2:$A$5,0)),MAX(INDEX(Countries!$E$2:$E$5,MATCH(Assets!$B$5,Countries!$A$2:$A$5,0)),INDEX(Countries!$D$2:$D$5,MATCH(Assets!$B$5,Countries!$A$2:$A$5,0)))))^(I$3-1)*MAX(0,MIN(1,YEARFRAC(I$4,MIN(Assets!$E$5,EDATE(I$4,12)),1)*(Assets!$E$5&gt;I$4)))+Assets!$F$5*(1+MIN(INDEX(Countries!$F$2:$F$5,MATCH(Assets!$B$5,Countries!$A$2:$A$5,0)),MAX(INDEX(Countries!$E$2:$E$5,MATCH(Assets!$B$5,Countries!$A$2:$A$5,0)),INDEX(Countries!$D$2:$D$5,MATCH(Assets!$B$5,Countries!$A$2:$A$5,0)))))^(I$3-1)*IF(Assets!$E$5&lt;EDATE(I$4,12),(Inputs!$B$13*MAX(0,MIN(12,DATEDIF(MAX(Assets!$E$5,I$4),EDATE(I$4,12),"m")))+(1-Inputs!$B$13)*MAX(0,MAX(0,MIN(12,DATEDIF(MAX(Assets!$E$5,I$4),EDATE(I$4,12),"m")))-MAX(0,Inputs!$B$12-IF(Assets!$E$5&lt;I$4,DATEDIF(Assets!$E$5,I$4,"m"),0))))/12,0))*INDEX(Countries!$C$2:$C$5,MATCH(Assets!$B$5,Countries!$A$2:$A$5,0)),0)</f>
        <v>4269328.71679509</v>
      </c>
      <c r="J11" s="0" t="n">
        <f aca="false">IF(AND(J$3&gt;=1,J$3&lt;=Inputs!$B$11,OR(Assets!$G$5="",J$4&lt;Assets!$G$5)),Assets!$C$5*(Assets!$D$5*(1+MIN(INDEX(Countries!$F$2:$F$5,MATCH(Assets!$B$5,Countries!$A$2:$A$5,0)),MAX(INDEX(Countries!$E$2:$E$5,MATCH(Assets!$B$5,Countries!$A$2:$A$5,0)),INDEX(Countries!$D$2:$D$5,MATCH(Assets!$B$5,Countries!$A$2:$A$5,0)))))^(J$3-1)*MAX(0,MIN(1,YEARFRAC(J$4,MIN(Assets!$E$5,EDATE(J$4,12)),1)*(Assets!$E$5&gt;J$4)))+Assets!$F$5*(1+MIN(INDEX(Countries!$F$2:$F$5,MATCH(Assets!$B$5,Countries!$A$2:$A$5,0)),MAX(INDEX(Countries!$E$2:$E$5,MATCH(Assets!$B$5,Countries!$A$2:$A$5,0)),INDEX(Countries!$D$2:$D$5,MATCH(Assets!$B$5,Countries!$A$2:$A$5,0)))))^(J$3-1)*IF(Assets!$E$5&lt;EDATE(J$4,12),(Inputs!$B$13*MAX(0,MIN(12,DATEDIF(MAX(Assets!$E$5,J$4),EDATE(J$4,12),"m")))+(1-Inputs!$B$13)*MAX(0,MAX(0,MIN(12,DATEDIF(MAX(Assets!$E$5,J$4),EDATE(J$4,12),"m")))-MAX(0,Inputs!$B$12-IF(Assets!$E$5&lt;J$4,DATEDIF(Assets!$E$5,J$4,"m"),0))))/12,0))*INDEX(Countries!$C$2:$C$5,MATCH(Assets!$B$5,Countries!$A$2:$A$5,0)),0)</f>
        <v>0</v>
      </c>
      <c r="K11" s="0" t="n">
        <f aca="false">IF(AND(K$3&gt;=1,K$3&lt;=Inputs!$B$11,OR(Assets!$G$5="",K$4&lt;Assets!$G$5)),Assets!$C$5*(Assets!$D$5*(1+MIN(INDEX(Countries!$F$2:$F$5,MATCH(Assets!$B$5,Countries!$A$2:$A$5,0)),MAX(INDEX(Countries!$E$2:$E$5,MATCH(Assets!$B$5,Countries!$A$2:$A$5,0)),INDEX(Countries!$D$2:$D$5,MATCH(Assets!$B$5,Countries!$A$2:$A$5,0)))))^(K$3-1)*MAX(0,MIN(1,YEARFRAC(K$4,MIN(Assets!$E$5,EDATE(K$4,12)),1)*(Assets!$E$5&gt;K$4)))+Assets!$F$5*(1+MIN(INDEX(Countries!$F$2:$F$5,MATCH(Assets!$B$5,Countries!$A$2:$A$5,0)),MAX(INDEX(Countries!$E$2:$E$5,MATCH(Assets!$B$5,Countries!$A$2:$A$5,0)),INDEX(Countries!$D$2:$D$5,MATCH(Assets!$B$5,Countries!$A$2:$A$5,0)))))^(K$3-1)*IF(Assets!$E$5&lt;EDATE(K$4,12),(Inputs!$B$13*MAX(0,MIN(12,DATEDIF(MAX(Assets!$E$5,K$4),EDATE(K$4,12),"m")))+(1-Inputs!$B$13)*MAX(0,MAX(0,MIN(12,DATEDIF(MAX(Assets!$E$5,K$4),EDATE(K$4,12),"m")))-MAX(0,Inputs!$B$12-IF(Assets!$E$5&lt;K$4,DATEDIF(Assets!$E$5,K$4,"m"),0))))/12,0))*INDEX(Countries!$C$2:$C$5,MATCH(Assets!$B$5,Countries!$A$2:$A$5,0)),0)</f>
        <v>0</v>
      </c>
      <c r="L11" s="0" t="n">
        <f aca="false">IF(AND(L$3&gt;=1,L$3&lt;=Inputs!$B$11,OR(Assets!$G$5="",L$4&lt;Assets!$G$5)),Assets!$C$5*(Assets!$D$5*(1+MIN(INDEX(Countries!$F$2:$F$5,MATCH(Assets!$B$5,Countries!$A$2:$A$5,0)),MAX(INDEX(Countries!$E$2:$E$5,MATCH(Assets!$B$5,Countries!$A$2:$A$5,0)),INDEX(Countries!$D$2:$D$5,MATCH(Assets!$B$5,Countries!$A$2:$A$5,0)))))^(L$3-1)*MAX(0,MIN(1,YEARFRAC(L$4,MIN(Assets!$E$5,EDATE(L$4,12)),1)*(Assets!$E$5&gt;L$4)))+Assets!$F$5*(1+MIN(INDEX(Countries!$F$2:$F$5,MATCH(Assets!$B$5,Countries!$A$2:$A$5,0)),MAX(INDEX(Countries!$E$2:$E$5,MATCH(Assets!$B$5,Countries!$A$2:$A$5,0)),INDEX(Countries!$D$2:$D$5,MATCH(Assets!$B$5,Countries!$A$2:$A$5,0)))))^(L$3-1)*IF(Assets!$E$5&lt;EDATE(L$4,12),(Inputs!$B$13*MAX(0,MIN(12,DATEDIF(MAX(Assets!$E$5,L$4),EDATE(L$4,12),"m")))+(1-Inputs!$B$13)*MAX(0,MAX(0,MIN(12,DATEDIF(MAX(Assets!$E$5,L$4),EDATE(L$4,12),"m")))-MAX(0,Inputs!$B$12-IF(Assets!$E$5&lt;L$4,DATEDIF(Assets!$E$5,L$4,"m"),0))))/12,0))*INDEX(Countries!$C$2:$C$5,MATCH(Assets!$B$5,Countries!$A$2:$A$5,0)),0)</f>
        <v>0</v>
      </c>
    </row>
    <row r="12" customFormat="false" ht="15" hidden="false" customHeight="false" outlineLevel="0" collapsed="false">
      <c r="A12" s="0" t="s">
        <v>51</v>
      </c>
      <c r="B12" s="0" t="n">
        <f aca="false">IF(AND(Assets!$G$5&lt;&gt;"",Assets!$G$5&gt;=B$4,Assets!$G$5&lt;EDATE(B$4,12)),Assets!$C$5*Assets!$F$5*(1+MIN(INDEX(Countries!$F$2:$F$5,MATCH(Assets!$B$5,Countries!$A$2:$A$5,0)),MAX(INDEX(Countries!$E$2:$E$5,MATCH(Assets!$B$5,Countries!$A$2:$A$5,0)),INDEX(Countries!$D$2:$D$5,MATCH(Assets!$B$5,Countries!$A$2:$A$5,0)))))^(B$3-1)*INDEX(Countries!$C$2:$C$5,MATCH(Assets!$B$5,Countries!$A$2:$A$5,0))/Assets!$H$5,0)</f>
        <v>0</v>
      </c>
      <c r="C12" s="0" t="n">
        <f aca="false">IF(AND(Assets!$G$5&lt;&gt;"",Assets!$G$5&gt;=C$4,Assets!$G$5&lt;EDATE(C$4,12)),Assets!$C$5*Assets!$F$5*(1+MIN(INDEX(Countries!$F$2:$F$5,MATCH(Assets!$B$5,Countries!$A$2:$A$5,0)),MAX(INDEX(Countries!$E$2:$E$5,MATCH(Assets!$B$5,Countries!$A$2:$A$5,0)),INDEX(Countries!$D$2:$D$5,MATCH(Assets!$B$5,Countries!$A$2:$A$5,0)))))^(C$3-1)*INDEX(Countries!$C$2:$C$5,MATCH(Assets!$B$5,Countries!$A$2:$A$5,0))/Assets!$H$5,0)</f>
        <v>0</v>
      </c>
      <c r="D12" s="0" t="n">
        <f aca="false">IF(AND(Assets!$G$5&lt;&gt;"",Assets!$G$5&gt;=D$4,Assets!$G$5&lt;EDATE(D$4,12)),Assets!$C$5*Assets!$F$5*(1+MIN(INDEX(Countries!$F$2:$F$5,MATCH(Assets!$B$5,Countries!$A$2:$A$5,0)),MAX(INDEX(Countries!$E$2:$E$5,MATCH(Assets!$B$5,Countries!$A$2:$A$5,0)),INDEX(Countries!$D$2:$D$5,MATCH(Assets!$B$5,Countries!$A$2:$A$5,0)))))^(D$3-1)*INDEX(Countries!$C$2:$C$5,MATCH(Assets!$B$5,Countries!$A$2:$A$5,0))/Assets!$H$5,0)</f>
        <v>0</v>
      </c>
      <c r="E12" s="0" t="n">
        <f aca="false">IF(AND(Assets!$G$5&lt;&gt;"",Assets!$G$5&gt;=E$4,Assets!$G$5&lt;EDATE(E$4,12)),Assets!$C$5*Assets!$F$5*(1+MIN(INDEX(Countries!$F$2:$F$5,MATCH(Assets!$B$5,Countries!$A$2:$A$5,0)),MAX(INDEX(Countries!$E$2:$E$5,MATCH(Assets!$B$5,Countries!$A$2:$A$5,0)),INDEX(Countries!$D$2:$D$5,MATCH(Assets!$B$5,Countries!$A$2:$A$5,0)))))^(E$3-1)*INDEX(Countries!$C$2:$C$5,MATCH(Assets!$B$5,Countries!$A$2:$A$5,0))/Assets!$H$5,0)</f>
        <v>0</v>
      </c>
      <c r="F12" s="0" t="n">
        <f aca="false">IF(AND(Assets!$G$5&lt;&gt;"",Assets!$G$5&gt;=F$4,Assets!$G$5&lt;EDATE(F$4,12)),Assets!$C$5*Assets!$F$5*(1+MIN(INDEX(Countries!$F$2:$F$5,MATCH(Assets!$B$5,Countries!$A$2:$A$5,0)),MAX(INDEX(Countries!$E$2:$E$5,MATCH(Assets!$B$5,Countries!$A$2:$A$5,0)),INDEX(Countries!$D$2:$D$5,MATCH(Assets!$B$5,Countries!$A$2:$A$5,0)))))^(F$3-1)*INDEX(Countries!$C$2:$C$5,MATCH(Assets!$B$5,Countries!$A$2:$A$5,0))/Assets!$H$5,0)</f>
        <v>0</v>
      </c>
      <c r="G12" s="0" t="n">
        <f aca="false">IF(AND(Assets!$G$5&lt;&gt;"",Assets!$G$5&gt;=G$4,Assets!$G$5&lt;EDATE(G$4,12)),Assets!$C$5*Assets!$F$5*(1+MIN(INDEX(Countries!$F$2:$F$5,MATCH(Assets!$B$5,Countries!$A$2:$A$5,0)),MAX(INDEX(Countries!$E$2:$E$5,MATCH(Assets!$B$5,Countries!$A$2:$A$5,0)),INDEX(Countries!$D$2:$D$5,MATCH(Assets!$B$5,Countries!$A$2:$A$5,0)))))^(G$3-1)*INDEX(Countries!$C$2:$C$5,MATCH(Assets!$B$5,Countries!$A$2:$A$5,0))/Assets!$H$5,0)</f>
        <v>0</v>
      </c>
      <c r="H12" s="0" t="n">
        <f aca="false">IF(AND(Assets!$G$5&lt;&gt;"",Assets!$G$5&gt;=H$4,Assets!$G$5&lt;EDATE(H$4,12)),Assets!$C$5*Assets!$F$5*(1+MIN(INDEX(Countries!$F$2:$F$5,MATCH(Assets!$B$5,Countries!$A$2:$A$5,0)),MAX(INDEX(Countries!$E$2:$E$5,MATCH(Assets!$B$5,Countries!$A$2:$A$5,0)),INDEX(Countries!$D$2:$D$5,MATCH(Assets!$B$5,Countries!$A$2:$A$5,0)))))^(H$3-1)*INDEX(Countries!$C$2:$C$5,MATCH(Assets!$B$5,Countries!$A$2:$A$5,0))/Assets!$H$5,0)</f>
        <v>0</v>
      </c>
      <c r="I12" s="0" t="n">
        <f aca="false">IF(AND(Assets!$G$5&lt;&gt;"",Assets!$G$5&gt;=I$4,Assets!$G$5&lt;EDATE(I$4,12)),Assets!$C$5*Assets!$F$5*(1+MIN(INDEX(Countries!$F$2:$F$5,MATCH(Assets!$B$5,Countries!$A$2:$A$5,0)),MAX(INDEX(Countries!$E$2:$E$5,MATCH(Assets!$B$5,Countries!$A$2:$A$5,0)),INDEX(Countries!$D$2:$D$5,MATCH(Assets!$B$5,Countries!$A$2:$A$5,0)))))^(I$3-1)*INDEX(Countries!$C$2:$C$5,MATCH(Assets!$B$5,Countries!$A$2:$A$5,0))/Assets!$H$5,0)</f>
        <v>0</v>
      </c>
      <c r="J12" s="0" t="n">
        <f aca="false">IF(AND(Assets!$G$5&lt;&gt;"",Assets!$G$5&gt;=J$4,Assets!$G$5&lt;EDATE(J$4,12)),Assets!$C$5*Assets!$F$5*(1+MIN(INDEX(Countries!$F$2:$F$5,MATCH(Assets!$B$5,Countries!$A$2:$A$5,0)),MAX(INDEX(Countries!$E$2:$E$5,MATCH(Assets!$B$5,Countries!$A$2:$A$5,0)),INDEX(Countries!$D$2:$D$5,MATCH(Assets!$B$5,Countries!$A$2:$A$5,0)))))^(J$3-1)*INDEX(Countries!$C$2:$C$5,MATCH(Assets!$B$5,Countries!$A$2:$A$5,0))/Assets!$H$5,0)</f>
        <v>0</v>
      </c>
      <c r="K12" s="0" t="n">
        <f aca="false">IF(AND(Assets!$G$5&lt;&gt;"",Assets!$G$5&gt;=K$4,Assets!$G$5&lt;EDATE(K$4,12)),Assets!$C$5*Assets!$F$5*(1+MIN(INDEX(Countries!$F$2:$F$5,MATCH(Assets!$B$5,Countries!$A$2:$A$5,0)),MAX(INDEX(Countries!$E$2:$E$5,MATCH(Assets!$B$5,Countries!$A$2:$A$5,0)),INDEX(Countries!$D$2:$D$5,MATCH(Assets!$B$5,Countries!$A$2:$A$5,0)))))^(K$3-1)*INDEX(Countries!$C$2:$C$5,MATCH(Assets!$B$5,Countries!$A$2:$A$5,0))/Assets!$H$5,0)</f>
        <v>0</v>
      </c>
      <c r="L12" s="0" t="n">
        <f aca="false">IF(AND(Assets!$G$5&lt;&gt;"",Assets!$G$5&gt;=L$4,Assets!$G$5&lt;EDATE(L$4,12)),Assets!$C$5*Assets!$F$5*(1+MIN(INDEX(Countries!$F$2:$F$5,MATCH(Assets!$B$5,Countries!$A$2:$A$5,0)),MAX(INDEX(Countries!$E$2:$E$5,MATCH(Assets!$B$5,Countries!$A$2:$A$5,0)),INDEX(Countries!$D$2:$D$5,MATCH(Assets!$B$5,Countries!$A$2:$A$5,0)))))^(L$3-1)*INDEX(Countries!$C$2:$C$5,MATCH(Assets!$B$5,Countries!$A$2:$A$5,0))/Assets!$H$5,0)</f>
        <v>0</v>
      </c>
    </row>
    <row r="13" customFormat="false" ht="15" hidden="false" customHeight="false" outlineLevel="0" collapsed="false">
      <c r="A13" s="0" t="s">
        <v>52</v>
      </c>
      <c r="B13" s="0" t="n">
        <f aca="false">IF(AND(B$3&gt;=1,B$3&lt;=Inputs!$B$11,OR(Assets!$G$6="",B$4&lt;Assets!$G$6)),Assets!$C$6*(Assets!$D$6*(1+MIN(INDEX(Countries!$F$2:$F$5,MATCH(Assets!$B$6,Countries!$A$2:$A$5,0)),MAX(INDEX(Countries!$E$2:$E$5,MATCH(Assets!$B$6,Countries!$A$2:$A$5,0)),INDEX(Countries!$D$2:$D$5,MATCH(Assets!$B$6,Countries!$A$2:$A$5,0)))))^(B$3-1)*MAX(0,MIN(1,YEARFRAC(B$4,MIN(Assets!$E$6,EDATE(B$4,12)),1)*(Assets!$E$6&gt;B$4)))+Assets!$F$6*(1+MIN(INDEX(Countries!$F$2:$F$5,MATCH(Assets!$B$6,Countries!$A$2:$A$5,0)),MAX(INDEX(Countries!$E$2:$E$5,MATCH(Assets!$B$6,Countries!$A$2:$A$5,0)),INDEX(Countries!$D$2:$D$5,MATCH(Assets!$B$6,Countries!$A$2:$A$5,0)))))^(B$3-1)*IF(Assets!$E$6&lt;EDATE(B$4,12),(Inputs!$B$13*MAX(0,MIN(12,DATEDIF(MAX(Assets!$E$6,B$4),EDATE(B$4,12),"m")))+(1-Inputs!$B$13)*MAX(0,MAX(0,MIN(12,DATEDIF(MAX(Assets!$E$6,B$4),EDATE(B$4,12),"m")))-MAX(0,Inputs!$B$12-IF(Assets!$E$6&lt;B$4,DATEDIF(Assets!$E$6,B$4,"m"),0))))/12,0))*INDEX(Countries!$C$2:$C$5,MATCH(Assets!$B$6,Countries!$A$2:$A$5,0)),0)</f>
        <v>0</v>
      </c>
      <c r="C13" s="0" t="n">
        <f aca="false">IF(AND(C$3&gt;=1,C$3&lt;=Inputs!$B$11,OR(Assets!$G$6="",C$4&lt;Assets!$G$6)),Assets!$C$6*(Assets!$D$6*(1+MIN(INDEX(Countries!$F$2:$F$5,MATCH(Assets!$B$6,Countries!$A$2:$A$5,0)),MAX(INDEX(Countries!$E$2:$E$5,MATCH(Assets!$B$6,Countries!$A$2:$A$5,0)),INDEX(Countries!$D$2:$D$5,MATCH(Assets!$B$6,Countries!$A$2:$A$5,0)))))^(C$3-1)*MAX(0,MIN(1,YEARFRAC(C$4,MIN(Assets!$E$6,EDATE(C$4,12)),1)*(Assets!$E$6&gt;C$4)))+Assets!$F$6*(1+MIN(INDEX(Countries!$F$2:$F$5,MATCH(Assets!$B$6,Countries!$A$2:$A$5,0)),MAX(INDEX(Countries!$E$2:$E$5,MATCH(Assets!$B$6,Countries!$A$2:$A$5,0)),INDEX(Countries!$D$2:$D$5,MATCH(Assets!$B$6,Countries!$A$2:$A$5,0)))))^(C$3-1)*IF(Assets!$E$6&lt;EDATE(C$4,12),(Inputs!$B$13*MAX(0,MIN(12,DATEDIF(MAX(Assets!$E$6,C$4),EDATE(C$4,12),"m")))+(1-Inputs!$B$13)*MAX(0,MAX(0,MIN(12,DATEDIF(MAX(Assets!$E$6,C$4),EDATE(C$4,12),"m")))-MAX(0,Inputs!$B$12-IF(Assets!$E$6&lt;C$4,DATEDIF(Assets!$E$6,C$4,"m"),0))))/12,0))*INDEX(Countries!$C$2:$C$5,MATCH(Assets!$B$6,Countries!$A$2:$A$5,0)),0)</f>
        <v>2593500</v>
      </c>
      <c r="D13" s="0" t="n">
        <f aca="false">IF(AND(D$3&gt;=1,D$3&lt;=Inputs!$B$11,OR(Assets!$G$6="",D$4&lt;Assets!$G$6)),Assets!$C$6*(Assets!$D$6*(1+MIN(INDEX(Countries!$F$2:$F$5,MATCH(Assets!$B$6,Countries!$A$2:$A$5,0)),MAX(INDEX(Countries!$E$2:$E$5,MATCH(Assets!$B$6,Countries!$A$2:$A$5,0)),INDEX(Countries!$D$2:$D$5,MATCH(Assets!$B$6,Countries!$A$2:$A$5,0)))))^(D$3-1)*MAX(0,MIN(1,YEARFRAC(D$4,MIN(Assets!$E$6,EDATE(D$4,12)),1)*(Assets!$E$6&gt;D$4)))+Assets!$F$6*(1+MIN(INDEX(Countries!$F$2:$F$5,MATCH(Assets!$B$6,Countries!$A$2:$A$5,0)),MAX(INDEX(Countries!$E$2:$E$5,MATCH(Assets!$B$6,Countries!$A$2:$A$5,0)),INDEX(Countries!$D$2:$D$5,MATCH(Assets!$B$6,Countries!$A$2:$A$5,0)))))^(D$3-1)*IF(Assets!$E$6&lt;EDATE(D$4,12),(Inputs!$B$13*MAX(0,MIN(12,DATEDIF(MAX(Assets!$E$6,D$4),EDATE(D$4,12),"m")))+(1-Inputs!$B$13)*MAX(0,MAX(0,MIN(12,DATEDIF(MAX(Assets!$E$6,D$4),EDATE(D$4,12),"m")))-MAX(0,Inputs!$B$12-IF(Assets!$E$6&lt;D$4,DATEDIF(Assets!$E$6,D$4,"m"),0))))/12,0))*INDEX(Countries!$C$2:$C$5,MATCH(Assets!$B$6,Countries!$A$2:$A$5,0)),0)</f>
        <v>2645370</v>
      </c>
      <c r="E13" s="0" t="n">
        <f aca="false">IF(AND(E$3&gt;=1,E$3&lt;=Inputs!$B$11,OR(Assets!$G$6="",E$4&lt;Assets!$G$6)),Assets!$C$6*(Assets!$D$6*(1+MIN(INDEX(Countries!$F$2:$F$5,MATCH(Assets!$B$6,Countries!$A$2:$A$5,0)),MAX(INDEX(Countries!$E$2:$E$5,MATCH(Assets!$B$6,Countries!$A$2:$A$5,0)),INDEX(Countries!$D$2:$D$5,MATCH(Assets!$B$6,Countries!$A$2:$A$5,0)))))^(E$3-1)*MAX(0,MIN(1,YEARFRAC(E$4,MIN(Assets!$E$6,EDATE(E$4,12)),1)*(Assets!$E$6&gt;E$4)))+Assets!$F$6*(1+MIN(INDEX(Countries!$F$2:$F$5,MATCH(Assets!$B$6,Countries!$A$2:$A$5,0)),MAX(INDEX(Countries!$E$2:$E$5,MATCH(Assets!$B$6,Countries!$A$2:$A$5,0)),INDEX(Countries!$D$2:$D$5,MATCH(Assets!$B$6,Countries!$A$2:$A$5,0)))))^(E$3-1)*IF(Assets!$E$6&lt;EDATE(E$4,12),(Inputs!$B$13*MAX(0,MIN(12,DATEDIF(MAX(Assets!$E$6,E$4),EDATE(E$4,12),"m")))+(1-Inputs!$B$13)*MAX(0,MAX(0,MIN(12,DATEDIF(MAX(Assets!$E$6,E$4),EDATE(E$4,12),"m")))-MAX(0,Inputs!$B$12-IF(Assets!$E$6&lt;E$4,DATEDIF(Assets!$E$6,E$4,"m"),0))))/12,0))*INDEX(Countries!$C$2:$C$5,MATCH(Assets!$B$6,Countries!$A$2:$A$5,0)),0)</f>
        <v>2698277.4</v>
      </c>
      <c r="F13" s="0" t="n">
        <f aca="false">IF(AND(F$3&gt;=1,F$3&lt;=Inputs!$B$11,OR(Assets!$G$6="",F$4&lt;Assets!$G$6)),Assets!$C$6*(Assets!$D$6*(1+MIN(INDEX(Countries!$F$2:$F$5,MATCH(Assets!$B$6,Countries!$A$2:$A$5,0)),MAX(INDEX(Countries!$E$2:$E$5,MATCH(Assets!$B$6,Countries!$A$2:$A$5,0)),INDEX(Countries!$D$2:$D$5,MATCH(Assets!$B$6,Countries!$A$2:$A$5,0)))))^(F$3-1)*MAX(0,MIN(1,YEARFRAC(F$4,MIN(Assets!$E$6,EDATE(F$4,12)),1)*(Assets!$E$6&gt;F$4)))+Assets!$F$6*(1+MIN(INDEX(Countries!$F$2:$F$5,MATCH(Assets!$B$6,Countries!$A$2:$A$5,0)),MAX(INDEX(Countries!$E$2:$E$5,MATCH(Assets!$B$6,Countries!$A$2:$A$5,0)),INDEX(Countries!$D$2:$D$5,MATCH(Assets!$B$6,Countries!$A$2:$A$5,0)))))^(F$3-1)*IF(Assets!$E$6&lt;EDATE(F$4,12),(Inputs!$B$13*MAX(0,MIN(12,DATEDIF(MAX(Assets!$E$6,F$4),EDATE(F$4,12),"m")))+(1-Inputs!$B$13)*MAX(0,MAX(0,MIN(12,DATEDIF(MAX(Assets!$E$6,F$4),EDATE(F$4,12),"m")))-MAX(0,Inputs!$B$12-IF(Assets!$E$6&lt;F$4,DATEDIF(Assets!$E$6,F$4,"m"),0))))/12,0))*INDEX(Countries!$C$2:$C$5,MATCH(Assets!$B$6,Countries!$A$2:$A$5,0)),0)</f>
        <v>2752242.948</v>
      </c>
      <c r="G13" s="0" t="n">
        <f aca="false">IF(AND(G$3&gt;=1,G$3&lt;=Inputs!$B$11,OR(Assets!$G$6="",G$4&lt;Assets!$G$6)),Assets!$C$6*(Assets!$D$6*(1+MIN(INDEX(Countries!$F$2:$F$5,MATCH(Assets!$B$6,Countries!$A$2:$A$5,0)),MAX(INDEX(Countries!$E$2:$E$5,MATCH(Assets!$B$6,Countries!$A$2:$A$5,0)),INDEX(Countries!$D$2:$D$5,MATCH(Assets!$B$6,Countries!$A$2:$A$5,0)))))^(G$3-1)*MAX(0,MIN(1,YEARFRAC(G$4,MIN(Assets!$E$6,EDATE(G$4,12)),1)*(Assets!$E$6&gt;G$4)))+Assets!$F$6*(1+MIN(INDEX(Countries!$F$2:$F$5,MATCH(Assets!$B$6,Countries!$A$2:$A$5,0)),MAX(INDEX(Countries!$E$2:$E$5,MATCH(Assets!$B$6,Countries!$A$2:$A$5,0)),INDEX(Countries!$D$2:$D$5,MATCH(Assets!$B$6,Countries!$A$2:$A$5,0)))))^(G$3-1)*IF(Assets!$E$6&lt;EDATE(G$4,12),(Inputs!$B$13*MAX(0,MIN(12,DATEDIF(MAX(Assets!$E$6,G$4),EDATE(G$4,12),"m")))+(1-Inputs!$B$13)*MAX(0,MAX(0,MIN(12,DATEDIF(MAX(Assets!$E$6,G$4),EDATE(G$4,12),"m")))-MAX(0,Inputs!$B$12-IF(Assets!$E$6&lt;G$4,DATEDIF(Assets!$E$6,G$4,"m"),0))))/12,0))*INDEX(Countries!$C$2:$C$5,MATCH(Assets!$B$6,Countries!$A$2:$A$5,0)),0)</f>
        <v>2807287.80696</v>
      </c>
      <c r="H13" s="0" t="n">
        <f aca="false">IF(AND(H$3&gt;=1,H$3&lt;=Inputs!$B$11,OR(Assets!$G$6="",H$4&lt;Assets!$G$6)),Assets!$C$6*(Assets!$D$6*(1+MIN(INDEX(Countries!$F$2:$F$5,MATCH(Assets!$B$6,Countries!$A$2:$A$5,0)),MAX(INDEX(Countries!$E$2:$E$5,MATCH(Assets!$B$6,Countries!$A$2:$A$5,0)),INDEX(Countries!$D$2:$D$5,MATCH(Assets!$B$6,Countries!$A$2:$A$5,0)))))^(H$3-1)*MAX(0,MIN(1,YEARFRAC(H$4,MIN(Assets!$E$6,EDATE(H$4,12)),1)*(Assets!$E$6&gt;H$4)))+Assets!$F$6*(1+MIN(INDEX(Countries!$F$2:$F$5,MATCH(Assets!$B$6,Countries!$A$2:$A$5,0)),MAX(INDEX(Countries!$E$2:$E$5,MATCH(Assets!$B$6,Countries!$A$2:$A$5,0)),INDEX(Countries!$D$2:$D$5,MATCH(Assets!$B$6,Countries!$A$2:$A$5,0)))))^(H$3-1)*IF(Assets!$E$6&lt;EDATE(H$4,12),(Inputs!$B$13*MAX(0,MIN(12,DATEDIF(MAX(Assets!$E$6,H$4),EDATE(H$4,12),"m")))+(1-Inputs!$B$13)*MAX(0,MAX(0,MIN(12,DATEDIF(MAX(Assets!$E$6,H$4),EDATE(H$4,12),"m")))-MAX(0,Inputs!$B$12-IF(Assets!$E$6&lt;H$4,DATEDIF(Assets!$E$6,H$4,"m"),0))))/12,0))*INDEX(Countries!$C$2:$C$5,MATCH(Assets!$B$6,Countries!$A$2:$A$5,0)),0)</f>
        <v>2855609.97412898</v>
      </c>
      <c r="I13" s="0" t="n">
        <f aca="false">IF(AND(I$3&gt;=1,I$3&lt;=Inputs!$B$11,OR(Assets!$G$6="",I$4&lt;Assets!$G$6)),Assets!$C$6*(Assets!$D$6*(1+MIN(INDEX(Countries!$F$2:$F$5,MATCH(Assets!$B$6,Countries!$A$2:$A$5,0)),MAX(INDEX(Countries!$E$2:$E$5,MATCH(Assets!$B$6,Countries!$A$2:$A$5,0)),INDEX(Countries!$D$2:$D$5,MATCH(Assets!$B$6,Countries!$A$2:$A$5,0)))))^(I$3-1)*MAX(0,MIN(1,YEARFRAC(I$4,MIN(Assets!$E$6,EDATE(I$4,12)),1)*(Assets!$E$6&gt;I$4)))+Assets!$F$6*(1+MIN(INDEX(Countries!$F$2:$F$5,MATCH(Assets!$B$6,Countries!$A$2:$A$5,0)),MAX(INDEX(Countries!$E$2:$E$5,MATCH(Assets!$B$6,Countries!$A$2:$A$5,0)),INDEX(Countries!$D$2:$D$5,MATCH(Assets!$B$6,Countries!$A$2:$A$5,0)))))^(I$3-1)*IF(Assets!$E$6&lt;EDATE(I$4,12),(Inputs!$B$13*MAX(0,MIN(12,DATEDIF(MAX(Assets!$E$6,I$4),EDATE(I$4,12),"m")))+(1-Inputs!$B$13)*MAX(0,MAX(0,MIN(12,DATEDIF(MAX(Assets!$E$6,I$4),EDATE(I$4,12),"m")))-MAX(0,Inputs!$B$12-IF(Assets!$E$6&lt;I$4,DATEDIF(Assets!$E$6,I$4,"m"),0))))/12,0))*INDEX(Countries!$C$2:$C$5,MATCH(Assets!$B$6,Countries!$A$2:$A$5,0)),0)</f>
        <v>2096914.42466957</v>
      </c>
      <c r="J13" s="0" t="n">
        <f aca="false">IF(AND(J$3&gt;=1,J$3&lt;=Inputs!$B$11,OR(Assets!$G$6="",J$4&lt;Assets!$G$6)),Assets!$C$6*(Assets!$D$6*(1+MIN(INDEX(Countries!$F$2:$F$5,MATCH(Assets!$B$6,Countries!$A$2:$A$5,0)),MAX(INDEX(Countries!$E$2:$E$5,MATCH(Assets!$B$6,Countries!$A$2:$A$5,0)),INDEX(Countries!$D$2:$D$5,MATCH(Assets!$B$6,Countries!$A$2:$A$5,0)))))^(J$3-1)*MAX(0,MIN(1,YEARFRAC(J$4,MIN(Assets!$E$6,EDATE(J$4,12)),1)*(Assets!$E$6&gt;J$4)))+Assets!$F$6*(1+MIN(INDEX(Countries!$F$2:$F$5,MATCH(Assets!$B$6,Countries!$A$2:$A$5,0)),MAX(INDEX(Countries!$E$2:$E$5,MATCH(Assets!$B$6,Countries!$A$2:$A$5,0)),INDEX(Countries!$D$2:$D$5,MATCH(Assets!$B$6,Countries!$A$2:$A$5,0)))))^(J$3-1)*IF(Assets!$E$6&lt;EDATE(J$4,12),(Inputs!$B$13*MAX(0,MIN(12,DATEDIF(MAX(Assets!$E$6,J$4),EDATE(J$4,12),"m")))+(1-Inputs!$B$13)*MAX(0,MAX(0,MIN(12,DATEDIF(MAX(Assets!$E$6,J$4),EDATE(J$4,12),"m")))-MAX(0,Inputs!$B$12-IF(Assets!$E$6&lt;J$4,DATEDIF(Assets!$E$6,J$4,"m"),0))))/12,0))*INDEX(Countries!$C$2:$C$5,MATCH(Assets!$B$6,Countries!$A$2:$A$5,0)),0)</f>
        <v>0</v>
      </c>
      <c r="K13" s="0" t="n">
        <f aca="false">IF(AND(K$3&gt;=1,K$3&lt;=Inputs!$B$11,OR(Assets!$G$6="",K$4&lt;Assets!$G$6)),Assets!$C$6*(Assets!$D$6*(1+MIN(INDEX(Countries!$F$2:$F$5,MATCH(Assets!$B$6,Countries!$A$2:$A$5,0)),MAX(INDEX(Countries!$E$2:$E$5,MATCH(Assets!$B$6,Countries!$A$2:$A$5,0)),INDEX(Countries!$D$2:$D$5,MATCH(Assets!$B$6,Countries!$A$2:$A$5,0)))))^(K$3-1)*MAX(0,MIN(1,YEARFRAC(K$4,MIN(Assets!$E$6,EDATE(K$4,12)),1)*(Assets!$E$6&gt;K$4)))+Assets!$F$6*(1+MIN(INDEX(Countries!$F$2:$F$5,MATCH(Assets!$B$6,Countries!$A$2:$A$5,0)),MAX(INDEX(Countries!$E$2:$E$5,MATCH(Assets!$B$6,Countries!$A$2:$A$5,0)),INDEX(Countries!$D$2:$D$5,MATCH(Assets!$B$6,Countries!$A$2:$A$5,0)))))^(K$3-1)*IF(Assets!$E$6&lt;EDATE(K$4,12),(Inputs!$B$13*MAX(0,MIN(12,DATEDIF(MAX(Assets!$E$6,K$4),EDATE(K$4,12),"m")))+(1-Inputs!$B$13)*MAX(0,MAX(0,MIN(12,DATEDIF(MAX(Assets!$E$6,K$4),EDATE(K$4,12),"m")))-MAX(0,Inputs!$B$12-IF(Assets!$E$6&lt;K$4,DATEDIF(Assets!$E$6,K$4,"m"),0))))/12,0))*INDEX(Countries!$C$2:$C$5,MATCH(Assets!$B$6,Countries!$A$2:$A$5,0)),0)</f>
        <v>0</v>
      </c>
      <c r="L13" s="0" t="n">
        <f aca="false">IF(AND(L$3&gt;=1,L$3&lt;=Inputs!$B$11,OR(Assets!$G$6="",L$4&lt;Assets!$G$6)),Assets!$C$6*(Assets!$D$6*(1+MIN(INDEX(Countries!$F$2:$F$5,MATCH(Assets!$B$6,Countries!$A$2:$A$5,0)),MAX(INDEX(Countries!$E$2:$E$5,MATCH(Assets!$B$6,Countries!$A$2:$A$5,0)),INDEX(Countries!$D$2:$D$5,MATCH(Assets!$B$6,Countries!$A$2:$A$5,0)))))^(L$3-1)*MAX(0,MIN(1,YEARFRAC(L$4,MIN(Assets!$E$6,EDATE(L$4,12)),1)*(Assets!$E$6&gt;L$4)))+Assets!$F$6*(1+MIN(INDEX(Countries!$F$2:$F$5,MATCH(Assets!$B$6,Countries!$A$2:$A$5,0)),MAX(INDEX(Countries!$E$2:$E$5,MATCH(Assets!$B$6,Countries!$A$2:$A$5,0)),INDEX(Countries!$D$2:$D$5,MATCH(Assets!$B$6,Countries!$A$2:$A$5,0)))))^(L$3-1)*IF(Assets!$E$6&lt;EDATE(L$4,12),(Inputs!$B$13*MAX(0,MIN(12,DATEDIF(MAX(Assets!$E$6,L$4),EDATE(L$4,12),"m")))+(1-Inputs!$B$13)*MAX(0,MAX(0,MIN(12,DATEDIF(MAX(Assets!$E$6,L$4),EDATE(L$4,12),"m")))-MAX(0,Inputs!$B$12-IF(Assets!$E$6&lt;L$4,DATEDIF(Assets!$E$6,L$4,"m"),0))))/12,0))*INDEX(Countries!$C$2:$C$5,MATCH(Assets!$B$6,Countries!$A$2:$A$5,0)),0)</f>
        <v>0</v>
      </c>
    </row>
    <row r="14" customFormat="false" ht="15" hidden="false" customHeight="false" outlineLevel="0" collapsed="false">
      <c r="A14" s="0" t="s">
        <v>53</v>
      </c>
      <c r="B14" s="0" t="n">
        <f aca="false">IF(AND(Assets!$G$6&lt;&gt;"",Assets!$G$6&gt;=B$4,Assets!$G$6&lt;EDATE(B$4,12)),Assets!$C$6*Assets!$F$6*(1+MIN(INDEX(Countries!$F$2:$F$5,MATCH(Assets!$B$6,Countries!$A$2:$A$5,0)),MAX(INDEX(Countries!$E$2:$E$5,MATCH(Assets!$B$6,Countries!$A$2:$A$5,0)),INDEX(Countries!$D$2:$D$5,MATCH(Assets!$B$6,Countries!$A$2:$A$5,0)))))^(B$3-1)*INDEX(Countries!$C$2:$C$5,MATCH(Assets!$B$6,Countries!$A$2:$A$5,0))/Assets!$H$6,0)</f>
        <v>0</v>
      </c>
      <c r="C14" s="0" t="n">
        <f aca="false">IF(AND(Assets!$G$6&lt;&gt;"",Assets!$G$6&gt;=C$4,Assets!$G$6&lt;EDATE(C$4,12)),Assets!$C$6*Assets!$F$6*(1+MIN(INDEX(Countries!$F$2:$F$5,MATCH(Assets!$B$6,Countries!$A$2:$A$5,0)),MAX(INDEX(Countries!$E$2:$E$5,MATCH(Assets!$B$6,Countries!$A$2:$A$5,0)),INDEX(Countries!$D$2:$D$5,MATCH(Assets!$B$6,Countries!$A$2:$A$5,0)))))^(C$3-1)*INDEX(Countries!$C$2:$C$5,MATCH(Assets!$B$6,Countries!$A$2:$A$5,0))/Assets!$H$6,0)</f>
        <v>0</v>
      </c>
      <c r="D14" s="0" t="n">
        <f aca="false">IF(AND(Assets!$G$6&lt;&gt;"",Assets!$G$6&gt;=D$4,Assets!$G$6&lt;EDATE(D$4,12)),Assets!$C$6*Assets!$F$6*(1+MIN(INDEX(Countries!$F$2:$F$5,MATCH(Assets!$B$6,Countries!$A$2:$A$5,0)),MAX(INDEX(Countries!$E$2:$E$5,MATCH(Assets!$B$6,Countries!$A$2:$A$5,0)),INDEX(Countries!$D$2:$D$5,MATCH(Assets!$B$6,Countries!$A$2:$A$5,0)))))^(D$3-1)*INDEX(Countries!$C$2:$C$5,MATCH(Assets!$B$6,Countries!$A$2:$A$5,0))/Assets!$H$6,0)</f>
        <v>0</v>
      </c>
      <c r="E14" s="0" t="n">
        <f aca="false">IF(AND(Assets!$G$6&lt;&gt;"",Assets!$G$6&gt;=E$4,Assets!$G$6&lt;EDATE(E$4,12)),Assets!$C$6*Assets!$F$6*(1+MIN(INDEX(Countries!$F$2:$F$5,MATCH(Assets!$B$6,Countries!$A$2:$A$5,0)),MAX(INDEX(Countries!$E$2:$E$5,MATCH(Assets!$B$6,Countries!$A$2:$A$5,0)),INDEX(Countries!$D$2:$D$5,MATCH(Assets!$B$6,Countries!$A$2:$A$5,0)))))^(E$3-1)*INDEX(Countries!$C$2:$C$5,MATCH(Assets!$B$6,Countries!$A$2:$A$5,0))/Assets!$H$6,0)</f>
        <v>0</v>
      </c>
      <c r="F14" s="0" t="n">
        <f aca="false">IF(AND(Assets!$G$6&lt;&gt;"",Assets!$G$6&gt;=F$4,Assets!$G$6&lt;EDATE(F$4,12)),Assets!$C$6*Assets!$F$6*(1+MIN(INDEX(Countries!$F$2:$F$5,MATCH(Assets!$B$6,Countries!$A$2:$A$5,0)),MAX(INDEX(Countries!$E$2:$E$5,MATCH(Assets!$B$6,Countries!$A$2:$A$5,0)),INDEX(Countries!$D$2:$D$5,MATCH(Assets!$B$6,Countries!$A$2:$A$5,0)))))^(F$3-1)*INDEX(Countries!$C$2:$C$5,MATCH(Assets!$B$6,Countries!$A$2:$A$5,0))/Assets!$H$6,0)</f>
        <v>0</v>
      </c>
      <c r="G14" s="0" t="n">
        <f aca="false">IF(AND(Assets!$G$6&lt;&gt;"",Assets!$G$6&gt;=G$4,Assets!$G$6&lt;EDATE(G$4,12)),Assets!$C$6*Assets!$F$6*(1+MIN(INDEX(Countries!$F$2:$F$5,MATCH(Assets!$B$6,Countries!$A$2:$A$5,0)),MAX(INDEX(Countries!$E$2:$E$5,MATCH(Assets!$B$6,Countries!$A$2:$A$5,0)),INDEX(Countries!$D$2:$D$5,MATCH(Assets!$B$6,Countries!$A$2:$A$5,0)))))^(G$3-1)*INDEX(Countries!$C$2:$C$5,MATCH(Assets!$B$6,Countries!$A$2:$A$5,0))/Assets!$H$6,0)</f>
        <v>0</v>
      </c>
      <c r="H14" s="0" t="n">
        <f aca="false">IF(AND(Assets!$G$6&lt;&gt;"",Assets!$G$6&gt;=H$4,Assets!$G$6&lt;EDATE(H$4,12)),Assets!$C$6*Assets!$F$6*(1+MIN(INDEX(Countries!$F$2:$F$5,MATCH(Assets!$B$6,Countries!$A$2:$A$5,0)),MAX(INDEX(Countries!$E$2:$E$5,MATCH(Assets!$B$6,Countries!$A$2:$A$5,0)),INDEX(Countries!$D$2:$D$5,MATCH(Assets!$B$6,Countries!$A$2:$A$5,0)))))^(H$3-1)*INDEX(Countries!$C$2:$C$5,MATCH(Assets!$B$6,Countries!$A$2:$A$5,0))/Assets!$H$6,0)</f>
        <v>0</v>
      </c>
      <c r="I14" s="0" t="n">
        <f aca="false">IF(AND(Assets!$G$6&lt;&gt;"",Assets!$G$6&gt;=I$4,Assets!$G$6&lt;EDATE(I$4,12)),Assets!$C$6*Assets!$F$6*(1+MIN(INDEX(Countries!$F$2:$F$5,MATCH(Assets!$B$6,Countries!$A$2:$A$5,0)),MAX(INDEX(Countries!$E$2:$E$5,MATCH(Assets!$B$6,Countries!$A$2:$A$5,0)),INDEX(Countries!$D$2:$D$5,MATCH(Assets!$B$6,Countries!$A$2:$A$5,0)))))^(I$3-1)*INDEX(Countries!$C$2:$C$5,MATCH(Assets!$B$6,Countries!$A$2:$A$5,0))/Assets!$H$6,0)</f>
        <v>0</v>
      </c>
      <c r="J14" s="0" t="n">
        <f aca="false">IF(AND(Assets!$G$6&lt;&gt;"",Assets!$G$6&gt;=J$4,Assets!$G$6&lt;EDATE(J$4,12)),Assets!$C$6*Assets!$F$6*(1+MIN(INDEX(Countries!$F$2:$F$5,MATCH(Assets!$B$6,Countries!$A$2:$A$5,0)),MAX(INDEX(Countries!$E$2:$E$5,MATCH(Assets!$B$6,Countries!$A$2:$A$5,0)),INDEX(Countries!$D$2:$D$5,MATCH(Assets!$B$6,Countries!$A$2:$A$5,0)))))^(J$3-1)*INDEX(Countries!$C$2:$C$5,MATCH(Assets!$B$6,Countries!$A$2:$A$5,0))/Assets!$H$6,0)</f>
        <v>0</v>
      </c>
      <c r="K14" s="0" t="n">
        <f aca="false">IF(AND(Assets!$G$6&lt;&gt;"",Assets!$G$6&gt;=K$4,Assets!$G$6&lt;EDATE(K$4,12)),Assets!$C$6*Assets!$F$6*(1+MIN(INDEX(Countries!$F$2:$F$5,MATCH(Assets!$B$6,Countries!$A$2:$A$5,0)),MAX(INDEX(Countries!$E$2:$E$5,MATCH(Assets!$B$6,Countries!$A$2:$A$5,0)),INDEX(Countries!$D$2:$D$5,MATCH(Assets!$B$6,Countries!$A$2:$A$5,0)))))^(K$3-1)*INDEX(Countries!$C$2:$C$5,MATCH(Assets!$B$6,Countries!$A$2:$A$5,0))/Assets!$H$6,0)</f>
        <v>0</v>
      </c>
      <c r="L14" s="0" t="n">
        <f aca="false">IF(AND(Assets!$G$6&lt;&gt;"",Assets!$G$6&gt;=L$4,Assets!$G$6&lt;EDATE(L$4,12)),Assets!$C$6*Assets!$F$6*(1+MIN(INDEX(Countries!$F$2:$F$5,MATCH(Assets!$B$6,Countries!$A$2:$A$5,0)),MAX(INDEX(Countries!$E$2:$E$5,MATCH(Assets!$B$6,Countries!$A$2:$A$5,0)),INDEX(Countries!$D$2:$D$5,MATCH(Assets!$B$6,Countries!$A$2:$A$5,0)))))^(L$3-1)*INDEX(Countries!$C$2:$C$5,MATCH(Assets!$B$6,Countries!$A$2:$A$5,0))/Assets!$H$6,0)</f>
        <v>0</v>
      </c>
    </row>
    <row r="15" customFormat="false" ht="15" hidden="false" customHeight="false" outlineLevel="0" collapsed="false">
      <c r="A15" s="0" t="s">
        <v>54</v>
      </c>
      <c r="B15" s="0" t="n">
        <f aca="false">IF(AND(B$3&gt;=1,B$3&lt;=Inputs!$B$11,OR(Assets!$G$7="",B$4&lt;Assets!$G$7)),Assets!$C$7*(Assets!$D$7*(1+MIN(INDEX(Countries!$F$2:$F$5,MATCH(Assets!$B$7,Countries!$A$2:$A$5,0)),MAX(INDEX(Countries!$E$2:$E$5,MATCH(Assets!$B$7,Countries!$A$2:$A$5,0)),INDEX(Countries!$D$2:$D$5,MATCH(Assets!$B$7,Countries!$A$2:$A$5,0)))))^(B$3-1)*MAX(0,MIN(1,YEARFRAC(B$4,MIN(Assets!$E$7,EDATE(B$4,12)),1)*(Assets!$E$7&gt;B$4)))+Assets!$F$7*(1+MIN(INDEX(Countries!$F$2:$F$5,MATCH(Assets!$B$7,Countries!$A$2:$A$5,0)),MAX(INDEX(Countries!$E$2:$E$5,MATCH(Assets!$B$7,Countries!$A$2:$A$5,0)),INDEX(Countries!$D$2:$D$5,MATCH(Assets!$B$7,Countries!$A$2:$A$5,0)))))^(B$3-1)*IF(Assets!$E$7&lt;EDATE(B$4,12),(Inputs!$B$13*MAX(0,MIN(12,DATEDIF(MAX(Assets!$E$7,B$4),EDATE(B$4,12),"m")))+(1-Inputs!$B$13)*MAX(0,MAX(0,MIN(12,DATEDIF(MAX(Assets!$E$7,B$4),EDATE(B$4,12),"m")))-MAX(0,Inputs!$B$12-IF(Assets!$E$7&lt;B$4,DATEDIF(Assets!$E$7,B$4,"m"),0))))/12,0))*INDEX(Countries!$C$2:$C$5,MATCH(Assets!$B$7,Countries!$A$2:$A$5,0)),0)</f>
        <v>0</v>
      </c>
      <c r="C15" s="0" t="n">
        <f aca="false">IF(AND(C$3&gt;=1,C$3&lt;=Inputs!$B$11,OR(Assets!$G$7="",C$4&lt;Assets!$G$7)),Assets!$C$7*(Assets!$D$7*(1+MIN(INDEX(Countries!$F$2:$F$5,MATCH(Assets!$B$7,Countries!$A$2:$A$5,0)),MAX(INDEX(Countries!$E$2:$E$5,MATCH(Assets!$B$7,Countries!$A$2:$A$5,0)),INDEX(Countries!$D$2:$D$5,MATCH(Assets!$B$7,Countries!$A$2:$A$5,0)))))^(C$3-1)*MAX(0,MIN(1,YEARFRAC(C$4,MIN(Assets!$E$7,EDATE(C$4,12)),1)*(Assets!$E$7&gt;C$4)))+Assets!$F$7*(1+MIN(INDEX(Countries!$F$2:$F$5,MATCH(Assets!$B$7,Countries!$A$2:$A$5,0)),MAX(INDEX(Countries!$E$2:$E$5,MATCH(Assets!$B$7,Countries!$A$2:$A$5,0)),INDEX(Countries!$D$2:$D$5,MATCH(Assets!$B$7,Countries!$A$2:$A$5,0)))))^(C$3-1)*IF(Assets!$E$7&lt;EDATE(C$4,12),(Inputs!$B$13*MAX(0,MIN(12,DATEDIF(MAX(Assets!$E$7,C$4),EDATE(C$4,12),"m")))+(1-Inputs!$B$13)*MAX(0,MAX(0,MIN(12,DATEDIF(MAX(Assets!$E$7,C$4),EDATE(C$4,12),"m")))-MAX(0,Inputs!$B$12-IF(Assets!$E$7&lt;C$4,DATEDIF(Assets!$E$7,C$4,"m"),0))))/12,0))*INDEX(Countries!$C$2:$C$5,MATCH(Assets!$B$7,Countries!$A$2:$A$5,0)),0)</f>
        <v>2926000</v>
      </c>
      <c r="D15" s="0" t="n">
        <f aca="false">IF(AND(D$3&gt;=1,D$3&lt;=Inputs!$B$11,OR(Assets!$G$7="",D$4&lt;Assets!$G$7)),Assets!$C$7*(Assets!$D$7*(1+MIN(INDEX(Countries!$F$2:$F$5,MATCH(Assets!$B$7,Countries!$A$2:$A$5,0)),MAX(INDEX(Countries!$E$2:$E$5,MATCH(Assets!$B$7,Countries!$A$2:$A$5,0)),INDEX(Countries!$D$2:$D$5,MATCH(Assets!$B$7,Countries!$A$2:$A$5,0)))))^(D$3-1)*MAX(0,MIN(1,YEARFRAC(D$4,MIN(Assets!$E$7,EDATE(D$4,12)),1)*(Assets!$E$7&gt;D$4)))+Assets!$F$7*(1+MIN(INDEX(Countries!$F$2:$F$5,MATCH(Assets!$B$7,Countries!$A$2:$A$5,0)),MAX(INDEX(Countries!$E$2:$E$5,MATCH(Assets!$B$7,Countries!$A$2:$A$5,0)),INDEX(Countries!$D$2:$D$5,MATCH(Assets!$B$7,Countries!$A$2:$A$5,0)))))^(D$3-1)*IF(Assets!$E$7&lt;EDATE(D$4,12),(Inputs!$B$13*MAX(0,MIN(12,DATEDIF(MAX(Assets!$E$7,D$4),EDATE(D$4,12),"m")))+(1-Inputs!$B$13)*MAX(0,MAX(0,MIN(12,DATEDIF(MAX(Assets!$E$7,D$4),EDATE(D$4,12),"m")))-MAX(0,Inputs!$B$12-IF(Assets!$E$7&lt;D$4,DATEDIF(Assets!$E$7,D$4,"m"),0))))/12,0))*INDEX(Countries!$C$2:$C$5,MATCH(Assets!$B$7,Countries!$A$2:$A$5,0)),0)</f>
        <v>2984520</v>
      </c>
      <c r="E15" s="0" t="n">
        <f aca="false">IF(AND(E$3&gt;=1,E$3&lt;=Inputs!$B$11,OR(Assets!$G$7="",E$4&lt;Assets!$G$7)),Assets!$C$7*(Assets!$D$7*(1+MIN(INDEX(Countries!$F$2:$F$5,MATCH(Assets!$B$7,Countries!$A$2:$A$5,0)),MAX(INDEX(Countries!$E$2:$E$5,MATCH(Assets!$B$7,Countries!$A$2:$A$5,0)),INDEX(Countries!$D$2:$D$5,MATCH(Assets!$B$7,Countries!$A$2:$A$5,0)))))^(E$3-1)*MAX(0,MIN(1,YEARFRAC(E$4,MIN(Assets!$E$7,EDATE(E$4,12)),1)*(Assets!$E$7&gt;E$4)))+Assets!$F$7*(1+MIN(INDEX(Countries!$F$2:$F$5,MATCH(Assets!$B$7,Countries!$A$2:$A$5,0)),MAX(INDEX(Countries!$E$2:$E$5,MATCH(Assets!$B$7,Countries!$A$2:$A$5,0)),INDEX(Countries!$D$2:$D$5,MATCH(Assets!$B$7,Countries!$A$2:$A$5,0)))))^(E$3-1)*IF(Assets!$E$7&lt;EDATE(E$4,12),(Inputs!$B$13*MAX(0,MIN(12,DATEDIF(MAX(Assets!$E$7,E$4),EDATE(E$4,12),"m")))+(1-Inputs!$B$13)*MAX(0,MAX(0,MIN(12,DATEDIF(MAX(Assets!$E$7,E$4),EDATE(E$4,12),"m")))-MAX(0,Inputs!$B$12-IF(Assets!$E$7&lt;E$4,DATEDIF(Assets!$E$7,E$4,"m"),0))))/12,0))*INDEX(Countries!$C$2:$C$5,MATCH(Assets!$B$7,Countries!$A$2:$A$5,0)),0)</f>
        <v>2474600.66383562</v>
      </c>
      <c r="F15" s="0" t="n">
        <f aca="false">IF(AND(F$3&gt;=1,F$3&lt;=Inputs!$B$11,OR(Assets!$G$7="",F$4&lt;Assets!$G$7)),Assets!$C$7*(Assets!$D$7*(1+MIN(INDEX(Countries!$F$2:$F$5,MATCH(Assets!$B$7,Countries!$A$2:$A$5,0)),MAX(INDEX(Countries!$E$2:$E$5,MATCH(Assets!$B$7,Countries!$A$2:$A$5,0)),INDEX(Countries!$D$2:$D$5,MATCH(Assets!$B$7,Countries!$A$2:$A$5,0)))))^(F$3-1)*MAX(0,MIN(1,YEARFRAC(F$4,MIN(Assets!$E$7,EDATE(F$4,12)),1)*(Assets!$E$7&gt;F$4)))+Assets!$F$7*(1+MIN(INDEX(Countries!$F$2:$F$5,MATCH(Assets!$B$7,Countries!$A$2:$A$5,0)),MAX(INDEX(Countries!$E$2:$E$5,MATCH(Assets!$B$7,Countries!$A$2:$A$5,0)),INDEX(Countries!$D$2:$D$5,MATCH(Assets!$B$7,Countries!$A$2:$A$5,0)))))^(F$3-1)*IF(Assets!$E$7&lt;EDATE(F$4,12),(Inputs!$B$13*MAX(0,MIN(12,DATEDIF(MAX(Assets!$E$7,F$4),EDATE(F$4,12),"m")))+(1-Inputs!$B$13)*MAX(0,MAX(0,MIN(12,DATEDIF(MAX(Assets!$E$7,F$4),EDATE(F$4,12),"m")))-MAX(0,Inputs!$B$12-IF(Assets!$E$7&lt;F$4,DATEDIF(Assets!$E$7,F$4,"m"),0))))/12,0))*INDEX(Countries!$C$2:$C$5,MATCH(Assets!$B$7,Countries!$A$2:$A$5,0)),0)</f>
        <v>2978439.4332</v>
      </c>
      <c r="G15" s="0" t="n">
        <f aca="false">IF(AND(G$3&gt;=1,G$3&lt;=Inputs!$B$11,OR(Assets!$G$7="",G$4&lt;Assets!$G$7)),Assets!$C$7*(Assets!$D$7*(1+MIN(INDEX(Countries!$F$2:$F$5,MATCH(Assets!$B$7,Countries!$A$2:$A$5,0)),MAX(INDEX(Countries!$E$2:$E$5,MATCH(Assets!$B$7,Countries!$A$2:$A$5,0)),INDEX(Countries!$D$2:$D$5,MATCH(Assets!$B$7,Countries!$A$2:$A$5,0)))))^(G$3-1)*MAX(0,MIN(1,YEARFRAC(G$4,MIN(Assets!$E$7,EDATE(G$4,12)),1)*(Assets!$E$7&gt;G$4)))+Assets!$F$7*(1+MIN(INDEX(Countries!$F$2:$F$5,MATCH(Assets!$B$7,Countries!$A$2:$A$5,0)),MAX(INDEX(Countries!$E$2:$E$5,MATCH(Assets!$B$7,Countries!$A$2:$A$5,0)),INDEX(Countries!$D$2:$D$5,MATCH(Assets!$B$7,Countries!$A$2:$A$5,0)))))^(G$3-1)*IF(Assets!$E$7&lt;EDATE(G$4,12),(Inputs!$B$13*MAX(0,MIN(12,DATEDIF(MAX(Assets!$E$7,G$4),EDATE(G$4,12),"m")))+(1-Inputs!$B$13)*MAX(0,MAX(0,MIN(12,DATEDIF(MAX(Assets!$E$7,G$4),EDATE(G$4,12),"m")))-MAX(0,Inputs!$B$12-IF(Assets!$E$7&lt;G$4,DATEDIF(Assets!$E$7,G$4,"m"),0))))/12,0))*INDEX(Countries!$C$2:$C$5,MATCH(Assets!$B$7,Countries!$A$2:$A$5,0)),0)</f>
        <v>0</v>
      </c>
      <c r="H15" s="0" t="n">
        <f aca="false">IF(AND(H$3&gt;=1,H$3&lt;=Inputs!$B$11,OR(Assets!$G$7="",H$4&lt;Assets!$G$7)),Assets!$C$7*(Assets!$D$7*(1+MIN(INDEX(Countries!$F$2:$F$5,MATCH(Assets!$B$7,Countries!$A$2:$A$5,0)),MAX(INDEX(Countries!$E$2:$E$5,MATCH(Assets!$B$7,Countries!$A$2:$A$5,0)),INDEX(Countries!$D$2:$D$5,MATCH(Assets!$B$7,Countries!$A$2:$A$5,0)))))^(H$3-1)*MAX(0,MIN(1,YEARFRAC(H$4,MIN(Assets!$E$7,EDATE(H$4,12)),1)*(Assets!$E$7&gt;H$4)))+Assets!$F$7*(1+MIN(INDEX(Countries!$F$2:$F$5,MATCH(Assets!$B$7,Countries!$A$2:$A$5,0)),MAX(INDEX(Countries!$E$2:$E$5,MATCH(Assets!$B$7,Countries!$A$2:$A$5,0)),INDEX(Countries!$D$2:$D$5,MATCH(Assets!$B$7,Countries!$A$2:$A$5,0)))))^(H$3-1)*IF(Assets!$E$7&lt;EDATE(H$4,12),(Inputs!$B$13*MAX(0,MIN(12,DATEDIF(MAX(Assets!$E$7,H$4),EDATE(H$4,12),"m")))+(1-Inputs!$B$13)*MAX(0,MAX(0,MIN(12,DATEDIF(MAX(Assets!$E$7,H$4),EDATE(H$4,12),"m")))-MAX(0,Inputs!$B$12-IF(Assets!$E$7&lt;H$4,DATEDIF(Assets!$E$7,H$4,"m"),0))))/12,0))*INDEX(Countries!$C$2:$C$5,MATCH(Assets!$B$7,Countries!$A$2:$A$5,0)),0)</f>
        <v>0</v>
      </c>
      <c r="I15" s="0" t="n">
        <f aca="false">IF(AND(I$3&gt;=1,I$3&lt;=Inputs!$B$11,OR(Assets!$G$7="",I$4&lt;Assets!$G$7)),Assets!$C$7*(Assets!$D$7*(1+MIN(INDEX(Countries!$F$2:$F$5,MATCH(Assets!$B$7,Countries!$A$2:$A$5,0)),MAX(INDEX(Countries!$E$2:$E$5,MATCH(Assets!$B$7,Countries!$A$2:$A$5,0)),INDEX(Countries!$D$2:$D$5,MATCH(Assets!$B$7,Countries!$A$2:$A$5,0)))))^(I$3-1)*MAX(0,MIN(1,YEARFRAC(I$4,MIN(Assets!$E$7,EDATE(I$4,12)),1)*(Assets!$E$7&gt;I$4)))+Assets!$F$7*(1+MIN(INDEX(Countries!$F$2:$F$5,MATCH(Assets!$B$7,Countries!$A$2:$A$5,0)),MAX(INDEX(Countries!$E$2:$E$5,MATCH(Assets!$B$7,Countries!$A$2:$A$5,0)),INDEX(Countries!$D$2:$D$5,MATCH(Assets!$B$7,Countries!$A$2:$A$5,0)))))^(I$3-1)*IF(Assets!$E$7&lt;EDATE(I$4,12),(Inputs!$B$13*MAX(0,MIN(12,DATEDIF(MAX(Assets!$E$7,I$4),EDATE(I$4,12),"m")))+(1-Inputs!$B$13)*MAX(0,MAX(0,MIN(12,DATEDIF(MAX(Assets!$E$7,I$4),EDATE(I$4,12),"m")))-MAX(0,Inputs!$B$12-IF(Assets!$E$7&lt;I$4,DATEDIF(Assets!$E$7,I$4,"m"),0))))/12,0))*INDEX(Countries!$C$2:$C$5,MATCH(Assets!$B$7,Countries!$A$2:$A$5,0)),0)</f>
        <v>0</v>
      </c>
      <c r="J15" s="0" t="n">
        <f aca="false">IF(AND(J$3&gt;=1,J$3&lt;=Inputs!$B$11,OR(Assets!$G$7="",J$4&lt;Assets!$G$7)),Assets!$C$7*(Assets!$D$7*(1+MIN(INDEX(Countries!$F$2:$F$5,MATCH(Assets!$B$7,Countries!$A$2:$A$5,0)),MAX(INDEX(Countries!$E$2:$E$5,MATCH(Assets!$B$7,Countries!$A$2:$A$5,0)),INDEX(Countries!$D$2:$D$5,MATCH(Assets!$B$7,Countries!$A$2:$A$5,0)))))^(J$3-1)*MAX(0,MIN(1,YEARFRAC(J$4,MIN(Assets!$E$7,EDATE(J$4,12)),1)*(Assets!$E$7&gt;J$4)))+Assets!$F$7*(1+MIN(INDEX(Countries!$F$2:$F$5,MATCH(Assets!$B$7,Countries!$A$2:$A$5,0)),MAX(INDEX(Countries!$E$2:$E$5,MATCH(Assets!$B$7,Countries!$A$2:$A$5,0)),INDEX(Countries!$D$2:$D$5,MATCH(Assets!$B$7,Countries!$A$2:$A$5,0)))))^(J$3-1)*IF(Assets!$E$7&lt;EDATE(J$4,12),(Inputs!$B$13*MAX(0,MIN(12,DATEDIF(MAX(Assets!$E$7,J$4),EDATE(J$4,12),"m")))+(1-Inputs!$B$13)*MAX(0,MAX(0,MIN(12,DATEDIF(MAX(Assets!$E$7,J$4),EDATE(J$4,12),"m")))-MAX(0,Inputs!$B$12-IF(Assets!$E$7&lt;J$4,DATEDIF(Assets!$E$7,J$4,"m"),0))))/12,0))*INDEX(Countries!$C$2:$C$5,MATCH(Assets!$B$7,Countries!$A$2:$A$5,0)),0)</f>
        <v>0</v>
      </c>
      <c r="K15" s="0" t="n">
        <f aca="false">IF(AND(K$3&gt;=1,K$3&lt;=Inputs!$B$11,OR(Assets!$G$7="",K$4&lt;Assets!$G$7)),Assets!$C$7*(Assets!$D$7*(1+MIN(INDEX(Countries!$F$2:$F$5,MATCH(Assets!$B$7,Countries!$A$2:$A$5,0)),MAX(INDEX(Countries!$E$2:$E$5,MATCH(Assets!$B$7,Countries!$A$2:$A$5,0)),INDEX(Countries!$D$2:$D$5,MATCH(Assets!$B$7,Countries!$A$2:$A$5,0)))))^(K$3-1)*MAX(0,MIN(1,YEARFRAC(K$4,MIN(Assets!$E$7,EDATE(K$4,12)),1)*(Assets!$E$7&gt;K$4)))+Assets!$F$7*(1+MIN(INDEX(Countries!$F$2:$F$5,MATCH(Assets!$B$7,Countries!$A$2:$A$5,0)),MAX(INDEX(Countries!$E$2:$E$5,MATCH(Assets!$B$7,Countries!$A$2:$A$5,0)),INDEX(Countries!$D$2:$D$5,MATCH(Assets!$B$7,Countries!$A$2:$A$5,0)))))^(K$3-1)*IF(Assets!$E$7&lt;EDATE(K$4,12),(Inputs!$B$13*MAX(0,MIN(12,DATEDIF(MAX(Assets!$E$7,K$4),EDATE(K$4,12),"m")))+(1-Inputs!$B$13)*MAX(0,MAX(0,MIN(12,DATEDIF(MAX(Assets!$E$7,K$4),EDATE(K$4,12),"m")))-MAX(0,Inputs!$B$12-IF(Assets!$E$7&lt;K$4,DATEDIF(Assets!$E$7,K$4,"m"),0))))/12,0))*INDEX(Countries!$C$2:$C$5,MATCH(Assets!$B$7,Countries!$A$2:$A$5,0)),0)</f>
        <v>0</v>
      </c>
      <c r="L15" s="0" t="n">
        <f aca="false">IF(AND(L$3&gt;=1,L$3&lt;=Inputs!$B$11,OR(Assets!$G$7="",L$4&lt;Assets!$G$7)),Assets!$C$7*(Assets!$D$7*(1+MIN(INDEX(Countries!$F$2:$F$5,MATCH(Assets!$B$7,Countries!$A$2:$A$5,0)),MAX(INDEX(Countries!$E$2:$E$5,MATCH(Assets!$B$7,Countries!$A$2:$A$5,0)),INDEX(Countries!$D$2:$D$5,MATCH(Assets!$B$7,Countries!$A$2:$A$5,0)))))^(L$3-1)*MAX(0,MIN(1,YEARFRAC(L$4,MIN(Assets!$E$7,EDATE(L$4,12)),1)*(Assets!$E$7&gt;L$4)))+Assets!$F$7*(1+MIN(INDEX(Countries!$F$2:$F$5,MATCH(Assets!$B$7,Countries!$A$2:$A$5,0)),MAX(INDEX(Countries!$E$2:$E$5,MATCH(Assets!$B$7,Countries!$A$2:$A$5,0)),INDEX(Countries!$D$2:$D$5,MATCH(Assets!$B$7,Countries!$A$2:$A$5,0)))))^(L$3-1)*IF(Assets!$E$7&lt;EDATE(L$4,12),(Inputs!$B$13*MAX(0,MIN(12,DATEDIF(MAX(Assets!$E$7,L$4),EDATE(L$4,12),"m")))+(1-Inputs!$B$13)*MAX(0,MAX(0,MIN(12,DATEDIF(MAX(Assets!$E$7,L$4),EDATE(L$4,12),"m")))-MAX(0,Inputs!$B$12-IF(Assets!$E$7&lt;L$4,DATEDIF(Assets!$E$7,L$4,"m"),0))))/12,0))*INDEX(Countries!$C$2:$C$5,MATCH(Assets!$B$7,Countries!$A$2:$A$5,0)),0)</f>
        <v>0</v>
      </c>
    </row>
    <row r="16" customFormat="false" ht="15" hidden="false" customHeight="false" outlineLevel="0" collapsed="false">
      <c r="A16" s="0" t="s">
        <v>55</v>
      </c>
      <c r="B16" s="0" t="n">
        <f aca="false">IF(AND(Assets!$G$7&lt;&gt;"",Assets!$G$7&gt;=B$4,Assets!$G$7&lt;EDATE(B$4,12)),Assets!$C$7*Assets!$F$7*(1+MIN(INDEX(Countries!$F$2:$F$5,MATCH(Assets!$B$7,Countries!$A$2:$A$5,0)),MAX(INDEX(Countries!$E$2:$E$5,MATCH(Assets!$B$7,Countries!$A$2:$A$5,0)),INDEX(Countries!$D$2:$D$5,MATCH(Assets!$B$7,Countries!$A$2:$A$5,0)))))^(B$3-1)*INDEX(Countries!$C$2:$C$5,MATCH(Assets!$B$7,Countries!$A$2:$A$5,0))/Assets!$H$7,0)</f>
        <v>0</v>
      </c>
      <c r="C16" s="0" t="n">
        <f aca="false">IF(AND(Assets!$G$7&lt;&gt;"",Assets!$G$7&gt;=C$4,Assets!$G$7&lt;EDATE(C$4,12)),Assets!$C$7*Assets!$F$7*(1+MIN(INDEX(Countries!$F$2:$F$5,MATCH(Assets!$B$7,Countries!$A$2:$A$5,0)),MAX(INDEX(Countries!$E$2:$E$5,MATCH(Assets!$B$7,Countries!$A$2:$A$5,0)),INDEX(Countries!$D$2:$D$5,MATCH(Assets!$B$7,Countries!$A$2:$A$5,0)))))^(C$3-1)*INDEX(Countries!$C$2:$C$5,MATCH(Assets!$B$7,Countries!$A$2:$A$5,0))/Assets!$H$7,0)</f>
        <v>0</v>
      </c>
      <c r="D16" s="0" t="n">
        <f aca="false">IF(AND(Assets!$G$7&lt;&gt;"",Assets!$G$7&gt;=D$4,Assets!$G$7&lt;EDATE(D$4,12)),Assets!$C$7*Assets!$F$7*(1+MIN(INDEX(Countries!$F$2:$F$5,MATCH(Assets!$B$7,Countries!$A$2:$A$5,0)),MAX(INDEX(Countries!$E$2:$E$5,MATCH(Assets!$B$7,Countries!$A$2:$A$5,0)),INDEX(Countries!$D$2:$D$5,MATCH(Assets!$B$7,Countries!$A$2:$A$5,0)))))^(D$3-1)*INDEX(Countries!$C$2:$C$5,MATCH(Assets!$B$7,Countries!$A$2:$A$5,0))/Assets!$H$7,0)</f>
        <v>0</v>
      </c>
      <c r="E16" s="0" t="n">
        <f aca="false">IF(AND(Assets!$G$7&lt;&gt;"",Assets!$G$7&gt;=E$4,Assets!$G$7&lt;EDATE(E$4,12)),Assets!$C$7*Assets!$F$7*(1+MIN(INDEX(Countries!$F$2:$F$5,MATCH(Assets!$B$7,Countries!$A$2:$A$5,0)),MAX(INDEX(Countries!$E$2:$E$5,MATCH(Assets!$B$7,Countries!$A$2:$A$5,0)),INDEX(Countries!$D$2:$D$5,MATCH(Assets!$B$7,Countries!$A$2:$A$5,0)))))^(E$3-1)*INDEX(Countries!$C$2:$C$5,MATCH(Assets!$B$7,Countries!$A$2:$A$5,0))/Assets!$H$7,0)</f>
        <v>0</v>
      </c>
      <c r="F16" s="0" t="n">
        <f aca="false">IF(AND(Assets!$G$7&lt;&gt;"",Assets!$G$7&gt;=F$4,Assets!$G$7&lt;EDATE(F$4,12)),Assets!$C$7*Assets!$F$7*(1+MIN(INDEX(Countries!$F$2:$F$5,MATCH(Assets!$B$7,Countries!$A$2:$A$5,0)),MAX(INDEX(Countries!$E$2:$E$5,MATCH(Assets!$B$7,Countries!$A$2:$A$5,0)),INDEX(Countries!$D$2:$D$5,MATCH(Assets!$B$7,Countries!$A$2:$A$5,0)))))^(F$3-1)*INDEX(Countries!$C$2:$C$5,MATCH(Assets!$B$7,Countries!$A$2:$A$5,0))/Assets!$H$7,0)</f>
        <v>66187542.96</v>
      </c>
      <c r="G16" s="0" t="n">
        <f aca="false">IF(AND(Assets!$G$7&lt;&gt;"",Assets!$G$7&gt;=G$4,Assets!$G$7&lt;EDATE(G$4,12)),Assets!$C$7*Assets!$F$7*(1+MIN(INDEX(Countries!$F$2:$F$5,MATCH(Assets!$B$7,Countries!$A$2:$A$5,0)),MAX(INDEX(Countries!$E$2:$E$5,MATCH(Assets!$B$7,Countries!$A$2:$A$5,0)),INDEX(Countries!$D$2:$D$5,MATCH(Assets!$B$7,Countries!$A$2:$A$5,0)))))^(G$3-1)*INDEX(Countries!$C$2:$C$5,MATCH(Assets!$B$7,Countries!$A$2:$A$5,0))/Assets!$H$7,0)</f>
        <v>0</v>
      </c>
      <c r="H16" s="0" t="n">
        <f aca="false">IF(AND(Assets!$G$7&lt;&gt;"",Assets!$G$7&gt;=H$4,Assets!$G$7&lt;EDATE(H$4,12)),Assets!$C$7*Assets!$F$7*(1+MIN(INDEX(Countries!$F$2:$F$5,MATCH(Assets!$B$7,Countries!$A$2:$A$5,0)),MAX(INDEX(Countries!$E$2:$E$5,MATCH(Assets!$B$7,Countries!$A$2:$A$5,0)),INDEX(Countries!$D$2:$D$5,MATCH(Assets!$B$7,Countries!$A$2:$A$5,0)))))^(H$3-1)*INDEX(Countries!$C$2:$C$5,MATCH(Assets!$B$7,Countries!$A$2:$A$5,0))/Assets!$H$7,0)</f>
        <v>0</v>
      </c>
      <c r="I16" s="0" t="n">
        <f aca="false">IF(AND(Assets!$G$7&lt;&gt;"",Assets!$G$7&gt;=I$4,Assets!$G$7&lt;EDATE(I$4,12)),Assets!$C$7*Assets!$F$7*(1+MIN(INDEX(Countries!$F$2:$F$5,MATCH(Assets!$B$7,Countries!$A$2:$A$5,0)),MAX(INDEX(Countries!$E$2:$E$5,MATCH(Assets!$B$7,Countries!$A$2:$A$5,0)),INDEX(Countries!$D$2:$D$5,MATCH(Assets!$B$7,Countries!$A$2:$A$5,0)))))^(I$3-1)*INDEX(Countries!$C$2:$C$5,MATCH(Assets!$B$7,Countries!$A$2:$A$5,0))/Assets!$H$7,0)</f>
        <v>0</v>
      </c>
      <c r="J16" s="0" t="n">
        <f aca="false">IF(AND(Assets!$G$7&lt;&gt;"",Assets!$G$7&gt;=J$4,Assets!$G$7&lt;EDATE(J$4,12)),Assets!$C$7*Assets!$F$7*(1+MIN(INDEX(Countries!$F$2:$F$5,MATCH(Assets!$B$7,Countries!$A$2:$A$5,0)),MAX(INDEX(Countries!$E$2:$E$5,MATCH(Assets!$B$7,Countries!$A$2:$A$5,0)),INDEX(Countries!$D$2:$D$5,MATCH(Assets!$B$7,Countries!$A$2:$A$5,0)))))^(J$3-1)*INDEX(Countries!$C$2:$C$5,MATCH(Assets!$B$7,Countries!$A$2:$A$5,0))/Assets!$H$7,0)</f>
        <v>0</v>
      </c>
      <c r="K16" s="0" t="n">
        <f aca="false">IF(AND(Assets!$G$7&lt;&gt;"",Assets!$G$7&gt;=K$4,Assets!$G$7&lt;EDATE(K$4,12)),Assets!$C$7*Assets!$F$7*(1+MIN(INDEX(Countries!$F$2:$F$5,MATCH(Assets!$B$7,Countries!$A$2:$A$5,0)),MAX(INDEX(Countries!$E$2:$E$5,MATCH(Assets!$B$7,Countries!$A$2:$A$5,0)),INDEX(Countries!$D$2:$D$5,MATCH(Assets!$B$7,Countries!$A$2:$A$5,0)))))^(K$3-1)*INDEX(Countries!$C$2:$C$5,MATCH(Assets!$B$7,Countries!$A$2:$A$5,0))/Assets!$H$7,0)</f>
        <v>0</v>
      </c>
      <c r="L16" s="0" t="n">
        <f aca="false">IF(AND(Assets!$G$7&lt;&gt;"",Assets!$G$7&gt;=L$4,Assets!$G$7&lt;EDATE(L$4,12)),Assets!$C$7*Assets!$F$7*(1+MIN(INDEX(Countries!$F$2:$F$5,MATCH(Assets!$B$7,Countries!$A$2:$A$5,0)),MAX(INDEX(Countries!$E$2:$E$5,MATCH(Assets!$B$7,Countries!$A$2:$A$5,0)),INDEX(Countries!$D$2:$D$5,MATCH(Assets!$B$7,Countries!$A$2:$A$5,0)))))^(L$3-1)*INDEX(Countries!$C$2:$C$5,MATCH(Assets!$B$7,Countries!$A$2:$A$5,0))/Assets!$H$7,0)</f>
        <v>0</v>
      </c>
    </row>
    <row r="17" customFormat="false" ht="15" hidden="false" customHeight="false" outlineLevel="0" collapsed="false">
      <c r="A17" s="0" t="s">
        <v>56</v>
      </c>
      <c r="B17" s="0" t="n">
        <f aca="false">IF(AND(B$3&gt;=1,B$3&lt;=Inputs!$B$11,OR(Assets!$G$8="",B$4&lt;Assets!$G$8)),Assets!$C$8*(Assets!$D$8*(1+MIN(INDEX(Countries!$F$2:$F$5,MATCH(Assets!$B$8,Countries!$A$2:$A$5,0)),MAX(INDEX(Countries!$E$2:$E$5,MATCH(Assets!$B$8,Countries!$A$2:$A$5,0)),INDEX(Countries!$D$2:$D$5,MATCH(Assets!$B$8,Countries!$A$2:$A$5,0)))))^(B$3-1)*MAX(0,MIN(1,YEARFRAC(B$4,MIN(Assets!$E$8,EDATE(B$4,12)),1)*(Assets!$E$8&gt;B$4)))+Assets!$F$8*(1+MIN(INDEX(Countries!$F$2:$F$5,MATCH(Assets!$B$8,Countries!$A$2:$A$5,0)),MAX(INDEX(Countries!$E$2:$E$5,MATCH(Assets!$B$8,Countries!$A$2:$A$5,0)),INDEX(Countries!$D$2:$D$5,MATCH(Assets!$B$8,Countries!$A$2:$A$5,0)))))^(B$3-1)*IF(Assets!$E$8&lt;EDATE(B$4,12),(Inputs!$B$13*MAX(0,MIN(12,DATEDIF(MAX(Assets!$E$8,B$4),EDATE(B$4,12),"m")))+(1-Inputs!$B$13)*MAX(0,MAX(0,MIN(12,DATEDIF(MAX(Assets!$E$8,B$4),EDATE(B$4,12),"m")))-MAX(0,Inputs!$B$12-IF(Assets!$E$8&lt;B$4,DATEDIF(Assets!$E$8,B$4,"m"),0))))/12,0))*INDEX(Countries!$C$2:$C$5,MATCH(Assets!$B$8,Countries!$A$2:$A$5,0)),0)</f>
        <v>0</v>
      </c>
      <c r="C17" s="0" t="n">
        <f aca="false">IF(AND(C$3&gt;=1,C$3&lt;=Inputs!$B$11,OR(Assets!$G$8="",C$4&lt;Assets!$G$8)),Assets!$C$8*(Assets!$D$8*(1+MIN(INDEX(Countries!$F$2:$F$5,MATCH(Assets!$B$8,Countries!$A$2:$A$5,0)),MAX(INDEX(Countries!$E$2:$E$5,MATCH(Assets!$B$8,Countries!$A$2:$A$5,0)),INDEX(Countries!$D$2:$D$5,MATCH(Assets!$B$8,Countries!$A$2:$A$5,0)))))^(C$3-1)*MAX(0,MIN(1,YEARFRAC(C$4,MIN(Assets!$E$8,EDATE(C$4,12)),1)*(Assets!$E$8&gt;C$4)))+Assets!$F$8*(1+MIN(INDEX(Countries!$F$2:$F$5,MATCH(Assets!$B$8,Countries!$A$2:$A$5,0)),MAX(INDEX(Countries!$E$2:$E$5,MATCH(Assets!$B$8,Countries!$A$2:$A$5,0)),INDEX(Countries!$D$2:$D$5,MATCH(Assets!$B$8,Countries!$A$2:$A$5,0)))))^(C$3-1)*IF(Assets!$E$8&lt;EDATE(C$4,12),(Inputs!$B$13*MAX(0,MIN(12,DATEDIF(MAX(Assets!$E$8,C$4),EDATE(C$4,12),"m")))+(1-Inputs!$B$13)*MAX(0,MAX(0,MIN(12,DATEDIF(MAX(Assets!$E$8,C$4),EDATE(C$4,12),"m")))-MAX(0,Inputs!$B$12-IF(Assets!$E$8&lt;C$4,DATEDIF(Assets!$E$8,C$4,"m"),0))))/12,0))*INDEX(Countries!$C$2:$C$5,MATCH(Assets!$B$8,Countries!$A$2:$A$5,0)),0)</f>
        <v>6795360</v>
      </c>
      <c r="D17" s="0" t="n">
        <f aca="false">IF(AND(D$3&gt;=1,D$3&lt;=Inputs!$B$11,OR(Assets!$G$8="",D$4&lt;Assets!$G$8)),Assets!$C$8*(Assets!$D$8*(1+MIN(INDEX(Countries!$F$2:$F$5,MATCH(Assets!$B$8,Countries!$A$2:$A$5,0)),MAX(INDEX(Countries!$E$2:$E$5,MATCH(Assets!$B$8,Countries!$A$2:$A$5,0)),INDEX(Countries!$D$2:$D$5,MATCH(Assets!$B$8,Countries!$A$2:$A$5,0)))))^(D$3-1)*MAX(0,MIN(1,YEARFRAC(D$4,MIN(Assets!$E$8,EDATE(D$4,12)),1)*(Assets!$E$8&gt;D$4)))+Assets!$F$8*(1+MIN(INDEX(Countries!$F$2:$F$5,MATCH(Assets!$B$8,Countries!$A$2:$A$5,0)),MAX(INDEX(Countries!$E$2:$E$5,MATCH(Assets!$B$8,Countries!$A$2:$A$5,0)),INDEX(Countries!$D$2:$D$5,MATCH(Assets!$B$8,Countries!$A$2:$A$5,0)))))^(D$3-1)*IF(Assets!$E$8&lt;EDATE(D$4,12),(Inputs!$B$13*MAX(0,MIN(12,DATEDIF(MAX(Assets!$E$8,D$4),EDATE(D$4,12),"m")))+(1-Inputs!$B$13)*MAX(0,MAX(0,MIN(12,DATEDIF(MAX(Assets!$E$8,D$4),EDATE(D$4,12),"m")))-MAX(0,Inputs!$B$12-IF(Assets!$E$8&lt;D$4,DATEDIF(Assets!$E$8,D$4,"m"),0))))/12,0))*INDEX(Countries!$C$2:$C$5,MATCH(Assets!$B$8,Countries!$A$2:$A$5,0)),0)</f>
        <v>6999220.8</v>
      </c>
      <c r="E17" s="0" t="n">
        <f aca="false">IF(AND(E$3&gt;=1,E$3&lt;=Inputs!$B$11,OR(Assets!$G$8="",E$4&lt;Assets!$G$8)),Assets!$C$8*(Assets!$D$8*(1+MIN(INDEX(Countries!$F$2:$F$5,MATCH(Assets!$B$8,Countries!$A$2:$A$5,0)),MAX(INDEX(Countries!$E$2:$E$5,MATCH(Assets!$B$8,Countries!$A$2:$A$5,0)),INDEX(Countries!$D$2:$D$5,MATCH(Assets!$B$8,Countries!$A$2:$A$5,0)))))^(E$3-1)*MAX(0,MIN(1,YEARFRAC(E$4,MIN(Assets!$E$8,EDATE(E$4,12)),1)*(Assets!$E$8&gt;E$4)))+Assets!$F$8*(1+MIN(INDEX(Countries!$F$2:$F$5,MATCH(Assets!$B$8,Countries!$A$2:$A$5,0)),MAX(INDEX(Countries!$E$2:$E$5,MATCH(Assets!$B$8,Countries!$A$2:$A$5,0)),INDEX(Countries!$D$2:$D$5,MATCH(Assets!$B$8,Countries!$A$2:$A$5,0)))))^(E$3-1)*IF(Assets!$E$8&lt;EDATE(E$4,12),(Inputs!$B$13*MAX(0,MIN(12,DATEDIF(MAX(Assets!$E$8,E$4),EDATE(E$4,12),"m")))+(1-Inputs!$B$13)*MAX(0,MAX(0,MIN(12,DATEDIF(MAX(Assets!$E$8,E$4),EDATE(E$4,12),"m")))-MAX(0,Inputs!$B$12-IF(Assets!$E$8&lt;E$4,DATEDIF(Assets!$E$8,E$4,"m"),0))))/12,0))*INDEX(Countries!$C$2:$C$5,MATCH(Assets!$B$8,Countries!$A$2:$A$5,0)),0)</f>
        <v>7209197.424</v>
      </c>
      <c r="F17" s="0" t="n">
        <f aca="false">IF(AND(F$3&gt;=1,F$3&lt;=Inputs!$B$11,OR(Assets!$G$8="",F$4&lt;Assets!$G$8)),Assets!$C$8*(Assets!$D$8*(1+MIN(INDEX(Countries!$F$2:$F$5,MATCH(Assets!$B$8,Countries!$A$2:$A$5,0)),MAX(INDEX(Countries!$E$2:$E$5,MATCH(Assets!$B$8,Countries!$A$2:$A$5,0)),INDEX(Countries!$D$2:$D$5,MATCH(Assets!$B$8,Countries!$A$2:$A$5,0)))))^(F$3-1)*MAX(0,MIN(1,YEARFRAC(F$4,MIN(Assets!$E$8,EDATE(F$4,12)),1)*(Assets!$E$8&gt;F$4)))+Assets!$F$8*(1+MIN(INDEX(Countries!$F$2:$F$5,MATCH(Assets!$B$8,Countries!$A$2:$A$5,0)),MAX(INDEX(Countries!$E$2:$E$5,MATCH(Assets!$B$8,Countries!$A$2:$A$5,0)),INDEX(Countries!$D$2:$D$5,MATCH(Assets!$B$8,Countries!$A$2:$A$5,0)))))^(F$3-1)*IF(Assets!$E$8&lt;EDATE(F$4,12),(Inputs!$B$13*MAX(0,MIN(12,DATEDIF(MAX(Assets!$E$8,F$4),EDATE(F$4,12),"m")))+(1-Inputs!$B$13)*MAX(0,MAX(0,MIN(12,DATEDIF(MAX(Assets!$E$8,F$4),EDATE(F$4,12),"m")))-MAX(0,Inputs!$B$12-IF(Assets!$E$8&lt;F$4,DATEDIF(Assets!$E$8,F$4,"m"),0))))/12,0))*INDEX(Countries!$C$2:$C$5,MATCH(Assets!$B$8,Countries!$A$2:$A$5,0)),0)</f>
        <v>7425473.34672</v>
      </c>
      <c r="G17" s="0" t="n">
        <f aca="false">IF(AND(G$3&gt;=1,G$3&lt;=Inputs!$B$11,OR(Assets!$G$8="",G$4&lt;Assets!$G$8)),Assets!$C$8*(Assets!$D$8*(1+MIN(INDEX(Countries!$F$2:$F$5,MATCH(Assets!$B$8,Countries!$A$2:$A$5,0)),MAX(INDEX(Countries!$E$2:$E$5,MATCH(Assets!$B$8,Countries!$A$2:$A$5,0)),INDEX(Countries!$D$2:$D$5,MATCH(Assets!$B$8,Countries!$A$2:$A$5,0)))))^(G$3-1)*MAX(0,MIN(1,YEARFRAC(G$4,MIN(Assets!$E$8,EDATE(G$4,12)),1)*(Assets!$E$8&gt;G$4)))+Assets!$F$8*(1+MIN(INDEX(Countries!$F$2:$F$5,MATCH(Assets!$B$8,Countries!$A$2:$A$5,0)),MAX(INDEX(Countries!$E$2:$E$5,MATCH(Assets!$B$8,Countries!$A$2:$A$5,0)),INDEX(Countries!$D$2:$D$5,MATCH(Assets!$B$8,Countries!$A$2:$A$5,0)))))^(G$3-1)*IF(Assets!$E$8&lt;EDATE(G$4,12),(Inputs!$B$13*MAX(0,MIN(12,DATEDIF(MAX(Assets!$E$8,G$4),EDATE(G$4,12),"m")))+(1-Inputs!$B$13)*MAX(0,MAX(0,MIN(12,DATEDIF(MAX(Assets!$E$8,G$4),EDATE(G$4,12),"m")))-MAX(0,Inputs!$B$12-IF(Assets!$E$8&lt;G$4,DATEDIF(Assets!$E$8,G$4,"m"),0))))/12,0))*INDEX(Countries!$C$2:$C$5,MATCH(Assets!$B$8,Countries!$A$2:$A$5,0)),0)</f>
        <v>7648237.5471216</v>
      </c>
      <c r="H17" s="0" t="n">
        <f aca="false">IF(AND(H$3&gt;=1,H$3&lt;=Inputs!$B$11,OR(Assets!$G$8="",H$4&lt;Assets!$G$8)),Assets!$C$8*(Assets!$D$8*(1+MIN(INDEX(Countries!$F$2:$F$5,MATCH(Assets!$B$8,Countries!$A$2:$A$5,0)),MAX(INDEX(Countries!$E$2:$E$5,MATCH(Assets!$B$8,Countries!$A$2:$A$5,0)),INDEX(Countries!$D$2:$D$5,MATCH(Assets!$B$8,Countries!$A$2:$A$5,0)))))^(H$3-1)*MAX(0,MIN(1,YEARFRAC(H$4,MIN(Assets!$E$8,EDATE(H$4,12)),1)*(Assets!$E$8&gt;H$4)))+Assets!$F$8*(1+MIN(INDEX(Countries!$F$2:$F$5,MATCH(Assets!$B$8,Countries!$A$2:$A$5,0)),MAX(INDEX(Countries!$E$2:$E$5,MATCH(Assets!$B$8,Countries!$A$2:$A$5,0)),INDEX(Countries!$D$2:$D$5,MATCH(Assets!$B$8,Countries!$A$2:$A$5,0)))))^(H$3-1)*IF(Assets!$E$8&lt;EDATE(H$4,12),(Inputs!$B$13*MAX(0,MIN(12,DATEDIF(MAX(Assets!$E$8,H$4),EDATE(H$4,12),"m")))+(1-Inputs!$B$13)*MAX(0,MAX(0,MIN(12,DATEDIF(MAX(Assets!$E$8,H$4),EDATE(H$4,12),"m")))-MAX(0,Inputs!$B$12-IF(Assets!$E$8&lt;H$4,DATEDIF(Assets!$E$8,H$4,"m"),0))))/12,0))*INDEX(Countries!$C$2:$C$5,MATCH(Assets!$B$8,Countries!$A$2:$A$5,0)),0)</f>
        <v>7877684.67353525</v>
      </c>
      <c r="I17" s="0" t="n">
        <f aca="false">IF(AND(I$3&gt;=1,I$3&lt;=Inputs!$B$11,OR(Assets!$G$8="",I$4&lt;Assets!$G$8)),Assets!$C$8*(Assets!$D$8*(1+MIN(INDEX(Countries!$F$2:$F$5,MATCH(Assets!$B$8,Countries!$A$2:$A$5,0)),MAX(INDEX(Countries!$E$2:$E$5,MATCH(Assets!$B$8,Countries!$A$2:$A$5,0)),INDEX(Countries!$D$2:$D$5,MATCH(Assets!$B$8,Countries!$A$2:$A$5,0)))))^(I$3-1)*MAX(0,MIN(1,YEARFRAC(I$4,MIN(Assets!$E$8,EDATE(I$4,12)),1)*(Assets!$E$8&gt;I$4)))+Assets!$F$8*(1+MIN(INDEX(Countries!$F$2:$F$5,MATCH(Assets!$B$8,Countries!$A$2:$A$5,0)),MAX(INDEX(Countries!$E$2:$E$5,MATCH(Assets!$B$8,Countries!$A$2:$A$5,0)),INDEX(Countries!$D$2:$D$5,MATCH(Assets!$B$8,Countries!$A$2:$A$5,0)))))^(I$3-1)*IF(Assets!$E$8&lt;EDATE(I$4,12),(Inputs!$B$13*MAX(0,MIN(12,DATEDIF(MAX(Assets!$E$8,I$4),EDATE(I$4,12),"m")))+(1-Inputs!$B$13)*MAX(0,MAX(0,MIN(12,DATEDIF(MAX(Assets!$E$8,I$4),EDATE(I$4,12),"m")))-MAX(0,Inputs!$B$12-IF(Assets!$E$8&lt;I$4,DATEDIF(Assets!$E$8,I$4,"m"),0))))/12,0))*INDEX(Countries!$C$2:$C$5,MATCH(Assets!$B$8,Countries!$A$2:$A$5,0)),0)</f>
        <v>5961729.73363309</v>
      </c>
      <c r="J17" s="0" t="n">
        <f aca="false">IF(AND(J$3&gt;=1,J$3&lt;=Inputs!$B$11,OR(Assets!$G$8="",J$4&lt;Assets!$G$8)),Assets!$C$8*(Assets!$D$8*(1+MIN(INDEX(Countries!$F$2:$F$5,MATCH(Assets!$B$8,Countries!$A$2:$A$5,0)),MAX(INDEX(Countries!$E$2:$E$5,MATCH(Assets!$B$8,Countries!$A$2:$A$5,0)),INDEX(Countries!$D$2:$D$5,MATCH(Assets!$B$8,Countries!$A$2:$A$5,0)))))^(J$3-1)*MAX(0,MIN(1,YEARFRAC(J$4,MIN(Assets!$E$8,EDATE(J$4,12)),1)*(Assets!$E$8&gt;J$4)))+Assets!$F$8*(1+MIN(INDEX(Countries!$F$2:$F$5,MATCH(Assets!$B$8,Countries!$A$2:$A$5,0)),MAX(INDEX(Countries!$E$2:$E$5,MATCH(Assets!$B$8,Countries!$A$2:$A$5,0)),INDEX(Countries!$D$2:$D$5,MATCH(Assets!$B$8,Countries!$A$2:$A$5,0)))))^(J$3-1)*IF(Assets!$E$8&lt;EDATE(J$4,12),(Inputs!$B$13*MAX(0,MIN(12,DATEDIF(MAX(Assets!$E$8,J$4),EDATE(J$4,12),"m")))+(1-Inputs!$B$13)*MAX(0,MAX(0,MIN(12,DATEDIF(MAX(Assets!$E$8,J$4),EDATE(J$4,12),"m")))-MAX(0,Inputs!$B$12-IF(Assets!$E$8&lt;J$4,DATEDIF(Assets!$E$8,J$4,"m"),0))))/12,0))*INDEX(Countries!$C$2:$C$5,MATCH(Assets!$B$8,Countries!$A$2:$A$5,0)),0)</f>
        <v>0</v>
      </c>
      <c r="K17" s="0" t="n">
        <f aca="false">IF(AND(K$3&gt;=1,K$3&lt;=Inputs!$B$11,OR(Assets!$G$8="",K$4&lt;Assets!$G$8)),Assets!$C$8*(Assets!$D$8*(1+MIN(INDEX(Countries!$F$2:$F$5,MATCH(Assets!$B$8,Countries!$A$2:$A$5,0)),MAX(INDEX(Countries!$E$2:$E$5,MATCH(Assets!$B$8,Countries!$A$2:$A$5,0)),INDEX(Countries!$D$2:$D$5,MATCH(Assets!$B$8,Countries!$A$2:$A$5,0)))))^(K$3-1)*MAX(0,MIN(1,YEARFRAC(K$4,MIN(Assets!$E$8,EDATE(K$4,12)),1)*(Assets!$E$8&gt;K$4)))+Assets!$F$8*(1+MIN(INDEX(Countries!$F$2:$F$5,MATCH(Assets!$B$8,Countries!$A$2:$A$5,0)),MAX(INDEX(Countries!$E$2:$E$5,MATCH(Assets!$B$8,Countries!$A$2:$A$5,0)),INDEX(Countries!$D$2:$D$5,MATCH(Assets!$B$8,Countries!$A$2:$A$5,0)))))^(K$3-1)*IF(Assets!$E$8&lt;EDATE(K$4,12),(Inputs!$B$13*MAX(0,MIN(12,DATEDIF(MAX(Assets!$E$8,K$4),EDATE(K$4,12),"m")))+(1-Inputs!$B$13)*MAX(0,MAX(0,MIN(12,DATEDIF(MAX(Assets!$E$8,K$4),EDATE(K$4,12),"m")))-MAX(0,Inputs!$B$12-IF(Assets!$E$8&lt;K$4,DATEDIF(Assets!$E$8,K$4,"m"),0))))/12,0))*INDEX(Countries!$C$2:$C$5,MATCH(Assets!$B$8,Countries!$A$2:$A$5,0)),0)</f>
        <v>0</v>
      </c>
      <c r="L17" s="0" t="n">
        <f aca="false">IF(AND(L$3&gt;=1,L$3&lt;=Inputs!$B$11,OR(Assets!$G$8="",L$4&lt;Assets!$G$8)),Assets!$C$8*(Assets!$D$8*(1+MIN(INDEX(Countries!$F$2:$F$5,MATCH(Assets!$B$8,Countries!$A$2:$A$5,0)),MAX(INDEX(Countries!$E$2:$E$5,MATCH(Assets!$B$8,Countries!$A$2:$A$5,0)),INDEX(Countries!$D$2:$D$5,MATCH(Assets!$B$8,Countries!$A$2:$A$5,0)))))^(L$3-1)*MAX(0,MIN(1,YEARFRAC(L$4,MIN(Assets!$E$8,EDATE(L$4,12)),1)*(Assets!$E$8&gt;L$4)))+Assets!$F$8*(1+MIN(INDEX(Countries!$F$2:$F$5,MATCH(Assets!$B$8,Countries!$A$2:$A$5,0)),MAX(INDEX(Countries!$E$2:$E$5,MATCH(Assets!$B$8,Countries!$A$2:$A$5,0)),INDEX(Countries!$D$2:$D$5,MATCH(Assets!$B$8,Countries!$A$2:$A$5,0)))))^(L$3-1)*IF(Assets!$E$8&lt;EDATE(L$4,12),(Inputs!$B$13*MAX(0,MIN(12,DATEDIF(MAX(Assets!$E$8,L$4),EDATE(L$4,12),"m")))+(1-Inputs!$B$13)*MAX(0,MAX(0,MIN(12,DATEDIF(MAX(Assets!$E$8,L$4),EDATE(L$4,12),"m")))-MAX(0,Inputs!$B$12-IF(Assets!$E$8&lt;L$4,DATEDIF(Assets!$E$8,L$4,"m"),0))))/12,0))*INDEX(Countries!$C$2:$C$5,MATCH(Assets!$B$8,Countries!$A$2:$A$5,0)),0)</f>
        <v>0</v>
      </c>
    </row>
    <row r="18" customFormat="false" ht="15" hidden="false" customHeight="false" outlineLevel="0" collapsed="false">
      <c r="A18" s="0" t="s">
        <v>57</v>
      </c>
      <c r="B18" s="0" t="n">
        <f aca="false">IF(AND(Assets!$G$8&lt;&gt;"",Assets!$G$8&gt;=B$4,Assets!$G$8&lt;EDATE(B$4,12)),Assets!$C$8*Assets!$F$8*(1+MIN(INDEX(Countries!$F$2:$F$5,MATCH(Assets!$B$8,Countries!$A$2:$A$5,0)),MAX(INDEX(Countries!$E$2:$E$5,MATCH(Assets!$B$8,Countries!$A$2:$A$5,0)),INDEX(Countries!$D$2:$D$5,MATCH(Assets!$B$8,Countries!$A$2:$A$5,0)))))^(B$3-1)*INDEX(Countries!$C$2:$C$5,MATCH(Assets!$B$8,Countries!$A$2:$A$5,0))/Assets!$H$8,0)</f>
        <v>0</v>
      </c>
      <c r="C18" s="0" t="n">
        <f aca="false">IF(AND(Assets!$G$8&lt;&gt;"",Assets!$G$8&gt;=C$4,Assets!$G$8&lt;EDATE(C$4,12)),Assets!$C$8*Assets!$F$8*(1+MIN(INDEX(Countries!$F$2:$F$5,MATCH(Assets!$B$8,Countries!$A$2:$A$5,0)),MAX(INDEX(Countries!$E$2:$E$5,MATCH(Assets!$B$8,Countries!$A$2:$A$5,0)),INDEX(Countries!$D$2:$D$5,MATCH(Assets!$B$8,Countries!$A$2:$A$5,0)))))^(C$3-1)*INDEX(Countries!$C$2:$C$5,MATCH(Assets!$B$8,Countries!$A$2:$A$5,0))/Assets!$H$8,0)</f>
        <v>0</v>
      </c>
      <c r="D18" s="0" t="n">
        <f aca="false">IF(AND(Assets!$G$8&lt;&gt;"",Assets!$G$8&gt;=D$4,Assets!$G$8&lt;EDATE(D$4,12)),Assets!$C$8*Assets!$F$8*(1+MIN(INDEX(Countries!$F$2:$F$5,MATCH(Assets!$B$8,Countries!$A$2:$A$5,0)),MAX(INDEX(Countries!$E$2:$E$5,MATCH(Assets!$B$8,Countries!$A$2:$A$5,0)),INDEX(Countries!$D$2:$D$5,MATCH(Assets!$B$8,Countries!$A$2:$A$5,0)))))^(D$3-1)*INDEX(Countries!$C$2:$C$5,MATCH(Assets!$B$8,Countries!$A$2:$A$5,0))/Assets!$H$8,0)</f>
        <v>0</v>
      </c>
      <c r="E18" s="0" t="n">
        <f aca="false">IF(AND(Assets!$G$8&lt;&gt;"",Assets!$G$8&gt;=E$4,Assets!$G$8&lt;EDATE(E$4,12)),Assets!$C$8*Assets!$F$8*(1+MIN(INDEX(Countries!$F$2:$F$5,MATCH(Assets!$B$8,Countries!$A$2:$A$5,0)),MAX(INDEX(Countries!$E$2:$E$5,MATCH(Assets!$B$8,Countries!$A$2:$A$5,0)),INDEX(Countries!$D$2:$D$5,MATCH(Assets!$B$8,Countries!$A$2:$A$5,0)))))^(E$3-1)*INDEX(Countries!$C$2:$C$5,MATCH(Assets!$B$8,Countries!$A$2:$A$5,0))/Assets!$H$8,0)</f>
        <v>0</v>
      </c>
      <c r="F18" s="0" t="n">
        <f aca="false">IF(AND(Assets!$G$8&lt;&gt;"",Assets!$G$8&gt;=F$4,Assets!$G$8&lt;EDATE(F$4,12)),Assets!$C$8*Assets!$F$8*(1+MIN(INDEX(Countries!$F$2:$F$5,MATCH(Assets!$B$8,Countries!$A$2:$A$5,0)),MAX(INDEX(Countries!$E$2:$E$5,MATCH(Assets!$B$8,Countries!$A$2:$A$5,0)),INDEX(Countries!$D$2:$D$5,MATCH(Assets!$B$8,Countries!$A$2:$A$5,0)))))^(F$3-1)*INDEX(Countries!$C$2:$C$5,MATCH(Assets!$B$8,Countries!$A$2:$A$5,0))/Assets!$H$8,0)</f>
        <v>0</v>
      </c>
      <c r="G18" s="0" t="n">
        <f aca="false">IF(AND(Assets!$G$8&lt;&gt;"",Assets!$G$8&gt;=G$4,Assets!$G$8&lt;EDATE(G$4,12)),Assets!$C$8*Assets!$F$8*(1+MIN(INDEX(Countries!$F$2:$F$5,MATCH(Assets!$B$8,Countries!$A$2:$A$5,0)),MAX(INDEX(Countries!$E$2:$E$5,MATCH(Assets!$B$8,Countries!$A$2:$A$5,0)),INDEX(Countries!$D$2:$D$5,MATCH(Assets!$B$8,Countries!$A$2:$A$5,0)))))^(G$3-1)*INDEX(Countries!$C$2:$C$5,MATCH(Assets!$B$8,Countries!$A$2:$A$5,0))/Assets!$H$8,0)</f>
        <v>0</v>
      </c>
      <c r="H18" s="0" t="n">
        <f aca="false">IF(AND(Assets!$G$8&lt;&gt;"",Assets!$G$8&gt;=H$4,Assets!$G$8&lt;EDATE(H$4,12)),Assets!$C$8*Assets!$F$8*(1+MIN(INDEX(Countries!$F$2:$F$5,MATCH(Assets!$B$8,Countries!$A$2:$A$5,0)),MAX(INDEX(Countries!$E$2:$E$5,MATCH(Assets!$B$8,Countries!$A$2:$A$5,0)),INDEX(Countries!$D$2:$D$5,MATCH(Assets!$B$8,Countries!$A$2:$A$5,0)))))^(H$3-1)*INDEX(Countries!$C$2:$C$5,MATCH(Assets!$B$8,Countries!$A$2:$A$5,0))/Assets!$H$8,0)</f>
        <v>0</v>
      </c>
      <c r="I18" s="0" t="n">
        <f aca="false">IF(AND(Assets!$G$8&lt;&gt;"",Assets!$G$8&gt;=I$4,Assets!$G$8&lt;EDATE(I$4,12)),Assets!$C$8*Assets!$F$8*(1+MIN(INDEX(Countries!$F$2:$F$5,MATCH(Assets!$B$8,Countries!$A$2:$A$5,0)),MAX(INDEX(Countries!$E$2:$E$5,MATCH(Assets!$B$8,Countries!$A$2:$A$5,0)),INDEX(Countries!$D$2:$D$5,MATCH(Assets!$B$8,Countries!$A$2:$A$5,0)))))^(I$3-1)*INDEX(Countries!$C$2:$C$5,MATCH(Assets!$B$8,Countries!$A$2:$A$5,0))/Assets!$H$8,0)</f>
        <v>0</v>
      </c>
      <c r="J18" s="0" t="n">
        <f aca="false">IF(AND(Assets!$G$8&lt;&gt;"",Assets!$G$8&gt;=J$4,Assets!$G$8&lt;EDATE(J$4,12)),Assets!$C$8*Assets!$F$8*(1+MIN(INDEX(Countries!$F$2:$F$5,MATCH(Assets!$B$8,Countries!$A$2:$A$5,0)),MAX(INDEX(Countries!$E$2:$E$5,MATCH(Assets!$B$8,Countries!$A$2:$A$5,0)),INDEX(Countries!$D$2:$D$5,MATCH(Assets!$B$8,Countries!$A$2:$A$5,0)))))^(J$3-1)*INDEX(Countries!$C$2:$C$5,MATCH(Assets!$B$8,Countries!$A$2:$A$5,0))/Assets!$H$8,0)</f>
        <v>0</v>
      </c>
      <c r="K18" s="0" t="n">
        <f aca="false">IF(AND(Assets!$G$8&lt;&gt;"",Assets!$G$8&gt;=K$4,Assets!$G$8&lt;EDATE(K$4,12)),Assets!$C$8*Assets!$F$8*(1+MIN(INDEX(Countries!$F$2:$F$5,MATCH(Assets!$B$8,Countries!$A$2:$A$5,0)),MAX(INDEX(Countries!$E$2:$E$5,MATCH(Assets!$B$8,Countries!$A$2:$A$5,0)),INDEX(Countries!$D$2:$D$5,MATCH(Assets!$B$8,Countries!$A$2:$A$5,0)))))^(K$3-1)*INDEX(Countries!$C$2:$C$5,MATCH(Assets!$B$8,Countries!$A$2:$A$5,0))/Assets!$H$8,0)</f>
        <v>0</v>
      </c>
      <c r="L18" s="0" t="n">
        <f aca="false">IF(AND(Assets!$G$8&lt;&gt;"",Assets!$G$8&gt;=L$4,Assets!$G$8&lt;EDATE(L$4,12)),Assets!$C$8*Assets!$F$8*(1+MIN(INDEX(Countries!$F$2:$F$5,MATCH(Assets!$B$8,Countries!$A$2:$A$5,0)),MAX(INDEX(Countries!$E$2:$E$5,MATCH(Assets!$B$8,Countries!$A$2:$A$5,0)),INDEX(Countries!$D$2:$D$5,MATCH(Assets!$B$8,Countries!$A$2:$A$5,0)))))^(L$3-1)*INDEX(Countries!$C$2:$C$5,MATCH(Assets!$B$8,Countries!$A$2:$A$5,0))/Assets!$H$8,0)</f>
        <v>0</v>
      </c>
    </row>
    <row r="19" customFormat="false" ht="15" hidden="false" customHeight="false" outlineLevel="0" collapsed="false">
      <c r="A19" s="0" t="s">
        <v>58</v>
      </c>
      <c r="B19" s="0" t="n">
        <f aca="false">IF(AND(B$3&gt;=1,B$3&lt;=Inputs!$B$11,OR(Assets!$G$9="",B$4&lt;Assets!$G$9)),Assets!$C$9*(Assets!$D$9*(1+MIN(INDEX(Countries!$F$2:$F$5,MATCH(Assets!$B$9,Countries!$A$2:$A$5,0)),MAX(INDEX(Countries!$E$2:$E$5,MATCH(Assets!$B$9,Countries!$A$2:$A$5,0)),INDEX(Countries!$D$2:$D$5,MATCH(Assets!$B$9,Countries!$A$2:$A$5,0)))))^(B$3-1)*MAX(0,MIN(1,YEARFRAC(B$4,MIN(Assets!$E$9,EDATE(B$4,12)),1)*(Assets!$E$9&gt;B$4)))+Assets!$F$9*(1+MIN(INDEX(Countries!$F$2:$F$5,MATCH(Assets!$B$9,Countries!$A$2:$A$5,0)),MAX(INDEX(Countries!$E$2:$E$5,MATCH(Assets!$B$9,Countries!$A$2:$A$5,0)),INDEX(Countries!$D$2:$D$5,MATCH(Assets!$B$9,Countries!$A$2:$A$5,0)))))^(B$3-1)*IF(Assets!$E$9&lt;EDATE(B$4,12),(Inputs!$B$13*MAX(0,MIN(12,DATEDIF(MAX(Assets!$E$9,B$4),EDATE(B$4,12),"m")))+(1-Inputs!$B$13)*MAX(0,MAX(0,MIN(12,DATEDIF(MAX(Assets!$E$9,B$4),EDATE(B$4,12),"m")))-MAX(0,Inputs!$B$12-IF(Assets!$E$9&lt;B$4,DATEDIF(Assets!$E$9,B$4,"m"),0))))/12,0))*INDEX(Countries!$C$2:$C$5,MATCH(Assets!$B$9,Countries!$A$2:$A$5,0)),0)</f>
        <v>0</v>
      </c>
      <c r="C19" s="0" t="n">
        <f aca="false">IF(AND(C$3&gt;=1,C$3&lt;=Inputs!$B$11,OR(Assets!$G$9="",C$4&lt;Assets!$G$9)),Assets!$C$9*(Assets!$D$9*(1+MIN(INDEX(Countries!$F$2:$F$5,MATCH(Assets!$B$9,Countries!$A$2:$A$5,0)),MAX(INDEX(Countries!$E$2:$E$5,MATCH(Assets!$B$9,Countries!$A$2:$A$5,0)),INDEX(Countries!$D$2:$D$5,MATCH(Assets!$B$9,Countries!$A$2:$A$5,0)))))^(C$3-1)*MAX(0,MIN(1,YEARFRAC(C$4,MIN(Assets!$E$9,EDATE(C$4,12)),1)*(Assets!$E$9&gt;C$4)))+Assets!$F$9*(1+MIN(INDEX(Countries!$F$2:$F$5,MATCH(Assets!$B$9,Countries!$A$2:$A$5,0)),MAX(INDEX(Countries!$E$2:$E$5,MATCH(Assets!$B$9,Countries!$A$2:$A$5,0)),INDEX(Countries!$D$2:$D$5,MATCH(Assets!$B$9,Countries!$A$2:$A$5,0)))))^(C$3-1)*IF(Assets!$E$9&lt;EDATE(C$4,12),(Inputs!$B$13*MAX(0,MIN(12,DATEDIF(MAX(Assets!$E$9,C$4),EDATE(C$4,12),"m")))+(1-Inputs!$B$13)*MAX(0,MAX(0,MIN(12,DATEDIF(MAX(Assets!$E$9,C$4),EDATE(C$4,12),"m")))-MAX(0,Inputs!$B$12-IF(Assets!$E$9&lt;C$4,DATEDIF(Assets!$E$9,C$4,"m"),0))))/12,0))*INDEX(Countries!$C$2:$C$5,MATCH(Assets!$B$9,Countries!$A$2:$A$5,0)),0)</f>
        <v>5962320</v>
      </c>
      <c r="D19" s="0" t="n">
        <f aca="false">IF(AND(D$3&gt;=1,D$3&lt;=Inputs!$B$11,OR(Assets!$G$9="",D$4&lt;Assets!$G$9)),Assets!$C$9*(Assets!$D$9*(1+MIN(INDEX(Countries!$F$2:$F$5,MATCH(Assets!$B$9,Countries!$A$2:$A$5,0)),MAX(INDEX(Countries!$E$2:$E$5,MATCH(Assets!$B$9,Countries!$A$2:$A$5,0)),INDEX(Countries!$D$2:$D$5,MATCH(Assets!$B$9,Countries!$A$2:$A$5,0)))))^(D$3-1)*MAX(0,MIN(1,YEARFRAC(D$4,MIN(Assets!$E$9,EDATE(D$4,12)),1)*(Assets!$E$9&gt;D$4)))+Assets!$F$9*(1+MIN(INDEX(Countries!$F$2:$F$5,MATCH(Assets!$B$9,Countries!$A$2:$A$5,0)),MAX(INDEX(Countries!$E$2:$E$5,MATCH(Assets!$B$9,Countries!$A$2:$A$5,0)),INDEX(Countries!$D$2:$D$5,MATCH(Assets!$B$9,Countries!$A$2:$A$5,0)))))^(D$3-1)*IF(Assets!$E$9&lt;EDATE(D$4,12),(Inputs!$B$13*MAX(0,MIN(12,DATEDIF(MAX(Assets!$E$9,D$4),EDATE(D$4,12),"m")))+(1-Inputs!$B$13)*MAX(0,MAX(0,MIN(12,DATEDIF(MAX(Assets!$E$9,D$4),EDATE(D$4,12),"m")))-MAX(0,Inputs!$B$12-IF(Assets!$E$9&lt;D$4,DATEDIF(Assets!$E$9,D$4,"m"),0))))/12,0))*INDEX(Countries!$C$2:$C$5,MATCH(Assets!$B$9,Countries!$A$2:$A$5,0)),0)</f>
        <v>4442859.95016393</v>
      </c>
      <c r="E19" s="0" t="n">
        <f aca="false">IF(AND(E$3&gt;=1,E$3&lt;=Inputs!$B$11,OR(Assets!$G$9="",E$4&lt;Assets!$G$9)),Assets!$C$9*(Assets!$D$9*(1+MIN(INDEX(Countries!$F$2:$F$5,MATCH(Assets!$B$9,Countries!$A$2:$A$5,0)),MAX(INDEX(Countries!$E$2:$E$5,MATCH(Assets!$B$9,Countries!$A$2:$A$5,0)),INDEX(Countries!$D$2:$D$5,MATCH(Assets!$B$9,Countries!$A$2:$A$5,0)))))^(E$3-1)*MAX(0,MIN(1,YEARFRAC(E$4,MIN(Assets!$E$9,EDATE(E$4,12)),1)*(Assets!$E$9&gt;E$4)))+Assets!$F$9*(1+MIN(INDEX(Countries!$F$2:$F$5,MATCH(Assets!$B$9,Countries!$A$2:$A$5,0)),MAX(INDEX(Countries!$E$2:$E$5,MATCH(Assets!$B$9,Countries!$A$2:$A$5,0)),INDEX(Countries!$D$2:$D$5,MATCH(Assets!$B$9,Countries!$A$2:$A$5,0)))))^(E$3-1)*IF(Assets!$E$9&lt;EDATE(E$4,12),(Inputs!$B$13*MAX(0,MIN(12,DATEDIF(MAX(Assets!$E$9,E$4),EDATE(E$4,12),"m")))+(1-Inputs!$B$13)*MAX(0,MAX(0,MIN(12,DATEDIF(MAX(Assets!$E$9,E$4),EDATE(E$4,12),"m")))-MAX(0,Inputs!$B$12-IF(Assets!$E$9&lt;E$4,DATEDIF(Assets!$E$9,E$4,"m"),0))))/12,0))*INDEX(Countries!$C$2:$C$5,MATCH(Assets!$B$9,Countries!$A$2:$A$5,0)),0)</f>
        <v>6712696.224</v>
      </c>
      <c r="F19" s="0" t="n">
        <f aca="false">IF(AND(F$3&gt;=1,F$3&lt;=Inputs!$B$11,OR(Assets!$G$9="",F$4&lt;Assets!$G$9)),Assets!$C$9*(Assets!$D$9*(1+MIN(INDEX(Countries!$F$2:$F$5,MATCH(Assets!$B$9,Countries!$A$2:$A$5,0)),MAX(INDEX(Countries!$E$2:$E$5,MATCH(Assets!$B$9,Countries!$A$2:$A$5,0)),INDEX(Countries!$D$2:$D$5,MATCH(Assets!$B$9,Countries!$A$2:$A$5,0)))))^(F$3-1)*MAX(0,MIN(1,YEARFRAC(F$4,MIN(Assets!$E$9,EDATE(F$4,12)),1)*(Assets!$E$9&gt;F$4)))+Assets!$F$9*(1+MIN(INDEX(Countries!$F$2:$F$5,MATCH(Assets!$B$9,Countries!$A$2:$A$5,0)),MAX(INDEX(Countries!$E$2:$E$5,MATCH(Assets!$B$9,Countries!$A$2:$A$5,0)),INDEX(Countries!$D$2:$D$5,MATCH(Assets!$B$9,Countries!$A$2:$A$5,0)))))^(F$3-1)*IF(Assets!$E$9&lt;EDATE(F$4,12),(Inputs!$B$13*MAX(0,MIN(12,DATEDIF(MAX(Assets!$E$9,F$4),EDATE(F$4,12),"m")))+(1-Inputs!$B$13)*MAX(0,MAX(0,MIN(12,DATEDIF(MAX(Assets!$E$9,F$4),EDATE(F$4,12),"m")))-MAX(0,Inputs!$B$12-IF(Assets!$E$9&lt;F$4,DATEDIF(Assets!$E$9,F$4,"m"),0))))/12,0))*INDEX(Countries!$C$2:$C$5,MATCH(Assets!$B$9,Countries!$A$2:$A$5,0)),0)</f>
        <v>6914077.11072</v>
      </c>
      <c r="G19" s="0" t="n">
        <f aca="false">IF(AND(G$3&gt;=1,G$3&lt;=Inputs!$B$11,OR(Assets!$G$9="",G$4&lt;Assets!$G$9)),Assets!$C$9*(Assets!$D$9*(1+MIN(INDEX(Countries!$F$2:$F$5,MATCH(Assets!$B$9,Countries!$A$2:$A$5,0)),MAX(INDEX(Countries!$E$2:$E$5,MATCH(Assets!$B$9,Countries!$A$2:$A$5,0)),INDEX(Countries!$D$2:$D$5,MATCH(Assets!$B$9,Countries!$A$2:$A$5,0)))))^(G$3-1)*MAX(0,MIN(1,YEARFRAC(G$4,MIN(Assets!$E$9,EDATE(G$4,12)),1)*(Assets!$E$9&gt;G$4)))+Assets!$F$9*(1+MIN(INDEX(Countries!$F$2:$F$5,MATCH(Assets!$B$9,Countries!$A$2:$A$5,0)),MAX(INDEX(Countries!$E$2:$E$5,MATCH(Assets!$B$9,Countries!$A$2:$A$5,0)),INDEX(Countries!$D$2:$D$5,MATCH(Assets!$B$9,Countries!$A$2:$A$5,0)))))^(G$3-1)*IF(Assets!$E$9&lt;EDATE(G$4,12),(Inputs!$B$13*MAX(0,MIN(12,DATEDIF(MAX(Assets!$E$9,G$4),EDATE(G$4,12),"m")))+(1-Inputs!$B$13)*MAX(0,MAX(0,MIN(12,DATEDIF(MAX(Assets!$E$9,G$4),EDATE(G$4,12),"m")))-MAX(0,Inputs!$B$12-IF(Assets!$E$9&lt;G$4,DATEDIF(Assets!$E$9,G$4,"m"),0))))/12,0))*INDEX(Countries!$C$2:$C$5,MATCH(Assets!$B$9,Countries!$A$2:$A$5,0)),0)</f>
        <v>7121499.4240416</v>
      </c>
      <c r="H19" s="0" t="n">
        <f aca="false">IF(AND(H$3&gt;=1,H$3&lt;=Inputs!$B$11,OR(Assets!$G$9="",H$4&lt;Assets!$G$9)),Assets!$C$9*(Assets!$D$9*(1+MIN(INDEX(Countries!$F$2:$F$5,MATCH(Assets!$B$9,Countries!$A$2:$A$5,0)),MAX(INDEX(Countries!$E$2:$E$5,MATCH(Assets!$B$9,Countries!$A$2:$A$5,0)),INDEX(Countries!$D$2:$D$5,MATCH(Assets!$B$9,Countries!$A$2:$A$5,0)))))^(H$3-1)*MAX(0,MIN(1,YEARFRAC(H$4,MIN(Assets!$E$9,EDATE(H$4,12)),1)*(Assets!$E$9&gt;H$4)))+Assets!$F$9*(1+MIN(INDEX(Countries!$F$2:$F$5,MATCH(Assets!$B$9,Countries!$A$2:$A$5,0)),MAX(INDEX(Countries!$E$2:$E$5,MATCH(Assets!$B$9,Countries!$A$2:$A$5,0)),INDEX(Countries!$D$2:$D$5,MATCH(Assets!$B$9,Countries!$A$2:$A$5,0)))))^(H$3-1)*IF(Assets!$E$9&lt;EDATE(H$4,12),(Inputs!$B$13*MAX(0,MIN(12,DATEDIF(MAX(Assets!$E$9,H$4),EDATE(H$4,12),"m")))+(1-Inputs!$B$13)*MAX(0,MAX(0,MIN(12,DATEDIF(MAX(Assets!$E$9,H$4),EDATE(H$4,12),"m")))-MAX(0,Inputs!$B$12-IF(Assets!$E$9&lt;H$4,DATEDIF(Assets!$E$9,H$4,"m"),0))))/12,0))*INDEX(Countries!$C$2:$C$5,MATCH(Assets!$B$9,Countries!$A$2:$A$5,0)),0)</f>
        <v>7335144.40676285</v>
      </c>
      <c r="I19" s="0" t="n">
        <f aca="false">IF(AND(I$3&gt;=1,I$3&lt;=Inputs!$B$11,OR(Assets!$G$9="",I$4&lt;Assets!$G$9)),Assets!$C$9*(Assets!$D$9*(1+MIN(INDEX(Countries!$F$2:$F$5,MATCH(Assets!$B$9,Countries!$A$2:$A$5,0)),MAX(INDEX(Countries!$E$2:$E$5,MATCH(Assets!$B$9,Countries!$A$2:$A$5,0)),INDEX(Countries!$D$2:$D$5,MATCH(Assets!$B$9,Countries!$A$2:$A$5,0)))))^(I$3-1)*MAX(0,MIN(1,YEARFRAC(I$4,MIN(Assets!$E$9,EDATE(I$4,12)),1)*(Assets!$E$9&gt;I$4)))+Assets!$F$9*(1+MIN(INDEX(Countries!$F$2:$F$5,MATCH(Assets!$B$9,Countries!$A$2:$A$5,0)),MAX(INDEX(Countries!$E$2:$E$5,MATCH(Assets!$B$9,Countries!$A$2:$A$5,0)),INDEX(Countries!$D$2:$D$5,MATCH(Assets!$B$9,Countries!$A$2:$A$5,0)))))^(I$3-1)*IF(Assets!$E$9&lt;EDATE(I$4,12),(Inputs!$B$13*MAX(0,MIN(12,DATEDIF(MAX(Assets!$E$9,I$4),EDATE(I$4,12),"m")))+(1-Inputs!$B$13)*MAX(0,MAX(0,MIN(12,DATEDIF(MAX(Assets!$E$9,I$4),EDATE(I$4,12),"m")))-MAX(0,Inputs!$B$12-IF(Assets!$E$9&lt;I$4,DATEDIF(Assets!$E$9,I$4,"m"),0))))/12,0))*INDEX(Countries!$C$2:$C$5,MATCH(Assets!$B$9,Countries!$A$2:$A$5,0)),0)</f>
        <v>7555198.73896573</v>
      </c>
      <c r="J19" s="0" t="n">
        <f aca="false">IF(AND(J$3&gt;=1,J$3&lt;=Inputs!$B$11,OR(Assets!$G$9="",J$4&lt;Assets!$G$9)),Assets!$C$9*(Assets!$D$9*(1+MIN(INDEX(Countries!$F$2:$F$5,MATCH(Assets!$B$9,Countries!$A$2:$A$5,0)),MAX(INDEX(Countries!$E$2:$E$5,MATCH(Assets!$B$9,Countries!$A$2:$A$5,0)),INDEX(Countries!$D$2:$D$5,MATCH(Assets!$B$9,Countries!$A$2:$A$5,0)))))^(J$3-1)*MAX(0,MIN(1,YEARFRAC(J$4,MIN(Assets!$E$9,EDATE(J$4,12)),1)*(Assets!$E$9&gt;J$4)))+Assets!$F$9*(1+MIN(INDEX(Countries!$F$2:$F$5,MATCH(Assets!$B$9,Countries!$A$2:$A$5,0)),MAX(INDEX(Countries!$E$2:$E$5,MATCH(Assets!$B$9,Countries!$A$2:$A$5,0)),INDEX(Countries!$D$2:$D$5,MATCH(Assets!$B$9,Countries!$A$2:$A$5,0)))))^(J$3-1)*IF(Assets!$E$9&lt;EDATE(J$4,12),(Inputs!$B$13*MAX(0,MIN(12,DATEDIF(MAX(Assets!$E$9,J$4),EDATE(J$4,12),"m")))+(1-Inputs!$B$13)*MAX(0,MAX(0,MIN(12,DATEDIF(MAX(Assets!$E$9,J$4),EDATE(J$4,12),"m")))-MAX(0,Inputs!$B$12-IF(Assets!$E$9&lt;J$4,DATEDIF(Assets!$E$9,J$4,"m"),0))))/12,0))*INDEX(Countries!$C$2:$C$5,MATCH(Assets!$B$9,Countries!$A$2:$A$5,0)),0)</f>
        <v>0</v>
      </c>
      <c r="K19" s="0" t="n">
        <f aca="false">IF(AND(K$3&gt;=1,K$3&lt;=Inputs!$B$11,OR(Assets!$G$9="",K$4&lt;Assets!$G$9)),Assets!$C$9*(Assets!$D$9*(1+MIN(INDEX(Countries!$F$2:$F$5,MATCH(Assets!$B$9,Countries!$A$2:$A$5,0)),MAX(INDEX(Countries!$E$2:$E$5,MATCH(Assets!$B$9,Countries!$A$2:$A$5,0)),INDEX(Countries!$D$2:$D$5,MATCH(Assets!$B$9,Countries!$A$2:$A$5,0)))))^(K$3-1)*MAX(0,MIN(1,YEARFRAC(K$4,MIN(Assets!$E$9,EDATE(K$4,12)),1)*(Assets!$E$9&gt;K$4)))+Assets!$F$9*(1+MIN(INDEX(Countries!$F$2:$F$5,MATCH(Assets!$B$9,Countries!$A$2:$A$5,0)),MAX(INDEX(Countries!$E$2:$E$5,MATCH(Assets!$B$9,Countries!$A$2:$A$5,0)),INDEX(Countries!$D$2:$D$5,MATCH(Assets!$B$9,Countries!$A$2:$A$5,0)))))^(K$3-1)*IF(Assets!$E$9&lt;EDATE(K$4,12),(Inputs!$B$13*MAX(0,MIN(12,DATEDIF(MAX(Assets!$E$9,K$4),EDATE(K$4,12),"m")))+(1-Inputs!$B$13)*MAX(0,MAX(0,MIN(12,DATEDIF(MAX(Assets!$E$9,K$4),EDATE(K$4,12),"m")))-MAX(0,Inputs!$B$12-IF(Assets!$E$9&lt;K$4,DATEDIF(Assets!$E$9,K$4,"m"),0))))/12,0))*INDEX(Countries!$C$2:$C$5,MATCH(Assets!$B$9,Countries!$A$2:$A$5,0)),0)</f>
        <v>0</v>
      </c>
      <c r="L19" s="0" t="n">
        <f aca="false">IF(AND(L$3&gt;=1,L$3&lt;=Inputs!$B$11,OR(Assets!$G$9="",L$4&lt;Assets!$G$9)),Assets!$C$9*(Assets!$D$9*(1+MIN(INDEX(Countries!$F$2:$F$5,MATCH(Assets!$B$9,Countries!$A$2:$A$5,0)),MAX(INDEX(Countries!$E$2:$E$5,MATCH(Assets!$B$9,Countries!$A$2:$A$5,0)),INDEX(Countries!$D$2:$D$5,MATCH(Assets!$B$9,Countries!$A$2:$A$5,0)))))^(L$3-1)*MAX(0,MIN(1,YEARFRAC(L$4,MIN(Assets!$E$9,EDATE(L$4,12)),1)*(Assets!$E$9&gt;L$4)))+Assets!$F$9*(1+MIN(INDEX(Countries!$F$2:$F$5,MATCH(Assets!$B$9,Countries!$A$2:$A$5,0)),MAX(INDEX(Countries!$E$2:$E$5,MATCH(Assets!$B$9,Countries!$A$2:$A$5,0)),INDEX(Countries!$D$2:$D$5,MATCH(Assets!$B$9,Countries!$A$2:$A$5,0)))))^(L$3-1)*IF(Assets!$E$9&lt;EDATE(L$4,12),(Inputs!$B$13*MAX(0,MIN(12,DATEDIF(MAX(Assets!$E$9,L$4),EDATE(L$4,12),"m")))+(1-Inputs!$B$13)*MAX(0,MAX(0,MIN(12,DATEDIF(MAX(Assets!$E$9,L$4),EDATE(L$4,12),"m")))-MAX(0,Inputs!$B$12-IF(Assets!$E$9&lt;L$4,DATEDIF(Assets!$E$9,L$4,"m"),0))))/12,0))*INDEX(Countries!$C$2:$C$5,MATCH(Assets!$B$9,Countries!$A$2:$A$5,0)),0)</f>
        <v>0</v>
      </c>
    </row>
    <row r="20" customFormat="false" ht="15" hidden="false" customHeight="false" outlineLevel="0" collapsed="false">
      <c r="A20" s="0" t="s">
        <v>59</v>
      </c>
      <c r="B20" s="0" t="n">
        <f aca="false">IF(AND(Assets!$G$9&lt;&gt;"",Assets!$G$9&gt;=B$4,Assets!$G$9&lt;EDATE(B$4,12)),Assets!$C$9*Assets!$F$9*(1+MIN(INDEX(Countries!$F$2:$F$5,MATCH(Assets!$B$9,Countries!$A$2:$A$5,0)),MAX(INDEX(Countries!$E$2:$E$5,MATCH(Assets!$B$9,Countries!$A$2:$A$5,0)),INDEX(Countries!$D$2:$D$5,MATCH(Assets!$B$9,Countries!$A$2:$A$5,0)))))^(B$3-1)*INDEX(Countries!$C$2:$C$5,MATCH(Assets!$B$9,Countries!$A$2:$A$5,0))/Assets!$H$9,0)</f>
        <v>0</v>
      </c>
      <c r="C20" s="0" t="n">
        <f aca="false">IF(AND(Assets!$G$9&lt;&gt;"",Assets!$G$9&gt;=C$4,Assets!$G$9&lt;EDATE(C$4,12)),Assets!$C$9*Assets!$F$9*(1+MIN(INDEX(Countries!$F$2:$F$5,MATCH(Assets!$B$9,Countries!$A$2:$A$5,0)),MAX(INDEX(Countries!$E$2:$E$5,MATCH(Assets!$B$9,Countries!$A$2:$A$5,0)),INDEX(Countries!$D$2:$D$5,MATCH(Assets!$B$9,Countries!$A$2:$A$5,0)))))^(C$3-1)*INDEX(Countries!$C$2:$C$5,MATCH(Assets!$B$9,Countries!$A$2:$A$5,0))/Assets!$H$9,0)</f>
        <v>0</v>
      </c>
      <c r="D20" s="0" t="n">
        <f aca="false">IF(AND(Assets!$G$9&lt;&gt;"",Assets!$G$9&gt;=D$4,Assets!$G$9&lt;EDATE(D$4,12)),Assets!$C$9*Assets!$F$9*(1+MIN(INDEX(Countries!$F$2:$F$5,MATCH(Assets!$B$9,Countries!$A$2:$A$5,0)),MAX(INDEX(Countries!$E$2:$E$5,MATCH(Assets!$B$9,Countries!$A$2:$A$5,0)),INDEX(Countries!$D$2:$D$5,MATCH(Assets!$B$9,Countries!$A$2:$A$5,0)))))^(D$3-1)*INDEX(Countries!$C$2:$C$5,MATCH(Assets!$B$9,Countries!$A$2:$A$5,0))/Assets!$H$9,0)</f>
        <v>0</v>
      </c>
      <c r="E20" s="0" t="n">
        <f aca="false">IF(AND(Assets!$G$9&lt;&gt;"",Assets!$G$9&gt;=E$4,Assets!$G$9&lt;EDATE(E$4,12)),Assets!$C$9*Assets!$F$9*(1+MIN(INDEX(Countries!$F$2:$F$5,MATCH(Assets!$B$9,Countries!$A$2:$A$5,0)),MAX(INDEX(Countries!$E$2:$E$5,MATCH(Assets!$B$9,Countries!$A$2:$A$5,0)),INDEX(Countries!$D$2:$D$5,MATCH(Assets!$B$9,Countries!$A$2:$A$5,0)))))^(E$3-1)*INDEX(Countries!$C$2:$C$5,MATCH(Assets!$B$9,Countries!$A$2:$A$5,0))/Assets!$H$9,0)</f>
        <v>0</v>
      </c>
      <c r="F20" s="0" t="n">
        <f aca="false">IF(AND(Assets!$G$9&lt;&gt;"",Assets!$G$9&gt;=F$4,Assets!$G$9&lt;EDATE(F$4,12)),Assets!$C$9*Assets!$F$9*(1+MIN(INDEX(Countries!$F$2:$F$5,MATCH(Assets!$B$9,Countries!$A$2:$A$5,0)),MAX(INDEX(Countries!$E$2:$E$5,MATCH(Assets!$B$9,Countries!$A$2:$A$5,0)),INDEX(Countries!$D$2:$D$5,MATCH(Assets!$B$9,Countries!$A$2:$A$5,0)))))^(F$3-1)*INDEX(Countries!$C$2:$C$5,MATCH(Assets!$B$9,Countries!$A$2:$A$5,0))/Assets!$H$9,0)</f>
        <v>0</v>
      </c>
      <c r="G20" s="0" t="n">
        <f aca="false">IF(AND(Assets!$G$9&lt;&gt;"",Assets!$G$9&gt;=G$4,Assets!$G$9&lt;EDATE(G$4,12)),Assets!$C$9*Assets!$F$9*(1+MIN(INDEX(Countries!$F$2:$F$5,MATCH(Assets!$B$9,Countries!$A$2:$A$5,0)),MAX(INDEX(Countries!$E$2:$E$5,MATCH(Assets!$B$9,Countries!$A$2:$A$5,0)),INDEX(Countries!$D$2:$D$5,MATCH(Assets!$B$9,Countries!$A$2:$A$5,0)))))^(G$3-1)*INDEX(Countries!$C$2:$C$5,MATCH(Assets!$B$9,Countries!$A$2:$A$5,0))/Assets!$H$9,0)</f>
        <v>0</v>
      </c>
      <c r="H20" s="0" t="n">
        <f aca="false">IF(AND(Assets!$G$9&lt;&gt;"",Assets!$G$9&gt;=H$4,Assets!$G$9&lt;EDATE(H$4,12)),Assets!$C$9*Assets!$F$9*(1+MIN(INDEX(Countries!$F$2:$F$5,MATCH(Assets!$B$9,Countries!$A$2:$A$5,0)),MAX(INDEX(Countries!$E$2:$E$5,MATCH(Assets!$B$9,Countries!$A$2:$A$5,0)),INDEX(Countries!$D$2:$D$5,MATCH(Assets!$B$9,Countries!$A$2:$A$5,0)))))^(H$3-1)*INDEX(Countries!$C$2:$C$5,MATCH(Assets!$B$9,Countries!$A$2:$A$5,0))/Assets!$H$9,0)</f>
        <v>0</v>
      </c>
      <c r="I20" s="0" t="n">
        <f aca="false">IF(AND(Assets!$G$9&lt;&gt;"",Assets!$G$9&gt;=I$4,Assets!$G$9&lt;EDATE(I$4,12)),Assets!$C$9*Assets!$F$9*(1+MIN(INDEX(Countries!$F$2:$F$5,MATCH(Assets!$B$9,Countries!$A$2:$A$5,0)),MAX(INDEX(Countries!$E$2:$E$5,MATCH(Assets!$B$9,Countries!$A$2:$A$5,0)),INDEX(Countries!$D$2:$D$5,MATCH(Assets!$B$9,Countries!$A$2:$A$5,0)))))^(I$3-1)*INDEX(Countries!$C$2:$C$5,MATCH(Assets!$B$9,Countries!$A$2:$A$5,0))/Assets!$H$9,0)</f>
        <v>0</v>
      </c>
      <c r="J20" s="0" t="n">
        <f aca="false">IF(AND(Assets!$G$9&lt;&gt;"",Assets!$G$9&gt;=J$4,Assets!$G$9&lt;EDATE(J$4,12)),Assets!$C$9*Assets!$F$9*(1+MIN(INDEX(Countries!$F$2:$F$5,MATCH(Assets!$B$9,Countries!$A$2:$A$5,0)),MAX(INDEX(Countries!$E$2:$E$5,MATCH(Assets!$B$9,Countries!$A$2:$A$5,0)),INDEX(Countries!$D$2:$D$5,MATCH(Assets!$B$9,Countries!$A$2:$A$5,0)))))^(J$3-1)*INDEX(Countries!$C$2:$C$5,MATCH(Assets!$B$9,Countries!$A$2:$A$5,0))/Assets!$H$9,0)</f>
        <v>0</v>
      </c>
      <c r="K20" s="0" t="n">
        <f aca="false">IF(AND(Assets!$G$9&lt;&gt;"",Assets!$G$9&gt;=K$4,Assets!$G$9&lt;EDATE(K$4,12)),Assets!$C$9*Assets!$F$9*(1+MIN(INDEX(Countries!$F$2:$F$5,MATCH(Assets!$B$9,Countries!$A$2:$A$5,0)),MAX(INDEX(Countries!$E$2:$E$5,MATCH(Assets!$B$9,Countries!$A$2:$A$5,0)),INDEX(Countries!$D$2:$D$5,MATCH(Assets!$B$9,Countries!$A$2:$A$5,0)))))^(K$3-1)*INDEX(Countries!$C$2:$C$5,MATCH(Assets!$B$9,Countries!$A$2:$A$5,0))/Assets!$H$9,0)</f>
        <v>0</v>
      </c>
      <c r="L20" s="0" t="n">
        <f aca="false">IF(AND(Assets!$G$9&lt;&gt;"",Assets!$G$9&gt;=L$4,Assets!$G$9&lt;EDATE(L$4,12)),Assets!$C$9*Assets!$F$9*(1+MIN(INDEX(Countries!$F$2:$F$5,MATCH(Assets!$B$9,Countries!$A$2:$A$5,0)),MAX(INDEX(Countries!$E$2:$E$5,MATCH(Assets!$B$9,Countries!$A$2:$A$5,0)),INDEX(Countries!$D$2:$D$5,MATCH(Assets!$B$9,Countries!$A$2:$A$5,0)))))^(L$3-1)*INDEX(Countries!$C$2:$C$5,MATCH(Assets!$B$9,Countries!$A$2:$A$5,0))/Assets!$H$9,0)</f>
        <v>0</v>
      </c>
    </row>
    <row r="21" customFormat="false" ht="15" hidden="false" customHeight="false" outlineLevel="0" collapsed="false">
      <c r="A21" s="0" t="s">
        <v>60</v>
      </c>
      <c r="B21" s="0" t="n">
        <f aca="false">B5+B7+B9+B11+B13+B15+B17+B19</f>
        <v>0</v>
      </c>
      <c r="C21" s="0" t="n">
        <f aca="false">C5+C7+C9+C11+C13+C15+C17+C19</f>
        <v>31989287.9452055</v>
      </c>
      <c r="D21" s="0" t="n">
        <f aca="false">D5+D7+D9+D11+D13+D15+D17+D19</f>
        <v>30195456.8501639</v>
      </c>
      <c r="E21" s="0" t="n">
        <f aca="false">E5+E7+E9+E11+E13+E15+E17+E19</f>
        <v>33598153.6158356</v>
      </c>
      <c r="F21" s="0" t="n">
        <f aca="false">F5+F7+F9+F11+F13+F15+F17+F19</f>
        <v>31021366.2114768</v>
      </c>
      <c r="G21" s="0" t="n">
        <f aca="false">G5+G7+G9+G11+G13+G15+G17+G19</f>
        <v>28784962.7836776</v>
      </c>
      <c r="H21" s="0" t="n">
        <f aca="false">H5+H7+H9+H11+H13+H15+H17+H19</f>
        <v>31383884.7577748</v>
      </c>
      <c r="I21" s="0" t="n">
        <f aca="false">I5+I7+I9+I11+I13+I15+I17+I19</f>
        <v>29398327.6535896</v>
      </c>
      <c r="J21" s="0" t="n">
        <f aca="false">J5+J7+J9+J11+J13+J15+J17+J19</f>
        <v>0</v>
      </c>
      <c r="K21" s="0" t="n">
        <f aca="false">K5+K7+K9+K11+K13+K15+K17+K19</f>
        <v>0</v>
      </c>
      <c r="L21" s="0" t="n">
        <f aca="false">L5+L7+L9+L11+L13+L15+L17+L19</f>
        <v>0</v>
      </c>
    </row>
    <row r="22" customFormat="false" ht="15" hidden="false" customHeight="false" outlineLevel="0" collapsed="false">
      <c r="A22" s="0" t="s">
        <v>61</v>
      </c>
      <c r="B22" s="0" t="n">
        <f aca="false">B21*Inputs!$B$14</f>
        <v>0</v>
      </c>
      <c r="C22" s="0" t="n">
        <f aca="false">C21*Inputs!$B$14</f>
        <v>959678.638356164</v>
      </c>
      <c r="D22" s="0" t="n">
        <f aca="false">D21*Inputs!$B$14</f>
        <v>905863.705504918</v>
      </c>
      <c r="E22" s="0" t="n">
        <f aca="false">E21*Inputs!$B$14</f>
        <v>1007944.60847507</v>
      </c>
      <c r="F22" s="0" t="n">
        <f aca="false">F21*Inputs!$B$14</f>
        <v>930640.986344305</v>
      </c>
      <c r="G22" s="0" t="n">
        <f aca="false">G21*Inputs!$B$14</f>
        <v>863548.883510327</v>
      </c>
      <c r="H22" s="0" t="n">
        <f aca="false">H21*Inputs!$B$14</f>
        <v>941516.542733245</v>
      </c>
      <c r="I22" s="0" t="n">
        <f aca="false">I21*Inputs!$B$14</f>
        <v>881949.829607688</v>
      </c>
      <c r="J22" s="0" t="n">
        <f aca="false">J21*Inputs!$B$14</f>
        <v>0</v>
      </c>
      <c r="K22" s="0" t="n">
        <f aca="false">K21*Inputs!$B$14</f>
        <v>0</v>
      </c>
      <c r="L22" s="0" t="n">
        <f aca="false">L21*Inputs!$B$14</f>
        <v>0</v>
      </c>
    </row>
    <row r="23" customFormat="false" ht="15" hidden="false" customHeight="false" outlineLevel="0" collapsed="false">
      <c r="A23" s="0" t="s">
        <v>62</v>
      </c>
      <c r="B23" s="0" t="n">
        <f aca="false">B21-B22</f>
        <v>0</v>
      </c>
      <c r="C23" s="0" t="n">
        <f aca="false">C21-C22</f>
        <v>31029609.3068493</v>
      </c>
      <c r="D23" s="0" t="n">
        <f aca="false">D21-D22</f>
        <v>29289593.144659</v>
      </c>
      <c r="E23" s="0" t="n">
        <f aca="false">E21-E22</f>
        <v>32590209.0073605</v>
      </c>
      <c r="F23" s="0" t="n">
        <f aca="false">F21-F22</f>
        <v>30090725.2251325</v>
      </c>
      <c r="G23" s="0" t="n">
        <f aca="false">G21-G22</f>
        <v>27921413.9001672</v>
      </c>
      <c r="H23" s="0" t="n">
        <f aca="false">H21-H22</f>
        <v>30442368.2150416</v>
      </c>
      <c r="I23" s="0" t="n">
        <f aca="false">I21-I22</f>
        <v>28516377.8239819</v>
      </c>
      <c r="J23" s="0" t="n">
        <f aca="false">J21-J22</f>
        <v>0</v>
      </c>
      <c r="K23" s="0" t="n">
        <f aca="false">K21-K22</f>
        <v>0</v>
      </c>
      <c r="L23" s="0" t="n">
        <f aca="false">L21-L22</f>
        <v>0</v>
      </c>
    </row>
    <row r="24" customFormat="false" ht="15" hidden="false" customHeight="false" outlineLevel="0" collapsed="false">
      <c r="A24" s="0" t="s">
        <v>63</v>
      </c>
      <c r="B24" s="0" t="n">
        <f aca="false">B6+B8+B10+B12+B14+B16+B18+B20</f>
        <v>0</v>
      </c>
      <c r="C24" s="0" t="n">
        <f aca="false">C6+C8+C10+C12+C14+C16+C18+C20</f>
        <v>0</v>
      </c>
      <c r="D24" s="0" t="n">
        <f aca="false">D6+D8+D10+D12+D14+D16+D18+D20</f>
        <v>0</v>
      </c>
      <c r="E24" s="0" t="n">
        <f aca="false">E6+E8+E10+E12+E14+E16+E18+E20</f>
        <v>73515604.6153846</v>
      </c>
      <c r="F24" s="0" t="n">
        <f aca="false">F6+F8+F10+F12+F14+F16+F18+F20</f>
        <v>66187542.96</v>
      </c>
      <c r="G24" s="0" t="n">
        <f aca="false">G6+G8+G10+G12+G14+G16+G18+G20</f>
        <v>0</v>
      </c>
      <c r="H24" s="0" t="n">
        <f aca="false">H6+H8+H10+H12+H14+H16+H18+H20</f>
        <v>0</v>
      </c>
      <c r="I24" s="0" t="n">
        <f aca="false">I6+I8+I10+I12+I14+I16+I18+I20</f>
        <v>0</v>
      </c>
      <c r="J24" s="0" t="n">
        <f aca="false">J6+J8+J10+J12+J14+J16+J18+J20</f>
        <v>0</v>
      </c>
      <c r="K24" s="0" t="n">
        <f aca="false">K6+K8+K10+K12+K14+K16+K18+K20</f>
        <v>0</v>
      </c>
      <c r="L24" s="0" t="n">
        <f aca="false">L6+L8+L10+L12+L14+L16+L18+L20</f>
        <v>0</v>
      </c>
    </row>
    <row r="25" customFormat="false" ht="15" hidden="false" customHeight="false" outlineLevel="0" collapsed="false">
      <c r="A25" s="0" t="s">
        <v>64</v>
      </c>
      <c r="B25" s="0" t="n">
        <f aca="false">IF(B$3=Inputs!$B$11,B23*1.02/Inputs!$B$10,0)</f>
        <v>0</v>
      </c>
      <c r="C25" s="0" t="n">
        <f aca="false">IF(C$3=Inputs!$B$11,C23*1.02/Inputs!$B$10,0)</f>
        <v>0</v>
      </c>
      <c r="D25" s="0" t="n">
        <f aca="false">IF(D$3=Inputs!$B$11,D23*1.02/Inputs!$B$10,0)</f>
        <v>0</v>
      </c>
      <c r="E25" s="0" t="n">
        <f aca="false">IF(E$3=Inputs!$B$11,E23*1.02/Inputs!$B$10,0)</f>
        <v>0</v>
      </c>
      <c r="F25" s="0" t="n">
        <f aca="false">IF(F$3=Inputs!$B$11,F23*1.02/Inputs!$B$10,0)</f>
        <v>0</v>
      </c>
      <c r="G25" s="0" t="n">
        <f aca="false">IF(G$3=Inputs!$B$11,G23*1.02/Inputs!$B$10,0)</f>
        <v>0</v>
      </c>
      <c r="H25" s="0" t="n">
        <f aca="false">IF(H$3=Inputs!$B$11,H23*1.02/Inputs!$B$10,0)</f>
        <v>0</v>
      </c>
      <c r="I25" s="0" t="n">
        <f aca="false">IF(I$3=Inputs!$B$11,I23*1.02/Inputs!$B$10,0)</f>
        <v>528849188.735665</v>
      </c>
      <c r="J25" s="0" t="n">
        <f aca="false">IF(J$3=Inputs!$B$11,J23*1.02/Inputs!$B$10,0)</f>
        <v>0</v>
      </c>
      <c r="K25" s="0" t="n">
        <f aca="false">IF(K$3=Inputs!$B$11,K23*1.02/Inputs!$B$10,0)</f>
        <v>0</v>
      </c>
      <c r="L25" s="0" t="n">
        <f aca="false">IF(L$3=Inputs!$B$11,L23*1.02/Inputs!$B$10,0)</f>
        <v>0</v>
      </c>
    </row>
    <row r="26" customFormat="false" ht="15" hidden="false" customHeight="false" outlineLevel="0" collapsed="false">
      <c r="A26" s="0" t="s">
        <v>65</v>
      </c>
      <c r="B26" s="0" t="n">
        <f aca="false">Inputs!$B$4*Inputs!$B$6</f>
        <v>305000000</v>
      </c>
      <c r="C26" s="0" t="n">
        <f aca="false">IF(C$3=0,Inputs!$B$4*Inputs!$B$6,IF(C$3&gt;=Inputs!$B$11,0,B26-MIN(B26,C24+C30)))</f>
        <v>305000000</v>
      </c>
      <c r="D26" s="0" t="n">
        <f aca="false">IF(D$3=0,Inputs!$B$4*Inputs!$B$6,IF(D$3&gt;=Inputs!$B$11,0,C26-MIN(C26,D24+D30)))</f>
        <v>289435406.855341</v>
      </c>
      <c r="E26" s="0" t="n">
        <f aca="false">IF(E$3=0,Inputs!$B$4*Inputs!$B$6,IF(E$3&gt;=Inputs!$B$11,0,D26-MIN(D26,E24+E30)))</f>
        <v>215919802.239956</v>
      </c>
      <c r="F26" s="0" t="n">
        <f aca="false">IF(F$3=0,Inputs!$B$4*Inputs!$B$6,IF(F$3&gt;=Inputs!$B$11,0,E26-MIN(E26,F24+F30)))</f>
        <v>149732259.279956</v>
      </c>
      <c r="G26" s="0" t="n">
        <f aca="false">IF(G$3=0,Inputs!$B$4*Inputs!$B$6,IF(G$3&gt;=Inputs!$B$11,0,F26-MIN(F26,G24+G30)))</f>
        <v>149732259.279956</v>
      </c>
      <c r="H26" s="0" t="n">
        <f aca="false">IF(H$3=0,Inputs!$B$4*Inputs!$B$6,IF(H$3&gt;=Inputs!$B$11,0,G26-MIN(G26,H24+H30)))</f>
        <v>149732259.279956</v>
      </c>
      <c r="I26" s="0" t="n">
        <f aca="false">IF(I$3=0,Inputs!$B$4*Inputs!$B$6,IF(I$3&gt;=Inputs!$B$11,0,H26-MIN(H26,I24+I30)))</f>
        <v>0</v>
      </c>
      <c r="J26" s="0" t="n">
        <f aca="false">IF(J$3=0,Inputs!$B$4*Inputs!$B$6,IF(J$3&gt;=Inputs!$B$11,0,I26-MIN(I26,J24+J30)))</f>
        <v>0</v>
      </c>
      <c r="K26" s="0" t="n">
        <f aca="false">IF(K$3=0,Inputs!$B$4*Inputs!$B$6,IF(K$3&gt;=Inputs!$B$11,0,J26-MIN(J26,K24+K30)))</f>
        <v>0</v>
      </c>
      <c r="L26" s="0" t="n">
        <f aca="false">IF(L$3=0,Inputs!$B$4*Inputs!$B$6,IF(L$3&gt;=Inputs!$B$11,0,K26-MIN(K26,L24+L30)))</f>
        <v>0</v>
      </c>
    </row>
    <row r="27" customFormat="false" ht="15" hidden="false" customHeight="false" outlineLevel="0" collapsed="false">
      <c r="A27" s="0" t="s">
        <v>66</v>
      </c>
      <c r="B27" s="0" t="n">
        <f aca="false">0</f>
        <v>0</v>
      </c>
      <c r="C27" s="0" t="n">
        <f aca="false">IF(AND(C$3&gt;=1,C$3&lt;=Inputs!$B$11),B26*Inputs!$B$7,0)</f>
        <v>13725000</v>
      </c>
      <c r="D27" s="0" t="n">
        <f aca="false">IF(AND(D$3&gt;=1,D$3&lt;=Inputs!$B$11),C26*Inputs!$B$7,0)</f>
        <v>13725000</v>
      </c>
      <c r="E27" s="0" t="n">
        <f aca="false">IF(AND(E$3&gt;=1,E$3&lt;=Inputs!$B$11),D26*Inputs!$B$7,0)</f>
        <v>13024593.3084903</v>
      </c>
      <c r="F27" s="0" t="n">
        <f aca="false">IF(AND(F$3&gt;=1,F$3&lt;=Inputs!$B$11),E26*Inputs!$B$7,0)</f>
        <v>9716391.10079803</v>
      </c>
      <c r="G27" s="0" t="n">
        <f aca="false">IF(AND(G$3&gt;=1,G$3&lt;=Inputs!$B$11),F26*Inputs!$B$7,0)</f>
        <v>6737951.66759803</v>
      </c>
      <c r="H27" s="0" t="n">
        <f aca="false">IF(AND(H$3&gt;=1,H$3&lt;=Inputs!$B$11),G26*Inputs!$B$7,0)</f>
        <v>6737951.66759803</v>
      </c>
      <c r="I27" s="0" t="n">
        <f aca="false">IF(AND(I$3&gt;=1,I$3&lt;=Inputs!$B$11),H26*Inputs!$B$7,0)</f>
        <v>6737951.66759803</v>
      </c>
      <c r="J27" s="0" t="n">
        <f aca="false">IF(AND(J$3&gt;=1,J$3&lt;=Inputs!$B$11),I26*Inputs!$B$7,0)</f>
        <v>0</v>
      </c>
      <c r="K27" s="0" t="n">
        <f aca="false">IF(AND(K$3&gt;=1,K$3&lt;=Inputs!$B$11),J26*Inputs!$B$7,0)</f>
        <v>0</v>
      </c>
      <c r="L27" s="0" t="n">
        <f aca="false">IF(AND(L$3&gt;=1,L$3&lt;=Inputs!$B$11),K26*Inputs!$B$7,0)</f>
        <v>0</v>
      </c>
    </row>
    <row r="28" customFormat="false" ht="15" hidden="false" customHeight="false" outlineLevel="0" collapsed="false">
      <c r="A28" s="0" t="s">
        <v>67</v>
      </c>
      <c r="B28" s="0" t="n">
        <f aca="false">IF(B$3=0,'Cash Flow'!C23,B23)/Inputs!$B$10</f>
        <v>564174714.669988</v>
      </c>
      <c r="C28" s="0" t="n">
        <f aca="false">IF(C$3=0,'Cash Flow'!C23,C23)/Inputs!$B$10</f>
        <v>564174714.669988</v>
      </c>
      <c r="D28" s="0" t="n">
        <f aca="false">IF(D$3=0,'Cash Flow'!C23,D23)/Inputs!$B$10</f>
        <v>532538057.175619</v>
      </c>
      <c r="E28" s="0" t="n">
        <f aca="false">IF(E$3=0,'Cash Flow'!C23,E23)/Inputs!$B$10</f>
        <v>592549254.679283</v>
      </c>
      <c r="F28" s="0" t="n">
        <f aca="false">IF(F$3=0,'Cash Flow'!C23,F23)/Inputs!$B$10</f>
        <v>547104095.00241</v>
      </c>
      <c r="G28" s="0" t="n">
        <f aca="false">IF(G$3=0,'Cash Flow'!C23,G23)/Inputs!$B$10</f>
        <v>507662070.912132</v>
      </c>
      <c r="H28" s="0" t="n">
        <f aca="false">IF(H$3=0,'Cash Flow'!C23,H23)/Inputs!$B$10</f>
        <v>553497603.909847</v>
      </c>
      <c r="I28" s="0" t="n">
        <f aca="false">IF(I$3=0,'Cash Flow'!C23,I23)/Inputs!$B$10</f>
        <v>518479596.799671</v>
      </c>
      <c r="J28" s="0" t="n">
        <f aca="false">IF(J$3=0,'Cash Flow'!C23,J23)/Inputs!$B$10</f>
        <v>0</v>
      </c>
      <c r="K28" s="0" t="n">
        <f aca="false">IF(K$3=0,'Cash Flow'!C23,K23)/Inputs!$B$10</f>
        <v>0</v>
      </c>
      <c r="L28" s="0" t="n">
        <f aca="false">IF(L$3=0,'Cash Flow'!C23,L23)/Inputs!$B$10</f>
        <v>0</v>
      </c>
    </row>
    <row r="29" customFormat="false" ht="15" hidden="false" customHeight="false" outlineLevel="0" collapsed="false">
      <c r="A29" s="0" t="s">
        <v>68</v>
      </c>
      <c r="B29" s="0" t="n">
        <f aca="false">IF(B28&gt;0,B26/B28,0)</f>
        <v>0.540612672048603</v>
      </c>
      <c r="C29" s="0" t="n">
        <f aca="false">IF(C28&gt;0,B26/C28,0)</f>
        <v>0.540612672048603</v>
      </c>
      <c r="D29" s="0" t="n">
        <f aca="false">IF(D28&gt;0,C26/D28,0)</f>
        <v>0.572729020753193</v>
      </c>
      <c r="E29" s="0" t="n">
        <f aca="false">IF(E28&gt;0,D26/E28,0)</f>
        <v>0.488457971332692</v>
      </c>
      <c r="F29" s="0" t="n">
        <f aca="false">IF(F28&gt;0,E26/F28,0)</f>
        <v>0.394659451852587</v>
      </c>
      <c r="G29" s="0" t="n">
        <f aca="false">IF(G28&gt;0,F26/G28,0)</f>
        <v>0.294944743480497</v>
      </c>
      <c r="H29" s="0" t="n">
        <f aca="false">IF(H28&gt;0,G26/H28,0)</f>
        <v>0.270520158031876</v>
      </c>
      <c r="I29" s="0" t="n">
        <f aca="false">IF(I28&gt;0,H26/I28,0)</f>
        <v>0.288791034795164</v>
      </c>
      <c r="J29" s="0" t="n">
        <f aca="false">IF(J28&gt;0,I26/J28,0)</f>
        <v>0</v>
      </c>
      <c r="K29" s="0" t="n">
        <f aca="false">IF(K28&gt;0,J26/K28,0)</f>
        <v>0</v>
      </c>
      <c r="L29" s="0" t="n">
        <f aca="false">IF(L28&gt;0,K26/L28,0)</f>
        <v>0</v>
      </c>
    </row>
    <row r="30" customFormat="false" ht="15" hidden="false" customHeight="false" outlineLevel="0" collapsed="false">
      <c r="A30" s="0" t="s">
        <v>69</v>
      </c>
      <c r="B30" s="0" t="n">
        <f aca="false">IF(AND(B$3&gt;=1,B$3&lt;Inputs!$B$11,B29&gt;Inputs!$B$9),MAX(0,B23-B27),0)</f>
        <v>0</v>
      </c>
      <c r="C30" s="0" t="n">
        <f aca="false">IF(AND(C$3&gt;=1,C$3&lt;Inputs!$B$11,C29&gt;Inputs!$B$9),MAX(0,C23-C27),0)</f>
        <v>0</v>
      </c>
      <c r="D30" s="0" t="n">
        <f aca="false">IF(AND(D$3&gt;=1,D$3&lt;Inputs!$B$11,D29&gt;Inputs!$B$9),MAX(0,D23-D27),0)</f>
        <v>15564593.144659</v>
      </c>
      <c r="E30" s="0" t="n">
        <f aca="false">IF(AND(E$3&gt;=1,E$3&lt;Inputs!$B$11,E29&gt;Inputs!$B$9),MAX(0,E23-E27),0)</f>
        <v>0</v>
      </c>
      <c r="F30" s="0" t="n">
        <f aca="false">IF(AND(F$3&gt;=1,F$3&lt;Inputs!$B$11,F29&gt;Inputs!$B$9),MAX(0,F23-F27),0)</f>
        <v>0</v>
      </c>
      <c r="G30" s="0" t="n">
        <f aca="false">IF(AND(G$3&gt;=1,G$3&lt;Inputs!$B$11,G29&gt;Inputs!$B$9),MAX(0,G23-G27),0)</f>
        <v>0</v>
      </c>
      <c r="H30" s="0" t="n">
        <f aca="false">IF(AND(H$3&gt;=1,H$3&lt;Inputs!$B$11,H29&gt;Inputs!$B$9),MAX(0,H23-H27),0)</f>
        <v>0</v>
      </c>
      <c r="I30" s="0" t="n">
        <f aca="false">IF(AND(I$3&gt;=1,I$3&lt;Inputs!$B$11,I29&gt;Inputs!$B$9),MAX(0,I23-I27),0)</f>
        <v>0</v>
      </c>
      <c r="J30" s="0" t="n">
        <f aca="false">IF(AND(J$3&gt;=1,J$3&lt;Inputs!$B$11,J29&gt;Inputs!$B$9),MAX(0,J23-J27),0)</f>
        <v>0</v>
      </c>
      <c r="K30" s="0" t="n">
        <f aca="false">IF(AND(K$3&gt;=1,K$3&lt;Inputs!$B$11,K29&gt;Inputs!$B$9),MAX(0,K23-K27),0)</f>
        <v>0</v>
      </c>
      <c r="L30" s="0" t="n">
        <f aca="false">IF(AND(L$3&gt;=1,L$3&lt;Inputs!$B$11,L29&gt;Inputs!$B$9),MAX(0,L23-L27),0)</f>
        <v>0</v>
      </c>
    </row>
    <row r="31" customFormat="false" ht="15" hidden="false" customHeight="false" outlineLevel="0" collapsed="false">
      <c r="A31" s="0" t="s">
        <v>70</v>
      </c>
      <c r="B31" s="0" t="n">
        <f aca="false">-Inputs!$B$4*(1+Inputs!$B$5)+Inputs!$B$4*Inputs!$B$6</f>
        <v>-329400000</v>
      </c>
      <c r="C31" s="0" t="n">
        <f aca="false">C23-C27+C24+C25-(B26-C26)-C30+IF(C$3=Inputs!$B$11,SUM($C$30:C30),0)</f>
        <v>17304609.3068493</v>
      </c>
      <c r="D31" s="0" t="n">
        <f aca="false">D23-D27+D24+D25-(C26-D26)-D30+IF(D$3=Inputs!$B$11,SUM($C$30:D30),0)</f>
        <v>-15564593.144659</v>
      </c>
      <c r="E31" s="0" t="n">
        <f aca="false">E23-E27+E24+E25-(D26-E26)-E30+IF(E$3=Inputs!$B$11,SUM($C$30:E30),0)</f>
        <v>19565615.6988702</v>
      </c>
      <c r="F31" s="0" t="n">
        <f aca="false">F23-F27+F24+F25-(E26-F26)-F30+IF(F$3=Inputs!$B$11,SUM($C$30:F30),0)</f>
        <v>20374334.1243345</v>
      </c>
      <c r="G31" s="0" t="n">
        <f aca="false">G23-G27+G24+G25-(F26-G26)-G30+IF(G$3=Inputs!$B$11,SUM($C$30:G30),0)</f>
        <v>21183462.2325692</v>
      </c>
      <c r="H31" s="0" t="n">
        <f aca="false">H23-H27+H24+H25-(G26-H26)-H30+IF(H$3=Inputs!$B$11,SUM($C$30:H30),0)</f>
        <v>23704416.5474436</v>
      </c>
      <c r="I31" s="0" t="n">
        <f aca="false">I23-I27+I24+I25-(H26-I26)-I30+IF(I$3=Inputs!$B$11,SUM($C$30:I30),0)</f>
        <v>416459948.756751</v>
      </c>
      <c r="J31" s="0" t="n">
        <f aca="false">J23-J27+J24+J25-(I26-J26)-J30+IF(J$3=Inputs!$B$11,SUM($C$30:J30),0)</f>
        <v>0</v>
      </c>
      <c r="K31" s="0" t="n">
        <f aca="false">K23-K27+K24+K25-(J26-K26)-K30+IF(K$3=Inputs!$B$11,SUM($C$30:K30),0)</f>
        <v>0</v>
      </c>
      <c r="L31" s="0" t="n">
        <f aca="false">L23-L27+L24+L25-(K26-L26)-L30+IF(L$3=Inputs!$B$11,SUM($C$30:L30),0)</f>
        <v>0</v>
      </c>
    </row>
    <row r="32" customFormat="false" ht="15" hidden="false" customHeight="false" outlineLevel="0" collapsed="false">
      <c r="A32" s="0" t="s">
        <v>71</v>
      </c>
      <c r="B32" s="0" t="n">
        <f aca="false">-Inputs!$B$4*(1+Inputs!$B$5)</f>
        <v>-634400000</v>
      </c>
      <c r="C32" s="0" t="n">
        <f aca="false">C23+C24+C25</f>
        <v>31029609.3068493</v>
      </c>
      <c r="D32" s="0" t="n">
        <f aca="false">D23+D24+D25</f>
        <v>29289593.144659</v>
      </c>
      <c r="E32" s="0" t="n">
        <f aca="false">E23+E24+E25</f>
        <v>106105813.622745</v>
      </c>
      <c r="F32" s="0" t="n">
        <f aca="false">F23+F24+F25</f>
        <v>96278268.1851325</v>
      </c>
      <c r="G32" s="0" t="n">
        <f aca="false">G23+G24+G25</f>
        <v>27921413.9001672</v>
      </c>
      <c r="H32" s="0" t="n">
        <f aca="false">H23+H24+H25</f>
        <v>30442368.2150416</v>
      </c>
      <c r="I32" s="0" t="n">
        <f aca="false">I23+I24+I25</f>
        <v>557365566.559647</v>
      </c>
      <c r="J32" s="0" t="n">
        <f aca="false">J23+J24+J25</f>
        <v>0</v>
      </c>
      <c r="K32" s="0" t="n">
        <f aca="false">K23+K24+K25</f>
        <v>0</v>
      </c>
      <c r="L32" s="0" t="n">
        <f aca="false">L23+L24+L25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72</v>
      </c>
      <c r="B3" s="3" t="n">
        <f aca="false">XIRR('Cash Flow'!B31:L31,'Cash Flow'!B4:L4)</f>
        <v>0.0673748140789827</v>
      </c>
    </row>
    <row r="4" customFormat="false" ht="15" hidden="false" customHeight="false" outlineLevel="0" collapsed="false">
      <c r="A4" s="0" t="s">
        <v>73</v>
      </c>
      <c r="B4" s="3" t="n">
        <f aca="false">XIRR('Cash Flow'!B32:L32,'Cash Flow'!B4:L4)</f>
        <v>0.0597398469355827</v>
      </c>
    </row>
    <row r="5" customFormat="false" ht="15" hidden="false" customHeight="false" outlineLevel="0" collapsed="false">
      <c r="A5" s="0" t="s">
        <v>74</v>
      </c>
      <c r="B5" s="7" t="n">
        <f aca="false">SUMIF('Cash Flow'!B31:L31,"&gt;0")/-SUMIF('Cash Flow'!B31:L31,"&lt;0")</f>
        <v>1.50332062180465</v>
      </c>
    </row>
    <row r="6" customFormat="false" ht="15" hidden="false" customHeight="false" outlineLevel="0" collapsed="false">
      <c r="A6" s="0" t="s">
        <v>75</v>
      </c>
      <c r="B6" s="2" t="n">
        <f aca="false">SUM('Cash Flow'!B31:L31)</f>
        <v>173627793.522159</v>
      </c>
    </row>
    <row r="7" customFormat="false" ht="15" hidden="false" customHeight="false" outlineLevel="0" collapsed="false">
      <c r="A7" s="0" t="s">
        <v>76</v>
      </c>
      <c r="B7" s="3" t="n">
        <f aca="false">MAX('Cash Flow'!C29:L29)</f>
        <v>0.572729020753193</v>
      </c>
    </row>
    <row r="8" customFormat="false" ht="15" hidden="false" customHeight="false" outlineLevel="0" collapsed="false">
      <c r="A8" s="0" t="s">
        <v>77</v>
      </c>
      <c r="B8" s="4" t="n">
        <f aca="false">COUNTIF('Cash Flow'!C30:L30,"&gt;0")</f>
        <v>1</v>
      </c>
    </row>
    <row r="9" customFormat="false" ht="15" hidden="false" customHeight="false" outlineLevel="0" collapsed="false">
      <c r="A9" s="0" t="s">
        <v>78</v>
      </c>
      <c r="B9" s="2" t="n">
        <f aca="false">'Cash Flow'!C23</f>
        <v>31029609.3068493</v>
      </c>
    </row>
    <row r="10" customFormat="false" ht="15" hidden="false" customHeight="false" outlineLevel="0" collapsed="false">
      <c r="A10" s="0" t="s">
        <v>79</v>
      </c>
      <c r="B10" s="2" t="n">
        <f aca="false">SUM('Cash Flow'!B24:L24)</f>
        <v>139703147.575385</v>
      </c>
    </row>
    <row r="11" customFormat="false" ht="15" hidden="false" customHeight="false" outlineLevel="0" collapsed="false">
      <c r="A11" s="0" t="s">
        <v>80</v>
      </c>
      <c r="B11" s="8" t="str">
        <f aca="false">IF(B7&gt;Inputs!$B$8,"Yes","No")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2026-10-17T14:21:15Z</dcterms:created>
  <dc:creator>openpyxl</dc:creator>
  <dc:description/>
  <dc:language>en-US</dc:language>
  <cp:lastModifiedBy/>
  <dcterms:modified xsi:type="dcterms:W3CDTF">2026-10-17T14:21:15Z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