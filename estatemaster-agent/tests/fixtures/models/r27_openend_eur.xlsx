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NAV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<sst xmlns="http://schemas.openxmlformats.org/spreadsheetml/2006/main" count="31" uniqueCount="31">
  <si>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NORDIC CORE PROPERTY FUND – OPEN-ENDED, QUARTERLY (EUR)</t>
  </si>
  <si>
    <t xml:space="preserve">Property value (EUR)</t>
  </si>
  <si>
    <t xml:space="preserve">Cash (EUR)</t>
  </si>
  <si>
    <t xml:space="preserve">Debt (EUR)</t>
  </si>
  <si>
    <t xml:space="preserve">NOI yield on value</t>
  </si>
  <si>
    <t xml:space="preserve">Capital growth a year</t>
  </si>
  <si>
    <t xml:space="preserve">Subscriptions a quarter (EUR)</t>
  </si>
  <si>
    <t xml:space="preserve">Redemption requests a quarter (EUR)</t>
  </si>
  <si>
    <t xml:space="preserve">Gate (share of NAV a quarter)</t>
  </si>
  <si>
    <t xml:space="preserve">Dilution levy on redemptions</t>
  </si>
  <si>
    <t xml:space="preserve">Management fee a year (of NAV)</t>
  </si>
  <si>
    <t xml:space="preserve">Units in issue</t>
  </si>
  <si>
    <t xml:space="preserve">Minimum cash (share of NAV)</t>
  </si>
  <si>
    <t xml:space="preserve">Quarter</t>
  </si>
  <si>
    <t xml:space="preserve">Property value</t>
  </si>
  <si>
    <t xml:space="preserve">Income</t>
  </si>
  <si>
    <t xml:space="preserve">Fee</t>
  </si>
  <si>
    <t xml:space="preserve">Requests</t>
  </si>
  <si>
    <t xml:space="preserve">Paid out</t>
  </si>
  <si>
    <t xml:space="preserve">Queue</t>
  </si>
  <si>
    <t xml:space="preserve">Property sold</t>
  </si>
  <si>
    <t xml:space="preserve">Cash</t>
  </si>
  <si>
    <t xml:space="preserve">NAV</t>
  </si>
  <si>
    <t xml:space="preserve">Units</t>
  </si>
  <si>
    <t xml:space="preserve">NAV per unit</t>
  </si>
  <si>
    <t xml:space="preserve">Total return a year (NAV per unit)</t>
  </si>
  <si>
    <t xml:space="preserve">Redemption queue at the end (EUR)</t>
  </si>
  <si>
    <t xml:space="preserve">Quarters gated</t>
  </si>
  <si>
    <t xml:space="preserve">Property sold to pay redemptions (EUR)</t>
  </si>
  <si>
    <t xml:space="preserve">Loan to value at the end</t>
  </si>
  <si>
    <t xml:space="preserve">NAV at the end (EUR)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</si>
</sst>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1800000000</v>
      </c>
    </row>
    <row r="4" customFormat="false" ht="15" hidden="false" customHeight="false" outlineLevel="0" collapsed="false">
      <c r="A4" s="0" t="s">
        <v>2</v>
      </c>
      <c r="B4" s="1" t="n">
        <v>90000000</v>
      </c>
    </row>
    <row r="5" customFormat="false" ht="15" hidden="false" customHeight="false" outlineLevel="0" collapsed="false">
      <c r="A5" s="0" t="s">
        <v>3</v>
      </c>
      <c r="B5" s="1" t="n">
        <v>420000000</v>
      </c>
    </row>
    <row r="6" customFormat="false" ht="15" hidden="false" customHeight="false" outlineLevel="0" collapsed="false">
      <c r="A6" s="0" t="s">
        <v>4</v>
      </c>
      <c r="B6" s="2" t="n">
        <v>0.048</v>
      </c>
    </row>
    <row r="7" customFormat="false" ht="15" hidden="false" customHeight="false" outlineLevel="0" collapsed="false">
      <c r="A7" s="0" t="s">
        <v>5</v>
      </c>
      <c r="B7" s="2" t="n">
        <v>0.01</v>
      </c>
    </row>
    <row r="8" customFormat="false" ht="15" hidden="false" customHeight="false" outlineLevel="0" collapsed="false">
      <c r="A8" s="0" t="s">
        <v>6</v>
      </c>
      <c r="B8" s="1" t="n">
        <v>20000000</v>
      </c>
    </row>
    <row r="9" customFormat="false" ht="15" hidden="false" customHeight="false" outlineLevel="0" collapsed="false">
      <c r="A9" s="0" t="s">
        <v>7</v>
      </c>
      <c r="B9" s="1" t="n">
        <v>160000000</v>
      </c>
    </row>
    <row r="10" customFormat="false" ht="15" hidden="false" customHeight="false" outlineLevel="0" collapsed="false">
      <c r="A10" s="0" t="s">
        <v>8</v>
      </c>
      <c r="B10" s="2" t="n">
        <v>0.1</v>
      </c>
    </row>
    <row r="11" customFormat="false" ht="15" hidden="false" customHeight="false" outlineLevel="0" collapsed="false">
      <c r="A11" s="0" t="s">
        <v>9</v>
      </c>
      <c r="B11" s="2" t="n">
        <v>0.01</v>
      </c>
    </row>
    <row r="12" customFormat="false" ht="15" hidden="false" customHeight="false" outlineLevel="0" collapsed="false">
      <c r="A12" s="0" t="s">
        <v>10</v>
      </c>
      <c r="B12" s="2" t="n">
        <v>0.0065</v>
      </c>
    </row>
    <row r="13" customFormat="false" ht="15" hidden="false" customHeight="false" outlineLevel="0" collapsed="false">
      <c r="A13" s="0" t="s">
        <v>11</v>
      </c>
      <c r="B13" s="1" t="n">
        <v>13000000</v>
      </c>
    </row>
    <row r="14" customFormat="false" ht="15" hidden="false" customHeight="false" outlineLevel="0" collapsed="false">
      <c r="A14" s="0" t="s">
        <v>12</v>
      </c>
      <c r="B14" s="2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</row>
    <row r="4" customFormat="false" ht="15" hidden="false" customHeight="false" outlineLevel="0" collapsed="false">
      <c r="A4" s="0" t="s">
        <v>14</v>
      </c>
      <c r="B4" s="1" t="n">
        <f aca="false">Inputs!$B$3</f>
        <v>1800000000</v>
      </c>
      <c r="C4" s="0" t="n">
        <f aca="false">B4*(1+Inputs!$B$7)^(1/4)-C10</f>
        <v>1744064472.76578</v>
      </c>
      <c r="D4" s="0" t="n">
        <f aca="false">C4*(1+Inputs!$B$7)^(1/4)-D10</f>
        <v>1654720667.4891</v>
      </c>
      <c r="E4" s="0" t="n">
        <f aca="false">D4*(1+Inputs!$B$7)^(1/4)-E10</f>
        <v>1573096746.50102</v>
      </c>
      <c r="F4" s="0" t="n">
        <f aca="false">E4*(1+Inputs!$B$7)^(1/4)-F10</f>
        <v>1498542286.07188</v>
      </c>
      <c r="G4" s="0" t="n">
        <f aca="false">F4*(1+Inputs!$B$7)^(1/4)-G10</f>
        <v>1430445007.0278</v>
      </c>
      <c r="H4" s="0" t="n">
        <f aca="false">G4*(1+Inputs!$B$7)^(1/4)-H10</f>
        <v>1368245651.19805</v>
      </c>
      <c r="I4" s="0" t="n">
        <f aca="false">H4*(1+Inputs!$B$7)^(1/4)-I10</f>
        <v>1311433397.90476</v>
      </c>
      <c r="J4" s="0" t="n">
        <f aca="false">I4*(1+Inputs!$B$7)^(1/4)-J10</f>
        <v>1259541668.78308</v>
      </c>
      <c r="K4" s="0" t="n">
        <f aca="false">J4*(1+Inputs!$B$7)^(1/4)-K10</f>
        <v>1212144295.94281</v>
      </c>
      <c r="L4" s="0" t="n">
        <f aca="false">K4*(1+Inputs!$B$7)^(1/4)-L10</f>
        <v>1168852022.00659</v>
      </c>
      <c r="M4" s="0" t="n">
        <f aca="false">L4*(1+Inputs!$B$7)^(1/4)-M10</f>
        <v>1129309303.28072</v>
      </c>
      <c r="N4" s="0" t="n">
        <f aca="false">M4*(1+Inputs!$B$7)^(1/4)-N10</f>
        <v>1093191389.80411</v>
      </c>
    </row>
    <row r="5" customFormat="false" ht="15" hidden="false" customHeight="false" outlineLevel="0" collapsed="false">
      <c r="A5" s="0" t="s">
        <v>15</v>
      </c>
      <c r="B5" s="0" t="n">
        <f aca="false">0</f>
        <v>0</v>
      </c>
      <c r="C5" s="0" t="n">
        <f aca="false">B4*Inputs!$B$6/4</f>
        <v>21600000</v>
      </c>
      <c r="D5" s="0" t="n">
        <f aca="false">C4*Inputs!$B$6/4</f>
        <v>20928773.6731893</v>
      </c>
      <c r="E5" s="0" t="n">
        <f aca="false">D4*Inputs!$B$6/4</f>
        <v>19856648.0098692</v>
      </c>
      <c r="F5" s="0" t="n">
        <f aca="false">E4*Inputs!$B$6/4</f>
        <v>18877160.9580122</v>
      </c>
      <c r="G5" s="0" t="n">
        <f aca="false">F4*Inputs!$B$6/4</f>
        <v>17982507.4328626</v>
      </c>
      <c r="H5" s="0" t="n">
        <f aca="false">G4*Inputs!$B$6/4</f>
        <v>17165340.0843336</v>
      </c>
      <c r="I5" s="0" t="n">
        <f aca="false">H4*Inputs!$B$6/4</f>
        <v>16418947.8143765</v>
      </c>
      <c r="J5" s="0" t="n">
        <f aca="false">I4*Inputs!$B$6/4</f>
        <v>15737200.7748571</v>
      </c>
      <c r="K5" s="0" t="n">
        <f aca="false">J4*Inputs!$B$6/4</f>
        <v>15114500.025397</v>
      </c>
      <c r="L5" s="0" t="n">
        <f aca="false">K4*Inputs!$B$6/4</f>
        <v>14545731.5513137</v>
      </c>
      <c r="M5" s="0" t="n">
        <f aca="false">L4*Inputs!$B$6/4</f>
        <v>14026224.2640791</v>
      </c>
      <c r="N5" s="0" t="n">
        <f aca="false">M4*Inputs!$B$6/4</f>
        <v>13551711.6393686</v>
      </c>
    </row>
    <row r="6" customFormat="false" ht="15" hidden="false" customHeight="false" outlineLevel="0" collapsed="false">
      <c r="A6" s="0" t="s">
        <v>16</v>
      </c>
      <c r="B6" s="0" t="n">
        <f aca="false">0</f>
        <v>0</v>
      </c>
      <c r="C6" s="0" t="n">
        <f aca="false">B12*Inputs!$B$12/4</f>
        <v>2388750</v>
      </c>
      <c r="D6" s="0" t="n">
        <f aca="false">C12*Inputs!$B$12/4</f>
        <v>2223267.26824439</v>
      </c>
      <c r="E6" s="0" t="n">
        <f aca="false">D12*Inputs!$B$12/4</f>
        <v>2073119.10271712</v>
      </c>
      <c r="F6" s="0" t="n">
        <f aca="false">E12*Inputs!$B$12/4</f>
        <v>1935975.78614567</v>
      </c>
      <c r="G6" s="0" t="n">
        <f aca="false">F12*Inputs!$B$12/4</f>
        <v>1810710.48845118</v>
      </c>
      <c r="H6" s="0" t="n">
        <f aca="false">G12*Inputs!$B$12/4</f>
        <v>1696294.45107371</v>
      </c>
      <c r="I6" s="0" t="n">
        <f aca="false">H12*Inputs!$B$12/4</f>
        <v>1591788.01672903</v>
      </c>
      <c r="J6" s="0" t="n">
        <f aca="false">I12*Inputs!$B$12/4</f>
        <v>1496332.9120971</v>
      </c>
      <c r="K6" s="0" t="n">
        <f aca="false">J12*Inputs!$B$12/4</f>
        <v>1409145.19913542</v>
      </c>
      <c r="L6" s="0" t="n">
        <f aca="false">K12*Inputs!$B$12/4</f>
        <v>1329508.83688113</v>
      </c>
      <c r="M6" s="0" t="n">
        <f aca="false">L12*Inputs!$B$12/4</f>
        <v>1256769.80086715</v>
      </c>
      <c r="N6" s="0" t="n">
        <f aca="false">M12*Inputs!$B$12/4</f>
        <v>1190330.71185718</v>
      </c>
    </row>
    <row r="7" customFormat="false" ht="15" hidden="false" customHeight="false" outlineLevel="0" collapsed="false">
      <c r="A7" s="0" t="s">
        <v>17</v>
      </c>
      <c r="B7" s="0" t="n">
        <f aca="false">0</f>
        <v>0</v>
      </c>
      <c r="C7" s="0" t="n">
        <f aca="false">Inputs!$B$9+B9</f>
        <v>160000000</v>
      </c>
      <c r="D7" s="0" t="n">
        <f aca="false">Inputs!$B$9+C9</f>
        <v>173000000</v>
      </c>
      <c r="E7" s="0" t="n">
        <f aca="false">Inputs!$B$9+D9</f>
        <v>196183552.723422</v>
      </c>
      <c r="F7" s="0" t="n">
        <f aca="false">Inputs!$B$9+E9</f>
        <v>228606992.556215</v>
      </c>
      <c r="G7" s="0" t="n">
        <f aca="false">Inputs!$B$9+F9</f>
        <v>269470021.101097</v>
      </c>
      <c r="H7" s="0" t="n">
        <f aca="false">Inputs!$B$9+G9</f>
        <v>318041683.350255</v>
      </c>
      <c r="I7" s="0" t="n">
        <f aca="false">Inputs!$B$9+H9</f>
        <v>373654332.51495</v>
      </c>
      <c r="J7" s="0" t="n">
        <f aca="false">Inputs!$B$9+I9</f>
        <v>435698146.870086</v>
      </c>
      <c r="K7" s="0" t="n">
        <f aca="false">Inputs!$B$9+J9</f>
        <v>503616121.510265</v>
      </c>
      <c r="L7" s="0" t="n">
        <f aca="false">Inputs!$B$9+K9</f>
        <v>576899493.871162</v>
      </c>
      <c r="M7" s="0" t="n">
        <f aca="false">Inputs!$B$9+L9</f>
        <v>655083565.447708</v>
      </c>
      <c r="N7" s="0" t="n">
        <f aca="false">Inputs!$B$9+M9</f>
        <v>737743885.394345</v>
      </c>
    </row>
    <row r="8" customFormat="false" ht="15" hidden="false" customHeight="false" outlineLevel="0" collapsed="false">
      <c r="A8" s="0" t="s">
        <v>18</v>
      </c>
      <c r="B8" s="0" t="n">
        <f aca="false">0</f>
        <v>0</v>
      </c>
      <c r="C8" s="0" t="n">
        <f aca="false">MIN(C7,B12*Inputs!$B$10)*(1-Inputs!$B$11)</f>
        <v>145530000</v>
      </c>
      <c r="D8" s="0" t="n">
        <f aca="false">MIN(D7,C12*Inputs!$B$10)*(1-Inputs!$B$11)</f>
        <v>135448282.803812</v>
      </c>
      <c r="E8" s="0" t="n">
        <f aca="false">MIN(E7,D12*Inputs!$B$10)*(1-Inputs!$B$11)</f>
        <v>126300794.565535</v>
      </c>
      <c r="F8" s="0" t="n">
        <f aca="false">MIN(F7,E12*Inputs!$B$10)*(1-Inputs!$B$11)</f>
        <v>117945601.740567</v>
      </c>
      <c r="G8" s="0" t="n">
        <f aca="false">MIN(G7,F12*Inputs!$B$10)*(1-Inputs!$B$11)</f>
        <v>110314054.373333</v>
      </c>
      <c r="H8" s="0" t="n">
        <f aca="false">MIN(H7,G12*Inputs!$B$10)*(1-Inputs!$B$11)</f>
        <v>103343477.326952</v>
      </c>
      <c r="I8" s="0" t="n">
        <f aca="false">MIN(I7,H12*Inputs!$B$10)*(1-Inputs!$B$11)</f>
        <v>96976623.788415</v>
      </c>
      <c r="J8" s="0" t="n">
        <f aca="false">MIN(J7,I12*Inputs!$B$10)*(1-Inputs!$B$11)</f>
        <v>91161205.1062236</v>
      </c>
      <c r="K8" s="0" t="n">
        <f aca="false">MIN(K7,J12*Inputs!$B$10)*(1-Inputs!$B$11)</f>
        <v>85849461.3627116</v>
      </c>
      <c r="L8" s="0" t="n">
        <f aca="false">MIN(L7,K12*Inputs!$B$10)*(1-Inputs!$B$11)</f>
        <v>80997769.1392194</v>
      </c>
      <c r="M8" s="0" t="n">
        <f aca="false">MIN(M7,L12*Inputs!$B$10)*(1-Inputs!$B$11)</f>
        <v>76566283.2528293</v>
      </c>
      <c r="N8" s="0" t="n">
        <f aca="false">MIN(N7,M12*Inputs!$B$10)*(1-Inputs!$B$11)</f>
        <v>72518609.5223759</v>
      </c>
    </row>
    <row r="9" customFormat="false" ht="15" hidden="false" customHeight="false" outlineLevel="0" collapsed="false">
      <c r="A9" s="0" t="s">
        <v>19</v>
      </c>
      <c r="B9" s="0" t="n">
        <f aca="false">0</f>
        <v>0</v>
      </c>
      <c r="C9" s="0" t="n">
        <f aca="false">C7-C8/(1-Inputs!$B$11)</f>
        <v>13000000</v>
      </c>
      <c r="D9" s="0" t="n">
        <f aca="false">D7-D8/(1-Inputs!$B$11)</f>
        <v>36183552.7234222</v>
      </c>
      <c r="E9" s="0" t="n">
        <f aca="false">E7-E8/(1-Inputs!$B$11)</f>
        <v>68606992.5562151</v>
      </c>
      <c r="F9" s="0" t="n">
        <f aca="false">F7-F8/(1-Inputs!$B$11)</f>
        <v>109470021.101097</v>
      </c>
      <c r="G9" s="0" t="n">
        <f aca="false">G7-G8/(1-Inputs!$B$11)</f>
        <v>158041683.350255</v>
      </c>
      <c r="H9" s="0" t="n">
        <f aca="false">H7-H8/(1-Inputs!$B$11)</f>
        <v>213654332.51495</v>
      </c>
      <c r="I9" s="0" t="n">
        <f aca="false">I7-I8/(1-Inputs!$B$11)</f>
        <v>275698146.870086</v>
      </c>
      <c r="J9" s="0" t="n">
        <f aca="false">J7-J8/(1-Inputs!$B$11)</f>
        <v>343616121.510265</v>
      </c>
      <c r="K9" s="0" t="n">
        <f aca="false">K7-K8/(1-Inputs!$B$11)</f>
        <v>416899493.871162</v>
      </c>
      <c r="L9" s="0" t="n">
        <f aca="false">L7-L8/(1-Inputs!$B$11)</f>
        <v>495083565.447708</v>
      </c>
      <c r="M9" s="0" t="n">
        <f aca="false">M7-M8/(1-Inputs!$B$11)</f>
        <v>577743885.394345</v>
      </c>
      <c r="N9" s="0" t="n">
        <f aca="false">N7-N8/(1-Inputs!$B$11)</f>
        <v>664492764.664672</v>
      </c>
    </row>
    <row r="10" customFormat="false" ht="15" hidden="false" customHeight="false" outlineLevel="0" collapsed="false">
      <c r="A10" s="0" t="s">
        <v>20</v>
      </c>
      <c r="B10" s="0" t="n">
        <f aca="false">0</f>
        <v>0</v>
      </c>
      <c r="C10" s="0" t="n">
        <f aca="false">MAX(0,B12*Inputs!$B$14-(B11+C5-C6+Inputs!$B$8-C8))</f>
        <v>60418750</v>
      </c>
      <c r="D10" s="0" t="n">
        <f aca="false">MAX(0,C12*Inputs!$B$14-(C11+D5-D6+Inputs!$B$8-D8))</f>
        <v>93687710.5818404</v>
      </c>
      <c r="E10" s="0" t="n">
        <f aca="false">MAX(0,D12*Inputs!$B$14-(D11+E5-E6+Inputs!$B$8-E8))</f>
        <v>85745299.5255718</v>
      </c>
      <c r="F10" s="0" t="n">
        <f aca="false">MAX(0,E12*Inputs!$B$14-(E11+F5-F6+Inputs!$B$8-F8))</f>
        <v>78472539.9550739</v>
      </c>
      <c r="G10" s="0" t="n">
        <f aca="false">MAX(0,F12*Inputs!$B$14-(F11+G5-G6+Inputs!$B$8-G8))</f>
        <v>71829667.3176391</v>
      </c>
      <c r="H10" s="0" t="n">
        <f aca="false">MAX(0,G12*Inputs!$B$14-(G11+H5-H6+Inputs!$B$8-H8))</f>
        <v>65762135.6190311</v>
      </c>
      <c r="I10" s="0" t="n">
        <f aca="false">MAX(0,H12*Inputs!$B$14-(H11+I5-I6+Inputs!$B$8-I8))</f>
        <v>60220114.4336351</v>
      </c>
      <c r="J10" s="0" t="n">
        <f aca="false">MAX(0,I12*Inputs!$B$14-(I11+J5-J6+Inputs!$B$8-J8))</f>
        <v>55158089.157951</v>
      </c>
      <c r="K10" s="0" t="n">
        <f aca="false">MAX(0,J12*Inputs!$B$14-(J11+K5-K6+Inputs!$B$8-K8))</f>
        <v>50534487.2202342</v>
      </c>
      <c r="L10" s="0" t="n">
        <f aca="false">MAX(0,K12*Inputs!$B$14-(K11+L5-L6+Inputs!$B$8-L8))</f>
        <v>46311336.6600923</v>
      </c>
      <c r="M10" s="0" t="n">
        <f aca="false">MAX(0,L12*Inputs!$B$14-(L11+M5-M6+Inputs!$B$8-M8))</f>
        <v>42453954.2785901</v>
      </c>
      <c r="N10" s="0" t="n">
        <f aca="false">MAX(0,M12*Inputs!$B$14-(M11+N5-N6+Inputs!$B$8-N8))</f>
        <v>38930660.7977574</v>
      </c>
    </row>
    <row r="11" customFormat="false" ht="15" hidden="false" customHeight="false" outlineLevel="0" collapsed="false">
      <c r="A11" s="0" t="s">
        <v>21</v>
      </c>
      <c r="B11" s="1" t="n">
        <f aca="false">Inputs!$B$4</f>
        <v>90000000</v>
      </c>
      <c r="C11" s="0" t="n">
        <f aca="false">B11+C5-C6+Inputs!$B$8-C8+C10</f>
        <v>44100000</v>
      </c>
      <c r="D11" s="0" t="n">
        <f aca="false">C11+D5-D6+Inputs!$B$8-D8+D10</f>
        <v>41044934.1829733</v>
      </c>
      <c r="E11" s="0" t="n">
        <f aca="false">D11+E5-E6+Inputs!$B$8-E8+E10</f>
        <v>38272968.0501621</v>
      </c>
      <c r="F11" s="0" t="n">
        <f aca="false">E11+F5-F6+Inputs!$B$8-F8+F10</f>
        <v>35741091.4365355</v>
      </c>
      <c r="G11" s="0" t="n">
        <f aca="false">F11+G5-G6+Inputs!$B$8-G8+G10</f>
        <v>33428501.3252525</v>
      </c>
      <c r="H11" s="0" t="n">
        <f aca="false">G11+H5-H6+Inputs!$B$8-H8+H10</f>
        <v>31316205.2505915</v>
      </c>
      <c r="I11" s="0" t="n">
        <f aca="false">H11+I5-I6+Inputs!$B$8-I8+I10</f>
        <v>29386855.6934591</v>
      </c>
      <c r="J11" s="0" t="n">
        <f aca="false">I11+J5-J6+Inputs!$B$8-J8+J10</f>
        <v>27624607.6079465</v>
      </c>
      <c r="K11" s="0" t="n">
        <f aca="false">J11+K5-K6+Inputs!$B$8-K8+K10</f>
        <v>26014988.2917308</v>
      </c>
      <c r="L11" s="0" t="n">
        <f aca="false">K11+L5-L6+Inputs!$B$8-L8+L10</f>
        <v>24544778.5270362</v>
      </c>
      <c r="M11" s="0" t="n">
        <f aca="false">L11+M5-M6+Inputs!$B$8-M8+M10</f>
        <v>23201904.0160089</v>
      </c>
      <c r="N11" s="0" t="n">
        <f aca="false">M11+N5-N6+Inputs!$B$8-N8+N10</f>
        <v>21975336.2189018</v>
      </c>
    </row>
    <row r="12" customFormat="false" ht="15" hidden="false" customHeight="false" outlineLevel="0" collapsed="false">
      <c r="A12" s="0" t="s">
        <v>22</v>
      </c>
      <c r="B12" s="0" t="n">
        <f aca="false">Inputs!$B$3+Inputs!$B$4-Inputs!$B$5</f>
        <v>1470000000</v>
      </c>
      <c r="C12" s="0" t="n">
        <f aca="false">C4+C11-Inputs!$B$5</f>
        <v>1368164472.76578</v>
      </c>
      <c r="D12" s="0" t="n">
        <f aca="false">D4+D11-Inputs!$B$5</f>
        <v>1275765601.67207</v>
      </c>
      <c r="E12" s="0" t="n">
        <f aca="false">E4+E11-Inputs!$B$5</f>
        <v>1191369714.55118</v>
      </c>
      <c r="F12" s="0" t="n">
        <f aca="false">F4+F11-Inputs!$B$5</f>
        <v>1114283377.50842</v>
      </c>
      <c r="G12" s="0" t="n">
        <f aca="false">G4+G11-Inputs!$B$5</f>
        <v>1043873508.35305</v>
      </c>
      <c r="H12" s="0" t="n">
        <f aca="false">H4+H11-Inputs!$B$5</f>
        <v>979561856.448637</v>
      </c>
      <c r="I12" s="0" t="n">
        <f aca="false">I4+I11-Inputs!$B$5</f>
        <v>920820253.598218</v>
      </c>
      <c r="J12" s="0" t="n">
        <f aca="false">J4+J11-Inputs!$B$5</f>
        <v>867166276.391026</v>
      </c>
      <c r="K12" s="0" t="n">
        <f aca="false">K4+K11-Inputs!$B$5</f>
        <v>818159284.23454</v>
      </c>
      <c r="L12" s="0" t="n">
        <f aca="false">L4+L11-Inputs!$B$5</f>
        <v>773396800.53363</v>
      </c>
      <c r="M12" s="0" t="n">
        <f aca="false">M4+M11-Inputs!$B$5</f>
        <v>732511207.296727</v>
      </c>
      <c r="N12" s="0" t="n">
        <f aca="false">N4+N11-Inputs!$B$5</f>
        <v>695166726.023014</v>
      </c>
    </row>
    <row r="13" customFormat="false" ht="15" hidden="false" customHeight="false" outlineLevel="0" collapsed="false">
      <c r="A13" s="0" t="s">
        <v>23</v>
      </c>
      <c r="B13" s="1" t="n">
        <f aca="false">Inputs!$B$13</f>
        <v>13000000</v>
      </c>
      <c r="C13" s="0" t="n">
        <f aca="false">B13+Inputs!$B$8/B14-C8/(1-Inputs!$B$11)/B14</f>
        <v>11876870.7482993</v>
      </c>
      <c r="D13" s="0" t="n">
        <f aca="false">C13+Inputs!$B$8/C14-D8/(1-Inputs!$B$11)/C14</f>
        <v>10862801.2608972</v>
      </c>
      <c r="E13" s="0" t="n">
        <f aca="false">D13+Inputs!$B$8/D14-E8/(1-Inputs!$B$11)/D14</f>
        <v>9946815.76019411</v>
      </c>
      <c r="F13" s="0" t="n">
        <f aca="false">E13+Inputs!$B$8/E14-F8/(1-Inputs!$B$11)/E14</f>
        <v>9119115.35951776</v>
      </c>
      <c r="G13" s="0" t="n">
        <f aca="false">F13+Inputs!$B$8/F14-G8/(1-Inputs!$B$11)/F14</f>
        <v>8370880.59634364</v>
      </c>
      <c r="H13" s="0" t="n">
        <f aca="false">G13+Inputs!$B$8/G14-H8/(1-Inputs!$B$11)/G14</f>
        <v>7694173.66582808</v>
      </c>
      <c r="I13" s="0" t="n">
        <f aca="false">H13+Inputs!$B$8/H14-I8/(1-Inputs!$B$11)/H14</f>
        <v>7081850.48610393</v>
      </c>
      <c r="J13" s="0" t="n">
        <f aca="false">I13+Inputs!$B$8/I14-J8/(1-Inputs!$B$11)/I14</f>
        <v>6527481.56954387</v>
      </c>
      <c r="K13" s="0" t="n">
        <f aca="false">J13+Inputs!$B$8/J14-K8/(1-Inputs!$B$11)/J14</f>
        <v>6025280.81617879</v>
      </c>
      <c r="L13" s="0" t="n">
        <f aca="false">K13+Inputs!$B$8/K14-L8/(1-Inputs!$B$11)/K14</f>
        <v>5570041.43328456</v>
      </c>
      <c r="M13" s="0" t="n">
        <f aca="false">L13+Inputs!$B$8/L14-M8/(1-Inputs!$B$11)/L14</f>
        <v>5157078.26425135</v>
      </c>
      <c r="N13" s="0" t="n">
        <f aca="false">M13+Inputs!$B$8/M14-N8/(1-Inputs!$B$11)/M14</f>
        <v>4782175.88115269</v>
      </c>
    </row>
    <row r="14" customFormat="false" ht="15" hidden="false" customHeight="false" outlineLevel="0" collapsed="false">
      <c r="A14" s="0" t="s">
        <v>24</v>
      </c>
      <c r="B14" s="0" t="n">
        <f aca="false">(Inputs!$B$3+Inputs!$B$4-Inputs!$B$5)/Inputs!$B$13</f>
        <v>113.076923076923</v>
      </c>
      <c r="C14" s="0" t="n">
        <f aca="false">C12/C13</f>
        <v>115.195702787427</v>
      </c>
      <c r="D14" s="0" t="n">
        <f aca="false">D12/D13</f>
        <v>117.443518576046</v>
      </c>
      <c r="E14" s="0" t="n">
        <f aca="false">E12/E13</f>
        <v>119.773980264005</v>
      </c>
      <c r="F14" s="0" t="n">
        <f aca="false">F12/F13</f>
        <v>122.192047537311</v>
      </c>
      <c r="G14" s="0" t="n">
        <f aca="false">G12/G13</f>
        <v>124.702950464854</v>
      </c>
      <c r="H14" s="0" t="n">
        <f aca="false">H12/H13</f>
        <v>127.312158393193</v>
      </c>
      <c r="I14" s="0" t="n">
        <f aca="false">I12/I13</f>
        <v>130.025373368876</v>
      </c>
      <c r="J14" s="0" t="n">
        <f aca="false">J12/J13</f>
        <v>132.84852161622</v>
      </c>
      <c r="K14" s="0" t="n">
        <f aca="false">K12/K13</f>
        <v>135.787743209853</v>
      </c>
      <c r="L14" s="0" t="n">
        <f aca="false">L12/L13</f>
        <v>138.849380170153</v>
      </c>
      <c r="M14" s="0" t="n">
        <f aca="false">M12/M13</f>
        <v>142.039963282013</v>
      </c>
      <c r="N14" s="0" t="n">
        <f aca="false">N12/N13</f>
        <v>145.366198002624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25</v>
      </c>
      <c r="B3" s="2" t="n">
        <f aca="false">(NAV!N14/NAV!B14)^(4/12)-1</f>
        <v>0.0873344544684134</v>
      </c>
    </row>
    <row r="4" customFormat="false" ht="15" hidden="false" customHeight="false" outlineLevel="0" collapsed="false">
      <c r="A4" s="0" t="s">
        <v>26</v>
      </c>
      <c r="B4" s="1" t="n">
        <f aca="false">NAV!N9</f>
        <v>664492764.664672</v>
      </c>
    </row>
    <row r="5" customFormat="false" ht="15" hidden="false" customHeight="false" outlineLevel="0" collapsed="false">
      <c r="A5" s="0" t="s">
        <v>27</v>
      </c>
      <c r="B5" s="3" t="n">
        <f aca="false">COUNTIF(NAV!$B$9:$N$9,"&gt;0")</f>
        <v>12</v>
      </c>
    </row>
    <row r="6" customFormat="false" ht="15" hidden="false" customHeight="false" outlineLevel="0" collapsed="false">
      <c r="A6" s="0" t="s">
        <v>28</v>
      </c>
      <c r="B6" s="1" t="n">
        <f aca="false">SUM(NAV!$B$10:$N$10)</f>
        <v>749524745.547416</v>
      </c>
    </row>
    <row r="7" customFormat="false" ht="15" hidden="false" customHeight="false" outlineLevel="0" collapsed="false">
      <c r="A7" s="0" t="s">
        <v>29</v>
      </c>
      <c r="B7" s="2" t="n">
        <f aca="false">Inputs!$B$5/NAV!N4</f>
        <v>0.384196220275079</v>
      </c>
    </row>
    <row r="8" customFormat="false" ht="15" hidden="false" customHeight="false" outlineLevel="0" collapsed="false">
      <c r="A8" s="0" t="s">
        <v>30</v>
      </c>
      <c r="B8" s="1" t="n">
        <f aca="false">NAV!N12</f>
        <v>695166726.023014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2026-10-18T00:22:40Z</dcterms:created>
  <dc:creator>openpyxl</dc:creator>
  <dc:description/>
  <dc:language>en-US</dc:language>
  <cp:lastModifiedBy/>
  <dcterms:modified xsi:type="dcterms:W3CDTF">2026-10-18T00:22:40Z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