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" sheetId="1" state="visible" r:id="rId3"/>
    <sheet name="Assumptions" sheetId="2" state="visible" r:id="rId4"/>
    <sheet name="Operation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<sst xmlns="http://schemas.openxmlformats.org/spreadsheetml/2006/main" count="62" uniqueCount="55">
  <si>
    <t xml:space="preserve">RIVERSIDE STUDENT LIVING – INVESTMENT MODEL</t>
  </si>
  <si>
    <t xml:space="preserve">Active case (1 = Base, 2 = Downside, 3 = Upside)</t>
  </si>
  <si>
    <t xml:space="preserve">Currency</t>
  </si>
  <si>
    <t xml:space="preserve">GBP</t>
  </si>
  <si>
    <t xml:space="preserve">Assumption</t>
  </si>
  <si>
    <t xml:space="preserve">Unit</t>
  </si>
  <si>
    <t xml:space="preserve">Base</t>
  </si>
  <si>
    <t xml:space="preserve">Downside</t>
  </si>
  <si>
    <t xml:space="preserve">Upside</t>
  </si>
  <si>
    <t xml:space="preserve">Live</t>
  </si>
  <si>
    <t xml:space="preserve">Beds</t>
  </si>
  <si>
    <t xml:space="preserve">beds</t>
  </si>
  <si>
    <t xml:space="preserve">Weekly rent</t>
  </si>
  <si>
    <t xml:space="preserve">£/bed/week</t>
  </si>
  <si>
    <t xml:space="preserve">Let weeks</t>
  </si>
  <si>
    <t xml:space="preserve">weeks/yr</t>
  </si>
  <si>
    <t xml:space="preserve">Occupancy</t>
  </si>
  <si>
    <t xml:space="preserve">%</t>
  </si>
  <si>
    <t xml:space="preserve">Rental growth</t>
  </si>
  <si>
    <t xml:space="preserve">% p.a.</t>
  </si>
  <si>
    <t xml:space="preserve">Operating costs</t>
  </si>
  <si>
    <t xml:space="preserve">£/bed/yr</t>
  </si>
  <si>
    <t xml:space="preserve">Cost inflation</t>
  </si>
  <si>
    <t xml:space="preserve">Total development cost</t>
  </si>
  <si>
    <t xml:space="preserve">£</t>
  </si>
  <si>
    <t xml:space="preserve">Exit yield</t>
  </si>
  <si>
    <t xml:space="preserve">Senior loan to cost</t>
  </si>
  <si>
    <t xml:space="preserve">Interest rate</t>
  </si>
  <si>
    <t xml:space="preserve">Refinance year</t>
  </si>
  <si>
    <t xml:space="preserve">year</t>
  </si>
  <si>
    <t xml:space="preserve">Refinance LTV</t>
  </si>
  <si>
    <t xml:space="preserve">Hold period</t>
  </si>
  <si>
    <t xml:space="preserve">years</t>
  </si>
  <si>
    <t xml:space="preserve">ANNUAL CASH FLOW (£)</t>
  </si>
  <si>
    <t xml:space="preserve">Year</t>
  </si>
  <si>
    <t xml:space="preserve">Development cost</t>
  </si>
  <si>
    <t xml:space="preserve">Gross rental income</t>
  </si>
  <si>
    <t xml:space="preserve">Net operating income</t>
  </si>
  <si>
    <t xml:space="preserve">Exit value</t>
  </si>
  <si>
    <t xml:space="preserve">Unlevered cash flow</t>
  </si>
  <si>
    <t xml:space="preserve">Opening debt</t>
  </si>
  <si>
    <t xml:space="preserve">Refinance proceeds</t>
  </si>
  <si>
    <t xml:space="preserve">Closing debt</t>
  </si>
  <si>
    <t xml:space="preserve">Interest</t>
  </si>
  <si>
    <t xml:space="preserve">DSCR</t>
  </si>
  <si>
    <t xml:space="preserve">Debt flows</t>
  </si>
  <si>
    <t xml:space="preserve">Levered cash flow</t>
  </si>
  <si>
    <t xml:space="preserve">RETURNS</t>
  </si>
  <si>
    <t xml:space="preserve">Levered IRR</t>
  </si>
  <si>
    <t xml:space="preserve">Unlevered IRR</t>
  </si>
  <si>
    <t xml:space="preserve">Equity multiple</t>
  </si>
  <si>
    <t xml:space="preserve">Yield on cost</t>
  </si>
  <si>
    <t xml:space="preserve">Minimum DSCR</t>
  </si>
  <si>
    <t xml:space="preserve">Net profit</t>
  </si>
  <si>
    <t xml:space="preserve">Cash-on-cash yield (year 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</si>
</sst>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C3" s="0" t="n">
        <v>1</v>
      </c>
    </row>
    <row r="4" customFormat="false" ht="15" hidden="false" customHeight="false" outlineLevel="0" collapsed="false">
      <c r="A4" s="0" t="s">
        <v>2</v>
      </c>
      <c r="C4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1" t="n">
        <v>650</v>
      </c>
      <c r="D2" s="1" t="n">
        <v>650</v>
      </c>
      <c r="E2" s="1" t="n">
        <v>650</v>
      </c>
      <c r="F2" s="1" t="n">
        <f aca="false">CHOOSE(Control!$C$3,C2,D2,E2)</f>
        <v>650</v>
      </c>
    </row>
    <row r="3" customFormat="false" ht="15" hidden="false" customHeight="false" outlineLevel="0" collapsed="false">
      <c r="A3" s="0" t="s">
        <v>12</v>
      </c>
      <c r="B3" s="0" t="s">
        <v>13</v>
      </c>
      <c r="C3" s="1" t="n">
        <v>215</v>
      </c>
      <c r="D3" s="1" t="n">
        <v>200</v>
      </c>
      <c r="E3" s="1" t="n">
        <v>225</v>
      </c>
      <c r="F3" s="1" t="n">
        <f aca="false">CHOOSE(Control!$C$3,C3,D3,E3)</f>
        <v>215</v>
      </c>
    </row>
    <row r="4" customFormat="false" ht="15" hidden="false" customHeight="false" outlineLevel="0" collapsed="false">
      <c r="A4" s="0" t="s">
        <v>14</v>
      </c>
      <c r="B4" s="0" t="s">
        <v>15</v>
      </c>
      <c r="C4" s="1" t="n">
        <v>51</v>
      </c>
      <c r="D4" s="1" t="n">
        <v>51</v>
      </c>
      <c r="E4" s="1" t="n">
        <v>51</v>
      </c>
      <c r="F4" s="1" t="n">
        <f aca="false">CHOOSE(Control!$C$3,C4,D4,E4)</f>
        <v>51</v>
      </c>
    </row>
    <row r="5" customFormat="false" ht="15" hidden="false" customHeight="false" outlineLevel="0" collapsed="false">
      <c r="A5" s="0" t="s">
        <v>16</v>
      </c>
      <c r="B5" s="0" t="s">
        <v>17</v>
      </c>
      <c r="C5" s="2" t="n">
        <v>0.97</v>
      </c>
      <c r="D5" s="2" t="n">
        <v>0.92</v>
      </c>
      <c r="E5" s="2" t="n">
        <v>0.98</v>
      </c>
      <c r="F5" s="2" t="n">
        <f aca="false">CHOOSE(Control!$C$3,C5,D5,E5)</f>
        <v>0.97</v>
      </c>
    </row>
    <row r="6" customFormat="false" ht="15" hidden="false" customHeight="false" outlineLevel="0" collapsed="false">
      <c r="A6" s="0" t="s">
        <v>18</v>
      </c>
      <c r="B6" s="0" t="s">
        <v>19</v>
      </c>
      <c r="C6" s="2" t="n">
        <v>0.03</v>
      </c>
      <c r="D6" s="2" t="n">
        <v>0.02</v>
      </c>
      <c r="E6" s="2" t="n">
        <v>0.035</v>
      </c>
      <c r="F6" s="2" t="n">
        <f aca="false">CHOOSE(Control!$C$3,C6,D6,E6)</f>
        <v>0.03</v>
      </c>
    </row>
    <row r="7" customFormat="false" ht="15" hidden="false" customHeight="false" outlineLevel="0" collapsed="false">
      <c r="A7" s="0" t="s">
        <v>20</v>
      </c>
      <c r="B7" s="0" t="s">
        <v>21</v>
      </c>
      <c r="C7" s="1" t="n">
        <v>2900</v>
      </c>
      <c r="D7" s="1" t="n">
        <v>3100</v>
      </c>
      <c r="E7" s="1" t="n">
        <v>2800</v>
      </c>
      <c r="F7" s="1" t="n">
        <f aca="false">CHOOSE(Control!$C$3,C7,D7,E7)</f>
        <v>2900</v>
      </c>
    </row>
    <row r="8" customFormat="false" ht="15" hidden="false" customHeight="false" outlineLevel="0" collapsed="false">
      <c r="A8" s="0" t="s">
        <v>22</v>
      </c>
      <c r="B8" s="0" t="s">
        <v>19</v>
      </c>
      <c r="C8" s="2" t="n">
        <v>0.03</v>
      </c>
      <c r="D8" s="2" t="n">
        <v>0.035</v>
      </c>
      <c r="E8" s="2" t="n">
        <v>0.03</v>
      </c>
      <c r="F8" s="2" t="n">
        <f aca="false">CHOOSE(Control!$C$3,C8,D8,E8)</f>
        <v>0.03</v>
      </c>
    </row>
    <row r="9" customFormat="false" ht="15" hidden="false" customHeight="false" outlineLevel="0" collapsed="false">
      <c r="A9" s="0" t="s">
        <v>23</v>
      </c>
      <c r="B9" s="0" t="s">
        <v>24</v>
      </c>
      <c r="C9" s="1" t="n">
        <v>78000000</v>
      </c>
      <c r="D9" s="1" t="n">
        <v>78000000</v>
      </c>
      <c r="E9" s="1" t="n">
        <v>78000000</v>
      </c>
      <c r="F9" s="1" t="n">
        <f aca="false">CHOOSE(Control!$C$3,C9,D9,E9)</f>
        <v>78000000</v>
      </c>
    </row>
    <row r="10" customFormat="false" ht="15" hidden="false" customHeight="false" outlineLevel="0" collapsed="false">
      <c r="A10" s="0" t="s">
        <v>25</v>
      </c>
      <c r="B10" s="0" t="s">
        <v>17</v>
      </c>
      <c r="C10" s="2" t="n">
        <v>0.05</v>
      </c>
      <c r="D10" s="2" t="n">
        <v>0.055</v>
      </c>
      <c r="E10" s="2" t="n">
        <v>0.0475</v>
      </c>
      <c r="F10" s="2" t="n">
        <f aca="false">CHOOSE(Control!$C$3,C10,D10,E10)</f>
        <v>0.05</v>
      </c>
    </row>
    <row r="11" customFormat="false" ht="15" hidden="false" customHeight="false" outlineLevel="0" collapsed="false">
      <c r="A11" s="0" t="s">
        <v>26</v>
      </c>
      <c r="B11" s="0" t="s">
        <v>17</v>
      </c>
      <c r="C11" s="2" t="n">
        <v>0.55</v>
      </c>
      <c r="D11" s="2" t="n">
        <v>0.55</v>
      </c>
      <c r="E11" s="2" t="n">
        <v>0.55</v>
      </c>
      <c r="F11" s="2" t="n">
        <f aca="false">CHOOSE(Control!$C$3,C11,D11,E11)</f>
        <v>0.55</v>
      </c>
    </row>
    <row r="12" customFormat="false" ht="15" hidden="false" customHeight="false" outlineLevel="0" collapsed="false">
      <c r="A12" s="0" t="s">
        <v>27</v>
      </c>
      <c r="B12" s="0" t="s">
        <v>17</v>
      </c>
      <c r="C12" s="2" t="n">
        <v>0.0625</v>
      </c>
      <c r="D12" s="2" t="n">
        <v>0.0725</v>
      </c>
      <c r="E12" s="2" t="n">
        <v>0.0575</v>
      </c>
      <c r="F12" s="2" t="n">
        <f aca="false">CHOOSE(Control!$C$3,C12,D12,E12)</f>
        <v>0.0625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1" t="n">
        <v>3</v>
      </c>
      <c r="D13" s="1" t="n">
        <v>3</v>
      </c>
      <c r="E13" s="1" t="n">
        <v>3</v>
      </c>
      <c r="F13" s="1" t="n">
        <f aca="false">CHOOSE(Control!$C$3,C13,D13,E13)</f>
        <v>3</v>
      </c>
    </row>
    <row r="14" customFormat="false" ht="15" hidden="false" customHeight="false" outlineLevel="0" collapsed="false">
      <c r="A14" s="0" t="s">
        <v>30</v>
      </c>
      <c r="B14" s="0" t="s">
        <v>17</v>
      </c>
      <c r="C14" s="2" t="n">
        <v>0.6</v>
      </c>
      <c r="D14" s="2" t="n">
        <v>0.55</v>
      </c>
      <c r="E14" s="2" t="n">
        <v>0.6</v>
      </c>
      <c r="F14" s="2" t="n">
        <f aca="false">CHOOSE(Control!$C$3,C14,D14,E14)</f>
        <v>0.6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1" t="n">
        <v>7</v>
      </c>
      <c r="D15" s="1" t="n">
        <v>7</v>
      </c>
      <c r="E15" s="1" t="n">
        <v>7</v>
      </c>
      <c r="F15" s="1" t="n">
        <f aca="false">CHOOSE(Control!$C$3,C15,D15,E15)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33</v>
      </c>
    </row>
    <row r="3" customFormat="false" ht="15" hidden="false" customHeight="false" outlineLevel="0" collapsed="false">
      <c r="A3" s="0" t="s">
        <v>34</v>
      </c>
      <c r="C3" s="0" t="n">
        <v>0</v>
      </c>
      <c r="D3" s="0" t="n">
        <v>1</v>
      </c>
      <c r="E3" s="0" t="n">
        <v>2</v>
      </c>
      <c r="F3" s="0" t="n">
        <v>3</v>
      </c>
      <c r="G3" s="0" t="n">
        <v>4</v>
      </c>
      <c r="H3" s="0" t="n">
        <v>5</v>
      </c>
      <c r="I3" s="0" t="n">
        <v>6</v>
      </c>
      <c r="J3" s="0" t="n">
        <v>7</v>
      </c>
    </row>
    <row r="5" customFormat="false" ht="15" hidden="false" customHeight="false" outlineLevel="0" collapsed="false">
      <c r="A5" s="0" t="s">
        <v>35</v>
      </c>
      <c r="C5" s="0" t="n">
        <f aca="false">IF(C$3=0,-Assumptions!$F$9,0)</f>
        <v>-78000000</v>
      </c>
      <c r="D5" s="0" t="n">
        <f aca="false">IF(D$3=0,-Assumptions!$F$9,0)</f>
        <v>0</v>
      </c>
      <c r="E5" s="0" t="n">
        <f aca="false">IF(E$3=0,-Assumptions!$F$9,0)</f>
        <v>0</v>
      </c>
      <c r="F5" s="0" t="n">
        <f aca="false">IF(F$3=0,-Assumptions!$F$9,0)</f>
        <v>0</v>
      </c>
      <c r="G5" s="0" t="n">
        <f aca="false">IF(G$3=0,-Assumptions!$F$9,0)</f>
        <v>0</v>
      </c>
      <c r="H5" s="0" t="n">
        <f aca="false">IF(H$3=0,-Assumptions!$F$9,0)</f>
        <v>0</v>
      </c>
      <c r="I5" s="0" t="n">
        <f aca="false">IF(I$3=0,-Assumptions!$F$9,0)</f>
        <v>0</v>
      </c>
      <c r="J5" s="0" t="n">
        <f aca="false">IF(J$3=0,-Assumptions!$F$9,0)</f>
        <v>0</v>
      </c>
    </row>
    <row r="6" customFormat="false" ht="15" hidden="false" customHeight="false" outlineLevel="0" collapsed="false">
      <c r="A6" s="0" t="s">
        <v>36</v>
      </c>
      <c r="C6" s="0" t="n">
        <f aca="false">IF(AND(C$3&gt;=1,C$3&lt;=Assumptions!$F$15),Assumptions!$F$2*Assumptions!$F$3*Assumptions!$F$4*Assumptions!$F$5*(1+Assumptions!$F$6)^(C$3-1),0)</f>
        <v>0</v>
      </c>
      <c r="D6" s="0" t="n">
        <f aca="false">IF(AND(D$3&gt;=1,D$3&lt;=Assumptions!$F$15),Assumptions!$F$2*Assumptions!$F$3*Assumptions!$F$4*Assumptions!$F$5*(1+Assumptions!$F$6)^(D$3-1),0)</f>
        <v>6913432.5</v>
      </c>
      <c r="E6" s="0" t="n">
        <f aca="false">IF(AND(E$3&gt;=1,E$3&lt;=Assumptions!$F$15),Assumptions!$F$2*Assumptions!$F$3*Assumptions!$F$4*Assumptions!$F$5*(1+Assumptions!$F$6)^(E$3-1),0)</f>
        <v>7120835.475</v>
      </c>
      <c r="F6" s="0" t="n">
        <f aca="false">IF(AND(F$3&gt;=1,F$3&lt;=Assumptions!$F$15),Assumptions!$F$2*Assumptions!$F$3*Assumptions!$F$4*Assumptions!$F$5*(1+Assumptions!$F$6)^(F$3-1),0)</f>
        <v>7334460.53925</v>
      </c>
      <c r="G6" s="0" t="n">
        <f aca="false">IF(AND(G$3&gt;=1,G$3&lt;=Assumptions!$F$15),Assumptions!$F$2*Assumptions!$F$3*Assumptions!$F$4*Assumptions!$F$5*(1+Assumptions!$F$6)^(G$3-1),0)</f>
        <v>7554494.3554275</v>
      </c>
      <c r="H6" s="0" t="n">
        <f aca="false">IF(AND(H$3&gt;=1,H$3&lt;=Assumptions!$F$15),Assumptions!$F$2*Assumptions!$F$3*Assumptions!$F$4*Assumptions!$F$5*(1+Assumptions!$F$6)^(H$3-1),0)</f>
        <v>7781129.18609033</v>
      </c>
      <c r="I6" s="0" t="n">
        <f aca="false">IF(AND(I$3&gt;=1,I$3&lt;=Assumptions!$F$15),Assumptions!$F$2*Assumptions!$F$3*Assumptions!$F$4*Assumptions!$F$5*(1+Assumptions!$F$6)^(I$3-1),0)</f>
        <v>8014563.06167304</v>
      </c>
      <c r="J6" s="0" t="n">
        <f aca="false">IF(AND(J$3&gt;=1,J$3&lt;=Assumptions!$F$15),Assumptions!$F$2*Assumptions!$F$3*Assumptions!$F$4*Assumptions!$F$5*(1+Assumptions!$F$6)^(J$3-1),0)</f>
        <v>8254999.95352323</v>
      </c>
    </row>
    <row r="7" customFormat="false" ht="15" hidden="false" customHeight="false" outlineLevel="0" collapsed="false">
      <c r="A7" s="0" t="s">
        <v>20</v>
      </c>
      <c r="C7" s="0" t="n">
        <f aca="false">IF(C6&gt;0,-Assumptions!$F$2*Assumptions!$F$7*(1+Assumptions!$F$8)^(C$3-1),0)</f>
        <v>0</v>
      </c>
      <c r="D7" s="0" t="n">
        <f aca="false">IF(D6&gt;0,-Assumptions!$F$2*Assumptions!$F$7*(1+Assumptions!$F$8)^(D$3-1),0)</f>
        <v>-1885000</v>
      </c>
      <c r="E7" s="0" t="n">
        <f aca="false">IF(E6&gt;0,-Assumptions!$F$2*Assumptions!$F$7*(1+Assumptions!$F$8)^(E$3-1),0)</f>
        <v>-1941550</v>
      </c>
      <c r="F7" s="0" t="n">
        <f aca="false">IF(F6&gt;0,-Assumptions!$F$2*Assumptions!$F$7*(1+Assumptions!$F$8)^(F$3-1),0)</f>
        <v>-1999796.5</v>
      </c>
      <c r="G7" s="0" t="n">
        <f aca="false">IF(G6&gt;0,-Assumptions!$F$2*Assumptions!$F$7*(1+Assumptions!$F$8)^(G$3-1),0)</f>
        <v>-2059790.395</v>
      </c>
      <c r="H7" s="0" t="n">
        <f aca="false">IF(H6&gt;0,-Assumptions!$F$2*Assumptions!$F$7*(1+Assumptions!$F$8)^(H$3-1),0)</f>
        <v>-2121584.10685</v>
      </c>
      <c r="I7" s="0" t="n">
        <f aca="false">IF(I6&gt;0,-Assumptions!$F$2*Assumptions!$F$7*(1+Assumptions!$F$8)^(I$3-1),0)</f>
        <v>-2185231.6300555</v>
      </c>
      <c r="J7" s="0" t="n">
        <f aca="false">IF(J6&gt;0,-Assumptions!$F$2*Assumptions!$F$7*(1+Assumptions!$F$8)^(J$3-1),0)</f>
        <v>-2250788.57895717</v>
      </c>
    </row>
    <row r="8" customFormat="false" ht="15" hidden="false" customHeight="false" outlineLevel="0" collapsed="false">
      <c r="A8" s="0" t="s">
        <v>37</v>
      </c>
      <c r="C8" s="0" t="n">
        <f aca="false">C6+C7</f>
        <v>0</v>
      </c>
      <c r="D8" s="0" t="n">
        <f aca="false">D6+D7</f>
        <v>5028432.5</v>
      </c>
      <c r="E8" s="0" t="n">
        <f aca="false">E6+E7</f>
        <v>5179285.475</v>
      </c>
      <c r="F8" s="0" t="n">
        <f aca="false">F6+F7</f>
        <v>5334664.03925</v>
      </c>
      <c r="G8" s="0" t="n">
        <f aca="false">G6+G7</f>
        <v>5494703.9604275</v>
      </c>
      <c r="H8" s="0" t="n">
        <f aca="false">H6+H7</f>
        <v>5659545.07924033</v>
      </c>
      <c r="I8" s="0" t="n">
        <f aca="false">I6+I7</f>
        <v>5829331.43161754</v>
      </c>
      <c r="J8" s="0" t="n">
        <f aca="false">J6+J7</f>
        <v>6004211.37456606</v>
      </c>
    </row>
    <row r="9" customFormat="false" ht="15" hidden="false" customHeight="false" outlineLevel="0" collapsed="false">
      <c r="A9" s="0" t="s">
        <v>38</v>
      </c>
      <c r="C9" s="0" t="n">
        <f aca="false">IF(C$3=Assumptions!$F$15,C8*(1+Assumptions!$F$6)/Assumptions!$F$10,0)</f>
        <v>0</v>
      </c>
      <c r="D9" s="0" t="n">
        <f aca="false">IF(D$3=Assumptions!$F$15,D8*(1+Assumptions!$F$6)/Assumptions!$F$10,0)</f>
        <v>0</v>
      </c>
      <c r="E9" s="0" t="n">
        <f aca="false">IF(E$3=Assumptions!$F$15,E8*(1+Assumptions!$F$6)/Assumptions!$F$10,0)</f>
        <v>0</v>
      </c>
      <c r="F9" s="0" t="n">
        <f aca="false">IF(F$3=Assumptions!$F$15,F8*(1+Assumptions!$F$6)/Assumptions!$F$10,0)</f>
        <v>0</v>
      </c>
      <c r="G9" s="0" t="n">
        <f aca="false">IF(G$3=Assumptions!$F$15,G8*(1+Assumptions!$F$6)/Assumptions!$F$10,0)</f>
        <v>0</v>
      </c>
      <c r="H9" s="0" t="n">
        <f aca="false">IF(H$3=Assumptions!$F$15,H8*(1+Assumptions!$F$6)/Assumptions!$F$10,0)</f>
        <v>0</v>
      </c>
      <c r="I9" s="0" t="n">
        <f aca="false">IF(I$3=Assumptions!$F$15,I8*(1+Assumptions!$F$6)/Assumptions!$F$10,0)</f>
        <v>0</v>
      </c>
      <c r="J9" s="0" t="n">
        <f aca="false">IF(J$3=Assumptions!$F$15,J8*(1+Assumptions!$F$6)/Assumptions!$F$10,0)</f>
        <v>123686754.316061</v>
      </c>
    </row>
    <row r="10" customFormat="false" ht="15" hidden="false" customHeight="false" outlineLevel="0" collapsed="false">
      <c r="A10" s="0" t="s">
        <v>39</v>
      </c>
      <c r="C10" s="0" t="n">
        <f aca="false">C5+C8+C9</f>
        <v>-78000000</v>
      </c>
      <c r="D10" s="0" t="n">
        <f aca="false">D5+D8+D9</f>
        <v>5028432.5</v>
      </c>
      <c r="E10" s="0" t="n">
        <f aca="false">E5+E8+E9</f>
        <v>5179285.475</v>
      </c>
      <c r="F10" s="0" t="n">
        <f aca="false">F5+F8+F9</f>
        <v>5334664.03925</v>
      </c>
      <c r="G10" s="0" t="n">
        <f aca="false">G5+G8+G9</f>
        <v>5494703.9604275</v>
      </c>
      <c r="H10" s="0" t="n">
        <f aca="false">H5+H8+H9</f>
        <v>5659545.07924033</v>
      </c>
      <c r="I10" s="0" t="n">
        <f aca="false">I5+I8+I9</f>
        <v>5829331.43161754</v>
      </c>
      <c r="J10" s="0" t="n">
        <f aca="false">J5+J8+J9</f>
        <v>129690965.690627</v>
      </c>
    </row>
    <row r="11" customFormat="false" ht="15" hidden="false" customHeight="false" outlineLevel="0" collapsed="false">
      <c r="A11" s="0" t="s">
        <v>40</v>
      </c>
      <c r="C11" s="0" t="n">
        <f aca="false">IF(C$3=0,Assumptions!$F$9*Assumptions!$F$11,B13)</f>
        <v>42900000</v>
      </c>
      <c r="D11" s="0" t="n">
        <f aca="false">IF(D$3=0,Assumptions!$F$9*Assumptions!$F$11,C13)</f>
        <v>42900000</v>
      </c>
      <c r="E11" s="0" t="n">
        <f aca="false">IF(E$3=0,Assumptions!$F$9*Assumptions!$F$11,D13)</f>
        <v>42900000</v>
      </c>
      <c r="F11" s="0" t="n">
        <f aca="false">IF(F$3=0,Assumptions!$F$9*Assumptions!$F$11,E13)</f>
        <v>42900000</v>
      </c>
      <c r="G11" s="0" t="n">
        <f aca="false">IF(G$3=0,Assumptions!$F$9*Assumptions!$F$11,F13)</f>
        <v>65936447.52513</v>
      </c>
      <c r="H11" s="0" t="n">
        <f aca="false">IF(H$3=0,Assumptions!$F$9*Assumptions!$F$11,G13)</f>
        <v>65936447.52513</v>
      </c>
      <c r="I11" s="0" t="n">
        <f aca="false">IF(I$3=0,Assumptions!$F$9*Assumptions!$F$11,H13)</f>
        <v>65936447.52513</v>
      </c>
      <c r="J11" s="0" t="n">
        <f aca="false">IF(J$3=0,Assumptions!$F$9*Assumptions!$F$11,I13)</f>
        <v>65936447.52513</v>
      </c>
    </row>
    <row r="12" customFormat="false" ht="15" hidden="false" customHeight="false" outlineLevel="0" collapsed="false">
      <c r="A12" s="0" t="s">
        <v>41</v>
      </c>
      <c r="C12" s="0" t="n">
        <f aca="false">IF(C$3=Assumptions!$F$13,MAX(0,Assumptions!$F$14*C8*(1+Assumptions!$F$6)/Assumptions!$F$10-C11),0)</f>
        <v>0</v>
      </c>
      <c r="D12" s="0" t="n">
        <f aca="false">IF(D$3=Assumptions!$F$13,MAX(0,Assumptions!$F$14*D8*(1+Assumptions!$F$6)/Assumptions!$F$10-D11),0)</f>
        <v>0</v>
      </c>
      <c r="E12" s="0" t="n">
        <f aca="false">IF(E$3=Assumptions!$F$13,MAX(0,Assumptions!$F$14*E8*(1+Assumptions!$F$6)/Assumptions!$F$10-E11),0)</f>
        <v>0</v>
      </c>
      <c r="F12" s="0" t="n">
        <f aca="false">IF(F$3=Assumptions!$F$13,MAX(0,Assumptions!$F$14*F8*(1+Assumptions!$F$6)/Assumptions!$F$10-F11),0)</f>
        <v>23036447.52513</v>
      </c>
      <c r="G12" s="0" t="n">
        <f aca="false">IF(G$3=Assumptions!$F$13,MAX(0,Assumptions!$F$14*G8*(1+Assumptions!$F$6)/Assumptions!$F$10-G11),0)</f>
        <v>0</v>
      </c>
      <c r="H12" s="0" t="n">
        <f aca="false">IF(H$3=Assumptions!$F$13,MAX(0,Assumptions!$F$14*H8*(1+Assumptions!$F$6)/Assumptions!$F$10-H11),0)</f>
        <v>0</v>
      </c>
      <c r="I12" s="0" t="n">
        <f aca="false">IF(I$3=Assumptions!$F$13,MAX(0,Assumptions!$F$14*I8*(1+Assumptions!$F$6)/Assumptions!$F$10-I11),0)</f>
        <v>0</v>
      </c>
      <c r="J12" s="0" t="n">
        <f aca="false">IF(J$3=Assumptions!$F$13,MAX(0,Assumptions!$F$14*J8*(1+Assumptions!$F$6)/Assumptions!$F$10-J11),0)</f>
        <v>0</v>
      </c>
    </row>
    <row r="13" customFormat="false" ht="15" hidden="false" customHeight="false" outlineLevel="0" collapsed="false">
      <c r="A13" s="0" t="s">
        <v>42</v>
      </c>
      <c r="C13" s="0" t="n">
        <f aca="false">IF(C$3=Assumptions!$F$15,0,C11+C12)</f>
        <v>42900000</v>
      </c>
      <c r="D13" s="0" t="n">
        <f aca="false">IF(D$3=Assumptions!$F$15,0,D11+D12)</f>
        <v>42900000</v>
      </c>
      <c r="E13" s="0" t="n">
        <f aca="false">IF(E$3=Assumptions!$F$15,0,E11+E12)</f>
        <v>42900000</v>
      </c>
      <c r="F13" s="0" t="n">
        <f aca="false">IF(F$3=Assumptions!$F$15,0,F11+F12)</f>
        <v>65936447.52513</v>
      </c>
      <c r="G13" s="0" t="n">
        <f aca="false">IF(G$3=Assumptions!$F$15,0,G11+G12)</f>
        <v>65936447.52513</v>
      </c>
      <c r="H13" s="0" t="n">
        <f aca="false">IF(H$3=Assumptions!$F$15,0,H11+H12)</f>
        <v>65936447.52513</v>
      </c>
      <c r="I13" s="0" t="n">
        <f aca="false">IF(I$3=Assumptions!$F$15,0,I11+I12)</f>
        <v>65936447.52513</v>
      </c>
      <c r="J13" s="0" t="n">
        <f aca="false">IF(J$3=Assumptions!$F$15,0,J11+J12)</f>
        <v>0</v>
      </c>
    </row>
    <row r="14" customFormat="false" ht="15" hidden="false" customHeight="false" outlineLevel="0" collapsed="false">
      <c r="A14" s="0" t="s">
        <v>43</v>
      </c>
      <c r="C14" s="0" t="n">
        <f aca="false">IF(C$3=0,0,-C11*Assumptions!$F$12)</f>
        <v>0</v>
      </c>
      <c r="D14" s="0" t="n">
        <f aca="false">IF(D$3=0,0,-D11*Assumptions!$F$12)</f>
        <v>-2681250</v>
      </c>
      <c r="E14" s="0" t="n">
        <f aca="false">IF(E$3=0,0,-E11*Assumptions!$F$12)</f>
        <v>-2681250</v>
      </c>
      <c r="F14" s="0" t="n">
        <f aca="false">IF(F$3=0,0,-F11*Assumptions!$F$12)</f>
        <v>-2681250</v>
      </c>
      <c r="G14" s="0" t="n">
        <f aca="false">IF(G$3=0,0,-G11*Assumptions!$F$12)</f>
        <v>-4121027.97032062</v>
      </c>
      <c r="H14" s="0" t="n">
        <f aca="false">IF(H$3=0,0,-H11*Assumptions!$F$12)</f>
        <v>-4121027.97032062</v>
      </c>
      <c r="I14" s="0" t="n">
        <f aca="false">IF(I$3=0,0,-I11*Assumptions!$F$12)</f>
        <v>-4121027.97032062</v>
      </c>
      <c r="J14" s="0" t="n">
        <f aca="false">IF(J$3=0,0,-J11*Assumptions!$F$12)</f>
        <v>-4121027.97032062</v>
      </c>
    </row>
    <row r="15" customFormat="false" ht="15" hidden="false" customHeight="false" outlineLevel="0" collapsed="false">
      <c r="A15" s="0" t="s">
        <v>44</v>
      </c>
      <c r="C15" s="0" t="str">
        <f aca="false">IF(C14&lt;0,C8/-C14,"")</f>
        <v/>
      </c>
      <c r="D15" s="0" t="n">
        <f aca="false">IF(D14&lt;0,D8/-D14,"")</f>
        <v>1.87540606060606</v>
      </c>
      <c r="E15" s="0" t="n">
        <f aca="false">IF(E14&lt;0,E8/-E14,"")</f>
        <v>1.93166824242424</v>
      </c>
      <c r="F15" s="0" t="n">
        <f aca="false">IF(F14&lt;0,F8/-F14,"")</f>
        <v>1.98961828969697</v>
      </c>
      <c r="G15" s="0" t="n">
        <f aca="false">IF(G14&lt;0,G8/-G14,"")</f>
        <v>1.33333333333333</v>
      </c>
      <c r="H15" s="0" t="n">
        <f aca="false">IF(H14&lt;0,H8/-H14,"")</f>
        <v>1.37333333333333</v>
      </c>
      <c r="I15" s="0" t="n">
        <f aca="false">IF(I14&lt;0,I8/-I14,"")</f>
        <v>1.41453333333333</v>
      </c>
      <c r="J15" s="0" t="n">
        <f aca="false">IF(J14&lt;0,J8/-J14,"")</f>
        <v>1.45696933333333</v>
      </c>
    </row>
    <row r="16" customFormat="false" ht="15" hidden="false" customHeight="false" outlineLevel="0" collapsed="false">
      <c r="A16" s="0" t="s">
        <v>45</v>
      </c>
      <c r="C16" s="0" t="n">
        <f aca="false">IF(C$3=0,C11,C12+C14-IF(C$3=Assumptions!$F$15,C11,0))</f>
        <v>42900000</v>
      </c>
      <c r="D16" s="0" t="n">
        <f aca="false">IF(D$3=0,D11,D12+D14-IF(D$3=Assumptions!$F$15,D11,0))</f>
        <v>-2681250</v>
      </c>
      <c r="E16" s="0" t="n">
        <f aca="false">IF(E$3=0,E11,E12+E14-IF(E$3=Assumptions!$F$15,E11,0))</f>
        <v>-2681250</v>
      </c>
      <c r="F16" s="0" t="n">
        <f aca="false">IF(F$3=0,F11,F12+F14-IF(F$3=Assumptions!$F$15,F11,0))</f>
        <v>20355197.52513</v>
      </c>
      <c r="G16" s="0" t="n">
        <f aca="false">IF(G$3=0,G11,G12+G14-IF(G$3=Assumptions!$F$15,G11,0))</f>
        <v>-4121027.97032062</v>
      </c>
      <c r="H16" s="0" t="n">
        <f aca="false">IF(H$3=0,H11,H12+H14-IF(H$3=Assumptions!$F$15,H11,0))</f>
        <v>-4121027.97032062</v>
      </c>
      <c r="I16" s="0" t="n">
        <f aca="false">IF(I$3=0,I11,I12+I14-IF(I$3=Assumptions!$F$15,I11,0))</f>
        <v>-4121027.97032062</v>
      </c>
      <c r="J16" s="0" t="n">
        <f aca="false">IF(J$3=0,J11,J12+J14-IF(J$3=Assumptions!$F$15,J11,0))</f>
        <v>-70057475.4954506</v>
      </c>
    </row>
    <row r="17" customFormat="false" ht="15" hidden="false" customHeight="false" outlineLevel="0" collapsed="false">
      <c r="A17" s="0" t="s">
        <v>46</v>
      </c>
      <c r="C17" s="0" t="n">
        <f aca="false">C10+C16</f>
        <v>-35100000</v>
      </c>
      <c r="D17" s="0" t="n">
        <f aca="false">D10+D16</f>
        <v>2347182.5</v>
      </c>
      <c r="E17" s="0" t="n">
        <f aca="false">E10+E16</f>
        <v>2498035.475</v>
      </c>
      <c r="F17" s="0" t="n">
        <f aca="false">F10+F16</f>
        <v>25689861.56438</v>
      </c>
      <c r="G17" s="0" t="n">
        <f aca="false">G10+G16</f>
        <v>1373675.99010688</v>
      </c>
      <c r="H17" s="0" t="n">
        <f aca="false">H10+H16</f>
        <v>1538517.1089197</v>
      </c>
      <c r="I17" s="0" t="n">
        <f aca="false">I10+I16</f>
        <v>1708303.46129691</v>
      </c>
      <c r="J17" s="0" t="n">
        <f aca="false">J10+J16</f>
        <v>59633490.1951763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47</v>
      </c>
    </row>
    <row r="3" customFormat="false" ht="15" hidden="false" customHeight="false" outlineLevel="0" collapsed="false">
      <c r="A3" s="0" t="s">
        <v>48</v>
      </c>
      <c r="C3" s="2" t="n">
        <f aca="false">IRR(Operations!$C$17:$J$17)</f>
        <v>0.213860160726538</v>
      </c>
    </row>
    <row r="4" customFormat="false" ht="15" hidden="false" customHeight="false" outlineLevel="0" collapsed="false">
      <c r="A4" s="0" t="s">
        <v>49</v>
      </c>
      <c r="C4" s="2" t="n">
        <f aca="false">IRR(Operations!$C$10:$J$10)</f>
        <v>0.126495184130781</v>
      </c>
    </row>
    <row r="5" customFormat="false" ht="15" hidden="false" customHeight="false" outlineLevel="0" collapsed="false">
      <c r="A5" s="0" t="s">
        <v>50</v>
      </c>
      <c r="C5" s="3" t="n">
        <f aca="false">SUMIF(Operations!$C$17:$J$17,"&gt;0")/-SUMIF(Operations!$C$17:$J$17,"&lt;0")</f>
        <v>2.70054319928432</v>
      </c>
    </row>
    <row r="6" customFormat="false" ht="15" hidden="false" customHeight="false" outlineLevel="0" collapsed="false">
      <c r="A6" s="0" t="s">
        <v>51</v>
      </c>
      <c r="C6" s="2" t="n">
        <f aca="false">Operations!D8/Assumptions!$F$9</f>
        <v>0.0644670833333333</v>
      </c>
    </row>
    <row r="7" customFormat="false" ht="15" hidden="false" customHeight="false" outlineLevel="0" collapsed="false">
      <c r="A7" s="0" t="s">
        <v>52</v>
      </c>
      <c r="C7" s="3" t="n">
        <f aca="false">MIN(Operations!$C$15:$J$15)</f>
        <v>1.33333333333333</v>
      </c>
    </row>
    <row r="8" customFormat="false" ht="15" hidden="false" customHeight="false" outlineLevel="0" collapsed="false">
      <c r="A8" s="0" t="s">
        <v>53</v>
      </c>
      <c r="C8" s="1" t="n">
        <f aca="false">SUM(Operations!$C$17:$J$17)</f>
        <v>59689066.2948798</v>
      </c>
    </row>
    <row r="9" customFormat="false" ht="15" hidden="false" customHeight="false" outlineLevel="0" collapsed="false">
      <c r="A9" s="0" t="s">
        <v>23</v>
      </c>
      <c r="C9" s="1" t="n">
        <f aca="false">Assumptions!$F$9</f>
        <v>78000000</v>
      </c>
    </row>
    <row r="10" customFormat="false" ht="15" hidden="false" customHeight="false" outlineLevel="0" collapsed="false">
      <c r="A10" s="0" t="s">
        <v>54</v>
      </c>
      <c r="C10" s="2" t="n">
        <f aca="false">Operations!E17/-Operations!C17</f>
        <v>0.0711691018518519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2026-10-16T14:30:44Z</dcterms:created>
  <dc:creator>openpyxl</dc:creator>
  <dc:description/>
  <dc:language>en-US</dc:language>
  <cp:lastModifiedBy/>
  <dcterms:modified xsi:type="dcterms:W3CDTF">2026-10-16T14:30:44Z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