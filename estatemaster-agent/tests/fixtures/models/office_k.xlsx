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 For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<sst xmlns="http://schemas.openxmlformats.org/spreadsheetml/2006/main" count="16" uniqueCount="16">
  <si>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MAIN STREET OFFICE · pro forma ($000s)</t>
  </si>
  <si>
    <t xml:space="preserve">Returns Summary ($000s)</t>
  </si>
  <si>
    <t xml:space="preserve">Total Project Cost</t>
  </si>
  <si>
    <t xml:space="preserve">Gross Revenue</t>
  </si>
  <si>
    <t xml:space="preserve">Net Profit</t>
  </si>
  <si>
    <t xml:space="preserve">Profit on Cost (%)</t>
  </si>
  <si>
    <t xml:space="preserve">Levered IRR (%)</t>
  </si>
  <si>
    <t xml:space="preserve">Inputs</t>
  </si>
  <si>
    <t xml:space="preserve">Land ($000s)</t>
  </si>
  <si>
    <t xml:space="preserve">Hard cost ($/sf)</t>
  </si>
  <si>
    <t xml:space="preserve">Rentable area (sf)</t>
  </si>
  <si>
    <t xml:space="preserve">Soft costs ($000s)</t>
  </si>
  <si>
    <t xml:space="preserve">Sale price ($/sf)</t>
  </si>
  <si>
    <t xml:space="preserve">Sellable area (sf)</t>
  </si>
  <si>
    <t xml:space="preserve">Hold (months)</t>
  </si>
  <si>
    <t xml:space="preserve">Loan to cost (%)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</si>
</sst>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"/>
    <numFmt numFmtId="167" formatCode="#,##0"/>
    <numFmt numFmtId="168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3" customFormat="false" ht="15" hidden="false" customHeight="false" outlineLevel="0" collapsed="false">
      <c r="B3" s="1" t="s">
        <v>1</v>
      </c>
    </row>
    <row r="4" customFormat="false" ht="15" hidden="false" customHeight="false" outlineLevel="0" collapsed="false">
      <c r="B4" s="0" t="s">
        <v>2</v>
      </c>
      <c r="C4" s="2" t="n">
        <f aca="false">C12+C13*C14/1000+C15</f>
        <v>69500</v>
      </c>
    </row>
    <row r="5" customFormat="false" ht="15" hidden="false" customHeight="false" outlineLevel="0" collapsed="false">
      <c r="B5" s="0" t="s">
        <v>3</v>
      </c>
      <c r="C5" s="2" t="n">
        <f aca="false">C16*C17/1000</f>
        <v>100640</v>
      </c>
    </row>
    <row r="6" customFormat="false" ht="15" hidden="false" customHeight="false" outlineLevel="0" collapsed="false">
      <c r="B6" s="0" t="s">
        <v>4</v>
      </c>
      <c r="C6" s="2" t="n">
        <f aca="false">C5-C4</f>
        <v>31140</v>
      </c>
    </row>
    <row r="7" customFormat="false" ht="15" hidden="false" customHeight="false" outlineLevel="0" collapsed="false">
      <c r="B7" s="0" t="s">
        <v>5</v>
      </c>
      <c r="C7" s="3" t="n">
        <f aca="false">C6/C4*100</f>
        <v>44.8057553956835</v>
      </c>
    </row>
    <row r="8" customFormat="false" ht="15" hidden="false" customHeight="false" outlineLevel="0" collapsed="false">
      <c r="B8" s="0" t="s">
        <v>6</v>
      </c>
      <c r="C8" s="3" t="n">
        <f aca="false">(C7/100)/(C18/12)*100*(1-C19/100)</f>
        <v>7.16892086330935</v>
      </c>
    </row>
    <row r="10" customFormat="false" ht="15" hidden="false" customHeight="false" outlineLevel="0" collapsed="false">
      <c r="B10" s="1" t="s">
        <v>7</v>
      </c>
    </row>
    <row r="12" customFormat="false" ht="15" hidden="false" customHeight="false" outlineLevel="0" collapsed="false">
      <c r="B12" s="0" t="s">
        <v>8</v>
      </c>
      <c r="C12" s="2" t="n">
        <v>12000</v>
      </c>
    </row>
    <row r="13" customFormat="false" ht="15" hidden="false" customHeight="false" outlineLevel="0" collapsed="false">
      <c r="B13" s="0" t="s">
        <v>9</v>
      </c>
      <c r="C13" s="2" t="n">
        <v>320</v>
      </c>
    </row>
    <row r="14" customFormat="false" ht="15" hidden="false" customHeight="false" outlineLevel="0" collapsed="false">
      <c r="B14" s="0" t="s">
        <v>10</v>
      </c>
      <c r="C14" s="4" t="n">
        <v>150000</v>
      </c>
    </row>
    <row r="15" customFormat="false" ht="15" hidden="false" customHeight="false" outlineLevel="0" collapsed="false">
      <c r="B15" s="0" t="s">
        <v>11</v>
      </c>
      <c r="C15" s="2" t="n">
        <v>9500</v>
      </c>
    </row>
    <row r="16" customFormat="false" ht="15" hidden="false" customHeight="false" outlineLevel="0" collapsed="false">
      <c r="B16" s="0" t="s">
        <v>12</v>
      </c>
      <c r="C16" s="2" t="n">
        <v>680</v>
      </c>
    </row>
    <row r="17" customFormat="false" ht="15" hidden="false" customHeight="false" outlineLevel="0" collapsed="false">
      <c r="B17" s="0" t="s">
        <v>13</v>
      </c>
      <c r="C17" s="4" t="n">
        <v>148000</v>
      </c>
    </row>
    <row r="18" customFormat="false" ht="15" hidden="false" customHeight="false" outlineLevel="0" collapsed="false">
      <c r="B18" s="0" t="s">
        <v>14</v>
      </c>
      <c r="C18" s="5" t="n">
        <v>30</v>
      </c>
    </row>
    <row r="19" customFormat="false" ht="15" hidden="false" customHeight="false" outlineLevel="0" collapsed="false">
      <c r="B19" s="0" t="s">
        <v>15</v>
      </c>
      <c r="C19" s="3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2026-10-15T15:55:08Z</dcterms:created>
  <dc:creator>openpyxl</dc:creator>
  <dc:description/>
  <dc:language>en-US</dc:language>
  <cp:lastModifiedBy/>
  <dcterms:modified xsi:type="dcterms:W3CDTF">2026-10-15T15:55:08Z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