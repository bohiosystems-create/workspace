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Drivers" sheetId="2" state="hidden" r:id="rId2"/>
    <sheet name="Monthly" sheetId="3" state="visible" r:id="rId3"/>
    <sheet name="Annual" sheetId="4" state="visible" r:id="rId4"/>
    <sheet name="Returns" sheetId="5" state="visible" r:id="rId5"/>
  </sheets>
  <definedNames>
    <definedName name="EQCF">OFFSET(Monthly!$C$13,0,0,1,COUNT(Monthly!$C$2:$BJ$2))</definedName>
    <definedName name="UCF">OFFSET(Monthly!$C$8,0,0,1,COUNT(Monthly!$C$2:$BJ$2))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 BAHR MIXED-USE – PHASED DEVELOPMENT (SAR '000)</t>
        </is>
      </c>
    </row>
    <row r="2">
      <c r="A2" t="inlineStr">
        <is>
          <t>Case</t>
        </is>
      </c>
      <c r="B2" t="inlineStr">
        <is>
          <t>Base</t>
        </is>
      </c>
    </row>
    <row r="4">
      <c r="A4" t="inlineStr">
        <is>
          <t>Scenario inputs</t>
        </is>
      </c>
      <c r="B4" t="inlineStr">
        <is>
          <t>Base</t>
        </is>
      </c>
      <c r="C4" t="inlineStr">
        <is>
          <t>Downside</t>
        </is>
      </c>
      <c r="D4" t="inlineStr">
        <is>
          <t>Upside</t>
        </is>
      </c>
      <c r="E4" t="inlineStr">
        <is>
          <t>Live</t>
        </is>
      </c>
    </row>
    <row r="5">
      <c r="A5" t="inlineStr">
        <is>
          <t>Residential sale price per sqm</t>
        </is>
      </c>
      <c r="B5" t="n">
        <v>12</v>
      </c>
      <c r="C5" t="n">
        <v>10.8</v>
      </c>
      <c r="D5" t="n">
        <v>13</v>
      </c>
      <c r="E5">
        <f>INDEX(B5:D5,MATCH($B$2,$B$4:$D$4,0))</f>
        <v/>
      </c>
    </row>
    <row r="6">
      <c r="A6" t="inlineStr">
        <is>
          <t>Retail rent per sqm pa</t>
        </is>
      </c>
      <c r="B6" t="n">
        <v>1.2</v>
      </c>
      <c r="C6" t="n">
        <v>1</v>
      </c>
      <c r="D6" t="n">
        <v>1.3</v>
      </c>
      <c r="E6">
        <f>INDEX(B6:D6,MATCH($B$2,$B$4:$D$4,0))</f>
        <v/>
      </c>
    </row>
    <row r="7">
      <c r="A7" t="inlineStr">
        <is>
          <t>Construction cost per sqm</t>
        </is>
      </c>
      <c r="B7" t="n">
        <v>4.5</v>
      </c>
      <c r="C7" t="n">
        <v>4.9</v>
      </c>
      <c r="D7" t="n">
        <v>4.3</v>
      </c>
      <c r="E7">
        <f>INDEX(B7:D7,MATCH($B$2,$B$4:$D$4,0))</f>
        <v/>
      </c>
    </row>
    <row r="8">
      <c r="A8" t="inlineStr">
        <is>
          <t>Exit yield</t>
        </is>
      </c>
      <c r="B8" s="1" t="n">
        <v>0.07000000000000001</v>
      </c>
      <c r="C8" s="1" t="n">
        <v>0.0775</v>
      </c>
      <c r="D8" s="1" t="n">
        <v>0.065</v>
      </c>
      <c r="E8" s="1">
        <f>INDEX(B8:D8,MATCH($B$2,$B$4:$D$4,0))</f>
        <v/>
      </c>
    </row>
    <row r="10">
      <c r="A10" t="inlineStr">
        <is>
          <t>Residential NSA (sqm)</t>
        </is>
      </c>
      <c r="B10" t="n">
        <v>30000</v>
      </c>
    </row>
    <row r="11">
      <c r="A11" t="inlineStr">
        <is>
          <t>Retail NLA (sqm)</t>
        </is>
      </c>
      <c r="B11" t="n">
        <v>8000</v>
      </c>
    </row>
    <row r="12">
      <c r="A12" t="inlineStr">
        <is>
          <t>GFA (sqm)</t>
        </is>
      </c>
      <c r="B12" t="n">
        <v>50000</v>
      </c>
    </row>
    <row r="13">
      <c r="A13" t="inlineStr">
        <is>
          <t>Land cost (SAR '000)</t>
        </is>
      </c>
      <c r="B13" t="n">
        <v>120000</v>
      </c>
    </row>
    <row r="14">
      <c r="A14" t="inlineStr">
        <is>
          <t>Construction start (month)</t>
        </is>
      </c>
      <c r="B14" t="n">
        <v>1</v>
      </c>
    </row>
    <row r="15">
      <c r="A15" t="inlineStr">
        <is>
          <t>Construction months</t>
        </is>
      </c>
      <c r="B15" t="n">
        <v>24</v>
      </c>
    </row>
    <row r="16">
      <c r="A16" t="inlineStr">
        <is>
          <t>Launch month</t>
        </is>
      </c>
      <c r="B16" t="n">
        <v>6</v>
      </c>
    </row>
    <row r="17">
      <c r="A17" t="inlineStr">
        <is>
          <t>Deposit share at launch</t>
        </is>
      </c>
      <c r="B17" s="1" t="n">
        <v>0.3</v>
      </c>
    </row>
    <row r="18">
      <c r="A18" t="inlineStr">
        <is>
          <t>Sales period (months after launch)</t>
        </is>
      </c>
      <c r="B18" t="n">
        <v>24</v>
      </c>
    </row>
    <row r="19">
      <c r="A19" t="inlineStr">
        <is>
          <t>Lease-up start (month)</t>
        </is>
      </c>
      <c r="B19" t="n">
        <v>25</v>
      </c>
    </row>
    <row r="20">
      <c r="A20" t="inlineStr">
        <is>
          <t>Lease-up months</t>
        </is>
      </c>
      <c r="B20" t="n">
        <v>12</v>
      </c>
    </row>
    <row r="21">
      <c r="A21" t="inlineStr">
        <is>
          <t>Hold (months)</t>
        </is>
      </c>
      <c r="B21" t="n">
        <v>60</v>
      </c>
    </row>
    <row r="22">
      <c r="A22" t="inlineStr">
        <is>
          <t>Loan to cost</t>
        </is>
      </c>
      <c r="B22" s="1" t="n">
        <v>0.55</v>
      </c>
    </row>
    <row r="23">
      <c r="A23" t="inlineStr">
        <is>
          <t>Interest rate</t>
        </is>
      </c>
      <c r="B23" s="1" t="n">
        <v>0.07000000000000001</v>
      </c>
    </row>
    <row r="24">
      <c r="A24" t="inlineStr">
        <is>
          <t>Selling costs</t>
        </is>
      </c>
      <c r="B24" s="1" t="n">
        <v>0.02</v>
      </c>
    </row>
  </sheetData>
  <dataValidations count="1">
    <dataValidation sqref="B2" showDropDown="0" showInputMessage="0" showErrorMessage="0" allowBlank="0" type="list">
      <formula1>"Base,Downside,Upside"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Drivers (monthly)</t>
        </is>
      </c>
    </row>
    <row r="2">
      <c r="A2" t="inlineStr">
        <is>
          <t>Month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  <c r="AG2" t="n">
        <v>31</v>
      </c>
      <c r="AH2" t="n">
        <v>32</v>
      </c>
      <c r="AI2" t="n">
        <v>33</v>
      </c>
      <c r="AJ2" t="n">
        <v>34</v>
      </c>
      <c r="AK2" t="n">
        <v>35</v>
      </c>
      <c r="AL2" t="n">
        <v>36</v>
      </c>
      <c r="AM2" t="n">
        <v>37</v>
      </c>
      <c r="AN2" t="n">
        <v>38</v>
      </c>
      <c r="AO2" t="n">
        <v>39</v>
      </c>
      <c r="AP2" t="n">
        <v>40</v>
      </c>
      <c r="AQ2" t="n">
        <v>41</v>
      </c>
      <c r="AR2" t="n">
        <v>42</v>
      </c>
      <c r="AS2" t="n">
        <v>43</v>
      </c>
      <c r="AT2" t="n">
        <v>44</v>
      </c>
      <c r="AU2" t="n">
        <v>45</v>
      </c>
      <c r="AV2" t="n">
        <v>46</v>
      </c>
      <c r="AW2" t="n">
        <v>47</v>
      </c>
      <c r="AX2" t="n">
        <v>48</v>
      </c>
      <c r="AY2" t="n">
        <v>49</v>
      </c>
      <c r="AZ2" t="n">
        <v>50</v>
      </c>
      <c r="BA2" t="n">
        <v>51</v>
      </c>
      <c r="BB2" t="n">
        <v>52</v>
      </c>
      <c r="BC2" t="n">
        <v>53</v>
      </c>
      <c r="BD2" t="n">
        <v>54</v>
      </c>
      <c r="BE2" t="n">
        <v>55</v>
      </c>
      <c r="BF2" t="n">
        <v>56</v>
      </c>
      <c r="BG2" t="n">
        <v>57</v>
      </c>
      <c r="BH2" t="n">
        <v>58</v>
      </c>
      <c r="BI2" t="n">
        <v>59</v>
      </c>
      <c r="BJ2" t="n">
        <v>60</v>
      </c>
    </row>
    <row r="3">
      <c r="A3" t="inlineStr">
        <is>
          <t>Construction S-curve weight</t>
        </is>
      </c>
      <c r="C3">
        <f>IF(AND(C$2&gt;=Inputs!$B$14,C$2&lt;Inputs!$B$14+Inputs!$B$15),SIN(PI()*(C$2-Inputs!$B$14+0.5)/Inputs!$B$15),0)</f>
        <v/>
      </c>
      <c r="D3">
        <f>IF(AND(D$2&gt;=Inputs!$B$14,D$2&lt;Inputs!$B$14+Inputs!$B$15),SIN(PI()*(D$2-Inputs!$B$14+0.5)/Inputs!$B$15),0)</f>
        <v/>
      </c>
      <c r="E3">
        <f>IF(AND(E$2&gt;=Inputs!$B$14,E$2&lt;Inputs!$B$14+Inputs!$B$15),SIN(PI()*(E$2-Inputs!$B$14+0.5)/Inputs!$B$15),0)</f>
        <v/>
      </c>
      <c r="F3">
        <f>IF(AND(F$2&gt;=Inputs!$B$14,F$2&lt;Inputs!$B$14+Inputs!$B$15),SIN(PI()*(F$2-Inputs!$B$14+0.5)/Inputs!$B$15),0)</f>
        <v/>
      </c>
      <c r="G3">
        <f>IF(AND(G$2&gt;=Inputs!$B$14,G$2&lt;Inputs!$B$14+Inputs!$B$15),SIN(PI()*(G$2-Inputs!$B$14+0.5)/Inputs!$B$15),0)</f>
        <v/>
      </c>
      <c r="H3">
        <f>IF(AND(H$2&gt;=Inputs!$B$14,H$2&lt;Inputs!$B$14+Inputs!$B$15),SIN(PI()*(H$2-Inputs!$B$14+0.5)/Inputs!$B$15),0)</f>
        <v/>
      </c>
      <c r="I3">
        <f>IF(AND(I$2&gt;=Inputs!$B$14,I$2&lt;Inputs!$B$14+Inputs!$B$15),SIN(PI()*(I$2-Inputs!$B$14+0.5)/Inputs!$B$15),0)</f>
        <v/>
      </c>
      <c r="J3">
        <f>IF(AND(J$2&gt;=Inputs!$B$14,J$2&lt;Inputs!$B$14+Inputs!$B$15),SIN(PI()*(J$2-Inputs!$B$14+0.5)/Inputs!$B$15),0)</f>
        <v/>
      </c>
      <c r="K3">
        <f>IF(AND(K$2&gt;=Inputs!$B$14,K$2&lt;Inputs!$B$14+Inputs!$B$15),SIN(PI()*(K$2-Inputs!$B$14+0.5)/Inputs!$B$15),0)</f>
        <v/>
      </c>
      <c r="L3">
        <f>IF(AND(L$2&gt;=Inputs!$B$14,L$2&lt;Inputs!$B$14+Inputs!$B$15),SIN(PI()*(L$2-Inputs!$B$14+0.5)/Inputs!$B$15),0)</f>
        <v/>
      </c>
      <c r="M3">
        <f>IF(AND(M$2&gt;=Inputs!$B$14,M$2&lt;Inputs!$B$14+Inputs!$B$15),SIN(PI()*(M$2-Inputs!$B$14+0.5)/Inputs!$B$15),0)</f>
        <v/>
      </c>
      <c r="N3">
        <f>IF(AND(N$2&gt;=Inputs!$B$14,N$2&lt;Inputs!$B$14+Inputs!$B$15),SIN(PI()*(N$2-Inputs!$B$14+0.5)/Inputs!$B$15),0)</f>
        <v/>
      </c>
      <c r="O3">
        <f>IF(AND(O$2&gt;=Inputs!$B$14,O$2&lt;Inputs!$B$14+Inputs!$B$15),SIN(PI()*(O$2-Inputs!$B$14+0.5)/Inputs!$B$15),0)</f>
        <v/>
      </c>
      <c r="P3">
        <f>IF(AND(P$2&gt;=Inputs!$B$14,P$2&lt;Inputs!$B$14+Inputs!$B$15),SIN(PI()*(P$2-Inputs!$B$14+0.5)/Inputs!$B$15),0)</f>
        <v/>
      </c>
      <c r="Q3">
        <f>IF(AND(Q$2&gt;=Inputs!$B$14,Q$2&lt;Inputs!$B$14+Inputs!$B$15),SIN(PI()*(Q$2-Inputs!$B$14+0.5)/Inputs!$B$15),0)</f>
        <v/>
      </c>
      <c r="R3">
        <f>IF(AND(R$2&gt;=Inputs!$B$14,R$2&lt;Inputs!$B$14+Inputs!$B$15),SIN(PI()*(R$2-Inputs!$B$14+0.5)/Inputs!$B$15),0)</f>
        <v/>
      </c>
      <c r="S3">
        <f>IF(AND(S$2&gt;=Inputs!$B$14,S$2&lt;Inputs!$B$14+Inputs!$B$15),SIN(PI()*(S$2-Inputs!$B$14+0.5)/Inputs!$B$15),0)</f>
        <v/>
      </c>
      <c r="T3">
        <f>IF(AND(T$2&gt;=Inputs!$B$14,T$2&lt;Inputs!$B$14+Inputs!$B$15),SIN(PI()*(T$2-Inputs!$B$14+0.5)/Inputs!$B$15),0)</f>
        <v/>
      </c>
      <c r="U3">
        <f>IF(AND(U$2&gt;=Inputs!$B$14,U$2&lt;Inputs!$B$14+Inputs!$B$15),SIN(PI()*(U$2-Inputs!$B$14+0.5)/Inputs!$B$15),0)</f>
        <v/>
      </c>
      <c r="V3">
        <f>IF(AND(V$2&gt;=Inputs!$B$14,V$2&lt;Inputs!$B$14+Inputs!$B$15),SIN(PI()*(V$2-Inputs!$B$14+0.5)/Inputs!$B$15),0)</f>
        <v/>
      </c>
      <c r="W3">
        <f>IF(AND(W$2&gt;=Inputs!$B$14,W$2&lt;Inputs!$B$14+Inputs!$B$15),SIN(PI()*(W$2-Inputs!$B$14+0.5)/Inputs!$B$15),0)</f>
        <v/>
      </c>
      <c r="X3">
        <f>IF(AND(X$2&gt;=Inputs!$B$14,X$2&lt;Inputs!$B$14+Inputs!$B$15),SIN(PI()*(X$2-Inputs!$B$14+0.5)/Inputs!$B$15),0)</f>
        <v/>
      </c>
      <c r="Y3">
        <f>IF(AND(Y$2&gt;=Inputs!$B$14,Y$2&lt;Inputs!$B$14+Inputs!$B$15),SIN(PI()*(Y$2-Inputs!$B$14+0.5)/Inputs!$B$15),0)</f>
        <v/>
      </c>
      <c r="Z3">
        <f>IF(AND(Z$2&gt;=Inputs!$B$14,Z$2&lt;Inputs!$B$14+Inputs!$B$15),SIN(PI()*(Z$2-Inputs!$B$14+0.5)/Inputs!$B$15),0)</f>
        <v/>
      </c>
      <c r="AA3">
        <f>IF(AND(AA$2&gt;=Inputs!$B$14,AA$2&lt;Inputs!$B$14+Inputs!$B$15),SIN(PI()*(AA$2-Inputs!$B$14+0.5)/Inputs!$B$15),0)</f>
        <v/>
      </c>
      <c r="AB3">
        <f>IF(AND(AB$2&gt;=Inputs!$B$14,AB$2&lt;Inputs!$B$14+Inputs!$B$15),SIN(PI()*(AB$2-Inputs!$B$14+0.5)/Inputs!$B$15),0)</f>
        <v/>
      </c>
      <c r="AC3">
        <f>IF(AND(AC$2&gt;=Inputs!$B$14,AC$2&lt;Inputs!$B$14+Inputs!$B$15),SIN(PI()*(AC$2-Inputs!$B$14+0.5)/Inputs!$B$15),0)</f>
        <v/>
      </c>
      <c r="AD3">
        <f>IF(AND(AD$2&gt;=Inputs!$B$14,AD$2&lt;Inputs!$B$14+Inputs!$B$15),SIN(PI()*(AD$2-Inputs!$B$14+0.5)/Inputs!$B$15),0)</f>
        <v/>
      </c>
      <c r="AE3">
        <f>IF(AND(AE$2&gt;=Inputs!$B$14,AE$2&lt;Inputs!$B$14+Inputs!$B$15),SIN(PI()*(AE$2-Inputs!$B$14+0.5)/Inputs!$B$15),0)</f>
        <v/>
      </c>
      <c r="AF3">
        <f>IF(AND(AF$2&gt;=Inputs!$B$14,AF$2&lt;Inputs!$B$14+Inputs!$B$15),SIN(PI()*(AF$2-Inputs!$B$14+0.5)/Inputs!$B$15),0)</f>
        <v/>
      </c>
      <c r="AG3">
        <f>IF(AND(AG$2&gt;=Inputs!$B$14,AG$2&lt;Inputs!$B$14+Inputs!$B$15),SIN(PI()*(AG$2-Inputs!$B$14+0.5)/Inputs!$B$15),0)</f>
        <v/>
      </c>
      <c r="AH3">
        <f>IF(AND(AH$2&gt;=Inputs!$B$14,AH$2&lt;Inputs!$B$14+Inputs!$B$15),SIN(PI()*(AH$2-Inputs!$B$14+0.5)/Inputs!$B$15),0)</f>
        <v/>
      </c>
      <c r="AI3">
        <f>IF(AND(AI$2&gt;=Inputs!$B$14,AI$2&lt;Inputs!$B$14+Inputs!$B$15),SIN(PI()*(AI$2-Inputs!$B$14+0.5)/Inputs!$B$15),0)</f>
        <v/>
      </c>
      <c r="AJ3">
        <f>IF(AND(AJ$2&gt;=Inputs!$B$14,AJ$2&lt;Inputs!$B$14+Inputs!$B$15),SIN(PI()*(AJ$2-Inputs!$B$14+0.5)/Inputs!$B$15),0)</f>
        <v/>
      </c>
      <c r="AK3">
        <f>IF(AND(AK$2&gt;=Inputs!$B$14,AK$2&lt;Inputs!$B$14+Inputs!$B$15),SIN(PI()*(AK$2-Inputs!$B$14+0.5)/Inputs!$B$15),0)</f>
        <v/>
      </c>
      <c r="AL3">
        <f>IF(AND(AL$2&gt;=Inputs!$B$14,AL$2&lt;Inputs!$B$14+Inputs!$B$15),SIN(PI()*(AL$2-Inputs!$B$14+0.5)/Inputs!$B$15),0)</f>
        <v/>
      </c>
      <c r="AM3">
        <f>IF(AND(AM$2&gt;=Inputs!$B$14,AM$2&lt;Inputs!$B$14+Inputs!$B$15),SIN(PI()*(AM$2-Inputs!$B$14+0.5)/Inputs!$B$15),0)</f>
        <v/>
      </c>
      <c r="AN3">
        <f>IF(AND(AN$2&gt;=Inputs!$B$14,AN$2&lt;Inputs!$B$14+Inputs!$B$15),SIN(PI()*(AN$2-Inputs!$B$14+0.5)/Inputs!$B$15),0)</f>
        <v/>
      </c>
      <c r="AO3">
        <f>IF(AND(AO$2&gt;=Inputs!$B$14,AO$2&lt;Inputs!$B$14+Inputs!$B$15),SIN(PI()*(AO$2-Inputs!$B$14+0.5)/Inputs!$B$15),0)</f>
        <v/>
      </c>
      <c r="AP3">
        <f>IF(AND(AP$2&gt;=Inputs!$B$14,AP$2&lt;Inputs!$B$14+Inputs!$B$15),SIN(PI()*(AP$2-Inputs!$B$14+0.5)/Inputs!$B$15),0)</f>
        <v/>
      </c>
      <c r="AQ3">
        <f>IF(AND(AQ$2&gt;=Inputs!$B$14,AQ$2&lt;Inputs!$B$14+Inputs!$B$15),SIN(PI()*(AQ$2-Inputs!$B$14+0.5)/Inputs!$B$15),0)</f>
        <v/>
      </c>
      <c r="AR3">
        <f>IF(AND(AR$2&gt;=Inputs!$B$14,AR$2&lt;Inputs!$B$14+Inputs!$B$15),SIN(PI()*(AR$2-Inputs!$B$14+0.5)/Inputs!$B$15),0)</f>
        <v/>
      </c>
      <c r="AS3">
        <f>IF(AND(AS$2&gt;=Inputs!$B$14,AS$2&lt;Inputs!$B$14+Inputs!$B$15),SIN(PI()*(AS$2-Inputs!$B$14+0.5)/Inputs!$B$15),0)</f>
        <v/>
      </c>
      <c r="AT3">
        <f>IF(AND(AT$2&gt;=Inputs!$B$14,AT$2&lt;Inputs!$B$14+Inputs!$B$15),SIN(PI()*(AT$2-Inputs!$B$14+0.5)/Inputs!$B$15),0)</f>
        <v/>
      </c>
      <c r="AU3">
        <f>IF(AND(AU$2&gt;=Inputs!$B$14,AU$2&lt;Inputs!$B$14+Inputs!$B$15),SIN(PI()*(AU$2-Inputs!$B$14+0.5)/Inputs!$B$15),0)</f>
        <v/>
      </c>
      <c r="AV3">
        <f>IF(AND(AV$2&gt;=Inputs!$B$14,AV$2&lt;Inputs!$B$14+Inputs!$B$15),SIN(PI()*(AV$2-Inputs!$B$14+0.5)/Inputs!$B$15),0)</f>
        <v/>
      </c>
      <c r="AW3">
        <f>IF(AND(AW$2&gt;=Inputs!$B$14,AW$2&lt;Inputs!$B$14+Inputs!$B$15),SIN(PI()*(AW$2-Inputs!$B$14+0.5)/Inputs!$B$15),0)</f>
        <v/>
      </c>
      <c r="AX3">
        <f>IF(AND(AX$2&gt;=Inputs!$B$14,AX$2&lt;Inputs!$B$14+Inputs!$B$15),SIN(PI()*(AX$2-Inputs!$B$14+0.5)/Inputs!$B$15),0)</f>
        <v/>
      </c>
      <c r="AY3">
        <f>IF(AND(AY$2&gt;=Inputs!$B$14,AY$2&lt;Inputs!$B$14+Inputs!$B$15),SIN(PI()*(AY$2-Inputs!$B$14+0.5)/Inputs!$B$15),0)</f>
        <v/>
      </c>
      <c r="AZ3">
        <f>IF(AND(AZ$2&gt;=Inputs!$B$14,AZ$2&lt;Inputs!$B$14+Inputs!$B$15),SIN(PI()*(AZ$2-Inputs!$B$14+0.5)/Inputs!$B$15),0)</f>
        <v/>
      </c>
      <c r="BA3">
        <f>IF(AND(BA$2&gt;=Inputs!$B$14,BA$2&lt;Inputs!$B$14+Inputs!$B$15),SIN(PI()*(BA$2-Inputs!$B$14+0.5)/Inputs!$B$15),0)</f>
        <v/>
      </c>
      <c r="BB3">
        <f>IF(AND(BB$2&gt;=Inputs!$B$14,BB$2&lt;Inputs!$B$14+Inputs!$B$15),SIN(PI()*(BB$2-Inputs!$B$14+0.5)/Inputs!$B$15),0)</f>
        <v/>
      </c>
      <c r="BC3">
        <f>IF(AND(BC$2&gt;=Inputs!$B$14,BC$2&lt;Inputs!$B$14+Inputs!$B$15),SIN(PI()*(BC$2-Inputs!$B$14+0.5)/Inputs!$B$15),0)</f>
        <v/>
      </c>
      <c r="BD3">
        <f>IF(AND(BD$2&gt;=Inputs!$B$14,BD$2&lt;Inputs!$B$14+Inputs!$B$15),SIN(PI()*(BD$2-Inputs!$B$14+0.5)/Inputs!$B$15),0)</f>
        <v/>
      </c>
      <c r="BE3">
        <f>IF(AND(BE$2&gt;=Inputs!$B$14,BE$2&lt;Inputs!$B$14+Inputs!$B$15),SIN(PI()*(BE$2-Inputs!$B$14+0.5)/Inputs!$B$15),0)</f>
        <v/>
      </c>
      <c r="BF3">
        <f>IF(AND(BF$2&gt;=Inputs!$B$14,BF$2&lt;Inputs!$B$14+Inputs!$B$15),SIN(PI()*(BF$2-Inputs!$B$14+0.5)/Inputs!$B$15),0)</f>
        <v/>
      </c>
      <c r="BG3">
        <f>IF(AND(BG$2&gt;=Inputs!$B$14,BG$2&lt;Inputs!$B$14+Inputs!$B$15),SIN(PI()*(BG$2-Inputs!$B$14+0.5)/Inputs!$B$15),0)</f>
        <v/>
      </c>
      <c r="BH3">
        <f>IF(AND(BH$2&gt;=Inputs!$B$14,BH$2&lt;Inputs!$B$14+Inputs!$B$15),SIN(PI()*(BH$2-Inputs!$B$14+0.5)/Inputs!$B$15),0)</f>
        <v/>
      </c>
      <c r="BI3">
        <f>IF(AND(BI$2&gt;=Inputs!$B$14,BI$2&lt;Inputs!$B$14+Inputs!$B$15),SIN(PI()*(BI$2-Inputs!$B$14+0.5)/Inputs!$B$15),0)</f>
        <v/>
      </c>
      <c r="BJ3">
        <f>IF(AND(BJ$2&gt;=Inputs!$B$14,BJ$2&lt;Inputs!$B$14+Inputs!$B$15),SIN(PI()*(BJ$2-Inputs!$B$14+0.5)/Inputs!$B$15),0)</f>
        <v/>
      </c>
    </row>
    <row r="4">
      <c r="A4" t="inlineStr">
        <is>
          <t>Construction share</t>
        </is>
      </c>
      <c r="C4">
        <f>C3/SUM($C$3:$BJ$3)</f>
        <v/>
      </c>
      <c r="D4">
        <f>D3/SUM($C$3:$BJ$3)</f>
        <v/>
      </c>
      <c r="E4">
        <f>E3/SUM($C$3:$BJ$3)</f>
        <v/>
      </c>
      <c r="F4">
        <f>F3/SUM($C$3:$BJ$3)</f>
        <v/>
      </c>
      <c r="G4">
        <f>G3/SUM($C$3:$BJ$3)</f>
        <v/>
      </c>
      <c r="H4">
        <f>H3/SUM($C$3:$BJ$3)</f>
        <v/>
      </c>
      <c r="I4">
        <f>I3/SUM($C$3:$BJ$3)</f>
        <v/>
      </c>
      <c r="J4">
        <f>J3/SUM($C$3:$BJ$3)</f>
        <v/>
      </c>
      <c r="K4">
        <f>K3/SUM($C$3:$BJ$3)</f>
        <v/>
      </c>
      <c r="L4">
        <f>L3/SUM($C$3:$BJ$3)</f>
        <v/>
      </c>
      <c r="M4">
        <f>M3/SUM($C$3:$BJ$3)</f>
        <v/>
      </c>
      <c r="N4">
        <f>N3/SUM($C$3:$BJ$3)</f>
        <v/>
      </c>
      <c r="O4">
        <f>O3/SUM($C$3:$BJ$3)</f>
        <v/>
      </c>
      <c r="P4">
        <f>P3/SUM($C$3:$BJ$3)</f>
        <v/>
      </c>
      <c r="Q4">
        <f>Q3/SUM($C$3:$BJ$3)</f>
        <v/>
      </c>
      <c r="R4">
        <f>R3/SUM($C$3:$BJ$3)</f>
        <v/>
      </c>
      <c r="S4">
        <f>S3/SUM($C$3:$BJ$3)</f>
        <v/>
      </c>
      <c r="T4">
        <f>T3/SUM($C$3:$BJ$3)</f>
        <v/>
      </c>
      <c r="U4">
        <f>U3/SUM($C$3:$BJ$3)</f>
        <v/>
      </c>
      <c r="V4">
        <f>V3/SUM($C$3:$BJ$3)</f>
        <v/>
      </c>
      <c r="W4">
        <f>W3/SUM($C$3:$BJ$3)</f>
        <v/>
      </c>
      <c r="X4">
        <f>X3/SUM($C$3:$BJ$3)</f>
        <v/>
      </c>
      <c r="Y4">
        <f>Y3/SUM($C$3:$BJ$3)</f>
        <v/>
      </c>
      <c r="Z4">
        <f>Z3/SUM($C$3:$BJ$3)</f>
        <v/>
      </c>
      <c r="AA4">
        <f>AA3/SUM($C$3:$BJ$3)</f>
        <v/>
      </c>
      <c r="AB4">
        <f>AB3/SUM($C$3:$BJ$3)</f>
        <v/>
      </c>
      <c r="AC4">
        <f>AC3/SUM($C$3:$BJ$3)</f>
        <v/>
      </c>
      <c r="AD4">
        <f>AD3/SUM($C$3:$BJ$3)</f>
        <v/>
      </c>
      <c r="AE4">
        <f>AE3/SUM($C$3:$BJ$3)</f>
        <v/>
      </c>
      <c r="AF4">
        <f>AF3/SUM($C$3:$BJ$3)</f>
        <v/>
      </c>
      <c r="AG4">
        <f>AG3/SUM($C$3:$BJ$3)</f>
        <v/>
      </c>
      <c r="AH4">
        <f>AH3/SUM($C$3:$BJ$3)</f>
        <v/>
      </c>
      <c r="AI4">
        <f>AI3/SUM($C$3:$BJ$3)</f>
        <v/>
      </c>
      <c r="AJ4">
        <f>AJ3/SUM($C$3:$BJ$3)</f>
        <v/>
      </c>
      <c r="AK4">
        <f>AK3/SUM($C$3:$BJ$3)</f>
        <v/>
      </c>
      <c r="AL4">
        <f>AL3/SUM($C$3:$BJ$3)</f>
        <v/>
      </c>
      <c r="AM4">
        <f>AM3/SUM($C$3:$BJ$3)</f>
        <v/>
      </c>
      <c r="AN4">
        <f>AN3/SUM($C$3:$BJ$3)</f>
        <v/>
      </c>
      <c r="AO4">
        <f>AO3/SUM($C$3:$BJ$3)</f>
        <v/>
      </c>
      <c r="AP4">
        <f>AP3/SUM($C$3:$BJ$3)</f>
        <v/>
      </c>
      <c r="AQ4">
        <f>AQ3/SUM($C$3:$BJ$3)</f>
        <v/>
      </c>
      <c r="AR4">
        <f>AR3/SUM($C$3:$BJ$3)</f>
        <v/>
      </c>
      <c r="AS4">
        <f>AS3/SUM($C$3:$BJ$3)</f>
        <v/>
      </c>
      <c r="AT4">
        <f>AT3/SUM($C$3:$BJ$3)</f>
        <v/>
      </c>
      <c r="AU4">
        <f>AU3/SUM($C$3:$BJ$3)</f>
        <v/>
      </c>
      <c r="AV4">
        <f>AV3/SUM($C$3:$BJ$3)</f>
        <v/>
      </c>
      <c r="AW4">
        <f>AW3/SUM($C$3:$BJ$3)</f>
        <v/>
      </c>
      <c r="AX4">
        <f>AX3/SUM($C$3:$BJ$3)</f>
        <v/>
      </c>
      <c r="AY4">
        <f>AY3/SUM($C$3:$BJ$3)</f>
        <v/>
      </c>
      <c r="AZ4">
        <f>AZ3/SUM($C$3:$BJ$3)</f>
        <v/>
      </c>
      <c r="BA4">
        <f>BA3/SUM($C$3:$BJ$3)</f>
        <v/>
      </c>
      <c r="BB4">
        <f>BB3/SUM($C$3:$BJ$3)</f>
        <v/>
      </c>
      <c r="BC4">
        <f>BC3/SUM($C$3:$BJ$3)</f>
        <v/>
      </c>
      <c r="BD4">
        <f>BD3/SUM($C$3:$BJ$3)</f>
        <v/>
      </c>
      <c r="BE4">
        <f>BE3/SUM($C$3:$BJ$3)</f>
        <v/>
      </c>
      <c r="BF4">
        <f>BF3/SUM($C$3:$BJ$3)</f>
        <v/>
      </c>
      <c r="BG4">
        <f>BG3/SUM($C$3:$BJ$3)</f>
        <v/>
      </c>
      <c r="BH4">
        <f>BH3/SUM($C$3:$BJ$3)</f>
        <v/>
      </c>
      <c r="BI4">
        <f>BI3/SUM($C$3:$BJ$3)</f>
        <v/>
      </c>
      <c r="BJ4">
        <f>BJ3/SUM($C$3:$BJ$3)</f>
        <v/>
      </c>
    </row>
    <row r="5">
      <c r="A5" t="inlineStr">
        <is>
          <t>Sales share</t>
        </is>
      </c>
      <c r="C5">
        <f>IF(C$2=Inputs!$B$16,Inputs!$B$17,IF(AND(C$2&gt;Inputs!$B$16,C$2&lt;=Inputs!$B$16+Inputs!$B$18),(1-Inputs!$B$17)/Inputs!$B$18,0))</f>
        <v/>
      </c>
      <c r="D5">
        <f>IF(D$2=Inputs!$B$16,Inputs!$B$17,IF(AND(D$2&gt;Inputs!$B$16,D$2&lt;=Inputs!$B$16+Inputs!$B$18),(1-Inputs!$B$17)/Inputs!$B$18,0))</f>
        <v/>
      </c>
      <c r="E5">
        <f>IF(E$2=Inputs!$B$16,Inputs!$B$17,IF(AND(E$2&gt;Inputs!$B$16,E$2&lt;=Inputs!$B$16+Inputs!$B$18),(1-Inputs!$B$17)/Inputs!$B$18,0))</f>
        <v/>
      </c>
      <c r="F5">
        <f>IF(F$2=Inputs!$B$16,Inputs!$B$17,IF(AND(F$2&gt;Inputs!$B$16,F$2&lt;=Inputs!$B$16+Inputs!$B$18),(1-Inputs!$B$17)/Inputs!$B$18,0))</f>
        <v/>
      </c>
      <c r="G5">
        <f>IF(G$2=Inputs!$B$16,Inputs!$B$17,IF(AND(G$2&gt;Inputs!$B$16,G$2&lt;=Inputs!$B$16+Inputs!$B$18),(1-Inputs!$B$17)/Inputs!$B$18,0))</f>
        <v/>
      </c>
      <c r="H5">
        <f>IF(H$2=Inputs!$B$16,Inputs!$B$17,IF(AND(H$2&gt;Inputs!$B$16,H$2&lt;=Inputs!$B$16+Inputs!$B$18),(1-Inputs!$B$17)/Inputs!$B$18,0))</f>
        <v/>
      </c>
      <c r="I5">
        <f>IF(I$2=Inputs!$B$16,Inputs!$B$17,IF(AND(I$2&gt;Inputs!$B$16,I$2&lt;=Inputs!$B$16+Inputs!$B$18),(1-Inputs!$B$17)/Inputs!$B$18,0))</f>
        <v/>
      </c>
      <c r="J5">
        <f>IF(J$2=Inputs!$B$16,Inputs!$B$17,IF(AND(J$2&gt;Inputs!$B$16,J$2&lt;=Inputs!$B$16+Inputs!$B$18),(1-Inputs!$B$17)/Inputs!$B$18,0))</f>
        <v/>
      </c>
      <c r="K5">
        <f>IF(K$2=Inputs!$B$16,Inputs!$B$17,IF(AND(K$2&gt;Inputs!$B$16,K$2&lt;=Inputs!$B$16+Inputs!$B$18),(1-Inputs!$B$17)/Inputs!$B$18,0))</f>
        <v/>
      </c>
      <c r="L5">
        <f>IF(L$2=Inputs!$B$16,Inputs!$B$17,IF(AND(L$2&gt;Inputs!$B$16,L$2&lt;=Inputs!$B$16+Inputs!$B$18),(1-Inputs!$B$17)/Inputs!$B$18,0))</f>
        <v/>
      </c>
      <c r="M5">
        <f>IF(M$2=Inputs!$B$16,Inputs!$B$17,IF(AND(M$2&gt;Inputs!$B$16,M$2&lt;=Inputs!$B$16+Inputs!$B$18),(1-Inputs!$B$17)/Inputs!$B$18,0))</f>
        <v/>
      </c>
      <c r="N5">
        <f>IF(N$2=Inputs!$B$16,Inputs!$B$17,IF(AND(N$2&gt;Inputs!$B$16,N$2&lt;=Inputs!$B$16+Inputs!$B$18),(1-Inputs!$B$17)/Inputs!$B$18,0))</f>
        <v/>
      </c>
      <c r="O5">
        <f>IF(O$2=Inputs!$B$16,Inputs!$B$17,IF(AND(O$2&gt;Inputs!$B$16,O$2&lt;=Inputs!$B$16+Inputs!$B$18),(1-Inputs!$B$17)/Inputs!$B$18,0))</f>
        <v/>
      </c>
      <c r="P5">
        <f>IF(P$2=Inputs!$B$16,Inputs!$B$17,IF(AND(P$2&gt;Inputs!$B$16,P$2&lt;=Inputs!$B$16+Inputs!$B$18),(1-Inputs!$B$17)/Inputs!$B$18,0))</f>
        <v/>
      </c>
      <c r="Q5">
        <f>IF(Q$2=Inputs!$B$16,Inputs!$B$17,IF(AND(Q$2&gt;Inputs!$B$16,Q$2&lt;=Inputs!$B$16+Inputs!$B$18),(1-Inputs!$B$17)/Inputs!$B$18,0))</f>
        <v/>
      </c>
      <c r="R5">
        <f>IF(R$2=Inputs!$B$16,Inputs!$B$17,IF(AND(R$2&gt;Inputs!$B$16,R$2&lt;=Inputs!$B$16+Inputs!$B$18),(1-Inputs!$B$17)/Inputs!$B$18,0))</f>
        <v/>
      </c>
      <c r="S5">
        <f>IF(S$2=Inputs!$B$16,Inputs!$B$17,IF(AND(S$2&gt;Inputs!$B$16,S$2&lt;=Inputs!$B$16+Inputs!$B$18),(1-Inputs!$B$17)/Inputs!$B$18,0))</f>
        <v/>
      </c>
      <c r="T5">
        <f>IF(T$2=Inputs!$B$16,Inputs!$B$17,IF(AND(T$2&gt;Inputs!$B$16,T$2&lt;=Inputs!$B$16+Inputs!$B$18),(1-Inputs!$B$17)/Inputs!$B$18,0))</f>
        <v/>
      </c>
      <c r="U5">
        <f>IF(U$2=Inputs!$B$16,Inputs!$B$17,IF(AND(U$2&gt;Inputs!$B$16,U$2&lt;=Inputs!$B$16+Inputs!$B$18),(1-Inputs!$B$17)/Inputs!$B$18,0))</f>
        <v/>
      </c>
      <c r="V5">
        <f>IF(V$2=Inputs!$B$16,Inputs!$B$17,IF(AND(V$2&gt;Inputs!$B$16,V$2&lt;=Inputs!$B$16+Inputs!$B$18),(1-Inputs!$B$17)/Inputs!$B$18,0))</f>
        <v/>
      </c>
      <c r="W5">
        <f>IF(W$2=Inputs!$B$16,Inputs!$B$17,IF(AND(W$2&gt;Inputs!$B$16,W$2&lt;=Inputs!$B$16+Inputs!$B$18),(1-Inputs!$B$17)/Inputs!$B$18,0))</f>
        <v/>
      </c>
      <c r="X5">
        <f>IF(X$2=Inputs!$B$16,Inputs!$B$17,IF(AND(X$2&gt;Inputs!$B$16,X$2&lt;=Inputs!$B$16+Inputs!$B$18),(1-Inputs!$B$17)/Inputs!$B$18,0))</f>
        <v/>
      </c>
      <c r="Y5">
        <f>IF(Y$2=Inputs!$B$16,Inputs!$B$17,IF(AND(Y$2&gt;Inputs!$B$16,Y$2&lt;=Inputs!$B$16+Inputs!$B$18),(1-Inputs!$B$17)/Inputs!$B$18,0))</f>
        <v/>
      </c>
      <c r="Z5">
        <f>IF(Z$2=Inputs!$B$16,Inputs!$B$17,IF(AND(Z$2&gt;Inputs!$B$16,Z$2&lt;=Inputs!$B$16+Inputs!$B$18),(1-Inputs!$B$17)/Inputs!$B$18,0))</f>
        <v/>
      </c>
      <c r="AA5">
        <f>IF(AA$2=Inputs!$B$16,Inputs!$B$17,IF(AND(AA$2&gt;Inputs!$B$16,AA$2&lt;=Inputs!$B$16+Inputs!$B$18),(1-Inputs!$B$17)/Inputs!$B$18,0))</f>
        <v/>
      </c>
      <c r="AB5">
        <f>IF(AB$2=Inputs!$B$16,Inputs!$B$17,IF(AND(AB$2&gt;Inputs!$B$16,AB$2&lt;=Inputs!$B$16+Inputs!$B$18),(1-Inputs!$B$17)/Inputs!$B$18,0))</f>
        <v/>
      </c>
      <c r="AC5">
        <f>IF(AC$2=Inputs!$B$16,Inputs!$B$17,IF(AND(AC$2&gt;Inputs!$B$16,AC$2&lt;=Inputs!$B$16+Inputs!$B$18),(1-Inputs!$B$17)/Inputs!$B$18,0))</f>
        <v/>
      </c>
      <c r="AD5">
        <f>IF(AD$2=Inputs!$B$16,Inputs!$B$17,IF(AND(AD$2&gt;Inputs!$B$16,AD$2&lt;=Inputs!$B$16+Inputs!$B$18),(1-Inputs!$B$17)/Inputs!$B$18,0))</f>
        <v/>
      </c>
      <c r="AE5">
        <f>IF(AE$2=Inputs!$B$16,Inputs!$B$17,IF(AND(AE$2&gt;Inputs!$B$16,AE$2&lt;=Inputs!$B$16+Inputs!$B$18),(1-Inputs!$B$17)/Inputs!$B$18,0))</f>
        <v/>
      </c>
      <c r="AF5">
        <f>IF(AF$2=Inputs!$B$16,Inputs!$B$17,IF(AND(AF$2&gt;Inputs!$B$16,AF$2&lt;=Inputs!$B$16+Inputs!$B$18),(1-Inputs!$B$17)/Inputs!$B$18,0))</f>
        <v/>
      </c>
      <c r="AG5">
        <f>IF(AG$2=Inputs!$B$16,Inputs!$B$17,IF(AND(AG$2&gt;Inputs!$B$16,AG$2&lt;=Inputs!$B$16+Inputs!$B$18),(1-Inputs!$B$17)/Inputs!$B$18,0))</f>
        <v/>
      </c>
      <c r="AH5">
        <f>IF(AH$2=Inputs!$B$16,Inputs!$B$17,IF(AND(AH$2&gt;Inputs!$B$16,AH$2&lt;=Inputs!$B$16+Inputs!$B$18),(1-Inputs!$B$17)/Inputs!$B$18,0))</f>
        <v/>
      </c>
      <c r="AI5">
        <f>IF(AI$2=Inputs!$B$16,Inputs!$B$17,IF(AND(AI$2&gt;Inputs!$B$16,AI$2&lt;=Inputs!$B$16+Inputs!$B$18),(1-Inputs!$B$17)/Inputs!$B$18,0))</f>
        <v/>
      </c>
      <c r="AJ5">
        <f>IF(AJ$2=Inputs!$B$16,Inputs!$B$17,IF(AND(AJ$2&gt;Inputs!$B$16,AJ$2&lt;=Inputs!$B$16+Inputs!$B$18),(1-Inputs!$B$17)/Inputs!$B$18,0))</f>
        <v/>
      </c>
      <c r="AK5">
        <f>IF(AK$2=Inputs!$B$16,Inputs!$B$17,IF(AND(AK$2&gt;Inputs!$B$16,AK$2&lt;=Inputs!$B$16+Inputs!$B$18),(1-Inputs!$B$17)/Inputs!$B$18,0))</f>
        <v/>
      </c>
      <c r="AL5">
        <f>IF(AL$2=Inputs!$B$16,Inputs!$B$17,IF(AND(AL$2&gt;Inputs!$B$16,AL$2&lt;=Inputs!$B$16+Inputs!$B$18),(1-Inputs!$B$17)/Inputs!$B$18,0))</f>
        <v/>
      </c>
      <c r="AM5">
        <f>IF(AM$2=Inputs!$B$16,Inputs!$B$17,IF(AND(AM$2&gt;Inputs!$B$16,AM$2&lt;=Inputs!$B$16+Inputs!$B$18),(1-Inputs!$B$17)/Inputs!$B$18,0))</f>
        <v/>
      </c>
      <c r="AN5">
        <f>IF(AN$2=Inputs!$B$16,Inputs!$B$17,IF(AND(AN$2&gt;Inputs!$B$16,AN$2&lt;=Inputs!$B$16+Inputs!$B$18),(1-Inputs!$B$17)/Inputs!$B$18,0))</f>
        <v/>
      </c>
      <c r="AO5">
        <f>IF(AO$2=Inputs!$B$16,Inputs!$B$17,IF(AND(AO$2&gt;Inputs!$B$16,AO$2&lt;=Inputs!$B$16+Inputs!$B$18),(1-Inputs!$B$17)/Inputs!$B$18,0))</f>
        <v/>
      </c>
      <c r="AP5">
        <f>IF(AP$2=Inputs!$B$16,Inputs!$B$17,IF(AND(AP$2&gt;Inputs!$B$16,AP$2&lt;=Inputs!$B$16+Inputs!$B$18),(1-Inputs!$B$17)/Inputs!$B$18,0))</f>
        <v/>
      </c>
      <c r="AQ5">
        <f>IF(AQ$2=Inputs!$B$16,Inputs!$B$17,IF(AND(AQ$2&gt;Inputs!$B$16,AQ$2&lt;=Inputs!$B$16+Inputs!$B$18),(1-Inputs!$B$17)/Inputs!$B$18,0))</f>
        <v/>
      </c>
      <c r="AR5">
        <f>IF(AR$2=Inputs!$B$16,Inputs!$B$17,IF(AND(AR$2&gt;Inputs!$B$16,AR$2&lt;=Inputs!$B$16+Inputs!$B$18),(1-Inputs!$B$17)/Inputs!$B$18,0))</f>
        <v/>
      </c>
      <c r="AS5">
        <f>IF(AS$2=Inputs!$B$16,Inputs!$B$17,IF(AND(AS$2&gt;Inputs!$B$16,AS$2&lt;=Inputs!$B$16+Inputs!$B$18),(1-Inputs!$B$17)/Inputs!$B$18,0))</f>
        <v/>
      </c>
      <c r="AT5">
        <f>IF(AT$2=Inputs!$B$16,Inputs!$B$17,IF(AND(AT$2&gt;Inputs!$B$16,AT$2&lt;=Inputs!$B$16+Inputs!$B$18),(1-Inputs!$B$17)/Inputs!$B$18,0))</f>
        <v/>
      </c>
      <c r="AU5">
        <f>IF(AU$2=Inputs!$B$16,Inputs!$B$17,IF(AND(AU$2&gt;Inputs!$B$16,AU$2&lt;=Inputs!$B$16+Inputs!$B$18),(1-Inputs!$B$17)/Inputs!$B$18,0))</f>
        <v/>
      </c>
      <c r="AV5">
        <f>IF(AV$2=Inputs!$B$16,Inputs!$B$17,IF(AND(AV$2&gt;Inputs!$B$16,AV$2&lt;=Inputs!$B$16+Inputs!$B$18),(1-Inputs!$B$17)/Inputs!$B$18,0))</f>
        <v/>
      </c>
      <c r="AW5">
        <f>IF(AW$2=Inputs!$B$16,Inputs!$B$17,IF(AND(AW$2&gt;Inputs!$B$16,AW$2&lt;=Inputs!$B$16+Inputs!$B$18),(1-Inputs!$B$17)/Inputs!$B$18,0))</f>
        <v/>
      </c>
      <c r="AX5">
        <f>IF(AX$2=Inputs!$B$16,Inputs!$B$17,IF(AND(AX$2&gt;Inputs!$B$16,AX$2&lt;=Inputs!$B$16+Inputs!$B$18),(1-Inputs!$B$17)/Inputs!$B$18,0))</f>
        <v/>
      </c>
      <c r="AY5">
        <f>IF(AY$2=Inputs!$B$16,Inputs!$B$17,IF(AND(AY$2&gt;Inputs!$B$16,AY$2&lt;=Inputs!$B$16+Inputs!$B$18),(1-Inputs!$B$17)/Inputs!$B$18,0))</f>
        <v/>
      </c>
      <c r="AZ5">
        <f>IF(AZ$2=Inputs!$B$16,Inputs!$B$17,IF(AND(AZ$2&gt;Inputs!$B$16,AZ$2&lt;=Inputs!$B$16+Inputs!$B$18),(1-Inputs!$B$17)/Inputs!$B$18,0))</f>
        <v/>
      </c>
      <c r="BA5">
        <f>IF(BA$2=Inputs!$B$16,Inputs!$B$17,IF(AND(BA$2&gt;Inputs!$B$16,BA$2&lt;=Inputs!$B$16+Inputs!$B$18),(1-Inputs!$B$17)/Inputs!$B$18,0))</f>
        <v/>
      </c>
      <c r="BB5">
        <f>IF(BB$2=Inputs!$B$16,Inputs!$B$17,IF(AND(BB$2&gt;Inputs!$B$16,BB$2&lt;=Inputs!$B$16+Inputs!$B$18),(1-Inputs!$B$17)/Inputs!$B$18,0))</f>
        <v/>
      </c>
      <c r="BC5">
        <f>IF(BC$2=Inputs!$B$16,Inputs!$B$17,IF(AND(BC$2&gt;Inputs!$B$16,BC$2&lt;=Inputs!$B$16+Inputs!$B$18),(1-Inputs!$B$17)/Inputs!$B$18,0))</f>
        <v/>
      </c>
      <c r="BD5">
        <f>IF(BD$2=Inputs!$B$16,Inputs!$B$17,IF(AND(BD$2&gt;Inputs!$B$16,BD$2&lt;=Inputs!$B$16+Inputs!$B$18),(1-Inputs!$B$17)/Inputs!$B$18,0))</f>
        <v/>
      </c>
      <c r="BE5">
        <f>IF(BE$2=Inputs!$B$16,Inputs!$B$17,IF(AND(BE$2&gt;Inputs!$B$16,BE$2&lt;=Inputs!$B$16+Inputs!$B$18),(1-Inputs!$B$17)/Inputs!$B$18,0))</f>
        <v/>
      </c>
      <c r="BF5">
        <f>IF(BF$2=Inputs!$B$16,Inputs!$B$17,IF(AND(BF$2&gt;Inputs!$B$16,BF$2&lt;=Inputs!$B$16+Inputs!$B$18),(1-Inputs!$B$17)/Inputs!$B$18,0))</f>
        <v/>
      </c>
      <c r="BG5">
        <f>IF(BG$2=Inputs!$B$16,Inputs!$B$17,IF(AND(BG$2&gt;Inputs!$B$16,BG$2&lt;=Inputs!$B$16+Inputs!$B$18),(1-Inputs!$B$17)/Inputs!$B$18,0))</f>
        <v/>
      </c>
      <c r="BH5">
        <f>IF(BH$2=Inputs!$B$16,Inputs!$B$17,IF(AND(BH$2&gt;Inputs!$B$16,BH$2&lt;=Inputs!$B$16+Inputs!$B$18),(1-Inputs!$B$17)/Inputs!$B$18,0))</f>
        <v/>
      </c>
      <c r="BI5">
        <f>IF(BI$2=Inputs!$B$16,Inputs!$B$17,IF(AND(BI$2&gt;Inputs!$B$16,BI$2&lt;=Inputs!$B$16+Inputs!$B$18),(1-Inputs!$B$17)/Inputs!$B$18,0))</f>
        <v/>
      </c>
      <c r="BJ5">
        <f>IF(BJ$2=Inputs!$B$16,Inputs!$B$17,IF(AND(BJ$2&gt;Inputs!$B$16,BJ$2&lt;=Inputs!$B$16+Inputs!$B$18),(1-Inputs!$B$17)/Inputs!$B$18,0))</f>
        <v/>
      </c>
    </row>
    <row r="6">
      <c r="A6" t="inlineStr">
        <is>
          <t>Retail occupancy</t>
        </is>
      </c>
      <c r="C6">
        <f>IF(C$2&lt;Inputs!$B$19,0,MIN(1,(C$2-Inputs!$B$19+1)/Inputs!$B$20))</f>
        <v/>
      </c>
      <c r="D6">
        <f>IF(D$2&lt;Inputs!$B$19,0,MIN(1,(D$2-Inputs!$B$19+1)/Inputs!$B$20))</f>
        <v/>
      </c>
      <c r="E6">
        <f>IF(E$2&lt;Inputs!$B$19,0,MIN(1,(E$2-Inputs!$B$19+1)/Inputs!$B$20))</f>
        <v/>
      </c>
      <c r="F6">
        <f>IF(F$2&lt;Inputs!$B$19,0,MIN(1,(F$2-Inputs!$B$19+1)/Inputs!$B$20))</f>
        <v/>
      </c>
      <c r="G6">
        <f>IF(G$2&lt;Inputs!$B$19,0,MIN(1,(G$2-Inputs!$B$19+1)/Inputs!$B$20))</f>
        <v/>
      </c>
      <c r="H6">
        <f>IF(H$2&lt;Inputs!$B$19,0,MIN(1,(H$2-Inputs!$B$19+1)/Inputs!$B$20))</f>
        <v/>
      </c>
      <c r="I6">
        <f>IF(I$2&lt;Inputs!$B$19,0,MIN(1,(I$2-Inputs!$B$19+1)/Inputs!$B$20))</f>
        <v/>
      </c>
      <c r="J6">
        <f>IF(J$2&lt;Inputs!$B$19,0,MIN(1,(J$2-Inputs!$B$19+1)/Inputs!$B$20))</f>
        <v/>
      </c>
      <c r="K6">
        <f>IF(K$2&lt;Inputs!$B$19,0,MIN(1,(K$2-Inputs!$B$19+1)/Inputs!$B$20))</f>
        <v/>
      </c>
      <c r="L6">
        <f>IF(L$2&lt;Inputs!$B$19,0,MIN(1,(L$2-Inputs!$B$19+1)/Inputs!$B$20))</f>
        <v/>
      </c>
      <c r="M6">
        <f>IF(M$2&lt;Inputs!$B$19,0,MIN(1,(M$2-Inputs!$B$19+1)/Inputs!$B$20))</f>
        <v/>
      </c>
      <c r="N6">
        <f>IF(N$2&lt;Inputs!$B$19,0,MIN(1,(N$2-Inputs!$B$19+1)/Inputs!$B$20))</f>
        <v/>
      </c>
      <c r="O6">
        <f>IF(O$2&lt;Inputs!$B$19,0,MIN(1,(O$2-Inputs!$B$19+1)/Inputs!$B$20))</f>
        <v/>
      </c>
      <c r="P6">
        <f>IF(P$2&lt;Inputs!$B$19,0,MIN(1,(P$2-Inputs!$B$19+1)/Inputs!$B$20))</f>
        <v/>
      </c>
      <c r="Q6">
        <f>IF(Q$2&lt;Inputs!$B$19,0,MIN(1,(Q$2-Inputs!$B$19+1)/Inputs!$B$20))</f>
        <v/>
      </c>
      <c r="R6">
        <f>IF(R$2&lt;Inputs!$B$19,0,MIN(1,(R$2-Inputs!$B$19+1)/Inputs!$B$20))</f>
        <v/>
      </c>
      <c r="S6">
        <f>IF(S$2&lt;Inputs!$B$19,0,MIN(1,(S$2-Inputs!$B$19+1)/Inputs!$B$20))</f>
        <v/>
      </c>
      <c r="T6">
        <f>IF(T$2&lt;Inputs!$B$19,0,MIN(1,(T$2-Inputs!$B$19+1)/Inputs!$B$20))</f>
        <v/>
      </c>
      <c r="U6">
        <f>IF(U$2&lt;Inputs!$B$19,0,MIN(1,(U$2-Inputs!$B$19+1)/Inputs!$B$20))</f>
        <v/>
      </c>
      <c r="V6">
        <f>IF(V$2&lt;Inputs!$B$19,0,MIN(1,(V$2-Inputs!$B$19+1)/Inputs!$B$20))</f>
        <v/>
      </c>
      <c r="W6">
        <f>IF(W$2&lt;Inputs!$B$19,0,MIN(1,(W$2-Inputs!$B$19+1)/Inputs!$B$20))</f>
        <v/>
      </c>
      <c r="X6">
        <f>IF(X$2&lt;Inputs!$B$19,0,MIN(1,(X$2-Inputs!$B$19+1)/Inputs!$B$20))</f>
        <v/>
      </c>
      <c r="Y6">
        <f>IF(Y$2&lt;Inputs!$B$19,0,MIN(1,(Y$2-Inputs!$B$19+1)/Inputs!$B$20))</f>
        <v/>
      </c>
      <c r="Z6">
        <f>IF(Z$2&lt;Inputs!$B$19,0,MIN(1,(Z$2-Inputs!$B$19+1)/Inputs!$B$20))</f>
        <v/>
      </c>
      <c r="AA6">
        <f>IF(AA$2&lt;Inputs!$B$19,0,MIN(1,(AA$2-Inputs!$B$19+1)/Inputs!$B$20))</f>
        <v/>
      </c>
      <c r="AB6">
        <f>IF(AB$2&lt;Inputs!$B$19,0,MIN(1,(AB$2-Inputs!$B$19+1)/Inputs!$B$20))</f>
        <v/>
      </c>
      <c r="AC6">
        <f>IF(AC$2&lt;Inputs!$B$19,0,MIN(1,(AC$2-Inputs!$B$19+1)/Inputs!$B$20))</f>
        <v/>
      </c>
      <c r="AD6">
        <f>IF(AD$2&lt;Inputs!$B$19,0,MIN(1,(AD$2-Inputs!$B$19+1)/Inputs!$B$20))</f>
        <v/>
      </c>
      <c r="AE6">
        <f>IF(AE$2&lt;Inputs!$B$19,0,MIN(1,(AE$2-Inputs!$B$19+1)/Inputs!$B$20))</f>
        <v/>
      </c>
      <c r="AF6">
        <f>IF(AF$2&lt;Inputs!$B$19,0,MIN(1,(AF$2-Inputs!$B$19+1)/Inputs!$B$20))</f>
        <v/>
      </c>
      <c r="AG6">
        <f>IF(AG$2&lt;Inputs!$B$19,0,MIN(1,(AG$2-Inputs!$B$19+1)/Inputs!$B$20))</f>
        <v/>
      </c>
      <c r="AH6">
        <f>IF(AH$2&lt;Inputs!$B$19,0,MIN(1,(AH$2-Inputs!$B$19+1)/Inputs!$B$20))</f>
        <v/>
      </c>
      <c r="AI6">
        <f>IF(AI$2&lt;Inputs!$B$19,0,MIN(1,(AI$2-Inputs!$B$19+1)/Inputs!$B$20))</f>
        <v/>
      </c>
      <c r="AJ6">
        <f>IF(AJ$2&lt;Inputs!$B$19,0,MIN(1,(AJ$2-Inputs!$B$19+1)/Inputs!$B$20))</f>
        <v/>
      </c>
      <c r="AK6">
        <f>IF(AK$2&lt;Inputs!$B$19,0,MIN(1,(AK$2-Inputs!$B$19+1)/Inputs!$B$20))</f>
        <v/>
      </c>
      <c r="AL6">
        <f>IF(AL$2&lt;Inputs!$B$19,0,MIN(1,(AL$2-Inputs!$B$19+1)/Inputs!$B$20))</f>
        <v/>
      </c>
      <c r="AM6">
        <f>IF(AM$2&lt;Inputs!$B$19,0,MIN(1,(AM$2-Inputs!$B$19+1)/Inputs!$B$20))</f>
        <v/>
      </c>
      <c r="AN6">
        <f>IF(AN$2&lt;Inputs!$B$19,0,MIN(1,(AN$2-Inputs!$B$19+1)/Inputs!$B$20))</f>
        <v/>
      </c>
      <c r="AO6">
        <f>IF(AO$2&lt;Inputs!$B$19,0,MIN(1,(AO$2-Inputs!$B$19+1)/Inputs!$B$20))</f>
        <v/>
      </c>
      <c r="AP6">
        <f>IF(AP$2&lt;Inputs!$B$19,0,MIN(1,(AP$2-Inputs!$B$19+1)/Inputs!$B$20))</f>
        <v/>
      </c>
      <c r="AQ6">
        <f>IF(AQ$2&lt;Inputs!$B$19,0,MIN(1,(AQ$2-Inputs!$B$19+1)/Inputs!$B$20))</f>
        <v/>
      </c>
      <c r="AR6">
        <f>IF(AR$2&lt;Inputs!$B$19,0,MIN(1,(AR$2-Inputs!$B$19+1)/Inputs!$B$20))</f>
        <v/>
      </c>
      <c r="AS6">
        <f>IF(AS$2&lt;Inputs!$B$19,0,MIN(1,(AS$2-Inputs!$B$19+1)/Inputs!$B$20))</f>
        <v/>
      </c>
      <c r="AT6">
        <f>IF(AT$2&lt;Inputs!$B$19,0,MIN(1,(AT$2-Inputs!$B$19+1)/Inputs!$B$20))</f>
        <v/>
      </c>
      <c r="AU6">
        <f>IF(AU$2&lt;Inputs!$B$19,0,MIN(1,(AU$2-Inputs!$B$19+1)/Inputs!$B$20))</f>
        <v/>
      </c>
      <c r="AV6">
        <f>IF(AV$2&lt;Inputs!$B$19,0,MIN(1,(AV$2-Inputs!$B$19+1)/Inputs!$B$20))</f>
        <v/>
      </c>
      <c r="AW6">
        <f>IF(AW$2&lt;Inputs!$B$19,0,MIN(1,(AW$2-Inputs!$B$19+1)/Inputs!$B$20))</f>
        <v/>
      </c>
      <c r="AX6">
        <f>IF(AX$2&lt;Inputs!$B$19,0,MIN(1,(AX$2-Inputs!$B$19+1)/Inputs!$B$20))</f>
        <v/>
      </c>
      <c r="AY6">
        <f>IF(AY$2&lt;Inputs!$B$19,0,MIN(1,(AY$2-Inputs!$B$19+1)/Inputs!$B$20))</f>
        <v/>
      </c>
      <c r="AZ6">
        <f>IF(AZ$2&lt;Inputs!$B$19,0,MIN(1,(AZ$2-Inputs!$B$19+1)/Inputs!$B$20))</f>
        <v/>
      </c>
      <c r="BA6">
        <f>IF(BA$2&lt;Inputs!$B$19,0,MIN(1,(BA$2-Inputs!$B$19+1)/Inputs!$B$20))</f>
        <v/>
      </c>
      <c r="BB6">
        <f>IF(BB$2&lt;Inputs!$B$19,0,MIN(1,(BB$2-Inputs!$B$19+1)/Inputs!$B$20))</f>
        <v/>
      </c>
      <c r="BC6">
        <f>IF(BC$2&lt;Inputs!$B$19,0,MIN(1,(BC$2-Inputs!$B$19+1)/Inputs!$B$20))</f>
        <v/>
      </c>
      <c r="BD6">
        <f>IF(BD$2&lt;Inputs!$B$19,0,MIN(1,(BD$2-Inputs!$B$19+1)/Inputs!$B$20))</f>
        <v/>
      </c>
      <c r="BE6">
        <f>IF(BE$2&lt;Inputs!$B$19,0,MIN(1,(BE$2-Inputs!$B$19+1)/Inputs!$B$20))</f>
        <v/>
      </c>
      <c r="BF6">
        <f>IF(BF$2&lt;Inputs!$B$19,0,MIN(1,(BF$2-Inputs!$B$19+1)/Inputs!$B$20))</f>
        <v/>
      </c>
      <c r="BG6">
        <f>IF(BG$2&lt;Inputs!$B$19,0,MIN(1,(BG$2-Inputs!$B$19+1)/Inputs!$B$20))</f>
        <v/>
      </c>
      <c r="BH6">
        <f>IF(BH$2&lt;Inputs!$B$19,0,MIN(1,(BH$2-Inputs!$B$19+1)/Inputs!$B$20))</f>
        <v/>
      </c>
      <c r="BI6">
        <f>IF(BI$2&lt;Inputs!$B$19,0,MIN(1,(BI$2-Inputs!$B$19+1)/Inputs!$B$20))</f>
        <v/>
      </c>
      <c r="BJ6">
        <f>IF(BJ$2&lt;Inputs!$B$19,0,MIN(1,(BJ$2-Inputs!$B$19+1)/Inputs!$B$20))</f>
        <v/>
      </c>
    </row>
    <row r="7">
      <c r="A7" t="inlineStr">
        <is>
          <t>Year</t>
        </is>
      </c>
      <c r="C7">
        <f>INT((C$2-1)/12)+1</f>
        <v/>
      </c>
      <c r="D7">
        <f>INT((D$2-1)/12)+1</f>
        <v/>
      </c>
      <c r="E7">
        <f>INT((E$2-1)/12)+1</f>
        <v/>
      </c>
      <c r="F7">
        <f>INT((F$2-1)/12)+1</f>
        <v/>
      </c>
      <c r="G7">
        <f>INT((G$2-1)/12)+1</f>
        <v/>
      </c>
      <c r="H7">
        <f>INT((H$2-1)/12)+1</f>
        <v/>
      </c>
      <c r="I7">
        <f>INT((I$2-1)/12)+1</f>
        <v/>
      </c>
      <c r="J7">
        <f>INT((J$2-1)/12)+1</f>
        <v/>
      </c>
      <c r="K7">
        <f>INT((K$2-1)/12)+1</f>
        <v/>
      </c>
      <c r="L7">
        <f>INT((L$2-1)/12)+1</f>
        <v/>
      </c>
      <c r="M7">
        <f>INT((M$2-1)/12)+1</f>
        <v/>
      </c>
      <c r="N7">
        <f>INT((N$2-1)/12)+1</f>
        <v/>
      </c>
      <c r="O7">
        <f>INT((O$2-1)/12)+1</f>
        <v/>
      </c>
      <c r="P7">
        <f>INT((P$2-1)/12)+1</f>
        <v/>
      </c>
      <c r="Q7">
        <f>INT((Q$2-1)/12)+1</f>
        <v/>
      </c>
      <c r="R7">
        <f>INT((R$2-1)/12)+1</f>
        <v/>
      </c>
      <c r="S7">
        <f>INT((S$2-1)/12)+1</f>
        <v/>
      </c>
      <c r="T7">
        <f>INT((T$2-1)/12)+1</f>
        <v/>
      </c>
      <c r="U7">
        <f>INT((U$2-1)/12)+1</f>
        <v/>
      </c>
      <c r="V7">
        <f>INT((V$2-1)/12)+1</f>
        <v/>
      </c>
      <c r="W7">
        <f>INT((W$2-1)/12)+1</f>
        <v/>
      </c>
      <c r="X7">
        <f>INT((X$2-1)/12)+1</f>
        <v/>
      </c>
      <c r="Y7">
        <f>INT((Y$2-1)/12)+1</f>
        <v/>
      </c>
      <c r="Z7">
        <f>INT((Z$2-1)/12)+1</f>
        <v/>
      </c>
      <c r="AA7">
        <f>INT((AA$2-1)/12)+1</f>
        <v/>
      </c>
      <c r="AB7">
        <f>INT((AB$2-1)/12)+1</f>
        <v/>
      </c>
      <c r="AC7">
        <f>INT((AC$2-1)/12)+1</f>
        <v/>
      </c>
      <c r="AD7">
        <f>INT((AD$2-1)/12)+1</f>
        <v/>
      </c>
      <c r="AE7">
        <f>INT((AE$2-1)/12)+1</f>
        <v/>
      </c>
      <c r="AF7">
        <f>INT((AF$2-1)/12)+1</f>
        <v/>
      </c>
      <c r="AG7">
        <f>INT((AG$2-1)/12)+1</f>
        <v/>
      </c>
      <c r="AH7">
        <f>INT((AH$2-1)/12)+1</f>
        <v/>
      </c>
      <c r="AI7">
        <f>INT((AI$2-1)/12)+1</f>
        <v/>
      </c>
      <c r="AJ7">
        <f>INT((AJ$2-1)/12)+1</f>
        <v/>
      </c>
      <c r="AK7">
        <f>INT((AK$2-1)/12)+1</f>
        <v/>
      </c>
      <c r="AL7">
        <f>INT((AL$2-1)/12)+1</f>
        <v/>
      </c>
      <c r="AM7">
        <f>INT((AM$2-1)/12)+1</f>
        <v/>
      </c>
      <c r="AN7">
        <f>INT((AN$2-1)/12)+1</f>
        <v/>
      </c>
      <c r="AO7">
        <f>INT((AO$2-1)/12)+1</f>
        <v/>
      </c>
      <c r="AP7">
        <f>INT((AP$2-1)/12)+1</f>
        <v/>
      </c>
      <c r="AQ7">
        <f>INT((AQ$2-1)/12)+1</f>
        <v/>
      </c>
      <c r="AR7">
        <f>INT((AR$2-1)/12)+1</f>
        <v/>
      </c>
      <c r="AS7">
        <f>INT((AS$2-1)/12)+1</f>
        <v/>
      </c>
      <c r="AT7">
        <f>INT((AT$2-1)/12)+1</f>
        <v/>
      </c>
      <c r="AU7">
        <f>INT((AU$2-1)/12)+1</f>
        <v/>
      </c>
      <c r="AV7">
        <f>INT((AV$2-1)/12)+1</f>
        <v/>
      </c>
      <c r="AW7">
        <f>INT((AW$2-1)/12)+1</f>
        <v/>
      </c>
      <c r="AX7">
        <f>INT((AX$2-1)/12)+1</f>
        <v/>
      </c>
      <c r="AY7">
        <f>INT((AY$2-1)/12)+1</f>
        <v/>
      </c>
      <c r="AZ7">
        <f>INT((AZ$2-1)/12)+1</f>
        <v/>
      </c>
      <c r="BA7">
        <f>INT((BA$2-1)/12)+1</f>
        <v/>
      </c>
      <c r="BB7">
        <f>INT((BB$2-1)/12)+1</f>
        <v/>
      </c>
      <c r="BC7">
        <f>INT((BC$2-1)/12)+1</f>
        <v/>
      </c>
      <c r="BD7">
        <f>INT((BD$2-1)/12)+1</f>
        <v/>
      </c>
      <c r="BE7">
        <f>INT((BE$2-1)/12)+1</f>
        <v/>
      </c>
      <c r="BF7">
        <f>INT((BF$2-1)/12)+1</f>
        <v/>
      </c>
      <c r="BG7">
        <f>INT((BG$2-1)/12)+1</f>
        <v/>
      </c>
      <c r="BH7">
        <f>INT((BH$2-1)/12)+1</f>
        <v/>
      </c>
      <c r="BI7">
        <f>INT((BI$2-1)/12)+1</f>
        <v/>
      </c>
      <c r="BJ7">
        <f>INT((BJ$2-1)/12)+1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cash flow (SAR '000)</t>
        </is>
      </c>
    </row>
    <row r="2">
      <c r="A2" t="inlineStr">
        <is>
          <t>Month</t>
        </is>
      </c>
      <c r="C2">
        <f>Drivers!C2</f>
        <v/>
      </c>
      <c r="D2">
        <f>Drivers!D2</f>
        <v/>
      </c>
      <c r="E2">
        <f>Drivers!E2</f>
        <v/>
      </c>
      <c r="F2">
        <f>Drivers!F2</f>
        <v/>
      </c>
      <c r="G2">
        <f>Drivers!G2</f>
        <v/>
      </c>
      <c r="H2">
        <f>Drivers!H2</f>
        <v/>
      </c>
      <c r="I2">
        <f>Drivers!I2</f>
        <v/>
      </c>
      <c r="J2">
        <f>Drivers!J2</f>
        <v/>
      </c>
      <c r="K2">
        <f>Drivers!K2</f>
        <v/>
      </c>
      <c r="L2">
        <f>Drivers!L2</f>
        <v/>
      </c>
      <c r="M2">
        <f>Drivers!M2</f>
        <v/>
      </c>
      <c r="N2">
        <f>Drivers!N2</f>
        <v/>
      </c>
      <c r="O2">
        <f>Drivers!O2</f>
        <v/>
      </c>
      <c r="P2">
        <f>Drivers!P2</f>
        <v/>
      </c>
      <c r="Q2">
        <f>Drivers!Q2</f>
        <v/>
      </c>
      <c r="R2">
        <f>Drivers!R2</f>
        <v/>
      </c>
      <c r="S2">
        <f>Drivers!S2</f>
        <v/>
      </c>
      <c r="T2">
        <f>Drivers!T2</f>
        <v/>
      </c>
      <c r="U2">
        <f>Drivers!U2</f>
        <v/>
      </c>
      <c r="V2">
        <f>Drivers!V2</f>
        <v/>
      </c>
      <c r="W2">
        <f>Drivers!W2</f>
        <v/>
      </c>
      <c r="X2">
        <f>Drivers!X2</f>
        <v/>
      </c>
      <c r="Y2">
        <f>Drivers!Y2</f>
        <v/>
      </c>
      <c r="Z2">
        <f>Drivers!Z2</f>
        <v/>
      </c>
      <c r="AA2">
        <f>Drivers!AA2</f>
        <v/>
      </c>
      <c r="AB2">
        <f>Drivers!AB2</f>
        <v/>
      </c>
      <c r="AC2">
        <f>Drivers!AC2</f>
        <v/>
      </c>
      <c r="AD2">
        <f>Drivers!AD2</f>
        <v/>
      </c>
      <c r="AE2">
        <f>Drivers!AE2</f>
        <v/>
      </c>
      <c r="AF2">
        <f>Drivers!AF2</f>
        <v/>
      </c>
      <c r="AG2">
        <f>Drivers!AG2</f>
        <v/>
      </c>
      <c r="AH2">
        <f>Drivers!AH2</f>
        <v/>
      </c>
      <c r="AI2">
        <f>Drivers!AI2</f>
        <v/>
      </c>
      <c r="AJ2">
        <f>Drivers!AJ2</f>
        <v/>
      </c>
      <c r="AK2">
        <f>Drivers!AK2</f>
        <v/>
      </c>
      <c r="AL2">
        <f>Drivers!AL2</f>
        <v/>
      </c>
      <c r="AM2">
        <f>Drivers!AM2</f>
        <v/>
      </c>
      <c r="AN2">
        <f>Drivers!AN2</f>
        <v/>
      </c>
      <c r="AO2">
        <f>Drivers!AO2</f>
        <v/>
      </c>
      <c r="AP2">
        <f>Drivers!AP2</f>
        <v/>
      </c>
      <c r="AQ2">
        <f>Drivers!AQ2</f>
        <v/>
      </c>
      <c r="AR2">
        <f>Drivers!AR2</f>
        <v/>
      </c>
      <c r="AS2">
        <f>Drivers!AS2</f>
        <v/>
      </c>
      <c r="AT2">
        <f>Drivers!AT2</f>
        <v/>
      </c>
      <c r="AU2">
        <f>Drivers!AU2</f>
        <v/>
      </c>
      <c r="AV2">
        <f>Drivers!AV2</f>
        <v/>
      </c>
      <c r="AW2">
        <f>Drivers!AW2</f>
        <v/>
      </c>
      <c r="AX2">
        <f>Drivers!AX2</f>
        <v/>
      </c>
      <c r="AY2">
        <f>Drivers!AY2</f>
        <v/>
      </c>
      <c r="AZ2">
        <f>Drivers!AZ2</f>
        <v/>
      </c>
      <c r="BA2">
        <f>Drivers!BA2</f>
        <v/>
      </c>
      <c r="BB2">
        <f>Drivers!BB2</f>
        <v/>
      </c>
      <c r="BC2">
        <f>Drivers!BC2</f>
        <v/>
      </c>
      <c r="BD2">
        <f>Drivers!BD2</f>
        <v/>
      </c>
      <c r="BE2">
        <f>Drivers!BE2</f>
        <v/>
      </c>
      <c r="BF2">
        <f>Drivers!BF2</f>
        <v/>
      </c>
      <c r="BG2">
        <f>Drivers!BG2</f>
        <v/>
      </c>
      <c r="BH2">
        <f>Drivers!BH2</f>
        <v/>
      </c>
      <c r="BI2">
        <f>Drivers!BI2</f>
        <v/>
      </c>
      <c r="BJ2">
        <f>Drivers!BJ2</f>
        <v/>
      </c>
    </row>
    <row r="3">
      <c r="A3" t="inlineStr">
        <is>
          <t>Land</t>
        </is>
      </c>
      <c r="C3">
        <f>IF(C$2=1,Inputs!$B$13,0)</f>
        <v/>
      </c>
      <c r="D3">
        <f>IF(D$2=1,Inputs!$B$13,0)</f>
        <v/>
      </c>
      <c r="E3">
        <f>IF(E$2=1,Inputs!$B$13,0)</f>
        <v/>
      </c>
      <c r="F3">
        <f>IF(F$2=1,Inputs!$B$13,0)</f>
        <v/>
      </c>
      <c r="G3">
        <f>IF(G$2=1,Inputs!$B$13,0)</f>
        <v/>
      </c>
      <c r="H3">
        <f>IF(H$2=1,Inputs!$B$13,0)</f>
        <v/>
      </c>
      <c r="I3">
        <f>IF(I$2=1,Inputs!$B$13,0)</f>
        <v/>
      </c>
      <c r="J3">
        <f>IF(J$2=1,Inputs!$B$13,0)</f>
        <v/>
      </c>
      <c r="K3">
        <f>IF(K$2=1,Inputs!$B$13,0)</f>
        <v/>
      </c>
      <c r="L3">
        <f>IF(L$2=1,Inputs!$B$13,0)</f>
        <v/>
      </c>
      <c r="M3">
        <f>IF(M$2=1,Inputs!$B$13,0)</f>
        <v/>
      </c>
      <c r="N3">
        <f>IF(N$2=1,Inputs!$B$13,0)</f>
        <v/>
      </c>
      <c r="O3">
        <f>IF(O$2=1,Inputs!$B$13,0)</f>
        <v/>
      </c>
      <c r="P3">
        <f>IF(P$2=1,Inputs!$B$13,0)</f>
        <v/>
      </c>
      <c r="Q3">
        <f>IF(Q$2=1,Inputs!$B$13,0)</f>
        <v/>
      </c>
      <c r="R3">
        <f>IF(R$2=1,Inputs!$B$13,0)</f>
        <v/>
      </c>
      <c r="S3">
        <f>IF(S$2=1,Inputs!$B$13,0)</f>
        <v/>
      </c>
      <c r="T3">
        <f>IF(T$2=1,Inputs!$B$13,0)</f>
        <v/>
      </c>
      <c r="U3">
        <f>IF(U$2=1,Inputs!$B$13,0)</f>
        <v/>
      </c>
      <c r="V3">
        <f>IF(V$2=1,Inputs!$B$13,0)</f>
        <v/>
      </c>
      <c r="W3">
        <f>IF(W$2=1,Inputs!$B$13,0)</f>
        <v/>
      </c>
      <c r="X3">
        <f>IF(X$2=1,Inputs!$B$13,0)</f>
        <v/>
      </c>
      <c r="Y3">
        <f>IF(Y$2=1,Inputs!$B$13,0)</f>
        <v/>
      </c>
      <c r="Z3">
        <f>IF(Z$2=1,Inputs!$B$13,0)</f>
        <v/>
      </c>
      <c r="AA3">
        <f>IF(AA$2=1,Inputs!$B$13,0)</f>
        <v/>
      </c>
      <c r="AB3">
        <f>IF(AB$2=1,Inputs!$B$13,0)</f>
        <v/>
      </c>
      <c r="AC3">
        <f>IF(AC$2=1,Inputs!$B$13,0)</f>
        <v/>
      </c>
      <c r="AD3">
        <f>IF(AD$2=1,Inputs!$B$13,0)</f>
        <v/>
      </c>
      <c r="AE3">
        <f>IF(AE$2=1,Inputs!$B$13,0)</f>
        <v/>
      </c>
      <c r="AF3">
        <f>IF(AF$2=1,Inputs!$B$13,0)</f>
        <v/>
      </c>
      <c r="AG3">
        <f>IF(AG$2=1,Inputs!$B$13,0)</f>
        <v/>
      </c>
      <c r="AH3">
        <f>IF(AH$2=1,Inputs!$B$13,0)</f>
        <v/>
      </c>
      <c r="AI3">
        <f>IF(AI$2=1,Inputs!$B$13,0)</f>
        <v/>
      </c>
      <c r="AJ3">
        <f>IF(AJ$2=1,Inputs!$B$13,0)</f>
        <v/>
      </c>
      <c r="AK3">
        <f>IF(AK$2=1,Inputs!$B$13,0)</f>
        <v/>
      </c>
      <c r="AL3">
        <f>IF(AL$2=1,Inputs!$B$13,0)</f>
        <v/>
      </c>
      <c r="AM3">
        <f>IF(AM$2=1,Inputs!$B$13,0)</f>
        <v/>
      </c>
      <c r="AN3">
        <f>IF(AN$2=1,Inputs!$B$13,0)</f>
        <v/>
      </c>
      <c r="AO3">
        <f>IF(AO$2=1,Inputs!$B$13,0)</f>
        <v/>
      </c>
      <c r="AP3">
        <f>IF(AP$2=1,Inputs!$B$13,0)</f>
        <v/>
      </c>
      <c r="AQ3">
        <f>IF(AQ$2=1,Inputs!$B$13,0)</f>
        <v/>
      </c>
      <c r="AR3">
        <f>IF(AR$2=1,Inputs!$B$13,0)</f>
        <v/>
      </c>
      <c r="AS3">
        <f>IF(AS$2=1,Inputs!$B$13,0)</f>
        <v/>
      </c>
      <c r="AT3">
        <f>IF(AT$2=1,Inputs!$B$13,0)</f>
        <v/>
      </c>
      <c r="AU3">
        <f>IF(AU$2=1,Inputs!$B$13,0)</f>
        <v/>
      </c>
      <c r="AV3">
        <f>IF(AV$2=1,Inputs!$B$13,0)</f>
        <v/>
      </c>
      <c r="AW3">
        <f>IF(AW$2=1,Inputs!$B$13,0)</f>
        <v/>
      </c>
      <c r="AX3">
        <f>IF(AX$2=1,Inputs!$B$13,0)</f>
        <v/>
      </c>
      <c r="AY3">
        <f>IF(AY$2=1,Inputs!$B$13,0)</f>
        <v/>
      </c>
      <c r="AZ3">
        <f>IF(AZ$2=1,Inputs!$B$13,0)</f>
        <v/>
      </c>
      <c r="BA3">
        <f>IF(BA$2=1,Inputs!$B$13,0)</f>
        <v/>
      </c>
      <c r="BB3">
        <f>IF(BB$2=1,Inputs!$B$13,0)</f>
        <v/>
      </c>
      <c r="BC3">
        <f>IF(BC$2=1,Inputs!$B$13,0)</f>
        <v/>
      </c>
      <c r="BD3">
        <f>IF(BD$2=1,Inputs!$B$13,0)</f>
        <v/>
      </c>
      <c r="BE3">
        <f>IF(BE$2=1,Inputs!$B$13,0)</f>
        <v/>
      </c>
      <c r="BF3">
        <f>IF(BF$2=1,Inputs!$B$13,0)</f>
        <v/>
      </c>
      <c r="BG3">
        <f>IF(BG$2=1,Inputs!$B$13,0)</f>
        <v/>
      </c>
      <c r="BH3">
        <f>IF(BH$2=1,Inputs!$B$13,0)</f>
        <v/>
      </c>
      <c r="BI3">
        <f>IF(BI$2=1,Inputs!$B$13,0)</f>
        <v/>
      </c>
      <c r="BJ3">
        <f>IF(BJ$2=1,Inputs!$B$13,0)</f>
        <v/>
      </c>
    </row>
    <row r="4">
      <c r="A4" t="inlineStr">
        <is>
          <t>Construction</t>
        </is>
      </c>
      <c r="C4">
        <f>Inputs!$E$7*Inputs!$B$12*Drivers!C4</f>
        <v/>
      </c>
      <c r="D4">
        <f>Inputs!$E$7*Inputs!$B$12*Drivers!D4</f>
        <v/>
      </c>
      <c r="E4">
        <f>Inputs!$E$7*Inputs!$B$12*Drivers!E4</f>
        <v/>
      </c>
      <c r="F4">
        <f>Inputs!$E$7*Inputs!$B$12*Drivers!F4</f>
        <v/>
      </c>
      <c r="G4">
        <f>Inputs!$E$7*Inputs!$B$12*Drivers!G4</f>
        <v/>
      </c>
      <c r="H4">
        <f>Inputs!$E$7*Inputs!$B$12*Drivers!H4</f>
        <v/>
      </c>
      <c r="I4">
        <f>Inputs!$E$7*Inputs!$B$12*Drivers!I4</f>
        <v/>
      </c>
      <c r="J4">
        <f>Inputs!$E$7*Inputs!$B$12*Drivers!J4</f>
        <v/>
      </c>
      <c r="K4">
        <f>Inputs!$E$7*Inputs!$B$12*Drivers!K4</f>
        <v/>
      </c>
      <c r="L4">
        <f>Inputs!$E$7*Inputs!$B$12*Drivers!L4</f>
        <v/>
      </c>
      <c r="M4">
        <f>Inputs!$E$7*Inputs!$B$12*Drivers!M4</f>
        <v/>
      </c>
      <c r="N4">
        <f>Inputs!$E$7*Inputs!$B$12*Drivers!N4</f>
        <v/>
      </c>
      <c r="O4">
        <f>Inputs!$E$7*Inputs!$B$12*Drivers!O4</f>
        <v/>
      </c>
      <c r="P4">
        <f>Inputs!$E$7*Inputs!$B$12*Drivers!P4</f>
        <v/>
      </c>
      <c r="Q4">
        <f>Inputs!$E$7*Inputs!$B$12*Drivers!Q4</f>
        <v/>
      </c>
      <c r="R4">
        <f>Inputs!$E$7*Inputs!$B$12*Drivers!R4</f>
        <v/>
      </c>
      <c r="S4">
        <f>Inputs!$E$7*Inputs!$B$12*Drivers!S4</f>
        <v/>
      </c>
      <c r="T4">
        <f>Inputs!$E$7*Inputs!$B$12*Drivers!T4</f>
        <v/>
      </c>
      <c r="U4">
        <f>Inputs!$E$7*Inputs!$B$12*Drivers!U4</f>
        <v/>
      </c>
      <c r="V4">
        <f>Inputs!$E$7*Inputs!$B$12*Drivers!V4</f>
        <v/>
      </c>
      <c r="W4">
        <f>Inputs!$E$7*Inputs!$B$12*Drivers!W4</f>
        <v/>
      </c>
      <c r="X4">
        <f>Inputs!$E$7*Inputs!$B$12*Drivers!X4</f>
        <v/>
      </c>
      <c r="Y4">
        <f>Inputs!$E$7*Inputs!$B$12*Drivers!Y4</f>
        <v/>
      </c>
      <c r="Z4">
        <f>Inputs!$E$7*Inputs!$B$12*Drivers!Z4</f>
        <v/>
      </c>
      <c r="AA4">
        <f>Inputs!$E$7*Inputs!$B$12*Drivers!AA4</f>
        <v/>
      </c>
      <c r="AB4">
        <f>Inputs!$E$7*Inputs!$B$12*Drivers!AB4</f>
        <v/>
      </c>
      <c r="AC4">
        <f>Inputs!$E$7*Inputs!$B$12*Drivers!AC4</f>
        <v/>
      </c>
      <c r="AD4">
        <f>Inputs!$E$7*Inputs!$B$12*Drivers!AD4</f>
        <v/>
      </c>
      <c r="AE4">
        <f>Inputs!$E$7*Inputs!$B$12*Drivers!AE4</f>
        <v/>
      </c>
      <c r="AF4">
        <f>Inputs!$E$7*Inputs!$B$12*Drivers!AF4</f>
        <v/>
      </c>
      <c r="AG4">
        <f>Inputs!$E$7*Inputs!$B$12*Drivers!AG4</f>
        <v/>
      </c>
      <c r="AH4">
        <f>Inputs!$E$7*Inputs!$B$12*Drivers!AH4</f>
        <v/>
      </c>
      <c r="AI4">
        <f>Inputs!$E$7*Inputs!$B$12*Drivers!AI4</f>
        <v/>
      </c>
      <c r="AJ4">
        <f>Inputs!$E$7*Inputs!$B$12*Drivers!AJ4</f>
        <v/>
      </c>
      <c r="AK4">
        <f>Inputs!$E$7*Inputs!$B$12*Drivers!AK4</f>
        <v/>
      </c>
      <c r="AL4">
        <f>Inputs!$E$7*Inputs!$B$12*Drivers!AL4</f>
        <v/>
      </c>
      <c r="AM4">
        <f>Inputs!$E$7*Inputs!$B$12*Drivers!AM4</f>
        <v/>
      </c>
      <c r="AN4">
        <f>Inputs!$E$7*Inputs!$B$12*Drivers!AN4</f>
        <v/>
      </c>
      <c r="AO4">
        <f>Inputs!$E$7*Inputs!$B$12*Drivers!AO4</f>
        <v/>
      </c>
      <c r="AP4">
        <f>Inputs!$E$7*Inputs!$B$12*Drivers!AP4</f>
        <v/>
      </c>
      <c r="AQ4">
        <f>Inputs!$E$7*Inputs!$B$12*Drivers!AQ4</f>
        <v/>
      </c>
      <c r="AR4">
        <f>Inputs!$E$7*Inputs!$B$12*Drivers!AR4</f>
        <v/>
      </c>
      <c r="AS4">
        <f>Inputs!$E$7*Inputs!$B$12*Drivers!AS4</f>
        <v/>
      </c>
      <c r="AT4">
        <f>Inputs!$E$7*Inputs!$B$12*Drivers!AT4</f>
        <v/>
      </c>
      <c r="AU4">
        <f>Inputs!$E$7*Inputs!$B$12*Drivers!AU4</f>
        <v/>
      </c>
      <c r="AV4">
        <f>Inputs!$E$7*Inputs!$B$12*Drivers!AV4</f>
        <v/>
      </c>
      <c r="AW4">
        <f>Inputs!$E$7*Inputs!$B$12*Drivers!AW4</f>
        <v/>
      </c>
      <c r="AX4">
        <f>Inputs!$E$7*Inputs!$B$12*Drivers!AX4</f>
        <v/>
      </c>
      <c r="AY4">
        <f>Inputs!$E$7*Inputs!$B$12*Drivers!AY4</f>
        <v/>
      </c>
      <c r="AZ4">
        <f>Inputs!$E$7*Inputs!$B$12*Drivers!AZ4</f>
        <v/>
      </c>
      <c r="BA4">
        <f>Inputs!$E$7*Inputs!$B$12*Drivers!BA4</f>
        <v/>
      </c>
      <c r="BB4">
        <f>Inputs!$E$7*Inputs!$B$12*Drivers!BB4</f>
        <v/>
      </c>
      <c r="BC4">
        <f>Inputs!$E$7*Inputs!$B$12*Drivers!BC4</f>
        <v/>
      </c>
      <c r="BD4">
        <f>Inputs!$E$7*Inputs!$B$12*Drivers!BD4</f>
        <v/>
      </c>
      <c r="BE4">
        <f>Inputs!$E$7*Inputs!$B$12*Drivers!BE4</f>
        <v/>
      </c>
      <c r="BF4">
        <f>Inputs!$E$7*Inputs!$B$12*Drivers!BF4</f>
        <v/>
      </c>
      <c r="BG4">
        <f>Inputs!$E$7*Inputs!$B$12*Drivers!BG4</f>
        <v/>
      </c>
      <c r="BH4">
        <f>Inputs!$E$7*Inputs!$B$12*Drivers!BH4</f>
        <v/>
      </c>
      <c r="BI4">
        <f>Inputs!$E$7*Inputs!$B$12*Drivers!BI4</f>
        <v/>
      </c>
      <c r="BJ4">
        <f>Inputs!$E$7*Inputs!$B$12*Drivers!BJ4</f>
        <v/>
      </c>
    </row>
    <row r="5">
      <c r="A5" t="inlineStr">
        <is>
          <t>Residential sales</t>
        </is>
      </c>
      <c r="C5">
        <f>Inputs!$E$5*Inputs!$B$10*Drivers!C5</f>
        <v/>
      </c>
      <c r="D5">
        <f>Inputs!$E$5*Inputs!$B$10*Drivers!D5</f>
        <v/>
      </c>
      <c r="E5">
        <f>Inputs!$E$5*Inputs!$B$10*Drivers!E5</f>
        <v/>
      </c>
      <c r="F5">
        <f>Inputs!$E$5*Inputs!$B$10*Drivers!F5</f>
        <v/>
      </c>
      <c r="G5">
        <f>Inputs!$E$5*Inputs!$B$10*Drivers!G5</f>
        <v/>
      </c>
      <c r="H5">
        <f>Inputs!$E$5*Inputs!$B$10*Drivers!H5</f>
        <v/>
      </c>
      <c r="I5">
        <f>Inputs!$E$5*Inputs!$B$10*Drivers!I5</f>
        <v/>
      </c>
      <c r="J5">
        <f>Inputs!$E$5*Inputs!$B$10*Drivers!J5</f>
        <v/>
      </c>
      <c r="K5">
        <f>Inputs!$E$5*Inputs!$B$10*Drivers!K5</f>
        <v/>
      </c>
      <c r="L5">
        <f>Inputs!$E$5*Inputs!$B$10*Drivers!L5</f>
        <v/>
      </c>
      <c r="M5">
        <f>Inputs!$E$5*Inputs!$B$10*Drivers!M5</f>
        <v/>
      </c>
      <c r="N5">
        <f>Inputs!$E$5*Inputs!$B$10*Drivers!N5</f>
        <v/>
      </c>
      <c r="O5">
        <f>Inputs!$E$5*Inputs!$B$10*Drivers!O5</f>
        <v/>
      </c>
      <c r="P5">
        <f>Inputs!$E$5*Inputs!$B$10*Drivers!P5</f>
        <v/>
      </c>
      <c r="Q5">
        <f>Inputs!$E$5*Inputs!$B$10*Drivers!Q5</f>
        <v/>
      </c>
      <c r="R5">
        <f>Inputs!$E$5*Inputs!$B$10*Drivers!R5</f>
        <v/>
      </c>
      <c r="S5">
        <f>Inputs!$E$5*Inputs!$B$10*Drivers!S5</f>
        <v/>
      </c>
      <c r="T5">
        <f>Inputs!$E$5*Inputs!$B$10*Drivers!T5</f>
        <v/>
      </c>
      <c r="U5">
        <f>Inputs!$E$5*Inputs!$B$10*Drivers!U5</f>
        <v/>
      </c>
      <c r="V5">
        <f>Inputs!$E$5*Inputs!$B$10*Drivers!V5</f>
        <v/>
      </c>
      <c r="W5">
        <f>Inputs!$E$5*Inputs!$B$10*Drivers!W5</f>
        <v/>
      </c>
      <c r="X5">
        <f>Inputs!$E$5*Inputs!$B$10*Drivers!X5</f>
        <v/>
      </c>
      <c r="Y5">
        <f>Inputs!$E$5*Inputs!$B$10*Drivers!Y5</f>
        <v/>
      </c>
      <c r="Z5">
        <f>Inputs!$E$5*Inputs!$B$10*Drivers!Z5</f>
        <v/>
      </c>
      <c r="AA5">
        <f>Inputs!$E$5*Inputs!$B$10*Drivers!AA5</f>
        <v/>
      </c>
      <c r="AB5">
        <f>Inputs!$E$5*Inputs!$B$10*Drivers!AB5</f>
        <v/>
      </c>
      <c r="AC5">
        <f>Inputs!$E$5*Inputs!$B$10*Drivers!AC5</f>
        <v/>
      </c>
      <c r="AD5">
        <f>Inputs!$E$5*Inputs!$B$10*Drivers!AD5</f>
        <v/>
      </c>
      <c r="AE5">
        <f>Inputs!$E$5*Inputs!$B$10*Drivers!AE5</f>
        <v/>
      </c>
      <c r="AF5">
        <f>Inputs!$E$5*Inputs!$B$10*Drivers!AF5</f>
        <v/>
      </c>
      <c r="AG5">
        <f>Inputs!$E$5*Inputs!$B$10*Drivers!AG5</f>
        <v/>
      </c>
      <c r="AH5">
        <f>Inputs!$E$5*Inputs!$B$10*Drivers!AH5</f>
        <v/>
      </c>
      <c r="AI5">
        <f>Inputs!$E$5*Inputs!$B$10*Drivers!AI5</f>
        <v/>
      </c>
      <c r="AJ5">
        <f>Inputs!$E$5*Inputs!$B$10*Drivers!AJ5</f>
        <v/>
      </c>
      <c r="AK5">
        <f>Inputs!$E$5*Inputs!$B$10*Drivers!AK5</f>
        <v/>
      </c>
      <c r="AL5">
        <f>Inputs!$E$5*Inputs!$B$10*Drivers!AL5</f>
        <v/>
      </c>
      <c r="AM5">
        <f>Inputs!$E$5*Inputs!$B$10*Drivers!AM5</f>
        <v/>
      </c>
      <c r="AN5">
        <f>Inputs!$E$5*Inputs!$B$10*Drivers!AN5</f>
        <v/>
      </c>
      <c r="AO5">
        <f>Inputs!$E$5*Inputs!$B$10*Drivers!AO5</f>
        <v/>
      </c>
      <c r="AP5">
        <f>Inputs!$E$5*Inputs!$B$10*Drivers!AP5</f>
        <v/>
      </c>
      <c r="AQ5">
        <f>Inputs!$E$5*Inputs!$B$10*Drivers!AQ5</f>
        <v/>
      </c>
      <c r="AR5">
        <f>Inputs!$E$5*Inputs!$B$10*Drivers!AR5</f>
        <v/>
      </c>
      <c r="AS5">
        <f>Inputs!$E$5*Inputs!$B$10*Drivers!AS5</f>
        <v/>
      </c>
      <c r="AT5">
        <f>Inputs!$E$5*Inputs!$B$10*Drivers!AT5</f>
        <v/>
      </c>
      <c r="AU5">
        <f>Inputs!$E$5*Inputs!$B$10*Drivers!AU5</f>
        <v/>
      </c>
      <c r="AV5">
        <f>Inputs!$E$5*Inputs!$B$10*Drivers!AV5</f>
        <v/>
      </c>
      <c r="AW5">
        <f>Inputs!$E$5*Inputs!$B$10*Drivers!AW5</f>
        <v/>
      </c>
      <c r="AX5">
        <f>Inputs!$E$5*Inputs!$B$10*Drivers!AX5</f>
        <v/>
      </c>
      <c r="AY5">
        <f>Inputs!$E$5*Inputs!$B$10*Drivers!AY5</f>
        <v/>
      </c>
      <c r="AZ5">
        <f>Inputs!$E$5*Inputs!$B$10*Drivers!AZ5</f>
        <v/>
      </c>
      <c r="BA5">
        <f>Inputs!$E$5*Inputs!$B$10*Drivers!BA5</f>
        <v/>
      </c>
      <c r="BB5">
        <f>Inputs!$E$5*Inputs!$B$10*Drivers!BB5</f>
        <v/>
      </c>
      <c r="BC5">
        <f>Inputs!$E$5*Inputs!$B$10*Drivers!BC5</f>
        <v/>
      </c>
      <c r="BD5">
        <f>Inputs!$E$5*Inputs!$B$10*Drivers!BD5</f>
        <v/>
      </c>
      <c r="BE5">
        <f>Inputs!$E$5*Inputs!$B$10*Drivers!BE5</f>
        <v/>
      </c>
      <c r="BF5">
        <f>Inputs!$E$5*Inputs!$B$10*Drivers!BF5</f>
        <v/>
      </c>
      <c r="BG5">
        <f>Inputs!$E$5*Inputs!$B$10*Drivers!BG5</f>
        <v/>
      </c>
      <c r="BH5">
        <f>Inputs!$E$5*Inputs!$B$10*Drivers!BH5</f>
        <v/>
      </c>
      <c r="BI5">
        <f>Inputs!$E$5*Inputs!$B$10*Drivers!BI5</f>
        <v/>
      </c>
      <c r="BJ5">
        <f>Inputs!$E$5*Inputs!$B$10*Drivers!BJ5</f>
        <v/>
      </c>
    </row>
    <row r="6">
      <c r="A6" t="inlineStr">
        <is>
          <t>Retail rent</t>
        </is>
      </c>
      <c r="C6">
        <f>IF(C$2&lt;=Inputs!$B$21,Inputs!$E$6*Inputs!$B$11*Drivers!C6/12,0)</f>
        <v/>
      </c>
      <c r="D6">
        <f>IF(D$2&lt;=Inputs!$B$21,Inputs!$E$6*Inputs!$B$11*Drivers!D6/12,0)</f>
        <v/>
      </c>
      <c r="E6">
        <f>IF(E$2&lt;=Inputs!$B$21,Inputs!$E$6*Inputs!$B$11*Drivers!E6/12,0)</f>
        <v/>
      </c>
      <c r="F6">
        <f>IF(F$2&lt;=Inputs!$B$21,Inputs!$E$6*Inputs!$B$11*Drivers!F6/12,0)</f>
        <v/>
      </c>
      <c r="G6">
        <f>IF(G$2&lt;=Inputs!$B$21,Inputs!$E$6*Inputs!$B$11*Drivers!G6/12,0)</f>
        <v/>
      </c>
      <c r="H6">
        <f>IF(H$2&lt;=Inputs!$B$21,Inputs!$E$6*Inputs!$B$11*Drivers!H6/12,0)</f>
        <v/>
      </c>
      <c r="I6">
        <f>IF(I$2&lt;=Inputs!$B$21,Inputs!$E$6*Inputs!$B$11*Drivers!I6/12,0)</f>
        <v/>
      </c>
      <c r="J6">
        <f>IF(J$2&lt;=Inputs!$B$21,Inputs!$E$6*Inputs!$B$11*Drivers!J6/12,0)</f>
        <v/>
      </c>
      <c r="K6">
        <f>IF(K$2&lt;=Inputs!$B$21,Inputs!$E$6*Inputs!$B$11*Drivers!K6/12,0)</f>
        <v/>
      </c>
      <c r="L6">
        <f>IF(L$2&lt;=Inputs!$B$21,Inputs!$E$6*Inputs!$B$11*Drivers!L6/12,0)</f>
        <v/>
      </c>
      <c r="M6">
        <f>IF(M$2&lt;=Inputs!$B$21,Inputs!$E$6*Inputs!$B$11*Drivers!M6/12,0)</f>
        <v/>
      </c>
      <c r="N6">
        <f>IF(N$2&lt;=Inputs!$B$21,Inputs!$E$6*Inputs!$B$11*Drivers!N6/12,0)</f>
        <v/>
      </c>
      <c r="O6">
        <f>IF(O$2&lt;=Inputs!$B$21,Inputs!$E$6*Inputs!$B$11*Drivers!O6/12,0)</f>
        <v/>
      </c>
      <c r="P6">
        <f>IF(P$2&lt;=Inputs!$B$21,Inputs!$E$6*Inputs!$B$11*Drivers!P6/12,0)</f>
        <v/>
      </c>
      <c r="Q6">
        <f>IF(Q$2&lt;=Inputs!$B$21,Inputs!$E$6*Inputs!$B$11*Drivers!Q6/12,0)</f>
        <v/>
      </c>
      <c r="R6">
        <f>IF(R$2&lt;=Inputs!$B$21,Inputs!$E$6*Inputs!$B$11*Drivers!R6/12,0)</f>
        <v/>
      </c>
      <c r="S6">
        <f>IF(S$2&lt;=Inputs!$B$21,Inputs!$E$6*Inputs!$B$11*Drivers!S6/12,0)</f>
        <v/>
      </c>
      <c r="T6">
        <f>IF(T$2&lt;=Inputs!$B$21,Inputs!$E$6*Inputs!$B$11*Drivers!T6/12,0)</f>
        <v/>
      </c>
      <c r="U6">
        <f>IF(U$2&lt;=Inputs!$B$21,Inputs!$E$6*Inputs!$B$11*Drivers!U6/12,0)</f>
        <v/>
      </c>
      <c r="V6">
        <f>IF(V$2&lt;=Inputs!$B$21,Inputs!$E$6*Inputs!$B$11*Drivers!V6/12,0)</f>
        <v/>
      </c>
      <c r="W6">
        <f>IF(W$2&lt;=Inputs!$B$21,Inputs!$E$6*Inputs!$B$11*Drivers!W6/12,0)</f>
        <v/>
      </c>
      <c r="X6">
        <f>IF(X$2&lt;=Inputs!$B$21,Inputs!$E$6*Inputs!$B$11*Drivers!X6/12,0)</f>
        <v/>
      </c>
      <c r="Y6">
        <f>IF(Y$2&lt;=Inputs!$B$21,Inputs!$E$6*Inputs!$B$11*Drivers!Y6/12,0)</f>
        <v/>
      </c>
      <c r="Z6">
        <f>IF(Z$2&lt;=Inputs!$B$21,Inputs!$E$6*Inputs!$B$11*Drivers!Z6/12,0)</f>
        <v/>
      </c>
      <c r="AA6">
        <f>IF(AA$2&lt;=Inputs!$B$21,Inputs!$E$6*Inputs!$B$11*Drivers!AA6/12,0)</f>
        <v/>
      </c>
      <c r="AB6">
        <f>IF(AB$2&lt;=Inputs!$B$21,Inputs!$E$6*Inputs!$B$11*Drivers!AB6/12,0)</f>
        <v/>
      </c>
      <c r="AC6">
        <f>IF(AC$2&lt;=Inputs!$B$21,Inputs!$E$6*Inputs!$B$11*Drivers!AC6/12,0)</f>
        <v/>
      </c>
      <c r="AD6">
        <f>IF(AD$2&lt;=Inputs!$B$21,Inputs!$E$6*Inputs!$B$11*Drivers!AD6/12,0)</f>
        <v/>
      </c>
      <c r="AE6">
        <f>IF(AE$2&lt;=Inputs!$B$21,Inputs!$E$6*Inputs!$B$11*Drivers!AE6/12,0)</f>
        <v/>
      </c>
      <c r="AF6">
        <f>IF(AF$2&lt;=Inputs!$B$21,Inputs!$E$6*Inputs!$B$11*Drivers!AF6/12,0)</f>
        <v/>
      </c>
      <c r="AG6">
        <f>IF(AG$2&lt;=Inputs!$B$21,Inputs!$E$6*Inputs!$B$11*Drivers!AG6/12,0)</f>
        <v/>
      </c>
      <c r="AH6">
        <f>IF(AH$2&lt;=Inputs!$B$21,Inputs!$E$6*Inputs!$B$11*Drivers!AH6/12,0)</f>
        <v/>
      </c>
      <c r="AI6">
        <f>IF(AI$2&lt;=Inputs!$B$21,Inputs!$E$6*Inputs!$B$11*Drivers!AI6/12,0)</f>
        <v/>
      </c>
      <c r="AJ6">
        <f>IF(AJ$2&lt;=Inputs!$B$21,Inputs!$E$6*Inputs!$B$11*Drivers!AJ6/12,0)</f>
        <v/>
      </c>
      <c r="AK6">
        <f>IF(AK$2&lt;=Inputs!$B$21,Inputs!$E$6*Inputs!$B$11*Drivers!AK6/12,0)</f>
        <v/>
      </c>
      <c r="AL6">
        <f>IF(AL$2&lt;=Inputs!$B$21,Inputs!$E$6*Inputs!$B$11*Drivers!AL6/12,0)</f>
        <v/>
      </c>
      <c r="AM6">
        <f>IF(AM$2&lt;=Inputs!$B$21,Inputs!$E$6*Inputs!$B$11*Drivers!AM6/12,0)</f>
        <v/>
      </c>
      <c r="AN6">
        <f>IF(AN$2&lt;=Inputs!$B$21,Inputs!$E$6*Inputs!$B$11*Drivers!AN6/12,0)</f>
        <v/>
      </c>
      <c r="AO6">
        <f>IF(AO$2&lt;=Inputs!$B$21,Inputs!$E$6*Inputs!$B$11*Drivers!AO6/12,0)</f>
        <v/>
      </c>
      <c r="AP6">
        <f>IF(AP$2&lt;=Inputs!$B$21,Inputs!$E$6*Inputs!$B$11*Drivers!AP6/12,0)</f>
        <v/>
      </c>
      <c r="AQ6">
        <f>IF(AQ$2&lt;=Inputs!$B$21,Inputs!$E$6*Inputs!$B$11*Drivers!AQ6/12,0)</f>
        <v/>
      </c>
      <c r="AR6">
        <f>IF(AR$2&lt;=Inputs!$B$21,Inputs!$E$6*Inputs!$B$11*Drivers!AR6/12,0)</f>
        <v/>
      </c>
      <c r="AS6">
        <f>IF(AS$2&lt;=Inputs!$B$21,Inputs!$E$6*Inputs!$B$11*Drivers!AS6/12,0)</f>
        <v/>
      </c>
      <c r="AT6">
        <f>IF(AT$2&lt;=Inputs!$B$21,Inputs!$E$6*Inputs!$B$11*Drivers!AT6/12,0)</f>
        <v/>
      </c>
      <c r="AU6">
        <f>IF(AU$2&lt;=Inputs!$B$21,Inputs!$E$6*Inputs!$B$11*Drivers!AU6/12,0)</f>
        <v/>
      </c>
      <c r="AV6">
        <f>IF(AV$2&lt;=Inputs!$B$21,Inputs!$E$6*Inputs!$B$11*Drivers!AV6/12,0)</f>
        <v/>
      </c>
      <c r="AW6">
        <f>IF(AW$2&lt;=Inputs!$B$21,Inputs!$E$6*Inputs!$B$11*Drivers!AW6/12,0)</f>
        <v/>
      </c>
      <c r="AX6">
        <f>IF(AX$2&lt;=Inputs!$B$21,Inputs!$E$6*Inputs!$B$11*Drivers!AX6/12,0)</f>
        <v/>
      </c>
      <c r="AY6">
        <f>IF(AY$2&lt;=Inputs!$B$21,Inputs!$E$6*Inputs!$B$11*Drivers!AY6/12,0)</f>
        <v/>
      </c>
      <c r="AZ6">
        <f>IF(AZ$2&lt;=Inputs!$B$21,Inputs!$E$6*Inputs!$B$11*Drivers!AZ6/12,0)</f>
        <v/>
      </c>
      <c r="BA6">
        <f>IF(BA$2&lt;=Inputs!$B$21,Inputs!$E$6*Inputs!$B$11*Drivers!BA6/12,0)</f>
        <v/>
      </c>
      <c r="BB6">
        <f>IF(BB$2&lt;=Inputs!$B$21,Inputs!$E$6*Inputs!$B$11*Drivers!BB6/12,0)</f>
        <v/>
      </c>
      <c r="BC6">
        <f>IF(BC$2&lt;=Inputs!$B$21,Inputs!$E$6*Inputs!$B$11*Drivers!BC6/12,0)</f>
        <v/>
      </c>
      <c r="BD6">
        <f>IF(BD$2&lt;=Inputs!$B$21,Inputs!$E$6*Inputs!$B$11*Drivers!BD6/12,0)</f>
        <v/>
      </c>
      <c r="BE6">
        <f>IF(BE$2&lt;=Inputs!$B$21,Inputs!$E$6*Inputs!$B$11*Drivers!BE6/12,0)</f>
        <v/>
      </c>
      <c r="BF6">
        <f>IF(BF$2&lt;=Inputs!$B$21,Inputs!$E$6*Inputs!$B$11*Drivers!BF6/12,0)</f>
        <v/>
      </c>
      <c r="BG6">
        <f>IF(BG$2&lt;=Inputs!$B$21,Inputs!$E$6*Inputs!$B$11*Drivers!BG6/12,0)</f>
        <v/>
      </c>
      <c r="BH6">
        <f>IF(BH$2&lt;=Inputs!$B$21,Inputs!$E$6*Inputs!$B$11*Drivers!BH6/12,0)</f>
        <v/>
      </c>
      <c r="BI6">
        <f>IF(BI$2&lt;=Inputs!$B$21,Inputs!$E$6*Inputs!$B$11*Drivers!BI6/12,0)</f>
        <v/>
      </c>
      <c r="BJ6">
        <f>IF(BJ$2&lt;=Inputs!$B$21,Inputs!$E$6*Inputs!$B$11*Drivers!BJ6/12,0)</f>
        <v/>
      </c>
    </row>
    <row r="7">
      <c r="A7" t="inlineStr">
        <is>
          <t>Retail sale</t>
        </is>
      </c>
      <c r="C7">
        <f>IF(C$2=Inputs!$B$21,Inputs!$E$6*Inputs!$B$11/Inputs!$E$8*(1-Inputs!$B$24),0)</f>
        <v/>
      </c>
      <c r="D7">
        <f>IF(D$2=Inputs!$B$21,Inputs!$E$6*Inputs!$B$11/Inputs!$E$8*(1-Inputs!$B$24),0)</f>
        <v/>
      </c>
      <c r="E7">
        <f>IF(E$2=Inputs!$B$21,Inputs!$E$6*Inputs!$B$11/Inputs!$E$8*(1-Inputs!$B$24),0)</f>
        <v/>
      </c>
      <c r="F7">
        <f>IF(F$2=Inputs!$B$21,Inputs!$E$6*Inputs!$B$11/Inputs!$E$8*(1-Inputs!$B$24),0)</f>
        <v/>
      </c>
      <c r="G7">
        <f>IF(G$2=Inputs!$B$21,Inputs!$E$6*Inputs!$B$11/Inputs!$E$8*(1-Inputs!$B$24),0)</f>
        <v/>
      </c>
      <c r="H7">
        <f>IF(H$2=Inputs!$B$21,Inputs!$E$6*Inputs!$B$11/Inputs!$E$8*(1-Inputs!$B$24),0)</f>
        <v/>
      </c>
      <c r="I7">
        <f>IF(I$2=Inputs!$B$21,Inputs!$E$6*Inputs!$B$11/Inputs!$E$8*(1-Inputs!$B$24),0)</f>
        <v/>
      </c>
      <c r="J7">
        <f>IF(J$2=Inputs!$B$21,Inputs!$E$6*Inputs!$B$11/Inputs!$E$8*(1-Inputs!$B$24),0)</f>
        <v/>
      </c>
      <c r="K7">
        <f>IF(K$2=Inputs!$B$21,Inputs!$E$6*Inputs!$B$11/Inputs!$E$8*(1-Inputs!$B$24),0)</f>
        <v/>
      </c>
      <c r="L7">
        <f>IF(L$2=Inputs!$B$21,Inputs!$E$6*Inputs!$B$11/Inputs!$E$8*(1-Inputs!$B$24),0)</f>
        <v/>
      </c>
      <c r="M7">
        <f>IF(M$2=Inputs!$B$21,Inputs!$E$6*Inputs!$B$11/Inputs!$E$8*(1-Inputs!$B$24),0)</f>
        <v/>
      </c>
      <c r="N7">
        <f>IF(N$2=Inputs!$B$21,Inputs!$E$6*Inputs!$B$11/Inputs!$E$8*(1-Inputs!$B$24),0)</f>
        <v/>
      </c>
      <c r="O7">
        <f>IF(O$2=Inputs!$B$21,Inputs!$E$6*Inputs!$B$11/Inputs!$E$8*(1-Inputs!$B$24),0)</f>
        <v/>
      </c>
      <c r="P7">
        <f>IF(P$2=Inputs!$B$21,Inputs!$E$6*Inputs!$B$11/Inputs!$E$8*(1-Inputs!$B$24),0)</f>
        <v/>
      </c>
      <c r="Q7">
        <f>IF(Q$2=Inputs!$B$21,Inputs!$E$6*Inputs!$B$11/Inputs!$E$8*(1-Inputs!$B$24),0)</f>
        <v/>
      </c>
      <c r="R7">
        <f>IF(R$2=Inputs!$B$21,Inputs!$E$6*Inputs!$B$11/Inputs!$E$8*(1-Inputs!$B$24),0)</f>
        <v/>
      </c>
      <c r="S7">
        <f>IF(S$2=Inputs!$B$21,Inputs!$E$6*Inputs!$B$11/Inputs!$E$8*(1-Inputs!$B$24),0)</f>
        <v/>
      </c>
      <c r="T7">
        <f>IF(T$2=Inputs!$B$21,Inputs!$E$6*Inputs!$B$11/Inputs!$E$8*(1-Inputs!$B$24),0)</f>
        <v/>
      </c>
      <c r="U7">
        <f>IF(U$2=Inputs!$B$21,Inputs!$E$6*Inputs!$B$11/Inputs!$E$8*(1-Inputs!$B$24),0)</f>
        <v/>
      </c>
      <c r="V7">
        <f>IF(V$2=Inputs!$B$21,Inputs!$E$6*Inputs!$B$11/Inputs!$E$8*(1-Inputs!$B$24),0)</f>
        <v/>
      </c>
      <c r="W7">
        <f>IF(W$2=Inputs!$B$21,Inputs!$E$6*Inputs!$B$11/Inputs!$E$8*(1-Inputs!$B$24),0)</f>
        <v/>
      </c>
      <c r="X7">
        <f>IF(X$2=Inputs!$B$21,Inputs!$E$6*Inputs!$B$11/Inputs!$E$8*(1-Inputs!$B$24),0)</f>
        <v/>
      </c>
      <c r="Y7">
        <f>IF(Y$2=Inputs!$B$21,Inputs!$E$6*Inputs!$B$11/Inputs!$E$8*(1-Inputs!$B$24),0)</f>
        <v/>
      </c>
      <c r="Z7">
        <f>IF(Z$2=Inputs!$B$21,Inputs!$E$6*Inputs!$B$11/Inputs!$E$8*(1-Inputs!$B$24),0)</f>
        <v/>
      </c>
      <c r="AA7">
        <f>IF(AA$2=Inputs!$B$21,Inputs!$E$6*Inputs!$B$11/Inputs!$E$8*(1-Inputs!$B$24),0)</f>
        <v/>
      </c>
      <c r="AB7">
        <f>IF(AB$2=Inputs!$B$21,Inputs!$E$6*Inputs!$B$11/Inputs!$E$8*(1-Inputs!$B$24),0)</f>
        <v/>
      </c>
      <c r="AC7">
        <f>IF(AC$2=Inputs!$B$21,Inputs!$E$6*Inputs!$B$11/Inputs!$E$8*(1-Inputs!$B$24),0)</f>
        <v/>
      </c>
      <c r="AD7">
        <f>IF(AD$2=Inputs!$B$21,Inputs!$E$6*Inputs!$B$11/Inputs!$E$8*(1-Inputs!$B$24),0)</f>
        <v/>
      </c>
      <c r="AE7">
        <f>IF(AE$2=Inputs!$B$21,Inputs!$E$6*Inputs!$B$11/Inputs!$E$8*(1-Inputs!$B$24),0)</f>
        <v/>
      </c>
      <c r="AF7">
        <f>IF(AF$2=Inputs!$B$21,Inputs!$E$6*Inputs!$B$11/Inputs!$E$8*(1-Inputs!$B$24),0)</f>
        <v/>
      </c>
      <c r="AG7">
        <f>IF(AG$2=Inputs!$B$21,Inputs!$E$6*Inputs!$B$11/Inputs!$E$8*(1-Inputs!$B$24),0)</f>
        <v/>
      </c>
      <c r="AH7">
        <f>IF(AH$2=Inputs!$B$21,Inputs!$E$6*Inputs!$B$11/Inputs!$E$8*(1-Inputs!$B$24),0)</f>
        <v/>
      </c>
      <c r="AI7">
        <f>IF(AI$2=Inputs!$B$21,Inputs!$E$6*Inputs!$B$11/Inputs!$E$8*(1-Inputs!$B$24),0)</f>
        <v/>
      </c>
      <c r="AJ7">
        <f>IF(AJ$2=Inputs!$B$21,Inputs!$E$6*Inputs!$B$11/Inputs!$E$8*(1-Inputs!$B$24),0)</f>
        <v/>
      </c>
      <c r="AK7">
        <f>IF(AK$2=Inputs!$B$21,Inputs!$E$6*Inputs!$B$11/Inputs!$E$8*(1-Inputs!$B$24),0)</f>
        <v/>
      </c>
      <c r="AL7">
        <f>IF(AL$2=Inputs!$B$21,Inputs!$E$6*Inputs!$B$11/Inputs!$E$8*(1-Inputs!$B$24),0)</f>
        <v/>
      </c>
      <c r="AM7">
        <f>IF(AM$2=Inputs!$B$21,Inputs!$E$6*Inputs!$B$11/Inputs!$E$8*(1-Inputs!$B$24),0)</f>
        <v/>
      </c>
      <c r="AN7">
        <f>IF(AN$2=Inputs!$B$21,Inputs!$E$6*Inputs!$B$11/Inputs!$E$8*(1-Inputs!$B$24),0)</f>
        <v/>
      </c>
      <c r="AO7">
        <f>IF(AO$2=Inputs!$B$21,Inputs!$E$6*Inputs!$B$11/Inputs!$E$8*(1-Inputs!$B$24),0)</f>
        <v/>
      </c>
      <c r="AP7">
        <f>IF(AP$2=Inputs!$B$21,Inputs!$E$6*Inputs!$B$11/Inputs!$E$8*(1-Inputs!$B$24),0)</f>
        <v/>
      </c>
      <c r="AQ7">
        <f>IF(AQ$2=Inputs!$B$21,Inputs!$E$6*Inputs!$B$11/Inputs!$E$8*(1-Inputs!$B$24),0)</f>
        <v/>
      </c>
      <c r="AR7">
        <f>IF(AR$2=Inputs!$B$21,Inputs!$E$6*Inputs!$B$11/Inputs!$E$8*(1-Inputs!$B$24),0)</f>
        <v/>
      </c>
      <c r="AS7">
        <f>IF(AS$2=Inputs!$B$21,Inputs!$E$6*Inputs!$B$11/Inputs!$E$8*(1-Inputs!$B$24),0)</f>
        <v/>
      </c>
      <c r="AT7">
        <f>IF(AT$2=Inputs!$B$21,Inputs!$E$6*Inputs!$B$11/Inputs!$E$8*(1-Inputs!$B$24),0)</f>
        <v/>
      </c>
      <c r="AU7">
        <f>IF(AU$2=Inputs!$B$21,Inputs!$E$6*Inputs!$B$11/Inputs!$E$8*(1-Inputs!$B$24),0)</f>
        <v/>
      </c>
      <c r="AV7">
        <f>IF(AV$2=Inputs!$B$21,Inputs!$E$6*Inputs!$B$11/Inputs!$E$8*(1-Inputs!$B$24),0)</f>
        <v/>
      </c>
      <c r="AW7">
        <f>IF(AW$2=Inputs!$B$21,Inputs!$E$6*Inputs!$B$11/Inputs!$E$8*(1-Inputs!$B$24),0)</f>
        <v/>
      </c>
      <c r="AX7">
        <f>IF(AX$2=Inputs!$B$21,Inputs!$E$6*Inputs!$B$11/Inputs!$E$8*(1-Inputs!$B$24),0)</f>
        <v/>
      </c>
      <c r="AY7">
        <f>IF(AY$2=Inputs!$B$21,Inputs!$E$6*Inputs!$B$11/Inputs!$E$8*(1-Inputs!$B$24),0)</f>
        <v/>
      </c>
      <c r="AZ7">
        <f>IF(AZ$2=Inputs!$B$21,Inputs!$E$6*Inputs!$B$11/Inputs!$E$8*(1-Inputs!$B$24),0)</f>
        <v/>
      </c>
      <c r="BA7">
        <f>IF(BA$2=Inputs!$B$21,Inputs!$E$6*Inputs!$B$11/Inputs!$E$8*(1-Inputs!$B$24),0)</f>
        <v/>
      </c>
      <c r="BB7">
        <f>IF(BB$2=Inputs!$B$21,Inputs!$E$6*Inputs!$B$11/Inputs!$E$8*(1-Inputs!$B$24),0)</f>
        <v/>
      </c>
      <c r="BC7">
        <f>IF(BC$2=Inputs!$B$21,Inputs!$E$6*Inputs!$B$11/Inputs!$E$8*(1-Inputs!$B$24),0)</f>
        <v/>
      </c>
      <c r="BD7">
        <f>IF(BD$2=Inputs!$B$21,Inputs!$E$6*Inputs!$B$11/Inputs!$E$8*(1-Inputs!$B$24),0)</f>
        <v/>
      </c>
      <c r="BE7">
        <f>IF(BE$2=Inputs!$B$21,Inputs!$E$6*Inputs!$B$11/Inputs!$E$8*(1-Inputs!$B$24),0)</f>
        <v/>
      </c>
      <c r="BF7">
        <f>IF(BF$2=Inputs!$B$21,Inputs!$E$6*Inputs!$B$11/Inputs!$E$8*(1-Inputs!$B$24),0)</f>
        <v/>
      </c>
      <c r="BG7">
        <f>IF(BG$2=Inputs!$B$21,Inputs!$E$6*Inputs!$B$11/Inputs!$E$8*(1-Inputs!$B$24),0)</f>
        <v/>
      </c>
      <c r="BH7">
        <f>IF(BH$2=Inputs!$B$21,Inputs!$E$6*Inputs!$B$11/Inputs!$E$8*(1-Inputs!$B$24),0)</f>
        <v/>
      </c>
      <c r="BI7">
        <f>IF(BI$2=Inputs!$B$21,Inputs!$E$6*Inputs!$B$11/Inputs!$E$8*(1-Inputs!$B$24),0)</f>
        <v/>
      </c>
      <c r="BJ7">
        <f>IF(BJ$2=Inputs!$B$21,Inputs!$E$6*Inputs!$B$11/Inputs!$E$8*(1-Inputs!$B$24),0)</f>
        <v/>
      </c>
    </row>
    <row r="8">
      <c r="A8" t="inlineStr">
        <is>
          <t>Unlevered cash flow</t>
        </is>
      </c>
      <c r="C8">
        <f>-C3-C4+C5+C6+C7</f>
        <v/>
      </c>
      <c r="D8">
        <f>-D3-D4+D5+D6+D7</f>
        <v/>
      </c>
      <c r="E8">
        <f>-E3-E4+E5+E6+E7</f>
        <v/>
      </c>
      <c r="F8">
        <f>-F3-F4+F5+F6+F7</f>
        <v/>
      </c>
      <c r="G8">
        <f>-G3-G4+G5+G6+G7</f>
        <v/>
      </c>
      <c r="H8">
        <f>-H3-H4+H5+H6+H7</f>
        <v/>
      </c>
      <c r="I8">
        <f>-I3-I4+I5+I6+I7</f>
        <v/>
      </c>
      <c r="J8">
        <f>-J3-J4+J5+J6+J7</f>
        <v/>
      </c>
      <c r="K8">
        <f>-K3-K4+K5+K6+K7</f>
        <v/>
      </c>
      <c r="L8">
        <f>-L3-L4+L5+L6+L7</f>
        <v/>
      </c>
      <c r="M8">
        <f>-M3-M4+M5+M6+M7</f>
        <v/>
      </c>
      <c r="N8">
        <f>-N3-N4+N5+N6+N7</f>
        <v/>
      </c>
      <c r="O8">
        <f>-O3-O4+O5+O6+O7</f>
        <v/>
      </c>
      <c r="P8">
        <f>-P3-P4+P5+P6+P7</f>
        <v/>
      </c>
      <c r="Q8">
        <f>-Q3-Q4+Q5+Q6+Q7</f>
        <v/>
      </c>
      <c r="R8">
        <f>-R3-R4+R5+R6+R7</f>
        <v/>
      </c>
      <c r="S8">
        <f>-S3-S4+S5+S6+S7</f>
        <v/>
      </c>
      <c r="T8">
        <f>-T3-T4+T5+T6+T7</f>
        <v/>
      </c>
      <c r="U8">
        <f>-U3-U4+U5+U6+U7</f>
        <v/>
      </c>
      <c r="V8">
        <f>-V3-V4+V5+V6+V7</f>
        <v/>
      </c>
      <c r="W8">
        <f>-W3-W4+W5+W6+W7</f>
        <v/>
      </c>
      <c r="X8">
        <f>-X3-X4+X5+X6+X7</f>
        <v/>
      </c>
      <c r="Y8">
        <f>-Y3-Y4+Y5+Y6+Y7</f>
        <v/>
      </c>
      <c r="Z8">
        <f>-Z3-Z4+Z5+Z6+Z7</f>
        <v/>
      </c>
      <c r="AA8">
        <f>-AA3-AA4+AA5+AA6+AA7</f>
        <v/>
      </c>
      <c r="AB8">
        <f>-AB3-AB4+AB5+AB6+AB7</f>
        <v/>
      </c>
      <c r="AC8">
        <f>-AC3-AC4+AC5+AC6+AC7</f>
        <v/>
      </c>
      <c r="AD8">
        <f>-AD3-AD4+AD5+AD6+AD7</f>
        <v/>
      </c>
      <c r="AE8">
        <f>-AE3-AE4+AE5+AE6+AE7</f>
        <v/>
      </c>
      <c r="AF8">
        <f>-AF3-AF4+AF5+AF6+AF7</f>
        <v/>
      </c>
      <c r="AG8">
        <f>-AG3-AG4+AG5+AG6+AG7</f>
        <v/>
      </c>
      <c r="AH8">
        <f>-AH3-AH4+AH5+AH6+AH7</f>
        <v/>
      </c>
      <c r="AI8">
        <f>-AI3-AI4+AI5+AI6+AI7</f>
        <v/>
      </c>
      <c r="AJ8">
        <f>-AJ3-AJ4+AJ5+AJ6+AJ7</f>
        <v/>
      </c>
      <c r="AK8">
        <f>-AK3-AK4+AK5+AK6+AK7</f>
        <v/>
      </c>
      <c r="AL8">
        <f>-AL3-AL4+AL5+AL6+AL7</f>
        <v/>
      </c>
      <c r="AM8">
        <f>-AM3-AM4+AM5+AM6+AM7</f>
        <v/>
      </c>
      <c r="AN8">
        <f>-AN3-AN4+AN5+AN6+AN7</f>
        <v/>
      </c>
      <c r="AO8">
        <f>-AO3-AO4+AO5+AO6+AO7</f>
        <v/>
      </c>
      <c r="AP8">
        <f>-AP3-AP4+AP5+AP6+AP7</f>
        <v/>
      </c>
      <c r="AQ8">
        <f>-AQ3-AQ4+AQ5+AQ6+AQ7</f>
        <v/>
      </c>
      <c r="AR8">
        <f>-AR3-AR4+AR5+AR6+AR7</f>
        <v/>
      </c>
      <c r="AS8">
        <f>-AS3-AS4+AS5+AS6+AS7</f>
        <v/>
      </c>
      <c r="AT8">
        <f>-AT3-AT4+AT5+AT6+AT7</f>
        <v/>
      </c>
      <c r="AU8">
        <f>-AU3-AU4+AU5+AU6+AU7</f>
        <v/>
      </c>
      <c r="AV8">
        <f>-AV3-AV4+AV5+AV6+AV7</f>
        <v/>
      </c>
      <c r="AW8">
        <f>-AW3-AW4+AW5+AW6+AW7</f>
        <v/>
      </c>
      <c r="AX8">
        <f>-AX3-AX4+AX5+AX6+AX7</f>
        <v/>
      </c>
      <c r="AY8">
        <f>-AY3-AY4+AY5+AY6+AY7</f>
        <v/>
      </c>
      <c r="AZ8">
        <f>-AZ3-AZ4+AZ5+AZ6+AZ7</f>
        <v/>
      </c>
      <c r="BA8">
        <f>-BA3-BA4+BA5+BA6+BA7</f>
        <v/>
      </c>
      <c r="BB8">
        <f>-BB3-BB4+BB5+BB6+BB7</f>
        <v/>
      </c>
      <c r="BC8">
        <f>-BC3-BC4+BC5+BC6+BC7</f>
        <v/>
      </c>
      <c r="BD8">
        <f>-BD3-BD4+BD5+BD6+BD7</f>
        <v/>
      </c>
      <c r="BE8">
        <f>-BE3-BE4+BE5+BE6+BE7</f>
        <v/>
      </c>
      <c r="BF8">
        <f>-BF3-BF4+BF5+BF6+BF7</f>
        <v/>
      </c>
      <c r="BG8">
        <f>-BG3-BG4+BG5+BG6+BG7</f>
        <v/>
      </c>
      <c r="BH8">
        <f>-BH3-BH4+BH5+BH6+BH7</f>
        <v/>
      </c>
      <c r="BI8">
        <f>-BI3-BI4+BI5+BI6+BI7</f>
        <v/>
      </c>
      <c r="BJ8">
        <f>-BJ3-BJ4+BJ5+BJ6+BJ7</f>
        <v/>
      </c>
    </row>
    <row r="9">
      <c r="A9" t="inlineStr">
        <is>
          <t>Loan draw</t>
        </is>
      </c>
      <c r="C9">
        <f>Inputs!$B$22*(C3+C4)</f>
        <v/>
      </c>
      <c r="D9">
        <f>Inputs!$B$22*(D3+D4)</f>
        <v/>
      </c>
      <c r="E9">
        <f>Inputs!$B$22*(E3+E4)</f>
        <v/>
      </c>
      <c r="F9">
        <f>Inputs!$B$22*(F3+F4)</f>
        <v/>
      </c>
      <c r="G9">
        <f>Inputs!$B$22*(G3+G4)</f>
        <v/>
      </c>
      <c r="H9">
        <f>Inputs!$B$22*(H3+H4)</f>
        <v/>
      </c>
      <c r="I9">
        <f>Inputs!$B$22*(I3+I4)</f>
        <v/>
      </c>
      <c r="J9">
        <f>Inputs!$B$22*(J3+J4)</f>
        <v/>
      </c>
      <c r="K9">
        <f>Inputs!$B$22*(K3+K4)</f>
        <v/>
      </c>
      <c r="L9">
        <f>Inputs!$B$22*(L3+L4)</f>
        <v/>
      </c>
      <c r="M9">
        <f>Inputs!$B$22*(M3+M4)</f>
        <v/>
      </c>
      <c r="N9">
        <f>Inputs!$B$22*(N3+N4)</f>
        <v/>
      </c>
      <c r="O9">
        <f>Inputs!$B$22*(O3+O4)</f>
        <v/>
      </c>
      <c r="P9">
        <f>Inputs!$B$22*(P3+P4)</f>
        <v/>
      </c>
      <c r="Q9">
        <f>Inputs!$B$22*(Q3+Q4)</f>
        <v/>
      </c>
      <c r="R9">
        <f>Inputs!$B$22*(R3+R4)</f>
        <v/>
      </c>
      <c r="S9">
        <f>Inputs!$B$22*(S3+S4)</f>
        <v/>
      </c>
      <c r="T9">
        <f>Inputs!$B$22*(T3+T4)</f>
        <v/>
      </c>
      <c r="U9">
        <f>Inputs!$B$22*(U3+U4)</f>
        <v/>
      </c>
      <c r="V9">
        <f>Inputs!$B$22*(V3+V4)</f>
        <v/>
      </c>
      <c r="W9">
        <f>Inputs!$B$22*(W3+W4)</f>
        <v/>
      </c>
      <c r="X9">
        <f>Inputs!$B$22*(X3+X4)</f>
        <v/>
      </c>
      <c r="Y9">
        <f>Inputs!$B$22*(Y3+Y4)</f>
        <v/>
      </c>
      <c r="Z9">
        <f>Inputs!$B$22*(Z3+Z4)</f>
        <v/>
      </c>
      <c r="AA9">
        <f>Inputs!$B$22*(AA3+AA4)</f>
        <v/>
      </c>
      <c r="AB9">
        <f>Inputs!$B$22*(AB3+AB4)</f>
        <v/>
      </c>
      <c r="AC9">
        <f>Inputs!$B$22*(AC3+AC4)</f>
        <v/>
      </c>
      <c r="AD9">
        <f>Inputs!$B$22*(AD3+AD4)</f>
        <v/>
      </c>
      <c r="AE9">
        <f>Inputs!$B$22*(AE3+AE4)</f>
        <v/>
      </c>
      <c r="AF9">
        <f>Inputs!$B$22*(AF3+AF4)</f>
        <v/>
      </c>
      <c r="AG9">
        <f>Inputs!$B$22*(AG3+AG4)</f>
        <v/>
      </c>
      <c r="AH9">
        <f>Inputs!$B$22*(AH3+AH4)</f>
        <v/>
      </c>
      <c r="AI9">
        <f>Inputs!$B$22*(AI3+AI4)</f>
        <v/>
      </c>
      <c r="AJ9">
        <f>Inputs!$B$22*(AJ3+AJ4)</f>
        <v/>
      </c>
      <c r="AK9">
        <f>Inputs!$B$22*(AK3+AK4)</f>
        <v/>
      </c>
      <c r="AL9">
        <f>Inputs!$B$22*(AL3+AL4)</f>
        <v/>
      </c>
      <c r="AM9">
        <f>Inputs!$B$22*(AM3+AM4)</f>
        <v/>
      </c>
      <c r="AN9">
        <f>Inputs!$B$22*(AN3+AN4)</f>
        <v/>
      </c>
      <c r="AO9">
        <f>Inputs!$B$22*(AO3+AO4)</f>
        <v/>
      </c>
      <c r="AP9">
        <f>Inputs!$B$22*(AP3+AP4)</f>
        <v/>
      </c>
      <c r="AQ9">
        <f>Inputs!$B$22*(AQ3+AQ4)</f>
        <v/>
      </c>
      <c r="AR9">
        <f>Inputs!$B$22*(AR3+AR4)</f>
        <v/>
      </c>
      <c r="AS9">
        <f>Inputs!$B$22*(AS3+AS4)</f>
        <v/>
      </c>
      <c r="AT9">
        <f>Inputs!$B$22*(AT3+AT4)</f>
        <v/>
      </c>
      <c r="AU9">
        <f>Inputs!$B$22*(AU3+AU4)</f>
        <v/>
      </c>
      <c r="AV9">
        <f>Inputs!$B$22*(AV3+AV4)</f>
        <v/>
      </c>
      <c r="AW9">
        <f>Inputs!$B$22*(AW3+AW4)</f>
        <v/>
      </c>
      <c r="AX9">
        <f>Inputs!$B$22*(AX3+AX4)</f>
        <v/>
      </c>
      <c r="AY9">
        <f>Inputs!$B$22*(AY3+AY4)</f>
        <v/>
      </c>
      <c r="AZ9">
        <f>Inputs!$B$22*(AZ3+AZ4)</f>
        <v/>
      </c>
      <c r="BA9">
        <f>Inputs!$B$22*(BA3+BA4)</f>
        <v/>
      </c>
      <c r="BB9">
        <f>Inputs!$B$22*(BB3+BB4)</f>
        <v/>
      </c>
      <c r="BC9">
        <f>Inputs!$B$22*(BC3+BC4)</f>
        <v/>
      </c>
      <c r="BD9">
        <f>Inputs!$B$22*(BD3+BD4)</f>
        <v/>
      </c>
      <c r="BE9">
        <f>Inputs!$B$22*(BE3+BE4)</f>
        <v/>
      </c>
      <c r="BF9">
        <f>Inputs!$B$22*(BF3+BF4)</f>
        <v/>
      </c>
      <c r="BG9">
        <f>Inputs!$B$22*(BG3+BG4)</f>
        <v/>
      </c>
      <c r="BH9">
        <f>Inputs!$B$22*(BH3+BH4)</f>
        <v/>
      </c>
      <c r="BI9">
        <f>Inputs!$B$22*(BI3+BI4)</f>
        <v/>
      </c>
      <c r="BJ9">
        <f>Inputs!$B$22*(BJ3+BJ4)</f>
        <v/>
      </c>
    </row>
    <row r="10">
      <c r="A10" t="inlineStr">
        <is>
          <t>Interest (capitalised)</t>
        </is>
      </c>
      <c r="C10">
        <f>Inputs!$B$23/12*0</f>
        <v/>
      </c>
      <c r="D10">
        <f>Inputs!$B$23/12*C12</f>
        <v/>
      </c>
      <c r="E10">
        <f>Inputs!$B$23/12*D12</f>
        <v/>
      </c>
      <c r="F10">
        <f>Inputs!$B$23/12*E12</f>
        <v/>
      </c>
      <c r="G10">
        <f>Inputs!$B$23/12*F12</f>
        <v/>
      </c>
      <c r="H10">
        <f>Inputs!$B$23/12*G12</f>
        <v/>
      </c>
      <c r="I10">
        <f>Inputs!$B$23/12*H12</f>
        <v/>
      </c>
      <c r="J10">
        <f>Inputs!$B$23/12*I12</f>
        <v/>
      </c>
      <c r="K10">
        <f>Inputs!$B$23/12*J12</f>
        <v/>
      </c>
      <c r="L10">
        <f>Inputs!$B$23/12*K12</f>
        <v/>
      </c>
      <c r="M10">
        <f>Inputs!$B$23/12*L12</f>
        <v/>
      </c>
      <c r="N10">
        <f>Inputs!$B$23/12*M12</f>
        <v/>
      </c>
      <c r="O10">
        <f>Inputs!$B$23/12*N12</f>
        <v/>
      </c>
      <c r="P10">
        <f>Inputs!$B$23/12*O12</f>
        <v/>
      </c>
      <c r="Q10">
        <f>Inputs!$B$23/12*P12</f>
        <v/>
      </c>
      <c r="R10">
        <f>Inputs!$B$23/12*Q12</f>
        <v/>
      </c>
      <c r="S10">
        <f>Inputs!$B$23/12*R12</f>
        <v/>
      </c>
      <c r="T10">
        <f>Inputs!$B$23/12*S12</f>
        <v/>
      </c>
      <c r="U10">
        <f>Inputs!$B$23/12*T12</f>
        <v/>
      </c>
      <c r="V10">
        <f>Inputs!$B$23/12*U12</f>
        <v/>
      </c>
      <c r="W10">
        <f>Inputs!$B$23/12*V12</f>
        <v/>
      </c>
      <c r="X10">
        <f>Inputs!$B$23/12*W12</f>
        <v/>
      </c>
      <c r="Y10">
        <f>Inputs!$B$23/12*X12</f>
        <v/>
      </c>
      <c r="Z10">
        <f>Inputs!$B$23/12*Y12</f>
        <v/>
      </c>
      <c r="AA10">
        <f>Inputs!$B$23/12*Z12</f>
        <v/>
      </c>
      <c r="AB10">
        <f>Inputs!$B$23/12*AA12</f>
        <v/>
      </c>
      <c r="AC10">
        <f>Inputs!$B$23/12*AB12</f>
        <v/>
      </c>
      <c r="AD10">
        <f>Inputs!$B$23/12*AC12</f>
        <v/>
      </c>
      <c r="AE10">
        <f>Inputs!$B$23/12*AD12</f>
        <v/>
      </c>
      <c r="AF10">
        <f>Inputs!$B$23/12*AE12</f>
        <v/>
      </c>
      <c r="AG10">
        <f>Inputs!$B$23/12*AF12</f>
        <v/>
      </c>
      <c r="AH10">
        <f>Inputs!$B$23/12*AG12</f>
        <v/>
      </c>
      <c r="AI10">
        <f>Inputs!$B$23/12*AH12</f>
        <v/>
      </c>
      <c r="AJ10">
        <f>Inputs!$B$23/12*AI12</f>
        <v/>
      </c>
      <c r="AK10">
        <f>Inputs!$B$23/12*AJ12</f>
        <v/>
      </c>
      <c r="AL10">
        <f>Inputs!$B$23/12*AK12</f>
        <v/>
      </c>
      <c r="AM10">
        <f>Inputs!$B$23/12*AL12</f>
        <v/>
      </c>
      <c r="AN10">
        <f>Inputs!$B$23/12*AM12</f>
        <v/>
      </c>
      <c r="AO10">
        <f>Inputs!$B$23/12*AN12</f>
        <v/>
      </c>
      <c r="AP10">
        <f>Inputs!$B$23/12*AO12</f>
        <v/>
      </c>
      <c r="AQ10">
        <f>Inputs!$B$23/12*AP12</f>
        <v/>
      </c>
      <c r="AR10">
        <f>Inputs!$B$23/12*AQ12</f>
        <v/>
      </c>
      <c r="AS10">
        <f>Inputs!$B$23/12*AR12</f>
        <v/>
      </c>
      <c r="AT10">
        <f>Inputs!$B$23/12*AS12</f>
        <v/>
      </c>
      <c r="AU10">
        <f>Inputs!$B$23/12*AT12</f>
        <v/>
      </c>
      <c r="AV10">
        <f>Inputs!$B$23/12*AU12</f>
        <v/>
      </c>
      <c r="AW10">
        <f>Inputs!$B$23/12*AV12</f>
        <v/>
      </c>
      <c r="AX10">
        <f>Inputs!$B$23/12*AW12</f>
        <v/>
      </c>
      <c r="AY10">
        <f>Inputs!$B$23/12*AX12</f>
        <v/>
      </c>
      <c r="AZ10">
        <f>Inputs!$B$23/12*AY12</f>
        <v/>
      </c>
      <c r="BA10">
        <f>Inputs!$B$23/12*AZ12</f>
        <v/>
      </c>
      <c r="BB10">
        <f>Inputs!$B$23/12*BA12</f>
        <v/>
      </c>
      <c r="BC10">
        <f>Inputs!$B$23/12*BB12</f>
        <v/>
      </c>
      <c r="BD10">
        <f>Inputs!$B$23/12*BC12</f>
        <v/>
      </c>
      <c r="BE10">
        <f>Inputs!$B$23/12*BD12</f>
        <v/>
      </c>
      <c r="BF10">
        <f>Inputs!$B$23/12*BE12</f>
        <v/>
      </c>
      <c r="BG10">
        <f>Inputs!$B$23/12*BF12</f>
        <v/>
      </c>
      <c r="BH10">
        <f>Inputs!$B$23/12*BG12</f>
        <v/>
      </c>
      <c r="BI10">
        <f>Inputs!$B$23/12*BH12</f>
        <v/>
      </c>
      <c r="BJ10" t="n">
        <v>0</v>
      </c>
    </row>
    <row r="11">
      <c r="A11" t="inlineStr">
        <is>
          <t>Loan repayment</t>
        </is>
      </c>
      <c r="C11">
        <f>IF(C$2=Inputs!$B$21,0+C9+C10,MIN(0+C9+C10,C5+C6))</f>
        <v/>
      </c>
      <c r="D11">
        <f>IF(D$2=Inputs!$B$21,C12+D9+D10,MIN(C12+D9+D10,D5+D6))</f>
        <v/>
      </c>
      <c r="E11">
        <f>IF(E$2=Inputs!$B$21,D12+E9+E10,MIN(D12+E9+E10,E5+E6))</f>
        <v/>
      </c>
      <c r="F11">
        <f>IF(F$2=Inputs!$B$21,E12+F9+F10,MIN(E12+F9+F10,F5+F6))</f>
        <v/>
      </c>
      <c r="G11">
        <f>IF(G$2=Inputs!$B$21,F12+G9+G10,MIN(F12+G9+G10,G5+G6))</f>
        <v/>
      </c>
      <c r="H11">
        <f>IF(H$2=Inputs!$B$21,G12+H9+H10,MIN(G12+H9+H10,H5+H6))</f>
        <v/>
      </c>
      <c r="I11">
        <f>IF(I$2=Inputs!$B$21,H12+I9+I10,MIN(H12+I9+I10,I5+I6))</f>
        <v/>
      </c>
      <c r="J11">
        <f>IF(J$2=Inputs!$B$21,I12+J9+J10,MIN(I12+J9+J10,J5+J6))</f>
        <v/>
      </c>
      <c r="K11">
        <f>IF(K$2=Inputs!$B$21,J12+K9+K10,MIN(J12+K9+K10,K5+K6))</f>
        <v/>
      </c>
      <c r="L11">
        <f>IF(L$2=Inputs!$B$21,K12+L9+L10,MIN(K12+L9+L10,L5+L6))</f>
        <v/>
      </c>
      <c r="M11">
        <f>IF(M$2=Inputs!$B$21,L12+M9+M10,MIN(L12+M9+M10,M5+M6))</f>
        <v/>
      </c>
      <c r="N11">
        <f>IF(N$2=Inputs!$B$21,M12+N9+N10,MIN(M12+N9+N10,N5+N6))</f>
        <v/>
      </c>
      <c r="O11">
        <f>IF(O$2=Inputs!$B$21,N12+O9+O10,MIN(N12+O9+O10,O5+O6))</f>
        <v/>
      </c>
      <c r="P11">
        <f>IF(P$2=Inputs!$B$21,O12+P9+P10,MIN(O12+P9+P10,P5+P6))</f>
        <v/>
      </c>
      <c r="Q11">
        <f>IF(Q$2=Inputs!$B$21,P12+Q9+Q10,MIN(P12+Q9+Q10,Q5+Q6))</f>
        <v/>
      </c>
      <c r="R11">
        <f>IF(R$2=Inputs!$B$21,Q12+R9+R10,MIN(Q12+R9+R10,R5+R6))</f>
        <v/>
      </c>
      <c r="S11">
        <f>IF(S$2=Inputs!$B$21,R12+S9+S10,MIN(R12+S9+S10,S5+S6))</f>
        <v/>
      </c>
      <c r="T11">
        <f>IF(T$2=Inputs!$B$21,S12+T9+T10,MIN(S12+T9+T10,T5+T6))</f>
        <v/>
      </c>
      <c r="U11">
        <f>IF(U$2=Inputs!$B$21,T12+U9+U10,MIN(T12+U9+U10,U5+U6))</f>
        <v/>
      </c>
      <c r="V11">
        <f>IF(V$2=Inputs!$B$21,U12+V9+V10,MIN(U12+V9+V10,V5+V6))</f>
        <v/>
      </c>
      <c r="W11">
        <f>IF(W$2=Inputs!$B$21,V12+W9+W10,MIN(V12+W9+W10,W5+W6))</f>
        <v/>
      </c>
      <c r="X11">
        <f>IF(X$2=Inputs!$B$21,W12+X9+X10,MIN(W12+X9+X10,X5+X6))</f>
        <v/>
      </c>
      <c r="Y11">
        <f>IF(Y$2=Inputs!$B$21,X12+Y9+Y10,MIN(X12+Y9+Y10,Y5+Y6))</f>
        <v/>
      </c>
      <c r="Z11">
        <f>IF(Z$2=Inputs!$B$21,Y12+Z9+Z10,MIN(Y12+Z9+Z10,Z5+Z6))</f>
        <v/>
      </c>
      <c r="AA11">
        <f>IF(AA$2=Inputs!$B$21,Z12+AA9+AA10,MIN(Z12+AA9+AA10,AA5+AA6))</f>
        <v/>
      </c>
      <c r="AB11">
        <f>IF(AB$2=Inputs!$B$21,AA12+AB9+AB10,MIN(AA12+AB9+AB10,AB5+AB6))</f>
        <v/>
      </c>
      <c r="AC11">
        <f>IF(AC$2=Inputs!$B$21,AB12+AC9+AC10,MIN(AB12+AC9+AC10,AC5+AC6))</f>
        <v/>
      </c>
      <c r="AD11">
        <f>IF(AD$2=Inputs!$B$21,AC12+AD9+AD10,MIN(AC12+AD9+AD10,AD5+AD6))</f>
        <v/>
      </c>
      <c r="AE11">
        <f>IF(AE$2=Inputs!$B$21,AD12+AE9+AE10,MIN(AD12+AE9+AE10,AE5+AE6))</f>
        <v/>
      </c>
      <c r="AF11">
        <f>IF(AF$2=Inputs!$B$21,AE12+AF9+AF10,MIN(AE12+AF9+AF10,AF5+AF6))</f>
        <v/>
      </c>
      <c r="AG11">
        <f>IF(AG$2=Inputs!$B$21,AF12+AG9+AG10,MIN(AF12+AG9+AG10,AG5+AG6))</f>
        <v/>
      </c>
      <c r="AH11">
        <f>IF(AH$2=Inputs!$B$21,AG12+AH9+AH10,MIN(AG12+AH9+AH10,AH5+AH6))</f>
        <v/>
      </c>
      <c r="AI11">
        <f>IF(AI$2=Inputs!$B$21,AH12+AI9+AI10,MIN(AH12+AI9+AI10,AI5+AI6))</f>
        <v/>
      </c>
      <c r="AJ11">
        <f>IF(AJ$2=Inputs!$B$21,AI12+AJ9+AJ10,MIN(AI12+AJ9+AJ10,AJ5+AJ6))</f>
        <v/>
      </c>
      <c r="AK11">
        <f>IF(AK$2=Inputs!$B$21,AJ12+AK9+AK10,MIN(AJ12+AK9+AK10,AK5+AK6))</f>
        <v/>
      </c>
      <c r="AL11">
        <f>IF(AL$2=Inputs!$B$21,AK12+AL9+AL10,MIN(AK12+AL9+AL10,AL5+AL6))</f>
        <v/>
      </c>
      <c r="AM11">
        <f>IF(AM$2=Inputs!$B$21,AL12+AM9+AM10,MIN(AL12+AM9+AM10,AM5+AM6))</f>
        <v/>
      </c>
      <c r="AN11">
        <f>IF(AN$2=Inputs!$B$21,AM12+AN9+AN10,MIN(AM12+AN9+AN10,AN5+AN6))</f>
        <v/>
      </c>
      <c r="AO11">
        <f>IF(AO$2=Inputs!$B$21,AN12+AO9+AO10,MIN(AN12+AO9+AO10,AO5+AO6))</f>
        <v/>
      </c>
      <c r="AP11">
        <f>IF(AP$2=Inputs!$B$21,AO12+AP9+AP10,MIN(AO12+AP9+AP10,AP5+AP6))</f>
        <v/>
      </c>
      <c r="AQ11">
        <f>IF(AQ$2=Inputs!$B$21,AP12+AQ9+AQ10,MIN(AP12+AQ9+AQ10,AQ5+AQ6))</f>
        <v/>
      </c>
      <c r="AR11">
        <f>IF(AR$2=Inputs!$B$21,AQ12+AR9+AR10,MIN(AQ12+AR9+AR10,AR5+AR6))</f>
        <v/>
      </c>
      <c r="AS11">
        <f>IF(AS$2=Inputs!$B$21,AR12+AS9+AS10,MIN(AR12+AS9+AS10,AS5+AS6))</f>
        <v/>
      </c>
      <c r="AT11">
        <f>IF(AT$2=Inputs!$B$21,AS12+AT9+AT10,MIN(AS12+AT9+AT10,AT5+AT6))</f>
        <v/>
      </c>
      <c r="AU11">
        <f>IF(AU$2=Inputs!$B$21,AT12+AU9+AU10,MIN(AT12+AU9+AU10,AU5+AU6))</f>
        <v/>
      </c>
      <c r="AV11">
        <f>IF(AV$2=Inputs!$B$21,AU12+AV9+AV10,MIN(AU12+AV9+AV10,AV5+AV6))</f>
        <v/>
      </c>
      <c r="AW11">
        <f>IF(AW$2=Inputs!$B$21,AV12+AW9+AW10,MIN(AV12+AW9+AW10,AW5+AW6))</f>
        <v/>
      </c>
      <c r="AX11">
        <f>IF(AX$2=Inputs!$B$21,AW12+AX9+AX10,MIN(AW12+AX9+AX10,AX5+AX6))</f>
        <v/>
      </c>
      <c r="AY11">
        <f>IF(AY$2=Inputs!$B$21,AX12+AY9+AY10,MIN(AX12+AY9+AY10,AY5+AY6))</f>
        <v/>
      </c>
      <c r="AZ11">
        <f>IF(AZ$2=Inputs!$B$21,AY12+AZ9+AZ10,MIN(AY12+AZ9+AZ10,AZ5+AZ6))</f>
        <v/>
      </c>
      <c r="BA11">
        <f>IF(BA$2=Inputs!$B$21,AZ12+BA9+BA10,MIN(AZ12+BA9+BA10,BA5+BA6))</f>
        <v/>
      </c>
      <c r="BB11">
        <f>IF(BB$2=Inputs!$B$21,BA12+BB9+BB10,MIN(BA12+BB9+BB10,BB5+BB6))</f>
        <v/>
      </c>
      <c r="BC11">
        <f>IF(BC$2=Inputs!$B$21,BB12+BC9+BC10,MIN(BB12+BC9+BC10,BC5+BC6))</f>
        <v/>
      </c>
      <c r="BD11">
        <f>IF(BD$2=Inputs!$B$21,BC12+BD9+BD10,MIN(BC12+BD9+BD10,BD5+BD6))</f>
        <v/>
      </c>
      <c r="BE11">
        <f>IF(BE$2=Inputs!$B$21,BD12+BE9+BE10,MIN(BD12+BE9+BE10,BE5+BE6))</f>
        <v/>
      </c>
      <c r="BF11">
        <f>IF(BF$2=Inputs!$B$21,BE12+BF9+BF10,MIN(BE12+BF9+BF10,BF5+BF6))</f>
        <v/>
      </c>
      <c r="BG11">
        <f>IF(BG$2=Inputs!$B$21,BF12+BG9+BG10,MIN(BF12+BG9+BG10,BG5+BG6))</f>
        <v/>
      </c>
      <c r="BH11">
        <f>IF(BH$2=Inputs!$B$21,BG12+BH9+BH10,MIN(BG12+BH9+BH10,BH5+BH6))</f>
        <v/>
      </c>
      <c r="BI11">
        <f>IF(BI$2=Inputs!$B$21,BH12+BI9+BI10,MIN(BH12+BI9+BI10,BI5+BI6))</f>
        <v/>
      </c>
      <c r="BJ11">
        <f>IF(BJ$2=Inputs!$B$21,BI12+BJ9+BJ10,MIN(BI12+BJ9+BJ10,BJ5+BJ6))</f>
        <v/>
      </c>
    </row>
    <row r="12">
      <c r="A12" t="inlineStr">
        <is>
          <t>Loan balance</t>
        </is>
      </c>
      <c r="C12">
        <f>0+C9+C10-C11</f>
        <v/>
      </c>
      <c r="D12">
        <f>C12+D9+D10-D11</f>
        <v/>
      </c>
      <c r="E12">
        <f>D12+E9+E10-E11</f>
        <v/>
      </c>
      <c r="F12">
        <f>E12+F9+F10-F11</f>
        <v/>
      </c>
      <c r="G12">
        <f>F12+G9+G10-G11</f>
        <v/>
      </c>
      <c r="H12">
        <f>G12+H9+H10-H11</f>
        <v/>
      </c>
      <c r="I12">
        <f>H12+I9+I10-I11</f>
        <v/>
      </c>
      <c r="J12">
        <f>I12+J9+J10-J11</f>
        <v/>
      </c>
      <c r="K12">
        <f>J12+K9+K10-K11</f>
        <v/>
      </c>
      <c r="L12">
        <f>K12+L9+L10-L11</f>
        <v/>
      </c>
      <c r="M12">
        <f>L12+M9+M10-M11</f>
        <v/>
      </c>
      <c r="N12">
        <f>M12+N9+N10-N11</f>
        <v/>
      </c>
      <c r="O12">
        <f>N12+O9+O10-O11</f>
        <v/>
      </c>
      <c r="P12">
        <f>O12+P9+P10-P11</f>
        <v/>
      </c>
      <c r="Q12">
        <f>P12+Q9+Q10-Q11</f>
        <v/>
      </c>
      <c r="R12">
        <f>Q12+R9+R10-R11</f>
        <v/>
      </c>
      <c r="S12">
        <f>R12+S9+S10-S11</f>
        <v/>
      </c>
      <c r="T12">
        <f>S12+T9+T10-T11</f>
        <v/>
      </c>
      <c r="U12">
        <f>T12+U9+U10-U11</f>
        <v/>
      </c>
      <c r="V12">
        <f>U12+V9+V10-V11</f>
        <v/>
      </c>
      <c r="W12">
        <f>V12+W9+W10-W11</f>
        <v/>
      </c>
      <c r="X12">
        <f>W12+X9+X10-X11</f>
        <v/>
      </c>
      <c r="Y12">
        <f>X12+Y9+Y10-Y11</f>
        <v/>
      </c>
      <c r="Z12">
        <f>Y12+Z9+Z10-Z11</f>
        <v/>
      </c>
      <c r="AA12">
        <f>Z12+AA9+AA10-AA11</f>
        <v/>
      </c>
      <c r="AB12">
        <f>AA12+AB9+AB10-AB11</f>
        <v/>
      </c>
      <c r="AC12">
        <f>AB12+AC9+AC10-AC11</f>
        <v/>
      </c>
      <c r="AD12">
        <f>AC12+AD9+AD10-AD11</f>
        <v/>
      </c>
      <c r="AE12">
        <f>AD12+AE9+AE10-AE11</f>
        <v/>
      </c>
      <c r="AF12">
        <f>AE12+AF9+AF10-AF11</f>
        <v/>
      </c>
      <c r="AG12">
        <f>AF12+AG9+AG10-AG11</f>
        <v/>
      </c>
      <c r="AH12">
        <f>AG12+AH9+AH10-AH11</f>
        <v/>
      </c>
      <c r="AI12">
        <f>AH12+AI9+AI10-AI11</f>
        <v/>
      </c>
      <c r="AJ12">
        <f>AI12+AJ9+AJ10-AJ11</f>
        <v/>
      </c>
      <c r="AK12">
        <f>AJ12+AK9+AK10-AK11</f>
        <v/>
      </c>
      <c r="AL12">
        <f>AK12+AL9+AL10-AL11</f>
        <v/>
      </c>
      <c r="AM12">
        <f>AL12+AM9+AM10-AM11</f>
        <v/>
      </c>
      <c r="AN12">
        <f>AM12+AN9+AN10-AN11</f>
        <v/>
      </c>
      <c r="AO12">
        <f>AN12+AO9+AO10-AO11</f>
        <v/>
      </c>
      <c r="AP12">
        <f>AO12+AP9+AP10-AP11</f>
        <v/>
      </c>
      <c r="AQ12">
        <f>AP12+AQ9+AQ10-AQ11</f>
        <v/>
      </c>
      <c r="AR12">
        <f>AQ12+AR9+AR10-AR11</f>
        <v/>
      </c>
      <c r="AS12">
        <f>AR12+AS9+AS10-AS11</f>
        <v/>
      </c>
      <c r="AT12">
        <f>AS12+AT9+AT10-AT11</f>
        <v/>
      </c>
      <c r="AU12">
        <f>AT12+AU9+AU10-AU11</f>
        <v/>
      </c>
      <c r="AV12">
        <f>AU12+AV9+AV10-AV11</f>
        <v/>
      </c>
      <c r="AW12">
        <f>AV12+AW9+AW10-AW11</f>
        <v/>
      </c>
      <c r="AX12">
        <f>AW12+AX9+AX10-AX11</f>
        <v/>
      </c>
      <c r="AY12">
        <f>AX12+AY9+AY10-AY11</f>
        <v/>
      </c>
      <c r="AZ12">
        <f>AY12+AZ9+AZ10-AZ11</f>
        <v/>
      </c>
      <c r="BA12">
        <f>AZ12+BA9+BA10-BA11</f>
        <v/>
      </c>
      <c r="BB12">
        <f>BA12+BB9+BB10-BB11</f>
        <v/>
      </c>
      <c r="BC12">
        <f>BB12+BC9+BC10-BC11</f>
        <v/>
      </c>
      <c r="BD12">
        <f>BC12+BD9+BD10-BD11</f>
        <v/>
      </c>
      <c r="BE12">
        <f>BD12+BE9+BE10-BE11</f>
        <v/>
      </c>
      <c r="BF12">
        <f>BE12+BF9+BF10-BF11</f>
        <v/>
      </c>
      <c r="BG12">
        <f>BF12+BG9+BG10-BG11</f>
        <v/>
      </c>
      <c r="BH12">
        <f>BG12+BH9+BH10-BH11</f>
        <v/>
      </c>
      <c r="BI12">
        <f>BH12+BI9+BI10-BI11</f>
        <v/>
      </c>
      <c r="BJ12">
        <f>BI12+BJ9+BJ10-BJ11</f>
        <v/>
      </c>
    </row>
    <row r="13">
      <c r="A13" t="inlineStr">
        <is>
          <t>Equity cash flow</t>
        </is>
      </c>
      <c r="C13">
        <f>C8+C9-C11</f>
        <v/>
      </c>
      <c r="D13">
        <f>D8+D9-D11</f>
        <v/>
      </c>
      <c r="E13">
        <f>E8+E9-E11</f>
        <v/>
      </c>
      <c r="F13">
        <f>F8+F9-F11</f>
        <v/>
      </c>
      <c r="G13">
        <f>G8+G9-G11</f>
        <v/>
      </c>
      <c r="H13">
        <f>H8+H9-H11</f>
        <v/>
      </c>
      <c r="I13">
        <f>I8+I9-I11</f>
        <v/>
      </c>
      <c r="J13">
        <f>J8+J9-J11</f>
        <v/>
      </c>
      <c r="K13">
        <f>K8+K9-K11</f>
        <v/>
      </c>
      <c r="L13">
        <f>L8+L9-L11</f>
        <v/>
      </c>
      <c r="M13">
        <f>M8+M9-M11</f>
        <v/>
      </c>
      <c r="N13">
        <f>N8+N9-N11</f>
        <v/>
      </c>
      <c r="O13">
        <f>O8+O9-O11</f>
        <v/>
      </c>
      <c r="P13">
        <f>P8+P9-P11</f>
        <v/>
      </c>
      <c r="Q13">
        <f>Q8+Q9-Q11</f>
        <v/>
      </c>
      <c r="R13">
        <f>R8+R9-R11</f>
        <v/>
      </c>
      <c r="S13">
        <f>S8+S9-S11</f>
        <v/>
      </c>
      <c r="T13">
        <f>T8+T9-T11</f>
        <v/>
      </c>
      <c r="U13">
        <f>U8+U9-U11</f>
        <v/>
      </c>
      <c r="V13">
        <f>V8+V9-V11</f>
        <v/>
      </c>
      <c r="W13">
        <f>W8+W9-W11</f>
        <v/>
      </c>
      <c r="X13">
        <f>X8+X9-X11</f>
        <v/>
      </c>
      <c r="Y13">
        <f>Y8+Y9-Y11</f>
        <v/>
      </c>
      <c r="Z13">
        <f>Z8+Z9-Z11</f>
        <v/>
      </c>
      <c r="AA13">
        <f>AA8+AA9-AA11</f>
        <v/>
      </c>
      <c r="AB13">
        <f>AB8+AB9-AB11</f>
        <v/>
      </c>
      <c r="AC13">
        <f>AC8+AC9-AC11</f>
        <v/>
      </c>
      <c r="AD13">
        <f>AD8+AD9-AD11</f>
        <v/>
      </c>
      <c r="AE13">
        <f>AE8+AE9-AE11</f>
        <v/>
      </c>
      <c r="AF13">
        <f>AF8+AF9-AF11</f>
        <v/>
      </c>
      <c r="AG13">
        <f>AG8+AG9-AG11</f>
        <v/>
      </c>
      <c r="AH13">
        <f>AH8+AH9-AH11</f>
        <v/>
      </c>
      <c r="AI13">
        <f>AI8+AI9-AI11</f>
        <v/>
      </c>
      <c r="AJ13">
        <f>AJ8+AJ9-AJ11</f>
        <v/>
      </c>
      <c r="AK13">
        <f>AK8+AK9-AK11</f>
        <v/>
      </c>
      <c r="AL13">
        <f>AL8+AL9-AL11</f>
        <v/>
      </c>
      <c r="AM13">
        <f>AM8+AM9-AM11</f>
        <v/>
      </c>
      <c r="AN13">
        <f>AN8+AN9-AN11</f>
        <v/>
      </c>
      <c r="AO13">
        <f>AO8+AO9-AO11</f>
        <v/>
      </c>
      <c r="AP13">
        <f>AP8+AP9-AP11</f>
        <v/>
      </c>
      <c r="AQ13">
        <f>AQ8+AQ9-AQ11</f>
        <v/>
      </c>
      <c r="AR13">
        <f>AR8+AR9-AR11</f>
        <v/>
      </c>
      <c r="AS13">
        <f>AS8+AS9-AS11</f>
        <v/>
      </c>
      <c r="AT13">
        <f>AT8+AT9-AT11</f>
        <v/>
      </c>
      <c r="AU13">
        <f>AU8+AU9-AU11</f>
        <v/>
      </c>
      <c r="AV13">
        <f>AV8+AV9-AV11</f>
        <v/>
      </c>
      <c r="AW13">
        <f>AW8+AW9-AW11</f>
        <v/>
      </c>
      <c r="AX13">
        <f>AX8+AX9-AX11</f>
        <v/>
      </c>
      <c r="AY13">
        <f>AY8+AY9-AY11</f>
        <v/>
      </c>
      <c r="AZ13">
        <f>AZ8+AZ9-AZ11</f>
        <v/>
      </c>
      <c r="BA13">
        <f>BA8+BA9-BA11</f>
        <v/>
      </c>
      <c r="BB13">
        <f>BB8+BB9-BB11</f>
        <v/>
      </c>
      <c r="BC13">
        <f>BC8+BC9-BC11</f>
        <v/>
      </c>
      <c r="BD13">
        <f>BD8+BD9-BD11</f>
        <v/>
      </c>
      <c r="BE13">
        <f>BE8+BE9-BE11</f>
        <v/>
      </c>
      <c r="BF13">
        <f>BF8+BF9-BF11</f>
        <v/>
      </c>
      <c r="BG13">
        <f>BG8+BG9-BG11</f>
        <v/>
      </c>
      <c r="BH13">
        <f>BH8+BH9-BH11</f>
        <v/>
      </c>
      <c r="BI13">
        <f>BI8+BI9-BI11</f>
        <v/>
      </c>
      <c r="BJ13">
        <f>BJ8+BJ9-BJ11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roll-up (SAR '000)</t>
        </is>
      </c>
    </row>
    <row r="2">
      <c r="A2" t="inlineStr">
        <is>
          <t>Year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</row>
    <row r="3">
      <c r="A3" t="inlineStr">
        <is>
          <t>Unlevered cash flow</t>
        </is>
      </c>
      <c r="C3">
        <f>SUMIF(Drivers!$C$7:$BJ$7,C$2,Monthly!$C$8:$BJ$8)</f>
        <v/>
      </c>
      <c r="D3">
        <f>SUMIF(Drivers!$C$7:$BJ$7,D$2,Monthly!$C$8:$BJ$8)</f>
        <v/>
      </c>
      <c r="E3">
        <f>SUMIF(Drivers!$C$7:$BJ$7,E$2,Monthly!$C$8:$BJ$8)</f>
        <v/>
      </c>
      <c r="F3">
        <f>SUMIF(Drivers!$C$7:$BJ$7,F$2,Monthly!$C$8:$BJ$8)</f>
        <v/>
      </c>
      <c r="G3">
        <f>SUMIF(Drivers!$C$7:$BJ$7,G$2,Monthly!$C$8:$BJ$8)</f>
        <v/>
      </c>
    </row>
    <row r="4">
      <c r="A4" t="inlineStr">
        <is>
          <t>Equity cash flow</t>
        </is>
      </c>
      <c r="C4">
        <f>SUMIF(Drivers!$C$7:$BJ$7,C$2,Monthly!$C$13:$BJ$13)</f>
        <v/>
      </c>
      <c r="D4">
        <f>SUMIF(Drivers!$C$7:$BJ$7,D$2,Monthly!$C$13:$BJ$13)</f>
        <v/>
      </c>
      <c r="E4">
        <f>SUMIF(Drivers!$C$7:$BJ$7,E$2,Monthly!$C$13:$BJ$13)</f>
        <v/>
      </c>
      <c r="F4">
        <f>SUMIF(Drivers!$C$7:$BJ$7,F$2,Monthly!$C$13:$BJ$13)</f>
        <v/>
      </c>
      <c r="G4">
        <f>SUMIF(Drivers!$C$7:$BJ$7,G$2,Monthly!$C$13:$BJ$13)</f>
        <v/>
      </c>
    </row>
    <row r="5">
      <c r="A5" t="inlineStr">
        <is>
          <t>Residential sales</t>
        </is>
      </c>
      <c r="C5">
        <f>SUMIF(Drivers!$C$7:$BJ$7,C$2,Monthly!$C$5:$BJ$5)</f>
        <v/>
      </c>
      <c r="D5">
        <f>SUMIF(Drivers!$C$7:$BJ$7,D$2,Monthly!$C$5:$BJ$5)</f>
        <v/>
      </c>
      <c r="E5">
        <f>SUMIF(Drivers!$C$7:$BJ$7,E$2,Monthly!$C$5:$BJ$5)</f>
        <v/>
      </c>
      <c r="F5">
        <f>SUMIF(Drivers!$C$7:$BJ$7,F$2,Monthly!$C$5:$BJ$5)</f>
        <v/>
      </c>
      <c r="G5">
        <f>SUMIF(Drivers!$C$7:$BJ$7,G$2,Monthly!$C$5:$BJ$5)</f>
        <v/>
      </c>
    </row>
    <row r="6">
      <c r="A6" t="inlineStr">
        <is>
          <t>Interest (capitalised)</t>
        </is>
      </c>
      <c r="C6">
        <f>SUMIF(Drivers!$C$7:$BJ$7,C$2,Monthly!$C$10:$BJ$10)</f>
        <v/>
      </c>
      <c r="D6">
        <f>SUMIF(Drivers!$C$7:$BJ$7,D$2,Monthly!$C$10:$BJ$10)</f>
        <v/>
      </c>
      <c r="E6">
        <f>SUMIF(Drivers!$C$7:$BJ$7,E$2,Monthly!$C$10:$BJ$10)</f>
        <v/>
      </c>
      <c r="F6">
        <f>SUMIF(Drivers!$C$7:$BJ$7,F$2,Monthly!$C$10:$BJ$10)</f>
        <v/>
      </c>
      <c r="G6">
        <f>SUMIF(Drivers!$C$7:$BJ$7,G$2,Monthly!$C$10:$BJ$10)</f>
        <v/>
      </c>
    </row>
    <row r="7">
      <c r="A7" t="inlineStr">
        <is>
          <t>Loan balance (year end)</t>
        </is>
      </c>
      <c r="C7">
        <f>INDEX(Monthly!$C$12:$BJ$12,1,C$2*12)</f>
        <v/>
      </c>
      <c r="D7">
        <f>INDEX(Monthly!$C$12:$BJ$12,1,D$2*12)</f>
        <v/>
      </c>
      <c r="E7">
        <f>INDEX(Monthly!$C$12:$BJ$12,1,E$2*12)</f>
        <v/>
      </c>
      <c r="F7">
        <f>INDEX(Monthly!$C$12:$BJ$12,1,F$2*12)</f>
        <v/>
      </c>
      <c r="G7">
        <f>INDEX(Monthly!$C$12:$BJ$12,1,G$2*12)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Returns (SAR '000)</t>
        </is>
      </c>
    </row>
    <row r="2">
      <c r="A2" t="inlineStr">
        <is>
          <t>Levered IRR</t>
        </is>
      </c>
      <c r="B2" s="1">
        <f>(1+IRR(EQCF,0.02))^12-1</f>
        <v/>
      </c>
    </row>
    <row r="3">
      <c r="A3" t="inlineStr">
        <is>
          <t>Unlevered IRR</t>
        </is>
      </c>
      <c r="B3" s="1">
        <f>(1+IRR(UCF))^12-1</f>
        <v/>
      </c>
    </row>
    <row r="4">
      <c r="A4" t="inlineStr">
        <is>
          <t>Net profit</t>
        </is>
      </c>
      <c r="B4" s="2">
        <f>SUM(Monthly!C13:BJ13)</f>
        <v/>
      </c>
    </row>
    <row r="5">
      <c r="A5" t="inlineStr">
        <is>
          <t>Total development cost</t>
        </is>
      </c>
      <c r="B5" s="2">
        <f>SUM(Monthly!C3:BJ3)+SUM(Monthly!C4:BJ4)+SUM(Monthly!C10:BJ10)</f>
        <v/>
      </c>
    </row>
    <row r="6">
      <c r="A6" t="inlineStr">
        <is>
          <t>Profit on cost</t>
        </is>
      </c>
      <c r="B6" s="1">
        <f>B4/B5</f>
        <v/>
      </c>
    </row>
    <row r="7">
      <c r="A7" t="inlineStr">
        <is>
          <t>Peak debt</t>
        </is>
      </c>
      <c r="B7" s="2">
        <f>MAX(Monthly!C12:BJ12)</f>
        <v/>
      </c>
    </row>
    <row r="8">
      <c r="A8" t="inlineStr">
        <is>
          <t>Case run</t>
        </is>
      </c>
      <c r="B8">
        <f>Inputs!B2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2026-10-24T10:55:51Z</dcterms:created>
  <dcterms:modified xsi:type="dcterms:W3CDTF">2026-10-24T10:55:51Z</dcterms:modified>
</cp:coreProperties>
</file>