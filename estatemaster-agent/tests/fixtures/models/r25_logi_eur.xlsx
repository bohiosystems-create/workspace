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CPI" sheetId="3" state="visible" r:id="rId5"/>
    <sheet name="Warehouses" sheetId="4" state="visible" r:id="rId6"/>
    <sheet name="Cash Flow" sheetId="5" state="visible" r:id="rId7"/>
    <sheet name="Retur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<sst xmlns="http://schemas.openxmlformats.org/spreadsheetml/2006/main" count="73" uniqueCount="57">
  <si>
    <t xml:space="preserve">NORDHAFEN LOGISTICS PORTFOLIO – QUARTERLY (EUR)</t>
  </si>
  <si>
    <t xml:space="preserve">Scenario</t>
  </si>
  <si>
    <t xml:space="preserve">Base</t>
  </si>
  <si>
    <t xml:space="preserve">Allowed: Base, Downside</t>
  </si>
  <si>
    <t xml:space="preserve">Model start</t>
  </si>
  <si>
    <t xml:space="preserve">Portfolio price (EUR)</t>
  </si>
  <si>
    <t xml:space="preserve">Exit yield</t>
  </si>
  <si>
    <t xml:space="preserve">Non-recoverable costs share</t>
  </si>
  <si>
    <t xml:space="preserve">Re-letting void (quarters)</t>
  </si>
  <si>
    <t xml:space="preserve">ERV uplift on re-letting</t>
  </si>
  <si>
    <t xml:space="preserve">CPI shift</t>
  </si>
  <si>
    <t xml:space="preserve">Void shift (quarters)</t>
  </si>
  <si>
    <t xml:space="preserve">Exit yield shift</t>
  </si>
  <si>
    <t xml:space="preserve">Downside</t>
  </si>
  <si>
    <t xml:space="preserve">Country</t>
  </si>
  <si>
    <t xml:space="preserve">DE</t>
  </si>
  <si>
    <t xml:space="preserve">NL</t>
  </si>
  <si>
    <t xml:space="preserve">PL</t>
  </si>
  <si>
    <t xml:space="preserve">CZ</t>
  </si>
  <si>
    <t xml:space="preserve">Asset</t>
  </si>
  <si>
    <t xml:space="preserve">Region</t>
  </si>
  <si>
    <t xml:space="preserve">Area (sqm)</t>
  </si>
  <si>
    <t xml:space="preserve">Rent (EUR/sqm/yr)</t>
  </si>
  <si>
    <t xml:space="preserve">Lease expiry</t>
  </si>
  <si>
    <t xml:space="preserve">Rent-free quarters</t>
  </si>
  <si>
    <t xml:space="preserve">Hamburg Süd</t>
  </si>
  <si>
    <t xml:space="preserve">North</t>
  </si>
  <si>
    <t xml:space="preserve">Bremen GVZ</t>
  </si>
  <si>
    <t xml:space="preserve">Duisburg Logport</t>
  </si>
  <si>
    <t xml:space="preserve">West</t>
  </si>
  <si>
    <t xml:space="preserve">Venlo</t>
  </si>
  <si>
    <t xml:space="preserve">Tilburg</t>
  </si>
  <si>
    <t xml:space="preserve">Poznań</t>
  </si>
  <si>
    <t xml:space="preserve">East</t>
  </si>
  <si>
    <t xml:space="preserve">Wrocław</t>
  </si>
  <si>
    <t xml:space="preserve">Brno</t>
  </si>
  <si>
    <t xml:space="preserve">Quarter</t>
  </si>
  <si>
    <t xml:space="preserve">Date</t>
  </si>
  <si>
    <t xml:space="preserve">Year</t>
  </si>
  <si>
    <t xml:space="preserve">Rent 1</t>
  </si>
  <si>
    <t xml:space="preserve">Rent 2</t>
  </si>
  <si>
    <t xml:space="preserve">Rent 3</t>
  </si>
  <si>
    <t xml:space="preserve">Rent 4</t>
  </si>
  <si>
    <t xml:space="preserve">Rent 5</t>
  </si>
  <si>
    <t xml:space="preserve">Rent 6</t>
  </si>
  <si>
    <t xml:space="preserve">Rent 7</t>
  </si>
  <si>
    <t xml:space="preserve">Rent 8</t>
  </si>
  <si>
    <t xml:space="preserve">Gross rent</t>
  </si>
  <si>
    <t xml:space="preserve">Costs</t>
  </si>
  <si>
    <t xml:space="preserve">NOI</t>
  </si>
  <si>
    <t xml:space="preserve">Cash flow</t>
  </si>
  <si>
    <t xml:space="preserve">Unlevered IRR</t>
  </si>
  <si>
    <t xml:space="preserve">Net initial yield</t>
  </si>
  <si>
    <t xml:space="preserve">Area in the North (sqm)</t>
  </si>
  <si>
    <t xml:space="preserve">Rent from the East a year (EUR)</t>
  </si>
  <si>
    <t xml:space="preserve">WAULT (years)</t>
  </si>
  <si>
    <t xml:space="preserve">Net profit (EUR)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</si>
</sst>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\-mmm\-yyyy"/>
    <numFmt numFmtId="167" formatCode="#,##0"/>
    <numFmt numFmtId="168" formatCode="0.00%"/>
    <numFmt numFmtId="169" formatCode="0"/>
    <numFmt numFmtId="170" formatCode="0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s">
        <v>2</v>
      </c>
      <c r="D3" s="2" t="s">
        <v>3</v>
      </c>
    </row>
    <row r="4" customFormat="false" ht="15" hidden="false" customHeight="false" outlineLevel="0" collapsed="false">
      <c r="A4" s="0" t="s">
        <v>4</v>
      </c>
      <c r="B4" s="3" t="n">
        <v>46387</v>
      </c>
    </row>
    <row r="5" customFormat="false" ht="15" hidden="false" customHeight="false" outlineLevel="0" collapsed="false">
      <c r="A5" s="0" t="s">
        <v>5</v>
      </c>
      <c r="B5" s="4" t="n">
        <v>318000000</v>
      </c>
    </row>
    <row r="6" customFormat="false" ht="15" hidden="false" customHeight="false" outlineLevel="0" collapsed="false">
      <c r="A6" s="0" t="s">
        <v>6</v>
      </c>
      <c r="B6" s="5" t="n">
        <v>0.0525</v>
      </c>
    </row>
    <row r="7" customFormat="false" ht="15" hidden="false" customHeight="false" outlineLevel="0" collapsed="false">
      <c r="A7" s="0" t="s">
        <v>7</v>
      </c>
      <c r="B7" s="5" t="n">
        <v>0.045</v>
      </c>
    </row>
    <row r="8" customFormat="false" ht="15" hidden="false" customHeight="false" outlineLevel="0" collapsed="false">
      <c r="A8" s="0" t="s">
        <v>8</v>
      </c>
      <c r="B8" s="6" t="n">
        <v>2</v>
      </c>
    </row>
    <row r="9" customFormat="false" ht="15" hidden="false" customHeight="false" outlineLevel="0" collapsed="false">
      <c r="A9" s="0" t="s">
        <v>9</v>
      </c>
      <c r="B9" s="5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10</v>
      </c>
      <c r="C1" s="0" t="s">
        <v>11</v>
      </c>
      <c r="D1" s="0" t="s">
        <v>12</v>
      </c>
    </row>
    <row r="2" customFormat="false" ht="15" hidden="false" customHeight="false" outlineLevel="0" collapsed="false">
      <c r="A2" s="0" t="s">
        <v>2</v>
      </c>
      <c r="B2" s="0" t="n">
        <v>0</v>
      </c>
      <c r="C2" s="0" t="n">
        <v>0</v>
      </c>
      <c r="D2" s="0" t="n">
        <v>0</v>
      </c>
    </row>
    <row r="3" customFormat="false" ht="15" hidden="false" customHeight="false" outlineLevel="0" collapsed="false">
      <c r="A3" s="0" t="s">
        <v>13</v>
      </c>
      <c r="B3" s="0" t="n">
        <v>-0.01</v>
      </c>
      <c r="C3" s="0" t="n">
        <v>2</v>
      </c>
      <c r="D3" s="0" t="n">
        <v>0.0075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n">
        <v>2027</v>
      </c>
      <c r="C1" s="0" t="n">
        <v>2028</v>
      </c>
      <c r="D1" s="0" t="n">
        <v>2029</v>
      </c>
      <c r="E1" s="0" t="n">
        <v>2030</v>
      </c>
      <c r="F1" s="0" t="n">
        <v>2031</v>
      </c>
      <c r="G1" s="0" t="n">
        <v>2032</v>
      </c>
      <c r="H1" s="0" t="n">
        <v>2033</v>
      </c>
    </row>
    <row r="2" customFormat="false" ht="15" hidden="false" customHeight="false" outlineLevel="0" collapsed="false">
      <c r="A2" s="0" t="s">
        <v>15</v>
      </c>
      <c r="B2" s="0" t="n">
        <v>0.022</v>
      </c>
      <c r="C2" s="0" t="n">
        <v>0.021</v>
      </c>
      <c r="D2" s="0" t="n">
        <v>0.02</v>
      </c>
      <c r="E2" s="0" t="n">
        <v>0.02</v>
      </c>
      <c r="F2" s="0" t="n">
        <v>0.02</v>
      </c>
      <c r="G2" s="0" t="n">
        <v>0.02</v>
      </c>
      <c r="H2" s="0" t="n">
        <v>0.02</v>
      </c>
    </row>
    <row r="3" customFormat="false" ht="15" hidden="false" customHeight="false" outlineLevel="0" collapsed="false">
      <c r="A3" s="0" t="s">
        <v>16</v>
      </c>
      <c r="B3" s="0" t="n">
        <v>0.026</v>
      </c>
      <c r="C3" s="0" t="n">
        <v>0.024</v>
      </c>
      <c r="D3" s="0" t="n">
        <v>0.022</v>
      </c>
      <c r="E3" s="0" t="n">
        <v>0.021</v>
      </c>
      <c r="F3" s="0" t="n">
        <v>0.02</v>
      </c>
      <c r="G3" s="0" t="n">
        <v>0.02</v>
      </c>
      <c r="H3" s="0" t="n">
        <v>0.02</v>
      </c>
    </row>
    <row r="4" customFormat="false" ht="15" hidden="false" customHeight="false" outlineLevel="0" collapsed="false">
      <c r="A4" s="0" t="s">
        <v>17</v>
      </c>
      <c r="B4" s="0" t="n">
        <v>0.041</v>
      </c>
      <c r="C4" s="0" t="n">
        <v>0.035</v>
      </c>
      <c r="D4" s="0" t="n">
        <v>0.031</v>
      </c>
      <c r="E4" s="0" t="n">
        <v>0.029</v>
      </c>
      <c r="F4" s="0" t="n">
        <v>0.027</v>
      </c>
      <c r="G4" s="0" t="n">
        <v>0.026</v>
      </c>
      <c r="H4" s="0" t="n">
        <v>0.025</v>
      </c>
    </row>
    <row r="5" customFormat="false" ht="15" hidden="false" customHeight="false" outlineLevel="0" collapsed="false">
      <c r="A5" s="0" t="s">
        <v>18</v>
      </c>
      <c r="B5" s="0" t="n">
        <v>0.033</v>
      </c>
      <c r="C5" s="0" t="n">
        <v>0.029</v>
      </c>
      <c r="D5" s="0" t="n">
        <v>0.026</v>
      </c>
      <c r="E5" s="0" t="n">
        <v>0.025</v>
      </c>
      <c r="F5" s="0" t="n">
        <v>0.024</v>
      </c>
      <c r="G5" s="0" t="n">
        <v>0.023</v>
      </c>
      <c r="H5" s="0" t="n">
        <v>0.022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14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 customFormat="false" ht="15" hidden="false" customHeight="false" outlineLevel="0" collapsed="false">
      <c r="A2" s="0" t="s">
        <v>25</v>
      </c>
      <c r="B2" s="0" t="s">
        <v>15</v>
      </c>
      <c r="C2" s="0" t="s">
        <v>26</v>
      </c>
      <c r="D2" s="0" t="n">
        <v>62000</v>
      </c>
      <c r="E2" s="0" t="n">
        <v>78</v>
      </c>
      <c r="F2" s="3" t="n">
        <v>48029</v>
      </c>
      <c r="G2" s="0" t="n">
        <v>0</v>
      </c>
    </row>
    <row r="3" customFormat="false" ht="15" hidden="false" customHeight="false" outlineLevel="0" collapsed="false">
      <c r="A3" s="0" t="s">
        <v>27</v>
      </c>
      <c r="B3" s="0" t="s">
        <v>15</v>
      </c>
      <c r="C3" s="0" t="s">
        <v>26</v>
      </c>
      <c r="D3" s="0" t="n">
        <v>41000</v>
      </c>
      <c r="E3" s="0" t="n">
        <v>72</v>
      </c>
      <c r="F3" s="3" t="n">
        <v>47118</v>
      </c>
      <c r="G3" s="0" t="n">
        <v>1</v>
      </c>
    </row>
    <row r="4" customFormat="false" ht="15" hidden="false" customHeight="false" outlineLevel="0" collapsed="false">
      <c r="A4" s="0" t="s">
        <v>28</v>
      </c>
      <c r="B4" s="0" t="s">
        <v>15</v>
      </c>
      <c r="C4" s="0" t="s">
        <v>29</v>
      </c>
      <c r="D4" s="0" t="n">
        <v>55000</v>
      </c>
      <c r="E4" s="0" t="n">
        <v>81</v>
      </c>
      <c r="F4" s="3" t="n">
        <v>48669</v>
      </c>
      <c r="G4" s="0" t="n">
        <v>0</v>
      </c>
    </row>
    <row r="5" customFormat="false" ht="15" hidden="false" customHeight="false" outlineLevel="0" collapsed="false">
      <c r="A5" s="0" t="s">
        <v>30</v>
      </c>
      <c r="B5" s="0" t="s">
        <v>16</v>
      </c>
      <c r="C5" s="0" t="s">
        <v>29</v>
      </c>
      <c r="D5" s="0" t="n">
        <v>48000</v>
      </c>
      <c r="E5" s="0" t="n">
        <v>84</v>
      </c>
      <c r="F5" s="3" t="n">
        <v>47391</v>
      </c>
      <c r="G5" s="0" t="n">
        <v>2</v>
      </c>
    </row>
    <row r="6" customFormat="false" ht="15" hidden="false" customHeight="false" outlineLevel="0" collapsed="false">
      <c r="A6" s="0" t="s">
        <v>31</v>
      </c>
      <c r="B6" s="0" t="s">
        <v>16</v>
      </c>
      <c r="C6" s="0" t="s">
        <v>29</v>
      </c>
      <c r="D6" s="0" t="n">
        <v>36000</v>
      </c>
      <c r="E6" s="0" t="n">
        <v>79</v>
      </c>
      <c r="F6" s="3" t="n">
        <v>48579</v>
      </c>
      <c r="G6" s="0" t="n">
        <v>0</v>
      </c>
    </row>
    <row r="7" customFormat="false" ht="15" hidden="false" customHeight="false" outlineLevel="0" collapsed="false">
      <c r="A7" s="0" t="s">
        <v>32</v>
      </c>
      <c r="B7" s="0" t="s">
        <v>17</v>
      </c>
      <c r="C7" s="0" t="s">
        <v>33</v>
      </c>
      <c r="D7" s="0" t="n">
        <v>71000</v>
      </c>
      <c r="E7" s="0" t="n">
        <v>48</v>
      </c>
      <c r="F7" s="3" t="n">
        <v>47573</v>
      </c>
      <c r="G7" s="0" t="n">
        <v>1</v>
      </c>
    </row>
    <row r="8" customFormat="false" ht="15" hidden="false" customHeight="false" outlineLevel="0" collapsed="false">
      <c r="A8" s="0" t="s">
        <v>34</v>
      </c>
      <c r="B8" s="0" t="s">
        <v>17</v>
      </c>
      <c r="C8" s="0" t="s">
        <v>33</v>
      </c>
      <c r="D8" s="0" t="n">
        <v>52000</v>
      </c>
      <c r="E8" s="0" t="n">
        <v>46</v>
      </c>
      <c r="F8" s="3" t="n">
        <v>46752</v>
      </c>
      <c r="G8" s="0" t="n">
        <v>0</v>
      </c>
    </row>
    <row r="9" customFormat="false" ht="15" hidden="false" customHeight="false" outlineLevel="0" collapsed="false">
      <c r="A9" s="0" t="s">
        <v>35</v>
      </c>
      <c r="B9" s="0" t="s">
        <v>18</v>
      </c>
      <c r="C9" s="0" t="s">
        <v>33</v>
      </c>
      <c r="D9" s="0" t="n">
        <v>39000</v>
      </c>
      <c r="E9" s="0" t="n">
        <v>55</v>
      </c>
      <c r="F9" s="3" t="n">
        <v>48213</v>
      </c>
      <c r="G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36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</row>
    <row r="4" customFormat="false" ht="15" hidden="false" customHeight="false" outlineLevel="0" collapsed="false">
      <c r="A4" s="0" t="s">
        <v>37</v>
      </c>
      <c r="B4" s="3" t="n">
        <f aca="false">EOMONTH(Inputs!$B$4,3*B$3)</f>
        <v>46387</v>
      </c>
      <c r="C4" s="3" t="n">
        <f aca="false">EOMONTH(Inputs!$B$4,3*C$3)</f>
        <v>46477</v>
      </c>
      <c r="D4" s="3" t="n">
        <f aca="false">EOMONTH(Inputs!$B$4,3*D$3)</f>
        <v>46568</v>
      </c>
      <c r="E4" s="3" t="n">
        <f aca="false">EOMONTH(Inputs!$B$4,3*E$3)</f>
        <v>46660</v>
      </c>
      <c r="F4" s="3" t="n">
        <f aca="false">EOMONTH(Inputs!$B$4,3*F$3)</f>
        <v>46752</v>
      </c>
      <c r="G4" s="3" t="n">
        <f aca="false">EOMONTH(Inputs!$B$4,3*G$3)</f>
        <v>46843</v>
      </c>
      <c r="H4" s="3" t="n">
        <f aca="false">EOMONTH(Inputs!$B$4,3*H$3)</f>
        <v>46934</v>
      </c>
      <c r="I4" s="3" t="n">
        <f aca="false">EOMONTH(Inputs!$B$4,3*I$3)</f>
        <v>47026</v>
      </c>
      <c r="J4" s="3" t="n">
        <f aca="false">EOMONTH(Inputs!$B$4,3*J$3)</f>
        <v>47118</v>
      </c>
      <c r="K4" s="3" t="n">
        <f aca="false">EOMONTH(Inputs!$B$4,3*K$3)</f>
        <v>47208</v>
      </c>
      <c r="L4" s="3" t="n">
        <f aca="false">EOMONTH(Inputs!$B$4,3*L$3)</f>
        <v>47299</v>
      </c>
      <c r="M4" s="3" t="n">
        <f aca="false">EOMONTH(Inputs!$B$4,3*M$3)</f>
        <v>47391</v>
      </c>
      <c r="N4" s="3" t="n">
        <f aca="false">EOMONTH(Inputs!$B$4,3*N$3)</f>
        <v>47483</v>
      </c>
      <c r="O4" s="3" t="n">
        <f aca="false">EOMONTH(Inputs!$B$4,3*O$3)</f>
        <v>47573</v>
      </c>
      <c r="P4" s="3" t="n">
        <f aca="false">EOMONTH(Inputs!$B$4,3*P$3)</f>
        <v>47664</v>
      </c>
      <c r="Q4" s="3" t="n">
        <f aca="false">EOMONTH(Inputs!$B$4,3*Q$3)</f>
        <v>47756</v>
      </c>
      <c r="R4" s="3" t="n">
        <f aca="false">EOMONTH(Inputs!$B$4,3*R$3)</f>
        <v>47848</v>
      </c>
      <c r="S4" s="3" t="n">
        <f aca="false">EOMONTH(Inputs!$B$4,3*S$3)</f>
        <v>47938</v>
      </c>
      <c r="T4" s="3" t="n">
        <f aca="false">EOMONTH(Inputs!$B$4,3*T$3)</f>
        <v>48029</v>
      </c>
      <c r="U4" s="3" t="n">
        <f aca="false">EOMONTH(Inputs!$B$4,3*U$3)</f>
        <v>48121</v>
      </c>
      <c r="V4" s="3" t="n">
        <f aca="false">EOMONTH(Inputs!$B$4,3*V$3)</f>
        <v>48213</v>
      </c>
      <c r="W4" s="3" t="n">
        <f aca="false">EOMONTH(Inputs!$B$4,3*W$3)</f>
        <v>48304</v>
      </c>
      <c r="X4" s="3" t="n">
        <f aca="false">EOMONTH(Inputs!$B$4,3*X$3)</f>
        <v>48395</v>
      </c>
      <c r="Y4" s="3" t="n">
        <f aca="false">EOMONTH(Inputs!$B$4,3*Y$3)</f>
        <v>48487</v>
      </c>
      <c r="Z4" s="3" t="n">
        <f aca="false">EOMONTH(Inputs!$B$4,3*Z$3)</f>
        <v>48579</v>
      </c>
      <c r="AA4" s="3" t="n">
        <f aca="false">EOMONTH(Inputs!$B$4,3*AA$3)</f>
        <v>48669</v>
      </c>
      <c r="AB4" s="3" t="n">
        <f aca="false">EOMONTH(Inputs!$B$4,3*AB$3)</f>
        <v>48760</v>
      </c>
      <c r="AC4" s="3" t="n">
        <f aca="false">EOMONTH(Inputs!$B$4,3*AC$3)</f>
        <v>48852</v>
      </c>
      <c r="AD4" s="3" t="n">
        <f aca="false">EOMONTH(Inputs!$B$4,3*AD$3)</f>
        <v>48944</v>
      </c>
    </row>
    <row r="5" customFormat="false" ht="15" hidden="false" customHeight="false" outlineLevel="0" collapsed="false">
      <c r="A5" s="0" t="s">
        <v>38</v>
      </c>
      <c r="B5" s="0" t="n">
        <f aca="false">MIN(2033,MAX(2027,YEAR(B4)))</f>
        <v>2027</v>
      </c>
      <c r="C5" s="0" t="n">
        <f aca="false">MIN(2033,MAX(2027,YEAR(C4)))</f>
        <v>2027</v>
      </c>
      <c r="D5" s="0" t="n">
        <f aca="false">MIN(2033,MAX(2027,YEAR(D4)))</f>
        <v>2027</v>
      </c>
      <c r="E5" s="0" t="n">
        <f aca="false">MIN(2033,MAX(2027,YEAR(E4)))</f>
        <v>2027</v>
      </c>
      <c r="F5" s="0" t="n">
        <f aca="false">MIN(2033,MAX(2027,YEAR(F4)))</f>
        <v>2027</v>
      </c>
      <c r="G5" s="0" t="n">
        <f aca="false">MIN(2033,MAX(2027,YEAR(G4)))</f>
        <v>2028</v>
      </c>
      <c r="H5" s="0" t="n">
        <f aca="false">MIN(2033,MAX(2027,YEAR(H4)))</f>
        <v>2028</v>
      </c>
      <c r="I5" s="0" t="n">
        <f aca="false">MIN(2033,MAX(2027,YEAR(I4)))</f>
        <v>2028</v>
      </c>
      <c r="J5" s="0" t="n">
        <f aca="false">MIN(2033,MAX(2027,YEAR(J4)))</f>
        <v>2028</v>
      </c>
      <c r="K5" s="0" t="n">
        <f aca="false">MIN(2033,MAX(2027,YEAR(K4)))</f>
        <v>2029</v>
      </c>
      <c r="L5" s="0" t="n">
        <f aca="false">MIN(2033,MAX(2027,YEAR(L4)))</f>
        <v>2029</v>
      </c>
      <c r="M5" s="0" t="n">
        <f aca="false">MIN(2033,MAX(2027,YEAR(M4)))</f>
        <v>2029</v>
      </c>
      <c r="N5" s="0" t="n">
        <f aca="false">MIN(2033,MAX(2027,YEAR(N4)))</f>
        <v>2029</v>
      </c>
      <c r="O5" s="0" t="n">
        <f aca="false">MIN(2033,MAX(2027,YEAR(O4)))</f>
        <v>2030</v>
      </c>
      <c r="P5" s="0" t="n">
        <f aca="false">MIN(2033,MAX(2027,YEAR(P4)))</f>
        <v>2030</v>
      </c>
      <c r="Q5" s="0" t="n">
        <f aca="false">MIN(2033,MAX(2027,YEAR(Q4)))</f>
        <v>2030</v>
      </c>
      <c r="R5" s="0" t="n">
        <f aca="false">MIN(2033,MAX(2027,YEAR(R4)))</f>
        <v>2030</v>
      </c>
      <c r="S5" s="0" t="n">
        <f aca="false">MIN(2033,MAX(2027,YEAR(S4)))</f>
        <v>2031</v>
      </c>
      <c r="T5" s="0" t="n">
        <f aca="false">MIN(2033,MAX(2027,YEAR(T4)))</f>
        <v>2031</v>
      </c>
      <c r="U5" s="0" t="n">
        <f aca="false">MIN(2033,MAX(2027,YEAR(U4)))</f>
        <v>2031</v>
      </c>
      <c r="V5" s="0" t="n">
        <f aca="false">MIN(2033,MAX(2027,YEAR(V4)))</f>
        <v>2031</v>
      </c>
      <c r="W5" s="0" t="n">
        <f aca="false">MIN(2033,MAX(2027,YEAR(W4)))</f>
        <v>2032</v>
      </c>
      <c r="X5" s="0" t="n">
        <f aca="false">MIN(2033,MAX(2027,YEAR(X4)))</f>
        <v>2032</v>
      </c>
      <c r="Y5" s="0" t="n">
        <f aca="false">MIN(2033,MAX(2027,YEAR(Y4)))</f>
        <v>2032</v>
      </c>
      <c r="Z5" s="0" t="n">
        <f aca="false">MIN(2033,MAX(2027,YEAR(Z4)))</f>
        <v>2032</v>
      </c>
      <c r="AA5" s="0" t="n">
        <f aca="false">MIN(2033,MAX(2027,YEAR(AA4)))</f>
        <v>2033</v>
      </c>
      <c r="AB5" s="0" t="n">
        <f aca="false">MIN(2033,MAX(2027,YEAR(AB4)))</f>
        <v>2033</v>
      </c>
      <c r="AC5" s="0" t="n">
        <f aca="false">MIN(2033,MAX(2027,YEAR(AC4)))</f>
        <v>2033</v>
      </c>
      <c r="AD5" s="0" t="n">
        <f aca="false">MIN(2033,MAX(2027,YEAR(AD4)))</f>
        <v>2033</v>
      </c>
    </row>
    <row r="6" customFormat="false" ht="15" hidden="false" customHeight="false" outlineLevel="0" collapsed="false">
      <c r="A6" s="0" t="s">
        <v>39</v>
      </c>
      <c r="B6" s="0" t="n">
        <f aca="false">0</f>
        <v>0</v>
      </c>
      <c r="C6" s="0" t="n">
        <f aca="false">IF(C$3&lt;=Warehouses!$G$2,0,IF(C4&lt;=Warehouses!$F$2,Warehouses!$D$2*Warehouses!$E$2/4*(1+(INDEX(CPI!$B$2:$H$5,MATCH(Warehouses!$B$2,CPI!$A$2:$A$5,0),MATCH(C5,CPI!$B$1:$H$1,0))+INDEX(Scenarios!$B$2:$B$3,MATCH(Inputs!$B$3,Scenarios!$A$2:$A$3,0))))^(C$3/4),IF(C4&lt;=EOMONTH(Warehouses!$F$2,3*(Inputs!$B$8+INDEX(Scenarios!$C$2:$C$3,MATCH(Inputs!$B$3,Scenarios!$A$2:$A$3,0)))),0,Warehouses!$D$2*Warehouses!$E$2/4*(1+(INDEX(CPI!$B$2:$H$5,MATCH(Warehouses!$B$2,CPI!$A$2:$A$5,0),MATCH(C5,CPI!$B$1:$H$1,0))+INDEX(Scenarios!$B$2:$B$3,MATCH(Inputs!$B$3,Scenarios!$A$2:$A$3,0))))^(C$3/4)*(1+Inputs!$B$9))))</f>
        <v>1215595.33516526</v>
      </c>
      <c r="D6" s="0" t="n">
        <f aca="false">IF(D$3&lt;=Warehouses!$G$2,0,IF(D4&lt;=Warehouses!$F$2,Warehouses!$D$2*Warehouses!$E$2/4*(1+(INDEX(CPI!$B$2:$H$5,MATCH(Warehouses!$B$2,CPI!$A$2:$A$5,0),MATCH(D5,CPI!$B$1:$H$1,0))+INDEX(Scenarios!$B$2:$B$3,MATCH(Inputs!$B$3,Scenarios!$A$2:$A$3,0))))^(D$3/4),IF(D4&lt;=EOMONTH(Warehouses!$F$2,3*(Inputs!$B$8+INDEX(Scenarios!$C$2:$C$3,MATCH(Inputs!$B$3,Scenarios!$A$2:$A$3,0)))),0,Warehouses!$D$2*Warehouses!$E$2/4*(1+(INDEX(CPI!$B$2:$H$5,MATCH(Warehouses!$B$2,CPI!$A$2:$A$5,0),MATCH(D5,CPI!$B$1:$H$1,0))+INDEX(Scenarios!$B$2:$B$3,MATCH(Inputs!$B$3,Scenarios!$A$2:$A$3,0))))^(D$3/4)*(1+Inputs!$B$9))))</f>
        <v>1222226.649194</v>
      </c>
      <c r="E6" s="0" t="n">
        <f aca="false">IF(E$3&lt;=Warehouses!$G$2,0,IF(E4&lt;=Warehouses!$F$2,Warehouses!$D$2*Warehouses!$E$2/4*(1+(INDEX(CPI!$B$2:$H$5,MATCH(Warehouses!$B$2,CPI!$A$2:$A$5,0),MATCH(E5,CPI!$B$1:$H$1,0))+INDEX(Scenarios!$B$2:$B$3,MATCH(Inputs!$B$3,Scenarios!$A$2:$A$3,0))))^(E$3/4),IF(E4&lt;=EOMONTH(Warehouses!$F$2,3*(Inputs!$B$8+INDEX(Scenarios!$C$2:$C$3,MATCH(Inputs!$B$3,Scenarios!$A$2:$A$3,0)))),0,Warehouses!$D$2*Warehouses!$E$2/4*(1+(INDEX(CPI!$B$2:$H$5,MATCH(Warehouses!$B$2,CPI!$A$2:$A$5,0),MATCH(E5,CPI!$B$1:$H$1,0))+INDEX(Scenarios!$B$2:$B$3,MATCH(Inputs!$B$3,Scenarios!$A$2:$A$3,0))))^(E$3/4)*(1+Inputs!$B$9))))</f>
        <v>1228894.13835807</v>
      </c>
      <c r="F6" s="0" t="n">
        <f aca="false">IF(F$3&lt;=Warehouses!$G$2,0,IF(F4&lt;=Warehouses!$F$2,Warehouses!$D$2*Warehouses!$E$2/4*(1+(INDEX(CPI!$B$2:$H$5,MATCH(Warehouses!$B$2,CPI!$A$2:$A$5,0),MATCH(F5,CPI!$B$1:$H$1,0))+INDEX(Scenarios!$B$2:$B$3,MATCH(Inputs!$B$3,Scenarios!$A$2:$A$3,0))))^(F$3/4),IF(F4&lt;=EOMONTH(Warehouses!$F$2,3*(Inputs!$B$8+INDEX(Scenarios!$C$2:$C$3,MATCH(Inputs!$B$3,Scenarios!$A$2:$A$3,0)))),0,Warehouses!$D$2*Warehouses!$E$2/4*(1+(INDEX(CPI!$B$2:$H$5,MATCH(Warehouses!$B$2,CPI!$A$2:$A$5,0),MATCH(F5,CPI!$B$1:$H$1,0))+INDEX(Scenarios!$B$2:$B$3,MATCH(Inputs!$B$3,Scenarios!$A$2:$A$3,0))))^(F$3/4)*(1+Inputs!$B$9))))</f>
        <v>1235598</v>
      </c>
      <c r="G6" s="0" t="n">
        <f aca="false">IF(G$3&lt;=Warehouses!$G$2,0,IF(G4&lt;=Warehouses!$F$2,Warehouses!$D$2*Warehouses!$E$2/4*(1+(INDEX(CPI!$B$2:$H$5,MATCH(Warehouses!$B$2,CPI!$A$2:$A$5,0),MATCH(G5,CPI!$B$1:$H$1,0))+INDEX(Scenarios!$B$2:$B$3,MATCH(Inputs!$B$3,Scenarios!$A$2:$A$3,0))))^(G$3/4),IF(G4&lt;=EOMONTH(Warehouses!$F$2,3*(Inputs!$B$8+INDEX(Scenarios!$C$2:$C$3,MATCH(Inputs!$B$3,Scenarios!$A$2:$A$3,0)))),0,Warehouses!$D$2*Warehouses!$E$2/4*(1+(INDEX(CPI!$B$2:$H$5,MATCH(Warehouses!$B$2,CPI!$A$2:$A$5,0),MATCH(G5,CPI!$B$1:$H$1,0))+INDEX(Scenarios!$B$2:$B$3,MATCH(Inputs!$B$3,Scenarios!$A$2:$A$3,0))))^(G$3/4)*(1+Inputs!$B$9))))</f>
        <v>1240819.12426354</v>
      </c>
      <c r="H6" s="0" t="n">
        <f aca="false">IF(H$3&lt;=Warehouses!$G$2,0,IF(H4&lt;=Warehouses!$F$2,Warehouses!$D$2*Warehouses!$E$2/4*(1+(INDEX(CPI!$B$2:$H$5,MATCH(Warehouses!$B$2,CPI!$A$2:$A$5,0),MATCH(H5,CPI!$B$1:$H$1,0))+INDEX(Scenarios!$B$2:$B$3,MATCH(Inputs!$B$3,Scenarios!$A$2:$A$3,0))))^(H$3/4),IF(H4&lt;=EOMONTH(Warehouses!$F$2,3*(Inputs!$B$8+INDEX(Scenarios!$C$2:$C$3,MATCH(Inputs!$B$3,Scenarios!$A$2:$A$3,0)))),0,Warehouses!$D$2*Warehouses!$E$2/4*(1+(INDEX(CPI!$B$2:$H$5,MATCH(Warehouses!$B$2,CPI!$A$2:$A$5,0),MATCH(H5,CPI!$B$1:$H$1,0))+INDEX(Scenarios!$B$2:$B$3,MATCH(Inputs!$B$3,Scenarios!$A$2:$A$3,0))))^(H$3/4)*(1+Inputs!$B$9))))</f>
        <v>1247282.74404432</v>
      </c>
      <c r="I6" s="0" t="n">
        <f aca="false">IF(I$3&lt;=Warehouses!$G$2,0,IF(I4&lt;=Warehouses!$F$2,Warehouses!$D$2*Warehouses!$E$2/4*(1+(INDEX(CPI!$B$2:$H$5,MATCH(Warehouses!$B$2,CPI!$A$2:$A$5,0),MATCH(I5,CPI!$B$1:$H$1,0))+INDEX(Scenarios!$B$2:$B$3,MATCH(Inputs!$B$3,Scenarios!$A$2:$A$3,0))))^(I$3/4),IF(I4&lt;=EOMONTH(Warehouses!$F$2,3*(Inputs!$B$8+INDEX(Scenarios!$C$2:$C$3,MATCH(Inputs!$B$3,Scenarios!$A$2:$A$3,0)))),0,Warehouses!$D$2*Warehouses!$E$2/4*(1+(INDEX(CPI!$B$2:$H$5,MATCH(Warehouses!$B$2,CPI!$A$2:$A$5,0),MATCH(I5,CPI!$B$1:$H$1,0))+INDEX(Scenarios!$B$2:$B$3,MATCH(Inputs!$B$3,Scenarios!$A$2:$A$3,0))))^(I$3/4)*(1+Inputs!$B$9))))</f>
        <v>1253780.03382572</v>
      </c>
      <c r="J6" s="0" t="n">
        <f aca="false">IF(J$3&lt;=Warehouses!$G$2,0,IF(J4&lt;=Warehouses!$F$2,Warehouses!$D$2*Warehouses!$E$2/4*(1+(INDEX(CPI!$B$2:$H$5,MATCH(Warehouses!$B$2,CPI!$A$2:$A$5,0),MATCH(J5,CPI!$B$1:$H$1,0))+INDEX(Scenarios!$B$2:$B$3,MATCH(Inputs!$B$3,Scenarios!$A$2:$A$3,0))))^(J$3/4),IF(J4&lt;=EOMONTH(Warehouses!$F$2,3*(Inputs!$B$8+INDEX(Scenarios!$C$2:$C$3,MATCH(Inputs!$B$3,Scenarios!$A$2:$A$3,0)))),0,Warehouses!$D$2*Warehouses!$E$2/4*(1+(INDEX(CPI!$B$2:$H$5,MATCH(Warehouses!$B$2,CPI!$A$2:$A$5,0),MATCH(J5,CPI!$B$1:$H$1,0))+INDEX(Scenarios!$B$2:$B$3,MATCH(Inputs!$B$3,Scenarios!$A$2:$A$3,0))))^(J$3/4)*(1+Inputs!$B$9))))</f>
        <v>1260311.169</v>
      </c>
      <c r="K6" s="0" t="n">
        <f aca="false">IF(K$3&lt;=Warehouses!$G$2,0,IF(K4&lt;=Warehouses!$F$2,Warehouses!$D$2*Warehouses!$E$2/4*(1+(INDEX(CPI!$B$2:$H$5,MATCH(Warehouses!$B$2,CPI!$A$2:$A$5,0),MATCH(K5,CPI!$B$1:$H$1,0))+INDEX(Scenarios!$B$2:$B$3,MATCH(Inputs!$B$3,Scenarios!$A$2:$A$3,0))))^(K$3/4),IF(K4&lt;=EOMONTH(Warehouses!$F$2,3*(Inputs!$B$8+INDEX(Scenarios!$C$2:$C$3,MATCH(Inputs!$B$3,Scenarios!$A$2:$A$3,0)))),0,Warehouses!$D$2*Warehouses!$E$2/4*(1+(INDEX(CPI!$B$2:$H$5,MATCH(Warehouses!$B$2,CPI!$A$2:$A$5,0),MATCH(K5,CPI!$B$1:$H$1,0))+INDEX(Scenarios!$B$2:$B$3,MATCH(Inputs!$B$3,Scenarios!$A$2:$A$3,0))))^(K$3/4)*(1+Inputs!$B$9))))</f>
        <v>1264086.19171659</v>
      </c>
      <c r="L6" s="0" t="n">
        <f aca="false">IF(L$3&lt;=Warehouses!$G$2,0,IF(L4&lt;=Warehouses!$F$2,Warehouses!$D$2*Warehouses!$E$2/4*(1+(INDEX(CPI!$B$2:$H$5,MATCH(Warehouses!$B$2,CPI!$A$2:$A$5,0),MATCH(L5,CPI!$B$1:$H$1,0))+INDEX(Scenarios!$B$2:$B$3,MATCH(Inputs!$B$3,Scenarios!$A$2:$A$3,0))))^(L$3/4),IF(L4&lt;=EOMONTH(Warehouses!$F$2,3*(Inputs!$B$8+INDEX(Scenarios!$C$2:$C$3,MATCH(Inputs!$B$3,Scenarios!$A$2:$A$3,0)))),0,Warehouses!$D$2*Warehouses!$E$2/4*(1+(INDEX(CPI!$B$2:$H$5,MATCH(Warehouses!$B$2,CPI!$A$2:$A$5,0),MATCH(L5,CPI!$B$1:$H$1,0))+INDEX(Scenarios!$B$2:$B$3,MATCH(Inputs!$B$3,Scenarios!$A$2:$A$3,0))))^(L$3/4)*(1+Inputs!$B$9))))</f>
        <v>1270359.76498871</v>
      </c>
      <c r="M6" s="0" t="n">
        <f aca="false">IF(M$3&lt;=Warehouses!$G$2,0,IF(M4&lt;=Warehouses!$F$2,Warehouses!$D$2*Warehouses!$E$2/4*(1+(INDEX(CPI!$B$2:$H$5,MATCH(Warehouses!$B$2,CPI!$A$2:$A$5,0),MATCH(M5,CPI!$B$1:$H$1,0))+INDEX(Scenarios!$B$2:$B$3,MATCH(Inputs!$B$3,Scenarios!$A$2:$A$3,0))))^(M$3/4),IF(M4&lt;=EOMONTH(Warehouses!$F$2,3*(Inputs!$B$8+INDEX(Scenarios!$C$2:$C$3,MATCH(Inputs!$B$3,Scenarios!$A$2:$A$3,0)))),0,Warehouses!$D$2*Warehouses!$E$2/4*(1+(INDEX(CPI!$B$2:$H$5,MATCH(Warehouses!$B$2,CPI!$A$2:$A$5,0),MATCH(M5,CPI!$B$1:$H$1,0))+INDEX(Scenarios!$B$2:$B$3,MATCH(Inputs!$B$3,Scenarios!$A$2:$A$3,0))))^(M$3/4)*(1+Inputs!$B$9))))</f>
        <v>1276664.4735757</v>
      </c>
      <c r="N6" s="0" t="n">
        <f aca="false">IF(N$3&lt;=Warehouses!$G$2,0,IF(N4&lt;=Warehouses!$F$2,Warehouses!$D$2*Warehouses!$E$2/4*(1+(INDEX(CPI!$B$2:$H$5,MATCH(Warehouses!$B$2,CPI!$A$2:$A$5,0),MATCH(N5,CPI!$B$1:$H$1,0))+INDEX(Scenarios!$B$2:$B$3,MATCH(Inputs!$B$3,Scenarios!$A$2:$A$3,0))))^(N$3/4),IF(N4&lt;=EOMONTH(Warehouses!$F$2,3*(Inputs!$B$8+INDEX(Scenarios!$C$2:$C$3,MATCH(Inputs!$B$3,Scenarios!$A$2:$A$3,0)))),0,Warehouses!$D$2*Warehouses!$E$2/4*(1+(INDEX(CPI!$B$2:$H$5,MATCH(Warehouses!$B$2,CPI!$A$2:$A$5,0),MATCH(N5,CPI!$B$1:$H$1,0))+INDEX(Scenarios!$B$2:$B$3,MATCH(Inputs!$B$3,Scenarios!$A$2:$A$3,0))))^(N$3/4)*(1+Inputs!$B$9))))</f>
        <v>1283000.472</v>
      </c>
      <c r="O6" s="0" t="n">
        <f aca="false">IF(O$3&lt;=Warehouses!$G$2,0,IF(O4&lt;=Warehouses!$F$2,Warehouses!$D$2*Warehouses!$E$2/4*(1+(INDEX(CPI!$B$2:$H$5,MATCH(Warehouses!$B$2,CPI!$A$2:$A$5,0),MATCH(O5,CPI!$B$1:$H$1,0))+INDEX(Scenarios!$B$2:$B$3,MATCH(Inputs!$B$3,Scenarios!$A$2:$A$3,0))))^(O$3/4),IF(O4&lt;=EOMONTH(Warehouses!$F$2,3*(Inputs!$B$8+INDEX(Scenarios!$C$2:$C$3,MATCH(Inputs!$B$3,Scenarios!$A$2:$A$3,0)))),0,Warehouses!$D$2*Warehouses!$E$2/4*(1+(INDEX(CPI!$B$2:$H$5,MATCH(Warehouses!$B$2,CPI!$A$2:$A$5,0),MATCH(O5,CPI!$B$1:$H$1,0))+INDEX(Scenarios!$B$2:$B$3,MATCH(Inputs!$B$3,Scenarios!$A$2:$A$3,0))))^(O$3/4)*(1+Inputs!$B$9))))</f>
        <v>1289367.91555092</v>
      </c>
      <c r="P6" s="0" t="n">
        <f aca="false">IF(P$3&lt;=Warehouses!$G$2,0,IF(P4&lt;=Warehouses!$F$2,Warehouses!$D$2*Warehouses!$E$2/4*(1+(INDEX(CPI!$B$2:$H$5,MATCH(Warehouses!$B$2,CPI!$A$2:$A$5,0),MATCH(P5,CPI!$B$1:$H$1,0))+INDEX(Scenarios!$B$2:$B$3,MATCH(Inputs!$B$3,Scenarios!$A$2:$A$3,0))))^(P$3/4),IF(P4&lt;=EOMONTH(Warehouses!$F$2,3*(Inputs!$B$8+INDEX(Scenarios!$C$2:$C$3,MATCH(Inputs!$B$3,Scenarios!$A$2:$A$3,0)))),0,Warehouses!$D$2*Warehouses!$E$2/4*(1+(INDEX(CPI!$B$2:$H$5,MATCH(Warehouses!$B$2,CPI!$A$2:$A$5,0),MATCH(P5,CPI!$B$1:$H$1,0))+INDEX(Scenarios!$B$2:$B$3,MATCH(Inputs!$B$3,Scenarios!$A$2:$A$3,0))))^(P$3/4)*(1+Inputs!$B$9))))</f>
        <v>1295766.96028849</v>
      </c>
      <c r="Q6" s="0" t="n">
        <f aca="false">IF(Q$3&lt;=Warehouses!$G$2,0,IF(Q4&lt;=Warehouses!$F$2,Warehouses!$D$2*Warehouses!$E$2/4*(1+(INDEX(CPI!$B$2:$H$5,MATCH(Warehouses!$B$2,CPI!$A$2:$A$5,0),MATCH(Q5,CPI!$B$1:$H$1,0))+INDEX(Scenarios!$B$2:$B$3,MATCH(Inputs!$B$3,Scenarios!$A$2:$A$3,0))))^(Q$3/4),IF(Q4&lt;=EOMONTH(Warehouses!$F$2,3*(Inputs!$B$8+INDEX(Scenarios!$C$2:$C$3,MATCH(Inputs!$B$3,Scenarios!$A$2:$A$3,0)))),0,Warehouses!$D$2*Warehouses!$E$2/4*(1+(INDEX(CPI!$B$2:$H$5,MATCH(Warehouses!$B$2,CPI!$A$2:$A$5,0),MATCH(Q5,CPI!$B$1:$H$1,0))+INDEX(Scenarios!$B$2:$B$3,MATCH(Inputs!$B$3,Scenarios!$A$2:$A$3,0))))^(Q$3/4)*(1+Inputs!$B$9))))</f>
        <v>1302197.76304722</v>
      </c>
      <c r="R6" s="0" t="n">
        <f aca="false">IF(R$3&lt;=Warehouses!$G$2,0,IF(R4&lt;=Warehouses!$F$2,Warehouses!$D$2*Warehouses!$E$2/4*(1+(INDEX(CPI!$B$2:$H$5,MATCH(Warehouses!$B$2,CPI!$A$2:$A$5,0),MATCH(R5,CPI!$B$1:$H$1,0))+INDEX(Scenarios!$B$2:$B$3,MATCH(Inputs!$B$3,Scenarios!$A$2:$A$3,0))))^(R$3/4),IF(R4&lt;=EOMONTH(Warehouses!$F$2,3*(Inputs!$B$8+INDEX(Scenarios!$C$2:$C$3,MATCH(Inputs!$B$3,Scenarios!$A$2:$A$3,0)))),0,Warehouses!$D$2*Warehouses!$E$2/4*(1+(INDEX(CPI!$B$2:$H$5,MATCH(Warehouses!$B$2,CPI!$A$2:$A$5,0),MATCH(R5,CPI!$B$1:$H$1,0))+INDEX(Scenarios!$B$2:$B$3,MATCH(Inputs!$B$3,Scenarios!$A$2:$A$3,0))))^(R$3/4)*(1+Inputs!$B$9))))</f>
        <v>1308660.48144</v>
      </c>
      <c r="S6" s="0" t="n">
        <f aca="false">IF(S$3&lt;=Warehouses!$G$2,0,IF(S4&lt;=Warehouses!$F$2,Warehouses!$D$2*Warehouses!$E$2/4*(1+(INDEX(CPI!$B$2:$H$5,MATCH(Warehouses!$B$2,CPI!$A$2:$A$5,0),MATCH(S5,CPI!$B$1:$H$1,0))+INDEX(Scenarios!$B$2:$B$3,MATCH(Inputs!$B$3,Scenarios!$A$2:$A$3,0))))^(S$3/4),IF(S4&lt;=EOMONTH(Warehouses!$F$2,3*(Inputs!$B$8+INDEX(Scenarios!$C$2:$C$3,MATCH(Inputs!$B$3,Scenarios!$A$2:$A$3,0)))),0,Warehouses!$D$2*Warehouses!$E$2/4*(1+(INDEX(CPI!$B$2:$H$5,MATCH(Warehouses!$B$2,CPI!$A$2:$A$5,0),MATCH(S5,CPI!$B$1:$H$1,0))+INDEX(Scenarios!$B$2:$B$3,MATCH(Inputs!$B$3,Scenarios!$A$2:$A$3,0))))^(S$3/4)*(1+Inputs!$B$9))))</f>
        <v>1315155.27386194</v>
      </c>
      <c r="T6" s="0" t="n">
        <f aca="false">IF(T$3&lt;=Warehouses!$G$2,0,IF(T4&lt;=Warehouses!$F$2,Warehouses!$D$2*Warehouses!$E$2/4*(1+(INDEX(CPI!$B$2:$H$5,MATCH(Warehouses!$B$2,CPI!$A$2:$A$5,0),MATCH(T5,CPI!$B$1:$H$1,0))+INDEX(Scenarios!$B$2:$B$3,MATCH(Inputs!$B$3,Scenarios!$A$2:$A$3,0))))^(T$3/4),IF(T4&lt;=EOMONTH(Warehouses!$F$2,3*(Inputs!$B$8+INDEX(Scenarios!$C$2:$C$3,MATCH(Inputs!$B$3,Scenarios!$A$2:$A$3,0)))),0,Warehouses!$D$2*Warehouses!$E$2/4*(1+(INDEX(CPI!$B$2:$H$5,MATCH(Warehouses!$B$2,CPI!$A$2:$A$5,0),MATCH(T5,CPI!$B$1:$H$1,0))+INDEX(Scenarios!$B$2:$B$3,MATCH(Inputs!$B$3,Scenarios!$A$2:$A$3,0))))^(T$3/4)*(1+Inputs!$B$9))))</f>
        <v>1321682.29949426</v>
      </c>
      <c r="U6" s="0" t="n">
        <f aca="false">IF(U$3&lt;=Warehouses!$G$2,0,IF(U4&lt;=Warehouses!$F$2,Warehouses!$D$2*Warehouses!$E$2/4*(1+(INDEX(CPI!$B$2:$H$5,MATCH(Warehouses!$B$2,CPI!$A$2:$A$5,0),MATCH(U5,CPI!$B$1:$H$1,0))+INDEX(Scenarios!$B$2:$B$3,MATCH(Inputs!$B$3,Scenarios!$A$2:$A$3,0))))^(U$3/4),IF(U4&lt;=EOMONTH(Warehouses!$F$2,3*(Inputs!$B$8+INDEX(Scenarios!$C$2:$C$3,MATCH(Inputs!$B$3,Scenarios!$A$2:$A$3,0)))),0,Warehouses!$D$2*Warehouses!$E$2/4*(1+(INDEX(CPI!$B$2:$H$5,MATCH(Warehouses!$B$2,CPI!$A$2:$A$5,0),MATCH(U5,CPI!$B$1:$H$1,0))+INDEX(Scenarios!$B$2:$B$3,MATCH(Inputs!$B$3,Scenarios!$A$2:$A$3,0))))^(U$3/4)*(1+Inputs!$B$9))))</f>
        <v>0</v>
      </c>
      <c r="V6" s="0" t="n">
        <f aca="false">IF(V$3&lt;=Warehouses!$G$2,0,IF(V4&lt;=Warehouses!$F$2,Warehouses!$D$2*Warehouses!$E$2/4*(1+(INDEX(CPI!$B$2:$H$5,MATCH(Warehouses!$B$2,CPI!$A$2:$A$5,0),MATCH(V5,CPI!$B$1:$H$1,0))+INDEX(Scenarios!$B$2:$B$3,MATCH(Inputs!$B$3,Scenarios!$A$2:$A$3,0))))^(V$3/4),IF(V4&lt;=EOMONTH(Warehouses!$F$2,3*(Inputs!$B$8+INDEX(Scenarios!$C$2:$C$3,MATCH(Inputs!$B$3,Scenarios!$A$2:$A$3,0)))),0,Warehouses!$D$2*Warehouses!$E$2/4*(1+(INDEX(CPI!$B$2:$H$5,MATCH(Warehouses!$B$2,CPI!$A$2:$A$5,0),MATCH(V5,CPI!$B$1:$H$1,0))+INDEX(Scenarios!$B$2:$B$3,MATCH(Inputs!$B$3,Scenarios!$A$2:$A$3,0))))^(V$3/4)*(1+Inputs!$B$9))))</f>
        <v>0</v>
      </c>
      <c r="W6" s="0" t="n">
        <f aca="false">IF(W$3&lt;=Warehouses!$G$2,0,IF(W4&lt;=Warehouses!$F$2,Warehouses!$D$2*Warehouses!$E$2/4*(1+(INDEX(CPI!$B$2:$H$5,MATCH(Warehouses!$B$2,CPI!$A$2:$A$5,0),MATCH(W5,CPI!$B$1:$H$1,0))+INDEX(Scenarios!$B$2:$B$3,MATCH(Inputs!$B$3,Scenarios!$A$2:$A$3,0))))^(W$3/4),IF(W4&lt;=EOMONTH(Warehouses!$F$2,3*(Inputs!$B$8+INDEX(Scenarios!$C$2:$C$3,MATCH(Inputs!$B$3,Scenarios!$A$2:$A$3,0)))),0,Warehouses!$D$2*Warehouses!$E$2/4*(1+(INDEX(CPI!$B$2:$H$5,MATCH(Warehouses!$B$2,CPI!$A$2:$A$5,0),MATCH(W5,CPI!$B$1:$H$1,0))+INDEX(Scenarios!$B$2:$B$3,MATCH(Inputs!$B$3,Scenarios!$A$2:$A$3,0))))^(W$3/4)*(1+Inputs!$B$9))))</f>
        <v>1448775.04968632</v>
      </c>
      <c r="X6" s="0" t="n">
        <f aca="false">IF(X$3&lt;=Warehouses!$G$2,0,IF(X4&lt;=Warehouses!$F$2,Warehouses!$D$2*Warehouses!$E$2/4*(1+(INDEX(CPI!$B$2:$H$5,MATCH(Warehouses!$B$2,CPI!$A$2:$A$5,0),MATCH(X5,CPI!$B$1:$H$1,0))+INDEX(Scenarios!$B$2:$B$3,MATCH(Inputs!$B$3,Scenarios!$A$2:$A$3,0))))^(X$3/4),IF(X4&lt;=EOMONTH(Warehouses!$F$2,3*(Inputs!$B$8+INDEX(Scenarios!$C$2:$C$3,MATCH(Inputs!$B$3,Scenarios!$A$2:$A$3,0)))),0,Warehouses!$D$2*Warehouses!$E$2/4*(1+(INDEX(CPI!$B$2:$H$5,MATCH(Warehouses!$B$2,CPI!$A$2:$A$5,0),MATCH(X5,CPI!$B$1:$H$1,0))+INDEX(Scenarios!$B$2:$B$3,MATCH(Inputs!$B$3,Scenarios!$A$2:$A$3,0))))^(X$3/4)*(1+Inputs!$B$9))))</f>
        <v>1455965.22112287</v>
      </c>
      <c r="Y6" s="0" t="n">
        <f aca="false">IF(Y$3&lt;=Warehouses!$G$2,0,IF(Y4&lt;=Warehouses!$F$2,Warehouses!$D$2*Warehouses!$E$2/4*(1+(INDEX(CPI!$B$2:$H$5,MATCH(Warehouses!$B$2,CPI!$A$2:$A$5,0),MATCH(Y5,CPI!$B$1:$H$1,0))+INDEX(Scenarios!$B$2:$B$3,MATCH(Inputs!$B$3,Scenarios!$A$2:$A$3,0))))^(Y$3/4),IF(Y4&lt;=EOMONTH(Warehouses!$F$2,3*(Inputs!$B$8+INDEX(Scenarios!$C$2:$C$3,MATCH(Inputs!$B$3,Scenarios!$A$2:$A$3,0)))),0,Warehouses!$D$2*Warehouses!$E$2/4*(1+(INDEX(CPI!$B$2:$H$5,MATCH(Warehouses!$B$2,CPI!$A$2:$A$5,0),MATCH(Y5,CPI!$B$1:$H$1,0))+INDEX(Scenarios!$B$2:$B$3,MATCH(Inputs!$B$3,Scenarios!$A$2:$A$3,0))))^(Y$3/4)*(1+Inputs!$B$9))))</f>
        <v>1463191.07688827</v>
      </c>
      <c r="Z6" s="0" t="n">
        <f aca="false">IF(Z$3&lt;=Warehouses!$G$2,0,IF(Z4&lt;=Warehouses!$F$2,Warehouses!$D$2*Warehouses!$E$2/4*(1+(INDEX(CPI!$B$2:$H$5,MATCH(Warehouses!$B$2,CPI!$A$2:$A$5,0),MATCH(Z5,CPI!$B$1:$H$1,0))+INDEX(Scenarios!$B$2:$B$3,MATCH(Inputs!$B$3,Scenarios!$A$2:$A$3,0))))^(Z$3/4),IF(Z4&lt;=EOMONTH(Warehouses!$F$2,3*(Inputs!$B$8+INDEX(Scenarios!$C$2:$C$3,MATCH(Inputs!$B$3,Scenarios!$A$2:$A$3,0)))),0,Warehouses!$D$2*Warehouses!$E$2/4*(1+(INDEX(CPI!$B$2:$H$5,MATCH(Warehouses!$B$2,CPI!$A$2:$A$5,0),MATCH(Z5,CPI!$B$1:$H$1,0))+INDEX(Scenarios!$B$2:$B$3,MATCH(Inputs!$B$3,Scenarios!$A$2:$A$3,0))))^(Z$3/4)*(1+Inputs!$B$9))))</f>
        <v>1470452.79408139</v>
      </c>
      <c r="AA6" s="0" t="n">
        <f aca="false">IF(AA$3&lt;=Warehouses!$G$2,0,IF(AA4&lt;=Warehouses!$F$2,Warehouses!$D$2*Warehouses!$E$2/4*(1+(INDEX(CPI!$B$2:$H$5,MATCH(Warehouses!$B$2,CPI!$A$2:$A$5,0),MATCH(AA5,CPI!$B$1:$H$1,0))+INDEX(Scenarios!$B$2:$B$3,MATCH(Inputs!$B$3,Scenarios!$A$2:$A$3,0))))^(AA$3/4),IF(AA4&lt;=EOMONTH(Warehouses!$F$2,3*(Inputs!$B$8+INDEX(Scenarios!$C$2:$C$3,MATCH(Inputs!$B$3,Scenarios!$A$2:$A$3,0)))),0,Warehouses!$D$2*Warehouses!$E$2/4*(1+(INDEX(CPI!$B$2:$H$5,MATCH(Warehouses!$B$2,CPI!$A$2:$A$5,0),MATCH(AA5,CPI!$B$1:$H$1,0))+INDEX(Scenarios!$B$2:$B$3,MATCH(Inputs!$B$3,Scenarios!$A$2:$A$3,0))))^(AA$3/4)*(1+Inputs!$B$9))))</f>
        <v>1477750.55068004</v>
      </c>
      <c r="AB6" s="0" t="n">
        <f aca="false">IF(AB$3&lt;=Warehouses!$G$2,0,IF(AB4&lt;=Warehouses!$F$2,Warehouses!$D$2*Warehouses!$E$2/4*(1+(INDEX(CPI!$B$2:$H$5,MATCH(Warehouses!$B$2,CPI!$A$2:$A$5,0),MATCH(AB5,CPI!$B$1:$H$1,0))+INDEX(Scenarios!$B$2:$B$3,MATCH(Inputs!$B$3,Scenarios!$A$2:$A$3,0))))^(AB$3/4),IF(AB4&lt;=EOMONTH(Warehouses!$F$2,3*(Inputs!$B$8+INDEX(Scenarios!$C$2:$C$3,MATCH(Inputs!$B$3,Scenarios!$A$2:$A$3,0)))),0,Warehouses!$D$2*Warehouses!$E$2/4*(1+(INDEX(CPI!$B$2:$H$5,MATCH(Warehouses!$B$2,CPI!$A$2:$A$5,0),MATCH(AB5,CPI!$B$1:$H$1,0))+INDEX(Scenarios!$B$2:$B$3,MATCH(Inputs!$B$3,Scenarios!$A$2:$A$3,0))))^(AB$3/4)*(1+Inputs!$B$9))))</f>
        <v>1485084.52554533</v>
      </c>
      <c r="AC6" s="0" t="n">
        <f aca="false">IF(AC$3&lt;=Warehouses!$G$2,0,IF(AC4&lt;=Warehouses!$F$2,Warehouses!$D$2*Warehouses!$E$2/4*(1+(INDEX(CPI!$B$2:$H$5,MATCH(Warehouses!$B$2,CPI!$A$2:$A$5,0),MATCH(AC5,CPI!$B$1:$H$1,0))+INDEX(Scenarios!$B$2:$B$3,MATCH(Inputs!$B$3,Scenarios!$A$2:$A$3,0))))^(AC$3/4),IF(AC4&lt;=EOMONTH(Warehouses!$F$2,3*(Inputs!$B$8+INDEX(Scenarios!$C$2:$C$3,MATCH(Inputs!$B$3,Scenarios!$A$2:$A$3,0)))),0,Warehouses!$D$2*Warehouses!$E$2/4*(1+(INDEX(CPI!$B$2:$H$5,MATCH(Warehouses!$B$2,CPI!$A$2:$A$5,0),MATCH(AC5,CPI!$B$1:$H$1,0))+INDEX(Scenarios!$B$2:$B$3,MATCH(Inputs!$B$3,Scenarios!$A$2:$A$3,0))))^(AC$3/4)*(1+Inputs!$B$9))))</f>
        <v>1492454.89842604</v>
      </c>
      <c r="AD6" s="0" t="n">
        <f aca="false">IF(AD$3&lt;=Warehouses!$G$2,0,IF(AD4&lt;=Warehouses!$F$2,Warehouses!$D$2*Warehouses!$E$2/4*(1+(INDEX(CPI!$B$2:$H$5,MATCH(Warehouses!$B$2,CPI!$A$2:$A$5,0),MATCH(AD5,CPI!$B$1:$H$1,0))+INDEX(Scenarios!$B$2:$B$3,MATCH(Inputs!$B$3,Scenarios!$A$2:$A$3,0))))^(AD$3/4),IF(AD4&lt;=EOMONTH(Warehouses!$F$2,3*(Inputs!$B$8+INDEX(Scenarios!$C$2:$C$3,MATCH(Inputs!$B$3,Scenarios!$A$2:$A$3,0)))),0,Warehouses!$D$2*Warehouses!$E$2/4*(1+(INDEX(CPI!$B$2:$H$5,MATCH(Warehouses!$B$2,CPI!$A$2:$A$5,0),MATCH(AD5,CPI!$B$1:$H$1,0))+INDEX(Scenarios!$B$2:$B$3,MATCH(Inputs!$B$3,Scenarios!$A$2:$A$3,0))))^(AD$3/4)*(1+Inputs!$B$9))))</f>
        <v>1499861.84996302</v>
      </c>
    </row>
    <row r="7" customFormat="false" ht="15" hidden="false" customHeight="false" outlineLevel="0" collapsed="false">
      <c r="A7" s="0" t="s">
        <v>40</v>
      </c>
      <c r="B7" s="0" t="n">
        <f aca="false">0</f>
        <v>0</v>
      </c>
      <c r="C7" s="0" t="n">
        <f aca="false">IF(C$3&lt;=Warehouses!$G$3,0,IF(C4&lt;=Warehouses!$F$3,Warehouses!$D$3*Warehouses!$E$3/4*(1+(INDEX(CPI!$B$2:$H$5,MATCH(Warehouses!$B$3,CPI!$A$2:$A$5,0),MATCH(C5,CPI!$B$1:$H$1,0))+INDEX(Scenarios!$B$2:$B$3,MATCH(Inputs!$B$3,Scenarios!$A$2:$A$3,0))))^(C$3/4),IF(C4&lt;=EOMONTH(Warehouses!$F$3,3*(Inputs!$B$8+INDEX(Scenarios!$C$2:$C$3,MATCH(Inputs!$B$3,Scenarios!$A$2:$A$3,0)))),0,Warehouses!$D$3*Warehouses!$E$3/4*(1+(INDEX(CPI!$B$2:$H$5,MATCH(Warehouses!$B$3,CPI!$A$2:$A$5,0),MATCH(C5,CPI!$B$1:$H$1,0))+INDEX(Scenarios!$B$2:$B$3,MATCH(Inputs!$B$3,Scenarios!$A$2:$A$3,0))))^(C$3/4)*(1+Inputs!$B$9))))</f>
        <v>0</v>
      </c>
      <c r="D7" s="0" t="n">
        <f aca="false">IF(D$3&lt;=Warehouses!$G$3,0,IF(D4&lt;=Warehouses!$F$3,Warehouses!$D$3*Warehouses!$E$3/4*(1+(INDEX(CPI!$B$2:$H$5,MATCH(Warehouses!$B$3,CPI!$A$2:$A$5,0),MATCH(D5,CPI!$B$1:$H$1,0))+INDEX(Scenarios!$B$2:$B$3,MATCH(Inputs!$B$3,Scenarios!$A$2:$A$3,0))))^(D$3/4),IF(D4&lt;=EOMONTH(Warehouses!$F$3,3*(Inputs!$B$8+INDEX(Scenarios!$C$2:$C$3,MATCH(Inputs!$B$3,Scenarios!$A$2:$A$3,0)))),0,Warehouses!$D$3*Warehouses!$E$3/4*(1+(INDEX(CPI!$B$2:$H$5,MATCH(Warehouses!$B$3,CPI!$A$2:$A$5,0),MATCH(D5,CPI!$B$1:$H$1,0))+INDEX(Scenarios!$B$2:$B$3,MATCH(Inputs!$B$3,Scenarios!$A$2:$A$3,0))))^(D$3/4)*(1+Inputs!$B$9))))</f>
        <v>746073.835488151</v>
      </c>
      <c r="E7" s="0" t="n">
        <f aca="false">IF(E$3&lt;=Warehouses!$G$3,0,IF(E4&lt;=Warehouses!$F$3,Warehouses!$D$3*Warehouses!$E$3/4*(1+(INDEX(CPI!$B$2:$H$5,MATCH(Warehouses!$B$3,CPI!$A$2:$A$5,0),MATCH(E5,CPI!$B$1:$H$1,0))+INDEX(Scenarios!$B$2:$B$3,MATCH(Inputs!$B$3,Scenarios!$A$2:$A$3,0))))^(E$3/4),IF(E4&lt;=EOMONTH(Warehouses!$F$3,3*(Inputs!$B$8+INDEX(Scenarios!$C$2:$C$3,MATCH(Inputs!$B$3,Scenarios!$A$2:$A$3,0)))),0,Warehouses!$D$3*Warehouses!$E$3/4*(1+(INDEX(CPI!$B$2:$H$5,MATCH(Warehouses!$B$3,CPI!$A$2:$A$5,0),MATCH(E5,CPI!$B$1:$H$1,0))+INDEX(Scenarios!$B$2:$B$3,MATCH(Inputs!$B$3,Scenarios!$A$2:$A$3,0))))^(E$3/4)*(1+Inputs!$B$9))))</f>
        <v>750143.81646671</v>
      </c>
      <c r="F7" s="0" t="n">
        <f aca="false">IF(F$3&lt;=Warehouses!$G$3,0,IF(F4&lt;=Warehouses!$F$3,Warehouses!$D$3*Warehouses!$E$3/4*(1+(INDEX(CPI!$B$2:$H$5,MATCH(Warehouses!$B$3,CPI!$A$2:$A$5,0),MATCH(F5,CPI!$B$1:$H$1,0))+INDEX(Scenarios!$B$2:$B$3,MATCH(Inputs!$B$3,Scenarios!$A$2:$A$3,0))))^(F$3/4),IF(F4&lt;=EOMONTH(Warehouses!$F$3,3*(Inputs!$B$8+INDEX(Scenarios!$C$2:$C$3,MATCH(Inputs!$B$3,Scenarios!$A$2:$A$3,0)))),0,Warehouses!$D$3*Warehouses!$E$3/4*(1+(INDEX(CPI!$B$2:$H$5,MATCH(Warehouses!$B$3,CPI!$A$2:$A$5,0),MATCH(F5,CPI!$B$1:$H$1,0))+INDEX(Scenarios!$B$2:$B$3,MATCH(Inputs!$B$3,Scenarios!$A$2:$A$3,0))))^(F$3/4)*(1+Inputs!$B$9))))</f>
        <v>754236</v>
      </c>
      <c r="G7" s="0" t="n">
        <f aca="false">IF(G$3&lt;=Warehouses!$G$3,0,IF(G4&lt;=Warehouses!$F$3,Warehouses!$D$3*Warehouses!$E$3/4*(1+(INDEX(CPI!$B$2:$H$5,MATCH(Warehouses!$B$3,CPI!$A$2:$A$5,0),MATCH(G5,CPI!$B$1:$H$1,0))+INDEX(Scenarios!$B$2:$B$3,MATCH(Inputs!$B$3,Scenarios!$A$2:$A$3,0))))^(G$3/4),IF(G4&lt;=EOMONTH(Warehouses!$F$3,3*(Inputs!$B$8+INDEX(Scenarios!$C$2:$C$3,MATCH(Inputs!$B$3,Scenarios!$A$2:$A$3,0)))),0,Warehouses!$D$3*Warehouses!$E$3/4*(1+(INDEX(CPI!$B$2:$H$5,MATCH(Warehouses!$B$3,CPI!$A$2:$A$5,0),MATCH(G5,CPI!$B$1:$H$1,0))+INDEX(Scenarios!$B$2:$B$3,MATCH(Inputs!$B$3,Scenarios!$A$2:$A$3,0))))^(G$3/4)*(1+Inputs!$B$9))))</f>
        <v>757423.088260124</v>
      </c>
      <c r="H7" s="0" t="n">
        <f aca="false">IF(H$3&lt;=Warehouses!$G$3,0,IF(H4&lt;=Warehouses!$F$3,Warehouses!$D$3*Warehouses!$E$3/4*(1+(INDEX(CPI!$B$2:$H$5,MATCH(Warehouses!$B$3,CPI!$A$2:$A$5,0),MATCH(H5,CPI!$B$1:$H$1,0))+INDEX(Scenarios!$B$2:$B$3,MATCH(Inputs!$B$3,Scenarios!$A$2:$A$3,0))))^(H$3/4),IF(H4&lt;=EOMONTH(Warehouses!$F$3,3*(Inputs!$B$8+INDEX(Scenarios!$C$2:$C$3,MATCH(Inputs!$B$3,Scenarios!$A$2:$A$3,0)))),0,Warehouses!$D$3*Warehouses!$E$3/4*(1+(INDEX(CPI!$B$2:$H$5,MATCH(Warehouses!$B$3,CPI!$A$2:$A$5,0),MATCH(H5,CPI!$B$1:$H$1,0))+INDEX(Scenarios!$B$2:$B$3,MATCH(Inputs!$B$3,Scenarios!$A$2:$A$3,0))))^(H$3/4)*(1+Inputs!$B$9))))</f>
        <v>761368.622915394</v>
      </c>
      <c r="I7" s="0" t="n">
        <f aca="false">IF(I$3&lt;=Warehouses!$G$3,0,IF(I4&lt;=Warehouses!$F$3,Warehouses!$D$3*Warehouses!$E$3/4*(1+(INDEX(CPI!$B$2:$H$5,MATCH(Warehouses!$B$3,CPI!$A$2:$A$5,0),MATCH(I5,CPI!$B$1:$H$1,0))+INDEX(Scenarios!$B$2:$B$3,MATCH(Inputs!$B$3,Scenarios!$A$2:$A$3,0))))^(I$3/4),IF(I4&lt;=EOMONTH(Warehouses!$F$3,3*(Inputs!$B$8+INDEX(Scenarios!$C$2:$C$3,MATCH(Inputs!$B$3,Scenarios!$A$2:$A$3,0)))),0,Warehouses!$D$3*Warehouses!$E$3/4*(1+(INDEX(CPI!$B$2:$H$5,MATCH(Warehouses!$B$3,CPI!$A$2:$A$5,0),MATCH(I5,CPI!$B$1:$H$1,0))+INDEX(Scenarios!$B$2:$B$3,MATCH(Inputs!$B$3,Scenarios!$A$2:$A$3,0))))^(I$3/4)*(1+Inputs!$B$9))))</f>
        <v>765334.710474263</v>
      </c>
      <c r="J7" s="0" t="n">
        <f aca="false">IF(J$3&lt;=Warehouses!$G$3,0,IF(J4&lt;=Warehouses!$F$3,Warehouses!$D$3*Warehouses!$E$3/4*(1+(INDEX(CPI!$B$2:$H$5,MATCH(Warehouses!$B$3,CPI!$A$2:$A$5,0),MATCH(J5,CPI!$B$1:$H$1,0))+INDEX(Scenarios!$B$2:$B$3,MATCH(Inputs!$B$3,Scenarios!$A$2:$A$3,0))))^(J$3/4),IF(J4&lt;=EOMONTH(Warehouses!$F$3,3*(Inputs!$B$8+INDEX(Scenarios!$C$2:$C$3,MATCH(Inputs!$B$3,Scenarios!$A$2:$A$3,0)))),0,Warehouses!$D$3*Warehouses!$E$3/4*(1+(INDEX(CPI!$B$2:$H$5,MATCH(Warehouses!$B$3,CPI!$A$2:$A$5,0),MATCH(J5,CPI!$B$1:$H$1,0))+INDEX(Scenarios!$B$2:$B$3,MATCH(Inputs!$B$3,Scenarios!$A$2:$A$3,0))))^(J$3/4)*(1+Inputs!$B$9))))</f>
        <v>769321.458</v>
      </c>
      <c r="K7" s="0" t="n">
        <f aca="false">IF(K$3&lt;=Warehouses!$G$3,0,IF(K4&lt;=Warehouses!$F$3,Warehouses!$D$3*Warehouses!$E$3/4*(1+(INDEX(CPI!$B$2:$H$5,MATCH(Warehouses!$B$3,CPI!$A$2:$A$5,0),MATCH(K5,CPI!$B$1:$H$1,0))+INDEX(Scenarios!$B$2:$B$3,MATCH(Inputs!$B$3,Scenarios!$A$2:$A$3,0))))^(K$3/4),IF(K4&lt;=EOMONTH(Warehouses!$F$3,3*(Inputs!$B$8+INDEX(Scenarios!$C$2:$C$3,MATCH(Inputs!$B$3,Scenarios!$A$2:$A$3,0)))),0,Warehouses!$D$3*Warehouses!$E$3/4*(1+(INDEX(CPI!$B$2:$H$5,MATCH(Warehouses!$B$3,CPI!$A$2:$A$5,0),MATCH(K5,CPI!$B$1:$H$1,0))+INDEX(Scenarios!$B$2:$B$3,MATCH(Inputs!$B$3,Scenarios!$A$2:$A$3,0))))^(K$3/4)*(1+Inputs!$B$9))))</f>
        <v>0</v>
      </c>
      <c r="L7" s="0" t="n">
        <f aca="false">IF(L$3&lt;=Warehouses!$G$3,0,IF(L4&lt;=Warehouses!$F$3,Warehouses!$D$3*Warehouses!$E$3/4*(1+(INDEX(CPI!$B$2:$H$5,MATCH(Warehouses!$B$3,CPI!$A$2:$A$5,0),MATCH(L5,CPI!$B$1:$H$1,0))+INDEX(Scenarios!$B$2:$B$3,MATCH(Inputs!$B$3,Scenarios!$A$2:$A$3,0))))^(L$3/4),IF(L4&lt;=EOMONTH(Warehouses!$F$3,3*(Inputs!$B$8+INDEX(Scenarios!$C$2:$C$3,MATCH(Inputs!$B$3,Scenarios!$A$2:$A$3,0)))),0,Warehouses!$D$3*Warehouses!$E$3/4*(1+(INDEX(CPI!$B$2:$H$5,MATCH(Warehouses!$B$3,CPI!$A$2:$A$5,0),MATCH(L5,CPI!$B$1:$H$1,0))+INDEX(Scenarios!$B$2:$B$3,MATCH(Inputs!$B$3,Scenarios!$A$2:$A$3,0))))^(L$3/4)*(1+Inputs!$B$9))))</f>
        <v>0</v>
      </c>
      <c r="M7" s="0" t="n">
        <f aca="false">IF(M$3&lt;=Warehouses!$G$3,0,IF(M4&lt;=Warehouses!$F$3,Warehouses!$D$3*Warehouses!$E$3/4*(1+(INDEX(CPI!$B$2:$H$5,MATCH(Warehouses!$B$3,CPI!$A$2:$A$5,0),MATCH(M5,CPI!$B$1:$H$1,0))+INDEX(Scenarios!$B$2:$B$3,MATCH(Inputs!$B$3,Scenarios!$A$2:$A$3,0))))^(M$3/4),IF(M4&lt;=EOMONTH(Warehouses!$F$3,3*(Inputs!$B$8+INDEX(Scenarios!$C$2:$C$3,MATCH(Inputs!$B$3,Scenarios!$A$2:$A$3,0)))),0,Warehouses!$D$3*Warehouses!$E$3/4*(1+(INDEX(CPI!$B$2:$H$5,MATCH(Warehouses!$B$3,CPI!$A$2:$A$5,0),MATCH(M5,CPI!$B$1:$H$1,0))+INDEX(Scenarios!$B$2:$B$3,MATCH(Inputs!$B$3,Scenarios!$A$2:$A$3,0))))^(M$3/4)*(1+Inputs!$B$9))))</f>
        <v>841648.181984102</v>
      </c>
      <c r="N7" s="0" t="n">
        <f aca="false">IF(N$3&lt;=Warehouses!$G$3,0,IF(N4&lt;=Warehouses!$F$3,Warehouses!$D$3*Warehouses!$E$3/4*(1+(INDEX(CPI!$B$2:$H$5,MATCH(Warehouses!$B$3,CPI!$A$2:$A$5,0),MATCH(N5,CPI!$B$1:$H$1,0))+INDEX(Scenarios!$B$2:$B$3,MATCH(Inputs!$B$3,Scenarios!$A$2:$A$3,0))))^(N$3/4),IF(N4&lt;=EOMONTH(Warehouses!$F$3,3*(Inputs!$B$8+INDEX(Scenarios!$C$2:$C$3,MATCH(Inputs!$B$3,Scenarios!$A$2:$A$3,0)))),0,Warehouses!$D$3*Warehouses!$E$3/4*(1+(INDEX(CPI!$B$2:$H$5,MATCH(Warehouses!$B$3,CPI!$A$2:$A$5,0),MATCH(N5,CPI!$B$1:$H$1,0))+INDEX(Scenarios!$B$2:$B$3,MATCH(Inputs!$B$3,Scenarios!$A$2:$A$3,0))))^(N$3/4)*(1+Inputs!$B$9))))</f>
        <v>845825.22432</v>
      </c>
      <c r="O7" s="0" t="n">
        <f aca="false">IF(O$3&lt;=Warehouses!$G$3,0,IF(O4&lt;=Warehouses!$F$3,Warehouses!$D$3*Warehouses!$E$3/4*(1+(INDEX(CPI!$B$2:$H$5,MATCH(Warehouses!$B$3,CPI!$A$2:$A$5,0),MATCH(O5,CPI!$B$1:$H$1,0))+INDEX(Scenarios!$B$2:$B$3,MATCH(Inputs!$B$3,Scenarios!$A$2:$A$3,0))))^(O$3/4),IF(O4&lt;=EOMONTH(Warehouses!$F$3,3*(Inputs!$B$8+INDEX(Scenarios!$C$2:$C$3,MATCH(Inputs!$B$3,Scenarios!$A$2:$A$3,0)))),0,Warehouses!$D$3*Warehouses!$E$3/4*(1+(INDEX(CPI!$B$2:$H$5,MATCH(Warehouses!$B$3,CPI!$A$2:$A$5,0),MATCH(O5,CPI!$B$1:$H$1,0))+INDEX(Scenarios!$B$2:$B$3,MATCH(Inputs!$B$3,Scenarios!$A$2:$A$3,0))))^(O$3/4)*(1+Inputs!$B$9))))</f>
        <v>850022.99703119</v>
      </c>
      <c r="P7" s="0" t="n">
        <f aca="false">IF(P$3&lt;=Warehouses!$G$3,0,IF(P4&lt;=Warehouses!$F$3,Warehouses!$D$3*Warehouses!$E$3/4*(1+(INDEX(CPI!$B$2:$H$5,MATCH(Warehouses!$B$3,CPI!$A$2:$A$5,0),MATCH(P5,CPI!$B$1:$H$1,0))+INDEX(Scenarios!$B$2:$B$3,MATCH(Inputs!$B$3,Scenarios!$A$2:$A$3,0))))^(P$3/4),IF(P4&lt;=EOMONTH(Warehouses!$F$3,3*(Inputs!$B$8+INDEX(Scenarios!$C$2:$C$3,MATCH(Inputs!$B$3,Scenarios!$A$2:$A$3,0)))),0,Warehouses!$D$3*Warehouses!$E$3/4*(1+(INDEX(CPI!$B$2:$H$5,MATCH(Warehouses!$B$3,CPI!$A$2:$A$5,0),MATCH(P5,CPI!$B$1:$H$1,0))+INDEX(Scenarios!$B$2:$B$3,MATCH(Inputs!$B$3,Scenarios!$A$2:$A$3,0))))^(P$3/4)*(1+Inputs!$B$9))))</f>
        <v>854241.603001105</v>
      </c>
      <c r="Q7" s="0" t="n">
        <f aca="false">IF(Q$3&lt;=Warehouses!$G$3,0,IF(Q4&lt;=Warehouses!$F$3,Warehouses!$D$3*Warehouses!$E$3/4*(1+(INDEX(CPI!$B$2:$H$5,MATCH(Warehouses!$B$3,CPI!$A$2:$A$5,0),MATCH(Q5,CPI!$B$1:$H$1,0))+INDEX(Scenarios!$B$2:$B$3,MATCH(Inputs!$B$3,Scenarios!$A$2:$A$3,0))))^(Q$3/4),IF(Q4&lt;=EOMONTH(Warehouses!$F$3,3*(Inputs!$B$8+INDEX(Scenarios!$C$2:$C$3,MATCH(Inputs!$B$3,Scenarios!$A$2:$A$3,0)))),0,Warehouses!$D$3*Warehouses!$E$3/4*(1+(INDEX(CPI!$B$2:$H$5,MATCH(Warehouses!$B$3,CPI!$A$2:$A$5,0),MATCH(Q5,CPI!$B$1:$H$1,0))+INDEX(Scenarios!$B$2:$B$3,MATCH(Inputs!$B$3,Scenarios!$A$2:$A$3,0))))^(Q$3/4)*(1+Inputs!$B$9))))</f>
        <v>858481.145623784</v>
      </c>
      <c r="R7" s="0" t="n">
        <f aca="false">IF(R$3&lt;=Warehouses!$G$3,0,IF(R4&lt;=Warehouses!$F$3,Warehouses!$D$3*Warehouses!$E$3/4*(1+(INDEX(CPI!$B$2:$H$5,MATCH(Warehouses!$B$3,CPI!$A$2:$A$5,0),MATCH(R5,CPI!$B$1:$H$1,0))+INDEX(Scenarios!$B$2:$B$3,MATCH(Inputs!$B$3,Scenarios!$A$2:$A$3,0))))^(R$3/4),IF(R4&lt;=EOMONTH(Warehouses!$F$3,3*(Inputs!$B$8+INDEX(Scenarios!$C$2:$C$3,MATCH(Inputs!$B$3,Scenarios!$A$2:$A$3,0)))),0,Warehouses!$D$3*Warehouses!$E$3/4*(1+(INDEX(CPI!$B$2:$H$5,MATCH(Warehouses!$B$3,CPI!$A$2:$A$5,0),MATCH(R5,CPI!$B$1:$H$1,0))+INDEX(Scenarios!$B$2:$B$3,MATCH(Inputs!$B$3,Scenarios!$A$2:$A$3,0))))^(R$3/4)*(1+Inputs!$B$9))))</f>
        <v>862741.7288064</v>
      </c>
      <c r="S7" s="0" t="n">
        <f aca="false">IF(S$3&lt;=Warehouses!$G$3,0,IF(S4&lt;=Warehouses!$F$3,Warehouses!$D$3*Warehouses!$E$3/4*(1+(INDEX(CPI!$B$2:$H$5,MATCH(Warehouses!$B$3,CPI!$A$2:$A$5,0),MATCH(S5,CPI!$B$1:$H$1,0))+INDEX(Scenarios!$B$2:$B$3,MATCH(Inputs!$B$3,Scenarios!$A$2:$A$3,0))))^(S$3/4),IF(S4&lt;=EOMONTH(Warehouses!$F$3,3*(Inputs!$B$8+INDEX(Scenarios!$C$2:$C$3,MATCH(Inputs!$B$3,Scenarios!$A$2:$A$3,0)))),0,Warehouses!$D$3*Warehouses!$E$3/4*(1+(INDEX(CPI!$B$2:$H$5,MATCH(Warehouses!$B$3,CPI!$A$2:$A$5,0),MATCH(S5,CPI!$B$1:$H$1,0))+INDEX(Scenarios!$B$2:$B$3,MATCH(Inputs!$B$3,Scenarios!$A$2:$A$3,0))))^(S$3/4)*(1+Inputs!$B$9))))</f>
        <v>867023.456971814</v>
      </c>
      <c r="T7" s="0" t="n">
        <f aca="false">IF(T$3&lt;=Warehouses!$G$3,0,IF(T4&lt;=Warehouses!$F$3,Warehouses!$D$3*Warehouses!$E$3/4*(1+(INDEX(CPI!$B$2:$H$5,MATCH(Warehouses!$B$3,CPI!$A$2:$A$5,0),MATCH(T5,CPI!$B$1:$H$1,0))+INDEX(Scenarios!$B$2:$B$3,MATCH(Inputs!$B$3,Scenarios!$A$2:$A$3,0))))^(T$3/4),IF(T4&lt;=EOMONTH(Warehouses!$F$3,3*(Inputs!$B$8+INDEX(Scenarios!$C$2:$C$3,MATCH(Inputs!$B$3,Scenarios!$A$2:$A$3,0)))),0,Warehouses!$D$3*Warehouses!$E$3/4*(1+(INDEX(CPI!$B$2:$H$5,MATCH(Warehouses!$B$3,CPI!$A$2:$A$5,0),MATCH(T5,CPI!$B$1:$H$1,0))+INDEX(Scenarios!$B$2:$B$3,MATCH(Inputs!$B$3,Scenarios!$A$2:$A$3,0))))^(T$3/4)*(1+Inputs!$B$9))))</f>
        <v>871326.435061127</v>
      </c>
      <c r="U7" s="0" t="n">
        <f aca="false">IF(U$3&lt;=Warehouses!$G$3,0,IF(U4&lt;=Warehouses!$F$3,Warehouses!$D$3*Warehouses!$E$3/4*(1+(INDEX(CPI!$B$2:$H$5,MATCH(Warehouses!$B$3,CPI!$A$2:$A$5,0),MATCH(U5,CPI!$B$1:$H$1,0))+INDEX(Scenarios!$B$2:$B$3,MATCH(Inputs!$B$3,Scenarios!$A$2:$A$3,0))))^(U$3/4),IF(U4&lt;=EOMONTH(Warehouses!$F$3,3*(Inputs!$B$8+INDEX(Scenarios!$C$2:$C$3,MATCH(Inputs!$B$3,Scenarios!$A$2:$A$3,0)))),0,Warehouses!$D$3*Warehouses!$E$3/4*(1+(INDEX(CPI!$B$2:$H$5,MATCH(Warehouses!$B$3,CPI!$A$2:$A$5,0),MATCH(U5,CPI!$B$1:$H$1,0))+INDEX(Scenarios!$B$2:$B$3,MATCH(Inputs!$B$3,Scenarios!$A$2:$A$3,0))))^(U$3/4)*(1+Inputs!$B$9))))</f>
        <v>875650.768536259</v>
      </c>
      <c r="V7" s="0" t="n">
        <f aca="false">IF(V$3&lt;=Warehouses!$G$3,0,IF(V4&lt;=Warehouses!$F$3,Warehouses!$D$3*Warehouses!$E$3/4*(1+(INDEX(CPI!$B$2:$H$5,MATCH(Warehouses!$B$3,CPI!$A$2:$A$5,0),MATCH(V5,CPI!$B$1:$H$1,0))+INDEX(Scenarios!$B$2:$B$3,MATCH(Inputs!$B$3,Scenarios!$A$2:$A$3,0))))^(V$3/4),IF(V4&lt;=EOMONTH(Warehouses!$F$3,3*(Inputs!$B$8+INDEX(Scenarios!$C$2:$C$3,MATCH(Inputs!$B$3,Scenarios!$A$2:$A$3,0)))),0,Warehouses!$D$3*Warehouses!$E$3/4*(1+(INDEX(CPI!$B$2:$H$5,MATCH(Warehouses!$B$3,CPI!$A$2:$A$5,0),MATCH(V5,CPI!$B$1:$H$1,0))+INDEX(Scenarios!$B$2:$B$3,MATCH(Inputs!$B$3,Scenarios!$A$2:$A$3,0))))^(V$3/4)*(1+Inputs!$B$9))))</f>
        <v>879996.563382528</v>
      </c>
      <c r="W7" s="0" t="n">
        <f aca="false">IF(W$3&lt;=Warehouses!$G$3,0,IF(W4&lt;=Warehouses!$F$3,Warehouses!$D$3*Warehouses!$E$3/4*(1+(INDEX(CPI!$B$2:$H$5,MATCH(Warehouses!$B$3,CPI!$A$2:$A$5,0),MATCH(W5,CPI!$B$1:$H$1,0))+INDEX(Scenarios!$B$2:$B$3,MATCH(Inputs!$B$3,Scenarios!$A$2:$A$3,0))))^(W$3/4),IF(W4&lt;=EOMONTH(Warehouses!$F$3,3*(Inputs!$B$8+INDEX(Scenarios!$C$2:$C$3,MATCH(Inputs!$B$3,Scenarios!$A$2:$A$3,0)))),0,Warehouses!$D$3*Warehouses!$E$3/4*(1+(INDEX(CPI!$B$2:$H$5,MATCH(Warehouses!$B$3,CPI!$A$2:$A$5,0),MATCH(W5,CPI!$B$1:$H$1,0))+INDEX(Scenarios!$B$2:$B$3,MATCH(Inputs!$B$3,Scenarios!$A$2:$A$3,0))))^(W$3/4)*(1+Inputs!$B$9))))</f>
        <v>884363.92611125</v>
      </c>
      <c r="X7" s="0" t="n">
        <f aca="false">IF(X$3&lt;=Warehouses!$G$3,0,IF(X4&lt;=Warehouses!$F$3,Warehouses!$D$3*Warehouses!$E$3/4*(1+(INDEX(CPI!$B$2:$H$5,MATCH(Warehouses!$B$3,CPI!$A$2:$A$5,0),MATCH(X5,CPI!$B$1:$H$1,0))+INDEX(Scenarios!$B$2:$B$3,MATCH(Inputs!$B$3,Scenarios!$A$2:$A$3,0))))^(X$3/4),IF(X4&lt;=EOMONTH(Warehouses!$F$3,3*(Inputs!$B$8+INDEX(Scenarios!$C$2:$C$3,MATCH(Inputs!$B$3,Scenarios!$A$2:$A$3,0)))),0,Warehouses!$D$3*Warehouses!$E$3/4*(1+(INDEX(CPI!$B$2:$H$5,MATCH(Warehouses!$B$3,CPI!$A$2:$A$5,0),MATCH(X5,CPI!$B$1:$H$1,0))+INDEX(Scenarios!$B$2:$B$3,MATCH(Inputs!$B$3,Scenarios!$A$2:$A$3,0))))^(X$3/4)*(1+Inputs!$B$9))))</f>
        <v>888752.96376235</v>
      </c>
      <c r="Y7" s="0" t="n">
        <f aca="false">IF(Y$3&lt;=Warehouses!$G$3,0,IF(Y4&lt;=Warehouses!$F$3,Warehouses!$D$3*Warehouses!$E$3/4*(1+(INDEX(CPI!$B$2:$H$5,MATCH(Warehouses!$B$3,CPI!$A$2:$A$5,0),MATCH(Y5,CPI!$B$1:$H$1,0))+INDEX(Scenarios!$B$2:$B$3,MATCH(Inputs!$B$3,Scenarios!$A$2:$A$3,0))))^(Y$3/4),IF(Y4&lt;=EOMONTH(Warehouses!$F$3,3*(Inputs!$B$8+INDEX(Scenarios!$C$2:$C$3,MATCH(Inputs!$B$3,Scenarios!$A$2:$A$3,0)))),0,Warehouses!$D$3*Warehouses!$E$3/4*(1+(INDEX(CPI!$B$2:$H$5,MATCH(Warehouses!$B$3,CPI!$A$2:$A$5,0),MATCH(Y5,CPI!$B$1:$H$1,0))+INDEX(Scenarios!$B$2:$B$3,MATCH(Inputs!$B$3,Scenarios!$A$2:$A$3,0))))^(Y$3/4)*(1+Inputs!$B$9))))</f>
        <v>893163.783906985</v>
      </c>
      <c r="Z7" s="0" t="n">
        <f aca="false">IF(Z$3&lt;=Warehouses!$G$3,0,IF(Z4&lt;=Warehouses!$F$3,Warehouses!$D$3*Warehouses!$E$3/4*(1+(INDEX(CPI!$B$2:$H$5,MATCH(Warehouses!$B$3,CPI!$A$2:$A$5,0),MATCH(Z5,CPI!$B$1:$H$1,0))+INDEX(Scenarios!$B$2:$B$3,MATCH(Inputs!$B$3,Scenarios!$A$2:$A$3,0))))^(Z$3/4),IF(Z4&lt;=EOMONTH(Warehouses!$F$3,3*(Inputs!$B$8+INDEX(Scenarios!$C$2:$C$3,MATCH(Inputs!$B$3,Scenarios!$A$2:$A$3,0)))),0,Warehouses!$D$3*Warehouses!$E$3/4*(1+(INDEX(CPI!$B$2:$H$5,MATCH(Warehouses!$B$3,CPI!$A$2:$A$5,0),MATCH(Z5,CPI!$B$1:$H$1,0))+INDEX(Scenarios!$B$2:$B$3,MATCH(Inputs!$B$3,Scenarios!$A$2:$A$3,0))))^(Z$3/4)*(1+Inputs!$B$9))))</f>
        <v>897596.494650179</v>
      </c>
      <c r="AA7" s="0" t="n">
        <f aca="false">IF(AA$3&lt;=Warehouses!$G$3,0,IF(AA4&lt;=Warehouses!$F$3,Warehouses!$D$3*Warehouses!$E$3/4*(1+(INDEX(CPI!$B$2:$H$5,MATCH(Warehouses!$B$3,CPI!$A$2:$A$5,0),MATCH(AA5,CPI!$B$1:$H$1,0))+INDEX(Scenarios!$B$2:$B$3,MATCH(Inputs!$B$3,Scenarios!$A$2:$A$3,0))))^(AA$3/4),IF(AA4&lt;=EOMONTH(Warehouses!$F$3,3*(Inputs!$B$8+INDEX(Scenarios!$C$2:$C$3,MATCH(Inputs!$B$3,Scenarios!$A$2:$A$3,0)))),0,Warehouses!$D$3*Warehouses!$E$3/4*(1+(INDEX(CPI!$B$2:$H$5,MATCH(Warehouses!$B$3,CPI!$A$2:$A$5,0),MATCH(AA5,CPI!$B$1:$H$1,0))+INDEX(Scenarios!$B$2:$B$3,MATCH(Inputs!$B$3,Scenarios!$A$2:$A$3,0))))^(AA$3/4)*(1+Inputs!$B$9))))</f>
        <v>902051.204633475</v>
      </c>
      <c r="AB7" s="0" t="n">
        <f aca="false">IF(AB$3&lt;=Warehouses!$G$3,0,IF(AB4&lt;=Warehouses!$F$3,Warehouses!$D$3*Warehouses!$E$3/4*(1+(INDEX(CPI!$B$2:$H$5,MATCH(Warehouses!$B$3,CPI!$A$2:$A$5,0),MATCH(AB5,CPI!$B$1:$H$1,0))+INDEX(Scenarios!$B$2:$B$3,MATCH(Inputs!$B$3,Scenarios!$A$2:$A$3,0))))^(AB$3/4),IF(AB4&lt;=EOMONTH(Warehouses!$F$3,3*(Inputs!$B$8+INDEX(Scenarios!$C$2:$C$3,MATCH(Inputs!$B$3,Scenarios!$A$2:$A$3,0)))),0,Warehouses!$D$3*Warehouses!$E$3/4*(1+(INDEX(CPI!$B$2:$H$5,MATCH(Warehouses!$B$3,CPI!$A$2:$A$5,0),MATCH(AB5,CPI!$B$1:$H$1,0))+INDEX(Scenarios!$B$2:$B$3,MATCH(Inputs!$B$3,Scenarios!$A$2:$A$3,0))))^(AB$3/4)*(1+Inputs!$B$9))))</f>
        <v>906528.023037597</v>
      </c>
      <c r="AC7" s="0" t="n">
        <f aca="false">IF(AC$3&lt;=Warehouses!$G$3,0,IF(AC4&lt;=Warehouses!$F$3,Warehouses!$D$3*Warehouses!$E$3/4*(1+(INDEX(CPI!$B$2:$H$5,MATCH(Warehouses!$B$3,CPI!$A$2:$A$5,0),MATCH(AC5,CPI!$B$1:$H$1,0))+INDEX(Scenarios!$B$2:$B$3,MATCH(Inputs!$B$3,Scenarios!$A$2:$A$3,0))))^(AC$3/4),IF(AC4&lt;=EOMONTH(Warehouses!$F$3,3*(Inputs!$B$8+INDEX(Scenarios!$C$2:$C$3,MATCH(Inputs!$B$3,Scenarios!$A$2:$A$3,0)))),0,Warehouses!$D$3*Warehouses!$E$3/4*(1+(INDEX(CPI!$B$2:$H$5,MATCH(Warehouses!$B$3,CPI!$A$2:$A$5,0),MATCH(AC5,CPI!$B$1:$H$1,0))+INDEX(Scenarios!$B$2:$B$3,MATCH(Inputs!$B$3,Scenarios!$A$2:$A$3,0))))^(AC$3/4)*(1+Inputs!$B$9))))</f>
        <v>911027.059585124</v>
      </c>
      <c r="AD7" s="0" t="n">
        <f aca="false">IF(AD$3&lt;=Warehouses!$G$3,0,IF(AD4&lt;=Warehouses!$F$3,Warehouses!$D$3*Warehouses!$E$3/4*(1+(INDEX(CPI!$B$2:$H$5,MATCH(Warehouses!$B$3,CPI!$A$2:$A$5,0),MATCH(AD5,CPI!$B$1:$H$1,0))+INDEX(Scenarios!$B$2:$B$3,MATCH(Inputs!$B$3,Scenarios!$A$2:$A$3,0))))^(AD$3/4),IF(AD4&lt;=EOMONTH(Warehouses!$F$3,3*(Inputs!$B$8+INDEX(Scenarios!$C$2:$C$3,MATCH(Inputs!$B$3,Scenarios!$A$2:$A$3,0)))),0,Warehouses!$D$3*Warehouses!$E$3/4*(1+(INDEX(CPI!$B$2:$H$5,MATCH(Warehouses!$B$3,CPI!$A$2:$A$5,0),MATCH(AD5,CPI!$B$1:$H$1,0))+INDEX(Scenarios!$B$2:$B$3,MATCH(Inputs!$B$3,Scenarios!$A$2:$A$3,0))))^(AD$3/4)*(1+Inputs!$B$9))))</f>
        <v>915548.424543182</v>
      </c>
    </row>
    <row r="8" customFormat="false" ht="15" hidden="false" customHeight="false" outlineLevel="0" collapsed="false">
      <c r="A8" s="0" t="s">
        <v>41</v>
      </c>
      <c r="B8" s="0" t="n">
        <f aca="false">0</f>
        <v>0</v>
      </c>
      <c r="C8" s="0" t="n">
        <f aca="false">IF(C$3&lt;=Warehouses!$G$4,0,IF(C4&lt;=Warehouses!$F$4,Warehouses!$D$4*Warehouses!$E$4/4*(1+(INDEX(CPI!$B$2:$H$5,MATCH(Warehouses!$B$4,CPI!$A$2:$A$5,0),MATCH(C5,CPI!$B$1:$H$1,0))+INDEX(Scenarios!$B$2:$B$3,MATCH(Inputs!$B$3,Scenarios!$A$2:$A$3,0))))^(C$3/4),IF(C4&lt;=EOMONTH(Warehouses!$F$4,3*(Inputs!$B$8+INDEX(Scenarios!$C$2:$C$3,MATCH(Inputs!$B$3,Scenarios!$A$2:$A$3,0)))),0,Warehouses!$D$4*Warehouses!$E$4/4*(1+(INDEX(CPI!$B$2:$H$5,MATCH(Warehouses!$B$4,CPI!$A$2:$A$5,0),MATCH(C5,CPI!$B$1:$H$1,0))+INDEX(Scenarios!$B$2:$B$3,MATCH(Inputs!$B$3,Scenarios!$A$2:$A$3,0))))^(C$3/4)*(1+Inputs!$B$9))))</f>
        <v>1119825.72749405</v>
      </c>
      <c r="D8" s="0" t="n">
        <f aca="false">IF(D$3&lt;=Warehouses!$G$4,0,IF(D4&lt;=Warehouses!$F$4,Warehouses!$D$4*Warehouses!$E$4/4*(1+(INDEX(CPI!$B$2:$H$5,MATCH(Warehouses!$B$4,CPI!$A$2:$A$5,0),MATCH(D5,CPI!$B$1:$H$1,0))+INDEX(Scenarios!$B$2:$B$3,MATCH(Inputs!$B$3,Scenarios!$A$2:$A$3,0))))^(D$3/4),IF(D4&lt;=EOMONTH(Warehouses!$F$4,3*(Inputs!$B$8+INDEX(Scenarios!$C$2:$C$3,MATCH(Inputs!$B$3,Scenarios!$A$2:$A$3,0)))),0,Warehouses!$D$4*Warehouses!$E$4/4*(1+(INDEX(CPI!$B$2:$H$5,MATCH(Warehouses!$B$4,CPI!$A$2:$A$5,0),MATCH(D5,CPI!$B$1:$H$1,0))+INDEX(Scenarios!$B$2:$B$3,MATCH(Inputs!$B$3,Scenarios!$A$2:$A$3,0))))^(D$3/4)*(1+Inputs!$B$9))))</f>
        <v>1125934.59928852</v>
      </c>
      <c r="E8" s="0" t="n">
        <f aca="false">IF(E$3&lt;=Warehouses!$G$4,0,IF(E4&lt;=Warehouses!$F$4,Warehouses!$D$4*Warehouses!$E$4/4*(1+(INDEX(CPI!$B$2:$H$5,MATCH(Warehouses!$B$4,CPI!$A$2:$A$5,0),MATCH(E5,CPI!$B$1:$H$1,0))+INDEX(Scenarios!$B$2:$B$3,MATCH(Inputs!$B$3,Scenarios!$A$2:$A$3,0))))^(E$3/4),IF(E4&lt;=EOMONTH(Warehouses!$F$4,3*(Inputs!$B$8+INDEX(Scenarios!$C$2:$C$3,MATCH(Inputs!$B$3,Scenarios!$A$2:$A$3,0)))),0,Warehouses!$D$4*Warehouses!$E$4/4*(1+(INDEX(CPI!$B$2:$H$5,MATCH(Warehouses!$B$4,CPI!$A$2:$A$5,0),MATCH(E5,CPI!$B$1:$H$1,0))+INDEX(Scenarios!$B$2:$B$3,MATCH(Inputs!$B$3,Scenarios!$A$2:$A$3,0))))^(E$3/4)*(1+Inputs!$B$9))))</f>
        <v>1132076.79619214</v>
      </c>
      <c r="F8" s="0" t="n">
        <f aca="false">IF(F$3&lt;=Warehouses!$G$4,0,IF(F4&lt;=Warehouses!$F$4,Warehouses!$D$4*Warehouses!$E$4/4*(1+(INDEX(CPI!$B$2:$H$5,MATCH(Warehouses!$B$4,CPI!$A$2:$A$5,0),MATCH(F5,CPI!$B$1:$H$1,0))+INDEX(Scenarios!$B$2:$B$3,MATCH(Inputs!$B$3,Scenarios!$A$2:$A$3,0))))^(F$3/4),IF(F4&lt;=EOMONTH(Warehouses!$F$4,3*(Inputs!$B$8+INDEX(Scenarios!$C$2:$C$3,MATCH(Inputs!$B$3,Scenarios!$A$2:$A$3,0)))),0,Warehouses!$D$4*Warehouses!$E$4/4*(1+(INDEX(CPI!$B$2:$H$5,MATCH(Warehouses!$B$4,CPI!$A$2:$A$5,0),MATCH(F5,CPI!$B$1:$H$1,0))+INDEX(Scenarios!$B$2:$B$3,MATCH(Inputs!$B$3,Scenarios!$A$2:$A$3,0))))^(F$3/4)*(1+Inputs!$B$9))))</f>
        <v>1138252.5</v>
      </c>
      <c r="G8" s="0" t="n">
        <f aca="false">IF(G$3&lt;=Warehouses!$G$4,0,IF(G4&lt;=Warehouses!$F$4,Warehouses!$D$4*Warehouses!$E$4/4*(1+(INDEX(CPI!$B$2:$H$5,MATCH(Warehouses!$B$4,CPI!$A$2:$A$5,0),MATCH(G5,CPI!$B$1:$H$1,0))+INDEX(Scenarios!$B$2:$B$3,MATCH(Inputs!$B$3,Scenarios!$A$2:$A$3,0))))^(G$3/4),IF(G4&lt;=EOMONTH(Warehouses!$F$4,3*(Inputs!$B$8+INDEX(Scenarios!$C$2:$C$3,MATCH(Inputs!$B$3,Scenarios!$A$2:$A$3,0)))),0,Warehouses!$D$4*Warehouses!$E$4/4*(1+(INDEX(CPI!$B$2:$H$5,MATCH(Warehouses!$B$4,CPI!$A$2:$A$5,0),MATCH(G5,CPI!$B$1:$H$1,0))+INDEX(Scenarios!$B$2:$B$3,MATCH(Inputs!$B$3,Scenarios!$A$2:$A$3,0))))^(G$3/4)*(1+Inputs!$B$9))))</f>
        <v>1143062.28258769</v>
      </c>
      <c r="H8" s="0" t="n">
        <f aca="false">IF(H$3&lt;=Warehouses!$G$4,0,IF(H4&lt;=Warehouses!$F$4,Warehouses!$D$4*Warehouses!$E$4/4*(1+(INDEX(CPI!$B$2:$H$5,MATCH(Warehouses!$B$4,CPI!$A$2:$A$5,0),MATCH(H5,CPI!$B$1:$H$1,0))+INDEX(Scenarios!$B$2:$B$3,MATCH(Inputs!$B$3,Scenarios!$A$2:$A$3,0))))^(H$3/4),IF(H4&lt;=EOMONTH(Warehouses!$F$4,3*(Inputs!$B$8+INDEX(Scenarios!$C$2:$C$3,MATCH(Inputs!$B$3,Scenarios!$A$2:$A$3,0)))),0,Warehouses!$D$4*Warehouses!$E$4/4*(1+(INDEX(CPI!$B$2:$H$5,MATCH(Warehouses!$B$4,CPI!$A$2:$A$5,0),MATCH(H5,CPI!$B$1:$H$1,0))+INDEX(Scenarios!$B$2:$B$3,MATCH(Inputs!$B$3,Scenarios!$A$2:$A$3,0))))^(H$3/4)*(1+Inputs!$B$9))))</f>
        <v>1149016.67177781</v>
      </c>
      <c r="I8" s="0" t="n">
        <f aca="false">IF(I$3&lt;=Warehouses!$G$4,0,IF(I4&lt;=Warehouses!$F$4,Warehouses!$D$4*Warehouses!$E$4/4*(1+(INDEX(CPI!$B$2:$H$5,MATCH(Warehouses!$B$4,CPI!$A$2:$A$5,0),MATCH(I5,CPI!$B$1:$H$1,0))+INDEX(Scenarios!$B$2:$B$3,MATCH(Inputs!$B$3,Scenarios!$A$2:$A$3,0))))^(I$3/4),IF(I4&lt;=EOMONTH(Warehouses!$F$4,3*(Inputs!$B$8+INDEX(Scenarios!$C$2:$C$3,MATCH(Inputs!$B$3,Scenarios!$A$2:$A$3,0)))),0,Warehouses!$D$4*Warehouses!$E$4/4*(1+(INDEX(CPI!$B$2:$H$5,MATCH(Warehouses!$B$4,CPI!$A$2:$A$5,0),MATCH(I5,CPI!$B$1:$H$1,0))+INDEX(Scenarios!$B$2:$B$3,MATCH(Inputs!$B$3,Scenarios!$A$2:$A$3,0))))^(I$3/4)*(1+Inputs!$B$9))))</f>
        <v>1155002.07830719</v>
      </c>
      <c r="J8" s="0" t="n">
        <f aca="false">IF(J$3&lt;=Warehouses!$G$4,0,IF(J4&lt;=Warehouses!$F$4,Warehouses!$D$4*Warehouses!$E$4/4*(1+(INDEX(CPI!$B$2:$H$5,MATCH(Warehouses!$B$4,CPI!$A$2:$A$5,0),MATCH(J5,CPI!$B$1:$H$1,0))+INDEX(Scenarios!$B$2:$B$3,MATCH(Inputs!$B$3,Scenarios!$A$2:$A$3,0))))^(J$3/4),IF(J4&lt;=EOMONTH(Warehouses!$F$4,3*(Inputs!$B$8+INDEX(Scenarios!$C$2:$C$3,MATCH(Inputs!$B$3,Scenarios!$A$2:$A$3,0)))),0,Warehouses!$D$4*Warehouses!$E$4/4*(1+(INDEX(CPI!$B$2:$H$5,MATCH(Warehouses!$B$4,CPI!$A$2:$A$5,0),MATCH(J5,CPI!$B$1:$H$1,0))+INDEX(Scenarios!$B$2:$B$3,MATCH(Inputs!$B$3,Scenarios!$A$2:$A$3,0))))^(J$3/4)*(1+Inputs!$B$9))))</f>
        <v>1161018.66375</v>
      </c>
      <c r="K8" s="0" t="n">
        <f aca="false">IF(K$3&lt;=Warehouses!$G$4,0,IF(K4&lt;=Warehouses!$F$4,Warehouses!$D$4*Warehouses!$E$4/4*(1+(INDEX(CPI!$B$2:$H$5,MATCH(Warehouses!$B$4,CPI!$A$2:$A$5,0),MATCH(K5,CPI!$B$1:$H$1,0))+INDEX(Scenarios!$B$2:$B$3,MATCH(Inputs!$B$3,Scenarios!$A$2:$A$3,0))))^(K$3/4),IF(K4&lt;=EOMONTH(Warehouses!$F$4,3*(Inputs!$B$8+INDEX(Scenarios!$C$2:$C$3,MATCH(Inputs!$B$3,Scenarios!$A$2:$A$3,0)))),0,Warehouses!$D$4*Warehouses!$E$4/4*(1+(INDEX(CPI!$B$2:$H$5,MATCH(Warehouses!$B$4,CPI!$A$2:$A$5,0),MATCH(K5,CPI!$B$1:$H$1,0))+INDEX(Scenarios!$B$2:$B$3,MATCH(Inputs!$B$3,Scenarios!$A$2:$A$3,0))))^(K$3/4)*(1+Inputs!$B$9))))</f>
        <v>1164496.27462726</v>
      </c>
      <c r="L8" s="0" t="n">
        <f aca="false">IF(L$3&lt;=Warehouses!$G$4,0,IF(L4&lt;=Warehouses!$F$4,Warehouses!$D$4*Warehouses!$E$4/4*(1+(INDEX(CPI!$B$2:$H$5,MATCH(Warehouses!$B$4,CPI!$A$2:$A$5,0),MATCH(L5,CPI!$B$1:$H$1,0))+INDEX(Scenarios!$B$2:$B$3,MATCH(Inputs!$B$3,Scenarios!$A$2:$A$3,0))))^(L$3/4),IF(L4&lt;=EOMONTH(Warehouses!$F$4,3*(Inputs!$B$8+INDEX(Scenarios!$C$2:$C$3,MATCH(Inputs!$B$3,Scenarios!$A$2:$A$3,0)))),0,Warehouses!$D$4*Warehouses!$E$4/4*(1+(INDEX(CPI!$B$2:$H$5,MATCH(Warehouses!$B$4,CPI!$A$2:$A$5,0),MATCH(L5,CPI!$B$1:$H$1,0))+INDEX(Scenarios!$B$2:$B$3,MATCH(Inputs!$B$3,Scenarios!$A$2:$A$3,0))))^(L$3/4)*(1+Inputs!$B$9))))</f>
        <v>1170275.58995548</v>
      </c>
      <c r="M8" s="0" t="n">
        <f aca="false">IF(M$3&lt;=Warehouses!$G$4,0,IF(M4&lt;=Warehouses!$F$4,Warehouses!$D$4*Warehouses!$E$4/4*(1+(INDEX(CPI!$B$2:$H$5,MATCH(Warehouses!$B$4,CPI!$A$2:$A$5,0),MATCH(M5,CPI!$B$1:$H$1,0))+INDEX(Scenarios!$B$2:$B$3,MATCH(Inputs!$B$3,Scenarios!$A$2:$A$3,0))))^(M$3/4),IF(M4&lt;=EOMONTH(Warehouses!$F$4,3*(Inputs!$B$8+INDEX(Scenarios!$C$2:$C$3,MATCH(Inputs!$B$3,Scenarios!$A$2:$A$3,0)))),0,Warehouses!$D$4*Warehouses!$E$4/4*(1+(INDEX(CPI!$B$2:$H$5,MATCH(Warehouses!$B$4,CPI!$A$2:$A$5,0),MATCH(M5,CPI!$B$1:$H$1,0))+INDEX(Scenarios!$B$2:$B$3,MATCH(Inputs!$B$3,Scenarios!$A$2:$A$3,0))))^(M$3/4)*(1+Inputs!$B$9))))</f>
        <v>1176083.58763022</v>
      </c>
      <c r="N8" s="0" t="n">
        <f aca="false">IF(N$3&lt;=Warehouses!$G$4,0,IF(N4&lt;=Warehouses!$F$4,Warehouses!$D$4*Warehouses!$E$4/4*(1+(INDEX(CPI!$B$2:$H$5,MATCH(Warehouses!$B$4,CPI!$A$2:$A$5,0),MATCH(N5,CPI!$B$1:$H$1,0))+INDEX(Scenarios!$B$2:$B$3,MATCH(Inputs!$B$3,Scenarios!$A$2:$A$3,0))))^(N$3/4),IF(N4&lt;=EOMONTH(Warehouses!$F$4,3*(Inputs!$B$8+INDEX(Scenarios!$C$2:$C$3,MATCH(Inputs!$B$3,Scenarios!$A$2:$A$3,0)))),0,Warehouses!$D$4*Warehouses!$E$4/4*(1+(INDEX(CPI!$B$2:$H$5,MATCH(Warehouses!$B$4,CPI!$A$2:$A$5,0),MATCH(N5,CPI!$B$1:$H$1,0))+INDEX(Scenarios!$B$2:$B$3,MATCH(Inputs!$B$3,Scenarios!$A$2:$A$3,0))))^(N$3/4)*(1+Inputs!$B$9))))</f>
        <v>1181920.41</v>
      </c>
      <c r="O8" s="0" t="n">
        <f aca="false">IF(O$3&lt;=Warehouses!$G$4,0,IF(O4&lt;=Warehouses!$F$4,Warehouses!$D$4*Warehouses!$E$4/4*(1+(INDEX(CPI!$B$2:$H$5,MATCH(Warehouses!$B$4,CPI!$A$2:$A$5,0),MATCH(O5,CPI!$B$1:$H$1,0))+INDEX(Scenarios!$B$2:$B$3,MATCH(Inputs!$B$3,Scenarios!$A$2:$A$3,0))))^(O$3/4),IF(O4&lt;=EOMONTH(Warehouses!$F$4,3*(Inputs!$B$8+INDEX(Scenarios!$C$2:$C$3,MATCH(Inputs!$B$3,Scenarios!$A$2:$A$3,0)))),0,Warehouses!$D$4*Warehouses!$E$4/4*(1+(INDEX(CPI!$B$2:$H$5,MATCH(Warehouses!$B$4,CPI!$A$2:$A$5,0),MATCH(O5,CPI!$B$1:$H$1,0))+INDEX(Scenarios!$B$2:$B$3,MATCH(Inputs!$B$3,Scenarios!$A$2:$A$3,0))))^(O$3/4)*(1+Inputs!$B$9))))</f>
        <v>1187786.2001198</v>
      </c>
      <c r="P8" s="0" t="n">
        <f aca="false">IF(P$3&lt;=Warehouses!$G$4,0,IF(P4&lt;=Warehouses!$F$4,Warehouses!$D$4*Warehouses!$E$4/4*(1+(INDEX(CPI!$B$2:$H$5,MATCH(Warehouses!$B$4,CPI!$A$2:$A$5,0),MATCH(P5,CPI!$B$1:$H$1,0))+INDEX(Scenarios!$B$2:$B$3,MATCH(Inputs!$B$3,Scenarios!$A$2:$A$3,0))))^(P$3/4),IF(P4&lt;=EOMONTH(Warehouses!$F$4,3*(Inputs!$B$8+INDEX(Scenarios!$C$2:$C$3,MATCH(Inputs!$B$3,Scenarios!$A$2:$A$3,0)))),0,Warehouses!$D$4*Warehouses!$E$4/4*(1+(INDEX(CPI!$B$2:$H$5,MATCH(Warehouses!$B$4,CPI!$A$2:$A$5,0),MATCH(P5,CPI!$B$1:$H$1,0))+INDEX(Scenarios!$B$2:$B$3,MATCH(Inputs!$B$3,Scenarios!$A$2:$A$3,0))))^(P$3/4)*(1+Inputs!$B$9))))</f>
        <v>1193681.10175459</v>
      </c>
      <c r="Q8" s="0" t="n">
        <f aca="false">IF(Q$3&lt;=Warehouses!$G$4,0,IF(Q4&lt;=Warehouses!$F$4,Warehouses!$D$4*Warehouses!$E$4/4*(1+(INDEX(CPI!$B$2:$H$5,MATCH(Warehouses!$B$4,CPI!$A$2:$A$5,0),MATCH(Q5,CPI!$B$1:$H$1,0))+INDEX(Scenarios!$B$2:$B$3,MATCH(Inputs!$B$3,Scenarios!$A$2:$A$3,0))))^(Q$3/4),IF(Q4&lt;=EOMONTH(Warehouses!$F$4,3*(Inputs!$B$8+INDEX(Scenarios!$C$2:$C$3,MATCH(Inputs!$B$3,Scenarios!$A$2:$A$3,0)))),0,Warehouses!$D$4*Warehouses!$E$4/4*(1+(INDEX(CPI!$B$2:$H$5,MATCH(Warehouses!$B$4,CPI!$A$2:$A$5,0),MATCH(Q5,CPI!$B$1:$H$1,0))+INDEX(Scenarios!$B$2:$B$3,MATCH(Inputs!$B$3,Scenarios!$A$2:$A$3,0))))^(Q$3/4)*(1+Inputs!$B$9))))</f>
        <v>1199605.25938283</v>
      </c>
      <c r="R8" s="0" t="n">
        <f aca="false">IF(R$3&lt;=Warehouses!$G$4,0,IF(R4&lt;=Warehouses!$F$4,Warehouses!$D$4*Warehouses!$E$4/4*(1+(INDEX(CPI!$B$2:$H$5,MATCH(Warehouses!$B$4,CPI!$A$2:$A$5,0),MATCH(R5,CPI!$B$1:$H$1,0))+INDEX(Scenarios!$B$2:$B$3,MATCH(Inputs!$B$3,Scenarios!$A$2:$A$3,0))))^(R$3/4),IF(R4&lt;=EOMONTH(Warehouses!$F$4,3*(Inputs!$B$8+INDEX(Scenarios!$C$2:$C$3,MATCH(Inputs!$B$3,Scenarios!$A$2:$A$3,0)))),0,Warehouses!$D$4*Warehouses!$E$4/4*(1+(INDEX(CPI!$B$2:$H$5,MATCH(Warehouses!$B$4,CPI!$A$2:$A$5,0),MATCH(R5,CPI!$B$1:$H$1,0))+INDEX(Scenarios!$B$2:$B$3,MATCH(Inputs!$B$3,Scenarios!$A$2:$A$3,0))))^(R$3/4)*(1+Inputs!$B$9))))</f>
        <v>1205558.8182</v>
      </c>
      <c r="S8" s="0" t="n">
        <f aca="false">IF(S$3&lt;=Warehouses!$G$4,0,IF(S4&lt;=Warehouses!$F$4,Warehouses!$D$4*Warehouses!$E$4/4*(1+(INDEX(CPI!$B$2:$H$5,MATCH(Warehouses!$B$4,CPI!$A$2:$A$5,0),MATCH(S5,CPI!$B$1:$H$1,0))+INDEX(Scenarios!$B$2:$B$3,MATCH(Inputs!$B$3,Scenarios!$A$2:$A$3,0))))^(S$3/4),IF(S4&lt;=EOMONTH(Warehouses!$F$4,3*(Inputs!$B$8+INDEX(Scenarios!$C$2:$C$3,MATCH(Inputs!$B$3,Scenarios!$A$2:$A$3,0)))),0,Warehouses!$D$4*Warehouses!$E$4/4*(1+(INDEX(CPI!$B$2:$H$5,MATCH(Warehouses!$B$4,CPI!$A$2:$A$5,0),MATCH(S5,CPI!$B$1:$H$1,0))+INDEX(Scenarios!$B$2:$B$3,MATCH(Inputs!$B$3,Scenarios!$A$2:$A$3,0))))^(S$3/4)*(1+Inputs!$B$9))))</f>
        <v>1211541.9241222</v>
      </c>
      <c r="T8" s="0" t="n">
        <f aca="false">IF(T$3&lt;=Warehouses!$G$4,0,IF(T4&lt;=Warehouses!$F$4,Warehouses!$D$4*Warehouses!$E$4/4*(1+(INDEX(CPI!$B$2:$H$5,MATCH(Warehouses!$B$4,CPI!$A$2:$A$5,0),MATCH(T5,CPI!$B$1:$H$1,0))+INDEX(Scenarios!$B$2:$B$3,MATCH(Inputs!$B$3,Scenarios!$A$2:$A$3,0))))^(T$3/4),IF(T4&lt;=EOMONTH(Warehouses!$F$4,3*(Inputs!$B$8+INDEX(Scenarios!$C$2:$C$3,MATCH(Inputs!$B$3,Scenarios!$A$2:$A$3,0)))),0,Warehouses!$D$4*Warehouses!$E$4/4*(1+(INDEX(CPI!$B$2:$H$5,MATCH(Warehouses!$B$4,CPI!$A$2:$A$5,0),MATCH(T5,CPI!$B$1:$H$1,0))+INDEX(Scenarios!$B$2:$B$3,MATCH(Inputs!$B$3,Scenarios!$A$2:$A$3,0))))^(T$3/4)*(1+Inputs!$B$9))))</f>
        <v>1217554.72378969</v>
      </c>
      <c r="U8" s="0" t="n">
        <f aca="false">IF(U$3&lt;=Warehouses!$G$4,0,IF(U4&lt;=Warehouses!$F$4,Warehouses!$D$4*Warehouses!$E$4/4*(1+(INDEX(CPI!$B$2:$H$5,MATCH(Warehouses!$B$4,CPI!$A$2:$A$5,0),MATCH(U5,CPI!$B$1:$H$1,0))+INDEX(Scenarios!$B$2:$B$3,MATCH(Inputs!$B$3,Scenarios!$A$2:$A$3,0))))^(U$3/4),IF(U4&lt;=EOMONTH(Warehouses!$F$4,3*(Inputs!$B$8+INDEX(Scenarios!$C$2:$C$3,MATCH(Inputs!$B$3,Scenarios!$A$2:$A$3,0)))),0,Warehouses!$D$4*Warehouses!$E$4/4*(1+(INDEX(CPI!$B$2:$H$5,MATCH(Warehouses!$B$4,CPI!$A$2:$A$5,0),MATCH(U5,CPI!$B$1:$H$1,0))+INDEX(Scenarios!$B$2:$B$3,MATCH(Inputs!$B$3,Scenarios!$A$2:$A$3,0))))^(U$3/4)*(1+Inputs!$B$9))))</f>
        <v>1223597.36457048</v>
      </c>
      <c r="V8" s="0" t="n">
        <f aca="false">IF(V$3&lt;=Warehouses!$G$4,0,IF(V4&lt;=Warehouses!$F$4,Warehouses!$D$4*Warehouses!$E$4/4*(1+(INDEX(CPI!$B$2:$H$5,MATCH(Warehouses!$B$4,CPI!$A$2:$A$5,0),MATCH(V5,CPI!$B$1:$H$1,0))+INDEX(Scenarios!$B$2:$B$3,MATCH(Inputs!$B$3,Scenarios!$A$2:$A$3,0))))^(V$3/4),IF(V4&lt;=EOMONTH(Warehouses!$F$4,3*(Inputs!$B$8+INDEX(Scenarios!$C$2:$C$3,MATCH(Inputs!$B$3,Scenarios!$A$2:$A$3,0)))),0,Warehouses!$D$4*Warehouses!$E$4/4*(1+(INDEX(CPI!$B$2:$H$5,MATCH(Warehouses!$B$4,CPI!$A$2:$A$5,0),MATCH(V5,CPI!$B$1:$H$1,0))+INDEX(Scenarios!$B$2:$B$3,MATCH(Inputs!$B$3,Scenarios!$A$2:$A$3,0))))^(V$3/4)*(1+Inputs!$B$9))))</f>
        <v>1229669.994564</v>
      </c>
      <c r="W8" s="0" t="n">
        <f aca="false">IF(W$3&lt;=Warehouses!$G$4,0,IF(W4&lt;=Warehouses!$F$4,Warehouses!$D$4*Warehouses!$E$4/4*(1+(INDEX(CPI!$B$2:$H$5,MATCH(Warehouses!$B$4,CPI!$A$2:$A$5,0),MATCH(W5,CPI!$B$1:$H$1,0))+INDEX(Scenarios!$B$2:$B$3,MATCH(Inputs!$B$3,Scenarios!$A$2:$A$3,0))))^(W$3/4),IF(W4&lt;=EOMONTH(Warehouses!$F$4,3*(Inputs!$B$8+INDEX(Scenarios!$C$2:$C$3,MATCH(Inputs!$B$3,Scenarios!$A$2:$A$3,0)))),0,Warehouses!$D$4*Warehouses!$E$4/4*(1+(INDEX(CPI!$B$2:$H$5,MATCH(Warehouses!$B$4,CPI!$A$2:$A$5,0),MATCH(W5,CPI!$B$1:$H$1,0))+INDEX(Scenarios!$B$2:$B$3,MATCH(Inputs!$B$3,Scenarios!$A$2:$A$3,0))))^(W$3/4)*(1+Inputs!$B$9))))</f>
        <v>1235772.76260464</v>
      </c>
      <c r="X8" s="0" t="n">
        <f aca="false">IF(X$3&lt;=Warehouses!$G$4,0,IF(X4&lt;=Warehouses!$F$4,Warehouses!$D$4*Warehouses!$E$4/4*(1+(INDEX(CPI!$B$2:$H$5,MATCH(Warehouses!$B$4,CPI!$A$2:$A$5,0),MATCH(X5,CPI!$B$1:$H$1,0))+INDEX(Scenarios!$B$2:$B$3,MATCH(Inputs!$B$3,Scenarios!$A$2:$A$3,0))))^(X$3/4),IF(X4&lt;=EOMONTH(Warehouses!$F$4,3*(Inputs!$B$8+INDEX(Scenarios!$C$2:$C$3,MATCH(Inputs!$B$3,Scenarios!$A$2:$A$3,0)))),0,Warehouses!$D$4*Warehouses!$E$4/4*(1+(INDEX(CPI!$B$2:$H$5,MATCH(Warehouses!$B$4,CPI!$A$2:$A$5,0),MATCH(X5,CPI!$B$1:$H$1,0))+INDEX(Scenarios!$B$2:$B$3,MATCH(Inputs!$B$3,Scenarios!$A$2:$A$3,0))))^(X$3/4)*(1+Inputs!$B$9))))</f>
        <v>1241905.81826548</v>
      </c>
      <c r="Y8" s="0" t="n">
        <f aca="false">IF(Y$3&lt;=Warehouses!$G$4,0,IF(Y4&lt;=Warehouses!$F$4,Warehouses!$D$4*Warehouses!$E$4/4*(1+(INDEX(CPI!$B$2:$H$5,MATCH(Warehouses!$B$4,CPI!$A$2:$A$5,0),MATCH(Y5,CPI!$B$1:$H$1,0))+INDEX(Scenarios!$B$2:$B$3,MATCH(Inputs!$B$3,Scenarios!$A$2:$A$3,0))))^(Y$3/4),IF(Y4&lt;=EOMONTH(Warehouses!$F$4,3*(Inputs!$B$8+INDEX(Scenarios!$C$2:$C$3,MATCH(Inputs!$B$3,Scenarios!$A$2:$A$3,0)))),0,Warehouses!$D$4*Warehouses!$E$4/4*(1+(INDEX(CPI!$B$2:$H$5,MATCH(Warehouses!$B$4,CPI!$A$2:$A$5,0),MATCH(Y5,CPI!$B$1:$H$1,0))+INDEX(Scenarios!$B$2:$B$3,MATCH(Inputs!$B$3,Scenarios!$A$2:$A$3,0))))^(Y$3/4)*(1+Inputs!$B$9))))</f>
        <v>1248069.31186189</v>
      </c>
      <c r="Z8" s="0" t="n">
        <f aca="false">IF(Z$3&lt;=Warehouses!$G$4,0,IF(Z4&lt;=Warehouses!$F$4,Warehouses!$D$4*Warehouses!$E$4/4*(1+(INDEX(CPI!$B$2:$H$5,MATCH(Warehouses!$B$4,CPI!$A$2:$A$5,0),MATCH(Z5,CPI!$B$1:$H$1,0))+INDEX(Scenarios!$B$2:$B$3,MATCH(Inputs!$B$3,Scenarios!$A$2:$A$3,0))))^(Z$3/4),IF(Z4&lt;=EOMONTH(Warehouses!$F$4,3*(Inputs!$B$8+INDEX(Scenarios!$C$2:$C$3,MATCH(Inputs!$B$3,Scenarios!$A$2:$A$3,0)))),0,Warehouses!$D$4*Warehouses!$E$4/4*(1+(INDEX(CPI!$B$2:$H$5,MATCH(Warehouses!$B$4,CPI!$A$2:$A$5,0),MATCH(Z5,CPI!$B$1:$H$1,0))+INDEX(Scenarios!$B$2:$B$3,MATCH(Inputs!$B$3,Scenarios!$A$2:$A$3,0))))^(Z$3/4)*(1+Inputs!$B$9))))</f>
        <v>1254263.39445528</v>
      </c>
      <c r="AA8" s="0" t="n">
        <f aca="false">IF(AA$3&lt;=Warehouses!$G$4,0,IF(AA4&lt;=Warehouses!$F$4,Warehouses!$D$4*Warehouses!$E$4/4*(1+(INDEX(CPI!$B$2:$H$5,MATCH(Warehouses!$B$4,CPI!$A$2:$A$5,0),MATCH(AA5,CPI!$B$1:$H$1,0))+INDEX(Scenarios!$B$2:$B$3,MATCH(Inputs!$B$3,Scenarios!$A$2:$A$3,0))))^(AA$3/4),IF(AA4&lt;=EOMONTH(Warehouses!$F$4,3*(Inputs!$B$8+INDEX(Scenarios!$C$2:$C$3,MATCH(Inputs!$B$3,Scenarios!$A$2:$A$3,0)))),0,Warehouses!$D$4*Warehouses!$E$4/4*(1+(INDEX(CPI!$B$2:$H$5,MATCH(Warehouses!$B$4,CPI!$A$2:$A$5,0),MATCH(AA5,CPI!$B$1:$H$1,0))+INDEX(Scenarios!$B$2:$B$3,MATCH(Inputs!$B$3,Scenarios!$A$2:$A$3,0))))^(AA$3/4)*(1+Inputs!$B$9))))</f>
        <v>1260488.21785674</v>
      </c>
      <c r="AB8" s="0" t="n">
        <f aca="false">IF(AB$3&lt;=Warehouses!$G$4,0,IF(AB4&lt;=Warehouses!$F$4,Warehouses!$D$4*Warehouses!$E$4/4*(1+(INDEX(CPI!$B$2:$H$5,MATCH(Warehouses!$B$4,CPI!$A$2:$A$5,0),MATCH(AB5,CPI!$B$1:$H$1,0))+INDEX(Scenarios!$B$2:$B$3,MATCH(Inputs!$B$3,Scenarios!$A$2:$A$3,0))))^(AB$3/4),IF(AB4&lt;=EOMONTH(Warehouses!$F$4,3*(Inputs!$B$8+INDEX(Scenarios!$C$2:$C$3,MATCH(Inputs!$B$3,Scenarios!$A$2:$A$3,0)))),0,Warehouses!$D$4*Warehouses!$E$4/4*(1+(INDEX(CPI!$B$2:$H$5,MATCH(Warehouses!$B$4,CPI!$A$2:$A$5,0),MATCH(AB5,CPI!$B$1:$H$1,0))+INDEX(Scenarios!$B$2:$B$3,MATCH(Inputs!$B$3,Scenarios!$A$2:$A$3,0))))^(AB$3/4)*(1+Inputs!$B$9))))</f>
        <v>0</v>
      </c>
      <c r="AC8" s="0" t="n">
        <f aca="false">IF(AC$3&lt;=Warehouses!$G$4,0,IF(AC4&lt;=Warehouses!$F$4,Warehouses!$D$4*Warehouses!$E$4/4*(1+(INDEX(CPI!$B$2:$H$5,MATCH(Warehouses!$B$4,CPI!$A$2:$A$5,0),MATCH(AC5,CPI!$B$1:$H$1,0))+INDEX(Scenarios!$B$2:$B$3,MATCH(Inputs!$B$3,Scenarios!$A$2:$A$3,0))))^(AC$3/4),IF(AC4&lt;=EOMONTH(Warehouses!$F$4,3*(Inputs!$B$8+INDEX(Scenarios!$C$2:$C$3,MATCH(Inputs!$B$3,Scenarios!$A$2:$A$3,0)))),0,Warehouses!$D$4*Warehouses!$E$4/4*(1+(INDEX(CPI!$B$2:$H$5,MATCH(Warehouses!$B$4,CPI!$A$2:$A$5,0),MATCH(AC5,CPI!$B$1:$H$1,0))+INDEX(Scenarios!$B$2:$B$3,MATCH(Inputs!$B$3,Scenarios!$A$2:$A$3,0))))^(AC$3/4)*(1+Inputs!$B$9))))</f>
        <v>0</v>
      </c>
      <c r="AD8" s="0" t="n">
        <f aca="false">IF(AD$3&lt;=Warehouses!$G$4,0,IF(AD4&lt;=Warehouses!$F$4,Warehouses!$D$4*Warehouses!$E$4/4*(1+(INDEX(CPI!$B$2:$H$5,MATCH(Warehouses!$B$4,CPI!$A$2:$A$5,0),MATCH(AD5,CPI!$B$1:$H$1,0))+INDEX(Scenarios!$B$2:$B$3,MATCH(Inputs!$B$3,Scenarios!$A$2:$A$3,0))))^(AD$3/4),IF(AD4&lt;=EOMONTH(Warehouses!$F$4,3*(Inputs!$B$8+INDEX(Scenarios!$C$2:$C$3,MATCH(Inputs!$B$3,Scenarios!$A$2:$A$3,0)))),0,Warehouses!$D$4*Warehouses!$E$4/4*(1+(INDEX(CPI!$B$2:$H$5,MATCH(Warehouses!$B$4,CPI!$A$2:$A$5,0),MATCH(AD5,CPI!$B$1:$H$1,0))+INDEX(Scenarios!$B$2:$B$3,MATCH(Inputs!$B$3,Scenarios!$A$2:$A$3,0))))^(AD$3/4)*(1+Inputs!$B$9))))</f>
        <v>1381696.55533194</v>
      </c>
    </row>
    <row r="9" customFormat="false" ht="15" hidden="false" customHeight="false" outlineLevel="0" collapsed="false">
      <c r="A9" s="0" t="s">
        <v>42</v>
      </c>
      <c r="B9" s="0" t="n">
        <f aca="false">0</f>
        <v>0</v>
      </c>
      <c r="C9" s="0" t="n">
        <f aca="false">IF(C$3&lt;=Warehouses!$G$5,0,IF(C4&lt;=Warehouses!$F$5,Warehouses!$D$5*Warehouses!$E$5/4*(1+(INDEX(CPI!$B$2:$H$5,MATCH(Warehouses!$B$5,CPI!$A$2:$A$5,0),MATCH(C5,CPI!$B$1:$H$1,0))+INDEX(Scenarios!$B$2:$B$3,MATCH(Inputs!$B$3,Scenarios!$A$2:$A$3,0))))^(C$3/4),IF(C4&lt;=EOMONTH(Warehouses!$F$5,3*(Inputs!$B$8+INDEX(Scenarios!$C$2:$C$3,MATCH(Inputs!$B$3,Scenarios!$A$2:$A$3,0)))),0,Warehouses!$D$5*Warehouses!$E$5/4*(1+(INDEX(CPI!$B$2:$H$5,MATCH(Warehouses!$B$5,CPI!$A$2:$A$5,0),MATCH(C5,CPI!$B$1:$H$1,0))+INDEX(Scenarios!$B$2:$B$3,MATCH(Inputs!$B$3,Scenarios!$A$2:$A$3,0))))^(C$3/4)*(1+Inputs!$B$9))))</f>
        <v>0</v>
      </c>
      <c r="D9" s="0" t="n">
        <f aca="false">IF(D$3&lt;=Warehouses!$G$5,0,IF(D4&lt;=Warehouses!$F$5,Warehouses!$D$5*Warehouses!$E$5/4*(1+(INDEX(CPI!$B$2:$H$5,MATCH(Warehouses!$B$5,CPI!$A$2:$A$5,0),MATCH(D5,CPI!$B$1:$H$1,0))+INDEX(Scenarios!$B$2:$B$3,MATCH(Inputs!$B$3,Scenarios!$A$2:$A$3,0))))^(D$3/4),IF(D4&lt;=EOMONTH(Warehouses!$F$5,3*(Inputs!$B$8+INDEX(Scenarios!$C$2:$C$3,MATCH(Inputs!$B$3,Scenarios!$A$2:$A$3,0)))),0,Warehouses!$D$5*Warehouses!$E$5/4*(1+(INDEX(CPI!$B$2:$H$5,MATCH(Warehouses!$B$5,CPI!$A$2:$A$5,0),MATCH(D5,CPI!$B$1:$H$1,0))+INDEX(Scenarios!$B$2:$B$3,MATCH(Inputs!$B$3,Scenarios!$A$2:$A$3,0))))^(D$3/4)*(1+Inputs!$B$9))))</f>
        <v>0</v>
      </c>
      <c r="E9" s="0" t="n">
        <f aca="false">IF(E$3&lt;=Warehouses!$G$5,0,IF(E4&lt;=Warehouses!$F$5,Warehouses!$D$5*Warehouses!$E$5/4*(1+(INDEX(CPI!$B$2:$H$5,MATCH(Warehouses!$B$5,CPI!$A$2:$A$5,0),MATCH(E5,CPI!$B$1:$H$1,0))+INDEX(Scenarios!$B$2:$B$3,MATCH(Inputs!$B$3,Scenarios!$A$2:$A$3,0))))^(E$3/4),IF(E4&lt;=EOMONTH(Warehouses!$F$5,3*(Inputs!$B$8+INDEX(Scenarios!$C$2:$C$3,MATCH(Inputs!$B$3,Scenarios!$A$2:$A$3,0)))),0,Warehouses!$D$5*Warehouses!$E$5/4*(1+(INDEX(CPI!$B$2:$H$5,MATCH(Warehouses!$B$5,CPI!$A$2:$A$5,0),MATCH(E5,CPI!$B$1:$H$1,0))+INDEX(Scenarios!$B$2:$B$3,MATCH(Inputs!$B$3,Scenarios!$A$2:$A$3,0))))^(E$3/4)*(1+Inputs!$B$9))))</f>
        <v>1027592.80010166</v>
      </c>
      <c r="F9" s="0" t="n">
        <f aca="false">IF(F$3&lt;=Warehouses!$G$5,0,IF(F4&lt;=Warehouses!$F$5,Warehouses!$D$5*Warehouses!$E$5/4*(1+(INDEX(CPI!$B$2:$H$5,MATCH(Warehouses!$B$5,CPI!$A$2:$A$5,0),MATCH(F5,CPI!$B$1:$H$1,0))+INDEX(Scenarios!$B$2:$B$3,MATCH(Inputs!$B$3,Scenarios!$A$2:$A$3,0))))^(F$3/4),IF(F4&lt;=EOMONTH(Warehouses!$F$5,3*(Inputs!$B$8+INDEX(Scenarios!$C$2:$C$3,MATCH(Inputs!$B$3,Scenarios!$A$2:$A$3,0)))),0,Warehouses!$D$5*Warehouses!$E$5/4*(1+(INDEX(CPI!$B$2:$H$5,MATCH(Warehouses!$B$5,CPI!$A$2:$A$5,0),MATCH(F5,CPI!$B$1:$H$1,0))+INDEX(Scenarios!$B$2:$B$3,MATCH(Inputs!$B$3,Scenarios!$A$2:$A$3,0))))^(F$3/4)*(1+Inputs!$B$9))))</f>
        <v>1034208</v>
      </c>
      <c r="G9" s="0" t="n">
        <f aca="false">IF(G$3&lt;=Warehouses!$G$5,0,IF(G4&lt;=Warehouses!$F$5,Warehouses!$D$5*Warehouses!$E$5/4*(1+(INDEX(CPI!$B$2:$H$5,MATCH(Warehouses!$B$5,CPI!$A$2:$A$5,0),MATCH(G5,CPI!$B$1:$H$1,0))+INDEX(Scenarios!$B$2:$B$3,MATCH(Inputs!$B$3,Scenarios!$A$2:$A$3,0))))^(G$3/4),IF(G4&lt;=EOMONTH(Warehouses!$F$5,3*(Inputs!$B$8+INDEX(Scenarios!$C$2:$C$3,MATCH(Inputs!$B$3,Scenarios!$A$2:$A$3,0)))),0,Warehouses!$D$5*Warehouses!$E$5/4*(1+(INDEX(CPI!$B$2:$H$5,MATCH(Warehouses!$B$5,CPI!$A$2:$A$5,0),MATCH(G5,CPI!$B$1:$H$1,0))+INDEX(Scenarios!$B$2:$B$3,MATCH(Inputs!$B$3,Scenarios!$A$2:$A$3,0))))^(G$3/4)*(1+Inputs!$B$9))))</f>
        <v>1038330.18132103</v>
      </c>
      <c r="H9" s="0" t="n">
        <f aca="false">IF(H$3&lt;=Warehouses!$G$5,0,IF(H4&lt;=Warehouses!$F$5,Warehouses!$D$5*Warehouses!$E$5/4*(1+(INDEX(CPI!$B$2:$H$5,MATCH(Warehouses!$B$5,CPI!$A$2:$A$5,0),MATCH(H5,CPI!$B$1:$H$1,0))+INDEX(Scenarios!$B$2:$B$3,MATCH(Inputs!$B$3,Scenarios!$A$2:$A$3,0))))^(H$3/4),IF(H4&lt;=EOMONTH(Warehouses!$F$5,3*(Inputs!$B$8+INDEX(Scenarios!$C$2:$C$3,MATCH(Inputs!$B$3,Scenarios!$A$2:$A$3,0)))),0,Warehouses!$D$5*Warehouses!$E$5/4*(1+(INDEX(CPI!$B$2:$H$5,MATCH(Warehouses!$B$5,CPI!$A$2:$A$5,0),MATCH(H5,CPI!$B$1:$H$1,0))+INDEX(Scenarios!$B$2:$B$3,MATCH(Inputs!$B$3,Scenarios!$A$2:$A$3,0))))^(H$3/4)*(1+Inputs!$B$9))))</f>
        <v>1044504.86483345</v>
      </c>
      <c r="I9" s="0" t="n">
        <f aca="false">IF(I$3&lt;=Warehouses!$G$5,0,IF(I4&lt;=Warehouses!$F$5,Warehouses!$D$5*Warehouses!$E$5/4*(1+(INDEX(CPI!$B$2:$H$5,MATCH(Warehouses!$B$5,CPI!$A$2:$A$5,0),MATCH(I5,CPI!$B$1:$H$1,0))+INDEX(Scenarios!$B$2:$B$3,MATCH(Inputs!$B$3,Scenarios!$A$2:$A$3,0))))^(I$3/4),IF(I4&lt;=EOMONTH(Warehouses!$F$5,3*(Inputs!$B$8+INDEX(Scenarios!$C$2:$C$3,MATCH(Inputs!$B$3,Scenarios!$A$2:$A$3,0)))),0,Warehouses!$D$5*Warehouses!$E$5/4*(1+(INDEX(CPI!$B$2:$H$5,MATCH(Warehouses!$B$5,CPI!$A$2:$A$5,0),MATCH(I5,CPI!$B$1:$H$1,0))+INDEX(Scenarios!$B$2:$B$3,MATCH(Inputs!$B$3,Scenarios!$A$2:$A$3,0))))^(I$3/4)*(1+Inputs!$B$9))))</f>
        <v>1050716.26760643</v>
      </c>
      <c r="J9" s="0" t="n">
        <f aca="false">IF(J$3&lt;=Warehouses!$G$5,0,IF(J4&lt;=Warehouses!$F$5,Warehouses!$D$5*Warehouses!$E$5/4*(1+(INDEX(CPI!$B$2:$H$5,MATCH(Warehouses!$B$5,CPI!$A$2:$A$5,0),MATCH(J5,CPI!$B$1:$H$1,0))+INDEX(Scenarios!$B$2:$B$3,MATCH(Inputs!$B$3,Scenarios!$A$2:$A$3,0))))^(J$3/4),IF(J4&lt;=EOMONTH(Warehouses!$F$5,3*(Inputs!$B$8+INDEX(Scenarios!$C$2:$C$3,MATCH(Inputs!$B$3,Scenarios!$A$2:$A$3,0)))),0,Warehouses!$D$5*Warehouses!$E$5/4*(1+(INDEX(CPI!$B$2:$H$5,MATCH(Warehouses!$B$5,CPI!$A$2:$A$5,0),MATCH(J5,CPI!$B$1:$H$1,0))+INDEX(Scenarios!$B$2:$B$3,MATCH(Inputs!$B$3,Scenarios!$A$2:$A$3,0))))^(J$3/4)*(1+Inputs!$B$9))))</f>
        <v>1056964.608</v>
      </c>
      <c r="K9" s="0" t="n">
        <f aca="false">IF(K$3&lt;=Warehouses!$G$5,0,IF(K4&lt;=Warehouses!$F$5,Warehouses!$D$5*Warehouses!$E$5/4*(1+(INDEX(CPI!$B$2:$H$5,MATCH(Warehouses!$B$5,CPI!$A$2:$A$5,0),MATCH(K5,CPI!$B$1:$H$1,0))+INDEX(Scenarios!$B$2:$B$3,MATCH(Inputs!$B$3,Scenarios!$A$2:$A$3,0))))^(K$3/4),IF(K4&lt;=EOMONTH(Warehouses!$F$5,3*(Inputs!$B$8+INDEX(Scenarios!$C$2:$C$3,MATCH(Inputs!$B$3,Scenarios!$A$2:$A$3,0)))),0,Warehouses!$D$5*Warehouses!$E$5/4*(1+(INDEX(CPI!$B$2:$H$5,MATCH(Warehouses!$B$5,CPI!$A$2:$A$5,0),MATCH(K5,CPI!$B$1:$H$1,0))+INDEX(Scenarios!$B$2:$B$3,MATCH(Inputs!$B$3,Scenarios!$A$2:$A$3,0))))^(K$3/4)*(1+Inputs!$B$9))))</f>
        <v>1058583.32264615</v>
      </c>
      <c r="L9" s="0" t="n">
        <f aca="false">IF(L$3&lt;=Warehouses!$G$5,0,IF(L4&lt;=Warehouses!$F$5,Warehouses!$D$5*Warehouses!$E$5/4*(1+(INDEX(CPI!$B$2:$H$5,MATCH(Warehouses!$B$5,CPI!$A$2:$A$5,0),MATCH(L5,CPI!$B$1:$H$1,0))+INDEX(Scenarios!$B$2:$B$3,MATCH(Inputs!$B$3,Scenarios!$A$2:$A$3,0))))^(L$3/4),IF(L4&lt;=EOMONTH(Warehouses!$F$5,3*(Inputs!$B$8+INDEX(Scenarios!$C$2:$C$3,MATCH(Inputs!$B$3,Scenarios!$A$2:$A$3,0)))),0,Warehouses!$D$5*Warehouses!$E$5/4*(1+(INDEX(CPI!$B$2:$H$5,MATCH(Warehouses!$B$5,CPI!$A$2:$A$5,0),MATCH(L5,CPI!$B$1:$H$1,0))+INDEX(Scenarios!$B$2:$B$3,MATCH(Inputs!$B$3,Scenarios!$A$2:$A$3,0))))^(L$3/4)*(1+Inputs!$B$9))))</f>
        <v>1064358.1049565</v>
      </c>
      <c r="M9" s="0" t="n">
        <f aca="false">IF(M$3&lt;=Warehouses!$G$5,0,IF(M4&lt;=Warehouses!$F$5,Warehouses!$D$5*Warehouses!$E$5/4*(1+(INDEX(CPI!$B$2:$H$5,MATCH(Warehouses!$B$5,CPI!$A$2:$A$5,0),MATCH(M5,CPI!$B$1:$H$1,0))+INDEX(Scenarios!$B$2:$B$3,MATCH(Inputs!$B$3,Scenarios!$A$2:$A$3,0))))^(M$3/4),IF(M4&lt;=EOMONTH(Warehouses!$F$5,3*(Inputs!$B$8+INDEX(Scenarios!$C$2:$C$3,MATCH(Inputs!$B$3,Scenarios!$A$2:$A$3,0)))),0,Warehouses!$D$5*Warehouses!$E$5/4*(1+(INDEX(CPI!$B$2:$H$5,MATCH(Warehouses!$B$5,CPI!$A$2:$A$5,0),MATCH(M5,CPI!$B$1:$H$1,0))+INDEX(Scenarios!$B$2:$B$3,MATCH(Inputs!$B$3,Scenarios!$A$2:$A$3,0))))^(M$3/4)*(1+Inputs!$B$9))))</f>
        <v>1070164.38985149</v>
      </c>
      <c r="N9" s="0" t="n">
        <f aca="false">IF(N$3&lt;=Warehouses!$G$5,0,IF(N4&lt;=Warehouses!$F$5,Warehouses!$D$5*Warehouses!$E$5/4*(1+(INDEX(CPI!$B$2:$H$5,MATCH(Warehouses!$B$5,CPI!$A$2:$A$5,0),MATCH(N5,CPI!$B$1:$H$1,0))+INDEX(Scenarios!$B$2:$B$3,MATCH(Inputs!$B$3,Scenarios!$A$2:$A$3,0))))^(N$3/4),IF(N4&lt;=EOMONTH(Warehouses!$F$5,3*(Inputs!$B$8+INDEX(Scenarios!$C$2:$C$3,MATCH(Inputs!$B$3,Scenarios!$A$2:$A$3,0)))),0,Warehouses!$D$5*Warehouses!$E$5/4*(1+(INDEX(CPI!$B$2:$H$5,MATCH(Warehouses!$B$5,CPI!$A$2:$A$5,0),MATCH(N5,CPI!$B$1:$H$1,0))+INDEX(Scenarios!$B$2:$B$3,MATCH(Inputs!$B$3,Scenarios!$A$2:$A$3,0))))^(N$3/4)*(1+Inputs!$B$9))))</f>
        <v>0</v>
      </c>
      <c r="O9" s="0" t="n">
        <f aca="false">IF(O$3&lt;=Warehouses!$G$5,0,IF(O4&lt;=Warehouses!$F$5,Warehouses!$D$5*Warehouses!$E$5/4*(1+(INDEX(CPI!$B$2:$H$5,MATCH(Warehouses!$B$5,CPI!$A$2:$A$5,0),MATCH(O5,CPI!$B$1:$H$1,0))+INDEX(Scenarios!$B$2:$B$3,MATCH(Inputs!$B$3,Scenarios!$A$2:$A$3,0))))^(O$3/4),IF(O4&lt;=EOMONTH(Warehouses!$F$5,3*(Inputs!$B$8+INDEX(Scenarios!$C$2:$C$3,MATCH(Inputs!$B$3,Scenarios!$A$2:$A$3,0)))),0,Warehouses!$D$5*Warehouses!$E$5/4*(1+(INDEX(CPI!$B$2:$H$5,MATCH(Warehouses!$B$5,CPI!$A$2:$A$5,0),MATCH(O5,CPI!$B$1:$H$1,0))+INDEX(Scenarios!$B$2:$B$3,MATCH(Inputs!$B$3,Scenarios!$A$2:$A$3,0))))^(O$3/4)*(1+Inputs!$B$9))))</f>
        <v>0</v>
      </c>
      <c r="P9" s="0" t="n">
        <f aca="false">IF(P$3&lt;=Warehouses!$G$5,0,IF(P4&lt;=Warehouses!$F$5,Warehouses!$D$5*Warehouses!$E$5/4*(1+(INDEX(CPI!$B$2:$H$5,MATCH(Warehouses!$B$5,CPI!$A$2:$A$5,0),MATCH(P5,CPI!$B$1:$H$1,0))+INDEX(Scenarios!$B$2:$B$3,MATCH(Inputs!$B$3,Scenarios!$A$2:$A$3,0))))^(P$3/4),IF(P4&lt;=EOMONTH(Warehouses!$F$5,3*(Inputs!$B$8+INDEX(Scenarios!$C$2:$C$3,MATCH(Inputs!$B$3,Scenarios!$A$2:$A$3,0)))),0,Warehouses!$D$5*Warehouses!$E$5/4*(1+(INDEX(CPI!$B$2:$H$5,MATCH(Warehouses!$B$5,CPI!$A$2:$A$5,0),MATCH(P5,CPI!$B$1:$H$1,0))+INDEX(Scenarios!$B$2:$B$3,MATCH(Inputs!$B$3,Scenarios!$A$2:$A$3,0))))^(P$3/4)*(1+Inputs!$B$9))))</f>
        <v>1170777.54671659</v>
      </c>
      <c r="Q9" s="0" t="n">
        <f aca="false">IF(Q$3&lt;=Warehouses!$G$5,0,IF(Q4&lt;=Warehouses!$F$5,Warehouses!$D$5*Warehouses!$E$5/4*(1+(INDEX(CPI!$B$2:$H$5,MATCH(Warehouses!$B$5,CPI!$A$2:$A$5,0),MATCH(Q5,CPI!$B$1:$H$1,0))+INDEX(Scenarios!$B$2:$B$3,MATCH(Inputs!$B$3,Scenarios!$A$2:$A$3,0))))^(Q$3/4),IF(Q4&lt;=EOMONTH(Warehouses!$F$5,3*(Inputs!$B$8+INDEX(Scenarios!$C$2:$C$3,MATCH(Inputs!$B$3,Scenarios!$A$2:$A$3,0)))),0,Warehouses!$D$5*Warehouses!$E$5/4*(1+(INDEX(CPI!$B$2:$H$5,MATCH(Warehouses!$B$5,CPI!$A$2:$A$5,0),MATCH(Q5,CPI!$B$1:$H$1,0))+INDEX(Scenarios!$B$2:$B$3,MATCH(Inputs!$B$3,Scenarios!$A$2:$A$3,0))))^(Q$3/4)*(1+Inputs!$B$9))))</f>
        <v>1176876.30902762</v>
      </c>
      <c r="R9" s="0" t="n">
        <f aca="false">IF(R$3&lt;=Warehouses!$G$5,0,IF(R4&lt;=Warehouses!$F$5,Warehouses!$D$5*Warehouses!$E$5/4*(1+(INDEX(CPI!$B$2:$H$5,MATCH(Warehouses!$B$5,CPI!$A$2:$A$5,0),MATCH(R5,CPI!$B$1:$H$1,0))+INDEX(Scenarios!$B$2:$B$3,MATCH(Inputs!$B$3,Scenarios!$A$2:$A$3,0))))^(R$3/4),IF(R4&lt;=EOMONTH(Warehouses!$F$5,3*(Inputs!$B$8+INDEX(Scenarios!$C$2:$C$3,MATCH(Inputs!$B$3,Scenarios!$A$2:$A$3,0)))),0,Warehouses!$D$5*Warehouses!$E$5/4*(1+(INDEX(CPI!$B$2:$H$5,MATCH(Warehouses!$B$5,CPI!$A$2:$A$5,0),MATCH(R5,CPI!$B$1:$H$1,0))+INDEX(Scenarios!$B$2:$B$3,MATCH(Inputs!$B$3,Scenarios!$A$2:$A$3,0))))^(R$3/4)*(1+Inputs!$B$9))))</f>
        <v>1183006.84073996</v>
      </c>
      <c r="S9" s="0" t="n">
        <f aca="false">IF(S$3&lt;=Warehouses!$G$5,0,IF(S4&lt;=Warehouses!$F$5,Warehouses!$D$5*Warehouses!$E$5/4*(1+(INDEX(CPI!$B$2:$H$5,MATCH(Warehouses!$B$5,CPI!$A$2:$A$5,0),MATCH(S5,CPI!$B$1:$H$1,0))+INDEX(Scenarios!$B$2:$B$3,MATCH(Inputs!$B$3,Scenarios!$A$2:$A$3,0))))^(S$3/4),IF(S4&lt;=EOMONTH(Warehouses!$F$5,3*(Inputs!$B$8+INDEX(Scenarios!$C$2:$C$3,MATCH(Inputs!$B$3,Scenarios!$A$2:$A$3,0)))),0,Warehouses!$D$5*Warehouses!$E$5/4*(1+(INDEX(CPI!$B$2:$H$5,MATCH(Warehouses!$B$5,CPI!$A$2:$A$5,0),MATCH(S5,CPI!$B$1:$H$1,0))+INDEX(Scenarios!$B$2:$B$3,MATCH(Inputs!$B$3,Scenarios!$A$2:$A$3,0))))^(S$3/4)*(1+Inputs!$B$9))))</f>
        <v>1184227.16074199</v>
      </c>
      <c r="T9" s="0" t="n">
        <f aca="false">IF(T$3&lt;=Warehouses!$G$5,0,IF(T4&lt;=Warehouses!$F$5,Warehouses!$D$5*Warehouses!$E$5/4*(1+(INDEX(CPI!$B$2:$H$5,MATCH(Warehouses!$B$5,CPI!$A$2:$A$5,0),MATCH(T5,CPI!$B$1:$H$1,0))+INDEX(Scenarios!$B$2:$B$3,MATCH(Inputs!$B$3,Scenarios!$A$2:$A$3,0))))^(T$3/4),IF(T4&lt;=EOMONTH(Warehouses!$F$5,3*(Inputs!$B$8+INDEX(Scenarios!$C$2:$C$3,MATCH(Inputs!$B$3,Scenarios!$A$2:$A$3,0)))),0,Warehouses!$D$5*Warehouses!$E$5/4*(1+(INDEX(CPI!$B$2:$H$5,MATCH(Warehouses!$B$5,CPI!$A$2:$A$5,0),MATCH(T5,CPI!$B$1:$H$1,0))+INDEX(Scenarios!$B$2:$B$3,MATCH(Inputs!$B$3,Scenarios!$A$2:$A$3,0))))^(T$3/4)*(1+Inputs!$B$9))))</f>
        <v>1190104.39910788</v>
      </c>
      <c r="U9" s="0" t="n">
        <f aca="false">IF(U$3&lt;=Warehouses!$G$5,0,IF(U4&lt;=Warehouses!$F$5,Warehouses!$D$5*Warehouses!$E$5/4*(1+(INDEX(CPI!$B$2:$H$5,MATCH(Warehouses!$B$5,CPI!$A$2:$A$5,0),MATCH(U5,CPI!$B$1:$H$1,0))+INDEX(Scenarios!$B$2:$B$3,MATCH(Inputs!$B$3,Scenarios!$A$2:$A$3,0))))^(U$3/4),IF(U4&lt;=EOMONTH(Warehouses!$F$5,3*(Inputs!$B$8+INDEX(Scenarios!$C$2:$C$3,MATCH(Inputs!$B$3,Scenarios!$A$2:$A$3,0)))),0,Warehouses!$D$5*Warehouses!$E$5/4*(1+(INDEX(CPI!$B$2:$H$5,MATCH(Warehouses!$B$5,CPI!$A$2:$A$5,0),MATCH(U5,CPI!$B$1:$H$1,0))+INDEX(Scenarios!$B$2:$B$3,MATCH(Inputs!$B$3,Scenarios!$A$2:$A$3,0))))^(U$3/4)*(1+Inputs!$B$9))))</f>
        <v>1196010.80580562</v>
      </c>
      <c r="V9" s="0" t="n">
        <f aca="false">IF(V$3&lt;=Warehouses!$G$5,0,IF(V4&lt;=Warehouses!$F$5,Warehouses!$D$5*Warehouses!$E$5/4*(1+(INDEX(CPI!$B$2:$H$5,MATCH(Warehouses!$B$5,CPI!$A$2:$A$5,0),MATCH(V5,CPI!$B$1:$H$1,0))+INDEX(Scenarios!$B$2:$B$3,MATCH(Inputs!$B$3,Scenarios!$A$2:$A$3,0))))^(V$3/4),IF(V4&lt;=EOMONTH(Warehouses!$F$5,3*(Inputs!$B$8+INDEX(Scenarios!$C$2:$C$3,MATCH(Inputs!$B$3,Scenarios!$A$2:$A$3,0)))),0,Warehouses!$D$5*Warehouses!$E$5/4*(1+(INDEX(CPI!$B$2:$H$5,MATCH(Warehouses!$B$5,CPI!$A$2:$A$5,0),MATCH(V5,CPI!$B$1:$H$1,0))+INDEX(Scenarios!$B$2:$B$3,MATCH(Inputs!$B$3,Scenarios!$A$2:$A$3,0))))^(V$3/4)*(1+Inputs!$B$9))))</f>
        <v>1201946.52559565</v>
      </c>
      <c r="W9" s="0" t="n">
        <f aca="false">IF(W$3&lt;=Warehouses!$G$5,0,IF(W4&lt;=Warehouses!$F$5,Warehouses!$D$5*Warehouses!$E$5/4*(1+(INDEX(CPI!$B$2:$H$5,MATCH(Warehouses!$B$5,CPI!$A$2:$A$5,0),MATCH(W5,CPI!$B$1:$H$1,0))+INDEX(Scenarios!$B$2:$B$3,MATCH(Inputs!$B$3,Scenarios!$A$2:$A$3,0))))^(W$3/4),IF(W4&lt;=EOMONTH(Warehouses!$F$5,3*(Inputs!$B$8+INDEX(Scenarios!$C$2:$C$3,MATCH(Inputs!$B$3,Scenarios!$A$2:$A$3,0)))),0,Warehouses!$D$5*Warehouses!$E$5/4*(1+(INDEX(CPI!$B$2:$H$5,MATCH(Warehouses!$B$5,CPI!$A$2:$A$5,0),MATCH(W5,CPI!$B$1:$H$1,0))+INDEX(Scenarios!$B$2:$B$3,MATCH(Inputs!$B$3,Scenarios!$A$2:$A$3,0))))^(W$3/4)*(1+Inputs!$B$9))))</f>
        <v>1207911.70395683</v>
      </c>
      <c r="X9" s="0" t="n">
        <f aca="false">IF(X$3&lt;=Warehouses!$G$5,0,IF(X4&lt;=Warehouses!$F$5,Warehouses!$D$5*Warehouses!$E$5/4*(1+(INDEX(CPI!$B$2:$H$5,MATCH(Warehouses!$B$5,CPI!$A$2:$A$5,0),MATCH(X5,CPI!$B$1:$H$1,0))+INDEX(Scenarios!$B$2:$B$3,MATCH(Inputs!$B$3,Scenarios!$A$2:$A$3,0))))^(X$3/4),IF(X4&lt;=EOMONTH(Warehouses!$F$5,3*(Inputs!$B$8+INDEX(Scenarios!$C$2:$C$3,MATCH(Inputs!$B$3,Scenarios!$A$2:$A$3,0)))),0,Warehouses!$D$5*Warehouses!$E$5/4*(1+(INDEX(CPI!$B$2:$H$5,MATCH(Warehouses!$B$5,CPI!$A$2:$A$5,0),MATCH(X5,CPI!$B$1:$H$1,0))+INDEX(Scenarios!$B$2:$B$3,MATCH(Inputs!$B$3,Scenarios!$A$2:$A$3,0))))^(X$3/4)*(1+Inputs!$B$9))))</f>
        <v>1213906.48709004</v>
      </c>
      <c r="Y9" s="0" t="n">
        <f aca="false">IF(Y$3&lt;=Warehouses!$G$5,0,IF(Y4&lt;=Warehouses!$F$5,Warehouses!$D$5*Warehouses!$E$5/4*(1+(INDEX(CPI!$B$2:$H$5,MATCH(Warehouses!$B$5,CPI!$A$2:$A$5,0),MATCH(Y5,CPI!$B$1:$H$1,0))+INDEX(Scenarios!$B$2:$B$3,MATCH(Inputs!$B$3,Scenarios!$A$2:$A$3,0))))^(Y$3/4),IF(Y4&lt;=EOMONTH(Warehouses!$F$5,3*(Inputs!$B$8+INDEX(Scenarios!$C$2:$C$3,MATCH(Inputs!$B$3,Scenarios!$A$2:$A$3,0)))),0,Warehouses!$D$5*Warehouses!$E$5/4*(1+(INDEX(CPI!$B$2:$H$5,MATCH(Warehouses!$B$5,CPI!$A$2:$A$5,0),MATCH(Y5,CPI!$B$1:$H$1,0))+INDEX(Scenarios!$B$2:$B$3,MATCH(Inputs!$B$3,Scenarios!$A$2:$A$3,0))))^(Y$3/4)*(1+Inputs!$B$9))))</f>
        <v>1219931.02192174</v>
      </c>
      <c r="Z9" s="0" t="n">
        <f aca="false">IF(Z$3&lt;=Warehouses!$G$5,0,IF(Z4&lt;=Warehouses!$F$5,Warehouses!$D$5*Warehouses!$E$5/4*(1+(INDEX(CPI!$B$2:$H$5,MATCH(Warehouses!$B$5,CPI!$A$2:$A$5,0),MATCH(Z5,CPI!$B$1:$H$1,0))+INDEX(Scenarios!$B$2:$B$3,MATCH(Inputs!$B$3,Scenarios!$A$2:$A$3,0))))^(Z$3/4),IF(Z4&lt;=EOMONTH(Warehouses!$F$5,3*(Inputs!$B$8+INDEX(Scenarios!$C$2:$C$3,MATCH(Inputs!$B$3,Scenarios!$A$2:$A$3,0)))),0,Warehouses!$D$5*Warehouses!$E$5/4*(1+(INDEX(CPI!$B$2:$H$5,MATCH(Warehouses!$B$5,CPI!$A$2:$A$5,0),MATCH(Z5,CPI!$B$1:$H$1,0))+INDEX(Scenarios!$B$2:$B$3,MATCH(Inputs!$B$3,Scenarios!$A$2:$A$3,0))))^(Z$3/4)*(1+Inputs!$B$9))))</f>
        <v>1225985.45610756</v>
      </c>
      <c r="AA9" s="0" t="n">
        <f aca="false">IF(AA$3&lt;=Warehouses!$G$5,0,IF(AA4&lt;=Warehouses!$F$5,Warehouses!$D$5*Warehouses!$E$5/4*(1+(INDEX(CPI!$B$2:$H$5,MATCH(Warehouses!$B$5,CPI!$A$2:$A$5,0),MATCH(AA5,CPI!$B$1:$H$1,0))+INDEX(Scenarios!$B$2:$B$3,MATCH(Inputs!$B$3,Scenarios!$A$2:$A$3,0))))^(AA$3/4),IF(AA4&lt;=EOMONTH(Warehouses!$F$5,3*(Inputs!$B$8+INDEX(Scenarios!$C$2:$C$3,MATCH(Inputs!$B$3,Scenarios!$A$2:$A$3,0)))),0,Warehouses!$D$5*Warehouses!$E$5/4*(1+(INDEX(CPI!$B$2:$H$5,MATCH(Warehouses!$B$5,CPI!$A$2:$A$5,0),MATCH(AA5,CPI!$B$1:$H$1,0))+INDEX(Scenarios!$B$2:$B$3,MATCH(Inputs!$B$3,Scenarios!$A$2:$A$3,0))))^(AA$3/4)*(1+Inputs!$B$9))))</f>
        <v>1232069.93803597</v>
      </c>
      <c r="AB9" s="0" t="n">
        <f aca="false">IF(AB$3&lt;=Warehouses!$G$5,0,IF(AB4&lt;=Warehouses!$F$5,Warehouses!$D$5*Warehouses!$E$5/4*(1+(INDEX(CPI!$B$2:$H$5,MATCH(Warehouses!$B$5,CPI!$A$2:$A$5,0),MATCH(AB5,CPI!$B$1:$H$1,0))+INDEX(Scenarios!$B$2:$B$3,MATCH(Inputs!$B$3,Scenarios!$A$2:$A$3,0))))^(AB$3/4),IF(AB4&lt;=EOMONTH(Warehouses!$F$5,3*(Inputs!$B$8+INDEX(Scenarios!$C$2:$C$3,MATCH(Inputs!$B$3,Scenarios!$A$2:$A$3,0)))),0,Warehouses!$D$5*Warehouses!$E$5/4*(1+(INDEX(CPI!$B$2:$H$5,MATCH(Warehouses!$B$5,CPI!$A$2:$A$5,0),MATCH(AB5,CPI!$B$1:$H$1,0))+INDEX(Scenarios!$B$2:$B$3,MATCH(Inputs!$B$3,Scenarios!$A$2:$A$3,0))))^(AB$3/4)*(1+Inputs!$B$9))))</f>
        <v>1238184.61683184</v>
      </c>
      <c r="AC9" s="0" t="n">
        <f aca="false">IF(AC$3&lt;=Warehouses!$G$5,0,IF(AC4&lt;=Warehouses!$F$5,Warehouses!$D$5*Warehouses!$E$5/4*(1+(INDEX(CPI!$B$2:$H$5,MATCH(Warehouses!$B$5,CPI!$A$2:$A$5,0),MATCH(AC5,CPI!$B$1:$H$1,0))+INDEX(Scenarios!$B$2:$B$3,MATCH(Inputs!$B$3,Scenarios!$A$2:$A$3,0))))^(AC$3/4),IF(AC4&lt;=EOMONTH(Warehouses!$F$5,3*(Inputs!$B$8+INDEX(Scenarios!$C$2:$C$3,MATCH(Inputs!$B$3,Scenarios!$A$2:$A$3,0)))),0,Warehouses!$D$5*Warehouses!$E$5/4*(1+(INDEX(CPI!$B$2:$H$5,MATCH(Warehouses!$B$5,CPI!$A$2:$A$5,0),MATCH(AC5,CPI!$B$1:$H$1,0))+INDEX(Scenarios!$B$2:$B$3,MATCH(Inputs!$B$3,Scenarios!$A$2:$A$3,0))))^(AC$3/4)*(1+Inputs!$B$9))))</f>
        <v>1244329.64236017</v>
      </c>
      <c r="AD9" s="0" t="n">
        <f aca="false">IF(AD$3&lt;=Warehouses!$G$5,0,IF(AD4&lt;=Warehouses!$F$5,Warehouses!$D$5*Warehouses!$E$5/4*(1+(INDEX(CPI!$B$2:$H$5,MATCH(Warehouses!$B$5,CPI!$A$2:$A$5,0),MATCH(AD5,CPI!$B$1:$H$1,0))+INDEX(Scenarios!$B$2:$B$3,MATCH(Inputs!$B$3,Scenarios!$A$2:$A$3,0))))^(AD$3/4),IF(AD4&lt;=EOMONTH(Warehouses!$F$5,3*(Inputs!$B$8+INDEX(Scenarios!$C$2:$C$3,MATCH(Inputs!$B$3,Scenarios!$A$2:$A$3,0)))),0,Warehouses!$D$5*Warehouses!$E$5/4*(1+(INDEX(CPI!$B$2:$H$5,MATCH(Warehouses!$B$5,CPI!$A$2:$A$5,0),MATCH(AD5,CPI!$B$1:$H$1,0))+INDEX(Scenarios!$B$2:$B$3,MATCH(Inputs!$B$3,Scenarios!$A$2:$A$3,0))))^(AD$3/4)*(1+Inputs!$B$9))))</f>
        <v>1250505.16522971</v>
      </c>
    </row>
    <row r="10" customFormat="false" ht="15" hidden="false" customHeight="false" outlineLevel="0" collapsed="false">
      <c r="A10" s="0" t="s">
        <v>43</v>
      </c>
      <c r="B10" s="0" t="n">
        <f aca="false">0</f>
        <v>0</v>
      </c>
      <c r="C10" s="0" t="n">
        <f aca="false">IF(C$3&lt;=Warehouses!$G$6,0,IF(C4&lt;=Warehouses!$F$6,Warehouses!$D$6*Warehouses!$E$6/4*(1+(INDEX(CPI!$B$2:$H$5,MATCH(Warehouses!$B$6,CPI!$A$2:$A$5,0),MATCH(C5,CPI!$B$1:$H$1,0))+INDEX(Scenarios!$B$2:$B$3,MATCH(Inputs!$B$3,Scenarios!$A$2:$A$3,0))))^(C$3/4),IF(C4&lt;=EOMONTH(Warehouses!$F$6,3*(Inputs!$B$8+INDEX(Scenarios!$C$2:$C$3,MATCH(Inputs!$B$3,Scenarios!$A$2:$A$3,0)))),0,Warehouses!$D$6*Warehouses!$E$6/4*(1+(INDEX(CPI!$B$2:$H$5,MATCH(Warehouses!$B$6,CPI!$A$2:$A$5,0),MATCH(C5,CPI!$B$1:$H$1,0))+INDEX(Scenarios!$B$2:$B$3,MATCH(Inputs!$B$3,Scenarios!$A$2:$A$3,0))))^(C$3/4)*(1+Inputs!$B$9))))</f>
        <v>715577.111796869</v>
      </c>
      <c r="D10" s="0" t="n">
        <f aca="false">IF(D$3&lt;=Warehouses!$G$6,0,IF(D4&lt;=Warehouses!$F$6,Warehouses!$D$6*Warehouses!$E$6/4*(1+(INDEX(CPI!$B$2:$H$5,MATCH(Warehouses!$B$6,CPI!$A$2:$A$5,0),MATCH(D5,CPI!$B$1:$H$1,0))+INDEX(Scenarios!$B$2:$B$3,MATCH(Inputs!$B$3,Scenarios!$A$2:$A$3,0))))^(D$3/4),IF(D4&lt;=EOMONTH(Warehouses!$F$6,3*(Inputs!$B$8+INDEX(Scenarios!$C$2:$C$3,MATCH(Inputs!$B$3,Scenarios!$A$2:$A$3,0)))),0,Warehouses!$D$6*Warehouses!$E$6/4*(1+(INDEX(CPI!$B$2:$H$5,MATCH(Warehouses!$B$6,CPI!$A$2:$A$5,0),MATCH(D5,CPI!$B$1:$H$1,0))+INDEX(Scenarios!$B$2:$B$3,MATCH(Inputs!$B$3,Scenarios!$A$2:$A$3,0))))^(D$3/4)*(1+Inputs!$B$9))))</f>
        <v>720183.689068282</v>
      </c>
      <c r="E10" s="0" t="n">
        <f aca="false">IF(E$3&lt;=Warehouses!$G$6,0,IF(E4&lt;=Warehouses!$F$6,Warehouses!$D$6*Warehouses!$E$6/4*(1+(INDEX(CPI!$B$2:$H$5,MATCH(Warehouses!$B$6,CPI!$A$2:$A$5,0),MATCH(E5,CPI!$B$1:$H$1,0))+INDEX(Scenarios!$B$2:$B$3,MATCH(Inputs!$B$3,Scenarios!$A$2:$A$3,0))))^(E$3/4),IF(E4&lt;=EOMONTH(Warehouses!$F$6,3*(Inputs!$B$8+INDEX(Scenarios!$C$2:$C$3,MATCH(Inputs!$B$3,Scenarios!$A$2:$A$3,0)))),0,Warehouses!$D$6*Warehouses!$E$6/4*(1+(INDEX(CPI!$B$2:$H$5,MATCH(Warehouses!$B$6,CPI!$A$2:$A$5,0),MATCH(E5,CPI!$B$1:$H$1,0))+INDEX(Scenarios!$B$2:$B$3,MATCH(Inputs!$B$3,Scenarios!$A$2:$A$3,0))))^(E$3/4)*(1+Inputs!$B$9))))</f>
        <v>724819.921500275</v>
      </c>
      <c r="F10" s="0" t="n">
        <f aca="false">IF(F$3&lt;=Warehouses!$G$6,0,IF(F4&lt;=Warehouses!$F$6,Warehouses!$D$6*Warehouses!$E$6/4*(1+(INDEX(CPI!$B$2:$H$5,MATCH(Warehouses!$B$6,CPI!$A$2:$A$5,0),MATCH(F5,CPI!$B$1:$H$1,0))+INDEX(Scenarios!$B$2:$B$3,MATCH(Inputs!$B$3,Scenarios!$A$2:$A$3,0))))^(F$3/4),IF(F4&lt;=EOMONTH(Warehouses!$F$6,3*(Inputs!$B$8+INDEX(Scenarios!$C$2:$C$3,MATCH(Inputs!$B$3,Scenarios!$A$2:$A$3,0)))),0,Warehouses!$D$6*Warehouses!$E$6/4*(1+(INDEX(CPI!$B$2:$H$5,MATCH(Warehouses!$B$6,CPI!$A$2:$A$5,0),MATCH(F5,CPI!$B$1:$H$1,0))+INDEX(Scenarios!$B$2:$B$3,MATCH(Inputs!$B$3,Scenarios!$A$2:$A$3,0))))^(F$3/4)*(1+Inputs!$B$9))))</f>
        <v>729486</v>
      </c>
      <c r="G10" s="0" t="n">
        <f aca="false">IF(G$3&lt;=Warehouses!$G$6,0,IF(G4&lt;=Warehouses!$F$6,Warehouses!$D$6*Warehouses!$E$6/4*(1+(INDEX(CPI!$B$2:$H$5,MATCH(Warehouses!$B$6,CPI!$A$2:$A$5,0),MATCH(G5,CPI!$B$1:$H$1,0))+INDEX(Scenarios!$B$2:$B$3,MATCH(Inputs!$B$3,Scenarios!$A$2:$A$3,0))))^(G$3/4),IF(G4&lt;=EOMONTH(Warehouses!$F$6,3*(Inputs!$B$8+INDEX(Scenarios!$C$2:$C$3,MATCH(Inputs!$B$3,Scenarios!$A$2:$A$3,0)))),0,Warehouses!$D$6*Warehouses!$E$6/4*(1+(INDEX(CPI!$B$2:$H$5,MATCH(Warehouses!$B$6,CPI!$A$2:$A$5,0),MATCH(G5,CPI!$B$1:$H$1,0))+INDEX(Scenarios!$B$2:$B$3,MATCH(Inputs!$B$3,Scenarios!$A$2:$A$3,0))))^(G$3/4)*(1+Inputs!$B$9))))</f>
        <v>732393.610038941</v>
      </c>
      <c r="H10" s="0" t="n">
        <f aca="false">IF(H$3&lt;=Warehouses!$G$6,0,IF(H4&lt;=Warehouses!$F$6,Warehouses!$D$6*Warehouses!$E$6/4*(1+(INDEX(CPI!$B$2:$H$5,MATCH(Warehouses!$B$6,CPI!$A$2:$A$5,0),MATCH(H5,CPI!$B$1:$H$1,0))+INDEX(Scenarios!$B$2:$B$3,MATCH(Inputs!$B$3,Scenarios!$A$2:$A$3,0))))^(H$3/4),IF(H4&lt;=EOMONTH(Warehouses!$F$6,3*(Inputs!$B$8+INDEX(Scenarios!$C$2:$C$3,MATCH(Inputs!$B$3,Scenarios!$A$2:$A$3,0)))),0,Warehouses!$D$6*Warehouses!$E$6/4*(1+(INDEX(CPI!$B$2:$H$5,MATCH(Warehouses!$B$6,CPI!$A$2:$A$5,0),MATCH(H5,CPI!$B$1:$H$1,0))+INDEX(Scenarios!$B$2:$B$3,MATCH(Inputs!$B$3,Scenarios!$A$2:$A$3,0))))^(H$3/4)*(1+Inputs!$B$9))))</f>
        <v>736748.967159306</v>
      </c>
      <c r="I10" s="0" t="n">
        <f aca="false">IF(I$3&lt;=Warehouses!$G$6,0,IF(I4&lt;=Warehouses!$F$6,Warehouses!$D$6*Warehouses!$E$6/4*(1+(INDEX(CPI!$B$2:$H$5,MATCH(Warehouses!$B$6,CPI!$A$2:$A$5,0),MATCH(I5,CPI!$B$1:$H$1,0))+INDEX(Scenarios!$B$2:$B$3,MATCH(Inputs!$B$3,Scenarios!$A$2:$A$3,0))))^(I$3/4),IF(I4&lt;=EOMONTH(Warehouses!$F$6,3*(Inputs!$B$8+INDEX(Scenarios!$C$2:$C$3,MATCH(Inputs!$B$3,Scenarios!$A$2:$A$3,0)))),0,Warehouses!$D$6*Warehouses!$E$6/4*(1+(INDEX(CPI!$B$2:$H$5,MATCH(Warehouses!$B$6,CPI!$A$2:$A$5,0),MATCH(I5,CPI!$B$1:$H$1,0))+INDEX(Scenarios!$B$2:$B$3,MATCH(Inputs!$B$3,Scenarios!$A$2:$A$3,0))))^(I$3/4)*(1+Inputs!$B$9))))</f>
        <v>741130.224472389</v>
      </c>
      <c r="J10" s="0" t="n">
        <f aca="false">IF(J$3&lt;=Warehouses!$G$6,0,IF(J4&lt;=Warehouses!$F$6,Warehouses!$D$6*Warehouses!$E$6/4*(1+(INDEX(CPI!$B$2:$H$5,MATCH(Warehouses!$B$6,CPI!$A$2:$A$5,0),MATCH(J5,CPI!$B$1:$H$1,0))+INDEX(Scenarios!$B$2:$B$3,MATCH(Inputs!$B$3,Scenarios!$A$2:$A$3,0))))^(J$3/4),IF(J4&lt;=EOMONTH(Warehouses!$F$6,3*(Inputs!$B$8+INDEX(Scenarios!$C$2:$C$3,MATCH(Inputs!$B$3,Scenarios!$A$2:$A$3,0)))),0,Warehouses!$D$6*Warehouses!$E$6/4*(1+(INDEX(CPI!$B$2:$H$5,MATCH(Warehouses!$B$6,CPI!$A$2:$A$5,0),MATCH(J5,CPI!$B$1:$H$1,0))+INDEX(Scenarios!$B$2:$B$3,MATCH(Inputs!$B$3,Scenarios!$A$2:$A$3,0))))^(J$3/4)*(1+Inputs!$B$9))))</f>
        <v>745537.536</v>
      </c>
      <c r="K10" s="0" t="n">
        <f aca="false">IF(K$3&lt;=Warehouses!$G$6,0,IF(K4&lt;=Warehouses!$F$6,Warehouses!$D$6*Warehouses!$E$6/4*(1+(INDEX(CPI!$B$2:$H$5,MATCH(Warehouses!$B$6,CPI!$A$2:$A$5,0),MATCH(K5,CPI!$B$1:$H$1,0))+INDEX(Scenarios!$B$2:$B$3,MATCH(Inputs!$B$3,Scenarios!$A$2:$A$3,0))))^(K$3/4),IF(K4&lt;=EOMONTH(Warehouses!$F$6,3*(Inputs!$B$8+INDEX(Scenarios!$C$2:$C$3,MATCH(Inputs!$B$3,Scenarios!$A$2:$A$3,0)))),0,Warehouses!$D$6*Warehouses!$E$6/4*(1+(INDEX(CPI!$B$2:$H$5,MATCH(Warehouses!$B$6,CPI!$A$2:$A$5,0),MATCH(K5,CPI!$B$1:$H$1,0))+INDEX(Scenarios!$B$2:$B$3,MATCH(Inputs!$B$3,Scenarios!$A$2:$A$3,0))))^(K$3/4)*(1+Inputs!$B$9))))</f>
        <v>746679.307937908</v>
      </c>
      <c r="L10" s="0" t="n">
        <f aca="false">IF(L$3&lt;=Warehouses!$G$6,0,IF(L4&lt;=Warehouses!$F$6,Warehouses!$D$6*Warehouses!$E$6/4*(1+(INDEX(CPI!$B$2:$H$5,MATCH(Warehouses!$B$6,CPI!$A$2:$A$5,0),MATCH(L5,CPI!$B$1:$H$1,0))+INDEX(Scenarios!$B$2:$B$3,MATCH(Inputs!$B$3,Scenarios!$A$2:$A$3,0))))^(L$3/4),IF(L4&lt;=EOMONTH(Warehouses!$F$6,3*(Inputs!$B$8+INDEX(Scenarios!$C$2:$C$3,MATCH(Inputs!$B$3,Scenarios!$A$2:$A$3,0)))),0,Warehouses!$D$6*Warehouses!$E$6/4*(1+(INDEX(CPI!$B$2:$H$5,MATCH(Warehouses!$B$6,CPI!$A$2:$A$5,0),MATCH(L5,CPI!$B$1:$H$1,0))+INDEX(Scenarios!$B$2:$B$3,MATCH(Inputs!$B$3,Scenarios!$A$2:$A$3,0))))^(L$3/4)*(1+Inputs!$B$9))))</f>
        <v>750752.591888957</v>
      </c>
      <c r="M10" s="0" t="n">
        <f aca="false">IF(M$3&lt;=Warehouses!$G$6,0,IF(M4&lt;=Warehouses!$F$6,Warehouses!$D$6*Warehouses!$E$6/4*(1+(INDEX(CPI!$B$2:$H$5,MATCH(Warehouses!$B$6,CPI!$A$2:$A$5,0),MATCH(M5,CPI!$B$1:$H$1,0))+INDEX(Scenarios!$B$2:$B$3,MATCH(Inputs!$B$3,Scenarios!$A$2:$A$3,0))))^(M$3/4),IF(M4&lt;=EOMONTH(Warehouses!$F$6,3*(Inputs!$B$8+INDEX(Scenarios!$C$2:$C$3,MATCH(Inputs!$B$3,Scenarios!$A$2:$A$3,0)))),0,Warehouses!$D$6*Warehouses!$E$6/4*(1+(INDEX(CPI!$B$2:$H$5,MATCH(Warehouses!$B$6,CPI!$A$2:$A$5,0),MATCH(M5,CPI!$B$1:$H$1,0))+INDEX(Scenarios!$B$2:$B$3,MATCH(Inputs!$B$3,Scenarios!$A$2:$A$3,0))))^(M$3/4)*(1+Inputs!$B$9))))</f>
        <v>754848.096413107</v>
      </c>
      <c r="N10" s="0" t="n">
        <f aca="false">IF(N$3&lt;=Warehouses!$G$6,0,IF(N4&lt;=Warehouses!$F$6,Warehouses!$D$6*Warehouses!$E$6/4*(1+(INDEX(CPI!$B$2:$H$5,MATCH(Warehouses!$B$6,CPI!$A$2:$A$5,0),MATCH(N5,CPI!$B$1:$H$1,0))+INDEX(Scenarios!$B$2:$B$3,MATCH(Inputs!$B$3,Scenarios!$A$2:$A$3,0))))^(N$3/4),IF(N4&lt;=EOMONTH(Warehouses!$F$6,3*(Inputs!$B$8+INDEX(Scenarios!$C$2:$C$3,MATCH(Inputs!$B$3,Scenarios!$A$2:$A$3,0)))),0,Warehouses!$D$6*Warehouses!$E$6/4*(1+(INDEX(CPI!$B$2:$H$5,MATCH(Warehouses!$B$6,CPI!$A$2:$A$5,0),MATCH(N5,CPI!$B$1:$H$1,0))+INDEX(Scenarios!$B$2:$B$3,MATCH(Inputs!$B$3,Scenarios!$A$2:$A$3,0))))^(N$3/4)*(1+Inputs!$B$9))))</f>
        <v>758965.942728</v>
      </c>
      <c r="O10" s="0" t="n">
        <f aca="false">IF(O$3&lt;=Warehouses!$G$6,0,IF(O4&lt;=Warehouses!$F$6,Warehouses!$D$6*Warehouses!$E$6/4*(1+(INDEX(CPI!$B$2:$H$5,MATCH(Warehouses!$B$6,CPI!$A$2:$A$5,0),MATCH(O5,CPI!$B$1:$H$1,0))+INDEX(Scenarios!$B$2:$B$3,MATCH(Inputs!$B$3,Scenarios!$A$2:$A$3,0))))^(O$3/4),IF(O4&lt;=EOMONTH(Warehouses!$F$6,3*(Inputs!$B$8+INDEX(Scenarios!$C$2:$C$3,MATCH(Inputs!$B$3,Scenarios!$A$2:$A$3,0)))),0,Warehouses!$D$6*Warehouses!$E$6/4*(1+(INDEX(CPI!$B$2:$H$5,MATCH(Warehouses!$B$6,CPI!$A$2:$A$5,0),MATCH(O5,CPI!$B$1:$H$1,0))+INDEX(Scenarios!$B$2:$B$3,MATCH(Inputs!$B$3,Scenarios!$A$2:$A$3,0))))^(O$3/4)*(1+Inputs!$B$9))))</f>
        <v>760682.215150839</v>
      </c>
      <c r="P10" s="0" t="n">
        <f aca="false">IF(P$3&lt;=Warehouses!$G$6,0,IF(P4&lt;=Warehouses!$F$6,Warehouses!$D$6*Warehouses!$E$6/4*(1+(INDEX(CPI!$B$2:$H$5,MATCH(Warehouses!$B$6,CPI!$A$2:$A$5,0),MATCH(P5,CPI!$B$1:$H$1,0))+INDEX(Scenarios!$B$2:$B$3,MATCH(Inputs!$B$3,Scenarios!$A$2:$A$3,0))))^(P$3/4),IF(P4&lt;=EOMONTH(Warehouses!$F$6,3*(Inputs!$B$8+INDEX(Scenarios!$C$2:$C$3,MATCH(Inputs!$B$3,Scenarios!$A$2:$A$3,0)))),0,Warehouses!$D$6*Warehouses!$E$6/4*(1+(INDEX(CPI!$B$2:$H$5,MATCH(Warehouses!$B$6,CPI!$A$2:$A$5,0),MATCH(P5,CPI!$B$1:$H$1,0))+INDEX(Scenarios!$B$2:$B$3,MATCH(Inputs!$B$3,Scenarios!$A$2:$A$3,0))))^(P$3/4)*(1+Inputs!$B$9))))</f>
        <v>764644.727104917</v>
      </c>
      <c r="Q10" s="0" t="n">
        <f aca="false">IF(Q$3&lt;=Warehouses!$G$6,0,IF(Q4&lt;=Warehouses!$F$6,Warehouses!$D$6*Warehouses!$E$6/4*(1+(INDEX(CPI!$B$2:$H$5,MATCH(Warehouses!$B$6,CPI!$A$2:$A$5,0),MATCH(Q5,CPI!$B$1:$H$1,0))+INDEX(Scenarios!$B$2:$B$3,MATCH(Inputs!$B$3,Scenarios!$A$2:$A$3,0))))^(Q$3/4),IF(Q4&lt;=EOMONTH(Warehouses!$F$6,3*(Inputs!$B$8+INDEX(Scenarios!$C$2:$C$3,MATCH(Inputs!$B$3,Scenarios!$A$2:$A$3,0)))),0,Warehouses!$D$6*Warehouses!$E$6/4*(1+(INDEX(CPI!$B$2:$H$5,MATCH(Warehouses!$B$6,CPI!$A$2:$A$5,0),MATCH(Q5,CPI!$B$1:$H$1,0))+INDEX(Scenarios!$B$2:$B$3,MATCH(Inputs!$B$3,Scenarios!$A$2:$A$3,0))))^(Q$3/4)*(1+Inputs!$B$9))))</f>
        <v>768627.880399982</v>
      </c>
      <c r="R10" s="0" t="n">
        <f aca="false">IF(R$3&lt;=Warehouses!$G$6,0,IF(R4&lt;=Warehouses!$F$6,Warehouses!$D$6*Warehouses!$E$6/4*(1+(INDEX(CPI!$B$2:$H$5,MATCH(Warehouses!$B$6,CPI!$A$2:$A$5,0),MATCH(R5,CPI!$B$1:$H$1,0))+INDEX(Scenarios!$B$2:$B$3,MATCH(Inputs!$B$3,Scenarios!$A$2:$A$3,0))))^(R$3/4),IF(R4&lt;=EOMONTH(Warehouses!$F$6,3*(Inputs!$B$8+INDEX(Scenarios!$C$2:$C$3,MATCH(Inputs!$B$3,Scenarios!$A$2:$A$3,0)))),0,Warehouses!$D$6*Warehouses!$E$6/4*(1+(INDEX(CPI!$B$2:$H$5,MATCH(Warehouses!$B$6,CPI!$A$2:$A$5,0),MATCH(R5,CPI!$B$1:$H$1,0))+INDEX(Scenarios!$B$2:$B$3,MATCH(Inputs!$B$3,Scenarios!$A$2:$A$3,0))))^(R$3/4)*(1+Inputs!$B$9))))</f>
        <v>772631.782559991</v>
      </c>
      <c r="S10" s="0" t="n">
        <f aca="false">IF(S$3&lt;=Warehouses!$G$6,0,IF(S4&lt;=Warehouses!$F$6,Warehouses!$D$6*Warehouses!$E$6/4*(1+(INDEX(CPI!$B$2:$H$5,MATCH(Warehouses!$B$6,CPI!$A$2:$A$5,0),MATCH(S5,CPI!$B$1:$H$1,0))+INDEX(Scenarios!$B$2:$B$3,MATCH(Inputs!$B$3,Scenarios!$A$2:$A$3,0))))^(S$3/4),IF(S4&lt;=EOMONTH(Warehouses!$F$6,3*(Inputs!$B$8+INDEX(Scenarios!$C$2:$C$3,MATCH(Inputs!$B$3,Scenarios!$A$2:$A$3,0)))),0,Warehouses!$D$6*Warehouses!$E$6/4*(1+(INDEX(CPI!$B$2:$H$5,MATCH(Warehouses!$B$6,CPI!$A$2:$A$5,0),MATCH(S5,CPI!$B$1:$H$1,0))+INDEX(Scenarios!$B$2:$B$3,MATCH(Inputs!$B$3,Scenarios!$A$2:$A$3,0))))^(S$3/4)*(1+Inputs!$B$9))))</f>
        <v>773428.783884071</v>
      </c>
      <c r="T10" s="0" t="n">
        <f aca="false">IF(T$3&lt;=Warehouses!$G$6,0,IF(T4&lt;=Warehouses!$F$6,Warehouses!$D$6*Warehouses!$E$6/4*(1+(INDEX(CPI!$B$2:$H$5,MATCH(Warehouses!$B$6,CPI!$A$2:$A$5,0),MATCH(T5,CPI!$B$1:$H$1,0))+INDEX(Scenarios!$B$2:$B$3,MATCH(Inputs!$B$3,Scenarios!$A$2:$A$3,0))))^(T$3/4),IF(T4&lt;=EOMONTH(Warehouses!$F$6,3*(Inputs!$B$8+INDEX(Scenarios!$C$2:$C$3,MATCH(Inputs!$B$3,Scenarios!$A$2:$A$3,0)))),0,Warehouses!$D$6*Warehouses!$E$6/4*(1+(INDEX(CPI!$B$2:$H$5,MATCH(Warehouses!$B$6,CPI!$A$2:$A$5,0),MATCH(T5,CPI!$B$1:$H$1,0))+INDEX(Scenarios!$B$2:$B$3,MATCH(Inputs!$B$3,Scenarios!$A$2:$A$3,0))))^(T$3/4)*(1+Inputs!$B$9))))</f>
        <v>777267.258015233</v>
      </c>
      <c r="U10" s="0" t="n">
        <f aca="false">IF(U$3&lt;=Warehouses!$G$6,0,IF(U4&lt;=Warehouses!$F$6,Warehouses!$D$6*Warehouses!$E$6/4*(1+(INDEX(CPI!$B$2:$H$5,MATCH(Warehouses!$B$6,CPI!$A$2:$A$5,0),MATCH(U5,CPI!$B$1:$H$1,0))+INDEX(Scenarios!$B$2:$B$3,MATCH(Inputs!$B$3,Scenarios!$A$2:$A$3,0))))^(U$3/4),IF(U4&lt;=EOMONTH(Warehouses!$F$6,3*(Inputs!$B$8+INDEX(Scenarios!$C$2:$C$3,MATCH(Inputs!$B$3,Scenarios!$A$2:$A$3,0)))),0,Warehouses!$D$6*Warehouses!$E$6/4*(1+(INDEX(CPI!$B$2:$H$5,MATCH(Warehouses!$B$6,CPI!$A$2:$A$5,0),MATCH(U5,CPI!$B$1:$H$1,0))+INDEX(Scenarios!$B$2:$B$3,MATCH(Inputs!$B$3,Scenarios!$A$2:$A$3,0))))^(U$3/4)*(1+Inputs!$B$9))))</f>
        <v>781124.782230855</v>
      </c>
      <c r="V10" s="0" t="n">
        <f aca="false">IF(V$3&lt;=Warehouses!$G$6,0,IF(V4&lt;=Warehouses!$F$6,Warehouses!$D$6*Warehouses!$E$6/4*(1+(INDEX(CPI!$B$2:$H$5,MATCH(Warehouses!$B$6,CPI!$A$2:$A$5,0),MATCH(V5,CPI!$B$1:$H$1,0))+INDEX(Scenarios!$B$2:$B$3,MATCH(Inputs!$B$3,Scenarios!$A$2:$A$3,0))))^(V$3/4),IF(V4&lt;=EOMONTH(Warehouses!$F$6,3*(Inputs!$B$8+INDEX(Scenarios!$C$2:$C$3,MATCH(Inputs!$B$3,Scenarios!$A$2:$A$3,0)))),0,Warehouses!$D$6*Warehouses!$E$6/4*(1+(INDEX(CPI!$B$2:$H$5,MATCH(Warehouses!$B$6,CPI!$A$2:$A$5,0),MATCH(V5,CPI!$B$1:$H$1,0))+INDEX(Scenarios!$B$2:$B$3,MATCH(Inputs!$B$3,Scenarios!$A$2:$A$3,0))))^(V$3/4)*(1+Inputs!$B$9))))</f>
        <v>785001.4510752</v>
      </c>
      <c r="W10" s="0" t="n">
        <f aca="false">IF(W$3&lt;=Warehouses!$G$6,0,IF(W4&lt;=Warehouses!$F$6,Warehouses!$D$6*Warehouses!$E$6/4*(1+(INDEX(CPI!$B$2:$H$5,MATCH(Warehouses!$B$6,CPI!$A$2:$A$5,0),MATCH(W5,CPI!$B$1:$H$1,0))+INDEX(Scenarios!$B$2:$B$3,MATCH(Inputs!$B$3,Scenarios!$A$2:$A$3,0))))^(W$3/4),IF(W4&lt;=EOMONTH(Warehouses!$F$6,3*(Inputs!$B$8+INDEX(Scenarios!$C$2:$C$3,MATCH(Inputs!$B$3,Scenarios!$A$2:$A$3,0)))),0,Warehouses!$D$6*Warehouses!$E$6/4*(1+(INDEX(CPI!$B$2:$H$5,MATCH(Warehouses!$B$6,CPI!$A$2:$A$5,0),MATCH(W5,CPI!$B$1:$H$1,0))+INDEX(Scenarios!$B$2:$B$3,MATCH(Inputs!$B$3,Scenarios!$A$2:$A$3,0))))^(W$3/4)*(1+Inputs!$B$9))))</f>
        <v>788897.359561752</v>
      </c>
      <c r="X10" s="0" t="n">
        <f aca="false">IF(X$3&lt;=Warehouses!$G$6,0,IF(X4&lt;=Warehouses!$F$6,Warehouses!$D$6*Warehouses!$E$6/4*(1+(INDEX(CPI!$B$2:$H$5,MATCH(Warehouses!$B$6,CPI!$A$2:$A$5,0),MATCH(X5,CPI!$B$1:$H$1,0))+INDEX(Scenarios!$B$2:$B$3,MATCH(Inputs!$B$3,Scenarios!$A$2:$A$3,0))))^(X$3/4),IF(X4&lt;=EOMONTH(Warehouses!$F$6,3*(Inputs!$B$8+INDEX(Scenarios!$C$2:$C$3,MATCH(Inputs!$B$3,Scenarios!$A$2:$A$3,0)))),0,Warehouses!$D$6*Warehouses!$E$6/4*(1+(INDEX(CPI!$B$2:$H$5,MATCH(Warehouses!$B$6,CPI!$A$2:$A$5,0),MATCH(X5,CPI!$B$1:$H$1,0))+INDEX(Scenarios!$B$2:$B$3,MATCH(Inputs!$B$3,Scenarios!$A$2:$A$3,0))))^(X$3/4)*(1+Inputs!$B$9))))</f>
        <v>792812.603175538</v>
      </c>
      <c r="Y10" s="0" t="n">
        <f aca="false">IF(Y$3&lt;=Warehouses!$G$6,0,IF(Y4&lt;=Warehouses!$F$6,Warehouses!$D$6*Warehouses!$E$6/4*(1+(INDEX(CPI!$B$2:$H$5,MATCH(Warehouses!$B$6,CPI!$A$2:$A$5,0),MATCH(Y5,CPI!$B$1:$H$1,0))+INDEX(Scenarios!$B$2:$B$3,MATCH(Inputs!$B$3,Scenarios!$A$2:$A$3,0))))^(Y$3/4),IF(Y4&lt;=EOMONTH(Warehouses!$F$6,3*(Inputs!$B$8+INDEX(Scenarios!$C$2:$C$3,MATCH(Inputs!$B$3,Scenarios!$A$2:$A$3,0)))),0,Warehouses!$D$6*Warehouses!$E$6/4*(1+(INDEX(CPI!$B$2:$H$5,MATCH(Warehouses!$B$6,CPI!$A$2:$A$5,0),MATCH(Y5,CPI!$B$1:$H$1,0))+INDEX(Scenarios!$B$2:$B$3,MATCH(Inputs!$B$3,Scenarios!$A$2:$A$3,0))))^(Y$3/4)*(1+Inputs!$B$9))))</f>
        <v>796747.277875472</v>
      </c>
      <c r="Z10" s="0" t="n">
        <f aca="false">IF(Z$3&lt;=Warehouses!$G$6,0,IF(Z4&lt;=Warehouses!$F$6,Warehouses!$D$6*Warehouses!$E$6/4*(1+(INDEX(CPI!$B$2:$H$5,MATCH(Warehouses!$B$6,CPI!$A$2:$A$5,0),MATCH(Z5,CPI!$B$1:$H$1,0))+INDEX(Scenarios!$B$2:$B$3,MATCH(Inputs!$B$3,Scenarios!$A$2:$A$3,0))))^(Z$3/4),IF(Z4&lt;=EOMONTH(Warehouses!$F$6,3*(Inputs!$B$8+INDEX(Scenarios!$C$2:$C$3,MATCH(Inputs!$B$3,Scenarios!$A$2:$A$3,0)))),0,Warehouses!$D$6*Warehouses!$E$6/4*(1+(INDEX(CPI!$B$2:$H$5,MATCH(Warehouses!$B$6,CPI!$A$2:$A$5,0),MATCH(Z5,CPI!$B$1:$H$1,0))+INDEX(Scenarios!$B$2:$B$3,MATCH(Inputs!$B$3,Scenarios!$A$2:$A$3,0))))^(Z$3/4)*(1+Inputs!$B$9))))</f>
        <v>800701.480096704</v>
      </c>
      <c r="AA10" s="0" t="n">
        <f aca="false">IF(AA$3&lt;=Warehouses!$G$6,0,IF(AA4&lt;=Warehouses!$F$6,Warehouses!$D$6*Warehouses!$E$6/4*(1+(INDEX(CPI!$B$2:$H$5,MATCH(Warehouses!$B$6,CPI!$A$2:$A$5,0),MATCH(AA5,CPI!$B$1:$H$1,0))+INDEX(Scenarios!$B$2:$B$3,MATCH(Inputs!$B$3,Scenarios!$A$2:$A$3,0))))^(AA$3/4),IF(AA4&lt;=EOMONTH(Warehouses!$F$6,3*(Inputs!$B$8+INDEX(Scenarios!$C$2:$C$3,MATCH(Inputs!$B$3,Scenarios!$A$2:$A$3,0)))),0,Warehouses!$D$6*Warehouses!$E$6/4*(1+(INDEX(CPI!$B$2:$H$5,MATCH(Warehouses!$B$6,CPI!$A$2:$A$5,0),MATCH(AA5,CPI!$B$1:$H$1,0))+INDEX(Scenarios!$B$2:$B$3,MATCH(Inputs!$B$3,Scenarios!$A$2:$A$3,0))))^(AA$3/4)*(1+Inputs!$B$9))))</f>
        <v>0</v>
      </c>
      <c r="AB10" s="0" t="n">
        <f aca="false">IF(AB$3&lt;=Warehouses!$G$6,0,IF(AB4&lt;=Warehouses!$F$6,Warehouses!$D$6*Warehouses!$E$6/4*(1+(INDEX(CPI!$B$2:$H$5,MATCH(Warehouses!$B$6,CPI!$A$2:$A$5,0),MATCH(AB5,CPI!$B$1:$H$1,0))+INDEX(Scenarios!$B$2:$B$3,MATCH(Inputs!$B$3,Scenarios!$A$2:$A$3,0))))^(AB$3/4),IF(AB4&lt;=EOMONTH(Warehouses!$F$6,3*(Inputs!$B$8+INDEX(Scenarios!$C$2:$C$3,MATCH(Inputs!$B$3,Scenarios!$A$2:$A$3,0)))),0,Warehouses!$D$6*Warehouses!$E$6/4*(1+(INDEX(CPI!$B$2:$H$5,MATCH(Warehouses!$B$6,CPI!$A$2:$A$5,0),MATCH(AB5,CPI!$B$1:$H$1,0))+INDEX(Scenarios!$B$2:$B$3,MATCH(Inputs!$B$3,Scenarios!$A$2:$A$3,0))))^(AB$3/4)*(1+Inputs!$B$9))))</f>
        <v>0</v>
      </c>
      <c r="AC10" s="0" t="n">
        <f aca="false">IF(AC$3&lt;=Warehouses!$G$6,0,IF(AC4&lt;=Warehouses!$F$6,Warehouses!$D$6*Warehouses!$E$6/4*(1+(INDEX(CPI!$B$2:$H$5,MATCH(Warehouses!$B$6,CPI!$A$2:$A$5,0),MATCH(AC5,CPI!$B$1:$H$1,0))+INDEX(Scenarios!$B$2:$B$3,MATCH(Inputs!$B$3,Scenarios!$A$2:$A$3,0))))^(AC$3/4),IF(AC4&lt;=EOMONTH(Warehouses!$F$6,3*(Inputs!$B$8+INDEX(Scenarios!$C$2:$C$3,MATCH(Inputs!$B$3,Scenarios!$A$2:$A$3,0)))),0,Warehouses!$D$6*Warehouses!$E$6/4*(1+(INDEX(CPI!$B$2:$H$5,MATCH(Warehouses!$B$6,CPI!$A$2:$A$5,0),MATCH(AC5,CPI!$B$1:$H$1,0))+INDEX(Scenarios!$B$2:$B$3,MATCH(Inputs!$B$3,Scenarios!$A$2:$A$3,0))))^(AC$3/4)*(1+Inputs!$B$9))))</f>
        <v>877696.80130762</v>
      </c>
      <c r="AD10" s="0" t="n">
        <f aca="false">IF(AD$3&lt;=Warehouses!$G$6,0,IF(AD4&lt;=Warehouses!$F$6,Warehouses!$D$6*Warehouses!$E$6/4*(1+(INDEX(CPI!$B$2:$H$5,MATCH(Warehouses!$B$6,CPI!$A$2:$A$5,0),MATCH(AD5,CPI!$B$1:$H$1,0))+INDEX(Scenarios!$B$2:$B$3,MATCH(Inputs!$B$3,Scenarios!$A$2:$A$3,0))))^(AD$3/4),IF(AD4&lt;=EOMONTH(Warehouses!$F$6,3*(Inputs!$B$8+INDEX(Scenarios!$C$2:$C$3,MATCH(Inputs!$B$3,Scenarios!$A$2:$A$3,0)))),0,Warehouses!$D$6*Warehouses!$E$6/4*(1+(INDEX(CPI!$B$2:$H$5,MATCH(Warehouses!$B$6,CPI!$A$2:$A$5,0),MATCH(AD5,CPI!$B$1:$H$1,0))+INDEX(Scenarios!$B$2:$B$3,MATCH(Inputs!$B$3,Scenarios!$A$2:$A$3,0))))^(AD$3/4)*(1+Inputs!$B$9))))</f>
        <v>882052.750474529</v>
      </c>
    </row>
    <row r="11" customFormat="false" ht="15" hidden="false" customHeight="false" outlineLevel="0" collapsed="false">
      <c r="A11" s="0" t="s">
        <v>44</v>
      </c>
      <c r="B11" s="0" t="n">
        <f aca="false">0</f>
        <v>0</v>
      </c>
      <c r="C11" s="0" t="n">
        <f aca="false">IF(C$3&lt;=Warehouses!$G$7,0,IF(C4&lt;=Warehouses!$F$7,Warehouses!$D$7*Warehouses!$E$7/4*(1+(INDEX(CPI!$B$2:$H$5,MATCH(Warehouses!$B$7,CPI!$A$2:$A$5,0),MATCH(C5,CPI!$B$1:$H$1,0))+INDEX(Scenarios!$B$2:$B$3,MATCH(Inputs!$B$3,Scenarios!$A$2:$A$3,0))))^(C$3/4),IF(C4&lt;=EOMONTH(Warehouses!$F$7,3*(Inputs!$B$8+INDEX(Scenarios!$C$2:$C$3,MATCH(Inputs!$B$3,Scenarios!$A$2:$A$3,0)))),0,Warehouses!$D$7*Warehouses!$E$7/4*(1+(INDEX(CPI!$B$2:$H$5,MATCH(Warehouses!$B$7,CPI!$A$2:$A$5,0),MATCH(C5,CPI!$B$1:$H$1,0))+INDEX(Scenarios!$B$2:$B$3,MATCH(Inputs!$B$3,Scenarios!$A$2:$A$3,0))))^(C$3/4)*(1+Inputs!$B$9))))</f>
        <v>0</v>
      </c>
      <c r="D11" s="0" t="n">
        <f aca="false">IF(D$3&lt;=Warehouses!$G$7,0,IF(D4&lt;=Warehouses!$F$7,Warehouses!$D$7*Warehouses!$E$7/4*(1+(INDEX(CPI!$B$2:$H$5,MATCH(Warehouses!$B$7,CPI!$A$2:$A$5,0),MATCH(D5,CPI!$B$1:$H$1,0))+INDEX(Scenarios!$B$2:$B$3,MATCH(Inputs!$B$3,Scenarios!$A$2:$A$3,0))))^(D$3/4),IF(D4&lt;=EOMONTH(Warehouses!$F$7,3*(Inputs!$B$8+INDEX(Scenarios!$C$2:$C$3,MATCH(Inputs!$B$3,Scenarios!$A$2:$A$3,0)))),0,Warehouses!$D$7*Warehouses!$E$7/4*(1+(INDEX(CPI!$B$2:$H$5,MATCH(Warehouses!$B$7,CPI!$A$2:$A$5,0),MATCH(D5,CPI!$B$1:$H$1,0))+INDEX(Scenarios!$B$2:$B$3,MATCH(Inputs!$B$3,Scenarios!$A$2:$A$3,0))))^(D$3/4)*(1+Inputs!$B$9))))</f>
        <v>869290.55211707</v>
      </c>
      <c r="E11" s="0" t="n">
        <f aca="false">IF(E$3&lt;=Warehouses!$G$7,0,IF(E4&lt;=Warehouses!$F$7,Warehouses!$D$7*Warehouses!$E$7/4*(1+(INDEX(CPI!$B$2:$H$5,MATCH(Warehouses!$B$7,CPI!$A$2:$A$5,0),MATCH(E5,CPI!$B$1:$H$1,0))+INDEX(Scenarios!$B$2:$B$3,MATCH(Inputs!$B$3,Scenarios!$A$2:$A$3,0))))^(E$3/4),IF(E4&lt;=EOMONTH(Warehouses!$F$7,3*(Inputs!$B$8+INDEX(Scenarios!$C$2:$C$3,MATCH(Inputs!$B$3,Scenarios!$A$2:$A$3,0)))),0,Warehouses!$D$7*Warehouses!$E$7/4*(1+(INDEX(CPI!$B$2:$H$5,MATCH(Warehouses!$B$7,CPI!$A$2:$A$5,0),MATCH(E5,CPI!$B$1:$H$1,0))+INDEX(Scenarios!$B$2:$B$3,MATCH(Inputs!$B$3,Scenarios!$A$2:$A$3,0))))^(E$3/4)*(1+Inputs!$B$9))))</f>
        <v>878066.972371867</v>
      </c>
      <c r="F11" s="0" t="n">
        <f aca="false">IF(F$3&lt;=Warehouses!$G$7,0,IF(F4&lt;=Warehouses!$F$7,Warehouses!$D$7*Warehouses!$E$7/4*(1+(INDEX(CPI!$B$2:$H$5,MATCH(Warehouses!$B$7,CPI!$A$2:$A$5,0),MATCH(F5,CPI!$B$1:$H$1,0))+INDEX(Scenarios!$B$2:$B$3,MATCH(Inputs!$B$3,Scenarios!$A$2:$A$3,0))))^(F$3/4),IF(F4&lt;=EOMONTH(Warehouses!$F$7,3*(Inputs!$B$8+INDEX(Scenarios!$C$2:$C$3,MATCH(Inputs!$B$3,Scenarios!$A$2:$A$3,0)))),0,Warehouses!$D$7*Warehouses!$E$7/4*(1+(INDEX(CPI!$B$2:$H$5,MATCH(Warehouses!$B$7,CPI!$A$2:$A$5,0),MATCH(F5,CPI!$B$1:$H$1,0))+INDEX(Scenarios!$B$2:$B$3,MATCH(Inputs!$B$3,Scenarios!$A$2:$A$3,0))))^(F$3/4)*(1+Inputs!$B$9))))</f>
        <v>886932</v>
      </c>
      <c r="G11" s="0" t="n">
        <f aca="false">IF(G$3&lt;=Warehouses!$G$7,0,IF(G4&lt;=Warehouses!$F$7,Warehouses!$D$7*Warehouses!$E$7/4*(1+(INDEX(CPI!$B$2:$H$5,MATCH(Warehouses!$B$7,CPI!$A$2:$A$5,0),MATCH(G5,CPI!$B$1:$H$1,0))+INDEX(Scenarios!$B$2:$B$3,MATCH(Inputs!$B$3,Scenarios!$A$2:$A$3,0))))^(G$3/4),IF(G4&lt;=EOMONTH(Warehouses!$F$7,3*(Inputs!$B$8+INDEX(Scenarios!$C$2:$C$3,MATCH(Inputs!$B$3,Scenarios!$A$2:$A$3,0)))),0,Warehouses!$D$7*Warehouses!$E$7/4*(1+(INDEX(CPI!$B$2:$H$5,MATCH(Warehouses!$B$7,CPI!$A$2:$A$5,0),MATCH(G5,CPI!$B$1:$H$1,0))+INDEX(Scenarios!$B$2:$B$3,MATCH(Inputs!$B$3,Scenarios!$A$2:$A$3,0))))^(G$3/4)*(1+Inputs!$B$9))))</f>
        <v>889436.672629703</v>
      </c>
      <c r="H11" s="0" t="n">
        <f aca="false">IF(H$3&lt;=Warehouses!$G$7,0,IF(H4&lt;=Warehouses!$F$7,Warehouses!$D$7*Warehouses!$E$7/4*(1+(INDEX(CPI!$B$2:$H$5,MATCH(Warehouses!$B$7,CPI!$A$2:$A$5,0),MATCH(H5,CPI!$B$1:$H$1,0))+INDEX(Scenarios!$B$2:$B$3,MATCH(Inputs!$B$3,Scenarios!$A$2:$A$3,0))))^(H$3/4),IF(H4&lt;=EOMONTH(Warehouses!$F$7,3*(Inputs!$B$8+INDEX(Scenarios!$C$2:$C$3,MATCH(Inputs!$B$3,Scenarios!$A$2:$A$3,0)))),0,Warehouses!$D$7*Warehouses!$E$7/4*(1+(INDEX(CPI!$B$2:$H$5,MATCH(Warehouses!$B$7,CPI!$A$2:$A$5,0),MATCH(H5,CPI!$B$1:$H$1,0))+INDEX(Scenarios!$B$2:$B$3,MATCH(Inputs!$B$3,Scenarios!$A$2:$A$3,0))))^(H$3/4)*(1+Inputs!$B$9))))</f>
        <v>897119.133857929</v>
      </c>
      <c r="I11" s="0" t="n">
        <f aca="false">IF(I$3&lt;=Warehouses!$G$7,0,IF(I4&lt;=Warehouses!$F$7,Warehouses!$D$7*Warehouses!$E$7/4*(1+(INDEX(CPI!$B$2:$H$5,MATCH(Warehouses!$B$7,CPI!$A$2:$A$5,0),MATCH(I5,CPI!$B$1:$H$1,0))+INDEX(Scenarios!$B$2:$B$3,MATCH(Inputs!$B$3,Scenarios!$A$2:$A$3,0))))^(I$3/4),IF(I4&lt;=EOMONTH(Warehouses!$F$7,3*(Inputs!$B$8+INDEX(Scenarios!$C$2:$C$3,MATCH(Inputs!$B$3,Scenarios!$A$2:$A$3,0)))),0,Warehouses!$D$7*Warehouses!$E$7/4*(1+(INDEX(CPI!$B$2:$H$5,MATCH(Warehouses!$B$7,CPI!$A$2:$A$5,0),MATCH(I5,CPI!$B$1:$H$1,0))+INDEX(Scenarios!$B$2:$B$3,MATCH(Inputs!$B$3,Scenarios!$A$2:$A$3,0))))^(I$3/4)*(1+Inputs!$B$9))))</f>
        <v>904867.951930142</v>
      </c>
      <c r="J11" s="0" t="n">
        <f aca="false">IF(J$3&lt;=Warehouses!$G$7,0,IF(J4&lt;=Warehouses!$F$7,Warehouses!$D$7*Warehouses!$E$7/4*(1+(INDEX(CPI!$B$2:$H$5,MATCH(Warehouses!$B$7,CPI!$A$2:$A$5,0),MATCH(J5,CPI!$B$1:$H$1,0))+INDEX(Scenarios!$B$2:$B$3,MATCH(Inputs!$B$3,Scenarios!$A$2:$A$3,0))))^(J$3/4),IF(J4&lt;=EOMONTH(Warehouses!$F$7,3*(Inputs!$B$8+INDEX(Scenarios!$C$2:$C$3,MATCH(Inputs!$B$3,Scenarios!$A$2:$A$3,0)))),0,Warehouses!$D$7*Warehouses!$E$7/4*(1+(INDEX(CPI!$B$2:$H$5,MATCH(Warehouses!$B$7,CPI!$A$2:$A$5,0),MATCH(J5,CPI!$B$1:$H$1,0))+INDEX(Scenarios!$B$2:$B$3,MATCH(Inputs!$B$3,Scenarios!$A$2:$A$3,0))))^(J$3/4)*(1+Inputs!$B$9))))</f>
        <v>912683.7</v>
      </c>
      <c r="K11" s="0" t="n">
        <f aca="false">IF(K$3&lt;=Warehouses!$G$7,0,IF(K4&lt;=Warehouses!$F$7,Warehouses!$D$7*Warehouses!$E$7/4*(1+(INDEX(CPI!$B$2:$H$5,MATCH(Warehouses!$B$7,CPI!$A$2:$A$5,0),MATCH(K5,CPI!$B$1:$H$1,0))+INDEX(Scenarios!$B$2:$B$3,MATCH(Inputs!$B$3,Scenarios!$A$2:$A$3,0))))^(K$3/4),IF(K4&lt;=EOMONTH(Warehouses!$F$7,3*(Inputs!$B$8+INDEX(Scenarios!$C$2:$C$3,MATCH(Inputs!$B$3,Scenarios!$A$2:$A$3,0)))),0,Warehouses!$D$7*Warehouses!$E$7/4*(1+(INDEX(CPI!$B$2:$H$5,MATCH(Warehouses!$B$7,CPI!$A$2:$A$5,0),MATCH(K5,CPI!$B$1:$H$1,0))+INDEX(Scenarios!$B$2:$B$3,MATCH(Inputs!$B$3,Scenarios!$A$2:$A$3,0))))^(K$3/4)*(1+Inputs!$B$9))))</f>
        <v>912581.355466157</v>
      </c>
      <c r="L11" s="0" t="n">
        <f aca="false">IF(L$3&lt;=Warehouses!$G$7,0,IF(L4&lt;=Warehouses!$F$7,Warehouses!$D$7*Warehouses!$E$7/4*(1+(INDEX(CPI!$B$2:$H$5,MATCH(Warehouses!$B$7,CPI!$A$2:$A$5,0),MATCH(L5,CPI!$B$1:$H$1,0))+INDEX(Scenarios!$B$2:$B$3,MATCH(Inputs!$B$3,Scenarios!$A$2:$A$3,0))))^(L$3/4),IF(L4&lt;=EOMONTH(Warehouses!$F$7,3*(Inputs!$B$8+INDEX(Scenarios!$C$2:$C$3,MATCH(Inputs!$B$3,Scenarios!$A$2:$A$3,0)))),0,Warehouses!$D$7*Warehouses!$E$7/4*(1+(INDEX(CPI!$B$2:$H$5,MATCH(Warehouses!$B$7,CPI!$A$2:$A$5,0),MATCH(L5,CPI!$B$1:$H$1,0))+INDEX(Scenarios!$B$2:$B$3,MATCH(Inputs!$B$3,Scenarios!$A$2:$A$3,0))))^(L$3/4)*(1+Inputs!$B$9))))</f>
        <v>919573.098900025</v>
      </c>
      <c r="M11" s="0" t="n">
        <f aca="false">IF(M$3&lt;=Warehouses!$G$7,0,IF(M4&lt;=Warehouses!$F$7,Warehouses!$D$7*Warehouses!$E$7/4*(1+(INDEX(CPI!$B$2:$H$5,MATCH(Warehouses!$B$7,CPI!$A$2:$A$5,0),MATCH(M5,CPI!$B$1:$H$1,0))+INDEX(Scenarios!$B$2:$B$3,MATCH(Inputs!$B$3,Scenarios!$A$2:$A$3,0))))^(M$3/4),IF(M4&lt;=EOMONTH(Warehouses!$F$7,3*(Inputs!$B$8+INDEX(Scenarios!$C$2:$C$3,MATCH(Inputs!$B$3,Scenarios!$A$2:$A$3,0)))),0,Warehouses!$D$7*Warehouses!$E$7/4*(1+(INDEX(CPI!$B$2:$H$5,MATCH(Warehouses!$B$7,CPI!$A$2:$A$5,0),MATCH(M5,CPI!$B$1:$H$1,0))+INDEX(Scenarios!$B$2:$B$3,MATCH(Inputs!$B$3,Scenarios!$A$2:$A$3,0))))^(M$3/4)*(1+Inputs!$B$9))))</f>
        <v>926618.409586776</v>
      </c>
      <c r="N11" s="0" t="n">
        <f aca="false">IF(N$3&lt;=Warehouses!$G$7,0,IF(N4&lt;=Warehouses!$F$7,Warehouses!$D$7*Warehouses!$E$7/4*(1+(INDEX(CPI!$B$2:$H$5,MATCH(Warehouses!$B$7,CPI!$A$2:$A$5,0),MATCH(N5,CPI!$B$1:$H$1,0))+INDEX(Scenarios!$B$2:$B$3,MATCH(Inputs!$B$3,Scenarios!$A$2:$A$3,0))))^(N$3/4),IF(N4&lt;=EOMONTH(Warehouses!$F$7,3*(Inputs!$B$8+INDEX(Scenarios!$C$2:$C$3,MATCH(Inputs!$B$3,Scenarios!$A$2:$A$3,0)))),0,Warehouses!$D$7*Warehouses!$E$7/4*(1+(INDEX(CPI!$B$2:$H$5,MATCH(Warehouses!$B$7,CPI!$A$2:$A$5,0),MATCH(N5,CPI!$B$1:$H$1,0))+INDEX(Scenarios!$B$2:$B$3,MATCH(Inputs!$B$3,Scenarios!$A$2:$A$3,0))))^(N$3/4)*(1+Inputs!$B$9))))</f>
        <v>933717.697932</v>
      </c>
      <c r="O11" s="0" t="n">
        <f aca="false">IF(O$3&lt;=Warehouses!$G$7,0,IF(O4&lt;=Warehouses!$F$7,Warehouses!$D$7*Warehouses!$E$7/4*(1+(INDEX(CPI!$B$2:$H$5,MATCH(Warehouses!$B$7,CPI!$A$2:$A$5,0),MATCH(O5,CPI!$B$1:$H$1,0))+INDEX(Scenarios!$B$2:$B$3,MATCH(Inputs!$B$3,Scenarios!$A$2:$A$3,0))))^(O$3/4),IF(O4&lt;=EOMONTH(Warehouses!$F$7,3*(Inputs!$B$8+INDEX(Scenarios!$C$2:$C$3,MATCH(Inputs!$B$3,Scenarios!$A$2:$A$3,0)))),0,Warehouses!$D$7*Warehouses!$E$7/4*(1+(INDEX(CPI!$B$2:$H$5,MATCH(Warehouses!$B$7,CPI!$A$2:$A$5,0),MATCH(O5,CPI!$B$1:$H$1,0))+INDEX(Scenarios!$B$2:$B$3,MATCH(Inputs!$B$3,Scenarios!$A$2:$A$3,0))))^(O$3/4)*(1+Inputs!$B$9))))</f>
        <v>934952.533414132</v>
      </c>
      <c r="P11" s="0" t="n">
        <f aca="false">IF(P$3&lt;=Warehouses!$G$7,0,IF(P4&lt;=Warehouses!$F$7,Warehouses!$D$7*Warehouses!$E$7/4*(1+(INDEX(CPI!$B$2:$H$5,MATCH(Warehouses!$B$7,CPI!$A$2:$A$5,0),MATCH(P5,CPI!$B$1:$H$1,0))+INDEX(Scenarios!$B$2:$B$3,MATCH(Inputs!$B$3,Scenarios!$A$2:$A$3,0))))^(P$3/4),IF(P4&lt;=EOMONTH(Warehouses!$F$7,3*(Inputs!$B$8+INDEX(Scenarios!$C$2:$C$3,MATCH(Inputs!$B$3,Scenarios!$A$2:$A$3,0)))),0,Warehouses!$D$7*Warehouses!$E$7/4*(1+(INDEX(CPI!$B$2:$H$5,MATCH(Warehouses!$B$7,CPI!$A$2:$A$5,0),MATCH(P5,CPI!$B$1:$H$1,0))+INDEX(Scenarios!$B$2:$B$3,MATCH(Inputs!$B$3,Scenarios!$A$2:$A$3,0))))^(P$3/4)*(1+Inputs!$B$9))))</f>
        <v>0</v>
      </c>
      <c r="Q11" s="0" t="n">
        <f aca="false">IF(Q$3&lt;=Warehouses!$G$7,0,IF(Q4&lt;=Warehouses!$F$7,Warehouses!$D$7*Warehouses!$E$7/4*(1+(INDEX(CPI!$B$2:$H$5,MATCH(Warehouses!$B$7,CPI!$A$2:$A$5,0),MATCH(Q5,CPI!$B$1:$H$1,0))+INDEX(Scenarios!$B$2:$B$3,MATCH(Inputs!$B$3,Scenarios!$A$2:$A$3,0))))^(Q$3/4),IF(Q4&lt;=EOMONTH(Warehouses!$F$7,3*(Inputs!$B$8+INDEX(Scenarios!$C$2:$C$3,MATCH(Inputs!$B$3,Scenarios!$A$2:$A$3,0)))),0,Warehouses!$D$7*Warehouses!$E$7/4*(1+(INDEX(CPI!$B$2:$H$5,MATCH(Warehouses!$B$7,CPI!$A$2:$A$5,0),MATCH(Q5,CPI!$B$1:$H$1,0))+INDEX(Scenarios!$B$2:$B$3,MATCH(Inputs!$B$3,Scenarios!$A$2:$A$3,0))))^(Q$3/4)*(1+Inputs!$B$9))))</f>
        <v>0</v>
      </c>
      <c r="R11" s="0" t="n">
        <f aca="false">IF(R$3&lt;=Warehouses!$G$7,0,IF(R4&lt;=Warehouses!$F$7,Warehouses!$D$7*Warehouses!$E$7/4*(1+(INDEX(CPI!$B$2:$H$5,MATCH(Warehouses!$B$7,CPI!$A$2:$A$5,0),MATCH(R5,CPI!$B$1:$H$1,0))+INDEX(Scenarios!$B$2:$B$3,MATCH(Inputs!$B$3,Scenarios!$A$2:$A$3,0))))^(R$3/4),IF(R4&lt;=EOMONTH(Warehouses!$F$7,3*(Inputs!$B$8+INDEX(Scenarios!$C$2:$C$3,MATCH(Inputs!$B$3,Scenarios!$A$2:$A$3,0)))),0,Warehouses!$D$7*Warehouses!$E$7/4*(1+(INDEX(CPI!$B$2:$H$5,MATCH(Warehouses!$B$7,CPI!$A$2:$A$5,0),MATCH(R5,CPI!$B$1:$H$1,0))+INDEX(Scenarios!$B$2:$B$3,MATCH(Inputs!$B$3,Scenarios!$A$2:$A$3,0))))^(R$3/4)*(1+Inputs!$B$9))))</f>
        <v>1031632.10530064</v>
      </c>
      <c r="S11" s="0" t="n">
        <f aca="false">IF(S$3&lt;=Warehouses!$G$7,0,IF(S4&lt;=Warehouses!$F$7,Warehouses!$D$7*Warehouses!$E$7/4*(1+(INDEX(CPI!$B$2:$H$5,MATCH(Warehouses!$B$7,CPI!$A$2:$A$5,0),MATCH(S5,CPI!$B$1:$H$1,0))+INDEX(Scenarios!$B$2:$B$3,MATCH(Inputs!$B$3,Scenarios!$A$2:$A$3,0))))^(S$3/4),IF(S4&lt;=EOMONTH(Warehouses!$F$7,3*(Inputs!$B$8+INDEX(Scenarios!$C$2:$C$3,MATCH(Inputs!$B$3,Scenarios!$A$2:$A$3,0)))),0,Warehouses!$D$7*Warehouses!$E$7/4*(1+(INDEX(CPI!$B$2:$H$5,MATCH(Warehouses!$B$7,CPI!$A$2:$A$5,0),MATCH(S5,CPI!$B$1:$H$1,0))+INDEX(Scenarios!$B$2:$B$3,MATCH(Inputs!$B$3,Scenarios!$A$2:$A$3,0))))^(S$3/4)*(1+Inputs!$B$9))))</f>
        <v>1030475.65385662</v>
      </c>
      <c r="T11" s="0" t="n">
        <f aca="false">IF(T$3&lt;=Warehouses!$G$7,0,IF(T4&lt;=Warehouses!$F$7,Warehouses!$D$7*Warehouses!$E$7/4*(1+(INDEX(CPI!$B$2:$H$5,MATCH(Warehouses!$B$7,CPI!$A$2:$A$5,0),MATCH(T5,CPI!$B$1:$H$1,0))+INDEX(Scenarios!$B$2:$B$3,MATCH(Inputs!$B$3,Scenarios!$A$2:$A$3,0))))^(T$3/4),IF(T4&lt;=EOMONTH(Warehouses!$F$7,3*(Inputs!$B$8+INDEX(Scenarios!$C$2:$C$3,MATCH(Inputs!$B$3,Scenarios!$A$2:$A$3,0)))),0,Warehouses!$D$7*Warehouses!$E$7/4*(1+(INDEX(CPI!$B$2:$H$5,MATCH(Warehouses!$B$7,CPI!$A$2:$A$5,0),MATCH(T5,CPI!$B$1:$H$1,0))+INDEX(Scenarios!$B$2:$B$3,MATCH(Inputs!$B$3,Scenarios!$A$2:$A$3,0))))^(T$3/4)*(1+Inputs!$B$9))))</f>
        <v>1037362.02698652</v>
      </c>
      <c r="U11" s="0" t="n">
        <f aca="false">IF(U$3&lt;=Warehouses!$G$7,0,IF(U4&lt;=Warehouses!$F$7,Warehouses!$D$7*Warehouses!$E$7/4*(1+(INDEX(CPI!$B$2:$H$5,MATCH(Warehouses!$B$7,CPI!$A$2:$A$5,0),MATCH(U5,CPI!$B$1:$H$1,0))+INDEX(Scenarios!$B$2:$B$3,MATCH(Inputs!$B$3,Scenarios!$A$2:$A$3,0))))^(U$3/4),IF(U4&lt;=EOMONTH(Warehouses!$F$7,3*(Inputs!$B$8+INDEX(Scenarios!$C$2:$C$3,MATCH(Inputs!$B$3,Scenarios!$A$2:$A$3,0)))),0,Warehouses!$D$7*Warehouses!$E$7/4*(1+(INDEX(CPI!$B$2:$H$5,MATCH(Warehouses!$B$7,CPI!$A$2:$A$5,0),MATCH(U5,CPI!$B$1:$H$1,0))+INDEX(Scenarios!$B$2:$B$3,MATCH(Inputs!$B$3,Scenarios!$A$2:$A$3,0))))^(U$3/4)*(1+Inputs!$B$9))))</f>
        <v>1044294.41977221</v>
      </c>
      <c r="V11" s="0" t="n">
        <f aca="false">IF(V$3&lt;=Warehouses!$G$7,0,IF(V4&lt;=Warehouses!$F$7,Warehouses!$D$7*Warehouses!$E$7/4*(1+(INDEX(CPI!$B$2:$H$5,MATCH(Warehouses!$B$7,CPI!$A$2:$A$5,0),MATCH(V5,CPI!$B$1:$H$1,0))+INDEX(Scenarios!$B$2:$B$3,MATCH(Inputs!$B$3,Scenarios!$A$2:$A$3,0))))^(V$3/4),IF(V4&lt;=EOMONTH(Warehouses!$F$7,3*(Inputs!$B$8+INDEX(Scenarios!$C$2:$C$3,MATCH(Inputs!$B$3,Scenarios!$A$2:$A$3,0)))),0,Warehouses!$D$7*Warehouses!$E$7/4*(1+(INDEX(CPI!$B$2:$H$5,MATCH(Warehouses!$B$7,CPI!$A$2:$A$5,0),MATCH(V5,CPI!$B$1:$H$1,0))+INDEX(Scenarios!$B$2:$B$3,MATCH(Inputs!$B$3,Scenarios!$A$2:$A$3,0))))^(V$3/4)*(1+Inputs!$B$9))))</f>
        <v>1051273.13974984</v>
      </c>
      <c r="W11" s="0" t="n">
        <f aca="false">IF(W$3&lt;=Warehouses!$G$7,0,IF(W4&lt;=Warehouses!$F$7,Warehouses!$D$7*Warehouses!$E$7/4*(1+(INDEX(CPI!$B$2:$H$5,MATCH(Warehouses!$B$7,CPI!$A$2:$A$5,0),MATCH(W5,CPI!$B$1:$H$1,0))+INDEX(Scenarios!$B$2:$B$3,MATCH(Inputs!$B$3,Scenarios!$A$2:$A$3,0))))^(W$3/4),IF(W4&lt;=EOMONTH(Warehouses!$F$7,3*(Inputs!$B$8+INDEX(Scenarios!$C$2:$C$3,MATCH(Inputs!$B$3,Scenarios!$A$2:$A$3,0)))),0,Warehouses!$D$7*Warehouses!$E$7/4*(1+(INDEX(CPI!$B$2:$H$5,MATCH(Warehouses!$B$7,CPI!$A$2:$A$5,0),MATCH(W5,CPI!$B$1:$H$1,0))+INDEX(Scenarios!$B$2:$B$3,MATCH(Inputs!$B$3,Scenarios!$A$2:$A$3,0))))^(W$3/4)*(1+Inputs!$B$9))))</f>
        <v>1052899.6815323</v>
      </c>
      <c r="X11" s="0" t="n">
        <f aca="false">IF(X$3&lt;=Warehouses!$G$7,0,IF(X4&lt;=Warehouses!$F$7,Warehouses!$D$7*Warehouses!$E$7/4*(1+(INDEX(CPI!$B$2:$H$5,MATCH(Warehouses!$B$7,CPI!$A$2:$A$5,0),MATCH(X5,CPI!$B$1:$H$1,0))+INDEX(Scenarios!$B$2:$B$3,MATCH(Inputs!$B$3,Scenarios!$A$2:$A$3,0))))^(X$3/4),IF(X4&lt;=EOMONTH(Warehouses!$F$7,3*(Inputs!$B$8+INDEX(Scenarios!$C$2:$C$3,MATCH(Inputs!$B$3,Scenarios!$A$2:$A$3,0)))),0,Warehouses!$D$7*Warehouses!$E$7/4*(1+(INDEX(CPI!$B$2:$H$5,MATCH(Warehouses!$B$7,CPI!$A$2:$A$5,0),MATCH(X5,CPI!$B$1:$H$1,0))+INDEX(Scenarios!$B$2:$B$3,MATCH(Inputs!$B$3,Scenarios!$A$2:$A$3,0))))^(X$3/4)*(1+Inputs!$B$9))))</f>
        <v>1059677.79623449</v>
      </c>
      <c r="Y11" s="0" t="n">
        <f aca="false">IF(Y$3&lt;=Warehouses!$G$7,0,IF(Y4&lt;=Warehouses!$F$7,Warehouses!$D$7*Warehouses!$E$7/4*(1+(INDEX(CPI!$B$2:$H$5,MATCH(Warehouses!$B$7,CPI!$A$2:$A$5,0),MATCH(Y5,CPI!$B$1:$H$1,0))+INDEX(Scenarios!$B$2:$B$3,MATCH(Inputs!$B$3,Scenarios!$A$2:$A$3,0))))^(Y$3/4),IF(Y4&lt;=EOMONTH(Warehouses!$F$7,3*(Inputs!$B$8+INDEX(Scenarios!$C$2:$C$3,MATCH(Inputs!$B$3,Scenarios!$A$2:$A$3,0)))),0,Warehouses!$D$7*Warehouses!$E$7/4*(1+(INDEX(CPI!$B$2:$H$5,MATCH(Warehouses!$B$7,CPI!$A$2:$A$5,0),MATCH(Y5,CPI!$B$1:$H$1,0))+INDEX(Scenarios!$B$2:$B$3,MATCH(Inputs!$B$3,Scenarios!$A$2:$A$3,0))))^(Y$3/4)*(1+Inputs!$B$9))))</f>
        <v>1066499.54552004</v>
      </c>
      <c r="Z11" s="0" t="n">
        <f aca="false">IF(Z$3&lt;=Warehouses!$G$7,0,IF(Z4&lt;=Warehouses!$F$7,Warehouses!$D$7*Warehouses!$E$7/4*(1+(INDEX(CPI!$B$2:$H$5,MATCH(Warehouses!$B$7,CPI!$A$2:$A$5,0),MATCH(Z5,CPI!$B$1:$H$1,0))+INDEX(Scenarios!$B$2:$B$3,MATCH(Inputs!$B$3,Scenarios!$A$2:$A$3,0))))^(Z$3/4),IF(Z4&lt;=EOMONTH(Warehouses!$F$7,3*(Inputs!$B$8+INDEX(Scenarios!$C$2:$C$3,MATCH(Inputs!$B$3,Scenarios!$A$2:$A$3,0)))),0,Warehouses!$D$7*Warehouses!$E$7/4*(1+(INDEX(CPI!$B$2:$H$5,MATCH(Warehouses!$B$7,CPI!$A$2:$A$5,0),MATCH(Z5,CPI!$B$1:$H$1,0))+INDEX(Scenarios!$B$2:$B$3,MATCH(Inputs!$B$3,Scenarios!$A$2:$A$3,0))))^(Z$3/4)*(1+Inputs!$B$9))))</f>
        <v>1073365.2102896</v>
      </c>
      <c r="AA11" s="0" t="n">
        <f aca="false">IF(AA$3&lt;=Warehouses!$G$7,0,IF(AA4&lt;=Warehouses!$F$7,Warehouses!$D$7*Warehouses!$E$7/4*(1+(INDEX(CPI!$B$2:$H$5,MATCH(Warehouses!$B$7,CPI!$A$2:$A$5,0),MATCH(AA5,CPI!$B$1:$H$1,0))+INDEX(Scenarios!$B$2:$B$3,MATCH(Inputs!$B$3,Scenarios!$A$2:$A$3,0))))^(AA$3/4),IF(AA4&lt;=EOMONTH(Warehouses!$F$7,3*(Inputs!$B$8+INDEX(Scenarios!$C$2:$C$3,MATCH(Inputs!$B$3,Scenarios!$A$2:$A$3,0)))),0,Warehouses!$D$7*Warehouses!$E$7/4*(1+(INDEX(CPI!$B$2:$H$5,MATCH(Warehouses!$B$7,CPI!$A$2:$A$5,0),MATCH(AA5,CPI!$B$1:$H$1,0))+INDEX(Scenarios!$B$2:$B$3,MATCH(Inputs!$B$3,Scenarios!$A$2:$A$3,0))))^(AA$3/4)*(1+Inputs!$B$9))))</f>
        <v>1073711.26340311</v>
      </c>
      <c r="AB11" s="0" t="n">
        <f aca="false">IF(AB$3&lt;=Warehouses!$G$7,0,IF(AB4&lt;=Warehouses!$F$7,Warehouses!$D$7*Warehouses!$E$7/4*(1+(INDEX(CPI!$B$2:$H$5,MATCH(Warehouses!$B$7,CPI!$A$2:$A$5,0),MATCH(AB5,CPI!$B$1:$H$1,0))+INDEX(Scenarios!$B$2:$B$3,MATCH(Inputs!$B$3,Scenarios!$A$2:$A$3,0))))^(AB$3/4),IF(AB4&lt;=EOMONTH(Warehouses!$F$7,3*(Inputs!$B$8+INDEX(Scenarios!$C$2:$C$3,MATCH(Inputs!$B$3,Scenarios!$A$2:$A$3,0)))),0,Warehouses!$D$7*Warehouses!$E$7/4*(1+(INDEX(CPI!$B$2:$H$5,MATCH(Warehouses!$B$7,CPI!$A$2:$A$5,0),MATCH(AB5,CPI!$B$1:$H$1,0))+INDEX(Scenarios!$B$2:$B$3,MATCH(Inputs!$B$3,Scenarios!$A$2:$A$3,0))))^(AB$3/4)*(1+Inputs!$B$9))))</f>
        <v>1080359.94802871</v>
      </c>
      <c r="AC11" s="0" t="n">
        <f aca="false">IF(AC$3&lt;=Warehouses!$G$7,0,IF(AC4&lt;=Warehouses!$F$7,Warehouses!$D$7*Warehouses!$E$7/4*(1+(INDEX(CPI!$B$2:$H$5,MATCH(Warehouses!$B$7,CPI!$A$2:$A$5,0),MATCH(AC5,CPI!$B$1:$H$1,0))+INDEX(Scenarios!$B$2:$B$3,MATCH(Inputs!$B$3,Scenarios!$A$2:$A$3,0))))^(AC$3/4),IF(AC4&lt;=EOMONTH(Warehouses!$F$7,3*(Inputs!$B$8+INDEX(Scenarios!$C$2:$C$3,MATCH(Inputs!$B$3,Scenarios!$A$2:$A$3,0)))),0,Warehouses!$D$7*Warehouses!$E$7/4*(1+(INDEX(CPI!$B$2:$H$5,MATCH(Warehouses!$B$7,CPI!$A$2:$A$5,0),MATCH(AC5,CPI!$B$1:$H$1,0))+INDEX(Scenarios!$B$2:$B$3,MATCH(Inputs!$B$3,Scenarios!$A$2:$A$3,0))))^(AC$3/4)*(1+Inputs!$B$9))))</f>
        <v>1087049.80294726</v>
      </c>
      <c r="AD11" s="0" t="n">
        <f aca="false">IF(AD$3&lt;=Warehouses!$G$7,0,IF(AD4&lt;=Warehouses!$F$7,Warehouses!$D$7*Warehouses!$E$7/4*(1+(INDEX(CPI!$B$2:$H$5,MATCH(Warehouses!$B$7,CPI!$A$2:$A$5,0),MATCH(AD5,CPI!$B$1:$H$1,0))+INDEX(Scenarios!$B$2:$B$3,MATCH(Inputs!$B$3,Scenarios!$A$2:$A$3,0))))^(AD$3/4),IF(AD4&lt;=EOMONTH(Warehouses!$F$7,3*(Inputs!$B$8+INDEX(Scenarios!$C$2:$C$3,MATCH(Inputs!$B$3,Scenarios!$A$2:$A$3,0)))),0,Warehouses!$D$7*Warehouses!$E$7/4*(1+(INDEX(CPI!$B$2:$H$5,MATCH(Warehouses!$B$7,CPI!$A$2:$A$5,0),MATCH(AD5,CPI!$B$1:$H$1,0))+INDEX(Scenarios!$B$2:$B$3,MATCH(Inputs!$B$3,Scenarios!$A$2:$A$3,0))))^(AD$3/4)*(1+Inputs!$B$9))))</f>
        <v>1093781.08309534</v>
      </c>
    </row>
    <row r="12" customFormat="false" ht="15" hidden="false" customHeight="false" outlineLevel="0" collapsed="false">
      <c r="A12" s="0" t="s">
        <v>45</v>
      </c>
      <c r="B12" s="0" t="n">
        <f aca="false">0</f>
        <v>0</v>
      </c>
      <c r="C12" s="0" t="n">
        <f aca="false">IF(C$3&lt;=Warehouses!$G$8,0,IF(C4&lt;=Warehouses!$F$8,Warehouses!$D$8*Warehouses!$E$8/4*(1+(INDEX(CPI!$B$2:$H$5,MATCH(Warehouses!$B$8,CPI!$A$2:$A$5,0),MATCH(C5,CPI!$B$1:$H$1,0))+INDEX(Scenarios!$B$2:$B$3,MATCH(Inputs!$B$3,Scenarios!$A$2:$A$3,0))))^(C$3/4),IF(C4&lt;=EOMONTH(Warehouses!$F$8,3*(Inputs!$B$8+INDEX(Scenarios!$C$2:$C$3,MATCH(Inputs!$B$3,Scenarios!$A$2:$A$3,0)))),0,Warehouses!$D$8*Warehouses!$E$8/4*(1+(INDEX(CPI!$B$2:$H$5,MATCH(Warehouses!$B$8,CPI!$A$2:$A$5,0),MATCH(C5,CPI!$B$1:$H$1,0))+INDEX(Scenarios!$B$2:$B$3,MATCH(Inputs!$B$3,Scenarios!$A$2:$A$3,0))))^(C$3/4)*(1+Inputs!$B$9))))</f>
        <v>604037.451229151</v>
      </c>
      <c r="D12" s="0" t="n">
        <f aca="false">IF(D$3&lt;=Warehouses!$G$8,0,IF(D4&lt;=Warehouses!$F$8,Warehouses!$D$8*Warehouses!$E$8/4*(1+(INDEX(CPI!$B$2:$H$5,MATCH(Warehouses!$B$8,CPI!$A$2:$A$5,0),MATCH(D5,CPI!$B$1:$H$1,0))+INDEX(Scenarios!$B$2:$B$3,MATCH(Inputs!$B$3,Scenarios!$A$2:$A$3,0))))^(D$3/4),IF(D4&lt;=EOMONTH(Warehouses!$F$8,3*(Inputs!$B$8+INDEX(Scenarios!$C$2:$C$3,MATCH(Inputs!$B$3,Scenarios!$A$2:$A$3,0)))),0,Warehouses!$D$8*Warehouses!$E$8/4*(1+(INDEX(CPI!$B$2:$H$5,MATCH(Warehouses!$B$8,CPI!$A$2:$A$5,0),MATCH(D5,CPI!$B$1:$H$1,0))+INDEX(Scenarios!$B$2:$B$3,MATCH(Inputs!$B$3,Scenarios!$A$2:$A$3,0))))^(D$3/4)*(1+Inputs!$B$9))))</f>
        <v>610135.857002356</v>
      </c>
      <c r="E12" s="0" t="n">
        <f aca="false">IF(E$3&lt;=Warehouses!$G$8,0,IF(E4&lt;=Warehouses!$F$8,Warehouses!$D$8*Warehouses!$E$8/4*(1+(INDEX(CPI!$B$2:$H$5,MATCH(Warehouses!$B$8,CPI!$A$2:$A$5,0),MATCH(E5,CPI!$B$1:$H$1,0))+INDEX(Scenarios!$B$2:$B$3,MATCH(Inputs!$B$3,Scenarios!$A$2:$A$3,0))))^(E$3/4),IF(E4&lt;=EOMONTH(Warehouses!$F$8,3*(Inputs!$B$8+INDEX(Scenarios!$C$2:$C$3,MATCH(Inputs!$B$3,Scenarios!$A$2:$A$3,0)))),0,Warehouses!$D$8*Warehouses!$E$8/4*(1+(INDEX(CPI!$B$2:$H$5,MATCH(Warehouses!$B$8,CPI!$A$2:$A$5,0),MATCH(E5,CPI!$B$1:$H$1,0))+INDEX(Scenarios!$B$2:$B$3,MATCH(Inputs!$B$3,Scenarios!$A$2:$A$3,0))))^(E$3/4)*(1+Inputs!$B$9))))</f>
        <v>616295.832721099</v>
      </c>
      <c r="F12" s="0" t="n">
        <f aca="false">IF(F$3&lt;=Warehouses!$G$8,0,IF(F4&lt;=Warehouses!$F$8,Warehouses!$D$8*Warehouses!$E$8/4*(1+(INDEX(CPI!$B$2:$H$5,MATCH(Warehouses!$B$8,CPI!$A$2:$A$5,0),MATCH(F5,CPI!$B$1:$H$1,0))+INDEX(Scenarios!$B$2:$B$3,MATCH(Inputs!$B$3,Scenarios!$A$2:$A$3,0))))^(F$3/4),IF(F4&lt;=EOMONTH(Warehouses!$F$8,3*(Inputs!$B$8+INDEX(Scenarios!$C$2:$C$3,MATCH(Inputs!$B$3,Scenarios!$A$2:$A$3,0)))),0,Warehouses!$D$8*Warehouses!$E$8/4*(1+(INDEX(CPI!$B$2:$H$5,MATCH(Warehouses!$B$8,CPI!$A$2:$A$5,0),MATCH(F5,CPI!$B$1:$H$1,0))+INDEX(Scenarios!$B$2:$B$3,MATCH(Inputs!$B$3,Scenarios!$A$2:$A$3,0))))^(F$3/4)*(1+Inputs!$B$9))))</f>
        <v>622518</v>
      </c>
      <c r="G12" s="0" t="n">
        <f aca="false">IF(G$3&lt;=Warehouses!$G$8,0,IF(G4&lt;=Warehouses!$F$8,Warehouses!$D$8*Warehouses!$E$8/4*(1+(INDEX(CPI!$B$2:$H$5,MATCH(Warehouses!$B$8,CPI!$A$2:$A$5,0),MATCH(G5,CPI!$B$1:$H$1,0))+INDEX(Scenarios!$B$2:$B$3,MATCH(Inputs!$B$3,Scenarios!$A$2:$A$3,0))))^(G$3/4),IF(G4&lt;=EOMONTH(Warehouses!$F$8,3*(Inputs!$B$8+INDEX(Scenarios!$C$2:$C$3,MATCH(Inputs!$B$3,Scenarios!$A$2:$A$3,0)))),0,Warehouses!$D$8*Warehouses!$E$8/4*(1+(INDEX(CPI!$B$2:$H$5,MATCH(Warehouses!$B$8,CPI!$A$2:$A$5,0),MATCH(G5,CPI!$B$1:$H$1,0))+INDEX(Scenarios!$B$2:$B$3,MATCH(Inputs!$B$3,Scenarios!$A$2:$A$3,0))))^(G$3/4)*(1+Inputs!$B$9))))</f>
        <v>0</v>
      </c>
      <c r="H12" s="0" t="n">
        <f aca="false">IF(H$3&lt;=Warehouses!$G$8,0,IF(H4&lt;=Warehouses!$F$8,Warehouses!$D$8*Warehouses!$E$8/4*(1+(INDEX(CPI!$B$2:$H$5,MATCH(Warehouses!$B$8,CPI!$A$2:$A$5,0),MATCH(H5,CPI!$B$1:$H$1,0))+INDEX(Scenarios!$B$2:$B$3,MATCH(Inputs!$B$3,Scenarios!$A$2:$A$3,0))))^(H$3/4),IF(H4&lt;=EOMONTH(Warehouses!$F$8,3*(Inputs!$B$8+INDEX(Scenarios!$C$2:$C$3,MATCH(Inputs!$B$3,Scenarios!$A$2:$A$3,0)))),0,Warehouses!$D$8*Warehouses!$E$8/4*(1+(INDEX(CPI!$B$2:$H$5,MATCH(Warehouses!$B$8,CPI!$A$2:$A$5,0),MATCH(H5,CPI!$B$1:$H$1,0))+INDEX(Scenarios!$B$2:$B$3,MATCH(Inputs!$B$3,Scenarios!$A$2:$A$3,0))))^(H$3/4)*(1+Inputs!$B$9))))</f>
        <v>0</v>
      </c>
      <c r="I12" s="0" t="n">
        <f aca="false">IF(I$3&lt;=Warehouses!$G$8,0,IF(I4&lt;=Warehouses!$F$8,Warehouses!$D$8*Warehouses!$E$8/4*(1+(INDEX(CPI!$B$2:$H$5,MATCH(Warehouses!$B$8,CPI!$A$2:$A$5,0),MATCH(I5,CPI!$B$1:$H$1,0))+INDEX(Scenarios!$B$2:$B$3,MATCH(Inputs!$B$3,Scenarios!$A$2:$A$3,0))))^(I$3/4),IF(I4&lt;=EOMONTH(Warehouses!$F$8,3*(Inputs!$B$8+INDEX(Scenarios!$C$2:$C$3,MATCH(Inputs!$B$3,Scenarios!$A$2:$A$3,0)))),0,Warehouses!$D$8*Warehouses!$E$8/4*(1+(INDEX(CPI!$B$2:$H$5,MATCH(Warehouses!$B$8,CPI!$A$2:$A$5,0),MATCH(I5,CPI!$B$1:$H$1,0))+INDEX(Scenarios!$B$2:$B$3,MATCH(Inputs!$B$3,Scenarios!$A$2:$A$3,0))))^(I$3/4)*(1+Inputs!$B$9))))</f>
        <v>685915.39680113</v>
      </c>
      <c r="J12" s="0" t="n">
        <f aca="false">IF(J$3&lt;=Warehouses!$G$8,0,IF(J4&lt;=Warehouses!$F$8,Warehouses!$D$8*Warehouses!$E$8/4*(1+(INDEX(CPI!$B$2:$H$5,MATCH(Warehouses!$B$8,CPI!$A$2:$A$5,0),MATCH(J5,CPI!$B$1:$H$1,0))+INDEX(Scenarios!$B$2:$B$3,MATCH(Inputs!$B$3,Scenarios!$A$2:$A$3,0))))^(J$3/4),IF(J4&lt;=EOMONTH(Warehouses!$F$8,3*(Inputs!$B$8+INDEX(Scenarios!$C$2:$C$3,MATCH(Inputs!$B$3,Scenarios!$A$2:$A$3,0)))),0,Warehouses!$D$8*Warehouses!$E$8/4*(1+(INDEX(CPI!$B$2:$H$5,MATCH(Warehouses!$B$8,CPI!$A$2:$A$5,0),MATCH(J5,CPI!$B$1:$H$1,0))+INDEX(Scenarios!$B$2:$B$3,MATCH(Inputs!$B$3,Scenarios!$A$2:$A$3,0))))^(J$3/4)*(1+Inputs!$B$9))))</f>
        <v>691839.954</v>
      </c>
      <c r="K12" s="0" t="n">
        <f aca="false">IF(K$3&lt;=Warehouses!$G$8,0,IF(K4&lt;=Warehouses!$F$8,Warehouses!$D$8*Warehouses!$E$8/4*(1+(INDEX(CPI!$B$2:$H$5,MATCH(Warehouses!$B$8,CPI!$A$2:$A$5,0),MATCH(K5,CPI!$B$1:$H$1,0))+INDEX(Scenarios!$B$2:$B$3,MATCH(Inputs!$B$3,Scenarios!$A$2:$A$3,0))))^(K$3/4),IF(K4&lt;=EOMONTH(Warehouses!$F$8,3*(Inputs!$B$8+INDEX(Scenarios!$C$2:$C$3,MATCH(Inputs!$B$3,Scenarios!$A$2:$A$3,0)))),0,Warehouses!$D$8*Warehouses!$E$8/4*(1+(INDEX(CPI!$B$2:$H$5,MATCH(Warehouses!$B$8,CPI!$A$2:$A$5,0),MATCH(K5,CPI!$B$1:$H$1,0))+INDEX(Scenarios!$B$2:$B$3,MATCH(Inputs!$B$3,Scenarios!$A$2:$A$3,0))))^(K$3/4)*(1+Inputs!$B$9))))</f>
        <v>691762.373960402</v>
      </c>
      <c r="L12" s="0" t="n">
        <f aca="false">IF(L$3&lt;=Warehouses!$G$8,0,IF(L4&lt;=Warehouses!$F$8,Warehouses!$D$8*Warehouses!$E$8/4*(1+(INDEX(CPI!$B$2:$H$5,MATCH(Warehouses!$B$8,CPI!$A$2:$A$5,0),MATCH(L5,CPI!$B$1:$H$1,0))+INDEX(Scenarios!$B$2:$B$3,MATCH(Inputs!$B$3,Scenarios!$A$2:$A$3,0))))^(L$3/4),IF(L4&lt;=EOMONTH(Warehouses!$F$8,3*(Inputs!$B$8+INDEX(Scenarios!$C$2:$C$3,MATCH(Inputs!$B$3,Scenarios!$A$2:$A$3,0)))),0,Warehouses!$D$8*Warehouses!$E$8/4*(1+(INDEX(CPI!$B$2:$H$5,MATCH(Warehouses!$B$8,CPI!$A$2:$A$5,0),MATCH(L5,CPI!$B$1:$H$1,0))+INDEX(Scenarios!$B$2:$B$3,MATCH(Inputs!$B$3,Scenarios!$A$2:$A$3,0))))^(L$3/4)*(1+Inputs!$B$9))))</f>
        <v>697062.312433793</v>
      </c>
      <c r="M12" s="0" t="n">
        <f aca="false">IF(M$3&lt;=Warehouses!$G$8,0,IF(M4&lt;=Warehouses!$F$8,Warehouses!$D$8*Warehouses!$E$8/4*(1+(INDEX(CPI!$B$2:$H$5,MATCH(Warehouses!$B$8,CPI!$A$2:$A$5,0),MATCH(M5,CPI!$B$1:$H$1,0))+INDEX(Scenarios!$B$2:$B$3,MATCH(Inputs!$B$3,Scenarios!$A$2:$A$3,0))))^(M$3/4),IF(M4&lt;=EOMONTH(Warehouses!$F$8,3*(Inputs!$B$8+INDEX(Scenarios!$C$2:$C$3,MATCH(Inputs!$B$3,Scenarios!$A$2:$A$3,0)))),0,Warehouses!$D$8*Warehouses!$E$8/4*(1+(INDEX(CPI!$B$2:$H$5,MATCH(Warehouses!$B$8,CPI!$A$2:$A$5,0),MATCH(M5,CPI!$B$1:$H$1,0))+INDEX(Scenarios!$B$2:$B$3,MATCH(Inputs!$B$3,Scenarios!$A$2:$A$3,0))))^(M$3/4)*(1+Inputs!$B$9))))</f>
        <v>702402.856393807</v>
      </c>
      <c r="N12" s="0" t="n">
        <f aca="false">IF(N$3&lt;=Warehouses!$G$8,0,IF(N4&lt;=Warehouses!$F$8,Warehouses!$D$8*Warehouses!$E$8/4*(1+(INDEX(CPI!$B$2:$H$5,MATCH(Warehouses!$B$8,CPI!$A$2:$A$5,0),MATCH(N5,CPI!$B$1:$H$1,0))+INDEX(Scenarios!$B$2:$B$3,MATCH(Inputs!$B$3,Scenarios!$A$2:$A$3,0))))^(N$3/4),IF(N4&lt;=EOMONTH(Warehouses!$F$8,3*(Inputs!$B$8+INDEX(Scenarios!$C$2:$C$3,MATCH(Inputs!$B$3,Scenarios!$A$2:$A$3,0)))),0,Warehouses!$D$8*Warehouses!$E$8/4*(1+(INDEX(CPI!$B$2:$H$5,MATCH(Warehouses!$B$8,CPI!$A$2:$A$5,0),MATCH(N5,CPI!$B$1:$H$1,0))+INDEX(Scenarios!$B$2:$B$3,MATCH(Inputs!$B$3,Scenarios!$A$2:$A$3,0))))^(N$3/4)*(1+Inputs!$B$9))))</f>
        <v>707784.31693944</v>
      </c>
      <c r="O12" s="0" t="n">
        <f aca="false">IF(O$3&lt;=Warehouses!$G$8,0,IF(O4&lt;=Warehouses!$F$8,Warehouses!$D$8*Warehouses!$E$8/4*(1+(INDEX(CPI!$B$2:$H$5,MATCH(Warehouses!$B$8,CPI!$A$2:$A$5,0),MATCH(O5,CPI!$B$1:$H$1,0))+INDEX(Scenarios!$B$2:$B$3,MATCH(Inputs!$B$3,Scenarios!$A$2:$A$3,0))))^(O$3/4),IF(O4&lt;=EOMONTH(Warehouses!$F$8,3*(Inputs!$B$8+INDEX(Scenarios!$C$2:$C$3,MATCH(Inputs!$B$3,Scenarios!$A$2:$A$3,0)))),0,Warehouses!$D$8*Warehouses!$E$8/4*(1+(INDEX(CPI!$B$2:$H$5,MATCH(Warehouses!$B$8,CPI!$A$2:$A$5,0),MATCH(O5,CPI!$B$1:$H$1,0))+INDEX(Scenarios!$B$2:$B$3,MATCH(Inputs!$B$3,Scenarios!$A$2:$A$3,0))))^(O$3/4)*(1+Inputs!$B$9))))</f>
        <v>708720.357018994</v>
      </c>
      <c r="P12" s="0" t="n">
        <f aca="false">IF(P$3&lt;=Warehouses!$G$8,0,IF(P4&lt;=Warehouses!$F$8,Warehouses!$D$8*Warehouses!$E$8/4*(1+(INDEX(CPI!$B$2:$H$5,MATCH(Warehouses!$B$8,CPI!$A$2:$A$5,0),MATCH(P5,CPI!$B$1:$H$1,0))+INDEX(Scenarios!$B$2:$B$3,MATCH(Inputs!$B$3,Scenarios!$A$2:$A$3,0))))^(P$3/4),IF(P4&lt;=EOMONTH(Warehouses!$F$8,3*(Inputs!$B$8+INDEX(Scenarios!$C$2:$C$3,MATCH(Inputs!$B$3,Scenarios!$A$2:$A$3,0)))),0,Warehouses!$D$8*Warehouses!$E$8/4*(1+(INDEX(CPI!$B$2:$H$5,MATCH(Warehouses!$B$8,CPI!$A$2:$A$5,0),MATCH(P5,CPI!$B$1:$H$1,0))+INDEX(Scenarios!$B$2:$B$3,MATCH(Inputs!$B$3,Scenarios!$A$2:$A$3,0))))^(P$3/4)*(1+Inputs!$B$9))))</f>
        <v>713803.628263468</v>
      </c>
      <c r="Q12" s="0" t="n">
        <f aca="false">IF(Q$3&lt;=Warehouses!$G$8,0,IF(Q4&lt;=Warehouses!$F$8,Warehouses!$D$8*Warehouses!$E$8/4*(1+(INDEX(CPI!$B$2:$H$5,MATCH(Warehouses!$B$8,CPI!$A$2:$A$5,0),MATCH(Q5,CPI!$B$1:$H$1,0))+INDEX(Scenarios!$B$2:$B$3,MATCH(Inputs!$B$3,Scenarios!$A$2:$A$3,0))))^(Q$3/4),IF(Q4&lt;=EOMONTH(Warehouses!$F$8,3*(Inputs!$B$8+INDEX(Scenarios!$C$2:$C$3,MATCH(Inputs!$B$3,Scenarios!$A$2:$A$3,0)))),0,Warehouses!$D$8*Warehouses!$E$8/4*(1+(INDEX(CPI!$B$2:$H$5,MATCH(Warehouses!$B$8,CPI!$A$2:$A$5,0),MATCH(Q5,CPI!$B$1:$H$1,0))+INDEX(Scenarios!$B$2:$B$3,MATCH(Inputs!$B$3,Scenarios!$A$2:$A$3,0))))^(Q$3/4)*(1+Inputs!$B$9))))</f>
        <v>718923.359087929</v>
      </c>
      <c r="R12" s="0" t="n">
        <f aca="false">IF(R$3&lt;=Warehouses!$G$8,0,IF(R4&lt;=Warehouses!$F$8,Warehouses!$D$8*Warehouses!$E$8/4*(1+(INDEX(CPI!$B$2:$H$5,MATCH(Warehouses!$B$8,CPI!$A$2:$A$5,0),MATCH(R5,CPI!$B$1:$H$1,0))+INDEX(Scenarios!$B$2:$B$3,MATCH(Inputs!$B$3,Scenarios!$A$2:$A$3,0))))^(R$3/4),IF(R4&lt;=EOMONTH(Warehouses!$F$8,3*(Inputs!$B$8+INDEX(Scenarios!$C$2:$C$3,MATCH(Inputs!$B$3,Scenarios!$A$2:$A$3,0)))),0,Warehouses!$D$8*Warehouses!$E$8/4*(1+(INDEX(CPI!$B$2:$H$5,MATCH(Warehouses!$B$8,CPI!$A$2:$A$5,0),MATCH(R5,CPI!$B$1:$H$1,0))+INDEX(Scenarios!$B$2:$B$3,MATCH(Inputs!$B$3,Scenarios!$A$2:$A$3,0))))^(R$3/4)*(1+Inputs!$B$9))))</f>
        <v>724079.810997401</v>
      </c>
      <c r="S12" s="0" t="n">
        <f aca="false">IF(S$3&lt;=Warehouses!$G$8,0,IF(S4&lt;=Warehouses!$F$8,Warehouses!$D$8*Warehouses!$E$8/4*(1+(INDEX(CPI!$B$2:$H$5,MATCH(Warehouses!$B$8,CPI!$A$2:$A$5,0),MATCH(S5,CPI!$B$1:$H$1,0))+INDEX(Scenarios!$B$2:$B$3,MATCH(Inputs!$B$3,Scenarios!$A$2:$A$3,0))))^(S$3/4),IF(S4&lt;=EOMONTH(Warehouses!$F$8,3*(Inputs!$B$8+INDEX(Scenarios!$C$2:$C$3,MATCH(Inputs!$B$3,Scenarios!$A$2:$A$3,0)))),0,Warehouses!$D$8*Warehouses!$E$8/4*(1+(INDEX(CPI!$B$2:$H$5,MATCH(Warehouses!$B$8,CPI!$A$2:$A$5,0),MATCH(S5,CPI!$B$1:$H$1,0))+INDEX(Scenarios!$B$2:$B$3,MATCH(Inputs!$B$3,Scenarios!$A$2:$A$3,0))))^(S$3/4)*(1+Inputs!$B$9))))</f>
        <v>723268.123246779</v>
      </c>
      <c r="T12" s="0" t="n">
        <f aca="false">IF(T$3&lt;=Warehouses!$G$8,0,IF(T4&lt;=Warehouses!$F$8,Warehouses!$D$8*Warehouses!$E$8/4*(1+(INDEX(CPI!$B$2:$H$5,MATCH(Warehouses!$B$8,CPI!$A$2:$A$5,0),MATCH(T5,CPI!$B$1:$H$1,0))+INDEX(Scenarios!$B$2:$B$3,MATCH(Inputs!$B$3,Scenarios!$A$2:$A$3,0))))^(T$3/4),IF(T4&lt;=EOMONTH(Warehouses!$F$8,3*(Inputs!$B$8+INDEX(Scenarios!$C$2:$C$3,MATCH(Inputs!$B$3,Scenarios!$A$2:$A$3,0)))),0,Warehouses!$D$8*Warehouses!$E$8/4*(1+(INDEX(CPI!$B$2:$H$5,MATCH(Warehouses!$B$8,CPI!$A$2:$A$5,0),MATCH(T5,CPI!$B$1:$H$1,0))+INDEX(Scenarios!$B$2:$B$3,MATCH(Inputs!$B$3,Scenarios!$A$2:$A$3,0))))^(T$3/4)*(1+Inputs!$B$9))))</f>
        <v>728101.516593827</v>
      </c>
      <c r="U12" s="0" t="n">
        <f aca="false">IF(U$3&lt;=Warehouses!$G$8,0,IF(U4&lt;=Warehouses!$F$8,Warehouses!$D$8*Warehouses!$E$8/4*(1+(INDEX(CPI!$B$2:$H$5,MATCH(Warehouses!$B$8,CPI!$A$2:$A$5,0),MATCH(U5,CPI!$B$1:$H$1,0))+INDEX(Scenarios!$B$2:$B$3,MATCH(Inputs!$B$3,Scenarios!$A$2:$A$3,0))))^(U$3/4),IF(U4&lt;=EOMONTH(Warehouses!$F$8,3*(Inputs!$B$8+INDEX(Scenarios!$C$2:$C$3,MATCH(Inputs!$B$3,Scenarios!$A$2:$A$3,0)))),0,Warehouses!$D$8*Warehouses!$E$8/4*(1+(INDEX(CPI!$B$2:$H$5,MATCH(Warehouses!$B$8,CPI!$A$2:$A$5,0),MATCH(U5,CPI!$B$1:$H$1,0))+INDEX(Scenarios!$B$2:$B$3,MATCH(Inputs!$B$3,Scenarios!$A$2:$A$3,0))))^(U$3/4)*(1+Inputs!$B$9))))</f>
        <v>732967.210121811</v>
      </c>
      <c r="V12" s="0" t="n">
        <f aca="false">IF(V$3&lt;=Warehouses!$G$8,0,IF(V4&lt;=Warehouses!$F$8,Warehouses!$D$8*Warehouses!$E$8/4*(1+(INDEX(CPI!$B$2:$H$5,MATCH(Warehouses!$B$8,CPI!$A$2:$A$5,0),MATCH(V5,CPI!$B$1:$H$1,0))+INDEX(Scenarios!$B$2:$B$3,MATCH(Inputs!$B$3,Scenarios!$A$2:$A$3,0))))^(V$3/4),IF(V4&lt;=EOMONTH(Warehouses!$F$8,3*(Inputs!$B$8+INDEX(Scenarios!$C$2:$C$3,MATCH(Inputs!$B$3,Scenarios!$A$2:$A$3,0)))),0,Warehouses!$D$8*Warehouses!$E$8/4*(1+(INDEX(CPI!$B$2:$H$5,MATCH(Warehouses!$B$8,CPI!$A$2:$A$5,0),MATCH(V5,CPI!$B$1:$H$1,0))+INDEX(Scenarios!$B$2:$B$3,MATCH(Inputs!$B$3,Scenarios!$A$2:$A$3,0))))^(V$3/4)*(1+Inputs!$B$9))))</f>
        <v>737865.419683575</v>
      </c>
      <c r="W12" s="0" t="n">
        <f aca="false">IF(W$3&lt;=Warehouses!$G$8,0,IF(W4&lt;=Warehouses!$F$8,Warehouses!$D$8*Warehouses!$E$8/4*(1+(INDEX(CPI!$B$2:$H$5,MATCH(Warehouses!$B$8,CPI!$A$2:$A$5,0),MATCH(W5,CPI!$B$1:$H$1,0))+INDEX(Scenarios!$B$2:$B$3,MATCH(Inputs!$B$3,Scenarios!$A$2:$A$3,0))))^(W$3/4),IF(W4&lt;=EOMONTH(Warehouses!$F$8,3*(Inputs!$B$8+INDEX(Scenarios!$C$2:$C$3,MATCH(Inputs!$B$3,Scenarios!$A$2:$A$3,0)))),0,Warehouses!$D$8*Warehouses!$E$8/4*(1+(INDEX(CPI!$B$2:$H$5,MATCH(Warehouses!$B$8,CPI!$A$2:$A$5,0),MATCH(W5,CPI!$B$1:$H$1,0))+INDEX(Scenarios!$B$2:$B$3,MATCH(Inputs!$B$3,Scenarios!$A$2:$A$3,0))))^(W$3/4)*(1+Inputs!$B$9))))</f>
        <v>739007.05346985</v>
      </c>
      <c r="X12" s="0" t="n">
        <f aca="false">IF(X$3&lt;=Warehouses!$G$8,0,IF(X4&lt;=Warehouses!$F$8,Warehouses!$D$8*Warehouses!$E$8/4*(1+(INDEX(CPI!$B$2:$H$5,MATCH(Warehouses!$B$8,CPI!$A$2:$A$5,0),MATCH(X5,CPI!$B$1:$H$1,0))+INDEX(Scenarios!$B$2:$B$3,MATCH(Inputs!$B$3,Scenarios!$A$2:$A$3,0))))^(X$3/4),IF(X4&lt;=EOMONTH(Warehouses!$F$8,3*(Inputs!$B$8+INDEX(Scenarios!$C$2:$C$3,MATCH(Inputs!$B$3,Scenarios!$A$2:$A$3,0)))),0,Warehouses!$D$8*Warehouses!$E$8/4*(1+(INDEX(CPI!$B$2:$H$5,MATCH(Warehouses!$B$8,CPI!$A$2:$A$5,0),MATCH(X5,CPI!$B$1:$H$1,0))+INDEX(Scenarios!$B$2:$B$3,MATCH(Inputs!$B$3,Scenarios!$A$2:$A$3,0))))^(X$3/4)*(1+Inputs!$B$9))))</f>
        <v>743764.462615288</v>
      </c>
      <c r="Y12" s="0" t="n">
        <f aca="false">IF(Y$3&lt;=Warehouses!$G$8,0,IF(Y4&lt;=Warehouses!$F$8,Warehouses!$D$8*Warehouses!$E$8/4*(1+(INDEX(CPI!$B$2:$H$5,MATCH(Warehouses!$B$8,CPI!$A$2:$A$5,0),MATCH(Y5,CPI!$B$1:$H$1,0))+INDEX(Scenarios!$B$2:$B$3,MATCH(Inputs!$B$3,Scenarios!$A$2:$A$3,0))))^(Y$3/4),IF(Y4&lt;=EOMONTH(Warehouses!$F$8,3*(Inputs!$B$8+INDEX(Scenarios!$C$2:$C$3,MATCH(Inputs!$B$3,Scenarios!$A$2:$A$3,0)))),0,Warehouses!$D$8*Warehouses!$E$8/4*(1+(INDEX(CPI!$B$2:$H$5,MATCH(Warehouses!$B$8,CPI!$A$2:$A$5,0),MATCH(Y5,CPI!$B$1:$H$1,0))+INDEX(Scenarios!$B$2:$B$3,MATCH(Inputs!$B$3,Scenarios!$A$2:$A$3,0))))^(Y$3/4)*(1+Inputs!$B$9))))</f>
        <v>748552.497911952</v>
      </c>
      <c r="Z12" s="0" t="n">
        <f aca="false">IF(Z$3&lt;=Warehouses!$G$8,0,IF(Z4&lt;=Warehouses!$F$8,Warehouses!$D$8*Warehouses!$E$8/4*(1+(INDEX(CPI!$B$2:$H$5,MATCH(Warehouses!$B$8,CPI!$A$2:$A$5,0),MATCH(Z5,CPI!$B$1:$H$1,0))+INDEX(Scenarios!$B$2:$B$3,MATCH(Inputs!$B$3,Scenarios!$A$2:$A$3,0))))^(Z$3/4),IF(Z4&lt;=EOMONTH(Warehouses!$F$8,3*(Inputs!$B$8+INDEX(Scenarios!$C$2:$C$3,MATCH(Inputs!$B$3,Scenarios!$A$2:$A$3,0)))),0,Warehouses!$D$8*Warehouses!$E$8/4*(1+(INDEX(CPI!$B$2:$H$5,MATCH(Warehouses!$B$8,CPI!$A$2:$A$5,0),MATCH(Z5,CPI!$B$1:$H$1,0))+INDEX(Scenarios!$B$2:$B$3,MATCH(Inputs!$B$3,Scenarios!$A$2:$A$3,0))))^(Z$3/4)*(1+Inputs!$B$9))))</f>
        <v>753371.356517815</v>
      </c>
      <c r="AA12" s="0" t="n">
        <f aca="false">IF(AA$3&lt;=Warehouses!$G$8,0,IF(AA4&lt;=Warehouses!$F$8,Warehouses!$D$8*Warehouses!$E$8/4*(1+(INDEX(CPI!$B$2:$H$5,MATCH(Warehouses!$B$8,CPI!$A$2:$A$5,0),MATCH(AA5,CPI!$B$1:$H$1,0))+INDEX(Scenarios!$B$2:$B$3,MATCH(Inputs!$B$3,Scenarios!$A$2:$A$3,0))))^(AA$3/4),IF(AA4&lt;=EOMONTH(Warehouses!$F$8,3*(Inputs!$B$8+INDEX(Scenarios!$C$2:$C$3,MATCH(Inputs!$B$3,Scenarios!$A$2:$A$3,0)))),0,Warehouses!$D$8*Warehouses!$E$8/4*(1+(INDEX(CPI!$B$2:$H$5,MATCH(Warehouses!$B$8,CPI!$A$2:$A$5,0),MATCH(AA5,CPI!$B$1:$H$1,0))+INDEX(Scenarios!$B$2:$B$3,MATCH(Inputs!$B$3,Scenarios!$A$2:$A$3,0))))^(AA$3/4)*(1+Inputs!$B$9))))</f>
        <v>753614.243562278</v>
      </c>
      <c r="AB12" s="0" t="n">
        <f aca="false">IF(AB$3&lt;=Warehouses!$G$8,0,IF(AB4&lt;=Warehouses!$F$8,Warehouses!$D$8*Warehouses!$E$8/4*(1+(INDEX(CPI!$B$2:$H$5,MATCH(Warehouses!$B$8,CPI!$A$2:$A$5,0),MATCH(AB5,CPI!$B$1:$H$1,0))+INDEX(Scenarios!$B$2:$B$3,MATCH(Inputs!$B$3,Scenarios!$A$2:$A$3,0))))^(AB$3/4),IF(AB4&lt;=EOMONTH(Warehouses!$F$8,3*(Inputs!$B$8+INDEX(Scenarios!$C$2:$C$3,MATCH(Inputs!$B$3,Scenarios!$A$2:$A$3,0)))),0,Warehouses!$D$8*Warehouses!$E$8/4*(1+(INDEX(CPI!$B$2:$H$5,MATCH(Warehouses!$B$8,CPI!$A$2:$A$5,0),MATCH(AB5,CPI!$B$1:$H$1,0))+INDEX(Scenarios!$B$2:$B$3,MATCH(Inputs!$B$3,Scenarios!$A$2:$A$3,0))))^(AB$3/4)*(1+Inputs!$B$9))))</f>
        <v>758280.808592924</v>
      </c>
      <c r="AC12" s="0" t="n">
        <f aca="false">IF(AC$3&lt;=Warehouses!$G$8,0,IF(AC4&lt;=Warehouses!$F$8,Warehouses!$D$8*Warehouses!$E$8/4*(1+(INDEX(CPI!$B$2:$H$5,MATCH(Warehouses!$B$8,CPI!$A$2:$A$5,0),MATCH(AC5,CPI!$B$1:$H$1,0))+INDEX(Scenarios!$B$2:$B$3,MATCH(Inputs!$B$3,Scenarios!$A$2:$A$3,0))))^(AC$3/4),IF(AC4&lt;=EOMONTH(Warehouses!$F$8,3*(Inputs!$B$8+INDEX(Scenarios!$C$2:$C$3,MATCH(Inputs!$B$3,Scenarios!$A$2:$A$3,0)))),0,Warehouses!$D$8*Warehouses!$E$8/4*(1+(INDEX(CPI!$B$2:$H$5,MATCH(Warehouses!$B$8,CPI!$A$2:$A$5,0),MATCH(AC5,CPI!$B$1:$H$1,0))+INDEX(Scenarios!$B$2:$B$3,MATCH(Inputs!$B$3,Scenarios!$A$2:$A$3,0))))^(AC$3/4)*(1+Inputs!$B$9))))</f>
        <v>762976.270143733</v>
      </c>
      <c r="AD12" s="0" t="n">
        <f aca="false">IF(AD$3&lt;=Warehouses!$G$8,0,IF(AD4&lt;=Warehouses!$F$8,Warehouses!$D$8*Warehouses!$E$8/4*(1+(INDEX(CPI!$B$2:$H$5,MATCH(Warehouses!$B$8,CPI!$A$2:$A$5,0),MATCH(AD5,CPI!$B$1:$H$1,0))+INDEX(Scenarios!$B$2:$B$3,MATCH(Inputs!$B$3,Scenarios!$A$2:$A$3,0))))^(AD$3/4),IF(AD4&lt;=EOMONTH(Warehouses!$F$8,3*(Inputs!$B$8+INDEX(Scenarios!$C$2:$C$3,MATCH(Inputs!$B$3,Scenarios!$A$2:$A$3,0)))),0,Warehouses!$D$8*Warehouses!$E$8/4*(1+(INDEX(CPI!$B$2:$H$5,MATCH(Warehouses!$B$8,CPI!$A$2:$A$5,0),MATCH(AD5,CPI!$B$1:$H$1,0))+INDEX(Scenarios!$B$2:$B$3,MATCH(Inputs!$B$3,Scenarios!$A$2:$A$3,0))))^(AD$3/4)*(1+Inputs!$B$9))))</f>
        <v>767700.807149078</v>
      </c>
    </row>
    <row r="13" customFormat="false" ht="15" hidden="false" customHeight="false" outlineLevel="0" collapsed="false">
      <c r="A13" s="0" t="s">
        <v>46</v>
      </c>
      <c r="B13" s="0" t="n">
        <f aca="false">0</f>
        <v>0</v>
      </c>
      <c r="C13" s="0" t="n">
        <f aca="false">IF(C$3&lt;=Warehouses!$G$9,0,IF(C4&lt;=Warehouses!$F$9,Warehouses!$D$9*Warehouses!$E$9/4*(1+(INDEX(CPI!$B$2:$H$5,MATCH(Warehouses!$B$9,CPI!$A$2:$A$5,0),MATCH(C5,CPI!$B$1:$H$1,0))+INDEX(Scenarios!$B$2:$B$3,MATCH(Inputs!$B$3,Scenarios!$A$2:$A$3,0))))^(C$3/4),IF(C4&lt;=EOMONTH(Warehouses!$F$9,3*(Inputs!$B$8+INDEX(Scenarios!$C$2:$C$3,MATCH(Inputs!$B$3,Scenarios!$A$2:$A$3,0)))),0,Warehouses!$D$9*Warehouses!$E$9/4*(1+(INDEX(CPI!$B$2:$H$5,MATCH(Warehouses!$B$9,CPI!$A$2:$A$5,0),MATCH(C5,CPI!$B$1:$H$1,0))+INDEX(Scenarios!$B$2:$B$3,MATCH(Inputs!$B$3,Scenarios!$A$2:$A$3,0))))^(C$3/4)*(1+Inputs!$B$9))))</f>
        <v>0</v>
      </c>
      <c r="D13" s="0" t="n">
        <f aca="false">IF(D$3&lt;=Warehouses!$G$9,0,IF(D4&lt;=Warehouses!$F$9,Warehouses!$D$9*Warehouses!$E$9/4*(1+(INDEX(CPI!$B$2:$H$5,MATCH(Warehouses!$B$9,CPI!$A$2:$A$5,0),MATCH(D5,CPI!$B$1:$H$1,0))+INDEX(Scenarios!$B$2:$B$3,MATCH(Inputs!$B$3,Scenarios!$A$2:$A$3,0))))^(D$3/4),IF(D4&lt;=EOMONTH(Warehouses!$F$9,3*(Inputs!$B$8+INDEX(Scenarios!$C$2:$C$3,MATCH(Inputs!$B$3,Scenarios!$A$2:$A$3,0)))),0,Warehouses!$D$9*Warehouses!$E$9/4*(1+(INDEX(CPI!$B$2:$H$5,MATCH(Warehouses!$B$9,CPI!$A$2:$A$5,0),MATCH(D5,CPI!$B$1:$H$1,0))+INDEX(Scenarios!$B$2:$B$3,MATCH(Inputs!$B$3,Scenarios!$A$2:$A$3,0))))^(D$3/4)*(1+Inputs!$B$9))))</f>
        <v>545026.308137965</v>
      </c>
      <c r="E13" s="0" t="n">
        <f aca="false">IF(E$3&lt;=Warehouses!$G$9,0,IF(E4&lt;=Warehouses!$F$9,Warehouses!$D$9*Warehouses!$E$9/4*(1+(INDEX(CPI!$B$2:$H$5,MATCH(Warehouses!$B$9,CPI!$A$2:$A$5,0),MATCH(E5,CPI!$B$1:$H$1,0))+INDEX(Scenarios!$B$2:$B$3,MATCH(Inputs!$B$3,Scenarios!$A$2:$A$3,0))))^(E$3/4),IF(E4&lt;=EOMONTH(Warehouses!$F$9,3*(Inputs!$B$8+INDEX(Scenarios!$C$2:$C$3,MATCH(Inputs!$B$3,Scenarios!$A$2:$A$3,0)))),0,Warehouses!$D$9*Warehouses!$E$9/4*(1+(INDEX(CPI!$B$2:$H$5,MATCH(Warehouses!$B$9,CPI!$A$2:$A$5,0),MATCH(E5,CPI!$B$1:$H$1,0))+INDEX(Scenarios!$B$2:$B$3,MATCH(Inputs!$B$3,Scenarios!$A$2:$A$3,0))))^(E$3/4)*(1+Inputs!$B$9))))</f>
        <v>549468.178827828</v>
      </c>
      <c r="F13" s="0" t="n">
        <f aca="false">IF(F$3&lt;=Warehouses!$G$9,0,IF(F4&lt;=Warehouses!$F$9,Warehouses!$D$9*Warehouses!$E$9/4*(1+(INDEX(CPI!$B$2:$H$5,MATCH(Warehouses!$B$9,CPI!$A$2:$A$5,0),MATCH(F5,CPI!$B$1:$H$1,0))+INDEX(Scenarios!$B$2:$B$3,MATCH(Inputs!$B$3,Scenarios!$A$2:$A$3,0))))^(F$3/4),IF(F4&lt;=EOMONTH(Warehouses!$F$9,3*(Inputs!$B$8+INDEX(Scenarios!$C$2:$C$3,MATCH(Inputs!$B$3,Scenarios!$A$2:$A$3,0)))),0,Warehouses!$D$9*Warehouses!$E$9/4*(1+(INDEX(CPI!$B$2:$H$5,MATCH(Warehouses!$B$9,CPI!$A$2:$A$5,0),MATCH(F5,CPI!$B$1:$H$1,0))+INDEX(Scenarios!$B$2:$B$3,MATCH(Inputs!$B$3,Scenarios!$A$2:$A$3,0))))^(F$3/4)*(1+Inputs!$B$9))))</f>
        <v>553946.25</v>
      </c>
      <c r="G13" s="0" t="n">
        <f aca="false">IF(G$3&lt;=Warehouses!$G$9,0,IF(G4&lt;=Warehouses!$F$9,Warehouses!$D$9*Warehouses!$E$9/4*(1+(INDEX(CPI!$B$2:$H$5,MATCH(Warehouses!$B$9,CPI!$A$2:$A$5,0),MATCH(G5,CPI!$B$1:$H$1,0))+INDEX(Scenarios!$B$2:$B$3,MATCH(Inputs!$B$3,Scenarios!$A$2:$A$3,0))))^(G$3/4),IF(G4&lt;=EOMONTH(Warehouses!$F$9,3*(Inputs!$B$8+INDEX(Scenarios!$C$2:$C$3,MATCH(Inputs!$B$3,Scenarios!$A$2:$A$3,0)))),0,Warehouses!$D$9*Warehouses!$E$9/4*(1+(INDEX(CPI!$B$2:$H$5,MATCH(Warehouses!$B$9,CPI!$A$2:$A$5,0),MATCH(G5,CPI!$B$1:$H$1,0))+INDEX(Scenarios!$B$2:$B$3,MATCH(Inputs!$B$3,Scenarios!$A$2:$A$3,0))))^(G$3/4)*(1+Inputs!$B$9))))</f>
        <v>555759.02459898</v>
      </c>
      <c r="H13" s="0" t="n">
        <f aca="false">IF(H$3&lt;=Warehouses!$G$9,0,IF(H4&lt;=Warehouses!$F$9,Warehouses!$D$9*Warehouses!$E$9/4*(1+(INDEX(CPI!$B$2:$H$5,MATCH(Warehouses!$B$9,CPI!$A$2:$A$5,0),MATCH(H5,CPI!$B$1:$H$1,0))+INDEX(Scenarios!$B$2:$B$3,MATCH(Inputs!$B$3,Scenarios!$A$2:$A$3,0))))^(H$3/4),IF(H4&lt;=EOMONTH(Warehouses!$F$9,3*(Inputs!$B$8+INDEX(Scenarios!$C$2:$C$3,MATCH(Inputs!$B$3,Scenarios!$A$2:$A$3,0)))),0,Warehouses!$D$9*Warehouses!$E$9/4*(1+(INDEX(CPI!$B$2:$H$5,MATCH(Warehouses!$B$9,CPI!$A$2:$A$5,0),MATCH(H5,CPI!$B$1:$H$1,0))+INDEX(Scenarios!$B$2:$B$3,MATCH(Inputs!$B$3,Scenarios!$A$2:$A$3,0))))^(H$3/4)*(1+Inputs!$B$9))))</f>
        <v>559745.186193778</v>
      </c>
      <c r="I13" s="0" t="n">
        <f aca="false">IF(I$3&lt;=Warehouses!$G$9,0,IF(I4&lt;=Warehouses!$F$9,Warehouses!$D$9*Warehouses!$E$9/4*(1+(INDEX(CPI!$B$2:$H$5,MATCH(Warehouses!$B$9,CPI!$A$2:$A$5,0),MATCH(I5,CPI!$B$1:$H$1,0))+INDEX(Scenarios!$B$2:$B$3,MATCH(Inputs!$B$3,Scenarios!$A$2:$A$3,0))))^(I$3/4),IF(I4&lt;=EOMONTH(Warehouses!$F$9,3*(Inputs!$B$8+INDEX(Scenarios!$C$2:$C$3,MATCH(Inputs!$B$3,Scenarios!$A$2:$A$3,0)))),0,Warehouses!$D$9*Warehouses!$E$9/4*(1+(INDEX(CPI!$B$2:$H$5,MATCH(Warehouses!$B$9,CPI!$A$2:$A$5,0),MATCH(I5,CPI!$B$1:$H$1,0))+INDEX(Scenarios!$B$2:$B$3,MATCH(Inputs!$B$3,Scenarios!$A$2:$A$3,0))))^(I$3/4)*(1+Inputs!$B$9))))</f>
        <v>563759.938389101</v>
      </c>
      <c r="J13" s="0" t="n">
        <f aca="false">IF(J$3&lt;=Warehouses!$G$9,0,IF(J4&lt;=Warehouses!$F$9,Warehouses!$D$9*Warehouses!$E$9/4*(1+(INDEX(CPI!$B$2:$H$5,MATCH(Warehouses!$B$9,CPI!$A$2:$A$5,0),MATCH(J5,CPI!$B$1:$H$1,0))+INDEX(Scenarios!$B$2:$B$3,MATCH(Inputs!$B$3,Scenarios!$A$2:$A$3,0))))^(J$3/4),IF(J4&lt;=EOMONTH(Warehouses!$F$9,3*(Inputs!$B$8+INDEX(Scenarios!$C$2:$C$3,MATCH(Inputs!$B$3,Scenarios!$A$2:$A$3,0)))),0,Warehouses!$D$9*Warehouses!$E$9/4*(1+(INDEX(CPI!$B$2:$H$5,MATCH(Warehouses!$B$9,CPI!$A$2:$A$5,0),MATCH(J5,CPI!$B$1:$H$1,0))+INDEX(Scenarios!$B$2:$B$3,MATCH(Inputs!$B$3,Scenarios!$A$2:$A$3,0))))^(J$3/4)*(1+Inputs!$B$9))))</f>
        <v>567803.48625</v>
      </c>
      <c r="K13" s="0" t="n">
        <f aca="false">IF(K$3&lt;=Warehouses!$G$9,0,IF(K4&lt;=Warehouses!$F$9,Warehouses!$D$9*Warehouses!$E$9/4*(1+(INDEX(CPI!$B$2:$H$5,MATCH(Warehouses!$B$9,CPI!$A$2:$A$5,0),MATCH(K5,CPI!$B$1:$H$1,0))+INDEX(Scenarios!$B$2:$B$3,MATCH(Inputs!$B$3,Scenarios!$A$2:$A$3,0))))^(K$3/4),IF(K4&lt;=EOMONTH(Warehouses!$F$9,3*(Inputs!$B$8+INDEX(Scenarios!$C$2:$C$3,MATCH(Inputs!$B$3,Scenarios!$A$2:$A$3,0)))),0,Warehouses!$D$9*Warehouses!$E$9/4*(1+(INDEX(CPI!$B$2:$H$5,MATCH(Warehouses!$B$9,CPI!$A$2:$A$5,0),MATCH(K5,CPI!$B$1:$H$1,0))+INDEX(Scenarios!$B$2:$B$3,MATCH(Inputs!$B$3,Scenarios!$A$2:$A$3,0))))^(K$3/4)*(1+Inputs!$B$9))))</f>
        <v>568131.496827621</v>
      </c>
      <c r="L13" s="0" t="n">
        <f aca="false">IF(L$3&lt;=Warehouses!$G$9,0,IF(L4&lt;=Warehouses!$F$9,Warehouses!$D$9*Warehouses!$E$9/4*(1+(INDEX(CPI!$B$2:$H$5,MATCH(Warehouses!$B$9,CPI!$A$2:$A$5,0),MATCH(L5,CPI!$B$1:$H$1,0))+INDEX(Scenarios!$B$2:$B$3,MATCH(Inputs!$B$3,Scenarios!$A$2:$A$3,0))))^(L$3/4),IF(L4&lt;=EOMONTH(Warehouses!$F$9,3*(Inputs!$B$8+INDEX(Scenarios!$C$2:$C$3,MATCH(Inputs!$B$3,Scenarios!$A$2:$A$3,0)))),0,Warehouses!$D$9*Warehouses!$E$9/4*(1+(INDEX(CPI!$B$2:$H$5,MATCH(Warehouses!$B$9,CPI!$A$2:$A$5,0),MATCH(L5,CPI!$B$1:$H$1,0))+INDEX(Scenarios!$B$2:$B$3,MATCH(Inputs!$B$3,Scenarios!$A$2:$A$3,0))))^(L$3/4)*(1+Inputs!$B$9))))</f>
        <v>571788.882729594</v>
      </c>
      <c r="M13" s="0" t="n">
        <f aca="false">IF(M$3&lt;=Warehouses!$G$9,0,IF(M4&lt;=Warehouses!$F$9,Warehouses!$D$9*Warehouses!$E$9/4*(1+(INDEX(CPI!$B$2:$H$5,MATCH(Warehouses!$B$9,CPI!$A$2:$A$5,0),MATCH(M5,CPI!$B$1:$H$1,0))+INDEX(Scenarios!$B$2:$B$3,MATCH(Inputs!$B$3,Scenarios!$A$2:$A$3,0))))^(M$3/4),IF(M4&lt;=EOMONTH(Warehouses!$F$9,3*(Inputs!$B$8+INDEX(Scenarios!$C$2:$C$3,MATCH(Inputs!$B$3,Scenarios!$A$2:$A$3,0)))),0,Warehouses!$D$9*Warehouses!$E$9/4*(1+(INDEX(CPI!$B$2:$H$5,MATCH(Warehouses!$B$9,CPI!$A$2:$A$5,0),MATCH(M5,CPI!$B$1:$H$1,0))+INDEX(Scenarios!$B$2:$B$3,MATCH(Inputs!$B$3,Scenarios!$A$2:$A$3,0))))^(M$3/4)*(1+Inputs!$B$9))))</f>
        <v>575469.813306893</v>
      </c>
      <c r="N13" s="0" t="n">
        <f aca="false">IF(N$3&lt;=Warehouses!$G$9,0,IF(N4&lt;=Warehouses!$F$9,Warehouses!$D$9*Warehouses!$E$9/4*(1+(INDEX(CPI!$B$2:$H$5,MATCH(Warehouses!$B$9,CPI!$A$2:$A$5,0),MATCH(N5,CPI!$B$1:$H$1,0))+INDEX(Scenarios!$B$2:$B$3,MATCH(Inputs!$B$3,Scenarios!$A$2:$A$3,0))))^(N$3/4),IF(N4&lt;=EOMONTH(Warehouses!$F$9,3*(Inputs!$B$8+INDEX(Scenarios!$C$2:$C$3,MATCH(Inputs!$B$3,Scenarios!$A$2:$A$3,0)))),0,Warehouses!$D$9*Warehouses!$E$9/4*(1+(INDEX(CPI!$B$2:$H$5,MATCH(Warehouses!$B$9,CPI!$A$2:$A$5,0),MATCH(N5,CPI!$B$1:$H$1,0))+INDEX(Scenarios!$B$2:$B$3,MATCH(Inputs!$B$3,Scenarios!$A$2:$A$3,0))))^(N$3/4)*(1+Inputs!$B$9))))</f>
        <v>579174.44013</v>
      </c>
      <c r="O13" s="0" t="n">
        <f aca="false">IF(O$3&lt;=Warehouses!$G$9,0,IF(O4&lt;=Warehouses!$F$9,Warehouses!$D$9*Warehouses!$E$9/4*(1+(INDEX(CPI!$B$2:$H$5,MATCH(Warehouses!$B$9,CPI!$A$2:$A$5,0),MATCH(O5,CPI!$B$1:$H$1,0))+INDEX(Scenarios!$B$2:$B$3,MATCH(Inputs!$B$3,Scenarios!$A$2:$A$3,0))))^(O$3/4),IF(O4&lt;=EOMONTH(Warehouses!$F$9,3*(Inputs!$B$8+INDEX(Scenarios!$C$2:$C$3,MATCH(Inputs!$B$3,Scenarios!$A$2:$A$3,0)))),0,Warehouses!$D$9*Warehouses!$E$9/4*(1+(INDEX(CPI!$B$2:$H$5,MATCH(Warehouses!$B$9,CPI!$A$2:$A$5,0),MATCH(O5,CPI!$B$1:$H$1,0))+INDEX(Scenarios!$B$2:$B$3,MATCH(Inputs!$B$3,Scenarios!$A$2:$A$3,0))))^(O$3/4)*(1+Inputs!$B$9))))</f>
        <v>581058.512149705</v>
      </c>
      <c r="P13" s="0" t="n">
        <f aca="false">IF(P$3&lt;=Warehouses!$G$9,0,IF(P4&lt;=Warehouses!$F$9,Warehouses!$D$9*Warehouses!$E$9/4*(1+(INDEX(CPI!$B$2:$H$5,MATCH(Warehouses!$B$9,CPI!$A$2:$A$5,0),MATCH(P5,CPI!$B$1:$H$1,0))+INDEX(Scenarios!$B$2:$B$3,MATCH(Inputs!$B$3,Scenarios!$A$2:$A$3,0))))^(P$3/4),IF(P4&lt;=EOMONTH(Warehouses!$F$9,3*(Inputs!$B$8+INDEX(Scenarios!$C$2:$C$3,MATCH(Inputs!$B$3,Scenarios!$A$2:$A$3,0)))),0,Warehouses!$D$9*Warehouses!$E$9/4*(1+(INDEX(CPI!$B$2:$H$5,MATCH(Warehouses!$B$9,CPI!$A$2:$A$5,0),MATCH(P5,CPI!$B$1:$H$1,0))+INDEX(Scenarios!$B$2:$B$3,MATCH(Inputs!$B$3,Scenarios!$A$2:$A$3,0))))^(P$3/4)*(1+Inputs!$B$9))))</f>
        <v>584656.569586544</v>
      </c>
      <c r="Q13" s="0" t="n">
        <f aca="false">IF(Q$3&lt;=Warehouses!$G$9,0,IF(Q4&lt;=Warehouses!$F$9,Warehouses!$D$9*Warehouses!$E$9/4*(1+(INDEX(CPI!$B$2:$H$5,MATCH(Warehouses!$B$9,CPI!$A$2:$A$5,0),MATCH(Q5,CPI!$B$1:$H$1,0))+INDEX(Scenarios!$B$2:$B$3,MATCH(Inputs!$B$3,Scenarios!$A$2:$A$3,0))))^(Q$3/4),IF(Q4&lt;=EOMONTH(Warehouses!$F$9,3*(Inputs!$B$8+INDEX(Scenarios!$C$2:$C$3,MATCH(Inputs!$B$3,Scenarios!$A$2:$A$3,0)))),0,Warehouses!$D$9*Warehouses!$E$9/4*(1+(INDEX(CPI!$B$2:$H$5,MATCH(Warehouses!$B$9,CPI!$A$2:$A$5,0),MATCH(Q5,CPI!$B$1:$H$1,0))+INDEX(Scenarios!$B$2:$B$3,MATCH(Inputs!$B$3,Scenarios!$A$2:$A$3,0))))^(Q$3/4)*(1+Inputs!$B$9))))</f>
        <v>588276.907081325</v>
      </c>
      <c r="R13" s="0" t="n">
        <f aca="false">IF(R$3&lt;=Warehouses!$G$9,0,IF(R4&lt;=Warehouses!$F$9,Warehouses!$D$9*Warehouses!$E$9/4*(1+(INDEX(CPI!$B$2:$H$5,MATCH(Warehouses!$B$9,CPI!$A$2:$A$5,0),MATCH(R5,CPI!$B$1:$H$1,0))+INDEX(Scenarios!$B$2:$B$3,MATCH(Inputs!$B$3,Scenarios!$A$2:$A$3,0))))^(R$3/4),IF(R4&lt;=EOMONTH(Warehouses!$F$9,3*(Inputs!$B$8+INDEX(Scenarios!$C$2:$C$3,MATCH(Inputs!$B$3,Scenarios!$A$2:$A$3,0)))),0,Warehouses!$D$9*Warehouses!$E$9/4*(1+(INDEX(CPI!$B$2:$H$5,MATCH(Warehouses!$B$9,CPI!$A$2:$A$5,0),MATCH(R5,CPI!$B$1:$H$1,0))+INDEX(Scenarios!$B$2:$B$3,MATCH(Inputs!$B$3,Scenarios!$A$2:$A$3,0))))^(R$3/4)*(1+Inputs!$B$9))))</f>
        <v>591919.662597656</v>
      </c>
      <c r="S13" s="0" t="n">
        <f aca="false">IF(S$3&lt;=Warehouses!$G$9,0,IF(S4&lt;=Warehouses!$F$9,Warehouses!$D$9*Warehouses!$E$9/4*(1+(INDEX(CPI!$B$2:$H$5,MATCH(Warehouses!$B$9,CPI!$A$2:$A$5,0),MATCH(S5,CPI!$B$1:$H$1,0))+INDEX(Scenarios!$B$2:$B$3,MATCH(Inputs!$B$3,Scenarios!$A$2:$A$3,0))))^(S$3/4),IF(S4&lt;=EOMONTH(Warehouses!$F$9,3*(Inputs!$B$8+INDEX(Scenarios!$C$2:$C$3,MATCH(Inputs!$B$3,Scenarios!$A$2:$A$3,0)))),0,Warehouses!$D$9*Warehouses!$E$9/4*(1+(INDEX(CPI!$B$2:$H$5,MATCH(Warehouses!$B$9,CPI!$A$2:$A$5,0),MATCH(S5,CPI!$B$1:$H$1,0))+INDEX(Scenarios!$B$2:$B$3,MATCH(Inputs!$B$3,Scenarios!$A$2:$A$3,0))))^(S$3/4)*(1+Inputs!$B$9))))</f>
        <v>593119.388471886</v>
      </c>
      <c r="T13" s="0" t="n">
        <f aca="false">IF(T$3&lt;=Warehouses!$G$9,0,IF(T4&lt;=Warehouses!$F$9,Warehouses!$D$9*Warehouses!$E$9/4*(1+(INDEX(CPI!$B$2:$H$5,MATCH(Warehouses!$B$9,CPI!$A$2:$A$5,0),MATCH(T5,CPI!$B$1:$H$1,0))+INDEX(Scenarios!$B$2:$B$3,MATCH(Inputs!$B$3,Scenarios!$A$2:$A$3,0))))^(T$3/4),IF(T4&lt;=EOMONTH(Warehouses!$F$9,3*(Inputs!$B$8+INDEX(Scenarios!$C$2:$C$3,MATCH(Inputs!$B$3,Scenarios!$A$2:$A$3,0)))),0,Warehouses!$D$9*Warehouses!$E$9/4*(1+(INDEX(CPI!$B$2:$H$5,MATCH(Warehouses!$B$9,CPI!$A$2:$A$5,0),MATCH(T5,CPI!$B$1:$H$1,0))+INDEX(Scenarios!$B$2:$B$3,MATCH(Inputs!$B$3,Scenarios!$A$2:$A$3,0))))^(T$3/4)*(1+Inputs!$B$9))))</f>
        <v>596646.517486119</v>
      </c>
      <c r="U13" s="0" t="n">
        <f aca="false">IF(U$3&lt;=Warehouses!$G$9,0,IF(U4&lt;=Warehouses!$F$9,Warehouses!$D$9*Warehouses!$E$9/4*(1+(INDEX(CPI!$B$2:$H$5,MATCH(Warehouses!$B$9,CPI!$A$2:$A$5,0),MATCH(U5,CPI!$B$1:$H$1,0))+INDEX(Scenarios!$B$2:$B$3,MATCH(Inputs!$B$3,Scenarios!$A$2:$A$3,0))))^(U$3/4),IF(U4&lt;=EOMONTH(Warehouses!$F$9,3*(Inputs!$B$8+INDEX(Scenarios!$C$2:$C$3,MATCH(Inputs!$B$3,Scenarios!$A$2:$A$3,0)))),0,Warehouses!$D$9*Warehouses!$E$9/4*(1+(INDEX(CPI!$B$2:$H$5,MATCH(Warehouses!$B$9,CPI!$A$2:$A$5,0),MATCH(U5,CPI!$B$1:$H$1,0))+INDEX(Scenarios!$B$2:$B$3,MATCH(Inputs!$B$3,Scenarios!$A$2:$A$3,0))))^(U$3/4)*(1+Inputs!$B$9))))</f>
        <v>600194.62143276</v>
      </c>
      <c r="V13" s="0" t="n">
        <f aca="false">IF(V$3&lt;=Warehouses!$G$9,0,IF(V4&lt;=Warehouses!$F$9,Warehouses!$D$9*Warehouses!$E$9/4*(1+(INDEX(CPI!$B$2:$H$5,MATCH(Warehouses!$B$9,CPI!$A$2:$A$5,0),MATCH(V5,CPI!$B$1:$H$1,0))+INDEX(Scenarios!$B$2:$B$3,MATCH(Inputs!$B$3,Scenarios!$A$2:$A$3,0))))^(V$3/4),IF(V4&lt;=EOMONTH(Warehouses!$F$9,3*(Inputs!$B$8+INDEX(Scenarios!$C$2:$C$3,MATCH(Inputs!$B$3,Scenarios!$A$2:$A$3,0)))),0,Warehouses!$D$9*Warehouses!$E$9/4*(1+(INDEX(CPI!$B$2:$H$5,MATCH(Warehouses!$B$9,CPI!$A$2:$A$5,0),MATCH(V5,CPI!$B$1:$H$1,0))+INDEX(Scenarios!$B$2:$B$3,MATCH(Inputs!$B$3,Scenarios!$A$2:$A$3,0))))^(V$3/4)*(1+Inputs!$B$9))))</f>
        <v>603763.825044357</v>
      </c>
      <c r="W13" s="0" t="n">
        <f aca="false">IF(W$3&lt;=Warehouses!$G$9,0,IF(W4&lt;=Warehouses!$F$9,Warehouses!$D$9*Warehouses!$E$9/4*(1+(INDEX(CPI!$B$2:$H$5,MATCH(Warehouses!$B$9,CPI!$A$2:$A$5,0),MATCH(W5,CPI!$B$1:$H$1,0))+INDEX(Scenarios!$B$2:$B$3,MATCH(Inputs!$B$3,Scenarios!$A$2:$A$3,0))))^(W$3/4),IF(W4&lt;=EOMONTH(Warehouses!$F$9,3*(Inputs!$B$8+INDEX(Scenarios!$C$2:$C$3,MATCH(Inputs!$B$3,Scenarios!$A$2:$A$3,0)))),0,Warehouses!$D$9*Warehouses!$E$9/4*(1+(INDEX(CPI!$B$2:$H$5,MATCH(Warehouses!$B$9,CPI!$A$2:$A$5,0),MATCH(W5,CPI!$B$1:$H$1,0))+INDEX(Scenarios!$B$2:$B$3,MATCH(Inputs!$B$3,Scenarios!$A$2:$A$3,0))))^(W$3/4)*(1+Inputs!$B$9))))</f>
        <v>0</v>
      </c>
      <c r="X13" s="0" t="n">
        <f aca="false">IF(X$3&lt;=Warehouses!$G$9,0,IF(X4&lt;=Warehouses!$F$9,Warehouses!$D$9*Warehouses!$E$9/4*(1+(INDEX(CPI!$B$2:$H$5,MATCH(Warehouses!$B$9,CPI!$A$2:$A$5,0),MATCH(X5,CPI!$B$1:$H$1,0))+INDEX(Scenarios!$B$2:$B$3,MATCH(Inputs!$B$3,Scenarios!$A$2:$A$3,0))))^(X$3/4),IF(X4&lt;=EOMONTH(Warehouses!$F$9,3*(Inputs!$B$8+INDEX(Scenarios!$C$2:$C$3,MATCH(Inputs!$B$3,Scenarios!$A$2:$A$3,0)))),0,Warehouses!$D$9*Warehouses!$E$9/4*(1+(INDEX(CPI!$B$2:$H$5,MATCH(Warehouses!$B$9,CPI!$A$2:$A$5,0),MATCH(X5,CPI!$B$1:$H$1,0))+INDEX(Scenarios!$B$2:$B$3,MATCH(Inputs!$B$3,Scenarios!$A$2:$A$3,0))))^(X$3/4)*(1+Inputs!$B$9))))</f>
        <v>0</v>
      </c>
      <c r="Y13" s="0" t="n">
        <f aca="false">IF(Y$3&lt;=Warehouses!$G$9,0,IF(Y4&lt;=Warehouses!$F$9,Warehouses!$D$9*Warehouses!$E$9/4*(1+(INDEX(CPI!$B$2:$H$5,MATCH(Warehouses!$B$9,CPI!$A$2:$A$5,0),MATCH(Y5,CPI!$B$1:$H$1,0))+INDEX(Scenarios!$B$2:$B$3,MATCH(Inputs!$B$3,Scenarios!$A$2:$A$3,0))))^(Y$3/4),IF(Y4&lt;=EOMONTH(Warehouses!$F$9,3*(Inputs!$B$8+INDEX(Scenarios!$C$2:$C$3,MATCH(Inputs!$B$3,Scenarios!$A$2:$A$3,0)))),0,Warehouses!$D$9*Warehouses!$E$9/4*(1+(INDEX(CPI!$B$2:$H$5,MATCH(Warehouses!$B$9,CPI!$A$2:$A$5,0),MATCH(Y5,CPI!$B$1:$H$1,0))+INDEX(Scenarios!$B$2:$B$3,MATCH(Inputs!$B$3,Scenarios!$A$2:$A$3,0))))^(Y$3/4)*(1+Inputs!$B$9))))</f>
        <v>660048.661239203</v>
      </c>
      <c r="Z13" s="0" t="n">
        <f aca="false">IF(Z$3&lt;=Warehouses!$G$9,0,IF(Z4&lt;=Warehouses!$F$9,Warehouses!$D$9*Warehouses!$E$9/4*(1+(INDEX(CPI!$B$2:$H$5,MATCH(Warehouses!$B$9,CPI!$A$2:$A$5,0),MATCH(Z5,CPI!$B$1:$H$1,0))+INDEX(Scenarios!$B$2:$B$3,MATCH(Inputs!$B$3,Scenarios!$A$2:$A$3,0))))^(Z$3/4),IF(Z4&lt;=EOMONTH(Warehouses!$F$9,3*(Inputs!$B$8+INDEX(Scenarios!$C$2:$C$3,MATCH(Inputs!$B$3,Scenarios!$A$2:$A$3,0)))),0,Warehouses!$D$9*Warehouses!$E$9/4*(1+(INDEX(CPI!$B$2:$H$5,MATCH(Warehouses!$B$9,CPI!$A$2:$A$5,0),MATCH(Z5,CPI!$B$1:$H$1,0))+INDEX(Scenarios!$B$2:$B$3,MATCH(Inputs!$B$3,Scenarios!$A$2:$A$3,0))))^(Z$3/4)*(1+Inputs!$B$9))))</f>
        <v>663811.63911111</v>
      </c>
      <c r="AA13" s="0" t="n">
        <f aca="false">IF(AA$3&lt;=Warehouses!$G$9,0,IF(AA4&lt;=Warehouses!$F$9,Warehouses!$D$9*Warehouses!$E$9/4*(1+(INDEX(CPI!$B$2:$H$5,MATCH(Warehouses!$B$9,CPI!$A$2:$A$5,0),MATCH(AA5,CPI!$B$1:$H$1,0))+INDEX(Scenarios!$B$2:$B$3,MATCH(Inputs!$B$3,Scenarios!$A$2:$A$3,0))))^(AA$3/4),IF(AA4&lt;=EOMONTH(Warehouses!$F$9,3*(Inputs!$B$8+INDEX(Scenarios!$C$2:$C$3,MATCH(Inputs!$B$3,Scenarios!$A$2:$A$3,0)))),0,Warehouses!$D$9*Warehouses!$E$9/4*(1+(INDEX(CPI!$B$2:$H$5,MATCH(Warehouses!$B$9,CPI!$A$2:$A$5,0),MATCH(AA5,CPI!$B$1:$H$1,0))+INDEX(Scenarios!$B$2:$B$3,MATCH(Inputs!$B$3,Scenarios!$A$2:$A$3,0))))^(AA$3/4)*(1+Inputs!$B$9))))</f>
        <v>663527.855137796</v>
      </c>
      <c r="AB13" s="0" t="n">
        <f aca="false">IF(AB$3&lt;=Warehouses!$G$9,0,IF(AB4&lt;=Warehouses!$F$9,Warehouses!$D$9*Warehouses!$E$9/4*(1+(INDEX(CPI!$B$2:$H$5,MATCH(Warehouses!$B$9,CPI!$A$2:$A$5,0),MATCH(AB5,CPI!$B$1:$H$1,0))+INDEX(Scenarios!$B$2:$B$3,MATCH(Inputs!$B$3,Scenarios!$A$2:$A$3,0))))^(AB$3/4),IF(AB4&lt;=EOMONTH(Warehouses!$F$9,3*(Inputs!$B$8+INDEX(Scenarios!$C$2:$C$3,MATCH(Inputs!$B$3,Scenarios!$A$2:$A$3,0)))),0,Warehouses!$D$9*Warehouses!$E$9/4*(1+(INDEX(CPI!$B$2:$H$5,MATCH(Warehouses!$B$9,CPI!$A$2:$A$5,0),MATCH(AB5,CPI!$B$1:$H$1,0))+INDEX(Scenarios!$B$2:$B$3,MATCH(Inputs!$B$3,Scenarios!$A$2:$A$3,0))))^(AB$3/4)*(1+Inputs!$B$9))))</f>
        <v>667147.531395961</v>
      </c>
      <c r="AC13" s="0" t="n">
        <f aca="false">IF(AC$3&lt;=Warehouses!$G$9,0,IF(AC4&lt;=Warehouses!$F$9,Warehouses!$D$9*Warehouses!$E$9/4*(1+(INDEX(CPI!$B$2:$H$5,MATCH(Warehouses!$B$9,CPI!$A$2:$A$5,0),MATCH(AC5,CPI!$B$1:$H$1,0))+INDEX(Scenarios!$B$2:$B$3,MATCH(Inputs!$B$3,Scenarios!$A$2:$A$3,0))))^(AC$3/4),IF(AC4&lt;=EOMONTH(Warehouses!$F$9,3*(Inputs!$B$8+INDEX(Scenarios!$C$2:$C$3,MATCH(Inputs!$B$3,Scenarios!$A$2:$A$3,0)))),0,Warehouses!$D$9*Warehouses!$E$9/4*(1+(INDEX(CPI!$B$2:$H$5,MATCH(Warehouses!$B$9,CPI!$A$2:$A$5,0),MATCH(AC5,CPI!$B$1:$H$1,0))+INDEX(Scenarios!$B$2:$B$3,MATCH(Inputs!$B$3,Scenarios!$A$2:$A$3,0))))^(AC$3/4)*(1+Inputs!$B$9))))</f>
        <v>670786.953707156</v>
      </c>
      <c r="AD13" s="0" t="n">
        <f aca="false">IF(AD$3&lt;=Warehouses!$G$9,0,IF(AD4&lt;=Warehouses!$F$9,Warehouses!$D$9*Warehouses!$E$9/4*(1+(INDEX(CPI!$B$2:$H$5,MATCH(Warehouses!$B$9,CPI!$A$2:$A$5,0),MATCH(AD5,CPI!$B$1:$H$1,0))+INDEX(Scenarios!$B$2:$B$3,MATCH(Inputs!$B$3,Scenarios!$A$2:$A$3,0))))^(AD$3/4),IF(AD4&lt;=EOMONTH(Warehouses!$F$9,3*(Inputs!$B$8+INDEX(Scenarios!$C$2:$C$3,MATCH(Inputs!$B$3,Scenarios!$A$2:$A$3,0)))),0,Warehouses!$D$9*Warehouses!$E$9/4*(1+(INDEX(CPI!$B$2:$H$5,MATCH(Warehouses!$B$9,CPI!$A$2:$A$5,0),MATCH(AD5,CPI!$B$1:$H$1,0))+INDEX(Scenarios!$B$2:$B$3,MATCH(Inputs!$B$3,Scenarios!$A$2:$A$3,0))))^(AD$3/4)*(1+Inputs!$B$9))))</f>
        <v>674446.229790022</v>
      </c>
    </row>
    <row r="14" customFormat="false" ht="15" hidden="false" customHeight="false" outlineLevel="0" collapsed="false">
      <c r="A14" s="0" t="s">
        <v>47</v>
      </c>
      <c r="B14" s="0" t="n">
        <f aca="false">B6+B7+B8+B9+B10+B11+B12+B13</f>
        <v>0</v>
      </c>
      <c r="C14" s="0" t="n">
        <f aca="false">C6+C7+C8+C9+C10+C11+C12+C13</f>
        <v>3655035.62568534</v>
      </c>
      <c r="D14" s="0" t="n">
        <f aca="false">D6+D7+D8+D9+D10+D11+D12+D13</f>
        <v>5838871.49029635</v>
      </c>
      <c r="E14" s="0" t="n">
        <f aca="false">E6+E7+E8+E9+E10+E11+E12+E13</f>
        <v>6907358.45653964</v>
      </c>
      <c r="F14" s="0" t="n">
        <f aca="false">F6+F7+F8+F9+F10+F11+F12+F13</f>
        <v>6955176.75</v>
      </c>
      <c r="G14" s="0" t="n">
        <f aca="false">G6+G7+G8+G9+G10+G11+G12+G13</f>
        <v>6357223.9837</v>
      </c>
      <c r="H14" s="0" t="n">
        <f aca="false">H6+H7+H8+H9+H10+H11+H12+H13</f>
        <v>6395786.19078198</v>
      </c>
      <c r="I14" s="0" t="n">
        <f aca="false">I6+I7+I8+I9+I10+I11+I12+I13</f>
        <v>7120506.60180637</v>
      </c>
      <c r="J14" s="0" t="n">
        <f aca="false">J6+J7+J8+J9+J10+J11+J12+J13</f>
        <v>7165480.575</v>
      </c>
      <c r="K14" s="0" t="n">
        <f aca="false">K6+K7+K8+K9+K10+K11+K12+K13</f>
        <v>6406320.32318209</v>
      </c>
      <c r="L14" s="0" t="n">
        <f aca="false">L6+L7+L8+L9+L10+L11+L12+L13</f>
        <v>6444170.34585306</v>
      </c>
      <c r="M14" s="0" t="n">
        <f aca="false">M6+M7+M8+M9+M10+M11+M12+M13</f>
        <v>7323899.80874211</v>
      </c>
      <c r="N14" s="0" t="n">
        <f aca="false">N6+N7+N8+N9+N10+N11+N12+N13</f>
        <v>6290388.50404944</v>
      </c>
      <c r="O14" s="0" t="n">
        <f aca="false">O6+O7+O8+O9+O10+O11+O12+O13</f>
        <v>6312590.73043559</v>
      </c>
      <c r="P14" s="0" t="n">
        <f aca="false">P6+P7+P8+P9+P10+P11+P12+P13</f>
        <v>6577572.13671571</v>
      </c>
      <c r="Q14" s="0" t="n">
        <f aca="false">Q6+Q7+Q8+Q9+Q10+Q11+Q12+Q13</f>
        <v>6612988.62365068</v>
      </c>
      <c r="R14" s="0" t="n">
        <f aca="false">R6+R7+R8+R9+R10+R11+R12+R13</f>
        <v>7680231.23064205</v>
      </c>
      <c r="S14" s="0" t="n">
        <f aca="false">S6+S7+S8+S9+S10+S11+S12+S13</f>
        <v>7698239.7651573</v>
      </c>
      <c r="T14" s="0" t="n">
        <f aca="false">T6+T7+T8+T9+T10+T11+T12+T13</f>
        <v>7740045.17653465</v>
      </c>
      <c r="U14" s="0" t="n">
        <f aca="false">U6+U7+U8+U9+U10+U11+U12+U13</f>
        <v>6453839.97247001</v>
      </c>
      <c r="V14" s="0" t="n">
        <f aca="false">V6+V7+V8+V9+V10+V11+V12+V13</f>
        <v>6489516.91909515</v>
      </c>
      <c r="W14" s="0" t="n">
        <f aca="false">W6+W7+W8+W9+W10+W11+W12+W13</f>
        <v>7357627.53692294</v>
      </c>
      <c r="X14" s="0" t="n">
        <f aca="false">X6+X7+X8+X9+X10+X11+X12+X13</f>
        <v>7396785.35226606</v>
      </c>
      <c r="Y14" s="0" t="n">
        <f aca="false">Y6+Y7+Y8+Y9+Y10+Y11+Y12+Y13</f>
        <v>8096203.17712555</v>
      </c>
      <c r="Z14" s="0" t="n">
        <f aca="false">Z6+Z7+Z8+Z9+Z10+Z11+Z12+Z13</f>
        <v>8139547.82530964</v>
      </c>
      <c r="AA14" s="0" t="n">
        <f aca="false">AA6+AA7+AA8+AA9+AA10+AA11+AA12+AA13</f>
        <v>7363213.2733094</v>
      </c>
      <c r="AB14" s="0" t="n">
        <f aca="false">AB6+AB7+AB8+AB9+AB10+AB11+AB12+AB13</f>
        <v>6135585.45343237</v>
      </c>
      <c r="AC14" s="0" t="n">
        <f aca="false">AC6+AC7+AC8+AC9+AC10+AC11+AC12+AC13</f>
        <v>7046321.4284771</v>
      </c>
      <c r="AD14" s="0" t="n">
        <f aca="false">AD6+AD7+AD8+AD9+AD10+AD11+AD12+AD13</f>
        <v>8465592.86557682</v>
      </c>
    </row>
    <row r="15" customFormat="false" ht="15" hidden="false" customHeight="false" outlineLevel="0" collapsed="false">
      <c r="A15" s="0" t="s">
        <v>48</v>
      </c>
      <c r="B15" s="0" t="n">
        <f aca="false">B14*Inputs!$B$7</f>
        <v>0</v>
      </c>
      <c r="C15" s="0" t="n">
        <f aca="false">C14*Inputs!$B$7</f>
        <v>164476.60315584</v>
      </c>
      <c r="D15" s="0" t="n">
        <f aca="false">D14*Inputs!$B$7</f>
        <v>262749.217063336</v>
      </c>
      <c r="E15" s="0" t="n">
        <f aca="false">E14*Inputs!$B$7</f>
        <v>310831.130544284</v>
      </c>
      <c r="F15" s="0" t="n">
        <f aca="false">F14*Inputs!$B$7</f>
        <v>312982.95375</v>
      </c>
      <c r="G15" s="0" t="n">
        <f aca="false">G14*Inputs!$B$7</f>
        <v>286075.0792665</v>
      </c>
      <c r="H15" s="0" t="n">
        <f aca="false">H14*Inputs!$B$7</f>
        <v>287810.378585189</v>
      </c>
      <c r="I15" s="0" t="n">
        <f aca="false">I14*Inputs!$B$7</f>
        <v>320422.797081287</v>
      </c>
      <c r="J15" s="0" t="n">
        <f aca="false">J14*Inputs!$B$7</f>
        <v>322446.625875</v>
      </c>
      <c r="K15" s="0" t="n">
        <f aca="false">K14*Inputs!$B$7</f>
        <v>288284.414543194</v>
      </c>
      <c r="L15" s="0" t="n">
        <f aca="false">L14*Inputs!$B$7</f>
        <v>289987.665563388</v>
      </c>
      <c r="M15" s="0" t="n">
        <f aca="false">M14*Inputs!$B$7</f>
        <v>329575.491393395</v>
      </c>
      <c r="N15" s="0" t="n">
        <f aca="false">N14*Inputs!$B$7</f>
        <v>283067.482682225</v>
      </c>
      <c r="O15" s="0" t="n">
        <f aca="false">O14*Inputs!$B$7</f>
        <v>284066.582869601</v>
      </c>
      <c r="P15" s="0" t="n">
        <f aca="false">P14*Inputs!$B$7</f>
        <v>295990.746152207</v>
      </c>
      <c r="Q15" s="0" t="n">
        <f aca="false">Q14*Inputs!$B$7</f>
        <v>297584.488064281</v>
      </c>
      <c r="R15" s="0" t="n">
        <f aca="false">R14*Inputs!$B$7</f>
        <v>345610.405378892</v>
      </c>
      <c r="S15" s="0" t="n">
        <f aca="false">S14*Inputs!$B$7</f>
        <v>346420.789432078</v>
      </c>
      <c r="T15" s="0" t="n">
        <f aca="false">T14*Inputs!$B$7</f>
        <v>348302.032944059</v>
      </c>
      <c r="U15" s="0" t="n">
        <f aca="false">U14*Inputs!$B$7</f>
        <v>290422.79876115</v>
      </c>
      <c r="V15" s="0" t="n">
        <f aca="false">V14*Inputs!$B$7</f>
        <v>292028.261359282</v>
      </c>
      <c r="W15" s="0" t="n">
        <f aca="false">W14*Inputs!$B$7</f>
        <v>331093.239161532</v>
      </c>
      <c r="X15" s="0" t="n">
        <f aca="false">X14*Inputs!$B$7</f>
        <v>332855.340851973</v>
      </c>
      <c r="Y15" s="0" t="n">
        <f aca="false">Y14*Inputs!$B$7</f>
        <v>364329.14297065</v>
      </c>
      <c r="Z15" s="0" t="n">
        <f aca="false">Z14*Inputs!$B$7</f>
        <v>366279.652138934</v>
      </c>
      <c r="AA15" s="0" t="n">
        <f aca="false">AA14*Inputs!$B$7</f>
        <v>331344.597298923</v>
      </c>
      <c r="AB15" s="0" t="n">
        <f aca="false">AB14*Inputs!$B$7</f>
        <v>276101.345404457</v>
      </c>
      <c r="AC15" s="0" t="n">
        <f aca="false">AC14*Inputs!$B$7</f>
        <v>317084.464281469</v>
      </c>
      <c r="AD15" s="0" t="n">
        <f aca="false">AD14*Inputs!$B$7</f>
        <v>380951.678950957</v>
      </c>
    </row>
    <row r="16" customFormat="false" ht="15" hidden="false" customHeight="false" outlineLevel="0" collapsed="false">
      <c r="A16" s="0" t="s">
        <v>49</v>
      </c>
      <c r="B16" s="0" t="n">
        <f aca="false">B14-B15</f>
        <v>0</v>
      </c>
      <c r="C16" s="0" t="n">
        <f aca="false">C14-C15</f>
        <v>3490559.0225295</v>
      </c>
      <c r="D16" s="0" t="n">
        <f aca="false">D14-D15</f>
        <v>5576122.27323301</v>
      </c>
      <c r="E16" s="0" t="n">
        <f aca="false">E14-E15</f>
        <v>6596527.32599535</v>
      </c>
      <c r="F16" s="0" t="n">
        <f aca="false">F14-F15</f>
        <v>6642193.79625</v>
      </c>
      <c r="G16" s="0" t="n">
        <f aca="false">G14-G15</f>
        <v>6071148.9044335</v>
      </c>
      <c r="H16" s="0" t="n">
        <f aca="false">H14-H15</f>
        <v>6107975.81219679</v>
      </c>
      <c r="I16" s="0" t="n">
        <f aca="false">I14-I15</f>
        <v>6800083.80472508</v>
      </c>
      <c r="J16" s="0" t="n">
        <f aca="false">J14-J15</f>
        <v>6843033.949125</v>
      </c>
      <c r="K16" s="0" t="n">
        <f aca="false">K14-K15</f>
        <v>6118035.90863889</v>
      </c>
      <c r="L16" s="0" t="n">
        <f aca="false">L14-L15</f>
        <v>6154182.68028967</v>
      </c>
      <c r="M16" s="0" t="n">
        <f aca="false">M14-M15</f>
        <v>6994324.31734871</v>
      </c>
      <c r="N16" s="0" t="n">
        <f aca="false">N14-N15</f>
        <v>6007321.02136722</v>
      </c>
      <c r="O16" s="0" t="n">
        <f aca="false">O14-O15</f>
        <v>6028524.14756599</v>
      </c>
      <c r="P16" s="0" t="n">
        <f aca="false">P14-P15</f>
        <v>6281581.3905635</v>
      </c>
      <c r="Q16" s="0" t="n">
        <f aca="false">Q14-Q15</f>
        <v>6315404.1355864</v>
      </c>
      <c r="R16" s="0" t="n">
        <f aca="false">R14-R15</f>
        <v>7334620.82526316</v>
      </c>
      <c r="S16" s="0" t="n">
        <f aca="false">S14-S15</f>
        <v>7351818.97572522</v>
      </c>
      <c r="T16" s="0" t="n">
        <f aca="false">T14-T15</f>
        <v>7391743.14359059</v>
      </c>
      <c r="U16" s="0" t="n">
        <f aca="false">U14-U15</f>
        <v>6163417.17370886</v>
      </c>
      <c r="V16" s="0" t="n">
        <f aca="false">V14-V15</f>
        <v>6197488.65773587</v>
      </c>
      <c r="W16" s="0" t="n">
        <f aca="false">W14-W15</f>
        <v>7026534.2977614</v>
      </c>
      <c r="X16" s="0" t="n">
        <f aca="false">X14-X15</f>
        <v>7063930.01141409</v>
      </c>
      <c r="Y16" s="0" t="n">
        <f aca="false">Y14-Y15</f>
        <v>7731874.0341549</v>
      </c>
      <c r="Z16" s="0" t="n">
        <f aca="false">Z14-Z15</f>
        <v>7773268.1731707</v>
      </c>
      <c r="AA16" s="0" t="n">
        <f aca="false">AA14-AA15</f>
        <v>7031868.67601048</v>
      </c>
      <c r="AB16" s="0" t="n">
        <f aca="false">AB14-AB15</f>
        <v>5859484.10802791</v>
      </c>
      <c r="AC16" s="0" t="n">
        <f aca="false">AC14-AC15</f>
        <v>6729236.96419563</v>
      </c>
      <c r="AD16" s="0" t="n">
        <f aca="false">AD14-AD15</f>
        <v>8084641.18662587</v>
      </c>
    </row>
    <row r="17" customFormat="false" ht="15" hidden="false" customHeight="false" outlineLevel="0" collapsed="false">
      <c r="A17" s="0" t="s">
        <v>50</v>
      </c>
      <c r="B17" s="0" t="n">
        <f aca="false">-Inputs!$B$5</f>
        <v>-318000000</v>
      </c>
      <c r="C17" s="0" t="n">
        <f aca="false">C16+IF(C$3=28,SUM(B16:C16)/(Inputs!$B$6+INDEX(Scenarios!$D$2:$D$3,MATCH(Inputs!$B$3,Scenarios!$A$2:$A$3,0))),0)</f>
        <v>3490559.0225295</v>
      </c>
      <c r="D17" s="0" t="n">
        <f aca="false">D16+IF(D$3=28,SUM(B16:D16)/(Inputs!$B$6+INDEX(Scenarios!$D$2:$D$3,MATCH(Inputs!$B$3,Scenarios!$A$2:$A$3,0))),0)</f>
        <v>5576122.27323301</v>
      </c>
      <c r="E17" s="0" t="n">
        <f aca="false">E16+IF(E$3=28,SUM(B16:E16)/(Inputs!$B$6+INDEX(Scenarios!$D$2:$D$3,MATCH(Inputs!$B$3,Scenarios!$A$2:$A$3,0))),0)</f>
        <v>6596527.32599535</v>
      </c>
      <c r="F17" s="0" t="n">
        <f aca="false">F16+IF(F$3=28,SUM(C16:F16)/(Inputs!$B$6+INDEX(Scenarios!$D$2:$D$3,MATCH(Inputs!$B$3,Scenarios!$A$2:$A$3,0))),0)</f>
        <v>6642193.79625</v>
      </c>
      <c r="G17" s="0" t="n">
        <f aca="false">G16+IF(G$3=28,SUM(D16:G16)/(Inputs!$B$6+INDEX(Scenarios!$D$2:$D$3,MATCH(Inputs!$B$3,Scenarios!$A$2:$A$3,0))),0)</f>
        <v>6071148.9044335</v>
      </c>
      <c r="H17" s="0" t="n">
        <f aca="false">H16+IF(H$3=28,SUM(E16:H16)/(Inputs!$B$6+INDEX(Scenarios!$D$2:$D$3,MATCH(Inputs!$B$3,Scenarios!$A$2:$A$3,0))),0)</f>
        <v>6107975.81219679</v>
      </c>
      <c r="I17" s="0" t="n">
        <f aca="false">I16+IF(I$3=28,SUM(F16:I16)/(Inputs!$B$6+INDEX(Scenarios!$D$2:$D$3,MATCH(Inputs!$B$3,Scenarios!$A$2:$A$3,0))),0)</f>
        <v>6800083.80472508</v>
      </c>
      <c r="J17" s="0" t="n">
        <f aca="false">J16+IF(J$3=28,SUM(G16:J16)/(Inputs!$B$6+INDEX(Scenarios!$D$2:$D$3,MATCH(Inputs!$B$3,Scenarios!$A$2:$A$3,0))),0)</f>
        <v>6843033.949125</v>
      </c>
      <c r="K17" s="0" t="n">
        <f aca="false">K16+IF(K$3=28,SUM(H16:K16)/(Inputs!$B$6+INDEX(Scenarios!$D$2:$D$3,MATCH(Inputs!$B$3,Scenarios!$A$2:$A$3,0))),0)</f>
        <v>6118035.90863889</v>
      </c>
      <c r="L17" s="0" t="n">
        <f aca="false">L16+IF(L$3=28,SUM(I16:L16)/(Inputs!$B$6+INDEX(Scenarios!$D$2:$D$3,MATCH(Inputs!$B$3,Scenarios!$A$2:$A$3,0))),0)</f>
        <v>6154182.68028967</v>
      </c>
      <c r="M17" s="0" t="n">
        <f aca="false">M16+IF(M$3=28,SUM(J16:M16)/(Inputs!$B$6+INDEX(Scenarios!$D$2:$D$3,MATCH(Inputs!$B$3,Scenarios!$A$2:$A$3,0))),0)</f>
        <v>6994324.31734871</v>
      </c>
      <c r="N17" s="0" t="n">
        <f aca="false">N16+IF(N$3=28,SUM(K16:N16)/(Inputs!$B$6+INDEX(Scenarios!$D$2:$D$3,MATCH(Inputs!$B$3,Scenarios!$A$2:$A$3,0))),0)</f>
        <v>6007321.02136722</v>
      </c>
      <c r="O17" s="0" t="n">
        <f aca="false">O16+IF(O$3=28,SUM(L16:O16)/(Inputs!$B$6+INDEX(Scenarios!$D$2:$D$3,MATCH(Inputs!$B$3,Scenarios!$A$2:$A$3,0))),0)</f>
        <v>6028524.14756599</v>
      </c>
      <c r="P17" s="0" t="n">
        <f aca="false">P16+IF(P$3=28,SUM(M16:P16)/(Inputs!$B$6+INDEX(Scenarios!$D$2:$D$3,MATCH(Inputs!$B$3,Scenarios!$A$2:$A$3,0))),0)</f>
        <v>6281581.3905635</v>
      </c>
      <c r="Q17" s="0" t="n">
        <f aca="false">Q16+IF(Q$3=28,SUM(N16:Q16)/(Inputs!$B$6+INDEX(Scenarios!$D$2:$D$3,MATCH(Inputs!$B$3,Scenarios!$A$2:$A$3,0))),0)</f>
        <v>6315404.1355864</v>
      </c>
      <c r="R17" s="0" t="n">
        <f aca="false">R16+IF(R$3=28,SUM(O16:R16)/(Inputs!$B$6+INDEX(Scenarios!$D$2:$D$3,MATCH(Inputs!$B$3,Scenarios!$A$2:$A$3,0))),0)</f>
        <v>7334620.82526316</v>
      </c>
      <c r="S17" s="0" t="n">
        <f aca="false">S16+IF(S$3=28,SUM(P16:S16)/(Inputs!$B$6+INDEX(Scenarios!$D$2:$D$3,MATCH(Inputs!$B$3,Scenarios!$A$2:$A$3,0))),0)</f>
        <v>7351818.97572522</v>
      </c>
      <c r="T17" s="0" t="n">
        <f aca="false">T16+IF(T$3=28,SUM(Q16:T16)/(Inputs!$B$6+INDEX(Scenarios!$D$2:$D$3,MATCH(Inputs!$B$3,Scenarios!$A$2:$A$3,0))),0)</f>
        <v>7391743.14359059</v>
      </c>
      <c r="U17" s="0" t="n">
        <f aca="false">U16+IF(U$3=28,SUM(R16:U16)/(Inputs!$B$6+INDEX(Scenarios!$D$2:$D$3,MATCH(Inputs!$B$3,Scenarios!$A$2:$A$3,0))),0)</f>
        <v>6163417.17370886</v>
      </c>
      <c r="V17" s="0" t="n">
        <f aca="false">V16+IF(V$3=28,SUM(S16:V16)/(Inputs!$B$6+INDEX(Scenarios!$D$2:$D$3,MATCH(Inputs!$B$3,Scenarios!$A$2:$A$3,0))),0)</f>
        <v>6197488.65773587</v>
      </c>
      <c r="W17" s="0" t="n">
        <f aca="false">W16+IF(W$3=28,SUM(T16:W16)/(Inputs!$B$6+INDEX(Scenarios!$D$2:$D$3,MATCH(Inputs!$B$3,Scenarios!$A$2:$A$3,0))),0)</f>
        <v>7026534.2977614</v>
      </c>
      <c r="X17" s="0" t="n">
        <f aca="false">X16+IF(X$3=28,SUM(U16:X16)/(Inputs!$B$6+INDEX(Scenarios!$D$2:$D$3,MATCH(Inputs!$B$3,Scenarios!$A$2:$A$3,0))),0)</f>
        <v>7063930.01141409</v>
      </c>
      <c r="Y17" s="0" t="n">
        <f aca="false">Y16+IF(Y$3=28,SUM(V16:Y16)/(Inputs!$B$6+INDEX(Scenarios!$D$2:$D$3,MATCH(Inputs!$B$3,Scenarios!$A$2:$A$3,0))),0)</f>
        <v>7731874.0341549</v>
      </c>
      <c r="Z17" s="0" t="n">
        <f aca="false">Z16+IF(Z$3=28,SUM(W16:Z16)/(Inputs!$B$6+INDEX(Scenarios!$D$2:$D$3,MATCH(Inputs!$B$3,Scenarios!$A$2:$A$3,0))),0)</f>
        <v>7773268.1731707</v>
      </c>
      <c r="AA17" s="0" t="n">
        <f aca="false">AA16+IF(AA$3=28,SUM(X16:AA16)/(Inputs!$B$6+INDEX(Scenarios!$D$2:$D$3,MATCH(Inputs!$B$3,Scenarios!$A$2:$A$3,0))),0)</f>
        <v>7031868.67601048</v>
      </c>
      <c r="AB17" s="0" t="n">
        <f aca="false">AB16+IF(AB$3=28,SUM(Y16:AB16)/(Inputs!$B$6+INDEX(Scenarios!$D$2:$D$3,MATCH(Inputs!$B$3,Scenarios!$A$2:$A$3,0))),0)</f>
        <v>5859484.10802791</v>
      </c>
      <c r="AC17" s="0" t="n">
        <f aca="false">AC16+IF(AC$3=28,SUM(Z16:AC16)/(Inputs!$B$6+INDEX(Scenarios!$D$2:$D$3,MATCH(Inputs!$B$3,Scenarios!$A$2:$A$3,0))),0)</f>
        <v>6729236.96419563</v>
      </c>
      <c r="AD17" s="0" t="n">
        <f aca="false">AD16+IF(AD$3=28,SUM(AA16:AD16)/(Inputs!$B$6+INDEX(Scenarios!$D$2:$D$3,MATCH(Inputs!$B$3,Scenarios!$A$2:$A$3,0))),0)</f>
        <v>535803325.660147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51</v>
      </c>
      <c r="B3" s="5" t="n">
        <f aca="false">XIRR('Cash Flow'!$B$17:$AD$17,'Cash Flow'!$B$4:$AD$4)</f>
        <v>0.145396441829445</v>
      </c>
    </row>
    <row r="4" customFormat="false" ht="15" hidden="false" customHeight="false" outlineLevel="0" collapsed="false">
      <c r="A4" s="0" t="s">
        <v>52</v>
      </c>
      <c r="B4" s="5" t="n">
        <f aca="false">SUM('Cash Flow'!$C$16:$F$16)/Inputs!$B$5</f>
        <v>0.0701427748993958</v>
      </c>
    </row>
    <row r="5" customFormat="false" ht="15" hidden="false" customHeight="false" outlineLevel="0" collapsed="false">
      <c r="A5" s="0" t="s">
        <v>53</v>
      </c>
      <c r="B5" s="4" t="n">
        <f aca="false">SUMPRODUCT((Warehouses!$C$2:$C$9="North")*Warehouses!$D$2:$D$9)</f>
        <v>103000</v>
      </c>
    </row>
    <row r="6" customFormat="false" ht="15" hidden="false" customHeight="false" outlineLevel="0" collapsed="false">
      <c r="A6" s="0" t="s">
        <v>54</v>
      </c>
      <c r="B6" s="4" t="n">
        <f aca="false">SUMPRODUCT((Warehouses!$C$2:$C$9="East")*Warehouses!$D$2:$D$9*Warehouses!$E$2:$E$9)</f>
        <v>7945000</v>
      </c>
    </row>
    <row r="7" customFormat="false" ht="15" hidden="false" customHeight="false" outlineLevel="0" collapsed="false">
      <c r="A7" s="0" t="s">
        <v>55</v>
      </c>
      <c r="B7" s="7" t="n">
        <f aca="false">SUMPRODUCT(Warehouses!$D$2:$D$9*Warehouses!$E$2:$E$9,(Warehouses!$F$2:$F$9-Inputs!$B$4)/365.25)/SUMPRODUCT(Warehouses!$D$2:$D$9,Warehouses!$E$2:$E$9)</f>
        <v>3.98364654127828</v>
      </c>
    </row>
    <row r="8" customFormat="false" ht="15" hidden="false" customHeight="false" outlineLevel="0" collapsed="false">
      <c r="A8" s="0" t="s">
        <v>56</v>
      </c>
      <c r="B8" s="4" t="n">
        <f aca="false">SUM('Cash Flow'!$B$17:$AD$17)</f>
        <v>393485629.190755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2026-10-17T22:07:25Z</dcterms:created>
  <dc:creator>openpyxl</dc:creator>
  <dc:description/>
  <dc:language>en-US</dc:language>
  <cp:lastModifiedBy/>
  <dcterms:modified xsi:type="dcterms:W3CDTF">2026-10-17T22:07:25Z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