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nit Mix" sheetId="1" state="visible" r:id="rId3"/>
    <sheet name="Price List" sheetId="2" state="visible" r:id="rId4"/>
    <sheet name="Assumptions" sheetId="3" state="visible" r:id="rId5"/>
    <sheet name="Pro Form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<sst xmlns="http://schemas.openxmlformats.org/spreadsheetml/2006/main" count="42" uniqueCount="38">
  <si>
    <t xml:space="preserve">HARBOR LIGHTS CONDOMINIUMS – FOR-SALE (USD)</t>
  </si>
  <si>
    <t xml:space="preserve">Unit type</t>
  </si>
  <si>
    <t xml:space="preserve">Units</t>
  </si>
  <si>
    <t xml:space="preserve">Avg size (sf)</t>
  </si>
  <si>
    <t xml:space="preserve">Price list key</t>
  </si>
  <si>
    <t xml:space="preserve">Studio</t>
  </si>
  <si>
    <t xml:space="preserve">S</t>
  </si>
  <si>
    <t xml:space="preserve">1BR</t>
  </si>
  <si>
    <t xml:space="preserve">1B</t>
  </si>
  <si>
    <t xml:space="preserve">2BR</t>
  </si>
  <si>
    <t xml:space="preserve">2B</t>
  </si>
  <si>
    <t xml:space="preserve">3BR</t>
  </si>
  <si>
    <t xml:space="preserve">3B</t>
  </si>
  <si>
    <t xml:space="preserve">Key</t>
  </si>
  <si>
    <t xml:space="preserve">Price psf</t>
  </si>
  <si>
    <t xml:space="preserve">Land</t>
  </si>
  <si>
    <t xml:space="preserve">Hard cost per gsf</t>
  </si>
  <si>
    <t xml:space="preserve">Efficiency (sellable / gross)</t>
  </si>
  <si>
    <t xml:space="preserve">Soft costs (% of hard)</t>
  </si>
  <si>
    <t xml:space="preserve">Presale deposits</t>
  </si>
  <si>
    <t xml:space="preserve">Presold before construction</t>
  </si>
  <si>
    <t xml:space="preserve">Sales commission</t>
  </si>
  <si>
    <t xml:space="preserve">Construction loan rate</t>
  </si>
  <si>
    <t xml:space="preserve">Loan to cost</t>
  </si>
  <si>
    <t xml:space="preserve">Build period (months)</t>
  </si>
  <si>
    <t xml:space="preserve">Sellable area (sf)</t>
  </si>
  <si>
    <t xml:space="preserve">Gross sales</t>
  </si>
  <si>
    <t xml:space="preserve">Gross building area (gsf)</t>
  </si>
  <si>
    <t xml:space="preserve">Hard costs</t>
  </si>
  <si>
    <t xml:space="preserve">Soft costs</t>
  </si>
  <si>
    <t xml:space="preserve">Commissions</t>
  </si>
  <si>
    <t xml:space="preserve">Interest</t>
  </si>
  <si>
    <t xml:space="preserve">Total development cost</t>
  </si>
  <si>
    <t xml:space="preserve">Net profit</t>
  </si>
  <si>
    <t xml:space="preserve">Profit on cost</t>
  </si>
  <si>
    <t xml:space="preserve">Margin on GDV</t>
  </si>
  <si>
    <t xml:space="preserve">Deposits held at start</t>
  </si>
  <si>
    <t xml:space="preserve">Unlevered IRR (approx.)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</si>
</sst>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</row>
    <row r="4" customFormat="false" ht="15" hidden="false" customHeight="false" outlineLevel="0" collapsed="false">
      <c r="A4" s="0" t="s">
        <v>5</v>
      </c>
      <c r="B4" s="0" t="n">
        <v>40</v>
      </c>
      <c r="C4" s="0" t="n">
        <v>520</v>
      </c>
      <c r="D4" s="0" t="s">
        <v>6</v>
      </c>
    </row>
    <row r="5" customFormat="false" ht="15" hidden="false" customHeight="false" outlineLevel="0" collapsed="false">
      <c r="A5" s="0" t="s">
        <v>7</v>
      </c>
      <c r="B5" s="0" t="n">
        <v>90</v>
      </c>
      <c r="C5" s="0" t="n">
        <v>760</v>
      </c>
      <c r="D5" s="0" t="s">
        <v>8</v>
      </c>
    </row>
    <row r="6" customFormat="false" ht="15" hidden="false" customHeight="false" outlineLevel="0" collapsed="false">
      <c r="A6" s="0" t="s">
        <v>9</v>
      </c>
      <c r="B6" s="0" t="n">
        <v>70</v>
      </c>
      <c r="C6" s="0" t="n">
        <v>1120</v>
      </c>
      <c r="D6" s="0" t="s">
        <v>10</v>
      </c>
    </row>
    <row r="7" customFormat="false" ht="15" hidden="false" customHeight="false" outlineLevel="0" collapsed="false">
      <c r="A7" s="0" t="s">
        <v>11</v>
      </c>
      <c r="B7" s="0" t="n">
        <v>20</v>
      </c>
      <c r="C7" s="0" t="n">
        <v>1540</v>
      </c>
      <c r="D7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13</v>
      </c>
      <c r="B1" s="0" t="s">
        <v>14</v>
      </c>
    </row>
    <row r="2" customFormat="false" ht="15" hidden="false" customHeight="false" outlineLevel="0" collapsed="false">
      <c r="A2" s="0" t="s">
        <v>6</v>
      </c>
      <c r="B2" s="0" t="n">
        <v>1250</v>
      </c>
    </row>
    <row r="3" customFormat="false" ht="15" hidden="false" customHeight="false" outlineLevel="0" collapsed="false">
      <c r="A3" s="0" t="s">
        <v>8</v>
      </c>
      <c r="B3" s="0" t="n">
        <v>1180</v>
      </c>
    </row>
    <row r="4" customFormat="false" ht="15" hidden="false" customHeight="false" outlineLevel="0" collapsed="false">
      <c r="A4" s="0" t="s">
        <v>10</v>
      </c>
      <c r="B4" s="0" t="n">
        <v>1100</v>
      </c>
    </row>
    <row r="5" customFormat="false" ht="15" hidden="false" customHeight="false" outlineLevel="0" collapsed="false">
      <c r="A5" s="0" t="s">
        <v>12</v>
      </c>
      <c r="B5" s="0" t="n">
        <v>1060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A2" s="0" t="s">
        <v>15</v>
      </c>
      <c r="B2" s="1" t="n">
        <v>38000000</v>
      </c>
    </row>
    <row r="3" customFormat="false" ht="15" hidden="false" customHeight="false" outlineLevel="0" collapsed="false">
      <c r="A3" s="0" t="s">
        <v>16</v>
      </c>
      <c r="B3" s="1" t="n">
        <v>465</v>
      </c>
    </row>
    <row r="4" customFormat="false" ht="15" hidden="false" customHeight="false" outlineLevel="0" collapsed="false">
      <c r="A4" s="0" t="s">
        <v>17</v>
      </c>
      <c r="B4" s="2" t="n">
        <v>0.82</v>
      </c>
    </row>
    <row r="5" customFormat="false" ht="15" hidden="false" customHeight="false" outlineLevel="0" collapsed="false">
      <c r="A5" s="0" t="s">
        <v>18</v>
      </c>
      <c r="B5" s="2" t="n">
        <v>0.18</v>
      </c>
    </row>
    <row r="6" customFormat="false" ht="15" hidden="false" customHeight="false" outlineLevel="0" collapsed="false">
      <c r="A6" s="0" t="s">
        <v>19</v>
      </c>
      <c r="B6" s="2" t="n">
        <v>0.1</v>
      </c>
    </row>
    <row r="7" customFormat="false" ht="15" hidden="false" customHeight="false" outlineLevel="0" collapsed="false">
      <c r="A7" s="0" t="s">
        <v>20</v>
      </c>
      <c r="B7" s="2" t="n">
        <v>0.55</v>
      </c>
    </row>
    <row r="8" customFormat="false" ht="15" hidden="false" customHeight="false" outlineLevel="0" collapsed="false">
      <c r="A8" s="0" t="s">
        <v>21</v>
      </c>
      <c r="B8" s="2" t="n">
        <v>0.035</v>
      </c>
    </row>
    <row r="9" customFormat="false" ht="15" hidden="false" customHeight="false" outlineLevel="0" collapsed="false">
      <c r="A9" s="0" t="s">
        <v>22</v>
      </c>
      <c r="B9" s="2" t="n">
        <v>0.08</v>
      </c>
    </row>
    <row r="10" customFormat="false" ht="15" hidden="false" customHeight="false" outlineLevel="0" collapsed="false">
      <c r="A10" s="0" t="s">
        <v>23</v>
      </c>
      <c r="B10" s="2" t="n">
        <v>0.6</v>
      </c>
    </row>
    <row r="11" customFormat="false" ht="15" hidden="false" customHeight="false" outlineLevel="0" collapsed="false">
      <c r="A11" s="0" t="s">
        <v>24</v>
      </c>
      <c r="B11" s="3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25</v>
      </c>
      <c r="B3" s="1" t="n">
        <f aca="false">SUMPRODUCT('Unit Mix'!B4:B7,'Unit Mix'!C4:C7)</f>
        <v>198400</v>
      </c>
    </row>
    <row r="4" customFormat="false" ht="15" hidden="false" customHeight="false" outlineLevel="0" collapsed="false">
      <c r="A4" s="0" t="s">
        <v>26</v>
      </c>
      <c r="B4" s="1" t="n">
        <f aca="false">SUMPRODUCT('Unit Mix'!B4:B7,'Unit Mix'!C4:C7,INDEX('Price List'!B2:B5,MATCH('Unit Mix'!D4,'Price List'!A2:A5,0))*0+1*(IF('Unit Mix'!D4:D7="S",'Price List'!B2,0)+IF('Unit Mix'!D4:D7="1B",'Price List'!B3,0)+IF('Unit Mix'!D4:D7="2B",'Price List'!B4,0)+IF('Unit Mix'!D4:D7="3B",'Price List'!B5,0)))</f>
        <v>225600000</v>
      </c>
    </row>
    <row r="5" customFormat="false" ht="15" hidden="false" customHeight="false" outlineLevel="0" collapsed="false">
      <c r="A5" s="0" t="s">
        <v>27</v>
      </c>
      <c r="B5" s="1" t="n">
        <f aca="false">B3/Assumptions!$B$4</f>
        <v>241951.219512195</v>
      </c>
    </row>
    <row r="6" customFormat="false" ht="15" hidden="false" customHeight="false" outlineLevel="0" collapsed="false">
      <c r="A6" s="0" t="s">
        <v>28</v>
      </c>
      <c r="B6" s="1" t="n">
        <f aca="false">B5*Assumptions!$B$3</f>
        <v>112507317.073171</v>
      </c>
    </row>
    <row r="7" customFormat="false" ht="15" hidden="false" customHeight="false" outlineLevel="0" collapsed="false">
      <c r="A7" s="0" t="s">
        <v>29</v>
      </c>
      <c r="B7" s="1" t="n">
        <f aca="false">B6*Assumptions!$B$5</f>
        <v>20251317.0731707</v>
      </c>
    </row>
    <row r="8" customFormat="false" ht="15" hidden="false" customHeight="false" outlineLevel="0" collapsed="false">
      <c r="A8" s="0" t="s">
        <v>30</v>
      </c>
      <c r="B8" s="1" t="n">
        <f aca="false">B4*Assumptions!$B$8</f>
        <v>7896000</v>
      </c>
    </row>
    <row r="9" customFormat="false" ht="15" hidden="false" customHeight="false" outlineLevel="0" collapsed="false">
      <c r="A9" s="0" t="s">
        <v>31</v>
      </c>
      <c r="B9" s="1" t="n">
        <f aca="false">(B6+B7)*Assumptions!$B$10*Assumptions!$B$9*Assumptions!$B$11/12*0.5*(1-Assumptions!$B$7*Assumptions!$B$6)</f>
        <v>7527414.55609756</v>
      </c>
    </row>
    <row r="10" customFormat="false" ht="15" hidden="false" customHeight="false" outlineLevel="0" collapsed="false">
      <c r="A10" s="0" t="s">
        <v>32</v>
      </c>
      <c r="B10" s="1" t="n">
        <f aca="false">Assumptions!$B$2+B6+B7+B8+B9</f>
        <v>186182048.702439</v>
      </c>
    </row>
    <row r="11" customFormat="false" ht="15" hidden="false" customHeight="false" outlineLevel="0" collapsed="false">
      <c r="A11" s="0" t="s">
        <v>33</v>
      </c>
      <c r="B11" s="1" t="n">
        <f aca="false">B4-B10</f>
        <v>39417951.297561</v>
      </c>
    </row>
    <row r="12" customFormat="false" ht="15" hidden="false" customHeight="false" outlineLevel="0" collapsed="false">
      <c r="A12" s="0" t="s">
        <v>34</v>
      </c>
      <c r="B12" s="2" t="n">
        <f aca="false">B11/B10</f>
        <v>0.211717249714873</v>
      </c>
    </row>
    <row r="13" customFormat="false" ht="15" hidden="false" customHeight="false" outlineLevel="0" collapsed="false">
      <c r="A13" s="0" t="s">
        <v>35</v>
      </c>
      <c r="B13" s="2" t="n">
        <f aca="false">B11/B4</f>
        <v>0.174724961425359</v>
      </c>
    </row>
    <row r="14" customFormat="false" ht="15" hidden="false" customHeight="false" outlineLevel="0" collapsed="false">
      <c r="A14" s="0" t="s">
        <v>36</v>
      </c>
      <c r="B14" s="1" t="n">
        <f aca="false">B4*Assumptions!$B$7*Assumptions!$B$6</f>
        <v>12408000</v>
      </c>
    </row>
    <row r="15" customFormat="false" ht="15" hidden="false" customHeight="false" outlineLevel="0" collapsed="false">
      <c r="A15" s="0" t="s">
        <v>37</v>
      </c>
      <c r="B15" s="2" t="n">
        <f aca="false">(B4/B10)^(12/(Assumptions!$B$11+6))-1</f>
        <v>0.0661061045746276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2026-10-16T15:32:20Z</dcterms:created>
  <dc:creator>openpyxl</dc:creator>
  <dc:description/>
  <dc:language>en-US</dc:language>
  <cp:lastModifiedBy/>
  <dcterms:modified xsi:type="dcterms:W3CDTF">2026-10-16T15:32:20Z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