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d" sheetId="1" state="visible" r:id="rId3"/>
    <sheet name="Interest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<sst xmlns="http://schemas.openxmlformats.org/spreadsheetml/2006/main" count="87" uniqueCount="87">
  <si>
    <t xml:space="preserve">HELIX SECONDARIES FUND II – EUR</t>
  </si>
  <si>
    <t xml:space="preserve">First close</t>
  </si>
  <si>
    <t xml:space="preserve">Management fee (% of NAV a year)</t>
  </si>
  <si>
    <t xml:space="preserve">Subscription line bridge (quarters)</t>
  </si>
  <si>
    <t xml:space="preserve">Line rate a year</t>
  </si>
  <si>
    <t xml:space="preserve">Preferred return</t>
  </si>
  <si>
    <t xml:space="preserve">Carried interest</t>
  </si>
  <si>
    <t xml:space="preserve">GP catch-up</t>
  </si>
  <si>
    <t xml:space="preserve">Reporting date</t>
  </si>
  <si>
    <t xml:space="preserve">Interest</t>
  </si>
  <si>
    <t xml:space="preserve">Purchase quarter</t>
  </si>
  <si>
    <t xml:space="preserve">NAV at purchase (€)</t>
  </si>
  <si>
    <t xml:space="preserve">Discount to NAV</t>
  </si>
  <si>
    <t xml:space="preserve">Unfunded at purchase (€)</t>
  </si>
  <si>
    <t xml:space="preserve">Calls a year (% of unfunded)</t>
  </si>
  <si>
    <t xml:space="preserve">Distributions a year (% of NAV)</t>
  </si>
  <si>
    <t xml:space="preserve">NAV growth a year</t>
  </si>
  <si>
    <t xml:space="preserve">Fund end (quarter)</t>
  </si>
  <si>
    <t xml:space="preserve">Buyout 2018</t>
  </si>
  <si>
    <t xml:space="preserve">Growth 2019</t>
  </si>
  <si>
    <t xml:space="preserve">Infra 2017</t>
  </si>
  <si>
    <t xml:space="preserve">Venture 2020</t>
  </si>
  <si>
    <t xml:space="preserve">RE debt 2019</t>
  </si>
  <si>
    <t xml:space="preserve">Buyout 2021</t>
  </si>
  <si>
    <t xml:space="preserve">Quarter</t>
  </si>
  <si>
    <t xml:space="preserve">Date</t>
  </si>
  <si>
    <t xml:space="preserve">NAV 1</t>
  </si>
  <si>
    <t xml:space="preserve">Unfunded 1</t>
  </si>
  <si>
    <t xml:space="preserve">Call 1</t>
  </si>
  <si>
    <t xml:space="preserve">Distribution 1</t>
  </si>
  <si>
    <t xml:space="preserve">Purchase 1</t>
  </si>
  <si>
    <t xml:space="preserve">NAV 2</t>
  </si>
  <si>
    <t xml:space="preserve">Unfunded 2</t>
  </si>
  <si>
    <t xml:space="preserve">Call 2</t>
  </si>
  <si>
    <t xml:space="preserve">Distribution 2</t>
  </si>
  <si>
    <t xml:space="preserve">Purchase 2</t>
  </si>
  <si>
    <t xml:space="preserve">NAV 3</t>
  </si>
  <si>
    <t xml:space="preserve">Unfunded 3</t>
  </si>
  <si>
    <t xml:space="preserve">Call 3</t>
  </si>
  <si>
    <t xml:space="preserve">Distribution 3</t>
  </si>
  <si>
    <t xml:space="preserve">Purchase 3</t>
  </si>
  <si>
    <t xml:space="preserve">NAV 4</t>
  </si>
  <si>
    <t xml:space="preserve">Unfunded 4</t>
  </si>
  <si>
    <t xml:space="preserve">Call 4</t>
  </si>
  <si>
    <t xml:space="preserve">Distribution 4</t>
  </si>
  <si>
    <t xml:space="preserve">Purchase 4</t>
  </si>
  <si>
    <t xml:space="preserve">NAV 5</t>
  </si>
  <si>
    <t xml:space="preserve">Unfunded 5</t>
  </si>
  <si>
    <t xml:space="preserve">Call 5</t>
  </si>
  <si>
    <t xml:space="preserve">Distribution 5</t>
  </si>
  <si>
    <t xml:space="preserve">Purchase 5</t>
  </si>
  <si>
    <t xml:space="preserve">NAV 6</t>
  </si>
  <si>
    <t xml:space="preserve">Unfunded 6</t>
  </si>
  <si>
    <t xml:space="preserve">Call 6</t>
  </si>
  <si>
    <t xml:space="preserve">Distribution 6</t>
  </si>
  <si>
    <t xml:space="preserve">Purchase 6</t>
  </si>
  <si>
    <t xml:space="preserve">Purchases</t>
  </si>
  <si>
    <t xml:space="preserve">Calls</t>
  </si>
  <si>
    <t xml:space="preserve">Distributions</t>
  </si>
  <si>
    <t xml:space="preserve">NAV</t>
  </si>
  <si>
    <t xml:space="preserve">Fees</t>
  </si>
  <si>
    <t xml:space="preserve">Investments</t>
  </si>
  <si>
    <t xml:space="preserve">Line drawn</t>
  </si>
  <si>
    <t xml:space="preserve">Line repaid</t>
  </si>
  <si>
    <t xml:space="preserve">Line balance</t>
  </si>
  <si>
    <t xml:space="preserve">Line interest</t>
  </si>
  <si>
    <t xml:space="preserve">LP called</t>
  </si>
  <si>
    <t xml:space="preserve">Net to LPs</t>
  </si>
  <si>
    <t xml:space="preserve">ROC</t>
  </si>
  <si>
    <t xml:space="preserve">Pref account</t>
  </si>
  <si>
    <t xml:space="preserve">Pref paid</t>
  </si>
  <si>
    <t xml:space="preserve">Catch-up</t>
  </si>
  <si>
    <t xml:space="preserve">Split LP</t>
  </si>
  <si>
    <t xml:space="preserve">Split GP</t>
  </si>
  <si>
    <t xml:space="preserve">LP cash flow</t>
  </si>
  <si>
    <t xml:space="preserve">Gross cash flow</t>
  </si>
  <si>
    <t xml:space="preserve">Unfunded exposure</t>
  </si>
  <si>
    <t xml:space="preserve">Net IRR to LPs (XIRR)</t>
  </si>
  <si>
    <t xml:space="preserve">Gross IRR (XIRR)</t>
  </si>
  <si>
    <t xml:space="preserve">TVPI (net)</t>
  </si>
  <si>
    <t xml:space="preserve">DPI at the reporting date</t>
  </si>
  <si>
    <t xml:space="preserve">RVPI at the reporting date</t>
  </si>
  <si>
    <t xml:space="preserve">Discount captured (€)</t>
  </si>
  <si>
    <t xml:space="preserve">Peak unfunded exposure (€)</t>
  </si>
  <si>
    <t xml:space="preserve">GP carry (€)</t>
  </si>
  <si>
    <t xml:space="preserve">Line interest (€)</t>
  </si>
  <si>
    <t xml:space="preserve">LP net profit (€)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</si>
</sst>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0.00%"/>
    <numFmt numFmtId="167" formatCode="0"/>
    <numFmt numFmtId="168" formatCode="0.00\x"/>
    <numFmt numFmtId="169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46203</v>
      </c>
    </row>
    <row r="4" customFormat="false" ht="15" hidden="false" customHeight="false" outlineLevel="0" collapsed="false">
      <c r="A4" s="0" t="s">
        <v>2</v>
      </c>
      <c r="B4" s="2" t="n">
        <v>0.01</v>
      </c>
    </row>
    <row r="5" customFormat="false" ht="15" hidden="false" customHeight="false" outlineLevel="0" collapsed="false">
      <c r="A5" s="0" t="s">
        <v>3</v>
      </c>
      <c r="B5" s="3" t="n">
        <v>2</v>
      </c>
    </row>
    <row r="6" customFormat="false" ht="15" hidden="false" customHeight="false" outlineLevel="0" collapsed="false">
      <c r="A6" s="0" t="s">
        <v>4</v>
      </c>
      <c r="B6" s="2" t="n">
        <v>0.045</v>
      </c>
    </row>
    <row r="7" customFormat="false" ht="15" hidden="false" customHeight="false" outlineLevel="0" collapsed="false">
      <c r="A7" s="0" t="s">
        <v>5</v>
      </c>
      <c r="B7" s="2" t="n">
        <v>0.08</v>
      </c>
    </row>
    <row r="8" customFormat="false" ht="15" hidden="false" customHeight="false" outlineLevel="0" collapsed="false">
      <c r="A8" s="0" t="s">
        <v>6</v>
      </c>
      <c r="B8" s="2" t="n">
        <v>0.125</v>
      </c>
    </row>
    <row r="9" customFormat="false" ht="15" hidden="false" customHeight="false" outlineLevel="0" collapsed="false">
      <c r="A9" s="0" t="s">
        <v>7</v>
      </c>
      <c r="B9" s="2" t="n">
        <v>1</v>
      </c>
    </row>
    <row r="10" customFormat="false" ht="15" hidden="false" customHeight="false" outlineLevel="0" collapsed="false">
      <c r="A10" s="0" t="s">
        <v>8</v>
      </c>
      <c r="B10" s="1" t="n">
        <v>48029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 customFormat="false" ht="15" hidden="false" customHeight="false" outlineLevel="0" collapsed="false">
      <c r="A2" s="0" t="s">
        <v>18</v>
      </c>
      <c r="B2" s="0" t="n">
        <v>1</v>
      </c>
      <c r="C2" s="0" t="n">
        <v>62000000</v>
      </c>
      <c r="D2" s="0" t="n">
        <v>0.12</v>
      </c>
      <c r="E2" s="0" t="n">
        <v>8000000</v>
      </c>
      <c r="F2" s="0" t="n">
        <v>0.3</v>
      </c>
      <c r="G2" s="0" t="n">
        <v>0.18</v>
      </c>
      <c r="H2" s="0" t="n">
        <v>0.06</v>
      </c>
      <c r="I2" s="0" t="n">
        <v>20</v>
      </c>
    </row>
    <row r="3" customFormat="false" ht="15" hidden="false" customHeight="false" outlineLevel="0" collapsed="false">
      <c r="A3" s="0" t="s">
        <v>19</v>
      </c>
      <c r="B3" s="0" t="n">
        <v>2</v>
      </c>
      <c r="C3" s="0" t="n">
        <v>48000000</v>
      </c>
      <c r="D3" s="0" t="n">
        <v>0.18</v>
      </c>
      <c r="E3" s="0" t="n">
        <v>14000000</v>
      </c>
      <c r="F3" s="0" t="n">
        <v>0.35</v>
      </c>
      <c r="G3" s="0" t="n">
        <v>0.12</v>
      </c>
      <c r="H3" s="0" t="n">
        <v>0.08</v>
      </c>
      <c r="I3" s="0" t="n">
        <v>24</v>
      </c>
    </row>
    <row r="4" customFormat="false" ht="15" hidden="false" customHeight="false" outlineLevel="0" collapsed="false">
      <c r="A4" s="0" t="s">
        <v>20</v>
      </c>
      <c r="B4" s="0" t="n">
        <v>2</v>
      </c>
      <c r="C4" s="0" t="n">
        <v>55000000</v>
      </c>
      <c r="D4" s="0" t="n">
        <v>0.07</v>
      </c>
      <c r="E4" s="0" t="n">
        <v>3000000</v>
      </c>
      <c r="F4" s="0" t="n">
        <v>0.4</v>
      </c>
      <c r="G4" s="0" t="n">
        <v>0.1</v>
      </c>
      <c r="H4" s="0" t="n">
        <v>0.04</v>
      </c>
      <c r="I4" s="0" t="n">
        <v>22</v>
      </c>
    </row>
    <row r="5" customFormat="false" ht="15" hidden="false" customHeight="false" outlineLevel="0" collapsed="false">
      <c r="A5" s="0" t="s">
        <v>21</v>
      </c>
      <c r="B5" s="0" t="n">
        <v>4</v>
      </c>
      <c r="C5" s="0" t="n">
        <v>30000000</v>
      </c>
      <c r="D5" s="0" t="n">
        <v>0.3</v>
      </c>
      <c r="E5" s="0" t="n">
        <v>12000000</v>
      </c>
      <c r="F5" s="0" t="n">
        <v>0.3</v>
      </c>
      <c r="G5" s="0" t="n">
        <v>0.06</v>
      </c>
      <c r="H5" s="0" t="n">
        <v>0.1</v>
      </c>
      <c r="I5" s="0" t="n">
        <v>28</v>
      </c>
    </row>
    <row r="6" customFormat="false" ht="15" hidden="false" customHeight="false" outlineLevel="0" collapsed="false">
      <c r="A6" s="0" t="s">
        <v>22</v>
      </c>
      <c r="B6" s="0" t="n">
        <v>5</v>
      </c>
      <c r="C6" s="0" t="n">
        <v>40000000</v>
      </c>
      <c r="D6" s="0" t="n">
        <v>0.09</v>
      </c>
      <c r="E6" s="0" t="n">
        <v>6000000</v>
      </c>
      <c r="F6" s="0" t="n">
        <v>0.5</v>
      </c>
      <c r="G6" s="0" t="n">
        <v>0.2</v>
      </c>
      <c r="H6" s="0" t="n">
        <v>0.03</v>
      </c>
      <c r="I6" s="0" t="n">
        <v>16</v>
      </c>
    </row>
    <row r="7" customFormat="false" ht="15" hidden="false" customHeight="false" outlineLevel="0" collapsed="false">
      <c r="A7" s="0" t="s">
        <v>23</v>
      </c>
      <c r="B7" s="0" t="n">
        <v>7</v>
      </c>
      <c r="C7" s="0" t="n">
        <v>70000000</v>
      </c>
      <c r="D7" s="0" t="n">
        <v>0.15</v>
      </c>
      <c r="E7" s="0" t="n">
        <v>25000000</v>
      </c>
      <c r="F7" s="0" t="n">
        <v>0.3</v>
      </c>
      <c r="G7" s="0" t="n">
        <v>0.08</v>
      </c>
      <c r="H7" s="0" t="n">
        <v>0.07</v>
      </c>
      <c r="I7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</row>
    <row r="4" customFormat="false" ht="15" hidden="false" customHeight="false" outlineLevel="0" collapsed="false">
      <c r="A4" s="0" t="s">
        <v>25</v>
      </c>
      <c r="B4" s="1" t="n">
        <f aca="false">EOMONTH(Fund!$B$3,3*B$3)</f>
        <v>46203</v>
      </c>
      <c r="C4" s="1" t="n">
        <f aca="false">EOMONTH(Fund!$B$3,3*C$3)</f>
        <v>46295</v>
      </c>
      <c r="D4" s="1" t="n">
        <f aca="false">EOMONTH(Fund!$B$3,3*D$3)</f>
        <v>46387</v>
      </c>
      <c r="E4" s="1" t="n">
        <f aca="false">EOMONTH(Fund!$B$3,3*E$3)</f>
        <v>46477</v>
      </c>
      <c r="F4" s="1" t="n">
        <f aca="false">EOMONTH(Fund!$B$3,3*F$3)</f>
        <v>46568</v>
      </c>
      <c r="G4" s="1" t="n">
        <f aca="false">EOMONTH(Fund!$B$3,3*G$3)</f>
        <v>46660</v>
      </c>
      <c r="H4" s="1" t="n">
        <f aca="false">EOMONTH(Fund!$B$3,3*H$3)</f>
        <v>46752</v>
      </c>
      <c r="I4" s="1" t="n">
        <f aca="false">EOMONTH(Fund!$B$3,3*I$3)</f>
        <v>46843</v>
      </c>
      <c r="J4" s="1" t="n">
        <f aca="false">EOMONTH(Fund!$B$3,3*J$3)</f>
        <v>46934</v>
      </c>
      <c r="K4" s="1" t="n">
        <f aca="false">EOMONTH(Fund!$B$3,3*K$3)</f>
        <v>47026</v>
      </c>
      <c r="L4" s="1" t="n">
        <f aca="false">EOMONTH(Fund!$B$3,3*L$3)</f>
        <v>47118</v>
      </c>
      <c r="M4" s="1" t="n">
        <f aca="false">EOMONTH(Fund!$B$3,3*M$3)</f>
        <v>47208</v>
      </c>
      <c r="N4" s="1" t="n">
        <f aca="false">EOMONTH(Fund!$B$3,3*N$3)</f>
        <v>47299</v>
      </c>
      <c r="O4" s="1" t="n">
        <f aca="false">EOMONTH(Fund!$B$3,3*O$3)</f>
        <v>47391</v>
      </c>
      <c r="P4" s="1" t="n">
        <f aca="false">EOMONTH(Fund!$B$3,3*P$3)</f>
        <v>47483</v>
      </c>
      <c r="Q4" s="1" t="n">
        <f aca="false">EOMONTH(Fund!$B$3,3*Q$3)</f>
        <v>47573</v>
      </c>
      <c r="R4" s="1" t="n">
        <f aca="false">EOMONTH(Fund!$B$3,3*R$3)</f>
        <v>47664</v>
      </c>
      <c r="S4" s="1" t="n">
        <f aca="false">EOMONTH(Fund!$B$3,3*S$3)</f>
        <v>47756</v>
      </c>
      <c r="T4" s="1" t="n">
        <f aca="false">EOMONTH(Fund!$B$3,3*T$3)</f>
        <v>47848</v>
      </c>
      <c r="U4" s="1" t="n">
        <f aca="false">EOMONTH(Fund!$B$3,3*U$3)</f>
        <v>47938</v>
      </c>
      <c r="V4" s="1" t="n">
        <f aca="false">EOMONTH(Fund!$B$3,3*V$3)</f>
        <v>48029</v>
      </c>
      <c r="W4" s="1" t="n">
        <f aca="false">EOMONTH(Fund!$B$3,3*W$3)</f>
        <v>48121</v>
      </c>
      <c r="X4" s="1" t="n">
        <f aca="false">EOMONTH(Fund!$B$3,3*X$3)</f>
        <v>48213</v>
      </c>
      <c r="Y4" s="1" t="n">
        <f aca="false">EOMONTH(Fund!$B$3,3*Y$3)</f>
        <v>48304</v>
      </c>
      <c r="Z4" s="1" t="n">
        <f aca="false">EOMONTH(Fund!$B$3,3*Z$3)</f>
        <v>48395</v>
      </c>
      <c r="AA4" s="1" t="n">
        <f aca="false">EOMONTH(Fund!$B$3,3*AA$3)</f>
        <v>48487</v>
      </c>
      <c r="AB4" s="1" t="n">
        <f aca="false">EOMONTH(Fund!$B$3,3*AB$3)</f>
        <v>48579</v>
      </c>
      <c r="AC4" s="1" t="n">
        <f aca="false">EOMONTH(Fund!$B$3,3*AC$3)</f>
        <v>48669</v>
      </c>
      <c r="AD4" s="1" t="n">
        <f aca="false">EOMONTH(Fund!$B$3,3*AD$3)</f>
        <v>48760</v>
      </c>
      <c r="AE4" s="1" t="n">
        <f aca="false">EOMONTH(Fund!$B$3,3*AE$3)</f>
        <v>48852</v>
      </c>
      <c r="AF4" s="1" t="n">
        <f aca="false">EOMONTH(Fund!$B$3,3*AF$3)</f>
        <v>48944</v>
      </c>
      <c r="AG4" s="1" t="n">
        <f aca="false">EOMONTH(Fund!$B$3,3*AG$3)</f>
        <v>49034</v>
      </c>
      <c r="AH4" s="1" t="n">
        <f aca="false">EOMONTH(Fund!$B$3,3*AH$3)</f>
        <v>49125</v>
      </c>
    </row>
    <row r="5" customFormat="false" ht="15" hidden="false" customHeight="false" outlineLevel="0" collapsed="false">
      <c r="A5" s="0" t="s">
        <v>26</v>
      </c>
      <c r="B5" s="0" t="n">
        <f aca="false">IF(B$3=Interests!$B$2,Interests!$C$2,IF(AND(B$3&gt;Interests!$B$2,B$3&lt;Interests!$I$2),0*(1+Interests!$H$2/4)+B7-B8,0))</f>
        <v>0</v>
      </c>
      <c r="C5" s="0" t="n">
        <f aca="false">IF(C$3=Interests!$B$2,Interests!$C$2,IF(AND(C$3&gt;Interests!$B$2,C$3&lt;Interests!$I$2),B5*(1+Interests!$H$2/4)+C7-C8,0))</f>
        <v>62000000</v>
      </c>
      <c r="D5" s="0" t="n">
        <f aca="false">IF(D$3=Interests!$B$2,Interests!$C$2,IF(AND(D$3&gt;Interests!$B$2,D$3&lt;Interests!$I$2),C5*(1+Interests!$H$2/4)+D7-D8,0))</f>
        <v>60740000</v>
      </c>
      <c r="E5" s="0" t="n">
        <f aca="false">IF(E$3=Interests!$B$2,Interests!$C$2,IF(AND(E$3&gt;Interests!$B$2,E$3&lt;Interests!$I$2),D5*(1+Interests!$H$2/4)+E7-E8,0))</f>
        <v>59472800</v>
      </c>
      <c r="F5" s="0" t="n">
        <f aca="false">IF(F$3=Interests!$B$2,Interests!$C$2,IF(AND(F$3&gt;Interests!$B$2,F$3&lt;Interests!$I$2),E5*(1+Interests!$H$2/4)+F7-F8,0))</f>
        <v>58201991</v>
      </c>
      <c r="G5" s="0" t="n">
        <f aca="false">IF(G$3=Interests!$B$2,Interests!$C$2,IF(AND(G$3&gt;Interests!$B$2,G$3&lt;Interests!$I$2),F5*(1+Interests!$H$2/4)+G7-G8,0))</f>
        <v>56930803.145</v>
      </c>
      <c r="H5" s="0" t="n">
        <f aca="false">IF(H$3=Interests!$B$2,Interests!$C$2,IF(AND(H$3&gt;Interests!$B$2,H$3&lt;Interests!$I$2),G5*(1+Interests!$H$2/4)+H7-H8,0))</f>
        <v>55662135.535025</v>
      </c>
      <c r="I5" s="0" t="n">
        <f aca="false">IF(I$3=Interests!$B$2,Interests!$C$2,IF(AND(I$3&gt;Interests!$B$2,I$3&lt;Interests!$I$2),H5*(1+Interests!$H$2/4)+I7-I8,0))</f>
        <v>54398583.7170211</v>
      </c>
      <c r="J5" s="0" t="n">
        <f aca="false">IF(J$3=Interests!$B$2,Interests!$C$2,IF(AND(J$3&gt;Interests!$B$2,J$3&lt;Interests!$I$2),I5*(1+Interests!$H$2/4)+J7-J8,0))</f>
        <v>53142465.0349538</v>
      </c>
      <c r="K5" s="0" t="n">
        <f aca="false">IF(K$3=Interests!$B$2,Interests!$C$2,IF(AND(K$3&gt;Interests!$B$2,K$3&lt;Interests!$I$2),J5*(1+Interests!$H$2/4)+K7-K8,0))</f>
        <v>51895842.0011403</v>
      </c>
      <c r="L5" s="0" t="n">
        <f aca="false">IF(L$3=Interests!$B$2,Interests!$C$2,IF(AND(L$3&gt;Interests!$B$2,L$3&lt;Interests!$I$2),K5*(1+Interests!$H$2/4)+L7-L8,0))</f>
        <v>50660543.8395486</v>
      </c>
      <c r="M5" s="0" t="n">
        <f aca="false">IF(M$3=Interests!$B$2,Interests!$C$2,IF(AND(M$3&gt;Interests!$B$2,M$3&lt;Interests!$I$2),L5*(1+Interests!$H$2/4)+M7-M8,0))</f>
        <v>49438186.3404214</v>
      </c>
      <c r="N5" s="0" t="n">
        <f aca="false">IF(N$3=Interests!$B$2,Interests!$C$2,IF(AND(N$3&gt;Interests!$B$2,N$3&lt;Interests!$I$2),M5*(1+Interests!$H$2/4)+N7-N8,0))</f>
        <v>48230190.1550636</v>
      </c>
      <c r="O5" s="0" t="n">
        <f aca="false">IF(O$3=Interests!$B$2,Interests!$C$2,IF(AND(O$3&gt;Interests!$B$2,O$3&lt;Interests!$I$2),N5*(1+Interests!$H$2/4)+O7-O8,0))</f>
        <v>47037797.6499024</v>
      </c>
      <c r="P5" s="0" t="n">
        <f aca="false">IF(P$3=Interests!$B$2,Interests!$C$2,IF(AND(P$3&gt;Interests!$B$2,P$3&lt;Interests!$I$2),O5*(1+Interests!$H$2/4)+P7-P8,0))</f>
        <v>45862088.4299342</v>
      </c>
      <c r="Q5" s="0" t="n">
        <f aca="false">IF(Q$3=Interests!$B$2,Interests!$C$2,IF(AND(Q$3&gt;Interests!$B$2,Q$3&lt;Interests!$I$2),P5*(1+Interests!$H$2/4)+Q7-Q8,0))</f>
        <v>44703993.6333505</v>
      </c>
      <c r="R5" s="0" t="n">
        <f aca="false">IF(R$3=Interests!$B$2,Interests!$C$2,IF(AND(R$3&gt;Interests!$B$2,R$3&lt;Interests!$I$2),Q5*(1+Interests!$H$2/4)+R7-R8,0))</f>
        <v>43564309.0914406</v>
      </c>
      <c r="S5" s="0" t="n">
        <f aca="false">IF(S$3=Interests!$B$2,Interests!$C$2,IF(AND(S$3&gt;Interests!$B$2,S$3&lt;Interests!$I$2),R5*(1+Interests!$H$2/4)+S7-S8,0))</f>
        <v>42443707.4407563</v>
      </c>
      <c r="T5" s="0" t="n">
        <f aca="false">IF(T$3=Interests!$B$2,Interests!$C$2,IF(AND(T$3&gt;Interests!$B$2,T$3&lt;Interests!$I$2),S5*(1+Interests!$H$2/4)+T7-T8,0))</f>
        <v>41342749.2679381</v>
      </c>
      <c r="U5" s="0" t="n">
        <f aca="false">IF(U$3=Interests!$B$2,Interests!$C$2,IF(AND(U$3&gt;Interests!$B$2,U$3&lt;Interests!$I$2),T5*(1+Interests!$H$2/4)+U7-U8,0))</f>
        <v>40261893.3615241</v>
      </c>
      <c r="V5" s="0" t="n">
        <f aca="false">IF(V$3=Interests!$B$2,Interests!$C$2,IF(AND(V$3&gt;Interests!$B$2,V$3&lt;Interests!$I$2),U5*(1+Interests!$H$2/4)+V7-V8,0))</f>
        <v>0</v>
      </c>
      <c r="W5" s="0" t="n">
        <f aca="false">IF(W$3=Interests!$B$2,Interests!$C$2,IF(AND(W$3&gt;Interests!$B$2,W$3&lt;Interests!$I$2),V5*(1+Interests!$H$2/4)+W7-W8,0))</f>
        <v>0</v>
      </c>
      <c r="X5" s="0" t="n">
        <f aca="false">IF(X$3=Interests!$B$2,Interests!$C$2,IF(AND(X$3&gt;Interests!$B$2,X$3&lt;Interests!$I$2),W5*(1+Interests!$H$2/4)+X7-X8,0))</f>
        <v>0</v>
      </c>
      <c r="Y5" s="0" t="n">
        <f aca="false">IF(Y$3=Interests!$B$2,Interests!$C$2,IF(AND(Y$3&gt;Interests!$B$2,Y$3&lt;Interests!$I$2),X5*(1+Interests!$H$2/4)+Y7-Y8,0))</f>
        <v>0</v>
      </c>
      <c r="Z5" s="0" t="n">
        <f aca="false">IF(Z$3=Interests!$B$2,Interests!$C$2,IF(AND(Z$3&gt;Interests!$B$2,Z$3&lt;Interests!$I$2),Y5*(1+Interests!$H$2/4)+Z7-Z8,0))</f>
        <v>0</v>
      </c>
      <c r="AA5" s="0" t="n">
        <f aca="false">IF(AA$3=Interests!$B$2,Interests!$C$2,IF(AND(AA$3&gt;Interests!$B$2,AA$3&lt;Interests!$I$2),Z5*(1+Interests!$H$2/4)+AA7-AA8,0))</f>
        <v>0</v>
      </c>
      <c r="AB5" s="0" t="n">
        <f aca="false">IF(AB$3=Interests!$B$2,Interests!$C$2,IF(AND(AB$3&gt;Interests!$B$2,AB$3&lt;Interests!$I$2),AA5*(1+Interests!$H$2/4)+AB7-AB8,0))</f>
        <v>0</v>
      </c>
      <c r="AC5" s="0" t="n">
        <f aca="false">IF(AC$3=Interests!$B$2,Interests!$C$2,IF(AND(AC$3&gt;Interests!$B$2,AC$3&lt;Interests!$I$2),AB5*(1+Interests!$H$2/4)+AC7-AC8,0))</f>
        <v>0</v>
      </c>
      <c r="AD5" s="0" t="n">
        <f aca="false">IF(AD$3=Interests!$B$2,Interests!$C$2,IF(AND(AD$3&gt;Interests!$B$2,AD$3&lt;Interests!$I$2),AC5*(1+Interests!$H$2/4)+AD7-AD8,0))</f>
        <v>0</v>
      </c>
      <c r="AE5" s="0" t="n">
        <f aca="false">IF(AE$3=Interests!$B$2,Interests!$C$2,IF(AND(AE$3&gt;Interests!$B$2,AE$3&lt;Interests!$I$2),AD5*(1+Interests!$H$2/4)+AE7-AE8,0))</f>
        <v>0</v>
      </c>
      <c r="AF5" s="0" t="n">
        <f aca="false">IF(AF$3=Interests!$B$2,Interests!$C$2,IF(AND(AF$3&gt;Interests!$B$2,AF$3&lt;Interests!$I$2),AE5*(1+Interests!$H$2/4)+AF7-AF8,0))</f>
        <v>0</v>
      </c>
      <c r="AG5" s="0" t="n">
        <f aca="false">IF(AG$3=Interests!$B$2,Interests!$C$2,IF(AND(AG$3&gt;Interests!$B$2,AG$3&lt;Interests!$I$2),AF5*(1+Interests!$H$2/4)+AG7-AG8,0))</f>
        <v>0</v>
      </c>
      <c r="AH5" s="0" t="n">
        <f aca="false">IF(AH$3=Interests!$B$2,Interests!$C$2,IF(AND(AH$3&gt;Interests!$B$2,AH$3&lt;Interests!$I$2),AG5*(1+Interests!$H$2/4)+AH7-AH8,0))</f>
        <v>0</v>
      </c>
    </row>
    <row r="6" customFormat="false" ht="15" hidden="false" customHeight="false" outlineLevel="0" collapsed="false">
      <c r="A6" s="0" t="s">
        <v>27</v>
      </c>
      <c r="B6" s="0" t="n">
        <f aca="false">IF(B$3=Interests!$B$2,Interests!$E$2,IF(AND(B$3&gt;Interests!$B$2,B$3&lt;Interests!$I$2),0-B7,0))</f>
        <v>0</v>
      </c>
      <c r="C6" s="0" t="n">
        <f aca="false">IF(C$3=Interests!$B$2,Interests!$E$2,IF(AND(C$3&gt;Interests!$B$2,C$3&lt;Interests!$I$2),B6-C7,0))</f>
        <v>8000000</v>
      </c>
      <c r="D6" s="0" t="n">
        <f aca="false">IF(D$3=Interests!$B$2,Interests!$E$2,IF(AND(D$3&gt;Interests!$B$2,D$3&lt;Interests!$I$2),C6-D7,0))</f>
        <v>7400000</v>
      </c>
      <c r="E6" s="0" t="n">
        <f aca="false">IF(E$3=Interests!$B$2,Interests!$E$2,IF(AND(E$3&gt;Interests!$B$2,E$3&lt;Interests!$I$2),D6-E7,0))</f>
        <v>6845000</v>
      </c>
      <c r="F6" s="0" t="n">
        <f aca="false">IF(F$3=Interests!$B$2,Interests!$E$2,IF(AND(F$3&gt;Interests!$B$2,F$3&lt;Interests!$I$2),E6-F7,0))</f>
        <v>6331625</v>
      </c>
      <c r="G6" s="0" t="n">
        <f aca="false">IF(G$3=Interests!$B$2,Interests!$E$2,IF(AND(G$3&gt;Interests!$B$2,G$3&lt;Interests!$I$2),F6-G7,0))</f>
        <v>5856753.125</v>
      </c>
      <c r="H6" s="0" t="n">
        <f aca="false">IF(H$3=Interests!$B$2,Interests!$E$2,IF(AND(H$3&gt;Interests!$B$2,H$3&lt;Interests!$I$2),G6-H7,0))</f>
        <v>5417496.640625</v>
      </c>
      <c r="I6" s="0" t="n">
        <f aca="false">IF(I$3=Interests!$B$2,Interests!$E$2,IF(AND(I$3&gt;Interests!$B$2,I$3&lt;Interests!$I$2),H6-I7,0))</f>
        <v>5011184.39257813</v>
      </c>
      <c r="J6" s="0" t="n">
        <f aca="false">IF(J$3=Interests!$B$2,Interests!$E$2,IF(AND(J$3&gt;Interests!$B$2,J$3&lt;Interests!$I$2),I6-J7,0))</f>
        <v>4635345.56313477</v>
      </c>
      <c r="K6" s="0" t="n">
        <f aca="false">IF(K$3=Interests!$B$2,Interests!$E$2,IF(AND(K$3&gt;Interests!$B$2,K$3&lt;Interests!$I$2),J6-K7,0))</f>
        <v>4287694.64589966</v>
      </c>
      <c r="L6" s="0" t="n">
        <f aca="false">IF(L$3=Interests!$B$2,Interests!$E$2,IF(AND(L$3&gt;Interests!$B$2,L$3&lt;Interests!$I$2),K6-L7,0))</f>
        <v>3966117.54745718</v>
      </c>
      <c r="M6" s="0" t="n">
        <f aca="false">IF(M$3=Interests!$B$2,Interests!$E$2,IF(AND(M$3&gt;Interests!$B$2,M$3&lt;Interests!$I$2),L6-M7,0))</f>
        <v>3668658.7313979</v>
      </c>
      <c r="N6" s="0" t="n">
        <f aca="false">IF(N$3=Interests!$B$2,Interests!$E$2,IF(AND(N$3&gt;Interests!$B$2,N$3&lt;Interests!$I$2),M6-N7,0))</f>
        <v>3393509.32654305</v>
      </c>
      <c r="O6" s="0" t="n">
        <f aca="false">IF(O$3=Interests!$B$2,Interests!$E$2,IF(AND(O$3&gt;Interests!$B$2,O$3&lt;Interests!$I$2),N6-O7,0))</f>
        <v>3138996.12705232</v>
      </c>
      <c r="P6" s="0" t="n">
        <f aca="false">IF(P$3=Interests!$B$2,Interests!$E$2,IF(AND(P$3&gt;Interests!$B$2,P$3&lt;Interests!$I$2),O6-P7,0))</f>
        <v>2903571.4175234</v>
      </c>
      <c r="Q6" s="0" t="n">
        <f aca="false">IF(Q$3=Interests!$B$2,Interests!$E$2,IF(AND(Q$3&gt;Interests!$B$2,Q$3&lt;Interests!$I$2),P6-Q7,0))</f>
        <v>2685803.56120915</v>
      </c>
      <c r="R6" s="0" t="n">
        <f aca="false">IF(R$3=Interests!$B$2,Interests!$E$2,IF(AND(R$3&gt;Interests!$B$2,R$3&lt;Interests!$I$2),Q6-R7,0))</f>
        <v>2484368.29411846</v>
      </c>
      <c r="S6" s="0" t="n">
        <f aca="false">IF(S$3=Interests!$B$2,Interests!$E$2,IF(AND(S$3&gt;Interests!$B$2,S$3&lt;Interests!$I$2),R6-S7,0))</f>
        <v>2298040.67205958</v>
      </c>
      <c r="T6" s="0" t="n">
        <f aca="false">IF(T$3=Interests!$B$2,Interests!$E$2,IF(AND(T$3&gt;Interests!$B$2,T$3&lt;Interests!$I$2),S6-T7,0))</f>
        <v>2125687.62165511</v>
      </c>
      <c r="U6" s="0" t="n">
        <f aca="false">IF(U$3=Interests!$B$2,Interests!$E$2,IF(AND(U$3&gt;Interests!$B$2,U$3&lt;Interests!$I$2),T6-U7,0))</f>
        <v>1966261.05003097</v>
      </c>
      <c r="V6" s="0" t="n">
        <f aca="false">IF(V$3=Interests!$B$2,Interests!$E$2,IF(AND(V$3&gt;Interests!$B$2,V$3&lt;Interests!$I$2),U6-V7,0))</f>
        <v>0</v>
      </c>
      <c r="W6" s="0" t="n">
        <f aca="false">IF(W$3=Interests!$B$2,Interests!$E$2,IF(AND(W$3&gt;Interests!$B$2,W$3&lt;Interests!$I$2),V6-W7,0))</f>
        <v>0</v>
      </c>
      <c r="X6" s="0" t="n">
        <f aca="false">IF(X$3=Interests!$B$2,Interests!$E$2,IF(AND(X$3&gt;Interests!$B$2,X$3&lt;Interests!$I$2),W6-X7,0))</f>
        <v>0</v>
      </c>
      <c r="Y6" s="0" t="n">
        <f aca="false">IF(Y$3=Interests!$B$2,Interests!$E$2,IF(AND(Y$3&gt;Interests!$B$2,Y$3&lt;Interests!$I$2),X6-Y7,0))</f>
        <v>0</v>
      </c>
      <c r="Z6" s="0" t="n">
        <f aca="false">IF(Z$3=Interests!$B$2,Interests!$E$2,IF(AND(Z$3&gt;Interests!$B$2,Z$3&lt;Interests!$I$2),Y6-Z7,0))</f>
        <v>0</v>
      </c>
      <c r="AA6" s="0" t="n">
        <f aca="false">IF(AA$3=Interests!$B$2,Interests!$E$2,IF(AND(AA$3&gt;Interests!$B$2,AA$3&lt;Interests!$I$2),Z6-AA7,0))</f>
        <v>0</v>
      </c>
      <c r="AB6" s="0" t="n">
        <f aca="false">IF(AB$3=Interests!$B$2,Interests!$E$2,IF(AND(AB$3&gt;Interests!$B$2,AB$3&lt;Interests!$I$2),AA6-AB7,0))</f>
        <v>0</v>
      </c>
      <c r="AC6" s="0" t="n">
        <f aca="false">IF(AC$3=Interests!$B$2,Interests!$E$2,IF(AND(AC$3&gt;Interests!$B$2,AC$3&lt;Interests!$I$2),AB6-AC7,0))</f>
        <v>0</v>
      </c>
      <c r="AD6" s="0" t="n">
        <f aca="false">IF(AD$3=Interests!$B$2,Interests!$E$2,IF(AND(AD$3&gt;Interests!$B$2,AD$3&lt;Interests!$I$2),AC6-AD7,0))</f>
        <v>0</v>
      </c>
      <c r="AE6" s="0" t="n">
        <f aca="false">IF(AE$3=Interests!$B$2,Interests!$E$2,IF(AND(AE$3&gt;Interests!$B$2,AE$3&lt;Interests!$I$2),AD6-AE7,0))</f>
        <v>0</v>
      </c>
      <c r="AF6" s="0" t="n">
        <f aca="false">IF(AF$3=Interests!$B$2,Interests!$E$2,IF(AND(AF$3&gt;Interests!$B$2,AF$3&lt;Interests!$I$2),AE6-AF7,0))</f>
        <v>0</v>
      </c>
      <c r="AG6" s="0" t="n">
        <f aca="false">IF(AG$3=Interests!$B$2,Interests!$E$2,IF(AND(AG$3&gt;Interests!$B$2,AG$3&lt;Interests!$I$2),AF6-AG7,0))</f>
        <v>0</v>
      </c>
      <c r="AH6" s="0" t="n">
        <f aca="false">IF(AH$3=Interests!$B$2,Interests!$E$2,IF(AND(AH$3&gt;Interests!$B$2,AH$3&lt;Interests!$I$2),AG6-AH7,0))</f>
        <v>0</v>
      </c>
    </row>
    <row r="7" customFormat="false" ht="15" hidden="false" customHeight="false" outlineLevel="0" collapsed="false">
      <c r="A7" s="0" t="s">
        <v>28</v>
      </c>
      <c r="B7" s="0" t="n">
        <f aca="false">IF(AND(B$3&gt;Interests!$B$2,B$3&lt;Interests!$I$2),0*Interests!$F$2/4,0)</f>
        <v>0</v>
      </c>
      <c r="C7" s="0" t="n">
        <f aca="false">IF(AND(C$3&gt;Interests!$B$2,C$3&lt;Interests!$I$2),B6*Interests!$F$2/4,0)</f>
        <v>0</v>
      </c>
      <c r="D7" s="0" t="n">
        <f aca="false">IF(AND(D$3&gt;Interests!$B$2,D$3&lt;Interests!$I$2),C6*Interests!$F$2/4,0)</f>
        <v>600000</v>
      </c>
      <c r="E7" s="0" t="n">
        <f aca="false">IF(AND(E$3&gt;Interests!$B$2,E$3&lt;Interests!$I$2),D6*Interests!$F$2/4,0)</f>
        <v>555000</v>
      </c>
      <c r="F7" s="0" t="n">
        <f aca="false">IF(AND(F$3&gt;Interests!$B$2,F$3&lt;Interests!$I$2),E6*Interests!$F$2/4,0)</f>
        <v>513375</v>
      </c>
      <c r="G7" s="0" t="n">
        <f aca="false">IF(AND(G$3&gt;Interests!$B$2,G$3&lt;Interests!$I$2),F6*Interests!$F$2/4,0)</f>
        <v>474871.875</v>
      </c>
      <c r="H7" s="0" t="n">
        <f aca="false">IF(AND(H$3&gt;Interests!$B$2,H$3&lt;Interests!$I$2),G6*Interests!$F$2/4,0)</f>
        <v>439256.484375</v>
      </c>
      <c r="I7" s="0" t="n">
        <f aca="false">IF(AND(I$3&gt;Interests!$B$2,I$3&lt;Interests!$I$2),H6*Interests!$F$2/4,0)</f>
        <v>406312.248046875</v>
      </c>
      <c r="J7" s="0" t="n">
        <f aca="false">IF(AND(J$3&gt;Interests!$B$2,J$3&lt;Interests!$I$2),I6*Interests!$F$2/4,0)</f>
        <v>375838.829443359</v>
      </c>
      <c r="K7" s="0" t="n">
        <f aca="false">IF(AND(K$3&gt;Interests!$B$2,K$3&lt;Interests!$I$2),J6*Interests!$F$2/4,0)</f>
        <v>347650.917235107</v>
      </c>
      <c r="L7" s="0" t="n">
        <f aca="false">IF(AND(L$3&gt;Interests!$B$2,L$3&lt;Interests!$I$2),K6*Interests!$F$2/4,0)</f>
        <v>321577.098442474</v>
      </c>
      <c r="M7" s="0" t="n">
        <f aca="false">IF(AND(M$3&gt;Interests!$B$2,M$3&lt;Interests!$I$2),L6*Interests!$F$2/4,0)</f>
        <v>297458.816059289</v>
      </c>
      <c r="N7" s="0" t="n">
        <f aca="false">IF(AND(N$3&gt;Interests!$B$2,N$3&lt;Interests!$I$2),M6*Interests!$F$2/4,0)</f>
        <v>275149.404854842</v>
      </c>
      <c r="O7" s="0" t="n">
        <f aca="false">IF(AND(O$3&gt;Interests!$B$2,O$3&lt;Interests!$I$2),N6*Interests!$F$2/4,0)</f>
        <v>254513.199490729</v>
      </c>
      <c r="P7" s="0" t="n">
        <f aca="false">IF(AND(P$3&gt;Interests!$B$2,P$3&lt;Interests!$I$2),O6*Interests!$F$2/4,0)</f>
        <v>235424.709528924</v>
      </c>
      <c r="Q7" s="0" t="n">
        <f aca="false">IF(AND(Q$3&gt;Interests!$B$2,Q$3&lt;Interests!$I$2),P6*Interests!$F$2/4,0)</f>
        <v>217767.856314255</v>
      </c>
      <c r="R7" s="0" t="n">
        <f aca="false">IF(AND(R$3&gt;Interests!$B$2,R$3&lt;Interests!$I$2),Q6*Interests!$F$2/4,0)</f>
        <v>201435.267090686</v>
      </c>
      <c r="S7" s="0" t="n">
        <f aca="false">IF(AND(S$3&gt;Interests!$B$2,S$3&lt;Interests!$I$2),R6*Interests!$F$2/4,0)</f>
        <v>186327.622058884</v>
      </c>
      <c r="T7" s="0" t="n">
        <f aca="false">IF(AND(T$3&gt;Interests!$B$2,T$3&lt;Interests!$I$2),S6*Interests!$F$2/4,0)</f>
        <v>172353.050404468</v>
      </c>
      <c r="U7" s="0" t="n">
        <f aca="false">IF(AND(U$3&gt;Interests!$B$2,U$3&lt;Interests!$I$2),T6*Interests!$F$2/4,0)</f>
        <v>159426.571624133</v>
      </c>
      <c r="V7" s="0" t="n">
        <f aca="false">IF(AND(V$3&gt;Interests!$B$2,V$3&lt;Interests!$I$2),U6*Interests!$F$2/4,0)</f>
        <v>0</v>
      </c>
      <c r="W7" s="0" t="n">
        <f aca="false">IF(AND(W$3&gt;Interests!$B$2,W$3&lt;Interests!$I$2),V6*Interests!$F$2/4,0)</f>
        <v>0</v>
      </c>
      <c r="X7" s="0" t="n">
        <f aca="false">IF(AND(X$3&gt;Interests!$B$2,X$3&lt;Interests!$I$2),W6*Interests!$F$2/4,0)</f>
        <v>0</v>
      </c>
      <c r="Y7" s="0" t="n">
        <f aca="false">IF(AND(Y$3&gt;Interests!$B$2,Y$3&lt;Interests!$I$2),X6*Interests!$F$2/4,0)</f>
        <v>0</v>
      </c>
      <c r="Z7" s="0" t="n">
        <f aca="false">IF(AND(Z$3&gt;Interests!$B$2,Z$3&lt;Interests!$I$2),Y6*Interests!$F$2/4,0)</f>
        <v>0</v>
      </c>
      <c r="AA7" s="0" t="n">
        <f aca="false">IF(AND(AA$3&gt;Interests!$B$2,AA$3&lt;Interests!$I$2),Z6*Interests!$F$2/4,0)</f>
        <v>0</v>
      </c>
      <c r="AB7" s="0" t="n">
        <f aca="false">IF(AND(AB$3&gt;Interests!$B$2,AB$3&lt;Interests!$I$2),AA6*Interests!$F$2/4,0)</f>
        <v>0</v>
      </c>
      <c r="AC7" s="0" t="n">
        <f aca="false">IF(AND(AC$3&gt;Interests!$B$2,AC$3&lt;Interests!$I$2),AB6*Interests!$F$2/4,0)</f>
        <v>0</v>
      </c>
      <c r="AD7" s="0" t="n">
        <f aca="false">IF(AND(AD$3&gt;Interests!$B$2,AD$3&lt;Interests!$I$2),AC6*Interests!$F$2/4,0)</f>
        <v>0</v>
      </c>
      <c r="AE7" s="0" t="n">
        <f aca="false">IF(AND(AE$3&gt;Interests!$B$2,AE$3&lt;Interests!$I$2),AD6*Interests!$F$2/4,0)</f>
        <v>0</v>
      </c>
      <c r="AF7" s="0" t="n">
        <f aca="false">IF(AND(AF$3&gt;Interests!$B$2,AF$3&lt;Interests!$I$2),AE6*Interests!$F$2/4,0)</f>
        <v>0</v>
      </c>
      <c r="AG7" s="0" t="n">
        <f aca="false">IF(AND(AG$3&gt;Interests!$B$2,AG$3&lt;Interests!$I$2),AF6*Interests!$F$2/4,0)</f>
        <v>0</v>
      </c>
      <c r="AH7" s="0" t="n">
        <f aca="false">IF(AND(AH$3&gt;Interests!$B$2,AH$3&lt;Interests!$I$2),AG6*Interests!$F$2/4,0)</f>
        <v>0</v>
      </c>
    </row>
    <row r="8" customFormat="false" ht="15" hidden="false" customHeight="false" outlineLevel="0" collapsed="false">
      <c r="A8" s="0" t="s">
        <v>29</v>
      </c>
      <c r="B8" s="0" t="n">
        <f aca="false">IF(B$3=Interests!$I$2,0*(1+Interests!$H$2/4)+B7,IF(AND(B$3&gt;Interests!$B$2,B$3&lt;Interests!$I$2),0*Interests!$G$2/4,0))</f>
        <v>0</v>
      </c>
      <c r="C8" s="0" t="n">
        <f aca="false">IF(C$3=Interests!$I$2,B5*(1+Interests!$H$2/4)+C7,IF(AND(C$3&gt;Interests!$B$2,C$3&lt;Interests!$I$2),B5*Interests!$G$2/4,0))</f>
        <v>0</v>
      </c>
      <c r="D8" s="0" t="n">
        <f aca="false">IF(D$3=Interests!$I$2,C5*(1+Interests!$H$2/4)+D7,IF(AND(D$3&gt;Interests!$B$2,D$3&lt;Interests!$I$2),C5*Interests!$G$2/4,0))</f>
        <v>2790000</v>
      </c>
      <c r="E8" s="0" t="n">
        <f aca="false">IF(E$3=Interests!$I$2,D5*(1+Interests!$H$2/4)+E7,IF(AND(E$3&gt;Interests!$B$2,E$3&lt;Interests!$I$2),D5*Interests!$G$2/4,0))</f>
        <v>2733300</v>
      </c>
      <c r="F8" s="0" t="n">
        <f aca="false">IF(F$3=Interests!$I$2,E5*(1+Interests!$H$2/4)+F7,IF(AND(F$3&gt;Interests!$B$2,F$3&lt;Interests!$I$2),E5*Interests!$G$2/4,0))</f>
        <v>2676276</v>
      </c>
      <c r="G8" s="0" t="n">
        <f aca="false">IF(G$3=Interests!$I$2,F5*(1+Interests!$H$2/4)+G7,IF(AND(G$3&gt;Interests!$B$2,G$3&lt;Interests!$I$2),F5*Interests!$G$2/4,0))</f>
        <v>2619089.595</v>
      </c>
      <c r="H8" s="0" t="n">
        <f aca="false">IF(H$3=Interests!$I$2,G5*(1+Interests!$H$2/4)+H7,IF(AND(H$3&gt;Interests!$B$2,H$3&lt;Interests!$I$2),G5*Interests!$G$2/4,0))</f>
        <v>2561886.141525</v>
      </c>
      <c r="I8" s="0" t="n">
        <f aca="false">IF(I$3=Interests!$I$2,H5*(1+Interests!$H$2/4)+I7,IF(AND(I$3&gt;Interests!$B$2,I$3&lt;Interests!$I$2),H5*Interests!$G$2/4,0))</f>
        <v>2504796.09907612</v>
      </c>
      <c r="J8" s="0" t="n">
        <f aca="false">IF(J$3=Interests!$I$2,I5*(1+Interests!$H$2/4)+J7,IF(AND(J$3&gt;Interests!$B$2,J$3&lt;Interests!$I$2),I5*Interests!$G$2/4,0))</f>
        <v>2447936.26726595</v>
      </c>
      <c r="K8" s="0" t="n">
        <f aca="false">IF(K$3=Interests!$I$2,J5*(1+Interests!$H$2/4)+K7,IF(AND(K$3&gt;Interests!$B$2,K$3&lt;Interests!$I$2),J5*Interests!$G$2/4,0))</f>
        <v>2391410.92657292</v>
      </c>
      <c r="L8" s="0" t="n">
        <f aca="false">IF(L$3=Interests!$I$2,K5*(1+Interests!$H$2/4)+L7,IF(AND(L$3&gt;Interests!$B$2,L$3&lt;Interests!$I$2),K5*Interests!$G$2/4,0))</f>
        <v>2335312.89005131</v>
      </c>
      <c r="M8" s="0" t="n">
        <f aca="false">IF(M$3=Interests!$I$2,L5*(1+Interests!$H$2/4)+M7,IF(AND(M$3&gt;Interests!$B$2,M$3&lt;Interests!$I$2),L5*Interests!$G$2/4,0))</f>
        <v>2279724.47277969</v>
      </c>
      <c r="N8" s="0" t="n">
        <f aca="false">IF(N$3=Interests!$I$2,M5*(1+Interests!$H$2/4)+N7,IF(AND(N$3&gt;Interests!$B$2,N$3&lt;Interests!$I$2),M5*Interests!$G$2/4,0))</f>
        <v>2224718.38531896</v>
      </c>
      <c r="O8" s="0" t="n">
        <f aca="false">IF(O$3=Interests!$I$2,N5*(1+Interests!$H$2/4)+O7,IF(AND(O$3&gt;Interests!$B$2,O$3&lt;Interests!$I$2),N5*Interests!$G$2/4,0))</f>
        <v>2170358.55697786</v>
      </c>
      <c r="P8" s="0" t="n">
        <f aca="false">IF(P$3=Interests!$I$2,O5*(1+Interests!$H$2/4)+P7,IF(AND(P$3&gt;Interests!$B$2,P$3&lt;Interests!$I$2),O5*Interests!$G$2/4,0))</f>
        <v>2116700.89424561</v>
      </c>
      <c r="Q8" s="0" t="n">
        <f aca="false">IF(Q$3=Interests!$I$2,P5*(1+Interests!$H$2/4)+Q7,IF(AND(Q$3&gt;Interests!$B$2,Q$3&lt;Interests!$I$2),P5*Interests!$G$2/4,0))</f>
        <v>2063793.97934704</v>
      </c>
      <c r="R8" s="0" t="n">
        <f aca="false">IF(R$3=Interests!$I$2,Q5*(1+Interests!$H$2/4)+R7,IF(AND(R$3&gt;Interests!$B$2,R$3&lt;Interests!$I$2),Q5*Interests!$G$2/4,0))</f>
        <v>2011679.71350077</v>
      </c>
      <c r="S8" s="0" t="n">
        <f aca="false">IF(S$3=Interests!$I$2,R5*(1+Interests!$H$2/4)+S7,IF(AND(S$3&gt;Interests!$B$2,S$3&lt;Interests!$I$2),R5*Interests!$G$2/4,0))</f>
        <v>1960393.90911483</v>
      </c>
      <c r="T8" s="0" t="n">
        <f aca="false">IF(T$3=Interests!$I$2,S5*(1+Interests!$H$2/4)+T7,IF(AND(T$3&gt;Interests!$B$2,T$3&lt;Interests!$I$2),S5*Interests!$G$2/4,0))</f>
        <v>1909966.83483403</v>
      </c>
      <c r="U8" s="0" t="n">
        <f aca="false">IF(U$3=Interests!$I$2,T5*(1+Interests!$H$2/4)+U7,IF(AND(U$3&gt;Interests!$B$2,U$3&lt;Interests!$I$2),T5*Interests!$G$2/4,0))</f>
        <v>1860423.71705721</v>
      </c>
      <c r="V8" s="0" t="n">
        <f aca="false">IF(V$3=Interests!$I$2,U5*(1+Interests!$H$2/4)+V7,IF(AND(V$3&gt;Interests!$B$2,V$3&lt;Interests!$I$2),U5*Interests!$G$2/4,0))</f>
        <v>40865821.7619469</v>
      </c>
      <c r="W8" s="0" t="n">
        <f aca="false">IF(W$3=Interests!$I$2,V5*(1+Interests!$H$2/4)+W7,IF(AND(W$3&gt;Interests!$B$2,W$3&lt;Interests!$I$2),V5*Interests!$G$2/4,0))</f>
        <v>0</v>
      </c>
      <c r="X8" s="0" t="n">
        <f aca="false">IF(X$3=Interests!$I$2,W5*(1+Interests!$H$2/4)+X7,IF(AND(X$3&gt;Interests!$B$2,X$3&lt;Interests!$I$2),W5*Interests!$G$2/4,0))</f>
        <v>0</v>
      </c>
      <c r="Y8" s="0" t="n">
        <f aca="false">IF(Y$3=Interests!$I$2,X5*(1+Interests!$H$2/4)+Y7,IF(AND(Y$3&gt;Interests!$B$2,Y$3&lt;Interests!$I$2),X5*Interests!$G$2/4,0))</f>
        <v>0</v>
      </c>
      <c r="Z8" s="0" t="n">
        <f aca="false">IF(Z$3=Interests!$I$2,Y5*(1+Interests!$H$2/4)+Z7,IF(AND(Z$3&gt;Interests!$B$2,Z$3&lt;Interests!$I$2),Y5*Interests!$G$2/4,0))</f>
        <v>0</v>
      </c>
      <c r="AA8" s="0" t="n">
        <f aca="false">IF(AA$3=Interests!$I$2,Z5*(1+Interests!$H$2/4)+AA7,IF(AND(AA$3&gt;Interests!$B$2,AA$3&lt;Interests!$I$2),Z5*Interests!$G$2/4,0))</f>
        <v>0</v>
      </c>
      <c r="AB8" s="0" t="n">
        <f aca="false">IF(AB$3=Interests!$I$2,AA5*(1+Interests!$H$2/4)+AB7,IF(AND(AB$3&gt;Interests!$B$2,AB$3&lt;Interests!$I$2),AA5*Interests!$G$2/4,0))</f>
        <v>0</v>
      </c>
      <c r="AC8" s="0" t="n">
        <f aca="false">IF(AC$3=Interests!$I$2,AB5*(1+Interests!$H$2/4)+AC7,IF(AND(AC$3&gt;Interests!$B$2,AC$3&lt;Interests!$I$2),AB5*Interests!$G$2/4,0))</f>
        <v>0</v>
      </c>
      <c r="AD8" s="0" t="n">
        <f aca="false">IF(AD$3=Interests!$I$2,AC5*(1+Interests!$H$2/4)+AD7,IF(AND(AD$3&gt;Interests!$B$2,AD$3&lt;Interests!$I$2),AC5*Interests!$G$2/4,0))</f>
        <v>0</v>
      </c>
      <c r="AE8" s="0" t="n">
        <f aca="false">IF(AE$3=Interests!$I$2,AD5*(1+Interests!$H$2/4)+AE7,IF(AND(AE$3&gt;Interests!$B$2,AE$3&lt;Interests!$I$2),AD5*Interests!$G$2/4,0))</f>
        <v>0</v>
      </c>
      <c r="AF8" s="0" t="n">
        <f aca="false">IF(AF$3=Interests!$I$2,AE5*(1+Interests!$H$2/4)+AF7,IF(AND(AF$3&gt;Interests!$B$2,AF$3&lt;Interests!$I$2),AE5*Interests!$G$2/4,0))</f>
        <v>0</v>
      </c>
      <c r="AG8" s="0" t="n">
        <f aca="false">IF(AG$3=Interests!$I$2,AF5*(1+Interests!$H$2/4)+AG7,IF(AND(AG$3&gt;Interests!$B$2,AG$3&lt;Interests!$I$2),AF5*Interests!$G$2/4,0))</f>
        <v>0</v>
      </c>
      <c r="AH8" s="0" t="n">
        <f aca="false">IF(AH$3=Interests!$I$2,AG5*(1+Interests!$H$2/4)+AH7,IF(AND(AH$3&gt;Interests!$B$2,AH$3&lt;Interests!$I$2),AG5*Interests!$G$2/4,0))</f>
        <v>0</v>
      </c>
    </row>
    <row r="9" customFormat="false" ht="15" hidden="false" customHeight="false" outlineLevel="0" collapsed="false">
      <c r="A9" s="0" t="s">
        <v>30</v>
      </c>
      <c r="B9" s="0" t="n">
        <f aca="false">IF(B$3=Interests!$B$2,Interests!$C$2*(1-Interests!$D$2),0)</f>
        <v>0</v>
      </c>
      <c r="C9" s="0" t="n">
        <f aca="false">IF(C$3=Interests!$B$2,Interests!$C$2*(1-Interests!$D$2),0)</f>
        <v>54560000</v>
      </c>
      <c r="D9" s="0" t="n">
        <f aca="false">IF(D$3=Interests!$B$2,Interests!$C$2*(1-Interests!$D$2),0)</f>
        <v>0</v>
      </c>
      <c r="E9" s="0" t="n">
        <f aca="false">IF(E$3=Interests!$B$2,Interests!$C$2*(1-Interests!$D$2),0)</f>
        <v>0</v>
      </c>
      <c r="F9" s="0" t="n">
        <f aca="false">IF(F$3=Interests!$B$2,Interests!$C$2*(1-Interests!$D$2),0)</f>
        <v>0</v>
      </c>
      <c r="G9" s="0" t="n">
        <f aca="false">IF(G$3=Interests!$B$2,Interests!$C$2*(1-Interests!$D$2),0)</f>
        <v>0</v>
      </c>
      <c r="H9" s="0" t="n">
        <f aca="false">IF(H$3=Interests!$B$2,Interests!$C$2*(1-Interests!$D$2),0)</f>
        <v>0</v>
      </c>
      <c r="I9" s="0" t="n">
        <f aca="false">IF(I$3=Interests!$B$2,Interests!$C$2*(1-Interests!$D$2),0)</f>
        <v>0</v>
      </c>
      <c r="J9" s="0" t="n">
        <f aca="false">IF(J$3=Interests!$B$2,Interests!$C$2*(1-Interests!$D$2),0)</f>
        <v>0</v>
      </c>
      <c r="K9" s="0" t="n">
        <f aca="false">IF(K$3=Interests!$B$2,Interests!$C$2*(1-Interests!$D$2),0)</f>
        <v>0</v>
      </c>
      <c r="L9" s="0" t="n">
        <f aca="false">IF(L$3=Interests!$B$2,Interests!$C$2*(1-Interests!$D$2),0)</f>
        <v>0</v>
      </c>
      <c r="M9" s="0" t="n">
        <f aca="false">IF(M$3=Interests!$B$2,Interests!$C$2*(1-Interests!$D$2),0)</f>
        <v>0</v>
      </c>
      <c r="N9" s="0" t="n">
        <f aca="false">IF(N$3=Interests!$B$2,Interests!$C$2*(1-Interests!$D$2),0)</f>
        <v>0</v>
      </c>
      <c r="O9" s="0" t="n">
        <f aca="false">IF(O$3=Interests!$B$2,Interests!$C$2*(1-Interests!$D$2),0)</f>
        <v>0</v>
      </c>
      <c r="P9" s="0" t="n">
        <f aca="false">IF(P$3=Interests!$B$2,Interests!$C$2*(1-Interests!$D$2),0)</f>
        <v>0</v>
      </c>
      <c r="Q9" s="0" t="n">
        <f aca="false">IF(Q$3=Interests!$B$2,Interests!$C$2*(1-Interests!$D$2),0)</f>
        <v>0</v>
      </c>
      <c r="R9" s="0" t="n">
        <f aca="false">IF(R$3=Interests!$B$2,Interests!$C$2*(1-Interests!$D$2),0)</f>
        <v>0</v>
      </c>
      <c r="S9" s="0" t="n">
        <f aca="false">IF(S$3=Interests!$B$2,Interests!$C$2*(1-Interests!$D$2),0)</f>
        <v>0</v>
      </c>
      <c r="T9" s="0" t="n">
        <f aca="false">IF(T$3=Interests!$B$2,Interests!$C$2*(1-Interests!$D$2),0)</f>
        <v>0</v>
      </c>
      <c r="U9" s="0" t="n">
        <f aca="false">IF(U$3=Interests!$B$2,Interests!$C$2*(1-Interests!$D$2),0)</f>
        <v>0</v>
      </c>
      <c r="V9" s="0" t="n">
        <f aca="false">IF(V$3=Interests!$B$2,Interests!$C$2*(1-Interests!$D$2),0)</f>
        <v>0</v>
      </c>
      <c r="W9" s="0" t="n">
        <f aca="false">IF(W$3=Interests!$B$2,Interests!$C$2*(1-Interests!$D$2),0)</f>
        <v>0</v>
      </c>
      <c r="X9" s="0" t="n">
        <f aca="false">IF(X$3=Interests!$B$2,Interests!$C$2*(1-Interests!$D$2),0)</f>
        <v>0</v>
      </c>
      <c r="Y9" s="0" t="n">
        <f aca="false">IF(Y$3=Interests!$B$2,Interests!$C$2*(1-Interests!$D$2),0)</f>
        <v>0</v>
      </c>
      <c r="Z9" s="0" t="n">
        <f aca="false">IF(Z$3=Interests!$B$2,Interests!$C$2*(1-Interests!$D$2),0)</f>
        <v>0</v>
      </c>
      <c r="AA9" s="0" t="n">
        <f aca="false">IF(AA$3=Interests!$B$2,Interests!$C$2*(1-Interests!$D$2),0)</f>
        <v>0</v>
      </c>
      <c r="AB9" s="0" t="n">
        <f aca="false">IF(AB$3=Interests!$B$2,Interests!$C$2*(1-Interests!$D$2),0)</f>
        <v>0</v>
      </c>
      <c r="AC9" s="0" t="n">
        <f aca="false">IF(AC$3=Interests!$B$2,Interests!$C$2*(1-Interests!$D$2),0)</f>
        <v>0</v>
      </c>
      <c r="AD9" s="0" t="n">
        <f aca="false">IF(AD$3=Interests!$B$2,Interests!$C$2*(1-Interests!$D$2),0)</f>
        <v>0</v>
      </c>
      <c r="AE9" s="0" t="n">
        <f aca="false">IF(AE$3=Interests!$B$2,Interests!$C$2*(1-Interests!$D$2),0)</f>
        <v>0</v>
      </c>
      <c r="AF9" s="0" t="n">
        <f aca="false">IF(AF$3=Interests!$B$2,Interests!$C$2*(1-Interests!$D$2),0)</f>
        <v>0</v>
      </c>
      <c r="AG9" s="0" t="n">
        <f aca="false">IF(AG$3=Interests!$B$2,Interests!$C$2*(1-Interests!$D$2),0)</f>
        <v>0</v>
      </c>
      <c r="AH9" s="0" t="n">
        <f aca="false">IF(AH$3=Interests!$B$2,Interests!$C$2*(1-Interests!$D$2),0)</f>
        <v>0</v>
      </c>
    </row>
    <row r="10" customFormat="false" ht="15" hidden="false" customHeight="false" outlineLevel="0" collapsed="false">
      <c r="A10" s="0" t="s">
        <v>31</v>
      </c>
      <c r="B10" s="0" t="n">
        <f aca="false">IF(B$3=Interests!$B$3,Interests!$C$3,IF(AND(B$3&gt;Interests!$B$3,B$3&lt;Interests!$I$3),0*(1+Interests!$H$3/4)+B12-B13,0))</f>
        <v>0</v>
      </c>
      <c r="C10" s="0" t="n">
        <f aca="false">IF(C$3=Interests!$B$3,Interests!$C$3,IF(AND(C$3&gt;Interests!$B$3,C$3&lt;Interests!$I$3),B10*(1+Interests!$H$3/4)+C12-C13,0))</f>
        <v>0</v>
      </c>
      <c r="D10" s="0" t="n">
        <f aca="false">IF(D$3=Interests!$B$3,Interests!$C$3,IF(AND(D$3&gt;Interests!$B$3,D$3&lt;Interests!$I$3),C10*(1+Interests!$H$3/4)+D12-D13,0))</f>
        <v>48000000</v>
      </c>
      <c r="E10" s="0" t="n">
        <f aca="false">IF(E$3=Interests!$B$3,Interests!$C$3,IF(AND(E$3&gt;Interests!$B$3,E$3&lt;Interests!$I$3),D10*(1+Interests!$H$3/4)+E12-E13,0))</f>
        <v>48745000</v>
      </c>
      <c r="F10" s="0" t="n">
        <f aca="false">IF(F$3=Interests!$B$3,Interests!$C$3,IF(AND(F$3&gt;Interests!$B$3,F$3&lt;Interests!$I$3),E10*(1+Interests!$H$3/4)+F12-F13,0))</f>
        <v>49375362.5</v>
      </c>
      <c r="G10" s="0" t="n">
        <f aca="false">IF(G$3=Interests!$B$3,Interests!$C$3,IF(AND(G$3&gt;Interests!$B$3,G$3&lt;Interests!$I$3),F10*(1+Interests!$H$3/4)+G12-G13,0))</f>
        <v>49901612.78125</v>
      </c>
      <c r="H10" s="0" t="n">
        <f aca="false">IF(H$3=Interests!$B$3,Interests!$C$3,IF(AND(H$3&gt;Interests!$B$3,H$3&lt;Interests!$I$3),G10*(1+Interests!$H$3/4)+H12-H13,0))</f>
        <v>50333350.2178906</v>
      </c>
      <c r="I10" s="0" t="n">
        <f aca="false">IF(I$3=Interests!$B$3,Interests!$C$3,IF(AND(I$3&gt;Interests!$B$3,I$3&lt;Interests!$I$3),H10*(1+Interests!$H$3/4)+I12-I13,0))</f>
        <v>50679329.3432752</v>
      </c>
      <c r="J10" s="0" t="n">
        <f aca="false">IF(J$3=Interests!$B$3,Interests!$C$3,IF(AND(J$3&gt;Interests!$B$3,J$3&lt;Interests!$I$3),I10*(1+Interests!$H$3/4)+J12-J13,0))</f>
        <v>50947533.8224941</v>
      </c>
      <c r="K10" s="0" t="n">
        <f aca="false">IF(K$3=Interests!$B$3,Interests!$C$3,IF(AND(K$3&gt;Interests!$B$3,K$3&lt;Interests!$I$3),J10*(1+Interests!$H$3/4)+K12-K13,0))</f>
        <v>51145243.9518138</v>
      </c>
      <c r="L10" s="0" t="n">
        <f aca="false">IF(L$3=Interests!$B$3,Interests!$C$3,IF(AND(L$3&gt;Interests!$B$3,L$3&lt;Interests!$I$3),K10*(1+Interests!$H$3/4)+L12-L13,0))</f>
        <v>51279098.2514302</v>
      </c>
      <c r="M10" s="0" t="n">
        <f aca="false">IF(M$3=Interests!$B$3,Interests!$C$3,IF(AND(M$3&gt;Interests!$B$3,M$3&lt;Interests!$I$3),L10*(1+Interests!$H$3/4)+M12-M13,0))</f>
        <v>51355149.6683761</v>
      </c>
      <c r="N10" s="0" t="n">
        <f aca="false">IF(N$3=Interests!$B$3,Interests!$C$3,IF(AND(N$3&gt;Interests!$B$3,N$3&lt;Interests!$I$3),M10*(1+Interests!$H$3/4)+N12-N13,0))</f>
        <v>51378916.8611998</v>
      </c>
      <c r="O10" s="0" t="n">
        <f aca="false">IF(O$3=Interests!$B$3,Interests!$C$3,IF(AND(O$3&gt;Interests!$B$3,O$3&lt;Interests!$I$3),N10*(1+Interests!$H$3/4)+O12-O13,0))</f>
        <v>51355430.9967634</v>
      </c>
      <c r="P10" s="0" t="n">
        <f aca="false">IF(P$3=Interests!$B$3,Interests!$C$3,IF(AND(P$3&gt;Interests!$B$3,P$3&lt;Interests!$I$3),O10*(1+Interests!$H$3/4)+P12-P13,0))</f>
        <v>51289278.4518559</v>
      </c>
      <c r="Q10" s="0" t="n">
        <f aca="false">IF(Q$3=Interests!$B$3,Interests!$C$3,IF(AND(Q$3&gt;Interests!$B$3,Q$3&lt;Interests!$I$3),P10*(1+Interests!$H$3/4)+Q12-Q13,0))</f>
        <v>51184639.7779548</v>
      </c>
      <c r="R10" s="0" t="n">
        <f aca="false">IF(R$3=Interests!$B$3,Interests!$C$3,IF(AND(R$3&gt;Interests!$B$3,R$3&lt;Interests!$I$3),Q10*(1+Interests!$H$3/4)+R12-R13,0))</f>
        <v>51045325.2561136</v>
      </c>
      <c r="S10" s="0" t="n">
        <f aca="false">IF(S$3=Interests!$B$3,Interests!$C$3,IF(AND(S$3&gt;Interests!$B$3,S$3&lt;Interests!$I$3),R10*(1+Interests!$H$3/4)+S12-S13,0))</f>
        <v>50874807.3403463</v>
      </c>
      <c r="T10" s="0" t="n">
        <f aca="false">IF(T$3=Interests!$B$3,Interests!$C$3,IF(AND(T$3&gt;Interests!$B$3,T$3&lt;Interests!$I$3),S10*(1+Interests!$H$3/4)+T12-T13,0))</f>
        <v>50676250.2617672</v>
      </c>
      <c r="U10" s="0" t="n">
        <f aca="false">IF(U$3=Interests!$B$3,Interests!$C$3,IF(AND(U$3&gt;Interests!$B$3,U$3&lt;Interests!$I$3),T10*(1+Interests!$H$3/4)+U12-U13,0))</f>
        <v>50452537.0419267</v>
      </c>
      <c r="V10" s="0" t="n">
        <f aca="false">IF(V$3=Interests!$B$3,Interests!$C$3,IF(AND(V$3&gt;Interests!$B$3,V$3&lt;Interests!$I$3),U10*(1+Interests!$H$3/4)+V12-V13,0))</f>
        <v>50206294.1420416</v>
      </c>
      <c r="W10" s="0" t="n">
        <f aca="false">IF(W$3=Interests!$B$3,Interests!$C$3,IF(AND(W$3&gt;Interests!$B$3,W$3&lt;Interests!$I$3),V10*(1+Interests!$H$3/4)+W12-W13,0))</f>
        <v>49939913.9549837</v>
      </c>
      <c r="X10" s="0" t="n">
        <f aca="false">IF(X$3=Interests!$B$3,Interests!$C$3,IF(AND(X$3&gt;Interests!$B$3,X$3&lt;Interests!$I$3),W10*(1+Interests!$H$3/4)+X12-X13,0))</f>
        <v>49655575.3287896</v>
      </c>
      <c r="Y10" s="0" t="n">
        <f aca="false">IF(Y$3=Interests!$B$3,Interests!$C$3,IF(AND(Y$3&gt;Interests!$B$3,Y$3&lt;Interests!$I$3),X10*(1+Interests!$H$3/4)+Y12-Y13,0))</f>
        <v>49355262.2939388</v>
      </c>
      <c r="Z10" s="0" t="n">
        <f aca="false">IF(Z$3=Interests!$B$3,Interests!$C$3,IF(AND(Z$3&gt;Interests!$B$3,Z$3&lt;Interests!$I$3),Y10*(1+Interests!$H$3/4)+Z12-Z13,0))</f>
        <v>0</v>
      </c>
      <c r="AA10" s="0" t="n">
        <f aca="false">IF(AA$3=Interests!$B$3,Interests!$C$3,IF(AND(AA$3&gt;Interests!$B$3,AA$3&lt;Interests!$I$3),Z10*(1+Interests!$H$3/4)+AA12-AA13,0))</f>
        <v>0</v>
      </c>
      <c r="AB10" s="0" t="n">
        <f aca="false">IF(AB$3=Interests!$B$3,Interests!$C$3,IF(AND(AB$3&gt;Interests!$B$3,AB$3&lt;Interests!$I$3),AA10*(1+Interests!$H$3/4)+AB12-AB13,0))</f>
        <v>0</v>
      </c>
      <c r="AC10" s="0" t="n">
        <f aca="false">IF(AC$3=Interests!$B$3,Interests!$C$3,IF(AND(AC$3&gt;Interests!$B$3,AC$3&lt;Interests!$I$3),AB10*(1+Interests!$H$3/4)+AC12-AC13,0))</f>
        <v>0</v>
      </c>
      <c r="AD10" s="0" t="n">
        <f aca="false">IF(AD$3=Interests!$B$3,Interests!$C$3,IF(AND(AD$3&gt;Interests!$B$3,AD$3&lt;Interests!$I$3),AC10*(1+Interests!$H$3/4)+AD12-AD13,0))</f>
        <v>0</v>
      </c>
      <c r="AE10" s="0" t="n">
        <f aca="false">IF(AE$3=Interests!$B$3,Interests!$C$3,IF(AND(AE$3&gt;Interests!$B$3,AE$3&lt;Interests!$I$3),AD10*(1+Interests!$H$3/4)+AE12-AE13,0))</f>
        <v>0</v>
      </c>
      <c r="AF10" s="0" t="n">
        <f aca="false">IF(AF$3=Interests!$B$3,Interests!$C$3,IF(AND(AF$3&gt;Interests!$B$3,AF$3&lt;Interests!$I$3),AE10*(1+Interests!$H$3/4)+AF12-AF13,0))</f>
        <v>0</v>
      </c>
      <c r="AG10" s="0" t="n">
        <f aca="false">IF(AG$3=Interests!$B$3,Interests!$C$3,IF(AND(AG$3&gt;Interests!$B$3,AG$3&lt;Interests!$I$3),AF10*(1+Interests!$H$3/4)+AG12-AG13,0))</f>
        <v>0</v>
      </c>
      <c r="AH10" s="0" t="n">
        <f aca="false">IF(AH$3=Interests!$B$3,Interests!$C$3,IF(AND(AH$3&gt;Interests!$B$3,AH$3&lt;Interests!$I$3),AG10*(1+Interests!$H$3/4)+AH12-AH13,0))</f>
        <v>0</v>
      </c>
    </row>
    <row r="11" customFormat="false" ht="15" hidden="false" customHeight="false" outlineLevel="0" collapsed="false">
      <c r="A11" s="0" t="s">
        <v>32</v>
      </c>
      <c r="B11" s="0" t="n">
        <f aca="false">IF(B$3=Interests!$B$3,Interests!$E$3,IF(AND(B$3&gt;Interests!$B$3,B$3&lt;Interests!$I$3),0-B12,0))</f>
        <v>0</v>
      </c>
      <c r="C11" s="0" t="n">
        <f aca="false">IF(C$3=Interests!$B$3,Interests!$E$3,IF(AND(C$3&gt;Interests!$B$3,C$3&lt;Interests!$I$3),B11-C12,0))</f>
        <v>0</v>
      </c>
      <c r="D11" s="0" t="n">
        <f aca="false">IF(D$3=Interests!$B$3,Interests!$E$3,IF(AND(D$3&gt;Interests!$B$3,D$3&lt;Interests!$I$3),C11-D12,0))</f>
        <v>14000000</v>
      </c>
      <c r="E11" s="0" t="n">
        <f aca="false">IF(E$3=Interests!$B$3,Interests!$E$3,IF(AND(E$3&gt;Interests!$B$3,E$3&lt;Interests!$I$3),D11-E12,0))</f>
        <v>12775000</v>
      </c>
      <c r="F11" s="0" t="n">
        <f aca="false">IF(F$3=Interests!$B$3,Interests!$E$3,IF(AND(F$3&gt;Interests!$B$3,F$3&lt;Interests!$I$3),E11-F12,0))</f>
        <v>11657187.5</v>
      </c>
      <c r="G11" s="0" t="n">
        <f aca="false">IF(G$3=Interests!$B$3,Interests!$E$3,IF(AND(G$3&gt;Interests!$B$3,G$3&lt;Interests!$I$3),F11-G12,0))</f>
        <v>10637183.59375</v>
      </c>
      <c r="H11" s="0" t="n">
        <f aca="false">IF(H$3=Interests!$B$3,Interests!$E$3,IF(AND(H$3&gt;Interests!$B$3,H$3&lt;Interests!$I$3),G11-H12,0))</f>
        <v>9706430.02929688</v>
      </c>
      <c r="I11" s="0" t="n">
        <f aca="false">IF(I$3=Interests!$B$3,Interests!$E$3,IF(AND(I$3&gt;Interests!$B$3,I$3&lt;Interests!$I$3),H11-I12,0))</f>
        <v>8857117.4017334</v>
      </c>
      <c r="J11" s="0" t="n">
        <f aca="false">IF(J$3=Interests!$B$3,Interests!$E$3,IF(AND(J$3&gt;Interests!$B$3,J$3&lt;Interests!$I$3),I11-J12,0))</f>
        <v>8082119.62908173</v>
      </c>
      <c r="K11" s="0" t="n">
        <f aca="false">IF(K$3=Interests!$B$3,Interests!$E$3,IF(AND(K$3&gt;Interests!$B$3,K$3&lt;Interests!$I$3),J11-K12,0))</f>
        <v>7374934.16153708</v>
      </c>
      <c r="L11" s="0" t="n">
        <f aca="false">IF(L$3=Interests!$B$3,Interests!$E$3,IF(AND(L$3&gt;Interests!$B$3,L$3&lt;Interests!$I$3),K11-L12,0))</f>
        <v>6729627.42240258</v>
      </c>
      <c r="M11" s="0" t="n">
        <f aca="false">IF(M$3=Interests!$B$3,Interests!$E$3,IF(AND(M$3&gt;Interests!$B$3,M$3&lt;Interests!$I$3),L11-M12,0))</f>
        <v>6140785.02294236</v>
      </c>
      <c r="N11" s="0" t="n">
        <f aca="false">IF(N$3=Interests!$B$3,Interests!$E$3,IF(AND(N$3&gt;Interests!$B$3,N$3&lt;Interests!$I$3),M11-N12,0))</f>
        <v>5603466.3334349</v>
      </c>
      <c r="O11" s="0" t="n">
        <f aca="false">IF(O$3=Interests!$B$3,Interests!$E$3,IF(AND(O$3&gt;Interests!$B$3,O$3&lt;Interests!$I$3),N11-O12,0))</f>
        <v>5113163.02925935</v>
      </c>
      <c r="P11" s="0" t="n">
        <f aca="false">IF(P$3=Interests!$B$3,Interests!$E$3,IF(AND(P$3&gt;Interests!$B$3,P$3&lt;Interests!$I$3),O11-P12,0))</f>
        <v>4665761.26419915</v>
      </c>
      <c r="Q11" s="0" t="n">
        <f aca="false">IF(Q$3=Interests!$B$3,Interests!$E$3,IF(AND(Q$3&gt;Interests!$B$3,Q$3&lt;Interests!$I$3),P11-Q12,0))</f>
        <v>4257507.15358173</v>
      </c>
      <c r="R11" s="0" t="n">
        <f aca="false">IF(R$3=Interests!$B$3,Interests!$E$3,IF(AND(R$3&gt;Interests!$B$3,R$3&lt;Interests!$I$3),Q11-R12,0))</f>
        <v>3884975.27764332</v>
      </c>
      <c r="S11" s="0" t="n">
        <f aca="false">IF(S$3=Interests!$B$3,Interests!$E$3,IF(AND(S$3&gt;Interests!$B$3,S$3&lt;Interests!$I$3),R11-S12,0))</f>
        <v>3545039.94084953</v>
      </c>
      <c r="T11" s="0" t="n">
        <f aca="false">IF(T$3=Interests!$B$3,Interests!$E$3,IF(AND(T$3&gt;Interests!$B$3,T$3&lt;Interests!$I$3),S11-T12,0))</f>
        <v>3234848.9460252</v>
      </c>
      <c r="U11" s="0" t="n">
        <f aca="false">IF(U$3=Interests!$B$3,Interests!$E$3,IF(AND(U$3&gt;Interests!$B$3,U$3&lt;Interests!$I$3),T11-U12,0))</f>
        <v>2951799.66324799</v>
      </c>
      <c r="V11" s="0" t="n">
        <f aca="false">IF(V$3=Interests!$B$3,Interests!$E$3,IF(AND(V$3&gt;Interests!$B$3,V$3&lt;Interests!$I$3),U11-V12,0))</f>
        <v>2693517.19271379</v>
      </c>
      <c r="W11" s="0" t="n">
        <f aca="false">IF(W$3=Interests!$B$3,Interests!$E$3,IF(AND(W$3&gt;Interests!$B$3,W$3&lt;Interests!$I$3),V11-W12,0))</f>
        <v>2457834.43835134</v>
      </c>
      <c r="X11" s="0" t="n">
        <f aca="false">IF(X$3=Interests!$B$3,Interests!$E$3,IF(AND(X$3&gt;Interests!$B$3,X$3&lt;Interests!$I$3),W11-X12,0))</f>
        <v>2242773.9249956</v>
      </c>
      <c r="Y11" s="0" t="n">
        <f aca="false">IF(Y$3=Interests!$B$3,Interests!$E$3,IF(AND(Y$3&gt;Interests!$B$3,Y$3&lt;Interests!$I$3),X11-Y12,0))</f>
        <v>2046531.20655848</v>
      </c>
      <c r="Z11" s="0" t="n">
        <f aca="false">IF(Z$3=Interests!$B$3,Interests!$E$3,IF(AND(Z$3&gt;Interests!$B$3,Z$3&lt;Interests!$I$3),Y11-Z12,0))</f>
        <v>0</v>
      </c>
      <c r="AA11" s="0" t="n">
        <f aca="false">IF(AA$3=Interests!$B$3,Interests!$E$3,IF(AND(AA$3&gt;Interests!$B$3,AA$3&lt;Interests!$I$3),Z11-AA12,0))</f>
        <v>0</v>
      </c>
      <c r="AB11" s="0" t="n">
        <f aca="false">IF(AB$3=Interests!$B$3,Interests!$E$3,IF(AND(AB$3&gt;Interests!$B$3,AB$3&lt;Interests!$I$3),AA11-AB12,0))</f>
        <v>0</v>
      </c>
      <c r="AC11" s="0" t="n">
        <f aca="false">IF(AC$3=Interests!$B$3,Interests!$E$3,IF(AND(AC$3&gt;Interests!$B$3,AC$3&lt;Interests!$I$3),AB11-AC12,0))</f>
        <v>0</v>
      </c>
      <c r="AD11" s="0" t="n">
        <f aca="false">IF(AD$3=Interests!$B$3,Interests!$E$3,IF(AND(AD$3&gt;Interests!$B$3,AD$3&lt;Interests!$I$3),AC11-AD12,0))</f>
        <v>0</v>
      </c>
      <c r="AE11" s="0" t="n">
        <f aca="false">IF(AE$3=Interests!$B$3,Interests!$E$3,IF(AND(AE$3&gt;Interests!$B$3,AE$3&lt;Interests!$I$3),AD11-AE12,0))</f>
        <v>0</v>
      </c>
      <c r="AF11" s="0" t="n">
        <f aca="false">IF(AF$3=Interests!$B$3,Interests!$E$3,IF(AND(AF$3&gt;Interests!$B$3,AF$3&lt;Interests!$I$3),AE11-AF12,0))</f>
        <v>0</v>
      </c>
      <c r="AG11" s="0" t="n">
        <f aca="false">IF(AG$3=Interests!$B$3,Interests!$E$3,IF(AND(AG$3&gt;Interests!$B$3,AG$3&lt;Interests!$I$3),AF11-AG12,0))</f>
        <v>0</v>
      </c>
      <c r="AH11" s="0" t="n">
        <f aca="false">IF(AH$3=Interests!$B$3,Interests!$E$3,IF(AND(AH$3&gt;Interests!$B$3,AH$3&lt;Interests!$I$3),AG11-AH12,0))</f>
        <v>0</v>
      </c>
    </row>
    <row r="12" customFormat="false" ht="15" hidden="false" customHeight="false" outlineLevel="0" collapsed="false">
      <c r="A12" s="0" t="s">
        <v>33</v>
      </c>
      <c r="B12" s="0" t="n">
        <f aca="false">IF(AND(B$3&gt;Interests!$B$3,B$3&lt;Interests!$I$3),0*Interests!$F$3/4,0)</f>
        <v>0</v>
      </c>
      <c r="C12" s="0" t="n">
        <f aca="false">IF(AND(C$3&gt;Interests!$B$3,C$3&lt;Interests!$I$3),B11*Interests!$F$3/4,0)</f>
        <v>0</v>
      </c>
      <c r="D12" s="0" t="n">
        <f aca="false">IF(AND(D$3&gt;Interests!$B$3,D$3&lt;Interests!$I$3),C11*Interests!$F$3/4,0)</f>
        <v>0</v>
      </c>
      <c r="E12" s="0" t="n">
        <f aca="false">IF(AND(E$3&gt;Interests!$B$3,E$3&lt;Interests!$I$3),D11*Interests!$F$3/4,0)</f>
        <v>1225000</v>
      </c>
      <c r="F12" s="0" t="n">
        <f aca="false">IF(AND(F$3&gt;Interests!$B$3,F$3&lt;Interests!$I$3),E11*Interests!$F$3/4,0)</f>
        <v>1117812.5</v>
      </c>
      <c r="G12" s="0" t="n">
        <f aca="false">IF(AND(G$3&gt;Interests!$B$3,G$3&lt;Interests!$I$3),F11*Interests!$F$3/4,0)</f>
        <v>1020003.90625</v>
      </c>
      <c r="H12" s="0" t="n">
        <f aca="false">IF(AND(H$3&gt;Interests!$B$3,H$3&lt;Interests!$I$3),G11*Interests!$F$3/4,0)</f>
        <v>930753.564453125</v>
      </c>
      <c r="I12" s="0" t="n">
        <f aca="false">IF(AND(I$3&gt;Interests!$B$3,I$3&lt;Interests!$I$3),H11*Interests!$F$3/4,0)</f>
        <v>849312.627563477</v>
      </c>
      <c r="J12" s="0" t="n">
        <f aca="false">IF(AND(J$3&gt;Interests!$B$3,J$3&lt;Interests!$I$3),I11*Interests!$F$3/4,0)</f>
        <v>774997.772651672</v>
      </c>
      <c r="K12" s="0" t="n">
        <f aca="false">IF(AND(K$3&gt;Interests!$B$3,K$3&lt;Interests!$I$3),J11*Interests!$F$3/4,0)</f>
        <v>707185.467544651</v>
      </c>
      <c r="L12" s="0" t="n">
        <f aca="false">IF(AND(L$3&gt;Interests!$B$3,L$3&lt;Interests!$I$3),K11*Interests!$F$3/4,0)</f>
        <v>645306.739134494</v>
      </c>
      <c r="M12" s="0" t="n">
        <f aca="false">IF(AND(M$3&gt;Interests!$B$3,M$3&lt;Interests!$I$3),L11*Interests!$F$3/4,0)</f>
        <v>588842.399460226</v>
      </c>
      <c r="N12" s="0" t="n">
        <f aca="false">IF(AND(N$3&gt;Interests!$B$3,N$3&lt;Interests!$I$3),M11*Interests!$F$3/4,0)</f>
        <v>537318.689507456</v>
      </c>
      <c r="O12" s="0" t="n">
        <f aca="false">IF(AND(O$3&gt;Interests!$B$3,O$3&lt;Interests!$I$3),N11*Interests!$F$3/4,0)</f>
        <v>490303.304175554</v>
      </c>
      <c r="P12" s="0" t="n">
        <f aca="false">IF(AND(P$3&gt;Interests!$B$3,P$3&lt;Interests!$I$3),O11*Interests!$F$3/4,0)</f>
        <v>447401.765060193</v>
      </c>
      <c r="Q12" s="0" t="n">
        <f aca="false">IF(AND(Q$3&gt;Interests!$B$3,Q$3&lt;Interests!$I$3),P11*Interests!$F$3/4,0)</f>
        <v>408254.110617426</v>
      </c>
      <c r="R12" s="0" t="n">
        <f aca="false">IF(AND(R$3&gt;Interests!$B$3,R$3&lt;Interests!$I$3),Q11*Interests!$F$3/4,0)</f>
        <v>372531.875938401</v>
      </c>
      <c r="S12" s="0" t="n">
        <f aca="false">IF(AND(S$3&gt;Interests!$B$3,S$3&lt;Interests!$I$3),R11*Interests!$F$3/4,0)</f>
        <v>339935.336793791</v>
      </c>
      <c r="T12" s="0" t="n">
        <f aca="false">IF(AND(T$3&gt;Interests!$B$3,T$3&lt;Interests!$I$3),S11*Interests!$F$3/4,0)</f>
        <v>310190.994824334</v>
      </c>
      <c r="U12" s="0" t="n">
        <f aca="false">IF(AND(U$3&gt;Interests!$B$3,U$3&lt;Interests!$I$3),T11*Interests!$F$3/4,0)</f>
        <v>283049.282777205</v>
      </c>
      <c r="V12" s="0" t="n">
        <f aca="false">IF(AND(V$3&gt;Interests!$B$3,V$3&lt;Interests!$I$3),U11*Interests!$F$3/4,0)</f>
        <v>258282.470534199</v>
      </c>
      <c r="W12" s="0" t="n">
        <f aca="false">IF(AND(W$3&gt;Interests!$B$3,W$3&lt;Interests!$I$3),V11*Interests!$F$3/4,0)</f>
        <v>235682.754362457</v>
      </c>
      <c r="X12" s="0" t="n">
        <f aca="false">IF(AND(X$3&gt;Interests!$B$3,X$3&lt;Interests!$I$3),W11*Interests!$F$3/4,0)</f>
        <v>215060.513355742</v>
      </c>
      <c r="Y12" s="0" t="n">
        <f aca="false">IF(AND(Y$3&gt;Interests!$B$3,Y$3&lt;Interests!$I$3),X11*Interests!$F$3/4,0)</f>
        <v>196242.718437115</v>
      </c>
      <c r="Z12" s="0" t="n">
        <f aca="false">IF(AND(Z$3&gt;Interests!$B$3,Z$3&lt;Interests!$I$3),Y11*Interests!$F$3/4,0)</f>
        <v>0</v>
      </c>
      <c r="AA12" s="0" t="n">
        <f aca="false">IF(AND(AA$3&gt;Interests!$B$3,AA$3&lt;Interests!$I$3),Z11*Interests!$F$3/4,0)</f>
        <v>0</v>
      </c>
      <c r="AB12" s="0" t="n">
        <f aca="false">IF(AND(AB$3&gt;Interests!$B$3,AB$3&lt;Interests!$I$3),AA11*Interests!$F$3/4,0)</f>
        <v>0</v>
      </c>
      <c r="AC12" s="0" t="n">
        <f aca="false">IF(AND(AC$3&gt;Interests!$B$3,AC$3&lt;Interests!$I$3),AB11*Interests!$F$3/4,0)</f>
        <v>0</v>
      </c>
      <c r="AD12" s="0" t="n">
        <f aca="false">IF(AND(AD$3&gt;Interests!$B$3,AD$3&lt;Interests!$I$3),AC11*Interests!$F$3/4,0)</f>
        <v>0</v>
      </c>
      <c r="AE12" s="0" t="n">
        <f aca="false">IF(AND(AE$3&gt;Interests!$B$3,AE$3&lt;Interests!$I$3),AD11*Interests!$F$3/4,0)</f>
        <v>0</v>
      </c>
      <c r="AF12" s="0" t="n">
        <f aca="false">IF(AND(AF$3&gt;Interests!$B$3,AF$3&lt;Interests!$I$3),AE11*Interests!$F$3/4,0)</f>
        <v>0</v>
      </c>
      <c r="AG12" s="0" t="n">
        <f aca="false">IF(AND(AG$3&gt;Interests!$B$3,AG$3&lt;Interests!$I$3),AF11*Interests!$F$3/4,0)</f>
        <v>0</v>
      </c>
      <c r="AH12" s="0" t="n">
        <f aca="false">IF(AND(AH$3&gt;Interests!$B$3,AH$3&lt;Interests!$I$3),AG11*Interests!$F$3/4,0)</f>
        <v>0</v>
      </c>
    </row>
    <row r="13" customFormat="false" ht="15" hidden="false" customHeight="false" outlineLevel="0" collapsed="false">
      <c r="A13" s="0" t="s">
        <v>34</v>
      </c>
      <c r="B13" s="0" t="n">
        <f aca="false">IF(B$3=Interests!$I$3,0*(1+Interests!$H$3/4)+B12,IF(AND(B$3&gt;Interests!$B$3,B$3&lt;Interests!$I$3),0*Interests!$G$3/4,0))</f>
        <v>0</v>
      </c>
      <c r="C13" s="0" t="n">
        <f aca="false">IF(C$3=Interests!$I$3,B10*(1+Interests!$H$3/4)+C12,IF(AND(C$3&gt;Interests!$B$3,C$3&lt;Interests!$I$3),B10*Interests!$G$3/4,0))</f>
        <v>0</v>
      </c>
      <c r="D13" s="0" t="n">
        <f aca="false">IF(D$3=Interests!$I$3,C10*(1+Interests!$H$3/4)+D12,IF(AND(D$3&gt;Interests!$B$3,D$3&lt;Interests!$I$3),C10*Interests!$G$3/4,0))</f>
        <v>0</v>
      </c>
      <c r="E13" s="0" t="n">
        <f aca="false">IF(E$3=Interests!$I$3,D10*(1+Interests!$H$3/4)+E12,IF(AND(E$3&gt;Interests!$B$3,E$3&lt;Interests!$I$3),D10*Interests!$G$3/4,0))</f>
        <v>1440000</v>
      </c>
      <c r="F13" s="0" t="n">
        <f aca="false">IF(F$3=Interests!$I$3,E10*(1+Interests!$H$3/4)+F12,IF(AND(F$3&gt;Interests!$B$3,F$3&lt;Interests!$I$3),E10*Interests!$G$3/4,0))</f>
        <v>1462350</v>
      </c>
      <c r="G13" s="0" t="n">
        <f aca="false">IF(G$3=Interests!$I$3,F10*(1+Interests!$H$3/4)+G12,IF(AND(G$3&gt;Interests!$B$3,G$3&lt;Interests!$I$3),F10*Interests!$G$3/4,0))</f>
        <v>1481260.875</v>
      </c>
      <c r="H13" s="0" t="n">
        <f aca="false">IF(H$3=Interests!$I$3,G10*(1+Interests!$H$3/4)+H12,IF(AND(H$3&gt;Interests!$B$3,H$3&lt;Interests!$I$3),G10*Interests!$G$3/4,0))</f>
        <v>1497048.3834375</v>
      </c>
      <c r="I13" s="0" t="n">
        <f aca="false">IF(I$3=Interests!$I$3,H10*(1+Interests!$H$3/4)+I12,IF(AND(I$3&gt;Interests!$B$3,I$3&lt;Interests!$I$3),H10*Interests!$G$3/4,0))</f>
        <v>1510000.50653672</v>
      </c>
      <c r="J13" s="0" t="n">
        <f aca="false">IF(J$3=Interests!$I$3,I10*(1+Interests!$H$3/4)+J12,IF(AND(J$3&gt;Interests!$B$3,J$3&lt;Interests!$I$3),I10*Interests!$G$3/4,0))</f>
        <v>1520379.88029826</v>
      </c>
      <c r="K13" s="0" t="n">
        <f aca="false">IF(K$3=Interests!$I$3,J10*(1+Interests!$H$3/4)+K12,IF(AND(K$3&gt;Interests!$B$3,K$3&lt;Interests!$I$3),J10*Interests!$G$3/4,0))</f>
        <v>1528426.01467482</v>
      </c>
      <c r="L13" s="0" t="n">
        <f aca="false">IF(L$3=Interests!$I$3,K10*(1+Interests!$H$3/4)+L12,IF(AND(L$3&gt;Interests!$B$3,L$3&lt;Interests!$I$3),K10*Interests!$G$3/4,0))</f>
        <v>1534357.31855442</v>
      </c>
      <c r="M13" s="0" t="n">
        <f aca="false">IF(M$3=Interests!$I$3,L10*(1+Interests!$H$3/4)+M12,IF(AND(M$3&gt;Interests!$B$3,M$3&lt;Interests!$I$3),L10*Interests!$G$3/4,0))</f>
        <v>1538372.94754291</v>
      </c>
      <c r="N13" s="0" t="n">
        <f aca="false">IF(N$3=Interests!$I$3,M10*(1+Interests!$H$3/4)+N12,IF(AND(N$3&gt;Interests!$B$3,N$3&lt;Interests!$I$3),M10*Interests!$G$3/4,0))</f>
        <v>1540654.49005128</v>
      </c>
      <c r="O13" s="0" t="n">
        <f aca="false">IF(O$3=Interests!$I$3,N10*(1+Interests!$H$3/4)+O12,IF(AND(O$3&gt;Interests!$B$3,O$3&lt;Interests!$I$3),N10*Interests!$G$3/4,0))</f>
        <v>1541367.50583599</v>
      </c>
      <c r="P13" s="0" t="n">
        <f aca="false">IF(P$3=Interests!$I$3,O10*(1+Interests!$H$3/4)+P12,IF(AND(P$3&gt;Interests!$B$3,P$3&lt;Interests!$I$3),O10*Interests!$G$3/4,0))</f>
        <v>1540662.9299029</v>
      </c>
      <c r="Q13" s="0" t="n">
        <f aca="false">IF(Q$3=Interests!$I$3,P10*(1+Interests!$H$3/4)+Q12,IF(AND(Q$3&gt;Interests!$B$3,Q$3&lt;Interests!$I$3),P10*Interests!$G$3/4,0))</f>
        <v>1538678.35355568</v>
      </c>
      <c r="R13" s="0" t="n">
        <f aca="false">IF(R$3=Interests!$I$3,Q10*(1+Interests!$H$3/4)+R12,IF(AND(R$3&gt;Interests!$B$3,R$3&lt;Interests!$I$3),Q10*Interests!$G$3/4,0))</f>
        <v>1535539.19333864</v>
      </c>
      <c r="S13" s="0" t="n">
        <f aca="false">IF(S$3=Interests!$I$3,R10*(1+Interests!$H$3/4)+S12,IF(AND(S$3&gt;Interests!$B$3,S$3&lt;Interests!$I$3),R10*Interests!$G$3/4,0))</f>
        <v>1531359.75768341</v>
      </c>
      <c r="T13" s="0" t="n">
        <f aca="false">IF(T$3=Interests!$I$3,S10*(1+Interests!$H$3/4)+T12,IF(AND(T$3&gt;Interests!$B$3,T$3&lt;Interests!$I$3),S10*Interests!$G$3/4,0))</f>
        <v>1526244.22021039</v>
      </c>
      <c r="U13" s="0" t="n">
        <f aca="false">IF(U$3=Interests!$I$3,T10*(1+Interests!$H$3/4)+U12,IF(AND(U$3&gt;Interests!$B$3,U$3&lt;Interests!$I$3),T10*Interests!$G$3/4,0))</f>
        <v>1520287.50785301</v>
      </c>
      <c r="V13" s="0" t="n">
        <f aca="false">IF(V$3=Interests!$I$3,U10*(1+Interests!$H$3/4)+V12,IF(AND(V$3&gt;Interests!$B$3,V$3&lt;Interests!$I$3),U10*Interests!$G$3/4,0))</f>
        <v>1513576.1112578</v>
      </c>
      <c r="W13" s="0" t="n">
        <f aca="false">IF(W$3=Interests!$I$3,V10*(1+Interests!$H$3/4)+W12,IF(AND(W$3&gt;Interests!$B$3,W$3&lt;Interests!$I$3),V10*Interests!$G$3/4,0))</f>
        <v>1506188.82426125</v>
      </c>
      <c r="X13" s="0" t="n">
        <f aca="false">IF(X$3=Interests!$I$3,W10*(1+Interests!$H$3/4)+X12,IF(AND(X$3&gt;Interests!$B$3,X$3&lt;Interests!$I$3),W10*Interests!$G$3/4,0))</f>
        <v>1498197.41864951</v>
      </c>
      <c r="Y13" s="0" t="n">
        <f aca="false">IF(Y$3=Interests!$I$3,X10*(1+Interests!$H$3/4)+Y12,IF(AND(Y$3&gt;Interests!$B$3,Y$3&lt;Interests!$I$3),X10*Interests!$G$3/4,0))</f>
        <v>1489667.25986369</v>
      </c>
      <c r="Z13" s="0" t="n">
        <f aca="false">IF(Z$3=Interests!$I$3,Y10*(1+Interests!$H$3/4)+Z12,IF(AND(Z$3&gt;Interests!$B$3,Z$3&lt;Interests!$I$3),Y10*Interests!$G$3/4,0))</f>
        <v>50342367.5398176</v>
      </c>
      <c r="AA13" s="0" t="n">
        <f aca="false">IF(AA$3=Interests!$I$3,Z10*(1+Interests!$H$3/4)+AA12,IF(AND(AA$3&gt;Interests!$B$3,AA$3&lt;Interests!$I$3),Z10*Interests!$G$3/4,0))</f>
        <v>0</v>
      </c>
      <c r="AB13" s="0" t="n">
        <f aca="false">IF(AB$3=Interests!$I$3,AA10*(1+Interests!$H$3/4)+AB12,IF(AND(AB$3&gt;Interests!$B$3,AB$3&lt;Interests!$I$3),AA10*Interests!$G$3/4,0))</f>
        <v>0</v>
      </c>
      <c r="AC13" s="0" t="n">
        <f aca="false">IF(AC$3=Interests!$I$3,AB10*(1+Interests!$H$3/4)+AC12,IF(AND(AC$3&gt;Interests!$B$3,AC$3&lt;Interests!$I$3),AB10*Interests!$G$3/4,0))</f>
        <v>0</v>
      </c>
      <c r="AD13" s="0" t="n">
        <f aca="false">IF(AD$3=Interests!$I$3,AC10*(1+Interests!$H$3/4)+AD12,IF(AND(AD$3&gt;Interests!$B$3,AD$3&lt;Interests!$I$3),AC10*Interests!$G$3/4,0))</f>
        <v>0</v>
      </c>
      <c r="AE13" s="0" t="n">
        <f aca="false">IF(AE$3=Interests!$I$3,AD10*(1+Interests!$H$3/4)+AE12,IF(AND(AE$3&gt;Interests!$B$3,AE$3&lt;Interests!$I$3),AD10*Interests!$G$3/4,0))</f>
        <v>0</v>
      </c>
      <c r="AF13" s="0" t="n">
        <f aca="false">IF(AF$3=Interests!$I$3,AE10*(1+Interests!$H$3/4)+AF12,IF(AND(AF$3&gt;Interests!$B$3,AF$3&lt;Interests!$I$3),AE10*Interests!$G$3/4,0))</f>
        <v>0</v>
      </c>
      <c r="AG13" s="0" t="n">
        <f aca="false">IF(AG$3=Interests!$I$3,AF10*(1+Interests!$H$3/4)+AG12,IF(AND(AG$3&gt;Interests!$B$3,AG$3&lt;Interests!$I$3),AF10*Interests!$G$3/4,0))</f>
        <v>0</v>
      </c>
      <c r="AH13" s="0" t="n">
        <f aca="false">IF(AH$3=Interests!$I$3,AG10*(1+Interests!$H$3/4)+AH12,IF(AND(AH$3&gt;Interests!$B$3,AH$3&lt;Interests!$I$3),AG10*Interests!$G$3/4,0))</f>
        <v>0</v>
      </c>
    </row>
    <row r="14" customFormat="false" ht="15" hidden="false" customHeight="false" outlineLevel="0" collapsed="false">
      <c r="A14" s="0" t="s">
        <v>35</v>
      </c>
      <c r="B14" s="0" t="n">
        <f aca="false">IF(B$3=Interests!$B$3,Interests!$C$3*(1-Interests!$D$3),0)</f>
        <v>0</v>
      </c>
      <c r="C14" s="0" t="n">
        <f aca="false">IF(C$3=Interests!$B$3,Interests!$C$3*(1-Interests!$D$3),0)</f>
        <v>0</v>
      </c>
      <c r="D14" s="0" t="n">
        <f aca="false">IF(D$3=Interests!$B$3,Interests!$C$3*(1-Interests!$D$3),0)</f>
        <v>39360000</v>
      </c>
      <c r="E14" s="0" t="n">
        <f aca="false">IF(E$3=Interests!$B$3,Interests!$C$3*(1-Interests!$D$3),0)</f>
        <v>0</v>
      </c>
      <c r="F14" s="0" t="n">
        <f aca="false">IF(F$3=Interests!$B$3,Interests!$C$3*(1-Interests!$D$3),0)</f>
        <v>0</v>
      </c>
      <c r="G14" s="0" t="n">
        <f aca="false">IF(G$3=Interests!$B$3,Interests!$C$3*(1-Interests!$D$3),0)</f>
        <v>0</v>
      </c>
      <c r="H14" s="0" t="n">
        <f aca="false">IF(H$3=Interests!$B$3,Interests!$C$3*(1-Interests!$D$3),0)</f>
        <v>0</v>
      </c>
      <c r="I14" s="0" t="n">
        <f aca="false">IF(I$3=Interests!$B$3,Interests!$C$3*(1-Interests!$D$3),0)</f>
        <v>0</v>
      </c>
      <c r="J14" s="0" t="n">
        <f aca="false">IF(J$3=Interests!$B$3,Interests!$C$3*(1-Interests!$D$3),0)</f>
        <v>0</v>
      </c>
      <c r="K14" s="0" t="n">
        <f aca="false">IF(K$3=Interests!$B$3,Interests!$C$3*(1-Interests!$D$3),0)</f>
        <v>0</v>
      </c>
      <c r="L14" s="0" t="n">
        <f aca="false">IF(L$3=Interests!$B$3,Interests!$C$3*(1-Interests!$D$3),0)</f>
        <v>0</v>
      </c>
      <c r="M14" s="0" t="n">
        <f aca="false">IF(M$3=Interests!$B$3,Interests!$C$3*(1-Interests!$D$3),0)</f>
        <v>0</v>
      </c>
      <c r="N14" s="0" t="n">
        <f aca="false">IF(N$3=Interests!$B$3,Interests!$C$3*(1-Interests!$D$3),0)</f>
        <v>0</v>
      </c>
      <c r="O14" s="0" t="n">
        <f aca="false">IF(O$3=Interests!$B$3,Interests!$C$3*(1-Interests!$D$3),0)</f>
        <v>0</v>
      </c>
      <c r="P14" s="0" t="n">
        <f aca="false">IF(P$3=Interests!$B$3,Interests!$C$3*(1-Interests!$D$3),0)</f>
        <v>0</v>
      </c>
      <c r="Q14" s="0" t="n">
        <f aca="false">IF(Q$3=Interests!$B$3,Interests!$C$3*(1-Interests!$D$3),0)</f>
        <v>0</v>
      </c>
      <c r="R14" s="0" t="n">
        <f aca="false">IF(R$3=Interests!$B$3,Interests!$C$3*(1-Interests!$D$3),0)</f>
        <v>0</v>
      </c>
      <c r="S14" s="0" t="n">
        <f aca="false">IF(S$3=Interests!$B$3,Interests!$C$3*(1-Interests!$D$3),0)</f>
        <v>0</v>
      </c>
      <c r="T14" s="0" t="n">
        <f aca="false">IF(T$3=Interests!$B$3,Interests!$C$3*(1-Interests!$D$3),0)</f>
        <v>0</v>
      </c>
      <c r="U14" s="0" t="n">
        <f aca="false">IF(U$3=Interests!$B$3,Interests!$C$3*(1-Interests!$D$3),0)</f>
        <v>0</v>
      </c>
      <c r="V14" s="0" t="n">
        <f aca="false">IF(V$3=Interests!$B$3,Interests!$C$3*(1-Interests!$D$3),0)</f>
        <v>0</v>
      </c>
      <c r="W14" s="0" t="n">
        <f aca="false">IF(W$3=Interests!$B$3,Interests!$C$3*(1-Interests!$D$3),0)</f>
        <v>0</v>
      </c>
      <c r="X14" s="0" t="n">
        <f aca="false">IF(X$3=Interests!$B$3,Interests!$C$3*(1-Interests!$D$3),0)</f>
        <v>0</v>
      </c>
      <c r="Y14" s="0" t="n">
        <f aca="false">IF(Y$3=Interests!$B$3,Interests!$C$3*(1-Interests!$D$3),0)</f>
        <v>0</v>
      </c>
      <c r="Z14" s="0" t="n">
        <f aca="false">IF(Z$3=Interests!$B$3,Interests!$C$3*(1-Interests!$D$3),0)</f>
        <v>0</v>
      </c>
      <c r="AA14" s="0" t="n">
        <f aca="false">IF(AA$3=Interests!$B$3,Interests!$C$3*(1-Interests!$D$3),0)</f>
        <v>0</v>
      </c>
      <c r="AB14" s="0" t="n">
        <f aca="false">IF(AB$3=Interests!$B$3,Interests!$C$3*(1-Interests!$D$3),0)</f>
        <v>0</v>
      </c>
      <c r="AC14" s="0" t="n">
        <f aca="false">IF(AC$3=Interests!$B$3,Interests!$C$3*(1-Interests!$D$3),0)</f>
        <v>0</v>
      </c>
      <c r="AD14" s="0" t="n">
        <f aca="false">IF(AD$3=Interests!$B$3,Interests!$C$3*(1-Interests!$D$3),0)</f>
        <v>0</v>
      </c>
      <c r="AE14" s="0" t="n">
        <f aca="false">IF(AE$3=Interests!$B$3,Interests!$C$3*(1-Interests!$D$3),0)</f>
        <v>0</v>
      </c>
      <c r="AF14" s="0" t="n">
        <f aca="false">IF(AF$3=Interests!$B$3,Interests!$C$3*(1-Interests!$D$3),0)</f>
        <v>0</v>
      </c>
      <c r="AG14" s="0" t="n">
        <f aca="false">IF(AG$3=Interests!$B$3,Interests!$C$3*(1-Interests!$D$3),0)</f>
        <v>0</v>
      </c>
      <c r="AH14" s="0" t="n">
        <f aca="false">IF(AH$3=Interests!$B$3,Interests!$C$3*(1-Interests!$D$3),0)</f>
        <v>0</v>
      </c>
    </row>
    <row r="15" customFormat="false" ht="15" hidden="false" customHeight="false" outlineLevel="0" collapsed="false">
      <c r="A15" s="0" t="s">
        <v>36</v>
      </c>
      <c r="B15" s="0" t="n">
        <f aca="false">IF(B$3=Interests!$B$4,Interests!$C$4,IF(AND(B$3&gt;Interests!$B$4,B$3&lt;Interests!$I$4),0*(1+Interests!$H$4/4)+B17-B18,0))</f>
        <v>0</v>
      </c>
      <c r="C15" s="0" t="n">
        <f aca="false">IF(C$3=Interests!$B$4,Interests!$C$4,IF(AND(C$3&gt;Interests!$B$4,C$3&lt;Interests!$I$4),B15*(1+Interests!$H$4/4)+C17-C18,0))</f>
        <v>0</v>
      </c>
      <c r="D15" s="0" t="n">
        <f aca="false">IF(D$3=Interests!$B$4,Interests!$C$4,IF(AND(D$3&gt;Interests!$B$4,D$3&lt;Interests!$I$4),C15*(1+Interests!$H$4/4)+D17-D18,0))</f>
        <v>55000000</v>
      </c>
      <c r="E15" s="0" t="n">
        <f aca="false">IF(E$3=Interests!$B$4,Interests!$C$4,IF(AND(E$3&gt;Interests!$B$4,E$3&lt;Interests!$I$4),D15*(1+Interests!$H$4/4)+E17-E18,0))</f>
        <v>54475000</v>
      </c>
      <c r="F15" s="0" t="n">
        <f aca="false">IF(F$3=Interests!$B$4,Interests!$C$4,IF(AND(F$3&gt;Interests!$B$4,F$3&lt;Interests!$I$4),E15*(1+Interests!$H$4/4)+F17-F18,0))</f>
        <v>53927875</v>
      </c>
      <c r="G15" s="0" t="n">
        <f aca="false">IF(G$3=Interests!$B$4,Interests!$C$4,IF(AND(G$3&gt;Interests!$B$4,G$3&lt;Interests!$I$4),F15*(1+Interests!$H$4/4)+G17-G18,0))</f>
        <v>53361956.875</v>
      </c>
      <c r="H15" s="0" t="n">
        <f aca="false">IF(H$3=Interests!$B$4,Interests!$C$4,IF(AND(H$3&gt;Interests!$B$4,H$3&lt;Interests!$I$4),G15*(1+Interests!$H$4/4)+H17-H18,0))</f>
        <v>52780227.521875</v>
      </c>
      <c r="I15" s="0" t="n">
        <f aca="false">IF(I$3=Interests!$B$4,Interests!$C$4,IF(AND(I$3&gt;Interests!$B$4,I$3&lt;Interests!$I$4),H15*(1+Interests!$H$4/4)+I17-I18,0))</f>
        <v>52185354.1090469</v>
      </c>
      <c r="J15" s="0" t="n">
        <f aca="false">IF(J$3=Interests!$B$4,Interests!$C$4,IF(AND(J$3&gt;Interests!$B$4,J$3&lt;Interests!$I$4),I15*(1+Interests!$H$4/4)+J17-J18,0))</f>
        <v>51579720.7974112</v>
      </c>
      <c r="K15" s="0" t="n">
        <f aca="false">IF(K$3=Interests!$B$4,Interests!$C$4,IF(AND(K$3&gt;Interests!$B$4,K$3&lt;Interests!$I$4),J15*(1+Interests!$H$4/4)+K17-K18,0))</f>
        <v>50965457.28545</v>
      </c>
      <c r="L15" s="0" t="n">
        <f aca="false">IF(L$3=Interests!$B$4,Interests!$C$4,IF(AND(L$3&gt;Interests!$B$4,L$3&lt;Interests!$I$4),K15*(1+Interests!$H$4/4)+L17-L18,0))</f>
        <v>50344464.4961683</v>
      </c>
      <c r="M15" s="0" t="n">
        <f aca="false">IF(M$3=Interests!$B$4,Interests!$C$4,IF(AND(M$3&gt;Interests!$B$4,M$3&lt;Interests!$I$4),L15*(1+Interests!$H$4/4)+M17-M18,0))</f>
        <v>49718437.6917257</v>
      </c>
      <c r="N15" s="0" t="n">
        <f aca="false">IF(N$3=Interests!$B$4,Interests!$C$4,IF(AND(N$3&gt;Interests!$B$4,N$3&lt;Interests!$I$4),M15*(1+Interests!$H$4/4)+N17-N18,0))</f>
        <v>49088887.2730499</v>
      </c>
      <c r="O15" s="0" t="n">
        <f aca="false">IF(O$3=Interests!$B$4,Interests!$C$4,IF(AND(O$3&gt;Interests!$B$4,O$3&lt;Interests!$I$4),N15*(1+Interests!$H$4/4)+O17-O18,0))</f>
        <v>48457157.4959841</v>
      </c>
      <c r="P15" s="0" t="n">
        <f aca="false">IF(P$3=Interests!$B$4,Interests!$C$4,IF(AND(P$3&gt;Interests!$B$4,P$3&lt;Interests!$I$4),O15*(1+Interests!$H$4/4)+P17-P18,0))</f>
        <v>47824443.3123714</v>
      </c>
      <c r="Q15" s="0" t="n">
        <f aca="false">IF(Q$3=Interests!$B$4,Interests!$C$4,IF(AND(Q$3&gt;Interests!$B$4,Q$3&lt;Interests!$I$4),P15*(1+Interests!$H$4/4)+Q17-Q18,0))</f>
        <v>47191805.5236301</v>
      </c>
      <c r="R15" s="0" t="n">
        <f aca="false">IF(R$3=Interests!$B$4,Interests!$C$4,IF(AND(R$3&gt;Interests!$B$4,R$3&lt;Interests!$I$4),Q15*(1+Interests!$H$4/4)+R17-R18,0))</f>
        <v>46560184.4156255</v>
      </c>
      <c r="S15" s="0" t="n">
        <f aca="false">IF(S$3=Interests!$B$4,Interests!$C$4,IF(AND(S$3&gt;Interests!$B$4,S$3&lt;Interests!$I$4),R15*(1+Interests!$H$4/4)+S17-S18,0))</f>
        <v>45930412.026756</v>
      </c>
      <c r="T15" s="0" t="n">
        <f aca="false">IF(T$3=Interests!$B$4,Interests!$C$4,IF(AND(T$3&gt;Interests!$B$4,T$3&lt;Interests!$I$4),S15*(1+Interests!$H$4/4)+T17-T18,0))</f>
        <v>45303223.1859831</v>
      </c>
      <c r="U15" s="0" t="n">
        <f aca="false">IF(U$3=Interests!$B$4,Interests!$C$4,IF(AND(U$3&gt;Interests!$B$4,U$3&lt;Interests!$I$4),T15*(1+Interests!$H$4/4)+U17-U18,0))</f>
        <v>44679265.4438589</v>
      </c>
      <c r="V15" s="0" t="n">
        <f aca="false">IF(V$3=Interests!$B$4,Interests!$C$4,IF(AND(V$3&gt;Interests!$B$4,V$3&lt;Interests!$I$4),U15*(1+Interests!$H$4/4)+V17-V18,0))</f>
        <v>44059108.0073</v>
      </c>
      <c r="W15" s="0" t="n">
        <f aca="false">IF(W$3=Interests!$B$4,Interests!$C$4,IF(AND(W$3&gt;Interests!$B$4,W$3&lt;Interests!$I$4),V15*(1+Interests!$H$4/4)+W17-W18,0))</f>
        <v>43443249.7777796</v>
      </c>
      <c r="X15" s="0" t="n">
        <f aca="false">IF(X$3=Interests!$B$4,Interests!$C$4,IF(AND(X$3&gt;Interests!$B$4,X$3&lt;Interests!$I$4),W15*(1+Interests!$H$4/4)+X17-X18,0))</f>
        <v>0</v>
      </c>
      <c r="Y15" s="0" t="n">
        <f aca="false">IF(Y$3=Interests!$B$4,Interests!$C$4,IF(AND(Y$3&gt;Interests!$B$4,Y$3&lt;Interests!$I$4),X15*(1+Interests!$H$4/4)+Y17-Y18,0))</f>
        <v>0</v>
      </c>
      <c r="Z15" s="0" t="n">
        <f aca="false">IF(Z$3=Interests!$B$4,Interests!$C$4,IF(AND(Z$3&gt;Interests!$B$4,Z$3&lt;Interests!$I$4),Y15*(1+Interests!$H$4/4)+Z17-Z18,0))</f>
        <v>0</v>
      </c>
      <c r="AA15" s="0" t="n">
        <f aca="false">IF(AA$3=Interests!$B$4,Interests!$C$4,IF(AND(AA$3&gt;Interests!$B$4,AA$3&lt;Interests!$I$4),Z15*(1+Interests!$H$4/4)+AA17-AA18,0))</f>
        <v>0</v>
      </c>
      <c r="AB15" s="0" t="n">
        <f aca="false">IF(AB$3=Interests!$B$4,Interests!$C$4,IF(AND(AB$3&gt;Interests!$B$4,AB$3&lt;Interests!$I$4),AA15*(1+Interests!$H$4/4)+AB17-AB18,0))</f>
        <v>0</v>
      </c>
      <c r="AC15" s="0" t="n">
        <f aca="false">IF(AC$3=Interests!$B$4,Interests!$C$4,IF(AND(AC$3&gt;Interests!$B$4,AC$3&lt;Interests!$I$4),AB15*(1+Interests!$H$4/4)+AC17-AC18,0))</f>
        <v>0</v>
      </c>
      <c r="AD15" s="0" t="n">
        <f aca="false">IF(AD$3=Interests!$B$4,Interests!$C$4,IF(AND(AD$3&gt;Interests!$B$4,AD$3&lt;Interests!$I$4),AC15*(1+Interests!$H$4/4)+AD17-AD18,0))</f>
        <v>0</v>
      </c>
      <c r="AE15" s="0" t="n">
        <f aca="false">IF(AE$3=Interests!$B$4,Interests!$C$4,IF(AND(AE$3&gt;Interests!$B$4,AE$3&lt;Interests!$I$4),AD15*(1+Interests!$H$4/4)+AE17-AE18,0))</f>
        <v>0</v>
      </c>
      <c r="AF15" s="0" t="n">
        <f aca="false">IF(AF$3=Interests!$B$4,Interests!$C$4,IF(AND(AF$3&gt;Interests!$B$4,AF$3&lt;Interests!$I$4),AE15*(1+Interests!$H$4/4)+AF17-AF18,0))</f>
        <v>0</v>
      </c>
      <c r="AG15" s="0" t="n">
        <f aca="false">IF(AG$3=Interests!$B$4,Interests!$C$4,IF(AND(AG$3&gt;Interests!$B$4,AG$3&lt;Interests!$I$4),AF15*(1+Interests!$H$4/4)+AG17-AG18,0))</f>
        <v>0</v>
      </c>
      <c r="AH15" s="0" t="n">
        <f aca="false">IF(AH$3=Interests!$B$4,Interests!$C$4,IF(AND(AH$3&gt;Interests!$B$4,AH$3&lt;Interests!$I$4),AG15*(1+Interests!$H$4/4)+AH17-AH18,0))</f>
        <v>0</v>
      </c>
    </row>
    <row r="16" customFormat="false" ht="15" hidden="false" customHeight="false" outlineLevel="0" collapsed="false">
      <c r="A16" s="0" t="s">
        <v>37</v>
      </c>
      <c r="B16" s="0" t="n">
        <f aca="false">IF(B$3=Interests!$B$4,Interests!$E$4,IF(AND(B$3&gt;Interests!$B$4,B$3&lt;Interests!$I$4),0-B17,0))</f>
        <v>0</v>
      </c>
      <c r="C16" s="0" t="n">
        <f aca="false">IF(C$3=Interests!$B$4,Interests!$E$4,IF(AND(C$3&gt;Interests!$B$4,C$3&lt;Interests!$I$4),B16-C17,0))</f>
        <v>0</v>
      </c>
      <c r="D16" s="0" t="n">
        <f aca="false">IF(D$3=Interests!$B$4,Interests!$E$4,IF(AND(D$3&gt;Interests!$B$4,D$3&lt;Interests!$I$4),C16-D17,0))</f>
        <v>3000000</v>
      </c>
      <c r="E16" s="0" t="n">
        <f aca="false">IF(E$3=Interests!$B$4,Interests!$E$4,IF(AND(E$3&gt;Interests!$B$4,E$3&lt;Interests!$I$4),D16-E17,0))</f>
        <v>2700000</v>
      </c>
      <c r="F16" s="0" t="n">
        <f aca="false">IF(F$3=Interests!$B$4,Interests!$E$4,IF(AND(F$3&gt;Interests!$B$4,F$3&lt;Interests!$I$4),E16-F17,0))</f>
        <v>2430000</v>
      </c>
      <c r="G16" s="0" t="n">
        <f aca="false">IF(G$3=Interests!$B$4,Interests!$E$4,IF(AND(G$3&gt;Interests!$B$4,G$3&lt;Interests!$I$4),F16-G17,0))</f>
        <v>2187000</v>
      </c>
      <c r="H16" s="0" t="n">
        <f aca="false">IF(H$3=Interests!$B$4,Interests!$E$4,IF(AND(H$3&gt;Interests!$B$4,H$3&lt;Interests!$I$4),G16-H17,0))</f>
        <v>1968300</v>
      </c>
      <c r="I16" s="0" t="n">
        <f aca="false">IF(I$3=Interests!$B$4,Interests!$E$4,IF(AND(I$3&gt;Interests!$B$4,I$3&lt;Interests!$I$4),H16-I17,0))</f>
        <v>1771470</v>
      </c>
      <c r="J16" s="0" t="n">
        <f aca="false">IF(J$3=Interests!$B$4,Interests!$E$4,IF(AND(J$3&gt;Interests!$B$4,J$3&lt;Interests!$I$4),I16-J17,0))</f>
        <v>1594323</v>
      </c>
      <c r="K16" s="0" t="n">
        <f aca="false">IF(K$3=Interests!$B$4,Interests!$E$4,IF(AND(K$3&gt;Interests!$B$4,K$3&lt;Interests!$I$4),J16-K17,0))</f>
        <v>1434890.7</v>
      </c>
      <c r="L16" s="0" t="n">
        <f aca="false">IF(L$3=Interests!$B$4,Interests!$E$4,IF(AND(L$3&gt;Interests!$B$4,L$3&lt;Interests!$I$4),K16-L17,0))</f>
        <v>1291401.63</v>
      </c>
      <c r="M16" s="0" t="n">
        <f aca="false">IF(M$3=Interests!$B$4,Interests!$E$4,IF(AND(M$3&gt;Interests!$B$4,M$3&lt;Interests!$I$4),L16-M17,0))</f>
        <v>1162261.467</v>
      </c>
      <c r="N16" s="0" t="n">
        <f aca="false">IF(N$3=Interests!$B$4,Interests!$E$4,IF(AND(N$3&gt;Interests!$B$4,N$3&lt;Interests!$I$4),M16-N17,0))</f>
        <v>1046035.3203</v>
      </c>
      <c r="O16" s="0" t="n">
        <f aca="false">IF(O$3=Interests!$B$4,Interests!$E$4,IF(AND(O$3&gt;Interests!$B$4,O$3&lt;Interests!$I$4),N16-O17,0))</f>
        <v>941431.78827</v>
      </c>
      <c r="P16" s="0" t="n">
        <f aca="false">IF(P$3=Interests!$B$4,Interests!$E$4,IF(AND(P$3&gt;Interests!$B$4,P$3&lt;Interests!$I$4),O16-P17,0))</f>
        <v>847288.609443</v>
      </c>
      <c r="Q16" s="0" t="n">
        <f aca="false">IF(Q$3=Interests!$B$4,Interests!$E$4,IF(AND(Q$3&gt;Interests!$B$4,Q$3&lt;Interests!$I$4),P16-Q17,0))</f>
        <v>762559.7484987</v>
      </c>
      <c r="R16" s="0" t="n">
        <f aca="false">IF(R$3=Interests!$B$4,Interests!$E$4,IF(AND(R$3&gt;Interests!$B$4,R$3&lt;Interests!$I$4),Q16-R17,0))</f>
        <v>686303.77364883</v>
      </c>
      <c r="S16" s="0" t="n">
        <f aca="false">IF(S$3=Interests!$B$4,Interests!$E$4,IF(AND(S$3&gt;Interests!$B$4,S$3&lt;Interests!$I$4),R16-S17,0))</f>
        <v>617673.396283947</v>
      </c>
      <c r="T16" s="0" t="n">
        <f aca="false">IF(T$3=Interests!$B$4,Interests!$E$4,IF(AND(T$3&gt;Interests!$B$4,T$3&lt;Interests!$I$4),S16-T17,0))</f>
        <v>555906.056655552</v>
      </c>
      <c r="U16" s="0" t="n">
        <f aca="false">IF(U$3=Interests!$B$4,Interests!$E$4,IF(AND(U$3&gt;Interests!$B$4,U$3&lt;Interests!$I$4),T16-U17,0))</f>
        <v>500315.450989997</v>
      </c>
      <c r="V16" s="0" t="n">
        <f aca="false">IF(V$3=Interests!$B$4,Interests!$E$4,IF(AND(V$3&gt;Interests!$B$4,V$3&lt;Interests!$I$4),U16-V17,0))</f>
        <v>450283.905890997</v>
      </c>
      <c r="W16" s="0" t="n">
        <f aca="false">IF(W$3=Interests!$B$4,Interests!$E$4,IF(AND(W$3&gt;Interests!$B$4,W$3&lt;Interests!$I$4),V16-W17,0))</f>
        <v>405255.515301898</v>
      </c>
      <c r="X16" s="0" t="n">
        <f aca="false">IF(X$3=Interests!$B$4,Interests!$E$4,IF(AND(X$3&gt;Interests!$B$4,X$3&lt;Interests!$I$4),W16-X17,0))</f>
        <v>0</v>
      </c>
      <c r="Y16" s="0" t="n">
        <f aca="false">IF(Y$3=Interests!$B$4,Interests!$E$4,IF(AND(Y$3&gt;Interests!$B$4,Y$3&lt;Interests!$I$4),X16-Y17,0))</f>
        <v>0</v>
      </c>
      <c r="Z16" s="0" t="n">
        <f aca="false">IF(Z$3=Interests!$B$4,Interests!$E$4,IF(AND(Z$3&gt;Interests!$B$4,Z$3&lt;Interests!$I$4),Y16-Z17,0))</f>
        <v>0</v>
      </c>
      <c r="AA16" s="0" t="n">
        <f aca="false">IF(AA$3=Interests!$B$4,Interests!$E$4,IF(AND(AA$3&gt;Interests!$B$4,AA$3&lt;Interests!$I$4),Z16-AA17,0))</f>
        <v>0</v>
      </c>
      <c r="AB16" s="0" t="n">
        <f aca="false">IF(AB$3=Interests!$B$4,Interests!$E$4,IF(AND(AB$3&gt;Interests!$B$4,AB$3&lt;Interests!$I$4),AA16-AB17,0))</f>
        <v>0</v>
      </c>
      <c r="AC16" s="0" t="n">
        <f aca="false">IF(AC$3=Interests!$B$4,Interests!$E$4,IF(AND(AC$3&gt;Interests!$B$4,AC$3&lt;Interests!$I$4),AB16-AC17,0))</f>
        <v>0</v>
      </c>
      <c r="AD16" s="0" t="n">
        <f aca="false">IF(AD$3=Interests!$B$4,Interests!$E$4,IF(AND(AD$3&gt;Interests!$B$4,AD$3&lt;Interests!$I$4),AC16-AD17,0))</f>
        <v>0</v>
      </c>
      <c r="AE16" s="0" t="n">
        <f aca="false">IF(AE$3=Interests!$B$4,Interests!$E$4,IF(AND(AE$3&gt;Interests!$B$4,AE$3&lt;Interests!$I$4),AD16-AE17,0))</f>
        <v>0</v>
      </c>
      <c r="AF16" s="0" t="n">
        <f aca="false">IF(AF$3=Interests!$B$4,Interests!$E$4,IF(AND(AF$3&gt;Interests!$B$4,AF$3&lt;Interests!$I$4),AE16-AF17,0))</f>
        <v>0</v>
      </c>
      <c r="AG16" s="0" t="n">
        <f aca="false">IF(AG$3=Interests!$B$4,Interests!$E$4,IF(AND(AG$3&gt;Interests!$B$4,AG$3&lt;Interests!$I$4),AF16-AG17,0))</f>
        <v>0</v>
      </c>
      <c r="AH16" s="0" t="n">
        <f aca="false">IF(AH$3=Interests!$B$4,Interests!$E$4,IF(AND(AH$3&gt;Interests!$B$4,AH$3&lt;Interests!$I$4),AG16-AH17,0))</f>
        <v>0</v>
      </c>
    </row>
    <row r="17" customFormat="false" ht="15" hidden="false" customHeight="false" outlineLevel="0" collapsed="false">
      <c r="A17" s="0" t="s">
        <v>38</v>
      </c>
      <c r="B17" s="0" t="n">
        <f aca="false">IF(AND(B$3&gt;Interests!$B$4,B$3&lt;Interests!$I$4),0*Interests!$F$4/4,0)</f>
        <v>0</v>
      </c>
      <c r="C17" s="0" t="n">
        <f aca="false">IF(AND(C$3&gt;Interests!$B$4,C$3&lt;Interests!$I$4),B16*Interests!$F$4/4,0)</f>
        <v>0</v>
      </c>
      <c r="D17" s="0" t="n">
        <f aca="false">IF(AND(D$3&gt;Interests!$B$4,D$3&lt;Interests!$I$4),C16*Interests!$F$4/4,0)</f>
        <v>0</v>
      </c>
      <c r="E17" s="0" t="n">
        <f aca="false">IF(AND(E$3&gt;Interests!$B$4,E$3&lt;Interests!$I$4),D16*Interests!$F$4/4,0)</f>
        <v>300000</v>
      </c>
      <c r="F17" s="0" t="n">
        <f aca="false">IF(AND(F$3&gt;Interests!$B$4,F$3&lt;Interests!$I$4),E16*Interests!$F$4/4,0)</f>
        <v>270000</v>
      </c>
      <c r="G17" s="0" t="n">
        <f aca="false">IF(AND(G$3&gt;Interests!$B$4,G$3&lt;Interests!$I$4),F16*Interests!$F$4/4,0)</f>
        <v>243000</v>
      </c>
      <c r="H17" s="0" t="n">
        <f aca="false">IF(AND(H$3&gt;Interests!$B$4,H$3&lt;Interests!$I$4),G16*Interests!$F$4/4,0)</f>
        <v>218700</v>
      </c>
      <c r="I17" s="0" t="n">
        <f aca="false">IF(AND(I$3&gt;Interests!$B$4,I$3&lt;Interests!$I$4),H16*Interests!$F$4/4,0)</f>
        <v>196830</v>
      </c>
      <c r="J17" s="0" t="n">
        <f aca="false">IF(AND(J$3&gt;Interests!$B$4,J$3&lt;Interests!$I$4),I16*Interests!$F$4/4,0)</f>
        <v>177147</v>
      </c>
      <c r="K17" s="0" t="n">
        <f aca="false">IF(AND(K$3&gt;Interests!$B$4,K$3&lt;Interests!$I$4),J16*Interests!$F$4/4,0)</f>
        <v>159432.3</v>
      </c>
      <c r="L17" s="0" t="n">
        <f aca="false">IF(AND(L$3&gt;Interests!$B$4,L$3&lt;Interests!$I$4),K16*Interests!$F$4/4,0)</f>
        <v>143489.07</v>
      </c>
      <c r="M17" s="0" t="n">
        <f aca="false">IF(AND(M$3&gt;Interests!$B$4,M$3&lt;Interests!$I$4),L16*Interests!$F$4/4,0)</f>
        <v>129140.163</v>
      </c>
      <c r="N17" s="0" t="n">
        <f aca="false">IF(AND(N$3&gt;Interests!$B$4,N$3&lt;Interests!$I$4),M16*Interests!$F$4/4,0)</f>
        <v>116226.1467</v>
      </c>
      <c r="O17" s="0" t="n">
        <f aca="false">IF(AND(O$3&gt;Interests!$B$4,O$3&lt;Interests!$I$4),N16*Interests!$F$4/4,0)</f>
        <v>104603.53203</v>
      </c>
      <c r="P17" s="0" t="n">
        <f aca="false">IF(AND(P$3&gt;Interests!$B$4,P$3&lt;Interests!$I$4),O16*Interests!$F$4/4,0)</f>
        <v>94143.178827</v>
      </c>
      <c r="Q17" s="0" t="n">
        <f aca="false">IF(AND(Q$3&gt;Interests!$B$4,Q$3&lt;Interests!$I$4),P16*Interests!$F$4/4,0)</f>
        <v>84728.8609443</v>
      </c>
      <c r="R17" s="0" t="n">
        <f aca="false">IF(AND(R$3&gt;Interests!$B$4,R$3&lt;Interests!$I$4),Q16*Interests!$F$4/4,0)</f>
        <v>76255.97484987</v>
      </c>
      <c r="S17" s="0" t="n">
        <f aca="false">IF(AND(S$3&gt;Interests!$B$4,S$3&lt;Interests!$I$4),R16*Interests!$F$4/4,0)</f>
        <v>68630.377364883</v>
      </c>
      <c r="T17" s="0" t="n">
        <f aca="false">IF(AND(T$3&gt;Interests!$B$4,T$3&lt;Interests!$I$4),S16*Interests!$F$4/4,0)</f>
        <v>61767.3396283947</v>
      </c>
      <c r="U17" s="0" t="n">
        <f aca="false">IF(AND(U$3&gt;Interests!$B$4,U$3&lt;Interests!$I$4),T16*Interests!$F$4/4,0)</f>
        <v>55590.6056655552</v>
      </c>
      <c r="V17" s="0" t="n">
        <f aca="false">IF(AND(V$3&gt;Interests!$B$4,V$3&lt;Interests!$I$4),U16*Interests!$F$4/4,0)</f>
        <v>50031.5450989997</v>
      </c>
      <c r="W17" s="0" t="n">
        <f aca="false">IF(AND(W$3&gt;Interests!$B$4,W$3&lt;Interests!$I$4),V16*Interests!$F$4/4,0)</f>
        <v>45028.3905890997</v>
      </c>
      <c r="X17" s="0" t="n">
        <f aca="false">IF(AND(X$3&gt;Interests!$B$4,X$3&lt;Interests!$I$4),W16*Interests!$F$4/4,0)</f>
        <v>0</v>
      </c>
      <c r="Y17" s="0" t="n">
        <f aca="false">IF(AND(Y$3&gt;Interests!$B$4,Y$3&lt;Interests!$I$4),X16*Interests!$F$4/4,0)</f>
        <v>0</v>
      </c>
      <c r="Z17" s="0" t="n">
        <f aca="false">IF(AND(Z$3&gt;Interests!$B$4,Z$3&lt;Interests!$I$4),Y16*Interests!$F$4/4,0)</f>
        <v>0</v>
      </c>
      <c r="AA17" s="0" t="n">
        <f aca="false">IF(AND(AA$3&gt;Interests!$B$4,AA$3&lt;Interests!$I$4),Z16*Interests!$F$4/4,0)</f>
        <v>0</v>
      </c>
      <c r="AB17" s="0" t="n">
        <f aca="false">IF(AND(AB$3&gt;Interests!$B$4,AB$3&lt;Interests!$I$4),AA16*Interests!$F$4/4,0)</f>
        <v>0</v>
      </c>
      <c r="AC17" s="0" t="n">
        <f aca="false">IF(AND(AC$3&gt;Interests!$B$4,AC$3&lt;Interests!$I$4),AB16*Interests!$F$4/4,0)</f>
        <v>0</v>
      </c>
      <c r="AD17" s="0" t="n">
        <f aca="false">IF(AND(AD$3&gt;Interests!$B$4,AD$3&lt;Interests!$I$4),AC16*Interests!$F$4/4,0)</f>
        <v>0</v>
      </c>
      <c r="AE17" s="0" t="n">
        <f aca="false">IF(AND(AE$3&gt;Interests!$B$4,AE$3&lt;Interests!$I$4),AD16*Interests!$F$4/4,0)</f>
        <v>0</v>
      </c>
      <c r="AF17" s="0" t="n">
        <f aca="false">IF(AND(AF$3&gt;Interests!$B$4,AF$3&lt;Interests!$I$4),AE16*Interests!$F$4/4,0)</f>
        <v>0</v>
      </c>
      <c r="AG17" s="0" t="n">
        <f aca="false">IF(AND(AG$3&gt;Interests!$B$4,AG$3&lt;Interests!$I$4),AF16*Interests!$F$4/4,0)</f>
        <v>0</v>
      </c>
      <c r="AH17" s="0" t="n">
        <f aca="false">IF(AND(AH$3&gt;Interests!$B$4,AH$3&lt;Interests!$I$4),AG16*Interests!$F$4/4,0)</f>
        <v>0</v>
      </c>
    </row>
    <row r="18" customFormat="false" ht="15" hidden="false" customHeight="false" outlineLevel="0" collapsed="false">
      <c r="A18" s="0" t="s">
        <v>39</v>
      </c>
      <c r="B18" s="0" t="n">
        <f aca="false">IF(B$3=Interests!$I$4,0*(1+Interests!$H$4/4)+B17,IF(AND(B$3&gt;Interests!$B$4,B$3&lt;Interests!$I$4),0*Interests!$G$4/4,0))</f>
        <v>0</v>
      </c>
      <c r="C18" s="0" t="n">
        <f aca="false">IF(C$3=Interests!$I$4,B15*(1+Interests!$H$4/4)+C17,IF(AND(C$3&gt;Interests!$B$4,C$3&lt;Interests!$I$4),B15*Interests!$G$4/4,0))</f>
        <v>0</v>
      </c>
      <c r="D18" s="0" t="n">
        <f aca="false">IF(D$3=Interests!$I$4,C15*(1+Interests!$H$4/4)+D17,IF(AND(D$3&gt;Interests!$B$4,D$3&lt;Interests!$I$4),C15*Interests!$G$4/4,0))</f>
        <v>0</v>
      </c>
      <c r="E18" s="0" t="n">
        <f aca="false">IF(E$3=Interests!$I$4,D15*(1+Interests!$H$4/4)+E17,IF(AND(E$3&gt;Interests!$B$4,E$3&lt;Interests!$I$4),D15*Interests!$G$4/4,0))</f>
        <v>1375000</v>
      </c>
      <c r="F18" s="0" t="n">
        <f aca="false">IF(F$3=Interests!$I$4,E15*(1+Interests!$H$4/4)+F17,IF(AND(F$3&gt;Interests!$B$4,F$3&lt;Interests!$I$4),E15*Interests!$G$4/4,0))</f>
        <v>1361875</v>
      </c>
      <c r="G18" s="0" t="n">
        <f aca="false">IF(G$3=Interests!$I$4,F15*(1+Interests!$H$4/4)+G17,IF(AND(G$3&gt;Interests!$B$4,G$3&lt;Interests!$I$4),F15*Interests!$G$4/4,0))</f>
        <v>1348196.875</v>
      </c>
      <c r="H18" s="0" t="n">
        <f aca="false">IF(H$3=Interests!$I$4,G15*(1+Interests!$H$4/4)+H17,IF(AND(H$3&gt;Interests!$B$4,H$3&lt;Interests!$I$4),G15*Interests!$G$4/4,0))</f>
        <v>1334048.921875</v>
      </c>
      <c r="I18" s="0" t="n">
        <f aca="false">IF(I$3=Interests!$I$4,H15*(1+Interests!$H$4/4)+I17,IF(AND(I$3&gt;Interests!$B$4,I$3&lt;Interests!$I$4),H15*Interests!$G$4/4,0))</f>
        <v>1319505.68804688</v>
      </c>
      <c r="J18" s="0" t="n">
        <f aca="false">IF(J$3=Interests!$I$4,I15*(1+Interests!$H$4/4)+J17,IF(AND(J$3&gt;Interests!$B$4,J$3&lt;Interests!$I$4),I15*Interests!$G$4/4,0))</f>
        <v>1304633.85272617</v>
      </c>
      <c r="K18" s="0" t="n">
        <f aca="false">IF(K$3=Interests!$I$4,J15*(1+Interests!$H$4/4)+K17,IF(AND(K$3&gt;Interests!$B$4,K$3&lt;Interests!$I$4),J15*Interests!$G$4/4,0))</f>
        <v>1289493.01993528</v>
      </c>
      <c r="L18" s="0" t="n">
        <f aca="false">IF(L$3=Interests!$I$4,K15*(1+Interests!$H$4/4)+L17,IF(AND(L$3&gt;Interests!$B$4,L$3&lt;Interests!$I$4),K15*Interests!$G$4/4,0))</f>
        <v>1274136.43213625</v>
      </c>
      <c r="M18" s="0" t="n">
        <f aca="false">IF(M$3=Interests!$I$4,L15*(1+Interests!$H$4/4)+M17,IF(AND(M$3&gt;Interests!$B$4,M$3&lt;Interests!$I$4),L15*Interests!$G$4/4,0))</f>
        <v>1258611.61240421</v>
      </c>
      <c r="N18" s="0" t="n">
        <f aca="false">IF(N$3=Interests!$I$4,M15*(1+Interests!$H$4/4)+N17,IF(AND(N$3&gt;Interests!$B$4,N$3&lt;Interests!$I$4),M15*Interests!$G$4/4,0))</f>
        <v>1242960.94229314</v>
      </c>
      <c r="O18" s="0" t="n">
        <f aca="false">IF(O$3=Interests!$I$4,N15*(1+Interests!$H$4/4)+O17,IF(AND(O$3&gt;Interests!$B$4,O$3&lt;Interests!$I$4),N15*Interests!$G$4/4,0))</f>
        <v>1227222.18182625</v>
      </c>
      <c r="P18" s="0" t="n">
        <f aca="false">IF(P$3=Interests!$I$4,O15*(1+Interests!$H$4/4)+P17,IF(AND(P$3&gt;Interests!$B$4,P$3&lt;Interests!$I$4),O15*Interests!$G$4/4,0))</f>
        <v>1211428.9373996</v>
      </c>
      <c r="Q18" s="0" t="n">
        <f aca="false">IF(Q$3=Interests!$I$4,P15*(1+Interests!$H$4/4)+Q17,IF(AND(Q$3&gt;Interests!$B$4,Q$3&lt;Interests!$I$4),P15*Interests!$G$4/4,0))</f>
        <v>1195611.08280928</v>
      </c>
      <c r="R18" s="0" t="n">
        <f aca="false">IF(R$3=Interests!$I$4,Q15*(1+Interests!$H$4/4)+R17,IF(AND(R$3&gt;Interests!$B$4,R$3&lt;Interests!$I$4),Q15*Interests!$G$4/4,0))</f>
        <v>1179795.13809075</v>
      </c>
      <c r="S18" s="0" t="n">
        <f aca="false">IF(S$3=Interests!$I$4,R15*(1+Interests!$H$4/4)+S17,IF(AND(S$3&gt;Interests!$B$4,S$3&lt;Interests!$I$4),R15*Interests!$G$4/4,0))</f>
        <v>1164004.61039064</v>
      </c>
      <c r="T18" s="0" t="n">
        <f aca="false">IF(T$3=Interests!$I$4,S15*(1+Interests!$H$4/4)+T17,IF(AND(T$3&gt;Interests!$B$4,T$3&lt;Interests!$I$4),S15*Interests!$G$4/4,0))</f>
        <v>1148260.3006689</v>
      </c>
      <c r="U18" s="0" t="n">
        <f aca="false">IF(U$3=Interests!$I$4,T15*(1+Interests!$H$4/4)+U17,IF(AND(U$3&gt;Interests!$B$4,U$3&lt;Interests!$I$4),T15*Interests!$G$4/4,0))</f>
        <v>1132580.57964958</v>
      </c>
      <c r="V18" s="0" t="n">
        <f aca="false">IF(V$3=Interests!$I$4,U15*(1+Interests!$H$4/4)+V17,IF(AND(V$3&gt;Interests!$B$4,V$3&lt;Interests!$I$4),U15*Interests!$G$4/4,0))</f>
        <v>1116981.63609647</v>
      </c>
      <c r="W18" s="0" t="n">
        <f aca="false">IF(W$3=Interests!$I$4,V15*(1+Interests!$H$4/4)+W17,IF(AND(W$3&gt;Interests!$B$4,W$3&lt;Interests!$I$4),V15*Interests!$G$4/4,0))</f>
        <v>1101477.7001825</v>
      </c>
      <c r="X18" s="0" t="n">
        <f aca="false">IF(X$3=Interests!$I$4,W15*(1+Interests!$H$4/4)+X17,IF(AND(X$3&gt;Interests!$B$4,X$3&lt;Interests!$I$4),W15*Interests!$G$4/4,0))</f>
        <v>43877682.2755574</v>
      </c>
      <c r="Y18" s="0" t="n">
        <f aca="false">IF(Y$3=Interests!$I$4,X15*(1+Interests!$H$4/4)+Y17,IF(AND(Y$3&gt;Interests!$B$4,Y$3&lt;Interests!$I$4),X15*Interests!$G$4/4,0))</f>
        <v>0</v>
      </c>
      <c r="Z18" s="0" t="n">
        <f aca="false">IF(Z$3=Interests!$I$4,Y15*(1+Interests!$H$4/4)+Z17,IF(AND(Z$3&gt;Interests!$B$4,Z$3&lt;Interests!$I$4),Y15*Interests!$G$4/4,0))</f>
        <v>0</v>
      </c>
      <c r="AA18" s="0" t="n">
        <f aca="false">IF(AA$3=Interests!$I$4,Z15*(1+Interests!$H$4/4)+AA17,IF(AND(AA$3&gt;Interests!$B$4,AA$3&lt;Interests!$I$4),Z15*Interests!$G$4/4,0))</f>
        <v>0</v>
      </c>
      <c r="AB18" s="0" t="n">
        <f aca="false">IF(AB$3=Interests!$I$4,AA15*(1+Interests!$H$4/4)+AB17,IF(AND(AB$3&gt;Interests!$B$4,AB$3&lt;Interests!$I$4),AA15*Interests!$G$4/4,0))</f>
        <v>0</v>
      </c>
      <c r="AC18" s="0" t="n">
        <f aca="false">IF(AC$3=Interests!$I$4,AB15*(1+Interests!$H$4/4)+AC17,IF(AND(AC$3&gt;Interests!$B$4,AC$3&lt;Interests!$I$4),AB15*Interests!$G$4/4,0))</f>
        <v>0</v>
      </c>
      <c r="AD18" s="0" t="n">
        <f aca="false">IF(AD$3=Interests!$I$4,AC15*(1+Interests!$H$4/4)+AD17,IF(AND(AD$3&gt;Interests!$B$4,AD$3&lt;Interests!$I$4),AC15*Interests!$G$4/4,0))</f>
        <v>0</v>
      </c>
      <c r="AE18" s="0" t="n">
        <f aca="false">IF(AE$3=Interests!$I$4,AD15*(1+Interests!$H$4/4)+AE17,IF(AND(AE$3&gt;Interests!$B$4,AE$3&lt;Interests!$I$4),AD15*Interests!$G$4/4,0))</f>
        <v>0</v>
      </c>
      <c r="AF18" s="0" t="n">
        <f aca="false">IF(AF$3=Interests!$I$4,AE15*(1+Interests!$H$4/4)+AF17,IF(AND(AF$3&gt;Interests!$B$4,AF$3&lt;Interests!$I$4),AE15*Interests!$G$4/4,0))</f>
        <v>0</v>
      </c>
      <c r="AG18" s="0" t="n">
        <f aca="false">IF(AG$3=Interests!$I$4,AF15*(1+Interests!$H$4/4)+AG17,IF(AND(AG$3&gt;Interests!$B$4,AG$3&lt;Interests!$I$4),AF15*Interests!$G$4/4,0))</f>
        <v>0</v>
      </c>
      <c r="AH18" s="0" t="n">
        <f aca="false">IF(AH$3=Interests!$I$4,AG15*(1+Interests!$H$4/4)+AH17,IF(AND(AH$3&gt;Interests!$B$4,AH$3&lt;Interests!$I$4),AG15*Interests!$G$4/4,0))</f>
        <v>0</v>
      </c>
    </row>
    <row r="19" customFormat="false" ht="15" hidden="false" customHeight="false" outlineLevel="0" collapsed="false">
      <c r="A19" s="0" t="s">
        <v>40</v>
      </c>
      <c r="B19" s="0" t="n">
        <f aca="false">IF(B$3=Interests!$B$4,Interests!$C$4*(1-Interests!$D$4),0)</f>
        <v>0</v>
      </c>
      <c r="C19" s="0" t="n">
        <f aca="false">IF(C$3=Interests!$B$4,Interests!$C$4*(1-Interests!$D$4),0)</f>
        <v>0</v>
      </c>
      <c r="D19" s="0" t="n">
        <f aca="false">IF(D$3=Interests!$B$4,Interests!$C$4*(1-Interests!$D$4),0)</f>
        <v>51150000</v>
      </c>
      <c r="E19" s="0" t="n">
        <f aca="false">IF(E$3=Interests!$B$4,Interests!$C$4*(1-Interests!$D$4),0)</f>
        <v>0</v>
      </c>
      <c r="F19" s="0" t="n">
        <f aca="false">IF(F$3=Interests!$B$4,Interests!$C$4*(1-Interests!$D$4),0)</f>
        <v>0</v>
      </c>
      <c r="G19" s="0" t="n">
        <f aca="false">IF(G$3=Interests!$B$4,Interests!$C$4*(1-Interests!$D$4),0)</f>
        <v>0</v>
      </c>
      <c r="H19" s="0" t="n">
        <f aca="false">IF(H$3=Interests!$B$4,Interests!$C$4*(1-Interests!$D$4),0)</f>
        <v>0</v>
      </c>
      <c r="I19" s="0" t="n">
        <f aca="false">IF(I$3=Interests!$B$4,Interests!$C$4*(1-Interests!$D$4),0)</f>
        <v>0</v>
      </c>
      <c r="J19" s="0" t="n">
        <f aca="false">IF(J$3=Interests!$B$4,Interests!$C$4*(1-Interests!$D$4),0)</f>
        <v>0</v>
      </c>
      <c r="K19" s="0" t="n">
        <f aca="false">IF(K$3=Interests!$B$4,Interests!$C$4*(1-Interests!$D$4),0)</f>
        <v>0</v>
      </c>
      <c r="L19" s="0" t="n">
        <f aca="false">IF(L$3=Interests!$B$4,Interests!$C$4*(1-Interests!$D$4),0)</f>
        <v>0</v>
      </c>
      <c r="M19" s="0" t="n">
        <f aca="false">IF(M$3=Interests!$B$4,Interests!$C$4*(1-Interests!$D$4),0)</f>
        <v>0</v>
      </c>
      <c r="N19" s="0" t="n">
        <f aca="false">IF(N$3=Interests!$B$4,Interests!$C$4*(1-Interests!$D$4),0)</f>
        <v>0</v>
      </c>
      <c r="O19" s="0" t="n">
        <f aca="false">IF(O$3=Interests!$B$4,Interests!$C$4*(1-Interests!$D$4),0)</f>
        <v>0</v>
      </c>
      <c r="P19" s="0" t="n">
        <f aca="false">IF(P$3=Interests!$B$4,Interests!$C$4*(1-Interests!$D$4),0)</f>
        <v>0</v>
      </c>
      <c r="Q19" s="0" t="n">
        <f aca="false">IF(Q$3=Interests!$B$4,Interests!$C$4*(1-Interests!$D$4),0)</f>
        <v>0</v>
      </c>
      <c r="R19" s="0" t="n">
        <f aca="false">IF(R$3=Interests!$B$4,Interests!$C$4*(1-Interests!$D$4),0)</f>
        <v>0</v>
      </c>
      <c r="S19" s="0" t="n">
        <f aca="false">IF(S$3=Interests!$B$4,Interests!$C$4*(1-Interests!$D$4),0)</f>
        <v>0</v>
      </c>
      <c r="T19" s="0" t="n">
        <f aca="false">IF(T$3=Interests!$B$4,Interests!$C$4*(1-Interests!$D$4),0)</f>
        <v>0</v>
      </c>
      <c r="U19" s="0" t="n">
        <f aca="false">IF(U$3=Interests!$B$4,Interests!$C$4*(1-Interests!$D$4),0)</f>
        <v>0</v>
      </c>
      <c r="V19" s="0" t="n">
        <f aca="false">IF(V$3=Interests!$B$4,Interests!$C$4*(1-Interests!$D$4),0)</f>
        <v>0</v>
      </c>
      <c r="W19" s="0" t="n">
        <f aca="false">IF(W$3=Interests!$B$4,Interests!$C$4*(1-Interests!$D$4),0)</f>
        <v>0</v>
      </c>
      <c r="X19" s="0" t="n">
        <f aca="false">IF(X$3=Interests!$B$4,Interests!$C$4*(1-Interests!$D$4),0)</f>
        <v>0</v>
      </c>
      <c r="Y19" s="0" t="n">
        <f aca="false">IF(Y$3=Interests!$B$4,Interests!$C$4*(1-Interests!$D$4),0)</f>
        <v>0</v>
      </c>
      <c r="Z19" s="0" t="n">
        <f aca="false">IF(Z$3=Interests!$B$4,Interests!$C$4*(1-Interests!$D$4),0)</f>
        <v>0</v>
      </c>
      <c r="AA19" s="0" t="n">
        <f aca="false">IF(AA$3=Interests!$B$4,Interests!$C$4*(1-Interests!$D$4),0)</f>
        <v>0</v>
      </c>
      <c r="AB19" s="0" t="n">
        <f aca="false">IF(AB$3=Interests!$B$4,Interests!$C$4*(1-Interests!$D$4),0)</f>
        <v>0</v>
      </c>
      <c r="AC19" s="0" t="n">
        <f aca="false">IF(AC$3=Interests!$B$4,Interests!$C$4*(1-Interests!$D$4),0)</f>
        <v>0</v>
      </c>
      <c r="AD19" s="0" t="n">
        <f aca="false">IF(AD$3=Interests!$B$4,Interests!$C$4*(1-Interests!$D$4),0)</f>
        <v>0</v>
      </c>
      <c r="AE19" s="0" t="n">
        <f aca="false">IF(AE$3=Interests!$B$4,Interests!$C$4*(1-Interests!$D$4),0)</f>
        <v>0</v>
      </c>
      <c r="AF19" s="0" t="n">
        <f aca="false">IF(AF$3=Interests!$B$4,Interests!$C$4*(1-Interests!$D$4),0)</f>
        <v>0</v>
      </c>
      <c r="AG19" s="0" t="n">
        <f aca="false">IF(AG$3=Interests!$B$4,Interests!$C$4*(1-Interests!$D$4),0)</f>
        <v>0</v>
      </c>
      <c r="AH19" s="0" t="n">
        <f aca="false">IF(AH$3=Interests!$B$4,Interests!$C$4*(1-Interests!$D$4),0)</f>
        <v>0</v>
      </c>
    </row>
    <row r="20" customFormat="false" ht="15" hidden="false" customHeight="false" outlineLevel="0" collapsed="false">
      <c r="A20" s="0" t="s">
        <v>41</v>
      </c>
      <c r="B20" s="0" t="n">
        <f aca="false">IF(B$3=Interests!$B$5,Interests!$C$5,IF(AND(B$3&gt;Interests!$B$5,B$3&lt;Interests!$I$5),0*(1+Interests!$H$5/4)+B22-B23,0))</f>
        <v>0</v>
      </c>
      <c r="C20" s="0" t="n">
        <f aca="false">IF(C$3=Interests!$B$5,Interests!$C$5,IF(AND(C$3&gt;Interests!$B$5,C$3&lt;Interests!$I$5),B20*(1+Interests!$H$5/4)+C22-C23,0))</f>
        <v>0</v>
      </c>
      <c r="D20" s="0" t="n">
        <f aca="false">IF(D$3=Interests!$B$5,Interests!$C$5,IF(AND(D$3&gt;Interests!$B$5,D$3&lt;Interests!$I$5),C20*(1+Interests!$H$5/4)+D22-D23,0))</f>
        <v>0</v>
      </c>
      <c r="E20" s="0" t="n">
        <f aca="false">IF(E$3=Interests!$B$5,Interests!$C$5,IF(AND(E$3&gt;Interests!$B$5,E$3&lt;Interests!$I$5),D20*(1+Interests!$H$5/4)+E22-E23,0))</f>
        <v>0</v>
      </c>
      <c r="F20" s="0" t="n">
        <f aca="false">IF(F$3=Interests!$B$5,Interests!$C$5,IF(AND(F$3&gt;Interests!$B$5,F$3&lt;Interests!$I$5),E20*(1+Interests!$H$5/4)+F22-F23,0))</f>
        <v>30000000</v>
      </c>
      <c r="G20" s="0" t="n">
        <f aca="false">IF(G$3=Interests!$B$5,Interests!$C$5,IF(AND(G$3&gt;Interests!$B$5,G$3&lt;Interests!$I$5),F20*(1+Interests!$H$5/4)+G22-G23,0))</f>
        <v>31200000</v>
      </c>
      <c r="H20" s="0" t="n">
        <f aca="false">IF(H$3=Interests!$B$5,Interests!$C$5,IF(AND(H$3&gt;Interests!$B$5,H$3&lt;Interests!$I$5),G20*(1+Interests!$H$5/4)+H22-H23,0))</f>
        <v>32344500</v>
      </c>
      <c r="I20" s="0" t="n">
        <f aca="false">IF(I$3=Interests!$B$5,Interests!$C$5,IF(AND(I$3&gt;Interests!$B$5,I$3&lt;Interests!$I$5),H20*(1+Interests!$H$5/4)+I22-I23,0))</f>
        <v>33438007.5</v>
      </c>
      <c r="J20" s="0" t="n">
        <f aca="false">IF(J$3=Interests!$B$5,Interests!$C$5,IF(AND(J$3&gt;Interests!$B$5,J$3&lt;Interests!$I$5),I20*(1+Interests!$H$5/4)+J22-J23,0))</f>
        <v>34484695.3875</v>
      </c>
      <c r="K20" s="0" t="n">
        <f aca="false">IF(K$3=Interests!$B$5,Interests!$C$5,IF(AND(K$3&gt;Interests!$B$5,K$3&lt;Interests!$I$5),J20*(1+Interests!$H$5/4)+K22-K23,0))</f>
        <v>35488427.0679375</v>
      </c>
      <c r="L20" s="0" t="n">
        <f aca="false">IF(L$3=Interests!$B$5,Interests!$C$5,IF(AND(L$3&gt;Interests!$B$5,L$3&lt;Interests!$I$5),K20*(1+Interests!$H$5/4)+L22-L23,0))</f>
        <v>36452779.7106872</v>
      </c>
      <c r="M20" s="0" t="n">
        <f aca="false">IF(M$3=Interests!$B$5,Interests!$C$5,IF(AND(M$3&gt;Interests!$B$5,M$3&lt;Interests!$I$5),L20*(1+Interests!$H$5/4)+M22-M23,0))</f>
        <v>37381065.7519591</v>
      </c>
      <c r="N20" s="0" t="n">
        <f aca="false">IF(N$3=Interests!$B$5,Interests!$C$5,IF(AND(N$3&gt;Interests!$B$5,N$3&lt;Interests!$I$5),M20*(1+Interests!$H$5/4)+N22-N23,0))</f>
        <v>38276352.7853313</v>
      </c>
      <c r="O20" s="0" t="n">
        <f aca="false">IF(O$3=Interests!$B$5,Interests!$C$5,IF(AND(O$3&gt;Interests!$B$5,O$3&lt;Interests!$I$5),N20*(1+Interests!$H$5/4)+O22-O23,0))</f>
        <v>39141481.9608484</v>
      </c>
      <c r="P20" s="0" t="n">
        <f aca="false">IF(P$3=Interests!$B$5,Interests!$C$5,IF(AND(P$3&gt;Interests!$B$5,P$3&lt;Interests!$I$5),O20*(1+Interests!$H$5/4)+P22-P23,0))</f>
        <v>39979085.0045458</v>
      </c>
      <c r="Q20" s="0" t="n">
        <f aca="false">IF(Q$3=Interests!$B$5,Interests!$C$5,IF(AND(Q$3&gt;Interests!$B$5,Q$3&lt;Interests!$I$5),P20*(1+Interests!$H$5/4)+Q22-Q23,0))</f>
        <v>40791599.9618735</v>
      </c>
      <c r="R20" s="0" t="n">
        <f aca="false">IF(R$3=Interests!$B$5,Interests!$C$5,IF(AND(R$3&gt;Interests!$B$5,R$3&lt;Interests!$I$5),Q20*(1+Interests!$H$5/4)+R22-R23,0))</f>
        <v>41581285.7607283</v>
      </c>
      <c r="S20" s="0" t="n">
        <f aca="false">IF(S$3=Interests!$B$5,Interests!$C$5,IF(AND(S$3&gt;Interests!$B$5,S$3&lt;Interests!$I$5),R20*(1+Interests!$H$5/4)+S22-S23,0))</f>
        <v>42350235.682629</v>
      </c>
      <c r="T20" s="0" t="n">
        <f aca="false">IF(T$3=Interests!$B$5,Interests!$C$5,IF(AND(T$3&gt;Interests!$B$5,T$3&lt;Interests!$I$5),S20*(1+Interests!$H$5/4)+T22-T23,0))</f>
        <v>43100389.8239266</v>
      </c>
      <c r="U20" s="0" t="n">
        <f aca="false">IF(U$3=Interests!$B$5,Interests!$C$5,IF(AND(U$3&gt;Interests!$B$5,U$3&lt;Interests!$I$5),T20*(1+Interests!$H$5/4)+U22-U23,0))</f>
        <v>43833546.6228019</v>
      </c>
      <c r="V20" s="0" t="n">
        <f aca="false">IF(V$3=Interests!$B$5,Interests!$C$5,IF(AND(V$3&gt;Interests!$B$5,V$3&lt;Interests!$I$5),U20*(1+Interests!$H$5/4)+V22-V23,0))</f>
        <v>44551373.5221183</v>
      </c>
      <c r="W20" s="0" t="n">
        <f aca="false">IF(W$3=Interests!$B$5,Interests!$C$5,IF(AND(W$3&gt;Interests!$B$5,W$3&lt;Interests!$I$5),V20*(1+Interests!$H$5/4)+W22-W23,0))</f>
        <v>45255416.8329462</v>
      </c>
      <c r="X20" s="0" t="n">
        <f aca="false">IF(X$3=Interests!$B$5,Interests!$C$5,IF(AND(X$3&gt;Interests!$B$5,X$3&lt;Interests!$I$5),W20*(1+Interests!$H$5/4)+X22-X23,0))</f>
        <v>45947110.8587118</v>
      </c>
      <c r="Y20" s="0" t="n">
        <f aca="false">IF(Y$3=Interests!$B$5,Interests!$C$5,IF(AND(Y$3&gt;Interests!$B$5,Y$3&lt;Interests!$I$5),X20*(1+Interests!$H$5/4)+Y22-Y23,0))</f>
        <v>46627786.3354274</v>
      </c>
      <c r="Z20" s="0" t="n">
        <f aca="false">IF(Z$3=Interests!$B$5,Interests!$C$5,IF(AND(Z$3&gt;Interests!$B$5,Z$3&lt;Interests!$I$5),Y20*(1+Interests!$H$5/4)+Z22-Z23,0))</f>
        <v>47298678.2393005</v>
      </c>
      <c r="AA20" s="0" t="n">
        <f aca="false">IF(AA$3=Interests!$B$5,Interests!$C$5,IF(AND(AA$3&gt;Interests!$B$5,AA$3&lt;Interests!$I$5),Z20*(1+Interests!$H$5/4)+AA22-AA23,0))</f>
        <v>47960933.0091735</v>
      </c>
      <c r="AB20" s="0" t="n">
        <f aca="false">IF(AB$3=Interests!$B$5,Interests!$C$5,IF(AND(AB$3&gt;Interests!$B$5,AB$3&lt;Interests!$I$5),AA20*(1+Interests!$H$5/4)+AB22-AB23,0))</f>
        <v>48615615.2276841</v>
      </c>
      <c r="AC20" s="0" t="n">
        <f aca="false">IF(AC$3=Interests!$B$5,Interests!$C$5,IF(AND(AC$3&gt;Interests!$B$5,AC$3&lt;Interests!$I$5),AB20*(1+Interests!$H$5/4)+AC22-AC23,0))</f>
        <v>49263713.8017485</v>
      </c>
      <c r="AD20" s="0" t="n">
        <f aca="false">IF(AD$3=Interests!$B$5,Interests!$C$5,IF(AND(AD$3&gt;Interests!$B$5,AD$3&lt;Interests!$I$5),AC20*(1+Interests!$H$5/4)+AD22-AD23,0))</f>
        <v>0</v>
      </c>
      <c r="AE20" s="0" t="n">
        <f aca="false">IF(AE$3=Interests!$B$5,Interests!$C$5,IF(AND(AE$3&gt;Interests!$B$5,AE$3&lt;Interests!$I$5),AD20*(1+Interests!$H$5/4)+AE22-AE23,0))</f>
        <v>0</v>
      </c>
      <c r="AF20" s="0" t="n">
        <f aca="false">IF(AF$3=Interests!$B$5,Interests!$C$5,IF(AND(AF$3&gt;Interests!$B$5,AF$3&lt;Interests!$I$5),AE20*(1+Interests!$H$5/4)+AF22-AF23,0))</f>
        <v>0</v>
      </c>
      <c r="AG20" s="0" t="n">
        <f aca="false">IF(AG$3=Interests!$B$5,Interests!$C$5,IF(AND(AG$3&gt;Interests!$B$5,AG$3&lt;Interests!$I$5),AF20*(1+Interests!$H$5/4)+AG22-AG23,0))</f>
        <v>0</v>
      </c>
      <c r="AH20" s="0" t="n">
        <f aca="false">IF(AH$3=Interests!$B$5,Interests!$C$5,IF(AND(AH$3&gt;Interests!$B$5,AH$3&lt;Interests!$I$5),AG20*(1+Interests!$H$5/4)+AH22-AH23,0))</f>
        <v>0</v>
      </c>
    </row>
    <row r="21" customFormat="false" ht="15" hidden="false" customHeight="false" outlineLevel="0" collapsed="false">
      <c r="A21" s="0" t="s">
        <v>42</v>
      </c>
      <c r="B21" s="0" t="n">
        <f aca="false">IF(B$3=Interests!$B$5,Interests!$E$5,IF(AND(B$3&gt;Interests!$B$5,B$3&lt;Interests!$I$5),0-B22,0))</f>
        <v>0</v>
      </c>
      <c r="C21" s="0" t="n">
        <f aca="false">IF(C$3=Interests!$B$5,Interests!$E$5,IF(AND(C$3&gt;Interests!$B$5,C$3&lt;Interests!$I$5),B21-C22,0))</f>
        <v>0</v>
      </c>
      <c r="D21" s="0" t="n">
        <f aca="false">IF(D$3=Interests!$B$5,Interests!$E$5,IF(AND(D$3&gt;Interests!$B$5,D$3&lt;Interests!$I$5),C21-D22,0))</f>
        <v>0</v>
      </c>
      <c r="E21" s="0" t="n">
        <f aca="false">IF(E$3=Interests!$B$5,Interests!$E$5,IF(AND(E$3&gt;Interests!$B$5,E$3&lt;Interests!$I$5),D21-E22,0))</f>
        <v>0</v>
      </c>
      <c r="F21" s="0" t="n">
        <f aca="false">IF(F$3=Interests!$B$5,Interests!$E$5,IF(AND(F$3&gt;Interests!$B$5,F$3&lt;Interests!$I$5),E21-F22,0))</f>
        <v>12000000</v>
      </c>
      <c r="G21" s="0" t="n">
        <f aca="false">IF(G$3=Interests!$B$5,Interests!$E$5,IF(AND(G$3&gt;Interests!$B$5,G$3&lt;Interests!$I$5),F21-G22,0))</f>
        <v>11100000</v>
      </c>
      <c r="H21" s="0" t="n">
        <f aca="false">IF(H$3=Interests!$B$5,Interests!$E$5,IF(AND(H$3&gt;Interests!$B$5,H$3&lt;Interests!$I$5),G21-H22,0))</f>
        <v>10267500</v>
      </c>
      <c r="I21" s="0" t="n">
        <f aca="false">IF(I$3=Interests!$B$5,Interests!$E$5,IF(AND(I$3&gt;Interests!$B$5,I$3&lt;Interests!$I$5),H21-I22,0))</f>
        <v>9497437.5</v>
      </c>
      <c r="J21" s="0" t="n">
        <f aca="false">IF(J$3=Interests!$B$5,Interests!$E$5,IF(AND(J$3&gt;Interests!$B$5,J$3&lt;Interests!$I$5),I21-J22,0))</f>
        <v>8785129.6875</v>
      </c>
      <c r="K21" s="0" t="n">
        <f aca="false">IF(K$3=Interests!$B$5,Interests!$E$5,IF(AND(K$3&gt;Interests!$B$5,K$3&lt;Interests!$I$5),J21-K22,0))</f>
        <v>8126244.9609375</v>
      </c>
      <c r="L21" s="0" t="n">
        <f aca="false">IF(L$3=Interests!$B$5,Interests!$E$5,IF(AND(L$3&gt;Interests!$B$5,L$3&lt;Interests!$I$5),K21-L22,0))</f>
        <v>7516776.58886719</v>
      </c>
      <c r="M21" s="0" t="n">
        <f aca="false">IF(M$3=Interests!$B$5,Interests!$E$5,IF(AND(M$3&gt;Interests!$B$5,M$3&lt;Interests!$I$5),L21-M22,0))</f>
        <v>6953018.34470215</v>
      </c>
      <c r="N21" s="0" t="n">
        <f aca="false">IF(N$3=Interests!$B$5,Interests!$E$5,IF(AND(N$3&gt;Interests!$B$5,N$3&lt;Interests!$I$5),M21-N22,0))</f>
        <v>6431541.96884949</v>
      </c>
      <c r="O21" s="0" t="n">
        <f aca="false">IF(O$3=Interests!$B$5,Interests!$E$5,IF(AND(O$3&gt;Interests!$B$5,O$3&lt;Interests!$I$5),N21-O22,0))</f>
        <v>5949176.32118578</v>
      </c>
      <c r="P21" s="0" t="n">
        <f aca="false">IF(P$3=Interests!$B$5,Interests!$E$5,IF(AND(P$3&gt;Interests!$B$5,P$3&lt;Interests!$I$5),O21-P22,0))</f>
        <v>5502988.09709684</v>
      </c>
      <c r="Q21" s="0" t="n">
        <f aca="false">IF(Q$3=Interests!$B$5,Interests!$E$5,IF(AND(Q$3&gt;Interests!$B$5,Q$3&lt;Interests!$I$5),P21-Q22,0))</f>
        <v>5090263.98981458</v>
      </c>
      <c r="R21" s="0" t="n">
        <f aca="false">IF(R$3=Interests!$B$5,Interests!$E$5,IF(AND(R$3&gt;Interests!$B$5,R$3&lt;Interests!$I$5),Q21-R22,0))</f>
        <v>4708494.19057849</v>
      </c>
      <c r="S21" s="0" t="n">
        <f aca="false">IF(S$3=Interests!$B$5,Interests!$E$5,IF(AND(S$3&gt;Interests!$B$5,S$3&lt;Interests!$I$5),R21-S22,0))</f>
        <v>4355357.1262851</v>
      </c>
      <c r="T21" s="0" t="n">
        <f aca="false">IF(T$3=Interests!$B$5,Interests!$E$5,IF(AND(T$3&gt;Interests!$B$5,T$3&lt;Interests!$I$5),S21-T22,0))</f>
        <v>4028705.34181372</v>
      </c>
      <c r="U21" s="0" t="n">
        <f aca="false">IF(U$3=Interests!$B$5,Interests!$E$5,IF(AND(U$3&gt;Interests!$B$5,U$3&lt;Interests!$I$5),T21-U22,0))</f>
        <v>3726552.44117769</v>
      </c>
      <c r="V21" s="0" t="n">
        <f aca="false">IF(V$3=Interests!$B$5,Interests!$E$5,IF(AND(V$3&gt;Interests!$B$5,V$3&lt;Interests!$I$5),U21-V22,0))</f>
        <v>3447061.00808936</v>
      </c>
      <c r="W21" s="0" t="n">
        <f aca="false">IF(W$3=Interests!$B$5,Interests!$E$5,IF(AND(W$3&gt;Interests!$B$5,W$3&lt;Interests!$I$5),V21-W22,0))</f>
        <v>3188531.43248266</v>
      </c>
      <c r="X21" s="0" t="n">
        <f aca="false">IF(X$3=Interests!$B$5,Interests!$E$5,IF(AND(X$3&gt;Interests!$B$5,X$3&lt;Interests!$I$5),W21-X22,0))</f>
        <v>2949391.57504646</v>
      </c>
      <c r="Y21" s="0" t="n">
        <f aca="false">IF(Y$3=Interests!$B$5,Interests!$E$5,IF(AND(Y$3&gt;Interests!$B$5,Y$3&lt;Interests!$I$5),X21-Y22,0))</f>
        <v>2728187.20691798</v>
      </c>
      <c r="Z21" s="0" t="n">
        <f aca="false">IF(Z$3=Interests!$B$5,Interests!$E$5,IF(AND(Z$3&gt;Interests!$B$5,Z$3&lt;Interests!$I$5),Y21-Z22,0))</f>
        <v>2523573.16639913</v>
      </c>
      <c r="AA21" s="0" t="n">
        <f aca="false">IF(AA$3=Interests!$B$5,Interests!$E$5,IF(AND(AA$3&gt;Interests!$B$5,AA$3&lt;Interests!$I$5),Z21-AA22,0))</f>
        <v>2334305.17891919</v>
      </c>
      <c r="AB21" s="0" t="n">
        <f aca="false">IF(AB$3=Interests!$B$5,Interests!$E$5,IF(AND(AB$3&gt;Interests!$B$5,AB$3&lt;Interests!$I$5),AA21-AB22,0))</f>
        <v>2159232.29050025</v>
      </c>
      <c r="AC21" s="0" t="n">
        <f aca="false">IF(AC$3=Interests!$B$5,Interests!$E$5,IF(AND(AC$3&gt;Interests!$B$5,AC$3&lt;Interests!$I$5),AB21-AC22,0))</f>
        <v>1997289.86871273</v>
      </c>
      <c r="AD21" s="0" t="n">
        <f aca="false">IF(AD$3=Interests!$B$5,Interests!$E$5,IF(AND(AD$3&gt;Interests!$B$5,AD$3&lt;Interests!$I$5),AC21-AD22,0))</f>
        <v>0</v>
      </c>
      <c r="AE21" s="0" t="n">
        <f aca="false">IF(AE$3=Interests!$B$5,Interests!$E$5,IF(AND(AE$3&gt;Interests!$B$5,AE$3&lt;Interests!$I$5),AD21-AE22,0))</f>
        <v>0</v>
      </c>
      <c r="AF21" s="0" t="n">
        <f aca="false">IF(AF$3=Interests!$B$5,Interests!$E$5,IF(AND(AF$3&gt;Interests!$B$5,AF$3&lt;Interests!$I$5),AE21-AF22,0))</f>
        <v>0</v>
      </c>
      <c r="AG21" s="0" t="n">
        <f aca="false">IF(AG$3=Interests!$B$5,Interests!$E$5,IF(AND(AG$3&gt;Interests!$B$5,AG$3&lt;Interests!$I$5),AF21-AG22,0))</f>
        <v>0</v>
      </c>
      <c r="AH21" s="0" t="n">
        <f aca="false">IF(AH$3=Interests!$B$5,Interests!$E$5,IF(AND(AH$3&gt;Interests!$B$5,AH$3&lt;Interests!$I$5),AG21-AH22,0))</f>
        <v>0</v>
      </c>
    </row>
    <row r="22" customFormat="false" ht="15" hidden="false" customHeight="false" outlineLevel="0" collapsed="false">
      <c r="A22" s="0" t="s">
        <v>43</v>
      </c>
      <c r="B22" s="0" t="n">
        <f aca="false">IF(AND(B$3&gt;Interests!$B$5,B$3&lt;Interests!$I$5),0*Interests!$F$5/4,0)</f>
        <v>0</v>
      </c>
      <c r="C22" s="0" t="n">
        <f aca="false">IF(AND(C$3&gt;Interests!$B$5,C$3&lt;Interests!$I$5),B21*Interests!$F$5/4,0)</f>
        <v>0</v>
      </c>
      <c r="D22" s="0" t="n">
        <f aca="false">IF(AND(D$3&gt;Interests!$B$5,D$3&lt;Interests!$I$5),C21*Interests!$F$5/4,0)</f>
        <v>0</v>
      </c>
      <c r="E22" s="0" t="n">
        <f aca="false">IF(AND(E$3&gt;Interests!$B$5,E$3&lt;Interests!$I$5),D21*Interests!$F$5/4,0)</f>
        <v>0</v>
      </c>
      <c r="F22" s="0" t="n">
        <f aca="false">IF(AND(F$3&gt;Interests!$B$5,F$3&lt;Interests!$I$5),E21*Interests!$F$5/4,0)</f>
        <v>0</v>
      </c>
      <c r="G22" s="0" t="n">
        <f aca="false">IF(AND(G$3&gt;Interests!$B$5,G$3&lt;Interests!$I$5),F21*Interests!$F$5/4,0)</f>
        <v>900000</v>
      </c>
      <c r="H22" s="0" t="n">
        <f aca="false">IF(AND(H$3&gt;Interests!$B$5,H$3&lt;Interests!$I$5),G21*Interests!$F$5/4,0)</f>
        <v>832500</v>
      </c>
      <c r="I22" s="0" t="n">
        <f aca="false">IF(AND(I$3&gt;Interests!$B$5,I$3&lt;Interests!$I$5),H21*Interests!$F$5/4,0)</f>
        <v>770062.5</v>
      </c>
      <c r="J22" s="0" t="n">
        <f aca="false">IF(AND(J$3&gt;Interests!$B$5,J$3&lt;Interests!$I$5),I21*Interests!$F$5/4,0)</f>
        <v>712307.8125</v>
      </c>
      <c r="K22" s="0" t="n">
        <f aca="false">IF(AND(K$3&gt;Interests!$B$5,K$3&lt;Interests!$I$5),J21*Interests!$F$5/4,0)</f>
        <v>658884.7265625</v>
      </c>
      <c r="L22" s="0" t="n">
        <f aca="false">IF(AND(L$3&gt;Interests!$B$5,L$3&lt;Interests!$I$5),K21*Interests!$F$5/4,0)</f>
        <v>609468.372070313</v>
      </c>
      <c r="M22" s="0" t="n">
        <f aca="false">IF(AND(M$3&gt;Interests!$B$5,M$3&lt;Interests!$I$5),L21*Interests!$F$5/4,0)</f>
        <v>563758.244165039</v>
      </c>
      <c r="N22" s="0" t="n">
        <f aca="false">IF(AND(N$3&gt;Interests!$B$5,N$3&lt;Interests!$I$5),M21*Interests!$F$5/4,0)</f>
        <v>521476.375852661</v>
      </c>
      <c r="O22" s="0" t="n">
        <f aca="false">IF(AND(O$3&gt;Interests!$B$5,O$3&lt;Interests!$I$5),N21*Interests!$F$5/4,0)</f>
        <v>482365.647663712</v>
      </c>
      <c r="P22" s="0" t="n">
        <f aca="false">IF(AND(P$3&gt;Interests!$B$5,P$3&lt;Interests!$I$5),O21*Interests!$F$5/4,0)</f>
        <v>446188.224088933</v>
      </c>
      <c r="Q22" s="0" t="n">
        <f aca="false">IF(AND(Q$3&gt;Interests!$B$5,Q$3&lt;Interests!$I$5),P21*Interests!$F$5/4,0)</f>
        <v>412724.107282263</v>
      </c>
      <c r="R22" s="0" t="n">
        <f aca="false">IF(AND(R$3&gt;Interests!$B$5,R$3&lt;Interests!$I$5),Q21*Interests!$F$5/4,0)</f>
        <v>381769.799236094</v>
      </c>
      <c r="S22" s="0" t="n">
        <f aca="false">IF(AND(S$3&gt;Interests!$B$5,S$3&lt;Interests!$I$5),R21*Interests!$F$5/4,0)</f>
        <v>353137.064293386</v>
      </c>
      <c r="T22" s="0" t="n">
        <f aca="false">IF(AND(T$3&gt;Interests!$B$5,T$3&lt;Interests!$I$5),S21*Interests!$F$5/4,0)</f>
        <v>326651.784471382</v>
      </c>
      <c r="U22" s="0" t="n">
        <f aca="false">IF(AND(U$3&gt;Interests!$B$5,U$3&lt;Interests!$I$5),T21*Interests!$F$5/4,0)</f>
        <v>302152.900636029</v>
      </c>
      <c r="V22" s="0" t="n">
        <f aca="false">IF(AND(V$3&gt;Interests!$B$5,V$3&lt;Interests!$I$5),U21*Interests!$F$5/4,0)</f>
        <v>279491.433088327</v>
      </c>
      <c r="W22" s="0" t="n">
        <f aca="false">IF(AND(W$3&gt;Interests!$B$5,W$3&lt;Interests!$I$5),V21*Interests!$F$5/4,0)</f>
        <v>258529.575606702</v>
      </c>
      <c r="X22" s="0" t="n">
        <f aca="false">IF(AND(X$3&gt;Interests!$B$5,X$3&lt;Interests!$I$5),W21*Interests!$F$5/4,0)</f>
        <v>239139.857436199</v>
      </c>
      <c r="Y22" s="0" t="n">
        <f aca="false">IF(AND(Y$3&gt;Interests!$B$5,Y$3&lt;Interests!$I$5),X21*Interests!$F$5/4,0)</f>
        <v>221204.368128485</v>
      </c>
      <c r="Z22" s="0" t="n">
        <f aca="false">IF(AND(Z$3&gt;Interests!$B$5,Z$3&lt;Interests!$I$5),Y21*Interests!$F$5/4,0)</f>
        <v>204614.040518848</v>
      </c>
      <c r="AA22" s="0" t="n">
        <f aca="false">IF(AND(AA$3&gt;Interests!$B$5,AA$3&lt;Interests!$I$5),Z21*Interests!$F$5/4,0)</f>
        <v>189267.987479935</v>
      </c>
      <c r="AB22" s="0" t="n">
        <f aca="false">IF(AND(AB$3&gt;Interests!$B$5,AB$3&lt;Interests!$I$5),AA21*Interests!$F$5/4,0)</f>
        <v>175072.888418939</v>
      </c>
      <c r="AC22" s="0" t="n">
        <f aca="false">IF(AND(AC$3&gt;Interests!$B$5,AC$3&lt;Interests!$I$5),AB21*Interests!$F$5/4,0)</f>
        <v>161942.421787519</v>
      </c>
      <c r="AD22" s="0" t="n">
        <f aca="false">IF(AND(AD$3&gt;Interests!$B$5,AD$3&lt;Interests!$I$5),AC21*Interests!$F$5/4,0)</f>
        <v>0</v>
      </c>
      <c r="AE22" s="0" t="n">
        <f aca="false">IF(AND(AE$3&gt;Interests!$B$5,AE$3&lt;Interests!$I$5),AD21*Interests!$F$5/4,0)</f>
        <v>0</v>
      </c>
      <c r="AF22" s="0" t="n">
        <f aca="false">IF(AND(AF$3&gt;Interests!$B$5,AF$3&lt;Interests!$I$5),AE21*Interests!$F$5/4,0)</f>
        <v>0</v>
      </c>
      <c r="AG22" s="0" t="n">
        <f aca="false">IF(AND(AG$3&gt;Interests!$B$5,AG$3&lt;Interests!$I$5),AF21*Interests!$F$5/4,0)</f>
        <v>0</v>
      </c>
      <c r="AH22" s="0" t="n">
        <f aca="false">IF(AND(AH$3&gt;Interests!$B$5,AH$3&lt;Interests!$I$5),AG21*Interests!$F$5/4,0)</f>
        <v>0</v>
      </c>
    </row>
    <row r="23" customFormat="false" ht="15" hidden="false" customHeight="false" outlineLevel="0" collapsed="false">
      <c r="A23" s="0" t="s">
        <v>44</v>
      </c>
      <c r="B23" s="0" t="n">
        <f aca="false">IF(B$3=Interests!$I$5,0*(1+Interests!$H$5/4)+B22,IF(AND(B$3&gt;Interests!$B$5,B$3&lt;Interests!$I$5),0*Interests!$G$5/4,0))</f>
        <v>0</v>
      </c>
      <c r="C23" s="0" t="n">
        <f aca="false">IF(C$3=Interests!$I$5,B20*(1+Interests!$H$5/4)+C22,IF(AND(C$3&gt;Interests!$B$5,C$3&lt;Interests!$I$5),B20*Interests!$G$5/4,0))</f>
        <v>0</v>
      </c>
      <c r="D23" s="0" t="n">
        <f aca="false">IF(D$3=Interests!$I$5,C20*(1+Interests!$H$5/4)+D22,IF(AND(D$3&gt;Interests!$B$5,D$3&lt;Interests!$I$5),C20*Interests!$G$5/4,0))</f>
        <v>0</v>
      </c>
      <c r="E23" s="0" t="n">
        <f aca="false">IF(E$3=Interests!$I$5,D20*(1+Interests!$H$5/4)+E22,IF(AND(E$3&gt;Interests!$B$5,E$3&lt;Interests!$I$5),D20*Interests!$G$5/4,0))</f>
        <v>0</v>
      </c>
      <c r="F23" s="0" t="n">
        <f aca="false">IF(F$3=Interests!$I$5,E20*(1+Interests!$H$5/4)+F22,IF(AND(F$3&gt;Interests!$B$5,F$3&lt;Interests!$I$5),E20*Interests!$G$5/4,0))</f>
        <v>0</v>
      </c>
      <c r="G23" s="0" t="n">
        <f aca="false">IF(G$3=Interests!$I$5,F20*(1+Interests!$H$5/4)+G22,IF(AND(G$3&gt;Interests!$B$5,G$3&lt;Interests!$I$5),F20*Interests!$G$5/4,0))</f>
        <v>450000</v>
      </c>
      <c r="H23" s="0" t="n">
        <f aca="false">IF(H$3=Interests!$I$5,G20*(1+Interests!$H$5/4)+H22,IF(AND(H$3&gt;Interests!$B$5,H$3&lt;Interests!$I$5),G20*Interests!$G$5/4,0))</f>
        <v>468000</v>
      </c>
      <c r="I23" s="0" t="n">
        <f aca="false">IF(I$3=Interests!$I$5,H20*(1+Interests!$H$5/4)+I22,IF(AND(I$3&gt;Interests!$B$5,I$3&lt;Interests!$I$5),H20*Interests!$G$5/4,0))</f>
        <v>485167.5</v>
      </c>
      <c r="J23" s="0" t="n">
        <f aca="false">IF(J$3=Interests!$I$5,I20*(1+Interests!$H$5/4)+J22,IF(AND(J$3&gt;Interests!$B$5,J$3&lt;Interests!$I$5),I20*Interests!$G$5/4,0))</f>
        <v>501570.1125</v>
      </c>
      <c r="K23" s="0" t="n">
        <f aca="false">IF(K$3=Interests!$I$5,J20*(1+Interests!$H$5/4)+K22,IF(AND(K$3&gt;Interests!$B$5,K$3&lt;Interests!$I$5),J20*Interests!$G$5/4,0))</f>
        <v>517270.4308125</v>
      </c>
      <c r="L23" s="0" t="n">
        <f aca="false">IF(L$3=Interests!$I$5,K20*(1+Interests!$H$5/4)+L22,IF(AND(L$3&gt;Interests!$B$5,L$3&lt;Interests!$I$5),K20*Interests!$G$5/4,0))</f>
        <v>532326.406019062</v>
      </c>
      <c r="M23" s="0" t="n">
        <f aca="false">IF(M$3=Interests!$I$5,L20*(1+Interests!$H$5/4)+M22,IF(AND(M$3&gt;Interests!$B$5,M$3&lt;Interests!$I$5),L20*Interests!$G$5/4,0))</f>
        <v>546791.695660308</v>
      </c>
      <c r="N23" s="0" t="n">
        <f aca="false">IF(N$3=Interests!$I$5,M20*(1+Interests!$H$5/4)+N22,IF(AND(N$3&gt;Interests!$B$5,N$3&lt;Interests!$I$5),M20*Interests!$G$5/4,0))</f>
        <v>560715.986279386</v>
      </c>
      <c r="O23" s="0" t="n">
        <f aca="false">IF(O$3=Interests!$I$5,N20*(1+Interests!$H$5/4)+O22,IF(AND(O$3&gt;Interests!$B$5,O$3&lt;Interests!$I$5),N20*Interests!$G$5/4,0))</f>
        <v>574145.29177997</v>
      </c>
      <c r="P23" s="0" t="n">
        <f aca="false">IF(P$3=Interests!$I$5,O20*(1+Interests!$H$5/4)+P22,IF(AND(P$3&gt;Interests!$B$5,P$3&lt;Interests!$I$5),O20*Interests!$G$5/4,0))</f>
        <v>587122.229412725</v>
      </c>
      <c r="Q23" s="0" t="n">
        <f aca="false">IF(Q$3=Interests!$I$5,P20*(1+Interests!$H$5/4)+Q22,IF(AND(Q$3&gt;Interests!$B$5,Q$3&lt;Interests!$I$5),P20*Interests!$G$5/4,0))</f>
        <v>599686.275068187</v>
      </c>
      <c r="R23" s="0" t="n">
        <f aca="false">IF(R$3=Interests!$I$5,Q20*(1+Interests!$H$5/4)+R22,IF(AND(R$3&gt;Interests!$B$5,R$3&lt;Interests!$I$5),Q20*Interests!$G$5/4,0))</f>
        <v>611873.999428102</v>
      </c>
      <c r="S23" s="0" t="n">
        <f aca="false">IF(S$3=Interests!$I$5,R20*(1+Interests!$H$5/4)+S22,IF(AND(S$3&gt;Interests!$B$5,S$3&lt;Interests!$I$5),R20*Interests!$G$5/4,0))</f>
        <v>623719.286410925</v>
      </c>
      <c r="T23" s="0" t="n">
        <f aca="false">IF(T$3=Interests!$I$5,S20*(1+Interests!$H$5/4)+T22,IF(AND(T$3&gt;Interests!$B$5,T$3&lt;Interests!$I$5),S20*Interests!$G$5/4,0))</f>
        <v>635253.535239435</v>
      </c>
      <c r="U23" s="0" t="n">
        <f aca="false">IF(U$3=Interests!$I$5,T20*(1+Interests!$H$5/4)+U22,IF(AND(U$3&gt;Interests!$B$5,U$3&lt;Interests!$I$5),T20*Interests!$G$5/4,0))</f>
        <v>646505.8473589</v>
      </c>
      <c r="V23" s="0" t="n">
        <f aca="false">IF(V$3=Interests!$I$5,U20*(1+Interests!$H$5/4)+V22,IF(AND(V$3&gt;Interests!$B$5,V$3&lt;Interests!$I$5),U20*Interests!$G$5/4,0))</f>
        <v>657503.199342029</v>
      </c>
      <c r="W23" s="0" t="n">
        <f aca="false">IF(W$3=Interests!$I$5,V20*(1+Interests!$H$5/4)+W22,IF(AND(W$3&gt;Interests!$B$5,W$3&lt;Interests!$I$5),V20*Interests!$G$5/4,0))</f>
        <v>668270.602831774</v>
      </c>
      <c r="X23" s="0" t="n">
        <f aca="false">IF(X$3=Interests!$I$5,W20*(1+Interests!$H$5/4)+X22,IF(AND(X$3&gt;Interests!$B$5,X$3&lt;Interests!$I$5),W20*Interests!$G$5/4,0))</f>
        <v>678831.252494192</v>
      </c>
      <c r="Y23" s="0" t="n">
        <f aca="false">IF(Y$3=Interests!$I$5,X20*(1+Interests!$H$5/4)+Y22,IF(AND(Y$3&gt;Interests!$B$5,Y$3&lt;Interests!$I$5),X20*Interests!$G$5/4,0))</f>
        <v>689206.662880677</v>
      </c>
      <c r="Z23" s="0" t="n">
        <f aca="false">IF(Z$3=Interests!$I$5,Y20*(1+Interests!$H$5/4)+Z22,IF(AND(Z$3&gt;Interests!$B$5,Z$3&lt;Interests!$I$5),Y20*Interests!$G$5/4,0))</f>
        <v>699416.795031411</v>
      </c>
      <c r="AA23" s="0" t="n">
        <f aca="false">IF(AA$3=Interests!$I$5,Z20*(1+Interests!$H$5/4)+AA22,IF(AND(AA$3&gt;Interests!$B$5,AA$3&lt;Interests!$I$5),Z20*Interests!$G$5/4,0))</f>
        <v>709480.173589508</v>
      </c>
      <c r="AB23" s="0" t="n">
        <f aca="false">IF(AB$3=Interests!$I$5,AA20*(1+Interests!$H$5/4)+AB22,IF(AND(AB$3&gt;Interests!$B$5,AB$3&lt;Interests!$I$5),AA20*Interests!$G$5/4,0))</f>
        <v>719413.995137602</v>
      </c>
      <c r="AC23" s="0" t="n">
        <f aca="false">IF(AC$3=Interests!$I$5,AB20*(1+Interests!$H$5/4)+AC22,IF(AND(AC$3&gt;Interests!$B$5,AC$3&lt;Interests!$I$5),AB20*Interests!$G$5/4,0))</f>
        <v>729234.228415262</v>
      </c>
      <c r="AD23" s="0" t="n">
        <f aca="false">IF(AD$3=Interests!$I$5,AC20*(1+Interests!$H$5/4)+AD22,IF(AND(AD$3&gt;Interests!$B$5,AD$3&lt;Interests!$I$5),AC20*Interests!$G$5/4,0))</f>
        <v>50495306.6467922</v>
      </c>
      <c r="AE23" s="0" t="n">
        <f aca="false">IF(AE$3=Interests!$I$5,AD20*(1+Interests!$H$5/4)+AE22,IF(AND(AE$3&gt;Interests!$B$5,AE$3&lt;Interests!$I$5),AD20*Interests!$G$5/4,0))</f>
        <v>0</v>
      </c>
      <c r="AF23" s="0" t="n">
        <f aca="false">IF(AF$3=Interests!$I$5,AE20*(1+Interests!$H$5/4)+AF22,IF(AND(AF$3&gt;Interests!$B$5,AF$3&lt;Interests!$I$5),AE20*Interests!$G$5/4,0))</f>
        <v>0</v>
      </c>
      <c r="AG23" s="0" t="n">
        <f aca="false">IF(AG$3=Interests!$I$5,AF20*(1+Interests!$H$5/4)+AG22,IF(AND(AG$3&gt;Interests!$B$5,AG$3&lt;Interests!$I$5),AF20*Interests!$G$5/4,0))</f>
        <v>0</v>
      </c>
      <c r="AH23" s="0" t="n">
        <f aca="false">IF(AH$3=Interests!$I$5,AG20*(1+Interests!$H$5/4)+AH22,IF(AND(AH$3&gt;Interests!$B$5,AH$3&lt;Interests!$I$5),AG20*Interests!$G$5/4,0))</f>
        <v>0</v>
      </c>
    </row>
    <row r="24" customFormat="false" ht="15" hidden="false" customHeight="false" outlineLevel="0" collapsed="false">
      <c r="A24" s="0" t="s">
        <v>45</v>
      </c>
      <c r="B24" s="0" t="n">
        <f aca="false">IF(B$3=Interests!$B$5,Interests!$C$5*(1-Interests!$D$5),0)</f>
        <v>0</v>
      </c>
      <c r="C24" s="0" t="n">
        <f aca="false">IF(C$3=Interests!$B$5,Interests!$C$5*(1-Interests!$D$5),0)</f>
        <v>0</v>
      </c>
      <c r="D24" s="0" t="n">
        <f aca="false">IF(D$3=Interests!$B$5,Interests!$C$5*(1-Interests!$D$5),0)</f>
        <v>0</v>
      </c>
      <c r="E24" s="0" t="n">
        <f aca="false">IF(E$3=Interests!$B$5,Interests!$C$5*(1-Interests!$D$5),0)</f>
        <v>0</v>
      </c>
      <c r="F24" s="0" t="n">
        <f aca="false">IF(F$3=Interests!$B$5,Interests!$C$5*(1-Interests!$D$5),0)</f>
        <v>21000000</v>
      </c>
      <c r="G24" s="0" t="n">
        <f aca="false">IF(G$3=Interests!$B$5,Interests!$C$5*(1-Interests!$D$5),0)</f>
        <v>0</v>
      </c>
      <c r="H24" s="0" t="n">
        <f aca="false">IF(H$3=Interests!$B$5,Interests!$C$5*(1-Interests!$D$5),0)</f>
        <v>0</v>
      </c>
      <c r="I24" s="0" t="n">
        <f aca="false">IF(I$3=Interests!$B$5,Interests!$C$5*(1-Interests!$D$5),0)</f>
        <v>0</v>
      </c>
      <c r="J24" s="0" t="n">
        <f aca="false">IF(J$3=Interests!$B$5,Interests!$C$5*(1-Interests!$D$5),0)</f>
        <v>0</v>
      </c>
      <c r="K24" s="0" t="n">
        <f aca="false">IF(K$3=Interests!$B$5,Interests!$C$5*(1-Interests!$D$5),0)</f>
        <v>0</v>
      </c>
      <c r="L24" s="0" t="n">
        <f aca="false">IF(L$3=Interests!$B$5,Interests!$C$5*(1-Interests!$D$5),0)</f>
        <v>0</v>
      </c>
      <c r="M24" s="0" t="n">
        <f aca="false">IF(M$3=Interests!$B$5,Interests!$C$5*(1-Interests!$D$5),0)</f>
        <v>0</v>
      </c>
      <c r="N24" s="0" t="n">
        <f aca="false">IF(N$3=Interests!$B$5,Interests!$C$5*(1-Interests!$D$5),0)</f>
        <v>0</v>
      </c>
      <c r="O24" s="0" t="n">
        <f aca="false">IF(O$3=Interests!$B$5,Interests!$C$5*(1-Interests!$D$5),0)</f>
        <v>0</v>
      </c>
      <c r="P24" s="0" t="n">
        <f aca="false">IF(P$3=Interests!$B$5,Interests!$C$5*(1-Interests!$D$5),0)</f>
        <v>0</v>
      </c>
      <c r="Q24" s="0" t="n">
        <f aca="false">IF(Q$3=Interests!$B$5,Interests!$C$5*(1-Interests!$D$5),0)</f>
        <v>0</v>
      </c>
      <c r="R24" s="0" t="n">
        <f aca="false">IF(R$3=Interests!$B$5,Interests!$C$5*(1-Interests!$D$5),0)</f>
        <v>0</v>
      </c>
      <c r="S24" s="0" t="n">
        <f aca="false">IF(S$3=Interests!$B$5,Interests!$C$5*(1-Interests!$D$5),0)</f>
        <v>0</v>
      </c>
      <c r="T24" s="0" t="n">
        <f aca="false">IF(T$3=Interests!$B$5,Interests!$C$5*(1-Interests!$D$5),0)</f>
        <v>0</v>
      </c>
      <c r="U24" s="0" t="n">
        <f aca="false">IF(U$3=Interests!$B$5,Interests!$C$5*(1-Interests!$D$5),0)</f>
        <v>0</v>
      </c>
      <c r="V24" s="0" t="n">
        <f aca="false">IF(V$3=Interests!$B$5,Interests!$C$5*(1-Interests!$D$5),0)</f>
        <v>0</v>
      </c>
      <c r="W24" s="0" t="n">
        <f aca="false">IF(W$3=Interests!$B$5,Interests!$C$5*(1-Interests!$D$5),0)</f>
        <v>0</v>
      </c>
      <c r="X24" s="0" t="n">
        <f aca="false">IF(X$3=Interests!$B$5,Interests!$C$5*(1-Interests!$D$5),0)</f>
        <v>0</v>
      </c>
      <c r="Y24" s="0" t="n">
        <f aca="false">IF(Y$3=Interests!$B$5,Interests!$C$5*(1-Interests!$D$5),0)</f>
        <v>0</v>
      </c>
      <c r="Z24" s="0" t="n">
        <f aca="false">IF(Z$3=Interests!$B$5,Interests!$C$5*(1-Interests!$D$5),0)</f>
        <v>0</v>
      </c>
      <c r="AA24" s="0" t="n">
        <f aca="false">IF(AA$3=Interests!$B$5,Interests!$C$5*(1-Interests!$D$5),0)</f>
        <v>0</v>
      </c>
      <c r="AB24" s="0" t="n">
        <f aca="false">IF(AB$3=Interests!$B$5,Interests!$C$5*(1-Interests!$D$5),0)</f>
        <v>0</v>
      </c>
      <c r="AC24" s="0" t="n">
        <f aca="false">IF(AC$3=Interests!$B$5,Interests!$C$5*(1-Interests!$D$5),0)</f>
        <v>0</v>
      </c>
      <c r="AD24" s="0" t="n">
        <f aca="false">IF(AD$3=Interests!$B$5,Interests!$C$5*(1-Interests!$D$5),0)</f>
        <v>0</v>
      </c>
      <c r="AE24" s="0" t="n">
        <f aca="false">IF(AE$3=Interests!$B$5,Interests!$C$5*(1-Interests!$D$5),0)</f>
        <v>0</v>
      </c>
      <c r="AF24" s="0" t="n">
        <f aca="false">IF(AF$3=Interests!$B$5,Interests!$C$5*(1-Interests!$D$5),0)</f>
        <v>0</v>
      </c>
      <c r="AG24" s="0" t="n">
        <f aca="false">IF(AG$3=Interests!$B$5,Interests!$C$5*(1-Interests!$D$5),0)</f>
        <v>0</v>
      </c>
      <c r="AH24" s="0" t="n">
        <f aca="false">IF(AH$3=Interests!$B$5,Interests!$C$5*(1-Interests!$D$5),0)</f>
        <v>0</v>
      </c>
    </row>
    <row r="25" customFormat="false" ht="15" hidden="false" customHeight="false" outlineLevel="0" collapsed="false">
      <c r="A25" s="0" t="s">
        <v>46</v>
      </c>
      <c r="B25" s="0" t="n">
        <f aca="false">IF(B$3=Interests!$B$6,Interests!$C$6,IF(AND(B$3&gt;Interests!$B$6,B$3&lt;Interests!$I$6),0*(1+Interests!$H$6/4)+B27-B28,0))</f>
        <v>0</v>
      </c>
      <c r="C25" s="0" t="n">
        <f aca="false">IF(C$3=Interests!$B$6,Interests!$C$6,IF(AND(C$3&gt;Interests!$B$6,C$3&lt;Interests!$I$6),B25*(1+Interests!$H$6/4)+C27-C28,0))</f>
        <v>0</v>
      </c>
      <c r="D25" s="0" t="n">
        <f aca="false">IF(D$3=Interests!$B$6,Interests!$C$6,IF(AND(D$3&gt;Interests!$B$6,D$3&lt;Interests!$I$6),C25*(1+Interests!$H$6/4)+D27-D28,0))</f>
        <v>0</v>
      </c>
      <c r="E25" s="0" t="n">
        <f aca="false">IF(E$3=Interests!$B$6,Interests!$C$6,IF(AND(E$3&gt;Interests!$B$6,E$3&lt;Interests!$I$6),D25*(1+Interests!$H$6/4)+E27-E28,0))</f>
        <v>0</v>
      </c>
      <c r="F25" s="0" t="n">
        <f aca="false">IF(F$3=Interests!$B$6,Interests!$C$6,IF(AND(F$3&gt;Interests!$B$6,F$3&lt;Interests!$I$6),E25*(1+Interests!$H$6/4)+F27-F28,0))</f>
        <v>0</v>
      </c>
      <c r="G25" s="0" t="n">
        <f aca="false">IF(G$3=Interests!$B$6,Interests!$C$6,IF(AND(G$3&gt;Interests!$B$6,G$3&lt;Interests!$I$6),F25*(1+Interests!$H$6/4)+G27-G28,0))</f>
        <v>40000000</v>
      </c>
      <c r="H25" s="0" t="n">
        <f aca="false">IF(H$3=Interests!$B$6,Interests!$C$6,IF(AND(H$3&gt;Interests!$B$6,H$3&lt;Interests!$I$6),G25*(1+Interests!$H$6/4)+H27-H28,0))</f>
        <v>39050000</v>
      </c>
      <c r="I25" s="0" t="n">
        <f aca="false">IF(I$3=Interests!$B$6,Interests!$C$6,IF(AND(I$3&gt;Interests!$B$6,I$3&lt;Interests!$I$6),H25*(1+Interests!$H$6/4)+I27-I28,0))</f>
        <v>38046625</v>
      </c>
      <c r="J25" s="0" t="n">
        <f aca="false">IF(J$3=Interests!$B$6,Interests!$C$6,IF(AND(J$3&gt;Interests!$B$6,J$3&lt;Interests!$I$6),I25*(1+Interests!$H$6/4)+J27-J28,0))</f>
        <v>37003862.1875</v>
      </c>
      <c r="K25" s="0" t="n">
        <f aca="false">IF(K$3=Interests!$B$6,Interests!$C$6,IF(AND(K$3&gt;Interests!$B$6,K$3&lt;Interests!$I$6),J25*(1+Interests!$H$6/4)+K27-K28,0))</f>
        <v>35933639.4507813</v>
      </c>
      <c r="L25" s="0" t="n">
        <f aca="false">IF(L$3=Interests!$B$6,Interests!$C$6,IF(AND(L$3&gt;Interests!$B$6,L$3&lt;Interests!$I$6),K25*(1+Interests!$H$6/4)+L27-L28,0))</f>
        <v>34846096.0045918</v>
      </c>
      <c r="M25" s="0" t="n">
        <f aca="false">IF(M$3=Interests!$B$6,Interests!$C$6,IF(AND(M$3&gt;Interests!$B$6,M$3&lt;Interests!$I$6),L25*(1+Interests!$H$6/4)+M27-M28,0))</f>
        <v>33749818.6260568</v>
      </c>
      <c r="N25" s="0" t="n">
        <f aca="false">IF(N$3=Interests!$B$6,Interests!$C$6,IF(AND(N$3&gt;Interests!$B$6,N$3&lt;Interests!$I$6),M25*(1+Interests!$H$6/4)+N27-N28,0))</f>
        <v>32652047.823402</v>
      </c>
      <c r="O25" s="0" t="n">
        <f aca="false">IF(O$3=Interests!$B$6,Interests!$C$6,IF(AND(O$3&gt;Interests!$B$6,O$3&lt;Interests!$I$6),N25*(1+Interests!$H$6/4)+O27-O28,0))</f>
        <v>31558857.718741</v>
      </c>
      <c r="P25" s="0" t="n">
        <f aca="false">IF(P$3=Interests!$B$6,Interests!$C$6,IF(AND(P$3&gt;Interests!$B$6,P$3&lt;Interests!$I$6),O25*(1+Interests!$H$6/4)+P27-P28,0))</f>
        <v>30475312.9525489</v>
      </c>
      <c r="Q25" s="0" t="n">
        <f aca="false">IF(Q$3=Interests!$B$6,Interests!$C$6,IF(AND(Q$3&gt;Interests!$B$6,Q$3&lt;Interests!$I$6),P25*(1+Interests!$H$6/4)+Q27-Q28,0))</f>
        <v>29405605.5030631</v>
      </c>
      <c r="R25" s="0" t="n">
        <f aca="false">IF(R$3=Interests!$B$6,Interests!$C$6,IF(AND(R$3&gt;Interests!$B$6,R$3&lt;Interests!$I$6),Q25*(1+Interests!$H$6/4)+R27-R28,0))</f>
        <v>0</v>
      </c>
      <c r="S25" s="0" t="n">
        <f aca="false">IF(S$3=Interests!$B$6,Interests!$C$6,IF(AND(S$3&gt;Interests!$B$6,S$3&lt;Interests!$I$6),R25*(1+Interests!$H$6/4)+S27-S28,0))</f>
        <v>0</v>
      </c>
      <c r="T25" s="0" t="n">
        <f aca="false">IF(T$3=Interests!$B$6,Interests!$C$6,IF(AND(T$3&gt;Interests!$B$6,T$3&lt;Interests!$I$6),S25*(1+Interests!$H$6/4)+T27-T28,0))</f>
        <v>0</v>
      </c>
      <c r="U25" s="0" t="n">
        <f aca="false">IF(U$3=Interests!$B$6,Interests!$C$6,IF(AND(U$3&gt;Interests!$B$6,U$3&lt;Interests!$I$6),T25*(1+Interests!$H$6/4)+U27-U28,0))</f>
        <v>0</v>
      </c>
      <c r="V25" s="0" t="n">
        <f aca="false">IF(V$3=Interests!$B$6,Interests!$C$6,IF(AND(V$3&gt;Interests!$B$6,V$3&lt;Interests!$I$6),U25*(1+Interests!$H$6/4)+V27-V28,0))</f>
        <v>0</v>
      </c>
      <c r="W25" s="0" t="n">
        <f aca="false">IF(W$3=Interests!$B$6,Interests!$C$6,IF(AND(W$3&gt;Interests!$B$6,W$3&lt;Interests!$I$6),V25*(1+Interests!$H$6/4)+W27-W28,0))</f>
        <v>0</v>
      </c>
      <c r="X25" s="0" t="n">
        <f aca="false">IF(X$3=Interests!$B$6,Interests!$C$6,IF(AND(X$3&gt;Interests!$B$6,X$3&lt;Interests!$I$6),W25*(1+Interests!$H$6/4)+X27-X28,0))</f>
        <v>0</v>
      </c>
      <c r="Y25" s="0" t="n">
        <f aca="false">IF(Y$3=Interests!$B$6,Interests!$C$6,IF(AND(Y$3&gt;Interests!$B$6,Y$3&lt;Interests!$I$6),X25*(1+Interests!$H$6/4)+Y27-Y28,0))</f>
        <v>0</v>
      </c>
      <c r="Z25" s="0" t="n">
        <f aca="false">IF(Z$3=Interests!$B$6,Interests!$C$6,IF(AND(Z$3&gt;Interests!$B$6,Z$3&lt;Interests!$I$6),Y25*(1+Interests!$H$6/4)+Z27-Z28,0))</f>
        <v>0</v>
      </c>
      <c r="AA25" s="0" t="n">
        <f aca="false">IF(AA$3=Interests!$B$6,Interests!$C$6,IF(AND(AA$3&gt;Interests!$B$6,AA$3&lt;Interests!$I$6),Z25*(1+Interests!$H$6/4)+AA27-AA28,0))</f>
        <v>0</v>
      </c>
      <c r="AB25" s="0" t="n">
        <f aca="false">IF(AB$3=Interests!$B$6,Interests!$C$6,IF(AND(AB$3&gt;Interests!$B$6,AB$3&lt;Interests!$I$6),AA25*(1+Interests!$H$6/4)+AB27-AB28,0))</f>
        <v>0</v>
      </c>
      <c r="AC25" s="0" t="n">
        <f aca="false">IF(AC$3=Interests!$B$6,Interests!$C$6,IF(AND(AC$3&gt;Interests!$B$6,AC$3&lt;Interests!$I$6),AB25*(1+Interests!$H$6/4)+AC27-AC28,0))</f>
        <v>0</v>
      </c>
      <c r="AD25" s="0" t="n">
        <f aca="false">IF(AD$3=Interests!$B$6,Interests!$C$6,IF(AND(AD$3&gt;Interests!$B$6,AD$3&lt;Interests!$I$6),AC25*(1+Interests!$H$6/4)+AD27-AD28,0))</f>
        <v>0</v>
      </c>
      <c r="AE25" s="0" t="n">
        <f aca="false">IF(AE$3=Interests!$B$6,Interests!$C$6,IF(AND(AE$3&gt;Interests!$B$6,AE$3&lt;Interests!$I$6),AD25*(1+Interests!$H$6/4)+AE27-AE28,0))</f>
        <v>0</v>
      </c>
      <c r="AF25" s="0" t="n">
        <f aca="false">IF(AF$3=Interests!$B$6,Interests!$C$6,IF(AND(AF$3&gt;Interests!$B$6,AF$3&lt;Interests!$I$6),AE25*(1+Interests!$H$6/4)+AF27-AF28,0))</f>
        <v>0</v>
      </c>
      <c r="AG25" s="0" t="n">
        <f aca="false">IF(AG$3=Interests!$B$6,Interests!$C$6,IF(AND(AG$3&gt;Interests!$B$6,AG$3&lt;Interests!$I$6),AF25*(1+Interests!$H$6/4)+AG27-AG28,0))</f>
        <v>0</v>
      </c>
      <c r="AH25" s="0" t="n">
        <f aca="false">IF(AH$3=Interests!$B$6,Interests!$C$6,IF(AND(AH$3&gt;Interests!$B$6,AH$3&lt;Interests!$I$6),AG25*(1+Interests!$H$6/4)+AH27-AH28,0))</f>
        <v>0</v>
      </c>
    </row>
    <row r="26" customFormat="false" ht="15" hidden="false" customHeight="false" outlineLevel="0" collapsed="false">
      <c r="A26" s="0" t="s">
        <v>47</v>
      </c>
      <c r="B26" s="0" t="n">
        <f aca="false">IF(B$3=Interests!$B$6,Interests!$E$6,IF(AND(B$3&gt;Interests!$B$6,B$3&lt;Interests!$I$6),0-B27,0))</f>
        <v>0</v>
      </c>
      <c r="C26" s="0" t="n">
        <f aca="false">IF(C$3=Interests!$B$6,Interests!$E$6,IF(AND(C$3&gt;Interests!$B$6,C$3&lt;Interests!$I$6),B26-C27,0))</f>
        <v>0</v>
      </c>
      <c r="D26" s="0" t="n">
        <f aca="false">IF(D$3=Interests!$B$6,Interests!$E$6,IF(AND(D$3&gt;Interests!$B$6,D$3&lt;Interests!$I$6),C26-D27,0))</f>
        <v>0</v>
      </c>
      <c r="E26" s="0" t="n">
        <f aca="false">IF(E$3=Interests!$B$6,Interests!$E$6,IF(AND(E$3&gt;Interests!$B$6,E$3&lt;Interests!$I$6),D26-E27,0))</f>
        <v>0</v>
      </c>
      <c r="F26" s="0" t="n">
        <f aca="false">IF(F$3=Interests!$B$6,Interests!$E$6,IF(AND(F$3&gt;Interests!$B$6,F$3&lt;Interests!$I$6),E26-F27,0))</f>
        <v>0</v>
      </c>
      <c r="G26" s="0" t="n">
        <f aca="false">IF(G$3=Interests!$B$6,Interests!$E$6,IF(AND(G$3&gt;Interests!$B$6,G$3&lt;Interests!$I$6),F26-G27,0))</f>
        <v>6000000</v>
      </c>
      <c r="H26" s="0" t="n">
        <f aca="false">IF(H$3=Interests!$B$6,Interests!$E$6,IF(AND(H$3&gt;Interests!$B$6,H$3&lt;Interests!$I$6),G26-H27,0))</f>
        <v>5250000</v>
      </c>
      <c r="I26" s="0" t="n">
        <f aca="false">IF(I$3=Interests!$B$6,Interests!$E$6,IF(AND(I$3&gt;Interests!$B$6,I$3&lt;Interests!$I$6),H26-I27,0))</f>
        <v>4593750</v>
      </c>
      <c r="J26" s="0" t="n">
        <f aca="false">IF(J$3=Interests!$B$6,Interests!$E$6,IF(AND(J$3&gt;Interests!$B$6,J$3&lt;Interests!$I$6),I26-J27,0))</f>
        <v>4019531.25</v>
      </c>
      <c r="K26" s="0" t="n">
        <f aca="false">IF(K$3=Interests!$B$6,Interests!$E$6,IF(AND(K$3&gt;Interests!$B$6,K$3&lt;Interests!$I$6),J26-K27,0))</f>
        <v>3517089.84375</v>
      </c>
      <c r="L26" s="0" t="n">
        <f aca="false">IF(L$3=Interests!$B$6,Interests!$E$6,IF(AND(L$3&gt;Interests!$B$6,L$3&lt;Interests!$I$6),K26-L27,0))</f>
        <v>3077453.61328125</v>
      </c>
      <c r="M26" s="0" t="n">
        <f aca="false">IF(M$3=Interests!$B$6,Interests!$E$6,IF(AND(M$3&gt;Interests!$B$6,M$3&lt;Interests!$I$6),L26-M27,0))</f>
        <v>2692771.91162109</v>
      </c>
      <c r="N26" s="0" t="n">
        <f aca="false">IF(N$3=Interests!$B$6,Interests!$E$6,IF(AND(N$3&gt;Interests!$B$6,N$3&lt;Interests!$I$6),M26-N27,0))</f>
        <v>2356175.42266846</v>
      </c>
      <c r="O26" s="0" t="n">
        <f aca="false">IF(O$3=Interests!$B$6,Interests!$E$6,IF(AND(O$3&gt;Interests!$B$6,O$3&lt;Interests!$I$6),N26-O27,0))</f>
        <v>2061653.4948349</v>
      </c>
      <c r="P26" s="0" t="n">
        <f aca="false">IF(P$3=Interests!$B$6,Interests!$E$6,IF(AND(P$3&gt;Interests!$B$6,P$3&lt;Interests!$I$6),O26-P27,0))</f>
        <v>1803946.80798054</v>
      </c>
      <c r="Q26" s="0" t="n">
        <f aca="false">IF(Q$3=Interests!$B$6,Interests!$E$6,IF(AND(Q$3&gt;Interests!$B$6,Q$3&lt;Interests!$I$6),P26-Q27,0))</f>
        <v>1578453.45698297</v>
      </c>
      <c r="R26" s="0" t="n">
        <f aca="false">IF(R$3=Interests!$B$6,Interests!$E$6,IF(AND(R$3&gt;Interests!$B$6,R$3&lt;Interests!$I$6),Q26-R27,0))</f>
        <v>0</v>
      </c>
      <c r="S26" s="0" t="n">
        <f aca="false">IF(S$3=Interests!$B$6,Interests!$E$6,IF(AND(S$3&gt;Interests!$B$6,S$3&lt;Interests!$I$6),R26-S27,0))</f>
        <v>0</v>
      </c>
      <c r="T26" s="0" t="n">
        <f aca="false">IF(T$3=Interests!$B$6,Interests!$E$6,IF(AND(T$3&gt;Interests!$B$6,T$3&lt;Interests!$I$6),S26-T27,0))</f>
        <v>0</v>
      </c>
      <c r="U26" s="0" t="n">
        <f aca="false">IF(U$3=Interests!$B$6,Interests!$E$6,IF(AND(U$3&gt;Interests!$B$6,U$3&lt;Interests!$I$6),T26-U27,0))</f>
        <v>0</v>
      </c>
      <c r="V26" s="0" t="n">
        <f aca="false">IF(V$3=Interests!$B$6,Interests!$E$6,IF(AND(V$3&gt;Interests!$B$6,V$3&lt;Interests!$I$6),U26-V27,0))</f>
        <v>0</v>
      </c>
      <c r="W26" s="0" t="n">
        <f aca="false">IF(W$3=Interests!$B$6,Interests!$E$6,IF(AND(W$3&gt;Interests!$B$6,W$3&lt;Interests!$I$6),V26-W27,0))</f>
        <v>0</v>
      </c>
      <c r="X26" s="0" t="n">
        <f aca="false">IF(X$3=Interests!$B$6,Interests!$E$6,IF(AND(X$3&gt;Interests!$B$6,X$3&lt;Interests!$I$6),W26-X27,0))</f>
        <v>0</v>
      </c>
      <c r="Y26" s="0" t="n">
        <f aca="false">IF(Y$3=Interests!$B$6,Interests!$E$6,IF(AND(Y$3&gt;Interests!$B$6,Y$3&lt;Interests!$I$6),X26-Y27,0))</f>
        <v>0</v>
      </c>
      <c r="Z26" s="0" t="n">
        <f aca="false">IF(Z$3=Interests!$B$6,Interests!$E$6,IF(AND(Z$3&gt;Interests!$B$6,Z$3&lt;Interests!$I$6),Y26-Z27,0))</f>
        <v>0</v>
      </c>
      <c r="AA26" s="0" t="n">
        <f aca="false">IF(AA$3=Interests!$B$6,Interests!$E$6,IF(AND(AA$3&gt;Interests!$B$6,AA$3&lt;Interests!$I$6),Z26-AA27,0))</f>
        <v>0</v>
      </c>
      <c r="AB26" s="0" t="n">
        <f aca="false">IF(AB$3=Interests!$B$6,Interests!$E$6,IF(AND(AB$3&gt;Interests!$B$6,AB$3&lt;Interests!$I$6),AA26-AB27,0))</f>
        <v>0</v>
      </c>
      <c r="AC26" s="0" t="n">
        <f aca="false">IF(AC$3=Interests!$B$6,Interests!$E$6,IF(AND(AC$3&gt;Interests!$B$6,AC$3&lt;Interests!$I$6),AB26-AC27,0))</f>
        <v>0</v>
      </c>
      <c r="AD26" s="0" t="n">
        <f aca="false">IF(AD$3=Interests!$B$6,Interests!$E$6,IF(AND(AD$3&gt;Interests!$B$6,AD$3&lt;Interests!$I$6),AC26-AD27,0))</f>
        <v>0</v>
      </c>
      <c r="AE26" s="0" t="n">
        <f aca="false">IF(AE$3=Interests!$B$6,Interests!$E$6,IF(AND(AE$3&gt;Interests!$B$6,AE$3&lt;Interests!$I$6),AD26-AE27,0))</f>
        <v>0</v>
      </c>
      <c r="AF26" s="0" t="n">
        <f aca="false">IF(AF$3=Interests!$B$6,Interests!$E$6,IF(AND(AF$3&gt;Interests!$B$6,AF$3&lt;Interests!$I$6),AE26-AF27,0))</f>
        <v>0</v>
      </c>
      <c r="AG26" s="0" t="n">
        <f aca="false">IF(AG$3=Interests!$B$6,Interests!$E$6,IF(AND(AG$3&gt;Interests!$B$6,AG$3&lt;Interests!$I$6),AF26-AG27,0))</f>
        <v>0</v>
      </c>
      <c r="AH26" s="0" t="n">
        <f aca="false">IF(AH$3=Interests!$B$6,Interests!$E$6,IF(AND(AH$3&gt;Interests!$B$6,AH$3&lt;Interests!$I$6),AG26-AH27,0))</f>
        <v>0</v>
      </c>
    </row>
    <row r="27" customFormat="false" ht="15" hidden="false" customHeight="false" outlineLevel="0" collapsed="false">
      <c r="A27" s="0" t="s">
        <v>48</v>
      </c>
      <c r="B27" s="0" t="n">
        <f aca="false">IF(AND(B$3&gt;Interests!$B$6,B$3&lt;Interests!$I$6),0*Interests!$F$6/4,0)</f>
        <v>0</v>
      </c>
      <c r="C27" s="0" t="n">
        <f aca="false">IF(AND(C$3&gt;Interests!$B$6,C$3&lt;Interests!$I$6),B26*Interests!$F$6/4,0)</f>
        <v>0</v>
      </c>
      <c r="D27" s="0" t="n">
        <f aca="false">IF(AND(D$3&gt;Interests!$B$6,D$3&lt;Interests!$I$6),C26*Interests!$F$6/4,0)</f>
        <v>0</v>
      </c>
      <c r="E27" s="0" t="n">
        <f aca="false">IF(AND(E$3&gt;Interests!$B$6,E$3&lt;Interests!$I$6),D26*Interests!$F$6/4,0)</f>
        <v>0</v>
      </c>
      <c r="F27" s="0" t="n">
        <f aca="false">IF(AND(F$3&gt;Interests!$B$6,F$3&lt;Interests!$I$6),E26*Interests!$F$6/4,0)</f>
        <v>0</v>
      </c>
      <c r="G27" s="0" t="n">
        <f aca="false">IF(AND(G$3&gt;Interests!$B$6,G$3&lt;Interests!$I$6),F26*Interests!$F$6/4,0)</f>
        <v>0</v>
      </c>
      <c r="H27" s="0" t="n">
        <f aca="false">IF(AND(H$3&gt;Interests!$B$6,H$3&lt;Interests!$I$6),G26*Interests!$F$6/4,0)</f>
        <v>750000</v>
      </c>
      <c r="I27" s="0" t="n">
        <f aca="false">IF(AND(I$3&gt;Interests!$B$6,I$3&lt;Interests!$I$6),H26*Interests!$F$6/4,0)</f>
        <v>656250</v>
      </c>
      <c r="J27" s="0" t="n">
        <f aca="false">IF(AND(J$3&gt;Interests!$B$6,J$3&lt;Interests!$I$6),I26*Interests!$F$6/4,0)</f>
        <v>574218.75</v>
      </c>
      <c r="K27" s="0" t="n">
        <f aca="false">IF(AND(K$3&gt;Interests!$B$6,K$3&lt;Interests!$I$6),J26*Interests!$F$6/4,0)</f>
        <v>502441.40625</v>
      </c>
      <c r="L27" s="0" t="n">
        <f aca="false">IF(AND(L$3&gt;Interests!$B$6,L$3&lt;Interests!$I$6),K26*Interests!$F$6/4,0)</f>
        <v>439636.23046875</v>
      </c>
      <c r="M27" s="0" t="n">
        <f aca="false">IF(AND(M$3&gt;Interests!$B$6,M$3&lt;Interests!$I$6),L26*Interests!$F$6/4,0)</f>
        <v>384681.701660156</v>
      </c>
      <c r="N27" s="0" t="n">
        <f aca="false">IF(AND(N$3&gt;Interests!$B$6,N$3&lt;Interests!$I$6),M26*Interests!$F$6/4,0)</f>
        <v>336596.488952637</v>
      </c>
      <c r="O27" s="0" t="n">
        <f aca="false">IF(AND(O$3&gt;Interests!$B$6,O$3&lt;Interests!$I$6),N26*Interests!$F$6/4,0)</f>
        <v>294521.927833557</v>
      </c>
      <c r="P27" s="0" t="n">
        <f aca="false">IF(AND(P$3&gt;Interests!$B$6,P$3&lt;Interests!$I$6),O26*Interests!$F$6/4,0)</f>
        <v>257706.686854363</v>
      </c>
      <c r="Q27" s="0" t="n">
        <f aca="false">IF(AND(Q$3&gt;Interests!$B$6,Q$3&lt;Interests!$I$6),P26*Interests!$F$6/4,0)</f>
        <v>225493.350997567</v>
      </c>
      <c r="R27" s="0" t="n">
        <f aca="false">IF(AND(R$3&gt;Interests!$B$6,R$3&lt;Interests!$I$6),Q26*Interests!$F$6/4,0)</f>
        <v>0</v>
      </c>
      <c r="S27" s="0" t="n">
        <f aca="false">IF(AND(S$3&gt;Interests!$B$6,S$3&lt;Interests!$I$6),R26*Interests!$F$6/4,0)</f>
        <v>0</v>
      </c>
      <c r="T27" s="0" t="n">
        <f aca="false">IF(AND(T$3&gt;Interests!$B$6,T$3&lt;Interests!$I$6),S26*Interests!$F$6/4,0)</f>
        <v>0</v>
      </c>
      <c r="U27" s="0" t="n">
        <f aca="false">IF(AND(U$3&gt;Interests!$B$6,U$3&lt;Interests!$I$6),T26*Interests!$F$6/4,0)</f>
        <v>0</v>
      </c>
      <c r="V27" s="0" t="n">
        <f aca="false">IF(AND(V$3&gt;Interests!$B$6,V$3&lt;Interests!$I$6),U26*Interests!$F$6/4,0)</f>
        <v>0</v>
      </c>
      <c r="W27" s="0" t="n">
        <f aca="false">IF(AND(W$3&gt;Interests!$B$6,W$3&lt;Interests!$I$6),V26*Interests!$F$6/4,0)</f>
        <v>0</v>
      </c>
      <c r="X27" s="0" t="n">
        <f aca="false">IF(AND(X$3&gt;Interests!$B$6,X$3&lt;Interests!$I$6),W26*Interests!$F$6/4,0)</f>
        <v>0</v>
      </c>
      <c r="Y27" s="0" t="n">
        <f aca="false">IF(AND(Y$3&gt;Interests!$B$6,Y$3&lt;Interests!$I$6),X26*Interests!$F$6/4,0)</f>
        <v>0</v>
      </c>
      <c r="Z27" s="0" t="n">
        <f aca="false">IF(AND(Z$3&gt;Interests!$B$6,Z$3&lt;Interests!$I$6),Y26*Interests!$F$6/4,0)</f>
        <v>0</v>
      </c>
      <c r="AA27" s="0" t="n">
        <f aca="false">IF(AND(AA$3&gt;Interests!$B$6,AA$3&lt;Interests!$I$6),Z26*Interests!$F$6/4,0)</f>
        <v>0</v>
      </c>
      <c r="AB27" s="0" t="n">
        <f aca="false">IF(AND(AB$3&gt;Interests!$B$6,AB$3&lt;Interests!$I$6),AA26*Interests!$F$6/4,0)</f>
        <v>0</v>
      </c>
      <c r="AC27" s="0" t="n">
        <f aca="false">IF(AND(AC$3&gt;Interests!$B$6,AC$3&lt;Interests!$I$6),AB26*Interests!$F$6/4,0)</f>
        <v>0</v>
      </c>
      <c r="AD27" s="0" t="n">
        <f aca="false">IF(AND(AD$3&gt;Interests!$B$6,AD$3&lt;Interests!$I$6),AC26*Interests!$F$6/4,0)</f>
        <v>0</v>
      </c>
      <c r="AE27" s="0" t="n">
        <f aca="false">IF(AND(AE$3&gt;Interests!$B$6,AE$3&lt;Interests!$I$6),AD26*Interests!$F$6/4,0)</f>
        <v>0</v>
      </c>
      <c r="AF27" s="0" t="n">
        <f aca="false">IF(AND(AF$3&gt;Interests!$B$6,AF$3&lt;Interests!$I$6),AE26*Interests!$F$6/4,0)</f>
        <v>0</v>
      </c>
      <c r="AG27" s="0" t="n">
        <f aca="false">IF(AND(AG$3&gt;Interests!$B$6,AG$3&lt;Interests!$I$6),AF26*Interests!$F$6/4,0)</f>
        <v>0</v>
      </c>
      <c r="AH27" s="0" t="n">
        <f aca="false">IF(AND(AH$3&gt;Interests!$B$6,AH$3&lt;Interests!$I$6),AG26*Interests!$F$6/4,0)</f>
        <v>0</v>
      </c>
    </row>
    <row r="28" customFormat="false" ht="15" hidden="false" customHeight="false" outlineLevel="0" collapsed="false">
      <c r="A28" s="0" t="s">
        <v>49</v>
      </c>
      <c r="B28" s="0" t="n">
        <f aca="false">IF(B$3=Interests!$I$6,0*(1+Interests!$H$6/4)+B27,IF(AND(B$3&gt;Interests!$B$6,B$3&lt;Interests!$I$6),0*Interests!$G$6/4,0))</f>
        <v>0</v>
      </c>
      <c r="C28" s="0" t="n">
        <f aca="false">IF(C$3=Interests!$I$6,B25*(1+Interests!$H$6/4)+C27,IF(AND(C$3&gt;Interests!$B$6,C$3&lt;Interests!$I$6),B25*Interests!$G$6/4,0))</f>
        <v>0</v>
      </c>
      <c r="D28" s="0" t="n">
        <f aca="false">IF(D$3=Interests!$I$6,C25*(1+Interests!$H$6/4)+D27,IF(AND(D$3&gt;Interests!$B$6,D$3&lt;Interests!$I$6),C25*Interests!$G$6/4,0))</f>
        <v>0</v>
      </c>
      <c r="E28" s="0" t="n">
        <f aca="false">IF(E$3=Interests!$I$6,D25*(1+Interests!$H$6/4)+E27,IF(AND(E$3&gt;Interests!$B$6,E$3&lt;Interests!$I$6),D25*Interests!$G$6/4,0))</f>
        <v>0</v>
      </c>
      <c r="F28" s="0" t="n">
        <f aca="false">IF(F$3=Interests!$I$6,E25*(1+Interests!$H$6/4)+F27,IF(AND(F$3&gt;Interests!$B$6,F$3&lt;Interests!$I$6),E25*Interests!$G$6/4,0))</f>
        <v>0</v>
      </c>
      <c r="G28" s="0" t="n">
        <f aca="false">IF(G$3=Interests!$I$6,F25*(1+Interests!$H$6/4)+G27,IF(AND(G$3&gt;Interests!$B$6,G$3&lt;Interests!$I$6),F25*Interests!$G$6/4,0))</f>
        <v>0</v>
      </c>
      <c r="H28" s="0" t="n">
        <f aca="false">IF(H$3=Interests!$I$6,G25*(1+Interests!$H$6/4)+H27,IF(AND(H$3&gt;Interests!$B$6,H$3&lt;Interests!$I$6),G25*Interests!$G$6/4,0))</f>
        <v>2000000</v>
      </c>
      <c r="I28" s="0" t="n">
        <f aca="false">IF(I$3=Interests!$I$6,H25*(1+Interests!$H$6/4)+I27,IF(AND(I$3&gt;Interests!$B$6,I$3&lt;Interests!$I$6),H25*Interests!$G$6/4,0))</f>
        <v>1952500</v>
      </c>
      <c r="J28" s="0" t="n">
        <f aca="false">IF(J$3=Interests!$I$6,I25*(1+Interests!$H$6/4)+J27,IF(AND(J$3&gt;Interests!$B$6,J$3&lt;Interests!$I$6),I25*Interests!$G$6/4,0))</f>
        <v>1902331.25</v>
      </c>
      <c r="K28" s="0" t="n">
        <f aca="false">IF(K$3=Interests!$I$6,J25*(1+Interests!$H$6/4)+K27,IF(AND(K$3&gt;Interests!$B$6,K$3&lt;Interests!$I$6),J25*Interests!$G$6/4,0))</f>
        <v>1850193.109375</v>
      </c>
      <c r="L28" s="0" t="n">
        <f aca="false">IF(L$3=Interests!$I$6,K25*(1+Interests!$H$6/4)+L27,IF(AND(L$3&gt;Interests!$B$6,L$3&lt;Interests!$I$6),K25*Interests!$G$6/4,0))</f>
        <v>1796681.97253906</v>
      </c>
      <c r="M28" s="0" t="n">
        <f aca="false">IF(M$3=Interests!$I$6,L25*(1+Interests!$H$6/4)+M27,IF(AND(M$3&gt;Interests!$B$6,M$3&lt;Interests!$I$6),L25*Interests!$G$6/4,0))</f>
        <v>1742304.80022959</v>
      </c>
      <c r="N28" s="0" t="n">
        <f aca="false">IF(N$3=Interests!$I$6,M25*(1+Interests!$H$6/4)+N27,IF(AND(N$3&gt;Interests!$B$6,N$3&lt;Interests!$I$6),M25*Interests!$G$6/4,0))</f>
        <v>1687490.93130284</v>
      </c>
      <c r="O28" s="0" t="n">
        <f aca="false">IF(O$3=Interests!$I$6,N25*(1+Interests!$H$6/4)+O27,IF(AND(O$3&gt;Interests!$B$6,O$3&lt;Interests!$I$6),N25*Interests!$G$6/4,0))</f>
        <v>1632602.3911701</v>
      </c>
      <c r="P28" s="0" t="n">
        <f aca="false">IF(P$3=Interests!$I$6,O25*(1+Interests!$H$6/4)+P27,IF(AND(P$3&gt;Interests!$B$6,P$3&lt;Interests!$I$6),O25*Interests!$G$6/4,0))</f>
        <v>1577942.88593705</v>
      </c>
      <c r="Q28" s="0" t="n">
        <f aca="false">IF(Q$3=Interests!$I$6,P25*(1+Interests!$H$6/4)+Q27,IF(AND(Q$3&gt;Interests!$B$6,Q$3&lt;Interests!$I$6),P25*Interests!$G$6/4,0))</f>
        <v>1523765.64762744</v>
      </c>
      <c r="R28" s="0" t="n">
        <f aca="false">IF(R$3=Interests!$I$6,Q25*(1+Interests!$H$6/4)+R27,IF(AND(R$3&gt;Interests!$B$6,R$3&lt;Interests!$I$6),Q25*Interests!$G$6/4,0))</f>
        <v>29626147.5443361</v>
      </c>
      <c r="S28" s="0" t="n">
        <f aca="false">IF(S$3=Interests!$I$6,R25*(1+Interests!$H$6/4)+S27,IF(AND(S$3&gt;Interests!$B$6,S$3&lt;Interests!$I$6),R25*Interests!$G$6/4,0))</f>
        <v>0</v>
      </c>
      <c r="T28" s="0" t="n">
        <f aca="false">IF(T$3=Interests!$I$6,S25*(1+Interests!$H$6/4)+T27,IF(AND(T$3&gt;Interests!$B$6,T$3&lt;Interests!$I$6),S25*Interests!$G$6/4,0))</f>
        <v>0</v>
      </c>
      <c r="U28" s="0" t="n">
        <f aca="false">IF(U$3=Interests!$I$6,T25*(1+Interests!$H$6/4)+U27,IF(AND(U$3&gt;Interests!$B$6,U$3&lt;Interests!$I$6),T25*Interests!$G$6/4,0))</f>
        <v>0</v>
      </c>
      <c r="V28" s="0" t="n">
        <f aca="false">IF(V$3=Interests!$I$6,U25*(1+Interests!$H$6/4)+V27,IF(AND(V$3&gt;Interests!$B$6,V$3&lt;Interests!$I$6),U25*Interests!$G$6/4,0))</f>
        <v>0</v>
      </c>
      <c r="W28" s="0" t="n">
        <f aca="false">IF(W$3=Interests!$I$6,V25*(1+Interests!$H$6/4)+W27,IF(AND(W$3&gt;Interests!$B$6,W$3&lt;Interests!$I$6),V25*Interests!$G$6/4,0))</f>
        <v>0</v>
      </c>
      <c r="X28" s="0" t="n">
        <f aca="false">IF(X$3=Interests!$I$6,W25*(1+Interests!$H$6/4)+X27,IF(AND(X$3&gt;Interests!$B$6,X$3&lt;Interests!$I$6),W25*Interests!$G$6/4,0))</f>
        <v>0</v>
      </c>
      <c r="Y28" s="0" t="n">
        <f aca="false">IF(Y$3=Interests!$I$6,X25*(1+Interests!$H$6/4)+Y27,IF(AND(Y$3&gt;Interests!$B$6,Y$3&lt;Interests!$I$6),X25*Interests!$G$6/4,0))</f>
        <v>0</v>
      </c>
      <c r="Z28" s="0" t="n">
        <f aca="false">IF(Z$3=Interests!$I$6,Y25*(1+Interests!$H$6/4)+Z27,IF(AND(Z$3&gt;Interests!$B$6,Z$3&lt;Interests!$I$6),Y25*Interests!$G$6/4,0))</f>
        <v>0</v>
      </c>
      <c r="AA28" s="0" t="n">
        <f aca="false">IF(AA$3=Interests!$I$6,Z25*(1+Interests!$H$6/4)+AA27,IF(AND(AA$3&gt;Interests!$B$6,AA$3&lt;Interests!$I$6),Z25*Interests!$G$6/4,0))</f>
        <v>0</v>
      </c>
      <c r="AB28" s="0" t="n">
        <f aca="false">IF(AB$3=Interests!$I$6,AA25*(1+Interests!$H$6/4)+AB27,IF(AND(AB$3&gt;Interests!$B$6,AB$3&lt;Interests!$I$6),AA25*Interests!$G$6/4,0))</f>
        <v>0</v>
      </c>
      <c r="AC28" s="0" t="n">
        <f aca="false">IF(AC$3=Interests!$I$6,AB25*(1+Interests!$H$6/4)+AC27,IF(AND(AC$3&gt;Interests!$B$6,AC$3&lt;Interests!$I$6),AB25*Interests!$G$6/4,0))</f>
        <v>0</v>
      </c>
      <c r="AD28" s="0" t="n">
        <f aca="false">IF(AD$3=Interests!$I$6,AC25*(1+Interests!$H$6/4)+AD27,IF(AND(AD$3&gt;Interests!$B$6,AD$3&lt;Interests!$I$6),AC25*Interests!$G$6/4,0))</f>
        <v>0</v>
      </c>
      <c r="AE28" s="0" t="n">
        <f aca="false">IF(AE$3=Interests!$I$6,AD25*(1+Interests!$H$6/4)+AE27,IF(AND(AE$3&gt;Interests!$B$6,AE$3&lt;Interests!$I$6),AD25*Interests!$G$6/4,0))</f>
        <v>0</v>
      </c>
      <c r="AF28" s="0" t="n">
        <f aca="false">IF(AF$3=Interests!$I$6,AE25*(1+Interests!$H$6/4)+AF27,IF(AND(AF$3&gt;Interests!$B$6,AF$3&lt;Interests!$I$6),AE25*Interests!$G$6/4,0))</f>
        <v>0</v>
      </c>
      <c r="AG28" s="0" t="n">
        <f aca="false">IF(AG$3=Interests!$I$6,AF25*(1+Interests!$H$6/4)+AG27,IF(AND(AG$3&gt;Interests!$B$6,AG$3&lt;Interests!$I$6),AF25*Interests!$G$6/4,0))</f>
        <v>0</v>
      </c>
      <c r="AH28" s="0" t="n">
        <f aca="false">IF(AH$3=Interests!$I$6,AG25*(1+Interests!$H$6/4)+AH27,IF(AND(AH$3&gt;Interests!$B$6,AH$3&lt;Interests!$I$6),AG25*Interests!$G$6/4,0))</f>
        <v>0</v>
      </c>
    </row>
    <row r="29" customFormat="false" ht="15" hidden="false" customHeight="false" outlineLevel="0" collapsed="false">
      <c r="A29" s="0" t="s">
        <v>50</v>
      </c>
      <c r="B29" s="0" t="n">
        <f aca="false">IF(B$3=Interests!$B$6,Interests!$C$6*(1-Interests!$D$6),0)</f>
        <v>0</v>
      </c>
      <c r="C29" s="0" t="n">
        <f aca="false">IF(C$3=Interests!$B$6,Interests!$C$6*(1-Interests!$D$6),0)</f>
        <v>0</v>
      </c>
      <c r="D29" s="0" t="n">
        <f aca="false">IF(D$3=Interests!$B$6,Interests!$C$6*(1-Interests!$D$6),0)</f>
        <v>0</v>
      </c>
      <c r="E29" s="0" t="n">
        <f aca="false">IF(E$3=Interests!$B$6,Interests!$C$6*(1-Interests!$D$6),0)</f>
        <v>0</v>
      </c>
      <c r="F29" s="0" t="n">
        <f aca="false">IF(F$3=Interests!$B$6,Interests!$C$6*(1-Interests!$D$6),0)</f>
        <v>0</v>
      </c>
      <c r="G29" s="0" t="n">
        <f aca="false">IF(G$3=Interests!$B$6,Interests!$C$6*(1-Interests!$D$6),0)</f>
        <v>36400000</v>
      </c>
      <c r="H29" s="0" t="n">
        <f aca="false">IF(H$3=Interests!$B$6,Interests!$C$6*(1-Interests!$D$6),0)</f>
        <v>0</v>
      </c>
      <c r="I29" s="0" t="n">
        <f aca="false">IF(I$3=Interests!$B$6,Interests!$C$6*(1-Interests!$D$6),0)</f>
        <v>0</v>
      </c>
      <c r="J29" s="0" t="n">
        <f aca="false">IF(J$3=Interests!$B$6,Interests!$C$6*(1-Interests!$D$6),0)</f>
        <v>0</v>
      </c>
      <c r="K29" s="0" t="n">
        <f aca="false">IF(K$3=Interests!$B$6,Interests!$C$6*(1-Interests!$D$6),0)</f>
        <v>0</v>
      </c>
      <c r="L29" s="0" t="n">
        <f aca="false">IF(L$3=Interests!$B$6,Interests!$C$6*(1-Interests!$D$6),0)</f>
        <v>0</v>
      </c>
      <c r="M29" s="0" t="n">
        <f aca="false">IF(M$3=Interests!$B$6,Interests!$C$6*(1-Interests!$D$6),0)</f>
        <v>0</v>
      </c>
      <c r="N29" s="0" t="n">
        <f aca="false">IF(N$3=Interests!$B$6,Interests!$C$6*(1-Interests!$D$6),0)</f>
        <v>0</v>
      </c>
      <c r="O29" s="0" t="n">
        <f aca="false">IF(O$3=Interests!$B$6,Interests!$C$6*(1-Interests!$D$6),0)</f>
        <v>0</v>
      </c>
      <c r="P29" s="0" t="n">
        <f aca="false">IF(P$3=Interests!$B$6,Interests!$C$6*(1-Interests!$D$6),0)</f>
        <v>0</v>
      </c>
      <c r="Q29" s="0" t="n">
        <f aca="false">IF(Q$3=Interests!$B$6,Interests!$C$6*(1-Interests!$D$6),0)</f>
        <v>0</v>
      </c>
      <c r="R29" s="0" t="n">
        <f aca="false">IF(R$3=Interests!$B$6,Interests!$C$6*(1-Interests!$D$6),0)</f>
        <v>0</v>
      </c>
      <c r="S29" s="0" t="n">
        <f aca="false">IF(S$3=Interests!$B$6,Interests!$C$6*(1-Interests!$D$6),0)</f>
        <v>0</v>
      </c>
      <c r="T29" s="0" t="n">
        <f aca="false">IF(T$3=Interests!$B$6,Interests!$C$6*(1-Interests!$D$6),0)</f>
        <v>0</v>
      </c>
      <c r="U29" s="0" t="n">
        <f aca="false">IF(U$3=Interests!$B$6,Interests!$C$6*(1-Interests!$D$6),0)</f>
        <v>0</v>
      </c>
      <c r="V29" s="0" t="n">
        <f aca="false">IF(V$3=Interests!$B$6,Interests!$C$6*(1-Interests!$D$6),0)</f>
        <v>0</v>
      </c>
      <c r="W29" s="0" t="n">
        <f aca="false">IF(W$3=Interests!$B$6,Interests!$C$6*(1-Interests!$D$6),0)</f>
        <v>0</v>
      </c>
      <c r="X29" s="0" t="n">
        <f aca="false">IF(X$3=Interests!$B$6,Interests!$C$6*(1-Interests!$D$6),0)</f>
        <v>0</v>
      </c>
      <c r="Y29" s="0" t="n">
        <f aca="false">IF(Y$3=Interests!$B$6,Interests!$C$6*(1-Interests!$D$6),0)</f>
        <v>0</v>
      </c>
      <c r="Z29" s="0" t="n">
        <f aca="false">IF(Z$3=Interests!$B$6,Interests!$C$6*(1-Interests!$D$6),0)</f>
        <v>0</v>
      </c>
      <c r="AA29" s="0" t="n">
        <f aca="false">IF(AA$3=Interests!$B$6,Interests!$C$6*(1-Interests!$D$6),0)</f>
        <v>0</v>
      </c>
      <c r="AB29" s="0" t="n">
        <f aca="false">IF(AB$3=Interests!$B$6,Interests!$C$6*(1-Interests!$D$6),0)</f>
        <v>0</v>
      </c>
      <c r="AC29" s="0" t="n">
        <f aca="false">IF(AC$3=Interests!$B$6,Interests!$C$6*(1-Interests!$D$6),0)</f>
        <v>0</v>
      </c>
      <c r="AD29" s="0" t="n">
        <f aca="false">IF(AD$3=Interests!$B$6,Interests!$C$6*(1-Interests!$D$6),0)</f>
        <v>0</v>
      </c>
      <c r="AE29" s="0" t="n">
        <f aca="false">IF(AE$3=Interests!$B$6,Interests!$C$6*(1-Interests!$D$6),0)</f>
        <v>0</v>
      </c>
      <c r="AF29" s="0" t="n">
        <f aca="false">IF(AF$3=Interests!$B$6,Interests!$C$6*(1-Interests!$D$6),0)</f>
        <v>0</v>
      </c>
      <c r="AG29" s="0" t="n">
        <f aca="false">IF(AG$3=Interests!$B$6,Interests!$C$6*(1-Interests!$D$6),0)</f>
        <v>0</v>
      </c>
      <c r="AH29" s="0" t="n">
        <f aca="false">IF(AH$3=Interests!$B$6,Interests!$C$6*(1-Interests!$D$6),0)</f>
        <v>0</v>
      </c>
    </row>
    <row r="30" customFormat="false" ht="15" hidden="false" customHeight="false" outlineLevel="0" collapsed="false">
      <c r="A30" s="0" t="s">
        <v>51</v>
      </c>
      <c r="B30" s="0" t="n">
        <f aca="false">IF(B$3=Interests!$B$7,Interests!$C$7,IF(AND(B$3&gt;Interests!$B$7,B$3&lt;Interests!$I$7),0*(1+Interests!$H$7/4)+B32-B33,0))</f>
        <v>0</v>
      </c>
      <c r="C30" s="0" t="n">
        <f aca="false">IF(C$3=Interests!$B$7,Interests!$C$7,IF(AND(C$3&gt;Interests!$B$7,C$3&lt;Interests!$I$7),B30*(1+Interests!$H$7/4)+C32-C33,0))</f>
        <v>0</v>
      </c>
      <c r="D30" s="0" t="n">
        <f aca="false">IF(D$3=Interests!$B$7,Interests!$C$7,IF(AND(D$3&gt;Interests!$B$7,D$3&lt;Interests!$I$7),C30*(1+Interests!$H$7/4)+D32-D33,0))</f>
        <v>0</v>
      </c>
      <c r="E30" s="0" t="n">
        <f aca="false">IF(E$3=Interests!$B$7,Interests!$C$7,IF(AND(E$3&gt;Interests!$B$7,E$3&lt;Interests!$I$7),D30*(1+Interests!$H$7/4)+E32-E33,0))</f>
        <v>0</v>
      </c>
      <c r="F30" s="0" t="n">
        <f aca="false">IF(F$3=Interests!$B$7,Interests!$C$7,IF(AND(F$3&gt;Interests!$B$7,F$3&lt;Interests!$I$7),E30*(1+Interests!$H$7/4)+F32-F33,0))</f>
        <v>0</v>
      </c>
      <c r="G30" s="0" t="n">
        <f aca="false">IF(G$3=Interests!$B$7,Interests!$C$7,IF(AND(G$3&gt;Interests!$B$7,G$3&lt;Interests!$I$7),F30*(1+Interests!$H$7/4)+G32-G33,0))</f>
        <v>0</v>
      </c>
      <c r="H30" s="0" t="n">
        <f aca="false">IF(H$3=Interests!$B$7,Interests!$C$7,IF(AND(H$3&gt;Interests!$B$7,H$3&lt;Interests!$I$7),G30*(1+Interests!$H$7/4)+H32-H33,0))</f>
        <v>0</v>
      </c>
      <c r="I30" s="0" t="n">
        <f aca="false">IF(I$3=Interests!$B$7,Interests!$C$7,IF(AND(I$3&gt;Interests!$B$7,I$3&lt;Interests!$I$7),H30*(1+Interests!$H$7/4)+I32-I33,0))</f>
        <v>70000000</v>
      </c>
      <c r="J30" s="0" t="n">
        <f aca="false">IF(J$3=Interests!$B$7,Interests!$C$7,IF(AND(J$3&gt;Interests!$B$7,J$3&lt;Interests!$I$7),I30*(1+Interests!$H$7/4)+J32-J33,0))</f>
        <v>71700000</v>
      </c>
      <c r="K30" s="0" t="n">
        <f aca="false">IF(K$3=Interests!$B$7,Interests!$C$7,IF(AND(K$3&gt;Interests!$B$7,K$3&lt;Interests!$I$7),J30*(1+Interests!$H$7/4)+K32-K33,0))</f>
        <v>73255125</v>
      </c>
      <c r="L30" s="0" t="n">
        <f aca="false">IF(L$3=Interests!$B$7,Interests!$C$7,IF(AND(L$3&gt;Interests!$B$7,L$3&lt;Interests!$I$7),K30*(1+Interests!$H$7/4)+L32-L33,0))</f>
        <v>74676284.0625</v>
      </c>
      <c r="M30" s="0" t="n">
        <f aca="false">IF(M$3=Interests!$B$7,Interests!$C$7,IF(AND(M$3&gt;Interests!$B$7,M$3&lt;Interests!$I$7),L30*(1+Interests!$H$7/4)+M32-M33,0))</f>
        <v>75973567.9617188</v>
      </c>
      <c r="N30" s="0" t="n">
        <f aca="false">IF(N$3=Interests!$B$7,Interests!$C$7,IF(AND(N$3&gt;Interests!$B$7,N$3&lt;Interests!$I$7),M30*(1+Interests!$H$7/4)+N32-N33,0))</f>
        <v>77156310.5554863</v>
      </c>
      <c r="O30" s="0" t="n">
        <f aca="false">IF(O$3=Interests!$B$7,Interests!$C$7,IF(AND(O$3&gt;Interests!$B$7,O$3&lt;Interests!$I$7),N30*(1+Interests!$H$7/4)+O32-O33,0))</f>
        <v>78233145.5542441</v>
      </c>
      <c r="P30" s="0" t="n">
        <f aca="false">IF(P$3=Interests!$B$7,Interests!$C$7,IF(AND(P$3&gt;Interests!$B$7,P$3&lt;Interests!$I$7),O30*(1+Interests!$H$7/4)+P32-P33,0))</f>
        <v>79212059.032369</v>
      </c>
      <c r="Q30" s="0" t="n">
        <f aca="false">IF(Q$3=Interests!$B$7,Interests!$C$7,IF(AND(Q$3&gt;Interests!$B$7,Q$3&lt;Interests!$I$7),P30*(1+Interests!$H$7/4)+Q32-Q33,0))</f>
        <v>80100438.0011478</v>
      </c>
      <c r="R30" s="0" t="n">
        <f aca="false">IF(R$3=Interests!$B$7,Interests!$C$7,IF(AND(R$3&gt;Interests!$B$7,R$3&lt;Interests!$I$7),Q30*(1+Interests!$H$7/4)+R32-R33,0))</f>
        <v>80905115.3387777</v>
      </c>
      <c r="S30" s="0" t="n">
        <f aca="false">IF(S$3=Interests!$B$7,Interests!$C$7,IF(AND(S$3&gt;Interests!$B$7,S$3&lt;Interests!$I$7),R30*(1+Interests!$H$7/4)+S32-S33,0))</f>
        <v>81632411.350616</v>
      </c>
      <c r="T30" s="0" t="n">
        <f aca="false">IF(T$3=Interests!$B$7,Interests!$C$7,IF(AND(T$3&gt;Interests!$B$7,T$3&lt;Interests!$I$7),S30*(1+Interests!$H$7/4)+T32-T33,0))</f>
        <v>82288172.2124109</v>
      </c>
      <c r="U30" s="0" t="n">
        <f aca="false">IF(U$3=Interests!$B$7,Interests!$C$7,IF(AND(U$3&gt;Interests!$B$7,U$3&lt;Interests!$I$7),T30*(1+Interests!$H$7/4)+U32-U33,0))</f>
        <v>82877805.5302884</v>
      </c>
      <c r="V30" s="0" t="n">
        <f aca="false">IF(V$3=Interests!$B$7,Interests!$C$7,IF(AND(V$3&gt;Interests!$B$7,V$3&lt;Interests!$I$7),U30*(1+Interests!$H$7/4)+V32-V33,0))</f>
        <v>83406313.2337405</v>
      </c>
      <c r="W30" s="0" t="n">
        <f aca="false">IF(W$3=Interests!$B$7,Interests!$C$7,IF(AND(W$3&gt;Interests!$B$7,W$3&lt;Interests!$I$7),V30*(1+Interests!$H$7/4)+W32-W33,0))</f>
        <v>83878322.0016382</v>
      </c>
      <c r="X30" s="0" t="n">
        <f aca="false">IF(X$3=Interests!$B$7,Interests!$C$7,IF(AND(X$3&gt;Interests!$B$7,X$3&lt;Interests!$I$7),W30*(1+Interests!$H$7/4)+X32-X33,0))</f>
        <v>84298111.4062925</v>
      </c>
      <c r="Y30" s="0" t="n">
        <f aca="false">IF(Y$3=Interests!$B$7,Interests!$C$7,IF(AND(Y$3&gt;Interests!$B$7,Y$3&lt;Interests!$I$7),X30*(1+Interests!$H$7/4)+Y32-Y33,0))</f>
        <v>84669639.9467108</v>
      </c>
      <c r="Z30" s="0" t="n">
        <f aca="false">IF(Z$3=Interests!$B$7,Interests!$C$7,IF(AND(Z$3&gt;Interests!$B$7,Z$3&lt;Interests!$I$7),Y30*(1+Interests!$H$7/4)+Z32-Z33,0))</f>
        <v>84996569.129358</v>
      </c>
      <c r="AA30" s="0" t="n">
        <f aca="false">IF(AA$3=Interests!$B$7,Interests!$C$7,IF(AND(AA$3&gt;Interests!$B$7,AA$3&lt;Interests!$I$7),Z30*(1+Interests!$H$7/4)+AA32-AA33,0))</f>
        <v>85282285.74286</v>
      </c>
      <c r="AB30" s="0" t="n">
        <f aca="false">IF(AB$3=Interests!$B$7,Interests!$C$7,IF(AND(AB$3&gt;Interests!$B$7,AB$3&lt;Interests!$I$7),AA30*(1+Interests!$H$7/4)+AB32-AB33,0))</f>
        <v>85529922.4621039</v>
      </c>
      <c r="AC30" s="0" t="n">
        <f aca="false">IF(AC$3=Interests!$B$7,Interests!$C$7,IF(AND(AC$3&gt;Interests!$B$7,AC$3&lt;Interests!$I$7),AB30*(1+Interests!$H$7/4)+AC32-AC33,0))</f>
        <v>85742376.9070296</v>
      </c>
      <c r="AD30" s="0" t="n">
        <f aca="false">IF(AD$3=Interests!$B$7,Interests!$C$7,IF(AND(AD$3&gt;Interests!$B$7,AD$3&lt;Interests!$I$7),AC30*(1+Interests!$H$7/4)+AD32-AD33,0))</f>
        <v>85922329.2720119</v>
      </c>
      <c r="AE30" s="0" t="n">
        <f aca="false">IF(AE$3=Interests!$B$7,Interests!$C$7,IF(AND(AE$3&gt;Interests!$B$7,AE$3&lt;Interests!$I$7),AD30*(1+Interests!$H$7/4)+AE32-AE33,0))</f>
        <v>86072258.633038</v>
      </c>
      <c r="AF30" s="0" t="n">
        <f aca="false">IF(AF$3=Interests!$B$7,Interests!$C$7,IF(AND(AF$3&gt;Interests!$B$7,AF$3&lt;Interests!$I$7),AE30*(1+Interests!$H$7/4)+AF32-AF33,0))</f>
        <v>0</v>
      </c>
      <c r="AG30" s="0" t="n">
        <f aca="false">IF(AG$3=Interests!$B$7,Interests!$C$7,IF(AND(AG$3&gt;Interests!$B$7,AG$3&lt;Interests!$I$7),AF30*(1+Interests!$H$7/4)+AG32-AG33,0))</f>
        <v>0</v>
      </c>
      <c r="AH30" s="0" t="n">
        <f aca="false">IF(AH$3=Interests!$B$7,Interests!$C$7,IF(AND(AH$3&gt;Interests!$B$7,AH$3&lt;Interests!$I$7),AG30*(1+Interests!$H$7/4)+AH32-AH33,0))</f>
        <v>0</v>
      </c>
    </row>
    <row r="31" customFormat="false" ht="15" hidden="false" customHeight="false" outlineLevel="0" collapsed="false">
      <c r="A31" s="0" t="s">
        <v>52</v>
      </c>
      <c r="B31" s="0" t="n">
        <f aca="false">IF(B$3=Interests!$B$7,Interests!$E$7,IF(AND(B$3&gt;Interests!$B$7,B$3&lt;Interests!$I$7),0-B32,0))</f>
        <v>0</v>
      </c>
      <c r="C31" s="0" t="n">
        <f aca="false">IF(C$3=Interests!$B$7,Interests!$E$7,IF(AND(C$3&gt;Interests!$B$7,C$3&lt;Interests!$I$7),B31-C32,0))</f>
        <v>0</v>
      </c>
      <c r="D31" s="0" t="n">
        <f aca="false">IF(D$3=Interests!$B$7,Interests!$E$7,IF(AND(D$3&gt;Interests!$B$7,D$3&lt;Interests!$I$7),C31-D32,0))</f>
        <v>0</v>
      </c>
      <c r="E31" s="0" t="n">
        <f aca="false">IF(E$3=Interests!$B$7,Interests!$E$7,IF(AND(E$3&gt;Interests!$B$7,E$3&lt;Interests!$I$7),D31-E32,0))</f>
        <v>0</v>
      </c>
      <c r="F31" s="0" t="n">
        <f aca="false">IF(F$3=Interests!$B$7,Interests!$E$7,IF(AND(F$3&gt;Interests!$B$7,F$3&lt;Interests!$I$7),E31-F32,0))</f>
        <v>0</v>
      </c>
      <c r="G31" s="0" t="n">
        <f aca="false">IF(G$3=Interests!$B$7,Interests!$E$7,IF(AND(G$3&gt;Interests!$B$7,G$3&lt;Interests!$I$7),F31-G32,0))</f>
        <v>0</v>
      </c>
      <c r="H31" s="0" t="n">
        <f aca="false">IF(H$3=Interests!$B$7,Interests!$E$7,IF(AND(H$3&gt;Interests!$B$7,H$3&lt;Interests!$I$7),G31-H32,0))</f>
        <v>0</v>
      </c>
      <c r="I31" s="0" t="n">
        <f aca="false">IF(I$3=Interests!$B$7,Interests!$E$7,IF(AND(I$3&gt;Interests!$B$7,I$3&lt;Interests!$I$7),H31-I32,0))</f>
        <v>25000000</v>
      </c>
      <c r="J31" s="0" t="n">
        <f aca="false">IF(J$3=Interests!$B$7,Interests!$E$7,IF(AND(J$3&gt;Interests!$B$7,J$3&lt;Interests!$I$7),I31-J32,0))</f>
        <v>23125000</v>
      </c>
      <c r="K31" s="0" t="n">
        <f aca="false">IF(K$3=Interests!$B$7,Interests!$E$7,IF(AND(K$3&gt;Interests!$B$7,K$3&lt;Interests!$I$7),J31-K32,0))</f>
        <v>21390625</v>
      </c>
      <c r="L31" s="0" t="n">
        <f aca="false">IF(L$3=Interests!$B$7,Interests!$E$7,IF(AND(L$3&gt;Interests!$B$7,L$3&lt;Interests!$I$7),K31-L32,0))</f>
        <v>19786328.125</v>
      </c>
      <c r="M31" s="0" t="n">
        <f aca="false">IF(M$3=Interests!$B$7,Interests!$E$7,IF(AND(M$3&gt;Interests!$B$7,M$3&lt;Interests!$I$7),L31-M32,0))</f>
        <v>18302353.515625</v>
      </c>
      <c r="N31" s="0" t="n">
        <f aca="false">IF(N$3=Interests!$B$7,Interests!$E$7,IF(AND(N$3&gt;Interests!$B$7,N$3&lt;Interests!$I$7),M31-N32,0))</f>
        <v>16929677.0019531</v>
      </c>
      <c r="O31" s="0" t="n">
        <f aca="false">IF(O$3=Interests!$B$7,Interests!$E$7,IF(AND(O$3&gt;Interests!$B$7,O$3&lt;Interests!$I$7),N31-O32,0))</f>
        <v>15659951.2268066</v>
      </c>
      <c r="P31" s="0" t="n">
        <f aca="false">IF(P$3=Interests!$B$7,Interests!$E$7,IF(AND(P$3&gt;Interests!$B$7,P$3&lt;Interests!$I$7),O31-P32,0))</f>
        <v>14485454.8847961</v>
      </c>
      <c r="Q31" s="0" t="n">
        <f aca="false">IF(Q$3=Interests!$B$7,Interests!$E$7,IF(AND(Q$3&gt;Interests!$B$7,Q$3&lt;Interests!$I$7),P31-Q32,0))</f>
        <v>13399045.7684364</v>
      </c>
      <c r="R31" s="0" t="n">
        <f aca="false">IF(R$3=Interests!$B$7,Interests!$E$7,IF(AND(R$3&gt;Interests!$B$7,R$3&lt;Interests!$I$7),Q31-R32,0))</f>
        <v>12394117.3358037</v>
      </c>
      <c r="S31" s="0" t="n">
        <f aca="false">IF(S$3=Interests!$B$7,Interests!$E$7,IF(AND(S$3&gt;Interests!$B$7,S$3&lt;Interests!$I$7),R31-S32,0))</f>
        <v>11464558.5356184</v>
      </c>
      <c r="T31" s="0" t="n">
        <f aca="false">IF(T$3=Interests!$B$7,Interests!$E$7,IF(AND(T$3&gt;Interests!$B$7,T$3&lt;Interests!$I$7),S31-T32,0))</f>
        <v>10604716.645447</v>
      </c>
      <c r="U31" s="0" t="n">
        <f aca="false">IF(U$3=Interests!$B$7,Interests!$E$7,IF(AND(U$3&gt;Interests!$B$7,U$3&lt;Interests!$I$7),T31-U32,0))</f>
        <v>9809362.89703851</v>
      </c>
      <c r="V31" s="0" t="n">
        <f aca="false">IF(V$3=Interests!$B$7,Interests!$E$7,IF(AND(V$3&gt;Interests!$B$7,V$3&lt;Interests!$I$7),U31-V32,0))</f>
        <v>9073660.67976062</v>
      </c>
      <c r="W31" s="0" t="n">
        <f aca="false">IF(W$3=Interests!$B$7,Interests!$E$7,IF(AND(W$3&gt;Interests!$B$7,W$3&lt;Interests!$I$7),V31-W32,0))</f>
        <v>8393136.12877858</v>
      </c>
      <c r="X31" s="0" t="n">
        <f aca="false">IF(X$3=Interests!$B$7,Interests!$E$7,IF(AND(X$3&gt;Interests!$B$7,X$3&lt;Interests!$I$7),W31-X32,0))</f>
        <v>7763650.91912018</v>
      </c>
      <c r="Y31" s="0" t="n">
        <f aca="false">IF(Y$3=Interests!$B$7,Interests!$E$7,IF(AND(Y$3&gt;Interests!$B$7,Y$3&lt;Interests!$I$7),X31-Y32,0))</f>
        <v>7181377.10018617</v>
      </c>
      <c r="Z31" s="0" t="n">
        <f aca="false">IF(Z$3=Interests!$B$7,Interests!$E$7,IF(AND(Z$3&gt;Interests!$B$7,Z$3&lt;Interests!$I$7),Y31-Z32,0))</f>
        <v>6642773.81767221</v>
      </c>
      <c r="AA31" s="0" t="n">
        <f aca="false">IF(AA$3=Interests!$B$7,Interests!$E$7,IF(AND(AA$3&gt;Interests!$B$7,AA$3&lt;Interests!$I$7),Z31-AA32,0))</f>
        <v>6144565.78134679</v>
      </c>
      <c r="AB31" s="0" t="n">
        <f aca="false">IF(AB$3=Interests!$B$7,Interests!$E$7,IF(AND(AB$3&gt;Interests!$B$7,AB$3&lt;Interests!$I$7),AA31-AB32,0))</f>
        <v>5683723.34774578</v>
      </c>
      <c r="AC31" s="0" t="n">
        <f aca="false">IF(AC$3=Interests!$B$7,Interests!$E$7,IF(AND(AC$3&gt;Interests!$B$7,AC$3&lt;Interests!$I$7),AB31-AC32,0))</f>
        <v>5257444.09666485</v>
      </c>
      <c r="AD31" s="0" t="n">
        <f aca="false">IF(AD$3=Interests!$B$7,Interests!$E$7,IF(AND(AD$3&gt;Interests!$B$7,AD$3&lt;Interests!$I$7),AC31-AD32,0))</f>
        <v>4863135.78941498</v>
      </c>
      <c r="AE31" s="0" t="n">
        <f aca="false">IF(AE$3=Interests!$B$7,Interests!$E$7,IF(AND(AE$3&gt;Interests!$B$7,AE$3&lt;Interests!$I$7),AD31-AE32,0))</f>
        <v>4498400.60520886</v>
      </c>
      <c r="AF31" s="0" t="n">
        <f aca="false">IF(AF$3=Interests!$B$7,Interests!$E$7,IF(AND(AF$3&gt;Interests!$B$7,AF$3&lt;Interests!$I$7),AE31-AF32,0))</f>
        <v>0</v>
      </c>
      <c r="AG31" s="0" t="n">
        <f aca="false">IF(AG$3=Interests!$B$7,Interests!$E$7,IF(AND(AG$3&gt;Interests!$B$7,AG$3&lt;Interests!$I$7),AF31-AG32,0))</f>
        <v>0</v>
      </c>
      <c r="AH31" s="0" t="n">
        <f aca="false">IF(AH$3=Interests!$B$7,Interests!$E$7,IF(AND(AH$3&gt;Interests!$B$7,AH$3&lt;Interests!$I$7),AG31-AH32,0))</f>
        <v>0</v>
      </c>
    </row>
    <row r="32" customFormat="false" ht="15" hidden="false" customHeight="false" outlineLevel="0" collapsed="false">
      <c r="A32" s="0" t="s">
        <v>53</v>
      </c>
      <c r="B32" s="0" t="n">
        <f aca="false">IF(AND(B$3&gt;Interests!$B$7,B$3&lt;Interests!$I$7),0*Interests!$F$7/4,0)</f>
        <v>0</v>
      </c>
      <c r="C32" s="0" t="n">
        <f aca="false">IF(AND(C$3&gt;Interests!$B$7,C$3&lt;Interests!$I$7),B31*Interests!$F$7/4,0)</f>
        <v>0</v>
      </c>
      <c r="D32" s="0" t="n">
        <f aca="false">IF(AND(D$3&gt;Interests!$B$7,D$3&lt;Interests!$I$7),C31*Interests!$F$7/4,0)</f>
        <v>0</v>
      </c>
      <c r="E32" s="0" t="n">
        <f aca="false">IF(AND(E$3&gt;Interests!$B$7,E$3&lt;Interests!$I$7),D31*Interests!$F$7/4,0)</f>
        <v>0</v>
      </c>
      <c r="F32" s="0" t="n">
        <f aca="false">IF(AND(F$3&gt;Interests!$B$7,F$3&lt;Interests!$I$7),E31*Interests!$F$7/4,0)</f>
        <v>0</v>
      </c>
      <c r="G32" s="0" t="n">
        <f aca="false">IF(AND(G$3&gt;Interests!$B$7,G$3&lt;Interests!$I$7),F31*Interests!$F$7/4,0)</f>
        <v>0</v>
      </c>
      <c r="H32" s="0" t="n">
        <f aca="false">IF(AND(H$3&gt;Interests!$B$7,H$3&lt;Interests!$I$7),G31*Interests!$F$7/4,0)</f>
        <v>0</v>
      </c>
      <c r="I32" s="0" t="n">
        <f aca="false">IF(AND(I$3&gt;Interests!$B$7,I$3&lt;Interests!$I$7),H31*Interests!$F$7/4,0)</f>
        <v>0</v>
      </c>
      <c r="J32" s="0" t="n">
        <f aca="false">IF(AND(J$3&gt;Interests!$B$7,J$3&lt;Interests!$I$7),I31*Interests!$F$7/4,0)</f>
        <v>1875000</v>
      </c>
      <c r="K32" s="0" t="n">
        <f aca="false">IF(AND(K$3&gt;Interests!$B$7,K$3&lt;Interests!$I$7),J31*Interests!$F$7/4,0)</f>
        <v>1734375</v>
      </c>
      <c r="L32" s="0" t="n">
        <f aca="false">IF(AND(L$3&gt;Interests!$B$7,L$3&lt;Interests!$I$7),K31*Interests!$F$7/4,0)</f>
        <v>1604296.875</v>
      </c>
      <c r="M32" s="0" t="n">
        <f aca="false">IF(AND(M$3&gt;Interests!$B$7,M$3&lt;Interests!$I$7),L31*Interests!$F$7/4,0)</f>
        <v>1483974.609375</v>
      </c>
      <c r="N32" s="0" t="n">
        <f aca="false">IF(AND(N$3&gt;Interests!$B$7,N$3&lt;Interests!$I$7),M31*Interests!$F$7/4,0)</f>
        <v>1372676.51367188</v>
      </c>
      <c r="O32" s="0" t="n">
        <f aca="false">IF(AND(O$3&gt;Interests!$B$7,O$3&lt;Interests!$I$7),N31*Interests!$F$7/4,0)</f>
        <v>1269725.77514648</v>
      </c>
      <c r="P32" s="0" t="n">
        <f aca="false">IF(AND(P$3&gt;Interests!$B$7,P$3&lt;Interests!$I$7),O31*Interests!$F$7/4,0)</f>
        <v>1174496.3420105</v>
      </c>
      <c r="Q32" s="0" t="n">
        <f aca="false">IF(AND(Q$3&gt;Interests!$B$7,Q$3&lt;Interests!$I$7),P31*Interests!$F$7/4,0)</f>
        <v>1086409.11635971</v>
      </c>
      <c r="R32" s="0" t="n">
        <f aca="false">IF(AND(R$3&gt;Interests!$B$7,R$3&lt;Interests!$I$7),Q31*Interests!$F$7/4,0)</f>
        <v>1004928.43263273</v>
      </c>
      <c r="S32" s="0" t="n">
        <f aca="false">IF(AND(S$3&gt;Interests!$B$7,S$3&lt;Interests!$I$7),R31*Interests!$F$7/4,0)</f>
        <v>929558.800185277</v>
      </c>
      <c r="T32" s="0" t="n">
        <f aca="false">IF(AND(T$3&gt;Interests!$B$7,T$3&lt;Interests!$I$7),S31*Interests!$F$7/4,0)</f>
        <v>859841.890171382</v>
      </c>
      <c r="U32" s="0" t="n">
        <f aca="false">IF(AND(U$3&gt;Interests!$B$7,U$3&lt;Interests!$I$7),T31*Interests!$F$7/4,0)</f>
        <v>795353.748408528</v>
      </c>
      <c r="V32" s="0" t="n">
        <f aca="false">IF(AND(V$3&gt;Interests!$B$7,V$3&lt;Interests!$I$7),U31*Interests!$F$7/4,0)</f>
        <v>735702.217277888</v>
      </c>
      <c r="W32" s="0" t="n">
        <f aca="false">IF(AND(W$3&gt;Interests!$B$7,W$3&lt;Interests!$I$7),V31*Interests!$F$7/4,0)</f>
        <v>680524.550982047</v>
      </c>
      <c r="X32" s="0" t="n">
        <f aca="false">IF(AND(X$3&gt;Interests!$B$7,X$3&lt;Interests!$I$7),W31*Interests!$F$7/4,0)</f>
        <v>629485.209658393</v>
      </c>
      <c r="Y32" s="0" t="n">
        <f aca="false">IF(AND(Y$3&gt;Interests!$B$7,Y$3&lt;Interests!$I$7),X31*Interests!$F$7/4,0)</f>
        <v>582273.818934014</v>
      </c>
      <c r="Z32" s="0" t="n">
        <f aca="false">IF(AND(Z$3&gt;Interests!$B$7,Z$3&lt;Interests!$I$7),Y31*Interests!$F$7/4,0)</f>
        <v>538603.282513963</v>
      </c>
      <c r="AA32" s="0" t="n">
        <f aca="false">IF(AND(AA$3&gt;Interests!$B$7,AA$3&lt;Interests!$I$7),Z31*Interests!$F$7/4,0)</f>
        <v>498208.036325415</v>
      </c>
      <c r="AB32" s="0" t="n">
        <f aca="false">IF(AND(AB$3&gt;Interests!$B$7,AB$3&lt;Interests!$I$7),AA31*Interests!$F$7/4,0)</f>
        <v>460842.433601009</v>
      </c>
      <c r="AC32" s="0" t="n">
        <f aca="false">IF(AND(AC$3&gt;Interests!$B$7,AC$3&lt;Interests!$I$7),AB31*Interests!$F$7/4,0)</f>
        <v>426279.251080934</v>
      </c>
      <c r="AD32" s="0" t="n">
        <f aca="false">IF(AND(AD$3&gt;Interests!$B$7,AD$3&lt;Interests!$I$7),AC31*Interests!$F$7/4,0)</f>
        <v>394308.307249864</v>
      </c>
      <c r="AE32" s="0" t="n">
        <f aca="false">IF(AND(AE$3&gt;Interests!$B$7,AE$3&lt;Interests!$I$7),AD31*Interests!$F$7/4,0)</f>
        <v>364735.184206124</v>
      </c>
      <c r="AF32" s="0" t="n">
        <f aca="false">IF(AND(AF$3&gt;Interests!$B$7,AF$3&lt;Interests!$I$7),AE31*Interests!$F$7/4,0)</f>
        <v>0</v>
      </c>
      <c r="AG32" s="0" t="n">
        <f aca="false">IF(AND(AG$3&gt;Interests!$B$7,AG$3&lt;Interests!$I$7),AF31*Interests!$F$7/4,0)</f>
        <v>0</v>
      </c>
      <c r="AH32" s="0" t="n">
        <f aca="false">IF(AND(AH$3&gt;Interests!$B$7,AH$3&lt;Interests!$I$7),AG31*Interests!$F$7/4,0)</f>
        <v>0</v>
      </c>
    </row>
    <row r="33" customFormat="false" ht="15" hidden="false" customHeight="false" outlineLevel="0" collapsed="false">
      <c r="A33" s="0" t="s">
        <v>54</v>
      </c>
      <c r="B33" s="0" t="n">
        <f aca="false">IF(B$3=Interests!$I$7,0*(1+Interests!$H$7/4)+B32,IF(AND(B$3&gt;Interests!$B$7,B$3&lt;Interests!$I$7),0*Interests!$G$7/4,0))</f>
        <v>0</v>
      </c>
      <c r="C33" s="0" t="n">
        <f aca="false">IF(C$3=Interests!$I$7,B30*(1+Interests!$H$7/4)+C32,IF(AND(C$3&gt;Interests!$B$7,C$3&lt;Interests!$I$7),B30*Interests!$G$7/4,0))</f>
        <v>0</v>
      </c>
      <c r="D33" s="0" t="n">
        <f aca="false">IF(D$3=Interests!$I$7,C30*(1+Interests!$H$7/4)+D32,IF(AND(D$3&gt;Interests!$B$7,D$3&lt;Interests!$I$7),C30*Interests!$G$7/4,0))</f>
        <v>0</v>
      </c>
      <c r="E33" s="0" t="n">
        <f aca="false">IF(E$3=Interests!$I$7,D30*(1+Interests!$H$7/4)+E32,IF(AND(E$3&gt;Interests!$B$7,E$3&lt;Interests!$I$7),D30*Interests!$G$7/4,0))</f>
        <v>0</v>
      </c>
      <c r="F33" s="0" t="n">
        <f aca="false">IF(F$3=Interests!$I$7,E30*(1+Interests!$H$7/4)+F32,IF(AND(F$3&gt;Interests!$B$7,F$3&lt;Interests!$I$7),E30*Interests!$G$7/4,0))</f>
        <v>0</v>
      </c>
      <c r="G33" s="0" t="n">
        <f aca="false">IF(G$3=Interests!$I$7,F30*(1+Interests!$H$7/4)+G32,IF(AND(G$3&gt;Interests!$B$7,G$3&lt;Interests!$I$7),F30*Interests!$G$7/4,0))</f>
        <v>0</v>
      </c>
      <c r="H33" s="0" t="n">
        <f aca="false">IF(H$3=Interests!$I$7,G30*(1+Interests!$H$7/4)+H32,IF(AND(H$3&gt;Interests!$B$7,H$3&lt;Interests!$I$7),G30*Interests!$G$7/4,0))</f>
        <v>0</v>
      </c>
      <c r="I33" s="0" t="n">
        <f aca="false">IF(I$3=Interests!$I$7,H30*(1+Interests!$H$7/4)+I32,IF(AND(I$3&gt;Interests!$B$7,I$3&lt;Interests!$I$7),H30*Interests!$G$7/4,0))</f>
        <v>0</v>
      </c>
      <c r="J33" s="0" t="n">
        <f aca="false">IF(J$3=Interests!$I$7,I30*(1+Interests!$H$7/4)+J32,IF(AND(J$3&gt;Interests!$B$7,J$3&lt;Interests!$I$7),I30*Interests!$G$7/4,0))</f>
        <v>1400000</v>
      </c>
      <c r="K33" s="0" t="n">
        <f aca="false">IF(K$3=Interests!$I$7,J30*(1+Interests!$H$7/4)+K32,IF(AND(K$3&gt;Interests!$B$7,K$3&lt;Interests!$I$7),J30*Interests!$G$7/4,0))</f>
        <v>1434000</v>
      </c>
      <c r="L33" s="0" t="n">
        <f aca="false">IF(L$3=Interests!$I$7,K30*(1+Interests!$H$7/4)+L32,IF(AND(L$3&gt;Interests!$B$7,L$3&lt;Interests!$I$7),K30*Interests!$G$7/4,0))</f>
        <v>1465102.5</v>
      </c>
      <c r="M33" s="0" t="n">
        <f aca="false">IF(M$3=Interests!$I$7,L30*(1+Interests!$H$7/4)+M32,IF(AND(M$3&gt;Interests!$B$7,M$3&lt;Interests!$I$7),L30*Interests!$G$7/4,0))</f>
        <v>1493525.68125</v>
      </c>
      <c r="N33" s="0" t="n">
        <f aca="false">IF(N$3=Interests!$I$7,M30*(1+Interests!$H$7/4)+N32,IF(AND(N$3&gt;Interests!$B$7,N$3&lt;Interests!$I$7),M30*Interests!$G$7/4,0))</f>
        <v>1519471.35923438</v>
      </c>
      <c r="O33" s="0" t="n">
        <f aca="false">IF(O$3=Interests!$I$7,N30*(1+Interests!$H$7/4)+O32,IF(AND(O$3&gt;Interests!$B$7,O$3&lt;Interests!$I$7),N30*Interests!$G$7/4,0))</f>
        <v>1543126.21110973</v>
      </c>
      <c r="P33" s="0" t="n">
        <f aca="false">IF(P$3=Interests!$I$7,O30*(1+Interests!$H$7/4)+P32,IF(AND(P$3&gt;Interests!$B$7,P$3&lt;Interests!$I$7),O30*Interests!$G$7/4,0))</f>
        <v>1564662.91108488</v>
      </c>
      <c r="Q33" s="0" t="n">
        <f aca="false">IF(Q$3=Interests!$I$7,P30*(1+Interests!$H$7/4)+Q32,IF(AND(Q$3&gt;Interests!$B$7,Q$3&lt;Interests!$I$7),P30*Interests!$G$7/4,0))</f>
        <v>1584241.18064738</v>
      </c>
      <c r="R33" s="0" t="n">
        <f aca="false">IF(R$3=Interests!$I$7,Q30*(1+Interests!$H$7/4)+R32,IF(AND(R$3&gt;Interests!$B$7,R$3&lt;Interests!$I$7),Q30*Interests!$G$7/4,0))</f>
        <v>1602008.76002296</v>
      </c>
      <c r="S33" s="0" t="n">
        <f aca="false">IF(S$3=Interests!$I$7,R30*(1+Interests!$H$7/4)+S32,IF(AND(S$3&gt;Interests!$B$7,S$3&lt;Interests!$I$7),R30*Interests!$G$7/4,0))</f>
        <v>1618102.30677555</v>
      </c>
      <c r="T33" s="0" t="n">
        <f aca="false">IF(T$3=Interests!$I$7,S30*(1+Interests!$H$7/4)+T32,IF(AND(T$3&gt;Interests!$B$7,T$3&lt;Interests!$I$7),S30*Interests!$G$7/4,0))</f>
        <v>1632648.22701232</v>
      </c>
      <c r="U33" s="0" t="n">
        <f aca="false">IF(U$3=Interests!$I$7,T30*(1+Interests!$H$7/4)+U32,IF(AND(U$3&gt;Interests!$B$7,U$3&lt;Interests!$I$7),T30*Interests!$G$7/4,0))</f>
        <v>1645763.44424822</v>
      </c>
      <c r="V33" s="0" t="n">
        <f aca="false">IF(V$3=Interests!$I$7,U30*(1+Interests!$H$7/4)+V32,IF(AND(V$3&gt;Interests!$B$7,V$3&lt;Interests!$I$7),U30*Interests!$G$7/4,0))</f>
        <v>1657556.11060577</v>
      </c>
      <c r="W33" s="0" t="n">
        <f aca="false">IF(W$3=Interests!$I$7,V30*(1+Interests!$H$7/4)+W32,IF(AND(W$3&gt;Interests!$B$7,W$3&lt;Interests!$I$7),V30*Interests!$G$7/4,0))</f>
        <v>1668126.26467481</v>
      </c>
      <c r="X33" s="0" t="n">
        <f aca="false">IF(X$3=Interests!$I$7,W30*(1+Interests!$H$7/4)+X32,IF(AND(X$3&gt;Interests!$B$7,X$3&lt;Interests!$I$7),W30*Interests!$G$7/4,0))</f>
        <v>1677566.44003276</v>
      </c>
      <c r="Y33" s="0" t="n">
        <f aca="false">IF(Y$3=Interests!$I$7,X30*(1+Interests!$H$7/4)+Y32,IF(AND(Y$3&gt;Interests!$B$7,Y$3&lt;Interests!$I$7),X30*Interests!$G$7/4,0))</f>
        <v>1685962.22812585</v>
      </c>
      <c r="Z33" s="0" t="n">
        <f aca="false">IF(Z$3=Interests!$I$7,Y30*(1+Interests!$H$7/4)+Z32,IF(AND(Z$3&gt;Interests!$B$7,Z$3&lt;Interests!$I$7),Y30*Interests!$G$7/4,0))</f>
        <v>1693392.79893422</v>
      </c>
      <c r="AA33" s="0" t="n">
        <f aca="false">IF(AA$3=Interests!$I$7,Z30*(1+Interests!$H$7/4)+AA32,IF(AND(AA$3&gt;Interests!$B$7,AA$3&lt;Interests!$I$7),Z30*Interests!$G$7/4,0))</f>
        <v>1699931.38258716</v>
      </c>
      <c r="AB33" s="0" t="n">
        <f aca="false">IF(AB$3=Interests!$I$7,AA30*(1+Interests!$H$7/4)+AB32,IF(AND(AB$3&gt;Interests!$B$7,AB$3&lt;Interests!$I$7),AA30*Interests!$G$7/4,0))</f>
        <v>1705645.7148572</v>
      </c>
      <c r="AC33" s="0" t="n">
        <f aca="false">IF(AC$3=Interests!$I$7,AB30*(1+Interests!$H$7/4)+AC32,IF(AND(AC$3&gt;Interests!$B$7,AC$3&lt;Interests!$I$7),AB30*Interests!$G$7/4,0))</f>
        <v>1710598.44924208</v>
      </c>
      <c r="AD33" s="0" t="n">
        <f aca="false">IF(AD$3=Interests!$I$7,AC30*(1+Interests!$H$7/4)+AD32,IF(AND(AD$3&gt;Interests!$B$7,AD$3&lt;Interests!$I$7),AC30*Interests!$G$7/4,0))</f>
        <v>1714847.53814059</v>
      </c>
      <c r="AE33" s="0" t="n">
        <f aca="false">IF(AE$3=Interests!$I$7,AD30*(1+Interests!$H$7/4)+AE32,IF(AND(AE$3&gt;Interests!$B$7,AE$3&lt;Interests!$I$7),AD30*Interests!$G$7/4,0))</f>
        <v>1718446.58544024</v>
      </c>
      <c r="AF33" s="0" t="n">
        <f aca="false">IF(AF$3=Interests!$I$7,AE30*(1+Interests!$H$7/4)+AF32,IF(AND(AF$3&gt;Interests!$B$7,AF$3&lt;Interests!$I$7),AE30*Interests!$G$7/4,0))</f>
        <v>87578523.1591161</v>
      </c>
      <c r="AG33" s="0" t="n">
        <f aca="false">IF(AG$3=Interests!$I$7,AF30*(1+Interests!$H$7/4)+AG32,IF(AND(AG$3&gt;Interests!$B$7,AG$3&lt;Interests!$I$7),AF30*Interests!$G$7/4,0))</f>
        <v>0</v>
      </c>
      <c r="AH33" s="0" t="n">
        <f aca="false">IF(AH$3=Interests!$I$7,AG30*(1+Interests!$H$7/4)+AH32,IF(AND(AH$3&gt;Interests!$B$7,AH$3&lt;Interests!$I$7),AG30*Interests!$G$7/4,0))</f>
        <v>0</v>
      </c>
    </row>
    <row r="34" customFormat="false" ht="15" hidden="false" customHeight="false" outlineLevel="0" collapsed="false">
      <c r="A34" s="0" t="s">
        <v>55</v>
      </c>
      <c r="B34" s="0" t="n">
        <f aca="false">IF(B$3=Interests!$B$7,Interests!$C$7*(1-Interests!$D$7),0)</f>
        <v>0</v>
      </c>
      <c r="C34" s="0" t="n">
        <f aca="false">IF(C$3=Interests!$B$7,Interests!$C$7*(1-Interests!$D$7),0)</f>
        <v>0</v>
      </c>
      <c r="D34" s="0" t="n">
        <f aca="false">IF(D$3=Interests!$B$7,Interests!$C$7*(1-Interests!$D$7),0)</f>
        <v>0</v>
      </c>
      <c r="E34" s="0" t="n">
        <f aca="false">IF(E$3=Interests!$B$7,Interests!$C$7*(1-Interests!$D$7),0)</f>
        <v>0</v>
      </c>
      <c r="F34" s="0" t="n">
        <f aca="false">IF(F$3=Interests!$B$7,Interests!$C$7*(1-Interests!$D$7),0)</f>
        <v>0</v>
      </c>
      <c r="G34" s="0" t="n">
        <f aca="false">IF(G$3=Interests!$B$7,Interests!$C$7*(1-Interests!$D$7),0)</f>
        <v>0</v>
      </c>
      <c r="H34" s="0" t="n">
        <f aca="false">IF(H$3=Interests!$B$7,Interests!$C$7*(1-Interests!$D$7),0)</f>
        <v>0</v>
      </c>
      <c r="I34" s="0" t="n">
        <f aca="false">IF(I$3=Interests!$B$7,Interests!$C$7*(1-Interests!$D$7),0)</f>
        <v>59500000</v>
      </c>
      <c r="J34" s="0" t="n">
        <f aca="false">IF(J$3=Interests!$B$7,Interests!$C$7*(1-Interests!$D$7),0)</f>
        <v>0</v>
      </c>
      <c r="K34" s="0" t="n">
        <f aca="false">IF(K$3=Interests!$B$7,Interests!$C$7*(1-Interests!$D$7),0)</f>
        <v>0</v>
      </c>
      <c r="L34" s="0" t="n">
        <f aca="false">IF(L$3=Interests!$B$7,Interests!$C$7*(1-Interests!$D$7),0)</f>
        <v>0</v>
      </c>
      <c r="M34" s="0" t="n">
        <f aca="false">IF(M$3=Interests!$B$7,Interests!$C$7*(1-Interests!$D$7),0)</f>
        <v>0</v>
      </c>
      <c r="N34" s="0" t="n">
        <f aca="false">IF(N$3=Interests!$B$7,Interests!$C$7*(1-Interests!$D$7),0)</f>
        <v>0</v>
      </c>
      <c r="O34" s="0" t="n">
        <f aca="false">IF(O$3=Interests!$B$7,Interests!$C$7*(1-Interests!$D$7),0)</f>
        <v>0</v>
      </c>
      <c r="P34" s="0" t="n">
        <f aca="false">IF(P$3=Interests!$B$7,Interests!$C$7*(1-Interests!$D$7),0)</f>
        <v>0</v>
      </c>
      <c r="Q34" s="0" t="n">
        <f aca="false">IF(Q$3=Interests!$B$7,Interests!$C$7*(1-Interests!$D$7),0)</f>
        <v>0</v>
      </c>
      <c r="R34" s="0" t="n">
        <f aca="false">IF(R$3=Interests!$B$7,Interests!$C$7*(1-Interests!$D$7),0)</f>
        <v>0</v>
      </c>
      <c r="S34" s="0" t="n">
        <f aca="false">IF(S$3=Interests!$B$7,Interests!$C$7*(1-Interests!$D$7),0)</f>
        <v>0</v>
      </c>
      <c r="T34" s="0" t="n">
        <f aca="false">IF(T$3=Interests!$B$7,Interests!$C$7*(1-Interests!$D$7),0)</f>
        <v>0</v>
      </c>
      <c r="U34" s="0" t="n">
        <f aca="false">IF(U$3=Interests!$B$7,Interests!$C$7*(1-Interests!$D$7),0)</f>
        <v>0</v>
      </c>
      <c r="V34" s="0" t="n">
        <f aca="false">IF(V$3=Interests!$B$7,Interests!$C$7*(1-Interests!$D$7),0)</f>
        <v>0</v>
      </c>
      <c r="W34" s="0" t="n">
        <f aca="false">IF(W$3=Interests!$B$7,Interests!$C$7*(1-Interests!$D$7),0)</f>
        <v>0</v>
      </c>
      <c r="X34" s="0" t="n">
        <f aca="false">IF(X$3=Interests!$B$7,Interests!$C$7*(1-Interests!$D$7),0)</f>
        <v>0</v>
      </c>
      <c r="Y34" s="0" t="n">
        <f aca="false">IF(Y$3=Interests!$B$7,Interests!$C$7*(1-Interests!$D$7),0)</f>
        <v>0</v>
      </c>
      <c r="Z34" s="0" t="n">
        <f aca="false">IF(Z$3=Interests!$B$7,Interests!$C$7*(1-Interests!$D$7),0)</f>
        <v>0</v>
      </c>
      <c r="AA34" s="0" t="n">
        <f aca="false">IF(AA$3=Interests!$B$7,Interests!$C$7*(1-Interests!$D$7),0)</f>
        <v>0</v>
      </c>
      <c r="AB34" s="0" t="n">
        <f aca="false">IF(AB$3=Interests!$B$7,Interests!$C$7*(1-Interests!$D$7),0)</f>
        <v>0</v>
      </c>
      <c r="AC34" s="0" t="n">
        <f aca="false">IF(AC$3=Interests!$B$7,Interests!$C$7*(1-Interests!$D$7),0)</f>
        <v>0</v>
      </c>
      <c r="AD34" s="0" t="n">
        <f aca="false">IF(AD$3=Interests!$B$7,Interests!$C$7*(1-Interests!$D$7),0)</f>
        <v>0</v>
      </c>
      <c r="AE34" s="0" t="n">
        <f aca="false">IF(AE$3=Interests!$B$7,Interests!$C$7*(1-Interests!$D$7),0)</f>
        <v>0</v>
      </c>
      <c r="AF34" s="0" t="n">
        <f aca="false">IF(AF$3=Interests!$B$7,Interests!$C$7*(1-Interests!$D$7),0)</f>
        <v>0</v>
      </c>
      <c r="AG34" s="0" t="n">
        <f aca="false">IF(AG$3=Interests!$B$7,Interests!$C$7*(1-Interests!$D$7),0)</f>
        <v>0</v>
      </c>
      <c r="AH34" s="0" t="n">
        <f aca="false">IF(AH$3=Interests!$B$7,Interests!$C$7*(1-Interests!$D$7),0)</f>
        <v>0</v>
      </c>
    </row>
    <row r="35" customFormat="false" ht="15" hidden="false" customHeight="false" outlineLevel="0" collapsed="false">
      <c r="A35" s="0" t="s">
        <v>56</v>
      </c>
      <c r="B35" s="0" t="n">
        <f aca="false">B9+B14+B19+B24+B29+B34</f>
        <v>0</v>
      </c>
      <c r="C35" s="0" t="n">
        <f aca="false">C9+C14+C19+C24+C29+C34</f>
        <v>54560000</v>
      </c>
      <c r="D35" s="0" t="n">
        <f aca="false">D9+D14+D19+D24+D29+D34</f>
        <v>90510000</v>
      </c>
      <c r="E35" s="0" t="n">
        <f aca="false">E9+E14+E19+E24+E29+E34</f>
        <v>0</v>
      </c>
      <c r="F35" s="0" t="n">
        <f aca="false">F9+F14+F19+F24+F29+F34</f>
        <v>21000000</v>
      </c>
      <c r="G35" s="0" t="n">
        <f aca="false">G9+G14+G19+G24+G29+G34</f>
        <v>36400000</v>
      </c>
      <c r="H35" s="0" t="n">
        <f aca="false">H9+H14+H19+H24+H29+H34</f>
        <v>0</v>
      </c>
      <c r="I35" s="0" t="n">
        <f aca="false">I9+I14+I19+I24+I29+I34</f>
        <v>59500000</v>
      </c>
      <c r="J35" s="0" t="n">
        <f aca="false">J9+J14+J19+J24+J29+J34</f>
        <v>0</v>
      </c>
      <c r="K35" s="0" t="n">
        <f aca="false">K9+K14+K19+K24+K29+K34</f>
        <v>0</v>
      </c>
      <c r="L35" s="0" t="n">
        <f aca="false">L9+L14+L19+L24+L29+L34</f>
        <v>0</v>
      </c>
      <c r="M35" s="0" t="n">
        <f aca="false">M9+M14+M19+M24+M29+M34</f>
        <v>0</v>
      </c>
      <c r="N35" s="0" t="n">
        <f aca="false">N9+N14+N19+N24+N29+N34</f>
        <v>0</v>
      </c>
      <c r="O35" s="0" t="n">
        <f aca="false">O9+O14+O19+O24+O29+O34</f>
        <v>0</v>
      </c>
      <c r="P35" s="0" t="n">
        <f aca="false">P9+P14+P19+P24+P29+P34</f>
        <v>0</v>
      </c>
      <c r="Q35" s="0" t="n">
        <f aca="false">Q9+Q14+Q19+Q24+Q29+Q34</f>
        <v>0</v>
      </c>
      <c r="R35" s="0" t="n">
        <f aca="false">R9+R14+R19+R24+R29+R34</f>
        <v>0</v>
      </c>
      <c r="S35" s="0" t="n">
        <f aca="false">S9+S14+S19+S24+S29+S34</f>
        <v>0</v>
      </c>
      <c r="T35" s="0" t="n">
        <f aca="false">T9+T14+T19+T24+T29+T34</f>
        <v>0</v>
      </c>
      <c r="U35" s="0" t="n">
        <f aca="false">U9+U14+U19+U24+U29+U34</f>
        <v>0</v>
      </c>
      <c r="V35" s="0" t="n">
        <f aca="false">V9+V14+V19+V24+V29+V34</f>
        <v>0</v>
      </c>
      <c r="W35" s="0" t="n">
        <f aca="false">W9+W14+W19+W24+W29+W34</f>
        <v>0</v>
      </c>
      <c r="X35" s="0" t="n">
        <f aca="false">X9+X14+X19+X24+X29+X34</f>
        <v>0</v>
      </c>
      <c r="Y35" s="0" t="n">
        <f aca="false">Y9+Y14+Y19+Y24+Y29+Y34</f>
        <v>0</v>
      </c>
      <c r="Z35" s="0" t="n">
        <f aca="false">Z9+Z14+Z19+Z24+Z29+Z34</f>
        <v>0</v>
      </c>
      <c r="AA35" s="0" t="n">
        <f aca="false">AA9+AA14+AA19+AA24+AA29+AA34</f>
        <v>0</v>
      </c>
      <c r="AB35" s="0" t="n">
        <f aca="false">AB9+AB14+AB19+AB24+AB29+AB34</f>
        <v>0</v>
      </c>
      <c r="AC35" s="0" t="n">
        <f aca="false">AC9+AC14+AC19+AC24+AC29+AC34</f>
        <v>0</v>
      </c>
      <c r="AD35" s="0" t="n">
        <f aca="false">AD9+AD14+AD19+AD24+AD29+AD34</f>
        <v>0</v>
      </c>
      <c r="AE35" s="0" t="n">
        <f aca="false">AE9+AE14+AE19+AE24+AE29+AE34</f>
        <v>0</v>
      </c>
      <c r="AF35" s="0" t="n">
        <f aca="false">AF9+AF14+AF19+AF24+AF29+AF34</f>
        <v>0</v>
      </c>
      <c r="AG35" s="0" t="n">
        <f aca="false">AG9+AG14+AG19+AG24+AG29+AG34</f>
        <v>0</v>
      </c>
      <c r="AH35" s="0" t="n">
        <f aca="false">AH9+AH14+AH19+AH24+AH29+AH34</f>
        <v>0</v>
      </c>
    </row>
    <row r="36" customFormat="false" ht="15" hidden="false" customHeight="false" outlineLevel="0" collapsed="false">
      <c r="A36" s="0" t="s">
        <v>57</v>
      </c>
      <c r="B36" s="0" t="n">
        <f aca="false">B7+B12+B17+B22+B27+B32</f>
        <v>0</v>
      </c>
      <c r="C36" s="0" t="n">
        <f aca="false">C7+C12+C17+C22+C27+C32</f>
        <v>0</v>
      </c>
      <c r="D36" s="0" t="n">
        <f aca="false">D7+D12+D17+D22+D27+D32</f>
        <v>600000</v>
      </c>
      <c r="E36" s="0" t="n">
        <f aca="false">E7+E12+E17+E22+E27+E32</f>
        <v>2080000</v>
      </c>
      <c r="F36" s="0" t="n">
        <f aca="false">F7+F12+F17+F22+F27+F32</f>
        <v>1901187.5</v>
      </c>
      <c r="G36" s="0" t="n">
        <f aca="false">G7+G12+G17+G22+G27+G32</f>
        <v>2637875.78125</v>
      </c>
      <c r="H36" s="0" t="n">
        <f aca="false">H7+H12+H17+H22+H27+H32</f>
        <v>3171210.04882813</v>
      </c>
      <c r="I36" s="0" t="n">
        <f aca="false">I7+I12+I17+I22+I27+I32</f>
        <v>2878767.37561035</v>
      </c>
      <c r="J36" s="0" t="n">
        <f aca="false">J7+J12+J17+J22+J27+J32</f>
        <v>4489510.16459503</v>
      </c>
      <c r="K36" s="0" t="n">
        <f aca="false">K7+K12+K17+K22+K27+K32</f>
        <v>4109969.81759226</v>
      </c>
      <c r="L36" s="0" t="n">
        <f aca="false">L7+L12+L17+L22+L27+L32</f>
        <v>3763774.38511603</v>
      </c>
      <c r="M36" s="0" t="n">
        <f aca="false">M7+M12+M17+M22+M27+M32</f>
        <v>3447855.93371971</v>
      </c>
      <c r="N36" s="0" t="n">
        <f aca="false">N7+N12+N17+N22+N27+N32</f>
        <v>3159443.61953947</v>
      </c>
      <c r="O36" s="0" t="n">
        <f aca="false">O7+O12+O17+O22+O27+O32</f>
        <v>2896033.38634004</v>
      </c>
      <c r="P36" s="0" t="n">
        <f aca="false">P7+P12+P17+P22+P27+P32</f>
        <v>2655360.90636991</v>
      </c>
      <c r="Q36" s="0" t="n">
        <f aca="false">Q7+Q12+Q17+Q22+Q27+Q32</f>
        <v>2435377.40251552</v>
      </c>
      <c r="R36" s="0" t="n">
        <f aca="false">R7+R12+R17+R22+R27+R32</f>
        <v>2036921.34974778</v>
      </c>
      <c r="S36" s="0" t="n">
        <f aca="false">S7+S12+S17+S22+S27+S32</f>
        <v>1877589.20069622</v>
      </c>
      <c r="T36" s="0" t="n">
        <f aca="false">T7+T12+T17+T22+T27+T32</f>
        <v>1730805.05949996</v>
      </c>
      <c r="U36" s="0" t="n">
        <f aca="false">U7+U12+U17+U22+U27+U32</f>
        <v>1595573.10911145</v>
      </c>
      <c r="V36" s="0" t="n">
        <f aca="false">V7+V12+V17+V22+V27+V32</f>
        <v>1323507.66599941</v>
      </c>
      <c r="W36" s="0" t="n">
        <f aca="false">W7+W12+W17+W22+W27+W32</f>
        <v>1219765.27154031</v>
      </c>
      <c r="X36" s="0" t="n">
        <f aca="false">X7+X12+X17+X22+X27+X32</f>
        <v>1083685.58045033</v>
      </c>
      <c r="Y36" s="0" t="n">
        <f aca="false">Y7+Y12+Y17+Y22+Y27+Y32</f>
        <v>999720.905499613</v>
      </c>
      <c r="Z36" s="0" t="n">
        <f aca="false">Z7+Z12+Z17+Z22+Z27+Z32</f>
        <v>743217.323032811</v>
      </c>
      <c r="AA36" s="0" t="n">
        <f aca="false">AA7+AA12+AA17+AA22+AA27+AA32</f>
        <v>687476.02380535</v>
      </c>
      <c r="AB36" s="0" t="n">
        <f aca="false">AB7+AB12+AB17+AB22+AB27+AB32</f>
        <v>635915.322019949</v>
      </c>
      <c r="AC36" s="0" t="n">
        <f aca="false">AC7+AC12+AC17+AC22+AC27+AC32</f>
        <v>588221.672868453</v>
      </c>
      <c r="AD36" s="0" t="n">
        <f aca="false">AD7+AD12+AD17+AD22+AD27+AD32</f>
        <v>394308.307249864</v>
      </c>
      <c r="AE36" s="0" t="n">
        <f aca="false">AE7+AE12+AE17+AE22+AE27+AE32</f>
        <v>364735.184206124</v>
      </c>
      <c r="AF36" s="0" t="n">
        <f aca="false">AF7+AF12+AF17+AF22+AF27+AF32</f>
        <v>0</v>
      </c>
      <c r="AG36" s="0" t="n">
        <f aca="false">AG7+AG12+AG17+AG22+AG27+AG32</f>
        <v>0</v>
      </c>
      <c r="AH36" s="0" t="n">
        <f aca="false">AH7+AH12+AH17+AH22+AH27+AH32</f>
        <v>0</v>
      </c>
    </row>
    <row r="37" customFormat="false" ht="15" hidden="false" customHeight="false" outlineLevel="0" collapsed="false">
      <c r="A37" s="0" t="s">
        <v>58</v>
      </c>
      <c r="B37" s="0" t="n">
        <f aca="false">B8+B13+B18+B23+B28+B33</f>
        <v>0</v>
      </c>
      <c r="C37" s="0" t="n">
        <f aca="false">C8+C13+C18+C23+C28+C33</f>
        <v>0</v>
      </c>
      <c r="D37" s="0" t="n">
        <f aca="false">D8+D13+D18+D23+D28+D33</f>
        <v>2790000</v>
      </c>
      <c r="E37" s="0" t="n">
        <f aca="false">E8+E13+E18+E23+E28+E33</f>
        <v>5548300</v>
      </c>
      <c r="F37" s="0" t="n">
        <f aca="false">F8+F13+F18+F23+F28+F33</f>
        <v>5500501</v>
      </c>
      <c r="G37" s="0" t="n">
        <f aca="false">G8+G13+G18+G23+G28+G33</f>
        <v>5898547.345</v>
      </c>
      <c r="H37" s="0" t="n">
        <f aca="false">H8+H13+H18+H23+H28+H33</f>
        <v>7860983.4468375</v>
      </c>
      <c r="I37" s="0" t="n">
        <f aca="false">I8+I13+I18+I23+I28+I33</f>
        <v>7771969.79365972</v>
      </c>
      <c r="J37" s="0" t="n">
        <f aca="false">J8+J13+J18+J23+J28+J33</f>
        <v>9076851.36279038</v>
      </c>
      <c r="K37" s="0" t="n">
        <f aca="false">K8+K13+K18+K23+K28+K33</f>
        <v>9010793.50137052</v>
      </c>
      <c r="L37" s="0" t="n">
        <f aca="false">L8+L13+L18+L23+L28+L33</f>
        <v>8937917.5193001</v>
      </c>
      <c r="M37" s="0" t="n">
        <f aca="false">M8+M13+M18+M23+M28+M33</f>
        <v>8859331.2098667</v>
      </c>
      <c r="N37" s="0" t="n">
        <f aca="false">N8+N13+N18+N23+N28+N33</f>
        <v>8776012.09447999</v>
      </c>
      <c r="O37" s="0" t="n">
        <f aca="false">O8+O13+O18+O23+O28+O33</f>
        <v>8688822.1386999</v>
      </c>
      <c r="P37" s="0" t="n">
        <f aca="false">P8+P13+P18+P23+P28+P33</f>
        <v>8598520.78798277</v>
      </c>
      <c r="Q37" s="0" t="n">
        <f aca="false">Q8+Q13+Q18+Q23+Q28+Q33</f>
        <v>8505776.51905501</v>
      </c>
      <c r="R37" s="0" t="n">
        <f aca="false">R8+R13+R18+R23+R28+R33</f>
        <v>36567044.3487173</v>
      </c>
      <c r="S37" s="0" t="n">
        <f aca="false">S8+S13+S18+S23+S28+S33</f>
        <v>6897579.87037536</v>
      </c>
      <c r="T37" s="0" t="n">
        <f aca="false">T8+T13+T18+T23+T28+T33</f>
        <v>6852373.11796508</v>
      </c>
      <c r="U37" s="0" t="n">
        <f aca="false">U8+U13+U18+U23+U28+U33</f>
        <v>6805561.09616692</v>
      </c>
      <c r="V37" s="0" t="n">
        <f aca="false">V8+V13+V18+V23+V28+V33</f>
        <v>45811438.819249</v>
      </c>
      <c r="W37" s="0" t="n">
        <f aca="false">W8+W13+W18+W23+W28+W33</f>
        <v>4944063.39195033</v>
      </c>
      <c r="X37" s="0" t="n">
        <f aca="false">X8+X13+X18+X23+X28+X33</f>
        <v>47732277.3867339</v>
      </c>
      <c r="Y37" s="0" t="n">
        <f aca="false">Y8+Y13+Y18+Y23+Y28+Y33</f>
        <v>3864836.15087022</v>
      </c>
      <c r="Z37" s="0" t="n">
        <f aca="false">Z8+Z13+Z18+Z23+Z28+Z33</f>
        <v>52735177.1337832</v>
      </c>
      <c r="AA37" s="0" t="n">
        <f aca="false">AA8+AA13+AA18+AA23+AA28+AA33</f>
        <v>2409411.55617667</v>
      </c>
      <c r="AB37" s="0" t="n">
        <f aca="false">AB8+AB13+AB18+AB23+AB28+AB33</f>
        <v>2425059.7099948</v>
      </c>
      <c r="AC37" s="0" t="n">
        <f aca="false">AC8+AC13+AC18+AC23+AC28+AC33</f>
        <v>2439832.67765734</v>
      </c>
      <c r="AD37" s="0" t="n">
        <f aca="false">AD8+AD13+AD18+AD23+AD28+AD33</f>
        <v>52210154.1849328</v>
      </c>
      <c r="AE37" s="0" t="n">
        <f aca="false">AE8+AE13+AE18+AE23+AE28+AE33</f>
        <v>1718446.58544024</v>
      </c>
      <c r="AF37" s="0" t="n">
        <f aca="false">AF8+AF13+AF18+AF23+AF28+AF33</f>
        <v>87578523.1591161</v>
      </c>
      <c r="AG37" s="0" t="n">
        <f aca="false">AG8+AG13+AG18+AG23+AG28+AG33</f>
        <v>0</v>
      </c>
      <c r="AH37" s="0" t="n">
        <f aca="false">AH8+AH13+AH18+AH23+AH28+AH33</f>
        <v>0</v>
      </c>
    </row>
    <row r="38" customFormat="false" ht="15" hidden="false" customHeight="false" outlineLevel="0" collapsed="false">
      <c r="A38" s="0" t="s">
        <v>59</v>
      </c>
      <c r="B38" s="0" t="n">
        <f aca="false">B5+B10+B15+B20+B25+B30</f>
        <v>0</v>
      </c>
      <c r="C38" s="0" t="n">
        <f aca="false">C5+C10+C15+C20+C25+C30</f>
        <v>62000000</v>
      </c>
      <c r="D38" s="0" t="n">
        <f aca="false">D5+D10+D15+D20+D25+D30</f>
        <v>163740000</v>
      </c>
      <c r="E38" s="0" t="n">
        <f aca="false">E5+E10+E15+E20+E25+E30</f>
        <v>162692800</v>
      </c>
      <c r="F38" s="0" t="n">
        <f aca="false">F5+F10+F15+F20+F25+F30</f>
        <v>191505228.5</v>
      </c>
      <c r="G38" s="0" t="n">
        <f aca="false">G5+G10+G15+G20+G25+G30</f>
        <v>231394372.80125</v>
      </c>
      <c r="H38" s="0" t="n">
        <f aca="false">H5+H10+H15+H20+H25+H30</f>
        <v>230170213.274791</v>
      </c>
      <c r="I38" s="0" t="n">
        <f aca="false">I5+I10+I15+I20+I25+I30</f>
        <v>298747899.669343</v>
      </c>
      <c r="J38" s="0" t="n">
        <f aca="false">J5+J10+J15+J20+J25+J30</f>
        <v>298858277.229859</v>
      </c>
      <c r="K38" s="0" t="n">
        <f aca="false">K5+K10+K15+K20+K25+K30</f>
        <v>298683734.757123</v>
      </c>
      <c r="L38" s="0" t="n">
        <f aca="false">L5+L10+L15+L20+L25+L30</f>
        <v>298259266.364926</v>
      </c>
      <c r="M38" s="0" t="n">
        <f aca="false">M5+M10+M15+M20+M25+M30</f>
        <v>297616226.040258</v>
      </c>
      <c r="N38" s="0" t="n">
        <f aca="false">N5+N10+N15+N20+N25+N30</f>
        <v>296782705.453533</v>
      </c>
      <c r="O38" s="0" t="n">
        <f aca="false">O5+O10+O15+O20+O25+O30</f>
        <v>295783871.376483</v>
      </c>
      <c r="P38" s="0" t="n">
        <f aca="false">P5+P10+P15+P20+P25+P30</f>
        <v>294642267.183625</v>
      </c>
      <c r="Q38" s="0" t="n">
        <f aca="false">Q5+Q10+Q15+Q20+Q25+Q30</f>
        <v>293378082.40102</v>
      </c>
      <c r="R38" s="0" t="n">
        <f aca="false">R5+R10+R15+R20+R25+R30</f>
        <v>263656219.862686</v>
      </c>
      <c r="S38" s="0" t="n">
        <f aca="false">S5+S10+S15+S20+S25+S30</f>
        <v>263231573.841104</v>
      </c>
      <c r="T38" s="0" t="n">
        <f aca="false">T5+T10+T15+T20+T25+T30</f>
        <v>262710784.752026</v>
      </c>
      <c r="U38" s="0" t="n">
        <f aca="false">U5+U10+U15+U20+U25+U30</f>
        <v>262105048.0004</v>
      </c>
      <c r="V38" s="0" t="n">
        <f aca="false">V5+V10+V15+V20+V25+V30</f>
        <v>222223088.9052</v>
      </c>
      <c r="W38" s="0" t="n">
        <f aca="false">W5+W10+W15+W20+W25+W30</f>
        <v>222516902.567348</v>
      </c>
      <c r="X38" s="0" t="n">
        <f aca="false">X5+X10+X15+X20+X25+X30</f>
        <v>179900797.593794</v>
      </c>
      <c r="Y38" s="0" t="n">
        <f aca="false">Y5+Y10+Y15+Y20+Y25+Y30</f>
        <v>180652688.576077</v>
      </c>
      <c r="Z38" s="0" t="n">
        <f aca="false">Z5+Z10+Z15+Z20+Z25+Z30</f>
        <v>132295247.368659</v>
      </c>
      <c r="AA38" s="0" t="n">
        <f aca="false">AA5+AA10+AA15+AA20+AA25+AA30</f>
        <v>133243218.752033</v>
      </c>
      <c r="AB38" s="0" t="n">
        <f aca="false">AB5+AB10+AB15+AB20+AB25+AB30</f>
        <v>134145537.689788</v>
      </c>
      <c r="AC38" s="0" t="n">
        <f aca="false">AC5+AC10+AC15+AC20+AC25+AC30</f>
        <v>135006090.708778</v>
      </c>
      <c r="AD38" s="0" t="n">
        <f aca="false">AD5+AD10+AD15+AD20+AD25+AD30</f>
        <v>85922329.2720119</v>
      </c>
      <c r="AE38" s="0" t="n">
        <f aca="false">AE5+AE10+AE15+AE20+AE25+AE30</f>
        <v>86072258.633038</v>
      </c>
      <c r="AF38" s="0" t="n">
        <f aca="false">AF5+AF10+AF15+AF20+AF25+AF30</f>
        <v>0</v>
      </c>
      <c r="AG38" s="0" t="n">
        <f aca="false">AG5+AG10+AG15+AG20+AG25+AG30</f>
        <v>0</v>
      </c>
      <c r="AH38" s="0" t="n">
        <f aca="false">AH5+AH10+AH15+AH20+AH25+AH30</f>
        <v>0</v>
      </c>
    </row>
    <row r="39" customFormat="false" ht="15" hidden="false" customHeight="false" outlineLevel="0" collapsed="false">
      <c r="A39" s="0" t="s">
        <v>60</v>
      </c>
      <c r="B39" s="0" t="n">
        <f aca="false">0</f>
        <v>0</v>
      </c>
      <c r="C39" s="0" t="n">
        <f aca="false">B38*Fund!$B$4/4</f>
        <v>0</v>
      </c>
      <c r="D39" s="0" t="n">
        <f aca="false">C38*Fund!$B$4/4</f>
        <v>155000</v>
      </c>
      <c r="E39" s="0" t="n">
        <f aca="false">D38*Fund!$B$4/4</f>
        <v>409350</v>
      </c>
      <c r="F39" s="0" t="n">
        <f aca="false">E38*Fund!$B$4/4</f>
        <v>406732</v>
      </c>
      <c r="G39" s="0" t="n">
        <f aca="false">F38*Fund!$B$4/4</f>
        <v>478763.07125</v>
      </c>
      <c r="H39" s="0" t="n">
        <f aca="false">G38*Fund!$B$4/4</f>
        <v>578485.932003125</v>
      </c>
      <c r="I39" s="0" t="n">
        <f aca="false">H38*Fund!$B$4/4</f>
        <v>575425.533186976</v>
      </c>
      <c r="J39" s="0" t="n">
        <f aca="false">I38*Fund!$B$4/4</f>
        <v>746869.749173358</v>
      </c>
      <c r="K39" s="0" t="n">
        <f aca="false">J38*Fund!$B$4/4</f>
        <v>747145.693074648</v>
      </c>
      <c r="L39" s="0" t="n">
        <f aca="false">K38*Fund!$B$4/4</f>
        <v>746709.336892807</v>
      </c>
      <c r="M39" s="0" t="n">
        <f aca="false">L38*Fund!$B$4/4</f>
        <v>745648.165912315</v>
      </c>
      <c r="N39" s="0" t="n">
        <f aca="false">M38*Fund!$B$4/4</f>
        <v>744040.565100645</v>
      </c>
      <c r="O39" s="0" t="n">
        <f aca="false">N38*Fund!$B$4/4</f>
        <v>741956.763633833</v>
      </c>
      <c r="P39" s="0" t="n">
        <f aca="false">O38*Fund!$B$4/4</f>
        <v>739459.678441208</v>
      </c>
      <c r="Q39" s="0" t="n">
        <f aca="false">P38*Fund!$B$4/4</f>
        <v>736605.667959063</v>
      </c>
      <c r="R39" s="0" t="n">
        <f aca="false">Q38*Fund!$B$4/4</f>
        <v>733445.206002549</v>
      </c>
      <c r="S39" s="0" t="n">
        <f aca="false">R38*Fund!$B$4/4</f>
        <v>659140.549656714</v>
      </c>
      <c r="T39" s="0" t="n">
        <f aca="false">S38*Fund!$B$4/4</f>
        <v>658078.934602759</v>
      </c>
      <c r="U39" s="0" t="n">
        <f aca="false">T38*Fund!$B$4/4</f>
        <v>656776.961880065</v>
      </c>
      <c r="V39" s="0" t="n">
        <f aca="false">U38*Fund!$B$4/4</f>
        <v>655262.620001</v>
      </c>
      <c r="W39" s="0" t="n">
        <f aca="false">V38*Fund!$B$4/4</f>
        <v>555557.722263001</v>
      </c>
      <c r="X39" s="0" t="n">
        <f aca="false">W38*Fund!$B$4/4</f>
        <v>556292.256418369</v>
      </c>
      <c r="Y39" s="0" t="n">
        <f aca="false">X38*Fund!$B$4/4</f>
        <v>449751.993984485</v>
      </c>
      <c r="Z39" s="0" t="n">
        <f aca="false">Y38*Fund!$B$4/4</f>
        <v>451631.721440193</v>
      </c>
      <c r="AA39" s="0" t="n">
        <f aca="false">Z38*Fund!$B$4/4</f>
        <v>330738.118421646</v>
      </c>
      <c r="AB39" s="0" t="n">
        <f aca="false">AA38*Fund!$B$4/4</f>
        <v>333108.046880084</v>
      </c>
      <c r="AC39" s="0" t="n">
        <f aca="false">AB38*Fund!$B$4/4</f>
        <v>335363.84422447</v>
      </c>
      <c r="AD39" s="0" t="n">
        <f aca="false">AC38*Fund!$B$4/4</f>
        <v>337515.226771945</v>
      </c>
      <c r="AE39" s="0" t="n">
        <f aca="false">AD38*Fund!$B$4/4</f>
        <v>214805.82318003</v>
      </c>
      <c r="AF39" s="0" t="n">
        <f aca="false">AE38*Fund!$B$4/4</f>
        <v>215180.646582595</v>
      </c>
      <c r="AG39" s="0" t="n">
        <f aca="false">AF38*Fund!$B$4/4</f>
        <v>0</v>
      </c>
      <c r="AH39" s="0" t="n">
        <f aca="false">AG38*Fund!$B$4/4</f>
        <v>0</v>
      </c>
    </row>
    <row r="40" customFormat="false" ht="15" hidden="false" customHeight="false" outlineLevel="0" collapsed="false">
      <c r="A40" s="0" t="s">
        <v>61</v>
      </c>
      <c r="B40" s="0" t="n">
        <f aca="false">B35+B36+B39</f>
        <v>0</v>
      </c>
      <c r="C40" s="0" t="n">
        <f aca="false">C35+C36+C39</f>
        <v>54560000</v>
      </c>
      <c r="D40" s="0" t="n">
        <f aca="false">D35+D36+D39</f>
        <v>91265000</v>
      </c>
      <c r="E40" s="0" t="n">
        <f aca="false">E35+E36+E39</f>
        <v>2489350</v>
      </c>
      <c r="F40" s="0" t="n">
        <f aca="false">F35+F36+F39</f>
        <v>23307919.5</v>
      </c>
      <c r="G40" s="0" t="n">
        <f aca="false">G35+G36+G39</f>
        <v>39516638.8525</v>
      </c>
      <c r="H40" s="0" t="n">
        <f aca="false">H35+H36+H39</f>
        <v>3749695.98083125</v>
      </c>
      <c r="I40" s="0" t="n">
        <f aca="false">I35+I36+I39</f>
        <v>62954192.9087973</v>
      </c>
      <c r="J40" s="0" t="n">
        <f aca="false">J35+J36+J39</f>
        <v>5236379.91376839</v>
      </c>
      <c r="K40" s="0" t="n">
        <f aca="false">K35+K36+K39</f>
        <v>4857115.51066691</v>
      </c>
      <c r="L40" s="0" t="n">
        <f aca="false">L35+L36+L39</f>
        <v>4510483.72200884</v>
      </c>
      <c r="M40" s="0" t="n">
        <f aca="false">M35+M36+M39</f>
        <v>4193504.09963202</v>
      </c>
      <c r="N40" s="0" t="n">
        <f aca="false">N35+N36+N39</f>
        <v>3903484.18464012</v>
      </c>
      <c r="O40" s="0" t="n">
        <f aca="false">O35+O36+O39</f>
        <v>3637990.14997387</v>
      </c>
      <c r="P40" s="0" t="n">
        <f aca="false">P35+P36+P39</f>
        <v>3394820.58481112</v>
      </c>
      <c r="Q40" s="0" t="n">
        <f aca="false">Q35+Q36+Q39</f>
        <v>3171983.07047458</v>
      </c>
      <c r="R40" s="0" t="n">
        <f aca="false">R35+R36+R39</f>
        <v>2770366.55575033</v>
      </c>
      <c r="S40" s="0" t="n">
        <f aca="false">S35+S36+S39</f>
        <v>2536729.75035294</v>
      </c>
      <c r="T40" s="0" t="n">
        <f aca="false">T35+T36+T39</f>
        <v>2388883.99410272</v>
      </c>
      <c r="U40" s="0" t="n">
        <f aca="false">U35+U36+U39</f>
        <v>2252350.07099151</v>
      </c>
      <c r="V40" s="0" t="n">
        <f aca="false">V35+V36+V39</f>
        <v>1978770.28600041</v>
      </c>
      <c r="W40" s="0" t="n">
        <f aca="false">W35+W36+W39</f>
        <v>1775322.99380331</v>
      </c>
      <c r="X40" s="0" t="n">
        <f aca="false">X35+X36+X39</f>
        <v>1639977.8368687</v>
      </c>
      <c r="Y40" s="0" t="n">
        <f aca="false">Y35+Y36+Y39</f>
        <v>1449472.8994841</v>
      </c>
      <c r="Z40" s="0" t="n">
        <f aca="false">Z35+Z36+Z39</f>
        <v>1194849.044473</v>
      </c>
      <c r="AA40" s="0" t="n">
        <f aca="false">AA35+AA36+AA39</f>
        <v>1018214.142227</v>
      </c>
      <c r="AB40" s="0" t="n">
        <f aca="false">AB35+AB36+AB39</f>
        <v>969023.368900033</v>
      </c>
      <c r="AC40" s="0" t="n">
        <f aca="false">AC35+AC36+AC39</f>
        <v>923585.517092923</v>
      </c>
      <c r="AD40" s="0" t="n">
        <f aca="false">AD35+AD36+AD39</f>
        <v>731823.534021809</v>
      </c>
      <c r="AE40" s="0" t="n">
        <f aca="false">AE35+AE36+AE39</f>
        <v>579541.007386153</v>
      </c>
      <c r="AF40" s="0" t="n">
        <f aca="false">AF35+AF36+AF39</f>
        <v>215180.646582595</v>
      </c>
      <c r="AG40" s="0" t="n">
        <f aca="false">AG35+AG36+AG39</f>
        <v>0</v>
      </c>
      <c r="AH40" s="0" t="n">
        <f aca="false">AH35+AH36+AH39</f>
        <v>0</v>
      </c>
    </row>
    <row r="41" customFormat="false" ht="15" hidden="false" customHeight="false" outlineLevel="0" collapsed="false">
      <c r="A41" s="0" t="s">
        <v>62</v>
      </c>
      <c r="B41" s="0" t="n">
        <f aca="false">B40</f>
        <v>0</v>
      </c>
      <c r="C41" s="0" t="n">
        <f aca="false">C40</f>
        <v>54560000</v>
      </c>
      <c r="D41" s="0" t="n">
        <f aca="false">D40</f>
        <v>91265000</v>
      </c>
      <c r="E41" s="0" t="n">
        <f aca="false">E40</f>
        <v>2489350</v>
      </c>
      <c r="F41" s="0" t="n">
        <f aca="false">F40</f>
        <v>23307919.5</v>
      </c>
      <c r="G41" s="0" t="n">
        <f aca="false">G40</f>
        <v>39516638.8525</v>
      </c>
      <c r="H41" s="0" t="n">
        <f aca="false">H40</f>
        <v>3749695.98083125</v>
      </c>
      <c r="I41" s="0" t="n">
        <f aca="false">I40</f>
        <v>62954192.9087973</v>
      </c>
      <c r="J41" s="0" t="n">
        <f aca="false">J40</f>
        <v>5236379.91376839</v>
      </c>
      <c r="K41" s="0" t="n">
        <f aca="false">K40</f>
        <v>4857115.51066691</v>
      </c>
      <c r="L41" s="0" t="n">
        <f aca="false">L40</f>
        <v>4510483.72200884</v>
      </c>
      <c r="M41" s="0" t="n">
        <f aca="false">M40</f>
        <v>4193504.09963202</v>
      </c>
      <c r="N41" s="0" t="n">
        <f aca="false">N40</f>
        <v>3903484.18464012</v>
      </c>
      <c r="O41" s="0" t="n">
        <f aca="false">O40</f>
        <v>3637990.14997387</v>
      </c>
      <c r="P41" s="0" t="n">
        <f aca="false">P40</f>
        <v>3394820.58481112</v>
      </c>
      <c r="Q41" s="0" t="n">
        <f aca="false">Q40</f>
        <v>3171983.07047458</v>
      </c>
      <c r="R41" s="0" t="n">
        <f aca="false">R40</f>
        <v>2770366.55575033</v>
      </c>
      <c r="S41" s="0" t="n">
        <f aca="false">S40</f>
        <v>2536729.75035294</v>
      </c>
      <c r="T41" s="0" t="n">
        <f aca="false">T40</f>
        <v>2388883.99410272</v>
      </c>
      <c r="U41" s="0" t="n">
        <f aca="false">U40</f>
        <v>2252350.07099151</v>
      </c>
      <c r="V41" s="0" t="n">
        <f aca="false">V40</f>
        <v>1978770.28600041</v>
      </c>
      <c r="W41" s="0" t="n">
        <f aca="false">W40</f>
        <v>1775322.99380331</v>
      </c>
      <c r="X41" s="0" t="n">
        <f aca="false">X40</f>
        <v>1639977.8368687</v>
      </c>
      <c r="Y41" s="0" t="n">
        <f aca="false">Y40</f>
        <v>1449472.8994841</v>
      </c>
      <c r="Z41" s="0" t="n">
        <f aca="false">Z40</f>
        <v>1194849.044473</v>
      </c>
      <c r="AA41" s="0" t="n">
        <f aca="false">AA40</f>
        <v>1018214.142227</v>
      </c>
      <c r="AB41" s="0" t="n">
        <f aca="false">AB40</f>
        <v>969023.368900033</v>
      </c>
      <c r="AC41" s="0" t="n">
        <f aca="false">AC40</f>
        <v>923585.517092923</v>
      </c>
      <c r="AD41" s="0" t="n">
        <f aca="false">AD40</f>
        <v>731823.534021809</v>
      </c>
      <c r="AE41" s="0" t="n">
        <f aca="false">AE40</f>
        <v>579541.007386153</v>
      </c>
      <c r="AF41" s="0" t="n">
        <f aca="false">AF40</f>
        <v>215180.646582595</v>
      </c>
      <c r="AG41" s="0" t="n">
        <f aca="false">AG40</f>
        <v>0</v>
      </c>
      <c r="AH41" s="0" t="n">
        <f aca="false">AH40</f>
        <v>0</v>
      </c>
    </row>
    <row r="42" customFormat="false" ht="15" hidden="false" customHeight="false" outlineLevel="0" collapsed="false">
      <c r="A42" s="0" t="s">
        <v>63</v>
      </c>
      <c r="B42" s="0" t="n">
        <f aca="false">0</f>
        <v>0</v>
      </c>
      <c r="C42" s="0" t="n">
        <f aca="true">IF(C$3&gt;Fund!$B$5,OFFSET(C41,0,-Fund!$B$5),0)</f>
        <v>0</v>
      </c>
      <c r="D42" s="0" t="n">
        <f aca="true">IF(D$3&gt;Fund!$B$5,OFFSET(D41,0,-Fund!$B$5),0)</f>
        <v>0</v>
      </c>
      <c r="E42" s="0" t="n">
        <f aca="true">IF(E$3&gt;Fund!$B$5,OFFSET(E41,0,-Fund!$B$5),0)</f>
        <v>54560000</v>
      </c>
      <c r="F42" s="0" t="n">
        <f aca="true">IF(F$3&gt;Fund!$B$5,OFFSET(F41,0,-Fund!$B$5),0)</f>
        <v>91265000</v>
      </c>
      <c r="G42" s="0" t="n">
        <f aca="true">IF(G$3&gt;Fund!$B$5,OFFSET(G41,0,-Fund!$B$5),0)</f>
        <v>2489350</v>
      </c>
      <c r="H42" s="0" t="n">
        <f aca="true">IF(H$3&gt;Fund!$B$5,OFFSET(H41,0,-Fund!$B$5),0)</f>
        <v>23307919.5</v>
      </c>
      <c r="I42" s="0" t="n">
        <f aca="true">IF(I$3&gt;Fund!$B$5,OFFSET(I41,0,-Fund!$B$5),0)</f>
        <v>39516638.8525</v>
      </c>
      <c r="J42" s="0" t="n">
        <f aca="true">IF(J$3&gt;Fund!$B$5,OFFSET(J41,0,-Fund!$B$5),0)</f>
        <v>3749695.98083125</v>
      </c>
      <c r="K42" s="0" t="n">
        <f aca="true">IF(K$3&gt;Fund!$B$5,OFFSET(K41,0,-Fund!$B$5),0)</f>
        <v>62954192.9087973</v>
      </c>
      <c r="L42" s="0" t="n">
        <f aca="true">IF(L$3&gt;Fund!$B$5,OFFSET(L41,0,-Fund!$B$5),0)</f>
        <v>5236379.91376839</v>
      </c>
      <c r="M42" s="0" t="n">
        <f aca="true">IF(M$3&gt;Fund!$B$5,OFFSET(M41,0,-Fund!$B$5),0)</f>
        <v>4857115.51066691</v>
      </c>
      <c r="N42" s="0" t="n">
        <f aca="true">IF(N$3&gt;Fund!$B$5,OFFSET(N41,0,-Fund!$B$5),0)</f>
        <v>4510483.72200884</v>
      </c>
      <c r="O42" s="0" t="n">
        <f aca="true">IF(O$3&gt;Fund!$B$5,OFFSET(O41,0,-Fund!$B$5),0)</f>
        <v>4193504.09963202</v>
      </c>
      <c r="P42" s="0" t="n">
        <f aca="true">IF(P$3&gt;Fund!$B$5,OFFSET(P41,0,-Fund!$B$5),0)</f>
        <v>3903484.18464012</v>
      </c>
      <c r="Q42" s="0" t="n">
        <f aca="true">IF(Q$3&gt;Fund!$B$5,OFFSET(Q41,0,-Fund!$B$5),0)</f>
        <v>3637990.14997387</v>
      </c>
      <c r="R42" s="0" t="n">
        <f aca="true">IF(R$3&gt;Fund!$B$5,OFFSET(R41,0,-Fund!$B$5),0)</f>
        <v>3394820.58481112</v>
      </c>
      <c r="S42" s="0" t="n">
        <f aca="true">IF(S$3&gt;Fund!$B$5,OFFSET(S41,0,-Fund!$B$5),0)</f>
        <v>3171983.07047458</v>
      </c>
      <c r="T42" s="0" t="n">
        <f aca="true">IF(T$3&gt;Fund!$B$5,OFFSET(T41,0,-Fund!$B$5),0)</f>
        <v>2770366.55575033</v>
      </c>
      <c r="U42" s="0" t="n">
        <f aca="true">IF(U$3&gt;Fund!$B$5,OFFSET(U41,0,-Fund!$B$5),0)</f>
        <v>2536729.75035294</v>
      </c>
      <c r="V42" s="0" t="n">
        <f aca="true">IF(V$3&gt;Fund!$B$5,OFFSET(V41,0,-Fund!$B$5),0)</f>
        <v>2388883.99410272</v>
      </c>
      <c r="W42" s="0" t="n">
        <f aca="true">IF(W$3&gt;Fund!$B$5,OFFSET(W41,0,-Fund!$B$5),0)</f>
        <v>2252350.07099151</v>
      </c>
      <c r="X42" s="0" t="n">
        <f aca="true">IF(X$3&gt;Fund!$B$5,OFFSET(X41,0,-Fund!$B$5),0)</f>
        <v>1978770.28600041</v>
      </c>
      <c r="Y42" s="0" t="n">
        <f aca="true">IF(Y$3&gt;Fund!$B$5,OFFSET(Y41,0,-Fund!$B$5),0)</f>
        <v>1775322.99380331</v>
      </c>
      <c r="Z42" s="0" t="n">
        <f aca="true">IF(Z$3&gt;Fund!$B$5,OFFSET(Z41,0,-Fund!$B$5),0)</f>
        <v>1639977.8368687</v>
      </c>
      <c r="AA42" s="0" t="n">
        <f aca="true">IF(AA$3&gt;Fund!$B$5,OFFSET(AA41,0,-Fund!$B$5),0)</f>
        <v>1449472.8994841</v>
      </c>
      <c r="AB42" s="0" t="n">
        <f aca="true">IF(AB$3&gt;Fund!$B$5,OFFSET(AB41,0,-Fund!$B$5),0)</f>
        <v>1194849.044473</v>
      </c>
      <c r="AC42" s="0" t="n">
        <f aca="true">IF(AC$3&gt;Fund!$B$5,OFFSET(AC41,0,-Fund!$B$5),0)</f>
        <v>1018214.142227</v>
      </c>
      <c r="AD42" s="0" t="n">
        <f aca="true">IF(AD$3&gt;Fund!$B$5,OFFSET(AD41,0,-Fund!$B$5),0)</f>
        <v>969023.368900033</v>
      </c>
      <c r="AE42" s="0" t="n">
        <f aca="true">IF(AE$3&gt;Fund!$B$5,OFFSET(AE41,0,-Fund!$B$5),0)</f>
        <v>923585.517092923</v>
      </c>
      <c r="AF42" s="0" t="n">
        <f aca="true">IF(AF$3&gt;Fund!$B$5,OFFSET(AF41,0,-Fund!$B$5),0)</f>
        <v>731823.534021809</v>
      </c>
      <c r="AG42" s="0" t="n">
        <f aca="true">IF(AG$3&gt;Fund!$B$5,OFFSET(AG41,0,-Fund!$B$5),0)</f>
        <v>579541.007386153</v>
      </c>
      <c r="AH42" s="0" t="n">
        <f aca="true">IF(AH$3&gt;Fund!$B$5,OFFSET(AH41,0,-Fund!$B$5),0)</f>
        <v>215180.646582595</v>
      </c>
    </row>
    <row r="43" customFormat="false" ht="15" hidden="false" customHeight="false" outlineLevel="0" collapsed="false">
      <c r="A43" s="0" t="s">
        <v>64</v>
      </c>
      <c r="B43" s="0" t="n">
        <f aca="false">SUM($B$41:B41)-SUM($B$42:B42)</f>
        <v>0</v>
      </c>
      <c r="C43" s="0" t="n">
        <f aca="false">SUM($B$41:C41)-SUM($B$42:C42)</f>
        <v>54560000</v>
      </c>
      <c r="D43" s="0" t="n">
        <f aca="false">SUM($B$41:D41)-SUM($B$42:D42)</f>
        <v>145825000</v>
      </c>
      <c r="E43" s="0" t="n">
        <f aca="false">SUM($B$41:E41)-SUM($B$42:E42)</f>
        <v>93754350</v>
      </c>
      <c r="F43" s="0" t="n">
        <f aca="false">SUM($B$41:F41)-SUM($B$42:F42)</f>
        <v>25797269.5</v>
      </c>
      <c r="G43" s="0" t="n">
        <f aca="false">SUM($B$41:G41)-SUM($B$42:G42)</f>
        <v>62824558.3525</v>
      </c>
      <c r="H43" s="0" t="n">
        <f aca="false">SUM($B$41:H41)-SUM($B$42:H42)</f>
        <v>43266334.8333312</v>
      </c>
      <c r="I43" s="0" t="n">
        <f aca="false">SUM($B$41:I41)-SUM($B$42:I42)</f>
        <v>66703888.8896286</v>
      </c>
      <c r="J43" s="0" t="n">
        <f aca="false">SUM($B$41:J41)-SUM($B$42:J42)</f>
        <v>68190572.8225657</v>
      </c>
      <c r="K43" s="0" t="n">
        <f aca="false">SUM($B$41:K41)-SUM($B$42:K42)</f>
        <v>10093495.4244353</v>
      </c>
      <c r="L43" s="0" t="n">
        <f aca="false">SUM($B$41:L41)-SUM($B$42:L42)</f>
        <v>9367599.23267573</v>
      </c>
      <c r="M43" s="0" t="n">
        <f aca="false">SUM($B$41:M41)-SUM($B$42:M42)</f>
        <v>8703987.82164085</v>
      </c>
      <c r="N43" s="0" t="n">
        <f aca="false">SUM($B$41:N41)-SUM($B$42:N42)</f>
        <v>8096988.28427213</v>
      </c>
      <c r="O43" s="0" t="n">
        <f aca="false">SUM($B$41:O41)-SUM($B$42:O42)</f>
        <v>7541474.33461398</v>
      </c>
      <c r="P43" s="0" t="n">
        <f aca="false">SUM($B$41:P41)-SUM($B$42:P42)</f>
        <v>7032810.73478496</v>
      </c>
      <c r="Q43" s="0" t="n">
        <f aca="false">SUM($B$41:Q41)-SUM($B$42:Q42)</f>
        <v>6566803.65528572</v>
      </c>
      <c r="R43" s="0" t="n">
        <f aca="false">SUM($B$41:R41)-SUM($B$42:R42)</f>
        <v>5942349.62622494</v>
      </c>
      <c r="S43" s="0" t="n">
        <f aca="false">SUM($B$41:S41)-SUM($B$42:S42)</f>
        <v>5307096.30610329</v>
      </c>
      <c r="T43" s="0" t="n">
        <f aca="false">SUM($B$41:T41)-SUM($B$42:T42)</f>
        <v>4925613.7444557</v>
      </c>
      <c r="U43" s="0" t="n">
        <f aca="false">SUM($B$41:U41)-SUM($B$42:U42)</f>
        <v>4641234.06509423</v>
      </c>
      <c r="V43" s="0" t="n">
        <f aca="false">SUM($B$41:V41)-SUM($B$42:V42)</f>
        <v>4231120.35699195</v>
      </c>
      <c r="W43" s="0" t="n">
        <f aca="false">SUM($B$41:W41)-SUM($B$42:W42)</f>
        <v>3754093.27980375</v>
      </c>
      <c r="X43" s="0" t="n">
        <f aca="false">SUM($B$41:X41)-SUM($B$42:X42)</f>
        <v>3415300.83067197</v>
      </c>
      <c r="Y43" s="0" t="n">
        <f aca="false">SUM($B$41:Y41)-SUM($B$42:Y42)</f>
        <v>3089450.73635274</v>
      </c>
      <c r="Z43" s="0" t="n">
        <f aca="false">SUM($B$41:Z41)-SUM($B$42:Z42)</f>
        <v>2644321.94395709</v>
      </c>
      <c r="AA43" s="0" t="n">
        <f aca="false">SUM($B$41:AA41)-SUM($B$42:AA42)</f>
        <v>2213063.18670005</v>
      </c>
      <c r="AB43" s="0" t="n">
        <f aca="false">SUM($B$41:AB41)-SUM($B$42:AB42)</f>
        <v>1987237.51112711</v>
      </c>
      <c r="AC43" s="0" t="n">
        <f aca="false">SUM($B$41:AC41)-SUM($B$42:AC42)</f>
        <v>1892608.88599294</v>
      </c>
      <c r="AD43" s="0" t="n">
        <f aca="false">SUM($B$41:AD41)-SUM($B$42:AD42)</f>
        <v>1655409.05111468</v>
      </c>
      <c r="AE43" s="0" t="n">
        <f aca="false">SUM($B$41:AE41)-SUM($B$42:AE42)</f>
        <v>1311364.54140794</v>
      </c>
      <c r="AF43" s="0" t="n">
        <f aca="false">SUM($B$41:AF41)-SUM($B$42:AF42)</f>
        <v>794721.653968751</v>
      </c>
      <c r="AG43" s="0" t="n">
        <f aca="false">SUM($B$41:AG41)-SUM($B$42:AG42)</f>
        <v>215180.646582603</v>
      </c>
      <c r="AH43" s="0" t="n">
        <f aca="false">SUM($B$41:AH41)-SUM($B$42:AH42)</f>
        <v>0</v>
      </c>
    </row>
    <row r="44" customFormat="false" ht="15" hidden="false" customHeight="false" outlineLevel="0" collapsed="false">
      <c r="A44" s="0" t="s">
        <v>65</v>
      </c>
      <c r="B44" s="0" t="n">
        <f aca="false">0</f>
        <v>0</v>
      </c>
      <c r="C44" s="0" t="n">
        <f aca="false">B43*Fund!$B$6/4</f>
        <v>0</v>
      </c>
      <c r="D44" s="0" t="n">
        <f aca="false">C43*Fund!$B$6/4</f>
        <v>613800</v>
      </c>
      <c r="E44" s="0" t="n">
        <f aca="false">D43*Fund!$B$6/4</f>
        <v>1640531.25</v>
      </c>
      <c r="F44" s="0" t="n">
        <f aca="false">E43*Fund!$B$6/4</f>
        <v>1054736.4375</v>
      </c>
      <c r="G44" s="0" t="n">
        <f aca="false">F43*Fund!$B$6/4</f>
        <v>290219.281875</v>
      </c>
      <c r="H44" s="0" t="n">
        <f aca="false">G43*Fund!$B$6/4</f>
        <v>706776.281465625</v>
      </c>
      <c r="I44" s="0" t="n">
        <f aca="false">H43*Fund!$B$6/4</f>
        <v>486746.266874976</v>
      </c>
      <c r="J44" s="0" t="n">
        <f aca="false">I43*Fund!$B$6/4</f>
        <v>750418.750008322</v>
      </c>
      <c r="K44" s="0" t="n">
        <f aca="false">J43*Fund!$B$6/4</f>
        <v>767143.944253865</v>
      </c>
      <c r="L44" s="0" t="n">
        <f aca="false">K43*Fund!$B$6/4</f>
        <v>113551.823524897</v>
      </c>
      <c r="M44" s="0" t="n">
        <f aca="false">L43*Fund!$B$6/4</f>
        <v>105385.491367602</v>
      </c>
      <c r="N44" s="0" t="n">
        <f aca="false">M43*Fund!$B$6/4</f>
        <v>97919.8629934596</v>
      </c>
      <c r="O44" s="0" t="n">
        <f aca="false">N43*Fund!$B$6/4</f>
        <v>91091.1181980615</v>
      </c>
      <c r="P44" s="0" t="n">
        <f aca="false">O43*Fund!$B$6/4</f>
        <v>84841.5862644073</v>
      </c>
      <c r="Q44" s="0" t="n">
        <f aca="false">P43*Fund!$B$6/4</f>
        <v>79119.1207663308</v>
      </c>
      <c r="R44" s="0" t="n">
        <f aca="false">Q43*Fund!$B$6/4</f>
        <v>73876.5411219643</v>
      </c>
      <c r="S44" s="0" t="n">
        <f aca="false">R43*Fund!$B$6/4</f>
        <v>66851.4332950305</v>
      </c>
      <c r="T44" s="0" t="n">
        <f aca="false">S43*Fund!$B$6/4</f>
        <v>59704.833443662</v>
      </c>
      <c r="U44" s="0" t="n">
        <f aca="false">T43*Fund!$B$6/4</f>
        <v>55413.1546251266</v>
      </c>
      <c r="V44" s="0" t="n">
        <f aca="false">U43*Fund!$B$6/4</f>
        <v>52213.8832323101</v>
      </c>
      <c r="W44" s="0" t="n">
        <f aca="false">V43*Fund!$B$6/4</f>
        <v>47600.1040161594</v>
      </c>
      <c r="X44" s="0" t="n">
        <f aca="false">W43*Fund!$B$6/4</f>
        <v>42233.5493977922</v>
      </c>
      <c r="Y44" s="0" t="n">
        <f aca="false">X43*Fund!$B$6/4</f>
        <v>38422.1343450596</v>
      </c>
      <c r="Z44" s="0" t="n">
        <f aca="false">Y43*Fund!$B$6/4</f>
        <v>34756.3207839683</v>
      </c>
      <c r="AA44" s="0" t="n">
        <f aca="false">Z43*Fund!$B$6/4</f>
        <v>29748.6218695173</v>
      </c>
      <c r="AB44" s="0" t="n">
        <f aca="false">AA43*Fund!$B$6/4</f>
        <v>24896.9608503755</v>
      </c>
      <c r="AC44" s="0" t="n">
        <f aca="false">AB43*Fund!$B$6/4</f>
        <v>22356.42200018</v>
      </c>
      <c r="AD44" s="0" t="n">
        <f aca="false">AC43*Fund!$B$6/4</f>
        <v>21291.8499674206</v>
      </c>
      <c r="AE44" s="0" t="n">
        <f aca="false">AD43*Fund!$B$6/4</f>
        <v>18623.3518250401</v>
      </c>
      <c r="AF44" s="0" t="n">
        <f aca="false">AE43*Fund!$B$6/4</f>
        <v>14752.8510908394</v>
      </c>
      <c r="AG44" s="0" t="n">
        <f aca="false">AF43*Fund!$B$6/4</f>
        <v>8940.61860714845</v>
      </c>
      <c r="AH44" s="0" t="n">
        <f aca="false">AG43*Fund!$B$6/4</f>
        <v>2420.78227405429</v>
      </c>
    </row>
    <row r="45" customFormat="false" ht="15" hidden="false" customHeight="false" outlineLevel="0" collapsed="false">
      <c r="A45" s="0" t="s">
        <v>66</v>
      </c>
      <c r="B45" s="0" t="n">
        <f aca="false">B42+B44+IF(B$3=32,B43,0)</f>
        <v>0</v>
      </c>
      <c r="C45" s="0" t="n">
        <f aca="false">C42+C44+IF(C$3=32,C43,0)</f>
        <v>0</v>
      </c>
      <c r="D45" s="0" t="n">
        <f aca="false">D42+D44+IF(D$3=32,D43,0)</f>
        <v>613800</v>
      </c>
      <c r="E45" s="0" t="n">
        <f aca="false">E42+E44+IF(E$3=32,E43,0)</f>
        <v>56200531.25</v>
      </c>
      <c r="F45" s="0" t="n">
        <f aca="false">F42+F44+IF(F$3=32,F43,0)</f>
        <v>92319736.4375</v>
      </c>
      <c r="G45" s="0" t="n">
        <f aca="false">G42+G44+IF(G$3=32,G43,0)</f>
        <v>2779569.281875</v>
      </c>
      <c r="H45" s="0" t="n">
        <f aca="false">H42+H44+IF(H$3=32,H43,0)</f>
        <v>24014695.7814656</v>
      </c>
      <c r="I45" s="0" t="n">
        <f aca="false">I42+I44+IF(I$3=32,I43,0)</f>
        <v>40003385.119375</v>
      </c>
      <c r="J45" s="0" t="n">
        <f aca="false">J42+J44+IF(J$3=32,J43,0)</f>
        <v>4500114.73083957</v>
      </c>
      <c r="K45" s="0" t="n">
        <f aca="false">K42+K44+IF(K$3=32,K43,0)</f>
        <v>63721336.8530512</v>
      </c>
      <c r="L45" s="0" t="n">
        <f aca="false">L42+L44+IF(L$3=32,L43,0)</f>
        <v>5349931.73729329</v>
      </c>
      <c r="M45" s="0" t="n">
        <f aca="false">M42+M44+IF(M$3=32,M43,0)</f>
        <v>4962501.00203451</v>
      </c>
      <c r="N45" s="0" t="n">
        <f aca="false">N42+N44+IF(N$3=32,N43,0)</f>
        <v>4608403.5850023</v>
      </c>
      <c r="O45" s="0" t="n">
        <f aca="false">O42+O44+IF(O$3=32,O43,0)</f>
        <v>4284595.21783009</v>
      </c>
      <c r="P45" s="0" t="n">
        <f aca="false">P42+P44+IF(P$3=32,P43,0)</f>
        <v>3988325.77090452</v>
      </c>
      <c r="Q45" s="0" t="n">
        <f aca="false">Q42+Q44+IF(Q$3=32,Q43,0)</f>
        <v>3717109.2707402</v>
      </c>
      <c r="R45" s="0" t="n">
        <f aca="false">R42+R44+IF(R$3=32,R43,0)</f>
        <v>3468697.12593308</v>
      </c>
      <c r="S45" s="0" t="n">
        <f aca="false">S42+S44+IF(S$3=32,S43,0)</f>
        <v>3238834.50376962</v>
      </c>
      <c r="T45" s="0" t="n">
        <f aca="false">T42+T44+IF(T$3=32,T43,0)</f>
        <v>2830071.38919399</v>
      </c>
      <c r="U45" s="0" t="n">
        <f aca="false">U42+U44+IF(U$3=32,U43,0)</f>
        <v>2592142.90497806</v>
      </c>
      <c r="V45" s="0" t="n">
        <f aca="false">V42+V44+IF(V$3=32,V43,0)</f>
        <v>2441097.87733503</v>
      </c>
      <c r="W45" s="0" t="n">
        <f aca="false">W42+W44+IF(W$3=32,W43,0)</f>
        <v>2299950.17500767</v>
      </c>
      <c r="X45" s="0" t="n">
        <f aca="false">X42+X44+IF(X$3=32,X43,0)</f>
        <v>2021003.83539821</v>
      </c>
      <c r="Y45" s="0" t="n">
        <f aca="false">Y42+Y44+IF(Y$3=32,Y43,0)</f>
        <v>1813745.12814837</v>
      </c>
      <c r="Z45" s="0" t="n">
        <f aca="false">Z42+Z44+IF(Z$3=32,Z43,0)</f>
        <v>1674734.15765267</v>
      </c>
      <c r="AA45" s="0" t="n">
        <f aca="false">AA42+AA44+IF(AA$3=32,AA43,0)</f>
        <v>1479221.52135361</v>
      </c>
      <c r="AB45" s="0" t="n">
        <f aca="false">AB42+AB44+IF(AB$3=32,AB43,0)</f>
        <v>1219746.00532338</v>
      </c>
      <c r="AC45" s="0" t="n">
        <f aca="false">AC42+AC44+IF(AC$3=32,AC43,0)</f>
        <v>1040570.56422718</v>
      </c>
      <c r="AD45" s="0" t="n">
        <f aca="false">AD42+AD44+IF(AD$3=32,AD43,0)</f>
        <v>990315.218867453</v>
      </c>
      <c r="AE45" s="0" t="n">
        <f aca="false">AE42+AE44+IF(AE$3=32,AE43,0)</f>
        <v>942208.868917963</v>
      </c>
      <c r="AF45" s="0" t="n">
        <f aca="false">AF42+AF44+IF(AF$3=32,AF43,0)</f>
        <v>746576.385112648</v>
      </c>
      <c r="AG45" s="0" t="n">
        <f aca="false">AG42+AG44+IF(AG$3=32,AG43,0)</f>
        <v>588481.625993302</v>
      </c>
      <c r="AH45" s="0" t="n">
        <f aca="false">AH42+AH44+IF(AH$3=32,AH43,0)</f>
        <v>217601.428856649</v>
      </c>
    </row>
    <row r="46" customFormat="false" ht="15" hidden="false" customHeight="false" outlineLevel="0" collapsed="false">
      <c r="A46" s="0" t="s">
        <v>67</v>
      </c>
      <c r="B46" s="0" t="n">
        <f aca="false">B37</f>
        <v>0</v>
      </c>
      <c r="C46" s="0" t="n">
        <f aca="false">C37</f>
        <v>0</v>
      </c>
      <c r="D46" s="0" t="n">
        <f aca="false">D37</f>
        <v>2790000</v>
      </c>
      <c r="E46" s="0" t="n">
        <f aca="false">E37</f>
        <v>5548300</v>
      </c>
      <c r="F46" s="0" t="n">
        <f aca="false">F37</f>
        <v>5500501</v>
      </c>
      <c r="G46" s="0" t="n">
        <f aca="false">G37</f>
        <v>5898547.345</v>
      </c>
      <c r="H46" s="0" t="n">
        <f aca="false">H37</f>
        <v>7860983.4468375</v>
      </c>
      <c r="I46" s="0" t="n">
        <f aca="false">I37</f>
        <v>7771969.79365972</v>
      </c>
      <c r="J46" s="0" t="n">
        <f aca="false">J37</f>
        <v>9076851.36279038</v>
      </c>
      <c r="K46" s="0" t="n">
        <f aca="false">K37</f>
        <v>9010793.50137052</v>
      </c>
      <c r="L46" s="0" t="n">
        <f aca="false">L37</f>
        <v>8937917.5193001</v>
      </c>
      <c r="M46" s="0" t="n">
        <f aca="false">M37</f>
        <v>8859331.2098667</v>
      </c>
      <c r="N46" s="0" t="n">
        <f aca="false">N37</f>
        <v>8776012.09447999</v>
      </c>
      <c r="O46" s="0" t="n">
        <f aca="false">O37</f>
        <v>8688822.1386999</v>
      </c>
      <c r="P46" s="0" t="n">
        <f aca="false">P37</f>
        <v>8598520.78798277</v>
      </c>
      <c r="Q46" s="0" t="n">
        <f aca="false">Q37</f>
        <v>8505776.51905501</v>
      </c>
      <c r="R46" s="0" t="n">
        <f aca="false">R37</f>
        <v>36567044.3487173</v>
      </c>
      <c r="S46" s="0" t="n">
        <f aca="false">S37</f>
        <v>6897579.87037536</v>
      </c>
      <c r="T46" s="0" t="n">
        <f aca="false">T37</f>
        <v>6852373.11796508</v>
      </c>
      <c r="U46" s="0" t="n">
        <f aca="false">U37</f>
        <v>6805561.09616692</v>
      </c>
      <c r="V46" s="0" t="n">
        <f aca="false">V37</f>
        <v>45811438.819249</v>
      </c>
      <c r="W46" s="0" t="n">
        <f aca="false">W37</f>
        <v>4944063.39195033</v>
      </c>
      <c r="X46" s="0" t="n">
        <f aca="false">X37</f>
        <v>47732277.3867339</v>
      </c>
      <c r="Y46" s="0" t="n">
        <f aca="false">Y37</f>
        <v>3864836.15087022</v>
      </c>
      <c r="Z46" s="0" t="n">
        <f aca="false">Z37</f>
        <v>52735177.1337832</v>
      </c>
      <c r="AA46" s="0" t="n">
        <f aca="false">AA37</f>
        <v>2409411.55617667</v>
      </c>
      <c r="AB46" s="0" t="n">
        <f aca="false">AB37</f>
        <v>2425059.7099948</v>
      </c>
      <c r="AC46" s="0" t="n">
        <f aca="false">AC37</f>
        <v>2439832.67765734</v>
      </c>
      <c r="AD46" s="0" t="n">
        <f aca="false">AD37</f>
        <v>52210154.1849328</v>
      </c>
      <c r="AE46" s="0" t="n">
        <f aca="false">AE37</f>
        <v>1718446.58544024</v>
      </c>
      <c r="AF46" s="0" t="n">
        <f aca="false">AF37</f>
        <v>87578523.1591161</v>
      </c>
      <c r="AG46" s="0" t="n">
        <f aca="false">AG37</f>
        <v>0</v>
      </c>
      <c r="AH46" s="0" t="n">
        <f aca="false">AH37</f>
        <v>0</v>
      </c>
    </row>
    <row r="47" customFormat="false" ht="15" hidden="false" customHeight="false" outlineLevel="0" collapsed="false">
      <c r="A47" s="0" t="s">
        <v>68</v>
      </c>
      <c r="B47" s="0" t="n">
        <f aca="false">MIN(B46,SUM($B$45:B45)-0)</f>
        <v>0</v>
      </c>
      <c r="C47" s="0" t="n">
        <f aca="false">MIN(C46,SUM($B$45:C45)-SUM($B$47:B47))</f>
        <v>0</v>
      </c>
      <c r="D47" s="0" t="n">
        <f aca="false">MIN(D46,SUM($B$45:D45)-SUM($B$47:C47))</f>
        <v>613800</v>
      </c>
      <c r="E47" s="0" t="n">
        <f aca="false">MIN(E46,SUM($B$45:E45)-SUM($B$47:D47))</f>
        <v>5548300</v>
      </c>
      <c r="F47" s="0" t="n">
        <f aca="false">MIN(F46,SUM($B$45:F45)-SUM($B$47:E47))</f>
        <v>5500501</v>
      </c>
      <c r="G47" s="0" t="n">
        <f aca="false">MIN(G46,SUM($B$45:G45)-SUM($B$47:F47))</f>
        <v>5898547.345</v>
      </c>
      <c r="H47" s="0" t="n">
        <f aca="false">MIN(H46,SUM($B$45:H45)-SUM($B$47:G47))</f>
        <v>7860983.4468375</v>
      </c>
      <c r="I47" s="0" t="n">
        <f aca="false">MIN(I46,SUM($B$45:I45)-SUM($B$47:H47))</f>
        <v>7771969.79365972</v>
      </c>
      <c r="J47" s="0" t="n">
        <f aca="false">MIN(J46,SUM($B$45:J45)-SUM($B$47:I47))</f>
        <v>9076851.36279038</v>
      </c>
      <c r="K47" s="0" t="n">
        <f aca="false">MIN(K46,SUM($B$45:K45)-SUM($B$47:J47))</f>
        <v>9010793.50137052</v>
      </c>
      <c r="L47" s="0" t="n">
        <f aca="false">MIN(L46,SUM($B$45:L45)-SUM($B$47:K47))</f>
        <v>8937917.5193001</v>
      </c>
      <c r="M47" s="0" t="n">
        <f aca="false">MIN(M46,SUM($B$45:M45)-SUM($B$47:L47))</f>
        <v>8859331.2098667</v>
      </c>
      <c r="N47" s="0" t="n">
        <f aca="false">MIN(N46,SUM($B$45:N45)-SUM($B$47:M47))</f>
        <v>8776012.09447999</v>
      </c>
      <c r="O47" s="0" t="n">
        <f aca="false">MIN(O46,SUM($B$45:O45)-SUM($B$47:N47))</f>
        <v>8688822.1386999</v>
      </c>
      <c r="P47" s="0" t="n">
        <f aca="false">MIN(P46,SUM($B$45:P45)-SUM($B$47:O47))</f>
        <v>8598520.78798277</v>
      </c>
      <c r="Q47" s="0" t="n">
        <f aca="false">MIN(Q46,SUM($B$45:Q45)-SUM($B$47:P47))</f>
        <v>8505776.51905501</v>
      </c>
      <c r="R47" s="0" t="n">
        <f aca="false">MIN(R46,SUM($B$45:R45)-SUM($B$47:Q47))</f>
        <v>36567044.3487173</v>
      </c>
      <c r="S47" s="0" t="n">
        <f aca="false">MIN(S46,SUM($B$45:S45)-SUM($B$47:R47))</f>
        <v>6897579.87037536</v>
      </c>
      <c r="T47" s="0" t="n">
        <f aca="false">MIN(T46,SUM($B$45:T45)-SUM($B$47:S47))</f>
        <v>6852373.11796508</v>
      </c>
      <c r="U47" s="0" t="n">
        <f aca="false">MIN(U46,SUM($B$45:U45)-SUM($B$47:T47))</f>
        <v>6805561.09616692</v>
      </c>
      <c r="V47" s="0" t="n">
        <f aca="false">MIN(V46,SUM($B$45:V45)-SUM($B$47:U47))</f>
        <v>45811438.819249</v>
      </c>
      <c r="W47" s="0" t="n">
        <f aca="false">MIN(W46,SUM($B$45:W45)-SUM($B$47:V47))</f>
        <v>4944063.39195033</v>
      </c>
      <c r="X47" s="0" t="n">
        <f aca="false">MIN(X46,SUM($B$45:X45)-SUM($B$47:W47))</f>
        <v>47732277.3867339</v>
      </c>
      <c r="Y47" s="0" t="n">
        <f aca="false">MIN(Y46,SUM($B$45:Y45)-SUM($B$47:X47))</f>
        <v>3864836.15087022</v>
      </c>
      <c r="Z47" s="0" t="n">
        <f aca="false">MIN(Z46,SUM($B$45:Z45)-SUM($B$47:Y47))</f>
        <v>52735177.1337832</v>
      </c>
      <c r="AA47" s="0" t="n">
        <f aca="false">MIN(AA46,SUM($B$45:AA45)-SUM($B$47:Z47))</f>
        <v>2409411.55617667</v>
      </c>
      <c r="AB47" s="0" t="n">
        <f aca="false">MIN(AB46,SUM($B$45:AB45)-SUM($B$47:AA47))</f>
        <v>2425059.7099948</v>
      </c>
      <c r="AC47" s="0" t="n">
        <f aca="false">MIN(AC46,SUM($B$45:AC45)-SUM($B$47:AB47))</f>
        <v>2439832.67765734</v>
      </c>
      <c r="AD47" s="0" t="n">
        <f aca="false">MIN(AD46,SUM($B$45:AD45)-SUM($B$47:AC47))</f>
        <v>15041384.4664169</v>
      </c>
      <c r="AE47" s="0" t="n">
        <f aca="false">MIN(AE46,SUM($B$45:AE45)-SUM($B$47:AD47))</f>
        <v>942208.868917942</v>
      </c>
      <c r="AF47" s="0" t="n">
        <f aca="false">MIN(AF46,SUM($B$45:AF45)-SUM($B$47:AE47))</f>
        <v>746576.385112643</v>
      </c>
      <c r="AG47" s="0" t="n">
        <f aca="false">MIN(AG46,SUM($B$45:AG45)-SUM($B$47:AF47))</f>
        <v>0</v>
      </c>
      <c r="AH47" s="0" t="n">
        <f aca="false">MIN(AH46,SUM($B$45:AH45)-SUM($B$47:AG47))</f>
        <v>0</v>
      </c>
    </row>
    <row r="48" customFormat="false" ht="15" hidden="false" customHeight="false" outlineLevel="0" collapsed="false">
      <c r="A48" s="0" t="s">
        <v>69</v>
      </c>
      <c r="B48" s="0" t="n">
        <f aca="false">0</f>
        <v>0</v>
      </c>
      <c r="C48" s="0" t="n">
        <f aca="false">(B48-B49)*(1+Fund!$B$7/4)+(SUM($B$45:C45)-C45-SUM($B$47:B47))*Fund!$B$7/4</f>
        <v>0</v>
      </c>
      <c r="D48" s="0" t="n">
        <f aca="false">(C48-C49)*(1+Fund!$B$7/4)+(SUM($B$45:D45)-D45-SUM($B$47:C47))*Fund!$B$7/4</f>
        <v>0</v>
      </c>
      <c r="E48" s="0" t="n">
        <f aca="false">(D48-D49)*(1+Fund!$B$7/4)+(SUM($B$45:E45)-E45-SUM($B$47:D47))*Fund!$B$7/4</f>
        <v>0</v>
      </c>
      <c r="F48" s="0" t="n">
        <f aca="false">(E48-E49)*(1+Fund!$B$7/4)+(SUM($B$45:F45)-F45-SUM($B$47:E47))*Fund!$B$7/4</f>
        <v>1013044.625</v>
      </c>
      <c r="G48" s="0" t="n">
        <f aca="false">(F48-F49)*(1+Fund!$B$7/4)+(SUM($B$45:G45)-G45-SUM($B$47:F47))*Fund!$B$7/4</f>
        <v>3782734.85125</v>
      </c>
      <c r="H48" s="0" t="n">
        <f aca="false">(G48-G49)*(1+Fund!$B$7/4)+(SUM($B$45:H45)-H45-SUM($B$47:G47))*Fund!$B$7/4</f>
        <v>6545439.3207625</v>
      </c>
      <c r="I48" s="0" t="n">
        <f aca="false">(H48-H49)*(1+Fund!$B$7/4)+(SUM($B$45:I45)-I45-SUM($B$47:H47))*Fund!$B$7/4</f>
        <v>9686472.12635781</v>
      </c>
      <c r="J48" s="0" t="n">
        <f aca="false">(I48-I49)*(1+Fund!$B$7/4)+(SUM($B$45:J45)-J45-SUM($B$47:I47))*Fund!$B$7/4</f>
        <v>13534953.8945793</v>
      </c>
      <c r="K48" s="0" t="n">
        <f aca="false">(J48-J49)*(1+Fund!$B$7/4)+(SUM($B$45:K45)-K45-SUM($B$47:J47))*Fund!$B$7/4</f>
        <v>17368870.5655263</v>
      </c>
      <c r="L48" s="0" t="n">
        <f aca="false">(K48-K49)*(1+Fund!$B$7/4)+(SUM($B$45:L45)-L45-SUM($B$47:K47))*Fund!$B$7/4</f>
        <v>22373676.4369258</v>
      </c>
      <c r="M48" s="0" t="n">
        <f aca="false">(L48-L49)*(1+Fund!$B$7/4)+(SUM($B$45:M45)-M45-SUM($B$47:L47))*Fund!$B$7/4</f>
        <v>27406818.7101131</v>
      </c>
      <c r="N48" s="0" t="n">
        <f aca="false">(M48-M49)*(1+Fund!$B$7/4)+(SUM($B$45:N45)-N45-SUM($B$47:M47))*Fund!$B$7/4</f>
        <v>32462687.2246076</v>
      </c>
      <c r="O48" s="0" t="n">
        <f aca="false">(N48-N49)*(1+Fund!$B$7/4)+(SUM($B$45:O45)-O45-SUM($B$47:N47))*Fund!$B$7/4</f>
        <v>37536320.9392023</v>
      </c>
      <c r="P48" s="0" t="n">
        <f aca="false">(O48-O49)*(1+Fund!$B$7/4)+(SUM($B$45:P45)-P45-SUM($B$47:O47))*Fund!$B$7/4</f>
        <v>42623342.7896716</v>
      </c>
      <c r="Q48" s="0" t="n">
        <f aca="false">(P48-P49)*(1+Fund!$B$7/4)+(SUM($B$45:Q45)-Q45-SUM($B$47:P47))*Fund!$B$7/4</f>
        <v>47719901.1768087</v>
      </c>
      <c r="R48" s="0" t="n">
        <f aca="false">(Q48-Q49)*(1+Fund!$B$7/4)+(SUM($B$45:R45)-R45-SUM($B$47:Q47))*Fund!$B$7/4</f>
        <v>52822617.3867223</v>
      </c>
      <c r="S48" s="0" t="n">
        <f aca="false">(R48-R49)*(1+Fund!$B$7/4)+(SUM($B$45:S45)-S45-SUM($B$47:R47))*Fund!$B$7/4</f>
        <v>57365420.9763784</v>
      </c>
      <c r="T48" s="0" t="n">
        <f aca="false">(S48-S49)*(1+Fund!$B$7/4)+(SUM($B$45:T45)-T45-SUM($B$47:S47))*Fund!$B$7/4</f>
        <v>61925905.7304955</v>
      </c>
      <c r="U48" s="0" t="n">
        <f aca="false">(T48-T49)*(1+Fund!$B$7/4)+(SUM($B$45:U45)-U45-SUM($B$47:T47))*Fund!$B$7/4</f>
        <v>66497154.1451196</v>
      </c>
      <c r="V48" s="0" t="n">
        <f aca="false">(U48-U49)*(1+Fund!$B$7/4)+(SUM($B$45:V45)-V45-SUM($B$47:U47))*Fund!$B$7/4</f>
        <v>71075559.1642124</v>
      </c>
      <c r="W48" s="0" t="n">
        <f aca="false">(V48-V49)*(1+Fund!$B$7/4)+(SUM($B$45:W45)-W45-SUM($B$47:V47))*Fund!$B$7/4</f>
        <v>74878125.4648487</v>
      </c>
      <c r="X48" s="0" t="n">
        <f aca="false">(W48-W49)*(1+Fund!$B$7/4)+(SUM($B$45:X45)-X45-SUM($B$47:W47))*Fund!$B$7/4</f>
        <v>78703860.8271589</v>
      </c>
      <c r="Y48" s="0" t="n">
        <f aca="false">(X48-X49)*(1+Fund!$B$7/4)+(SUM($B$45:Y45)-Y45-SUM($B$47:X47))*Fund!$B$7/4</f>
        <v>81691885.4256887</v>
      </c>
      <c r="Z48" s="0" t="n">
        <f aca="false">(Y48-Y49)*(1+Fund!$B$7/4)+(SUM($B$45:Z45)-Z45-SUM($B$47:Y47))*Fund!$B$7/4</f>
        <v>84698648.6957345</v>
      </c>
      <c r="AA48" s="0" t="n">
        <f aca="false">(Z48-Z49)*(1+Fund!$B$7/4)+(SUM($B$45:AA45)-AA45-SUM($B$47:Z47))*Fund!$B$7/4</f>
        <v>86744338.3716587</v>
      </c>
      <c r="AB48" s="0" t="n">
        <f aca="false">(AA48-AA49)*(1+Fund!$B$7/4)+(SUM($B$45:AB45)-AB45-SUM($B$47:AA47))*Fund!$B$7/4</f>
        <v>88812338.0404049</v>
      </c>
      <c r="AC48" s="0" t="n">
        <f aca="false">(AB48-AB49)*(1+Fund!$B$7/4)+(SUM($B$45:AC45)-AC45-SUM($B$47:AB47))*Fund!$B$7/4</f>
        <v>90897591.4284326</v>
      </c>
      <c r="AD48" s="0" t="n">
        <f aca="false">(AC48-AC49)*(1+Fund!$B$7/4)+(SUM($B$45:AD45)-AD45-SUM($B$47:AC47))*Fund!$B$7/4</f>
        <v>92996564.6419523</v>
      </c>
      <c r="AE48" s="0" t="n">
        <f aca="false">(AD48-AD49)*(1+Fund!$B$7/4)+(SUM($B$45:AE45)-AE45-SUM($B$47:AD47))*Fund!$B$7/4</f>
        <v>56944350.8219051</v>
      </c>
      <c r="AF48" s="0" t="n">
        <f aca="false">(AE48-AE49)*(1+Fund!$B$7/4)+(SUM($B$45:AF45)-AF45-SUM($B$47:AE47))*Fund!$B$7/4</f>
        <v>57291475.3674904</v>
      </c>
      <c r="AG48" s="0" t="n">
        <f aca="false">(AF48-AF49)*(1+Fund!$B$7/4)+(SUM($B$45:AG45)-AG45-SUM($B$47:AF47))*Fund!$B$7/4</f>
        <v>0</v>
      </c>
      <c r="AH48" s="0" t="n">
        <f aca="false">(AG48-AG49)*(1+Fund!$B$7/4)+(SUM($B$45:AH45)-AH45-SUM($B$47:AG47))*Fund!$B$7/4</f>
        <v>11769.6325198662</v>
      </c>
    </row>
    <row r="49" customFormat="false" ht="15" hidden="false" customHeight="false" outlineLevel="0" collapsed="false">
      <c r="A49" s="0" t="s">
        <v>70</v>
      </c>
      <c r="B49" s="0" t="n">
        <f aca="false">MIN(B46-B47,B48)</f>
        <v>0</v>
      </c>
      <c r="C49" s="0" t="n">
        <f aca="false">MIN(C46-C47,C48)</f>
        <v>0</v>
      </c>
      <c r="D49" s="0" t="n">
        <f aca="false">MIN(D46-D47,D48)</f>
        <v>0</v>
      </c>
      <c r="E49" s="0" t="n">
        <f aca="false">MIN(E46-E47,E48)</f>
        <v>0</v>
      </c>
      <c r="F49" s="0" t="n">
        <f aca="false">MIN(F46-F47,F48)</f>
        <v>0</v>
      </c>
      <c r="G49" s="0" t="n">
        <f aca="false">MIN(G46-G47,G48)</f>
        <v>0</v>
      </c>
      <c r="H49" s="0" t="n">
        <f aca="false">MIN(H46-H47,H48)</f>
        <v>0</v>
      </c>
      <c r="I49" s="0" t="n">
        <f aca="false">MIN(I46-I47,I48)</f>
        <v>0</v>
      </c>
      <c r="J49" s="0" t="n">
        <f aca="false">MIN(J46-J47,J48)</f>
        <v>0</v>
      </c>
      <c r="K49" s="0" t="n">
        <f aca="false">MIN(K46-K47,K48)</f>
        <v>0</v>
      </c>
      <c r="L49" s="0" t="n">
        <f aca="false">MIN(L46-L47,L48)</f>
        <v>0</v>
      </c>
      <c r="M49" s="0" t="n">
        <f aca="false">MIN(M46-M47,M48)</f>
        <v>0</v>
      </c>
      <c r="N49" s="0" t="n">
        <f aca="false">MIN(N46-N47,N48)</f>
        <v>0</v>
      </c>
      <c r="O49" s="0" t="n">
        <f aca="false">MIN(O46-O47,O48)</f>
        <v>0</v>
      </c>
      <c r="P49" s="0" t="n">
        <f aca="false">MIN(P46-P47,P48)</f>
        <v>0</v>
      </c>
      <c r="Q49" s="0" t="n">
        <f aca="false">MIN(Q46-Q47,Q48)</f>
        <v>0</v>
      </c>
      <c r="R49" s="0" t="n">
        <f aca="false">MIN(R46-R47,R48)</f>
        <v>0</v>
      </c>
      <c r="S49" s="0" t="n">
        <f aca="false">MIN(S46-S47,S48)</f>
        <v>0</v>
      </c>
      <c r="T49" s="0" t="n">
        <f aca="false">MIN(T46-T47,T48)</f>
        <v>0</v>
      </c>
      <c r="U49" s="0" t="n">
        <f aca="false">MIN(U46-U47,U48)</f>
        <v>0</v>
      </c>
      <c r="V49" s="0" t="n">
        <f aca="false">MIN(V46-V47,V48)</f>
        <v>0</v>
      </c>
      <c r="W49" s="0" t="n">
        <f aca="false">MIN(W46-W47,W48)</f>
        <v>0</v>
      </c>
      <c r="X49" s="0" t="n">
        <f aca="false">MIN(X46-X47,X48)</f>
        <v>0</v>
      </c>
      <c r="Y49" s="0" t="n">
        <f aca="false">MIN(Y46-Y47,Y48)</f>
        <v>0</v>
      </c>
      <c r="Z49" s="0" t="n">
        <f aca="false">MIN(Z46-Z47,Z48)</f>
        <v>0</v>
      </c>
      <c r="AA49" s="0" t="n">
        <f aca="false">MIN(AA46-AA47,AA48)</f>
        <v>0</v>
      </c>
      <c r="AB49" s="0" t="n">
        <f aca="false">MIN(AB46-AB47,AB48)</f>
        <v>0</v>
      </c>
      <c r="AC49" s="0" t="n">
        <f aca="false">MIN(AC46-AC47,AC48)</f>
        <v>0</v>
      </c>
      <c r="AD49" s="0" t="n">
        <f aca="false">MIN(AD46-AD47,AD48)</f>
        <v>37168769.7185159</v>
      </c>
      <c r="AE49" s="0" t="n">
        <f aca="false">MIN(AE46-AE47,AE48)</f>
        <v>776237.716522295</v>
      </c>
      <c r="AF49" s="0" t="n">
        <f aca="false">MIN(AF46-AF47,AF48)</f>
        <v>57291475.3674904</v>
      </c>
      <c r="AG49" s="0" t="n">
        <f aca="false">MIN(AG46-AG47,AG48)</f>
        <v>0</v>
      </c>
      <c r="AH49" s="0" t="n">
        <f aca="false">MIN(AH46-AH47,AH48)</f>
        <v>0</v>
      </c>
    </row>
    <row r="50" customFormat="false" ht="15" hidden="false" customHeight="false" outlineLevel="0" collapsed="false">
      <c r="A50" s="0" t="s">
        <v>71</v>
      </c>
      <c r="B50" s="0" t="n">
        <f aca="false">MIN((B46-B47-B49)*Fund!$B$9,MAX(0,SUM($B$49:B49)*Fund!$B$8/(1-Fund!$B$8)-0))</f>
        <v>0</v>
      </c>
      <c r="C50" s="0" t="n">
        <f aca="false">MIN((C46-C47-C49)*Fund!$B$9,MAX(0,SUM($B$49:C49)*Fund!$B$8/(1-Fund!$B$8)-SUM($B50:B50)))</f>
        <v>0</v>
      </c>
      <c r="D50" s="0" t="n">
        <f aca="false">MIN((D46-D47-D49)*Fund!$B$9,MAX(0,SUM($B$49:D49)*Fund!$B$8/(1-Fund!$B$8)-SUM($B50:C50)))</f>
        <v>0</v>
      </c>
      <c r="E50" s="0" t="n">
        <f aca="false">MIN((E46-E47-E49)*Fund!$B$9,MAX(0,SUM($B$49:E49)*Fund!$B$8/(1-Fund!$B$8)-SUM($B50:D50)))</f>
        <v>0</v>
      </c>
      <c r="F50" s="0" t="n">
        <f aca="false">MIN((F46-F47-F49)*Fund!$B$9,MAX(0,SUM($B$49:F49)*Fund!$B$8/(1-Fund!$B$8)-SUM($B50:E50)))</f>
        <v>0</v>
      </c>
      <c r="G50" s="0" t="n">
        <f aca="false">MIN((G46-G47-G49)*Fund!$B$9,MAX(0,SUM($B$49:G49)*Fund!$B$8/(1-Fund!$B$8)-SUM($B50:F50)))</f>
        <v>0</v>
      </c>
      <c r="H50" s="0" t="n">
        <f aca="false">MIN((H46-H47-H49)*Fund!$B$9,MAX(0,SUM($B$49:H49)*Fund!$B$8/(1-Fund!$B$8)-SUM($B50:G50)))</f>
        <v>0</v>
      </c>
      <c r="I50" s="0" t="n">
        <f aca="false">MIN((I46-I47-I49)*Fund!$B$9,MAX(0,SUM($B$49:I49)*Fund!$B$8/(1-Fund!$B$8)-SUM($B50:H50)))</f>
        <v>0</v>
      </c>
      <c r="J50" s="0" t="n">
        <f aca="false">MIN((J46-J47-J49)*Fund!$B$9,MAX(0,SUM($B$49:J49)*Fund!$B$8/(1-Fund!$B$8)-SUM($B50:I50)))</f>
        <v>0</v>
      </c>
      <c r="K50" s="0" t="n">
        <f aca="false">MIN((K46-K47-K49)*Fund!$B$9,MAX(0,SUM($B$49:K49)*Fund!$B$8/(1-Fund!$B$8)-SUM($B50:J50)))</f>
        <v>0</v>
      </c>
      <c r="L50" s="0" t="n">
        <f aca="false">MIN((L46-L47-L49)*Fund!$B$9,MAX(0,SUM($B$49:L49)*Fund!$B$8/(1-Fund!$B$8)-SUM($B50:K50)))</f>
        <v>0</v>
      </c>
      <c r="M50" s="0" t="n">
        <f aca="false">MIN((M46-M47-M49)*Fund!$B$9,MAX(0,SUM($B$49:M49)*Fund!$B$8/(1-Fund!$B$8)-SUM($B50:L50)))</f>
        <v>0</v>
      </c>
      <c r="N50" s="0" t="n">
        <f aca="false">MIN((N46-N47-N49)*Fund!$B$9,MAX(0,SUM($B$49:N49)*Fund!$B$8/(1-Fund!$B$8)-SUM($B50:M50)))</f>
        <v>0</v>
      </c>
      <c r="O50" s="0" t="n">
        <f aca="false">MIN((O46-O47-O49)*Fund!$B$9,MAX(0,SUM($B$49:O49)*Fund!$B$8/(1-Fund!$B$8)-SUM($B50:N50)))</f>
        <v>0</v>
      </c>
      <c r="P50" s="0" t="n">
        <f aca="false">MIN((P46-P47-P49)*Fund!$B$9,MAX(0,SUM($B$49:P49)*Fund!$B$8/(1-Fund!$B$8)-SUM($B50:O50)))</f>
        <v>0</v>
      </c>
      <c r="Q50" s="0" t="n">
        <f aca="false">MIN((Q46-Q47-Q49)*Fund!$B$9,MAX(0,SUM($B$49:Q49)*Fund!$B$8/(1-Fund!$B$8)-SUM($B50:P50)))</f>
        <v>0</v>
      </c>
      <c r="R50" s="0" t="n">
        <f aca="false">MIN((R46-R47-R49)*Fund!$B$9,MAX(0,SUM($B$49:R49)*Fund!$B$8/(1-Fund!$B$8)-SUM($B50:Q50)))</f>
        <v>0</v>
      </c>
      <c r="S50" s="0" t="n">
        <f aca="false">MIN((S46-S47-S49)*Fund!$B$9,MAX(0,SUM($B$49:S49)*Fund!$B$8/(1-Fund!$B$8)-SUM($B50:R50)))</f>
        <v>0</v>
      </c>
      <c r="T50" s="0" t="n">
        <f aca="false">MIN((T46-T47-T49)*Fund!$B$9,MAX(0,SUM($B$49:T49)*Fund!$B$8/(1-Fund!$B$8)-SUM($B50:S50)))</f>
        <v>0</v>
      </c>
      <c r="U50" s="0" t="n">
        <f aca="false">MIN((U46-U47-U49)*Fund!$B$9,MAX(0,SUM($B$49:U49)*Fund!$B$8/(1-Fund!$B$8)-SUM($B50:T50)))</f>
        <v>0</v>
      </c>
      <c r="V50" s="0" t="n">
        <f aca="false">MIN((V46-V47-V49)*Fund!$B$9,MAX(0,SUM($B$49:V49)*Fund!$B$8/(1-Fund!$B$8)-SUM($B50:U50)))</f>
        <v>0</v>
      </c>
      <c r="W50" s="0" t="n">
        <f aca="false">MIN((W46-W47-W49)*Fund!$B$9,MAX(0,SUM($B$49:W49)*Fund!$B$8/(1-Fund!$B$8)-SUM($B50:V50)))</f>
        <v>0</v>
      </c>
      <c r="X50" s="0" t="n">
        <f aca="false">MIN((X46-X47-X49)*Fund!$B$9,MAX(0,SUM($B$49:X49)*Fund!$B$8/(1-Fund!$B$8)-SUM($B50:W50)))</f>
        <v>0</v>
      </c>
      <c r="Y50" s="0" t="n">
        <f aca="false">MIN((Y46-Y47-Y49)*Fund!$B$9,MAX(0,SUM($B$49:Y49)*Fund!$B$8/(1-Fund!$B$8)-SUM($B50:X50)))</f>
        <v>0</v>
      </c>
      <c r="Z50" s="0" t="n">
        <f aca="false">MIN((Z46-Z47-Z49)*Fund!$B$9,MAX(0,SUM($B$49:Z49)*Fund!$B$8/(1-Fund!$B$8)-SUM($B50:Y50)))</f>
        <v>0</v>
      </c>
      <c r="AA50" s="0" t="n">
        <f aca="false">MIN((AA46-AA47-AA49)*Fund!$B$9,MAX(0,SUM($B$49:AA49)*Fund!$B$8/(1-Fund!$B$8)-SUM($B50:Z50)))</f>
        <v>0</v>
      </c>
      <c r="AB50" s="0" t="n">
        <f aca="false">MIN((AB46-AB47-AB49)*Fund!$B$9,MAX(0,SUM($B$49:AB49)*Fund!$B$8/(1-Fund!$B$8)-SUM($B50:AA50)))</f>
        <v>0</v>
      </c>
      <c r="AC50" s="0" t="n">
        <f aca="false">MIN((AC46-AC47-AC49)*Fund!$B$9,MAX(0,SUM($B$49:AC49)*Fund!$B$8/(1-Fund!$B$8)-SUM($B50:AB50)))</f>
        <v>0</v>
      </c>
      <c r="AD50" s="0" t="n">
        <f aca="false">MIN((AD46-AD47-AD49)*Fund!$B$9,MAX(0,SUM($B$49:AD49)*Fund!$B$8/(1-Fund!$B$8)-SUM($B50:AC50)))</f>
        <v>0</v>
      </c>
      <c r="AE50" s="0" t="n">
        <f aca="false">MIN((AE46-AE47-AE49)*Fund!$B$9,MAX(0,SUM($B$49:AE49)*Fund!$B$8/(1-Fund!$B$8)-SUM($B50:AD50)))</f>
        <v>0</v>
      </c>
      <c r="AF50" s="0" t="n">
        <f aca="false">MIN((AF46-AF47-AF49)*Fund!$B$9,MAX(0,SUM($B$49:AF49)*Fund!$B$8/(1-Fund!$B$8)-SUM($B50:AE50)))</f>
        <v>13605211.8289327</v>
      </c>
      <c r="AG50" s="0" t="n">
        <f aca="false">MIN((AG46-AG47-AG49)*Fund!$B$9,MAX(0,SUM($B$49:AG49)*Fund!$B$8/(1-Fund!$B$8)-SUM($B50:AF50)))</f>
        <v>0</v>
      </c>
      <c r="AH50" s="0" t="n">
        <f aca="false">MIN((AH46-AH47-AH49)*Fund!$B$9,MAX(0,SUM($B$49:AH49)*Fund!$B$8/(1-Fund!$B$8)-SUM($B50:AG50)))</f>
        <v>0</v>
      </c>
    </row>
    <row r="51" customFormat="false" ht="15" hidden="false" customHeight="false" outlineLevel="0" collapsed="false">
      <c r="A51" s="0" t="s">
        <v>72</v>
      </c>
      <c r="B51" s="0" t="n">
        <f aca="false">(B46-B47-B49-B50)*(1-Fund!$B$8)</f>
        <v>0</v>
      </c>
      <c r="C51" s="0" t="n">
        <f aca="false">(C46-C47-C49-C50)*(1-Fund!$B$8)</f>
        <v>0</v>
      </c>
      <c r="D51" s="0" t="n">
        <f aca="false">(D46-D47-D49-D50)*(1-Fund!$B$8)</f>
        <v>1904175</v>
      </c>
      <c r="E51" s="0" t="n">
        <f aca="false">(E46-E47-E49-E50)*(1-Fund!$B$8)</f>
        <v>0</v>
      </c>
      <c r="F51" s="0" t="n">
        <f aca="false">(F46-F47-F49-F50)*(1-Fund!$B$8)</f>
        <v>0</v>
      </c>
      <c r="G51" s="0" t="n">
        <f aca="false">(G46-G47-G49-G50)*(1-Fund!$B$8)</f>
        <v>0</v>
      </c>
      <c r="H51" s="0" t="n">
        <f aca="false">(H46-H47-H49-H50)*(1-Fund!$B$8)</f>
        <v>0</v>
      </c>
      <c r="I51" s="0" t="n">
        <f aca="false">(I46-I47-I49-I50)*(1-Fund!$B$8)</f>
        <v>0</v>
      </c>
      <c r="J51" s="0" t="n">
        <f aca="false">(J46-J47-J49-J50)*(1-Fund!$B$8)</f>
        <v>0</v>
      </c>
      <c r="K51" s="0" t="n">
        <f aca="false">(K46-K47-K49-K50)*(1-Fund!$B$8)</f>
        <v>0</v>
      </c>
      <c r="L51" s="0" t="n">
        <f aca="false">(L46-L47-L49-L50)*(1-Fund!$B$8)</f>
        <v>0</v>
      </c>
      <c r="M51" s="0" t="n">
        <f aca="false">(M46-M47-M49-M50)*(1-Fund!$B$8)</f>
        <v>0</v>
      </c>
      <c r="N51" s="0" t="n">
        <f aca="false">(N46-N47-N49-N50)*(1-Fund!$B$8)</f>
        <v>0</v>
      </c>
      <c r="O51" s="0" t="n">
        <f aca="false">(O46-O47-O49-O50)*(1-Fund!$B$8)</f>
        <v>0</v>
      </c>
      <c r="P51" s="0" t="n">
        <f aca="false">(P46-P47-P49-P50)*(1-Fund!$B$8)</f>
        <v>0</v>
      </c>
      <c r="Q51" s="0" t="n">
        <f aca="false">(Q46-Q47-Q49-Q50)*(1-Fund!$B$8)</f>
        <v>0</v>
      </c>
      <c r="R51" s="0" t="n">
        <f aca="false">(R46-R47-R49-R50)*(1-Fund!$B$8)</f>
        <v>0</v>
      </c>
      <c r="S51" s="0" t="n">
        <f aca="false">(S46-S47-S49-S50)*(1-Fund!$B$8)</f>
        <v>0</v>
      </c>
      <c r="T51" s="0" t="n">
        <f aca="false">(T46-T47-T49-T50)*(1-Fund!$B$8)</f>
        <v>0</v>
      </c>
      <c r="U51" s="0" t="n">
        <f aca="false">(U46-U47-U49-U50)*(1-Fund!$B$8)</f>
        <v>0</v>
      </c>
      <c r="V51" s="0" t="n">
        <f aca="false">(V46-V47-V49-V50)*(1-Fund!$B$8)</f>
        <v>0</v>
      </c>
      <c r="W51" s="0" t="n">
        <f aca="false">(W46-W47-W49-W50)*(1-Fund!$B$8)</f>
        <v>0</v>
      </c>
      <c r="X51" s="0" t="n">
        <f aca="false">(X46-X47-X49-X50)*(1-Fund!$B$8)</f>
        <v>0</v>
      </c>
      <c r="Y51" s="0" t="n">
        <f aca="false">(Y46-Y47-Y49-Y50)*(1-Fund!$B$8)</f>
        <v>0</v>
      </c>
      <c r="Z51" s="0" t="n">
        <f aca="false">(Z46-Z47-Z49-Z50)*(1-Fund!$B$8)</f>
        <v>0</v>
      </c>
      <c r="AA51" s="0" t="n">
        <f aca="false">(AA46-AA47-AA49-AA50)*(1-Fund!$B$8)</f>
        <v>0</v>
      </c>
      <c r="AB51" s="0" t="n">
        <f aca="false">(AB46-AB47-AB49-AB50)*(1-Fund!$B$8)</f>
        <v>0</v>
      </c>
      <c r="AC51" s="0" t="n">
        <f aca="false">(AC46-AC47-AC49-AC50)*(1-Fund!$B$8)</f>
        <v>0</v>
      </c>
      <c r="AD51" s="0" t="n">
        <f aca="false">(AD46-AD47-AD49-AD50)*(1-Fund!$B$8)</f>
        <v>0</v>
      </c>
      <c r="AE51" s="0" t="n">
        <f aca="false">(AE46-AE47-AE49-AE50)*(1-Fund!$B$8)</f>
        <v>0</v>
      </c>
      <c r="AF51" s="0" t="n">
        <f aca="false">(AF46-AF47-AF49-AF50)*(1-Fund!$B$8)</f>
        <v>13943352.1303828</v>
      </c>
      <c r="AG51" s="0" t="n">
        <f aca="false">(AG46-AG47-AG49-AG50)*(1-Fund!$B$8)</f>
        <v>0</v>
      </c>
      <c r="AH51" s="0" t="n">
        <f aca="false">(AH46-AH47-AH49-AH50)*(1-Fund!$B$8)</f>
        <v>0</v>
      </c>
    </row>
    <row r="52" customFormat="false" ht="15" hidden="false" customHeight="false" outlineLevel="0" collapsed="false">
      <c r="A52" s="0" t="s">
        <v>73</v>
      </c>
      <c r="B52" s="0" t="n">
        <f aca="false">(B46-B47-B49-B50)*Fund!$B$8</f>
        <v>0</v>
      </c>
      <c r="C52" s="0" t="n">
        <f aca="false">(C46-C47-C49-C50)*Fund!$B$8</f>
        <v>0</v>
      </c>
      <c r="D52" s="0" t="n">
        <f aca="false">(D46-D47-D49-D50)*Fund!$B$8</f>
        <v>272025</v>
      </c>
      <c r="E52" s="0" t="n">
        <f aca="false">(E46-E47-E49-E50)*Fund!$B$8</f>
        <v>0</v>
      </c>
      <c r="F52" s="0" t="n">
        <f aca="false">(F46-F47-F49-F50)*Fund!$B$8</f>
        <v>0</v>
      </c>
      <c r="G52" s="0" t="n">
        <f aca="false">(G46-G47-G49-G50)*Fund!$B$8</f>
        <v>0</v>
      </c>
      <c r="H52" s="0" t="n">
        <f aca="false">(H46-H47-H49-H50)*Fund!$B$8</f>
        <v>0</v>
      </c>
      <c r="I52" s="0" t="n">
        <f aca="false">(I46-I47-I49-I50)*Fund!$B$8</f>
        <v>0</v>
      </c>
      <c r="J52" s="0" t="n">
        <f aca="false">(J46-J47-J49-J50)*Fund!$B$8</f>
        <v>0</v>
      </c>
      <c r="K52" s="0" t="n">
        <f aca="false">(K46-K47-K49-K50)*Fund!$B$8</f>
        <v>0</v>
      </c>
      <c r="L52" s="0" t="n">
        <f aca="false">(L46-L47-L49-L50)*Fund!$B$8</f>
        <v>0</v>
      </c>
      <c r="M52" s="0" t="n">
        <f aca="false">(M46-M47-M49-M50)*Fund!$B$8</f>
        <v>0</v>
      </c>
      <c r="N52" s="0" t="n">
        <f aca="false">(N46-N47-N49-N50)*Fund!$B$8</f>
        <v>0</v>
      </c>
      <c r="O52" s="0" t="n">
        <f aca="false">(O46-O47-O49-O50)*Fund!$B$8</f>
        <v>0</v>
      </c>
      <c r="P52" s="0" t="n">
        <f aca="false">(P46-P47-P49-P50)*Fund!$B$8</f>
        <v>0</v>
      </c>
      <c r="Q52" s="0" t="n">
        <f aca="false">(Q46-Q47-Q49-Q50)*Fund!$B$8</f>
        <v>0</v>
      </c>
      <c r="R52" s="0" t="n">
        <f aca="false">(R46-R47-R49-R50)*Fund!$B$8</f>
        <v>0</v>
      </c>
      <c r="S52" s="0" t="n">
        <f aca="false">(S46-S47-S49-S50)*Fund!$B$8</f>
        <v>0</v>
      </c>
      <c r="T52" s="0" t="n">
        <f aca="false">(T46-T47-T49-T50)*Fund!$B$8</f>
        <v>0</v>
      </c>
      <c r="U52" s="0" t="n">
        <f aca="false">(U46-U47-U49-U50)*Fund!$B$8</f>
        <v>0</v>
      </c>
      <c r="V52" s="0" t="n">
        <f aca="false">(V46-V47-V49-V50)*Fund!$B$8</f>
        <v>0</v>
      </c>
      <c r="W52" s="0" t="n">
        <f aca="false">(W46-W47-W49-W50)*Fund!$B$8</f>
        <v>0</v>
      </c>
      <c r="X52" s="0" t="n">
        <f aca="false">(X46-X47-X49-X50)*Fund!$B$8</f>
        <v>0</v>
      </c>
      <c r="Y52" s="0" t="n">
        <f aca="false">(Y46-Y47-Y49-Y50)*Fund!$B$8</f>
        <v>0</v>
      </c>
      <c r="Z52" s="0" t="n">
        <f aca="false">(Z46-Z47-Z49-Z50)*Fund!$B$8</f>
        <v>0</v>
      </c>
      <c r="AA52" s="0" t="n">
        <f aca="false">(AA46-AA47-AA49-AA50)*Fund!$B$8</f>
        <v>0</v>
      </c>
      <c r="AB52" s="0" t="n">
        <f aca="false">(AB46-AB47-AB49-AB50)*Fund!$B$8</f>
        <v>0</v>
      </c>
      <c r="AC52" s="0" t="n">
        <f aca="false">(AC46-AC47-AC49-AC50)*Fund!$B$8</f>
        <v>0</v>
      </c>
      <c r="AD52" s="0" t="n">
        <f aca="false">(AD46-AD47-AD49-AD50)*Fund!$B$8</f>
        <v>0</v>
      </c>
      <c r="AE52" s="0" t="n">
        <f aca="false">(AE46-AE47-AE49-AE50)*Fund!$B$8</f>
        <v>0</v>
      </c>
      <c r="AF52" s="0" t="n">
        <f aca="false">(AF46-AF47-AF49-AF50)*Fund!$B$8</f>
        <v>1991907.44719755</v>
      </c>
      <c r="AG52" s="0" t="n">
        <f aca="false">(AG46-AG47-AG49-AG50)*Fund!$B$8</f>
        <v>0</v>
      </c>
      <c r="AH52" s="0" t="n">
        <f aca="false">(AH46-AH47-AH49-AH50)*Fund!$B$8</f>
        <v>0</v>
      </c>
    </row>
    <row r="53" customFormat="false" ht="15" hidden="false" customHeight="false" outlineLevel="0" collapsed="false">
      <c r="A53" s="0" t="s">
        <v>74</v>
      </c>
      <c r="B53" s="0" t="n">
        <f aca="false">B47+B49+B51-B45</f>
        <v>0</v>
      </c>
      <c r="C53" s="0" t="n">
        <f aca="false">C47+C49+C51-C45</f>
        <v>0</v>
      </c>
      <c r="D53" s="0" t="n">
        <f aca="false">D47+D49+D51-D45</f>
        <v>1904175</v>
      </c>
      <c r="E53" s="0" t="n">
        <f aca="false">E47+E49+E51-E45</f>
        <v>-50652231.25</v>
      </c>
      <c r="F53" s="0" t="n">
        <f aca="false">F47+F49+F51-F45</f>
        <v>-86819235.4375</v>
      </c>
      <c r="G53" s="0" t="n">
        <f aca="false">G47+G49+G51-G45</f>
        <v>3118978.063125</v>
      </c>
      <c r="H53" s="0" t="n">
        <f aca="false">H47+H49+H51-H45</f>
        <v>-16153712.3346281</v>
      </c>
      <c r="I53" s="0" t="n">
        <f aca="false">I47+I49+I51-I45</f>
        <v>-32231415.3257153</v>
      </c>
      <c r="J53" s="0" t="n">
        <f aca="false">J47+J49+J51-J45</f>
        <v>4576736.6319508</v>
      </c>
      <c r="K53" s="0" t="n">
        <f aca="false">K47+K49+K51-K45</f>
        <v>-54710543.3516807</v>
      </c>
      <c r="L53" s="0" t="n">
        <f aca="false">L47+L49+L51-L45</f>
        <v>3587985.78200682</v>
      </c>
      <c r="M53" s="0" t="n">
        <f aca="false">M47+M49+M51-M45</f>
        <v>3896830.20783219</v>
      </c>
      <c r="N53" s="0" t="n">
        <f aca="false">N47+N49+N51-N45</f>
        <v>4167608.5094777</v>
      </c>
      <c r="O53" s="0" t="n">
        <f aca="false">O47+O49+O51-O45</f>
        <v>4404226.92086981</v>
      </c>
      <c r="P53" s="0" t="n">
        <f aca="false">P47+P49+P51-P45</f>
        <v>4610195.01707825</v>
      </c>
      <c r="Q53" s="0" t="n">
        <f aca="false">Q47+Q49+Q51-Q45</f>
        <v>4788667.24831482</v>
      </c>
      <c r="R53" s="0" t="n">
        <f aca="false">R47+R49+R51-R45</f>
        <v>33098347.2227842</v>
      </c>
      <c r="S53" s="0" t="n">
        <f aca="false">S47+S49+S51-S45</f>
        <v>3658745.36660574</v>
      </c>
      <c r="T53" s="0" t="n">
        <f aca="false">T47+T49+T51-T45</f>
        <v>4022301.72877108</v>
      </c>
      <c r="U53" s="0" t="n">
        <f aca="false">U47+U49+U51-U45</f>
        <v>4213418.19118886</v>
      </c>
      <c r="V53" s="0" t="n">
        <f aca="false">V47+V49+V51-V45</f>
        <v>43370340.941914</v>
      </c>
      <c r="W53" s="0" t="n">
        <f aca="false">W47+W49+W51-W45</f>
        <v>2644113.21694266</v>
      </c>
      <c r="X53" s="0" t="n">
        <f aca="false">X47+X49+X51-X45</f>
        <v>45711273.5513357</v>
      </c>
      <c r="Y53" s="0" t="n">
        <f aca="false">Y47+Y49+Y51-Y45</f>
        <v>2051091.02272185</v>
      </c>
      <c r="Z53" s="0" t="n">
        <f aca="false">Z47+Z49+Z51-Z45</f>
        <v>51060442.9761305</v>
      </c>
      <c r="AA53" s="0" t="n">
        <f aca="false">AA47+AA49+AA51-AA45</f>
        <v>930190.034823053</v>
      </c>
      <c r="AB53" s="0" t="n">
        <f aca="false">AB47+AB49+AB51-AB45</f>
        <v>1205313.70467142</v>
      </c>
      <c r="AC53" s="0" t="n">
        <f aca="false">AC47+AC49+AC51-AC45</f>
        <v>1399262.11343016</v>
      </c>
      <c r="AD53" s="0" t="n">
        <f aca="false">AD47+AD49+AD51-AD45</f>
        <v>51219838.9660654</v>
      </c>
      <c r="AE53" s="0" t="n">
        <f aca="false">AE47+AE49+AE51-AE45</f>
        <v>776237.716522274</v>
      </c>
      <c r="AF53" s="0" t="n">
        <f aca="false">AF47+AF49+AF51-AF45</f>
        <v>71234827.4978733</v>
      </c>
      <c r="AG53" s="0" t="n">
        <f aca="false">AG47+AG49+AG51-AG45</f>
        <v>-588481.625993302</v>
      </c>
      <c r="AH53" s="0" t="n">
        <f aca="false">AH47+AH49+AH51-AH45</f>
        <v>-217601.428856649</v>
      </c>
    </row>
    <row r="54" customFormat="false" ht="15" hidden="false" customHeight="false" outlineLevel="0" collapsed="false">
      <c r="A54" s="0" t="s">
        <v>75</v>
      </c>
      <c r="B54" s="0" t="n">
        <f aca="false">B37-B35-B36</f>
        <v>0</v>
      </c>
      <c r="C54" s="0" t="n">
        <f aca="false">C37-C35-C36</f>
        <v>-54560000</v>
      </c>
      <c r="D54" s="0" t="n">
        <f aca="false">D37-D35-D36</f>
        <v>-88320000</v>
      </c>
      <c r="E54" s="0" t="n">
        <f aca="false">E37-E35-E36</f>
        <v>3468300</v>
      </c>
      <c r="F54" s="0" t="n">
        <f aca="false">F37-F35-F36</f>
        <v>-17400686.5</v>
      </c>
      <c r="G54" s="0" t="n">
        <f aca="false">G37-G35-G36</f>
        <v>-33139328.43625</v>
      </c>
      <c r="H54" s="0" t="n">
        <f aca="false">H37-H35-H36</f>
        <v>4689773.39800937</v>
      </c>
      <c r="I54" s="0" t="n">
        <f aca="false">I37-I35-I36</f>
        <v>-54606797.5819506</v>
      </c>
      <c r="J54" s="0" t="n">
        <f aca="false">J37-J35-J36</f>
        <v>4587341.19819534</v>
      </c>
      <c r="K54" s="0" t="n">
        <f aca="false">K37-K35-K36</f>
        <v>4900823.68377827</v>
      </c>
      <c r="L54" s="0" t="n">
        <f aca="false">L37-L35-L36</f>
        <v>5174143.13418407</v>
      </c>
      <c r="M54" s="0" t="n">
        <f aca="false">M37-M35-M36</f>
        <v>5411475.27614699</v>
      </c>
      <c r="N54" s="0" t="n">
        <f aca="false">N37-N35-N36</f>
        <v>5616568.47494052</v>
      </c>
      <c r="O54" s="0" t="n">
        <f aca="false">O37-O35-O36</f>
        <v>5792788.75235987</v>
      </c>
      <c r="P54" s="0" t="n">
        <f aca="false">P37-P35-P36</f>
        <v>5943159.88161286</v>
      </c>
      <c r="Q54" s="0" t="n">
        <f aca="false">Q37-Q35-Q36</f>
        <v>6070399.11653949</v>
      </c>
      <c r="R54" s="0" t="n">
        <f aca="false">R37-R35-R36</f>
        <v>34530122.9989696</v>
      </c>
      <c r="S54" s="0" t="n">
        <f aca="false">S37-S35-S36</f>
        <v>5019990.66967913</v>
      </c>
      <c r="T54" s="0" t="n">
        <f aca="false">T37-T35-T36</f>
        <v>5121568.05846512</v>
      </c>
      <c r="U54" s="0" t="n">
        <f aca="false">U37-U35-U36</f>
        <v>5209987.98705547</v>
      </c>
      <c r="V54" s="0" t="n">
        <f aca="false">V37-V35-V36</f>
        <v>44487931.1532496</v>
      </c>
      <c r="W54" s="0" t="n">
        <f aca="false">W37-W35-W36</f>
        <v>3724298.12041003</v>
      </c>
      <c r="X54" s="0" t="n">
        <f aca="false">X37-X35-X36</f>
        <v>46648591.8062835</v>
      </c>
      <c r="Y54" s="0" t="n">
        <f aca="false">Y37-Y35-Y36</f>
        <v>2865115.2453706</v>
      </c>
      <c r="Z54" s="0" t="n">
        <f aca="false">Z37-Z35-Z36</f>
        <v>51991959.8107504</v>
      </c>
      <c r="AA54" s="0" t="n">
        <f aca="false">AA37-AA35-AA36</f>
        <v>1721935.53237132</v>
      </c>
      <c r="AB54" s="0" t="n">
        <f aca="false">AB37-AB35-AB36</f>
        <v>1789144.38797485</v>
      </c>
      <c r="AC54" s="0" t="n">
        <f aca="false">AC37-AC35-AC36</f>
        <v>1851611.00478889</v>
      </c>
      <c r="AD54" s="0" t="n">
        <f aca="false">AD37-AD35-AD36</f>
        <v>51815845.8776829</v>
      </c>
      <c r="AE54" s="0" t="n">
        <f aca="false">AE37-AE35-AE36</f>
        <v>1353711.40123411</v>
      </c>
      <c r="AF54" s="0" t="n">
        <f aca="false">AF37-AF35-AF36</f>
        <v>87578523.1591161</v>
      </c>
      <c r="AG54" s="0" t="n">
        <f aca="false">AG37-AG35-AG36</f>
        <v>0</v>
      </c>
      <c r="AH54" s="0" t="n">
        <f aca="false">AH37-AH35-AH36</f>
        <v>0</v>
      </c>
    </row>
    <row r="56" customFormat="false" ht="15" hidden="false" customHeight="false" outlineLevel="0" collapsed="false">
      <c r="A56" s="0" t="s">
        <v>76</v>
      </c>
      <c r="B56" s="0" t="n">
        <f aca="false">B6+B11+B16+B21+B26+B31</f>
        <v>0</v>
      </c>
      <c r="C56" s="0" t="n">
        <f aca="false">C6+C11+C16+C21+C26+C31</f>
        <v>8000000</v>
      </c>
      <c r="D56" s="0" t="n">
        <f aca="false">D6+D11+D16+D21+D26+D31</f>
        <v>24400000</v>
      </c>
      <c r="E56" s="0" t="n">
        <f aca="false">E6+E11+E16+E21+E26+E31</f>
        <v>22320000</v>
      </c>
      <c r="F56" s="0" t="n">
        <f aca="false">F6+F11+F16+F21+F26+F31</f>
        <v>32418812.5</v>
      </c>
      <c r="G56" s="0" t="n">
        <f aca="false">G6+G11+G16+G21+G26+G31</f>
        <v>35780936.71875</v>
      </c>
      <c r="H56" s="0" t="n">
        <f aca="false">H6+H11+H16+H21+H26+H31</f>
        <v>32609726.6699219</v>
      </c>
      <c r="I56" s="0" t="n">
        <f aca="false">I6+I11+I16+I21+I26+I31</f>
        <v>54730959.2943115</v>
      </c>
      <c r="J56" s="0" t="n">
        <f aca="false">J6+J11+J16+J21+J26+J31</f>
        <v>50241449.1297165</v>
      </c>
      <c r="K56" s="0" t="n">
        <f aca="false">K6+K11+K16+K21+K26+K31</f>
        <v>46131479.3121242</v>
      </c>
      <c r="L56" s="0" t="n">
        <f aca="false">L6+L11+L16+L21+L26+L31</f>
        <v>42367704.9270082</v>
      </c>
      <c r="M56" s="0" t="n">
        <f aca="false">M6+M11+M16+M21+M26+M31</f>
        <v>38919848.9932885</v>
      </c>
      <c r="N56" s="0" t="n">
        <f aca="false">N6+N11+N16+N21+N26+N31</f>
        <v>35760405.373749</v>
      </c>
      <c r="O56" s="0" t="n">
        <f aca="false">O6+O11+O16+O21+O26+O31</f>
        <v>32864371.987409</v>
      </c>
      <c r="P56" s="0" t="n">
        <f aca="false">P6+P11+P16+P21+P26+P31</f>
        <v>30209011.0810391</v>
      </c>
      <c r="Q56" s="0" t="n">
        <f aca="false">Q6+Q11+Q16+Q21+Q26+Q31</f>
        <v>27773633.6785236</v>
      </c>
      <c r="R56" s="0" t="n">
        <f aca="false">R6+R11+R16+R21+R26+R31</f>
        <v>24158258.8717928</v>
      </c>
      <c r="S56" s="0" t="n">
        <f aca="false">S6+S11+S16+S21+S26+S31</f>
        <v>22280669.6710966</v>
      </c>
      <c r="T56" s="0" t="n">
        <f aca="false">T6+T11+T16+T21+T26+T31</f>
        <v>20549864.6115966</v>
      </c>
      <c r="U56" s="0" t="n">
        <f aca="false">U6+U11+U16+U21+U26+U31</f>
        <v>18954291.5024852</v>
      </c>
      <c r="V56" s="0" t="n">
        <f aca="false">V6+V11+V16+V21+V26+V31</f>
        <v>15664522.7864548</v>
      </c>
      <c r="W56" s="0" t="n">
        <f aca="false">W6+W11+W16+W21+W26+W31</f>
        <v>14444757.5149145</v>
      </c>
      <c r="X56" s="0" t="n">
        <f aca="false">X6+X11+X16+X21+X26+X31</f>
        <v>12955816.4191622</v>
      </c>
      <c r="Y56" s="0" t="n">
        <f aca="false">Y6+Y11+Y16+Y21+Y26+Y31</f>
        <v>11956095.5136626</v>
      </c>
      <c r="Z56" s="0" t="n">
        <f aca="false">Z6+Z11+Z16+Z21+Z26+Z31</f>
        <v>9166346.98407133</v>
      </c>
      <c r="AA56" s="0" t="n">
        <f aca="false">AA6+AA11+AA16+AA21+AA26+AA31</f>
        <v>8478870.96026598</v>
      </c>
      <c r="AB56" s="0" t="n">
        <f aca="false">AB6+AB11+AB16+AB21+AB26+AB31</f>
        <v>7842955.63824603</v>
      </c>
      <c r="AC56" s="0" t="n">
        <f aca="false">AC6+AC11+AC16+AC21+AC26+AC31</f>
        <v>7254733.96537758</v>
      </c>
      <c r="AD56" s="0" t="n">
        <f aca="false">AD6+AD11+AD16+AD21+AD26+AD31</f>
        <v>4863135.78941498</v>
      </c>
      <c r="AE56" s="0" t="n">
        <f aca="false">AE6+AE11+AE16+AE21+AE26+AE31</f>
        <v>4498400.60520886</v>
      </c>
      <c r="AF56" s="0" t="n">
        <f aca="false">AF6+AF11+AF16+AF21+AF26+AF31</f>
        <v>0</v>
      </c>
      <c r="AG56" s="0" t="n">
        <f aca="false">AG6+AG11+AG16+AG21+AG26+AG31</f>
        <v>0</v>
      </c>
      <c r="AH56" s="0" t="n">
        <f aca="false">AH6+AH11+AH16+AH21+AH26+AH31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77</v>
      </c>
      <c r="B3" s="2" t="n">
        <f aca="false">XIRR('Cash Flow'!$B$53:$AH$53,'Cash Flow'!$B$4:$AH$4)</f>
        <v>0.0931514788370851</v>
      </c>
    </row>
    <row r="4" customFormat="false" ht="15" hidden="false" customHeight="false" outlineLevel="0" collapsed="false">
      <c r="A4" s="0" t="s">
        <v>78</v>
      </c>
      <c r="B4" s="2" t="n">
        <f aca="false">XIRR('Cash Flow'!$B$54:$AH$54,'Cash Flow'!$B$4:$AH$4)</f>
        <v>0.106654442624487</v>
      </c>
    </row>
    <row r="5" customFormat="false" ht="15" hidden="false" customHeight="false" outlineLevel="0" collapsed="false">
      <c r="A5" s="0" t="s">
        <v>79</v>
      </c>
      <c r="B5" s="4" t="n">
        <f aca="false">SUMIF('Cash Flow'!$B$53:$AH$53,"&gt;0")/SUM('Cash Flow'!$B$45:$AH$45)</f>
        <v>1.03223689786301</v>
      </c>
    </row>
    <row r="6" customFormat="false" ht="15" hidden="false" customHeight="false" outlineLevel="0" collapsed="false">
      <c r="A6" s="0" t="s">
        <v>80</v>
      </c>
      <c r="B6" s="4" t="n">
        <f aca="true">SUM(OFFSET('Cash Flow'!$B$47,0,0,1,MATCH(Fund!$B$10,'Cash Flow'!$B$4:$AH$4,0)))/SUM(OFFSET('Cash Flow'!$B$45,0,0,1,MATCH(Fund!$B$10,'Cash Flow'!$B$4:$AH$4,0)))+SUM(OFFSET('Cash Flow'!$B$49,0,0,1,MATCH(Fund!$B$10,'Cash Flow'!$B$4:$AH$4,0)))/SUM(OFFSET('Cash Flow'!$B$45,0,0,1,MATCH(Fund!$B$10,'Cash Flow'!$B$4:$AH$4,0)))+SUM(OFFSET('Cash Flow'!$B$51,0,0,1,MATCH(Fund!$B$10,'Cash Flow'!$B$4:$AH$4,0)))/SUM(OFFSET('Cash Flow'!$B$45,0,0,1,MATCH(Fund!$B$10,'Cash Flow'!$B$4:$AH$4,0)))</f>
        <v>0.640245599840282</v>
      </c>
    </row>
    <row r="7" customFormat="false" ht="15" hidden="false" customHeight="false" outlineLevel="0" collapsed="false">
      <c r="A7" s="0" t="s">
        <v>81</v>
      </c>
      <c r="B7" s="4" t="n">
        <f aca="true">INDEX('Cash Flow'!$B$38:$AH$38,MATCH(Fund!$B$10,'Cash Flow'!$B$4:$AH$4,0))/SUM(OFFSET('Cash Flow'!$B$45,0,0,1,MATCH(Fund!$B$10,'Cash Flow'!$B$4:$AH$4,0)))</f>
        <v>0.682430239091676</v>
      </c>
    </row>
    <row r="8" customFormat="false" ht="15" hidden="false" customHeight="false" outlineLevel="0" collapsed="false">
      <c r="A8" s="0" t="s">
        <v>82</v>
      </c>
      <c r="B8" s="5" t="n">
        <f aca="false">SUMPRODUCT(Interests!$C$2:$C$7,Interests!$D$2:$D$7)</f>
        <v>43030000</v>
      </c>
    </row>
    <row r="9" customFormat="false" ht="15" hidden="false" customHeight="false" outlineLevel="0" collapsed="false">
      <c r="A9" s="0" t="s">
        <v>83</v>
      </c>
      <c r="B9" s="5" t="n">
        <f aca="false">MAX('Cash Flow'!$B$56:$AH$56)</f>
        <v>54730959.2943115</v>
      </c>
    </row>
    <row r="10" customFormat="false" ht="15" hidden="false" customHeight="false" outlineLevel="0" collapsed="false">
      <c r="A10" s="0" t="s">
        <v>84</v>
      </c>
      <c r="B10" s="5" t="n">
        <f aca="false">SUM('Cash Flow'!$B$50:$AH$50)+SUM('Cash Flow'!$B$52:$AH$52)</f>
        <v>15869144.2761302</v>
      </c>
    </row>
    <row r="11" customFormat="false" ht="15" hidden="false" customHeight="false" outlineLevel="0" collapsed="false">
      <c r="A11" s="0" t="s">
        <v>85</v>
      </c>
      <c r="B11" s="5" t="n">
        <f aca="false">SUM('Cash Flow'!$B$44:$AH$44)</f>
        <v>7496384.62783819</v>
      </c>
    </row>
    <row r="12" customFormat="false" ht="15" hidden="false" customHeight="false" outlineLevel="0" collapsed="false">
      <c r="A12" s="0" t="s">
        <v>86</v>
      </c>
      <c r="B12" s="5" t="n">
        <f aca="false">SUM('Cash Flow'!$B$53:$AH$53)</f>
        <v>110277926.878061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2026-10-17T19:14:16Z</dcterms:created>
  <dc:creator>openpyxl</dc:creator>
  <dc:description/>
  <dc:language>en-US</dc:language>
  <cp:lastModifiedBy/>
  <dcterms:modified xsi:type="dcterms:W3CDTF">2026-10-17T19:14:16Z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