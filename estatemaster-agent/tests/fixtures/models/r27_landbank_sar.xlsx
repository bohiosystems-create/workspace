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Returns" sheetId="3" state="visible" r:id="rId5"/>
    <sheet name="Sensitiv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<sst xmlns="http://schemas.openxmlformats.org/spreadsheetml/2006/main" count="18" uniqueCount="18">
  <si>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WADI HANIFA LAND BANK (SAR)</t>
  </si>
  <si>
    <t xml:space="preserve">Land cost (SAR)</t>
  </si>
  <si>
    <t xml:space="preserve">Plots</t>
  </si>
  <si>
    <t xml:space="preserve">Sale price per plot (SAR)</t>
  </si>
  <si>
    <t xml:space="preserve">Infrastructure (SAR)</t>
  </si>
  <si>
    <t xml:space="preserve">First year of sales</t>
  </si>
  <si>
    <t xml:space="preserve">Last year of sales</t>
  </si>
  <si>
    <t xml:space="preserve">Discount rate</t>
  </si>
  <si>
    <t xml:space="preserve">Year</t>
  </si>
  <si>
    <t xml:space="preserve">Plots sold</t>
  </si>
  <si>
    <t xml:space="preserve">Sales</t>
  </si>
  <si>
    <t xml:space="preserve">Costs</t>
  </si>
  <si>
    <t xml:space="preserve">Cash flow</t>
  </si>
  <si>
    <t xml:space="preserve">IRR</t>
  </si>
  <si>
    <t xml:space="preserve">NPV at the discount rate (SAR)</t>
  </si>
  <si>
    <t xml:space="preserve">Sales in the selling window (SAR)</t>
  </si>
  <si>
    <t xml:space="preserve">Net profit (SAR)</t>
  </si>
  <si>
    <t xml:space="preserve">Net profit (SAR m): land cost (rows) × sale price per plot (columns)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</si>
</sst>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"/>
    <numFmt numFmtId="167" formatCode="0.00%"/>
    <numFmt numFmtId="168" formatCode="0.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240000000</v>
      </c>
    </row>
    <row r="4" customFormat="false" ht="15" hidden="false" customHeight="false" outlineLevel="0" collapsed="false">
      <c r="A4" s="0" t="s">
        <v>2</v>
      </c>
      <c r="B4" s="1" t="n">
        <v>400</v>
      </c>
    </row>
    <row r="5" customFormat="false" ht="15" hidden="false" customHeight="false" outlineLevel="0" collapsed="false">
      <c r="A5" s="0" t="s">
        <v>3</v>
      </c>
      <c r="B5" s="1" t="n">
        <v>1150000</v>
      </c>
    </row>
    <row r="6" customFormat="false" ht="15" hidden="false" customHeight="false" outlineLevel="0" collapsed="false">
      <c r="A6" s="0" t="s">
        <v>4</v>
      </c>
      <c r="B6" s="1" t="n">
        <v>95000000</v>
      </c>
    </row>
    <row r="7" customFormat="false" ht="15" hidden="false" customHeight="false" outlineLevel="0" collapsed="false">
      <c r="A7" s="0" t="s">
        <v>5</v>
      </c>
      <c r="B7" s="2" t="n">
        <v>2</v>
      </c>
    </row>
    <row r="8" customFormat="false" ht="15" hidden="false" customHeight="false" outlineLevel="0" collapsed="false">
      <c r="A8" s="0" t="s">
        <v>6</v>
      </c>
      <c r="B8" s="2" t="n">
        <v>6</v>
      </c>
    </row>
    <row r="9" customFormat="false" ht="15" hidden="false" customHeight="false" outlineLevel="0" collapsed="false">
      <c r="A9" s="0" t="s">
        <v>7</v>
      </c>
      <c r="B9" s="3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</row>
    <row r="2" customFormat="false" ht="15" hidden="false" customHeight="false" outlineLevel="0" collapsed="false">
      <c r="A2" s="0" t="n">
        <v>0</v>
      </c>
      <c r="B2" s="0" t="n">
        <f aca="false">IF(AND(A2&gt;=Inputs!$B$7,A2&lt;=Inputs!$B$8),Inputs!$B$4/(Inputs!$B$8-Inputs!$B$7+1),0)</f>
        <v>0</v>
      </c>
      <c r="C2" s="0" t="n">
        <f aca="false">B2*Inputs!$B$5*1.03^A2</f>
        <v>0</v>
      </c>
      <c r="D2" s="0" t="n">
        <f aca="false">IF(A2=0,Inputs!$B$3,0)+IF(AND(A2&gt;=1,A2&lt;=3),Inputs!$B$6/3,0)</f>
        <v>240000000</v>
      </c>
      <c r="E2" s="0" t="n">
        <f aca="false">C2-D2</f>
        <v>-240000000</v>
      </c>
    </row>
    <row r="3" customFormat="false" ht="15" hidden="false" customHeight="false" outlineLevel="0" collapsed="false">
      <c r="A3" s="0" t="n">
        <v>1</v>
      </c>
      <c r="B3" s="0" t="n">
        <f aca="false">IF(AND(A3&gt;=Inputs!$B$7,A3&lt;=Inputs!$B$8),Inputs!$B$4/(Inputs!$B$8-Inputs!$B$7+1),0)</f>
        <v>0</v>
      </c>
      <c r="C3" s="0" t="n">
        <f aca="false">B3*Inputs!$B$5*1.03^A3</f>
        <v>0</v>
      </c>
      <c r="D3" s="0" t="n">
        <f aca="false">IF(A3=0,Inputs!$B$3,0)+IF(AND(A3&gt;=1,A3&lt;=3),Inputs!$B$6/3,0)</f>
        <v>31666666.6666667</v>
      </c>
      <c r="E3" s="0" t="n">
        <f aca="false">C3-D3</f>
        <v>-31666666.6666667</v>
      </c>
    </row>
    <row r="4" customFormat="false" ht="15" hidden="false" customHeight="false" outlineLevel="0" collapsed="false">
      <c r="A4" s="0" t="n">
        <v>2</v>
      </c>
      <c r="B4" s="0" t="n">
        <f aca="false">IF(AND(A4&gt;=Inputs!$B$7,A4&lt;=Inputs!$B$8),Inputs!$B$4/(Inputs!$B$8-Inputs!$B$7+1),0)</f>
        <v>80</v>
      </c>
      <c r="C4" s="0" t="n">
        <f aca="false">B4*Inputs!$B$5*1.03^A4</f>
        <v>97602800</v>
      </c>
      <c r="D4" s="0" t="n">
        <f aca="false">IF(A4=0,Inputs!$B$3,0)+IF(AND(A4&gt;=1,A4&lt;=3),Inputs!$B$6/3,0)</f>
        <v>31666666.6666667</v>
      </c>
      <c r="E4" s="0" t="n">
        <f aca="false">C4-D4</f>
        <v>65936133.3333333</v>
      </c>
    </row>
    <row r="5" customFormat="false" ht="15" hidden="false" customHeight="false" outlineLevel="0" collapsed="false">
      <c r="A5" s="0" t="n">
        <v>3</v>
      </c>
      <c r="B5" s="0" t="n">
        <f aca="false">IF(AND(A5&gt;=Inputs!$B$7,A5&lt;=Inputs!$B$8),Inputs!$B$4/(Inputs!$B$8-Inputs!$B$7+1),0)</f>
        <v>80</v>
      </c>
      <c r="C5" s="0" t="n">
        <f aca="false">B5*Inputs!$B$5*1.03^A5</f>
        <v>100530884</v>
      </c>
      <c r="D5" s="0" t="n">
        <f aca="false">IF(A5=0,Inputs!$B$3,0)+IF(AND(A5&gt;=1,A5&lt;=3),Inputs!$B$6/3,0)</f>
        <v>31666666.6666667</v>
      </c>
      <c r="E5" s="0" t="n">
        <f aca="false">C5-D5</f>
        <v>68864217.3333333</v>
      </c>
    </row>
    <row r="6" customFormat="false" ht="15" hidden="false" customHeight="false" outlineLevel="0" collapsed="false">
      <c r="A6" s="0" t="n">
        <v>4</v>
      </c>
      <c r="B6" s="0" t="n">
        <f aca="false">IF(AND(A6&gt;=Inputs!$B$7,A6&lt;=Inputs!$B$8),Inputs!$B$4/(Inputs!$B$8-Inputs!$B$7+1),0)</f>
        <v>80</v>
      </c>
      <c r="C6" s="0" t="n">
        <f aca="false">B6*Inputs!$B$5*1.03^A6</f>
        <v>103546810.52</v>
      </c>
      <c r="D6" s="0" t="n">
        <f aca="false">IF(A6=0,Inputs!$B$3,0)+IF(AND(A6&gt;=1,A6&lt;=3),Inputs!$B$6/3,0)</f>
        <v>0</v>
      </c>
      <c r="E6" s="0" t="n">
        <f aca="false">C6-D6</f>
        <v>103546810.52</v>
      </c>
    </row>
    <row r="7" customFormat="false" ht="15" hidden="false" customHeight="false" outlineLevel="0" collapsed="false">
      <c r="A7" s="0" t="n">
        <v>5</v>
      </c>
      <c r="B7" s="0" t="n">
        <f aca="false">IF(AND(A7&gt;=Inputs!$B$7,A7&lt;=Inputs!$B$8),Inputs!$B$4/(Inputs!$B$8-Inputs!$B$7+1),0)</f>
        <v>80</v>
      </c>
      <c r="C7" s="0" t="n">
        <f aca="false">B7*Inputs!$B$5*1.03^A7</f>
        <v>106653214.8356</v>
      </c>
      <c r="D7" s="0" t="n">
        <f aca="false">IF(A7=0,Inputs!$B$3,0)+IF(AND(A7&gt;=1,A7&lt;=3),Inputs!$B$6/3,0)</f>
        <v>0</v>
      </c>
      <c r="E7" s="0" t="n">
        <f aca="false">C7-D7</f>
        <v>106653214.8356</v>
      </c>
    </row>
    <row r="8" customFormat="false" ht="15" hidden="false" customHeight="false" outlineLevel="0" collapsed="false">
      <c r="A8" s="0" t="n">
        <v>6</v>
      </c>
      <c r="B8" s="0" t="n">
        <f aca="false">IF(AND(A8&gt;=Inputs!$B$7,A8&lt;=Inputs!$B$8),Inputs!$B$4/(Inputs!$B$8-Inputs!$B$7+1),0)</f>
        <v>80</v>
      </c>
      <c r="C8" s="0" t="n">
        <f aca="false">B8*Inputs!$B$5*1.03^A8</f>
        <v>109852811.280668</v>
      </c>
      <c r="D8" s="0" t="n">
        <f aca="false">IF(A8=0,Inputs!$B$3,0)+IF(AND(A8&gt;=1,A8&lt;=3),Inputs!$B$6/3,0)</f>
        <v>0</v>
      </c>
      <c r="E8" s="0" t="n">
        <f aca="false">C8-D8</f>
        <v>109852811.280668</v>
      </c>
    </row>
    <row r="9" customFormat="false" ht="15" hidden="false" customHeight="false" outlineLevel="0" collapsed="false">
      <c r="A9" s="0" t="n">
        <v>7</v>
      </c>
      <c r="B9" s="0" t="n">
        <f aca="false">IF(AND(A9&gt;=Inputs!$B$7,A9&lt;=Inputs!$B$8),Inputs!$B$4/(Inputs!$B$8-Inputs!$B$7+1),0)</f>
        <v>0</v>
      </c>
      <c r="C9" s="0" t="n">
        <f aca="false">B9*Inputs!$B$5*1.03^A9</f>
        <v>0</v>
      </c>
      <c r="D9" s="0" t="n">
        <f aca="false">IF(A9=0,Inputs!$B$3,0)+IF(AND(A9&gt;=1,A9&lt;=3),Inputs!$B$6/3,0)</f>
        <v>0</v>
      </c>
      <c r="E9" s="0" t="n">
        <f aca="false">C9-D9</f>
        <v>0</v>
      </c>
    </row>
    <row r="10" customFormat="false" ht="15" hidden="false" customHeight="false" outlineLevel="0" collapsed="false">
      <c r="A10" s="0" t="n">
        <v>8</v>
      </c>
      <c r="B10" s="0" t="n">
        <f aca="false">IF(AND(A10&gt;=Inputs!$B$7,A10&lt;=Inputs!$B$8),Inputs!$B$4/(Inputs!$B$8-Inputs!$B$7+1),0)</f>
        <v>0</v>
      </c>
      <c r="C10" s="0" t="n">
        <f aca="false">B10*Inputs!$B$5*1.03^A10</f>
        <v>0</v>
      </c>
      <c r="D10" s="0" t="n">
        <f aca="false">IF(A10=0,Inputs!$B$3,0)+IF(AND(A10&gt;=1,A10&lt;=3),Inputs!$B$6/3,0)</f>
        <v>0</v>
      </c>
      <c r="E10" s="0" t="n">
        <f aca="false">C10-D10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13</v>
      </c>
      <c r="B3" s="3" t="n">
        <f aca="false">IRR('Cash Flow'!E2:E10)</f>
        <v>0.135845559211143</v>
      </c>
    </row>
    <row r="4" customFormat="false" ht="15" hidden="false" customHeight="false" outlineLevel="0" collapsed="false">
      <c r="A4" s="0" t="s">
        <v>14</v>
      </c>
      <c r="B4" s="1" t="n">
        <f aca="false">NPV(Inputs!$B$9,'Cash Flow'!E3:E10)+'Cash Flow'!E2</f>
        <v>36399667.3440511</v>
      </c>
    </row>
    <row r="5" customFormat="false" ht="15" hidden="false" customHeight="false" outlineLevel="0" collapsed="false">
      <c r="A5" s="0" t="s">
        <v>15</v>
      </c>
      <c r="B5" s="1" t="n">
        <f aca="true">SUM(INDIRECT("'Cash Flow'!C"&amp;(Inputs!$B$7+2)&amp;":C"&amp;(Inputs!$B$8+2)))</f>
        <v>518186520.636268</v>
      </c>
    </row>
    <row r="6" customFormat="false" ht="15" hidden="false" customHeight="false" outlineLevel="0" collapsed="false">
      <c r="A6" s="0" t="s">
        <v>16</v>
      </c>
      <c r="B6" s="1" t="n">
        <f aca="false">SUM('Cash Flow'!E2:E10)</f>
        <v>183186520.636268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17</v>
      </c>
    </row>
    <row r="2" customFormat="false" ht="15" hidden="false" customHeight="false" outlineLevel="0" collapsed="false">
      <c r="B2" s="1" t="n">
        <v>1000000</v>
      </c>
      <c r="C2" s="1" t="n">
        <v>1150000</v>
      </c>
      <c r="D2" s="1" t="n">
        <v>1300000</v>
      </c>
    </row>
    <row r="3" customFormat="false" ht="15" hidden="false" customHeight="false" outlineLevel="0" collapsed="false">
      <c r="A3" s="1" t="n">
        <v>200000000</v>
      </c>
      <c r="B3" s="4" t="n">
        <f aca="false">(SUMPRODUCT('Cash Flow'!$B$2:$B$10,1.03^'Cash Flow'!$A$2:$A$10)*B$2-$A3-Inputs!$B$6)/1000000</f>
        <v>155.59697446632</v>
      </c>
      <c r="C3" s="4" t="n">
        <f aca="false">(SUMPRODUCT('Cash Flow'!$B$2:$B$10,1.03^'Cash Flow'!$A$2:$A$10)*C$2-$A3-Inputs!$B$6)/1000000</f>
        <v>223.186520636268</v>
      </c>
      <c r="D3" s="4" t="n">
        <f aca="false">(SUMPRODUCT('Cash Flow'!$B$2:$B$10,1.03^'Cash Flow'!$A$2:$A$10)*D$2-$A3-Inputs!$B$6)/1000000</f>
        <v>290.776066806216</v>
      </c>
    </row>
    <row r="4" customFormat="false" ht="15" hidden="false" customHeight="false" outlineLevel="0" collapsed="false">
      <c r="A4" s="1" t="n">
        <v>240000000</v>
      </c>
      <c r="B4" s="4" t="n">
        <f aca="false">(SUMPRODUCT('Cash Flow'!$B$2:$B$10,1.03^'Cash Flow'!$A$2:$A$10)*B$2-$A4-Inputs!$B$6)/1000000</f>
        <v>115.59697446632</v>
      </c>
      <c r="C4" s="4" t="n">
        <f aca="false">(SUMPRODUCT('Cash Flow'!$B$2:$B$10,1.03^'Cash Flow'!$A$2:$A$10)*C$2-$A4-Inputs!$B$6)/1000000</f>
        <v>183.186520636268</v>
      </c>
      <c r="D4" s="4" t="n">
        <f aca="false">(SUMPRODUCT('Cash Flow'!$B$2:$B$10,1.03^'Cash Flow'!$A$2:$A$10)*D$2-$A4-Inputs!$B$6)/1000000</f>
        <v>250.776066806216</v>
      </c>
    </row>
    <row r="5" customFormat="false" ht="15" hidden="false" customHeight="false" outlineLevel="0" collapsed="false">
      <c r="A5" s="1" t="n">
        <v>280000000</v>
      </c>
      <c r="B5" s="4" t="n">
        <f aca="false">(SUMPRODUCT('Cash Flow'!$B$2:$B$10,1.03^'Cash Flow'!$A$2:$A$10)*B$2-$A5-Inputs!$B$6)/1000000</f>
        <v>75.59697446632</v>
      </c>
      <c r="C5" s="4" t="n">
        <f aca="false">(SUMPRODUCT('Cash Flow'!$B$2:$B$10,1.03^'Cash Flow'!$A$2:$A$10)*C$2-$A5-Inputs!$B$6)/1000000</f>
        <v>143.186520636268</v>
      </c>
      <c r="D5" s="4" t="n">
        <f aca="false">(SUMPRODUCT('Cash Flow'!$B$2:$B$10,1.03^'Cash Flow'!$A$2:$A$10)*D$2-$A5-Inputs!$B$6)/1000000</f>
        <v>210.776066806216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2026-10-18T00:22:16Z</dcterms:created>
  <dc:creator>openpyxl</dc:creator>
  <dc:description/>
  <dc:language>en-US</dc:language>
  <cp:lastModifiedBy/>
  <dcterms:modified xsi:type="dcterms:W3CDTF">2026-10-18T00:22:16Z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