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Groups" sheetId="2" state="visible" r:id="rId4"/>
    <sheet name="Cash Flow" sheetId="3" state="visible" r:id="rId5"/>
    <sheet name="Retur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<sst xmlns="http://schemas.openxmlformats.org/spreadsheetml/2006/main" count="53" uniqueCount="53">
  <si>
    <t xml:space="preserve">SPREE QUARTIER – BERLIN RESIDENTIAL PORTFOLIO, MONTHLY (EUR)</t>
  </si>
  <si>
    <t xml:space="preserve">Acquisition date</t>
  </si>
  <si>
    <t xml:space="preserve">Purchase price (€)</t>
  </si>
  <si>
    <t xml:space="preserve">Purchase costs</t>
  </si>
  <si>
    <t xml:space="preserve">Market rent (€/sqm/month)</t>
  </si>
  <si>
    <t xml:space="preserve">Market rent growth a year</t>
  </si>
  <si>
    <t xml:space="preserve">Rent cap (max increase over 3 years)</t>
  </si>
  <si>
    <t xml:space="preserve">Tenant turnover a year</t>
  </si>
  <si>
    <t xml:space="preserve">Non-recoverable costs (% of rent)</t>
  </si>
  <si>
    <t xml:space="preserve">Loan to value</t>
  </si>
  <si>
    <t xml:space="preserve">Interest rate</t>
  </si>
  <si>
    <t xml:space="preserve">Interest-only (months)</t>
  </si>
  <si>
    <t xml:space="preserve">Amortisation a year after interest-only</t>
  </si>
  <si>
    <t xml:space="preserve">Exit yield</t>
  </si>
  <si>
    <t xml:space="preserve">Refurbishment (€/sqm)</t>
  </si>
  <si>
    <t xml:space="preserve">Group</t>
  </si>
  <si>
    <t xml:space="preserve">Lettable area (sqm)</t>
  </si>
  <si>
    <t xml:space="preserve">In-place rent (€/sqm/month)</t>
  </si>
  <si>
    <t xml:space="preserve">Refurbishment cycle (years)</t>
  </si>
  <si>
    <t xml:space="preserve">First refurbishment (month)</t>
  </si>
  <si>
    <t xml:space="preserve">Altbau Mitte</t>
  </si>
  <si>
    <t xml:space="preserve">Plattenbau Ost</t>
  </si>
  <si>
    <t xml:space="preserve">Neubau Nord</t>
  </si>
  <si>
    <t xml:space="preserve">Gründerzeit West</t>
  </si>
  <si>
    <t xml:space="preserve">Month</t>
  </si>
  <si>
    <t xml:space="preserve">Date</t>
  </si>
  <si>
    <t xml:space="preserve">Market rent</t>
  </si>
  <si>
    <t xml:space="preserve">Rent 1</t>
  </si>
  <si>
    <t xml:space="preserve">Refurb 1</t>
  </si>
  <si>
    <t xml:space="preserve">Rent 2</t>
  </si>
  <si>
    <t xml:space="preserve">Refurb 2</t>
  </si>
  <si>
    <t xml:space="preserve">Rent 3</t>
  </si>
  <si>
    <t xml:space="preserve">Refurb 3</t>
  </si>
  <si>
    <t xml:space="preserve">Rent 4</t>
  </si>
  <si>
    <t xml:space="preserve">Refurb 4</t>
  </si>
  <si>
    <t xml:space="preserve">Rent roll</t>
  </si>
  <si>
    <t xml:space="preserve">Refurbishment</t>
  </si>
  <si>
    <t xml:space="preserve">Net operating income</t>
  </si>
  <si>
    <t xml:space="preserve">Loan balance</t>
  </si>
  <si>
    <t xml:space="preserve">Interest</t>
  </si>
  <si>
    <t xml:space="preserve">Amortisation</t>
  </si>
  <si>
    <t xml:space="preserve">ICR</t>
  </si>
  <si>
    <t xml:space="preserve">Sale</t>
  </si>
  <si>
    <t xml:space="preserve">Equity cash flow</t>
  </si>
  <si>
    <t xml:space="preserve">Levered IRR</t>
  </si>
  <si>
    <t xml:space="preserve">Equity multiple</t>
  </si>
  <si>
    <t xml:space="preserve">Minimum ICR</t>
  </si>
  <si>
    <t xml:space="preserve">Average rent at exit (€/sqm/month)</t>
  </si>
  <si>
    <t xml:space="preserve">Market rent at exit (€/sqm/month)</t>
  </si>
  <si>
    <t xml:space="preserve">Reversion at exit</t>
  </si>
  <si>
    <t xml:space="preserve">Refurbishment spend (€)</t>
  </si>
  <si>
    <t xml:space="preserve">Peak debt (€)</t>
  </si>
  <si>
    <t xml:space="preserve">Net profit (€)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</si>
</sst>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-mmm\-yyyy"/>
    <numFmt numFmtId="166" formatCode="#,##0"/>
    <numFmt numFmtId="167" formatCode="0.00%"/>
    <numFmt numFmtId="168" formatCode="0.00"/>
    <numFmt numFmtId="169" formatCode="0"/>
    <numFmt numFmtId="170" formatCode="0.00\x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46387</v>
      </c>
    </row>
    <row r="4" customFormat="false" ht="15" hidden="false" customHeight="false" outlineLevel="0" collapsed="false">
      <c r="A4" s="0" t="s">
        <v>2</v>
      </c>
      <c r="B4" s="2" t="n">
        <v>412000000</v>
      </c>
    </row>
    <row r="5" customFormat="false" ht="15" hidden="false" customHeight="false" outlineLevel="0" collapsed="false">
      <c r="A5" s="0" t="s">
        <v>3</v>
      </c>
      <c r="B5" s="3" t="n">
        <v>0.085</v>
      </c>
    </row>
    <row r="6" customFormat="false" ht="15" hidden="false" customHeight="false" outlineLevel="0" collapsed="false">
      <c r="A6" s="0" t="s">
        <v>4</v>
      </c>
      <c r="B6" s="4" t="n">
        <v>16.5</v>
      </c>
    </row>
    <row r="7" customFormat="false" ht="15" hidden="false" customHeight="false" outlineLevel="0" collapsed="false">
      <c r="A7" s="0" t="s">
        <v>5</v>
      </c>
      <c r="B7" s="3" t="n">
        <v>0.035</v>
      </c>
    </row>
    <row r="8" customFormat="false" ht="15" hidden="false" customHeight="false" outlineLevel="0" collapsed="false">
      <c r="A8" s="0" t="s">
        <v>6</v>
      </c>
      <c r="B8" s="3" t="n">
        <v>0.15</v>
      </c>
    </row>
    <row r="9" customFormat="false" ht="15" hidden="false" customHeight="false" outlineLevel="0" collapsed="false">
      <c r="A9" s="0" t="s">
        <v>7</v>
      </c>
      <c r="B9" s="3" t="n">
        <v>0.08</v>
      </c>
    </row>
    <row r="10" customFormat="false" ht="15" hidden="false" customHeight="false" outlineLevel="0" collapsed="false">
      <c r="A10" s="0" t="s">
        <v>8</v>
      </c>
      <c r="B10" s="3" t="n">
        <v>0.12</v>
      </c>
    </row>
    <row r="11" customFormat="false" ht="15" hidden="false" customHeight="false" outlineLevel="0" collapsed="false">
      <c r="A11" s="0" t="s">
        <v>9</v>
      </c>
      <c r="B11" s="3" t="n">
        <v>0.55</v>
      </c>
    </row>
    <row r="12" customFormat="false" ht="15" hidden="false" customHeight="false" outlineLevel="0" collapsed="false">
      <c r="A12" s="0" t="s">
        <v>10</v>
      </c>
      <c r="B12" s="3" t="n">
        <v>0.041</v>
      </c>
    </row>
    <row r="13" customFormat="false" ht="15" hidden="false" customHeight="false" outlineLevel="0" collapsed="false">
      <c r="A13" s="0" t="s">
        <v>11</v>
      </c>
      <c r="B13" s="5" t="n">
        <v>60</v>
      </c>
    </row>
    <row r="14" customFormat="false" ht="15" hidden="false" customHeight="false" outlineLevel="0" collapsed="false">
      <c r="A14" s="0" t="s">
        <v>12</v>
      </c>
      <c r="B14" s="3" t="n">
        <v>0.02</v>
      </c>
    </row>
    <row r="15" customFormat="false" ht="15" hidden="false" customHeight="false" outlineLevel="0" collapsed="false">
      <c r="A15" s="0" t="s">
        <v>13</v>
      </c>
      <c r="B15" s="3" t="n">
        <v>0.034</v>
      </c>
    </row>
    <row r="16" customFormat="false" ht="15" hidden="false" customHeight="false" outlineLevel="0" collapsed="false">
      <c r="A16" s="0" t="s">
        <v>14</v>
      </c>
      <c r="B16" s="2" t="n">
        <v>420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15</v>
      </c>
      <c r="B1" s="0" t="s">
        <v>16</v>
      </c>
      <c r="C1" s="0" t="s">
        <v>17</v>
      </c>
      <c r="D1" s="0" t="s">
        <v>18</v>
      </c>
      <c r="E1" s="0" t="s">
        <v>19</v>
      </c>
    </row>
    <row r="2" customFormat="false" ht="15" hidden="false" customHeight="false" outlineLevel="0" collapsed="false">
      <c r="A2" s="0" t="s">
        <v>20</v>
      </c>
      <c r="B2" s="0" t="n">
        <v>38000</v>
      </c>
      <c r="C2" s="0" t="n">
        <v>11.2</v>
      </c>
      <c r="D2" s="0" t="n">
        <v>8</v>
      </c>
      <c r="E2" s="0" t="n">
        <v>14</v>
      </c>
    </row>
    <row r="3" customFormat="false" ht="15" hidden="false" customHeight="false" outlineLevel="0" collapsed="false">
      <c r="A3" s="0" t="s">
        <v>21</v>
      </c>
      <c r="B3" s="0" t="n">
        <v>52000</v>
      </c>
      <c r="C3" s="0" t="n">
        <v>8.9</v>
      </c>
      <c r="D3" s="0" t="n">
        <v>8</v>
      </c>
      <c r="E3" s="0" t="n">
        <v>30</v>
      </c>
    </row>
    <row r="4" customFormat="false" ht="15" hidden="false" customHeight="false" outlineLevel="0" collapsed="false">
      <c r="A4" s="0" t="s">
        <v>22</v>
      </c>
      <c r="B4" s="0" t="n">
        <v>21000</v>
      </c>
      <c r="C4" s="0" t="n">
        <v>14.8</v>
      </c>
      <c r="D4" s="0" t="n">
        <v>10</v>
      </c>
      <c r="E4" s="0" t="n">
        <v>70</v>
      </c>
    </row>
    <row r="5" customFormat="false" ht="15" hidden="false" customHeight="false" outlineLevel="0" collapsed="false">
      <c r="A5" s="0" t="s">
        <v>23</v>
      </c>
      <c r="B5" s="0" t="n">
        <v>29000</v>
      </c>
      <c r="C5" s="0" t="n">
        <v>12.6</v>
      </c>
      <c r="D5" s="0" t="n">
        <v>8</v>
      </c>
      <c r="E5" s="0" t="n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FZ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24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  <c r="J3" s="0" t="n">
        <v>8</v>
      </c>
      <c r="K3" s="0" t="n">
        <v>9</v>
      </c>
      <c r="L3" s="0" t="n">
        <v>10</v>
      </c>
      <c r="M3" s="0" t="n">
        <v>11</v>
      </c>
      <c r="N3" s="0" t="n">
        <v>12</v>
      </c>
      <c r="O3" s="0" t="n">
        <v>13</v>
      </c>
      <c r="P3" s="0" t="n">
        <v>14</v>
      </c>
      <c r="Q3" s="0" t="n">
        <v>15</v>
      </c>
      <c r="R3" s="0" t="n">
        <v>16</v>
      </c>
      <c r="S3" s="0" t="n">
        <v>17</v>
      </c>
      <c r="T3" s="0" t="n">
        <v>18</v>
      </c>
      <c r="U3" s="0" t="n">
        <v>19</v>
      </c>
      <c r="V3" s="0" t="n">
        <v>20</v>
      </c>
      <c r="W3" s="0" t="n">
        <v>21</v>
      </c>
      <c r="X3" s="0" t="n">
        <v>22</v>
      </c>
      <c r="Y3" s="0" t="n">
        <v>23</v>
      </c>
      <c r="Z3" s="0" t="n">
        <v>24</v>
      </c>
      <c r="AA3" s="0" t="n">
        <v>25</v>
      </c>
      <c r="AB3" s="0" t="n">
        <v>26</v>
      </c>
      <c r="AC3" s="0" t="n">
        <v>27</v>
      </c>
      <c r="AD3" s="0" t="n">
        <v>28</v>
      </c>
      <c r="AE3" s="0" t="n">
        <v>29</v>
      </c>
      <c r="AF3" s="0" t="n">
        <v>30</v>
      </c>
      <c r="AG3" s="0" t="n">
        <v>31</v>
      </c>
      <c r="AH3" s="0" t="n">
        <v>32</v>
      </c>
      <c r="AI3" s="0" t="n">
        <v>33</v>
      </c>
      <c r="AJ3" s="0" t="n">
        <v>34</v>
      </c>
      <c r="AK3" s="0" t="n">
        <v>35</v>
      </c>
      <c r="AL3" s="0" t="n">
        <v>36</v>
      </c>
      <c r="AM3" s="0" t="n">
        <v>37</v>
      </c>
      <c r="AN3" s="0" t="n">
        <v>38</v>
      </c>
      <c r="AO3" s="0" t="n">
        <v>39</v>
      </c>
      <c r="AP3" s="0" t="n">
        <v>40</v>
      </c>
      <c r="AQ3" s="0" t="n">
        <v>41</v>
      </c>
      <c r="AR3" s="0" t="n">
        <v>42</v>
      </c>
      <c r="AS3" s="0" t="n">
        <v>43</v>
      </c>
      <c r="AT3" s="0" t="n">
        <v>44</v>
      </c>
      <c r="AU3" s="0" t="n">
        <v>45</v>
      </c>
      <c r="AV3" s="0" t="n">
        <v>46</v>
      </c>
      <c r="AW3" s="0" t="n">
        <v>47</v>
      </c>
      <c r="AX3" s="0" t="n">
        <v>48</v>
      </c>
      <c r="AY3" s="0" t="n">
        <v>49</v>
      </c>
      <c r="AZ3" s="0" t="n">
        <v>50</v>
      </c>
      <c r="BA3" s="0" t="n">
        <v>51</v>
      </c>
      <c r="BB3" s="0" t="n">
        <v>52</v>
      </c>
      <c r="BC3" s="0" t="n">
        <v>53</v>
      </c>
      <c r="BD3" s="0" t="n">
        <v>54</v>
      </c>
      <c r="BE3" s="0" t="n">
        <v>55</v>
      </c>
      <c r="BF3" s="0" t="n">
        <v>56</v>
      </c>
      <c r="BG3" s="0" t="n">
        <v>57</v>
      </c>
      <c r="BH3" s="0" t="n">
        <v>58</v>
      </c>
      <c r="BI3" s="0" t="n">
        <v>59</v>
      </c>
      <c r="BJ3" s="0" t="n">
        <v>60</v>
      </c>
      <c r="BK3" s="0" t="n">
        <v>61</v>
      </c>
      <c r="BL3" s="0" t="n">
        <v>62</v>
      </c>
      <c r="BM3" s="0" t="n">
        <v>63</v>
      </c>
      <c r="BN3" s="0" t="n">
        <v>64</v>
      </c>
      <c r="BO3" s="0" t="n">
        <v>65</v>
      </c>
      <c r="BP3" s="0" t="n">
        <v>66</v>
      </c>
      <c r="BQ3" s="0" t="n">
        <v>67</v>
      </c>
      <c r="BR3" s="0" t="n">
        <v>68</v>
      </c>
      <c r="BS3" s="0" t="n">
        <v>69</v>
      </c>
      <c r="BT3" s="0" t="n">
        <v>70</v>
      </c>
      <c r="BU3" s="0" t="n">
        <v>71</v>
      </c>
      <c r="BV3" s="0" t="n">
        <v>72</v>
      </c>
      <c r="BW3" s="0" t="n">
        <v>73</v>
      </c>
      <c r="BX3" s="0" t="n">
        <v>74</v>
      </c>
      <c r="BY3" s="0" t="n">
        <v>75</v>
      </c>
      <c r="BZ3" s="0" t="n">
        <v>76</v>
      </c>
      <c r="CA3" s="0" t="n">
        <v>77</v>
      </c>
      <c r="CB3" s="0" t="n">
        <v>78</v>
      </c>
      <c r="CC3" s="0" t="n">
        <v>79</v>
      </c>
      <c r="CD3" s="0" t="n">
        <v>80</v>
      </c>
      <c r="CE3" s="0" t="n">
        <v>81</v>
      </c>
      <c r="CF3" s="0" t="n">
        <v>82</v>
      </c>
      <c r="CG3" s="0" t="n">
        <v>83</v>
      </c>
      <c r="CH3" s="0" t="n">
        <v>84</v>
      </c>
      <c r="CI3" s="0" t="n">
        <v>85</v>
      </c>
      <c r="CJ3" s="0" t="n">
        <v>86</v>
      </c>
      <c r="CK3" s="0" t="n">
        <v>87</v>
      </c>
      <c r="CL3" s="0" t="n">
        <v>88</v>
      </c>
      <c r="CM3" s="0" t="n">
        <v>89</v>
      </c>
      <c r="CN3" s="0" t="n">
        <v>90</v>
      </c>
      <c r="CO3" s="0" t="n">
        <v>91</v>
      </c>
      <c r="CP3" s="0" t="n">
        <v>92</v>
      </c>
      <c r="CQ3" s="0" t="n">
        <v>93</v>
      </c>
      <c r="CR3" s="0" t="n">
        <v>94</v>
      </c>
      <c r="CS3" s="0" t="n">
        <v>95</v>
      </c>
      <c r="CT3" s="0" t="n">
        <v>96</v>
      </c>
      <c r="CU3" s="0" t="n">
        <v>97</v>
      </c>
      <c r="CV3" s="0" t="n">
        <v>98</v>
      </c>
      <c r="CW3" s="0" t="n">
        <v>99</v>
      </c>
      <c r="CX3" s="0" t="n">
        <v>100</v>
      </c>
      <c r="CY3" s="0" t="n">
        <v>101</v>
      </c>
      <c r="CZ3" s="0" t="n">
        <v>102</v>
      </c>
      <c r="DA3" s="0" t="n">
        <v>103</v>
      </c>
      <c r="DB3" s="0" t="n">
        <v>104</v>
      </c>
      <c r="DC3" s="0" t="n">
        <v>105</v>
      </c>
      <c r="DD3" s="0" t="n">
        <v>106</v>
      </c>
      <c r="DE3" s="0" t="n">
        <v>107</v>
      </c>
      <c r="DF3" s="0" t="n">
        <v>108</v>
      </c>
      <c r="DG3" s="0" t="n">
        <v>109</v>
      </c>
      <c r="DH3" s="0" t="n">
        <v>110</v>
      </c>
      <c r="DI3" s="0" t="n">
        <v>111</v>
      </c>
      <c r="DJ3" s="0" t="n">
        <v>112</v>
      </c>
      <c r="DK3" s="0" t="n">
        <v>113</v>
      </c>
      <c r="DL3" s="0" t="n">
        <v>114</v>
      </c>
      <c r="DM3" s="0" t="n">
        <v>115</v>
      </c>
      <c r="DN3" s="0" t="n">
        <v>116</v>
      </c>
      <c r="DO3" s="0" t="n">
        <v>117</v>
      </c>
      <c r="DP3" s="0" t="n">
        <v>118</v>
      </c>
      <c r="DQ3" s="0" t="n">
        <v>119</v>
      </c>
      <c r="DR3" s="0" t="n">
        <v>120</v>
      </c>
      <c r="DS3" s="0" t="n">
        <v>121</v>
      </c>
      <c r="DT3" s="0" t="n">
        <v>122</v>
      </c>
      <c r="DU3" s="0" t="n">
        <v>123</v>
      </c>
      <c r="DV3" s="0" t="n">
        <v>124</v>
      </c>
      <c r="DW3" s="0" t="n">
        <v>125</v>
      </c>
      <c r="DX3" s="0" t="n">
        <v>126</v>
      </c>
      <c r="DY3" s="0" t="n">
        <v>127</v>
      </c>
      <c r="DZ3" s="0" t="n">
        <v>128</v>
      </c>
      <c r="EA3" s="0" t="n">
        <v>129</v>
      </c>
      <c r="EB3" s="0" t="n">
        <v>130</v>
      </c>
      <c r="EC3" s="0" t="n">
        <v>131</v>
      </c>
      <c r="ED3" s="0" t="n">
        <v>132</v>
      </c>
      <c r="EE3" s="0" t="n">
        <v>133</v>
      </c>
      <c r="EF3" s="0" t="n">
        <v>134</v>
      </c>
      <c r="EG3" s="0" t="n">
        <v>135</v>
      </c>
      <c r="EH3" s="0" t="n">
        <v>136</v>
      </c>
      <c r="EI3" s="0" t="n">
        <v>137</v>
      </c>
      <c r="EJ3" s="0" t="n">
        <v>138</v>
      </c>
      <c r="EK3" s="0" t="n">
        <v>139</v>
      </c>
      <c r="EL3" s="0" t="n">
        <v>140</v>
      </c>
      <c r="EM3" s="0" t="n">
        <v>141</v>
      </c>
      <c r="EN3" s="0" t="n">
        <v>142</v>
      </c>
      <c r="EO3" s="0" t="n">
        <v>143</v>
      </c>
      <c r="EP3" s="0" t="n">
        <v>144</v>
      </c>
      <c r="EQ3" s="0" t="n">
        <v>145</v>
      </c>
      <c r="ER3" s="0" t="n">
        <v>146</v>
      </c>
      <c r="ES3" s="0" t="n">
        <v>147</v>
      </c>
      <c r="ET3" s="0" t="n">
        <v>148</v>
      </c>
      <c r="EU3" s="0" t="n">
        <v>149</v>
      </c>
      <c r="EV3" s="0" t="n">
        <v>150</v>
      </c>
      <c r="EW3" s="0" t="n">
        <v>151</v>
      </c>
      <c r="EX3" s="0" t="n">
        <v>152</v>
      </c>
      <c r="EY3" s="0" t="n">
        <v>153</v>
      </c>
      <c r="EZ3" s="0" t="n">
        <v>154</v>
      </c>
      <c r="FA3" s="0" t="n">
        <v>155</v>
      </c>
      <c r="FB3" s="0" t="n">
        <v>156</v>
      </c>
      <c r="FC3" s="0" t="n">
        <v>157</v>
      </c>
      <c r="FD3" s="0" t="n">
        <v>158</v>
      </c>
      <c r="FE3" s="0" t="n">
        <v>159</v>
      </c>
      <c r="FF3" s="0" t="n">
        <v>160</v>
      </c>
      <c r="FG3" s="0" t="n">
        <v>161</v>
      </c>
      <c r="FH3" s="0" t="n">
        <v>162</v>
      </c>
      <c r="FI3" s="0" t="n">
        <v>163</v>
      </c>
      <c r="FJ3" s="0" t="n">
        <v>164</v>
      </c>
      <c r="FK3" s="0" t="n">
        <v>165</v>
      </c>
      <c r="FL3" s="0" t="n">
        <v>166</v>
      </c>
      <c r="FM3" s="0" t="n">
        <v>167</v>
      </c>
      <c r="FN3" s="0" t="n">
        <v>168</v>
      </c>
      <c r="FO3" s="0" t="n">
        <v>169</v>
      </c>
      <c r="FP3" s="0" t="n">
        <v>170</v>
      </c>
      <c r="FQ3" s="0" t="n">
        <v>171</v>
      </c>
      <c r="FR3" s="0" t="n">
        <v>172</v>
      </c>
      <c r="FS3" s="0" t="n">
        <v>173</v>
      </c>
      <c r="FT3" s="0" t="n">
        <v>174</v>
      </c>
      <c r="FU3" s="0" t="n">
        <v>175</v>
      </c>
      <c r="FV3" s="0" t="n">
        <v>176</v>
      </c>
      <c r="FW3" s="0" t="n">
        <v>177</v>
      </c>
      <c r="FX3" s="0" t="n">
        <v>178</v>
      </c>
      <c r="FY3" s="0" t="n">
        <v>179</v>
      </c>
      <c r="FZ3" s="0" t="n">
        <v>180</v>
      </c>
    </row>
    <row r="4" customFormat="false" ht="15" hidden="false" customHeight="false" outlineLevel="0" collapsed="false">
      <c r="A4" s="0" t="s">
        <v>25</v>
      </c>
      <c r="B4" s="1" t="n">
        <f aca="false">EOMONTH(Inputs!$B$3,B$3)</f>
        <v>46387</v>
      </c>
      <c r="C4" s="1" t="n">
        <f aca="false">EOMONTH(Inputs!$B$3,C$3)</f>
        <v>46418</v>
      </c>
      <c r="D4" s="1" t="n">
        <f aca="false">EOMONTH(Inputs!$B$3,D$3)</f>
        <v>46446</v>
      </c>
      <c r="E4" s="1" t="n">
        <f aca="false">EOMONTH(Inputs!$B$3,E$3)</f>
        <v>46477</v>
      </c>
      <c r="F4" s="1" t="n">
        <f aca="false">EOMONTH(Inputs!$B$3,F$3)</f>
        <v>46507</v>
      </c>
      <c r="G4" s="1" t="n">
        <f aca="false">EOMONTH(Inputs!$B$3,G$3)</f>
        <v>46538</v>
      </c>
      <c r="H4" s="1" t="n">
        <f aca="false">EOMONTH(Inputs!$B$3,H$3)</f>
        <v>46568</v>
      </c>
      <c r="I4" s="1" t="n">
        <f aca="false">EOMONTH(Inputs!$B$3,I$3)</f>
        <v>46599</v>
      </c>
      <c r="J4" s="1" t="n">
        <f aca="false">EOMONTH(Inputs!$B$3,J$3)</f>
        <v>46630</v>
      </c>
      <c r="K4" s="1" t="n">
        <f aca="false">EOMONTH(Inputs!$B$3,K$3)</f>
        <v>46660</v>
      </c>
      <c r="L4" s="1" t="n">
        <f aca="false">EOMONTH(Inputs!$B$3,L$3)</f>
        <v>46691</v>
      </c>
      <c r="M4" s="1" t="n">
        <f aca="false">EOMONTH(Inputs!$B$3,M$3)</f>
        <v>46721</v>
      </c>
      <c r="N4" s="1" t="n">
        <f aca="false">EOMONTH(Inputs!$B$3,N$3)</f>
        <v>46752</v>
      </c>
      <c r="O4" s="1" t="n">
        <f aca="false">EOMONTH(Inputs!$B$3,O$3)</f>
        <v>46783</v>
      </c>
      <c r="P4" s="1" t="n">
        <f aca="false">EOMONTH(Inputs!$B$3,P$3)</f>
        <v>46812</v>
      </c>
      <c r="Q4" s="1" t="n">
        <f aca="false">EOMONTH(Inputs!$B$3,Q$3)</f>
        <v>46843</v>
      </c>
      <c r="R4" s="1" t="n">
        <f aca="false">EOMONTH(Inputs!$B$3,R$3)</f>
        <v>46873</v>
      </c>
      <c r="S4" s="1" t="n">
        <f aca="false">EOMONTH(Inputs!$B$3,S$3)</f>
        <v>46904</v>
      </c>
      <c r="T4" s="1" t="n">
        <f aca="false">EOMONTH(Inputs!$B$3,T$3)</f>
        <v>46934</v>
      </c>
      <c r="U4" s="1" t="n">
        <f aca="false">EOMONTH(Inputs!$B$3,U$3)</f>
        <v>46965</v>
      </c>
      <c r="V4" s="1" t="n">
        <f aca="false">EOMONTH(Inputs!$B$3,V$3)</f>
        <v>46996</v>
      </c>
      <c r="W4" s="1" t="n">
        <f aca="false">EOMONTH(Inputs!$B$3,W$3)</f>
        <v>47026</v>
      </c>
      <c r="X4" s="1" t="n">
        <f aca="false">EOMONTH(Inputs!$B$3,X$3)</f>
        <v>47057</v>
      </c>
      <c r="Y4" s="1" t="n">
        <f aca="false">EOMONTH(Inputs!$B$3,Y$3)</f>
        <v>47087</v>
      </c>
      <c r="Z4" s="1" t="n">
        <f aca="false">EOMONTH(Inputs!$B$3,Z$3)</f>
        <v>47118</v>
      </c>
      <c r="AA4" s="1" t="n">
        <f aca="false">EOMONTH(Inputs!$B$3,AA$3)</f>
        <v>47149</v>
      </c>
      <c r="AB4" s="1" t="n">
        <f aca="false">EOMONTH(Inputs!$B$3,AB$3)</f>
        <v>47177</v>
      </c>
      <c r="AC4" s="1" t="n">
        <f aca="false">EOMONTH(Inputs!$B$3,AC$3)</f>
        <v>47208</v>
      </c>
      <c r="AD4" s="1" t="n">
        <f aca="false">EOMONTH(Inputs!$B$3,AD$3)</f>
        <v>47238</v>
      </c>
      <c r="AE4" s="1" t="n">
        <f aca="false">EOMONTH(Inputs!$B$3,AE$3)</f>
        <v>47269</v>
      </c>
      <c r="AF4" s="1" t="n">
        <f aca="false">EOMONTH(Inputs!$B$3,AF$3)</f>
        <v>47299</v>
      </c>
      <c r="AG4" s="1" t="n">
        <f aca="false">EOMONTH(Inputs!$B$3,AG$3)</f>
        <v>47330</v>
      </c>
      <c r="AH4" s="1" t="n">
        <f aca="false">EOMONTH(Inputs!$B$3,AH$3)</f>
        <v>47361</v>
      </c>
      <c r="AI4" s="1" t="n">
        <f aca="false">EOMONTH(Inputs!$B$3,AI$3)</f>
        <v>47391</v>
      </c>
      <c r="AJ4" s="1" t="n">
        <f aca="false">EOMONTH(Inputs!$B$3,AJ$3)</f>
        <v>47422</v>
      </c>
      <c r="AK4" s="1" t="n">
        <f aca="false">EOMONTH(Inputs!$B$3,AK$3)</f>
        <v>47452</v>
      </c>
      <c r="AL4" s="1" t="n">
        <f aca="false">EOMONTH(Inputs!$B$3,AL$3)</f>
        <v>47483</v>
      </c>
      <c r="AM4" s="1" t="n">
        <f aca="false">EOMONTH(Inputs!$B$3,AM$3)</f>
        <v>47514</v>
      </c>
      <c r="AN4" s="1" t="n">
        <f aca="false">EOMONTH(Inputs!$B$3,AN$3)</f>
        <v>47542</v>
      </c>
      <c r="AO4" s="1" t="n">
        <f aca="false">EOMONTH(Inputs!$B$3,AO$3)</f>
        <v>47573</v>
      </c>
      <c r="AP4" s="1" t="n">
        <f aca="false">EOMONTH(Inputs!$B$3,AP$3)</f>
        <v>47603</v>
      </c>
      <c r="AQ4" s="1" t="n">
        <f aca="false">EOMONTH(Inputs!$B$3,AQ$3)</f>
        <v>47634</v>
      </c>
      <c r="AR4" s="1" t="n">
        <f aca="false">EOMONTH(Inputs!$B$3,AR$3)</f>
        <v>47664</v>
      </c>
      <c r="AS4" s="1" t="n">
        <f aca="false">EOMONTH(Inputs!$B$3,AS$3)</f>
        <v>47695</v>
      </c>
      <c r="AT4" s="1" t="n">
        <f aca="false">EOMONTH(Inputs!$B$3,AT$3)</f>
        <v>47726</v>
      </c>
      <c r="AU4" s="1" t="n">
        <f aca="false">EOMONTH(Inputs!$B$3,AU$3)</f>
        <v>47756</v>
      </c>
      <c r="AV4" s="1" t="n">
        <f aca="false">EOMONTH(Inputs!$B$3,AV$3)</f>
        <v>47787</v>
      </c>
      <c r="AW4" s="1" t="n">
        <f aca="false">EOMONTH(Inputs!$B$3,AW$3)</f>
        <v>47817</v>
      </c>
      <c r="AX4" s="1" t="n">
        <f aca="false">EOMONTH(Inputs!$B$3,AX$3)</f>
        <v>47848</v>
      </c>
      <c r="AY4" s="1" t="n">
        <f aca="false">EOMONTH(Inputs!$B$3,AY$3)</f>
        <v>47879</v>
      </c>
      <c r="AZ4" s="1" t="n">
        <f aca="false">EOMONTH(Inputs!$B$3,AZ$3)</f>
        <v>47907</v>
      </c>
      <c r="BA4" s="1" t="n">
        <f aca="false">EOMONTH(Inputs!$B$3,BA$3)</f>
        <v>47938</v>
      </c>
      <c r="BB4" s="1" t="n">
        <f aca="false">EOMONTH(Inputs!$B$3,BB$3)</f>
        <v>47968</v>
      </c>
      <c r="BC4" s="1" t="n">
        <f aca="false">EOMONTH(Inputs!$B$3,BC$3)</f>
        <v>47999</v>
      </c>
      <c r="BD4" s="1" t="n">
        <f aca="false">EOMONTH(Inputs!$B$3,BD$3)</f>
        <v>48029</v>
      </c>
      <c r="BE4" s="1" t="n">
        <f aca="false">EOMONTH(Inputs!$B$3,BE$3)</f>
        <v>48060</v>
      </c>
      <c r="BF4" s="1" t="n">
        <f aca="false">EOMONTH(Inputs!$B$3,BF$3)</f>
        <v>48091</v>
      </c>
      <c r="BG4" s="1" t="n">
        <f aca="false">EOMONTH(Inputs!$B$3,BG$3)</f>
        <v>48121</v>
      </c>
      <c r="BH4" s="1" t="n">
        <f aca="false">EOMONTH(Inputs!$B$3,BH$3)</f>
        <v>48152</v>
      </c>
      <c r="BI4" s="1" t="n">
        <f aca="false">EOMONTH(Inputs!$B$3,BI$3)</f>
        <v>48182</v>
      </c>
      <c r="BJ4" s="1" t="n">
        <f aca="false">EOMONTH(Inputs!$B$3,BJ$3)</f>
        <v>48213</v>
      </c>
      <c r="BK4" s="1" t="n">
        <f aca="false">EOMONTH(Inputs!$B$3,BK$3)</f>
        <v>48244</v>
      </c>
      <c r="BL4" s="1" t="n">
        <f aca="false">EOMONTH(Inputs!$B$3,BL$3)</f>
        <v>48273</v>
      </c>
      <c r="BM4" s="1" t="n">
        <f aca="false">EOMONTH(Inputs!$B$3,BM$3)</f>
        <v>48304</v>
      </c>
      <c r="BN4" s="1" t="n">
        <f aca="false">EOMONTH(Inputs!$B$3,BN$3)</f>
        <v>48334</v>
      </c>
      <c r="BO4" s="1" t="n">
        <f aca="false">EOMONTH(Inputs!$B$3,BO$3)</f>
        <v>48365</v>
      </c>
      <c r="BP4" s="1" t="n">
        <f aca="false">EOMONTH(Inputs!$B$3,BP$3)</f>
        <v>48395</v>
      </c>
      <c r="BQ4" s="1" t="n">
        <f aca="false">EOMONTH(Inputs!$B$3,BQ$3)</f>
        <v>48426</v>
      </c>
      <c r="BR4" s="1" t="n">
        <f aca="false">EOMONTH(Inputs!$B$3,BR$3)</f>
        <v>48457</v>
      </c>
      <c r="BS4" s="1" t="n">
        <f aca="false">EOMONTH(Inputs!$B$3,BS$3)</f>
        <v>48487</v>
      </c>
      <c r="BT4" s="1" t="n">
        <f aca="false">EOMONTH(Inputs!$B$3,BT$3)</f>
        <v>48518</v>
      </c>
      <c r="BU4" s="1" t="n">
        <f aca="false">EOMONTH(Inputs!$B$3,BU$3)</f>
        <v>48548</v>
      </c>
      <c r="BV4" s="1" t="n">
        <f aca="false">EOMONTH(Inputs!$B$3,BV$3)</f>
        <v>48579</v>
      </c>
      <c r="BW4" s="1" t="n">
        <f aca="false">EOMONTH(Inputs!$B$3,BW$3)</f>
        <v>48610</v>
      </c>
      <c r="BX4" s="1" t="n">
        <f aca="false">EOMONTH(Inputs!$B$3,BX$3)</f>
        <v>48638</v>
      </c>
      <c r="BY4" s="1" t="n">
        <f aca="false">EOMONTH(Inputs!$B$3,BY$3)</f>
        <v>48669</v>
      </c>
      <c r="BZ4" s="1" t="n">
        <f aca="false">EOMONTH(Inputs!$B$3,BZ$3)</f>
        <v>48699</v>
      </c>
      <c r="CA4" s="1" t="n">
        <f aca="false">EOMONTH(Inputs!$B$3,CA$3)</f>
        <v>48730</v>
      </c>
      <c r="CB4" s="1" t="n">
        <f aca="false">EOMONTH(Inputs!$B$3,CB$3)</f>
        <v>48760</v>
      </c>
      <c r="CC4" s="1" t="n">
        <f aca="false">EOMONTH(Inputs!$B$3,CC$3)</f>
        <v>48791</v>
      </c>
      <c r="CD4" s="1" t="n">
        <f aca="false">EOMONTH(Inputs!$B$3,CD$3)</f>
        <v>48822</v>
      </c>
      <c r="CE4" s="1" t="n">
        <f aca="false">EOMONTH(Inputs!$B$3,CE$3)</f>
        <v>48852</v>
      </c>
      <c r="CF4" s="1" t="n">
        <f aca="false">EOMONTH(Inputs!$B$3,CF$3)</f>
        <v>48883</v>
      </c>
      <c r="CG4" s="1" t="n">
        <f aca="false">EOMONTH(Inputs!$B$3,CG$3)</f>
        <v>48913</v>
      </c>
      <c r="CH4" s="1" t="n">
        <f aca="false">EOMONTH(Inputs!$B$3,CH$3)</f>
        <v>48944</v>
      </c>
      <c r="CI4" s="1" t="n">
        <f aca="false">EOMONTH(Inputs!$B$3,CI$3)</f>
        <v>48975</v>
      </c>
      <c r="CJ4" s="1" t="n">
        <f aca="false">EOMONTH(Inputs!$B$3,CJ$3)</f>
        <v>49003</v>
      </c>
      <c r="CK4" s="1" t="n">
        <f aca="false">EOMONTH(Inputs!$B$3,CK$3)</f>
        <v>49034</v>
      </c>
      <c r="CL4" s="1" t="n">
        <f aca="false">EOMONTH(Inputs!$B$3,CL$3)</f>
        <v>49064</v>
      </c>
      <c r="CM4" s="1" t="n">
        <f aca="false">EOMONTH(Inputs!$B$3,CM$3)</f>
        <v>49095</v>
      </c>
      <c r="CN4" s="1" t="n">
        <f aca="false">EOMONTH(Inputs!$B$3,CN$3)</f>
        <v>49125</v>
      </c>
      <c r="CO4" s="1" t="n">
        <f aca="false">EOMONTH(Inputs!$B$3,CO$3)</f>
        <v>49156</v>
      </c>
      <c r="CP4" s="1" t="n">
        <f aca="false">EOMONTH(Inputs!$B$3,CP$3)</f>
        <v>49187</v>
      </c>
      <c r="CQ4" s="1" t="n">
        <f aca="false">EOMONTH(Inputs!$B$3,CQ$3)</f>
        <v>49217</v>
      </c>
      <c r="CR4" s="1" t="n">
        <f aca="false">EOMONTH(Inputs!$B$3,CR$3)</f>
        <v>49248</v>
      </c>
      <c r="CS4" s="1" t="n">
        <f aca="false">EOMONTH(Inputs!$B$3,CS$3)</f>
        <v>49278</v>
      </c>
      <c r="CT4" s="1" t="n">
        <f aca="false">EOMONTH(Inputs!$B$3,CT$3)</f>
        <v>49309</v>
      </c>
      <c r="CU4" s="1" t="n">
        <f aca="false">EOMONTH(Inputs!$B$3,CU$3)</f>
        <v>49340</v>
      </c>
      <c r="CV4" s="1" t="n">
        <f aca="false">EOMONTH(Inputs!$B$3,CV$3)</f>
        <v>49368</v>
      </c>
      <c r="CW4" s="1" t="n">
        <f aca="false">EOMONTH(Inputs!$B$3,CW$3)</f>
        <v>49399</v>
      </c>
      <c r="CX4" s="1" t="n">
        <f aca="false">EOMONTH(Inputs!$B$3,CX$3)</f>
        <v>49429</v>
      </c>
      <c r="CY4" s="1" t="n">
        <f aca="false">EOMONTH(Inputs!$B$3,CY$3)</f>
        <v>49460</v>
      </c>
      <c r="CZ4" s="1" t="n">
        <f aca="false">EOMONTH(Inputs!$B$3,CZ$3)</f>
        <v>49490</v>
      </c>
      <c r="DA4" s="1" t="n">
        <f aca="false">EOMONTH(Inputs!$B$3,DA$3)</f>
        <v>49521</v>
      </c>
      <c r="DB4" s="1" t="n">
        <f aca="false">EOMONTH(Inputs!$B$3,DB$3)</f>
        <v>49552</v>
      </c>
      <c r="DC4" s="1" t="n">
        <f aca="false">EOMONTH(Inputs!$B$3,DC$3)</f>
        <v>49582</v>
      </c>
      <c r="DD4" s="1" t="n">
        <f aca="false">EOMONTH(Inputs!$B$3,DD$3)</f>
        <v>49613</v>
      </c>
      <c r="DE4" s="1" t="n">
        <f aca="false">EOMONTH(Inputs!$B$3,DE$3)</f>
        <v>49643</v>
      </c>
      <c r="DF4" s="1" t="n">
        <f aca="false">EOMONTH(Inputs!$B$3,DF$3)</f>
        <v>49674</v>
      </c>
      <c r="DG4" s="1" t="n">
        <f aca="false">EOMONTH(Inputs!$B$3,DG$3)</f>
        <v>49705</v>
      </c>
      <c r="DH4" s="1" t="n">
        <f aca="false">EOMONTH(Inputs!$B$3,DH$3)</f>
        <v>49734</v>
      </c>
      <c r="DI4" s="1" t="n">
        <f aca="false">EOMONTH(Inputs!$B$3,DI$3)</f>
        <v>49765</v>
      </c>
      <c r="DJ4" s="1" t="n">
        <f aca="false">EOMONTH(Inputs!$B$3,DJ$3)</f>
        <v>49795</v>
      </c>
      <c r="DK4" s="1" t="n">
        <f aca="false">EOMONTH(Inputs!$B$3,DK$3)</f>
        <v>49826</v>
      </c>
      <c r="DL4" s="1" t="n">
        <f aca="false">EOMONTH(Inputs!$B$3,DL$3)</f>
        <v>49856</v>
      </c>
      <c r="DM4" s="1" t="n">
        <f aca="false">EOMONTH(Inputs!$B$3,DM$3)</f>
        <v>49887</v>
      </c>
      <c r="DN4" s="1" t="n">
        <f aca="false">EOMONTH(Inputs!$B$3,DN$3)</f>
        <v>49918</v>
      </c>
      <c r="DO4" s="1" t="n">
        <f aca="false">EOMONTH(Inputs!$B$3,DO$3)</f>
        <v>49948</v>
      </c>
      <c r="DP4" s="1" t="n">
        <f aca="false">EOMONTH(Inputs!$B$3,DP$3)</f>
        <v>49979</v>
      </c>
      <c r="DQ4" s="1" t="n">
        <f aca="false">EOMONTH(Inputs!$B$3,DQ$3)</f>
        <v>50009</v>
      </c>
      <c r="DR4" s="1" t="n">
        <f aca="false">EOMONTH(Inputs!$B$3,DR$3)</f>
        <v>50040</v>
      </c>
      <c r="DS4" s="1" t="n">
        <f aca="false">EOMONTH(Inputs!$B$3,DS$3)</f>
        <v>50071</v>
      </c>
      <c r="DT4" s="1" t="n">
        <f aca="false">EOMONTH(Inputs!$B$3,DT$3)</f>
        <v>50099</v>
      </c>
      <c r="DU4" s="1" t="n">
        <f aca="false">EOMONTH(Inputs!$B$3,DU$3)</f>
        <v>50130</v>
      </c>
      <c r="DV4" s="1" t="n">
        <f aca="false">EOMONTH(Inputs!$B$3,DV$3)</f>
        <v>50160</v>
      </c>
      <c r="DW4" s="1" t="n">
        <f aca="false">EOMONTH(Inputs!$B$3,DW$3)</f>
        <v>50191</v>
      </c>
      <c r="DX4" s="1" t="n">
        <f aca="false">EOMONTH(Inputs!$B$3,DX$3)</f>
        <v>50221</v>
      </c>
      <c r="DY4" s="1" t="n">
        <f aca="false">EOMONTH(Inputs!$B$3,DY$3)</f>
        <v>50252</v>
      </c>
      <c r="DZ4" s="1" t="n">
        <f aca="false">EOMONTH(Inputs!$B$3,DZ$3)</f>
        <v>50283</v>
      </c>
      <c r="EA4" s="1" t="n">
        <f aca="false">EOMONTH(Inputs!$B$3,EA$3)</f>
        <v>50313</v>
      </c>
      <c r="EB4" s="1" t="n">
        <f aca="false">EOMONTH(Inputs!$B$3,EB$3)</f>
        <v>50344</v>
      </c>
      <c r="EC4" s="1" t="n">
        <f aca="false">EOMONTH(Inputs!$B$3,EC$3)</f>
        <v>50374</v>
      </c>
      <c r="ED4" s="1" t="n">
        <f aca="false">EOMONTH(Inputs!$B$3,ED$3)</f>
        <v>50405</v>
      </c>
      <c r="EE4" s="1" t="n">
        <f aca="false">EOMONTH(Inputs!$B$3,EE$3)</f>
        <v>50436</v>
      </c>
      <c r="EF4" s="1" t="n">
        <f aca="false">EOMONTH(Inputs!$B$3,EF$3)</f>
        <v>50464</v>
      </c>
      <c r="EG4" s="1" t="n">
        <f aca="false">EOMONTH(Inputs!$B$3,EG$3)</f>
        <v>50495</v>
      </c>
      <c r="EH4" s="1" t="n">
        <f aca="false">EOMONTH(Inputs!$B$3,EH$3)</f>
        <v>50525</v>
      </c>
      <c r="EI4" s="1" t="n">
        <f aca="false">EOMONTH(Inputs!$B$3,EI$3)</f>
        <v>50556</v>
      </c>
      <c r="EJ4" s="1" t="n">
        <f aca="false">EOMONTH(Inputs!$B$3,EJ$3)</f>
        <v>50586</v>
      </c>
      <c r="EK4" s="1" t="n">
        <f aca="false">EOMONTH(Inputs!$B$3,EK$3)</f>
        <v>50617</v>
      </c>
      <c r="EL4" s="1" t="n">
        <f aca="false">EOMONTH(Inputs!$B$3,EL$3)</f>
        <v>50648</v>
      </c>
      <c r="EM4" s="1" t="n">
        <f aca="false">EOMONTH(Inputs!$B$3,EM$3)</f>
        <v>50678</v>
      </c>
      <c r="EN4" s="1" t="n">
        <f aca="false">EOMONTH(Inputs!$B$3,EN$3)</f>
        <v>50709</v>
      </c>
      <c r="EO4" s="1" t="n">
        <f aca="false">EOMONTH(Inputs!$B$3,EO$3)</f>
        <v>50739</v>
      </c>
      <c r="EP4" s="1" t="n">
        <f aca="false">EOMONTH(Inputs!$B$3,EP$3)</f>
        <v>50770</v>
      </c>
      <c r="EQ4" s="1" t="n">
        <f aca="false">EOMONTH(Inputs!$B$3,EQ$3)</f>
        <v>50801</v>
      </c>
      <c r="ER4" s="1" t="n">
        <f aca="false">EOMONTH(Inputs!$B$3,ER$3)</f>
        <v>50829</v>
      </c>
      <c r="ES4" s="1" t="n">
        <f aca="false">EOMONTH(Inputs!$B$3,ES$3)</f>
        <v>50860</v>
      </c>
      <c r="ET4" s="1" t="n">
        <f aca="false">EOMONTH(Inputs!$B$3,ET$3)</f>
        <v>50890</v>
      </c>
      <c r="EU4" s="1" t="n">
        <f aca="false">EOMONTH(Inputs!$B$3,EU$3)</f>
        <v>50921</v>
      </c>
      <c r="EV4" s="1" t="n">
        <f aca="false">EOMONTH(Inputs!$B$3,EV$3)</f>
        <v>50951</v>
      </c>
      <c r="EW4" s="1" t="n">
        <f aca="false">EOMONTH(Inputs!$B$3,EW$3)</f>
        <v>50982</v>
      </c>
      <c r="EX4" s="1" t="n">
        <f aca="false">EOMONTH(Inputs!$B$3,EX$3)</f>
        <v>51013</v>
      </c>
      <c r="EY4" s="1" t="n">
        <f aca="false">EOMONTH(Inputs!$B$3,EY$3)</f>
        <v>51043</v>
      </c>
      <c r="EZ4" s="1" t="n">
        <f aca="false">EOMONTH(Inputs!$B$3,EZ$3)</f>
        <v>51074</v>
      </c>
      <c r="FA4" s="1" t="n">
        <f aca="false">EOMONTH(Inputs!$B$3,FA$3)</f>
        <v>51104</v>
      </c>
      <c r="FB4" s="1" t="n">
        <f aca="false">EOMONTH(Inputs!$B$3,FB$3)</f>
        <v>51135</v>
      </c>
      <c r="FC4" s="1" t="n">
        <f aca="false">EOMONTH(Inputs!$B$3,FC$3)</f>
        <v>51166</v>
      </c>
      <c r="FD4" s="1" t="n">
        <f aca="false">EOMONTH(Inputs!$B$3,FD$3)</f>
        <v>51195</v>
      </c>
      <c r="FE4" s="1" t="n">
        <f aca="false">EOMONTH(Inputs!$B$3,FE$3)</f>
        <v>51226</v>
      </c>
      <c r="FF4" s="1" t="n">
        <f aca="false">EOMONTH(Inputs!$B$3,FF$3)</f>
        <v>51256</v>
      </c>
      <c r="FG4" s="1" t="n">
        <f aca="false">EOMONTH(Inputs!$B$3,FG$3)</f>
        <v>51287</v>
      </c>
      <c r="FH4" s="1" t="n">
        <f aca="false">EOMONTH(Inputs!$B$3,FH$3)</f>
        <v>51317</v>
      </c>
      <c r="FI4" s="1" t="n">
        <f aca="false">EOMONTH(Inputs!$B$3,FI$3)</f>
        <v>51348</v>
      </c>
      <c r="FJ4" s="1" t="n">
        <f aca="false">EOMONTH(Inputs!$B$3,FJ$3)</f>
        <v>51379</v>
      </c>
      <c r="FK4" s="1" t="n">
        <f aca="false">EOMONTH(Inputs!$B$3,FK$3)</f>
        <v>51409</v>
      </c>
      <c r="FL4" s="1" t="n">
        <f aca="false">EOMONTH(Inputs!$B$3,FL$3)</f>
        <v>51440</v>
      </c>
      <c r="FM4" s="1" t="n">
        <f aca="false">EOMONTH(Inputs!$B$3,FM$3)</f>
        <v>51470</v>
      </c>
      <c r="FN4" s="1" t="n">
        <f aca="false">EOMONTH(Inputs!$B$3,FN$3)</f>
        <v>51501</v>
      </c>
      <c r="FO4" s="1" t="n">
        <f aca="false">EOMONTH(Inputs!$B$3,FO$3)</f>
        <v>51532</v>
      </c>
      <c r="FP4" s="1" t="n">
        <f aca="false">EOMONTH(Inputs!$B$3,FP$3)</f>
        <v>51560</v>
      </c>
      <c r="FQ4" s="1" t="n">
        <f aca="false">EOMONTH(Inputs!$B$3,FQ$3)</f>
        <v>51591</v>
      </c>
      <c r="FR4" s="1" t="n">
        <f aca="false">EOMONTH(Inputs!$B$3,FR$3)</f>
        <v>51621</v>
      </c>
      <c r="FS4" s="1" t="n">
        <f aca="false">EOMONTH(Inputs!$B$3,FS$3)</f>
        <v>51652</v>
      </c>
      <c r="FT4" s="1" t="n">
        <f aca="false">EOMONTH(Inputs!$B$3,FT$3)</f>
        <v>51682</v>
      </c>
      <c r="FU4" s="1" t="n">
        <f aca="false">EOMONTH(Inputs!$B$3,FU$3)</f>
        <v>51713</v>
      </c>
      <c r="FV4" s="1" t="n">
        <f aca="false">EOMONTH(Inputs!$B$3,FV$3)</f>
        <v>51744</v>
      </c>
      <c r="FW4" s="1" t="n">
        <f aca="false">EOMONTH(Inputs!$B$3,FW$3)</f>
        <v>51774</v>
      </c>
      <c r="FX4" s="1" t="n">
        <f aca="false">EOMONTH(Inputs!$B$3,FX$3)</f>
        <v>51805</v>
      </c>
      <c r="FY4" s="1" t="n">
        <f aca="false">EOMONTH(Inputs!$B$3,FY$3)</f>
        <v>51835</v>
      </c>
      <c r="FZ4" s="1" t="n">
        <f aca="false">EOMONTH(Inputs!$B$3,FZ$3)</f>
        <v>51866</v>
      </c>
    </row>
    <row r="5" customFormat="false" ht="15" hidden="false" customHeight="false" outlineLevel="0" collapsed="false">
      <c r="A5" s="0" t="s">
        <v>26</v>
      </c>
      <c r="B5" s="0" t="n">
        <f aca="false">Inputs!$B$6*(1+Inputs!$B$7)^(B$3/12)</f>
        <v>16.5</v>
      </c>
      <c r="C5" s="0" t="n">
        <f aca="false">Inputs!$B$6*(1+Inputs!$B$7)^(C$3/12)</f>
        <v>16.5473698288648</v>
      </c>
      <c r="D5" s="0" t="n">
        <f aca="false">Inputs!$B$6*(1+Inputs!$B$7)^(D$3/12)</f>
        <v>16.5948756517105</v>
      </c>
      <c r="E5" s="0" t="n">
        <f aca="false">Inputs!$B$6*(1+Inputs!$B$7)^(E$3/12)</f>
        <v>16.6425178589623</v>
      </c>
      <c r="F5" s="0" t="n">
        <f aca="false">Inputs!$B$6*(1+Inputs!$B$7)^(F$3/12)</f>
        <v>16.6902968421658</v>
      </c>
      <c r="G5" s="0" t="n">
        <f aca="false">Inputs!$B$6*(1+Inputs!$B$7)^(G$3/12)</f>
        <v>16.738212993991</v>
      </c>
      <c r="H5" s="0" t="n">
        <f aca="false">Inputs!$B$6*(1+Inputs!$B$7)^(H$3/12)</f>
        <v>16.786266708235</v>
      </c>
      <c r="I5" s="0" t="n">
        <f aca="false">Inputs!$B$6*(1+Inputs!$B$7)^(I$3/12)</f>
        <v>16.8344583798258</v>
      </c>
      <c r="J5" s="0" t="n">
        <f aca="false">Inputs!$B$6*(1+Inputs!$B$7)^(J$3/12)</f>
        <v>16.8827884048248</v>
      </c>
      <c r="K5" s="0" t="n">
        <f aca="false">Inputs!$B$6*(1+Inputs!$B$7)^(K$3/12)</f>
        <v>16.9312571804306</v>
      </c>
      <c r="L5" s="0" t="n">
        <f aca="false">Inputs!$B$6*(1+Inputs!$B$7)^(L$3/12)</f>
        <v>16.9798651049823</v>
      </c>
      <c r="M5" s="0" t="n">
        <f aca="false">Inputs!$B$6*(1+Inputs!$B$7)^(M$3/12)</f>
        <v>17.0286125779623</v>
      </c>
      <c r="N5" s="0" t="n">
        <f aca="false">Inputs!$B$6*(1+Inputs!$B$7)^(N$3/12)</f>
        <v>17.0775</v>
      </c>
      <c r="O5" s="0" t="n">
        <f aca="false">Inputs!$B$6*(1+Inputs!$B$7)^(O$3/12)</f>
        <v>17.126527772875</v>
      </c>
      <c r="P5" s="0" t="n">
        <f aca="false">Inputs!$B$6*(1+Inputs!$B$7)^(P$3/12)</f>
        <v>17.1756962995204</v>
      </c>
      <c r="Q5" s="0" t="n">
        <f aca="false">Inputs!$B$6*(1+Inputs!$B$7)^(Q$3/12)</f>
        <v>17.2250059840259</v>
      </c>
      <c r="R5" s="0" t="n">
        <f aca="false">Inputs!$B$6*(1+Inputs!$B$7)^(R$3/12)</f>
        <v>17.2744572316416</v>
      </c>
      <c r="S5" s="0" t="n">
        <f aca="false">Inputs!$B$6*(1+Inputs!$B$7)^(S$3/12)</f>
        <v>17.3240504487806</v>
      </c>
      <c r="T5" s="0" t="n">
        <f aca="false">Inputs!$B$6*(1+Inputs!$B$7)^(T$3/12)</f>
        <v>17.3737860430233</v>
      </c>
      <c r="U5" s="0" t="n">
        <f aca="false">Inputs!$B$6*(1+Inputs!$B$7)^(U$3/12)</f>
        <v>17.4236644231197</v>
      </c>
      <c r="V5" s="0" t="n">
        <f aca="false">Inputs!$B$6*(1+Inputs!$B$7)^(V$3/12)</f>
        <v>17.4736859989936</v>
      </c>
      <c r="W5" s="0" t="n">
        <f aca="false">Inputs!$B$6*(1+Inputs!$B$7)^(W$3/12)</f>
        <v>17.5238511817457</v>
      </c>
      <c r="X5" s="0" t="n">
        <f aca="false">Inputs!$B$6*(1+Inputs!$B$7)^(X$3/12)</f>
        <v>17.5741603836567</v>
      </c>
      <c r="Y5" s="0" t="n">
        <f aca="false">Inputs!$B$6*(1+Inputs!$B$7)^(Y$3/12)</f>
        <v>17.624614018191</v>
      </c>
      <c r="Z5" s="0" t="n">
        <f aca="false">Inputs!$B$6*(1+Inputs!$B$7)^(Z$3/12)</f>
        <v>17.6752125</v>
      </c>
      <c r="AA5" s="0" t="n">
        <f aca="false">Inputs!$B$6*(1+Inputs!$B$7)^(AA$3/12)</f>
        <v>17.7259562449257</v>
      </c>
      <c r="AB5" s="0" t="n">
        <f aca="false">Inputs!$B$6*(1+Inputs!$B$7)^(AB$3/12)</f>
        <v>17.7768456700036</v>
      </c>
      <c r="AC5" s="0" t="n">
        <f aca="false">Inputs!$B$6*(1+Inputs!$B$7)^(AC$3/12)</f>
        <v>17.8278811934669</v>
      </c>
      <c r="AD5" s="0" t="n">
        <f aca="false">Inputs!$B$6*(1+Inputs!$B$7)^(AD$3/12)</f>
        <v>17.879063234749</v>
      </c>
      <c r="AE5" s="0" t="n">
        <f aca="false">Inputs!$B$6*(1+Inputs!$B$7)^(AE$3/12)</f>
        <v>17.930392214488</v>
      </c>
      <c r="AF5" s="0" t="n">
        <f aca="false">Inputs!$B$6*(1+Inputs!$B$7)^(AF$3/12)</f>
        <v>17.9818685545291</v>
      </c>
      <c r="AG5" s="0" t="n">
        <f aca="false">Inputs!$B$6*(1+Inputs!$B$7)^(AG$3/12)</f>
        <v>18.0334926779289</v>
      </c>
      <c r="AH5" s="0" t="n">
        <f aca="false">Inputs!$B$6*(1+Inputs!$B$7)^(AH$3/12)</f>
        <v>18.0852650089584</v>
      </c>
      <c r="AI5" s="0" t="n">
        <f aca="false">Inputs!$B$6*(1+Inputs!$B$7)^(AI$3/12)</f>
        <v>18.1371859731068</v>
      </c>
      <c r="AJ5" s="0" t="n">
        <f aca="false">Inputs!$B$6*(1+Inputs!$B$7)^(AJ$3/12)</f>
        <v>18.1892559970846</v>
      </c>
      <c r="AK5" s="0" t="n">
        <f aca="false">Inputs!$B$6*(1+Inputs!$B$7)^(AK$3/12)</f>
        <v>18.2414755088276</v>
      </c>
      <c r="AL5" s="0" t="n">
        <f aca="false">Inputs!$B$6*(1+Inputs!$B$7)^(AL$3/12)</f>
        <v>18.2938449375</v>
      </c>
      <c r="AM5" s="0" t="n">
        <f aca="false">Inputs!$B$6*(1+Inputs!$B$7)^(AM$3/12)</f>
        <v>18.3463647134981</v>
      </c>
      <c r="AN5" s="0" t="n">
        <f aca="false">Inputs!$B$6*(1+Inputs!$B$7)^(AN$3/12)</f>
        <v>18.3990352684537</v>
      </c>
      <c r="AO5" s="0" t="n">
        <f aca="false">Inputs!$B$6*(1+Inputs!$B$7)^(AO$3/12)</f>
        <v>18.4518570352382</v>
      </c>
      <c r="AP5" s="0" t="n">
        <f aca="false">Inputs!$B$6*(1+Inputs!$B$7)^(AP$3/12)</f>
        <v>18.5048304479652</v>
      </c>
      <c r="AQ5" s="0" t="n">
        <f aca="false">Inputs!$B$6*(1+Inputs!$B$7)^(AQ$3/12)</f>
        <v>18.557955941995</v>
      </c>
      <c r="AR5" s="0" t="n">
        <f aca="false">Inputs!$B$6*(1+Inputs!$B$7)^(AR$3/12)</f>
        <v>18.6112339539376</v>
      </c>
      <c r="AS5" s="0" t="n">
        <f aca="false">Inputs!$B$6*(1+Inputs!$B$7)^(AS$3/12)</f>
        <v>18.6646649216564</v>
      </c>
      <c r="AT5" s="0" t="n">
        <f aca="false">Inputs!$B$6*(1+Inputs!$B$7)^(AT$3/12)</f>
        <v>18.718249284272</v>
      </c>
      <c r="AU5" s="0" t="n">
        <f aca="false">Inputs!$B$6*(1+Inputs!$B$7)^(AU$3/12)</f>
        <v>18.7719874821655</v>
      </c>
      <c r="AV5" s="0" t="n">
        <f aca="false">Inputs!$B$6*(1+Inputs!$B$7)^(AV$3/12)</f>
        <v>18.8258799569826</v>
      </c>
      <c r="AW5" s="0" t="n">
        <f aca="false">Inputs!$B$6*(1+Inputs!$B$7)^(AW$3/12)</f>
        <v>18.8799271516366</v>
      </c>
      <c r="AX5" s="0" t="n">
        <f aca="false">Inputs!$B$6*(1+Inputs!$B$7)^(AX$3/12)</f>
        <v>18.9341295103125</v>
      </c>
      <c r="AY5" s="0" t="n">
        <f aca="false">Inputs!$B$6*(1+Inputs!$B$7)^(AY$3/12)</f>
        <v>18.9884874784705</v>
      </c>
      <c r="AZ5" s="0" t="n">
        <f aca="false">Inputs!$B$6*(1+Inputs!$B$7)^(AZ$3/12)</f>
        <v>19.0430015028496</v>
      </c>
      <c r="BA5" s="0" t="n">
        <f aca="false">Inputs!$B$6*(1+Inputs!$B$7)^(BA$3/12)</f>
        <v>19.0976720314715</v>
      </c>
      <c r="BB5" s="0" t="n">
        <f aca="false">Inputs!$B$6*(1+Inputs!$B$7)^(BB$3/12)</f>
        <v>19.152499513644</v>
      </c>
      <c r="BC5" s="0" t="n">
        <f aca="false">Inputs!$B$6*(1+Inputs!$B$7)^(BC$3/12)</f>
        <v>19.2074843999649</v>
      </c>
      <c r="BD5" s="0" t="n">
        <f aca="false">Inputs!$B$6*(1+Inputs!$B$7)^(BD$3/12)</f>
        <v>19.2626271423254</v>
      </c>
      <c r="BE5" s="0" t="n">
        <f aca="false">Inputs!$B$6*(1+Inputs!$B$7)^(BE$3/12)</f>
        <v>19.3179281939144</v>
      </c>
      <c r="BF5" s="0" t="n">
        <f aca="false">Inputs!$B$6*(1+Inputs!$B$7)^(BF$3/12)</f>
        <v>19.3733880092215</v>
      </c>
      <c r="BG5" s="0" t="n">
        <f aca="false">Inputs!$B$6*(1+Inputs!$B$7)^(BG$3/12)</f>
        <v>19.4290070440413</v>
      </c>
      <c r="BH5" s="0" t="n">
        <f aca="false">Inputs!$B$6*(1+Inputs!$B$7)^(BH$3/12)</f>
        <v>19.484785755477</v>
      </c>
      <c r="BI5" s="0" t="n">
        <f aca="false">Inputs!$B$6*(1+Inputs!$B$7)^(BI$3/12)</f>
        <v>19.5407246019439</v>
      </c>
      <c r="BJ5" s="0" t="n">
        <f aca="false">Inputs!$B$6*(1+Inputs!$B$7)^(BJ$3/12)</f>
        <v>19.5968240431734</v>
      </c>
      <c r="BK5" s="0" t="n">
        <f aca="false">Inputs!$B$6*(1+Inputs!$B$7)^(BK$3/12)</f>
        <v>19.6530845402169</v>
      </c>
      <c r="BL5" s="0" t="n">
        <f aca="false">Inputs!$B$6*(1+Inputs!$B$7)^(BL$3/12)</f>
        <v>19.7095065554494</v>
      </c>
      <c r="BM5" s="0" t="n">
        <f aca="false">Inputs!$B$6*(1+Inputs!$B$7)^(BM$3/12)</f>
        <v>19.766090552573</v>
      </c>
      <c r="BN5" s="0" t="n">
        <f aca="false">Inputs!$B$6*(1+Inputs!$B$7)^(BN$3/12)</f>
        <v>19.8228369966216</v>
      </c>
      <c r="BO5" s="0" t="n">
        <f aca="false">Inputs!$B$6*(1+Inputs!$B$7)^(BO$3/12)</f>
        <v>19.8797463539636</v>
      </c>
      <c r="BP5" s="0" t="n">
        <f aca="false">Inputs!$B$6*(1+Inputs!$B$7)^(BP$3/12)</f>
        <v>19.9368190923068</v>
      </c>
      <c r="BQ5" s="0" t="n">
        <f aca="false">Inputs!$B$6*(1+Inputs!$B$7)^(BQ$3/12)</f>
        <v>19.9940556807014</v>
      </c>
      <c r="BR5" s="0" t="n">
        <f aca="false">Inputs!$B$6*(1+Inputs!$B$7)^(BR$3/12)</f>
        <v>20.0514565895442</v>
      </c>
      <c r="BS5" s="0" t="n">
        <f aca="false">Inputs!$B$6*(1+Inputs!$B$7)^(BS$3/12)</f>
        <v>20.1090222905828</v>
      </c>
      <c r="BT5" s="0" t="n">
        <f aca="false">Inputs!$B$6*(1+Inputs!$B$7)^(BT$3/12)</f>
        <v>20.1667532569187</v>
      </c>
      <c r="BU5" s="0" t="n">
        <f aca="false">Inputs!$B$6*(1+Inputs!$B$7)^(BU$3/12)</f>
        <v>20.2246499630119</v>
      </c>
      <c r="BV5" s="0" t="n">
        <f aca="false">Inputs!$B$6*(1+Inputs!$B$7)^(BV$3/12)</f>
        <v>20.2827128846845</v>
      </c>
      <c r="BW5" s="0" t="n">
        <f aca="false">Inputs!$B$6*(1+Inputs!$B$7)^(BW$3/12)</f>
        <v>20.3409424991245</v>
      </c>
      <c r="BX5" s="0" t="n">
        <f aca="false">Inputs!$B$6*(1+Inputs!$B$7)^(BX$3/12)</f>
        <v>20.3993392848901</v>
      </c>
      <c r="BY5" s="0" t="n">
        <f aca="false">Inputs!$B$6*(1+Inputs!$B$7)^(BY$3/12)</f>
        <v>20.4579037219131</v>
      </c>
      <c r="BZ5" s="0" t="n">
        <f aca="false">Inputs!$B$6*(1+Inputs!$B$7)^(BZ$3/12)</f>
        <v>20.5166362915033</v>
      </c>
      <c r="CA5" s="0" t="n">
        <f aca="false">Inputs!$B$6*(1+Inputs!$B$7)^(CA$3/12)</f>
        <v>20.5755374763524</v>
      </c>
      <c r="CB5" s="0" t="n">
        <f aca="false">Inputs!$B$6*(1+Inputs!$B$7)^(CB$3/12)</f>
        <v>20.6346077605375</v>
      </c>
      <c r="CC5" s="0" t="n">
        <f aca="false">Inputs!$B$6*(1+Inputs!$B$7)^(CC$3/12)</f>
        <v>20.6938476295259</v>
      </c>
      <c r="CD5" s="0" t="n">
        <f aca="false">Inputs!$B$6*(1+Inputs!$B$7)^(CD$3/12)</f>
        <v>20.7532575701783</v>
      </c>
      <c r="CE5" s="0" t="n">
        <f aca="false">Inputs!$B$6*(1+Inputs!$B$7)^(CE$3/12)</f>
        <v>20.8128380707532</v>
      </c>
      <c r="CF5" s="0" t="n">
        <f aca="false">Inputs!$B$6*(1+Inputs!$B$7)^(CF$3/12)</f>
        <v>20.8725896209108</v>
      </c>
      <c r="CG5" s="0" t="n">
        <f aca="false">Inputs!$B$6*(1+Inputs!$B$7)^(CG$3/12)</f>
        <v>20.9325127117173</v>
      </c>
      <c r="CH5" s="0" t="n">
        <f aca="false">Inputs!$B$6*(1+Inputs!$B$7)^(CH$3/12)</f>
        <v>20.9926078356485</v>
      </c>
      <c r="CI5" s="0" t="n">
        <f aca="false">Inputs!$B$6*(1+Inputs!$B$7)^(CI$3/12)</f>
        <v>21.0528754865939</v>
      </c>
      <c r="CJ5" s="0" t="n">
        <f aca="false">Inputs!$B$6*(1+Inputs!$B$7)^(CJ$3/12)</f>
        <v>21.1133161598612</v>
      </c>
      <c r="CK5" s="0" t="n">
        <f aca="false">Inputs!$B$6*(1+Inputs!$B$7)^(CK$3/12)</f>
        <v>21.17393035218</v>
      </c>
      <c r="CL5" s="0" t="n">
        <f aca="false">Inputs!$B$6*(1+Inputs!$B$7)^(CL$3/12)</f>
        <v>21.2347185617059</v>
      </c>
      <c r="CM5" s="0" t="n">
        <f aca="false">Inputs!$B$6*(1+Inputs!$B$7)^(CM$3/12)</f>
        <v>21.2956812880247</v>
      </c>
      <c r="CN5" s="0" t="n">
        <f aca="false">Inputs!$B$6*(1+Inputs!$B$7)^(CN$3/12)</f>
        <v>21.3568190321563</v>
      </c>
      <c r="CO5" s="0" t="n">
        <f aca="false">Inputs!$B$6*(1+Inputs!$B$7)^(CO$3/12)</f>
        <v>21.4181322965593</v>
      </c>
      <c r="CP5" s="0" t="n">
        <f aca="false">Inputs!$B$6*(1+Inputs!$B$7)^(CP$3/12)</f>
        <v>21.4796215851345</v>
      </c>
      <c r="CQ5" s="0" t="n">
        <f aca="false">Inputs!$B$6*(1+Inputs!$B$7)^(CQ$3/12)</f>
        <v>21.5412874032295</v>
      </c>
      <c r="CR5" s="0" t="n">
        <f aca="false">Inputs!$B$6*(1+Inputs!$B$7)^(CR$3/12)</f>
        <v>21.6031302576427</v>
      </c>
      <c r="CS5" s="0" t="n">
        <f aca="false">Inputs!$B$6*(1+Inputs!$B$7)^(CS$3/12)</f>
        <v>21.6651506566274</v>
      </c>
      <c r="CT5" s="0" t="n">
        <f aca="false">Inputs!$B$6*(1+Inputs!$B$7)^(CT$3/12)</f>
        <v>21.7273491098962</v>
      </c>
      <c r="CU5" s="0" t="n">
        <f aca="false">Inputs!$B$6*(1+Inputs!$B$7)^(CU$3/12)</f>
        <v>21.7897261286247</v>
      </c>
      <c r="CV5" s="0" t="n">
        <f aca="false">Inputs!$B$6*(1+Inputs!$B$7)^(CV$3/12)</f>
        <v>21.8522822254564</v>
      </c>
      <c r="CW5" s="0" t="n">
        <f aca="false">Inputs!$B$6*(1+Inputs!$B$7)^(CW$3/12)</f>
        <v>21.9150179145063</v>
      </c>
      <c r="CX5" s="0" t="n">
        <f aca="false">Inputs!$B$6*(1+Inputs!$B$7)^(CX$3/12)</f>
        <v>21.9779337113656</v>
      </c>
      <c r="CY5" s="0" t="n">
        <f aca="false">Inputs!$B$6*(1+Inputs!$B$7)^(CY$3/12)</f>
        <v>22.0410301331056</v>
      </c>
      <c r="CZ5" s="0" t="n">
        <f aca="false">Inputs!$B$6*(1+Inputs!$B$7)^(CZ$3/12)</f>
        <v>22.1043076982818</v>
      </c>
      <c r="DA5" s="0" t="n">
        <f aca="false">Inputs!$B$6*(1+Inputs!$B$7)^(DA$3/12)</f>
        <v>22.1677669269389</v>
      </c>
      <c r="DB5" s="0" t="n">
        <f aca="false">Inputs!$B$6*(1+Inputs!$B$7)^(DB$3/12)</f>
        <v>22.2314083406142</v>
      </c>
      <c r="DC5" s="0" t="n">
        <f aca="false">Inputs!$B$6*(1+Inputs!$B$7)^(DC$3/12)</f>
        <v>22.2952324623426</v>
      </c>
      <c r="DD5" s="0" t="n">
        <f aca="false">Inputs!$B$6*(1+Inputs!$B$7)^(DD$3/12)</f>
        <v>22.3592398166602</v>
      </c>
      <c r="DE5" s="0" t="n">
        <f aca="false">Inputs!$B$6*(1+Inputs!$B$7)^(DE$3/12)</f>
        <v>22.4234309296094</v>
      </c>
      <c r="DF5" s="0" t="n">
        <f aca="false">Inputs!$B$6*(1+Inputs!$B$7)^(DF$3/12)</f>
        <v>22.4878063287425</v>
      </c>
      <c r="DG5" s="0" t="n">
        <f aca="false">Inputs!$B$6*(1+Inputs!$B$7)^(DG$3/12)</f>
        <v>22.5523665431265</v>
      </c>
      <c r="DH5" s="0" t="n">
        <f aca="false">Inputs!$B$6*(1+Inputs!$B$7)^(DH$3/12)</f>
        <v>22.6171121033474</v>
      </c>
      <c r="DI5" s="0" t="n">
        <f aca="false">Inputs!$B$6*(1+Inputs!$B$7)^(DI$3/12)</f>
        <v>22.6820435415141</v>
      </c>
      <c r="DJ5" s="0" t="n">
        <f aca="false">Inputs!$B$6*(1+Inputs!$B$7)^(DJ$3/12)</f>
        <v>22.7471613912634</v>
      </c>
      <c r="DK5" s="0" t="n">
        <f aca="false">Inputs!$B$6*(1+Inputs!$B$7)^(DK$3/12)</f>
        <v>22.8124661877642</v>
      </c>
      <c r="DL5" s="0" t="n">
        <f aca="false">Inputs!$B$6*(1+Inputs!$B$7)^(DL$3/12)</f>
        <v>22.8779584677217</v>
      </c>
      <c r="DM5" s="0" t="n">
        <f aca="false">Inputs!$B$6*(1+Inputs!$B$7)^(DM$3/12)</f>
        <v>22.9436387693817</v>
      </c>
      <c r="DN5" s="0" t="n">
        <f aca="false">Inputs!$B$6*(1+Inputs!$B$7)^(DN$3/12)</f>
        <v>23.0095076325357</v>
      </c>
      <c r="DO5" s="0" t="n">
        <f aca="false">Inputs!$B$6*(1+Inputs!$B$7)^(DO$3/12)</f>
        <v>23.0755655985246</v>
      </c>
      <c r="DP5" s="0" t="n">
        <f aca="false">Inputs!$B$6*(1+Inputs!$B$7)^(DP$3/12)</f>
        <v>23.1418132102433</v>
      </c>
      <c r="DQ5" s="0" t="n">
        <f aca="false">Inputs!$B$6*(1+Inputs!$B$7)^(DQ$3/12)</f>
        <v>23.2082510121457</v>
      </c>
      <c r="DR5" s="0" t="n">
        <f aca="false">Inputs!$B$6*(1+Inputs!$B$7)^(DR$3/12)</f>
        <v>23.2748795502485</v>
      </c>
      <c r="DS5" s="0" t="n">
        <f aca="false">Inputs!$B$6*(1+Inputs!$B$7)^(DS$3/12)</f>
        <v>23.341699372136</v>
      </c>
      <c r="DT5" s="0" t="n">
        <f aca="false">Inputs!$B$6*(1+Inputs!$B$7)^(DT$3/12)</f>
        <v>23.4087110269645</v>
      </c>
      <c r="DU5" s="0" t="n">
        <f aca="false">Inputs!$B$6*(1+Inputs!$B$7)^(DU$3/12)</f>
        <v>23.4759150654671</v>
      </c>
      <c r="DV5" s="0" t="n">
        <f aca="false">Inputs!$B$6*(1+Inputs!$B$7)^(DV$3/12)</f>
        <v>23.5433120399577</v>
      </c>
      <c r="DW5" s="0" t="n">
        <f aca="false">Inputs!$B$6*(1+Inputs!$B$7)^(DW$3/12)</f>
        <v>23.610902504336</v>
      </c>
      <c r="DX5" s="0" t="n">
        <f aca="false">Inputs!$B$6*(1+Inputs!$B$7)^(DX$3/12)</f>
        <v>23.6786870140919</v>
      </c>
      <c r="DY5" s="0" t="n">
        <f aca="false">Inputs!$B$6*(1+Inputs!$B$7)^(DY$3/12)</f>
        <v>23.7466661263101</v>
      </c>
      <c r="DZ5" s="0" t="n">
        <f aca="false">Inputs!$B$6*(1+Inputs!$B$7)^(DZ$3/12)</f>
        <v>23.8148403996745</v>
      </c>
      <c r="EA5" s="0" t="n">
        <f aca="false">Inputs!$B$6*(1+Inputs!$B$7)^(EA$3/12)</f>
        <v>23.8832103944729</v>
      </c>
      <c r="EB5" s="0" t="n">
        <f aca="false">Inputs!$B$6*(1+Inputs!$B$7)^(EB$3/12)</f>
        <v>23.9517766726018</v>
      </c>
      <c r="EC5" s="0" t="n">
        <f aca="false">Inputs!$B$6*(1+Inputs!$B$7)^(EC$3/12)</f>
        <v>24.0205397975708</v>
      </c>
      <c r="ED5" s="0" t="n">
        <f aca="false">Inputs!$B$6*(1+Inputs!$B$7)^(ED$3/12)</f>
        <v>24.0895003345072</v>
      </c>
      <c r="EE5" s="0" t="n">
        <f aca="false">Inputs!$B$6*(1+Inputs!$B$7)^(EE$3/12)</f>
        <v>24.1586588501607</v>
      </c>
      <c r="EF5" s="0" t="n">
        <f aca="false">Inputs!$B$6*(1+Inputs!$B$7)^(EF$3/12)</f>
        <v>24.2280159129083</v>
      </c>
      <c r="EG5" s="0" t="n">
        <f aca="false">Inputs!$B$6*(1+Inputs!$B$7)^(EG$3/12)</f>
        <v>24.2975720927584</v>
      </c>
      <c r="EH5" s="0" t="n">
        <f aca="false">Inputs!$B$6*(1+Inputs!$B$7)^(EH$3/12)</f>
        <v>24.3673279613562</v>
      </c>
      <c r="EI5" s="0" t="n">
        <f aca="false">Inputs!$B$6*(1+Inputs!$B$7)^(EI$3/12)</f>
        <v>24.4372840919877</v>
      </c>
      <c r="EJ5" s="0" t="n">
        <f aca="false">Inputs!$B$6*(1+Inputs!$B$7)^(EJ$3/12)</f>
        <v>24.5074410595851</v>
      </c>
      <c r="EK5" s="0" t="n">
        <f aca="false">Inputs!$B$6*(1+Inputs!$B$7)^(EK$3/12)</f>
        <v>24.577799440731</v>
      </c>
      <c r="EL5" s="0" t="n">
        <f aca="false">Inputs!$B$6*(1+Inputs!$B$7)^(EL$3/12)</f>
        <v>24.6483598136631</v>
      </c>
      <c r="EM5" s="0" t="n">
        <f aca="false">Inputs!$B$6*(1+Inputs!$B$7)^(EM$3/12)</f>
        <v>24.7191227582795</v>
      </c>
      <c r="EN5" s="0" t="n">
        <f aca="false">Inputs!$B$6*(1+Inputs!$B$7)^(EN$3/12)</f>
        <v>24.7900888561429</v>
      </c>
      <c r="EO5" s="0" t="n">
        <f aca="false">Inputs!$B$6*(1+Inputs!$B$7)^(EO$3/12)</f>
        <v>24.8612586904858</v>
      </c>
      <c r="EP5" s="0" t="n">
        <f aca="false">Inputs!$B$6*(1+Inputs!$B$7)^(EP$3/12)</f>
        <v>24.9326328462149</v>
      </c>
      <c r="EQ5" s="0" t="n">
        <f aca="false">Inputs!$B$6*(1+Inputs!$B$7)^(EQ$3/12)</f>
        <v>25.0042119099164</v>
      </c>
      <c r="ER5" s="0" t="n">
        <f aca="false">Inputs!$B$6*(1+Inputs!$B$7)^(ER$3/12)</f>
        <v>25.0759964698601</v>
      </c>
      <c r="ES5" s="0" t="n">
        <f aca="false">Inputs!$B$6*(1+Inputs!$B$7)^(ES$3/12)</f>
        <v>25.1479871160049</v>
      </c>
      <c r="ET5" s="0" t="n">
        <f aca="false">Inputs!$B$6*(1+Inputs!$B$7)^(ET$3/12)</f>
        <v>25.2201844400036</v>
      </c>
      <c r="EU5" s="0" t="n">
        <f aca="false">Inputs!$B$6*(1+Inputs!$B$7)^(EU$3/12)</f>
        <v>25.2925890352073</v>
      </c>
      <c r="EV5" s="0" t="n">
        <f aca="false">Inputs!$B$6*(1+Inputs!$B$7)^(EV$3/12)</f>
        <v>25.3652014966706</v>
      </c>
      <c r="EW5" s="0" t="n">
        <f aca="false">Inputs!$B$6*(1+Inputs!$B$7)^(EW$3/12)</f>
        <v>25.4380224211565</v>
      </c>
      <c r="EX5" s="0" t="n">
        <f aca="false">Inputs!$B$6*(1+Inputs!$B$7)^(EX$3/12)</f>
        <v>25.5110524071413</v>
      </c>
      <c r="EY5" s="0" t="n">
        <f aca="false">Inputs!$B$6*(1+Inputs!$B$7)^(EY$3/12)</f>
        <v>25.5842920548192</v>
      </c>
      <c r="EZ5" s="0" t="n">
        <f aca="false">Inputs!$B$6*(1+Inputs!$B$7)^(EZ$3/12)</f>
        <v>25.6577419661079</v>
      </c>
      <c r="FA5" s="0" t="n">
        <f aca="false">Inputs!$B$6*(1+Inputs!$B$7)^(FA$3/12)</f>
        <v>25.7314027446528</v>
      </c>
      <c r="FB5" s="0" t="n">
        <f aca="false">Inputs!$B$6*(1+Inputs!$B$7)^(FB$3/12)</f>
        <v>25.8052749958325</v>
      </c>
      <c r="FC5" s="0" t="n">
        <f aca="false">Inputs!$B$6*(1+Inputs!$B$7)^(FC$3/12)</f>
        <v>25.8793593267634</v>
      </c>
      <c r="FD5" s="0" t="n">
        <f aca="false">Inputs!$B$6*(1+Inputs!$B$7)^(FD$3/12)</f>
        <v>25.9536563463052</v>
      </c>
      <c r="FE5" s="0" t="n">
        <f aca="false">Inputs!$B$6*(1+Inputs!$B$7)^(FE$3/12)</f>
        <v>26.0281666650651</v>
      </c>
      <c r="FF5" s="0" t="n">
        <f aca="false">Inputs!$B$6*(1+Inputs!$B$7)^(FF$3/12)</f>
        <v>26.1028908954038</v>
      </c>
      <c r="FG5" s="0" t="n">
        <f aca="false">Inputs!$B$6*(1+Inputs!$B$7)^(FG$3/12)</f>
        <v>26.1778296514396</v>
      </c>
      <c r="FH5" s="0" t="n">
        <f aca="false">Inputs!$B$6*(1+Inputs!$B$7)^(FH$3/12)</f>
        <v>26.2529835490541</v>
      </c>
      <c r="FI5" s="0" t="n">
        <f aca="false">Inputs!$B$6*(1+Inputs!$B$7)^(FI$3/12)</f>
        <v>26.328353205897</v>
      </c>
      <c r="FJ5" s="0" t="n">
        <f aca="false">Inputs!$B$6*(1+Inputs!$B$7)^(FJ$3/12)</f>
        <v>26.4039392413912</v>
      </c>
      <c r="FK5" s="0" t="n">
        <f aca="false">Inputs!$B$6*(1+Inputs!$B$7)^(FK$3/12)</f>
        <v>26.4797422767379</v>
      </c>
      <c r="FL5" s="0" t="n">
        <f aca="false">Inputs!$B$6*(1+Inputs!$B$7)^(FL$3/12)</f>
        <v>26.5557629349217</v>
      </c>
      <c r="FM5" s="0" t="n">
        <f aca="false">Inputs!$B$6*(1+Inputs!$B$7)^(FM$3/12)</f>
        <v>26.6320018407156</v>
      </c>
      <c r="FN5" s="0" t="n">
        <f aca="false">Inputs!$B$6*(1+Inputs!$B$7)^(FN$3/12)</f>
        <v>26.7084596206866</v>
      </c>
      <c r="FO5" s="0" t="n">
        <f aca="false">Inputs!$B$6*(1+Inputs!$B$7)^(FO$3/12)</f>
        <v>26.7851369032001</v>
      </c>
      <c r="FP5" s="0" t="n">
        <f aca="false">Inputs!$B$6*(1+Inputs!$B$7)^(FP$3/12)</f>
        <v>26.8620343184258</v>
      </c>
      <c r="FQ5" s="0" t="n">
        <f aca="false">Inputs!$B$6*(1+Inputs!$B$7)^(FQ$3/12)</f>
        <v>26.9391524983424</v>
      </c>
      <c r="FR5" s="0" t="n">
        <f aca="false">Inputs!$B$6*(1+Inputs!$B$7)^(FR$3/12)</f>
        <v>27.0164920767429</v>
      </c>
      <c r="FS5" s="0" t="n">
        <f aca="false">Inputs!$B$6*(1+Inputs!$B$7)^(FS$3/12)</f>
        <v>27.09405368924</v>
      </c>
      <c r="FT5" s="0" t="n">
        <f aca="false">Inputs!$B$6*(1+Inputs!$B$7)^(FT$3/12)</f>
        <v>27.171837973271</v>
      </c>
      <c r="FU5" s="0" t="n">
        <f aca="false">Inputs!$B$6*(1+Inputs!$B$7)^(FU$3/12)</f>
        <v>27.2498455681034</v>
      </c>
      <c r="FV5" s="0" t="n">
        <f aca="false">Inputs!$B$6*(1+Inputs!$B$7)^(FV$3/12)</f>
        <v>27.3280771148399</v>
      </c>
      <c r="FW5" s="0" t="n">
        <f aca="false">Inputs!$B$6*(1+Inputs!$B$7)^(FW$3/12)</f>
        <v>27.4065332564237</v>
      </c>
      <c r="FX5" s="0" t="n">
        <f aca="false">Inputs!$B$6*(1+Inputs!$B$7)^(FX$3/12)</f>
        <v>27.4852146376439</v>
      </c>
      <c r="FY5" s="0" t="n">
        <f aca="false">Inputs!$B$6*(1+Inputs!$B$7)^(FY$3/12)</f>
        <v>27.5641219051407</v>
      </c>
      <c r="FZ5" s="0" t="n">
        <f aca="false">Inputs!$B$6*(1+Inputs!$B$7)^(FZ$3/12)</f>
        <v>27.6432557074106</v>
      </c>
    </row>
    <row r="6" customFormat="false" ht="15" hidden="false" customHeight="false" outlineLevel="0" collapsed="false">
      <c r="A6" s="0" t="s">
        <v>27</v>
      </c>
      <c r="B6" s="0" t="n">
        <f aca="false">Groups!$C$2</f>
        <v>11.2</v>
      </c>
      <c r="C6" s="0" t="n">
        <f aca="false">MIN(C5,B6*(1-Inputs!$B$9/12)*(1+Inputs!$B$8)^(1/36)+C5*Inputs!$B$9/12)</f>
        <v>11.2789246982498</v>
      </c>
      <c r="D6" s="0" t="n">
        <f aca="false">MIN(D5,C6*(1-Inputs!$B$9/12)*(1+Inputs!$B$8)^(1/36)+D5*Inputs!$B$9/12)</f>
        <v>11.3579448936689</v>
      </c>
      <c r="E6" s="0" t="n">
        <f aca="false">MIN(E5,D6*(1-Inputs!$B$9/12)*(1+Inputs!$B$8)^(1/36)+E5*Inputs!$B$9/12)</f>
        <v>11.4370612278294</v>
      </c>
      <c r="F6" s="0" t="n">
        <f aca="false">MIN(F5,E6*(1-Inputs!$B$9/12)*(1+Inputs!$B$8)^(1/36)+F5*Inputs!$B$9/12)</f>
        <v>11.5162743431155</v>
      </c>
      <c r="G6" s="0" t="n">
        <f aca="false">MIN(G5,F6*(1-Inputs!$B$9/12)*(1+Inputs!$B$8)^(1/36)+G5*Inputs!$B$9/12)</f>
        <v>11.5955848827288</v>
      </c>
      <c r="H6" s="0" t="n">
        <f aca="false">MIN(H5,G6*(1-Inputs!$B$9/12)*(1+Inputs!$B$8)^(1/36)+H5*Inputs!$B$9/12)</f>
        <v>11.6749934906935</v>
      </c>
      <c r="I6" s="0" t="n">
        <f aca="false">MIN(I5,H6*(1-Inputs!$B$9/12)*(1+Inputs!$B$8)^(1/36)+I5*Inputs!$B$9/12)</f>
        <v>11.7545008118615</v>
      </c>
      <c r="J6" s="0" t="n">
        <f aca="false">MIN(J5,I6*(1-Inputs!$B$9/12)*(1+Inputs!$B$8)^(1/36)+J5*Inputs!$B$9/12)</f>
        <v>11.8341074919178</v>
      </c>
      <c r="K6" s="0" t="n">
        <f aca="false">MIN(K5,J6*(1-Inputs!$B$9/12)*(1+Inputs!$B$8)^(1/36)+K5*Inputs!$B$9/12)</f>
        <v>11.9138141773855</v>
      </c>
      <c r="L6" s="0" t="n">
        <f aca="false">MIN(L5,K6*(1-Inputs!$B$9/12)*(1+Inputs!$B$8)^(1/36)+L5*Inputs!$B$9/12)</f>
        <v>11.9936215156316</v>
      </c>
      <c r="M6" s="0" t="n">
        <f aca="false">MIN(M5,L6*(1-Inputs!$B$9/12)*(1+Inputs!$B$8)^(1/36)+M5*Inputs!$B$9/12)</f>
        <v>12.0735301548716</v>
      </c>
      <c r="N6" s="0" t="n">
        <f aca="false">MIN(N5,M6*(1-Inputs!$B$9/12)*(1+Inputs!$B$8)^(1/36)+N5*Inputs!$B$9/12)</f>
        <v>12.1535407441751</v>
      </c>
      <c r="O6" s="0" t="n">
        <f aca="false">MIN(O5,N6*(1-Inputs!$B$9/12)*(1+Inputs!$B$8)^(1/36)+O5*Inputs!$B$9/12)</f>
        <v>12.2336539334711</v>
      </c>
      <c r="P6" s="0" t="n">
        <f aca="false">MIN(P5,O6*(1-Inputs!$B$9/12)*(1+Inputs!$B$8)^(1/36)+P5*Inputs!$B$9/12)</f>
        <v>12.3138703735532</v>
      </c>
      <c r="Q6" s="0" t="n">
        <f aca="false">MIN(Q5,P6*(1-Inputs!$B$9/12)*(1+Inputs!$B$8)^(1/36)+Q5*Inputs!$B$9/12)</f>
        <v>12.3941907160849</v>
      </c>
      <c r="R6" s="0" t="n">
        <f aca="false">MIN(R5,Q6*(1-Inputs!$B$9/12)*(1+Inputs!$B$8)^(1/36)+R5*Inputs!$B$9/12)</f>
        <v>12.4746156136049</v>
      </c>
      <c r="S6" s="0" t="n">
        <f aca="false">MIN(S5,R6*(1-Inputs!$B$9/12)*(1+Inputs!$B$8)^(1/36)+S5*Inputs!$B$9/12)</f>
        <v>12.5551457195323</v>
      </c>
      <c r="T6" s="0" t="n">
        <f aca="false">MIN(T5,S6*(1-Inputs!$B$9/12)*(1+Inputs!$B$8)^(1/36)+T5*Inputs!$B$9/12)</f>
        <v>12.6357816881721</v>
      </c>
      <c r="U6" s="0" t="n">
        <f aca="false">MIN(U5,T6*(1-Inputs!$B$9/12)*(1+Inputs!$B$8)^(1/36)+U5*Inputs!$B$9/12)</f>
        <v>12.7165241747206</v>
      </c>
      <c r="V6" s="0" t="n">
        <f aca="false">MIN(V5,U6*(1-Inputs!$B$9/12)*(1+Inputs!$B$8)^(1/36)+V5*Inputs!$B$9/12)</f>
        <v>12.7973738352702</v>
      </c>
      <c r="W6" s="0" t="n">
        <f aca="false">MIN(W5,V6*(1-Inputs!$B$9/12)*(1+Inputs!$B$8)^(1/36)+W5*Inputs!$B$9/12)</f>
        <v>12.8783313268154</v>
      </c>
      <c r="X6" s="0" t="n">
        <f aca="false">MIN(X5,W6*(1-Inputs!$B$9/12)*(1+Inputs!$B$8)^(1/36)+X5*Inputs!$B$9/12)</f>
        <v>12.9593973072577</v>
      </c>
      <c r="Y6" s="0" t="n">
        <f aca="false">MIN(Y5,X6*(1-Inputs!$B$9/12)*(1+Inputs!$B$8)^(1/36)+Y5*Inputs!$B$9/12)</f>
        <v>13.040572435411</v>
      </c>
      <c r="Z6" s="0" t="n">
        <f aca="false">MIN(Z5,Y6*(1-Inputs!$B$9/12)*(1+Inputs!$B$8)^(1/36)+Z5*Inputs!$B$9/12)</f>
        <v>13.1218573710072</v>
      </c>
      <c r="AA6" s="0" t="n">
        <f aca="false">MIN(AA5,Z6*(1-Inputs!$B$9/12)*(1+Inputs!$B$8)^(1/36)+AA5*Inputs!$B$9/12)</f>
        <v>13.2032527747013</v>
      </c>
      <c r="AB6" s="0" t="n">
        <f aca="false">MIN(AB5,AA6*(1-Inputs!$B$9/12)*(1+Inputs!$B$8)^(1/36)+AB5*Inputs!$B$9/12)</f>
        <v>13.2847593080769</v>
      </c>
      <c r="AC6" s="0" t="n">
        <f aca="false">MIN(AC5,AB6*(1-Inputs!$B$9/12)*(1+Inputs!$B$8)^(1/36)+AC5*Inputs!$B$9/12)</f>
        <v>13.3663776336515</v>
      </c>
      <c r="AD6" s="0" t="n">
        <f aca="false">MIN(AD5,AC6*(1-Inputs!$B$9/12)*(1+Inputs!$B$8)^(1/36)+AD5*Inputs!$B$9/12)</f>
        <v>13.448108414882</v>
      </c>
      <c r="AE6" s="0" t="n">
        <f aca="false">MIN(AE5,AD6*(1-Inputs!$B$9/12)*(1+Inputs!$B$8)^(1/36)+AE5*Inputs!$B$9/12)</f>
        <v>13.5299523161701</v>
      </c>
      <c r="AF6" s="0" t="n">
        <f aca="false">MIN(AF5,AE6*(1-Inputs!$B$9/12)*(1+Inputs!$B$8)^(1/36)+AF5*Inputs!$B$9/12)</f>
        <v>13.6119100028673</v>
      </c>
      <c r="AG6" s="0" t="n">
        <f aca="false">MIN(AG5,AF6*(1-Inputs!$B$9/12)*(1+Inputs!$B$8)^(1/36)+AG5*Inputs!$B$9/12)</f>
        <v>13.6939821412811</v>
      </c>
      <c r="AH6" s="0" t="n">
        <f aca="false">MIN(AH5,AG6*(1-Inputs!$B$9/12)*(1+Inputs!$B$8)^(1/36)+AH5*Inputs!$B$9/12)</f>
        <v>13.7761693986796</v>
      </c>
      <c r="AI6" s="0" t="n">
        <f aca="false">MIN(AI5,AH6*(1-Inputs!$B$9/12)*(1+Inputs!$B$8)^(1/36)+AI5*Inputs!$B$9/12)</f>
        <v>13.8584724432976</v>
      </c>
      <c r="AJ6" s="0" t="n">
        <f aca="false">MIN(AJ5,AI6*(1-Inputs!$B$9/12)*(1+Inputs!$B$8)^(1/36)+AJ5*Inputs!$B$9/12)</f>
        <v>13.9408919443414</v>
      </c>
      <c r="AK6" s="0" t="n">
        <f aca="false">MIN(AK5,AJ6*(1-Inputs!$B$9/12)*(1+Inputs!$B$8)^(1/36)+AK5*Inputs!$B$9/12)</f>
        <v>14.0234285719948</v>
      </c>
      <c r="AL6" s="0" t="n">
        <f aca="false">MIN(AL5,AK6*(1-Inputs!$B$9/12)*(1+Inputs!$B$8)^(1/36)+AL5*Inputs!$B$9/12)</f>
        <v>14.1060829974242</v>
      </c>
      <c r="AM6" s="0" t="n">
        <f aca="false">MIN(AM5,AL6*(1-Inputs!$B$9/12)*(1+Inputs!$B$8)^(1/36)+AM5*Inputs!$B$9/12)</f>
        <v>14.1888558927843</v>
      </c>
      <c r="AN6" s="0" t="n">
        <f aca="false">MIN(AN5,AM6*(1-Inputs!$B$9/12)*(1+Inputs!$B$8)^(1/36)+AN5*Inputs!$B$9/12)</f>
        <v>14.2717479312233</v>
      </c>
      <c r="AO6" s="0" t="n">
        <f aca="false">MIN(AO5,AN6*(1-Inputs!$B$9/12)*(1+Inputs!$B$8)^(1/36)+AO5*Inputs!$B$9/12)</f>
        <v>14.3547597868886</v>
      </c>
      <c r="AP6" s="0" t="n">
        <f aca="false">MIN(AP5,AO6*(1-Inputs!$B$9/12)*(1+Inputs!$B$8)^(1/36)+AP5*Inputs!$B$9/12)</f>
        <v>14.4378921349323</v>
      </c>
      <c r="AQ6" s="0" t="n">
        <f aca="false">MIN(AQ5,AP6*(1-Inputs!$B$9/12)*(1+Inputs!$B$8)^(1/36)+AQ5*Inputs!$B$9/12)</f>
        <v>14.5211456515164</v>
      </c>
      <c r="AR6" s="0" t="n">
        <f aca="false">MIN(AR5,AQ6*(1-Inputs!$B$9/12)*(1+Inputs!$B$8)^(1/36)+AR5*Inputs!$B$9/12)</f>
        <v>14.6045210138187</v>
      </c>
      <c r="AS6" s="0" t="n">
        <f aca="false">MIN(AS5,AR6*(1-Inputs!$B$9/12)*(1+Inputs!$B$8)^(1/36)+AS5*Inputs!$B$9/12)</f>
        <v>14.6880189000379</v>
      </c>
      <c r="AT6" s="0" t="n">
        <f aca="false">MIN(AT5,AS6*(1-Inputs!$B$9/12)*(1+Inputs!$B$8)^(1/36)+AT5*Inputs!$B$9/12)</f>
        <v>14.7716399893995</v>
      </c>
      <c r="AU6" s="0" t="n">
        <f aca="false">MIN(AU5,AT6*(1-Inputs!$B$9/12)*(1+Inputs!$B$8)^(1/36)+AU5*Inputs!$B$9/12)</f>
        <v>14.8553849621612</v>
      </c>
      <c r="AV6" s="0" t="n">
        <f aca="false">MIN(AV5,AU6*(1-Inputs!$B$9/12)*(1+Inputs!$B$8)^(1/36)+AV5*Inputs!$B$9/12)</f>
        <v>14.9392544996182</v>
      </c>
      <c r="AW6" s="0" t="n">
        <f aca="false">MIN(AW5,AV6*(1-Inputs!$B$9/12)*(1+Inputs!$B$8)^(1/36)+AW5*Inputs!$B$9/12)</f>
        <v>15.023249284109</v>
      </c>
      <c r="AX6" s="0" t="n">
        <f aca="false">MIN(AX5,AW6*(1-Inputs!$B$9/12)*(1+Inputs!$B$8)^(1/36)+AX5*Inputs!$B$9/12)</f>
        <v>15.107369999021</v>
      </c>
      <c r="AY6" s="0" t="n">
        <f aca="false">MIN(AY5,AX6*(1-Inputs!$B$9/12)*(1+Inputs!$B$8)^(1/36)+AY5*Inputs!$B$9/12)</f>
        <v>15.1916173287958</v>
      </c>
      <c r="AZ6" s="0" t="n">
        <f aca="false">MIN(AZ5,AY6*(1-Inputs!$B$9/12)*(1+Inputs!$B$8)^(1/36)+AZ5*Inputs!$B$9/12)</f>
        <v>15.2759919589351</v>
      </c>
      <c r="BA6" s="0" t="n">
        <f aca="false">MIN(BA5,AZ6*(1-Inputs!$B$9/12)*(1+Inputs!$B$8)^(1/36)+BA5*Inputs!$B$9/12)</f>
        <v>15.360494576006</v>
      </c>
      <c r="BB6" s="0" t="n">
        <f aca="false">MIN(BB5,BA6*(1-Inputs!$B$9/12)*(1+Inputs!$B$8)^(1/36)+BB5*Inputs!$B$9/12)</f>
        <v>15.4451258676467</v>
      </c>
      <c r="BC6" s="0" t="n">
        <f aca="false">MIN(BC5,BB6*(1-Inputs!$B$9/12)*(1+Inputs!$B$8)^(1/36)+BC5*Inputs!$B$9/12)</f>
        <v>15.5298865225719</v>
      </c>
      <c r="BD6" s="0" t="n">
        <f aca="false">MIN(BD5,BC6*(1-Inputs!$B$9/12)*(1+Inputs!$B$8)^(1/36)+BD5*Inputs!$B$9/12)</f>
        <v>15.614777230579</v>
      </c>
      <c r="BE6" s="0" t="n">
        <f aca="false">MIN(BE5,BD6*(1-Inputs!$B$9/12)*(1+Inputs!$B$8)^(1/36)+BE5*Inputs!$B$9/12)</f>
        <v>15.6997986825531</v>
      </c>
      <c r="BF6" s="0" t="n">
        <f aca="false">MIN(BF5,BE6*(1-Inputs!$B$9/12)*(1+Inputs!$B$8)^(1/36)+BF5*Inputs!$B$9/12)</f>
        <v>15.7849515704726</v>
      </c>
      <c r="BG6" s="0" t="n">
        <f aca="false">MIN(BG5,BF6*(1-Inputs!$B$9/12)*(1+Inputs!$B$8)^(1/36)+BG5*Inputs!$B$9/12)</f>
        <v>15.8702365874155</v>
      </c>
      <c r="BH6" s="0" t="n">
        <f aca="false">MIN(BH5,BG6*(1-Inputs!$B$9/12)*(1+Inputs!$B$8)^(1/36)+BH5*Inputs!$B$9/12)</f>
        <v>15.9556544275644</v>
      </c>
      <c r="BI6" s="0" t="n">
        <f aca="false">MIN(BI5,BH6*(1-Inputs!$B$9/12)*(1+Inputs!$B$8)^(1/36)+BI5*Inputs!$B$9/12)</f>
        <v>16.0412057862122</v>
      </c>
      <c r="BJ6" s="0" t="n">
        <f aca="false">MIN(BJ5,BI6*(1-Inputs!$B$9/12)*(1+Inputs!$B$8)^(1/36)+BJ5*Inputs!$B$9/12)</f>
        <v>16.1268913597683</v>
      </c>
      <c r="BK6" s="0" t="n">
        <f aca="false">MIN(BK5,BJ6*(1-Inputs!$B$9/12)*(1+Inputs!$B$8)^(1/36)+BK5*Inputs!$B$9/12)</f>
        <v>16.2127118457636</v>
      </c>
      <c r="BL6" s="0" t="n">
        <f aca="false">MIN(BL5,BK6*(1-Inputs!$B$9/12)*(1+Inputs!$B$8)^(1/36)+BL5*Inputs!$B$9/12)</f>
        <v>16.2986679428565</v>
      </c>
      <c r="BM6" s="0" t="n">
        <f aca="false">MIN(BM5,BL6*(1-Inputs!$B$9/12)*(1+Inputs!$B$8)^(1/36)+BM5*Inputs!$B$9/12)</f>
        <v>16.3847603508387</v>
      </c>
      <c r="BN6" s="0" t="n">
        <f aca="false">MIN(BN5,BM6*(1-Inputs!$B$9/12)*(1+Inputs!$B$8)^(1/36)+BN5*Inputs!$B$9/12)</f>
        <v>16.4709897706407</v>
      </c>
      <c r="BO6" s="0" t="n">
        <f aca="false">MIN(BO5,BN6*(1-Inputs!$B$9/12)*(1+Inputs!$B$8)^(1/36)+BO5*Inputs!$B$9/12)</f>
        <v>16.5573569043375</v>
      </c>
      <c r="BP6" s="0" t="n">
        <f aca="false">MIN(BP5,BO6*(1-Inputs!$B$9/12)*(1+Inputs!$B$8)^(1/36)+BP5*Inputs!$B$9/12)</f>
        <v>16.6438624551546</v>
      </c>
      <c r="BQ6" s="0" t="n">
        <f aca="false">MIN(BQ5,BP6*(1-Inputs!$B$9/12)*(1+Inputs!$B$8)^(1/36)+BQ5*Inputs!$B$9/12)</f>
        <v>16.7305071274733</v>
      </c>
      <c r="BR6" s="0" t="n">
        <f aca="false">MIN(BR5,BQ6*(1-Inputs!$B$9/12)*(1+Inputs!$B$8)^(1/36)+BR5*Inputs!$B$9/12)</f>
        <v>16.8172916268367</v>
      </c>
      <c r="BS6" s="0" t="n">
        <f aca="false">MIN(BS5,BR6*(1-Inputs!$B$9/12)*(1+Inputs!$B$8)^(1/36)+BS5*Inputs!$B$9/12)</f>
        <v>16.9042166599554</v>
      </c>
      <c r="BT6" s="0" t="n">
        <f aca="false">MIN(BT5,BS6*(1-Inputs!$B$9/12)*(1+Inputs!$B$8)^(1/36)+BT5*Inputs!$B$9/12)</f>
        <v>16.9912829347134</v>
      </c>
      <c r="BU6" s="0" t="n">
        <f aca="false">MIN(BU5,BT6*(1-Inputs!$B$9/12)*(1+Inputs!$B$8)^(1/36)+BU5*Inputs!$B$9/12)</f>
        <v>17.0784911601736</v>
      </c>
      <c r="BV6" s="0" t="n">
        <f aca="false">MIN(BV5,BU6*(1-Inputs!$B$9/12)*(1+Inputs!$B$8)^(1/36)+BV5*Inputs!$B$9/12)</f>
        <v>17.1658420465837</v>
      </c>
      <c r="BW6" s="0" t="n">
        <f aca="false">MIN(BW5,BV6*(1-Inputs!$B$9/12)*(1+Inputs!$B$8)^(1/36)+BW5*Inputs!$B$9/12)</f>
        <v>17.253336305382</v>
      </c>
      <c r="BX6" s="0" t="n">
        <f aca="false">MIN(BX5,BW6*(1-Inputs!$B$9/12)*(1+Inputs!$B$8)^(1/36)+BX5*Inputs!$B$9/12)</f>
        <v>17.3409746492031</v>
      </c>
      <c r="BY6" s="0" t="n">
        <f aca="false">MIN(BY5,BX6*(1-Inputs!$B$9/12)*(1+Inputs!$B$8)^(1/36)+BY5*Inputs!$B$9/12)</f>
        <v>17.4287577918841</v>
      </c>
      <c r="BZ6" s="0" t="n">
        <f aca="false">MIN(BZ5,BY6*(1-Inputs!$B$9/12)*(1+Inputs!$B$8)^(1/36)+BZ5*Inputs!$B$9/12)</f>
        <v>17.5166864484698</v>
      </c>
      <c r="CA6" s="0" t="n">
        <f aca="false">MIN(CA5,BZ6*(1-Inputs!$B$9/12)*(1+Inputs!$B$8)^(1/36)+CA5*Inputs!$B$9/12)</f>
        <v>17.6047613352188</v>
      </c>
      <c r="CB6" s="0" t="n">
        <f aca="false">MIN(CB5,CA6*(1-Inputs!$B$9/12)*(1+Inputs!$B$8)^(1/36)+CB5*Inputs!$B$9/12)</f>
        <v>17.6929831696096</v>
      </c>
      <c r="CC6" s="0" t="n">
        <f aca="false">MIN(CC5,CB6*(1-Inputs!$B$9/12)*(1+Inputs!$B$8)^(1/36)+CC5*Inputs!$B$9/12)</f>
        <v>17.7813526703462</v>
      </c>
      <c r="CD6" s="0" t="n">
        <f aca="false">MIN(CD5,CC6*(1-Inputs!$B$9/12)*(1+Inputs!$B$8)^(1/36)+CD5*Inputs!$B$9/12)</f>
        <v>17.8698705573637</v>
      </c>
      <c r="CE6" s="0" t="n">
        <f aca="false">MIN(CE5,CD6*(1-Inputs!$B$9/12)*(1+Inputs!$B$8)^(1/36)+CE5*Inputs!$B$9/12)</f>
        <v>17.9585375518347</v>
      </c>
      <c r="CF6" s="0" t="n">
        <f aca="false">MIN(CF5,CE6*(1-Inputs!$B$9/12)*(1+Inputs!$B$8)^(1/36)+CF5*Inputs!$B$9/12)</f>
        <v>18.0473543761748</v>
      </c>
      <c r="CG6" s="0" t="n">
        <f aca="false">MIN(CG5,CF6*(1-Inputs!$B$9/12)*(1+Inputs!$B$8)^(1/36)+CG5*Inputs!$B$9/12)</f>
        <v>18.1363217540487</v>
      </c>
      <c r="CH6" s="0" t="n">
        <f aca="false">MIN(CH5,CG6*(1-Inputs!$B$9/12)*(1+Inputs!$B$8)^(1/36)+CH5*Inputs!$B$9/12)</f>
        <v>18.225440410376</v>
      </c>
      <c r="CI6" s="0" t="n">
        <f aca="false">MIN(CI5,CH6*(1-Inputs!$B$9/12)*(1+Inputs!$B$8)^(1/36)+CI5*Inputs!$B$9/12)</f>
        <v>18.3147110713369</v>
      </c>
      <c r="CJ6" s="0" t="n">
        <f aca="false">MIN(CJ5,CI6*(1-Inputs!$B$9/12)*(1+Inputs!$B$8)^(1/36)+CJ5*Inputs!$B$9/12)</f>
        <v>18.4041344643785</v>
      </c>
      <c r="CK6" s="0" t="n">
        <f aca="false">MIN(CK5,CJ6*(1-Inputs!$B$9/12)*(1+Inputs!$B$8)^(1/36)+CK5*Inputs!$B$9/12)</f>
        <v>18.4937113182206</v>
      </c>
      <c r="CL6" s="0" t="n">
        <f aca="false">MIN(CL5,CK6*(1-Inputs!$B$9/12)*(1+Inputs!$B$8)^(1/36)+CL5*Inputs!$B$9/12)</f>
        <v>18.5834423628615</v>
      </c>
      <c r="CM6" s="0" t="n">
        <f aca="false">MIN(CM5,CL6*(1-Inputs!$B$9/12)*(1+Inputs!$B$8)^(1/36)+CM5*Inputs!$B$9/12)</f>
        <v>18.6733283295841</v>
      </c>
      <c r="CN6" s="0" t="n">
        <f aca="false">MIN(CN5,CM6*(1-Inputs!$B$9/12)*(1+Inputs!$B$8)^(1/36)+CN5*Inputs!$B$9/12)</f>
        <v>18.7633699509618</v>
      </c>
      <c r="CO6" s="0" t="n">
        <f aca="false">MIN(CO5,CN6*(1-Inputs!$B$9/12)*(1+Inputs!$B$8)^(1/36)+CO5*Inputs!$B$9/12)</f>
        <v>18.8535679608645</v>
      </c>
      <c r="CP6" s="0" t="n">
        <f aca="false">MIN(CP5,CO6*(1-Inputs!$B$9/12)*(1+Inputs!$B$8)^(1/36)+CP5*Inputs!$B$9/12)</f>
        <v>18.9439230944645</v>
      </c>
      <c r="CQ6" s="0" t="n">
        <f aca="false">MIN(CQ5,CP6*(1-Inputs!$B$9/12)*(1+Inputs!$B$8)^(1/36)+CQ5*Inputs!$B$9/12)</f>
        <v>19.0344360882427</v>
      </c>
      <c r="CR6" s="0" t="n">
        <f aca="false">MIN(CR5,CQ6*(1-Inputs!$B$9/12)*(1+Inputs!$B$8)^(1/36)+CR5*Inputs!$B$9/12)</f>
        <v>19.1251076799942</v>
      </c>
      <c r="CS6" s="0" t="n">
        <f aca="false">MIN(CS5,CR6*(1-Inputs!$B$9/12)*(1+Inputs!$B$8)^(1/36)+CS5*Inputs!$B$9/12)</f>
        <v>19.2159386088349</v>
      </c>
      <c r="CT6" s="0" t="n">
        <f aca="false">MIN(CT5,CS6*(1-Inputs!$B$9/12)*(1+Inputs!$B$8)^(1/36)+CT5*Inputs!$B$9/12)</f>
        <v>19.306929615207</v>
      </c>
      <c r="CU6" s="0" t="n">
        <f aca="false">MIN(CU5,CT6*(1-Inputs!$B$9/12)*(1+Inputs!$B$8)^(1/36)+CU5*Inputs!$B$9/12)</f>
        <v>19.3980814408852</v>
      </c>
      <c r="CV6" s="0" t="n">
        <f aca="false">MIN(CV5,CU6*(1-Inputs!$B$9/12)*(1+Inputs!$B$8)^(1/36)+CV5*Inputs!$B$9/12)</f>
        <v>19.4893948289831</v>
      </c>
      <c r="CW6" s="0" t="n">
        <f aca="false">MIN(CW5,CV6*(1-Inputs!$B$9/12)*(1+Inputs!$B$8)^(1/36)+CW5*Inputs!$B$9/12)</f>
        <v>19.5808705239587</v>
      </c>
      <c r="CX6" s="0" t="n">
        <f aca="false">MIN(CX5,CW6*(1-Inputs!$B$9/12)*(1+Inputs!$B$8)^(1/36)+CX5*Inputs!$B$9/12)</f>
        <v>19.6725092716206</v>
      </c>
      <c r="CY6" s="0" t="n">
        <f aca="false">MIN(CY5,CX6*(1-Inputs!$B$9/12)*(1+Inputs!$B$8)^(1/36)+CY5*Inputs!$B$9/12)</f>
        <v>19.7643118191346</v>
      </c>
      <c r="CZ6" s="0" t="n">
        <f aca="false">MIN(CZ5,CY6*(1-Inputs!$B$9/12)*(1+Inputs!$B$8)^(1/36)+CZ5*Inputs!$B$9/12)</f>
        <v>19.856278915029</v>
      </c>
      <c r="DA6" s="0" t="n">
        <f aca="false">MIN(DA5,CZ6*(1-Inputs!$B$9/12)*(1+Inputs!$B$8)^(1/36)+DA5*Inputs!$B$9/12)</f>
        <v>19.9484113092014</v>
      </c>
      <c r="DB6" s="0" t="n">
        <f aca="false">MIN(DB5,DA6*(1-Inputs!$B$9/12)*(1+Inputs!$B$8)^(1/36)+DB5*Inputs!$B$9/12)</f>
        <v>20.0407097529243</v>
      </c>
      <c r="DC6" s="0" t="n">
        <f aca="false">MIN(DC5,DB6*(1-Inputs!$B$9/12)*(1+Inputs!$B$8)^(1/36)+DC5*Inputs!$B$9/12)</f>
        <v>20.1331749988516</v>
      </c>
      <c r="DD6" s="0" t="n">
        <f aca="false">MIN(DD5,DC6*(1-Inputs!$B$9/12)*(1+Inputs!$B$8)^(1/36)+DD5*Inputs!$B$9/12)</f>
        <v>20.2258078010246</v>
      </c>
      <c r="DE6" s="0" t="n">
        <f aca="false">MIN(DE5,DD6*(1-Inputs!$B$9/12)*(1+Inputs!$B$8)^(1/36)+DE5*Inputs!$B$9/12)</f>
        <v>20.3186089148781</v>
      </c>
      <c r="DF6" s="0" t="n">
        <f aca="false">MIN(DF5,DE6*(1-Inputs!$B$9/12)*(1+Inputs!$B$8)^(1/36)+DF5*Inputs!$B$9/12)</f>
        <v>20.4115790972464</v>
      </c>
      <c r="DG6" s="0" t="n">
        <f aca="false">MIN(DG5,DF6*(1-Inputs!$B$9/12)*(1+Inputs!$B$8)^(1/36)+DG5*Inputs!$B$9/12)</f>
        <v>20.50471910637</v>
      </c>
      <c r="DH6" s="0" t="n">
        <f aca="false">MIN(DH5,DG6*(1-Inputs!$B$9/12)*(1+Inputs!$B$8)^(1/36)+DH5*Inputs!$B$9/12)</f>
        <v>20.5980297019013</v>
      </c>
      <c r="DI6" s="0" t="n">
        <f aca="false">MIN(DI5,DH6*(1-Inputs!$B$9/12)*(1+Inputs!$B$8)^(1/36)+DI5*Inputs!$B$9/12)</f>
        <v>20.6915116449109</v>
      </c>
      <c r="DJ6" s="0" t="n">
        <f aca="false">MIN(DJ5,DI6*(1-Inputs!$B$9/12)*(1+Inputs!$B$8)^(1/36)+DJ5*Inputs!$B$9/12)</f>
        <v>20.785165697894</v>
      </c>
      <c r="DK6" s="0" t="n">
        <f aca="false">MIN(DK5,DJ6*(1-Inputs!$B$9/12)*(1+Inputs!$B$8)^(1/36)+DK5*Inputs!$B$9/12)</f>
        <v>20.8789926247765</v>
      </c>
      <c r="DL6" s="0" t="n">
        <f aca="false">MIN(DL5,DK6*(1-Inputs!$B$9/12)*(1+Inputs!$B$8)^(1/36)+DL5*Inputs!$B$9/12)</f>
        <v>20.972993190921</v>
      </c>
      <c r="DM6" s="0" t="n">
        <f aca="false">MIN(DM5,DL6*(1-Inputs!$B$9/12)*(1+Inputs!$B$8)^(1/36)+DM5*Inputs!$B$9/12)</f>
        <v>21.0671681631335</v>
      </c>
      <c r="DN6" s="0" t="n">
        <f aca="false">MIN(DN5,DM6*(1-Inputs!$B$9/12)*(1+Inputs!$B$8)^(1/36)+DN5*Inputs!$B$9/12)</f>
        <v>21.1615183096693</v>
      </c>
      <c r="DO6" s="0" t="n">
        <f aca="false">MIN(DO5,DN6*(1-Inputs!$B$9/12)*(1+Inputs!$B$8)^(1/36)+DO5*Inputs!$B$9/12)</f>
        <v>21.2560444002395</v>
      </c>
      <c r="DP6" s="0" t="n">
        <f aca="false">MIN(DP5,DO6*(1-Inputs!$B$9/12)*(1+Inputs!$B$8)^(1/36)+DP5*Inputs!$B$9/12)</f>
        <v>21.350747206017</v>
      </c>
      <c r="DQ6" s="0" t="n">
        <f aca="false">MIN(DQ5,DP6*(1-Inputs!$B$9/12)*(1+Inputs!$B$8)^(1/36)+DQ5*Inputs!$B$9/12)</f>
        <v>21.4456274996432</v>
      </c>
      <c r="DR6" s="0" t="n">
        <f aca="false">MIN(DR5,DQ6*(1-Inputs!$B$9/12)*(1+Inputs!$B$8)^(1/36)+DR5*Inputs!$B$9/12)</f>
        <v>21.5406860552338</v>
      </c>
      <c r="DS6" s="0" t="n">
        <f aca="false">MIN(DS5,DR6*(1-Inputs!$B$9/12)*(1+Inputs!$B$8)^(1/36)+DS5*Inputs!$B$9/12)</f>
        <v>21.6359236483856</v>
      </c>
      <c r="DT6" s="0" t="n">
        <f aca="false">MIN(DT5,DS6*(1-Inputs!$B$9/12)*(1+Inputs!$B$8)^(1/36)+DT5*Inputs!$B$9/12)</f>
        <v>21.7313410561825</v>
      </c>
      <c r="DU6" s="0" t="n">
        <f aca="false">MIN(DU5,DT6*(1-Inputs!$B$9/12)*(1+Inputs!$B$8)^(1/36)+DU5*Inputs!$B$9/12)</f>
        <v>21.8269390572021</v>
      </c>
      <c r="DV6" s="0" t="n">
        <f aca="false">MIN(DV5,DU6*(1-Inputs!$B$9/12)*(1+Inputs!$B$8)^(1/36)+DV5*Inputs!$B$9/12)</f>
        <v>21.9227184315217</v>
      </c>
      <c r="DW6" s="0" t="n">
        <f aca="false">MIN(DW5,DV6*(1-Inputs!$B$9/12)*(1+Inputs!$B$8)^(1/36)+DW5*Inputs!$B$9/12)</f>
        <v>22.0186799607251</v>
      </c>
      <c r="DX6" s="0" t="n">
        <f aca="false">MIN(DX5,DW6*(1-Inputs!$B$9/12)*(1+Inputs!$B$8)^(1/36)+DX5*Inputs!$B$9/12)</f>
        <v>22.1148244279086</v>
      </c>
      <c r="DY6" s="0" t="n">
        <f aca="false">MIN(DY5,DX6*(1-Inputs!$B$9/12)*(1+Inputs!$B$8)^(1/36)+DY5*Inputs!$B$9/12)</f>
        <v>22.2111526176876</v>
      </c>
      <c r="DZ6" s="0" t="n">
        <f aca="false">MIN(DZ5,DY6*(1-Inputs!$B$9/12)*(1+Inputs!$B$8)^(1/36)+DZ5*Inputs!$B$9/12)</f>
        <v>22.307665316203</v>
      </c>
      <c r="EA6" s="0" t="n">
        <f aca="false">MIN(EA5,DZ6*(1-Inputs!$B$9/12)*(1+Inputs!$B$8)^(1/36)+EA5*Inputs!$B$9/12)</f>
        <v>22.4043633111276</v>
      </c>
      <c r="EB6" s="0" t="n">
        <f aca="false">MIN(EB5,EA6*(1-Inputs!$B$9/12)*(1+Inputs!$B$8)^(1/36)+EB5*Inputs!$B$9/12)</f>
        <v>22.5012473916723</v>
      </c>
      <c r="EC6" s="0" t="n">
        <f aca="false">MIN(EC5,EB6*(1-Inputs!$B$9/12)*(1+Inputs!$B$8)^(1/36)+EC5*Inputs!$B$9/12)</f>
        <v>22.5983183485931</v>
      </c>
      <c r="ED6" s="0" t="n">
        <f aca="false">MIN(ED5,EC6*(1-Inputs!$B$9/12)*(1+Inputs!$B$8)^(1/36)+ED5*Inputs!$B$9/12)</f>
        <v>22.6955769741968</v>
      </c>
      <c r="EE6" s="0" t="n">
        <f aca="false">MIN(EE5,ED6*(1-Inputs!$B$9/12)*(1+Inputs!$B$8)^(1/36)+EE5*Inputs!$B$9/12)</f>
        <v>22.7930240623483</v>
      </c>
      <c r="EF6" s="0" t="n">
        <f aca="false">MIN(EF5,EE6*(1-Inputs!$B$9/12)*(1+Inputs!$B$8)^(1/36)+EF5*Inputs!$B$9/12)</f>
        <v>22.8906604084762</v>
      </c>
      <c r="EG6" s="0" t="n">
        <f aca="false">MIN(EG5,EF6*(1-Inputs!$B$9/12)*(1+Inputs!$B$8)^(1/36)+EG5*Inputs!$B$9/12)</f>
        <v>22.9884868095802</v>
      </c>
      <c r="EH6" s="0" t="n">
        <f aca="false">MIN(EH5,EG6*(1-Inputs!$B$9/12)*(1+Inputs!$B$8)^(1/36)+EH5*Inputs!$B$9/12)</f>
        <v>23.0865040642367</v>
      </c>
      <c r="EI6" s="0" t="n">
        <f aca="false">MIN(EI5,EH6*(1-Inputs!$B$9/12)*(1+Inputs!$B$8)^(1/36)+EI5*Inputs!$B$9/12)</f>
        <v>23.1847129726062</v>
      </c>
      <c r="EJ6" s="0" t="n">
        <f aca="false">MIN(EJ5,EI6*(1-Inputs!$B$9/12)*(1+Inputs!$B$8)^(1/36)+EJ5*Inputs!$B$9/12)</f>
        <v>23.2831143364391</v>
      </c>
      <c r="EK6" s="0" t="n">
        <f aca="false">MIN(EK5,EJ6*(1-Inputs!$B$9/12)*(1+Inputs!$B$8)^(1/36)+EK5*Inputs!$B$9/12)</f>
        <v>23.3817089590828</v>
      </c>
      <c r="EL6" s="0" t="n">
        <f aca="false">MIN(EL5,EK6*(1-Inputs!$B$9/12)*(1+Inputs!$B$8)^(1/36)+EL5*Inputs!$B$9/12)</f>
        <v>23.4804976454877</v>
      </c>
      <c r="EM6" s="0" t="n">
        <f aca="false">MIN(EM5,EL6*(1-Inputs!$B$9/12)*(1+Inputs!$B$8)^(1/36)+EM5*Inputs!$B$9/12)</f>
        <v>23.5794812022145</v>
      </c>
      <c r="EN6" s="0" t="n">
        <f aca="false">MIN(EN5,EM6*(1-Inputs!$B$9/12)*(1+Inputs!$B$8)^(1/36)+EN5*Inputs!$B$9/12)</f>
        <v>23.67866043744</v>
      </c>
      <c r="EO6" s="0" t="n">
        <f aca="false">MIN(EO5,EN6*(1-Inputs!$B$9/12)*(1+Inputs!$B$8)^(1/36)+EO5*Inputs!$B$9/12)</f>
        <v>23.7780361609642</v>
      </c>
      <c r="EP6" s="0" t="n">
        <f aca="false">MIN(EP5,EO6*(1-Inputs!$B$9/12)*(1+Inputs!$B$8)^(1/36)+EP5*Inputs!$B$9/12)</f>
        <v>23.877609184217</v>
      </c>
      <c r="EQ6" s="0" t="n">
        <f aca="false">MIN(EQ5,EP6*(1-Inputs!$B$9/12)*(1+Inputs!$B$8)^(1/36)+EQ5*Inputs!$B$9/12)</f>
        <v>23.9773803202643</v>
      </c>
      <c r="ER6" s="0" t="n">
        <f aca="false">MIN(ER5,EQ6*(1-Inputs!$B$9/12)*(1+Inputs!$B$8)^(1/36)+ER5*Inputs!$B$9/12)</f>
        <v>24.0773503838151</v>
      </c>
      <c r="ES6" s="0" t="n">
        <f aca="false">MIN(ES5,ER6*(1-Inputs!$B$9/12)*(1+Inputs!$B$8)^(1/36)+ES5*Inputs!$B$9/12)</f>
        <v>24.1775201912281</v>
      </c>
      <c r="ET6" s="0" t="n">
        <f aca="false">MIN(ET5,ES6*(1-Inputs!$B$9/12)*(1+Inputs!$B$8)^(1/36)+ET5*Inputs!$B$9/12)</f>
        <v>24.2778905605181</v>
      </c>
      <c r="EU6" s="0" t="n">
        <f aca="false">MIN(EU5,ET6*(1-Inputs!$B$9/12)*(1+Inputs!$B$8)^(1/36)+EU5*Inputs!$B$9/12)</f>
        <v>24.378462311363</v>
      </c>
      <c r="EV6" s="0" t="n">
        <f aca="false">MIN(EV5,EU6*(1-Inputs!$B$9/12)*(1+Inputs!$B$8)^(1/36)+EV5*Inputs!$B$9/12)</f>
        <v>24.4792362651102</v>
      </c>
      <c r="EW6" s="0" t="n">
        <f aca="false">MIN(EW5,EV6*(1-Inputs!$B$9/12)*(1+Inputs!$B$8)^(1/36)+EW5*Inputs!$B$9/12)</f>
        <v>24.5802132447838</v>
      </c>
      <c r="EX6" s="0" t="n">
        <f aca="false">MIN(EX5,EW6*(1-Inputs!$B$9/12)*(1+Inputs!$B$8)^(1/36)+EX5*Inputs!$B$9/12)</f>
        <v>24.6813940750905</v>
      </c>
      <c r="EY6" s="0" t="n">
        <f aca="false">MIN(EY5,EX6*(1-Inputs!$B$9/12)*(1+Inputs!$B$8)^(1/36)+EY5*Inputs!$B$9/12)</f>
        <v>24.7827795824272</v>
      </c>
      <c r="EZ6" s="0" t="n">
        <f aca="false">MIN(EZ5,EY6*(1-Inputs!$B$9/12)*(1+Inputs!$B$8)^(1/36)+EZ5*Inputs!$B$9/12)</f>
        <v>24.8843705948874</v>
      </c>
      <c r="FA6" s="0" t="n">
        <f aca="false">MIN(FA5,EZ6*(1-Inputs!$B$9/12)*(1+Inputs!$B$8)^(1/36)+FA5*Inputs!$B$9/12)</f>
        <v>24.9861679422675</v>
      </c>
      <c r="FB6" s="0" t="n">
        <f aca="false">MIN(FB5,FA6*(1-Inputs!$B$9/12)*(1+Inputs!$B$8)^(1/36)+FB5*Inputs!$B$9/12)</f>
        <v>25.0881724560746</v>
      </c>
      <c r="FC6" s="0" t="n">
        <f aca="false">MIN(FC5,FB6*(1-Inputs!$B$9/12)*(1+Inputs!$B$8)^(1/36)+FC5*Inputs!$B$9/12)</f>
        <v>25.1903849695324</v>
      </c>
      <c r="FD6" s="0" t="n">
        <f aca="false">MIN(FD5,FC6*(1-Inputs!$B$9/12)*(1+Inputs!$B$8)^(1/36)+FD5*Inputs!$B$9/12)</f>
        <v>25.2928063175883</v>
      </c>
      <c r="FE6" s="0" t="n">
        <f aca="false">MIN(FE5,FD6*(1-Inputs!$B$9/12)*(1+Inputs!$B$8)^(1/36)+FE5*Inputs!$B$9/12)</f>
        <v>25.3954373369203</v>
      </c>
      <c r="FF6" s="0" t="n">
        <f aca="false">MIN(FF5,FE6*(1-Inputs!$B$9/12)*(1+Inputs!$B$8)^(1/36)+FF5*Inputs!$B$9/12)</f>
        <v>25.4982788659438</v>
      </c>
      <c r="FG6" s="0" t="n">
        <f aca="false">MIN(FG5,FF6*(1-Inputs!$B$9/12)*(1+Inputs!$B$8)^(1/36)+FG5*Inputs!$B$9/12)</f>
        <v>25.6013317448185</v>
      </c>
      <c r="FH6" s="0" t="n">
        <f aca="false">MIN(FH5,FG6*(1-Inputs!$B$9/12)*(1+Inputs!$B$8)^(1/36)+FH5*Inputs!$B$9/12)</f>
        <v>25.7045968154551</v>
      </c>
      <c r="FI6" s="0" t="n">
        <f aca="false">MIN(FI5,FH6*(1-Inputs!$B$9/12)*(1+Inputs!$B$8)^(1/36)+FI5*Inputs!$B$9/12)</f>
        <v>25.8080749215223</v>
      </c>
      <c r="FJ6" s="0" t="n">
        <f aca="false">MIN(FJ5,FI6*(1-Inputs!$B$9/12)*(1+Inputs!$B$8)^(1/36)+FJ5*Inputs!$B$9/12)</f>
        <v>25.9117669084536</v>
      </c>
      <c r="FK6" s="0" t="n">
        <f aca="false">MIN(FK5,FJ6*(1-Inputs!$B$9/12)*(1+Inputs!$B$8)^(1/36)+FK5*Inputs!$B$9/12)</f>
        <v>26.0156736234544</v>
      </c>
      <c r="FL6" s="0" t="n">
        <f aca="false">MIN(FL5,FK6*(1-Inputs!$B$9/12)*(1+Inputs!$B$8)^(1/36)+FL5*Inputs!$B$9/12)</f>
        <v>26.1197959155088</v>
      </c>
      <c r="FM6" s="0" t="n">
        <f aca="false">MIN(FM5,FL6*(1-Inputs!$B$9/12)*(1+Inputs!$B$8)^(1/36)+FM5*Inputs!$B$9/12)</f>
        <v>26.2241346353864</v>
      </c>
      <c r="FN6" s="0" t="n">
        <f aca="false">MIN(FN5,FM6*(1-Inputs!$B$9/12)*(1+Inputs!$B$8)^(1/36)+FN5*Inputs!$B$9/12)</f>
        <v>26.3286906356495</v>
      </c>
      <c r="FO6" s="0" t="n">
        <f aca="false">MIN(FO5,FN6*(1-Inputs!$B$9/12)*(1+Inputs!$B$8)^(1/36)+FO5*Inputs!$B$9/12)</f>
        <v>26.4334647706601</v>
      </c>
      <c r="FP6" s="0" t="n">
        <f aca="false">MIN(FP5,FO6*(1-Inputs!$B$9/12)*(1+Inputs!$B$8)^(1/36)+FP5*Inputs!$B$9/12)</f>
        <v>26.5384578965864</v>
      </c>
      <c r="FQ6" s="0" t="n">
        <f aca="false">MIN(FQ5,FP6*(1-Inputs!$B$9/12)*(1+Inputs!$B$8)^(1/36)+FQ5*Inputs!$B$9/12)</f>
        <v>26.6436708714105</v>
      </c>
      <c r="FR6" s="0" t="n">
        <f aca="false">MIN(FR5,FQ6*(1-Inputs!$B$9/12)*(1+Inputs!$B$8)^(1/36)+FR5*Inputs!$B$9/12)</f>
        <v>26.7491045549348</v>
      </c>
      <c r="FS6" s="0" t="n">
        <f aca="false">MIN(FS5,FR6*(1-Inputs!$B$9/12)*(1+Inputs!$B$8)^(1/36)+FS5*Inputs!$B$9/12)</f>
        <v>26.8547598087894</v>
      </c>
      <c r="FT6" s="0" t="n">
        <f aca="false">MIN(FT5,FS6*(1-Inputs!$B$9/12)*(1+Inputs!$B$8)^(1/36)+FT5*Inputs!$B$9/12)</f>
        <v>26.9606374964389</v>
      </c>
      <c r="FU6" s="0" t="n">
        <f aca="false">MIN(FU5,FT6*(1-Inputs!$B$9/12)*(1+Inputs!$B$8)^(1/36)+FU5*Inputs!$B$9/12)</f>
        <v>27.0667384831899</v>
      </c>
      <c r="FV6" s="0" t="n">
        <f aca="false">MIN(FV5,FU6*(1-Inputs!$B$9/12)*(1+Inputs!$B$8)^(1/36)+FV5*Inputs!$B$9/12)</f>
        <v>27.1730636361974</v>
      </c>
      <c r="FW6" s="0" t="n">
        <f aca="false">MIN(FW5,FV6*(1-Inputs!$B$9/12)*(1+Inputs!$B$8)^(1/36)+FW5*Inputs!$B$9/12)</f>
        <v>27.2796138244724</v>
      </c>
      <c r="FX6" s="0" t="n">
        <f aca="false">MIN(FX5,FW6*(1-Inputs!$B$9/12)*(1+Inputs!$B$8)^(1/36)+FX5*Inputs!$B$9/12)</f>
        <v>27.3863899188889</v>
      </c>
      <c r="FY6" s="0" t="n">
        <f aca="false">MIN(FY5,FX6*(1-Inputs!$B$9/12)*(1+Inputs!$B$8)^(1/36)+FY5*Inputs!$B$9/12)</f>
        <v>27.4933927921909</v>
      </c>
      <c r="FZ6" s="0" t="n">
        <f aca="false">MIN(FZ5,FY6*(1-Inputs!$B$9/12)*(1+Inputs!$B$8)^(1/36)+FZ5*Inputs!$B$9/12)</f>
        <v>27.6006233189995</v>
      </c>
    </row>
    <row r="7" customFormat="false" ht="15" hidden="false" customHeight="false" outlineLevel="0" collapsed="false">
      <c r="A7" s="0" t="s">
        <v>28</v>
      </c>
      <c r="B7" s="0" t="n">
        <f aca="false">IF(AND(B$3&gt;=Groups!$E$2,MOD(B$3-Groups!$E$2,Groups!$D$2*12)=0),Groups!$B$2*Inputs!$B$16,0)</f>
        <v>0</v>
      </c>
      <c r="C7" s="0" t="n">
        <f aca="false">IF(AND(C$3&gt;=Groups!$E$2,MOD(C$3-Groups!$E$2,Groups!$D$2*12)=0),Groups!$B$2*Inputs!$B$16,0)</f>
        <v>0</v>
      </c>
      <c r="D7" s="0" t="n">
        <f aca="false">IF(AND(D$3&gt;=Groups!$E$2,MOD(D$3-Groups!$E$2,Groups!$D$2*12)=0),Groups!$B$2*Inputs!$B$16,0)</f>
        <v>0</v>
      </c>
      <c r="E7" s="0" t="n">
        <f aca="false">IF(AND(E$3&gt;=Groups!$E$2,MOD(E$3-Groups!$E$2,Groups!$D$2*12)=0),Groups!$B$2*Inputs!$B$16,0)</f>
        <v>0</v>
      </c>
      <c r="F7" s="0" t="n">
        <f aca="false">IF(AND(F$3&gt;=Groups!$E$2,MOD(F$3-Groups!$E$2,Groups!$D$2*12)=0),Groups!$B$2*Inputs!$B$16,0)</f>
        <v>0</v>
      </c>
      <c r="G7" s="0" t="n">
        <f aca="false">IF(AND(G$3&gt;=Groups!$E$2,MOD(G$3-Groups!$E$2,Groups!$D$2*12)=0),Groups!$B$2*Inputs!$B$16,0)</f>
        <v>0</v>
      </c>
      <c r="H7" s="0" t="n">
        <f aca="false">IF(AND(H$3&gt;=Groups!$E$2,MOD(H$3-Groups!$E$2,Groups!$D$2*12)=0),Groups!$B$2*Inputs!$B$16,0)</f>
        <v>0</v>
      </c>
      <c r="I7" s="0" t="n">
        <f aca="false">IF(AND(I$3&gt;=Groups!$E$2,MOD(I$3-Groups!$E$2,Groups!$D$2*12)=0),Groups!$B$2*Inputs!$B$16,0)</f>
        <v>0</v>
      </c>
      <c r="J7" s="0" t="n">
        <f aca="false">IF(AND(J$3&gt;=Groups!$E$2,MOD(J$3-Groups!$E$2,Groups!$D$2*12)=0),Groups!$B$2*Inputs!$B$16,0)</f>
        <v>0</v>
      </c>
      <c r="K7" s="0" t="n">
        <f aca="false">IF(AND(K$3&gt;=Groups!$E$2,MOD(K$3-Groups!$E$2,Groups!$D$2*12)=0),Groups!$B$2*Inputs!$B$16,0)</f>
        <v>0</v>
      </c>
      <c r="L7" s="0" t="n">
        <f aca="false">IF(AND(L$3&gt;=Groups!$E$2,MOD(L$3-Groups!$E$2,Groups!$D$2*12)=0),Groups!$B$2*Inputs!$B$16,0)</f>
        <v>0</v>
      </c>
      <c r="M7" s="0" t="n">
        <f aca="false">IF(AND(M$3&gt;=Groups!$E$2,MOD(M$3-Groups!$E$2,Groups!$D$2*12)=0),Groups!$B$2*Inputs!$B$16,0)</f>
        <v>0</v>
      </c>
      <c r="N7" s="0" t="n">
        <f aca="false">IF(AND(N$3&gt;=Groups!$E$2,MOD(N$3-Groups!$E$2,Groups!$D$2*12)=0),Groups!$B$2*Inputs!$B$16,0)</f>
        <v>0</v>
      </c>
      <c r="O7" s="0" t="n">
        <f aca="false">IF(AND(O$3&gt;=Groups!$E$2,MOD(O$3-Groups!$E$2,Groups!$D$2*12)=0),Groups!$B$2*Inputs!$B$16,0)</f>
        <v>0</v>
      </c>
      <c r="P7" s="0" t="n">
        <f aca="false">IF(AND(P$3&gt;=Groups!$E$2,MOD(P$3-Groups!$E$2,Groups!$D$2*12)=0),Groups!$B$2*Inputs!$B$16,0)</f>
        <v>15960000</v>
      </c>
      <c r="Q7" s="0" t="n">
        <f aca="false">IF(AND(Q$3&gt;=Groups!$E$2,MOD(Q$3-Groups!$E$2,Groups!$D$2*12)=0),Groups!$B$2*Inputs!$B$16,0)</f>
        <v>0</v>
      </c>
      <c r="R7" s="0" t="n">
        <f aca="false">IF(AND(R$3&gt;=Groups!$E$2,MOD(R$3-Groups!$E$2,Groups!$D$2*12)=0),Groups!$B$2*Inputs!$B$16,0)</f>
        <v>0</v>
      </c>
      <c r="S7" s="0" t="n">
        <f aca="false">IF(AND(S$3&gt;=Groups!$E$2,MOD(S$3-Groups!$E$2,Groups!$D$2*12)=0),Groups!$B$2*Inputs!$B$16,0)</f>
        <v>0</v>
      </c>
      <c r="T7" s="0" t="n">
        <f aca="false">IF(AND(T$3&gt;=Groups!$E$2,MOD(T$3-Groups!$E$2,Groups!$D$2*12)=0),Groups!$B$2*Inputs!$B$16,0)</f>
        <v>0</v>
      </c>
      <c r="U7" s="0" t="n">
        <f aca="false">IF(AND(U$3&gt;=Groups!$E$2,MOD(U$3-Groups!$E$2,Groups!$D$2*12)=0),Groups!$B$2*Inputs!$B$16,0)</f>
        <v>0</v>
      </c>
      <c r="V7" s="0" t="n">
        <f aca="false">IF(AND(V$3&gt;=Groups!$E$2,MOD(V$3-Groups!$E$2,Groups!$D$2*12)=0),Groups!$B$2*Inputs!$B$16,0)</f>
        <v>0</v>
      </c>
      <c r="W7" s="0" t="n">
        <f aca="false">IF(AND(W$3&gt;=Groups!$E$2,MOD(W$3-Groups!$E$2,Groups!$D$2*12)=0),Groups!$B$2*Inputs!$B$16,0)</f>
        <v>0</v>
      </c>
      <c r="X7" s="0" t="n">
        <f aca="false">IF(AND(X$3&gt;=Groups!$E$2,MOD(X$3-Groups!$E$2,Groups!$D$2*12)=0),Groups!$B$2*Inputs!$B$16,0)</f>
        <v>0</v>
      </c>
      <c r="Y7" s="0" t="n">
        <f aca="false">IF(AND(Y$3&gt;=Groups!$E$2,MOD(Y$3-Groups!$E$2,Groups!$D$2*12)=0),Groups!$B$2*Inputs!$B$16,0)</f>
        <v>0</v>
      </c>
      <c r="Z7" s="0" t="n">
        <f aca="false">IF(AND(Z$3&gt;=Groups!$E$2,MOD(Z$3-Groups!$E$2,Groups!$D$2*12)=0),Groups!$B$2*Inputs!$B$16,0)</f>
        <v>0</v>
      </c>
      <c r="AA7" s="0" t="n">
        <f aca="false">IF(AND(AA$3&gt;=Groups!$E$2,MOD(AA$3-Groups!$E$2,Groups!$D$2*12)=0),Groups!$B$2*Inputs!$B$16,0)</f>
        <v>0</v>
      </c>
      <c r="AB7" s="0" t="n">
        <f aca="false">IF(AND(AB$3&gt;=Groups!$E$2,MOD(AB$3-Groups!$E$2,Groups!$D$2*12)=0),Groups!$B$2*Inputs!$B$16,0)</f>
        <v>0</v>
      </c>
      <c r="AC7" s="0" t="n">
        <f aca="false">IF(AND(AC$3&gt;=Groups!$E$2,MOD(AC$3-Groups!$E$2,Groups!$D$2*12)=0),Groups!$B$2*Inputs!$B$16,0)</f>
        <v>0</v>
      </c>
      <c r="AD7" s="0" t="n">
        <f aca="false">IF(AND(AD$3&gt;=Groups!$E$2,MOD(AD$3-Groups!$E$2,Groups!$D$2*12)=0),Groups!$B$2*Inputs!$B$16,0)</f>
        <v>0</v>
      </c>
      <c r="AE7" s="0" t="n">
        <f aca="false">IF(AND(AE$3&gt;=Groups!$E$2,MOD(AE$3-Groups!$E$2,Groups!$D$2*12)=0),Groups!$B$2*Inputs!$B$16,0)</f>
        <v>0</v>
      </c>
      <c r="AF7" s="0" t="n">
        <f aca="false">IF(AND(AF$3&gt;=Groups!$E$2,MOD(AF$3-Groups!$E$2,Groups!$D$2*12)=0),Groups!$B$2*Inputs!$B$16,0)</f>
        <v>0</v>
      </c>
      <c r="AG7" s="0" t="n">
        <f aca="false">IF(AND(AG$3&gt;=Groups!$E$2,MOD(AG$3-Groups!$E$2,Groups!$D$2*12)=0),Groups!$B$2*Inputs!$B$16,0)</f>
        <v>0</v>
      </c>
      <c r="AH7" s="0" t="n">
        <f aca="false">IF(AND(AH$3&gt;=Groups!$E$2,MOD(AH$3-Groups!$E$2,Groups!$D$2*12)=0),Groups!$B$2*Inputs!$B$16,0)</f>
        <v>0</v>
      </c>
      <c r="AI7" s="0" t="n">
        <f aca="false">IF(AND(AI$3&gt;=Groups!$E$2,MOD(AI$3-Groups!$E$2,Groups!$D$2*12)=0),Groups!$B$2*Inputs!$B$16,0)</f>
        <v>0</v>
      </c>
      <c r="AJ7" s="0" t="n">
        <f aca="false">IF(AND(AJ$3&gt;=Groups!$E$2,MOD(AJ$3-Groups!$E$2,Groups!$D$2*12)=0),Groups!$B$2*Inputs!$B$16,0)</f>
        <v>0</v>
      </c>
      <c r="AK7" s="0" t="n">
        <f aca="false">IF(AND(AK$3&gt;=Groups!$E$2,MOD(AK$3-Groups!$E$2,Groups!$D$2*12)=0),Groups!$B$2*Inputs!$B$16,0)</f>
        <v>0</v>
      </c>
      <c r="AL7" s="0" t="n">
        <f aca="false">IF(AND(AL$3&gt;=Groups!$E$2,MOD(AL$3-Groups!$E$2,Groups!$D$2*12)=0),Groups!$B$2*Inputs!$B$16,0)</f>
        <v>0</v>
      </c>
      <c r="AM7" s="0" t="n">
        <f aca="false">IF(AND(AM$3&gt;=Groups!$E$2,MOD(AM$3-Groups!$E$2,Groups!$D$2*12)=0),Groups!$B$2*Inputs!$B$16,0)</f>
        <v>0</v>
      </c>
      <c r="AN7" s="0" t="n">
        <f aca="false">IF(AND(AN$3&gt;=Groups!$E$2,MOD(AN$3-Groups!$E$2,Groups!$D$2*12)=0),Groups!$B$2*Inputs!$B$16,0)</f>
        <v>0</v>
      </c>
      <c r="AO7" s="0" t="n">
        <f aca="false">IF(AND(AO$3&gt;=Groups!$E$2,MOD(AO$3-Groups!$E$2,Groups!$D$2*12)=0),Groups!$B$2*Inputs!$B$16,0)</f>
        <v>0</v>
      </c>
      <c r="AP7" s="0" t="n">
        <f aca="false">IF(AND(AP$3&gt;=Groups!$E$2,MOD(AP$3-Groups!$E$2,Groups!$D$2*12)=0),Groups!$B$2*Inputs!$B$16,0)</f>
        <v>0</v>
      </c>
      <c r="AQ7" s="0" t="n">
        <f aca="false">IF(AND(AQ$3&gt;=Groups!$E$2,MOD(AQ$3-Groups!$E$2,Groups!$D$2*12)=0),Groups!$B$2*Inputs!$B$16,0)</f>
        <v>0</v>
      </c>
      <c r="AR7" s="0" t="n">
        <f aca="false">IF(AND(AR$3&gt;=Groups!$E$2,MOD(AR$3-Groups!$E$2,Groups!$D$2*12)=0),Groups!$B$2*Inputs!$B$16,0)</f>
        <v>0</v>
      </c>
      <c r="AS7" s="0" t="n">
        <f aca="false">IF(AND(AS$3&gt;=Groups!$E$2,MOD(AS$3-Groups!$E$2,Groups!$D$2*12)=0),Groups!$B$2*Inputs!$B$16,0)</f>
        <v>0</v>
      </c>
      <c r="AT7" s="0" t="n">
        <f aca="false">IF(AND(AT$3&gt;=Groups!$E$2,MOD(AT$3-Groups!$E$2,Groups!$D$2*12)=0),Groups!$B$2*Inputs!$B$16,0)</f>
        <v>0</v>
      </c>
      <c r="AU7" s="0" t="n">
        <f aca="false">IF(AND(AU$3&gt;=Groups!$E$2,MOD(AU$3-Groups!$E$2,Groups!$D$2*12)=0),Groups!$B$2*Inputs!$B$16,0)</f>
        <v>0</v>
      </c>
      <c r="AV7" s="0" t="n">
        <f aca="false">IF(AND(AV$3&gt;=Groups!$E$2,MOD(AV$3-Groups!$E$2,Groups!$D$2*12)=0),Groups!$B$2*Inputs!$B$16,0)</f>
        <v>0</v>
      </c>
      <c r="AW7" s="0" t="n">
        <f aca="false">IF(AND(AW$3&gt;=Groups!$E$2,MOD(AW$3-Groups!$E$2,Groups!$D$2*12)=0),Groups!$B$2*Inputs!$B$16,0)</f>
        <v>0</v>
      </c>
      <c r="AX7" s="0" t="n">
        <f aca="false">IF(AND(AX$3&gt;=Groups!$E$2,MOD(AX$3-Groups!$E$2,Groups!$D$2*12)=0),Groups!$B$2*Inputs!$B$16,0)</f>
        <v>0</v>
      </c>
      <c r="AY7" s="0" t="n">
        <f aca="false">IF(AND(AY$3&gt;=Groups!$E$2,MOD(AY$3-Groups!$E$2,Groups!$D$2*12)=0),Groups!$B$2*Inputs!$B$16,0)</f>
        <v>0</v>
      </c>
      <c r="AZ7" s="0" t="n">
        <f aca="false">IF(AND(AZ$3&gt;=Groups!$E$2,MOD(AZ$3-Groups!$E$2,Groups!$D$2*12)=0),Groups!$B$2*Inputs!$B$16,0)</f>
        <v>0</v>
      </c>
      <c r="BA7" s="0" t="n">
        <f aca="false">IF(AND(BA$3&gt;=Groups!$E$2,MOD(BA$3-Groups!$E$2,Groups!$D$2*12)=0),Groups!$B$2*Inputs!$B$16,0)</f>
        <v>0</v>
      </c>
      <c r="BB7" s="0" t="n">
        <f aca="false">IF(AND(BB$3&gt;=Groups!$E$2,MOD(BB$3-Groups!$E$2,Groups!$D$2*12)=0),Groups!$B$2*Inputs!$B$16,0)</f>
        <v>0</v>
      </c>
      <c r="BC7" s="0" t="n">
        <f aca="false">IF(AND(BC$3&gt;=Groups!$E$2,MOD(BC$3-Groups!$E$2,Groups!$D$2*12)=0),Groups!$B$2*Inputs!$B$16,0)</f>
        <v>0</v>
      </c>
      <c r="BD7" s="0" t="n">
        <f aca="false">IF(AND(BD$3&gt;=Groups!$E$2,MOD(BD$3-Groups!$E$2,Groups!$D$2*12)=0),Groups!$B$2*Inputs!$B$16,0)</f>
        <v>0</v>
      </c>
      <c r="BE7" s="0" t="n">
        <f aca="false">IF(AND(BE$3&gt;=Groups!$E$2,MOD(BE$3-Groups!$E$2,Groups!$D$2*12)=0),Groups!$B$2*Inputs!$B$16,0)</f>
        <v>0</v>
      </c>
      <c r="BF7" s="0" t="n">
        <f aca="false">IF(AND(BF$3&gt;=Groups!$E$2,MOD(BF$3-Groups!$E$2,Groups!$D$2*12)=0),Groups!$B$2*Inputs!$B$16,0)</f>
        <v>0</v>
      </c>
      <c r="BG7" s="0" t="n">
        <f aca="false">IF(AND(BG$3&gt;=Groups!$E$2,MOD(BG$3-Groups!$E$2,Groups!$D$2*12)=0),Groups!$B$2*Inputs!$B$16,0)</f>
        <v>0</v>
      </c>
      <c r="BH7" s="0" t="n">
        <f aca="false">IF(AND(BH$3&gt;=Groups!$E$2,MOD(BH$3-Groups!$E$2,Groups!$D$2*12)=0),Groups!$B$2*Inputs!$B$16,0)</f>
        <v>0</v>
      </c>
      <c r="BI7" s="0" t="n">
        <f aca="false">IF(AND(BI$3&gt;=Groups!$E$2,MOD(BI$3-Groups!$E$2,Groups!$D$2*12)=0),Groups!$B$2*Inputs!$B$16,0)</f>
        <v>0</v>
      </c>
      <c r="BJ7" s="0" t="n">
        <f aca="false">IF(AND(BJ$3&gt;=Groups!$E$2,MOD(BJ$3-Groups!$E$2,Groups!$D$2*12)=0),Groups!$B$2*Inputs!$B$16,0)</f>
        <v>0</v>
      </c>
      <c r="BK7" s="0" t="n">
        <f aca="false">IF(AND(BK$3&gt;=Groups!$E$2,MOD(BK$3-Groups!$E$2,Groups!$D$2*12)=0),Groups!$B$2*Inputs!$B$16,0)</f>
        <v>0</v>
      </c>
      <c r="BL7" s="0" t="n">
        <f aca="false">IF(AND(BL$3&gt;=Groups!$E$2,MOD(BL$3-Groups!$E$2,Groups!$D$2*12)=0),Groups!$B$2*Inputs!$B$16,0)</f>
        <v>0</v>
      </c>
      <c r="BM7" s="0" t="n">
        <f aca="false">IF(AND(BM$3&gt;=Groups!$E$2,MOD(BM$3-Groups!$E$2,Groups!$D$2*12)=0),Groups!$B$2*Inputs!$B$16,0)</f>
        <v>0</v>
      </c>
      <c r="BN7" s="0" t="n">
        <f aca="false">IF(AND(BN$3&gt;=Groups!$E$2,MOD(BN$3-Groups!$E$2,Groups!$D$2*12)=0),Groups!$B$2*Inputs!$B$16,0)</f>
        <v>0</v>
      </c>
      <c r="BO7" s="0" t="n">
        <f aca="false">IF(AND(BO$3&gt;=Groups!$E$2,MOD(BO$3-Groups!$E$2,Groups!$D$2*12)=0),Groups!$B$2*Inputs!$B$16,0)</f>
        <v>0</v>
      </c>
      <c r="BP7" s="0" t="n">
        <f aca="false">IF(AND(BP$3&gt;=Groups!$E$2,MOD(BP$3-Groups!$E$2,Groups!$D$2*12)=0),Groups!$B$2*Inputs!$B$16,0)</f>
        <v>0</v>
      </c>
      <c r="BQ7" s="0" t="n">
        <f aca="false">IF(AND(BQ$3&gt;=Groups!$E$2,MOD(BQ$3-Groups!$E$2,Groups!$D$2*12)=0),Groups!$B$2*Inputs!$B$16,0)</f>
        <v>0</v>
      </c>
      <c r="BR7" s="0" t="n">
        <f aca="false">IF(AND(BR$3&gt;=Groups!$E$2,MOD(BR$3-Groups!$E$2,Groups!$D$2*12)=0),Groups!$B$2*Inputs!$B$16,0)</f>
        <v>0</v>
      </c>
      <c r="BS7" s="0" t="n">
        <f aca="false">IF(AND(BS$3&gt;=Groups!$E$2,MOD(BS$3-Groups!$E$2,Groups!$D$2*12)=0),Groups!$B$2*Inputs!$B$16,0)</f>
        <v>0</v>
      </c>
      <c r="BT7" s="0" t="n">
        <f aca="false">IF(AND(BT$3&gt;=Groups!$E$2,MOD(BT$3-Groups!$E$2,Groups!$D$2*12)=0),Groups!$B$2*Inputs!$B$16,0)</f>
        <v>0</v>
      </c>
      <c r="BU7" s="0" t="n">
        <f aca="false">IF(AND(BU$3&gt;=Groups!$E$2,MOD(BU$3-Groups!$E$2,Groups!$D$2*12)=0),Groups!$B$2*Inputs!$B$16,0)</f>
        <v>0</v>
      </c>
      <c r="BV7" s="0" t="n">
        <f aca="false">IF(AND(BV$3&gt;=Groups!$E$2,MOD(BV$3-Groups!$E$2,Groups!$D$2*12)=0),Groups!$B$2*Inputs!$B$16,0)</f>
        <v>0</v>
      </c>
      <c r="BW7" s="0" t="n">
        <f aca="false">IF(AND(BW$3&gt;=Groups!$E$2,MOD(BW$3-Groups!$E$2,Groups!$D$2*12)=0),Groups!$B$2*Inputs!$B$16,0)</f>
        <v>0</v>
      </c>
      <c r="BX7" s="0" t="n">
        <f aca="false">IF(AND(BX$3&gt;=Groups!$E$2,MOD(BX$3-Groups!$E$2,Groups!$D$2*12)=0),Groups!$B$2*Inputs!$B$16,0)</f>
        <v>0</v>
      </c>
      <c r="BY7" s="0" t="n">
        <f aca="false">IF(AND(BY$3&gt;=Groups!$E$2,MOD(BY$3-Groups!$E$2,Groups!$D$2*12)=0),Groups!$B$2*Inputs!$B$16,0)</f>
        <v>0</v>
      </c>
      <c r="BZ7" s="0" t="n">
        <f aca="false">IF(AND(BZ$3&gt;=Groups!$E$2,MOD(BZ$3-Groups!$E$2,Groups!$D$2*12)=0),Groups!$B$2*Inputs!$B$16,0)</f>
        <v>0</v>
      </c>
      <c r="CA7" s="0" t="n">
        <f aca="false">IF(AND(CA$3&gt;=Groups!$E$2,MOD(CA$3-Groups!$E$2,Groups!$D$2*12)=0),Groups!$B$2*Inputs!$B$16,0)</f>
        <v>0</v>
      </c>
      <c r="CB7" s="0" t="n">
        <f aca="false">IF(AND(CB$3&gt;=Groups!$E$2,MOD(CB$3-Groups!$E$2,Groups!$D$2*12)=0),Groups!$B$2*Inputs!$B$16,0)</f>
        <v>0</v>
      </c>
      <c r="CC7" s="0" t="n">
        <f aca="false">IF(AND(CC$3&gt;=Groups!$E$2,MOD(CC$3-Groups!$E$2,Groups!$D$2*12)=0),Groups!$B$2*Inputs!$B$16,0)</f>
        <v>0</v>
      </c>
      <c r="CD7" s="0" t="n">
        <f aca="false">IF(AND(CD$3&gt;=Groups!$E$2,MOD(CD$3-Groups!$E$2,Groups!$D$2*12)=0),Groups!$B$2*Inputs!$B$16,0)</f>
        <v>0</v>
      </c>
      <c r="CE7" s="0" t="n">
        <f aca="false">IF(AND(CE$3&gt;=Groups!$E$2,MOD(CE$3-Groups!$E$2,Groups!$D$2*12)=0),Groups!$B$2*Inputs!$B$16,0)</f>
        <v>0</v>
      </c>
      <c r="CF7" s="0" t="n">
        <f aca="false">IF(AND(CF$3&gt;=Groups!$E$2,MOD(CF$3-Groups!$E$2,Groups!$D$2*12)=0),Groups!$B$2*Inputs!$B$16,0)</f>
        <v>0</v>
      </c>
      <c r="CG7" s="0" t="n">
        <f aca="false">IF(AND(CG$3&gt;=Groups!$E$2,MOD(CG$3-Groups!$E$2,Groups!$D$2*12)=0),Groups!$B$2*Inputs!$B$16,0)</f>
        <v>0</v>
      </c>
      <c r="CH7" s="0" t="n">
        <f aca="false">IF(AND(CH$3&gt;=Groups!$E$2,MOD(CH$3-Groups!$E$2,Groups!$D$2*12)=0),Groups!$B$2*Inputs!$B$16,0)</f>
        <v>0</v>
      </c>
      <c r="CI7" s="0" t="n">
        <f aca="false">IF(AND(CI$3&gt;=Groups!$E$2,MOD(CI$3-Groups!$E$2,Groups!$D$2*12)=0),Groups!$B$2*Inputs!$B$16,0)</f>
        <v>0</v>
      </c>
      <c r="CJ7" s="0" t="n">
        <f aca="false">IF(AND(CJ$3&gt;=Groups!$E$2,MOD(CJ$3-Groups!$E$2,Groups!$D$2*12)=0),Groups!$B$2*Inputs!$B$16,0)</f>
        <v>0</v>
      </c>
      <c r="CK7" s="0" t="n">
        <f aca="false">IF(AND(CK$3&gt;=Groups!$E$2,MOD(CK$3-Groups!$E$2,Groups!$D$2*12)=0),Groups!$B$2*Inputs!$B$16,0)</f>
        <v>0</v>
      </c>
      <c r="CL7" s="0" t="n">
        <f aca="false">IF(AND(CL$3&gt;=Groups!$E$2,MOD(CL$3-Groups!$E$2,Groups!$D$2*12)=0),Groups!$B$2*Inputs!$B$16,0)</f>
        <v>0</v>
      </c>
      <c r="CM7" s="0" t="n">
        <f aca="false">IF(AND(CM$3&gt;=Groups!$E$2,MOD(CM$3-Groups!$E$2,Groups!$D$2*12)=0),Groups!$B$2*Inputs!$B$16,0)</f>
        <v>0</v>
      </c>
      <c r="CN7" s="0" t="n">
        <f aca="false">IF(AND(CN$3&gt;=Groups!$E$2,MOD(CN$3-Groups!$E$2,Groups!$D$2*12)=0),Groups!$B$2*Inputs!$B$16,0)</f>
        <v>0</v>
      </c>
      <c r="CO7" s="0" t="n">
        <f aca="false">IF(AND(CO$3&gt;=Groups!$E$2,MOD(CO$3-Groups!$E$2,Groups!$D$2*12)=0),Groups!$B$2*Inputs!$B$16,0)</f>
        <v>0</v>
      </c>
      <c r="CP7" s="0" t="n">
        <f aca="false">IF(AND(CP$3&gt;=Groups!$E$2,MOD(CP$3-Groups!$E$2,Groups!$D$2*12)=0),Groups!$B$2*Inputs!$B$16,0)</f>
        <v>0</v>
      </c>
      <c r="CQ7" s="0" t="n">
        <f aca="false">IF(AND(CQ$3&gt;=Groups!$E$2,MOD(CQ$3-Groups!$E$2,Groups!$D$2*12)=0),Groups!$B$2*Inputs!$B$16,0)</f>
        <v>0</v>
      </c>
      <c r="CR7" s="0" t="n">
        <f aca="false">IF(AND(CR$3&gt;=Groups!$E$2,MOD(CR$3-Groups!$E$2,Groups!$D$2*12)=0),Groups!$B$2*Inputs!$B$16,0)</f>
        <v>0</v>
      </c>
      <c r="CS7" s="0" t="n">
        <f aca="false">IF(AND(CS$3&gt;=Groups!$E$2,MOD(CS$3-Groups!$E$2,Groups!$D$2*12)=0),Groups!$B$2*Inputs!$B$16,0)</f>
        <v>0</v>
      </c>
      <c r="CT7" s="0" t="n">
        <f aca="false">IF(AND(CT$3&gt;=Groups!$E$2,MOD(CT$3-Groups!$E$2,Groups!$D$2*12)=0),Groups!$B$2*Inputs!$B$16,0)</f>
        <v>0</v>
      </c>
      <c r="CU7" s="0" t="n">
        <f aca="false">IF(AND(CU$3&gt;=Groups!$E$2,MOD(CU$3-Groups!$E$2,Groups!$D$2*12)=0),Groups!$B$2*Inputs!$B$16,0)</f>
        <v>0</v>
      </c>
      <c r="CV7" s="0" t="n">
        <f aca="false">IF(AND(CV$3&gt;=Groups!$E$2,MOD(CV$3-Groups!$E$2,Groups!$D$2*12)=0),Groups!$B$2*Inputs!$B$16,0)</f>
        <v>0</v>
      </c>
      <c r="CW7" s="0" t="n">
        <f aca="false">IF(AND(CW$3&gt;=Groups!$E$2,MOD(CW$3-Groups!$E$2,Groups!$D$2*12)=0),Groups!$B$2*Inputs!$B$16,0)</f>
        <v>0</v>
      </c>
      <c r="CX7" s="0" t="n">
        <f aca="false">IF(AND(CX$3&gt;=Groups!$E$2,MOD(CX$3-Groups!$E$2,Groups!$D$2*12)=0),Groups!$B$2*Inputs!$B$16,0)</f>
        <v>0</v>
      </c>
      <c r="CY7" s="0" t="n">
        <f aca="false">IF(AND(CY$3&gt;=Groups!$E$2,MOD(CY$3-Groups!$E$2,Groups!$D$2*12)=0),Groups!$B$2*Inputs!$B$16,0)</f>
        <v>0</v>
      </c>
      <c r="CZ7" s="0" t="n">
        <f aca="false">IF(AND(CZ$3&gt;=Groups!$E$2,MOD(CZ$3-Groups!$E$2,Groups!$D$2*12)=0),Groups!$B$2*Inputs!$B$16,0)</f>
        <v>0</v>
      </c>
      <c r="DA7" s="0" t="n">
        <f aca="false">IF(AND(DA$3&gt;=Groups!$E$2,MOD(DA$3-Groups!$E$2,Groups!$D$2*12)=0),Groups!$B$2*Inputs!$B$16,0)</f>
        <v>0</v>
      </c>
      <c r="DB7" s="0" t="n">
        <f aca="false">IF(AND(DB$3&gt;=Groups!$E$2,MOD(DB$3-Groups!$E$2,Groups!$D$2*12)=0),Groups!$B$2*Inputs!$B$16,0)</f>
        <v>0</v>
      </c>
      <c r="DC7" s="0" t="n">
        <f aca="false">IF(AND(DC$3&gt;=Groups!$E$2,MOD(DC$3-Groups!$E$2,Groups!$D$2*12)=0),Groups!$B$2*Inputs!$B$16,0)</f>
        <v>0</v>
      </c>
      <c r="DD7" s="0" t="n">
        <f aca="false">IF(AND(DD$3&gt;=Groups!$E$2,MOD(DD$3-Groups!$E$2,Groups!$D$2*12)=0),Groups!$B$2*Inputs!$B$16,0)</f>
        <v>0</v>
      </c>
      <c r="DE7" s="0" t="n">
        <f aca="false">IF(AND(DE$3&gt;=Groups!$E$2,MOD(DE$3-Groups!$E$2,Groups!$D$2*12)=0),Groups!$B$2*Inputs!$B$16,0)</f>
        <v>0</v>
      </c>
      <c r="DF7" s="0" t="n">
        <f aca="false">IF(AND(DF$3&gt;=Groups!$E$2,MOD(DF$3-Groups!$E$2,Groups!$D$2*12)=0),Groups!$B$2*Inputs!$B$16,0)</f>
        <v>0</v>
      </c>
      <c r="DG7" s="0" t="n">
        <f aca="false">IF(AND(DG$3&gt;=Groups!$E$2,MOD(DG$3-Groups!$E$2,Groups!$D$2*12)=0),Groups!$B$2*Inputs!$B$16,0)</f>
        <v>0</v>
      </c>
      <c r="DH7" s="0" t="n">
        <f aca="false">IF(AND(DH$3&gt;=Groups!$E$2,MOD(DH$3-Groups!$E$2,Groups!$D$2*12)=0),Groups!$B$2*Inputs!$B$16,0)</f>
        <v>15960000</v>
      </c>
      <c r="DI7" s="0" t="n">
        <f aca="false">IF(AND(DI$3&gt;=Groups!$E$2,MOD(DI$3-Groups!$E$2,Groups!$D$2*12)=0),Groups!$B$2*Inputs!$B$16,0)</f>
        <v>0</v>
      </c>
      <c r="DJ7" s="0" t="n">
        <f aca="false">IF(AND(DJ$3&gt;=Groups!$E$2,MOD(DJ$3-Groups!$E$2,Groups!$D$2*12)=0),Groups!$B$2*Inputs!$B$16,0)</f>
        <v>0</v>
      </c>
      <c r="DK7" s="0" t="n">
        <f aca="false">IF(AND(DK$3&gt;=Groups!$E$2,MOD(DK$3-Groups!$E$2,Groups!$D$2*12)=0),Groups!$B$2*Inputs!$B$16,0)</f>
        <v>0</v>
      </c>
      <c r="DL7" s="0" t="n">
        <f aca="false">IF(AND(DL$3&gt;=Groups!$E$2,MOD(DL$3-Groups!$E$2,Groups!$D$2*12)=0),Groups!$B$2*Inputs!$B$16,0)</f>
        <v>0</v>
      </c>
      <c r="DM7" s="0" t="n">
        <f aca="false">IF(AND(DM$3&gt;=Groups!$E$2,MOD(DM$3-Groups!$E$2,Groups!$D$2*12)=0),Groups!$B$2*Inputs!$B$16,0)</f>
        <v>0</v>
      </c>
      <c r="DN7" s="0" t="n">
        <f aca="false">IF(AND(DN$3&gt;=Groups!$E$2,MOD(DN$3-Groups!$E$2,Groups!$D$2*12)=0),Groups!$B$2*Inputs!$B$16,0)</f>
        <v>0</v>
      </c>
      <c r="DO7" s="0" t="n">
        <f aca="false">IF(AND(DO$3&gt;=Groups!$E$2,MOD(DO$3-Groups!$E$2,Groups!$D$2*12)=0),Groups!$B$2*Inputs!$B$16,0)</f>
        <v>0</v>
      </c>
      <c r="DP7" s="0" t="n">
        <f aca="false">IF(AND(DP$3&gt;=Groups!$E$2,MOD(DP$3-Groups!$E$2,Groups!$D$2*12)=0),Groups!$B$2*Inputs!$B$16,0)</f>
        <v>0</v>
      </c>
      <c r="DQ7" s="0" t="n">
        <f aca="false">IF(AND(DQ$3&gt;=Groups!$E$2,MOD(DQ$3-Groups!$E$2,Groups!$D$2*12)=0),Groups!$B$2*Inputs!$B$16,0)</f>
        <v>0</v>
      </c>
      <c r="DR7" s="0" t="n">
        <f aca="false">IF(AND(DR$3&gt;=Groups!$E$2,MOD(DR$3-Groups!$E$2,Groups!$D$2*12)=0),Groups!$B$2*Inputs!$B$16,0)</f>
        <v>0</v>
      </c>
      <c r="DS7" s="0" t="n">
        <f aca="false">IF(AND(DS$3&gt;=Groups!$E$2,MOD(DS$3-Groups!$E$2,Groups!$D$2*12)=0),Groups!$B$2*Inputs!$B$16,0)</f>
        <v>0</v>
      </c>
      <c r="DT7" s="0" t="n">
        <f aca="false">IF(AND(DT$3&gt;=Groups!$E$2,MOD(DT$3-Groups!$E$2,Groups!$D$2*12)=0),Groups!$B$2*Inputs!$B$16,0)</f>
        <v>0</v>
      </c>
      <c r="DU7" s="0" t="n">
        <f aca="false">IF(AND(DU$3&gt;=Groups!$E$2,MOD(DU$3-Groups!$E$2,Groups!$D$2*12)=0),Groups!$B$2*Inputs!$B$16,0)</f>
        <v>0</v>
      </c>
      <c r="DV7" s="0" t="n">
        <f aca="false">IF(AND(DV$3&gt;=Groups!$E$2,MOD(DV$3-Groups!$E$2,Groups!$D$2*12)=0),Groups!$B$2*Inputs!$B$16,0)</f>
        <v>0</v>
      </c>
      <c r="DW7" s="0" t="n">
        <f aca="false">IF(AND(DW$3&gt;=Groups!$E$2,MOD(DW$3-Groups!$E$2,Groups!$D$2*12)=0),Groups!$B$2*Inputs!$B$16,0)</f>
        <v>0</v>
      </c>
      <c r="DX7" s="0" t="n">
        <f aca="false">IF(AND(DX$3&gt;=Groups!$E$2,MOD(DX$3-Groups!$E$2,Groups!$D$2*12)=0),Groups!$B$2*Inputs!$B$16,0)</f>
        <v>0</v>
      </c>
      <c r="DY7" s="0" t="n">
        <f aca="false">IF(AND(DY$3&gt;=Groups!$E$2,MOD(DY$3-Groups!$E$2,Groups!$D$2*12)=0),Groups!$B$2*Inputs!$B$16,0)</f>
        <v>0</v>
      </c>
      <c r="DZ7" s="0" t="n">
        <f aca="false">IF(AND(DZ$3&gt;=Groups!$E$2,MOD(DZ$3-Groups!$E$2,Groups!$D$2*12)=0),Groups!$B$2*Inputs!$B$16,0)</f>
        <v>0</v>
      </c>
      <c r="EA7" s="0" t="n">
        <f aca="false">IF(AND(EA$3&gt;=Groups!$E$2,MOD(EA$3-Groups!$E$2,Groups!$D$2*12)=0),Groups!$B$2*Inputs!$B$16,0)</f>
        <v>0</v>
      </c>
      <c r="EB7" s="0" t="n">
        <f aca="false">IF(AND(EB$3&gt;=Groups!$E$2,MOD(EB$3-Groups!$E$2,Groups!$D$2*12)=0),Groups!$B$2*Inputs!$B$16,0)</f>
        <v>0</v>
      </c>
      <c r="EC7" s="0" t="n">
        <f aca="false">IF(AND(EC$3&gt;=Groups!$E$2,MOD(EC$3-Groups!$E$2,Groups!$D$2*12)=0),Groups!$B$2*Inputs!$B$16,0)</f>
        <v>0</v>
      </c>
      <c r="ED7" s="0" t="n">
        <f aca="false">IF(AND(ED$3&gt;=Groups!$E$2,MOD(ED$3-Groups!$E$2,Groups!$D$2*12)=0),Groups!$B$2*Inputs!$B$16,0)</f>
        <v>0</v>
      </c>
      <c r="EE7" s="0" t="n">
        <f aca="false">IF(AND(EE$3&gt;=Groups!$E$2,MOD(EE$3-Groups!$E$2,Groups!$D$2*12)=0),Groups!$B$2*Inputs!$B$16,0)</f>
        <v>0</v>
      </c>
      <c r="EF7" s="0" t="n">
        <f aca="false">IF(AND(EF$3&gt;=Groups!$E$2,MOD(EF$3-Groups!$E$2,Groups!$D$2*12)=0),Groups!$B$2*Inputs!$B$16,0)</f>
        <v>0</v>
      </c>
      <c r="EG7" s="0" t="n">
        <f aca="false">IF(AND(EG$3&gt;=Groups!$E$2,MOD(EG$3-Groups!$E$2,Groups!$D$2*12)=0),Groups!$B$2*Inputs!$B$16,0)</f>
        <v>0</v>
      </c>
      <c r="EH7" s="0" t="n">
        <f aca="false">IF(AND(EH$3&gt;=Groups!$E$2,MOD(EH$3-Groups!$E$2,Groups!$D$2*12)=0),Groups!$B$2*Inputs!$B$16,0)</f>
        <v>0</v>
      </c>
      <c r="EI7" s="0" t="n">
        <f aca="false">IF(AND(EI$3&gt;=Groups!$E$2,MOD(EI$3-Groups!$E$2,Groups!$D$2*12)=0),Groups!$B$2*Inputs!$B$16,0)</f>
        <v>0</v>
      </c>
      <c r="EJ7" s="0" t="n">
        <f aca="false">IF(AND(EJ$3&gt;=Groups!$E$2,MOD(EJ$3-Groups!$E$2,Groups!$D$2*12)=0),Groups!$B$2*Inputs!$B$16,0)</f>
        <v>0</v>
      </c>
      <c r="EK7" s="0" t="n">
        <f aca="false">IF(AND(EK$3&gt;=Groups!$E$2,MOD(EK$3-Groups!$E$2,Groups!$D$2*12)=0),Groups!$B$2*Inputs!$B$16,0)</f>
        <v>0</v>
      </c>
      <c r="EL7" s="0" t="n">
        <f aca="false">IF(AND(EL$3&gt;=Groups!$E$2,MOD(EL$3-Groups!$E$2,Groups!$D$2*12)=0),Groups!$B$2*Inputs!$B$16,0)</f>
        <v>0</v>
      </c>
      <c r="EM7" s="0" t="n">
        <f aca="false">IF(AND(EM$3&gt;=Groups!$E$2,MOD(EM$3-Groups!$E$2,Groups!$D$2*12)=0),Groups!$B$2*Inputs!$B$16,0)</f>
        <v>0</v>
      </c>
      <c r="EN7" s="0" t="n">
        <f aca="false">IF(AND(EN$3&gt;=Groups!$E$2,MOD(EN$3-Groups!$E$2,Groups!$D$2*12)=0),Groups!$B$2*Inputs!$B$16,0)</f>
        <v>0</v>
      </c>
      <c r="EO7" s="0" t="n">
        <f aca="false">IF(AND(EO$3&gt;=Groups!$E$2,MOD(EO$3-Groups!$E$2,Groups!$D$2*12)=0),Groups!$B$2*Inputs!$B$16,0)</f>
        <v>0</v>
      </c>
      <c r="EP7" s="0" t="n">
        <f aca="false">IF(AND(EP$3&gt;=Groups!$E$2,MOD(EP$3-Groups!$E$2,Groups!$D$2*12)=0),Groups!$B$2*Inputs!$B$16,0)</f>
        <v>0</v>
      </c>
      <c r="EQ7" s="0" t="n">
        <f aca="false">IF(AND(EQ$3&gt;=Groups!$E$2,MOD(EQ$3-Groups!$E$2,Groups!$D$2*12)=0),Groups!$B$2*Inputs!$B$16,0)</f>
        <v>0</v>
      </c>
      <c r="ER7" s="0" t="n">
        <f aca="false">IF(AND(ER$3&gt;=Groups!$E$2,MOD(ER$3-Groups!$E$2,Groups!$D$2*12)=0),Groups!$B$2*Inputs!$B$16,0)</f>
        <v>0</v>
      </c>
      <c r="ES7" s="0" t="n">
        <f aca="false">IF(AND(ES$3&gt;=Groups!$E$2,MOD(ES$3-Groups!$E$2,Groups!$D$2*12)=0),Groups!$B$2*Inputs!$B$16,0)</f>
        <v>0</v>
      </c>
      <c r="ET7" s="0" t="n">
        <f aca="false">IF(AND(ET$3&gt;=Groups!$E$2,MOD(ET$3-Groups!$E$2,Groups!$D$2*12)=0),Groups!$B$2*Inputs!$B$16,0)</f>
        <v>0</v>
      </c>
      <c r="EU7" s="0" t="n">
        <f aca="false">IF(AND(EU$3&gt;=Groups!$E$2,MOD(EU$3-Groups!$E$2,Groups!$D$2*12)=0),Groups!$B$2*Inputs!$B$16,0)</f>
        <v>0</v>
      </c>
      <c r="EV7" s="0" t="n">
        <f aca="false">IF(AND(EV$3&gt;=Groups!$E$2,MOD(EV$3-Groups!$E$2,Groups!$D$2*12)=0),Groups!$B$2*Inputs!$B$16,0)</f>
        <v>0</v>
      </c>
      <c r="EW7" s="0" t="n">
        <f aca="false">IF(AND(EW$3&gt;=Groups!$E$2,MOD(EW$3-Groups!$E$2,Groups!$D$2*12)=0),Groups!$B$2*Inputs!$B$16,0)</f>
        <v>0</v>
      </c>
      <c r="EX7" s="0" t="n">
        <f aca="false">IF(AND(EX$3&gt;=Groups!$E$2,MOD(EX$3-Groups!$E$2,Groups!$D$2*12)=0),Groups!$B$2*Inputs!$B$16,0)</f>
        <v>0</v>
      </c>
      <c r="EY7" s="0" t="n">
        <f aca="false">IF(AND(EY$3&gt;=Groups!$E$2,MOD(EY$3-Groups!$E$2,Groups!$D$2*12)=0),Groups!$B$2*Inputs!$B$16,0)</f>
        <v>0</v>
      </c>
      <c r="EZ7" s="0" t="n">
        <f aca="false">IF(AND(EZ$3&gt;=Groups!$E$2,MOD(EZ$3-Groups!$E$2,Groups!$D$2*12)=0),Groups!$B$2*Inputs!$B$16,0)</f>
        <v>0</v>
      </c>
      <c r="FA7" s="0" t="n">
        <f aca="false">IF(AND(FA$3&gt;=Groups!$E$2,MOD(FA$3-Groups!$E$2,Groups!$D$2*12)=0),Groups!$B$2*Inputs!$B$16,0)</f>
        <v>0</v>
      </c>
      <c r="FB7" s="0" t="n">
        <f aca="false">IF(AND(FB$3&gt;=Groups!$E$2,MOD(FB$3-Groups!$E$2,Groups!$D$2*12)=0),Groups!$B$2*Inputs!$B$16,0)</f>
        <v>0</v>
      </c>
      <c r="FC7" s="0" t="n">
        <f aca="false">IF(AND(FC$3&gt;=Groups!$E$2,MOD(FC$3-Groups!$E$2,Groups!$D$2*12)=0),Groups!$B$2*Inputs!$B$16,0)</f>
        <v>0</v>
      </c>
      <c r="FD7" s="0" t="n">
        <f aca="false">IF(AND(FD$3&gt;=Groups!$E$2,MOD(FD$3-Groups!$E$2,Groups!$D$2*12)=0),Groups!$B$2*Inputs!$B$16,0)</f>
        <v>0</v>
      </c>
      <c r="FE7" s="0" t="n">
        <f aca="false">IF(AND(FE$3&gt;=Groups!$E$2,MOD(FE$3-Groups!$E$2,Groups!$D$2*12)=0),Groups!$B$2*Inputs!$B$16,0)</f>
        <v>0</v>
      </c>
      <c r="FF7" s="0" t="n">
        <f aca="false">IF(AND(FF$3&gt;=Groups!$E$2,MOD(FF$3-Groups!$E$2,Groups!$D$2*12)=0),Groups!$B$2*Inputs!$B$16,0)</f>
        <v>0</v>
      </c>
      <c r="FG7" s="0" t="n">
        <f aca="false">IF(AND(FG$3&gt;=Groups!$E$2,MOD(FG$3-Groups!$E$2,Groups!$D$2*12)=0),Groups!$B$2*Inputs!$B$16,0)</f>
        <v>0</v>
      </c>
      <c r="FH7" s="0" t="n">
        <f aca="false">IF(AND(FH$3&gt;=Groups!$E$2,MOD(FH$3-Groups!$E$2,Groups!$D$2*12)=0),Groups!$B$2*Inputs!$B$16,0)</f>
        <v>0</v>
      </c>
      <c r="FI7" s="0" t="n">
        <f aca="false">IF(AND(FI$3&gt;=Groups!$E$2,MOD(FI$3-Groups!$E$2,Groups!$D$2*12)=0),Groups!$B$2*Inputs!$B$16,0)</f>
        <v>0</v>
      </c>
      <c r="FJ7" s="0" t="n">
        <f aca="false">IF(AND(FJ$3&gt;=Groups!$E$2,MOD(FJ$3-Groups!$E$2,Groups!$D$2*12)=0),Groups!$B$2*Inputs!$B$16,0)</f>
        <v>0</v>
      </c>
      <c r="FK7" s="0" t="n">
        <f aca="false">IF(AND(FK$3&gt;=Groups!$E$2,MOD(FK$3-Groups!$E$2,Groups!$D$2*12)=0),Groups!$B$2*Inputs!$B$16,0)</f>
        <v>0</v>
      </c>
      <c r="FL7" s="0" t="n">
        <f aca="false">IF(AND(FL$3&gt;=Groups!$E$2,MOD(FL$3-Groups!$E$2,Groups!$D$2*12)=0),Groups!$B$2*Inputs!$B$16,0)</f>
        <v>0</v>
      </c>
      <c r="FM7" s="0" t="n">
        <f aca="false">IF(AND(FM$3&gt;=Groups!$E$2,MOD(FM$3-Groups!$E$2,Groups!$D$2*12)=0),Groups!$B$2*Inputs!$B$16,0)</f>
        <v>0</v>
      </c>
      <c r="FN7" s="0" t="n">
        <f aca="false">IF(AND(FN$3&gt;=Groups!$E$2,MOD(FN$3-Groups!$E$2,Groups!$D$2*12)=0),Groups!$B$2*Inputs!$B$16,0)</f>
        <v>0</v>
      </c>
      <c r="FO7" s="0" t="n">
        <f aca="false">IF(AND(FO$3&gt;=Groups!$E$2,MOD(FO$3-Groups!$E$2,Groups!$D$2*12)=0),Groups!$B$2*Inputs!$B$16,0)</f>
        <v>0</v>
      </c>
      <c r="FP7" s="0" t="n">
        <f aca="false">IF(AND(FP$3&gt;=Groups!$E$2,MOD(FP$3-Groups!$E$2,Groups!$D$2*12)=0),Groups!$B$2*Inputs!$B$16,0)</f>
        <v>0</v>
      </c>
      <c r="FQ7" s="0" t="n">
        <f aca="false">IF(AND(FQ$3&gt;=Groups!$E$2,MOD(FQ$3-Groups!$E$2,Groups!$D$2*12)=0),Groups!$B$2*Inputs!$B$16,0)</f>
        <v>0</v>
      </c>
      <c r="FR7" s="0" t="n">
        <f aca="false">IF(AND(FR$3&gt;=Groups!$E$2,MOD(FR$3-Groups!$E$2,Groups!$D$2*12)=0),Groups!$B$2*Inputs!$B$16,0)</f>
        <v>0</v>
      </c>
      <c r="FS7" s="0" t="n">
        <f aca="false">IF(AND(FS$3&gt;=Groups!$E$2,MOD(FS$3-Groups!$E$2,Groups!$D$2*12)=0),Groups!$B$2*Inputs!$B$16,0)</f>
        <v>0</v>
      </c>
      <c r="FT7" s="0" t="n">
        <f aca="false">IF(AND(FT$3&gt;=Groups!$E$2,MOD(FT$3-Groups!$E$2,Groups!$D$2*12)=0),Groups!$B$2*Inputs!$B$16,0)</f>
        <v>0</v>
      </c>
      <c r="FU7" s="0" t="n">
        <f aca="false">IF(AND(FU$3&gt;=Groups!$E$2,MOD(FU$3-Groups!$E$2,Groups!$D$2*12)=0),Groups!$B$2*Inputs!$B$16,0)</f>
        <v>0</v>
      </c>
      <c r="FV7" s="0" t="n">
        <f aca="false">IF(AND(FV$3&gt;=Groups!$E$2,MOD(FV$3-Groups!$E$2,Groups!$D$2*12)=0),Groups!$B$2*Inputs!$B$16,0)</f>
        <v>0</v>
      </c>
      <c r="FW7" s="0" t="n">
        <f aca="false">IF(AND(FW$3&gt;=Groups!$E$2,MOD(FW$3-Groups!$E$2,Groups!$D$2*12)=0),Groups!$B$2*Inputs!$B$16,0)</f>
        <v>0</v>
      </c>
      <c r="FX7" s="0" t="n">
        <f aca="false">IF(AND(FX$3&gt;=Groups!$E$2,MOD(FX$3-Groups!$E$2,Groups!$D$2*12)=0),Groups!$B$2*Inputs!$B$16,0)</f>
        <v>0</v>
      </c>
      <c r="FY7" s="0" t="n">
        <f aca="false">IF(AND(FY$3&gt;=Groups!$E$2,MOD(FY$3-Groups!$E$2,Groups!$D$2*12)=0),Groups!$B$2*Inputs!$B$16,0)</f>
        <v>0</v>
      </c>
      <c r="FZ7" s="0" t="n">
        <f aca="false">IF(AND(FZ$3&gt;=Groups!$E$2,MOD(FZ$3-Groups!$E$2,Groups!$D$2*12)=0),Groups!$B$2*Inputs!$B$16,0)</f>
        <v>0</v>
      </c>
    </row>
    <row r="8" customFormat="false" ht="15" hidden="false" customHeight="false" outlineLevel="0" collapsed="false">
      <c r="A8" s="0" t="s">
        <v>29</v>
      </c>
      <c r="B8" s="0" t="n">
        <f aca="false">Groups!$C$3</f>
        <v>8.9</v>
      </c>
      <c r="C8" s="0" t="n">
        <f aca="false">MIN(C5,B8*(1-Inputs!$B$9/12)*(1+Inputs!$B$8)^(1/36)+C5*Inputs!$B$9/12)</f>
        <v>8.98537108498209</v>
      </c>
      <c r="D8" s="0" t="n">
        <f aca="false">MIN(D5,C8*(1-Inputs!$B$9/12)*(1+Inputs!$B$8)^(1/36)+D5*Inputs!$B$9/12)</f>
        <v>9.07081959935001</v>
      </c>
      <c r="E8" s="0" t="n">
        <f aca="false">MIN(E5,D8*(1-Inputs!$B$9/12)*(1+Inputs!$B$8)^(1/36)+E5*Inputs!$B$9/12)</f>
        <v>9.15634623531585</v>
      </c>
      <c r="F8" s="0" t="n">
        <f aca="false">MIN(F5,E8*(1-Inputs!$B$9/12)*(1+Inputs!$B$8)^(1/36)+F5*Inputs!$B$9/12)</f>
        <v>9.24195168576188</v>
      </c>
      <c r="G8" s="0" t="n">
        <f aca="false">MIN(G5,F8*(1-Inputs!$B$9/12)*(1+Inputs!$B$8)^(1/36)+G5*Inputs!$B$9/12)</f>
        <v>9.32763664424618</v>
      </c>
      <c r="H8" s="0" t="n">
        <f aca="false">MIN(H5,G8*(1-Inputs!$B$9/12)*(1+Inputs!$B$8)^(1/36)+H5*Inputs!$B$9/12)</f>
        <v>9.41340180500826</v>
      </c>
      <c r="I8" s="0" t="n">
        <f aca="false">MIN(I5,H8*(1-Inputs!$B$9/12)*(1+Inputs!$B$8)^(1/36)+I5*Inputs!$B$9/12)</f>
        <v>9.49924786297467</v>
      </c>
      <c r="J8" s="0" t="n">
        <f aca="false">MIN(J5,I8*(1-Inputs!$B$9/12)*(1+Inputs!$B$8)^(1/36)+J5*Inputs!$B$9/12)</f>
        <v>9.58517551376466</v>
      </c>
      <c r="K8" s="0" t="n">
        <f aca="false">MIN(K5,J8*(1-Inputs!$B$9/12)*(1+Inputs!$B$8)^(1/36)+K5*Inputs!$B$9/12)</f>
        <v>9.67118545369579</v>
      </c>
      <c r="L8" s="0" t="n">
        <f aca="false">MIN(L5,K8*(1-Inputs!$B$9/12)*(1+Inputs!$B$8)^(1/36)+L5*Inputs!$B$9/12)</f>
        <v>9.75727837978961</v>
      </c>
      <c r="M8" s="0" t="n">
        <f aca="false">MIN(M5,L8*(1-Inputs!$B$9/12)*(1+Inputs!$B$8)^(1/36)+M5*Inputs!$B$9/12)</f>
        <v>9.84345498977728</v>
      </c>
      <c r="N8" s="0" t="n">
        <f aca="false">MIN(N5,M8*(1-Inputs!$B$9/12)*(1+Inputs!$B$8)^(1/36)+N5*Inputs!$B$9/12)</f>
        <v>9.92971598210522</v>
      </c>
      <c r="O8" s="0" t="n">
        <f aca="false">MIN(O5,N8*(1-Inputs!$B$9/12)*(1+Inputs!$B$8)^(1/36)+O5*Inputs!$B$9/12)</f>
        <v>10.0160620559408</v>
      </c>
      <c r="P8" s="0" t="n">
        <f aca="false">MIN(P5,O8*(1-Inputs!$B$9/12)*(1+Inputs!$B$8)^(1/36)+P5*Inputs!$B$9/12)</f>
        <v>10.1024939111781</v>
      </c>
      <c r="Q8" s="0" t="n">
        <f aca="false">MIN(Q5,P8*(1-Inputs!$B$9/12)*(1+Inputs!$B$8)^(1/36)+Q5*Inputs!$B$9/12)</f>
        <v>10.1890122484433</v>
      </c>
      <c r="R8" s="0" t="n">
        <f aca="false">MIN(R5,Q8*(1-Inputs!$B$9/12)*(1+Inputs!$B$8)^(1/36)+R5*Inputs!$B$9/12)</f>
        <v>10.2756177691007</v>
      </c>
      <c r="S8" s="0" t="n">
        <f aca="false">MIN(S5,R8*(1-Inputs!$B$9/12)*(1+Inputs!$B$8)^(1/36)+S5*Inputs!$B$9/12)</f>
        <v>10.3623111752581</v>
      </c>
      <c r="T8" s="0" t="n">
        <f aca="false">MIN(T5,S8*(1-Inputs!$B$9/12)*(1+Inputs!$B$8)^(1/36)+T5*Inputs!$B$9/12)</f>
        <v>10.4490931697729</v>
      </c>
      <c r="U8" s="0" t="n">
        <f aca="false">MIN(U5,T8*(1-Inputs!$B$9/12)*(1+Inputs!$B$8)^(1/36)+U5*Inputs!$B$9/12)</f>
        <v>10.5359644562572</v>
      </c>
      <c r="V8" s="0" t="n">
        <f aca="false">MIN(V5,U8*(1-Inputs!$B$9/12)*(1+Inputs!$B$8)^(1/36)+V5*Inputs!$B$9/12)</f>
        <v>10.6229257390843</v>
      </c>
      <c r="W8" s="0" t="n">
        <f aca="false">MIN(W5,V8*(1-Inputs!$B$9/12)*(1+Inputs!$B$8)^(1/36)+W5*Inputs!$B$9/12)</f>
        <v>10.7099777233935</v>
      </c>
      <c r="X8" s="0" t="n">
        <f aca="false">MIN(X5,W8*(1-Inputs!$B$9/12)*(1+Inputs!$B$8)^(1/36)+X5*Inputs!$B$9/12)</f>
        <v>10.7971211150966</v>
      </c>
      <c r="Y8" s="0" t="n">
        <f aca="false">MIN(Y5,X8*(1-Inputs!$B$9/12)*(1+Inputs!$B$8)^(1/36)+Y5*Inputs!$B$9/12)</f>
        <v>10.8843566208833</v>
      </c>
      <c r="Z8" s="0" t="n">
        <f aca="false">MIN(Z5,Y8*(1-Inputs!$B$9/12)*(1+Inputs!$B$8)^(1/36)+Z5*Inputs!$B$9/12)</f>
        <v>10.9716849482267</v>
      </c>
      <c r="AA8" s="0" t="n">
        <f aca="false">MIN(AA5,Z8*(1-Inputs!$B$9/12)*(1+Inputs!$B$8)^(1/36)+AA5*Inputs!$B$9/12)</f>
        <v>11.0591068053896</v>
      </c>
      <c r="AB8" s="0" t="n">
        <f aca="false">MIN(AB5,AA8*(1-Inputs!$B$9/12)*(1+Inputs!$B$8)^(1/36)+AB5*Inputs!$B$9/12)</f>
        <v>11.1466229014298</v>
      </c>
      <c r="AC8" s="0" t="n">
        <f aca="false">MIN(AC5,AB8*(1-Inputs!$B$9/12)*(1+Inputs!$B$8)^(1/36)+AC5*Inputs!$B$9/12)</f>
        <v>11.234233946206</v>
      </c>
      <c r="AD8" s="0" t="n">
        <f aca="false">MIN(AD5,AC8*(1-Inputs!$B$9/12)*(1+Inputs!$B$8)^(1/36)+AD5*Inputs!$B$9/12)</f>
        <v>11.3219406503835</v>
      </c>
      <c r="AE8" s="0" t="n">
        <f aca="false">MIN(AE5,AD8*(1-Inputs!$B$9/12)*(1+Inputs!$B$8)^(1/36)+AE5*Inputs!$B$9/12)</f>
        <v>11.40974372544</v>
      </c>
      <c r="AF8" s="0" t="n">
        <f aca="false">MIN(AF5,AE8*(1-Inputs!$B$9/12)*(1+Inputs!$B$8)^(1/36)+AF5*Inputs!$B$9/12)</f>
        <v>11.4976438836716</v>
      </c>
      <c r="AG8" s="0" t="n">
        <f aca="false">MIN(AG5,AF8*(1-Inputs!$B$9/12)*(1+Inputs!$B$8)^(1/36)+AG5*Inputs!$B$9/12)</f>
        <v>11.5856418381981</v>
      </c>
      <c r="AH8" s="0" t="n">
        <f aca="false">MIN(AH5,AG8*(1-Inputs!$B$9/12)*(1+Inputs!$B$8)^(1/36)+AH5*Inputs!$B$9/12)</f>
        <v>11.6737383029692</v>
      </c>
      <c r="AI8" s="0" t="n">
        <f aca="false">MIN(AI5,AH8*(1-Inputs!$B$9/12)*(1+Inputs!$B$8)^(1/36)+AI5*Inputs!$B$9/12)</f>
        <v>11.7619339927701</v>
      </c>
      <c r="AJ8" s="0" t="n">
        <f aca="false">MIN(AJ5,AI8*(1-Inputs!$B$9/12)*(1+Inputs!$B$8)^(1/36)+AJ5*Inputs!$B$9/12)</f>
        <v>11.8502296232275</v>
      </c>
      <c r="AK8" s="0" t="n">
        <f aca="false">MIN(AK5,AJ8*(1-Inputs!$B$9/12)*(1+Inputs!$B$8)^(1/36)+AK5*Inputs!$B$9/12)</f>
        <v>11.938625910815</v>
      </c>
      <c r="AL8" s="0" t="n">
        <f aca="false">MIN(AL5,AK8*(1-Inputs!$B$9/12)*(1+Inputs!$B$8)^(1/36)+AL5*Inputs!$B$9/12)</f>
        <v>12.0271235728594</v>
      </c>
      <c r="AM8" s="0" t="n">
        <f aca="false">MIN(AM5,AL8*(1-Inputs!$B$9/12)*(1+Inputs!$B$8)^(1/36)+AM5*Inputs!$B$9/12)</f>
        <v>12.1157233275462</v>
      </c>
      <c r="AN8" s="0" t="n">
        <f aca="false">MIN(AN5,AM8*(1-Inputs!$B$9/12)*(1+Inputs!$B$8)^(1/36)+AN5*Inputs!$B$9/12)</f>
        <v>12.2044258939255</v>
      </c>
      <c r="AO8" s="0" t="n">
        <f aca="false">MIN(AO5,AN8*(1-Inputs!$B$9/12)*(1+Inputs!$B$8)^(1/36)+AO5*Inputs!$B$9/12)</f>
        <v>12.293231991918</v>
      </c>
      <c r="AP8" s="0" t="n">
        <f aca="false">MIN(AP5,AO8*(1-Inputs!$B$9/12)*(1+Inputs!$B$8)^(1/36)+AP5*Inputs!$B$9/12)</f>
        <v>12.3821423423207</v>
      </c>
      <c r="AQ8" s="0" t="n">
        <f aca="false">MIN(AQ5,AP8*(1-Inputs!$B$9/12)*(1+Inputs!$B$8)^(1/36)+AQ5*Inputs!$B$9/12)</f>
        <v>12.4711576668126</v>
      </c>
      <c r="AR8" s="0" t="n">
        <f aca="false">MIN(AR5,AQ8*(1-Inputs!$B$9/12)*(1+Inputs!$B$8)^(1/36)+AR5*Inputs!$B$9/12)</f>
        <v>12.5602786879609</v>
      </c>
      <c r="AS8" s="0" t="n">
        <f aca="false">MIN(AS5,AR8*(1-Inputs!$B$9/12)*(1+Inputs!$B$8)^(1/36)+AS5*Inputs!$B$9/12)</f>
        <v>12.6495061292267</v>
      </c>
      <c r="AT8" s="0" t="n">
        <f aca="false">MIN(AT5,AS8*(1-Inputs!$B$9/12)*(1+Inputs!$B$8)^(1/36)+AT5*Inputs!$B$9/12)</f>
        <v>12.7388407149706</v>
      </c>
      <c r="AU8" s="0" t="n">
        <f aca="false">MIN(AU5,AT8*(1-Inputs!$B$9/12)*(1+Inputs!$B$8)^(1/36)+AU5*Inputs!$B$9/12)</f>
        <v>12.8282831704592</v>
      </c>
      <c r="AV8" s="0" t="n">
        <f aca="false">MIN(AV5,AU8*(1-Inputs!$B$9/12)*(1+Inputs!$B$8)^(1/36)+AV5*Inputs!$B$9/12)</f>
        <v>12.9178342218705</v>
      </c>
      <c r="AW8" s="0" t="n">
        <f aca="false">MIN(AW5,AV8*(1-Inputs!$B$9/12)*(1+Inputs!$B$8)^(1/36)+AW5*Inputs!$B$9/12)</f>
        <v>13.0074945962999</v>
      </c>
      <c r="AX8" s="0" t="n">
        <f aca="false">MIN(AX5,AW8*(1-Inputs!$B$9/12)*(1+Inputs!$B$8)^(1/36)+AX5*Inputs!$B$9/12)</f>
        <v>13.0972650217663</v>
      </c>
      <c r="AY8" s="0" t="n">
        <f aca="false">MIN(AY5,AX8*(1-Inputs!$B$9/12)*(1+Inputs!$B$8)^(1/36)+AY5*Inputs!$B$9/12)</f>
        <v>13.1871462272176</v>
      </c>
      <c r="AZ8" s="0" t="n">
        <f aca="false">MIN(AZ5,AY8*(1-Inputs!$B$9/12)*(1+Inputs!$B$8)^(1/36)+AZ5*Inputs!$B$9/12)</f>
        <v>13.2771389425371</v>
      </c>
      <c r="BA8" s="0" t="n">
        <f aca="false">MIN(BA5,AZ8*(1-Inputs!$B$9/12)*(1+Inputs!$B$8)^(1/36)+BA5*Inputs!$B$9/12)</f>
        <v>13.3672438985491</v>
      </c>
      <c r="BB8" s="0" t="n">
        <f aca="false">MIN(BB5,BA8*(1-Inputs!$B$9/12)*(1+Inputs!$B$8)^(1/36)+BB5*Inputs!$B$9/12)</f>
        <v>13.4574618270251</v>
      </c>
      <c r="BC8" s="0" t="n">
        <f aca="false">MIN(BC5,BB8*(1-Inputs!$B$9/12)*(1+Inputs!$B$8)^(1/36)+BC5*Inputs!$B$9/12)</f>
        <v>13.5477934606893</v>
      </c>
      <c r="BD8" s="0" t="n">
        <f aca="false">MIN(BD5,BC8*(1-Inputs!$B$9/12)*(1+Inputs!$B$8)^(1/36)+BD5*Inputs!$B$9/12)</f>
        <v>13.6382395332252</v>
      </c>
      <c r="BE8" s="0" t="n">
        <f aca="false">MIN(BE5,BD8*(1-Inputs!$B$9/12)*(1+Inputs!$B$8)^(1/36)+BE5*Inputs!$B$9/12)</f>
        <v>13.728800779281</v>
      </c>
      <c r="BF8" s="0" t="n">
        <f aca="false">MIN(BF5,BE8*(1-Inputs!$B$9/12)*(1+Inputs!$B$8)^(1/36)+BF5*Inputs!$B$9/12)</f>
        <v>13.8194779344758</v>
      </c>
      <c r="BG8" s="0" t="n">
        <f aca="false">MIN(BG5,BF8*(1-Inputs!$B$9/12)*(1+Inputs!$B$8)^(1/36)+BG5*Inputs!$B$9/12)</f>
        <v>13.9102717354055</v>
      </c>
      <c r="BH8" s="0" t="n">
        <f aca="false">MIN(BH5,BG8*(1-Inputs!$B$9/12)*(1+Inputs!$B$8)^(1/36)+BH5*Inputs!$B$9/12)</f>
        <v>14.001182919649</v>
      </c>
      <c r="BI8" s="0" t="n">
        <f aca="false">MIN(BI5,BH8*(1-Inputs!$B$9/12)*(1+Inputs!$B$8)^(1/36)+BI5*Inputs!$B$9/12)</f>
        <v>14.0922122257739</v>
      </c>
      <c r="BJ8" s="0" t="n">
        <f aca="false">MIN(BJ5,BI8*(1-Inputs!$B$9/12)*(1+Inputs!$B$8)^(1/36)+BJ5*Inputs!$B$9/12)</f>
        <v>14.1833603933427</v>
      </c>
      <c r="BK8" s="0" t="n">
        <f aca="false">MIN(BK5,BJ8*(1-Inputs!$B$9/12)*(1+Inputs!$B$8)^(1/36)+BK5*Inputs!$B$9/12)</f>
        <v>14.2746281629187</v>
      </c>
      <c r="BL8" s="0" t="n">
        <f aca="false">MIN(BL5,BK8*(1-Inputs!$B$9/12)*(1+Inputs!$B$8)^(1/36)+BL5*Inputs!$B$9/12)</f>
        <v>14.3660162760721</v>
      </c>
      <c r="BM8" s="0" t="n">
        <f aca="false">MIN(BM5,BL8*(1-Inputs!$B$9/12)*(1+Inputs!$B$8)^(1/36)+BM5*Inputs!$B$9/12)</f>
        <v>14.457525475386</v>
      </c>
      <c r="BN8" s="0" t="n">
        <f aca="false">MIN(BN5,BM8*(1-Inputs!$B$9/12)*(1+Inputs!$B$8)^(1/36)+BN5*Inputs!$B$9/12)</f>
        <v>14.5491565044624</v>
      </c>
      <c r="BO8" s="0" t="n">
        <f aca="false">MIN(BO5,BN8*(1-Inputs!$B$9/12)*(1+Inputs!$B$8)^(1/36)+BO5*Inputs!$B$9/12)</f>
        <v>14.6409101079282</v>
      </c>
      <c r="BP8" s="0" t="n">
        <f aca="false">MIN(BP5,BO8*(1-Inputs!$B$9/12)*(1+Inputs!$B$8)^(1/36)+BP5*Inputs!$B$9/12)</f>
        <v>14.7327870314416</v>
      </c>
      <c r="BQ8" s="0" t="n">
        <f aca="false">MIN(BQ5,BP8*(1-Inputs!$B$9/12)*(1+Inputs!$B$8)^(1/36)+BQ5*Inputs!$B$9/12)</f>
        <v>14.8247880216975</v>
      </c>
      <c r="BR8" s="0" t="n">
        <f aca="false">MIN(BR5,BQ8*(1-Inputs!$B$9/12)*(1+Inputs!$B$8)^(1/36)+BR5*Inputs!$B$9/12)</f>
        <v>14.9169138264343</v>
      </c>
      <c r="BS8" s="0" t="n">
        <f aca="false">MIN(BS5,BR8*(1-Inputs!$B$9/12)*(1+Inputs!$B$8)^(1/36)+BS5*Inputs!$B$9/12)</f>
        <v>15.0091651944395</v>
      </c>
      <c r="BT8" s="0" t="n">
        <f aca="false">MIN(BT5,BS8*(1-Inputs!$B$9/12)*(1+Inputs!$B$8)^(1/36)+BT5*Inputs!$B$9/12)</f>
        <v>15.1015428755559</v>
      </c>
      <c r="BU8" s="0" t="n">
        <f aca="false">MIN(BU5,BT8*(1-Inputs!$B$9/12)*(1+Inputs!$B$8)^(1/36)+BU5*Inputs!$B$9/12)</f>
        <v>15.1940476206877</v>
      </c>
      <c r="BV8" s="0" t="n">
        <f aca="false">MIN(BV5,BU8*(1-Inputs!$B$9/12)*(1+Inputs!$B$8)^(1/36)+BV5*Inputs!$B$9/12)</f>
        <v>15.2866801818068</v>
      </c>
      <c r="BW8" s="0" t="n">
        <f aca="false">MIN(BW5,BV8*(1-Inputs!$B$9/12)*(1+Inputs!$B$8)^(1/36)+BW5*Inputs!$B$9/12)</f>
        <v>15.3794413119585</v>
      </c>
      <c r="BX8" s="0" t="n">
        <f aca="false">MIN(BX5,BW8*(1-Inputs!$B$9/12)*(1+Inputs!$B$8)^(1/36)+BX5*Inputs!$B$9/12)</f>
        <v>15.472331765268</v>
      </c>
      <c r="BY8" s="0" t="n">
        <f aca="false">MIN(BY5,BX8*(1-Inputs!$B$9/12)*(1+Inputs!$B$8)^(1/36)+BY5*Inputs!$B$9/12)</f>
        <v>15.5653522969465</v>
      </c>
      <c r="BZ8" s="0" t="n">
        <f aca="false">MIN(BZ5,BY8*(1-Inputs!$B$9/12)*(1+Inputs!$B$8)^(1/36)+BZ5*Inputs!$B$9/12)</f>
        <v>15.6585036632971</v>
      </c>
      <c r="CA8" s="0" t="n">
        <f aca="false">MIN(CA5,BZ8*(1-Inputs!$B$9/12)*(1+Inputs!$B$8)^(1/36)+CA5*Inputs!$B$9/12)</f>
        <v>15.7517866217212</v>
      </c>
      <c r="CB8" s="0" t="n">
        <f aca="false">MIN(CB5,CA8*(1-Inputs!$B$9/12)*(1+Inputs!$B$8)^(1/36)+CB5*Inputs!$B$9/12)</f>
        <v>15.8452019307243</v>
      </c>
      <c r="CC8" s="0" t="n">
        <f aca="false">MIN(CC5,CB8*(1-Inputs!$B$9/12)*(1+Inputs!$B$8)^(1/36)+CC5*Inputs!$B$9/12)</f>
        <v>15.9387503499228</v>
      </c>
      <c r="CD8" s="0" t="n">
        <f aca="false">MIN(CD5,CC8*(1-Inputs!$B$9/12)*(1+Inputs!$B$8)^(1/36)+CD5*Inputs!$B$9/12)</f>
        <v>16.0324326400495</v>
      </c>
      <c r="CE8" s="0" t="n">
        <f aca="false">MIN(CE5,CD8*(1-Inputs!$B$9/12)*(1+Inputs!$B$8)^(1/36)+CE5*Inputs!$B$9/12)</f>
        <v>16.1262495629603</v>
      </c>
      <c r="CF8" s="0" t="n">
        <f aca="false">MIN(CF5,CE8*(1-Inputs!$B$9/12)*(1+Inputs!$B$8)^(1/36)+CF5*Inputs!$B$9/12)</f>
        <v>16.2202018816401</v>
      </c>
      <c r="CG8" s="0" t="n">
        <f aca="false">MIN(CG5,CF8*(1-Inputs!$B$9/12)*(1+Inputs!$B$8)^(1/36)+CG5*Inputs!$B$9/12)</f>
        <v>16.314290360209</v>
      </c>
      <c r="CH8" s="0" t="n">
        <f aca="false">MIN(CH5,CG8*(1-Inputs!$B$9/12)*(1+Inputs!$B$8)^(1/36)+CH5*Inputs!$B$9/12)</f>
        <v>16.4085157639289</v>
      </c>
      <c r="CI8" s="0" t="n">
        <f aca="false">MIN(CI5,CH8*(1-Inputs!$B$9/12)*(1+Inputs!$B$8)^(1/36)+CI5*Inputs!$B$9/12)</f>
        <v>16.5028788592091</v>
      </c>
      <c r="CJ8" s="0" t="n">
        <f aca="false">MIN(CJ5,CI8*(1-Inputs!$B$9/12)*(1+Inputs!$B$8)^(1/36)+CJ5*Inputs!$B$9/12)</f>
        <v>16.597380413613</v>
      </c>
      <c r="CK8" s="0" t="n">
        <f aca="false">MIN(CK5,CJ8*(1-Inputs!$B$9/12)*(1+Inputs!$B$8)^(1/36)+CK5*Inputs!$B$9/12)</f>
        <v>16.6920211958644</v>
      </c>
      <c r="CL8" s="0" t="n">
        <f aca="false">MIN(CL5,CK8*(1-Inputs!$B$9/12)*(1+Inputs!$B$8)^(1/36)+CL5*Inputs!$B$9/12)</f>
        <v>16.7868019758533</v>
      </c>
      <c r="CM8" s="0" t="n">
        <f aca="false">MIN(CM5,CL8*(1-Inputs!$B$9/12)*(1+Inputs!$B$8)^(1/36)+CM5*Inputs!$B$9/12)</f>
        <v>16.8817235246426</v>
      </c>
      <c r="CN8" s="0" t="n">
        <f aca="false">MIN(CN5,CM8*(1-Inputs!$B$9/12)*(1+Inputs!$B$8)^(1/36)+CN5*Inputs!$B$9/12)</f>
        <v>16.9767866144743</v>
      </c>
      <c r="CO8" s="0" t="n">
        <f aca="false">MIN(CO5,CN8*(1-Inputs!$B$9/12)*(1+Inputs!$B$8)^(1/36)+CO5*Inputs!$B$9/12)</f>
        <v>17.0719920187754</v>
      </c>
      <c r="CP8" s="0" t="n">
        <f aca="false">MIN(CP5,CO8*(1-Inputs!$B$9/12)*(1+Inputs!$B$8)^(1/36)+CP5*Inputs!$B$9/12)</f>
        <v>17.1673405121648</v>
      </c>
      <c r="CQ8" s="0" t="n">
        <f aca="false">MIN(CQ5,CP8*(1-Inputs!$B$9/12)*(1+Inputs!$B$8)^(1/36)+CQ5*Inputs!$B$9/12)</f>
        <v>17.2628328704591</v>
      </c>
      <c r="CR8" s="0" t="n">
        <f aca="false">MIN(CR5,CQ8*(1-Inputs!$B$9/12)*(1+Inputs!$B$8)^(1/36)+CR5*Inputs!$B$9/12)</f>
        <v>17.3584698706794</v>
      </c>
      <c r="CS8" s="0" t="n">
        <f aca="false">MIN(CS5,CR8*(1-Inputs!$B$9/12)*(1+Inputs!$B$8)^(1/36)+CS5*Inputs!$B$9/12)</f>
        <v>17.4542522910568</v>
      </c>
      <c r="CT8" s="0" t="n">
        <f aca="false">MIN(CT5,CS8*(1-Inputs!$B$9/12)*(1+Inputs!$B$8)^(1/36)+CT5*Inputs!$B$9/12)</f>
        <v>17.5501809110399</v>
      </c>
      <c r="CU8" s="0" t="n">
        <f aca="false">MIN(CU5,CT8*(1-Inputs!$B$9/12)*(1+Inputs!$B$8)^(1/36)+CU5*Inputs!$B$9/12)</f>
        <v>17.6462565113002</v>
      </c>
      <c r="CV8" s="0" t="n">
        <f aca="false">MIN(CV5,CU8*(1-Inputs!$B$9/12)*(1+Inputs!$B$8)^(1/36)+CV5*Inputs!$B$9/12)</f>
        <v>17.7424798737386</v>
      </c>
      <c r="CW8" s="0" t="n">
        <f aca="false">MIN(CW5,CV8*(1-Inputs!$B$9/12)*(1+Inputs!$B$8)^(1/36)+CW5*Inputs!$B$9/12)</f>
        <v>17.8388517814924</v>
      </c>
      <c r="CX8" s="0" t="n">
        <f aca="false">MIN(CX5,CW8*(1-Inputs!$B$9/12)*(1+Inputs!$B$8)^(1/36)+CX5*Inputs!$B$9/12)</f>
        <v>17.9353730189408</v>
      </c>
      <c r="CY8" s="0" t="n">
        <f aca="false">MIN(CY5,CX8*(1-Inputs!$B$9/12)*(1+Inputs!$B$8)^(1/36)+CY5*Inputs!$B$9/12)</f>
        <v>18.0320443717118</v>
      </c>
      <c r="CZ8" s="0" t="n">
        <f aca="false">MIN(CZ5,CY8*(1-Inputs!$B$9/12)*(1+Inputs!$B$8)^(1/36)+CZ5*Inputs!$B$9/12)</f>
        <v>18.1288666266888</v>
      </c>
      <c r="DA8" s="0" t="n">
        <f aca="false">MIN(DA5,CZ8*(1-Inputs!$B$9/12)*(1+Inputs!$B$8)^(1/36)+DA5*Inputs!$B$9/12)</f>
        <v>18.2258405720162</v>
      </c>
      <c r="DB8" s="0" t="n">
        <f aca="false">MIN(DB5,DA8*(1-Inputs!$B$9/12)*(1+Inputs!$B$8)^(1/36)+DB5*Inputs!$B$9/12)</f>
        <v>18.3229669971068</v>
      </c>
      <c r="DC8" s="0" t="n">
        <f aca="false">MIN(DC5,DB8*(1-Inputs!$B$9/12)*(1+Inputs!$B$8)^(1/36)+DC5*Inputs!$B$9/12)</f>
        <v>18.4202466926474</v>
      </c>
      <c r="DD8" s="0" t="n">
        <f aca="false">MIN(DD5,DC8*(1-Inputs!$B$9/12)*(1+Inputs!$B$8)^(1/36)+DD5*Inputs!$B$9/12)</f>
        <v>18.5176804506058</v>
      </c>
      <c r="DE8" s="0" t="n">
        <f aca="false">MIN(DE5,DD8*(1-Inputs!$B$9/12)*(1+Inputs!$B$8)^(1/36)+DE5*Inputs!$B$9/12)</f>
        <v>18.615269064237</v>
      </c>
      <c r="DF8" s="0" t="n">
        <f aca="false">MIN(DF5,DE8*(1-Inputs!$B$9/12)*(1+Inputs!$B$8)^(1/36)+DF5*Inputs!$B$9/12)</f>
        <v>18.7130133280895</v>
      </c>
      <c r="DG8" s="0" t="n">
        <f aca="false">MIN(DG5,DF8*(1-Inputs!$B$9/12)*(1+Inputs!$B$8)^(1/36)+DG5*Inputs!$B$9/12)</f>
        <v>18.8109140380123</v>
      </c>
      <c r="DH8" s="0" t="n">
        <f aca="false">MIN(DH5,DG8*(1-Inputs!$B$9/12)*(1+Inputs!$B$8)^(1/36)+DH5*Inputs!$B$9/12)</f>
        <v>18.9089719911609</v>
      </c>
      <c r="DI8" s="0" t="n">
        <f aca="false">MIN(DI5,DH8*(1-Inputs!$B$9/12)*(1+Inputs!$B$8)^(1/36)+DI5*Inputs!$B$9/12)</f>
        <v>19.0071879860038</v>
      </c>
      <c r="DJ8" s="0" t="n">
        <f aca="false">MIN(DJ5,DI8*(1-Inputs!$B$9/12)*(1+Inputs!$B$8)^(1/36)+DJ5*Inputs!$B$9/12)</f>
        <v>19.1055628223293</v>
      </c>
      <c r="DK8" s="0" t="n">
        <f aca="false">MIN(DK5,DJ8*(1-Inputs!$B$9/12)*(1+Inputs!$B$8)^(1/36)+DK5*Inputs!$B$9/12)</f>
        <v>19.204097301252</v>
      </c>
      <c r="DL8" s="0" t="n">
        <f aca="false">MIN(DL5,DK8*(1-Inputs!$B$9/12)*(1+Inputs!$B$8)^(1/36)+DL5*Inputs!$B$9/12)</f>
        <v>19.3027922252189</v>
      </c>
      <c r="DM8" s="0" t="n">
        <f aca="false">MIN(DM5,DL8*(1-Inputs!$B$9/12)*(1+Inputs!$B$8)^(1/36)+DM5*Inputs!$B$9/12)</f>
        <v>19.4016483980164</v>
      </c>
      <c r="DN8" s="0" t="n">
        <f aca="false">MIN(DN5,DM8*(1-Inputs!$B$9/12)*(1+Inputs!$B$8)^(1/36)+DN5*Inputs!$B$9/12)</f>
        <v>19.5006666247767</v>
      </c>
      <c r="DO8" s="0" t="n">
        <f aca="false">MIN(DO5,DN8*(1-Inputs!$B$9/12)*(1+Inputs!$B$8)^(1/36)+DO5*Inputs!$B$9/12)</f>
        <v>19.5998477119841</v>
      </c>
      <c r="DP8" s="0" t="n">
        <f aca="false">MIN(DP5,DO8*(1-Inputs!$B$9/12)*(1+Inputs!$B$8)^(1/36)+DP5*Inputs!$B$9/12)</f>
        <v>19.6991924674822</v>
      </c>
      <c r="DQ8" s="0" t="n">
        <f aca="false">MIN(DQ5,DP8*(1-Inputs!$B$9/12)*(1+Inputs!$B$8)^(1/36)+DQ5*Inputs!$B$9/12)</f>
        <v>19.7987017004797</v>
      </c>
      <c r="DR8" s="0" t="n">
        <f aca="false">MIN(DR5,DQ8*(1-Inputs!$B$9/12)*(1+Inputs!$B$8)^(1/36)+DR5*Inputs!$B$9/12)</f>
        <v>19.8983762215576</v>
      </c>
      <c r="DS8" s="0" t="n">
        <f aca="false">MIN(DS5,DR8*(1-Inputs!$B$9/12)*(1+Inputs!$B$8)^(1/36)+DS5*Inputs!$B$9/12)</f>
        <v>19.9982168426755</v>
      </c>
      <c r="DT8" s="0" t="n">
        <f aca="false">MIN(DT5,DS8*(1-Inputs!$B$9/12)*(1+Inputs!$B$8)^(1/36)+DT5*Inputs!$B$9/12)</f>
        <v>20.0982243771784</v>
      </c>
      <c r="DU8" s="0" t="n">
        <f aca="false">MIN(DU5,DT8*(1-Inputs!$B$9/12)*(1+Inputs!$B$8)^(1/36)+DU5*Inputs!$B$9/12)</f>
        <v>20.1983996398031</v>
      </c>
      <c r="DV8" s="0" t="n">
        <f aca="false">MIN(DV5,DU8*(1-Inputs!$B$9/12)*(1+Inputs!$B$8)^(1/36)+DV5*Inputs!$B$9/12)</f>
        <v>20.298743446685</v>
      </c>
      <c r="DW8" s="0" t="n">
        <f aca="false">MIN(DW5,DV8*(1-Inputs!$B$9/12)*(1+Inputs!$B$8)^(1/36)+DW5*Inputs!$B$9/12)</f>
        <v>20.3992566153648</v>
      </c>
      <c r="DX8" s="0" t="n">
        <f aca="false">MIN(DX5,DW8*(1-Inputs!$B$9/12)*(1+Inputs!$B$8)^(1/36)+DX5*Inputs!$B$9/12)</f>
        <v>20.499939964795</v>
      </c>
      <c r="DY8" s="0" t="n">
        <f aca="false">MIN(DY5,DX8*(1-Inputs!$B$9/12)*(1+Inputs!$B$8)^(1/36)+DY5*Inputs!$B$9/12)</f>
        <v>20.6007943153466</v>
      </c>
      <c r="DZ8" s="0" t="n">
        <f aca="false">MIN(DZ5,DY8*(1-Inputs!$B$9/12)*(1+Inputs!$B$8)^(1/36)+DZ5*Inputs!$B$9/12)</f>
        <v>20.7018204888161</v>
      </c>
      <c r="EA8" s="0" t="n">
        <f aca="false">MIN(EA5,DZ8*(1-Inputs!$B$9/12)*(1+Inputs!$B$8)^(1/36)+EA5*Inputs!$B$9/12)</f>
        <v>20.8030193084317</v>
      </c>
      <c r="EB8" s="0" t="n">
        <f aca="false">MIN(EB5,EA8*(1-Inputs!$B$9/12)*(1+Inputs!$B$8)^(1/36)+EB5*Inputs!$B$9/12)</f>
        <v>20.9043915988603</v>
      </c>
      <c r="EC8" s="0" t="n">
        <f aca="false">MIN(EC5,EB8*(1-Inputs!$B$9/12)*(1+Inputs!$B$8)^(1/36)+EC5*Inputs!$B$9/12)</f>
        <v>21.0059381862141</v>
      </c>
      <c r="ED8" s="0" t="n">
        <f aca="false">MIN(ED5,EC8*(1-Inputs!$B$9/12)*(1+Inputs!$B$8)^(1/36)+ED5*Inputs!$B$9/12)</f>
        <v>21.1076598980577</v>
      </c>
      <c r="EE8" s="0" t="n">
        <f aca="false">MIN(EE5,ED8*(1-Inputs!$B$9/12)*(1+Inputs!$B$8)^(1/36)+EE5*Inputs!$B$9/12)</f>
        <v>21.2095575634141</v>
      </c>
      <c r="EF8" s="0" t="n">
        <f aca="false">MIN(EF5,EE8*(1-Inputs!$B$9/12)*(1+Inputs!$B$8)^(1/36)+EF5*Inputs!$B$9/12)</f>
        <v>21.3116320127724</v>
      </c>
      <c r="EG8" s="0" t="n">
        <f aca="false">MIN(EG5,EF8*(1-Inputs!$B$9/12)*(1+Inputs!$B$8)^(1/36)+EG5*Inputs!$B$9/12)</f>
        <v>21.4138840780937</v>
      </c>
      <c r="EH8" s="0" t="n">
        <f aca="false">MIN(EH5,EG8*(1-Inputs!$B$9/12)*(1+Inputs!$B$8)^(1/36)+EH5*Inputs!$B$9/12)</f>
        <v>21.5163145928184</v>
      </c>
      <c r="EI8" s="0" t="n">
        <f aca="false">MIN(EI5,EH8*(1-Inputs!$B$9/12)*(1+Inputs!$B$8)^(1/36)+EI5*Inputs!$B$9/12)</f>
        <v>21.618924391873</v>
      </c>
      <c r="EJ8" s="0" t="n">
        <f aca="false">MIN(EJ5,EI8*(1-Inputs!$B$9/12)*(1+Inputs!$B$8)^(1/36)+EJ5*Inputs!$B$9/12)</f>
        <v>21.7217143116765</v>
      </c>
      <c r="EK8" s="0" t="n">
        <f aca="false">MIN(EK5,EJ8*(1-Inputs!$B$9/12)*(1+Inputs!$B$8)^(1/36)+EK5*Inputs!$B$9/12)</f>
        <v>21.8246851901477</v>
      </c>
      <c r="EL8" s="0" t="n">
        <f aca="false">MIN(EL5,EK8*(1-Inputs!$B$9/12)*(1+Inputs!$B$8)^(1/36)+EL5*Inputs!$B$9/12)</f>
        <v>21.9278378667118</v>
      </c>
      <c r="EM8" s="0" t="n">
        <f aca="false">MIN(EM5,EL8*(1-Inputs!$B$9/12)*(1+Inputs!$B$8)^(1/36)+EM5*Inputs!$B$9/12)</f>
        <v>22.031173182307</v>
      </c>
      <c r="EN8" s="0" t="n">
        <f aca="false">MIN(EN5,EM8*(1-Inputs!$B$9/12)*(1+Inputs!$B$8)^(1/36)+EN5*Inputs!$B$9/12)</f>
        <v>22.1346919793921</v>
      </c>
      <c r="EO8" s="0" t="n">
        <f aca="false">MIN(EO5,EN8*(1-Inputs!$B$9/12)*(1+Inputs!$B$8)^(1/36)+EO5*Inputs!$B$9/12)</f>
        <v>22.2383951019524</v>
      </c>
      <c r="EP8" s="0" t="n">
        <f aca="false">MIN(EP5,EO8*(1-Inputs!$B$9/12)*(1+Inputs!$B$8)^(1/36)+EP5*Inputs!$B$9/12)</f>
        <v>22.3422833955075</v>
      </c>
      <c r="EQ8" s="0" t="n">
        <f aca="false">MIN(EQ5,EP8*(1-Inputs!$B$9/12)*(1+Inputs!$B$8)^(1/36)+EQ5*Inputs!$B$9/12)</f>
        <v>22.4463577071174</v>
      </c>
      <c r="ER8" s="0" t="n">
        <f aca="false">MIN(ER5,EQ8*(1-Inputs!$B$9/12)*(1+Inputs!$B$8)^(1/36)+ER5*Inputs!$B$9/12)</f>
        <v>22.5506188853901</v>
      </c>
      <c r="ES8" s="0" t="n">
        <f aca="false">MIN(ES5,ER8*(1-Inputs!$B$9/12)*(1+Inputs!$B$8)^(1/36)+ES5*Inputs!$B$9/12)</f>
        <v>22.6550677804879</v>
      </c>
      <c r="ET8" s="0" t="n">
        <f aca="false">MIN(ET5,ES8*(1-Inputs!$B$9/12)*(1+Inputs!$B$8)^(1/36)+ET5*Inputs!$B$9/12)</f>
        <v>22.7597052441349</v>
      </c>
      <c r="EU8" s="0" t="n">
        <f aca="false">MIN(EU5,ET8*(1-Inputs!$B$9/12)*(1+Inputs!$B$8)^(1/36)+EU5*Inputs!$B$9/12)</f>
        <v>22.8645321296235</v>
      </c>
      <c r="EV8" s="0" t="n">
        <f aca="false">MIN(EV5,EU8*(1-Inputs!$B$9/12)*(1+Inputs!$B$8)^(1/36)+EV5*Inputs!$B$9/12)</f>
        <v>22.9695492918217</v>
      </c>
      <c r="EW8" s="0" t="n">
        <f aca="false">MIN(EW5,EV8*(1-Inputs!$B$9/12)*(1+Inputs!$B$8)^(1/36)+EW5*Inputs!$B$9/12)</f>
        <v>23.0747575871798</v>
      </c>
      <c r="EX8" s="0" t="n">
        <f aca="false">MIN(EX5,EW8*(1-Inputs!$B$9/12)*(1+Inputs!$B$8)^(1/36)+EX5*Inputs!$B$9/12)</f>
        <v>23.1801578737375</v>
      </c>
      <c r="EY8" s="0" t="n">
        <f aca="false">MIN(EY5,EX8*(1-Inputs!$B$9/12)*(1+Inputs!$B$8)^(1/36)+EY5*Inputs!$B$9/12)</f>
        <v>23.2857510111309</v>
      </c>
      <c r="EZ8" s="0" t="n">
        <f aca="false">MIN(EZ5,EY8*(1-Inputs!$B$9/12)*(1+Inputs!$B$8)^(1/36)+EZ5*Inputs!$B$9/12)</f>
        <v>23.3915378605996</v>
      </c>
      <c r="FA8" s="0" t="n">
        <f aca="false">MIN(FA5,EZ8*(1-Inputs!$B$9/12)*(1+Inputs!$B$8)^(1/36)+FA5*Inputs!$B$9/12)</f>
        <v>23.4975192849937</v>
      </c>
      <c r="FB8" s="0" t="n">
        <f aca="false">MIN(FB5,FA8*(1-Inputs!$B$9/12)*(1+Inputs!$B$8)^(1/36)+FB5*Inputs!$B$9/12)</f>
        <v>23.6036961487804</v>
      </c>
      <c r="FC8" s="0" t="n">
        <f aca="false">MIN(FC5,FB8*(1-Inputs!$B$9/12)*(1+Inputs!$B$8)^(1/36)+FC5*Inputs!$B$9/12)</f>
        <v>23.710069318052</v>
      </c>
      <c r="FD8" s="0" t="n">
        <f aca="false">MIN(FD5,FC8*(1-Inputs!$B$9/12)*(1+Inputs!$B$8)^(1/36)+FD5*Inputs!$B$9/12)</f>
        <v>23.8166396605319</v>
      </c>
      <c r="FE8" s="0" t="n">
        <f aca="false">MIN(FE5,FD8*(1-Inputs!$B$9/12)*(1+Inputs!$B$8)^(1/36)+FE5*Inputs!$B$9/12)</f>
        <v>23.9234080455824</v>
      </c>
      <c r="FF8" s="0" t="n">
        <f aca="false">MIN(FF5,FE8*(1-Inputs!$B$9/12)*(1+Inputs!$B$8)^(1/36)+FF5*Inputs!$B$9/12)</f>
        <v>24.0303753442117</v>
      </c>
      <c r="FG8" s="0" t="n">
        <f aca="false">MIN(FG5,FF8*(1-Inputs!$B$9/12)*(1+Inputs!$B$8)^(1/36)+FG5*Inputs!$B$9/12)</f>
        <v>24.1375424290806</v>
      </c>
      <c r="FH8" s="0" t="n">
        <f aca="false">MIN(FH5,FG8*(1-Inputs!$B$9/12)*(1+Inputs!$B$8)^(1/36)+FH5*Inputs!$B$9/12)</f>
        <v>24.2449101745102</v>
      </c>
      <c r="FI8" s="0" t="n">
        <f aca="false">MIN(FI5,FH8*(1-Inputs!$B$9/12)*(1+Inputs!$B$8)^(1/36)+FI5*Inputs!$B$9/12)</f>
        <v>24.3524794564884</v>
      </c>
      <c r="FJ8" s="0" t="n">
        <f aca="false">MIN(FJ5,FI8*(1-Inputs!$B$9/12)*(1+Inputs!$B$8)^(1/36)+FJ5*Inputs!$B$9/12)</f>
        <v>24.4602511526777</v>
      </c>
      <c r="FK8" s="0" t="n">
        <f aca="false">MIN(FK5,FJ8*(1-Inputs!$B$9/12)*(1+Inputs!$B$8)^(1/36)+FK5*Inputs!$B$9/12)</f>
        <v>24.5682261424219</v>
      </c>
      <c r="FL8" s="0" t="n">
        <f aca="false">MIN(FL5,FK8*(1-Inputs!$B$9/12)*(1+Inputs!$B$8)^(1/36)+FL5*Inputs!$B$9/12)</f>
        <v>24.6764053067533</v>
      </c>
      <c r="FM8" s="0" t="n">
        <f aca="false">MIN(FM5,FL8*(1-Inputs!$B$9/12)*(1+Inputs!$B$8)^(1/36)+FM5*Inputs!$B$9/12)</f>
        <v>24.7847895284004</v>
      </c>
      <c r="FN8" s="0" t="n">
        <f aca="false">MIN(FN5,FM8*(1-Inputs!$B$9/12)*(1+Inputs!$B$8)^(1/36)+FN5*Inputs!$B$9/12)</f>
        <v>24.8933796917944</v>
      </c>
      <c r="FO8" s="0" t="n">
        <f aca="false">MIN(FO5,FN8*(1-Inputs!$B$9/12)*(1+Inputs!$B$8)^(1/36)+FO5*Inputs!$B$9/12)</f>
        <v>25.0021766830767</v>
      </c>
      <c r="FP8" s="0" t="n">
        <f aca="false">MIN(FP5,FO8*(1-Inputs!$B$9/12)*(1+Inputs!$B$8)^(1/36)+FP5*Inputs!$B$9/12)</f>
        <v>25.1111813901065</v>
      </c>
      <c r="FQ8" s="0" t="n">
        <f aca="false">MIN(FQ5,FP8*(1-Inputs!$B$9/12)*(1+Inputs!$B$8)^(1/36)+FQ5*Inputs!$B$9/12)</f>
        <v>25.2203947024673</v>
      </c>
      <c r="FR8" s="0" t="n">
        <f aca="false">MIN(FR5,FQ8*(1-Inputs!$B$9/12)*(1+Inputs!$B$8)^(1/36)+FR5*Inputs!$B$9/12)</f>
        <v>25.329817511475</v>
      </c>
      <c r="FS8" s="0" t="n">
        <f aca="false">MIN(FS5,FR8*(1-Inputs!$B$9/12)*(1+Inputs!$B$8)^(1/36)+FS5*Inputs!$B$9/12)</f>
        <v>25.4394507101845</v>
      </c>
      <c r="FT8" s="0" t="n">
        <f aca="false">MIN(FT5,FS8*(1-Inputs!$B$9/12)*(1+Inputs!$B$8)^(1/36)+FT5*Inputs!$B$9/12)</f>
        <v>25.5492951933972</v>
      </c>
      <c r="FU8" s="0" t="n">
        <f aca="false">MIN(FU5,FT8*(1-Inputs!$B$9/12)*(1+Inputs!$B$8)^(1/36)+FU5*Inputs!$B$9/12)</f>
        <v>25.6593518576686</v>
      </c>
      <c r="FV8" s="0" t="n">
        <f aca="false">MIN(FV5,FU8*(1-Inputs!$B$9/12)*(1+Inputs!$B$8)^(1/36)+FV5*Inputs!$B$9/12)</f>
        <v>25.7696216013152</v>
      </c>
      <c r="FW8" s="0" t="n">
        <f aca="false">MIN(FW5,FV8*(1-Inputs!$B$9/12)*(1+Inputs!$B$8)^(1/36)+FW5*Inputs!$B$9/12)</f>
        <v>25.8801053244221</v>
      </c>
      <c r="FX8" s="0" t="n">
        <f aca="false">MIN(FX5,FW8*(1-Inputs!$B$9/12)*(1+Inputs!$B$8)^(1/36)+FX5*Inputs!$B$9/12)</f>
        <v>25.99080392885</v>
      </c>
      <c r="FY8" s="0" t="n">
        <f aca="false">MIN(FY5,FX8*(1-Inputs!$B$9/12)*(1+Inputs!$B$8)^(1/36)+FY5*Inputs!$B$9/12)</f>
        <v>26.1017183182432</v>
      </c>
      <c r="FZ8" s="0" t="n">
        <f aca="false">MIN(FZ5,FY8*(1-Inputs!$B$9/12)*(1+Inputs!$B$8)^(1/36)+FZ5*Inputs!$B$9/12)</f>
        <v>26.2128493980364</v>
      </c>
    </row>
    <row r="9" customFormat="false" ht="15" hidden="false" customHeight="false" outlineLevel="0" collapsed="false">
      <c r="A9" s="0" t="s">
        <v>30</v>
      </c>
      <c r="B9" s="0" t="n">
        <f aca="false">IF(AND(B$3&gt;=Groups!$E$3,MOD(B$3-Groups!$E$3,Groups!$D$3*12)=0),Groups!$B$3*Inputs!$B$16,0)</f>
        <v>0</v>
      </c>
      <c r="C9" s="0" t="n">
        <f aca="false">IF(AND(C$3&gt;=Groups!$E$3,MOD(C$3-Groups!$E$3,Groups!$D$3*12)=0),Groups!$B$3*Inputs!$B$16,0)</f>
        <v>0</v>
      </c>
      <c r="D9" s="0" t="n">
        <f aca="false">IF(AND(D$3&gt;=Groups!$E$3,MOD(D$3-Groups!$E$3,Groups!$D$3*12)=0),Groups!$B$3*Inputs!$B$16,0)</f>
        <v>0</v>
      </c>
      <c r="E9" s="0" t="n">
        <f aca="false">IF(AND(E$3&gt;=Groups!$E$3,MOD(E$3-Groups!$E$3,Groups!$D$3*12)=0),Groups!$B$3*Inputs!$B$16,0)</f>
        <v>0</v>
      </c>
      <c r="F9" s="0" t="n">
        <f aca="false">IF(AND(F$3&gt;=Groups!$E$3,MOD(F$3-Groups!$E$3,Groups!$D$3*12)=0),Groups!$B$3*Inputs!$B$16,0)</f>
        <v>0</v>
      </c>
      <c r="G9" s="0" t="n">
        <f aca="false">IF(AND(G$3&gt;=Groups!$E$3,MOD(G$3-Groups!$E$3,Groups!$D$3*12)=0),Groups!$B$3*Inputs!$B$16,0)</f>
        <v>0</v>
      </c>
      <c r="H9" s="0" t="n">
        <f aca="false">IF(AND(H$3&gt;=Groups!$E$3,MOD(H$3-Groups!$E$3,Groups!$D$3*12)=0),Groups!$B$3*Inputs!$B$16,0)</f>
        <v>0</v>
      </c>
      <c r="I9" s="0" t="n">
        <f aca="false">IF(AND(I$3&gt;=Groups!$E$3,MOD(I$3-Groups!$E$3,Groups!$D$3*12)=0),Groups!$B$3*Inputs!$B$16,0)</f>
        <v>0</v>
      </c>
      <c r="J9" s="0" t="n">
        <f aca="false">IF(AND(J$3&gt;=Groups!$E$3,MOD(J$3-Groups!$E$3,Groups!$D$3*12)=0),Groups!$B$3*Inputs!$B$16,0)</f>
        <v>0</v>
      </c>
      <c r="K9" s="0" t="n">
        <f aca="false">IF(AND(K$3&gt;=Groups!$E$3,MOD(K$3-Groups!$E$3,Groups!$D$3*12)=0),Groups!$B$3*Inputs!$B$16,0)</f>
        <v>0</v>
      </c>
      <c r="L9" s="0" t="n">
        <f aca="false">IF(AND(L$3&gt;=Groups!$E$3,MOD(L$3-Groups!$E$3,Groups!$D$3*12)=0),Groups!$B$3*Inputs!$B$16,0)</f>
        <v>0</v>
      </c>
      <c r="M9" s="0" t="n">
        <f aca="false">IF(AND(M$3&gt;=Groups!$E$3,MOD(M$3-Groups!$E$3,Groups!$D$3*12)=0),Groups!$B$3*Inputs!$B$16,0)</f>
        <v>0</v>
      </c>
      <c r="N9" s="0" t="n">
        <f aca="false">IF(AND(N$3&gt;=Groups!$E$3,MOD(N$3-Groups!$E$3,Groups!$D$3*12)=0),Groups!$B$3*Inputs!$B$16,0)</f>
        <v>0</v>
      </c>
      <c r="O9" s="0" t="n">
        <f aca="false">IF(AND(O$3&gt;=Groups!$E$3,MOD(O$3-Groups!$E$3,Groups!$D$3*12)=0),Groups!$B$3*Inputs!$B$16,0)</f>
        <v>0</v>
      </c>
      <c r="P9" s="0" t="n">
        <f aca="false">IF(AND(P$3&gt;=Groups!$E$3,MOD(P$3-Groups!$E$3,Groups!$D$3*12)=0),Groups!$B$3*Inputs!$B$16,0)</f>
        <v>0</v>
      </c>
      <c r="Q9" s="0" t="n">
        <f aca="false">IF(AND(Q$3&gt;=Groups!$E$3,MOD(Q$3-Groups!$E$3,Groups!$D$3*12)=0),Groups!$B$3*Inputs!$B$16,0)</f>
        <v>0</v>
      </c>
      <c r="R9" s="0" t="n">
        <f aca="false">IF(AND(R$3&gt;=Groups!$E$3,MOD(R$3-Groups!$E$3,Groups!$D$3*12)=0),Groups!$B$3*Inputs!$B$16,0)</f>
        <v>0</v>
      </c>
      <c r="S9" s="0" t="n">
        <f aca="false">IF(AND(S$3&gt;=Groups!$E$3,MOD(S$3-Groups!$E$3,Groups!$D$3*12)=0),Groups!$B$3*Inputs!$B$16,0)</f>
        <v>0</v>
      </c>
      <c r="T9" s="0" t="n">
        <f aca="false">IF(AND(T$3&gt;=Groups!$E$3,MOD(T$3-Groups!$E$3,Groups!$D$3*12)=0),Groups!$B$3*Inputs!$B$16,0)</f>
        <v>0</v>
      </c>
      <c r="U9" s="0" t="n">
        <f aca="false">IF(AND(U$3&gt;=Groups!$E$3,MOD(U$3-Groups!$E$3,Groups!$D$3*12)=0),Groups!$B$3*Inputs!$B$16,0)</f>
        <v>0</v>
      </c>
      <c r="V9" s="0" t="n">
        <f aca="false">IF(AND(V$3&gt;=Groups!$E$3,MOD(V$3-Groups!$E$3,Groups!$D$3*12)=0),Groups!$B$3*Inputs!$B$16,0)</f>
        <v>0</v>
      </c>
      <c r="W9" s="0" t="n">
        <f aca="false">IF(AND(W$3&gt;=Groups!$E$3,MOD(W$3-Groups!$E$3,Groups!$D$3*12)=0),Groups!$B$3*Inputs!$B$16,0)</f>
        <v>0</v>
      </c>
      <c r="X9" s="0" t="n">
        <f aca="false">IF(AND(X$3&gt;=Groups!$E$3,MOD(X$3-Groups!$E$3,Groups!$D$3*12)=0),Groups!$B$3*Inputs!$B$16,0)</f>
        <v>0</v>
      </c>
      <c r="Y9" s="0" t="n">
        <f aca="false">IF(AND(Y$3&gt;=Groups!$E$3,MOD(Y$3-Groups!$E$3,Groups!$D$3*12)=0),Groups!$B$3*Inputs!$B$16,0)</f>
        <v>0</v>
      </c>
      <c r="Z9" s="0" t="n">
        <f aca="false">IF(AND(Z$3&gt;=Groups!$E$3,MOD(Z$3-Groups!$E$3,Groups!$D$3*12)=0),Groups!$B$3*Inputs!$B$16,0)</f>
        <v>0</v>
      </c>
      <c r="AA9" s="0" t="n">
        <f aca="false">IF(AND(AA$3&gt;=Groups!$E$3,MOD(AA$3-Groups!$E$3,Groups!$D$3*12)=0),Groups!$B$3*Inputs!$B$16,0)</f>
        <v>0</v>
      </c>
      <c r="AB9" s="0" t="n">
        <f aca="false">IF(AND(AB$3&gt;=Groups!$E$3,MOD(AB$3-Groups!$E$3,Groups!$D$3*12)=0),Groups!$B$3*Inputs!$B$16,0)</f>
        <v>0</v>
      </c>
      <c r="AC9" s="0" t="n">
        <f aca="false">IF(AND(AC$3&gt;=Groups!$E$3,MOD(AC$3-Groups!$E$3,Groups!$D$3*12)=0),Groups!$B$3*Inputs!$B$16,0)</f>
        <v>0</v>
      </c>
      <c r="AD9" s="0" t="n">
        <f aca="false">IF(AND(AD$3&gt;=Groups!$E$3,MOD(AD$3-Groups!$E$3,Groups!$D$3*12)=0),Groups!$B$3*Inputs!$B$16,0)</f>
        <v>0</v>
      </c>
      <c r="AE9" s="0" t="n">
        <f aca="false">IF(AND(AE$3&gt;=Groups!$E$3,MOD(AE$3-Groups!$E$3,Groups!$D$3*12)=0),Groups!$B$3*Inputs!$B$16,0)</f>
        <v>0</v>
      </c>
      <c r="AF9" s="0" t="n">
        <f aca="false">IF(AND(AF$3&gt;=Groups!$E$3,MOD(AF$3-Groups!$E$3,Groups!$D$3*12)=0),Groups!$B$3*Inputs!$B$16,0)</f>
        <v>21840000</v>
      </c>
      <c r="AG9" s="0" t="n">
        <f aca="false">IF(AND(AG$3&gt;=Groups!$E$3,MOD(AG$3-Groups!$E$3,Groups!$D$3*12)=0),Groups!$B$3*Inputs!$B$16,0)</f>
        <v>0</v>
      </c>
      <c r="AH9" s="0" t="n">
        <f aca="false">IF(AND(AH$3&gt;=Groups!$E$3,MOD(AH$3-Groups!$E$3,Groups!$D$3*12)=0),Groups!$B$3*Inputs!$B$16,0)</f>
        <v>0</v>
      </c>
      <c r="AI9" s="0" t="n">
        <f aca="false">IF(AND(AI$3&gt;=Groups!$E$3,MOD(AI$3-Groups!$E$3,Groups!$D$3*12)=0),Groups!$B$3*Inputs!$B$16,0)</f>
        <v>0</v>
      </c>
      <c r="AJ9" s="0" t="n">
        <f aca="false">IF(AND(AJ$3&gt;=Groups!$E$3,MOD(AJ$3-Groups!$E$3,Groups!$D$3*12)=0),Groups!$B$3*Inputs!$B$16,0)</f>
        <v>0</v>
      </c>
      <c r="AK9" s="0" t="n">
        <f aca="false">IF(AND(AK$3&gt;=Groups!$E$3,MOD(AK$3-Groups!$E$3,Groups!$D$3*12)=0),Groups!$B$3*Inputs!$B$16,0)</f>
        <v>0</v>
      </c>
      <c r="AL9" s="0" t="n">
        <f aca="false">IF(AND(AL$3&gt;=Groups!$E$3,MOD(AL$3-Groups!$E$3,Groups!$D$3*12)=0),Groups!$B$3*Inputs!$B$16,0)</f>
        <v>0</v>
      </c>
      <c r="AM9" s="0" t="n">
        <f aca="false">IF(AND(AM$3&gt;=Groups!$E$3,MOD(AM$3-Groups!$E$3,Groups!$D$3*12)=0),Groups!$B$3*Inputs!$B$16,0)</f>
        <v>0</v>
      </c>
      <c r="AN9" s="0" t="n">
        <f aca="false">IF(AND(AN$3&gt;=Groups!$E$3,MOD(AN$3-Groups!$E$3,Groups!$D$3*12)=0),Groups!$B$3*Inputs!$B$16,0)</f>
        <v>0</v>
      </c>
      <c r="AO9" s="0" t="n">
        <f aca="false">IF(AND(AO$3&gt;=Groups!$E$3,MOD(AO$3-Groups!$E$3,Groups!$D$3*12)=0),Groups!$B$3*Inputs!$B$16,0)</f>
        <v>0</v>
      </c>
      <c r="AP9" s="0" t="n">
        <f aca="false">IF(AND(AP$3&gt;=Groups!$E$3,MOD(AP$3-Groups!$E$3,Groups!$D$3*12)=0),Groups!$B$3*Inputs!$B$16,0)</f>
        <v>0</v>
      </c>
      <c r="AQ9" s="0" t="n">
        <f aca="false">IF(AND(AQ$3&gt;=Groups!$E$3,MOD(AQ$3-Groups!$E$3,Groups!$D$3*12)=0),Groups!$B$3*Inputs!$B$16,0)</f>
        <v>0</v>
      </c>
      <c r="AR9" s="0" t="n">
        <f aca="false">IF(AND(AR$3&gt;=Groups!$E$3,MOD(AR$3-Groups!$E$3,Groups!$D$3*12)=0),Groups!$B$3*Inputs!$B$16,0)</f>
        <v>0</v>
      </c>
      <c r="AS9" s="0" t="n">
        <f aca="false">IF(AND(AS$3&gt;=Groups!$E$3,MOD(AS$3-Groups!$E$3,Groups!$D$3*12)=0),Groups!$B$3*Inputs!$B$16,0)</f>
        <v>0</v>
      </c>
      <c r="AT9" s="0" t="n">
        <f aca="false">IF(AND(AT$3&gt;=Groups!$E$3,MOD(AT$3-Groups!$E$3,Groups!$D$3*12)=0),Groups!$B$3*Inputs!$B$16,0)</f>
        <v>0</v>
      </c>
      <c r="AU9" s="0" t="n">
        <f aca="false">IF(AND(AU$3&gt;=Groups!$E$3,MOD(AU$3-Groups!$E$3,Groups!$D$3*12)=0),Groups!$B$3*Inputs!$B$16,0)</f>
        <v>0</v>
      </c>
      <c r="AV9" s="0" t="n">
        <f aca="false">IF(AND(AV$3&gt;=Groups!$E$3,MOD(AV$3-Groups!$E$3,Groups!$D$3*12)=0),Groups!$B$3*Inputs!$B$16,0)</f>
        <v>0</v>
      </c>
      <c r="AW9" s="0" t="n">
        <f aca="false">IF(AND(AW$3&gt;=Groups!$E$3,MOD(AW$3-Groups!$E$3,Groups!$D$3*12)=0),Groups!$B$3*Inputs!$B$16,0)</f>
        <v>0</v>
      </c>
      <c r="AX9" s="0" t="n">
        <f aca="false">IF(AND(AX$3&gt;=Groups!$E$3,MOD(AX$3-Groups!$E$3,Groups!$D$3*12)=0),Groups!$B$3*Inputs!$B$16,0)</f>
        <v>0</v>
      </c>
      <c r="AY9" s="0" t="n">
        <f aca="false">IF(AND(AY$3&gt;=Groups!$E$3,MOD(AY$3-Groups!$E$3,Groups!$D$3*12)=0),Groups!$B$3*Inputs!$B$16,0)</f>
        <v>0</v>
      </c>
      <c r="AZ9" s="0" t="n">
        <f aca="false">IF(AND(AZ$3&gt;=Groups!$E$3,MOD(AZ$3-Groups!$E$3,Groups!$D$3*12)=0),Groups!$B$3*Inputs!$B$16,0)</f>
        <v>0</v>
      </c>
      <c r="BA9" s="0" t="n">
        <f aca="false">IF(AND(BA$3&gt;=Groups!$E$3,MOD(BA$3-Groups!$E$3,Groups!$D$3*12)=0),Groups!$B$3*Inputs!$B$16,0)</f>
        <v>0</v>
      </c>
      <c r="BB9" s="0" t="n">
        <f aca="false">IF(AND(BB$3&gt;=Groups!$E$3,MOD(BB$3-Groups!$E$3,Groups!$D$3*12)=0),Groups!$B$3*Inputs!$B$16,0)</f>
        <v>0</v>
      </c>
      <c r="BC9" s="0" t="n">
        <f aca="false">IF(AND(BC$3&gt;=Groups!$E$3,MOD(BC$3-Groups!$E$3,Groups!$D$3*12)=0),Groups!$B$3*Inputs!$B$16,0)</f>
        <v>0</v>
      </c>
      <c r="BD9" s="0" t="n">
        <f aca="false">IF(AND(BD$3&gt;=Groups!$E$3,MOD(BD$3-Groups!$E$3,Groups!$D$3*12)=0),Groups!$B$3*Inputs!$B$16,0)</f>
        <v>0</v>
      </c>
      <c r="BE9" s="0" t="n">
        <f aca="false">IF(AND(BE$3&gt;=Groups!$E$3,MOD(BE$3-Groups!$E$3,Groups!$D$3*12)=0),Groups!$B$3*Inputs!$B$16,0)</f>
        <v>0</v>
      </c>
      <c r="BF9" s="0" t="n">
        <f aca="false">IF(AND(BF$3&gt;=Groups!$E$3,MOD(BF$3-Groups!$E$3,Groups!$D$3*12)=0),Groups!$B$3*Inputs!$B$16,0)</f>
        <v>0</v>
      </c>
      <c r="BG9" s="0" t="n">
        <f aca="false">IF(AND(BG$3&gt;=Groups!$E$3,MOD(BG$3-Groups!$E$3,Groups!$D$3*12)=0),Groups!$B$3*Inputs!$B$16,0)</f>
        <v>0</v>
      </c>
      <c r="BH9" s="0" t="n">
        <f aca="false">IF(AND(BH$3&gt;=Groups!$E$3,MOD(BH$3-Groups!$E$3,Groups!$D$3*12)=0),Groups!$B$3*Inputs!$B$16,0)</f>
        <v>0</v>
      </c>
      <c r="BI9" s="0" t="n">
        <f aca="false">IF(AND(BI$3&gt;=Groups!$E$3,MOD(BI$3-Groups!$E$3,Groups!$D$3*12)=0),Groups!$B$3*Inputs!$B$16,0)</f>
        <v>0</v>
      </c>
      <c r="BJ9" s="0" t="n">
        <f aca="false">IF(AND(BJ$3&gt;=Groups!$E$3,MOD(BJ$3-Groups!$E$3,Groups!$D$3*12)=0),Groups!$B$3*Inputs!$B$16,0)</f>
        <v>0</v>
      </c>
      <c r="BK9" s="0" t="n">
        <f aca="false">IF(AND(BK$3&gt;=Groups!$E$3,MOD(BK$3-Groups!$E$3,Groups!$D$3*12)=0),Groups!$B$3*Inputs!$B$16,0)</f>
        <v>0</v>
      </c>
      <c r="BL9" s="0" t="n">
        <f aca="false">IF(AND(BL$3&gt;=Groups!$E$3,MOD(BL$3-Groups!$E$3,Groups!$D$3*12)=0),Groups!$B$3*Inputs!$B$16,0)</f>
        <v>0</v>
      </c>
      <c r="BM9" s="0" t="n">
        <f aca="false">IF(AND(BM$3&gt;=Groups!$E$3,MOD(BM$3-Groups!$E$3,Groups!$D$3*12)=0),Groups!$B$3*Inputs!$B$16,0)</f>
        <v>0</v>
      </c>
      <c r="BN9" s="0" t="n">
        <f aca="false">IF(AND(BN$3&gt;=Groups!$E$3,MOD(BN$3-Groups!$E$3,Groups!$D$3*12)=0),Groups!$B$3*Inputs!$B$16,0)</f>
        <v>0</v>
      </c>
      <c r="BO9" s="0" t="n">
        <f aca="false">IF(AND(BO$3&gt;=Groups!$E$3,MOD(BO$3-Groups!$E$3,Groups!$D$3*12)=0),Groups!$B$3*Inputs!$B$16,0)</f>
        <v>0</v>
      </c>
      <c r="BP9" s="0" t="n">
        <f aca="false">IF(AND(BP$3&gt;=Groups!$E$3,MOD(BP$3-Groups!$E$3,Groups!$D$3*12)=0),Groups!$B$3*Inputs!$B$16,0)</f>
        <v>0</v>
      </c>
      <c r="BQ9" s="0" t="n">
        <f aca="false">IF(AND(BQ$3&gt;=Groups!$E$3,MOD(BQ$3-Groups!$E$3,Groups!$D$3*12)=0),Groups!$B$3*Inputs!$B$16,0)</f>
        <v>0</v>
      </c>
      <c r="BR9" s="0" t="n">
        <f aca="false">IF(AND(BR$3&gt;=Groups!$E$3,MOD(BR$3-Groups!$E$3,Groups!$D$3*12)=0),Groups!$B$3*Inputs!$B$16,0)</f>
        <v>0</v>
      </c>
      <c r="BS9" s="0" t="n">
        <f aca="false">IF(AND(BS$3&gt;=Groups!$E$3,MOD(BS$3-Groups!$E$3,Groups!$D$3*12)=0),Groups!$B$3*Inputs!$B$16,0)</f>
        <v>0</v>
      </c>
      <c r="BT9" s="0" t="n">
        <f aca="false">IF(AND(BT$3&gt;=Groups!$E$3,MOD(BT$3-Groups!$E$3,Groups!$D$3*12)=0),Groups!$B$3*Inputs!$B$16,0)</f>
        <v>0</v>
      </c>
      <c r="BU9" s="0" t="n">
        <f aca="false">IF(AND(BU$3&gt;=Groups!$E$3,MOD(BU$3-Groups!$E$3,Groups!$D$3*12)=0),Groups!$B$3*Inputs!$B$16,0)</f>
        <v>0</v>
      </c>
      <c r="BV9" s="0" t="n">
        <f aca="false">IF(AND(BV$3&gt;=Groups!$E$3,MOD(BV$3-Groups!$E$3,Groups!$D$3*12)=0),Groups!$B$3*Inputs!$B$16,0)</f>
        <v>0</v>
      </c>
      <c r="BW9" s="0" t="n">
        <f aca="false">IF(AND(BW$3&gt;=Groups!$E$3,MOD(BW$3-Groups!$E$3,Groups!$D$3*12)=0),Groups!$B$3*Inputs!$B$16,0)</f>
        <v>0</v>
      </c>
      <c r="BX9" s="0" t="n">
        <f aca="false">IF(AND(BX$3&gt;=Groups!$E$3,MOD(BX$3-Groups!$E$3,Groups!$D$3*12)=0),Groups!$B$3*Inputs!$B$16,0)</f>
        <v>0</v>
      </c>
      <c r="BY9" s="0" t="n">
        <f aca="false">IF(AND(BY$3&gt;=Groups!$E$3,MOD(BY$3-Groups!$E$3,Groups!$D$3*12)=0),Groups!$B$3*Inputs!$B$16,0)</f>
        <v>0</v>
      </c>
      <c r="BZ9" s="0" t="n">
        <f aca="false">IF(AND(BZ$3&gt;=Groups!$E$3,MOD(BZ$3-Groups!$E$3,Groups!$D$3*12)=0),Groups!$B$3*Inputs!$B$16,0)</f>
        <v>0</v>
      </c>
      <c r="CA9" s="0" t="n">
        <f aca="false">IF(AND(CA$3&gt;=Groups!$E$3,MOD(CA$3-Groups!$E$3,Groups!$D$3*12)=0),Groups!$B$3*Inputs!$B$16,0)</f>
        <v>0</v>
      </c>
      <c r="CB9" s="0" t="n">
        <f aca="false">IF(AND(CB$3&gt;=Groups!$E$3,MOD(CB$3-Groups!$E$3,Groups!$D$3*12)=0),Groups!$B$3*Inputs!$B$16,0)</f>
        <v>0</v>
      </c>
      <c r="CC9" s="0" t="n">
        <f aca="false">IF(AND(CC$3&gt;=Groups!$E$3,MOD(CC$3-Groups!$E$3,Groups!$D$3*12)=0),Groups!$B$3*Inputs!$B$16,0)</f>
        <v>0</v>
      </c>
      <c r="CD9" s="0" t="n">
        <f aca="false">IF(AND(CD$3&gt;=Groups!$E$3,MOD(CD$3-Groups!$E$3,Groups!$D$3*12)=0),Groups!$B$3*Inputs!$B$16,0)</f>
        <v>0</v>
      </c>
      <c r="CE9" s="0" t="n">
        <f aca="false">IF(AND(CE$3&gt;=Groups!$E$3,MOD(CE$3-Groups!$E$3,Groups!$D$3*12)=0),Groups!$B$3*Inputs!$B$16,0)</f>
        <v>0</v>
      </c>
      <c r="CF9" s="0" t="n">
        <f aca="false">IF(AND(CF$3&gt;=Groups!$E$3,MOD(CF$3-Groups!$E$3,Groups!$D$3*12)=0),Groups!$B$3*Inputs!$B$16,0)</f>
        <v>0</v>
      </c>
      <c r="CG9" s="0" t="n">
        <f aca="false">IF(AND(CG$3&gt;=Groups!$E$3,MOD(CG$3-Groups!$E$3,Groups!$D$3*12)=0),Groups!$B$3*Inputs!$B$16,0)</f>
        <v>0</v>
      </c>
      <c r="CH9" s="0" t="n">
        <f aca="false">IF(AND(CH$3&gt;=Groups!$E$3,MOD(CH$3-Groups!$E$3,Groups!$D$3*12)=0),Groups!$B$3*Inputs!$B$16,0)</f>
        <v>0</v>
      </c>
      <c r="CI9" s="0" t="n">
        <f aca="false">IF(AND(CI$3&gt;=Groups!$E$3,MOD(CI$3-Groups!$E$3,Groups!$D$3*12)=0),Groups!$B$3*Inputs!$B$16,0)</f>
        <v>0</v>
      </c>
      <c r="CJ9" s="0" t="n">
        <f aca="false">IF(AND(CJ$3&gt;=Groups!$E$3,MOD(CJ$3-Groups!$E$3,Groups!$D$3*12)=0),Groups!$B$3*Inputs!$B$16,0)</f>
        <v>0</v>
      </c>
      <c r="CK9" s="0" t="n">
        <f aca="false">IF(AND(CK$3&gt;=Groups!$E$3,MOD(CK$3-Groups!$E$3,Groups!$D$3*12)=0),Groups!$B$3*Inputs!$B$16,0)</f>
        <v>0</v>
      </c>
      <c r="CL9" s="0" t="n">
        <f aca="false">IF(AND(CL$3&gt;=Groups!$E$3,MOD(CL$3-Groups!$E$3,Groups!$D$3*12)=0),Groups!$B$3*Inputs!$B$16,0)</f>
        <v>0</v>
      </c>
      <c r="CM9" s="0" t="n">
        <f aca="false">IF(AND(CM$3&gt;=Groups!$E$3,MOD(CM$3-Groups!$E$3,Groups!$D$3*12)=0),Groups!$B$3*Inputs!$B$16,0)</f>
        <v>0</v>
      </c>
      <c r="CN9" s="0" t="n">
        <f aca="false">IF(AND(CN$3&gt;=Groups!$E$3,MOD(CN$3-Groups!$E$3,Groups!$D$3*12)=0),Groups!$B$3*Inputs!$B$16,0)</f>
        <v>0</v>
      </c>
      <c r="CO9" s="0" t="n">
        <f aca="false">IF(AND(CO$3&gt;=Groups!$E$3,MOD(CO$3-Groups!$E$3,Groups!$D$3*12)=0),Groups!$B$3*Inputs!$B$16,0)</f>
        <v>0</v>
      </c>
      <c r="CP9" s="0" t="n">
        <f aca="false">IF(AND(CP$3&gt;=Groups!$E$3,MOD(CP$3-Groups!$E$3,Groups!$D$3*12)=0),Groups!$B$3*Inputs!$B$16,0)</f>
        <v>0</v>
      </c>
      <c r="CQ9" s="0" t="n">
        <f aca="false">IF(AND(CQ$3&gt;=Groups!$E$3,MOD(CQ$3-Groups!$E$3,Groups!$D$3*12)=0),Groups!$B$3*Inputs!$B$16,0)</f>
        <v>0</v>
      </c>
      <c r="CR9" s="0" t="n">
        <f aca="false">IF(AND(CR$3&gt;=Groups!$E$3,MOD(CR$3-Groups!$E$3,Groups!$D$3*12)=0),Groups!$B$3*Inputs!$B$16,0)</f>
        <v>0</v>
      </c>
      <c r="CS9" s="0" t="n">
        <f aca="false">IF(AND(CS$3&gt;=Groups!$E$3,MOD(CS$3-Groups!$E$3,Groups!$D$3*12)=0),Groups!$B$3*Inputs!$B$16,0)</f>
        <v>0</v>
      </c>
      <c r="CT9" s="0" t="n">
        <f aca="false">IF(AND(CT$3&gt;=Groups!$E$3,MOD(CT$3-Groups!$E$3,Groups!$D$3*12)=0),Groups!$B$3*Inputs!$B$16,0)</f>
        <v>0</v>
      </c>
      <c r="CU9" s="0" t="n">
        <f aca="false">IF(AND(CU$3&gt;=Groups!$E$3,MOD(CU$3-Groups!$E$3,Groups!$D$3*12)=0),Groups!$B$3*Inputs!$B$16,0)</f>
        <v>0</v>
      </c>
      <c r="CV9" s="0" t="n">
        <f aca="false">IF(AND(CV$3&gt;=Groups!$E$3,MOD(CV$3-Groups!$E$3,Groups!$D$3*12)=0),Groups!$B$3*Inputs!$B$16,0)</f>
        <v>0</v>
      </c>
      <c r="CW9" s="0" t="n">
        <f aca="false">IF(AND(CW$3&gt;=Groups!$E$3,MOD(CW$3-Groups!$E$3,Groups!$D$3*12)=0),Groups!$B$3*Inputs!$B$16,0)</f>
        <v>0</v>
      </c>
      <c r="CX9" s="0" t="n">
        <f aca="false">IF(AND(CX$3&gt;=Groups!$E$3,MOD(CX$3-Groups!$E$3,Groups!$D$3*12)=0),Groups!$B$3*Inputs!$B$16,0)</f>
        <v>0</v>
      </c>
      <c r="CY9" s="0" t="n">
        <f aca="false">IF(AND(CY$3&gt;=Groups!$E$3,MOD(CY$3-Groups!$E$3,Groups!$D$3*12)=0),Groups!$B$3*Inputs!$B$16,0)</f>
        <v>0</v>
      </c>
      <c r="CZ9" s="0" t="n">
        <f aca="false">IF(AND(CZ$3&gt;=Groups!$E$3,MOD(CZ$3-Groups!$E$3,Groups!$D$3*12)=0),Groups!$B$3*Inputs!$B$16,0)</f>
        <v>0</v>
      </c>
      <c r="DA9" s="0" t="n">
        <f aca="false">IF(AND(DA$3&gt;=Groups!$E$3,MOD(DA$3-Groups!$E$3,Groups!$D$3*12)=0),Groups!$B$3*Inputs!$B$16,0)</f>
        <v>0</v>
      </c>
      <c r="DB9" s="0" t="n">
        <f aca="false">IF(AND(DB$3&gt;=Groups!$E$3,MOD(DB$3-Groups!$E$3,Groups!$D$3*12)=0),Groups!$B$3*Inputs!$B$16,0)</f>
        <v>0</v>
      </c>
      <c r="DC9" s="0" t="n">
        <f aca="false">IF(AND(DC$3&gt;=Groups!$E$3,MOD(DC$3-Groups!$E$3,Groups!$D$3*12)=0),Groups!$B$3*Inputs!$B$16,0)</f>
        <v>0</v>
      </c>
      <c r="DD9" s="0" t="n">
        <f aca="false">IF(AND(DD$3&gt;=Groups!$E$3,MOD(DD$3-Groups!$E$3,Groups!$D$3*12)=0),Groups!$B$3*Inputs!$B$16,0)</f>
        <v>0</v>
      </c>
      <c r="DE9" s="0" t="n">
        <f aca="false">IF(AND(DE$3&gt;=Groups!$E$3,MOD(DE$3-Groups!$E$3,Groups!$D$3*12)=0),Groups!$B$3*Inputs!$B$16,0)</f>
        <v>0</v>
      </c>
      <c r="DF9" s="0" t="n">
        <f aca="false">IF(AND(DF$3&gt;=Groups!$E$3,MOD(DF$3-Groups!$E$3,Groups!$D$3*12)=0),Groups!$B$3*Inputs!$B$16,0)</f>
        <v>0</v>
      </c>
      <c r="DG9" s="0" t="n">
        <f aca="false">IF(AND(DG$3&gt;=Groups!$E$3,MOD(DG$3-Groups!$E$3,Groups!$D$3*12)=0),Groups!$B$3*Inputs!$B$16,0)</f>
        <v>0</v>
      </c>
      <c r="DH9" s="0" t="n">
        <f aca="false">IF(AND(DH$3&gt;=Groups!$E$3,MOD(DH$3-Groups!$E$3,Groups!$D$3*12)=0),Groups!$B$3*Inputs!$B$16,0)</f>
        <v>0</v>
      </c>
      <c r="DI9" s="0" t="n">
        <f aca="false">IF(AND(DI$3&gt;=Groups!$E$3,MOD(DI$3-Groups!$E$3,Groups!$D$3*12)=0),Groups!$B$3*Inputs!$B$16,0)</f>
        <v>0</v>
      </c>
      <c r="DJ9" s="0" t="n">
        <f aca="false">IF(AND(DJ$3&gt;=Groups!$E$3,MOD(DJ$3-Groups!$E$3,Groups!$D$3*12)=0),Groups!$B$3*Inputs!$B$16,0)</f>
        <v>0</v>
      </c>
      <c r="DK9" s="0" t="n">
        <f aca="false">IF(AND(DK$3&gt;=Groups!$E$3,MOD(DK$3-Groups!$E$3,Groups!$D$3*12)=0),Groups!$B$3*Inputs!$B$16,0)</f>
        <v>0</v>
      </c>
      <c r="DL9" s="0" t="n">
        <f aca="false">IF(AND(DL$3&gt;=Groups!$E$3,MOD(DL$3-Groups!$E$3,Groups!$D$3*12)=0),Groups!$B$3*Inputs!$B$16,0)</f>
        <v>0</v>
      </c>
      <c r="DM9" s="0" t="n">
        <f aca="false">IF(AND(DM$3&gt;=Groups!$E$3,MOD(DM$3-Groups!$E$3,Groups!$D$3*12)=0),Groups!$B$3*Inputs!$B$16,0)</f>
        <v>0</v>
      </c>
      <c r="DN9" s="0" t="n">
        <f aca="false">IF(AND(DN$3&gt;=Groups!$E$3,MOD(DN$3-Groups!$E$3,Groups!$D$3*12)=0),Groups!$B$3*Inputs!$B$16,0)</f>
        <v>0</v>
      </c>
      <c r="DO9" s="0" t="n">
        <f aca="false">IF(AND(DO$3&gt;=Groups!$E$3,MOD(DO$3-Groups!$E$3,Groups!$D$3*12)=0),Groups!$B$3*Inputs!$B$16,0)</f>
        <v>0</v>
      </c>
      <c r="DP9" s="0" t="n">
        <f aca="false">IF(AND(DP$3&gt;=Groups!$E$3,MOD(DP$3-Groups!$E$3,Groups!$D$3*12)=0),Groups!$B$3*Inputs!$B$16,0)</f>
        <v>0</v>
      </c>
      <c r="DQ9" s="0" t="n">
        <f aca="false">IF(AND(DQ$3&gt;=Groups!$E$3,MOD(DQ$3-Groups!$E$3,Groups!$D$3*12)=0),Groups!$B$3*Inputs!$B$16,0)</f>
        <v>0</v>
      </c>
      <c r="DR9" s="0" t="n">
        <f aca="false">IF(AND(DR$3&gt;=Groups!$E$3,MOD(DR$3-Groups!$E$3,Groups!$D$3*12)=0),Groups!$B$3*Inputs!$B$16,0)</f>
        <v>0</v>
      </c>
      <c r="DS9" s="0" t="n">
        <f aca="false">IF(AND(DS$3&gt;=Groups!$E$3,MOD(DS$3-Groups!$E$3,Groups!$D$3*12)=0),Groups!$B$3*Inputs!$B$16,0)</f>
        <v>0</v>
      </c>
      <c r="DT9" s="0" t="n">
        <f aca="false">IF(AND(DT$3&gt;=Groups!$E$3,MOD(DT$3-Groups!$E$3,Groups!$D$3*12)=0),Groups!$B$3*Inputs!$B$16,0)</f>
        <v>0</v>
      </c>
      <c r="DU9" s="0" t="n">
        <f aca="false">IF(AND(DU$3&gt;=Groups!$E$3,MOD(DU$3-Groups!$E$3,Groups!$D$3*12)=0),Groups!$B$3*Inputs!$B$16,0)</f>
        <v>0</v>
      </c>
      <c r="DV9" s="0" t="n">
        <f aca="false">IF(AND(DV$3&gt;=Groups!$E$3,MOD(DV$3-Groups!$E$3,Groups!$D$3*12)=0),Groups!$B$3*Inputs!$B$16,0)</f>
        <v>0</v>
      </c>
      <c r="DW9" s="0" t="n">
        <f aca="false">IF(AND(DW$3&gt;=Groups!$E$3,MOD(DW$3-Groups!$E$3,Groups!$D$3*12)=0),Groups!$B$3*Inputs!$B$16,0)</f>
        <v>0</v>
      </c>
      <c r="DX9" s="0" t="n">
        <f aca="false">IF(AND(DX$3&gt;=Groups!$E$3,MOD(DX$3-Groups!$E$3,Groups!$D$3*12)=0),Groups!$B$3*Inputs!$B$16,0)</f>
        <v>21840000</v>
      </c>
      <c r="DY9" s="0" t="n">
        <f aca="false">IF(AND(DY$3&gt;=Groups!$E$3,MOD(DY$3-Groups!$E$3,Groups!$D$3*12)=0),Groups!$B$3*Inputs!$B$16,0)</f>
        <v>0</v>
      </c>
      <c r="DZ9" s="0" t="n">
        <f aca="false">IF(AND(DZ$3&gt;=Groups!$E$3,MOD(DZ$3-Groups!$E$3,Groups!$D$3*12)=0),Groups!$B$3*Inputs!$B$16,0)</f>
        <v>0</v>
      </c>
      <c r="EA9" s="0" t="n">
        <f aca="false">IF(AND(EA$3&gt;=Groups!$E$3,MOD(EA$3-Groups!$E$3,Groups!$D$3*12)=0),Groups!$B$3*Inputs!$B$16,0)</f>
        <v>0</v>
      </c>
      <c r="EB9" s="0" t="n">
        <f aca="false">IF(AND(EB$3&gt;=Groups!$E$3,MOD(EB$3-Groups!$E$3,Groups!$D$3*12)=0),Groups!$B$3*Inputs!$B$16,0)</f>
        <v>0</v>
      </c>
      <c r="EC9" s="0" t="n">
        <f aca="false">IF(AND(EC$3&gt;=Groups!$E$3,MOD(EC$3-Groups!$E$3,Groups!$D$3*12)=0),Groups!$B$3*Inputs!$B$16,0)</f>
        <v>0</v>
      </c>
      <c r="ED9" s="0" t="n">
        <f aca="false">IF(AND(ED$3&gt;=Groups!$E$3,MOD(ED$3-Groups!$E$3,Groups!$D$3*12)=0),Groups!$B$3*Inputs!$B$16,0)</f>
        <v>0</v>
      </c>
      <c r="EE9" s="0" t="n">
        <f aca="false">IF(AND(EE$3&gt;=Groups!$E$3,MOD(EE$3-Groups!$E$3,Groups!$D$3*12)=0),Groups!$B$3*Inputs!$B$16,0)</f>
        <v>0</v>
      </c>
      <c r="EF9" s="0" t="n">
        <f aca="false">IF(AND(EF$3&gt;=Groups!$E$3,MOD(EF$3-Groups!$E$3,Groups!$D$3*12)=0),Groups!$B$3*Inputs!$B$16,0)</f>
        <v>0</v>
      </c>
      <c r="EG9" s="0" t="n">
        <f aca="false">IF(AND(EG$3&gt;=Groups!$E$3,MOD(EG$3-Groups!$E$3,Groups!$D$3*12)=0),Groups!$B$3*Inputs!$B$16,0)</f>
        <v>0</v>
      </c>
      <c r="EH9" s="0" t="n">
        <f aca="false">IF(AND(EH$3&gt;=Groups!$E$3,MOD(EH$3-Groups!$E$3,Groups!$D$3*12)=0),Groups!$B$3*Inputs!$B$16,0)</f>
        <v>0</v>
      </c>
      <c r="EI9" s="0" t="n">
        <f aca="false">IF(AND(EI$3&gt;=Groups!$E$3,MOD(EI$3-Groups!$E$3,Groups!$D$3*12)=0),Groups!$B$3*Inputs!$B$16,0)</f>
        <v>0</v>
      </c>
      <c r="EJ9" s="0" t="n">
        <f aca="false">IF(AND(EJ$3&gt;=Groups!$E$3,MOD(EJ$3-Groups!$E$3,Groups!$D$3*12)=0),Groups!$B$3*Inputs!$B$16,0)</f>
        <v>0</v>
      </c>
      <c r="EK9" s="0" t="n">
        <f aca="false">IF(AND(EK$3&gt;=Groups!$E$3,MOD(EK$3-Groups!$E$3,Groups!$D$3*12)=0),Groups!$B$3*Inputs!$B$16,0)</f>
        <v>0</v>
      </c>
      <c r="EL9" s="0" t="n">
        <f aca="false">IF(AND(EL$3&gt;=Groups!$E$3,MOD(EL$3-Groups!$E$3,Groups!$D$3*12)=0),Groups!$B$3*Inputs!$B$16,0)</f>
        <v>0</v>
      </c>
      <c r="EM9" s="0" t="n">
        <f aca="false">IF(AND(EM$3&gt;=Groups!$E$3,MOD(EM$3-Groups!$E$3,Groups!$D$3*12)=0),Groups!$B$3*Inputs!$B$16,0)</f>
        <v>0</v>
      </c>
      <c r="EN9" s="0" t="n">
        <f aca="false">IF(AND(EN$3&gt;=Groups!$E$3,MOD(EN$3-Groups!$E$3,Groups!$D$3*12)=0),Groups!$B$3*Inputs!$B$16,0)</f>
        <v>0</v>
      </c>
      <c r="EO9" s="0" t="n">
        <f aca="false">IF(AND(EO$3&gt;=Groups!$E$3,MOD(EO$3-Groups!$E$3,Groups!$D$3*12)=0),Groups!$B$3*Inputs!$B$16,0)</f>
        <v>0</v>
      </c>
      <c r="EP9" s="0" t="n">
        <f aca="false">IF(AND(EP$3&gt;=Groups!$E$3,MOD(EP$3-Groups!$E$3,Groups!$D$3*12)=0),Groups!$B$3*Inputs!$B$16,0)</f>
        <v>0</v>
      </c>
      <c r="EQ9" s="0" t="n">
        <f aca="false">IF(AND(EQ$3&gt;=Groups!$E$3,MOD(EQ$3-Groups!$E$3,Groups!$D$3*12)=0),Groups!$B$3*Inputs!$B$16,0)</f>
        <v>0</v>
      </c>
      <c r="ER9" s="0" t="n">
        <f aca="false">IF(AND(ER$3&gt;=Groups!$E$3,MOD(ER$3-Groups!$E$3,Groups!$D$3*12)=0),Groups!$B$3*Inputs!$B$16,0)</f>
        <v>0</v>
      </c>
      <c r="ES9" s="0" t="n">
        <f aca="false">IF(AND(ES$3&gt;=Groups!$E$3,MOD(ES$3-Groups!$E$3,Groups!$D$3*12)=0),Groups!$B$3*Inputs!$B$16,0)</f>
        <v>0</v>
      </c>
      <c r="ET9" s="0" t="n">
        <f aca="false">IF(AND(ET$3&gt;=Groups!$E$3,MOD(ET$3-Groups!$E$3,Groups!$D$3*12)=0),Groups!$B$3*Inputs!$B$16,0)</f>
        <v>0</v>
      </c>
      <c r="EU9" s="0" t="n">
        <f aca="false">IF(AND(EU$3&gt;=Groups!$E$3,MOD(EU$3-Groups!$E$3,Groups!$D$3*12)=0),Groups!$B$3*Inputs!$B$16,0)</f>
        <v>0</v>
      </c>
      <c r="EV9" s="0" t="n">
        <f aca="false">IF(AND(EV$3&gt;=Groups!$E$3,MOD(EV$3-Groups!$E$3,Groups!$D$3*12)=0),Groups!$B$3*Inputs!$B$16,0)</f>
        <v>0</v>
      </c>
      <c r="EW9" s="0" t="n">
        <f aca="false">IF(AND(EW$3&gt;=Groups!$E$3,MOD(EW$3-Groups!$E$3,Groups!$D$3*12)=0),Groups!$B$3*Inputs!$B$16,0)</f>
        <v>0</v>
      </c>
      <c r="EX9" s="0" t="n">
        <f aca="false">IF(AND(EX$3&gt;=Groups!$E$3,MOD(EX$3-Groups!$E$3,Groups!$D$3*12)=0),Groups!$B$3*Inputs!$B$16,0)</f>
        <v>0</v>
      </c>
      <c r="EY9" s="0" t="n">
        <f aca="false">IF(AND(EY$3&gt;=Groups!$E$3,MOD(EY$3-Groups!$E$3,Groups!$D$3*12)=0),Groups!$B$3*Inputs!$B$16,0)</f>
        <v>0</v>
      </c>
      <c r="EZ9" s="0" t="n">
        <f aca="false">IF(AND(EZ$3&gt;=Groups!$E$3,MOD(EZ$3-Groups!$E$3,Groups!$D$3*12)=0),Groups!$B$3*Inputs!$B$16,0)</f>
        <v>0</v>
      </c>
      <c r="FA9" s="0" t="n">
        <f aca="false">IF(AND(FA$3&gt;=Groups!$E$3,MOD(FA$3-Groups!$E$3,Groups!$D$3*12)=0),Groups!$B$3*Inputs!$B$16,0)</f>
        <v>0</v>
      </c>
      <c r="FB9" s="0" t="n">
        <f aca="false">IF(AND(FB$3&gt;=Groups!$E$3,MOD(FB$3-Groups!$E$3,Groups!$D$3*12)=0),Groups!$B$3*Inputs!$B$16,0)</f>
        <v>0</v>
      </c>
      <c r="FC9" s="0" t="n">
        <f aca="false">IF(AND(FC$3&gt;=Groups!$E$3,MOD(FC$3-Groups!$E$3,Groups!$D$3*12)=0),Groups!$B$3*Inputs!$B$16,0)</f>
        <v>0</v>
      </c>
      <c r="FD9" s="0" t="n">
        <f aca="false">IF(AND(FD$3&gt;=Groups!$E$3,MOD(FD$3-Groups!$E$3,Groups!$D$3*12)=0),Groups!$B$3*Inputs!$B$16,0)</f>
        <v>0</v>
      </c>
      <c r="FE9" s="0" t="n">
        <f aca="false">IF(AND(FE$3&gt;=Groups!$E$3,MOD(FE$3-Groups!$E$3,Groups!$D$3*12)=0),Groups!$B$3*Inputs!$B$16,0)</f>
        <v>0</v>
      </c>
      <c r="FF9" s="0" t="n">
        <f aca="false">IF(AND(FF$3&gt;=Groups!$E$3,MOD(FF$3-Groups!$E$3,Groups!$D$3*12)=0),Groups!$B$3*Inputs!$B$16,0)</f>
        <v>0</v>
      </c>
      <c r="FG9" s="0" t="n">
        <f aca="false">IF(AND(FG$3&gt;=Groups!$E$3,MOD(FG$3-Groups!$E$3,Groups!$D$3*12)=0),Groups!$B$3*Inputs!$B$16,0)</f>
        <v>0</v>
      </c>
      <c r="FH9" s="0" t="n">
        <f aca="false">IF(AND(FH$3&gt;=Groups!$E$3,MOD(FH$3-Groups!$E$3,Groups!$D$3*12)=0),Groups!$B$3*Inputs!$B$16,0)</f>
        <v>0</v>
      </c>
      <c r="FI9" s="0" t="n">
        <f aca="false">IF(AND(FI$3&gt;=Groups!$E$3,MOD(FI$3-Groups!$E$3,Groups!$D$3*12)=0),Groups!$B$3*Inputs!$B$16,0)</f>
        <v>0</v>
      </c>
      <c r="FJ9" s="0" t="n">
        <f aca="false">IF(AND(FJ$3&gt;=Groups!$E$3,MOD(FJ$3-Groups!$E$3,Groups!$D$3*12)=0),Groups!$B$3*Inputs!$B$16,0)</f>
        <v>0</v>
      </c>
      <c r="FK9" s="0" t="n">
        <f aca="false">IF(AND(FK$3&gt;=Groups!$E$3,MOD(FK$3-Groups!$E$3,Groups!$D$3*12)=0),Groups!$B$3*Inputs!$B$16,0)</f>
        <v>0</v>
      </c>
      <c r="FL9" s="0" t="n">
        <f aca="false">IF(AND(FL$3&gt;=Groups!$E$3,MOD(FL$3-Groups!$E$3,Groups!$D$3*12)=0),Groups!$B$3*Inputs!$B$16,0)</f>
        <v>0</v>
      </c>
      <c r="FM9" s="0" t="n">
        <f aca="false">IF(AND(FM$3&gt;=Groups!$E$3,MOD(FM$3-Groups!$E$3,Groups!$D$3*12)=0),Groups!$B$3*Inputs!$B$16,0)</f>
        <v>0</v>
      </c>
      <c r="FN9" s="0" t="n">
        <f aca="false">IF(AND(FN$3&gt;=Groups!$E$3,MOD(FN$3-Groups!$E$3,Groups!$D$3*12)=0),Groups!$B$3*Inputs!$B$16,0)</f>
        <v>0</v>
      </c>
      <c r="FO9" s="0" t="n">
        <f aca="false">IF(AND(FO$3&gt;=Groups!$E$3,MOD(FO$3-Groups!$E$3,Groups!$D$3*12)=0),Groups!$B$3*Inputs!$B$16,0)</f>
        <v>0</v>
      </c>
      <c r="FP9" s="0" t="n">
        <f aca="false">IF(AND(FP$3&gt;=Groups!$E$3,MOD(FP$3-Groups!$E$3,Groups!$D$3*12)=0),Groups!$B$3*Inputs!$B$16,0)</f>
        <v>0</v>
      </c>
      <c r="FQ9" s="0" t="n">
        <f aca="false">IF(AND(FQ$3&gt;=Groups!$E$3,MOD(FQ$3-Groups!$E$3,Groups!$D$3*12)=0),Groups!$B$3*Inputs!$B$16,0)</f>
        <v>0</v>
      </c>
      <c r="FR9" s="0" t="n">
        <f aca="false">IF(AND(FR$3&gt;=Groups!$E$3,MOD(FR$3-Groups!$E$3,Groups!$D$3*12)=0),Groups!$B$3*Inputs!$B$16,0)</f>
        <v>0</v>
      </c>
      <c r="FS9" s="0" t="n">
        <f aca="false">IF(AND(FS$3&gt;=Groups!$E$3,MOD(FS$3-Groups!$E$3,Groups!$D$3*12)=0),Groups!$B$3*Inputs!$B$16,0)</f>
        <v>0</v>
      </c>
      <c r="FT9" s="0" t="n">
        <f aca="false">IF(AND(FT$3&gt;=Groups!$E$3,MOD(FT$3-Groups!$E$3,Groups!$D$3*12)=0),Groups!$B$3*Inputs!$B$16,0)</f>
        <v>0</v>
      </c>
      <c r="FU9" s="0" t="n">
        <f aca="false">IF(AND(FU$3&gt;=Groups!$E$3,MOD(FU$3-Groups!$E$3,Groups!$D$3*12)=0),Groups!$B$3*Inputs!$B$16,0)</f>
        <v>0</v>
      </c>
      <c r="FV9" s="0" t="n">
        <f aca="false">IF(AND(FV$3&gt;=Groups!$E$3,MOD(FV$3-Groups!$E$3,Groups!$D$3*12)=0),Groups!$B$3*Inputs!$B$16,0)</f>
        <v>0</v>
      </c>
      <c r="FW9" s="0" t="n">
        <f aca="false">IF(AND(FW$3&gt;=Groups!$E$3,MOD(FW$3-Groups!$E$3,Groups!$D$3*12)=0),Groups!$B$3*Inputs!$B$16,0)</f>
        <v>0</v>
      </c>
      <c r="FX9" s="0" t="n">
        <f aca="false">IF(AND(FX$3&gt;=Groups!$E$3,MOD(FX$3-Groups!$E$3,Groups!$D$3*12)=0),Groups!$B$3*Inputs!$B$16,0)</f>
        <v>0</v>
      </c>
      <c r="FY9" s="0" t="n">
        <f aca="false">IF(AND(FY$3&gt;=Groups!$E$3,MOD(FY$3-Groups!$E$3,Groups!$D$3*12)=0),Groups!$B$3*Inputs!$B$16,0)</f>
        <v>0</v>
      </c>
      <c r="FZ9" s="0" t="n">
        <f aca="false">IF(AND(FZ$3&gt;=Groups!$E$3,MOD(FZ$3-Groups!$E$3,Groups!$D$3*12)=0),Groups!$B$3*Inputs!$B$16,0)</f>
        <v>0</v>
      </c>
    </row>
    <row r="10" customFormat="false" ht="15" hidden="false" customHeight="false" outlineLevel="0" collapsed="false">
      <c r="A10" s="0" t="s">
        <v>31</v>
      </c>
      <c r="B10" s="0" t="n">
        <f aca="false">Groups!$C$4</f>
        <v>14.8</v>
      </c>
      <c r="C10" s="0" t="n">
        <f aca="false">MIN(C5,B10*(1-Inputs!$B$9/12)*(1+Inputs!$B$8)^(1/36)+C5*Inputs!$B$9/12)</f>
        <v>14.8688347016254</v>
      </c>
      <c r="D10" s="0" t="n">
        <f aca="false">MIN(D5,C10*(1-Inputs!$B$9/12)*(1+Inputs!$B$8)^(1/36)+D5*Inputs!$B$9/12)</f>
        <v>14.937793180429</v>
      </c>
      <c r="E10" s="0" t="n">
        <f aca="false">MIN(E5,D10*(1-Inputs!$B$9/12)*(1+Inputs!$B$8)^(1/36)+E5*Inputs!$B$9/12)</f>
        <v>15.0068759987202</v>
      </c>
      <c r="F10" s="0" t="n">
        <f aca="false">MIN(F5,E10*(1-Inputs!$B$9/12)*(1+Inputs!$B$8)^(1/36)+F5*Inputs!$B$9/12)</f>
        <v>15.076083719843</v>
      </c>
      <c r="G10" s="0" t="n">
        <f aca="false">MIN(G5,F10*(1-Inputs!$B$9/12)*(1+Inputs!$B$8)^(1/36)+G5*Inputs!$B$9/12)</f>
        <v>15.14541690818</v>
      </c>
      <c r="H10" s="0" t="n">
        <f aca="false">MIN(H5,G10*(1-Inputs!$B$9/12)*(1+Inputs!$B$8)^(1/36)+H5*Inputs!$B$9/12)</f>
        <v>15.2148761291574</v>
      </c>
      <c r="I10" s="0" t="n">
        <f aca="false">MIN(I5,H10*(1-Inputs!$B$9/12)*(1+Inputs!$B$8)^(1/36)+I5*Inputs!$B$9/12)</f>
        <v>15.2844619492496</v>
      </c>
      <c r="J10" s="0" t="n">
        <f aca="false">MIN(J5,I10*(1-Inputs!$B$9/12)*(1+Inputs!$B$8)^(1/36)+J5*Inputs!$B$9/12)</f>
        <v>15.3541749359835</v>
      </c>
      <c r="K10" s="0" t="n">
        <f aca="false">MIN(K5,J10*(1-Inputs!$B$9/12)*(1+Inputs!$B$8)^(1/36)+K5*Inputs!$B$9/12)</f>
        <v>15.4240156579434</v>
      </c>
      <c r="L10" s="0" t="n">
        <f aca="false">MIN(L5,K10*(1-Inputs!$B$9/12)*(1+Inputs!$B$8)^(1/36)+L5*Inputs!$B$9/12)</f>
        <v>15.4939846847756</v>
      </c>
      <c r="M10" s="0" t="n">
        <f aca="false">MIN(M5,L10*(1-Inputs!$B$9/12)*(1+Inputs!$B$8)^(1/36)+M5*Inputs!$B$9/12)</f>
        <v>15.5640825871931</v>
      </c>
      <c r="N10" s="0" t="n">
        <f aca="false">MIN(N5,M10*(1-Inputs!$B$9/12)*(1+Inputs!$B$8)^(1/36)+N5*Inputs!$B$9/12)</f>
        <v>15.6343099369801</v>
      </c>
      <c r="O10" s="0" t="n">
        <f aca="false">MIN(O5,N10*(1-Inputs!$B$9/12)*(1+Inputs!$B$8)^(1/36)+O5*Inputs!$B$9/12)</f>
        <v>15.7046673069968</v>
      </c>
      <c r="P10" s="0" t="n">
        <f aca="false">MIN(P5,O10*(1-Inputs!$B$9/12)*(1+Inputs!$B$8)^(1/36)+P5*Inputs!$B$9/12)</f>
        <v>15.7751552711838</v>
      </c>
      <c r="Q10" s="0" t="n">
        <f aca="false">MIN(Q5,P10*(1-Inputs!$B$9/12)*(1+Inputs!$B$8)^(1/36)+Q5*Inputs!$B$9/12)</f>
        <v>15.8457744045674</v>
      </c>
      <c r="R10" s="0" t="n">
        <f aca="false">MIN(R5,Q10*(1-Inputs!$B$9/12)*(1+Inputs!$B$8)^(1/36)+R5*Inputs!$B$9/12)</f>
        <v>15.9165252832636</v>
      </c>
      <c r="S10" s="0" t="n">
        <f aca="false">MIN(S5,R10*(1-Inputs!$B$9/12)*(1+Inputs!$B$8)^(1/36)+S5*Inputs!$B$9/12)</f>
        <v>15.9874084844831</v>
      </c>
      <c r="T10" s="0" t="n">
        <f aca="false">MIN(T5,S10*(1-Inputs!$B$9/12)*(1+Inputs!$B$8)^(1/36)+T5*Inputs!$B$9/12)</f>
        <v>16.0584245865362</v>
      </c>
      <c r="U10" s="0" t="n">
        <f aca="false">MIN(U5,T10*(1-Inputs!$B$9/12)*(1+Inputs!$B$8)^(1/36)+U5*Inputs!$B$9/12)</f>
        <v>16.1295741688371</v>
      </c>
      <c r="V10" s="0" t="n">
        <f aca="false">MIN(V5,U10*(1-Inputs!$B$9/12)*(1+Inputs!$B$8)^(1/36)+V5*Inputs!$B$9/12)</f>
        <v>16.2008578119091</v>
      </c>
      <c r="W10" s="0" t="n">
        <f aca="false">MIN(W5,V10*(1-Inputs!$B$9/12)*(1+Inputs!$B$8)^(1/36)+W5*Inputs!$B$9/12)</f>
        <v>16.2722760973889</v>
      </c>
      <c r="X10" s="0" t="n">
        <f aca="false">MIN(X5,W10*(1-Inputs!$B$9/12)*(1+Inputs!$B$8)^(1/36)+X5*Inputs!$B$9/12)</f>
        <v>16.3438296080315</v>
      </c>
      <c r="Y10" s="0" t="n">
        <f aca="false">MIN(Y5,X10*(1-Inputs!$B$9/12)*(1+Inputs!$B$8)^(1/36)+Y5*Inputs!$B$9/12)</f>
        <v>16.4155189277153</v>
      </c>
      <c r="Z10" s="0" t="n">
        <f aca="false">MIN(Z5,Y10*(1-Inputs!$B$9/12)*(1+Inputs!$B$8)^(1/36)+Z5*Inputs!$B$9/12)</f>
        <v>16.4873446414463</v>
      </c>
      <c r="AA10" s="0" t="n">
        <f aca="false">MIN(AA5,Z10*(1-Inputs!$B$9/12)*(1+Inputs!$B$8)^(1/36)+AA5*Inputs!$B$9/12)</f>
        <v>16.5593073353631</v>
      </c>
      <c r="AB10" s="0" t="n">
        <f aca="false">MIN(AB5,AA10*(1-Inputs!$B$9/12)*(1+Inputs!$B$8)^(1/36)+AB5*Inputs!$B$9/12)</f>
        <v>16.6314075967419</v>
      </c>
      <c r="AC10" s="0" t="n">
        <f aca="false">MIN(AC5,AB10*(1-Inputs!$B$9/12)*(1+Inputs!$B$8)^(1/36)+AC5*Inputs!$B$9/12)</f>
        <v>16.703646014001</v>
      </c>
      <c r="AD10" s="0" t="n">
        <f aca="false">MIN(AD5,AC10*(1-Inputs!$B$9/12)*(1+Inputs!$B$8)^(1/36)+AD5*Inputs!$B$9/12)</f>
        <v>16.7760231767059</v>
      </c>
      <c r="AE10" s="0" t="n">
        <f aca="false">MIN(AE5,AD10*(1-Inputs!$B$9/12)*(1+Inputs!$B$8)^(1/36)+AE5*Inputs!$B$9/12)</f>
        <v>16.8485396755736</v>
      </c>
      <c r="AF10" s="0" t="n">
        <f aca="false">MIN(AF5,AE10*(1-Inputs!$B$9/12)*(1+Inputs!$B$8)^(1/36)+AF5*Inputs!$B$9/12)</f>
        <v>16.921196102478</v>
      </c>
      <c r="AG10" s="0" t="n">
        <f aca="false">MIN(AG5,AF10*(1-Inputs!$B$9/12)*(1+Inputs!$B$8)^(1/36)+AG5*Inputs!$B$9/12)</f>
        <v>16.9939930504545</v>
      </c>
      <c r="AH10" s="0" t="n">
        <f aca="false">MIN(AH5,AG10*(1-Inputs!$B$9/12)*(1+Inputs!$B$8)^(1/36)+AH5*Inputs!$B$9/12)</f>
        <v>17.0669311137047</v>
      </c>
      <c r="AI10" s="0" t="n">
        <f aca="false">MIN(AI5,AH10*(1-Inputs!$B$9/12)*(1+Inputs!$B$8)^(1/36)+AI5*Inputs!$B$9/12)</f>
        <v>17.1400108876014</v>
      </c>
      <c r="AJ10" s="0" t="n">
        <f aca="false">MIN(AJ5,AI10*(1-Inputs!$B$9/12)*(1+Inputs!$B$8)^(1/36)+AJ5*Inputs!$B$9/12)</f>
        <v>17.2132329686936</v>
      </c>
      <c r="AK10" s="0" t="n">
        <f aca="false">MIN(AK5,AJ10*(1-Inputs!$B$9/12)*(1+Inputs!$B$8)^(1/36)+AK5*Inputs!$B$9/12)</f>
        <v>17.2865979547109</v>
      </c>
      <c r="AL10" s="0" t="n">
        <f aca="false">MIN(AL5,AK10*(1-Inputs!$B$9/12)*(1+Inputs!$B$8)^(1/36)+AL5*Inputs!$B$9/12)</f>
        <v>17.3601064445691</v>
      </c>
      <c r="AM10" s="0" t="n">
        <f aca="false">MIN(AM5,AL10*(1-Inputs!$B$9/12)*(1+Inputs!$B$8)^(1/36)+AM5*Inputs!$B$9/12)</f>
        <v>17.4337590383744</v>
      </c>
      <c r="AN10" s="0" t="n">
        <f aca="false">MIN(AN5,AM10*(1-Inputs!$B$9/12)*(1+Inputs!$B$8)^(1/36)+AN5*Inputs!$B$9/12)</f>
        <v>17.5075563374285</v>
      </c>
      <c r="AO10" s="0" t="n">
        <f aca="false">MIN(AO5,AN10*(1-Inputs!$B$9/12)*(1+Inputs!$B$8)^(1/36)+AO5*Inputs!$B$9/12)</f>
        <v>17.5814989442339</v>
      </c>
      <c r="AP10" s="0" t="n">
        <f aca="false">MIN(AP5,AO10*(1-Inputs!$B$9/12)*(1+Inputs!$B$8)^(1/36)+AP5*Inputs!$B$9/12)</f>
        <v>17.6555874624983</v>
      </c>
      <c r="AQ10" s="0" t="n">
        <f aca="false">MIN(AQ5,AP10*(1-Inputs!$B$9/12)*(1+Inputs!$B$8)^(1/36)+AQ5*Inputs!$B$9/12)</f>
        <v>17.7298224971398</v>
      </c>
      <c r="AR10" s="0" t="n">
        <f aca="false">MIN(AR5,AQ10*(1-Inputs!$B$9/12)*(1+Inputs!$B$8)^(1/36)+AR5*Inputs!$B$9/12)</f>
        <v>17.8042046542917</v>
      </c>
      <c r="AS10" s="0" t="n">
        <f aca="false">MIN(AS5,AR10*(1-Inputs!$B$9/12)*(1+Inputs!$B$8)^(1/36)+AS5*Inputs!$B$9/12)</f>
        <v>17.8787345413077</v>
      </c>
      <c r="AT10" s="0" t="n">
        <f aca="false">MIN(AT5,AS10*(1-Inputs!$B$9/12)*(1+Inputs!$B$8)^(1/36)+AT5*Inputs!$B$9/12)</f>
        <v>17.9534127667666</v>
      </c>
      <c r="AU10" s="0" t="n">
        <f aca="false">MIN(AU5,AT10*(1-Inputs!$B$9/12)*(1+Inputs!$B$8)^(1/36)+AU5*Inputs!$B$9/12)</f>
        <v>18.0282399404773</v>
      </c>
      <c r="AV10" s="0" t="n">
        <f aca="false">MIN(AV5,AU10*(1-Inputs!$B$9/12)*(1+Inputs!$B$8)^(1/36)+AV5*Inputs!$B$9/12)</f>
        <v>18.103216673484</v>
      </c>
      <c r="AW10" s="0" t="n">
        <f aca="false">MIN(AW5,AV10*(1-Inputs!$B$9/12)*(1+Inputs!$B$8)^(1/36)+AW5*Inputs!$B$9/12)</f>
        <v>18.178343578071</v>
      </c>
      <c r="AX10" s="0" t="n">
        <f aca="false">MIN(AX5,AW10*(1-Inputs!$B$9/12)*(1+Inputs!$B$8)^(1/36)+AX5*Inputs!$B$9/12)</f>
        <v>18.2536212677675</v>
      </c>
      <c r="AY10" s="0" t="n">
        <f aca="false">MIN(AY5,AX10*(1-Inputs!$B$9/12)*(1+Inputs!$B$8)^(1/36)+AY5*Inputs!$B$9/12)</f>
        <v>18.3290503573531</v>
      </c>
      <c r="AZ10" s="0" t="n">
        <f aca="false">MIN(AZ5,AY10*(1-Inputs!$B$9/12)*(1+Inputs!$B$8)^(1/36)+AZ5*Inputs!$B$9/12)</f>
        <v>18.4046314628625</v>
      </c>
      <c r="BA10" s="0" t="n">
        <f aca="false">MIN(BA5,AZ10*(1-Inputs!$B$9/12)*(1+Inputs!$B$8)^(1/36)+BA5*Inputs!$B$9/12)</f>
        <v>18.4803652015907</v>
      </c>
      <c r="BB10" s="0" t="n">
        <f aca="false">MIN(BB5,BA10*(1-Inputs!$B$9/12)*(1+Inputs!$B$8)^(1/36)+BB5*Inputs!$B$9/12)</f>
        <v>18.5562521920978</v>
      </c>
      <c r="BC10" s="0" t="n">
        <f aca="false">MIN(BC5,BB10*(1-Inputs!$B$9/12)*(1+Inputs!$B$8)^(1/36)+BC5*Inputs!$B$9/12)</f>
        <v>18.6322930542143</v>
      </c>
      <c r="BD10" s="0" t="n">
        <f aca="false">MIN(BD5,BC10*(1-Inputs!$B$9/12)*(1+Inputs!$B$8)^(1/36)+BD5*Inputs!$B$9/12)</f>
        <v>18.7084884090459</v>
      </c>
      <c r="BE10" s="0" t="n">
        <f aca="false">MIN(BE5,BD10*(1-Inputs!$B$9/12)*(1+Inputs!$B$8)^(1/36)+BE5*Inputs!$B$9/12)</f>
        <v>18.7848388789789</v>
      </c>
      <c r="BF10" s="0" t="n">
        <f aca="false">MIN(BF5,BE10*(1-Inputs!$B$9/12)*(1+Inputs!$B$8)^(1/36)+BF5*Inputs!$B$9/12)</f>
        <v>18.8613450876851</v>
      </c>
      <c r="BG10" s="0" t="n">
        <f aca="false">MIN(BG5,BF10*(1-Inputs!$B$9/12)*(1+Inputs!$B$8)^(1/36)+BG5*Inputs!$B$9/12)</f>
        <v>18.9380076601269</v>
      </c>
      <c r="BH10" s="0" t="n">
        <f aca="false">MIN(BH5,BG10*(1-Inputs!$B$9/12)*(1+Inputs!$B$8)^(1/36)+BH5*Inputs!$B$9/12)</f>
        <v>19.0148272225624</v>
      </c>
      <c r="BI10" s="0" t="n">
        <f aca="false">MIN(BI5,BH10*(1-Inputs!$B$9/12)*(1+Inputs!$B$8)^(1/36)+BI5*Inputs!$B$9/12)</f>
        <v>19.0918044025505</v>
      </c>
      <c r="BJ10" s="0" t="n">
        <f aca="false">MIN(BJ5,BI10*(1-Inputs!$B$9/12)*(1+Inputs!$B$8)^(1/36)+BJ5*Inputs!$B$9/12)</f>
        <v>19.1689398289562</v>
      </c>
      <c r="BK10" s="0" t="n">
        <f aca="false">MIN(BK5,BJ10*(1-Inputs!$B$9/12)*(1+Inputs!$B$8)^(1/36)+BK5*Inputs!$B$9/12)</f>
        <v>19.2462341319555</v>
      </c>
      <c r="BL10" s="0" t="n">
        <f aca="false">MIN(BL5,BK10*(1-Inputs!$B$9/12)*(1+Inputs!$B$8)^(1/36)+BL5*Inputs!$B$9/12)</f>
        <v>19.3236879430407</v>
      </c>
      <c r="BM10" s="0" t="n">
        <f aca="false">MIN(BM5,BL10*(1-Inputs!$B$9/12)*(1+Inputs!$B$8)^(1/36)+BM5*Inputs!$B$9/12)</f>
        <v>19.4013018950256</v>
      </c>
      <c r="BN10" s="0" t="n">
        <f aca="false">MIN(BN5,BM10*(1-Inputs!$B$9/12)*(1+Inputs!$B$8)^(1/36)+BN5*Inputs!$B$9/12)</f>
        <v>19.4790766220503</v>
      </c>
      <c r="BO10" s="0" t="n">
        <f aca="false">MIN(BO5,BN10*(1-Inputs!$B$9/12)*(1+Inputs!$B$8)^(1/36)+BO5*Inputs!$B$9/12)</f>
        <v>19.5570127595869</v>
      </c>
      <c r="BP10" s="0" t="n">
        <f aca="false">MIN(BP5,BO10*(1-Inputs!$B$9/12)*(1+Inputs!$B$8)^(1/36)+BP5*Inputs!$B$9/12)</f>
        <v>19.6351109444446</v>
      </c>
      <c r="BQ10" s="0" t="n">
        <f aca="false">MIN(BQ5,BP10*(1-Inputs!$B$9/12)*(1+Inputs!$B$8)^(1/36)+BQ5*Inputs!$B$9/12)</f>
        <v>19.7133718147745</v>
      </c>
      <c r="BR10" s="0" t="n">
        <f aca="false">MIN(BR5,BQ10*(1-Inputs!$B$9/12)*(1+Inputs!$B$8)^(1/36)+BR5*Inputs!$B$9/12)</f>
        <v>19.7917960100751</v>
      </c>
      <c r="BS10" s="0" t="n">
        <f aca="false">MIN(BS5,BR10*(1-Inputs!$B$9/12)*(1+Inputs!$B$8)^(1/36)+BS5*Inputs!$B$9/12)</f>
        <v>19.8703841711977</v>
      </c>
      <c r="BT10" s="0" t="n">
        <f aca="false">MIN(BT5,BS10*(1-Inputs!$B$9/12)*(1+Inputs!$B$8)^(1/36)+BT5*Inputs!$B$9/12)</f>
        <v>19.9491369403513</v>
      </c>
      <c r="BU10" s="0" t="n">
        <f aca="false">MIN(BU5,BT10*(1-Inputs!$B$9/12)*(1+Inputs!$B$8)^(1/36)+BU5*Inputs!$B$9/12)</f>
        <v>20.028054961108</v>
      </c>
      <c r="BV10" s="0" t="n">
        <f aca="false">MIN(BV5,BU10*(1-Inputs!$B$9/12)*(1+Inputs!$B$8)^(1/36)+BV5*Inputs!$B$9/12)</f>
        <v>20.1071388784084</v>
      </c>
      <c r="BW10" s="0" t="n">
        <f aca="false">MIN(BW5,BV10*(1-Inputs!$B$9/12)*(1+Inputs!$B$8)^(1/36)+BW5*Inputs!$B$9/12)</f>
        <v>20.1863893385665</v>
      </c>
      <c r="BX10" s="0" t="n">
        <f aca="false">MIN(BX5,BW10*(1-Inputs!$B$9/12)*(1+Inputs!$B$8)^(1/36)+BX5*Inputs!$B$9/12)</f>
        <v>20.2658069892755</v>
      </c>
      <c r="BY10" s="0" t="n">
        <f aca="false">MIN(BY5,BX10*(1-Inputs!$B$9/12)*(1+Inputs!$B$8)^(1/36)+BY5*Inputs!$B$9/12)</f>
        <v>20.3453924796125</v>
      </c>
      <c r="BZ10" s="0" t="n">
        <f aca="false">MIN(BZ5,BY10*(1-Inputs!$B$9/12)*(1+Inputs!$B$8)^(1/36)+BZ5*Inputs!$B$9/12)</f>
        <v>20.4251464600443</v>
      </c>
      <c r="CA10" s="0" t="n">
        <f aca="false">MIN(CA5,BZ10*(1-Inputs!$B$9/12)*(1+Inputs!$B$8)^(1/36)+CA5*Inputs!$B$9/12)</f>
        <v>20.5050695824325</v>
      </c>
      <c r="CB10" s="0" t="n">
        <f aca="false">MIN(CB5,CA10*(1-Inputs!$B$9/12)*(1+Inputs!$B$8)^(1/36)+CB5*Inputs!$B$9/12)</f>
        <v>20.5851625000388</v>
      </c>
      <c r="CC10" s="0" t="n">
        <f aca="false">MIN(CC5,CB10*(1-Inputs!$B$9/12)*(1+Inputs!$B$8)^(1/36)+CC5*Inputs!$B$9/12)</f>
        <v>20.6654258675306</v>
      </c>
      <c r="CD10" s="0" t="n">
        <f aca="false">MIN(CD5,CC10*(1-Inputs!$B$9/12)*(1+Inputs!$B$8)^(1/36)+CD5*Inputs!$B$9/12)</f>
        <v>20.7458603409858</v>
      </c>
      <c r="CE10" s="0" t="n">
        <f aca="false">MIN(CE5,CD10*(1-Inputs!$B$9/12)*(1+Inputs!$B$8)^(1/36)+CE5*Inputs!$B$9/12)</f>
        <v>20.8128380707532</v>
      </c>
      <c r="CF10" s="0" t="n">
        <f aca="false">MIN(CF5,CE10*(1-Inputs!$B$9/12)*(1+Inputs!$B$8)^(1/36)+CF5*Inputs!$B$9/12)</f>
        <v>20.8725896209108</v>
      </c>
      <c r="CG10" s="0" t="n">
        <f aca="false">MIN(CG5,CF10*(1-Inputs!$B$9/12)*(1+Inputs!$B$8)^(1/36)+CG5*Inputs!$B$9/12)</f>
        <v>20.9325127117173</v>
      </c>
      <c r="CH10" s="0" t="n">
        <f aca="false">MIN(CH5,CG10*(1-Inputs!$B$9/12)*(1+Inputs!$B$8)^(1/36)+CH5*Inputs!$B$9/12)</f>
        <v>20.9926078356485</v>
      </c>
      <c r="CI10" s="0" t="n">
        <f aca="false">MIN(CI5,CH10*(1-Inputs!$B$9/12)*(1+Inputs!$B$8)^(1/36)+CI5*Inputs!$B$9/12)</f>
        <v>21.0528754865939</v>
      </c>
      <c r="CJ10" s="0" t="n">
        <f aca="false">MIN(CJ5,CI10*(1-Inputs!$B$9/12)*(1+Inputs!$B$8)^(1/36)+CJ5*Inputs!$B$9/12)</f>
        <v>21.1133161598612</v>
      </c>
      <c r="CK10" s="0" t="n">
        <f aca="false">MIN(CK5,CJ10*(1-Inputs!$B$9/12)*(1+Inputs!$B$8)^(1/36)+CK5*Inputs!$B$9/12)</f>
        <v>21.17393035218</v>
      </c>
      <c r="CL10" s="0" t="n">
        <f aca="false">MIN(CL5,CK10*(1-Inputs!$B$9/12)*(1+Inputs!$B$8)^(1/36)+CL5*Inputs!$B$9/12)</f>
        <v>21.2347185617059</v>
      </c>
      <c r="CM10" s="0" t="n">
        <f aca="false">MIN(CM5,CL10*(1-Inputs!$B$9/12)*(1+Inputs!$B$8)^(1/36)+CM5*Inputs!$B$9/12)</f>
        <v>21.2956812880247</v>
      </c>
      <c r="CN10" s="0" t="n">
        <f aca="false">MIN(CN5,CM10*(1-Inputs!$B$9/12)*(1+Inputs!$B$8)^(1/36)+CN5*Inputs!$B$9/12)</f>
        <v>21.3568190321563</v>
      </c>
      <c r="CO10" s="0" t="n">
        <f aca="false">MIN(CO5,CN10*(1-Inputs!$B$9/12)*(1+Inputs!$B$8)^(1/36)+CO5*Inputs!$B$9/12)</f>
        <v>21.4181322965593</v>
      </c>
      <c r="CP10" s="0" t="n">
        <f aca="false">MIN(CP5,CO10*(1-Inputs!$B$9/12)*(1+Inputs!$B$8)^(1/36)+CP5*Inputs!$B$9/12)</f>
        <v>21.4796215851345</v>
      </c>
      <c r="CQ10" s="0" t="n">
        <f aca="false">MIN(CQ5,CP10*(1-Inputs!$B$9/12)*(1+Inputs!$B$8)^(1/36)+CQ5*Inputs!$B$9/12)</f>
        <v>21.5412874032295</v>
      </c>
      <c r="CR10" s="0" t="n">
        <f aca="false">MIN(CR5,CQ10*(1-Inputs!$B$9/12)*(1+Inputs!$B$8)^(1/36)+CR5*Inputs!$B$9/12)</f>
        <v>21.6031302576427</v>
      </c>
      <c r="CS10" s="0" t="n">
        <f aca="false">MIN(CS5,CR10*(1-Inputs!$B$9/12)*(1+Inputs!$B$8)^(1/36)+CS5*Inputs!$B$9/12)</f>
        <v>21.6651506566274</v>
      </c>
      <c r="CT10" s="0" t="n">
        <f aca="false">MIN(CT5,CS10*(1-Inputs!$B$9/12)*(1+Inputs!$B$8)^(1/36)+CT5*Inputs!$B$9/12)</f>
        <v>21.7273491098962</v>
      </c>
      <c r="CU10" s="0" t="n">
        <f aca="false">MIN(CU5,CT10*(1-Inputs!$B$9/12)*(1+Inputs!$B$8)^(1/36)+CU5*Inputs!$B$9/12)</f>
        <v>21.7897261286247</v>
      </c>
      <c r="CV10" s="0" t="n">
        <f aca="false">MIN(CV5,CU10*(1-Inputs!$B$9/12)*(1+Inputs!$B$8)^(1/36)+CV5*Inputs!$B$9/12)</f>
        <v>21.8522822254564</v>
      </c>
      <c r="CW10" s="0" t="n">
        <f aca="false">MIN(CW5,CV10*(1-Inputs!$B$9/12)*(1+Inputs!$B$8)^(1/36)+CW5*Inputs!$B$9/12)</f>
        <v>21.9150179145063</v>
      </c>
      <c r="CX10" s="0" t="n">
        <f aca="false">MIN(CX5,CW10*(1-Inputs!$B$9/12)*(1+Inputs!$B$8)^(1/36)+CX5*Inputs!$B$9/12)</f>
        <v>21.9779337113656</v>
      </c>
      <c r="CY10" s="0" t="n">
        <f aca="false">MIN(CY5,CX10*(1-Inputs!$B$9/12)*(1+Inputs!$B$8)^(1/36)+CY5*Inputs!$B$9/12)</f>
        <v>22.0410301331056</v>
      </c>
      <c r="CZ10" s="0" t="n">
        <f aca="false">MIN(CZ5,CY10*(1-Inputs!$B$9/12)*(1+Inputs!$B$8)^(1/36)+CZ5*Inputs!$B$9/12)</f>
        <v>22.1043076982818</v>
      </c>
      <c r="DA10" s="0" t="n">
        <f aca="false">MIN(DA5,CZ10*(1-Inputs!$B$9/12)*(1+Inputs!$B$8)^(1/36)+DA5*Inputs!$B$9/12)</f>
        <v>22.1677669269389</v>
      </c>
      <c r="DB10" s="0" t="n">
        <f aca="false">MIN(DB5,DA10*(1-Inputs!$B$9/12)*(1+Inputs!$B$8)^(1/36)+DB5*Inputs!$B$9/12)</f>
        <v>22.2314083406142</v>
      </c>
      <c r="DC10" s="0" t="n">
        <f aca="false">MIN(DC5,DB10*(1-Inputs!$B$9/12)*(1+Inputs!$B$8)^(1/36)+DC5*Inputs!$B$9/12)</f>
        <v>22.2952324623426</v>
      </c>
      <c r="DD10" s="0" t="n">
        <f aca="false">MIN(DD5,DC10*(1-Inputs!$B$9/12)*(1+Inputs!$B$8)^(1/36)+DD5*Inputs!$B$9/12)</f>
        <v>22.3592398166602</v>
      </c>
      <c r="DE10" s="0" t="n">
        <f aca="false">MIN(DE5,DD10*(1-Inputs!$B$9/12)*(1+Inputs!$B$8)^(1/36)+DE5*Inputs!$B$9/12)</f>
        <v>22.4234309296094</v>
      </c>
      <c r="DF10" s="0" t="n">
        <f aca="false">MIN(DF5,DE10*(1-Inputs!$B$9/12)*(1+Inputs!$B$8)^(1/36)+DF5*Inputs!$B$9/12)</f>
        <v>22.4878063287425</v>
      </c>
      <c r="DG10" s="0" t="n">
        <f aca="false">MIN(DG5,DF10*(1-Inputs!$B$9/12)*(1+Inputs!$B$8)^(1/36)+DG5*Inputs!$B$9/12)</f>
        <v>22.5523665431265</v>
      </c>
      <c r="DH10" s="0" t="n">
        <f aca="false">MIN(DH5,DG10*(1-Inputs!$B$9/12)*(1+Inputs!$B$8)^(1/36)+DH5*Inputs!$B$9/12)</f>
        <v>22.6171121033474</v>
      </c>
      <c r="DI10" s="0" t="n">
        <f aca="false">MIN(DI5,DH10*(1-Inputs!$B$9/12)*(1+Inputs!$B$8)^(1/36)+DI5*Inputs!$B$9/12)</f>
        <v>22.6820435415141</v>
      </c>
      <c r="DJ10" s="0" t="n">
        <f aca="false">MIN(DJ5,DI10*(1-Inputs!$B$9/12)*(1+Inputs!$B$8)^(1/36)+DJ5*Inputs!$B$9/12)</f>
        <v>22.7471613912634</v>
      </c>
      <c r="DK10" s="0" t="n">
        <f aca="false">MIN(DK5,DJ10*(1-Inputs!$B$9/12)*(1+Inputs!$B$8)^(1/36)+DK5*Inputs!$B$9/12)</f>
        <v>22.8124661877642</v>
      </c>
      <c r="DL10" s="0" t="n">
        <f aca="false">MIN(DL5,DK10*(1-Inputs!$B$9/12)*(1+Inputs!$B$8)^(1/36)+DL5*Inputs!$B$9/12)</f>
        <v>22.8779584677217</v>
      </c>
      <c r="DM10" s="0" t="n">
        <f aca="false">MIN(DM5,DL10*(1-Inputs!$B$9/12)*(1+Inputs!$B$8)^(1/36)+DM5*Inputs!$B$9/12)</f>
        <v>22.9436387693817</v>
      </c>
      <c r="DN10" s="0" t="n">
        <f aca="false">MIN(DN5,DM10*(1-Inputs!$B$9/12)*(1+Inputs!$B$8)^(1/36)+DN5*Inputs!$B$9/12)</f>
        <v>23.0095076325357</v>
      </c>
      <c r="DO10" s="0" t="n">
        <f aca="false">MIN(DO5,DN10*(1-Inputs!$B$9/12)*(1+Inputs!$B$8)^(1/36)+DO5*Inputs!$B$9/12)</f>
        <v>23.0755655985246</v>
      </c>
      <c r="DP10" s="0" t="n">
        <f aca="false">MIN(DP5,DO10*(1-Inputs!$B$9/12)*(1+Inputs!$B$8)^(1/36)+DP5*Inputs!$B$9/12)</f>
        <v>23.1418132102433</v>
      </c>
      <c r="DQ10" s="0" t="n">
        <f aca="false">MIN(DQ5,DP10*(1-Inputs!$B$9/12)*(1+Inputs!$B$8)^(1/36)+DQ5*Inputs!$B$9/12)</f>
        <v>23.2082510121457</v>
      </c>
      <c r="DR10" s="0" t="n">
        <f aca="false">MIN(DR5,DQ10*(1-Inputs!$B$9/12)*(1+Inputs!$B$8)^(1/36)+DR5*Inputs!$B$9/12)</f>
        <v>23.2748795502485</v>
      </c>
      <c r="DS10" s="0" t="n">
        <f aca="false">MIN(DS5,DR10*(1-Inputs!$B$9/12)*(1+Inputs!$B$8)^(1/36)+DS5*Inputs!$B$9/12)</f>
        <v>23.341699372136</v>
      </c>
      <c r="DT10" s="0" t="n">
        <f aca="false">MIN(DT5,DS10*(1-Inputs!$B$9/12)*(1+Inputs!$B$8)^(1/36)+DT5*Inputs!$B$9/12)</f>
        <v>23.4087110269645</v>
      </c>
      <c r="DU10" s="0" t="n">
        <f aca="false">MIN(DU5,DT10*(1-Inputs!$B$9/12)*(1+Inputs!$B$8)^(1/36)+DU5*Inputs!$B$9/12)</f>
        <v>23.4759150654671</v>
      </c>
      <c r="DV10" s="0" t="n">
        <f aca="false">MIN(DV5,DU10*(1-Inputs!$B$9/12)*(1+Inputs!$B$8)^(1/36)+DV5*Inputs!$B$9/12)</f>
        <v>23.5433120399577</v>
      </c>
      <c r="DW10" s="0" t="n">
        <f aca="false">MIN(DW5,DV10*(1-Inputs!$B$9/12)*(1+Inputs!$B$8)^(1/36)+DW5*Inputs!$B$9/12)</f>
        <v>23.610902504336</v>
      </c>
      <c r="DX10" s="0" t="n">
        <f aca="false">MIN(DX5,DW10*(1-Inputs!$B$9/12)*(1+Inputs!$B$8)^(1/36)+DX5*Inputs!$B$9/12)</f>
        <v>23.6786870140919</v>
      </c>
      <c r="DY10" s="0" t="n">
        <f aca="false">MIN(DY5,DX10*(1-Inputs!$B$9/12)*(1+Inputs!$B$8)^(1/36)+DY5*Inputs!$B$9/12)</f>
        <v>23.7466661263101</v>
      </c>
      <c r="DZ10" s="0" t="n">
        <f aca="false">MIN(DZ5,DY10*(1-Inputs!$B$9/12)*(1+Inputs!$B$8)^(1/36)+DZ5*Inputs!$B$9/12)</f>
        <v>23.8148403996745</v>
      </c>
      <c r="EA10" s="0" t="n">
        <f aca="false">MIN(EA5,DZ10*(1-Inputs!$B$9/12)*(1+Inputs!$B$8)^(1/36)+EA5*Inputs!$B$9/12)</f>
        <v>23.8832103944729</v>
      </c>
      <c r="EB10" s="0" t="n">
        <f aca="false">MIN(EB5,EA10*(1-Inputs!$B$9/12)*(1+Inputs!$B$8)^(1/36)+EB5*Inputs!$B$9/12)</f>
        <v>23.9517766726018</v>
      </c>
      <c r="EC10" s="0" t="n">
        <f aca="false">MIN(EC5,EB10*(1-Inputs!$B$9/12)*(1+Inputs!$B$8)^(1/36)+EC5*Inputs!$B$9/12)</f>
        <v>24.0205397975708</v>
      </c>
      <c r="ED10" s="0" t="n">
        <f aca="false">MIN(ED5,EC10*(1-Inputs!$B$9/12)*(1+Inputs!$B$8)^(1/36)+ED5*Inputs!$B$9/12)</f>
        <v>24.0895003345072</v>
      </c>
      <c r="EE10" s="0" t="n">
        <f aca="false">MIN(EE5,ED10*(1-Inputs!$B$9/12)*(1+Inputs!$B$8)^(1/36)+EE5*Inputs!$B$9/12)</f>
        <v>24.1586588501607</v>
      </c>
      <c r="EF10" s="0" t="n">
        <f aca="false">MIN(EF5,EE10*(1-Inputs!$B$9/12)*(1+Inputs!$B$8)^(1/36)+EF5*Inputs!$B$9/12)</f>
        <v>24.2280159129083</v>
      </c>
      <c r="EG10" s="0" t="n">
        <f aca="false">MIN(EG5,EF10*(1-Inputs!$B$9/12)*(1+Inputs!$B$8)^(1/36)+EG5*Inputs!$B$9/12)</f>
        <v>24.2975720927584</v>
      </c>
      <c r="EH10" s="0" t="n">
        <f aca="false">MIN(EH5,EG10*(1-Inputs!$B$9/12)*(1+Inputs!$B$8)^(1/36)+EH5*Inputs!$B$9/12)</f>
        <v>24.3673279613562</v>
      </c>
      <c r="EI10" s="0" t="n">
        <f aca="false">MIN(EI5,EH10*(1-Inputs!$B$9/12)*(1+Inputs!$B$8)^(1/36)+EI5*Inputs!$B$9/12)</f>
        <v>24.4372840919877</v>
      </c>
      <c r="EJ10" s="0" t="n">
        <f aca="false">MIN(EJ5,EI10*(1-Inputs!$B$9/12)*(1+Inputs!$B$8)^(1/36)+EJ5*Inputs!$B$9/12)</f>
        <v>24.5074410595851</v>
      </c>
      <c r="EK10" s="0" t="n">
        <f aca="false">MIN(EK5,EJ10*(1-Inputs!$B$9/12)*(1+Inputs!$B$8)^(1/36)+EK5*Inputs!$B$9/12)</f>
        <v>24.577799440731</v>
      </c>
      <c r="EL10" s="0" t="n">
        <f aca="false">MIN(EL5,EK10*(1-Inputs!$B$9/12)*(1+Inputs!$B$8)^(1/36)+EL5*Inputs!$B$9/12)</f>
        <v>24.6483598136631</v>
      </c>
      <c r="EM10" s="0" t="n">
        <f aca="false">MIN(EM5,EL10*(1-Inputs!$B$9/12)*(1+Inputs!$B$8)^(1/36)+EM5*Inputs!$B$9/12)</f>
        <v>24.7191227582795</v>
      </c>
      <c r="EN10" s="0" t="n">
        <f aca="false">MIN(EN5,EM10*(1-Inputs!$B$9/12)*(1+Inputs!$B$8)^(1/36)+EN5*Inputs!$B$9/12)</f>
        <v>24.7900888561429</v>
      </c>
      <c r="EO10" s="0" t="n">
        <f aca="false">MIN(EO5,EN10*(1-Inputs!$B$9/12)*(1+Inputs!$B$8)^(1/36)+EO5*Inputs!$B$9/12)</f>
        <v>24.8612586904858</v>
      </c>
      <c r="EP10" s="0" t="n">
        <f aca="false">MIN(EP5,EO10*(1-Inputs!$B$9/12)*(1+Inputs!$B$8)^(1/36)+EP5*Inputs!$B$9/12)</f>
        <v>24.9326328462149</v>
      </c>
      <c r="EQ10" s="0" t="n">
        <f aca="false">MIN(EQ5,EP10*(1-Inputs!$B$9/12)*(1+Inputs!$B$8)^(1/36)+EQ5*Inputs!$B$9/12)</f>
        <v>25.0042119099164</v>
      </c>
      <c r="ER10" s="0" t="n">
        <f aca="false">MIN(ER5,EQ10*(1-Inputs!$B$9/12)*(1+Inputs!$B$8)^(1/36)+ER5*Inputs!$B$9/12)</f>
        <v>25.0759964698601</v>
      </c>
      <c r="ES10" s="0" t="n">
        <f aca="false">MIN(ES5,ER10*(1-Inputs!$B$9/12)*(1+Inputs!$B$8)^(1/36)+ES5*Inputs!$B$9/12)</f>
        <v>25.1479871160049</v>
      </c>
      <c r="ET10" s="0" t="n">
        <f aca="false">MIN(ET5,ES10*(1-Inputs!$B$9/12)*(1+Inputs!$B$8)^(1/36)+ET5*Inputs!$B$9/12)</f>
        <v>25.2201844400036</v>
      </c>
      <c r="EU10" s="0" t="n">
        <f aca="false">MIN(EU5,ET10*(1-Inputs!$B$9/12)*(1+Inputs!$B$8)^(1/36)+EU5*Inputs!$B$9/12)</f>
        <v>25.2925890352073</v>
      </c>
      <c r="EV10" s="0" t="n">
        <f aca="false">MIN(EV5,EU10*(1-Inputs!$B$9/12)*(1+Inputs!$B$8)^(1/36)+EV5*Inputs!$B$9/12)</f>
        <v>25.3652014966706</v>
      </c>
      <c r="EW10" s="0" t="n">
        <f aca="false">MIN(EW5,EV10*(1-Inputs!$B$9/12)*(1+Inputs!$B$8)^(1/36)+EW5*Inputs!$B$9/12)</f>
        <v>25.4380224211565</v>
      </c>
      <c r="EX10" s="0" t="n">
        <f aca="false">MIN(EX5,EW10*(1-Inputs!$B$9/12)*(1+Inputs!$B$8)^(1/36)+EX5*Inputs!$B$9/12)</f>
        <v>25.5110524071413</v>
      </c>
      <c r="EY10" s="0" t="n">
        <f aca="false">MIN(EY5,EX10*(1-Inputs!$B$9/12)*(1+Inputs!$B$8)^(1/36)+EY5*Inputs!$B$9/12)</f>
        <v>25.5842920548192</v>
      </c>
      <c r="EZ10" s="0" t="n">
        <f aca="false">MIN(EZ5,EY10*(1-Inputs!$B$9/12)*(1+Inputs!$B$8)^(1/36)+EZ5*Inputs!$B$9/12)</f>
        <v>25.6577419661079</v>
      </c>
      <c r="FA10" s="0" t="n">
        <f aca="false">MIN(FA5,EZ10*(1-Inputs!$B$9/12)*(1+Inputs!$B$8)^(1/36)+FA5*Inputs!$B$9/12)</f>
        <v>25.7314027446528</v>
      </c>
      <c r="FB10" s="0" t="n">
        <f aca="false">MIN(FB5,FA10*(1-Inputs!$B$9/12)*(1+Inputs!$B$8)^(1/36)+FB5*Inputs!$B$9/12)</f>
        <v>25.8052749958325</v>
      </c>
      <c r="FC10" s="0" t="n">
        <f aca="false">MIN(FC5,FB10*(1-Inputs!$B$9/12)*(1+Inputs!$B$8)^(1/36)+FC5*Inputs!$B$9/12)</f>
        <v>25.8793593267634</v>
      </c>
      <c r="FD10" s="0" t="n">
        <f aca="false">MIN(FD5,FC10*(1-Inputs!$B$9/12)*(1+Inputs!$B$8)^(1/36)+FD5*Inputs!$B$9/12)</f>
        <v>25.9536563463052</v>
      </c>
      <c r="FE10" s="0" t="n">
        <f aca="false">MIN(FE5,FD10*(1-Inputs!$B$9/12)*(1+Inputs!$B$8)^(1/36)+FE5*Inputs!$B$9/12)</f>
        <v>26.0281666650651</v>
      </c>
      <c r="FF10" s="0" t="n">
        <f aca="false">MIN(FF5,FE10*(1-Inputs!$B$9/12)*(1+Inputs!$B$8)^(1/36)+FF5*Inputs!$B$9/12)</f>
        <v>26.1028908954038</v>
      </c>
      <c r="FG10" s="0" t="n">
        <f aca="false">MIN(FG5,FF10*(1-Inputs!$B$9/12)*(1+Inputs!$B$8)^(1/36)+FG5*Inputs!$B$9/12)</f>
        <v>26.1778296514396</v>
      </c>
      <c r="FH10" s="0" t="n">
        <f aca="false">MIN(FH5,FG10*(1-Inputs!$B$9/12)*(1+Inputs!$B$8)^(1/36)+FH5*Inputs!$B$9/12)</f>
        <v>26.2529835490541</v>
      </c>
      <c r="FI10" s="0" t="n">
        <f aca="false">MIN(FI5,FH10*(1-Inputs!$B$9/12)*(1+Inputs!$B$8)^(1/36)+FI5*Inputs!$B$9/12)</f>
        <v>26.328353205897</v>
      </c>
      <c r="FJ10" s="0" t="n">
        <f aca="false">MIN(FJ5,FI10*(1-Inputs!$B$9/12)*(1+Inputs!$B$8)^(1/36)+FJ5*Inputs!$B$9/12)</f>
        <v>26.4039392413912</v>
      </c>
      <c r="FK10" s="0" t="n">
        <f aca="false">MIN(FK5,FJ10*(1-Inputs!$B$9/12)*(1+Inputs!$B$8)^(1/36)+FK5*Inputs!$B$9/12)</f>
        <v>26.4797422767379</v>
      </c>
      <c r="FL10" s="0" t="n">
        <f aca="false">MIN(FL5,FK10*(1-Inputs!$B$9/12)*(1+Inputs!$B$8)^(1/36)+FL5*Inputs!$B$9/12)</f>
        <v>26.5557629349217</v>
      </c>
      <c r="FM10" s="0" t="n">
        <f aca="false">MIN(FM5,FL10*(1-Inputs!$B$9/12)*(1+Inputs!$B$8)^(1/36)+FM5*Inputs!$B$9/12)</f>
        <v>26.6320018407156</v>
      </c>
      <c r="FN10" s="0" t="n">
        <f aca="false">MIN(FN5,FM10*(1-Inputs!$B$9/12)*(1+Inputs!$B$8)^(1/36)+FN5*Inputs!$B$9/12)</f>
        <v>26.7084596206866</v>
      </c>
      <c r="FO10" s="0" t="n">
        <f aca="false">MIN(FO5,FN10*(1-Inputs!$B$9/12)*(1+Inputs!$B$8)^(1/36)+FO5*Inputs!$B$9/12)</f>
        <v>26.7851369032001</v>
      </c>
      <c r="FP10" s="0" t="n">
        <f aca="false">MIN(FP5,FO10*(1-Inputs!$B$9/12)*(1+Inputs!$B$8)^(1/36)+FP5*Inputs!$B$9/12)</f>
        <v>26.8620343184258</v>
      </c>
      <c r="FQ10" s="0" t="n">
        <f aca="false">MIN(FQ5,FP10*(1-Inputs!$B$9/12)*(1+Inputs!$B$8)^(1/36)+FQ5*Inputs!$B$9/12)</f>
        <v>26.9391524983424</v>
      </c>
      <c r="FR10" s="0" t="n">
        <f aca="false">MIN(FR5,FQ10*(1-Inputs!$B$9/12)*(1+Inputs!$B$8)^(1/36)+FR5*Inputs!$B$9/12)</f>
        <v>27.0164920767429</v>
      </c>
      <c r="FS10" s="0" t="n">
        <f aca="false">MIN(FS5,FR10*(1-Inputs!$B$9/12)*(1+Inputs!$B$8)^(1/36)+FS5*Inputs!$B$9/12)</f>
        <v>27.09405368924</v>
      </c>
      <c r="FT10" s="0" t="n">
        <f aca="false">MIN(FT5,FS10*(1-Inputs!$B$9/12)*(1+Inputs!$B$8)^(1/36)+FT5*Inputs!$B$9/12)</f>
        <v>27.171837973271</v>
      </c>
      <c r="FU10" s="0" t="n">
        <f aca="false">MIN(FU5,FT10*(1-Inputs!$B$9/12)*(1+Inputs!$B$8)^(1/36)+FU5*Inputs!$B$9/12)</f>
        <v>27.2498455681034</v>
      </c>
      <c r="FV10" s="0" t="n">
        <f aca="false">MIN(FV5,FU10*(1-Inputs!$B$9/12)*(1+Inputs!$B$8)^(1/36)+FV5*Inputs!$B$9/12)</f>
        <v>27.3280771148399</v>
      </c>
      <c r="FW10" s="0" t="n">
        <f aca="false">MIN(FW5,FV10*(1-Inputs!$B$9/12)*(1+Inputs!$B$8)^(1/36)+FW5*Inputs!$B$9/12)</f>
        <v>27.4065332564237</v>
      </c>
      <c r="FX10" s="0" t="n">
        <f aca="false">MIN(FX5,FW10*(1-Inputs!$B$9/12)*(1+Inputs!$B$8)^(1/36)+FX5*Inputs!$B$9/12)</f>
        <v>27.4852146376439</v>
      </c>
      <c r="FY10" s="0" t="n">
        <f aca="false">MIN(FY5,FX10*(1-Inputs!$B$9/12)*(1+Inputs!$B$8)^(1/36)+FY5*Inputs!$B$9/12)</f>
        <v>27.5641219051407</v>
      </c>
      <c r="FZ10" s="0" t="n">
        <f aca="false">MIN(FZ5,FY10*(1-Inputs!$B$9/12)*(1+Inputs!$B$8)^(1/36)+FZ5*Inputs!$B$9/12)</f>
        <v>27.6432557074106</v>
      </c>
    </row>
    <row r="11" customFormat="false" ht="15" hidden="false" customHeight="false" outlineLevel="0" collapsed="false">
      <c r="A11" s="0" t="s">
        <v>32</v>
      </c>
      <c r="B11" s="0" t="n">
        <f aca="false">IF(AND(B$3&gt;=Groups!$E$4,MOD(B$3-Groups!$E$4,Groups!$D$4*12)=0),Groups!$B$4*Inputs!$B$16,0)</f>
        <v>0</v>
      </c>
      <c r="C11" s="0" t="n">
        <f aca="false">IF(AND(C$3&gt;=Groups!$E$4,MOD(C$3-Groups!$E$4,Groups!$D$4*12)=0),Groups!$B$4*Inputs!$B$16,0)</f>
        <v>0</v>
      </c>
      <c r="D11" s="0" t="n">
        <f aca="false">IF(AND(D$3&gt;=Groups!$E$4,MOD(D$3-Groups!$E$4,Groups!$D$4*12)=0),Groups!$B$4*Inputs!$B$16,0)</f>
        <v>0</v>
      </c>
      <c r="E11" s="0" t="n">
        <f aca="false">IF(AND(E$3&gt;=Groups!$E$4,MOD(E$3-Groups!$E$4,Groups!$D$4*12)=0),Groups!$B$4*Inputs!$B$16,0)</f>
        <v>0</v>
      </c>
      <c r="F11" s="0" t="n">
        <f aca="false">IF(AND(F$3&gt;=Groups!$E$4,MOD(F$3-Groups!$E$4,Groups!$D$4*12)=0),Groups!$B$4*Inputs!$B$16,0)</f>
        <v>0</v>
      </c>
      <c r="G11" s="0" t="n">
        <f aca="false">IF(AND(G$3&gt;=Groups!$E$4,MOD(G$3-Groups!$E$4,Groups!$D$4*12)=0),Groups!$B$4*Inputs!$B$16,0)</f>
        <v>0</v>
      </c>
      <c r="H11" s="0" t="n">
        <f aca="false">IF(AND(H$3&gt;=Groups!$E$4,MOD(H$3-Groups!$E$4,Groups!$D$4*12)=0),Groups!$B$4*Inputs!$B$16,0)</f>
        <v>0</v>
      </c>
      <c r="I11" s="0" t="n">
        <f aca="false">IF(AND(I$3&gt;=Groups!$E$4,MOD(I$3-Groups!$E$4,Groups!$D$4*12)=0),Groups!$B$4*Inputs!$B$16,0)</f>
        <v>0</v>
      </c>
      <c r="J11" s="0" t="n">
        <f aca="false">IF(AND(J$3&gt;=Groups!$E$4,MOD(J$3-Groups!$E$4,Groups!$D$4*12)=0),Groups!$B$4*Inputs!$B$16,0)</f>
        <v>0</v>
      </c>
      <c r="K11" s="0" t="n">
        <f aca="false">IF(AND(K$3&gt;=Groups!$E$4,MOD(K$3-Groups!$E$4,Groups!$D$4*12)=0),Groups!$B$4*Inputs!$B$16,0)</f>
        <v>0</v>
      </c>
      <c r="L11" s="0" t="n">
        <f aca="false">IF(AND(L$3&gt;=Groups!$E$4,MOD(L$3-Groups!$E$4,Groups!$D$4*12)=0),Groups!$B$4*Inputs!$B$16,0)</f>
        <v>0</v>
      </c>
      <c r="M11" s="0" t="n">
        <f aca="false">IF(AND(M$3&gt;=Groups!$E$4,MOD(M$3-Groups!$E$4,Groups!$D$4*12)=0),Groups!$B$4*Inputs!$B$16,0)</f>
        <v>0</v>
      </c>
      <c r="N11" s="0" t="n">
        <f aca="false">IF(AND(N$3&gt;=Groups!$E$4,MOD(N$3-Groups!$E$4,Groups!$D$4*12)=0),Groups!$B$4*Inputs!$B$16,0)</f>
        <v>0</v>
      </c>
      <c r="O11" s="0" t="n">
        <f aca="false">IF(AND(O$3&gt;=Groups!$E$4,MOD(O$3-Groups!$E$4,Groups!$D$4*12)=0),Groups!$B$4*Inputs!$B$16,0)</f>
        <v>0</v>
      </c>
      <c r="P11" s="0" t="n">
        <f aca="false">IF(AND(P$3&gt;=Groups!$E$4,MOD(P$3-Groups!$E$4,Groups!$D$4*12)=0),Groups!$B$4*Inputs!$B$16,0)</f>
        <v>0</v>
      </c>
      <c r="Q11" s="0" t="n">
        <f aca="false">IF(AND(Q$3&gt;=Groups!$E$4,MOD(Q$3-Groups!$E$4,Groups!$D$4*12)=0),Groups!$B$4*Inputs!$B$16,0)</f>
        <v>0</v>
      </c>
      <c r="R11" s="0" t="n">
        <f aca="false">IF(AND(R$3&gt;=Groups!$E$4,MOD(R$3-Groups!$E$4,Groups!$D$4*12)=0),Groups!$B$4*Inputs!$B$16,0)</f>
        <v>0</v>
      </c>
      <c r="S11" s="0" t="n">
        <f aca="false">IF(AND(S$3&gt;=Groups!$E$4,MOD(S$3-Groups!$E$4,Groups!$D$4*12)=0),Groups!$B$4*Inputs!$B$16,0)</f>
        <v>0</v>
      </c>
      <c r="T11" s="0" t="n">
        <f aca="false">IF(AND(T$3&gt;=Groups!$E$4,MOD(T$3-Groups!$E$4,Groups!$D$4*12)=0),Groups!$B$4*Inputs!$B$16,0)</f>
        <v>0</v>
      </c>
      <c r="U11" s="0" t="n">
        <f aca="false">IF(AND(U$3&gt;=Groups!$E$4,MOD(U$3-Groups!$E$4,Groups!$D$4*12)=0),Groups!$B$4*Inputs!$B$16,0)</f>
        <v>0</v>
      </c>
      <c r="V11" s="0" t="n">
        <f aca="false">IF(AND(V$3&gt;=Groups!$E$4,MOD(V$3-Groups!$E$4,Groups!$D$4*12)=0),Groups!$B$4*Inputs!$B$16,0)</f>
        <v>0</v>
      </c>
      <c r="W11" s="0" t="n">
        <f aca="false">IF(AND(W$3&gt;=Groups!$E$4,MOD(W$3-Groups!$E$4,Groups!$D$4*12)=0),Groups!$B$4*Inputs!$B$16,0)</f>
        <v>0</v>
      </c>
      <c r="X11" s="0" t="n">
        <f aca="false">IF(AND(X$3&gt;=Groups!$E$4,MOD(X$3-Groups!$E$4,Groups!$D$4*12)=0),Groups!$B$4*Inputs!$B$16,0)</f>
        <v>0</v>
      </c>
      <c r="Y11" s="0" t="n">
        <f aca="false">IF(AND(Y$3&gt;=Groups!$E$4,MOD(Y$3-Groups!$E$4,Groups!$D$4*12)=0),Groups!$B$4*Inputs!$B$16,0)</f>
        <v>0</v>
      </c>
      <c r="Z11" s="0" t="n">
        <f aca="false">IF(AND(Z$3&gt;=Groups!$E$4,MOD(Z$3-Groups!$E$4,Groups!$D$4*12)=0),Groups!$B$4*Inputs!$B$16,0)</f>
        <v>0</v>
      </c>
      <c r="AA11" s="0" t="n">
        <f aca="false">IF(AND(AA$3&gt;=Groups!$E$4,MOD(AA$3-Groups!$E$4,Groups!$D$4*12)=0),Groups!$B$4*Inputs!$B$16,0)</f>
        <v>0</v>
      </c>
      <c r="AB11" s="0" t="n">
        <f aca="false">IF(AND(AB$3&gt;=Groups!$E$4,MOD(AB$3-Groups!$E$4,Groups!$D$4*12)=0),Groups!$B$4*Inputs!$B$16,0)</f>
        <v>0</v>
      </c>
      <c r="AC11" s="0" t="n">
        <f aca="false">IF(AND(AC$3&gt;=Groups!$E$4,MOD(AC$3-Groups!$E$4,Groups!$D$4*12)=0),Groups!$B$4*Inputs!$B$16,0)</f>
        <v>0</v>
      </c>
      <c r="AD11" s="0" t="n">
        <f aca="false">IF(AND(AD$3&gt;=Groups!$E$4,MOD(AD$3-Groups!$E$4,Groups!$D$4*12)=0),Groups!$B$4*Inputs!$B$16,0)</f>
        <v>0</v>
      </c>
      <c r="AE11" s="0" t="n">
        <f aca="false">IF(AND(AE$3&gt;=Groups!$E$4,MOD(AE$3-Groups!$E$4,Groups!$D$4*12)=0),Groups!$B$4*Inputs!$B$16,0)</f>
        <v>0</v>
      </c>
      <c r="AF11" s="0" t="n">
        <f aca="false">IF(AND(AF$3&gt;=Groups!$E$4,MOD(AF$3-Groups!$E$4,Groups!$D$4*12)=0),Groups!$B$4*Inputs!$B$16,0)</f>
        <v>0</v>
      </c>
      <c r="AG11" s="0" t="n">
        <f aca="false">IF(AND(AG$3&gt;=Groups!$E$4,MOD(AG$3-Groups!$E$4,Groups!$D$4*12)=0),Groups!$B$4*Inputs!$B$16,0)</f>
        <v>0</v>
      </c>
      <c r="AH11" s="0" t="n">
        <f aca="false">IF(AND(AH$3&gt;=Groups!$E$4,MOD(AH$3-Groups!$E$4,Groups!$D$4*12)=0),Groups!$B$4*Inputs!$B$16,0)</f>
        <v>0</v>
      </c>
      <c r="AI11" s="0" t="n">
        <f aca="false">IF(AND(AI$3&gt;=Groups!$E$4,MOD(AI$3-Groups!$E$4,Groups!$D$4*12)=0),Groups!$B$4*Inputs!$B$16,0)</f>
        <v>0</v>
      </c>
      <c r="AJ11" s="0" t="n">
        <f aca="false">IF(AND(AJ$3&gt;=Groups!$E$4,MOD(AJ$3-Groups!$E$4,Groups!$D$4*12)=0),Groups!$B$4*Inputs!$B$16,0)</f>
        <v>0</v>
      </c>
      <c r="AK11" s="0" t="n">
        <f aca="false">IF(AND(AK$3&gt;=Groups!$E$4,MOD(AK$3-Groups!$E$4,Groups!$D$4*12)=0),Groups!$B$4*Inputs!$B$16,0)</f>
        <v>0</v>
      </c>
      <c r="AL11" s="0" t="n">
        <f aca="false">IF(AND(AL$3&gt;=Groups!$E$4,MOD(AL$3-Groups!$E$4,Groups!$D$4*12)=0),Groups!$B$4*Inputs!$B$16,0)</f>
        <v>0</v>
      </c>
      <c r="AM11" s="0" t="n">
        <f aca="false">IF(AND(AM$3&gt;=Groups!$E$4,MOD(AM$3-Groups!$E$4,Groups!$D$4*12)=0),Groups!$B$4*Inputs!$B$16,0)</f>
        <v>0</v>
      </c>
      <c r="AN11" s="0" t="n">
        <f aca="false">IF(AND(AN$3&gt;=Groups!$E$4,MOD(AN$3-Groups!$E$4,Groups!$D$4*12)=0),Groups!$B$4*Inputs!$B$16,0)</f>
        <v>0</v>
      </c>
      <c r="AO11" s="0" t="n">
        <f aca="false">IF(AND(AO$3&gt;=Groups!$E$4,MOD(AO$3-Groups!$E$4,Groups!$D$4*12)=0),Groups!$B$4*Inputs!$B$16,0)</f>
        <v>0</v>
      </c>
      <c r="AP11" s="0" t="n">
        <f aca="false">IF(AND(AP$3&gt;=Groups!$E$4,MOD(AP$3-Groups!$E$4,Groups!$D$4*12)=0),Groups!$B$4*Inputs!$B$16,0)</f>
        <v>0</v>
      </c>
      <c r="AQ11" s="0" t="n">
        <f aca="false">IF(AND(AQ$3&gt;=Groups!$E$4,MOD(AQ$3-Groups!$E$4,Groups!$D$4*12)=0),Groups!$B$4*Inputs!$B$16,0)</f>
        <v>0</v>
      </c>
      <c r="AR11" s="0" t="n">
        <f aca="false">IF(AND(AR$3&gt;=Groups!$E$4,MOD(AR$3-Groups!$E$4,Groups!$D$4*12)=0),Groups!$B$4*Inputs!$B$16,0)</f>
        <v>0</v>
      </c>
      <c r="AS11" s="0" t="n">
        <f aca="false">IF(AND(AS$3&gt;=Groups!$E$4,MOD(AS$3-Groups!$E$4,Groups!$D$4*12)=0),Groups!$B$4*Inputs!$B$16,0)</f>
        <v>0</v>
      </c>
      <c r="AT11" s="0" t="n">
        <f aca="false">IF(AND(AT$3&gt;=Groups!$E$4,MOD(AT$3-Groups!$E$4,Groups!$D$4*12)=0),Groups!$B$4*Inputs!$B$16,0)</f>
        <v>0</v>
      </c>
      <c r="AU11" s="0" t="n">
        <f aca="false">IF(AND(AU$3&gt;=Groups!$E$4,MOD(AU$3-Groups!$E$4,Groups!$D$4*12)=0),Groups!$B$4*Inputs!$B$16,0)</f>
        <v>0</v>
      </c>
      <c r="AV11" s="0" t="n">
        <f aca="false">IF(AND(AV$3&gt;=Groups!$E$4,MOD(AV$3-Groups!$E$4,Groups!$D$4*12)=0),Groups!$B$4*Inputs!$B$16,0)</f>
        <v>0</v>
      </c>
      <c r="AW11" s="0" t="n">
        <f aca="false">IF(AND(AW$3&gt;=Groups!$E$4,MOD(AW$3-Groups!$E$4,Groups!$D$4*12)=0),Groups!$B$4*Inputs!$B$16,0)</f>
        <v>0</v>
      </c>
      <c r="AX11" s="0" t="n">
        <f aca="false">IF(AND(AX$3&gt;=Groups!$E$4,MOD(AX$3-Groups!$E$4,Groups!$D$4*12)=0),Groups!$B$4*Inputs!$B$16,0)</f>
        <v>0</v>
      </c>
      <c r="AY11" s="0" t="n">
        <f aca="false">IF(AND(AY$3&gt;=Groups!$E$4,MOD(AY$3-Groups!$E$4,Groups!$D$4*12)=0),Groups!$B$4*Inputs!$B$16,0)</f>
        <v>0</v>
      </c>
      <c r="AZ11" s="0" t="n">
        <f aca="false">IF(AND(AZ$3&gt;=Groups!$E$4,MOD(AZ$3-Groups!$E$4,Groups!$D$4*12)=0),Groups!$B$4*Inputs!$B$16,0)</f>
        <v>0</v>
      </c>
      <c r="BA11" s="0" t="n">
        <f aca="false">IF(AND(BA$3&gt;=Groups!$E$4,MOD(BA$3-Groups!$E$4,Groups!$D$4*12)=0),Groups!$B$4*Inputs!$B$16,0)</f>
        <v>0</v>
      </c>
      <c r="BB11" s="0" t="n">
        <f aca="false">IF(AND(BB$3&gt;=Groups!$E$4,MOD(BB$3-Groups!$E$4,Groups!$D$4*12)=0),Groups!$B$4*Inputs!$B$16,0)</f>
        <v>0</v>
      </c>
      <c r="BC11" s="0" t="n">
        <f aca="false">IF(AND(BC$3&gt;=Groups!$E$4,MOD(BC$3-Groups!$E$4,Groups!$D$4*12)=0),Groups!$B$4*Inputs!$B$16,0)</f>
        <v>0</v>
      </c>
      <c r="BD11" s="0" t="n">
        <f aca="false">IF(AND(BD$3&gt;=Groups!$E$4,MOD(BD$3-Groups!$E$4,Groups!$D$4*12)=0),Groups!$B$4*Inputs!$B$16,0)</f>
        <v>0</v>
      </c>
      <c r="BE11" s="0" t="n">
        <f aca="false">IF(AND(BE$3&gt;=Groups!$E$4,MOD(BE$3-Groups!$E$4,Groups!$D$4*12)=0),Groups!$B$4*Inputs!$B$16,0)</f>
        <v>0</v>
      </c>
      <c r="BF11" s="0" t="n">
        <f aca="false">IF(AND(BF$3&gt;=Groups!$E$4,MOD(BF$3-Groups!$E$4,Groups!$D$4*12)=0),Groups!$B$4*Inputs!$B$16,0)</f>
        <v>0</v>
      </c>
      <c r="BG11" s="0" t="n">
        <f aca="false">IF(AND(BG$3&gt;=Groups!$E$4,MOD(BG$3-Groups!$E$4,Groups!$D$4*12)=0),Groups!$B$4*Inputs!$B$16,0)</f>
        <v>0</v>
      </c>
      <c r="BH11" s="0" t="n">
        <f aca="false">IF(AND(BH$3&gt;=Groups!$E$4,MOD(BH$3-Groups!$E$4,Groups!$D$4*12)=0),Groups!$B$4*Inputs!$B$16,0)</f>
        <v>0</v>
      </c>
      <c r="BI11" s="0" t="n">
        <f aca="false">IF(AND(BI$3&gt;=Groups!$E$4,MOD(BI$3-Groups!$E$4,Groups!$D$4*12)=0),Groups!$B$4*Inputs!$B$16,0)</f>
        <v>0</v>
      </c>
      <c r="BJ11" s="0" t="n">
        <f aca="false">IF(AND(BJ$3&gt;=Groups!$E$4,MOD(BJ$3-Groups!$E$4,Groups!$D$4*12)=0),Groups!$B$4*Inputs!$B$16,0)</f>
        <v>0</v>
      </c>
      <c r="BK11" s="0" t="n">
        <f aca="false">IF(AND(BK$3&gt;=Groups!$E$4,MOD(BK$3-Groups!$E$4,Groups!$D$4*12)=0),Groups!$B$4*Inputs!$B$16,0)</f>
        <v>0</v>
      </c>
      <c r="BL11" s="0" t="n">
        <f aca="false">IF(AND(BL$3&gt;=Groups!$E$4,MOD(BL$3-Groups!$E$4,Groups!$D$4*12)=0),Groups!$B$4*Inputs!$B$16,0)</f>
        <v>0</v>
      </c>
      <c r="BM11" s="0" t="n">
        <f aca="false">IF(AND(BM$3&gt;=Groups!$E$4,MOD(BM$3-Groups!$E$4,Groups!$D$4*12)=0),Groups!$B$4*Inputs!$B$16,0)</f>
        <v>0</v>
      </c>
      <c r="BN11" s="0" t="n">
        <f aca="false">IF(AND(BN$3&gt;=Groups!$E$4,MOD(BN$3-Groups!$E$4,Groups!$D$4*12)=0),Groups!$B$4*Inputs!$B$16,0)</f>
        <v>0</v>
      </c>
      <c r="BO11" s="0" t="n">
        <f aca="false">IF(AND(BO$3&gt;=Groups!$E$4,MOD(BO$3-Groups!$E$4,Groups!$D$4*12)=0),Groups!$B$4*Inputs!$B$16,0)</f>
        <v>0</v>
      </c>
      <c r="BP11" s="0" t="n">
        <f aca="false">IF(AND(BP$3&gt;=Groups!$E$4,MOD(BP$3-Groups!$E$4,Groups!$D$4*12)=0),Groups!$B$4*Inputs!$B$16,0)</f>
        <v>0</v>
      </c>
      <c r="BQ11" s="0" t="n">
        <f aca="false">IF(AND(BQ$3&gt;=Groups!$E$4,MOD(BQ$3-Groups!$E$4,Groups!$D$4*12)=0),Groups!$B$4*Inputs!$B$16,0)</f>
        <v>0</v>
      </c>
      <c r="BR11" s="0" t="n">
        <f aca="false">IF(AND(BR$3&gt;=Groups!$E$4,MOD(BR$3-Groups!$E$4,Groups!$D$4*12)=0),Groups!$B$4*Inputs!$B$16,0)</f>
        <v>0</v>
      </c>
      <c r="BS11" s="0" t="n">
        <f aca="false">IF(AND(BS$3&gt;=Groups!$E$4,MOD(BS$3-Groups!$E$4,Groups!$D$4*12)=0),Groups!$B$4*Inputs!$B$16,0)</f>
        <v>0</v>
      </c>
      <c r="BT11" s="0" t="n">
        <f aca="false">IF(AND(BT$3&gt;=Groups!$E$4,MOD(BT$3-Groups!$E$4,Groups!$D$4*12)=0),Groups!$B$4*Inputs!$B$16,0)</f>
        <v>8820000</v>
      </c>
      <c r="BU11" s="0" t="n">
        <f aca="false">IF(AND(BU$3&gt;=Groups!$E$4,MOD(BU$3-Groups!$E$4,Groups!$D$4*12)=0),Groups!$B$4*Inputs!$B$16,0)</f>
        <v>0</v>
      </c>
      <c r="BV11" s="0" t="n">
        <f aca="false">IF(AND(BV$3&gt;=Groups!$E$4,MOD(BV$3-Groups!$E$4,Groups!$D$4*12)=0),Groups!$B$4*Inputs!$B$16,0)</f>
        <v>0</v>
      </c>
      <c r="BW11" s="0" t="n">
        <f aca="false">IF(AND(BW$3&gt;=Groups!$E$4,MOD(BW$3-Groups!$E$4,Groups!$D$4*12)=0),Groups!$B$4*Inputs!$B$16,0)</f>
        <v>0</v>
      </c>
      <c r="BX11" s="0" t="n">
        <f aca="false">IF(AND(BX$3&gt;=Groups!$E$4,MOD(BX$3-Groups!$E$4,Groups!$D$4*12)=0),Groups!$B$4*Inputs!$B$16,0)</f>
        <v>0</v>
      </c>
      <c r="BY11" s="0" t="n">
        <f aca="false">IF(AND(BY$3&gt;=Groups!$E$4,MOD(BY$3-Groups!$E$4,Groups!$D$4*12)=0),Groups!$B$4*Inputs!$B$16,0)</f>
        <v>0</v>
      </c>
      <c r="BZ11" s="0" t="n">
        <f aca="false">IF(AND(BZ$3&gt;=Groups!$E$4,MOD(BZ$3-Groups!$E$4,Groups!$D$4*12)=0),Groups!$B$4*Inputs!$B$16,0)</f>
        <v>0</v>
      </c>
      <c r="CA11" s="0" t="n">
        <f aca="false">IF(AND(CA$3&gt;=Groups!$E$4,MOD(CA$3-Groups!$E$4,Groups!$D$4*12)=0),Groups!$B$4*Inputs!$B$16,0)</f>
        <v>0</v>
      </c>
      <c r="CB11" s="0" t="n">
        <f aca="false">IF(AND(CB$3&gt;=Groups!$E$4,MOD(CB$3-Groups!$E$4,Groups!$D$4*12)=0),Groups!$B$4*Inputs!$B$16,0)</f>
        <v>0</v>
      </c>
      <c r="CC11" s="0" t="n">
        <f aca="false">IF(AND(CC$3&gt;=Groups!$E$4,MOD(CC$3-Groups!$E$4,Groups!$D$4*12)=0),Groups!$B$4*Inputs!$B$16,0)</f>
        <v>0</v>
      </c>
      <c r="CD11" s="0" t="n">
        <f aca="false">IF(AND(CD$3&gt;=Groups!$E$4,MOD(CD$3-Groups!$E$4,Groups!$D$4*12)=0),Groups!$B$4*Inputs!$B$16,0)</f>
        <v>0</v>
      </c>
      <c r="CE11" s="0" t="n">
        <f aca="false">IF(AND(CE$3&gt;=Groups!$E$4,MOD(CE$3-Groups!$E$4,Groups!$D$4*12)=0),Groups!$B$4*Inputs!$B$16,0)</f>
        <v>0</v>
      </c>
      <c r="CF11" s="0" t="n">
        <f aca="false">IF(AND(CF$3&gt;=Groups!$E$4,MOD(CF$3-Groups!$E$4,Groups!$D$4*12)=0),Groups!$B$4*Inputs!$B$16,0)</f>
        <v>0</v>
      </c>
      <c r="CG11" s="0" t="n">
        <f aca="false">IF(AND(CG$3&gt;=Groups!$E$4,MOD(CG$3-Groups!$E$4,Groups!$D$4*12)=0),Groups!$B$4*Inputs!$B$16,0)</f>
        <v>0</v>
      </c>
      <c r="CH11" s="0" t="n">
        <f aca="false">IF(AND(CH$3&gt;=Groups!$E$4,MOD(CH$3-Groups!$E$4,Groups!$D$4*12)=0),Groups!$B$4*Inputs!$B$16,0)</f>
        <v>0</v>
      </c>
      <c r="CI11" s="0" t="n">
        <f aca="false">IF(AND(CI$3&gt;=Groups!$E$4,MOD(CI$3-Groups!$E$4,Groups!$D$4*12)=0),Groups!$B$4*Inputs!$B$16,0)</f>
        <v>0</v>
      </c>
      <c r="CJ11" s="0" t="n">
        <f aca="false">IF(AND(CJ$3&gt;=Groups!$E$4,MOD(CJ$3-Groups!$E$4,Groups!$D$4*12)=0),Groups!$B$4*Inputs!$B$16,0)</f>
        <v>0</v>
      </c>
      <c r="CK11" s="0" t="n">
        <f aca="false">IF(AND(CK$3&gt;=Groups!$E$4,MOD(CK$3-Groups!$E$4,Groups!$D$4*12)=0),Groups!$B$4*Inputs!$B$16,0)</f>
        <v>0</v>
      </c>
      <c r="CL11" s="0" t="n">
        <f aca="false">IF(AND(CL$3&gt;=Groups!$E$4,MOD(CL$3-Groups!$E$4,Groups!$D$4*12)=0),Groups!$B$4*Inputs!$B$16,0)</f>
        <v>0</v>
      </c>
      <c r="CM11" s="0" t="n">
        <f aca="false">IF(AND(CM$3&gt;=Groups!$E$4,MOD(CM$3-Groups!$E$4,Groups!$D$4*12)=0),Groups!$B$4*Inputs!$B$16,0)</f>
        <v>0</v>
      </c>
      <c r="CN11" s="0" t="n">
        <f aca="false">IF(AND(CN$3&gt;=Groups!$E$4,MOD(CN$3-Groups!$E$4,Groups!$D$4*12)=0),Groups!$B$4*Inputs!$B$16,0)</f>
        <v>0</v>
      </c>
      <c r="CO11" s="0" t="n">
        <f aca="false">IF(AND(CO$3&gt;=Groups!$E$4,MOD(CO$3-Groups!$E$4,Groups!$D$4*12)=0),Groups!$B$4*Inputs!$B$16,0)</f>
        <v>0</v>
      </c>
      <c r="CP11" s="0" t="n">
        <f aca="false">IF(AND(CP$3&gt;=Groups!$E$4,MOD(CP$3-Groups!$E$4,Groups!$D$4*12)=0),Groups!$B$4*Inputs!$B$16,0)</f>
        <v>0</v>
      </c>
      <c r="CQ11" s="0" t="n">
        <f aca="false">IF(AND(CQ$3&gt;=Groups!$E$4,MOD(CQ$3-Groups!$E$4,Groups!$D$4*12)=0),Groups!$B$4*Inputs!$B$16,0)</f>
        <v>0</v>
      </c>
      <c r="CR11" s="0" t="n">
        <f aca="false">IF(AND(CR$3&gt;=Groups!$E$4,MOD(CR$3-Groups!$E$4,Groups!$D$4*12)=0),Groups!$B$4*Inputs!$B$16,0)</f>
        <v>0</v>
      </c>
      <c r="CS11" s="0" t="n">
        <f aca="false">IF(AND(CS$3&gt;=Groups!$E$4,MOD(CS$3-Groups!$E$4,Groups!$D$4*12)=0),Groups!$B$4*Inputs!$B$16,0)</f>
        <v>0</v>
      </c>
      <c r="CT11" s="0" t="n">
        <f aca="false">IF(AND(CT$3&gt;=Groups!$E$4,MOD(CT$3-Groups!$E$4,Groups!$D$4*12)=0),Groups!$B$4*Inputs!$B$16,0)</f>
        <v>0</v>
      </c>
      <c r="CU11" s="0" t="n">
        <f aca="false">IF(AND(CU$3&gt;=Groups!$E$4,MOD(CU$3-Groups!$E$4,Groups!$D$4*12)=0),Groups!$B$4*Inputs!$B$16,0)</f>
        <v>0</v>
      </c>
      <c r="CV11" s="0" t="n">
        <f aca="false">IF(AND(CV$3&gt;=Groups!$E$4,MOD(CV$3-Groups!$E$4,Groups!$D$4*12)=0),Groups!$B$4*Inputs!$B$16,0)</f>
        <v>0</v>
      </c>
      <c r="CW11" s="0" t="n">
        <f aca="false">IF(AND(CW$3&gt;=Groups!$E$4,MOD(CW$3-Groups!$E$4,Groups!$D$4*12)=0),Groups!$B$4*Inputs!$B$16,0)</f>
        <v>0</v>
      </c>
      <c r="CX11" s="0" t="n">
        <f aca="false">IF(AND(CX$3&gt;=Groups!$E$4,MOD(CX$3-Groups!$E$4,Groups!$D$4*12)=0),Groups!$B$4*Inputs!$B$16,0)</f>
        <v>0</v>
      </c>
      <c r="CY11" s="0" t="n">
        <f aca="false">IF(AND(CY$3&gt;=Groups!$E$4,MOD(CY$3-Groups!$E$4,Groups!$D$4*12)=0),Groups!$B$4*Inputs!$B$16,0)</f>
        <v>0</v>
      </c>
      <c r="CZ11" s="0" t="n">
        <f aca="false">IF(AND(CZ$3&gt;=Groups!$E$4,MOD(CZ$3-Groups!$E$4,Groups!$D$4*12)=0),Groups!$B$4*Inputs!$B$16,0)</f>
        <v>0</v>
      </c>
      <c r="DA11" s="0" t="n">
        <f aca="false">IF(AND(DA$3&gt;=Groups!$E$4,MOD(DA$3-Groups!$E$4,Groups!$D$4*12)=0),Groups!$B$4*Inputs!$B$16,0)</f>
        <v>0</v>
      </c>
      <c r="DB11" s="0" t="n">
        <f aca="false">IF(AND(DB$3&gt;=Groups!$E$4,MOD(DB$3-Groups!$E$4,Groups!$D$4*12)=0),Groups!$B$4*Inputs!$B$16,0)</f>
        <v>0</v>
      </c>
      <c r="DC11" s="0" t="n">
        <f aca="false">IF(AND(DC$3&gt;=Groups!$E$4,MOD(DC$3-Groups!$E$4,Groups!$D$4*12)=0),Groups!$B$4*Inputs!$B$16,0)</f>
        <v>0</v>
      </c>
      <c r="DD11" s="0" t="n">
        <f aca="false">IF(AND(DD$3&gt;=Groups!$E$4,MOD(DD$3-Groups!$E$4,Groups!$D$4*12)=0),Groups!$B$4*Inputs!$B$16,0)</f>
        <v>0</v>
      </c>
      <c r="DE11" s="0" t="n">
        <f aca="false">IF(AND(DE$3&gt;=Groups!$E$4,MOD(DE$3-Groups!$E$4,Groups!$D$4*12)=0),Groups!$B$4*Inputs!$B$16,0)</f>
        <v>0</v>
      </c>
      <c r="DF11" s="0" t="n">
        <f aca="false">IF(AND(DF$3&gt;=Groups!$E$4,MOD(DF$3-Groups!$E$4,Groups!$D$4*12)=0),Groups!$B$4*Inputs!$B$16,0)</f>
        <v>0</v>
      </c>
      <c r="DG11" s="0" t="n">
        <f aca="false">IF(AND(DG$3&gt;=Groups!$E$4,MOD(DG$3-Groups!$E$4,Groups!$D$4*12)=0),Groups!$B$4*Inputs!$B$16,0)</f>
        <v>0</v>
      </c>
      <c r="DH11" s="0" t="n">
        <f aca="false">IF(AND(DH$3&gt;=Groups!$E$4,MOD(DH$3-Groups!$E$4,Groups!$D$4*12)=0),Groups!$B$4*Inputs!$B$16,0)</f>
        <v>0</v>
      </c>
      <c r="DI11" s="0" t="n">
        <f aca="false">IF(AND(DI$3&gt;=Groups!$E$4,MOD(DI$3-Groups!$E$4,Groups!$D$4*12)=0),Groups!$B$4*Inputs!$B$16,0)</f>
        <v>0</v>
      </c>
      <c r="DJ11" s="0" t="n">
        <f aca="false">IF(AND(DJ$3&gt;=Groups!$E$4,MOD(DJ$3-Groups!$E$4,Groups!$D$4*12)=0),Groups!$B$4*Inputs!$B$16,0)</f>
        <v>0</v>
      </c>
      <c r="DK11" s="0" t="n">
        <f aca="false">IF(AND(DK$3&gt;=Groups!$E$4,MOD(DK$3-Groups!$E$4,Groups!$D$4*12)=0),Groups!$B$4*Inputs!$B$16,0)</f>
        <v>0</v>
      </c>
      <c r="DL11" s="0" t="n">
        <f aca="false">IF(AND(DL$3&gt;=Groups!$E$4,MOD(DL$3-Groups!$E$4,Groups!$D$4*12)=0),Groups!$B$4*Inputs!$B$16,0)</f>
        <v>0</v>
      </c>
      <c r="DM11" s="0" t="n">
        <f aca="false">IF(AND(DM$3&gt;=Groups!$E$4,MOD(DM$3-Groups!$E$4,Groups!$D$4*12)=0),Groups!$B$4*Inputs!$B$16,0)</f>
        <v>0</v>
      </c>
      <c r="DN11" s="0" t="n">
        <f aca="false">IF(AND(DN$3&gt;=Groups!$E$4,MOD(DN$3-Groups!$E$4,Groups!$D$4*12)=0),Groups!$B$4*Inputs!$B$16,0)</f>
        <v>0</v>
      </c>
      <c r="DO11" s="0" t="n">
        <f aca="false">IF(AND(DO$3&gt;=Groups!$E$4,MOD(DO$3-Groups!$E$4,Groups!$D$4*12)=0),Groups!$B$4*Inputs!$B$16,0)</f>
        <v>0</v>
      </c>
      <c r="DP11" s="0" t="n">
        <f aca="false">IF(AND(DP$3&gt;=Groups!$E$4,MOD(DP$3-Groups!$E$4,Groups!$D$4*12)=0),Groups!$B$4*Inputs!$B$16,0)</f>
        <v>0</v>
      </c>
      <c r="DQ11" s="0" t="n">
        <f aca="false">IF(AND(DQ$3&gt;=Groups!$E$4,MOD(DQ$3-Groups!$E$4,Groups!$D$4*12)=0),Groups!$B$4*Inputs!$B$16,0)</f>
        <v>0</v>
      </c>
      <c r="DR11" s="0" t="n">
        <f aca="false">IF(AND(DR$3&gt;=Groups!$E$4,MOD(DR$3-Groups!$E$4,Groups!$D$4*12)=0),Groups!$B$4*Inputs!$B$16,0)</f>
        <v>0</v>
      </c>
      <c r="DS11" s="0" t="n">
        <f aca="false">IF(AND(DS$3&gt;=Groups!$E$4,MOD(DS$3-Groups!$E$4,Groups!$D$4*12)=0),Groups!$B$4*Inputs!$B$16,0)</f>
        <v>0</v>
      </c>
      <c r="DT11" s="0" t="n">
        <f aca="false">IF(AND(DT$3&gt;=Groups!$E$4,MOD(DT$3-Groups!$E$4,Groups!$D$4*12)=0),Groups!$B$4*Inputs!$B$16,0)</f>
        <v>0</v>
      </c>
      <c r="DU11" s="0" t="n">
        <f aca="false">IF(AND(DU$3&gt;=Groups!$E$4,MOD(DU$3-Groups!$E$4,Groups!$D$4*12)=0),Groups!$B$4*Inputs!$B$16,0)</f>
        <v>0</v>
      </c>
      <c r="DV11" s="0" t="n">
        <f aca="false">IF(AND(DV$3&gt;=Groups!$E$4,MOD(DV$3-Groups!$E$4,Groups!$D$4*12)=0),Groups!$B$4*Inputs!$B$16,0)</f>
        <v>0</v>
      </c>
      <c r="DW11" s="0" t="n">
        <f aca="false">IF(AND(DW$3&gt;=Groups!$E$4,MOD(DW$3-Groups!$E$4,Groups!$D$4*12)=0),Groups!$B$4*Inputs!$B$16,0)</f>
        <v>0</v>
      </c>
      <c r="DX11" s="0" t="n">
        <f aca="false">IF(AND(DX$3&gt;=Groups!$E$4,MOD(DX$3-Groups!$E$4,Groups!$D$4*12)=0),Groups!$B$4*Inputs!$B$16,0)</f>
        <v>0</v>
      </c>
      <c r="DY11" s="0" t="n">
        <f aca="false">IF(AND(DY$3&gt;=Groups!$E$4,MOD(DY$3-Groups!$E$4,Groups!$D$4*12)=0),Groups!$B$4*Inputs!$B$16,0)</f>
        <v>0</v>
      </c>
      <c r="DZ11" s="0" t="n">
        <f aca="false">IF(AND(DZ$3&gt;=Groups!$E$4,MOD(DZ$3-Groups!$E$4,Groups!$D$4*12)=0),Groups!$B$4*Inputs!$B$16,0)</f>
        <v>0</v>
      </c>
      <c r="EA11" s="0" t="n">
        <f aca="false">IF(AND(EA$3&gt;=Groups!$E$4,MOD(EA$3-Groups!$E$4,Groups!$D$4*12)=0),Groups!$B$4*Inputs!$B$16,0)</f>
        <v>0</v>
      </c>
      <c r="EB11" s="0" t="n">
        <f aca="false">IF(AND(EB$3&gt;=Groups!$E$4,MOD(EB$3-Groups!$E$4,Groups!$D$4*12)=0),Groups!$B$4*Inputs!$B$16,0)</f>
        <v>0</v>
      </c>
      <c r="EC11" s="0" t="n">
        <f aca="false">IF(AND(EC$3&gt;=Groups!$E$4,MOD(EC$3-Groups!$E$4,Groups!$D$4*12)=0),Groups!$B$4*Inputs!$B$16,0)</f>
        <v>0</v>
      </c>
      <c r="ED11" s="0" t="n">
        <f aca="false">IF(AND(ED$3&gt;=Groups!$E$4,MOD(ED$3-Groups!$E$4,Groups!$D$4*12)=0),Groups!$B$4*Inputs!$B$16,0)</f>
        <v>0</v>
      </c>
      <c r="EE11" s="0" t="n">
        <f aca="false">IF(AND(EE$3&gt;=Groups!$E$4,MOD(EE$3-Groups!$E$4,Groups!$D$4*12)=0),Groups!$B$4*Inputs!$B$16,0)</f>
        <v>0</v>
      </c>
      <c r="EF11" s="0" t="n">
        <f aca="false">IF(AND(EF$3&gt;=Groups!$E$4,MOD(EF$3-Groups!$E$4,Groups!$D$4*12)=0),Groups!$B$4*Inputs!$B$16,0)</f>
        <v>0</v>
      </c>
      <c r="EG11" s="0" t="n">
        <f aca="false">IF(AND(EG$3&gt;=Groups!$E$4,MOD(EG$3-Groups!$E$4,Groups!$D$4*12)=0),Groups!$B$4*Inputs!$B$16,0)</f>
        <v>0</v>
      </c>
      <c r="EH11" s="0" t="n">
        <f aca="false">IF(AND(EH$3&gt;=Groups!$E$4,MOD(EH$3-Groups!$E$4,Groups!$D$4*12)=0),Groups!$B$4*Inputs!$B$16,0)</f>
        <v>0</v>
      </c>
      <c r="EI11" s="0" t="n">
        <f aca="false">IF(AND(EI$3&gt;=Groups!$E$4,MOD(EI$3-Groups!$E$4,Groups!$D$4*12)=0),Groups!$B$4*Inputs!$B$16,0)</f>
        <v>0</v>
      </c>
      <c r="EJ11" s="0" t="n">
        <f aca="false">IF(AND(EJ$3&gt;=Groups!$E$4,MOD(EJ$3-Groups!$E$4,Groups!$D$4*12)=0),Groups!$B$4*Inputs!$B$16,0)</f>
        <v>0</v>
      </c>
      <c r="EK11" s="0" t="n">
        <f aca="false">IF(AND(EK$3&gt;=Groups!$E$4,MOD(EK$3-Groups!$E$4,Groups!$D$4*12)=0),Groups!$B$4*Inputs!$B$16,0)</f>
        <v>0</v>
      </c>
      <c r="EL11" s="0" t="n">
        <f aca="false">IF(AND(EL$3&gt;=Groups!$E$4,MOD(EL$3-Groups!$E$4,Groups!$D$4*12)=0),Groups!$B$4*Inputs!$B$16,0)</f>
        <v>0</v>
      </c>
      <c r="EM11" s="0" t="n">
        <f aca="false">IF(AND(EM$3&gt;=Groups!$E$4,MOD(EM$3-Groups!$E$4,Groups!$D$4*12)=0),Groups!$B$4*Inputs!$B$16,0)</f>
        <v>0</v>
      </c>
      <c r="EN11" s="0" t="n">
        <f aca="false">IF(AND(EN$3&gt;=Groups!$E$4,MOD(EN$3-Groups!$E$4,Groups!$D$4*12)=0),Groups!$B$4*Inputs!$B$16,0)</f>
        <v>0</v>
      </c>
      <c r="EO11" s="0" t="n">
        <f aca="false">IF(AND(EO$3&gt;=Groups!$E$4,MOD(EO$3-Groups!$E$4,Groups!$D$4*12)=0),Groups!$B$4*Inputs!$B$16,0)</f>
        <v>0</v>
      </c>
      <c r="EP11" s="0" t="n">
        <f aca="false">IF(AND(EP$3&gt;=Groups!$E$4,MOD(EP$3-Groups!$E$4,Groups!$D$4*12)=0),Groups!$B$4*Inputs!$B$16,0)</f>
        <v>0</v>
      </c>
      <c r="EQ11" s="0" t="n">
        <f aca="false">IF(AND(EQ$3&gt;=Groups!$E$4,MOD(EQ$3-Groups!$E$4,Groups!$D$4*12)=0),Groups!$B$4*Inputs!$B$16,0)</f>
        <v>0</v>
      </c>
      <c r="ER11" s="0" t="n">
        <f aca="false">IF(AND(ER$3&gt;=Groups!$E$4,MOD(ER$3-Groups!$E$4,Groups!$D$4*12)=0),Groups!$B$4*Inputs!$B$16,0)</f>
        <v>0</v>
      </c>
      <c r="ES11" s="0" t="n">
        <f aca="false">IF(AND(ES$3&gt;=Groups!$E$4,MOD(ES$3-Groups!$E$4,Groups!$D$4*12)=0),Groups!$B$4*Inputs!$B$16,0)</f>
        <v>0</v>
      </c>
      <c r="ET11" s="0" t="n">
        <f aca="false">IF(AND(ET$3&gt;=Groups!$E$4,MOD(ET$3-Groups!$E$4,Groups!$D$4*12)=0),Groups!$B$4*Inputs!$B$16,0)</f>
        <v>0</v>
      </c>
      <c r="EU11" s="0" t="n">
        <f aca="false">IF(AND(EU$3&gt;=Groups!$E$4,MOD(EU$3-Groups!$E$4,Groups!$D$4*12)=0),Groups!$B$4*Inputs!$B$16,0)</f>
        <v>0</v>
      </c>
      <c r="EV11" s="0" t="n">
        <f aca="false">IF(AND(EV$3&gt;=Groups!$E$4,MOD(EV$3-Groups!$E$4,Groups!$D$4*12)=0),Groups!$B$4*Inputs!$B$16,0)</f>
        <v>0</v>
      </c>
      <c r="EW11" s="0" t="n">
        <f aca="false">IF(AND(EW$3&gt;=Groups!$E$4,MOD(EW$3-Groups!$E$4,Groups!$D$4*12)=0),Groups!$B$4*Inputs!$B$16,0)</f>
        <v>0</v>
      </c>
      <c r="EX11" s="0" t="n">
        <f aca="false">IF(AND(EX$3&gt;=Groups!$E$4,MOD(EX$3-Groups!$E$4,Groups!$D$4*12)=0),Groups!$B$4*Inputs!$B$16,0)</f>
        <v>0</v>
      </c>
      <c r="EY11" s="0" t="n">
        <f aca="false">IF(AND(EY$3&gt;=Groups!$E$4,MOD(EY$3-Groups!$E$4,Groups!$D$4*12)=0),Groups!$B$4*Inputs!$B$16,0)</f>
        <v>0</v>
      </c>
      <c r="EZ11" s="0" t="n">
        <f aca="false">IF(AND(EZ$3&gt;=Groups!$E$4,MOD(EZ$3-Groups!$E$4,Groups!$D$4*12)=0),Groups!$B$4*Inputs!$B$16,0)</f>
        <v>0</v>
      </c>
      <c r="FA11" s="0" t="n">
        <f aca="false">IF(AND(FA$3&gt;=Groups!$E$4,MOD(FA$3-Groups!$E$4,Groups!$D$4*12)=0),Groups!$B$4*Inputs!$B$16,0)</f>
        <v>0</v>
      </c>
      <c r="FB11" s="0" t="n">
        <f aca="false">IF(AND(FB$3&gt;=Groups!$E$4,MOD(FB$3-Groups!$E$4,Groups!$D$4*12)=0),Groups!$B$4*Inputs!$B$16,0)</f>
        <v>0</v>
      </c>
      <c r="FC11" s="0" t="n">
        <f aca="false">IF(AND(FC$3&gt;=Groups!$E$4,MOD(FC$3-Groups!$E$4,Groups!$D$4*12)=0),Groups!$B$4*Inputs!$B$16,0)</f>
        <v>0</v>
      </c>
      <c r="FD11" s="0" t="n">
        <f aca="false">IF(AND(FD$3&gt;=Groups!$E$4,MOD(FD$3-Groups!$E$4,Groups!$D$4*12)=0),Groups!$B$4*Inputs!$B$16,0)</f>
        <v>0</v>
      </c>
      <c r="FE11" s="0" t="n">
        <f aca="false">IF(AND(FE$3&gt;=Groups!$E$4,MOD(FE$3-Groups!$E$4,Groups!$D$4*12)=0),Groups!$B$4*Inputs!$B$16,0)</f>
        <v>0</v>
      </c>
      <c r="FF11" s="0" t="n">
        <f aca="false">IF(AND(FF$3&gt;=Groups!$E$4,MOD(FF$3-Groups!$E$4,Groups!$D$4*12)=0),Groups!$B$4*Inputs!$B$16,0)</f>
        <v>0</v>
      </c>
      <c r="FG11" s="0" t="n">
        <f aca="false">IF(AND(FG$3&gt;=Groups!$E$4,MOD(FG$3-Groups!$E$4,Groups!$D$4*12)=0),Groups!$B$4*Inputs!$B$16,0)</f>
        <v>0</v>
      </c>
      <c r="FH11" s="0" t="n">
        <f aca="false">IF(AND(FH$3&gt;=Groups!$E$4,MOD(FH$3-Groups!$E$4,Groups!$D$4*12)=0),Groups!$B$4*Inputs!$B$16,0)</f>
        <v>0</v>
      </c>
      <c r="FI11" s="0" t="n">
        <f aca="false">IF(AND(FI$3&gt;=Groups!$E$4,MOD(FI$3-Groups!$E$4,Groups!$D$4*12)=0),Groups!$B$4*Inputs!$B$16,0)</f>
        <v>0</v>
      </c>
      <c r="FJ11" s="0" t="n">
        <f aca="false">IF(AND(FJ$3&gt;=Groups!$E$4,MOD(FJ$3-Groups!$E$4,Groups!$D$4*12)=0),Groups!$B$4*Inputs!$B$16,0)</f>
        <v>0</v>
      </c>
      <c r="FK11" s="0" t="n">
        <f aca="false">IF(AND(FK$3&gt;=Groups!$E$4,MOD(FK$3-Groups!$E$4,Groups!$D$4*12)=0),Groups!$B$4*Inputs!$B$16,0)</f>
        <v>0</v>
      </c>
      <c r="FL11" s="0" t="n">
        <f aca="false">IF(AND(FL$3&gt;=Groups!$E$4,MOD(FL$3-Groups!$E$4,Groups!$D$4*12)=0),Groups!$B$4*Inputs!$B$16,0)</f>
        <v>0</v>
      </c>
      <c r="FM11" s="0" t="n">
        <f aca="false">IF(AND(FM$3&gt;=Groups!$E$4,MOD(FM$3-Groups!$E$4,Groups!$D$4*12)=0),Groups!$B$4*Inputs!$B$16,0)</f>
        <v>0</v>
      </c>
      <c r="FN11" s="0" t="n">
        <f aca="false">IF(AND(FN$3&gt;=Groups!$E$4,MOD(FN$3-Groups!$E$4,Groups!$D$4*12)=0),Groups!$B$4*Inputs!$B$16,0)</f>
        <v>0</v>
      </c>
      <c r="FO11" s="0" t="n">
        <f aca="false">IF(AND(FO$3&gt;=Groups!$E$4,MOD(FO$3-Groups!$E$4,Groups!$D$4*12)=0),Groups!$B$4*Inputs!$B$16,0)</f>
        <v>0</v>
      </c>
      <c r="FP11" s="0" t="n">
        <f aca="false">IF(AND(FP$3&gt;=Groups!$E$4,MOD(FP$3-Groups!$E$4,Groups!$D$4*12)=0),Groups!$B$4*Inputs!$B$16,0)</f>
        <v>0</v>
      </c>
      <c r="FQ11" s="0" t="n">
        <f aca="false">IF(AND(FQ$3&gt;=Groups!$E$4,MOD(FQ$3-Groups!$E$4,Groups!$D$4*12)=0),Groups!$B$4*Inputs!$B$16,0)</f>
        <v>0</v>
      </c>
      <c r="FR11" s="0" t="n">
        <f aca="false">IF(AND(FR$3&gt;=Groups!$E$4,MOD(FR$3-Groups!$E$4,Groups!$D$4*12)=0),Groups!$B$4*Inputs!$B$16,0)</f>
        <v>0</v>
      </c>
      <c r="FS11" s="0" t="n">
        <f aca="false">IF(AND(FS$3&gt;=Groups!$E$4,MOD(FS$3-Groups!$E$4,Groups!$D$4*12)=0),Groups!$B$4*Inputs!$B$16,0)</f>
        <v>0</v>
      </c>
      <c r="FT11" s="0" t="n">
        <f aca="false">IF(AND(FT$3&gt;=Groups!$E$4,MOD(FT$3-Groups!$E$4,Groups!$D$4*12)=0),Groups!$B$4*Inputs!$B$16,0)</f>
        <v>0</v>
      </c>
      <c r="FU11" s="0" t="n">
        <f aca="false">IF(AND(FU$3&gt;=Groups!$E$4,MOD(FU$3-Groups!$E$4,Groups!$D$4*12)=0),Groups!$B$4*Inputs!$B$16,0)</f>
        <v>0</v>
      </c>
      <c r="FV11" s="0" t="n">
        <f aca="false">IF(AND(FV$3&gt;=Groups!$E$4,MOD(FV$3-Groups!$E$4,Groups!$D$4*12)=0),Groups!$B$4*Inputs!$B$16,0)</f>
        <v>0</v>
      </c>
      <c r="FW11" s="0" t="n">
        <f aca="false">IF(AND(FW$3&gt;=Groups!$E$4,MOD(FW$3-Groups!$E$4,Groups!$D$4*12)=0),Groups!$B$4*Inputs!$B$16,0)</f>
        <v>0</v>
      </c>
      <c r="FX11" s="0" t="n">
        <f aca="false">IF(AND(FX$3&gt;=Groups!$E$4,MOD(FX$3-Groups!$E$4,Groups!$D$4*12)=0),Groups!$B$4*Inputs!$B$16,0)</f>
        <v>0</v>
      </c>
      <c r="FY11" s="0" t="n">
        <f aca="false">IF(AND(FY$3&gt;=Groups!$E$4,MOD(FY$3-Groups!$E$4,Groups!$D$4*12)=0),Groups!$B$4*Inputs!$B$16,0)</f>
        <v>0</v>
      </c>
      <c r="FZ11" s="0" t="n">
        <f aca="false">IF(AND(FZ$3&gt;=Groups!$E$4,MOD(FZ$3-Groups!$E$4,Groups!$D$4*12)=0),Groups!$B$4*Inputs!$B$16,0)</f>
        <v>0</v>
      </c>
    </row>
    <row r="12" customFormat="false" ht="15" hidden="false" customHeight="false" outlineLevel="0" collapsed="false">
      <c r="A12" s="0" t="s">
        <v>33</v>
      </c>
      <c r="B12" s="0" t="n">
        <f aca="false">Groups!$C$5</f>
        <v>12.6</v>
      </c>
      <c r="C12" s="0" t="n">
        <f aca="false">MIN(C5,B12*(1-Inputs!$B$9/12)*(1+Inputs!$B$8)^(1/36)+C5*Inputs!$B$9/12)</f>
        <v>12.6750008106737</v>
      </c>
      <c r="D12" s="0" t="n">
        <f aca="false">MIN(D5,C12*(1-Inputs!$B$9/12)*(1+Inputs!$B$8)^(1/36)+D5*Inputs!$B$9/12)</f>
        <v>12.7501081162978</v>
      </c>
      <c r="E12" s="0" t="n">
        <f aca="false">MIN(E5,D12*(1-Inputs!$B$9/12)*(1+Inputs!$B$8)^(1/36)+E5*Inputs!$B$9/12)</f>
        <v>12.8253225276203</v>
      </c>
      <c r="F12" s="0" t="n">
        <f aca="false">MIN(F5,E12*(1-Inputs!$B$9/12)*(1+Inputs!$B$8)^(1/36)+F5*Inputs!$B$9/12)</f>
        <v>12.9006446562873</v>
      </c>
      <c r="G12" s="0" t="n">
        <f aca="false">MIN(G5,F12*(1-Inputs!$B$9/12)*(1+Inputs!$B$8)^(1/36)+G5*Inputs!$B$9/12)</f>
        <v>12.9760751148487</v>
      </c>
      <c r="H12" s="0" t="n">
        <f aca="false">MIN(H5,G12*(1-Inputs!$B$9/12)*(1+Inputs!$B$8)^(1/36)+H5*Inputs!$B$9/12)</f>
        <v>13.0516145167628</v>
      </c>
      <c r="I12" s="0" t="n">
        <f aca="false">MIN(I5,H12*(1-Inputs!$B$9/12)*(1+Inputs!$B$8)^(1/36)+I5*Inputs!$B$9/12)</f>
        <v>13.1272634764013</v>
      </c>
      <c r="J12" s="0" t="n">
        <f aca="false">MIN(J5,I12*(1-Inputs!$B$9/12)*(1+Inputs!$B$8)^(1/36)+J5*Inputs!$B$9/12)</f>
        <v>13.2030226090544</v>
      </c>
      <c r="K12" s="0" t="n">
        <f aca="false">MIN(K5,J12*(1-Inputs!$B$9/12)*(1+Inputs!$B$8)^(1/36)+K5*Inputs!$B$9/12)</f>
        <v>13.2788925309358</v>
      </c>
      <c r="L12" s="0" t="n">
        <f aca="false">MIN(L5,K12*(1-Inputs!$B$9/12)*(1+Inputs!$B$8)^(1/36)+L5*Inputs!$B$9/12)</f>
        <v>13.3548738591876</v>
      </c>
      <c r="M12" s="0" t="n">
        <f aca="false">MIN(M5,L12*(1-Inputs!$B$9/12)*(1+Inputs!$B$8)^(1/36)+M5*Inputs!$B$9/12)</f>
        <v>13.4309672118855</v>
      </c>
      <c r="N12" s="0" t="n">
        <f aca="false">MIN(N5,M12*(1-Inputs!$B$9/12)*(1+Inputs!$B$8)^(1/36)+N5*Inputs!$B$9/12)</f>
        <v>13.5071732080437</v>
      </c>
      <c r="O12" s="0" t="n">
        <f aca="false">MIN(O5,N12*(1-Inputs!$B$9/12)*(1+Inputs!$B$8)^(1/36)+O5*Inputs!$B$9/12)</f>
        <v>13.58349246762</v>
      </c>
      <c r="P12" s="0" t="n">
        <f aca="false">MIN(P5,O12*(1-Inputs!$B$9/12)*(1+Inputs!$B$8)^(1/36)+P5*Inputs!$B$9/12)</f>
        <v>13.6599256115207</v>
      </c>
      <c r="Q12" s="0" t="n">
        <f aca="false">MIN(Q5,P12*(1-Inputs!$B$9/12)*(1+Inputs!$B$8)^(1/36)+Q5*Inputs!$B$9/12)</f>
        <v>13.7364732616059</v>
      </c>
      <c r="R12" s="0" t="n">
        <f aca="false">MIN(R5,Q12*(1-Inputs!$B$9/12)*(1+Inputs!$B$8)^(1/36)+R5*Inputs!$B$9/12)</f>
        <v>13.8131360406944</v>
      </c>
      <c r="S12" s="0" t="n">
        <f aca="false">MIN(S5,R12*(1-Inputs!$B$9/12)*(1+Inputs!$B$8)^(1/36)+S5*Inputs!$B$9/12)</f>
        <v>13.8899145725687</v>
      </c>
      <c r="T12" s="0" t="n">
        <f aca="false">MIN(T5,S12*(1-Inputs!$B$9/12)*(1+Inputs!$B$8)^(1/36)+T5*Inputs!$B$9/12)</f>
        <v>13.9668094819804</v>
      </c>
      <c r="U12" s="0" t="n">
        <f aca="false">MIN(U5,T12*(1-Inputs!$B$9/12)*(1+Inputs!$B$8)^(1/36)+U5*Inputs!$B$9/12)</f>
        <v>14.0438213946548</v>
      </c>
      <c r="V12" s="0" t="n">
        <f aca="false">MIN(V5,U12*(1-Inputs!$B$9/12)*(1+Inputs!$B$8)^(1/36)+V5*Inputs!$B$9/12)</f>
        <v>14.1209509372964</v>
      </c>
      <c r="W12" s="0" t="n">
        <f aca="false">MIN(W5,V12*(1-Inputs!$B$9/12)*(1+Inputs!$B$8)^(1/36)+W5*Inputs!$B$9/12)</f>
        <v>14.198198737594</v>
      </c>
      <c r="X12" s="0" t="n">
        <f aca="false">MIN(X5,W12*(1-Inputs!$B$9/12)*(1+Inputs!$B$8)^(1/36)+X5*Inputs!$B$9/12)</f>
        <v>14.2755654242253</v>
      </c>
      <c r="Y12" s="0" t="n">
        <f aca="false">MIN(Y5,X12*(1-Inputs!$B$9/12)*(1+Inputs!$B$8)^(1/36)+Y5*Inputs!$B$9/12)</f>
        <v>14.3530516268627</v>
      </c>
      <c r="Z12" s="0" t="n">
        <f aca="false">MIN(Z5,Y12*(1-Inputs!$B$9/12)*(1+Inputs!$B$8)^(1/36)+Z5*Inputs!$B$9/12)</f>
        <v>14.430657976178</v>
      </c>
      <c r="AA12" s="0" t="n">
        <f aca="false">MIN(AA5,Z12*(1-Inputs!$B$9/12)*(1+Inputs!$B$8)^(1/36)+AA5*Inputs!$B$9/12)</f>
        <v>14.5083851038476</v>
      </c>
      <c r="AB12" s="0" t="n">
        <f aca="false">MIN(AB5,AA12*(1-Inputs!$B$9/12)*(1+Inputs!$B$8)^(1/36)+AB5*Inputs!$B$9/12)</f>
        <v>14.5862336425577</v>
      </c>
      <c r="AC12" s="0" t="n">
        <f aca="false">MIN(AC5,AB12*(1-Inputs!$B$9/12)*(1+Inputs!$B$8)^(1/36)+AC5*Inputs!$B$9/12)</f>
        <v>14.6642042260097</v>
      </c>
      <c r="AD12" s="0" t="n">
        <f aca="false">MIN(AD5,AC12*(1-Inputs!$B$9/12)*(1+Inputs!$B$8)^(1/36)+AD5*Inputs!$B$9/12)</f>
        <v>14.7422974889246</v>
      </c>
      <c r="AE12" s="0" t="n">
        <f aca="false">MIN(AE5,AD12*(1-Inputs!$B$9/12)*(1+Inputs!$B$8)^(1/36)+AE5*Inputs!$B$9/12)</f>
        <v>14.8205140670492</v>
      </c>
      <c r="AF12" s="0" t="n">
        <f aca="false">MIN(AF5,AE12*(1-Inputs!$B$9/12)*(1+Inputs!$B$8)^(1/36)+AF5*Inputs!$B$9/12)</f>
        <v>14.8988545971603</v>
      </c>
      <c r="AG12" s="0" t="n">
        <f aca="false">MIN(AG5,AF12*(1-Inputs!$B$9/12)*(1+Inputs!$B$8)^(1/36)+AG5*Inputs!$B$9/12)</f>
        <v>14.9773197170707</v>
      </c>
      <c r="AH12" s="0" t="n">
        <f aca="false">MIN(AH5,AG12*(1-Inputs!$B$9/12)*(1+Inputs!$B$8)^(1/36)+AH5*Inputs!$B$9/12)</f>
        <v>15.0559100656338</v>
      </c>
      <c r="AI12" s="0" t="n">
        <f aca="false">MIN(AI5,AH12*(1-Inputs!$B$9/12)*(1+Inputs!$B$8)^(1/36)+AI5*Inputs!$B$9/12)</f>
        <v>15.1346262827491</v>
      </c>
      <c r="AJ12" s="0" t="n">
        <f aca="false">MIN(AJ5,AI12*(1-Inputs!$B$9/12)*(1+Inputs!$B$8)^(1/36)+AJ5*Inputs!$B$9/12)</f>
        <v>15.2134690093672</v>
      </c>
      <c r="AK12" s="0" t="n">
        <f aca="false">MIN(AK5,AJ12*(1-Inputs!$B$9/12)*(1+Inputs!$B$8)^(1/36)+AK5*Inputs!$B$9/12)</f>
        <v>15.2924388874955</v>
      </c>
      <c r="AL12" s="0" t="n">
        <f aca="false">MIN(AL5,AK12*(1-Inputs!$B$9/12)*(1+Inputs!$B$8)^(1/36)+AL5*Inputs!$B$9/12)</f>
        <v>15.3715365602028</v>
      </c>
      <c r="AM12" s="0" t="n">
        <f aca="false">MIN(AM5,AL12*(1-Inputs!$B$9/12)*(1+Inputs!$B$8)^(1/36)+AM5*Inputs!$B$9/12)</f>
        <v>15.4507626716249</v>
      </c>
      <c r="AN12" s="0" t="n">
        <f aca="false">MIN(AN5,AM12*(1-Inputs!$B$9/12)*(1+Inputs!$B$8)^(1/36)+AN5*Inputs!$B$9/12)</f>
        <v>15.5301178669698</v>
      </c>
      <c r="AO12" s="0" t="n">
        <f aca="false">MIN(AO5,AN12*(1-Inputs!$B$9/12)*(1+Inputs!$B$8)^(1/36)+AO5*Inputs!$B$9/12)</f>
        <v>15.6096027925229</v>
      </c>
      <c r="AP12" s="0" t="n">
        <f aca="false">MIN(AP5,AO12*(1-Inputs!$B$9/12)*(1+Inputs!$B$8)^(1/36)+AP5*Inputs!$B$9/12)</f>
        <v>15.6892180956524</v>
      </c>
      <c r="AQ12" s="0" t="n">
        <f aca="false">MIN(AQ5,AP12*(1-Inputs!$B$9/12)*(1+Inputs!$B$8)^(1/36)+AQ5*Inputs!$B$9/12)</f>
        <v>15.7689644248144</v>
      </c>
      <c r="AR12" s="0" t="n">
        <f aca="false">MIN(AR5,AQ12*(1-Inputs!$B$9/12)*(1+Inputs!$B$8)^(1/36)+AR5*Inputs!$B$9/12)</f>
        <v>15.8488424295582</v>
      </c>
      <c r="AS12" s="0" t="n">
        <f aca="false">MIN(AS5,AR12*(1-Inputs!$B$9/12)*(1+Inputs!$B$8)^(1/36)+AS5*Inputs!$B$9/12)</f>
        <v>15.9288527605317</v>
      </c>
      <c r="AT12" s="0" t="n">
        <f aca="false">MIN(AT5,AS12*(1-Inputs!$B$9/12)*(1+Inputs!$B$8)^(1/36)+AT5*Inputs!$B$9/12)</f>
        <v>16.0089960694867</v>
      </c>
      <c r="AU12" s="0" t="n">
        <f aca="false">MIN(AU5,AT12*(1-Inputs!$B$9/12)*(1+Inputs!$B$8)^(1/36)+AU5*Inputs!$B$9/12)</f>
        <v>16.0892730092841</v>
      </c>
      <c r="AV12" s="0" t="n">
        <f aca="false">MIN(AV5,AU12*(1-Inputs!$B$9/12)*(1+Inputs!$B$8)^(1/36)+AV5*Inputs!$B$9/12)</f>
        <v>16.1696842338993</v>
      </c>
      <c r="AW12" s="0" t="n">
        <f aca="false">MIN(AW5,AV12*(1-Inputs!$B$9/12)*(1+Inputs!$B$8)^(1/36)+AW5*Inputs!$B$9/12)</f>
        <v>16.2502303984275</v>
      </c>
      <c r="AX12" s="0" t="n">
        <f aca="false">MIN(AX5,AW12*(1-Inputs!$B$9/12)*(1+Inputs!$B$8)^(1/36)+AX5*Inputs!$B$9/12)</f>
        <v>16.330912159089</v>
      </c>
      <c r="AY12" s="0" t="n">
        <f aca="false">MIN(AY5,AX12*(1-Inputs!$B$9/12)*(1+Inputs!$B$8)^(1/36)+AY5*Inputs!$B$9/12)</f>
        <v>16.4117301732348</v>
      </c>
      <c r="AZ12" s="0" t="n">
        <f aca="false">MIN(AZ5,AY12*(1-Inputs!$B$9/12)*(1+Inputs!$B$8)^(1/36)+AZ5*Inputs!$B$9/12)</f>
        <v>16.4926850993514</v>
      </c>
      <c r="BA12" s="0" t="n">
        <f aca="false">MIN(BA5,AZ12*(1-Inputs!$B$9/12)*(1+Inputs!$B$8)^(1/36)+BA5*Inputs!$B$9/12)</f>
        <v>16.5737775970667</v>
      </c>
      <c r="BB12" s="0" t="n">
        <f aca="false">MIN(BB5,BA12*(1-Inputs!$B$9/12)*(1+Inputs!$B$8)^(1/36)+BB5*Inputs!$B$9/12)</f>
        <v>16.6550083271554</v>
      </c>
      <c r="BC12" s="0" t="n">
        <f aca="false">MIN(BC5,BB12*(1-Inputs!$B$9/12)*(1+Inputs!$B$8)^(1/36)+BC5*Inputs!$B$9/12)</f>
        <v>16.736377951544</v>
      </c>
      <c r="BD12" s="0" t="n">
        <f aca="false">MIN(BD5,BC12*(1-Inputs!$B$9/12)*(1+Inputs!$B$8)^(1/36)+BD5*Inputs!$B$9/12)</f>
        <v>16.8178871333161</v>
      </c>
      <c r="BE12" s="0" t="n">
        <f aca="false">MIN(BE5,BD12*(1-Inputs!$B$9/12)*(1+Inputs!$B$8)^(1/36)+BE5*Inputs!$B$9/12)</f>
        <v>16.8995365367187</v>
      </c>
      <c r="BF12" s="0" t="n">
        <f aca="false">MIN(BF5,BE12*(1-Inputs!$B$9/12)*(1+Inputs!$B$8)^(1/36)+BF5*Inputs!$B$9/12)</f>
        <v>16.9813268271664</v>
      </c>
      <c r="BG12" s="0" t="n">
        <f aca="false">MIN(BG5,BF12*(1-Inputs!$B$9/12)*(1+Inputs!$B$8)^(1/36)+BG5*Inputs!$B$9/12)</f>
        <v>17.0632586712477</v>
      </c>
      <c r="BH12" s="0" t="n">
        <f aca="false">MIN(BH5,BG12*(1-Inputs!$B$9/12)*(1+Inputs!$B$8)^(1/36)+BH5*Inputs!$B$9/12)</f>
        <v>17.1453327367303</v>
      </c>
      <c r="BI12" s="0" t="n">
        <f aca="false">MIN(BI5,BH12*(1-Inputs!$B$9/12)*(1+Inputs!$B$8)^(1/36)+BI5*Inputs!$B$9/12)</f>
        <v>17.227549692566</v>
      </c>
      <c r="BJ12" s="0" t="n">
        <f aca="false">MIN(BJ5,BI12*(1-Inputs!$B$9/12)*(1+Inputs!$B$8)^(1/36)+BJ5*Inputs!$B$9/12)</f>
        <v>17.3099102088969</v>
      </c>
      <c r="BK12" s="0" t="n">
        <f aca="false">MIN(BK5,BJ12*(1-Inputs!$B$9/12)*(1+Inputs!$B$8)^(1/36)+BK5*Inputs!$B$9/12)</f>
        <v>17.3924149570604</v>
      </c>
      <c r="BL12" s="0" t="n">
        <f aca="false">MIN(BL5,BK12*(1-Inputs!$B$9/12)*(1+Inputs!$B$8)^(1/36)+BL5*Inputs!$B$9/12)</f>
        <v>17.4750646095948</v>
      </c>
      <c r="BM12" s="0" t="n">
        <f aca="false">MIN(BM5,BL12*(1-Inputs!$B$9/12)*(1+Inputs!$B$8)^(1/36)+BM5*Inputs!$B$9/12)</f>
        <v>17.5578598402447</v>
      </c>
      <c r="BN12" s="0" t="n">
        <f aca="false">MIN(BN5,BM12*(1-Inputs!$B$9/12)*(1+Inputs!$B$8)^(1/36)+BN5*Inputs!$B$9/12)</f>
        <v>17.6408013239666</v>
      </c>
      <c r="BO12" s="0" t="n">
        <f aca="false">MIN(BO5,BN12*(1-Inputs!$B$9/12)*(1+Inputs!$B$8)^(1/36)+BO5*Inputs!$B$9/12)</f>
        <v>17.7238897369345</v>
      </c>
      <c r="BP12" s="0" t="n">
        <f aca="false">MIN(BP5,BO12*(1-Inputs!$B$9/12)*(1+Inputs!$B$8)^(1/36)+BP5*Inputs!$B$9/12)</f>
        <v>17.8071257565452</v>
      </c>
      <c r="BQ12" s="0" t="n">
        <f aca="false">MIN(BQ5,BP12*(1-Inputs!$B$9/12)*(1+Inputs!$B$8)^(1/36)+BQ5*Inputs!$B$9/12)</f>
        <v>17.8905100614237</v>
      </c>
      <c r="BR12" s="0" t="n">
        <f aca="false">MIN(BR5,BQ12*(1-Inputs!$B$9/12)*(1+Inputs!$B$8)^(1/36)+BR5*Inputs!$B$9/12)</f>
        <v>17.9740433314294</v>
      </c>
      <c r="BS12" s="0" t="n">
        <f aca="false">MIN(BS5,BR12*(1-Inputs!$B$9/12)*(1+Inputs!$B$8)^(1/36)+BS5*Inputs!$B$9/12)</f>
        <v>18.0577262476607</v>
      </c>
      <c r="BT12" s="0" t="n">
        <f aca="false">MIN(BT5,BS12*(1-Inputs!$B$9/12)*(1+Inputs!$B$8)^(1/36)+BT5*Inputs!$B$9/12)</f>
        <v>18.1415594924615</v>
      </c>
      <c r="BU12" s="0" t="n">
        <f aca="false">MIN(BU5,BT12*(1-Inputs!$B$9/12)*(1+Inputs!$B$8)^(1/36)+BU5*Inputs!$B$9/12)</f>
        <v>18.2255437494259</v>
      </c>
      <c r="BV12" s="0" t="n">
        <f aca="false">MIN(BV5,BU12*(1-Inputs!$B$9/12)*(1+Inputs!$B$8)^(1/36)+BV5*Inputs!$B$9/12)</f>
        <v>18.3096797034044</v>
      </c>
      <c r="BW12" s="0" t="n">
        <f aca="false">MIN(BW5,BV12*(1-Inputs!$B$9/12)*(1+Inputs!$B$8)^(1/36)+BW5*Inputs!$B$9/12)</f>
        <v>18.3939680405093</v>
      </c>
      <c r="BX12" s="0" t="n">
        <f aca="false">MIN(BX5,BW12*(1-Inputs!$B$9/12)*(1+Inputs!$B$8)^(1/36)+BX5*Inputs!$B$9/12)</f>
        <v>18.4784094481202</v>
      </c>
      <c r="BY12" s="0" t="n">
        <f aca="false">MIN(BY5,BX12*(1-Inputs!$B$9/12)*(1+Inputs!$B$8)^(1/36)+BY5*Inputs!$B$9/12)</f>
        <v>18.5630046148896</v>
      </c>
      <c r="BZ12" s="0" t="n">
        <f aca="false">MIN(BZ5,BY12*(1-Inputs!$B$9/12)*(1+Inputs!$B$8)^(1/36)+BZ5*Inputs!$B$9/12)</f>
        <v>18.6477542307487</v>
      </c>
      <c r="CA12" s="0" t="n">
        <f aca="false">MIN(CA5,BZ12*(1-Inputs!$B$9/12)*(1+Inputs!$B$8)^(1/36)+CA5*Inputs!$B$9/12)</f>
        <v>18.732658986913</v>
      </c>
      <c r="CB12" s="0" t="n">
        <f aca="false">MIN(CB5,CA12*(1-Inputs!$B$9/12)*(1+Inputs!$B$8)^(1/36)+CB5*Inputs!$B$9/12)</f>
        <v>18.8177195758877</v>
      </c>
      <c r="CC12" s="0" t="n">
        <f aca="false">MIN(CC5,CB12*(1-Inputs!$B$9/12)*(1+Inputs!$B$8)^(1/36)+CC5*Inputs!$B$9/12)</f>
        <v>18.9029366914735</v>
      </c>
      <c r="CD12" s="0" t="n">
        <f aca="false">MIN(CD5,CC12*(1-Inputs!$B$9/12)*(1+Inputs!$B$8)^(1/36)+CD5*Inputs!$B$9/12)</f>
        <v>18.9883110287723</v>
      </c>
      <c r="CE12" s="0" t="n">
        <f aca="false">MIN(CE5,CD12*(1-Inputs!$B$9/12)*(1+Inputs!$B$8)^(1/36)+CE5*Inputs!$B$9/12)</f>
        <v>19.073843284193</v>
      </c>
      <c r="CF12" s="0" t="n">
        <f aca="false">MIN(CF5,CE12*(1-Inputs!$B$9/12)*(1+Inputs!$B$8)^(1/36)+CF5*Inputs!$B$9/12)</f>
        <v>19.1595341554568</v>
      </c>
      <c r="CG12" s="0" t="n">
        <f aca="false">MIN(CG5,CF12*(1-Inputs!$B$9/12)*(1+Inputs!$B$8)^(1/36)+CG5*Inputs!$B$9/12)</f>
        <v>19.2453843416033</v>
      </c>
      <c r="CH12" s="0" t="n">
        <f aca="false">MIN(CH5,CG12*(1-Inputs!$B$9/12)*(1+Inputs!$B$8)^(1/36)+CH5*Inputs!$B$9/12)</f>
        <v>19.3313945429959</v>
      </c>
      <c r="CI12" s="0" t="n">
        <f aca="false">MIN(CI5,CH12*(1-Inputs!$B$9/12)*(1+Inputs!$B$8)^(1/36)+CI5*Inputs!$B$9/12)</f>
        <v>19.4175654613277</v>
      </c>
      <c r="CJ12" s="0" t="n">
        <f aca="false">MIN(CJ5,CI12*(1-Inputs!$B$9/12)*(1+Inputs!$B$8)^(1/36)+CJ5*Inputs!$B$9/12)</f>
        <v>19.503897799627</v>
      </c>
      <c r="CK12" s="0" t="n">
        <f aca="false">MIN(CK5,CJ12*(1-Inputs!$B$9/12)*(1+Inputs!$B$8)^(1/36)+CK5*Inputs!$B$9/12)</f>
        <v>19.5903922622635</v>
      </c>
      <c r="CL12" s="0" t="n">
        <f aca="false">MIN(CL5,CK12*(1-Inputs!$B$9/12)*(1+Inputs!$B$8)^(1/36)+CL5*Inputs!$B$9/12)</f>
        <v>19.6770495549535</v>
      </c>
      <c r="CM12" s="0" t="n">
        <f aca="false">MIN(CM5,CL12*(1-Inputs!$B$9/12)*(1+Inputs!$B$8)^(1/36)+CM5*Inputs!$B$9/12)</f>
        <v>19.7638703847659</v>
      </c>
      <c r="CN12" s="0" t="n">
        <f aca="false">MIN(CN5,CM12*(1-Inputs!$B$9/12)*(1+Inputs!$B$8)^(1/36)+CN5*Inputs!$B$9/12)</f>
        <v>19.8508554601282</v>
      </c>
      <c r="CO12" s="0" t="n">
        <f aca="false">MIN(CO5,CN12*(1-Inputs!$B$9/12)*(1+Inputs!$B$8)^(1/36)+CO5*Inputs!$B$9/12)</f>
        <v>19.9380054908318</v>
      </c>
      <c r="CP12" s="0" t="n">
        <f aca="false">MIN(CP5,CO12*(1-Inputs!$B$9/12)*(1+Inputs!$B$8)^(1/36)+CP5*Inputs!$B$9/12)</f>
        <v>20.0253211880383</v>
      </c>
      <c r="CQ12" s="0" t="n">
        <f aca="false">MIN(CQ5,CP12*(1-Inputs!$B$9/12)*(1+Inputs!$B$8)^(1/36)+CQ5*Inputs!$B$9/12)</f>
        <v>20.1128032642848</v>
      </c>
      <c r="CR12" s="0" t="n">
        <f aca="false">MIN(CR5,CQ12*(1-Inputs!$B$9/12)*(1+Inputs!$B$8)^(1/36)+CR5*Inputs!$B$9/12)</f>
        <v>20.2004524334902</v>
      </c>
      <c r="CS12" s="0" t="n">
        <f aca="false">MIN(CS5,CR12*(1-Inputs!$B$9/12)*(1+Inputs!$B$8)^(1/36)+CS5*Inputs!$B$9/12)</f>
        <v>20.2882694109606</v>
      </c>
      <c r="CT12" s="0" t="n">
        <f aca="false">MIN(CT5,CS12*(1-Inputs!$B$9/12)*(1+Inputs!$B$8)^(1/36)+CT5*Inputs!$B$9/12)</f>
        <v>20.3762549133956</v>
      </c>
      <c r="CU12" s="0" t="n">
        <f aca="false">MIN(CU5,CT12*(1-Inputs!$B$9/12)*(1+Inputs!$B$8)^(1/36)+CU5*Inputs!$B$9/12)</f>
        <v>20.4644096588935</v>
      </c>
      <c r="CV12" s="0" t="n">
        <f aca="false">MIN(CV5,CU12*(1-Inputs!$B$9/12)*(1+Inputs!$B$8)^(1/36)+CV5*Inputs!$B$9/12)</f>
        <v>20.552734366958</v>
      </c>
      <c r="CW12" s="0" t="n">
        <f aca="false">MIN(CW5,CV12*(1-Inputs!$B$9/12)*(1+Inputs!$B$8)^(1/36)+CW5*Inputs!$B$9/12)</f>
        <v>20.6412297585034</v>
      </c>
      <c r="CX12" s="0" t="n">
        <f aca="false">MIN(CX5,CW12*(1-Inputs!$B$9/12)*(1+Inputs!$B$8)^(1/36)+CX5*Inputs!$B$9/12)</f>
        <v>20.7298965558605</v>
      </c>
      <c r="CY12" s="0" t="n">
        <f aca="false">MIN(CY5,CX12*(1-Inputs!$B$9/12)*(1+Inputs!$B$8)^(1/36)+CY5*Inputs!$B$9/12)</f>
        <v>20.8187354827832</v>
      </c>
      <c r="CZ12" s="0" t="n">
        <f aca="false">MIN(CZ5,CY12*(1-Inputs!$B$9/12)*(1+Inputs!$B$8)^(1/36)+CZ5*Inputs!$B$9/12)</f>
        <v>20.9077472644535</v>
      </c>
      <c r="DA12" s="0" t="n">
        <f aca="false">MIN(DA5,CZ12*(1-Inputs!$B$9/12)*(1+Inputs!$B$8)^(1/36)+DA5*Inputs!$B$9/12)</f>
        <v>20.9969326274879</v>
      </c>
      <c r="DB12" s="0" t="n">
        <f aca="false">MIN(DB5,DA12*(1-Inputs!$B$9/12)*(1+Inputs!$B$8)^(1/36)+DB5*Inputs!$B$9/12)</f>
        <v>21.0862922999436</v>
      </c>
      <c r="DC12" s="0" t="n">
        <f aca="false">MIN(DC5,DB12*(1-Inputs!$B$9/12)*(1+Inputs!$B$8)^(1/36)+DC5*Inputs!$B$9/12)</f>
        <v>21.1758270113238</v>
      </c>
      <c r="DD12" s="0" t="n">
        <f aca="false">MIN(DD5,DC12*(1-Inputs!$B$9/12)*(1+Inputs!$B$8)^(1/36)+DD5*Inputs!$B$9/12)</f>
        <v>21.2655374925839</v>
      </c>
      <c r="DE12" s="0" t="n">
        <f aca="false">MIN(DE5,DD12*(1-Inputs!$B$9/12)*(1+Inputs!$B$8)^(1/36)+DE5*Inputs!$B$9/12)</f>
        <v>21.3554244761379</v>
      </c>
      <c r="DF12" s="0" t="n">
        <f aca="false">MIN(DF5,DE12*(1-Inputs!$B$9/12)*(1+Inputs!$B$8)^(1/36)+DF5*Inputs!$B$9/12)</f>
        <v>21.4454886958636</v>
      </c>
      <c r="DG12" s="0" t="n">
        <f aca="false">MIN(DG5,DF12*(1-Inputs!$B$9/12)*(1+Inputs!$B$8)^(1/36)+DG5*Inputs!$B$9/12)</f>
        <v>21.5357308871094</v>
      </c>
      <c r="DH12" s="0" t="n">
        <f aca="false">MIN(DH5,DG12*(1-Inputs!$B$9/12)*(1+Inputs!$B$8)^(1/36)+DH5*Inputs!$B$9/12)</f>
        <v>21.6261517866998</v>
      </c>
      <c r="DI12" s="0" t="n">
        <f aca="false">MIN(DI5,DH12*(1-Inputs!$B$9/12)*(1+Inputs!$B$8)^(1/36)+DI5*Inputs!$B$9/12)</f>
        <v>21.7167521329413</v>
      </c>
      <c r="DJ12" s="0" t="n">
        <f aca="false">MIN(DJ5,DI12*(1-Inputs!$B$9/12)*(1+Inputs!$B$8)^(1/36)+DJ5*Inputs!$B$9/12)</f>
        <v>21.807532665629</v>
      </c>
      <c r="DK12" s="0" t="n">
        <f aca="false">MIN(DK5,DJ12*(1-Inputs!$B$9/12)*(1+Inputs!$B$8)^(1/36)+DK5*Inputs!$B$9/12)</f>
        <v>21.8984941260522</v>
      </c>
      <c r="DL12" s="0" t="n">
        <f aca="false">MIN(DL5,DK12*(1-Inputs!$B$9/12)*(1+Inputs!$B$8)^(1/36)+DL5*Inputs!$B$9/12)</f>
        <v>21.9896372570005</v>
      </c>
      <c r="DM12" s="0" t="n">
        <f aca="false">MIN(DM5,DL12*(1-Inputs!$B$9/12)*(1+Inputs!$B$8)^(1/36)+DM5*Inputs!$B$9/12)</f>
        <v>22.08096280277</v>
      </c>
      <c r="DN12" s="0" t="n">
        <f aca="false">MIN(DN5,DM12*(1-Inputs!$B$9/12)*(1+Inputs!$B$8)^(1/36)+DN5*Inputs!$B$9/12)</f>
        <v>22.1724715091692</v>
      </c>
      <c r="DO12" s="0" t="n">
        <f aca="false">MIN(DO5,DN12*(1-Inputs!$B$9/12)*(1+Inputs!$B$8)^(1/36)+DO5*Inputs!$B$9/12)</f>
        <v>22.2641641235254</v>
      </c>
      <c r="DP12" s="0" t="n">
        <f aca="false">MIN(DP5,DO12*(1-Inputs!$B$9/12)*(1+Inputs!$B$8)^(1/36)+DP5*Inputs!$B$9/12)</f>
        <v>22.3560413946904</v>
      </c>
      <c r="DQ12" s="0" t="n">
        <f aca="false">MIN(DQ5,DP12*(1-Inputs!$B$9/12)*(1+Inputs!$B$8)^(1/36)+DQ5*Inputs!$B$9/12)</f>
        <v>22.4481040730471</v>
      </c>
      <c r="DR12" s="0" t="n">
        <f aca="false">MIN(DR5,DQ12*(1-Inputs!$B$9/12)*(1+Inputs!$B$8)^(1/36)+DR5*Inputs!$B$9/12)</f>
        <v>22.540352910515</v>
      </c>
      <c r="DS12" s="0" t="n">
        <f aca="false">MIN(DS5,DR12*(1-Inputs!$B$9/12)*(1+Inputs!$B$8)^(1/36)+DS5*Inputs!$B$9/12)</f>
        <v>22.632788660557</v>
      </c>
      <c r="DT12" s="0" t="n">
        <f aca="false">MIN(DT5,DS12*(1-Inputs!$B$9/12)*(1+Inputs!$B$8)^(1/36)+DT5*Inputs!$B$9/12)</f>
        <v>22.7254120781851</v>
      </c>
      <c r="DU12" s="0" t="n">
        <f aca="false">MIN(DU5,DT12*(1-Inputs!$B$9/12)*(1+Inputs!$B$8)^(1/36)+DU5*Inputs!$B$9/12)</f>
        <v>22.8182239199667</v>
      </c>
      <c r="DV12" s="0" t="n">
        <f aca="false">MIN(DV5,DU12*(1-Inputs!$B$9/12)*(1+Inputs!$B$8)^(1/36)+DV5*Inputs!$B$9/12)</f>
        <v>22.911224944031</v>
      </c>
      <c r="DW12" s="0" t="n">
        <f aca="false">MIN(DW5,DV12*(1-Inputs!$B$9/12)*(1+Inputs!$B$8)^(1/36)+DW5*Inputs!$B$9/12)</f>
        <v>23.0044159100748</v>
      </c>
      <c r="DX12" s="0" t="n">
        <f aca="false">MIN(DX5,DW12*(1-Inputs!$B$9/12)*(1+Inputs!$B$8)^(1/36)+DX5*Inputs!$B$9/12)</f>
        <v>23.097797579369</v>
      </c>
      <c r="DY12" s="0" t="n">
        <f aca="false">MIN(DY5,DX12*(1-Inputs!$B$9/12)*(1+Inputs!$B$8)^(1/36)+DY5*Inputs!$B$9/12)</f>
        <v>23.1913707147647</v>
      </c>
      <c r="DZ12" s="0" t="n">
        <f aca="false">MIN(DZ5,DY12*(1-Inputs!$B$9/12)*(1+Inputs!$B$8)^(1/36)+DZ5*Inputs!$B$9/12)</f>
        <v>23.2851360806993</v>
      </c>
      <c r="EA12" s="0" t="n">
        <f aca="false">MIN(EA5,DZ12*(1-Inputs!$B$9/12)*(1+Inputs!$B$8)^(1/36)+EA5*Inputs!$B$9/12)</f>
        <v>23.3790944432033</v>
      </c>
      <c r="EB12" s="0" t="n">
        <f aca="false">MIN(EB5,EA12*(1-Inputs!$B$9/12)*(1+Inputs!$B$8)^(1/36)+EB5*Inputs!$B$9/12)</f>
        <v>23.4732465699057</v>
      </c>
      <c r="EC12" s="0" t="n">
        <f aca="false">MIN(EC5,EB12*(1-Inputs!$B$9/12)*(1+Inputs!$B$8)^(1/36)+EC5*Inputs!$B$9/12)</f>
        <v>23.5675932300411</v>
      </c>
      <c r="ED12" s="0" t="n">
        <f aca="false">MIN(ED5,EC12*(1-Inputs!$B$9/12)*(1+Inputs!$B$8)^(1/36)+ED5*Inputs!$B$9/12)</f>
        <v>23.6621351944554</v>
      </c>
      <c r="EE12" s="0" t="n">
        <f aca="false">MIN(EE5,ED12*(1-Inputs!$B$9/12)*(1+Inputs!$B$8)^(1/36)+EE5*Inputs!$B$9/12)</f>
        <v>23.7568732356125</v>
      </c>
      <c r="EF12" s="0" t="n">
        <f aca="false">MIN(EF5,EE12*(1-Inputs!$B$9/12)*(1+Inputs!$B$8)^(1/36)+EF5*Inputs!$B$9/12)</f>
        <v>23.8518081276003</v>
      </c>
      <c r="EG12" s="0" t="n">
        <f aca="false">MIN(EG5,EF12*(1-Inputs!$B$9/12)*(1+Inputs!$B$8)^(1/36)+EG5*Inputs!$B$9/12)</f>
        <v>23.9469406461371</v>
      </c>
      <c r="EH12" s="0" t="n">
        <f aca="false">MIN(EH5,EG12*(1-Inputs!$B$9/12)*(1+Inputs!$B$8)^(1/36)+EH5*Inputs!$B$9/12)</f>
        <v>24.0422715685783</v>
      </c>
      <c r="EI12" s="0" t="n">
        <f aca="false">MIN(EI5,EH12*(1-Inputs!$B$9/12)*(1+Inputs!$B$8)^(1/36)+EI5*Inputs!$B$9/12)</f>
        <v>24.137801673922</v>
      </c>
      <c r="EJ12" s="0" t="n">
        <f aca="false">MIN(EJ5,EI12*(1-Inputs!$B$9/12)*(1+Inputs!$B$8)^(1/36)+EJ5*Inputs!$B$9/12)</f>
        <v>24.2335317428163</v>
      </c>
      <c r="EK12" s="0" t="n">
        <f aca="false">MIN(EK5,EJ12*(1-Inputs!$B$9/12)*(1+Inputs!$B$8)^(1/36)+EK5*Inputs!$B$9/12)</f>
        <v>24.329462557565</v>
      </c>
      <c r="EL12" s="0" t="n">
        <f aca="false">MIN(EL5,EK12*(1-Inputs!$B$9/12)*(1+Inputs!$B$8)^(1/36)+EL5*Inputs!$B$9/12)</f>
        <v>24.4255949021339</v>
      </c>
      <c r="EM12" s="0" t="n">
        <f aca="false">MIN(EM5,EL12*(1-Inputs!$B$9/12)*(1+Inputs!$B$8)^(1/36)+EM5*Inputs!$B$9/12)</f>
        <v>24.5219295621581</v>
      </c>
      <c r="EN12" s="0" t="n">
        <f aca="false">MIN(EN5,EM12*(1-Inputs!$B$9/12)*(1+Inputs!$B$8)^(1/36)+EN5*Inputs!$B$9/12)</f>
        <v>24.6184673249473</v>
      </c>
      <c r="EO12" s="0" t="n">
        <f aca="false">MIN(EO5,EN12*(1-Inputs!$B$9/12)*(1+Inputs!$B$8)^(1/36)+EO5*Inputs!$B$9/12)</f>
        <v>24.7152089794931</v>
      </c>
      <c r="EP12" s="0" t="n">
        <f aca="false">MIN(EP5,EO12*(1-Inputs!$B$9/12)*(1+Inputs!$B$8)^(1/36)+EP5*Inputs!$B$9/12)</f>
        <v>24.8121553164749</v>
      </c>
      <c r="EQ12" s="0" t="n">
        <f aca="false">MIN(EQ5,EP12*(1-Inputs!$B$9/12)*(1+Inputs!$B$8)^(1/36)+EQ5*Inputs!$B$9/12)</f>
        <v>24.9093071282667</v>
      </c>
      <c r="ER12" s="0" t="n">
        <f aca="false">MIN(ER5,EQ12*(1-Inputs!$B$9/12)*(1+Inputs!$B$8)^(1/36)+ER5*Inputs!$B$9/12)</f>
        <v>25.0066652089434</v>
      </c>
      <c r="ES12" s="0" t="n">
        <f aca="false">MIN(ES5,ER12*(1-Inputs!$B$9/12)*(1+Inputs!$B$8)^(1/36)+ES5*Inputs!$B$9/12)</f>
        <v>25.1042303542873</v>
      </c>
      <c r="ET12" s="0" t="n">
        <f aca="false">MIN(ET5,ES12*(1-Inputs!$B$9/12)*(1+Inputs!$B$8)^(1/36)+ET5*Inputs!$B$9/12)</f>
        <v>25.2020033617948</v>
      </c>
      <c r="EU12" s="0" t="n">
        <f aca="false">MIN(EU5,ET12*(1-Inputs!$B$9/12)*(1+Inputs!$B$8)^(1/36)+EU5*Inputs!$B$9/12)</f>
        <v>25.2925890352073</v>
      </c>
      <c r="EV12" s="0" t="n">
        <f aca="false">MIN(EV5,EU12*(1-Inputs!$B$9/12)*(1+Inputs!$B$8)^(1/36)+EV5*Inputs!$B$9/12)</f>
        <v>25.3652014966706</v>
      </c>
      <c r="EW12" s="0" t="n">
        <f aca="false">MIN(EW5,EV12*(1-Inputs!$B$9/12)*(1+Inputs!$B$8)^(1/36)+EW5*Inputs!$B$9/12)</f>
        <v>25.4380224211565</v>
      </c>
      <c r="EX12" s="0" t="n">
        <f aca="false">MIN(EX5,EW12*(1-Inputs!$B$9/12)*(1+Inputs!$B$8)^(1/36)+EX5*Inputs!$B$9/12)</f>
        <v>25.5110524071413</v>
      </c>
      <c r="EY12" s="0" t="n">
        <f aca="false">MIN(EY5,EX12*(1-Inputs!$B$9/12)*(1+Inputs!$B$8)^(1/36)+EY5*Inputs!$B$9/12)</f>
        <v>25.5842920548192</v>
      </c>
      <c r="EZ12" s="0" t="n">
        <f aca="false">MIN(EZ5,EY12*(1-Inputs!$B$9/12)*(1+Inputs!$B$8)^(1/36)+EZ5*Inputs!$B$9/12)</f>
        <v>25.6577419661079</v>
      </c>
      <c r="FA12" s="0" t="n">
        <f aca="false">MIN(FA5,EZ12*(1-Inputs!$B$9/12)*(1+Inputs!$B$8)^(1/36)+FA5*Inputs!$B$9/12)</f>
        <v>25.7314027446528</v>
      </c>
      <c r="FB12" s="0" t="n">
        <f aca="false">MIN(FB5,FA12*(1-Inputs!$B$9/12)*(1+Inputs!$B$8)^(1/36)+FB5*Inputs!$B$9/12)</f>
        <v>25.8052749958325</v>
      </c>
      <c r="FC12" s="0" t="n">
        <f aca="false">MIN(FC5,FB12*(1-Inputs!$B$9/12)*(1+Inputs!$B$8)^(1/36)+FC5*Inputs!$B$9/12)</f>
        <v>25.8793593267634</v>
      </c>
      <c r="FD12" s="0" t="n">
        <f aca="false">MIN(FD5,FC12*(1-Inputs!$B$9/12)*(1+Inputs!$B$8)^(1/36)+FD5*Inputs!$B$9/12)</f>
        <v>25.9536563463052</v>
      </c>
      <c r="FE12" s="0" t="n">
        <f aca="false">MIN(FE5,FD12*(1-Inputs!$B$9/12)*(1+Inputs!$B$8)^(1/36)+FE5*Inputs!$B$9/12)</f>
        <v>26.0281666650651</v>
      </c>
      <c r="FF12" s="0" t="n">
        <f aca="false">MIN(FF5,FE12*(1-Inputs!$B$9/12)*(1+Inputs!$B$8)^(1/36)+FF5*Inputs!$B$9/12)</f>
        <v>26.1028908954038</v>
      </c>
      <c r="FG12" s="0" t="n">
        <f aca="false">MIN(FG5,FF12*(1-Inputs!$B$9/12)*(1+Inputs!$B$8)^(1/36)+FG5*Inputs!$B$9/12)</f>
        <v>26.1778296514396</v>
      </c>
      <c r="FH12" s="0" t="n">
        <f aca="false">MIN(FH5,FG12*(1-Inputs!$B$9/12)*(1+Inputs!$B$8)^(1/36)+FH5*Inputs!$B$9/12)</f>
        <v>26.2529835490541</v>
      </c>
      <c r="FI12" s="0" t="n">
        <f aca="false">MIN(FI5,FH12*(1-Inputs!$B$9/12)*(1+Inputs!$B$8)^(1/36)+FI5*Inputs!$B$9/12)</f>
        <v>26.328353205897</v>
      </c>
      <c r="FJ12" s="0" t="n">
        <f aca="false">MIN(FJ5,FI12*(1-Inputs!$B$9/12)*(1+Inputs!$B$8)^(1/36)+FJ5*Inputs!$B$9/12)</f>
        <v>26.4039392413912</v>
      </c>
      <c r="FK12" s="0" t="n">
        <f aca="false">MIN(FK5,FJ12*(1-Inputs!$B$9/12)*(1+Inputs!$B$8)^(1/36)+FK5*Inputs!$B$9/12)</f>
        <v>26.4797422767379</v>
      </c>
      <c r="FL12" s="0" t="n">
        <f aca="false">MIN(FL5,FK12*(1-Inputs!$B$9/12)*(1+Inputs!$B$8)^(1/36)+FL5*Inputs!$B$9/12)</f>
        <v>26.5557629349217</v>
      </c>
      <c r="FM12" s="0" t="n">
        <f aca="false">MIN(FM5,FL12*(1-Inputs!$B$9/12)*(1+Inputs!$B$8)^(1/36)+FM5*Inputs!$B$9/12)</f>
        <v>26.6320018407156</v>
      </c>
      <c r="FN12" s="0" t="n">
        <f aca="false">MIN(FN5,FM12*(1-Inputs!$B$9/12)*(1+Inputs!$B$8)^(1/36)+FN5*Inputs!$B$9/12)</f>
        <v>26.7084596206866</v>
      </c>
      <c r="FO12" s="0" t="n">
        <f aca="false">MIN(FO5,FN12*(1-Inputs!$B$9/12)*(1+Inputs!$B$8)^(1/36)+FO5*Inputs!$B$9/12)</f>
        <v>26.7851369032001</v>
      </c>
      <c r="FP12" s="0" t="n">
        <f aca="false">MIN(FP5,FO12*(1-Inputs!$B$9/12)*(1+Inputs!$B$8)^(1/36)+FP5*Inputs!$B$9/12)</f>
        <v>26.8620343184258</v>
      </c>
      <c r="FQ12" s="0" t="n">
        <f aca="false">MIN(FQ5,FP12*(1-Inputs!$B$9/12)*(1+Inputs!$B$8)^(1/36)+FQ5*Inputs!$B$9/12)</f>
        <v>26.9391524983424</v>
      </c>
      <c r="FR12" s="0" t="n">
        <f aca="false">MIN(FR5,FQ12*(1-Inputs!$B$9/12)*(1+Inputs!$B$8)^(1/36)+FR5*Inputs!$B$9/12)</f>
        <v>27.0164920767429</v>
      </c>
      <c r="FS12" s="0" t="n">
        <f aca="false">MIN(FS5,FR12*(1-Inputs!$B$9/12)*(1+Inputs!$B$8)^(1/36)+FS5*Inputs!$B$9/12)</f>
        <v>27.09405368924</v>
      </c>
      <c r="FT12" s="0" t="n">
        <f aca="false">MIN(FT5,FS12*(1-Inputs!$B$9/12)*(1+Inputs!$B$8)^(1/36)+FT5*Inputs!$B$9/12)</f>
        <v>27.171837973271</v>
      </c>
      <c r="FU12" s="0" t="n">
        <f aca="false">MIN(FU5,FT12*(1-Inputs!$B$9/12)*(1+Inputs!$B$8)^(1/36)+FU5*Inputs!$B$9/12)</f>
        <v>27.2498455681034</v>
      </c>
      <c r="FV12" s="0" t="n">
        <f aca="false">MIN(FV5,FU12*(1-Inputs!$B$9/12)*(1+Inputs!$B$8)^(1/36)+FV5*Inputs!$B$9/12)</f>
        <v>27.3280771148399</v>
      </c>
      <c r="FW12" s="0" t="n">
        <f aca="false">MIN(FW5,FV12*(1-Inputs!$B$9/12)*(1+Inputs!$B$8)^(1/36)+FW5*Inputs!$B$9/12)</f>
        <v>27.4065332564237</v>
      </c>
      <c r="FX12" s="0" t="n">
        <f aca="false">MIN(FX5,FW12*(1-Inputs!$B$9/12)*(1+Inputs!$B$8)^(1/36)+FX5*Inputs!$B$9/12)</f>
        <v>27.4852146376439</v>
      </c>
      <c r="FY12" s="0" t="n">
        <f aca="false">MIN(FY5,FX12*(1-Inputs!$B$9/12)*(1+Inputs!$B$8)^(1/36)+FY5*Inputs!$B$9/12)</f>
        <v>27.5641219051407</v>
      </c>
      <c r="FZ12" s="0" t="n">
        <f aca="false">MIN(FZ5,FY12*(1-Inputs!$B$9/12)*(1+Inputs!$B$8)^(1/36)+FZ5*Inputs!$B$9/12)</f>
        <v>27.6432557074106</v>
      </c>
    </row>
    <row r="13" customFormat="false" ht="15" hidden="false" customHeight="false" outlineLevel="0" collapsed="false">
      <c r="A13" s="0" t="s">
        <v>34</v>
      </c>
      <c r="B13" s="0" t="n">
        <f aca="false">IF(AND(B$3&gt;=Groups!$E$5,MOD(B$3-Groups!$E$5,Groups!$D$5*12)=0),Groups!$B$5*Inputs!$B$16,0)</f>
        <v>0</v>
      </c>
      <c r="C13" s="0" t="n">
        <f aca="false">IF(AND(C$3&gt;=Groups!$E$5,MOD(C$3-Groups!$E$5,Groups!$D$5*12)=0),Groups!$B$5*Inputs!$B$16,0)</f>
        <v>0</v>
      </c>
      <c r="D13" s="0" t="n">
        <f aca="false">IF(AND(D$3&gt;=Groups!$E$5,MOD(D$3-Groups!$E$5,Groups!$D$5*12)=0),Groups!$B$5*Inputs!$B$16,0)</f>
        <v>0</v>
      </c>
      <c r="E13" s="0" t="n">
        <f aca="false">IF(AND(E$3&gt;=Groups!$E$5,MOD(E$3-Groups!$E$5,Groups!$D$5*12)=0),Groups!$B$5*Inputs!$B$16,0)</f>
        <v>0</v>
      </c>
      <c r="F13" s="0" t="n">
        <f aca="false">IF(AND(F$3&gt;=Groups!$E$5,MOD(F$3-Groups!$E$5,Groups!$D$5*12)=0),Groups!$B$5*Inputs!$B$16,0)</f>
        <v>0</v>
      </c>
      <c r="G13" s="0" t="n">
        <f aca="false">IF(AND(G$3&gt;=Groups!$E$5,MOD(G$3-Groups!$E$5,Groups!$D$5*12)=0),Groups!$B$5*Inputs!$B$16,0)</f>
        <v>0</v>
      </c>
      <c r="H13" s="0" t="n">
        <f aca="false">IF(AND(H$3&gt;=Groups!$E$5,MOD(H$3-Groups!$E$5,Groups!$D$5*12)=0),Groups!$B$5*Inputs!$B$16,0)</f>
        <v>0</v>
      </c>
      <c r="I13" s="0" t="n">
        <f aca="false">IF(AND(I$3&gt;=Groups!$E$5,MOD(I$3-Groups!$E$5,Groups!$D$5*12)=0),Groups!$B$5*Inputs!$B$16,0)</f>
        <v>0</v>
      </c>
      <c r="J13" s="0" t="n">
        <f aca="false">IF(AND(J$3&gt;=Groups!$E$5,MOD(J$3-Groups!$E$5,Groups!$D$5*12)=0),Groups!$B$5*Inputs!$B$16,0)</f>
        <v>0</v>
      </c>
      <c r="K13" s="0" t="n">
        <f aca="false">IF(AND(K$3&gt;=Groups!$E$5,MOD(K$3-Groups!$E$5,Groups!$D$5*12)=0),Groups!$B$5*Inputs!$B$16,0)</f>
        <v>0</v>
      </c>
      <c r="L13" s="0" t="n">
        <f aca="false">IF(AND(L$3&gt;=Groups!$E$5,MOD(L$3-Groups!$E$5,Groups!$D$5*12)=0),Groups!$B$5*Inputs!$B$16,0)</f>
        <v>0</v>
      </c>
      <c r="M13" s="0" t="n">
        <f aca="false">IF(AND(M$3&gt;=Groups!$E$5,MOD(M$3-Groups!$E$5,Groups!$D$5*12)=0),Groups!$B$5*Inputs!$B$16,0)</f>
        <v>0</v>
      </c>
      <c r="N13" s="0" t="n">
        <f aca="false">IF(AND(N$3&gt;=Groups!$E$5,MOD(N$3-Groups!$E$5,Groups!$D$5*12)=0),Groups!$B$5*Inputs!$B$16,0)</f>
        <v>0</v>
      </c>
      <c r="O13" s="0" t="n">
        <f aca="false">IF(AND(O$3&gt;=Groups!$E$5,MOD(O$3-Groups!$E$5,Groups!$D$5*12)=0),Groups!$B$5*Inputs!$B$16,0)</f>
        <v>0</v>
      </c>
      <c r="P13" s="0" t="n">
        <f aca="false">IF(AND(P$3&gt;=Groups!$E$5,MOD(P$3-Groups!$E$5,Groups!$D$5*12)=0),Groups!$B$5*Inputs!$B$16,0)</f>
        <v>0</v>
      </c>
      <c r="Q13" s="0" t="n">
        <f aca="false">IF(AND(Q$3&gt;=Groups!$E$5,MOD(Q$3-Groups!$E$5,Groups!$D$5*12)=0),Groups!$B$5*Inputs!$B$16,0)</f>
        <v>0</v>
      </c>
      <c r="R13" s="0" t="n">
        <f aca="false">IF(AND(R$3&gt;=Groups!$E$5,MOD(R$3-Groups!$E$5,Groups!$D$5*12)=0),Groups!$B$5*Inputs!$B$16,0)</f>
        <v>0</v>
      </c>
      <c r="S13" s="0" t="n">
        <f aca="false">IF(AND(S$3&gt;=Groups!$E$5,MOD(S$3-Groups!$E$5,Groups!$D$5*12)=0),Groups!$B$5*Inputs!$B$16,0)</f>
        <v>0</v>
      </c>
      <c r="T13" s="0" t="n">
        <f aca="false">IF(AND(T$3&gt;=Groups!$E$5,MOD(T$3-Groups!$E$5,Groups!$D$5*12)=0),Groups!$B$5*Inputs!$B$16,0)</f>
        <v>0</v>
      </c>
      <c r="U13" s="0" t="n">
        <f aca="false">IF(AND(U$3&gt;=Groups!$E$5,MOD(U$3-Groups!$E$5,Groups!$D$5*12)=0),Groups!$B$5*Inputs!$B$16,0)</f>
        <v>0</v>
      </c>
      <c r="V13" s="0" t="n">
        <f aca="false">IF(AND(V$3&gt;=Groups!$E$5,MOD(V$3-Groups!$E$5,Groups!$D$5*12)=0),Groups!$B$5*Inputs!$B$16,0)</f>
        <v>0</v>
      </c>
      <c r="W13" s="0" t="n">
        <f aca="false">IF(AND(W$3&gt;=Groups!$E$5,MOD(W$3-Groups!$E$5,Groups!$D$5*12)=0),Groups!$B$5*Inputs!$B$16,0)</f>
        <v>0</v>
      </c>
      <c r="X13" s="0" t="n">
        <f aca="false">IF(AND(X$3&gt;=Groups!$E$5,MOD(X$3-Groups!$E$5,Groups!$D$5*12)=0),Groups!$B$5*Inputs!$B$16,0)</f>
        <v>0</v>
      </c>
      <c r="Y13" s="0" t="n">
        <f aca="false">IF(AND(Y$3&gt;=Groups!$E$5,MOD(Y$3-Groups!$E$5,Groups!$D$5*12)=0),Groups!$B$5*Inputs!$B$16,0)</f>
        <v>0</v>
      </c>
      <c r="Z13" s="0" t="n">
        <f aca="false">IF(AND(Z$3&gt;=Groups!$E$5,MOD(Z$3-Groups!$E$5,Groups!$D$5*12)=0),Groups!$B$5*Inputs!$B$16,0)</f>
        <v>0</v>
      </c>
      <c r="AA13" s="0" t="n">
        <f aca="false">IF(AND(AA$3&gt;=Groups!$E$5,MOD(AA$3-Groups!$E$5,Groups!$D$5*12)=0),Groups!$B$5*Inputs!$B$16,0)</f>
        <v>0</v>
      </c>
      <c r="AB13" s="0" t="n">
        <f aca="false">IF(AND(AB$3&gt;=Groups!$E$5,MOD(AB$3-Groups!$E$5,Groups!$D$5*12)=0),Groups!$B$5*Inputs!$B$16,0)</f>
        <v>0</v>
      </c>
      <c r="AC13" s="0" t="n">
        <f aca="false">IF(AND(AC$3&gt;=Groups!$E$5,MOD(AC$3-Groups!$E$5,Groups!$D$5*12)=0),Groups!$B$5*Inputs!$B$16,0)</f>
        <v>0</v>
      </c>
      <c r="AD13" s="0" t="n">
        <f aca="false">IF(AND(AD$3&gt;=Groups!$E$5,MOD(AD$3-Groups!$E$5,Groups!$D$5*12)=0),Groups!$B$5*Inputs!$B$16,0)</f>
        <v>0</v>
      </c>
      <c r="AE13" s="0" t="n">
        <f aca="false">IF(AND(AE$3&gt;=Groups!$E$5,MOD(AE$3-Groups!$E$5,Groups!$D$5*12)=0),Groups!$B$5*Inputs!$B$16,0)</f>
        <v>0</v>
      </c>
      <c r="AF13" s="0" t="n">
        <f aca="false">IF(AND(AF$3&gt;=Groups!$E$5,MOD(AF$3-Groups!$E$5,Groups!$D$5*12)=0),Groups!$B$5*Inputs!$B$16,0)</f>
        <v>0</v>
      </c>
      <c r="AG13" s="0" t="n">
        <f aca="false">IF(AND(AG$3&gt;=Groups!$E$5,MOD(AG$3-Groups!$E$5,Groups!$D$5*12)=0),Groups!$B$5*Inputs!$B$16,0)</f>
        <v>0</v>
      </c>
      <c r="AH13" s="0" t="n">
        <f aca="false">IF(AND(AH$3&gt;=Groups!$E$5,MOD(AH$3-Groups!$E$5,Groups!$D$5*12)=0),Groups!$B$5*Inputs!$B$16,0)</f>
        <v>0</v>
      </c>
      <c r="AI13" s="0" t="n">
        <f aca="false">IF(AND(AI$3&gt;=Groups!$E$5,MOD(AI$3-Groups!$E$5,Groups!$D$5*12)=0),Groups!$B$5*Inputs!$B$16,0)</f>
        <v>0</v>
      </c>
      <c r="AJ13" s="0" t="n">
        <f aca="false">IF(AND(AJ$3&gt;=Groups!$E$5,MOD(AJ$3-Groups!$E$5,Groups!$D$5*12)=0),Groups!$B$5*Inputs!$B$16,0)</f>
        <v>0</v>
      </c>
      <c r="AK13" s="0" t="n">
        <f aca="false">IF(AND(AK$3&gt;=Groups!$E$5,MOD(AK$3-Groups!$E$5,Groups!$D$5*12)=0),Groups!$B$5*Inputs!$B$16,0)</f>
        <v>0</v>
      </c>
      <c r="AL13" s="0" t="n">
        <f aca="false">IF(AND(AL$3&gt;=Groups!$E$5,MOD(AL$3-Groups!$E$5,Groups!$D$5*12)=0),Groups!$B$5*Inputs!$B$16,0)</f>
        <v>0</v>
      </c>
      <c r="AM13" s="0" t="n">
        <f aca="false">IF(AND(AM$3&gt;=Groups!$E$5,MOD(AM$3-Groups!$E$5,Groups!$D$5*12)=0),Groups!$B$5*Inputs!$B$16,0)</f>
        <v>0</v>
      </c>
      <c r="AN13" s="0" t="n">
        <f aca="false">IF(AND(AN$3&gt;=Groups!$E$5,MOD(AN$3-Groups!$E$5,Groups!$D$5*12)=0),Groups!$B$5*Inputs!$B$16,0)</f>
        <v>0</v>
      </c>
      <c r="AO13" s="0" t="n">
        <f aca="false">IF(AND(AO$3&gt;=Groups!$E$5,MOD(AO$3-Groups!$E$5,Groups!$D$5*12)=0),Groups!$B$5*Inputs!$B$16,0)</f>
        <v>0</v>
      </c>
      <c r="AP13" s="0" t="n">
        <f aca="false">IF(AND(AP$3&gt;=Groups!$E$5,MOD(AP$3-Groups!$E$5,Groups!$D$5*12)=0),Groups!$B$5*Inputs!$B$16,0)</f>
        <v>0</v>
      </c>
      <c r="AQ13" s="0" t="n">
        <f aca="false">IF(AND(AQ$3&gt;=Groups!$E$5,MOD(AQ$3-Groups!$E$5,Groups!$D$5*12)=0),Groups!$B$5*Inputs!$B$16,0)</f>
        <v>0</v>
      </c>
      <c r="AR13" s="0" t="n">
        <f aca="false">IF(AND(AR$3&gt;=Groups!$E$5,MOD(AR$3-Groups!$E$5,Groups!$D$5*12)=0),Groups!$B$5*Inputs!$B$16,0)</f>
        <v>0</v>
      </c>
      <c r="AS13" s="0" t="n">
        <f aca="false">IF(AND(AS$3&gt;=Groups!$E$5,MOD(AS$3-Groups!$E$5,Groups!$D$5*12)=0),Groups!$B$5*Inputs!$B$16,0)</f>
        <v>0</v>
      </c>
      <c r="AT13" s="0" t="n">
        <f aca="false">IF(AND(AT$3&gt;=Groups!$E$5,MOD(AT$3-Groups!$E$5,Groups!$D$5*12)=0),Groups!$B$5*Inputs!$B$16,0)</f>
        <v>0</v>
      </c>
      <c r="AU13" s="0" t="n">
        <f aca="false">IF(AND(AU$3&gt;=Groups!$E$5,MOD(AU$3-Groups!$E$5,Groups!$D$5*12)=0),Groups!$B$5*Inputs!$B$16,0)</f>
        <v>0</v>
      </c>
      <c r="AV13" s="0" t="n">
        <f aca="false">IF(AND(AV$3&gt;=Groups!$E$5,MOD(AV$3-Groups!$E$5,Groups!$D$5*12)=0),Groups!$B$5*Inputs!$B$16,0)</f>
        <v>0</v>
      </c>
      <c r="AW13" s="0" t="n">
        <f aca="false">IF(AND(AW$3&gt;=Groups!$E$5,MOD(AW$3-Groups!$E$5,Groups!$D$5*12)=0),Groups!$B$5*Inputs!$B$16,0)</f>
        <v>0</v>
      </c>
      <c r="AX13" s="0" t="n">
        <f aca="false">IF(AND(AX$3&gt;=Groups!$E$5,MOD(AX$3-Groups!$E$5,Groups!$D$5*12)=0),Groups!$B$5*Inputs!$B$16,0)</f>
        <v>12180000</v>
      </c>
      <c r="AY13" s="0" t="n">
        <f aca="false">IF(AND(AY$3&gt;=Groups!$E$5,MOD(AY$3-Groups!$E$5,Groups!$D$5*12)=0),Groups!$B$5*Inputs!$B$16,0)</f>
        <v>0</v>
      </c>
      <c r="AZ13" s="0" t="n">
        <f aca="false">IF(AND(AZ$3&gt;=Groups!$E$5,MOD(AZ$3-Groups!$E$5,Groups!$D$5*12)=0),Groups!$B$5*Inputs!$B$16,0)</f>
        <v>0</v>
      </c>
      <c r="BA13" s="0" t="n">
        <f aca="false">IF(AND(BA$3&gt;=Groups!$E$5,MOD(BA$3-Groups!$E$5,Groups!$D$5*12)=0),Groups!$B$5*Inputs!$B$16,0)</f>
        <v>0</v>
      </c>
      <c r="BB13" s="0" t="n">
        <f aca="false">IF(AND(BB$3&gt;=Groups!$E$5,MOD(BB$3-Groups!$E$5,Groups!$D$5*12)=0),Groups!$B$5*Inputs!$B$16,0)</f>
        <v>0</v>
      </c>
      <c r="BC13" s="0" t="n">
        <f aca="false">IF(AND(BC$3&gt;=Groups!$E$5,MOD(BC$3-Groups!$E$5,Groups!$D$5*12)=0),Groups!$B$5*Inputs!$B$16,0)</f>
        <v>0</v>
      </c>
      <c r="BD13" s="0" t="n">
        <f aca="false">IF(AND(BD$3&gt;=Groups!$E$5,MOD(BD$3-Groups!$E$5,Groups!$D$5*12)=0),Groups!$B$5*Inputs!$B$16,0)</f>
        <v>0</v>
      </c>
      <c r="BE13" s="0" t="n">
        <f aca="false">IF(AND(BE$3&gt;=Groups!$E$5,MOD(BE$3-Groups!$E$5,Groups!$D$5*12)=0),Groups!$B$5*Inputs!$B$16,0)</f>
        <v>0</v>
      </c>
      <c r="BF13" s="0" t="n">
        <f aca="false">IF(AND(BF$3&gt;=Groups!$E$5,MOD(BF$3-Groups!$E$5,Groups!$D$5*12)=0),Groups!$B$5*Inputs!$B$16,0)</f>
        <v>0</v>
      </c>
      <c r="BG13" s="0" t="n">
        <f aca="false">IF(AND(BG$3&gt;=Groups!$E$5,MOD(BG$3-Groups!$E$5,Groups!$D$5*12)=0),Groups!$B$5*Inputs!$B$16,0)</f>
        <v>0</v>
      </c>
      <c r="BH13" s="0" t="n">
        <f aca="false">IF(AND(BH$3&gt;=Groups!$E$5,MOD(BH$3-Groups!$E$5,Groups!$D$5*12)=0),Groups!$B$5*Inputs!$B$16,0)</f>
        <v>0</v>
      </c>
      <c r="BI13" s="0" t="n">
        <f aca="false">IF(AND(BI$3&gt;=Groups!$E$5,MOD(BI$3-Groups!$E$5,Groups!$D$5*12)=0),Groups!$B$5*Inputs!$B$16,0)</f>
        <v>0</v>
      </c>
      <c r="BJ13" s="0" t="n">
        <f aca="false">IF(AND(BJ$3&gt;=Groups!$E$5,MOD(BJ$3-Groups!$E$5,Groups!$D$5*12)=0),Groups!$B$5*Inputs!$B$16,0)</f>
        <v>0</v>
      </c>
      <c r="BK13" s="0" t="n">
        <f aca="false">IF(AND(BK$3&gt;=Groups!$E$5,MOD(BK$3-Groups!$E$5,Groups!$D$5*12)=0),Groups!$B$5*Inputs!$B$16,0)</f>
        <v>0</v>
      </c>
      <c r="BL13" s="0" t="n">
        <f aca="false">IF(AND(BL$3&gt;=Groups!$E$5,MOD(BL$3-Groups!$E$5,Groups!$D$5*12)=0),Groups!$B$5*Inputs!$B$16,0)</f>
        <v>0</v>
      </c>
      <c r="BM13" s="0" t="n">
        <f aca="false">IF(AND(BM$3&gt;=Groups!$E$5,MOD(BM$3-Groups!$E$5,Groups!$D$5*12)=0),Groups!$B$5*Inputs!$B$16,0)</f>
        <v>0</v>
      </c>
      <c r="BN13" s="0" t="n">
        <f aca="false">IF(AND(BN$3&gt;=Groups!$E$5,MOD(BN$3-Groups!$E$5,Groups!$D$5*12)=0),Groups!$B$5*Inputs!$B$16,0)</f>
        <v>0</v>
      </c>
      <c r="BO13" s="0" t="n">
        <f aca="false">IF(AND(BO$3&gt;=Groups!$E$5,MOD(BO$3-Groups!$E$5,Groups!$D$5*12)=0),Groups!$B$5*Inputs!$B$16,0)</f>
        <v>0</v>
      </c>
      <c r="BP13" s="0" t="n">
        <f aca="false">IF(AND(BP$3&gt;=Groups!$E$5,MOD(BP$3-Groups!$E$5,Groups!$D$5*12)=0),Groups!$B$5*Inputs!$B$16,0)</f>
        <v>0</v>
      </c>
      <c r="BQ13" s="0" t="n">
        <f aca="false">IF(AND(BQ$3&gt;=Groups!$E$5,MOD(BQ$3-Groups!$E$5,Groups!$D$5*12)=0),Groups!$B$5*Inputs!$B$16,0)</f>
        <v>0</v>
      </c>
      <c r="BR13" s="0" t="n">
        <f aca="false">IF(AND(BR$3&gt;=Groups!$E$5,MOD(BR$3-Groups!$E$5,Groups!$D$5*12)=0),Groups!$B$5*Inputs!$B$16,0)</f>
        <v>0</v>
      </c>
      <c r="BS13" s="0" t="n">
        <f aca="false">IF(AND(BS$3&gt;=Groups!$E$5,MOD(BS$3-Groups!$E$5,Groups!$D$5*12)=0),Groups!$B$5*Inputs!$B$16,0)</f>
        <v>0</v>
      </c>
      <c r="BT13" s="0" t="n">
        <f aca="false">IF(AND(BT$3&gt;=Groups!$E$5,MOD(BT$3-Groups!$E$5,Groups!$D$5*12)=0),Groups!$B$5*Inputs!$B$16,0)</f>
        <v>0</v>
      </c>
      <c r="BU13" s="0" t="n">
        <f aca="false">IF(AND(BU$3&gt;=Groups!$E$5,MOD(BU$3-Groups!$E$5,Groups!$D$5*12)=0),Groups!$B$5*Inputs!$B$16,0)</f>
        <v>0</v>
      </c>
      <c r="BV13" s="0" t="n">
        <f aca="false">IF(AND(BV$3&gt;=Groups!$E$5,MOD(BV$3-Groups!$E$5,Groups!$D$5*12)=0),Groups!$B$5*Inputs!$B$16,0)</f>
        <v>0</v>
      </c>
      <c r="BW13" s="0" t="n">
        <f aca="false">IF(AND(BW$3&gt;=Groups!$E$5,MOD(BW$3-Groups!$E$5,Groups!$D$5*12)=0),Groups!$B$5*Inputs!$B$16,0)</f>
        <v>0</v>
      </c>
      <c r="BX13" s="0" t="n">
        <f aca="false">IF(AND(BX$3&gt;=Groups!$E$5,MOD(BX$3-Groups!$E$5,Groups!$D$5*12)=0),Groups!$B$5*Inputs!$B$16,0)</f>
        <v>0</v>
      </c>
      <c r="BY13" s="0" t="n">
        <f aca="false">IF(AND(BY$3&gt;=Groups!$E$5,MOD(BY$3-Groups!$E$5,Groups!$D$5*12)=0),Groups!$B$5*Inputs!$B$16,0)</f>
        <v>0</v>
      </c>
      <c r="BZ13" s="0" t="n">
        <f aca="false">IF(AND(BZ$3&gt;=Groups!$E$5,MOD(BZ$3-Groups!$E$5,Groups!$D$5*12)=0),Groups!$B$5*Inputs!$B$16,0)</f>
        <v>0</v>
      </c>
      <c r="CA13" s="0" t="n">
        <f aca="false">IF(AND(CA$3&gt;=Groups!$E$5,MOD(CA$3-Groups!$E$5,Groups!$D$5*12)=0),Groups!$B$5*Inputs!$B$16,0)</f>
        <v>0</v>
      </c>
      <c r="CB13" s="0" t="n">
        <f aca="false">IF(AND(CB$3&gt;=Groups!$E$5,MOD(CB$3-Groups!$E$5,Groups!$D$5*12)=0),Groups!$B$5*Inputs!$B$16,0)</f>
        <v>0</v>
      </c>
      <c r="CC13" s="0" t="n">
        <f aca="false">IF(AND(CC$3&gt;=Groups!$E$5,MOD(CC$3-Groups!$E$5,Groups!$D$5*12)=0),Groups!$B$5*Inputs!$B$16,0)</f>
        <v>0</v>
      </c>
      <c r="CD13" s="0" t="n">
        <f aca="false">IF(AND(CD$3&gt;=Groups!$E$5,MOD(CD$3-Groups!$E$5,Groups!$D$5*12)=0),Groups!$B$5*Inputs!$B$16,0)</f>
        <v>0</v>
      </c>
      <c r="CE13" s="0" t="n">
        <f aca="false">IF(AND(CE$3&gt;=Groups!$E$5,MOD(CE$3-Groups!$E$5,Groups!$D$5*12)=0),Groups!$B$5*Inputs!$B$16,0)</f>
        <v>0</v>
      </c>
      <c r="CF13" s="0" t="n">
        <f aca="false">IF(AND(CF$3&gt;=Groups!$E$5,MOD(CF$3-Groups!$E$5,Groups!$D$5*12)=0),Groups!$B$5*Inputs!$B$16,0)</f>
        <v>0</v>
      </c>
      <c r="CG13" s="0" t="n">
        <f aca="false">IF(AND(CG$3&gt;=Groups!$E$5,MOD(CG$3-Groups!$E$5,Groups!$D$5*12)=0),Groups!$B$5*Inputs!$B$16,0)</f>
        <v>0</v>
      </c>
      <c r="CH13" s="0" t="n">
        <f aca="false">IF(AND(CH$3&gt;=Groups!$E$5,MOD(CH$3-Groups!$E$5,Groups!$D$5*12)=0),Groups!$B$5*Inputs!$B$16,0)</f>
        <v>0</v>
      </c>
      <c r="CI13" s="0" t="n">
        <f aca="false">IF(AND(CI$3&gt;=Groups!$E$5,MOD(CI$3-Groups!$E$5,Groups!$D$5*12)=0),Groups!$B$5*Inputs!$B$16,0)</f>
        <v>0</v>
      </c>
      <c r="CJ13" s="0" t="n">
        <f aca="false">IF(AND(CJ$3&gt;=Groups!$E$5,MOD(CJ$3-Groups!$E$5,Groups!$D$5*12)=0),Groups!$B$5*Inputs!$B$16,0)</f>
        <v>0</v>
      </c>
      <c r="CK13" s="0" t="n">
        <f aca="false">IF(AND(CK$3&gt;=Groups!$E$5,MOD(CK$3-Groups!$E$5,Groups!$D$5*12)=0),Groups!$B$5*Inputs!$B$16,0)</f>
        <v>0</v>
      </c>
      <c r="CL13" s="0" t="n">
        <f aca="false">IF(AND(CL$3&gt;=Groups!$E$5,MOD(CL$3-Groups!$E$5,Groups!$D$5*12)=0),Groups!$B$5*Inputs!$B$16,0)</f>
        <v>0</v>
      </c>
      <c r="CM13" s="0" t="n">
        <f aca="false">IF(AND(CM$3&gt;=Groups!$E$5,MOD(CM$3-Groups!$E$5,Groups!$D$5*12)=0),Groups!$B$5*Inputs!$B$16,0)</f>
        <v>0</v>
      </c>
      <c r="CN13" s="0" t="n">
        <f aca="false">IF(AND(CN$3&gt;=Groups!$E$5,MOD(CN$3-Groups!$E$5,Groups!$D$5*12)=0),Groups!$B$5*Inputs!$B$16,0)</f>
        <v>0</v>
      </c>
      <c r="CO13" s="0" t="n">
        <f aca="false">IF(AND(CO$3&gt;=Groups!$E$5,MOD(CO$3-Groups!$E$5,Groups!$D$5*12)=0),Groups!$B$5*Inputs!$B$16,0)</f>
        <v>0</v>
      </c>
      <c r="CP13" s="0" t="n">
        <f aca="false">IF(AND(CP$3&gt;=Groups!$E$5,MOD(CP$3-Groups!$E$5,Groups!$D$5*12)=0),Groups!$B$5*Inputs!$B$16,0)</f>
        <v>0</v>
      </c>
      <c r="CQ13" s="0" t="n">
        <f aca="false">IF(AND(CQ$3&gt;=Groups!$E$5,MOD(CQ$3-Groups!$E$5,Groups!$D$5*12)=0),Groups!$B$5*Inputs!$B$16,0)</f>
        <v>0</v>
      </c>
      <c r="CR13" s="0" t="n">
        <f aca="false">IF(AND(CR$3&gt;=Groups!$E$5,MOD(CR$3-Groups!$E$5,Groups!$D$5*12)=0),Groups!$B$5*Inputs!$B$16,0)</f>
        <v>0</v>
      </c>
      <c r="CS13" s="0" t="n">
        <f aca="false">IF(AND(CS$3&gt;=Groups!$E$5,MOD(CS$3-Groups!$E$5,Groups!$D$5*12)=0),Groups!$B$5*Inputs!$B$16,0)</f>
        <v>0</v>
      </c>
      <c r="CT13" s="0" t="n">
        <f aca="false">IF(AND(CT$3&gt;=Groups!$E$5,MOD(CT$3-Groups!$E$5,Groups!$D$5*12)=0),Groups!$B$5*Inputs!$B$16,0)</f>
        <v>0</v>
      </c>
      <c r="CU13" s="0" t="n">
        <f aca="false">IF(AND(CU$3&gt;=Groups!$E$5,MOD(CU$3-Groups!$E$5,Groups!$D$5*12)=0),Groups!$B$5*Inputs!$B$16,0)</f>
        <v>0</v>
      </c>
      <c r="CV13" s="0" t="n">
        <f aca="false">IF(AND(CV$3&gt;=Groups!$E$5,MOD(CV$3-Groups!$E$5,Groups!$D$5*12)=0),Groups!$B$5*Inputs!$B$16,0)</f>
        <v>0</v>
      </c>
      <c r="CW13" s="0" t="n">
        <f aca="false">IF(AND(CW$3&gt;=Groups!$E$5,MOD(CW$3-Groups!$E$5,Groups!$D$5*12)=0),Groups!$B$5*Inputs!$B$16,0)</f>
        <v>0</v>
      </c>
      <c r="CX13" s="0" t="n">
        <f aca="false">IF(AND(CX$3&gt;=Groups!$E$5,MOD(CX$3-Groups!$E$5,Groups!$D$5*12)=0),Groups!$B$5*Inputs!$B$16,0)</f>
        <v>0</v>
      </c>
      <c r="CY13" s="0" t="n">
        <f aca="false">IF(AND(CY$3&gt;=Groups!$E$5,MOD(CY$3-Groups!$E$5,Groups!$D$5*12)=0),Groups!$B$5*Inputs!$B$16,0)</f>
        <v>0</v>
      </c>
      <c r="CZ13" s="0" t="n">
        <f aca="false">IF(AND(CZ$3&gt;=Groups!$E$5,MOD(CZ$3-Groups!$E$5,Groups!$D$5*12)=0),Groups!$B$5*Inputs!$B$16,0)</f>
        <v>0</v>
      </c>
      <c r="DA13" s="0" t="n">
        <f aca="false">IF(AND(DA$3&gt;=Groups!$E$5,MOD(DA$3-Groups!$E$5,Groups!$D$5*12)=0),Groups!$B$5*Inputs!$B$16,0)</f>
        <v>0</v>
      </c>
      <c r="DB13" s="0" t="n">
        <f aca="false">IF(AND(DB$3&gt;=Groups!$E$5,MOD(DB$3-Groups!$E$5,Groups!$D$5*12)=0),Groups!$B$5*Inputs!$B$16,0)</f>
        <v>0</v>
      </c>
      <c r="DC13" s="0" t="n">
        <f aca="false">IF(AND(DC$3&gt;=Groups!$E$5,MOD(DC$3-Groups!$E$5,Groups!$D$5*12)=0),Groups!$B$5*Inputs!$B$16,0)</f>
        <v>0</v>
      </c>
      <c r="DD13" s="0" t="n">
        <f aca="false">IF(AND(DD$3&gt;=Groups!$E$5,MOD(DD$3-Groups!$E$5,Groups!$D$5*12)=0),Groups!$B$5*Inputs!$B$16,0)</f>
        <v>0</v>
      </c>
      <c r="DE13" s="0" t="n">
        <f aca="false">IF(AND(DE$3&gt;=Groups!$E$5,MOD(DE$3-Groups!$E$5,Groups!$D$5*12)=0),Groups!$B$5*Inputs!$B$16,0)</f>
        <v>0</v>
      </c>
      <c r="DF13" s="0" t="n">
        <f aca="false">IF(AND(DF$3&gt;=Groups!$E$5,MOD(DF$3-Groups!$E$5,Groups!$D$5*12)=0),Groups!$B$5*Inputs!$B$16,0)</f>
        <v>0</v>
      </c>
      <c r="DG13" s="0" t="n">
        <f aca="false">IF(AND(DG$3&gt;=Groups!$E$5,MOD(DG$3-Groups!$E$5,Groups!$D$5*12)=0),Groups!$B$5*Inputs!$B$16,0)</f>
        <v>0</v>
      </c>
      <c r="DH13" s="0" t="n">
        <f aca="false">IF(AND(DH$3&gt;=Groups!$E$5,MOD(DH$3-Groups!$E$5,Groups!$D$5*12)=0),Groups!$B$5*Inputs!$B$16,0)</f>
        <v>0</v>
      </c>
      <c r="DI13" s="0" t="n">
        <f aca="false">IF(AND(DI$3&gt;=Groups!$E$5,MOD(DI$3-Groups!$E$5,Groups!$D$5*12)=0),Groups!$B$5*Inputs!$B$16,0)</f>
        <v>0</v>
      </c>
      <c r="DJ13" s="0" t="n">
        <f aca="false">IF(AND(DJ$3&gt;=Groups!$E$5,MOD(DJ$3-Groups!$E$5,Groups!$D$5*12)=0),Groups!$B$5*Inputs!$B$16,0)</f>
        <v>0</v>
      </c>
      <c r="DK13" s="0" t="n">
        <f aca="false">IF(AND(DK$3&gt;=Groups!$E$5,MOD(DK$3-Groups!$E$5,Groups!$D$5*12)=0),Groups!$B$5*Inputs!$B$16,0)</f>
        <v>0</v>
      </c>
      <c r="DL13" s="0" t="n">
        <f aca="false">IF(AND(DL$3&gt;=Groups!$E$5,MOD(DL$3-Groups!$E$5,Groups!$D$5*12)=0),Groups!$B$5*Inputs!$B$16,0)</f>
        <v>0</v>
      </c>
      <c r="DM13" s="0" t="n">
        <f aca="false">IF(AND(DM$3&gt;=Groups!$E$5,MOD(DM$3-Groups!$E$5,Groups!$D$5*12)=0),Groups!$B$5*Inputs!$B$16,0)</f>
        <v>0</v>
      </c>
      <c r="DN13" s="0" t="n">
        <f aca="false">IF(AND(DN$3&gt;=Groups!$E$5,MOD(DN$3-Groups!$E$5,Groups!$D$5*12)=0),Groups!$B$5*Inputs!$B$16,0)</f>
        <v>0</v>
      </c>
      <c r="DO13" s="0" t="n">
        <f aca="false">IF(AND(DO$3&gt;=Groups!$E$5,MOD(DO$3-Groups!$E$5,Groups!$D$5*12)=0),Groups!$B$5*Inputs!$B$16,0)</f>
        <v>0</v>
      </c>
      <c r="DP13" s="0" t="n">
        <f aca="false">IF(AND(DP$3&gt;=Groups!$E$5,MOD(DP$3-Groups!$E$5,Groups!$D$5*12)=0),Groups!$B$5*Inputs!$B$16,0)</f>
        <v>0</v>
      </c>
      <c r="DQ13" s="0" t="n">
        <f aca="false">IF(AND(DQ$3&gt;=Groups!$E$5,MOD(DQ$3-Groups!$E$5,Groups!$D$5*12)=0),Groups!$B$5*Inputs!$B$16,0)</f>
        <v>0</v>
      </c>
      <c r="DR13" s="0" t="n">
        <f aca="false">IF(AND(DR$3&gt;=Groups!$E$5,MOD(DR$3-Groups!$E$5,Groups!$D$5*12)=0),Groups!$B$5*Inputs!$B$16,0)</f>
        <v>0</v>
      </c>
      <c r="DS13" s="0" t="n">
        <f aca="false">IF(AND(DS$3&gt;=Groups!$E$5,MOD(DS$3-Groups!$E$5,Groups!$D$5*12)=0),Groups!$B$5*Inputs!$B$16,0)</f>
        <v>0</v>
      </c>
      <c r="DT13" s="0" t="n">
        <f aca="false">IF(AND(DT$3&gt;=Groups!$E$5,MOD(DT$3-Groups!$E$5,Groups!$D$5*12)=0),Groups!$B$5*Inputs!$B$16,0)</f>
        <v>0</v>
      </c>
      <c r="DU13" s="0" t="n">
        <f aca="false">IF(AND(DU$3&gt;=Groups!$E$5,MOD(DU$3-Groups!$E$5,Groups!$D$5*12)=0),Groups!$B$5*Inputs!$B$16,0)</f>
        <v>0</v>
      </c>
      <c r="DV13" s="0" t="n">
        <f aca="false">IF(AND(DV$3&gt;=Groups!$E$5,MOD(DV$3-Groups!$E$5,Groups!$D$5*12)=0),Groups!$B$5*Inputs!$B$16,0)</f>
        <v>0</v>
      </c>
      <c r="DW13" s="0" t="n">
        <f aca="false">IF(AND(DW$3&gt;=Groups!$E$5,MOD(DW$3-Groups!$E$5,Groups!$D$5*12)=0),Groups!$B$5*Inputs!$B$16,0)</f>
        <v>0</v>
      </c>
      <c r="DX13" s="0" t="n">
        <f aca="false">IF(AND(DX$3&gt;=Groups!$E$5,MOD(DX$3-Groups!$E$5,Groups!$D$5*12)=0),Groups!$B$5*Inputs!$B$16,0)</f>
        <v>0</v>
      </c>
      <c r="DY13" s="0" t="n">
        <f aca="false">IF(AND(DY$3&gt;=Groups!$E$5,MOD(DY$3-Groups!$E$5,Groups!$D$5*12)=0),Groups!$B$5*Inputs!$B$16,0)</f>
        <v>0</v>
      </c>
      <c r="DZ13" s="0" t="n">
        <f aca="false">IF(AND(DZ$3&gt;=Groups!$E$5,MOD(DZ$3-Groups!$E$5,Groups!$D$5*12)=0),Groups!$B$5*Inputs!$B$16,0)</f>
        <v>0</v>
      </c>
      <c r="EA13" s="0" t="n">
        <f aca="false">IF(AND(EA$3&gt;=Groups!$E$5,MOD(EA$3-Groups!$E$5,Groups!$D$5*12)=0),Groups!$B$5*Inputs!$B$16,0)</f>
        <v>0</v>
      </c>
      <c r="EB13" s="0" t="n">
        <f aca="false">IF(AND(EB$3&gt;=Groups!$E$5,MOD(EB$3-Groups!$E$5,Groups!$D$5*12)=0),Groups!$B$5*Inputs!$B$16,0)</f>
        <v>0</v>
      </c>
      <c r="EC13" s="0" t="n">
        <f aca="false">IF(AND(EC$3&gt;=Groups!$E$5,MOD(EC$3-Groups!$E$5,Groups!$D$5*12)=0),Groups!$B$5*Inputs!$B$16,0)</f>
        <v>0</v>
      </c>
      <c r="ED13" s="0" t="n">
        <f aca="false">IF(AND(ED$3&gt;=Groups!$E$5,MOD(ED$3-Groups!$E$5,Groups!$D$5*12)=0),Groups!$B$5*Inputs!$B$16,0)</f>
        <v>0</v>
      </c>
      <c r="EE13" s="0" t="n">
        <f aca="false">IF(AND(EE$3&gt;=Groups!$E$5,MOD(EE$3-Groups!$E$5,Groups!$D$5*12)=0),Groups!$B$5*Inputs!$B$16,0)</f>
        <v>0</v>
      </c>
      <c r="EF13" s="0" t="n">
        <f aca="false">IF(AND(EF$3&gt;=Groups!$E$5,MOD(EF$3-Groups!$E$5,Groups!$D$5*12)=0),Groups!$B$5*Inputs!$B$16,0)</f>
        <v>0</v>
      </c>
      <c r="EG13" s="0" t="n">
        <f aca="false">IF(AND(EG$3&gt;=Groups!$E$5,MOD(EG$3-Groups!$E$5,Groups!$D$5*12)=0),Groups!$B$5*Inputs!$B$16,0)</f>
        <v>0</v>
      </c>
      <c r="EH13" s="0" t="n">
        <f aca="false">IF(AND(EH$3&gt;=Groups!$E$5,MOD(EH$3-Groups!$E$5,Groups!$D$5*12)=0),Groups!$B$5*Inputs!$B$16,0)</f>
        <v>0</v>
      </c>
      <c r="EI13" s="0" t="n">
        <f aca="false">IF(AND(EI$3&gt;=Groups!$E$5,MOD(EI$3-Groups!$E$5,Groups!$D$5*12)=0),Groups!$B$5*Inputs!$B$16,0)</f>
        <v>0</v>
      </c>
      <c r="EJ13" s="0" t="n">
        <f aca="false">IF(AND(EJ$3&gt;=Groups!$E$5,MOD(EJ$3-Groups!$E$5,Groups!$D$5*12)=0),Groups!$B$5*Inputs!$B$16,0)</f>
        <v>0</v>
      </c>
      <c r="EK13" s="0" t="n">
        <f aca="false">IF(AND(EK$3&gt;=Groups!$E$5,MOD(EK$3-Groups!$E$5,Groups!$D$5*12)=0),Groups!$B$5*Inputs!$B$16,0)</f>
        <v>0</v>
      </c>
      <c r="EL13" s="0" t="n">
        <f aca="false">IF(AND(EL$3&gt;=Groups!$E$5,MOD(EL$3-Groups!$E$5,Groups!$D$5*12)=0),Groups!$B$5*Inputs!$B$16,0)</f>
        <v>0</v>
      </c>
      <c r="EM13" s="0" t="n">
        <f aca="false">IF(AND(EM$3&gt;=Groups!$E$5,MOD(EM$3-Groups!$E$5,Groups!$D$5*12)=0),Groups!$B$5*Inputs!$B$16,0)</f>
        <v>0</v>
      </c>
      <c r="EN13" s="0" t="n">
        <f aca="false">IF(AND(EN$3&gt;=Groups!$E$5,MOD(EN$3-Groups!$E$5,Groups!$D$5*12)=0),Groups!$B$5*Inputs!$B$16,0)</f>
        <v>0</v>
      </c>
      <c r="EO13" s="0" t="n">
        <f aca="false">IF(AND(EO$3&gt;=Groups!$E$5,MOD(EO$3-Groups!$E$5,Groups!$D$5*12)=0),Groups!$B$5*Inputs!$B$16,0)</f>
        <v>0</v>
      </c>
      <c r="EP13" s="0" t="n">
        <f aca="false">IF(AND(EP$3&gt;=Groups!$E$5,MOD(EP$3-Groups!$E$5,Groups!$D$5*12)=0),Groups!$B$5*Inputs!$B$16,0)</f>
        <v>12180000</v>
      </c>
      <c r="EQ13" s="0" t="n">
        <f aca="false">IF(AND(EQ$3&gt;=Groups!$E$5,MOD(EQ$3-Groups!$E$5,Groups!$D$5*12)=0),Groups!$B$5*Inputs!$B$16,0)</f>
        <v>0</v>
      </c>
      <c r="ER13" s="0" t="n">
        <f aca="false">IF(AND(ER$3&gt;=Groups!$E$5,MOD(ER$3-Groups!$E$5,Groups!$D$5*12)=0),Groups!$B$5*Inputs!$B$16,0)</f>
        <v>0</v>
      </c>
      <c r="ES13" s="0" t="n">
        <f aca="false">IF(AND(ES$3&gt;=Groups!$E$5,MOD(ES$3-Groups!$E$5,Groups!$D$5*12)=0),Groups!$B$5*Inputs!$B$16,0)</f>
        <v>0</v>
      </c>
      <c r="ET13" s="0" t="n">
        <f aca="false">IF(AND(ET$3&gt;=Groups!$E$5,MOD(ET$3-Groups!$E$5,Groups!$D$5*12)=0),Groups!$B$5*Inputs!$B$16,0)</f>
        <v>0</v>
      </c>
      <c r="EU13" s="0" t="n">
        <f aca="false">IF(AND(EU$3&gt;=Groups!$E$5,MOD(EU$3-Groups!$E$5,Groups!$D$5*12)=0),Groups!$B$5*Inputs!$B$16,0)</f>
        <v>0</v>
      </c>
      <c r="EV13" s="0" t="n">
        <f aca="false">IF(AND(EV$3&gt;=Groups!$E$5,MOD(EV$3-Groups!$E$5,Groups!$D$5*12)=0),Groups!$B$5*Inputs!$B$16,0)</f>
        <v>0</v>
      </c>
      <c r="EW13" s="0" t="n">
        <f aca="false">IF(AND(EW$3&gt;=Groups!$E$5,MOD(EW$3-Groups!$E$5,Groups!$D$5*12)=0),Groups!$B$5*Inputs!$B$16,0)</f>
        <v>0</v>
      </c>
      <c r="EX13" s="0" t="n">
        <f aca="false">IF(AND(EX$3&gt;=Groups!$E$5,MOD(EX$3-Groups!$E$5,Groups!$D$5*12)=0),Groups!$B$5*Inputs!$B$16,0)</f>
        <v>0</v>
      </c>
      <c r="EY13" s="0" t="n">
        <f aca="false">IF(AND(EY$3&gt;=Groups!$E$5,MOD(EY$3-Groups!$E$5,Groups!$D$5*12)=0),Groups!$B$5*Inputs!$B$16,0)</f>
        <v>0</v>
      </c>
      <c r="EZ13" s="0" t="n">
        <f aca="false">IF(AND(EZ$3&gt;=Groups!$E$5,MOD(EZ$3-Groups!$E$5,Groups!$D$5*12)=0),Groups!$B$5*Inputs!$B$16,0)</f>
        <v>0</v>
      </c>
      <c r="FA13" s="0" t="n">
        <f aca="false">IF(AND(FA$3&gt;=Groups!$E$5,MOD(FA$3-Groups!$E$5,Groups!$D$5*12)=0),Groups!$B$5*Inputs!$B$16,0)</f>
        <v>0</v>
      </c>
      <c r="FB13" s="0" t="n">
        <f aca="false">IF(AND(FB$3&gt;=Groups!$E$5,MOD(FB$3-Groups!$E$5,Groups!$D$5*12)=0),Groups!$B$5*Inputs!$B$16,0)</f>
        <v>0</v>
      </c>
      <c r="FC13" s="0" t="n">
        <f aca="false">IF(AND(FC$3&gt;=Groups!$E$5,MOD(FC$3-Groups!$E$5,Groups!$D$5*12)=0),Groups!$B$5*Inputs!$B$16,0)</f>
        <v>0</v>
      </c>
      <c r="FD13" s="0" t="n">
        <f aca="false">IF(AND(FD$3&gt;=Groups!$E$5,MOD(FD$3-Groups!$E$5,Groups!$D$5*12)=0),Groups!$B$5*Inputs!$B$16,0)</f>
        <v>0</v>
      </c>
      <c r="FE13" s="0" t="n">
        <f aca="false">IF(AND(FE$3&gt;=Groups!$E$5,MOD(FE$3-Groups!$E$5,Groups!$D$5*12)=0),Groups!$B$5*Inputs!$B$16,0)</f>
        <v>0</v>
      </c>
      <c r="FF13" s="0" t="n">
        <f aca="false">IF(AND(FF$3&gt;=Groups!$E$5,MOD(FF$3-Groups!$E$5,Groups!$D$5*12)=0),Groups!$B$5*Inputs!$B$16,0)</f>
        <v>0</v>
      </c>
      <c r="FG13" s="0" t="n">
        <f aca="false">IF(AND(FG$3&gt;=Groups!$E$5,MOD(FG$3-Groups!$E$5,Groups!$D$5*12)=0),Groups!$B$5*Inputs!$B$16,0)</f>
        <v>0</v>
      </c>
      <c r="FH13" s="0" t="n">
        <f aca="false">IF(AND(FH$3&gt;=Groups!$E$5,MOD(FH$3-Groups!$E$5,Groups!$D$5*12)=0),Groups!$B$5*Inputs!$B$16,0)</f>
        <v>0</v>
      </c>
      <c r="FI13" s="0" t="n">
        <f aca="false">IF(AND(FI$3&gt;=Groups!$E$5,MOD(FI$3-Groups!$E$5,Groups!$D$5*12)=0),Groups!$B$5*Inputs!$B$16,0)</f>
        <v>0</v>
      </c>
      <c r="FJ13" s="0" t="n">
        <f aca="false">IF(AND(FJ$3&gt;=Groups!$E$5,MOD(FJ$3-Groups!$E$5,Groups!$D$5*12)=0),Groups!$B$5*Inputs!$B$16,0)</f>
        <v>0</v>
      </c>
      <c r="FK13" s="0" t="n">
        <f aca="false">IF(AND(FK$3&gt;=Groups!$E$5,MOD(FK$3-Groups!$E$5,Groups!$D$5*12)=0),Groups!$B$5*Inputs!$B$16,0)</f>
        <v>0</v>
      </c>
      <c r="FL13" s="0" t="n">
        <f aca="false">IF(AND(FL$3&gt;=Groups!$E$5,MOD(FL$3-Groups!$E$5,Groups!$D$5*12)=0),Groups!$B$5*Inputs!$B$16,0)</f>
        <v>0</v>
      </c>
      <c r="FM13" s="0" t="n">
        <f aca="false">IF(AND(FM$3&gt;=Groups!$E$5,MOD(FM$3-Groups!$E$5,Groups!$D$5*12)=0),Groups!$B$5*Inputs!$B$16,0)</f>
        <v>0</v>
      </c>
      <c r="FN13" s="0" t="n">
        <f aca="false">IF(AND(FN$3&gt;=Groups!$E$5,MOD(FN$3-Groups!$E$5,Groups!$D$5*12)=0),Groups!$B$5*Inputs!$B$16,0)</f>
        <v>0</v>
      </c>
      <c r="FO13" s="0" t="n">
        <f aca="false">IF(AND(FO$3&gt;=Groups!$E$5,MOD(FO$3-Groups!$E$5,Groups!$D$5*12)=0),Groups!$B$5*Inputs!$B$16,0)</f>
        <v>0</v>
      </c>
      <c r="FP13" s="0" t="n">
        <f aca="false">IF(AND(FP$3&gt;=Groups!$E$5,MOD(FP$3-Groups!$E$5,Groups!$D$5*12)=0),Groups!$B$5*Inputs!$B$16,0)</f>
        <v>0</v>
      </c>
      <c r="FQ13" s="0" t="n">
        <f aca="false">IF(AND(FQ$3&gt;=Groups!$E$5,MOD(FQ$3-Groups!$E$5,Groups!$D$5*12)=0),Groups!$B$5*Inputs!$B$16,0)</f>
        <v>0</v>
      </c>
      <c r="FR13" s="0" t="n">
        <f aca="false">IF(AND(FR$3&gt;=Groups!$E$5,MOD(FR$3-Groups!$E$5,Groups!$D$5*12)=0),Groups!$B$5*Inputs!$B$16,0)</f>
        <v>0</v>
      </c>
      <c r="FS13" s="0" t="n">
        <f aca="false">IF(AND(FS$3&gt;=Groups!$E$5,MOD(FS$3-Groups!$E$5,Groups!$D$5*12)=0),Groups!$B$5*Inputs!$B$16,0)</f>
        <v>0</v>
      </c>
      <c r="FT13" s="0" t="n">
        <f aca="false">IF(AND(FT$3&gt;=Groups!$E$5,MOD(FT$3-Groups!$E$5,Groups!$D$5*12)=0),Groups!$B$5*Inputs!$B$16,0)</f>
        <v>0</v>
      </c>
      <c r="FU13" s="0" t="n">
        <f aca="false">IF(AND(FU$3&gt;=Groups!$E$5,MOD(FU$3-Groups!$E$5,Groups!$D$5*12)=0),Groups!$B$5*Inputs!$B$16,0)</f>
        <v>0</v>
      </c>
      <c r="FV13" s="0" t="n">
        <f aca="false">IF(AND(FV$3&gt;=Groups!$E$5,MOD(FV$3-Groups!$E$5,Groups!$D$5*12)=0),Groups!$B$5*Inputs!$B$16,0)</f>
        <v>0</v>
      </c>
      <c r="FW13" s="0" t="n">
        <f aca="false">IF(AND(FW$3&gt;=Groups!$E$5,MOD(FW$3-Groups!$E$5,Groups!$D$5*12)=0),Groups!$B$5*Inputs!$B$16,0)</f>
        <v>0</v>
      </c>
      <c r="FX13" s="0" t="n">
        <f aca="false">IF(AND(FX$3&gt;=Groups!$E$5,MOD(FX$3-Groups!$E$5,Groups!$D$5*12)=0),Groups!$B$5*Inputs!$B$16,0)</f>
        <v>0</v>
      </c>
      <c r="FY13" s="0" t="n">
        <f aca="false">IF(AND(FY$3&gt;=Groups!$E$5,MOD(FY$3-Groups!$E$5,Groups!$D$5*12)=0),Groups!$B$5*Inputs!$B$16,0)</f>
        <v>0</v>
      </c>
      <c r="FZ13" s="0" t="n">
        <f aca="false">IF(AND(FZ$3&gt;=Groups!$E$5,MOD(FZ$3-Groups!$E$5,Groups!$D$5*12)=0),Groups!$B$5*Inputs!$B$16,0)</f>
        <v>0</v>
      </c>
    </row>
    <row r="14" customFormat="false" ht="15" hidden="false" customHeight="false" outlineLevel="0" collapsed="false">
      <c r="A14" s="0" t="s">
        <v>35</v>
      </c>
      <c r="B14" s="0" t="n">
        <f aca="false">B6*Groups!$B$2+B8*Groups!$B$3+B10*Groups!$B$4+B12*Groups!$B$5</f>
        <v>1564600</v>
      </c>
      <c r="C14" s="0" t="n">
        <f aca="false">C6*Groups!$B$2+C8*Groups!$B$3+C10*Groups!$B$4+C12*Groups!$B$5</f>
        <v>1575658.98719623</v>
      </c>
      <c r="D14" s="0" t="n">
        <f aca="false">D6*Groups!$B$2+D8*Groups!$B$3+D10*Groups!$B$4+D12*Groups!$B$5</f>
        <v>1586731.31728726</v>
      </c>
      <c r="E14" s="0" t="n">
        <f aca="false">E6*Groups!$B$2+E8*Groups!$B$3+E10*Groups!$B$4+E12*Groups!$B$5</f>
        <v>1597817.08016805</v>
      </c>
      <c r="F14" s="0" t="n">
        <f aca="false">F6*Groups!$B$2+F8*Groups!$B$3+F10*Groups!$B$4+F12*Groups!$B$5</f>
        <v>1608916.36584704</v>
      </c>
      <c r="G14" s="0" t="n">
        <f aca="false">G6*Groups!$B$2+G8*Groups!$B$3+G10*Groups!$B$4+G12*Groups!$B$5</f>
        <v>1620029.26444689</v>
      </c>
      <c r="H14" s="0" t="n">
        <f aca="false">H6*Groups!$B$2+H8*Groups!$B$3+H10*Groups!$B$4+H12*Groups!$B$5</f>
        <v>1631155.86620521</v>
      </c>
      <c r="I14" s="0" t="n">
        <f aca="false">I6*Groups!$B$2+I8*Groups!$B$3+I10*Groups!$B$4+I12*Groups!$B$5</f>
        <v>1642296.2614753</v>
      </c>
      <c r="J14" s="0" t="n">
        <f aca="false">J6*Groups!$B$2+J8*Groups!$B$3+J10*Groups!$B$4+J12*Groups!$B$5</f>
        <v>1653450.54072687</v>
      </c>
      <c r="K14" s="0" t="n">
        <f aca="false">K6*Groups!$B$2+K8*Groups!$B$3+K10*Groups!$B$4+K12*Groups!$B$5</f>
        <v>1664618.79454678</v>
      </c>
      <c r="L14" s="0" t="n">
        <f aca="false">L6*Groups!$B$2+L8*Groups!$B$3+L10*Groups!$B$4+L12*Groups!$B$5</f>
        <v>1675801.11363979</v>
      </c>
      <c r="M14" s="0" t="n">
        <f aca="false">M6*Groups!$B$2+M8*Groups!$B$3+M10*Groups!$B$4+M12*Groups!$B$5</f>
        <v>1686997.58882928</v>
      </c>
      <c r="N14" s="0" t="n">
        <f aca="false">N6*Groups!$B$2+N8*Groups!$B$3+N10*Groups!$B$4+N12*Groups!$B$5</f>
        <v>1698208.31105798</v>
      </c>
      <c r="O14" s="0" t="n">
        <f aca="false">O6*Groups!$B$2+O8*Groups!$B$3+O10*Groups!$B$4+O12*Groups!$B$5</f>
        <v>1709433.37138874</v>
      </c>
      <c r="P14" s="0" t="n">
        <f aca="false">P6*Groups!$B$2+P8*Groups!$B$3+P10*Groups!$B$4+P12*Groups!$B$5</f>
        <v>1720672.86100524</v>
      </c>
      <c r="Q14" s="0" t="n">
        <f aca="false">Q6*Groups!$B$2+Q8*Groups!$B$3+Q10*Groups!$B$4+Q12*Groups!$B$5</f>
        <v>1731926.87121276</v>
      </c>
      <c r="R14" s="0" t="n">
        <f aca="false">R6*Groups!$B$2+R8*Groups!$B$3+R10*Groups!$B$4+R12*Groups!$B$5</f>
        <v>1743195.49343889</v>
      </c>
      <c r="S14" s="0" t="n">
        <f aca="false">S6*Groups!$B$2+S8*Groups!$B$3+S10*Groups!$B$4+S12*Groups!$B$5</f>
        <v>1754478.81923428</v>
      </c>
      <c r="T14" s="0" t="n">
        <f aca="false">T6*Groups!$B$2+T8*Groups!$B$3+T10*Groups!$B$4+T12*Groups!$B$5</f>
        <v>1765776.94027342</v>
      </c>
      <c r="U14" s="0" t="n">
        <f aca="false">U6*Groups!$B$2+U8*Groups!$B$3+U10*Groups!$B$4+U12*Groups!$B$5</f>
        <v>1777089.94835533</v>
      </c>
      <c r="V14" s="0" t="n">
        <f aca="false">V6*Groups!$B$2+V8*Groups!$B$3+V10*Groups!$B$4+V12*Groups!$B$5</f>
        <v>1788417.93540434</v>
      </c>
      <c r="W14" s="0" t="n">
        <f aca="false">W6*Groups!$B$2+W8*Groups!$B$3+W10*Groups!$B$4+W12*Groups!$B$5</f>
        <v>1799760.99347084</v>
      </c>
      <c r="X14" s="0" t="n">
        <f aca="false">X6*Groups!$B$2+X8*Groups!$B$3+X10*Groups!$B$4+X12*Groups!$B$5</f>
        <v>1811119.21473201</v>
      </c>
      <c r="Y14" s="0" t="n">
        <f aca="false">Y6*Groups!$B$2+Y8*Groups!$B$3+Y10*Groups!$B$4+Y12*Groups!$B$5</f>
        <v>1822492.69149259</v>
      </c>
      <c r="Z14" s="0" t="n">
        <f aca="false">Z6*Groups!$B$2+Z8*Groups!$B$3+Z10*Groups!$B$4+Z12*Groups!$B$5</f>
        <v>1833881.5161856</v>
      </c>
      <c r="AA14" s="0" t="n">
        <f aca="false">AA6*Groups!$B$2+AA8*Groups!$B$3+AA10*Groups!$B$4+AA12*Groups!$B$5</f>
        <v>1845285.78137311</v>
      </c>
      <c r="AB14" s="0" t="n">
        <f aca="false">AB6*Groups!$B$2+AB8*Groups!$B$3+AB10*Groups!$B$4+AB12*Groups!$B$5</f>
        <v>1856705.57974703</v>
      </c>
      <c r="AC14" s="0" t="n">
        <f aca="false">AC6*Groups!$B$2+AC8*Groups!$B$3+AC10*Groups!$B$4+AC12*Groups!$B$5</f>
        <v>1868141.00412977</v>
      </c>
      <c r="AD14" s="0" t="n">
        <f aca="false">AD6*Groups!$B$2+AD8*Groups!$B$3+AD10*Groups!$B$4+AD12*Groups!$B$5</f>
        <v>1879592.1474751</v>
      </c>
      <c r="AE14" s="0" t="n">
        <f aca="false">AE6*Groups!$B$2+AE8*Groups!$B$3+AE10*Groups!$B$4+AE12*Groups!$B$5</f>
        <v>1891059.10286881</v>
      </c>
      <c r="AF14" s="0" t="n">
        <f aca="false">AF6*Groups!$B$2+AF8*Groups!$B$3+AF10*Groups!$B$4+AF12*Groups!$B$5</f>
        <v>1902541.96352957</v>
      </c>
      <c r="AG14" s="0" t="n">
        <f aca="false">AG6*Groups!$B$2+AG8*Groups!$B$3+AG10*Groups!$B$4+AG12*Groups!$B$5</f>
        <v>1914040.82280958</v>
      </c>
      <c r="AH14" s="0" t="n">
        <f aca="false">AH6*Groups!$B$2+AH8*Groups!$B$3+AH10*Groups!$B$4+AH12*Groups!$B$5</f>
        <v>1925555.7741954</v>
      </c>
      <c r="AI14" s="0" t="n">
        <f aca="false">AI6*Groups!$B$2+AI8*Groups!$B$3+AI10*Groups!$B$4+AI12*Groups!$B$5</f>
        <v>1937086.91130871</v>
      </c>
      <c r="AJ14" s="0" t="n">
        <f aca="false">AJ6*Groups!$B$2+AJ8*Groups!$B$3+AJ10*Groups!$B$4+AJ12*Groups!$B$5</f>
        <v>1948634.32790701</v>
      </c>
      <c r="AK14" s="0" t="n">
        <f aca="false">AK6*Groups!$B$2+AK8*Groups!$B$3+AK10*Groups!$B$4+AK12*Groups!$B$5</f>
        <v>1960198.11788448</v>
      </c>
      <c r="AL14" s="0" t="n">
        <f aca="false">AL6*Groups!$B$2+AL8*Groups!$B$3+AL10*Groups!$B$4+AL12*Groups!$B$5</f>
        <v>1971778.37527264</v>
      </c>
      <c r="AM14" s="0" t="n">
        <f aca="false">AM6*Groups!$B$2+AM8*Groups!$B$3+AM10*Groups!$B$4+AM12*Groups!$B$5</f>
        <v>1983375.19424118</v>
      </c>
      <c r="AN14" s="0" t="n">
        <f aca="false">AN6*Groups!$B$2+AN8*Groups!$B$3+AN10*Groups!$B$4+AN12*Groups!$B$5</f>
        <v>1994988.66909873</v>
      </c>
      <c r="AO14" s="0" t="n">
        <f aca="false">AO6*Groups!$B$2+AO8*Groups!$B$3+AO10*Groups!$B$4+AO12*Groups!$B$5</f>
        <v>2006618.89429358</v>
      </c>
      <c r="AP14" s="0" t="n">
        <f aca="false">AP6*Groups!$B$2+AP8*Groups!$B$3+AP10*Groups!$B$4+AP12*Groups!$B$5</f>
        <v>2018265.96441449</v>
      </c>
      <c r="AQ14" s="0" t="n">
        <f aca="false">AQ6*Groups!$B$2+AQ8*Groups!$B$3+AQ10*Groups!$B$4+AQ12*Groups!$B$5</f>
        <v>2029929.97419143</v>
      </c>
      <c r="AR14" s="0" t="n">
        <f aca="false">AR6*Groups!$B$2+AR8*Groups!$B$3+AR10*Groups!$B$4+AR12*Groups!$B$5</f>
        <v>2041611.01849639</v>
      </c>
      <c r="AS14" s="0" t="n">
        <f aca="false">AS6*Groups!$B$2+AS8*Groups!$B$3+AS10*Groups!$B$4+AS12*Groups!$B$5</f>
        <v>2053309.19234411</v>
      </c>
      <c r="AT14" s="0" t="n">
        <f aca="false">AT6*Groups!$B$2+AT8*Groups!$B$3+AT10*Groups!$B$4+AT12*Groups!$B$5</f>
        <v>2065024.59089287</v>
      </c>
      <c r="AU14" s="0" t="n">
        <f aca="false">AU6*Groups!$B$2+AU8*Groups!$B$3+AU10*Groups!$B$4+AU12*Groups!$B$5</f>
        <v>2076757.30944527</v>
      </c>
      <c r="AV14" s="0" t="n">
        <f aca="false">AV6*Groups!$B$2+AV8*Groups!$B$3+AV10*Groups!$B$4+AV12*Groups!$B$5</f>
        <v>2088507.443449</v>
      </c>
      <c r="AW14" s="0" t="n">
        <f aca="false">AW6*Groups!$B$2+AW8*Groups!$B$3+AW10*Groups!$B$4+AW12*Groups!$B$5</f>
        <v>2100275.08849763</v>
      </c>
      <c r="AX14" s="0" t="n">
        <f aca="false">AX6*Groups!$B$2+AX8*Groups!$B$3+AX10*Groups!$B$4+AX12*Groups!$B$5</f>
        <v>2112060.34033134</v>
      </c>
      <c r="AY14" s="0" t="n">
        <f aca="false">AY6*Groups!$B$2+AY8*Groups!$B$3+AY10*Groups!$B$4+AY12*Groups!$B$5</f>
        <v>2123863.29483778</v>
      </c>
      <c r="AZ14" s="0" t="n">
        <f aca="false">AZ6*Groups!$B$2+AZ8*Groups!$B$3+AZ10*Groups!$B$4+AZ12*Groups!$B$5</f>
        <v>2135684.04805277</v>
      </c>
      <c r="BA14" s="0" t="n">
        <f aca="false">BA6*Groups!$B$2+BA8*Groups!$B$3+BA10*Groups!$B$4+BA12*Groups!$B$5</f>
        <v>2147522.69616112</v>
      </c>
      <c r="BB14" s="0" t="n">
        <f aca="false">BB6*Groups!$B$2+BB8*Groups!$B$3+BB10*Groups!$B$4+BB12*Groups!$B$5</f>
        <v>2159379.33549744</v>
      </c>
      <c r="BC14" s="0" t="n">
        <f aca="false">BC6*Groups!$B$2+BC8*Groups!$B$3+BC10*Groups!$B$4+BC12*Groups!$B$5</f>
        <v>2171254.06254685</v>
      </c>
      <c r="BD14" s="0" t="n">
        <f aca="false">BD6*Groups!$B$2+BD8*Groups!$B$3+BD10*Groups!$B$4+BD12*Groups!$B$5</f>
        <v>2183146.97394585</v>
      </c>
      <c r="BE14" s="0" t="n">
        <f aca="false">BE6*Groups!$B$2+BE8*Groups!$B$3+BE10*Groups!$B$4+BE12*Groups!$B$5</f>
        <v>2195058.16648303</v>
      </c>
      <c r="BF14" s="0" t="n">
        <f aca="false">BF6*Groups!$B$2+BF8*Groups!$B$3+BF10*Groups!$B$4+BF12*Groups!$B$5</f>
        <v>2206987.73709991</v>
      </c>
      <c r="BG14" s="0" t="n">
        <f aca="false">BG6*Groups!$B$2+BG8*Groups!$B$3+BG10*Groups!$B$4+BG12*Groups!$B$5</f>
        <v>2218935.78289173</v>
      </c>
      <c r="BH14" s="0" t="n">
        <f aca="false">BH6*Groups!$B$2+BH8*Groups!$B$3+BH10*Groups!$B$4+BH12*Groups!$B$5</f>
        <v>2230902.40110818</v>
      </c>
      <c r="BI14" s="0" t="n">
        <f aca="false">BI6*Groups!$B$2+BI8*Groups!$B$3+BI10*Groups!$B$4+BI12*Groups!$B$5</f>
        <v>2242887.68915428</v>
      </c>
      <c r="BJ14" s="0" t="n">
        <f aca="false">BJ6*Groups!$B$2+BJ8*Groups!$B$3+BJ10*Groups!$B$4+BJ12*Groups!$B$5</f>
        <v>2254891.74459111</v>
      </c>
      <c r="BK14" s="0" t="n">
        <f aca="false">BK6*Groups!$B$2+BK8*Groups!$B$3+BK10*Groups!$B$4+BK12*Groups!$B$5</f>
        <v>2266914.66513661</v>
      </c>
      <c r="BL14" s="0" t="n">
        <f aca="false">BL6*Groups!$B$2+BL8*Groups!$B$3+BL10*Groups!$B$4+BL12*Groups!$B$5</f>
        <v>2278956.5486664</v>
      </c>
      <c r="BM14" s="0" t="n">
        <f aca="false">BM6*Groups!$B$2+BM8*Groups!$B$3+BM10*Groups!$B$4+BM12*Groups!$B$5</f>
        <v>2291017.49321457</v>
      </c>
      <c r="BN14" s="0" t="n">
        <f aca="false">BN6*Groups!$B$2+BN8*Groups!$B$3+BN10*Groups!$B$4+BN12*Groups!$B$5</f>
        <v>2303097.59697448</v>
      </c>
      <c r="BO14" s="0" t="n">
        <f aca="false">BO6*Groups!$B$2+BO8*Groups!$B$3+BO10*Groups!$B$4+BO12*Groups!$B$5</f>
        <v>2315196.95829952</v>
      </c>
      <c r="BP14" s="0" t="n">
        <f aca="false">BP6*Groups!$B$2+BP8*Groups!$B$3+BP10*Groups!$B$4+BP12*Groups!$B$5</f>
        <v>2327315.67570398</v>
      </c>
      <c r="BQ14" s="0" t="n">
        <f aca="false">BQ6*Groups!$B$2+BQ8*Groups!$B$3+BQ10*Groups!$B$4+BQ12*Groups!$B$5</f>
        <v>2339453.84786381</v>
      </c>
      <c r="BR14" s="0" t="n">
        <f aca="false">BR6*Groups!$B$2+BR8*Groups!$B$3+BR10*Groups!$B$4+BR12*Groups!$B$5</f>
        <v>2351611.57361741</v>
      </c>
      <c r="BS14" s="0" t="n">
        <f aca="false">BS6*Groups!$B$2+BS8*Groups!$B$3+BS10*Groups!$B$4+BS12*Groups!$B$5</f>
        <v>2363788.95196647</v>
      </c>
      <c r="BT14" s="0" t="n">
        <f aca="false">BT6*Groups!$B$2+BT8*Groups!$B$3+BT10*Groups!$B$4+BT12*Groups!$B$5</f>
        <v>2375986.08207678</v>
      </c>
      <c r="BU14" s="0" t="n">
        <f aca="false">BU6*Groups!$B$2+BU8*Groups!$B$3+BU10*Groups!$B$4+BU12*Groups!$B$5</f>
        <v>2388203.06327898</v>
      </c>
      <c r="BV14" s="0" t="n">
        <f aca="false">BV6*Groups!$B$2+BV8*Groups!$B$3+BV10*Groups!$B$4+BV12*Groups!$B$5</f>
        <v>2400439.99506944</v>
      </c>
      <c r="BW14" s="0" t="n">
        <f aca="false">BW6*Groups!$B$2+BW8*Groups!$B$3+BW10*Groups!$B$4+BW12*Groups!$B$5</f>
        <v>2412696.97711102</v>
      </c>
      <c r="BX14" s="0" t="n">
        <f aca="false">BX6*Groups!$B$2+BX8*Groups!$B$3+BX10*Groups!$B$4+BX12*Groups!$B$5</f>
        <v>2424974.10923393</v>
      </c>
      <c r="BY14" s="0" t="n">
        <f aca="false">BY6*Groups!$B$2+BY8*Groups!$B$3+BY10*Groups!$B$4+BY12*Groups!$B$5</f>
        <v>2437271.49143648</v>
      </c>
      <c r="BZ14" s="0" t="n">
        <f aca="false">BZ6*Groups!$B$2+BZ8*Groups!$B$3+BZ10*Groups!$B$4+BZ12*Groups!$B$5</f>
        <v>2449589.22388594</v>
      </c>
      <c r="CA14" s="0" t="n">
        <f aca="false">CA6*Groups!$B$2+CA8*Groups!$B$3+CA10*Groups!$B$4+CA12*Groups!$B$5</f>
        <v>2461927.40691937</v>
      </c>
      <c r="CB14" s="0" t="n">
        <f aca="false">CB6*Groups!$B$2+CB8*Groups!$B$3+CB10*Groups!$B$4+CB12*Groups!$B$5</f>
        <v>2474286.14104439</v>
      </c>
      <c r="CC14" s="0" t="n">
        <f aca="false">CC6*Groups!$B$2+CC8*Groups!$B$3+CC10*Groups!$B$4+CC12*Groups!$B$5</f>
        <v>2486665.52694001</v>
      </c>
      <c r="CD14" s="0" t="n">
        <f aca="false">CD6*Groups!$B$2+CD8*Groups!$B$3+CD10*Groups!$B$4+CD12*Groups!$B$5</f>
        <v>2499065.66545749</v>
      </c>
      <c r="CE14" s="0" t="n">
        <f aca="false">CE6*Groups!$B$2+CE8*Groups!$B$3+CE10*Groups!$B$4+CE12*Groups!$B$5</f>
        <v>2511200.45897107</v>
      </c>
      <c r="CF14" s="0" t="n">
        <f aca="false">CF6*Groups!$B$2+CF8*Groups!$B$3+CF10*Groups!$B$4+CF12*Groups!$B$5</f>
        <v>2523200.8366873</v>
      </c>
      <c r="CG14" s="0" t="n">
        <f aca="false">CG6*Groups!$B$2+CG8*Groups!$B$3+CG10*Groups!$B$4+CG12*Groups!$B$5</f>
        <v>2535222.23823728</v>
      </c>
      <c r="CH14" s="0" t="n">
        <f aca="false">CH6*Groups!$B$2+CH8*Groups!$B$3+CH10*Groups!$B$4+CH12*Groups!$B$5</f>
        <v>2547264.76161409</v>
      </c>
      <c r="CI14" s="0" t="n">
        <f aca="false">CI6*Groups!$B$2+CI8*Groups!$B$3+CI10*Groups!$B$4+CI12*Groups!$B$5</f>
        <v>2559328.50498665</v>
      </c>
      <c r="CJ14" s="0" t="n">
        <f aca="false">CJ6*Groups!$B$2+CJ8*Groups!$B$3+CJ10*Groups!$B$4+CJ12*Groups!$B$5</f>
        <v>2571413.56670053</v>
      </c>
      <c r="CK14" s="0" t="n">
        <f aca="false">CK6*Groups!$B$2+CK8*Groups!$B$3+CK10*Groups!$B$4+CK12*Groups!$B$5</f>
        <v>2583520.04527875</v>
      </c>
      <c r="CL14" s="0" t="n">
        <f aca="false">CL6*Groups!$B$2+CL8*Groups!$B$3+CL10*Groups!$B$4+CL12*Groups!$B$5</f>
        <v>2595648.03942258</v>
      </c>
      <c r="CM14" s="0" t="n">
        <f aca="false">CM6*Groups!$B$2+CM8*Groups!$B$3+CM10*Groups!$B$4+CM12*Groups!$B$5</f>
        <v>2607797.64801234</v>
      </c>
      <c r="CN14" s="0" t="n">
        <f aca="false">CN6*Groups!$B$2+CN8*Groups!$B$3+CN10*Groups!$B$4+CN12*Groups!$B$5</f>
        <v>2619968.97010821</v>
      </c>
      <c r="CO14" s="0" t="n">
        <f aca="false">CO6*Groups!$B$2+CO8*Groups!$B$3+CO10*Groups!$B$4+CO12*Groups!$B$5</f>
        <v>2632162.10495104</v>
      </c>
      <c r="CP14" s="0" t="n">
        <f aca="false">CP6*Groups!$B$2+CP8*Groups!$B$3+CP10*Groups!$B$4+CP12*Groups!$B$5</f>
        <v>2644377.15196316</v>
      </c>
      <c r="CQ14" s="0" t="n">
        <f aca="false">CQ6*Groups!$B$2+CQ8*Groups!$B$3+CQ10*Groups!$B$4+CQ12*Groups!$B$5</f>
        <v>2656614.21074918</v>
      </c>
      <c r="CR14" s="0" t="n">
        <f aca="false">CR6*Groups!$B$2+CR8*Groups!$B$3+CR10*Groups!$B$4+CR12*Groups!$B$5</f>
        <v>2668873.38109682</v>
      </c>
      <c r="CS14" s="0" t="n">
        <f aca="false">CS6*Groups!$B$2+CS8*Groups!$B$3+CS10*Groups!$B$4+CS12*Groups!$B$5</f>
        <v>2681154.76297771</v>
      </c>
      <c r="CT14" s="0" t="n">
        <f aca="false">CT6*Groups!$B$2+CT8*Groups!$B$3+CT10*Groups!$B$4+CT12*Groups!$B$5</f>
        <v>2693458.45654823</v>
      </c>
      <c r="CU14" s="0" t="n">
        <f aca="false">CU6*Groups!$B$2+CU8*Groups!$B$3+CU10*Groups!$B$4+CU12*Groups!$B$5</f>
        <v>2705784.56215028</v>
      </c>
      <c r="CV14" s="0" t="n">
        <f aca="false">CV6*Groups!$B$2+CV8*Groups!$B$3+CV10*Groups!$B$4+CV12*Groups!$B$5</f>
        <v>2718133.18031214</v>
      </c>
      <c r="CW14" s="0" t="n">
        <f aca="false">CW6*Groups!$B$2+CW8*Groups!$B$3+CW10*Groups!$B$4+CW12*Groups!$B$5</f>
        <v>2730504.41174926</v>
      </c>
      <c r="CX14" s="0" t="n">
        <f aca="false">CX6*Groups!$B$2+CX8*Groups!$B$3+CX10*Groups!$B$4+CX12*Groups!$B$5</f>
        <v>2742898.35736514</v>
      </c>
      <c r="CY14" s="0" t="n">
        <f aca="false">CY6*Groups!$B$2+CY8*Groups!$B$3+CY10*Groups!$B$4+CY12*Groups!$B$5</f>
        <v>2755315.11825206</v>
      </c>
      <c r="CZ14" s="0" t="n">
        <f aca="false">CZ6*Groups!$B$2+CZ8*Groups!$B$3+CZ10*Groups!$B$4+CZ12*Groups!$B$5</f>
        <v>2767754.79569199</v>
      </c>
      <c r="DA14" s="0" t="n">
        <f aca="false">DA6*Groups!$B$2+DA8*Groups!$B$3+DA10*Groups!$B$4+DA12*Groups!$B$5</f>
        <v>2780217.49115736</v>
      </c>
      <c r="DB14" s="0" t="n">
        <f aca="false">DB6*Groups!$B$2+DB8*Groups!$B$3+DB10*Groups!$B$4+DB12*Groups!$B$5</f>
        <v>2792703.30631194</v>
      </c>
      <c r="DC14" s="0" t="n">
        <f aca="false">DC6*Groups!$B$2+DC8*Groups!$B$3+DC10*Groups!$B$4+DC12*Groups!$B$5</f>
        <v>2805212.34301161</v>
      </c>
      <c r="DD14" s="0" t="n">
        <f aca="false">DD6*Groups!$B$2+DD8*Groups!$B$3+DD10*Groups!$B$4+DD12*Groups!$B$5</f>
        <v>2817744.70330524</v>
      </c>
      <c r="DE14" s="0" t="n">
        <f aca="false">DE6*Groups!$B$2+DE8*Groups!$B$3+DE10*Groups!$B$4+DE12*Groups!$B$5</f>
        <v>2830300.48943548</v>
      </c>
      <c r="DF14" s="0" t="n">
        <f aca="false">DF6*Groups!$B$2+DF8*Groups!$B$3+DF10*Groups!$B$4+DF12*Groups!$B$5</f>
        <v>2842879.80383966</v>
      </c>
      <c r="DG14" s="0" t="n">
        <f aca="false">DG6*Groups!$B$2+DG8*Groups!$B$3+DG10*Groups!$B$4+DG12*Groups!$B$5</f>
        <v>2855482.74915053</v>
      </c>
      <c r="DH14" s="0" t="n">
        <f aca="false">DH6*Groups!$B$2+DH8*Groups!$B$3+DH10*Groups!$B$4+DH12*Groups!$B$5</f>
        <v>2868109.4281972</v>
      </c>
      <c r="DI14" s="0" t="n">
        <f aca="false">DI6*Groups!$B$2+DI8*Groups!$B$3+DI10*Groups!$B$4+DI12*Groups!$B$5</f>
        <v>2880759.9440059</v>
      </c>
      <c r="DJ14" s="0" t="n">
        <f aca="false">DJ6*Groups!$B$2+DJ8*Groups!$B$3+DJ10*Groups!$B$4+DJ12*Groups!$B$5</f>
        <v>2893434.39980087</v>
      </c>
      <c r="DK14" s="0" t="n">
        <f aca="false">DK6*Groups!$B$2+DK8*Groups!$B$3+DK10*Groups!$B$4+DK12*Groups!$B$5</f>
        <v>2906132.89900517</v>
      </c>
      <c r="DL14" s="0" t="n">
        <f aca="false">DL6*Groups!$B$2+DL8*Groups!$B$3+DL10*Groups!$B$4+DL12*Groups!$B$5</f>
        <v>2918855.54524155</v>
      </c>
      <c r="DM14" s="0" t="n">
        <f aca="false">DM6*Groups!$B$2+DM8*Groups!$B$3+DM10*Groups!$B$4+DM12*Groups!$B$5</f>
        <v>2931602.44233327</v>
      </c>
      <c r="DN14" s="0" t="n">
        <f aca="false">DN6*Groups!$B$2+DN8*Groups!$B$3+DN10*Groups!$B$4+DN12*Groups!$B$5</f>
        <v>2944373.69430498</v>
      </c>
      <c r="DO14" s="0" t="n">
        <f aca="false">DO6*Groups!$B$2+DO8*Groups!$B$3+DO10*Groups!$B$4+DO12*Groups!$B$5</f>
        <v>2957169.40538353</v>
      </c>
      <c r="DP14" s="0" t="n">
        <f aca="false">DP6*Groups!$B$2+DP8*Groups!$B$3+DP10*Groups!$B$4+DP12*Groups!$B$5</f>
        <v>2969989.67999885</v>
      </c>
      <c r="DQ14" s="0" t="n">
        <f aca="false">DQ6*Groups!$B$2+DQ8*Groups!$B$3+DQ10*Groups!$B$4+DQ12*Groups!$B$5</f>
        <v>2982834.62278481</v>
      </c>
      <c r="DR14" s="0" t="n">
        <f aca="false">DR6*Groups!$B$2+DR8*Groups!$B$3+DR10*Groups!$B$4+DR12*Groups!$B$5</f>
        <v>2995704.33858003</v>
      </c>
      <c r="DS14" s="0" t="n">
        <f aca="false">DS6*Groups!$B$2+DS8*Groups!$B$3+DS10*Groups!$B$4+DS12*Groups!$B$5</f>
        <v>3008598.93242879</v>
      </c>
      <c r="DT14" s="0" t="n">
        <f aca="false">DT6*Groups!$B$2+DT8*Groups!$B$3+DT10*Groups!$B$4+DT12*Groups!$B$5</f>
        <v>3021518.50958183</v>
      </c>
      <c r="DU14" s="0" t="n">
        <f aca="false">DU6*Groups!$B$2+DU8*Groups!$B$3+DU10*Groups!$B$4+DU12*Groups!$B$5</f>
        <v>3034463.17549728</v>
      </c>
      <c r="DV14" s="0" t="n">
        <f aca="false">DV6*Groups!$B$2+DV8*Groups!$B$3+DV10*Groups!$B$4+DV12*Groups!$B$5</f>
        <v>3047433.03584145</v>
      </c>
      <c r="DW14" s="0" t="n">
        <f aca="false">DW6*Groups!$B$2+DW8*Groups!$B$3+DW10*Groups!$B$4+DW12*Groups!$B$5</f>
        <v>3060428.19648975</v>
      </c>
      <c r="DX14" s="0" t="n">
        <f aca="false">DX6*Groups!$B$2+DX8*Groups!$B$3+DX10*Groups!$B$4+DX12*Groups!$B$5</f>
        <v>3073448.7635275</v>
      </c>
      <c r="DY14" s="0" t="n">
        <f aca="false">DY6*Groups!$B$2+DY8*Groups!$B$3+DY10*Groups!$B$4+DY12*Groups!$B$5</f>
        <v>3086494.84325084</v>
      </c>
      <c r="DZ14" s="0" t="n">
        <f aca="false">DZ6*Groups!$B$2+DZ8*Groups!$B$3+DZ10*Groups!$B$4+DZ12*Groups!$B$5</f>
        <v>3099566.5421676</v>
      </c>
      <c r="EA14" s="0" t="n">
        <f aca="false">EA6*Groups!$B$2+EA8*Groups!$B$3+EA10*Groups!$B$4+EA12*Groups!$B$5</f>
        <v>3112663.96699812</v>
      </c>
      <c r="EB14" s="0" t="n">
        <f aca="false">EB6*Groups!$B$2+EB8*Groups!$B$3+EB10*Groups!$B$4+EB12*Groups!$B$5</f>
        <v>3125787.22467619</v>
      </c>
      <c r="EC14" s="0" t="n">
        <f aca="false">EC6*Groups!$B$2+EC8*Groups!$B$3+EC10*Groups!$B$4+EC12*Groups!$B$5</f>
        <v>3138936.42234985</v>
      </c>
      <c r="ED14" s="0" t="n">
        <f aca="false">ED6*Groups!$B$2+ED8*Groups!$B$3+ED10*Groups!$B$4+ED12*Groups!$B$5</f>
        <v>3152111.66738234</v>
      </c>
      <c r="EE14" s="0" t="n">
        <f aca="false">EE6*Groups!$B$2+EE8*Groups!$B$3+EE10*Groups!$B$4+EE12*Groups!$B$5</f>
        <v>3165313.06735291</v>
      </c>
      <c r="EF14" s="0" t="n">
        <f aca="false">EF6*Groups!$B$2+EF8*Groups!$B$3+EF10*Groups!$B$4+EF12*Groups!$B$5</f>
        <v>3178540.73005774</v>
      </c>
      <c r="EG14" s="0" t="n">
        <f aca="false">EG6*Groups!$B$2+EG8*Groups!$B$3+EG10*Groups!$B$4+EG12*Groups!$B$5</f>
        <v>3191794.76351082</v>
      </c>
      <c r="EH14" s="0" t="n">
        <f aca="false">EH6*Groups!$B$2+EH8*Groups!$B$3+EH10*Groups!$B$4+EH12*Groups!$B$5</f>
        <v>3205075.2759448</v>
      </c>
      <c r="EI14" s="0" t="n">
        <f aca="false">EI6*Groups!$B$2+EI8*Groups!$B$3+EI10*Groups!$B$4+EI12*Groups!$B$5</f>
        <v>3218382.37581191</v>
      </c>
      <c r="EJ14" s="0" t="n">
        <f aca="false">EJ6*Groups!$B$2+EJ8*Groups!$B$3+EJ10*Groups!$B$4+EJ12*Groups!$B$5</f>
        <v>3231716.17178483</v>
      </c>
      <c r="EK14" s="0" t="n">
        <f aca="false">EK6*Groups!$B$2+EK8*Groups!$B$3+EK10*Groups!$B$4+EK12*Groups!$B$5</f>
        <v>3245076.77275756</v>
      </c>
      <c r="EL14" s="0" t="n">
        <f aca="false">EL6*Groups!$B$2+EL8*Groups!$B$3+EL10*Groups!$B$4+EL12*Groups!$B$5</f>
        <v>3258464.28784635</v>
      </c>
      <c r="EM14" s="0" t="n">
        <f aca="false">EM6*Groups!$B$2+EM8*Groups!$B$3+EM10*Groups!$B$4+EM12*Groups!$B$5</f>
        <v>3271878.82639057</v>
      </c>
      <c r="EN14" s="0" t="n">
        <f aca="false">EN6*Groups!$B$2+EN8*Groups!$B$3+EN10*Groups!$B$4+EN12*Groups!$B$5</f>
        <v>3285320.49795358</v>
      </c>
      <c r="EO14" s="0" t="n">
        <f aca="false">EO6*Groups!$B$2+EO8*Groups!$B$3+EO10*Groups!$B$4+EO12*Groups!$B$5</f>
        <v>3298789.41232367</v>
      </c>
      <c r="EP14" s="0" t="n">
        <f aca="false">EP6*Groups!$B$2+EP8*Groups!$B$3+EP10*Groups!$B$4+EP12*Groups!$B$5</f>
        <v>3312285.67951492</v>
      </c>
      <c r="EQ14" s="0" t="n">
        <f aca="false">EQ6*Groups!$B$2+EQ8*Groups!$B$3+EQ10*Groups!$B$4+EQ12*Groups!$B$5</f>
        <v>3325809.40976813</v>
      </c>
      <c r="ER14" s="0" t="n">
        <f aca="false">ER6*Groups!$B$2+ER8*Groups!$B$3+ER10*Groups!$B$4+ER12*Groups!$B$5</f>
        <v>3339360.71355168</v>
      </c>
      <c r="ES14" s="0" t="n">
        <f aca="false">ES6*Groups!$B$2+ES8*Groups!$B$3+ES10*Groups!$B$4+ES12*Groups!$B$5</f>
        <v>3352939.70156247</v>
      </c>
      <c r="ET14" s="0" t="n">
        <f aca="false">ET6*Groups!$B$2+ET8*Groups!$B$3+ET10*Groups!$B$4+ET12*Groups!$B$5</f>
        <v>3366546.48472683</v>
      </c>
      <c r="EU14" s="0" t="n">
        <f aca="false">EU6*Groups!$B$2+EU8*Groups!$B$3+EU10*Groups!$B$4+EU12*Groups!$B$5</f>
        <v>3379966.69033258</v>
      </c>
      <c r="EV14" s="0" t="n">
        <f aca="false">EV6*Groups!$B$2+EV8*Groups!$B$3+EV10*Groups!$B$4+EV12*Groups!$B$5</f>
        <v>3392887.61608245</v>
      </c>
      <c r="EW14" s="0" t="n">
        <f aca="false">EW6*Groups!$B$2+EW8*Groups!$B$3+EW10*Groups!$B$4+EW12*Groups!$B$5</f>
        <v>3405836.61889296</v>
      </c>
      <c r="EX14" s="0" t="n">
        <f aca="false">EX6*Groups!$B$2+EX8*Groups!$B$3+EX10*Groups!$B$4+EX12*Groups!$B$5</f>
        <v>3418813.80464485</v>
      </c>
      <c r="EY14" s="0" t="n">
        <f aca="false">EY6*Groups!$B$2+EY8*Groups!$B$3+EY10*Groups!$B$4+EY12*Groups!$B$5</f>
        <v>3431819.279452</v>
      </c>
      <c r="EZ14" s="0" t="n">
        <f aca="false">EZ6*Groups!$B$2+EZ8*Groups!$B$3+EZ10*Groups!$B$4+EZ12*Groups!$B$5</f>
        <v>3444853.1496623</v>
      </c>
      <c r="FA14" s="0" t="n">
        <f aca="false">FA6*Groups!$B$2+FA8*Groups!$B$3+FA10*Groups!$B$4+FA12*Groups!$B$5</f>
        <v>3457915.52185848</v>
      </c>
      <c r="FB14" s="0" t="n">
        <f aca="false">FB6*Groups!$B$2+FB8*Groups!$B$3+FB10*Groups!$B$4+FB12*Groups!$B$5</f>
        <v>3471006.50285904</v>
      </c>
      <c r="FC14" s="0" t="n">
        <f aca="false">FC6*Groups!$B$2+FC8*Groups!$B$3+FC10*Groups!$B$4+FC12*Groups!$B$5</f>
        <v>3484126.1997191</v>
      </c>
      <c r="FD14" s="0" t="n">
        <f aca="false">FD6*Groups!$B$2+FD8*Groups!$B$3+FD10*Groups!$B$4+FD12*Groups!$B$5</f>
        <v>3497274.71973127</v>
      </c>
      <c r="FE14" s="0" t="n">
        <f aca="false">FE6*Groups!$B$2+FE8*Groups!$B$3+FE10*Groups!$B$4+FE12*Groups!$B$5</f>
        <v>3510452.17042651</v>
      </c>
      <c r="FF14" s="0" t="n">
        <f aca="false">FF6*Groups!$B$2+FF8*Groups!$B$3+FF10*Groups!$B$4+FF12*Groups!$B$5</f>
        <v>3523658.65957506</v>
      </c>
      <c r="FG14" s="0" t="n">
        <f aca="false">FG6*Groups!$B$2+FG8*Groups!$B$3+FG10*Groups!$B$4+FG12*Groups!$B$5</f>
        <v>3536894.29518728</v>
      </c>
      <c r="FH14" s="0" t="n">
        <f aca="false">FH6*Groups!$B$2+FH8*Groups!$B$3+FH10*Groups!$B$4+FH12*Groups!$B$5</f>
        <v>3550159.18551453</v>
      </c>
      <c r="FI14" s="0" t="n">
        <f aca="false">FI6*Groups!$B$2+FI8*Groups!$B$3+FI10*Groups!$B$4+FI12*Groups!$B$5</f>
        <v>3563453.43905009</v>
      </c>
      <c r="FJ14" s="0" t="n">
        <f aca="false">FJ6*Groups!$B$2+FJ8*Groups!$B$3+FJ10*Groups!$B$4+FJ12*Groups!$B$5</f>
        <v>3576777.16453004</v>
      </c>
      <c r="FK14" s="0" t="n">
        <f aca="false">FK6*Groups!$B$2+FK8*Groups!$B$3+FK10*Groups!$B$4+FK12*Groups!$B$5</f>
        <v>3590130.4709341</v>
      </c>
      <c r="FL14" s="0" t="n">
        <f aca="false">FL6*Groups!$B$2+FL8*Groups!$B$3+FL10*Groups!$B$4+FL12*Groups!$B$5</f>
        <v>3603513.46748659</v>
      </c>
      <c r="FM14" s="0" t="n">
        <f aca="false">FM6*Groups!$B$2+FM8*Groups!$B$3+FM10*Groups!$B$4+FM12*Groups!$B$5</f>
        <v>3616926.26365729</v>
      </c>
      <c r="FN14" s="0" t="n">
        <f aca="false">FN6*Groups!$B$2+FN8*Groups!$B$3+FN10*Groups!$B$4+FN12*Groups!$B$5</f>
        <v>3630368.96916232</v>
      </c>
      <c r="FO14" s="0" t="n">
        <f aca="false">FO6*Groups!$B$2+FO8*Groups!$B$3+FO10*Groups!$B$4+FO12*Groups!$B$5</f>
        <v>3643841.69396508</v>
      </c>
      <c r="FP14" s="0" t="n">
        <f aca="false">FP6*Groups!$B$2+FP8*Groups!$B$3+FP10*Groups!$B$4+FP12*Groups!$B$5</f>
        <v>3657344.54827711</v>
      </c>
      <c r="FQ14" s="0" t="n">
        <f aca="false">FQ6*Groups!$B$2+FQ8*Groups!$B$3+FQ10*Groups!$B$4+FQ12*Groups!$B$5</f>
        <v>3670877.64255902</v>
      </c>
      <c r="FR14" s="0" t="n">
        <f aca="false">FR6*Groups!$B$2+FR8*Groups!$B$3+FR10*Groups!$B$4+FR12*Groups!$B$5</f>
        <v>3684441.08752137</v>
      </c>
      <c r="FS14" s="0" t="n">
        <f aca="false">FS6*Groups!$B$2+FS8*Groups!$B$3+FS10*Groups!$B$4+FS12*Groups!$B$5</f>
        <v>3698034.99412559</v>
      </c>
      <c r="FT14" s="0" t="n">
        <f aca="false">FT6*Groups!$B$2+FT8*Groups!$B$3+FT10*Groups!$B$4+FT12*Groups!$B$5</f>
        <v>3711659.47358488</v>
      </c>
      <c r="FU14" s="0" t="n">
        <f aca="false">FU6*Groups!$B$2+FU8*Groups!$B$3+FU10*Groups!$B$4+FU12*Groups!$B$5</f>
        <v>3725314.63736516</v>
      </c>
      <c r="FV14" s="0" t="n">
        <f aca="false">FV6*Groups!$B$2+FV8*Groups!$B$3+FV10*Groups!$B$4+FV12*Groups!$B$5</f>
        <v>3739000.59718589</v>
      </c>
      <c r="FW14" s="0" t="n">
        <f aca="false">FW6*Groups!$B$2+FW8*Groups!$B$3+FW10*Groups!$B$4+FW12*Groups!$B$5</f>
        <v>3752717.46502109</v>
      </c>
      <c r="FX14" s="0" t="n">
        <f aca="false">FX6*Groups!$B$2+FX8*Groups!$B$3+FX10*Groups!$B$4+FX12*Groups!$B$5</f>
        <v>3766465.35310018</v>
      </c>
      <c r="FY14" s="0" t="n">
        <f aca="false">FY6*Groups!$B$2+FY8*Groups!$B$3+FY10*Groups!$B$4+FY12*Groups!$B$5</f>
        <v>3780244.37390894</v>
      </c>
      <c r="FZ14" s="0" t="n">
        <f aca="false">FZ6*Groups!$B$2+FZ8*Groups!$B$3+FZ10*Groups!$B$4+FZ12*Groups!$B$5</f>
        <v>3794054.64019041</v>
      </c>
    </row>
    <row r="15" customFormat="false" ht="15" hidden="false" customHeight="false" outlineLevel="0" collapsed="false">
      <c r="A15" s="0" t="s">
        <v>36</v>
      </c>
      <c r="B15" s="0" t="n">
        <f aca="false">B7+B9+B11+B13</f>
        <v>0</v>
      </c>
      <c r="C15" s="0" t="n">
        <f aca="false">C7+C9+C11+C13</f>
        <v>0</v>
      </c>
      <c r="D15" s="0" t="n">
        <f aca="false">D7+D9+D11+D13</f>
        <v>0</v>
      </c>
      <c r="E15" s="0" t="n">
        <f aca="false">E7+E9+E11+E13</f>
        <v>0</v>
      </c>
      <c r="F15" s="0" t="n">
        <f aca="false">F7+F9+F11+F13</f>
        <v>0</v>
      </c>
      <c r="G15" s="0" t="n">
        <f aca="false">G7+G9+G11+G13</f>
        <v>0</v>
      </c>
      <c r="H15" s="0" t="n">
        <f aca="false">H7+H9+H11+H13</f>
        <v>0</v>
      </c>
      <c r="I15" s="0" t="n">
        <f aca="false">I7+I9+I11+I13</f>
        <v>0</v>
      </c>
      <c r="J15" s="0" t="n">
        <f aca="false">J7+J9+J11+J13</f>
        <v>0</v>
      </c>
      <c r="K15" s="0" t="n">
        <f aca="false">K7+K9+K11+K13</f>
        <v>0</v>
      </c>
      <c r="L15" s="0" t="n">
        <f aca="false">L7+L9+L11+L13</f>
        <v>0</v>
      </c>
      <c r="M15" s="0" t="n">
        <f aca="false">M7+M9+M11+M13</f>
        <v>0</v>
      </c>
      <c r="N15" s="0" t="n">
        <f aca="false">N7+N9+N11+N13</f>
        <v>0</v>
      </c>
      <c r="O15" s="0" t="n">
        <f aca="false">O7+O9+O11+O13</f>
        <v>0</v>
      </c>
      <c r="P15" s="0" t="n">
        <f aca="false">P7+P9+P11+P13</f>
        <v>15960000</v>
      </c>
      <c r="Q15" s="0" t="n">
        <f aca="false">Q7+Q9+Q11+Q13</f>
        <v>0</v>
      </c>
      <c r="R15" s="0" t="n">
        <f aca="false">R7+R9+R11+R13</f>
        <v>0</v>
      </c>
      <c r="S15" s="0" t="n">
        <f aca="false">S7+S9+S11+S13</f>
        <v>0</v>
      </c>
      <c r="T15" s="0" t="n">
        <f aca="false">T7+T9+T11+T13</f>
        <v>0</v>
      </c>
      <c r="U15" s="0" t="n">
        <f aca="false">U7+U9+U11+U13</f>
        <v>0</v>
      </c>
      <c r="V15" s="0" t="n">
        <f aca="false">V7+V9+V11+V13</f>
        <v>0</v>
      </c>
      <c r="W15" s="0" t="n">
        <f aca="false">W7+W9+W11+W13</f>
        <v>0</v>
      </c>
      <c r="X15" s="0" t="n">
        <f aca="false">X7+X9+X11+X13</f>
        <v>0</v>
      </c>
      <c r="Y15" s="0" t="n">
        <f aca="false">Y7+Y9+Y11+Y13</f>
        <v>0</v>
      </c>
      <c r="Z15" s="0" t="n">
        <f aca="false">Z7+Z9+Z11+Z13</f>
        <v>0</v>
      </c>
      <c r="AA15" s="0" t="n">
        <f aca="false">AA7+AA9+AA11+AA13</f>
        <v>0</v>
      </c>
      <c r="AB15" s="0" t="n">
        <f aca="false">AB7+AB9+AB11+AB13</f>
        <v>0</v>
      </c>
      <c r="AC15" s="0" t="n">
        <f aca="false">AC7+AC9+AC11+AC13</f>
        <v>0</v>
      </c>
      <c r="AD15" s="0" t="n">
        <f aca="false">AD7+AD9+AD11+AD13</f>
        <v>0</v>
      </c>
      <c r="AE15" s="0" t="n">
        <f aca="false">AE7+AE9+AE11+AE13</f>
        <v>0</v>
      </c>
      <c r="AF15" s="0" t="n">
        <f aca="false">AF7+AF9+AF11+AF13</f>
        <v>21840000</v>
      </c>
      <c r="AG15" s="0" t="n">
        <f aca="false">AG7+AG9+AG11+AG13</f>
        <v>0</v>
      </c>
      <c r="AH15" s="0" t="n">
        <f aca="false">AH7+AH9+AH11+AH13</f>
        <v>0</v>
      </c>
      <c r="AI15" s="0" t="n">
        <f aca="false">AI7+AI9+AI11+AI13</f>
        <v>0</v>
      </c>
      <c r="AJ15" s="0" t="n">
        <f aca="false">AJ7+AJ9+AJ11+AJ13</f>
        <v>0</v>
      </c>
      <c r="AK15" s="0" t="n">
        <f aca="false">AK7+AK9+AK11+AK13</f>
        <v>0</v>
      </c>
      <c r="AL15" s="0" t="n">
        <f aca="false">AL7+AL9+AL11+AL13</f>
        <v>0</v>
      </c>
      <c r="AM15" s="0" t="n">
        <f aca="false">AM7+AM9+AM11+AM13</f>
        <v>0</v>
      </c>
      <c r="AN15" s="0" t="n">
        <f aca="false">AN7+AN9+AN11+AN13</f>
        <v>0</v>
      </c>
      <c r="AO15" s="0" t="n">
        <f aca="false">AO7+AO9+AO11+AO13</f>
        <v>0</v>
      </c>
      <c r="AP15" s="0" t="n">
        <f aca="false">AP7+AP9+AP11+AP13</f>
        <v>0</v>
      </c>
      <c r="AQ15" s="0" t="n">
        <f aca="false">AQ7+AQ9+AQ11+AQ13</f>
        <v>0</v>
      </c>
      <c r="AR15" s="0" t="n">
        <f aca="false">AR7+AR9+AR11+AR13</f>
        <v>0</v>
      </c>
      <c r="AS15" s="0" t="n">
        <f aca="false">AS7+AS9+AS11+AS13</f>
        <v>0</v>
      </c>
      <c r="AT15" s="0" t="n">
        <f aca="false">AT7+AT9+AT11+AT13</f>
        <v>0</v>
      </c>
      <c r="AU15" s="0" t="n">
        <f aca="false">AU7+AU9+AU11+AU13</f>
        <v>0</v>
      </c>
      <c r="AV15" s="0" t="n">
        <f aca="false">AV7+AV9+AV11+AV13</f>
        <v>0</v>
      </c>
      <c r="AW15" s="0" t="n">
        <f aca="false">AW7+AW9+AW11+AW13</f>
        <v>0</v>
      </c>
      <c r="AX15" s="0" t="n">
        <f aca="false">AX7+AX9+AX11+AX13</f>
        <v>12180000</v>
      </c>
      <c r="AY15" s="0" t="n">
        <f aca="false">AY7+AY9+AY11+AY13</f>
        <v>0</v>
      </c>
      <c r="AZ15" s="0" t="n">
        <f aca="false">AZ7+AZ9+AZ11+AZ13</f>
        <v>0</v>
      </c>
      <c r="BA15" s="0" t="n">
        <f aca="false">BA7+BA9+BA11+BA13</f>
        <v>0</v>
      </c>
      <c r="BB15" s="0" t="n">
        <f aca="false">BB7+BB9+BB11+BB13</f>
        <v>0</v>
      </c>
      <c r="BC15" s="0" t="n">
        <f aca="false">BC7+BC9+BC11+BC13</f>
        <v>0</v>
      </c>
      <c r="BD15" s="0" t="n">
        <f aca="false">BD7+BD9+BD11+BD13</f>
        <v>0</v>
      </c>
      <c r="BE15" s="0" t="n">
        <f aca="false">BE7+BE9+BE11+BE13</f>
        <v>0</v>
      </c>
      <c r="BF15" s="0" t="n">
        <f aca="false">BF7+BF9+BF11+BF13</f>
        <v>0</v>
      </c>
      <c r="BG15" s="0" t="n">
        <f aca="false">BG7+BG9+BG11+BG13</f>
        <v>0</v>
      </c>
      <c r="BH15" s="0" t="n">
        <f aca="false">BH7+BH9+BH11+BH13</f>
        <v>0</v>
      </c>
      <c r="BI15" s="0" t="n">
        <f aca="false">BI7+BI9+BI11+BI13</f>
        <v>0</v>
      </c>
      <c r="BJ15" s="0" t="n">
        <f aca="false">BJ7+BJ9+BJ11+BJ13</f>
        <v>0</v>
      </c>
      <c r="BK15" s="0" t="n">
        <f aca="false">BK7+BK9+BK11+BK13</f>
        <v>0</v>
      </c>
      <c r="BL15" s="0" t="n">
        <f aca="false">BL7+BL9+BL11+BL13</f>
        <v>0</v>
      </c>
      <c r="BM15" s="0" t="n">
        <f aca="false">BM7+BM9+BM11+BM13</f>
        <v>0</v>
      </c>
      <c r="BN15" s="0" t="n">
        <f aca="false">BN7+BN9+BN11+BN13</f>
        <v>0</v>
      </c>
      <c r="BO15" s="0" t="n">
        <f aca="false">BO7+BO9+BO11+BO13</f>
        <v>0</v>
      </c>
      <c r="BP15" s="0" t="n">
        <f aca="false">BP7+BP9+BP11+BP13</f>
        <v>0</v>
      </c>
      <c r="BQ15" s="0" t="n">
        <f aca="false">BQ7+BQ9+BQ11+BQ13</f>
        <v>0</v>
      </c>
      <c r="BR15" s="0" t="n">
        <f aca="false">BR7+BR9+BR11+BR13</f>
        <v>0</v>
      </c>
      <c r="BS15" s="0" t="n">
        <f aca="false">BS7+BS9+BS11+BS13</f>
        <v>0</v>
      </c>
      <c r="BT15" s="0" t="n">
        <f aca="false">BT7+BT9+BT11+BT13</f>
        <v>8820000</v>
      </c>
      <c r="BU15" s="0" t="n">
        <f aca="false">BU7+BU9+BU11+BU13</f>
        <v>0</v>
      </c>
      <c r="BV15" s="0" t="n">
        <f aca="false">BV7+BV9+BV11+BV13</f>
        <v>0</v>
      </c>
      <c r="BW15" s="0" t="n">
        <f aca="false">BW7+BW9+BW11+BW13</f>
        <v>0</v>
      </c>
      <c r="BX15" s="0" t="n">
        <f aca="false">BX7+BX9+BX11+BX13</f>
        <v>0</v>
      </c>
      <c r="BY15" s="0" t="n">
        <f aca="false">BY7+BY9+BY11+BY13</f>
        <v>0</v>
      </c>
      <c r="BZ15" s="0" t="n">
        <f aca="false">BZ7+BZ9+BZ11+BZ13</f>
        <v>0</v>
      </c>
      <c r="CA15" s="0" t="n">
        <f aca="false">CA7+CA9+CA11+CA13</f>
        <v>0</v>
      </c>
      <c r="CB15" s="0" t="n">
        <f aca="false">CB7+CB9+CB11+CB13</f>
        <v>0</v>
      </c>
      <c r="CC15" s="0" t="n">
        <f aca="false">CC7+CC9+CC11+CC13</f>
        <v>0</v>
      </c>
      <c r="CD15" s="0" t="n">
        <f aca="false">CD7+CD9+CD11+CD13</f>
        <v>0</v>
      </c>
      <c r="CE15" s="0" t="n">
        <f aca="false">CE7+CE9+CE11+CE13</f>
        <v>0</v>
      </c>
      <c r="CF15" s="0" t="n">
        <f aca="false">CF7+CF9+CF11+CF13</f>
        <v>0</v>
      </c>
      <c r="CG15" s="0" t="n">
        <f aca="false">CG7+CG9+CG11+CG13</f>
        <v>0</v>
      </c>
      <c r="CH15" s="0" t="n">
        <f aca="false">CH7+CH9+CH11+CH13</f>
        <v>0</v>
      </c>
      <c r="CI15" s="0" t="n">
        <f aca="false">CI7+CI9+CI11+CI13</f>
        <v>0</v>
      </c>
      <c r="CJ15" s="0" t="n">
        <f aca="false">CJ7+CJ9+CJ11+CJ13</f>
        <v>0</v>
      </c>
      <c r="CK15" s="0" t="n">
        <f aca="false">CK7+CK9+CK11+CK13</f>
        <v>0</v>
      </c>
      <c r="CL15" s="0" t="n">
        <f aca="false">CL7+CL9+CL11+CL13</f>
        <v>0</v>
      </c>
      <c r="CM15" s="0" t="n">
        <f aca="false">CM7+CM9+CM11+CM13</f>
        <v>0</v>
      </c>
      <c r="CN15" s="0" t="n">
        <f aca="false">CN7+CN9+CN11+CN13</f>
        <v>0</v>
      </c>
      <c r="CO15" s="0" t="n">
        <f aca="false">CO7+CO9+CO11+CO13</f>
        <v>0</v>
      </c>
      <c r="CP15" s="0" t="n">
        <f aca="false">CP7+CP9+CP11+CP13</f>
        <v>0</v>
      </c>
      <c r="CQ15" s="0" t="n">
        <f aca="false">CQ7+CQ9+CQ11+CQ13</f>
        <v>0</v>
      </c>
      <c r="CR15" s="0" t="n">
        <f aca="false">CR7+CR9+CR11+CR13</f>
        <v>0</v>
      </c>
      <c r="CS15" s="0" t="n">
        <f aca="false">CS7+CS9+CS11+CS13</f>
        <v>0</v>
      </c>
      <c r="CT15" s="0" t="n">
        <f aca="false">CT7+CT9+CT11+CT13</f>
        <v>0</v>
      </c>
      <c r="CU15" s="0" t="n">
        <f aca="false">CU7+CU9+CU11+CU13</f>
        <v>0</v>
      </c>
      <c r="CV15" s="0" t="n">
        <f aca="false">CV7+CV9+CV11+CV13</f>
        <v>0</v>
      </c>
      <c r="CW15" s="0" t="n">
        <f aca="false">CW7+CW9+CW11+CW13</f>
        <v>0</v>
      </c>
      <c r="CX15" s="0" t="n">
        <f aca="false">CX7+CX9+CX11+CX13</f>
        <v>0</v>
      </c>
      <c r="CY15" s="0" t="n">
        <f aca="false">CY7+CY9+CY11+CY13</f>
        <v>0</v>
      </c>
      <c r="CZ15" s="0" t="n">
        <f aca="false">CZ7+CZ9+CZ11+CZ13</f>
        <v>0</v>
      </c>
      <c r="DA15" s="0" t="n">
        <f aca="false">DA7+DA9+DA11+DA13</f>
        <v>0</v>
      </c>
      <c r="DB15" s="0" t="n">
        <f aca="false">DB7+DB9+DB11+DB13</f>
        <v>0</v>
      </c>
      <c r="DC15" s="0" t="n">
        <f aca="false">DC7+DC9+DC11+DC13</f>
        <v>0</v>
      </c>
      <c r="DD15" s="0" t="n">
        <f aca="false">DD7+DD9+DD11+DD13</f>
        <v>0</v>
      </c>
      <c r="DE15" s="0" t="n">
        <f aca="false">DE7+DE9+DE11+DE13</f>
        <v>0</v>
      </c>
      <c r="DF15" s="0" t="n">
        <f aca="false">DF7+DF9+DF11+DF13</f>
        <v>0</v>
      </c>
      <c r="DG15" s="0" t="n">
        <f aca="false">DG7+DG9+DG11+DG13</f>
        <v>0</v>
      </c>
      <c r="DH15" s="0" t="n">
        <f aca="false">DH7+DH9+DH11+DH13</f>
        <v>15960000</v>
      </c>
      <c r="DI15" s="0" t="n">
        <f aca="false">DI7+DI9+DI11+DI13</f>
        <v>0</v>
      </c>
      <c r="DJ15" s="0" t="n">
        <f aca="false">DJ7+DJ9+DJ11+DJ13</f>
        <v>0</v>
      </c>
      <c r="DK15" s="0" t="n">
        <f aca="false">DK7+DK9+DK11+DK13</f>
        <v>0</v>
      </c>
      <c r="DL15" s="0" t="n">
        <f aca="false">DL7+DL9+DL11+DL13</f>
        <v>0</v>
      </c>
      <c r="DM15" s="0" t="n">
        <f aca="false">DM7+DM9+DM11+DM13</f>
        <v>0</v>
      </c>
      <c r="DN15" s="0" t="n">
        <f aca="false">DN7+DN9+DN11+DN13</f>
        <v>0</v>
      </c>
      <c r="DO15" s="0" t="n">
        <f aca="false">DO7+DO9+DO11+DO13</f>
        <v>0</v>
      </c>
      <c r="DP15" s="0" t="n">
        <f aca="false">DP7+DP9+DP11+DP13</f>
        <v>0</v>
      </c>
      <c r="DQ15" s="0" t="n">
        <f aca="false">DQ7+DQ9+DQ11+DQ13</f>
        <v>0</v>
      </c>
      <c r="DR15" s="0" t="n">
        <f aca="false">DR7+DR9+DR11+DR13</f>
        <v>0</v>
      </c>
      <c r="DS15" s="0" t="n">
        <f aca="false">DS7+DS9+DS11+DS13</f>
        <v>0</v>
      </c>
      <c r="DT15" s="0" t="n">
        <f aca="false">DT7+DT9+DT11+DT13</f>
        <v>0</v>
      </c>
      <c r="DU15" s="0" t="n">
        <f aca="false">DU7+DU9+DU11+DU13</f>
        <v>0</v>
      </c>
      <c r="DV15" s="0" t="n">
        <f aca="false">DV7+DV9+DV11+DV13</f>
        <v>0</v>
      </c>
      <c r="DW15" s="0" t="n">
        <f aca="false">DW7+DW9+DW11+DW13</f>
        <v>0</v>
      </c>
      <c r="DX15" s="0" t="n">
        <f aca="false">DX7+DX9+DX11+DX13</f>
        <v>21840000</v>
      </c>
      <c r="DY15" s="0" t="n">
        <f aca="false">DY7+DY9+DY11+DY13</f>
        <v>0</v>
      </c>
      <c r="DZ15" s="0" t="n">
        <f aca="false">DZ7+DZ9+DZ11+DZ13</f>
        <v>0</v>
      </c>
      <c r="EA15" s="0" t="n">
        <f aca="false">EA7+EA9+EA11+EA13</f>
        <v>0</v>
      </c>
      <c r="EB15" s="0" t="n">
        <f aca="false">EB7+EB9+EB11+EB13</f>
        <v>0</v>
      </c>
      <c r="EC15" s="0" t="n">
        <f aca="false">EC7+EC9+EC11+EC13</f>
        <v>0</v>
      </c>
      <c r="ED15" s="0" t="n">
        <f aca="false">ED7+ED9+ED11+ED13</f>
        <v>0</v>
      </c>
      <c r="EE15" s="0" t="n">
        <f aca="false">EE7+EE9+EE11+EE13</f>
        <v>0</v>
      </c>
      <c r="EF15" s="0" t="n">
        <f aca="false">EF7+EF9+EF11+EF13</f>
        <v>0</v>
      </c>
      <c r="EG15" s="0" t="n">
        <f aca="false">EG7+EG9+EG11+EG13</f>
        <v>0</v>
      </c>
      <c r="EH15" s="0" t="n">
        <f aca="false">EH7+EH9+EH11+EH13</f>
        <v>0</v>
      </c>
      <c r="EI15" s="0" t="n">
        <f aca="false">EI7+EI9+EI11+EI13</f>
        <v>0</v>
      </c>
      <c r="EJ15" s="0" t="n">
        <f aca="false">EJ7+EJ9+EJ11+EJ13</f>
        <v>0</v>
      </c>
      <c r="EK15" s="0" t="n">
        <f aca="false">EK7+EK9+EK11+EK13</f>
        <v>0</v>
      </c>
      <c r="EL15" s="0" t="n">
        <f aca="false">EL7+EL9+EL11+EL13</f>
        <v>0</v>
      </c>
      <c r="EM15" s="0" t="n">
        <f aca="false">EM7+EM9+EM11+EM13</f>
        <v>0</v>
      </c>
      <c r="EN15" s="0" t="n">
        <f aca="false">EN7+EN9+EN11+EN13</f>
        <v>0</v>
      </c>
      <c r="EO15" s="0" t="n">
        <f aca="false">EO7+EO9+EO11+EO13</f>
        <v>0</v>
      </c>
      <c r="EP15" s="0" t="n">
        <f aca="false">EP7+EP9+EP11+EP13</f>
        <v>12180000</v>
      </c>
      <c r="EQ15" s="0" t="n">
        <f aca="false">EQ7+EQ9+EQ11+EQ13</f>
        <v>0</v>
      </c>
      <c r="ER15" s="0" t="n">
        <f aca="false">ER7+ER9+ER11+ER13</f>
        <v>0</v>
      </c>
      <c r="ES15" s="0" t="n">
        <f aca="false">ES7+ES9+ES11+ES13</f>
        <v>0</v>
      </c>
      <c r="ET15" s="0" t="n">
        <f aca="false">ET7+ET9+ET11+ET13</f>
        <v>0</v>
      </c>
      <c r="EU15" s="0" t="n">
        <f aca="false">EU7+EU9+EU11+EU13</f>
        <v>0</v>
      </c>
      <c r="EV15" s="0" t="n">
        <f aca="false">EV7+EV9+EV11+EV13</f>
        <v>0</v>
      </c>
      <c r="EW15" s="0" t="n">
        <f aca="false">EW7+EW9+EW11+EW13</f>
        <v>0</v>
      </c>
      <c r="EX15" s="0" t="n">
        <f aca="false">EX7+EX9+EX11+EX13</f>
        <v>0</v>
      </c>
      <c r="EY15" s="0" t="n">
        <f aca="false">EY7+EY9+EY11+EY13</f>
        <v>0</v>
      </c>
      <c r="EZ15" s="0" t="n">
        <f aca="false">EZ7+EZ9+EZ11+EZ13</f>
        <v>0</v>
      </c>
      <c r="FA15" s="0" t="n">
        <f aca="false">FA7+FA9+FA11+FA13</f>
        <v>0</v>
      </c>
      <c r="FB15" s="0" t="n">
        <f aca="false">FB7+FB9+FB11+FB13</f>
        <v>0</v>
      </c>
      <c r="FC15" s="0" t="n">
        <f aca="false">FC7+FC9+FC11+FC13</f>
        <v>0</v>
      </c>
      <c r="FD15" s="0" t="n">
        <f aca="false">FD7+FD9+FD11+FD13</f>
        <v>0</v>
      </c>
      <c r="FE15" s="0" t="n">
        <f aca="false">FE7+FE9+FE11+FE13</f>
        <v>0</v>
      </c>
      <c r="FF15" s="0" t="n">
        <f aca="false">FF7+FF9+FF11+FF13</f>
        <v>0</v>
      </c>
      <c r="FG15" s="0" t="n">
        <f aca="false">FG7+FG9+FG11+FG13</f>
        <v>0</v>
      </c>
      <c r="FH15" s="0" t="n">
        <f aca="false">FH7+FH9+FH11+FH13</f>
        <v>0</v>
      </c>
      <c r="FI15" s="0" t="n">
        <f aca="false">FI7+FI9+FI11+FI13</f>
        <v>0</v>
      </c>
      <c r="FJ15" s="0" t="n">
        <f aca="false">FJ7+FJ9+FJ11+FJ13</f>
        <v>0</v>
      </c>
      <c r="FK15" s="0" t="n">
        <f aca="false">FK7+FK9+FK11+FK13</f>
        <v>0</v>
      </c>
      <c r="FL15" s="0" t="n">
        <f aca="false">FL7+FL9+FL11+FL13</f>
        <v>0</v>
      </c>
      <c r="FM15" s="0" t="n">
        <f aca="false">FM7+FM9+FM11+FM13</f>
        <v>0</v>
      </c>
      <c r="FN15" s="0" t="n">
        <f aca="false">FN7+FN9+FN11+FN13</f>
        <v>0</v>
      </c>
      <c r="FO15" s="0" t="n">
        <f aca="false">FO7+FO9+FO11+FO13</f>
        <v>0</v>
      </c>
      <c r="FP15" s="0" t="n">
        <f aca="false">FP7+FP9+FP11+FP13</f>
        <v>0</v>
      </c>
      <c r="FQ15" s="0" t="n">
        <f aca="false">FQ7+FQ9+FQ11+FQ13</f>
        <v>0</v>
      </c>
      <c r="FR15" s="0" t="n">
        <f aca="false">FR7+FR9+FR11+FR13</f>
        <v>0</v>
      </c>
      <c r="FS15" s="0" t="n">
        <f aca="false">FS7+FS9+FS11+FS13</f>
        <v>0</v>
      </c>
      <c r="FT15" s="0" t="n">
        <f aca="false">FT7+FT9+FT11+FT13</f>
        <v>0</v>
      </c>
      <c r="FU15" s="0" t="n">
        <f aca="false">FU7+FU9+FU11+FU13</f>
        <v>0</v>
      </c>
      <c r="FV15" s="0" t="n">
        <f aca="false">FV7+FV9+FV11+FV13</f>
        <v>0</v>
      </c>
      <c r="FW15" s="0" t="n">
        <f aca="false">FW7+FW9+FW11+FW13</f>
        <v>0</v>
      </c>
      <c r="FX15" s="0" t="n">
        <f aca="false">FX7+FX9+FX11+FX13</f>
        <v>0</v>
      </c>
      <c r="FY15" s="0" t="n">
        <f aca="false">FY7+FY9+FY11+FY13</f>
        <v>0</v>
      </c>
      <c r="FZ15" s="0" t="n">
        <f aca="false">FZ7+FZ9+FZ11+FZ13</f>
        <v>0</v>
      </c>
    </row>
    <row r="16" customFormat="false" ht="15" hidden="false" customHeight="false" outlineLevel="0" collapsed="false">
      <c r="A16" s="0" t="s">
        <v>37</v>
      </c>
      <c r="B16" s="0" t="n">
        <f aca="false">0</f>
        <v>0</v>
      </c>
      <c r="C16" s="0" t="n">
        <f aca="false">C14*(1-Inputs!$B$10)</f>
        <v>1386579.90873268</v>
      </c>
      <c r="D16" s="0" t="n">
        <f aca="false">D14*(1-Inputs!$B$10)</f>
        <v>1396323.55921279</v>
      </c>
      <c r="E16" s="0" t="n">
        <f aca="false">E14*(1-Inputs!$B$10)</f>
        <v>1406079.03054789</v>
      </c>
      <c r="F16" s="0" t="n">
        <f aca="false">F14*(1-Inputs!$B$10)</f>
        <v>1415846.4019454</v>
      </c>
      <c r="G16" s="0" t="n">
        <f aca="false">G14*(1-Inputs!$B$10)</f>
        <v>1425625.75271326</v>
      </c>
      <c r="H16" s="0" t="n">
        <f aca="false">H14*(1-Inputs!$B$10)</f>
        <v>1435417.16226059</v>
      </c>
      <c r="I16" s="0" t="n">
        <f aca="false">I14*(1-Inputs!$B$10)</f>
        <v>1445220.71009826</v>
      </c>
      <c r="J16" s="0" t="n">
        <f aca="false">J14*(1-Inputs!$B$10)</f>
        <v>1455036.47583964</v>
      </c>
      <c r="K16" s="0" t="n">
        <f aca="false">K14*(1-Inputs!$B$10)</f>
        <v>1464864.53920117</v>
      </c>
      <c r="L16" s="0" t="n">
        <f aca="false">L14*(1-Inputs!$B$10)</f>
        <v>1474704.98000302</v>
      </c>
      <c r="M16" s="0" t="n">
        <f aca="false">M14*(1-Inputs!$B$10)</f>
        <v>1484557.87816976</v>
      </c>
      <c r="N16" s="0" t="n">
        <f aca="false">N14*(1-Inputs!$B$10)</f>
        <v>1494423.31373102</v>
      </c>
      <c r="O16" s="0" t="n">
        <f aca="false">O14*(1-Inputs!$B$10)</f>
        <v>1504301.36682209</v>
      </c>
      <c r="P16" s="0" t="n">
        <f aca="false">P14*(1-Inputs!$B$10)</f>
        <v>1514192.11768462</v>
      </c>
      <c r="Q16" s="0" t="n">
        <f aca="false">Q14*(1-Inputs!$B$10)</f>
        <v>1524095.64666723</v>
      </c>
      <c r="R16" s="0" t="n">
        <f aca="false">R14*(1-Inputs!$B$10)</f>
        <v>1534012.03422622</v>
      </c>
      <c r="S16" s="0" t="n">
        <f aca="false">S14*(1-Inputs!$B$10)</f>
        <v>1543941.36092617</v>
      </c>
      <c r="T16" s="0" t="n">
        <f aca="false">T14*(1-Inputs!$B$10)</f>
        <v>1553883.70744061</v>
      </c>
      <c r="U16" s="0" t="n">
        <f aca="false">U14*(1-Inputs!$B$10)</f>
        <v>1563839.15455269</v>
      </c>
      <c r="V16" s="0" t="n">
        <f aca="false">V14*(1-Inputs!$B$10)</f>
        <v>1573807.78315582</v>
      </c>
      <c r="W16" s="0" t="n">
        <f aca="false">W14*(1-Inputs!$B$10)</f>
        <v>1583789.67425434</v>
      </c>
      <c r="X16" s="0" t="n">
        <f aca="false">X14*(1-Inputs!$B$10)</f>
        <v>1593784.90896417</v>
      </c>
      <c r="Y16" s="0" t="n">
        <f aca="false">Y14*(1-Inputs!$B$10)</f>
        <v>1603793.56851348</v>
      </c>
      <c r="Z16" s="0" t="n">
        <f aca="false">Z14*(1-Inputs!$B$10)</f>
        <v>1613815.73424332</v>
      </c>
      <c r="AA16" s="0" t="n">
        <f aca="false">AA14*(1-Inputs!$B$10)</f>
        <v>1623851.48760834</v>
      </c>
      <c r="AB16" s="0" t="n">
        <f aca="false">AB14*(1-Inputs!$B$10)</f>
        <v>1633900.91017738</v>
      </c>
      <c r="AC16" s="0" t="n">
        <f aca="false">AC14*(1-Inputs!$B$10)</f>
        <v>1643964.0836342</v>
      </c>
      <c r="AD16" s="0" t="n">
        <f aca="false">AD14*(1-Inputs!$B$10)</f>
        <v>1654041.08977808</v>
      </c>
      <c r="AE16" s="0" t="n">
        <f aca="false">AE14*(1-Inputs!$B$10)</f>
        <v>1664132.01052456</v>
      </c>
      <c r="AF16" s="0" t="n">
        <f aca="false">AF14*(1-Inputs!$B$10)</f>
        <v>1674236.92790602</v>
      </c>
      <c r="AG16" s="0" t="n">
        <f aca="false">AG14*(1-Inputs!$B$10)</f>
        <v>1684355.92407243</v>
      </c>
      <c r="AH16" s="0" t="n">
        <f aca="false">AH14*(1-Inputs!$B$10)</f>
        <v>1694489.08129195</v>
      </c>
      <c r="AI16" s="0" t="n">
        <f aca="false">AI14*(1-Inputs!$B$10)</f>
        <v>1704636.48195166</v>
      </c>
      <c r="AJ16" s="0" t="n">
        <f aca="false">AJ14*(1-Inputs!$B$10)</f>
        <v>1714798.20855817</v>
      </c>
      <c r="AK16" s="0" t="n">
        <f aca="false">AK14*(1-Inputs!$B$10)</f>
        <v>1724974.34373834</v>
      </c>
      <c r="AL16" s="0" t="n">
        <f aca="false">AL14*(1-Inputs!$B$10)</f>
        <v>1735164.97023992</v>
      </c>
      <c r="AM16" s="0" t="n">
        <f aca="false">AM14*(1-Inputs!$B$10)</f>
        <v>1745370.17093224</v>
      </c>
      <c r="AN16" s="0" t="n">
        <f aca="false">AN14*(1-Inputs!$B$10)</f>
        <v>1755590.02880688</v>
      </c>
      <c r="AO16" s="0" t="n">
        <f aca="false">AO14*(1-Inputs!$B$10)</f>
        <v>1765824.62697835</v>
      </c>
      <c r="AP16" s="0" t="n">
        <f aca="false">AP14*(1-Inputs!$B$10)</f>
        <v>1776074.04868475</v>
      </c>
      <c r="AQ16" s="0" t="n">
        <f aca="false">AQ14*(1-Inputs!$B$10)</f>
        <v>1786338.37728846</v>
      </c>
      <c r="AR16" s="0" t="n">
        <f aca="false">AR14*(1-Inputs!$B$10)</f>
        <v>1796617.69627683</v>
      </c>
      <c r="AS16" s="0" t="n">
        <f aca="false">AS14*(1-Inputs!$B$10)</f>
        <v>1806912.08926282</v>
      </c>
      <c r="AT16" s="0" t="n">
        <f aca="false">AT14*(1-Inputs!$B$10)</f>
        <v>1817221.63998572</v>
      </c>
      <c r="AU16" s="0" t="n">
        <f aca="false">AU14*(1-Inputs!$B$10)</f>
        <v>1827546.43231184</v>
      </c>
      <c r="AV16" s="0" t="n">
        <f aca="false">AV14*(1-Inputs!$B$10)</f>
        <v>1837886.55023512</v>
      </c>
      <c r="AW16" s="0" t="n">
        <f aca="false">AW14*(1-Inputs!$B$10)</f>
        <v>1848242.07787791</v>
      </c>
      <c r="AX16" s="0" t="n">
        <f aca="false">AX14*(1-Inputs!$B$10)</f>
        <v>1858613.09949158</v>
      </c>
      <c r="AY16" s="0" t="n">
        <f aca="false">AY14*(1-Inputs!$B$10)</f>
        <v>1868999.69945725</v>
      </c>
      <c r="AZ16" s="0" t="n">
        <f aca="false">AZ14*(1-Inputs!$B$10)</f>
        <v>1879401.96228643</v>
      </c>
      <c r="BA16" s="0" t="n">
        <f aca="false">BA14*(1-Inputs!$B$10)</f>
        <v>1889819.97262179</v>
      </c>
      <c r="BB16" s="0" t="n">
        <f aca="false">BB14*(1-Inputs!$B$10)</f>
        <v>1900253.81523775</v>
      </c>
      <c r="BC16" s="0" t="n">
        <f aca="false">BC14*(1-Inputs!$B$10)</f>
        <v>1910703.57504123</v>
      </c>
      <c r="BD16" s="0" t="n">
        <f aca="false">BD14*(1-Inputs!$B$10)</f>
        <v>1921169.33707235</v>
      </c>
      <c r="BE16" s="0" t="n">
        <f aca="false">BE14*(1-Inputs!$B$10)</f>
        <v>1931651.18650506</v>
      </c>
      <c r="BF16" s="0" t="n">
        <f aca="false">BF14*(1-Inputs!$B$10)</f>
        <v>1942149.20864792</v>
      </c>
      <c r="BG16" s="0" t="n">
        <f aca="false">BG14*(1-Inputs!$B$10)</f>
        <v>1952663.48894472</v>
      </c>
      <c r="BH16" s="0" t="n">
        <f aca="false">BH14*(1-Inputs!$B$10)</f>
        <v>1963194.1129752</v>
      </c>
      <c r="BI16" s="0" t="n">
        <f aca="false">BI14*(1-Inputs!$B$10)</f>
        <v>1973741.16645577</v>
      </c>
      <c r="BJ16" s="0" t="n">
        <f aca="false">BJ14*(1-Inputs!$B$10)</f>
        <v>1984304.73524017</v>
      </c>
      <c r="BK16" s="0" t="n">
        <f aca="false">BK14*(1-Inputs!$B$10)</f>
        <v>1994884.90532021</v>
      </c>
      <c r="BL16" s="0" t="n">
        <f aca="false">BL14*(1-Inputs!$B$10)</f>
        <v>2005481.76282643</v>
      </c>
      <c r="BM16" s="0" t="n">
        <f aca="false">BM14*(1-Inputs!$B$10)</f>
        <v>2016095.39402883</v>
      </c>
      <c r="BN16" s="0" t="n">
        <f aca="false">BN14*(1-Inputs!$B$10)</f>
        <v>2026725.88533754</v>
      </c>
      <c r="BO16" s="0" t="n">
        <f aca="false">BO14*(1-Inputs!$B$10)</f>
        <v>2037373.32330358</v>
      </c>
      <c r="BP16" s="0" t="n">
        <f aca="false">BP14*(1-Inputs!$B$10)</f>
        <v>2048037.79461951</v>
      </c>
      <c r="BQ16" s="0" t="n">
        <f aca="false">BQ14*(1-Inputs!$B$10)</f>
        <v>2058719.38612015</v>
      </c>
      <c r="BR16" s="0" t="n">
        <f aca="false">BR14*(1-Inputs!$B$10)</f>
        <v>2069418.18478332</v>
      </c>
      <c r="BS16" s="0" t="n">
        <f aca="false">BS14*(1-Inputs!$B$10)</f>
        <v>2080134.2777305</v>
      </c>
      <c r="BT16" s="0" t="n">
        <f aca="false">BT14*(1-Inputs!$B$10)</f>
        <v>2090867.75222756</v>
      </c>
      <c r="BU16" s="0" t="n">
        <f aca="false">BU14*(1-Inputs!$B$10)</f>
        <v>2101618.6956855</v>
      </c>
      <c r="BV16" s="0" t="n">
        <f aca="false">BV14*(1-Inputs!$B$10)</f>
        <v>2112387.1956611</v>
      </c>
      <c r="BW16" s="0" t="n">
        <f aca="false">BW14*(1-Inputs!$B$10)</f>
        <v>2123173.3398577</v>
      </c>
      <c r="BX16" s="0" t="n">
        <f aca="false">BX14*(1-Inputs!$B$10)</f>
        <v>2133977.21612585</v>
      </c>
      <c r="BY16" s="0" t="n">
        <f aca="false">BY14*(1-Inputs!$B$10)</f>
        <v>2144798.9124641</v>
      </c>
      <c r="BZ16" s="0" t="n">
        <f aca="false">BZ14*(1-Inputs!$B$10)</f>
        <v>2155638.51701963</v>
      </c>
      <c r="CA16" s="0" t="n">
        <f aca="false">CA14*(1-Inputs!$B$10)</f>
        <v>2166496.11808905</v>
      </c>
      <c r="CB16" s="0" t="n">
        <f aca="false">CB14*(1-Inputs!$B$10)</f>
        <v>2177371.80411906</v>
      </c>
      <c r="CC16" s="0" t="n">
        <f aca="false">CC14*(1-Inputs!$B$10)</f>
        <v>2188265.66370721</v>
      </c>
      <c r="CD16" s="0" t="n">
        <f aca="false">CD14*(1-Inputs!$B$10)</f>
        <v>2199177.78560259</v>
      </c>
      <c r="CE16" s="0" t="n">
        <f aca="false">CE14*(1-Inputs!$B$10)</f>
        <v>2209856.40389454</v>
      </c>
      <c r="CF16" s="0" t="n">
        <f aca="false">CF14*(1-Inputs!$B$10)</f>
        <v>2220416.73628483</v>
      </c>
      <c r="CG16" s="0" t="n">
        <f aca="false">CG14*(1-Inputs!$B$10)</f>
        <v>2230995.56964881</v>
      </c>
      <c r="CH16" s="0" t="n">
        <f aca="false">CH14*(1-Inputs!$B$10)</f>
        <v>2241592.9902204</v>
      </c>
      <c r="CI16" s="0" t="n">
        <f aca="false">CI14*(1-Inputs!$B$10)</f>
        <v>2252209.08438825</v>
      </c>
      <c r="CJ16" s="0" t="n">
        <f aca="false">CJ14*(1-Inputs!$B$10)</f>
        <v>2262843.93869647</v>
      </c>
      <c r="CK16" s="0" t="n">
        <f aca="false">CK14*(1-Inputs!$B$10)</f>
        <v>2273497.6398453</v>
      </c>
      <c r="CL16" s="0" t="n">
        <f aca="false">CL14*(1-Inputs!$B$10)</f>
        <v>2284170.27469187</v>
      </c>
      <c r="CM16" s="0" t="n">
        <f aca="false">CM14*(1-Inputs!$B$10)</f>
        <v>2294861.93025086</v>
      </c>
      <c r="CN16" s="0" t="n">
        <f aca="false">CN14*(1-Inputs!$B$10)</f>
        <v>2305572.69369523</v>
      </c>
      <c r="CO16" s="0" t="n">
        <f aca="false">CO14*(1-Inputs!$B$10)</f>
        <v>2316302.65235691</v>
      </c>
      <c r="CP16" s="0" t="n">
        <f aca="false">CP14*(1-Inputs!$B$10)</f>
        <v>2327051.89372758</v>
      </c>
      <c r="CQ16" s="0" t="n">
        <f aca="false">CQ14*(1-Inputs!$B$10)</f>
        <v>2337820.50545927</v>
      </c>
      <c r="CR16" s="0" t="n">
        <f aca="false">CR14*(1-Inputs!$B$10)</f>
        <v>2348608.5753652</v>
      </c>
      <c r="CS16" s="0" t="n">
        <f aca="false">CS14*(1-Inputs!$B$10)</f>
        <v>2359416.19142039</v>
      </c>
      <c r="CT16" s="0" t="n">
        <f aca="false">CT14*(1-Inputs!$B$10)</f>
        <v>2370243.44176244</v>
      </c>
      <c r="CU16" s="0" t="n">
        <f aca="false">CU14*(1-Inputs!$B$10)</f>
        <v>2381090.41469225</v>
      </c>
      <c r="CV16" s="0" t="n">
        <f aca="false">CV14*(1-Inputs!$B$10)</f>
        <v>2391957.19867468</v>
      </c>
      <c r="CW16" s="0" t="n">
        <f aca="false">CW14*(1-Inputs!$B$10)</f>
        <v>2402843.88233935</v>
      </c>
      <c r="CX16" s="0" t="n">
        <f aca="false">CX14*(1-Inputs!$B$10)</f>
        <v>2413750.55448132</v>
      </c>
      <c r="CY16" s="0" t="n">
        <f aca="false">CY14*(1-Inputs!$B$10)</f>
        <v>2424677.30406181</v>
      </c>
      <c r="CZ16" s="0" t="n">
        <f aca="false">CZ14*(1-Inputs!$B$10)</f>
        <v>2435624.22020895</v>
      </c>
      <c r="DA16" s="0" t="n">
        <f aca="false">DA14*(1-Inputs!$B$10)</f>
        <v>2446591.39221848</v>
      </c>
      <c r="DB16" s="0" t="n">
        <f aca="false">DB14*(1-Inputs!$B$10)</f>
        <v>2457578.90955451</v>
      </c>
      <c r="DC16" s="0" t="n">
        <f aca="false">DC14*(1-Inputs!$B$10)</f>
        <v>2468586.86185022</v>
      </c>
      <c r="DD16" s="0" t="n">
        <f aca="false">DD14*(1-Inputs!$B$10)</f>
        <v>2479615.33890861</v>
      </c>
      <c r="DE16" s="0" t="n">
        <f aca="false">DE14*(1-Inputs!$B$10)</f>
        <v>2490664.43070323</v>
      </c>
      <c r="DF16" s="0" t="n">
        <f aca="false">DF14*(1-Inputs!$B$10)</f>
        <v>2501734.2273789</v>
      </c>
      <c r="DG16" s="0" t="n">
        <f aca="false">DG14*(1-Inputs!$B$10)</f>
        <v>2512824.81925247</v>
      </c>
      <c r="DH16" s="0" t="n">
        <f aca="false">DH14*(1-Inputs!$B$10)</f>
        <v>2523936.29681354</v>
      </c>
      <c r="DI16" s="0" t="n">
        <f aca="false">DI14*(1-Inputs!$B$10)</f>
        <v>2535068.7507252</v>
      </c>
      <c r="DJ16" s="0" t="n">
        <f aca="false">DJ14*(1-Inputs!$B$10)</f>
        <v>2546222.27182477</v>
      </c>
      <c r="DK16" s="0" t="n">
        <f aca="false">DK14*(1-Inputs!$B$10)</f>
        <v>2557396.95112455</v>
      </c>
      <c r="DL16" s="0" t="n">
        <f aca="false">DL14*(1-Inputs!$B$10)</f>
        <v>2568592.87981256</v>
      </c>
      <c r="DM16" s="0" t="n">
        <f aca="false">DM14*(1-Inputs!$B$10)</f>
        <v>2579810.14925328</v>
      </c>
      <c r="DN16" s="0" t="n">
        <f aca="false">DN14*(1-Inputs!$B$10)</f>
        <v>2591048.85098838</v>
      </c>
      <c r="DO16" s="0" t="n">
        <f aca="false">DO14*(1-Inputs!$B$10)</f>
        <v>2602309.0767375</v>
      </c>
      <c r="DP16" s="0" t="n">
        <f aca="false">DP14*(1-Inputs!$B$10)</f>
        <v>2613590.91839899</v>
      </c>
      <c r="DQ16" s="0" t="n">
        <f aca="false">DQ14*(1-Inputs!$B$10)</f>
        <v>2624894.46805063</v>
      </c>
      <c r="DR16" s="0" t="n">
        <f aca="false">DR14*(1-Inputs!$B$10)</f>
        <v>2636219.81795043</v>
      </c>
      <c r="DS16" s="0" t="n">
        <f aca="false">DS14*(1-Inputs!$B$10)</f>
        <v>2647567.06053733</v>
      </c>
      <c r="DT16" s="0" t="n">
        <f aca="false">DT14*(1-Inputs!$B$10)</f>
        <v>2658936.28843201</v>
      </c>
      <c r="DU16" s="0" t="n">
        <f aca="false">DU14*(1-Inputs!$B$10)</f>
        <v>2670327.59443761</v>
      </c>
      <c r="DV16" s="0" t="n">
        <f aca="false">DV14*(1-Inputs!$B$10)</f>
        <v>2681741.07154048</v>
      </c>
      <c r="DW16" s="0" t="n">
        <f aca="false">DW14*(1-Inputs!$B$10)</f>
        <v>2693176.81291098</v>
      </c>
      <c r="DX16" s="0" t="n">
        <f aca="false">DX14*(1-Inputs!$B$10)</f>
        <v>2704634.9119042</v>
      </c>
      <c r="DY16" s="0" t="n">
        <f aca="false">DY14*(1-Inputs!$B$10)</f>
        <v>2716115.46206074</v>
      </c>
      <c r="DZ16" s="0" t="n">
        <f aca="false">DZ14*(1-Inputs!$B$10)</f>
        <v>2727618.55710749</v>
      </c>
      <c r="EA16" s="0" t="n">
        <f aca="false">EA14*(1-Inputs!$B$10)</f>
        <v>2739144.29095835</v>
      </c>
      <c r="EB16" s="0" t="n">
        <f aca="false">EB14*(1-Inputs!$B$10)</f>
        <v>2750692.75771504</v>
      </c>
      <c r="EC16" s="0" t="n">
        <f aca="false">EC14*(1-Inputs!$B$10)</f>
        <v>2762264.05166787</v>
      </c>
      <c r="ED16" s="0" t="n">
        <f aca="false">ED14*(1-Inputs!$B$10)</f>
        <v>2773858.26729646</v>
      </c>
      <c r="EE16" s="0" t="n">
        <f aca="false">EE14*(1-Inputs!$B$10)</f>
        <v>2785475.49927056</v>
      </c>
      <c r="EF16" s="0" t="n">
        <f aca="false">EF14*(1-Inputs!$B$10)</f>
        <v>2797115.84245081</v>
      </c>
      <c r="EG16" s="0" t="n">
        <f aca="false">EG14*(1-Inputs!$B$10)</f>
        <v>2808779.39188952</v>
      </c>
      <c r="EH16" s="0" t="n">
        <f aca="false">EH14*(1-Inputs!$B$10)</f>
        <v>2820466.24283143</v>
      </c>
      <c r="EI16" s="0" t="n">
        <f aca="false">EI14*(1-Inputs!$B$10)</f>
        <v>2832176.49071448</v>
      </c>
      <c r="EJ16" s="0" t="n">
        <f aca="false">EJ14*(1-Inputs!$B$10)</f>
        <v>2843910.23117065</v>
      </c>
      <c r="EK16" s="0" t="n">
        <f aca="false">EK14*(1-Inputs!$B$10)</f>
        <v>2855667.56002665</v>
      </c>
      <c r="EL16" s="0" t="n">
        <f aca="false">EL14*(1-Inputs!$B$10)</f>
        <v>2867448.57330479</v>
      </c>
      <c r="EM16" s="0" t="n">
        <f aca="false">EM14*(1-Inputs!$B$10)</f>
        <v>2879253.3672237</v>
      </c>
      <c r="EN16" s="0" t="n">
        <f aca="false">EN14*(1-Inputs!$B$10)</f>
        <v>2891082.03819915</v>
      </c>
      <c r="EO16" s="0" t="n">
        <f aca="false">EO14*(1-Inputs!$B$10)</f>
        <v>2902934.68284483</v>
      </c>
      <c r="EP16" s="0" t="n">
        <f aca="false">EP14*(1-Inputs!$B$10)</f>
        <v>2914811.39797313</v>
      </c>
      <c r="EQ16" s="0" t="n">
        <f aca="false">EQ14*(1-Inputs!$B$10)</f>
        <v>2926712.28059595</v>
      </c>
      <c r="ER16" s="0" t="n">
        <f aca="false">ER14*(1-Inputs!$B$10)</f>
        <v>2938637.42792548</v>
      </c>
      <c r="ES16" s="0" t="n">
        <f aca="false">ES14*(1-Inputs!$B$10)</f>
        <v>2950586.93737498</v>
      </c>
      <c r="ET16" s="0" t="n">
        <f aca="false">ET14*(1-Inputs!$B$10)</f>
        <v>2962560.90655961</v>
      </c>
      <c r="EU16" s="0" t="n">
        <f aca="false">EU14*(1-Inputs!$B$10)</f>
        <v>2974370.68749267</v>
      </c>
      <c r="EV16" s="0" t="n">
        <f aca="false">EV14*(1-Inputs!$B$10)</f>
        <v>2985741.10215256</v>
      </c>
      <c r="EW16" s="0" t="n">
        <f aca="false">EW14*(1-Inputs!$B$10)</f>
        <v>2997136.2246258</v>
      </c>
      <c r="EX16" s="0" t="n">
        <f aca="false">EX14*(1-Inputs!$B$10)</f>
        <v>3008556.14808747</v>
      </c>
      <c r="EY16" s="0" t="n">
        <f aca="false">EY14*(1-Inputs!$B$10)</f>
        <v>3020000.96591776</v>
      </c>
      <c r="EZ16" s="0" t="n">
        <f aca="false">EZ14*(1-Inputs!$B$10)</f>
        <v>3031470.77170282</v>
      </c>
      <c r="FA16" s="0" t="n">
        <f aca="false">FA14*(1-Inputs!$B$10)</f>
        <v>3042965.65923546</v>
      </c>
      <c r="FB16" s="0" t="n">
        <f aca="false">FB14*(1-Inputs!$B$10)</f>
        <v>3054485.72251596</v>
      </c>
      <c r="FC16" s="0" t="n">
        <f aca="false">FC14*(1-Inputs!$B$10)</f>
        <v>3066031.05575281</v>
      </c>
      <c r="FD16" s="0" t="n">
        <f aca="false">FD14*(1-Inputs!$B$10)</f>
        <v>3077601.75336352</v>
      </c>
      <c r="FE16" s="0" t="n">
        <f aca="false">FE14*(1-Inputs!$B$10)</f>
        <v>3089197.90997533</v>
      </c>
      <c r="FF16" s="0" t="n">
        <f aca="false">FF14*(1-Inputs!$B$10)</f>
        <v>3100819.62042606</v>
      </c>
      <c r="FG16" s="0" t="n">
        <f aca="false">FG14*(1-Inputs!$B$10)</f>
        <v>3112466.9797648</v>
      </c>
      <c r="FH16" s="0" t="n">
        <f aca="false">FH14*(1-Inputs!$B$10)</f>
        <v>3124140.08325279</v>
      </c>
      <c r="FI16" s="0" t="n">
        <f aca="false">FI14*(1-Inputs!$B$10)</f>
        <v>3135839.02636408</v>
      </c>
      <c r="FJ16" s="0" t="n">
        <f aca="false">FJ14*(1-Inputs!$B$10)</f>
        <v>3147563.90478643</v>
      </c>
      <c r="FK16" s="0" t="n">
        <f aca="false">FK14*(1-Inputs!$B$10)</f>
        <v>3159314.81442201</v>
      </c>
      <c r="FL16" s="0" t="n">
        <f aca="false">FL14*(1-Inputs!$B$10)</f>
        <v>3171091.8513882</v>
      </c>
      <c r="FM16" s="0" t="n">
        <f aca="false">FM14*(1-Inputs!$B$10)</f>
        <v>3182895.11201841</v>
      </c>
      <c r="FN16" s="0" t="n">
        <f aca="false">FN14*(1-Inputs!$B$10)</f>
        <v>3194724.69286284</v>
      </c>
      <c r="FO16" s="0" t="n">
        <f aca="false">FO14*(1-Inputs!$B$10)</f>
        <v>3206580.69068927</v>
      </c>
      <c r="FP16" s="0" t="n">
        <f aca="false">FP14*(1-Inputs!$B$10)</f>
        <v>3218463.20248386</v>
      </c>
      <c r="FQ16" s="0" t="n">
        <f aca="false">FQ14*(1-Inputs!$B$10)</f>
        <v>3230372.32545194</v>
      </c>
      <c r="FR16" s="0" t="n">
        <f aca="false">FR14*(1-Inputs!$B$10)</f>
        <v>3242308.1570188</v>
      </c>
      <c r="FS16" s="0" t="n">
        <f aca="false">FS14*(1-Inputs!$B$10)</f>
        <v>3254270.79483052</v>
      </c>
      <c r="FT16" s="0" t="n">
        <f aca="false">FT14*(1-Inputs!$B$10)</f>
        <v>3266260.3367547</v>
      </c>
      <c r="FU16" s="0" t="n">
        <f aca="false">FU14*(1-Inputs!$B$10)</f>
        <v>3278276.88088134</v>
      </c>
      <c r="FV16" s="0" t="n">
        <f aca="false">FV14*(1-Inputs!$B$10)</f>
        <v>3290320.52552358</v>
      </c>
      <c r="FW16" s="0" t="n">
        <f aca="false">FW14*(1-Inputs!$B$10)</f>
        <v>3302391.36921856</v>
      </c>
      <c r="FX16" s="0" t="n">
        <f aca="false">FX14*(1-Inputs!$B$10)</f>
        <v>3314489.51072815</v>
      </c>
      <c r="FY16" s="0" t="n">
        <f aca="false">FY14*(1-Inputs!$B$10)</f>
        <v>3326615.04903986</v>
      </c>
      <c r="FZ16" s="0" t="n">
        <f aca="false">FZ14*(1-Inputs!$B$10)</f>
        <v>3338768.08336756</v>
      </c>
    </row>
    <row r="17" customFormat="false" ht="15" hidden="false" customHeight="false" outlineLevel="0" collapsed="false">
      <c r="A17" s="0" t="s">
        <v>38</v>
      </c>
      <c r="B17" s="0" t="n">
        <f aca="false">Inputs!$B$4*Inputs!$B$11</f>
        <v>226600000</v>
      </c>
      <c r="C17" s="0" t="n">
        <f aca="false">MAX(0,B17-C19)*IF(C$3&lt;180,1,0)</f>
        <v>226600000</v>
      </c>
      <c r="D17" s="0" t="n">
        <f aca="false">MAX(0,C17-D19)*IF(D$3&lt;180,1,0)</f>
        <v>226600000</v>
      </c>
      <c r="E17" s="0" t="n">
        <f aca="false">MAX(0,D17-E19)*IF(E$3&lt;180,1,0)</f>
        <v>226600000</v>
      </c>
      <c r="F17" s="0" t="n">
        <f aca="false">MAX(0,E17-F19)*IF(F$3&lt;180,1,0)</f>
        <v>226600000</v>
      </c>
      <c r="G17" s="0" t="n">
        <f aca="false">MAX(0,F17-G19)*IF(G$3&lt;180,1,0)</f>
        <v>226600000</v>
      </c>
      <c r="H17" s="0" t="n">
        <f aca="false">MAX(0,G17-H19)*IF(H$3&lt;180,1,0)</f>
        <v>226600000</v>
      </c>
      <c r="I17" s="0" t="n">
        <f aca="false">MAX(0,H17-I19)*IF(I$3&lt;180,1,0)</f>
        <v>226600000</v>
      </c>
      <c r="J17" s="0" t="n">
        <f aca="false">MAX(0,I17-J19)*IF(J$3&lt;180,1,0)</f>
        <v>226600000</v>
      </c>
      <c r="K17" s="0" t="n">
        <f aca="false">MAX(0,J17-K19)*IF(K$3&lt;180,1,0)</f>
        <v>226600000</v>
      </c>
      <c r="L17" s="0" t="n">
        <f aca="false">MAX(0,K17-L19)*IF(L$3&lt;180,1,0)</f>
        <v>226600000</v>
      </c>
      <c r="M17" s="0" t="n">
        <f aca="false">MAX(0,L17-M19)*IF(M$3&lt;180,1,0)</f>
        <v>226600000</v>
      </c>
      <c r="N17" s="0" t="n">
        <f aca="false">MAX(0,M17-N19)*IF(N$3&lt;180,1,0)</f>
        <v>226600000</v>
      </c>
      <c r="O17" s="0" t="n">
        <f aca="false">MAX(0,N17-O19)*IF(O$3&lt;180,1,0)</f>
        <v>226600000</v>
      </c>
      <c r="P17" s="0" t="n">
        <f aca="false">MAX(0,O17-P19)*IF(P$3&lt;180,1,0)</f>
        <v>226600000</v>
      </c>
      <c r="Q17" s="0" t="n">
        <f aca="false">MAX(0,P17-Q19)*IF(Q$3&lt;180,1,0)</f>
        <v>226600000</v>
      </c>
      <c r="R17" s="0" t="n">
        <f aca="false">MAX(0,Q17-R19)*IF(R$3&lt;180,1,0)</f>
        <v>226600000</v>
      </c>
      <c r="S17" s="0" t="n">
        <f aca="false">MAX(0,R17-S19)*IF(S$3&lt;180,1,0)</f>
        <v>226600000</v>
      </c>
      <c r="T17" s="0" t="n">
        <f aca="false">MAX(0,S17-T19)*IF(T$3&lt;180,1,0)</f>
        <v>226600000</v>
      </c>
      <c r="U17" s="0" t="n">
        <f aca="false">MAX(0,T17-U19)*IF(U$3&lt;180,1,0)</f>
        <v>226600000</v>
      </c>
      <c r="V17" s="0" t="n">
        <f aca="false">MAX(0,U17-V19)*IF(V$3&lt;180,1,0)</f>
        <v>226600000</v>
      </c>
      <c r="W17" s="0" t="n">
        <f aca="false">MAX(0,V17-W19)*IF(W$3&lt;180,1,0)</f>
        <v>226600000</v>
      </c>
      <c r="X17" s="0" t="n">
        <f aca="false">MAX(0,W17-X19)*IF(X$3&lt;180,1,0)</f>
        <v>226600000</v>
      </c>
      <c r="Y17" s="0" t="n">
        <f aca="false">MAX(0,X17-Y19)*IF(Y$3&lt;180,1,0)</f>
        <v>226600000</v>
      </c>
      <c r="Z17" s="0" t="n">
        <f aca="false">MAX(0,Y17-Z19)*IF(Z$3&lt;180,1,0)</f>
        <v>226600000</v>
      </c>
      <c r="AA17" s="0" t="n">
        <f aca="false">MAX(0,Z17-AA19)*IF(AA$3&lt;180,1,0)</f>
        <v>226600000</v>
      </c>
      <c r="AB17" s="0" t="n">
        <f aca="false">MAX(0,AA17-AB19)*IF(AB$3&lt;180,1,0)</f>
        <v>226600000</v>
      </c>
      <c r="AC17" s="0" t="n">
        <f aca="false">MAX(0,AB17-AC19)*IF(AC$3&lt;180,1,0)</f>
        <v>226600000</v>
      </c>
      <c r="AD17" s="0" t="n">
        <f aca="false">MAX(0,AC17-AD19)*IF(AD$3&lt;180,1,0)</f>
        <v>226600000</v>
      </c>
      <c r="AE17" s="0" t="n">
        <f aca="false">MAX(0,AD17-AE19)*IF(AE$3&lt;180,1,0)</f>
        <v>226600000</v>
      </c>
      <c r="AF17" s="0" t="n">
        <f aca="false">MAX(0,AE17-AF19)*IF(AF$3&lt;180,1,0)</f>
        <v>226600000</v>
      </c>
      <c r="AG17" s="0" t="n">
        <f aca="false">MAX(0,AF17-AG19)*IF(AG$3&lt;180,1,0)</f>
        <v>226600000</v>
      </c>
      <c r="AH17" s="0" t="n">
        <f aca="false">MAX(0,AG17-AH19)*IF(AH$3&lt;180,1,0)</f>
        <v>226600000</v>
      </c>
      <c r="AI17" s="0" t="n">
        <f aca="false">MAX(0,AH17-AI19)*IF(AI$3&lt;180,1,0)</f>
        <v>226600000</v>
      </c>
      <c r="AJ17" s="0" t="n">
        <f aca="false">MAX(0,AI17-AJ19)*IF(AJ$3&lt;180,1,0)</f>
        <v>226600000</v>
      </c>
      <c r="AK17" s="0" t="n">
        <f aca="false">MAX(0,AJ17-AK19)*IF(AK$3&lt;180,1,0)</f>
        <v>226600000</v>
      </c>
      <c r="AL17" s="0" t="n">
        <f aca="false">MAX(0,AK17-AL19)*IF(AL$3&lt;180,1,0)</f>
        <v>226600000</v>
      </c>
      <c r="AM17" s="0" t="n">
        <f aca="false">MAX(0,AL17-AM19)*IF(AM$3&lt;180,1,0)</f>
        <v>226600000</v>
      </c>
      <c r="AN17" s="0" t="n">
        <f aca="false">MAX(0,AM17-AN19)*IF(AN$3&lt;180,1,0)</f>
        <v>226600000</v>
      </c>
      <c r="AO17" s="0" t="n">
        <f aca="false">MAX(0,AN17-AO19)*IF(AO$3&lt;180,1,0)</f>
        <v>226600000</v>
      </c>
      <c r="AP17" s="0" t="n">
        <f aca="false">MAX(0,AO17-AP19)*IF(AP$3&lt;180,1,0)</f>
        <v>226600000</v>
      </c>
      <c r="AQ17" s="0" t="n">
        <f aca="false">MAX(0,AP17-AQ19)*IF(AQ$3&lt;180,1,0)</f>
        <v>226600000</v>
      </c>
      <c r="AR17" s="0" t="n">
        <f aca="false">MAX(0,AQ17-AR19)*IF(AR$3&lt;180,1,0)</f>
        <v>226600000</v>
      </c>
      <c r="AS17" s="0" t="n">
        <f aca="false">MAX(0,AR17-AS19)*IF(AS$3&lt;180,1,0)</f>
        <v>226600000</v>
      </c>
      <c r="AT17" s="0" t="n">
        <f aca="false">MAX(0,AS17-AT19)*IF(AT$3&lt;180,1,0)</f>
        <v>226600000</v>
      </c>
      <c r="AU17" s="0" t="n">
        <f aca="false">MAX(0,AT17-AU19)*IF(AU$3&lt;180,1,0)</f>
        <v>226600000</v>
      </c>
      <c r="AV17" s="0" t="n">
        <f aca="false">MAX(0,AU17-AV19)*IF(AV$3&lt;180,1,0)</f>
        <v>226600000</v>
      </c>
      <c r="AW17" s="0" t="n">
        <f aca="false">MAX(0,AV17-AW19)*IF(AW$3&lt;180,1,0)</f>
        <v>226600000</v>
      </c>
      <c r="AX17" s="0" t="n">
        <f aca="false">MAX(0,AW17-AX19)*IF(AX$3&lt;180,1,0)</f>
        <v>226600000</v>
      </c>
      <c r="AY17" s="0" t="n">
        <f aca="false">MAX(0,AX17-AY19)*IF(AY$3&lt;180,1,0)</f>
        <v>226600000</v>
      </c>
      <c r="AZ17" s="0" t="n">
        <f aca="false">MAX(0,AY17-AZ19)*IF(AZ$3&lt;180,1,0)</f>
        <v>226600000</v>
      </c>
      <c r="BA17" s="0" t="n">
        <f aca="false">MAX(0,AZ17-BA19)*IF(BA$3&lt;180,1,0)</f>
        <v>226600000</v>
      </c>
      <c r="BB17" s="0" t="n">
        <f aca="false">MAX(0,BA17-BB19)*IF(BB$3&lt;180,1,0)</f>
        <v>226600000</v>
      </c>
      <c r="BC17" s="0" t="n">
        <f aca="false">MAX(0,BB17-BC19)*IF(BC$3&lt;180,1,0)</f>
        <v>226600000</v>
      </c>
      <c r="BD17" s="0" t="n">
        <f aca="false">MAX(0,BC17-BD19)*IF(BD$3&lt;180,1,0)</f>
        <v>226600000</v>
      </c>
      <c r="BE17" s="0" t="n">
        <f aca="false">MAX(0,BD17-BE19)*IF(BE$3&lt;180,1,0)</f>
        <v>226600000</v>
      </c>
      <c r="BF17" s="0" t="n">
        <f aca="false">MAX(0,BE17-BF19)*IF(BF$3&lt;180,1,0)</f>
        <v>226600000</v>
      </c>
      <c r="BG17" s="0" t="n">
        <f aca="false">MAX(0,BF17-BG19)*IF(BG$3&lt;180,1,0)</f>
        <v>226600000</v>
      </c>
      <c r="BH17" s="0" t="n">
        <f aca="false">MAX(0,BG17-BH19)*IF(BH$3&lt;180,1,0)</f>
        <v>226600000</v>
      </c>
      <c r="BI17" s="0" t="n">
        <f aca="false">MAX(0,BH17-BI19)*IF(BI$3&lt;180,1,0)</f>
        <v>226600000</v>
      </c>
      <c r="BJ17" s="0" t="n">
        <f aca="false">MAX(0,BI17-BJ19)*IF(BJ$3&lt;180,1,0)</f>
        <v>226600000</v>
      </c>
      <c r="BK17" s="0" t="n">
        <f aca="false">MAX(0,BJ17-BK19)*IF(BK$3&lt;180,1,0)</f>
        <v>226222333.333333</v>
      </c>
      <c r="BL17" s="0" t="n">
        <f aca="false">MAX(0,BK17-BL19)*IF(BL$3&lt;180,1,0)</f>
        <v>225844666.666667</v>
      </c>
      <c r="BM17" s="0" t="n">
        <f aca="false">MAX(0,BL17-BM19)*IF(BM$3&lt;180,1,0)</f>
        <v>225467000</v>
      </c>
      <c r="BN17" s="0" t="n">
        <f aca="false">MAX(0,BM17-BN19)*IF(BN$3&lt;180,1,0)</f>
        <v>225089333.333333</v>
      </c>
      <c r="BO17" s="0" t="n">
        <f aca="false">MAX(0,BN17-BO19)*IF(BO$3&lt;180,1,0)</f>
        <v>224711666.666667</v>
      </c>
      <c r="BP17" s="0" t="n">
        <f aca="false">MAX(0,BO17-BP19)*IF(BP$3&lt;180,1,0)</f>
        <v>224334000</v>
      </c>
      <c r="BQ17" s="0" t="n">
        <f aca="false">MAX(0,BP17-BQ19)*IF(BQ$3&lt;180,1,0)</f>
        <v>223956333.333333</v>
      </c>
      <c r="BR17" s="0" t="n">
        <f aca="false">MAX(0,BQ17-BR19)*IF(BR$3&lt;180,1,0)</f>
        <v>223578666.666667</v>
      </c>
      <c r="BS17" s="0" t="n">
        <f aca="false">MAX(0,BR17-BS19)*IF(BS$3&lt;180,1,0)</f>
        <v>223201000</v>
      </c>
      <c r="BT17" s="0" t="n">
        <f aca="false">MAX(0,BS17-BT19)*IF(BT$3&lt;180,1,0)</f>
        <v>222823333.333333</v>
      </c>
      <c r="BU17" s="0" t="n">
        <f aca="false">MAX(0,BT17-BU19)*IF(BU$3&lt;180,1,0)</f>
        <v>222445666.666667</v>
      </c>
      <c r="BV17" s="0" t="n">
        <f aca="false">MAX(0,BU17-BV19)*IF(BV$3&lt;180,1,0)</f>
        <v>222068000</v>
      </c>
      <c r="BW17" s="0" t="n">
        <f aca="false">MAX(0,BV17-BW19)*IF(BW$3&lt;180,1,0)</f>
        <v>221690333.333334</v>
      </c>
      <c r="BX17" s="0" t="n">
        <f aca="false">MAX(0,BW17-BX19)*IF(BX$3&lt;180,1,0)</f>
        <v>221312666.666667</v>
      </c>
      <c r="BY17" s="0" t="n">
        <f aca="false">MAX(0,BX17-BY19)*IF(BY$3&lt;180,1,0)</f>
        <v>220935000</v>
      </c>
      <c r="BZ17" s="0" t="n">
        <f aca="false">MAX(0,BY17-BZ19)*IF(BZ$3&lt;180,1,0)</f>
        <v>220557333.333334</v>
      </c>
      <c r="CA17" s="0" t="n">
        <f aca="false">MAX(0,BZ17-CA19)*IF(CA$3&lt;180,1,0)</f>
        <v>220179666.666667</v>
      </c>
      <c r="CB17" s="0" t="n">
        <f aca="false">MAX(0,CA17-CB19)*IF(CB$3&lt;180,1,0)</f>
        <v>219802000</v>
      </c>
      <c r="CC17" s="0" t="n">
        <f aca="false">MAX(0,CB17-CC19)*IF(CC$3&lt;180,1,0)</f>
        <v>219424333.333334</v>
      </c>
      <c r="CD17" s="0" t="n">
        <f aca="false">MAX(0,CC17-CD19)*IF(CD$3&lt;180,1,0)</f>
        <v>219046666.666667</v>
      </c>
      <c r="CE17" s="0" t="n">
        <f aca="false">MAX(0,CD17-CE19)*IF(CE$3&lt;180,1,0)</f>
        <v>218669000</v>
      </c>
      <c r="CF17" s="0" t="n">
        <f aca="false">MAX(0,CE17-CF19)*IF(CF$3&lt;180,1,0)</f>
        <v>218291333.333334</v>
      </c>
      <c r="CG17" s="0" t="n">
        <f aca="false">MAX(0,CF17-CG19)*IF(CG$3&lt;180,1,0)</f>
        <v>217913666.666667</v>
      </c>
      <c r="CH17" s="0" t="n">
        <f aca="false">MAX(0,CG17-CH19)*IF(CH$3&lt;180,1,0)</f>
        <v>217536000</v>
      </c>
      <c r="CI17" s="0" t="n">
        <f aca="false">MAX(0,CH17-CI19)*IF(CI$3&lt;180,1,0)</f>
        <v>217158333.333334</v>
      </c>
      <c r="CJ17" s="0" t="n">
        <f aca="false">MAX(0,CI17-CJ19)*IF(CJ$3&lt;180,1,0)</f>
        <v>216780666.666667</v>
      </c>
      <c r="CK17" s="0" t="n">
        <f aca="false">MAX(0,CJ17-CK19)*IF(CK$3&lt;180,1,0)</f>
        <v>216403000</v>
      </c>
      <c r="CL17" s="0" t="n">
        <f aca="false">MAX(0,CK17-CL19)*IF(CL$3&lt;180,1,0)</f>
        <v>216025333.333334</v>
      </c>
      <c r="CM17" s="0" t="n">
        <f aca="false">MAX(0,CL17-CM19)*IF(CM$3&lt;180,1,0)</f>
        <v>215647666.666667</v>
      </c>
      <c r="CN17" s="0" t="n">
        <f aca="false">MAX(0,CM17-CN19)*IF(CN$3&lt;180,1,0)</f>
        <v>215270000</v>
      </c>
      <c r="CO17" s="0" t="n">
        <f aca="false">MAX(0,CN17-CO19)*IF(CO$3&lt;180,1,0)</f>
        <v>214892333.333334</v>
      </c>
      <c r="CP17" s="0" t="n">
        <f aca="false">MAX(0,CO17-CP19)*IF(CP$3&lt;180,1,0)</f>
        <v>214514666.666667</v>
      </c>
      <c r="CQ17" s="0" t="n">
        <f aca="false">MAX(0,CP17-CQ19)*IF(CQ$3&lt;180,1,0)</f>
        <v>214137000</v>
      </c>
      <c r="CR17" s="0" t="n">
        <f aca="false">MAX(0,CQ17-CR19)*IF(CR$3&lt;180,1,0)</f>
        <v>213759333.333334</v>
      </c>
      <c r="CS17" s="0" t="n">
        <f aca="false">MAX(0,CR17-CS19)*IF(CS$3&lt;180,1,0)</f>
        <v>213381666.666667</v>
      </c>
      <c r="CT17" s="0" t="n">
        <f aca="false">MAX(0,CS17-CT19)*IF(CT$3&lt;180,1,0)</f>
        <v>213004000</v>
      </c>
      <c r="CU17" s="0" t="n">
        <f aca="false">MAX(0,CT17-CU19)*IF(CU$3&lt;180,1,0)</f>
        <v>212626333.333334</v>
      </c>
      <c r="CV17" s="0" t="n">
        <f aca="false">MAX(0,CU17-CV19)*IF(CV$3&lt;180,1,0)</f>
        <v>212248666.666667</v>
      </c>
      <c r="CW17" s="0" t="n">
        <f aca="false">MAX(0,CV17-CW19)*IF(CW$3&lt;180,1,0)</f>
        <v>211871000</v>
      </c>
      <c r="CX17" s="0" t="n">
        <f aca="false">MAX(0,CW17-CX19)*IF(CX$3&lt;180,1,0)</f>
        <v>211493333.333334</v>
      </c>
      <c r="CY17" s="0" t="n">
        <f aca="false">MAX(0,CX17-CY19)*IF(CY$3&lt;180,1,0)</f>
        <v>211115666.666667</v>
      </c>
      <c r="CZ17" s="0" t="n">
        <f aca="false">MAX(0,CY17-CZ19)*IF(CZ$3&lt;180,1,0)</f>
        <v>210738000</v>
      </c>
      <c r="DA17" s="0" t="n">
        <f aca="false">MAX(0,CZ17-DA19)*IF(DA$3&lt;180,1,0)</f>
        <v>210360333.333334</v>
      </c>
      <c r="DB17" s="0" t="n">
        <f aca="false">MAX(0,DA17-DB19)*IF(DB$3&lt;180,1,0)</f>
        <v>209982666.666667</v>
      </c>
      <c r="DC17" s="0" t="n">
        <f aca="false">MAX(0,DB17-DC19)*IF(DC$3&lt;180,1,0)</f>
        <v>209605000</v>
      </c>
      <c r="DD17" s="0" t="n">
        <f aca="false">MAX(0,DC17-DD19)*IF(DD$3&lt;180,1,0)</f>
        <v>209227333.333334</v>
      </c>
      <c r="DE17" s="0" t="n">
        <f aca="false">MAX(0,DD17-DE19)*IF(DE$3&lt;180,1,0)</f>
        <v>208849666.666667</v>
      </c>
      <c r="DF17" s="0" t="n">
        <f aca="false">MAX(0,DE17-DF19)*IF(DF$3&lt;180,1,0)</f>
        <v>208472000.000001</v>
      </c>
      <c r="DG17" s="0" t="n">
        <f aca="false">MAX(0,DF17-DG19)*IF(DG$3&lt;180,1,0)</f>
        <v>208094333.333334</v>
      </c>
      <c r="DH17" s="0" t="n">
        <f aca="false">MAX(0,DG17-DH19)*IF(DH$3&lt;180,1,0)</f>
        <v>207716666.666667</v>
      </c>
      <c r="DI17" s="0" t="n">
        <f aca="false">MAX(0,DH17-DI19)*IF(DI$3&lt;180,1,0)</f>
        <v>207339000.000001</v>
      </c>
      <c r="DJ17" s="0" t="n">
        <f aca="false">MAX(0,DI17-DJ19)*IF(DJ$3&lt;180,1,0)</f>
        <v>206961333.333334</v>
      </c>
      <c r="DK17" s="0" t="n">
        <f aca="false">MAX(0,DJ17-DK19)*IF(DK$3&lt;180,1,0)</f>
        <v>206583666.666667</v>
      </c>
      <c r="DL17" s="0" t="n">
        <f aca="false">MAX(0,DK17-DL19)*IF(DL$3&lt;180,1,0)</f>
        <v>206206000.000001</v>
      </c>
      <c r="DM17" s="0" t="n">
        <f aca="false">MAX(0,DL17-DM19)*IF(DM$3&lt;180,1,0)</f>
        <v>205828333.333334</v>
      </c>
      <c r="DN17" s="0" t="n">
        <f aca="false">MAX(0,DM17-DN19)*IF(DN$3&lt;180,1,0)</f>
        <v>205450666.666667</v>
      </c>
      <c r="DO17" s="0" t="n">
        <f aca="false">MAX(0,DN17-DO19)*IF(DO$3&lt;180,1,0)</f>
        <v>205073000.000001</v>
      </c>
      <c r="DP17" s="0" t="n">
        <f aca="false">MAX(0,DO17-DP19)*IF(DP$3&lt;180,1,0)</f>
        <v>204695333.333334</v>
      </c>
      <c r="DQ17" s="0" t="n">
        <f aca="false">MAX(0,DP17-DQ19)*IF(DQ$3&lt;180,1,0)</f>
        <v>204317666.666667</v>
      </c>
      <c r="DR17" s="0" t="n">
        <f aca="false">MAX(0,DQ17-DR19)*IF(DR$3&lt;180,1,0)</f>
        <v>203940000.000001</v>
      </c>
      <c r="DS17" s="0" t="n">
        <f aca="false">MAX(0,DR17-DS19)*IF(DS$3&lt;180,1,0)</f>
        <v>203562333.333334</v>
      </c>
      <c r="DT17" s="0" t="n">
        <f aca="false">MAX(0,DS17-DT19)*IF(DT$3&lt;180,1,0)</f>
        <v>203184666.666667</v>
      </c>
      <c r="DU17" s="0" t="n">
        <f aca="false">MAX(0,DT17-DU19)*IF(DU$3&lt;180,1,0)</f>
        <v>202807000.000001</v>
      </c>
      <c r="DV17" s="0" t="n">
        <f aca="false">MAX(0,DU17-DV19)*IF(DV$3&lt;180,1,0)</f>
        <v>202429333.333334</v>
      </c>
      <c r="DW17" s="0" t="n">
        <f aca="false">MAX(0,DV17-DW19)*IF(DW$3&lt;180,1,0)</f>
        <v>202051666.666667</v>
      </c>
      <c r="DX17" s="0" t="n">
        <f aca="false">MAX(0,DW17-DX19)*IF(DX$3&lt;180,1,0)</f>
        <v>201674000.000001</v>
      </c>
      <c r="DY17" s="0" t="n">
        <f aca="false">MAX(0,DX17-DY19)*IF(DY$3&lt;180,1,0)</f>
        <v>201296333.333334</v>
      </c>
      <c r="DZ17" s="0" t="n">
        <f aca="false">MAX(0,DY17-DZ19)*IF(DZ$3&lt;180,1,0)</f>
        <v>200918666.666667</v>
      </c>
      <c r="EA17" s="0" t="n">
        <f aca="false">MAX(0,DZ17-EA19)*IF(EA$3&lt;180,1,0)</f>
        <v>200541000.000001</v>
      </c>
      <c r="EB17" s="0" t="n">
        <f aca="false">MAX(0,EA17-EB19)*IF(EB$3&lt;180,1,0)</f>
        <v>200163333.333334</v>
      </c>
      <c r="EC17" s="0" t="n">
        <f aca="false">MAX(0,EB17-EC19)*IF(EC$3&lt;180,1,0)</f>
        <v>199785666.666667</v>
      </c>
      <c r="ED17" s="0" t="n">
        <f aca="false">MAX(0,EC17-ED19)*IF(ED$3&lt;180,1,0)</f>
        <v>199408000.000001</v>
      </c>
      <c r="EE17" s="0" t="n">
        <f aca="false">MAX(0,ED17-EE19)*IF(EE$3&lt;180,1,0)</f>
        <v>199030333.333334</v>
      </c>
      <c r="EF17" s="0" t="n">
        <f aca="false">MAX(0,EE17-EF19)*IF(EF$3&lt;180,1,0)</f>
        <v>198652666.666667</v>
      </c>
      <c r="EG17" s="0" t="n">
        <f aca="false">MAX(0,EF17-EG19)*IF(EG$3&lt;180,1,0)</f>
        <v>198275000.000001</v>
      </c>
      <c r="EH17" s="0" t="n">
        <f aca="false">MAX(0,EG17-EH19)*IF(EH$3&lt;180,1,0)</f>
        <v>197897333.333334</v>
      </c>
      <c r="EI17" s="0" t="n">
        <f aca="false">MAX(0,EH17-EI19)*IF(EI$3&lt;180,1,0)</f>
        <v>197519666.666667</v>
      </c>
      <c r="EJ17" s="0" t="n">
        <f aca="false">MAX(0,EI17-EJ19)*IF(EJ$3&lt;180,1,0)</f>
        <v>197142000.000001</v>
      </c>
      <c r="EK17" s="0" t="n">
        <f aca="false">MAX(0,EJ17-EK19)*IF(EK$3&lt;180,1,0)</f>
        <v>196764333.333334</v>
      </c>
      <c r="EL17" s="0" t="n">
        <f aca="false">MAX(0,EK17-EL19)*IF(EL$3&lt;180,1,0)</f>
        <v>196386666.666668</v>
      </c>
      <c r="EM17" s="0" t="n">
        <f aca="false">MAX(0,EL17-EM19)*IF(EM$3&lt;180,1,0)</f>
        <v>196009000.000001</v>
      </c>
      <c r="EN17" s="0" t="n">
        <f aca="false">MAX(0,EM17-EN19)*IF(EN$3&lt;180,1,0)</f>
        <v>195631333.333334</v>
      </c>
      <c r="EO17" s="0" t="n">
        <f aca="false">MAX(0,EN17-EO19)*IF(EO$3&lt;180,1,0)</f>
        <v>195253666.666668</v>
      </c>
      <c r="EP17" s="0" t="n">
        <f aca="false">MAX(0,EO17-EP19)*IF(EP$3&lt;180,1,0)</f>
        <v>194876000.000001</v>
      </c>
      <c r="EQ17" s="0" t="n">
        <f aca="false">MAX(0,EP17-EQ19)*IF(EQ$3&lt;180,1,0)</f>
        <v>194498333.333334</v>
      </c>
      <c r="ER17" s="0" t="n">
        <f aca="false">MAX(0,EQ17-ER19)*IF(ER$3&lt;180,1,0)</f>
        <v>194120666.666668</v>
      </c>
      <c r="ES17" s="0" t="n">
        <f aca="false">MAX(0,ER17-ES19)*IF(ES$3&lt;180,1,0)</f>
        <v>193743000.000001</v>
      </c>
      <c r="ET17" s="0" t="n">
        <f aca="false">MAX(0,ES17-ET19)*IF(ET$3&lt;180,1,0)</f>
        <v>193365333.333334</v>
      </c>
      <c r="EU17" s="0" t="n">
        <f aca="false">MAX(0,ET17-EU19)*IF(EU$3&lt;180,1,0)</f>
        <v>192987666.666668</v>
      </c>
      <c r="EV17" s="0" t="n">
        <f aca="false">MAX(0,EU17-EV19)*IF(EV$3&lt;180,1,0)</f>
        <v>192610000.000001</v>
      </c>
      <c r="EW17" s="0" t="n">
        <f aca="false">MAX(0,EV17-EW19)*IF(EW$3&lt;180,1,0)</f>
        <v>192232333.333334</v>
      </c>
      <c r="EX17" s="0" t="n">
        <f aca="false">MAX(0,EW17-EX19)*IF(EX$3&lt;180,1,0)</f>
        <v>191854666.666668</v>
      </c>
      <c r="EY17" s="0" t="n">
        <f aca="false">MAX(0,EX17-EY19)*IF(EY$3&lt;180,1,0)</f>
        <v>191477000.000001</v>
      </c>
      <c r="EZ17" s="0" t="n">
        <f aca="false">MAX(0,EY17-EZ19)*IF(EZ$3&lt;180,1,0)</f>
        <v>191099333.333334</v>
      </c>
      <c r="FA17" s="0" t="n">
        <f aca="false">MAX(0,EZ17-FA19)*IF(FA$3&lt;180,1,0)</f>
        <v>190721666.666668</v>
      </c>
      <c r="FB17" s="0" t="n">
        <f aca="false">MAX(0,FA17-FB19)*IF(FB$3&lt;180,1,0)</f>
        <v>190344000.000001</v>
      </c>
      <c r="FC17" s="0" t="n">
        <f aca="false">MAX(0,FB17-FC19)*IF(FC$3&lt;180,1,0)</f>
        <v>189966333.333334</v>
      </c>
      <c r="FD17" s="0" t="n">
        <f aca="false">MAX(0,FC17-FD19)*IF(FD$3&lt;180,1,0)</f>
        <v>189588666.666668</v>
      </c>
      <c r="FE17" s="0" t="n">
        <f aca="false">MAX(0,FD17-FE19)*IF(FE$3&lt;180,1,0)</f>
        <v>189211000.000001</v>
      </c>
      <c r="FF17" s="0" t="n">
        <f aca="false">MAX(0,FE17-FF19)*IF(FF$3&lt;180,1,0)</f>
        <v>188833333.333334</v>
      </c>
      <c r="FG17" s="0" t="n">
        <f aca="false">MAX(0,FF17-FG19)*IF(FG$3&lt;180,1,0)</f>
        <v>188455666.666668</v>
      </c>
      <c r="FH17" s="0" t="n">
        <f aca="false">MAX(0,FG17-FH19)*IF(FH$3&lt;180,1,0)</f>
        <v>188078000.000001</v>
      </c>
      <c r="FI17" s="0" t="n">
        <f aca="false">MAX(0,FH17-FI19)*IF(FI$3&lt;180,1,0)</f>
        <v>187700333.333334</v>
      </c>
      <c r="FJ17" s="0" t="n">
        <f aca="false">MAX(0,FI17-FJ19)*IF(FJ$3&lt;180,1,0)</f>
        <v>187322666.666668</v>
      </c>
      <c r="FK17" s="0" t="n">
        <f aca="false">MAX(0,FJ17-FK19)*IF(FK$3&lt;180,1,0)</f>
        <v>186945000.000001</v>
      </c>
      <c r="FL17" s="0" t="n">
        <f aca="false">MAX(0,FK17-FL19)*IF(FL$3&lt;180,1,0)</f>
        <v>186567333.333334</v>
      </c>
      <c r="FM17" s="0" t="n">
        <f aca="false">MAX(0,FL17-FM19)*IF(FM$3&lt;180,1,0)</f>
        <v>186189666.666668</v>
      </c>
      <c r="FN17" s="0" t="n">
        <f aca="false">MAX(0,FM17-FN19)*IF(FN$3&lt;180,1,0)</f>
        <v>185812000.000001</v>
      </c>
      <c r="FO17" s="0" t="n">
        <f aca="false">MAX(0,FN17-FO19)*IF(FO$3&lt;180,1,0)</f>
        <v>185434333.333334</v>
      </c>
      <c r="FP17" s="0" t="n">
        <f aca="false">MAX(0,FO17-FP19)*IF(FP$3&lt;180,1,0)</f>
        <v>185056666.666668</v>
      </c>
      <c r="FQ17" s="0" t="n">
        <f aca="false">MAX(0,FP17-FQ19)*IF(FQ$3&lt;180,1,0)</f>
        <v>184679000.000001</v>
      </c>
      <c r="FR17" s="0" t="n">
        <f aca="false">MAX(0,FQ17-FR19)*IF(FR$3&lt;180,1,0)</f>
        <v>184301333.333334</v>
      </c>
      <c r="FS17" s="0" t="n">
        <f aca="false">MAX(0,FR17-FS19)*IF(FS$3&lt;180,1,0)</f>
        <v>183923666.666668</v>
      </c>
      <c r="FT17" s="0" t="n">
        <f aca="false">MAX(0,FS17-FT19)*IF(FT$3&lt;180,1,0)</f>
        <v>183546000.000001</v>
      </c>
      <c r="FU17" s="0" t="n">
        <f aca="false">MAX(0,FT17-FU19)*IF(FU$3&lt;180,1,0)</f>
        <v>183168333.333335</v>
      </c>
      <c r="FV17" s="0" t="n">
        <f aca="false">MAX(0,FU17-FV19)*IF(FV$3&lt;180,1,0)</f>
        <v>182790666.666668</v>
      </c>
      <c r="FW17" s="0" t="n">
        <f aca="false">MAX(0,FV17-FW19)*IF(FW$3&lt;180,1,0)</f>
        <v>182413000.000001</v>
      </c>
      <c r="FX17" s="0" t="n">
        <f aca="false">MAX(0,FW17-FX19)*IF(FX$3&lt;180,1,0)</f>
        <v>182035333.333335</v>
      </c>
      <c r="FY17" s="0" t="n">
        <f aca="false">MAX(0,FX17-FY19)*IF(FY$3&lt;180,1,0)</f>
        <v>181657666.666668</v>
      </c>
      <c r="FZ17" s="0" t="n">
        <f aca="false">MAX(0,FY17-FZ19)*IF(FZ$3&lt;180,1,0)</f>
        <v>0</v>
      </c>
    </row>
    <row r="18" customFormat="false" ht="15" hidden="false" customHeight="false" outlineLevel="0" collapsed="false">
      <c r="A18" s="0" t="s">
        <v>39</v>
      </c>
      <c r="B18" s="0" t="n">
        <f aca="false">0</f>
        <v>0</v>
      </c>
      <c r="C18" s="0" t="n">
        <f aca="false">B17*Inputs!$B$12/12</f>
        <v>774216.666666667</v>
      </c>
      <c r="D18" s="0" t="n">
        <f aca="false">C17*Inputs!$B$12/12</f>
        <v>774216.666666667</v>
      </c>
      <c r="E18" s="0" t="n">
        <f aca="false">D17*Inputs!$B$12/12</f>
        <v>774216.666666667</v>
      </c>
      <c r="F18" s="0" t="n">
        <f aca="false">E17*Inputs!$B$12/12</f>
        <v>774216.666666667</v>
      </c>
      <c r="G18" s="0" t="n">
        <f aca="false">F17*Inputs!$B$12/12</f>
        <v>774216.666666667</v>
      </c>
      <c r="H18" s="0" t="n">
        <f aca="false">G17*Inputs!$B$12/12</f>
        <v>774216.666666667</v>
      </c>
      <c r="I18" s="0" t="n">
        <f aca="false">H17*Inputs!$B$12/12</f>
        <v>774216.666666667</v>
      </c>
      <c r="J18" s="0" t="n">
        <f aca="false">I17*Inputs!$B$12/12</f>
        <v>774216.666666667</v>
      </c>
      <c r="K18" s="0" t="n">
        <f aca="false">J17*Inputs!$B$12/12</f>
        <v>774216.666666667</v>
      </c>
      <c r="L18" s="0" t="n">
        <f aca="false">K17*Inputs!$B$12/12</f>
        <v>774216.666666667</v>
      </c>
      <c r="M18" s="0" t="n">
        <f aca="false">L17*Inputs!$B$12/12</f>
        <v>774216.666666667</v>
      </c>
      <c r="N18" s="0" t="n">
        <f aca="false">M17*Inputs!$B$12/12</f>
        <v>774216.666666667</v>
      </c>
      <c r="O18" s="0" t="n">
        <f aca="false">N17*Inputs!$B$12/12</f>
        <v>774216.666666667</v>
      </c>
      <c r="P18" s="0" t="n">
        <f aca="false">O17*Inputs!$B$12/12</f>
        <v>774216.666666667</v>
      </c>
      <c r="Q18" s="0" t="n">
        <f aca="false">P17*Inputs!$B$12/12</f>
        <v>774216.666666667</v>
      </c>
      <c r="R18" s="0" t="n">
        <f aca="false">Q17*Inputs!$B$12/12</f>
        <v>774216.666666667</v>
      </c>
      <c r="S18" s="0" t="n">
        <f aca="false">R17*Inputs!$B$12/12</f>
        <v>774216.666666667</v>
      </c>
      <c r="T18" s="0" t="n">
        <f aca="false">S17*Inputs!$B$12/12</f>
        <v>774216.666666667</v>
      </c>
      <c r="U18" s="0" t="n">
        <f aca="false">T17*Inputs!$B$12/12</f>
        <v>774216.666666667</v>
      </c>
      <c r="V18" s="0" t="n">
        <f aca="false">U17*Inputs!$B$12/12</f>
        <v>774216.666666667</v>
      </c>
      <c r="W18" s="0" t="n">
        <f aca="false">V17*Inputs!$B$12/12</f>
        <v>774216.666666667</v>
      </c>
      <c r="X18" s="0" t="n">
        <f aca="false">W17*Inputs!$B$12/12</f>
        <v>774216.666666667</v>
      </c>
      <c r="Y18" s="0" t="n">
        <f aca="false">X17*Inputs!$B$12/12</f>
        <v>774216.666666667</v>
      </c>
      <c r="Z18" s="0" t="n">
        <f aca="false">Y17*Inputs!$B$12/12</f>
        <v>774216.666666667</v>
      </c>
      <c r="AA18" s="0" t="n">
        <f aca="false">Z17*Inputs!$B$12/12</f>
        <v>774216.666666667</v>
      </c>
      <c r="AB18" s="0" t="n">
        <f aca="false">AA17*Inputs!$B$12/12</f>
        <v>774216.666666667</v>
      </c>
      <c r="AC18" s="0" t="n">
        <f aca="false">AB17*Inputs!$B$12/12</f>
        <v>774216.666666667</v>
      </c>
      <c r="AD18" s="0" t="n">
        <f aca="false">AC17*Inputs!$B$12/12</f>
        <v>774216.666666667</v>
      </c>
      <c r="AE18" s="0" t="n">
        <f aca="false">AD17*Inputs!$B$12/12</f>
        <v>774216.666666667</v>
      </c>
      <c r="AF18" s="0" t="n">
        <f aca="false">AE17*Inputs!$B$12/12</f>
        <v>774216.666666667</v>
      </c>
      <c r="AG18" s="0" t="n">
        <f aca="false">AF17*Inputs!$B$12/12</f>
        <v>774216.666666667</v>
      </c>
      <c r="AH18" s="0" t="n">
        <f aca="false">AG17*Inputs!$B$12/12</f>
        <v>774216.666666667</v>
      </c>
      <c r="AI18" s="0" t="n">
        <f aca="false">AH17*Inputs!$B$12/12</f>
        <v>774216.666666667</v>
      </c>
      <c r="AJ18" s="0" t="n">
        <f aca="false">AI17*Inputs!$B$12/12</f>
        <v>774216.666666667</v>
      </c>
      <c r="AK18" s="0" t="n">
        <f aca="false">AJ17*Inputs!$B$12/12</f>
        <v>774216.666666667</v>
      </c>
      <c r="AL18" s="0" t="n">
        <f aca="false">AK17*Inputs!$B$12/12</f>
        <v>774216.666666667</v>
      </c>
      <c r="AM18" s="0" t="n">
        <f aca="false">AL17*Inputs!$B$12/12</f>
        <v>774216.666666667</v>
      </c>
      <c r="AN18" s="0" t="n">
        <f aca="false">AM17*Inputs!$B$12/12</f>
        <v>774216.666666667</v>
      </c>
      <c r="AO18" s="0" t="n">
        <f aca="false">AN17*Inputs!$B$12/12</f>
        <v>774216.666666667</v>
      </c>
      <c r="AP18" s="0" t="n">
        <f aca="false">AO17*Inputs!$B$12/12</f>
        <v>774216.666666667</v>
      </c>
      <c r="AQ18" s="0" t="n">
        <f aca="false">AP17*Inputs!$B$12/12</f>
        <v>774216.666666667</v>
      </c>
      <c r="AR18" s="0" t="n">
        <f aca="false">AQ17*Inputs!$B$12/12</f>
        <v>774216.666666667</v>
      </c>
      <c r="AS18" s="0" t="n">
        <f aca="false">AR17*Inputs!$B$12/12</f>
        <v>774216.666666667</v>
      </c>
      <c r="AT18" s="0" t="n">
        <f aca="false">AS17*Inputs!$B$12/12</f>
        <v>774216.666666667</v>
      </c>
      <c r="AU18" s="0" t="n">
        <f aca="false">AT17*Inputs!$B$12/12</f>
        <v>774216.666666667</v>
      </c>
      <c r="AV18" s="0" t="n">
        <f aca="false">AU17*Inputs!$B$12/12</f>
        <v>774216.666666667</v>
      </c>
      <c r="AW18" s="0" t="n">
        <f aca="false">AV17*Inputs!$B$12/12</f>
        <v>774216.666666667</v>
      </c>
      <c r="AX18" s="0" t="n">
        <f aca="false">AW17*Inputs!$B$12/12</f>
        <v>774216.666666667</v>
      </c>
      <c r="AY18" s="0" t="n">
        <f aca="false">AX17*Inputs!$B$12/12</f>
        <v>774216.666666667</v>
      </c>
      <c r="AZ18" s="0" t="n">
        <f aca="false">AY17*Inputs!$B$12/12</f>
        <v>774216.666666667</v>
      </c>
      <c r="BA18" s="0" t="n">
        <f aca="false">AZ17*Inputs!$B$12/12</f>
        <v>774216.666666667</v>
      </c>
      <c r="BB18" s="0" t="n">
        <f aca="false">BA17*Inputs!$B$12/12</f>
        <v>774216.666666667</v>
      </c>
      <c r="BC18" s="0" t="n">
        <f aca="false">BB17*Inputs!$B$12/12</f>
        <v>774216.666666667</v>
      </c>
      <c r="BD18" s="0" t="n">
        <f aca="false">BC17*Inputs!$B$12/12</f>
        <v>774216.666666667</v>
      </c>
      <c r="BE18" s="0" t="n">
        <f aca="false">BD17*Inputs!$B$12/12</f>
        <v>774216.666666667</v>
      </c>
      <c r="BF18" s="0" t="n">
        <f aca="false">BE17*Inputs!$B$12/12</f>
        <v>774216.666666667</v>
      </c>
      <c r="BG18" s="0" t="n">
        <f aca="false">BF17*Inputs!$B$12/12</f>
        <v>774216.666666667</v>
      </c>
      <c r="BH18" s="0" t="n">
        <f aca="false">BG17*Inputs!$B$12/12</f>
        <v>774216.666666667</v>
      </c>
      <c r="BI18" s="0" t="n">
        <f aca="false">BH17*Inputs!$B$12/12</f>
        <v>774216.666666667</v>
      </c>
      <c r="BJ18" s="0" t="n">
        <f aca="false">BI17*Inputs!$B$12/12</f>
        <v>774216.666666667</v>
      </c>
      <c r="BK18" s="0" t="n">
        <f aca="false">BJ17*Inputs!$B$12/12</f>
        <v>774216.666666667</v>
      </c>
      <c r="BL18" s="0" t="n">
        <f aca="false">BK17*Inputs!$B$12/12</f>
        <v>772926.305555556</v>
      </c>
      <c r="BM18" s="0" t="n">
        <f aca="false">BL17*Inputs!$B$12/12</f>
        <v>771635.944444445</v>
      </c>
      <c r="BN18" s="0" t="n">
        <f aca="false">BM17*Inputs!$B$12/12</f>
        <v>770345.583333334</v>
      </c>
      <c r="BO18" s="0" t="n">
        <f aca="false">BN17*Inputs!$B$12/12</f>
        <v>769055.222222223</v>
      </c>
      <c r="BP18" s="0" t="n">
        <f aca="false">BO17*Inputs!$B$12/12</f>
        <v>767764.861111112</v>
      </c>
      <c r="BQ18" s="0" t="n">
        <f aca="false">BP17*Inputs!$B$12/12</f>
        <v>766474.5</v>
      </c>
      <c r="BR18" s="0" t="n">
        <f aca="false">BQ17*Inputs!$B$12/12</f>
        <v>765184.138888889</v>
      </c>
      <c r="BS18" s="0" t="n">
        <f aca="false">BR17*Inputs!$B$12/12</f>
        <v>763893.777777778</v>
      </c>
      <c r="BT18" s="0" t="n">
        <f aca="false">BS17*Inputs!$B$12/12</f>
        <v>762603.416666667</v>
      </c>
      <c r="BU18" s="0" t="n">
        <f aca="false">BT17*Inputs!$B$12/12</f>
        <v>761313.055555556</v>
      </c>
      <c r="BV18" s="0" t="n">
        <f aca="false">BU17*Inputs!$B$12/12</f>
        <v>760022.694444445</v>
      </c>
      <c r="BW18" s="0" t="n">
        <f aca="false">BV17*Inputs!$B$12/12</f>
        <v>758732.333333334</v>
      </c>
      <c r="BX18" s="0" t="n">
        <f aca="false">BW17*Inputs!$B$12/12</f>
        <v>757441.972222223</v>
      </c>
      <c r="BY18" s="0" t="n">
        <f aca="false">BX17*Inputs!$B$12/12</f>
        <v>756151.611111112</v>
      </c>
      <c r="BZ18" s="0" t="n">
        <f aca="false">BY17*Inputs!$B$12/12</f>
        <v>754861.250000001</v>
      </c>
      <c r="CA18" s="0" t="n">
        <f aca="false">BZ17*Inputs!$B$12/12</f>
        <v>753570.88888889</v>
      </c>
      <c r="CB18" s="0" t="n">
        <f aca="false">CA17*Inputs!$B$12/12</f>
        <v>752280.527777779</v>
      </c>
      <c r="CC18" s="0" t="n">
        <f aca="false">CB17*Inputs!$B$12/12</f>
        <v>750990.166666667</v>
      </c>
      <c r="CD18" s="0" t="n">
        <f aca="false">CC17*Inputs!$B$12/12</f>
        <v>749699.805555556</v>
      </c>
      <c r="CE18" s="0" t="n">
        <f aca="false">CD17*Inputs!$B$12/12</f>
        <v>748409.444444445</v>
      </c>
      <c r="CF18" s="0" t="n">
        <f aca="false">CE17*Inputs!$B$12/12</f>
        <v>747119.083333334</v>
      </c>
      <c r="CG18" s="0" t="n">
        <f aca="false">CF17*Inputs!$B$12/12</f>
        <v>745828.722222223</v>
      </c>
      <c r="CH18" s="0" t="n">
        <f aca="false">CG17*Inputs!$B$12/12</f>
        <v>744538.361111112</v>
      </c>
      <c r="CI18" s="0" t="n">
        <f aca="false">CH17*Inputs!$B$12/12</f>
        <v>743248.000000001</v>
      </c>
      <c r="CJ18" s="0" t="n">
        <f aca="false">CI17*Inputs!$B$12/12</f>
        <v>741957.63888889</v>
      </c>
      <c r="CK18" s="0" t="n">
        <f aca="false">CJ17*Inputs!$B$12/12</f>
        <v>740667.277777779</v>
      </c>
      <c r="CL18" s="0" t="n">
        <f aca="false">CK17*Inputs!$B$12/12</f>
        <v>739376.916666668</v>
      </c>
      <c r="CM18" s="0" t="n">
        <f aca="false">CL17*Inputs!$B$12/12</f>
        <v>738086.555555557</v>
      </c>
      <c r="CN18" s="0" t="n">
        <f aca="false">CM17*Inputs!$B$12/12</f>
        <v>736796.194444446</v>
      </c>
      <c r="CO18" s="0" t="n">
        <f aca="false">CN17*Inputs!$B$12/12</f>
        <v>735505.833333334</v>
      </c>
      <c r="CP18" s="0" t="n">
        <f aca="false">CO17*Inputs!$B$12/12</f>
        <v>734215.472222223</v>
      </c>
      <c r="CQ18" s="0" t="n">
        <f aca="false">CP17*Inputs!$B$12/12</f>
        <v>732925.111111112</v>
      </c>
      <c r="CR18" s="0" t="n">
        <f aca="false">CQ17*Inputs!$B$12/12</f>
        <v>731634.750000001</v>
      </c>
      <c r="CS18" s="0" t="n">
        <f aca="false">CR17*Inputs!$B$12/12</f>
        <v>730344.38888889</v>
      </c>
      <c r="CT18" s="0" t="n">
        <f aca="false">CS17*Inputs!$B$12/12</f>
        <v>729054.027777779</v>
      </c>
      <c r="CU18" s="0" t="n">
        <f aca="false">CT17*Inputs!$B$12/12</f>
        <v>727763.666666668</v>
      </c>
      <c r="CV18" s="0" t="n">
        <f aca="false">CU17*Inputs!$B$12/12</f>
        <v>726473.305555557</v>
      </c>
      <c r="CW18" s="0" t="n">
        <f aca="false">CV17*Inputs!$B$12/12</f>
        <v>725182.944444446</v>
      </c>
      <c r="CX18" s="0" t="n">
        <f aca="false">CW17*Inputs!$B$12/12</f>
        <v>723892.583333335</v>
      </c>
      <c r="CY18" s="0" t="n">
        <f aca="false">CX17*Inputs!$B$12/12</f>
        <v>722602.222222224</v>
      </c>
      <c r="CZ18" s="0" t="n">
        <f aca="false">CY17*Inputs!$B$12/12</f>
        <v>721311.861111113</v>
      </c>
      <c r="DA18" s="0" t="n">
        <f aca="false">CZ17*Inputs!$B$12/12</f>
        <v>720021.500000002</v>
      </c>
      <c r="DB18" s="0" t="n">
        <f aca="false">DA17*Inputs!$B$12/12</f>
        <v>718731.138888891</v>
      </c>
      <c r="DC18" s="0" t="n">
        <f aca="false">DB17*Inputs!$B$12/12</f>
        <v>717440.777777779</v>
      </c>
      <c r="DD18" s="0" t="n">
        <f aca="false">DC17*Inputs!$B$12/12</f>
        <v>716150.416666668</v>
      </c>
      <c r="DE18" s="0" t="n">
        <f aca="false">DD17*Inputs!$B$12/12</f>
        <v>714860.055555557</v>
      </c>
      <c r="DF18" s="0" t="n">
        <f aca="false">DE17*Inputs!$B$12/12</f>
        <v>713569.694444446</v>
      </c>
      <c r="DG18" s="0" t="n">
        <f aca="false">DF17*Inputs!$B$12/12</f>
        <v>712279.333333335</v>
      </c>
      <c r="DH18" s="0" t="n">
        <f aca="false">DG17*Inputs!$B$12/12</f>
        <v>710988.972222224</v>
      </c>
      <c r="DI18" s="0" t="n">
        <f aca="false">DH17*Inputs!$B$12/12</f>
        <v>709698.611111113</v>
      </c>
      <c r="DJ18" s="0" t="n">
        <f aca="false">DI17*Inputs!$B$12/12</f>
        <v>708408.250000002</v>
      </c>
      <c r="DK18" s="0" t="n">
        <f aca="false">DJ17*Inputs!$B$12/12</f>
        <v>707117.888888891</v>
      </c>
      <c r="DL18" s="0" t="n">
        <f aca="false">DK17*Inputs!$B$12/12</f>
        <v>705827.52777778</v>
      </c>
      <c r="DM18" s="0" t="n">
        <f aca="false">DL17*Inputs!$B$12/12</f>
        <v>704537.166666669</v>
      </c>
      <c r="DN18" s="0" t="n">
        <f aca="false">DM17*Inputs!$B$12/12</f>
        <v>703246.805555558</v>
      </c>
      <c r="DO18" s="0" t="n">
        <f aca="false">DN17*Inputs!$B$12/12</f>
        <v>701956.444444447</v>
      </c>
      <c r="DP18" s="0" t="n">
        <f aca="false">DO17*Inputs!$B$12/12</f>
        <v>700666.083333335</v>
      </c>
      <c r="DQ18" s="0" t="n">
        <f aca="false">DP17*Inputs!$B$12/12</f>
        <v>699375.722222224</v>
      </c>
      <c r="DR18" s="0" t="n">
        <f aca="false">DQ17*Inputs!$B$12/12</f>
        <v>698085.361111113</v>
      </c>
      <c r="DS18" s="0" t="n">
        <f aca="false">DR17*Inputs!$B$12/12</f>
        <v>696795.000000002</v>
      </c>
      <c r="DT18" s="0" t="n">
        <f aca="false">DS17*Inputs!$B$12/12</f>
        <v>695504.638888891</v>
      </c>
      <c r="DU18" s="0" t="n">
        <f aca="false">DT17*Inputs!$B$12/12</f>
        <v>694214.27777778</v>
      </c>
      <c r="DV18" s="0" t="n">
        <f aca="false">DU17*Inputs!$B$12/12</f>
        <v>692923.916666669</v>
      </c>
      <c r="DW18" s="0" t="n">
        <f aca="false">DV17*Inputs!$B$12/12</f>
        <v>691633.555555558</v>
      </c>
      <c r="DX18" s="0" t="n">
        <f aca="false">DW17*Inputs!$B$12/12</f>
        <v>690343.194444447</v>
      </c>
      <c r="DY18" s="0" t="n">
        <f aca="false">DX17*Inputs!$B$12/12</f>
        <v>689052.833333336</v>
      </c>
      <c r="DZ18" s="0" t="n">
        <f aca="false">DY17*Inputs!$B$12/12</f>
        <v>687762.472222225</v>
      </c>
      <c r="EA18" s="0" t="n">
        <f aca="false">DZ17*Inputs!$B$12/12</f>
        <v>686472.111111114</v>
      </c>
      <c r="EB18" s="0" t="n">
        <f aca="false">EA17*Inputs!$B$12/12</f>
        <v>685181.750000002</v>
      </c>
      <c r="EC18" s="0" t="n">
        <f aca="false">EB17*Inputs!$B$12/12</f>
        <v>683891.388888891</v>
      </c>
      <c r="ED18" s="0" t="n">
        <f aca="false">EC17*Inputs!$B$12/12</f>
        <v>682601.02777778</v>
      </c>
      <c r="EE18" s="0" t="n">
        <f aca="false">ED17*Inputs!$B$12/12</f>
        <v>681310.666666669</v>
      </c>
      <c r="EF18" s="0" t="n">
        <f aca="false">EE17*Inputs!$B$12/12</f>
        <v>680020.305555558</v>
      </c>
      <c r="EG18" s="0" t="n">
        <f aca="false">EF17*Inputs!$B$12/12</f>
        <v>678729.944444447</v>
      </c>
      <c r="EH18" s="0" t="n">
        <f aca="false">EG17*Inputs!$B$12/12</f>
        <v>677439.583333336</v>
      </c>
      <c r="EI18" s="0" t="n">
        <f aca="false">EH17*Inputs!$B$12/12</f>
        <v>676149.222222225</v>
      </c>
      <c r="EJ18" s="0" t="n">
        <f aca="false">EI17*Inputs!$B$12/12</f>
        <v>674858.861111114</v>
      </c>
      <c r="EK18" s="0" t="n">
        <f aca="false">EJ17*Inputs!$B$12/12</f>
        <v>673568.500000003</v>
      </c>
      <c r="EL18" s="0" t="n">
        <f aca="false">EK17*Inputs!$B$12/12</f>
        <v>672278.138888892</v>
      </c>
      <c r="EM18" s="0" t="n">
        <f aca="false">EL17*Inputs!$B$12/12</f>
        <v>670987.777777781</v>
      </c>
      <c r="EN18" s="0" t="n">
        <f aca="false">EM17*Inputs!$B$12/12</f>
        <v>669697.41666667</v>
      </c>
      <c r="EO18" s="0" t="n">
        <f aca="false">EN17*Inputs!$B$12/12</f>
        <v>668407.055555558</v>
      </c>
      <c r="EP18" s="0" t="n">
        <f aca="false">EO17*Inputs!$B$12/12</f>
        <v>667116.694444447</v>
      </c>
      <c r="EQ18" s="0" t="n">
        <f aca="false">EP17*Inputs!$B$12/12</f>
        <v>665826.333333336</v>
      </c>
      <c r="ER18" s="0" t="n">
        <f aca="false">EQ17*Inputs!$B$12/12</f>
        <v>664535.972222225</v>
      </c>
      <c r="ES18" s="0" t="n">
        <f aca="false">ER17*Inputs!$B$12/12</f>
        <v>663245.611111114</v>
      </c>
      <c r="ET18" s="0" t="n">
        <f aca="false">ES17*Inputs!$B$12/12</f>
        <v>661955.250000003</v>
      </c>
      <c r="EU18" s="0" t="n">
        <f aca="false">ET17*Inputs!$B$12/12</f>
        <v>660664.888888892</v>
      </c>
      <c r="EV18" s="0" t="n">
        <f aca="false">EU17*Inputs!$B$12/12</f>
        <v>659374.527777781</v>
      </c>
      <c r="EW18" s="0" t="n">
        <f aca="false">EV17*Inputs!$B$12/12</f>
        <v>658084.16666667</v>
      </c>
      <c r="EX18" s="0" t="n">
        <f aca="false">EW17*Inputs!$B$12/12</f>
        <v>656793.805555559</v>
      </c>
      <c r="EY18" s="0" t="n">
        <f aca="false">EX17*Inputs!$B$12/12</f>
        <v>655503.444444448</v>
      </c>
      <c r="EZ18" s="0" t="n">
        <f aca="false">EY17*Inputs!$B$12/12</f>
        <v>654213.083333337</v>
      </c>
      <c r="FA18" s="0" t="n">
        <f aca="false">EZ17*Inputs!$B$12/12</f>
        <v>652922.722222226</v>
      </c>
      <c r="FB18" s="0" t="n">
        <f aca="false">FA17*Inputs!$B$12/12</f>
        <v>651632.361111115</v>
      </c>
      <c r="FC18" s="0" t="n">
        <f aca="false">FB17*Inputs!$B$12/12</f>
        <v>650342.000000003</v>
      </c>
      <c r="FD18" s="0" t="n">
        <f aca="false">FC17*Inputs!$B$12/12</f>
        <v>649051.638888892</v>
      </c>
      <c r="FE18" s="0" t="n">
        <f aca="false">FD17*Inputs!$B$12/12</f>
        <v>647761.277777781</v>
      </c>
      <c r="FF18" s="0" t="n">
        <f aca="false">FE17*Inputs!$B$12/12</f>
        <v>646470.91666667</v>
      </c>
      <c r="FG18" s="0" t="n">
        <f aca="false">FF17*Inputs!$B$12/12</f>
        <v>645180.555555559</v>
      </c>
      <c r="FH18" s="0" t="n">
        <f aca="false">FG17*Inputs!$B$12/12</f>
        <v>643890.194444448</v>
      </c>
      <c r="FI18" s="0" t="n">
        <f aca="false">FH17*Inputs!$B$12/12</f>
        <v>642599.833333337</v>
      </c>
      <c r="FJ18" s="0" t="n">
        <f aca="false">FI17*Inputs!$B$12/12</f>
        <v>641309.472222226</v>
      </c>
      <c r="FK18" s="0" t="n">
        <f aca="false">FJ17*Inputs!$B$12/12</f>
        <v>640019.111111115</v>
      </c>
      <c r="FL18" s="0" t="n">
        <f aca="false">FK17*Inputs!$B$12/12</f>
        <v>638728.750000004</v>
      </c>
      <c r="FM18" s="0" t="n">
        <f aca="false">FL17*Inputs!$B$12/12</f>
        <v>637438.388888893</v>
      </c>
      <c r="FN18" s="0" t="n">
        <f aca="false">FM17*Inputs!$B$12/12</f>
        <v>636148.027777782</v>
      </c>
      <c r="FO18" s="0" t="n">
        <f aca="false">FN17*Inputs!$B$12/12</f>
        <v>634857.666666671</v>
      </c>
      <c r="FP18" s="0" t="n">
        <f aca="false">FO17*Inputs!$B$12/12</f>
        <v>633567.305555559</v>
      </c>
      <c r="FQ18" s="0" t="n">
        <f aca="false">FP17*Inputs!$B$12/12</f>
        <v>632276.944444448</v>
      </c>
      <c r="FR18" s="0" t="n">
        <f aca="false">FQ17*Inputs!$B$12/12</f>
        <v>630986.583333337</v>
      </c>
      <c r="FS18" s="0" t="n">
        <f aca="false">FR17*Inputs!$B$12/12</f>
        <v>629696.222222226</v>
      </c>
      <c r="FT18" s="0" t="n">
        <f aca="false">FS17*Inputs!$B$12/12</f>
        <v>628405.861111115</v>
      </c>
      <c r="FU18" s="0" t="n">
        <f aca="false">FT17*Inputs!$B$12/12</f>
        <v>627115.500000004</v>
      </c>
      <c r="FV18" s="0" t="n">
        <f aca="false">FU17*Inputs!$B$12/12</f>
        <v>625825.138888893</v>
      </c>
      <c r="FW18" s="0" t="n">
        <f aca="false">FV17*Inputs!$B$12/12</f>
        <v>624534.777777782</v>
      </c>
      <c r="FX18" s="0" t="n">
        <f aca="false">FW17*Inputs!$B$12/12</f>
        <v>623244.416666671</v>
      </c>
      <c r="FY18" s="0" t="n">
        <f aca="false">FX17*Inputs!$B$12/12</f>
        <v>621954.05555556</v>
      </c>
      <c r="FZ18" s="0" t="n">
        <f aca="false">FY17*Inputs!$B$12/12</f>
        <v>620663.694444449</v>
      </c>
    </row>
    <row r="19" customFormat="false" ht="15" hidden="false" customHeight="false" outlineLevel="0" collapsed="false">
      <c r="A19" s="0" t="s">
        <v>40</v>
      </c>
      <c r="B19" s="0" t="n">
        <f aca="false">0</f>
        <v>0</v>
      </c>
      <c r="C19" s="0" t="n">
        <f aca="false">IF(C$3&gt;Inputs!$B$13,Inputs!$B$4*Inputs!$B$11*Inputs!$B$14/12,0)</f>
        <v>0</v>
      </c>
      <c r="D19" s="0" t="n">
        <f aca="false">IF(D$3&gt;Inputs!$B$13,Inputs!$B$4*Inputs!$B$11*Inputs!$B$14/12,0)</f>
        <v>0</v>
      </c>
      <c r="E19" s="0" t="n">
        <f aca="false">IF(E$3&gt;Inputs!$B$13,Inputs!$B$4*Inputs!$B$11*Inputs!$B$14/12,0)</f>
        <v>0</v>
      </c>
      <c r="F19" s="0" t="n">
        <f aca="false">IF(F$3&gt;Inputs!$B$13,Inputs!$B$4*Inputs!$B$11*Inputs!$B$14/12,0)</f>
        <v>0</v>
      </c>
      <c r="G19" s="0" t="n">
        <f aca="false">IF(G$3&gt;Inputs!$B$13,Inputs!$B$4*Inputs!$B$11*Inputs!$B$14/12,0)</f>
        <v>0</v>
      </c>
      <c r="H19" s="0" t="n">
        <f aca="false">IF(H$3&gt;Inputs!$B$13,Inputs!$B$4*Inputs!$B$11*Inputs!$B$14/12,0)</f>
        <v>0</v>
      </c>
      <c r="I19" s="0" t="n">
        <f aca="false">IF(I$3&gt;Inputs!$B$13,Inputs!$B$4*Inputs!$B$11*Inputs!$B$14/12,0)</f>
        <v>0</v>
      </c>
      <c r="J19" s="0" t="n">
        <f aca="false">IF(J$3&gt;Inputs!$B$13,Inputs!$B$4*Inputs!$B$11*Inputs!$B$14/12,0)</f>
        <v>0</v>
      </c>
      <c r="K19" s="0" t="n">
        <f aca="false">IF(K$3&gt;Inputs!$B$13,Inputs!$B$4*Inputs!$B$11*Inputs!$B$14/12,0)</f>
        <v>0</v>
      </c>
      <c r="L19" s="0" t="n">
        <f aca="false">IF(L$3&gt;Inputs!$B$13,Inputs!$B$4*Inputs!$B$11*Inputs!$B$14/12,0)</f>
        <v>0</v>
      </c>
      <c r="M19" s="0" t="n">
        <f aca="false">IF(M$3&gt;Inputs!$B$13,Inputs!$B$4*Inputs!$B$11*Inputs!$B$14/12,0)</f>
        <v>0</v>
      </c>
      <c r="N19" s="0" t="n">
        <f aca="false">IF(N$3&gt;Inputs!$B$13,Inputs!$B$4*Inputs!$B$11*Inputs!$B$14/12,0)</f>
        <v>0</v>
      </c>
      <c r="O19" s="0" t="n">
        <f aca="false">IF(O$3&gt;Inputs!$B$13,Inputs!$B$4*Inputs!$B$11*Inputs!$B$14/12,0)</f>
        <v>0</v>
      </c>
      <c r="P19" s="0" t="n">
        <f aca="false">IF(P$3&gt;Inputs!$B$13,Inputs!$B$4*Inputs!$B$11*Inputs!$B$14/12,0)</f>
        <v>0</v>
      </c>
      <c r="Q19" s="0" t="n">
        <f aca="false">IF(Q$3&gt;Inputs!$B$13,Inputs!$B$4*Inputs!$B$11*Inputs!$B$14/12,0)</f>
        <v>0</v>
      </c>
      <c r="R19" s="0" t="n">
        <f aca="false">IF(R$3&gt;Inputs!$B$13,Inputs!$B$4*Inputs!$B$11*Inputs!$B$14/12,0)</f>
        <v>0</v>
      </c>
      <c r="S19" s="0" t="n">
        <f aca="false">IF(S$3&gt;Inputs!$B$13,Inputs!$B$4*Inputs!$B$11*Inputs!$B$14/12,0)</f>
        <v>0</v>
      </c>
      <c r="T19" s="0" t="n">
        <f aca="false">IF(T$3&gt;Inputs!$B$13,Inputs!$B$4*Inputs!$B$11*Inputs!$B$14/12,0)</f>
        <v>0</v>
      </c>
      <c r="U19" s="0" t="n">
        <f aca="false">IF(U$3&gt;Inputs!$B$13,Inputs!$B$4*Inputs!$B$11*Inputs!$B$14/12,0)</f>
        <v>0</v>
      </c>
      <c r="V19" s="0" t="n">
        <f aca="false">IF(V$3&gt;Inputs!$B$13,Inputs!$B$4*Inputs!$B$11*Inputs!$B$14/12,0)</f>
        <v>0</v>
      </c>
      <c r="W19" s="0" t="n">
        <f aca="false">IF(W$3&gt;Inputs!$B$13,Inputs!$B$4*Inputs!$B$11*Inputs!$B$14/12,0)</f>
        <v>0</v>
      </c>
      <c r="X19" s="0" t="n">
        <f aca="false">IF(X$3&gt;Inputs!$B$13,Inputs!$B$4*Inputs!$B$11*Inputs!$B$14/12,0)</f>
        <v>0</v>
      </c>
      <c r="Y19" s="0" t="n">
        <f aca="false">IF(Y$3&gt;Inputs!$B$13,Inputs!$B$4*Inputs!$B$11*Inputs!$B$14/12,0)</f>
        <v>0</v>
      </c>
      <c r="Z19" s="0" t="n">
        <f aca="false">IF(Z$3&gt;Inputs!$B$13,Inputs!$B$4*Inputs!$B$11*Inputs!$B$14/12,0)</f>
        <v>0</v>
      </c>
      <c r="AA19" s="0" t="n">
        <f aca="false">IF(AA$3&gt;Inputs!$B$13,Inputs!$B$4*Inputs!$B$11*Inputs!$B$14/12,0)</f>
        <v>0</v>
      </c>
      <c r="AB19" s="0" t="n">
        <f aca="false">IF(AB$3&gt;Inputs!$B$13,Inputs!$B$4*Inputs!$B$11*Inputs!$B$14/12,0)</f>
        <v>0</v>
      </c>
      <c r="AC19" s="0" t="n">
        <f aca="false">IF(AC$3&gt;Inputs!$B$13,Inputs!$B$4*Inputs!$B$11*Inputs!$B$14/12,0)</f>
        <v>0</v>
      </c>
      <c r="AD19" s="0" t="n">
        <f aca="false">IF(AD$3&gt;Inputs!$B$13,Inputs!$B$4*Inputs!$B$11*Inputs!$B$14/12,0)</f>
        <v>0</v>
      </c>
      <c r="AE19" s="0" t="n">
        <f aca="false">IF(AE$3&gt;Inputs!$B$13,Inputs!$B$4*Inputs!$B$11*Inputs!$B$14/12,0)</f>
        <v>0</v>
      </c>
      <c r="AF19" s="0" t="n">
        <f aca="false">IF(AF$3&gt;Inputs!$B$13,Inputs!$B$4*Inputs!$B$11*Inputs!$B$14/12,0)</f>
        <v>0</v>
      </c>
      <c r="AG19" s="0" t="n">
        <f aca="false">IF(AG$3&gt;Inputs!$B$13,Inputs!$B$4*Inputs!$B$11*Inputs!$B$14/12,0)</f>
        <v>0</v>
      </c>
      <c r="AH19" s="0" t="n">
        <f aca="false">IF(AH$3&gt;Inputs!$B$13,Inputs!$B$4*Inputs!$B$11*Inputs!$B$14/12,0)</f>
        <v>0</v>
      </c>
      <c r="AI19" s="0" t="n">
        <f aca="false">IF(AI$3&gt;Inputs!$B$13,Inputs!$B$4*Inputs!$B$11*Inputs!$B$14/12,0)</f>
        <v>0</v>
      </c>
      <c r="AJ19" s="0" t="n">
        <f aca="false">IF(AJ$3&gt;Inputs!$B$13,Inputs!$B$4*Inputs!$B$11*Inputs!$B$14/12,0)</f>
        <v>0</v>
      </c>
      <c r="AK19" s="0" t="n">
        <f aca="false">IF(AK$3&gt;Inputs!$B$13,Inputs!$B$4*Inputs!$B$11*Inputs!$B$14/12,0)</f>
        <v>0</v>
      </c>
      <c r="AL19" s="0" t="n">
        <f aca="false">IF(AL$3&gt;Inputs!$B$13,Inputs!$B$4*Inputs!$B$11*Inputs!$B$14/12,0)</f>
        <v>0</v>
      </c>
      <c r="AM19" s="0" t="n">
        <f aca="false">IF(AM$3&gt;Inputs!$B$13,Inputs!$B$4*Inputs!$B$11*Inputs!$B$14/12,0)</f>
        <v>0</v>
      </c>
      <c r="AN19" s="0" t="n">
        <f aca="false">IF(AN$3&gt;Inputs!$B$13,Inputs!$B$4*Inputs!$B$11*Inputs!$B$14/12,0)</f>
        <v>0</v>
      </c>
      <c r="AO19" s="0" t="n">
        <f aca="false">IF(AO$3&gt;Inputs!$B$13,Inputs!$B$4*Inputs!$B$11*Inputs!$B$14/12,0)</f>
        <v>0</v>
      </c>
      <c r="AP19" s="0" t="n">
        <f aca="false">IF(AP$3&gt;Inputs!$B$13,Inputs!$B$4*Inputs!$B$11*Inputs!$B$14/12,0)</f>
        <v>0</v>
      </c>
      <c r="AQ19" s="0" t="n">
        <f aca="false">IF(AQ$3&gt;Inputs!$B$13,Inputs!$B$4*Inputs!$B$11*Inputs!$B$14/12,0)</f>
        <v>0</v>
      </c>
      <c r="AR19" s="0" t="n">
        <f aca="false">IF(AR$3&gt;Inputs!$B$13,Inputs!$B$4*Inputs!$B$11*Inputs!$B$14/12,0)</f>
        <v>0</v>
      </c>
      <c r="AS19" s="0" t="n">
        <f aca="false">IF(AS$3&gt;Inputs!$B$13,Inputs!$B$4*Inputs!$B$11*Inputs!$B$14/12,0)</f>
        <v>0</v>
      </c>
      <c r="AT19" s="0" t="n">
        <f aca="false">IF(AT$3&gt;Inputs!$B$13,Inputs!$B$4*Inputs!$B$11*Inputs!$B$14/12,0)</f>
        <v>0</v>
      </c>
      <c r="AU19" s="0" t="n">
        <f aca="false">IF(AU$3&gt;Inputs!$B$13,Inputs!$B$4*Inputs!$B$11*Inputs!$B$14/12,0)</f>
        <v>0</v>
      </c>
      <c r="AV19" s="0" t="n">
        <f aca="false">IF(AV$3&gt;Inputs!$B$13,Inputs!$B$4*Inputs!$B$11*Inputs!$B$14/12,0)</f>
        <v>0</v>
      </c>
      <c r="AW19" s="0" t="n">
        <f aca="false">IF(AW$3&gt;Inputs!$B$13,Inputs!$B$4*Inputs!$B$11*Inputs!$B$14/12,0)</f>
        <v>0</v>
      </c>
      <c r="AX19" s="0" t="n">
        <f aca="false">IF(AX$3&gt;Inputs!$B$13,Inputs!$B$4*Inputs!$B$11*Inputs!$B$14/12,0)</f>
        <v>0</v>
      </c>
      <c r="AY19" s="0" t="n">
        <f aca="false">IF(AY$3&gt;Inputs!$B$13,Inputs!$B$4*Inputs!$B$11*Inputs!$B$14/12,0)</f>
        <v>0</v>
      </c>
      <c r="AZ19" s="0" t="n">
        <f aca="false">IF(AZ$3&gt;Inputs!$B$13,Inputs!$B$4*Inputs!$B$11*Inputs!$B$14/12,0)</f>
        <v>0</v>
      </c>
      <c r="BA19" s="0" t="n">
        <f aca="false">IF(BA$3&gt;Inputs!$B$13,Inputs!$B$4*Inputs!$B$11*Inputs!$B$14/12,0)</f>
        <v>0</v>
      </c>
      <c r="BB19" s="0" t="n">
        <f aca="false">IF(BB$3&gt;Inputs!$B$13,Inputs!$B$4*Inputs!$B$11*Inputs!$B$14/12,0)</f>
        <v>0</v>
      </c>
      <c r="BC19" s="0" t="n">
        <f aca="false">IF(BC$3&gt;Inputs!$B$13,Inputs!$B$4*Inputs!$B$11*Inputs!$B$14/12,0)</f>
        <v>0</v>
      </c>
      <c r="BD19" s="0" t="n">
        <f aca="false">IF(BD$3&gt;Inputs!$B$13,Inputs!$B$4*Inputs!$B$11*Inputs!$B$14/12,0)</f>
        <v>0</v>
      </c>
      <c r="BE19" s="0" t="n">
        <f aca="false">IF(BE$3&gt;Inputs!$B$13,Inputs!$B$4*Inputs!$B$11*Inputs!$B$14/12,0)</f>
        <v>0</v>
      </c>
      <c r="BF19" s="0" t="n">
        <f aca="false">IF(BF$3&gt;Inputs!$B$13,Inputs!$B$4*Inputs!$B$11*Inputs!$B$14/12,0)</f>
        <v>0</v>
      </c>
      <c r="BG19" s="0" t="n">
        <f aca="false">IF(BG$3&gt;Inputs!$B$13,Inputs!$B$4*Inputs!$B$11*Inputs!$B$14/12,0)</f>
        <v>0</v>
      </c>
      <c r="BH19" s="0" t="n">
        <f aca="false">IF(BH$3&gt;Inputs!$B$13,Inputs!$B$4*Inputs!$B$11*Inputs!$B$14/12,0)</f>
        <v>0</v>
      </c>
      <c r="BI19" s="0" t="n">
        <f aca="false">IF(BI$3&gt;Inputs!$B$13,Inputs!$B$4*Inputs!$B$11*Inputs!$B$14/12,0)</f>
        <v>0</v>
      </c>
      <c r="BJ19" s="0" t="n">
        <f aca="false">IF(BJ$3&gt;Inputs!$B$13,Inputs!$B$4*Inputs!$B$11*Inputs!$B$14/12,0)</f>
        <v>0</v>
      </c>
      <c r="BK19" s="0" t="n">
        <f aca="false">IF(BK$3&gt;Inputs!$B$13,Inputs!$B$4*Inputs!$B$11*Inputs!$B$14/12,0)</f>
        <v>377666.666666667</v>
      </c>
      <c r="BL19" s="0" t="n">
        <f aca="false">IF(BL$3&gt;Inputs!$B$13,Inputs!$B$4*Inputs!$B$11*Inputs!$B$14/12,0)</f>
        <v>377666.666666667</v>
      </c>
      <c r="BM19" s="0" t="n">
        <f aca="false">IF(BM$3&gt;Inputs!$B$13,Inputs!$B$4*Inputs!$B$11*Inputs!$B$14/12,0)</f>
        <v>377666.666666667</v>
      </c>
      <c r="BN19" s="0" t="n">
        <f aca="false">IF(BN$3&gt;Inputs!$B$13,Inputs!$B$4*Inputs!$B$11*Inputs!$B$14/12,0)</f>
        <v>377666.666666667</v>
      </c>
      <c r="BO19" s="0" t="n">
        <f aca="false">IF(BO$3&gt;Inputs!$B$13,Inputs!$B$4*Inputs!$B$11*Inputs!$B$14/12,0)</f>
        <v>377666.666666667</v>
      </c>
      <c r="BP19" s="0" t="n">
        <f aca="false">IF(BP$3&gt;Inputs!$B$13,Inputs!$B$4*Inputs!$B$11*Inputs!$B$14/12,0)</f>
        <v>377666.666666667</v>
      </c>
      <c r="BQ19" s="0" t="n">
        <f aca="false">IF(BQ$3&gt;Inputs!$B$13,Inputs!$B$4*Inputs!$B$11*Inputs!$B$14/12,0)</f>
        <v>377666.666666667</v>
      </c>
      <c r="BR19" s="0" t="n">
        <f aca="false">IF(BR$3&gt;Inputs!$B$13,Inputs!$B$4*Inputs!$B$11*Inputs!$B$14/12,0)</f>
        <v>377666.666666667</v>
      </c>
      <c r="BS19" s="0" t="n">
        <f aca="false">IF(BS$3&gt;Inputs!$B$13,Inputs!$B$4*Inputs!$B$11*Inputs!$B$14/12,0)</f>
        <v>377666.666666667</v>
      </c>
      <c r="BT19" s="0" t="n">
        <f aca="false">IF(BT$3&gt;Inputs!$B$13,Inputs!$B$4*Inputs!$B$11*Inputs!$B$14/12,0)</f>
        <v>377666.666666667</v>
      </c>
      <c r="BU19" s="0" t="n">
        <f aca="false">IF(BU$3&gt;Inputs!$B$13,Inputs!$B$4*Inputs!$B$11*Inputs!$B$14/12,0)</f>
        <v>377666.666666667</v>
      </c>
      <c r="BV19" s="0" t="n">
        <f aca="false">IF(BV$3&gt;Inputs!$B$13,Inputs!$B$4*Inputs!$B$11*Inputs!$B$14/12,0)</f>
        <v>377666.666666667</v>
      </c>
      <c r="BW19" s="0" t="n">
        <f aca="false">IF(BW$3&gt;Inputs!$B$13,Inputs!$B$4*Inputs!$B$11*Inputs!$B$14/12,0)</f>
        <v>377666.666666667</v>
      </c>
      <c r="BX19" s="0" t="n">
        <f aca="false">IF(BX$3&gt;Inputs!$B$13,Inputs!$B$4*Inputs!$B$11*Inputs!$B$14/12,0)</f>
        <v>377666.666666667</v>
      </c>
      <c r="BY19" s="0" t="n">
        <f aca="false">IF(BY$3&gt;Inputs!$B$13,Inputs!$B$4*Inputs!$B$11*Inputs!$B$14/12,0)</f>
        <v>377666.666666667</v>
      </c>
      <c r="BZ19" s="0" t="n">
        <f aca="false">IF(BZ$3&gt;Inputs!$B$13,Inputs!$B$4*Inputs!$B$11*Inputs!$B$14/12,0)</f>
        <v>377666.666666667</v>
      </c>
      <c r="CA19" s="0" t="n">
        <f aca="false">IF(CA$3&gt;Inputs!$B$13,Inputs!$B$4*Inputs!$B$11*Inputs!$B$14/12,0)</f>
        <v>377666.666666667</v>
      </c>
      <c r="CB19" s="0" t="n">
        <f aca="false">IF(CB$3&gt;Inputs!$B$13,Inputs!$B$4*Inputs!$B$11*Inputs!$B$14/12,0)</f>
        <v>377666.666666667</v>
      </c>
      <c r="CC19" s="0" t="n">
        <f aca="false">IF(CC$3&gt;Inputs!$B$13,Inputs!$B$4*Inputs!$B$11*Inputs!$B$14/12,0)</f>
        <v>377666.666666667</v>
      </c>
      <c r="CD19" s="0" t="n">
        <f aca="false">IF(CD$3&gt;Inputs!$B$13,Inputs!$B$4*Inputs!$B$11*Inputs!$B$14/12,0)</f>
        <v>377666.666666667</v>
      </c>
      <c r="CE19" s="0" t="n">
        <f aca="false">IF(CE$3&gt;Inputs!$B$13,Inputs!$B$4*Inputs!$B$11*Inputs!$B$14/12,0)</f>
        <v>377666.666666667</v>
      </c>
      <c r="CF19" s="0" t="n">
        <f aca="false">IF(CF$3&gt;Inputs!$B$13,Inputs!$B$4*Inputs!$B$11*Inputs!$B$14/12,0)</f>
        <v>377666.666666667</v>
      </c>
      <c r="CG19" s="0" t="n">
        <f aca="false">IF(CG$3&gt;Inputs!$B$13,Inputs!$B$4*Inputs!$B$11*Inputs!$B$14/12,0)</f>
        <v>377666.666666667</v>
      </c>
      <c r="CH19" s="0" t="n">
        <f aca="false">IF(CH$3&gt;Inputs!$B$13,Inputs!$B$4*Inputs!$B$11*Inputs!$B$14/12,0)</f>
        <v>377666.666666667</v>
      </c>
      <c r="CI19" s="0" t="n">
        <f aca="false">IF(CI$3&gt;Inputs!$B$13,Inputs!$B$4*Inputs!$B$11*Inputs!$B$14/12,0)</f>
        <v>377666.666666667</v>
      </c>
      <c r="CJ19" s="0" t="n">
        <f aca="false">IF(CJ$3&gt;Inputs!$B$13,Inputs!$B$4*Inputs!$B$11*Inputs!$B$14/12,0)</f>
        <v>377666.666666667</v>
      </c>
      <c r="CK19" s="0" t="n">
        <f aca="false">IF(CK$3&gt;Inputs!$B$13,Inputs!$B$4*Inputs!$B$11*Inputs!$B$14/12,0)</f>
        <v>377666.666666667</v>
      </c>
      <c r="CL19" s="0" t="n">
        <f aca="false">IF(CL$3&gt;Inputs!$B$13,Inputs!$B$4*Inputs!$B$11*Inputs!$B$14/12,0)</f>
        <v>377666.666666667</v>
      </c>
      <c r="CM19" s="0" t="n">
        <f aca="false">IF(CM$3&gt;Inputs!$B$13,Inputs!$B$4*Inputs!$B$11*Inputs!$B$14/12,0)</f>
        <v>377666.666666667</v>
      </c>
      <c r="CN19" s="0" t="n">
        <f aca="false">IF(CN$3&gt;Inputs!$B$13,Inputs!$B$4*Inputs!$B$11*Inputs!$B$14/12,0)</f>
        <v>377666.666666667</v>
      </c>
      <c r="CO19" s="0" t="n">
        <f aca="false">IF(CO$3&gt;Inputs!$B$13,Inputs!$B$4*Inputs!$B$11*Inputs!$B$14/12,0)</f>
        <v>377666.666666667</v>
      </c>
      <c r="CP19" s="0" t="n">
        <f aca="false">IF(CP$3&gt;Inputs!$B$13,Inputs!$B$4*Inputs!$B$11*Inputs!$B$14/12,0)</f>
        <v>377666.666666667</v>
      </c>
      <c r="CQ19" s="0" t="n">
        <f aca="false">IF(CQ$3&gt;Inputs!$B$13,Inputs!$B$4*Inputs!$B$11*Inputs!$B$14/12,0)</f>
        <v>377666.666666667</v>
      </c>
      <c r="CR19" s="0" t="n">
        <f aca="false">IF(CR$3&gt;Inputs!$B$13,Inputs!$B$4*Inputs!$B$11*Inputs!$B$14/12,0)</f>
        <v>377666.666666667</v>
      </c>
      <c r="CS19" s="0" t="n">
        <f aca="false">IF(CS$3&gt;Inputs!$B$13,Inputs!$B$4*Inputs!$B$11*Inputs!$B$14/12,0)</f>
        <v>377666.666666667</v>
      </c>
      <c r="CT19" s="0" t="n">
        <f aca="false">IF(CT$3&gt;Inputs!$B$13,Inputs!$B$4*Inputs!$B$11*Inputs!$B$14/12,0)</f>
        <v>377666.666666667</v>
      </c>
      <c r="CU19" s="0" t="n">
        <f aca="false">IF(CU$3&gt;Inputs!$B$13,Inputs!$B$4*Inputs!$B$11*Inputs!$B$14/12,0)</f>
        <v>377666.666666667</v>
      </c>
      <c r="CV19" s="0" t="n">
        <f aca="false">IF(CV$3&gt;Inputs!$B$13,Inputs!$B$4*Inputs!$B$11*Inputs!$B$14/12,0)</f>
        <v>377666.666666667</v>
      </c>
      <c r="CW19" s="0" t="n">
        <f aca="false">IF(CW$3&gt;Inputs!$B$13,Inputs!$B$4*Inputs!$B$11*Inputs!$B$14/12,0)</f>
        <v>377666.666666667</v>
      </c>
      <c r="CX19" s="0" t="n">
        <f aca="false">IF(CX$3&gt;Inputs!$B$13,Inputs!$B$4*Inputs!$B$11*Inputs!$B$14/12,0)</f>
        <v>377666.666666667</v>
      </c>
      <c r="CY19" s="0" t="n">
        <f aca="false">IF(CY$3&gt;Inputs!$B$13,Inputs!$B$4*Inputs!$B$11*Inputs!$B$14/12,0)</f>
        <v>377666.666666667</v>
      </c>
      <c r="CZ19" s="0" t="n">
        <f aca="false">IF(CZ$3&gt;Inputs!$B$13,Inputs!$B$4*Inputs!$B$11*Inputs!$B$14/12,0)</f>
        <v>377666.666666667</v>
      </c>
      <c r="DA19" s="0" t="n">
        <f aca="false">IF(DA$3&gt;Inputs!$B$13,Inputs!$B$4*Inputs!$B$11*Inputs!$B$14/12,0)</f>
        <v>377666.666666667</v>
      </c>
      <c r="DB19" s="0" t="n">
        <f aca="false">IF(DB$3&gt;Inputs!$B$13,Inputs!$B$4*Inputs!$B$11*Inputs!$B$14/12,0)</f>
        <v>377666.666666667</v>
      </c>
      <c r="DC19" s="0" t="n">
        <f aca="false">IF(DC$3&gt;Inputs!$B$13,Inputs!$B$4*Inputs!$B$11*Inputs!$B$14/12,0)</f>
        <v>377666.666666667</v>
      </c>
      <c r="DD19" s="0" t="n">
        <f aca="false">IF(DD$3&gt;Inputs!$B$13,Inputs!$B$4*Inputs!$B$11*Inputs!$B$14/12,0)</f>
        <v>377666.666666667</v>
      </c>
      <c r="DE19" s="0" t="n">
        <f aca="false">IF(DE$3&gt;Inputs!$B$13,Inputs!$B$4*Inputs!$B$11*Inputs!$B$14/12,0)</f>
        <v>377666.666666667</v>
      </c>
      <c r="DF19" s="0" t="n">
        <f aca="false">IF(DF$3&gt;Inputs!$B$13,Inputs!$B$4*Inputs!$B$11*Inputs!$B$14/12,0)</f>
        <v>377666.666666667</v>
      </c>
      <c r="DG19" s="0" t="n">
        <f aca="false">IF(DG$3&gt;Inputs!$B$13,Inputs!$B$4*Inputs!$B$11*Inputs!$B$14/12,0)</f>
        <v>377666.666666667</v>
      </c>
      <c r="DH19" s="0" t="n">
        <f aca="false">IF(DH$3&gt;Inputs!$B$13,Inputs!$B$4*Inputs!$B$11*Inputs!$B$14/12,0)</f>
        <v>377666.666666667</v>
      </c>
      <c r="DI19" s="0" t="n">
        <f aca="false">IF(DI$3&gt;Inputs!$B$13,Inputs!$B$4*Inputs!$B$11*Inputs!$B$14/12,0)</f>
        <v>377666.666666667</v>
      </c>
      <c r="DJ19" s="0" t="n">
        <f aca="false">IF(DJ$3&gt;Inputs!$B$13,Inputs!$B$4*Inputs!$B$11*Inputs!$B$14/12,0)</f>
        <v>377666.666666667</v>
      </c>
      <c r="DK19" s="0" t="n">
        <f aca="false">IF(DK$3&gt;Inputs!$B$13,Inputs!$B$4*Inputs!$B$11*Inputs!$B$14/12,0)</f>
        <v>377666.666666667</v>
      </c>
      <c r="DL19" s="0" t="n">
        <f aca="false">IF(DL$3&gt;Inputs!$B$13,Inputs!$B$4*Inputs!$B$11*Inputs!$B$14/12,0)</f>
        <v>377666.666666667</v>
      </c>
      <c r="DM19" s="0" t="n">
        <f aca="false">IF(DM$3&gt;Inputs!$B$13,Inputs!$B$4*Inputs!$B$11*Inputs!$B$14/12,0)</f>
        <v>377666.666666667</v>
      </c>
      <c r="DN19" s="0" t="n">
        <f aca="false">IF(DN$3&gt;Inputs!$B$13,Inputs!$B$4*Inputs!$B$11*Inputs!$B$14/12,0)</f>
        <v>377666.666666667</v>
      </c>
      <c r="DO19" s="0" t="n">
        <f aca="false">IF(DO$3&gt;Inputs!$B$13,Inputs!$B$4*Inputs!$B$11*Inputs!$B$14/12,0)</f>
        <v>377666.666666667</v>
      </c>
      <c r="DP19" s="0" t="n">
        <f aca="false">IF(DP$3&gt;Inputs!$B$13,Inputs!$B$4*Inputs!$B$11*Inputs!$B$14/12,0)</f>
        <v>377666.666666667</v>
      </c>
      <c r="DQ19" s="0" t="n">
        <f aca="false">IF(DQ$3&gt;Inputs!$B$13,Inputs!$B$4*Inputs!$B$11*Inputs!$B$14/12,0)</f>
        <v>377666.666666667</v>
      </c>
      <c r="DR19" s="0" t="n">
        <f aca="false">IF(DR$3&gt;Inputs!$B$13,Inputs!$B$4*Inputs!$B$11*Inputs!$B$14/12,0)</f>
        <v>377666.666666667</v>
      </c>
      <c r="DS19" s="0" t="n">
        <f aca="false">IF(DS$3&gt;Inputs!$B$13,Inputs!$B$4*Inputs!$B$11*Inputs!$B$14/12,0)</f>
        <v>377666.666666667</v>
      </c>
      <c r="DT19" s="0" t="n">
        <f aca="false">IF(DT$3&gt;Inputs!$B$13,Inputs!$B$4*Inputs!$B$11*Inputs!$B$14/12,0)</f>
        <v>377666.666666667</v>
      </c>
      <c r="DU19" s="0" t="n">
        <f aca="false">IF(DU$3&gt;Inputs!$B$13,Inputs!$B$4*Inputs!$B$11*Inputs!$B$14/12,0)</f>
        <v>377666.666666667</v>
      </c>
      <c r="DV19" s="0" t="n">
        <f aca="false">IF(DV$3&gt;Inputs!$B$13,Inputs!$B$4*Inputs!$B$11*Inputs!$B$14/12,0)</f>
        <v>377666.666666667</v>
      </c>
      <c r="DW19" s="0" t="n">
        <f aca="false">IF(DW$3&gt;Inputs!$B$13,Inputs!$B$4*Inputs!$B$11*Inputs!$B$14/12,0)</f>
        <v>377666.666666667</v>
      </c>
      <c r="DX19" s="0" t="n">
        <f aca="false">IF(DX$3&gt;Inputs!$B$13,Inputs!$B$4*Inputs!$B$11*Inputs!$B$14/12,0)</f>
        <v>377666.666666667</v>
      </c>
      <c r="DY19" s="0" t="n">
        <f aca="false">IF(DY$3&gt;Inputs!$B$13,Inputs!$B$4*Inputs!$B$11*Inputs!$B$14/12,0)</f>
        <v>377666.666666667</v>
      </c>
      <c r="DZ19" s="0" t="n">
        <f aca="false">IF(DZ$3&gt;Inputs!$B$13,Inputs!$B$4*Inputs!$B$11*Inputs!$B$14/12,0)</f>
        <v>377666.666666667</v>
      </c>
      <c r="EA19" s="0" t="n">
        <f aca="false">IF(EA$3&gt;Inputs!$B$13,Inputs!$B$4*Inputs!$B$11*Inputs!$B$14/12,0)</f>
        <v>377666.666666667</v>
      </c>
      <c r="EB19" s="0" t="n">
        <f aca="false">IF(EB$3&gt;Inputs!$B$13,Inputs!$B$4*Inputs!$B$11*Inputs!$B$14/12,0)</f>
        <v>377666.666666667</v>
      </c>
      <c r="EC19" s="0" t="n">
        <f aca="false">IF(EC$3&gt;Inputs!$B$13,Inputs!$B$4*Inputs!$B$11*Inputs!$B$14/12,0)</f>
        <v>377666.666666667</v>
      </c>
      <c r="ED19" s="0" t="n">
        <f aca="false">IF(ED$3&gt;Inputs!$B$13,Inputs!$B$4*Inputs!$B$11*Inputs!$B$14/12,0)</f>
        <v>377666.666666667</v>
      </c>
      <c r="EE19" s="0" t="n">
        <f aca="false">IF(EE$3&gt;Inputs!$B$13,Inputs!$B$4*Inputs!$B$11*Inputs!$B$14/12,0)</f>
        <v>377666.666666667</v>
      </c>
      <c r="EF19" s="0" t="n">
        <f aca="false">IF(EF$3&gt;Inputs!$B$13,Inputs!$B$4*Inputs!$B$11*Inputs!$B$14/12,0)</f>
        <v>377666.666666667</v>
      </c>
      <c r="EG19" s="0" t="n">
        <f aca="false">IF(EG$3&gt;Inputs!$B$13,Inputs!$B$4*Inputs!$B$11*Inputs!$B$14/12,0)</f>
        <v>377666.666666667</v>
      </c>
      <c r="EH19" s="0" t="n">
        <f aca="false">IF(EH$3&gt;Inputs!$B$13,Inputs!$B$4*Inputs!$B$11*Inputs!$B$14/12,0)</f>
        <v>377666.666666667</v>
      </c>
      <c r="EI19" s="0" t="n">
        <f aca="false">IF(EI$3&gt;Inputs!$B$13,Inputs!$B$4*Inputs!$B$11*Inputs!$B$14/12,0)</f>
        <v>377666.666666667</v>
      </c>
      <c r="EJ19" s="0" t="n">
        <f aca="false">IF(EJ$3&gt;Inputs!$B$13,Inputs!$B$4*Inputs!$B$11*Inputs!$B$14/12,0)</f>
        <v>377666.666666667</v>
      </c>
      <c r="EK19" s="0" t="n">
        <f aca="false">IF(EK$3&gt;Inputs!$B$13,Inputs!$B$4*Inputs!$B$11*Inputs!$B$14/12,0)</f>
        <v>377666.666666667</v>
      </c>
      <c r="EL19" s="0" t="n">
        <f aca="false">IF(EL$3&gt;Inputs!$B$13,Inputs!$B$4*Inputs!$B$11*Inputs!$B$14/12,0)</f>
        <v>377666.666666667</v>
      </c>
      <c r="EM19" s="0" t="n">
        <f aca="false">IF(EM$3&gt;Inputs!$B$13,Inputs!$B$4*Inputs!$B$11*Inputs!$B$14/12,0)</f>
        <v>377666.666666667</v>
      </c>
      <c r="EN19" s="0" t="n">
        <f aca="false">IF(EN$3&gt;Inputs!$B$13,Inputs!$B$4*Inputs!$B$11*Inputs!$B$14/12,0)</f>
        <v>377666.666666667</v>
      </c>
      <c r="EO19" s="0" t="n">
        <f aca="false">IF(EO$3&gt;Inputs!$B$13,Inputs!$B$4*Inputs!$B$11*Inputs!$B$14/12,0)</f>
        <v>377666.666666667</v>
      </c>
      <c r="EP19" s="0" t="n">
        <f aca="false">IF(EP$3&gt;Inputs!$B$13,Inputs!$B$4*Inputs!$B$11*Inputs!$B$14/12,0)</f>
        <v>377666.666666667</v>
      </c>
      <c r="EQ19" s="0" t="n">
        <f aca="false">IF(EQ$3&gt;Inputs!$B$13,Inputs!$B$4*Inputs!$B$11*Inputs!$B$14/12,0)</f>
        <v>377666.666666667</v>
      </c>
      <c r="ER19" s="0" t="n">
        <f aca="false">IF(ER$3&gt;Inputs!$B$13,Inputs!$B$4*Inputs!$B$11*Inputs!$B$14/12,0)</f>
        <v>377666.666666667</v>
      </c>
      <c r="ES19" s="0" t="n">
        <f aca="false">IF(ES$3&gt;Inputs!$B$13,Inputs!$B$4*Inputs!$B$11*Inputs!$B$14/12,0)</f>
        <v>377666.666666667</v>
      </c>
      <c r="ET19" s="0" t="n">
        <f aca="false">IF(ET$3&gt;Inputs!$B$13,Inputs!$B$4*Inputs!$B$11*Inputs!$B$14/12,0)</f>
        <v>377666.666666667</v>
      </c>
      <c r="EU19" s="0" t="n">
        <f aca="false">IF(EU$3&gt;Inputs!$B$13,Inputs!$B$4*Inputs!$B$11*Inputs!$B$14/12,0)</f>
        <v>377666.666666667</v>
      </c>
      <c r="EV19" s="0" t="n">
        <f aca="false">IF(EV$3&gt;Inputs!$B$13,Inputs!$B$4*Inputs!$B$11*Inputs!$B$14/12,0)</f>
        <v>377666.666666667</v>
      </c>
      <c r="EW19" s="0" t="n">
        <f aca="false">IF(EW$3&gt;Inputs!$B$13,Inputs!$B$4*Inputs!$B$11*Inputs!$B$14/12,0)</f>
        <v>377666.666666667</v>
      </c>
      <c r="EX19" s="0" t="n">
        <f aca="false">IF(EX$3&gt;Inputs!$B$13,Inputs!$B$4*Inputs!$B$11*Inputs!$B$14/12,0)</f>
        <v>377666.666666667</v>
      </c>
      <c r="EY19" s="0" t="n">
        <f aca="false">IF(EY$3&gt;Inputs!$B$13,Inputs!$B$4*Inputs!$B$11*Inputs!$B$14/12,0)</f>
        <v>377666.666666667</v>
      </c>
      <c r="EZ19" s="0" t="n">
        <f aca="false">IF(EZ$3&gt;Inputs!$B$13,Inputs!$B$4*Inputs!$B$11*Inputs!$B$14/12,0)</f>
        <v>377666.666666667</v>
      </c>
      <c r="FA19" s="0" t="n">
        <f aca="false">IF(FA$3&gt;Inputs!$B$13,Inputs!$B$4*Inputs!$B$11*Inputs!$B$14/12,0)</f>
        <v>377666.666666667</v>
      </c>
      <c r="FB19" s="0" t="n">
        <f aca="false">IF(FB$3&gt;Inputs!$B$13,Inputs!$B$4*Inputs!$B$11*Inputs!$B$14/12,0)</f>
        <v>377666.666666667</v>
      </c>
      <c r="FC19" s="0" t="n">
        <f aca="false">IF(FC$3&gt;Inputs!$B$13,Inputs!$B$4*Inputs!$B$11*Inputs!$B$14/12,0)</f>
        <v>377666.666666667</v>
      </c>
      <c r="FD19" s="0" t="n">
        <f aca="false">IF(FD$3&gt;Inputs!$B$13,Inputs!$B$4*Inputs!$B$11*Inputs!$B$14/12,0)</f>
        <v>377666.666666667</v>
      </c>
      <c r="FE19" s="0" t="n">
        <f aca="false">IF(FE$3&gt;Inputs!$B$13,Inputs!$B$4*Inputs!$B$11*Inputs!$B$14/12,0)</f>
        <v>377666.666666667</v>
      </c>
      <c r="FF19" s="0" t="n">
        <f aca="false">IF(FF$3&gt;Inputs!$B$13,Inputs!$B$4*Inputs!$B$11*Inputs!$B$14/12,0)</f>
        <v>377666.666666667</v>
      </c>
      <c r="FG19" s="0" t="n">
        <f aca="false">IF(FG$3&gt;Inputs!$B$13,Inputs!$B$4*Inputs!$B$11*Inputs!$B$14/12,0)</f>
        <v>377666.666666667</v>
      </c>
      <c r="FH19" s="0" t="n">
        <f aca="false">IF(FH$3&gt;Inputs!$B$13,Inputs!$B$4*Inputs!$B$11*Inputs!$B$14/12,0)</f>
        <v>377666.666666667</v>
      </c>
      <c r="FI19" s="0" t="n">
        <f aca="false">IF(FI$3&gt;Inputs!$B$13,Inputs!$B$4*Inputs!$B$11*Inputs!$B$14/12,0)</f>
        <v>377666.666666667</v>
      </c>
      <c r="FJ19" s="0" t="n">
        <f aca="false">IF(FJ$3&gt;Inputs!$B$13,Inputs!$B$4*Inputs!$B$11*Inputs!$B$14/12,0)</f>
        <v>377666.666666667</v>
      </c>
      <c r="FK19" s="0" t="n">
        <f aca="false">IF(FK$3&gt;Inputs!$B$13,Inputs!$B$4*Inputs!$B$11*Inputs!$B$14/12,0)</f>
        <v>377666.666666667</v>
      </c>
      <c r="FL19" s="0" t="n">
        <f aca="false">IF(FL$3&gt;Inputs!$B$13,Inputs!$B$4*Inputs!$B$11*Inputs!$B$14/12,0)</f>
        <v>377666.666666667</v>
      </c>
      <c r="FM19" s="0" t="n">
        <f aca="false">IF(FM$3&gt;Inputs!$B$13,Inputs!$B$4*Inputs!$B$11*Inputs!$B$14/12,0)</f>
        <v>377666.666666667</v>
      </c>
      <c r="FN19" s="0" t="n">
        <f aca="false">IF(FN$3&gt;Inputs!$B$13,Inputs!$B$4*Inputs!$B$11*Inputs!$B$14/12,0)</f>
        <v>377666.666666667</v>
      </c>
      <c r="FO19" s="0" t="n">
        <f aca="false">IF(FO$3&gt;Inputs!$B$13,Inputs!$B$4*Inputs!$B$11*Inputs!$B$14/12,0)</f>
        <v>377666.666666667</v>
      </c>
      <c r="FP19" s="0" t="n">
        <f aca="false">IF(FP$3&gt;Inputs!$B$13,Inputs!$B$4*Inputs!$B$11*Inputs!$B$14/12,0)</f>
        <v>377666.666666667</v>
      </c>
      <c r="FQ19" s="0" t="n">
        <f aca="false">IF(FQ$3&gt;Inputs!$B$13,Inputs!$B$4*Inputs!$B$11*Inputs!$B$14/12,0)</f>
        <v>377666.666666667</v>
      </c>
      <c r="FR19" s="0" t="n">
        <f aca="false">IF(FR$3&gt;Inputs!$B$13,Inputs!$B$4*Inputs!$B$11*Inputs!$B$14/12,0)</f>
        <v>377666.666666667</v>
      </c>
      <c r="FS19" s="0" t="n">
        <f aca="false">IF(FS$3&gt;Inputs!$B$13,Inputs!$B$4*Inputs!$B$11*Inputs!$B$14/12,0)</f>
        <v>377666.666666667</v>
      </c>
      <c r="FT19" s="0" t="n">
        <f aca="false">IF(FT$3&gt;Inputs!$B$13,Inputs!$B$4*Inputs!$B$11*Inputs!$B$14/12,0)</f>
        <v>377666.666666667</v>
      </c>
      <c r="FU19" s="0" t="n">
        <f aca="false">IF(FU$3&gt;Inputs!$B$13,Inputs!$B$4*Inputs!$B$11*Inputs!$B$14/12,0)</f>
        <v>377666.666666667</v>
      </c>
      <c r="FV19" s="0" t="n">
        <f aca="false">IF(FV$3&gt;Inputs!$B$13,Inputs!$B$4*Inputs!$B$11*Inputs!$B$14/12,0)</f>
        <v>377666.666666667</v>
      </c>
      <c r="FW19" s="0" t="n">
        <f aca="false">IF(FW$3&gt;Inputs!$B$13,Inputs!$B$4*Inputs!$B$11*Inputs!$B$14/12,0)</f>
        <v>377666.666666667</v>
      </c>
      <c r="FX19" s="0" t="n">
        <f aca="false">IF(FX$3&gt;Inputs!$B$13,Inputs!$B$4*Inputs!$B$11*Inputs!$B$14/12,0)</f>
        <v>377666.666666667</v>
      </c>
      <c r="FY19" s="0" t="n">
        <f aca="false">IF(FY$3&gt;Inputs!$B$13,Inputs!$B$4*Inputs!$B$11*Inputs!$B$14/12,0)</f>
        <v>377666.666666667</v>
      </c>
      <c r="FZ19" s="0" t="n">
        <f aca="false">IF(FZ$3&gt;Inputs!$B$13,Inputs!$B$4*Inputs!$B$11*Inputs!$B$14/12,0)</f>
        <v>377666.666666667</v>
      </c>
    </row>
    <row r="20" customFormat="false" ht="15" hidden="false" customHeight="false" outlineLevel="0" collapsed="false">
      <c r="A20" s="0" t="s">
        <v>41</v>
      </c>
      <c r="B20" s="0" t="n">
        <f aca="false">IF(B18&gt;0,B16/B18,0)</f>
        <v>0</v>
      </c>
      <c r="C20" s="0" t="n">
        <f aca="false">IF(C18&gt;0,C16/C18,0)</f>
        <v>1.79094556915508</v>
      </c>
      <c r="D20" s="0" t="n">
        <f aca="false">IF(D18&gt;0,D16/D18,0)</f>
        <v>1.80353074188465</v>
      </c>
      <c r="E20" s="0" t="n">
        <f aca="false">IF(E18&gt;0,E16/E18,0)</f>
        <v>1.81613118276265</v>
      </c>
      <c r="F20" s="0" t="n">
        <f aca="false">IF(F18&gt;0,F16/F18,0)</f>
        <v>1.82874699409562</v>
      </c>
      <c r="G20" s="0" t="n">
        <f aca="false">IF(G18&gt;0,G16/G18,0)</f>
        <v>1.84137827831993</v>
      </c>
      <c r="H20" s="0" t="n">
        <f aca="false">IF(H18&gt;0,H16/H18,0)</f>
        <v>1.85402513800261</v>
      </c>
      <c r="I20" s="0" t="n">
        <f aca="false">IF(I18&gt;0,I16/I18,0)</f>
        <v>1.86668767584216</v>
      </c>
      <c r="J20" s="0" t="n">
        <f aca="false">IF(J18&gt;0,J16/J18,0)</f>
        <v>1.87936599466942</v>
      </c>
      <c r="K20" s="0" t="n">
        <f aca="false">IF(K18&gt;0,K16/K18,0)</f>
        <v>1.89206019744839</v>
      </c>
      <c r="L20" s="0" t="n">
        <f aca="false">IF(L18&gt;0,L16/L18,0)</f>
        <v>1.90477038727705</v>
      </c>
      <c r="M20" s="0" t="n">
        <f aca="false">IF(M18&gt;0,M16/M18,0)</f>
        <v>1.91749666738824</v>
      </c>
      <c r="N20" s="0" t="n">
        <f aca="false">IF(N18&gt;0,N16/N18,0)</f>
        <v>1.93023914115043</v>
      </c>
      <c r="O20" s="0" t="n">
        <f aca="false">IF(O18&gt;0,O16/O18,0)</f>
        <v>1.94299791206866</v>
      </c>
      <c r="P20" s="0" t="n">
        <f aca="false">IF(P18&gt;0,P16/P18,0)</f>
        <v>1.95577308378526</v>
      </c>
      <c r="Q20" s="0" t="n">
        <f aca="false">IF(Q18&gt;0,Q16/Q18,0)</f>
        <v>1.96856476008081</v>
      </c>
      <c r="R20" s="0" t="n">
        <f aca="false">IF(R18&gt;0,R16/R18,0)</f>
        <v>1.98137304487489</v>
      </c>
      <c r="S20" s="0" t="n">
        <f aca="false">IF(S18&gt;0,S16/S18,0)</f>
        <v>1.99419804222699</v>
      </c>
      <c r="T20" s="0" t="n">
        <f aca="false">IF(T18&gt;0,T16/T18,0)</f>
        <v>2.0070398563373</v>
      </c>
      <c r="U20" s="0" t="n">
        <f aca="false">IF(U18&gt;0,U16/U18,0)</f>
        <v>2.01989859154761</v>
      </c>
      <c r="V20" s="0" t="n">
        <f aca="false">IF(V18&gt;0,V16/V18,0)</f>
        <v>2.03277435234213</v>
      </c>
      <c r="W20" s="0" t="n">
        <f aca="false">IF(W18&gt;0,W16/W18,0)</f>
        <v>2.04566724334834</v>
      </c>
      <c r="X20" s="0" t="n">
        <f aca="false">IF(X18&gt;0,X16/X18,0)</f>
        <v>2.05857736933783</v>
      </c>
      <c r="Y20" s="0" t="n">
        <f aca="false">IF(Y18&gt;0,Y16/Y18,0)</f>
        <v>2.07150483522719</v>
      </c>
      <c r="Z20" s="0" t="n">
        <f aca="false">IF(Z18&gt;0,Z16/Z18,0)</f>
        <v>2.08444974607882</v>
      </c>
      <c r="AA20" s="0" t="n">
        <f aca="false">IF(AA18&gt;0,AA16/AA18,0)</f>
        <v>2.09741220710181</v>
      </c>
      <c r="AB20" s="0" t="n">
        <f aca="false">IF(AB18&gt;0,AB16/AB18,0)</f>
        <v>2.11039232365279</v>
      </c>
      <c r="AC20" s="0" t="n">
        <f aca="false">IF(AC18&gt;0,AC16/AC18,0)</f>
        <v>2.12339020123678</v>
      </c>
      <c r="AD20" s="0" t="n">
        <f aca="false">IF(AD18&gt;0,AD16/AD18,0)</f>
        <v>2.13640594550804</v>
      </c>
      <c r="AE20" s="0" t="n">
        <f aca="false">IF(AE18&gt;0,AE16/AE18,0)</f>
        <v>2.14943966227097</v>
      </c>
      <c r="AF20" s="0" t="n">
        <f aca="false">IF(AF18&gt;0,AF16/AF18,0)</f>
        <v>2.16249145748092</v>
      </c>
      <c r="AG20" s="0" t="n">
        <f aca="false">IF(AG18&gt;0,AG16/AG18,0)</f>
        <v>2.17556143724508</v>
      </c>
      <c r="AH20" s="0" t="n">
        <f aca="false">IF(AH18&gt;0,AH16/AH18,0)</f>
        <v>2.18864970782333</v>
      </c>
      <c r="AI20" s="0" t="n">
        <f aca="false">IF(AI18&gt;0,AI16/AI18,0)</f>
        <v>2.20175637562912</v>
      </c>
      <c r="AJ20" s="0" t="n">
        <f aca="false">IF(AJ18&gt;0,AJ16/AJ18,0)</f>
        <v>2.21488154723033</v>
      </c>
      <c r="AK20" s="0" t="n">
        <f aca="false">IF(AK18&gt;0,AK16/AK18,0)</f>
        <v>2.2280253293501</v>
      </c>
      <c r="AL20" s="0" t="n">
        <f aca="false">IF(AL18&gt;0,AL16/AL18,0)</f>
        <v>2.24118782886779</v>
      </c>
      <c r="AM20" s="0" t="n">
        <f aca="false">IF(AM18&gt;0,AM16/AM18,0)</f>
        <v>2.25436915281972</v>
      </c>
      <c r="AN20" s="0" t="n">
        <f aca="false">IF(AN18&gt;0,AN16/AN18,0)</f>
        <v>2.26756940840017</v>
      </c>
      <c r="AO20" s="0" t="n">
        <f aca="false">IF(AO18&gt;0,AO16/AO18,0)</f>
        <v>2.28078870296216</v>
      </c>
      <c r="AP20" s="0" t="n">
        <f aca="false">IF(AP18&gt;0,AP16/AP18,0)</f>
        <v>2.29402714401836</v>
      </c>
      <c r="AQ20" s="0" t="n">
        <f aca="false">IF(AQ18&gt;0,AQ16/AQ18,0)</f>
        <v>2.30728483924198</v>
      </c>
      <c r="AR20" s="0" t="n">
        <f aca="false">IF(AR18&gt;0,AR16/AR18,0)</f>
        <v>2.3205618964676</v>
      </c>
      <c r="AS20" s="0" t="n">
        <f aca="false">IF(AS18&gt;0,AS16/AS18,0)</f>
        <v>2.3338584236921</v>
      </c>
      <c r="AT20" s="0" t="n">
        <f aca="false">IF(AT18&gt;0,AT16/AT18,0)</f>
        <v>2.34717452907548</v>
      </c>
      <c r="AU20" s="0" t="n">
        <f aca="false">IF(AU18&gt;0,AU16/AU18,0)</f>
        <v>2.36051032094182</v>
      </c>
      <c r="AV20" s="0" t="n">
        <f aca="false">IF(AV18&gt;0,AV16/AV18,0)</f>
        <v>2.37386590778006</v>
      </c>
      <c r="AW20" s="0" t="n">
        <f aca="false">IF(AW18&gt;0,AW16/AW18,0)</f>
        <v>2.38724139824499</v>
      </c>
      <c r="AX20" s="0" t="n">
        <f aca="false">IF(AX18&gt;0,AX16/AX18,0)</f>
        <v>2.40063690115805</v>
      </c>
      <c r="AY20" s="0" t="n">
        <f aca="false">IF(AY18&gt;0,AY16/AY18,0)</f>
        <v>2.41405252550825</v>
      </c>
      <c r="AZ20" s="0" t="n">
        <f aca="false">IF(AZ18&gt;0,AZ16/AZ18,0)</f>
        <v>2.42748838045306</v>
      </c>
      <c r="BA20" s="0" t="n">
        <f aca="false">IF(BA18&gt;0,BA16/BA18,0)</f>
        <v>2.4409445753193</v>
      </c>
      <c r="BB20" s="0" t="n">
        <f aca="false">IF(BB18&gt;0,BB16/BB18,0)</f>
        <v>2.454421219604</v>
      </c>
      <c r="BC20" s="0" t="n">
        <f aca="false">IF(BC18&gt;0,BC16/BC18,0)</f>
        <v>2.46791842297535</v>
      </c>
      <c r="BD20" s="0" t="n">
        <f aca="false">IF(BD18&gt;0,BD16/BD18,0)</f>
        <v>2.48143629527352</v>
      </c>
      <c r="BE20" s="0" t="n">
        <f aca="false">IF(BE18&gt;0,BE16/BE18,0)</f>
        <v>2.49497494651161</v>
      </c>
      <c r="BF20" s="0" t="n">
        <f aca="false">IF(BF18&gt;0,BF16/BF18,0)</f>
        <v>2.50853448687653</v>
      </c>
      <c r="BG20" s="0" t="n">
        <f aca="false">IF(BG18&gt;0,BG16/BG18,0)</f>
        <v>2.52211502672988</v>
      </c>
      <c r="BH20" s="0" t="n">
        <f aca="false">IF(BH18&gt;0,BH16/BH18,0)</f>
        <v>2.53571667660887</v>
      </c>
      <c r="BI20" s="0" t="n">
        <f aca="false">IF(BI18&gt;0,BI16/BI18,0)</f>
        <v>2.54933954722722</v>
      </c>
      <c r="BJ20" s="0" t="n">
        <f aca="false">IF(BJ18&gt;0,BJ16/BJ18,0)</f>
        <v>2.56298374947604</v>
      </c>
      <c r="BK20" s="0" t="n">
        <f aca="false">IF(BK18&gt;0,BK16/BK18,0)</f>
        <v>2.57664939442475</v>
      </c>
      <c r="BL20" s="0" t="n">
        <f aca="false">IF(BL18&gt;0,BL16/BL18,0)</f>
        <v>2.59466102836926</v>
      </c>
      <c r="BM20" s="0" t="n">
        <f aca="false">IF(BM18&gt;0,BM16/BM18,0)</f>
        <v>2.61275463972891</v>
      </c>
      <c r="BN20" s="0" t="n">
        <f aca="false">IF(BN18&gt;0,BN16/BN18,0)</f>
        <v>2.63093075262114</v>
      </c>
      <c r="BO20" s="0" t="n">
        <f aca="false">IF(BO18&gt;0,BO16/BO18,0)</f>
        <v>2.6491898948641</v>
      </c>
      <c r="BP20" s="0" t="n">
        <f aca="false">IF(BP18&gt;0,BP16/BP18,0)</f>
        <v>2.66753259800869</v>
      </c>
      <c r="BQ20" s="0" t="n">
        <f aca="false">IF(BQ18&gt;0,BQ16/BQ18,0)</f>
        <v>2.68595939737088</v>
      </c>
      <c r="BR20" s="0" t="n">
        <f aca="false">IF(BR18&gt;0,BR16/BR18,0)</f>
        <v>2.7044708320644</v>
      </c>
      <c r="BS20" s="0" t="n">
        <f aca="false">IF(BS18&gt;0,BS16/BS18,0)</f>
        <v>2.72306744503373</v>
      </c>
      <c r="BT20" s="0" t="n">
        <f aca="false">IF(BT18&gt;0,BT16/BT18,0)</f>
        <v>2.74174978308742</v>
      </c>
      <c r="BU20" s="0" t="n">
        <f aca="false">IF(BU18&gt;0,BU16/BU18,0)</f>
        <v>2.76051839693183</v>
      </c>
      <c r="BV20" s="0" t="n">
        <f aca="false">IF(BV18&gt;0,BV16/BV18,0)</f>
        <v>2.77937384120509</v>
      </c>
      <c r="BW20" s="0" t="n">
        <f aca="false">IF(BW18&gt;0,BW16/BW18,0)</f>
        <v>2.79831667451152</v>
      </c>
      <c r="BX20" s="0" t="n">
        <f aca="false">IF(BX18&gt;0,BX16/BX18,0)</f>
        <v>2.81734745945631</v>
      </c>
      <c r="BY20" s="0" t="n">
        <f aca="false">IF(BY18&gt;0,BY16/BY18,0)</f>
        <v>2.83646676268066</v>
      </c>
      <c r="BZ20" s="0" t="n">
        <f aca="false">IF(BZ18&gt;0,BZ16/BZ18,0)</f>
        <v>2.85567515489718</v>
      </c>
      <c r="CA20" s="0" t="n">
        <f aca="false">IF(CA18&gt;0,CA16/CA18,0)</f>
        <v>2.87497321092573</v>
      </c>
      <c r="CB20" s="0" t="n">
        <f aca="false">IF(CB18&gt;0,CB16/CB18,0)</f>
        <v>2.89436150972959</v>
      </c>
      <c r="CC20" s="0" t="n">
        <f aca="false">IF(CC18&gt;0,CC16/CC18,0)</f>
        <v>2.91384063445199</v>
      </c>
      <c r="CD20" s="0" t="n">
        <f aca="false">IF(CD18&gt;0,CD16/CD18,0)</f>
        <v>2.93341117245311</v>
      </c>
      <c r="CE20" s="0" t="n">
        <f aca="false">IF(CE18&gt;0,CE16/CE18,0)</f>
        <v>2.9527371952594</v>
      </c>
      <c r="CF20" s="0" t="n">
        <f aca="false">IF(CF18&gt;0,CF16/CF18,0)</f>
        <v>2.97197165193299</v>
      </c>
      <c r="CG20" s="0" t="n">
        <f aca="false">IF(CG18&gt;0,CG16/CG18,0)</f>
        <v>2.99129746974812</v>
      </c>
      <c r="CH20" s="0" t="n">
        <f aca="false">IF(CH18&gt;0,CH16/CH18,0)</f>
        <v>3.01071523954139</v>
      </c>
      <c r="CI20" s="0" t="n">
        <f aca="false">IF(CI18&gt;0,CI16/CI18,0)</f>
        <v>3.03022555646062</v>
      </c>
      <c r="CJ20" s="0" t="n">
        <f aca="false">IF(CJ18&gt;0,CJ16/CJ18,0)</f>
        <v>3.0498290200033</v>
      </c>
      <c r="CK20" s="0" t="n">
        <f aca="false">IF(CK18&gt;0,CK16/CK18,0)</f>
        <v>3.06952623405542</v>
      </c>
      <c r="CL20" s="0" t="n">
        <f aca="false">IF(CL18&gt;0,CL16/CL18,0)</f>
        <v>3.08931780693073</v>
      </c>
      <c r="CM20" s="0" t="n">
        <f aca="false">IF(CM18&gt;0,CM16/CM18,0)</f>
        <v>3.10920435141041</v>
      </c>
      <c r="CN20" s="0" t="n">
        <f aca="false">IF(CN18&gt;0,CN16/CN18,0)</f>
        <v>3.12918648478316</v>
      </c>
      <c r="CO20" s="0" t="n">
        <f aca="false">IF(CO18&gt;0,CO16/CO18,0)</f>
        <v>3.14926482888567</v>
      </c>
      <c r="CP20" s="0" t="n">
        <f aca="false">IF(CP18&gt;0,CP16/CP18,0)</f>
        <v>3.16944001014358</v>
      </c>
      <c r="CQ20" s="0" t="n">
        <f aca="false">IF(CQ18&gt;0,CQ16/CQ18,0)</f>
        <v>3.18971265961286</v>
      </c>
      <c r="CR20" s="0" t="n">
        <f aca="false">IF(CR18&gt;0,CR16/CR18,0)</f>
        <v>3.21008341302159</v>
      </c>
      <c r="CS20" s="0" t="n">
        <f aca="false">IF(CS18&gt;0,CS16/CS18,0)</f>
        <v>3.23055291081224</v>
      </c>
      <c r="CT20" s="0" t="n">
        <f aca="false">IF(CT18&gt;0,CT16/CT18,0)</f>
        <v>3.25112179818436</v>
      </c>
      <c r="CU20" s="0" t="n">
        <f aca="false">IF(CU18&gt;0,CU16/CU18,0)</f>
        <v>3.27179072513775</v>
      </c>
      <c r="CV20" s="0" t="n">
        <f aca="false">IF(CV18&gt;0,CV16/CV18,0)</f>
        <v>3.29256034651607</v>
      </c>
      <c r="CW20" s="0" t="n">
        <f aca="false">IF(CW18&gt;0,CW16/CW18,0)</f>
        <v>3.31343132205094</v>
      </c>
      <c r="CX20" s="0" t="n">
        <f aca="false">IF(CX18&gt;0,CX16/CX18,0)</f>
        <v>3.33440431640649</v>
      </c>
      <c r="CY20" s="0" t="n">
        <f aca="false">IF(CY18&gt;0,CY16/CY18,0)</f>
        <v>3.35547999922445</v>
      </c>
      <c r="CZ20" s="0" t="n">
        <f aca="false">IF(CZ18&gt;0,CZ16/CZ18,0)</f>
        <v>3.37665904516959</v>
      </c>
      <c r="DA20" s="0" t="n">
        <f aca="false">IF(DA18&gt;0,DA16/DA18,0)</f>
        <v>3.39794213397582</v>
      </c>
      <c r="DB20" s="0" t="n">
        <f aca="false">IF(DB18&gt;0,DB16/DB18,0)</f>
        <v>3.4193299504927</v>
      </c>
      <c r="DC20" s="0" t="n">
        <f aca="false">IF(DC18&gt;0,DC16/DC18,0)</f>
        <v>3.44082318473239</v>
      </c>
      <c r="DD20" s="0" t="n">
        <f aca="false">IF(DD18&gt;0,DD16/DD18,0)</f>
        <v>3.46242253191726</v>
      </c>
      <c r="DE20" s="0" t="n">
        <f aca="false">IF(DE18&gt;0,DE16/DE18,0)</f>
        <v>3.48412869252793</v>
      </c>
      <c r="DF20" s="0" t="n">
        <f aca="false">IF(DF18&gt;0,DF16/DF18,0)</f>
        <v>3.50594237235178</v>
      </c>
      <c r="DG20" s="0" t="n">
        <f aca="false">IF(DG18&gt;0,DG16/DG18,0)</f>
        <v>3.52786428253213</v>
      </c>
      <c r="DH20" s="0" t="n">
        <f aca="false">IF(DH18&gt;0,DH16/DH18,0)</f>
        <v>3.54989513961781</v>
      </c>
      <c r="DI20" s="0" t="n">
        <f aca="false">IF(DI18&gt;0,DI16/DI18,0)</f>
        <v>3.57203566561341</v>
      </c>
      <c r="DJ20" s="0" t="n">
        <f aca="false">IF(DJ18&gt;0,DJ16/DJ18,0)</f>
        <v>3.59428658802994</v>
      </c>
      <c r="DK20" s="0" t="n">
        <f aca="false">IF(DK18&gt;0,DK16/DK18,0)</f>
        <v>3.61664863993618</v>
      </c>
      <c r="DL20" s="0" t="n">
        <f aca="false">IF(DL18&gt;0,DL16/DL18,0)</f>
        <v>3.63912256001051</v>
      </c>
      <c r="DM20" s="0" t="n">
        <f aca="false">IF(DM18&gt;0,DM16/DM18,0)</f>
        <v>3.66170909259332</v>
      </c>
      <c r="DN20" s="0" t="n">
        <f aca="false">IF(DN18&gt;0,DN16/DN18,0)</f>
        <v>3.68440898774006</v>
      </c>
      <c r="DO20" s="0" t="n">
        <f aca="false">IF(DO18&gt;0,DO16/DO18,0)</f>
        <v>3.70722300127476</v>
      </c>
      <c r="DP20" s="0" t="n">
        <f aca="false">IF(DP18&gt;0,DP16/DP18,0)</f>
        <v>3.73015189484432</v>
      </c>
      <c r="DQ20" s="0" t="n">
        <f aca="false">IF(DQ18&gt;0,DQ16/DQ18,0)</f>
        <v>3.7531964359732</v>
      </c>
      <c r="DR20" s="0" t="n">
        <f aca="false">IF(DR18&gt;0,DR16/DR18,0)</f>
        <v>3.77635739811886</v>
      </c>
      <c r="DS20" s="0" t="n">
        <f aca="false">IF(DS18&gt;0,DS16/DS18,0)</f>
        <v>3.79963556072779</v>
      </c>
      <c r="DT20" s="0" t="n">
        <f aca="false">IF(DT18&gt;0,DT16/DT18,0)</f>
        <v>3.82303170929214</v>
      </c>
      <c r="DU20" s="0" t="n">
        <f aca="false">IF(DU18&gt;0,DU16/DU18,0)</f>
        <v>3.84654663540698</v>
      </c>
      <c r="DV20" s="0" t="n">
        <f aca="false">IF(DV18&gt;0,DV16/DV18,0)</f>
        <v>3.87018113682823</v>
      </c>
      <c r="DW20" s="0" t="n">
        <f aca="false">IF(DW18&gt;0,DW16/DW18,0)</f>
        <v>3.89393601753124</v>
      </c>
      <c r="DX20" s="0" t="n">
        <f aca="false">IF(DX18&gt;0,DX16/DX18,0)</f>
        <v>3.91781208776998</v>
      </c>
      <c r="DY20" s="0" t="n">
        <f aca="false">IF(DY18&gt;0,DY16/DY18,0)</f>
        <v>3.941810164137</v>
      </c>
      <c r="DZ20" s="0" t="n">
        <f aca="false">IF(DZ18&gt;0,DZ16/DZ18,0)</f>
        <v>3.96593106962393</v>
      </c>
      <c r="EA20" s="0" t="n">
        <f aca="false">IF(EA18&gt;0,EA16/EA18,0)</f>
        <v>3.99017563368279</v>
      </c>
      <c r="EB20" s="0" t="n">
        <f aca="false">IF(EB18&gt;0,EB16/EB18,0)</f>
        <v>4.0145446922879</v>
      </c>
      <c r="EC20" s="0" t="n">
        <f aca="false">IF(EC18&gt;0,EC16/EC18,0)</f>
        <v>4.03903908799858</v>
      </c>
      <c r="ED20" s="0" t="n">
        <f aca="false">IF(ED18&gt;0,ED16/ED18,0)</f>
        <v>4.06365967002247</v>
      </c>
      <c r="EE20" s="0" t="n">
        <f aca="false">IF(EE18&gt;0,EE16/EE18,0)</f>
        <v>4.08840729427967</v>
      </c>
      <c r="EF20" s="0" t="n">
        <f aca="false">IF(EF18&gt;0,EF16/EF18,0)</f>
        <v>4.11328282346752</v>
      </c>
      <c r="EG20" s="0" t="n">
        <f aca="false">IF(EG18&gt;0,EG16/EG18,0)</f>
        <v>4.13828712712618</v>
      </c>
      <c r="EH20" s="0" t="n">
        <f aca="false">IF(EH18&gt;0,EH16/EH18,0)</f>
        <v>4.16342108170495</v>
      </c>
      <c r="EI20" s="0" t="n">
        <f aca="false">IF(EI18&gt;0,EI16/EI18,0)</f>
        <v>4.18868557062934</v>
      </c>
      <c r="EJ20" s="0" t="n">
        <f aca="false">IF(EJ18&gt;0,EJ16/EJ18,0)</f>
        <v>4.21408148436893</v>
      </c>
      <c r="EK20" s="0" t="n">
        <f aca="false">IF(EK18&gt;0,EK16/EK18,0)</f>
        <v>4.23960972050599</v>
      </c>
      <c r="EL20" s="0" t="n">
        <f aca="false">IF(EL18&gt;0,EL16/EL18,0)</f>
        <v>4.26527118380492</v>
      </c>
      <c r="EM20" s="0" t="n">
        <f aca="false">IF(EM18&gt;0,EM16/EM18,0)</f>
        <v>4.29106678628245</v>
      </c>
      <c r="EN20" s="0" t="n">
        <f aca="false">IF(EN18&gt;0,EN16/EN18,0)</f>
        <v>4.3169974472787</v>
      </c>
      <c r="EO20" s="0" t="n">
        <f aca="false">IF(EO18&gt;0,EO16/EO18,0)</f>
        <v>4.34306409352906</v>
      </c>
      <c r="EP20" s="0" t="n">
        <f aca="false">IF(EP18&gt;0,EP16/EP18,0)</f>
        <v>4.36926765923687</v>
      </c>
      <c r="EQ20" s="0" t="n">
        <f aca="false">IF(EQ18&gt;0,EQ16/EQ18,0)</f>
        <v>4.395609086147</v>
      </c>
      <c r="ER20" s="0" t="n">
        <f aca="false">IF(ER18&gt;0,ER16/ER18,0)</f>
        <v>4.42208932362021</v>
      </c>
      <c r="ES20" s="0" t="n">
        <f aca="false">IF(ES18&gt;0,ES16/ES18,0)</f>
        <v>4.44870932870849</v>
      </c>
      <c r="ET20" s="0" t="n">
        <f aca="false">IF(ET18&gt;0,ET16/ET18,0)</f>
        <v>4.47547006623121</v>
      </c>
      <c r="EU20" s="0" t="n">
        <f aca="false">IF(EU18&gt;0,EU16/EU18,0)</f>
        <v>4.50208681816734</v>
      </c>
      <c r="EV20" s="0" t="n">
        <f aca="false">IF(EV18&gt;0,EV16/EV18,0)</f>
        <v>4.5281414073047</v>
      </c>
      <c r="EW20" s="0" t="n">
        <f aca="false">IF(EW18&gt;0,EW16/EW18,0)</f>
        <v>4.55433571636727</v>
      </c>
      <c r="EX20" s="0" t="n">
        <f aca="false">IF(EX18&gt;0,EX16/EX18,0)</f>
        <v>4.58067071071512</v>
      </c>
      <c r="EY20" s="0" t="n">
        <f aca="false">IF(EY18&gt;0,EY16/EY18,0)</f>
        <v>4.60714736362259</v>
      </c>
      <c r="EZ20" s="0" t="n">
        <f aca="false">IF(EZ18&gt;0,EZ16/EZ18,0)</f>
        <v>4.63376665635746</v>
      </c>
      <c r="FA20" s="0" t="n">
        <f aca="false">IF(FA18&gt;0,FA16/FA18,0)</f>
        <v>4.66052957826113</v>
      </c>
      <c r="FB20" s="0" t="n">
        <f aca="false">IF(FB18&gt;0,FB16/FB18,0)</f>
        <v>4.68743712682973</v>
      </c>
      <c r="FC20" s="0" t="n">
        <f aca="false">IF(FC18&gt;0,FC16/FC18,0)</f>
        <v>4.7144903077962</v>
      </c>
      <c r="FD20" s="0" t="n">
        <f aca="false">IF(FD18&gt;0,FD16/FD18,0)</f>
        <v>4.74169013521335</v>
      </c>
      <c r="FE20" s="0" t="n">
        <f aca="false">IF(FE18&gt;0,FE16/FE18,0)</f>
        <v>4.76903763153793</v>
      </c>
      <c r="FF20" s="0" t="n">
        <f aca="false">IF(FF18&gt;0,FF16/FF18,0)</f>
        <v>4.79653382771569</v>
      </c>
      <c r="FG20" s="0" t="n">
        <f aca="false">IF(FG18&gt;0,FG16/FG18,0)</f>
        <v>4.82417976326749</v>
      </c>
      <c r="FH20" s="0" t="n">
        <f aca="false">IF(FH18&gt;0,FH16/FH18,0)</f>
        <v>4.85197648637639</v>
      </c>
      <c r="FI20" s="0" t="n">
        <f aca="false">IF(FI18&gt;0,FI16/FI18,0)</f>
        <v>4.87992505397589</v>
      </c>
      <c r="FJ20" s="0" t="n">
        <f aca="false">IF(FJ18&gt;0,FJ16/FJ18,0)</f>
        <v>4.90802653183913</v>
      </c>
      <c r="FK20" s="0" t="n">
        <f aca="false">IF(FK18&gt;0,FK16/FK18,0)</f>
        <v>4.93628199466924</v>
      </c>
      <c r="FL20" s="0" t="n">
        <f aca="false">IF(FL18&gt;0,FL16/FL18,0)</f>
        <v>4.96469252619078</v>
      </c>
      <c r="FM20" s="0" t="n">
        <f aca="false">IF(FM18&gt;0,FM16/FM18,0)</f>
        <v>4.99325921924229</v>
      </c>
      <c r="FN20" s="0" t="n">
        <f aca="false">IF(FN18&gt;0,FN16/FN18,0)</f>
        <v>5.02198317586991</v>
      </c>
      <c r="FO20" s="0" t="n">
        <f aca="false">IF(FO18&gt;0,FO16/FO18,0)</f>
        <v>5.05086550742227</v>
      </c>
      <c r="FP20" s="0" t="n">
        <f aca="false">IF(FP18&gt;0,FP16/FP18,0)</f>
        <v>5.07990733464643</v>
      </c>
      <c r="FQ20" s="0" t="n">
        <f aca="false">IF(FQ18&gt;0,FQ16/FQ18,0)</f>
        <v>5.10910978778502</v>
      </c>
      <c r="FR20" s="0" t="n">
        <f aca="false">IF(FR18&gt;0,FR16/FR18,0)</f>
        <v>5.13847400667465</v>
      </c>
      <c r="FS20" s="0" t="n">
        <f aca="false">IF(FS18&gt;0,FS16/FS18,0)</f>
        <v>5.16800114084542</v>
      </c>
      <c r="FT20" s="0" t="n">
        <f aca="false">IF(FT18&gt;0,FT16/FT18,0)</f>
        <v>5.19769234962173</v>
      </c>
      <c r="FU20" s="0" t="n">
        <f aca="false">IF(FU18&gt;0,FU16/FU18,0)</f>
        <v>5.22754880222434</v>
      </c>
      <c r="FV20" s="0" t="n">
        <f aca="false">IF(FV18&gt;0,FV16/FV18,0)</f>
        <v>5.25757167787364</v>
      </c>
      <c r="FW20" s="0" t="n">
        <f aca="false">IF(FW18&gt;0,FW16/FW18,0)</f>
        <v>5.28776216589429</v>
      </c>
      <c r="FX20" s="0" t="n">
        <f aca="false">IF(FX18&gt;0,FX16/FX18,0)</f>
        <v>5.31812146582107</v>
      </c>
      <c r="FY20" s="0" t="n">
        <f aca="false">IF(FY18&gt;0,FY16/FY18,0)</f>
        <v>5.34865078750611</v>
      </c>
      <c r="FZ20" s="0" t="n">
        <f aca="false">IF(FZ18&gt;0,FZ16/FZ18,0)</f>
        <v>5.37935135122744</v>
      </c>
    </row>
    <row r="21" customFormat="false" ht="15" hidden="false" customHeight="false" outlineLevel="0" collapsed="false">
      <c r="A21" s="0" t="s">
        <v>42</v>
      </c>
      <c r="B21" s="0" t="n">
        <f aca="false">IF(B$3=180,B16*12/Inputs!$B$15,0)</f>
        <v>0</v>
      </c>
      <c r="C21" s="0" t="n">
        <f aca="false">IF(C$3=180,C16*12/Inputs!$B$15,0)</f>
        <v>0</v>
      </c>
      <c r="D21" s="0" t="n">
        <f aca="false">IF(D$3=180,D16*12/Inputs!$B$15,0)</f>
        <v>0</v>
      </c>
      <c r="E21" s="0" t="n">
        <f aca="false">IF(E$3=180,E16*12/Inputs!$B$15,0)</f>
        <v>0</v>
      </c>
      <c r="F21" s="0" t="n">
        <f aca="false">IF(F$3=180,F16*12/Inputs!$B$15,0)</f>
        <v>0</v>
      </c>
      <c r="G21" s="0" t="n">
        <f aca="false">IF(G$3=180,G16*12/Inputs!$B$15,0)</f>
        <v>0</v>
      </c>
      <c r="H21" s="0" t="n">
        <f aca="false">IF(H$3=180,H16*12/Inputs!$B$15,0)</f>
        <v>0</v>
      </c>
      <c r="I21" s="0" t="n">
        <f aca="false">IF(I$3=180,I16*12/Inputs!$B$15,0)</f>
        <v>0</v>
      </c>
      <c r="J21" s="0" t="n">
        <f aca="false">IF(J$3=180,J16*12/Inputs!$B$15,0)</f>
        <v>0</v>
      </c>
      <c r="K21" s="0" t="n">
        <f aca="false">IF(K$3=180,K16*12/Inputs!$B$15,0)</f>
        <v>0</v>
      </c>
      <c r="L21" s="0" t="n">
        <f aca="false">IF(L$3=180,L16*12/Inputs!$B$15,0)</f>
        <v>0</v>
      </c>
      <c r="M21" s="0" t="n">
        <f aca="false">IF(M$3=180,M16*12/Inputs!$B$15,0)</f>
        <v>0</v>
      </c>
      <c r="N21" s="0" t="n">
        <f aca="false">IF(N$3=180,N16*12/Inputs!$B$15,0)</f>
        <v>0</v>
      </c>
      <c r="O21" s="0" t="n">
        <f aca="false">IF(O$3=180,O16*12/Inputs!$B$15,0)</f>
        <v>0</v>
      </c>
      <c r="P21" s="0" t="n">
        <f aca="false">IF(P$3=180,P16*12/Inputs!$B$15,0)</f>
        <v>0</v>
      </c>
      <c r="Q21" s="0" t="n">
        <f aca="false">IF(Q$3=180,Q16*12/Inputs!$B$15,0)</f>
        <v>0</v>
      </c>
      <c r="R21" s="0" t="n">
        <f aca="false">IF(R$3=180,R16*12/Inputs!$B$15,0)</f>
        <v>0</v>
      </c>
      <c r="S21" s="0" t="n">
        <f aca="false">IF(S$3=180,S16*12/Inputs!$B$15,0)</f>
        <v>0</v>
      </c>
      <c r="T21" s="0" t="n">
        <f aca="false">IF(T$3=180,T16*12/Inputs!$B$15,0)</f>
        <v>0</v>
      </c>
      <c r="U21" s="0" t="n">
        <f aca="false">IF(U$3=180,U16*12/Inputs!$B$15,0)</f>
        <v>0</v>
      </c>
      <c r="V21" s="0" t="n">
        <f aca="false">IF(V$3=180,V16*12/Inputs!$B$15,0)</f>
        <v>0</v>
      </c>
      <c r="W21" s="0" t="n">
        <f aca="false">IF(W$3=180,W16*12/Inputs!$B$15,0)</f>
        <v>0</v>
      </c>
      <c r="X21" s="0" t="n">
        <f aca="false">IF(X$3=180,X16*12/Inputs!$B$15,0)</f>
        <v>0</v>
      </c>
      <c r="Y21" s="0" t="n">
        <f aca="false">IF(Y$3=180,Y16*12/Inputs!$B$15,0)</f>
        <v>0</v>
      </c>
      <c r="Z21" s="0" t="n">
        <f aca="false">IF(Z$3=180,Z16*12/Inputs!$B$15,0)</f>
        <v>0</v>
      </c>
      <c r="AA21" s="0" t="n">
        <f aca="false">IF(AA$3=180,AA16*12/Inputs!$B$15,0)</f>
        <v>0</v>
      </c>
      <c r="AB21" s="0" t="n">
        <f aca="false">IF(AB$3=180,AB16*12/Inputs!$B$15,0)</f>
        <v>0</v>
      </c>
      <c r="AC21" s="0" t="n">
        <f aca="false">IF(AC$3=180,AC16*12/Inputs!$B$15,0)</f>
        <v>0</v>
      </c>
      <c r="AD21" s="0" t="n">
        <f aca="false">IF(AD$3=180,AD16*12/Inputs!$B$15,0)</f>
        <v>0</v>
      </c>
      <c r="AE21" s="0" t="n">
        <f aca="false">IF(AE$3=180,AE16*12/Inputs!$B$15,0)</f>
        <v>0</v>
      </c>
      <c r="AF21" s="0" t="n">
        <f aca="false">IF(AF$3=180,AF16*12/Inputs!$B$15,0)</f>
        <v>0</v>
      </c>
      <c r="AG21" s="0" t="n">
        <f aca="false">IF(AG$3=180,AG16*12/Inputs!$B$15,0)</f>
        <v>0</v>
      </c>
      <c r="AH21" s="0" t="n">
        <f aca="false">IF(AH$3=180,AH16*12/Inputs!$B$15,0)</f>
        <v>0</v>
      </c>
      <c r="AI21" s="0" t="n">
        <f aca="false">IF(AI$3=180,AI16*12/Inputs!$B$15,0)</f>
        <v>0</v>
      </c>
      <c r="AJ21" s="0" t="n">
        <f aca="false">IF(AJ$3=180,AJ16*12/Inputs!$B$15,0)</f>
        <v>0</v>
      </c>
      <c r="AK21" s="0" t="n">
        <f aca="false">IF(AK$3=180,AK16*12/Inputs!$B$15,0)</f>
        <v>0</v>
      </c>
      <c r="AL21" s="0" t="n">
        <f aca="false">IF(AL$3=180,AL16*12/Inputs!$B$15,0)</f>
        <v>0</v>
      </c>
      <c r="AM21" s="0" t="n">
        <f aca="false">IF(AM$3=180,AM16*12/Inputs!$B$15,0)</f>
        <v>0</v>
      </c>
      <c r="AN21" s="0" t="n">
        <f aca="false">IF(AN$3=180,AN16*12/Inputs!$B$15,0)</f>
        <v>0</v>
      </c>
      <c r="AO21" s="0" t="n">
        <f aca="false">IF(AO$3=180,AO16*12/Inputs!$B$15,0)</f>
        <v>0</v>
      </c>
      <c r="AP21" s="0" t="n">
        <f aca="false">IF(AP$3=180,AP16*12/Inputs!$B$15,0)</f>
        <v>0</v>
      </c>
      <c r="AQ21" s="0" t="n">
        <f aca="false">IF(AQ$3=180,AQ16*12/Inputs!$B$15,0)</f>
        <v>0</v>
      </c>
      <c r="AR21" s="0" t="n">
        <f aca="false">IF(AR$3=180,AR16*12/Inputs!$B$15,0)</f>
        <v>0</v>
      </c>
      <c r="AS21" s="0" t="n">
        <f aca="false">IF(AS$3=180,AS16*12/Inputs!$B$15,0)</f>
        <v>0</v>
      </c>
      <c r="AT21" s="0" t="n">
        <f aca="false">IF(AT$3=180,AT16*12/Inputs!$B$15,0)</f>
        <v>0</v>
      </c>
      <c r="AU21" s="0" t="n">
        <f aca="false">IF(AU$3=180,AU16*12/Inputs!$B$15,0)</f>
        <v>0</v>
      </c>
      <c r="AV21" s="0" t="n">
        <f aca="false">IF(AV$3=180,AV16*12/Inputs!$B$15,0)</f>
        <v>0</v>
      </c>
      <c r="AW21" s="0" t="n">
        <f aca="false">IF(AW$3=180,AW16*12/Inputs!$B$15,0)</f>
        <v>0</v>
      </c>
      <c r="AX21" s="0" t="n">
        <f aca="false">IF(AX$3=180,AX16*12/Inputs!$B$15,0)</f>
        <v>0</v>
      </c>
      <c r="AY21" s="0" t="n">
        <f aca="false">IF(AY$3=180,AY16*12/Inputs!$B$15,0)</f>
        <v>0</v>
      </c>
      <c r="AZ21" s="0" t="n">
        <f aca="false">IF(AZ$3=180,AZ16*12/Inputs!$B$15,0)</f>
        <v>0</v>
      </c>
      <c r="BA21" s="0" t="n">
        <f aca="false">IF(BA$3=180,BA16*12/Inputs!$B$15,0)</f>
        <v>0</v>
      </c>
      <c r="BB21" s="0" t="n">
        <f aca="false">IF(BB$3=180,BB16*12/Inputs!$B$15,0)</f>
        <v>0</v>
      </c>
      <c r="BC21" s="0" t="n">
        <f aca="false">IF(BC$3=180,BC16*12/Inputs!$B$15,0)</f>
        <v>0</v>
      </c>
      <c r="BD21" s="0" t="n">
        <f aca="false">IF(BD$3=180,BD16*12/Inputs!$B$15,0)</f>
        <v>0</v>
      </c>
      <c r="BE21" s="0" t="n">
        <f aca="false">IF(BE$3=180,BE16*12/Inputs!$B$15,0)</f>
        <v>0</v>
      </c>
      <c r="BF21" s="0" t="n">
        <f aca="false">IF(BF$3=180,BF16*12/Inputs!$B$15,0)</f>
        <v>0</v>
      </c>
      <c r="BG21" s="0" t="n">
        <f aca="false">IF(BG$3=180,BG16*12/Inputs!$B$15,0)</f>
        <v>0</v>
      </c>
      <c r="BH21" s="0" t="n">
        <f aca="false">IF(BH$3=180,BH16*12/Inputs!$B$15,0)</f>
        <v>0</v>
      </c>
      <c r="BI21" s="0" t="n">
        <f aca="false">IF(BI$3=180,BI16*12/Inputs!$B$15,0)</f>
        <v>0</v>
      </c>
      <c r="BJ21" s="0" t="n">
        <f aca="false">IF(BJ$3=180,BJ16*12/Inputs!$B$15,0)</f>
        <v>0</v>
      </c>
      <c r="BK21" s="0" t="n">
        <f aca="false">IF(BK$3=180,BK16*12/Inputs!$B$15,0)</f>
        <v>0</v>
      </c>
      <c r="BL21" s="0" t="n">
        <f aca="false">IF(BL$3=180,BL16*12/Inputs!$B$15,0)</f>
        <v>0</v>
      </c>
      <c r="BM21" s="0" t="n">
        <f aca="false">IF(BM$3=180,BM16*12/Inputs!$B$15,0)</f>
        <v>0</v>
      </c>
      <c r="BN21" s="0" t="n">
        <f aca="false">IF(BN$3=180,BN16*12/Inputs!$B$15,0)</f>
        <v>0</v>
      </c>
      <c r="BO21" s="0" t="n">
        <f aca="false">IF(BO$3=180,BO16*12/Inputs!$B$15,0)</f>
        <v>0</v>
      </c>
      <c r="BP21" s="0" t="n">
        <f aca="false">IF(BP$3=180,BP16*12/Inputs!$B$15,0)</f>
        <v>0</v>
      </c>
      <c r="BQ21" s="0" t="n">
        <f aca="false">IF(BQ$3=180,BQ16*12/Inputs!$B$15,0)</f>
        <v>0</v>
      </c>
      <c r="BR21" s="0" t="n">
        <f aca="false">IF(BR$3=180,BR16*12/Inputs!$B$15,0)</f>
        <v>0</v>
      </c>
      <c r="BS21" s="0" t="n">
        <f aca="false">IF(BS$3=180,BS16*12/Inputs!$B$15,0)</f>
        <v>0</v>
      </c>
      <c r="BT21" s="0" t="n">
        <f aca="false">IF(BT$3=180,BT16*12/Inputs!$B$15,0)</f>
        <v>0</v>
      </c>
      <c r="BU21" s="0" t="n">
        <f aca="false">IF(BU$3=180,BU16*12/Inputs!$B$15,0)</f>
        <v>0</v>
      </c>
      <c r="BV21" s="0" t="n">
        <f aca="false">IF(BV$3=180,BV16*12/Inputs!$B$15,0)</f>
        <v>0</v>
      </c>
      <c r="BW21" s="0" t="n">
        <f aca="false">IF(BW$3=180,BW16*12/Inputs!$B$15,0)</f>
        <v>0</v>
      </c>
      <c r="BX21" s="0" t="n">
        <f aca="false">IF(BX$3=180,BX16*12/Inputs!$B$15,0)</f>
        <v>0</v>
      </c>
      <c r="BY21" s="0" t="n">
        <f aca="false">IF(BY$3=180,BY16*12/Inputs!$B$15,0)</f>
        <v>0</v>
      </c>
      <c r="BZ21" s="0" t="n">
        <f aca="false">IF(BZ$3=180,BZ16*12/Inputs!$B$15,0)</f>
        <v>0</v>
      </c>
      <c r="CA21" s="0" t="n">
        <f aca="false">IF(CA$3=180,CA16*12/Inputs!$B$15,0)</f>
        <v>0</v>
      </c>
      <c r="CB21" s="0" t="n">
        <f aca="false">IF(CB$3=180,CB16*12/Inputs!$B$15,0)</f>
        <v>0</v>
      </c>
      <c r="CC21" s="0" t="n">
        <f aca="false">IF(CC$3=180,CC16*12/Inputs!$B$15,0)</f>
        <v>0</v>
      </c>
      <c r="CD21" s="0" t="n">
        <f aca="false">IF(CD$3=180,CD16*12/Inputs!$B$15,0)</f>
        <v>0</v>
      </c>
      <c r="CE21" s="0" t="n">
        <f aca="false">IF(CE$3=180,CE16*12/Inputs!$B$15,0)</f>
        <v>0</v>
      </c>
      <c r="CF21" s="0" t="n">
        <f aca="false">IF(CF$3=180,CF16*12/Inputs!$B$15,0)</f>
        <v>0</v>
      </c>
      <c r="CG21" s="0" t="n">
        <f aca="false">IF(CG$3=180,CG16*12/Inputs!$B$15,0)</f>
        <v>0</v>
      </c>
      <c r="CH21" s="0" t="n">
        <f aca="false">IF(CH$3=180,CH16*12/Inputs!$B$15,0)</f>
        <v>0</v>
      </c>
      <c r="CI21" s="0" t="n">
        <f aca="false">IF(CI$3=180,CI16*12/Inputs!$B$15,0)</f>
        <v>0</v>
      </c>
      <c r="CJ21" s="0" t="n">
        <f aca="false">IF(CJ$3=180,CJ16*12/Inputs!$B$15,0)</f>
        <v>0</v>
      </c>
      <c r="CK21" s="0" t="n">
        <f aca="false">IF(CK$3=180,CK16*12/Inputs!$B$15,0)</f>
        <v>0</v>
      </c>
      <c r="CL21" s="0" t="n">
        <f aca="false">IF(CL$3=180,CL16*12/Inputs!$B$15,0)</f>
        <v>0</v>
      </c>
      <c r="CM21" s="0" t="n">
        <f aca="false">IF(CM$3=180,CM16*12/Inputs!$B$15,0)</f>
        <v>0</v>
      </c>
      <c r="CN21" s="0" t="n">
        <f aca="false">IF(CN$3=180,CN16*12/Inputs!$B$15,0)</f>
        <v>0</v>
      </c>
      <c r="CO21" s="0" t="n">
        <f aca="false">IF(CO$3=180,CO16*12/Inputs!$B$15,0)</f>
        <v>0</v>
      </c>
      <c r="CP21" s="0" t="n">
        <f aca="false">IF(CP$3=180,CP16*12/Inputs!$B$15,0)</f>
        <v>0</v>
      </c>
      <c r="CQ21" s="0" t="n">
        <f aca="false">IF(CQ$3=180,CQ16*12/Inputs!$B$15,0)</f>
        <v>0</v>
      </c>
      <c r="CR21" s="0" t="n">
        <f aca="false">IF(CR$3=180,CR16*12/Inputs!$B$15,0)</f>
        <v>0</v>
      </c>
      <c r="CS21" s="0" t="n">
        <f aca="false">IF(CS$3=180,CS16*12/Inputs!$B$15,0)</f>
        <v>0</v>
      </c>
      <c r="CT21" s="0" t="n">
        <f aca="false">IF(CT$3=180,CT16*12/Inputs!$B$15,0)</f>
        <v>0</v>
      </c>
      <c r="CU21" s="0" t="n">
        <f aca="false">IF(CU$3=180,CU16*12/Inputs!$B$15,0)</f>
        <v>0</v>
      </c>
      <c r="CV21" s="0" t="n">
        <f aca="false">IF(CV$3=180,CV16*12/Inputs!$B$15,0)</f>
        <v>0</v>
      </c>
      <c r="CW21" s="0" t="n">
        <f aca="false">IF(CW$3=180,CW16*12/Inputs!$B$15,0)</f>
        <v>0</v>
      </c>
      <c r="CX21" s="0" t="n">
        <f aca="false">IF(CX$3=180,CX16*12/Inputs!$B$15,0)</f>
        <v>0</v>
      </c>
      <c r="CY21" s="0" t="n">
        <f aca="false">IF(CY$3=180,CY16*12/Inputs!$B$15,0)</f>
        <v>0</v>
      </c>
      <c r="CZ21" s="0" t="n">
        <f aca="false">IF(CZ$3=180,CZ16*12/Inputs!$B$15,0)</f>
        <v>0</v>
      </c>
      <c r="DA21" s="0" t="n">
        <f aca="false">IF(DA$3=180,DA16*12/Inputs!$B$15,0)</f>
        <v>0</v>
      </c>
      <c r="DB21" s="0" t="n">
        <f aca="false">IF(DB$3=180,DB16*12/Inputs!$B$15,0)</f>
        <v>0</v>
      </c>
      <c r="DC21" s="0" t="n">
        <f aca="false">IF(DC$3=180,DC16*12/Inputs!$B$15,0)</f>
        <v>0</v>
      </c>
      <c r="DD21" s="0" t="n">
        <f aca="false">IF(DD$3=180,DD16*12/Inputs!$B$15,0)</f>
        <v>0</v>
      </c>
      <c r="DE21" s="0" t="n">
        <f aca="false">IF(DE$3=180,DE16*12/Inputs!$B$15,0)</f>
        <v>0</v>
      </c>
      <c r="DF21" s="0" t="n">
        <f aca="false">IF(DF$3=180,DF16*12/Inputs!$B$15,0)</f>
        <v>0</v>
      </c>
      <c r="DG21" s="0" t="n">
        <f aca="false">IF(DG$3=180,DG16*12/Inputs!$B$15,0)</f>
        <v>0</v>
      </c>
      <c r="DH21" s="0" t="n">
        <f aca="false">IF(DH$3=180,DH16*12/Inputs!$B$15,0)</f>
        <v>0</v>
      </c>
      <c r="DI21" s="0" t="n">
        <f aca="false">IF(DI$3=180,DI16*12/Inputs!$B$15,0)</f>
        <v>0</v>
      </c>
      <c r="DJ21" s="0" t="n">
        <f aca="false">IF(DJ$3=180,DJ16*12/Inputs!$B$15,0)</f>
        <v>0</v>
      </c>
      <c r="DK21" s="0" t="n">
        <f aca="false">IF(DK$3=180,DK16*12/Inputs!$B$15,0)</f>
        <v>0</v>
      </c>
      <c r="DL21" s="0" t="n">
        <f aca="false">IF(DL$3=180,DL16*12/Inputs!$B$15,0)</f>
        <v>0</v>
      </c>
      <c r="DM21" s="0" t="n">
        <f aca="false">IF(DM$3=180,DM16*12/Inputs!$B$15,0)</f>
        <v>0</v>
      </c>
      <c r="DN21" s="0" t="n">
        <f aca="false">IF(DN$3=180,DN16*12/Inputs!$B$15,0)</f>
        <v>0</v>
      </c>
      <c r="DO21" s="0" t="n">
        <f aca="false">IF(DO$3=180,DO16*12/Inputs!$B$15,0)</f>
        <v>0</v>
      </c>
      <c r="DP21" s="0" t="n">
        <f aca="false">IF(DP$3=180,DP16*12/Inputs!$B$15,0)</f>
        <v>0</v>
      </c>
      <c r="DQ21" s="0" t="n">
        <f aca="false">IF(DQ$3=180,DQ16*12/Inputs!$B$15,0)</f>
        <v>0</v>
      </c>
      <c r="DR21" s="0" t="n">
        <f aca="false">IF(DR$3=180,DR16*12/Inputs!$B$15,0)</f>
        <v>0</v>
      </c>
      <c r="DS21" s="0" t="n">
        <f aca="false">IF(DS$3=180,DS16*12/Inputs!$B$15,0)</f>
        <v>0</v>
      </c>
      <c r="DT21" s="0" t="n">
        <f aca="false">IF(DT$3=180,DT16*12/Inputs!$B$15,0)</f>
        <v>0</v>
      </c>
      <c r="DU21" s="0" t="n">
        <f aca="false">IF(DU$3=180,DU16*12/Inputs!$B$15,0)</f>
        <v>0</v>
      </c>
      <c r="DV21" s="0" t="n">
        <f aca="false">IF(DV$3=180,DV16*12/Inputs!$B$15,0)</f>
        <v>0</v>
      </c>
      <c r="DW21" s="0" t="n">
        <f aca="false">IF(DW$3=180,DW16*12/Inputs!$B$15,0)</f>
        <v>0</v>
      </c>
      <c r="DX21" s="0" t="n">
        <f aca="false">IF(DX$3=180,DX16*12/Inputs!$B$15,0)</f>
        <v>0</v>
      </c>
      <c r="DY21" s="0" t="n">
        <f aca="false">IF(DY$3=180,DY16*12/Inputs!$B$15,0)</f>
        <v>0</v>
      </c>
      <c r="DZ21" s="0" t="n">
        <f aca="false">IF(DZ$3=180,DZ16*12/Inputs!$B$15,0)</f>
        <v>0</v>
      </c>
      <c r="EA21" s="0" t="n">
        <f aca="false">IF(EA$3=180,EA16*12/Inputs!$B$15,0)</f>
        <v>0</v>
      </c>
      <c r="EB21" s="0" t="n">
        <f aca="false">IF(EB$3=180,EB16*12/Inputs!$B$15,0)</f>
        <v>0</v>
      </c>
      <c r="EC21" s="0" t="n">
        <f aca="false">IF(EC$3=180,EC16*12/Inputs!$B$15,0)</f>
        <v>0</v>
      </c>
      <c r="ED21" s="0" t="n">
        <f aca="false">IF(ED$3=180,ED16*12/Inputs!$B$15,0)</f>
        <v>0</v>
      </c>
      <c r="EE21" s="0" t="n">
        <f aca="false">IF(EE$3=180,EE16*12/Inputs!$B$15,0)</f>
        <v>0</v>
      </c>
      <c r="EF21" s="0" t="n">
        <f aca="false">IF(EF$3=180,EF16*12/Inputs!$B$15,0)</f>
        <v>0</v>
      </c>
      <c r="EG21" s="0" t="n">
        <f aca="false">IF(EG$3=180,EG16*12/Inputs!$B$15,0)</f>
        <v>0</v>
      </c>
      <c r="EH21" s="0" t="n">
        <f aca="false">IF(EH$3=180,EH16*12/Inputs!$B$15,0)</f>
        <v>0</v>
      </c>
      <c r="EI21" s="0" t="n">
        <f aca="false">IF(EI$3=180,EI16*12/Inputs!$B$15,0)</f>
        <v>0</v>
      </c>
      <c r="EJ21" s="0" t="n">
        <f aca="false">IF(EJ$3=180,EJ16*12/Inputs!$B$15,0)</f>
        <v>0</v>
      </c>
      <c r="EK21" s="0" t="n">
        <f aca="false">IF(EK$3=180,EK16*12/Inputs!$B$15,0)</f>
        <v>0</v>
      </c>
      <c r="EL21" s="0" t="n">
        <f aca="false">IF(EL$3=180,EL16*12/Inputs!$B$15,0)</f>
        <v>0</v>
      </c>
      <c r="EM21" s="0" t="n">
        <f aca="false">IF(EM$3=180,EM16*12/Inputs!$B$15,0)</f>
        <v>0</v>
      </c>
      <c r="EN21" s="0" t="n">
        <f aca="false">IF(EN$3=180,EN16*12/Inputs!$B$15,0)</f>
        <v>0</v>
      </c>
      <c r="EO21" s="0" t="n">
        <f aca="false">IF(EO$3=180,EO16*12/Inputs!$B$15,0)</f>
        <v>0</v>
      </c>
      <c r="EP21" s="0" t="n">
        <f aca="false">IF(EP$3=180,EP16*12/Inputs!$B$15,0)</f>
        <v>0</v>
      </c>
      <c r="EQ21" s="0" t="n">
        <f aca="false">IF(EQ$3=180,EQ16*12/Inputs!$B$15,0)</f>
        <v>0</v>
      </c>
      <c r="ER21" s="0" t="n">
        <f aca="false">IF(ER$3=180,ER16*12/Inputs!$B$15,0)</f>
        <v>0</v>
      </c>
      <c r="ES21" s="0" t="n">
        <f aca="false">IF(ES$3=180,ES16*12/Inputs!$B$15,0)</f>
        <v>0</v>
      </c>
      <c r="ET21" s="0" t="n">
        <f aca="false">IF(ET$3=180,ET16*12/Inputs!$B$15,0)</f>
        <v>0</v>
      </c>
      <c r="EU21" s="0" t="n">
        <f aca="false">IF(EU$3=180,EU16*12/Inputs!$B$15,0)</f>
        <v>0</v>
      </c>
      <c r="EV21" s="0" t="n">
        <f aca="false">IF(EV$3=180,EV16*12/Inputs!$B$15,0)</f>
        <v>0</v>
      </c>
      <c r="EW21" s="0" t="n">
        <f aca="false">IF(EW$3=180,EW16*12/Inputs!$B$15,0)</f>
        <v>0</v>
      </c>
      <c r="EX21" s="0" t="n">
        <f aca="false">IF(EX$3=180,EX16*12/Inputs!$B$15,0)</f>
        <v>0</v>
      </c>
      <c r="EY21" s="0" t="n">
        <f aca="false">IF(EY$3=180,EY16*12/Inputs!$B$15,0)</f>
        <v>0</v>
      </c>
      <c r="EZ21" s="0" t="n">
        <f aca="false">IF(EZ$3=180,EZ16*12/Inputs!$B$15,0)</f>
        <v>0</v>
      </c>
      <c r="FA21" s="0" t="n">
        <f aca="false">IF(FA$3=180,FA16*12/Inputs!$B$15,0)</f>
        <v>0</v>
      </c>
      <c r="FB21" s="0" t="n">
        <f aca="false">IF(FB$3=180,FB16*12/Inputs!$B$15,0)</f>
        <v>0</v>
      </c>
      <c r="FC21" s="0" t="n">
        <f aca="false">IF(FC$3=180,FC16*12/Inputs!$B$15,0)</f>
        <v>0</v>
      </c>
      <c r="FD21" s="0" t="n">
        <f aca="false">IF(FD$3=180,FD16*12/Inputs!$B$15,0)</f>
        <v>0</v>
      </c>
      <c r="FE21" s="0" t="n">
        <f aca="false">IF(FE$3=180,FE16*12/Inputs!$B$15,0)</f>
        <v>0</v>
      </c>
      <c r="FF21" s="0" t="n">
        <f aca="false">IF(FF$3=180,FF16*12/Inputs!$B$15,0)</f>
        <v>0</v>
      </c>
      <c r="FG21" s="0" t="n">
        <f aca="false">IF(FG$3=180,FG16*12/Inputs!$B$15,0)</f>
        <v>0</v>
      </c>
      <c r="FH21" s="0" t="n">
        <f aca="false">IF(FH$3=180,FH16*12/Inputs!$B$15,0)</f>
        <v>0</v>
      </c>
      <c r="FI21" s="0" t="n">
        <f aca="false">IF(FI$3=180,FI16*12/Inputs!$B$15,0)</f>
        <v>0</v>
      </c>
      <c r="FJ21" s="0" t="n">
        <f aca="false">IF(FJ$3=180,FJ16*12/Inputs!$B$15,0)</f>
        <v>0</v>
      </c>
      <c r="FK21" s="0" t="n">
        <f aca="false">IF(FK$3=180,FK16*12/Inputs!$B$15,0)</f>
        <v>0</v>
      </c>
      <c r="FL21" s="0" t="n">
        <f aca="false">IF(FL$3=180,FL16*12/Inputs!$B$15,0)</f>
        <v>0</v>
      </c>
      <c r="FM21" s="0" t="n">
        <f aca="false">IF(FM$3=180,FM16*12/Inputs!$B$15,0)</f>
        <v>0</v>
      </c>
      <c r="FN21" s="0" t="n">
        <f aca="false">IF(FN$3=180,FN16*12/Inputs!$B$15,0)</f>
        <v>0</v>
      </c>
      <c r="FO21" s="0" t="n">
        <f aca="false">IF(FO$3=180,FO16*12/Inputs!$B$15,0)</f>
        <v>0</v>
      </c>
      <c r="FP21" s="0" t="n">
        <f aca="false">IF(FP$3=180,FP16*12/Inputs!$B$15,0)</f>
        <v>0</v>
      </c>
      <c r="FQ21" s="0" t="n">
        <f aca="false">IF(FQ$3=180,FQ16*12/Inputs!$B$15,0)</f>
        <v>0</v>
      </c>
      <c r="FR21" s="0" t="n">
        <f aca="false">IF(FR$3=180,FR16*12/Inputs!$B$15,0)</f>
        <v>0</v>
      </c>
      <c r="FS21" s="0" t="n">
        <f aca="false">IF(FS$3=180,FS16*12/Inputs!$B$15,0)</f>
        <v>0</v>
      </c>
      <c r="FT21" s="0" t="n">
        <f aca="false">IF(FT$3=180,FT16*12/Inputs!$B$15,0)</f>
        <v>0</v>
      </c>
      <c r="FU21" s="0" t="n">
        <f aca="false">IF(FU$3=180,FU16*12/Inputs!$B$15,0)</f>
        <v>0</v>
      </c>
      <c r="FV21" s="0" t="n">
        <f aca="false">IF(FV$3=180,FV16*12/Inputs!$B$15,0)</f>
        <v>0</v>
      </c>
      <c r="FW21" s="0" t="n">
        <f aca="false">IF(FW$3=180,FW16*12/Inputs!$B$15,0)</f>
        <v>0</v>
      </c>
      <c r="FX21" s="0" t="n">
        <f aca="false">IF(FX$3=180,FX16*12/Inputs!$B$15,0)</f>
        <v>0</v>
      </c>
      <c r="FY21" s="0" t="n">
        <f aca="false">IF(FY$3=180,FY16*12/Inputs!$B$15,0)</f>
        <v>0</v>
      </c>
      <c r="FZ21" s="0" t="n">
        <f aca="false">IF(FZ$3=180,FZ16*12/Inputs!$B$15,0)</f>
        <v>1178388735.3062</v>
      </c>
    </row>
    <row r="22" customFormat="false" ht="15" hidden="false" customHeight="false" outlineLevel="0" collapsed="false">
      <c r="A22" s="0" t="s">
        <v>43</v>
      </c>
      <c r="B22" s="0" t="n">
        <f aca="false">-Inputs!$B$4*(1+Inputs!$B$5-Inputs!$B$11)</f>
        <v>-220420000</v>
      </c>
      <c r="C22" s="0" t="n">
        <f aca="false">C16-C15-C18-C19+C21-IF(C$3=180,B17-C19,0)</f>
        <v>612363.242066017</v>
      </c>
      <c r="D22" s="0" t="n">
        <f aca="false">D16-D15-D18-D19+D21-IF(D$3=180,C17-D19,0)</f>
        <v>622106.892546126</v>
      </c>
      <c r="E22" s="0" t="n">
        <f aca="false">E16-E15-E18-E19+E21-IF(E$3=180,D17-E19,0)</f>
        <v>631862.36388122</v>
      </c>
      <c r="F22" s="0" t="n">
        <f aca="false">F16-F15-F18-F19+F21-IF(F$3=180,E17-F19,0)</f>
        <v>641629.73527873</v>
      </c>
      <c r="G22" s="0" t="n">
        <f aca="false">G16-G15-G18-G19+G21-IF(G$3=180,F17-G19,0)</f>
        <v>651409.086046596</v>
      </c>
      <c r="H22" s="0" t="n">
        <f aca="false">H16-H15-H18-H19+H21-IF(H$3=180,G17-H19,0)</f>
        <v>661200.495593919</v>
      </c>
      <c r="I22" s="0" t="n">
        <f aca="false">I16-I15-I18-I19+I21-IF(I$3=180,H17-I19,0)</f>
        <v>671004.043431597</v>
      </c>
      <c r="J22" s="0" t="n">
        <f aca="false">J16-J15-J18-J19+J21-IF(J$3=180,I17-J19,0)</f>
        <v>680819.809172977</v>
      </c>
      <c r="K22" s="0" t="n">
        <f aca="false">K16-K15-K18-K19+K21-IF(K$3=180,J17-K19,0)</f>
        <v>690647.8725345</v>
      </c>
      <c r="L22" s="0" t="n">
        <f aca="false">L16-L15-L18-L19+L21-IF(L$3=180,K17-L19,0)</f>
        <v>700488.313336349</v>
      </c>
      <c r="M22" s="0" t="n">
        <f aca="false">M16-M15-M18-M19+M21-IF(M$3=180,L17-M19,0)</f>
        <v>710341.211503095</v>
      </c>
      <c r="N22" s="0" t="n">
        <f aca="false">N16-N15-N18-N19+N21-IF(N$3=180,M17-N19,0)</f>
        <v>720206.647064353</v>
      </c>
      <c r="O22" s="0" t="n">
        <f aca="false">O16-O15-O18-O19+O21-IF(O$3=180,N17-O19,0)</f>
        <v>730084.700155423</v>
      </c>
      <c r="P22" s="0" t="n">
        <f aca="false">P16-P15-P18-P19+P21-IF(P$3=180,O17-P19,0)</f>
        <v>-15220024.5489821</v>
      </c>
      <c r="Q22" s="0" t="n">
        <f aca="false">Q16-Q15-Q18-Q19+Q21-IF(Q$3=180,P17-Q19,0)</f>
        <v>749878.980000566</v>
      </c>
      <c r="R22" s="0" t="n">
        <f aca="false">R16-R15-R18-R19+R21-IF(R$3=180,Q17-R19,0)</f>
        <v>759795.367559557</v>
      </c>
      <c r="S22" s="0" t="n">
        <f aca="false">S16-S15-S18-S19+S21-IF(S$3=180,R17-S19,0)</f>
        <v>769724.694259504</v>
      </c>
      <c r="T22" s="0" t="n">
        <f aca="false">T16-T15-T18-T19+T21-IF(T$3=180,S17-T19,0)</f>
        <v>779667.040773943</v>
      </c>
      <c r="U22" s="0" t="n">
        <f aca="false">U16-U15-U18-U19+U21-IF(U$3=180,T17-U19,0)</f>
        <v>789622.48788602</v>
      </c>
      <c r="V22" s="0" t="n">
        <f aca="false">V16-V15-V18-V19+V21-IF(V$3=180,U17-V19,0)</f>
        <v>799591.11648915</v>
      </c>
      <c r="W22" s="0" t="n">
        <f aca="false">W16-W15-W18-W19+W21-IF(W$3=180,V17-W19,0)</f>
        <v>809573.007587671</v>
      </c>
      <c r="X22" s="0" t="n">
        <f aca="false">X16-X15-X18-X19+X21-IF(X$3=180,W17-X19,0)</f>
        <v>819568.242297503</v>
      </c>
      <c r="Y22" s="0" t="n">
        <f aca="false">Y16-Y15-Y18-Y19+Y21-IF(Y$3=180,X17-Y19,0)</f>
        <v>829576.901846809</v>
      </c>
      <c r="Z22" s="0" t="n">
        <f aca="false">Z16-Z15-Z18-Z19+Z21-IF(Z$3=180,Y17-Z19,0)</f>
        <v>839599.067576657</v>
      </c>
      <c r="AA22" s="0" t="n">
        <f aca="false">AA16-AA15-AA18-AA19+AA21-IF(AA$3=180,Z17-AA19,0)</f>
        <v>849634.820941674</v>
      </c>
      <c r="AB22" s="0" t="n">
        <f aca="false">AB16-AB15-AB18-AB19+AB21-IF(AB$3=180,AA17-AB19,0)</f>
        <v>859684.243510718</v>
      </c>
      <c r="AC22" s="0" t="n">
        <f aca="false">AC16-AC15-AC18-AC19+AC21-IF(AC$3=180,AB17-AC19,0)</f>
        <v>869747.416967533</v>
      </c>
      <c r="AD22" s="0" t="n">
        <f aca="false">AD16-AD15-AD18-AD19+AD21-IF(AD$3=180,AC17-AD19,0)</f>
        <v>879824.423111417</v>
      </c>
      <c r="AE22" s="0" t="n">
        <f aca="false">AE16-AE15-AE18-AE19+AE21-IF(AE$3=180,AD17-AE19,0)</f>
        <v>889915.34385789</v>
      </c>
      <c r="AF22" s="0" t="n">
        <f aca="false">AF16-AF15-AF18-AF19+AF21-IF(AF$3=180,AE17-AF19,0)</f>
        <v>-20939979.7387606</v>
      </c>
      <c r="AG22" s="0" t="n">
        <f aca="false">AG16-AG15-AG18-AG19+AG21-IF(AG$3=180,AF17-AG19,0)</f>
        <v>910139.257405761</v>
      </c>
      <c r="AH22" s="0" t="n">
        <f aca="false">AH16-AH15-AH18-AH19+AH21-IF(AH$3=180,AG17-AH19,0)</f>
        <v>920272.414625286</v>
      </c>
      <c r="AI22" s="0" t="n">
        <f aca="false">AI16-AI15-AI18-AI19+AI21-IF(AI$3=180,AH17-AI19,0)</f>
        <v>930419.815284994</v>
      </c>
      <c r="AJ22" s="0" t="n">
        <f aca="false">AJ16-AJ15-AJ18-AJ19+AJ21-IF(AJ$3=180,AI17-AJ19,0)</f>
        <v>940581.541891506</v>
      </c>
      <c r="AK22" s="0" t="n">
        <f aca="false">AK16-AK15-AK18-AK19+AK21-IF(AK$3=180,AJ17-AK19,0)</f>
        <v>950757.677071674</v>
      </c>
      <c r="AL22" s="0" t="n">
        <f aca="false">AL16-AL15-AL18-AL19+AL21-IF(AL$3=180,AK17-AL19,0)</f>
        <v>960948.303573254</v>
      </c>
      <c r="AM22" s="0" t="n">
        <f aca="false">AM16-AM15-AM18-AM19+AM21-IF(AM$3=180,AL17-AM19,0)</f>
        <v>971153.504265575</v>
      </c>
      <c r="AN22" s="0" t="n">
        <f aca="false">AN16-AN15-AN18-AN19+AN21-IF(AN$3=180,AM17-AN19,0)</f>
        <v>981373.362140217</v>
      </c>
      <c r="AO22" s="0" t="n">
        <f aca="false">AO16-AO15-AO18-AO19+AO21-IF(AO$3=180,AN17-AO19,0)</f>
        <v>991607.960311685</v>
      </c>
      <c r="AP22" s="0" t="n">
        <f aca="false">AP16-AP15-AP18-AP19+AP21-IF(AP$3=180,AO17-AP19,0)</f>
        <v>1001857.38201808</v>
      </c>
      <c r="AQ22" s="0" t="n">
        <f aca="false">AQ16-AQ15-AQ18-AQ19+AQ21-IF(AQ$3=180,AP17-AQ19,0)</f>
        <v>1012121.71062179</v>
      </c>
      <c r="AR22" s="0" t="n">
        <f aca="false">AR16-AR15-AR18-AR19+AR21-IF(AR$3=180,AQ17-AR19,0)</f>
        <v>1022401.02961016</v>
      </c>
      <c r="AS22" s="0" t="n">
        <f aca="false">AS16-AS15-AS18-AS19+AS21-IF(AS$3=180,AR17-AS19,0)</f>
        <v>1032695.42259615</v>
      </c>
      <c r="AT22" s="0" t="n">
        <f aca="false">AT16-AT15-AT18-AT19+AT21-IF(AT$3=180,AS17-AT19,0)</f>
        <v>1043004.97331906</v>
      </c>
      <c r="AU22" s="0" t="n">
        <f aca="false">AU16-AU15-AU18-AU19+AU21-IF(AU$3=180,AT17-AU19,0)</f>
        <v>1053329.76564517</v>
      </c>
      <c r="AV22" s="0" t="n">
        <f aca="false">AV16-AV15-AV18-AV19+AV21-IF(AV$3=180,AU17-AV19,0)</f>
        <v>1063669.88356846</v>
      </c>
      <c r="AW22" s="0" t="n">
        <f aca="false">AW16-AW15-AW18-AW19+AW21-IF(AW$3=180,AV17-AW19,0)</f>
        <v>1074025.41121124</v>
      </c>
      <c r="AX22" s="0" t="n">
        <f aca="false">AX16-AX15-AX18-AX19+AX21-IF(AX$3=180,AW17-AX19,0)</f>
        <v>-11095603.5671751</v>
      </c>
      <c r="AY22" s="0" t="n">
        <f aca="false">AY16-AY15-AY18-AY19+AY21-IF(AY$3=180,AX17-AY19,0)</f>
        <v>1094783.03279058</v>
      </c>
      <c r="AZ22" s="0" t="n">
        <f aca="false">AZ16-AZ15-AZ18-AZ19+AZ21-IF(AZ$3=180,AY17-AZ19,0)</f>
        <v>1105185.29561977</v>
      </c>
      <c r="BA22" s="0" t="n">
        <f aca="false">BA16-BA15-BA18-BA19+BA21-IF(BA$3=180,AZ17-BA19,0)</f>
        <v>1115603.30595512</v>
      </c>
      <c r="BB22" s="0" t="n">
        <f aca="false">BB16-BB15-BB18-BB19+BB21-IF(BB$3=180,BA17-BB19,0)</f>
        <v>1126037.14857108</v>
      </c>
      <c r="BC22" s="0" t="n">
        <f aca="false">BC16-BC15-BC18-BC19+BC21-IF(BC$3=180,BB17-BC19,0)</f>
        <v>1136486.90837456</v>
      </c>
      <c r="BD22" s="0" t="n">
        <f aca="false">BD16-BD15-BD18-BD19+BD21-IF(BD$3=180,BC17-BD19,0)</f>
        <v>1146952.67040568</v>
      </c>
      <c r="BE22" s="0" t="n">
        <f aca="false">BE16-BE15-BE18-BE19+BE21-IF(BE$3=180,BD17-BE19,0)</f>
        <v>1157434.5198384</v>
      </c>
      <c r="BF22" s="0" t="n">
        <f aca="false">BF16-BF15-BF18-BF19+BF21-IF(BF$3=180,BE17-BF19,0)</f>
        <v>1167932.54198126</v>
      </c>
      <c r="BG22" s="0" t="n">
        <f aca="false">BG16-BG15-BG18-BG19+BG21-IF(BG$3=180,BF17-BG19,0)</f>
        <v>1178446.82227805</v>
      </c>
      <c r="BH22" s="0" t="n">
        <f aca="false">BH16-BH15-BH18-BH19+BH21-IF(BH$3=180,BG17-BH19,0)</f>
        <v>1188977.44630853</v>
      </c>
      <c r="BI22" s="0" t="n">
        <f aca="false">BI16-BI15-BI18-BI19+BI21-IF(BI$3=180,BH17-BI19,0)</f>
        <v>1199524.4997891</v>
      </c>
      <c r="BJ22" s="0" t="n">
        <f aca="false">BJ16-BJ15-BJ18-BJ19+BJ21-IF(BJ$3=180,BI17-BJ19,0)</f>
        <v>1210088.06857351</v>
      </c>
      <c r="BK22" s="0" t="n">
        <f aca="false">BK16-BK15-BK18-BK19+BK21-IF(BK$3=180,BJ17-BK19,0)</f>
        <v>843001.57198688</v>
      </c>
      <c r="BL22" s="0" t="n">
        <f aca="false">BL16-BL15-BL18-BL19+BL21-IF(BL$3=180,BK17-BL19,0)</f>
        <v>854888.79060421</v>
      </c>
      <c r="BM22" s="0" t="n">
        <f aca="false">BM16-BM15-BM18-BM19+BM21-IF(BM$3=180,BL17-BM19,0)</f>
        <v>866792.782917714</v>
      </c>
      <c r="BN22" s="0" t="n">
        <f aca="false">BN16-BN15-BN18-BN19+BN21-IF(BN$3=180,BM17-BN19,0)</f>
        <v>878713.635337539</v>
      </c>
      <c r="BO22" s="0" t="n">
        <f aca="false">BO16-BO15-BO18-BO19+BO21-IF(BO$3=180,BN17-BO19,0)</f>
        <v>890651.434414689</v>
      </c>
      <c r="BP22" s="0" t="n">
        <f aca="false">BP16-BP15-BP18-BP19+BP21-IF(BP$3=180,BO17-BP19,0)</f>
        <v>902606.266841728</v>
      </c>
      <c r="BQ22" s="0" t="n">
        <f aca="false">BQ16-BQ15-BQ18-BQ19+BQ21-IF(BQ$3=180,BP17-BQ19,0)</f>
        <v>914578.219453484</v>
      </c>
      <c r="BR22" s="0" t="n">
        <f aca="false">BR16-BR15-BR18-BR19+BR21-IF(BR$3=180,BQ17-BR19,0)</f>
        <v>926567.379227763</v>
      </c>
      <c r="BS22" s="0" t="n">
        <f aca="false">BS16-BS15-BS18-BS19+BS21-IF(BS$3=180,BR17-BS19,0)</f>
        <v>938573.833286052</v>
      </c>
      <c r="BT22" s="0" t="n">
        <f aca="false">BT16-BT15-BT18-BT19+BT21-IF(BT$3=180,BS17-BT19,0)</f>
        <v>-7869402.33110577</v>
      </c>
      <c r="BU22" s="0" t="n">
        <f aca="false">BU16-BU15-BU18-BU19+BU21-IF(BU$3=180,BT17-BU19,0)</f>
        <v>962638.973463277</v>
      </c>
      <c r="BV22" s="0" t="n">
        <f aca="false">BV16-BV15-BV18-BV19+BV21-IF(BV$3=180,BU17-BV19,0)</f>
        <v>974697.834549991</v>
      </c>
      <c r="BW22" s="0" t="n">
        <f aca="false">BW16-BW15-BW18-BW19+BW21-IF(BW$3=180,BV17-BW19,0)</f>
        <v>986774.339857698</v>
      </c>
      <c r="BX22" s="0" t="n">
        <f aca="false">BX16-BX15-BX18-BX19+BX21-IF(BX$3=180,BW17-BX19,0)</f>
        <v>998868.577236965</v>
      </c>
      <c r="BY22" s="0" t="n">
        <f aca="false">BY16-BY15-BY18-BY19+BY21-IF(BY$3=180,BX17-BY19,0)</f>
        <v>1010980.63468632</v>
      </c>
      <c r="BZ22" s="0" t="n">
        <f aca="false">BZ16-BZ15-BZ18-BZ19+BZ21-IF(BZ$3=180,BY17-BZ19,0)</f>
        <v>1023110.60035296</v>
      </c>
      <c r="CA22" s="0" t="n">
        <f aca="false">CA16-CA15-CA18-CA19+CA21-IF(CA$3=180,BZ17-CA19,0)</f>
        <v>1035258.56253349</v>
      </c>
      <c r="CB22" s="0" t="n">
        <f aca="false">CB16-CB15-CB18-CB19+CB21-IF(CB$3=180,CA17-CB19,0)</f>
        <v>1047424.60967462</v>
      </c>
      <c r="CC22" s="0" t="n">
        <f aca="false">CC16-CC15-CC18-CC19+CC21-IF(CC$3=180,CB17-CC19,0)</f>
        <v>1059608.83037388</v>
      </c>
      <c r="CD22" s="0" t="n">
        <f aca="false">CD16-CD15-CD18-CD19+CD21-IF(CD$3=180,CC17-CD19,0)</f>
        <v>1071811.31338037</v>
      </c>
      <c r="CE22" s="0" t="n">
        <f aca="false">CE16-CE15-CE18-CE19+CE21-IF(CE$3=180,CD17-CE19,0)</f>
        <v>1083780.29278343</v>
      </c>
      <c r="CF22" s="0" t="n">
        <f aca="false">CF16-CF15-CF18-CF19+CF21-IF(CF$3=180,CE17-CF19,0)</f>
        <v>1095630.98628483</v>
      </c>
      <c r="CG22" s="0" t="n">
        <f aca="false">CG16-CG15-CG18-CG19+CG21-IF(CG$3=180,CF17-CG19,0)</f>
        <v>1107500.18075992</v>
      </c>
      <c r="CH22" s="0" t="n">
        <f aca="false">CH16-CH15-CH18-CH19+CH21-IF(CH$3=180,CG17-CH19,0)</f>
        <v>1119387.96244262</v>
      </c>
      <c r="CI22" s="0" t="n">
        <f aca="false">CI16-CI15-CI18-CI19+CI21-IF(CI$3=180,CH17-CI19,0)</f>
        <v>1131294.41772158</v>
      </c>
      <c r="CJ22" s="0" t="n">
        <f aca="false">CJ16-CJ15-CJ18-CJ19+CJ21-IF(CJ$3=180,CI17-CJ19,0)</f>
        <v>1143219.63314091</v>
      </c>
      <c r="CK22" s="0" t="n">
        <f aca="false">CK16-CK15-CK18-CK19+CK21-IF(CK$3=180,CJ17-CK19,0)</f>
        <v>1155163.69540086</v>
      </c>
      <c r="CL22" s="0" t="n">
        <f aca="false">CL16-CL15-CL18-CL19+CL21-IF(CL$3=180,CK17-CL19,0)</f>
        <v>1167126.69135854</v>
      </c>
      <c r="CM22" s="0" t="n">
        <f aca="false">CM16-CM15-CM18-CM19+CM21-IF(CM$3=180,CL17-CM19,0)</f>
        <v>1179108.70802864</v>
      </c>
      <c r="CN22" s="0" t="n">
        <f aca="false">CN16-CN15-CN18-CN19+CN21-IF(CN$3=180,CM17-CN19,0)</f>
        <v>1191109.83258411</v>
      </c>
      <c r="CO22" s="0" t="n">
        <f aca="false">CO16-CO15-CO18-CO19+CO21-IF(CO$3=180,CN17-CO19,0)</f>
        <v>1203130.15235691</v>
      </c>
      <c r="CP22" s="0" t="n">
        <f aca="false">CP16-CP15-CP18-CP19+CP21-IF(CP$3=180,CO17-CP19,0)</f>
        <v>1215169.75483869</v>
      </c>
      <c r="CQ22" s="0" t="n">
        <f aca="false">CQ16-CQ15-CQ18-CQ19+CQ21-IF(CQ$3=180,CP17-CQ19,0)</f>
        <v>1227228.7276815</v>
      </c>
      <c r="CR22" s="0" t="n">
        <f aca="false">CR16-CR15-CR18-CR19+CR21-IF(CR$3=180,CQ17-CR19,0)</f>
        <v>1239307.15869853</v>
      </c>
      <c r="CS22" s="0" t="n">
        <f aca="false">CS16-CS15-CS18-CS19+CS21-IF(CS$3=180,CR17-CS19,0)</f>
        <v>1251405.13586483</v>
      </c>
      <c r="CT22" s="0" t="n">
        <f aca="false">CT16-CT15-CT18-CT19+CT21-IF(CT$3=180,CS17-CT19,0)</f>
        <v>1263522.747318</v>
      </c>
      <c r="CU22" s="0" t="n">
        <f aca="false">CU16-CU15-CU18-CU19+CU21-IF(CU$3=180,CT17-CU19,0)</f>
        <v>1275660.08135891</v>
      </c>
      <c r="CV22" s="0" t="n">
        <f aca="false">CV16-CV15-CV18-CV19+CV21-IF(CV$3=180,CU17-CV19,0)</f>
        <v>1287817.22645246</v>
      </c>
      <c r="CW22" s="0" t="n">
        <f aca="false">CW16-CW15-CW18-CW19+CW21-IF(CW$3=180,CV17-CW19,0)</f>
        <v>1299994.27122824</v>
      </c>
      <c r="CX22" s="0" t="n">
        <f aca="false">CX16-CX15-CX18-CX19+CX21-IF(CX$3=180,CW17-CX19,0)</f>
        <v>1312191.30448132</v>
      </c>
      <c r="CY22" s="0" t="n">
        <f aca="false">CY16-CY15-CY18-CY19+CY21-IF(CY$3=180,CX17-CY19,0)</f>
        <v>1324408.41517292</v>
      </c>
      <c r="CZ22" s="0" t="n">
        <f aca="false">CZ16-CZ15-CZ18-CZ19+CZ21-IF(CZ$3=180,CY17-CZ19,0)</f>
        <v>1336645.69243117</v>
      </c>
      <c r="DA22" s="0" t="n">
        <f aca="false">DA16-DA15-DA18-DA19+DA21-IF(DA$3=180,CZ17-DA19,0)</f>
        <v>1348903.22555181</v>
      </c>
      <c r="DB22" s="0" t="n">
        <f aca="false">DB16-DB15-DB18-DB19+DB21-IF(DB$3=180,DA17-DB19,0)</f>
        <v>1361181.10399895</v>
      </c>
      <c r="DC22" s="0" t="n">
        <f aca="false">DC16-DC15-DC18-DC19+DC21-IF(DC$3=180,DB17-DC19,0)</f>
        <v>1373479.41740577</v>
      </c>
      <c r="DD22" s="0" t="n">
        <f aca="false">DD16-DD15-DD18-DD19+DD21-IF(DD$3=180,DC17-DD19,0)</f>
        <v>1385798.25557527</v>
      </c>
      <c r="DE22" s="0" t="n">
        <f aca="false">DE16-DE15-DE18-DE19+DE21-IF(DE$3=180,DD17-DE19,0)</f>
        <v>1398137.708481</v>
      </c>
      <c r="DF22" s="0" t="n">
        <f aca="false">DF16-DF15-DF18-DF19+DF21-IF(DF$3=180,DE17-DF19,0)</f>
        <v>1410497.86626779</v>
      </c>
      <c r="DG22" s="0" t="n">
        <f aca="false">DG16-DG15-DG18-DG19+DG21-IF(DG$3=180,DF17-DG19,0)</f>
        <v>1422878.81925247</v>
      </c>
      <c r="DH22" s="0" t="n">
        <f aca="false">DH16-DH15-DH18-DH19+DH21-IF(DH$3=180,DG17-DH19,0)</f>
        <v>-14524719.3420754</v>
      </c>
      <c r="DI22" s="0" t="n">
        <f aca="false">DI16-DI15-DI18-DI19+DI21-IF(DI$3=180,DH17-DI19,0)</f>
        <v>1447703.47294742</v>
      </c>
      <c r="DJ22" s="0" t="n">
        <f aca="false">DJ16-DJ15-DJ18-DJ19+DJ21-IF(DJ$3=180,DI17-DJ19,0)</f>
        <v>1460147.3551581</v>
      </c>
      <c r="DK22" s="0" t="n">
        <f aca="false">DK16-DK15-DK18-DK19+DK21-IF(DK$3=180,DJ17-DK19,0)</f>
        <v>1472612.395569</v>
      </c>
      <c r="DL22" s="0" t="n">
        <f aca="false">DL16-DL15-DL18-DL19+DL21-IF(DL$3=180,DK17-DL19,0)</f>
        <v>1485098.68536812</v>
      </c>
      <c r="DM22" s="0" t="n">
        <f aca="false">DM16-DM15-DM18-DM19+DM21-IF(DM$3=180,DL17-DM19,0)</f>
        <v>1497606.31591994</v>
      </c>
      <c r="DN22" s="0" t="n">
        <f aca="false">DN16-DN15-DN18-DN19+DN21-IF(DN$3=180,DM17-DN19,0)</f>
        <v>1510135.37876616</v>
      </c>
      <c r="DO22" s="0" t="n">
        <f aca="false">DO16-DO15-DO18-DO19+DO21-IF(DO$3=180,DN17-DO19,0)</f>
        <v>1522685.96562639</v>
      </c>
      <c r="DP22" s="0" t="n">
        <f aca="false">DP16-DP15-DP18-DP19+DP21-IF(DP$3=180,DO17-DP19,0)</f>
        <v>1535258.16839899</v>
      </c>
      <c r="DQ22" s="0" t="n">
        <f aca="false">DQ16-DQ15-DQ18-DQ19+DQ21-IF(DQ$3=180,DP17-DQ19,0)</f>
        <v>1547852.07916174</v>
      </c>
      <c r="DR22" s="0" t="n">
        <f aca="false">DR16-DR15-DR18-DR19+DR21-IF(DR$3=180,DQ17-DR19,0)</f>
        <v>1560467.79017265</v>
      </c>
      <c r="DS22" s="0" t="n">
        <f aca="false">DS16-DS15-DS18-DS19+DS21-IF(DS$3=180,DR17-DS19,0)</f>
        <v>1573105.39387066</v>
      </c>
      <c r="DT22" s="0" t="n">
        <f aca="false">DT16-DT15-DT18-DT19+DT21-IF(DT$3=180,DS17-DT19,0)</f>
        <v>1585764.98287646</v>
      </c>
      <c r="DU22" s="0" t="n">
        <f aca="false">DU16-DU15-DU18-DU19+DU21-IF(DU$3=180,DT17-DU19,0)</f>
        <v>1598446.64999316</v>
      </c>
      <c r="DV22" s="0" t="n">
        <f aca="false">DV16-DV15-DV18-DV19+DV21-IF(DV$3=180,DU17-DV19,0)</f>
        <v>1611150.48820714</v>
      </c>
      <c r="DW22" s="0" t="n">
        <f aca="false">DW16-DW15-DW18-DW19+DW21-IF(DW$3=180,DV17-DW19,0)</f>
        <v>1623876.59068875</v>
      </c>
      <c r="DX22" s="0" t="n">
        <f aca="false">DX16-DX15-DX18-DX19+DX21-IF(DX$3=180,DW17-DX19,0)</f>
        <v>-20203374.9492069</v>
      </c>
      <c r="DY22" s="0" t="n">
        <f aca="false">DY16-DY15-DY18-DY19+DY21-IF(DY$3=180,DX17-DY19,0)</f>
        <v>1649395.96206074</v>
      </c>
      <c r="DZ22" s="0" t="n">
        <f aca="false">DZ16-DZ15-DZ18-DZ19+DZ21-IF(DZ$3=180,DY17-DZ19,0)</f>
        <v>1662189.41821859</v>
      </c>
      <c r="EA22" s="0" t="n">
        <f aca="false">EA16-EA15-EA18-EA19+EA21-IF(EA$3=180,DZ17-EA19,0)</f>
        <v>1675005.51318057</v>
      </c>
      <c r="EB22" s="0" t="n">
        <f aca="false">EB16-EB15-EB18-EB19+EB21-IF(EB$3=180,EA17-EB19,0)</f>
        <v>1687844.34104838</v>
      </c>
      <c r="EC22" s="0" t="n">
        <f aca="false">EC16-EC15-EC18-EC19+EC21-IF(EC$3=180,EB17-EC19,0)</f>
        <v>1700705.99611231</v>
      </c>
      <c r="ED22" s="0" t="n">
        <f aca="false">ED16-ED15-ED18-ED19+ED21-IF(ED$3=180,EC17-ED19,0)</f>
        <v>1713590.57285201</v>
      </c>
      <c r="EE22" s="0" t="n">
        <f aca="false">EE16-EE15-EE18-EE19+EE21-IF(EE$3=180,ED17-EE19,0)</f>
        <v>1726498.16593722</v>
      </c>
      <c r="EF22" s="0" t="n">
        <f aca="false">EF16-EF15-EF18-EF19+EF21-IF(EF$3=180,EE17-EF19,0)</f>
        <v>1739428.87022859</v>
      </c>
      <c r="EG22" s="0" t="n">
        <f aca="false">EG16-EG15-EG18-EG19+EG21-IF(EG$3=180,EF17-EG19,0)</f>
        <v>1752382.78077841</v>
      </c>
      <c r="EH22" s="0" t="n">
        <f aca="false">EH16-EH15-EH18-EH19+EH21-IF(EH$3=180,EG17-EH19,0)</f>
        <v>1765359.99283142</v>
      </c>
      <c r="EI22" s="0" t="n">
        <f aca="false">EI16-EI15-EI18-EI19+EI21-IF(EI$3=180,EH17-EI19,0)</f>
        <v>1778360.60182559</v>
      </c>
      <c r="EJ22" s="0" t="n">
        <f aca="false">EJ16-EJ15-EJ18-EJ19+EJ21-IF(EJ$3=180,EI17-EJ19,0)</f>
        <v>1791384.70339287</v>
      </c>
      <c r="EK22" s="0" t="n">
        <f aca="false">EK16-EK15-EK18-EK19+EK21-IF(EK$3=180,EJ17-EK19,0)</f>
        <v>1804432.39335998</v>
      </c>
      <c r="EL22" s="0" t="n">
        <f aca="false">EL16-EL15-EL18-EL19+EL21-IF(EL$3=180,EK17-EL19,0)</f>
        <v>1817503.76774923</v>
      </c>
      <c r="EM22" s="0" t="n">
        <f aca="false">EM16-EM15-EM18-EM19+EM21-IF(EM$3=180,EL17-EM19,0)</f>
        <v>1830598.92277925</v>
      </c>
      <c r="EN22" s="0" t="n">
        <f aca="false">EN16-EN15-EN18-EN19+EN21-IF(EN$3=180,EM17-EN19,0)</f>
        <v>1843717.95486581</v>
      </c>
      <c r="EO22" s="0" t="n">
        <f aca="false">EO16-EO15-EO18-EO19+EO21-IF(EO$3=180,EN17-EO19,0)</f>
        <v>1856860.9606226</v>
      </c>
      <c r="EP22" s="0" t="n">
        <f aca="false">EP16-EP15-EP18-EP19+EP21-IF(EP$3=180,EO17-EP19,0)</f>
        <v>-10309971.963138</v>
      </c>
      <c r="EQ22" s="0" t="n">
        <f aca="false">EQ16-EQ15-EQ18-EQ19+EQ21-IF(EQ$3=180,EP17-EQ19,0)</f>
        <v>1883219.28059595</v>
      </c>
      <c r="ER22" s="0" t="n">
        <f aca="false">ER16-ER15-ER18-ER19+ER21-IF(ER$3=180,EQ17-ER19,0)</f>
        <v>1896434.78903658</v>
      </c>
      <c r="ES22" s="0" t="n">
        <f aca="false">ES16-ES15-ES18-ES19+ES21-IF(ES$3=180,ER17-ES19,0)</f>
        <v>1909674.6595972</v>
      </c>
      <c r="ET22" s="0" t="n">
        <f aca="false">ET16-ET15-ET18-ET19+ET21-IF(ET$3=180,ES17-ET19,0)</f>
        <v>1922938.98989294</v>
      </c>
      <c r="EU22" s="0" t="n">
        <f aca="false">EU16-EU15-EU18-EU19+EU21-IF(EU$3=180,ET17-EU19,0)</f>
        <v>1936039.13193711</v>
      </c>
      <c r="EV22" s="0" t="n">
        <f aca="false">EV16-EV15-EV18-EV19+EV21-IF(EV$3=180,EU17-EV19,0)</f>
        <v>1948699.90770811</v>
      </c>
      <c r="EW22" s="0" t="n">
        <f aca="false">EW16-EW15-EW18-EW19+EW21-IF(EW$3=180,EV17-EW19,0)</f>
        <v>1961385.39129247</v>
      </c>
      <c r="EX22" s="0" t="n">
        <f aca="false">EX16-EX15-EX18-EX19+EX21-IF(EX$3=180,EW17-EX19,0)</f>
        <v>1974095.67586524</v>
      </c>
      <c r="EY22" s="0" t="n">
        <f aca="false">EY16-EY15-EY18-EY19+EY21-IF(EY$3=180,EX17-EY19,0)</f>
        <v>1986830.85480665</v>
      </c>
      <c r="EZ22" s="0" t="n">
        <f aca="false">EZ16-EZ15-EZ18-EZ19+EZ21-IF(EZ$3=180,EY17-EZ19,0)</f>
        <v>1999591.02170282</v>
      </c>
      <c r="FA22" s="0" t="n">
        <f aca="false">FA16-FA15-FA18-FA19+FA21-IF(FA$3=180,EZ17-FA19,0)</f>
        <v>2012376.27034657</v>
      </c>
      <c r="FB22" s="0" t="n">
        <f aca="false">FB16-FB15-FB18-FB19+FB21-IF(FB$3=180,FA17-FB19,0)</f>
        <v>2025186.69473818</v>
      </c>
      <c r="FC22" s="0" t="n">
        <f aca="false">FC16-FC15-FC18-FC19+FC21-IF(FC$3=180,FB17-FC19,0)</f>
        <v>2038022.38908614</v>
      </c>
      <c r="FD22" s="0" t="n">
        <f aca="false">FD16-FD15-FD18-FD19+FD21-IF(FD$3=180,FC17-FD19,0)</f>
        <v>2050883.44780796</v>
      </c>
      <c r="FE22" s="0" t="n">
        <f aca="false">FE16-FE15-FE18-FE19+FE21-IF(FE$3=180,FD17-FE19,0)</f>
        <v>2063769.96553088</v>
      </c>
      <c r="FF22" s="0" t="n">
        <f aca="false">FF16-FF15-FF18-FF19+FF21-IF(FF$3=180,FE17-FF19,0)</f>
        <v>2076682.03709272</v>
      </c>
      <c r="FG22" s="0" t="n">
        <f aca="false">FG16-FG15-FG18-FG19+FG21-IF(FG$3=180,FF17-FG19,0)</f>
        <v>2089619.75754258</v>
      </c>
      <c r="FH22" s="0" t="n">
        <f aca="false">FH16-FH15-FH18-FH19+FH21-IF(FH$3=180,FG17-FH19,0)</f>
        <v>2102583.22214167</v>
      </c>
      <c r="FI22" s="0" t="n">
        <f aca="false">FI16-FI15-FI18-FI19+FI21-IF(FI$3=180,FH17-FI19,0)</f>
        <v>2115572.52636408</v>
      </c>
      <c r="FJ22" s="0" t="n">
        <f aca="false">FJ16-FJ15-FJ18-FJ19+FJ21-IF(FJ$3=180,FI17-FJ19,0)</f>
        <v>2128587.76589754</v>
      </c>
      <c r="FK22" s="0" t="n">
        <f aca="false">FK16-FK15-FK18-FK19+FK21-IF(FK$3=180,FJ17-FK19,0)</f>
        <v>2141629.03664423</v>
      </c>
      <c r="FL22" s="0" t="n">
        <f aca="false">FL16-FL15-FL18-FL19+FL21-IF(FL$3=180,FK17-FL19,0)</f>
        <v>2154696.43472153</v>
      </c>
      <c r="FM22" s="0" t="n">
        <f aca="false">FM16-FM15-FM18-FM19+FM21-IF(FM$3=180,FL17-FM19,0)</f>
        <v>2167790.05646285</v>
      </c>
      <c r="FN22" s="0" t="n">
        <f aca="false">FN16-FN15-FN18-FN19+FN21-IF(FN$3=180,FM17-FN19,0)</f>
        <v>2180909.99841839</v>
      </c>
      <c r="FO22" s="0" t="n">
        <f aca="false">FO16-FO15-FO18-FO19+FO21-IF(FO$3=180,FN17-FO19,0)</f>
        <v>2194056.35735593</v>
      </c>
      <c r="FP22" s="0" t="n">
        <f aca="false">FP16-FP15-FP18-FP19+FP21-IF(FP$3=180,FO17-FP19,0)</f>
        <v>2207229.23026163</v>
      </c>
      <c r="FQ22" s="0" t="n">
        <f aca="false">FQ16-FQ15-FQ18-FQ19+FQ21-IF(FQ$3=180,FP17-FQ19,0)</f>
        <v>2220428.71434082</v>
      </c>
      <c r="FR22" s="0" t="n">
        <f aca="false">FR16-FR15-FR18-FR19+FR21-IF(FR$3=180,FQ17-FR19,0)</f>
        <v>2233654.9070188</v>
      </c>
      <c r="FS22" s="0" t="n">
        <f aca="false">FS16-FS15-FS18-FS19+FS21-IF(FS$3=180,FR17-FS19,0)</f>
        <v>2246907.90594162</v>
      </c>
      <c r="FT22" s="0" t="n">
        <f aca="false">FT16-FT15-FT18-FT19+FT21-IF(FT$3=180,FS17-FT19,0)</f>
        <v>2260187.80897692</v>
      </c>
      <c r="FU22" s="0" t="n">
        <f aca="false">FU16-FU15-FU18-FU19+FU21-IF(FU$3=180,FT17-FU19,0)</f>
        <v>2273494.71421467</v>
      </c>
      <c r="FV22" s="0" t="n">
        <f aca="false">FV16-FV15-FV18-FV19+FV21-IF(FV$3=180,FU17-FV19,0)</f>
        <v>2286828.71996802</v>
      </c>
      <c r="FW22" s="0" t="n">
        <f aca="false">FW16-FW15-FW18-FW19+FW21-IF(FW$3=180,FV17-FW19,0)</f>
        <v>2300189.92477411</v>
      </c>
      <c r="FX22" s="0" t="n">
        <f aca="false">FX16-FX15-FX18-FX19+FX21-IF(FX$3=180,FW17-FX19,0)</f>
        <v>2313578.42739482</v>
      </c>
      <c r="FY22" s="0" t="n">
        <f aca="false">FY16-FY15-FY18-FY19+FY21-IF(FY$3=180,FX17-FY19,0)</f>
        <v>2326994.32681764</v>
      </c>
      <c r="FZ22" s="0" t="n">
        <f aca="false">FZ16-FZ15-FZ18-FZ19+FZ21-IF(FZ$3=180,FY17-FZ19,0)</f>
        <v>999449173.028452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44</v>
      </c>
      <c r="B3" s="3" t="n">
        <f aca="false">(1+IRR('Cash Flow'!$B$22:$FZ$22,0.005))^12-1</f>
        <v>0.120692422770659</v>
      </c>
    </row>
    <row r="4" customFormat="false" ht="15" hidden="false" customHeight="false" outlineLevel="0" collapsed="false">
      <c r="A4" s="0" t="s">
        <v>45</v>
      </c>
      <c r="B4" s="6" t="n">
        <f aca="false">SUMIF('Cash Flow'!$B$22:$FZ$22,"&gt;0")/-SUMIF('Cash Flow'!$B$22:$FZ$22,"&lt;0")</f>
        <v>3.84334923908011</v>
      </c>
    </row>
    <row r="5" customFormat="false" ht="15" hidden="false" customHeight="false" outlineLevel="0" collapsed="false">
      <c r="A5" s="0" t="s">
        <v>46</v>
      </c>
      <c r="B5" s="6" t="n">
        <f aca="false">_xlfn.MINIFS('Cash Flow'!$B$20:$FZ$20,'Cash Flow'!$B$20:$FZ$20,"&gt;0")</f>
        <v>1.79094556915508</v>
      </c>
    </row>
    <row r="6" customFormat="false" ht="15" hidden="false" customHeight="false" outlineLevel="0" collapsed="false">
      <c r="A6" s="0" t="s">
        <v>47</v>
      </c>
      <c r="B6" s="4" t="n">
        <f aca="false">INDEX('Cash Flow'!$B$14:$FZ$14,180)/SUM(Groups!$B$2:$B$5)</f>
        <v>27.001745527921</v>
      </c>
    </row>
    <row r="7" customFormat="false" ht="15" hidden="false" customHeight="false" outlineLevel="0" collapsed="false">
      <c r="A7" s="0" t="s">
        <v>48</v>
      </c>
      <c r="B7" s="4" t="n">
        <f aca="false">INDEX('Cash Flow'!$B$5:$FZ$5,180)</f>
        <v>27.5641219051407</v>
      </c>
    </row>
    <row r="8" customFormat="false" ht="15" hidden="false" customHeight="false" outlineLevel="0" collapsed="false">
      <c r="A8" s="0" t="s">
        <v>49</v>
      </c>
      <c r="B8" s="3" t="n">
        <f aca="false">B7/B6-1</f>
        <v>0.0208274082369306</v>
      </c>
    </row>
    <row r="9" customFormat="false" ht="15" hidden="false" customHeight="false" outlineLevel="0" collapsed="false">
      <c r="A9" s="0" t="s">
        <v>50</v>
      </c>
      <c r="B9" s="2" t="n">
        <f aca="false">SUM('Cash Flow'!$B$15:$FZ$15)</f>
        <v>108780000</v>
      </c>
    </row>
    <row r="10" customFormat="false" ht="15" hidden="false" customHeight="false" outlineLevel="0" collapsed="false">
      <c r="A10" s="0" t="s">
        <v>51</v>
      </c>
      <c r="B10" s="2" t="n">
        <f aca="false">MAX('Cash Flow'!$B$17:$FZ$17)</f>
        <v>226600000</v>
      </c>
    </row>
    <row r="11" customFormat="false" ht="15" hidden="false" customHeight="false" outlineLevel="0" collapsed="false">
      <c r="A11" s="0" t="s">
        <v>52</v>
      </c>
      <c r="B11" s="2" t="n">
        <f aca="false">SUM('Cash Flow'!$B$22:$FZ$22)</f>
        <v>911529646.458897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2026-10-17T19:36:24Z</dcterms:created>
  <dc:creator>openpyxl</dc:creator>
  <dc:description/>
  <dc:language>en-US</dc:language>
  <cp:lastModifiedBy/>
  <dcterms:modified xsi:type="dcterms:W3CDTF">2026-10-17T19:36:24Z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