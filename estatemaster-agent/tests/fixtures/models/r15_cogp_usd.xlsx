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al" sheetId="1" state="visible" r:id="rId3"/>
    <sheet name="Waterfal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<sst xmlns="http://schemas.openxmlformats.org/spreadsheetml/2006/main" count="26" uniqueCount="26">
  <si>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HARBORVIEW CO-GP JV – PROMOTE WATERFALL (USD)</t>
  </si>
  <si>
    <t xml:space="preserve">Total equity</t>
  </si>
  <si>
    <t xml:space="preserve">LP share of equity</t>
  </si>
  <si>
    <t xml:space="preserve">Project equity multiple</t>
  </si>
  <si>
    <t xml:space="preserve">Hold (years)</t>
  </si>
  <si>
    <t xml:space="preserve">Tier 1 hurdle (multiple)</t>
  </si>
  <si>
    <t xml:space="preserve">Promote above tier 1</t>
  </si>
  <si>
    <t xml:space="preserve">Tier 2 hurdle (multiple)</t>
  </si>
  <si>
    <t xml:space="preserve">Promote above tier 2</t>
  </si>
  <si>
    <t xml:space="preserve">Tier 3 hurdle (multiple)</t>
  </si>
  <si>
    <t xml:space="preserve">Promote above tier 3</t>
  </si>
  <si>
    <t xml:space="preserve">Total distributions</t>
  </si>
  <si>
    <t xml:space="preserve">Profit</t>
  </si>
  <si>
    <t xml:space="preserve">Profit in tier 1 (to 1.5x)</t>
  </si>
  <si>
    <t xml:space="preserve">Profit in tier 2</t>
  </si>
  <si>
    <t xml:space="preserve">Profit in tier 3</t>
  </si>
  <si>
    <t xml:space="preserve">Profit above tier 3</t>
  </si>
  <si>
    <t xml:space="preserve">GP promote</t>
  </si>
  <si>
    <t xml:space="preserve">GP total</t>
  </si>
  <si>
    <t xml:space="preserve">LP total</t>
  </si>
  <si>
    <t xml:space="preserve">LP multiple</t>
  </si>
  <si>
    <t xml:space="preserve">GP multiple</t>
  </si>
  <si>
    <t xml:space="preserve">LP IRR</t>
  </si>
  <si>
    <t xml:space="preserve">GP IRR</t>
  </si>
  <si>
    <t xml:space="preserve">Net profit</t>
  </si>
  <si>
    <t xml:space="preserve">Equity multiple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</si>
</sst>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.00\x"/>
    <numFmt numFmtId="168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60000000</v>
      </c>
    </row>
    <row r="4" customFormat="false" ht="15" hidden="false" customHeight="false" outlineLevel="0" collapsed="false">
      <c r="A4" s="0" t="s">
        <v>2</v>
      </c>
      <c r="B4" s="2" t="n">
        <v>0.9</v>
      </c>
    </row>
    <row r="5" customFormat="false" ht="15" hidden="false" customHeight="false" outlineLevel="0" collapsed="false">
      <c r="A5" s="0" t="s">
        <v>3</v>
      </c>
      <c r="B5" s="3" t="n">
        <v>1.95</v>
      </c>
    </row>
    <row r="6" customFormat="false" ht="15" hidden="false" customHeight="false" outlineLevel="0" collapsed="false">
      <c r="A6" s="0" t="s">
        <v>4</v>
      </c>
      <c r="B6" s="4" t="n">
        <v>5</v>
      </c>
    </row>
    <row r="7" customFormat="false" ht="15" hidden="false" customHeight="false" outlineLevel="0" collapsed="false">
      <c r="A7" s="0" t="s">
        <v>5</v>
      </c>
      <c r="B7" s="3" t="n">
        <v>1.5</v>
      </c>
    </row>
    <row r="8" customFormat="false" ht="15" hidden="false" customHeight="false" outlineLevel="0" collapsed="false">
      <c r="A8" s="0" t="s">
        <v>6</v>
      </c>
      <c r="B8" s="2" t="n">
        <v>0.15</v>
      </c>
    </row>
    <row r="9" customFormat="false" ht="15" hidden="false" customHeight="false" outlineLevel="0" collapsed="false">
      <c r="A9" s="0" t="s">
        <v>7</v>
      </c>
      <c r="B9" s="3" t="n">
        <v>1.8</v>
      </c>
    </row>
    <row r="10" customFormat="false" ht="15" hidden="false" customHeight="false" outlineLevel="0" collapsed="false">
      <c r="A10" s="0" t="s">
        <v>8</v>
      </c>
      <c r="B10" s="2" t="n">
        <v>0.25</v>
      </c>
    </row>
    <row r="11" customFormat="false" ht="15" hidden="false" customHeight="false" outlineLevel="0" collapsed="false">
      <c r="A11" s="0" t="s">
        <v>9</v>
      </c>
      <c r="B11" s="3" t="n">
        <v>2.2</v>
      </c>
    </row>
    <row r="12" customFormat="false" ht="15" hidden="false" customHeight="false" outlineLevel="0" collapsed="false">
      <c r="A12" s="0" t="s">
        <v>10</v>
      </c>
      <c r="B12" s="2" t="n">
        <v>0.35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11</v>
      </c>
      <c r="B3" s="1" t="n">
        <f aca="false">Deal!$B$3*Deal!$B$5</f>
        <v>117000000</v>
      </c>
    </row>
    <row r="4" customFormat="false" ht="15" hidden="false" customHeight="false" outlineLevel="0" collapsed="false">
      <c r="A4" s="0" t="s">
        <v>12</v>
      </c>
      <c r="B4" s="1" t="n">
        <f aca="false">B3-Deal!$B$3</f>
        <v>57000000</v>
      </c>
    </row>
    <row r="5" customFormat="false" ht="15" hidden="false" customHeight="false" outlineLevel="0" collapsed="false">
      <c r="A5" s="0" t="s">
        <v>13</v>
      </c>
      <c r="B5" s="1" t="n">
        <f aca="false">MAX(0,MIN(B3,Deal!$B$3*Deal!$B$7)-Deal!$B$3)</f>
        <v>30000000</v>
      </c>
    </row>
    <row r="6" customFormat="false" ht="15" hidden="false" customHeight="false" outlineLevel="0" collapsed="false">
      <c r="A6" s="0" t="s">
        <v>14</v>
      </c>
      <c r="B6" s="1" t="n">
        <f aca="false">MAX(0,MIN(B3,Deal!$B$3*Deal!$B$9)-Deal!$B$3*Deal!$B$7)</f>
        <v>18000000</v>
      </c>
    </row>
    <row r="7" customFormat="false" ht="15" hidden="false" customHeight="false" outlineLevel="0" collapsed="false">
      <c r="A7" s="0" t="s">
        <v>15</v>
      </c>
      <c r="B7" s="1" t="n">
        <f aca="false">MAX(0,MIN(B3,Deal!$B$3*Deal!$B$11)-Deal!$B$3*Deal!$B$9)</f>
        <v>9000000</v>
      </c>
    </row>
    <row r="8" customFormat="false" ht="15" hidden="false" customHeight="false" outlineLevel="0" collapsed="false">
      <c r="A8" s="0" t="s">
        <v>16</v>
      </c>
      <c r="B8" s="1" t="n">
        <f aca="false">MAX(0,B3-Deal!$B$3*Deal!$B$11)</f>
        <v>0</v>
      </c>
    </row>
    <row r="9" customFormat="false" ht="15" hidden="false" customHeight="false" outlineLevel="0" collapsed="false">
      <c r="A9" s="0" t="s">
        <v>17</v>
      </c>
      <c r="B9" s="1" t="n">
        <f aca="false">B6*Deal!$B$8+B7*Deal!$B$10+B8*Deal!$B$12</f>
        <v>4950000</v>
      </c>
    </row>
    <row r="10" customFormat="false" ht="15" hidden="false" customHeight="false" outlineLevel="0" collapsed="false">
      <c r="A10" s="0" t="s">
        <v>18</v>
      </c>
      <c r="B10" s="1" t="n">
        <f aca="false">B9+(B4-B9)*(1-Deal!$B$4)+Deal!$B$3*(1-Deal!$B$4)</f>
        <v>16155000</v>
      </c>
    </row>
    <row r="11" customFormat="false" ht="15" hidden="false" customHeight="false" outlineLevel="0" collapsed="false">
      <c r="A11" s="0" t="s">
        <v>19</v>
      </c>
      <c r="B11" s="1" t="n">
        <f aca="false">B3-B10</f>
        <v>100845000</v>
      </c>
    </row>
    <row r="12" customFormat="false" ht="15" hidden="false" customHeight="false" outlineLevel="0" collapsed="false">
      <c r="A12" s="0" t="s">
        <v>20</v>
      </c>
      <c r="B12" s="3" t="n">
        <f aca="false">B11/(Deal!$B$3*Deal!$B$4)</f>
        <v>1.8675</v>
      </c>
    </row>
    <row r="13" customFormat="false" ht="15" hidden="false" customHeight="false" outlineLevel="0" collapsed="false">
      <c r="A13" s="0" t="s">
        <v>21</v>
      </c>
      <c r="B13" s="3" t="n">
        <f aca="false">B10/(Deal!$B$3*(1-Deal!$B$4))</f>
        <v>2.6925</v>
      </c>
    </row>
    <row r="14" customFormat="false" ht="15" hidden="false" customHeight="false" outlineLevel="0" collapsed="false">
      <c r="A14" s="0" t="s">
        <v>22</v>
      </c>
      <c r="B14" s="2" t="n">
        <f aca="false">B12^(1/Deal!$B$6)-1</f>
        <v>0.133057949400373</v>
      </c>
    </row>
    <row r="15" customFormat="false" ht="15" hidden="false" customHeight="false" outlineLevel="0" collapsed="false">
      <c r="A15" s="0" t="s">
        <v>23</v>
      </c>
      <c r="B15" s="2" t="n">
        <f aca="false">B13^(1/Deal!$B$6)-1</f>
        <v>0.219077013380011</v>
      </c>
    </row>
    <row r="16" customFormat="false" ht="15" hidden="false" customHeight="false" outlineLevel="0" collapsed="false">
      <c r="A16" s="0" t="s">
        <v>24</v>
      </c>
      <c r="B16" s="1" t="n">
        <f aca="false">B4</f>
        <v>57000000</v>
      </c>
    </row>
    <row r="17" customFormat="false" ht="15" hidden="false" customHeight="false" outlineLevel="0" collapsed="false">
      <c r="A17" s="0" t="s">
        <v>25</v>
      </c>
      <c r="B17" s="3" t="n">
        <f aca="false">Deal!$B$5</f>
        <v>1.95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2026-10-16T22:30:28Z</dcterms:created>
  <dc:creator>openpyxl</dc:creator>
  <dc:description/>
  <dc:language>en-US</dc:language>
  <cp:lastModifiedBy/>
  <dcterms:modified xsi:type="dcterms:W3CDTF">2026-10-16T22:30:28Z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