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RAWDA GARDENS – TEXT INPUTS (SAR)</t>
        </is>
      </c>
    </row>
    <row r="2">
      <c r="A2" t="inlineStr">
        <is>
          <t>Units</t>
        </is>
      </c>
      <c r="B2" t="n">
        <v>200</v>
      </c>
    </row>
    <row r="3">
      <c r="A3" t="inlineStr">
        <is>
          <t>Sale price per unit</t>
        </is>
      </c>
      <c r="B3" t="inlineStr">
        <is>
          <t>1,200,000</t>
        </is>
      </c>
    </row>
    <row r="4">
      <c r="A4" t="inlineStr">
        <is>
          <t>Construction cost per unit</t>
        </is>
      </c>
      <c r="B4" t="inlineStr">
        <is>
          <t>٦٥٠٠٠٠</t>
        </is>
      </c>
    </row>
    <row r="5">
      <c r="A5" t="inlineStr">
        <is>
          <t>Land</t>
        </is>
      </c>
      <c r="B5" t="n">
        <v>40000000</v>
      </c>
    </row>
    <row r="6">
      <c r="A6" t="inlineStr">
        <is>
          <t>Finance rate</t>
        </is>
      </c>
      <c r="B6" t="inlineStr">
        <is>
          <t>7.5%</t>
        </is>
      </c>
    </row>
    <row r="7">
      <c r="A7" t="inlineStr">
        <is>
          <t>&lt;img src=x onerror=alert(1)&gt; Marketing</t>
        </is>
      </c>
      <c r="B7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C1" t="n">
        <v>2</v>
      </c>
      <c r="D1" t="n">
        <v>3</v>
      </c>
    </row>
    <row r="2">
      <c r="A2" t="inlineStr">
        <is>
          <t>Revenue</t>
        </is>
      </c>
      <c r="B2" t="n">
        <v>0</v>
      </c>
      <c r="C2">
        <f>0.5*Inputs!B2*VALUE(SUBSTITUTE(Inputs!B3,",",""))</f>
        <v/>
      </c>
      <c r="D2">
        <f>0.5*Inputs!B2*VALUE(SUBSTITUTE(Inputs!B3,",",""))</f>
        <v/>
      </c>
    </row>
    <row r="3">
      <c r="A3" t="inlineStr">
        <is>
          <t>Costs</t>
        </is>
      </c>
      <c r="B3">
        <f>-Inputs!B5-0.5*Inputs!B2*650000</f>
        <v/>
      </c>
      <c r="C3">
        <f>-0.5*Inputs!B2*650000</f>
        <v/>
      </c>
      <c r="D3" t="n">
        <v>0</v>
      </c>
    </row>
    <row r="4">
      <c r="A4" t="inlineStr">
        <is>
          <t>Marketing</t>
        </is>
      </c>
      <c r="B4" t="n">
        <v>0</v>
      </c>
      <c r="C4">
        <f>-B2*0</f>
        <v/>
      </c>
      <c r="D4">
        <f>-(C2+D2)*Inputs!B7</f>
        <v/>
      </c>
    </row>
    <row r="5">
      <c r="A5" t="inlineStr">
        <is>
          <t>Net cash flow</t>
        </is>
      </c>
      <c r="B5">
        <f>B2+B3+B4</f>
        <v/>
      </c>
      <c r="C5">
        <f>C2+C3+C4</f>
        <v/>
      </c>
      <c r="D5">
        <f>D2+D3+D4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IRR('Cash Flow'!B5:D5)</f>
        <v/>
      </c>
    </row>
    <row r="2">
      <c r="A2" t="inlineStr">
        <is>
          <t>Net profit</t>
        </is>
      </c>
      <c r="B2">
        <f>SUM('Cash Flow'!B5:D5)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2026-10-23T16:34:12Z</dcterms:created>
  <dcterms:modified xsi:type="dcterms:W3CDTF">2026-10-23T16:34:12Z</dcterms:modified>
</cp:coreProperties>
</file>