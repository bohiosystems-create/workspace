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Cases" sheetId="2" state="visible" r:id="rId4"/>
    <sheet name="Live" sheetId="3" state="visible" r:id="rId5"/>
    <sheet name="Cash Flow" sheetId="4" state="visible" r:id="rId6"/>
    <sheet name="Returns" sheetId="5" state="visible" r:id="rId7"/>
  </sheets>
  <definedNames>
    <definedName function="false" hidden="false" name="Base" vbProcedure="false">Cases!$B$2:$B$5</definedName>
    <definedName function="false" hidden="false" name="High" vbProcedure="false">Cases!$D$2:$D$5</definedName>
    <definedName function="false" hidden="false" name="Low" vbProcedure="false">Cases!$C$2:$C$5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<sst xmlns="http://schemas.openxmlformats.org/spreadsheetml/2006/main" count="28" uniqueCount="23">
  <si>
    <t xml:space="preserve">WESTGATE RETAIL PARK (GBP)</t>
  </si>
  <si>
    <t xml:space="preserve">Case (Base, Low or High)</t>
  </si>
  <si>
    <t xml:space="preserve">Base</t>
  </si>
  <si>
    <t xml:space="preserve">Lettable area (sq ft)</t>
  </si>
  <si>
    <t xml:space="preserve">Purchase price (£)</t>
  </si>
  <si>
    <t xml:space="preserve">Purchase costs</t>
  </si>
  <si>
    <t xml:space="preserve">Hold (years)</t>
  </si>
  <si>
    <t xml:space="preserve">Assumption</t>
  </si>
  <si>
    <t xml:space="preserve">Low</t>
  </si>
  <si>
    <t xml:space="preserve">High</t>
  </si>
  <si>
    <t xml:space="preserve">Rent (£/sq ft)</t>
  </si>
  <si>
    <t xml:space="preserve">Rental growth</t>
  </si>
  <si>
    <t xml:space="preserve">Exit yield</t>
  </si>
  <si>
    <t xml:space="preserve">Vacancy</t>
  </si>
  <si>
    <t xml:space="preserve">Live case</t>
  </si>
  <si>
    <t xml:space="preserve">Year</t>
  </si>
  <si>
    <t xml:space="preserve">Net rent</t>
  </si>
  <si>
    <t xml:space="preserve">Sale</t>
  </si>
  <si>
    <t xml:space="preserve">Purchase</t>
  </si>
  <si>
    <t xml:space="preserve">Cash flow</t>
  </si>
  <si>
    <t xml:space="preserve">Unlevered IRR</t>
  </si>
  <si>
    <t xml:space="preserve">Net profit</t>
  </si>
  <si>
    <t xml:space="preserve">Net initial yield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</si>
</sst>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@"/>
    <numFmt numFmtId="166" formatCode="#,##0"/>
    <numFmt numFmtId="167" formatCode="0.00%"/>
    <numFmt numFmtId="168" formatCode="0"/>
    <numFmt numFmtId="169" formatCode="#,##0.0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3" customFormat="false" ht="15" hidden="false" customHeight="false" outlineLevel="0" collapsed="false">
      <c r="A3" s="0" t="s">
        <v>1</v>
      </c>
      <c r="B3" s="1" t="s">
        <v>2</v>
      </c>
    </row>
    <row r="4" customFormat="false" ht="15" hidden="false" customHeight="false" outlineLevel="0" collapsed="false">
      <c r="A4" s="0" t="s">
        <v>3</v>
      </c>
      <c r="B4" s="2" t="n">
        <v>210000</v>
      </c>
    </row>
    <row r="5" customFormat="false" ht="15" hidden="false" customHeight="false" outlineLevel="0" collapsed="false">
      <c r="A5" s="0" t="s">
        <v>4</v>
      </c>
      <c r="B5" s="2" t="n">
        <v>46000000</v>
      </c>
    </row>
    <row r="6" customFormat="false" ht="15" hidden="false" customHeight="false" outlineLevel="0" collapsed="false">
      <c r="A6" s="0" t="s">
        <v>5</v>
      </c>
      <c r="B6" s="3" t="n">
        <v>0.068</v>
      </c>
    </row>
    <row r="7" customFormat="false" ht="15" hidden="false" customHeight="false" outlineLevel="0" collapsed="false">
      <c r="A7" s="0" t="s">
        <v>6</v>
      </c>
      <c r="B7" s="4" t="n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7</v>
      </c>
      <c r="B1" s="0" t="s">
        <v>2</v>
      </c>
      <c r="C1" s="0" t="s">
        <v>8</v>
      </c>
      <c r="D1" s="0" t="s">
        <v>9</v>
      </c>
    </row>
    <row r="2" customFormat="false" ht="15" hidden="false" customHeight="false" outlineLevel="0" collapsed="false">
      <c r="A2" s="0" t="s">
        <v>10</v>
      </c>
      <c r="B2" s="5" t="n">
        <v>18.5</v>
      </c>
      <c r="C2" s="5" t="n">
        <v>16</v>
      </c>
      <c r="D2" s="5" t="n">
        <v>20</v>
      </c>
    </row>
    <row r="3" customFormat="false" ht="15" hidden="false" customHeight="false" outlineLevel="0" collapsed="false">
      <c r="A3" s="0" t="s">
        <v>11</v>
      </c>
      <c r="B3" s="3" t="n">
        <v>0.02</v>
      </c>
      <c r="C3" s="3" t="n">
        <v>0</v>
      </c>
      <c r="D3" s="3" t="n">
        <v>0.03</v>
      </c>
    </row>
    <row r="4" customFormat="false" ht="15" hidden="false" customHeight="false" outlineLevel="0" collapsed="false">
      <c r="A4" s="0" t="s">
        <v>12</v>
      </c>
      <c r="B4" s="3" t="n">
        <v>0.075</v>
      </c>
      <c r="C4" s="3" t="n">
        <v>0.085</v>
      </c>
      <c r="D4" s="3" t="n">
        <v>0.07</v>
      </c>
    </row>
    <row r="5" customFormat="false" ht="15" hidden="false" customHeight="false" outlineLevel="0" collapsed="false">
      <c r="A5" s="0" t="s">
        <v>13</v>
      </c>
      <c r="B5" s="3" t="n">
        <v>0.06</v>
      </c>
      <c r="C5" s="3" t="n">
        <v>0.12</v>
      </c>
      <c r="D5" s="3" t="n">
        <v>0.04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14</v>
      </c>
    </row>
    <row r="3" customFormat="false" ht="15" hidden="false" customHeight="false" outlineLevel="0" collapsed="false">
      <c r="A3" s="0" t="s">
        <v>10</v>
      </c>
      <c r="B3" s="5" t="n">
        <f aca="true">INDEX(INDIRECT(Inputs!$B$3),1)</f>
        <v>18.5</v>
      </c>
    </row>
    <row r="4" customFormat="false" ht="15" hidden="false" customHeight="false" outlineLevel="0" collapsed="false">
      <c r="A4" s="0" t="s">
        <v>11</v>
      </c>
      <c r="B4" s="3" t="n">
        <f aca="true">INDEX(INDIRECT(Inputs!$B$3),2)</f>
        <v>0.02</v>
      </c>
    </row>
    <row r="5" customFormat="false" ht="15" hidden="false" customHeight="false" outlineLevel="0" collapsed="false">
      <c r="A5" s="0" t="s">
        <v>12</v>
      </c>
      <c r="B5" s="3" t="n">
        <f aca="true">INDEX(INDIRECT(Inputs!$B$3),3)</f>
        <v>0.075</v>
      </c>
    </row>
    <row r="6" customFormat="false" ht="15" hidden="false" customHeight="false" outlineLevel="0" collapsed="false">
      <c r="A6" s="0" t="s">
        <v>13</v>
      </c>
      <c r="B6" s="3" t="n">
        <f aca="true">INDEX(INDIRECT(Inputs!$B$3),4)</f>
        <v>0.06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H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3" customFormat="false" ht="15" hidden="false" customHeight="false" outlineLevel="0" collapsed="false">
      <c r="A3" s="0" t="s">
        <v>15</v>
      </c>
      <c r="B3" s="0" t="n">
        <v>0</v>
      </c>
      <c r="C3" s="0" t="n">
        <v>1</v>
      </c>
      <c r="D3" s="0" t="n">
        <v>2</v>
      </c>
      <c r="E3" s="0" t="n">
        <v>3</v>
      </c>
      <c r="F3" s="0" t="n">
        <v>4</v>
      </c>
      <c r="G3" s="0" t="n">
        <v>5</v>
      </c>
      <c r="H3" s="0" t="n">
        <v>6</v>
      </c>
    </row>
    <row r="4" customFormat="false" ht="15" hidden="false" customHeight="false" outlineLevel="0" collapsed="false">
      <c r="A4" s="0" t="s">
        <v>16</v>
      </c>
      <c r="B4" s="0" t="n">
        <f aca="false">(B$3&gt;=1)*(B$3&lt;=Inputs!$B$7)*Inputs!$B$4*Live!$B$3*(1-Live!$B$6)*(1+Live!$B$4)^MAX(0,B$3-1)</f>
        <v>0</v>
      </c>
      <c r="C4" s="0" t="n">
        <f aca="false">(C$3&gt;=1)*(C$3&lt;=Inputs!$B$7)*Inputs!$B$4*Live!$B$3*(1-Live!$B$6)*(1+Live!$B$4)^MAX(0,C$3-1)</f>
        <v>3651900</v>
      </c>
      <c r="D4" s="0" t="n">
        <f aca="false">(D$3&gt;=1)*(D$3&lt;=Inputs!$B$7)*Inputs!$B$4*Live!$B$3*(1-Live!$B$6)*(1+Live!$B$4)^MAX(0,D$3-1)</f>
        <v>3724938</v>
      </c>
      <c r="E4" s="0" t="n">
        <f aca="false">(E$3&gt;=1)*(E$3&lt;=Inputs!$B$7)*Inputs!$B$4*Live!$B$3*(1-Live!$B$6)*(1+Live!$B$4)^MAX(0,E$3-1)</f>
        <v>3799436.76</v>
      </c>
      <c r="F4" s="0" t="n">
        <f aca="false">(F$3&gt;=1)*(F$3&lt;=Inputs!$B$7)*Inputs!$B$4*Live!$B$3*(1-Live!$B$6)*(1+Live!$B$4)^MAX(0,F$3-1)</f>
        <v>3875425.4952</v>
      </c>
      <c r="G4" s="0" t="n">
        <f aca="false">(G$3&gt;=1)*(G$3&lt;=Inputs!$B$7)*Inputs!$B$4*Live!$B$3*(1-Live!$B$6)*(1+Live!$B$4)^MAX(0,G$3-1)</f>
        <v>3952934.005104</v>
      </c>
      <c r="H4" s="0" t="n">
        <f aca="false">(H$3&gt;=1)*(H$3&lt;=Inputs!$B$7)*Inputs!$B$4*Live!$B$3*(1-Live!$B$6)*(1+Live!$B$4)^MAX(0,H$3-1)</f>
        <v>0</v>
      </c>
    </row>
    <row r="5" customFormat="false" ht="15" hidden="false" customHeight="false" outlineLevel="0" collapsed="false">
      <c r="A5" s="0" t="s">
        <v>17</v>
      </c>
      <c r="B5" s="0" t="n">
        <f aca="false">IF(B$3=Inputs!$B$7,Inputs!$B$4*Live!$B$3*(1-Live!$B$6)*(1+Live!$B$4)^B$3/Live!$B$5,0)</f>
        <v>0</v>
      </c>
      <c r="C5" s="0" t="n">
        <f aca="false">IF(C$3=Inputs!$B$7,Inputs!$B$4*Live!$B$3*(1-Live!$B$6)*(1+Live!$B$4)^C$3/Live!$B$5,0)</f>
        <v>0</v>
      </c>
      <c r="D5" s="0" t="n">
        <f aca="false">IF(D$3=Inputs!$B$7,Inputs!$B$4*Live!$B$3*(1-Live!$B$6)*(1+Live!$B$4)^D$3/Live!$B$5,0)</f>
        <v>0</v>
      </c>
      <c r="E5" s="0" t="n">
        <f aca="false">IF(E$3=Inputs!$B$7,Inputs!$B$4*Live!$B$3*(1-Live!$B$6)*(1+Live!$B$4)^E$3/Live!$B$5,0)</f>
        <v>0</v>
      </c>
      <c r="F5" s="0" t="n">
        <f aca="false">IF(F$3=Inputs!$B$7,Inputs!$B$4*Live!$B$3*(1-Live!$B$6)*(1+Live!$B$4)^F$3/Live!$B$5,0)</f>
        <v>0</v>
      </c>
      <c r="G5" s="0" t="n">
        <f aca="false">IF(G$3=Inputs!$B$7,Inputs!$B$4*Live!$B$3*(1-Live!$B$6)*(1+Live!$B$4)^G$3/Live!$B$5,0)</f>
        <v>53759902.4694144</v>
      </c>
      <c r="H5" s="0" t="n">
        <f aca="false">IF(H$3=Inputs!$B$7,Inputs!$B$4*Live!$B$3*(1-Live!$B$6)*(1+Live!$B$4)^H$3/Live!$B$5,0)</f>
        <v>0</v>
      </c>
    </row>
    <row r="6" customFormat="false" ht="15" hidden="false" customHeight="false" outlineLevel="0" collapsed="false">
      <c r="A6" s="0" t="s">
        <v>18</v>
      </c>
      <c r="B6" s="0" t="n">
        <f aca="false">IF(B$3=0,-Inputs!$B$5*(1+Inputs!$B$6),0)</f>
        <v>-49128000</v>
      </c>
      <c r="C6" s="0" t="n">
        <f aca="false">IF(C$3=0,-Inputs!$B$5*(1+Inputs!$B$6),0)</f>
        <v>0</v>
      </c>
      <c r="D6" s="0" t="n">
        <f aca="false">IF(D$3=0,-Inputs!$B$5*(1+Inputs!$B$6),0)</f>
        <v>0</v>
      </c>
      <c r="E6" s="0" t="n">
        <f aca="false">IF(E$3=0,-Inputs!$B$5*(1+Inputs!$B$6),0)</f>
        <v>0</v>
      </c>
      <c r="F6" s="0" t="n">
        <f aca="false">IF(F$3=0,-Inputs!$B$5*(1+Inputs!$B$6),0)</f>
        <v>0</v>
      </c>
      <c r="G6" s="0" t="n">
        <f aca="false">IF(G$3=0,-Inputs!$B$5*(1+Inputs!$B$6),0)</f>
        <v>0</v>
      </c>
      <c r="H6" s="0" t="n">
        <f aca="false">IF(H$3=0,-Inputs!$B$5*(1+Inputs!$B$6),0)</f>
        <v>0</v>
      </c>
    </row>
    <row r="7" customFormat="false" ht="15" hidden="false" customHeight="false" outlineLevel="0" collapsed="false">
      <c r="A7" s="0" t="s">
        <v>19</v>
      </c>
      <c r="B7" s="0" t="n">
        <f aca="false">SUM(B4:B6)</f>
        <v>-49128000</v>
      </c>
      <c r="C7" s="0" t="n">
        <f aca="false">SUM(C4:C6)</f>
        <v>3651900</v>
      </c>
      <c r="D7" s="0" t="n">
        <f aca="false">SUM(D4:D6)</f>
        <v>3724938</v>
      </c>
      <c r="E7" s="0" t="n">
        <f aca="false">SUM(E4:E6)</f>
        <v>3799436.76</v>
      </c>
      <c r="F7" s="0" t="n">
        <f aca="false">SUM(F4:F6)</f>
        <v>3875425.4952</v>
      </c>
      <c r="G7" s="0" t="n">
        <f aca="false">SUM(G4:G6)</f>
        <v>57712836.4745184</v>
      </c>
      <c r="H7" s="0" t="n">
        <f aca="false">SUM(H4:H6)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3" customFormat="false" ht="15" hidden="false" customHeight="false" outlineLevel="0" collapsed="false">
      <c r="A3" s="0" t="s">
        <v>20</v>
      </c>
      <c r="B3" s="3" t="n">
        <f aca="false">IRR('Cash Flow'!B7:H7)</f>
        <v>0.0927644819176878</v>
      </c>
    </row>
    <row r="4" customFormat="false" ht="15" hidden="false" customHeight="false" outlineLevel="0" collapsed="false">
      <c r="A4" s="0" t="s">
        <v>21</v>
      </c>
      <c r="B4" s="2" t="n">
        <f aca="false">SUM('Cash Flow'!B7:H7)</f>
        <v>23636536.7297184</v>
      </c>
    </row>
    <row r="5" customFormat="false" ht="15" hidden="false" customHeight="false" outlineLevel="0" collapsed="false">
      <c r="A5" s="0" t="s">
        <v>22</v>
      </c>
      <c r="B5" s="3" t="n">
        <f aca="false">'Cash Flow'!C4/(Inputs!$B$5*(1+Inputs!$B$6))</f>
        <v>0.0743343917928676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2026-10-17T10:02:28Z</dcterms:created>
  <dc:creator>openpyxl</dc:creator>
  <dc:description/>
  <dc:language>en-US</dc:language>
  <cp:lastModifiedBy/>
  <dcterms:modified xsi:type="dcterms:W3CDTF">2026-10-17T10:02:28Z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