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Assumptions" sheetId="2" state="visible" r:id="rId4"/>
    <sheet name="C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<sst xmlns="http://schemas.openxmlformats.org/spreadsheetml/2006/main" count="56" uniqueCount="55">
  <si>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AL RAWDAH RESIDENCES (BTR) · DASHBOARD (SAR)</t>
  </si>
  <si>
    <t xml:space="preserve">Unlevered IRR</t>
  </si>
  <si>
    <t xml:space="preserve">Levered IRR</t>
  </si>
  <si>
    <t xml:space="preserve">Yield on cost (stabilised)</t>
  </si>
  <si>
    <t xml:space="preserve">Equity multiple</t>
  </si>
  <si>
    <t xml:space="preserve">Total development cost</t>
  </si>
  <si>
    <t xml:space="preserve">Levered profit</t>
  </si>
  <si>
    <t xml:space="preserve">AL RAWDAH RESIDENCES (BTR) · ASSUMPTIONS (SAR)</t>
  </si>
  <si>
    <t xml:space="preserve">Unit mix</t>
  </si>
  <si>
    <t xml:space="preserve">Units</t>
  </si>
  <si>
    <t xml:space="preserve">Size (sqm)</t>
  </si>
  <si>
    <t xml:space="preserve">Rent (a month)</t>
  </si>
  <si>
    <t xml:space="preserve">Studio</t>
  </si>
  <si>
    <t xml:space="preserve">1-bed</t>
  </si>
  <si>
    <t xml:space="preserve">2-bed</t>
  </si>
  <si>
    <t xml:space="preserve">3-bed</t>
  </si>
  <si>
    <t xml:space="preserve">Total</t>
  </si>
  <si>
    <t xml:space="preserve">Land</t>
  </si>
  <si>
    <t xml:space="preserve">Construction cost per sqm</t>
  </si>
  <si>
    <t xml:space="preserve">Soft costs (% of construction)</t>
  </si>
  <si>
    <t xml:space="preserve">Construction start (quarter)</t>
  </si>
  <si>
    <t xml:space="preserve">Construction length (quarters)</t>
  </si>
  <si>
    <t xml:space="preserve">Lease-up (quarters to stabilise)</t>
  </si>
  <si>
    <t xml:space="preserve">Stabilised occupancy</t>
  </si>
  <si>
    <t xml:space="preserve">Rent growth (a year)</t>
  </si>
  <si>
    <t xml:space="preserve">Operating costs per unit (a year)</t>
  </si>
  <si>
    <t xml:space="preserve">Exit quarter</t>
  </si>
  <si>
    <t xml:space="preserve">Exit cap rate</t>
  </si>
  <si>
    <t xml:space="preserve">Selling costs</t>
  </si>
  <si>
    <t xml:space="preserve">Construction loan (share of cost)</t>
  </si>
  <si>
    <t xml:space="preserve">Construction loan rate</t>
  </si>
  <si>
    <t xml:space="preserve">Investment loan (share of value at refinance)</t>
  </si>
  <si>
    <t xml:space="preserve">Investment loan rate</t>
  </si>
  <si>
    <t xml:space="preserve">Refinance cap rate</t>
  </si>
  <si>
    <t xml:space="preserve">QUARTERLY CASH FLOW (SAR)</t>
  </si>
  <si>
    <t xml:space="preserve">Quarter ending</t>
  </si>
  <si>
    <t xml:space="preserve">Quarter</t>
  </si>
  <si>
    <t xml:space="preserve">Construction progress</t>
  </si>
  <si>
    <t xml:space="preserve">Occupancy</t>
  </si>
  <si>
    <t xml:space="preserve">Rent</t>
  </si>
  <si>
    <t xml:space="preserve">Operating costs</t>
  </si>
  <si>
    <t xml:space="preserve">NOI</t>
  </si>
  <si>
    <t xml:space="preserve">Construction</t>
  </si>
  <si>
    <t xml:space="preserve">Soft costs</t>
  </si>
  <si>
    <t xml:space="preserve">Sale (net)</t>
  </si>
  <si>
    <t xml:space="preserve">Unlevered cash flow</t>
  </si>
  <si>
    <t xml:space="preserve">Construction loan draw</t>
  </si>
  <si>
    <t xml:space="preserve">Construction loan interest</t>
  </si>
  <si>
    <t xml:space="preserve">Construction loan repayment</t>
  </si>
  <si>
    <t xml:space="preserve">Construction loan balance</t>
  </si>
  <si>
    <t xml:space="preserve">Investment loan draw</t>
  </si>
  <si>
    <t xml:space="preserve">Investment loan interest</t>
  </si>
  <si>
    <t xml:space="preserve">Investment loan repayment</t>
  </si>
  <si>
    <t xml:space="preserve">Investment loan balance</t>
  </si>
  <si>
    <t xml:space="preserve">Levered cash flow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</si>
</sst>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0.00\x"/>
    <numFmt numFmtId="167" formatCode="#,##0"/>
    <numFmt numFmtId="168" formatCode="0.0%"/>
    <numFmt numFmtId="169" formatCode="0"/>
    <numFmt numFmtId="170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5" customFormat="false" ht="15" hidden="false" customHeight="false" outlineLevel="0" collapsed="false">
      <c r="B5" s="0" t="s">
        <v>1</v>
      </c>
      <c r="C5" s="1" t="n">
        <f aca="false">(1+IRR(CF!C16:AI16))^4-1</f>
        <v>0.138517770471204</v>
      </c>
    </row>
    <row r="6" customFormat="false" ht="15" hidden="false" customHeight="false" outlineLevel="0" collapsed="false">
      <c r="B6" s="0" t="s">
        <v>2</v>
      </c>
      <c r="C6" s="1" t="n">
        <f aca="false">(1+IRR(CF!C27:AI27))^4-1</f>
        <v>0.233559313303865</v>
      </c>
    </row>
    <row r="7" customFormat="false" ht="15" hidden="false" customHeight="false" outlineLevel="0" collapsed="false">
      <c r="B7" s="0" t="s">
        <v>3</v>
      </c>
      <c r="C7" s="1" t="n">
        <f aca="false">INDEX(CF!C10:AI10,1,ROUND(Assumptions!C14,0)+ROUND(Assumptions!C15,0)+ROUND(Assumptions!C16,0)+1)*4/-SUM(CF!C12:AI14)</f>
        <v>0.0910894972246817</v>
      </c>
    </row>
    <row r="8" customFormat="false" ht="15" hidden="false" customHeight="false" outlineLevel="0" collapsed="false">
      <c r="B8" s="0" t="s">
        <v>4</v>
      </c>
      <c r="C8" s="2" t="n">
        <f aca="false">SUMIF(CF!C27:AI27,"&gt;0")/-SUMIF(CF!C27:AI27,"&lt;0")</f>
        <v>2.75570902121859</v>
      </c>
    </row>
    <row r="9" customFormat="false" ht="15" hidden="false" customHeight="false" outlineLevel="0" collapsed="false">
      <c r="B9" s="0" t="s">
        <v>5</v>
      </c>
      <c r="C9" s="3" t="n">
        <f aca="false">-SUM(CF!C12:AI14)</f>
        <v>284336750</v>
      </c>
    </row>
    <row r="10" customFormat="false" ht="15" hidden="false" customHeight="false" outlineLevel="0" collapsed="false">
      <c r="B10" s="0" t="s">
        <v>6</v>
      </c>
      <c r="C10" s="3" t="n">
        <f aca="false">SUM(CF!C27:AI27)</f>
        <v>221095571.895262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7</v>
      </c>
    </row>
    <row r="4" customFormat="false" ht="15" hidden="false" customHeight="false" outlineLevel="0" collapsed="false">
      <c r="B4" s="0" t="s">
        <v>8</v>
      </c>
      <c r="C4" s="0" t="s">
        <v>9</v>
      </c>
      <c r="D4" s="0" t="s">
        <v>10</v>
      </c>
      <c r="E4" s="0" t="s">
        <v>11</v>
      </c>
    </row>
    <row r="5" customFormat="false" ht="15" hidden="false" customHeight="false" outlineLevel="0" collapsed="false">
      <c r="B5" s="0" t="s">
        <v>12</v>
      </c>
      <c r="C5" s="0" t="n">
        <v>60</v>
      </c>
      <c r="D5" s="0" t="n">
        <v>42</v>
      </c>
      <c r="E5" s="3" t="n">
        <v>4200</v>
      </c>
    </row>
    <row r="6" customFormat="false" ht="15" hidden="false" customHeight="false" outlineLevel="0" collapsed="false">
      <c r="B6" s="0" t="s">
        <v>13</v>
      </c>
      <c r="C6" s="0" t="n">
        <v>140</v>
      </c>
      <c r="D6" s="0" t="n">
        <v>68</v>
      </c>
      <c r="E6" s="3" t="n">
        <v>6100</v>
      </c>
    </row>
    <row r="7" customFormat="false" ht="15" hidden="false" customHeight="false" outlineLevel="0" collapsed="false">
      <c r="B7" s="0" t="s">
        <v>14</v>
      </c>
      <c r="C7" s="0" t="n">
        <v>110</v>
      </c>
      <c r="D7" s="0" t="n">
        <v>105</v>
      </c>
      <c r="E7" s="3" t="n">
        <v>8600</v>
      </c>
    </row>
    <row r="8" customFormat="false" ht="15" hidden="false" customHeight="false" outlineLevel="0" collapsed="false">
      <c r="B8" s="0" t="s">
        <v>15</v>
      </c>
      <c r="C8" s="0" t="n">
        <v>40</v>
      </c>
      <c r="D8" s="0" t="n">
        <v>150</v>
      </c>
      <c r="E8" s="3" t="n">
        <v>11800</v>
      </c>
    </row>
    <row r="9" customFormat="false" ht="15" hidden="false" customHeight="false" outlineLevel="0" collapsed="false">
      <c r="B9" s="0" t="s">
        <v>16</v>
      </c>
      <c r="C9" s="0" t="n">
        <f aca="false">SUM(C5:C8)</f>
        <v>350</v>
      </c>
      <c r="E9" s="3" t="n">
        <f aca="false">SUMPRODUCT(C5:C8,E5:E8)</f>
        <v>2524000</v>
      </c>
    </row>
    <row r="11" customFormat="false" ht="15" hidden="false" customHeight="false" outlineLevel="0" collapsed="false">
      <c r="B11" s="0" t="s">
        <v>17</v>
      </c>
      <c r="C11" s="3" t="n">
        <v>38000000</v>
      </c>
    </row>
    <row r="12" customFormat="false" ht="15" hidden="false" customHeight="false" outlineLevel="0" collapsed="false">
      <c r="B12" s="0" t="s">
        <v>18</v>
      </c>
      <c r="C12" s="3" t="n">
        <v>7500</v>
      </c>
    </row>
    <row r="13" customFormat="false" ht="15" hidden="false" customHeight="false" outlineLevel="0" collapsed="false">
      <c r="B13" s="0" t="s">
        <v>19</v>
      </c>
      <c r="C13" s="4" t="n">
        <v>0.11</v>
      </c>
    </row>
    <row r="14" customFormat="false" ht="15" hidden="false" customHeight="false" outlineLevel="0" collapsed="false">
      <c r="B14" s="0" t="s">
        <v>20</v>
      </c>
      <c r="C14" s="5" t="n">
        <v>1</v>
      </c>
    </row>
    <row r="15" customFormat="false" ht="15" hidden="false" customHeight="false" outlineLevel="0" collapsed="false">
      <c r="B15" s="0" t="s">
        <v>21</v>
      </c>
      <c r="C15" s="5" t="n">
        <v>6</v>
      </c>
    </row>
    <row r="16" customFormat="false" ht="15" hidden="false" customHeight="false" outlineLevel="0" collapsed="false">
      <c r="B16" s="0" t="s">
        <v>22</v>
      </c>
      <c r="C16" s="5" t="n">
        <v>4</v>
      </c>
    </row>
    <row r="17" customFormat="false" ht="15" hidden="false" customHeight="false" outlineLevel="0" collapsed="false">
      <c r="B17" s="0" t="s">
        <v>23</v>
      </c>
      <c r="C17" s="4" t="n">
        <v>0.94</v>
      </c>
    </row>
    <row r="18" customFormat="false" ht="15" hidden="false" customHeight="false" outlineLevel="0" collapsed="false">
      <c r="B18" s="0" t="s">
        <v>24</v>
      </c>
      <c r="C18" s="4" t="n">
        <v>0.03</v>
      </c>
    </row>
    <row r="19" customFormat="false" ht="15" hidden="false" customHeight="false" outlineLevel="0" collapsed="false">
      <c r="B19" s="0" t="s">
        <v>25</v>
      </c>
      <c r="C19" s="3" t="n">
        <v>9500</v>
      </c>
    </row>
    <row r="20" customFormat="false" ht="15" hidden="false" customHeight="false" outlineLevel="0" collapsed="false">
      <c r="B20" s="0" t="s">
        <v>26</v>
      </c>
      <c r="C20" s="5" t="n">
        <v>28</v>
      </c>
    </row>
    <row r="21" customFormat="false" ht="15" hidden="false" customHeight="false" outlineLevel="0" collapsed="false">
      <c r="B21" s="0" t="s">
        <v>27</v>
      </c>
      <c r="C21" s="1" t="n">
        <v>0.065</v>
      </c>
    </row>
    <row r="22" customFormat="false" ht="15" hidden="false" customHeight="false" outlineLevel="0" collapsed="false">
      <c r="B22" s="0" t="s">
        <v>28</v>
      </c>
      <c r="C22" s="4" t="n">
        <v>0.015</v>
      </c>
    </row>
    <row r="23" customFormat="false" ht="15" hidden="false" customHeight="false" outlineLevel="0" collapsed="false">
      <c r="B23" s="0" t="s">
        <v>29</v>
      </c>
      <c r="C23" s="4" t="n">
        <v>0.6</v>
      </c>
    </row>
    <row r="24" customFormat="false" ht="15" hidden="false" customHeight="false" outlineLevel="0" collapsed="false">
      <c r="B24" s="0" t="s">
        <v>30</v>
      </c>
      <c r="C24" s="1" t="n">
        <v>0.075</v>
      </c>
    </row>
    <row r="25" customFormat="false" ht="15" hidden="false" customHeight="false" outlineLevel="0" collapsed="false">
      <c r="B25" s="0" t="s">
        <v>31</v>
      </c>
      <c r="C25" s="4" t="n">
        <v>0.55</v>
      </c>
    </row>
    <row r="26" customFormat="false" ht="15" hidden="false" customHeight="false" outlineLevel="0" collapsed="false">
      <c r="B26" s="0" t="s">
        <v>32</v>
      </c>
      <c r="C26" s="1" t="n">
        <v>0.06</v>
      </c>
    </row>
    <row r="27" customFormat="false" ht="15" hidden="false" customHeight="false" outlineLevel="0" collapsed="false">
      <c r="B27" s="0" t="s">
        <v>33</v>
      </c>
      <c r="C27" s="1" t="n">
        <v>0.065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34</v>
      </c>
    </row>
    <row r="3" customFormat="false" ht="15" hidden="false" customHeight="false" outlineLevel="0" collapsed="false">
      <c r="B3" s="0" t="s">
        <v>35</v>
      </c>
      <c r="C3" s="6" t="n">
        <v>46112</v>
      </c>
      <c r="D3" s="6" t="n">
        <v>46203</v>
      </c>
      <c r="E3" s="6" t="n">
        <v>46295</v>
      </c>
      <c r="F3" s="6" t="n">
        <v>46387</v>
      </c>
      <c r="G3" s="6" t="n">
        <v>46477</v>
      </c>
      <c r="H3" s="6" t="n">
        <v>46568</v>
      </c>
      <c r="I3" s="6" t="n">
        <v>46660</v>
      </c>
      <c r="J3" s="6" t="n">
        <v>46752</v>
      </c>
      <c r="K3" s="6" t="n">
        <v>46843</v>
      </c>
      <c r="L3" s="6" t="n">
        <v>46934</v>
      </c>
      <c r="M3" s="6" t="n">
        <v>47026</v>
      </c>
      <c r="N3" s="6" t="n">
        <v>47118</v>
      </c>
      <c r="O3" s="6" t="n">
        <v>47208</v>
      </c>
      <c r="P3" s="6" t="n">
        <v>47299</v>
      </c>
      <c r="Q3" s="6" t="n">
        <v>47391</v>
      </c>
      <c r="R3" s="6" t="n">
        <v>47483</v>
      </c>
      <c r="S3" s="6" t="n">
        <v>47573</v>
      </c>
      <c r="T3" s="6" t="n">
        <v>47664</v>
      </c>
      <c r="U3" s="6" t="n">
        <v>47756</v>
      </c>
      <c r="V3" s="6" t="n">
        <v>47848</v>
      </c>
      <c r="W3" s="6" t="n">
        <v>47938</v>
      </c>
      <c r="X3" s="6" t="n">
        <v>48029</v>
      </c>
      <c r="Y3" s="6" t="n">
        <v>48121</v>
      </c>
      <c r="Z3" s="6" t="n">
        <v>48213</v>
      </c>
      <c r="AA3" s="6" t="n">
        <v>48304</v>
      </c>
      <c r="AB3" s="6" t="n">
        <v>48395</v>
      </c>
      <c r="AC3" s="6" t="n">
        <v>48487</v>
      </c>
      <c r="AD3" s="6" t="n">
        <v>48579</v>
      </c>
      <c r="AE3" s="6" t="n">
        <v>48669</v>
      </c>
      <c r="AF3" s="6" t="n">
        <v>48760</v>
      </c>
      <c r="AG3" s="6" t="n">
        <v>48852</v>
      </c>
      <c r="AH3" s="6" t="n">
        <v>48944</v>
      </c>
      <c r="AI3" s="6" t="n">
        <v>49034</v>
      </c>
    </row>
    <row r="4" customFormat="false" ht="15" hidden="false" customHeight="false" outlineLevel="0" collapsed="false">
      <c r="B4" s="0" t="s">
        <v>36</v>
      </c>
      <c r="C4" s="0" t="n">
        <v>0</v>
      </c>
      <c r="D4" s="0" t="n">
        <v>1</v>
      </c>
      <c r="E4" s="0" t="n">
        <v>2</v>
      </c>
      <c r="F4" s="0" t="n">
        <v>3</v>
      </c>
      <c r="G4" s="0" t="n">
        <v>4</v>
      </c>
      <c r="H4" s="0" t="n">
        <v>5</v>
      </c>
      <c r="I4" s="0" t="n">
        <v>6</v>
      </c>
      <c r="J4" s="0" t="n">
        <v>7</v>
      </c>
      <c r="K4" s="0" t="n">
        <v>8</v>
      </c>
      <c r="L4" s="0" t="n">
        <v>9</v>
      </c>
      <c r="M4" s="0" t="n">
        <v>10</v>
      </c>
      <c r="N4" s="0" t="n">
        <v>11</v>
      </c>
      <c r="O4" s="0" t="n">
        <v>12</v>
      </c>
      <c r="P4" s="0" t="n">
        <v>13</v>
      </c>
      <c r="Q4" s="0" t="n">
        <v>14</v>
      </c>
      <c r="R4" s="0" t="n">
        <v>15</v>
      </c>
      <c r="S4" s="0" t="n">
        <v>16</v>
      </c>
      <c r="T4" s="0" t="n">
        <v>17</v>
      </c>
      <c r="U4" s="0" t="n">
        <v>18</v>
      </c>
      <c r="V4" s="0" t="n">
        <v>19</v>
      </c>
      <c r="W4" s="0" t="n">
        <v>20</v>
      </c>
      <c r="X4" s="0" t="n">
        <v>21</v>
      </c>
      <c r="Y4" s="0" t="n">
        <v>22</v>
      </c>
      <c r="Z4" s="0" t="n">
        <v>23</v>
      </c>
      <c r="AA4" s="0" t="n">
        <v>24</v>
      </c>
      <c r="AB4" s="0" t="n">
        <v>25</v>
      </c>
      <c r="AC4" s="0" t="n">
        <v>26</v>
      </c>
      <c r="AD4" s="0" t="n">
        <v>27</v>
      </c>
      <c r="AE4" s="0" t="n">
        <v>28</v>
      </c>
      <c r="AF4" s="0" t="n">
        <v>29</v>
      </c>
      <c r="AG4" s="0" t="n">
        <v>30</v>
      </c>
      <c r="AH4" s="0" t="n">
        <v>31</v>
      </c>
      <c r="AI4" s="0" t="n">
        <v>32</v>
      </c>
    </row>
    <row r="6" customFormat="false" ht="15" hidden="false" customHeight="false" outlineLevel="0" collapsed="false">
      <c r="B6" s="0" t="s">
        <v>37</v>
      </c>
      <c r="C6" s="0" t="n">
        <f aca="false">IF(AND(C$4&gt;=ROUND(Assumptions!$C$14,0),C$4&lt;(ROUND(Assumptions!$C$14,0)+ROUND(Assumptions!$C$15,0))),1/ROUND(Assumptions!$C$15,0),0)</f>
        <v>0</v>
      </c>
      <c r="D6" s="0" t="n">
        <f aca="false">IF(AND(D$4&gt;=ROUND(Assumptions!$C$14,0),D$4&lt;(ROUND(Assumptions!$C$14,0)+ROUND(Assumptions!$C$15,0))),1/ROUND(Assumptions!$C$15,0),0)</f>
        <v>0.166666666666667</v>
      </c>
      <c r="E6" s="0" t="n">
        <f aca="false">IF(AND(E$4&gt;=ROUND(Assumptions!$C$14,0),E$4&lt;(ROUND(Assumptions!$C$14,0)+ROUND(Assumptions!$C$15,0))),1/ROUND(Assumptions!$C$15,0),0)</f>
        <v>0.166666666666667</v>
      </c>
      <c r="F6" s="0" t="n">
        <f aca="false">IF(AND(F$4&gt;=ROUND(Assumptions!$C$14,0),F$4&lt;(ROUND(Assumptions!$C$14,0)+ROUND(Assumptions!$C$15,0))),1/ROUND(Assumptions!$C$15,0),0)</f>
        <v>0.166666666666667</v>
      </c>
      <c r="G6" s="0" t="n">
        <f aca="false">IF(AND(G$4&gt;=ROUND(Assumptions!$C$14,0),G$4&lt;(ROUND(Assumptions!$C$14,0)+ROUND(Assumptions!$C$15,0))),1/ROUND(Assumptions!$C$15,0),0)</f>
        <v>0.166666666666667</v>
      </c>
      <c r="H6" s="0" t="n">
        <f aca="false">IF(AND(H$4&gt;=ROUND(Assumptions!$C$14,0),H$4&lt;(ROUND(Assumptions!$C$14,0)+ROUND(Assumptions!$C$15,0))),1/ROUND(Assumptions!$C$15,0),0)</f>
        <v>0.166666666666667</v>
      </c>
      <c r="I6" s="0" t="n">
        <f aca="false">IF(AND(I$4&gt;=ROUND(Assumptions!$C$14,0),I$4&lt;(ROUND(Assumptions!$C$14,0)+ROUND(Assumptions!$C$15,0))),1/ROUND(Assumptions!$C$15,0),0)</f>
        <v>0.166666666666667</v>
      </c>
      <c r="J6" s="0" t="n">
        <f aca="false">IF(AND(J$4&gt;=ROUND(Assumptions!$C$14,0),J$4&lt;(ROUND(Assumptions!$C$14,0)+ROUND(Assumptions!$C$15,0))),1/ROUND(Assumptions!$C$15,0),0)</f>
        <v>0</v>
      </c>
      <c r="K6" s="0" t="n">
        <f aca="false">IF(AND(K$4&gt;=ROUND(Assumptions!$C$14,0),K$4&lt;(ROUND(Assumptions!$C$14,0)+ROUND(Assumptions!$C$15,0))),1/ROUND(Assumptions!$C$15,0),0)</f>
        <v>0</v>
      </c>
      <c r="L6" s="0" t="n">
        <f aca="false">IF(AND(L$4&gt;=ROUND(Assumptions!$C$14,0),L$4&lt;(ROUND(Assumptions!$C$14,0)+ROUND(Assumptions!$C$15,0))),1/ROUND(Assumptions!$C$15,0),0)</f>
        <v>0</v>
      </c>
      <c r="M6" s="0" t="n">
        <f aca="false">IF(AND(M$4&gt;=ROUND(Assumptions!$C$14,0),M$4&lt;(ROUND(Assumptions!$C$14,0)+ROUND(Assumptions!$C$15,0))),1/ROUND(Assumptions!$C$15,0),0)</f>
        <v>0</v>
      </c>
      <c r="N6" s="0" t="n">
        <f aca="false">IF(AND(N$4&gt;=ROUND(Assumptions!$C$14,0),N$4&lt;(ROUND(Assumptions!$C$14,0)+ROUND(Assumptions!$C$15,0))),1/ROUND(Assumptions!$C$15,0),0)</f>
        <v>0</v>
      </c>
      <c r="O6" s="0" t="n">
        <f aca="false">IF(AND(O$4&gt;=ROUND(Assumptions!$C$14,0),O$4&lt;(ROUND(Assumptions!$C$14,0)+ROUND(Assumptions!$C$15,0))),1/ROUND(Assumptions!$C$15,0),0)</f>
        <v>0</v>
      </c>
      <c r="P6" s="0" t="n">
        <f aca="false">IF(AND(P$4&gt;=ROUND(Assumptions!$C$14,0),P$4&lt;(ROUND(Assumptions!$C$14,0)+ROUND(Assumptions!$C$15,0))),1/ROUND(Assumptions!$C$15,0),0)</f>
        <v>0</v>
      </c>
      <c r="Q6" s="0" t="n">
        <f aca="false">IF(AND(Q$4&gt;=ROUND(Assumptions!$C$14,0),Q$4&lt;(ROUND(Assumptions!$C$14,0)+ROUND(Assumptions!$C$15,0))),1/ROUND(Assumptions!$C$15,0),0)</f>
        <v>0</v>
      </c>
      <c r="R6" s="0" t="n">
        <f aca="false">IF(AND(R$4&gt;=ROUND(Assumptions!$C$14,0),R$4&lt;(ROUND(Assumptions!$C$14,0)+ROUND(Assumptions!$C$15,0))),1/ROUND(Assumptions!$C$15,0),0)</f>
        <v>0</v>
      </c>
      <c r="S6" s="0" t="n">
        <f aca="false">IF(AND(S$4&gt;=ROUND(Assumptions!$C$14,0),S$4&lt;(ROUND(Assumptions!$C$14,0)+ROUND(Assumptions!$C$15,0))),1/ROUND(Assumptions!$C$15,0),0)</f>
        <v>0</v>
      </c>
      <c r="T6" s="0" t="n">
        <f aca="false">IF(AND(T$4&gt;=ROUND(Assumptions!$C$14,0),T$4&lt;(ROUND(Assumptions!$C$14,0)+ROUND(Assumptions!$C$15,0))),1/ROUND(Assumptions!$C$15,0),0)</f>
        <v>0</v>
      </c>
      <c r="U6" s="0" t="n">
        <f aca="false">IF(AND(U$4&gt;=ROUND(Assumptions!$C$14,0),U$4&lt;(ROUND(Assumptions!$C$14,0)+ROUND(Assumptions!$C$15,0))),1/ROUND(Assumptions!$C$15,0),0)</f>
        <v>0</v>
      </c>
      <c r="V6" s="0" t="n">
        <f aca="false">IF(AND(V$4&gt;=ROUND(Assumptions!$C$14,0),V$4&lt;(ROUND(Assumptions!$C$14,0)+ROUND(Assumptions!$C$15,0))),1/ROUND(Assumptions!$C$15,0),0)</f>
        <v>0</v>
      </c>
      <c r="W6" s="0" t="n">
        <f aca="false">IF(AND(W$4&gt;=ROUND(Assumptions!$C$14,0),W$4&lt;(ROUND(Assumptions!$C$14,0)+ROUND(Assumptions!$C$15,0))),1/ROUND(Assumptions!$C$15,0),0)</f>
        <v>0</v>
      </c>
      <c r="X6" s="0" t="n">
        <f aca="false">IF(AND(X$4&gt;=ROUND(Assumptions!$C$14,0),X$4&lt;(ROUND(Assumptions!$C$14,0)+ROUND(Assumptions!$C$15,0))),1/ROUND(Assumptions!$C$15,0),0)</f>
        <v>0</v>
      </c>
      <c r="Y6" s="0" t="n">
        <f aca="false">IF(AND(Y$4&gt;=ROUND(Assumptions!$C$14,0),Y$4&lt;(ROUND(Assumptions!$C$14,0)+ROUND(Assumptions!$C$15,0))),1/ROUND(Assumptions!$C$15,0),0)</f>
        <v>0</v>
      </c>
      <c r="Z6" s="0" t="n">
        <f aca="false">IF(AND(Z$4&gt;=ROUND(Assumptions!$C$14,0),Z$4&lt;(ROUND(Assumptions!$C$14,0)+ROUND(Assumptions!$C$15,0))),1/ROUND(Assumptions!$C$15,0),0)</f>
        <v>0</v>
      </c>
      <c r="AA6" s="0" t="n">
        <f aca="false">IF(AND(AA$4&gt;=ROUND(Assumptions!$C$14,0),AA$4&lt;(ROUND(Assumptions!$C$14,0)+ROUND(Assumptions!$C$15,0))),1/ROUND(Assumptions!$C$15,0),0)</f>
        <v>0</v>
      </c>
      <c r="AB6" s="0" t="n">
        <f aca="false">IF(AND(AB$4&gt;=ROUND(Assumptions!$C$14,0),AB$4&lt;(ROUND(Assumptions!$C$14,0)+ROUND(Assumptions!$C$15,0))),1/ROUND(Assumptions!$C$15,0),0)</f>
        <v>0</v>
      </c>
      <c r="AC6" s="0" t="n">
        <f aca="false">IF(AND(AC$4&gt;=ROUND(Assumptions!$C$14,0),AC$4&lt;(ROUND(Assumptions!$C$14,0)+ROUND(Assumptions!$C$15,0))),1/ROUND(Assumptions!$C$15,0),0)</f>
        <v>0</v>
      </c>
      <c r="AD6" s="0" t="n">
        <f aca="false">IF(AND(AD$4&gt;=ROUND(Assumptions!$C$14,0),AD$4&lt;(ROUND(Assumptions!$C$14,0)+ROUND(Assumptions!$C$15,0))),1/ROUND(Assumptions!$C$15,0),0)</f>
        <v>0</v>
      </c>
      <c r="AE6" s="0" t="n">
        <f aca="false">IF(AND(AE$4&gt;=ROUND(Assumptions!$C$14,0),AE$4&lt;(ROUND(Assumptions!$C$14,0)+ROUND(Assumptions!$C$15,0))),1/ROUND(Assumptions!$C$15,0),0)</f>
        <v>0</v>
      </c>
      <c r="AF6" s="0" t="n">
        <f aca="false">IF(AND(AF$4&gt;=ROUND(Assumptions!$C$14,0),AF$4&lt;(ROUND(Assumptions!$C$14,0)+ROUND(Assumptions!$C$15,0))),1/ROUND(Assumptions!$C$15,0),0)</f>
        <v>0</v>
      </c>
      <c r="AG6" s="0" t="n">
        <f aca="false">IF(AND(AG$4&gt;=ROUND(Assumptions!$C$14,0),AG$4&lt;(ROUND(Assumptions!$C$14,0)+ROUND(Assumptions!$C$15,0))),1/ROUND(Assumptions!$C$15,0),0)</f>
        <v>0</v>
      </c>
      <c r="AH6" s="0" t="n">
        <f aca="false">IF(AND(AH$4&gt;=ROUND(Assumptions!$C$14,0),AH$4&lt;(ROUND(Assumptions!$C$14,0)+ROUND(Assumptions!$C$15,0))),1/ROUND(Assumptions!$C$15,0),0)</f>
        <v>0</v>
      </c>
      <c r="AI6" s="0" t="n">
        <f aca="false">IF(AND(AI$4&gt;=ROUND(Assumptions!$C$14,0),AI$4&lt;(ROUND(Assumptions!$C$14,0)+ROUND(Assumptions!$C$15,0))),1/ROUND(Assumptions!$C$15,0),0)</f>
        <v>0</v>
      </c>
    </row>
    <row r="7" customFormat="false" ht="15" hidden="false" customHeight="false" outlineLevel="0" collapsed="false">
      <c r="B7" s="0" t="s">
        <v>38</v>
      </c>
      <c r="C7" s="0" t="n">
        <f aca="false">IF(C$4&lt;(ROUND(Assumptions!$C$14,0)+ROUND(Assumptions!$C$15,0)),0,Assumptions!$C$17*MIN(1,(C$4-(ROUND(Assumptions!$C$14,0)+ROUND(Assumptions!$C$15,0))+1)/ROUND(Assumptions!$C$16,0)))</f>
        <v>0</v>
      </c>
      <c r="D7" s="0" t="n">
        <f aca="false">IF(D$4&lt;(ROUND(Assumptions!$C$14,0)+ROUND(Assumptions!$C$15,0)),0,Assumptions!$C$17*MIN(1,(D$4-(ROUND(Assumptions!$C$14,0)+ROUND(Assumptions!$C$15,0))+1)/ROUND(Assumptions!$C$16,0)))</f>
        <v>0</v>
      </c>
      <c r="E7" s="0" t="n">
        <f aca="false">IF(E$4&lt;(ROUND(Assumptions!$C$14,0)+ROUND(Assumptions!$C$15,0)),0,Assumptions!$C$17*MIN(1,(E$4-(ROUND(Assumptions!$C$14,0)+ROUND(Assumptions!$C$15,0))+1)/ROUND(Assumptions!$C$16,0)))</f>
        <v>0</v>
      </c>
      <c r="F7" s="0" t="n">
        <f aca="false">IF(F$4&lt;(ROUND(Assumptions!$C$14,0)+ROUND(Assumptions!$C$15,0)),0,Assumptions!$C$17*MIN(1,(F$4-(ROUND(Assumptions!$C$14,0)+ROUND(Assumptions!$C$15,0))+1)/ROUND(Assumptions!$C$16,0)))</f>
        <v>0</v>
      </c>
      <c r="G7" s="0" t="n">
        <f aca="false">IF(G$4&lt;(ROUND(Assumptions!$C$14,0)+ROUND(Assumptions!$C$15,0)),0,Assumptions!$C$17*MIN(1,(G$4-(ROUND(Assumptions!$C$14,0)+ROUND(Assumptions!$C$15,0))+1)/ROUND(Assumptions!$C$16,0)))</f>
        <v>0</v>
      </c>
      <c r="H7" s="0" t="n">
        <f aca="false">IF(H$4&lt;(ROUND(Assumptions!$C$14,0)+ROUND(Assumptions!$C$15,0)),0,Assumptions!$C$17*MIN(1,(H$4-(ROUND(Assumptions!$C$14,0)+ROUND(Assumptions!$C$15,0))+1)/ROUND(Assumptions!$C$16,0)))</f>
        <v>0</v>
      </c>
      <c r="I7" s="0" t="n">
        <f aca="false">IF(I$4&lt;(ROUND(Assumptions!$C$14,0)+ROUND(Assumptions!$C$15,0)),0,Assumptions!$C$17*MIN(1,(I$4-(ROUND(Assumptions!$C$14,0)+ROUND(Assumptions!$C$15,0))+1)/ROUND(Assumptions!$C$16,0)))</f>
        <v>0</v>
      </c>
      <c r="J7" s="0" t="n">
        <f aca="false">IF(J$4&lt;(ROUND(Assumptions!$C$14,0)+ROUND(Assumptions!$C$15,0)),0,Assumptions!$C$17*MIN(1,(J$4-(ROUND(Assumptions!$C$14,0)+ROUND(Assumptions!$C$15,0))+1)/ROUND(Assumptions!$C$16,0)))</f>
        <v>0.235</v>
      </c>
      <c r="K7" s="0" t="n">
        <f aca="false">IF(K$4&lt;(ROUND(Assumptions!$C$14,0)+ROUND(Assumptions!$C$15,0)),0,Assumptions!$C$17*MIN(1,(K$4-(ROUND(Assumptions!$C$14,0)+ROUND(Assumptions!$C$15,0))+1)/ROUND(Assumptions!$C$16,0)))</f>
        <v>0.47</v>
      </c>
      <c r="L7" s="0" t="n">
        <f aca="false">IF(L$4&lt;(ROUND(Assumptions!$C$14,0)+ROUND(Assumptions!$C$15,0)),0,Assumptions!$C$17*MIN(1,(L$4-(ROUND(Assumptions!$C$14,0)+ROUND(Assumptions!$C$15,0))+1)/ROUND(Assumptions!$C$16,0)))</f>
        <v>0.705</v>
      </c>
      <c r="M7" s="0" t="n">
        <f aca="false">IF(M$4&lt;(ROUND(Assumptions!$C$14,0)+ROUND(Assumptions!$C$15,0)),0,Assumptions!$C$17*MIN(1,(M$4-(ROUND(Assumptions!$C$14,0)+ROUND(Assumptions!$C$15,0))+1)/ROUND(Assumptions!$C$16,0)))</f>
        <v>0.94</v>
      </c>
      <c r="N7" s="0" t="n">
        <f aca="false">IF(N$4&lt;(ROUND(Assumptions!$C$14,0)+ROUND(Assumptions!$C$15,0)),0,Assumptions!$C$17*MIN(1,(N$4-(ROUND(Assumptions!$C$14,0)+ROUND(Assumptions!$C$15,0))+1)/ROUND(Assumptions!$C$16,0)))</f>
        <v>0.94</v>
      </c>
      <c r="O7" s="0" t="n">
        <f aca="false">IF(O$4&lt;(ROUND(Assumptions!$C$14,0)+ROUND(Assumptions!$C$15,0)),0,Assumptions!$C$17*MIN(1,(O$4-(ROUND(Assumptions!$C$14,0)+ROUND(Assumptions!$C$15,0))+1)/ROUND(Assumptions!$C$16,0)))</f>
        <v>0.94</v>
      </c>
      <c r="P7" s="0" t="n">
        <f aca="false">IF(P$4&lt;(ROUND(Assumptions!$C$14,0)+ROUND(Assumptions!$C$15,0)),0,Assumptions!$C$17*MIN(1,(P$4-(ROUND(Assumptions!$C$14,0)+ROUND(Assumptions!$C$15,0))+1)/ROUND(Assumptions!$C$16,0)))</f>
        <v>0.94</v>
      </c>
      <c r="Q7" s="0" t="n">
        <f aca="false">IF(Q$4&lt;(ROUND(Assumptions!$C$14,0)+ROUND(Assumptions!$C$15,0)),0,Assumptions!$C$17*MIN(1,(Q$4-(ROUND(Assumptions!$C$14,0)+ROUND(Assumptions!$C$15,0))+1)/ROUND(Assumptions!$C$16,0)))</f>
        <v>0.94</v>
      </c>
      <c r="R7" s="0" t="n">
        <f aca="false">IF(R$4&lt;(ROUND(Assumptions!$C$14,0)+ROUND(Assumptions!$C$15,0)),0,Assumptions!$C$17*MIN(1,(R$4-(ROUND(Assumptions!$C$14,0)+ROUND(Assumptions!$C$15,0))+1)/ROUND(Assumptions!$C$16,0)))</f>
        <v>0.94</v>
      </c>
      <c r="S7" s="0" t="n">
        <f aca="false">IF(S$4&lt;(ROUND(Assumptions!$C$14,0)+ROUND(Assumptions!$C$15,0)),0,Assumptions!$C$17*MIN(1,(S$4-(ROUND(Assumptions!$C$14,0)+ROUND(Assumptions!$C$15,0))+1)/ROUND(Assumptions!$C$16,0)))</f>
        <v>0.94</v>
      </c>
      <c r="T7" s="0" t="n">
        <f aca="false">IF(T$4&lt;(ROUND(Assumptions!$C$14,0)+ROUND(Assumptions!$C$15,0)),0,Assumptions!$C$17*MIN(1,(T$4-(ROUND(Assumptions!$C$14,0)+ROUND(Assumptions!$C$15,0))+1)/ROUND(Assumptions!$C$16,0)))</f>
        <v>0.94</v>
      </c>
      <c r="U7" s="0" t="n">
        <f aca="false">IF(U$4&lt;(ROUND(Assumptions!$C$14,0)+ROUND(Assumptions!$C$15,0)),0,Assumptions!$C$17*MIN(1,(U$4-(ROUND(Assumptions!$C$14,0)+ROUND(Assumptions!$C$15,0))+1)/ROUND(Assumptions!$C$16,0)))</f>
        <v>0.94</v>
      </c>
      <c r="V7" s="0" t="n">
        <f aca="false">IF(V$4&lt;(ROUND(Assumptions!$C$14,0)+ROUND(Assumptions!$C$15,0)),0,Assumptions!$C$17*MIN(1,(V$4-(ROUND(Assumptions!$C$14,0)+ROUND(Assumptions!$C$15,0))+1)/ROUND(Assumptions!$C$16,0)))</f>
        <v>0.94</v>
      </c>
      <c r="W7" s="0" t="n">
        <f aca="false">IF(W$4&lt;(ROUND(Assumptions!$C$14,0)+ROUND(Assumptions!$C$15,0)),0,Assumptions!$C$17*MIN(1,(W$4-(ROUND(Assumptions!$C$14,0)+ROUND(Assumptions!$C$15,0))+1)/ROUND(Assumptions!$C$16,0)))</f>
        <v>0.94</v>
      </c>
      <c r="X7" s="0" t="n">
        <f aca="false">IF(X$4&lt;(ROUND(Assumptions!$C$14,0)+ROUND(Assumptions!$C$15,0)),0,Assumptions!$C$17*MIN(1,(X$4-(ROUND(Assumptions!$C$14,0)+ROUND(Assumptions!$C$15,0))+1)/ROUND(Assumptions!$C$16,0)))</f>
        <v>0.94</v>
      </c>
      <c r="Y7" s="0" t="n">
        <f aca="false">IF(Y$4&lt;(ROUND(Assumptions!$C$14,0)+ROUND(Assumptions!$C$15,0)),0,Assumptions!$C$17*MIN(1,(Y$4-(ROUND(Assumptions!$C$14,0)+ROUND(Assumptions!$C$15,0))+1)/ROUND(Assumptions!$C$16,0)))</f>
        <v>0.94</v>
      </c>
      <c r="Z7" s="0" t="n">
        <f aca="false">IF(Z$4&lt;(ROUND(Assumptions!$C$14,0)+ROUND(Assumptions!$C$15,0)),0,Assumptions!$C$17*MIN(1,(Z$4-(ROUND(Assumptions!$C$14,0)+ROUND(Assumptions!$C$15,0))+1)/ROUND(Assumptions!$C$16,0)))</f>
        <v>0.94</v>
      </c>
      <c r="AA7" s="0" t="n">
        <f aca="false">IF(AA$4&lt;(ROUND(Assumptions!$C$14,0)+ROUND(Assumptions!$C$15,0)),0,Assumptions!$C$17*MIN(1,(AA$4-(ROUND(Assumptions!$C$14,0)+ROUND(Assumptions!$C$15,0))+1)/ROUND(Assumptions!$C$16,0)))</f>
        <v>0.94</v>
      </c>
      <c r="AB7" s="0" t="n">
        <f aca="false">IF(AB$4&lt;(ROUND(Assumptions!$C$14,0)+ROUND(Assumptions!$C$15,0)),0,Assumptions!$C$17*MIN(1,(AB$4-(ROUND(Assumptions!$C$14,0)+ROUND(Assumptions!$C$15,0))+1)/ROUND(Assumptions!$C$16,0)))</f>
        <v>0.94</v>
      </c>
      <c r="AC7" s="0" t="n">
        <f aca="false">IF(AC$4&lt;(ROUND(Assumptions!$C$14,0)+ROUND(Assumptions!$C$15,0)),0,Assumptions!$C$17*MIN(1,(AC$4-(ROUND(Assumptions!$C$14,0)+ROUND(Assumptions!$C$15,0))+1)/ROUND(Assumptions!$C$16,0)))</f>
        <v>0.94</v>
      </c>
      <c r="AD7" s="0" t="n">
        <f aca="false">IF(AD$4&lt;(ROUND(Assumptions!$C$14,0)+ROUND(Assumptions!$C$15,0)),0,Assumptions!$C$17*MIN(1,(AD$4-(ROUND(Assumptions!$C$14,0)+ROUND(Assumptions!$C$15,0))+1)/ROUND(Assumptions!$C$16,0)))</f>
        <v>0.94</v>
      </c>
      <c r="AE7" s="0" t="n">
        <f aca="false">IF(AE$4&lt;(ROUND(Assumptions!$C$14,0)+ROUND(Assumptions!$C$15,0)),0,Assumptions!$C$17*MIN(1,(AE$4-(ROUND(Assumptions!$C$14,0)+ROUND(Assumptions!$C$15,0))+1)/ROUND(Assumptions!$C$16,0)))</f>
        <v>0.94</v>
      </c>
      <c r="AF7" s="0" t="n">
        <f aca="false">IF(AF$4&lt;(ROUND(Assumptions!$C$14,0)+ROUND(Assumptions!$C$15,0)),0,Assumptions!$C$17*MIN(1,(AF$4-(ROUND(Assumptions!$C$14,0)+ROUND(Assumptions!$C$15,0))+1)/ROUND(Assumptions!$C$16,0)))</f>
        <v>0.94</v>
      </c>
      <c r="AG7" s="0" t="n">
        <f aca="false">IF(AG$4&lt;(ROUND(Assumptions!$C$14,0)+ROUND(Assumptions!$C$15,0)),0,Assumptions!$C$17*MIN(1,(AG$4-(ROUND(Assumptions!$C$14,0)+ROUND(Assumptions!$C$15,0))+1)/ROUND(Assumptions!$C$16,0)))</f>
        <v>0.94</v>
      </c>
      <c r="AH7" s="0" t="n">
        <f aca="false">IF(AH$4&lt;(ROUND(Assumptions!$C$14,0)+ROUND(Assumptions!$C$15,0)),0,Assumptions!$C$17*MIN(1,(AH$4-(ROUND(Assumptions!$C$14,0)+ROUND(Assumptions!$C$15,0))+1)/ROUND(Assumptions!$C$16,0)))</f>
        <v>0.94</v>
      </c>
      <c r="AI7" s="0" t="n">
        <f aca="false">IF(AI$4&lt;(ROUND(Assumptions!$C$14,0)+ROUND(Assumptions!$C$15,0)),0,Assumptions!$C$17*MIN(1,(AI$4-(ROUND(Assumptions!$C$14,0)+ROUND(Assumptions!$C$15,0))+1)/ROUND(Assumptions!$C$16,0)))</f>
        <v>0.94</v>
      </c>
    </row>
    <row r="8" customFormat="false" ht="15" hidden="false" customHeight="false" outlineLevel="0" collapsed="false">
      <c r="B8" s="0" t="s">
        <v>39</v>
      </c>
      <c r="C8" s="0" t="n">
        <f aca="false">Assumptions!$E$9*3*C7*(1+Assumptions!$C$18)^(MAX(0,C$4-(ROUND(Assumptions!$C$14,0)+ROUND(Assumptions!$C$15,0)))/4)</f>
        <v>0</v>
      </c>
      <c r="D8" s="0" t="n">
        <f aca="false">Assumptions!$E$9*3*D7*(1+Assumptions!$C$18)^(MAX(0,D$4-(ROUND(Assumptions!$C$14,0)+ROUND(Assumptions!$C$15,0)))/4)</f>
        <v>0</v>
      </c>
      <c r="E8" s="0" t="n">
        <f aca="false">Assumptions!$E$9*3*E7*(1+Assumptions!$C$18)^(MAX(0,E$4-(ROUND(Assumptions!$C$14,0)+ROUND(Assumptions!$C$15,0)))/4)</f>
        <v>0</v>
      </c>
      <c r="F8" s="0" t="n">
        <f aca="false">Assumptions!$E$9*3*F7*(1+Assumptions!$C$18)^(MAX(0,F$4-(ROUND(Assumptions!$C$14,0)+ROUND(Assumptions!$C$15,0)))/4)</f>
        <v>0</v>
      </c>
      <c r="G8" s="0" t="n">
        <f aca="false">Assumptions!$E$9*3*G7*(1+Assumptions!$C$18)^(MAX(0,G$4-(ROUND(Assumptions!$C$14,0)+ROUND(Assumptions!$C$15,0)))/4)</f>
        <v>0</v>
      </c>
      <c r="H8" s="0" t="n">
        <f aca="false">Assumptions!$E$9*3*H7*(1+Assumptions!$C$18)^(MAX(0,H$4-(ROUND(Assumptions!$C$14,0)+ROUND(Assumptions!$C$15,0)))/4)</f>
        <v>0</v>
      </c>
      <c r="I8" s="0" t="n">
        <f aca="false">Assumptions!$E$9*3*I7*(1+Assumptions!$C$18)^(MAX(0,I$4-(ROUND(Assumptions!$C$14,0)+ROUND(Assumptions!$C$15,0)))/4)</f>
        <v>0</v>
      </c>
      <c r="J8" s="0" t="n">
        <f aca="false">Assumptions!$E$9*3*J7*(1+Assumptions!$C$18)^(MAX(0,J$4-(ROUND(Assumptions!$C$14,0)+ROUND(Assumptions!$C$15,0)))/4)</f>
        <v>1779420</v>
      </c>
      <c r="K8" s="0" t="n">
        <f aca="false">Assumptions!$E$9*3*K7*(1+Assumptions!$C$18)^(MAX(0,K$4-(ROUND(Assumptions!$C$14,0)+ROUND(Assumptions!$C$15,0)))/4)</f>
        <v>3585236.17172547</v>
      </c>
      <c r="L8" s="0" t="n">
        <f aca="false">Assumptions!$E$9*3*L7*(1+Assumptions!$C$18)^(MAX(0,L$4-(ROUND(Assumptions!$C$14,0)+ROUND(Assumptions!$C$15,0)))/4)</f>
        <v>5417742.18862692</v>
      </c>
      <c r="M8" s="0" t="n">
        <f aca="false">Assumptions!$E$9*3*M7*(1+Assumptions!$C$18)^(MAX(0,M$4-(ROUND(Assumptions!$C$14,0)+ROUND(Assumptions!$C$15,0)))/4)</f>
        <v>7277234.62841762</v>
      </c>
      <c r="N8" s="0" t="n">
        <f aca="false">Assumptions!$E$9*3*N7*(1+Assumptions!$C$18)^(MAX(0,N$4-(ROUND(Assumptions!$C$14,0)+ROUND(Assumptions!$C$15,0)))/4)</f>
        <v>7331210.4</v>
      </c>
      <c r="O8" s="0" t="n">
        <f aca="false">Assumptions!$E$9*3*O7*(1+Assumptions!$C$18)^(MAX(0,O$4-(ROUND(Assumptions!$C$14,0)+ROUND(Assumptions!$C$15,0)))/4)</f>
        <v>7385586.51375446</v>
      </c>
      <c r="P8" s="0" t="n">
        <f aca="false">Assumptions!$E$9*3*P7*(1+Assumptions!$C$18)^(MAX(0,P$4-(ROUND(Assumptions!$C$14,0)+ROUND(Assumptions!$C$15,0)))/4)</f>
        <v>7440365.93904764</v>
      </c>
      <c r="Q8" s="0" t="n">
        <f aca="false">Assumptions!$E$9*3*Q7*(1+Assumptions!$C$18)^(MAX(0,Q$4-(ROUND(Assumptions!$C$14,0)+ROUND(Assumptions!$C$15,0)))/4)</f>
        <v>7495551.66727015</v>
      </c>
      <c r="R8" s="0" t="n">
        <f aca="false">Assumptions!$E$9*3*R7*(1+Assumptions!$C$18)^(MAX(0,R$4-(ROUND(Assumptions!$C$14,0)+ROUND(Assumptions!$C$15,0)))/4)</f>
        <v>7551146.712</v>
      </c>
      <c r="S8" s="0" t="n">
        <f aca="false">Assumptions!$E$9*3*S7*(1+Assumptions!$C$18)^(MAX(0,S$4-(ROUND(Assumptions!$C$14,0)+ROUND(Assumptions!$C$15,0)))/4)</f>
        <v>7607154.1091671</v>
      </c>
      <c r="T8" s="0" t="n">
        <f aca="false">Assumptions!$E$9*3*T7*(1+Assumptions!$C$18)^(MAX(0,T$4-(ROUND(Assumptions!$C$14,0)+ROUND(Assumptions!$C$15,0)))/4)</f>
        <v>7663576.91721907</v>
      </c>
      <c r="U8" s="0" t="n">
        <f aca="false">Assumptions!$E$9*3*U7*(1+Assumptions!$C$18)^(MAX(0,U$4-(ROUND(Assumptions!$C$14,0)+ROUND(Assumptions!$C$15,0)))/4)</f>
        <v>7720418.21728826</v>
      </c>
      <c r="V8" s="0" t="n">
        <f aca="false">Assumptions!$E$9*3*V7*(1+Assumptions!$C$18)^(MAX(0,V$4-(ROUND(Assumptions!$C$14,0)+ROUND(Assumptions!$C$15,0)))/4)</f>
        <v>7777681.11336</v>
      </c>
      <c r="W8" s="0" t="n">
        <f aca="false">Assumptions!$E$9*3*W7*(1+Assumptions!$C$18)^(MAX(0,W$4-(ROUND(Assumptions!$C$14,0)+ROUND(Assumptions!$C$15,0)))/4)</f>
        <v>7835368.73244211</v>
      </c>
      <c r="X8" s="0" t="n">
        <f aca="false">Assumptions!$E$9*3*X7*(1+Assumptions!$C$18)^(MAX(0,X$4-(ROUND(Assumptions!$C$14,0)+ROUND(Assumptions!$C$15,0)))/4)</f>
        <v>7893484.22473564</v>
      </c>
      <c r="Y8" s="0" t="n">
        <f aca="false">Assumptions!$E$9*3*Y7*(1+Assumptions!$C$18)^(MAX(0,Y$4-(ROUND(Assumptions!$C$14,0)+ROUND(Assumptions!$C$15,0)))/4)</f>
        <v>7952030.76380691</v>
      </c>
      <c r="Z8" s="0" t="n">
        <f aca="false">Assumptions!$E$9*3*Z7*(1+Assumptions!$C$18)^(MAX(0,Z$4-(ROUND(Assumptions!$C$14,0)+ROUND(Assumptions!$C$15,0)))/4)</f>
        <v>8011011.5467608</v>
      </c>
      <c r="AA8" s="0" t="n">
        <f aca="false">Assumptions!$E$9*3*AA7*(1+Assumptions!$C$18)^(MAX(0,AA$4-(ROUND(Assumptions!$C$14,0)+ROUND(Assumptions!$C$15,0)))/4)</f>
        <v>8070429.79441537</v>
      </c>
      <c r="AB8" s="0" t="n">
        <f aca="false">Assumptions!$E$9*3*AB7*(1+Assumptions!$C$18)^(MAX(0,AB$4-(ROUND(Assumptions!$C$14,0)+ROUND(Assumptions!$C$15,0)))/4)</f>
        <v>8130288.75147771</v>
      </c>
      <c r="AC8" s="0" t="n">
        <f aca="false">Assumptions!$E$9*3*AC7*(1+Assumptions!$C$18)^(MAX(0,AC$4-(ROUND(Assumptions!$C$14,0)+ROUND(Assumptions!$C$15,0)))/4)</f>
        <v>8190591.68672111</v>
      </c>
      <c r="AD8" s="0" t="n">
        <f aca="false">Assumptions!$E$9*3*AD7*(1+Assumptions!$C$18)^(MAX(0,AD$4-(ROUND(Assumptions!$C$14,0)+ROUND(Assumptions!$C$15,0)))/4)</f>
        <v>8251341.89316362</v>
      </c>
      <c r="AE8" s="0" t="n">
        <f aca="false">Assumptions!$E$9*3*AE7*(1+Assumptions!$C$18)^(MAX(0,AE$4-(ROUND(Assumptions!$C$14,0)+ROUND(Assumptions!$C$15,0)))/4)</f>
        <v>8312542.68824784</v>
      </c>
      <c r="AF8" s="0" t="n">
        <f aca="false">Assumptions!$E$9*3*AF7*(1+Assumptions!$C$18)^(MAX(0,AF$4-(ROUND(Assumptions!$C$14,0)+ROUND(Assumptions!$C$15,0)))/4)</f>
        <v>8374197.41402204</v>
      </c>
      <c r="AG8" s="0" t="n">
        <f aca="false">Assumptions!$E$9*3*AG7*(1+Assumptions!$C$18)^(MAX(0,AG$4-(ROUND(Assumptions!$C$14,0)+ROUND(Assumptions!$C$15,0)))/4)</f>
        <v>8436309.43732275</v>
      </c>
      <c r="AH8" s="0" t="n">
        <f aca="false">Assumptions!$E$9*3*AH7*(1+Assumptions!$C$18)^(MAX(0,AH$4-(ROUND(Assumptions!$C$14,0)+ROUND(Assumptions!$C$15,0)))/4)</f>
        <v>8498882.14995853</v>
      </c>
      <c r="AI8" s="0" t="n">
        <f aca="false">Assumptions!$E$9*3*AI7*(1+Assumptions!$C$18)^(MAX(0,AI$4-(ROUND(Assumptions!$C$14,0)+ROUND(Assumptions!$C$15,0)))/4)</f>
        <v>8561918.96889527</v>
      </c>
    </row>
    <row r="9" customFormat="false" ht="15" hidden="false" customHeight="false" outlineLevel="0" collapsed="false">
      <c r="B9" s="0" t="s">
        <v>40</v>
      </c>
      <c r="C9" s="0" t="n">
        <f aca="false">IF(C$4&lt;(ROUND(Assumptions!$C$14,0)+ROUND(Assumptions!$C$15,0)),0,-Assumptions!$C$9*Assumptions!$C$19/4*(1+Assumptions!$C$18)^(MAX(0,C$4-(ROUND(Assumptions!$C$14,0)+ROUND(Assumptions!$C$15,0)))/4))</f>
        <v>0</v>
      </c>
      <c r="D9" s="0" t="n">
        <f aca="false">IF(D$4&lt;(ROUND(Assumptions!$C$14,0)+ROUND(Assumptions!$C$15,0)),0,-Assumptions!$C$9*Assumptions!$C$19/4*(1+Assumptions!$C$18)^(MAX(0,D$4-(ROUND(Assumptions!$C$14,0)+ROUND(Assumptions!$C$15,0)))/4))</f>
        <v>0</v>
      </c>
      <c r="E9" s="0" t="n">
        <f aca="false">IF(E$4&lt;(ROUND(Assumptions!$C$14,0)+ROUND(Assumptions!$C$15,0)),0,-Assumptions!$C$9*Assumptions!$C$19/4*(1+Assumptions!$C$18)^(MAX(0,E$4-(ROUND(Assumptions!$C$14,0)+ROUND(Assumptions!$C$15,0)))/4))</f>
        <v>0</v>
      </c>
      <c r="F9" s="0" t="n">
        <f aca="false">IF(F$4&lt;(ROUND(Assumptions!$C$14,0)+ROUND(Assumptions!$C$15,0)),0,-Assumptions!$C$9*Assumptions!$C$19/4*(1+Assumptions!$C$18)^(MAX(0,F$4-(ROUND(Assumptions!$C$14,0)+ROUND(Assumptions!$C$15,0)))/4))</f>
        <v>0</v>
      </c>
      <c r="G9" s="0" t="n">
        <f aca="false">IF(G$4&lt;(ROUND(Assumptions!$C$14,0)+ROUND(Assumptions!$C$15,0)),0,-Assumptions!$C$9*Assumptions!$C$19/4*(1+Assumptions!$C$18)^(MAX(0,G$4-(ROUND(Assumptions!$C$14,0)+ROUND(Assumptions!$C$15,0)))/4))</f>
        <v>0</v>
      </c>
      <c r="H9" s="0" t="n">
        <f aca="false">IF(H$4&lt;(ROUND(Assumptions!$C$14,0)+ROUND(Assumptions!$C$15,0)),0,-Assumptions!$C$9*Assumptions!$C$19/4*(1+Assumptions!$C$18)^(MAX(0,H$4-(ROUND(Assumptions!$C$14,0)+ROUND(Assumptions!$C$15,0)))/4))</f>
        <v>0</v>
      </c>
      <c r="I9" s="0" t="n">
        <f aca="false">IF(I$4&lt;(ROUND(Assumptions!$C$14,0)+ROUND(Assumptions!$C$15,0)),0,-Assumptions!$C$9*Assumptions!$C$19/4*(1+Assumptions!$C$18)^(MAX(0,I$4-(ROUND(Assumptions!$C$14,0)+ROUND(Assumptions!$C$15,0)))/4))</f>
        <v>0</v>
      </c>
      <c r="J9" s="0" t="n">
        <f aca="false">IF(J$4&lt;(ROUND(Assumptions!$C$14,0)+ROUND(Assumptions!$C$15,0)),0,-Assumptions!$C$9*Assumptions!$C$19/4*(1+Assumptions!$C$18)^(MAX(0,J$4-(ROUND(Assumptions!$C$14,0)+ROUND(Assumptions!$C$15,0)))/4))</f>
        <v>-831250</v>
      </c>
      <c r="K9" s="0" t="n">
        <f aca="false">IF(K$4&lt;(ROUND(Assumptions!$C$14,0)+ROUND(Assumptions!$C$15,0)),0,-Assumptions!$C$9*Assumptions!$C$19/4*(1+Assumptions!$C$18)^(MAX(0,K$4-(ROUND(Assumptions!$C$14,0)+ROUND(Assumptions!$C$15,0)))/4))</f>
        <v>-837415.44091524</v>
      </c>
      <c r="L9" s="0" t="n">
        <f aca="false">IF(L$4&lt;(ROUND(Assumptions!$C$14,0)+ROUND(Assumptions!$C$15,0)),0,-Assumptions!$C$9*Assumptions!$C$19/4*(1+Assumptions!$C$18)^(MAX(0,L$4-(ROUND(Assumptions!$C$14,0)+ROUND(Assumptions!$C$15,0)))/4))</f>
        <v>-843626.611348291</v>
      </c>
      <c r="M9" s="0" t="n">
        <f aca="false">IF(M$4&lt;(ROUND(Assumptions!$C$14,0)+ROUND(Assumptions!$C$15,0)),0,-Assumptions!$C$9*Assumptions!$C$19/4*(1+Assumptions!$C$18)^(MAX(0,M$4-(ROUND(Assumptions!$C$14,0)+ROUND(Assumptions!$C$15,0)))/4))</f>
        <v>-849883.850478267</v>
      </c>
      <c r="N9" s="0" t="n">
        <f aca="false">IF(N$4&lt;(ROUND(Assumptions!$C$14,0)+ROUND(Assumptions!$C$15,0)),0,-Assumptions!$C$9*Assumptions!$C$19/4*(1+Assumptions!$C$18)^(MAX(0,N$4-(ROUND(Assumptions!$C$14,0)+ROUND(Assumptions!$C$15,0)))/4))</f>
        <v>-856187.5</v>
      </c>
      <c r="O9" s="0" t="n">
        <f aca="false">IF(O$4&lt;(ROUND(Assumptions!$C$14,0)+ROUND(Assumptions!$C$15,0)),0,-Assumptions!$C$9*Assumptions!$C$19/4*(1+Assumptions!$C$18)^(MAX(0,O$4-(ROUND(Assumptions!$C$14,0)+ROUND(Assumptions!$C$15,0)))/4))</f>
        <v>-862537.904142698</v>
      </c>
      <c r="P9" s="0" t="n">
        <f aca="false">IF(P$4&lt;(ROUND(Assumptions!$C$14,0)+ROUND(Assumptions!$C$15,0)),0,-Assumptions!$C$9*Assumptions!$C$19/4*(1+Assumptions!$C$18)^(MAX(0,P$4-(ROUND(Assumptions!$C$14,0)+ROUND(Assumptions!$C$15,0)))/4))</f>
        <v>-868935.40968874</v>
      </c>
      <c r="Q9" s="0" t="n">
        <f aca="false">IF(Q$4&lt;(ROUND(Assumptions!$C$14,0)+ROUND(Assumptions!$C$15,0)),0,-Assumptions!$C$9*Assumptions!$C$19/4*(1+Assumptions!$C$18)^(MAX(0,Q$4-(ROUND(Assumptions!$C$14,0)+ROUND(Assumptions!$C$15,0)))/4))</f>
        <v>-875380.365992615</v>
      </c>
      <c r="R9" s="0" t="n">
        <f aca="false">IF(R$4&lt;(ROUND(Assumptions!$C$14,0)+ROUND(Assumptions!$C$15,0)),0,-Assumptions!$C$9*Assumptions!$C$19/4*(1+Assumptions!$C$18)^(MAX(0,R$4-(ROUND(Assumptions!$C$14,0)+ROUND(Assumptions!$C$15,0)))/4))</f>
        <v>-881873.125</v>
      </c>
      <c r="S9" s="0" t="n">
        <f aca="false">IF(S$4&lt;(ROUND(Assumptions!$C$14,0)+ROUND(Assumptions!$C$15,0)),0,-Assumptions!$C$9*Assumptions!$C$19/4*(1+Assumptions!$C$18)^(MAX(0,S$4-(ROUND(Assumptions!$C$14,0)+ROUND(Assumptions!$C$15,0)))/4))</f>
        <v>-888414.041266979</v>
      </c>
      <c r="T9" s="0" t="n">
        <f aca="false">IF(T$4&lt;(ROUND(Assumptions!$C$14,0)+ROUND(Assumptions!$C$15,0)),0,-Assumptions!$C$9*Assumptions!$C$19/4*(1+Assumptions!$C$18)^(MAX(0,T$4-(ROUND(Assumptions!$C$14,0)+ROUND(Assumptions!$C$15,0)))/4))</f>
        <v>-895003.471979402</v>
      </c>
      <c r="U9" s="0" t="n">
        <f aca="false">IF(U$4&lt;(ROUND(Assumptions!$C$14,0)+ROUND(Assumptions!$C$15,0)),0,-Assumptions!$C$9*Assumptions!$C$19/4*(1+Assumptions!$C$18)^(MAX(0,U$4-(ROUND(Assumptions!$C$14,0)+ROUND(Assumptions!$C$15,0)))/4))</f>
        <v>-901641.776972393</v>
      </c>
      <c r="V9" s="0" t="n">
        <f aca="false">IF(V$4&lt;(ROUND(Assumptions!$C$14,0)+ROUND(Assumptions!$C$15,0)),0,-Assumptions!$C$9*Assumptions!$C$19/4*(1+Assumptions!$C$18)^(MAX(0,V$4-(ROUND(Assumptions!$C$14,0)+ROUND(Assumptions!$C$15,0)))/4))</f>
        <v>-908329.31875</v>
      </c>
      <c r="W9" s="0" t="n">
        <f aca="false">IF(W$4&lt;(ROUND(Assumptions!$C$14,0)+ROUND(Assumptions!$C$15,0)),0,-Assumptions!$C$9*Assumptions!$C$19/4*(1+Assumptions!$C$18)^(MAX(0,W$4-(ROUND(Assumptions!$C$14,0)+ROUND(Assumptions!$C$15,0)))/4))</f>
        <v>-915066.462504988</v>
      </c>
      <c r="X9" s="0" t="n">
        <f aca="false">IF(X$4&lt;(ROUND(Assumptions!$C$14,0)+ROUND(Assumptions!$C$15,0)),0,-Assumptions!$C$9*Assumptions!$C$19/4*(1+Assumptions!$C$18)^(MAX(0,X$4-(ROUND(Assumptions!$C$14,0)+ROUND(Assumptions!$C$15,0)))/4))</f>
        <v>-921853.576138784</v>
      </c>
      <c r="Y9" s="0" t="n">
        <f aca="false">IF(Y$4&lt;(ROUND(Assumptions!$C$14,0)+ROUND(Assumptions!$C$15,0)),0,-Assumptions!$C$9*Assumptions!$C$19/4*(1+Assumptions!$C$18)^(MAX(0,Y$4-(ROUND(Assumptions!$C$14,0)+ROUND(Assumptions!$C$15,0)))/4))</f>
        <v>-928691.030281565</v>
      </c>
      <c r="Z9" s="0" t="n">
        <f aca="false">IF(Z$4&lt;(ROUND(Assumptions!$C$14,0)+ROUND(Assumptions!$C$15,0)),0,-Assumptions!$C$9*Assumptions!$C$19/4*(1+Assumptions!$C$18)^(MAX(0,Z$4-(ROUND(Assumptions!$C$14,0)+ROUND(Assumptions!$C$15,0)))/4))</f>
        <v>-935579.1983125</v>
      </c>
      <c r="AA9" s="0" t="n">
        <f aca="false">IF(AA$4&lt;(ROUND(Assumptions!$C$14,0)+ROUND(Assumptions!$C$15,0)),0,-Assumptions!$C$9*Assumptions!$C$19/4*(1+Assumptions!$C$18)^(MAX(0,AA$4-(ROUND(Assumptions!$C$14,0)+ROUND(Assumptions!$C$15,0)))/4))</f>
        <v>-942518.456380138</v>
      </c>
      <c r="AB9" s="0" t="n">
        <f aca="false">IF(AB$4&lt;(ROUND(Assumptions!$C$14,0)+ROUND(Assumptions!$C$15,0)),0,-Assumptions!$C$9*Assumptions!$C$19/4*(1+Assumptions!$C$18)^(MAX(0,AB$4-(ROUND(Assumptions!$C$14,0)+ROUND(Assumptions!$C$15,0)))/4))</f>
        <v>-949509.183422947</v>
      </c>
      <c r="AC9" s="0" t="n">
        <f aca="false">IF(AC$4&lt;(ROUND(Assumptions!$C$14,0)+ROUND(Assumptions!$C$15,0)),0,-Assumptions!$C$9*Assumptions!$C$19/4*(1+Assumptions!$C$18)^(MAX(0,AC$4-(ROUND(Assumptions!$C$14,0)+ROUND(Assumptions!$C$15,0)))/4))</f>
        <v>-956551.761190012</v>
      </c>
      <c r="AD9" s="0" t="n">
        <f aca="false">IF(AD$4&lt;(ROUND(Assumptions!$C$14,0)+ROUND(Assumptions!$C$15,0)),0,-Assumptions!$C$9*Assumptions!$C$19/4*(1+Assumptions!$C$18)^(MAX(0,AD$4-(ROUND(Assumptions!$C$14,0)+ROUND(Assumptions!$C$15,0)))/4))</f>
        <v>-963646.574261875</v>
      </c>
      <c r="AE9" s="0" t="n">
        <f aca="false">IF(AE$4&lt;(ROUND(Assumptions!$C$14,0)+ROUND(Assumptions!$C$15,0)),0,-Assumptions!$C$9*Assumptions!$C$19/4*(1+Assumptions!$C$18)^(MAX(0,AE$4-(ROUND(Assumptions!$C$14,0)+ROUND(Assumptions!$C$15,0)))/4))</f>
        <v>-970794.010071542</v>
      </c>
      <c r="AF9" s="0" t="n">
        <f aca="false">IF(AF$4&lt;(ROUND(Assumptions!$C$14,0)+ROUND(Assumptions!$C$15,0)),0,-Assumptions!$C$9*Assumptions!$C$19/4*(1+Assumptions!$C$18)^(MAX(0,AF$4-(ROUND(Assumptions!$C$14,0)+ROUND(Assumptions!$C$15,0)))/4))</f>
        <v>-977994.458925636</v>
      </c>
      <c r="AG9" s="0" t="n">
        <f aca="false">IF(AG$4&lt;(ROUND(Assumptions!$C$14,0)+ROUND(Assumptions!$C$15,0)),0,-Assumptions!$C$9*Assumptions!$C$19/4*(1+Assumptions!$C$18)^(MAX(0,AG$4-(ROUND(Assumptions!$C$14,0)+ROUND(Assumptions!$C$15,0)))/4))</f>
        <v>-985248.314025712</v>
      </c>
      <c r="AH9" s="0" t="n">
        <f aca="false">IF(AH$4&lt;(ROUND(Assumptions!$C$14,0)+ROUND(Assumptions!$C$15,0)),0,-Assumptions!$C$9*Assumptions!$C$19/4*(1+Assumptions!$C$18)^(MAX(0,AH$4-(ROUND(Assumptions!$C$14,0)+ROUND(Assumptions!$C$15,0)))/4))</f>
        <v>-992555.971489731</v>
      </c>
      <c r="AI9" s="0" t="n">
        <f aca="false">IF(AI$4&lt;(ROUND(Assumptions!$C$14,0)+ROUND(Assumptions!$C$15,0)),0,-Assumptions!$C$9*Assumptions!$C$19/4*(1+Assumptions!$C$18)^(MAX(0,AI$4-(ROUND(Assumptions!$C$14,0)+ROUND(Assumptions!$C$15,0)))/4))</f>
        <v>-999917.830373688</v>
      </c>
    </row>
    <row r="10" customFormat="false" ht="15" hidden="false" customHeight="false" outlineLevel="0" collapsed="false">
      <c r="B10" s="0" t="s">
        <v>41</v>
      </c>
      <c r="C10" s="0" t="n">
        <f aca="false">C8+C9</f>
        <v>0</v>
      </c>
      <c r="D10" s="0" t="n">
        <f aca="false">D8+D9</f>
        <v>0</v>
      </c>
      <c r="E10" s="0" t="n">
        <f aca="false">E8+E9</f>
        <v>0</v>
      </c>
      <c r="F10" s="0" t="n">
        <f aca="false">F8+F9</f>
        <v>0</v>
      </c>
      <c r="G10" s="0" t="n">
        <f aca="false">G8+G9</f>
        <v>0</v>
      </c>
      <c r="H10" s="0" t="n">
        <f aca="false">H8+H9</f>
        <v>0</v>
      </c>
      <c r="I10" s="0" t="n">
        <f aca="false">I8+I9</f>
        <v>0</v>
      </c>
      <c r="J10" s="0" t="n">
        <f aca="false">J8+J9</f>
        <v>948170</v>
      </c>
      <c r="K10" s="0" t="n">
        <f aca="false">K8+K9</f>
        <v>2747820.73081023</v>
      </c>
      <c r="L10" s="0" t="n">
        <f aca="false">L8+L9</f>
        <v>4574115.57727863</v>
      </c>
      <c r="M10" s="0" t="n">
        <f aca="false">M8+M9</f>
        <v>6427350.77793936</v>
      </c>
      <c r="N10" s="0" t="n">
        <f aca="false">N8+N9</f>
        <v>6475022.9</v>
      </c>
      <c r="O10" s="0" t="n">
        <f aca="false">O8+O9</f>
        <v>6523048.60961177</v>
      </c>
      <c r="P10" s="0" t="n">
        <f aca="false">P8+P9</f>
        <v>6571430.5293589</v>
      </c>
      <c r="Q10" s="0" t="n">
        <f aca="false">Q8+Q9</f>
        <v>6620171.30127754</v>
      </c>
      <c r="R10" s="0" t="n">
        <f aca="false">R8+R9</f>
        <v>6669273.587</v>
      </c>
      <c r="S10" s="0" t="n">
        <f aca="false">S8+S9</f>
        <v>6718740.06790012</v>
      </c>
      <c r="T10" s="0" t="n">
        <f aca="false">T8+T9</f>
        <v>6768573.44523966</v>
      </c>
      <c r="U10" s="0" t="n">
        <f aca="false">U8+U9</f>
        <v>6818776.44031586</v>
      </c>
      <c r="V10" s="0" t="n">
        <f aca="false">V8+V9</f>
        <v>6869351.79461</v>
      </c>
      <c r="W10" s="0" t="n">
        <f aca="false">W8+W9</f>
        <v>6920302.26993712</v>
      </c>
      <c r="X10" s="0" t="n">
        <f aca="false">X8+X9</f>
        <v>6971630.64859685</v>
      </c>
      <c r="Y10" s="0" t="n">
        <f aca="false">Y8+Y9</f>
        <v>7023339.73352534</v>
      </c>
      <c r="Z10" s="0" t="n">
        <f aca="false">Z8+Z9</f>
        <v>7075432.3484483</v>
      </c>
      <c r="AA10" s="0" t="n">
        <f aca="false">AA8+AA9</f>
        <v>7127911.33803524</v>
      </c>
      <c r="AB10" s="0" t="n">
        <f aca="false">AB8+AB9</f>
        <v>7180779.56805476</v>
      </c>
      <c r="AC10" s="0" t="n">
        <f aca="false">AC8+AC9</f>
        <v>7234039.9255311</v>
      </c>
      <c r="AD10" s="0" t="n">
        <f aca="false">AD8+AD9</f>
        <v>7287695.31890175</v>
      </c>
      <c r="AE10" s="0" t="n">
        <f aca="false">AE8+AE9</f>
        <v>7341748.67817629</v>
      </c>
      <c r="AF10" s="0" t="n">
        <f aca="false">AF8+AF9</f>
        <v>7396202.9550964</v>
      </c>
      <c r="AG10" s="0" t="n">
        <f aca="false">AG8+AG9</f>
        <v>7451061.12329703</v>
      </c>
      <c r="AH10" s="0" t="n">
        <f aca="false">AH8+AH9</f>
        <v>7506326.1784688</v>
      </c>
      <c r="AI10" s="0" t="n">
        <f aca="false">AI8+AI9</f>
        <v>7562001.13852158</v>
      </c>
    </row>
    <row r="12" customFormat="false" ht="15" hidden="false" customHeight="false" outlineLevel="0" collapsed="false">
      <c r="B12" s="0" t="s">
        <v>17</v>
      </c>
      <c r="C12" s="0" t="n">
        <f aca="false">IF(C$4=0,-Assumptions!$C$11,0)</f>
        <v>-38000000</v>
      </c>
      <c r="D12" s="0" t="n">
        <f aca="false">IF(D$4=0,-Assumptions!$C$11,0)</f>
        <v>0</v>
      </c>
      <c r="E12" s="0" t="n">
        <f aca="false">IF(E$4=0,-Assumptions!$C$11,0)</f>
        <v>0</v>
      </c>
      <c r="F12" s="0" t="n">
        <f aca="false">IF(F$4=0,-Assumptions!$C$11,0)</f>
        <v>0</v>
      </c>
      <c r="G12" s="0" t="n">
        <f aca="false">IF(G$4=0,-Assumptions!$C$11,0)</f>
        <v>0</v>
      </c>
      <c r="H12" s="0" t="n">
        <f aca="false">IF(H$4=0,-Assumptions!$C$11,0)</f>
        <v>0</v>
      </c>
      <c r="I12" s="0" t="n">
        <f aca="false">IF(I$4=0,-Assumptions!$C$11,0)</f>
        <v>0</v>
      </c>
      <c r="J12" s="0" t="n">
        <f aca="false">IF(J$4=0,-Assumptions!$C$11,0)</f>
        <v>0</v>
      </c>
      <c r="K12" s="0" t="n">
        <f aca="false">IF(K$4=0,-Assumptions!$C$11,0)</f>
        <v>0</v>
      </c>
      <c r="L12" s="0" t="n">
        <f aca="false">IF(L$4=0,-Assumptions!$C$11,0)</f>
        <v>0</v>
      </c>
      <c r="M12" s="0" t="n">
        <f aca="false">IF(M$4=0,-Assumptions!$C$11,0)</f>
        <v>0</v>
      </c>
      <c r="N12" s="0" t="n">
        <f aca="false">IF(N$4=0,-Assumptions!$C$11,0)</f>
        <v>0</v>
      </c>
      <c r="O12" s="0" t="n">
        <f aca="false">IF(O$4=0,-Assumptions!$C$11,0)</f>
        <v>0</v>
      </c>
      <c r="P12" s="0" t="n">
        <f aca="false">IF(P$4=0,-Assumptions!$C$11,0)</f>
        <v>0</v>
      </c>
      <c r="Q12" s="0" t="n">
        <f aca="false">IF(Q$4=0,-Assumptions!$C$11,0)</f>
        <v>0</v>
      </c>
      <c r="R12" s="0" t="n">
        <f aca="false">IF(R$4=0,-Assumptions!$C$11,0)</f>
        <v>0</v>
      </c>
      <c r="S12" s="0" t="n">
        <f aca="false">IF(S$4=0,-Assumptions!$C$11,0)</f>
        <v>0</v>
      </c>
      <c r="T12" s="0" t="n">
        <f aca="false">IF(T$4=0,-Assumptions!$C$11,0)</f>
        <v>0</v>
      </c>
      <c r="U12" s="0" t="n">
        <f aca="false">IF(U$4=0,-Assumptions!$C$11,0)</f>
        <v>0</v>
      </c>
      <c r="V12" s="0" t="n">
        <f aca="false">IF(V$4=0,-Assumptions!$C$11,0)</f>
        <v>0</v>
      </c>
      <c r="W12" s="0" t="n">
        <f aca="false">IF(W$4=0,-Assumptions!$C$11,0)</f>
        <v>0</v>
      </c>
      <c r="X12" s="0" t="n">
        <f aca="false">IF(X$4=0,-Assumptions!$C$11,0)</f>
        <v>0</v>
      </c>
      <c r="Y12" s="0" t="n">
        <f aca="false">IF(Y$4=0,-Assumptions!$C$11,0)</f>
        <v>0</v>
      </c>
      <c r="Z12" s="0" t="n">
        <f aca="false">IF(Z$4=0,-Assumptions!$C$11,0)</f>
        <v>0</v>
      </c>
      <c r="AA12" s="0" t="n">
        <f aca="false">IF(AA$4=0,-Assumptions!$C$11,0)</f>
        <v>0</v>
      </c>
      <c r="AB12" s="0" t="n">
        <f aca="false">IF(AB$4=0,-Assumptions!$C$11,0)</f>
        <v>0</v>
      </c>
      <c r="AC12" s="0" t="n">
        <f aca="false">IF(AC$4=0,-Assumptions!$C$11,0)</f>
        <v>0</v>
      </c>
      <c r="AD12" s="0" t="n">
        <f aca="false">IF(AD$4=0,-Assumptions!$C$11,0)</f>
        <v>0</v>
      </c>
      <c r="AE12" s="0" t="n">
        <f aca="false">IF(AE$4=0,-Assumptions!$C$11,0)</f>
        <v>0</v>
      </c>
      <c r="AF12" s="0" t="n">
        <f aca="false">IF(AF$4=0,-Assumptions!$C$11,0)</f>
        <v>0</v>
      </c>
      <c r="AG12" s="0" t="n">
        <f aca="false">IF(AG$4=0,-Assumptions!$C$11,0)</f>
        <v>0</v>
      </c>
      <c r="AH12" s="0" t="n">
        <f aca="false">IF(AH$4=0,-Assumptions!$C$11,0)</f>
        <v>0</v>
      </c>
      <c r="AI12" s="0" t="n">
        <f aca="false">IF(AI$4=0,-Assumptions!$C$11,0)</f>
        <v>0</v>
      </c>
    </row>
    <row r="13" customFormat="false" ht="15" hidden="false" customHeight="false" outlineLevel="0" collapsed="false">
      <c r="B13" s="0" t="s">
        <v>42</v>
      </c>
      <c r="C13" s="0" t="n">
        <f aca="false">-(SUMPRODUCT(Assumptions!$C$5:$C$8,Assumptions!$D$5:$D$8)*Assumptions!$C$12)*C6</f>
        <v>-0</v>
      </c>
      <c r="D13" s="0" t="n">
        <f aca="false">-(SUMPRODUCT(Assumptions!$C$5:$C$8,Assumptions!$D$5:$D$8)*Assumptions!$C$12)*D6</f>
        <v>-36987500</v>
      </c>
      <c r="E13" s="0" t="n">
        <f aca="false">-(SUMPRODUCT(Assumptions!$C$5:$C$8,Assumptions!$D$5:$D$8)*Assumptions!$C$12)*E6</f>
        <v>-36987500</v>
      </c>
      <c r="F13" s="0" t="n">
        <f aca="false">-(SUMPRODUCT(Assumptions!$C$5:$C$8,Assumptions!$D$5:$D$8)*Assumptions!$C$12)*F6</f>
        <v>-36987500</v>
      </c>
      <c r="G13" s="0" t="n">
        <f aca="false">-(SUMPRODUCT(Assumptions!$C$5:$C$8,Assumptions!$D$5:$D$8)*Assumptions!$C$12)*G6</f>
        <v>-36987500</v>
      </c>
      <c r="H13" s="0" t="n">
        <f aca="false">-(SUMPRODUCT(Assumptions!$C$5:$C$8,Assumptions!$D$5:$D$8)*Assumptions!$C$12)*H6</f>
        <v>-36987500</v>
      </c>
      <c r="I13" s="0" t="n">
        <f aca="false">-(SUMPRODUCT(Assumptions!$C$5:$C$8,Assumptions!$D$5:$D$8)*Assumptions!$C$12)*I6</f>
        <v>-36987500</v>
      </c>
      <c r="J13" s="0" t="n">
        <f aca="false">-(SUMPRODUCT(Assumptions!$C$5:$C$8,Assumptions!$D$5:$D$8)*Assumptions!$C$12)*J6</f>
        <v>-0</v>
      </c>
      <c r="K13" s="0" t="n">
        <f aca="false">-(SUMPRODUCT(Assumptions!$C$5:$C$8,Assumptions!$D$5:$D$8)*Assumptions!$C$12)*K6</f>
        <v>-0</v>
      </c>
      <c r="L13" s="0" t="n">
        <f aca="false">-(SUMPRODUCT(Assumptions!$C$5:$C$8,Assumptions!$D$5:$D$8)*Assumptions!$C$12)*L6</f>
        <v>-0</v>
      </c>
      <c r="M13" s="0" t="n">
        <f aca="false">-(SUMPRODUCT(Assumptions!$C$5:$C$8,Assumptions!$D$5:$D$8)*Assumptions!$C$12)*M6</f>
        <v>-0</v>
      </c>
      <c r="N13" s="0" t="n">
        <f aca="false">-(SUMPRODUCT(Assumptions!$C$5:$C$8,Assumptions!$D$5:$D$8)*Assumptions!$C$12)*N6</f>
        <v>-0</v>
      </c>
      <c r="O13" s="0" t="n">
        <f aca="false">-(SUMPRODUCT(Assumptions!$C$5:$C$8,Assumptions!$D$5:$D$8)*Assumptions!$C$12)*O6</f>
        <v>-0</v>
      </c>
      <c r="P13" s="0" t="n">
        <f aca="false">-(SUMPRODUCT(Assumptions!$C$5:$C$8,Assumptions!$D$5:$D$8)*Assumptions!$C$12)*P6</f>
        <v>-0</v>
      </c>
      <c r="Q13" s="0" t="n">
        <f aca="false">-(SUMPRODUCT(Assumptions!$C$5:$C$8,Assumptions!$D$5:$D$8)*Assumptions!$C$12)*Q6</f>
        <v>-0</v>
      </c>
      <c r="R13" s="0" t="n">
        <f aca="false">-(SUMPRODUCT(Assumptions!$C$5:$C$8,Assumptions!$D$5:$D$8)*Assumptions!$C$12)*R6</f>
        <v>-0</v>
      </c>
      <c r="S13" s="0" t="n">
        <f aca="false">-(SUMPRODUCT(Assumptions!$C$5:$C$8,Assumptions!$D$5:$D$8)*Assumptions!$C$12)*S6</f>
        <v>-0</v>
      </c>
      <c r="T13" s="0" t="n">
        <f aca="false">-(SUMPRODUCT(Assumptions!$C$5:$C$8,Assumptions!$D$5:$D$8)*Assumptions!$C$12)*T6</f>
        <v>-0</v>
      </c>
      <c r="U13" s="0" t="n">
        <f aca="false">-(SUMPRODUCT(Assumptions!$C$5:$C$8,Assumptions!$D$5:$D$8)*Assumptions!$C$12)*U6</f>
        <v>-0</v>
      </c>
      <c r="V13" s="0" t="n">
        <f aca="false">-(SUMPRODUCT(Assumptions!$C$5:$C$8,Assumptions!$D$5:$D$8)*Assumptions!$C$12)*V6</f>
        <v>-0</v>
      </c>
      <c r="W13" s="0" t="n">
        <f aca="false">-(SUMPRODUCT(Assumptions!$C$5:$C$8,Assumptions!$D$5:$D$8)*Assumptions!$C$12)*W6</f>
        <v>-0</v>
      </c>
      <c r="X13" s="0" t="n">
        <f aca="false">-(SUMPRODUCT(Assumptions!$C$5:$C$8,Assumptions!$D$5:$D$8)*Assumptions!$C$12)*X6</f>
        <v>-0</v>
      </c>
      <c r="Y13" s="0" t="n">
        <f aca="false">-(SUMPRODUCT(Assumptions!$C$5:$C$8,Assumptions!$D$5:$D$8)*Assumptions!$C$12)*Y6</f>
        <v>-0</v>
      </c>
      <c r="Z13" s="0" t="n">
        <f aca="false">-(SUMPRODUCT(Assumptions!$C$5:$C$8,Assumptions!$D$5:$D$8)*Assumptions!$C$12)*Z6</f>
        <v>-0</v>
      </c>
      <c r="AA13" s="0" t="n">
        <f aca="false">-(SUMPRODUCT(Assumptions!$C$5:$C$8,Assumptions!$D$5:$D$8)*Assumptions!$C$12)*AA6</f>
        <v>-0</v>
      </c>
      <c r="AB13" s="0" t="n">
        <f aca="false">-(SUMPRODUCT(Assumptions!$C$5:$C$8,Assumptions!$D$5:$D$8)*Assumptions!$C$12)*AB6</f>
        <v>-0</v>
      </c>
      <c r="AC13" s="0" t="n">
        <f aca="false">-(SUMPRODUCT(Assumptions!$C$5:$C$8,Assumptions!$D$5:$D$8)*Assumptions!$C$12)*AC6</f>
        <v>-0</v>
      </c>
      <c r="AD13" s="0" t="n">
        <f aca="false">-(SUMPRODUCT(Assumptions!$C$5:$C$8,Assumptions!$D$5:$D$8)*Assumptions!$C$12)*AD6</f>
        <v>-0</v>
      </c>
      <c r="AE13" s="0" t="n">
        <f aca="false">-(SUMPRODUCT(Assumptions!$C$5:$C$8,Assumptions!$D$5:$D$8)*Assumptions!$C$12)*AE6</f>
        <v>-0</v>
      </c>
      <c r="AF13" s="0" t="n">
        <f aca="false">-(SUMPRODUCT(Assumptions!$C$5:$C$8,Assumptions!$D$5:$D$8)*Assumptions!$C$12)*AF6</f>
        <v>-0</v>
      </c>
      <c r="AG13" s="0" t="n">
        <f aca="false">-(SUMPRODUCT(Assumptions!$C$5:$C$8,Assumptions!$D$5:$D$8)*Assumptions!$C$12)*AG6</f>
        <v>-0</v>
      </c>
      <c r="AH13" s="0" t="n">
        <f aca="false">-(SUMPRODUCT(Assumptions!$C$5:$C$8,Assumptions!$D$5:$D$8)*Assumptions!$C$12)*AH6</f>
        <v>-0</v>
      </c>
      <c r="AI13" s="0" t="n">
        <f aca="false">-(SUMPRODUCT(Assumptions!$C$5:$C$8,Assumptions!$D$5:$D$8)*Assumptions!$C$12)*AI6</f>
        <v>-0</v>
      </c>
    </row>
    <row r="14" customFormat="false" ht="15" hidden="false" customHeight="false" outlineLevel="0" collapsed="false">
      <c r="B14" s="0" t="s">
        <v>43</v>
      </c>
      <c r="C14" s="0" t="n">
        <f aca="false">C13*Assumptions!$C$13</f>
        <v>-0</v>
      </c>
      <c r="D14" s="0" t="n">
        <f aca="false">D13*Assumptions!$C$13</f>
        <v>-4068625</v>
      </c>
      <c r="E14" s="0" t="n">
        <f aca="false">E13*Assumptions!$C$13</f>
        <v>-4068625</v>
      </c>
      <c r="F14" s="0" t="n">
        <f aca="false">F13*Assumptions!$C$13</f>
        <v>-4068625</v>
      </c>
      <c r="G14" s="0" t="n">
        <f aca="false">G13*Assumptions!$C$13</f>
        <v>-4068625</v>
      </c>
      <c r="H14" s="0" t="n">
        <f aca="false">H13*Assumptions!$C$13</f>
        <v>-4068625</v>
      </c>
      <c r="I14" s="0" t="n">
        <f aca="false">I13*Assumptions!$C$13</f>
        <v>-4068625</v>
      </c>
      <c r="J14" s="0" t="n">
        <f aca="false">J13*Assumptions!$C$13</f>
        <v>-0</v>
      </c>
      <c r="K14" s="0" t="n">
        <f aca="false">K13*Assumptions!$C$13</f>
        <v>-0</v>
      </c>
      <c r="L14" s="0" t="n">
        <f aca="false">L13*Assumptions!$C$13</f>
        <v>-0</v>
      </c>
      <c r="M14" s="0" t="n">
        <f aca="false">M13*Assumptions!$C$13</f>
        <v>-0</v>
      </c>
      <c r="N14" s="0" t="n">
        <f aca="false">N13*Assumptions!$C$13</f>
        <v>-0</v>
      </c>
      <c r="O14" s="0" t="n">
        <f aca="false">O13*Assumptions!$C$13</f>
        <v>-0</v>
      </c>
      <c r="P14" s="0" t="n">
        <f aca="false">P13*Assumptions!$C$13</f>
        <v>-0</v>
      </c>
      <c r="Q14" s="0" t="n">
        <f aca="false">Q13*Assumptions!$C$13</f>
        <v>-0</v>
      </c>
      <c r="R14" s="0" t="n">
        <f aca="false">R13*Assumptions!$C$13</f>
        <v>-0</v>
      </c>
      <c r="S14" s="0" t="n">
        <f aca="false">S13*Assumptions!$C$13</f>
        <v>-0</v>
      </c>
      <c r="T14" s="0" t="n">
        <f aca="false">T13*Assumptions!$C$13</f>
        <v>-0</v>
      </c>
      <c r="U14" s="0" t="n">
        <f aca="false">U13*Assumptions!$C$13</f>
        <v>-0</v>
      </c>
      <c r="V14" s="0" t="n">
        <f aca="false">V13*Assumptions!$C$13</f>
        <v>-0</v>
      </c>
      <c r="W14" s="0" t="n">
        <f aca="false">W13*Assumptions!$C$13</f>
        <v>-0</v>
      </c>
      <c r="X14" s="0" t="n">
        <f aca="false">X13*Assumptions!$C$13</f>
        <v>-0</v>
      </c>
      <c r="Y14" s="0" t="n">
        <f aca="false">Y13*Assumptions!$C$13</f>
        <v>-0</v>
      </c>
      <c r="Z14" s="0" t="n">
        <f aca="false">Z13*Assumptions!$C$13</f>
        <v>-0</v>
      </c>
      <c r="AA14" s="0" t="n">
        <f aca="false">AA13*Assumptions!$C$13</f>
        <v>-0</v>
      </c>
      <c r="AB14" s="0" t="n">
        <f aca="false">AB13*Assumptions!$C$13</f>
        <v>-0</v>
      </c>
      <c r="AC14" s="0" t="n">
        <f aca="false">AC13*Assumptions!$C$13</f>
        <v>-0</v>
      </c>
      <c r="AD14" s="0" t="n">
        <f aca="false">AD13*Assumptions!$C$13</f>
        <v>-0</v>
      </c>
      <c r="AE14" s="0" t="n">
        <f aca="false">AE13*Assumptions!$C$13</f>
        <v>-0</v>
      </c>
      <c r="AF14" s="0" t="n">
        <f aca="false">AF13*Assumptions!$C$13</f>
        <v>-0</v>
      </c>
      <c r="AG14" s="0" t="n">
        <f aca="false">AG13*Assumptions!$C$13</f>
        <v>-0</v>
      </c>
      <c r="AH14" s="0" t="n">
        <f aca="false">AH13*Assumptions!$C$13</f>
        <v>-0</v>
      </c>
      <c r="AI14" s="0" t="n">
        <f aca="false">AI13*Assumptions!$C$13</f>
        <v>-0</v>
      </c>
    </row>
    <row r="15" customFormat="false" ht="15" hidden="false" customHeight="false" outlineLevel="0" collapsed="false">
      <c r="B15" s="0" t="s">
        <v>44</v>
      </c>
      <c r="C15" s="0" t="n">
        <f aca="false">IF(C$4=ROUND(Assumptions!$C$20,0),D10*4/Assumptions!$C$21*(1-Assumptions!$C$22),0)</f>
        <v>0</v>
      </c>
      <c r="D15" s="0" t="n">
        <f aca="false">IF(D$4=ROUND(Assumptions!$C$20,0),E10*4/Assumptions!$C$21*(1-Assumptions!$C$22),0)</f>
        <v>0</v>
      </c>
      <c r="E15" s="0" t="n">
        <f aca="false">IF(E$4=ROUND(Assumptions!$C$20,0),F10*4/Assumptions!$C$21*(1-Assumptions!$C$22),0)</f>
        <v>0</v>
      </c>
      <c r="F15" s="0" t="n">
        <f aca="false">IF(F$4=ROUND(Assumptions!$C$20,0),G10*4/Assumptions!$C$21*(1-Assumptions!$C$22),0)</f>
        <v>0</v>
      </c>
      <c r="G15" s="0" t="n">
        <f aca="false">IF(G$4=ROUND(Assumptions!$C$20,0),H10*4/Assumptions!$C$21*(1-Assumptions!$C$22),0)</f>
        <v>0</v>
      </c>
      <c r="H15" s="0" t="n">
        <f aca="false">IF(H$4=ROUND(Assumptions!$C$20,0),I10*4/Assumptions!$C$21*(1-Assumptions!$C$22),0)</f>
        <v>0</v>
      </c>
      <c r="I15" s="0" t="n">
        <f aca="false">IF(I$4=ROUND(Assumptions!$C$20,0),J10*4/Assumptions!$C$21*(1-Assumptions!$C$22),0)</f>
        <v>0</v>
      </c>
      <c r="J15" s="0" t="n">
        <f aca="false">IF(J$4=ROUND(Assumptions!$C$20,0),K10*4/Assumptions!$C$21*(1-Assumptions!$C$22),0)</f>
        <v>0</v>
      </c>
      <c r="K15" s="0" t="n">
        <f aca="false">IF(K$4=ROUND(Assumptions!$C$20,0),L10*4/Assumptions!$C$21*(1-Assumptions!$C$22),0)</f>
        <v>0</v>
      </c>
      <c r="L15" s="0" t="n">
        <f aca="false">IF(L$4=ROUND(Assumptions!$C$20,0),M10*4/Assumptions!$C$21*(1-Assumptions!$C$22),0)</f>
        <v>0</v>
      </c>
      <c r="M15" s="0" t="n">
        <f aca="false">IF(M$4=ROUND(Assumptions!$C$20,0),N10*4/Assumptions!$C$21*(1-Assumptions!$C$22),0)</f>
        <v>0</v>
      </c>
      <c r="N15" s="0" t="n">
        <f aca="false">IF(N$4=ROUND(Assumptions!$C$20,0),O10*4/Assumptions!$C$21*(1-Assumptions!$C$22),0)</f>
        <v>0</v>
      </c>
      <c r="O15" s="0" t="n">
        <f aca="false">IF(O$4=ROUND(Assumptions!$C$20,0),P10*4/Assumptions!$C$21*(1-Assumptions!$C$22),0)</f>
        <v>0</v>
      </c>
      <c r="P15" s="0" t="n">
        <f aca="false">IF(P$4=ROUND(Assumptions!$C$20,0),Q10*4/Assumptions!$C$21*(1-Assumptions!$C$22),0)</f>
        <v>0</v>
      </c>
      <c r="Q15" s="0" t="n">
        <f aca="false">IF(Q$4=ROUND(Assumptions!$C$20,0),R10*4/Assumptions!$C$21*(1-Assumptions!$C$22),0)</f>
        <v>0</v>
      </c>
      <c r="R15" s="0" t="n">
        <f aca="false">IF(R$4=ROUND(Assumptions!$C$20,0),S10*4/Assumptions!$C$21*(1-Assumptions!$C$22),0)</f>
        <v>0</v>
      </c>
      <c r="S15" s="0" t="n">
        <f aca="false">IF(S$4=ROUND(Assumptions!$C$20,0),T10*4/Assumptions!$C$21*(1-Assumptions!$C$22),0)</f>
        <v>0</v>
      </c>
      <c r="T15" s="0" t="n">
        <f aca="false">IF(T$4=ROUND(Assumptions!$C$20,0),U10*4/Assumptions!$C$21*(1-Assumptions!$C$22),0)</f>
        <v>0</v>
      </c>
      <c r="U15" s="0" t="n">
        <f aca="false">IF(U$4=ROUND(Assumptions!$C$20,0),V10*4/Assumptions!$C$21*(1-Assumptions!$C$22),0)</f>
        <v>0</v>
      </c>
      <c r="V15" s="0" t="n">
        <f aca="false">IF(V$4=ROUND(Assumptions!$C$20,0),W10*4/Assumptions!$C$21*(1-Assumptions!$C$22),0)</f>
        <v>0</v>
      </c>
      <c r="W15" s="0" t="n">
        <f aca="false">IF(W$4=ROUND(Assumptions!$C$20,0),X10*4/Assumptions!$C$21*(1-Assumptions!$C$22),0)</f>
        <v>0</v>
      </c>
      <c r="X15" s="0" t="n">
        <f aca="false">IF(X$4=ROUND(Assumptions!$C$20,0),Y10*4/Assumptions!$C$21*(1-Assumptions!$C$22),0)</f>
        <v>0</v>
      </c>
      <c r="Y15" s="0" t="n">
        <f aca="false">IF(Y$4=ROUND(Assumptions!$C$20,0),Z10*4/Assumptions!$C$21*(1-Assumptions!$C$22),0)</f>
        <v>0</v>
      </c>
      <c r="Z15" s="0" t="n">
        <f aca="false">IF(Z$4=ROUND(Assumptions!$C$20,0),AA10*4/Assumptions!$C$21*(1-Assumptions!$C$22),0)</f>
        <v>0</v>
      </c>
      <c r="AA15" s="0" t="n">
        <f aca="false">IF(AA$4=ROUND(Assumptions!$C$20,0),AB10*4/Assumptions!$C$21*(1-Assumptions!$C$22),0)</f>
        <v>0</v>
      </c>
      <c r="AB15" s="0" t="n">
        <f aca="false">IF(AB$4=ROUND(Assumptions!$C$20,0),AC10*4/Assumptions!$C$21*(1-Assumptions!$C$22),0)</f>
        <v>0</v>
      </c>
      <c r="AC15" s="0" t="n">
        <f aca="false">IF(AC$4=ROUND(Assumptions!$C$20,0),AD10*4/Assumptions!$C$21*(1-Assumptions!$C$22),0)</f>
        <v>0</v>
      </c>
      <c r="AD15" s="0" t="n">
        <f aca="false">IF(AD$4=ROUND(Assumptions!$C$20,0),AE10*4/Assumptions!$C$21*(1-Assumptions!$C$22),0)</f>
        <v>0</v>
      </c>
      <c r="AE15" s="0" t="n">
        <f aca="false">IF(AE$4=ROUND(Assumptions!$C$20,0),AF10*4/Assumptions!$C$21*(1-Assumptions!$C$22),0)</f>
        <v>448323686.816613</v>
      </c>
      <c r="AF15" s="0" t="n">
        <f aca="false">IF(AF$4=ROUND(Assumptions!$C$20,0),AG10*4/Assumptions!$C$21*(1-Assumptions!$C$22),0)</f>
        <v>0</v>
      </c>
      <c r="AG15" s="0" t="n">
        <f aca="false">IF(AG$4=ROUND(Assumptions!$C$20,0),AH10*4/Assumptions!$C$21*(1-Assumptions!$C$22),0)</f>
        <v>0</v>
      </c>
      <c r="AH15" s="0" t="n">
        <f aca="false">IF(AH$4=ROUND(Assumptions!$C$20,0),AI10*4/Assumptions!$C$21*(1-Assumptions!$C$22),0)</f>
        <v>0</v>
      </c>
      <c r="AI15" s="0" t="n">
        <f aca="false">0</f>
        <v>0</v>
      </c>
    </row>
    <row r="16" customFormat="false" ht="15" hidden="false" customHeight="false" outlineLevel="0" collapsed="false">
      <c r="B16" s="0" t="s">
        <v>45</v>
      </c>
      <c r="C16" s="0" t="n">
        <f aca="false">IF(C$4&gt;ROUND(Assumptions!$C$20,0),0,C10+C12+C13+C14+C15)</f>
        <v>-38000000</v>
      </c>
      <c r="D16" s="0" t="n">
        <f aca="false">IF(D$4&gt;ROUND(Assumptions!$C$20,0),0,D10+D12+D13+D14+D15)</f>
        <v>-41056125</v>
      </c>
      <c r="E16" s="0" t="n">
        <f aca="false">IF(E$4&gt;ROUND(Assumptions!$C$20,0),0,E10+E12+E13+E14+E15)</f>
        <v>-41056125</v>
      </c>
      <c r="F16" s="0" t="n">
        <f aca="false">IF(F$4&gt;ROUND(Assumptions!$C$20,0),0,F10+F12+F13+F14+F15)</f>
        <v>-41056125</v>
      </c>
      <c r="G16" s="0" t="n">
        <f aca="false">IF(G$4&gt;ROUND(Assumptions!$C$20,0),0,G10+G12+G13+G14+G15)</f>
        <v>-41056125</v>
      </c>
      <c r="H16" s="0" t="n">
        <f aca="false">IF(H$4&gt;ROUND(Assumptions!$C$20,0),0,H10+H12+H13+H14+H15)</f>
        <v>-41056125</v>
      </c>
      <c r="I16" s="0" t="n">
        <f aca="false">IF(I$4&gt;ROUND(Assumptions!$C$20,0),0,I10+I12+I13+I14+I15)</f>
        <v>-41056125</v>
      </c>
      <c r="J16" s="0" t="n">
        <f aca="false">IF(J$4&gt;ROUND(Assumptions!$C$20,0),0,J10+J12+J13+J14+J15)</f>
        <v>948170</v>
      </c>
      <c r="K16" s="0" t="n">
        <f aca="false">IF(K$4&gt;ROUND(Assumptions!$C$20,0),0,K10+K12+K13+K14+K15)</f>
        <v>2747820.73081023</v>
      </c>
      <c r="L16" s="0" t="n">
        <f aca="false">IF(L$4&gt;ROUND(Assumptions!$C$20,0),0,L10+L12+L13+L14+L15)</f>
        <v>4574115.57727863</v>
      </c>
      <c r="M16" s="0" t="n">
        <f aca="false">IF(M$4&gt;ROUND(Assumptions!$C$20,0),0,M10+M12+M13+M14+M15)</f>
        <v>6427350.77793936</v>
      </c>
      <c r="N16" s="0" t="n">
        <f aca="false">IF(N$4&gt;ROUND(Assumptions!$C$20,0),0,N10+N12+N13+N14+N15)</f>
        <v>6475022.9</v>
      </c>
      <c r="O16" s="0" t="n">
        <f aca="false">IF(O$4&gt;ROUND(Assumptions!$C$20,0),0,O10+O12+O13+O14+O15)</f>
        <v>6523048.60961177</v>
      </c>
      <c r="P16" s="0" t="n">
        <f aca="false">IF(P$4&gt;ROUND(Assumptions!$C$20,0),0,P10+P12+P13+P14+P15)</f>
        <v>6571430.5293589</v>
      </c>
      <c r="Q16" s="0" t="n">
        <f aca="false">IF(Q$4&gt;ROUND(Assumptions!$C$20,0),0,Q10+Q12+Q13+Q14+Q15)</f>
        <v>6620171.30127754</v>
      </c>
      <c r="R16" s="0" t="n">
        <f aca="false">IF(R$4&gt;ROUND(Assumptions!$C$20,0),0,R10+R12+R13+R14+R15)</f>
        <v>6669273.587</v>
      </c>
      <c r="S16" s="0" t="n">
        <f aca="false">IF(S$4&gt;ROUND(Assumptions!$C$20,0),0,S10+S12+S13+S14+S15)</f>
        <v>6718740.06790012</v>
      </c>
      <c r="T16" s="0" t="n">
        <f aca="false">IF(T$4&gt;ROUND(Assumptions!$C$20,0),0,T10+T12+T13+T14+T15)</f>
        <v>6768573.44523966</v>
      </c>
      <c r="U16" s="0" t="n">
        <f aca="false">IF(U$4&gt;ROUND(Assumptions!$C$20,0),0,U10+U12+U13+U14+U15)</f>
        <v>6818776.44031586</v>
      </c>
      <c r="V16" s="0" t="n">
        <f aca="false">IF(V$4&gt;ROUND(Assumptions!$C$20,0),0,V10+V12+V13+V14+V15)</f>
        <v>6869351.79461</v>
      </c>
      <c r="W16" s="0" t="n">
        <f aca="false">IF(W$4&gt;ROUND(Assumptions!$C$20,0),0,W10+W12+W13+W14+W15)</f>
        <v>6920302.26993712</v>
      </c>
      <c r="X16" s="0" t="n">
        <f aca="false">IF(X$4&gt;ROUND(Assumptions!$C$20,0),0,X10+X12+X13+X14+X15)</f>
        <v>6971630.64859685</v>
      </c>
      <c r="Y16" s="0" t="n">
        <f aca="false">IF(Y$4&gt;ROUND(Assumptions!$C$20,0),0,Y10+Y12+Y13+Y14+Y15)</f>
        <v>7023339.73352534</v>
      </c>
      <c r="Z16" s="0" t="n">
        <f aca="false">IF(Z$4&gt;ROUND(Assumptions!$C$20,0),0,Z10+Z12+Z13+Z14+Z15)</f>
        <v>7075432.3484483</v>
      </c>
      <c r="AA16" s="0" t="n">
        <f aca="false">IF(AA$4&gt;ROUND(Assumptions!$C$20,0),0,AA10+AA12+AA13+AA14+AA15)</f>
        <v>7127911.33803524</v>
      </c>
      <c r="AB16" s="0" t="n">
        <f aca="false">IF(AB$4&gt;ROUND(Assumptions!$C$20,0),0,AB10+AB12+AB13+AB14+AB15)</f>
        <v>7180779.56805476</v>
      </c>
      <c r="AC16" s="0" t="n">
        <f aca="false">IF(AC$4&gt;ROUND(Assumptions!$C$20,0),0,AC10+AC12+AC13+AC14+AC15)</f>
        <v>7234039.9255311</v>
      </c>
      <c r="AD16" s="0" t="n">
        <f aca="false">IF(AD$4&gt;ROUND(Assumptions!$C$20,0),0,AD10+AD12+AD13+AD14+AD15)</f>
        <v>7287695.31890175</v>
      </c>
      <c r="AE16" s="0" t="n">
        <f aca="false">IF(AE$4&gt;ROUND(Assumptions!$C$20,0),0,AE10+AE12+AE13+AE14+AE15)</f>
        <v>455665435.494789</v>
      </c>
      <c r="AF16" s="0" t="n">
        <f aca="false">IF(AF$4&gt;ROUND(Assumptions!$C$20,0),0,AF10+AF12+AF13+AF14+AF15)</f>
        <v>0</v>
      </c>
      <c r="AG16" s="0" t="n">
        <f aca="false">IF(AG$4&gt;ROUND(Assumptions!$C$20,0),0,AG10+AG12+AG13+AG14+AG15)</f>
        <v>0</v>
      </c>
      <c r="AH16" s="0" t="n">
        <f aca="false">IF(AH$4&gt;ROUND(Assumptions!$C$20,0),0,AH10+AH12+AH13+AH14+AH15)</f>
        <v>0</v>
      </c>
      <c r="AI16" s="0" t="n">
        <f aca="false">IF(AI$4&gt;ROUND(Assumptions!$C$20,0),0,AI10+AI12+AI13+AI14+AI15)</f>
        <v>0</v>
      </c>
    </row>
    <row r="18" customFormat="false" ht="15" hidden="false" customHeight="false" outlineLevel="0" collapsed="false">
      <c r="B18" s="0" t="s">
        <v>46</v>
      </c>
      <c r="C18" s="0" t="n">
        <f aca="false">-(C12+C13+C14)*Assumptions!$C$23</f>
        <v>22800000</v>
      </c>
      <c r="D18" s="0" t="n">
        <f aca="false">-(D12+D13+D14)*Assumptions!$C$23</f>
        <v>24633675</v>
      </c>
      <c r="E18" s="0" t="n">
        <f aca="false">-(E12+E13+E14)*Assumptions!$C$23</f>
        <v>24633675</v>
      </c>
      <c r="F18" s="0" t="n">
        <f aca="false">-(F12+F13+F14)*Assumptions!$C$23</f>
        <v>24633675</v>
      </c>
      <c r="G18" s="0" t="n">
        <f aca="false">-(G12+G13+G14)*Assumptions!$C$23</f>
        <v>24633675</v>
      </c>
      <c r="H18" s="0" t="n">
        <f aca="false">-(H12+H13+H14)*Assumptions!$C$23</f>
        <v>24633675</v>
      </c>
      <c r="I18" s="0" t="n">
        <f aca="false">-(I12+I13+I14)*Assumptions!$C$23</f>
        <v>24633675</v>
      </c>
      <c r="J18" s="0" t="n">
        <f aca="false">-(J12+J13+J14)*Assumptions!$C$23</f>
        <v>-0</v>
      </c>
      <c r="K18" s="0" t="n">
        <f aca="false">-(K12+K13+K14)*Assumptions!$C$23</f>
        <v>-0</v>
      </c>
      <c r="L18" s="0" t="n">
        <f aca="false">-(L12+L13+L14)*Assumptions!$C$23</f>
        <v>-0</v>
      </c>
      <c r="M18" s="0" t="n">
        <f aca="false">-(M12+M13+M14)*Assumptions!$C$23</f>
        <v>-0</v>
      </c>
      <c r="N18" s="0" t="n">
        <f aca="false">-(N12+N13+N14)*Assumptions!$C$23</f>
        <v>-0</v>
      </c>
      <c r="O18" s="0" t="n">
        <f aca="false">-(O12+O13+O14)*Assumptions!$C$23</f>
        <v>-0</v>
      </c>
      <c r="P18" s="0" t="n">
        <f aca="false">-(P12+P13+P14)*Assumptions!$C$23</f>
        <v>-0</v>
      </c>
      <c r="Q18" s="0" t="n">
        <f aca="false">-(Q12+Q13+Q14)*Assumptions!$C$23</f>
        <v>-0</v>
      </c>
      <c r="R18" s="0" t="n">
        <f aca="false">-(R12+R13+R14)*Assumptions!$C$23</f>
        <v>-0</v>
      </c>
      <c r="S18" s="0" t="n">
        <f aca="false">-(S12+S13+S14)*Assumptions!$C$23</f>
        <v>-0</v>
      </c>
      <c r="T18" s="0" t="n">
        <f aca="false">-(T12+T13+T14)*Assumptions!$C$23</f>
        <v>-0</v>
      </c>
      <c r="U18" s="0" t="n">
        <f aca="false">-(U12+U13+U14)*Assumptions!$C$23</f>
        <v>-0</v>
      </c>
      <c r="V18" s="0" t="n">
        <f aca="false">-(V12+V13+V14)*Assumptions!$C$23</f>
        <v>-0</v>
      </c>
      <c r="W18" s="0" t="n">
        <f aca="false">-(W12+W13+W14)*Assumptions!$C$23</f>
        <v>-0</v>
      </c>
      <c r="X18" s="0" t="n">
        <f aca="false">-(X12+X13+X14)*Assumptions!$C$23</f>
        <v>-0</v>
      </c>
      <c r="Y18" s="0" t="n">
        <f aca="false">-(Y12+Y13+Y14)*Assumptions!$C$23</f>
        <v>-0</v>
      </c>
      <c r="Z18" s="0" t="n">
        <f aca="false">-(Z12+Z13+Z14)*Assumptions!$C$23</f>
        <v>-0</v>
      </c>
      <c r="AA18" s="0" t="n">
        <f aca="false">-(AA12+AA13+AA14)*Assumptions!$C$23</f>
        <v>-0</v>
      </c>
      <c r="AB18" s="0" t="n">
        <f aca="false">-(AB12+AB13+AB14)*Assumptions!$C$23</f>
        <v>-0</v>
      </c>
      <c r="AC18" s="0" t="n">
        <f aca="false">-(AC12+AC13+AC14)*Assumptions!$C$23</f>
        <v>-0</v>
      </c>
      <c r="AD18" s="0" t="n">
        <f aca="false">-(AD12+AD13+AD14)*Assumptions!$C$23</f>
        <v>-0</v>
      </c>
      <c r="AE18" s="0" t="n">
        <f aca="false">-(AE12+AE13+AE14)*Assumptions!$C$23</f>
        <v>-0</v>
      </c>
      <c r="AF18" s="0" t="n">
        <f aca="false">-(AF12+AF13+AF14)*Assumptions!$C$23</f>
        <v>-0</v>
      </c>
      <c r="AG18" s="0" t="n">
        <f aca="false">-(AG12+AG13+AG14)*Assumptions!$C$23</f>
        <v>-0</v>
      </c>
      <c r="AH18" s="0" t="n">
        <f aca="false">-(AH12+AH13+AH14)*Assumptions!$C$23</f>
        <v>-0</v>
      </c>
      <c r="AI18" s="0" t="n">
        <f aca="false">-(AI12+AI13+AI14)*Assumptions!$C$23</f>
        <v>-0</v>
      </c>
    </row>
    <row r="19" customFormat="false" ht="15" hidden="false" customHeight="false" outlineLevel="0" collapsed="false">
      <c r="B19" s="0" t="s">
        <v>47</v>
      </c>
      <c r="C19" s="0" t="n">
        <f aca="false">-0*Assumptions!$C$24/4</f>
        <v>-0</v>
      </c>
      <c r="D19" s="0" t="n">
        <f aca="false">-C21*Assumptions!$C$24/4</f>
        <v>-427500</v>
      </c>
      <c r="E19" s="0" t="n">
        <f aca="false">-D21*Assumptions!$C$24/4</f>
        <v>-889381.40625</v>
      </c>
      <c r="F19" s="0" t="n">
        <f aca="false">-E21*Assumptions!$C$24/4</f>
        <v>-1351262.8125</v>
      </c>
      <c r="G19" s="0" t="n">
        <f aca="false">-F21*Assumptions!$C$24/4</f>
        <v>-1813144.21875</v>
      </c>
      <c r="H19" s="0" t="n">
        <f aca="false">-G21*Assumptions!$C$24/4</f>
        <v>-2275025.625</v>
      </c>
      <c r="I19" s="0" t="n">
        <f aca="false">-H21*Assumptions!$C$24/4</f>
        <v>-2736907.03125</v>
      </c>
      <c r="J19" s="0" t="n">
        <f aca="false">-I21*Assumptions!$C$24/4</f>
        <v>-3198788.4375</v>
      </c>
      <c r="K19" s="0" t="n">
        <f aca="false">-J21*Assumptions!$C$24/4</f>
        <v>-3198788.4375</v>
      </c>
      <c r="L19" s="0" t="n">
        <f aca="false">-K21*Assumptions!$C$24/4</f>
        <v>-3198788.4375</v>
      </c>
      <c r="M19" s="0" t="n">
        <f aca="false">-L21*Assumptions!$C$24/4</f>
        <v>-3198788.4375</v>
      </c>
      <c r="N19" s="0" t="n">
        <f aca="false">-M21*Assumptions!$C$24/4</f>
        <v>-3198788.4375</v>
      </c>
      <c r="O19" s="0" t="n">
        <f aca="false">-N21*Assumptions!$C$24/4</f>
        <v>-0</v>
      </c>
      <c r="P19" s="0" t="n">
        <f aca="false">-O21*Assumptions!$C$24/4</f>
        <v>-0</v>
      </c>
      <c r="Q19" s="0" t="n">
        <f aca="false">-P21*Assumptions!$C$24/4</f>
        <v>-0</v>
      </c>
      <c r="R19" s="0" t="n">
        <f aca="false">-Q21*Assumptions!$C$24/4</f>
        <v>-0</v>
      </c>
      <c r="S19" s="0" t="n">
        <f aca="false">-R21*Assumptions!$C$24/4</f>
        <v>-0</v>
      </c>
      <c r="T19" s="0" t="n">
        <f aca="false">-S21*Assumptions!$C$24/4</f>
        <v>-0</v>
      </c>
      <c r="U19" s="0" t="n">
        <f aca="false">-T21*Assumptions!$C$24/4</f>
        <v>-0</v>
      </c>
      <c r="V19" s="0" t="n">
        <f aca="false">-U21*Assumptions!$C$24/4</f>
        <v>-0</v>
      </c>
      <c r="W19" s="0" t="n">
        <f aca="false">-V21*Assumptions!$C$24/4</f>
        <v>-0</v>
      </c>
      <c r="X19" s="0" t="n">
        <f aca="false">-W21*Assumptions!$C$24/4</f>
        <v>-0</v>
      </c>
      <c r="Y19" s="0" t="n">
        <f aca="false">-X21*Assumptions!$C$24/4</f>
        <v>-0</v>
      </c>
      <c r="Z19" s="0" t="n">
        <f aca="false">-Y21*Assumptions!$C$24/4</f>
        <v>-0</v>
      </c>
      <c r="AA19" s="0" t="n">
        <f aca="false">-Z21*Assumptions!$C$24/4</f>
        <v>-0</v>
      </c>
      <c r="AB19" s="0" t="n">
        <f aca="false">-AA21*Assumptions!$C$24/4</f>
        <v>-0</v>
      </c>
      <c r="AC19" s="0" t="n">
        <f aca="false">-AB21*Assumptions!$C$24/4</f>
        <v>-0</v>
      </c>
      <c r="AD19" s="0" t="n">
        <f aca="false">-AC21*Assumptions!$C$24/4</f>
        <v>-0</v>
      </c>
      <c r="AE19" s="0" t="n">
        <f aca="false">-AD21*Assumptions!$C$24/4</f>
        <v>-0</v>
      </c>
      <c r="AF19" s="0" t="n">
        <f aca="false">-AE21*Assumptions!$C$24/4</f>
        <v>-0</v>
      </c>
      <c r="AG19" s="0" t="n">
        <f aca="false">-AF21*Assumptions!$C$24/4</f>
        <v>-0</v>
      </c>
      <c r="AH19" s="0" t="n">
        <f aca="false">-AG21*Assumptions!$C$24/4</f>
        <v>-0</v>
      </c>
      <c r="AI19" s="0" t="n">
        <f aca="false">-AH21*Assumptions!$C$24/4</f>
        <v>-0</v>
      </c>
    </row>
    <row r="20" customFormat="false" ht="15" hidden="false" customHeight="false" outlineLevel="0" collapsed="false">
      <c r="B20" s="0" t="s">
        <v>48</v>
      </c>
      <c r="C20" s="0" t="n">
        <f aca="false">-IF(C$4=((ROUND(Assumptions!$C$14,0)+ROUND(Assumptions!$C$15,0))+ROUND(Assumptions!$C$16,0)),0+C18,0)</f>
        <v>-0</v>
      </c>
      <c r="D20" s="0" t="n">
        <f aca="false">-IF(D$4=((ROUND(Assumptions!$C$14,0)+ROUND(Assumptions!$C$15,0))+ROUND(Assumptions!$C$16,0)),C21+D18,0)</f>
        <v>-0</v>
      </c>
      <c r="E20" s="0" t="n">
        <f aca="false">-IF(E$4=((ROUND(Assumptions!$C$14,0)+ROUND(Assumptions!$C$15,0))+ROUND(Assumptions!$C$16,0)),D21+E18,0)</f>
        <v>-0</v>
      </c>
      <c r="F20" s="0" t="n">
        <f aca="false">-IF(F$4=((ROUND(Assumptions!$C$14,0)+ROUND(Assumptions!$C$15,0))+ROUND(Assumptions!$C$16,0)),E21+F18,0)</f>
        <v>-0</v>
      </c>
      <c r="G20" s="0" t="n">
        <f aca="false">-IF(G$4=((ROUND(Assumptions!$C$14,0)+ROUND(Assumptions!$C$15,0))+ROUND(Assumptions!$C$16,0)),F21+G18,0)</f>
        <v>-0</v>
      </c>
      <c r="H20" s="0" t="n">
        <f aca="false">-IF(H$4=((ROUND(Assumptions!$C$14,0)+ROUND(Assumptions!$C$15,0))+ROUND(Assumptions!$C$16,0)),G21+H18,0)</f>
        <v>-0</v>
      </c>
      <c r="I20" s="0" t="n">
        <f aca="false">-IF(I$4=((ROUND(Assumptions!$C$14,0)+ROUND(Assumptions!$C$15,0))+ROUND(Assumptions!$C$16,0)),H21+I18,0)</f>
        <v>-0</v>
      </c>
      <c r="J20" s="0" t="n">
        <f aca="false">-IF(J$4=((ROUND(Assumptions!$C$14,0)+ROUND(Assumptions!$C$15,0))+ROUND(Assumptions!$C$16,0)),I21+J18,0)</f>
        <v>-0</v>
      </c>
      <c r="K20" s="0" t="n">
        <f aca="false">-IF(K$4=((ROUND(Assumptions!$C$14,0)+ROUND(Assumptions!$C$15,0))+ROUND(Assumptions!$C$16,0)),J21+K18,0)</f>
        <v>-0</v>
      </c>
      <c r="L20" s="0" t="n">
        <f aca="false">-IF(L$4=((ROUND(Assumptions!$C$14,0)+ROUND(Assumptions!$C$15,0))+ROUND(Assumptions!$C$16,0)),K21+L18,0)</f>
        <v>-0</v>
      </c>
      <c r="M20" s="0" t="n">
        <f aca="false">-IF(M$4=((ROUND(Assumptions!$C$14,0)+ROUND(Assumptions!$C$15,0))+ROUND(Assumptions!$C$16,0)),L21+M18,0)</f>
        <v>-0</v>
      </c>
      <c r="N20" s="0" t="n">
        <f aca="false">-IF(N$4=((ROUND(Assumptions!$C$14,0)+ROUND(Assumptions!$C$15,0))+ROUND(Assumptions!$C$16,0)),M21+N18,0)</f>
        <v>-170602050</v>
      </c>
      <c r="O20" s="0" t="n">
        <f aca="false">-IF(O$4=((ROUND(Assumptions!$C$14,0)+ROUND(Assumptions!$C$15,0))+ROUND(Assumptions!$C$16,0)),N21+O18,0)</f>
        <v>-0</v>
      </c>
      <c r="P20" s="0" t="n">
        <f aca="false">-IF(P$4=((ROUND(Assumptions!$C$14,0)+ROUND(Assumptions!$C$15,0))+ROUND(Assumptions!$C$16,0)),O21+P18,0)</f>
        <v>-0</v>
      </c>
      <c r="Q20" s="0" t="n">
        <f aca="false">-IF(Q$4=((ROUND(Assumptions!$C$14,0)+ROUND(Assumptions!$C$15,0))+ROUND(Assumptions!$C$16,0)),P21+Q18,0)</f>
        <v>-0</v>
      </c>
      <c r="R20" s="0" t="n">
        <f aca="false">-IF(R$4=((ROUND(Assumptions!$C$14,0)+ROUND(Assumptions!$C$15,0))+ROUND(Assumptions!$C$16,0)),Q21+R18,0)</f>
        <v>-0</v>
      </c>
      <c r="S20" s="0" t="n">
        <f aca="false">-IF(S$4=((ROUND(Assumptions!$C$14,0)+ROUND(Assumptions!$C$15,0))+ROUND(Assumptions!$C$16,0)),R21+S18,0)</f>
        <v>-0</v>
      </c>
      <c r="T20" s="0" t="n">
        <f aca="false">-IF(T$4=((ROUND(Assumptions!$C$14,0)+ROUND(Assumptions!$C$15,0))+ROUND(Assumptions!$C$16,0)),S21+T18,0)</f>
        <v>-0</v>
      </c>
      <c r="U20" s="0" t="n">
        <f aca="false">-IF(U$4=((ROUND(Assumptions!$C$14,0)+ROUND(Assumptions!$C$15,0))+ROUND(Assumptions!$C$16,0)),T21+U18,0)</f>
        <v>-0</v>
      </c>
      <c r="V20" s="0" t="n">
        <f aca="false">-IF(V$4=((ROUND(Assumptions!$C$14,0)+ROUND(Assumptions!$C$15,0))+ROUND(Assumptions!$C$16,0)),U21+V18,0)</f>
        <v>-0</v>
      </c>
      <c r="W20" s="0" t="n">
        <f aca="false">-IF(W$4=((ROUND(Assumptions!$C$14,0)+ROUND(Assumptions!$C$15,0))+ROUND(Assumptions!$C$16,0)),V21+W18,0)</f>
        <v>-0</v>
      </c>
      <c r="X20" s="0" t="n">
        <f aca="false">-IF(X$4=((ROUND(Assumptions!$C$14,0)+ROUND(Assumptions!$C$15,0))+ROUND(Assumptions!$C$16,0)),W21+X18,0)</f>
        <v>-0</v>
      </c>
      <c r="Y20" s="0" t="n">
        <f aca="false">-IF(Y$4=((ROUND(Assumptions!$C$14,0)+ROUND(Assumptions!$C$15,0))+ROUND(Assumptions!$C$16,0)),X21+Y18,0)</f>
        <v>-0</v>
      </c>
      <c r="Z20" s="0" t="n">
        <f aca="false">-IF(Z$4=((ROUND(Assumptions!$C$14,0)+ROUND(Assumptions!$C$15,0))+ROUND(Assumptions!$C$16,0)),Y21+Z18,0)</f>
        <v>-0</v>
      </c>
      <c r="AA20" s="0" t="n">
        <f aca="false">-IF(AA$4=((ROUND(Assumptions!$C$14,0)+ROUND(Assumptions!$C$15,0))+ROUND(Assumptions!$C$16,0)),Z21+AA18,0)</f>
        <v>-0</v>
      </c>
      <c r="AB20" s="0" t="n">
        <f aca="false">-IF(AB$4=((ROUND(Assumptions!$C$14,0)+ROUND(Assumptions!$C$15,0))+ROUND(Assumptions!$C$16,0)),AA21+AB18,0)</f>
        <v>-0</v>
      </c>
      <c r="AC20" s="0" t="n">
        <f aca="false">-IF(AC$4=((ROUND(Assumptions!$C$14,0)+ROUND(Assumptions!$C$15,0))+ROUND(Assumptions!$C$16,0)),AB21+AC18,0)</f>
        <v>-0</v>
      </c>
      <c r="AD20" s="0" t="n">
        <f aca="false">-IF(AD$4=((ROUND(Assumptions!$C$14,0)+ROUND(Assumptions!$C$15,0))+ROUND(Assumptions!$C$16,0)),AC21+AD18,0)</f>
        <v>-0</v>
      </c>
      <c r="AE20" s="0" t="n">
        <f aca="false">-IF(AE$4=((ROUND(Assumptions!$C$14,0)+ROUND(Assumptions!$C$15,0))+ROUND(Assumptions!$C$16,0)),AD21+AE18,0)</f>
        <v>-0</v>
      </c>
      <c r="AF20" s="0" t="n">
        <f aca="false">-IF(AF$4=((ROUND(Assumptions!$C$14,0)+ROUND(Assumptions!$C$15,0))+ROUND(Assumptions!$C$16,0)),AE21+AF18,0)</f>
        <v>-0</v>
      </c>
      <c r="AG20" s="0" t="n">
        <f aca="false">-IF(AG$4=((ROUND(Assumptions!$C$14,0)+ROUND(Assumptions!$C$15,0))+ROUND(Assumptions!$C$16,0)),AF21+AG18,0)</f>
        <v>-0</v>
      </c>
      <c r="AH20" s="0" t="n">
        <f aca="false">-IF(AH$4=((ROUND(Assumptions!$C$14,0)+ROUND(Assumptions!$C$15,0))+ROUND(Assumptions!$C$16,0)),AG21+AH18,0)</f>
        <v>-0</v>
      </c>
      <c r="AI20" s="0" t="n">
        <f aca="false">-IF(AI$4=((ROUND(Assumptions!$C$14,0)+ROUND(Assumptions!$C$15,0))+ROUND(Assumptions!$C$16,0)),AH21+AI18,0)</f>
        <v>-0</v>
      </c>
    </row>
    <row r="21" customFormat="false" ht="15" hidden="false" customHeight="false" outlineLevel="0" collapsed="false">
      <c r="B21" s="0" t="s">
        <v>49</v>
      </c>
      <c r="C21" s="0" t="n">
        <f aca="false">0+C18+C20</f>
        <v>22800000</v>
      </c>
      <c r="D21" s="0" t="n">
        <f aca="false">C21+D18+D20</f>
        <v>47433675</v>
      </c>
      <c r="E21" s="0" t="n">
        <f aca="false">D21+E18+E20</f>
        <v>72067350</v>
      </c>
      <c r="F21" s="0" t="n">
        <f aca="false">E21+F18+F20</f>
        <v>96701025</v>
      </c>
      <c r="G21" s="0" t="n">
        <f aca="false">F21+G18+G20</f>
        <v>121334700</v>
      </c>
      <c r="H21" s="0" t="n">
        <f aca="false">G21+H18+H20</f>
        <v>145968375</v>
      </c>
      <c r="I21" s="0" t="n">
        <f aca="false">H21+I18+I20</f>
        <v>170602050</v>
      </c>
      <c r="J21" s="0" t="n">
        <f aca="false">I21+J18+J20</f>
        <v>170602050</v>
      </c>
      <c r="K21" s="0" t="n">
        <f aca="false">J21+K18+K20</f>
        <v>170602050</v>
      </c>
      <c r="L21" s="0" t="n">
        <f aca="false">K21+L18+L20</f>
        <v>170602050</v>
      </c>
      <c r="M21" s="0" t="n">
        <f aca="false">L21+M18+M20</f>
        <v>170602050</v>
      </c>
      <c r="N21" s="0" t="n">
        <f aca="false">M21+N18+N20</f>
        <v>0</v>
      </c>
      <c r="O21" s="0" t="n">
        <f aca="false">N21+O18+O20</f>
        <v>0</v>
      </c>
      <c r="P21" s="0" t="n">
        <f aca="false">O21+P18+P20</f>
        <v>0</v>
      </c>
      <c r="Q21" s="0" t="n">
        <f aca="false">P21+Q18+Q20</f>
        <v>0</v>
      </c>
      <c r="R21" s="0" t="n">
        <f aca="false">Q21+R18+R20</f>
        <v>0</v>
      </c>
      <c r="S21" s="0" t="n">
        <f aca="false">R21+S18+S20</f>
        <v>0</v>
      </c>
      <c r="T21" s="0" t="n">
        <f aca="false">S21+T18+T20</f>
        <v>0</v>
      </c>
      <c r="U21" s="0" t="n">
        <f aca="false">T21+U18+U20</f>
        <v>0</v>
      </c>
      <c r="V21" s="0" t="n">
        <f aca="false">U21+V18+V20</f>
        <v>0</v>
      </c>
      <c r="W21" s="0" t="n">
        <f aca="false">V21+W18+W20</f>
        <v>0</v>
      </c>
      <c r="X21" s="0" t="n">
        <f aca="false">W21+X18+X20</f>
        <v>0</v>
      </c>
      <c r="Y21" s="0" t="n">
        <f aca="false">X21+Y18+Y20</f>
        <v>0</v>
      </c>
      <c r="Z21" s="0" t="n">
        <f aca="false">Y21+Z18+Z20</f>
        <v>0</v>
      </c>
      <c r="AA21" s="0" t="n">
        <f aca="false">Z21+AA18+AA20</f>
        <v>0</v>
      </c>
      <c r="AB21" s="0" t="n">
        <f aca="false">AA21+AB18+AB20</f>
        <v>0</v>
      </c>
      <c r="AC21" s="0" t="n">
        <f aca="false">AB21+AC18+AC20</f>
        <v>0</v>
      </c>
      <c r="AD21" s="0" t="n">
        <f aca="false">AC21+AD18+AD20</f>
        <v>0</v>
      </c>
      <c r="AE21" s="0" t="n">
        <f aca="false">AD21+AE18+AE20</f>
        <v>0</v>
      </c>
      <c r="AF21" s="0" t="n">
        <f aca="false">AE21+AF18+AF20</f>
        <v>0</v>
      </c>
      <c r="AG21" s="0" t="n">
        <f aca="false">AF21+AG18+AG20</f>
        <v>0</v>
      </c>
      <c r="AH21" s="0" t="n">
        <f aca="false">AG21+AH18+AH20</f>
        <v>0</v>
      </c>
      <c r="AI21" s="0" t="n">
        <f aca="false">AH21+AI18+AI20</f>
        <v>0</v>
      </c>
    </row>
    <row r="22" customFormat="false" ht="15" hidden="false" customHeight="false" outlineLevel="0" collapsed="false">
      <c r="B22" s="0" t="s">
        <v>50</v>
      </c>
      <c r="C22" s="0" t="n">
        <f aca="false">IF(C$4=((ROUND(Assumptions!$C$14,0)+ROUND(Assumptions!$C$15,0))+ROUND(Assumptions!$C$16,0)),D10*4/Assumptions!$C$27*Assumptions!$C$25,0)</f>
        <v>0</v>
      </c>
      <c r="D22" s="0" t="n">
        <f aca="false">IF(D$4=((ROUND(Assumptions!$C$14,0)+ROUND(Assumptions!$C$15,0))+ROUND(Assumptions!$C$16,0)),E10*4/Assumptions!$C$27*Assumptions!$C$25,0)</f>
        <v>0</v>
      </c>
      <c r="E22" s="0" t="n">
        <f aca="false">IF(E$4=((ROUND(Assumptions!$C$14,0)+ROUND(Assumptions!$C$15,0))+ROUND(Assumptions!$C$16,0)),F10*4/Assumptions!$C$27*Assumptions!$C$25,0)</f>
        <v>0</v>
      </c>
      <c r="F22" s="0" t="n">
        <f aca="false">IF(F$4=((ROUND(Assumptions!$C$14,0)+ROUND(Assumptions!$C$15,0))+ROUND(Assumptions!$C$16,0)),G10*4/Assumptions!$C$27*Assumptions!$C$25,0)</f>
        <v>0</v>
      </c>
      <c r="G22" s="0" t="n">
        <f aca="false">IF(G$4=((ROUND(Assumptions!$C$14,0)+ROUND(Assumptions!$C$15,0))+ROUND(Assumptions!$C$16,0)),H10*4/Assumptions!$C$27*Assumptions!$C$25,0)</f>
        <v>0</v>
      </c>
      <c r="H22" s="0" t="n">
        <f aca="false">IF(H$4=((ROUND(Assumptions!$C$14,0)+ROUND(Assumptions!$C$15,0))+ROUND(Assumptions!$C$16,0)),I10*4/Assumptions!$C$27*Assumptions!$C$25,0)</f>
        <v>0</v>
      </c>
      <c r="I22" s="0" t="n">
        <f aca="false">IF(I$4=((ROUND(Assumptions!$C$14,0)+ROUND(Assumptions!$C$15,0))+ROUND(Assumptions!$C$16,0)),J10*4/Assumptions!$C$27*Assumptions!$C$25,0)</f>
        <v>0</v>
      </c>
      <c r="J22" s="0" t="n">
        <f aca="false">IF(J$4=((ROUND(Assumptions!$C$14,0)+ROUND(Assumptions!$C$15,0))+ROUND(Assumptions!$C$16,0)),K10*4/Assumptions!$C$27*Assumptions!$C$25,0)</f>
        <v>0</v>
      </c>
      <c r="K22" s="0" t="n">
        <f aca="false">IF(K$4=((ROUND(Assumptions!$C$14,0)+ROUND(Assumptions!$C$15,0))+ROUND(Assumptions!$C$16,0)),L10*4/Assumptions!$C$27*Assumptions!$C$25,0)</f>
        <v>0</v>
      </c>
      <c r="L22" s="0" t="n">
        <f aca="false">IF(L$4=((ROUND(Assumptions!$C$14,0)+ROUND(Assumptions!$C$15,0))+ROUND(Assumptions!$C$16,0)),M10*4/Assumptions!$C$27*Assumptions!$C$25,0)</f>
        <v>0</v>
      </c>
      <c r="M22" s="0" t="n">
        <f aca="false">IF(M$4=((ROUND(Assumptions!$C$14,0)+ROUND(Assumptions!$C$15,0))+ROUND(Assumptions!$C$16,0)),N10*4/Assumptions!$C$27*Assumptions!$C$25,0)</f>
        <v>0</v>
      </c>
      <c r="N22" s="0" t="n">
        <f aca="false">IF(N$4=((ROUND(Assumptions!$C$14,0)+ROUND(Assumptions!$C$15,0))+ROUND(Assumptions!$C$16,0)),O10*4/Assumptions!$C$27*Assumptions!$C$25,0)</f>
        <v>220780106.78686</v>
      </c>
      <c r="O22" s="0" t="n">
        <f aca="false">IF(O$4=((ROUND(Assumptions!$C$14,0)+ROUND(Assumptions!$C$15,0))+ROUND(Assumptions!$C$16,0)),P10*4/Assumptions!$C$27*Assumptions!$C$25,0)</f>
        <v>0</v>
      </c>
      <c r="P22" s="0" t="n">
        <f aca="false">IF(P$4=((ROUND(Assumptions!$C$14,0)+ROUND(Assumptions!$C$15,0))+ROUND(Assumptions!$C$16,0)),Q10*4/Assumptions!$C$27*Assumptions!$C$25,0)</f>
        <v>0</v>
      </c>
      <c r="Q22" s="0" t="n">
        <f aca="false">IF(Q$4=((ROUND(Assumptions!$C$14,0)+ROUND(Assumptions!$C$15,0))+ROUND(Assumptions!$C$16,0)),R10*4/Assumptions!$C$27*Assumptions!$C$25,0)</f>
        <v>0</v>
      </c>
      <c r="R22" s="0" t="n">
        <f aca="false">IF(R$4=((ROUND(Assumptions!$C$14,0)+ROUND(Assumptions!$C$15,0))+ROUND(Assumptions!$C$16,0)),S10*4/Assumptions!$C$27*Assumptions!$C$25,0)</f>
        <v>0</v>
      </c>
      <c r="S22" s="0" t="n">
        <f aca="false">IF(S$4=((ROUND(Assumptions!$C$14,0)+ROUND(Assumptions!$C$15,0))+ROUND(Assumptions!$C$16,0)),T10*4/Assumptions!$C$27*Assumptions!$C$25,0)</f>
        <v>0</v>
      </c>
      <c r="T22" s="0" t="n">
        <f aca="false">IF(T$4=((ROUND(Assumptions!$C$14,0)+ROUND(Assumptions!$C$15,0))+ROUND(Assumptions!$C$16,0)),U10*4/Assumptions!$C$27*Assumptions!$C$25,0)</f>
        <v>0</v>
      </c>
      <c r="U22" s="0" t="n">
        <f aca="false">IF(U$4=((ROUND(Assumptions!$C$14,0)+ROUND(Assumptions!$C$15,0))+ROUND(Assumptions!$C$16,0)),V10*4/Assumptions!$C$27*Assumptions!$C$25,0)</f>
        <v>0</v>
      </c>
      <c r="V22" s="0" t="n">
        <f aca="false">IF(V$4=((ROUND(Assumptions!$C$14,0)+ROUND(Assumptions!$C$15,0))+ROUND(Assumptions!$C$16,0)),W10*4/Assumptions!$C$27*Assumptions!$C$25,0)</f>
        <v>0</v>
      </c>
      <c r="W22" s="0" t="n">
        <f aca="false">IF(W$4=((ROUND(Assumptions!$C$14,0)+ROUND(Assumptions!$C$15,0))+ROUND(Assumptions!$C$16,0)),X10*4/Assumptions!$C$27*Assumptions!$C$25,0)</f>
        <v>0</v>
      </c>
      <c r="X22" s="0" t="n">
        <f aca="false">IF(X$4=((ROUND(Assumptions!$C$14,0)+ROUND(Assumptions!$C$15,0))+ROUND(Assumptions!$C$16,0)),Y10*4/Assumptions!$C$27*Assumptions!$C$25,0)</f>
        <v>0</v>
      </c>
      <c r="Y22" s="0" t="n">
        <f aca="false">IF(Y$4=((ROUND(Assumptions!$C$14,0)+ROUND(Assumptions!$C$15,0))+ROUND(Assumptions!$C$16,0)),Z10*4/Assumptions!$C$27*Assumptions!$C$25,0)</f>
        <v>0</v>
      </c>
      <c r="Z22" s="0" t="n">
        <f aca="false">IF(Z$4=((ROUND(Assumptions!$C$14,0)+ROUND(Assumptions!$C$15,0))+ROUND(Assumptions!$C$16,0)),AA10*4/Assumptions!$C$27*Assumptions!$C$25,0)</f>
        <v>0</v>
      </c>
      <c r="AA22" s="0" t="n">
        <f aca="false">IF(AA$4=((ROUND(Assumptions!$C$14,0)+ROUND(Assumptions!$C$15,0))+ROUND(Assumptions!$C$16,0)),AB10*4/Assumptions!$C$27*Assumptions!$C$25,0)</f>
        <v>0</v>
      </c>
      <c r="AB22" s="0" t="n">
        <f aca="false">IF(AB$4=((ROUND(Assumptions!$C$14,0)+ROUND(Assumptions!$C$15,0))+ROUND(Assumptions!$C$16,0)),AC10*4/Assumptions!$C$27*Assumptions!$C$25,0)</f>
        <v>0</v>
      </c>
      <c r="AC22" s="0" t="n">
        <f aca="false">IF(AC$4=((ROUND(Assumptions!$C$14,0)+ROUND(Assumptions!$C$15,0))+ROUND(Assumptions!$C$16,0)),AD10*4/Assumptions!$C$27*Assumptions!$C$25,0)</f>
        <v>0</v>
      </c>
      <c r="AD22" s="0" t="n">
        <f aca="false">IF(AD$4=((ROUND(Assumptions!$C$14,0)+ROUND(Assumptions!$C$15,0))+ROUND(Assumptions!$C$16,0)),AE10*4/Assumptions!$C$27*Assumptions!$C$25,0)</f>
        <v>0</v>
      </c>
      <c r="AE22" s="0" t="n">
        <f aca="false">IF(AE$4=((ROUND(Assumptions!$C$14,0)+ROUND(Assumptions!$C$15,0))+ROUND(Assumptions!$C$16,0)),AF10*4/Assumptions!$C$27*Assumptions!$C$25,0)</f>
        <v>0</v>
      </c>
      <c r="AF22" s="0" t="n">
        <f aca="false">IF(AF$4=((ROUND(Assumptions!$C$14,0)+ROUND(Assumptions!$C$15,0))+ROUND(Assumptions!$C$16,0)),AG10*4/Assumptions!$C$27*Assumptions!$C$25,0)</f>
        <v>0</v>
      </c>
      <c r="AG22" s="0" t="n">
        <f aca="false">IF(AG$4=((ROUND(Assumptions!$C$14,0)+ROUND(Assumptions!$C$15,0))+ROUND(Assumptions!$C$16,0)),AH10*4/Assumptions!$C$27*Assumptions!$C$25,0)</f>
        <v>0</v>
      </c>
      <c r="AH22" s="0" t="n">
        <f aca="false">IF(AH$4=((ROUND(Assumptions!$C$14,0)+ROUND(Assumptions!$C$15,0))+ROUND(Assumptions!$C$16,0)),AI10*4/Assumptions!$C$27*Assumptions!$C$25,0)</f>
        <v>0</v>
      </c>
      <c r="AI22" s="0" t="n">
        <f aca="false">0</f>
        <v>0</v>
      </c>
    </row>
    <row r="23" customFormat="false" ht="15" hidden="false" customHeight="false" outlineLevel="0" collapsed="false">
      <c r="B23" s="0" t="s">
        <v>51</v>
      </c>
      <c r="C23" s="0" t="n">
        <f aca="false">-0*Assumptions!$C$26/4</f>
        <v>-0</v>
      </c>
      <c r="D23" s="0" t="n">
        <f aca="false">-C25*Assumptions!$C$26/4</f>
        <v>-0</v>
      </c>
      <c r="E23" s="0" t="n">
        <f aca="false">-D25*Assumptions!$C$26/4</f>
        <v>-0</v>
      </c>
      <c r="F23" s="0" t="n">
        <f aca="false">-E25*Assumptions!$C$26/4</f>
        <v>-0</v>
      </c>
      <c r="G23" s="0" t="n">
        <f aca="false">-F25*Assumptions!$C$26/4</f>
        <v>-0</v>
      </c>
      <c r="H23" s="0" t="n">
        <f aca="false">-G25*Assumptions!$C$26/4</f>
        <v>-0</v>
      </c>
      <c r="I23" s="0" t="n">
        <f aca="false">-H25*Assumptions!$C$26/4</f>
        <v>-0</v>
      </c>
      <c r="J23" s="0" t="n">
        <f aca="false">-I25*Assumptions!$C$26/4</f>
        <v>-0</v>
      </c>
      <c r="K23" s="0" t="n">
        <f aca="false">-J25*Assumptions!$C$26/4</f>
        <v>-0</v>
      </c>
      <c r="L23" s="0" t="n">
        <f aca="false">-K25*Assumptions!$C$26/4</f>
        <v>-0</v>
      </c>
      <c r="M23" s="0" t="n">
        <f aca="false">-L25*Assumptions!$C$26/4</f>
        <v>-0</v>
      </c>
      <c r="N23" s="0" t="n">
        <f aca="false">-M25*Assumptions!$C$26/4</f>
        <v>-0</v>
      </c>
      <c r="O23" s="0" t="n">
        <f aca="false">-N25*Assumptions!$C$26/4</f>
        <v>-3311701.6018029</v>
      </c>
      <c r="P23" s="0" t="n">
        <f aca="false">-O25*Assumptions!$C$26/4</f>
        <v>-3311701.6018029</v>
      </c>
      <c r="Q23" s="0" t="n">
        <f aca="false">-P25*Assumptions!$C$26/4</f>
        <v>-3311701.6018029</v>
      </c>
      <c r="R23" s="0" t="n">
        <f aca="false">-Q25*Assumptions!$C$26/4</f>
        <v>-3311701.6018029</v>
      </c>
      <c r="S23" s="0" t="n">
        <f aca="false">-R25*Assumptions!$C$26/4</f>
        <v>-3311701.6018029</v>
      </c>
      <c r="T23" s="0" t="n">
        <f aca="false">-S25*Assumptions!$C$26/4</f>
        <v>-3311701.6018029</v>
      </c>
      <c r="U23" s="0" t="n">
        <f aca="false">-T25*Assumptions!$C$26/4</f>
        <v>-3311701.6018029</v>
      </c>
      <c r="V23" s="0" t="n">
        <f aca="false">-U25*Assumptions!$C$26/4</f>
        <v>-3311701.6018029</v>
      </c>
      <c r="W23" s="0" t="n">
        <f aca="false">-V25*Assumptions!$C$26/4</f>
        <v>-3311701.6018029</v>
      </c>
      <c r="X23" s="0" t="n">
        <f aca="false">-W25*Assumptions!$C$26/4</f>
        <v>-3311701.6018029</v>
      </c>
      <c r="Y23" s="0" t="n">
        <f aca="false">-X25*Assumptions!$C$26/4</f>
        <v>-3311701.6018029</v>
      </c>
      <c r="Z23" s="0" t="n">
        <f aca="false">-Y25*Assumptions!$C$26/4</f>
        <v>-3311701.6018029</v>
      </c>
      <c r="AA23" s="0" t="n">
        <f aca="false">-Z25*Assumptions!$C$26/4</f>
        <v>-3311701.6018029</v>
      </c>
      <c r="AB23" s="0" t="n">
        <f aca="false">-AA25*Assumptions!$C$26/4</f>
        <v>-3311701.6018029</v>
      </c>
      <c r="AC23" s="0" t="n">
        <f aca="false">-AB25*Assumptions!$C$26/4</f>
        <v>-3311701.6018029</v>
      </c>
      <c r="AD23" s="0" t="n">
        <f aca="false">-AC25*Assumptions!$C$26/4</f>
        <v>-3311701.6018029</v>
      </c>
      <c r="AE23" s="0" t="n">
        <f aca="false">-AD25*Assumptions!$C$26/4</f>
        <v>-3311701.6018029</v>
      </c>
      <c r="AF23" s="0" t="n">
        <f aca="false">-AE25*Assumptions!$C$26/4</f>
        <v>-0</v>
      </c>
      <c r="AG23" s="0" t="n">
        <f aca="false">-AF25*Assumptions!$C$26/4</f>
        <v>-0</v>
      </c>
      <c r="AH23" s="0" t="n">
        <f aca="false">-AG25*Assumptions!$C$26/4</f>
        <v>-0</v>
      </c>
      <c r="AI23" s="0" t="n">
        <f aca="false">-AH25*Assumptions!$C$26/4</f>
        <v>-0</v>
      </c>
    </row>
    <row r="24" customFormat="false" ht="15" hidden="false" customHeight="false" outlineLevel="0" collapsed="false">
      <c r="B24" s="0" t="s">
        <v>52</v>
      </c>
      <c r="C24" s="0" t="n">
        <f aca="false">-IF(C$4=ROUND(Assumptions!$C$20,0),0+C22,0)</f>
        <v>-0</v>
      </c>
      <c r="D24" s="0" t="n">
        <f aca="false">-IF(D$4=ROUND(Assumptions!$C$20,0),C25+D22,0)</f>
        <v>-0</v>
      </c>
      <c r="E24" s="0" t="n">
        <f aca="false">-IF(E$4=ROUND(Assumptions!$C$20,0),D25+E22,0)</f>
        <v>-0</v>
      </c>
      <c r="F24" s="0" t="n">
        <f aca="false">-IF(F$4=ROUND(Assumptions!$C$20,0),E25+F22,0)</f>
        <v>-0</v>
      </c>
      <c r="G24" s="0" t="n">
        <f aca="false">-IF(G$4=ROUND(Assumptions!$C$20,0),F25+G22,0)</f>
        <v>-0</v>
      </c>
      <c r="H24" s="0" t="n">
        <f aca="false">-IF(H$4=ROUND(Assumptions!$C$20,0),G25+H22,0)</f>
        <v>-0</v>
      </c>
      <c r="I24" s="0" t="n">
        <f aca="false">-IF(I$4=ROUND(Assumptions!$C$20,0),H25+I22,0)</f>
        <v>-0</v>
      </c>
      <c r="J24" s="0" t="n">
        <f aca="false">-IF(J$4=ROUND(Assumptions!$C$20,0),I25+J22,0)</f>
        <v>-0</v>
      </c>
      <c r="K24" s="0" t="n">
        <f aca="false">-IF(K$4=ROUND(Assumptions!$C$20,0),J25+K22,0)</f>
        <v>-0</v>
      </c>
      <c r="L24" s="0" t="n">
        <f aca="false">-IF(L$4=ROUND(Assumptions!$C$20,0),K25+L22,0)</f>
        <v>-0</v>
      </c>
      <c r="M24" s="0" t="n">
        <f aca="false">-IF(M$4=ROUND(Assumptions!$C$20,0),L25+M22,0)</f>
        <v>-0</v>
      </c>
      <c r="N24" s="0" t="n">
        <f aca="false">-IF(N$4=ROUND(Assumptions!$C$20,0),M25+N22,0)</f>
        <v>-0</v>
      </c>
      <c r="O24" s="0" t="n">
        <f aca="false">-IF(O$4=ROUND(Assumptions!$C$20,0),N25+O22,0)</f>
        <v>-0</v>
      </c>
      <c r="P24" s="0" t="n">
        <f aca="false">-IF(P$4=ROUND(Assumptions!$C$20,0),O25+P22,0)</f>
        <v>-0</v>
      </c>
      <c r="Q24" s="0" t="n">
        <f aca="false">-IF(Q$4=ROUND(Assumptions!$C$20,0),P25+Q22,0)</f>
        <v>-0</v>
      </c>
      <c r="R24" s="0" t="n">
        <f aca="false">-IF(R$4=ROUND(Assumptions!$C$20,0),Q25+R22,0)</f>
        <v>-0</v>
      </c>
      <c r="S24" s="0" t="n">
        <f aca="false">-IF(S$4=ROUND(Assumptions!$C$20,0),R25+S22,0)</f>
        <v>-0</v>
      </c>
      <c r="T24" s="0" t="n">
        <f aca="false">-IF(T$4=ROUND(Assumptions!$C$20,0),S25+T22,0)</f>
        <v>-0</v>
      </c>
      <c r="U24" s="0" t="n">
        <f aca="false">-IF(U$4=ROUND(Assumptions!$C$20,0),T25+U22,0)</f>
        <v>-0</v>
      </c>
      <c r="V24" s="0" t="n">
        <f aca="false">-IF(V$4=ROUND(Assumptions!$C$20,0),U25+V22,0)</f>
        <v>-0</v>
      </c>
      <c r="W24" s="0" t="n">
        <f aca="false">-IF(W$4=ROUND(Assumptions!$C$20,0),V25+W22,0)</f>
        <v>-0</v>
      </c>
      <c r="X24" s="0" t="n">
        <f aca="false">-IF(X$4=ROUND(Assumptions!$C$20,0),W25+X22,0)</f>
        <v>-0</v>
      </c>
      <c r="Y24" s="0" t="n">
        <f aca="false">-IF(Y$4=ROUND(Assumptions!$C$20,0),X25+Y22,0)</f>
        <v>-0</v>
      </c>
      <c r="Z24" s="0" t="n">
        <f aca="false">-IF(Z$4=ROUND(Assumptions!$C$20,0),Y25+Z22,0)</f>
        <v>-0</v>
      </c>
      <c r="AA24" s="0" t="n">
        <f aca="false">-IF(AA$4=ROUND(Assumptions!$C$20,0),Z25+AA22,0)</f>
        <v>-0</v>
      </c>
      <c r="AB24" s="0" t="n">
        <f aca="false">-IF(AB$4=ROUND(Assumptions!$C$20,0),AA25+AB22,0)</f>
        <v>-0</v>
      </c>
      <c r="AC24" s="0" t="n">
        <f aca="false">-IF(AC$4=ROUND(Assumptions!$C$20,0),AB25+AC22,0)</f>
        <v>-0</v>
      </c>
      <c r="AD24" s="0" t="n">
        <f aca="false">-IF(AD$4=ROUND(Assumptions!$C$20,0),AC25+AD22,0)</f>
        <v>-0</v>
      </c>
      <c r="AE24" s="0" t="n">
        <f aca="false">-IF(AE$4=ROUND(Assumptions!$C$20,0),AD25+AE22,0)</f>
        <v>-220780106.78686</v>
      </c>
      <c r="AF24" s="0" t="n">
        <f aca="false">-IF(AF$4=ROUND(Assumptions!$C$20,0),AE25+AF22,0)</f>
        <v>-0</v>
      </c>
      <c r="AG24" s="0" t="n">
        <f aca="false">-IF(AG$4=ROUND(Assumptions!$C$20,0),AF25+AG22,0)</f>
        <v>-0</v>
      </c>
      <c r="AH24" s="0" t="n">
        <f aca="false">-IF(AH$4=ROUND(Assumptions!$C$20,0),AG25+AH22,0)</f>
        <v>-0</v>
      </c>
      <c r="AI24" s="0" t="n">
        <f aca="false">-IF(AI$4=ROUND(Assumptions!$C$20,0),AH25+AI22,0)</f>
        <v>-0</v>
      </c>
    </row>
    <row r="25" customFormat="false" ht="15" hidden="false" customHeight="false" outlineLevel="0" collapsed="false">
      <c r="B25" s="0" t="s">
        <v>53</v>
      </c>
      <c r="C25" s="0" t="n">
        <f aca="false">0+C22+C24</f>
        <v>0</v>
      </c>
      <c r="D25" s="0" t="n">
        <f aca="false">C25+D22+D24</f>
        <v>0</v>
      </c>
      <c r="E25" s="0" t="n">
        <f aca="false">D25+E22+E24</f>
        <v>0</v>
      </c>
      <c r="F25" s="0" t="n">
        <f aca="false">E25+F22+F24</f>
        <v>0</v>
      </c>
      <c r="G25" s="0" t="n">
        <f aca="false">F25+G22+G24</f>
        <v>0</v>
      </c>
      <c r="H25" s="0" t="n">
        <f aca="false">G25+H22+H24</f>
        <v>0</v>
      </c>
      <c r="I25" s="0" t="n">
        <f aca="false">H25+I22+I24</f>
        <v>0</v>
      </c>
      <c r="J25" s="0" t="n">
        <f aca="false">I25+J22+J24</f>
        <v>0</v>
      </c>
      <c r="K25" s="0" t="n">
        <f aca="false">J25+K22+K24</f>
        <v>0</v>
      </c>
      <c r="L25" s="0" t="n">
        <f aca="false">K25+L22+L24</f>
        <v>0</v>
      </c>
      <c r="M25" s="0" t="n">
        <f aca="false">L25+M22+M24</f>
        <v>0</v>
      </c>
      <c r="N25" s="0" t="n">
        <f aca="false">M25+N22+N24</f>
        <v>220780106.78686</v>
      </c>
      <c r="O25" s="0" t="n">
        <f aca="false">N25+O22+O24</f>
        <v>220780106.78686</v>
      </c>
      <c r="P25" s="0" t="n">
        <f aca="false">O25+P22+P24</f>
        <v>220780106.78686</v>
      </c>
      <c r="Q25" s="0" t="n">
        <f aca="false">P25+Q22+Q24</f>
        <v>220780106.78686</v>
      </c>
      <c r="R25" s="0" t="n">
        <f aca="false">Q25+R22+R24</f>
        <v>220780106.78686</v>
      </c>
      <c r="S25" s="0" t="n">
        <f aca="false">R25+S22+S24</f>
        <v>220780106.78686</v>
      </c>
      <c r="T25" s="0" t="n">
        <f aca="false">S25+T22+T24</f>
        <v>220780106.78686</v>
      </c>
      <c r="U25" s="0" t="n">
        <f aca="false">T25+U22+U24</f>
        <v>220780106.78686</v>
      </c>
      <c r="V25" s="0" t="n">
        <f aca="false">U25+V22+V24</f>
        <v>220780106.78686</v>
      </c>
      <c r="W25" s="0" t="n">
        <f aca="false">V25+W22+W24</f>
        <v>220780106.78686</v>
      </c>
      <c r="X25" s="0" t="n">
        <f aca="false">W25+X22+X24</f>
        <v>220780106.78686</v>
      </c>
      <c r="Y25" s="0" t="n">
        <f aca="false">X25+Y22+Y24</f>
        <v>220780106.78686</v>
      </c>
      <c r="Z25" s="0" t="n">
        <f aca="false">Y25+Z22+Z24</f>
        <v>220780106.78686</v>
      </c>
      <c r="AA25" s="0" t="n">
        <f aca="false">Z25+AA22+AA24</f>
        <v>220780106.78686</v>
      </c>
      <c r="AB25" s="0" t="n">
        <f aca="false">AA25+AB22+AB24</f>
        <v>220780106.78686</v>
      </c>
      <c r="AC25" s="0" t="n">
        <f aca="false">AB25+AC22+AC24</f>
        <v>220780106.78686</v>
      </c>
      <c r="AD25" s="0" t="n">
        <f aca="false">AC25+AD22+AD24</f>
        <v>220780106.78686</v>
      </c>
      <c r="AE25" s="0" t="n">
        <f aca="false">AD25+AE22+AE24</f>
        <v>0</v>
      </c>
      <c r="AF25" s="0" t="n">
        <f aca="false">AE25+AF22+AF24</f>
        <v>0</v>
      </c>
      <c r="AG25" s="0" t="n">
        <f aca="false">AF25+AG22+AG24</f>
        <v>0</v>
      </c>
      <c r="AH25" s="0" t="n">
        <f aca="false">AG25+AH22+AH24</f>
        <v>0</v>
      </c>
      <c r="AI25" s="0" t="n">
        <f aca="false">AH25+AI22+AI24</f>
        <v>0</v>
      </c>
    </row>
    <row r="27" customFormat="false" ht="15" hidden="false" customHeight="false" outlineLevel="0" collapsed="false">
      <c r="B27" s="0" t="s">
        <v>54</v>
      </c>
      <c r="C27" s="0" t="n">
        <f aca="false">IF(C$4&gt;ROUND(Assumptions!$C$20,0),0,C16+C18+C19+C20+C22+C23+C24)</f>
        <v>-15200000</v>
      </c>
      <c r="D27" s="0" t="n">
        <f aca="false">IF(D$4&gt;ROUND(Assumptions!$C$20,0),0,D16+D18+D19+D20+D22+D23+D24)</f>
        <v>-16849950</v>
      </c>
      <c r="E27" s="0" t="n">
        <f aca="false">IF(E$4&gt;ROUND(Assumptions!$C$20,0),0,E16+E18+E19+E20+E22+E23+E24)</f>
        <v>-17311831.40625</v>
      </c>
      <c r="F27" s="0" t="n">
        <f aca="false">IF(F$4&gt;ROUND(Assumptions!$C$20,0),0,F16+F18+F19+F20+F22+F23+F24)</f>
        <v>-17773712.8125</v>
      </c>
      <c r="G27" s="0" t="n">
        <f aca="false">IF(G$4&gt;ROUND(Assumptions!$C$20,0),0,G16+G18+G19+G20+G22+G23+G24)</f>
        <v>-18235594.21875</v>
      </c>
      <c r="H27" s="0" t="n">
        <f aca="false">IF(H$4&gt;ROUND(Assumptions!$C$20,0),0,H16+H18+H19+H20+H22+H23+H24)</f>
        <v>-18697475.625</v>
      </c>
      <c r="I27" s="0" t="n">
        <f aca="false">IF(I$4&gt;ROUND(Assumptions!$C$20,0),0,I16+I18+I19+I20+I22+I23+I24)</f>
        <v>-19159357.03125</v>
      </c>
      <c r="J27" s="0" t="n">
        <f aca="false">IF(J$4&gt;ROUND(Assumptions!$C$20,0),0,J16+J18+J19+J20+J22+J23+J24)</f>
        <v>-2250618.4375</v>
      </c>
      <c r="K27" s="0" t="n">
        <f aca="false">IF(K$4&gt;ROUND(Assumptions!$C$20,0),0,K16+K18+K19+K20+K22+K23+K24)</f>
        <v>-450967.706689774</v>
      </c>
      <c r="L27" s="0" t="n">
        <f aca="false">IF(L$4&gt;ROUND(Assumptions!$C$20,0),0,L16+L18+L19+L20+L22+L23+L24)</f>
        <v>1375327.13977863</v>
      </c>
      <c r="M27" s="0" t="n">
        <f aca="false">IF(M$4&gt;ROUND(Assumptions!$C$20,0),0,M16+M18+M19+M20+M22+M23+M24)</f>
        <v>3228562.34043936</v>
      </c>
      <c r="N27" s="0" t="n">
        <f aca="false">IF(N$4&gt;ROUND(Assumptions!$C$20,0),0,N16+N18+N19+N20+N22+N23+N24)</f>
        <v>53454291.2493597</v>
      </c>
      <c r="O27" s="0" t="n">
        <f aca="false">IF(O$4&gt;ROUND(Assumptions!$C$20,0),0,O16+O18+O19+O20+O22+O23+O24)</f>
        <v>3211347.00780887</v>
      </c>
      <c r="P27" s="0" t="n">
        <f aca="false">IF(P$4&gt;ROUND(Assumptions!$C$20,0),0,P16+P18+P19+P20+P22+P23+P24)</f>
        <v>3259728.927556</v>
      </c>
      <c r="Q27" s="0" t="n">
        <f aca="false">IF(Q$4&gt;ROUND(Assumptions!$C$20,0),0,Q16+Q18+Q19+Q20+Q22+Q23+Q24)</f>
        <v>3308469.69947464</v>
      </c>
      <c r="R27" s="0" t="n">
        <f aca="false">IF(R$4&gt;ROUND(Assumptions!$C$20,0),0,R16+R18+R19+R20+R22+R23+R24)</f>
        <v>3357571.9851971</v>
      </c>
      <c r="S27" s="0" t="n">
        <f aca="false">IF(S$4&gt;ROUND(Assumptions!$C$20,0),0,S16+S18+S19+S20+S22+S23+S24)</f>
        <v>3407038.46609722</v>
      </c>
      <c r="T27" s="0" t="n">
        <f aca="false">IF(T$4&gt;ROUND(Assumptions!$C$20,0),0,T16+T18+T19+T20+T22+T23+T24)</f>
        <v>3456871.84343677</v>
      </c>
      <c r="U27" s="0" t="n">
        <f aca="false">IF(U$4&gt;ROUND(Assumptions!$C$20,0),0,U16+U18+U19+U20+U22+U23+U24)</f>
        <v>3507074.83851297</v>
      </c>
      <c r="V27" s="0" t="n">
        <f aca="false">IF(V$4&gt;ROUND(Assumptions!$C$20,0),0,V16+V18+V19+V20+V22+V23+V24)</f>
        <v>3557650.1928071</v>
      </c>
      <c r="W27" s="0" t="n">
        <f aca="false">IF(W$4&gt;ROUND(Assumptions!$C$20,0),0,W16+W18+W19+W20+W22+W23+W24)</f>
        <v>3608600.66813422</v>
      </c>
      <c r="X27" s="0" t="n">
        <f aca="false">IF(X$4&gt;ROUND(Assumptions!$C$20,0),0,X16+X18+X19+X20+X22+X23+X24)</f>
        <v>3659929.04679396</v>
      </c>
      <c r="Y27" s="0" t="n">
        <f aca="false">IF(Y$4&gt;ROUND(Assumptions!$C$20,0),0,Y16+Y18+Y19+Y20+Y22+Y23+Y24)</f>
        <v>3711638.13172244</v>
      </c>
      <c r="Z27" s="0" t="n">
        <f aca="false">IF(Z$4&gt;ROUND(Assumptions!$C$20,0),0,Z16+Z18+Z19+Z20+Z22+Z23+Z24)</f>
        <v>3763730.74664541</v>
      </c>
      <c r="AA27" s="0" t="n">
        <f aca="false">IF(AA$4&gt;ROUND(Assumptions!$C$20,0),0,AA16+AA18+AA19+AA20+AA22+AA23+AA24)</f>
        <v>3816209.73623234</v>
      </c>
      <c r="AB27" s="0" t="n">
        <f aca="false">IF(AB$4&gt;ROUND(Assumptions!$C$20,0),0,AB16+AB18+AB19+AB20+AB22+AB23+AB24)</f>
        <v>3869077.96625186</v>
      </c>
      <c r="AC27" s="0" t="n">
        <f aca="false">IF(AC$4&gt;ROUND(Assumptions!$C$20,0),0,AC16+AC18+AC19+AC20+AC22+AC23+AC24)</f>
        <v>3922338.3237282</v>
      </c>
      <c r="AD27" s="0" t="n">
        <f aca="false">IF(AD$4&gt;ROUND(Assumptions!$C$20,0),0,AD16+AD18+AD19+AD20+AD22+AD23+AD24)</f>
        <v>3975993.71709885</v>
      </c>
      <c r="AE27" s="0" t="n">
        <f aca="false">IF(AE$4&gt;ROUND(Assumptions!$C$20,0),0,AE16+AE18+AE19+AE20+AE22+AE23+AE24)</f>
        <v>231573627.106126</v>
      </c>
      <c r="AF27" s="0" t="n">
        <f aca="false">IF(AF$4&gt;ROUND(Assumptions!$C$20,0),0,AF16+AF18+AF19+AF20+AF22+AF23+AF24)</f>
        <v>0</v>
      </c>
      <c r="AG27" s="0" t="n">
        <f aca="false">IF(AG$4&gt;ROUND(Assumptions!$C$20,0),0,AG16+AG18+AG19+AG20+AG22+AG23+AG24)</f>
        <v>0</v>
      </c>
      <c r="AH27" s="0" t="n">
        <f aca="false">IF(AH$4&gt;ROUND(Assumptions!$C$20,0),0,AH16+AH18+AH19+AH20+AH22+AH23+AH24)</f>
        <v>0</v>
      </c>
      <c r="AI27" s="0" t="n">
        <f aca="false">IF(AI$4&gt;ROUND(Assumptions!$C$20,0),0,AI16+AI18+AI19+AI20+AI22+AI23+AI24)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2026-10-19T13:33:23Z</dcterms:created>
  <dc:creator>openpyxl</dc:creator>
  <dc:description/>
  <dc:language>en-US</dc:language>
  <cp:lastModifiedBy/>
  <dcterms:modified xsi:type="dcterms:W3CDTF">2026-10-19T13:33:23Z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