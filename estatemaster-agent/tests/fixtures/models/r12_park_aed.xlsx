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ariffs" sheetId="2" state="visible" r:id="rId4"/>
    <sheet name="Operations" sheetId="3" state="visible" r:id="rId5"/>
    <sheet name="Cash Flow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<sst xmlns="http://schemas.openxmlformats.org/spreadsheetml/2006/main" count="35" uniqueCount="35">
  <si>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MARINA GATE – MULTI-STOREY CAR PARK (AED)</t>
  </si>
  <si>
    <t xml:space="preserve">Bays</t>
  </si>
  <si>
    <t xml:space="preserve">Tariff band (1 = Standard, 2 = Premium, 3 = Event)</t>
  </si>
  <si>
    <t xml:space="preserve">Weekday occupancy</t>
  </si>
  <si>
    <t xml:space="preserve">Weekend occupancy</t>
  </si>
  <si>
    <t xml:space="preserve">Turnover per bay per day</t>
  </si>
  <si>
    <t xml:space="preserve">Average stay (hours)</t>
  </si>
  <si>
    <t xml:space="preserve">Season ticket holders</t>
  </si>
  <si>
    <t xml:space="preserve">Season ticket (AED/month)</t>
  </si>
  <si>
    <t xml:space="preserve">Build cost per bay (AED)</t>
  </si>
  <si>
    <t xml:space="preserve">Opex (% of revenue)</t>
  </si>
  <si>
    <t xml:space="preserve">Exit yield</t>
  </si>
  <si>
    <t xml:space="preserve">Hold (years)</t>
  </si>
  <si>
    <t xml:space="preserve">Tariff growth</t>
  </si>
  <si>
    <t xml:space="preserve">Band</t>
  </si>
  <si>
    <t xml:space="preserve">First hour (AED)</t>
  </si>
  <si>
    <t xml:space="preserve">Each extra hour (AED)</t>
  </si>
  <si>
    <t xml:space="preserve">Ticket per visit (AED)</t>
  </si>
  <si>
    <t xml:space="preserve">Visits per year</t>
  </si>
  <si>
    <t xml:space="preserve">Transient revenue</t>
  </si>
  <si>
    <t xml:space="preserve">Season revenue</t>
  </si>
  <si>
    <t xml:space="preserve">Revenue (year 1)</t>
  </si>
  <si>
    <t xml:space="preserve">Opex</t>
  </si>
  <si>
    <t xml:space="preserve">NOI (year 1)</t>
  </si>
  <si>
    <t xml:space="preserve">Build cost</t>
  </si>
  <si>
    <t xml:space="preserve">Year</t>
  </si>
  <si>
    <t xml:space="preserve">NOI</t>
  </si>
  <si>
    <t xml:space="preserve">Capex</t>
  </si>
  <si>
    <t xml:space="preserve">Sale</t>
  </si>
  <si>
    <t xml:space="preserve">Net cash flow</t>
  </si>
  <si>
    <t xml:space="preserve">Unlevered IRR</t>
  </si>
  <si>
    <t xml:space="preserve">Yield on cost</t>
  </si>
  <si>
    <t xml:space="preserve">Net profit</t>
  </si>
  <si>
    <t xml:space="preserve">Total development cost</t>
  </si>
  <si>
    <t xml:space="preserve">Revenue per bay (AED/yr)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</si>
</sst>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0.00%"/>
    <numFmt numFmtId="168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1450</v>
      </c>
    </row>
    <row r="4" customFormat="false" ht="15" hidden="false" customHeight="false" outlineLevel="0" collapsed="false">
      <c r="A4" s="0" t="s">
        <v>2</v>
      </c>
      <c r="B4" s="2" t="n">
        <v>1</v>
      </c>
    </row>
    <row r="5" customFormat="false" ht="15" hidden="false" customHeight="false" outlineLevel="0" collapsed="false">
      <c r="A5" s="0" t="s">
        <v>3</v>
      </c>
      <c r="B5" s="3" t="n">
        <v>0.62</v>
      </c>
    </row>
    <row r="6" customFormat="false" ht="15" hidden="false" customHeight="false" outlineLevel="0" collapsed="false">
      <c r="A6" s="0" t="s">
        <v>4</v>
      </c>
      <c r="B6" s="3" t="n">
        <v>0.78</v>
      </c>
    </row>
    <row r="7" customFormat="false" ht="15" hidden="false" customHeight="false" outlineLevel="0" collapsed="false">
      <c r="A7" s="0" t="s">
        <v>5</v>
      </c>
      <c r="B7" s="4" t="n">
        <v>2.4</v>
      </c>
    </row>
    <row r="8" customFormat="false" ht="15" hidden="false" customHeight="false" outlineLevel="0" collapsed="false">
      <c r="A8" s="0" t="s">
        <v>6</v>
      </c>
      <c r="B8" s="4" t="n">
        <v>2.5</v>
      </c>
    </row>
    <row r="9" customFormat="false" ht="15" hidden="false" customHeight="false" outlineLevel="0" collapsed="false">
      <c r="A9" s="0" t="s">
        <v>7</v>
      </c>
      <c r="B9" s="1" t="n">
        <v>260</v>
      </c>
    </row>
    <row r="10" customFormat="false" ht="15" hidden="false" customHeight="false" outlineLevel="0" collapsed="false">
      <c r="A10" s="0" t="s">
        <v>8</v>
      </c>
      <c r="B10" s="1" t="n">
        <v>650</v>
      </c>
    </row>
    <row r="11" customFormat="false" ht="15" hidden="false" customHeight="false" outlineLevel="0" collapsed="false">
      <c r="A11" s="0" t="s">
        <v>9</v>
      </c>
      <c r="B11" s="1" t="n">
        <v>95000</v>
      </c>
    </row>
    <row r="12" customFormat="false" ht="15" hidden="false" customHeight="false" outlineLevel="0" collapsed="false">
      <c r="A12" s="0" t="s">
        <v>10</v>
      </c>
      <c r="B12" s="3" t="n">
        <v>0.28</v>
      </c>
    </row>
    <row r="13" customFormat="false" ht="15" hidden="false" customHeight="false" outlineLevel="0" collapsed="false">
      <c r="A13" s="0" t="s">
        <v>11</v>
      </c>
      <c r="B13" s="3" t="n">
        <v>0.08</v>
      </c>
    </row>
    <row r="14" customFormat="false" ht="15" hidden="false" customHeight="false" outlineLevel="0" collapsed="false">
      <c r="A14" s="0" t="s">
        <v>12</v>
      </c>
      <c r="B14" s="2" t="n">
        <v>10</v>
      </c>
    </row>
    <row r="15" customFormat="false" ht="15" hidden="false" customHeight="false" outlineLevel="0" collapsed="false">
      <c r="A15" s="0" t="s">
        <v>13</v>
      </c>
      <c r="B15" s="3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s">
        <v>15</v>
      </c>
      <c r="C1" s="0" t="s">
        <v>16</v>
      </c>
    </row>
    <row r="2" customFormat="false" ht="15" hidden="false" customHeight="false" outlineLevel="0" collapsed="false">
      <c r="A2" s="0" t="n">
        <v>1</v>
      </c>
      <c r="B2" s="0" t="n">
        <v>10</v>
      </c>
      <c r="C2" s="0" t="n">
        <v>8</v>
      </c>
    </row>
    <row r="3" customFormat="false" ht="15" hidden="false" customHeight="false" outlineLevel="0" collapsed="false">
      <c r="A3" s="0" t="n">
        <v>2</v>
      </c>
      <c r="B3" s="0" t="n">
        <v>15</v>
      </c>
      <c r="C3" s="0" t="n">
        <v>12</v>
      </c>
    </row>
    <row r="4" customFormat="false" ht="15" hidden="false" customHeight="false" outlineLevel="0" collapsed="false">
      <c r="A4" s="0" t="n">
        <v>3</v>
      </c>
      <c r="B4" s="0" t="n">
        <v>25</v>
      </c>
      <c r="C4" s="0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17</v>
      </c>
      <c r="B3" s="4" t="n">
        <f aca="false">CHOOSE(Inputs!$B$4,Tariffs!B2,Tariffs!B3,Tariffs!B4)+MAX(0,Inputs!$B$8-1)*CHOOSE(Inputs!$B$4,Tariffs!C2,Tariffs!C3,Tariffs!C4)</f>
        <v>22</v>
      </c>
    </row>
    <row r="4" customFormat="false" ht="15" hidden="false" customHeight="false" outlineLevel="0" collapsed="false">
      <c r="A4" s="0" t="s">
        <v>18</v>
      </c>
      <c r="B4" s="1" t="n">
        <f aca="false">(Inputs!$B$3-Inputs!$B$9)*Inputs!$B$7*(260*Inputs!$B$5+105*Inputs!$B$6)</f>
        <v>694293.6</v>
      </c>
    </row>
    <row r="5" customFormat="false" ht="15" hidden="false" customHeight="false" outlineLevel="0" collapsed="false">
      <c r="A5" s="0" t="s">
        <v>19</v>
      </c>
      <c r="B5" s="1" t="n">
        <f aca="false">B3*B4</f>
        <v>15274459.2</v>
      </c>
    </row>
    <row r="6" customFormat="false" ht="15" hidden="false" customHeight="false" outlineLevel="0" collapsed="false">
      <c r="A6" s="0" t="s">
        <v>20</v>
      </c>
      <c r="B6" s="1" t="n">
        <f aca="false">Inputs!$B$9*Inputs!$B$10*12</f>
        <v>2028000</v>
      </c>
    </row>
    <row r="7" customFormat="false" ht="15" hidden="false" customHeight="false" outlineLevel="0" collapsed="false">
      <c r="A7" s="0" t="s">
        <v>21</v>
      </c>
      <c r="B7" s="1" t="n">
        <f aca="false">B5+B6</f>
        <v>17302459.2</v>
      </c>
    </row>
    <row r="8" customFormat="false" ht="15" hidden="false" customHeight="false" outlineLevel="0" collapsed="false">
      <c r="A8" s="0" t="s">
        <v>22</v>
      </c>
      <c r="B8" s="1" t="n">
        <f aca="false">-B7*Inputs!$B$12</f>
        <v>-4844688.576</v>
      </c>
    </row>
    <row r="9" customFormat="false" ht="15" hidden="false" customHeight="false" outlineLevel="0" collapsed="false">
      <c r="A9" s="0" t="s">
        <v>23</v>
      </c>
      <c r="B9" s="1" t="n">
        <f aca="false">B7+B8</f>
        <v>12457770.624</v>
      </c>
    </row>
    <row r="10" customFormat="false" ht="15" hidden="false" customHeight="false" outlineLevel="0" collapsed="false">
      <c r="A10" s="0" t="s">
        <v>24</v>
      </c>
      <c r="B10" s="1" t="n">
        <f aca="false">Inputs!$B$3*Inputs!$B$11</f>
        <v>137750000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25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</row>
    <row r="4" customFormat="false" ht="15" hidden="false" customHeight="false" outlineLevel="0" collapsed="false">
      <c r="A4" s="0" t="s">
        <v>26</v>
      </c>
      <c r="B4" s="0" t="n">
        <f aca="false">IF(AND(B$3&gt;=1,B$3&lt;=Inputs!$B$14),Operations!$B$9*(1+Inputs!$B$15)^(B$3-1),0)</f>
        <v>0</v>
      </c>
      <c r="C4" s="0" t="n">
        <f aca="false">IF(AND(C$3&gt;=1,C$3&lt;=Inputs!$B$14),Operations!$B$9*(1+Inputs!$B$15)^(C$3-1),0)</f>
        <v>12457770.624</v>
      </c>
      <c r="D4" s="0" t="n">
        <f aca="false">IF(AND(D$3&gt;=1,D$3&lt;=Inputs!$B$14),Operations!$B$9*(1+Inputs!$B$15)^(D$3-1),0)</f>
        <v>12831503.74272</v>
      </c>
      <c r="E4" s="0" t="n">
        <f aca="false">IF(AND(E$3&gt;=1,E$3&lt;=Inputs!$B$14),Operations!$B$9*(1+Inputs!$B$15)^(E$3-1),0)</f>
        <v>13216448.8550016</v>
      </c>
      <c r="F4" s="0" t="n">
        <f aca="false">IF(AND(F$3&gt;=1,F$3&lt;=Inputs!$B$14),Operations!$B$9*(1+Inputs!$B$15)^(F$3-1),0)</f>
        <v>13612942.3206516</v>
      </c>
      <c r="G4" s="0" t="n">
        <f aca="false">IF(AND(G$3&gt;=1,G$3&lt;=Inputs!$B$14),Operations!$B$9*(1+Inputs!$B$15)^(G$3-1),0)</f>
        <v>14021330.5902712</v>
      </c>
      <c r="H4" s="0" t="n">
        <f aca="false">IF(AND(H$3&gt;=1,H$3&lt;=Inputs!$B$14),Operations!$B$9*(1+Inputs!$B$15)^(H$3-1),0)</f>
        <v>14441970.5079793</v>
      </c>
      <c r="I4" s="0" t="n">
        <f aca="false">IF(AND(I$3&gt;=1,I$3&lt;=Inputs!$B$14),Operations!$B$9*(1+Inputs!$B$15)^(I$3-1),0)</f>
        <v>14875229.6232187</v>
      </c>
      <c r="J4" s="0" t="n">
        <f aca="false">IF(AND(J$3&gt;=1,J$3&lt;=Inputs!$B$14),Operations!$B$9*(1+Inputs!$B$15)^(J$3-1),0)</f>
        <v>15321486.5119153</v>
      </c>
      <c r="K4" s="0" t="n">
        <f aca="false">IF(AND(K$3&gt;=1,K$3&lt;=Inputs!$B$14),Operations!$B$9*(1+Inputs!$B$15)^(K$3-1),0)</f>
        <v>15781131.1072727</v>
      </c>
      <c r="L4" s="0" t="n">
        <f aca="false">IF(AND(L$3&gt;=1,L$3&lt;=Inputs!$B$14),Operations!$B$9*(1+Inputs!$B$15)^(L$3-1),0)</f>
        <v>16254565.0404909</v>
      </c>
      <c r="M4" s="0" t="n">
        <f aca="false">IF(AND(M$3&gt;=1,M$3&lt;=Inputs!$B$14),Operations!$B$9*(1+Inputs!$B$15)^(M$3-1),0)</f>
        <v>0</v>
      </c>
      <c r="N4" s="0" t="n">
        <f aca="false">IF(AND(N$3&gt;=1,N$3&lt;=Inputs!$B$14),Operations!$B$9*(1+Inputs!$B$15)^(N$3-1),0)</f>
        <v>0</v>
      </c>
    </row>
    <row r="5" customFormat="false" ht="15" hidden="false" customHeight="false" outlineLevel="0" collapsed="false">
      <c r="A5" s="0" t="s">
        <v>27</v>
      </c>
      <c r="B5" s="0" t="n">
        <f aca="false">IF(B$3=0,-Operations!$B$10,0)</f>
        <v>-137750000</v>
      </c>
      <c r="C5" s="0" t="n">
        <f aca="false">IF(C$3=0,-Operations!$B$10,0)</f>
        <v>0</v>
      </c>
      <c r="D5" s="0" t="n">
        <f aca="false">IF(D$3=0,-Operations!$B$10,0)</f>
        <v>0</v>
      </c>
      <c r="E5" s="0" t="n">
        <f aca="false">IF(E$3=0,-Operations!$B$10,0)</f>
        <v>0</v>
      </c>
      <c r="F5" s="0" t="n">
        <f aca="false">IF(F$3=0,-Operations!$B$10,0)</f>
        <v>0</v>
      </c>
      <c r="G5" s="0" t="n">
        <f aca="false">IF(G$3=0,-Operations!$B$10,0)</f>
        <v>0</v>
      </c>
      <c r="H5" s="0" t="n">
        <f aca="false">IF(H$3=0,-Operations!$B$10,0)</f>
        <v>0</v>
      </c>
      <c r="I5" s="0" t="n">
        <f aca="false">IF(I$3=0,-Operations!$B$10,0)</f>
        <v>0</v>
      </c>
      <c r="J5" s="0" t="n">
        <f aca="false">IF(J$3=0,-Operations!$B$10,0)</f>
        <v>0</v>
      </c>
      <c r="K5" s="0" t="n">
        <f aca="false">IF(K$3=0,-Operations!$B$10,0)</f>
        <v>0</v>
      </c>
      <c r="L5" s="0" t="n">
        <f aca="false">IF(L$3=0,-Operations!$B$10,0)</f>
        <v>0</v>
      </c>
      <c r="M5" s="0" t="n">
        <f aca="false">IF(M$3=0,-Operations!$B$10,0)</f>
        <v>0</v>
      </c>
      <c r="N5" s="0" t="n">
        <f aca="false">IF(N$3=0,-Operations!$B$10,0)</f>
        <v>0</v>
      </c>
    </row>
    <row r="6" customFormat="false" ht="15" hidden="false" customHeight="false" outlineLevel="0" collapsed="false">
      <c r="A6" s="0" t="s">
        <v>28</v>
      </c>
      <c r="B6" s="0" t="n">
        <f aca="false">IF(B$3=Inputs!$B$14,Operations!$B$9*(1+Inputs!$B$15)^B$3/Inputs!$B$13,0)</f>
        <v>0</v>
      </c>
      <c r="C6" s="0" t="n">
        <f aca="false">IF(C$3=Inputs!$B$14,Operations!$B$9*(1+Inputs!$B$15)^C$3/Inputs!$B$13,0)</f>
        <v>0</v>
      </c>
      <c r="D6" s="0" t="n">
        <f aca="false">IF(D$3=Inputs!$B$14,Operations!$B$9*(1+Inputs!$B$15)^D$3/Inputs!$B$13,0)</f>
        <v>0</v>
      </c>
      <c r="E6" s="0" t="n">
        <f aca="false">IF(E$3=Inputs!$B$14,Operations!$B$9*(1+Inputs!$B$15)^E$3/Inputs!$B$13,0)</f>
        <v>0</v>
      </c>
      <c r="F6" s="0" t="n">
        <f aca="false">IF(F$3=Inputs!$B$14,Operations!$B$9*(1+Inputs!$B$15)^F$3/Inputs!$B$13,0)</f>
        <v>0</v>
      </c>
      <c r="G6" s="0" t="n">
        <f aca="false">IF(G$3=Inputs!$B$14,Operations!$B$9*(1+Inputs!$B$15)^G$3/Inputs!$B$13,0)</f>
        <v>0</v>
      </c>
      <c r="H6" s="0" t="n">
        <f aca="false">IF(H$3=Inputs!$B$14,Operations!$B$9*(1+Inputs!$B$15)^H$3/Inputs!$B$13,0)</f>
        <v>0</v>
      </c>
      <c r="I6" s="0" t="n">
        <f aca="false">IF(I$3=Inputs!$B$14,Operations!$B$9*(1+Inputs!$B$15)^I$3/Inputs!$B$13,0)</f>
        <v>0</v>
      </c>
      <c r="J6" s="0" t="n">
        <f aca="false">IF(J$3=Inputs!$B$14,Operations!$B$9*(1+Inputs!$B$15)^J$3/Inputs!$B$13,0)</f>
        <v>0</v>
      </c>
      <c r="K6" s="0" t="n">
        <f aca="false">IF(K$3=Inputs!$B$14,Operations!$B$9*(1+Inputs!$B$15)^K$3/Inputs!$B$13,0)</f>
        <v>0</v>
      </c>
      <c r="L6" s="0" t="n">
        <f aca="false">IF(L$3=Inputs!$B$14,Operations!$B$9*(1+Inputs!$B$15)^L$3/Inputs!$B$13,0)</f>
        <v>209277524.896321</v>
      </c>
      <c r="M6" s="0" t="n">
        <f aca="false">IF(M$3=Inputs!$B$14,Operations!$B$9*(1+Inputs!$B$15)^M$3/Inputs!$B$13,0)</f>
        <v>0</v>
      </c>
      <c r="N6" s="0" t="n">
        <f aca="false">IF(N$3=Inputs!$B$14,Operations!$B$9*(1+Inputs!$B$15)^N$3/Inputs!$B$13,0)</f>
        <v>0</v>
      </c>
    </row>
    <row r="7" customFormat="false" ht="15" hidden="false" customHeight="false" outlineLevel="0" collapsed="false">
      <c r="A7" s="0" t="s">
        <v>29</v>
      </c>
      <c r="B7" s="0" t="n">
        <f aca="false">SUM(B4:B6)</f>
        <v>-137750000</v>
      </c>
      <c r="C7" s="0" t="n">
        <f aca="false">SUM(C4:C6)</f>
        <v>12457770.624</v>
      </c>
      <c r="D7" s="0" t="n">
        <f aca="false">SUM(D4:D6)</f>
        <v>12831503.74272</v>
      </c>
      <c r="E7" s="0" t="n">
        <f aca="false">SUM(E4:E6)</f>
        <v>13216448.8550016</v>
      </c>
      <c r="F7" s="0" t="n">
        <f aca="false">SUM(F4:F6)</f>
        <v>13612942.3206516</v>
      </c>
      <c r="G7" s="0" t="n">
        <f aca="false">SUM(G4:G6)</f>
        <v>14021330.5902712</v>
      </c>
      <c r="H7" s="0" t="n">
        <f aca="false">SUM(H4:H6)</f>
        <v>14441970.5079793</v>
      </c>
      <c r="I7" s="0" t="n">
        <f aca="false">SUM(I4:I6)</f>
        <v>14875229.6232187</v>
      </c>
      <c r="J7" s="0" t="n">
        <f aca="false">SUM(J4:J6)</f>
        <v>15321486.5119153</v>
      </c>
      <c r="K7" s="0" t="n">
        <f aca="false">SUM(K4:K6)</f>
        <v>15781131.1072727</v>
      </c>
      <c r="L7" s="0" t="n">
        <f aca="false">SUM(L4:L6)</f>
        <v>225532089.936811</v>
      </c>
      <c r="M7" s="0" t="n">
        <f aca="false">SUM(M4:M6)</f>
        <v>0</v>
      </c>
      <c r="N7" s="0" t="n">
        <f aca="false">SUM(N4:N6)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30</v>
      </c>
      <c r="B3" s="3" t="n">
        <f aca="false">IRR('Cash Flow'!B7:N7)</f>
        <v>0.129026745829376</v>
      </c>
    </row>
    <row r="4" customFormat="false" ht="15" hidden="false" customHeight="false" outlineLevel="0" collapsed="false">
      <c r="A4" s="0" t="s">
        <v>31</v>
      </c>
      <c r="B4" s="3" t="n">
        <f aca="false">Operations!B9/Operations!B10</f>
        <v>0.0904375362903811</v>
      </c>
    </row>
    <row r="5" customFormat="false" ht="15" hidden="false" customHeight="false" outlineLevel="0" collapsed="false">
      <c r="A5" s="0" t="s">
        <v>32</v>
      </c>
      <c r="B5" s="1" t="n">
        <f aca="false">SUM('Cash Flow'!B7:N7)</f>
        <v>214341903.819842</v>
      </c>
    </row>
    <row r="6" customFormat="false" ht="15" hidden="false" customHeight="false" outlineLevel="0" collapsed="false">
      <c r="A6" s="0" t="s">
        <v>33</v>
      </c>
      <c r="B6" s="1" t="n">
        <f aca="false">Operations!B10</f>
        <v>137750000</v>
      </c>
    </row>
    <row r="7" customFormat="false" ht="15" hidden="false" customHeight="false" outlineLevel="0" collapsed="false">
      <c r="A7" s="0" t="s">
        <v>34</v>
      </c>
      <c r="B7" s="1" t="n">
        <f aca="false">Operations!B7/Inputs!$B$3</f>
        <v>11932.7304827586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2026-10-16T19:29:57Z</dcterms:created>
  <dc:creator>openpyxl</dc:creator>
  <dc:description/>
  <dc:language>en-US</dc:language>
  <cp:lastModifiedBy/>
  <dcterms:modified xsi:type="dcterms:W3CDTF">2026-10-16T19:29:57Z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