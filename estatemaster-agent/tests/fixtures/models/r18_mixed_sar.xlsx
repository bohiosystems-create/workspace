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Scenarios" sheetId="2" state="visible" r:id="rId4"/>
    <sheet name="Cash Flow" sheetId="3" state="visible" r:id="rId5"/>
    <sheet name="Retur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<sst xmlns="http://schemas.openxmlformats.org/spreadsheetml/2006/main" count="49" uniqueCount="48">
  <si>
    <t xml:space="preserve">AL WAHA MIXED-USE – PHASED DEVELOPMENT (SAR)</t>
  </si>
  <si>
    <t xml:space="preserve">Active scenario (1 Base, 2 Downside, 3 Upside)</t>
  </si>
  <si>
    <t xml:space="preserve">Land (SAR)</t>
  </si>
  <si>
    <t xml:space="preserve">Real estate transaction tax</t>
  </si>
  <si>
    <t xml:space="preserve">Residential GFA (sqm)</t>
  </si>
  <si>
    <t xml:space="preserve">Office GLA (sqm)</t>
  </si>
  <si>
    <t xml:space="preserve">Retail GLA (sqm)</t>
  </si>
  <si>
    <t xml:space="preserve">Phase 1 residential start (year)</t>
  </si>
  <si>
    <t xml:space="preserve">Phase 2 office start (year)</t>
  </si>
  <si>
    <t xml:space="preserve">Phase 3 retail start (year)</t>
  </si>
  <si>
    <t xml:space="preserve">Murabaha (% of cost)</t>
  </si>
  <si>
    <t xml:space="preserve">Murabaha profit rate</t>
  </si>
  <si>
    <t xml:space="preserve">Zakat</t>
  </si>
  <si>
    <t xml:space="preserve">Discount rate</t>
  </si>
  <si>
    <t xml:space="preserve">Assumption</t>
  </si>
  <si>
    <t xml:space="preserve">Base</t>
  </si>
  <si>
    <t xml:space="preserve">Downside</t>
  </si>
  <si>
    <t xml:space="preserve">Upside</t>
  </si>
  <si>
    <t xml:space="preserve">Live</t>
  </si>
  <si>
    <t xml:space="preserve">Residential sale price (SAR/sqm)</t>
  </si>
  <si>
    <t xml:space="preserve">Office rent (SAR/sqm/yr)</t>
  </si>
  <si>
    <t xml:space="preserve">Retail rent (SAR/sqm/yr)</t>
  </si>
  <si>
    <t xml:space="preserve">Exit yield</t>
  </si>
  <si>
    <t xml:space="preserve">Construction cost (SAR/sqm)</t>
  </si>
  <si>
    <t xml:space="preserve">Year</t>
  </si>
  <si>
    <t xml:space="preserve">Land and RETT</t>
  </si>
  <si>
    <t xml:space="preserve">Residential build</t>
  </si>
  <si>
    <t xml:space="preserve">Office build</t>
  </si>
  <si>
    <t xml:space="preserve">Retail build</t>
  </si>
  <si>
    <t xml:space="preserve">Total cost</t>
  </si>
  <si>
    <t xml:space="preserve">Residential sales</t>
  </si>
  <si>
    <t xml:space="preserve">Office NOI</t>
  </si>
  <si>
    <t xml:space="preserve">Retail NOI</t>
  </si>
  <si>
    <t xml:space="preserve">Exit value</t>
  </si>
  <si>
    <t xml:space="preserve">Revenue</t>
  </si>
  <si>
    <t xml:space="preserve">Murabaha drawn</t>
  </si>
  <si>
    <t xml:space="preserve">Murabaha profit</t>
  </si>
  <si>
    <t xml:space="preserve">Murabaha repaid</t>
  </si>
  <si>
    <t xml:space="preserve">Murabaha balance</t>
  </si>
  <si>
    <t xml:space="preserve">Pre-zakat cash flow</t>
  </si>
  <si>
    <t xml:space="preserve">Unlevered cash flow</t>
  </si>
  <si>
    <t xml:space="preserve">Equity cash flow</t>
  </si>
  <si>
    <t xml:space="preserve">Project IRR</t>
  </si>
  <si>
    <t xml:space="preserve">Equity IRR</t>
  </si>
  <si>
    <t xml:space="preserve">NPV at the discount rate</t>
  </si>
  <si>
    <t xml:space="preserve">Profit after zakat</t>
  </si>
  <si>
    <t xml:space="preserve">Peak murabaha</t>
  </si>
  <si>
    <t xml:space="preserve">Total development cost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</si>
</sst>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#,##0"/>
    <numFmt numFmtId="167" formatCode="0.00%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1</v>
      </c>
    </row>
    <row r="4" customFormat="false" ht="15" hidden="false" customHeight="false" outlineLevel="0" collapsed="false">
      <c r="A4" s="0" t="s">
        <v>2</v>
      </c>
      <c r="B4" s="2" t="n">
        <v>240000000</v>
      </c>
    </row>
    <row r="5" customFormat="false" ht="15" hidden="false" customHeight="false" outlineLevel="0" collapsed="false">
      <c r="A5" s="0" t="s">
        <v>3</v>
      </c>
      <c r="B5" s="3" t="n">
        <v>0.05</v>
      </c>
    </row>
    <row r="6" customFormat="false" ht="15" hidden="false" customHeight="false" outlineLevel="0" collapsed="false">
      <c r="A6" s="0" t="s">
        <v>4</v>
      </c>
      <c r="B6" s="2" t="n">
        <v>60000</v>
      </c>
    </row>
    <row r="7" customFormat="false" ht="15" hidden="false" customHeight="false" outlineLevel="0" collapsed="false">
      <c r="A7" s="0" t="s">
        <v>5</v>
      </c>
      <c r="B7" s="2" t="n">
        <v>35000</v>
      </c>
    </row>
    <row r="8" customFormat="false" ht="15" hidden="false" customHeight="false" outlineLevel="0" collapsed="false">
      <c r="A8" s="0" t="s">
        <v>6</v>
      </c>
      <c r="B8" s="2" t="n">
        <v>18000</v>
      </c>
    </row>
    <row r="9" customFormat="false" ht="15" hidden="false" customHeight="false" outlineLevel="0" collapsed="false">
      <c r="A9" s="0" t="s">
        <v>7</v>
      </c>
      <c r="B9" s="1" t="n">
        <v>1</v>
      </c>
    </row>
    <row r="10" customFormat="false" ht="15" hidden="false" customHeight="false" outlineLevel="0" collapsed="false">
      <c r="A10" s="0" t="s">
        <v>8</v>
      </c>
      <c r="B10" s="1" t="n">
        <v>2</v>
      </c>
    </row>
    <row r="11" customFormat="false" ht="15" hidden="false" customHeight="false" outlineLevel="0" collapsed="false">
      <c r="A11" s="0" t="s">
        <v>9</v>
      </c>
      <c r="B11" s="1" t="n">
        <v>3</v>
      </c>
    </row>
    <row r="12" customFormat="false" ht="15" hidden="false" customHeight="false" outlineLevel="0" collapsed="false">
      <c r="A12" s="0" t="s">
        <v>10</v>
      </c>
      <c r="B12" s="3" t="n">
        <v>0.55</v>
      </c>
    </row>
    <row r="13" customFormat="false" ht="15" hidden="false" customHeight="false" outlineLevel="0" collapsed="false">
      <c r="A13" s="0" t="s">
        <v>11</v>
      </c>
      <c r="B13" s="3" t="n">
        <v>0.065</v>
      </c>
    </row>
    <row r="14" customFormat="false" ht="15" hidden="false" customHeight="false" outlineLevel="0" collapsed="false">
      <c r="A14" s="0" t="s">
        <v>12</v>
      </c>
      <c r="B14" s="3" t="n">
        <v>0.025</v>
      </c>
    </row>
    <row r="15" customFormat="false" ht="15" hidden="false" customHeight="false" outlineLevel="0" collapsed="false">
      <c r="A15" s="0" t="s">
        <v>13</v>
      </c>
      <c r="B15" s="3" t="n">
        <v>0.1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14</v>
      </c>
      <c r="B1" s="0" t="s">
        <v>15</v>
      </c>
      <c r="C1" s="0" t="s">
        <v>16</v>
      </c>
      <c r="D1" s="0" t="s">
        <v>17</v>
      </c>
      <c r="E1" s="0" t="s">
        <v>18</v>
      </c>
    </row>
    <row r="2" customFormat="false" ht="15" hidden="false" customHeight="false" outlineLevel="0" collapsed="false">
      <c r="A2" s="0" t="s">
        <v>19</v>
      </c>
      <c r="B2" s="2" t="n">
        <v>9500</v>
      </c>
      <c r="C2" s="2" t="n">
        <v>8400</v>
      </c>
      <c r="D2" s="2" t="n">
        <v>10200</v>
      </c>
      <c r="E2" s="2" t="n">
        <f aca="false">CHOOSE(Inputs!$B$3,B2,C2,D2)</f>
        <v>9500</v>
      </c>
    </row>
    <row r="3" customFormat="false" ht="15" hidden="false" customHeight="false" outlineLevel="0" collapsed="false">
      <c r="A3" s="0" t="s">
        <v>20</v>
      </c>
      <c r="B3" s="2" t="n">
        <v>1100</v>
      </c>
      <c r="C3" s="2" t="n">
        <v>950</v>
      </c>
      <c r="D3" s="2" t="n">
        <v>1200</v>
      </c>
      <c r="E3" s="2" t="n">
        <f aca="false">CHOOSE(Inputs!$B$3,B3,C3,D3)</f>
        <v>1100</v>
      </c>
    </row>
    <row r="4" customFormat="false" ht="15" hidden="false" customHeight="false" outlineLevel="0" collapsed="false">
      <c r="A4" s="0" t="s">
        <v>21</v>
      </c>
      <c r="B4" s="2" t="n">
        <v>1600</v>
      </c>
      <c r="C4" s="2" t="n">
        <v>1350</v>
      </c>
      <c r="D4" s="2" t="n">
        <v>1750</v>
      </c>
      <c r="E4" s="2" t="n">
        <f aca="false">CHOOSE(Inputs!$B$3,B4,C4,D4)</f>
        <v>1600</v>
      </c>
    </row>
    <row r="5" customFormat="false" ht="15" hidden="false" customHeight="false" outlineLevel="0" collapsed="false">
      <c r="A5" s="0" t="s">
        <v>22</v>
      </c>
      <c r="B5" s="3" t="n">
        <v>0.075</v>
      </c>
      <c r="C5" s="3" t="n">
        <v>0.085</v>
      </c>
      <c r="D5" s="3" t="n">
        <v>0.07</v>
      </c>
      <c r="E5" s="3" t="n">
        <f aca="false">CHOOSE(Inputs!$B$3,B5,C5,D5)</f>
        <v>0.075</v>
      </c>
    </row>
    <row r="6" customFormat="false" ht="15" hidden="false" customHeight="false" outlineLevel="0" collapsed="false">
      <c r="A6" s="0" t="s">
        <v>23</v>
      </c>
      <c r="B6" s="2" t="n">
        <v>4200</v>
      </c>
      <c r="C6" s="2" t="n">
        <v>4600</v>
      </c>
      <c r="D6" s="2" t="n">
        <v>4100</v>
      </c>
      <c r="E6" s="2" t="n">
        <f aca="false">CHOOSE(Inputs!$B$3,B6,C6,D6)</f>
        <v>4200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24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  <c r="J3" s="0" t="n">
        <v>8</v>
      </c>
      <c r="K3" s="0" t="n">
        <v>9</v>
      </c>
      <c r="L3" s="0" t="n">
        <v>10</v>
      </c>
      <c r="M3" s="0" t="n">
        <v>11</v>
      </c>
      <c r="N3" s="0" t="n">
        <v>12</v>
      </c>
    </row>
    <row r="4" customFormat="false" ht="15" hidden="false" customHeight="false" outlineLevel="0" collapsed="false">
      <c r="A4" s="0" t="s">
        <v>25</v>
      </c>
      <c r="B4" s="0" t="n">
        <f aca="false">IF(B$3=0,Inputs!$B$4*(1+Inputs!$B$5),0)</f>
        <v>252000000</v>
      </c>
      <c r="C4" s="0" t="n">
        <f aca="false">IF(C$3=0,Inputs!$B$4*(1+Inputs!$B$5),0)</f>
        <v>0</v>
      </c>
      <c r="D4" s="0" t="n">
        <f aca="false">IF(D$3=0,Inputs!$B$4*(1+Inputs!$B$5),0)</f>
        <v>0</v>
      </c>
      <c r="E4" s="0" t="n">
        <f aca="false">IF(E$3=0,Inputs!$B$4*(1+Inputs!$B$5),0)</f>
        <v>0</v>
      </c>
      <c r="F4" s="0" t="n">
        <f aca="false">IF(F$3=0,Inputs!$B$4*(1+Inputs!$B$5),0)</f>
        <v>0</v>
      </c>
      <c r="G4" s="0" t="n">
        <f aca="false">IF(G$3=0,Inputs!$B$4*(1+Inputs!$B$5),0)</f>
        <v>0</v>
      </c>
      <c r="H4" s="0" t="n">
        <f aca="false">IF(H$3=0,Inputs!$B$4*(1+Inputs!$B$5),0)</f>
        <v>0</v>
      </c>
      <c r="I4" s="0" t="n">
        <f aca="false">IF(I$3=0,Inputs!$B$4*(1+Inputs!$B$5),0)</f>
        <v>0</v>
      </c>
      <c r="J4" s="0" t="n">
        <f aca="false">IF(J$3=0,Inputs!$B$4*(1+Inputs!$B$5),0)</f>
        <v>0</v>
      </c>
      <c r="K4" s="0" t="n">
        <f aca="false">IF(K$3=0,Inputs!$B$4*(1+Inputs!$B$5),0)</f>
        <v>0</v>
      </c>
      <c r="L4" s="0" t="n">
        <f aca="false">IF(L$3=0,Inputs!$B$4*(1+Inputs!$B$5),0)</f>
        <v>0</v>
      </c>
      <c r="M4" s="0" t="n">
        <f aca="false">IF(M$3=0,Inputs!$B$4*(1+Inputs!$B$5),0)</f>
        <v>0</v>
      </c>
      <c r="N4" s="0" t="n">
        <f aca="false">IF(N$3=0,Inputs!$B$4*(1+Inputs!$B$5),0)</f>
        <v>0</v>
      </c>
    </row>
    <row r="5" customFormat="false" ht="15" hidden="false" customHeight="false" outlineLevel="0" collapsed="false">
      <c r="A5" s="0" t="s">
        <v>26</v>
      </c>
      <c r="B5" s="0" t="n">
        <f aca="false">IF(AND(B$3&gt;=Inputs!$B$9,B$3&lt;Inputs!$B$9+2),Inputs!$B$6*Scenarios!$E$6/2,0)</f>
        <v>0</v>
      </c>
      <c r="C5" s="0" t="n">
        <f aca="false">IF(AND(C$3&gt;=Inputs!$B$9,C$3&lt;Inputs!$B$9+2),Inputs!$B$6*Scenarios!$E$6/2,0)</f>
        <v>126000000</v>
      </c>
      <c r="D5" s="0" t="n">
        <f aca="false">IF(AND(D$3&gt;=Inputs!$B$9,D$3&lt;Inputs!$B$9+2),Inputs!$B$6*Scenarios!$E$6/2,0)</f>
        <v>126000000</v>
      </c>
      <c r="E5" s="0" t="n">
        <f aca="false">IF(AND(E$3&gt;=Inputs!$B$9,E$3&lt;Inputs!$B$9+2),Inputs!$B$6*Scenarios!$E$6/2,0)</f>
        <v>0</v>
      </c>
      <c r="F5" s="0" t="n">
        <f aca="false">IF(AND(F$3&gt;=Inputs!$B$9,F$3&lt;Inputs!$B$9+2),Inputs!$B$6*Scenarios!$E$6/2,0)</f>
        <v>0</v>
      </c>
      <c r="G5" s="0" t="n">
        <f aca="false">IF(AND(G$3&gt;=Inputs!$B$9,G$3&lt;Inputs!$B$9+2),Inputs!$B$6*Scenarios!$E$6/2,0)</f>
        <v>0</v>
      </c>
      <c r="H5" s="0" t="n">
        <f aca="false">IF(AND(H$3&gt;=Inputs!$B$9,H$3&lt;Inputs!$B$9+2),Inputs!$B$6*Scenarios!$E$6/2,0)</f>
        <v>0</v>
      </c>
      <c r="I5" s="0" t="n">
        <f aca="false">IF(AND(I$3&gt;=Inputs!$B$9,I$3&lt;Inputs!$B$9+2),Inputs!$B$6*Scenarios!$E$6/2,0)</f>
        <v>0</v>
      </c>
      <c r="J5" s="0" t="n">
        <f aca="false">IF(AND(J$3&gt;=Inputs!$B$9,J$3&lt;Inputs!$B$9+2),Inputs!$B$6*Scenarios!$E$6/2,0)</f>
        <v>0</v>
      </c>
      <c r="K5" s="0" t="n">
        <f aca="false">IF(AND(K$3&gt;=Inputs!$B$9,K$3&lt;Inputs!$B$9+2),Inputs!$B$6*Scenarios!$E$6/2,0)</f>
        <v>0</v>
      </c>
      <c r="L5" s="0" t="n">
        <f aca="false">IF(AND(L$3&gt;=Inputs!$B$9,L$3&lt;Inputs!$B$9+2),Inputs!$B$6*Scenarios!$E$6/2,0)</f>
        <v>0</v>
      </c>
      <c r="M5" s="0" t="n">
        <f aca="false">IF(AND(M$3&gt;=Inputs!$B$9,M$3&lt;Inputs!$B$9+2),Inputs!$B$6*Scenarios!$E$6/2,0)</f>
        <v>0</v>
      </c>
      <c r="N5" s="0" t="n">
        <f aca="false">IF(AND(N$3&gt;=Inputs!$B$9,N$3&lt;Inputs!$B$9+2),Inputs!$B$6*Scenarios!$E$6/2,0)</f>
        <v>0</v>
      </c>
    </row>
    <row r="6" customFormat="false" ht="15" hidden="false" customHeight="false" outlineLevel="0" collapsed="false">
      <c r="A6" s="0" t="s">
        <v>27</v>
      </c>
      <c r="B6" s="0" t="n">
        <f aca="false">IF(AND(B$3&gt;=Inputs!$B$10,B$3&lt;Inputs!$B$10+2),Inputs!$B$7*Scenarios!$E$6/2,0)</f>
        <v>0</v>
      </c>
      <c r="C6" s="0" t="n">
        <f aca="false">IF(AND(C$3&gt;=Inputs!$B$10,C$3&lt;Inputs!$B$10+2),Inputs!$B$7*Scenarios!$E$6/2,0)</f>
        <v>0</v>
      </c>
      <c r="D6" s="0" t="n">
        <f aca="false">IF(AND(D$3&gt;=Inputs!$B$10,D$3&lt;Inputs!$B$10+2),Inputs!$B$7*Scenarios!$E$6/2,0)</f>
        <v>73500000</v>
      </c>
      <c r="E6" s="0" t="n">
        <f aca="false">IF(AND(E$3&gt;=Inputs!$B$10,E$3&lt;Inputs!$B$10+2),Inputs!$B$7*Scenarios!$E$6/2,0)</f>
        <v>73500000</v>
      </c>
      <c r="F6" s="0" t="n">
        <f aca="false">IF(AND(F$3&gt;=Inputs!$B$10,F$3&lt;Inputs!$B$10+2),Inputs!$B$7*Scenarios!$E$6/2,0)</f>
        <v>0</v>
      </c>
      <c r="G6" s="0" t="n">
        <f aca="false">IF(AND(G$3&gt;=Inputs!$B$10,G$3&lt;Inputs!$B$10+2),Inputs!$B$7*Scenarios!$E$6/2,0)</f>
        <v>0</v>
      </c>
      <c r="H6" s="0" t="n">
        <f aca="false">IF(AND(H$3&gt;=Inputs!$B$10,H$3&lt;Inputs!$B$10+2),Inputs!$B$7*Scenarios!$E$6/2,0)</f>
        <v>0</v>
      </c>
      <c r="I6" s="0" t="n">
        <f aca="false">IF(AND(I$3&gt;=Inputs!$B$10,I$3&lt;Inputs!$B$10+2),Inputs!$B$7*Scenarios!$E$6/2,0)</f>
        <v>0</v>
      </c>
      <c r="J6" s="0" t="n">
        <f aca="false">IF(AND(J$3&gt;=Inputs!$B$10,J$3&lt;Inputs!$B$10+2),Inputs!$B$7*Scenarios!$E$6/2,0)</f>
        <v>0</v>
      </c>
      <c r="K6" s="0" t="n">
        <f aca="false">IF(AND(K$3&gt;=Inputs!$B$10,K$3&lt;Inputs!$B$10+2),Inputs!$B$7*Scenarios!$E$6/2,0)</f>
        <v>0</v>
      </c>
      <c r="L6" s="0" t="n">
        <f aca="false">IF(AND(L$3&gt;=Inputs!$B$10,L$3&lt;Inputs!$B$10+2),Inputs!$B$7*Scenarios!$E$6/2,0)</f>
        <v>0</v>
      </c>
      <c r="M6" s="0" t="n">
        <f aca="false">IF(AND(M$3&gt;=Inputs!$B$10,M$3&lt;Inputs!$B$10+2),Inputs!$B$7*Scenarios!$E$6/2,0)</f>
        <v>0</v>
      </c>
      <c r="N6" s="0" t="n">
        <f aca="false">IF(AND(N$3&gt;=Inputs!$B$10,N$3&lt;Inputs!$B$10+2),Inputs!$B$7*Scenarios!$E$6/2,0)</f>
        <v>0</v>
      </c>
    </row>
    <row r="7" customFormat="false" ht="15" hidden="false" customHeight="false" outlineLevel="0" collapsed="false">
      <c r="A7" s="0" t="s">
        <v>28</v>
      </c>
      <c r="B7" s="0" t="n">
        <f aca="false">IF(AND(B$3&gt;=Inputs!$B$11,B$3&lt;Inputs!$B$11+2),Inputs!$B$8*Scenarios!$E$6/2,0)</f>
        <v>0</v>
      </c>
      <c r="C7" s="0" t="n">
        <f aca="false">IF(AND(C$3&gt;=Inputs!$B$11,C$3&lt;Inputs!$B$11+2),Inputs!$B$8*Scenarios!$E$6/2,0)</f>
        <v>0</v>
      </c>
      <c r="D7" s="0" t="n">
        <f aca="false">IF(AND(D$3&gt;=Inputs!$B$11,D$3&lt;Inputs!$B$11+2),Inputs!$B$8*Scenarios!$E$6/2,0)</f>
        <v>0</v>
      </c>
      <c r="E7" s="0" t="n">
        <f aca="false">IF(AND(E$3&gt;=Inputs!$B$11,E$3&lt;Inputs!$B$11+2),Inputs!$B$8*Scenarios!$E$6/2,0)</f>
        <v>37800000</v>
      </c>
      <c r="F7" s="0" t="n">
        <f aca="false">IF(AND(F$3&gt;=Inputs!$B$11,F$3&lt;Inputs!$B$11+2),Inputs!$B$8*Scenarios!$E$6/2,0)</f>
        <v>37800000</v>
      </c>
      <c r="G7" s="0" t="n">
        <f aca="false">IF(AND(G$3&gt;=Inputs!$B$11,G$3&lt;Inputs!$B$11+2),Inputs!$B$8*Scenarios!$E$6/2,0)</f>
        <v>0</v>
      </c>
      <c r="H7" s="0" t="n">
        <f aca="false">IF(AND(H$3&gt;=Inputs!$B$11,H$3&lt;Inputs!$B$11+2),Inputs!$B$8*Scenarios!$E$6/2,0)</f>
        <v>0</v>
      </c>
      <c r="I7" s="0" t="n">
        <f aca="false">IF(AND(I$3&gt;=Inputs!$B$11,I$3&lt;Inputs!$B$11+2),Inputs!$B$8*Scenarios!$E$6/2,0)</f>
        <v>0</v>
      </c>
      <c r="J7" s="0" t="n">
        <f aca="false">IF(AND(J$3&gt;=Inputs!$B$11,J$3&lt;Inputs!$B$11+2),Inputs!$B$8*Scenarios!$E$6/2,0)</f>
        <v>0</v>
      </c>
      <c r="K7" s="0" t="n">
        <f aca="false">IF(AND(K$3&gt;=Inputs!$B$11,K$3&lt;Inputs!$B$11+2),Inputs!$B$8*Scenarios!$E$6/2,0)</f>
        <v>0</v>
      </c>
      <c r="L7" s="0" t="n">
        <f aca="false">IF(AND(L$3&gt;=Inputs!$B$11,L$3&lt;Inputs!$B$11+2),Inputs!$B$8*Scenarios!$E$6/2,0)</f>
        <v>0</v>
      </c>
      <c r="M7" s="0" t="n">
        <f aca="false">IF(AND(M$3&gt;=Inputs!$B$11,M$3&lt;Inputs!$B$11+2),Inputs!$B$8*Scenarios!$E$6/2,0)</f>
        <v>0</v>
      </c>
      <c r="N7" s="0" t="n">
        <f aca="false">IF(AND(N$3&gt;=Inputs!$B$11,N$3&lt;Inputs!$B$11+2),Inputs!$B$8*Scenarios!$E$6/2,0)</f>
        <v>0</v>
      </c>
    </row>
    <row r="8" customFormat="false" ht="15" hidden="false" customHeight="false" outlineLevel="0" collapsed="false">
      <c r="A8" s="0" t="s">
        <v>29</v>
      </c>
      <c r="B8" s="0" t="n">
        <f aca="false">SUM(B4:B7)</f>
        <v>252000000</v>
      </c>
      <c r="C8" s="0" t="n">
        <f aca="false">SUM(C4:C7)</f>
        <v>126000000</v>
      </c>
      <c r="D8" s="0" t="n">
        <f aca="false">SUM(D4:D7)</f>
        <v>199500000</v>
      </c>
      <c r="E8" s="0" t="n">
        <f aca="false">SUM(E4:E7)</f>
        <v>111300000</v>
      </c>
      <c r="F8" s="0" t="n">
        <f aca="false">SUM(F4:F7)</f>
        <v>37800000</v>
      </c>
      <c r="G8" s="0" t="n">
        <f aca="false">SUM(G4:G7)</f>
        <v>0</v>
      </c>
      <c r="H8" s="0" t="n">
        <f aca="false">SUM(H4:H7)</f>
        <v>0</v>
      </c>
      <c r="I8" s="0" t="n">
        <f aca="false">SUM(I4:I7)</f>
        <v>0</v>
      </c>
      <c r="J8" s="0" t="n">
        <f aca="false">SUM(J4:J7)</f>
        <v>0</v>
      </c>
      <c r="K8" s="0" t="n">
        <f aca="false">SUM(K4:K7)</f>
        <v>0</v>
      </c>
      <c r="L8" s="0" t="n">
        <f aca="false">SUM(L4:L7)</f>
        <v>0</v>
      </c>
      <c r="M8" s="0" t="n">
        <f aca="false">SUM(M4:M7)</f>
        <v>0</v>
      </c>
      <c r="N8" s="0" t="n">
        <f aca="false">SUM(N4:N7)</f>
        <v>0</v>
      </c>
    </row>
    <row r="9" customFormat="false" ht="15" hidden="false" customHeight="false" outlineLevel="0" collapsed="false">
      <c r="A9" s="0" t="s">
        <v>30</v>
      </c>
      <c r="B9" s="0" t="n">
        <f aca="false">IF(AND(B$3&gt;=Inputs!$B$9+2,B$3&lt;Inputs!$B$9+5),Inputs!$B$6*Scenarios!$E$2/3,0)</f>
        <v>0</v>
      </c>
      <c r="C9" s="0" t="n">
        <f aca="false">IF(AND(C$3&gt;=Inputs!$B$9+2,C$3&lt;Inputs!$B$9+5),Inputs!$B$6*Scenarios!$E$2/3,0)</f>
        <v>0</v>
      </c>
      <c r="D9" s="0" t="n">
        <f aca="false">IF(AND(D$3&gt;=Inputs!$B$9+2,D$3&lt;Inputs!$B$9+5),Inputs!$B$6*Scenarios!$E$2/3,0)</f>
        <v>0</v>
      </c>
      <c r="E9" s="0" t="n">
        <f aca="false">IF(AND(E$3&gt;=Inputs!$B$9+2,E$3&lt;Inputs!$B$9+5),Inputs!$B$6*Scenarios!$E$2/3,0)</f>
        <v>190000000</v>
      </c>
      <c r="F9" s="0" t="n">
        <f aca="false">IF(AND(F$3&gt;=Inputs!$B$9+2,F$3&lt;Inputs!$B$9+5),Inputs!$B$6*Scenarios!$E$2/3,0)</f>
        <v>190000000</v>
      </c>
      <c r="G9" s="0" t="n">
        <f aca="false">IF(AND(G$3&gt;=Inputs!$B$9+2,G$3&lt;Inputs!$B$9+5),Inputs!$B$6*Scenarios!$E$2/3,0)</f>
        <v>190000000</v>
      </c>
      <c r="H9" s="0" t="n">
        <f aca="false">IF(AND(H$3&gt;=Inputs!$B$9+2,H$3&lt;Inputs!$B$9+5),Inputs!$B$6*Scenarios!$E$2/3,0)</f>
        <v>0</v>
      </c>
      <c r="I9" s="0" t="n">
        <f aca="false">IF(AND(I$3&gt;=Inputs!$B$9+2,I$3&lt;Inputs!$B$9+5),Inputs!$B$6*Scenarios!$E$2/3,0)</f>
        <v>0</v>
      </c>
      <c r="J9" s="0" t="n">
        <f aca="false">IF(AND(J$3&gt;=Inputs!$B$9+2,J$3&lt;Inputs!$B$9+5),Inputs!$B$6*Scenarios!$E$2/3,0)</f>
        <v>0</v>
      </c>
      <c r="K9" s="0" t="n">
        <f aca="false">IF(AND(K$3&gt;=Inputs!$B$9+2,K$3&lt;Inputs!$B$9+5),Inputs!$B$6*Scenarios!$E$2/3,0)</f>
        <v>0</v>
      </c>
      <c r="L9" s="0" t="n">
        <f aca="false">IF(AND(L$3&gt;=Inputs!$B$9+2,L$3&lt;Inputs!$B$9+5),Inputs!$B$6*Scenarios!$E$2/3,0)</f>
        <v>0</v>
      </c>
      <c r="M9" s="0" t="n">
        <f aca="false">IF(AND(M$3&gt;=Inputs!$B$9+2,M$3&lt;Inputs!$B$9+5),Inputs!$B$6*Scenarios!$E$2/3,0)</f>
        <v>0</v>
      </c>
      <c r="N9" s="0" t="n">
        <f aca="false">IF(AND(N$3&gt;=Inputs!$B$9+2,N$3&lt;Inputs!$B$9+5),Inputs!$B$6*Scenarios!$E$2/3,0)</f>
        <v>0</v>
      </c>
    </row>
    <row r="10" customFormat="false" ht="15" hidden="false" customHeight="false" outlineLevel="0" collapsed="false">
      <c r="A10" s="0" t="s">
        <v>31</v>
      </c>
      <c r="B10" s="0" t="n">
        <f aca="false">IF(AND(B$3&gt;=Inputs!$B$10+2,B$3&lt;12),Inputs!$B$7*Scenarios!$E$3*0.9,0)</f>
        <v>0</v>
      </c>
      <c r="C10" s="0" t="n">
        <f aca="false">IF(AND(C$3&gt;=Inputs!$B$10+2,C$3&lt;12),Inputs!$B$7*Scenarios!$E$3*0.9,0)</f>
        <v>0</v>
      </c>
      <c r="D10" s="0" t="n">
        <f aca="false">IF(AND(D$3&gt;=Inputs!$B$10+2,D$3&lt;12),Inputs!$B$7*Scenarios!$E$3*0.9,0)</f>
        <v>0</v>
      </c>
      <c r="E10" s="0" t="n">
        <f aca="false">IF(AND(E$3&gt;=Inputs!$B$10+2,E$3&lt;12),Inputs!$B$7*Scenarios!$E$3*0.9,0)</f>
        <v>0</v>
      </c>
      <c r="F10" s="0" t="n">
        <f aca="false">IF(AND(F$3&gt;=Inputs!$B$10+2,F$3&lt;12),Inputs!$B$7*Scenarios!$E$3*0.9,0)</f>
        <v>34650000</v>
      </c>
      <c r="G10" s="0" t="n">
        <f aca="false">IF(AND(G$3&gt;=Inputs!$B$10+2,G$3&lt;12),Inputs!$B$7*Scenarios!$E$3*0.9,0)</f>
        <v>34650000</v>
      </c>
      <c r="H10" s="0" t="n">
        <f aca="false">IF(AND(H$3&gt;=Inputs!$B$10+2,H$3&lt;12),Inputs!$B$7*Scenarios!$E$3*0.9,0)</f>
        <v>34650000</v>
      </c>
      <c r="I10" s="0" t="n">
        <f aca="false">IF(AND(I$3&gt;=Inputs!$B$10+2,I$3&lt;12),Inputs!$B$7*Scenarios!$E$3*0.9,0)</f>
        <v>34650000</v>
      </c>
      <c r="J10" s="0" t="n">
        <f aca="false">IF(AND(J$3&gt;=Inputs!$B$10+2,J$3&lt;12),Inputs!$B$7*Scenarios!$E$3*0.9,0)</f>
        <v>34650000</v>
      </c>
      <c r="K10" s="0" t="n">
        <f aca="false">IF(AND(K$3&gt;=Inputs!$B$10+2,K$3&lt;12),Inputs!$B$7*Scenarios!$E$3*0.9,0)</f>
        <v>34650000</v>
      </c>
      <c r="L10" s="0" t="n">
        <f aca="false">IF(AND(L$3&gt;=Inputs!$B$10+2,L$3&lt;12),Inputs!$B$7*Scenarios!$E$3*0.9,0)</f>
        <v>34650000</v>
      </c>
      <c r="M10" s="0" t="n">
        <f aca="false">IF(AND(M$3&gt;=Inputs!$B$10+2,M$3&lt;12),Inputs!$B$7*Scenarios!$E$3*0.9,0)</f>
        <v>34650000</v>
      </c>
      <c r="N10" s="0" t="n">
        <f aca="false">IF(AND(N$3&gt;=Inputs!$B$10+2,N$3&lt;12),Inputs!$B$7*Scenarios!$E$3*0.9,0)</f>
        <v>0</v>
      </c>
    </row>
    <row r="11" customFormat="false" ht="15" hidden="false" customHeight="false" outlineLevel="0" collapsed="false">
      <c r="A11" s="0" t="s">
        <v>32</v>
      </c>
      <c r="B11" s="0" t="n">
        <f aca="false">IF(AND(B$3&gt;=Inputs!$B$11+2,B$3&lt;12),Inputs!$B$8*Scenarios!$E$4*0.88,0)</f>
        <v>0</v>
      </c>
      <c r="C11" s="0" t="n">
        <f aca="false">IF(AND(C$3&gt;=Inputs!$B$11+2,C$3&lt;12),Inputs!$B$8*Scenarios!$E$4*0.88,0)</f>
        <v>0</v>
      </c>
      <c r="D11" s="0" t="n">
        <f aca="false">IF(AND(D$3&gt;=Inputs!$B$11+2,D$3&lt;12),Inputs!$B$8*Scenarios!$E$4*0.88,0)</f>
        <v>0</v>
      </c>
      <c r="E11" s="0" t="n">
        <f aca="false">IF(AND(E$3&gt;=Inputs!$B$11+2,E$3&lt;12),Inputs!$B$8*Scenarios!$E$4*0.88,0)</f>
        <v>0</v>
      </c>
      <c r="F11" s="0" t="n">
        <f aca="false">IF(AND(F$3&gt;=Inputs!$B$11+2,F$3&lt;12),Inputs!$B$8*Scenarios!$E$4*0.88,0)</f>
        <v>0</v>
      </c>
      <c r="G11" s="0" t="n">
        <f aca="false">IF(AND(G$3&gt;=Inputs!$B$11+2,G$3&lt;12),Inputs!$B$8*Scenarios!$E$4*0.88,0)</f>
        <v>25344000</v>
      </c>
      <c r="H11" s="0" t="n">
        <f aca="false">IF(AND(H$3&gt;=Inputs!$B$11+2,H$3&lt;12),Inputs!$B$8*Scenarios!$E$4*0.88,0)</f>
        <v>25344000</v>
      </c>
      <c r="I11" s="0" t="n">
        <f aca="false">IF(AND(I$3&gt;=Inputs!$B$11+2,I$3&lt;12),Inputs!$B$8*Scenarios!$E$4*0.88,0)</f>
        <v>25344000</v>
      </c>
      <c r="J11" s="0" t="n">
        <f aca="false">IF(AND(J$3&gt;=Inputs!$B$11+2,J$3&lt;12),Inputs!$B$8*Scenarios!$E$4*0.88,0)</f>
        <v>25344000</v>
      </c>
      <c r="K11" s="0" t="n">
        <f aca="false">IF(AND(K$3&gt;=Inputs!$B$11+2,K$3&lt;12),Inputs!$B$8*Scenarios!$E$4*0.88,0)</f>
        <v>25344000</v>
      </c>
      <c r="L11" s="0" t="n">
        <f aca="false">IF(AND(L$3&gt;=Inputs!$B$11+2,L$3&lt;12),Inputs!$B$8*Scenarios!$E$4*0.88,0)</f>
        <v>25344000</v>
      </c>
      <c r="M11" s="0" t="n">
        <f aca="false">IF(AND(M$3&gt;=Inputs!$B$11+2,M$3&lt;12),Inputs!$B$8*Scenarios!$E$4*0.88,0)</f>
        <v>25344000</v>
      </c>
      <c r="N11" s="0" t="n">
        <f aca="false">IF(AND(N$3&gt;=Inputs!$B$11+2,N$3&lt;12),Inputs!$B$8*Scenarios!$E$4*0.88,0)</f>
        <v>0</v>
      </c>
    </row>
    <row r="12" customFormat="false" ht="15" hidden="false" customHeight="false" outlineLevel="0" collapsed="false">
      <c r="A12" s="0" t="s">
        <v>33</v>
      </c>
      <c r="B12" s="0" t="n">
        <f aca="false">IF(B$3=12,(Inputs!$B$7*Scenarios!$E$3*0.9+Inputs!$B$8*Scenarios!$E$4*0.88)/Scenarios!$E$5,0)</f>
        <v>0</v>
      </c>
      <c r="C12" s="0" t="n">
        <f aca="false">IF(C$3=12,(Inputs!$B$7*Scenarios!$E$3*0.9+Inputs!$B$8*Scenarios!$E$4*0.88)/Scenarios!$E$5,0)</f>
        <v>0</v>
      </c>
      <c r="D12" s="0" t="n">
        <f aca="false">IF(D$3=12,(Inputs!$B$7*Scenarios!$E$3*0.9+Inputs!$B$8*Scenarios!$E$4*0.88)/Scenarios!$E$5,0)</f>
        <v>0</v>
      </c>
      <c r="E12" s="0" t="n">
        <f aca="false">IF(E$3=12,(Inputs!$B$7*Scenarios!$E$3*0.9+Inputs!$B$8*Scenarios!$E$4*0.88)/Scenarios!$E$5,0)</f>
        <v>0</v>
      </c>
      <c r="F12" s="0" t="n">
        <f aca="false">IF(F$3=12,(Inputs!$B$7*Scenarios!$E$3*0.9+Inputs!$B$8*Scenarios!$E$4*0.88)/Scenarios!$E$5,0)</f>
        <v>0</v>
      </c>
      <c r="G12" s="0" t="n">
        <f aca="false">IF(G$3=12,(Inputs!$B$7*Scenarios!$E$3*0.9+Inputs!$B$8*Scenarios!$E$4*0.88)/Scenarios!$E$5,0)</f>
        <v>0</v>
      </c>
      <c r="H12" s="0" t="n">
        <f aca="false">IF(H$3=12,(Inputs!$B$7*Scenarios!$E$3*0.9+Inputs!$B$8*Scenarios!$E$4*0.88)/Scenarios!$E$5,0)</f>
        <v>0</v>
      </c>
      <c r="I12" s="0" t="n">
        <f aca="false">IF(I$3=12,(Inputs!$B$7*Scenarios!$E$3*0.9+Inputs!$B$8*Scenarios!$E$4*0.88)/Scenarios!$E$5,0)</f>
        <v>0</v>
      </c>
      <c r="J12" s="0" t="n">
        <f aca="false">IF(J$3=12,(Inputs!$B$7*Scenarios!$E$3*0.9+Inputs!$B$8*Scenarios!$E$4*0.88)/Scenarios!$E$5,0)</f>
        <v>0</v>
      </c>
      <c r="K12" s="0" t="n">
        <f aca="false">IF(K$3=12,(Inputs!$B$7*Scenarios!$E$3*0.9+Inputs!$B$8*Scenarios!$E$4*0.88)/Scenarios!$E$5,0)</f>
        <v>0</v>
      </c>
      <c r="L12" s="0" t="n">
        <f aca="false">IF(L$3=12,(Inputs!$B$7*Scenarios!$E$3*0.9+Inputs!$B$8*Scenarios!$E$4*0.88)/Scenarios!$E$5,0)</f>
        <v>0</v>
      </c>
      <c r="M12" s="0" t="n">
        <f aca="false">IF(M$3=12,(Inputs!$B$7*Scenarios!$E$3*0.9+Inputs!$B$8*Scenarios!$E$4*0.88)/Scenarios!$E$5,0)</f>
        <v>0</v>
      </c>
      <c r="N12" s="0" t="n">
        <f aca="false">IF(N$3=12,(Inputs!$B$7*Scenarios!$E$3*0.9+Inputs!$B$8*Scenarios!$E$4*0.88)/Scenarios!$E$5,0)</f>
        <v>799920000</v>
      </c>
    </row>
    <row r="13" customFormat="false" ht="15" hidden="false" customHeight="false" outlineLevel="0" collapsed="false">
      <c r="A13" s="0" t="s">
        <v>34</v>
      </c>
      <c r="B13" s="0" t="n">
        <f aca="false">SUM(B9:B12)</f>
        <v>0</v>
      </c>
      <c r="C13" s="0" t="n">
        <f aca="false">SUM(C9:C12)</f>
        <v>0</v>
      </c>
      <c r="D13" s="0" t="n">
        <f aca="false">SUM(D9:D12)</f>
        <v>0</v>
      </c>
      <c r="E13" s="0" t="n">
        <f aca="false">SUM(E9:E12)</f>
        <v>190000000</v>
      </c>
      <c r="F13" s="0" t="n">
        <f aca="false">SUM(F9:F12)</f>
        <v>224650000</v>
      </c>
      <c r="G13" s="0" t="n">
        <f aca="false">SUM(G9:G12)</f>
        <v>249994000</v>
      </c>
      <c r="H13" s="0" t="n">
        <f aca="false">SUM(H9:H12)</f>
        <v>59994000</v>
      </c>
      <c r="I13" s="0" t="n">
        <f aca="false">SUM(I9:I12)</f>
        <v>59994000</v>
      </c>
      <c r="J13" s="0" t="n">
        <f aca="false">SUM(J9:J12)</f>
        <v>59994000</v>
      </c>
      <c r="K13" s="0" t="n">
        <f aca="false">SUM(K9:K12)</f>
        <v>59994000</v>
      </c>
      <c r="L13" s="0" t="n">
        <f aca="false">SUM(L9:L12)</f>
        <v>59994000</v>
      </c>
      <c r="M13" s="0" t="n">
        <f aca="false">SUM(M9:M12)</f>
        <v>59994000</v>
      </c>
      <c r="N13" s="0" t="n">
        <f aca="false">SUM(N9:N12)</f>
        <v>799920000</v>
      </c>
    </row>
    <row r="14" customFormat="false" ht="15" hidden="false" customHeight="false" outlineLevel="0" collapsed="false">
      <c r="A14" s="0" t="s">
        <v>35</v>
      </c>
      <c r="B14" s="0" t="n">
        <f aca="false">B8*Inputs!$B$12</f>
        <v>138600000</v>
      </c>
      <c r="C14" s="0" t="n">
        <f aca="false">C8*Inputs!$B$12</f>
        <v>69300000</v>
      </c>
      <c r="D14" s="0" t="n">
        <f aca="false">D8*Inputs!$B$12</f>
        <v>109725000</v>
      </c>
      <c r="E14" s="0" t="n">
        <f aca="false">E8*Inputs!$B$12</f>
        <v>61215000</v>
      </c>
      <c r="F14" s="0" t="n">
        <f aca="false">F8*Inputs!$B$12</f>
        <v>20790000</v>
      </c>
      <c r="G14" s="0" t="n">
        <f aca="false">G8*Inputs!$B$12</f>
        <v>0</v>
      </c>
      <c r="H14" s="0" t="n">
        <f aca="false">H8*Inputs!$B$12</f>
        <v>0</v>
      </c>
      <c r="I14" s="0" t="n">
        <f aca="false">I8*Inputs!$B$12</f>
        <v>0</v>
      </c>
      <c r="J14" s="0" t="n">
        <f aca="false">J8*Inputs!$B$12</f>
        <v>0</v>
      </c>
      <c r="K14" s="0" t="n">
        <f aca="false">K8*Inputs!$B$12</f>
        <v>0</v>
      </c>
      <c r="L14" s="0" t="n">
        <f aca="false">L8*Inputs!$B$12</f>
        <v>0</v>
      </c>
      <c r="M14" s="0" t="n">
        <f aca="false">M8*Inputs!$B$12</f>
        <v>0</v>
      </c>
      <c r="N14" s="0" t="n">
        <f aca="false">N8*Inputs!$B$12</f>
        <v>0</v>
      </c>
    </row>
    <row r="15" customFormat="false" ht="15" hidden="false" customHeight="false" outlineLevel="0" collapsed="false">
      <c r="A15" s="0" t="s">
        <v>36</v>
      </c>
      <c r="B15" s="0" t="n">
        <f aca="false">0*Inputs!$B$13</f>
        <v>0</v>
      </c>
      <c r="C15" s="0" t="n">
        <f aca="false">B17*Inputs!$B$13</f>
        <v>9009000</v>
      </c>
      <c r="D15" s="0" t="n">
        <f aca="false">C17*Inputs!$B$13</f>
        <v>14099085</v>
      </c>
      <c r="E15" s="0" t="n">
        <f aca="false">D17*Inputs!$B$13</f>
        <v>22147650.525</v>
      </c>
      <c r="F15" s="0" t="n">
        <f aca="false">E17*Inputs!$B$13</f>
        <v>15216222.809125</v>
      </c>
      <c r="G15" s="0" t="n">
        <f aca="false">F17*Inputs!$B$13</f>
        <v>2954377.29171812</v>
      </c>
      <c r="H15" s="0" t="n">
        <f aca="false">G17*Inputs!$B$13</f>
        <v>0</v>
      </c>
      <c r="I15" s="0" t="n">
        <f aca="false">H17*Inputs!$B$13</f>
        <v>0</v>
      </c>
      <c r="J15" s="0" t="n">
        <f aca="false">I17*Inputs!$B$13</f>
        <v>0</v>
      </c>
      <c r="K15" s="0" t="n">
        <f aca="false">J17*Inputs!$B$13</f>
        <v>0</v>
      </c>
      <c r="L15" s="0" t="n">
        <f aca="false">K17*Inputs!$B$13</f>
        <v>0</v>
      </c>
      <c r="M15" s="0" t="n">
        <f aca="false">L17*Inputs!$B$13</f>
        <v>0</v>
      </c>
      <c r="N15" s="0" t="n">
        <f aca="false">M17*Inputs!$B$13</f>
        <v>0</v>
      </c>
    </row>
    <row r="16" customFormat="false" ht="15" hidden="false" customHeight="false" outlineLevel="0" collapsed="false">
      <c r="A16" s="0" t="s">
        <v>37</v>
      </c>
      <c r="B16" s="0" t="n">
        <f aca="false">MIN(B13,0+B14+B15)</f>
        <v>0</v>
      </c>
      <c r="C16" s="0" t="n">
        <f aca="false">MIN(C13,B17+C14+C15)</f>
        <v>0</v>
      </c>
      <c r="D16" s="0" t="n">
        <f aca="false">MIN(D13,C17+D14+D15)</f>
        <v>0</v>
      </c>
      <c r="E16" s="0" t="n">
        <f aca="false">MIN(E13,D17+E14+E15)</f>
        <v>190000000</v>
      </c>
      <c r="F16" s="0" t="n">
        <f aca="false">MIN(F13,E17+F14+F15)</f>
        <v>224650000</v>
      </c>
      <c r="G16" s="0" t="n">
        <f aca="false">MIN(G13,F17+G14+G15)</f>
        <v>48406335.6258431</v>
      </c>
      <c r="H16" s="0" t="n">
        <f aca="false">MIN(H13,G17+H14+H15)</f>
        <v>0</v>
      </c>
      <c r="I16" s="0" t="n">
        <f aca="false">MIN(I13,H17+I14+I15)</f>
        <v>0</v>
      </c>
      <c r="J16" s="0" t="n">
        <f aca="false">MIN(J13,I17+J14+J15)</f>
        <v>0</v>
      </c>
      <c r="K16" s="0" t="n">
        <f aca="false">MIN(K13,J17+K14+K15)</f>
        <v>0</v>
      </c>
      <c r="L16" s="0" t="n">
        <f aca="false">MIN(L13,K17+L14+L15)</f>
        <v>0</v>
      </c>
      <c r="M16" s="0" t="n">
        <f aca="false">MIN(M13,L17+M14+M15)</f>
        <v>0</v>
      </c>
      <c r="N16" s="0" t="n">
        <f aca="false">MIN(N13,M17+N14+N15)</f>
        <v>0</v>
      </c>
    </row>
    <row r="17" customFormat="false" ht="15" hidden="false" customHeight="false" outlineLevel="0" collapsed="false">
      <c r="A17" s="0" t="s">
        <v>38</v>
      </c>
      <c r="B17" s="0" t="n">
        <f aca="false">0+B14+B15-B16</f>
        <v>138600000</v>
      </c>
      <c r="C17" s="0" t="n">
        <f aca="false">B17+C14+C15-C16</f>
        <v>216909000</v>
      </c>
      <c r="D17" s="0" t="n">
        <f aca="false">C17+D14+D15-D16</f>
        <v>340733085</v>
      </c>
      <c r="E17" s="0" t="n">
        <f aca="false">D17+E14+E15-E16</f>
        <v>234095735.525</v>
      </c>
      <c r="F17" s="0" t="n">
        <f aca="false">E17+F14+F15-F16</f>
        <v>45451958.334125</v>
      </c>
      <c r="G17" s="0" t="n">
        <f aca="false">F17+G14+G15-G16</f>
        <v>0</v>
      </c>
      <c r="H17" s="0" t="n">
        <f aca="false">G17+H14+H15-H16</f>
        <v>0</v>
      </c>
      <c r="I17" s="0" t="n">
        <f aca="false">H17+I14+I15-I16</f>
        <v>0</v>
      </c>
      <c r="J17" s="0" t="n">
        <f aca="false">I17+J14+J15-J16</f>
        <v>0</v>
      </c>
      <c r="K17" s="0" t="n">
        <f aca="false">J17+K14+K15-K16</f>
        <v>0</v>
      </c>
      <c r="L17" s="0" t="n">
        <f aca="false">K17+L14+L15-L16</f>
        <v>0</v>
      </c>
      <c r="M17" s="0" t="n">
        <f aca="false">L17+M14+M15-M16</f>
        <v>0</v>
      </c>
      <c r="N17" s="0" t="n">
        <f aca="false">M17+N14+N15-N16</f>
        <v>0</v>
      </c>
    </row>
    <row r="18" customFormat="false" ht="15" hidden="false" customHeight="false" outlineLevel="0" collapsed="false">
      <c r="A18" s="0" t="s">
        <v>39</v>
      </c>
      <c r="B18" s="0" t="n">
        <f aca="false">B13-B8</f>
        <v>-252000000</v>
      </c>
      <c r="C18" s="0" t="n">
        <f aca="false">C13-C8</f>
        <v>-126000000</v>
      </c>
      <c r="D18" s="0" t="n">
        <f aca="false">D13-D8</f>
        <v>-199500000</v>
      </c>
      <c r="E18" s="0" t="n">
        <f aca="false">E13-E8</f>
        <v>78700000</v>
      </c>
      <c r="F18" s="0" t="n">
        <f aca="false">F13-F8</f>
        <v>186850000</v>
      </c>
      <c r="G18" s="0" t="n">
        <f aca="false">G13-G8</f>
        <v>249994000</v>
      </c>
      <c r="H18" s="0" t="n">
        <f aca="false">H13-H8</f>
        <v>59994000</v>
      </c>
      <c r="I18" s="0" t="n">
        <f aca="false">I13-I8</f>
        <v>59994000</v>
      </c>
      <c r="J18" s="0" t="n">
        <f aca="false">J13-J8</f>
        <v>59994000</v>
      </c>
      <c r="K18" s="0" t="n">
        <f aca="false">K13-K8</f>
        <v>59994000</v>
      </c>
      <c r="L18" s="0" t="n">
        <f aca="false">L13-L8</f>
        <v>59994000</v>
      </c>
      <c r="M18" s="0" t="n">
        <f aca="false">M13-M8</f>
        <v>59994000</v>
      </c>
      <c r="N18" s="0" t="n">
        <f aca="false">N13-N8</f>
        <v>799920000</v>
      </c>
    </row>
    <row r="19" customFormat="false" ht="15" hidden="false" customHeight="false" outlineLevel="0" collapsed="false">
      <c r="A19" s="0" t="s">
        <v>12</v>
      </c>
      <c r="B19" s="0" t="n">
        <f aca="false">-MAX(0,B18-B15)*Inputs!$B$14</f>
        <v>-0</v>
      </c>
      <c r="C19" s="0" t="n">
        <f aca="false">-MAX(0,C18-C15)*Inputs!$B$14</f>
        <v>-0</v>
      </c>
      <c r="D19" s="0" t="n">
        <f aca="false">-MAX(0,D18-D15)*Inputs!$B$14</f>
        <v>-0</v>
      </c>
      <c r="E19" s="0" t="n">
        <f aca="false">-MAX(0,E18-E15)*Inputs!$B$14</f>
        <v>-1413808.736875</v>
      </c>
      <c r="F19" s="0" t="n">
        <f aca="false">-MAX(0,F18-F15)*Inputs!$B$14</f>
        <v>-4290844.42977188</v>
      </c>
      <c r="G19" s="0" t="n">
        <f aca="false">-MAX(0,G18-G15)*Inputs!$B$14</f>
        <v>-6175990.56770705</v>
      </c>
      <c r="H19" s="0" t="n">
        <f aca="false">-MAX(0,H18-H15)*Inputs!$B$14</f>
        <v>-1499850</v>
      </c>
      <c r="I19" s="0" t="n">
        <f aca="false">-MAX(0,I18-I15)*Inputs!$B$14</f>
        <v>-1499850</v>
      </c>
      <c r="J19" s="0" t="n">
        <f aca="false">-MAX(0,J18-J15)*Inputs!$B$14</f>
        <v>-1499850</v>
      </c>
      <c r="K19" s="0" t="n">
        <f aca="false">-MAX(0,K18-K15)*Inputs!$B$14</f>
        <v>-1499850</v>
      </c>
      <c r="L19" s="0" t="n">
        <f aca="false">-MAX(0,L18-L15)*Inputs!$B$14</f>
        <v>-1499850</v>
      </c>
      <c r="M19" s="0" t="n">
        <f aca="false">-MAX(0,M18-M15)*Inputs!$B$14</f>
        <v>-1499850</v>
      </c>
      <c r="N19" s="0" t="n">
        <f aca="false">-MAX(0,N18-N15)*Inputs!$B$14</f>
        <v>-19998000</v>
      </c>
    </row>
    <row r="20" customFormat="false" ht="15" hidden="false" customHeight="false" outlineLevel="0" collapsed="false">
      <c r="A20" s="0" t="s">
        <v>40</v>
      </c>
      <c r="B20" s="0" t="n">
        <f aca="false">B18+B19</f>
        <v>-252000000</v>
      </c>
      <c r="C20" s="0" t="n">
        <f aca="false">C18+C19</f>
        <v>-126000000</v>
      </c>
      <c r="D20" s="0" t="n">
        <f aca="false">D18+D19</f>
        <v>-199500000</v>
      </c>
      <c r="E20" s="0" t="n">
        <f aca="false">E18+E19</f>
        <v>77286191.263125</v>
      </c>
      <c r="F20" s="0" t="n">
        <f aca="false">F18+F19</f>
        <v>182559155.570228</v>
      </c>
      <c r="G20" s="0" t="n">
        <f aca="false">G18+G19</f>
        <v>243818009.432293</v>
      </c>
      <c r="H20" s="0" t="n">
        <f aca="false">H18+H19</f>
        <v>58494150</v>
      </c>
      <c r="I20" s="0" t="n">
        <f aca="false">I18+I19</f>
        <v>58494150</v>
      </c>
      <c r="J20" s="0" t="n">
        <f aca="false">J18+J19</f>
        <v>58494150</v>
      </c>
      <c r="K20" s="0" t="n">
        <f aca="false">K18+K19</f>
        <v>58494150</v>
      </c>
      <c r="L20" s="0" t="n">
        <f aca="false">L18+L19</f>
        <v>58494150</v>
      </c>
      <c r="M20" s="0" t="n">
        <f aca="false">M18+M19</f>
        <v>58494150</v>
      </c>
      <c r="N20" s="0" t="n">
        <f aca="false">N18+N19</f>
        <v>779922000</v>
      </c>
    </row>
    <row r="21" customFormat="false" ht="15" hidden="false" customHeight="false" outlineLevel="0" collapsed="false">
      <c r="A21" s="0" t="s">
        <v>41</v>
      </c>
      <c r="B21" s="0" t="n">
        <f aca="false">B20+B14-B16</f>
        <v>-113400000</v>
      </c>
      <c r="C21" s="0" t="n">
        <f aca="false">C20+C14-C16</f>
        <v>-56700000</v>
      </c>
      <c r="D21" s="0" t="n">
        <f aca="false">D20+D14-D16</f>
        <v>-89775000</v>
      </c>
      <c r="E21" s="0" t="n">
        <f aca="false">E20+E14-E16</f>
        <v>-51498808.736875</v>
      </c>
      <c r="F21" s="0" t="n">
        <f aca="false">F20+F14-F16</f>
        <v>-21300844.4297719</v>
      </c>
      <c r="G21" s="0" t="n">
        <f aca="false">G20+G14-G16</f>
        <v>195411673.80645</v>
      </c>
      <c r="H21" s="0" t="n">
        <f aca="false">H20+H14-H16</f>
        <v>58494150</v>
      </c>
      <c r="I21" s="0" t="n">
        <f aca="false">I20+I14-I16</f>
        <v>58494150</v>
      </c>
      <c r="J21" s="0" t="n">
        <f aca="false">J20+J14-J16</f>
        <v>58494150</v>
      </c>
      <c r="K21" s="0" t="n">
        <f aca="false">K20+K14-K16</f>
        <v>58494150</v>
      </c>
      <c r="L21" s="0" t="n">
        <f aca="false">L20+L14-L16</f>
        <v>58494150</v>
      </c>
      <c r="M21" s="0" t="n">
        <f aca="false">M20+M14-M16</f>
        <v>58494150</v>
      </c>
      <c r="N21" s="0" t="n">
        <f aca="false">N20+N14-N16</f>
        <v>779922000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42</v>
      </c>
      <c r="B3" s="3" t="n">
        <f aca="false">IRR('Cash Flow'!B20:N20)</f>
        <v>0.156914723082671</v>
      </c>
    </row>
    <row r="4" customFormat="false" ht="15" hidden="false" customHeight="false" outlineLevel="0" collapsed="false">
      <c r="A4" s="0" t="s">
        <v>43</v>
      </c>
      <c r="B4" s="3" t="n">
        <f aca="false">IRR('Cash Flow'!B21:N21)</f>
        <v>0.187898559892444</v>
      </c>
    </row>
    <row r="5" customFormat="false" ht="15" hidden="false" customHeight="false" outlineLevel="0" collapsed="false">
      <c r="A5" s="0" t="s">
        <v>44</v>
      </c>
      <c r="B5" s="2" t="n">
        <f aca="false">NPV(Inputs!$B$15,'Cash Flow'!C20:N20)+'Cash Flow'!B20</f>
        <v>209418339.853898</v>
      </c>
    </row>
    <row r="6" customFormat="false" ht="15" hidden="false" customHeight="false" outlineLevel="0" collapsed="false">
      <c r="A6" s="0" t="s">
        <v>45</v>
      </c>
      <c r="B6" s="2" t="n">
        <f aca="false">SUM('Cash Flow'!B20:N20)</f>
        <v>1057050256.26565</v>
      </c>
    </row>
    <row r="7" customFormat="false" ht="15" hidden="false" customHeight="false" outlineLevel="0" collapsed="false">
      <c r="A7" s="0" t="s">
        <v>46</v>
      </c>
      <c r="B7" s="2" t="n">
        <f aca="false">MAX('Cash Flow'!B17:N17)</f>
        <v>340733085</v>
      </c>
    </row>
    <row r="8" customFormat="false" ht="15" hidden="false" customHeight="false" outlineLevel="0" collapsed="false">
      <c r="A8" s="0" t="s">
        <v>47</v>
      </c>
      <c r="B8" s="2" t="n">
        <f aca="false">SUM('Cash Flow'!B8:N8)</f>
        <v>726600000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2026-10-17T10:02:28Z</dcterms:created>
  <dc:creator>openpyxl</dc:creator>
  <dc:description/>
  <dc:language>en-US</dc:language>
  <cp:lastModifiedBy/>
  <dcterms:modified xsi:type="dcterms:W3CDTF">2026-10-17T10:02:28Z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