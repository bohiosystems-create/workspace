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ales Plan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<sst xmlns="http://schemas.openxmlformats.org/spreadsheetml/2006/main" count="58" uniqueCount="55">
  <si>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RAWDAT AL KHAIR COMMUNITY – OFF-PLAN WITH IJARA SUKUK (SAR)</t>
  </si>
  <si>
    <t xml:space="preserve">Model start</t>
  </si>
  <si>
    <t xml:space="preserve">Villas</t>
  </si>
  <si>
    <t xml:space="preserve">Villa price (SAR)</t>
  </si>
  <si>
    <t xml:space="preserve">Apartments</t>
  </si>
  <si>
    <t xml:space="preserve">Apartment price (SAR)</t>
  </si>
  <si>
    <t xml:space="preserve">Buyer payment lag (quarters)</t>
  </si>
  <si>
    <t xml:space="preserve">Down payment</t>
  </si>
  <si>
    <t xml:space="preserve">Build (quarters)</t>
  </si>
  <si>
    <t xml:space="preserve">Villa build cost (SAR)</t>
  </si>
  <si>
    <t xml:space="preserve">Apartment build cost (SAR)</t>
  </si>
  <si>
    <t xml:space="preserve">Infrastructure (SAR)</t>
  </si>
  <si>
    <t xml:space="preserve">Land (SAR)</t>
  </si>
  <si>
    <t xml:space="preserve">Transaction tax absorbed (5% on this share of units)</t>
  </si>
  <si>
    <t xml:space="preserve">Sukuk issued (SAR)</t>
  </si>
  <si>
    <t xml:space="preserve">Sukuk periodic distribution a year</t>
  </si>
  <si>
    <t xml:space="preserve">Sukuk maturity (quarter)</t>
  </si>
  <si>
    <t xml:space="preserve">Zakat rate</t>
  </si>
  <si>
    <t xml:space="preserve">Equity (SAR)</t>
  </si>
  <si>
    <t xml:space="preserve">Quarter</t>
  </si>
  <si>
    <t xml:space="preserve">Villas sold</t>
  </si>
  <si>
    <t xml:space="preserve">Apartments sold</t>
  </si>
  <si>
    <t xml:space="preserve">Date</t>
  </si>
  <si>
    <t xml:space="preserve">Contracted sales</t>
  </si>
  <si>
    <t xml:space="preserve">Down payments</t>
  </si>
  <si>
    <t xml:space="preserve">Balance due (lagged)</t>
  </si>
  <si>
    <t xml:space="preserve">Handover payments</t>
  </si>
  <si>
    <t xml:space="preserve">Collections</t>
  </si>
  <si>
    <t xml:space="preserve">Construction</t>
  </si>
  <si>
    <t xml:space="preserve">Infrastructure</t>
  </si>
  <si>
    <t xml:space="preserve">Land</t>
  </si>
  <si>
    <t xml:space="preserve">Transaction tax absorbed</t>
  </si>
  <si>
    <t xml:space="preserve">Escrow released</t>
  </si>
  <si>
    <t xml:space="preserve">Escrow balance</t>
  </si>
  <si>
    <t xml:space="preserve">Sukuk proceeds</t>
  </si>
  <si>
    <t xml:space="preserve">Periodic distribution</t>
  </si>
  <si>
    <t xml:space="preserve">Sukuk redemption</t>
  </si>
  <si>
    <t xml:space="preserve">Coverage ratio</t>
  </si>
  <si>
    <t xml:space="preserve">Cumulative profit</t>
  </si>
  <si>
    <t xml:space="preserve">Zakat</t>
  </si>
  <si>
    <t xml:space="preserve">Cash before equity</t>
  </si>
  <si>
    <t xml:space="preserve">Equity in</t>
  </si>
  <si>
    <t xml:space="preserve">Distributions</t>
  </si>
  <si>
    <t xml:space="preserve">Cash balance</t>
  </si>
  <si>
    <t xml:space="preserve">Equity cash flow</t>
  </si>
  <si>
    <t xml:space="preserve">Levered IRR</t>
  </si>
  <si>
    <t xml:space="preserve">Net profit (SAR)</t>
  </si>
  <si>
    <t xml:space="preserve">Minimum sukuk coverage</t>
  </si>
  <si>
    <t xml:space="preserve">Equity injected (SAR)</t>
  </si>
  <si>
    <t xml:space="preserve">Zakat paid (SAR)</t>
  </si>
  <si>
    <t xml:space="preserve">Peak escrow balance (SAR)</t>
  </si>
  <si>
    <t xml:space="preserve">Units sold by handover</t>
  </si>
  <si>
    <t xml:space="preserve">Transaction tax absorbed (SAR)</t>
  </si>
  <si>
    <t xml:space="preserve">Total revenue (SAR)</t>
  </si>
  <si>
    <t xml:space="preserve">Sukuk distributions (SAR)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</si>
</sst>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0"/>
    <numFmt numFmtId="168" formatCode="0.00%"/>
    <numFmt numFmtId="169" formatCode="General"/>
    <numFmt numFmtId="170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46387</v>
      </c>
    </row>
    <row r="4" customFormat="false" ht="15" hidden="false" customHeight="false" outlineLevel="0" collapsed="false">
      <c r="A4" s="0" t="s">
        <v>2</v>
      </c>
      <c r="B4" s="2" t="n">
        <v>540</v>
      </c>
    </row>
    <row r="5" customFormat="false" ht="15" hidden="false" customHeight="false" outlineLevel="0" collapsed="false">
      <c r="A5" s="0" t="s">
        <v>3</v>
      </c>
      <c r="B5" s="2" t="n">
        <v>2750000</v>
      </c>
    </row>
    <row r="6" customFormat="false" ht="15" hidden="false" customHeight="false" outlineLevel="0" collapsed="false">
      <c r="A6" s="0" t="s">
        <v>4</v>
      </c>
      <c r="B6" s="2" t="n">
        <v>880</v>
      </c>
    </row>
    <row r="7" customFormat="false" ht="15" hidden="false" customHeight="false" outlineLevel="0" collapsed="false">
      <c r="A7" s="0" t="s">
        <v>5</v>
      </c>
      <c r="B7" s="2" t="n">
        <v>1380000</v>
      </c>
    </row>
    <row r="8" customFormat="false" ht="15" hidden="false" customHeight="false" outlineLevel="0" collapsed="false">
      <c r="A8" s="0" t="s">
        <v>6</v>
      </c>
      <c r="B8" s="3" t="n">
        <v>2</v>
      </c>
    </row>
    <row r="9" customFormat="false" ht="15" hidden="false" customHeight="false" outlineLevel="0" collapsed="false">
      <c r="A9" s="0" t="s">
        <v>7</v>
      </c>
      <c r="B9" s="4" t="n">
        <v>0.2</v>
      </c>
    </row>
    <row r="10" customFormat="false" ht="15" hidden="false" customHeight="false" outlineLevel="0" collapsed="false">
      <c r="A10" s="0" t="s">
        <v>8</v>
      </c>
      <c r="B10" s="3" t="n">
        <v>14</v>
      </c>
    </row>
    <row r="11" customFormat="false" ht="15" hidden="false" customHeight="false" outlineLevel="0" collapsed="false">
      <c r="A11" s="0" t="s">
        <v>9</v>
      </c>
      <c r="B11" s="2" t="n">
        <v>1350000</v>
      </c>
    </row>
    <row r="12" customFormat="false" ht="15" hidden="false" customHeight="false" outlineLevel="0" collapsed="false">
      <c r="A12" s="0" t="s">
        <v>10</v>
      </c>
      <c r="B12" s="2" t="n">
        <v>640000</v>
      </c>
    </row>
    <row r="13" customFormat="false" ht="15" hidden="false" customHeight="false" outlineLevel="0" collapsed="false">
      <c r="A13" s="0" t="s">
        <v>11</v>
      </c>
      <c r="B13" s="2" t="n">
        <v>310000000</v>
      </c>
    </row>
    <row r="14" customFormat="false" ht="15" hidden="false" customHeight="false" outlineLevel="0" collapsed="false">
      <c r="A14" s="0" t="s">
        <v>12</v>
      </c>
      <c r="B14" s="2" t="n">
        <v>450000000</v>
      </c>
    </row>
    <row r="15" customFormat="false" ht="15" hidden="false" customHeight="false" outlineLevel="0" collapsed="false">
      <c r="A15" s="0" t="s">
        <v>13</v>
      </c>
      <c r="B15" s="4" t="n">
        <v>0.3</v>
      </c>
    </row>
    <row r="16" customFormat="false" ht="15" hidden="false" customHeight="false" outlineLevel="0" collapsed="false">
      <c r="A16" s="0" t="s">
        <v>14</v>
      </c>
      <c r="B16" s="2" t="n">
        <v>900000000</v>
      </c>
    </row>
    <row r="17" customFormat="false" ht="15" hidden="false" customHeight="false" outlineLevel="0" collapsed="false">
      <c r="A17" s="0" t="s">
        <v>15</v>
      </c>
      <c r="B17" s="4" t="n">
        <v>0.0675</v>
      </c>
    </row>
    <row r="18" customFormat="false" ht="15" hidden="false" customHeight="false" outlineLevel="0" collapsed="false">
      <c r="A18" s="0" t="s">
        <v>16</v>
      </c>
      <c r="B18" s="3" t="n">
        <v>20</v>
      </c>
    </row>
    <row r="19" customFormat="false" ht="15" hidden="false" customHeight="false" outlineLevel="0" collapsed="false">
      <c r="A19" s="0" t="s">
        <v>17</v>
      </c>
      <c r="B19" s="4" t="n">
        <v>0.025</v>
      </c>
    </row>
    <row r="20" customFormat="false" ht="15" hidden="false" customHeight="false" outlineLevel="0" collapsed="false">
      <c r="A20" s="0" t="s">
        <v>18</v>
      </c>
      <c r="B20" s="2" t="n">
        <v>700000000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20</v>
      </c>
      <c r="C1" s="0" t="s">
        <v>21</v>
      </c>
    </row>
    <row r="2" customFormat="false" ht="15" hidden="false" customHeight="false" outlineLevel="0" collapsed="false">
      <c r="A2" s="0" t="n">
        <v>1</v>
      </c>
      <c r="B2" s="0" t="n">
        <v>30</v>
      </c>
      <c r="C2" s="0" t="n">
        <v>60</v>
      </c>
    </row>
    <row r="3" customFormat="false" ht="15" hidden="false" customHeight="false" outlineLevel="0" collapsed="false">
      <c r="A3" s="0" t="n">
        <v>2</v>
      </c>
      <c r="B3" s="0" t="n">
        <v>40</v>
      </c>
      <c r="C3" s="0" t="n">
        <v>70</v>
      </c>
    </row>
    <row r="4" customFormat="false" ht="15" hidden="false" customHeight="false" outlineLevel="0" collapsed="false">
      <c r="A4" s="0" t="n">
        <v>3</v>
      </c>
      <c r="B4" s="0" t="n">
        <v>45</v>
      </c>
      <c r="C4" s="0" t="n">
        <v>70</v>
      </c>
    </row>
    <row r="5" customFormat="false" ht="15" hidden="false" customHeight="false" outlineLevel="0" collapsed="false">
      <c r="A5" s="0" t="n">
        <v>4</v>
      </c>
      <c r="B5" s="0" t="n">
        <v>45</v>
      </c>
      <c r="C5" s="0" t="n">
        <v>70</v>
      </c>
    </row>
    <row r="6" customFormat="false" ht="15" hidden="false" customHeight="false" outlineLevel="0" collapsed="false">
      <c r="A6" s="0" t="n">
        <v>5</v>
      </c>
      <c r="B6" s="0" t="n">
        <v>45</v>
      </c>
      <c r="C6" s="0" t="n">
        <v>65</v>
      </c>
    </row>
    <row r="7" customFormat="false" ht="15" hidden="false" customHeight="false" outlineLevel="0" collapsed="false">
      <c r="A7" s="0" t="n">
        <v>6</v>
      </c>
      <c r="B7" s="0" t="n">
        <v>40</v>
      </c>
      <c r="C7" s="0" t="n">
        <v>65</v>
      </c>
    </row>
    <row r="8" customFormat="false" ht="15" hidden="false" customHeight="false" outlineLevel="0" collapsed="false">
      <c r="A8" s="0" t="n">
        <v>7</v>
      </c>
      <c r="B8" s="0" t="n">
        <v>40</v>
      </c>
      <c r="C8" s="0" t="n">
        <v>60</v>
      </c>
    </row>
    <row r="9" customFormat="false" ht="15" hidden="false" customHeight="false" outlineLevel="0" collapsed="false">
      <c r="A9" s="0" t="n">
        <v>8</v>
      </c>
      <c r="B9" s="0" t="n">
        <v>35</v>
      </c>
      <c r="C9" s="0" t="n">
        <v>60</v>
      </c>
    </row>
    <row r="10" customFormat="false" ht="15" hidden="false" customHeight="false" outlineLevel="0" collapsed="false">
      <c r="A10" s="0" t="n">
        <v>9</v>
      </c>
      <c r="B10" s="0" t="n">
        <v>35</v>
      </c>
      <c r="C10" s="0" t="n">
        <v>55</v>
      </c>
    </row>
    <row r="11" customFormat="false" ht="15" hidden="false" customHeight="false" outlineLevel="0" collapsed="false">
      <c r="A11" s="0" t="n">
        <v>10</v>
      </c>
      <c r="B11" s="0" t="n">
        <v>30</v>
      </c>
      <c r="C11" s="0" t="n">
        <v>55</v>
      </c>
    </row>
    <row r="12" customFormat="false" ht="15" hidden="false" customHeight="false" outlineLevel="0" collapsed="false">
      <c r="A12" s="0" t="n">
        <v>11</v>
      </c>
      <c r="B12" s="0" t="n">
        <v>30</v>
      </c>
      <c r="C12" s="0" t="n">
        <v>50</v>
      </c>
    </row>
    <row r="13" customFormat="false" ht="15" hidden="false" customHeight="false" outlineLevel="0" collapsed="false">
      <c r="A13" s="0" t="n">
        <v>12</v>
      </c>
      <c r="B13" s="0" t="n">
        <v>30</v>
      </c>
      <c r="C13" s="0" t="n">
        <v>50</v>
      </c>
    </row>
    <row r="14" customFormat="false" ht="15" hidden="false" customHeight="false" outlineLevel="0" collapsed="false">
      <c r="A14" s="0" t="n">
        <v>13</v>
      </c>
      <c r="B14" s="0" t="n">
        <v>25</v>
      </c>
      <c r="C14" s="0" t="n">
        <v>45</v>
      </c>
    </row>
    <row r="15" customFormat="false" ht="15" hidden="false" customHeight="false" outlineLevel="0" collapsed="false">
      <c r="A15" s="0" t="n">
        <v>14</v>
      </c>
      <c r="B15" s="0" t="n">
        <v>25</v>
      </c>
      <c r="C15" s="0" t="n">
        <v>40</v>
      </c>
    </row>
    <row r="16" customFormat="false" ht="15" hidden="false" customHeight="false" outlineLevel="0" collapsed="false">
      <c r="A16" s="0" t="n">
        <v>15</v>
      </c>
      <c r="B16" s="0" t="n">
        <v>25</v>
      </c>
      <c r="C16" s="0" t="n">
        <v>35</v>
      </c>
    </row>
    <row r="17" customFormat="false" ht="15" hidden="false" customHeight="false" outlineLevel="0" collapsed="false">
      <c r="A17" s="0" t="n">
        <v>16</v>
      </c>
      <c r="B17" s="0" t="n">
        <v>20</v>
      </c>
      <c r="C17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Z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19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</row>
    <row r="4" customFormat="false" ht="15" hidden="false" customHeight="false" outlineLevel="0" collapsed="false">
      <c r="A4" s="0" t="s">
        <v>22</v>
      </c>
      <c r="B4" s="1" t="n">
        <f aca="false">EOMONTH(Inputs!$B$3,3*B$3)</f>
        <v>46387</v>
      </c>
      <c r="C4" s="1" t="n">
        <f aca="false">EOMONTH(Inputs!$B$3,3*C$3)</f>
        <v>46477</v>
      </c>
      <c r="D4" s="1" t="n">
        <f aca="false">EOMONTH(Inputs!$B$3,3*D$3)</f>
        <v>46568</v>
      </c>
      <c r="E4" s="1" t="n">
        <f aca="false">EOMONTH(Inputs!$B$3,3*E$3)</f>
        <v>46660</v>
      </c>
      <c r="F4" s="1" t="n">
        <f aca="false">EOMONTH(Inputs!$B$3,3*F$3)</f>
        <v>46752</v>
      </c>
      <c r="G4" s="1" t="n">
        <f aca="false">EOMONTH(Inputs!$B$3,3*G$3)</f>
        <v>46843</v>
      </c>
      <c r="H4" s="1" t="n">
        <f aca="false">EOMONTH(Inputs!$B$3,3*H$3)</f>
        <v>46934</v>
      </c>
      <c r="I4" s="1" t="n">
        <f aca="false">EOMONTH(Inputs!$B$3,3*I$3)</f>
        <v>47026</v>
      </c>
      <c r="J4" s="1" t="n">
        <f aca="false">EOMONTH(Inputs!$B$3,3*J$3)</f>
        <v>47118</v>
      </c>
      <c r="K4" s="1" t="n">
        <f aca="false">EOMONTH(Inputs!$B$3,3*K$3)</f>
        <v>47208</v>
      </c>
      <c r="L4" s="1" t="n">
        <f aca="false">EOMONTH(Inputs!$B$3,3*L$3)</f>
        <v>47299</v>
      </c>
      <c r="M4" s="1" t="n">
        <f aca="false">EOMONTH(Inputs!$B$3,3*M$3)</f>
        <v>47391</v>
      </c>
      <c r="N4" s="1" t="n">
        <f aca="false">EOMONTH(Inputs!$B$3,3*N$3)</f>
        <v>47483</v>
      </c>
      <c r="O4" s="1" t="n">
        <f aca="false">EOMONTH(Inputs!$B$3,3*O$3)</f>
        <v>47573</v>
      </c>
      <c r="P4" s="1" t="n">
        <f aca="false">EOMONTH(Inputs!$B$3,3*P$3)</f>
        <v>47664</v>
      </c>
      <c r="Q4" s="1" t="n">
        <f aca="false">EOMONTH(Inputs!$B$3,3*Q$3)</f>
        <v>47756</v>
      </c>
      <c r="R4" s="1" t="n">
        <f aca="false">EOMONTH(Inputs!$B$3,3*R$3)</f>
        <v>47848</v>
      </c>
      <c r="S4" s="1" t="n">
        <f aca="false">EOMONTH(Inputs!$B$3,3*S$3)</f>
        <v>47938</v>
      </c>
      <c r="T4" s="1" t="n">
        <f aca="false">EOMONTH(Inputs!$B$3,3*T$3)</f>
        <v>48029</v>
      </c>
      <c r="U4" s="1" t="n">
        <f aca="false">EOMONTH(Inputs!$B$3,3*U$3)</f>
        <v>48121</v>
      </c>
      <c r="V4" s="1" t="n">
        <f aca="false">EOMONTH(Inputs!$B$3,3*V$3)</f>
        <v>48213</v>
      </c>
      <c r="W4" s="1" t="n">
        <f aca="false">EOMONTH(Inputs!$B$3,3*W$3)</f>
        <v>48304</v>
      </c>
      <c r="X4" s="1" t="n">
        <f aca="false">EOMONTH(Inputs!$B$3,3*X$3)</f>
        <v>48395</v>
      </c>
      <c r="Y4" s="1" t="n">
        <f aca="false">EOMONTH(Inputs!$B$3,3*Y$3)</f>
        <v>48487</v>
      </c>
      <c r="Z4" s="1" t="n">
        <f aca="false">EOMONTH(Inputs!$B$3,3*Z$3)</f>
        <v>48579</v>
      </c>
    </row>
    <row r="5" customFormat="false" ht="15" hidden="false" customHeight="false" outlineLevel="0" collapsed="false">
      <c r="A5" s="0" t="s">
        <v>20</v>
      </c>
      <c r="B5" s="0" t="n">
        <f aca="false">IF(AND(B$3&gt;=1,B$3&lt;=16),INDEX('Sales Plan'!$B$2:$B$17,MAX(1,MIN(16,B$3))),0)</f>
        <v>0</v>
      </c>
      <c r="C5" s="0" t="n">
        <f aca="false">IF(AND(C$3&gt;=1,C$3&lt;=16),INDEX('Sales Plan'!$B$2:$B$17,MAX(1,MIN(16,C$3))),0)</f>
        <v>30</v>
      </c>
      <c r="D5" s="0" t="n">
        <f aca="false">IF(AND(D$3&gt;=1,D$3&lt;=16),INDEX('Sales Plan'!$B$2:$B$17,MAX(1,MIN(16,D$3))),0)</f>
        <v>40</v>
      </c>
      <c r="E5" s="0" t="n">
        <f aca="false">IF(AND(E$3&gt;=1,E$3&lt;=16),INDEX('Sales Plan'!$B$2:$B$17,MAX(1,MIN(16,E$3))),0)</f>
        <v>45</v>
      </c>
      <c r="F5" s="0" t="n">
        <f aca="false">IF(AND(F$3&gt;=1,F$3&lt;=16),INDEX('Sales Plan'!$B$2:$B$17,MAX(1,MIN(16,F$3))),0)</f>
        <v>45</v>
      </c>
      <c r="G5" s="0" t="n">
        <f aca="false">IF(AND(G$3&gt;=1,G$3&lt;=16),INDEX('Sales Plan'!$B$2:$B$17,MAX(1,MIN(16,G$3))),0)</f>
        <v>45</v>
      </c>
      <c r="H5" s="0" t="n">
        <f aca="false">IF(AND(H$3&gt;=1,H$3&lt;=16),INDEX('Sales Plan'!$B$2:$B$17,MAX(1,MIN(16,H$3))),0)</f>
        <v>40</v>
      </c>
      <c r="I5" s="0" t="n">
        <f aca="false">IF(AND(I$3&gt;=1,I$3&lt;=16),INDEX('Sales Plan'!$B$2:$B$17,MAX(1,MIN(16,I$3))),0)</f>
        <v>40</v>
      </c>
      <c r="J5" s="0" t="n">
        <f aca="false">IF(AND(J$3&gt;=1,J$3&lt;=16),INDEX('Sales Plan'!$B$2:$B$17,MAX(1,MIN(16,J$3))),0)</f>
        <v>35</v>
      </c>
      <c r="K5" s="0" t="n">
        <f aca="false">IF(AND(K$3&gt;=1,K$3&lt;=16),INDEX('Sales Plan'!$B$2:$B$17,MAX(1,MIN(16,K$3))),0)</f>
        <v>35</v>
      </c>
      <c r="L5" s="0" t="n">
        <f aca="false">IF(AND(L$3&gt;=1,L$3&lt;=16),INDEX('Sales Plan'!$B$2:$B$17,MAX(1,MIN(16,L$3))),0)</f>
        <v>30</v>
      </c>
      <c r="M5" s="0" t="n">
        <f aca="false">IF(AND(M$3&gt;=1,M$3&lt;=16),INDEX('Sales Plan'!$B$2:$B$17,MAX(1,MIN(16,M$3))),0)</f>
        <v>30</v>
      </c>
      <c r="N5" s="0" t="n">
        <f aca="false">IF(AND(N$3&gt;=1,N$3&lt;=16),INDEX('Sales Plan'!$B$2:$B$17,MAX(1,MIN(16,N$3))),0)</f>
        <v>30</v>
      </c>
      <c r="O5" s="0" t="n">
        <f aca="false">IF(AND(O$3&gt;=1,O$3&lt;=16),INDEX('Sales Plan'!$B$2:$B$17,MAX(1,MIN(16,O$3))),0)</f>
        <v>25</v>
      </c>
      <c r="P5" s="0" t="n">
        <f aca="false">IF(AND(P$3&gt;=1,P$3&lt;=16),INDEX('Sales Plan'!$B$2:$B$17,MAX(1,MIN(16,P$3))),0)</f>
        <v>25</v>
      </c>
      <c r="Q5" s="0" t="n">
        <f aca="false">IF(AND(Q$3&gt;=1,Q$3&lt;=16),INDEX('Sales Plan'!$B$2:$B$17,MAX(1,MIN(16,Q$3))),0)</f>
        <v>25</v>
      </c>
      <c r="R5" s="0" t="n">
        <f aca="false">IF(AND(R$3&gt;=1,R$3&lt;=16),INDEX('Sales Plan'!$B$2:$B$17,MAX(1,MIN(16,R$3))),0)</f>
        <v>20</v>
      </c>
      <c r="S5" s="0" t="n">
        <f aca="false">IF(AND(S$3&gt;=1,S$3&lt;=16),INDEX('Sales Plan'!$B$2:$B$17,MAX(1,MIN(16,S$3))),0)</f>
        <v>0</v>
      </c>
      <c r="T5" s="0" t="n">
        <f aca="false">IF(AND(T$3&gt;=1,T$3&lt;=16),INDEX('Sales Plan'!$B$2:$B$17,MAX(1,MIN(16,T$3))),0)</f>
        <v>0</v>
      </c>
      <c r="U5" s="0" t="n">
        <f aca="false">IF(AND(U$3&gt;=1,U$3&lt;=16),INDEX('Sales Plan'!$B$2:$B$17,MAX(1,MIN(16,U$3))),0)</f>
        <v>0</v>
      </c>
      <c r="V5" s="0" t="n">
        <f aca="false">IF(AND(V$3&gt;=1,V$3&lt;=16),INDEX('Sales Plan'!$B$2:$B$17,MAX(1,MIN(16,V$3))),0)</f>
        <v>0</v>
      </c>
      <c r="W5" s="0" t="n">
        <f aca="false">IF(AND(W$3&gt;=1,W$3&lt;=16),INDEX('Sales Plan'!$B$2:$B$17,MAX(1,MIN(16,W$3))),0)</f>
        <v>0</v>
      </c>
      <c r="X5" s="0" t="n">
        <f aca="false">IF(AND(X$3&gt;=1,X$3&lt;=16),INDEX('Sales Plan'!$B$2:$B$17,MAX(1,MIN(16,X$3))),0)</f>
        <v>0</v>
      </c>
      <c r="Y5" s="0" t="n">
        <f aca="false">IF(AND(Y$3&gt;=1,Y$3&lt;=16),INDEX('Sales Plan'!$B$2:$B$17,MAX(1,MIN(16,Y$3))),0)</f>
        <v>0</v>
      </c>
      <c r="Z5" s="0" t="n">
        <f aca="false">IF(AND(Z$3&gt;=1,Z$3&lt;=16),INDEX('Sales Plan'!$B$2:$B$17,MAX(1,MIN(16,Z$3))),0)</f>
        <v>0</v>
      </c>
    </row>
    <row r="6" customFormat="false" ht="15" hidden="false" customHeight="false" outlineLevel="0" collapsed="false">
      <c r="A6" s="0" t="s">
        <v>21</v>
      </c>
      <c r="B6" s="0" t="n">
        <f aca="false">IF(AND(B$3&gt;=1,B$3&lt;=16),INDEX('Sales Plan'!$C$2:$C$17,MAX(1,MIN(16,B$3))),0)</f>
        <v>0</v>
      </c>
      <c r="C6" s="0" t="n">
        <f aca="false">IF(AND(C$3&gt;=1,C$3&lt;=16),INDEX('Sales Plan'!$C$2:$C$17,MAX(1,MIN(16,C$3))),0)</f>
        <v>60</v>
      </c>
      <c r="D6" s="0" t="n">
        <f aca="false">IF(AND(D$3&gt;=1,D$3&lt;=16),INDEX('Sales Plan'!$C$2:$C$17,MAX(1,MIN(16,D$3))),0)</f>
        <v>70</v>
      </c>
      <c r="E6" s="0" t="n">
        <f aca="false">IF(AND(E$3&gt;=1,E$3&lt;=16),INDEX('Sales Plan'!$C$2:$C$17,MAX(1,MIN(16,E$3))),0)</f>
        <v>70</v>
      </c>
      <c r="F6" s="0" t="n">
        <f aca="false">IF(AND(F$3&gt;=1,F$3&lt;=16),INDEX('Sales Plan'!$C$2:$C$17,MAX(1,MIN(16,F$3))),0)</f>
        <v>70</v>
      </c>
      <c r="G6" s="0" t="n">
        <f aca="false">IF(AND(G$3&gt;=1,G$3&lt;=16),INDEX('Sales Plan'!$C$2:$C$17,MAX(1,MIN(16,G$3))),0)</f>
        <v>65</v>
      </c>
      <c r="H6" s="0" t="n">
        <f aca="false">IF(AND(H$3&gt;=1,H$3&lt;=16),INDEX('Sales Plan'!$C$2:$C$17,MAX(1,MIN(16,H$3))),0)</f>
        <v>65</v>
      </c>
      <c r="I6" s="0" t="n">
        <f aca="false">IF(AND(I$3&gt;=1,I$3&lt;=16),INDEX('Sales Plan'!$C$2:$C$17,MAX(1,MIN(16,I$3))),0)</f>
        <v>60</v>
      </c>
      <c r="J6" s="0" t="n">
        <f aca="false">IF(AND(J$3&gt;=1,J$3&lt;=16),INDEX('Sales Plan'!$C$2:$C$17,MAX(1,MIN(16,J$3))),0)</f>
        <v>60</v>
      </c>
      <c r="K6" s="0" t="n">
        <f aca="false">IF(AND(K$3&gt;=1,K$3&lt;=16),INDEX('Sales Plan'!$C$2:$C$17,MAX(1,MIN(16,K$3))),0)</f>
        <v>55</v>
      </c>
      <c r="L6" s="0" t="n">
        <f aca="false">IF(AND(L$3&gt;=1,L$3&lt;=16),INDEX('Sales Plan'!$C$2:$C$17,MAX(1,MIN(16,L$3))),0)</f>
        <v>55</v>
      </c>
      <c r="M6" s="0" t="n">
        <f aca="false">IF(AND(M$3&gt;=1,M$3&lt;=16),INDEX('Sales Plan'!$C$2:$C$17,MAX(1,MIN(16,M$3))),0)</f>
        <v>50</v>
      </c>
      <c r="N6" s="0" t="n">
        <f aca="false">IF(AND(N$3&gt;=1,N$3&lt;=16),INDEX('Sales Plan'!$C$2:$C$17,MAX(1,MIN(16,N$3))),0)</f>
        <v>50</v>
      </c>
      <c r="O6" s="0" t="n">
        <f aca="false">IF(AND(O$3&gt;=1,O$3&lt;=16),INDEX('Sales Plan'!$C$2:$C$17,MAX(1,MIN(16,O$3))),0)</f>
        <v>45</v>
      </c>
      <c r="P6" s="0" t="n">
        <f aca="false">IF(AND(P$3&gt;=1,P$3&lt;=16),INDEX('Sales Plan'!$C$2:$C$17,MAX(1,MIN(16,P$3))),0)</f>
        <v>40</v>
      </c>
      <c r="Q6" s="0" t="n">
        <f aca="false">IF(AND(Q$3&gt;=1,Q$3&lt;=16),INDEX('Sales Plan'!$C$2:$C$17,MAX(1,MIN(16,Q$3))),0)</f>
        <v>35</v>
      </c>
      <c r="R6" s="0" t="n">
        <f aca="false">IF(AND(R$3&gt;=1,R$3&lt;=16),INDEX('Sales Plan'!$C$2:$C$17,MAX(1,MIN(16,R$3))),0)</f>
        <v>30</v>
      </c>
      <c r="S6" s="0" t="n">
        <f aca="false">IF(AND(S$3&gt;=1,S$3&lt;=16),INDEX('Sales Plan'!$C$2:$C$17,MAX(1,MIN(16,S$3))),0)</f>
        <v>0</v>
      </c>
      <c r="T6" s="0" t="n">
        <f aca="false">IF(AND(T$3&gt;=1,T$3&lt;=16),INDEX('Sales Plan'!$C$2:$C$17,MAX(1,MIN(16,T$3))),0)</f>
        <v>0</v>
      </c>
      <c r="U6" s="0" t="n">
        <f aca="false">IF(AND(U$3&gt;=1,U$3&lt;=16),INDEX('Sales Plan'!$C$2:$C$17,MAX(1,MIN(16,U$3))),0)</f>
        <v>0</v>
      </c>
      <c r="V6" s="0" t="n">
        <f aca="false">IF(AND(V$3&gt;=1,V$3&lt;=16),INDEX('Sales Plan'!$C$2:$C$17,MAX(1,MIN(16,V$3))),0)</f>
        <v>0</v>
      </c>
      <c r="W6" s="0" t="n">
        <f aca="false">IF(AND(W$3&gt;=1,W$3&lt;=16),INDEX('Sales Plan'!$C$2:$C$17,MAX(1,MIN(16,W$3))),0)</f>
        <v>0</v>
      </c>
      <c r="X6" s="0" t="n">
        <f aca="false">IF(AND(X$3&gt;=1,X$3&lt;=16),INDEX('Sales Plan'!$C$2:$C$17,MAX(1,MIN(16,X$3))),0)</f>
        <v>0</v>
      </c>
      <c r="Y6" s="0" t="n">
        <f aca="false">IF(AND(Y$3&gt;=1,Y$3&lt;=16),INDEX('Sales Plan'!$C$2:$C$17,MAX(1,MIN(16,Y$3))),0)</f>
        <v>0</v>
      </c>
      <c r="Z6" s="0" t="n">
        <f aca="false">IF(AND(Z$3&gt;=1,Z$3&lt;=16),INDEX('Sales Plan'!$C$2:$C$17,MAX(1,MIN(16,Z$3))),0)</f>
        <v>0</v>
      </c>
    </row>
    <row r="7" customFormat="false" ht="15" hidden="false" customHeight="false" outlineLevel="0" collapsed="false">
      <c r="A7" s="0" t="s">
        <v>23</v>
      </c>
      <c r="B7" s="0" t="n">
        <f aca="false">B5*Inputs!$B$5+B6*Inputs!$B$7</f>
        <v>0</v>
      </c>
      <c r="C7" s="0" t="n">
        <f aca="false">C5*Inputs!$B$5+C6*Inputs!$B$7</f>
        <v>165300000</v>
      </c>
      <c r="D7" s="0" t="n">
        <f aca="false">D5*Inputs!$B$5+D6*Inputs!$B$7</f>
        <v>206600000</v>
      </c>
      <c r="E7" s="0" t="n">
        <f aca="false">E5*Inputs!$B$5+E6*Inputs!$B$7</f>
        <v>220350000</v>
      </c>
      <c r="F7" s="0" t="n">
        <f aca="false">F5*Inputs!$B$5+F6*Inputs!$B$7</f>
        <v>220350000</v>
      </c>
      <c r="G7" s="0" t="n">
        <f aca="false">G5*Inputs!$B$5+G6*Inputs!$B$7</f>
        <v>213450000</v>
      </c>
      <c r="H7" s="0" t="n">
        <f aca="false">H5*Inputs!$B$5+H6*Inputs!$B$7</f>
        <v>199700000</v>
      </c>
      <c r="I7" s="0" t="n">
        <f aca="false">I5*Inputs!$B$5+I6*Inputs!$B$7</f>
        <v>192800000</v>
      </c>
      <c r="J7" s="0" t="n">
        <f aca="false">J5*Inputs!$B$5+J6*Inputs!$B$7</f>
        <v>179050000</v>
      </c>
      <c r="K7" s="0" t="n">
        <f aca="false">K5*Inputs!$B$5+K6*Inputs!$B$7</f>
        <v>172150000</v>
      </c>
      <c r="L7" s="0" t="n">
        <f aca="false">L5*Inputs!$B$5+L6*Inputs!$B$7</f>
        <v>158400000</v>
      </c>
      <c r="M7" s="0" t="n">
        <f aca="false">M5*Inputs!$B$5+M6*Inputs!$B$7</f>
        <v>151500000</v>
      </c>
      <c r="N7" s="0" t="n">
        <f aca="false">N5*Inputs!$B$5+N6*Inputs!$B$7</f>
        <v>151500000</v>
      </c>
      <c r="O7" s="0" t="n">
        <f aca="false">O5*Inputs!$B$5+O6*Inputs!$B$7</f>
        <v>130850000</v>
      </c>
      <c r="P7" s="0" t="n">
        <f aca="false">P5*Inputs!$B$5+P6*Inputs!$B$7</f>
        <v>123950000</v>
      </c>
      <c r="Q7" s="0" t="n">
        <f aca="false">Q5*Inputs!$B$5+Q6*Inputs!$B$7</f>
        <v>117050000</v>
      </c>
      <c r="R7" s="0" t="n">
        <f aca="false">R5*Inputs!$B$5+R6*Inputs!$B$7</f>
        <v>96400000</v>
      </c>
      <c r="S7" s="0" t="n">
        <f aca="false">S5*Inputs!$B$5+S6*Inputs!$B$7</f>
        <v>0</v>
      </c>
      <c r="T7" s="0" t="n">
        <f aca="false">T5*Inputs!$B$5+T6*Inputs!$B$7</f>
        <v>0</v>
      </c>
      <c r="U7" s="0" t="n">
        <f aca="false">U5*Inputs!$B$5+U6*Inputs!$B$7</f>
        <v>0</v>
      </c>
      <c r="V7" s="0" t="n">
        <f aca="false">V5*Inputs!$B$5+V6*Inputs!$B$7</f>
        <v>0</v>
      </c>
      <c r="W7" s="0" t="n">
        <f aca="false">W5*Inputs!$B$5+W6*Inputs!$B$7</f>
        <v>0</v>
      </c>
      <c r="X7" s="0" t="n">
        <f aca="false">X5*Inputs!$B$5+X6*Inputs!$B$7</f>
        <v>0</v>
      </c>
      <c r="Y7" s="0" t="n">
        <f aca="false">Y5*Inputs!$B$5+Y6*Inputs!$B$7</f>
        <v>0</v>
      </c>
      <c r="Z7" s="0" t="n">
        <f aca="false">Z5*Inputs!$B$5+Z6*Inputs!$B$7</f>
        <v>0</v>
      </c>
    </row>
    <row r="8" customFormat="false" ht="15" hidden="false" customHeight="false" outlineLevel="0" collapsed="false">
      <c r="A8" s="0" t="s">
        <v>24</v>
      </c>
      <c r="B8" s="0" t="n">
        <f aca="false">B7*Inputs!$B$9</f>
        <v>0</v>
      </c>
      <c r="C8" s="0" t="n">
        <f aca="false">C7*Inputs!$B$9</f>
        <v>33060000</v>
      </c>
      <c r="D8" s="0" t="n">
        <f aca="false">D7*Inputs!$B$9</f>
        <v>41320000</v>
      </c>
      <c r="E8" s="0" t="n">
        <f aca="false">E7*Inputs!$B$9</f>
        <v>44070000</v>
      </c>
      <c r="F8" s="0" t="n">
        <f aca="false">F7*Inputs!$B$9</f>
        <v>44070000</v>
      </c>
      <c r="G8" s="0" t="n">
        <f aca="false">G7*Inputs!$B$9</f>
        <v>42690000</v>
      </c>
      <c r="H8" s="0" t="n">
        <f aca="false">H7*Inputs!$B$9</f>
        <v>39940000</v>
      </c>
      <c r="I8" s="0" t="n">
        <f aca="false">I7*Inputs!$B$9</f>
        <v>38560000</v>
      </c>
      <c r="J8" s="0" t="n">
        <f aca="false">J7*Inputs!$B$9</f>
        <v>35810000</v>
      </c>
      <c r="K8" s="0" t="n">
        <f aca="false">K7*Inputs!$B$9</f>
        <v>34430000</v>
      </c>
      <c r="L8" s="0" t="n">
        <f aca="false">L7*Inputs!$B$9</f>
        <v>31680000</v>
      </c>
      <c r="M8" s="0" t="n">
        <f aca="false">M7*Inputs!$B$9</f>
        <v>30300000</v>
      </c>
      <c r="N8" s="0" t="n">
        <f aca="false">N7*Inputs!$B$9</f>
        <v>30300000</v>
      </c>
      <c r="O8" s="0" t="n">
        <f aca="false">O7*Inputs!$B$9</f>
        <v>26170000</v>
      </c>
      <c r="P8" s="0" t="n">
        <f aca="false">P7*Inputs!$B$9</f>
        <v>24790000</v>
      </c>
      <c r="Q8" s="0" t="n">
        <f aca="false">Q7*Inputs!$B$9</f>
        <v>23410000</v>
      </c>
      <c r="R8" s="0" t="n">
        <f aca="false">R7*Inputs!$B$9</f>
        <v>19280000</v>
      </c>
      <c r="S8" s="0" t="n">
        <f aca="false">S7*Inputs!$B$9</f>
        <v>0</v>
      </c>
      <c r="T8" s="0" t="n">
        <f aca="false">T7*Inputs!$B$9</f>
        <v>0</v>
      </c>
      <c r="U8" s="0" t="n">
        <f aca="false">U7*Inputs!$B$9</f>
        <v>0</v>
      </c>
      <c r="V8" s="0" t="n">
        <f aca="false">V7*Inputs!$B$9</f>
        <v>0</v>
      </c>
      <c r="W8" s="0" t="n">
        <f aca="false">W7*Inputs!$B$9</f>
        <v>0</v>
      </c>
      <c r="X8" s="0" t="n">
        <f aca="false">X7*Inputs!$B$9</f>
        <v>0</v>
      </c>
      <c r="Y8" s="0" t="n">
        <f aca="false">Y7*Inputs!$B$9</f>
        <v>0</v>
      </c>
      <c r="Z8" s="0" t="n">
        <f aca="false">Z7*Inputs!$B$9</f>
        <v>0</v>
      </c>
    </row>
    <row r="9" customFormat="false" ht="15" hidden="false" customHeight="false" outlineLevel="0" collapsed="false">
      <c r="A9" s="0" t="s">
        <v>25</v>
      </c>
      <c r="B9" s="0" t="n">
        <f aca="false">0</f>
        <v>0</v>
      </c>
      <c r="C9" s="0" t="n">
        <f aca="true">IF(AND(C$3&lt;Inputs!$B$10,C$3&gt;Inputs!$B$8),OFFSET(C7,0,-Inputs!$B$8)*0.4,0)</f>
        <v>0</v>
      </c>
      <c r="D9" s="0" t="n">
        <f aca="true">IF(AND(D$3&lt;Inputs!$B$10,D$3&gt;Inputs!$B$8),OFFSET(D7,0,-Inputs!$B$8)*0.4,0)</f>
        <v>0</v>
      </c>
      <c r="E9" s="0" t="n">
        <f aca="true">IF(AND(E$3&lt;Inputs!$B$10,E$3&gt;Inputs!$B$8),OFFSET(E7,0,-Inputs!$B$8)*0.4,0)</f>
        <v>66120000</v>
      </c>
      <c r="F9" s="0" t="n">
        <f aca="true">IF(AND(F$3&lt;Inputs!$B$10,F$3&gt;Inputs!$B$8),OFFSET(F7,0,-Inputs!$B$8)*0.4,0)</f>
        <v>82640000</v>
      </c>
      <c r="G9" s="0" t="n">
        <f aca="true">IF(AND(G$3&lt;Inputs!$B$10,G$3&gt;Inputs!$B$8),OFFSET(G7,0,-Inputs!$B$8)*0.4,0)</f>
        <v>88140000</v>
      </c>
      <c r="H9" s="0" t="n">
        <f aca="true">IF(AND(H$3&lt;Inputs!$B$10,H$3&gt;Inputs!$B$8),OFFSET(H7,0,-Inputs!$B$8)*0.4,0)</f>
        <v>88140000</v>
      </c>
      <c r="I9" s="0" t="n">
        <f aca="true">IF(AND(I$3&lt;Inputs!$B$10,I$3&gt;Inputs!$B$8),OFFSET(I7,0,-Inputs!$B$8)*0.4,0)</f>
        <v>85380000</v>
      </c>
      <c r="J9" s="0" t="n">
        <f aca="true">IF(AND(J$3&lt;Inputs!$B$10,J$3&gt;Inputs!$B$8),OFFSET(J7,0,-Inputs!$B$8)*0.4,0)</f>
        <v>79880000</v>
      </c>
      <c r="K9" s="0" t="n">
        <f aca="true">IF(AND(K$3&lt;Inputs!$B$10,K$3&gt;Inputs!$B$8),OFFSET(K7,0,-Inputs!$B$8)*0.4,0)</f>
        <v>77120000</v>
      </c>
      <c r="L9" s="0" t="n">
        <f aca="true">IF(AND(L$3&lt;Inputs!$B$10,L$3&gt;Inputs!$B$8),OFFSET(L7,0,-Inputs!$B$8)*0.4,0)</f>
        <v>71620000</v>
      </c>
      <c r="M9" s="0" t="n">
        <f aca="true">IF(AND(M$3&lt;Inputs!$B$10,M$3&gt;Inputs!$B$8),OFFSET(M7,0,-Inputs!$B$8)*0.4,0)</f>
        <v>68860000</v>
      </c>
      <c r="N9" s="0" t="n">
        <f aca="true">IF(AND(N$3&lt;Inputs!$B$10,N$3&gt;Inputs!$B$8),OFFSET(N7,0,-Inputs!$B$8)*0.4,0)</f>
        <v>63360000</v>
      </c>
      <c r="O9" s="0" t="n">
        <f aca="true">IF(AND(O$3&lt;Inputs!$B$10,O$3&gt;Inputs!$B$8),OFFSET(O7,0,-Inputs!$B$8)*0.4,0)</f>
        <v>60600000</v>
      </c>
      <c r="P9" s="0" t="n">
        <f aca="true">IF(AND(P$3&lt;Inputs!$B$10,P$3&gt;Inputs!$B$8),OFFSET(P7,0,-Inputs!$B$8)*0.4,0)</f>
        <v>0</v>
      </c>
      <c r="Q9" s="0" t="n">
        <f aca="true">IF(AND(Q$3&lt;Inputs!$B$10,Q$3&gt;Inputs!$B$8),OFFSET(Q7,0,-Inputs!$B$8)*0.4,0)</f>
        <v>0</v>
      </c>
      <c r="R9" s="0" t="n">
        <f aca="true">IF(AND(R$3&lt;Inputs!$B$10,R$3&gt;Inputs!$B$8),OFFSET(R7,0,-Inputs!$B$8)*0.4,0)</f>
        <v>0</v>
      </c>
      <c r="S9" s="0" t="n">
        <f aca="true">IF(AND(S$3&lt;Inputs!$B$10,S$3&gt;Inputs!$B$8),OFFSET(S7,0,-Inputs!$B$8)*0.4,0)</f>
        <v>0</v>
      </c>
      <c r="T9" s="0" t="n">
        <f aca="true">IF(AND(T$3&lt;Inputs!$B$10,T$3&gt;Inputs!$B$8),OFFSET(T7,0,-Inputs!$B$8)*0.4,0)</f>
        <v>0</v>
      </c>
      <c r="U9" s="0" t="n">
        <f aca="true">IF(AND(U$3&lt;Inputs!$B$10,U$3&gt;Inputs!$B$8),OFFSET(U7,0,-Inputs!$B$8)*0.4,0)</f>
        <v>0</v>
      </c>
      <c r="V9" s="0" t="n">
        <f aca="true">IF(AND(V$3&lt;Inputs!$B$10,V$3&gt;Inputs!$B$8),OFFSET(V7,0,-Inputs!$B$8)*0.4,0)</f>
        <v>0</v>
      </c>
      <c r="W9" s="0" t="n">
        <f aca="true">IF(AND(W$3&lt;Inputs!$B$10,W$3&gt;Inputs!$B$8),OFFSET(W7,0,-Inputs!$B$8)*0.4,0)</f>
        <v>0</v>
      </c>
      <c r="X9" s="0" t="n">
        <f aca="true">IF(AND(X$3&lt;Inputs!$B$10,X$3&gt;Inputs!$B$8),OFFSET(X7,0,-Inputs!$B$8)*0.4,0)</f>
        <v>0</v>
      </c>
      <c r="Y9" s="0" t="n">
        <f aca="true">IF(AND(Y$3&lt;Inputs!$B$10,Y$3&gt;Inputs!$B$8),OFFSET(Y7,0,-Inputs!$B$8)*0.4,0)</f>
        <v>0</v>
      </c>
      <c r="Z9" s="0" t="n">
        <f aca="true">IF(AND(Z$3&lt;Inputs!$B$10,Z$3&gt;Inputs!$B$8),OFFSET(Z7,0,-Inputs!$B$8)*0.4,0)</f>
        <v>0</v>
      </c>
    </row>
    <row r="10" customFormat="false" ht="15" hidden="false" customHeight="false" outlineLevel="0" collapsed="false">
      <c r="A10" s="0" t="s">
        <v>26</v>
      </c>
      <c r="B10" s="0" t="n">
        <f aca="false">0</f>
        <v>0</v>
      </c>
      <c r="C10" s="0" t="n">
        <f aca="false">IF(C$3=Inputs!$B$10,SUM($B$7:C7)*(1-Inputs!$B$9)-SUM($B$9:B9),IF(C$3&gt;Inputs!$B$10,C7*(1-Inputs!$B$9),0))</f>
        <v>0</v>
      </c>
      <c r="D10" s="0" t="n">
        <f aca="false">IF(D$3=Inputs!$B$10,SUM($B$7:D7)*(1-Inputs!$B$9)-SUM($B$9:C9),IF(D$3&gt;Inputs!$B$10,D7*(1-Inputs!$B$9),0))</f>
        <v>0</v>
      </c>
      <c r="E10" s="0" t="n">
        <f aca="false">IF(E$3=Inputs!$B$10,SUM($B$7:E7)*(1-Inputs!$B$9)-SUM($B$9:D9),IF(E$3&gt;Inputs!$B$10,E7*(1-Inputs!$B$9),0))</f>
        <v>0</v>
      </c>
      <c r="F10" s="0" t="n">
        <f aca="false">IF(F$3=Inputs!$B$10,SUM($B$7:F7)*(1-Inputs!$B$9)-SUM($B$9:E9),IF(F$3&gt;Inputs!$B$10,F7*(1-Inputs!$B$9),0))</f>
        <v>0</v>
      </c>
      <c r="G10" s="0" t="n">
        <f aca="false">IF(G$3=Inputs!$B$10,SUM($B$7:G7)*(1-Inputs!$B$9)-SUM($B$9:F9),IF(G$3&gt;Inputs!$B$10,G7*(1-Inputs!$B$9),0))</f>
        <v>0</v>
      </c>
      <c r="H10" s="0" t="n">
        <f aca="false">IF(H$3=Inputs!$B$10,SUM($B$7:H7)*(1-Inputs!$B$9)-SUM($B$9:G9),IF(H$3&gt;Inputs!$B$10,H7*(1-Inputs!$B$9),0))</f>
        <v>0</v>
      </c>
      <c r="I10" s="0" t="n">
        <f aca="false">IF(I$3=Inputs!$B$10,SUM($B$7:I7)*(1-Inputs!$B$9)-SUM($B$9:H9),IF(I$3&gt;Inputs!$B$10,I7*(1-Inputs!$B$9),0))</f>
        <v>0</v>
      </c>
      <c r="J10" s="0" t="n">
        <f aca="false">IF(J$3=Inputs!$B$10,SUM($B$7:J7)*(1-Inputs!$B$9)-SUM($B$9:I9),IF(J$3&gt;Inputs!$B$10,J7*(1-Inputs!$B$9),0))</f>
        <v>0</v>
      </c>
      <c r="K10" s="0" t="n">
        <f aca="false">IF(K$3=Inputs!$B$10,SUM($B$7:K7)*(1-Inputs!$B$9)-SUM($B$9:J9),IF(K$3&gt;Inputs!$B$10,K7*(1-Inputs!$B$9),0))</f>
        <v>0</v>
      </c>
      <c r="L10" s="0" t="n">
        <f aca="false">IF(L$3=Inputs!$B$10,SUM($B$7:L7)*(1-Inputs!$B$9)-SUM($B$9:K9),IF(L$3&gt;Inputs!$B$10,L7*(1-Inputs!$B$9),0))</f>
        <v>0</v>
      </c>
      <c r="M10" s="0" t="n">
        <f aca="false">IF(M$3=Inputs!$B$10,SUM($B$7:M7)*(1-Inputs!$B$9)-SUM($B$9:L9),IF(M$3&gt;Inputs!$B$10,M7*(1-Inputs!$B$9),0))</f>
        <v>0</v>
      </c>
      <c r="N10" s="0" t="n">
        <f aca="false">IF(N$3=Inputs!$B$10,SUM($B$7:N7)*(1-Inputs!$B$9)-SUM($B$9:M9),IF(N$3&gt;Inputs!$B$10,N7*(1-Inputs!$B$9),0))</f>
        <v>0</v>
      </c>
      <c r="O10" s="0" t="n">
        <f aca="false">IF(O$3=Inputs!$B$10,SUM($B$7:O7)*(1-Inputs!$B$9)-SUM($B$9:N9),IF(O$3&gt;Inputs!$B$10,O7*(1-Inputs!$B$9),0))</f>
        <v>0</v>
      </c>
      <c r="P10" s="0" t="n">
        <f aca="false">IF(P$3=Inputs!$B$10,SUM($B$7:P7)*(1-Inputs!$B$9)-SUM($B$9:O9),IF(P$3&gt;Inputs!$B$10,P7*(1-Inputs!$B$9),0))</f>
        <v>1156900000</v>
      </c>
      <c r="Q10" s="0" t="n">
        <f aca="false">IF(Q$3=Inputs!$B$10,SUM($B$7:Q7)*(1-Inputs!$B$9)-SUM($B$9:P9),IF(Q$3&gt;Inputs!$B$10,Q7*(1-Inputs!$B$9),0))</f>
        <v>93640000</v>
      </c>
      <c r="R10" s="0" t="n">
        <f aca="false">IF(R$3=Inputs!$B$10,SUM($B$7:R7)*(1-Inputs!$B$9)-SUM($B$9:Q9),IF(R$3&gt;Inputs!$B$10,R7*(1-Inputs!$B$9),0))</f>
        <v>77120000</v>
      </c>
      <c r="S10" s="0" t="n">
        <f aca="false">IF(S$3=Inputs!$B$10,SUM($B$7:S7)*(1-Inputs!$B$9)-SUM($B$9:R9),IF(S$3&gt;Inputs!$B$10,S7*(1-Inputs!$B$9),0))</f>
        <v>0</v>
      </c>
      <c r="T10" s="0" t="n">
        <f aca="false">IF(T$3=Inputs!$B$10,SUM($B$7:T7)*(1-Inputs!$B$9)-SUM($B$9:S9),IF(T$3&gt;Inputs!$B$10,T7*(1-Inputs!$B$9),0))</f>
        <v>0</v>
      </c>
      <c r="U10" s="0" t="n">
        <f aca="false">IF(U$3=Inputs!$B$10,SUM($B$7:U7)*(1-Inputs!$B$9)-SUM($B$9:T9),IF(U$3&gt;Inputs!$B$10,U7*(1-Inputs!$B$9),0))</f>
        <v>0</v>
      </c>
      <c r="V10" s="0" t="n">
        <f aca="false">IF(V$3=Inputs!$B$10,SUM($B$7:V7)*(1-Inputs!$B$9)-SUM($B$9:U9),IF(V$3&gt;Inputs!$B$10,V7*(1-Inputs!$B$9),0))</f>
        <v>0</v>
      </c>
      <c r="W10" s="0" t="n">
        <f aca="false">IF(W$3=Inputs!$B$10,SUM($B$7:W7)*(1-Inputs!$B$9)-SUM($B$9:V9),IF(W$3&gt;Inputs!$B$10,W7*(1-Inputs!$B$9),0))</f>
        <v>0</v>
      </c>
      <c r="X10" s="0" t="n">
        <f aca="false">IF(X$3=Inputs!$B$10,SUM($B$7:X7)*(1-Inputs!$B$9)-SUM($B$9:W9),IF(X$3&gt;Inputs!$B$10,X7*(1-Inputs!$B$9),0))</f>
        <v>0</v>
      </c>
      <c r="Y10" s="0" t="n">
        <f aca="false">IF(Y$3=Inputs!$B$10,SUM($B$7:Y7)*(1-Inputs!$B$9)-SUM($B$9:X9),IF(Y$3&gt;Inputs!$B$10,Y7*(1-Inputs!$B$9),0))</f>
        <v>0</v>
      </c>
      <c r="Z10" s="0" t="n">
        <f aca="false">IF(Z$3=Inputs!$B$10,SUM($B$7:Z7)*(1-Inputs!$B$9)-SUM($B$9:Y9),IF(Z$3&gt;Inputs!$B$10,Z7*(1-Inputs!$B$9),0))</f>
        <v>0</v>
      </c>
    </row>
    <row r="11" customFormat="false" ht="15" hidden="false" customHeight="false" outlineLevel="0" collapsed="false">
      <c r="A11" s="0" t="s">
        <v>27</v>
      </c>
      <c r="B11" s="0" t="n">
        <f aca="false">B8+B9+B10</f>
        <v>0</v>
      </c>
      <c r="C11" s="0" t="n">
        <f aca="false">C8+C9+C10</f>
        <v>33060000</v>
      </c>
      <c r="D11" s="0" t="n">
        <f aca="false">D8+D9+D10</f>
        <v>41320000</v>
      </c>
      <c r="E11" s="0" t="n">
        <f aca="false">E8+E9+E10</f>
        <v>110190000</v>
      </c>
      <c r="F11" s="0" t="n">
        <f aca="false">F8+F9+F10</f>
        <v>126710000</v>
      </c>
      <c r="G11" s="0" t="n">
        <f aca="false">G8+G9+G10</f>
        <v>130830000</v>
      </c>
      <c r="H11" s="0" t="n">
        <f aca="false">H8+H9+H10</f>
        <v>128080000</v>
      </c>
      <c r="I11" s="0" t="n">
        <f aca="false">I8+I9+I10</f>
        <v>123940000</v>
      </c>
      <c r="J11" s="0" t="n">
        <f aca="false">J8+J9+J10</f>
        <v>115690000</v>
      </c>
      <c r="K11" s="0" t="n">
        <f aca="false">K8+K9+K10</f>
        <v>111550000</v>
      </c>
      <c r="L11" s="0" t="n">
        <f aca="false">L8+L9+L10</f>
        <v>103300000</v>
      </c>
      <c r="M11" s="0" t="n">
        <f aca="false">M8+M9+M10</f>
        <v>99160000</v>
      </c>
      <c r="N11" s="0" t="n">
        <f aca="false">N8+N9+N10</f>
        <v>93660000</v>
      </c>
      <c r="O11" s="0" t="n">
        <f aca="false">O8+O9+O10</f>
        <v>86770000</v>
      </c>
      <c r="P11" s="0" t="n">
        <f aca="false">P8+P9+P10</f>
        <v>1181690000</v>
      </c>
      <c r="Q11" s="0" t="n">
        <f aca="false">Q8+Q9+Q10</f>
        <v>117050000</v>
      </c>
      <c r="R11" s="0" t="n">
        <f aca="false">R8+R9+R10</f>
        <v>96400000</v>
      </c>
      <c r="S11" s="0" t="n">
        <f aca="false">S8+S9+S10</f>
        <v>0</v>
      </c>
      <c r="T11" s="0" t="n">
        <f aca="false">T8+T9+T10</f>
        <v>0</v>
      </c>
      <c r="U11" s="0" t="n">
        <f aca="false">U8+U9+U10</f>
        <v>0</v>
      </c>
      <c r="V11" s="0" t="n">
        <f aca="false">V8+V9+V10</f>
        <v>0</v>
      </c>
      <c r="W11" s="0" t="n">
        <f aca="false">W8+W9+W10</f>
        <v>0</v>
      </c>
      <c r="X11" s="0" t="n">
        <f aca="false">X8+X9+X10</f>
        <v>0</v>
      </c>
      <c r="Y11" s="0" t="n">
        <f aca="false">Y8+Y9+Y10</f>
        <v>0</v>
      </c>
      <c r="Z11" s="0" t="n">
        <f aca="false">Z8+Z9+Z10</f>
        <v>0</v>
      </c>
    </row>
    <row r="12" customFormat="false" ht="15" hidden="false" customHeight="false" outlineLevel="0" collapsed="false">
      <c r="A12" s="0" t="s">
        <v>28</v>
      </c>
      <c r="B12" s="0" t="n">
        <f aca="false">IF(AND(B$3&gt;=1,B$3&lt;=Inputs!$B$10),(Inputs!$B$4*Inputs!$B$11+Inputs!$B$6*Inputs!$B$12)/Inputs!$B$10,0)</f>
        <v>0</v>
      </c>
      <c r="C12" s="0" t="n">
        <f aca="false">IF(AND(C$3&gt;=1,C$3&lt;=Inputs!$B$10),(Inputs!$B$4*Inputs!$B$11+Inputs!$B$6*Inputs!$B$12)/Inputs!$B$10,0)</f>
        <v>92300000</v>
      </c>
      <c r="D12" s="0" t="n">
        <f aca="false">IF(AND(D$3&gt;=1,D$3&lt;=Inputs!$B$10),(Inputs!$B$4*Inputs!$B$11+Inputs!$B$6*Inputs!$B$12)/Inputs!$B$10,0)</f>
        <v>92300000</v>
      </c>
      <c r="E12" s="0" t="n">
        <f aca="false">IF(AND(E$3&gt;=1,E$3&lt;=Inputs!$B$10),(Inputs!$B$4*Inputs!$B$11+Inputs!$B$6*Inputs!$B$12)/Inputs!$B$10,0)</f>
        <v>92300000</v>
      </c>
      <c r="F12" s="0" t="n">
        <f aca="false">IF(AND(F$3&gt;=1,F$3&lt;=Inputs!$B$10),(Inputs!$B$4*Inputs!$B$11+Inputs!$B$6*Inputs!$B$12)/Inputs!$B$10,0)</f>
        <v>92300000</v>
      </c>
      <c r="G12" s="0" t="n">
        <f aca="false">IF(AND(G$3&gt;=1,G$3&lt;=Inputs!$B$10),(Inputs!$B$4*Inputs!$B$11+Inputs!$B$6*Inputs!$B$12)/Inputs!$B$10,0)</f>
        <v>92300000</v>
      </c>
      <c r="H12" s="0" t="n">
        <f aca="false">IF(AND(H$3&gt;=1,H$3&lt;=Inputs!$B$10),(Inputs!$B$4*Inputs!$B$11+Inputs!$B$6*Inputs!$B$12)/Inputs!$B$10,0)</f>
        <v>92300000</v>
      </c>
      <c r="I12" s="0" t="n">
        <f aca="false">IF(AND(I$3&gt;=1,I$3&lt;=Inputs!$B$10),(Inputs!$B$4*Inputs!$B$11+Inputs!$B$6*Inputs!$B$12)/Inputs!$B$10,0)</f>
        <v>92300000</v>
      </c>
      <c r="J12" s="0" t="n">
        <f aca="false">IF(AND(J$3&gt;=1,J$3&lt;=Inputs!$B$10),(Inputs!$B$4*Inputs!$B$11+Inputs!$B$6*Inputs!$B$12)/Inputs!$B$10,0)</f>
        <v>92300000</v>
      </c>
      <c r="K12" s="0" t="n">
        <f aca="false">IF(AND(K$3&gt;=1,K$3&lt;=Inputs!$B$10),(Inputs!$B$4*Inputs!$B$11+Inputs!$B$6*Inputs!$B$12)/Inputs!$B$10,0)</f>
        <v>92300000</v>
      </c>
      <c r="L12" s="0" t="n">
        <f aca="false">IF(AND(L$3&gt;=1,L$3&lt;=Inputs!$B$10),(Inputs!$B$4*Inputs!$B$11+Inputs!$B$6*Inputs!$B$12)/Inputs!$B$10,0)</f>
        <v>92300000</v>
      </c>
      <c r="M12" s="0" t="n">
        <f aca="false">IF(AND(M$3&gt;=1,M$3&lt;=Inputs!$B$10),(Inputs!$B$4*Inputs!$B$11+Inputs!$B$6*Inputs!$B$12)/Inputs!$B$10,0)</f>
        <v>92300000</v>
      </c>
      <c r="N12" s="0" t="n">
        <f aca="false">IF(AND(N$3&gt;=1,N$3&lt;=Inputs!$B$10),(Inputs!$B$4*Inputs!$B$11+Inputs!$B$6*Inputs!$B$12)/Inputs!$B$10,0)</f>
        <v>92300000</v>
      </c>
      <c r="O12" s="0" t="n">
        <f aca="false">IF(AND(O$3&gt;=1,O$3&lt;=Inputs!$B$10),(Inputs!$B$4*Inputs!$B$11+Inputs!$B$6*Inputs!$B$12)/Inputs!$B$10,0)</f>
        <v>92300000</v>
      </c>
      <c r="P12" s="0" t="n">
        <f aca="false">IF(AND(P$3&gt;=1,P$3&lt;=Inputs!$B$10),(Inputs!$B$4*Inputs!$B$11+Inputs!$B$6*Inputs!$B$12)/Inputs!$B$10,0)</f>
        <v>92300000</v>
      </c>
      <c r="Q12" s="0" t="n">
        <f aca="false">IF(AND(Q$3&gt;=1,Q$3&lt;=Inputs!$B$10),(Inputs!$B$4*Inputs!$B$11+Inputs!$B$6*Inputs!$B$12)/Inputs!$B$10,0)</f>
        <v>0</v>
      </c>
      <c r="R12" s="0" t="n">
        <f aca="false">IF(AND(R$3&gt;=1,R$3&lt;=Inputs!$B$10),(Inputs!$B$4*Inputs!$B$11+Inputs!$B$6*Inputs!$B$12)/Inputs!$B$10,0)</f>
        <v>0</v>
      </c>
      <c r="S12" s="0" t="n">
        <f aca="false">IF(AND(S$3&gt;=1,S$3&lt;=Inputs!$B$10),(Inputs!$B$4*Inputs!$B$11+Inputs!$B$6*Inputs!$B$12)/Inputs!$B$10,0)</f>
        <v>0</v>
      </c>
      <c r="T12" s="0" t="n">
        <f aca="false">IF(AND(T$3&gt;=1,T$3&lt;=Inputs!$B$10),(Inputs!$B$4*Inputs!$B$11+Inputs!$B$6*Inputs!$B$12)/Inputs!$B$10,0)</f>
        <v>0</v>
      </c>
      <c r="U12" s="0" t="n">
        <f aca="false">IF(AND(U$3&gt;=1,U$3&lt;=Inputs!$B$10),(Inputs!$B$4*Inputs!$B$11+Inputs!$B$6*Inputs!$B$12)/Inputs!$B$10,0)</f>
        <v>0</v>
      </c>
      <c r="V12" s="0" t="n">
        <f aca="false">IF(AND(V$3&gt;=1,V$3&lt;=Inputs!$B$10),(Inputs!$B$4*Inputs!$B$11+Inputs!$B$6*Inputs!$B$12)/Inputs!$B$10,0)</f>
        <v>0</v>
      </c>
      <c r="W12" s="0" t="n">
        <f aca="false">IF(AND(W$3&gt;=1,W$3&lt;=Inputs!$B$10),(Inputs!$B$4*Inputs!$B$11+Inputs!$B$6*Inputs!$B$12)/Inputs!$B$10,0)</f>
        <v>0</v>
      </c>
      <c r="X12" s="0" t="n">
        <f aca="false">IF(AND(X$3&gt;=1,X$3&lt;=Inputs!$B$10),(Inputs!$B$4*Inputs!$B$11+Inputs!$B$6*Inputs!$B$12)/Inputs!$B$10,0)</f>
        <v>0</v>
      </c>
      <c r="Y12" s="0" t="n">
        <f aca="false">IF(AND(Y$3&gt;=1,Y$3&lt;=Inputs!$B$10),(Inputs!$B$4*Inputs!$B$11+Inputs!$B$6*Inputs!$B$12)/Inputs!$B$10,0)</f>
        <v>0</v>
      </c>
      <c r="Z12" s="0" t="n">
        <f aca="false">IF(AND(Z$3&gt;=1,Z$3&lt;=Inputs!$B$10),(Inputs!$B$4*Inputs!$B$11+Inputs!$B$6*Inputs!$B$12)/Inputs!$B$10,0)</f>
        <v>0</v>
      </c>
    </row>
    <row r="13" customFormat="false" ht="15" hidden="false" customHeight="false" outlineLevel="0" collapsed="false">
      <c r="A13" s="0" t="s">
        <v>29</v>
      </c>
      <c r="B13" s="0" t="n">
        <f aca="false">IF(AND(B$3&gt;=1,B$3&lt;=6),Inputs!$B$13/6,0)</f>
        <v>0</v>
      </c>
      <c r="C13" s="0" t="n">
        <f aca="false">IF(AND(C$3&gt;=1,C$3&lt;=6),Inputs!$B$13/6,0)</f>
        <v>51666666.6666667</v>
      </c>
      <c r="D13" s="0" t="n">
        <f aca="false">IF(AND(D$3&gt;=1,D$3&lt;=6),Inputs!$B$13/6,0)</f>
        <v>51666666.6666667</v>
      </c>
      <c r="E13" s="0" t="n">
        <f aca="false">IF(AND(E$3&gt;=1,E$3&lt;=6),Inputs!$B$13/6,0)</f>
        <v>51666666.6666667</v>
      </c>
      <c r="F13" s="0" t="n">
        <f aca="false">IF(AND(F$3&gt;=1,F$3&lt;=6),Inputs!$B$13/6,0)</f>
        <v>51666666.6666667</v>
      </c>
      <c r="G13" s="0" t="n">
        <f aca="false">IF(AND(G$3&gt;=1,G$3&lt;=6),Inputs!$B$13/6,0)</f>
        <v>51666666.6666667</v>
      </c>
      <c r="H13" s="0" t="n">
        <f aca="false">IF(AND(H$3&gt;=1,H$3&lt;=6),Inputs!$B$13/6,0)</f>
        <v>51666666.6666667</v>
      </c>
      <c r="I13" s="0" t="n">
        <f aca="false">IF(AND(I$3&gt;=1,I$3&lt;=6),Inputs!$B$13/6,0)</f>
        <v>0</v>
      </c>
      <c r="J13" s="0" t="n">
        <f aca="false">IF(AND(J$3&gt;=1,J$3&lt;=6),Inputs!$B$13/6,0)</f>
        <v>0</v>
      </c>
      <c r="K13" s="0" t="n">
        <f aca="false">IF(AND(K$3&gt;=1,K$3&lt;=6),Inputs!$B$13/6,0)</f>
        <v>0</v>
      </c>
      <c r="L13" s="0" t="n">
        <f aca="false">IF(AND(L$3&gt;=1,L$3&lt;=6),Inputs!$B$13/6,0)</f>
        <v>0</v>
      </c>
      <c r="M13" s="0" t="n">
        <f aca="false">IF(AND(M$3&gt;=1,M$3&lt;=6),Inputs!$B$13/6,0)</f>
        <v>0</v>
      </c>
      <c r="N13" s="0" t="n">
        <f aca="false">IF(AND(N$3&gt;=1,N$3&lt;=6),Inputs!$B$13/6,0)</f>
        <v>0</v>
      </c>
      <c r="O13" s="0" t="n">
        <f aca="false">IF(AND(O$3&gt;=1,O$3&lt;=6),Inputs!$B$13/6,0)</f>
        <v>0</v>
      </c>
      <c r="P13" s="0" t="n">
        <f aca="false">IF(AND(P$3&gt;=1,P$3&lt;=6),Inputs!$B$13/6,0)</f>
        <v>0</v>
      </c>
      <c r="Q13" s="0" t="n">
        <f aca="false">IF(AND(Q$3&gt;=1,Q$3&lt;=6),Inputs!$B$13/6,0)</f>
        <v>0</v>
      </c>
      <c r="R13" s="0" t="n">
        <f aca="false">IF(AND(R$3&gt;=1,R$3&lt;=6),Inputs!$B$13/6,0)</f>
        <v>0</v>
      </c>
      <c r="S13" s="0" t="n">
        <f aca="false">IF(AND(S$3&gt;=1,S$3&lt;=6),Inputs!$B$13/6,0)</f>
        <v>0</v>
      </c>
      <c r="T13" s="0" t="n">
        <f aca="false">IF(AND(T$3&gt;=1,T$3&lt;=6),Inputs!$B$13/6,0)</f>
        <v>0</v>
      </c>
      <c r="U13" s="0" t="n">
        <f aca="false">IF(AND(U$3&gt;=1,U$3&lt;=6),Inputs!$B$13/6,0)</f>
        <v>0</v>
      </c>
      <c r="V13" s="0" t="n">
        <f aca="false">IF(AND(V$3&gt;=1,V$3&lt;=6),Inputs!$B$13/6,0)</f>
        <v>0</v>
      </c>
      <c r="W13" s="0" t="n">
        <f aca="false">IF(AND(W$3&gt;=1,W$3&lt;=6),Inputs!$B$13/6,0)</f>
        <v>0</v>
      </c>
      <c r="X13" s="0" t="n">
        <f aca="false">IF(AND(X$3&gt;=1,X$3&lt;=6),Inputs!$B$13/6,0)</f>
        <v>0</v>
      </c>
      <c r="Y13" s="0" t="n">
        <f aca="false">IF(AND(Y$3&gt;=1,Y$3&lt;=6),Inputs!$B$13/6,0)</f>
        <v>0</v>
      </c>
      <c r="Z13" s="0" t="n">
        <f aca="false">IF(AND(Z$3&gt;=1,Z$3&lt;=6),Inputs!$B$13/6,0)</f>
        <v>0</v>
      </c>
    </row>
    <row r="14" customFormat="false" ht="15" hidden="false" customHeight="false" outlineLevel="0" collapsed="false">
      <c r="A14" s="0" t="s">
        <v>30</v>
      </c>
      <c r="B14" s="2" t="n">
        <f aca="false">IF(B$3=0,Inputs!$B$14,0)</f>
        <v>450000000</v>
      </c>
      <c r="C14" s="5" t="n">
        <f aca="false">IF(C$3=0,Inputs!$B$14,0)</f>
        <v>0</v>
      </c>
      <c r="D14" s="5" t="n">
        <f aca="false">IF(D$3=0,Inputs!$B$14,0)</f>
        <v>0</v>
      </c>
      <c r="E14" s="5" t="n">
        <f aca="false">IF(E$3=0,Inputs!$B$14,0)</f>
        <v>0</v>
      </c>
      <c r="F14" s="5" t="n">
        <f aca="false">IF(F$3=0,Inputs!$B$14,0)</f>
        <v>0</v>
      </c>
      <c r="G14" s="5" t="n">
        <f aca="false">IF(G$3=0,Inputs!$B$14,0)</f>
        <v>0</v>
      </c>
      <c r="H14" s="5" t="n">
        <f aca="false">IF(H$3=0,Inputs!$B$14,0)</f>
        <v>0</v>
      </c>
      <c r="I14" s="5" t="n">
        <f aca="false">IF(I$3=0,Inputs!$B$14,0)</f>
        <v>0</v>
      </c>
      <c r="J14" s="5" t="n">
        <f aca="false">IF(J$3=0,Inputs!$B$14,0)</f>
        <v>0</v>
      </c>
      <c r="K14" s="5" t="n">
        <f aca="false">IF(K$3=0,Inputs!$B$14,0)</f>
        <v>0</v>
      </c>
      <c r="L14" s="5" t="n">
        <f aca="false">IF(L$3=0,Inputs!$B$14,0)</f>
        <v>0</v>
      </c>
      <c r="M14" s="5" t="n">
        <f aca="false">IF(M$3=0,Inputs!$B$14,0)</f>
        <v>0</v>
      </c>
      <c r="N14" s="5" t="n">
        <f aca="false">IF(N$3=0,Inputs!$B$14,0)</f>
        <v>0</v>
      </c>
      <c r="O14" s="5" t="n">
        <f aca="false">IF(O$3=0,Inputs!$B$14,0)</f>
        <v>0</v>
      </c>
      <c r="P14" s="5" t="n">
        <f aca="false">IF(P$3=0,Inputs!$B$14,0)</f>
        <v>0</v>
      </c>
      <c r="Q14" s="5" t="n">
        <f aca="false">IF(Q$3=0,Inputs!$B$14,0)</f>
        <v>0</v>
      </c>
      <c r="R14" s="5" t="n">
        <f aca="false">IF(R$3=0,Inputs!$B$14,0)</f>
        <v>0</v>
      </c>
      <c r="S14" s="5" t="n">
        <f aca="false">IF(S$3=0,Inputs!$B$14,0)</f>
        <v>0</v>
      </c>
      <c r="T14" s="5" t="n">
        <f aca="false">IF(T$3=0,Inputs!$B$14,0)</f>
        <v>0</v>
      </c>
      <c r="U14" s="5" t="n">
        <f aca="false">IF(U$3=0,Inputs!$B$14,0)</f>
        <v>0</v>
      </c>
      <c r="V14" s="5" t="n">
        <f aca="false">IF(V$3=0,Inputs!$B$14,0)</f>
        <v>0</v>
      </c>
      <c r="W14" s="5" t="n">
        <f aca="false">IF(W$3=0,Inputs!$B$14,0)</f>
        <v>0</v>
      </c>
      <c r="X14" s="5" t="n">
        <f aca="false">IF(X$3=0,Inputs!$B$14,0)</f>
        <v>0</v>
      </c>
      <c r="Y14" s="5" t="n">
        <f aca="false">IF(Y$3=0,Inputs!$B$14,0)</f>
        <v>0</v>
      </c>
      <c r="Z14" s="5" t="n">
        <f aca="false">IF(Z$3=0,Inputs!$B$14,0)</f>
        <v>0</v>
      </c>
    </row>
    <row r="15" customFormat="false" ht="15" hidden="false" customHeight="false" outlineLevel="0" collapsed="false">
      <c r="A15" s="0" t="s">
        <v>31</v>
      </c>
      <c r="B15" s="0" t="n">
        <f aca="false">B7*0.05*Inputs!$B$15</f>
        <v>0</v>
      </c>
      <c r="C15" s="0" t="n">
        <f aca="false">C7*0.05*Inputs!$B$15</f>
        <v>2479500</v>
      </c>
      <c r="D15" s="0" t="n">
        <f aca="false">D7*0.05*Inputs!$B$15</f>
        <v>3099000</v>
      </c>
      <c r="E15" s="0" t="n">
        <f aca="false">E7*0.05*Inputs!$B$15</f>
        <v>3305250</v>
      </c>
      <c r="F15" s="0" t="n">
        <f aca="false">F7*0.05*Inputs!$B$15</f>
        <v>3305250</v>
      </c>
      <c r="G15" s="0" t="n">
        <f aca="false">G7*0.05*Inputs!$B$15</f>
        <v>3201750</v>
      </c>
      <c r="H15" s="0" t="n">
        <f aca="false">H7*0.05*Inputs!$B$15</f>
        <v>2995500</v>
      </c>
      <c r="I15" s="0" t="n">
        <f aca="false">I7*0.05*Inputs!$B$15</f>
        <v>2892000</v>
      </c>
      <c r="J15" s="0" t="n">
        <f aca="false">J7*0.05*Inputs!$B$15</f>
        <v>2685750</v>
      </c>
      <c r="K15" s="0" t="n">
        <f aca="false">K7*0.05*Inputs!$B$15</f>
        <v>2582250</v>
      </c>
      <c r="L15" s="0" t="n">
        <f aca="false">L7*0.05*Inputs!$B$15</f>
        <v>2376000</v>
      </c>
      <c r="M15" s="0" t="n">
        <f aca="false">M7*0.05*Inputs!$B$15</f>
        <v>2272500</v>
      </c>
      <c r="N15" s="0" t="n">
        <f aca="false">N7*0.05*Inputs!$B$15</f>
        <v>2272500</v>
      </c>
      <c r="O15" s="0" t="n">
        <f aca="false">O7*0.05*Inputs!$B$15</f>
        <v>1962750</v>
      </c>
      <c r="P15" s="0" t="n">
        <f aca="false">P7*0.05*Inputs!$B$15</f>
        <v>1859250</v>
      </c>
      <c r="Q15" s="0" t="n">
        <f aca="false">Q7*0.05*Inputs!$B$15</f>
        <v>1755750</v>
      </c>
      <c r="R15" s="0" t="n">
        <f aca="false">R7*0.05*Inputs!$B$15</f>
        <v>1446000</v>
      </c>
      <c r="S15" s="0" t="n">
        <f aca="false">S7*0.05*Inputs!$B$15</f>
        <v>0</v>
      </c>
      <c r="T15" s="0" t="n">
        <f aca="false">T7*0.05*Inputs!$B$15</f>
        <v>0</v>
      </c>
      <c r="U15" s="0" t="n">
        <f aca="false">U7*0.05*Inputs!$B$15</f>
        <v>0</v>
      </c>
      <c r="V15" s="0" t="n">
        <f aca="false">V7*0.05*Inputs!$B$15</f>
        <v>0</v>
      </c>
      <c r="W15" s="0" t="n">
        <f aca="false">W7*0.05*Inputs!$B$15</f>
        <v>0</v>
      </c>
      <c r="X15" s="0" t="n">
        <f aca="false">X7*0.05*Inputs!$B$15</f>
        <v>0</v>
      </c>
      <c r="Y15" s="0" t="n">
        <f aca="false">Y7*0.05*Inputs!$B$15</f>
        <v>0</v>
      </c>
      <c r="Z15" s="0" t="n">
        <f aca="false">Z7*0.05*Inputs!$B$15</f>
        <v>0</v>
      </c>
    </row>
    <row r="16" customFormat="false" ht="15" hidden="false" customHeight="false" outlineLevel="0" collapsed="false">
      <c r="A16" s="0" t="s">
        <v>32</v>
      </c>
      <c r="B16" s="0" t="n">
        <f aca="false">IF(B$3&gt;=Inputs!$B$10,0+B11,MIN(0+B11,B12+B13))</f>
        <v>0</v>
      </c>
      <c r="C16" s="0" t="n">
        <f aca="false">IF(C$3&gt;=Inputs!$B$10,B17+C11,MIN(B17+C11,C12+C13))</f>
        <v>33060000</v>
      </c>
      <c r="D16" s="0" t="n">
        <f aca="false">IF(D$3&gt;=Inputs!$B$10,C17+D11,MIN(C17+D11,D12+D13))</f>
        <v>41320000</v>
      </c>
      <c r="E16" s="0" t="n">
        <f aca="false">IF(E$3&gt;=Inputs!$B$10,D17+E11,MIN(D17+E11,E12+E13))</f>
        <v>110190000</v>
      </c>
      <c r="F16" s="0" t="n">
        <f aca="false">IF(F$3&gt;=Inputs!$B$10,E17+F11,MIN(E17+F11,F12+F13))</f>
        <v>126710000</v>
      </c>
      <c r="G16" s="0" t="n">
        <f aca="false">IF(G$3&gt;=Inputs!$B$10,F17+G11,MIN(F17+G11,G12+G13))</f>
        <v>130830000</v>
      </c>
      <c r="H16" s="0" t="n">
        <f aca="false">IF(H$3&gt;=Inputs!$B$10,G17+H11,MIN(G17+H11,H12+H13))</f>
        <v>128080000</v>
      </c>
      <c r="I16" s="0" t="n">
        <f aca="false">IF(I$3&gt;=Inputs!$B$10,H17+I11,MIN(H17+I11,I12+I13))</f>
        <v>92300000</v>
      </c>
      <c r="J16" s="0" t="n">
        <f aca="false">IF(J$3&gt;=Inputs!$B$10,I17+J11,MIN(I17+J11,J12+J13))</f>
        <v>92300000</v>
      </c>
      <c r="K16" s="0" t="n">
        <f aca="false">IF(K$3&gt;=Inputs!$B$10,J17+K11,MIN(J17+K11,K12+K13))</f>
        <v>92300000</v>
      </c>
      <c r="L16" s="0" t="n">
        <f aca="false">IF(L$3&gt;=Inputs!$B$10,K17+L11,MIN(K17+L11,L12+L13))</f>
        <v>92300000</v>
      </c>
      <c r="M16" s="0" t="n">
        <f aca="false">IF(M$3&gt;=Inputs!$B$10,L17+M11,MIN(L17+M11,M12+M13))</f>
        <v>92300000</v>
      </c>
      <c r="N16" s="0" t="n">
        <f aca="false">IF(N$3&gt;=Inputs!$B$10,M17+N11,MIN(M17+N11,N12+N13))</f>
        <v>92300000</v>
      </c>
      <c r="O16" s="0" t="n">
        <f aca="false">IF(O$3&gt;=Inputs!$B$10,N17+O11,MIN(N17+O11,O12+O13))</f>
        <v>92300000</v>
      </c>
      <c r="P16" s="0" t="n">
        <f aca="false">IF(P$3&gt;=Inputs!$B$10,O17+P11,MIN(O17+P11,P12+P13))</f>
        <v>1269660000</v>
      </c>
      <c r="Q16" s="0" t="n">
        <f aca="false">IF(Q$3&gt;=Inputs!$B$10,P17+Q11,MIN(P17+Q11,Q12+Q13))</f>
        <v>117050000</v>
      </c>
      <c r="R16" s="0" t="n">
        <f aca="false">IF(R$3&gt;=Inputs!$B$10,Q17+R11,MIN(Q17+R11,R12+R13))</f>
        <v>96400000</v>
      </c>
      <c r="S16" s="0" t="n">
        <f aca="false">IF(S$3&gt;=Inputs!$B$10,R17+S11,MIN(R17+S11,S12+S13))</f>
        <v>0</v>
      </c>
      <c r="T16" s="0" t="n">
        <f aca="false">IF(T$3&gt;=Inputs!$B$10,S17+T11,MIN(S17+T11,T12+T13))</f>
        <v>0</v>
      </c>
      <c r="U16" s="0" t="n">
        <f aca="false">IF(U$3&gt;=Inputs!$B$10,T17+U11,MIN(T17+U11,U12+U13))</f>
        <v>0</v>
      </c>
      <c r="V16" s="0" t="n">
        <f aca="false">IF(V$3&gt;=Inputs!$B$10,U17+V11,MIN(U17+V11,V12+V13))</f>
        <v>0</v>
      </c>
      <c r="W16" s="0" t="n">
        <f aca="false">IF(W$3&gt;=Inputs!$B$10,V17+W11,MIN(V17+W11,W12+W13))</f>
        <v>0</v>
      </c>
      <c r="X16" s="0" t="n">
        <f aca="false">IF(X$3&gt;=Inputs!$B$10,W17+X11,MIN(W17+X11,X12+X13))</f>
        <v>0</v>
      </c>
      <c r="Y16" s="0" t="n">
        <f aca="false">IF(Y$3&gt;=Inputs!$B$10,X17+Y11,MIN(X17+Y11,Y12+Y13))</f>
        <v>0</v>
      </c>
      <c r="Z16" s="0" t="n">
        <f aca="false">IF(Z$3&gt;=Inputs!$B$10,Y17+Z11,MIN(Y17+Z11,Z12+Z13))</f>
        <v>0</v>
      </c>
    </row>
    <row r="17" customFormat="false" ht="15" hidden="false" customHeight="false" outlineLevel="0" collapsed="false">
      <c r="A17" s="0" t="s">
        <v>33</v>
      </c>
      <c r="B17" s="0" t="n">
        <f aca="false">0+B11-B16</f>
        <v>0</v>
      </c>
      <c r="C17" s="0" t="n">
        <f aca="false">B17+C11-C16</f>
        <v>0</v>
      </c>
      <c r="D17" s="0" t="n">
        <f aca="false">C17+D11-D16</f>
        <v>0</v>
      </c>
      <c r="E17" s="0" t="n">
        <f aca="false">D17+E11-E16</f>
        <v>0</v>
      </c>
      <c r="F17" s="0" t="n">
        <f aca="false">E17+F11-F16</f>
        <v>0</v>
      </c>
      <c r="G17" s="0" t="n">
        <f aca="false">F17+G11-G16</f>
        <v>0</v>
      </c>
      <c r="H17" s="0" t="n">
        <f aca="false">G17+H11-H16</f>
        <v>0</v>
      </c>
      <c r="I17" s="0" t="n">
        <f aca="false">H17+I11-I16</f>
        <v>31640000</v>
      </c>
      <c r="J17" s="0" t="n">
        <f aca="false">I17+J11-J16</f>
        <v>55030000</v>
      </c>
      <c r="K17" s="0" t="n">
        <f aca="false">J17+K11-K16</f>
        <v>74280000</v>
      </c>
      <c r="L17" s="0" t="n">
        <f aca="false">K17+L11-L16</f>
        <v>85280000</v>
      </c>
      <c r="M17" s="0" t="n">
        <f aca="false">L17+M11-M16</f>
        <v>92140000</v>
      </c>
      <c r="N17" s="0" t="n">
        <f aca="false">M17+N11-N16</f>
        <v>93500000</v>
      </c>
      <c r="O17" s="0" t="n">
        <f aca="false">N17+O11-O16</f>
        <v>87970000</v>
      </c>
      <c r="P17" s="0" t="n">
        <f aca="false">O17+P11-P16</f>
        <v>0</v>
      </c>
      <c r="Q17" s="0" t="n">
        <f aca="false">P17+Q11-Q16</f>
        <v>0</v>
      </c>
      <c r="R17" s="0" t="n">
        <f aca="false">Q17+R11-R16</f>
        <v>0</v>
      </c>
      <c r="S17" s="0" t="n">
        <f aca="false">R17+S11-S16</f>
        <v>0</v>
      </c>
      <c r="T17" s="0" t="n">
        <f aca="false">S17+T11-T16</f>
        <v>0</v>
      </c>
      <c r="U17" s="0" t="n">
        <f aca="false">T17+U11-U16</f>
        <v>0</v>
      </c>
      <c r="V17" s="0" t="n">
        <f aca="false">U17+V11-V16</f>
        <v>0</v>
      </c>
      <c r="W17" s="0" t="n">
        <f aca="false">V17+W11-W16</f>
        <v>0</v>
      </c>
      <c r="X17" s="0" t="n">
        <f aca="false">W17+X11-X16</f>
        <v>0</v>
      </c>
      <c r="Y17" s="0" t="n">
        <f aca="false">X17+Y11-Y16</f>
        <v>0</v>
      </c>
      <c r="Z17" s="0" t="n">
        <f aca="false">Y17+Z11-Z16</f>
        <v>0</v>
      </c>
    </row>
    <row r="18" customFormat="false" ht="15" hidden="false" customHeight="false" outlineLevel="0" collapsed="false">
      <c r="A18" s="0" t="s">
        <v>34</v>
      </c>
      <c r="B18" s="0" t="n">
        <f aca="false">IF(B$3=1,Inputs!$B$16,0)</f>
        <v>0</v>
      </c>
      <c r="C18" s="2" t="n">
        <f aca="false">IF(C$3=1,Inputs!$B$16,0)</f>
        <v>900000000</v>
      </c>
      <c r="D18" s="5" t="n">
        <f aca="false">IF(D$3=1,Inputs!$B$16,0)</f>
        <v>0</v>
      </c>
      <c r="E18" s="5" t="n">
        <f aca="false">IF(E$3=1,Inputs!$B$16,0)</f>
        <v>0</v>
      </c>
      <c r="F18" s="5" t="n">
        <f aca="false">IF(F$3=1,Inputs!$B$16,0)</f>
        <v>0</v>
      </c>
      <c r="G18" s="5" t="n">
        <f aca="false">IF(G$3=1,Inputs!$B$16,0)</f>
        <v>0</v>
      </c>
      <c r="H18" s="5" t="n">
        <f aca="false">IF(H$3=1,Inputs!$B$16,0)</f>
        <v>0</v>
      </c>
      <c r="I18" s="5" t="n">
        <f aca="false">IF(I$3=1,Inputs!$B$16,0)</f>
        <v>0</v>
      </c>
      <c r="J18" s="5" t="n">
        <f aca="false">IF(J$3=1,Inputs!$B$16,0)</f>
        <v>0</v>
      </c>
      <c r="K18" s="5" t="n">
        <f aca="false">IF(K$3=1,Inputs!$B$16,0)</f>
        <v>0</v>
      </c>
      <c r="L18" s="5" t="n">
        <f aca="false">IF(L$3=1,Inputs!$B$16,0)</f>
        <v>0</v>
      </c>
      <c r="M18" s="5" t="n">
        <f aca="false">IF(M$3=1,Inputs!$B$16,0)</f>
        <v>0</v>
      </c>
      <c r="N18" s="5" t="n">
        <f aca="false">IF(N$3=1,Inputs!$B$16,0)</f>
        <v>0</v>
      </c>
      <c r="O18" s="5" t="n">
        <f aca="false">IF(O$3=1,Inputs!$B$16,0)</f>
        <v>0</v>
      </c>
      <c r="P18" s="5" t="n">
        <f aca="false">IF(P$3=1,Inputs!$B$16,0)</f>
        <v>0</v>
      </c>
      <c r="Q18" s="5" t="n">
        <f aca="false">IF(Q$3=1,Inputs!$B$16,0)</f>
        <v>0</v>
      </c>
      <c r="R18" s="5" t="n">
        <f aca="false">IF(R$3=1,Inputs!$B$16,0)</f>
        <v>0</v>
      </c>
      <c r="S18" s="5" t="n">
        <f aca="false">IF(S$3=1,Inputs!$B$16,0)</f>
        <v>0</v>
      </c>
      <c r="T18" s="5" t="n">
        <f aca="false">IF(T$3=1,Inputs!$B$16,0)</f>
        <v>0</v>
      </c>
      <c r="U18" s="5" t="n">
        <f aca="false">IF(U$3=1,Inputs!$B$16,0)</f>
        <v>0</v>
      </c>
      <c r="V18" s="5" t="n">
        <f aca="false">IF(V$3=1,Inputs!$B$16,0)</f>
        <v>0</v>
      </c>
      <c r="W18" s="5" t="n">
        <f aca="false">IF(W$3=1,Inputs!$B$16,0)</f>
        <v>0</v>
      </c>
      <c r="X18" s="5" t="n">
        <f aca="false">IF(X$3=1,Inputs!$B$16,0)</f>
        <v>0</v>
      </c>
      <c r="Y18" s="5" t="n">
        <f aca="false">IF(Y$3=1,Inputs!$B$16,0)</f>
        <v>0</v>
      </c>
      <c r="Z18" s="5" t="n">
        <f aca="false">IF(Z$3=1,Inputs!$B$16,0)</f>
        <v>0</v>
      </c>
    </row>
    <row r="19" customFormat="false" ht="15" hidden="false" customHeight="false" outlineLevel="0" collapsed="false">
      <c r="A19" s="0" t="s">
        <v>35</v>
      </c>
      <c r="B19" s="0" t="n">
        <f aca="false">IF(AND(B$3&gt;=2,B$3&lt;=Inputs!$B$18),Inputs!$B$16*Inputs!$B$17/4,0)</f>
        <v>0</v>
      </c>
      <c r="C19" s="0" t="n">
        <f aca="false">IF(AND(C$3&gt;=2,C$3&lt;=Inputs!$B$18),Inputs!$B$16*Inputs!$B$17/4,0)</f>
        <v>0</v>
      </c>
      <c r="D19" s="0" t="n">
        <f aca="false">IF(AND(D$3&gt;=2,D$3&lt;=Inputs!$B$18),Inputs!$B$16*Inputs!$B$17/4,0)</f>
        <v>15187500</v>
      </c>
      <c r="E19" s="0" t="n">
        <f aca="false">IF(AND(E$3&gt;=2,E$3&lt;=Inputs!$B$18),Inputs!$B$16*Inputs!$B$17/4,0)</f>
        <v>15187500</v>
      </c>
      <c r="F19" s="0" t="n">
        <f aca="false">IF(AND(F$3&gt;=2,F$3&lt;=Inputs!$B$18),Inputs!$B$16*Inputs!$B$17/4,0)</f>
        <v>15187500</v>
      </c>
      <c r="G19" s="0" t="n">
        <f aca="false">IF(AND(G$3&gt;=2,G$3&lt;=Inputs!$B$18),Inputs!$B$16*Inputs!$B$17/4,0)</f>
        <v>15187500</v>
      </c>
      <c r="H19" s="0" t="n">
        <f aca="false">IF(AND(H$3&gt;=2,H$3&lt;=Inputs!$B$18),Inputs!$B$16*Inputs!$B$17/4,0)</f>
        <v>15187500</v>
      </c>
      <c r="I19" s="0" t="n">
        <f aca="false">IF(AND(I$3&gt;=2,I$3&lt;=Inputs!$B$18),Inputs!$B$16*Inputs!$B$17/4,0)</f>
        <v>15187500</v>
      </c>
      <c r="J19" s="0" t="n">
        <f aca="false">IF(AND(J$3&gt;=2,J$3&lt;=Inputs!$B$18),Inputs!$B$16*Inputs!$B$17/4,0)</f>
        <v>15187500</v>
      </c>
      <c r="K19" s="0" t="n">
        <f aca="false">IF(AND(K$3&gt;=2,K$3&lt;=Inputs!$B$18),Inputs!$B$16*Inputs!$B$17/4,0)</f>
        <v>15187500</v>
      </c>
      <c r="L19" s="0" t="n">
        <f aca="false">IF(AND(L$3&gt;=2,L$3&lt;=Inputs!$B$18),Inputs!$B$16*Inputs!$B$17/4,0)</f>
        <v>15187500</v>
      </c>
      <c r="M19" s="0" t="n">
        <f aca="false">IF(AND(M$3&gt;=2,M$3&lt;=Inputs!$B$18),Inputs!$B$16*Inputs!$B$17/4,0)</f>
        <v>15187500</v>
      </c>
      <c r="N19" s="0" t="n">
        <f aca="false">IF(AND(N$3&gt;=2,N$3&lt;=Inputs!$B$18),Inputs!$B$16*Inputs!$B$17/4,0)</f>
        <v>15187500</v>
      </c>
      <c r="O19" s="0" t="n">
        <f aca="false">IF(AND(O$3&gt;=2,O$3&lt;=Inputs!$B$18),Inputs!$B$16*Inputs!$B$17/4,0)</f>
        <v>15187500</v>
      </c>
      <c r="P19" s="0" t="n">
        <f aca="false">IF(AND(P$3&gt;=2,P$3&lt;=Inputs!$B$18),Inputs!$B$16*Inputs!$B$17/4,0)</f>
        <v>15187500</v>
      </c>
      <c r="Q19" s="0" t="n">
        <f aca="false">IF(AND(Q$3&gt;=2,Q$3&lt;=Inputs!$B$18),Inputs!$B$16*Inputs!$B$17/4,0)</f>
        <v>15187500</v>
      </c>
      <c r="R19" s="0" t="n">
        <f aca="false">IF(AND(R$3&gt;=2,R$3&lt;=Inputs!$B$18),Inputs!$B$16*Inputs!$B$17/4,0)</f>
        <v>15187500</v>
      </c>
      <c r="S19" s="0" t="n">
        <f aca="false">IF(AND(S$3&gt;=2,S$3&lt;=Inputs!$B$18),Inputs!$B$16*Inputs!$B$17/4,0)</f>
        <v>15187500</v>
      </c>
      <c r="T19" s="0" t="n">
        <f aca="false">IF(AND(T$3&gt;=2,T$3&lt;=Inputs!$B$18),Inputs!$B$16*Inputs!$B$17/4,0)</f>
        <v>15187500</v>
      </c>
      <c r="U19" s="0" t="n">
        <f aca="false">IF(AND(U$3&gt;=2,U$3&lt;=Inputs!$B$18),Inputs!$B$16*Inputs!$B$17/4,0)</f>
        <v>15187500</v>
      </c>
      <c r="V19" s="0" t="n">
        <f aca="false">IF(AND(V$3&gt;=2,V$3&lt;=Inputs!$B$18),Inputs!$B$16*Inputs!$B$17/4,0)</f>
        <v>15187500</v>
      </c>
      <c r="W19" s="0" t="n">
        <f aca="false">IF(AND(W$3&gt;=2,W$3&lt;=Inputs!$B$18),Inputs!$B$16*Inputs!$B$17/4,0)</f>
        <v>0</v>
      </c>
      <c r="X19" s="0" t="n">
        <f aca="false">IF(AND(X$3&gt;=2,X$3&lt;=Inputs!$B$18),Inputs!$B$16*Inputs!$B$17/4,0)</f>
        <v>0</v>
      </c>
      <c r="Y19" s="0" t="n">
        <f aca="false">IF(AND(Y$3&gt;=2,Y$3&lt;=Inputs!$B$18),Inputs!$B$16*Inputs!$B$17/4,0)</f>
        <v>0</v>
      </c>
      <c r="Z19" s="0" t="n">
        <f aca="false">IF(AND(Z$3&gt;=2,Z$3&lt;=Inputs!$B$18),Inputs!$B$16*Inputs!$B$17/4,0)</f>
        <v>0</v>
      </c>
    </row>
    <row r="20" customFormat="false" ht="15" hidden="false" customHeight="false" outlineLevel="0" collapsed="false">
      <c r="A20" s="0" t="s">
        <v>36</v>
      </c>
      <c r="B20" s="0" t="n">
        <f aca="false">IF(B$3=Inputs!$B$18,Inputs!$B$16,0)</f>
        <v>0</v>
      </c>
      <c r="C20" s="0" t="n">
        <f aca="false">IF(C$3=Inputs!$B$18,Inputs!$B$16,0)</f>
        <v>0</v>
      </c>
      <c r="D20" s="0" t="n">
        <f aca="false">IF(D$3=Inputs!$B$18,Inputs!$B$16,0)</f>
        <v>0</v>
      </c>
      <c r="E20" s="0" t="n">
        <f aca="false">IF(E$3=Inputs!$B$18,Inputs!$B$16,0)</f>
        <v>0</v>
      </c>
      <c r="F20" s="0" t="n">
        <f aca="false">IF(F$3=Inputs!$B$18,Inputs!$B$16,0)</f>
        <v>0</v>
      </c>
      <c r="G20" s="0" t="n">
        <f aca="false">IF(G$3=Inputs!$B$18,Inputs!$B$16,0)</f>
        <v>0</v>
      </c>
      <c r="H20" s="0" t="n">
        <f aca="false">IF(H$3=Inputs!$B$18,Inputs!$B$16,0)</f>
        <v>0</v>
      </c>
      <c r="I20" s="0" t="n">
        <f aca="false">IF(I$3=Inputs!$B$18,Inputs!$B$16,0)</f>
        <v>0</v>
      </c>
      <c r="J20" s="0" t="n">
        <f aca="false">IF(J$3=Inputs!$B$18,Inputs!$B$16,0)</f>
        <v>0</v>
      </c>
      <c r="K20" s="0" t="n">
        <f aca="false">IF(K$3=Inputs!$B$18,Inputs!$B$16,0)</f>
        <v>0</v>
      </c>
      <c r="L20" s="0" t="n">
        <f aca="false">IF(L$3=Inputs!$B$18,Inputs!$B$16,0)</f>
        <v>0</v>
      </c>
      <c r="M20" s="0" t="n">
        <f aca="false">IF(M$3=Inputs!$B$18,Inputs!$B$16,0)</f>
        <v>0</v>
      </c>
      <c r="N20" s="0" t="n">
        <f aca="false">IF(N$3=Inputs!$B$18,Inputs!$B$16,0)</f>
        <v>0</v>
      </c>
      <c r="O20" s="0" t="n">
        <f aca="false">IF(O$3=Inputs!$B$18,Inputs!$B$16,0)</f>
        <v>0</v>
      </c>
      <c r="P20" s="0" t="n">
        <f aca="false">IF(P$3=Inputs!$B$18,Inputs!$B$16,0)</f>
        <v>0</v>
      </c>
      <c r="Q20" s="0" t="n">
        <f aca="false">IF(Q$3=Inputs!$B$18,Inputs!$B$16,0)</f>
        <v>0</v>
      </c>
      <c r="R20" s="0" t="n">
        <f aca="false">IF(R$3=Inputs!$B$18,Inputs!$B$16,0)</f>
        <v>0</v>
      </c>
      <c r="S20" s="0" t="n">
        <f aca="false">IF(S$3=Inputs!$B$18,Inputs!$B$16,0)</f>
        <v>0</v>
      </c>
      <c r="T20" s="0" t="n">
        <f aca="false">IF(T$3=Inputs!$B$18,Inputs!$B$16,0)</f>
        <v>0</v>
      </c>
      <c r="U20" s="0" t="n">
        <f aca="false">IF(U$3=Inputs!$B$18,Inputs!$B$16,0)</f>
        <v>0</v>
      </c>
      <c r="V20" s="2" t="n">
        <f aca="false">IF(V$3=Inputs!$B$18,Inputs!$B$16,0)</f>
        <v>900000000</v>
      </c>
      <c r="W20" s="5" t="n">
        <f aca="false">IF(W$3=Inputs!$B$18,Inputs!$B$16,0)</f>
        <v>0</v>
      </c>
      <c r="X20" s="5" t="n">
        <f aca="false">IF(X$3=Inputs!$B$18,Inputs!$B$16,0)</f>
        <v>0</v>
      </c>
      <c r="Y20" s="5" t="n">
        <f aca="false">IF(Y$3=Inputs!$B$18,Inputs!$B$16,0)</f>
        <v>0</v>
      </c>
      <c r="Z20" s="5" t="n">
        <f aca="false">IF(Z$3=Inputs!$B$18,Inputs!$B$16,0)</f>
        <v>0</v>
      </c>
    </row>
    <row r="21" customFormat="false" ht="15" hidden="false" customHeight="false" outlineLevel="0" collapsed="false">
      <c r="A21" s="0" t="s">
        <v>37</v>
      </c>
      <c r="B21" s="0" t="n">
        <f aca="false">IF(B19&gt;0,MAX(0,0+(B16-B12-B13-B15))/B19,0)</f>
        <v>0</v>
      </c>
      <c r="C21" s="0" t="n">
        <f aca="false">IF(C19&gt;0,MAX(0,B27+(C16-C12-C13-C15))/C19,0)</f>
        <v>0</v>
      </c>
      <c r="D21" s="0" t="n">
        <f aca="false">IF(D19&gt;0,MAX(0,C27+(D16-D12-D13-D15))/D19,0)</f>
        <v>44.8308257887517</v>
      </c>
      <c r="E21" s="0" t="n">
        <f aca="false">IF(E19&gt;0,MAX(0,D27+(E16-E12-E13-E15))/E19,0)</f>
        <v>41.3892181069959</v>
      </c>
      <c r="F21" s="0" t="n">
        <f aca="false">IF(F19&gt;0,MAX(0,E27+(F16-F12-F13-F15))/F19,0)</f>
        <v>39.0353470507545</v>
      </c>
      <c r="G21" s="0" t="n">
        <f aca="false">IF(G19&gt;0,MAX(0,F27+(G16-G12-G13-G15))/G19,0)</f>
        <v>36.9595665294925</v>
      </c>
      <c r="H21" s="0" t="n">
        <f aca="false">IF(H19&gt;0,MAX(0,G27+(H16-H12-H13-H15))/H19,0)</f>
        <v>34.7162962962963</v>
      </c>
      <c r="I21" s="0" t="n">
        <f aca="false">IF(I19&gt;0,MAX(0,H27+(I16-I12-I13-I15))/I19,0)</f>
        <v>33.5258765432099</v>
      </c>
      <c r="J21" s="0" t="n">
        <f aca="false">IF(J19&gt;0,MAX(0,I27+(J16-J12-J13-J15))/J19,0)</f>
        <v>32.3490370370371</v>
      </c>
      <c r="K21" s="0" t="n">
        <f aca="false">IF(K19&gt;0,MAX(0,J27+(K16-K12-K13-K15))/K19,0)</f>
        <v>31.179012345679</v>
      </c>
      <c r="L21" s="0" t="n">
        <f aca="false">IF(L19&gt;0,MAX(0,K27+(L16-L12-L13-L15))/L19,0)</f>
        <v>30.0225679012346</v>
      </c>
      <c r="M21" s="0" t="n">
        <f aca="false">IF(M19&gt;0,MAX(0,L27+(M16-M12-M13-M15))/M19,0)</f>
        <v>28.872938271605</v>
      </c>
      <c r="N21" s="0" t="n">
        <f aca="false">IF(N19&gt;0,MAX(0,M27+(N16-N12-N13-N15))/N19,0)</f>
        <v>27.7233086419753</v>
      </c>
      <c r="O21" s="0" t="n">
        <f aca="false">IF(O19&gt;0,MAX(0,N27+(O16-O12-O13-O15))/O19,0)</f>
        <v>26.5940740740741</v>
      </c>
      <c r="P21" s="0" t="n">
        <f aca="false">IF(P19&gt;0,MAX(0,O27+(P16-P12-P13-P15))/P19,0)</f>
        <v>102.993300411523</v>
      </c>
      <c r="Q21" s="0" t="n">
        <f aca="false">IF(Q19&gt;0,MAX(0,P27+(Q16-Q12-Q13-Q15))/Q19,0)</f>
        <v>109.584691358025</v>
      </c>
      <c r="R21" s="0" t="n">
        <f aca="false">IF(R19&gt;0,MAX(0,Q27+(R16-R12-R13-R15))/R19,0)</f>
        <v>114.836806584362</v>
      </c>
      <c r="S21" s="0" t="n">
        <f aca="false">IF(S19&gt;0,MAX(0,R27+(S16-S12-S13-S15))/S19,0)</f>
        <v>112.06084526749</v>
      </c>
      <c r="T21" s="0" t="n">
        <f aca="false">IF(T19&gt;0,MAX(0,S27+(T16-T12-T13-T15))/T19,0)</f>
        <v>111.06084526749</v>
      </c>
      <c r="U21" s="0" t="n">
        <f aca="false">IF(U19&gt;0,MAX(0,T27+(U16-U12-U13-U15))/U19,0)</f>
        <v>110.06084526749</v>
      </c>
      <c r="V21" s="0" t="n">
        <f aca="false">IF(V19&gt;0,MAX(0,U27+(V16-V12-V13-V15))/V19,0)</f>
        <v>109.06084526749</v>
      </c>
      <c r="W21" s="0" t="n">
        <f aca="false">IF(W19&gt;0,MAX(0,V27+(W16-W12-W13-W15))/W19,0)</f>
        <v>0</v>
      </c>
      <c r="X21" s="0" t="n">
        <f aca="false">IF(X19&gt;0,MAX(0,W27+(X16-X12-X13-X15))/X19,0)</f>
        <v>0</v>
      </c>
      <c r="Y21" s="0" t="n">
        <f aca="false">IF(Y19&gt;0,MAX(0,X27+(Y16-Y12-Y13-Y15))/Y19,0)</f>
        <v>0</v>
      </c>
      <c r="Z21" s="0" t="n">
        <f aca="false">IF(Z19&gt;0,MAX(0,Y27+(Z16-Z12-Z13-Z15))/Z19,0)</f>
        <v>0</v>
      </c>
    </row>
    <row r="22" customFormat="false" ht="15" hidden="false" customHeight="false" outlineLevel="0" collapsed="false">
      <c r="A22" s="0" t="s">
        <v>38</v>
      </c>
      <c r="B22" s="0" t="n">
        <f aca="false">SUM($B$16:B16)-SUM($B$12:B12)-SUM($B$13:B13)-SUM($B$15:B15)-SUM($B$19:B19)-Inputs!$B$14</f>
        <v>-450000000</v>
      </c>
      <c r="C22" s="0" t="n">
        <f aca="false">SUM($B$16:C16)-SUM($B$12:C12)-SUM($B$13:C13)-SUM($B$15:C15)-SUM($B$19:C19)-Inputs!$B$14</f>
        <v>-563386166.666667</v>
      </c>
      <c r="D22" s="0" t="n">
        <f aca="false">SUM($B$16:D16)-SUM($B$12:D12)-SUM($B$13:D13)-SUM($B$15:D15)-SUM($B$19:D19)-Inputs!$B$14</f>
        <v>-684319333.333333</v>
      </c>
      <c r="E22" s="0" t="n">
        <f aca="false">SUM($B$16:E16)-SUM($B$12:E12)-SUM($B$13:E13)-SUM($B$15:E15)-SUM($B$19:E19)-Inputs!$B$14</f>
        <v>-736588750</v>
      </c>
      <c r="F22" s="0" t="n">
        <f aca="false">SUM($B$16:F16)-SUM($B$12:F12)-SUM($B$13:F13)-SUM($B$15:F15)-SUM($B$19:F19)-Inputs!$B$14</f>
        <v>-772338166.666667</v>
      </c>
      <c r="G22" s="0" t="n">
        <f aca="false">SUM($B$16:G16)-SUM($B$12:G12)-SUM($B$13:G13)-SUM($B$15:G15)-SUM($B$19:G19)-Inputs!$B$14</f>
        <v>-803864083.333333</v>
      </c>
      <c r="H22" s="0" t="n">
        <f aca="false">SUM($B$16:H16)-SUM($B$12:H12)-SUM($B$13:H13)-SUM($B$15:H15)-SUM($B$19:H19)-Inputs!$B$14</f>
        <v>-837933750</v>
      </c>
      <c r="I22" s="0" t="n">
        <f aca="false">SUM($B$16:I16)-SUM($B$12:I12)-SUM($B$13:I13)-SUM($B$15:I15)-SUM($B$19:I19)-Inputs!$B$14</f>
        <v>-856013250</v>
      </c>
      <c r="J22" s="0" t="n">
        <f aca="false">SUM($B$16:J16)-SUM($B$12:J12)-SUM($B$13:J13)-SUM($B$15:J15)-SUM($B$19:J19)-Inputs!$B$14</f>
        <v>-873886500</v>
      </c>
      <c r="K22" s="0" t="n">
        <f aca="false">SUM($B$16:K16)-SUM($B$12:K12)-SUM($B$13:K13)-SUM($B$15:K15)-SUM($B$19:K19)-Inputs!$B$14</f>
        <v>-891656250</v>
      </c>
      <c r="L22" s="0" t="n">
        <f aca="false">SUM($B$16:L16)-SUM($B$12:L12)-SUM($B$13:L13)-SUM($B$15:L15)-SUM($B$19:L19)-Inputs!$B$14</f>
        <v>-909219750</v>
      </c>
      <c r="M22" s="0" t="n">
        <f aca="false">SUM($B$16:M16)-SUM($B$12:M12)-SUM($B$13:M13)-SUM($B$15:M15)-SUM($B$19:M19)-Inputs!$B$14</f>
        <v>-926679750</v>
      </c>
      <c r="N22" s="0" t="n">
        <f aca="false">SUM($B$16:N16)-SUM($B$12:N12)-SUM($B$13:N13)-SUM($B$15:N15)-SUM($B$19:N19)-Inputs!$B$14</f>
        <v>-944139750</v>
      </c>
      <c r="O22" s="0" t="n">
        <f aca="false">SUM($B$16:O16)-SUM($B$12:O12)-SUM($B$13:O13)-SUM($B$15:O15)-SUM($B$19:O19)-Inputs!$B$14</f>
        <v>-961290000</v>
      </c>
      <c r="P22" s="0" t="n">
        <f aca="false">SUM($B$16:P16)-SUM($B$12:P12)-SUM($B$13:P13)-SUM($B$15:P15)-SUM($B$19:P19)-Inputs!$B$14</f>
        <v>199023250</v>
      </c>
      <c r="Q22" s="0" t="n">
        <f aca="false">SUM($B$16:Q16)-SUM($B$12:Q12)-SUM($B$13:Q13)-SUM($B$15:Q15)-SUM($B$19:Q19)-Inputs!$B$14</f>
        <v>299130000</v>
      </c>
      <c r="R22" s="0" t="n">
        <f aca="false">SUM($B$16:R16)-SUM($B$12:R12)-SUM($B$13:R13)-SUM($B$15:R15)-SUM($B$19:R19)-Inputs!$B$14</f>
        <v>378896500</v>
      </c>
      <c r="S22" s="0" t="n">
        <f aca="false">SUM($B$16:S16)-SUM($B$12:S12)-SUM($B$13:S13)-SUM($B$15:S15)-SUM($B$19:S19)-Inputs!$B$14</f>
        <v>363709000</v>
      </c>
      <c r="T22" s="0" t="n">
        <f aca="false">SUM($B$16:T16)-SUM($B$12:T12)-SUM($B$13:T13)-SUM($B$15:T15)-SUM($B$19:T19)-Inputs!$B$14</f>
        <v>348521500</v>
      </c>
      <c r="U22" s="0" t="n">
        <f aca="false">SUM($B$16:U16)-SUM($B$12:U12)-SUM($B$13:U13)-SUM($B$15:U15)-SUM($B$19:U19)-Inputs!$B$14</f>
        <v>333334000</v>
      </c>
      <c r="V22" s="0" t="n">
        <f aca="false">SUM($B$16:V16)-SUM($B$12:V12)-SUM($B$13:V13)-SUM($B$15:V15)-SUM($B$19:V19)-Inputs!$B$14</f>
        <v>318146500</v>
      </c>
      <c r="W22" s="0" t="n">
        <f aca="false">SUM($B$16:W16)-SUM($B$12:W12)-SUM($B$13:W13)-SUM($B$15:W15)-SUM($B$19:W19)-Inputs!$B$14</f>
        <v>318146500</v>
      </c>
      <c r="X22" s="0" t="n">
        <f aca="false">SUM($B$16:X16)-SUM($B$12:X12)-SUM($B$13:X13)-SUM($B$15:X15)-SUM($B$19:X19)-Inputs!$B$14</f>
        <v>318146500</v>
      </c>
      <c r="Y22" s="0" t="n">
        <f aca="false">SUM($B$16:Y16)-SUM($B$12:Y12)-SUM($B$13:Y13)-SUM($B$15:Y15)-SUM($B$19:Y19)-Inputs!$B$14</f>
        <v>318146500</v>
      </c>
      <c r="Z22" s="0" t="n">
        <f aca="false">SUM($B$16:Z16)-SUM($B$12:Z12)-SUM($B$13:Z13)-SUM($B$15:Z15)-SUM($B$19:Z19)-Inputs!$B$14</f>
        <v>318146500</v>
      </c>
    </row>
    <row r="23" customFormat="false" ht="15" hidden="false" customHeight="false" outlineLevel="0" collapsed="false">
      <c r="A23" s="0" t="s">
        <v>39</v>
      </c>
      <c r="B23" s="0" t="n">
        <f aca="false">IF(MONTH(B4)=12,MAX(0,Inputs!$B$20+B22)*Inputs!$B$19,0)</f>
        <v>6250000</v>
      </c>
      <c r="C23" s="0" t="n">
        <f aca="false">IF(MONTH(C4)=12,MAX(0,Inputs!$B$20+C22)*Inputs!$B$19,0)</f>
        <v>0</v>
      </c>
      <c r="D23" s="0" t="n">
        <f aca="false">IF(MONTH(D4)=12,MAX(0,Inputs!$B$20+D22)*Inputs!$B$19,0)</f>
        <v>0</v>
      </c>
      <c r="E23" s="0" t="n">
        <f aca="false">IF(MONTH(E4)=12,MAX(0,Inputs!$B$20+E22)*Inputs!$B$19,0)</f>
        <v>0</v>
      </c>
      <c r="F23" s="0" t="n">
        <f aca="false">IF(MONTH(F4)=12,MAX(0,Inputs!$B$20+F22)*Inputs!$B$19,0)</f>
        <v>0</v>
      </c>
      <c r="G23" s="0" t="n">
        <f aca="false">IF(MONTH(G4)=12,MAX(0,Inputs!$B$20+G22)*Inputs!$B$19,0)</f>
        <v>0</v>
      </c>
      <c r="H23" s="0" t="n">
        <f aca="false">IF(MONTH(H4)=12,MAX(0,Inputs!$B$20+H22)*Inputs!$B$19,0)</f>
        <v>0</v>
      </c>
      <c r="I23" s="0" t="n">
        <f aca="false">IF(MONTH(I4)=12,MAX(0,Inputs!$B$20+I22)*Inputs!$B$19,0)</f>
        <v>0</v>
      </c>
      <c r="J23" s="0" t="n">
        <f aca="false">IF(MONTH(J4)=12,MAX(0,Inputs!$B$20+J22)*Inputs!$B$19,0)</f>
        <v>0</v>
      </c>
      <c r="K23" s="0" t="n">
        <f aca="false">IF(MONTH(K4)=12,MAX(0,Inputs!$B$20+K22)*Inputs!$B$19,0)</f>
        <v>0</v>
      </c>
      <c r="L23" s="0" t="n">
        <f aca="false">IF(MONTH(L4)=12,MAX(0,Inputs!$B$20+L22)*Inputs!$B$19,0)</f>
        <v>0</v>
      </c>
      <c r="M23" s="0" t="n">
        <f aca="false">IF(MONTH(M4)=12,MAX(0,Inputs!$B$20+M22)*Inputs!$B$19,0)</f>
        <v>0</v>
      </c>
      <c r="N23" s="0" t="n">
        <f aca="false">IF(MONTH(N4)=12,MAX(0,Inputs!$B$20+N22)*Inputs!$B$19,0)</f>
        <v>0</v>
      </c>
      <c r="O23" s="0" t="n">
        <f aca="false">IF(MONTH(O4)=12,MAX(0,Inputs!$B$20+O22)*Inputs!$B$19,0)</f>
        <v>0</v>
      </c>
      <c r="P23" s="0" t="n">
        <f aca="false">IF(MONTH(P4)=12,MAX(0,Inputs!$B$20+P22)*Inputs!$B$19,0)</f>
        <v>0</v>
      </c>
      <c r="Q23" s="0" t="n">
        <f aca="false">IF(MONTH(Q4)=12,MAX(0,Inputs!$B$20+Q22)*Inputs!$B$19,0)</f>
        <v>0</v>
      </c>
      <c r="R23" s="0" t="n">
        <f aca="false">IF(MONTH(R4)=12,MAX(0,Inputs!$B$20+R22)*Inputs!$B$19,0)</f>
        <v>26972412.5</v>
      </c>
      <c r="S23" s="0" t="n">
        <f aca="false">IF(MONTH(S4)=12,MAX(0,Inputs!$B$20+S22)*Inputs!$B$19,0)</f>
        <v>0</v>
      </c>
      <c r="T23" s="0" t="n">
        <f aca="false">IF(MONTH(T4)=12,MAX(0,Inputs!$B$20+T22)*Inputs!$B$19,0)</f>
        <v>0</v>
      </c>
      <c r="U23" s="0" t="n">
        <f aca="false">IF(MONTH(U4)=12,MAX(0,Inputs!$B$20+U22)*Inputs!$B$19,0)</f>
        <v>0</v>
      </c>
      <c r="V23" s="0" t="n">
        <f aca="false">IF(MONTH(V4)=12,MAX(0,Inputs!$B$20+V22)*Inputs!$B$19,0)</f>
        <v>25453662.5</v>
      </c>
      <c r="W23" s="0" t="n">
        <f aca="false">IF(MONTH(W4)=12,MAX(0,Inputs!$B$20+W22)*Inputs!$B$19,0)</f>
        <v>0</v>
      </c>
      <c r="X23" s="0" t="n">
        <f aca="false">IF(MONTH(X4)=12,MAX(0,Inputs!$B$20+X22)*Inputs!$B$19,0)</f>
        <v>0</v>
      </c>
      <c r="Y23" s="0" t="n">
        <f aca="false">IF(MONTH(Y4)=12,MAX(0,Inputs!$B$20+Y22)*Inputs!$B$19,0)</f>
        <v>0</v>
      </c>
      <c r="Z23" s="0" t="n">
        <f aca="false">IF(MONTH(Z4)=12,MAX(0,Inputs!$B$20+Z22)*Inputs!$B$19,0)</f>
        <v>25453662.5</v>
      </c>
    </row>
    <row r="24" customFormat="false" ht="15" hidden="false" customHeight="false" outlineLevel="0" collapsed="false">
      <c r="A24" s="0" t="s">
        <v>40</v>
      </c>
      <c r="B24" s="0" t="n">
        <f aca="false">0+B16-B12-B13-B14-B15+B18-B19-B20-B23</f>
        <v>-456250000</v>
      </c>
      <c r="C24" s="0" t="n">
        <f aca="false">B27+C16-C12-C13-C14-C15+C18-C19-C20-C23</f>
        <v>786613833.333333</v>
      </c>
      <c r="D24" s="0" t="n">
        <f aca="false">C27+D16-D12-D13-D14-D15+D18-D19-D20-D23</f>
        <v>665680666.666667</v>
      </c>
      <c r="E24" s="0" t="n">
        <f aca="false">D27+E16-E12-E13-E14-E15+E18-E19-E20-E23</f>
        <v>613411250</v>
      </c>
      <c r="F24" s="0" t="n">
        <f aca="false">E27+F16-F12-F13-F14-F15+F18-F19-F20-F23</f>
        <v>577661833.333334</v>
      </c>
      <c r="G24" s="0" t="n">
        <f aca="false">F27+G16-G12-G13-G14-G15+G18-G19-G20-G23</f>
        <v>546135916.666667</v>
      </c>
      <c r="H24" s="0" t="n">
        <f aca="false">G27+H16-H12-H13-H14-H15+H18-H19-H20-H23</f>
        <v>512066250</v>
      </c>
      <c r="I24" s="0" t="n">
        <f aca="false">H27+I16-I12-I13-I14-I15+I18-I19-I20-I23</f>
        <v>493986750</v>
      </c>
      <c r="J24" s="0" t="n">
        <f aca="false">I27+J16-J12-J13-J14-J15+J18-J19-J20-J23</f>
        <v>476113500</v>
      </c>
      <c r="K24" s="0" t="n">
        <f aca="false">J27+K16-K12-K13-K14-K15+K18-K19-K20-K23</f>
        <v>458343750</v>
      </c>
      <c r="L24" s="0" t="n">
        <f aca="false">K27+L16-L12-L13-L14-L15+L18-L19-L20-L23</f>
        <v>440780250</v>
      </c>
      <c r="M24" s="0" t="n">
        <f aca="false">L27+M16-M12-M13-M14-M15+M18-M19-M20-M23</f>
        <v>423320250</v>
      </c>
      <c r="N24" s="0" t="n">
        <f aca="false">M27+N16-N12-N13-N14-N15+N18-N19-N20-N23</f>
        <v>405860250</v>
      </c>
      <c r="O24" s="0" t="n">
        <f aca="false">N27+O16-O12-O13-O14-O15+O18-O19-O20-O23</f>
        <v>388710000</v>
      </c>
      <c r="P24" s="0" t="n">
        <f aca="false">O27+P16-P12-P13-P14-P15+P18-P19-P20-P23</f>
        <v>1549023250</v>
      </c>
      <c r="Q24" s="0" t="n">
        <f aca="false">P27+Q16-Q12-Q13-Q14-Q15+Q18-Q19-Q20-Q23</f>
        <v>1649130000</v>
      </c>
      <c r="R24" s="0" t="n">
        <f aca="false">Q27+R16-R12-R13-R14-R15+R18-R19-R20-R23</f>
        <v>1701924087.5</v>
      </c>
      <c r="S24" s="0" t="n">
        <f aca="false">R27+S16-S12-S13-S14-S15+S18-S19-S20-S23</f>
        <v>1686736587.5</v>
      </c>
      <c r="T24" s="0" t="n">
        <f aca="false">S27+T16-T12-T13-T14-T15+T18-T19-T20-T23</f>
        <v>1671549087.5</v>
      </c>
      <c r="U24" s="0" t="n">
        <f aca="false">T27+U16-U12-U13-U14-U15+U18-U19-U20-U23</f>
        <v>1656361587.5</v>
      </c>
      <c r="V24" s="0" t="n">
        <f aca="false">U27+V16-V12-V13-V14-V15+V18-V19-V20-V23</f>
        <v>715720425</v>
      </c>
      <c r="W24" s="0" t="n">
        <f aca="false">V27+W16-W12-W13-W14-W15+W18-W19-W20-W23</f>
        <v>0</v>
      </c>
      <c r="X24" s="0" t="n">
        <f aca="false">W27+X16-X12-X13-X14-X15+X18-X19-X20-X23</f>
        <v>0</v>
      </c>
      <c r="Y24" s="0" t="n">
        <f aca="false">X27+Y16-Y12-Y13-Y14-Y15+Y18-Y19-Y20-Y23</f>
        <v>0</v>
      </c>
      <c r="Z24" s="0" t="n">
        <f aca="false">Y27+Z16-Z12-Z13-Z14-Z15+Z18-Z19-Z20-Z23</f>
        <v>-25453662.5</v>
      </c>
    </row>
    <row r="25" customFormat="false" ht="15" hidden="false" customHeight="false" outlineLevel="0" collapsed="false">
      <c r="A25" s="0" t="s">
        <v>41</v>
      </c>
      <c r="B25" s="0" t="n">
        <f aca="false">MAX(0,-B24)</f>
        <v>456250000</v>
      </c>
      <c r="C25" s="0" t="n">
        <f aca="false">MAX(0,-C24)</f>
        <v>0</v>
      </c>
      <c r="D25" s="0" t="n">
        <f aca="false">MAX(0,-D24)</f>
        <v>0</v>
      </c>
      <c r="E25" s="0" t="n">
        <f aca="false">MAX(0,-E24)</f>
        <v>0</v>
      </c>
      <c r="F25" s="0" t="n">
        <f aca="false">MAX(0,-F24)</f>
        <v>0</v>
      </c>
      <c r="G25" s="0" t="n">
        <f aca="false">MAX(0,-G24)</f>
        <v>0</v>
      </c>
      <c r="H25" s="0" t="n">
        <f aca="false">MAX(0,-H24)</f>
        <v>0</v>
      </c>
      <c r="I25" s="0" t="n">
        <f aca="false">MAX(0,-I24)</f>
        <v>0</v>
      </c>
      <c r="J25" s="0" t="n">
        <f aca="false">MAX(0,-J24)</f>
        <v>0</v>
      </c>
      <c r="K25" s="0" t="n">
        <f aca="false">MAX(0,-K24)</f>
        <v>0</v>
      </c>
      <c r="L25" s="0" t="n">
        <f aca="false">MAX(0,-L24)</f>
        <v>0</v>
      </c>
      <c r="M25" s="0" t="n">
        <f aca="false">MAX(0,-M24)</f>
        <v>0</v>
      </c>
      <c r="N25" s="0" t="n">
        <f aca="false">MAX(0,-N24)</f>
        <v>0</v>
      </c>
      <c r="O25" s="0" t="n">
        <f aca="false">MAX(0,-O24)</f>
        <v>0</v>
      </c>
      <c r="P25" s="0" t="n">
        <f aca="false">MAX(0,-P24)</f>
        <v>0</v>
      </c>
      <c r="Q25" s="0" t="n">
        <f aca="false">MAX(0,-Q24)</f>
        <v>0</v>
      </c>
      <c r="R25" s="0" t="n">
        <f aca="false">MAX(0,-R24)</f>
        <v>0</v>
      </c>
      <c r="S25" s="0" t="n">
        <f aca="false">MAX(0,-S24)</f>
        <v>0</v>
      </c>
      <c r="T25" s="0" t="n">
        <f aca="false">MAX(0,-T24)</f>
        <v>0</v>
      </c>
      <c r="U25" s="0" t="n">
        <f aca="false">MAX(0,-U24)</f>
        <v>0</v>
      </c>
      <c r="V25" s="0" t="n">
        <f aca="false">MAX(0,-V24)</f>
        <v>0</v>
      </c>
      <c r="W25" s="0" t="n">
        <f aca="false">MAX(0,-W24)</f>
        <v>-0</v>
      </c>
      <c r="X25" s="0" t="n">
        <f aca="false">MAX(0,-X24)</f>
        <v>-0</v>
      </c>
      <c r="Y25" s="0" t="n">
        <f aca="false">MAX(0,-Y24)</f>
        <v>-0</v>
      </c>
      <c r="Z25" s="0" t="n">
        <f aca="false">MAX(0,-Z24)</f>
        <v>25453662.5</v>
      </c>
    </row>
    <row r="26" customFormat="false" ht="15" hidden="false" customHeight="false" outlineLevel="0" collapsed="false">
      <c r="A26" s="0" t="s">
        <v>42</v>
      </c>
      <c r="B26" s="0" t="n">
        <f aca="false">IF(B$3&gt;=Inputs!$B$18,MAX(0,B24),0)</f>
        <v>0</v>
      </c>
      <c r="C26" s="0" t="n">
        <f aca="false">IF(C$3&gt;=Inputs!$B$18,MAX(0,C24),0)</f>
        <v>0</v>
      </c>
      <c r="D26" s="0" t="n">
        <f aca="false">IF(D$3&gt;=Inputs!$B$18,MAX(0,D24),0)</f>
        <v>0</v>
      </c>
      <c r="E26" s="0" t="n">
        <f aca="false">IF(E$3&gt;=Inputs!$B$18,MAX(0,E24),0)</f>
        <v>0</v>
      </c>
      <c r="F26" s="0" t="n">
        <f aca="false">IF(F$3&gt;=Inputs!$B$18,MAX(0,F24),0)</f>
        <v>0</v>
      </c>
      <c r="G26" s="0" t="n">
        <f aca="false">IF(G$3&gt;=Inputs!$B$18,MAX(0,G24),0)</f>
        <v>0</v>
      </c>
      <c r="H26" s="0" t="n">
        <f aca="false">IF(H$3&gt;=Inputs!$B$18,MAX(0,H24),0)</f>
        <v>0</v>
      </c>
      <c r="I26" s="0" t="n">
        <f aca="false">IF(I$3&gt;=Inputs!$B$18,MAX(0,I24),0)</f>
        <v>0</v>
      </c>
      <c r="J26" s="0" t="n">
        <f aca="false">IF(J$3&gt;=Inputs!$B$18,MAX(0,J24),0)</f>
        <v>0</v>
      </c>
      <c r="K26" s="0" t="n">
        <f aca="false">IF(K$3&gt;=Inputs!$B$18,MAX(0,K24),0)</f>
        <v>0</v>
      </c>
      <c r="L26" s="0" t="n">
        <f aca="false">IF(L$3&gt;=Inputs!$B$18,MAX(0,L24),0)</f>
        <v>0</v>
      </c>
      <c r="M26" s="0" t="n">
        <f aca="false">IF(M$3&gt;=Inputs!$B$18,MAX(0,M24),0)</f>
        <v>0</v>
      </c>
      <c r="N26" s="0" t="n">
        <f aca="false">IF(N$3&gt;=Inputs!$B$18,MAX(0,N24),0)</f>
        <v>0</v>
      </c>
      <c r="O26" s="0" t="n">
        <f aca="false">IF(O$3&gt;=Inputs!$B$18,MAX(0,O24),0)</f>
        <v>0</v>
      </c>
      <c r="P26" s="0" t="n">
        <f aca="false">IF(P$3&gt;=Inputs!$B$18,MAX(0,P24),0)</f>
        <v>0</v>
      </c>
      <c r="Q26" s="0" t="n">
        <f aca="false">IF(Q$3&gt;=Inputs!$B$18,MAX(0,Q24),0)</f>
        <v>0</v>
      </c>
      <c r="R26" s="0" t="n">
        <f aca="false">IF(R$3&gt;=Inputs!$B$18,MAX(0,R24),0)</f>
        <v>0</v>
      </c>
      <c r="S26" s="0" t="n">
        <f aca="false">IF(S$3&gt;=Inputs!$B$18,MAX(0,S24),0)</f>
        <v>0</v>
      </c>
      <c r="T26" s="0" t="n">
        <f aca="false">IF(T$3&gt;=Inputs!$B$18,MAX(0,T24),0)</f>
        <v>0</v>
      </c>
      <c r="U26" s="0" t="n">
        <f aca="false">IF(U$3&gt;=Inputs!$B$18,MAX(0,U24),0)</f>
        <v>0</v>
      </c>
      <c r="V26" s="0" t="n">
        <f aca="false">IF(V$3&gt;=Inputs!$B$18,MAX(0,V24),0)</f>
        <v>715720425</v>
      </c>
      <c r="W26" s="0" t="n">
        <f aca="false">IF(W$3&gt;=Inputs!$B$18,MAX(0,W24),0)</f>
        <v>0</v>
      </c>
      <c r="X26" s="0" t="n">
        <f aca="false">IF(X$3&gt;=Inputs!$B$18,MAX(0,X24),0)</f>
        <v>0</v>
      </c>
      <c r="Y26" s="0" t="n">
        <f aca="false">IF(Y$3&gt;=Inputs!$B$18,MAX(0,Y24),0)</f>
        <v>0</v>
      </c>
      <c r="Z26" s="0" t="n">
        <f aca="false">IF(Z$3&gt;=Inputs!$B$18,MAX(0,Z24),0)</f>
        <v>0</v>
      </c>
    </row>
    <row r="27" customFormat="false" ht="15" hidden="false" customHeight="false" outlineLevel="0" collapsed="false">
      <c r="A27" s="0" t="s">
        <v>43</v>
      </c>
      <c r="B27" s="0" t="n">
        <f aca="false">B24+B25-B26</f>
        <v>0</v>
      </c>
      <c r="C27" s="0" t="n">
        <f aca="false">C24+C25-C26</f>
        <v>786613833.333333</v>
      </c>
      <c r="D27" s="0" t="n">
        <f aca="false">D24+D25-D26</f>
        <v>665680666.666667</v>
      </c>
      <c r="E27" s="0" t="n">
        <f aca="false">E24+E25-E26</f>
        <v>613411250</v>
      </c>
      <c r="F27" s="0" t="n">
        <f aca="false">F24+F25-F26</f>
        <v>577661833.333334</v>
      </c>
      <c r="G27" s="0" t="n">
        <f aca="false">G24+G25-G26</f>
        <v>546135916.666667</v>
      </c>
      <c r="H27" s="0" t="n">
        <f aca="false">H24+H25-H26</f>
        <v>512066250</v>
      </c>
      <c r="I27" s="0" t="n">
        <f aca="false">I24+I25-I26</f>
        <v>493986750</v>
      </c>
      <c r="J27" s="0" t="n">
        <f aca="false">J24+J25-J26</f>
        <v>476113500</v>
      </c>
      <c r="K27" s="0" t="n">
        <f aca="false">K24+K25-K26</f>
        <v>458343750</v>
      </c>
      <c r="L27" s="0" t="n">
        <f aca="false">L24+L25-L26</f>
        <v>440780250</v>
      </c>
      <c r="M27" s="0" t="n">
        <f aca="false">M24+M25-M26</f>
        <v>423320250</v>
      </c>
      <c r="N27" s="0" t="n">
        <f aca="false">N24+N25-N26</f>
        <v>405860250</v>
      </c>
      <c r="O27" s="0" t="n">
        <f aca="false">O24+O25-O26</f>
        <v>388710000</v>
      </c>
      <c r="P27" s="0" t="n">
        <f aca="false">P24+P25-P26</f>
        <v>1549023250</v>
      </c>
      <c r="Q27" s="0" t="n">
        <f aca="false">Q24+Q25-Q26</f>
        <v>1649130000</v>
      </c>
      <c r="R27" s="0" t="n">
        <f aca="false">R24+R25-R26</f>
        <v>1701924087.5</v>
      </c>
      <c r="S27" s="0" t="n">
        <f aca="false">S24+S25-S26</f>
        <v>1686736587.5</v>
      </c>
      <c r="T27" s="0" t="n">
        <f aca="false">T24+T25-T26</f>
        <v>1671549087.5</v>
      </c>
      <c r="U27" s="0" t="n">
        <f aca="false">U24+U25-U26</f>
        <v>1656361587.5</v>
      </c>
      <c r="V27" s="0" t="n">
        <f aca="false">V24+V25-V26</f>
        <v>0</v>
      </c>
      <c r="W27" s="0" t="n">
        <f aca="false">W24+W25-W26</f>
        <v>0</v>
      </c>
      <c r="X27" s="0" t="n">
        <f aca="false">X24+X25-X26</f>
        <v>0</v>
      </c>
      <c r="Y27" s="0" t="n">
        <f aca="false">Y24+Y25-Y26</f>
        <v>0</v>
      </c>
      <c r="Z27" s="0" t="n">
        <f aca="false">Z24+Z25-Z26</f>
        <v>0</v>
      </c>
    </row>
    <row r="28" customFormat="false" ht="15" hidden="false" customHeight="false" outlineLevel="0" collapsed="false">
      <c r="A28" s="0" t="s">
        <v>44</v>
      </c>
      <c r="B28" s="0" t="n">
        <f aca="false">B26-B25</f>
        <v>-456250000</v>
      </c>
      <c r="C28" s="0" t="n">
        <f aca="false">C26-C25</f>
        <v>0</v>
      </c>
      <c r="D28" s="0" t="n">
        <f aca="false">D26-D25</f>
        <v>0</v>
      </c>
      <c r="E28" s="0" t="n">
        <f aca="false">E26-E25</f>
        <v>0</v>
      </c>
      <c r="F28" s="0" t="n">
        <f aca="false">F26-F25</f>
        <v>0</v>
      </c>
      <c r="G28" s="0" t="n">
        <f aca="false">G26-G25</f>
        <v>0</v>
      </c>
      <c r="H28" s="0" t="n">
        <f aca="false">H26-H25</f>
        <v>0</v>
      </c>
      <c r="I28" s="0" t="n">
        <f aca="false">I26-I25</f>
        <v>0</v>
      </c>
      <c r="J28" s="0" t="n">
        <f aca="false">J26-J25</f>
        <v>0</v>
      </c>
      <c r="K28" s="0" t="n">
        <f aca="false">K26-K25</f>
        <v>0</v>
      </c>
      <c r="L28" s="0" t="n">
        <f aca="false">L26-L25</f>
        <v>0</v>
      </c>
      <c r="M28" s="0" t="n">
        <f aca="false">M26-M25</f>
        <v>0</v>
      </c>
      <c r="N28" s="0" t="n">
        <f aca="false">N26-N25</f>
        <v>0</v>
      </c>
      <c r="O28" s="0" t="n">
        <f aca="false">O26-O25</f>
        <v>0</v>
      </c>
      <c r="P28" s="0" t="n">
        <f aca="false">P26-P25</f>
        <v>0</v>
      </c>
      <c r="Q28" s="0" t="n">
        <f aca="false">Q26-Q25</f>
        <v>0</v>
      </c>
      <c r="R28" s="0" t="n">
        <f aca="false">R26-R25</f>
        <v>0</v>
      </c>
      <c r="S28" s="0" t="n">
        <f aca="false">S26-S25</f>
        <v>0</v>
      </c>
      <c r="T28" s="0" t="n">
        <f aca="false">T26-T25</f>
        <v>0</v>
      </c>
      <c r="U28" s="0" t="n">
        <f aca="false">U26-U25</f>
        <v>0</v>
      </c>
      <c r="V28" s="0" t="n">
        <f aca="false">V26-V25</f>
        <v>715720425</v>
      </c>
      <c r="W28" s="0" t="n">
        <f aca="false">W26-W25</f>
        <v>0</v>
      </c>
      <c r="X28" s="0" t="n">
        <f aca="false">X26-X25</f>
        <v>0</v>
      </c>
      <c r="Y28" s="0" t="n">
        <f aca="false">Y26-Y25</f>
        <v>0</v>
      </c>
      <c r="Z28" s="0" t="n">
        <f aca="false">Z26-Z25</f>
        <v>-25453662.5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45</v>
      </c>
      <c r="B3" s="4" t="n">
        <f aca="false">(1+IRR('Cash Flow'!$B$28:$Z$28,0.02))^4-1</f>
        <v>0.0869729047870165</v>
      </c>
    </row>
    <row r="4" customFormat="false" ht="15" hidden="false" customHeight="false" outlineLevel="0" collapsed="false">
      <c r="A4" s="0" t="s">
        <v>46</v>
      </c>
      <c r="B4" s="2" t="n">
        <f aca="false">SUM('Cash Flow'!$B$28:$Z$28)</f>
        <v>234016762.5</v>
      </c>
    </row>
    <row r="5" customFormat="false" ht="15" hidden="false" customHeight="false" outlineLevel="0" collapsed="false">
      <c r="A5" s="0" t="s">
        <v>47</v>
      </c>
      <c r="B5" s="6" t="n">
        <f aca="false">_xlfn.MINIFS('Cash Flow'!$B$21:$Z$21,'Cash Flow'!$B$19:$Z$19,"&gt;0")</f>
        <v>26.5940740740741</v>
      </c>
    </row>
    <row r="6" customFormat="false" ht="15" hidden="false" customHeight="false" outlineLevel="0" collapsed="false">
      <c r="A6" s="0" t="s">
        <v>48</v>
      </c>
      <c r="B6" s="2" t="n">
        <f aca="false">SUM('Cash Flow'!$B$25:$Z$25)</f>
        <v>481703662.5</v>
      </c>
    </row>
    <row r="7" customFormat="false" ht="15" hidden="false" customHeight="false" outlineLevel="0" collapsed="false">
      <c r="A7" s="0" t="s">
        <v>49</v>
      </c>
      <c r="B7" s="2" t="n">
        <f aca="false">SUM('Cash Flow'!$B$23:$Z$23)</f>
        <v>84129737.5</v>
      </c>
    </row>
    <row r="8" customFormat="false" ht="15" hidden="false" customHeight="false" outlineLevel="0" collapsed="false">
      <c r="A8" s="0" t="s">
        <v>50</v>
      </c>
      <c r="B8" s="2" t="n">
        <f aca="false">MAX('Cash Flow'!$B$17:$Z$17)</f>
        <v>93500000</v>
      </c>
    </row>
    <row r="9" customFormat="false" ht="15" hidden="false" customHeight="false" outlineLevel="0" collapsed="false">
      <c r="A9" s="0" t="s">
        <v>51</v>
      </c>
      <c r="B9" s="2" t="n">
        <f aca="false">SUMIF('Cash Flow'!$B$3:$Z$3,"&lt;="&amp;Inputs!$B$10,'Cash Flow'!$B$5:$Z$5)+SUMIF('Cash Flow'!$B$3:$Z$3,"&lt;="&amp;Inputs!$B$10,'Cash Flow'!$B$6:$Z$6)</f>
        <v>1310</v>
      </c>
    </row>
    <row r="10" customFormat="false" ht="15" hidden="false" customHeight="false" outlineLevel="0" collapsed="false">
      <c r="A10" s="0" t="s">
        <v>52</v>
      </c>
      <c r="B10" s="2" t="n">
        <f aca="false">SUM('Cash Flow'!$B$15:$Z$15)</f>
        <v>40491000</v>
      </c>
    </row>
    <row r="11" customFormat="false" ht="15" hidden="false" customHeight="false" outlineLevel="0" collapsed="false">
      <c r="A11" s="0" t="s">
        <v>53</v>
      </c>
      <c r="B11" s="2" t="n">
        <f aca="false">SUM('Cash Flow'!$B$7:$Z$7)</f>
        <v>2699400000</v>
      </c>
    </row>
    <row r="12" customFormat="false" ht="15" hidden="false" customHeight="false" outlineLevel="0" collapsed="false">
      <c r="A12" s="0" t="s">
        <v>54</v>
      </c>
      <c r="B12" s="2" t="n">
        <f aca="false">SUM('Cash Flow'!$B$19:$Z$19)</f>
        <v>288562500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2026-10-17T19:14:16Z</dcterms:created>
  <dc:creator>openpyxl</dc:creator>
  <dc:description/>
  <dc:language>en-US</dc:language>
  <cp:lastModifiedBy/>
  <dcterms:modified xsi:type="dcterms:W3CDTF">2026-10-17T19:14:16Z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