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Deal A" sheetId="2" state="visible" r:id="rId2"/>
    <sheet name="Deal B" sheetId="3" state="visible" r:id="rId3"/>
    <sheet name="Cash Flow" sheetId="4" state="visible" r:id="rId4"/>
    <sheet name="Returns" sheetId="5" state="visible" r:id="rId5"/>
  </sheets>
  <definedNames>
    <definedName name="TOTCF">OFFSET('Cash Flow'!$B$4,0,0,1,COUNT('Cash Flow'!$B$1:$E$1))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 EDGES (USD)</t>
        </is>
      </c>
    </row>
    <row r="2">
      <c r="A2" t="inlineStr">
        <is>
          <t>Price</t>
        </is>
      </c>
      <c r="B2" t="n">
        <v>1000</v>
      </c>
    </row>
    <row r="3">
      <c r="A3" t="inlineStr">
        <is>
          <t>Rent</t>
        </is>
      </c>
      <c r="B3" t="n">
        <v>120</v>
      </c>
    </row>
    <row r="4">
      <c r="A4" t="inlineStr">
        <is>
          <t>Deals</t>
        </is>
      </c>
    </row>
    <row r="5">
      <c r="A5" t="inlineStr">
        <is>
          <t>Deal A</t>
        </is>
      </c>
    </row>
    <row r="6">
      <c r="A6" t="inlineStr">
        <is>
          <t>Deal B</t>
        </is>
      </c>
    </row>
    <row r="8">
      <c r="A8" t="inlineStr">
        <is>
          <t>Rent history</t>
        </is>
      </c>
      <c r="B8" t="n">
        <v>100</v>
      </c>
      <c r="C8" t="n">
        <v>110</v>
      </c>
      <c r="D8" t="n">
        <v>120</v>
      </c>
    </row>
    <row r="9">
      <c r="A9" t="inlineStr">
        <is>
          <t>Year</t>
        </is>
      </c>
      <c r="B9" t="n">
        <v>1</v>
      </c>
      <c r="C9" t="n">
        <v>2</v>
      </c>
      <c r="D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cash flow</t>
        </is>
      </c>
      <c r="B1">
        <f>IF(0=0,-Inputs!$B$2*1,Inputs!$B$3*1)+IF(0=3,Inputs!$B$2*1,0)</f>
        <v/>
      </c>
      <c r="C1">
        <f>IF(1=0,-Inputs!$B$2*1,Inputs!$B$3*1)+IF(1=3,Inputs!$B$2*1,0)</f>
        <v/>
      </c>
      <c r="D1">
        <f>IF(2=0,-Inputs!$B$2*1,Inputs!$B$3*1)+IF(2=3,Inputs!$B$2*1,0)</f>
        <v/>
      </c>
      <c r="E1">
        <f>IF(3=0,-Inputs!$B$2*1,Inputs!$B$3*1)+IF(3=3,Inputs!$B$2*1,0)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cash flow</t>
        </is>
      </c>
      <c r="B1">
        <f>IF(0=0,-Inputs!$B$2*0.5,Inputs!$B$3*0.5)+IF(0=3,Inputs!$B$2*0.5,0)</f>
        <v/>
      </c>
      <c r="C1">
        <f>IF(1=0,-Inputs!$B$2*0.5,Inputs!$B$3*0.5)+IF(1=3,Inputs!$B$2*0.5,0)</f>
        <v/>
      </c>
      <c r="D1">
        <f>IF(2=0,-Inputs!$B$2*0.5,Inputs!$B$3*0.5)+IF(2=3,Inputs!$B$2*0.5,0)</f>
        <v/>
      </c>
      <c r="E1">
        <f>IF(3=0,-Inputs!$B$2*0.5,Inputs!$B$3*0.5)+IF(3=3,Inputs!$B$2*0.5,0)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0</v>
      </c>
      <c r="C1" t="n">
        <v>1</v>
      </c>
      <c r="D1" t="n">
        <v>2</v>
      </c>
      <c r="E1" t="n">
        <v>3</v>
      </c>
    </row>
    <row r="2">
      <c r="A2" t="inlineStr">
        <is>
          <t>Deal A</t>
        </is>
      </c>
      <c r="B2">
        <f>INDEX(INDIRECT("'"&amp;Inputs!$A$5&amp;"'!$B$1:$E$1"),1,B$1+1)</f>
        <v/>
      </c>
      <c r="C2">
        <f>INDEX(INDIRECT("'"&amp;Inputs!$A$5&amp;"'!$B$1:$E$1"),1,C$1+1)</f>
        <v/>
      </c>
      <c r="D2">
        <f>INDEX(INDIRECT("'"&amp;Inputs!$A$5&amp;"'!$B$1:$E$1"),1,D$1+1)</f>
        <v/>
      </c>
      <c r="E2">
        <f>INDEX(INDIRECT("'"&amp;Inputs!$A$5&amp;"'!$B$1:$E$1"),1,E$1+1)</f>
        <v/>
      </c>
    </row>
    <row r="3">
      <c r="A3" t="inlineStr">
        <is>
          <t>Deal B</t>
        </is>
      </c>
      <c r="B3">
        <f>INDEX(INDIRECT("'"&amp;Inputs!$A$6&amp;"'!$B$1:$E$1"),1,B$1+1)</f>
        <v/>
      </c>
      <c r="C3">
        <f>INDEX(INDIRECT("'"&amp;Inputs!$A$6&amp;"'!$B$1:$E$1"),1,C$1+1)</f>
        <v/>
      </c>
      <c r="D3">
        <f>INDEX(INDIRECT("'"&amp;Inputs!$A$6&amp;"'!$B$1:$E$1"),1,D$1+1)</f>
        <v/>
      </c>
      <c r="E3">
        <f>INDEX(INDIRECT("'"&amp;Inputs!$A$6&amp;"'!$B$1:$E$1"),1,E$1+1)</f>
        <v/>
      </c>
    </row>
    <row r="4">
      <c r="A4" t="inlineStr">
        <is>
          <t>Total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</row>
    <row r="6">
      <c r="A6" t="inlineStr">
        <is>
          <t>Monthly flow</t>
        </is>
      </c>
      <c r="B6" t="n">
        <v>-54433.103893</v>
      </c>
      <c r="C6" t="n">
        <v>-1291.9011512</v>
      </c>
      <c r="D6" t="n">
        <v>-2128.5936225</v>
      </c>
      <c r="E6" t="n">
        <v>-2928.8652668</v>
      </c>
      <c r="F6" t="n">
        <v>-3679.0232143</v>
      </c>
      <c r="G6" t="n">
        <v>17396.713355</v>
      </c>
      <c r="H6" t="n">
        <v>-563.85212001</v>
      </c>
      <c r="I6" t="n">
        <v>-1735.6607635</v>
      </c>
      <c r="J6" t="n">
        <v>-2698.1138589</v>
      </c>
      <c r="K6" t="n">
        <v>-3434.743567</v>
      </c>
      <c r="L6" t="n">
        <v>-3932.9459493</v>
      </c>
      <c r="M6" t="n">
        <v>-4184.1966248</v>
      </c>
      <c r="N6" t="n">
        <v>-4184.1966248</v>
      </c>
      <c r="O6" t="n">
        <v>-3932.9459493</v>
      </c>
      <c r="P6" t="n">
        <v>-3434.743567</v>
      </c>
      <c r="Q6" t="n">
        <v>-2698.1138589</v>
      </c>
      <c r="R6" t="n">
        <v>-1735.6607635</v>
      </c>
      <c r="S6" t="n">
        <v>-563.85212001</v>
      </c>
      <c r="T6" t="n">
        <v>797.26210072</v>
      </c>
      <c r="U6" t="n">
        <v>2324.392857</v>
      </c>
      <c r="V6" t="n">
        <v>3991.4105182</v>
      </c>
      <c r="W6" t="n">
        <v>5769.79195</v>
      </c>
      <c r="X6" t="n">
        <v>7629.108553</v>
      </c>
      <c r="Y6" t="n">
        <v>9537.5469046</v>
      </c>
      <c r="Z6" t="n">
        <v>10566.666667</v>
      </c>
      <c r="AA6" t="n">
        <v>10633.333333</v>
      </c>
      <c r="AB6" t="n">
        <v>10700</v>
      </c>
      <c r="AC6" t="n">
        <v>10766.666667</v>
      </c>
      <c r="AD6" t="n">
        <v>10833.333333</v>
      </c>
      <c r="AE6" t="n">
        <v>10900</v>
      </c>
      <c r="AF6" t="n">
        <v>466.66666667</v>
      </c>
      <c r="AG6" t="n">
        <v>533.33333333</v>
      </c>
      <c r="AH6" t="n">
        <v>600</v>
      </c>
      <c r="AI6" t="n">
        <v>666.66666667</v>
      </c>
      <c r="AJ6" t="n">
        <v>733.33333333</v>
      </c>
      <c r="AK6" t="n">
        <v>800</v>
      </c>
      <c r="AL6" t="n">
        <v>800</v>
      </c>
      <c r="AM6" t="n">
        <v>800</v>
      </c>
      <c r="AN6" t="n">
        <v>800</v>
      </c>
      <c r="AO6" t="n">
        <v>800</v>
      </c>
      <c r="AP6" t="n">
        <v>800</v>
      </c>
      <c r="AQ6" t="n">
        <v>800</v>
      </c>
      <c r="AR6" t="n">
        <v>800</v>
      </c>
      <c r="AS6" t="n">
        <v>800</v>
      </c>
      <c r="AT6" t="n">
        <v>800</v>
      </c>
      <c r="AU6" t="n">
        <v>800</v>
      </c>
      <c r="AV6" t="n">
        <v>800</v>
      </c>
      <c r="AW6" t="n">
        <v>800</v>
      </c>
      <c r="AX6" t="n">
        <v>800</v>
      </c>
      <c r="AY6" t="n">
        <v>800</v>
      </c>
      <c r="AZ6" t="n">
        <v>800</v>
      </c>
      <c r="BA6" t="n">
        <v>800</v>
      </c>
      <c r="BB6" t="n">
        <v>800</v>
      </c>
      <c r="BC6" t="n">
        <v>800</v>
      </c>
      <c r="BD6" t="n">
        <v>800</v>
      </c>
      <c r="BE6" t="n">
        <v>800</v>
      </c>
      <c r="BF6" t="n">
        <v>800</v>
      </c>
      <c r="BG6" t="n">
        <v>800</v>
      </c>
      <c r="BH6" t="n">
        <v>800</v>
      </c>
      <c r="BI6" t="n">
        <v>135200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IRR</t>
        </is>
      </c>
      <c r="B1">
        <f>IRR(TOTCF)</f>
        <v/>
      </c>
    </row>
    <row r="2">
      <c r="A2" t="inlineStr">
        <is>
          <t>Total profit</t>
        </is>
      </c>
      <c r="B2">
        <f>SUM('Cash Flow'!B4:E4)</f>
        <v/>
      </c>
    </row>
    <row r="3">
      <c r="A3" t="inlineStr">
        <is>
          <t>Rent forecast</t>
        </is>
      </c>
      <c r="B3">
        <f>TREND(Inputs!B8:D8,Inputs!B9:D9,4)</f>
        <v/>
      </c>
    </row>
    <row r="4">
      <c r="A4" t="inlineStr">
        <is>
          <t>Monthly IRR</t>
        </is>
      </c>
      <c r="B4">
        <f>IRR('Cash Flow'!B6:BI6)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2026-10-24T11:34:00Z</dcterms:created>
  <dcterms:modified xsi:type="dcterms:W3CDTF">2026-10-24T11:34:00Z</dcterms:modified>
</cp:coreProperties>
</file>