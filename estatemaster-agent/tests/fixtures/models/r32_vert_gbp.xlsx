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n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<sst xmlns="http://schemas.openxmlformats.org/spreadsheetml/2006/main" count="12" uniqueCount="12">
  <si>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CANAL STREET STUDENT HALL (GBP)</t>
  </si>
  <si>
    <t xml:space="preserve">Year</t>
  </si>
  <si>
    <t xml:space="preserve">Rent</t>
  </si>
  <si>
    <t xml:space="preserve">Costs</t>
  </si>
  <si>
    <t xml:space="preserve">Net</t>
  </si>
  <si>
    <t xml:space="preserve">Rent per bed</t>
  </si>
  <si>
    <t xml:space="preserve">Beds</t>
  </si>
  <si>
    <t xml:space="preserve">Cost ratio</t>
  </si>
  <si>
    <t xml:space="preserve">Indexation</t>
  </si>
  <si>
    <t xml:space="preserve">Build cost</t>
  </si>
  <si>
    <t xml:space="preserve">Total</t>
  </si>
  <si>
    <t xml:space="preserve">Unlevered IRR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</si>
</sst>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F3" s="0" t="s">
        <v>5</v>
      </c>
      <c r="G3" s="0" t="n">
        <v>5200</v>
      </c>
    </row>
    <row r="4" customFormat="false" ht="15" hidden="false" customHeight="false" outlineLevel="0" collapsed="false">
      <c r="A4" s="0" t="n">
        <v>0</v>
      </c>
      <c r="D4" s="0" t="n">
        <f aca="false">-G7</f>
        <v>-9000000</v>
      </c>
      <c r="F4" s="0" t="s">
        <v>6</v>
      </c>
      <c r="G4" s="0" t="n">
        <v>300</v>
      </c>
    </row>
    <row r="5" customFormat="false" ht="15" hidden="false" customHeight="false" outlineLevel="0" collapsed="false">
      <c r="A5" s="0" t="n">
        <f aca="false">A4+1</f>
        <v>1</v>
      </c>
      <c r="B5" s="0" t="n">
        <f aca="false">$G$3*$G$4*(1+$G$6)^(A5-1)</f>
        <v>1560000</v>
      </c>
      <c r="C5" s="0" t="n">
        <f aca="false">-B5*$G$5</f>
        <v>-499200</v>
      </c>
      <c r="D5" s="0" t="n">
        <f aca="false">B5+C5</f>
        <v>1060800</v>
      </c>
      <c r="F5" s="0" t="s">
        <v>7</v>
      </c>
      <c r="G5" s="0" t="n">
        <v>0.32</v>
      </c>
    </row>
    <row r="6" customFormat="false" ht="15" hidden="false" customHeight="false" outlineLevel="0" collapsed="false">
      <c r="A6" s="0" t="n">
        <f aca="false">A5+1</f>
        <v>2</v>
      </c>
      <c r="B6" s="0" t="n">
        <f aca="false">$G$3*$G$4*(1+$G$6)^(A6-1)</f>
        <v>1599000</v>
      </c>
      <c r="C6" s="0" t="n">
        <f aca="false">-B6*$G$5</f>
        <v>-511680</v>
      </c>
      <c r="D6" s="0" t="n">
        <f aca="false">B6+C6</f>
        <v>1087320</v>
      </c>
      <c r="F6" s="0" t="s">
        <v>8</v>
      </c>
      <c r="G6" s="0" t="n">
        <v>0.025</v>
      </c>
    </row>
    <row r="7" customFormat="false" ht="15" hidden="false" customHeight="false" outlineLevel="0" collapsed="false">
      <c r="A7" s="0" t="n">
        <f aca="false">A6+1</f>
        <v>3</v>
      </c>
      <c r="B7" s="0" t="n">
        <f aca="false">$G$3*$G$4*(1+$G$6)^(A7-1)</f>
        <v>1638975</v>
      </c>
      <c r="C7" s="0" t="n">
        <f aca="false">-B7*$G$5</f>
        <v>-524472</v>
      </c>
      <c r="D7" s="0" t="n">
        <f aca="false">B7+C7</f>
        <v>1114503</v>
      </c>
      <c r="F7" s="0" t="s">
        <v>9</v>
      </c>
      <c r="G7" s="0" t="n">
        <v>9000000</v>
      </c>
    </row>
    <row r="8" customFormat="false" ht="15" hidden="false" customHeight="false" outlineLevel="0" collapsed="false">
      <c r="A8" s="0" t="n">
        <f aca="false">A7+1</f>
        <v>4</v>
      </c>
      <c r="B8" s="0" t="n">
        <f aca="false">$G$3*$G$4*(1+$G$6)^(A8-1)</f>
        <v>1679949.375</v>
      </c>
      <c r="C8" s="0" t="n">
        <f aca="false">-B8*$G$5</f>
        <v>-537583.8</v>
      </c>
      <c r="D8" s="0" t="n">
        <f aca="false">B8+C8</f>
        <v>1142365.575</v>
      </c>
    </row>
    <row r="9" customFormat="false" ht="15" hidden="false" customHeight="false" outlineLevel="0" collapsed="false">
      <c r="A9" s="0" t="n">
        <f aca="false">A8+1</f>
        <v>5</v>
      </c>
      <c r="B9" s="0" t="n">
        <f aca="false">$G$3*$G$4*(1+$G$6)^(A9-1)</f>
        <v>1721948.109375</v>
      </c>
      <c r="C9" s="0" t="n">
        <f aca="false">-B9*$G$5</f>
        <v>-551023.395</v>
      </c>
      <c r="D9" s="0" t="n">
        <f aca="false">B9+C9</f>
        <v>1170924.714375</v>
      </c>
    </row>
    <row r="10" customFormat="false" ht="15" hidden="false" customHeight="false" outlineLevel="0" collapsed="false">
      <c r="A10" s="0" t="n">
        <f aca="false">A9+1</f>
        <v>6</v>
      </c>
      <c r="B10" s="0" t="n">
        <f aca="false">$G$3*$G$4*(1+$G$6)^(A10-1)</f>
        <v>1764996.81210937</v>
      </c>
      <c r="C10" s="0" t="n">
        <f aca="false">-B10*$G$5</f>
        <v>-564798.979875</v>
      </c>
      <c r="D10" s="0" t="n">
        <f aca="false">B10+C10</f>
        <v>1200197.83223437</v>
      </c>
    </row>
    <row r="11" customFormat="false" ht="15" hidden="false" customHeight="false" outlineLevel="0" collapsed="false">
      <c r="A11" s="0" t="n">
        <f aca="false">A10+1</f>
        <v>7</v>
      </c>
      <c r="B11" s="0" t="n">
        <f aca="false">$G$3*$G$4*(1+$G$6)^(A11-1)</f>
        <v>1809121.73241211</v>
      </c>
      <c r="C11" s="0" t="n">
        <f aca="false">-B11*$G$5</f>
        <v>-578918.954371875</v>
      </c>
      <c r="D11" s="0" t="n">
        <f aca="false">B11+C11</f>
        <v>1230202.77804023</v>
      </c>
    </row>
    <row r="12" customFormat="false" ht="15" hidden="false" customHeight="false" outlineLevel="0" collapsed="false">
      <c r="A12" s="0" t="n">
        <f aca="false">A11+1</f>
        <v>8</v>
      </c>
      <c r="B12" s="0" t="n">
        <f aca="false">$G$3*$G$4*(1+$G$6)^(A12-1)</f>
        <v>1854349.77572241</v>
      </c>
      <c r="C12" s="0" t="n">
        <f aca="false">-B12*$G$5</f>
        <v>-593391.928231172</v>
      </c>
      <c r="D12" s="0" t="n">
        <f aca="false">B12+C12</f>
        <v>1260957.84749124</v>
      </c>
    </row>
    <row r="13" customFormat="false" ht="15" hidden="false" customHeight="false" outlineLevel="0" collapsed="false">
      <c r="A13" s="0" t="s">
        <v>10</v>
      </c>
      <c r="B13" s="0" t="n">
        <f aca="false">SUM(B4:B12)</f>
        <v>13628340.8046189</v>
      </c>
      <c r="C13" s="0" t="n">
        <f aca="false">SUM(C4:C12)</f>
        <v>-4361069.05747805</v>
      </c>
      <c r="D13" s="0" t="n">
        <f aca="false">SUM(D4:D12)</f>
        <v>267271.747140847</v>
      </c>
    </row>
    <row r="15" customFormat="false" ht="15" hidden="false" customHeight="false" outlineLevel="0" collapsed="false">
      <c r="A15" s="0" t="s">
        <v>11</v>
      </c>
      <c r="B15" s="1" t="n">
        <f aca="false">IRR(D4:D12)</f>
        <v>0.0063641768805869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2026-10-18T13:52:56Z</dcterms:created>
  <dc:creator>openpyxl</dc:creator>
  <dc:description/>
  <dc:language>en-US</dc:language>
  <cp:lastModifiedBy/>
  <dcterms:modified xsi:type="dcterms:W3CDTF">2026-10-18T13:52:56Z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