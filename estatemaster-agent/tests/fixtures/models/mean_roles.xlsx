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CEDAR PARK – ROLES (USD)</t>
        </is>
      </c>
    </row>
    <row r="2">
      <c r="A2" t="inlineStr">
        <is>
          <t>Purchase price</t>
        </is>
      </c>
      <c r="B2" t="n">
        <v>50000000</v>
      </c>
    </row>
    <row r="3">
      <c r="A3" t="inlineStr">
        <is>
          <t>NOI yield on cost</t>
        </is>
      </c>
      <c r="B3" t="n">
        <v>0.08</v>
      </c>
    </row>
    <row r="4">
      <c r="A4" t="inlineStr">
        <is>
          <t>GFA</t>
        </is>
      </c>
      <c r="B4" t="n">
        <v>10000</v>
      </c>
    </row>
    <row r="5">
      <c r="A5" t="inlineStr">
        <is>
          <t>Fit-out cost per sqm</t>
        </is>
      </c>
      <c r="B5" t="n">
        <v>500</v>
      </c>
    </row>
    <row r="6">
      <c r="A6" t="inlineStr">
        <is>
          <t>Rent uplift</t>
        </is>
      </c>
      <c r="B6" t="n">
        <v>300000</v>
      </c>
    </row>
    <row r="7">
      <c r="A7" t="inlineStr">
        <is>
          <t>Exit yield</t>
        </is>
      </c>
      <c r="B7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NOI</t>
        </is>
      </c>
      <c r="B2">
        <f>0</f>
        <v/>
      </c>
      <c r="C2">
        <f>Inputs!$B$2*Inputs!$B$3</f>
        <v/>
      </c>
      <c r="D2">
        <f>Inputs!$B$2*Inputs!$B$3</f>
        <v/>
      </c>
      <c r="E2">
        <f>Inputs!$B$2*Inputs!$B$3</f>
        <v/>
      </c>
      <c r="F2">
        <f>Inputs!$B$2*Inputs!$B$3</f>
        <v/>
      </c>
      <c r="G2">
        <f>Inputs!$B$2*Inputs!$B$3</f>
        <v/>
      </c>
    </row>
    <row r="3">
      <c r="A3" t="inlineStr">
        <is>
          <t>Fit-out</t>
        </is>
      </c>
      <c r="B3">
        <f>-Inputs!$B$4*Inputs!$B$5</f>
        <v/>
      </c>
      <c r="C3">
        <f>0</f>
        <v/>
      </c>
      <c r="D3">
        <f>0</f>
        <v/>
      </c>
      <c r="E3">
        <f>0</f>
        <v/>
      </c>
      <c r="F3">
        <f>0</f>
        <v/>
      </c>
      <c r="G3">
        <f>0</f>
        <v/>
      </c>
    </row>
    <row r="4">
      <c r="A4" t="inlineStr">
        <is>
          <t>Rent uplift</t>
        </is>
      </c>
      <c r="B4">
        <f>0</f>
        <v/>
      </c>
      <c r="C4">
        <f>-Inputs!$B$6</f>
        <v/>
      </c>
      <c r="D4">
        <f>-Inputs!$B$6</f>
        <v/>
      </c>
      <c r="E4">
        <f>-Inputs!$B$6</f>
        <v/>
      </c>
      <c r="F4">
        <f>-Inputs!$B$6</f>
        <v/>
      </c>
      <c r="G4">
        <f>-Inputs!$B$6</f>
        <v/>
      </c>
    </row>
    <row r="5">
      <c r="A5" t="inlineStr">
        <is>
          <t>Net cash flow</t>
        </is>
      </c>
      <c r="B5">
        <f>IF(B1=0,-Inputs!$B$2,0)+B2+B3+B4+IF(B1=5,B2/Inputs!$B$7,0)</f>
        <v/>
      </c>
      <c r="C5">
        <f>IF(C1=0,-Inputs!$B$2,0)+C2+C3+C4+IF(C1=5,C2/Inputs!$B$7,0)</f>
        <v/>
      </c>
      <c r="D5">
        <f>IF(D1=0,-Inputs!$B$2,0)+D2+D3+D4+IF(D1=5,D2/Inputs!$B$7,0)</f>
        <v/>
      </c>
      <c r="E5">
        <f>IF(E1=0,-Inputs!$B$2,0)+E2+E3+E4+IF(E1=5,E2/Inputs!$B$7,0)</f>
        <v/>
      </c>
      <c r="F5">
        <f>IF(F1=0,-Inputs!$B$2,0)+F2+F3+F4+IF(F1=5,F2/Inputs!$B$7,0)</f>
        <v/>
      </c>
      <c r="G5">
        <f>IF(G1=0,-Inputs!$B$2,0)+G2+G3+G4+IF(G1=5,G2/Inputs!$B$7,0)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IRR('Cash Flow'!B5:G5)</f>
        <v/>
      </c>
    </row>
    <row r="2">
      <c r="A2" t="inlineStr">
        <is>
          <t>Net profit</t>
        </is>
      </c>
      <c r="B2">
        <f>SUM('Cash Flow'!B5:G5)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2026-10-24T11:34:00Z</dcterms:created>
  <dcterms:modified xsi:type="dcterms:W3CDTF">2026-10-24T11:34:00Z</dcterms:modified>
</cp:coreProperties>
</file>