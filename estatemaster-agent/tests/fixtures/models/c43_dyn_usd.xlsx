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eases" sheetId="2" state="visible" r:id="rId2"/>
    <sheet name="Cash Flow" sheetId="3" state="visible" r:id="rId3"/>
    <sheet name="Returns" sheetId="4" state="visible" r:id="rId4"/>
  </sheets>
  <definedNames>
    <definedName name="DiscRate">Inputs!$B$5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Leases" displayName="Leases" ref="A1:D6" headerRowCount="1">
  <autoFilter ref="A1:D6"/>
  <tableColumns count="4">
    <tableColumn id="1" name="Tenant"/>
    <tableColumn id="2" name="Area"/>
    <tableColumn id="3" name="Rent psm"/>
    <tableColumn id="4" name="Start year"/>
  </tableColumns>
  <tableStyleInfo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HARBOUR LEASE-UP – EXCEL 365 (USD)</t>
        </is>
      </c>
    </row>
    <row r="2">
      <c r="A2" t="inlineStr">
        <is>
          <t>Purchase price</t>
        </is>
      </c>
      <c r="B2" t="n">
        <v>60000000</v>
      </c>
    </row>
    <row r="3">
      <c r="A3" t="inlineStr">
        <is>
          <t>Rent growth</t>
        </is>
      </c>
      <c r="B3" t="n">
        <v>0.025</v>
      </c>
    </row>
    <row r="4">
      <c r="A4" t="inlineStr">
        <is>
          <t>Exit yield</t>
        </is>
      </c>
      <c r="B4" t="n">
        <v>0.065</v>
      </c>
    </row>
    <row r="5">
      <c r="A5" t="inlineStr">
        <is>
          <t>Discount rate</t>
        </is>
      </c>
      <c r="B5" t="n">
        <v>0.09</v>
      </c>
    </row>
    <row r="6">
      <c r="A6" t="inlineStr">
        <is>
          <t>Hold (years)</t>
        </is>
      </c>
      <c r="B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Area</t>
        </is>
      </c>
      <c r="C1" t="inlineStr">
        <is>
          <t>Rent psm</t>
        </is>
      </c>
      <c r="D1" t="inlineStr">
        <is>
          <t>Start year</t>
        </is>
      </c>
    </row>
    <row r="2">
      <c r="A2" t="inlineStr">
        <is>
          <t>Anchor</t>
        </is>
      </c>
      <c r="B2" t="n">
        <v>12000</v>
      </c>
      <c r="C2" t="n">
        <v>180</v>
      </c>
      <c r="D2" t="n">
        <v>1</v>
      </c>
    </row>
    <row r="3">
      <c r="A3" t="inlineStr">
        <is>
          <t>Gym</t>
        </is>
      </c>
      <c r="B3" t="n">
        <v>3000</v>
      </c>
      <c r="C3" t="n">
        <v>150</v>
      </c>
      <c r="D3" t="n">
        <v>2</v>
      </c>
    </row>
    <row r="4">
      <c r="A4" t="inlineStr">
        <is>
          <t>Cafe</t>
        </is>
      </c>
      <c r="B4" t="n">
        <v>800</v>
      </c>
      <c r="C4" t="n">
        <v>320</v>
      </c>
      <c r="D4" t="n">
        <v>1</v>
      </c>
    </row>
    <row r="5">
      <c r="A5" t="inlineStr">
        <is>
          <t>Anchor</t>
        </is>
      </c>
      <c r="B5" t="n">
        <v>4000</v>
      </c>
      <c r="C5" t="n">
        <v>175</v>
      </c>
      <c r="D5" t="n">
        <v>3</v>
      </c>
    </row>
    <row r="6">
      <c r="A6" t="inlineStr">
        <is>
          <t>Clinic</t>
        </is>
      </c>
      <c r="B6" t="n">
        <v>2500</v>
      </c>
      <c r="C6" t="n">
        <v>210</v>
      </c>
      <c r="D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>
        <f>_xlfn.SEQUENCE(1,10)</f>
        <v/>
      </c>
    </row>
    <row r="2">
      <c r="A2" t="inlineStr">
        <is>
          <t>Date</t>
        </is>
      </c>
      <c r="B2">
        <f>DATE(2026+B1,12,31)</f>
        <v/>
      </c>
      <c r="C2">
        <f>DATE(2026+C1,12,31)</f>
        <v/>
      </c>
      <c r="D2">
        <f>DATE(2026+D1,12,31)</f>
        <v/>
      </c>
      <c r="E2">
        <f>DATE(2026+E1,12,31)</f>
        <v/>
      </c>
      <c r="F2">
        <f>DATE(2026+F1,12,31)</f>
        <v/>
      </c>
      <c r="G2">
        <f>DATE(2026+G1,12,31)</f>
        <v/>
      </c>
      <c r="H2">
        <f>DATE(2026+H1,12,31)</f>
        <v/>
      </c>
      <c r="I2">
        <f>DATE(2026+I1,12,31)</f>
        <v/>
      </c>
      <c r="J2">
        <f>DATE(2026+J1,12,31)</f>
        <v/>
      </c>
      <c r="K2">
        <f>DATE(2026+K1,12,31)</f>
        <v/>
      </c>
    </row>
    <row r="3">
      <c r="A3" t="inlineStr">
        <is>
          <t>Rent</t>
        </is>
      </c>
      <c r="B3">
        <f>SUMPRODUCT((Leases[Start year]&lt;=B1)*Leases[Area]*Leases[Rent psm])*(1+Inputs!$B$3)^(B1-1)</f>
        <v/>
      </c>
      <c r="C3">
        <f>SUMPRODUCT((Leases[Start year]&lt;=C1)*Leases[Area]*Leases[Rent psm])*(1+Inputs!$B$3)^(C1-1)</f>
        <v/>
      </c>
      <c r="D3">
        <f>SUMPRODUCT((Leases[Start year]&lt;=D1)*Leases[Area]*Leases[Rent psm])*(1+Inputs!$B$3)^(D1-1)</f>
        <v/>
      </c>
      <c r="E3">
        <f>SUMPRODUCT((Leases[Start year]&lt;=E1)*Leases[Area]*Leases[Rent psm])*(1+Inputs!$B$3)^(E1-1)</f>
        <v/>
      </c>
      <c r="F3">
        <f>SUMPRODUCT((Leases[Start year]&lt;=F1)*Leases[Area]*Leases[Rent psm])*(1+Inputs!$B$3)^(F1-1)</f>
        <v/>
      </c>
      <c r="G3">
        <f>SUMPRODUCT((Leases[Start year]&lt;=G1)*Leases[Area]*Leases[Rent psm])*(1+Inputs!$B$3)^(G1-1)</f>
        <v/>
      </c>
      <c r="H3">
        <f>SUMPRODUCT((Leases[Start year]&lt;=H1)*Leases[Area]*Leases[Rent psm])*(1+Inputs!$B$3)^(H1-1)</f>
        <v/>
      </c>
      <c r="I3">
        <f>SUMPRODUCT((Leases[Start year]&lt;=I1)*Leases[Area]*Leases[Rent psm])*(1+Inputs!$B$3)^(I1-1)</f>
        <v/>
      </c>
      <c r="J3">
        <f>SUMPRODUCT((Leases[Start year]&lt;=J1)*Leases[Area]*Leases[Rent psm])*(1+Inputs!$B$3)^(J1-1)</f>
        <v/>
      </c>
      <c r="K3">
        <f>SUMPRODUCT((Leases[Start year]&lt;=K1)*Leases[Area]*Leases[Rent psm])*(1+Inputs!$B$3)^(K1-1)</f>
        <v/>
      </c>
    </row>
    <row r="4">
      <c r="A4" t="inlineStr">
        <is>
          <t>Purchase and sale</t>
        </is>
      </c>
      <c r="B4">
        <f>IF(B1=1,-Inputs!$B$2,0)+IF(B1=Inputs!$B$6,B3*(1+Inputs!$B$3)/Inputs!$B$4,0)</f>
        <v/>
      </c>
      <c r="C4">
        <f>IF(C1=1,-Inputs!$B$2,0)+IF(C1=Inputs!$B$6,C3*(1+Inputs!$B$3)/Inputs!$B$4,0)</f>
        <v/>
      </c>
      <c r="D4">
        <f>IF(D1=1,-Inputs!$B$2,0)+IF(D1=Inputs!$B$6,D3*(1+Inputs!$B$3)/Inputs!$B$4,0)</f>
        <v/>
      </c>
      <c r="E4">
        <f>IF(E1=1,-Inputs!$B$2,0)+IF(E1=Inputs!$B$6,E3*(1+Inputs!$B$3)/Inputs!$B$4,0)</f>
        <v/>
      </c>
      <c r="F4">
        <f>IF(F1=1,-Inputs!$B$2,0)+IF(F1=Inputs!$B$6,F3*(1+Inputs!$B$3)/Inputs!$B$4,0)</f>
        <v/>
      </c>
      <c r="G4">
        <f>IF(G1=1,-Inputs!$B$2,0)+IF(G1=Inputs!$B$6,G3*(1+Inputs!$B$3)/Inputs!$B$4,0)</f>
        <v/>
      </c>
      <c r="H4">
        <f>IF(H1=1,-Inputs!$B$2,0)+IF(H1=Inputs!$B$6,H3*(1+Inputs!$B$3)/Inputs!$B$4,0)</f>
        <v/>
      </c>
      <c r="I4">
        <f>IF(I1=1,-Inputs!$B$2,0)+IF(I1=Inputs!$B$6,I3*(1+Inputs!$B$3)/Inputs!$B$4,0)</f>
        <v/>
      </c>
      <c r="J4">
        <f>IF(J1=1,-Inputs!$B$2,0)+IF(J1=Inputs!$B$6,J3*(1+Inputs!$B$3)/Inputs!$B$4,0)</f>
        <v/>
      </c>
      <c r="K4">
        <f>IF(K1=1,-Inputs!$B$2,0)+IF(K1=Inputs!$B$6,K3*(1+Inputs!$B$3)/Inputs!$B$4,0)</f>
        <v/>
      </c>
    </row>
    <row r="5">
      <c r="A5" t="inlineStr">
        <is>
          <t>Net cash flow</t>
        </is>
      </c>
      <c r="B5">
        <f>B3+B4</f>
        <v/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  <c r="H5">
        <f>H3+H4</f>
        <v/>
      </c>
      <c r="I5">
        <f>I3+I4</f>
        <v/>
      </c>
      <c r="J5">
        <f>J3+J4</f>
        <v/>
      </c>
      <c r="K5">
        <f>K3+K4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Flow'!B5:K5)</f>
        <v/>
      </c>
    </row>
    <row r="2">
      <c r="A2" t="inlineStr">
        <is>
          <t>NPV at the discount rate</t>
        </is>
      </c>
      <c r="B2">
        <f>XNPV(DiscRate,'Cash Flow'!B5:K5,'Cash Flow'!B2:K2)</f>
        <v/>
      </c>
    </row>
    <row r="3">
      <c r="A3" t="inlineStr">
        <is>
          <t>Net profit</t>
        </is>
      </c>
      <c r="B3">
        <f>SUM('Cash Flow'!B5:K5)</f>
        <v/>
      </c>
    </row>
    <row r="4">
      <c r="A4" t="inlineStr">
        <is>
          <t>Tenants</t>
        </is>
      </c>
      <c r="B4">
        <f>COUNTA(_xlfn.UNIQUE(Leases[Tenant]))</f>
        <v/>
      </c>
    </row>
    <row r="5">
      <c r="A5" t="inlineStr">
        <is>
          <t>Anchor area</t>
        </is>
      </c>
      <c r="B5">
        <f>SUM(_xlfn._xlws.FILTER(Leases[Area],Leases[Tenant]="Anchor"))</f>
        <v/>
      </c>
    </row>
    <row r="6">
      <c r="A6" t="inlineStr">
        <is>
          <t>Total area</t>
        </is>
      </c>
      <c r="B6">
        <f>SUM(Leases[Area])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2026-10-24T08:32:55Z</dcterms:created>
  <dcterms:modified xsi:type="dcterms:W3CDTF">2026-10-24T08:32:55Z</dcterms:modified>
</cp:coreProperties>
</file>