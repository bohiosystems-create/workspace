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emissas" sheetId="1" state="visible" r:id="rId3"/>
    <sheet name="Fluxo" sheetId="2" state="visible" r:id="rId4"/>
    <sheet name="Resultad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<sst xmlns="http://schemas.openxmlformats.org/spreadsheetml/2006/main" count="24" uniqueCount="24">
  <si>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SHOPPING VILA NOVA – ACQUISITION (BRL)</t>
  </si>
  <si>
    <t xml:space="preserve">Purchase price (R$)</t>
  </si>
  <si>
    <t xml:space="preserve">NOI year 1 (R$)</t>
  </si>
  <si>
    <t xml:space="preserve">IPCA</t>
  </si>
  <si>
    <t xml:space="preserve">Real rent growth</t>
  </si>
  <si>
    <t xml:space="preserve">SELIC</t>
  </si>
  <si>
    <t xml:space="preserve">Debt spread over SELIC</t>
  </si>
  <si>
    <t xml:space="preserve">LTV</t>
  </si>
  <si>
    <t xml:space="preserve">Exit cap rate</t>
  </si>
  <si>
    <t xml:space="preserve">Hold (years)</t>
  </si>
  <si>
    <t xml:space="preserve">Occupancy</t>
  </si>
  <si>
    <t xml:space="preserve">Year</t>
  </si>
  <si>
    <t xml:space="preserve">NOI</t>
  </si>
  <si>
    <t xml:space="preserve">Sale</t>
  </si>
  <si>
    <t xml:space="preserve">Purchase</t>
  </si>
  <si>
    <t xml:space="preserve">Unlevered</t>
  </si>
  <si>
    <t xml:space="preserve">Debt</t>
  </si>
  <si>
    <t xml:space="preserve">Levered</t>
  </si>
  <si>
    <t xml:space="preserve">Unlevered IRR</t>
  </si>
  <si>
    <t xml:space="preserve">Levered IRR</t>
  </si>
  <si>
    <t xml:space="preserve">Net profit</t>
  </si>
  <si>
    <t xml:space="preserve">Real unlevered IRR (over IPCA)</t>
  </si>
  <si>
    <t xml:space="preserve">Going-in cap rate</t>
  </si>
  <si>
    <t xml:space="preserve">Equity multiple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</si>
</sst>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%"/>
    <numFmt numFmtId="167" formatCode="0"/>
    <numFmt numFmtId="168" formatCode="0.00\x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620000000</v>
      </c>
    </row>
    <row r="4" customFormat="false" ht="15" hidden="false" customHeight="false" outlineLevel="0" collapsed="false">
      <c r="A4" s="0" t="s">
        <v>2</v>
      </c>
      <c r="B4" s="1" t="n">
        <v>61000000</v>
      </c>
    </row>
    <row r="5" customFormat="false" ht="15" hidden="false" customHeight="false" outlineLevel="0" collapsed="false">
      <c r="A5" s="0" t="s">
        <v>3</v>
      </c>
      <c r="B5" s="2" t="n">
        <v>0.045</v>
      </c>
    </row>
    <row r="6" customFormat="false" ht="15" hidden="false" customHeight="false" outlineLevel="0" collapsed="false">
      <c r="A6" s="0" t="s">
        <v>4</v>
      </c>
      <c r="B6" s="2" t="n">
        <v>0.01</v>
      </c>
    </row>
    <row r="7" customFormat="false" ht="15" hidden="false" customHeight="false" outlineLevel="0" collapsed="false">
      <c r="A7" s="0" t="s">
        <v>5</v>
      </c>
      <c r="B7" s="2" t="n">
        <v>0.1125</v>
      </c>
    </row>
    <row r="8" customFormat="false" ht="15" hidden="false" customHeight="false" outlineLevel="0" collapsed="false">
      <c r="A8" s="0" t="s">
        <v>6</v>
      </c>
      <c r="B8" s="2" t="n">
        <v>0.018</v>
      </c>
    </row>
    <row r="9" customFormat="false" ht="15" hidden="false" customHeight="false" outlineLevel="0" collapsed="false">
      <c r="A9" s="0" t="s">
        <v>7</v>
      </c>
      <c r="B9" s="2" t="n">
        <v>0.45</v>
      </c>
    </row>
    <row r="10" customFormat="false" ht="15" hidden="false" customHeight="false" outlineLevel="0" collapsed="false">
      <c r="A10" s="0" t="s">
        <v>8</v>
      </c>
      <c r="B10" s="2" t="n">
        <v>0.095</v>
      </c>
    </row>
    <row r="11" customFormat="false" ht="15" hidden="false" customHeight="false" outlineLevel="0" collapsed="false">
      <c r="A11" s="0" t="s">
        <v>9</v>
      </c>
      <c r="B11" s="3" t="n">
        <v>7</v>
      </c>
    </row>
    <row r="12" customFormat="false" ht="15" hidden="false" customHeight="false" outlineLevel="0" collapsed="false">
      <c r="A12" s="0" t="s">
        <v>10</v>
      </c>
      <c r="B12" s="2" t="n">
        <v>0.94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11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</row>
    <row r="4" customFormat="false" ht="15" hidden="false" customHeight="false" outlineLevel="0" collapsed="false">
      <c r="A4" s="0" t="s">
        <v>12</v>
      </c>
      <c r="B4" s="0" t="n">
        <f aca="false">(B$3&gt;=1)*(B$3&lt;=Premissas!$B$11)*Premissas!$B$4*Premissas!$B$12/0.94*((1+Premissas!$B$5)*(1+Premissas!$B$6))^MAX(0,B$3-1)</f>
        <v>0</v>
      </c>
      <c r="C4" s="0" t="n">
        <f aca="false">(C$3&gt;=1)*(C$3&lt;=Premissas!$B$11)*Premissas!$B$4*Premissas!$B$12/0.94*((1+Premissas!$B$5)*(1+Premissas!$B$6))^MAX(0,C$3-1)</f>
        <v>61000000</v>
      </c>
      <c r="D4" s="0" t="n">
        <f aca="false">(D$3&gt;=1)*(D$3&lt;=Premissas!$B$11)*Premissas!$B$4*Premissas!$B$12/0.94*((1+Premissas!$B$5)*(1+Premissas!$B$6))^MAX(0,D$3-1)</f>
        <v>64382450</v>
      </c>
      <c r="E4" s="0" t="n">
        <f aca="false">(E$3&gt;=1)*(E$3&lt;=Premissas!$B$11)*Premissas!$B$4*Premissas!$B$12/0.94*((1+Premissas!$B$5)*(1+Premissas!$B$6))^MAX(0,E$3-1)</f>
        <v>67952456.8525</v>
      </c>
      <c r="F4" s="0" t="n">
        <f aca="false">(F$3&gt;=1)*(F$3&lt;=Premissas!$B$11)*Premissas!$B$4*Premissas!$B$12/0.94*((1+Premissas!$B$5)*(1+Premissas!$B$6))^MAX(0,F$3-1)</f>
        <v>71720420.5849711</v>
      </c>
      <c r="G4" s="0" t="n">
        <f aca="false">(G$3&gt;=1)*(G$3&lt;=Premissas!$B$11)*Premissas!$B$4*Premissas!$B$12/0.94*((1+Premissas!$B$5)*(1+Premissas!$B$6))^MAX(0,G$3-1)</f>
        <v>75697317.9064078</v>
      </c>
      <c r="H4" s="0" t="n">
        <f aca="false">(H$3&gt;=1)*(H$3&lt;=Premissas!$B$11)*Premissas!$B$4*Premissas!$B$12/0.94*((1+Premissas!$B$5)*(1+Premissas!$B$6))^MAX(0,H$3-1)</f>
        <v>79894734.1843181</v>
      </c>
      <c r="I4" s="0" t="n">
        <f aca="false">(I$3&gt;=1)*(I$3&lt;=Premissas!$B$11)*Premissas!$B$4*Premissas!$B$12/0.94*((1+Premissas!$B$5)*(1+Premissas!$B$6))^MAX(0,I$3-1)</f>
        <v>84324897.1948385</v>
      </c>
      <c r="J4" s="0" t="n">
        <f aca="false">(J$3&gt;=1)*(J$3&lt;=Premissas!$B$11)*Premissas!$B$4*Premissas!$B$12/0.94*((1+Premissas!$B$5)*(1+Premissas!$B$6))^MAX(0,J$3-1)</f>
        <v>0</v>
      </c>
    </row>
    <row r="5" customFormat="false" ht="15" hidden="false" customHeight="false" outlineLevel="0" collapsed="false">
      <c r="A5" s="0" t="s">
        <v>13</v>
      </c>
      <c r="B5" s="0" t="n">
        <f aca="false">IF(B$3=Premissas!$B$11,B4*(1+Premissas!$B$5)/Premissas!$B$10,0)</f>
        <v>0</v>
      </c>
      <c r="C5" s="0" t="n">
        <f aca="false">IF(C$3=Premissas!$B$11,C4*(1+Premissas!$B$5)/Premissas!$B$10,0)</f>
        <v>0</v>
      </c>
      <c r="D5" s="0" t="n">
        <f aca="false">IF(D$3=Premissas!$B$11,D4*(1+Premissas!$B$5)/Premissas!$B$10,0)</f>
        <v>0</v>
      </c>
      <c r="E5" s="0" t="n">
        <f aca="false">IF(E$3=Premissas!$B$11,E4*(1+Premissas!$B$5)/Premissas!$B$10,0)</f>
        <v>0</v>
      </c>
      <c r="F5" s="0" t="n">
        <f aca="false">IF(F$3=Premissas!$B$11,F4*(1+Premissas!$B$5)/Premissas!$B$10,0)</f>
        <v>0</v>
      </c>
      <c r="G5" s="0" t="n">
        <f aca="false">IF(G$3=Premissas!$B$11,G4*(1+Premissas!$B$5)/Premissas!$B$10,0)</f>
        <v>0</v>
      </c>
      <c r="H5" s="0" t="n">
        <f aca="false">IF(H$3=Premissas!$B$11,H4*(1+Premissas!$B$5)/Premissas!$B$10,0)</f>
        <v>0</v>
      </c>
      <c r="I5" s="0" t="n">
        <f aca="false">IF(I$3=Premissas!$B$11,I4*(1+Premissas!$B$5)/Premissas!$B$10,0)</f>
        <v>927573869.143224</v>
      </c>
      <c r="J5" s="0" t="n">
        <f aca="false">IF(J$3=Premissas!$B$11,J4*(1+Premissas!$B$5)/Premissas!$B$10,0)</f>
        <v>0</v>
      </c>
    </row>
    <row r="6" customFormat="false" ht="15" hidden="false" customHeight="false" outlineLevel="0" collapsed="false">
      <c r="A6" s="0" t="s">
        <v>14</v>
      </c>
      <c r="B6" s="0" t="n">
        <f aca="false">IF(B$3=0,-Premissas!$B$3,0)</f>
        <v>-620000000</v>
      </c>
      <c r="C6" s="0" t="n">
        <f aca="false">IF(C$3=0,-Premissas!$B$3,0)</f>
        <v>0</v>
      </c>
      <c r="D6" s="0" t="n">
        <f aca="false">IF(D$3=0,-Premissas!$B$3,0)</f>
        <v>0</v>
      </c>
      <c r="E6" s="0" t="n">
        <f aca="false">IF(E$3=0,-Premissas!$B$3,0)</f>
        <v>0</v>
      </c>
      <c r="F6" s="0" t="n">
        <f aca="false">IF(F$3=0,-Premissas!$B$3,0)</f>
        <v>0</v>
      </c>
      <c r="G6" s="0" t="n">
        <f aca="false">IF(G$3=0,-Premissas!$B$3,0)</f>
        <v>0</v>
      </c>
      <c r="H6" s="0" t="n">
        <f aca="false">IF(H$3=0,-Premissas!$B$3,0)</f>
        <v>0</v>
      </c>
      <c r="I6" s="0" t="n">
        <f aca="false">IF(I$3=0,-Premissas!$B$3,0)</f>
        <v>0</v>
      </c>
      <c r="J6" s="0" t="n">
        <f aca="false">IF(J$3=0,-Premissas!$B$3,0)</f>
        <v>0</v>
      </c>
    </row>
    <row r="7" customFormat="false" ht="15" hidden="false" customHeight="false" outlineLevel="0" collapsed="false">
      <c r="A7" s="0" t="s">
        <v>15</v>
      </c>
      <c r="B7" s="0" t="n">
        <f aca="false">SUM(B4:B6)</f>
        <v>-620000000</v>
      </c>
      <c r="C7" s="0" t="n">
        <f aca="false">SUM(C4:C6)</f>
        <v>61000000</v>
      </c>
      <c r="D7" s="0" t="n">
        <f aca="false">SUM(D4:D6)</f>
        <v>64382450</v>
      </c>
      <c r="E7" s="0" t="n">
        <f aca="false">SUM(E4:E6)</f>
        <v>67952456.8525</v>
      </c>
      <c r="F7" s="0" t="n">
        <f aca="false">SUM(F4:F6)</f>
        <v>71720420.5849711</v>
      </c>
      <c r="G7" s="0" t="n">
        <f aca="false">SUM(G4:G6)</f>
        <v>75697317.9064078</v>
      </c>
      <c r="H7" s="0" t="n">
        <f aca="false">SUM(H4:H6)</f>
        <v>79894734.1843181</v>
      </c>
      <c r="I7" s="0" t="n">
        <f aca="false">SUM(I4:I6)</f>
        <v>1011898766.33806</v>
      </c>
      <c r="J7" s="0" t="n">
        <f aca="false">SUM(J4:J6)</f>
        <v>0</v>
      </c>
    </row>
    <row r="8" customFormat="false" ht="15" hidden="false" customHeight="false" outlineLevel="0" collapsed="false">
      <c r="A8" s="0" t="s">
        <v>16</v>
      </c>
      <c r="B8" s="0" t="n">
        <f aca="false">IF(B$3=0,Premissas!$B$3*Premissas!$B$9,0)-(B$3&gt;=1)*(B$3&lt;=Premissas!$B$11)*Premissas!$B$3*Premissas!$B$9*(Premissas!$B$7+Premissas!$B$8)-IF(B$3=Premissas!$B$11,Premissas!$B$3*Premissas!$B$9,0)</f>
        <v>279000000</v>
      </c>
      <c r="C8" s="0" t="n">
        <f aca="false">IF(C$3=0,Premissas!$B$3*Premissas!$B$9,0)-(C$3&gt;=1)*(C$3&lt;=Premissas!$B$11)*Premissas!$B$3*Premissas!$B$9*(Premissas!$B$7+Premissas!$B$8)-IF(C$3=Premissas!$B$11,Premissas!$B$3*Premissas!$B$9,0)</f>
        <v>-36409500</v>
      </c>
      <c r="D8" s="0" t="n">
        <f aca="false">IF(D$3=0,Premissas!$B$3*Premissas!$B$9,0)-(D$3&gt;=1)*(D$3&lt;=Premissas!$B$11)*Premissas!$B$3*Premissas!$B$9*(Premissas!$B$7+Premissas!$B$8)-IF(D$3=Premissas!$B$11,Premissas!$B$3*Premissas!$B$9,0)</f>
        <v>-36409500</v>
      </c>
      <c r="E8" s="0" t="n">
        <f aca="false">IF(E$3=0,Premissas!$B$3*Premissas!$B$9,0)-(E$3&gt;=1)*(E$3&lt;=Premissas!$B$11)*Premissas!$B$3*Premissas!$B$9*(Premissas!$B$7+Premissas!$B$8)-IF(E$3=Premissas!$B$11,Premissas!$B$3*Premissas!$B$9,0)</f>
        <v>-36409500</v>
      </c>
      <c r="F8" s="0" t="n">
        <f aca="false">IF(F$3=0,Premissas!$B$3*Premissas!$B$9,0)-(F$3&gt;=1)*(F$3&lt;=Premissas!$B$11)*Premissas!$B$3*Premissas!$B$9*(Premissas!$B$7+Premissas!$B$8)-IF(F$3=Premissas!$B$11,Premissas!$B$3*Premissas!$B$9,0)</f>
        <v>-36409500</v>
      </c>
      <c r="G8" s="0" t="n">
        <f aca="false">IF(G$3=0,Premissas!$B$3*Premissas!$B$9,0)-(G$3&gt;=1)*(G$3&lt;=Premissas!$B$11)*Premissas!$B$3*Premissas!$B$9*(Premissas!$B$7+Premissas!$B$8)-IF(G$3=Premissas!$B$11,Premissas!$B$3*Premissas!$B$9,0)</f>
        <v>-36409500</v>
      </c>
      <c r="H8" s="0" t="n">
        <f aca="false">IF(H$3=0,Premissas!$B$3*Premissas!$B$9,0)-(H$3&gt;=1)*(H$3&lt;=Premissas!$B$11)*Premissas!$B$3*Premissas!$B$9*(Premissas!$B$7+Premissas!$B$8)-IF(H$3=Premissas!$B$11,Premissas!$B$3*Premissas!$B$9,0)</f>
        <v>-36409500</v>
      </c>
      <c r="I8" s="0" t="n">
        <f aca="false">IF(I$3=0,Premissas!$B$3*Premissas!$B$9,0)-(I$3&gt;=1)*(I$3&lt;=Premissas!$B$11)*Premissas!$B$3*Premissas!$B$9*(Premissas!$B$7+Premissas!$B$8)-IF(I$3=Premissas!$B$11,Premissas!$B$3*Premissas!$B$9,0)</f>
        <v>-315409500</v>
      </c>
      <c r="J8" s="0" t="n">
        <f aca="false">IF(J$3=0,Premissas!$B$3*Premissas!$B$9,0)-(J$3&gt;=1)*(J$3&lt;=Premissas!$B$11)*Premissas!$B$3*Premissas!$B$9*(Premissas!$B$7+Premissas!$B$8)-IF(J$3=Premissas!$B$11,Premissas!$B$3*Premissas!$B$9,0)</f>
        <v>0</v>
      </c>
    </row>
    <row r="9" customFormat="false" ht="15" hidden="false" customHeight="false" outlineLevel="0" collapsed="false">
      <c r="A9" s="0" t="s">
        <v>17</v>
      </c>
      <c r="B9" s="0" t="n">
        <f aca="false">B7+B8</f>
        <v>-341000000</v>
      </c>
      <c r="C9" s="0" t="n">
        <f aca="false">C7+C8</f>
        <v>24590500</v>
      </c>
      <c r="D9" s="0" t="n">
        <f aca="false">D7+D8</f>
        <v>27972950</v>
      </c>
      <c r="E9" s="0" t="n">
        <f aca="false">E7+E8</f>
        <v>31542956.8525</v>
      </c>
      <c r="F9" s="0" t="n">
        <f aca="false">F7+F8</f>
        <v>35310920.5849711</v>
      </c>
      <c r="G9" s="0" t="n">
        <f aca="false">G7+G8</f>
        <v>39287817.9064078</v>
      </c>
      <c r="H9" s="0" t="n">
        <f aca="false">H7+H8</f>
        <v>43485234.1843181</v>
      </c>
      <c r="I9" s="0" t="n">
        <f aca="false">I7+I8</f>
        <v>696489266.338062</v>
      </c>
      <c r="J9" s="0" t="n">
        <f aca="false">J7+J8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18</v>
      </c>
      <c r="B3" s="2" t="n">
        <f aca="false">IRR(Fluxo!B7:J7)</f>
        <v>0.156698354857394</v>
      </c>
    </row>
    <row r="4" customFormat="false" ht="15" hidden="false" customHeight="false" outlineLevel="0" collapsed="false">
      <c r="A4" s="0" t="s">
        <v>19</v>
      </c>
      <c r="B4" s="2" t="n">
        <f aca="false">IRR(Fluxo!B9:J9)</f>
        <v>0.173486093372007</v>
      </c>
    </row>
    <row r="5" customFormat="false" ht="15" hidden="false" customHeight="false" outlineLevel="0" collapsed="false">
      <c r="A5" s="0" t="s">
        <v>20</v>
      </c>
      <c r="B5" s="1" t="n">
        <f aca="false">SUM(Fluxo!B7:J7)</f>
        <v>812546145.866259</v>
      </c>
    </row>
    <row r="6" customFormat="false" ht="15" hidden="false" customHeight="false" outlineLevel="0" collapsed="false">
      <c r="A6" s="0" t="s">
        <v>21</v>
      </c>
      <c r="B6" s="2" t="n">
        <f aca="false">(1+B3)/(1+Premissas!$B$5)-1</f>
        <v>0.106888377853965</v>
      </c>
    </row>
    <row r="7" customFormat="false" ht="15" hidden="false" customHeight="false" outlineLevel="0" collapsed="false">
      <c r="A7" s="0" t="s">
        <v>22</v>
      </c>
      <c r="B7" s="2" t="n">
        <f aca="false">Premissas!$B$4/Premissas!$B$3</f>
        <v>0.0983870967741936</v>
      </c>
    </row>
    <row r="8" customFormat="false" ht="15" hidden="false" customHeight="false" outlineLevel="0" collapsed="false">
      <c r="A8" s="0" t="s">
        <v>23</v>
      </c>
      <c r="B8" s="4" t="n">
        <f aca="false">SUMIF(Fluxo!B9:J9,"&gt;0")/-SUMIF(Fluxo!B9:J9,"&lt;0")</f>
        <v>2.63542418142598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2026-10-17T06:30:11Z</dcterms:created>
  <dc:creator>openpyxl</dc:creator>
  <dc:description/>
  <dc:language>en-US</dc:language>
  <cp:lastModifiedBy/>
  <dcterms:modified xsi:type="dcterms:W3CDTF">2026-10-17T06:30:11Z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