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Debt" sheetId="2" state="visible" r:id="rId4"/>
    <sheet name="KP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<sst xmlns="http://schemas.openxmlformats.org/spreadsheetml/2006/main" count="31" uniqueCount="31">
  <si>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ZÜRICH NORD LOGISTICS – REFINANCING (CHF)</t>
  </si>
  <si>
    <t xml:space="preserve">Source / note</t>
  </si>
  <si>
    <t xml:space="preserve">Net operating income (CHF p.a.)</t>
  </si>
  <si>
    <t xml:space="preserve">2025 actual 9,260,000</t>
  </si>
  <si>
    <t xml:space="preserve">Valuation (CHF)</t>
  </si>
  <si>
    <t xml:space="preserve">Wüest 2026</t>
  </si>
  <si>
    <t xml:space="preserve">Target LTV</t>
  </si>
  <si>
    <t xml:space="preserve">SARON</t>
  </si>
  <si>
    <t xml:space="preserve">SNB, 0.75</t>
  </si>
  <si>
    <t xml:space="preserve">Credit margin (bps)</t>
  </si>
  <si>
    <t xml:space="preserve">term sheet 165</t>
  </si>
  <si>
    <t xml:space="preserve">Swap cost (bps)</t>
  </si>
  <si>
    <t xml:space="preserve">Amortisation (% p.a.)</t>
  </si>
  <si>
    <t xml:space="preserve">NOI growth</t>
  </si>
  <si>
    <t xml:space="preserve">Exit yield</t>
  </si>
  <si>
    <t xml:space="preserve">Hold (years)</t>
  </si>
  <si>
    <t xml:space="preserve">Year</t>
  </si>
  <si>
    <t xml:space="preserve">NOI</t>
  </si>
  <si>
    <t xml:space="preserve">Loan balance</t>
  </si>
  <si>
    <t xml:space="preserve">Interest</t>
  </si>
  <si>
    <t xml:space="preserve">Amortisation</t>
  </si>
  <si>
    <t xml:space="preserve">Debt service</t>
  </si>
  <si>
    <t xml:space="preserve">DSCR</t>
  </si>
  <si>
    <t xml:space="preserve">ICR</t>
  </si>
  <si>
    <t xml:space="preserve">Equity cash flow</t>
  </si>
  <si>
    <t xml:space="preserve">Levered IRR</t>
  </si>
  <si>
    <t xml:space="preserve">Minimum DSCR</t>
  </si>
  <si>
    <t xml:space="preserve">Minimum ICR</t>
  </si>
  <si>
    <t xml:space="preserve">All-in interest rate</t>
  </si>
  <si>
    <t xml:space="preserve">Equity multiple</t>
  </si>
  <si>
    <t xml:space="preserve">Net profit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</si>
</sst>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"/>
    <numFmt numFmtId="168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C2" s="0" t="s">
        <v>1</v>
      </c>
    </row>
    <row r="3" customFormat="false" ht="15" hidden="false" customHeight="false" outlineLevel="0" collapsed="false">
      <c r="A3" s="0" t="s">
        <v>2</v>
      </c>
      <c r="B3" s="1" t="n">
        <v>9400000</v>
      </c>
      <c r="C3" s="2" t="s">
        <v>3</v>
      </c>
    </row>
    <row r="4" customFormat="false" ht="15" hidden="false" customHeight="false" outlineLevel="0" collapsed="false">
      <c r="A4" s="0" t="s">
        <v>4</v>
      </c>
      <c r="B4" s="1" t="n">
        <v>212000000</v>
      </c>
      <c r="C4" s="2" t="s">
        <v>5</v>
      </c>
    </row>
    <row r="5" customFormat="false" ht="15" hidden="false" customHeight="false" outlineLevel="0" collapsed="false">
      <c r="A5" s="0" t="s">
        <v>6</v>
      </c>
      <c r="B5" s="3" t="n">
        <v>0.55</v>
      </c>
    </row>
    <row r="6" customFormat="false" ht="15" hidden="false" customHeight="false" outlineLevel="0" collapsed="false">
      <c r="A6" s="0" t="s">
        <v>7</v>
      </c>
      <c r="B6" s="3" t="n">
        <v>0.0075</v>
      </c>
      <c r="C6" s="2" t="s">
        <v>8</v>
      </c>
    </row>
    <row r="7" customFormat="false" ht="15" hidden="false" customHeight="false" outlineLevel="0" collapsed="false">
      <c r="A7" s="0" t="s">
        <v>9</v>
      </c>
      <c r="B7" s="4" t="n">
        <v>165</v>
      </c>
      <c r="C7" s="2" t="s">
        <v>10</v>
      </c>
    </row>
    <row r="8" customFormat="false" ht="15" hidden="false" customHeight="false" outlineLevel="0" collapsed="false">
      <c r="A8" s="0" t="s">
        <v>11</v>
      </c>
      <c r="B8" s="4" t="n">
        <v>35</v>
      </c>
    </row>
    <row r="9" customFormat="false" ht="15" hidden="false" customHeight="false" outlineLevel="0" collapsed="false">
      <c r="A9" s="0" t="s">
        <v>12</v>
      </c>
      <c r="B9" s="3" t="n">
        <v>0.01</v>
      </c>
    </row>
    <row r="10" customFormat="false" ht="15" hidden="false" customHeight="false" outlineLevel="0" collapsed="false">
      <c r="A10" s="0" t="s">
        <v>13</v>
      </c>
      <c r="B10" s="3" t="n">
        <v>0.015</v>
      </c>
    </row>
    <row r="11" customFormat="false" ht="15" hidden="false" customHeight="false" outlineLevel="0" collapsed="false">
      <c r="A11" s="0" t="s">
        <v>14</v>
      </c>
      <c r="B11" s="3" t="n">
        <v>0.0425</v>
      </c>
    </row>
    <row r="12" customFormat="false" ht="15" hidden="false" customHeight="false" outlineLevel="0" collapsed="false">
      <c r="A12" s="0" t="s">
        <v>15</v>
      </c>
      <c r="B12" s="4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16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</row>
    <row r="4" customFormat="false" ht="15" hidden="false" customHeight="false" outlineLevel="0" collapsed="false">
      <c r="A4" s="0" t="s">
        <v>17</v>
      </c>
      <c r="B4" s="0" t="n">
        <f aca="false">IF(AND(B$3&gt;=1,B$3&lt;=Assumptions!$B$12),Assumptions!$B$3*(1+Assumptions!$B$10)^(B$3-1),0)</f>
        <v>0</v>
      </c>
      <c r="C4" s="0" t="n">
        <f aca="false">IF(AND(C$3&gt;=1,C$3&lt;=Assumptions!$B$12),Assumptions!$B$3*(1+Assumptions!$B$10)^(C$3-1),0)</f>
        <v>9400000</v>
      </c>
      <c r="D4" s="0" t="n">
        <f aca="false">IF(AND(D$3&gt;=1,D$3&lt;=Assumptions!$B$12),Assumptions!$B$3*(1+Assumptions!$B$10)^(D$3-1),0)</f>
        <v>9541000</v>
      </c>
      <c r="E4" s="0" t="n">
        <f aca="false">IF(AND(E$3&gt;=1,E$3&lt;=Assumptions!$B$12),Assumptions!$B$3*(1+Assumptions!$B$10)^(E$3-1),0)</f>
        <v>9684115</v>
      </c>
      <c r="F4" s="0" t="n">
        <f aca="false">IF(AND(F$3&gt;=1,F$3&lt;=Assumptions!$B$12),Assumptions!$B$3*(1+Assumptions!$B$10)^(F$3-1),0)</f>
        <v>9829376.725</v>
      </c>
      <c r="G4" s="0" t="n">
        <f aca="false">IF(AND(G$3&gt;=1,G$3&lt;=Assumptions!$B$12),Assumptions!$B$3*(1+Assumptions!$B$10)^(G$3-1),0)</f>
        <v>9976817.375875</v>
      </c>
      <c r="H4" s="0" t="n">
        <f aca="false">IF(AND(H$3&gt;=1,H$3&lt;=Assumptions!$B$12),Assumptions!$B$3*(1+Assumptions!$B$10)^(H$3-1),0)</f>
        <v>10126469.6365131</v>
      </c>
      <c r="I4" s="0" t="n">
        <f aca="false">IF(AND(I$3&gt;=1,I$3&lt;=Assumptions!$B$12),Assumptions!$B$3*(1+Assumptions!$B$10)^(I$3-1),0)</f>
        <v>10278366.6810608</v>
      </c>
      <c r="J4" s="0" t="n">
        <f aca="false">IF(AND(J$3&gt;=1,J$3&lt;=Assumptions!$B$12),Assumptions!$B$3*(1+Assumptions!$B$10)^(J$3-1),0)</f>
        <v>0</v>
      </c>
    </row>
    <row r="5" customFormat="false" ht="15" hidden="false" customHeight="false" outlineLevel="0" collapsed="false">
      <c r="A5" s="0" t="s">
        <v>18</v>
      </c>
      <c r="B5" s="0" t="n">
        <f aca="false">Assumptions!$B$4*Assumptions!$B$5</f>
        <v>116600000</v>
      </c>
      <c r="C5" s="0" t="n">
        <f aca="false">IF(C$3&gt;Assumptions!$B$12,0,B5-C7)</f>
        <v>115434000</v>
      </c>
      <c r="D5" s="0" t="n">
        <f aca="false">IF(D$3&gt;Assumptions!$B$12,0,C5-D7)</f>
        <v>114268000</v>
      </c>
      <c r="E5" s="0" t="n">
        <f aca="false">IF(E$3&gt;Assumptions!$B$12,0,D5-E7)</f>
        <v>113102000</v>
      </c>
      <c r="F5" s="0" t="n">
        <f aca="false">IF(F$3&gt;Assumptions!$B$12,0,E5-F7)</f>
        <v>111936000</v>
      </c>
      <c r="G5" s="0" t="n">
        <f aca="false">IF(G$3&gt;Assumptions!$B$12,0,F5-G7)</f>
        <v>110770000</v>
      </c>
      <c r="H5" s="0" t="n">
        <f aca="false">IF(H$3&gt;Assumptions!$B$12,0,G5-H7)</f>
        <v>109604000</v>
      </c>
      <c r="I5" s="0" t="n">
        <f aca="false">IF(I$3&gt;Assumptions!$B$12,0,H5-I7)</f>
        <v>108438000</v>
      </c>
      <c r="J5" s="0" t="n">
        <f aca="false">IF(J$3&gt;Assumptions!$B$12,0,I5-J7)</f>
        <v>0</v>
      </c>
    </row>
    <row r="6" customFormat="false" ht="15" hidden="false" customHeight="false" outlineLevel="0" collapsed="false">
      <c r="A6" s="0" t="s">
        <v>19</v>
      </c>
      <c r="B6" s="0" t="n">
        <f aca="false">0</f>
        <v>0</v>
      </c>
      <c r="C6" s="0" t="n">
        <f aca="false">IF(C$3&lt;=Assumptions!$B$12,B5*(Assumptions!$B$6+(Assumptions!$B$7+Assumptions!$B$8)/10000),0)</f>
        <v>3206500</v>
      </c>
      <c r="D6" s="0" t="n">
        <f aca="false">IF(D$3&lt;=Assumptions!$B$12,C5*(Assumptions!$B$6+(Assumptions!$B$7+Assumptions!$B$8)/10000),0)</f>
        <v>3174435</v>
      </c>
      <c r="E6" s="0" t="n">
        <f aca="false">IF(E$3&lt;=Assumptions!$B$12,D5*(Assumptions!$B$6+(Assumptions!$B$7+Assumptions!$B$8)/10000),0)</f>
        <v>3142370</v>
      </c>
      <c r="F6" s="0" t="n">
        <f aca="false">IF(F$3&lt;=Assumptions!$B$12,E5*(Assumptions!$B$6+(Assumptions!$B$7+Assumptions!$B$8)/10000),0)</f>
        <v>3110305</v>
      </c>
      <c r="G6" s="0" t="n">
        <f aca="false">IF(G$3&lt;=Assumptions!$B$12,F5*(Assumptions!$B$6+(Assumptions!$B$7+Assumptions!$B$8)/10000),0)</f>
        <v>3078240</v>
      </c>
      <c r="H6" s="0" t="n">
        <f aca="false">IF(H$3&lt;=Assumptions!$B$12,G5*(Assumptions!$B$6+(Assumptions!$B$7+Assumptions!$B$8)/10000),0)</f>
        <v>3046175</v>
      </c>
      <c r="I6" s="0" t="n">
        <f aca="false">IF(I$3&lt;=Assumptions!$B$12,H5*(Assumptions!$B$6+(Assumptions!$B$7+Assumptions!$B$8)/10000),0)</f>
        <v>3014110</v>
      </c>
      <c r="J6" s="0" t="n">
        <f aca="false">IF(J$3&lt;=Assumptions!$B$12,I5*(Assumptions!$B$6+(Assumptions!$B$7+Assumptions!$B$8)/10000),0)</f>
        <v>0</v>
      </c>
    </row>
    <row r="7" customFormat="false" ht="15" hidden="false" customHeight="false" outlineLevel="0" collapsed="false">
      <c r="A7" s="0" t="s">
        <v>20</v>
      </c>
      <c r="B7" s="0" t="n">
        <f aca="false">0</f>
        <v>0</v>
      </c>
      <c r="C7" s="0" t="n">
        <f aca="false">IF(C$3&lt;=Assumptions!$B$12,Assumptions!$B$4*Assumptions!$B$5*Assumptions!$B$9,0)</f>
        <v>1166000</v>
      </c>
      <c r="D7" s="0" t="n">
        <f aca="false">IF(D$3&lt;=Assumptions!$B$12,Assumptions!$B$4*Assumptions!$B$5*Assumptions!$B$9,0)</f>
        <v>1166000</v>
      </c>
      <c r="E7" s="0" t="n">
        <f aca="false">IF(E$3&lt;=Assumptions!$B$12,Assumptions!$B$4*Assumptions!$B$5*Assumptions!$B$9,0)</f>
        <v>1166000</v>
      </c>
      <c r="F7" s="0" t="n">
        <f aca="false">IF(F$3&lt;=Assumptions!$B$12,Assumptions!$B$4*Assumptions!$B$5*Assumptions!$B$9,0)</f>
        <v>1166000</v>
      </c>
      <c r="G7" s="0" t="n">
        <f aca="false">IF(G$3&lt;=Assumptions!$B$12,Assumptions!$B$4*Assumptions!$B$5*Assumptions!$B$9,0)</f>
        <v>1166000</v>
      </c>
      <c r="H7" s="0" t="n">
        <f aca="false">IF(H$3&lt;=Assumptions!$B$12,Assumptions!$B$4*Assumptions!$B$5*Assumptions!$B$9,0)</f>
        <v>1166000</v>
      </c>
      <c r="I7" s="0" t="n">
        <f aca="false">IF(I$3&lt;=Assumptions!$B$12,Assumptions!$B$4*Assumptions!$B$5*Assumptions!$B$9,0)</f>
        <v>1166000</v>
      </c>
      <c r="J7" s="0" t="n">
        <f aca="false">IF(J$3&lt;=Assumptions!$B$12,Assumptions!$B$4*Assumptions!$B$5*Assumptions!$B$9,0)</f>
        <v>0</v>
      </c>
    </row>
    <row r="8" customFormat="false" ht="15" hidden="false" customHeight="false" outlineLevel="0" collapsed="false">
      <c r="A8" s="0" t="s">
        <v>21</v>
      </c>
      <c r="B8" s="0" t="n">
        <f aca="false">B6+B7</f>
        <v>0</v>
      </c>
      <c r="C8" s="0" t="n">
        <f aca="false">C6+C7</f>
        <v>4372500</v>
      </c>
      <c r="D8" s="0" t="n">
        <f aca="false">D6+D7</f>
        <v>4340435</v>
      </c>
      <c r="E8" s="0" t="n">
        <f aca="false">E6+E7</f>
        <v>4308370</v>
      </c>
      <c r="F8" s="0" t="n">
        <f aca="false">F6+F7</f>
        <v>4276305</v>
      </c>
      <c r="G8" s="0" t="n">
        <f aca="false">G6+G7</f>
        <v>4244240</v>
      </c>
      <c r="H8" s="0" t="n">
        <f aca="false">H6+H7</f>
        <v>4212175</v>
      </c>
      <c r="I8" s="0" t="n">
        <f aca="false">I6+I7</f>
        <v>4180110</v>
      </c>
      <c r="J8" s="0" t="n">
        <f aca="false">J6+J7</f>
        <v>0</v>
      </c>
    </row>
    <row r="9" customFormat="false" ht="15" hidden="false" customHeight="false" outlineLevel="0" collapsed="false">
      <c r="A9" s="0" t="s">
        <v>22</v>
      </c>
      <c r="B9" s="0" t="str">
        <f aca="false">IF(B8&gt;0,B4/B8,"")</f>
        <v/>
      </c>
      <c r="C9" s="0" t="n">
        <f aca="false">IF(C8&gt;0,C4/C8,"")</f>
        <v>2.14979988564894</v>
      </c>
      <c r="D9" s="0" t="n">
        <f aca="false">IF(D8&gt;0,D4/D8,"")</f>
        <v>2.19816677360679</v>
      </c>
      <c r="E9" s="0" t="n">
        <f aca="false">IF(E8&gt;0,E4/E8,"")</f>
        <v>2.24774450662315</v>
      </c>
      <c r="F9" s="0" t="n">
        <f aca="false">IF(F8&gt;0,F4/F8,"")</f>
        <v>2.29856774130938</v>
      </c>
      <c r="G9" s="0" t="n">
        <f aca="false">IF(G8&gt;0,G4/G8,"")</f>
        <v>2.35067229371454</v>
      </c>
      <c r="H9" s="0" t="n">
        <f aca="false">IF(H8&gt;0,H4/H8,"")</f>
        <v>2.40409518515093</v>
      </c>
      <c r="I9" s="0" t="n">
        <f aca="false">IF(I8&gt;0,I4/I8,"")</f>
        <v>2.45887469015428</v>
      </c>
      <c r="J9" s="0" t="str">
        <f aca="false">IF(J8&gt;0,J4/J8,"")</f>
        <v/>
      </c>
    </row>
    <row r="10" customFormat="false" ht="15" hidden="false" customHeight="false" outlineLevel="0" collapsed="false">
      <c r="A10" s="0" t="s">
        <v>23</v>
      </c>
      <c r="B10" s="0" t="str">
        <f aca="false">IF(B6&gt;0,B4/B6,"")</f>
        <v/>
      </c>
      <c r="C10" s="0" t="n">
        <f aca="false">IF(C6&gt;0,C4/C6,"")</f>
        <v>2.93154529861219</v>
      </c>
      <c r="D10" s="0" t="n">
        <f aca="false">IF(D6&gt;0,D4/D6,"")</f>
        <v>3.00557422029432</v>
      </c>
      <c r="E10" s="0" t="n">
        <f aca="false">IF(E6&gt;0,E4/E6,"")</f>
        <v>3.08178699516607</v>
      </c>
      <c r="F10" s="0" t="n">
        <f aca="false">IF(F6&gt;0,F4/F6,"")</f>
        <v>3.16026136504298</v>
      </c>
      <c r="G10" s="0" t="n">
        <f aca="false">IF(G6&gt;0,G4/G6,"")</f>
        <v>3.24107846557611</v>
      </c>
      <c r="H10" s="0" t="n">
        <f aca="false">IF(H6&gt;0,H4/H6,"")</f>
        <v>3.32432300721827</v>
      </c>
      <c r="I10" s="0" t="n">
        <f aca="false">IF(I6&gt;0,I4/I6,"")</f>
        <v>3.41008346777683</v>
      </c>
      <c r="J10" s="0" t="str">
        <f aca="false">IF(J6&gt;0,J4/J6,"")</f>
        <v/>
      </c>
    </row>
    <row r="11" customFormat="false" ht="15" hidden="false" customHeight="false" outlineLevel="0" collapsed="false">
      <c r="A11" s="0" t="s">
        <v>24</v>
      </c>
      <c r="B11" s="0" t="n">
        <f aca="false">-Assumptions!$B$4*(1-Assumptions!$B$5)</f>
        <v>-95400000</v>
      </c>
      <c r="C11" s="0" t="n">
        <f aca="false">IF(C$3&lt;=Assumptions!$B$12,C4-C8,0)+IF(C$3=Assumptions!$B$12,C4*(1+Assumptions!$B$10)/Assumptions!$B$11-C5,0)</f>
        <v>5027500</v>
      </c>
      <c r="D11" s="0" t="n">
        <f aca="false">IF(D$3&lt;=Assumptions!$B$12,D4-D8,0)+IF(D$3=Assumptions!$B$12,D4*(1+Assumptions!$B$10)/Assumptions!$B$11-D5,0)</f>
        <v>5200565</v>
      </c>
      <c r="E11" s="0" t="n">
        <f aca="false">IF(E$3&lt;=Assumptions!$B$12,E4-E8,0)+IF(E$3=Assumptions!$B$12,E4*(1+Assumptions!$B$10)/Assumptions!$B$11-E5,0)</f>
        <v>5375745</v>
      </c>
      <c r="F11" s="0" t="n">
        <f aca="false">IF(F$3&lt;=Assumptions!$B$12,F4-F8,0)+IF(F$3=Assumptions!$B$12,F4*(1+Assumptions!$B$10)/Assumptions!$B$11-F5,0)</f>
        <v>5553071.725</v>
      </c>
      <c r="G11" s="0" t="n">
        <f aca="false">IF(G$3&lt;=Assumptions!$B$12,G4-G8,0)+IF(G$3=Assumptions!$B$12,G4*(1+Assumptions!$B$10)/Assumptions!$B$11-G5,0)</f>
        <v>5732577.375875</v>
      </c>
      <c r="H11" s="0" t="n">
        <f aca="false">IF(H$3&lt;=Assumptions!$B$12,H4-H8,0)+IF(H$3=Assumptions!$B$12,H4*(1+Assumptions!$B$10)/Assumptions!$B$11-H5,0)</f>
        <v>5914294.63651312</v>
      </c>
      <c r="I11" s="0" t="n">
        <f aca="false">IF(I$3&lt;=Assumptions!$B$12,I4-I8,0)+IF(I$3=Assumptions!$B$12,I4*(1+Assumptions!$B$10)/Assumptions!$B$11-I5,0)</f>
        <v>143131837.416984</v>
      </c>
      <c r="J11" s="0" t="n">
        <f aca="false">IF(J$3&lt;=Assumptions!$B$12,J4-J8,0)+IF(J$3=Assumptions!$B$12,J4*(1+Assumptions!$B$10)/Assumptions!$B$11-J5,0)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25</v>
      </c>
      <c r="B3" s="3" t="n">
        <f aca="false">IRR(Debt!$B$11:$J$11)</f>
        <v>0.103091619708369</v>
      </c>
    </row>
    <row r="4" customFormat="false" ht="15" hidden="false" customHeight="false" outlineLevel="0" collapsed="false">
      <c r="A4" s="0" t="s">
        <v>26</v>
      </c>
      <c r="B4" s="5" t="n">
        <f aca="false">MIN(Debt!$B$9:$J$9)</f>
        <v>2.14979988564894</v>
      </c>
    </row>
    <row r="5" customFormat="false" ht="15" hidden="false" customHeight="false" outlineLevel="0" collapsed="false">
      <c r="A5" s="0" t="s">
        <v>27</v>
      </c>
      <c r="B5" s="5" t="n">
        <f aca="false">MIN(Debt!$B$10:$J$10)</f>
        <v>2.93154529861219</v>
      </c>
    </row>
    <row r="6" customFormat="false" ht="15" hidden="false" customHeight="false" outlineLevel="0" collapsed="false">
      <c r="A6" s="0" t="s">
        <v>28</v>
      </c>
      <c r="B6" s="3" t="n">
        <f aca="false">(Assumptions!$B$6+(Assumptions!$B$7+Assumptions!$B$8)/10000)</f>
        <v>0.0275</v>
      </c>
    </row>
    <row r="7" customFormat="false" ht="15" hidden="false" customHeight="false" outlineLevel="0" collapsed="false">
      <c r="A7" s="0" t="s">
        <v>29</v>
      </c>
      <c r="B7" s="5" t="n">
        <f aca="false">SUMIF(Debt!$B$11:$J$11,"&gt;0")/-SUMIF(Debt!$B$11:$J$11,"&lt;0")</f>
        <v>1.84418858652381</v>
      </c>
    </row>
    <row r="8" customFormat="false" ht="15" hidden="false" customHeight="false" outlineLevel="0" collapsed="false">
      <c r="A8" s="0" t="s">
        <v>30</v>
      </c>
      <c r="B8" s="1" t="n">
        <f aca="false">SUM(Debt!$B$11:$J$11)</f>
        <v>80535591.1543719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2026-10-16T15:32:20Z</dcterms:created>
  <dc:creator>openpyxl</dc:creator>
  <dc:description/>
  <dc:language>en-US</dc:language>
  <cp:lastModifiedBy/>
  <dcterms:modified xsi:type="dcterms:W3CDTF">2026-10-16T15:32:20Z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