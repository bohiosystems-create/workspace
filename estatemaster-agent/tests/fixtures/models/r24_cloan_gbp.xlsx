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2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<sst xmlns="http://schemas.openxmlformats.org/spreadsheetml/2006/main" count="30" uniqueCount="29">
  <si>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ELM PARK – RESIDENTIAL WITH A CONSTRUCTION LOAN (GBP)</t>
  </si>
  <si>
    <t xml:space="preserve">Land (£)</t>
  </si>
  <si>
    <t xml:space="preserve">Build cost (£)</t>
  </si>
  <si>
    <t xml:space="preserve">Build (months)</t>
  </si>
  <si>
    <t xml:space="preserve">Loan to cost</t>
  </si>
  <si>
    <t xml:space="preserve">Interest rate</t>
  </si>
  <si>
    <t xml:space="preserve">Commitment fee on undrawn</t>
  </si>
  <si>
    <t xml:space="preserve">Arrangement fee</t>
  </si>
  <si>
    <t xml:space="preserve">Sales (£)</t>
  </si>
  <si>
    <t xml:space="preserve">Sales period (months)</t>
  </si>
  <si>
    <t xml:space="preserve">Month</t>
  </si>
  <si>
    <t xml:space="preserve">Build cost</t>
  </si>
  <si>
    <t xml:space="preserve">Land</t>
  </si>
  <si>
    <t xml:space="preserve">Interest</t>
  </si>
  <si>
    <t xml:space="preserve">Commitment fee</t>
  </si>
  <si>
    <t xml:space="preserve">Total cost</t>
  </si>
  <si>
    <t xml:space="preserve">Facility</t>
  </si>
  <si>
    <t xml:space="preserve">Loan drawn</t>
  </si>
  <si>
    <t xml:space="preserve">Loan balance</t>
  </si>
  <si>
    <t xml:space="preserve">Sales</t>
  </si>
  <si>
    <t xml:space="preserve">Repayment</t>
  </si>
  <si>
    <t xml:space="preserve">Equity cash flow</t>
  </si>
  <si>
    <t xml:space="preserve">Levered IRR</t>
  </si>
  <si>
    <t xml:space="preserve">Facility (£)</t>
  </si>
  <si>
    <t xml:space="preserve">Peak debt (£)</t>
  </si>
  <si>
    <t xml:space="preserve">Interest and fees capitalised (£)</t>
  </si>
  <si>
    <t xml:space="preserve">Total cost (£)</t>
  </si>
  <si>
    <t xml:space="preserve">Net profit (£)</t>
  </si>
  <si>
    <t xml:space="preserve">Profit on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</si>
</sst>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42000000</v>
      </c>
    </row>
    <row r="4" customFormat="false" ht="15" hidden="false" customHeight="false" outlineLevel="0" collapsed="false">
      <c r="A4" s="0" t="s">
        <v>2</v>
      </c>
      <c r="B4" s="1" t="n">
        <v>118000000</v>
      </c>
    </row>
    <row r="5" customFormat="false" ht="15" hidden="false" customHeight="false" outlineLevel="0" collapsed="false">
      <c r="A5" s="0" t="s">
        <v>3</v>
      </c>
      <c r="B5" s="2" t="n">
        <v>24</v>
      </c>
    </row>
    <row r="6" customFormat="false" ht="15" hidden="false" customHeight="false" outlineLevel="0" collapsed="false">
      <c r="A6" s="0" t="s">
        <v>4</v>
      </c>
      <c r="B6" s="3" t="n">
        <v>0.65</v>
      </c>
    </row>
    <row r="7" customFormat="false" ht="15" hidden="false" customHeight="false" outlineLevel="0" collapsed="false">
      <c r="A7" s="0" t="s">
        <v>5</v>
      </c>
      <c r="B7" s="3" t="n">
        <v>0.075</v>
      </c>
    </row>
    <row r="8" customFormat="false" ht="15" hidden="false" customHeight="false" outlineLevel="0" collapsed="false">
      <c r="A8" s="0" t="s">
        <v>6</v>
      </c>
      <c r="B8" s="3" t="n">
        <v>0.012</v>
      </c>
    </row>
    <row r="9" customFormat="false" ht="15" hidden="false" customHeight="false" outlineLevel="0" collapsed="false">
      <c r="A9" s="0" t="s">
        <v>7</v>
      </c>
      <c r="B9" s="3" t="n">
        <v>0.015</v>
      </c>
    </row>
    <row r="10" customFormat="false" ht="15" hidden="false" customHeight="false" outlineLevel="0" collapsed="false">
      <c r="A10" s="0" t="s">
        <v>8</v>
      </c>
      <c r="B10" s="1" t="n">
        <v>212000000</v>
      </c>
    </row>
    <row r="11" customFormat="false" ht="15" hidden="false" customHeight="false" outlineLevel="0" collapsed="false">
      <c r="A11" s="0" t="s">
        <v>9</v>
      </c>
      <c r="B11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10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</row>
    <row r="4" customFormat="false" ht="15" hidden="false" customHeight="false" outlineLevel="0" collapsed="false">
      <c r="A4" s="0" t="s">
        <v>11</v>
      </c>
      <c r="B4" s="0" t="n">
        <f aca="false">IF(AND(B$3&gt;=1,B$3&lt;=Inputs!$B$5),Inputs!$B$4/Inputs!$B$5,0)</f>
        <v>0</v>
      </c>
      <c r="C4" s="0" t="n">
        <f aca="false">IF(AND(C$3&gt;=1,C$3&lt;=Inputs!$B$5),Inputs!$B$4/Inputs!$B$5,0)</f>
        <v>4916666.66666667</v>
      </c>
      <c r="D4" s="0" t="n">
        <f aca="false">IF(AND(D$3&gt;=1,D$3&lt;=Inputs!$B$5),Inputs!$B$4/Inputs!$B$5,0)</f>
        <v>4916666.66666667</v>
      </c>
      <c r="E4" s="0" t="n">
        <f aca="false">IF(AND(E$3&gt;=1,E$3&lt;=Inputs!$B$5),Inputs!$B$4/Inputs!$B$5,0)</f>
        <v>4916666.66666667</v>
      </c>
      <c r="F4" s="0" t="n">
        <f aca="false">IF(AND(F$3&gt;=1,F$3&lt;=Inputs!$B$5),Inputs!$B$4/Inputs!$B$5,0)</f>
        <v>4916666.66666667</v>
      </c>
      <c r="G4" s="0" t="n">
        <f aca="false">IF(AND(G$3&gt;=1,G$3&lt;=Inputs!$B$5),Inputs!$B$4/Inputs!$B$5,0)</f>
        <v>4916666.66666667</v>
      </c>
      <c r="H4" s="0" t="n">
        <f aca="false">IF(AND(H$3&gt;=1,H$3&lt;=Inputs!$B$5),Inputs!$B$4/Inputs!$B$5,0)</f>
        <v>4916666.66666667</v>
      </c>
      <c r="I4" s="0" t="n">
        <f aca="false">IF(AND(I$3&gt;=1,I$3&lt;=Inputs!$B$5),Inputs!$B$4/Inputs!$B$5,0)</f>
        <v>4916666.66666667</v>
      </c>
      <c r="J4" s="0" t="n">
        <f aca="false">IF(AND(J$3&gt;=1,J$3&lt;=Inputs!$B$5),Inputs!$B$4/Inputs!$B$5,0)</f>
        <v>4916666.66666667</v>
      </c>
      <c r="K4" s="0" t="n">
        <f aca="false">IF(AND(K$3&gt;=1,K$3&lt;=Inputs!$B$5),Inputs!$B$4/Inputs!$B$5,0)</f>
        <v>4916666.66666667</v>
      </c>
      <c r="L4" s="0" t="n">
        <f aca="false">IF(AND(L$3&gt;=1,L$3&lt;=Inputs!$B$5),Inputs!$B$4/Inputs!$B$5,0)</f>
        <v>4916666.66666667</v>
      </c>
      <c r="M4" s="0" t="n">
        <f aca="false">IF(AND(M$3&gt;=1,M$3&lt;=Inputs!$B$5),Inputs!$B$4/Inputs!$B$5,0)</f>
        <v>4916666.66666667</v>
      </c>
      <c r="N4" s="0" t="n">
        <f aca="false">IF(AND(N$3&gt;=1,N$3&lt;=Inputs!$B$5),Inputs!$B$4/Inputs!$B$5,0)</f>
        <v>4916666.66666667</v>
      </c>
      <c r="O4" s="0" t="n">
        <f aca="false">IF(AND(O$3&gt;=1,O$3&lt;=Inputs!$B$5),Inputs!$B$4/Inputs!$B$5,0)</f>
        <v>4916666.66666667</v>
      </c>
      <c r="P4" s="0" t="n">
        <f aca="false">IF(AND(P$3&gt;=1,P$3&lt;=Inputs!$B$5),Inputs!$B$4/Inputs!$B$5,0)</f>
        <v>4916666.66666667</v>
      </c>
      <c r="Q4" s="0" t="n">
        <f aca="false">IF(AND(Q$3&gt;=1,Q$3&lt;=Inputs!$B$5),Inputs!$B$4/Inputs!$B$5,0)</f>
        <v>4916666.66666667</v>
      </c>
      <c r="R4" s="0" t="n">
        <f aca="false">IF(AND(R$3&gt;=1,R$3&lt;=Inputs!$B$5),Inputs!$B$4/Inputs!$B$5,0)</f>
        <v>4916666.66666667</v>
      </c>
      <c r="S4" s="0" t="n">
        <f aca="false">IF(AND(S$3&gt;=1,S$3&lt;=Inputs!$B$5),Inputs!$B$4/Inputs!$B$5,0)</f>
        <v>4916666.66666667</v>
      </c>
      <c r="T4" s="0" t="n">
        <f aca="false">IF(AND(T$3&gt;=1,T$3&lt;=Inputs!$B$5),Inputs!$B$4/Inputs!$B$5,0)</f>
        <v>4916666.66666667</v>
      </c>
      <c r="U4" s="0" t="n">
        <f aca="false">IF(AND(U$3&gt;=1,U$3&lt;=Inputs!$B$5),Inputs!$B$4/Inputs!$B$5,0)</f>
        <v>4916666.66666667</v>
      </c>
      <c r="V4" s="0" t="n">
        <f aca="false">IF(AND(V$3&gt;=1,V$3&lt;=Inputs!$B$5),Inputs!$B$4/Inputs!$B$5,0)</f>
        <v>4916666.66666667</v>
      </c>
      <c r="W4" s="0" t="n">
        <f aca="false">IF(AND(W$3&gt;=1,W$3&lt;=Inputs!$B$5),Inputs!$B$4/Inputs!$B$5,0)</f>
        <v>4916666.66666667</v>
      </c>
      <c r="X4" s="0" t="n">
        <f aca="false">IF(AND(X$3&gt;=1,X$3&lt;=Inputs!$B$5),Inputs!$B$4/Inputs!$B$5,0)</f>
        <v>4916666.66666667</v>
      </c>
      <c r="Y4" s="0" t="n">
        <f aca="false">IF(AND(Y$3&gt;=1,Y$3&lt;=Inputs!$B$5),Inputs!$B$4/Inputs!$B$5,0)</f>
        <v>4916666.66666667</v>
      </c>
      <c r="Z4" s="0" t="n">
        <f aca="false">IF(AND(Z$3&gt;=1,Z$3&lt;=Inputs!$B$5),Inputs!$B$4/Inputs!$B$5,0)</f>
        <v>4916666.66666667</v>
      </c>
      <c r="AA4" s="0" t="n">
        <f aca="false">IF(AND(AA$3&gt;=1,AA$3&lt;=Inputs!$B$5),Inputs!$B$4/Inputs!$B$5,0)</f>
        <v>0</v>
      </c>
      <c r="AB4" s="0" t="n">
        <f aca="false">IF(AND(AB$3&gt;=1,AB$3&lt;=Inputs!$B$5),Inputs!$B$4/Inputs!$B$5,0)</f>
        <v>0</v>
      </c>
      <c r="AC4" s="0" t="n">
        <f aca="false">IF(AND(AC$3&gt;=1,AC$3&lt;=Inputs!$B$5),Inputs!$B$4/Inputs!$B$5,0)</f>
        <v>0</v>
      </c>
      <c r="AD4" s="0" t="n">
        <f aca="false">IF(AND(AD$3&gt;=1,AD$3&lt;=Inputs!$B$5),Inputs!$B$4/Inputs!$B$5,0)</f>
        <v>0</v>
      </c>
      <c r="AE4" s="0" t="n">
        <f aca="false">IF(AND(AE$3&gt;=1,AE$3&lt;=Inputs!$B$5),Inputs!$B$4/Inputs!$B$5,0)</f>
        <v>0</v>
      </c>
      <c r="AF4" s="0" t="n">
        <f aca="false">IF(AND(AF$3&gt;=1,AF$3&lt;=Inputs!$B$5),Inputs!$B$4/Inputs!$B$5,0)</f>
        <v>0</v>
      </c>
      <c r="AG4" s="0" t="n">
        <f aca="false">IF(AND(AG$3&gt;=1,AG$3&lt;=Inputs!$B$5),Inputs!$B$4/Inputs!$B$5,0)</f>
        <v>0</v>
      </c>
      <c r="AH4" s="0" t="n">
        <f aca="false">IF(AND(AH$3&gt;=1,AH$3&lt;=Inputs!$B$5),Inputs!$B$4/Inputs!$B$5,0)</f>
        <v>0</v>
      </c>
      <c r="AI4" s="0" t="n">
        <f aca="false">IF(AND(AI$3&gt;=1,AI$3&lt;=Inputs!$B$5),Inputs!$B$4/Inputs!$B$5,0)</f>
        <v>0</v>
      </c>
      <c r="AJ4" s="0" t="n">
        <f aca="false">IF(AND(AJ$3&gt;=1,AJ$3&lt;=Inputs!$B$5),Inputs!$B$4/Inputs!$B$5,0)</f>
        <v>0</v>
      </c>
      <c r="AK4" s="0" t="n">
        <f aca="false">IF(AND(AK$3&gt;=1,AK$3&lt;=Inputs!$B$5),Inputs!$B$4/Inputs!$B$5,0)</f>
        <v>0</v>
      </c>
      <c r="AL4" s="0" t="n">
        <f aca="false">IF(AND(AL$3&gt;=1,AL$3&lt;=Inputs!$B$5),Inputs!$B$4/Inputs!$B$5,0)</f>
        <v>0</v>
      </c>
      <c r="AM4" s="0" t="n">
        <f aca="false">IF(AND(AM$3&gt;=1,AM$3&lt;=Inputs!$B$5),Inputs!$B$4/Inputs!$B$5,0)</f>
        <v>0</v>
      </c>
      <c r="AN4" s="0" t="n">
        <f aca="false">IF(AND(AN$3&gt;=1,AN$3&lt;=Inputs!$B$5),Inputs!$B$4/Inputs!$B$5,0)</f>
        <v>0</v>
      </c>
      <c r="AO4" s="0" t="n">
        <f aca="false">IF(AND(AO$3&gt;=1,AO$3&lt;=Inputs!$B$5),Inputs!$B$4/Inputs!$B$5,0)</f>
        <v>0</v>
      </c>
      <c r="AP4" s="0" t="n">
        <f aca="false">IF(AND(AP$3&gt;=1,AP$3&lt;=Inputs!$B$5),Inputs!$B$4/Inputs!$B$5,0)</f>
        <v>0</v>
      </c>
    </row>
    <row r="5" customFormat="false" ht="15" hidden="false" customHeight="false" outlineLevel="0" collapsed="false">
      <c r="A5" s="0" t="s">
        <v>12</v>
      </c>
      <c r="B5" s="1" t="n">
        <f aca="false">IF(B$3=0,Inputs!$B$3,0)</f>
        <v>42000000</v>
      </c>
      <c r="C5" s="0" t="n">
        <f aca="false">IF(C$3=0,Inputs!$B$3,0)</f>
        <v>0</v>
      </c>
      <c r="D5" s="0" t="n">
        <f aca="false">IF(D$3=0,Inputs!$B$3,0)</f>
        <v>0</v>
      </c>
      <c r="E5" s="0" t="n">
        <f aca="false">IF(E$3=0,Inputs!$B$3,0)</f>
        <v>0</v>
      </c>
      <c r="F5" s="0" t="n">
        <f aca="false">IF(F$3=0,Inputs!$B$3,0)</f>
        <v>0</v>
      </c>
      <c r="G5" s="0" t="n">
        <f aca="false">IF(G$3=0,Inputs!$B$3,0)</f>
        <v>0</v>
      </c>
      <c r="H5" s="0" t="n">
        <f aca="false">IF(H$3=0,Inputs!$B$3,0)</f>
        <v>0</v>
      </c>
      <c r="I5" s="0" t="n">
        <f aca="false">IF(I$3=0,Inputs!$B$3,0)</f>
        <v>0</v>
      </c>
      <c r="J5" s="0" t="n">
        <f aca="false">IF(J$3=0,Inputs!$B$3,0)</f>
        <v>0</v>
      </c>
      <c r="K5" s="0" t="n">
        <f aca="false">IF(K$3=0,Inputs!$B$3,0)</f>
        <v>0</v>
      </c>
      <c r="L5" s="0" t="n">
        <f aca="false">IF(L$3=0,Inputs!$B$3,0)</f>
        <v>0</v>
      </c>
      <c r="M5" s="0" t="n">
        <f aca="false">IF(M$3=0,Inputs!$B$3,0)</f>
        <v>0</v>
      </c>
      <c r="N5" s="0" t="n">
        <f aca="false">IF(N$3=0,Inputs!$B$3,0)</f>
        <v>0</v>
      </c>
      <c r="O5" s="0" t="n">
        <f aca="false">IF(O$3=0,Inputs!$B$3,0)</f>
        <v>0</v>
      </c>
      <c r="P5" s="0" t="n">
        <f aca="false">IF(P$3=0,Inputs!$B$3,0)</f>
        <v>0</v>
      </c>
      <c r="Q5" s="0" t="n">
        <f aca="false">IF(Q$3=0,Inputs!$B$3,0)</f>
        <v>0</v>
      </c>
      <c r="R5" s="0" t="n">
        <f aca="false">IF(R$3=0,Inputs!$B$3,0)</f>
        <v>0</v>
      </c>
      <c r="S5" s="0" t="n">
        <f aca="false">IF(S$3=0,Inputs!$B$3,0)</f>
        <v>0</v>
      </c>
      <c r="T5" s="0" t="n">
        <f aca="false">IF(T$3=0,Inputs!$B$3,0)</f>
        <v>0</v>
      </c>
      <c r="U5" s="0" t="n">
        <f aca="false">IF(U$3=0,Inputs!$B$3,0)</f>
        <v>0</v>
      </c>
      <c r="V5" s="0" t="n">
        <f aca="false">IF(V$3=0,Inputs!$B$3,0)</f>
        <v>0</v>
      </c>
      <c r="W5" s="0" t="n">
        <f aca="false">IF(W$3=0,Inputs!$B$3,0)</f>
        <v>0</v>
      </c>
      <c r="X5" s="0" t="n">
        <f aca="false">IF(X$3=0,Inputs!$B$3,0)</f>
        <v>0</v>
      </c>
      <c r="Y5" s="0" t="n">
        <f aca="false">IF(Y$3=0,Inputs!$B$3,0)</f>
        <v>0</v>
      </c>
      <c r="Z5" s="0" t="n">
        <f aca="false">IF(Z$3=0,Inputs!$B$3,0)</f>
        <v>0</v>
      </c>
      <c r="AA5" s="0" t="n">
        <f aca="false">IF(AA$3=0,Inputs!$B$3,0)</f>
        <v>0</v>
      </c>
      <c r="AB5" s="0" t="n">
        <f aca="false">IF(AB$3=0,Inputs!$B$3,0)</f>
        <v>0</v>
      </c>
      <c r="AC5" s="0" t="n">
        <f aca="false">IF(AC$3=0,Inputs!$B$3,0)</f>
        <v>0</v>
      </c>
      <c r="AD5" s="0" t="n">
        <f aca="false">IF(AD$3=0,Inputs!$B$3,0)</f>
        <v>0</v>
      </c>
      <c r="AE5" s="0" t="n">
        <f aca="false">IF(AE$3=0,Inputs!$B$3,0)</f>
        <v>0</v>
      </c>
      <c r="AF5" s="0" t="n">
        <f aca="false">IF(AF$3=0,Inputs!$B$3,0)</f>
        <v>0</v>
      </c>
      <c r="AG5" s="0" t="n">
        <f aca="false">IF(AG$3=0,Inputs!$B$3,0)</f>
        <v>0</v>
      </c>
      <c r="AH5" s="0" t="n">
        <f aca="false">IF(AH$3=0,Inputs!$B$3,0)</f>
        <v>0</v>
      </c>
      <c r="AI5" s="0" t="n">
        <f aca="false">IF(AI$3=0,Inputs!$B$3,0)</f>
        <v>0</v>
      </c>
      <c r="AJ5" s="0" t="n">
        <f aca="false">IF(AJ$3=0,Inputs!$B$3,0)</f>
        <v>0</v>
      </c>
      <c r="AK5" s="0" t="n">
        <f aca="false">IF(AK$3=0,Inputs!$B$3,0)</f>
        <v>0</v>
      </c>
      <c r="AL5" s="0" t="n">
        <f aca="false">IF(AL$3=0,Inputs!$B$3,0)</f>
        <v>0</v>
      </c>
      <c r="AM5" s="0" t="n">
        <f aca="false">IF(AM$3=0,Inputs!$B$3,0)</f>
        <v>0</v>
      </c>
      <c r="AN5" s="0" t="n">
        <f aca="false">IF(AN$3=0,Inputs!$B$3,0)</f>
        <v>0</v>
      </c>
      <c r="AO5" s="0" t="n">
        <f aca="false">IF(AO$3=0,Inputs!$B$3,0)</f>
        <v>0</v>
      </c>
      <c r="AP5" s="0" t="n">
        <f aca="false">IF(AP$3=0,Inputs!$B$3,0)</f>
        <v>0</v>
      </c>
    </row>
    <row r="6" customFormat="false" ht="15" hidden="false" customHeight="false" outlineLevel="0" collapsed="false">
      <c r="A6" s="0" t="s">
        <v>7</v>
      </c>
      <c r="B6" s="0" t="n">
        <f aca="false">IF(B$3=0,B10*Inputs!$B$9,0)</f>
        <v>1686397.80826362</v>
      </c>
      <c r="C6" s="0" t="n">
        <f aca="false">IF(C$3=0,C10*Inputs!$B$9,0)</f>
        <v>0</v>
      </c>
      <c r="D6" s="0" t="n">
        <f aca="false">IF(D$3=0,D10*Inputs!$B$9,0)</f>
        <v>0</v>
      </c>
      <c r="E6" s="0" t="n">
        <f aca="false">IF(E$3=0,E10*Inputs!$B$9,0)</f>
        <v>0</v>
      </c>
      <c r="F6" s="0" t="n">
        <f aca="false">IF(F$3=0,F10*Inputs!$B$9,0)</f>
        <v>0</v>
      </c>
      <c r="G6" s="0" t="n">
        <f aca="false">IF(G$3=0,G10*Inputs!$B$9,0)</f>
        <v>0</v>
      </c>
      <c r="H6" s="0" t="n">
        <f aca="false">IF(H$3=0,H10*Inputs!$B$9,0)</f>
        <v>0</v>
      </c>
      <c r="I6" s="0" t="n">
        <f aca="false">IF(I$3=0,I10*Inputs!$B$9,0)</f>
        <v>0</v>
      </c>
      <c r="J6" s="0" t="n">
        <f aca="false">IF(J$3=0,J10*Inputs!$B$9,0)</f>
        <v>0</v>
      </c>
      <c r="K6" s="0" t="n">
        <f aca="false">IF(K$3=0,K10*Inputs!$B$9,0)</f>
        <v>0</v>
      </c>
      <c r="L6" s="0" t="n">
        <f aca="false">IF(L$3=0,L10*Inputs!$B$9,0)</f>
        <v>0</v>
      </c>
      <c r="M6" s="0" t="n">
        <f aca="false">IF(M$3=0,M10*Inputs!$B$9,0)</f>
        <v>0</v>
      </c>
      <c r="N6" s="0" t="n">
        <f aca="false">IF(N$3=0,N10*Inputs!$B$9,0)</f>
        <v>0</v>
      </c>
      <c r="O6" s="0" t="n">
        <f aca="false">IF(O$3=0,O10*Inputs!$B$9,0)</f>
        <v>0</v>
      </c>
      <c r="P6" s="0" t="n">
        <f aca="false">IF(P$3=0,P10*Inputs!$B$9,0)</f>
        <v>0</v>
      </c>
      <c r="Q6" s="0" t="n">
        <f aca="false">IF(Q$3=0,Q10*Inputs!$B$9,0)</f>
        <v>0</v>
      </c>
      <c r="R6" s="0" t="n">
        <f aca="false">IF(R$3=0,R10*Inputs!$B$9,0)</f>
        <v>0</v>
      </c>
      <c r="S6" s="0" t="n">
        <f aca="false">IF(S$3=0,S10*Inputs!$B$9,0)</f>
        <v>0</v>
      </c>
      <c r="T6" s="0" t="n">
        <f aca="false">IF(T$3=0,T10*Inputs!$B$9,0)</f>
        <v>0</v>
      </c>
      <c r="U6" s="0" t="n">
        <f aca="false">IF(U$3=0,U10*Inputs!$B$9,0)</f>
        <v>0</v>
      </c>
      <c r="V6" s="0" t="n">
        <f aca="false">IF(V$3=0,V10*Inputs!$B$9,0)</f>
        <v>0</v>
      </c>
      <c r="W6" s="0" t="n">
        <f aca="false">IF(W$3=0,W10*Inputs!$B$9,0)</f>
        <v>0</v>
      </c>
      <c r="X6" s="0" t="n">
        <f aca="false">IF(X$3=0,X10*Inputs!$B$9,0)</f>
        <v>0</v>
      </c>
      <c r="Y6" s="0" t="n">
        <f aca="false">IF(Y$3=0,Y10*Inputs!$B$9,0)</f>
        <v>0</v>
      </c>
      <c r="Z6" s="0" t="n">
        <f aca="false">IF(Z$3=0,Z10*Inputs!$B$9,0)</f>
        <v>0</v>
      </c>
      <c r="AA6" s="0" t="n">
        <f aca="false">IF(AA$3=0,AA10*Inputs!$B$9,0)</f>
        <v>0</v>
      </c>
      <c r="AB6" s="0" t="n">
        <f aca="false">IF(AB$3=0,AB10*Inputs!$B$9,0)</f>
        <v>0</v>
      </c>
      <c r="AC6" s="0" t="n">
        <f aca="false">IF(AC$3=0,AC10*Inputs!$B$9,0)</f>
        <v>0</v>
      </c>
      <c r="AD6" s="0" t="n">
        <f aca="false">IF(AD$3=0,AD10*Inputs!$B$9,0)</f>
        <v>0</v>
      </c>
      <c r="AE6" s="0" t="n">
        <f aca="false">IF(AE$3=0,AE10*Inputs!$B$9,0)</f>
        <v>0</v>
      </c>
      <c r="AF6" s="0" t="n">
        <f aca="false">IF(AF$3=0,AF10*Inputs!$B$9,0)</f>
        <v>0</v>
      </c>
      <c r="AG6" s="0" t="n">
        <f aca="false">IF(AG$3=0,AG10*Inputs!$B$9,0)</f>
        <v>0</v>
      </c>
      <c r="AH6" s="0" t="n">
        <f aca="false">IF(AH$3=0,AH10*Inputs!$B$9,0)</f>
        <v>0</v>
      </c>
      <c r="AI6" s="0" t="n">
        <f aca="false">IF(AI$3=0,AI10*Inputs!$B$9,0)</f>
        <v>0</v>
      </c>
      <c r="AJ6" s="0" t="n">
        <f aca="false">IF(AJ$3=0,AJ10*Inputs!$B$9,0)</f>
        <v>0</v>
      </c>
      <c r="AK6" s="0" t="n">
        <f aca="false">IF(AK$3=0,AK10*Inputs!$B$9,0)</f>
        <v>0</v>
      </c>
      <c r="AL6" s="0" t="n">
        <f aca="false">IF(AL$3=0,AL10*Inputs!$B$9,0)</f>
        <v>0</v>
      </c>
      <c r="AM6" s="0" t="n">
        <f aca="false">IF(AM$3=0,AM10*Inputs!$B$9,0)</f>
        <v>0</v>
      </c>
      <c r="AN6" s="0" t="n">
        <f aca="false">IF(AN$3=0,AN10*Inputs!$B$9,0)</f>
        <v>0</v>
      </c>
      <c r="AO6" s="0" t="n">
        <f aca="false">IF(AO$3=0,AO10*Inputs!$B$9,0)</f>
        <v>0</v>
      </c>
      <c r="AP6" s="0" t="n">
        <f aca="false">IF(AP$3=0,AP10*Inputs!$B$9,0)</f>
        <v>0</v>
      </c>
    </row>
    <row r="7" customFormat="false" ht="15" hidden="false" customHeight="false" outlineLevel="0" collapsed="false">
      <c r="A7" s="0" t="s">
        <v>13</v>
      </c>
      <c r="B7" s="0" t="n">
        <f aca="false">0</f>
        <v>0</v>
      </c>
      <c r="C7" s="0" t="n">
        <f aca="false">IF(C$3&lt;=Inputs!$B$5,B12*Inputs!$B$7/12,0)</f>
        <v>177475.99109607</v>
      </c>
      <c r="D7" s="0" t="n">
        <f aca="false">IF(D$3&lt;=Inputs!$B$5,C12*Inputs!$B$7/12,0)</f>
        <v>198512.318988756</v>
      </c>
      <c r="E7" s="0" t="n">
        <f aca="false">IF(E$3&lt;=Inputs!$B$5,D12*Inputs!$B$7/12,0)</f>
        <v>219620.433350377</v>
      </c>
      <c r="F7" s="0" t="n">
        <f aca="false">IF(F$3&lt;=Inputs!$B$5,E12*Inputs!$B$7/12,0)</f>
        <v>240800.579152256</v>
      </c>
      <c r="G7" s="0" t="n">
        <f aca="false">IF(G$3&lt;=Inputs!$B$5,F12*Inputs!$B$7/12,0)</f>
        <v>262053.002201685</v>
      </c>
      <c r="H7" s="0" t="n">
        <f aca="false">IF(H$3&lt;=Inputs!$B$5,G12*Inputs!$B$7/12,0)</f>
        <v>283377.949144769</v>
      </c>
      <c r="I7" s="0" t="n">
        <f aca="false">IF(I$3&lt;=Inputs!$B$5,H12*Inputs!$B$7/12,0)</f>
        <v>304775.667469297</v>
      </c>
      <c r="J7" s="0" t="n">
        <f aca="false">IF(J$3&lt;=Inputs!$B$5,I12*Inputs!$B$7/12,0)</f>
        <v>326246.405507608</v>
      </c>
      <c r="K7" s="0" t="n">
        <f aca="false">IF(K$3&lt;=Inputs!$B$5,J12*Inputs!$B$7/12,0)</f>
        <v>347790.412439474</v>
      </c>
      <c r="L7" s="0" t="n">
        <f aca="false">IF(L$3&lt;=Inputs!$B$5,K12*Inputs!$B$7/12,0)</f>
        <v>369407.938294995</v>
      </c>
      <c r="M7" s="0" t="n">
        <f aca="false">IF(M$3&lt;=Inputs!$B$5,L12*Inputs!$B$7/12,0)</f>
        <v>391099.233957499</v>
      </c>
      <c r="N7" s="0" t="n">
        <f aca="false">IF(N$3&lt;=Inputs!$B$5,M12*Inputs!$B$7/12,0)</f>
        <v>412864.55116645</v>
      </c>
      <c r="O7" s="0" t="n">
        <f aca="false">IF(O$3&lt;=Inputs!$B$5,N12*Inputs!$B$7/12,0)</f>
        <v>434704.142520376</v>
      </c>
      <c r="P7" s="0" t="n">
        <f aca="false">IF(P$3&lt;=Inputs!$B$5,O12*Inputs!$B$7/12,0)</f>
        <v>456618.261479799</v>
      </c>
      <c r="Q7" s="0" t="n">
        <f aca="false">IF(Q$3&lt;=Inputs!$B$5,P12*Inputs!$B$7/12,0)</f>
        <v>478607.16237017</v>
      </c>
      <c r="R7" s="0" t="n">
        <f aca="false">IF(R$3&lt;=Inputs!$B$5,Q12*Inputs!$B$7/12,0)</f>
        <v>500671.100384829</v>
      </c>
      <c r="S7" s="0" t="n">
        <f aca="false">IF(S$3&lt;=Inputs!$B$5,R12*Inputs!$B$7/12,0)</f>
        <v>522810.331587964</v>
      </c>
      <c r="T7" s="0" t="n">
        <f aca="false">IF(T$3&lt;=Inputs!$B$5,S12*Inputs!$B$7/12,0)</f>
        <v>545025.112917579</v>
      </c>
      <c r="U7" s="0" t="n">
        <f aca="false">IF(U$3&lt;=Inputs!$B$5,T12*Inputs!$B$7/12,0)</f>
        <v>567315.702188482</v>
      </c>
      <c r="V7" s="0" t="n">
        <f aca="false">IF(V$3&lt;=Inputs!$B$5,U12*Inputs!$B$7/12,0)</f>
        <v>589682.358095272</v>
      </c>
      <c r="W7" s="0" t="n">
        <f aca="false">IF(W$3&lt;=Inputs!$B$5,V12*Inputs!$B$7/12,0)</f>
        <v>612125.340215343</v>
      </c>
      <c r="X7" s="0" t="n">
        <f aca="false">IF(X$3&lt;=Inputs!$B$5,W12*Inputs!$B$7/12,0)</f>
        <v>634644.909011899</v>
      </c>
      <c r="Y7" s="0" t="n">
        <f aca="false">IF(Y$3&lt;=Inputs!$B$5,X12*Inputs!$B$7/12,0)</f>
        <v>657241.325836974</v>
      </c>
      <c r="Z7" s="0" t="n">
        <f aca="false">IF(Z$3&lt;=Inputs!$B$5,Y12*Inputs!$B$7/12,0)</f>
        <v>679914.852934464</v>
      </c>
      <c r="AA7" s="0" t="n">
        <f aca="false">IF(AA$3&lt;=Inputs!$B$5,Z12*Inputs!$B$7/12,0)</f>
        <v>0</v>
      </c>
      <c r="AB7" s="0" t="n">
        <f aca="false">IF(AB$3&lt;=Inputs!$B$5,AA12*Inputs!$B$7/12,0)</f>
        <v>0</v>
      </c>
      <c r="AC7" s="0" t="n">
        <f aca="false">IF(AC$3&lt;=Inputs!$B$5,AB12*Inputs!$B$7/12,0)</f>
        <v>0</v>
      </c>
      <c r="AD7" s="0" t="n">
        <f aca="false">IF(AD$3&lt;=Inputs!$B$5,AC12*Inputs!$B$7/12,0)</f>
        <v>0</v>
      </c>
      <c r="AE7" s="0" t="n">
        <f aca="false">IF(AE$3&lt;=Inputs!$B$5,AD12*Inputs!$B$7/12,0)</f>
        <v>0</v>
      </c>
      <c r="AF7" s="0" t="n">
        <f aca="false">IF(AF$3&lt;=Inputs!$B$5,AE12*Inputs!$B$7/12,0)</f>
        <v>0</v>
      </c>
      <c r="AG7" s="0" t="n">
        <f aca="false">IF(AG$3&lt;=Inputs!$B$5,AF12*Inputs!$B$7/12,0)</f>
        <v>0</v>
      </c>
      <c r="AH7" s="0" t="n">
        <f aca="false">IF(AH$3&lt;=Inputs!$B$5,AG12*Inputs!$B$7/12,0)</f>
        <v>0</v>
      </c>
      <c r="AI7" s="0" t="n">
        <f aca="false">IF(AI$3&lt;=Inputs!$B$5,AH12*Inputs!$B$7/12,0)</f>
        <v>0</v>
      </c>
      <c r="AJ7" s="0" t="n">
        <f aca="false">IF(AJ$3&lt;=Inputs!$B$5,AI12*Inputs!$B$7/12,0)</f>
        <v>0</v>
      </c>
      <c r="AK7" s="0" t="n">
        <f aca="false">IF(AK$3&lt;=Inputs!$B$5,AJ12*Inputs!$B$7/12,0)</f>
        <v>0</v>
      </c>
      <c r="AL7" s="0" t="n">
        <f aca="false">IF(AL$3&lt;=Inputs!$B$5,AK12*Inputs!$B$7/12,0)</f>
        <v>0</v>
      </c>
      <c r="AM7" s="0" t="n">
        <f aca="false">IF(AM$3&lt;=Inputs!$B$5,AL12*Inputs!$B$7/12,0)</f>
        <v>0</v>
      </c>
      <c r="AN7" s="0" t="n">
        <f aca="false">IF(AN$3&lt;=Inputs!$B$5,AM12*Inputs!$B$7/12,0)</f>
        <v>0</v>
      </c>
      <c r="AO7" s="0" t="n">
        <f aca="false">IF(AO$3&lt;=Inputs!$B$5,AN12*Inputs!$B$7/12,0)</f>
        <v>0</v>
      </c>
      <c r="AP7" s="0" t="n">
        <f aca="false">IF(AP$3&lt;=Inputs!$B$5,AO12*Inputs!$B$7/12,0)</f>
        <v>0</v>
      </c>
    </row>
    <row r="8" customFormat="false" ht="15" hidden="false" customHeight="false" outlineLevel="0" collapsed="false">
      <c r="A8" s="0" t="s">
        <v>14</v>
      </c>
      <c r="B8" s="0" t="n">
        <f aca="false">0</f>
        <v>0</v>
      </c>
      <c r="C8" s="0" t="n">
        <f aca="false">IF(C$3&lt;=Inputs!$B$5,MAX(0,C10-B12)*Inputs!$B$8/12,0)</f>
        <v>84030.3619755363</v>
      </c>
      <c r="D8" s="0" t="n">
        <f aca="false">IF(D$3&lt;=Inputs!$B$5,MAX(0,D10-C12)*Inputs!$B$8/12,0)</f>
        <v>80664.5495127065</v>
      </c>
      <c r="E8" s="0" t="n">
        <f aca="false">IF(E$3&lt;=Inputs!$B$5,MAX(0,E10-D12)*Inputs!$B$8/12,0)</f>
        <v>77287.2512148472</v>
      </c>
      <c r="F8" s="0" t="n">
        <f aca="false">IF(F$3&lt;=Inputs!$B$5,MAX(0,F10-E12)*Inputs!$B$8/12,0)</f>
        <v>73898.4278865466</v>
      </c>
      <c r="G8" s="0" t="n">
        <f aca="false">IF(G$3&lt;=Inputs!$B$5,MAX(0,G10-F12)*Inputs!$B$8/12,0)</f>
        <v>70498.0401986381</v>
      </c>
      <c r="H8" s="0" t="n">
        <f aca="false">IF(H$3&lt;=Inputs!$B$5,MAX(0,H10-G12)*Inputs!$B$8/12,0)</f>
        <v>67086.0486877447</v>
      </c>
      <c r="I8" s="0" t="n">
        <f aca="false">IF(I$3&lt;=Inputs!$B$5,MAX(0,I10-H12)*Inputs!$B$8/12,0)</f>
        <v>63662.4137558205</v>
      </c>
      <c r="J8" s="0" t="n">
        <f aca="false">IF(J$3&lt;=Inputs!$B$5,MAX(0,J10-I12)*Inputs!$B$8/12,0)</f>
        <v>60227.0956696911</v>
      </c>
      <c r="K8" s="0" t="n">
        <f aca="false">IF(K$3&lt;=Inputs!$B$5,MAX(0,K10-J12)*Inputs!$B$8/12,0)</f>
        <v>56780.0545605929</v>
      </c>
      <c r="L8" s="0" t="n">
        <f aca="false">IF(L$3&lt;=Inputs!$B$5,MAX(0,L10-K12)*Inputs!$B$8/12,0)</f>
        <v>53321.25042371</v>
      </c>
      <c r="M8" s="0" t="n">
        <f aca="false">IF(M$3&lt;=Inputs!$B$5,MAX(0,M10-L12)*Inputs!$B$8/12,0)</f>
        <v>49850.6431177102</v>
      </c>
      <c r="N8" s="0" t="n">
        <f aca="false">IF(N$3&lt;=Inputs!$B$5,MAX(0,N10-M12)*Inputs!$B$8/12,0)</f>
        <v>46368.1923642789</v>
      </c>
      <c r="O8" s="0" t="n">
        <f aca="false">IF(O$3&lt;=Inputs!$B$5,MAX(0,O10-N12)*Inputs!$B$8/12,0)</f>
        <v>42873.8577476518</v>
      </c>
      <c r="P8" s="0" t="n">
        <f aca="false">IF(P$3&lt;=Inputs!$B$5,MAX(0,P10-O12)*Inputs!$B$8/12,0)</f>
        <v>39367.5987141456</v>
      </c>
      <c r="Q8" s="0" t="n">
        <f aca="false">IF(Q$3&lt;=Inputs!$B$5,MAX(0,Q10-P12)*Inputs!$B$8/12,0)</f>
        <v>35849.3745716879</v>
      </c>
      <c r="R8" s="0" t="n">
        <f aca="false">IF(R$3&lt;=Inputs!$B$5,MAX(0,R10-Q12)*Inputs!$B$8/12,0)</f>
        <v>32319.1444893444</v>
      </c>
      <c r="S8" s="0" t="n">
        <f aca="false">IF(S$3&lt;=Inputs!$B$5,MAX(0,S10-R12)*Inputs!$B$8/12,0)</f>
        <v>28776.8674968453</v>
      </c>
      <c r="T8" s="0" t="n">
        <f aca="false">IF(T$3&lt;=Inputs!$B$5,MAX(0,T10-S12)*Inputs!$B$8/12,0)</f>
        <v>25222.5024840983</v>
      </c>
      <c r="U8" s="0" t="n">
        <f aca="false">IF(U$3&lt;=Inputs!$B$5,MAX(0,U10-T12)*Inputs!$B$8/12,0)</f>
        <v>21656.0082007539</v>
      </c>
      <c r="V8" s="0" t="n">
        <f aca="false">IF(V$3&lt;=Inputs!$B$5,MAX(0,V10-U12)*Inputs!$B$8/12,0)</f>
        <v>18077.3432556676</v>
      </c>
      <c r="W8" s="0" t="n">
        <f aca="false">IF(W$3&lt;=Inputs!$B$5,MAX(0,W10-V12)*Inputs!$B$8/12,0)</f>
        <v>14486.466116455</v>
      </c>
      <c r="X8" s="0" t="n">
        <f aca="false">IF(X$3&lt;=Inputs!$B$5,MAX(0,X10-W12)*Inputs!$B$8/12,0)</f>
        <v>10883.3351090072</v>
      </c>
      <c r="Y8" s="0" t="n">
        <f aca="false">IF(Y$3&lt;=Inputs!$B$5,MAX(0,Y10-X12)*Inputs!$B$8/12,0)</f>
        <v>7267.90841699532</v>
      </c>
      <c r="Z8" s="0" t="n">
        <f aca="false">IF(Z$3&lt;=Inputs!$B$5,MAX(0,Z10-Y12)*Inputs!$B$8/12,0)</f>
        <v>3640.14408139692</v>
      </c>
      <c r="AA8" s="0" t="n">
        <f aca="false">IF(AA$3&lt;=Inputs!$B$5,MAX(0,AA10-Z12)*Inputs!$B$8/12,0)</f>
        <v>0</v>
      </c>
      <c r="AB8" s="0" t="n">
        <f aca="false">IF(AB$3&lt;=Inputs!$B$5,MAX(0,AB10-AA12)*Inputs!$B$8/12,0)</f>
        <v>0</v>
      </c>
      <c r="AC8" s="0" t="n">
        <f aca="false">IF(AC$3&lt;=Inputs!$B$5,MAX(0,AC10-AB12)*Inputs!$B$8/12,0)</f>
        <v>0</v>
      </c>
      <c r="AD8" s="0" t="n">
        <f aca="false">IF(AD$3&lt;=Inputs!$B$5,MAX(0,AD10-AC12)*Inputs!$B$8/12,0)</f>
        <v>0</v>
      </c>
      <c r="AE8" s="0" t="n">
        <f aca="false">IF(AE$3&lt;=Inputs!$B$5,MAX(0,AE10-AD12)*Inputs!$B$8/12,0)</f>
        <v>0</v>
      </c>
      <c r="AF8" s="0" t="n">
        <f aca="false">IF(AF$3&lt;=Inputs!$B$5,MAX(0,AF10-AE12)*Inputs!$B$8/12,0)</f>
        <v>0</v>
      </c>
      <c r="AG8" s="0" t="n">
        <f aca="false">IF(AG$3&lt;=Inputs!$B$5,MAX(0,AG10-AF12)*Inputs!$B$8/12,0)</f>
        <v>0</v>
      </c>
      <c r="AH8" s="0" t="n">
        <f aca="false">IF(AH$3&lt;=Inputs!$B$5,MAX(0,AH10-AG12)*Inputs!$B$8/12,0)</f>
        <v>0</v>
      </c>
      <c r="AI8" s="0" t="n">
        <f aca="false">IF(AI$3&lt;=Inputs!$B$5,MAX(0,AI10-AH12)*Inputs!$B$8/12,0)</f>
        <v>0</v>
      </c>
      <c r="AJ8" s="0" t="n">
        <f aca="false">IF(AJ$3&lt;=Inputs!$B$5,MAX(0,AJ10-AI12)*Inputs!$B$8/12,0)</f>
        <v>0</v>
      </c>
      <c r="AK8" s="0" t="n">
        <f aca="false">IF(AK$3&lt;=Inputs!$B$5,MAX(0,AK10-AJ12)*Inputs!$B$8/12,0)</f>
        <v>0</v>
      </c>
      <c r="AL8" s="0" t="n">
        <f aca="false">IF(AL$3&lt;=Inputs!$B$5,MAX(0,AL10-AK12)*Inputs!$B$8/12,0)</f>
        <v>0</v>
      </c>
      <c r="AM8" s="0" t="n">
        <f aca="false">IF(AM$3&lt;=Inputs!$B$5,MAX(0,AM10-AL12)*Inputs!$B$8/12,0)</f>
        <v>0</v>
      </c>
      <c r="AN8" s="0" t="n">
        <f aca="false">IF(AN$3&lt;=Inputs!$B$5,MAX(0,AN10-AM12)*Inputs!$B$8/12,0)</f>
        <v>0</v>
      </c>
      <c r="AO8" s="0" t="n">
        <f aca="false">IF(AO$3&lt;=Inputs!$B$5,MAX(0,AO10-AN12)*Inputs!$B$8/12,0)</f>
        <v>0</v>
      </c>
      <c r="AP8" s="0" t="n">
        <f aca="false">IF(AP$3&lt;=Inputs!$B$5,MAX(0,AP10-AO12)*Inputs!$B$8/12,0)</f>
        <v>0</v>
      </c>
    </row>
    <row r="9" customFormat="false" ht="15" hidden="false" customHeight="false" outlineLevel="0" collapsed="false">
      <c r="A9" s="0" t="s">
        <v>15</v>
      </c>
      <c r="B9" s="0" t="n">
        <f aca="false">B4+B5+B6+B7+B8</f>
        <v>43686397.8082636</v>
      </c>
      <c r="C9" s="0" t="n">
        <f aca="false">C4+C5+C6+C7+C8</f>
        <v>5178173.01973827</v>
      </c>
      <c r="D9" s="0" t="n">
        <f aca="false">D4+D5+D6+D7+D8</f>
        <v>5195843.53516813</v>
      </c>
      <c r="E9" s="0" t="n">
        <f aca="false">E4+E5+E6+E7+E8</f>
        <v>5213574.35123189</v>
      </c>
      <c r="F9" s="0" t="n">
        <f aca="false">F4+F5+F6+F7+F8</f>
        <v>5231365.67370547</v>
      </c>
      <c r="G9" s="0" t="n">
        <f aca="false">G4+G5+G6+G7+G8</f>
        <v>5249217.70906699</v>
      </c>
      <c r="H9" s="0" t="n">
        <f aca="false">H4+H5+H6+H7+H8</f>
        <v>5267130.66449918</v>
      </c>
      <c r="I9" s="0" t="n">
        <f aca="false">I4+I5+I6+I7+I8</f>
        <v>5285104.74789178</v>
      </c>
      <c r="J9" s="0" t="n">
        <f aca="false">J4+J5+J6+J7+J8</f>
        <v>5303140.16784397</v>
      </c>
      <c r="K9" s="0" t="n">
        <f aca="false">K4+K5+K6+K7+K8</f>
        <v>5321237.13366673</v>
      </c>
      <c r="L9" s="0" t="n">
        <f aca="false">L4+L5+L6+L7+L8</f>
        <v>5339395.85538537</v>
      </c>
      <c r="M9" s="0" t="n">
        <f aca="false">M4+M5+M6+M7+M8</f>
        <v>5357616.54374188</v>
      </c>
      <c r="N9" s="0" t="n">
        <f aca="false">N4+N5+N6+N7+N8</f>
        <v>5375899.4101974</v>
      </c>
      <c r="O9" s="0" t="n">
        <f aca="false">O4+O5+O6+O7+O8</f>
        <v>5394244.6669347</v>
      </c>
      <c r="P9" s="0" t="n">
        <f aca="false">P4+P5+P6+P7+P8</f>
        <v>5412652.52686061</v>
      </c>
      <c r="Q9" s="0" t="n">
        <f aca="false">Q4+Q5+Q6+Q7+Q8</f>
        <v>5431123.20360852</v>
      </c>
      <c r="R9" s="0" t="n">
        <f aca="false">R4+R5+R6+R7+R8</f>
        <v>5449656.91154084</v>
      </c>
      <c r="S9" s="0" t="n">
        <f aca="false">S4+S5+S6+S7+S8</f>
        <v>5468253.86575148</v>
      </c>
      <c r="T9" s="0" t="n">
        <f aca="false">T4+T5+T6+T7+T8</f>
        <v>5486914.28206835</v>
      </c>
      <c r="U9" s="0" t="n">
        <f aca="false">U4+U5+U6+U7+U8</f>
        <v>5505638.3770559</v>
      </c>
      <c r="V9" s="0" t="n">
        <f aca="false">V4+V5+V6+V7+V8</f>
        <v>5524426.36801761</v>
      </c>
      <c r="W9" s="0" t="n">
        <f aca="false">W4+W5+W6+W7+W8</f>
        <v>5543278.47299846</v>
      </c>
      <c r="X9" s="0" t="n">
        <f aca="false">X4+X5+X6+X7+X8</f>
        <v>5562194.91078757</v>
      </c>
      <c r="Y9" s="0" t="n">
        <f aca="false">Y4+Y5+Y6+Y7+Y8</f>
        <v>5581175.90092064</v>
      </c>
      <c r="Z9" s="0" t="n">
        <f aca="false">Z4+Z5+Z6+Z7+Z8</f>
        <v>5600221.66368253</v>
      </c>
      <c r="AA9" s="0" t="n">
        <f aca="false">AA4+AA5+AA6+AA7+AA8</f>
        <v>0</v>
      </c>
      <c r="AB9" s="0" t="n">
        <f aca="false">AB4+AB5+AB6+AB7+AB8</f>
        <v>0</v>
      </c>
      <c r="AC9" s="0" t="n">
        <f aca="false">AC4+AC5+AC6+AC7+AC8</f>
        <v>0</v>
      </c>
      <c r="AD9" s="0" t="n">
        <f aca="false">AD4+AD5+AD6+AD7+AD8</f>
        <v>0</v>
      </c>
      <c r="AE9" s="0" t="n">
        <f aca="false">AE4+AE5+AE6+AE7+AE8</f>
        <v>0</v>
      </c>
      <c r="AF9" s="0" t="n">
        <f aca="false">AF4+AF5+AF6+AF7+AF8</f>
        <v>0</v>
      </c>
      <c r="AG9" s="0" t="n">
        <f aca="false">AG4+AG5+AG6+AG7+AG8</f>
        <v>0</v>
      </c>
      <c r="AH9" s="0" t="n">
        <f aca="false">AH4+AH5+AH6+AH7+AH8</f>
        <v>0</v>
      </c>
      <c r="AI9" s="0" t="n">
        <f aca="false">AI4+AI5+AI6+AI7+AI8</f>
        <v>0</v>
      </c>
      <c r="AJ9" s="0" t="n">
        <f aca="false">AJ4+AJ5+AJ6+AJ7+AJ8</f>
        <v>0</v>
      </c>
      <c r="AK9" s="0" t="n">
        <f aca="false">AK4+AK5+AK6+AK7+AK8</f>
        <v>0</v>
      </c>
      <c r="AL9" s="0" t="n">
        <f aca="false">AL4+AL5+AL6+AL7+AL8</f>
        <v>0</v>
      </c>
      <c r="AM9" s="0" t="n">
        <f aca="false">AM4+AM5+AM6+AM7+AM8</f>
        <v>0</v>
      </c>
      <c r="AN9" s="0" t="n">
        <f aca="false">AN4+AN5+AN6+AN7+AN8</f>
        <v>0</v>
      </c>
      <c r="AO9" s="0" t="n">
        <f aca="false">AO4+AO5+AO6+AO7+AO8</f>
        <v>0</v>
      </c>
      <c r="AP9" s="0" t="n">
        <f aca="false">AP4+AP5+AP6+AP7+AP8</f>
        <v>0</v>
      </c>
    </row>
    <row r="10" customFormat="false" ht="15" hidden="false" customHeight="false" outlineLevel="0" collapsed="false">
      <c r="A10" s="0" t="s">
        <v>16</v>
      </c>
      <c r="B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C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D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E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F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G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H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I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J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K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L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M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N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O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P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Q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R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S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T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U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V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W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X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Y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Z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A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B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C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D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E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F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G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H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I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J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K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L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M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N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O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  <c r="AP10" s="0" t="n">
        <f aca="false">(Inputs!$B$3+Inputs!$B$4)*Inputs!$B$6/(1-Inputs!$B$6*(Inputs!$B$7*Inputs!$B$5/24+Inputs!$B$8/2))*0+(SUM($B$4:$AP$4)+Inputs!$B$3+SUM($B$7:$AP$7)+SUM($B$8:$AP$8)+SUM($B$6:$AP$6))*Inputs!$B$6</f>
        <v>112426520.550908</v>
      </c>
    </row>
    <row r="11" customFormat="false" ht="15" hidden="false" customHeight="false" outlineLevel="0" collapsed="false">
      <c r="A11" s="0" t="s">
        <v>17</v>
      </c>
      <c r="B11" s="0" t="n">
        <f aca="false">IF(B$3&lt;=Inputs!$B$5,MIN(B9*Inputs!$B$6/(1),B10-0),0)</f>
        <v>28396158.5753714</v>
      </c>
      <c r="C11" s="0" t="n">
        <f aca="false">IF(C$3&lt;=Inputs!$B$5,MIN(C9*Inputs!$B$6/(1),C10-B12),0)</f>
        <v>3365812.46282988</v>
      </c>
      <c r="D11" s="0" t="n">
        <f aca="false">IF(D$3&lt;=Inputs!$B$5,MIN(D9*Inputs!$B$6/(1),D10-C12),0)</f>
        <v>3377298.29785928</v>
      </c>
      <c r="E11" s="0" t="n">
        <f aca="false">IF(E$3&lt;=Inputs!$B$5,MIN(E9*Inputs!$B$6/(1),E10-D12),0)</f>
        <v>3388823.32830073</v>
      </c>
      <c r="F11" s="0" t="n">
        <f aca="false">IF(F$3&lt;=Inputs!$B$5,MIN(F9*Inputs!$B$6/(1),F10-E12),0)</f>
        <v>3400387.68790856</v>
      </c>
      <c r="G11" s="0" t="n">
        <f aca="false">IF(G$3&lt;=Inputs!$B$5,MIN(G9*Inputs!$B$6/(1),G10-F12),0)</f>
        <v>3411991.51089354</v>
      </c>
      <c r="H11" s="0" t="n">
        <f aca="false">IF(H$3&lt;=Inputs!$B$5,MIN(H9*Inputs!$B$6/(1),H10-G12),0)</f>
        <v>3423634.93192447</v>
      </c>
      <c r="I11" s="0" t="n">
        <f aca="false">IF(I$3&lt;=Inputs!$B$5,MIN(I9*Inputs!$B$6/(1),I10-H12),0)</f>
        <v>3435318.08612966</v>
      </c>
      <c r="J11" s="0" t="n">
        <f aca="false">IF(J$3&lt;=Inputs!$B$5,MIN(J9*Inputs!$B$6/(1),J10-I12),0)</f>
        <v>3447041.10909858</v>
      </c>
      <c r="K11" s="0" t="n">
        <f aca="false">IF(K$3&lt;=Inputs!$B$5,MIN(K9*Inputs!$B$6/(1),K10-J12),0)</f>
        <v>3458804.13688338</v>
      </c>
      <c r="L11" s="0" t="n">
        <f aca="false">IF(L$3&lt;=Inputs!$B$5,MIN(L9*Inputs!$B$6/(1),L10-K12),0)</f>
        <v>3470607.30600049</v>
      </c>
      <c r="M11" s="0" t="n">
        <f aca="false">IF(M$3&lt;=Inputs!$B$5,MIN(M9*Inputs!$B$6/(1),M10-L12),0)</f>
        <v>3482450.75343222</v>
      </c>
      <c r="N11" s="0" t="n">
        <f aca="false">IF(N$3&lt;=Inputs!$B$5,MIN(N9*Inputs!$B$6/(1),N10-M12),0)</f>
        <v>3494334.61662831</v>
      </c>
      <c r="O11" s="0" t="n">
        <f aca="false">IF(O$3&lt;=Inputs!$B$5,MIN(O9*Inputs!$B$6/(1),O10-N12),0)</f>
        <v>3506259.03350755</v>
      </c>
      <c r="P11" s="0" t="n">
        <f aca="false">IF(P$3&lt;=Inputs!$B$5,MIN(P9*Inputs!$B$6/(1),P10-O12),0)</f>
        <v>3518224.14245939</v>
      </c>
      <c r="Q11" s="0" t="n">
        <f aca="false">IF(Q$3&lt;=Inputs!$B$5,MIN(Q9*Inputs!$B$6/(1),Q10-P12),0)</f>
        <v>3530230.08234554</v>
      </c>
      <c r="R11" s="0" t="n">
        <f aca="false">IF(R$3&lt;=Inputs!$B$5,MIN(R9*Inputs!$B$6/(1),R10-Q12),0)</f>
        <v>3542276.99250154</v>
      </c>
      <c r="S11" s="0" t="n">
        <f aca="false">IF(S$3&lt;=Inputs!$B$5,MIN(S9*Inputs!$B$6/(1),S10-R12),0)</f>
        <v>3554365.01273846</v>
      </c>
      <c r="T11" s="0" t="n">
        <f aca="false">IF(T$3&lt;=Inputs!$B$5,MIN(T9*Inputs!$B$6/(1),T10-S12),0)</f>
        <v>3566494.28334442</v>
      </c>
      <c r="U11" s="0" t="n">
        <f aca="false">IF(U$3&lt;=Inputs!$B$5,MIN(U9*Inputs!$B$6/(1),U10-T12),0)</f>
        <v>3578664.94508634</v>
      </c>
      <c r="V11" s="0" t="n">
        <f aca="false">IF(V$3&lt;=Inputs!$B$5,MIN(V9*Inputs!$B$6/(1),V10-U12),0)</f>
        <v>3590877.13921144</v>
      </c>
      <c r="W11" s="0" t="n">
        <f aca="false">IF(W$3&lt;=Inputs!$B$5,MIN(W9*Inputs!$B$6/(1),W10-V12),0)</f>
        <v>3603131.007449</v>
      </c>
      <c r="X11" s="0" t="n">
        <f aca="false">IF(X$3&lt;=Inputs!$B$5,MIN(X9*Inputs!$B$6/(1),X10-W12),0)</f>
        <v>3615426.69201192</v>
      </c>
      <c r="Y11" s="0" t="n">
        <f aca="false">IF(Y$3&lt;=Inputs!$B$5,MIN(Y9*Inputs!$B$6/(1),Y10-X12),0)</f>
        <v>3627764.33559841</v>
      </c>
      <c r="Z11" s="0" t="n">
        <f aca="false">IF(Z$3&lt;=Inputs!$B$5,MIN(Z9*Inputs!$B$6/(1),Z10-Y12),0)</f>
        <v>3640144.08139363</v>
      </c>
      <c r="AA11" s="0" t="n">
        <f aca="false">IF(AA$3&lt;=Inputs!$B$5,MIN(AA9*Inputs!$B$6/(1),AA10-Z12),0)</f>
        <v>0</v>
      </c>
      <c r="AB11" s="0" t="n">
        <f aca="false">IF(AB$3&lt;=Inputs!$B$5,MIN(AB9*Inputs!$B$6/(1),AB10-AA12),0)</f>
        <v>0</v>
      </c>
      <c r="AC11" s="0" t="n">
        <f aca="false">IF(AC$3&lt;=Inputs!$B$5,MIN(AC9*Inputs!$B$6/(1),AC10-AB12),0)</f>
        <v>0</v>
      </c>
      <c r="AD11" s="0" t="n">
        <f aca="false">IF(AD$3&lt;=Inputs!$B$5,MIN(AD9*Inputs!$B$6/(1),AD10-AC12),0)</f>
        <v>0</v>
      </c>
      <c r="AE11" s="0" t="n">
        <f aca="false">IF(AE$3&lt;=Inputs!$B$5,MIN(AE9*Inputs!$B$6/(1),AE10-AD12),0)</f>
        <v>0</v>
      </c>
      <c r="AF11" s="0" t="n">
        <f aca="false">IF(AF$3&lt;=Inputs!$B$5,MIN(AF9*Inputs!$B$6/(1),AF10-AE12),0)</f>
        <v>0</v>
      </c>
      <c r="AG11" s="0" t="n">
        <f aca="false">IF(AG$3&lt;=Inputs!$B$5,MIN(AG9*Inputs!$B$6/(1),AG10-AF12),0)</f>
        <v>0</v>
      </c>
      <c r="AH11" s="0" t="n">
        <f aca="false">IF(AH$3&lt;=Inputs!$B$5,MIN(AH9*Inputs!$B$6/(1),AH10-AG12),0)</f>
        <v>0</v>
      </c>
      <c r="AI11" s="0" t="n">
        <f aca="false">IF(AI$3&lt;=Inputs!$B$5,MIN(AI9*Inputs!$B$6/(1),AI10-AH12),0)</f>
        <v>0</v>
      </c>
      <c r="AJ11" s="0" t="n">
        <f aca="false">IF(AJ$3&lt;=Inputs!$B$5,MIN(AJ9*Inputs!$B$6/(1),AJ10-AI12),0)</f>
        <v>0</v>
      </c>
      <c r="AK11" s="0" t="n">
        <f aca="false">IF(AK$3&lt;=Inputs!$B$5,MIN(AK9*Inputs!$B$6/(1),AK10-AJ12),0)</f>
        <v>0</v>
      </c>
      <c r="AL11" s="0" t="n">
        <f aca="false">IF(AL$3&lt;=Inputs!$B$5,MIN(AL9*Inputs!$B$6/(1),AL10-AK12),0)</f>
        <v>0</v>
      </c>
      <c r="AM11" s="0" t="n">
        <f aca="false">IF(AM$3&lt;=Inputs!$B$5,MIN(AM9*Inputs!$B$6/(1),AM10-AL12),0)</f>
        <v>0</v>
      </c>
      <c r="AN11" s="0" t="n">
        <f aca="false">IF(AN$3&lt;=Inputs!$B$5,MIN(AN9*Inputs!$B$6/(1),AN10-AM12),0)</f>
        <v>0</v>
      </c>
      <c r="AO11" s="0" t="n">
        <f aca="false">IF(AO$3&lt;=Inputs!$B$5,MIN(AO9*Inputs!$B$6/(1),AO10-AN12),0)</f>
        <v>0</v>
      </c>
      <c r="AP11" s="0" t="n">
        <f aca="false">IF(AP$3&lt;=Inputs!$B$5,MIN(AP9*Inputs!$B$6/(1),AP10-AO12),0)</f>
        <v>0</v>
      </c>
    </row>
    <row r="12" customFormat="false" ht="15" hidden="false" customHeight="false" outlineLevel="0" collapsed="false">
      <c r="A12" s="0" t="s">
        <v>18</v>
      </c>
      <c r="B12" s="0" t="n">
        <f aca="false">0+B11-B14</f>
        <v>28396158.5753714</v>
      </c>
      <c r="C12" s="0" t="n">
        <f aca="false">B12+C11-C14</f>
        <v>31761971.0382012</v>
      </c>
      <c r="D12" s="0" t="n">
        <f aca="false">C12+D11-D14</f>
        <v>35139269.3360605</v>
      </c>
      <c r="E12" s="0" t="n">
        <f aca="false">D12+E11-E14</f>
        <v>38528092.6643612</v>
      </c>
      <c r="F12" s="0" t="n">
        <f aca="false">E12+F11-F14</f>
        <v>41928480.3522698</v>
      </c>
      <c r="G12" s="0" t="n">
        <f aca="false">F12+G11-G14</f>
        <v>45340471.8631633</v>
      </c>
      <c r="H12" s="0" t="n">
        <f aca="false">G12+H11-H14</f>
        <v>48764106.7950878</v>
      </c>
      <c r="I12" s="0" t="n">
        <f aca="false">H12+I11-I14</f>
        <v>52199424.8812175</v>
      </c>
      <c r="J12" s="0" t="n">
        <f aca="false">I12+J11-J14</f>
        <v>55646465.990316</v>
      </c>
      <c r="K12" s="0" t="n">
        <f aca="false">J12+K11-K14</f>
        <v>59105270.1271994</v>
      </c>
      <c r="L12" s="0" t="n">
        <f aca="false">K12+L11-L14</f>
        <v>62575877.4331999</v>
      </c>
      <c r="M12" s="0" t="n">
        <f aca="false">L12+M11-M14</f>
        <v>66058328.1866321</v>
      </c>
      <c r="N12" s="0" t="n">
        <f aca="false">M12+N11-N14</f>
        <v>69552662.8032604</v>
      </c>
      <c r="O12" s="0" t="n">
        <f aca="false">N12+O11-O14</f>
        <v>73058921.836768</v>
      </c>
      <c r="P12" s="0" t="n">
        <f aca="false">O12+P11-P14</f>
        <v>76577145.9792274</v>
      </c>
      <c r="Q12" s="0" t="n">
        <f aca="false">P12+Q11-Q14</f>
        <v>80107376.0615729</v>
      </c>
      <c r="R12" s="0" t="n">
        <f aca="false">Q12+R11-R14</f>
        <v>83649653.0540745</v>
      </c>
      <c r="S12" s="0" t="n">
        <f aca="false">R12+S11-S14</f>
        <v>87204018.0668129</v>
      </c>
      <c r="T12" s="0" t="n">
        <f aca="false">S12+T11-T14</f>
        <v>90770512.3501574</v>
      </c>
      <c r="U12" s="0" t="n">
        <f aca="false">T12+U11-U14</f>
        <v>94349177.2952437</v>
      </c>
      <c r="V12" s="0" t="n">
        <f aca="false">U12+V11-V14</f>
        <v>97940054.4344551</v>
      </c>
      <c r="W12" s="0" t="n">
        <f aca="false">V12+W11-W14</f>
        <v>101543185.441904</v>
      </c>
      <c r="X12" s="0" t="n">
        <f aca="false">W12+X11-X14</f>
        <v>105158612.133916</v>
      </c>
      <c r="Y12" s="0" t="n">
        <f aca="false">X12+Y11-Y14</f>
        <v>108786376.469514</v>
      </c>
      <c r="Z12" s="0" t="n">
        <f aca="false">Y12+Z11-Z14</f>
        <v>112426520.550908</v>
      </c>
      <c r="AA12" s="0" t="n">
        <f aca="false">Z12+AA11-AA14</f>
        <v>94759853.8842414</v>
      </c>
      <c r="AB12" s="0" t="n">
        <f aca="false">AA12+AB11-AB14</f>
        <v>77093187.2175748</v>
      </c>
      <c r="AC12" s="0" t="n">
        <f aca="false">AB12+AC11-AC14</f>
        <v>59426520.5509081</v>
      </c>
      <c r="AD12" s="0" t="n">
        <f aca="false">AC12+AD11-AD14</f>
        <v>41759853.8842414</v>
      </c>
      <c r="AE12" s="0" t="n">
        <f aca="false">AD12+AE11-AE14</f>
        <v>24093187.2175747</v>
      </c>
      <c r="AF12" s="0" t="n">
        <f aca="false">AE12+AF11-AF14</f>
        <v>6426520.55090807</v>
      </c>
      <c r="AG12" s="0" t="n">
        <f aca="false">AF12+AG11-AG14</f>
        <v>0</v>
      </c>
      <c r="AH12" s="0" t="n">
        <f aca="false">AG12+AH11-AH14</f>
        <v>0</v>
      </c>
      <c r="AI12" s="0" t="n">
        <f aca="false">AH12+AI11-AI14</f>
        <v>0</v>
      </c>
      <c r="AJ12" s="0" t="n">
        <f aca="false">AI12+AJ11-AJ14</f>
        <v>0</v>
      </c>
      <c r="AK12" s="0" t="n">
        <f aca="false">AJ12+AK11-AK14</f>
        <v>0</v>
      </c>
      <c r="AL12" s="0" t="n">
        <f aca="false">AK12+AL11-AL14</f>
        <v>0</v>
      </c>
      <c r="AM12" s="0" t="n">
        <f aca="false">AL12+AM11-AM14</f>
        <v>0</v>
      </c>
      <c r="AN12" s="0" t="n">
        <f aca="false">AM12+AN11-AN14</f>
        <v>0</v>
      </c>
      <c r="AO12" s="0" t="n">
        <f aca="false">AN12+AO11-AO14</f>
        <v>0</v>
      </c>
      <c r="AP12" s="0" t="n">
        <f aca="false">AO12+AP11-AP14</f>
        <v>0</v>
      </c>
    </row>
    <row r="13" customFormat="false" ht="15" hidden="false" customHeight="false" outlineLevel="0" collapsed="false">
      <c r="A13" s="0" t="s">
        <v>19</v>
      </c>
      <c r="B13" s="0" t="n">
        <f aca="false">IF(AND(B$3&gt;Inputs!$B$5,B$3&lt;=Inputs!$B$5+Inputs!$B$11),Inputs!$B$10/Inputs!$B$11,0)</f>
        <v>0</v>
      </c>
      <c r="C13" s="0" t="n">
        <f aca="false">IF(AND(C$3&gt;Inputs!$B$5,C$3&lt;=Inputs!$B$5+Inputs!$B$11),Inputs!$B$10/Inputs!$B$11,0)</f>
        <v>0</v>
      </c>
      <c r="D13" s="0" t="n">
        <f aca="false">IF(AND(D$3&gt;Inputs!$B$5,D$3&lt;=Inputs!$B$5+Inputs!$B$11),Inputs!$B$10/Inputs!$B$11,0)</f>
        <v>0</v>
      </c>
      <c r="E13" s="0" t="n">
        <f aca="false">IF(AND(E$3&gt;Inputs!$B$5,E$3&lt;=Inputs!$B$5+Inputs!$B$11),Inputs!$B$10/Inputs!$B$11,0)</f>
        <v>0</v>
      </c>
      <c r="F13" s="0" t="n">
        <f aca="false">IF(AND(F$3&gt;Inputs!$B$5,F$3&lt;=Inputs!$B$5+Inputs!$B$11),Inputs!$B$10/Inputs!$B$11,0)</f>
        <v>0</v>
      </c>
      <c r="G13" s="0" t="n">
        <f aca="false">IF(AND(G$3&gt;Inputs!$B$5,G$3&lt;=Inputs!$B$5+Inputs!$B$11),Inputs!$B$10/Inputs!$B$11,0)</f>
        <v>0</v>
      </c>
      <c r="H13" s="0" t="n">
        <f aca="false">IF(AND(H$3&gt;Inputs!$B$5,H$3&lt;=Inputs!$B$5+Inputs!$B$11),Inputs!$B$10/Inputs!$B$11,0)</f>
        <v>0</v>
      </c>
      <c r="I13" s="0" t="n">
        <f aca="false">IF(AND(I$3&gt;Inputs!$B$5,I$3&lt;=Inputs!$B$5+Inputs!$B$11),Inputs!$B$10/Inputs!$B$11,0)</f>
        <v>0</v>
      </c>
      <c r="J13" s="0" t="n">
        <f aca="false">IF(AND(J$3&gt;Inputs!$B$5,J$3&lt;=Inputs!$B$5+Inputs!$B$11),Inputs!$B$10/Inputs!$B$11,0)</f>
        <v>0</v>
      </c>
      <c r="K13" s="0" t="n">
        <f aca="false">IF(AND(K$3&gt;Inputs!$B$5,K$3&lt;=Inputs!$B$5+Inputs!$B$11),Inputs!$B$10/Inputs!$B$11,0)</f>
        <v>0</v>
      </c>
      <c r="L13" s="0" t="n">
        <f aca="false">IF(AND(L$3&gt;Inputs!$B$5,L$3&lt;=Inputs!$B$5+Inputs!$B$11),Inputs!$B$10/Inputs!$B$11,0)</f>
        <v>0</v>
      </c>
      <c r="M13" s="0" t="n">
        <f aca="false">IF(AND(M$3&gt;Inputs!$B$5,M$3&lt;=Inputs!$B$5+Inputs!$B$11),Inputs!$B$10/Inputs!$B$11,0)</f>
        <v>0</v>
      </c>
      <c r="N13" s="0" t="n">
        <f aca="false">IF(AND(N$3&gt;Inputs!$B$5,N$3&lt;=Inputs!$B$5+Inputs!$B$11),Inputs!$B$10/Inputs!$B$11,0)</f>
        <v>0</v>
      </c>
      <c r="O13" s="0" t="n">
        <f aca="false">IF(AND(O$3&gt;Inputs!$B$5,O$3&lt;=Inputs!$B$5+Inputs!$B$11),Inputs!$B$10/Inputs!$B$11,0)</f>
        <v>0</v>
      </c>
      <c r="P13" s="0" t="n">
        <f aca="false">IF(AND(P$3&gt;Inputs!$B$5,P$3&lt;=Inputs!$B$5+Inputs!$B$11),Inputs!$B$10/Inputs!$B$11,0)</f>
        <v>0</v>
      </c>
      <c r="Q13" s="0" t="n">
        <f aca="false">IF(AND(Q$3&gt;Inputs!$B$5,Q$3&lt;=Inputs!$B$5+Inputs!$B$11),Inputs!$B$10/Inputs!$B$11,0)</f>
        <v>0</v>
      </c>
      <c r="R13" s="0" t="n">
        <f aca="false">IF(AND(R$3&gt;Inputs!$B$5,R$3&lt;=Inputs!$B$5+Inputs!$B$11),Inputs!$B$10/Inputs!$B$11,0)</f>
        <v>0</v>
      </c>
      <c r="S13" s="0" t="n">
        <f aca="false">IF(AND(S$3&gt;Inputs!$B$5,S$3&lt;=Inputs!$B$5+Inputs!$B$11),Inputs!$B$10/Inputs!$B$11,0)</f>
        <v>0</v>
      </c>
      <c r="T13" s="0" t="n">
        <f aca="false">IF(AND(T$3&gt;Inputs!$B$5,T$3&lt;=Inputs!$B$5+Inputs!$B$11),Inputs!$B$10/Inputs!$B$11,0)</f>
        <v>0</v>
      </c>
      <c r="U13" s="0" t="n">
        <f aca="false">IF(AND(U$3&gt;Inputs!$B$5,U$3&lt;=Inputs!$B$5+Inputs!$B$11),Inputs!$B$10/Inputs!$B$11,0)</f>
        <v>0</v>
      </c>
      <c r="V13" s="0" t="n">
        <f aca="false">IF(AND(V$3&gt;Inputs!$B$5,V$3&lt;=Inputs!$B$5+Inputs!$B$11),Inputs!$B$10/Inputs!$B$11,0)</f>
        <v>0</v>
      </c>
      <c r="W13" s="0" t="n">
        <f aca="false">IF(AND(W$3&gt;Inputs!$B$5,W$3&lt;=Inputs!$B$5+Inputs!$B$11),Inputs!$B$10/Inputs!$B$11,0)</f>
        <v>0</v>
      </c>
      <c r="X13" s="0" t="n">
        <f aca="false">IF(AND(X$3&gt;Inputs!$B$5,X$3&lt;=Inputs!$B$5+Inputs!$B$11),Inputs!$B$10/Inputs!$B$11,0)</f>
        <v>0</v>
      </c>
      <c r="Y13" s="0" t="n">
        <f aca="false">IF(AND(Y$3&gt;Inputs!$B$5,Y$3&lt;=Inputs!$B$5+Inputs!$B$11),Inputs!$B$10/Inputs!$B$11,0)</f>
        <v>0</v>
      </c>
      <c r="Z13" s="0" t="n">
        <f aca="false">IF(AND(Z$3&gt;Inputs!$B$5,Z$3&lt;=Inputs!$B$5+Inputs!$B$11),Inputs!$B$10/Inputs!$B$11,0)</f>
        <v>0</v>
      </c>
      <c r="AA13" s="0" t="n">
        <f aca="false">IF(AND(AA$3&gt;Inputs!$B$5,AA$3&lt;=Inputs!$B$5+Inputs!$B$11),Inputs!$B$10/Inputs!$B$11,0)</f>
        <v>17666666.6666667</v>
      </c>
      <c r="AB13" s="0" t="n">
        <f aca="false">IF(AND(AB$3&gt;Inputs!$B$5,AB$3&lt;=Inputs!$B$5+Inputs!$B$11),Inputs!$B$10/Inputs!$B$11,0)</f>
        <v>17666666.6666667</v>
      </c>
      <c r="AC13" s="0" t="n">
        <f aca="false">IF(AND(AC$3&gt;Inputs!$B$5,AC$3&lt;=Inputs!$B$5+Inputs!$B$11),Inputs!$B$10/Inputs!$B$11,0)</f>
        <v>17666666.6666667</v>
      </c>
      <c r="AD13" s="0" t="n">
        <f aca="false">IF(AND(AD$3&gt;Inputs!$B$5,AD$3&lt;=Inputs!$B$5+Inputs!$B$11),Inputs!$B$10/Inputs!$B$11,0)</f>
        <v>17666666.6666667</v>
      </c>
      <c r="AE13" s="0" t="n">
        <f aca="false">IF(AND(AE$3&gt;Inputs!$B$5,AE$3&lt;=Inputs!$B$5+Inputs!$B$11),Inputs!$B$10/Inputs!$B$11,0)</f>
        <v>17666666.6666667</v>
      </c>
      <c r="AF13" s="0" t="n">
        <f aca="false">IF(AND(AF$3&gt;Inputs!$B$5,AF$3&lt;=Inputs!$B$5+Inputs!$B$11),Inputs!$B$10/Inputs!$B$11,0)</f>
        <v>17666666.6666667</v>
      </c>
      <c r="AG13" s="0" t="n">
        <f aca="false">IF(AND(AG$3&gt;Inputs!$B$5,AG$3&lt;=Inputs!$B$5+Inputs!$B$11),Inputs!$B$10/Inputs!$B$11,0)</f>
        <v>17666666.6666667</v>
      </c>
      <c r="AH13" s="0" t="n">
        <f aca="false">IF(AND(AH$3&gt;Inputs!$B$5,AH$3&lt;=Inputs!$B$5+Inputs!$B$11),Inputs!$B$10/Inputs!$B$11,0)</f>
        <v>17666666.6666667</v>
      </c>
      <c r="AI13" s="0" t="n">
        <f aca="false">IF(AND(AI$3&gt;Inputs!$B$5,AI$3&lt;=Inputs!$B$5+Inputs!$B$11),Inputs!$B$10/Inputs!$B$11,0)</f>
        <v>17666666.6666667</v>
      </c>
      <c r="AJ13" s="0" t="n">
        <f aca="false">IF(AND(AJ$3&gt;Inputs!$B$5,AJ$3&lt;=Inputs!$B$5+Inputs!$B$11),Inputs!$B$10/Inputs!$B$11,0)</f>
        <v>17666666.6666667</v>
      </c>
      <c r="AK13" s="0" t="n">
        <f aca="false">IF(AND(AK$3&gt;Inputs!$B$5,AK$3&lt;=Inputs!$B$5+Inputs!$B$11),Inputs!$B$10/Inputs!$B$11,0)</f>
        <v>17666666.6666667</v>
      </c>
      <c r="AL13" s="0" t="n">
        <f aca="false">IF(AND(AL$3&gt;Inputs!$B$5,AL$3&lt;=Inputs!$B$5+Inputs!$B$11),Inputs!$B$10/Inputs!$B$11,0)</f>
        <v>17666666.6666667</v>
      </c>
      <c r="AM13" s="0" t="n">
        <f aca="false">IF(AND(AM$3&gt;Inputs!$B$5,AM$3&lt;=Inputs!$B$5+Inputs!$B$11),Inputs!$B$10/Inputs!$B$11,0)</f>
        <v>0</v>
      </c>
      <c r="AN13" s="0" t="n">
        <f aca="false">IF(AND(AN$3&gt;Inputs!$B$5,AN$3&lt;=Inputs!$B$5+Inputs!$B$11),Inputs!$B$10/Inputs!$B$11,0)</f>
        <v>0</v>
      </c>
      <c r="AO13" s="0" t="n">
        <f aca="false">IF(AND(AO$3&gt;Inputs!$B$5,AO$3&lt;=Inputs!$B$5+Inputs!$B$11),Inputs!$B$10/Inputs!$B$11,0)</f>
        <v>0</v>
      </c>
      <c r="AP13" s="0" t="n">
        <f aca="false">IF(AND(AP$3&gt;Inputs!$B$5,AP$3&lt;=Inputs!$B$5+Inputs!$B$11),Inputs!$B$10/Inputs!$B$11,0)</f>
        <v>0</v>
      </c>
    </row>
    <row r="14" customFormat="false" ht="15" hidden="false" customHeight="false" outlineLevel="0" collapsed="false">
      <c r="A14" s="0" t="s">
        <v>20</v>
      </c>
      <c r="B14" s="0" t="n">
        <f aca="false">MIN(0+B11,B13)</f>
        <v>0</v>
      </c>
      <c r="C14" s="0" t="n">
        <f aca="false">MIN(B12+C11,C13)</f>
        <v>0</v>
      </c>
      <c r="D14" s="0" t="n">
        <f aca="false">MIN(C12+D11,D13)</f>
        <v>0</v>
      </c>
      <c r="E14" s="0" t="n">
        <f aca="false">MIN(D12+E11,E13)</f>
        <v>0</v>
      </c>
      <c r="F14" s="0" t="n">
        <f aca="false">MIN(E12+F11,F13)</f>
        <v>0</v>
      </c>
      <c r="G14" s="0" t="n">
        <f aca="false">MIN(F12+G11,G13)</f>
        <v>0</v>
      </c>
      <c r="H14" s="0" t="n">
        <f aca="false">MIN(G12+H11,H13)</f>
        <v>0</v>
      </c>
      <c r="I14" s="0" t="n">
        <f aca="false">MIN(H12+I11,I13)</f>
        <v>0</v>
      </c>
      <c r="J14" s="0" t="n">
        <f aca="false">MIN(I12+J11,J13)</f>
        <v>0</v>
      </c>
      <c r="K14" s="0" t="n">
        <f aca="false">MIN(J12+K11,K13)</f>
        <v>0</v>
      </c>
      <c r="L14" s="0" t="n">
        <f aca="false">MIN(K12+L11,L13)</f>
        <v>0</v>
      </c>
      <c r="M14" s="0" t="n">
        <f aca="false">MIN(L12+M11,M13)</f>
        <v>0</v>
      </c>
      <c r="N14" s="0" t="n">
        <f aca="false">MIN(M12+N11,N13)</f>
        <v>0</v>
      </c>
      <c r="O14" s="0" t="n">
        <f aca="false">MIN(N12+O11,O13)</f>
        <v>0</v>
      </c>
      <c r="P14" s="0" t="n">
        <f aca="false">MIN(O12+P11,P13)</f>
        <v>0</v>
      </c>
      <c r="Q14" s="0" t="n">
        <f aca="false">MIN(P12+Q11,Q13)</f>
        <v>0</v>
      </c>
      <c r="R14" s="0" t="n">
        <f aca="false">MIN(Q12+R11,R13)</f>
        <v>0</v>
      </c>
      <c r="S14" s="0" t="n">
        <f aca="false">MIN(R12+S11,S13)</f>
        <v>0</v>
      </c>
      <c r="T14" s="0" t="n">
        <f aca="false">MIN(S12+T11,T13)</f>
        <v>0</v>
      </c>
      <c r="U14" s="0" t="n">
        <f aca="false">MIN(T12+U11,U13)</f>
        <v>0</v>
      </c>
      <c r="V14" s="0" t="n">
        <f aca="false">MIN(U12+V11,V13)</f>
        <v>0</v>
      </c>
      <c r="W14" s="0" t="n">
        <f aca="false">MIN(V12+W11,W13)</f>
        <v>0</v>
      </c>
      <c r="X14" s="0" t="n">
        <f aca="false">MIN(W12+X11,X13)</f>
        <v>0</v>
      </c>
      <c r="Y14" s="0" t="n">
        <f aca="false">MIN(X12+Y11,Y13)</f>
        <v>0</v>
      </c>
      <c r="Z14" s="0" t="n">
        <f aca="false">MIN(Y12+Z11,Z13)</f>
        <v>0</v>
      </c>
      <c r="AA14" s="0" t="n">
        <f aca="false">MIN(Z12+AA11,AA13)</f>
        <v>17666666.6666667</v>
      </c>
      <c r="AB14" s="0" t="n">
        <f aca="false">MIN(AA12+AB11,AB13)</f>
        <v>17666666.6666667</v>
      </c>
      <c r="AC14" s="0" t="n">
        <f aca="false">MIN(AB12+AC11,AC13)</f>
        <v>17666666.6666667</v>
      </c>
      <c r="AD14" s="0" t="n">
        <f aca="false">MIN(AC12+AD11,AD13)</f>
        <v>17666666.6666667</v>
      </c>
      <c r="AE14" s="0" t="n">
        <f aca="false">MIN(AD12+AE11,AE13)</f>
        <v>17666666.6666667</v>
      </c>
      <c r="AF14" s="0" t="n">
        <f aca="false">MIN(AE12+AF11,AF13)</f>
        <v>17666666.6666667</v>
      </c>
      <c r="AG14" s="0" t="n">
        <f aca="false">MIN(AF12+AG11,AG13)</f>
        <v>6426520.55090807</v>
      </c>
      <c r="AH14" s="0" t="n">
        <f aca="false">MIN(AG12+AH11,AH13)</f>
        <v>0</v>
      </c>
      <c r="AI14" s="0" t="n">
        <f aca="false">MIN(AH12+AI11,AI13)</f>
        <v>0</v>
      </c>
      <c r="AJ14" s="0" t="n">
        <f aca="false">MIN(AI12+AJ11,AJ13)</f>
        <v>0</v>
      </c>
      <c r="AK14" s="0" t="n">
        <f aca="false">MIN(AJ12+AK11,AK13)</f>
        <v>0</v>
      </c>
      <c r="AL14" s="0" t="n">
        <f aca="false">MIN(AK12+AL11,AL13)</f>
        <v>0</v>
      </c>
      <c r="AM14" s="0" t="n">
        <f aca="false">MIN(AL12+AM11,AM13)</f>
        <v>0</v>
      </c>
      <c r="AN14" s="0" t="n">
        <f aca="false">MIN(AM12+AN11,AN13)</f>
        <v>0</v>
      </c>
      <c r="AO14" s="0" t="n">
        <f aca="false">MIN(AN12+AO11,AO13)</f>
        <v>0</v>
      </c>
      <c r="AP14" s="0" t="n">
        <f aca="false">MIN(AO12+AP11,AP13)</f>
        <v>0</v>
      </c>
    </row>
    <row r="15" customFormat="false" ht="15" hidden="false" customHeight="false" outlineLevel="0" collapsed="false">
      <c r="A15" s="0" t="s">
        <v>21</v>
      </c>
      <c r="B15" s="0" t="n">
        <f aca="false">B13-B14-(B9-B11)</f>
        <v>-15290239.2328923</v>
      </c>
      <c r="C15" s="0" t="n">
        <f aca="false">C13-C14-(C9-C11)</f>
        <v>-1812360.5569084</v>
      </c>
      <c r="D15" s="0" t="n">
        <f aca="false">D13-D14-(D9-D11)</f>
        <v>-1818545.23730885</v>
      </c>
      <c r="E15" s="0" t="n">
        <f aca="false">E13-E14-(E9-E11)</f>
        <v>-1824751.02293116</v>
      </c>
      <c r="F15" s="0" t="n">
        <f aca="false">F13-F14-(F9-F11)</f>
        <v>-1830977.98579691</v>
      </c>
      <c r="G15" s="0" t="n">
        <f aca="false">G13-G14-(G9-G11)</f>
        <v>-1837226.19817345</v>
      </c>
      <c r="H15" s="0" t="n">
        <f aca="false">H13-H14-(H9-H11)</f>
        <v>-1843495.73257471</v>
      </c>
      <c r="I15" s="0" t="n">
        <f aca="false">I13-I14-(I9-I11)</f>
        <v>-1849786.66176212</v>
      </c>
      <c r="J15" s="0" t="n">
        <f aca="false">J13-J14-(J9-J11)</f>
        <v>-1856099.05874539</v>
      </c>
      <c r="K15" s="0" t="n">
        <f aca="false">K13-K14-(K9-K11)</f>
        <v>-1862432.99678336</v>
      </c>
      <c r="L15" s="0" t="n">
        <f aca="false">L13-L14-(L9-L11)</f>
        <v>-1868788.54938488</v>
      </c>
      <c r="M15" s="0" t="n">
        <f aca="false">M13-M14-(M9-M11)</f>
        <v>-1875165.79030966</v>
      </c>
      <c r="N15" s="0" t="n">
        <f aca="false">N13-N14-(N9-N11)</f>
        <v>-1881564.79356909</v>
      </c>
      <c r="O15" s="0" t="n">
        <f aca="false">O13-O14-(O9-O11)</f>
        <v>-1887985.63342715</v>
      </c>
      <c r="P15" s="0" t="n">
        <f aca="false">P13-P14-(P9-P11)</f>
        <v>-1894428.38440122</v>
      </c>
      <c r="Q15" s="0" t="n">
        <f aca="false">Q13-Q14-(Q9-Q11)</f>
        <v>-1900893.12126298</v>
      </c>
      <c r="R15" s="0" t="n">
        <f aca="false">R13-R14-(R9-R11)</f>
        <v>-1907379.9190393</v>
      </c>
      <c r="S15" s="0" t="n">
        <f aca="false">S13-S14-(S9-S11)</f>
        <v>-1913888.85301302</v>
      </c>
      <c r="T15" s="0" t="n">
        <f aca="false">T13-T14-(T9-T11)</f>
        <v>-1920419.99872392</v>
      </c>
      <c r="U15" s="0" t="n">
        <f aca="false">U13-U14-(U9-U11)</f>
        <v>-1926973.43196957</v>
      </c>
      <c r="V15" s="0" t="n">
        <f aca="false">V13-V14-(V9-V11)</f>
        <v>-1933549.22880616</v>
      </c>
      <c r="W15" s="0" t="n">
        <f aca="false">W13-W14-(W9-W11)</f>
        <v>-1940147.46554946</v>
      </c>
      <c r="X15" s="0" t="n">
        <f aca="false">X13-X14-(X9-X11)</f>
        <v>-1946768.21877565</v>
      </c>
      <c r="Y15" s="0" t="n">
        <f aca="false">Y13-Y14-(Y9-Y11)</f>
        <v>-1953411.56532222</v>
      </c>
      <c r="Z15" s="0" t="n">
        <f aca="false">Z13-Z14-(Z9-Z11)</f>
        <v>-1960077.5822889</v>
      </c>
      <c r="AA15" s="0" t="n">
        <f aca="false">AA13-AA14-(AA9-AA11)</f>
        <v>0</v>
      </c>
      <c r="AB15" s="0" t="n">
        <f aca="false">AB13-AB14-(AB9-AB11)</f>
        <v>0</v>
      </c>
      <c r="AC15" s="0" t="n">
        <f aca="false">AC13-AC14-(AC9-AC11)</f>
        <v>0</v>
      </c>
      <c r="AD15" s="0" t="n">
        <f aca="false">AD13-AD14-(AD9-AD11)</f>
        <v>0</v>
      </c>
      <c r="AE15" s="0" t="n">
        <f aca="false">AE13-AE14-(AE9-AE11)</f>
        <v>0</v>
      </c>
      <c r="AF15" s="0" t="n">
        <f aca="false">AF13-AF14-(AF9-AF11)</f>
        <v>0</v>
      </c>
      <c r="AG15" s="0" t="n">
        <f aca="false">AG13-AG14-(AG9-AG11)</f>
        <v>11240146.1157586</v>
      </c>
      <c r="AH15" s="0" t="n">
        <f aca="false">AH13-AH14-(AH9-AH11)</f>
        <v>17666666.6666667</v>
      </c>
      <c r="AI15" s="0" t="n">
        <f aca="false">AI13-AI14-(AI9-AI11)</f>
        <v>17666666.6666667</v>
      </c>
      <c r="AJ15" s="0" t="n">
        <f aca="false">AJ13-AJ14-(AJ9-AJ11)</f>
        <v>17666666.6666667</v>
      </c>
      <c r="AK15" s="0" t="n">
        <f aca="false">AK13-AK14-(AK9-AK11)</f>
        <v>17666666.6666667</v>
      </c>
      <c r="AL15" s="0" t="n">
        <f aca="false">AL13-AL14-(AL9-AL11)</f>
        <v>17666666.6666667</v>
      </c>
      <c r="AM15" s="0" t="n">
        <f aca="false">AM13-AM14-(AM9-AM11)</f>
        <v>0</v>
      </c>
      <c r="AN15" s="0" t="n">
        <f aca="false">AN13-AN14-(AN9-AN11)</f>
        <v>0</v>
      </c>
      <c r="AO15" s="0" t="n">
        <f aca="false">AO13-AO14-(AO9-AO11)</f>
        <v>0</v>
      </c>
      <c r="AP15" s="0" t="n">
        <f aca="false">AP13-AP14-(AP9-AP11)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22</v>
      </c>
      <c r="B3" s="3" t="n">
        <f aca="false">(1+IRR('Cash Flow'!$B$15:$AP$15,0.02))^12-1</f>
        <v>0.272003740677271</v>
      </c>
    </row>
    <row r="4" customFormat="false" ht="15" hidden="false" customHeight="false" outlineLevel="0" collapsed="false">
      <c r="A4" s="0" t="s">
        <v>23</v>
      </c>
      <c r="B4" s="1" t="n">
        <f aca="false">'Cash Flow'!B10</f>
        <v>112426520.550908</v>
      </c>
    </row>
    <row r="5" customFormat="false" ht="15" hidden="false" customHeight="false" outlineLevel="0" collapsed="false">
      <c r="A5" s="0" t="s">
        <v>24</v>
      </c>
      <c r="B5" s="1" t="n">
        <f aca="false">MAX('Cash Flow'!$B$12:$AP$12)</f>
        <v>112426520.550908</v>
      </c>
    </row>
    <row r="6" customFormat="false" ht="15" hidden="false" customHeight="false" outlineLevel="0" collapsed="false">
      <c r="A6" s="0" t="s">
        <v>25</v>
      </c>
      <c r="B6" s="1" t="n">
        <f aca="false">SUM('Cash Flow'!$B$7:$AP$7)+SUM('Cash Flow'!$B$8:$AP$8)+SUM('Cash Flow'!$B$6:$AP$6)</f>
        <v>12963877.7706279</v>
      </c>
    </row>
    <row r="7" customFormat="false" ht="15" hidden="false" customHeight="false" outlineLevel="0" collapsed="false">
      <c r="A7" s="0" t="s">
        <v>26</v>
      </c>
      <c r="B7" s="1" t="n">
        <f aca="false">SUM('Cash Flow'!$B$9:$AP$9)</f>
        <v>172963877.770628</v>
      </c>
    </row>
    <row r="8" customFormat="false" ht="15" hidden="false" customHeight="false" outlineLevel="0" collapsed="false">
      <c r="A8" s="0" t="s">
        <v>27</v>
      </c>
      <c r="B8" s="1" t="n">
        <f aca="false">SUM('Cash Flow'!$B$15:$AP$15)</f>
        <v>39036122.2293722</v>
      </c>
    </row>
    <row r="9" customFormat="false" ht="15" hidden="false" customHeight="false" outlineLevel="0" collapsed="false">
      <c r="A9" s="0" t="s">
        <v>28</v>
      </c>
      <c r="B9" s="3" t="n">
        <f aca="false">B8/B7</f>
        <v>0.225689448759579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2026-10-17T21:43:14Z</dcterms:created>
  <dc:creator>openpyxl</dc:creator>
  <dc:description/>
  <dc:language>en-US</dc:language>
  <cp:lastModifiedBy/>
  <dcterms:modified xsi:type="dcterms:W3CDTF">2026-10-17T21:43:14Z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