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المدخلات" sheetId="1" state="visible" r:id="rId3"/>
    <sheet name="التدفقات النقدية" sheetId="2" state="visible" r:id="rId4"/>
    <sheet name="العوائد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<sst xmlns="http://schemas.openxmlformats.org/spreadsheetml/2006/main" count="35" uniqueCount="33">
  <si>
    <t xml:space="preserve">مشروع حي النرجس السكني (ريال سعودي)</t>
  </si>
  <si>
    <t xml:space="preserve">السيناريو (1 = أساسي، 2 = متحفظ)</t>
  </si>
  <si>
    <t xml:space="preserve">سعر البيع للمتر المربع · أساسي</t>
  </si>
  <si>
    <t xml:space="preserve">سعر البيع للمتر المربع · متحفظ</t>
  </si>
  <si>
    <t xml:space="preserve">المساحة القابلة للبيع (م²)</t>
  </si>
  <si>
    <t xml:space="preserve">تكلفة البناء للمتر المربع</t>
  </si>
  <si>
    <t xml:space="preserve">تكلفة الأرض</t>
  </si>
  <si>
    <t xml:space="preserve">ضريبة التصرفات العقارية</t>
  </si>
  <si>
    <t xml:space="preserve">رسوم إدارة التطوير (من تكلفة البناء)</t>
  </si>
  <si>
    <t xml:space="preserve">نسبة التمويل إلى التكلفة</t>
  </si>
  <si>
    <t xml:space="preserve">معدل ربح المرابحة</t>
  </si>
  <si>
    <t xml:space="preserve">سنة السداد</t>
  </si>
  <si>
    <t xml:space="preserve">التدفقات النقدية (ريال سعودي)</t>
  </si>
  <si>
    <t xml:space="preserve">السنة</t>
  </si>
  <si>
    <t xml:space="preserve">المجموع</t>
  </si>
  <si>
    <t xml:space="preserve">الفترة</t>
  </si>
  <si>
    <t xml:space="preserve">تكاليف البناء</t>
  </si>
  <si>
    <t xml:space="preserve">رسوم إدارة التطوير</t>
  </si>
  <si>
    <t xml:space="preserve">إجمالي التكاليف</t>
  </si>
  <si>
    <t xml:space="preserve">إيرادات المبيعات</t>
  </si>
  <si>
    <t xml:space="preserve">صافي التدفق النقدي للمشروع</t>
  </si>
  <si>
    <t xml:space="preserve">سحب التمويل</t>
  </si>
  <si>
    <t xml:space="preserve">ربح المرابحة المرسمل</t>
  </si>
  <si>
    <t xml:space="preserve">سداد التمويل</t>
  </si>
  <si>
    <t xml:space="preserve">رصيد التمويل</t>
  </si>
  <si>
    <t xml:space="preserve">رصيد التمويل إلى إجمالي التكلفة</t>
  </si>
  <si>
    <t xml:space="preserve">صافي التدفق النقدي لحقوق الملكية</t>
  </si>
  <si>
    <t xml:space="preserve">العوائد</t>
  </si>
  <si>
    <t xml:space="preserve">معدل العائد الداخلي بعد التمويل</t>
  </si>
  <si>
    <t xml:space="preserve">معدل العائد الداخلي قبل التمويل</t>
  </si>
  <si>
    <t xml:space="preserve">صافي الربح</t>
  </si>
  <si>
    <t xml:space="preserve">العائد على التكلفة</t>
  </si>
  <si>
    <t xml:space="preserve">مضاعف حقوق الملكية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</si>
</sst>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0" t="n">
        <v>1</v>
      </c>
    </row>
    <row r="4" customFormat="false" ht="15" hidden="false" customHeight="false" outlineLevel="0" collapsed="false">
      <c r="A4" s="0" t="s">
        <v>2</v>
      </c>
      <c r="B4" s="0" t="n">
        <v>6500</v>
      </c>
    </row>
    <row r="5" customFormat="false" ht="15" hidden="false" customHeight="false" outlineLevel="0" collapsed="false">
      <c r="A5" s="0" t="s">
        <v>3</v>
      </c>
      <c r="B5" s="0" t="n">
        <v>5800</v>
      </c>
    </row>
    <row r="6" customFormat="false" ht="15" hidden="false" customHeight="false" outlineLevel="0" collapsed="false">
      <c r="A6" s="0" t="s">
        <v>4</v>
      </c>
      <c r="B6" s="0" t="n">
        <v>40000</v>
      </c>
    </row>
    <row r="7" customFormat="false" ht="15" hidden="false" customHeight="false" outlineLevel="0" collapsed="false">
      <c r="A7" s="0" t="s">
        <v>5</v>
      </c>
      <c r="B7" s="0" t="n">
        <v>3200</v>
      </c>
    </row>
    <row r="8" customFormat="false" ht="15" hidden="false" customHeight="false" outlineLevel="0" collapsed="false">
      <c r="A8" s="0" t="s">
        <v>6</v>
      </c>
      <c r="B8" s="0" t="n">
        <v>60000000</v>
      </c>
    </row>
    <row r="9" customFormat="false" ht="15" hidden="false" customHeight="false" outlineLevel="0" collapsed="false">
      <c r="A9" s="0" t="s">
        <v>7</v>
      </c>
      <c r="B9" s="1" t="n">
        <v>0.05</v>
      </c>
    </row>
    <row r="10" customFormat="false" ht="15" hidden="false" customHeight="false" outlineLevel="0" collapsed="false">
      <c r="A10" s="0" t="s">
        <v>8</v>
      </c>
      <c r="B10" s="1" t="n">
        <v>0.03</v>
      </c>
    </row>
    <row r="11" customFormat="false" ht="15" hidden="false" customHeight="false" outlineLevel="0" collapsed="false">
      <c r="A11" s="0" t="s">
        <v>9</v>
      </c>
      <c r="B11" s="1" t="n">
        <v>0.5</v>
      </c>
    </row>
    <row r="12" customFormat="false" ht="15" hidden="false" customHeight="false" outlineLevel="0" collapsed="false">
      <c r="A12" s="0" t="s">
        <v>10</v>
      </c>
      <c r="B12" s="1" t="n">
        <v>0.07</v>
      </c>
    </row>
    <row r="13" customFormat="false" ht="15" hidden="false" customHeight="false" outlineLevel="0" collapsed="false">
      <c r="A13" s="0" t="s">
        <v>11</v>
      </c>
      <c r="B13" s="0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12</v>
      </c>
    </row>
    <row r="3" customFormat="false" ht="15" hidden="false" customHeight="false" outlineLevel="0" collapsed="false">
      <c r="A3" s="0" t="s">
        <v>13</v>
      </c>
      <c r="C3" s="0" t="n">
        <v>2027</v>
      </c>
      <c r="D3" s="0" t="n">
        <v>2028</v>
      </c>
      <c r="E3" s="0" t="n">
        <v>2029</v>
      </c>
      <c r="F3" s="0" t="n">
        <v>2030</v>
      </c>
      <c r="G3" s="0" t="n">
        <v>2031</v>
      </c>
      <c r="H3" s="0" t="s">
        <v>14</v>
      </c>
    </row>
    <row r="4" customFormat="false" ht="15" hidden="false" customHeight="false" outlineLevel="0" collapsed="false">
      <c r="A4" s="0" t="s">
        <v>15</v>
      </c>
      <c r="C4" s="0" t="n"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</row>
    <row r="6" customFormat="false" ht="15" hidden="false" customHeight="false" outlineLevel="0" collapsed="false">
      <c r="A6" s="0" t="s">
        <v>6</v>
      </c>
      <c r="C6" s="0" t="n">
        <f aca="false">IF(C$4=1,-المدخلات!$B$8,0)</f>
        <v>-60000000</v>
      </c>
      <c r="D6" s="0" t="n">
        <f aca="false">IF(D$4=1,-المدخلات!$B$8,0)</f>
        <v>0</v>
      </c>
      <c r="E6" s="0" t="n">
        <f aca="false">IF(E$4=1,-المدخلات!$B$8,0)</f>
        <v>0</v>
      </c>
      <c r="F6" s="0" t="n">
        <f aca="false">IF(F$4=1,-المدخلات!$B$8,0)</f>
        <v>0</v>
      </c>
      <c r="G6" s="0" t="n">
        <f aca="false">IF(G$4=1,-المدخلات!$B$8,0)</f>
        <v>0</v>
      </c>
      <c r="H6" s="0" t="n">
        <f aca="false">SUM(C6:G6)</f>
        <v>-60000000</v>
      </c>
    </row>
    <row r="7" customFormat="false" ht="15" hidden="false" customHeight="false" outlineLevel="0" collapsed="false">
      <c r="A7" s="0" t="s">
        <v>7</v>
      </c>
      <c r="C7" s="0" t="n">
        <f aca="false">C6*المدخلات!$B$9</f>
        <v>-3000000</v>
      </c>
      <c r="D7" s="0" t="n">
        <f aca="false">D6*المدخلات!$B$9</f>
        <v>0</v>
      </c>
      <c r="E7" s="0" t="n">
        <f aca="false">E6*المدخلات!$B$9</f>
        <v>0</v>
      </c>
      <c r="F7" s="0" t="n">
        <f aca="false">F6*المدخلات!$B$9</f>
        <v>0</v>
      </c>
      <c r="G7" s="0" t="n">
        <f aca="false">G6*المدخلات!$B$9</f>
        <v>0</v>
      </c>
      <c r="H7" s="0" t="n">
        <f aca="false">SUM(C7:G7)</f>
        <v>-3000000</v>
      </c>
    </row>
    <row r="8" customFormat="false" ht="15" hidden="false" customHeight="false" outlineLevel="0" collapsed="false">
      <c r="A8" s="0" t="s">
        <v>16</v>
      </c>
      <c r="C8" s="0" t="n">
        <f aca="false">-المدخلات!$B$6*المدخلات!$B$7*0.3</f>
        <v>-38400000</v>
      </c>
      <c r="D8" s="0" t="n">
        <f aca="false">-المدخلات!$B$6*المدخلات!$B$7*0.45</f>
        <v>-57600000</v>
      </c>
      <c r="E8" s="0" t="n">
        <f aca="false">-المدخلات!$B$6*المدخلات!$B$7*0.25</f>
        <v>-32000000</v>
      </c>
      <c r="F8" s="0" t="n">
        <f aca="false">-المدخلات!$B$6*المدخلات!$B$7*0</f>
        <v>-0</v>
      </c>
      <c r="G8" s="0" t="n">
        <f aca="false">-المدخلات!$B$6*المدخلات!$B$7*0</f>
        <v>-0</v>
      </c>
      <c r="H8" s="0" t="n">
        <f aca="false">SUM(C8:G8)</f>
        <v>-128000000</v>
      </c>
    </row>
    <row r="9" customFormat="false" ht="15" hidden="false" customHeight="false" outlineLevel="0" collapsed="false">
      <c r="A9" s="0" t="s">
        <v>17</v>
      </c>
      <c r="C9" s="0" t="n">
        <f aca="false">C8*المدخلات!$B$10</f>
        <v>-1152000</v>
      </c>
      <c r="D9" s="0" t="n">
        <f aca="false">D8*المدخلات!$B$10</f>
        <v>-1728000</v>
      </c>
      <c r="E9" s="0" t="n">
        <f aca="false">E8*المدخلات!$B$10</f>
        <v>-960000</v>
      </c>
      <c r="F9" s="0" t="n">
        <f aca="false">F8*المدخلات!$B$10</f>
        <v>-0</v>
      </c>
      <c r="G9" s="0" t="n">
        <f aca="false">G8*المدخلات!$B$10</f>
        <v>-0</v>
      </c>
      <c r="H9" s="0" t="n">
        <f aca="false">SUM(C9:G9)</f>
        <v>-3840000</v>
      </c>
    </row>
    <row r="10" customFormat="false" ht="15" hidden="false" customHeight="false" outlineLevel="0" collapsed="false">
      <c r="A10" s="0" t="s">
        <v>18</v>
      </c>
      <c r="C10" s="0" t="n">
        <f aca="false">SUM(C6:C9)</f>
        <v>-102552000</v>
      </c>
      <c r="D10" s="0" t="n">
        <f aca="false">SUM(D6:D9)</f>
        <v>-59328000</v>
      </c>
      <c r="E10" s="0" t="n">
        <f aca="false">SUM(E6:E9)</f>
        <v>-32960000</v>
      </c>
      <c r="F10" s="0" t="n">
        <f aca="false">SUM(F6:F9)</f>
        <v>0</v>
      </c>
      <c r="G10" s="0" t="n">
        <f aca="false">SUM(G6:G9)</f>
        <v>0</v>
      </c>
      <c r="H10" s="0" t="n">
        <f aca="false">SUM(C10:G10)</f>
        <v>-194840000</v>
      </c>
    </row>
    <row r="11" customFormat="false" ht="15" hidden="false" customHeight="false" outlineLevel="0" collapsed="false">
      <c r="A11" s="0" t="s">
        <v>19</v>
      </c>
      <c r="C11" s="0" t="n">
        <f aca="false">المدخلات!$B$6*CHOOSE(المدخلات!$B$3,المدخلات!$B$4,المدخلات!$B$5)*0</f>
        <v>0</v>
      </c>
      <c r="D11" s="0" t="n">
        <f aca="false">المدخلات!$B$6*CHOOSE(المدخلات!$B$3,المدخلات!$B$4,المدخلات!$B$5)*0</f>
        <v>0</v>
      </c>
      <c r="E11" s="0" t="n">
        <f aca="false">المدخلات!$B$6*CHOOSE(المدخلات!$B$3,المدخلات!$B$4,المدخلات!$B$5)*0.3</f>
        <v>78000000</v>
      </c>
      <c r="F11" s="0" t="n">
        <f aca="false">المدخلات!$B$6*CHOOSE(المدخلات!$B$3,المدخلات!$B$4,المدخلات!$B$5)*0.4</f>
        <v>104000000</v>
      </c>
      <c r="G11" s="0" t="n">
        <f aca="false">المدخلات!$B$6*CHOOSE(المدخلات!$B$3,المدخلات!$B$4,المدخلات!$B$5)*0.3</f>
        <v>78000000</v>
      </c>
      <c r="H11" s="0" t="n">
        <f aca="false">SUM(C11:G11)</f>
        <v>260000000</v>
      </c>
    </row>
    <row r="12" customFormat="false" ht="15" hidden="false" customHeight="false" outlineLevel="0" collapsed="false">
      <c r="A12" s="0" t="s">
        <v>20</v>
      </c>
      <c r="C12" s="0" t="n">
        <f aca="false">C10+C11</f>
        <v>-102552000</v>
      </c>
      <c r="D12" s="0" t="n">
        <f aca="false">D10+D11</f>
        <v>-59328000</v>
      </c>
      <c r="E12" s="0" t="n">
        <f aca="false">E10+E11</f>
        <v>45040000</v>
      </c>
      <c r="F12" s="0" t="n">
        <f aca="false">F10+F11</f>
        <v>104000000</v>
      </c>
      <c r="G12" s="0" t="n">
        <f aca="false">G10+G11</f>
        <v>78000000</v>
      </c>
      <c r="H12" s="0" t="n">
        <f aca="false">SUM(C12:G12)</f>
        <v>65160000</v>
      </c>
    </row>
    <row r="13" customFormat="false" ht="15" hidden="false" customHeight="false" outlineLevel="0" collapsed="false">
      <c r="A13" s="0" t="s">
        <v>21</v>
      </c>
      <c r="C13" s="0" t="n">
        <f aca="false">-C10*المدخلات!$B$11</f>
        <v>51276000</v>
      </c>
      <c r="D13" s="0" t="n">
        <f aca="false">-D10*المدخلات!$B$11</f>
        <v>29664000</v>
      </c>
      <c r="E13" s="0" t="n">
        <f aca="false">-E10*المدخلات!$B$11</f>
        <v>16480000</v>
      </c>
      <c r="F13" s="0" t="n">
        <f aca="false">-F10*المدخلات!$B$11</f>
        <v>-0</v>
      </c>
      <c r="G13" s="0" t="n">
        <f aca="false">-G10*المدخلات!$B$11</f>
        <v>-0</v>
      </c>
      <c r="H13" s="0" t="n">
        <f aca="false">SUM(C13:G13)</f>
        <v>97420000</v>
      </c>
    </row>
    <row r="14" customFormat="false" ht="15" hidden="false" customHeight="false" outlineLevel="0" collapsed="false">
      <c r="A14" s="0" t="s">
        <v>22</v>
      </c>
      <c r="C14" s="0" t="n">
        <f aca="false">0</f>
        <v>0</v>
      </c>
      <c r="D14" s="0" t="n">
        <f aca="false">C16*المدخلات!$B$12</f>
        <v>3589320</v>
      </c>
      <c r="E14" s="0" t="n">
        <f aca="false">D16*المدخلات!$B$12</f>
        <v>5917052.4</v>
      </c>
      <c r="F14" s="0" t="n">
        <f aca="false">E16*المدخلات!$B$12</f>
        <v>7484846.068</v>
      </c>
      <c r="G14" s="0" t="n">
        <f aca="false">F16*المدخلات!$B$12</f>
        <v>8008785.29276</v>
      </c>
      <c r="H14" s="0" t="n">
        <f aca="false">SUM(C14:G14)</f>
        <v>25000003.76076</v>
      </c>
    </row>
    <row r="15" customFormat="false" ht="15" hidden="false" customHeight="false" outlineLevel="0" collapsed="false">
      <c r="A15" s="0" t="s">
        <v>23</v>
      </c>
      <c r="C15" s="0" t="n">
        <f aca="false">IF(C$4=المدخلات!$B$13,-(C13+C14),0)</f>
        <v>0</v>
      </c>
      <c r="D15" s="0" t="n">
        <f aca="false">IF(D$4=المدخلات!$B$13,-(C16+D13+D14),0)</f>
        <v>0</v>
      </c>
      <c r="E15" s="0" t="n">
        <f aca="false">IF(E$4=المدخلات!$B$13,-(D16+E13+E14),0)</f>
        <v>0</v>
      </c>
      <c r="F15" s="0" t="n">
        <f aca="false">IF(F$4=المدخلات!$B$13,-(E16+F13+F14),0)</f>
        <v>0</v>
      </c>
      <c r="G15" s="0" t="n">
        <f aca="false">IF(G$4=المدخلات!$B$13,-(F16+G13+G14),0)</f>
        <v>-122420003.76076</v>
      </c>
      <c r="H15" s="0" t="n">
        <f aca="false">SUM(C15:G15)</f>
        <v>-122420003.76076</v>
      </c>
    </row>
    <row r="16" customFormat="false" ht="15" hidden="false" customHeight="false" outlineLevel="0" collapsed="false">
      <c r="A16" s="0" t="s">
        <v>24</v>
      </c>
      <c r="C16" s="0" t="n">
        <f aca="false">C13+C14+C15</f>
        <v>51276000</v>
      </c>
      <c r="D16" s="0" t="n">
        <f aca="false">C16+D13+D14+D15</f>
        <v>84529320</v>
      </c>
      <c r="E16" s="0" t="n">
        <f aca="false">D16+E13+E14+E15</f>
        <v>106926372.4</v>
      </c>
      <c r="F16" s="0" t="n">
        <f aca="false">E16+F13+F14+F15</f>
        <v>114411218.468</v>
      </c>
      <c r="G16" s="0" t="n">
        <f aca="false">F16+G13+G14+G15</f>
        <v>0</v>
      </c>
    </row>
    <row r="17" customFormat="false" ht="15" hidden="false" customHeight="false" outlineLevel="0" collapsed="false">
      <c r="A17" s="0" t="s">
        <v>25</v>
      </c>
      <c r="C17" s="1" t="n">
        <f aca="false">C16/(-SUM($C$10:$G$10))</f>
        <v>0.263169780332581</v>
      </c>
      <c r="D17" s="1" t="n">
        <f aca="false">D16/(-SUM($C$10:$G$10))</f>
        <v>0.433839663313488</v>
      </c>
      <c r="E17" s="1" t="n">
        <f aca="false">E16/(-SUM($C$10:$G$10))</f>
        <v>0.548790661055225</v>
      </c>
      <c r="F17" s="1" t="n">
        <f aca="false">F16/(-SUM($C$10:$G$10))</f>
        <v>0.587206007329091</v>
      </c>
      <c r="G17" s="1" t="n">
        <f aca="false">G16/(-SUM($C$10:$G$10))</f>
        <v>0</v>
      </c>
    </row>
    <row r="18" customFormat="false" ht="15" hidden="false" customHeight="false" outlineLevel="0" collapsed="false">
      <c r="A18" s="0" t="s">
        <v>26</v>
      </c>
      <c r="C18" s="0" t="n">
        <f aca="false">C12+C13+C15</f>
        <v>-51276000</v>
      </c>
      <c r="D18" s="0" t="n">
        <f aca="false">D12+D13+D15</f>
        <v>-29664000</v>
      </c>
      <c r="E18" s="0" t="n">
        <f aca="false">E12+E13+E15</f>
        <v>61520000</v>
      </c>
      <c r="F18" s="0" t="n">
        <f aca="false">F12+F13+F15</f>
        <v>104000000</v>
      </c>
      <c r="G18" s="0" t="n">
        <f aca="false">G12+G13+G15</f>
        <v>-44420003.76076</v>
      </c>
      <c r="H18" s="0" t="n">
        <f aca="false">SUM(C18:G18)</f>
        <v>40159996.23924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27</v>
      </c>
    </row>
    <row r="3" customFormat="false" ht="15" hidden="false" customHeight="false" outlineLevel="0" collapsed="false">
      <c r="A3" s="0" t="s">
        <v>28</v>
      </c>
      <c r="B3" s="1" t="n">
        <f aca="false">IRR('التدفقات النقدية'!C18:G18)</f>
        <v>0.244920233387377</v>
      </c>
    </row>
    <row r="4" customFormat="false" ht="15" hidden="false" customHeight="false" outlineLevel="0" collapsed="false">
      <c r="A4" s="0" t="s">
        <v>29</v>
      </c>
      <c r="B4" s="1" t="n">
        <f aca="false">IRR('التدفقات النقدية'!C12:G12)</f>
        <v>0.130356937594661</v>
      </c>
    </row>
    <row r="5" customFormat="false" ht="15" hidden="false" customHeight="false" outlineLevel="0" collapsed="false">
      <c r="A5" s="0" t="s">
        <v>30</v>
      </c>
      <c r="B5" s="0" t="n">
        <f aca="false">'التدفقات النقدية'!H18</f>
        <v>40159996.23924</v>
      </c>
    </row>
    <row r="6" customFormat="false" ht="15" hidden="false" customHeight="false" outlineLevel="0" collapsed="false">
      <c r="A6" s="0" t="s">
        <v>31</v>
      </c>
      <c r="B6" s="1" t="n">
        <f aca="false">'التدفقات النقدية'!H12/-'التدفقات النقدية'!H10</f>
        <v>0.334428248819544</v>
      </c>
    </row>
    <row r="7" customFormat="false" ht="15" hidden="false" customHeight="false" outlineLevel="0" collapsed="false">
      <c r="A7" s="0" t="s">
        <v>32</v>
      </c>
      <c r="B7" s="0" t="n">
        <f aca="false">SUMIF('التدفقات النقدية'!C18:G18,"&gt;0")/-SUMIF('التدفقات النقدية'!C18:G18,"&lt;0")</f>
        <v>1.32035733116188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2026-10-23T08:14:56Z</dcterms:created>
  <dc:creator>openpyxl</dc:creator>
  <dc:description/>
  <dc:language>en-US</dc:language>
  <cp:lastModifiedBy/>
  <dcterms:modified xsi:type="dcterms:W3CDTF">2026-10-23T08:14:56Z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