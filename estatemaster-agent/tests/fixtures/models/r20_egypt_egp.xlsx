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oduct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<sst xmlns="http://schemas.openxmlformats.org/spreadsheetml/2006/main" count="72" uniqueCount="72">
  <si>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SEVEN HILLS – NEW CAIRO COMPOUND (EGP)</t>
  </si>
  <si>
    <t xml:space="preserve">First quarter end</t>
  </si>
  <si>
    <t xml:space="preserve">Down payment</t>
  </si>
  <si>
    <t xml:space="preserve">Payment on delivery</t>
  </si>
  <si>
    <t xml:space="preserve">Instalment period (quarters)</t>
  </si>
  <si>
    <t xml:space="preserve">Price escalation a quarter</t>
  </si>
  <si>
    <t xml:space="preserve">Cost escalation a quarter</t>
  </si>
  <si>
    <t xml:space="preserve">Sales commission</t>
  </si>
  <si>
    <t xml:space="preserve">Land price (EGP)</t>
  </si>
  <si>
    <t xml:space="preserve">Land down payment</t>
  </si>
  <si>
    <t xml:space="preserve">Land instalments (half-yearly)</t>
  </si>
  <si>
    <t xml:space="preserve">Discount rate</t>
  </si>
  <si>
    <t xml:space="preserve">Corporate tax</t>
  </si>
  <si>
    <t xml:space="preserve">Product</t>
  </si>
  <si>
    <t xml:space="preserve">Units</t>
  </si>
  <si>
    <t xml:space="preserve">Size (sqm)</t>
  </si>
  <si>
    <t xml:space="preserve">Price at launch (EGP/sqm)</t>
  </si>
  <si>
    <t xml:space="preserve">Launch quarter</t>
  </si>
  <si>
    <t xml:space="preserve">Sales a quarter (units)</t>
  </si>
  <si>
    <t xml:space="preserve">Construction start quarter</t>
  </si>
  <si>
    <t xml:space="preserve">Build (quarters)</t>
  </si>
  <si>
    <t xml:space="preserve">Build cost (EGP/sqm)</t>
  </si>
  <si>
    <t xml:space="preserve">Villas</t>
  </si>
  <si>
    <t xml:space="preserve">Townhouses</t>
  </si>
  <si>
    <t xml:space="preserve">Apartments</t>
  </si>
  <si>
    <t xml:space="preserve">Retail</t>
  </si>
  <si>
    <t xml:space="preserve">Quarter</t>
  </si>
  <si>
    <t xml:space="preserve">Date</t>
  </si>
  <si>
    <t xml:space="preserve">Villas · units sold</t>
  </si>
  <si>
    <t xml:space="preserve">Villas · cumulative units</t>
  </si>
  <si>
    <t xml:space="preserve">Villas · sales value</t>
  </si>
  <si>
    <t xml:space="preserve">Villas · instalments</t>
  </si>
  <si>
    <t xml:space="preserve">Villas · delivery</t>
  </si>
  <si>
    <t xml:space="preserve">Villas · collections</t>
  </si>
  <si>
    <t xml:space="preserve">Villas · build cost</t>
  </si>
  <si>
    <t xml:space="preserve">Townhouses · units sold</t>
  </si>
  <si>
    <t xml:space="preserve">Townhouses · cumulative units</t>
  </si>
  <si>
    <t xml:space="preserve">Townhouses · sales value</t>
  </si>
  <si>
    <t xml:space="preserve">Townhouses · instalments</t>
  </si>
  <si>
    <t xml:space="preserve">Townhouses · delivery</t>
  </si>
  <si>
    <t xml:space="preserve">Townhouses · collections</t>
  </si>
  <si>
    <t xml:space="preserve">Townhouses · build cost</t>
  </si>
  <si>
    <t xml:space="preserve">Apartments · units sold</t>
  </si>
  <si>
    <t xml:space="preserve">Apartments · cumulative units</t>
  </si>
  <si>
    <t xml:space="preserve">Apartments · sales value</t>
  </si>
  <si>
    <t xml:space="preserve">Apartments · instalments</t>
  </si>
  <si>
    <t xml:space="preserve">Apartments · delivery</t>
  </si>
  <si>
    <t xml:space="preserve">Apartments · collections</t>
  </si>
  <si>
    <t xml:space="preserve">Apartments · build cost</t>
  </si>
  <si>
    <t xml:space="preserve">Retail · units sold</t>
  </si>
  <si>
    <t xml:space="preserve">Retail · cumulative units</t>
  </si>
  <si>
    <t xml:space="preserve">Retail · sales value</t>
  </si>
  <si>
    <t xml:space="preserve">Retail · instalments</t>
  </si>
  <si>
    <t xml:space="preserve">Retail · delivery</t>
  </si>
  <si>
    <t xml:space="preserve">Retail · collections</t>
  </si>
  <si>
    <t xml:space="preserve">Retail · build cost</t>
  </si>
  <si>
    <t xml:space="preserve">Collections</t>
  </si>
  <si>
    <t xml:space="preserve">Sales value</t>
  </si>
  <si>
    <t xml:space="preserve">Build cost</t>
  </si>
  <si>
    <t xml:space="preserve">Commissions</t>
  </si>
  <si>
    <t xml:space="preserve">Land</t>
  </si>
  <si>
    <t xml:space="preserve">Pre-tax cash flow</t>
  </si>
  <si>
    <t xml:space="preserve">Cumulative cash</t>
  </si>
  <si>
    <t xml:space="preserve">Tax</t>
  </si>
  <si>
    <t xml:space="preserve">Net cash flow</t>
  </si>
  <si>
    <t xml:space="preserve">Project IRR (XIRR)</t>
  </si>
  <si>
    <t xml:space="preserve">NPV at the discount rate (EGP)</t>
  </si>
  <si>
    <t xml:space="preserve">Net profit (EGP)</t>
  </si>
  <si>
    <t xml:space="preserve">Peak funding (EGP)</t>
  </si>
  <si>
    <t xml:space="preserve">Total sales value (EGP)</t>
  </si>
  <si>
    <t xml:space="preserve">Receivables outstanding at the horizon (EGP)</t>
  </si>
  <si>
    <t xml:space="preserve">Total development cost (EGP)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</si>
</sst>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.00%"/>
    <numFmt numFmtId="167" formatCode="0"/>
    <numFmt numFmtId="168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46112</v>
      </c>
    </row>
    <row r="4" customFormat="false" ht="15" hidden="false" customHeight="false" outlineLevel="0" collapsed="false">
      <c r="A4" s="0" t="s">
        <v>2</v>
      </c>
      <c r="B4" s="2" t="n">
        <v>0.1</v>
      </c>
    </row>
    <row r="5" customFormat="false" ht="15" hidden="false" customHeight="false" outlineLevel="0" collapsed="false">
      <c r="A5" s="0" t="s">
        <v>3</v>
      </c>
      <c r="B5" s="2" t="n">
        <v>0.05</v>
      </c>
    </row>
    <row r="6" customFormat="false" ht="15" hidden="false" customHeight="false" outlineLevel="0" collapsed="false">
      <c r="A6" s="0" t="s">
        <v>4</v>
      </c>
      <c r="B6" s="3" t="n">
        <v>28</v>
      </c>
    </row>
    <row r="7" customFormat="false" ht="15" hidden="false" customHeight="false" outlineLevel="0" collapsed="false">
      <c r="A7" s="0" t="s">
        <v>5</v>
      </c>
      <c r="B7" s="2" t="n">
        <v>0.04</v>
      </c>
    </row>
    <row r="8" customFormat="false" ht="15" hidden="false" customHeight="false" outlineLevel="0" collapsed="false">
      <c r="A8" s="0" t="s">
        <v>6</v>
      </c>
      <c r="B8" s="2" t="n">
        <v>0.035</v>
      </c>
    </row>
    <row r="9" customFormat="false" ht="15" hidden="false" customHeight="false" outlineLevel="0" collapsed="false">
      <c r="A9" s="0" t="s">
        <v>7</v>
      </c>
      <c r="B9" s="2" t="n">
        <v>0.03</v>
      </c>
    </row>
    <row r="10" customFormat="false" ht="15" hidden="false" customHeight="false" outlineLevel="0" collapsed="false">
      <c r="A10" s="0" t="s">
        <v>8</v>
      </c>
      <c r="B10" s="4" t="n">
        <v>2400000000</v>
      </c>
    </row>
    <row r="11" customFormat="false" ht="15" hidden="false" customHeight="false" outlineLevel="0" collapsed="false">
      <c r="A11" s="0" t="s">
        <v>9</v>
      </c>
      <c r="B11" s="2" t="n">
        <v>0.2</v>
      </c>
    </row>
    <row r="12" customFormat="false" ht="15" hidden="false" customHeight="false" outlineLevel="0" collapsed="false">
      <c r="A12" s="0" t="s">
        <v>10</v>
      </c>
      <c r="B12" s="3" t="n">
        <v>8</v>
      </c>
    </row>
    <row r="13" customFormat="false" ht="15" hidden="false" customHeight="false" outlineLevel="0" collapsed="false">
      <c r="A13" s="0" t="s">
        <v>11</v>
      </c>
      <c r="B13" s="2" t="n">
        <v>0.25</v>
      </c>
    </row>
    <row r="14" customFormat="false" ht="15" hidden="false" customHeight="false" outlineLevel="0" collapsed="false">
      <c r="A14" s="0" t="s">
        <v>12</v>
      </c>
      <c r="B14" s="2" t="n">
        <v>0.225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 customFormat="false" ht="15" hidden="false" customHeight="false" outlineLevel="0" collapsed="false">
      <c r="A2" s="0" t="s">
        <v>22</v>
      </c>
      <c r="B2" s="4" t="n">
        <v>180</v>
      </c>
      <c r="C2" s="4" t="n">
        <v>320</v>
      </c>
      <c r="D2" s="4" t="n">
        <v>62000</v>
      </c>
      <c r="E2" s="4" t="n">
        <v>1</v>
      </c>
      <c r="F2" s="4" t="n">
        <v>9</v>
      </c>
      <c r="G2" s="4" t="n">
        <v>2</v>
      </c>
      <c r="H2" s="4" t="n">
        <v>10</v>
      </c>
      <c r="I2" s="4" t="n">
        <v>21000</v>
      </c>
    </row>
    <row r="3" customFormat="false" ht="15" hidden="false" customHeight="false" outlineLevel="0" collapsed="false">
      <c r="A3" s="0" t="s">
        <v>23</v>
      </c>
      <c r="B3" s="4" t="n">
        <v>260</v>
      </c>
      <c r="C3" s="4" t="n">
        <v>230</v>
      </c>
      <c r="D3" s="4" t="n">
        <v>55000</v>
      </c>
      <c r="E3" s="4" t="n">
        <v>2</v>
      </c>
      <c r="F3" s="4" t="n">
        <v>14</v>
      </c>
      <c r="G3" s="4" t="n">
        <v>3</v>
      </c>
      <c r="H3" s="4" t="n">
        <v>9</v>
      </c>
      <c r="I3" s="4" t="n">
        <v>19000</v>
      </c>
    </row>
    <row r="4" customFormat="false" ht="15" hidden="false" customHeight="false" outlineLevel="0" collapsed="false">
      <c r="A4" s="0" t="s">
        <v>24</v>
      </c>
      <c r="B4" s="4" t="n">
        <v>900</v>
      </c>
      <c r="C4" s="4" t="n">
        <v>140</v>
      </c>
      <c r="D4" s="4" t="n">
        <v>48000</v>
      </c>
      <c r="E4" s="4" t="n">
        <v>1</v>
      </c>
      <c r="F4" s="4" t="n">
        <v>45</v>
      </c>
      <c r="G4" s="4" t="n">
        <v>2</v>
      </c>
      <c r="H4" s="4" t="n">
        <v>12</v>
      </c>
      <c r="I4" s="4" t="n">
        <v>17000</v>
      </c>
    </row>
    <row r="5" customFormat="false" ht="15" hidden="false" customHeight="false" outlineLevel="0" collapsed="false">
      <c r="A5" s="0" t="s">
        <v>25</v>
      </c>
      <c r="B5" s="4" t="n">
        <v>60</v>
      </c>
      <c r="C5" s="4" t="n">
        <v>180</v>
      </c>
      <c r="D5" s="4" t="n">
        <v>70000</v>
      </c>
      <c r="E5" s="4" t="n">
        <v>6</v>
      </c>
      <c r="F5" s="4" t="n">
        <v>4</v>
      </c>
      <c r="G5" s="4" t="n">
        <v>8</v>
      </c>
      <c r="H5" s="4" t="n">
        <v>8</v>
      </c>
      <c r="I5" s="4" t="n">
        <v>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</row>
    <row r="4" customFormat="false" ht="15" hidden="false" customHeight="false" outlineLevel="0" collapsed="false">
      <c r="A4" s="0" t="s">
        <v>27</v>
      </c>
      <c r="B4" s="1" t="n">
        <f aca="false">EOMONTH(Inputs!$B$3,3*B$3)</f>
        <v>46112</v>
      </c>
      <c r="C4" s="1" t="n">
        <f aca="false">EOMONTH(Inputs!$B$3,3*C$3)</f>
        <v>46203</v>
      </c>
      <c r="D4" s="1" t="n">
        <f aca="false">EOMONTH(Inputs!$B$3,3*D$3)</f>
        <v>46295</v>
      </c>
      <c r="E4" s="1" t="n">
        <f aca="false">EOMONTH(Inputs!$B$3,3*E$3)</f>
        <v>46387</v>
      </c>
      <c r="F4" s="1" t="n">
        <f aca="false">EOMONTH(Inputs!$B$3,3*F$3)</f>
        <v>46477</v>
      </c>
      <c r="G4" s="1" t="n">
        <f aca="false">EOMONTH(Inputs!$B$3,3*G$3)</f>
        <v>46568</v>
      </c>
      <c r="H4" s="1" t="n">
        <f aca="false">EOMONTH(Inputs!$B$3,3*H$3)</f>
        <v>46660</v>
      </c>
      <c r="I4" s="1" t="n">
        <f aca="false">EOMONTH(Inputs!$B$3,3*I$3)</f>
        <v>46752</v>
      </c>
      <c r="J4" s="1" t="n">
        <f aca="false">EOMONTH(Inputs!$B$3,3*J$3)</f>
        <v>46843</v>
      </c>
      <c r="K4" s="1" t="n">
        <f aca="false">EOMONTH(Inputs!$B$3,3*K$3)</f>
        <v>46934</v>
      </c>
      <c r="L4" s="1" t="n">
        <f aca="false">EOMONTH(Inputs!$B$3,3*L$3)</f>
        <v>47026</v>
      </c>
      <c r="M4" s="1" t="n">
        <f aca="false">EOMONTH(Inputs!$B$3,3*M$3)</f>
        <v>47118</v>
      </c>
      <c r="N4" s="1" t="n">
        <f aca="false">EOMONTH(Inputs!$B$3,3*N$3)</f>
        <v>47208</v>
      </c>
      <c r="O4" s="1" t="n">
        <f aca="false">EOMONTH(Inputs!$B$3,3*O$3)</f>
        <v>47299</v>
      </c>
      <c r="P4" s="1" t="n">
        <f aca="false">EOMONTH(Inputs!$B$3,3*P$3)</f>
        <v>47391</v>
      </c>
      <c r="Q4" s="1" t="n">
        <f aca="false">EOMONTH(Inputs!$B$3,3*Q$3)</f>
        <v>47483</v>
      </c>
      <c r="R4" s="1" t="n">
        <f aca="false">EOMONTH(Inputs!$B$3,3*R$3)</f>
        <v>47573</v>
      </c>
      <c r="S4" s="1" t="n">
        <f aca="false">EOMONTH(Inputs!$B$3,3*S$3)</f>
        <v>47664</v>
      </c>
      <c r="T4" s="1" t="n">
        <f aca="false">EOMONTH(Inputs!$B$3,3*T$3)</f>
        <v>47756</v>
      </c>
      <c r="U4" s="1" t="n">
        <f aca="false">EOMONTH(Inputs!$B$3,3*U$3)</f>
        <v>47848</v>
      </c>
      <c r="V4" s="1" t="n">
        <f aca="false">EOMONTH(Inputs!$B$3,3*V$3)</f>
        <v>47938</v>
      </c>
      <c r="W4" s="1" t="n">
        <f aca="false">EOMONTH(Inputs!$B$3,3*W$3)</f>
        <v>48029</v>
      </c>
      <c r="X4" s="1" t="n">
        <f aca="false">EOMONTH(Inputs!$B$3,3*X$3)</f>
        <v>48121</v>
      </c>
      <c r="Y4" s="1" t="n">
        <f aca="false">EOMONTH(Inputs!$B$3,3*Y$3)</f>
        <v>48213</v>
      </c>
      <c r="Z4" s="1" t="n">
        <f aca="false">EOMONTH(Inputs!$B$3,3*Z$3)</f>
        <v>48304</v>
      </c>
      <c r="AA4" s="1" t="n">
        <f aca="false">EOMONTH(Inputs!$B$3,3*AA$3)</f>
        <v>48395</v>
      </c>
      <c r="AB4" s="1" t="n">
        <f aca="false">EOMONTH(Inputs!$B$3,3*AB$3)</f>
        <v>48487</v>
      </c>
      <c r="AC4" s="1" t="n">
        <f aca="false">EOMONTH(Inputs!$B$3,3*AC$3)</f>
        <v>48579</v>
      </c>
      <c r="AD4" s="1" t="n">
        <f aca="false">EOMONTH(Inputs!$B$3,3*AD$3)</f>
        <v>48669</v>
      </c>
      <c r="AE4" s="1" t="n">
        <f aca="false">EOMONTH(Inputs!$B$3,3*AE$3)</f>
        <v>48760</v>
      </c>
      <c r="AF4" s="1" t="n">
        <f aca="false">EOMONTH(Inputs!$B$3,3*AF$3)</f>
        <v>48852</v>
      </c>
      <c r="AG4" s="1" t="n">
        <f aca="false">EOMONTH(Inputs!$B$3,3*AG$3)</f>
        <v>48944</v>
      </c>
      <c r="AH4" s="1" t="n">
        <f aca="false">EOMONTH(Inputs!$B$3,3*AH$3)</f>
        <v>49034</v>
      </c>
      <c r="AI4" s="1" t="n">
        <f aca="false">EOMONTH(Inputs!$B$3,3*AI$3)</f>
        <v>49125</v>
      </c>
      <c r="AJ4" s="1" t="n">
        <f aca="false">EOMONTH(Inputs!$B$3,3*AJ$3)</f>
        <v>49217</v>
      </c>
      <c r="AK4" s="1" t="n">
        <f aca="false">EOMONTH(Inputs!$B$3,3*AK$3)</f>
        <v>49309</v>
      </c>
      <c r="AL4" s="1" t="n">
        <f aca="false">EOMONTH(Inputs!$B$3,3*AL$3)</f>
        <v>49399</v>
      </c>
      <c r="AM4" s="1" t="n">
        <f aca="false">EOMONTH(Inputs!$B$3,3*AM$3)</f>
        <v>49490</v>
      </c>
      <c r="AN4" s="1" t="n">
        <f aca="false">EOMONTH(Inputs!$B$3,3*AN$3)</f>
        <v>49582</v>
      </c>
      <c r="AO4" s="1" t="n">
        <f aca="false">EOMONTH(Inputs!$B$3,3*AO$3)</f>
        <v>49674</v>
      </c>
      <c r="AP4" s="1" t="n">
        <f aca="false">EOMONTH(Inputs!$B$3,3*AP$3)</f>
        <v>49765</v>
      </c>
    </row>
    <row r="5" customFormat="false" ht="15" hidden="false" customHeight="false" outlineLevel="0" collapsed="false">
      <c r="A5" s="0" t="s">
        <v>28</v>
      </c>
      <c r="B5" s="0" t="n">
        <f aca="false">IF(B$3&gt;=Products!$E$2,MIN(Products!$F$2,Products!$B$2-0),0)</f>
        <v>0</v>
      </c>
      <c r="C5" s="0" t="n">
        <f aca="false">IF(C$3&gt;=Products!$E$2,MIN(Products!$F$2,Products!$B$2-B6),0)</f>
        <v>9</v>
      </c>
      <c r="D5" s="0" t="n">
        <f aca="false">IF(D$3&gt;=Products!$E$2,MIN(Products!$F$2,Products!$B$2-C6),0)</f>
        <v>9</v>
      </c>
      <c r="E5" s="0" t="n">
        <f aca="false">IF(E$3&gt;=Products!$E$2,MIN(Products!$F$2,Products!$B$2-D6),0)</f>
        <v>9</v>
      </c>
      <c r="F5" s="0" t="n">
        <f aca="false">IF(F$3&gt;=Products!$E$2,MIN(Products!$F$2,Products!$B$2-E6),0)</f>
        <v>9</v>
      </c>
      <c r="G5" s="0" t="n">
        <f aca="false">IF(G$3&gt;=Products!$E$2,MIN(Products!$F$2,Products!$B$2-F6),0)</f>
        <v>9</v>
      </c>
      <c r="H5" s="0" t="n">
        <f aca="false">IF(H$3&gt;=Products!$E$2,MIN(Products!$F$2,Products!$B$2-G6),0)</f>
        <v>9</v>
      </c>
      <c r="I5" s="0" t="n">
        <f aca="false">IF(I$3&gt;=Products!$E$2,MIN(Products!$F$2,Products!$B$2-H6),0)</f>
        <v>9</v>
      </c>
      <c r="J5" s="0" t="n">
        <f aca="false">IF(J$3&gt;=Products!$E$2,MIN(Products!$F$2,Products!$B$2-I6),0)</f>
        <v>9</v>
      </c>
      <c r="K5" s="0" t="n">
        <f aca="false">IF(K$3&gt;=Products!$E$2,MIN(Products!$F$2,Products!$B$2-J6),0)</f>
        <v>9</v>
      </c>
      <c r="L5" s="0" t="n">
        <f aca="false">IF(L$3&gt;=Products!$E$2,MIN(Products!$F$2,Products!$B$2-K6),0)</f>
        <v>9</v>
      </c>
      <c r="M5" s="0" t="n">
        <f aca="false">IF(M$3&gt;=Products!$E$2,MIN(Products!$F$2,Products!$B$2-L6),0)</f>
        <v>9</v>
      </c>
      <c r="N5" s="0" t="n">
        <f aca="false">IF(N$3&gt;=Products!$E$2,MIN(Products!$F$2,Products!$B$2-M6),0)</f>
        <v>9</v>
      </c>
      <c r="O5" s="0" t="n">
        <f aca="false">IF(O$3&gt;=Products!$E$2,MIN(Products!$F$2,Products!$B$2-N6),0)</f>
        <v>9</v>
      </c>
      <c r="P5" s="0" t="n">
        <f aca="false">IF(P$3&gt;=Products!$E$2,MIN(Products!$F$2,Products!$B$2-O6),0)</f>
        <v>9</v>
      </c>
      <c r="Q5" s="0" t="n">
        <f aca="false">IF(Q$3&gt;=Products!$E$2,MIN(Products!$F$2,Products!$B$2-P6),0)</f>
        <v>9</v>
      </c>
      <c r="R5" s="0" t="n">
        <f aca="false">IF(R$3&gt;=Products!$E$2,MIN(Products!$F$2,Products!$B$2-Q6),0)</f>
        <v>9</v>
      </c>
      <c r="S5" s="0" t="n">
        <f aca="false">IF(S$3&gt;=Products!$E$2,MIN(Products!$F$2,Products!$B$2-R6),0)</f>
        <v>9</v>
      </c>
      <c r="T5" s="0" t="n">
        <f aca="false">IF(T$3&gt;=Products!$E$2,MIN(Products!$F$2,Products!$B$2-S6),0)</f>
        <v>9</v>
      </c>
      <c r="U5" s="0" t="n">
        <f aca="false">IF(U$3&gt;=Products!$E$2,MIN(Products!$F$2,Products!$B$2-T6),0)</f>
        <v>9</v>
      </c>
      <c r="V5" s="0" t="n">
        <f aca="false">IF(V$3&gt;=Products!$E$2,MIN(Products!$F$2,Products!$B$2-U6),0)</f>
        <v>9</v>
      </c>
      <c r="W5" s="0" t="n">
        <f aca="false">IF(W$3&gt;=Products!$E$2,MIN(Products!$F$2,Products!$B$2-V6),0)</f>
        <v>0</v>
      </c>
      <c r="X5" s="0" t="n">
        <f aca="false">IF(X$3&gt;=Products!$E$2,MIN(Products!$F$2,Products!$B$2-W6),0)</f>
        <v>0</v>
      </c>
      <c r="Y5" s="0" t="n">
        <f aca="false">IF(Y$3&gt;=Products!$E$2,MIN(Products!$F$2,Products!$B$2-X6),0)</f>
        <v>0</v>
      </c>
      <c r="Z5" s="0" t="n">
        <f aca="false">IF(Z$3&gt;=Products!$E$2,MIN(Products!$F$2,Products!$B$2-Y6),0)</f>
        <v>0</v>
      </c>
      <c r="AA5" s="0" t="n">
        <f aca="false">IF(AA$3&gt;=Products!$E$2,MIN(Products!$F$2,Products!$B$2-Z6),0)</f>
        <v>0</v>
      </c>
      <c r="AB5" s="0" t="n">
        <f aca="false">IF(AB$3&gt;=Products!$E$2,MIN(Products!$F$2,Products!$B$2-AA6),0)</f>
        <v>0</v>
      </c>
      <c r="AC5" s="0" t="n">
        <f aca="false">IF(AC$3&gt;=Products!$E$2,MIN(Products!$F$2,Products!$B$2-AB6),0)</f>
        <v>0</v>
      </c>
      <c r="AD5" s="0" t="n">
        <f aca="false">IF(AD$3&gt;=Products!$E$2,MIN(Products!$F$2,Products!$B$2-AC6),0)</f>
        <v>0</v>
      </c>
      <c r="AE5" s="0" t="n">
        <f aca="false">IF(AE$3&gt;=Products!$E$2,MIN(Products!$F$2,Products!$B$2-AD6),0)</f>
        <v>0</v>
      </c>
      <c r="AF5" s="0" t="n">
        <f aca="false">IF(AF$3&gt;=Products!$E$2,MIN(Products!$F$2,Products!$B$2-AE6),0)</f>
        <v>0</v>
      </c>
      <c r="AG5" s="0" t="n">
        <f aca="false">IF(AG$3&gt;=Products!$E$2,MIN(Products!$F$2,Products!$B$2-AF6),0)</f>
        <v>0</v>
      </c>
      <c r="AH5" s="0" t="n">
        <f aca="false">IF(AH$3&gt;=Products!$E$2,MIN(Products!$F$2,Products!$B$2-AG6),0)</f>
        <v>0</v>
      </c>
      <c r="AI5" s="0" t="n">
        <f aca="false">IF(AI$3&gt;=Products!$E$2,MIN(Products!$F$2,Products!$B$2-AH6),0)</f>
        <v>0</v>
      </c>
      <c r="AJ5" s="0" t="n">
        <f aca="false">IF(AJ$3&gt;=Products!$E$2,MIN(Products!$F$2,Products!$B$2-AI6),0)</f>
        <v>0</v>
      </c>
      <c r="AK5" s="0" t="n">
        <f aca="false">IF(AK$3&gt;=Products!$E$2,MIN(Products!$F$2,Products!$B$2-AJ6),0)</f>
        <v>0</v>
      </c>
      <c r="AL5" s="0" t="n">
        <f aca="false">IF(AL$3&gt;=Products!$E$2,MIN(Products!$F$2,Products!$B$2-AK6),0)</f>
        <v>0</v>
      </c>
      <c r="AM5" s="0" t="n">
        <f aca="false">IF(AM$3&gt;=Products!$E$2,MIN(Products!$F$2,Products!$B$2-AL6),0)</f>
        <v>0</v>
      </c>
      <c r="AN5" s="0" t="n">
        <f aca="false">IF(AN$3&gt;=Products!$E$2,MIN(Products!$F$2,Products!$B$2-AM6),0)</f>
        <v>0</v>
      </c>
      <c r="AO5" s="0" t="n">
        <f aca="false">IF(AO$3&gt;=Products!$E$2,MIN(Products!$F$2,Products!$B$2-AN6),0)</f>
        <v>0</v>
      </c>
      <c r="AP5" s="0" t="n">
        <f aca="false">IF(AP$3&gt;=Products!$E$2,MIN(Products!$F$2,Products!$B$2-AO6),0)</f>
        <v>0</v>
      </c>
    </row>
    <row r="6" customFormat="false" ht="15" hidden="false" customHeight="false" outlineLevel="0" collapsed="false">
      <c r="A6" s="0" t="s">
        <v>29</v>
      </c>
      <c r="B6" s="0" t="n">
        <f aca="false">B5</f>
        <v>0</v>
      </c>
      <c r="C6" s="0" t="n">
        <f aca="false">B6+C5</f>
        <v>9</v>
      </c>
      <c r="D6" s="0" t="n">
        <f aca="false">C6+D5</f>
        <v>18</v>
      </c>
      <c r="E6" s="0" t="n">
        <f aca="false">D6+E5</f>
        <v>27</v>
      </c>
      <c r="F6" s="0" t="n">
        <f aca="false">E6+F5</f>
        <v>36</v>
      </c>
      <c r="G6" s="0" t="n">
        <f aca="false">F6+G5</f>
        <v>45</v>
      </c>
      <c r="H6" s="0" t="n">
        <f aca="false">G6+H5</f>
        <v>54</v>
      </c>
      <c r="I6" s="0" t="n">
        <f aca="false">H6+I5</f>
        <v>63</v>
      </c>
      <c r="J6" s="0" t="n">
        <f aca="false">I6+J5</f>
        <v>72</v>
      </c>
      <c r="K6" s="0" t="n">
        <f aca="false">J6+K5</f>
        <v>81</v>
      </c>
      <c r="L6" s="0" t="n">
        <f aca="false">K6+L5</f>
        <v>90</v>
      </c>
      <c r="M6" s="0" t="n">
        <f aca="false">L6+M5</f>
        <v>99</v>
      </c>
      <c r="N6" s="0" t="n">
        <f aca="false">M6+N5</f>
        <v>108</v>
      </c>
      <c r="O6" s="0" t="n">
        <f aca="false">N6+O5</f>
        <v>117</v>
      </c>
      <c r="P6" s="0" t="n">
        <f aca="false">O6+P5</f>
        <v>126</v>
      </c>
      <c r="Q6" s="0" t="n">
        <f aca="false">P6+Q5</f>
        <v>135</v>
      </c>
      <c r="R6" s="0" t="n">
        <f aca="false">Q6+R5</f>
        <v>144</v>
      </c>
      <c r="S6" s="0" t="n">
        <f aca="false">R6+S5</f>
        <v>153</v>
      </c>
      <c r="T6" s="0" t="n">
        <f aca="false">S6+T5</f>
        <v>162</v>
      </c>
      <c r="U6" s="0" t="n">
        <f aca="false">T6+U5</f>
        <v>171</v>
      </c>
      <c r="V6" s="0" t="n">
        <f aca="false">U6+V5</f>
        <v>180</v>
      </c>
      <c r="W6" s="0" t="n">
        <f aca="false">V6+W5</f>
        <v>180</v>
      </c>
      <c r="X6" s="0" t="n">
        <f aca="false">W6+X5</f>
        <v>180</v>
      </c>
      <c r="Y6" s="0" t="n">
        <f aca="false">X6+Y5</f>
        <v>180</v>
      </c>
      <c r="Z6" s="0" t="n">
        <f aca="false">Y6+Z5</f>
        <v>180</v>
      </c>
      <c r="AA6" s="0" t="n">
        <f aca="false">Z6+AA5</f>
        <v>180</v>
      </c>
      <c r="AB6" s="0" t="n">
        <f aca="false">AA6+AB5</f>
        <v>180</v>
      </c>
      <c r="AC6" s="0" t="n">
        <f aca="false">AB6+AC5</f>
        <v>180</v>
      </c>
      <c r="AD6" s="0" t="n">
        <f aca="false">AC6+AD5</f>
        <v>180</v>
      </c>
      <c r="AE6" s="0" t="n">
        <f aca="false">AD6+AE5</f>
        <v>180</v>
      </c>
      <c r="AF6" s="0" t="n">
        <f aca="false">AE6+AF5</f>
        <v>180</v>
      </c>
      <c r="AG6" s="0" t="n">
        <f aca="false">AF6+AG5</f>
        <v>180</v>
      </c>
      <c r="AH6" s="0" t="n">
        <f aca="false">AG6+AH5</f>
        <v>180</v>
      </c>
      <c r="AI6" s="0" t="n">
        <f aca="false">AH6+AI5</f>
        <v>180</v>
      </c>
      <c r="AJ6" s="0" t="n">
        <f aca="false">AI6+AJ5</f>
        <v>180</v>
      </c>
      <c r="AK6" s="0" t="n">
        <f aca="false">AJ6+AK5</f>
        <v>180</v>
      </c>
      <c r="AL6" s="0" t="n">
        <f aca="false">AK6+AL5</f>
        <v>180</v>
      </c>
      <c r="AM6" s="0" t="n">
        <f aca="false">AL6+AM5</f>
        <v>180</v>
      </c>
      <c r="AN6" s="0" t="n">
        <f aca="false">AM6+AN5</f>
        <v>180</v>
      </c>
      <c r="AO6" s="0" t="n">
        <f aca="false">AN6+AO5</f>
        <v>180</v>
      </c>
      <c r="AP6" s="0" t="n">
        <f aca="false">AO6+AP5</f>
        <v>180</v>
      </c>
    </row>
    <row r="7" customFormat="false" ht="15" hidden="false" customHeight="false" outlineLevel="0" collapsed="false">
      <c r="A7" s="0" t="s">
        <v>30</v>
      </c>
      <c r="B7" s="0" t="n">
        <f aca="false">B5*Products!$C$2*Products!$D$2*(1+Inputs!$B$7)^MAX(0,B$3-Products!$E$2)</f>
        <v>0</v>
      </c>
      <c r="C7" s="0" t="n">
        <f aca="false">C5*Products!$C$2*Products!$D$2*(1+Inputs!$B$7)^MAX(0,C$3-Products!$E$2)</f>
        <v>178560000</v>
      </c>
      <c r="D7" s="0" t="n">
        <f aca="false">D5*Products!$C$2*Products!$D$2*(1+Inputs!$B$7)^MAX(0,D$3-Products!$E$2)</f>
        <v>185702400</v>
      </c>
      <c r="E7" s="0" t="n">
        <f aca="false">E5*Products!$C$2*Products!$D$2*(1+Inputs!$B$7)^MAX(0,E$3-Products!$E$2)</f>
        <v>193130496</v>
      </c>
      <c r="F7" s="0" t="n">
        <f aca="false">F5*Products!$C$2*Products!$D$2*(1+Inputs!$B$7)^MAX(0,F$3-Products!$E$2)</f>
        <v>200855715.84</v>
      </c>
      <c r="G7" s="0" t="n">
        <f aca="false">G5*Products!$C$2*Products!$D$2*(1+Inputs!$B$7)^MAX(0,G$3-Products!$E$2)</f>
        <v>208889944.4736</v>
      </c>
      <c r="H7" s="0" t="n">
        <f aca="false">H5*Products!$C$2*Products!$D$2*(1+Inputs!$B$7)^MAX(0,H$3-Products!$E$2)</f>
        <v>217245542.252544</v>
      </c>
      <c r="I7" s="0" t="n">
        <f aca="false">I5*Products!$C$2*Products!$D$2*(1+Inputs!$B$7)^MAX(0,I$3-Products!$E$2)</f>
        <v>225935363.942646</v>
      </c>
      <c r="J7" s="0" t="n">
        <f aca="false">J5*Products!$C$2*Products!$D$2*(1+Inputs!$B$7)^MAX(0,J$3-Products!$E$2)</f>
        <v>234972778.500352</v>
      </c>
      <c r="K7" s="0" t="n">
        <f aca="false">K5*Products!$C$2*Products!$D$2*(1+Inputs!$B$7)^MAX(0,K$3-Products!$E$2)</f>
        <v>244371689.640366</v>
      </c>
      <c r="L7" s="0" t="n">
        <f aca="false">L5*Products!$C$2*Products!$D$2*(1+Inputs!$B$7)^MAX(0,L$3-Products!$E$2)</f>
        <v>254146557.22598</v>
      </c>
      <c r="M7" s="0" t="n">
        <f aca="false">M5*Products!$C$2*Products!$D$2*(1+Inputs!$B$7)^MAX(0,M$3-Products!$E$2)</f>
        <v>264312419.51502</v>
      </c>
      <c r="N7" s="0" t="n">
        <f aca="false">N5*Products!$C$2*Products!$D$2*(1+Inputs!$B$7)^MAX(0,N$3-Products!$E$2)</f>
        <v>274884916.29562</v>
      </c>
      <c r="O7" s="0" t="n">
        <f aca="false">O5*Products!$C$2*Products!$D$2*(1+Inputs!$B$7)^MAX(0,O$3-Products!$E$2)</f>
        <v>285880312.947445</v>
      </c>
      <c r="P7" s="0" t="n">
        <f aca="false">P5*Products!$C$2*Products!$D$2*(1+Inputs!$B$7)^MAX(0,P$3-Products!$E$2)</f>
        <v>297315525.465343</v>
      </c>
      <c r="Q7" s="0" t="n">
        <f aca="false">Q5*Products!$C$2*Products!$D$2*(1+Inputs!$B$7)^MAX(0,Q$3-Products!$E$2)</f>
        <v>309208146.483957</v>
      </c>
      <c r="R7" s="0" t="n">
        <f aca="false">R5*Products!$C$2*Products!$D$2*(1+Inputs!$B$7)^MAX(0,R$3-Products!$E$2)</f>
        <v>321576472.343315</v>
      </c>
      <c r="S7" s="0" t="n">
        <f aca="false">S5*Products!$C$2*Products!$D$2*(1+Inputs!$B$7)^MAX(0,S$3-Products!$E$2)</f>
        <v>334439531.237048</v>
      </c>
      <c r="T7" s="0" t="n">
        <f aca="false">T5*Products!$C$2*Products!$D$2*(1+Inputs!$B$7)^MAX(0,T$3-Products!$E$2)</f>
        <v>347817112.48653</v>
      </c>
      <c r="U7" s="0" t="n">
        <f aca="false">U5*Products!$C$2*Products!$D$2*(1+Inputs!$B$7)^MAX(0,U$3-Products!$E$2)</f>
        <v>361729796.985991</v>
      </c>
      <c r="V7" s="0" t="n">
        <f aca="false">V5*Products!$C$2*Products!$D$2*(1+Inputs!$B$7)^MAX(0,V$3-Products!$E$2)</f>
        <v>376198988.86543</v>
      </c>
      <c r="W7" s="0" t="n">
        <f aca="false">W5*Products!$C$2*Products!$D$2*(1+Inputs!$B$7)^MAX(0,W$3-Products!$E$2)</f>
        <v>0</v>
      </c>
      <c r="X7" s="0" t="n">
        <f aca="false">X5*Products!$C$2*Products!$D$2*(1+Inputs!$B$7)^MAX(0,X$3-Products!$E$2)</f>
        <v>0</v>
      </c>
      <c r="Y7" s="0" t="n">
        <f aca="false">Y5*Products!$C$2*Products!$D$2*(1+Inputs!$B$7)^MAX(0,Y$3-Products!$E$2)</f>
        <v>0</v>
      </c>
      <c r="Z7" s="0" t="n">
        <f aca="false">Z5*Products!$C$2*Products!$D$2*(1+Inputs!$B$7)^MAX(0,Z$3-Products!$E$2)</f>
        <v>0</v>
      </c>
      <c r="AA7" s="0" t="n">
        <f aca="false">AA5*Products!$C$2*Products!$D$2*(1+Inputs!$B$7)^MAX(0,AA$3-Products!$E$2)</f>
        <v>0</v>
      </c>
      <c r="AB7" s="0" t="n">
        <f aca="false">AB5*Products!$C$2*Products!$D$2*(1+Inputs!$B$7)^MAX(0,AB$3-Products!$E$2)</f>
        <v>0</v>
      </c>
      <c r="AC7" s="0" t="n">
        <f aca="false">AC5*Products!$C$2*Products!$D$2*(1+Inputs!$B$7)^MAX(0,AC$3-Products!$E$2)</f>
        <v>0</v>
      </c>
      <c r="AD7" s="0" t="n">
        <f aca="false">AD5*Products!$C$2*Products!$D$2*(1+Inputs!$B$7)^MAX(0,AD$3-Products!$E$2)</f>
        <v>0</v>
      </c>
      <c r="AE7" s="0" t="n">
        <f aca="false">AE5*Products!$C$2*Products!$D$2*(1+Inputs!$B$7)^MAX(0,AE$3-Products!$E$2)</f>
        <v>0</v>
      </c>
      <c r="AF7" s="0" t="n">
        <f aca="false">AF5*Products!$C$2*Products!$D$2*(1+Inputs!$B$7)^MAX(0,AF$3-Products!$E$2)</f>
        <v>0</v>
      </c>
      <c r="AG7" s="0" t="n">
        <f aca="false">AG5*Products!$C$2*Products!$D$2*(1+Inputs!$B$7)^MAX(0,AG$3-Products!$E$2)</f>
        <v>0</v>
      </c>
      <c r="AH7" s="0" t="n">
        <f aca="false">AH5*Products!$C$2*Products!$D$2*(1+Inputs!$B$7)^MAX(0,AH$3-Products!$E$2)</f>
        <v>0</v>
      </c>
      <c r="AI7" s="0" t="n">
        <f aca="false">AI5*Products!$C$2*Products!$D$2*(1+Inputs!$B$7)^MAX(0,AI$3-Products!$E$2)</f>
        <v>0</v>
      </c>
      <c r="AJ7" s="0" t="n">
        <f aca="false">AJ5*Products!$C$2*Products!$D$2*(1+Inputs!$B$7)^MAX(0,AJ$3-Products!$E$2)</f>
        <v>0</v>
      </c>
      <c r="AK7" s="0" t="n">
        <f aca="false">AK5*Products!$C$2*Products!$D$2*(1+Inputs!$B$7)^MAX(0,AK$3-Products!$E$2)</f>
        <v>0</v>
      </c>
      <c r="AL7" s="0" t="n">
        <f aca="false">AL5*Products!$C$2*Products!$D$2*(1+Inputs!$B$7)^MAX(0,AL$3-Products!$E$2)</f>
        <v>0</v>
      </c>
      <c r="AM7" s="0" t="n">
        <f aca="false">AM5*Products!$C$2*Products!$D$2*(1+Inputs!$B$7)^MAX(0,AM$3-Products!$E$2)</f>
        <v>0</v>
      </c>
      <c r="AN7" s="0" t="n">
        <f aca="false">AN5*Products!$C$2*Products!$D$2*(1+Inputs!$B$7)^MAX(0,AN$3-Products!$E$2)</f>
        <v>0</v>
      </c>
      <c r="AO7" s="0" t="n">
        <f aca="false">AO5*Products!$C$2*Products!$D$2*(1+Inputs!$B$7)^MAX(0,AO$3-Products!$E$2)</f>
        <v>0</v>
      </c>
      <c r="AP7" s="0" t="n">
        <f aca="false">AP5*Products!$C$2*Products!$D$2*(1+Inputs!$B$7)^MAX(0,AP$3-Products!$E$2)</f>
        <v>0</v>
      </c>
    </row>
    <row r="8" customFormat="false" ht="15" hidden="false" customHeight="false" outlineLevel="0" collapsed="false">
      <c r="A8" s="0" t="s">
        <v>31</v>
      </c>
      <c r="B8" s="0" t="n">
        <f aca="false">(1-Inputs!$B$4-Inputs!$B$5)/Inputs!$B$6*SUMIFS($B$7:$AP$7,$B$3:$AP$3,"&gt;="&amp;(B$3-Inputs!$B$6),$B$3:$AP$3,"&lt;="&amp;(B$3-1))</f>
        <v>0</v>
      </c>
      <c r="C8" s="0" t="n">
        <f aca="false">(1-Inputs!$B$4-Inputs!$B$5)/Inputs!$B$6*SUMIFS($B$7:$AP$7,$B$3:$AP$3,"&gt;="&amp;(C$3-Inputs!$B$6),$B$3:$AP$3,"&lt;="&amp;(C$3-1))</f>
        <v>0</v>
      </c>
      <c r="D8" s="0" t="n">
        <f aca="false">(1-Inputs!$B$4-Inputs!$B$5)/Inputs!$B$6*SUMIFS($B$7:$AP$7,$B$3:$AP$3,"&gt;="&amp;(D$3-Inputs!$B$6),$B$3:$AP$3,"&lt;="&amp;(D$3-1))</f>
        <v>5420571.42857143</v>
      </c>
      <c r="E8" s="0" t="n">
        <f aca="false">(1-Inputs!$B$4-Inputs!$B$5)/Inputs!$B$6*SUMIFS($B$7:$AP$7,$B$3:$AP$3,"&gt;="&amp;(E$3-Inputs!$B$6),$B$3:$AP$3,"&lt;="&amp;(E$3-1))</f>
        <v>11057965.7142857</v>
      </c>
      <c r="F8" s="0" t="n">
        <f aca="false">(1-Inputs!$B$4-Inputs!$B$5)/Inputs!$B$6*SUMIFS($B$7:$AP$7,$B$3:$AP$3,"&gt;="&amp;(F$3-Inputs!$B$6),$B$3:$AP$3,"&lt;="&amp;(F$3-1))</f>
        <v>16920855.7714286</v>
      </c>
      <c r="G8" s="0" t="n">
        <f aca="false">(1-Inputs!$B$4-Inputs!$B$5)/Inputs!$B$6*SUMIFS($B$7:$AP$7,$B$3:$AP$3,"&gt;="&amp;(G$3-Inputs!$B$6),$B$3:$AP$3,"&lt;="&amp;(G$3-1))</f>
        <v>23018261.4308571</v>
      </c>
      <c r="H8" s="0" t="n">
        <f aca="false">(1-Inputs!$B$4-Inputs!$B$5)/Inputs!$B$6*SUMIFS($B$7:$AP$7,$B$3:$AP$3,"&gt;="&amp;(H$3-Inputs!$B$6),$B$3:$AP$3,"&lt;="&amp;(H$3-1))</f>
        <v>29359563.3166629</v>
      </c>
      <c r="I8" s="0" t="n">
        <f aca="false">(1-Inputs!$B$4-Inputs!$B$5)/Inputs!$B$6*SUMIFS($B$7:$AP$7,$B$3:$AP$3,"&gt;="&amp;(I$3-Inputs!$B$6),$B$3:$AP$3,"&lt;="&amp;(I$3-1))</f>
        <v>35954517.2779008</v>
      </c>
      <c r="J8" s="0" t="n">
        <f aca="false">(1-Inputs!$B$4-Inputs!$B$5)/Inputs!$B$6*SUMIFS($B$7:$AP$7,$B$3:$AP$3,"&gt;="&amp;(J$3-Inputs!$B$6),$B$3:$AP$3,"&lt;="&amp;(J$3-1))</f>
        <v>42813269.3975883</v>
      </c>
      <c r="K8" s="0" t="n">
        <f aca="false">(1-Inputs!$B$4-Inputs!$B$5)/Inputs!$B$6*SUMIFS($B$7:$AP$7,$B$3:$AP$3,"&gt;="&amp;(K$3-Inputs!$B$6),$B$3:$AP$3,"&lt;="&amp;(K$3-1))</f>
        <v>49946371.6020632</v>
      </c>
      <c r="L8" s="0" t="n">
        <f aca="false">(1-Inputs!$B$4-Inputs!$B$5)/Inputs!$B$6*SUMIFS($B$7:$AP$7,$B$3:$AP$3,"&gt;="&amp;(L$3-Inputs!$B$6),$B$3:$AP$3,"&lt;="&amp;(L$3-1))</f>
        <v>57364797.8947172</v>
      </c>
      <c r="M8" s="0" t="n">
        <f aca="false">(1-Inputs!$B$4-Inputs!$B$5)/Inputs!$B$6*SUMIFS($B$7:$AP$7,$B$3:$AP$3,"&gt;="&amp;(M$3-Inputs!$B$6),$B$3:$AP$3,"&lt;="&amp;(M$3-1))</f>
        <v>65079961.2390773</v>
      </c>
      <c r="N8" s="0" t="n">
        <f aca="false">(1-Inputs!$B$4-Inputs!$B$5)/Inputs!$B$6*SUMIFS($B$7:$AP$7,$B$3:$AP$3,"&gt;="&amp;(N$3-Inputs!$B$6),$B$3:$AP$3,"&lt;="&amp;(N$3-1))</f>
        <v>73103731.1172118</v>
      </c>
      <c r="O8" s="0" t="n">
        <f aca="false">(1-Inputs!$B$4-Inputs!$B$5)/Inputs!$B$6*SUMIFS($B$7:$AP$7,$B$3:$AP$3,"&gt;="&amp;(O$3-Inputs!$B$6),$B$3:$AP$3,"&lt;="&amp;(O$3-1))</f>
        <v>81448451.7904717</v>
      </c>
      <c r="P8" s="0" t="n">
        <f aca="false">(1-Inputs!$B$4-Inputs!$B$5)/Inputs!$B$6*SUMIFS($B$7:$AP$7,$B$3:$AP$3,"&gt;="&amp;(P$3-Inputs!$B$6),$B$3:$AP$3,"&lt;="&amp;(P$3-1))</f>
        <v>90126961.290662</v>
      </c>
      <c r="Q8" s="0" t="n">
        <f aca="false">(1-Inputs!$B$4-Inputs!$B$5)/Inputs!$B$6*SUMIFS($B$7:$AP$7,$B$3:$AP$3,"&gt;="&amp;(Q$3-Inputs!$B$6),$B$3:$AP$3,"&lt;="&amp;(Q$3-1))</f>
        <v>99152611.1708599</v>
      </c>
      <c r="R8" s="0" t="n">
        <f aca="false">(1-Inputs!$B$4-Inputs!$B$5)/Inputs!$B$6*SUMIFS($B$7:$AP$7,$B$3:$AP$3,"&gt;="&amp;(R$3-Inputs!$B$6),$B$3:$AP$3,"&lt;="&amp;(R$3-1))</f>
        <v>108539287.046266</v>
      </c>
      <c r="S8" s="0" t="n">
        <f aca="false">(1-Inputs!$B$4-Inputs!$B$5)/Inputs!$B$6*SUMIFS($B$7:$AP$7,$B$3:$AP$3,"&gt;="&amp;(S$3-Inputs!$B$6),$B$3:$AP$3,"&lt;="&amp;(S$3-1))</f>
        <v>118301429.956688</v>
      </c>
      <c r="T8" s="0" t="n">
        <f aca="false">(1-Inputs!$B$4-Inputs!$B$5)/Inputs!$B$6*SUMIFS($B$7:$AP$7,$B$3:$AP$3,"&gt;="&amp;(T$3-Inputs!$B$6),$B$3:$AP$3,"&lt;="&amp;(T$3-1))</f>
        <v>128454058.583527</v>
      </c>
      <c r="U8" s="0" t="n">
        <f aca="false">(1-Inputs!$B$4-Inputs!$B$5)/Inputs!$B$6*SUMIFS($B$7:$AP$7,$B$3:$AP$3,"&gt;="&amp;(U$3-Inputs!$B$6),$B$3:$AP$3,"&lt;="&amp;(U$3-1))</f>
        <v>139012792.355439</v>
      </c>
      <c r="V8" s="0" t="n">
        <f aca="false">(1-Inputs!$B$4-Inputs!$B$5)/Inputs!$B$6*SUMIFS($B$7:$AP$7,$B$3:$AP$3,"&gt;="&amp;(V$3-Inputs!$B$6),$B$3:$AP$3,"&lt;="&amp;(V$3-1))</f>
        <v>149993875.478228</v>
      </c>
      <c r="W8" s="0" t="n">
        <f aca="false">(1-Inputs!$B$4-Inputs!$B$5)/Inputs!$B$6*SUMIFS($B$7:$AP$7,$B$3:$AP$3,"&gt;="&amp;(W$3-Inputs!$B$6),$B$3:$AP$3,"&lt;="&amp;(W$3-1))</f>
        <v>161414201.925929</v>
      </c>
      <c r="X8" s="0" t="n">
        <f aca="false">(1-Inputs!$B$4-Inputs!$B$5)/Inputs!$B$6*SUMIFS($B$7:$AP$7,$B$3:$AP$3,"&gt;="&amp;(X$3-Inputs!$B$6),$B$3:$AP$3,"&lt;="&amp;(X$3-1))</f>
        <v>161414201.925929</v>
      </c>
      <c r="Y8" s="0" t="n">
        <f aca="false">(1-Inputs!$B$4-Inputs!$B$5)/Inputs!$B$6*SUMIFS($B$7:$AP$7,$B$3:$AP$3,"&gt;="&amp;(Y$3-Inputs!$B$6),$B$3:$AP$3,"&lt;="&amp;(Y$3-1))</f>
        <v>161414201.925929</v>
      </c>
      <c r="Z8" s="0" t="n">
        <f aca="false">(1-Inputs!$B$4-Inputs!$B$5)/Inputs!$B$6*SUMIFS($B$7:$AP$7,$B$3:$AP$3,"&gt;="&amp;(Z$3-Inputs!$B$6),$B$3:$AP$3,"&lt;="&amp;(Z$3-1))</f>
        <v>161414201.925929</v>
      </c>
      <c r="AA8" s="0" t="n">
        <f aca="false">(1-Inputs!$B$4-Inputs!$B$5)/Inputs!$B$6*SUMIFS($B$7:$AP$7,$B$3:$AP$3,"&gt;="&amp;(AA$3-Inputs!$B$6),$B$3:$AP$3,"&lt;="&amp;(AA$3-1))</f>
        <v>161414201.925929</v>
      </c>
      <c r="AB8" s="0" t="n">
        <f aca="false">(1-Inputs!$B$4-Inputs!$B$5)/Inputs!$B$6*SUMIFS($B$7:$AP$7,$B$3:$AP$3,"&gt;="&amp;(AB$3-Inputs!$B$6),$B$3:$AP$3,"&lt;="&amp;(AB$3-1))</f>
        <v>161414201.925929</v>
      </c>
      <c r="AC8" s="0" t="n">
        <f aca="false">(1-Inputs!$B$4-Inputs!$B$5)/Inputs!$B$6*SUMIFS($B$7:$AP$7,$B$3:$AP$3,"&gt;="&amp;(AC$3-Inputs!$B$6),$B$3:$AP$3,"&lt;="&amp;(AC$3-1))</f>
        <v>161414201.925929</v>
      </c>
      <c r="AD8" s="0" t="n">
        <f aca="false">(1-Inputs!$B$4-Inputs!$B$5)/Inputs!$B$6*SUMIFS($B$7:$AP$7,$B$3:$AP$3,"&gt;="&amp;(AD$3-Inputs!$B$6),$B$3:$AP$3,"&lt;="&amp;(AD$3-1))</f>
        <v>161414201.925929</v>
      </c>
      <c r="AE8" s="0" t="n">
        <f aca="false">(1-Inputs!$B$4-Inputs!$B$5)/Inputs!$B$6*SUMIFS($B$7:$AP$7,$B$3:$AP$3,"&gt;="&amp;(AE$3-Inputs!$B$6),$B$3:$AP$3,"&lt;="&amp;(AE$3-1))</f>
        <v>161414201.925929</v>
      </c>
      <c r="AF8" s="0" t="n">
        <f aca="false">(1-Inputs!$B$4-Inputs!$B$5)/Inputs!$B$6*SUMIFS($B$7:$AP$7,$B$3:$AP$3,"&gt;="&amp;(AF$3-Inputs!$B$6),$B$3:$AP$3,"&lt;="&amp;(AF$3-1))</f>
        <v>155993630.497357</v>
      </c>
      <c r="AG8" s="0" t="n">
        <f aca="false">(1-Inputs!$B$4-Inputs!$B$5)/Inputs!$B$6*SUMIFS($B$7:$AP$7,$B$3:$AP$3,"&gt;="&amp;(AG$3-Inputs!$B$6),$B$3:$AP$3,"&lt;="&amp;(AG$3-1))</f>
        <v>150356236.211643</v>
      </c>
      <c r="AH8" s="0" t="n">
        <f aca="false">(1-Inputs!$B$4-Inputs!$B$5)/Inputs!$B$6*SUMIFS($B$7:$AP$7,$B$3:$AP$3,"&gt;="&amp;(AH$3-Inputs!$B$6),$B$3:$AP$3,"&lt;="&amp;(AH$3-1))</f>
        <v>144493346.1545</v>
      </c>
      <c r="AI8" s="0" t="n">
        <f aca="false">(1-Inputs!$B$4-Inputs!$B$5)/Inputs!$B$6*SUMIFS($B$7:$AP$7,$B$3:$AP$3,"&gt;="&amp;(AI$3-Inputs!$B$6),$B$3:$AP$3,"&lt;="&amp;(AI$3-1))</f>
        <v>138395940.495072</v>
      </c>
      <c r="AJ8" s="0" t="n">
        <f aca="false">(1-Inputs!$B$4-Inputs!$B$5)/Inputs!$B$6*SUMIFS($B$7:$AP$7,$B$3:$AP$3,"&gt;="&amp;(AJ$3-Inputs!$B$6),$B$3:$AP$3,"&lt;="&amp;(AJ$3-1))</f>
        <v>132054638.609266</v>
      </c>
      <c r="AK8" s="0" t="n">
        <f aca="false">(1-Inputs!$B$4-Inputs!$B$5)/Inputs!$B$6*SUMIFS($B$7:$AP$7,$B$3:$AP$3,"&gt;="&amp;(AK$3-Inputs!$B$6),$B$3:$AP$3,"&lt;="&amp;(AK$3-1))</f>
        <v>125459684.648028</v>
      </c>
      <c r="AL8" s="0" t="n">
        <f aca="false">(1-Inputs!$B$4-Inputs!$B$5)/Inputs!$B$6*SUMIFS($B$7:$AP$7,$B$3:$AP$3,"&gt;="&amp;(AL$3-Inputs!$B$6),$B$3:$AP$3,"&lt;="&amp;(AL$3-1))</f>
        <v>118600932.528341</v>
      </c>
      <c r="AM8" s="0" t="n">
        <f aca="false">(1-Inputs!$B$4-Inputs!$B$5)/Inputs!$B$6*SUMIFS($B$7:$AP$7,$B$3:$AP$3,"&gt;="&amp;(AM$3-Inputs!$B$6),$B$3:$AP$3,"&lt;="&amp;(AM$3-1))</f>
        <v>111467830.323866</v>
      </c>
      <c r="AN8" s="0" t="n">
        <f aca="false">(1-Inputs!$B$4-Inputs!$B$5)/Inputs!$B$6*SUMIFS($B$7:$AP$7,$B$3:$AP$3,"&gt;="&amp;(AN$3-Inputs!$B$6),$B$3:$AP$3,"&lt;="&amp;(AN$3-1))</f>
        <v>104049404.031212</v>
      </c>
      <c r="AO8" s="0" t="n">
        <f aca="false">(1-Inputs!$B$4-Inputs!$B$5)/Inputs!$B$6*SUMIFS($B$7:$AP$7,$B$3:$AP$3,"&gt;="&amp;(AO$3-Inputs!$B$6),$B$3:$AP$3,"&lt;="&amp;(AO$3-1))</f>
        <v>96334240.6868516</v>
      </c>
      <c r="AP8" s="0" t="n">
        <f aca="false">(1-Inputs!$B$4-Inputs!$B$5)/Inputs!$B$6*SUMIFS($B$7:$AP$7,$B$3:$AP$3,"&gt;="&amp;(AP$3-Inputs!$B$6),$B$3:$AP$3,"&lt;="&amp;(AP$3-1))</f>
        <v>88310470.808717</v>
      </c>
    </row>
    <row r="9" customFormat="false" ht="15" hidden="false" customHeight="false" outlineLevel="0" collapsed="false">
      <c r="A9" s="0" t="s">
        <v>32</v>
      </c>
      <c r="B9" s="0" t="n">
        <f aca="false">Inputs!$B$5*(IF(B$3=(Products!$G$2+Products!$H$2),SUMIFS($B$7:$AP$7,$B$3:$AP$3,"&lt;="&amp;(Products!$G$2+Products!$H$2)),0)+IF(B$3&gt;(Products!$G$2+Products!$H$2),B7,0))</f>
        <v>0</v>
      </c>
      <c r="C9" s="0" t="n">
        <f aca="false">Inputs!$B$5*(IF(C$3=(Products!$G$2+Products!$H$2),SUMIFS($B$7:$AP$7,$B$3:$AP$3,"&lt;="&amp;(Products!$G$2+Products!$H$2)),0)+IF(C$3&gt;(Products!$G$2+Products!$H$2),C7,0))</f>
        <v>0</v>
      </c>
      <c r="D9" s="0" t="n">
        <f aca="false">Inputs!$B$5*(IF(D$3=(Products!$G$2+Products!$H$2),SUMIFS($B$7:$AP$7,$B$3:$AP$3,"&lt;="&amp;(Products!$G$2+Products!$H$2)),0)+IF(D$3&gt;(Products!$G$2+Products!$H$2),D7,0))</f>
        <v>0</v>
      </c>
      <c r="E9" s="0" t="n">
        <f aca="false">Inputs!$B$5*(IF(E$3=(Products!$G$2+Products!$H$2),SUMIFS($B$7:$AP$7,$B$3:$AP$3,"&lt;="&amp;(Products!$G$2+Products!$H$2)),0)+IF(E$3&gt;(Products!$G$2+Products!$H$2),E7,0))</f>
        <v>0</v>
      </c>
      <c r="F9" s="0" t="n">
        <f aca="false">Inputs!$B$5*(IF(F$3=(Products!$G$2+Products!$H$2),SUMIFS($B$7:$AP$7,$B$3:$AP$3,"&lt;="&amp;(Products!$G$2+Products!$H$2)),0)+IF(F$3&gt;(Products!$G$2+Products!$H$2),F7,0))</f>
        <v>0</v>
      </c>
      <c r="G9" s="0" t="n">
        <f aca="false">Inputs!$B$5*(IF(G$3=(Products!$G$2+Products!$H$2),SUMIFS($B$7:$AP$7,$B$3:$AP$3,"&lt;="&amp;(Products!$G$2+Products!$H$2)),0)+IF(G$3&gt;(Products!$G$2+Products!$H$2),G7,0))</f>
        <v>0</v>
      </c>
      <c r="H9" s="0" t="n">
        <f aca="false">Inputs!$B$5*(IF(H$3=(Products!$G$2+Products!$H$2),SUMIFS($B$7:$AP$7,$B$3:$AP$3,"&lt;="&amp;(Products!$G$2+Products!$H$2)),0)+IF(H$3&gt;(Products!$G$2+Products!$H$2),H7,0))</f>
        <v>0</v>
      </c>
      <c r="I9" s="0" t="n">
        <f aca="false">Inputs!$B$5*(IF(I$3=(Products!$G$2+Products!$H$2),SUMIFS($B$7:$AP$7,$B$3:$AP$3,"&lt;="&amp;(Products!$G$2+Products!$H$2)),0)+IF(I$3&gt;(Products!$G$2+Products!$H$2),I7,0))</f>
        <v>0</v>
      </c>
      <c r="J9" s="0" t="n">
        <f aca="false">Inputs!$B$5*(IF(J$3=(Products!$G$2+Products!$H$2),SUMIFS($B$7:$AP$7,$B$3:$AP$3,"&lt;="&amp;(Products!$G$2+Products!$H$2)),0)+IF(J$3&gt;(Products!$G$2+Products!$H$2),J7,0))</f>
        <v>0</v>
      </c>
      <c r="K9" s="0" t="n">
        <f aca="false">Inputs!$B$5*(IF(K$3=(Products!$G$2+Products!$H$2),SUMIFS($B$7:$AP$7,$B$3:$AP$3,"&lt;="&amp;(Products!$G$2+Products!$H$2)),0)+IF(K$3&gt;(Products!$G$2+Products!$H$2),K7,0))</f>
        <v>0</v>
      </c>
      <c r="L9" s="0" t="n">
        <f aca="false">Inputs!$B$5*(IF(L$3=(Products!$G$2+Products!$H$2),SUMIFS($B$7:$AP$7,$B$3:$AP$3,"&lt;="&amp;(Products!$G$2+Products!$H$2)),0)+IF(L$3&gt;(Products!$G$2+Products!$H$2),L7,0))</f>
        <v>0</v>
      </c>
      <c r="M9" s="0" t="n">
        <f aca="false">Inputs!$B$5*(IF(M$3=(Products!$G$2+Products!$H$2),SUMIFS($B$7:$AP$7,$B$3:$AP$3,"&lt;="&amp;(Products!$G$2+Products!$H$2)),0)+IF(M$3&gt;(Products!$G$2+Products!$H$2),M7,0))</f>
        <v>0</v>
      </c>
      <c r="N9" s="0" t="n">
        <f aca="false">Inputs!$B$5*(IF(N$3=(Products!$G$2+Products!$H$2),SUMIFS($B$7:$AP$7,$B$3:$AP$3,"&lt;="&amp;(Products!$G$2+Products!$H$2)),0)+IF(N$3&gt;(Products!$G$2+Products!$H$2),N7,0))</f>
        <v>134150391.184306</v>
      </c>
      <c r="O9" s="0" t="n">
        <f aca="false">Inputs!$B$5*(IF(O$3=(Products!$G$2+Products!$H$2),SUMIFS($B$7:$AP$7,$B$3:$AP$3,"&lt;="&amp;(Products!$G$2+Products!$H$2)),0)+IF(O$3&gt;(Products!$G$2+Products!$H$2),O7,0))</f>
        <v>14294015.6473723</v>
      </c>
      <c r="P9" s="0" t="n">
        <f aca="false">Inputs!$B$5*(IF(P$3=(Products!$G$2+Products!$H$2),SUMIFS($B$7:$AP$7,$B$3:$AP$3,"&lt;="&amp;(Products!$G$2+Products!$H$2)),0)+IF(P$3&gt;(Products!$G$2+Products!$H$2),P7,0))</f>
        <v>14865776.2732672</v>
      </c>
      <c r="Q9" s="0" t="n">
        <f aca="false">Inputs!$B$5*(IF(Q$3=(Products!$G$2+Products!$H$2),SUMIFS($B$7:$AP$7,$B$3:$AP$3,"&lt;="&amp;(Products!$G$2+Products!$H$2)),0)+IF(Q$3&gt;(Products!$G$2+Products!$H$2),Q7,0))</f>
        <v>15460407.3241978</v>
      </c>
      <c r="R9" s="0" t="n">
        <f aca="false">Inputs!$B$5*(IF(R$3=(Products!$G$2+Products!$H$2),SUMIFS($B$7:$AP$7,$B$3:$AP$3,"&lt;="&amp;(Products!$G$2+Products!$H$2)),0)+IF(R$3&gt;(Products!$G$2+Products!$H$2),R7,0))</f>
        <v>16078823.6171658</v>
      </c>
      <c r="S9" s="0" t="n">
        <f aca="false">Inputs!$B$5*(IF(S$3=(Products!$G$2+Products!$H$2),SUMIFS($B$7:$AP$7,$B$3:$AP$3,"&lt;="&amp;(Products!$G$2+Products!$H$2)),0)+IF(S$3&gt;(Products!$G$2+Products!$H$2),S7,0))</f>
        <v>16721976.5618524</v>
      </c>
      <c r="T9" s="0" t="n">
        <f aca="false">Inputs!$B$5*(IF(T$3=(Products!$G$2+Products!$H$2),SUMIFS($B$7:$AP$7,$B$3:$AP$3,"&lt;="&amp;(Products!$G$2+Products!$H$2)),0)+IF(T$3&gt;(Products!$G$2+Products!$H$2),T7,0))</f>
        <v>17390855.6243265</v>
      </c>
      <c r="U9" s="0" t="n">
        <f aca="false">Inputs!$B$5*(IF(U$3=(Products!$G$2+Products!$H$2),SUMIFS($B$7:$AP$7,$B$3:$AP$3,"&lt;="&amp;(Products!$G$2+Products!$H$2)),0)+IF(U$3&gt;(Products!$G$2+Products!$H$2),U7,0))</f>
        <v>18086489.8492995</v>
      </c>
      <c r="V9" s="0" t="n">
        <f aca="false">Inputs!$B$5*(IF(V$3=(Products!$G$2+Products!$H$2),SUMIFS($B$7:$AP$7,$B$3:$AP$3,"&lt;="&amp;(Products!$G$2+Products!$H$2)),0)+IF(V$3&gt;(Products!$G$2+Products!$H$2),V7,0))</f>
        <v>18809949.4432715</v>
      </c>
      <c r="W9" s="0" t="n">
        <f aca="false">Inputs!$B$5*(IF(W$3=(Products!$G$2+Products!$H$2),SUMIFS($B$7:$AP$7,$B$3:$AP$3,"&lt;="&amp;(Products!$G$2+Products!$H$2)),0)+IF(W$3&gt;(Products!$G$2+Products!$H$2),W7,0))</f>
        <v>0</v>
      </c>
      <c r="X9" s="0" t="n">
        <f aca="false">Inputs!$B$5*(IF(X$3=(Products!$G$2+Products!$H$2),SUMIFS($B$7:$AP$7,$B$3:$AP$3,"&lt;="&amp;(Products!$G$2+Products!$H$2)),0)+IF(X$3&gt;(Products!$G$2+Products!$H$2),X7,0))</f>
        <v>0</v>
      </c>
      <c r="Y9" s="0" t="n">
        <f aca="false">Inputs!$B$5*(IF(Y$3=(Products!$G$2+Products!$H$2),SUMIFS($B$7:$AP$7,$B$3:$AP$3,"&lt;="&amp;(Products!$G$2+Products!$H$2)),0)+IF(Y$3&gt;(Products!$G$2+Products!$H$2),Y7,0))</f>
        <v>0</v>
      </c>
      <c r="Z9" s="0" t="n">
        <f aca="false">Inputs!$B$5*(IF(Z$3=(Products!$G$2+Products!$H$2),SUMIFS($B$7:$AP$7,$B$3:$AP$3,"&lt;="&amp;(Products!$G$2+Products!$H$2)),0)+IF(Z$3&gt;(Products!$G$2+Products!$H$2),Z7,0))</f>
        <v>0</v>
      </c>
      <c r="AA9" s="0" t="n">
        <f aca="false">Inputs!$B$5*(IF(AA$3=(Products!$G$2+Products!$H$2),SUMIFS($B$7:$AP$7,$B$3:$AP$3,"&lt;="&amp;(Products!$G$2+Products!$H$2)),0)+IF(AA$3&gt;(Products!$G$2+Products!$H$2),AA7,0))</f>
        <v>0</v>
      </c>
      <c r="AB9" s="0" t="n">
        <f aca="false">Inputs!$B$5*(IF(AB$3=(Products!$G$2+Products!$H$2),SUMIFS($B$7:$AP$7,$B$3:$AP$3,"&lt;="&amp;(Products!$G$2+Products!$H$2)),0)+IF(AB$3&gt;(Products!$G$2+Products!$H$2),AB7,0))</f>
        <v>0</v>
      </c>
      <c r="AC9" s="0" t="n">
        <f aca="false">Inputs!$B$5*(IF(AC$3=(Products!$G$2+Products!$H$2),SUMIFS($B$7:$AP$7,$B$3:$AP$3,"&lt;="&amp;(Products!$G$2+Products!$H$2)),0)+IF(AC$3&gt;(Products!$G$2+Products!$H$2),AC7,0))</f>
        <v>0</v>
      </c>
      <c r="AD9" s="0" t="n">
        <f aca="false">Inputs!$B$5*(IF(AD$3=(Products!$G$2+Products!$H$2),SUMIFS($B$7:$AP$7,$B$3:$AP$3,"&lt;="&amp;(Products!$G$2+Products!$H$2)),0)+IF(AD$3&gt;(Products!$G$2+Products!$H$2),AD7,0))</f>
        <v>0</v>
      </c>
      <c r="AE9" s="0" t="n">
        <f aca="false">Inputs!$B$5*(IF(AE$3=(Products!$G$2+Products!$H$2),SUMIFS($B$7:$AP$7,$B$3:$AP$3,"&lt;="&amp;(Products!$G$2+Products!$H$2)),0)+IF(AE$3&gt;(Products!$G$2+Products!$H$2),AE7,0))</f>
        <v>0</v>
      </c>
      <c r="AF9" s="0" t="n">
        <f aca="false">Inputs!$B$5*(IF(AF$3=(Products!$G$2+Products!$H$2),SUMIFS($B$7:$AP$7,$B$3:$AP$3,"&lt;="&amp;(Products!$G$2+Products!$H$2)),0)+IF(AF$3&gt;(Products!$G$2+Products!$H$2),AF7,0))</f>
        <v>0</v>
      </c>
      <c r="AG9" s="0" t="n">
        <f aca="false">Inputs!$B$5*(IF(AG$3=(Products!$G$2+Products!$H$2),SUMIFS($B$7:$AP$7,$B$3:$AP$3,"&lt;="&amp;(Products!$G$2+Products!$H$2)),0)+IF(AG$3&gt;(Products!$G$2+Products!$H$2),AG7,0))</f>
        <v>0</v>
      </c>
      <c r="AH9" s="0" t="n">
        <f aca="false">Inputs!$B$5*(IF(AH$3=(Products!$G$2+Products!$H$2),SUMIFS($B$7:$AP$7,$B$3:$AP$3,"&lt;="&amp;(Products!$G$2+Products!$H$2)),0)+IF(AH$3&gt;(Products!$G$2+Products!$H$2),AH7,0))</f>
        <v>0</v>
      </c>
      <c r="AI9" s="0" t="n">
        <f aca="false">Inputs!$B$5*(IF(AI$3=(Products!$G$2+Products!$H$2),SUMIFS($B$7:$AP$7,$B$3:$AP$3,"&lt;="&amp;(Products!$G$2+Products!$H$2)),0)+IF(AI$3&gt;(Products!$G$2+Products!$H$2),AI7,0))</f>
        <v>0</v>
      </c>
      <c r="AJ9" s="0" t="n">
        <f aca="false">Inputs!$B$5*(IF(AJ$3=(Products!$G$2+Products!$H$2),SUMIFS($B$7:$AP$7,$B$3:$AP$3,"&lt;="&amp;(Products!$G$2+Products!$H$2)),0)+IF(AJ$3&gt;(Products!$G$2+Products!$H$2),AJ7,0))</f>
        <v>0</v>
      </c>
      <c r="AK9" s="0" t="n">
        <f aca="false">Inputs!$B$5*(IF(AK$3=(Products!$G$2+Products!$H$2),SUMIFS($B$7:$AP$7,$B$3:$AP$3,"&lt;="&amp;(Products!$G$2+Products!$H$2)),0)+IF(AK$3&gt;(Products!$G$2+Products!$H$2),AK7,0))</f>
        <v>0</v>
      </c>
      <c r="AL9" s="0" t="n">
        <f aca="false">Inputs!$B$5*(IF(AL$3=(Products!$G$2+Products!$H$2),SUMIFS($B$7:$AP$7,$B$3:$AP$3,"&lt;="&amp;(Products!$G$2+Products!$H$2)),0)+IF(AL$3&gt;(Products!$G$2+Products!$H$2),AL7,0))</f>
        <v>0</v>
      </c>
      <c r="AM9" s="0" t="n">
        <f aca="false">Inputs!$B$5*(IF(AM$3=(Products!$G$2+Products!$H$2),SUMIFS($B$7:$AP$7,$B$3:$AP$3,"&lt;="&amp;(Products!$G$2+Products!$H$2)),0)+IF(AM$3&gt;(Products!$G$2+Products!$H$2),AM7,0))</f>
        <v>0</v>
      </c>
      <c r="AN9" s="0" t="n">
        <f aca="false">Inputs!$B$5*(IF(AN$3=(Products!$G$2+Products!$H$2),SUMIFS($B$7:$AP$7,$B$3:$AP$3,"&lt;="&amp;(Products!$G$2+Products!$H$2)),0)+IF(AN$3&gt;(Products!$G$2+Products!$H$2),AN7,0))</f>
        <v>0</v>
      </c>
      <c r="AO9" s="0" t="n">
        <f aca="false">Inputs!$B$5*(IF(AO$3=(Products!$G$2+Products!$H$2),SUMIFS($B$7:$AP$7,$B$3:$AP$3,"&lt;="&amp;(Products!$G$2+Products!$H$2)),0)+IF(AO$3&gt;(Products!$G$2+Products!$H$2),AO7,0))</f>
        <v>0</v>
      </c>
      <c r="AP9" s="0" t="n">
        <f aca="false">Inputs!$B$5*(IF(AP$3=(Products!$G$2+Products!$H$2),SUMIFS($B$7:$AP$7,$B$3:$AP$3,"&lt;="&amp;(Products!$G$2+Products!$H$2)),0)+IF(AP$3&gt;(Products!$G$2+Products!$H$2),AP7,0))</f>
        <v>0</v>
      </c>
    </row>
    <row r="10" customFormat="false" ht="15" hidden="false" customHeight="false" outlineLevel="0" collapsed="false">
      <c r="A10" s="0" t="s">
        <v>33</v>
      </c>
      <c r="B10" s="0" t="n">
        <f aca="false">Inputs!$B$4*B7+B8+B9</f>
        <v>0</v>
      </c>
      <c r="C10" s="0" t="n">
        <f aca="false">Inputs!$B$4*C7+C8+C9</f>
        <v>17856000</v>
      </c>
      <c r="D10" s="0" t="n">
        <f aca="false">Inputs!$B$4*D7+D8+D9</f>
        <v>23990811.4285714</v>
      </c>
      <c r="E10" s="0" t="n">
        <f aca="false">Inputs!$B$4*E7+E8+E9</f>
        <v>30371015.3142857</v>
      </c>
      <c r="F10" s="0" t="n">
        <f aca="false">Inputs!$B$4*F7+F8+F9</f>
        <v>37006427.3554286</v>
      </c>
      <c r="G10" s="0" t="n">
        <f aca="false">Inputs!$B$4*G7+G8+G9</f>
        <v>43907255.8782171</v>
      </c>
      <c r="H10" s="0" t="n">
        <f aca="false">Inputs!$B$4*H7+H8+H9</f>
        <v>51084117.5419173</v>
      </c>
      <c r="I10" s="0" t="n">
        <f aca="false">Inputs!$B$4*I7+I8+I9</f>
        <v>58548053.6721654</v>
      </c>
      <c r="J10" s="0" t="n">
        <f aca="false">Inputs!$B$4*J7+J8+J9</f>
        <v>66310547.2476234</v>
      </c>
      <c r="K10" s="0" t="n">
        <f aca="false">Inputs!$B$4*K7+K8+K9</f>
        <v>74383540.5660998</v>
      </c>
      <c r="L10" s="0" t="n">
        <f aca="false">Inputs!$B$4*L7+L8+L9</f>
        <v>82779453.6173152</v>
      </c>
      <c r="M10" s="0" t="n">
        <f aca="false">Inputs!$B$4*M7+M8+M9</f>
        <v>91511203.1905793</v>
      </c>
      <c r="N10" s="0" t="n">
        <f aca="false">Inputs!$B$4*N7+N8+N9</f>
        <v>234742613.93108</v>
      </c>
      <c r="O10" s="0" t="n">
        <f aca="false">Inputs!$B$4*O7+O8+O9</f>
        <v>124330498.732589</v>
      </c>
      <c r="P10" s="0" t="n">
        <f aca="false">Inputs!$B$4*P7+P8+P9</f>
        <v>134724290.110463</v>
      </c>
      <c r="Q10" s="0" t="n">
        <f aca="false">Inputs!$B$4*Q7+Q8+Q9</f>
        <v>145533833.143453</v>
      </c>
      <c r="R10" s="0" t="n">
        <f aca="false">Inputs!$B$4*R7+R8+R9</f>
        <v>156775757.897763</v>
      </c>
      <c r="S10" s="0" t="n">
        <f aca="false">Inputs!$B$4*S7+S8+S9</f>
        <v>168467359.642245</v>
      </c>
      <c r="T10" s="0" t="n">
        <f aca="false">Inputs!$B$4*T7+T8+T9</f>
        <v>180626625.456506</v>
      </c>
      <c r="U10" s="0" t="n">
        <f aca="false">Inputs!$B$4*U7+U8+U9</f>
        <v>193272261.903338</v>
      </c>
      <c r="V10" s="0" t="n">
        <f aca="false">Inputs!$B$4*V7+V8+V9</f>
        <v>206423723.808043</v>
      </c>
      <c r="W10" s="0" t="n">
        <f aca="false">Inputs!$B$4*W7+W8+W9</f>
        <v>161414201.925929</v>
      </c>
      <c r="X10" s="0" t="n">
        <f aca="false">Inputs!$B$4*X7+X8+X9</f>
        <v>161414201.925929</v>
      </c>
      <c r="Y10" s="0" t="n">
        <f aca="false">Inputs!$B$4*Y7+Y8+Y9</f>
        <v>161414201.925929</v>
      </c>
      <c r="Z10" s="0" t="n">
        <f aca="false">Inputs!$B$4*Z7+Z8+Z9</f>
        <v>161414201.925929</v>
      </c>
      <c r="AA10" s="0" t="n">
        <f aca="false">Inputs!$B$4*AA7+AA8+AA9</f>
        <v>161414201.925929</v>
      </c>
      <c r="AB10" s="0" t="n">
        <f aca="false">Inputs!$B$4*AB7+AB8+AB9</f>
        <v>161414201.925929</v>
      </c>
      <c r="AC10" s="0" t="n">
        <f aca="false">Inputs!$B$4*AC7+AC8+AC9</f>
        <v>161414201.925929</v>
      </c>
      <c r="AD10" s="0" t="n">
        <f aca="false">Inputs!$B$4*AD7+AD8+AD9</f>
        <v>161414201.925929</v>
      </c>
      <c r="AE10" s="0" t="n">
        <f aca="false">Inputs!$B$4*AE7+AE8+AE9</f>
        <v>161414201.925929</v>
      </c>
      <c r="AF10" s="0" t="n">
        <f aca="false">Inputs!$B$4*AF7+AF8+AF9</f>
        <v>155993630.497357</v>
      </c>
      <c r="AG10" s="0" t="n">
        <f aca="false">Inputs!$B$4*AG7+AG8+AG9</f>
        <v>150356236.211643</v>
      </c>
      <c r="AH10" s="0" t="n">
        <f aca="false">Inputs!$B$4*AH7+AH8+AH9</f>
        <v>144493346.1545</v>
      </c>
      <c r="AI10" s="0" t="n">
        <f aca="false">Inputs!$B$4*AI7+AI8+AI9</f>
        <v>138395940.495072</v>
      </c>
      <c r="AJ10" s="0" t="n">
        <f aca="false">Inputs!$B$4*AJ7+AJ8+AJ9</f>
        <v>132054638.609266</v>
      </c>
      <c r="AK10" s="0" t="n">
        <f aca="false">Inputs!$B$4*AK7+AK8+AK9</f>
        <v>125459684.648028</v>
      </c>
      <c r="AL10" s="0" t="n">
        <f aca="false">Inputs!$B$4*AL7+AL8+AL9</f>
        <v>118600932.528341</v>
      </c>
      <c r="AM10" s="0" t="n">
        <f aca="false">Inputs!$B$4*AM7+AM8+AM9</f>
        <v>111467830.323866</v>
      </c>
      <c r="AN10" s="0" t="n">
        <f aca="false">Inputs!$B$4*AN7+AN8+AN9</f>
        <v>104049404.031212</v>
      </c>
      <c r="AO10" s="0" t="n">
        <f aca="false">Inputs!$B$4*AO7+AO8+AO9</f>
        <v>96334240.6868516</v>
      </c>
      <c r="AP10" s="0" t="n">
        <f aca="false">Inputs!$B$4*AP7+AP8+AP9</f>
        <v>88310470.808717</v>
      </c>
    </row>
    <row r="11" customFormat="false" ht="15" hidden="false" customHeight="false" outlineLevel="0" collapsed="false">
      <c r="A11" s="0" t="s">
        <v>34</v>
      </c>
      <c r="B11" s="0" t="n">
        <f aca="false">IF(AND(B$3&gt;=Products!$G$2,B$3&lt;(Products!$G$2+Products!$H$2)),Products!$B$2*Products!$C$2*Products!$I$2*(1+Inputs!$B$8)^B$3/Products!$H$2,0)</f>
        <v>0</v>
      </c>
      <c r="C11" s="0" t="n">
        <f aca="false">IF(AND(C$3&gt;=Products!$G$2,C$3&lt;(Products!$G$2+Products!$H$2)),Products!$B$2*Products!$C$2*Products!$I$2*(1+Inputs!$B$8)^C$3/Products!$H$2,0)</f>
        <v>0</v>
      </c>
      <c r="D11" s="0" t="n">
        <f aca="false">IF(AND(D$3&gt;=Products!$G$2,D$3&lt;(Products!$G$2+Products!$H$2)),Products!$B$2*Products!$C$2*Products!$I$2*(1+Inputs!$B$8)^D$3/Products!$H$2,0)</f>
        <v>129575376</v>
      </c>
      <c r="E11" s="0" t="n">
        <f aca="false">IF(AND(E$3&gt;=Products!$G$2,E$3&lt;(Products!$G$2+Products!$H$2)),Products!$B$2*Products!$C$2*Products!$I$2*(1+Inputs!$B$8)^E$3/Products!$H$2,0)</f>
        <v>134110514.16</v>
      </c>
      <c r="F11" s="0" t="n">
        <f aca="false">IF(AND(F$3&gt;=Products!$G$2,F$3&lt;(Products!$G$2+Products!$H$2)),Products!$B$2*Products!$C$2*Products!$I$2*(1+Inputs!$B$8)^F$3/Products!$H$2,0)</f>
        <v>138804382.1556</v>
      </c>
      <c r="G11" s="0" t="n">
        <f aca="false">IF(AND(G$3&gt;=Products!$G$2,G$3&lt;(Products!$G$2+Products!$H$2)),Products!$B$2*Products!$C$2*Products!$I$2*(1+Inputs!$B$8)^G$3/Products!$H$2,0)</f>
        <v>143662535.531046</v>
      </c>
      <c r="H11" s="0" t="n">
        <f aca="false">IF(AND(H$3&gt;=Products!$G$2,H$3&lt;(Products!$G$2+Products!$H$2)),Products!$B$2*Products!$C$2*Products!$I$2*(1+Inputs!$B$8)^H$3/Products!$H$2,0)</f>
        <v>148690724.274633</v>
      </c>
      <c r="I11" s="0" t="n">
        <f aca="false">IF(AND(I$3&gt;=Products!$G$2,I$3&lt;(Products!$G$2+Products!$H$2)),Products!$B$2*Products!$C$2*Products!$I$2*(1+Inputs!$B$8)^I$3/Products!$H$2,0)</f>
        <v>153894899.624245</v>
      </c>
      <c r="J11" s="0" t="n">
        <f aca="false">IF(AND(J$3&gt;=Products!$G$2,J$3&lt;(Products!$G$2+Products!$H$2)),Products!$B$2*Products!$C$2*Products!$I$2*(1+Inputs!$B$8)^J$3/Products!$H$2,0)</f>
        <v>159281221.111093</v>
      </c>
      <c r="K11" s="0" t="n">
        <f aca="false">IF(AND(K$3&gt;=Products!$G$2,K$3&lt;(Products!$G$2+Products!$H$2)),Products!$B$2*Products!$C$2*Products!$I$2*(1+Inputs!$B$8)^K$3/Products!$H$2,0)</f>
        <v>164856063.849982</v>
      </c>
      <c r="L11" s="0" t="n">
        <f aca="false">IF(AND(L$3&gt;=Products!$G$2,L$3&lt;(Products!$G$2+Products!$H$2)),Products!$B$2*Products!$C$2*Products!$I$2*(1+Inputs!$B$8)^L$3/Products!$H$2,0)</f>
        <v>170626026.084731</v>
      </c>
      <c r="M11" s="0" t="n">
        <f aca="false">IF(AND(M$3&gt;=Products!$G$2,M$3&lt;(Products!$G$2+Products!$H$2)),Products!$B$2*Products!$C$2*Products!$I$2*(1+Inputs!$B$8)^M$3/Products!$H$2,0)</f>
        <v>176597936.997696</v>
      </c>
      <c r="N11" s="0" t="n">
        <f aca="false">IF(AND(N$3&gt;=Products!$G$2,N$3&lt;(Products!$G$2+Products!$H$2)),Products!$B$2*Products!$C$2*Products!$I$2*(1+Inputs!$B$8)^N$3/Products!$H$2,0)</f>
        <v>0</v>
      </c>
      <c r="O11" s="0" t="n">
        <f aca="false">IF(AND(O$3&gt;=Products!$G$2,O$3&lt;(Products!$G$2+Products!$H$2)),Products!$B$2*Products!$C$2*Products!$I$2*(1+Inputs!$B$8)^O$3/Products!$H$2,0)</f>
        <v>0</v>
      </c>
      <c r="P11" s="0" t="n">
        <f aca="false">IF(AND(P$3&gt;=Products!$G$2,P$3&lt;(Products!$G$2+Products!$H$2)),Products!$B$2*Products!$C$2*Products!$I$2*(1+Inputs!$B$8)^P$3/Products!$H$2,0)</f>
        <v>0</v>
      </c>
      <c r="Q11" s="0" t="n">
        <f aca="false">IF(AND(Q$3&gt;=Products!$G$2,Q$3&lt;(Products!$G$2+Products!$H$2)),Products!$B$2*Products!$C$2*Products!$I$2*(1+Inputs!$B$8)^Q$3/Products!$H$2,0)</f>
        <v>0</v>
      </c>
      <c r="R11" s="0" t="n">
        <f aca="false">IF(AND(R$3&gt;=Products!$G$2,R$3&lt;(Products!$G$2+Products!$H$2)),Products!$B$2*Products!$C$2*Products!$I$2*(1+Inputs!$B$8)^R$3/Products!$H$2,0)</f>
        <v>0</v>
      </c>
      <c r="S11" s="0" t="n">
        <f aca="false">IF(AND(S$3&gt;=Products!$G$2,S$3&lt;(Products!$G$2+Products!$H$2)),Products!$B$2*Products!$C$2*Products!$I$2*(1+Inputs!$B$8)^S$3/Products!$H$2,0)</f>
        <v>0</v>
      </c>
      <c r="T11" s="0" t="n">
        <f aca="false">IF(AND(T$3&gt;=Products!$G$2,T$3&lt;(Products!$G$2+Products!$H$2)),Products!$B$2*Products!$C$2*Products!$I$2*(1+Inputs!$B$8)^T$3/Products!$H$2,0)</f>
        <v>0</v>
      </c>
      <c r="U11" s="0" t="n">
        <f aca="false">IF(AND(U$3&gt;=Products!$G$2,U$3&lt;(Products!$G$2+Products!$H$2)),Products!$B$2*Products!$C$2*Products!$I$2*(1+Inputs!$B$8)^U$3/Products!$H$2,0)</f>
        <v>0</v>
      </c>
      <c r="V11" s="0" t="n">
        <f aca="false">IF(AND(V$3&gt;=Products!$G$2,V$3&lt;(Products!$G$2+Products!$H$2)),Products!$B$2*Products!$C$2*Products!$I$2*(1+Inputs!$B$8)^V$3/Products!$H$2,0)</f>
        <v>0</v>
      </c>
      <c r="W11" s="0" t="n">
        <f aca="false">IF(AND(W$3&gt;=Products!$G$2,W$3&lt;(Products!$G$2+Products!$H$2)),Products!$B$2*Products!$C$2*Products!$I$2*(1+Inputs!$B$8)^W$3/Products!$H$2,0)</f>
        <v>0</v>
      </c>
      <c r="X11" s="0" t="n">
        <f aca="false">IF(AND(X$3&gt;=Products!$G$2,X$3&lt;(Products!$G$2+Products!$H$2)),Products!$B$2*Products!$C$2*Products!$I$2*(1+Inputs!$B$8)^X$3/Products!$H$2,0)</f>
        <v>0</v>
      </c>
      <c r="Y11" s="0" t="n">
        <f aca="false">IF(AND(Y$3&gt;=Products!$G$2,Y$3&lt;(Products!$G$2+Products!$H$2)),Products!$B$2*Products!$C$2*Products!$I$2*(1+Inputs!$B$8)^Y$3/Products!$H$2,0)</f>
        <v>0</v>
      </c>
      <c r="Z11" s="0" t="n">
        <f aca="false">IF(AND(Z$3&gt;=Products!$G$2,Z$3&lt;(Products!$G$2+Products!$H$2)),Products!$B$2*Products!$C$2*Products!$I$2*(1+Inputs!$B$8)^Z$3/Products!$H$2,0)</f>
        <v>0</v>
      </c>
      <c r="AA11" s="0" t="n">
        <f aca="false">IF(AND(AA$3&gt;=Products!$G$2,AA$3&lt;(Products!$G$2+Products!$H$2)),Products!$B$2*Products!$C$2*Products!$I$2*(1+Inputs!$B$8)^AA$3/Products!$H$2,0)</f>
        <v>0</v>
      </c>
      <c r="AB11" s="0" t="n">
        <f aca="false">IF(AND(AB$3&gt;=Products!$G$2,AB$3&lt;(Products!$G$2+Products!$H$2)),Products!$B$2*Products!$C$2*Products!$I$2*(1+Inputs!$B$8)^AB$3/Products!$H$2,0)</f>
        <v>0</v>
      </c>
      <c r="AC11" s="0" t="n">
        <f aca="false">IF(AND(AC$3&gt;=Products!$G$2,AC$3&lt;(Products!$G$2+Products!$H$2)),Products!$B$2*Products!$C$2*Products!$I$2*(1+Inputs!$B$8)^AC$3/Products!$H$2,0)</f>
        <v>0</v>
      </c>
      <c r="AD11" s="0" t="n">
        <f aca="false">IF(AND(AD$3&gt;=Products!$G$2,AD$3&lt;(Products!$G$2+Products!$H$2)),Products!$B$2*Products!$C$2*Products!$I$2*(1+Inputs!$B$8)^AD$3/Products!$H$2,0)</f>
        <v>0</v>
      </c>
      <c r="AE11" s="0" t="n">
        <f aca="false">IF(AND(AE$3&gt;=Products!$G$2,AE$3&lt;(Products!$G$2+Products!$H$2)),Products!$B$2*Products!$C$2*Products!$I$2*(1+Inputs!$B$8)^AE$3/Products!$H$2,0)</f>
        <v>0</v>
      </c>
      <c r="AF11" s="0" t="n">
        <f aca="false">IF(AND(AF$3&gt;=Products!$G$2,AF$3&lt;(Products!$G$2+Products!$H$2)),Products!$B$2*Products!$C$2*Products!$I$2*(1+Inputs!$B$8)^AF$3/Products!$H$2,0)</f>
        <v>0</v>
      </c>
      <c r="AG11" s="0" t="n">
        <f aca="false">IF(AND(AG$3&gt;=Products!$G$2,AG$3&lt;(Products!$G$2+Products!$H$2)),Products!$B$2*Products!$C$2*Products!$I$2*(1+Inputs!$B$8)^AG$3/Products!$H$2,0)</f>
        <v>0</v>
      </c>
      <c r="AH11" s="0" t="n">
        <f aca="false">IF(AND(AH$3&gt;=Products!$G$2,AH$3&lt;(Products!$G$2+Products!$H$2)),Products!$B$2*Products!$C$2*Products!$I$2*(1+Inputs!$B$8)^AH$3/Products!$H$2,0)</f>
        <v>0</v>
      </c>
      <c r="AI11" s="0" t="n">
        <f aca="false">IF(AND(AI$3&gt;=Products!$G$2,AI$3&lt;(Products!$G$2+Products!$H$2)),Products!$B$2*Products!$C$2*Products!$I$2*(1+Inputs!$B$8)^AI$3/Products!$H$2,0)</f>
        <v>0</v>
      </c>
      <c r="AJ11" s="0" t="n">
        <f aca="false">IF(AND(AJ$3&gt;=Products!$G$2,AJ$3&lt;(Products!$G$2+Products!$H$2)),Products!$B$2*Products!$C$2*Products!$I$2*(1+Inputs!$B$8)^AJ$3/Products!$H$2,0)</f>
        <v>0</v>
      </c>
      <c r="AK11" s="0" t="n">
        <f aca="false">IF(AND(AK$3&gt;=Products!$G$2,AK$3&lt;(Products!$G$2+Products!$H$2)),Products!$B$2*Products!$C$2*Products!$I$2*(1+Inputs!$B$8)^AK$3/Products!$H$2,0)</f>
        <v>0</v>
      </c>
      <c r="AL11" s="0" t="n">
        <f aca="false">IF(AND(AL$3&gt;=Products!$G$2,AL$3&lt;(Products!$G$2+Products!$H$2)),Products!$B$2*Products!$C$2*Products!$I$2*(1+Inputs!$B$8)^AL$3/Products!$H$2,0)</f>
        <v>0</v>
      </c>
      <c r="AM11" s="0" t="n">
        <f aca="false">IF(AND(AM$3&gt;=Products!$G$2,AM$3&lt;(Products!$G$2+Products!$H$2)),Products!$B$2*Products!$C$2*Products!$I$2*(1+Inputs!$B$8)^AM$3/Products!$H$2,0)</f>
        <v>0</v>
      </c>
      <c r="AN11" s="0" t="n">
        <f aca="false">IF(AND(AN$3&gt;=Products!$G$2,AN$3&lt;(Products!$G$2+Products!$H$2)),Products!$B$2*Products!$C$2*Products!$I$2*(1+Inputs!$B$8)^AN$3/Products!$H$2,0)</f>
        <v>0</v>
      </c>
      <c r="AO11" s="0" t="n">
        <f aca="false">IF(AND(AO$3&gt;=Products!$G$2,AO$3&lt;(Products!$G$2+Products!$H$2)),Products!$B$2*Products!$C$2*Products!$I$2*(1+Inputs!$B$8)^AO$3/Products!$H$2,0)</f>
        <v>0</v>
      </c>
      <c r="AP11" s="0" t="n">
        <f aca="false">IF(AND(AP$3&gt;=Products!$G$2,AP$3&lt;(Products!$G$2+Products!$H$2)),Products!$B$2*Products!$C$2*Products!$I$2*(1+Inputs!$B$8)^AP$3/Products!$H$2,0)</f>
        <v>0</v>
      </c>
    </row>
    <row r="12" customFormat="false" ht="15" hidden="false" customHeight="false" outlineLevel="0" collapsed="false">
      <c r="A12" s="0" t="s">
        <v>35</v>
      </c>
      <c r="B12" s="0" t="n">
        <f aca="false">IF(B$3&gt;=Products!$E$3,MIN(Products!$F$3,Products!$B$3-0),0)</f>
        <v>0</v>
      </c>
      <c r="C12" s="0" t="n">
        <f aca="false">IF(C$3&gt;=Products!$E$3,MIN(Products!$F$3,Products!$B$3-B13),0)</f>
        <v>0</v>
      </c>
      <c r="D12" s="0" t="n">
        <f aca="false">IF(D$3&gt;=Products!$E$3,MIN(Products!$F$3,Products!$B$3-C13),0)</f>
        <v>14</v>
      </c>
      <c r="E12" s="0" t="n">
        <f aca="false">IF(E$3&gt;=Products!$E$3,MIN(Products!$F$3,Products!$B$3-D13),0)</f>
        <v>14</v>
      </c>
      <c r="F12" s="0" t="n">
        <f aca="false">IF(F$3&gt;=Products!$E$3,MIN(Products!$F$3,Products!$B$3-E13),0)</f>
        <v>14</v>
      </c>
      <c r="G12" s="0" t="n">
        <f aca="false">IF(G$3&gt;=Products!$E$3,MIN(Products!$F$3,Products!$B$3-F13),0)</f>
        <v>14</v>
      </c>
      <c r="H12" s="0" t="n">
        <f aca="false">IF(H$3&gt;=Products!$E$3,MIN(Products!$F$3,Products!$B$3-G13),0)</f>
        <v>14</v>
      </c>
      <c r="I12" s="0" t="n">
        <f aca="false">IF(I$3&gt;=Products!$E$3,MIN(Products!$F$3,Products!$B$3-H13),0)</f>
        <v>14</v>
      </c>
      <c r="J12" s="0" t="n">
        <f aca="false">IF(J$3&gt;=Products!$E$3,MIN(Products!$F$3,Products!$B$3-I13),0)</f>
        <v>14</v>
      </c>
      <c r="K12" s="0" t="n">
        <f aca="false">IF(K$3&gt;=Products!$E$3,MIN(Products!$F$3,Products!$B$3-J13),0)</f>
        <v>14</v>
      </c>
      <c r="L12" s="0" t="n">
        <f aca="false">IF(L$3&gt;=Products!$E$3,MIN(Products!$F$3,Products!$B$3-K13),0)</f>
        <v>14</v>
      </c>
      <c r="M12" s="0" t="n">
        <f aca="false">IF(M$3&gt;=Products!$E$3,MIN(Products!$F$3,Products!$B$3-L13),0)</f>
        <v>14</v>
      </c>
      <c r="N12" s="0" t="n">
        <f aca="false">IF(N$3&gt;=Products!$E$3,MIN(Products!$F$3,Products!$B$3-M13),0)</f>
        <v>14</v>
      </c>
      <c r="O12" s="0" t="n">
        <f aca="false">IF(O$3&gt;=Products!$E$3,MIN(Products!$F$3,Products!$B$3-N13),0)</f>
        <v>14</v>
      </c>
      <c r="P12" s="0" t="n">
        <f aca="false">IF(P$3&gt;=Products!$E$3,MIN(Products!$F$3,Products!$B$3-O13),0)</f>
        <v>14</v>
      </c>
      <c r="Q12" s="0" t="n">
        <f aca="false">IF(Q$3&gt;=Products!$E$3,MIN(Products!$F$3,Products!$B$3-P13),0)</f>
        <v>14</v>
      </c>
      <c r="R12" s="0" t="n">
        <f aca="false">IF(R$3&gt;=Products!$E$3,MIN(Products!$F$3,Products!$B$3-Q13),0)</f>
        <v>14</v>
      </c>
      <c r="S12" s="0" t="n">
        <f aca="false">IF(S$3&gt;=Products!$E$3,MIN(Products!$F$3,Products!$B$3-R13),0)</f>
        <v>14</v>
      </c>
      <c r="T12" s="0" t="n">
        <f aca="false">IF(T$3&gt;=Products!$E$3,MIN(Products!$F$3,Products!$B$3-S13),0)</f>
        <v>14</v>
      </c>
      <c r="U12" s="0" t="n">
        <f aca="false">IF(U$3&gt;=Products!$E$3,MIN(Products!$F$3,Products!$B$3-T13),0)</f>
        <v>14</v>
      </c>
      <c r="V12" s="0" t="n">
        <f aca="false">IF(V$3&gt;=Products!$E$3,MIN(Products!$F$3,Products!$B$3-U13),0)</f>
        <v>8</v>
      </c>
      <c r="W12" s="0" t="n">
        <f aca="false">IF(W$3&gt;=Products!$E$3,MIN(Products!$F$3,Products!$B$3-V13),0)</f>
        <v>0</v>
      </c>
      <c r="X12" s="0" t="n">
        <f aca="false">IF(X$3&gt;=Products!$E$3,MIN(Products!$F$3,Products!$B$3-W13),0)</f>
        <v>0</v>
      </c>
      <c r="Y12" s="0" t="n">
        <f aca="false">IF(Y$3&gt;=Products!$E$3,MIN(Products!$F$3,Products!$B$3-X13),0)</f>
        <v>0</v>
      </c>
      <c r="Z12" s="0" t="n">
        <f aca="false">IF(Z$3&gt;=Products!$E$3,MIN(Products!$F$3,Products!$B$3-Y13),0)</f>
        <v>0</v>
      </c>
      <c r="AA12" s="0" t="n">
        <f aca="false">IF(AA$3&gt;=Products!$E$3,MIN(Products!$F$3,Products!$B$3-Z13),0)</f>
        <v>0</v>
      </c>
      <c r="AB12" s="0" t="n">
        <f aca="false">IF(AB$3&gt;=Products!$E$3,MIN(Products!$F$3,Products!$B$3-AA13),0)</f>
        <v>0</v>
      </c>
      <c r="AC12" s="0" t="n">
        <f aca="false">IF(AC$3&gt;=Products!$E$3,MIN(Products!$F$3,Products!$B$3-AB13),0)</f>
        <v>0</v>
      </c>
      <c r="AD12" s="0" t="n">
        <f aca="false">IF(AD$3&gt;=Products!$E$3,MIN(Products!$F$3,Products!$B$3-AC13),0)</f>
        <v>0</v>
      </c>
      <c r="AE12" s="0" t="n">
        <f aca="false">IF(AE$3&gt;=Products!$E$3,MIN(Products!$F$3,Products!$B$3-AD13),0)</f>
        <v>0</v>
      </c>
      <c r="AF12" s="0" t="n">
        <f aca="false">IF(AF$3&gt;=Products!$E$3,MIN(Products!$F$3,Products!$B$3-AE13),0)</f>
        <v>0</v>
      </c>
      <c r="AG12" s="0" t="n">
        <f aca="false">IF(AG$3&gt;=Products!$E$3,MIN(Products!$F$3,Products!$B$3-AF13),0)</f>
        <v>0</v>
      </c>
      <c r="AH12" s="0" t="n">
        <f aca="false">IF(AH$3&gt;=Products!$E$3,MIN(Products!$F$3,Products!$B$3-AG13),0)</f>
        <v>0</v>
      </c>
      <c r="AI12" s="0" t="n">
        <f aca="false">IF(AI$3&gt;=Products!$E$3,MIN(Products!$F$3,Products!$B$3-AH13),0)</f>
        <v>0</v>
      </c>
      <c r="AJ12" s="0" t="n">
        <f aca="false">IF(AJ$3&gt;=Products!$E$3,MIN(Products!$F$3,Products!$B$3-AI13),0)</f>
        <v>0</v>
      </c>
      <c r="AK12" s="0" t="n">
        <f aca="false">IF(AK$3&gt;=Products!$E$3,MIN(Products!$F$3,Products!$B$3-AJ13),0)</f>
        <v>0</v>
      </c>
      <c r="AL12" s="0" t="n">
        <f aca="false">IF(AL$3&gt;=Products!$E$3,MIN(Products!$F$3,Products!$B$3-AK13),0)</f>
        <v>0</v>
      </c>
      <c r="AM12" s="0" t="n">
        <f aca="false">IF(AM$3&gt;=Products!$E$3,MIN(Products!$F$3,Products!$B$3-AL13),0)</f>
        <v>0</v>
      </c>
      <c r="AN12" s="0" t="n">
        <f aca="false">IF(AN$3&gt;=Products!$E$3,MIN(Products!$F$3,Products!$B$3-AM13),0)</f>
        <v>0</v>
      </c>
      <c r="AO12" s="0" t="n">
        <f aca="false">IF(AO$3&gt;=Products!$E$3,MIN(Products!$F$3,Products!$B$3-AN13),0)</f>
        <v>0</v>
      </c>
      <c r="AP12" s="0" t="n">
        <f aca="false">IF(AP$3&gt;=Products!$E$3,MIN(Products!$F$3,Products!$B$3-AO13),0)</f>
        <v>0</v>
      </c>
    </row>
    <row r="13" customFormat="false" ht="15" hidden="false" customHeight="false" outlineLevel="0" collapsed="false">
      <c r="A13" s="0" t="s">
        <v>36</v>
      </c>
      <c r="B13" s="0" t="n">
        <f aca="false">B12</f>
        <v>0</v>
      </c>
      <c r="C13" s="0" t="n">
        <f aca="false">B13+C12</f>
        <v>0</v>
      </c>
      <c r="D13" s="0" t="n">
        <f aca="false">C13+D12</f>
        <v>14</v>
      </c>
      <c r="E13" s="0" t="n">
        <f aca="false">D13+E12</f>
        <v>28</v>
      </c>
      <c r="F13" s="0" t="n">
        <f aca="false">E13+F12</f>
        <v>42</v>
      </c>
      <c r="G13" s="0" t="n">
        <f aca="false">F13+G12</f>
        <v>56</v>
      </c>
      <c r="H13" s="0" t="n">
        <f aca="false">G13+H12</f>
        <v>70</v>
      </c>
      <c r="I13" s="0" t="n">
        <f aca="false">H13+I12</f>
        <v>84</v>
      </c>
      <c r="J13" s="0" t="n">
        <f aca="false">I13+J12</f>
        <v>98</v>
      </c>
      <c r="K13" s="0" t="n">
        <f aca="false">J13+K12</f>
        <v>112</v>
      </c>
      <c r="L13" s="0" t="n">
        <f aca="false">K13+L12</f>
        <v>126</v>
      </c>
      <c r="M13" s="0" t="n">
        <f aca="false">L13+M12</f>
        <v>140</v>
      </c>
      <c r="N13" s="0" t="n">
        <f aca="false">M13+N12</f>
        <v>154</v>
      </c>
      <c r="O13" s="0" t="n">
        <f aca="false">N13+O12</f>
        <v>168</v>
      </c>
      <c r="P13" s="0" t="n">
        <f aca="false">O13+P12</f>
        <v>182</v>
      </c>
      <c r="Q13" s="0" t="n">
        <f aca="false">P13+Q12</f>
        <v>196</v>
      </c>
      <c r="R13" s="0" t="n">
        <f aca="false">Q13+R12</f>
        <v>210</v>
      </c>
      <c r="S13" s="0" t="n">
        <f aca="false">R13+S12</f>
        <v>224</v>
      </c>
      <c r="T13" s="0" t="n">
        <f aca="false">S13+T12</f>
        <v>238</v>
      </c>
      <c r="U13" s="0" t="n">
        <f aca="false">T13+U12</f>
        <v>252</v>
      </c>
      <c r="V13" s="0" t="n">
        <f aca="false">U13+V12</f>
        <v>260</v>
      </c>
      <c r="W13" s="0" t="n">
        <f aca="false">V13+W12</f>
        <v>260</v>
      </c>
      <c r="X13" s="0" t="n">
        <f aca="false">W13+X12</f>
        <v>260</v>
      </c>
      <c r="Y13" s="0" t="n">
        <f aca="false">X13+Y12</f>
        <v>260</v>
      </c>
      <c r="Z13" s="0" t="n">
        <f aca="false">Y13+Z12</f>
        <v>260</v>
      </c>
      <c r="AA13" s="0" t="n">
        <f aca="false">Z13+AA12</f>
        <v>260</v>
      </c>
      <c r="AB13" s="0" t="n">
        <f aca="false">AA13+AB12</f>
        <v>260</v>
      </c>
      <c r="AC13" s="0" t="n">
        <f aca="false">AB13+AC12</f>
        <v>260</v>
      </c>
      <c r="AD13" s="0" t="n">
        <f aca="false">AC13+AD12</f>
        <v>260</v>
      </c>
      <c r="AE13" s="0" t="n">
        <f aca="false">AD13+AE12</f>
        <v>260</v>
      </c>
      <c r="AF13" s="0" t="n">
        <f aca="false">AE13+AF12</f>
        <v>260</v>
      </c>
      <c r="AG13" s="0" t="n">
        <f aca="false">AF13+AG12</f>
        <v>260</v>
      </c>
      <c r="AH13" s="0" t="n">
        <f aca="false">AG13+AH12</f>
        <v>260</v>
      </c>
      <c r="AI13" s="0" t="n">
        <f aca="false">AH13+AI12</f>
        <v>260</v>
      </c>
      <c r="AJ13" s="0" t="n">
        <f aca="false">AI13+AJ12</f>
        <v>260</v>
      </c>
      <c r="AK13" s="0" t="n">
        <f aca="false">AJ13+AK12</f>
        <v>260</v>
      </c>
      <c r="AL13" s="0" t="n">
        <f aca="false">AK13+AL12</f>
        <v>260</v>
      </c>
      <c r="AM13" s="0" t="n">
        <f aca="false">AL13+AM12</f>
        <v>260</v>
      </c>
      <c r="AN13" s="0" t="n">
        <f aca="false">AM13+AN12</f>
        <v>260</v>
      </c>
      <c r="AO13" s="0" t="n">
        <f aca="false">AN13+AO12</f>
        <v>260</v>
      </c>
      <c r="AP13" s="0" t="n">
        <f aca="false">AO13+AP12</f>
        <v>260</v>
      </c>
    </row>
    <row r="14" customFormat="false" ht="15" hidden="false" customHeight="false" outlineLevel="0" collapsed="false">
      <c r="A14" s="0" t="s">
        <v>37</v>
      </c>
      <c r="B14" s="0" t="n">
        <f aca="false">B12*Products!$C$3*Products!$D$3*(1+Inputs!$B$7)^MAX(0,B$3-Products!$E$3)</f>
        <v>0</v>
      </c>
      <c r="C14" s="0" t="n">
        <f aca="false">C12*Products!$C$3*Products!$D$3*(1+Inputs!$B$7)^MAX(0,C$3-Products!$E$3)</f>
        <v>0</v>
      </c>
      <c r="D14" s="0" t="n">
        <f aca="false">D12*Products!$C$3*Products!$D$3*(1+Inputs!$B$7)^MAX(0,D$3-Products!$E$3)</f>
        <v>177100000</v>
      </c>
      <c r="E14" s="0" t="n">
        <f aca="false">E12*Products!$C$3*Products!$D$3*(1+Inputs!$B$7)^MAX(0,E$3-Products!$E$3)</f>
        <v>184184000</v>
      </c>
      <c r="F14" s="0" t="n">
        <f aca="false">F12*Products!$C$3*Products!$D$3*(1+Inputs!$B$7)^MAX(0,F$3-Products!$E$3)</f>
        <v>191551360</v>
      </c>
      <c r="G14" s="0" t="n">
        <f aca="false">G12*Products!$C$3*Products!$D$3*(1+Inputs!$B$7)^MAX(0,G$3-Products!$E$3)</f>
        <v>199213414.4</v>
      </c>
      <c r="H14" s="0" t="n">
        <f aca="false">H12*Products!$C$3*Products!$D$3*(1+Inputs!$B$7)^MAX(0,H$3-Products!$E$3)</f>
        <v>207181950.976</v>
      </c>
      <c r="I14" s="0" t="n">
        <f aca="false">I12*Products!$C$3*Products!$D$3*(1+Inputs!$B$7)^MAX(0,I$3-Products!$E$3)</f>
        <v>215469229.01504</v>
      </c>
      <c r="J14" s="0" t="n">
        <f aca="false">J12*Products!$C$3*Products!$D$3*(1+Inputs!$B$7)^MAX(0,J$3-Products!$E$3)</f>
        <v>224087998.175642</v>
      </c>
      <c r="K14" s="0" t="n">
        <f aca="false">K12*Products!$C$3*Products!$D$3*(1+Inputs!$B$7)^MAX(0,K$3-Products!$E$3)</f>
        <v>233051518.102667</v>
      </c>
      <c r="L14" s="0" t="n">
        <f aca="false">L12*Products!$C$3*Products!$D$3*(1+Inputs!$B$7)^MAX(0,L$3-Products!$E$3)</f>
        <v>242373578.826774</v>
      </c>
      <c r="M14" s="0" t="n">
        <f aca="false">M12*Products!$C$3*Products!$D$3*(1+Inputs!$B$7)^MAX(0,M$3-Products!$E$3)</f>
        <v>252068521.979845</v>
      </c>
      <c r="N14" s="0" t="n">
        <f aca="false">N12*Products!$C$3*Products!$D$3*(1+Inputs!$B$7)^MAX(0,N$3-Products!$E$3)</f>
        <v>262151262.859039</v>
      </c>
      <c r="O14" s="0" t="n">
        <f aca="false">O12*Products!$C$3*Products!$D$3*(1+Inputs!$B$7)^MAX(0,O$3-Products!$E$3)</f>
        <v>272637313.3734</v>
      </c>
      <c r="P14" s="0" t="n">
        <f aca="false">P12*Products!$C$3*Products!$D$3*(1+Inputs!$B$7)^MAX(0,P$3-Products!$E$3)</f>
        <v>283542805.908336</v>
      </c>
      <c r="Q14" s="0" t="n">
        <f aca="false">Q12*Products!$C$3*Products!$D$3*(1+Inputs!$B$7)^MAX(0,Q$3-Products!$E$3)</f>
        <v>294884518.14467</v>
      </c>
      <c r="R14" s="0" t="n">
        <f aca="false">R12*Products!$C$3*Products!$D$3*(1+Inputs!$B$7)^MAX(0,R$3-Products!$E$3)</f>
        <v>306679898.870457</v>
      </c>
      <c r="S14" s="0" t="n">
        <f aca="false">S12*Products!$C$3*Products!$D$3*(1+Inputs!$B$7)^MAX(0,S$3-Products!$E$3)</f>
        <v>318947094.825275</v>
      </c>
      <c r="T14" s="0" t="n">
        <f aca="false">T12*Products!$C$3*Products!$D$3*(1+Inputs!$B$7)^MAX(0,T$3-Products!$E$3)</f>
        <v>331704978.618286</v>
      </c>
      <c r="U14" s="0" t="n">
        <f aca="false">U12*Products!$C$3*Products!$D$3*(1+Inputs!$B$7)^MAX(0,U$3-Products!$E$3)</f>
        <v>344973177.763017</v>
      </c>
      <c r="V14" s="0" t="n">
        <f aca="false">V12*Products!$C$3*Products!$D$3*(1+Inputs!$B$7)^MAX(0,V$3-Products!$E$3)</f>
        <v>205012631.356308</v>
      </c>
      <c r="W14" s="0" t="n">
        <f aca="false">W12*Products!$C$3*Products!$D$3*(1+Inputs!$B$7)^MAX(0,W$3-Products!$E$3)</f>
        <v>0</v>
      </c>
      <c r="X14" s="0" t="n">
        <f aca="false">X12*Products!$C$3*Products!$D$3*(1+Inputs!$B$7)^MAX(0,X$3-Products!$E$3)</f>
        <v>0</v>
      </c>
      <c r="Y14" s="0" t="n">
        <f aca="false">Y12*Products!$C$3*Products!$D$3*(1+Inputs!$B$7)^MAX(0,Y$3-Products!$E$3)</f>
        <v>0</v>
      </c>
      <c r="Z14" s="0" t="n">
        <f aca="false">Z12*Products!$C$3*Products!$D$3*(1+Inputs!$B$7)^MAX(0,Z$3-Products!$E$3)</f>
        <v>0</v>
      </c>
      <c r="AA14" s="0" t="n">
        <f aca="false">AA12*Products!$C$3*Products!$D$3*(1+Inputs!$B$7)^MAX(0,AA$3-Products!$E$3)</f>
        <v>0</v>
      </c>
      <c r="AB14" s="0" t="n">
        <f aca="false">AB12*Products!$C$3*Products!$D$3*(1+Inputs!$B$7)^MAX(0,AB$3-Products!$E$3)</f>
        <v>0</v>
      </c>
      <c r="AC14" s="0" t="n">
        <f aca="false">AC12*Products!$C$3*Products!$D$3*(1+Inputs!$B$7)^MAX(0,AC$3-Products!$E$3)</f>
        <v>0</v>
      </c>
      <c r="AD14" s="0" t="n">
        <f aca="false">AD12*Products!$C$3*Products!$D$3*(1+Inputs!$B$7)^MAX(0,AD$3-Products!$E$3)</f>
        <v>0</v>
      </c>
      <c r="AE14" s="0" t="n">
        <f aca="false">AE12*Products!$C$3*Products!$D$3*(1+Inputs!$B$7)^MAX(0,AE$3-Products!$E$3)</f>
        <v>0</v>
      </c>
      <c r="AF14" s="0" t="n">
        <f aca="false">AF12*Products!$C$3*Products!$D$3*(1+Inputs!$B$7)^MAX(0,AF$3-Products!$E$3)</f>
        <v>0</v>
      </c>
      <c r="AG14" s="0" t="n">
        <f aca="false">AG12*Products!$C$3*Products!$D$3*(1+Inputs!$B$7)^MAX(0,AG$3-Products!$E$3)</f>
        <v>0</v>
      </c>
      <c r="AH14" s="0" t="n">
        <f aca="false">AH12*Products!$C$3*Products!$D$3*(1+Inputs!$B$7)^MAX(0,AH$3-Products!$E$3)</f>
        <v>0</v>
      </c>
      <c r="AI14" s="0" t="n">
        <f aca="false">AI12*Products!$C$3*Products!$D$3*(1+Inputs!$B$7)^MAX(0,AI$3-Products!$E$3)</f>
        <v>0</v>
      </c>
      <c r="AJ14" s="0" t="n">
        <f aca="false">AJ12*Products!$C$3*Products!$D$3*(1+Inputs!$B$7)^MAX(0,AJ$3-Products!$E$3)</f>
        <v>0</v>
      </c>
      <c r="AK14" s="0" t="n">
        <f aca="false">AK12*Products!$C$3*Products!$D$3*(1+Inputs!$B$7)^MAX(0,AK$3-Products!$E$3)</f>
        <v>0</v>
      </c>
      <c r="AL14" s="0" t="n">
        <f aca="false">AL12*Products!$C$3*Products!$D$3*(1+Inputs!$B$7)^MAX(0,AL$3-Products!$E$3)</f>
        <v>0</v>
      </c>
      <c r="AM14" s="0" t="n">
        <f aca="false">AM12*Products!$C$3*Products!$D$3*(1+Inputs!$B$7)^MAX(0,AM$3-Products!$E$3)</f>
        <v>0</v>
      </c>
      <c r="AN14" s="0" t="n">
        <f aca="false">AN12*Products!$C$3*Products!$D$3*(1+Inputs!$B$7)^MAX(0,AN$3-Products!$E$3)</f>
        <v>0</v>
      </c>
      <c r="AO14" s="0" t="n">
        <f aca="false">AO12*Products!$C$3*Products!$D$3*(1+Inputs!$B$7)^MAX(0,AO$3-Products!$E$3)</f>
        <v>0</v>
      </c>
      <c r="AP14" s="0" t="n">
        <f aca="false">AP12*Products!$C$3*Products!$D$3*(1+Inputs!$B$7)^MAX(0,AP$3-Products!$E$3)</f>
        <v>0</v>
      </c>
    </row>
    <row r="15" customFormat="false" ht="15" hidden="false" customHeight="false" outlineLevel="0" collapsed="false">
      <c r="A15" s="0" t="s">
        <v>38</v>
      </c>
      <c r="B15" s="0" t="n">
        <f aca="false">(1-Inputs!$B$4-Inputs!$B$5)/Inputs!$B$6*SUMIFS($B$14:$AP$14,$B$3:$AP$3,"&gt;="&amp;(B$3-Inputs!$B$6),$B$3:$AP$3,"&lt;="&amp;(B$3-1))</f>
        <v>0</v>
      </c>
      <c r="C15" s="0" t="n">
        <f aca="false">(1-Inputs!$B$4-Inputs!$B$5)/Inputs!$B$6*SUMIFS($B$14:$AP$14,$B$3:$AP$3,"&gt;="&amp;(C$3-Inputs!$B$6),$B$3:$AP$3,"&lt;="&amp;(C$3-1))</f>
        <v>0</v>
      </c>
      <c r="D15" s="0" t="n">
        <f aca="false">(1-Inputs!$B$4-Inputs!$B$5)/Inputs!$B$6*SUMIFS($B$14:$AP$14,$B$3:$AP$3,"&gt;="&amp;(D$3-Inputs!$B$6),$B$3:$AP$3,"&lt;="&amp;(D$3-1))</f>
        <v>0</v>
      </c>
      <c r="E15" s="0" t="n">
        <f aca="false">(1-Inputs!$B$4-Inputs!$B$5)/Inputs!$B$6*SUMIFS($B$14:$AP$14,$B$3:$AP$3,"&gt;="&amp;(E$3-Inputs!$B$6),$B$3:$AP$3,"&lt;="&amp;(E$3-1))</f>
        <v>5376250</v>
      </c>
      <c r="F15" s="0" t="n">
        <f aca="false">(1-Inputs!$B$4-Inputs!$B$5)/Inputs!$B$6*SUMIFS($B$14:$AP$14,$B$3:$AP$3,"&gt;="&amp;(F$3-Inputs!$B$6),$B$3:$AP$3,"&lt;="&amp;(F$3-1))</f>
        <v>10967550</v>
      </c>
      <c r="G15" s="0" t="n">
        <f aca="false">(1-Inputs!$B$4-Inputs!$B$5)/Inputs!$B$6*SUMIFS($B$14:$AP$14,$B$3:$AP$3,"&gt;="&amp;(G$3-Inputs!$B$6),$B$3:$AP$3,"&lt;="&amp;(G$3-1))</f>
        <v>16782502</v>
      </c>
      <c r="H15" s="0" t="n">
        <f aca="false">(1-Inputs!$B$4-Inputs!$B$5)/Inputs!$B$6*SUMIFS($B$14:$AP$14,$B$3:$AP$3,"&gt;="&amp;(H$3-Inputs!$B$6),$B$3:$AP$3,"&lt;="&amp;(H$3-1))</f>
        <v>22830052.08</v>
      </c>
      <c r="I15" s="0" t="n">
        <f aca="false">(1-Inputs!$B$4-Inputs!$B$5)/Inputs!$B$6*SUMIFS($B$14:$AP$14,$B$3:$AP$3,"&gt;="&amp;(I$3-Inputs!$B$6),$B$3:$AP$3,"&lt;="&amp;(I$3-1))</f>
        <v>29119504.1632</v>
      </c>
      <c r="J15" s="0" t="n">
        <f aca="false">(1-Inputs!$B$4-Inputs!$B$5)/Inputs!$B$6*SUMIFS($B$14:$AP$14,$B$3:$AP$3,"&gt;="&amp;(J$3-Inputs!$B$6),$B$3:$AP$3,"&lt;="&amp;(J$3-1))</f>
        <v>35660534.329728</v>
      </c>
      <c r="K15" s="0" t="n">
        <f aca="false">(1-Inputs!$B$4-Inputs!$B$5)/Inputs!$B$6*SUMIFS($B$14:$AP$14,$B$3:$AP$3,"&gt;="&amp;(K$3-Inputs!$B$6),$B$3:$AP$3,"&lt;="&amp;(K$3-1))</f>
        <v>42463205.7029171</v>
      </c>
      <c r="L15" s="0" t="n">
        <f aca="false">(1-Inputs!$B$4-Inputs!$B$5)/Inputs!$B$6*SUMIFS($B$14:$AP$14,$B$3:$AP$3,"&gt;="&amp;(L$3-Inputs!$B$6),$B$3:$AP$3,"&lt;="&amp;(L$3-1))</f>
        <v>49537983.9310338</v>
      </c>
      <c r="M15" s="0" t="n">
        <f aca="false">(1-Inputs!$B$4-Inputs!$B$5)/Inputs!$B$6*SUMIFS($B$14:$AP$14,$B$3:$AP$3,"&gt;="&amp;(M$3-Inputs!$B$6),$B$3:$AP$3,"&lt;="&amp;(M$3-1))</f>
        <v>56895753.2882752</v>
      </c>
      <c r="N15" s="0" t="n">
        <f aca="false">(1-Inputs!$B$4-Inputs!$B$5)/Inputs!$B$6*SUMIFS($B$14:$AP$14,$B$3:$AP$3,"&gt;="&amp;(N$3-Inputs!$B$6),$B$3:$AP$3,"&lt;="&amp;(N$3-1))</f>
        <v>64547833.4198062</v>
      </c>
      <c r="O15" s="0" t="n">
        <f aca="false">(1-Inputs!$B$4-Inputs!$B$5)/Inputs!$B$6*SUMIFS($B$14:$AP$14,$B$3:$AP$3,"&gt;="&amp;(O$3-Inputs!$B$6),$B$3:$AP$3,"&lt;="&amp;(O$3-1))</f>
        <v>72505996.7565984</v>
      </c>
      <c r="P15" s="0" t="n">
        <f aca="false">(1-Inputs!$B$4-Inputs!$B$5)/Inputs!$B$6*SUMIFS($B$14:$AP$14,$B$3:$AP$3,"&gt;="&amp;(P$3-Inputs!$B$6),$B$3:$AP$3,"&lt;="&amp;(P$3-1))</f>
        <v>80782486.6268624</v>
      </c>
      <c r="Q15" s="0" t="n">
        <f aca="false">(1-Inputs!$B$4-Inputs!$B$5)/Inputs!$B$6*SUMIFS($B$14:$AP$14,$B$3:$AP$3,"&gt;="&amp;(Q$3-Inputs!$B$6),$B$3:$AP$3,"&lt;="&amp;(Q$3-1))</f>
        <v>89390036.0919369</v>
      </c>
      <c r="R15" s="0" t="n">
        <f aca="false">(1-Inputs!$B$4-Inputs!$B$5)/Inputs!$B$6*SUMIFS($B$14:$AP$14,$B$3:$AP$3,"&gt;="&amp;(R$3-Inputs!$B$6),$B$3:$AP$3,"&lt;="&amp;(R$3-1))</f>
        <v>98341887.5356143</v>
      </c>
      <c r="S15" s="0" t="n">
        <f aca="false">(1-Inputs!$B$4-Inputs!$B$5)/Inputs!$B$6*SUMIFS($B$14:$AP$14,$B$3:$AP$3,"&gt;="&amp;(S$3-Inputs!$B$6),$B$3:$AP$3,"&lt;="&amp;(S$3-1))</f>
        <v>107651813.037039</v>
      </c>
      <c r="T15" s="0" t="n">
        <f aca="false">(1-Inputs!$B$4-Inputs!$B$5)/Inputs!$B$6*SUMIFS($B$14:$AP$14,$B$3:$AP$3,"&gt;="&amp;(T$3-Inputs!$B$6),$B$3:$AP$3,"&lt;="&amp;(T$3-1))</f>
        <v>117334135.55852</v>
      </c>
      <c r="U15" s="0" t="n">
        <f aca="false">(1-Inputs!$B$4-Inputs!$B$5)/Inputs!$B$6*SUMIFS($B$14:$AP$14,$B$3:$AP$3,"&gt;="&amp;(U$3-Inputs!$B$6),$B$3:$AP$3,"&lt;="&amp;(U$3-1))</f>
        <v>127403750.980861</v>
      </c>
      <c r="V15" s="0" t="n">
        <f aca="false">(1-Inputs!$B$4-Inputs!$B$5)/Inputs!$B$6*SUMIFS($B$14:$AP$14,$B$3:$AP$3,"&gt;="&amp;(V$3-Inputs!$B$6),$B$3:$AP$3,"&lt;="&amp;(V$3-1))</f>
        <v>137876151.020096</v>
      </c>
      <c r="W15" s="0" t="n">
        <f aca="false">(1-Inputs!$B$4-Inputs!$B$5)/Inputs!$B$6*SUMIFS($B$14:$AP$14,$B$3:$AP$3,"&gt;="&amp;(W$3-Inputs!$B$6),$B$3:$AP$3,"&lt;="&amp;(W$3-1))</f>
        <v>144099748.757698</v>
      </c>
      <c r="X15" s="0" t="n">
        <f aca="false">(1-Inputs!$B$4-Inputs!$B$5)/Inputs!$B$6*SUMIFS($B$14:$AP$14,$B$3:$AP$3,"&gt;="&amp;(X$3-Inputs!$B$6),$B$3:$AP$3,"&lt;="&amp;(X$3-1))</f>
        <v>144099748.757698</v>
      </c>
      <c r="Y15" s="0" t="n">
        <f aca="false">(1-Inputs!$B$4-Inputs!$B$5)/Inputs!$B$6*SUMIFS($B$14:$AP$14,$B$3:$AP$3,"&gt;="&amp;(Y$3-Inputs!$B$6),$B$3:$AP$3,"&lt;="&amp;(Y$3-1))</f>
        <v>144099748.757698</v>
      </c>
      <c r="Z15" s="0" t="n">
        <f aca="false">(1-Inputs!$B$4-Inputs!$B$5)/Inputs!$B$6*SUMIFS($B$14:$AP$14,$B$3:$AP$3,"&gt;="&amp;(Z$3-Inputs!$B$6),$B$3:$AP$3,"&lt;="&amp;(Z$3-1))</f>
        <v>144099748.757698</v>
      </c>
      <c r="AA15" s="0" t="n">
        <f aca="false">(1-Inputs!$B$4-Inputs!$B$5)/Inputs!$B$6*SUMIFS($B$14:$AP$14,$B$3:$AP$3,"&gt;="&amp;(AA$3-Inputs!$B$6),$B$3:$AP$3,"&lt;="&amp;(AA$3-1))</f>
        <v>144099748.757698</v>
      </c>
      <c r="AB15" s="0" t="n">
        <f aca="false">(1-Inputs!$B$4-Inputs!$B$5)/Inputs!$B$6*SUMIFS($B$14:$AP$14,$B$3:$AP$3,"&gt;="&amp;(AB$3-Inputs!$B$6),$B$3:$AP$3,"&lt;="&amp;(AB$3-1))</f>
        <v>144099748.757698</v>
      </c>
      <c r="AC15" s="0" t="n">
        <f aca="false">(1-Inputs!$B$4-Inputs!$B$5)/Inputs!$B$6*SUMIFS($B$14:$AP$14,$B$3:$AP$3,"&gt;="&amp;(AC$3-Inputs!$B$6),$B$3:$AP$3,"&lt;="&amp;(AC$3-1))</f>
        <v>144099748.757698</v>
      </c>
      <c r="AD15" s="0" t="n">
        <f aca="false">(1-Inputs!$B$4-Inputs!$B$5)/Inputs!$B$6*SUMIFS($B$14:$AP$14,$B$3:$AP$3,"&gt;="&amp;(AD$3-Inputs!$B$6),$B$3:$AP$3,"&lt;="&amp;(AD$3-1))</f>
        <v>144099748.757698</v>
      </c>
      <c r="AE15" s="0" t="n">
        <f aca="false">(1-Inputs!$B$4-Inputs!$B$5)/Inputs!$B$6*SUMIFS($B$14:$AP$14,$B$3:$AP$3,"&gt;="&amp;(AE$3-Inputs!$B$6),$B$3:$AP$3,"&lt;="&amp;(AE$3-1))</f>
        <v>144099748.757698</v>
      </c>
      <c r="AF15" s="0" t="n">
        <f aca="false">(1-Inputs!$B$4-Inputs!$B$5)/Inputs!$B$6*SUMIFS($B$14:$AP$14,$B$3:$AP$3,"&gt;="&amp;(AF$3-Inputs!$B$6),$B$3:$AP$3,"&lt;="&amp;(AF$3-1))</f>
        <v>144099748.757698</v>
      </c>
      <c r="AG15" s="0" t="n">
        <f aca="false">(1-Inputs!$B$4-Inputs!$B$5)/Inputs!$B$6*SUMIFS($B$14:$AP$14,$B$3:$AP$3,"&gt;="&amp;(AG$3-Inputs!$B$6),$B$3:$AP$3,"&lt;="&amp;(AG$3-1))</f>
        <v>138723498.757698</v>
      </c>
      <c r="AH15" s="0" t="n">
        <f aca="false">(1-Inputs!$B$4-Inputs!$B$5)/Inputs!$B$6*SUMIFS($B$14:$AP$14,$B$3:$AP$3,"&gt;="&amp;(AH$3-Inputs!$B$6),$B$3:$AP$3,"&lt;="&amp;(AH$3-1))</f>
        <v>133132198.757698</v>
      </c>
      <c r="AI15" s="0" t="n">
        <f aca="false">(1-Inputs!$B$4-Inputs!$B$5)/Inputs!$B$6*SUMIFS($B$14:$AP$14,$B$3:$AP$3,"&gt;="&amp;(AI$3-Inputs!$B$6),$B$3:$AP$3,"&lt;="&amp;(AI$3-1))</f>
        <v>127317246.757698</v>
      </c>
      <c r="AJ15" s="0" t="n">
        <f aca="false">(1-Inputs!$B$4-Inputs!$B$5)/Inputs!$B$6*SUMIFS($B$14:$AP$14,$B$3:$AP$3,"&gt;="&amp;(AJ$3-Inputs!$B$6),$B$3:$AP$3,"&lt;="&amp;(AJ$3-1))</f>
        <v>121269696.677698</v>
      </c>
      <c r="AK15" s="0" t="n">
        <f aca="false">(1-Inputs!$B$4-Inputs!$B$5)/Inputs!$B$6*SUMIFS($B$14:$AP$14,$B$3:$AP$3,"&gt;="&amp;(AK$3-Inputs!$B$6),$B$3:$AP$3,"&lt;="&amp;(AK$3-1))</f>
        <v>114980244.594498</v>
      </c>
      <c r="AL15" s="0" t="n">
        <f aca="false">(1-Inputs!$B$4-Inputs!$B$5)/Inputs!$B$6*SUMIFS($B$14:$AP$14,$B$3:$AP$3,"&gt;="&amp;(AL$3-Inputs!$B$6),$B$3:$AP$3,"&lt;="&amp;(AL$3-1))</f>
        <v>108439214.42797</v>
      </c>
      <c r="AM15" s="0" t="n">
        <f aca="false">(1-Inputs!$B$4-Inputs!$B$5)/Inputs!$B$6*SUMIFS($B$14:$AP$14,$B$3:$AP$3,"&gt;="&amp;(AM$3-Inputs!$B$6),$B$3:$AP$3,"&lt;="&amp;(AM$3-1))</f>
        <v>101636543.054781</v>
      </c>
      <c r="AN15" s="0" t="n">
        <f aca="false">(1-Inputs!$B$4-Inputs!$B$5)/Inputs!$B$6*SUMIFS($B$14:$AP$14,$B$3:$AP$3,"&gt;="&amp;(AN$3-Inputs!$B$6),$B$3:$AP$3,"&lt;="&amp;(AN$3-1))</f>
        <v>94561764.8266641</v>
      </c>
      <c r="AO15" s="0" t="n">
        <f aca="false">(1-Inputs!$B$4-Inputs!$B$5)/Inputs!$B$6*SUMIFS($B$14:$AP$14,$B$3:$AP$3,"&gt;="&amp;(AO$3-Inputs!$B$6),$B$3:$AP$3,"&lt;="&amp;(AO$3-1))</f>
        <v>87203995.4694228</v>
      </c>
      <c r="AP15" s="0" t="n">
        <f aca="false">(1-Inputs!$B$4-Inputs!$B$5)/Inputs!$B$6*SUMIFS($B$14:$AP$14,$B$3:$AP$3,"&gt;="&amp;(AP$3-Inputs!$B$6),$B$3:$AP$3,"&lt;="&amp;(AP$3-1))</f>
        <v>79551915.3378918</v>
      </c>
    </row>
    <row r="16" customFormat="false" ht="15" hidden="false" customHeight="false" outlineLevel="0" collapsed="false">
      <c r="A16" s="0" t="s">
        <v>39</v>
      </c>
      <c r="B16" s="0" t="n">
        <f aca="false">Inputs!$B$5*(IF(B$3=(Products!$G$3+Products!$H$3),SUMIFS($B$14:$AP$14,$B$3:$AP$3,"&lt;="&amp;(Products!$G$3+Products!$H$3)),0)+IF(B$3&gt;(Products!$G$3+Products!$H$3),B14,0))</f>
        <v>0</v>
      </c>
      <c r="C16" s="0" t="n">
        <f aca="false">Inputs!$B$5*(IF(C$3=(Products!$G$3+Products!$H$3),SUMIFS($B$14:$AP$14,$B$3:$AP$3,"&lt;="&amp;(Products!$G$3+Products!$H$3)),0)+IF(C$3&gt;(Products!$G$3+Products!$H$3),C14,0))</f>
        <v>0</v>
      </c>
      <c r="D16" s="0" t="n">
        <f aca="false">Inputs!$B$5*(IF(D$3=(Products!$G$3+Products!$H$3),SUMIFS($B$14:$AP$14,$B$3:$AP$3,"&lt;="&amp;(Products!$G$3+Products!$H$3)),0)+IF(D$3&gt;(Products!$G$3+Products!$H$3),D14,0))</f>
        <v>0</v>
      </c>
      <c r="E16" s="0" t="n">
        <f aca="false">Inputs!$B$5*(IF(E$3=(Products!$G$3+Products!$H$3),SUMIFS($B$14:$AP$14,$B$3:$AP$3,"&lt;="&amp;(Products!$G$3+Products!$H$3)),0)+IF(E$3&gt;(Products!$G$3+Products!$H$3),E14,0))</f>
        <v>0</v>
      </c>
      <c r="F16" s="0" t="n">
        <f aca="false">Inputs!$B$5*(IF(F$3=(Products!$G$3+Products!$H$3),SUMIFS($B$14:$AP$14,$B$3:$AP$3,"&lt;="&amp;(Products!$G$3+Products!$H$3)),0)+IF(F$3&gt;(Products!$G$3+Products!$H$3),F14,0))</f>
        <v>0</v>
      </c>
      <c r="G16" s="0" t="n">
        <f aca="false">Inputs!$B$5*(IF(G$3=(Products!$G$3+Products!$H$3),SUMIFS($B$14:$AP$14,$B$3:$AP$3,"&lt;="&amp;(Products!$G$3+Products!$H$3)),0)+IF(G$3&gt;(Products!$G$3+Products!$H$3),G14,0))</f>
        <v>0</v>
      </c>
      <c r="H16" s="0" t="n">
        <f aca="false">Inputs!$B$5*(IF(H$3=(Products!$G$3+Products!$H$3),SUMIFS($B$14:$AP$14,$B$3:$AP$3,"&lt;="&amp;(Products!$G$3+Products!$H$3)),0)+IF(H$3&gt;(Products!$G$3+Products!$H$3),H14,0))</f>
        <v>0</v>
      </c>
      <c r="I16" s="0" t="n">
        <f aca="false">Inputs!$B$5*(IF(I$3=(Products!$G$3+Products!$H$3),SUMIFS($B$14:$AP$14,$B$3:$AP$3,"&lt;="&amp;(Products!$G$3+Products!$H$3)),0)+IF(I$3&gt;(Products!$G$3+Products!$H$3),I14,0))</f>
        <v>0</v>
      </c>
      <c r="J16" s="0" t="n">
        <f aca="false">Inputs!$B$5*(IF(J$3=(Products!$G$3+Products!$H$3),SUMIFS($B$14:$AP$14,$B$3:$AP$3,"&lt;="&amp;(Products!$G$3+Products!$H$3)),0)+IF(J$3&gt;(Products!$G$3+Products!$H$3),J14,0))</f>
        <v>0</v>
      </c>
      <c r="K16" s="0" t="n">
        <f aca="false">Inputs!$B$5*(IF(K$3=(Products!$G$3+Products!$H$3),SUMIFS($B$14:$AP$14,$B$3:$AP$3,"&lt;="&amp;(Products!$G$3+Products!$H$3)),0)+IF(K$3&gt;(Products!$G$3+Products!$H$3),K14,0))</f>
        <v>0</v>
      </c>
      <c r="L16" s="0" t="n">
        <f aca="false">Inputs!$B$5*(IF(L$3=(Products!$G$3+Products!$H$3),SUMIFS($B$14:$AP$14,$B$3:$AP$3,"&lt;="&amp;(Products!$G$3+Products!$H$3)),0)+IF(L$3&gt;(Products!$G$3+Products!$H$3),L14,0))</f>
        <v>0</v>
      </c>
      <c r="M16" s="0" t="n">
        <f aca="false">Inputs!$B$5*(IF(M$3=(Products!$G$3+Products!$H$3),SUMIFS($B$14:$AP$14,$B$3:$AP$3,"&lt;="&amp;(Products!$G$3+Products!$H$3)),0)+IF(M$3&gt;(Products!$G$3+Products!$H$3),M14,0))</f>
        <v>0</v>
      </c>
      <c r="N16" s="0" t="n">
        <f aca="false">Inputs!$B$5*(IF(N$3=(Products!$G$3+Products!$H$3),SUMIFS($B$14:$AP$14,$B$3:$AP$3,"&lt;="&amp;(Products!$G$3+Products!$H$3)),0)+IF(N$3&gt;(Products!$G$3+Products!$H$3),N14,0))</f>
        <v>119421641.71675</v>
      </c>
      <c r="O16" s="0" t="n">
        <f aca="false">Inputs!$B$5*(IF(O$3=(Products!$G$3+Products!$H$3),SUMIFS($B$14:$AP$14,$B$3:$AP$3,"&lt;="&amp;(Products!$G$3+Products!$H$3)),0)+IF(O$3&gt;(Products!$G$3+Products!$H$3),O14,0))</f>
        <v>13631865.66867</v>
      </c>
      <c r="P16" s="0" t="n">
        <f aca="false">Inputs!$B$5*(IF(P$3=(Products!$G$3+Products!$H$3),SUMIFS($B$14:$AP$14,$B$3:$AP$3,"&lt;="&amp;(Products!$G$3+Products!$H$3)),0)+IF(P$3&gt;(Products!$G$3+Products!$H$3),P14,0))</f>
        <v>14177140.2954168</v>
      </c>
      <c r="Q16" s="0" t="n">
        <f aca="false">Inputs!$B$5*(IF(Q$3=(Products!$G$3+Products!$H$3),SUMIFS($B$14:$AP$14,$B$3:$AP$3,"&lt;="&amp;(Products!$G$3+Products!$H$3)),0)+IF(Q$3&gt;(Products!$G$3+Products!$H$3),Q14,0))</f>
        <v>14744225.9072335</v>
      </c>
      <c r="R16" s="0" t="n">
        <f aca="false">Inputs!$B$5*(IF(R$3=(Products!$G$3+Products!$H$3),SUMIFS($B$14:$AP$14,$B$3:$AP$3,"&lt;="&amp;(Products!$G$3+Products!$H$3)),0)+IF(R$3&gt;(Products!$G$3+Products!$H$3),R14,0))</f>
        <v>15333994.9435228</v>
      </c>
      <c r="S16" s="0" t="n">
        <f aca="false">Inputs!$B$5*(IF(S$3=(Products!$G$3+Products!$H$3),SUMIFS($B$14:$AP$14,$B$3:$AP$3,"&lt;="&amp;(Products!$G$3+Products!$H$3)),0)+IF(S$3&gt;(Products!$G$3+Products!$H$3),S14,0))</f>
        <v>15947354.7412637</v>
      </c>
      <c r="T16" s="0" t="n">
        <f aca="false">Inputs!$B$5*(IF(T$3=(Products!$G$3+Products!$H$3),SUMIFS($B$14:$AP$14,$B$3:$AP$3,"&lt;="&amp;(Products!$G$3+Products!$H$3)),0)+IF(T$3&gt;(Products!$G$3+Products!$H$3),T14,0))</f>
        <v>16585248.9309143</v>
      </c>
      <c r="U16" s="0" t="n">
        <f aca="false">Inputs!$B$5*(IF(U$3=(Products!$G$3+Products!$H$3),SUMIFS($B$14:$AP$14,$B$3:$AP$3,"&lt;="&amp;(Products!$G$3+Products!$H$3)),0)+IF(U$3&gt;(Products!$G$3+Products!$H$3),U14,0))</f>
        <v>17248658.8881509</v>
      </c>
      <c r="V16" s="0" t="n">
        <f aca="false">Inputs!$B$5*(IF(V$3=(Products!$G$3+Products!$H$3),SUMIFS($B$14:$AP$14,$B$3:$AP$3,"&lt;="&amp;(Products!$G$3+Products!$H$3)),0)+IF(V$3&gt;(Products!$G$3+Products!$H$3),V14,0))</f>
        <v>10250631.5678154</v>
      </c>
      <c r="W16" s="0" t="n">
        <f aca="false">Inputs!$B$5*(IF(W$3=(Products!$G$3+Products!$H$3),SUMIFS($B$14:$AP$14,$B$3:$AP$3,"&lt;="&amp;(Products!$G$3+Products!$H$3)),0)+IF(W$3&gt;(Products!$G$3+Products!$H$3),W14,0))</f>
        <v>0</v>
      </c>
      <c r="X16" s="0" t="n">
        <f aca="false">Inputs!$B$5*(IF(X$3=(Products!$G$3+Products!$H$3),SUMIFS($B$14:$AP$14,$B$3:$AP$3,"&lt;="&amp;(Products!$G$3+Products!$H$3)),0)+IF(X$3&gt;(Products!$G$3+Products!$H$3),X14,0))</f>
        <v>0</v>
      </c>
      <c r="Y16" s="0" t="n">
        <f aca="false">Inputs!$B$5*(IF(Y$3=(Products!$G$3+Products!$H$3),SUMIFS($B$14:$AP$14,$B$3:$AP$3,"&lt;="&amp;(Products!$G$3+Products!$H$3)),0)+IF(Y$3&gt;(Products!$G$3+Products!$H$3),Y14,0))</f>
        <v>0</v>
      </c>
      <c r="Z16" s="0" t="n">
        <f aca="false">Inputs!$B$5*(IF(Z$3=(Products!$G$3+Products!$H$3),SUMIFS($B$14:$AP$14,$B$3:$AP$3,"&lt;="&amp;(Products!$G$3+Products!$H$3)),0)+IF(Z$3&gt;(Products!$G$3+Products!$H$3),Z14,0))</f>
        <v>0</v>
      </c>
      <c r="AA16" s="0" t="n">
        <f aca="false">Inputs!$B$5*(IF(AA$3=(Products!$G$3+Products!$H$3),SUMIFS($B$14:$AP$14,$B$3:$AP$3,"&lt;="&amp;(Products!$G$3+Products!$H$3)),0)+IF(AA$3&gt;(Products!$G$3+Products!$H$3),AA14,0))</f>
        <v>0</v>
      </c>
      <c r="AB16" s="0" t="n">
        <f aca="false">Inputs!$B$5*(IF(AB$3=(Products!$G$3+Products!$H$3),SUMIFS($B$14:$AP$14,$B$3:$AP$3,"&lt;="&amp;(Products!$G$3+Products!$H$3)),0)+IF(AB$3&gt;(Products!$G$3+Products!$H$3),AB14,0))</f>
        <v>0</v>
      </c>
      <c r="AC16" s="0" t="n">
        <f aca="false">Inputs!$B$5*(IF(AC$3=(Products!$G$3+Products!$H$3),SUMIFS($B$14:$AP$14,$B$3:$AP$3,"&lt;="&amp;(Products!$G$3+Products!$H$3)),0)+IF(AC$3&gt;(Products!$G$3+Products!$H$3),AC14,0))</f>
        <v>0</v>
      </c>
      <c r="AD16" s="0" t="n">
        <f aca="false">Inputs!$B$5*(IF(AD$3=(Products!$G$3+Products!$H$3),SUMIFS($B$14:$AP$14,$B$3:$AP$3,"&lt;="&amp;(Products!$G$3+Products!$H$3)),0)+IF(AD$3&gt;(Products!$G$3+Products!$H$3),AD14,0))</f>
        <v>0</v>
      </c>
      <c r="AE16" s="0" t="n">
        <f aca="false">Inputs!$B$5*(IF(AE$3=(Products!$G$3+Products!$H$3),SUMIFS($B$14:$AP$14,$B$3:$AP$3,"&lt;="&amp;(Products!$G$3+Products!$H$3)),0)+IF(AE$3&gt;(Products!$G$3+Products!$H$3),AE14,0))</f>
        <v>0</v>
      </c>
      <c r="AF16" s="0" t="n">
        <f aca="false">Inputs!$B$5*(IF(AF$3=(Products!$G$3+Products!$H$3),SUMIFS($B$14:$AP$14,$B$3:$AP$3,"&lt;="&amp;(Products!$G$3+Products!$H$3)),0)+IF(AF$3&gt;(Products!$G$3+Products!$H$3),AF14,0))</f>
        <v>0</v>
      </c>
      <c r="AG16" s="0" t="n">
        <f aca="false">Inputs!$B$5*(IF(AG$3=(Products!$G$3+Products!$H$3),SUMIFS($B$14:$AP$14,$B$3:$AP$3,"&lt;="&amp;(Products!$G$3+Products!$H$3)),0)+IF(AG$3&gt;(Products!$G$3+Products!$H$3),AG14,0))</f>
        <v>0</v>
      </c>
      <c r="AH16" s="0" t="n">
        <f aca="false">Inputs!$B$5*(IF(AH$3=(Products!$G$3+Products!$H$3),SUMIFS($B$14:$AP$14,$B$3:$AP$3,"&lt;="&amp;(Products!$G$3+Products!$H$3)),0)+IF(AH$3&gt;(Products!$G$3+Products!$H$3),AH14,0))</f>
        <v>0</v>
      </c>
      <c r="AI16" s="0" t="n">
        <f aca="false">Inputs!$B$5*(IF(AI$3=(Products!$G$3+Products!$H$3),SUMIFS($B$14:$AP$14,$B$3:$AP$3,"&lt;="&amp;(Products!$G$3+Products!$H$3)),0)+IF(AI$3&gt;(Products!$G$3+Products!$H$3),AI14,0))</f>
        <v>0</v>
      </c>
      <c r="AJ16" s="0" t="n">
        <f aca="false">Inputs!$B$5*(IF(AJ$3=(Products!$G$3+Products!$H$3),SUMIFS($B$14:$AP$14,$B$3:$AP$3,"&lt;="&amp;(Products!$G$3+Products!$H$3)),0)+IF(AJ$3&gt;(Products!$G$3+Products!$H$3),AJ14,0))</f>
        <v>0</v>
      </c>
      <c r="AK16" s="0" t="n">
        <f aca="false">Inputs!$B$5*(IF(AK$3=(Products!$G$3+Products!$H$3),SUMIFS($B$14:$AP$14,$B$3:$AP$3,"&lt;="&amp;(Products!$G$3+Products!$H$3)),0)+IF(AK$3&gt;(Products!$G$3+Products!$H$3),AK14,0))</f>
        <v>0</v>
      </c>
      <c r="AL16" s="0" t="n">
        <f aca="false">Inputs!$B$5*(IF(AL$3=(Products!$G$3+Products!$H$3),SUMIFS($B$14:$AP$14,$B$3:$AP$3,"&lt;="&amp;(Products!$G$3+Products!$H$3)),0)+IF(AL$3&gt;(Products!$G$3+Products!$H$3),AL14,0))</f>
        <v>0</v>
      </c>
      <c r="AM16" s="0" t="n">
        <f aca="false">Inputs!$B$5*(IF(AM$3=(Products!$G$3+Products!$H$3),SUMIFS($B$14:$AP$14,$B$3:$AP$3,"&lt;="&amp;(Products!$G$3+Products!$H$3)),0)+IF(AM$3&gt;(Products!$G$3+Products!$H$3),AM14,0))</f>
        <v>0</v>
      </c>
      <c r="AN16" s="0" t="n">
        <f aca="false">Inputs!$B$5*(IF(AN$3=(Products!$G$3+Products!$H$3),SUMIFS($B$14:$AP$14,$B$3:$AP$3,"&lt;="&amp;(Products!$G$3+Products!$H$3)),0)+IF(AN$3&gt;(Products!$G$3+Products!$H$3),AN14,0))</f>
        <v>0</v>
      </c>
      <c r="AO16" s="0" t="n">
        <f aca="false">Inputs!$B$5*(IF(AO$3=(Products!$G$3+Products!$H$3),SUMIFS($B$14:$AP$14,$B$3:$AP$3,"&lt;="&amp;(Products!$G$3+Products!$H$3)),0)+IF(AO$3&gt;(Products!$G$3+Products!$H$3),AO14,0))</f>
        <v>0</v>
      </c>
      <c r="AP16" s="0" t="n">
        <f aca="false">Inputs!$B$5*(IF(AP$3=(Products!$G$3+Products!$H$3),SUMIFS($B$14:$AP$14,$B$3:$AP$3,"&lt;="&amp;(Products!$G$3+Products!$H$3)),0)+IF(AP$3&gt;(Products!$G$3+Products!$H$3),AP14,0))</f>
        <v>0</v>
      </c>
    </row>
    <row r="17" customFormat="false" ht="15" hidden="false" customHeight="false" outlineLevel="0" collapsed="false">
      <c r="A17" s="0" t="s">
        <v>40</v>
      </c>
      <c r="B17" s="0" t="n">
        <f aca="false">Inputs!$B$4*B14+B15+B16</f>
        <v>0</v>
      </c>
      <c r="C17" s="0" t="n">
        <f aca="false">Inputs!$B$4*C14+C15+C16</f>
        <v>0</v>
      </c>
      <c r="D17" s="0" t="n">
        <f aca="false">Inputs!$B$4*D14+D15+D16</f>
        <v>17710000</v>
      </c>
      <c r="E17" s="0" t="n">
        <f aca="false">Inputs!$B$4*E14+E15+E16</f>
        <v>23794650</v>
      </c>
      <c r="F17" s="0" t="n">
        <f aca="false">Inputs!$B$4*F14+F15+F16</f>
        <v>30122686</v>
      </c>
      <c r="G17" s="0" t="n">
        <f aca="false">Inputs!$B$4*G14+G15+G16</f>
        <v>36703843.44</v>
      </c>
      <c r="H17" s="0" t="n">
        <f aca="false">Inputs!$B$4*H14+H15+H16</f>
        <v>43548247.1776</v>
      </c>
      <c r="I17" s="0" t="n">
        <f aca="false">Inputs!$B$4*I14+I15+I16</f>
        <v>50666427.064704</v>
      </c>
      <c r="J17" s="0" t="n">
        <f aca="false">Inputs!$B$4*J14+J15+J16</f>
        <v>58069334.1472922</v>
      </c>
      <c r="K17" s="0" t="n">
        <f aca="false">Inputs!$B$4*K14+K15+K16</f>
        <v>65768357.5131839</v>
      </c>
      <c r="L17" s="0" t="n">
        <f aca="false">Inputs!$B$4*L14+L15+L16</f>
        <v>73775341.8137112</v>
      </c>
      <c r="M17" s="0" t="n">
        <f aca="false">Inputs!$B$4*M14+M15+M16</f>
        <v>82102605.4862597</v>
      </c>
      <c r="N17" s="0" t="n">
        <f aca="false">Inputs!$B$4*N14+N15+N16</f>
        <v>210184601.42246</v>
      </c>
      <c r="O17" s="0" t="n">
        <f aca="false">Inputs!$B$4*O14+O15+O16</f>
        <v>113401593.762608</v>
      </c>
      <c r="P17" s="0" t="n">
        <f aca="false">Inputs!$B$4*P14+P15+P16</f>
        <v>123313907.513113</v>
      </c>
      <c r="Q17" s="0" t="n">
        <f aca="false">Inputs!$B$4*Q14+Q15+Q16</f>
        <v>133622713.813637</v>
      </c>
      <c r="R17" s="0" t="n">
        <f aca="false">Inputs!$B$4*R14+R15+R16</f>
        <v>144343872.366183</v>
      </c>
      <c r="S17" s="0" t="n">
        <f aca="false">Inputs!$B$4*S14+S15+S16</f>
        <v>155493877.26083</v>
      </c>
      <c r="T17" s="0" t="n">
        <f aca="false">Inputs!$B$4*T14+T15+T16</f>
        <v>167089882.351263</v>
      </c>
      <c r="U17" s="0" t="n">
        <f aca="false">Inputs!$B$4*U14+U15+U16</f>
        <v>179149727.645314</v>
      </c>
      <c r="V17" s="0" t="n">
        <f aca="false">Inputs!$B$4*V14+V15+V16</f>
        <v>168628045.723542</v>
      </c>
      <c r="W17" s="0" t="n">
        <f aca="false">Inputs!$B$4*W14+W15+W16</f>
        <v>144099748.757698</v>
      </c>
      <c r="X17" s="0" t="n">
        <f aca="false">Inputs!$B$4*X14+X15+X16</f>
        <v>144099748.757698</v>
      </c>
      <c r="Y17" s="0" t="n">
        <f aca="false">Inputs!$B$4*Y14+Y15+Y16</f>
        <v>144099748.757698</v>
      </c>
      <c r="Z17" s="0" t="n">
        <f aca="false">Inputs!$B$4*Z14+Z15+Z16</f>
        <v>144099748.757698</v>
      </c>
      <c r="AA17" s="0" t="n">
        <f aca="false">Inputs!$B$4*AA14+AA15+AA16</f>
        <v>144099748.757698</v>
      </c>
      <c r="AB17" s="0" t="n">
        <f aca="false">Inputs!$B$4*AB14+AB15+AB16</f>
        <v>144099748.757698</v>
      </c>
      <c r="AC17" s="0" t="n">
        <f aca="false">Inputs!$B$4*AC14+AC15+AC16</f>
        <v>144099748.757698</v>
      </c>
      <c r="AD17" s="0" t="n">
        <f aca="false">Inputs!$B$4*AD14+AD15+AD16</f>
        <v>144099748.757698</v>
      </c>
      <c r="AE17" s="0" t="n">
        <f aca="false">Inputs!$B$4*AE14+AE15+AE16</f>
        <v>144099748.757698</v>
      </c>
      <c r="AF17" s="0" t="n">
        <f aca="false">Inputs!$B$4*AF14+AF15+AF16</f>
        <v>144099748.757698</v>
      </c>
      <c r="AG17" s="0" t="n">
        <f aca="false">Inputs!$B$4*AG14+AG15+AG16</f>
        <v>138723498.757698</v>
      </c>
      <c r="AH17" s="0" t="n">
        <f aca="false">Inputs!$B$4*AH14+AH15+AH16</f>
        <v>133132198.757698</v>
      </c>
      <c r="AI17" s="0" t="n">
        <f aca="false">Inputs!$B$4*AI14+AI15+AI16</f>
        <v>127317246.757698</v>
      </c>
      <c r="AJ17" s="0" t="n">
        <f aca="false">Inputs!$B$4*AJ14+AJ15+AJ16</f>
        <v>121269696.677698</v>
      </c>
      <c r="AK17" s="0" t="n">
        <f aca="false">Inputs!$B$4*AK14+AK15+AK16</f>
        <v>114980244.594498</v>
      </c>
      <c r="AL17" s="0" t="n">
        <f aca="false">Inputs!$B$4*AL14+AL15+AL16</f>
        <v>108439214.42797</v>
      </c>
      <c r="AM17" s="0" t="n">
        <f aca="false">Inputs!$B$4*AM14+AM15+AM16</f>
        <v>101636543.054781</v>
      </c>
      <c r="AN17" s="0" t="n">
        <f aca="false">Inputs!$B$4*AN14+AN15+AN16</f>
        <v>94561764.8266641</v>
      </c>
      <c r="AO17" s="0" t="n">
        <f aca="false">Inputs!$B$4*AO14+AO15+AO16</f>
        <v>87203995.4694228</v>
      </c>
      <c r="AP17" s="0" t="n">
        <f aca="false">Inputs!$B$4*AP14+AP15+AP16</f>
        <v>79551915.3378918</v>
      </c>
    </row>
    <row r="18" customFormat="false" ht="15" hidden="false" customHeight="false" outlineLevel="0" collapsed="false">
      <c r="A18" s="0" t="s">
        <v>41</v>
      </c>
      <c r="B18" s="0" t="n">
        <f aca="false">IF(AND(B$3&gt;=Products!$G$3,B$3&lt;(Products!$G$3+Products!$H$3)),Products!$B$3*Products!$C$3*Products!$I$3*(1+Inputs!$B$8)^B$3/Products!$H$3,0)</f>
        <v>0</v>
      </c>
      <c r="C18" s="0" t="n">
        <f aca="false">IF(AND(C$3&gt;=Products!$G$3,C$3&lt;(Products!$G$3+Products!$H$3)),Products!$B$3*Products!$C$3*Products!$I$3*(1+Inputs!$B$8)^C$3/Products!$H$3,0)</f>
        <v>0</v>
      </c>
      <c r="D18" s="0" t="n">
        <f aca="false">IF(AND(D$3&gt;=Products!$G$3,D$3&lt;(Products!$G$3+Products!$H$3)),Products!$B$3*Products!$C$3*Products!$I$3*(1+Inputs!$B$8)^D$3/Products!$H$3,0)</f>
        <v>0</v>
      </c>
      <c r="E18" s="0" t="n">
        <f aca="false">IF(AND(E$3&gt;=Products!$G$3,E$3&lt;(Products!$G$3+Products!$H$3)),Products!$B$3*Products!$C$3*Products!$I$3*(1+Inputs!$B$8)^E$3/Products!$H$3,0)</f>
        <v>139969472.175</v>
      </c>
      <c r="F18" s="0" t="n">
        <f aca="false">IF(AND(F$3&gt;=Products!$G$3,F$3&lt;(Products!$G$3+Products!$H$3)),Products!$B$3*Products!$C$3*Products!$I$3*(1+Inputs!$B$8)^F$3/Products!$H$3,0)</f>
        <v>144868403.701125</v>
      </c>
      <c r="G18" s="0" t="n">
        <f aca="false">IF(AND(G$3&gt;=Products!$G$3,G$3&lt;(Products!$G$3+Products!$H$3)),Products!$B$3*Products!$C$3*Products!$I$3*(1+Inputs!$B$8)^G$3/Products!$H$3,0)</f>
        <v>149938797.830664</v>
      </c>
      <c r="H18" s="0" t="n">
        <f aca="false">IF(AND(H$3&gt;=Products!$G$3,H$3&lt;(Products!$G$3+Products!$H$3)),Products!$B$3*Products!$C$3*Products!$I$3*(1+Inputs!$B$8)^H$3/Products!$H$3,0)</f>
        <v>155186655.754738</v>
      </c>
      <c r="I18" s="0" t="n">
        <f aca="false">IF(AND(I$3&gt;=Products!$G$3,I$3&lt;(Products!$G$3+Products!$H$3)),Products!$B$3*Products!$C$3*Products!$I$3*(1+Inputs!$B$8)^I$3/Products!$H$3,0)</f>
        <v>160618188.706153</v>
      </c>
      <c r="J18" s="0" t="n">
        <f aca="false">IF(AND(J$3&gt;=Products!$G$3,J$3&lt;(Products!$G$3+Products!$H$3)),Products!$B$3*Products!$C$3*Products!$I$3*(1+Inputs!$B$8)^J$3/Products!$H$3,0)</f>
        <v>166239825.310869</v>
      </c>
      <c r="K18" s="0" t="n">
        <f aca="false">IF(AND(K$3&gt;=Products!$G$3,K$3&lt;(Products!$G$3+Products!$H$3)),Products!$B$3*Products!$C$3*Products!$I$3*(1+Inputs!$B$8)^K$3/Products!$H$3,0)</f>
        <v>172058219.196749</v>
      </c>
      <c r="L18" s="0" t="n">
        <f aca="false">IF(AND(L$3&gt;=Products!$G$3,L$3&lt;(Products!$G$3+Products!$H$3)),Products!$B$3*Products!$C$3*Products!$I$3*(1+Inputs!$B$8)^L$3/Products!$H$3,0)</f>
        <v>178080256.868635</v>
      </c>
      <c r="M18" s="0" t="n">
        <f aca="false">IF(AND(M$3&gt;=Products!$G$3,M$3&lt;(Products!$G$3+Products!$H$3)),Products!$B$3*Products!$C$3*Products!$I$3*(1+Inputs!$B$8)^M$3/Products!$H$3,0)</f>
        <v>184313065.859038</v>
      </c>
      <c r="N18" s="0" t="n">
        <f aca="false">IF(AND(N$3&gt;=Products!$G$3,N$3&lt;(Products!$G$3+Products!$H$3)),Products!$B$3*Products!$C$3*Products!$I$3*(1+Inputs!$B$8)^N$3/Products!$H$3,0)</f>
        <v>0</v>
      </c>
      <c r="O18" s="0" t="n">
        <f aca="false">IF(AND(O$3&gt;=Products!$G$3,O$3&lt;(Products!$G$3+Products!$H$3)),Products!$B$3*Products!$C$3*Products!$I$3*(1+Inputs!$B$8)^O$3/Products!$H$3,0)</f>
        <v>0</v>
      </c>
      <c r="P18" s="0" t="n">
        <f aca="false">IF(AND(P$3&gt;=Products!$G$3,P$3&lt;(Products!$G$3+Products!$H$3)),Products!$B$3*Products!$C$3*Products!$I$3*(1+Inputs!$B$8)^P$3/Products!$H$3,0)</f>
        <v>0</v>
      </c>
      <c r="Q18" s="0" t="n">
        <f aca="false">IF(AND(Q$3&gt;=Products!$G$3,Q$3&lt;(Products!$G$3+Products!$H$3)),Products!$B$3*Products!$C$3*Products!$I$3*(1+Inputs!$B$8)^Q$3/Products!$H$3,0)</f>
        <v>0</v>
      </c>
      <c r="R18" s="0" t="n">
        <f aca="false">IF(AND(R$3&gt;=Products!$G$3,R$3&lt;(Products!$G$3+Products!$H$3)),Products!$B$3*Products!$C$3*Products!$I$3*(1+Inputs!$B$8)^R$3/Products!$H$3,0)</f>
        <v>0</v>
      </c>
      <c r="S18" s="0" t="n">
        <f aca="false">IF(AND(S$3&gt;=Products!$G$3,S$3&lt;(Products!$G$3+Products!$H$3)),Products!$B$3*Products!$C$3*Products!$I$3*(1+Inputs!$B$8)^S$3/Products!$H$3,0)</f>
        <v>0</v>
      </c>
      <c r="T18" s="0" t="n">
        <f aca="false">IF(AND(T$3&gt;=Products!$G$3,T$3&lt;(Products!$G$3+Products!$H$3)),Products!$B$3*Products!$C$3*Products!$I$3*(1+Inputs!$B$8)^T$3/Products!$H$3,0)</f>
        <v>0</v>
      </c>
      <c r="U18" s="0" t="n">
        <f aca="false">IF(AND(U$3&gt;=Products!$G$3,U$3&lt;(Products!$G$3+Products!$H$3)),Products!$B$3*Products!$C$3*Products!$I$3*(1+Inputs!$B$8)^U$3/Products!$H$3,0)</f>
        <v>0</v>
      </c>
      <c r="V18" s="0" t="n">
        <f aca="false">IF(AND(V$3&gt;=Products!$G$3,V$3&lt;(Products!$G$3+Products!$H$3)),Products!$B$3*Products!$C$3*Products!$I$3*(1+Inputs!$B$8)^V$3/Products!$H$3,0)</f>
        <v>0</v>
      </c>
      <c r="W18" s="0" t="n">
        <f aca="false">IF(AND(W$3&gt;=Products!$G$3,W$3&lt;(Products!$G$3+Products!$H$3)),Products!$B$3*Products!$C$3*Products!$I$3*(1+Inputs!$B$8)^W$3/Products!$H$3,0)</f>
        <v>0</v>
      </c>
      <c r="X18" s="0" t="n">
        <f aca="false">IF(AND(X$3&gt;=Products!$G$3,X$3&lt;(Products!$G$3+Products!$H$3)),Products!$B$3*Products!$C$3*Products!$I$3*(1+Inputs!$B$8)^X$3/Products!$H$3,0)</f>
        <v>0</v>
      </c>
      <c r="Y18" s="0" t="n">
        <f aca="false">IF(AND(Y$3&gt;=Products!$G$3,Y$3&lt;(Products!$G$3+Products!$H$3)),Products!$B$3*Products!$C$3*Products!$I$3*(1+Inputs!$B$8)^Y$3/Products!$H$3,0)</f>
        <v>0</v>
      </c>
      <c r="Z18" s="0" t="n">
        <f aca="false">IF(AND(Z$3&gt;=Products!$G$3,Z$3&lt;(Products!$G$3+Products!$H$3)),Products!$B$3*Products!$C$3*Products!$I$3*(1+Inputs!$B$8)^Z$3/Products!$H$3,0)</f>
        <v>0</v>
      </c>
      <c r="AA18" s="0" t="n">
        <f aca="false">IF(AND(AA$3&gt;=Products!$G$3,AA$3&lt;(Products!$G$3+Products!$H$3)),Products!$B$3*Products!$C$3*Products!$I$3*(1+Inputs!$B$8)^AA$3/Products!$H$3,0)</f>
        <v>0</v>
      </c>
      <c r="AB18" s="0" t="n">
        <f aca="false">IF(AND(AB$3&gt;=Products!$G$3,AB$3&lt;(Products!$G$3+Products!$H$3)),Products!$B$3*Products!$C$3*Products!$I$3*(1+Inputs!$B$8)^AB$3/Products!$H$3,0)</f>
        <v>0</v>
      </c>
      <c r="AC18" s="0" t="n">
        <f aca="false">IF(AND(AC$3&gt;=Products!$G$3,AC$3&lt;(Products!$G$3+Products!$H$3)),Products!$B$3*Products!$C$3*Products!$I$3*(1+Inputs!$B$8)^AC$3/Products!$H$3,0)</f>
        <v>0</v>
      </c>
      <c r="AD18" s="0" t="n">
        <f aca="false">IF(AND(AD$3&gt;=Products!$G$3,AD$3&lt;(Products!$G$3+Products!$H$3)),Products!$B$3*Products!$C$3*Products!$I$3*(1+Inputs!$B$8)^AD$3/Products!$H$3,0)</f>
        <v>0</v>
      </c>
      <c r="AE18" s="0" t="n">
        <f aca="false">IF(AND(AE$3&gt;=Products!$G$3,AE$3&lt;(Products!$G$3+Products!$H$3)),Products!$B$3*Products!$C$3*Products!$I$3*(1+Inputs!$B$8)^AE$3/Products!$H$3,0)</f>
        <v>0</v>
      </c>
      <c r="AF18" s="0" t="n">
        <f aca="false">IF(AND(AF$3&gt;=Products!$G$3,AF$3&lt;(Products!$G$3+Products!$H$3)),Products!$B$3*Products!$C$3*Products!$I$3*(1+Inputs!$B$8)^AF$3/Products!$H$3,0)</f>
        <v>0</v>
      </c>
      <c r="AG18" s="0" t="n">
        <f aca="false">IF(AND(AG$3&gt;=Products!$G$3,AG$3&lt;(Products!$G$3+Products!$H$3)),Products!$B$3*Products!$C$3*Products!$I$3*(1+Inputs!$B$8)^AG$3/Products!$H$3,0)</f>
        <v>0</v>
      </c>
      <c r="AH18" s="0" t="n">
        <f aca="false">IF(AND(AH$3&gt;=Products!$G$3,AH$3&lt;(Products!$G$3+Products!$H$3)),Products!$B$3*Products!$C$3*Products!$I$3*(1+Inputs!$B$8)^AH$3/Products!$H$3,0)</f>
        <v>0</v>
      </c>
      <c r="AI18" s="0" t="n">
        <f aca="false">IF(AND(AI$3&gt;=Products!$G$3,AI$3&lt;(Products!$G$3+Products!$H$3)),Products!$B$3*Products!$C$3*Products!$I$3*(1+Inputs!$B$8)^AI$3/Products!$H$3,0)</f>
        <v>0</v>
      </c>
      <c r="AJ18" s="0" t="n">
        <f aca="false">IF(AND(AJ$3&gt;=Products!$G$3,AJ$3&lt;(Products!$G$3+Products!$H$3)),Products!$B$3*Products!$C$3*Products!$I$3*(1+Inputs!$B$8)^AJ$3/Products!$H$3,0)</f>
        <v>0</v>
      </c>
      <c r="AK18" s="0" t="n">
        <f aca="false">IF(AND(AK$3&gt;=Products!$G$3,AK$3&lt;(Products!$G$3+Products!$H$3)),Products!$B$3*Products!$C$3*Products!$I$3*(1+Inputs!$B$8)^AK$3/Products!$H$3,0)</f>
        <v>0</v>
      </c>
      <c r="AL18" s="0" t="n">
        <f aca="false">IF(AND(AL$3&gt;=Products!$G$3,AL$3&lt;(Products!$G$3+Products!$H$3)),Products!$B$3*Products!$C$3*Products!$I$3*(1+Inputs!$B$8)^AL$3/Products!$H$3,0)</f>
        <v>0</v>
      </c>
      <c r="AM18" s="0" t="n">
        <f aca="false">IF(AND(AM$3&gt;=Products!$G$3,AM$3&lt;(Products!$G$3+Products!$H$3)),Products!$B$3*Products!$C$3*Products!$I$3*(1+Inputs!$B$8)^AM$3/Products!$H$3,0)</f>
        <v>0</v>
      </c>
      <c r="AN18" s="0" t="n">
        <f aca="false">IF(AND(AN$3&gt;=Products!$G$3,AN$3&lt;(Products!$G$3+Products!$H$3)),Products!$B$3*Products!$C$3*Products!$I$3*(1+Inputs!$B$8)^AN$3/Products!$H$3,0)</f>
        <v>0</v>
      </c>
      <c r="AO18" s="0" t="n">
        <f aca="false">IF(AND(AO$3&gt;=Products!$G$3,AO$3&lt;(Products!$G$3+Products!$H$3)),Products!$B$3*Products!$C$3*Products!$I$3*(1+Inputs!$B$8)^AO$3/Products!$H$3,0)</f>
        <v>0</v>
      </c>
      <c r="AP18" s="0" t="n">
        <f aca="false">IF(AND(AP$3&gt;=Products!$G$3,AP$3&lt;(Products!$G$3+Products!$H$3)),Products!$B$3*Products!$C$3*Products!$I$3*(1+Inputs!$B$8)^AP$3/Products!$H$3,0)</f>
        <v>0</v>
      </c>
    </row>
    <row r="19" customFormat="false" ht="15" hidden="false" customHeight="false" outlineLevel="0" collapsed="false">
      <c r="A19" s="0" t="s">
        <v>42</v>
      </c>
      <c r="B19" s="0" t="n">
        <f aca="false">IF(B$3&gt;=Products!$E$4,MIN(Products!$F$4,Products!$B$4-0),0)</f>
        <v>0</v>
      </c>
      <c r="C19" s="0" t="n">
        <f aca="false">IF(C$3&gt;=Products!$E$4,MIN(Products!$F$4,Products!$B$4-B20),0)</f>
        <v>45</v>
      </c>
      <c r="D19" s="0" t="n">
        <f aca="false">IF(D$3&gt;=Products!$E$4,MIN(Products!$F$4,Products!$B$4-C20),0)</f>
        <v>45</v>
      </c>
      <c r="E19" s="0" t="n">
        <f aca="false">IF(E$3&gt;=Products!$E$4,MIN(Products!$F$4,Products!$B$4-D20),0)</f>
        <v>45</v>
      </c>
      <c r="F19" s="0" t="n">
        <f aca="false">IF(F$3&gt;=Products!$E$4,MIN(Products!$F$4,Products!$B$4-E20),0)</f>
        <v>45</v>
      </c>
      <c r="G19" s="0" t="n">
        <f aca="false">IF(G$3&gt;=Products!$E$4,MIN(Products!$F$4,Products!$B$4-F20),0)</f>
        <v>45</v>
      </c>
      <c r="H19" s="0" t="n">
        <f aca="false">IF(H$3&gt;=Products!$E$4,MIN(Products!$F$4,Products!$B$4-G20),0)</f>
        <v>45</v>
      </c>
      <c r="I19" s="0" t="n">
        <f aca="false">IF(I$3&gt;=Products!$E$4,MIN(Products!$F$4,Products!$B$4-H20),0)</f>
        <v>45</v>
      </c>
      <c r="J19" s="0" t="n">
        <f aca="false">IF(J$3&gt;=Products!$E$4,MIN(Products!$F$4,Products!$B$4-I20),0)</f>
        <v>45</v>
      </c>
      <c r="K19" s="0" t="n">
        <f aca="false">IF(K$3&gt;=Products!$E$4,MIN(Products!$F$4,Products!$B$4-J20),0)</f>
        <v>45</v>
      </c>
      <c r="L19" s="0" t="n">
        <f aca="false">IF(L$3&gt;=Products!$E$4,MIN(Products!$F$4,Products!$B$4-K20),0)</f>
        <v>45</v>
      </c>
      <c r="M19" s="0" t="n">
        <f aca="false">IF(M$3&gt;=Products!$E$4,MIN(Products!$F$4,Products!$B$4-L20),0)</f>
        <v>45</v>
      </c>
      <c r="N19" s="0" t="n">
        <f aca="false">IF(N$3&gt;=Products!$E$4,MIN(Products!$F$4,Products!$B$4-M20),0)</f>
        <v>45</v>
      </c>
      <c r="O19" s="0" t="n">
        <f aca="false">IF(O$3&gt;=Products!$E$4,MIN(Products!$F$4,Products!$B$4-N20),0)</f>
        <v>45</v>
      </c>
      <c r="P19" s="0" t="n">
        <f aca="false">IF(P$3&gt;=Products!$E$4,MIN(Products!$F$4,Products!$B$4-O20),0)</f>
        <v>45</v>
      </c>
      <c r="Q19" s="0" t="n">
        <f aca="false">IF(Q$3&gt;=Products!$E$4,MIN(Products!$F$4,Products!$B$4-P20),0)</f>
        <v>45</v>
      </c>
      <c r="R19" s="0" t="n">
        <f aca="false">IF(R$3&gt;=Products!$E$4,MIN(Products!$F$4,Products!$B$4-Q20),0)</f>
        <v>45</v>
      </c>
      <c r="S19" s="0" t="n">
        <f aca="false">IF(S$3&gt;=Products!$E$4,MIN(Products!$F$4,Products!$B$4-R20),0)</f>
        <v>45</v>
      </c>
      <c r="T19" s="0" t="n">
        <f aca="false">IF(T$3&gt;=Products!$E$4,MIN(Products!$F$4,Products!$B$4-S20),0)</f>
        <v>45</v>
      </c>
      <c r="U19" s="0" t="n">
        <f aca="false">IF(U$3&gt;=Products!$E$4,MIN(Products!$F$4,Products!$B$4-T20),0)</f>
        <v>45</v>
      </c>
      <c r="V19" s="0" t="n">
        <f aca="false">IF(V$3&gt;=Products!$E$4,MIN(Products!$F$4,Products!$B$4-U20),0)</f>
        <v>45</v>
      </c>
      <c r="W19" s="0" t="n">
        <f aca="false">IF(W$3&gt;=Products!$E$4,MIN(Products!$F$4,Products!$B$4-V20),0)</f>
        <v>0</v>
      </c>
      <c r="X19" s="0" t="n">
        <f aca="false">IF(X$3&gt;=Products!$E$4,MIN(Products!$F$4,Products!$B$4-W20),0)</f>
        <v>0</v>
      </c>
      <c r="Y19" s="0" t="n">
        <f aca="false">IF(Y$3&gt;=Products!$E$4,MIN(Products!$F$4,Products!$B$4-X20),0)</f>
        <v>0</v>
      </c>
      <c r="Z19" s="0" t="n">
        <f aca="false">IF(Z$3&gt;=Products!$E$4,MIN(Products!$F$4,Products!$B$4-Y20),0)</f>
        <v>0</v>
      </c>
      <c r="AA19" s="0" t="n">
        <f aca="false">IF(AA$3&gt;=Products!$E$4,MIN(Products!$F$4,Products!$B$4-Z20),0)</f>
        <v>0</v>
      </c>
      <c r="AB19" s="0" t="n">
        <f aca="false">IF(AB$3&gt;=Products!$E$4,MIN(Products!$F$4,Products!$B$4-AA20),0)</f>
        <v>0</v>
      </c>
      <c r="AC19" s="0" t="n">
        <f aca="false">IF(AC$3&gt;=Products!$E$4,MIN(Products!$F$4,Products!$B$4-AB20),0)</f>
        <v>0</v>
      </c>
      <c r="AD19" s="0" t="n">
        <f aca="false">IF(AD$3&gt;=Products!$E$4,MIN(Products!$F$4,Products!$B$4-AC20),0)</f>
        <v>0</v>
      </c>
      <c r="AE19" s="0" t="n">
        <f aca="false">IF(AE$3&gt;=Products!$E$4,MIN(Products!$F$4,Products!$B$4-AD20),0)</f>
        <v>0</v>
      </c>
      <c r="AF19" s="0" t="n">
        <f aca="false">IF(AF$3&gt;=Products!$E$4,MIN(Products!$F$4,Products!$B$4-AE20),0)</f>
        <v>0</v>
      </c>
      <c r="AG19" s="0" t="n">
        <f aca="false">IF(AG$3&gt;=Products!$E$4,MIN(Products!$F$4,Products!$B$4-AF20),0)</f>
        <v>0</v>
      </c>
      <c r="AH19" s="0" t="n">
        <f aca="false">IF(AH$3&gt;=Products!$E$4,MIN(Products!$F$4,Products!$B$4-AG20),0)</f>
        <v>0</v>
      </c>
      <c r="AI19" s="0" t="n">
        <f aca="false">IF(AI$3&gt;=Products!$E$4,MIN(Products!$F$4,Products!$B$4-AH20),0)</f>
        <v>0</v>
      </c>
      <c r="AJ19" s="0" t="n">
        <f aca="false">IF(AJ$3&gt;=Products!$E$4,MIN(Products!$F$4,Products!$B$4-AI20),0)</f>
        <v>0</v>
      </c>
      <c r="AK19" s="0" t="n">
        <f aca="false">IF(AK$3&gt;=Products!$E$4,MIN(Products!$F$4,Products!$B$4-AJ20),0)</f>
        <v>0</v>
      </c>
      <c r="AL19" s="0" t="n">
        <f aca="false">IF(AL$3&gt;=Products!$E$4,MIN(Products!$F$4,Products!$B$4-AK20),0)</f>
        <v>0</v>
      </c>
      <c r="AM19" s="0" t="n">
        <f aca="false">IF(AM$3&gt;=Products!$E$4,MIN(Products!$F$4,Products!$B$4-AL20),0)</f>
        <v>0</v>
      </c>
      <c r="AN19" s="0" t="n">
        <f aca="false">IF(AN$3&gt;=Products!$E$4,MIN(Products!$F$4,Products!$B$4-AM20),0)</f>
        <v>0</v>
      </c>
      <c r="AO19" s="0" t="n">
        <f aca="false">IF(AO$3&gt;=Products!$E$4,MIN(Products!$F$4,Products!$B$4-AN20),0)</f>
        <v>0</v>
      </c>
      <c r="AP19" s="0" t="n">
        <f aca="false">IF(AP$3&gt;=Products!$E$4,MIN(Products!$F$4,Products!$B$4-AO20),0)</f>
        <v>0</v>
      </c>
    </row>
    <row r="20" customFormat="false" ht="15" hidden="false" customHeight="false" outlineLevel="0" collapsed="false">
      <c r="A20" s="0" t="s">
        <v>43</v>
      </c>
      <c r="B20" s="0" t="n">
        <f aca="false">B19</f>
        <v>0</v>
      </c>
      <c r="C20" s="0" t="n">
        <f aca="false">B20+C19</f>
        <v>45</v>
      </c>
      <c r="D20" s="0" t="n">
        <f aca="false">C20+D19</f>
        <v>90</v>
      </c>
      <c r="E20" s="0" t="n">
        <f aca="false">D20+E19</f>
        <v>135</v>
      </c>
      <c r="F20" s="0" t="n">
        <f aca="false">E20+F19</f>
        <v>180</v>
      </c>
      <c r="G20" s="0" t="n">
        <f aca="false">F20+G19</f>
        <v>225</v>
      </c>
      <c r="H20" s="0" t="n">
        <f aca="false">G20+H19</f>
        <v>270</v>
      </c>
      <c r="I20" s="0" t="n">
        <f aca="false">H20+I19</f>
        <v>315</v>
      </c>
      <c r="J20" s="0" t="n">
        <f aca="false">I20+J19</f>
        <v>360</v>
      </c>
      <c r="K20" s="0" t="n">
        <f aca="false">J20+K19</f>
        <v>405</v>
      </c>
      <c r="L20" s="0" t="n">
        <f aca="false">K20+L19</f>
        <v>450</v>
      </c>
      <c r="M20" s="0" t="n">
        <f aca="false">L20+M19</f>
        <v>495</v>
      </c>
      <c r="N20" s="0" t="n">
        <f aca="false">M20+N19</f>
        <v>540</v>
      </c>
      <c r="O20" s="0" t="n">
        <f aca="false">N20+O19</f>
        <v>585</v>
      </c>
      <c r="P20" s="0" t="n">
        <f aca="false">O20+P19</f>
        <v>630</v>
      </c>
      <c r="Q20" s="0" t="n">
        <f aca="false">P20+Q19</f>
        <v>675</v>
      </c>
      <c r="R20" s="0" t="n">
        <f aca="false">Q20+R19</f>
        <v>720</v>
      </c>
      <c r="S20" s="0" t="n">
        <f aca="false">R20+S19</f>
        <v>765</v>
      </c>
      <c r="T20" s="0" t="n">
        <f aca="false">S20+T19</f>
        <v>810</v>
      </c>
      <c r="U20" s="0" t="n">
        <f aca="false">T20+U19</f>
        <v>855</v>
      </c>
      <c r="V20" s="0" t="n">
        <f aca="false">U20+V19</f>
        <v>900</v>
      </c>
      <c r="W20" s="0" t="n">
        <f aca="false">V20+W19</f>
        <v>900</v>
      </c>
      <c r="X20" s="0" t="n">
        <f aca="false">W20+X19</f>
        <v>900</v>
      </c>
      <c r="Y20" s="0" t="n">
        <f aca="false">X20+Y19</f>
        <v>900</v>
      </c>
      <c r="Z20" s="0" t="n">
        <f aca="false">Y20+Z19</f>
        <v>900</v>
      </c>
      <c r="AA20" s="0" t="n">
        <f aca="false">Z20+AA19</f>
        <v>900</v>
      </c>
      <c r="AB20" s="0" t="n">
        <f aca="false">AA20+AB19</f>
        <v>900</v>
      </c>
      <c r="AC20" s="0" t="n">
        <f aca="false">AB20+AC19</f>
        <v>900</v>
      </c>
      <c r="AD20" s="0" t="n">
        <f aca="false">AC20+AD19</f>
        <v>900</v>
      </c>
      <c r="AE20" s="0" t="n">
        <f aca="false">AD20+AE19</f>
        <v>900</v>
      </c>
      <c r="AF20" s="0" t="n">
        <f aca="false">AE20+AF19</f>
        <v>900</v>
      </c>
      <c r="AG20" s="0" t="n">
        <f aca="false">AF20+AG19</f>
        <v>900</v>
      </c>
      <c r="AH20" s="0" t="n">
        <f aca="false">AG20+AH19</f>
        <v>900</v>
      </c>
      <c r="AI20" s="0" t="n">
        <f aca="false">AH20+AI19</f>
        <v>900</v>
      </c>
      <c r="AJ20" s="0" t="n">
        <f aca="false">AI20+AJ19</f>
        <v>900</v>
      </c>
      <c r="AK20" s="0" t="n">
        <f aca="false">AJ20+AK19</f>
        <v>900</v>
      </c>
      <c r="AL20" s="0" t="n">
        <f aca="false">AK20+AL19</f>
        <v>900</v>
      </c>
      <c r="AM20" s="0" t="n">
        <f aca="false">AL20+AM19</f>
        <v>900</v>
      </c>
      <c r="AN20" s="0" t="n">
        <f aca="false">AM20+AN19</f>
        <v>900</v>
      </c>
      <c r="AO20" s="0" t="n">
        <f aca="false">AN20+AO19</f>
        <v>900</v>
      </c>
      <c r="AP20" s="0" t="n">
        <f aca="false">AO20+AP19</f>
        <v>900</v>
      </c>
    </row>
    <row r="21" customFormat="false" ht="15" hidden="false" customHeight="false" outlineLevel="0" collapsed="false">
      <c r="A21" s="0" t="s">
        <v>44</v>
      </c>
      <c r="B21" s="0" t="n">
        <f aca="false">B19*Products!$C$4*Products!$D$4*(1+Inputs!$B$7)^MAX(0,B$3-Products!$E$4)</f>
        <v>0</v>
      </c>
      <c r="C21" s="0" t="n">
        <f aca="false">C19*Products!$C$4*Products!$D$4*(1+Inputs!$B$7)^MAX(0,C$3-Products!$E$4)</f>
        <v>302400000</v>
      </c>
      <c r="D21" s="0" t="n">
        <f aca="false">D19*Products!$C$4*Products!$D$4*(1+Inputs!$B$7)^MAX(0,D$3-Products!$E$4)</f>
        <v>314496000</v>
      </c>
      <c r="E21" s="0" t="n">
        <f aca="false">E19*Products!$C$4*Products!$D$4*(1+Inputs!$B$7)^MAX(0,E$3-Products!$E$4)</f>
        <v>327075840</v>
      </c>
      <c r="F21" s="0" t="n">
        <f aca="false">F19*Products!$C$4*Products!$D$4*(1+Inputs!$B$7)^MAX(0,F$3-Products!$E$4)</f>
        <v>340158873.6</v>
      </c>
      <c r="G21" s="0" t="n">
        <f aca="false">G19*Products!$C$4*Products!$D$4*(1+Inputs!$B$7)^MAX(0,G$3-Products!$E$4)</f>
        <v>353765228.544</v>
      </c>
      <c r="H21" s="0" t="n">
        <f aca="false">H19*Products!$C$4*Products!$D$4*(1+Inputs!$B$7)^MAX(0,H$3-Products!$E$4)</f>
        <v>367915837.68576</v>
      </c>
      <c r="I21" s="0" t="n">
        <f aca="false">I19*Products!$C$4*Products!$D$4*(1+Inputs!$B$7)^MAX(0,I$3-Products!$E$4)</f>
        <v>382632471.193191</v>
      </c>
      <c r="J21" s="0" t="n">
        <f aca="false">J19*Products!$C$4*Products!$D$4*(1+Inputs!$B$7)^MAX(0,J$3-Products!$E$4)</f>
        <v>397937770.040918</v>
      </c>
      <c r="K21" s="0" t="n">
        <f aca="false">K19*Products!$C$4*Products!$D$4*(1+Inputs!$B$7)^MAX(0,K$3-Products!$E$4)</f>
        <v>413855280.842555</v>
      </c>
      <c r="L21" s="0" t="n">
        <f aca="false">L19*Products!$C$4*Products!$D$4*(1+Inputs!$B$7)^MAX(0,L$3-Products!$E$4)</f>
        <v>430409492.076257</v>
      </c>
      <c r="M21" s="0" t="n">
        <f aca="false">M19*Products!$C$4*Products!$D$4*(1+Inputs!$B$7)^MAX(0,M$3-Products!$E$4)</f>
        <v>447625871.759307</v>
      </c>
      <c r="N21" s="0" t="n">
        <f aca="false">N19*Products!$C$4*Products!$D$4*(1+Inputs!$B$7)^MAX(0,N$3-Products!$E$4)</f>
        <v>465530906.62968</v>
      </c>
      <c r="O21" s="0" t="n">
        <f aca="false">O19*Products!$C$4*Products!$D$4*(1+Inputs!$B$7)^MAX(0,O$3-Products!$E$4)</f>
        <v>484152142.894867</v>
      </c>
      <c r="P21" s="0" t="n">
        <f aca="false">P19*Products!$C$4*Products!$D$4*(1+Inputs!$B$7)^MAX(0,P$3-Products!$E$4)</f>
        <v>503518228.610662</v>
      </c>
      <c r="Q21" s="0" t="n">
        <f aca="false">Q19*Products!$C$4*Products!$D$4*(1+Inputs!$B$7)^MAX(0,Q$3-Products!$E$4)</f>
        <v>523658957.755088</v>
      </c>
      <c r="R21" s="0" t="n">
        <f aca="false">R19*Products!$C$4*Products!$D$4*(1+Inputs!$B$7)^MAX(0,R$3-Products!$E$4)</f>
        <v>544605316.065292</v>
      </c>
      <c r="S21" s="0" t="n">
        <f aca="false">S19*Products!$C$4*Products!$D$4*(1+Inputs!$B$7)^MAX(0,S$3-Products!$E$4)</f>
        <v>566389528.707903</v>
      </c>
      <c r="T21" s="0" t="n">
        <f aca="false">T19*Products!$C$4*Products!$D$4*(1+Inputs!$B$7)^MAX(0,T$3-Products!$E$4)</f>
        <v>589045109.856219</v>
      </c>
      <c r="U21" s="0" t="n">
        <f aca="false">U19*Products!$C$4*Products!$D$4*(1+Inputs!$B$7)^MAX(0,U$3-Products!$E$4)</f>
        <v>612606914.250468</v>
      </c>
      <c r="V21" s="0" t="n">
        <f aca="false">V19*Products!$C$4*Products!$D$4*(1+Inputs!$B$7)^MAX(0,V$3-Products!$E$4)</f>
        <v>637111190.820487</v>
      </c>
      <c r="W21" s="0" t="n">
        <f aca="false">W19*Products!$C$4*Products!$D$4*(1+Inputs!$B$7)^MAX(0,W$3-Products!$E$4)</f>
        <v>0</v>
      </c>
      <c r="X21" s="0" t="n">
        <f aca="false">X19*Products!$C$4*Products!$D$4*(1+Inputs!$B$7)^MAX(0,X$3-Products!$E$4)</f>
        <v>0</v>
      </c>
      <c r="Y21" s="0" t="n">
        <f aca="false">Y19*Products!$C$4*Products!$D$4*(1+Inputs!$B$7)^MAX(0,Y$3-Products!$E$4)</f>
        <v>0</v>
      </c>
      <c r="Z21" s="0" t="n">
        <f aca="false">Z19*Products!$C$4*Products!$D$4*(1+Inputs!$B$7)^MAX(0,Z$3-Products!$E$4)</f>
        <v>0</v>
      </c>
      <c r="AA21" s="0" t="n">
        <f aca="false">AA19*Products!$C$4*Products!$D$4*(1+Inputs!$B$7)^MAX(0,AA$3-Products!$E$4)</f>
        <v>0</v>
      </c>
      <c r="AB21" s="0" t="n">
        <f aca="false">AB19*Products!$C$4*Products!$D$4*(1+Inputs!$B$7)^MAX(0,AB$3-Products!$E$4)</f>
        <v>0</v>
      </c>
      <c r="AC21" s="0" t="n">
        <f aca="false">AC19*Products!$C$4*Products!$D$4*(1+Inputs!$B$7)^MAX(0,AC$3-Products!$E$4)</f>
        <v>0</v>
      </c>
      <c r="AD21" s="0" t="n">
        <f aca="false">AD19*Products!$C$4*Products!$D$4*(1+Inputs!$B$7)^MAX(0,AD$3-Products!$E$4)</f>
        <v>0</v>
      </c>
      <c r="AE21" s="0" t="n">
        <f aca="false">AE19*Products!$C$4*Products!$D$4*(1+Inputs!$B$7)^MAX(0,AE$3-Products!$E$4)</f>
        <v>0</v>
      </c>
      <c r="AF21" s="0" t="n">
        <f aca="false">AF19*Products!$C$4*Products!$D$4*(1+Inputs!$B$7)^MAX(0,AF$3-Products!$E$4)</f>
        <v>0</v>
      </c>
      <c r="AG21" s="0" t="n">
        <f aca="false">AG19*Products!$C$4*Products!$D$4*(1+Inputs!$B$7)^MAX(0,AG$3-Products!$E$4)</f>
        <v>0</v>
      </c>
      <c r="AH21" s="0" t="n">
        <f aca="false">AH19*Products!$C$4*Products!$D$4*(1+Inputs!$B$7)^MAX(0,AH$3-Products!$E$4)</f>
        <v>0</v>
      </c>
      <c r="AI21" s="0" t="n">
        <f aca="false">AI19*Products!$C$4*Products!$D$4*(1+Inputs!$B$7)^MAX(0,AI$3-Products!$E$4)</f>
        <v>0</v>
      </c>
      <c r="AJ21" s="0" t="n">
        <f aca="false">AJ19*Products!$C$4*Products!$D$4*(1+Inputs!$B$7)^MAX(0,AJ$3-Products!$E$4)</f>
        <v>0</v>
      </c>
      <c r="AK21" s="0" t="n">
        <f aca="false">AK19*Products!$C$4*Products!$D$4*(1+Inputs!$B$7)^MAX(0,AK$3-Products!$E$4)</f>
        <v>0</v>
      </c>
      <c r="AL21" s="0" t="n">
        <f aca="false">AL19*Products!$C$4*Products!$D$4*(1+Inputs!$B$7)^MAX(0,AL$3-Products!$E$4)</f>
        <v>0</v>
      </c>
      <c r="AM21" s="0" t="n">
        <f aca="false">AM19*Products!$C$4*Products!$D$4*(1+Inputs!$B$7)^MAX(0,AM$3-Products!$E$4)</f>
        <v>0</v>
      </c>
      <c r="AN21" s="0" t="n">
        <f aca="false">AN19*Products!$C$4*Products!$D$4*(1+Inputs!$B$7)^MAX(0,AN$3-Products!$E$4)</f>
        <v>0</v>
      </c>
      <c r="AO21" s="0" t="n">
        <f aca="false">AO19*Products!$C$4*Products!$D$4*(1+Inputs!$B$7)^MAX(0,AO$3-Products!$E$4)</f>
        <v>0</v>
      </c>
      <c r="AP21" s="0" t="n">
        <f aca="false">AP19*Products!$C$4*Products!$D$4*(1+Inputs!$B$7)^MAX(0,AP$3-Products!$E$4)</f>
        <v>0</v>
      </c>
    </row>
    <row r="22" customFormat="false" ht="15" hidden="false" customHeight="false" outlineLevel="0" collapsed="false">
      <c r="A22" s="0" t="s">
        <v>45</v>
      </c>
      <c r="B22" s="0" t="n">
        <f aca="false">(1-Inputs!$B$4-Inputs!$B$5)/Inputs!$B$6*SUMIFS($B$21:$AP$21,$B$3:$AP$3,"&gt;="&amp;(B$3-Inputs!$B$6),$B$3:$AP$3,"&lt;="&amp;(B$3-1))</f>
        <v>0</v>
      </c>
      <c r="C22" s="0" t="n">
        <f aca="false">(1-Inputs!$B$4-Inputs!$B$5)/Inputs!$B$6*SUMIFS($B$21:$AP$21,$B$3:$AP$3,"&gt;="&amp;(C$3-Inputs!$B$6),$B$3:$AP$3,"&lt;="&amp;(C$3-1))</f>
        <v>0</v>
      </c>
      <c r="D22" s="0" t="n">
        <f aca="false">(1-Inputs!$B$4-Inputs!$B$5)/Inputs!$B$6*SUMIFS($B$21:$AP$21,$B$3:$AP$3,"&gt;="&amp;(D$3-Inputs!$B$6),$B$3:$AP$3,"&lt;="&amp;(D$3-1))</f>
        <v>9180000</v>
      </c>
      <c r="E22" s="0" t="n">
        <f aca="false">(1-Inputs!$B$4-Inputs!$B$5)/Inputs!$B$6*SUMIFS($B$21:$AP$21,$B$3:$AP$3,"&gt;="&amp;(E$3-Inputs!$B$6),$B$3:$AP$3,"&lt;="&amp;(E$3-1))</f>
        <v>18727200</v>
      </c>
      <c r="F22" s="0" t="n">
        <f aca="false">(1-Inputs!$B$4-Inputs!$B$5)/Inputs!$B$6*SUMIFS($B$21:$AP$21,$B$3:$AP$3,"&gt;="&amp;(F$3-Inputs!$B$6),$B$3:$AP$3,"&lt;="&amp;(F$3-1))</f>
        <v>28656288</v>
      </c>
      <c r="G22" s="0" t="n">
        <f aca="false">(1-Inputs!$B$4-Inputs!$B$5)/Inputs!$B$6*SUMIFS($B$21:$AP$21,$B$3:$AP$3,"&gt;="&amp;(G$3-Inputs!$B$6),$B$3:$AP$3,"&lt;="&amp;(G$3-1))</f>
        <v>38982539.52</v>
      </c>
      <c r="H22" s="0" t="n">
        <f aca="false">(1-Inputs!$B$4-Inputs!$B$5)/Inputs!$B$6*SUMIFS($B$21:$AP$21,$B$3:$AP$3,"&gt;="&amp;(H$3-Inputs!$B$6),$B$3:$AP$3,"&lt;="&amp;(H$3-1))</f>
        <v>49721841.1008</v>
      </c>
      <c r="I22" s="0" t="n">
        <f aca="false">(1-Inputs!$B$4-Inputs!$B$5)/Inputs!$B$6*SUMIFS($B$21:$AP$21,$B$3:$AP$3,"&gt;="&amp;(I$3-Inputs!$B$6),$B$3:$AP$3,"&lt;="&amp;(I$3-1))</f>
        <v>60890714.744832</v>
      </c>
      <c r="J22" s="0" t="n">
        <f aca="false">(1-Inputs!$B$4-Inputs!$B$5)/Inputs!$B$6*SUMIFS($B$21:$AP$21,$B$3:$AP$3,"&gt;="&amp;(J$3-Inputs!$B$6),$B$3:$AP$3,"&lt;="&amp;(J$3-1))</f>
        <v>72506343.3346253</v>
      </c>
      <c r="K22" s="0" t="n">
        <f aca="false">(1-Inputs!$B$4-Inputs!$B$5)/Inputs!$B$6*SUMIFS($B$21:$AP$21,$B$3:$AP$3,"&gt;="&amp;(K$3-Inputs!$B$6),$B$3:$AP$3,"&lt;="&amp;(K$3-1))</f>
        <v>84586597.0680103</v>
      </c>
      <c r="L22" s="0" t="n">
        <f aca="false">(1-Inputs!$B$4-Inputs!$B$5)/Inputs!$B$6*SUMIFS($B$21:$AP$21,$B$3:$AP$3,"&gt;="&amp;(L$3-Inputs!$B$6),$B$3:$AP$3,"&lt;="&amp;(L$3-1))</f>
        <v>97150060.9507307</v>
      </c>
      <c r="M22" s="0" t="n">
        <f aca="false">(1-Inputs!$B$4-Inputs!$B$5)/Inputs!$B$6*SUMIFS($B$21:$AP$21,$B$3:$AP$3,"&gt;="&amp;(M$3-Inputs!$B$6),$B$3:$AP$3,"&lt;="&amp;(M$3-1))</f>
        <v>110216063.38876</v>
      </c>
      <c r="N22" s="0" t="n">
        <f aca="false">(1-Inputs!$B$4-Inputs!$B$5)/Inputs!$B$6*SUMIFS($B$21:$AP$21,$B$3:$AP$3,"&gt;="&amp;(N$3-Inputs!$B$6),$B$3:$AP$3,"&lt;="&amp;(N$3-1))</f>
        <v>123804705.92431</v>
      </c>
      <c r="O22" s="0" t="n">
        <f aca="false">(1-Inputs!$B$4-Inputs!$B$5)/Inputs!$B$6*SUMIFS($B$21:$AP$21,$B$3:$AP$3,"&gt;="&amp;(O$3-Inputs!$B$6),$B$3:$AP$3,"&lt;="&amp;(O$3-1))</f>
        <v>137936894.161283</v>
      </c>
      <c r="P22" s="0" t="n">
        <f aca="false">(1-Inputs!$B$4-Inputs!$B$5)/Inputs!$B$6*SUMIFS($B$21:$AP$21,$B$3:$AP$3,"&gt;="&amp;(P$3-Inputs!$B$6),$B$3:$AP$3,"&lt;="&amp;(P$3-1))</f>
        <v>152634369.927734</v>
      </c>
      <c r="Q22" s="0" t="n">
        <f aca="false">(1-Inputs!$B$4-Inputs!$B$5)/Inputs!$B$6*SUMIFS($B$21:$AP$21,$B$3:$AP$3,"&gt;="&amp;(Q$3-Inputs!$B$6),$B$3:$AP$3,"&lt;="&amp;(Q$3-1))</f>
        <v>167919744.724843</v>
      </c>
      <c r="R22" s="0" t="n">
        <f aca="false">(1-Inputs!$B$4-Inputs!$B$5)/Inputs!$B$6*SUMIFS($B$21:$AP$21,$B$3:$AP$3,"&gt;="&amp;(R$3-Inputs!$B$6),$B$3:$AP$3,"&lt;="&amp;(R$3-1))</f>
        <v>183816534.513837</v>
      </c>
      <c r="S22" s="0" t="n">
        <f aca="false">(1-Inputs!$B$4-Inputs!$B$5)/Inputs!$B$6*SUMIFS($B$21:$AP$21,$B$3:$AP$3,"&gt;="&amp;(S$3-Inputs!$B$6),$B$3:$AP$3,"&lt;="&amp;(S$3-1))</f>
        <v>200349195.894391</v>
      </c>
      <c r="T22" s="0" t="n">
        <f aca="false">(1-Inputs!$B$4-Inputs!$B$5)/Inputs!$B$6*SUMIFS($B$21:$AP$21,$B$3:$AP$3,"&gt;="&amp;(T$3-Inputs!$B$6),$B$3:$AP$3,"&lt;="&amp;(T$3-1))</f>
        <v>217543163.730166</v>
      </c>
      <c r="U22" s="0" t="n">
        <f aca="false">(1-Inputs!$B$4-Inputs!$B$5)/Inputs!$B$6*SUMIFS($B$21:$AP$21,$B$3:$AP$3,"&gt;="&amp;(U$3-Inputs!$B$6),$B$3:$AP$3,"&lt;="&amp;(U$3-1))</f>
        <v>235424890.279373</v>
      </c>
      <c r="V22" s="0" t="n">
        <f aca="false">(1-Inputs!$B$4-Inputs!$B$5)/Inputs!$B$6*SUMIFS($B$21:$AP$21,$B$3:$AP$3,"&gt;="&amp;(V$3-Inputs!$B$6),$B$3:$AP$3,"&lt;="&amp;(V$3-1))</f>
        <v>254021885.890548</v>
      </c>
      <c r="W22" s="0" t="n">
        <f aca="false">(1-Inputs!$B$4-Inputs!$B$5)/Inputs!$B$6*SUMIFS($B$21:$AP$21,$B$3:$AP$3,"&gt;="&amp;(W$3-Inputs!$B$6),$B$3:$AP$3,"&lt;="&amp;(W$3-1))</f>
        <v>273362761.32617</v>
      </c>
      <c r="X22" s="0" t="n">
        <f aca="false">(1-Inputs!$B$4-Inputs!$B$5)/Inputs!$B$6*SUMIFS($B$21:$AP$21,$B$3:$AP$3,"&gt;="&amp;(X$3-Inputs!$B$6),$B$3:$AP$3,"&lt;="&amp;(X$3-1))</f>
        <v>273362761.32617</v>
      </c>
      <c r="Y22" s="0" t="n">
        <f aca="false">(1-Inputs!$B$4-Inputs!$B$5)/Inputs!$B$6*SUMIFS($B$21:$AP$21,$B$3:$AP$3,"&gt;="&amp;(Y$3-Inputs!$B$6),$B$3:$AP$3,"&lt;="&amp;(Y$3-1))</f>
        <v>273362761.32617</v>
      </c>
      <c r="Z22" s="0" t="n">
        <f aca="false">(1-Inputs!$B$4-Inputs!$B$5)/Inputs!$B$6*SUMIFS($B$21:$AP$21,$B$3:$AP$3,"&gt;="&amp;(Z$3-Inputs!$B$6),$B$3:$AP$3,"&lt;="&amp;(Z$3-1))</f>
        <v>273362761.32617</v>
      </c>
      <c r="AA22" s="0" t="n">
        <f aca="false">(1-Inputs!$B$4-Inputs!$B$5)/Inputs!$B$6*SUMIFS($B$21:$AP$21,$B$3:$AP$3,"&gt;="&amp;(AA$3-Inputs!$B$6),$B$3:$AP$3,"&lt;="&amp;(AA$3-1))</f>
        <v>273362761.32617</v>
      </c>
      <c r="AB22" s="0" t="n">
        <f aca="false">(1-Inputs!$B$4-Inputs!$B$5)/Inputs!$B$6*SUMIFS($B$21:$AP$21,$B$3:$AP$3,"&gt;="&amp;(AB$3-Inputs!$B$6),$B$3:$AP$3,"&lt;="&amp;(AB$3-1))</f>
        <v>273362761.32617</v>
      </c>
      <c r="AC22" s="0" t="n">
        <f aca="false">(1-Inputs!$B$4-Inputs!$B$5)/Inputs!$B$6*SUMIFS($B$21:$AP$21,$B$3:$AP$3,"&gt;="&amp;(AC$3-Inputs!$B$6),$B$3:$AP$3,"&lt;="&amp;(AC$3-1))</f>
        <v>273362761.32617</v>
      </c>
      <c r="AD22" s="0" t="n">
        <f aca="false">(1-Inputs!$B$4-Inputs!$B$5)/Inputs!$B$6*SUMIFS($B$21:$AP$21,$B$3:$AP$3,"&gt;="&amp;(AD$3-Inputs!$B$6),$B$3:$AP$3,"&lt;="&amp;(AD$3-1))</f>
        <v>273362761.32617</v>
      </c>
      <c r="AE22" s="0" t="n">
        <f aca="false">(1-Inputs!$B$4-Inputs!$B$5)/Inputs!$B$6*SUMIFS($B$21:$AP$21,$B$3:$AP$3,"&gt;="&amp;(AE$3-Inputs!$B$6),$B$3:$AP$3,"&lt;="&amp;(AE$3-1))</f>
        <v>273362761.32617</v>
      </c>
      <c r="AF22" s="0" t="n">
        <f aca="false">(1-Inputs!$B$4-Inputs!$B$5)/Inputs!$B$6*SUMIFS($B$21:$AP$21,$B$3:$AP$3,"&gt;="&amp;(AF$3-Inputs!$B$6),$B$3:$AP$3,"&lt;="&amp;(AF$3-1))</f>
        <v>264182761.32617</v>
      </c>
      <c r="AG22" s="0" t="n">
        <f aca="false">(1-Inputs!$B$4-Inputs!$B$5)/Inputs!$B$6*SUMIFS($B$21:$AP$21,$B$3:$AP$3,"&gt;="&amp;(AG$3-Inputs!$B$6),$B$3:$AP$3,"&lt;="&amp;(AG$3-1))</f>
        <v>254635561.32617</v>
      </c>
      <c r="AH22" s="0" t="n">
        <f aca="false">(1-Inputs!$B$4-Inputs!$B$5)/Inputs!$B$6*SUMIFS($B$21:$AP$21,$B$3:$AP$3,"&gt;="&amp;(AH$3-Inputs!$B$6),$B$3:$AP$3,"&lt;="&amp;(AH$3-1))</f>
        <v>244706473.32617</v>
      </c>
      <c r="AI22" s="0" t="n">
        <f aca="false">(1-Inputs!$B$4-Inputs!$B$5)/Inputs!$B$6*SUMIFS($B$21:$AP$21,$B$3:$AP$3,"&gt;="&amp;(AI$3-Inputs!$B$6),$B$3:$AP$3,"&lt;="&amp;(AI$3-1))</f>
        <v>234380221.80617</v>
      </c>
      <c r="AJ22" s="0" t="n">
        <f aca="false">(1-Inputs!$B$4-Inputs!$B$5)/Inputs!$B$6*SUMIFS($B$21:$AP$21,$B$3:$AP$3,"&gt;="&amp;(AJ$3-Inputs!$B$6),$B$3:$AP$3,"&lt;="&amp;(AJ$3-1))</f>
        <v>223640920.22537</v>
      </c>
      <c r="AK22" s="0" t="n">
        <f aca="false">(1-Inputs!$B$4-Inputs!$B$5)/Inputs!$B$6*SUMIFS($B$21:$AP$21,$B$3:$AP$3,"&gt;="&amp;(AK$3-Inputs!$B$6),$B$3:$AP$3,"&lt;="&amp;(AK$3-1))</f>
        <v>212472046.581338</v>
      </c>
      <c r="AL22" s="0" t="n">
        <f aca="false">(1-Inputs!$B$4-Inputs!$B$5)/Inputs!$B$6*SUMIFS($B$21:$AP$21,$B$3:$AP$3,"&gt;="&amp;(AL$3-Inputs!$B$6),$B$3:$AP$3,"&lt;="&amp;(AL$3-1))</f>
        <v>200856417.991545</v>
      </c>
      <c r="AM22" s="0" t="n">
        <f aca="false">(1-Inputs!$B$4-Inputs!$B$5)/Inputs!$B$6*SUMIFS($B$21:$AP$21,$B$3:$AP$3,"&gt;="&amp;(AM$3-Inputs!$B$6),$B$3:$AP$3,"&lt;="&amp;(AM$3-1))</f>
        <v>188776164.25816</v>
      </c>
      <c r="AN22" s="0" t="n">
        <f aca="false">(1-Inputs!$B$4-Inputs!$B$5)/Inputs!$B$6*SUMIFS($B$21:$AP$21,$B$3:$AP$3,"&gt;="&amp;(AN$3-Inputs!$B$6),$B$3:$AP$3,"&lt;="&amp;(AN$3-1))</f>
        <v>176212700.375439</v>
      </c>
      <c r="AO22" s="0" t="n">
        <f aca="false">(1-Inputs!$B$4-Inputs!$B$5)/Inputs!$B$6*SUMIFS($B$21:$AP$21,$B$3:$AP$3,"&gt;="&amp;(AO$3-Inputs!$B$6),$B$3:$AP$3,"&lt;="&amp;(AO$3-1))</f>
        <v>163146697.93741</v>
      </c>
      <c r="AP22" s="0" t="n">
        <f aca="false">(1-Inputs!$B$4-Inputs!$B$5)/Inputs!$B$6*SUMIFS($B$21:$AP$21,$B$3:$AP$3,"&gt;="&amp;(AP$3-Inputs!$B$6),$B$3:$AP$3,"&lt;="&amp;(AP$3-1))</f>
        <v>149558055.40186</v>
      </c>
    </row>
    <row r="23" customFormat="false" ht="15" hidden="false" customHeight="false" outlineLevel="0" collapsed="false">
      <c r="A23" s="0" t="s">
        <v>46</v>
      </c>
      <c r="B23" s="0" t="n">
        <f aca="false">Inputs!$B$5*(IF(B$3=(Products!$G$4+Products!$H$4),SUMIFS($B$21:$AP$21,$B$3:$AP$3,"&lt;="&amp;(Products!$G$4+Products!$H$4)),0)+IF(B$3&gt;(Products!$G$4+Products!$H$4),B21,0))</f>
        <v>0</v>
      </c>
      <c r="C23" s="0" t="n">
        <f aca="false">Inputs!$B$5*(IF(C$3=(Products!$G$4+Products!$H$4),SUMIFS($B$21:$AP$21,$B$3:$AP$3,"&lt;="&amp;(Products!$G$4+Products!$H$4)),0)+IF(C$3&gt;(Products!$G$4+Products!$H$4),C21,0))</f>
        <v>0</v>
      </c>
      <c r="D23" s="0" t="n">
        <f aca="false">Inputs!$B$5*(IF(D$3=(Products!$G$4+Products!$H$4),SUMIFS($B$21:$AP$21,$B$3:$AP$3,"&lt;="&amp;(Products!$G$4+Products!$H$4)),0)+IF(D$3&gt;(Products!$G$4+Products!$H$4),D21,0))</f>
        <v>0</v>
      </c>
      <c r="E23" s="0" t="n">
        <f aca="false">Inputs!$B$5*(IF(E$3=(Products!$G$4+Products!$H$4),SUMIFS($B$21:$AP$21,$B$3:$AP$3,"&lt;="&amp;(Products!$G$4+Products!$H$4)),0)+IF(E$3&gt;(Products!$G$4+Products!$H$4),E21,0))</f>
        <v>0</v>
      </c>
      <c r="F23" s="0" t="n">
        <f aca="false">Inputs!$B$5*(IF(F$3=(Products!$G$4+Products!$H$4),SUMIFS($B$21:$AP$21,$B$3:$AP$3,"&lt;="&amp;(Products!$G$4+Products!$H$4)),0)+IF(F$3&gt;(Products!$G$4+Products!$H$4),F21,0))</f>
        <v>0</v>
      </c>
      <c r="G23" s="0" t="n">
        <f aca="false">Inputs!$B$5*(IF(G$3=(Products!$G$4+Products!$H$4),SUMIFS($B$21:$AP$21,$B$3:$AP$3,"&lt;="&amp;(Products!$G$4+Products!$H$4)),0)+IF(G$3&gt;(Products!$G$4+Products!$H$4),G21,0))</f>
        <v>0</v>
      </c>
      <c r="H23" s="0" t="n">
        <f aca="false">Inputs!$B$5*(IF(H$3=(Products!$G$4+Products!$H$4),SUMIFS($B$21:$AP$21,$B$3:$AP$3,"&lt;="&amp;(Products!$G$4+Products!$H$4)),0)+IF(H$3&gt;(Products!$G$4+Products!$H$4),H21,0))</f>
        <v>0</v>
      </c>
      <c r="I23" s="0" t="n">
        <f aca="false">Inputs!$B$5*(IF(I$3=(Products!$G$4+Products!$H$4),SUMIFS($B$21:$AP$21,$B$3:$AP$3,"&lt;="&amp;(Products!$G$4+Products!$H$4)),0)+IF(I$3&gt;(Products!$G$4+Products!$H$4),I21,0))</f>
        <v>0</v>
      </c>
      <c r="J23" s="0" t="n">
        <f aca="false">Inputs!$B$5*(IF(J$3=(Products!$G$4+Products!$H$4),SUMIFS($B$21:$AP$21,$B$3:$AP$3,"&lt;="&amp;(Products!$G$4+Products!$H$4)),0)+IF(J$3&gt;(Products!$G$4+Products!$H$4),J21,0))</f>
        <v>0</v>
      </c>
      <c r="K23" s="0" t="n">
        <f aca="false">Inputs!$B$5*(IF(K$3=(Products!$G$4+Products!$H$4),SUMIFS($B$21:$AP$21,$B$3:$AP$3,"&lt;="&amp;(Products!$G$4+Products!$H$4)),0)+IF(K$3&gt;(Products!$G$4+Products!$H$4),K21,0))</f>
        <v>0</v>
      </c>
      <c r="L23" s="0" t="n">
        <f aca="false">Inputs!$B$5*(IF(L$3=(Products!$G$4+Products!$H$4),SUMIFS($B$21:$AP$21,$B$3:$AP$3,"&lt;="&amp;(Products!$G$4+Products!$H$4)),0)+IF(L$3&gt;(Products!$G$4+Products!$H$4),L21,0))</f>
        <v>0</v>
      </c>
      <c r="M23" s="0" t="n">
        <f aca="false">Inputs!$B$5*(IF(M$3=(Products!$G$4+Products!$H$4),SUMIFS($B$21:$AP$21,$B$3:$AP$3,"&lt;="&amp;(Products!$G$4+Products!$H$4)),0)+IF(M$3&gt;(Products!$G$4+Products!$H$4),M21,0))</f>
        <v>0</v>
      </c>
      <c r="N23" s="0" t="n">
        <f aca="false">Inputs!$B$5*(IF(N$3=(Products!$G$4+Products!$H$4),SUMIFS($B$21:$AP$21,$B$3:$AP$3,"&lt;="&amp;(Products!$G$4+Products!$H$4)),0)+IF(N$3&gt;(Products!$G$4+Products!$H$4),N21,0))</f>
        <v>0</v>
      </c>
      <c r="O23" s="0" t="n">
        <f aca="false">Inputs!$B$5*(IF(O$3=(Products!$G$4+Products!$H$4),SUMIFS($B$21:$AP$21,$B$3:$AP$3,"&lt;="&amp;(Products!$G$4+Products!$H$4)),0)+IF(O$3&gt;(Products!$G$4+Products!$H$4),O21,0))</f>
        <v>0</v>
      </c>
      <c r="P23" s="0" t="n">
        <f aca="false">Inputs!$B$5*(IF(P$3=(Products!$G$4+Products!$H$4),SUMIFS($B$21:$AP$21,$B$3:$AP$3,"&lt;="&amp;(Products!$G$4+Products!$H$4)),0)+IF(P$3&gt;(Products!$G$4+Products!$H$4),P21,0))</f>
        <v>276573697.19386</v>
      </c>
      <c r="Q23" s="0" t="n">
        <f aca="false">Inputs!$B$5*(IF(Q$3=(Products!$G$4+Products!$H$4),SUMIFS($B$21:$AP$21,$B$3:$AP$3,"&lt;="&amp;(Products!$G$4+Products!$H$4)),0)+IF(Q$3&gt;(Products!$G$4+Products!$H$4),Q21,0))</f>
        <v>26182947.8877544</v>
      </c>
      <c r="R23" s="0" t="n">
        <f aca="false">Inputs!$B$5*(IF(R$3=(Products!$G$4+Products!$H$4),SUMIFS($B$21:$AP$21,$B$3:$AP$3,"&lt;="&amp;(Products!$G$4+Products!$H$4)),0)+IF(R$3&gt;(Products!$G$4+Products!$H$4),R21,0))</f>
        <v>27230265.8032646</v>
      </c>
      <c r="S23" s="0" t="n">
        <f aca="false">Inputs!$B$5*(IF(S$3=(Products!$G$4+Products!$H$4),SUMIFS($B$21:$AP$21,$B$3:$AP$3,"&lt;="&amp;(Products!$G$4+Products!$H$4)),0)+IF(S$3&gt;(Products!$G$4+Products!$H$4),S21,0))</f>
        <v>28319476.4353952</v>
      </c>
      <c r="T23" s="0" t="n">
        <f aca="false">Inputs!$B$5*(IF(T$3=(Products!$G$4+Products!$H$4),SUMIFS($B$21:$AP$21,$B$3:$AP$3,"&lt;="&amp;(Products!$G$4+Products!$H$4)),0)+IF(T$3&gt;(Products!$G$4+Products!$H$4),T21,0))</f>
        <v>29452255.492811</v>
      </c>
      <c r="U23" s="0" t="n">
        <f aca="false">Inputs!$B$5*(IF(U$3=(Products!$G$4+Products!$H$4),SUMIFS($B$21:$AP$21,$B$3:$AP$3,"&lt;="&amp;(Products!$G$4+Products!$H$4)),0)+IF(U$3&gt;(Products!$G$4+Products!$H$4),U21,0))</f>
        <v>30630345.7125234</v>
      </c>
      <c r="V23" s="0" t="n">
        <f aca="false">Inputs!$B$5*(IF(V$3=(Products!$G$4+Products!$H$4),SUMIFS($B$21:$AP$21,$B$3:$AP$3,"&lt;="&amp;(Products!$G$4+Products!$H$4)),0)+IF(V$3&gt;(Products!$G$4+Products!$H$4),V21,0))</f>
        <v>31855559.5410244</v>
      </c>
      <c r="W23" s="0" t="n">
        <f aca="false">Inputs!$B$5*(IF(W$3=(Products!$G$4+Products!$H$4),SUMIFS($B$21:$AP$21,$B$3:$AP$3,"&lt;="&amp;(Products!$G$4+Products!$H$4)),0)+IF(W$3&gt;(Products!$G$4+Products!$H$4),W21,0))</f>
        <v>0</v>
      </c>
      <c r="X23" s="0" t="n">
        <f aca="false">Inputs!$B$5*(IF(X$3=(Products!$G$4+Products!$H$4),SUMIFS($B$21:$AP$21,$B$3:$AP$3,"&lt;="&amp;(Products!$G$4+Products!$H$4)),0)+IF(X$3&gt;(Products!$G$4+Products!$H$4),X21,0))</f>
        <v>0</v>
      </c>
      <c r="Y23" s="0" t="n">
        <f aca="false">Inputs!$B$5*(IF(Y$3=(Products!$G$4+Products!$H$4),SUMIFS($B$21:$AP$21,$B$3:$AP$3,"&lt;="&amp;(Products!$G$4+Products!$H$4)),0)+IF(Y$3&gt;(Products!$G$4+Products!$H$4),Y21,0))</f>
        <v>0</v>
      </c>
      <c r="Z23" s="0" t="n">
        <f aca="false">Inputs!$B$5*(IF(Z$3=(Products!$G$4+Products!$H$4),SUMIFS($B$21:$AP$21,$B$3:$AP$3,"&lt;="&amp;(Products!$G$4+Products!$H$4)),0)+IF(Z$3&gt;(Products!$G$4+Products!$H$4),Z21,0))</f>
        <v>0</v>
      </c>
      <c r="AA23" s="0" t="n">
        <f aca="false">Inputs!$B$5*(IF(AA$3=(Products!$G$4+Products!$H$4),SUMIFS($B$21:$AP$21,$B$3:$AP$3,"&lt;="&amp;(Products!$G$4+Products!$H$4)),0)+IF(AA$3&gt;(Products!$G$4+Products!$H$4),AA21,0))</f>
        <v>0</v>
      </c>
      <c r="AB23" s="0" t="n">
        <f aca="false">Inputs!$B$5*(IF(AB$3=(Products!$G$4+Products!$H$4),SUMIFS($B$21:$AP$21,$B$3:$AP$3,"&lt;="&amp;(Products!$G$4+Products!$H$4)),0)+IF(AB$3&gt;(Products!$G$4+Products!$H$4),AB21,0))</f>
        <v>0</v>
      </c>
      <c r="AC23" s="0" t="n">
        <f aca="false">Inputs!$B$5*(IF(AC$3=(Products!$G$4+Products!$H$4),SUMIFS($B$21:$AP$21,$B$3:$AP$3,"&lt;="&amp;(Products!$G$4+Products!$H$4)),0)+IF(AC$3&gt;(Products!$G$4+Products!$H$4),AC21,0))</f>
        <v>0</v>
      </c>
      <c r="AD23" s="0" t="n">
        <f aca="false">Inputs!$B$5*(IF(AD$3=(Products!$G$4+Products!$H$4),SUMIFS($B$21:$AP$21,$B$3:$AP$3,"&lt;="&amp;(Products!$G$4+Products!$H$4)),0)+IF(AD$3&gt;(Products!$G$4+Products!$H$4),AD21,0))</f>
        <v>0</v>
      </c>
      <c r="AE23" s="0" t="n">
        <f aca="false">Inputs!$B$5*(IF(AE$3=(Products!$G$4+Products!$H$4),SUMIFS($B$21:$AP$21,$B$3:$AP$3,"&lt;="&amp;(Products!$G$4+Products!$H$4)),0)+IF(AE$3&gt;(Products!$G$4+Products!$H$4),AE21,0))</f>
        <v>0</v>
      </c>
      <c r="AF23" s="0" t="n">
        <f aca="false">Inputs!$B$5*(IF(AF$3=(Products!$G$4+Products!$H$4),SUMIFS($B$21:$AP$21,$B$3:$AP$3,"&lt;="&amp;(Products!$G$4+Products!$H$4)),0)+IF(AF$3&gt;(Products!$G$4+Products!$H$4),AF21,0))</f>
        <v>0</v>
      </c>
      <c r="AG23" s="0" t="n">
        <f aca="false">Inputs!$B$5*(IF(AG$3=(Products!$G$4+Products!$H$4),SUMIFS($B$21:$AP$21,$B$3:$AP$3,"&lt;="&amp;(Products!$G$4+Products!$H$4)),0)+IF(AG$3&gt;(Products!$G$4+Products!$H$4),AG21,0))</f>
        <v>0</v>
      </c>
      <c r="AH23" s="0" t="n">
        <f aca="false">Inputs!$B$5*(IF(AH$3=(Products!$G$4+Products!$H$4),SUMIFS($B$21:$AP$21,$B$3:$AP$3,"&lt;="&amp;(Products!$G$4+Products!$H$4)),0)+IF(AH$3&gt;(Products!$G$4+Products!$H$4),AH21,0))</f>
        <v>0</v>
      </c>
      <c r="AI23" s="0" t="n">
        <f aca="false">Inputs!$B$5*(IF(AI$3=(Products!$G$4+Products!$H$4),SUMIFS($B$21:$AP$21,$B$3:$AP$3,"&lt;="&amp;(Products!$G$4+Products!$H$4)),0)+IF(AI$3&gt;(Products!$G$4+Products!$H$4),AI21,0))</f>
        <v>0</v>
      </c>
      <c r="AJ23" s="0" t="n">
        <f aca="false">Inputs!$B$5*(IF(AJ$3=(Products!$G$4+Products!$H$4),SUMIFS($B$21:$AP$21,$B$3:$AP$3,"&lt;="&amp;(Products!$G$4+Products!$H$4)),0)+IF(AJ$3&gt;(Products!$G$4+Products!$H$4),AJ21,0))</f>
        <v>0</v>
      </c>
      <c r="AK23" s="0" t="n">
        <f aca="false">Inputs!$B$5*(IF(AK$3=(Products!$G$4+Products!$H$4),SUMIFS($B$21:$AP$21,$B$3:$AP$3,"&lt;="&amp;(Products!$G$4+Products!$H$4)),0)+IF(AK$3&gt;(Products!$G$4+Products!$H$4),AK21,0))</f>
        <v>0</v>
      </c>
      <c r="AL23" s="0" t="n">
        <f aca="false">Inputs!$B$5*(IF(AL$3=(Products!$G$4+Products!$H$4),SUMIFS($B$21:$AP$21,$B$3:$AP$3,"&lt;="&amp;(Products!$G$4+Products!$H$4)),0)+IF(AL$3&gt;(Products!$G$4+Products!$H$4),AL21,0))</f>
        <v>0</v>
      </c>
      <c r="AM23" s="0" t="n">
        <f aca="false">Inputs!$B$5*(IF(AM$3=(Products!$G$4+Products!$H$4),SUMIFS($B$21:$AP$21,$B$3:$AP$3,"&lt;="&amp;(Products!$G$4+Products!$H$4)),0)+IF(AM$3&gt;(Products!$G$4+Products!$H$4),AM21,0))</f>
        <v>0</v>
      </c>
      <c r="AN23" s="0" t="n">
        <f aca="false">Inputs!$B$5*(IF(AN$3=(Products!$G$4+Products!$H$4),SUMIFS($B$21:$AP$21,$B$3:$AP$3,"&lt;="&amp;(Products!$G$4+Products!$H$4)),0)+IF(AN$3&gt;(Products!$G$4+Products!$H$4),AN21,0))</f>
        <v>0</v>
      </c>
      <c r="AO23" s="0" t="n">
        <f aca="false">Inputs!$B$5*(IF(AO$3=(Products!$G$4+Products!$H$4),SUMIFS($B$21:$AP$21,$B$3:$AP$3,"&lt;="&amp;(Products!$G$4+Products!$H$4)),0)+IF(AO$3&gt;(Products!$G$4+Products!$H$4),AO21,0))</f>
        <v>0</v>
      </c>
      <c r="AP23" s="0" t="n">
        <f aca="false">Inputs!$B$5*(IF(AP$3=(Products!$G$4+Products!$H$4),SUMIFS($B$21:$AP$21,$B$3:$AP$3,"&lt;="&amp;(Products!$G$4+Products!$H$4)),0)+IF(AP$3&gt;(Products!$G$4+Products!$H$4),AP21,0))</f>
        <v>0</v>
      </c>
    </row>
    <row r="24" customFormat="false" ht="15" hidden="false" customHeight="false" outlineLevel="0" collapsed="false">
      <c r="A24" s="0" t="s">
        <v>47</v>
      </c>
      <c r="B24" s="0" t="n">
        <f aca="false">Inputs!$B$4*B21+B22+B23</f>
        <v>0</v>
      </c>
      <c r="C24" s="0" t="n">
        <f aca="false">Inputs!$B$4*C21+C22+C23</f>
        <v>30240000</v>
      </c>
      <c r="D24" s="0" t="n">
        <f aca="false">Inputs!$B$4*D21+D22+D23</f>
        <v>40629600</v>
      </c>
      <c r="E24" s="0" t="n">
        <f aca="false">Inputs!$B$4*E21+E22+E23</f>
        <v>51434784</v>
      </c>
      <c r="F24" s="0" t="n">
        <f aca="false">Inputs!$B$4*F21+F22+F23</f>
        <v>62672175.36</v>
      </c>
      <c r="G24" s="0" t="n">
        <f aca="false">Inputs!$B$4*G21+G22+G23</f>
        <v>74359062.3744</v>
      </c>
      <c r="H24" s="0" t="n">
        <f aca="false">Inputs!$B$4*H21+H22+H23</f>
        <v>86513424.869376</v>
      </c>
      <c r="I24" s="0" t="n">
        <f aca="false">Inputs!$B$4*I21+I22+I23</f>
        <v>99153961.8641511</v>
      </c>
      <c r="J24" s="0" t="n">
        <f aca="false">Inputs!$B$4*J21+J22+J23</f>
        <v>112300120.338717</v>
      </c>
      <c r="K24" s="0" t="n">
        <f aca="false">Inputs!$B$4*K21+K22+K23</f>
        <v>125972125.152266</v>
      </c>
      <c r="L24" s="0" t="n">
        <f aca="false">Inputs!$B$4*L21+L22+L23</f>
        <v>140191010.158356</v>
      </c>
      <c r="M24" s="0" t="n">
        <f aca="false">Inputs!$B$4*M21+M22+M23</f>
        <v>154978650.564691</v>
      </c>
      <c r="N24" s="0" t="n">
        <f aca="false">Inputs!$B$4*N21+N22+N23</f>
        <v>170357796.587278</v>
      </c>
      <c r="O24" s="0" t="n">
        <f aca="false">Inputs!$B$4*O21+O22+O23</f>
        <v>186352108.450769</v>
      </c>
      <c r="P24" s="0" t="n">
        <f aca="false">Inputs!$B$4*P21+P22+P23</f>
        <v>479559889.98266</v>
      </c>
      <c r="Q24" s="0" t="n">
        <f aca="false">Inputs!$B$4*Q21+Q22+Q23</f>
        <v>246468588.388107</v>
      </c>
      <c r="R24" s="0" t="n">
        <f aca="false">Inputs!$B$4*R21+R22+R23</f>
        <v>265507331.923631</v>
      </c>
      <c r="S24" s="0" t="n">
        <f aca="false">Inputs!$B$4*S21+S22+S23</f>
        <v>285307625.200576</v>
      </c>
      <c r="T24" s="0" t="n">
        <f aca="false">Inputs!$B$4*T21+T22+T23</f>
        <v>305899930.208599</v>
      </c>
      <c r="U24" s="0" t="n">
        <f aca="false">Inputs!$B$4*U21+U22+U23</f>
        <v>327315927.416943</v>
      </c>
      <c r="V24" s="0" t="n">
        <f aca="false">Inputs!$B$4*V21+V22+V23</f>
        <v>349588564.513621</v>
      </c>
      <c r="W24" s="0" t="n">
        <f aca="false">Inputs!$B$4*W21+W22+W23</f>
        <v>273362761.32617</v>
      </c>
      <c r="X24" s="0" t="n">
        <f aca="false">Inputs!$B$4*X21+X22+X23</f>
        <v>273362761.32617</v>
      </c>
      <c r="Y24" s="0" t="n">
        <f aca="false">Inputs!$B$4*Y21+Y22+Y23</f>
        <v>273362761.32617</v>
      </c>
      <c r="Z24" s="0" t="n">
        <f aca="false">Inputs!$B$4*Z21+Z22+Z23</f>
        <v>273362761.32617</v>
      </c>
      <c r="AA24" s="0" t="n">
        <f aca="false">Inputs!$B$4*AA21+AA22+AA23</f>
        <v>273362761.32617</v>
      </c>
      <c r="AB24" s="0" t="n">
        <f aca="false">Inputs!$B$4*AB21+AB22+AB23</f>
        <v>273362761.32617</v>
      </c>
      <c r="AC24" s="0" t="n">
        <f aca="false">Inputs!$B$4*AC21+AC22+AC23</f>
        <v>273362761.32617</v>
      </c>
      <c r="AD24" s="0" t="n">
        <f aca="false">Inputs!$B$4*AD21+AD22+AD23</f>
        <v>273362761.32617</v>
      </c>
      <c r="AE24" s="0" t="n">
        <f aca="false">Inputs!$B$4*AE21+AE22+AE23</f>
        <v>273362761.32617</v>
      </c>
      <c r="AF24" s="0" t="n">
        <f aca="false">Inputs!$B$4*AF21+AF22+AF23</f>
        <v>264182761.32617</v>
      </c>
      <c r="AG24" s="0" t="n">
        <f aca="false">Inputs!$B$4*AG21+AG22+AG23</f>
        <v>254635561.32617</v>
      </c>
      <c r="AH24" s="0" t="n">
        <f aca="false">Inputs!$B$4*AH21+AH22+AH23</f>
        <v>244706473.32617</v>
      </c>
      <c r="AI24" s="0" t="n">
        <f aca="false">Inputs!$B$4*AI21+AI22+AI23</f>
        <v>234380221.80617</v>
      </c>
      <c r="AJ24" s="0" t="n">
        <f aca="false">Inputs!$B$4*AJ21+AJ22+AJ23</f>
        <v>223640920.22537</v>
      </c>
      <c r="AK24" s="0" t="n">
        <f aca="false">Inputs!$B$4*AK21+AK22+AK23</f>
        <v>212472046.581338</v>
      </c>
      <c r="AL24" s="0" t="n">
        <f aca="false">Inputs!$B$4*AL21+AL22+AL23</f>
        <v>200856417.991545</v>
      </c>
      <c r="AM24" s="0" t="n">
        <f aca="false">Inputs!$B$4*AM21+AM22+AM23</f>
        <v>188776164.25816</v>
      </c>
      <c r="AN24" s="0" t="n">
        <f aca="false">Inputs!$B$4*AN21+AN22+AN23</f>
        <v>176212700.375439</v>
      </c>
      <c r="AO24" s="0" t="n">
        <f aca="false">Inputs!$B$4*AO21+AO22+AO23</f>
        <v>163146697.93741</v>
      </c>
      <c r="AP24" s="0" t="n">
        <f aca="false">Inputs!$B$4*AP21+AP22+AP23</f>
        <v>149558055.40186</v>
      </c>
    </row>
    <row r="25" customFormat="false" ht="15" hidden="false" customHeight="false" outlineLevel="0" collapsed="false">
      <c r="A25" s="0" t="s">
        <v>48</v>
      </c>
      <c r="B25" s="0" t="n">
        <f aca="false">IF(AND(B$3&gt;=Products!$G$4,B$3&lt;(Products!$G$4+Products!$H$4)),Products!$B$4*Products!$C$4*Products!$I$4*(1+Inputs!$B$8)^B$3/Products!$H$4,0)</f>
        <v>0</v>
      </c>
      <c r="C25" s="0" t="n">
        <f aca="false">IF(AND(C$3&gt;=Products!$G$4,C$3&lt;(Products!$G$4+Products!$H$4)),Products!$B$4*Products!$C$4*Products!$I$4*(1+Inputs!$B$8)^C$3/Products!$H$4,0)</f>
        <v>0</v>
      </c>
      <c r="D25" s="0" t="n">
        <f aca="false">IF(AND(D$3&gt;=Products!$G$4,D$3&lt;(Products!$G$4+Products!$H$4)),Products!$B$4*Products!$C$4*Products!$I$4*(1+Inputs!$B$8)^D$3/Products!$H$4,0)</f>
        <v>191213662.5</v>
      </c>
      <c r="E25" s="0" t="n">
        <f aca="false">IF(AND(E$3&gt;=Products!$G$4,E$3&lt;(Products!$G$4+Products!$H$4)),Products!$B$4*Products!$C$4*Products!$I$4*(1+Inputs!$B$8)^E$3/Products!$H$4,0)</f>
        <v>197906140.6875</v>
      </c>
      <c r="F25" s="0" t="n">
        <f aca="false">IF(AND(F$3&gt;=Products!$G$4,F$3&lt;(Products!$G$4+Products!$H$4)),Products!$B$4*Products!$C$4*Products!$I$4*(1+Inputs!$B$8)^F$3/Products!$H$4,0)</f>
        <v>204832855.611562</v>
      </c>
      <c r="G25" s="0" t="n">
        <f aca="false">IF(AND(G$3&gt;=Products!$G$4,G$3&lt;(Products!$G$4+Products!$H$4)),Products!$B$4*Products!$C$4*Products!$I$4*(1+Inputs!$B$8)^G$3/Products!$H$4,0)</f>
        <v>212002005.557967</v>
      </c>
      <c r="H25" s="0" t="n">
        <f aca="false">IF(AND(H$3&gt;=Products!$G$4,H$3&lt;(Products!$G$4+Products!$H$4)),Products!$B$4*Products!$C$4*Products!$I$4*(1+Inputs!$B$8)^H$3/Products!$H$4,0)</f>
        <v>219422075.752496</v>
      </c>
      <c r="I25" s="0" t="n">
        <f aca="false">IF(AND(I$3&gt;=Products!$G$4,I$3&lt;(Products!$G$4+Products!$H$4)),Products!$B$4*Products!$C$4*Products!$I$4*(1+Inputs!$B$8)^I$3/Products!$H$4,0)</f>
        <v>227101848.403833</v>
      </c>
      <c r="J25" s="0" t="n">
        <f aca="false">IF(AND(J$3&gt;=Products!$G$4,J$3&lt;(Products!$G$4+Products!$H$4)),Products!$B$4*Products!$C$4*Products!$I$4*(1+Inputs!$B$8)^J$3/Products!$H$4,0)</f>
        <v>235050413.097967</v>
      </c>
      <c r="K25" s="0" t="n">
        <f aca="false">IF(AND(K$3&gt;=Products!$G$4,K$3&lt;(Products!$G$4+Products!$H$4)),Products!$B$4*Products!$C$4*Products!$I$4*(1+Inputs!$B$8)^K$3/Products!$H$4,0)</f>
        <v>243277177.556396</v>
      </c>
      <c r="L25" s="0" t="n">
        <f aca="false">IF(AND(L$3&gt;=Products!$G$4,L$3&lt;(Products!$G$4+Products!$H$4)),Products!$B$4*Products!$C$4*Products!$I$4*(1+Inputs!$B$8)^L$3/Products!$H$4,0)</f>
        <v>251791878.77087</v>
      </c>
      <c r="M25" s="0" t="n">
        <f aca="false">IF(AND(M$3&gt;=Products!$G$4,M$3&lt;(Products!$G$4+Products!$H$4)),Products!$B$4*Products!$C$4*Products!$I$4*(1+Inputs!$B$8)^M$3/Products!$H$4,0)</f>
        <v>260604594.527851</v>
      </c>
      <c r="N25" s="0" t="n">
        <f aca="false">IF(AND(N$3&gt;=Products!$G$4,N$3&lt;(Products!$G$4+Products!$H$4)),Products!$B$4*Products!$C$4*Products!$I$4*(1+Inputs!$B$8)^N$3/Products!$H$4,0)</f>
        <v>269725755.336325</v>
      </c>
      <c r="O25" s="0" t="n">
        <f aca="false">IF(AND(O$3&gt;=Products!$G$4,O$3&lt;(Products!$G$4+Products!$H$4)),Products!$B$4*Products!$C$4*Products!$I$4*(1+Inputs!$B$8)^O$3/Products!$H$4,0)</f>
        <v>279166156.773097</v>
      </c>
      <c r="P25" s="0" t="n">
        <f aca="false">IF(AND(P$3&gt;=Products!$G$4,P$3&lt;(Products!$G$4+Products!$H$4)),Products!$B$4*Products!$C$4*Products!$I$4*(1+Inputs!$B$8)^P$3/Products!$H$4,0)</f>
        <v>0</v>
      </c>
      <c r="Q25" s="0" t="n">
        <f aca="false">IF(AND(Q$3&gt;=Products!$G$4,Q$3&lt;(Products!$G$4+Products!$H$4)),Products!$B$4*Products!$C$4*Products!$I$4*(1+Inputs!$B$8)^Q$3/Products!$H$4,0)</f>
        <v>0</v>
      </c>
      <c r="R25" s="0" t="n">
        <f aca="false">IF(AND(R$3&gt;=Products!$G$4,R$3&lt;(Products!$G$4+Products!$H$4)),Products!$B$4*Products!$C$4*Products!$I$4*(1+Inputs!$B$8)^R$3/Products!$H$4,0)</f>
        <v>0</v>
      </c>
      <c r="S25" s="0" t="n">
        <f aca="false">IF(AND(S$3&gt;=Products!$G$4,S$3&lt;(Products!$G$4+Products!$H$4)),Products!$B$4*Products!$C$4*Products!$I$4*(1+Inputs!$B$8)^S$3/Products!$H$4,0)</f>
        <v>0</v>
      </c>
      <c r="T25" s="0" t="n">
        <f aca="false">IF(AND(T$3&gt;=Products!$G$4,T$3&lt;(Products!$G$4+Products!$H$4)),Products!$B$4*Products!$C$4*Products!$I$4*(1+Inputs!$B$8)^T$3/Products!$H$4,0)</f>
        <v>0</v>
      </c>
      <c r="U25" s="0" t="n">
        <f aca="false">IF(AND(U$3&gt;=Products!$G$4,U$3&lt;(Products!$G$4+Products!$H$4)),Products!$B$4*Products!$C$4*Products!$I$4*(1+Inputs!$B$8)^U$3/Products!$H$4,0)</f>
        <v>0</v>
      </c>
      <c r="V25" s="0" t="n">
        <f aca="false">IF(AND(V$3&gt;=Products!$G$4,V$3&lt;(Products!$G$4+Products!$H$4)),Products!$B$4*Products!$C$4*Products!$I$4*(1+Inputs!$B$8)^V$3/Products!$H$4,0)</f>
        <v>0</v>
      </c>
      <c r="W25" s="0" t="n">
        <f aca="false">IF(AND(W$3&gt;=Products!$G$4,W$3&lt;(Products!$G$4+Products!$H$4)),Products!$B$4*Products!$C$4*Products!$I$4*(1+Inputs!$B$8)^W$3/Products!$H$4,0)</f>
        <v>0</v>
      </c>
      <c r="X25" s="0" t="n">
        <f aca="false">IF(AND(X$3&gt;=Products!$G$4,X$3&lt;(Products!$G$4+Products!$H$4)),Products!$B$4*Products!$C$4*Products!$I$4*(1+Inputs!$B$8)^X$3/Products!$H$4,0)</f>
        <v>0</v>
      </c>
      <c r="Y25" s="0" t="n">
        <f aca="false">IF(AND(Y$3&gt;=Products!$G$4,Y$3&lt;(Products!$G$4+Products!$H$4)),Products!$B$4*Products!$C$4*Products!$I$4*(1+Inputs!$B$8)^Y$3/Products!$H$4,0)</f>
        <v>0</v>
      </c>
      <c r="Z25" s="0" t="n">
        <f aca="false">IF(AND(Z$3&gt;=Products!$G$4,Z$3&lt;(Products!$G$4+Products!$H$4)),Products!$B$4*Products!$C$4*Products!$I$4*(1+Inputs!$B$8)^Z$3/Products!$H$4,0)</f>
        <v>0</v>
      </c>
      <c r="AA25" s="0" t="n">
        <f aca="false">IF(AND(AA$3&gt;=Products!$G$4,AA$3&lt;(Products!$G$4+Products!$H$4)),Products!$B$4*Products!$C$4*Products!$I$4*(1+Inputs!$B$8)^AA$3/Products!$H$4,0)</f>
        <v>0</v>
      </c>
      <c r="AB25" s="0" t="n">
        <f aca="false">IF(AND(AB$3&gt;=Products!$G$4,AB$3&lt;(Products!$G$4+Products!$H$4)),Products!$B$4*Products!$C$4*Products!$I$4*(1+Inputs!$B$8)^AB$3/Products!$H$4,0)</f>
        <v>0</v>
      </c>
      <c r="AC25" s="0" t="n">
        <f aca="false">IF(AND(AC$3&gt;=Products!$G$4,AC$3&lt;(Products!$G$4+Products!$H$4)),Products!$B$4*Products!$C$4*Products!$I$4*(1+Inputs!$B$8)^AC$3/Products!$H$4,0)</f>
        <v>0</v>
      </c>
      <c r="AD25" s="0" t="n">
        <f aca="false">IF(AND(AD$3&gt;=Products!$G$4,AD$3&lt;(Products!$G$4+Products!$H$4)),Products!$B$4*Products!$C$4*Products!$I$4*(1+Inputs!$B$8)^AD$3/Products!$H$4,0)</f>
        <v>0</v>
      </c>
      <c r="AE25" s="0" t="n">
        <f aca="false">IF(AND(AE$3&gt;=Products!$G$4,AE$3&lt;(Products!$G$4+Products!$H$4)),Products!$B$4*Products!$C$4*Products!$I$4*(1+Inputs!$B$8)^AE$3/Products!$H$4,0)</f>
        <v>0</v>
      </c>
      <c r="AF25" s="0" t="n">
        <f aca="false">IF(AND(AF$3&gt;=Products!$G$4,AF$3&lt;(Products!$G$4+Products!$H$4)),Products!$B$4*Products!$C$4*Products!$I$4*(1+Inputs!$B$8)^AF$3/Products!$H$4,0)</f>
        <v>0</v>
      </c>
      <c r="AG25" s="0" t="n">
        <f aca="false">IF(AND(AG$3&gt;=Products!$G$4,AG$3&lt;(Products!$G$4+Products!$H$4)),Products!$B$4*Products!$C$4*Products!$I$4*(1+Inputs!$B$8)^AG$3/Products!$H$4,0)</f>
        <v>0</v>
      </c>
      <c r="AH25" s="0" t="n">
        <f aca="false">IF(AND(AH$3&gt;=Products!$G$4,AH$3&lt;(Products!$G$4+Products!$H$4)),Products!$B$4*Products!$C$4*Products!$I$4*(1+Inputs!$B$8)^AH$3/Products!$H$4,0)</f>
        <v>0</v>
      </c>
      <c r="AI25" s="0" t="n">
        <f aca="false">IF(AND(AI$3&gt;=Products!$G$4,AI$3&lt;(Products!$G$4+Products!$H$4)),Products!$B$4*Products!$C$4*Products!$I$4*(1+Inputs!$B$8)^AI$3/Products!$H$4,0)</f>
        <v>0</v>
      </c>
      <c r="AJ25" s="0" t="n">
        <f aca="false">IF(AND(AJ$3&gt;=Products!$G$4,AJ$3&lt;(Products!$G$4+Products!$H$4)),Products!$B$4*Products!$C$4*Products!$I$4*(1+Inputs!$B$8)^AJ$3/Products!$H$4,0)</f>
        <v>0</v>
      </c>
      <c r="AK25" s="0" t="n">
        <f aca="false">IF(AND(AK$3&gt;=Products!$G$4,AK$3&lt;(Products!$G$4+Products!$H$4)),Products!$B$4*Products!$C$4*Products!$I$4*(1+Inputs!$B$8)^AK$3/Products!$H$4,0)</f>
        <v>0</v>
      </c>
      <c r="AL25" s="0" t="n">
        <f aca="false">IF(AND(AL$3&gt;=Products!$G$4,AL$3&lt;(Products!$G$4+Products!$H$4)),Products!$B$4*Products!$C$4*Products!$I$4*(1+Inputs!$B$8)^AL$3/Products!$H$4,0)</f>
        <v>0</v>
      </c>
      <c r="AM25" s="0" t="n">
        <f aca="false">IF(AND(AM$3&gt;=Products!$G$4,AM$3&lt;(Products!$G$4+Products!$H$4)),Products!$B$4*Products!$C$4*Products!$I$4*(1+Inputs!$B$8)^AM$3/Products!$H$4,0)</f>
        <v>0</v>
      </c>
      <c r="AN25" s="0" t="n">
        <f aca="false">IF(AND(AN$3&gt;=Products!$G$4,AN$3&lt;(Products!$G$4+Products!$H$4)),Products!$B$4*Products!$C$4*Products!$I$4*(1+Inputs!$B$8)^AN$3/Products!$H$4,0)</f>
        <v>0</v>
      </c>
      <c r="AO25" s="0" t="n">
        <f aca="false">IF(AND(AO$3&gt;=Products!$G$4,AO$3&lt;(Products!$G$4+Products!$H$4)),Products!$B$4*Products!$C$4*Products!$I$4*(1+Inputs!$B$8)^AO$3/Products!$H$4,0)</f>
        <v>0</v>
      </c>
      <c r="AP25" s="0" t="n">
        <f aca="false">IF(AND(AP$3&gt;=Products!$G$4,AP$3&lt;(Products!$G$4+Products!$H$4)),Products!$B$4*Products!$C$4*Products!$I$4*(1+Inputs!$B$8)^AP$3/Products!$H$4,0)</f>
        <v>0</v>
      </c>
    </row>
    <row r="26" customFormat="false" ht="15" hidden="false" customHeight="false" outlineLevel="0" collapsed="false">
      <c r="A26" s="0" t="s">
        <v>49</v>
      </c>
      <c r="B26" s="0" t="n">
        <f aca="false">IF(B$3&gt;=Products!$E$5,MIN(Products!$F$5,Products!$B$5-0),0)</f>
        <v>0</v>
      </c>
      <c r="C26" s="0" t="n">
        <f aca="false">IF(C$3&gt;=Products!$E$5,MIN(Products!$F$5,Products!$B$5-B27),0)</f>
        <v>0</v>
      </c>
      <c r="D26" s="0" t="n">
        <f aca="false">IF(D$3&gt;=Products!$E$5,MIN(Products!$F$5,Products!$B$5-C27),0)</f>
        <v>0</v>
      </c>
      <c r="E26" s="0" t="n">
        <f aca="false">IF(E$3&gt;=Products!$E$5,MIN(Products!$F$5,Products!$B$5-D27),0)</f>
        <v>0</v>
      </c>
      <c r="F26" s="0" t="n">
        <f aca="false">IF(F$3&gt;=Products!$E$5,MIN(Products!$F$5,Products!$B$5-E27),0)</f>
        <v>0</v>
      </c>
      <c r="G26" s="0" t="n">
        <f aca="false">IF(G$3&gt;=Products!$E$5,MIN(Products!$F$5,Products!$B$5-F27),0)</f>
        <v>0</v>
      </c>
      <c r="H26" s="0" t="n">
        <f aca="false">IF(H$3&gt;=Products!$E$5,MIN(Products!$F$5,Products!$B$5-G27),0)</f>
        <v>4</v>
      </c>
      <c r="I26" s="0" t="n">
        <f aca="false">IF(I$3&gt;=Products!$E$5,MIN(Products!$F$5,Products!$B$5-H27),0)</f>
        <v>4</v>
      </c>
      <c r="J26" s="0" t="n">
        <f aca="false">IF(J$3&gt;=Products!$E$5,MIN(Products!$F$5,Products!$B$5-I27),0)</f>
        <v>4</v>
      </c>
      <c r="K26" s="0" t="n">
        <f aca="false">IF(K$3&gt;=Products!$E$5,MIN(Products!$F$5,Products!$B$5-J27),0)</f>
        <v>4</v>
      </c>
      <c r="L26" s="0" t="n">
        <f aca="false">IF(L$3&gt;=Products!$E$5,MIN(Products!$F$5,Products!$B$5-K27),0)</f>
        <v>4</v>
      </c>
      <c r="M26" s="0" t="n">
        <f aca="false">IF(M$3&gt;=Products!$E$5,MIN(Products!$F$5,Products!$B$5-L27),0)</f>
        <v>4</v>
      </c>
      <c r="N26" s="0" t="n">
        <f aca="false">IF(N$3&gt;=Products!$E$5,MIN(Products!$F$5,Products!$B$5-M27),0)</f>
        <v>4</v>
      </c>
      <c r="O26" s="0" t="n">
        <f aca="false">IF(O$3&gt;=Products!$E$5,MIN(Products!$F$5,Products!$B$5-N27),0)</f>
        <v>4</v>
      </c>
      <c r="P26" s="0" t="n">
        <f aca="false">IF(P$3&gt;=Products!$E$5,MIN(Products!$F$5,Products!$B$5-O27),0)</f>
        <v>4</v>
      </c>
      <c r="Q26" s="0" t="n">
        <f aca="false">IF(Q$3&gt;=Products!$E$5,MIN(Products!$F$5,Products!$B$5-P27),0)</f>
        <v>4</v>
      </c>
      <c r="R26" s="0" t="n">
        <f aca="false">IF(R$3&gt;=Products!$E$5,MIN(Products!$F$5,Products!$B$5-Q27),0)</f>
        <v>4</v>
      </c>
      <c r="S26" s="0" t="n">
        <f aca="false">IF(S$3&gt;=Products!$E$5,MIN(Products!$F$5,Products!$B$5-R27),0)</f>
        <v>4</v>
      </c>
      <c r="T26" s="0" t="n">
        <f aca="false">IF(T$3&gt;=Products!$E$5,MIN(Products!$F$5,Products!$B$5-S27),0)</f>
        <v>4</v>
      </c>
      <c r="U26" s="0" t="n">
        <f aca="false">IF(U$3&gt;=Products!$E$5,MIN(Products!$F$5,Products!$B$5-T27),0)</f>
        <v>4</v>
      </c>
      <c r="V26" s="0" t="n">
        <f aca="false">IF(V$3&gt;=Products!$E$5,MIN(Products!$F$5,Products!$B$5-U27),0)</f>
        <v>4</v>
      </c>
      <c r="W26" s="0" t="n">
        <f aca="false">IF(W$3&gt;=Products!$E$5,MIN(Products!$F$5,Products!$B$5-V27),0)</f>
        <v>0</v>
      </c>
      <c r="X26" s="0" t="n">
        <f aca="false">IF(X$3&gt;=Products!$E$5,MIN(Products!$F$5,Products!$B$5-W27),0)</f>
        <v>0</v>
      </c>
      <c r="Y26" s="0" t="n">
        <f aca="false">IF(Y$3&gt;=Products!$E$5,MIN(Products!$F$5,Products!$B$5-X27),0)</f>
        <v>0</v>
      </c>
      <c r="Z26" s="0" t="n">
        <f aca="false">IF(Z$3&gt;=Products!$E$5,MIN(Products!$F$5,Products!$B$5-Y27),0)</f>
        <v>0</v>
      </c>
      <c r="AA26" s="0" t="n">
        <f aca="false">IF(AA$3&gt;=Products!$E$5,MIN(Products!$F$5,Products!$B$5-Z27),0)</f>
        <v>0</v>
      </c>
      <c r="AB26" s="0" t="n">
        <f aca="false">IF(AB$3&gt;=Products!$E$5,MIN(Products!$F$5,Products!$B$5-AA27),0)</f>
        <v>0</v>
      </c>
      <c r="AC26" s="0" t="n">
        <f aca="false">IF(AC$3&gt;=Products!$E$5,MIN(Products!$F$5,Products!$B$5-AB27),0)</f>
        <v>0</v>
      </c>
      <c r="AD26" s="0" t="n">
        <f aca="false">IF(AD$3&gt;=Products!$E$5,MIN(Products!$F$5,Products!$B$5-AC27),0)</f>
        <v>0</v>
      </c>
      <c r="AE26" s="0" t="n">
        <f aca="false">IF(AE$3&gt;=Products!$E$5,MIN(Products!$F$5,Products!$B$5-AD27),0)</f>
        <v>0</v>
      </c>
      <c r="AF26" s="0" t="n">
        <f aca="false">IF(AF$3&gt;=Products!$E$5,MIN(Products!$F$5,Products!$B$5-AE27),0)</f>
        <v>0</v>
      </c>
      <c r="AG26" s="0" t="n">
        <f aca="false">IF(AG$3&gt;=Products!$E$5,MIN(Products!$F$5,Products!$B$5-AF27),0)</f>
        <v>0</v>
      </c>
      <c r="AH26" s="0" t="n">
        <f aca="false">IF(AH$3&gt;=Products!$E$5,MIN(Products!$F$5,Products!$B$5-AG27),0)</f>
        <v>0</v>
      </c>
      <c r="AI26" s="0" t="n">
        <f aca="false">IF(AI$3&gt;=Products!$E$5,MIN(Products!$F$5,Products!$B$5-AH27),0)</f>
        <v>0</v>
      </c>
      <c r="AJ26" s="0" t="n">
        <f aca="false">IF(AJ$3&gt;=Products!$E$5,MIN(Products!$F$5,Products!$B$5-AI27),0)</f>
        <v>0</v>
      </c>
      <c r="AK26" s="0" t="n">
        <f aca="false">IF(AK$3&gt;=Products!$E$5,MIN(Products!$F$5,Products!$B$5-AJ27),0)</f>
        <v>0</v>
      </c>
      <c r="AL26" s="0" t="n">
        <f aca="false">IF(AL$3&gt;=Products!$E$5,MIN(Products!$F$5,Products!$B$5-AK27),0)</f>
        <v>0</v>
      </c>
      <c r="AM26" s="0" t="n">
        <f aca="false">IF(AM$3&gt;=Products!$E$5,MIN(Products!$F$5,Products!$B$5-AL27),0)</f>
        <v>0</v>
      </c>
      <c r="AN26" s="0" t="n">
        <f aca="false">IF(AN$3&gt;=Products!$E$5,MIN(Products!$F$5,Products!$B$5-AM27),0)</f>
        <v>0</v>
      </c>
      <c r="AO26" s="0" t="n">
        <f aca="false">IF(AO$3&gt;=Products!$E$5,MIN(Products!$F$5,Products!$B$5-AN27),0)</f>
        <v>0</v>
      </c>
      <c r="AP26" s="0" t="n">
        <f aca="false">IF(AP$3&gt;=Products!$E$5,MIN(Products!$F$5,Products!$B$5-AO27),0)</f>
        <v>0</v>
      </c>
    </row>
    <row r="27" customFormat="false" ht="15" hidden="false" customHeight="false" outlineLevel="0" collapsed="false">
      <c r="A27" s="0" t="s">
        <v>50</v>
      </c>
      <c r="B27" s="0" t="n">
        <f aca="false">B26</f>
        <v>0</v>
      </c>
      <c r="C27" s="0" t="n">
        <f aca="false">B27+C26</f>
        <v>0</v>
      </c>
      <c r="D27" s="0" t="n">
        <f aca="false">C27+D26</f>
        <v>0</v>
      </c>
      <c r="E27" s="0" t="n">
        <f aca="false">D27+E26</f>
        <v>0</v>
      </c>
      <c r="F27" s="0" t="n">
        <f aca="false">E27+F26</f>
        <v>0</v>
      </c>
      <c r="G27" s="0" t="n">
        <f aca="false">F27+G26</f>
        <v>0</v>
      </c>
      <c r="H27" s="0" t="n">
        <f aca="false">G27+H26</f>
        <v>4</v>
      </c>
      <c r="I27" s="0" t="n">
        <f aca="false">H27+I26</f>
        <v>8</v>
      </c>
      <c r="J27" s="0" t="n">
        <f aca="false">I27+J26</f>
        <v>12</v>
      </c>
      <c r="K27" s="0" t="n">
        <f aca="false">J27+K26</f>
        <v>16</v>
      </c>
      <c r="L27" s="0" t="n">
        <f aca="false">K27+L26</f>
        <v>20</v>
      </c>
      <c r="M27" s="0" t="n">
        <f aca="false">L27+M26</f>
        <v>24</v>
      </c>
      <c r="N27" s="0" t="n">
        <f aca="false">M27+N26</f>
        <v>28</v>
      </c>
      <c r="O27" s="0" t="n">
        <f aca="false">N27+O26</f>
        <v>32</v>
      </c>
      <c r="P27" s="0" t="n">
        <f aca="false">O27+P26</f>
        <v>36</v>
      </c>
      <c r="Q27" s="0" t="n">
        <f aca="false">P27+Q26</f>
        <v>40</v>
      </c>
      <c r="R27" s="0" t="n">
        <f aca="false">Q27+R26</f>
        <v>44</v>
      </c>
      <c r="S27" s="0" t="n">
        <f aca="false">R27+S26</f>
        <v>48</v>
      </c>
      <c r="T27" s="0" t="n">
        <f aca="false">S27+T26</f>
        <v>52</v>
      </c>
      <c r="U27" s="0" t="n">
        <f aca="false">T27+U26</f>
        <v>56</v>
      </c>
      <c r="V27" s="0" t="n">
        <f aca="false">U27+V26</f>
        <v>60</v>
      </c>
      <c r="W27" s="0" t="n">
        <f aca="false">V27+W26</f>
        <v>60</v>
      </c>
      <c r="X27" s="0" t="n">
        <f aca="false">W27+X26</f>
        <v>60</v>
      </c>
      <c r="Y27" s="0" t="n">
        <f aca="false">X27+Y26</f>
        <v>60</v>
      </c>
      <c r="Z27" s="0" t="n">
        <f aca="false">Y27+Z26</f>
        <v>60</v>
      </c>
      <c r="AA27" s="0" t="n">
        <f aca="false">Z27+AA26</f>
        <v>60</v>
      </c>
      <c r="AB27" s="0" t="n">
        <f aca="false">AA27+AB26</f>
        <v>60</v>
      </c>
      <c r="AC27" s="0" t="n">
        <f aca="false">AB27+AC26</f>
        <v>60</v>
      </c>
      <c r="AD27" s="0" t="n">
        <f aca="false">AC27+AD26</f>
        <v>60</v>
      </c>
      <c r="AE27" s="0" t="n">
        <f aca="false">AD27+AE26</f>
        <v>60</v>
      </c>
      <c r="AF27" s="0" t="n">
        <f aca="false">AE27+AF26</f>
        <v>60</v>
      </c>
      <c r="AG27" s="0" t="n">
        <f aca="false">AF27+AG26</f>
        <v>60</v>
      </c>
      <c r="AH27" s="0" t="n">
        <f aca="false">AG27+AH26</f>
        <v>60</v>
      </c>
      <c r="AI27" s="0" t="n">
        <f aca="false">AH27+AI26</f>
        <v>60</v>
      </c>
      <c r="AJ27" s="0" t="n">
        <f aca="false">AI27+AJ26</f>
        <v>60</v>
      </c>
      <c r="AK27" s="0" t="n">
        <f aca="false">AJ27+AK26</f>
        <v>60</v>
      </c>
      <c r="AL27" s="0" t="n">
        <f aca="false">AK27+AL26</f>
        <v>60</v>
      </c>
      <c r="AM27" s="0" t="n">
        <f aca="false">AL27+AM26</f>
        <v>60</v>
      </c>
      <c r="AN27" s="0" t="n">
        <f aca="false">AM27+AN26</f>
        <v>60</v>
      </c>
      <c r="AO27" s="0" t="n">
        <f aca="false">AN27+AO26</f>
        <v>60</v>
      </c>
      <c r="AP27" s="0" t="n">
        <f aca="false">AO27+AP26</f>
        <v>60</v>
      </c>
    </row>
    <row r="28" customFormat="false" ht="15" hidden="false" customHeight="false" outlineLevel="0" collapsed="false">
      <c r="A28" s="0" t="s">
        <v>51</v>
      </c>
      <c r="B28" s="0" t="n">
        <f aca="false">B26*Products!$C$5*Products!$D$5*(1+Inputs!$B$7)^MAX(0,B$3-Products!$E$5)</f>
        <v>0</v>
      </c>
      <c r="C28" s="0" t="n">
        <f aca="false">C26*Products!$C$5*Products!$D$5*(1+Inputs!$B$7)^MAX(0,C$3-Products!$E$5)</f>
        <v>0</v>
      </c>
      <c r="D28" s="0" t="n">
        <f aca="false">D26*Products!$C$5*Products!$D$5*(1+Inputs!$B$7)^MAX(0,D$3-Products!$E$5)</f>
        <v>0</v>
      </c>
      <c r="E28" s="0" t="n">
        <f aca="false">E26*Products!$C$5*Products!$D$5*(1+Inputs!$B$7)^MAX(0,E$3-Products!$E$5)</f>
        <v>0</v>
      </c>
      <c r="F28" s="0" t="n">
        <f aca="false">F26*Products!$C$5*Products!$D$5*(1+Inputs!$B$7)^MAX(0,F$3-Products!$E$5)</f>
        <v>0</v>
      </c>
      <c r="G28" s="0" t="n">
        <f aca="false">G26*Products!$C$5*Products!$D$5*(1+Inputs!$B$7)^MAX(0,G$3-Products!$E$5)</f>
        <v>0</v>
      </c>
      <c r="H28" s="0" t="n">
        <f aca="false">H26*Products!$C$5*Products!$D$5*(1+Inputs!$B$7)^MAX(0,H$3-Products!$E$5)</f>
        <v>50400000</v>
      </c>
      <c r="I28" s="0" t="n">
        <f aca="false">I26*Products!$C$5*Products!$D$5*(1+Inputs!$B$7)^MAX(0,I$3-Products!$E$5)</f>
        <v>52416000</v>
      </c>
      <c r="J28" s="0" t="n">
        <f aca="false">J26*Products!$C$5*Products!$D$5*(1+Inputs!$B$7)^MAX(0,J$3-Products!$E$5)</f>
        <v>54512640</v>
      </c>
      <c r="K28" s="0" t="n">
        <f aca="false">K26*Products!$C$5*Products!$D$5*(1+Inputs!$B$7)^MAX(0,K$3-Products!$E$5)</f>
        <v>56693145.6</v>
      </c>
      <c r="L28" s="0" t="n">
        <f aca="false">L26*Products!$C$5*Products!$D$5*(1+Inputs!$B$7)^MAX(0,L$3-Products!$E$5)</f>
        <v>58960871.424</v>
      </c>
      <c r="M28" s="0" t="n">
        <f aca="false">M26*Products!$C$5*Products!$D$5*(1+Inputs!$B$7)^MAX(0,M$3-Products!$E$5)</f>
        <v>61319306.28096</v>
      </c>
      <c r="N28" s="0" t="n">
        <f aca="false">N26*Products!$C$5*Products!$D$5*(1+Inputs!$B$7)^MAX(0,N$3-Products!$E$5)</f>
        <v>63772078.5321984</v>
      </c>
      <c r="O28" s="0" t="n">
        <f aca="false">O26*Products!$C$5*Products!$D$5*(1+Inputs!$B$7)^MAX(0,O$3-Products!$E$5)</f>
        <v>66322961.6734864</v>
      </c>
      <c r="P28" s="0" t="n">
        <f aca="false">P26*Products!$C$5*Products!$D$5*(1+Inputs!$B$7)^MAX(0,P$3-Products!$E$5)</f>
        <v>68975880.1404258</v>
      </c>
      <c r="Q28" s="0" t="n">
        <f aca="false">Q26*Products!$C$5*Products!$D$5*(1+Inputs!$B$7)^MAX(0,Q$3-Products!$E$5)</f>
        <v>71734915.3460428</v>
      </c>
      <c r="R28" s="0" t="n">
        <f aca="false">R26*Products!$C$5*Products!$D$5*(1+Inputs!$B$7)^MAX(0,R$3-Products!$E$5)</f>
        <v>74604311.9598846</v>
      </c>
      <c r="S28" s="0" t="n">
        <f aca="false">S26*Products!$C$5*Products!$D$5*(1+Inputs!$B$7)^MAX(0,S$3-Products!$E$5)</f>
        <v>77588484.4382799</v>
      </c>
      <c r="T28" s="0" t="n">
        <f aca="false">T26*Products!$C$5*Products!$D$5*(1+Inputs!$B$7)^MAX(0,T$3-Products!$E$5)</f>
        <v>80692023.8158111</v>
      </c>
      <c r="U28" s="0" t="n">
        <f aca="false">U26*Products!$C$5*Products!$D$5*(1+Inputs!$B$7)^MAX(0,U$3-Products!$E$5)</f>
        <v>83919704.7684436</v>
      </c>
      <c r="V28" s="0" t="n">
        <f aca="false">V26*Products!$C$5*Products!$D$5*(1+Inputs!$B$7)^MAX(0,V$3-Products!$E$5)</f>
        <v>87276492.9591813</v>
      </c>
      <c r="W28" s="0" t="n">
        <f aca="false">W26*Products!$C$5*Products!$D$5*(1+Inputs!$B$7)^MAX(0,W$3-Products!$E$5)</f>
        <v>0</v>
      </c>
      <c r="X28" s="0" t="n">
        <f aca="false">X26*Products!$C$5*Products!$D$5*(1+Inputs!$B$7)^MAX(0,X$3-Products!$E$5)</f>
        <v>0</v>
      </c>
      <c r="Y28" s="0" t="n">
        <f aca="false">Y26*Products!$C$5*Products!$D$5*(1+Inputs!$B$7)^MAX(0,Y$3-Products!$E$5)</f>
        <v>0</v>
      </c>
      <c r="Z28" s="0" t="n">
        <f aca="false">Z26*Products!$C$5*Products!$D$5*(1+Inputs!$B$7)^MAX(0,Z$3-Products!$E$5)</f>
        <v>0</v>
      </c>
      <c r="AA28" s="0" t="n">
        <f aca="false">AA26*Products!$C$5*Products!$D$5*(1+Inputs!$B$7)^MAX(0,AA$3-Products!$E$5)</f>
        <v>0</v>
      </c>
      <c r="AB28" s="0" t="n">
        <f aca="false">AB26*Products!$C$5*Products!$D$5*(1+Inputs!$B$7)^MAX(0,AB$3-Products!$E$5)</f>
        <v>0</v>
      </c>
      <c r="AC28" s="0" t="n">
        <f aca="false">AC26*Products!$C$5*Products!$D$5*(1+Inputs!$B$7)^MAX(0,AC$3-Products!$E$5)</f>
        <v>0</v>
      </c>
      <c r="AD28" s="0" t="n">
        <f aca="false">AD26*Products!$C$5*Products!$D$5*(1+Inputs!$B$7)^MAX(0,AD$3-Products!$E$5)</f>
        <v>0</v>
      </c>
      <c r="AE28" s="0" t="n">
        <f aca="false">AE26*Products!$C$5*Products!$D$5*(1+Inputs!$B$7)^MAX(0,AE$3-Products!$E$5)</f>
        <v>0</v>
      </c>
      <c r="AF28" s="0" t="n">
        <f aca="false">AF26*Products!$C$5*Products!$D$5*(1+Inputs!$B$7)^MAX(0,AF$3-Products!$E$5)</f>
        <v>0</v>
      </c>
      <c r="AG28" s="0" t="n">
        <f aca="false">AG26*Products!$C$5*Products!$D$5*(1+Inputs!$B$7)^MAX(0,AG$3-Products!$E$5)</f>
        <v>0</v>
      </c>
      <c r="AH28" s="0" t="n">
        <f aca="false">AH26*Products!$C$5*Products!$D$5*(1+Inputs!$B$7)^MAX(0,AH$3-Products!$E$5)</f>
        <v>0</v>
      </c>
      <c r="AI28" s="0" t="n">
        <f aca="false">AI26*Products!$C$5*Products!$D$5*(1+Inputs!$B$7)^MAX(0,AI$3-Products!$E$5)</f>
        <v>0</v>
      </c>
      <c r="AJ28" s="0" t="n">
        <f aca="false">AJ26*Products!$C$5*Products!$D$5*(1+Inputs!$B$7)^MAX(0,AJ$3-Products!$E$5)</f>
        <v>0</v>
      </c>
      <c r="AK28" s="0" t="n">
        <f aca="false">AK26*Products!$C$5*Products!$D$5*(1+Inputs!$B$7)^MAX(0,AK$3-Products!$E$5)</f>
        <v>0</v>
      </c>
      <c r="AL28" s="0" t="n">
        <f aca="false">AL26*Products!$C$5*Products!$D$5*(1+Inputs!$B$7)^MAX(0,AL$3-Products!$E$5)</f>
        <v>0</v>
      </c>
      <c r="AM28" s="0" t="n">
        <f aca="false">AM26*Products!$C$5*Products!$D$5*(1+Inputs!$B$7)^MAX(0,AM$3-Products!$E$5)</f>
        <v>0</v>
      </c>
      <c r="AN28" s="0" t="n">
        <f aca="false">AN26*Products!$C$5*Products!$D$5*(1+Inputs!$B$7)^MAX(0,AN$3-Products!$E$5)</f>
        <v>0</v>
      </c>
      <c r="AO28" s="0" t="n">
        <f aca="false">AO26*Products!$C$5*Products!$D$5*(1+Inputs!$B$7)^MAX(0,AO$3-Products!$E$5)</f>
        <v>0</v>
      </c>
      <c r="AP28" s="0" t="n">
        <f aca="false">AP26*Products!$C$5*Products!$D$5*(1+Inputs!$B$7)^MAX(0,AP$3-Products!$E$5)</f>
        <v>0</v>
      </c>
    </row>
    <row r="29" customFormat="false" ht="15" hidden="false" customHeight="false" outlineLevel="0" collapsed="false">
      <c r="A29" s="0" t="s">
        <v>52</v>
      </c>
      <c r="B29" s="0" t="n">
        <f aca="false">(1-Inputs!$B$4-Inputs!$B$5)/Inputs!$B$6*SUMIFS($B$28:$AP$28,$B$3:$AP$3,"&gt;="&amp;(B$3-Inputs!$B$6),$B$3:$AP$3,"&lt;="&amp;(B$3-1))</f>
        <v>0</v>
      </c>
      <c r="C29" s="0" t="n">
        <f aca="false">(1-Inputs!$B$4-Inputs!$B$5)/Inputs!$B$6*SUMIFS($B$28:$AP$28,$B$3:$AP$3,"&gt;="&amp;(C$3-Inputs!$B$6),$B$3:$AP$3,"&lt;="&amp;(C$3-1))</f>
        <v>0</v>
      </c>
      <c r="D29" s="0" t="n">
        <f aca="false">(1-Inputs!$B$4-Inputs!$B$5)/Inputs!$B$6*SUMIFS($B$28:$AP$28,$B$3:$AP$3,"&gt;="&amp;(D$3-Inputs!$B$6),$B$3:$AP$3,"&lt;="&amp;(D$3-1))</f>
        <v>0</v>
      </c>
      <c r="E29" s="0" t="n">
        <f aca="false">(1-Inputs!$B$4-Inputs!$B$5)/Inputs!$B$6*SUMIFS($B$28:$AP$28,$B$3:$AP$3,"&gt;="&amp;(E$3-Inputs!$B$6),$B$3:$AP$3,"&lt;="&amp;(E$3-1))</f>
        <v>0</v>
      </c>
      <c r="F29" s="0" t="n">
        <f aca="false">(1-Inputs!$B$4-Inputs!$B$5)/Inputs!$B$6*SUMIFS($B$28:$AP$28,$B$3:$AP$3,"&gt;="&amp;(F$3-Inputs!$B$6),$B$3:$AP$3,"&lt;="&amp;(F$3-1))</f>
        <v>0</v>
      </c>
      <c r="G29" s="0" t="n">
        <f aca="false">(1-Inputs!$B$4-Inputs!$B$5)/Inputs!$B$6*SUMIFS($B$28:$AP$28,$B$3:$AP$3,"&gt;="&amp;(G$3-Inputs!$B$6),$B$3:$AP$3,"&lt;="&amp;(G$3-1))</f>
        <v>0</v>
      </c>
      <c r="H29" s="0" t="n">
        <f aca="false">(1-Inputs!$B$4-Inputs!$B$5)/Inputs!$B$6*SUMIFS($B$28:$AP$28,$B$3:$AP$3,"&gt;="&amp;(H$3-Inputs!$B$6),$B$3:$AP$3,"&lt;="&amp;(H$3-1))</f>
        <v>0</v>
      </c>
      <c r="I29" s="0" t="n">
        <f aca="false">(1-Inputs!$B$4-Inputs!$B$5)/Inputs!$B$6*SUMIFS($B$28:$AP$28,$B$3:$AP$3,"&gt;="&amp;(I$3-Inputs!$B$6),$B$3:$AP$3,"&lt;="&amp;(I$3-1))</f>
        <v>1530000</v>
      </c>
      <c r="J29" s="0" t="n">
        <f aca="false">(1-Inputs!$B$4-Inputs!$B$5)/Inputs!$B$6*SUMIFS($B$28:$AP$28,$B$3:$AP$3,"&gt;="&amp;(J$3-Inputs!$B$6),$B$3:$AP$3,"&lt;="&amp;(J$3-1))</f>
        <v>3121200</v>
      </c>
      <c r="K29" s="0" t="n">
        <f aca="false">(1-Inputs!$B$4-Inputs!$B$5)/Inputs!$B$6*SUMIFS($B$28:$AP$28,$B$3:$AP$3,"&gt;="&amp;(K$3-Inputs!$B$6),$B$3:$AP$3,"&lt;="&amp;(K$3-1))</f>
        <v>4776048</v>
      </c>
      <c r="L29" s="0" t="n">
        <f aca="false">(1-Inputs!$B$4-Inputs!$B$5)/Inputs!$B$6*SUMIFS($B$28:$AP$28,$B$3:$AP$3,"&gt;="&amp;(L$3-Inputs!$B$6),$B$3:$AP$3,"&lt;="&amp;(L$3-1))</f>
        <v>6497089.92</v>
      </c>
      <c r="M29" s="0" t="n">
        <f aca="false">(1-Inputs!$B$4-Inputs!$B$5)/Inputs!$B$6*SUMIFS($B$28:$AP$28,$B$3:$AP$3,"&gt;="&amp;(M$3-Inputs!$B$6),$B$3:$AP$3,"&lt;="&amp;(M$3-1))</f>
        <v>8286973.5168</v>
      </c>
      <c r="N29" s="0" t="n">
        <f aca="false">(1-Inputs!$B$4-Inputs!$B$5)/Inputs!$B$6*SUMIFS($B$28:$AP$28,$B$3:$AP$3,"&gt;="&amp;(N$3-Inputs!$B$6),$B$3:$AP$3,"&lt;="&amp;(N$3-1))</f>
        <v>10148452.457472</v>
      </c>
      <c r="O29" s="0" t="n">
        <f aca="false">(1-Inputs!$B$4-Inputs!$B$5)/Inputs!$B$6*SUMIFS($B$28:$AP$28,$B$3:$AP$3,"&gt;="&amp;(O$3-Inputs!$B$6),$B$3:$AP$3,"&lt;="&amp;(O$3-1))</f>
        <v>12084390.5557709</v>
      </c>
      <c r="P29" s="0" t="n">
        <f aca="false">(1-Inputs!$B$4-Inputs!$B$5)/Inputs!$B$6*SUMIFS($B$28:$AP$28,$B$3:$AP$3,"&gt;="&amp;(P$3-Inputs!$B$6),$B$3:$AP$3,"&lt;="&amp;(P$3-1))</f>
        <v>14097766.1780017</v>
      </c>
      <c r="Q29" s="0" t="n">
        <f aca="false">(1-Inputs!$B$4-Inputs!$B$5)/Inputs!$B$6*SUMIFS($B$28:$AP$28,$B$3:$AP$3,"&gt;="&amp;(Q$3-Inputs!$B$6),$B$3:$AP$3,"&lt;="&amp;(Q$3-1))</f>
        <v>16191676.8251218</v>
      </c>
      <c r="R29" s="0" t="n">
        <f aca="false">(1-Inputs!$B$4-Inputs!$B$5)/Inputs!$B$6*SUMIFS($B$28:$AP$28,$B$3:$AP$3,"&gt;="&amp;(R$3-Inputs!$B$6),$B$3:$AP$3,"&lt;="&amp;(R$3-1))</f>
        <v>18369343.8981267</v>
      </c>
      <c r="S29" s="0" t="n">
        <f aca="false">(1-Inputs!$B$4-Inputs!$B$5)/Inputs!$B$6*SUMIFS($B$28:$AP$28,$B$3:$AP$3,"&gt;="&amp;(S$3-Inputs!$B$6),$B$3:$AP$3,"&lt;="&amp;(S$3-1))</f>
        <v>20634117.6540517</v>
      </c>
      <c r="T29" s="0" t="n">
        <f aca="false">(1-Inputs!$B$4-Inputs!$B$5)/Inputs!$B$6*SUMIFS($B$28:$AP$28,$B$3:$AP$3,"&gt;="&amp;(T$3-Inputs!$B$6),$B$3:$AP$3,"&lt;="&amp;(T$3-1))</f>
        <v>22989482.3602138</v>
      </c>
      <c r="U29" s="0" t="n">
        <f aca="false">(1-Inputs!$B$4-Inputs!$B$5)/Inputs!$B$6*SUMIFS($B$28:$AP$28,$B$3:$AP$3,"&gt;="&amp;(U$3-Inputs!$B$6),$B$3:$AP$3,"&lt;="&amp;(U$3-1))</f>
        <v>25439061.6546224</v>
      </c>
      <c r="V29" s="0" t="n">
        <f aca="false">(1-Inputs!$B$4-Inputs!$B$5)/Inputs!$B$6*SUMIFS($B$28:$AP$28,$B$3:$AP$3,"&gt;="&amp;(V$3-Inputs!$B$6),$B$3:$AP$3,"&lt;="&amp;(V$3-1))</f>
        <v>27986624.1208072</v>
      </c>
      <c r="W29" s="0" t="n">
        <f aca="false">(1-Inputs!$B$4-Inputs!$B$5)/Inputs!$B$6*SUMIFS($B$28:$AP$28,$B$3:$AP$3,"&gt;="&amp;(W$3-Inputs!$B$6),$B$3:$AP$3,"&lt;="&amp;(W$3-1))</f>
        <v>30636089.0856395</v>
      </c>
      <c r="X29" s="0" t="n">
        <f aca="false">(1-Inputs!$B$4-Inputs!$B$5)/Inputs!$B$6*SUMIFS($B$28:$AP$28,$B$3:$AP$3,"&gt;="&amp;(X$3-Inputs!$B$6),$B$3:$AP$3,"&lt;="&amp;(X$3-1))</f>
        <v>30636089.0856395</v>
      </c>
      <c r="Y29" s="0" t="n">
        <f aca="false">(1-Inputs!$B$4-Inputs!$B$5)/Inputs!$B$6*SUMIFS($B$28:$AP$28,$B$3:$AP$3,"&gt;="&amp;(Y$3-Inputs!$B$6),$B$3:$AP$3,"&lt;="&amp;(Y$3-1))</f>
        <v>30636089.0856395</v>
      </c>
      <c r="Z29" s="0" t="n">
        <f aca="false">(1-Inputs!$B$4-Inputs!$B$5)/Inputs!$B$6*SUMIFS($B$28:$AP$28,$B$3:$AP$3,"&gt;="&amp;(Z$3-Inputs!$B$6),$B$3:$AP$3,"&lt;="&amp;(Z$3-1))</f>
        <v>30636089.0856395</v>
      </c>
      <c r="AA29" s="0" t="n">
        <f aca="false">(1-Inputs!$B$4-Inputs!$B$5)/Inputs!$B$6*SUMIFS($B$28:$AP$28,$B$3:$AP$3,"&gt;="&amp;(AA$3-Inputs!$B$6),$B$3:$AP$3,"&lt;="&amp;(AA$3-1))</f>
        <v>30636089.0856395</v>
      </c>
      <c r="AB29" s="0" t="n">
        <f aca="false">(1-Inputs!$B$4-Inputs!$B$5)/Inputs!$B$6*SUMIFS($B$28:$AP$28,$B$3:$AP$3,"&gt;="&amp;(AB$3-Inputs!$B$6),$B$3:$AP$3,"&lt;="&amp;(AB$3-1))</f>
        <v>30636089.0856395</v>
      </c>
      <c r="AC29" s="0" t="n">
        <f aca="false">(1-Inputs!$B$4-Inputs!$B$5)/Inputs!$B$6*SUMIFS($B$28:$AP$28,$B$3:$AP$3,"&gt;="&amp;(AC$3-Inputs!$B$6),$B$3:$AP$3,"&lt;="&amp;(AC$3-1))</f>
        <v>30636089.0856395</v>
      </c>
      <c r="AD29" s="0" t="n">
        <f aca="false">(1-Inputs!$B$4-Inputs!$B$5)/Inputs!$B$6*SUMIFS($B$28:$AP$28,$B$3:$AP$3,"&gt;="&amp;(AD$3-Inputs!$B$6),$B$3:$AP$3,"&lt;="&amp;(AD$3-1))</f>
        <v>30636089.0856395</v>
      </c>
      <c r="AE29" s="0" t="n">
        <f aca="false">(1-Inputs!$B$4-Inputs!$B$5)/Inputs!$B$6*SUMIFS($B$28:$AP$28,$B$3:$AP$3,"&gt;="&amp;(AE$3-Inputs!$B$6),$B$3:$AP$3,"&lt;="&amp;(AE$3-1))</f>
        <v>30636089.0856395</v>
      </c>
      <c r="AF29" s="0" t="n">
        <f aca="false">(1-Inputs!$B$4-Inputs!$B$5)/Inputs!$B$6*SUMIFS($B$28:$AP$28,$B$3:$AP$3,"&gt;="&amp;(AF$3-Inputs!$B$6),$B$3:$AP$3,"&lt;="&amp;(AF$3-1))</f>
        <v>30636089.0856395</v>
      </c>
      <c r="AG29" s="0" t="n">
        <f aca="false">(1-Inputs!$B$4-Inputs!$B$5)/Inputs!$B$6*SUMIFS($B$28:$AP$28,$B$3:$AP$3,"&gt;="&amp;(AG$3-Inputs!$B$6),$B$3:$AP$3,"&lt;="&amp;(AG$3-1))</f>
        <v>30636089.0856395</v>
      </c>
      <c r="AH29" s="0" t="n">
        <f aca="false">(1-Inputs!$B$4-Inputs!$B$5)/Inputs!$B$6*SUMIFS($B$28:$AP$28,$B$3:$AP$3,"&gt;="&amp;(AH$3-Inputs!$B$6),$B$3:$AP$3,"&lt;="&amp;(AH$3-1))</f>
        <v>30636089.0856395</v>
      </c>
      <c r="AI29" s="0" t="n">
        <f aca="false">(1-Inputs!$B$4-Inputs!$B$5)/Inputs!$B$6*SUMIFS($B$28:$AP$28,$B$3:$AP$3,"&gt;="&amp;(AI$3-Inputs!$B$6),$B$3:$AP$3,"&lt;="&amp;(AI$3-1))</f>
        <v>30636089.0856395</v>
      </c>
      <c r="AJ29" s="0" t="n">
        <f aca="false">(1-Inputs!$B$4-Inputs!$B$5)/Inputs!$B$6*SUMIFS($B$28:$AP$28,$B$3:$AP$3,"&gt;="&amp;(AJ$3-Inputs!$B$6),$B$3:$AP$3,"&lt;="&amp;(AJ$3-1))</f>
        <v>30636089.0856395</v>
      </c>
      <c r="AK29" s="0" t="n">
        <f aca="false">(1-Inputs!$B$4-Inputs!$B$5)/Inputs!$B$6*SUMIFS($B$28:$AP$28,$B$3:$AP$3,"&gt;="&amp;(AK$3-Inputs!$B$6),$B$3:$AP$3,"&lt;="&amp;(AK$3-1))</f>
        <v>29106089.0856395</v>
      </c>
      <c r="AL29" s="0" t="n">
        <f aca="false">(1-Inputs!$B$4-Inputs!$B$5)/Inputs!$B$6*SUMIFS($B$28:$AP$28,$B$3:$AP$3,"&gt;="&amp;(AL$3-Inputs!$B$6),$B$3:$AP$3,"&lt;="&amp;(AL$3-1))</f>
        <v>27514889.0856395</v>
      </c>
      <c r="AM29" s="0" t="n">
        <f aca="false">(1-Inputs!$B$4-Inputs!$B$5)/Inputs!$B$6*SUMIFS($B$28:$AP$28,$B$3:$AP$3,"&gt;="&amp;(AM$3-Inputs!$B$6),$B$3:$AP$3,"&lt;="&amp;(AM$3-1))</f>
        <v>25860041.0856395</v>
      </c>
      <c r="AN29" s="0" t="n">
        <f aca="false">(1-Inputs!$B$4-Inputs!$B$5)/Inputs!$B$6*SUMIFS($B$28:$AP$28,$B$3:$AP$3,"&gt;="&amp;(AN$3-Inputs!$B$6),$B$3:$AP$3,"&lt;="&amp;(AN$3-1))</f>
        <v>24138999.1656395</v>
      </c>
      <c r="AO29" s="0" t="n">
        <f aca="false">(1-Inputs!$B$4-Inputs!$B$5)/Inputs!$B$6*SUMIFS($B$28:$AP$28,$B$3:$AP$3,"&gt;="&amp;(AO$3-Inputs!$B$6),$B$3:$AP$3,"&lt;="&amp;(AO$3-1))</f>
        <v>22349115.5688395</v>
      </c>
      <c r="AP29" s="0" t="n">
        <f aca="false">(1-Inputs!$B$4-Inputs!$B$5)/Inputs!$B$6*SUMIFS($B$28:$AP$28,$B$3:$AP$3,"&gt;="&amp;(AP$3-Inputs!$B$6),$B$3:$AP$3,"&lt;="&amp;(AP$3-1))</f>
        <v>20487636.6281675</v>
      </c>
    </row>
    <row r="30" customFormat="false" ht="15" hidden="false" customHeight="false" outlineLevel="0" collapsed="false">
      <c r="A30" s="0" t="s">
        <v>53</v>
      </c>
      <c r="B30" s="0" t="n">
        <f aca="false">Inputs!$B$5*(IF(B$3=(Products!$G$5+Products!$H$5),SUMIFS($B$28:$AP$28,$B$3:$AP$3,"&lt;="&amp;(Products!$G$5+Products!$H$5)),0)+IF(B$3&gt;(Products!$G$5+Products!$H$5),B28,0))</f>
        <v>0</v>
      </c>
      <c r="C30" s="0" t="n">
        <f aca="false">Inputs!$B$5*(IF(C$3=(Products!$G$5+Products!$H$5),SUMIFS($B$28:$AP$28,$B$3:$AP$3,"&lt;="&amp;(Products!$G$5+Products!$H$5)),0)+IF(C$3&gt;(Products!$G$5+Products!$H$5),C28,0))</f>
        <v>0</v>
      </c>
      <c r="D30" s="0" t="n">
        <f aca="false">Inputs!$B$5*(IF(D$3=(Products!$G$5+Products!$H$5),SUMIFS($B$28:$AP$28,$B$3:$AP$3,"&lt;="&amp;(Products!$G$5+Products!$H$5)),0)+IF(D$3&gt;(Products!$G$5+Products!$H$5),D28,0))</f>
        <v>0</v>
      </c>
      <c r="E30" s="0" t="n">
        <f aca="false">Inputs!$B$5*(IF(E$3=(Products!$G$5+Products!$H$5),SUMIFS($B$28:$AP$28,$B$3:$AP$3,"&lt;="&amp;(Products!$G$5+Products!$H$5)),0)+IF(E$3&gt;(Products!$G$5+Products!$H$5),E28,0))</f>
        <v>0</v>
      </c>
      <c r="F30" s="0" t="n">
        <f aca="false">Inputs!$B$5*(IF(F$3=(Products!$G$5+Products!$H$5),SUMIFS($B$28:$AP$28,$B$3:$AP$3,"&lt;="&amp;(Products!$G$5+Products!$H$5)),0)+IF(F$3&gt;(Products!$G$5+Products!$H$5),F28,0))</f>
        <v>0</v>
      </c>
      <c r="G30" s="0" t="n">
        <f aca="false">Inputs!$B$5*(IF(G$3=(Products!$G$5+Products!$H$5),SUMIFS($B$28:$AP$28,$B$3:$AP$3,"&lt;="&amp;(Products!$G$5+Products!$H$5)),0)+IF(G$3&gt;(Products!$G$5+Products!$H$5),G28,0))</f>
        <v>0</v>
      </c>
      <c r="H30" s="0" t="n">
        <f aca="false">Inputs!$B$5*(IF(H$3=(Products!$G$5+Products!$H$5),SUMIFS($B$28:$AP$28,$B$3:$AP$3,"&lt;="&amp;(Products!$G$5+Products!$H$5)),0)+IF(H$3&gt;(Products!$G$5+Products!$H$5),H28,0))</f>
        <v>0</v>
      </c>
      <c r="I30" s="0" t="n">
        <f aca="false">Inputs!$B$5*(IF(I$3=(Products!$G$5+Products!$H$5),SUMIFS($B$28:$AP$28,$B$3:$AP$3,"&lt;="&amp;(Products!$G$5+Products!$H$5)),0)+IF(I$3&gt;(Products!$G$5+Products!$H$5),I28,0))</f>
        <v>0</v>
      </c>
      <c r="J30" s="0" t="n">
        <f aca="false">Inputs!$B$5*(IF(J$3=(Products!$G$5+Products!$H$5),SUMIFS($B$28:$AP$28,$B$3:$AP$3,"&lt;="&amp;(Products!$G$5+Products!$H$5)),0)+IF(J$3&gt;(Products!$G$5+Products!$H$5),J28,0))</f>
        <v>0</v>
      </c>
      <c r="K30" s="0" t="n">
        <f aca="false">Inputs!$B$5*(IF(K$3=(Products!$G$5+Products!$H$5),SUMIFS($B$28:$AP$28,$B$3:$AP$3,"&lt;="&amp;(Products!$G$5+Products!$H$5)),0)+IF(K$3&gt;(Products!$G$5+Products!$H$5),K28,0))</f>
        <v>0</v>
      </c>
      <c r="L30" s="0" t="n">
        <f aca="false">Inputs!$B$5*(IF(L$3=(Products!$G$5+Products!$H$5),SUMIFS($B$28:$AP$28,$B$3:$AP$3,"&lt;="&amp;(Products!$G$5+Products!$H$5)),0)+IF(L$3&gt;(Products!$G$5+Products!$H$5),L28,0))</f>
        <v>0</v>
      </c>
      <c r="M30" s="0" t="n">
        <f aca="false">Inputs!$B$5*(IF(M$3=(Products!$G$5+Products!$H$5),SUMIFS($B$28:$AP$28,$B$3:$AP$3,"&lt;="&amp;(Products!$G$5+Products!$H$5)),0)+IF(M$3&gt;(Products!$G$5+Products!$H$5),M28,0))</f>
        <v>0</v>
      </c>
      <c r="N30" s="0" t="n">
        <f aca="false">Inputs!$B$5*(IF(N$3=(Products!$G$5+Products!$H$5),SUMIFS($B$28:$AP$28,$B$3:$AP$3,"&lt;="&amp;(Products!$G$5+Products!$H$5)),0)+IF(N$3&gt;(Products!$G$5+Products!$H$5),N28,0))</f>
        <v>0</v>
      </c>
      <c r="O30" s="0" t="n">
        <f aca="false">Inputs!$B$5*(IF(O$3=(Products!$G$5+Products!$H$5),SUMIFS($B$28:$AP$28,$B$3:$AP$3,"&lt;="&amp;(Products!$G$5+Products!$H$5)),0)+IF(O$3&gt;(Products!$G$5+Products!$H$5),O28,0))</f>
        <v>0</v>
      </c>
      <c r="P30" s="0" t="n">
        <f aca="false">Inputs!$B$5*(IF(P$3=(Products!$G$5+Products!$H$5),SUMIFS($B$28:$AP$28,$B$3:$AP$3,"&lt;="&amp;(Products!$G$5+Products!$H$5)),0)+IF(P$3&gt;(Products!$G$5+Products!$H$5),P28,0))</f>
        <v>0</v>
      </c>
      <c r="Q30" s="0" t="n">
        <f aca="false">Inputs!$B$5*(IF(Q$3=(Products!$G$5+Products!$H$5),SUMIFS($B$28:$AP$28,$B$3:$AP$3,"&lt;="&amp;(Products!$G$5+Products!$H$5)),0)+IF(Q$3&gt;(Products!$G$5+Products!$H$5),Q28,0))</f>
        <v>0</v>
      </c>
      <c r="R30" s="0" t="n">
        <f aca="false">Inputs!$B$5*(IF(R$3=(Products!$G$5+Products!$H$5),SUMIFS($B$28:$AP$28,$B$3:$AP$3,"&lt;="&amp;(Products!$G$5+Products!$H$5)),0)+IF(R$3&gt;(Products!$G$5+Products!$H$5),R28,0))</f>
        <v>33985605.5478499</v>
      </c>
      <c r="S30" s="0" t="n">
        <f aca="false">Inputs!$B$5*(IF(S$3=(Products!$G$5+Products!$H$5),SUMIFS($B$28:$AP$28,$B$3:$AP$3,"&lt;="&amp;(Products!$G$5+Products!$H$5)),0)+IF(S$3&gt;(Products!$G$5+Products!$H$5),S28,0))</f>
        <v>3879424.221914</v>
      </c>
      <c r="T30" s="0" t="n">
        <f aca="false">Inputs!$B$5*(IF(T$3=(Products!$G$5+Products!$H$5),SUMIFS($B$28:$AP$28,$B$3:$AP$3,"&lt;="&amp;(Products!$G$5+Products!$H$5)),0)+IF(T$3&gt;(Products!$G$5+Products!$H$5),T28,0))</f>
        <v>4034601.19079056</v>
      </c>
      <c r="U30" s="0" t="n">
        <f aca="false">Inputs!$B$5*(IF(U$3=(Products!$G$5+Products!$H$5),SUMIFS($B$28:$AP$28,$B$3:$AP$3,"&lt;="&amp;(Products!$G$5+Products!$H$5)),0)+IF(U$3&gt;(Products!$G$5+Products!$H$5),U28,0))</f>
        <v>4195985.23842218</v>
      </c>
      <c r="V30" s="0" t="n">
        <f aca="false">Inputs!$B$5*(IF(V$3=(Products!$G$5+Products!$H$5),SUMIFS($B$28:$AP$28,$B$3:$AP$3,"&lt;="&amp;(Products!$G$5+Products!$H$5)),0)+IF(V$3&gt;(Products!$G$5+Products!$H$5),V28,0))</f>
        <v>4363824.64795907</v>
      </c>
      <c r="W30" s="0" t="n">
        <f aca="false">Inputs!$B$5*(IF(W$3=(Products!$G$5+Products!$H$5),SUMIFS($B$28:$AP$28,$B$3:$AP$3,"&lt;="&amp;(Products!$G$5+Products!$H$5)),0)+IF(W$3&gt;(Products!$G$5+Products!$H$5),W28,0))</f>
        <v>0</v>
      </c>
      <c r="X30" s="0" t="n">
        <f aca="false">Inputs!$B$5*(IF(X$3=(Products!$G$5+Products!$H$5),SUMIFS($B$28:$AP$28,$B$3:$AP$3,"&lt;="&amp;(Products!$G$5+Products!$H$5)),0)+IF(X$3&gt;(Products!$G$5+Products!$H$5),X28,0))</f>
        <v>0</v>
      </c>
      <c r="Y30" s="0" t="n">
        <f aca="false">Inputs!$B$5*(IF(Y$3=(Products!$G$5+Products!$H$5),SUMIFS($B$28:$AP$28,$B$3:$AP$3,"&lt;="&amp;(Products!$G$5+Products!$H$5)),0)+IF(Y$3&gt;(Products!$G$5+Products!$H$5),Y28,0))</f>
        <v>0</v>
      </c>
      <c r="Z30" s="0" t="n">
        <f aca="false">Inputs!$B$5*(IF(Z$3=(Products!$G$5+Products!$H$5),SUMIFS($B$28:$AP$28,$B$3:$AP$3,"&lt;="&amp;(Products!$G$5+Products!$H$5)),0)+IF(Z$3&gt;(Products!$G$5+Products!$H$5),Z28,0))</f>
        <v>0</v>
      </c>
      <c r="AA30" s="0" t="n">
        <f aca="false">Inputs!$B$5*(IF(AA$3=(Products!$G$5+Products!$H$5),SUMIFS($B$28:$AP$28,$B$3:$AP$3,"&lt;="&amp;(Products!$G$5+Products!$H$5)),0)+IF(AA$3&gt;(Products!$G$5+Products!$H$5),AA28,0))</f>
        <v>0</v>
      </c>
      <c r="AB30" s="0" t="n">
        <f aca="false">Inputs!$B$5*(IF(AB$3=(Products!$G$5+Products!$H$5),SUMIFS($B$28:$AP$28,$B$3:$AP$3,"&lt;="&amp;(Products!$G$5+Products!$H$5)),0)+IF(AB$3&gt;(Products!$G$5+Products!$H$5),AB28,0))</f>
        <v>0</v>
      </c>
      <c r="AC30" s="0" t="n">
        <f aca="false">Inputs!$B$5*(IF(AC$3=(Products!$G$5+Products!$H$5),SUMIFS($B$28:$AP$28,$B$3:$AP$3,"&lt;="&amp;(Products!$G$5+Products!$H$5)),0)+IF(AC$3&gt;(Products!$G$5+Products!$H$5),AC28,0))</f>
        <v>0</v>
      </c>
      <c r="AD30" s="0" t="n">
        <f aca="false">Inputs!$B$5*(IF(AD$3=(Products!$G$5+Products!$H$5),SUMIFS($B$28:$AP$28,$B$3:$AP$3,"&lt;="&amp;(Products!$G$5+Products!$H$5)),0)+IF(AD$3&gt;(Products!$G$5+Products!$H$5),AD28,0))</f>
        <v>0</v>
      </c>
      <c r="AE30" s="0" t="n">
        <f aca="false">Inputs!$B$5*(IF(AE$3=(Products!$G$5+Products!$H$5),SUMIFS($B$28:$AP$28,$B$3:$AP$3,"&lt;="&amp;(Products!$G$5+Products!$H$5)),0)+IF(AE$3&gt;(Products!$G$5+Products!$H$5),AE28,0))</f>
        <v>0</v>
      </c>
      <c r="AF30" s="0" t="n">
        <f aca="false">Inputs!$B$5*(IF(AF$3=(Products!$G$5+Products!$H$5),SUMIFS($B$28:$AP$28,$B$3:$AP$3,"&lt;="&amp;(Products!$G$5+Products!$H$5)),0)+IF(AF$3&gt;(Products!$G$5+Products!$H$5),AF28,0))</f>
        <v>0</v>
      </c>
      <c r="AG30" s="0" t="n">
        <f aca="false">Inputs!$B$5*(IF(AG$3=(Products!$G$5+Products!$H$5),SUMIFS($B$28:$AP$28,$B$3:$AP$3,"&lt;="&amp;(Products!$G$5+Products!$H$5)),0)+IF(AG$3&gt;(Products!$G$5+Products!$H$5),AG28,0))</f>
        <v>0</v>
      </c>
      <c r="AH30" s="0" t="n">
        <f aca="false">Inputs!$B$5*(IF(AH$3=(Products!$G$5+Products!$H$5),SUMIFS($B$28:$AP$28,$B$3:$AP$3,"&lt;="&amp;(Products!$G$5+Products!$H$5)),0)+IF(AH$3&gt;(Products!$G$5+Products!$H$5),AH28,0))</f>
        <v>0</v>
      </c>
      <c r="AI30" s="0" t="n">
        <f aca="false">Inputs!$B$5*(IF(AI$3=(Products!$G$5+Products!$H$5),SUMIFS($B$28:$AP$28,$B$3:$AP$3,"&lt;="&amp;(Products!$G$5+Products!$H$5)),0)+IF(AI$3&gt;(Products!$G$5+Products!$H$5),AI28,0))</f>
        <v>0</v>
      </c>
      <c r="AJ30" s="0" t="n">
        <f aca="false">Inputs!$B$5*(IF(AJ$3=(Products!$G$5+Products!$H$5),SUMIFS($B$28:$AP$28,$B$3:$AP$3,"&lt;="&amp;(Products!$G$5+Products!$H$5)),0)+IF(AJ$3&gt;(Products!$G$5+Products!$H$5),AJ28,0))</f>
        <v>0</v>
      </c>
      <c r="AK30" s="0" t="n">
        <f aca="false">Inputs!$B$5*(IF(AK$3=(Products!$G$5+Products!$H$5),SUMIFS($B$28:$AP$28,$B$3:$AP$3,"&lt;="&amp;(Products!$G$5+Products!$H$5)),0)+IF(AK$3&gt;(Products!$G$5+Products!$H$5),AK28,0))</f>
        <v>0</v>
      </c>
      <c r="AL30" s="0" t="n">
        <f aca="false">Inputs!$B$5*(IF(AL$3=(Products!$G$5+Products!$H$5),SUMIFS($B$28:$AP$28,$B$3:$AP$3,"&lt;="&amp;(Products!$G$5+Products!$H$5)),0)+IF(AL$3&gt;(Products!$G$5+Products!$H$5),AL28,0))</f>
        <v>0</v>
      </c>
      <c r="AM30" s="0" t="n">
        <f aca="false">Inputs!$B$5*(IF(AM$3=(Products!$G$5+Products!$H$5),SUMIFS($B$28:$AP$28,$B$3:$AP$3,"&lt;="&amp;(Products!$G$5+Products!$H$5)),0)+IF(AM$3&gt;(Products!$G$5+Products!$H$5),AM28,0))</f>
        <v>0</v>
      </c>
      <c r="AN30" s="0" t="n">
        <f aca="false">Inputs!$B$5*(IF(AN$3=(Products!$G$5+Products!$H$5),SUMIFS($B$28:$AP$28,$B$3:$AP$3,"&lt;="&amp;(Products!$G$5+Products!$H$5)),0)+IF(AN$3&gt;(Products!$G$5+Products!$H$5),AN28,0))</f>
        <v>0</v>
      </c>
      <c r="AO30" s="0" t="n">
        <f aca="false">Inputs!$B$5*(IF(AO$3=(Products!$G$5+Products!$H$5),SUMIFS($B$28:$AP$28,$B$3:$AP$3,"&lt;="&amp;(Products!$G$5+Products!$H$5)),0)+IF(AO$3&gt;(Products!$G$5+Products!$H$5),AO28,0))</f>
        <v>0</v>
      </c>
      <c r="AP30" s="0" t="n">
        <f aca="false">Inputs!$B$5*(IF(AP$3=(Products!$G$5+Products!$H$5),SUMIFS($B$28:$AP$28,$B$3:$AP$3,"&lt;="&amp;(Products!$G$5+Products!$H$5)),0)+IF(AP$3&gt;(Products!$G$5+Products!$H$5),AP28,0))</f>
        <v>0</v>
      </c>
    </row>
    <row r="31" customFormat="false" ht="15" hidden="false" customHeight="false" outlineLevel="0" collapsed="false">
      <c r="A31" s="0" t="s">
        <v>54</v>
      </c>
      <c r="B31" s="0" t="n">
        <f aca="false">Inputs!$B$4*B28+B29+B30</f>
        <v>0</v>
      </c>
      <c r="C31" s="0" t="n">
        <f aca="false">Inputs!$B$4*C28+C29+C30</f>
        <v>0</v>
      </c>
      <c r="D31" s="0" t="n">
        <f aca="false">Inputs!$B$4*D28+D29+D30</f>
        <v>0</v>
      </c>
      <c r="E31" s="0" t="n">
        <f aca="false">Inputs!$B$4*E28+E29+E30</f>
        <v>0</v>
      </c>
      <c r="F31" s="0" t="n">
        <f aca="false">Inputs!$B$4*F28+F29+F30</f>
        <v>0</v>
      </c>
      <c r="G31" s="0" t="n">
        <f aca="false">Inputs!$B$4*G28+G29+G30</f>
        <v>0</v>
      </c>
      <c r="H31" s="0" t="n">
        <f aca="false">Inputs!$B$4*H28+H29+H30</f>
        <v>5040000</v>
      </c>
      <c r="I31" s="0" t="n">
        <f aca="false">Inputs!$B$4*I28+I29+I30</f>
        <v>6771600</v>
      </c>
      <c r="J31" s="0" t="n">
        <f aca="false">Inputs!$B$4*J28+J29+J30</f>
        <v>8572464</v>
      </c>
      <c r="K31" s="0" t="n">
        <f aca="false">Inputs!$B$4*K28+K29+K30</f>
        <v>10445362.56</v>
      </c>
      <c r="L31" s="0" t="n">
        <f aca="false">Inputs!$B$4*L28+L29+L30</f>
        <v>12393177.0624</v>
      </c>
      <c r="M31" s="0" t="n">
        <f aca="false">Inputs!$B$4*M28+M29+M30</f>
        <v>14418904.144896</v>
      </c>
      <c r="N31" s="0" t="n">
        <f aca="false">Inputs!$B$4*N28+N29+N30</f>
        <v>16525660.3106918</v>
      </c>
      <c r="O31" s="0" t="n">
        <f aca="false">Inputs!$B$4*O28+O29+O30</f>
        <v>18716686.7231195</v>
      </c>
      <c r="P31" s="0" t="n">
        <f aca="false">Inputs!$B$4*P28+P29+P30</f>
        <v>20995354.1920443</v>
      </c>
      <c r="Q31" s="0" t="n">
        <f aca="false">Inputs!$B$4*Q28+Q29+Q30</f>
        <v>23365168.3597261</v>
      </c>
      <c r="R31" s="0" t="n">
        <f aca="false">Inputs!$B$4*R28+R29+R30</f>
        <v>59815380.641965</v>
      </c>
      <c r="S31" s="0" t="n">
        <f aca="false">Inputs!$B$4*S28+S29+S30</f>
        <v>32272390.3197937</v>
      </c>
      <c r="T31" s="0" t="n">
        <f aca="false">Inputs!$B$4*T28+T29+T30</f>
        <v>35093285.9325855</v>
      </c>
      <c r="U31" s="0" t="n">
        <f aca="false">Inputs!$B$4*U28+U29+U30</f>
        <v>38027017.3698889</v>
      </c>
      <c r="V31" s="0" t="n">
        <f aca="false">Inputs!$B$4*V28+V29+V30</f>
        <v>41078098.0646844</v>
      </c>
      <c r="W31" s="0" t="n">
        <f aca="false">Inputs!$B$4*W28+W29+W30</f>
        <v>30636089.0856395</v>
      </c>
      <c r="X31" s="0" t="n">
        <f aca="false">Inputs!$B$4*X28+X29+X30</f>
        <v>30636089.0856395</v>
      </c>
      <c r="Y31" s="0" t="n">
        <f aca="false">Inputs!$B$4*Y28+Y29+Y30</f>
        <v>30636089.0856395</v>
      </c>
      <c r="Z31" s="0" t="n">
        <f aca="false">Inputs!$B$4*Z28+Z29+Z30</f>
        <v>30636089.0856395</v>
      </c>
      <c r="AA31" s="0" t="n">
        <f aca="false">Inputs!$B$4*AA28+AA29+AA30</f>
        <v>30636089.0856395</v>
      </c>
      <c r="AB31" s="0" t="n">
        <f aca="false">Inputs!$B$4*AB28+AB29+AB30</f>
        <v>30636089.0856395</v>
      </c>
      <c r="AC31" s="0" t="n">
        <f aca="false">Inputs!$B$4*AC28+AC29+AC30</f>
        <v>30636089.0856395</v>
      </c>
      <c r="AD31" s="0" t="n">
        <f aca="false">Inputs!$B$4*AD28+AD29+AD30</f>
        <v>30636089.0856395</v>
      </c>
      <c r="AE31" s="0" t="n">
        <f aca="false">Inputs!$B$4*AE28+AE29+AE30</f>
        <v>30636089.0856395</v>
      </c>
      <c r="AF31" s="0" t="n">
        <f aca="false">Inputs!$B$4*AF28+AF29+AF30</f>
        <v>30636089.0856395</v>
      </c>
      <c r="AG31" s="0" t="n">
        <f aca="false">Inputs!$B$4*AG28+AG29+AG30</f>
        <v>30636089.0856395</v>
      </c>
      <c r="AH31" s="0" t="n">
        <f aca="false">Inputs!$B$4*AH28+AH29+AH30</f>
        <v>30636089.0856395</v>
      </c>
      <c r="AI31" s="0" t="n">
        <f aca="false">Inputs!$B$4*AI28+AI29+AI30</f>
        <v>30636089.0856395</v>
      </c>
      <c r="AJ31" s="0" t="n">
        <f aca="false">Inputs!$B$4*AJ28+AJ29+AJ30</f>
        <v>30636089.0856395</v>
      </c>
      <c r="AK31" s="0" t="n">
        <f aca="false">Inputs!$B$4*AK28+AK29+AK30</f>
        <v>29106089.0856395</v>
      </c>
      <c r="AL31" s="0" t="n">
        <f aca="false">Inputs!$B$4*AL28+AL29+AL30</f>
        <v>27514889.0856395</v>
      </c>
      <c r="AM31" s="0" t="n">
        <f aca="false">Inputs!$B$4*AM28+AM29+AM30</f>
        <v>25860041.0856395</v>
      </c>
      <c r="AN31" s="0" t="n">
        <f aca="false">Inputs!$B$4*AN28+AN29+AN30</f>
        <v>24138999.1656395</v>
      </c>
      <c r="AO31" s="0" t="n">
        <f aca="false">Inputs!$B$4*AO28+AO29+AO30</f>
        <v>22349115.5688395</v>
      </c>
      <c r="AP31" s="0" t="n">
        <f aca="false">Inputs!$B$4*AP28+AP29+AP30</f>
        <v>20487636.6281675</v>
      </c>
    </row>
    <row r="32" customFormat="false" ht="15" hidden="false" customHeight="false" outlineLevel="0" collapsed="false">
      <c r="A32" s="0" t="s">
        <v>55</v>
      </c>
      <c r="B32" s="0" t="n">
        <f aca="false">IF(AND(B$3&gt;=Products!$G$5,B$3&lt;(Products!$G$5+Products!$H$5)),Products!$B$5*Products!$C$5*Products!$I$5*(1+Inputs!$B$8)^B$3/Products!$H$5,0)</f>
        <v>0</v>
      </c>
      <c r="C32" s="0" t="n">
        <f aca="false">IF(AND(C$3&gt;=Products!$G$5,C$3&lt;(Products!$G$5+Products!$H$5)),Products!$B$5*Products!$C$5*Products!$I$5*(1+Inputs!$B$8)^C$3/Products!$H$5,0)</f>
        <v>0</v>
      </c>
      <c r="D32" s="0" t="n">
        <f aca="false">IF(AND(D$3&gt;=Products!$G$5,D$3&lt;(Products!$G$5+Products!$H$5)),Products!$B$5*Products!$C$5*Products!$I$5*(1+Inputs!$B$8)^D$3/Products!$H$5,0)</f>
        <v>0</v>
      </c>
      <c r="E32" s="0" t="n">
        <f aca="false">IF(AND(E$3&gt;=Products!$G$5,E$3&lt;(Products!$G$5+Products!$H$5)),Products!$B$5*Products!$C$5*Products!$I$5*(1+Inputs!$B$8)^E$3/Products!$H$5,0)</f>
        <v>0</v>
      </c>
      <c r="F32" s="0" t="n">
        <f aca="false">IF(AND(F$3&gt;=Products!$G$5,F$3&lt;(Products!$G$5+Products!$H$5)),Products!$B$5*Products!$C$5*Products!$I$5*(1+Inputs!$B$8)^F$3/Products!$H$5,0)</f>
        <v>0</v>
      </c>
      <c r="G32" s="0" t="n">
        <f aca="false">IF(AND(G$3&gt;=Products!$G$5,G$3&lt;(Products!$G$5+Products!$H$5)),Products!$B$5*Products!$C$5*Products!$I$5*(1+Inputs!$B$8)^G$3/Products!$H$5,0)</f>
        <v>0</v>
      </c>
      <c r="H32" s="0" t="n">
        <f aca="false">IF(AND(H$3&gt;=Products!$G$5,H$3&lt;(Products!$G$5+Products!$H$5)),Products!$B$5*Products!$C$5*Products!$I$5*(1+Inputs!$B$8)^H$3/Products!$H$5,0)</f>
        <v>0</v>
      </c>
      <c r="I32" s="0" t="n">
        <f aca="false">IF(AND(I$3&gt;=Products!$G$5,I$3&lt;(Products!$G$5+Products!$H$5)),Products!$B$5*Products!$C$5*Products!$I$5*(1+Inputs!$B$8)^I$3/Products!$H$5,0)</f>
        <v>0</v>
      </c>
      <c r="J32" s="0" t="n">
        <f aca="false">IF(AND(J$3&gt;=Products!$G$5,J$3&lt;(Products!$G$5+Products!$H$5)),Products!$B$5*Products!$C$5*Products!$I$5*(1+Inputs!$B$8)^J$3/Products!$H$5,0)</f>
        <v>35553843.9980119</v>
      </c>
      <c r="K32" s="0" t="n">
        <f aca="false">IF(AND(K$3&gt;=Products!$G$5,K$3&lt;(Products!$G$5+Products!$H$5)),Products!$B$5*Products!$C$5*Products!$I$5*(1+Inputs!$B$8)^K$3/Products!$H$5,0)</f>
        <v>36798228.5379423</v>
      </c>
      <c r="L32" s="0" t="n">
        <f aca="false">IF(AND(L$3&gt;=Products!$G$5,L$3&lt;(Products!$G$5+Products!$H$5)),Products!$B$5*Products!$C$5*Products!$I$5*(1+Inputs!$B$8)^L$3/Products!$H$5,0)</f>
        <v>38086166.5367703</v>
      </c>
      <c r="M32" s="0" t="n">
        <f aca="false">IF(AND(M$3&gt;=Products!$G$5,M$3&lt;(Products!$G$5+Products!$H$5)),Products!$B$5*Products!$C$5*Products!$I$5*(1+Inputs!$B$8)^M$3/Products!$H$5,0)</f>
        <v>39419182.3655572</v>
      </c>
      <c r="N32" s="0" t="n">
        <f aca="false">IF(AND(N$3&gt;=Products!$G$5,N$3&lt;(Products!$G$5+Products!$H$5)),Products!$B$5*Products!$C$5*Products!$I$5*(1+Inputs!$B$8)^N$3/Products!$H$5,0)</f>
        <v>40798853.7483517</v>
      </c>
      <c r="O32" s="0" t="n">
        <f aca="false">IF(AND(O$3&gt;=Products!$G$5,O$3&lt;(Products!$G$5+Products!$H$5)),Products!$B$5*Products!$C$5*Products!$I$5*(1+Inputs!$B$8)^O$3/Products!$H$5,0)</f>
        <v>42226813.629544</v>
      </c>
      <c r="P32" s="0" t="n">
        <f aca="false">IF(AND(P$3&gt;=Products!$G$5,P$3&lt;(Products!$G$5+Products!$H$5)),Products!$B$5*Products!$C$5*Products!$I$5*(1+Inputs!$B$8)^P$3/Products!$H$5,0)</f>
        <v>43704752.1065781</v>
      </c>
      <c r="Q32" s="0" t="n">
        <f aca="false">IF(AND(Q$3&gt;=Products!$G$5,Q$3&lt;(Products!$G$5+Products!$H$5)),Products!$B$5*Products!$C$5*Products!$I$5*(1+Inputs!$B$8)^Q$3/Products!$H$5,0)</f>
        <v>45234418.4303083</v>
      </c>
      <c r="R32" s="0" t="n">
        <f aca="false">IF(AND(R$3&gt;=Products!$G$5,R$3&lt;(Products!$G$5+Products!$H$5)),Products!$B$5*Products!$C$5*Products!$I$5*(1+Inputs!$B$8)^R$3/Products!$H$5,0)</f>
        <v>0</v>
      </c>
      <c r="S32" s="0" t="n">
        <f aca="false">IF(AND(S$3&gt;=Products!$G$5,S$3&lt;(Products!$G$5+Products!$H$5)),Products!$B$5*Products!$C$5*Products!$I$5*(1+Inputs!$B$8)^S$3/Products!$H$5,0)</f>
        <v>0</v>
      </c>
      <c r="T32" s="0" t="n">
        <f aca="false">IF(AND(T$3&gt;=Products!$G$5,T$3&lt;(Products!$G$5+Products!$H$5)),Products!$B$5*Products!$C$5*Products!$I$5*(1+Inputs!$B$8)^T$3/Products!$H$5,0)</f>
        <v>0</v>
      </c>
      <c r="U32" s="0" t="n">
        <f aca="false">IF(AND(U$3&gt;=Products!$G$5,U$3&lt;(Products!$G$5+Products!$H$5)),Products!$B$5*Products!$C$5*Products!$I$5*(1+Inputs!$B$8)^U$3/Products!$H$5,0)</f>
        <v>0</v>
      </c>
      <c r="V32" s="0" t="n">
        <f aca="false">IF(AND(V$3&gt;=Products!$G$5,V$3&lt;(Products!$G$5+Products!$H$5)),Products!$B$5*Products!$C$5*Products!$I$5*(1+Inputs!$B$8)^V$3/Products!$H$5,0)</f>
        <v>0</v>
      </c>
      <c r="W32" s="0" t="n">
        <f aca="false">IF(AND(W$3&gt;=Products!$G$5,W$3&lt;(Products!$G$5+Products!$H$5)),Products!$B$5*Products!$C$5*Products!$I$5*(1+Inputs!$B$8)^W$3/Products!$H$5,0)</f>
        <v>0</v>
      </c>
      <c r="X32" s="0" t="n">
        <f aca="false">IF(AND(X$3&gt;=Products!$G$5,X$3&lt;(Products!$G$5+Products!$H$5)),Products!$B$5*Products!$C$5*Products!$I$5*(1+Inputs!$B$8)^X$3/Products!$H$5,0)</f>
        <v>0</v>
      </c>
      <c r="Y32" s="0" t="n">
        <f aca="false">IF(AND(Y$3&gt;=Products!$G$5,Y$3&lt;(Products!$G$5+Products!$H$5)),Products!$B$5*Products!$C$5*Products!$I$5*(1+Inputs!$B$8)^Y$3/Products!$H$5,0)</f>
        <v>0</v>
      </c>
      <c r="Z32" s="0" t="n">
        <f aca="false">IF(AND(Z$3&gt;=Products!$G$5,Z$3&lt;(Products!$G$5+Products!$H$5)),Products!$B$5*Products!$C$5*Products!$I$5*(1+Inputs!$B$8)^Z$3/Products!$H$5,0)</f>
        <v>0</v>
      </c>
      <c r="AA32" s="0" t="n">
        <f aca="false">IF(AND(AA$3&gt;=Products!$G$5,AA$3&lt;(Products!$G$5+Products!$H$5)),Products!$B$5*Products!$C$5*Products!$I$5*(1+Inputs!$B$8)^AA$3/Products!$H$5,0)</f>
        <v>0</v>
      </c>
      <c r="AB32" s="0" t="n">
        <f aca="false">IF(AND(AB$3&gt;=Products!$G$5,AB$3&lt;(Products!$G$5+Products!$H$5)),Products!$B$5*Products!$C$5*Products!$I$5*(1+Inputs!$B$8)^AB$3/Products!$H$5,0)</f>
        <v>0</v>
      </c>
      <c r="AC32" s="0" t="n">
        <f aca="false">IF(AND(AC$3&gt;=Products!$G$5,AC$3&lt;(Products!$G$5+Products!$H$5)),Products!$B$5*Products!$C$5*Products!$I$5*(1+Inputs!$B$8)^AC$3/Products!$H$5,0)</f>
        <v>0</v>
      </c>
      <c r="AD32" s="0" t="n">
        <f aca="false">IF(AND(AD$3&gt;=Products!$G$5,AD$3&lt;(Products!$G$5+Products!$H$5)),Products!$B$5*Products!$C$5*Products!$I$5*(1+Inputs!$B$8)^AD$3/Products!$H$5,0)</f>
        <v>0</v>
      </c>
      <c r="AE32" s="0" t="n">
        <f aca="false">IF(AND(AE$3&gt;=Products!$G$5,AE$3&lt;(Products!$G$5+Products!$H$5)),Products!$B$5*Products!$C$5*Products!$I$5*(1+Inputs!$B$8)^AE$3/Products!$H$5,0)</f>
        <v>0</v>
      </c>
      <c r="AF32" s="0" t="n">
        <f aca="false">IF(AND(AF$3&gt;=Products!$G$5,AF$3&lt;(Products!$G$5+Products!$H$5)),Products!$B$5*Products!$C$5*Products!$I$5*(1+Inputs!$B$8)^AF$3/Products!$H$5,0)</f>
        <v>0</v>
      </c>
      <c r="AG32" s="0" t="n">
        <f aca="false">IF(AND(AG$3&gt;=Products!$G$5,AG$3&lt;(Products!$G$5+Products!$H$5)),Products!$B$5*Products!$C$5*Products!$I$5*(1+Inputs!$B$8)^AG$3/Products!$H$5,0)</f>
        <v>0</v>
      </c>
      <c r="AH32" s="0" t="n">
        <f aca="false">IF(AND(AH$3&gt;=Products!$G$5,AH$3&lt;(Products!$G$5+Products!$H$5)),Products!$B$5*Products!$C$5*Products!$I$5*(1+Inputs!$B$8)^AH$3/Products!$H$5,0)</f>
        <v>0</v>
      </c>
      <c r="AI32" s="0" t="n">
        <f aca="false">IF(AND(AI$3&gt;=Products!$G$5,AI$3&lt;(Products!$G$5+Products!$H$5)),Products!$B$5*Products!$C$5*Products!$I$5*(1+Inputs!$B$8)^AI$3/Products!$H$5,0)</f>
        <v>0</v>
      </c>
      <c r="AJ32" s="0" t="n">
        <f aca="false">IF(AND(AJ$3&gt;=Products!$G$5,AJ$3&lt;(Products!$G$5+Products!$H$5)),Products!$B$5*Products!$C$5*Products!$I$5*(1+Inputs!$B$8)^AJ$3/Products!$H$5,0)</f>
        <v>0</v>
      </c>
      <c r="AK32" s="0" t="n">
        <f aca="false">IF(AND(AK$3&gt;=Products!$G$5,AK$3&lt;(Products!$G$5+Products!$H$5)),Products!$B$5*Products!$C$5*Products!$I$5*(1+Inputs!$B$8)^AK$3/Products!$H$5,0)</f>
        <v>0</v>
      </c>
      <c r="AL32" s="0" t="n">
        <f aca="false">IF(AND(AL$3&gt;=Products!$G$5,AL$3&lt;(Products!$G$5+Products!$H$5)),Products!$B$5*Products!$C$5*Products!$I$5*(1+Inputs!$B$8)^AL$3/Products!$H$5,0)</f>
        <v>0</v>
      </c>
      <c r="AM32" s="0" t="n">
        <f aca="false">IF(AND(AM$3&gt;=Products!$G$5,AM$3&lt;(Products!$G$5+Products!$H$5)),Products!$B$5*Products!$C$5*Products!$I$5*(1+Inputs!$B$8)^AM$3/Products!$H$5,0)</f>
        <v>0</v>
      </c>
      <c r="AN32" s="0" t="n">
        <f aca="false">IF(AND(AN$3&gt;=Products!$G$5,AN$3&lt;(Products!$G$5+Products!$H$5)),Products!$B$5*Products!$C$5*Products!$I$5*(1+Inputs!$B$8)^AN$3/Products!$H$5,0)</f>
        <v>0</v>
      </c>
      <c r="AO32" s="0" t="n">
        <f aca="false">IF(AND(AO$3&gt;=Products!$G$5,AO$3&lt;(Products!$G$5+Products!$H$5)),Products!$B$5*Products!$C$5*Products!$I$5*(1+Inputs!$B$8)^AO$3/Products!$H$5,0)</f>
        <v>0</v>
      </c>
      <c r="AP32" s="0" t="n">
        <f aca="false">IF(AND(AP$3&gt;=Products!$G$5,AP$3&lt;(Products!$G$5+Products!$H$5)),Products!$B$5*Products!$C$5*Products!$I$5*(1+Inputs!$B$8)^AP$3/Products!$H$5,0)</f>
        <v>0</v>
      </c>
    </row>
    <row r="33" customFormat="false" ht="15" hidden="false" customHeight="false" outlineLevel="0" collapsed="false">
      <c r="A33" s="0" t="s">
        <v>56</v>
      </c>
      <c r="B33" s="0" t="n">
        <f aca="false">B10+B17+B24+B31</f>
        <v>0</v>
      </c>
      <c r="C33" s="0" t="n">
        <f aca="false">C10+C17+C24+C31</f>
        <v>48096000</v>
      </c>
      <c r="D33" s="0" t="n">
        <f aca="false">D10+D17+D24+D31</f>
        <v>82330411.4285714</v>
      </c>
      <c r="E33" s="0" t="n">
        <f aca="false">E10+E17+E24+E31</f>
        <v>105600449.314286</v>
      </c>
      <c r="F33" s="0" t="n">
        <f aca="false">F10+F17+F24+F31</f>
        <v>129801288.715429</v>
      </c>
      <c r="G33" s="0" t="n">
        <f aca="false">G10+G17+G24+G31</f>
        <v>154970161.692617</v>
      </c>
      <c r="H33" s="0" t="n">
        <f aca="false">H10+H17+H24+H31</f>
        <v>186185789.588893</v>
      </c>
      <c r="I33" s="0" t="n">
        <f aca="false">I10+I17+I24+I31</f>
        <v>215140042.60102</v>
      </c>
      <c r="J33" s="0" t="n">
        <f aca="false">J10+J17+J24+J31</f>
        <v>245252465.733633</v>
      </c>
      <c r="K33" s="0" t="n">
        <f aca="false">K10+K17+K24+K31</f>
        <v>276569385.791549</v>
      </c>
      <c r="L33" s="0" t="n">
        <f aca="false">L10+L17+L24+L31</f>
        <v>309138982.651783</v>
      </c>
      <c r="M33" s="0" t="n">
        <f aca="false">M10+M17+M24+M31</f>
        <v>343011363.386426</v>
      </c>
      <c r="N33" s="0" t="n">
        <f aca="false">N10+N17+N24+N31</f>
        <v>631810672.251511</v>
      </c>
      <c r="O33" s="0" t="n">
        <f aca="false">O10+O17+O24+O31</f>
        <v>442800887.669086</v>
      </c>
      <c r="P33" s="0" t="n">
        <f aca="false">P10+P17+P24+P31</f>
        <v>758593441.798281</v>
      </c>
      <c r="Q33" s="0" t="n">
        <f aca="false">Q10+Q17+Q24+Q31</f>
        <v>548990303.704924</v>
      </c>
      <c r="R33" s="0" t="n">
        <f aca="false">R10+R17+R24+R31</f>
        <v>626442342.829542</v>
      </c>
      <c r="S33" s="0" t="n">
        <f aca="false">S10+S17+S24+S31</f>
        <v>641541252.423445</v>
      </c>
      <c r="T33" s="0" t="n">
        <f aca="false">T10+T17+T24+T31</f>
        <v>688709723.948954</v>
      </c>
      <c r="U33" s="0" t="n">
        <f aca="false">U10+U17+U24+U31</f>
        <v>737764934.335484</v>
      </c>
      <c r="V33" s="0" t="n">
        <f aca="false">V10+V17+V24+V31</f>
        <v>765718432.10989</v>
      </c>
      <c r="W33" s="0" t="n">
        <f aca="false">W10+W17+W24+W31</f>
        <v>609512801.095436</v>
      </c>
      <c r="X33" s="0" t="n">
        <f aca="false">X10+X17+X24+X31</f>
        <v>609512801.095436</v>
      </c>
      <c r="Y33" s="0" t="n">
        <f aca="false">Y10+Y17+Y24+Y31</f>
        <v>609512801.095436</v>
      </c>
      <c r="Z33" s="0" t="n">
        <f aca="false">Z10+Z17+Z24+Z31</f>
        <v>609512801.095436</v>
      </c>
      <c r="AA33" s="0" t="n">
        <f aca="false">AA10+AA17+AA24+AA31</f>
        <v>609512801.095436</v>
      </c>
      <c r="AB33" s="0" t="n">
        <f aca="false">AB10+AB17+AB24+AB31</f>
        <v>609512801.095436</v>
      </c>
      <c r="AC33" s="0" t="n">
        <f aca="false">AC10+AC17+AC24+AC31</f>
        <v>609512801.095436</v>
      </c>
      <c r="AD33" s="0" t="n">
        <f aca="false">AD10+AD17+AD24+AD31</f>
        <v>609512801.095436</v>
      </c>
      <c r="AE33" s="0" t="n">
        <f aca="false">AE10+AE17+AE24+AE31</f>
        <v>609512801.095436</v>
      </c>
      <c r="AF33" s="0" t="n">
        <f aca="false">AF10+AF17+AF24+AF31</f>
        <v>594912229.666865</v>
      </c>
      <c r="AG33" s="0" t="n">
        <f aca="false">AG10+AG17+AG24+AG31</f>
        <v>574351385.38115</v>
      </c>
      <c r="AH33" s="0" t="n">
        <f aca="false">AH10+AH17+AH24+AH31</f>
        <v>552968107.324008</v>
      </c>
      <c r="AI33" s="0" t="n">
        <f aca="false">AI10+AI17+AI24+AI31</f>
        <v>530729498.144579</v>
      </c>
      <c r="AJ33" s="0" t="n">
        <f aca="false">AJ10+AJ17+AJ24+AJ31</f>
        <v>507601344.597973</v>
      </c>
      <c r="AK33" s="0" t="n">
        <f aca="false">AK10+AK17+AK24+AK31</f>
        <v>482018064.909503</v>
      </c>
      <c r="AL33" s="0" t="n">
        <f aca="false">AL10+AL17+AL24+AL31</f>
        <v>455411454.033495</v>
      </c>
      <c r="AM33" s="0" t="n">
        <f aca="false">AM10+AM17+AM24+AM31</f>
        <v>427740578.722446</v>
      </c>
      <c r="AN33" s="0" t="n">
        <f aca="false">AN10+AN17+AN24+AN31</f>
        <v>398962868.398955</v>
      </c>
      <c r="AO33" s="0" t="n">
        <f aca="false">AO10+AO17+AO24+AO31</f>
        <v>369034049.662524</v>
      </c>
      <c r="AP33" s="0" t="n">
        <f aca="false">AP10+AP17+AP24+AP31</f>
        <v>337908078.176636</v>
      </c>
    </row>
    <row r="34" customFormat="false" ht="15" hidden="false" customHeight="false" outlineLevel="0" collapsed="false">
      <c r="A34" s="0" t="s">
        <v>57</v>
      </c>
      <c r="B34" s="0" t="n">
        <f aca="false">B7+B14+B21+B28</f>
        <v>0</v>
      </c>
      <c r="C34" s="0" t="n">
        <f aca="false">C7+C14+C21+C28</f>
        <v>480960000</v>
      </c>
      <c r="D34" s="0" t="n">
        <f aca="false">D7+D14+D21+D28</f>
        <v>677298400</v>
      </c>
      <c r="E34" s="0" t="n">
        <f aca="false">E7+E14+E21+E28</f>
        <v>704390336</v>
      </c>
      <c r="F34" s="0" t="n">
        <f aca="false">F7+F14+F21+F28</f>
        <v>732565949.44</v>
      </c>
      <c r="G34" s="0" t="n">
        <f aca="false">G7+G14+G21+G28</f>
        <v>761868587.4176</v>
      </c>
      <c r="H34" s="0" t="n">
        <f aca="false">H7+H14+H21+H28</f>
        <v>842743330.914304</v>
      </c>
      <c r="I34" s="0" t="n">
        <f aca="false">I7+I14+I21+I28</f>
        <v>876453064.150876</v>
      </c>
      <c r="J34" s="0" t="n">
        <f aca="false">J7+J14+J21+J28</f>
        <v>911511186.716911</v>
      </c>
      <c r="K34" s="0" t="n">
        <f aca="false">K7+K14+K21+K28</f>
        <v>947971634.185588</v>
      </c>
      <c r="L34" s="0" t="n">
        <f aca="false">L7+L14+L21+L28</f>
        <v>985890499.553011</v>
      </c>
      <c r="M34" s="0" t="n">
        <f aca="false">M7+M14+M21+M28</f>
        <v>1025326119.53513</v>
      </c>
      <c r="N34" s="0" t="n">
        <f aca="false">N7+N14+N21+N28</f>
        <v>1066339164.31654</v>
      </c>
      <c r="O34" s="0" t="n">
        <f aca="false">O7+O14+O21+O28</f>
        <v>1108992730.8892</v>
      </c>
      <c r="P34" s="0" t="n">
        <f aca="false">P7+P14+P21+P28</f>
        <v>1153352440.12477</v>
      </c>
      <c r="Q34" s="0" t="n">
        <f aca="false">Q7+Q14+Q21+Q28</f>
        <v>1199486537.72976</v>
      </c>
      <c r="R34" s="0" t="n">
        <f aca="false">R7+R14+R21+R28</f>
        <v>1247465999.23895</v>
      </c>
      <c r="S34" s="0" t="n">
        <f aca="false">S7+S14+S21+S28</f>
        <v>1297364639.20851</v>
      </c>
      <c r="T34" s="0" t="n">
        <f aca="false">T7+T14+T21+T28</f>
        <v>1349259224.77685</v>
      </c>
      <c r="U34" s="0" t="n">
        <f aca="false">U7+U14+U21+U28</f>
        <v>1403229593.76792</v>
      </c>
      <c r="V34" s="0" t="n">
        <f aca="false">V7+V14+V21+V28</f>
        <v>1305599304.00141</v>
      </c>
      <c r="W34" s="0" t="n">
        <f aca="false">W7+W14+W21+W28</f>
        <v>0</v>
      </c>
      <c r="X34" s="0" t="n">
        <f aca="false">X7+X14+X21+X28</f>
        <v>0</v>
      </c>
      <c r="Y34" s="0" t="n">
        <f aca="false">Y7+Y14+Y21+Y28</f>
        <v>0</v>
      </c>
      <c r="Z34" s="0" t="n">
        <f aca="false">Z7+Z14+Z21+Z28</f>
        <v>0</v>
      </c>
      <c r="AA34" s="0" t="n">
        <f aca="false">AA7+AA14+AA21+AA28</f>
        <v>0</v>
      </c>
      <c r="AB34" s="0" t="n">
        <f aca="false">AB7+AB14+AB21+AB28</f>
        <v>0</v>
      </c>
      <c r="AC34" s="0" t="n">
        <f aca="false">AC7+AC14+AC21+AC28</f>
        <v>0</v>
      </c>
      <c r="AD34" s="0" t="n">
        <f aca="false">AD7+AD14+AD21+AD28</f>
        <v>0</v>
      </c>
      <c r="AE34" s="0" t="n">
        <f aca="false">AE7+AE14+AE21+AE28</f>
        <v>0</v>
      </c>
      <c r="AF34" s="0" t="n">
        <f aca="false">AF7+AF14+AF21+AF28</f>
        <v>0</v>
      </c>
      <c r="AG34" s="0" t="n">
        <f aca="false">AG7+AG14+AG21+AG28</f>
        <v>0</v>
      </c>
      <c r="AH34" s="0" t="n">
        <f aca="false">AH7+AH14+AH21+AH28</f>
        <v>0</v>
      </c>
      <c r="AI34" s="0" t="n">
        <f aca="false">AI7+AI14+AI21+AI28</f>
        <v>0</v>
      </c>
      <c r="AJ34" s="0" t="n">
        <f aca="false">AJ7+AJ14+AJ21+AJ28</f>
        <v>0</v>
      </c>
      <c r="AK34" s="0" t="n">
        <f aca="false">AK7+AK14+AK21+AK28</f>
        <v>0</v>
      </c>
      <c r="AL34" s="0" t="n">
        <f aca="false">AL7+AL14+AL21+AL28</f>
        <v>0</v>
      </c>
      <c r="AM34" s="0" t="n">
        <f aca="false">AM7+AM14+AM21+AM28</f>
        <v>0</v>
      </c>
      <c r="AN34" s="0" t="n">
        <f aca="false">AN7+AN14+AN21+AN28</f>
        <v>0</v>
      </c>
      <c r="AO34" s="0" t="n">
        <f aca="false">AO7+AO14+AO21+AO28</f>
        <v>0</v>
      </c>
      <c r="AP34" s="0" t="n">
        <f aca="false">AP7+AP14+AP21+AP28</f>
        <v>0</v>
      </c>
    </row>
    <row r="35" customFormat="false" ht="15" hidden="false" customHeight="false" outlineLevel="0" collapsed="false">
      <c r="A35" s="0" t="s">
        <v>58</v>
      </c>
      <c r="B35" s="0" t="n">
        <f aca="false">B11+B18+B25+B32</f>
        <v>0</v>
      </c>
      <c r="C35" s="0" t="n">
        <f aca="false">C11+C18+C25+C32</f>
        <v>0</v>
      </c>
      <c r="D35" s="0" t="n">
        <f aca="false">D11+D18+D25+D32</f>
        <v>320789038.5</v>
      </c>
      <c r="E35" s="0" t="n">
        <f aca="false">E11+E18+E25+E32</f>
        <v>471986127.0225</v>
      </c>
      <c r="F35" s="0" t="n">
        <f aca="false">F11+F18+F25+F32</f>
        <v>488505641.468287</v>
      </c>
      <c r="G35" s="0" t="n">
        <f aca="false">G11+G18+G25+G32</f>
        <v>505603338.919677</v>
      </c>
      <c r="H35" s="0" t="n">
        <f aca="false">H11+H18+H25+H32</f>
        <v>523299455.781866</v>
      </c>
      <c r="I35" s="0" t="n">
        <f aca="false">I11+I18+I25+I32</f>
        <v>541614936.734231</v>
      </c>
      <c r="J35" s="0" t="n">
        <f aca="false">J11+J18+J25+J32</f>
        <v>596125303.517941</v>
      </c>
      <c r="K35" s="0" t="n">
        <f aca="false">K11+K18+K25+K32</f>
        <v>616989689.141069</v>
      </c>
      <c r="L35" s="0" t="n">
        <f aca="false">L11+L18+L25+L32</f>
        <v>638584328.261007</v>
      </c>
      <c r="M35" s="0" t="n">
        <f aca="false">M11+M18+M25+M32</f>
        <v>660934779.750142</v>
      </c>
      <c r="N35" s="0" t="n">
        <f aca="false">N11+N18+N25+N32</f>
        <v>310524609.084677</v>
      </c>
      <c r="O35" s="0" t="n">
        <f aca="false">O11+O18+O25+O32</f>
        <v>321392970.402641</v>
      </c>
      <c r="P35" s="0" t="n">
        <f aca="false">P11+P18+P25+P32</f>
        <v>43704752.1065781</v>
      </c>
      <c r="Q35" s="0" t="n">
        <f aca="false">Q11+Q18+Q25+Q32</f>
        <v>45234418.4303083</v>
      </c>
      <c r="R35" s="0" t="n">
        <f aca="false">R11+R18+R25+R32</f>
        <v>0</v>
      </c>
      <c r="S35" s="0" t="n">
        <f aca="false">S11+S18+S25+S32</f>
        <v>0</v>
      </c>
      <c r="T35" s="0" t="n">
        <f aca="false">T11+T18+T25+T32</f>
        <v>0</v>
      </c>
      <c r="U35" s="0" t="n">
        <f aca="false">U11+U18+U25+U32</f>
        <v>0</v>
      </c>
      <c r="V35" s="0" t="n">
        <f aca="false">V11+V18+V25+V32</f>
        <v>0</v>
      </c>
      <c r="W35" s="0" t="n">
        <f aca="false">W11+W18+W25+W32</f>
        <v>0</v>
      </c>
      <c r="X35" s="0" t="n">
        <f aca="false">X11+X18+X25+X32</f>
        <v>0</v>
      </c>
      <c r="Y35" s="0" t="n">
        <f aca="false">Y11+Y18+Y25+Y32</f>
        <v>0</v>
      </c>
      <c r="Z35" s="0" t="n">
        <f aca="false">Z11+Z18+Z25+Z32</f>
        <v>0</v>
      </c>
      <c r="AA35" s="0" t="n">
        <f aca="false">AA11+AA18+AA25+AA32</f>
        <v>0</v>
      </c>
      <c r="AB35" s="0" t="n">
        <f aca="false">AB11+AB18+AB25+AB32</f>
        <v>0</v>
      </c>
      <c r="AC35" s="0" t="n">
        <f aca="false">AC11+AC18+AC25+AC32</f>
        <v>0</v>
      </c>
      <c r="AD35" s="0" t="n">
        <f aca="false">AD11+AD18+AD25+AD32</f>
        <v>0</v>
      </c>
      <c r="AE35" s="0" t="n">
        <f aca="false">AE11+AE18+AE25+AE32</f>
        <v>0</v>
      </c>
      <c r="AF35" s="0" t="n">
        <f aca="false">AF11+AF18+AF25+AF32</f>
        <v>0</v>
      </c>
      <c r="AG35" s="0" t="n">
        <f aca="false">AG11+AG18+AG25+AG32</f>
        <v>0</v>
      </c>
      <c r="AH35" s="0" t="n">
        <f aca="false">AH11+AH18+AH25+AH32</f>
        <v>0</v>
      </c>
      <c r="AI35" s="0" t="n">
        <f aca="false">AI11+AI18+AI25+AI32</f>
        <v>0</v>
      </c>
      <c r="AJ35" s="0" t="n">
        <f aca="false">AJ11+AJ18+AJ25+AJ32</f>
        <v>0</v>
      </c>
      <c r="AK35" s="0" t="n">
        <f aca="false">AK11+AK18+AK25+AK32</f>
        <v>0</v>
      </c>
      <c r="AL35" s="0" t="n">
        <f aca="false">AL11+AL18+AL25+AL32</f>
        <v>0</v>
      </c>
      <c r="AM35" s="0" t="n">
        <f aca="false">AM11+AM18+AM25+AM32</f>
        <v>0</v>
      </c>
      <c r="AN35" s="0" t="n">
        <f aca="false">AN11+AN18+AN25+AN32</f>
        <v>0</v>
      </c>
      <c r="AO35" s="0" t="n">
        <f aca="false">AO11+AO18+AO25+AO32</f>
        <v>0</v>
      </c>
      <c r="AP35" s="0" t="n">
        <f aca="false">AP11+AP18+AP25+AP32</f>
        <v>0</v>
      </c>
    </row>
    <row r="36" customFormat="false" ht="15" hidden="false" customHeight="false" outlineLevel="0" collapsed="false">
      <c r="A36" s="0" t="s">
        <v>59</v>
      </c>
      <c r="B36" s="0" t="n">
        <f aca="false">B34*Inputs!$B$9</f>
        <v>0</v>
      </c>
      <c r="C36" s="0" t="n">
        <f aca="false">C34*Inputs!$B$9</f>
        <v>14428800</v>
      </c>
      <c r="D36" s="0" t="n">
        <f aca="false">D34*Inputs!$B$9</f>
        <v>20318952</v>
      </c>
      <c r="E36" s="0" t="n">
        <f aca="false">E34*Inputs!$B$9</f>
        <v>21131710.08</v>
      </c>
      <c r="F36" s="0" t="n">
        <f aca="false">F34*Inputs!$B$9</f>
        <v>21976978.4832</v>
      </c>
      <c r="G36" s="0" t="n">
        <f aca="false">G34*Inputs!$B$9</f>
        <v>22856057.622528</v>
      </c>
      <c r="H36" s="0" t="n">
        <f aca="false">H34*Inputs!$B$9</f>
        <v>25282299.9274291</v>
      </c>
      <c r="I36" s="0" t="n">
        <f aca="false">I34*Inputs!$B$9</f>
        <v>26293591.9245263</v>
      </c>
      <c r="J36" s="0" t="n">
        <f aca="false">J34*Inputs!$B$9</f>
        <v>27345335.6015073</v>
      </c>
      <c r="K36" s="0" t="n">
        <f aca="false">K34*Inputs!$B$9</f>
        <v>28439149.0255676</v>
      </c>
      <c r="L36" s="0" t="n">
        <f aca="false">L34*Inputs!$B$9</f>
        <v>29576714.9865903</v>
      </c>
      <c r="M36" s="0" t="n">
        <f aca="false">M34*Inputs!$B$9</f>
        <v>30759783.586054</v>
      </c>
      <c r="N36" s="0" t="n">
        <f aca="false">N34*Inputs!$B$9</f>
        <v>31990174.9294961</v>
      </c>
      <c r="O36" s="0" t="n">
        <f aca="false">O34*Inputs!$B$9</f>
        <v>33269781.926676</v>
      </c>
      <c r="P36" s="0" t="n">
        <f aca="false">P34*Inputs!$B$9</f>
        <v>34600573.203743</v>
      </c>
      <c r="Q36" s="0" t="n">
        <f aca="false">Q34*Inputs!$B$9</f>
        <v>35984596.1318927</v>
      </c>
      <c r="R36" s="0" t="n">
        <f aca="false">R34*Inputs!$B$9</f>
        <v>37423979.9771684</v>
      </c>
      <c r="S36" s="0" t="n">
        <f aca="false">S34*Inputs!$B$9</f>
        <v>38920939.1762552</v>
      </c>
      <c r="T36" s="0" t="n">
        <f aca="false">T34*Inputs!$B$9</f>
        <v>40477776.7433054</v>
      </c>
      <c r="U36" s="0" t="n">
        <f aca="false">U34*Inputs!$B$9</f>
        <v>42096887.8130376</v>
      </c>
      <c r="V36" s="0" t="n">
        <f aca="false">V34*Inputs!$B$9</f>
        <v>39167979.1200422</v>
      </c>
      <c r="W36" s="0" t="n">
        <f aca="false">W34*Inputs!$B$9</f>
        <v>0</v>
      </c>
      <c r="X36" s="0" t="n">
        <f aca="false">X34*Inputs!$B$9</f>
        <v>0</v>
      </c>
      <c r="Y36" s="0" t="n">
        <f aca="false">Y34*Inputs!$B$9</f>
        <v>0</v>
      </c>
      <c r="Z36" s="0" t="n">
        <f aca="false">Z34*Inputs!$B$9</f>
        <v>0</v>
      </c>
      <c r="AA36" s="0" t="n">
        <f aca="false">AA34*Inputs!$B$9</f>
        <v>0</v>
      </c>
      <c r="AB36" s="0" t="n">
        <f aca="false">AB34*Inputs!$B$9</f>
        <v>0</v>
      </c>
      <c r="AC36" s="0" t="n">
        <f aca="false">AC34*Inputs!$B$9</f>
        <v>0</v>
      </c>
      <c r="AD36" s="0" t="n">
        <f aca="false">AD34*Inputs!$B$9</f>
        <v>0</v>
      </c>
      <c r="AE36" s="0" t="n">
        <f aca="false">AE34*Inputs!$B$9</f>
        <v>0</v>
      </c>
      <c r="AF36" s="0" t="n">
        <f aca="false">AF34*Inputs!$B$9</f>
        <v>0</v>
      </c>
      <c r="AG36" s="0" t="n">
        <f aca="false">AG34*Inputs!$B$9</f>
        <v>0</v>
      </c>
      <c r="AH36" s="0" t="n">
        <f aca="false">AH34*Inputs!$B$9</f>
        <v>0</v>
      </c>
      <c r="AI36" s="0" t="n">
        <f aca="false">AI34*Inputs!$B$9</f>
        <v>0</v>
      </c>
      <c r="AJ36" s="0" t="n">
        <f aca="false">AJ34*Inputs!$B$9</f>
        <v>0</v>
      </c>
      <c r="AK36" s="0" t="n">
        <f aca="false">AK34*Inputs!$B$9</f>
        <v>0</v>
      </c>
      <c r="AL36" s="0" t="n">
        <f aca="false">AL34*Inputs!$B$9</f>
        <v>0</v>
      </c>
      <c r="AM36" s="0" t="n">
        <f aca="false">AM34*Inputs!$B$9</f>
        <v>0</v>
      </c>
      <c r="AN36" s="0" t="n">
        <f aca="false">AN34*Inputs!$B$9</f>
        <v>0</v>
      </c>
      <c r="AO36" s="0" t="n">
        <f aca="false">AO34*Inputs!$B$9</f>
        <v>0</v>
      </c>
      <c r="AP36" s="0" t="n">
        <f aca="false">AP34*Inputs!$B$9</f>
        <v>0</v>
      </c>
    </row>
    <row r="37" customFormat="false" ht="15" hidden="false" customHeight="false" outlineLevel="0" collapsed="false">
      <c r="A37" s="0" t="s">
        <v>60</v>
      </c>
      <c r="B37" s="0" t="n">
        <f aca="false">IF(B$3=0,Inputs!$B$10*Inputs!$B$11,IF(AND(MOD(B$3,2)=0,B$3&lt;=2*Inputs!$B$12),Inputs!$B$10*(1-Inputs!$B$11)/Inputs!$B$12,0))</f>
        <v>480000000</v>
      </c>
      <c r="C37" s="0" t="n">
        <f aca="false">IF(C$3=0,Inputs!$B$10*Inputs!$B$11,IF(AND(MOD(C$3,2)=0,C$3&lt;=2*Inputs!$B$12),Inputs!$B$10*(1-Inputs!$B$11)/Inputs!$B$12,0))</f>
        <v>0</v>
      </c>
      <c r="D37" s="0" t="n">
        <f aca="false">IF(D$3=0,Inputs!$B$10*Inputs!$B$11,IF(AND(MOD(D$3,2)=0,D$3&lt;=2*Inputs!$B$12),Inputs!$B$10*(1-Inputs!$B$11)/Inputs!$B$12,0))</f>
        <v>240000000</v>
      </c>
      <c r="E37" s="0" t="n">
        <f aca="false">IF(E$3=0,Inputs!$B$10*Inputs!$B$11,IF(AND(MOD(E$3,2)=0,E$3&lt;=2*Inputs!$B$12),Inputs!$B$10*(1-Inputs!$B$11)/Inputs!$B$12,0))</f>
        <v>0</v>
      </c>
      <c r="F37" s="0" t="n">
        <f aca="false">IF(F$3=0,Inputs!$B$10*Inputs!$B$11,IF(AND(MOD(F$3,2)=0,F$3&lt;=2*Inputs!$B$12),Inputs!$B$10*(1-Inputs!$B$11)/Inputs!$B$12,0))</f>
        <v>240000000</v>
      </c>
      <c r="G37" s="0" t="n">
        <f aca="false">IF(G$3=0,Inputs!$B$10*Inputs!$B$11,IF(AND(MOD(G$3,2)=0,G$3&lt;=2*Inputs!$B$12),Inputs!$B$10*(1-Inputs!$B$11)/Inputs!$B$12,0))</f>
        <v>0</v>
      </c>
      <c r="H37" s="0" t="n">
        <f aca="false">IF(H$3=0,Inputs!$B$10*Inputs!$B$11,IF(AND(MOD(H$3,2)=0,H$3&lt;=2*Inputs!$B$12),Inputs!$B$10*(1-Inputs!$B$11)/Inputs!$B$12,0))</f>
        <v>240000000</v>
      </c>
      <c r="I37" s="0" t="n">
        <f aca="false">IF(I$3=0,Inputs!$B$10*Inputs!$B$11,IF(AND(MOD(I$3,2)=0,I$3&lt;=2*Inputs!$B$12),Inputs!$B$10*(1-Inputs!$B$11)/Inputs!$B$12,0))</f>
        <v>0</v>
      </c>
      <c r="J37" s="0" t="n">
        <f aca="false">IF(J$3=0,Inputs!$B$10*Inputs!$B$11,IF(AND(MOD(J$3,2)=0,J$3&lt;=2*Inputs!$B$12),Inputs!$B$10*(1-Inputs!$B$11)/Inputs!$B$12,0))</f>
        <v>240000000</v>
      </c>
      <c r="K37" s="0" t="n">
        <f aca="false">IF(K$3=0,Inputs!$B$10*Inputs!$B$11,IF(AND(MOD(K$3,2)=0,K$3&lt;=2*Inputs!$B$12),Inputs!$B$10*(1-Inputs!$B$11)/Inputs!$B$12,0))</f>
        <v>0</v>
      </c>
      <c r="L37" s="0" t="n">
        <f aca="false">IF(L$3=0,Inputs!$B$10*Inputs!$B$11,IF(AND(MOD(L$3,2)=0,L$3&lt;=2*Inputs!$B$12),Inputs!$B$10*(1-Inputs!$B$11)/Inputs!$B$12,0))</f>
        <v>240000000</v>
      </c>
      <c r="M37" s="0" t="n">
        <f aca="false">IF(M$3=0,Inputs!$B$10*Inputs!$B$11,IF(AND(MOD(M$3,2)=0,M$3&lt;=2*Inputs!$B$12),Inputs!$B$10*(1-Inputs!$B$11)/Inputs!$B$12,0))</f>
        <v>0</v>
      </c>
      <c r="N37" s="0" t="n">
        <f aca="false">IF(N$3=0,Inputs!$B$10*Inputs!$B$11,IF(AND(MOD(N$3,2)=0,N$3&lt;=2*Inputs!$B$12),Inputs!$B$10*(1-Inputs!$B$11)/Inputs!$B$12,0))</f>
        <v>240000000</v>
      </c>
      <c r="O37" s="0" t="n">
        <f aca="false">IF(O$3=0,Inputs!$B$10*Inputs!$B$11,IF(AND(MOD(O$3,2)=0,O$3&lt;=2*Inputs!$B$12),Inputs!$B$10*(1-Inputs!$B$11)/Inputs!$B$12,0))</f>
        <v>0</v>
      </c>
      <c r="P37" s="0" t="n">
        <f aca="false">IF(P$3=0,Inputs!$B$10*Inputs!$B$11,IF(AND(MOD(P$3,2)=0,P$3&lt;=2*Inputs!$B$12),Inputs!$B$10*(1-Inputs!$B$11)/Inputs!$B$12,0))</f>
        <v>240000000</v>
      </c>
      <c r="Q37" s="0" t="n">
        <f aca="false">IF(Q$3=0,Inputs!$B$10*Inputs!$B$11,IF(AND(MOD(Q$3,2)=0,Q$3&lt;=2*Inputs!$B$12),Inputs!$B$10*(1-Inputs!$B$11)/Inputs!$B$12,0))</f>
        <v>0</v>
      </c>
      <c r="R37" s="0" t="n">
        <f aca="false">IF(R$3=0,Inputs!$B$10*Inputs!$B$11,IF(AND(MOD(R$3,2)=0,R$3&lt;=2*Inputs!$B$12),Inputs!$B$10*(1-Inputs!$B$11)/Inputs!$B$12,0))</f>
        <v>240000000</v>
      </c>
      <c r="S37" s="0" t="n">
        <f aca="false">IF(S$3=0,Inputs!$B$10*Inputs!$B$11,IF(AND(MOD(S$3,2)=0,S$3&lt;=2*Inputs!$B$12),Inputs!$B$10*(1-Inputs!$B$11)/Inputs!$B$12,0))</f>
        <v>0</v>
      </c>
      <c r="T37" s="0" t="n">
        <f aca="false">IF(T$3=0,Inputs!$B$10*Inputs!$B$11,IF(AND(MOD(T$3,2)=0,T$3&lt;=2*Inputs!$B$12),Inputs!$B$10*(1-Inputs!$B$11)/Inputs!$B$12,0))</f>
        <v>0</v>
      </c>
      <c r="U37" s="0" t="n">
        <f aca="false">IF(U$3=0,Inputs!$B$10*Inputs!$B$11,IF(AND(MOD(U$3,2)=0,U$3&lt;=2*Inputs!$B$12),Inputs!$B$10*(1-Inputs!$B$11)/Inputs!$B$12,0))</f>
        <v>0</v>
      </c>
      <c r="V37" s="0" t="n">
        <f aca="false">IF(V$3=0,Inputs!$B$10*Inputs!$B$11,IF(AND(MOD(V$3,2)=0,V$3&lt;=2*Inputs!$B$12),Inputs!$B$10*(1-Inputs!$B$11)/Inputs!$B$12,0))</f>
        <v>0</v>
      </c>
      <c r="W37" s="0" t="n">
        <f aca="false">IF(W$3=0,Inputs!$B$10*Inputs!$B$11,IF(AND(MOD(W$3,2)=0,W$3&lt;=2*Inputs!$B$12),Inputs!$B$10*(1-Inputs!$B$11)/Inputs!$B$12,0))</f>
        <v>0</v>
      </c>
      <c r="X37" s="0" t="n">
        <f aca="false">IF(X$3=0,Inputs!$B$10*Inputs!$B$11,IF(AND(MOD(X$3,2)=0,X$3&lt;=2*Inputs!$B$12),Inputs!$B$10*(1-Inputs!$B$11)/Inputs!$B$12,0))</f>
        <v>0</v>
      </c>
      <c r="Y37" s="0" t="n">
        <f aca="false">IF(Y$3=0,Inputs!$B$10*Inputs!$B$11,IF(AND(MOD(Y$3,2)=0,Y$3&lt;=2*Inputs!$B$12),Inputs!$B$10*(1-Inputs!$B$11)/Inputs!$B$12,0))</f>
        <v>0</v>
      </c>
      <c r="Z37" s="0" t="n">
        <f aca="false">IF(Z$3=0,Inputs!$B$10*Inputs!$B$11,IF(AND(MOD(Z$3,2)=0,Z$3&lt;=2*Inputs!$B$12),Inputs!$B$10*(1-Inputs!$B$11)/Inputs!$B$12,0))</f>
        <v>0</v>
      </c>
      <c r="AA37" s="0" t="n">
        <f aca="false">IF(AA$3=0,Inputs!$B$10*Inputs!$B$11,IF(AND(MOD(AA$3,2)=0,AA$3&lt;=2*Inputs!$B$12),Inputs!$B$10*(1-Inputs!$B$11)/Inputs!$B$12,0))</f>
        <v>0</v>
      </c>
      <c r="AB37" s="0" t="n">
        <f aca="false">IF(AB$3=0,Inputs!$B$10*Inputs!$B$11,IF(AND(MOD(AB$3,2)=0,AB$3&lt;=2*Inputs!$B$12),Inputs!$B$10*(1-Inputs!$B$11)/Inputs!$B$12,0))</f>
        <v>0</v>
      </c>
      <c r="AC37" s="0" t="n">
        <f aca="false">IF(AC$3=0,Inputs!$B$10*Inputs!$B$11,IF(AND(MOD(AC$3,2)=0,AC$3&lt;=2*Inputs!$B$12),Inputs!$B$10*(1-Inputs!$B$11)/Inputs!$B$12,0))</f>
        <v>0</v>
      </c>
      <c r="AD37" s="0" t="n">
        <f aca="false">IF(AD$3=0,Inputs!$B$10*Inputs!$B$11,IF(AND(MOD(AD$3,2)=0,AD$3&lt;=2*Inputs!$B$12),Inputs!$B$10*(1-Inputs!$B$11)/Inputs!$B$12,0))</f>
        <v>0</v>
      </c>
      <c r="AE37" s="0" t="n">
        <f aca="false">IF(AE$3=0,Inputs!$B$10*Inputs!$B$11,IF(AND(MOD(AE$3,2)=0,AE$3&lt;=2*Inputs!$B$12),Inputs!$B$10*(1-Inputs!$B$11)/Inputs!$B$12,0))</f>
        <v>0</v>
      </c>
      <c r="AF37" s="0" t="n">
        <f aca="false">IF(AF$3=0,Inputs!$B$10*Inputs!$B$11,IF(AND(MOD(AF$3,2)=0,AF$3&lt;=2*Inputs!$B$12),Inputs!$B$10*(1-Inputs!$B$11)/Inputs!$B$12,0))</f>
        <v>0</v>
      </c>
      <c r="AG37" s="0" t="n">
        <f aca="false">IF(AG$3=0,Inputs!$B$10*Inputs!$B$11,IF(AND(MOD(AG$3,2)=0,AG$3&lt;=2*Inputs!$B$12),Inputs!$B$10*(1-Inputs!$B$11)/Inputs!$B$12,0))</f>
        <v>0</v>
      </c>
      <c r="AH37" s="0" t="n">
        <f aca="false">IF(AH$3=0,Inputs!$B$10*Inputs!$B$11,IF(AND(MOD(AH$3,2)=0,AH$3&lt;=2*Inputs!$B$12),Inputs!$B$10*(1-Inputs!$B$11)/Inputs!$B$12,0))</f>
        <v>0</v>
      </c>
      <c r="AI37" s="0" t="n">
        <f aca="false">IF(AI$3=0,Inputs!$B$10*Inputs!$B$11,IF(AND(MOD(AI$3,2)=0,AI$3&lt;=2*Inputs!$B$12),Inputs!$B$10*(1-Inputs!$B$11)/Inputs!$B$12,0))</f>
        <v>0</v>
      </c>
      <c r="AJ37" s="0" t="n">
        <f aca="false">IF(AJ$3=0,Inputs!$B$10*Inputs!$B$11,IF(AND(MOD(AJ$3,2)=0,AJ$3&lt;=2*Inputs!$B$12),Inputs!$B$10*(1-Inputs!$B$11)/Inputs!$B$12,0))</f>
        <v>0</v>
      </c>
      <c r="AK37" s="0" t="n">
        <f aca="false">IF(AK$3=0,Inputs!$B$10*Inputs!$B$11,IF(AND(MOD(AK$3,2)=0,AK$3&lt;=2*Inputs!$B$12),Inputs!$B$10*(1-Inputs!$B$11)/Inputs!$B$12,0))</f>
        <v>0</v>
      </c>
      <c r="AL37" s="0" t="n">
        <f aca="false">IF(AL$3=0,Inputs!$B$10*Inputs!$B$11,IF(AND(MOD(AL$3,2)=0,AL$3&lt;=2*Inputs!$B$12),Inputs!$B$10*(1-Inputs!$B$11)/Inputs!$B$12,0))</f>
        <v>0</v>
      </c>
      <c r="AM37" s="0" t="n">
        <f aca="false">IF(AM$3=0,Inputs!$B$10*Inputs!$B$11,IF(AND(MOD(AM$3,2)=0,AM$3&lt;=2*Inputs!$B$12),Inputs!$B$10*(1-Inputs!$B$11)/Inputs!$B$12,0))</f>
        <v>0</v>
      </c>
      <c r="AN37" s="0" t="n">
        <f aca="false">IF(AN$3=0,Inputs!$B$10*Inputs!$B$11,IF(AND(MOD(AN$3,2)=0,AN$3&lt;=2*Inputs!$B$12),Inputs!$B$10*(1-Inputs!$B$11)/Inputs!$B$12,0))</f>
        <v>0</v>
      </c>
      <c r="AO37" s="0" t="n">
        <f aca="false">IF(AO$3=0,Inputs!$B$10*Inputs!$B$11,IF(AND(MOD(AO$3,2)=0,AO$3&lt;=2*Inputs!$B$12),Inputs!$B$10*(1-Inputs!$B$11)/Inputs!$B$12,0))</f>
        <v>0</v>
      </c>
      <c r="AP37" s="0" t="n">
        <f aca="false">IF(AP$3=0,Inputs!$B$10*Inputs!$B$11,IF(AND(MOD(AP$3,2)=0,AP$3&lt;=2*Inputs!$B$12),Inputs!$B$10*(1-Inputs!$B$11)/Inputs!$B$12,0))</f>
        <v>0</v>
      </c>
    </row>
    <row r="38" customFormat="false" ht="15" hidden="false" customHeight="false" outlineLevel="0" collapsed="false">
      <c r="A38" s="0" t="s">
        <v>61</v>
      </c>
      <c r="B38" s="0" t="n">
        <f aca="false">B33-B35-B36-B37</f>
        <v>-480000000</v>
      </c>
      <c r="C38" s="0" t="n">
        <f aca="false">C33-C35-C36-C37</f>
        <v>33667200</v>
      </c>
      <c r="D38" s="0" t="n">
        <f aca="false">D33-D35-D36-D37</f>
        <v>-498777579.071429</v>
      </c>
      <c r="E38" s="0" t="n">
        <f aca="false">E33-E35-E36-E37</f>
        <v>-387517387.788214</v>
      </c>
      <c r="F38" s="0" t="n">
        <f aca="false">F33-F35-F36-F37</f>
        <v>-620681331.236059</v>
      </c>
      <c r="G38" s="0" t="n">
        <f aca="false">G33-G35-G36-G37</f>
        <v>-373489234.849588</v>
      </c>
      <c r="H38" s="0" t="n">
        <f aca="false">H33-H35-H36-H37</f>
        <v>-602395966.120402</v>
      </c>
      <c r="I38" s="0" t="n">
        <f aca="false">I33-I35-I36-I37</f>
        <v>-352768486.057737</v>
      </c>
      <c r="J38" s="0" t="n">
        <f aca="false">J33-J35-J36-J37</f>
        <v>-618218173.385816</v>
      </c>
      <c r="K38" s="0" t="n">
        <f aca="false">K33-K35-K36-K37</f>
        <v>-368859452.375087</v>
      </c>
      <c r="L38" s="0" t="n">
        <f aca="false">L33-L35-L36-L37</f>
        <v>-599022060.595814</v>
      </c>
      <c r="M38" s="0" t="n">
        <f aca="false">M33-M35-M36-M37</f>
        <v>-348683199.94977</v>
      </c>
      <c r="N38" s="0" t="n">
        <f aca="false">N33-N35-N36-N37</f>
        <v>49295888.2373375</v>
      </c>
      <c r="O38" s="0" t="n">
        <f aca="false">O33-O35-O36-O37</f>
        <v>88138135.3397693</v>
      </c>
      <c r="P38" s="0" t="n">
        <f aca="false">P33-P35-P36-P37</f>
        <v>440288116.48796</v>
      </c>
      <c r="Q38" s="0" t="n">
        <f aca="false">Q33-Q35-Q36-Q37</f>
        <v>467771289.142723</v>
      </c>
      <c r="R38" s="0" t="n">
        <f aca="false">R33-R35-R36-R37</f>
        <v>349018362.852373</v>
      </c>
      <c r="S38" s="0" t="n">
        <f aca="false">S33-S35-S36-S37</f>
        <v>602620313.24719</v>
      </c>
      <c r="T38" s="0" t="n">
        <f aca="false">T33-T35-T36-T37</f>
        <v>648231947.205649</v>
      </c>
      <c r="U38" s="0" t="n">
        <f aca="false">U33-U35-U36-U37</f>
        <v>695668046.522446</v>
      </c>
      <c r="V38" s="0" t="n">
        <f aca="false">V33-V35-V36-V37</f>
        <v>726550452.989848</v>
      </c>
      <c r="W38" s="0" t="n">
        <f aca="false">W33-W35-W36-W37</f>
        <v>609512801.095436</v>
      </c>
      <c r="X38" s="0" t="n">
        <f aca="false">X33-X35-X36-X37</f>
        <v>609512801.095436</v>
      </c>
      <c r="Y38" s="0" t="n">
        <f aca="false">Y33-Y35-Y36-Y37</f>
        <v>609512801.095436</v>
      </c>
      <c r="Z38" s="0" t="n">
        <f aca="false">Z33-Z35-Z36-Z37</f>
        <v>609512801.095436</v>
      </c>
      <c r="AA38" s="0" t="n">
        <f aca="false">AA33-AA35-AA36-AA37</f>
        <v>609512801.095436</v>
      </c>
      <c r="AB38" s="0" t="n">
        <f aca="false">AB33-AB35-AB36-AB37</f>
        <v>609512801.095436</v>
      </c>
      <c r="AC38" s="0" t="n">
        <f aca="false">AC33-AC35-AC36-AC37</f>
        <v>609512801.095436</v>
      </c>
      <c r="AD38" s="0" t="n">
        <f aca="false">AD33-AD35-AD36-AD37</f>
        <v>609512801.095436</v>
      </c>
      <c r="AE38" s="0" t="n">
        <f aca="false">AE33-AE35-AE36-AE37</f>
        <v>609512801.095436</v>
      </c>
      <c r="AF38" s="0" t="n">
        <f aca="false">AF33-AF35-AF36-AF37</f>
        <v>594912229.666865</v>
      </c>
      <c r="AG38" s="0" t="n">
        <f aca="false">AG33-AG35-AG36-AG37</f>
        <v>574351385.38115</v>
      </c>
      <c r="AH38" s="0" t="n">
        <f aca="false">AH33-AH35-AH36-AH37</f>
        <v>552968107.324008</v>
      </c>
      <c r="AI38" s="0" t="n">
        <f aca="false">AI33-AI35-AI36-AI37</f>
        <v>530729498.144579</v>
      </c>
      <c r="AJ38" s="0" t="n">
        <f aca="false">AJ33-AJ35-AJ36-AJ37</f>
        <v>507601344.597973</v>
      </c>
      <c r="AK38" s="0" t="n">
        <f aca="false">AK33-AK35-AK36-AK37</f>
        <v>482018064.909503</v>
      </c>
      <c r="AL38" s="0" t="n">
        <f aca="false">AL33-AL35-AL36-AL37</f>
        <v>455411454.033495</v>
      </c>
      <c r="AM38" s="0" t="n">
        <f aca="false">AM33-AM35-AM36-AM37</f>
        <v>427740578.722446</v>
      </c>
      <c r="AN38" s="0" t="n">
        <f aca="false">AN33-AN35-AN36-AN37</f>
        <v>398962868.398955</v>
      </c>
      <c r="AO38" s="0" t="n">
        <f aca="false">AO33-AO35-AO36-AO37</f>
        <v>369034049.662524</v>
      </c>
      <c r="AP38" s="0" t="n">
        <f aca="false">AP33-AP35-AP36-AP37</f>
        <v>337908078.176636</v>
      </c>
    </row>
    <row r="39" customFormat="false" ht="15" hidden="false" customHeight="false" outlineLevel="0" collapsed="false">
      <c r="A39" s="0" t="s">
        <v>62</v>
      </c>
      <c r="B39" s="0" t="n">
        <f aca="false">B38</f>
        <v>-480000000</v>
      </c>
      <c r="C39" s="0" t="n">
        <f aca="false">B39+C38</f>
        <v>-446332800</v>
      </c>
      <c r="D39" s="0" t="n">
        <f aca="false">C39+D38</f>
        <v>-945110379.071429</v>
      </c>
      <c r="E39" s="0" t="n">
        <f aca="false">D39+E38</f>
        <v>-1332627766.85964</v>
      </c>
      <c r="F39" s="0" t="n">
        <f aca="false">E39+F38</f>
        <v>-1953309098.0957</v>
      </c>
      <c r="G39" s="0" t="n">
        <f aca="false">F39+G38</f>
        <v>-2326798332.94529</v>
      </c>
      <c r="H39" s="0" t="n">
        <f aca="false">G39+H38</f>
        <v>-2929194299.06569</v>
      </c>
      <c r="I39" s="0" t="n">
        <f aca="false">H39+I38</f>
        <v>-3281962785.12343</v>
      </c>
      <c r="J39" s="0" t="n">
        <f aca="false">I39+J38</f>
        <v>-3900180958.50924</v>
      </c>
      <c r="K39" s="0" t="n">
        <f aca="false">J39+K38</f>
        <v>-4269040410.88433</v>
      </c>
      <c r="L39" s="0" t="n">
        <f aca="false">K39+L38</f>
        <v>-4868062471.48015</v>
      </c>
      <c r="M39" s="0" t="n">
        <f aca="false">L39+M38</f>
        <v>-5216745671.42992</v>
      </c>
      <c r="N39" s="0" t="n">
        <f aca="false">M39+N38</f>
        <v>-5167449783.19258</v>
      </c>
      <c r="O39" s="0" t="n">
        <f aca="false">N39+O38</f>
        <v>-5079311647.85281</v>
      </c>
      <c r="P39" s="0" t="n">
        <f aca="false">O39+P38</f>
        <v>-4639023531.36485</v>
      </c>
      <c r="Q39" s="0" t="n">
        <f aca="false">P39+Q38</f>
        <v>-4171252242.22213</v>
      </c>
      <c r="R39" s="0" t="n">
        <f aca="false">Q39+R38</f>
        <v>-3822233879.36975</v>
      </c>
      <c r="S39" s="0" t="n">
        <f aca="false">R39+S38</f>
        <v>-3219613566.12256</v>
      </c>
      <c r="T39" s="0" t="n">
        <f aca="false">S39+T38</f>
        <v>-2571381618.91691</v>
      </c>
      <c r="U39" s="0" t="n">
        <f aca="false">T39+U38</f>
        <v>-1875713572.39447</v>
      </c>
      <c r="V39" s="0" t="n">
        <f aca="false">U39+V38</f>
        <v>-1149163119.40462</v>
      </c>
      <c r="W39" s="0" t="n">
        <f aca="false">V39+W38</f>
        <v>-539650318.309184</v>
      </c>
      <c r="X39" s="0" t="n">
        <f aca="false">W39+X38</f>
        <v>69862482.7862518</v>
      </c>
      <c r="Y39" s="0" t="n">
        <f aca="false">X39+Y38</f>
        <v>679375283.881688</v>
      </c>
      <c r="Z39" s="0" t="n">
        <f aca="false">Y39+Z38</f>
        <v>1288888084.97712</v>
      </c>
      <c r="AA39" s="0" t="n">
        <f aca="false">Z39+AA38</f>
        <v>1898400886.07256</v>
      </c>
      <c r="AB39" s="0" t="n">
        <f aca="false">AA39+AB38</f>
        <v>2507913687.168</v>
      </c>
      <c r="AC39" s="0" t="n">
        <f aca="false">AB39+AC38</f>
        <v>3117426488.26343</v>
      </c>
      <c r="AD39" s="0" t="n">
        <f aca="false">AC39+AD38</f>
        <v>3726939289.35887</v>
      </c>
      <c r="AE39" s="0" t="n">
        <f aca="false">AD39+AE38</f>
        <v>4336452090.45431</v>
      </c>
      <c r="AF39" s="0" t="n">
        <f aca="false">AE39+AF38</f>
        <v>4931364320.12117</v>
      </c>
      <c r="AG39" s="0" t="n">
        <f aca="false">AF39+AG38</f>
        <v>5505715705.50232</v>
      </c>
      <c r="AH39" s="0" t="n">
        <f aca="false">AG39+AH38</f>
        <v>6058683812.82633</v>
      </c>
      <c r="AI39" s="0" t="n">
        <f aca="false">AH39+AI38</f>
        <v>6589413310.97091</v>
      </c>
      <c r="AJ39" s="0" t="n">
        <f aca="false">AI39+AJ38</f>
        <v>7097014655.56888</v>
      </c>
      <c r="AK39" s="0" t="n">
        <f aca="false">AJ39+AK38</f>
        <v>7579032720.47838</v>
      </c>
      <c r="AL39" s="0" t="n">
        <f aca="false">AK39+AL38</f>
        <v>8034444174.51188</v>
      </c>
      <c r="AM39" s="0" t="n">
        <f aca="false">AL39+AM38</f>
        <v>8462184753.23432</v>
      </c>
      <c r="AN39" s="0" t="n">
        <f aca="false">AM39+AN38</f>
        <v>8861147621.63328</v>
      </c>
      <c r="AO39" s="0" t="n">
        <f aca="false">AN39+AO38</f>
        <v>9230181671.2958</v>
      </c>
      <c r="AP39" s="0" t="n">
        <f aca="false">AO39+AP38</f>
        <v>9568089749.47244</v>
      </c>
    </row>
    <row r="40" customFormat="false" ht="15" hidden="false" customHeight="false" outlineLevel="0" collapsed="false">
      <c r="A40" s="0" t="s">
        <v>63</v>
      </c>
      <c r="B40" s="0" t="n">
        <f aca="false">MAX(0,B39)*Inputs!$B$14</f>
        <v>0</v>
      </c>
      <c r="C40" s="0" t="n">
        <f aca="false">MAX(0,C39)*Inputs!$B$14-MAX(0,B39)*Inputs!$B$14</f>
        <v>0</v>
      </c>
      <c r="D40" s="0" t="n">
        <f aca="false">MAX(0,D39)*Inputs!$B$14-MAX(0,C39)*Inputs!$B$14</f>
        <v>0</v>
      </c>
      <c r="E40" s="0" t="n">
        <f aca="false">MAX(0,E39)*Inputs!$B$14-MAX(0,D39)*Inputs!$B$14</f>
        <v>0</v>
      </c>
      <c r="F40" s="0" t="n">
        <f aca="false">MAX(0,F39)*Inputs!$B$14-MAX(0,E39)*Inputs!$B$14</f>
        <v>0</v>
      </c>
      <c r="G40" s="0" t="n">
        <f aca="false">MAX(0,G39)*Inputs!$B$14-MAX(0,F39)*Inputs!$B$14</f>
        <v>0</v>
      </c>
      <c r="H40" s="0" t="n">
        <f aca="false">MAX(0,H39)*Inputs!$B$14-MAX(0,G39)*Inputs!$B$14</f>
        <v>0</v>
      </c>
      <c r="I40" s="0" t="n">
        <f aca="false">MAX(0,I39)*Inputs!$B$14-MAX(0,H39)*Inputs!$B$14</f>
        <v>0</v>
      </c>
      <c r="J40" s="0" t="n">
        <f aca="false">MAX(0,J39)*Inputs!$B$14-MAX(0,I39)*Inputs!$B$14</f>
        <v>0</v>
      </c>
      <c r="K40" s="0" t="n">
        <f aca="false">MAX(0,K39)*Inputs!$B$14-MAX(0,J39)*Inputs!$B$14</f>
        <v>0</v>
      </c>
      <c r="L40" s="0" t="n">
        <f aca="false">MAX(0,L39)*Inputs!$B$14-MAX(0,K39)*Inputs!$B$14</f>
        <v>0</v>
      </c>
      <c r="M40" s="0" t="n">
        <f aca="false">MAX(0,M39)*Inputs!$B$14-MAX(0,L39)*Inputs!$B$14</f>
        <v>0</v>
      </c>
      <c r="N40" s="0" t="n">
        <f aca="false">MAX(0,N39)*Inputs!$B$14-MAX(0,M39)*Inputs!$B$14</f>
        <v>0</v>
      </c>
      <c r="O40" s="0" t="n">
        <f aca="false">MAX(0,O39)*Inputs!$B$14-MAX(0,N39)*Inputs!$B$14</f>
        <v>0</v>
      </c>
      <c r="P40" s="0" t="n">
        <f aca="false">MAX(0,P39)*Inputs!$B$14-MAX(0,O39)*Inputs!$B$14</f>
        <v>0</v>
      </c>
      <c r="Q40" s="0" t="n">
        <f aca="false">MAX(0,Q39)*Inputs!$B$14-MAX(0,P39)*Inputs!$B$14</f>
        <v>0</v>
      </c>
      <c r="R40" s="0" t="n">
        <f aca="false">MAX(0,R39)*Inputs!$B$14-MAX(0,Q39)*Inputs!$B$14</f>
        <v>0</v>
      </c>
      <c r="S40" s="0" t="n">
        <f aca="false">MAX(0,S39)*Inputs!$B$14-MAX(0,R39)*Inputs!$B$14</f>
        <v>0</v>
      </c>
      <c r="T40" s="0" t="n">
        <f aca="false">MAX(0,T39)*Inputs!$B$14-MAX(0,S39)*Inputs!$B$14</f>
        <v>0</v>
      </c>
      <c r="U40" s="0" t="n">
        <f aca="false">MAX(0,U39)*Inputs!$B$14-MAX(0,T39)*Inputs!$B$14</f>
        <v>0</v>
      </c>
      <c r="V40" s="0" t="n">
        <f aca="false">MAX(0,V39)*Inputs!$B$14-MAX(0,U39)*Inputs!$B$14</f>
        <v>0</v>
      </c>
      <c r="W40" s="0" t="n">
        <f aca="false">MAX(0,W39)*Inputs!$B$14-MAX(0,V39)*Inputs!$B$14</f>
        <v>0</v>
      </c>
      <c r="X40" s="0" t="n">
        <f aca="false">MAX(0,X39)*Inputs!$B$14-MAX(0,W39)*Inputs!$B$14</f>
        <v>15719058.6269067</v>
      </c>
      <c r="Y40" s="0" t="n">
        <f aca="false">MAX(0,Y39)*Inputs!$B$14-MAX(0,X39)*Inputs!$B$14</f>
        <v>137140380.246473</v>
      </c>
      <c r="Z40" s="0" t="n">
        <f aca="false">MAX(0,Z39)*Inputs!$B$14-MAX(0,Y39)*Inputs!$B$14</f>
        <v>137140380.246473</v>
      </c>
      <c r="AA40" s="0" t="n">
        <f aca="false">MAX(0,AA39)*Inputs!$B$14-MAX(0,Z39)*Inputs!$B$14</f>
        <v>137140380.246473</v>
      </c>
      <c r="AB40" s="0" t="n">
        <f aca="false">MAX(0,AB39)*Inputs!$B$14-MAX(0,AA39)*Inputs!$B$14</f>
        <v>137140380.246473</v>
      </c>
      <c r="AC40" s="0" t="n">
        <f aca="false">MAX(0,AC39)*Inputs!$B$14-MAX(0,AB39)*Inputs!$B$14</f>
        <v>137140380.246473</v>
      </c>
      <c r="AD40" s="0" t="n">
        <f aca="false">MAX(0,AD39)*Inputs!$B$14-MAX(0,AC39)*Inputs!$B$14</f>
        <v>137140380.246473</v>
      </c>
      <c r="AE40" s="0" t="n">
        <f aca="false">MAX(0,AE39)*Inputs!$B$14-MAX(0,AD39)*Inputs!$B$14</f>
        <v>137140380.246473</v>
      </c>
      <c r="AF40" s="0" t="n">
        <f aca="false">MAX(0,AF39)*Inputs!$B$14-MAX(0,AE39)*Inputs!$B$14</f>
        <v>133855251.675045</v>
      </c>
      <c r="AG40" s="0" t="n">
        <f aca="false">MAX(0,AG39)*Inputs!$B$14-MAX(0,AF39)*Inputs!$B$14</f>
        <v>129229061.710759</v>
      </c>
      <c r="AH40" s="0" t="n">
        <f aca="false">MAX(0,AH39)*Inputs!$B$14-MAX(0,AG39)*Inputs!$B$14</f>
        <v>124417824.147902</v>
      </c>
      <c r="AI40" s="0" t="n">
        <f aca="false">MAX(0,AI39)*Inputs!$B$14-MAX(0,AH39)*Inputs!$B$14</f>
        <v>119414137.08253</v>
      </c>
      <c r="AJ40" s="0" t="n">
        <f aca="false">MAX(0,AJ39)*Inputs!$B$14-MAX(0,AI39)*Inputs!$B$14</f>
        <v>114210302.534544</v>
      </c>
      <c r="AK40" s="0" t="n">
        <f aca="false">MAX(0,AK39)*Inputs!$B$14-MAX(0,AJ39)*Inputs!$B$14</f>
        <v>108454064.604638</v>
      </c>
      <c r="AL40" s="0" t="n">
        <f aca="false">MAX(0,AL39)*Inputs!$B$14-MAX(0,AK39)*Inputs!$B$14</f>
        <v>102467577.157537</v>
      </c>
      <c r="AM40" s="0" t="n">
        <f aca="false">MAX(0,AM39)*Inputs!$B$14-MAX(0,AL39)*Inputs!$B$14</f>
        <v>96241630.2125502</v>
      </c>
      <c r="AN40" s="0" t="n">
        <f aca="false">MAX(0,AN39)*Inputs!$B$14-MAX(0,AM39)*Inputs!$B$14</f>
        <v>89766645.3897648</v>
      </c>
      <c r="AO40" s="0" t="n">
        <f aca="false">MAX(0,AO39)*Inputs!$B$14-MAX(0,AN39)*Inputs!$B$14</f>
        <v>83032661.1740677</v>
      </c>
      <c r="AP40" s="0" t="n">
        <f aca="false">MAX(0,AP39)*Inputs!$B$14-MAX(0,AO39)*Inputs!$B$14</f>
        <v>76029317.5897431</v>
      </c>
    </row>
    <row r="41" customFormat="false" ht="15" hidden="false" customHeight="false" outlineLevel="0" collapsed="false">
      <c r="A41" s="0" t="s">
        <v>64</v>
      </c>
      <c r="B41" s="0" t="n">
        <f aca="false">B38-B40</f>
        <v>-480000000</v>
      </c>
      <c r="C41" s="0" t="n">
        <f aca="false">C38-C40</f>
        <v>33667200</v>
      </c>
      <c r="D41" s="0" t="n">
        <f aca="false">D38-D40</f>
        <v>-498777579.071429</v>
      </c>
      <c r="E41" s="0" t="n">
        <f aca="false">E38-E40</f>
        <v>-387517387.788214</v>
      </c>
      <c r="F41" s="0" t="n">
        <f aca="false">F38-F40</f>
        <v>-620681331.236059</v>
      </c>
      <c r="G41" s="0" t="n">
        <f aca="false">G38-G40</f>
        <v>-373489234.849588</v>
      </c>
      <c r="H41" s="0" t="n">
        <f aca="false">H38-H40</f>
        <v>-602395966.120402</v>
      </c>
      <c r="I41" s="0" t="n">
        <f aca="false">I38-I40</f>
        <v>-352768486.057737</v>
      </c>
      <c r="J41" s="0" t="n">
        <f aca="false">J38-J40</f>
        <v>-618218173.385816</v>
      </c>
      <c r="K41" s="0" t="n">
        <f aca="false">K38-K40</f>
        <v>-368859452.375087</v>
      </c>
      <c r="L41" s="0" t="n">
        <f aca="false">L38-L40</f>
        <v>-599022060.595814</v>
      </c>
      <c r="M41" s="0" t="n">
        <f aca="false">M38-M40</f>
        <v>-348683199.94977</v>
      </c>
      <c r="N41" s="0" t="n">
        <f aca="false">N38-N40</f>
        <v>49295888.2373375</v>
      </c>
      <c r="O41" s="0" t="n">
        <f aca="false">O38-O40</f>
        <v>88138135.3397693</v>
      </c>
      <c r="P41" s="0" t="n">
        <f aca="false">P38-P40</f>
        <v>440288116.48796</v>
      </c>
      <c r="Q41" s="0" t="n">
        <f aca="false">Q38-Q40</f>
        <v>467771289.142723</v>
      </c>
      <c r="R41" s="0" t="n">
        <f aca="false">R38-R40</f>
        <v>349018362.852373</v>
      </c>
      <c r="S41" s="0" t="n">
        <f aca="false">S38-S40</f>
        <v>602620313.24719</v>
      </c>
      <c r="T41" s="0" t="n">
        <f aca="false">T38-T40</f>
        <v>648231947.205649</v>
      </c>
      <c r="U41" s="0" t="n">
        <f aca="false">U38-U40</f>
        <v>695668046.522446</v>
      </c>
      <c r="V41" s="0" t="n">
        <f aca="false">V38-V40</f>
        <v>726550452.989848</v>
      </c>
      <c r="W41" s="0" t="n">
        <f aca="false">W38-W40</f>
        <v>609512801.095436</v>
      </c>
      <c r="X41" s="0" t="n">
        <f aca="false">X38-X40</f>
        <v>593793742.46853</v>
      </c>
      <c r="Y41" s="0" t="n">
        <f aca="false">Y38-Y40</f>
        <v>472372420.848963</v>
      </c>
      <c r="Z41" s="0" t="n">
        <f aca="false">Z38-Z40</f>
        <v>472372420.848963</v>
      </c>
      <c r="AA41" s="0" t="n">
        <f aca="false">AA38-AA40</f>
        <v>472372420.848963</v>
      </c>
      <c r="AB41" s="0" t="n">
        <f aca="false">AB38-AB40</f>
        <v>472372420.848963</v>
      </c>
      <c r="AC41" s="0" t="n">
        <f aca="false">AC38-AC40</f>
        <v>472372420.848963</v>
      </c>
      <c r="AD41" s="0" t="n">
        <f aca="false">AD38-AD40</f>
        <v>472372420.848963</v>
      </c>
      <c r="AE41" s="0" t="n">
        <f aca="false">AE38-AE40</f>
        <v>472372420.848963</v>
      </c>
      <c r="AF41" s="0" t="n">
        <f aca="false">AF38-AF40</f>
        <v>461056977.99182</v>
      </c>
      <c r="AG41" s="0" t="n">
        <f aca="false">AG38-AG40</f>
        <v>445122323.670392</v>
      </c>
      <c r="AH41" s="0" t="n">
        <f aca="false">AH38-AH40</f>
        <v>428550283.176106</v>
      </c>
      <c r="AI41" s="0" t="n">
        <f aca="false">AI38-AI40</f>
        <v>411315361.062049</v>
      </c>
      <c r="AJ41" s="0" t="n">
        <f aca="false">AJ38-AJ40</f>
        <v>393391042.063429</v>
      </c>
      <c r="AK41" s="0" t="n">
        <f aca="false">AK38-AK40</f>
        <v>373564000.304865</v>
      </c>
      <c r="AL41" s="0" t="n">
        <f aca="false">AL38-AL40</f>
        <v>352943876.875958</v>
      </c>
      <c r="AM41" s="0" t="n">
        <f aca="false">AM38-AM40</f>
        <v>331498948.509895</v>
      </c>
      <c r="AN41" s="0" t="n">
        <f aca="false">AN38-AN40</f>
        <v>309196223.00919</v>
      </c>
      <c r="AO41" s="0" t="n">
        <f aca="false">AO38-AO40</f>
        <v>286001388.488456</v>
      </c>
      <c r="AP41" s="0" t="n">
        <f aca="false">AP38-AP40</f>
        <v>261878760.586893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65</v>
      </c>
      <c r="B3" s="2" t="n">
        <f aca="false">XIRR('Cash Flow'!B41:AP41,'Cash Flow'!B4:AP4)</f>
        <v>0.209445999586327</v>
      </c>
    </row>
    <row r="4" customFormat="false" ht="15" hidden="false" customHeight="false" outlineLevel="0" collapsed="false">
      <c r="A4" s="0" t="s">
        <v>66</v>
      </c>
      <c r="B4" s="4" t="n">
        <f aca="false">XNPV(Inputs!$B$13,'Cash Flow'!B41:AP41,'Cash Flow'!B4:AP4)</f>
        <v>-513585397.357432</v>
      </c>
    </row>
    <row r="5" customFormat="false" ht="15" hidden="false" customHeight="false" outlineLevel="0" collapsed="false">
      <c r="A5" s="0" t="s">
        <v>67</v>
      </c>
      <c r="B5" s="4" t="n">
        <f aca="false">SUM('Cash Flow'!B41:AP41)</f>
        <v>7415269555.84114</v>
      </c>
    </row>
    <row r="6" customFormat="false" ht="15" hidden="false" customHeight="false" outlineLevel="0" collapsed="false">
      <c r="A6" s="0" t="s">
        <v>68</v>
      </c>
      <c r="B6" s="4" t="n">
        <f aca="false">-MIN('Cash Flow'!B39:AP39)</f>
        <v>5216745671.42992</v>
      </c>
    </row>
    <row r="7" customFormat="false" ht="15" hidden="false" customHeight="false" outlineLevel="0" collapsed="false">
      <c r="A7" s="0" t="s">
        <v>69</v>
      </c>
      <c r="B7" s="4" t="n">
        <f aca="false">SUM('Cash Flow'!B34:AP34)</f>
        <v>20078068741.9673</v>
      </c>
    </row>
    <row r="8" customFormat="false" ht="15" hidden="false" customHeight="false" outlineLevel="0" collapsed="false">
      <c r="A8" s="0" t="s">
        <v>70</v>
      </c>
      <c r="B8" s="4" t="n">
        <f aca="false">B7-SUM('Cash Flow'!B33:AP33)</f>
        <v>1422347541.11493</v>
      </c>
    </row>
    <row r="9" customFormat="false" ht="15" hidden="false" customHeight="false" outlineLevel="0" collapsed="false">
      <c r="A9" s="0" t="s">
        <v>71</v>
      </c>
      <c r="B9" s="4" t="n">
        <f aca="false">SUM('Cash Flow'!B35:AP35)+SUM('Cash Flow'!B37:AP37)+SUM('Cash Flow'!B36:AP36)</f>
        <v>9087631451.37994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2026-10-17T12:36:17Z</dcterms:created>
  <dc:creator>openpyxl</dc:creator>
  <dc:description/>
  <dc:language>en-US</dc:language>
  <cp:lastModifiedBy/>
  <dcterms:modified xsi:type="dcterms:W3CDTF">2026-10-17T12:36:17Z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