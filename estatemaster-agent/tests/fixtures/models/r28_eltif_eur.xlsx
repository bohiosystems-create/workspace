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lasses" sheetId="2" state="visible" r:id="rId4"/>
    <sheet name="NAV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<sst xmlns="http://schemas.openxmlformats.org/spreadsheetml/2006/main" count="34" uniqueCount="34">
  <si>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EUROPA INFRA &amp; REAL ASSETS ELTIF – SEMI-LIQUID, MONTHLY (EUR)</t>
  </si>
  <si>
    <t xml:space="preserve">Opening NAV (EUR)</t>
  </si>
  <si>
    <t xml:space="preserve">Asset return a month</t>
  </si>
  <si>
    <t xml:space="preserve">Liquidity sleeve (share of NAV)</t>
  </si>
  <si>
    <t xml:space="preserve">Sleeve yield a year</t>
  </si>
  <si>
    <t xml:space="preserve">Subscriptions a month (EUR)</t>
  </si>
  <si>
    <t xml:space="preserve">Redemption requests a month (EUR)</t>
  </si>
  <si>
    <t xml:space="preserve">Redemption cap (share of NAV a quarter)</t>
  </si>
  <si>
    <t xml:space="preserve">Swing factor on net outflows</t>
  </si>
  <si>
    <t xml:space="preserve">Class</t>
  </si>
  <si>
    <t xml:space="preserve">Share of NAV</t>
  </si>
  <si>
    <t xml:space="preserve">Management fee</t>
  </si>
  <si>
    <t xml:space="preserve">Distribution fee</t>
  </si>
  <si>
    <t xml:space="preserve">A (retail)</t>
  </si>
  <si>
    <t xml:space="preserve">B (private banks)</t>
  </si>
  <si>
    <t xml:space="preserve">I (institutional)</t>
  </si>
  <si>
    <t xml:space="preserve">Month</t>
  </si>
  <si>
    <t xml:space="preserve">Gross return</t>
  </si>
  <si>
    <t xml:space="preserve">Blended fees</t>
  </si>
  <si>
    <t xml:space="preserve">Requests</t>
  </si>
  <si>
    <t xml:space="preserve">Redemptions paid</t>
  </si>
  <si>
    <t xml:space="preserve">Unmet requests</t>
  </si>
  <si>
    <t xml:space="preserve">Swing adjustment</t>
  </si>
  <si>
    <t xml:space="preserve">NAV</t>
  </si>
  <si>
    <t xml:space="preserve">Sleeve</t>
  </si>
  <si>
    <t xml:space="preserve">Class A NAV per unit</t>
  </si>
  <si>
    <t xml:space="preserve">Class I NAV per unit</t>
  </si>
  <si>
    <t xml:space="preserve">Class A return a year</t>
  </si>
  <si>
    <t xml:space="preserve">Class I return a year</t>
  </si>
  <si>
    <t xml:space="preserve">Fee drag, class A over class I a year</t>
  </si>
  <si>
    <t xml:space="preserve">NAV at month 24 (EUR)</t>
  </si>
  <si>
    <t xml:space="preserve">Unmet redemption requests at the end (EUR)</t>
  </si>
  <si>
    <t xml:space="preserve">Swing income kept by the fund (EUR)</t>
  </si>
  <si>
    <t xml:space="preserve">Liquidity sleeve at the end (EUR)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</si>
</sst>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800000000</v>
      </c>
    </row>
    <row r="4" customFormat="false" ht="15" hidden="false" customHeight="false" outlineLevel="0" collapsed="false">
      <c r="A4" s="0" t="s">
        <v>2</v>
      </c>
      <c r="B4" s="2" t="n">
        <v>0.0055</v>
      </c>
    </row>
    <row r="5" customFormat="false" ht="15" hidden="false" customHeight="false" outlineLevel="0" collapsed="false">
      <c r="A5" s="0" t="s">
        <v>3</v>
      </c>
      <c r="B5" s="2" t="n">
        <v>0.15</v>
      </c>
    </row>
    <row r="6" customFormat="false" ht="15" hidden="false" customHeight="false" outlineLevel="0" collapsed="false">
      <c r="A6" s="0" t="s">
        <v>4</v>
      </c>
      <c r="B6" s="2" t="n">
        <v>0.03</v>
      </c>
    </row>
    <row r="7" customFormat="false" ht="15" hidden="false" customHeight="false" outlineLevel="0" collapsed="false">
      <c r="A7" s="0" t="s">
        <v>5</v>
      </c>
      <c r="B7" s="1" t="n">
        <v>9000000</v>
      </c>
    </row>
    <row r="8" customFormat="false" ht="15" hidden="false" customHeight="false" outlineLevel="0" collapsed="false">
      <c r="A8" s="0" t="s">
        <v>6</v>
      </c>
      <c r="B8" s="1" t="n">
        <v>14000000</v>
      </c>
    </row>
    <row r="9" customFormat="false" ht="15" hidden="false" customHeight="false" outlineLevel="0" collapsed="false">
      <c r="A9" s="0" t="s">
        <v>7</v>
      </c>
      <c r="B9" s="2" t="n">
        <v>0.05</v>
      </c>
    </row>
    <row r="10" customFormat="false" ht="15" hidden="false" customHeight="false" outlineLevel="0" collapsed="false">
      <c r="A10" s="0" t="s">
        <v>8</v>
      </c>
      <c r="B10" s="2" t="n">
        <v>0.004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9</v>
      </c>
      <c r="B1" s="0" t="s">
        <v>10</v>
      </c>
      <c r="C1" s="0" t="s">
        <v>11</v>
      </c>
      <c r="D1" s="0" t="s">
        <v>12</v>
      </c>
    </row>
    <row r="2" customFormat="false" ht="15" hidden="false" customHeight="false" outlineLevel="0" collapsed="false">
      <c r="A2" s="0" t="s">
        <v>13</v>
      </c>
      <c r="B2" s="2" t="n">
        <v>0.45</v>
      </c>
      <c r="C2" s="2" t="n">
        <v>0.017</v>
      </c>
      <c r="D2" s="2" t="n">
        <v>0.006</v>
      </c>
    </row>
    <row r="3" customFormat="false" ht="15" hidden="false" customHeight="false" outlineLevel="0" collapsed="false">
      <c r="A3" s="0" t="s">
        <v>14</v>
      </c>
      <c r="B3" s="2" t="n">
        <v>0.35</v>
      </c>
      <c r="C3" s="2" t="n">
        <v>0.012</v>
      </c>
      <c r="D3" s="2" t="n">
        <v>0.003</v>
      </c>
    </row>
    <row r="4" customFormat="false" ht="15" hidden="false" customHeight="false" outlineLevel="0" collapsed="false">
      <c r="A4" s="0" t="s">
        <v>15</v>
      </c>
      <c r="B4" s="2" t="n">
        <v>0.2</v>
      </c>
      <c r="C4" s="2" t="n">
        <v>0.008</v>
      </c>
      <c r="D4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Z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16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</row>
    <row r="4" customFormat="false" ht="15" hidden="false" customHeight="false" outlineLevel="0" collapsed="false">
      <c r="A4" s="0" t="s">
        <v>17</v>
      </c>
      <c r="B4" s="0" t="n">
        <f aca="false">0</f>
        <v>0</v>
      </c>
      <c r="C4" s="0" t="n">
        <f aca="false">B10*((1-Inputs!$B$5)*Inputs!$B$4+Inputs!$B$5*Inputs!$B$6/12)</f>
        <v>4040000</v>
      </c>
      <c r="D4" s="0" t="n">
        <f aca="false">C10*((1-Inputs!$B$5)*Inputs!$B$4+Inputs!$B$5*Inputs!$B$6/12)</f>
        <v>4100061.33333333</v>
      </c>
      <c r="E4" s="0" t="n">
        <f aca="false">D10*((1-Inputs!$B$5)*Inputs!$B$4+Inputs!$B$5*Inputs!$B$6/12)</f>
        <v>4160339.88848889</v>
      </c>
      <c r="F4" s="0" t="n">
        <f aca="false">E10*((1-Inputs!$B$5)*Inputs!$B$4+Inputs!$B$5*Inputs!$B$6/12)</f>
        <v>4013469.72463884</v>
      </c>
      <c r="G4" s="0" t="n">
        <f aca="false">F10*((1-Inputs!$B$5)*Inputs!$B$4+Inputs!$B$5*Inputs!$B$6/12)</f>
        <v>4073435.10680962</v>
      </c>
      <c r="H4" s="0" t="n">
        <f aca="false">G10*((1-Inputs!$B$5)*Inputs!$B$4+Inputs!$B$5*Inputs!$B$6/12)</f>
        <v>4133617.36377925</v>
      </c>
      <c r="I4" s="0" t="n">
        <f aca="false">H10*((1-Inputs!$B$5)*Inputs!$B$4+Inputs!$B$5*Inputs!$B$6/12)</f>
        <v>3987981.33519538</v>
      </c>
      <c r="J4" s="0" t="n">
        <f aca="false">I10*((1-Inputs!$B$5)*Inputs!$B$4+Inputs!$B$5*Inputs!$B$6/12)</f>
        <v>4047854.53435767</v>
      </c>
      <c r="K4" s="0" t="n">
        <f aca="false">J10*((1-Inputs!$B$5)*Inputs!$B$4+Inputs!$B$5*Inputs!$B$6/12)</f>
        <v>4107944.27492359</v>
      </c>
      <c r="L4" s="0" t="n">
        <f aca="false">K10*((1-Inputs!$B$5)*Inputs!$B$4+Inputs!$B$5*Inputs!$B$6/12)</f>
        <v>3963493.91516004</v>
      </c>
      <c r="M4" s="0" t="n">
        <f aca="false">L10*((1-Inputs!$B$5)*Inputs!$B$4+Inputs!$B$5*Inputs!$B$6/12)</f>
        <v>4023278.55148653</v>
      </c>
      <c r="N4" s="0" t="n">
        <f aca="false">M10*((1-Inputs!$B$5)*Inputs!$B$4+Inputs!$B$5*Inputs!$B$6/12)</f>
        <v>4083279.40891441</v>
      </c>
      <c r="O4" s="0" t="n">
        <f aca="false">N10*((1-Inputs!$B$5)*Inputs!$B$4+Inputs!$B$5*Inputs!$B$6/12)</f>
        <v>3939968.15487938</v>
      </c>
      <c r="P4" s="0" t="n">
        <f aca="false">O10*((1-Inputs!$B$5)*Inputs!$B$4+Inputs!$B$5*Inputs!$B$6/12)</f>
        <v>3999667.70637286</v>
      </c>
      <c r="Q4" s="0" t="n">
        <f aca="false">P10*((1-Inputs!$B$5)*Inputs!$B$4+Inputs!$B$5*Inputs!$B$6/12)</f>
        <v>4059583.17124424</v>
      </c>
      <c r="R4" s="0" t="n">
        <f aca="false">Q10*((1-Inputs!$B$5)*Inputs!$B$4+Inputs!$B$5*Inputs!$B$6/12)</f>
        <v>3917366.28845228</v>
      </c>
      <c r="S4" s="0" t="n">
        <f aca="false">R10*((1-Inputs!$B$5)*Inputs!$B$4+Inputs!$B$5*Inputs!$B$6/12)</f>
        <v>3976984.09652885</v>
      </c>
      <c r="T4" s="0" t="n">
        <f aca="false">S10*((1-Inputs!$B$5)*Inputs!$B$4+Inputs!$B$5*Inputs!$B$6/12)</f>
        <v>4036817.52234463</v>
      </c>
      <c r="U4" s="0" t="n">
        <f aca="false">T10*((1-Inputs!$B$5)*Inputs!$B$4+Inputs!$B$5*Inputs!$B$6/12)</f>
        <v>3895652.03310434</v>
      </c>
      <c r="V4" s="0" t="n">
        <f aca="false">U10*((1-Inputs!$B$5)*Inputs!$B$4+Inputs!$B$5*Inputs!$B$6/12)</f>
        <v>3955191.3079574</v>
      </c>
      <c r="W4" s="0" t="n">
        <f aca="false">V10*((1-Inputs!$B$5)*Inputs!$B$4+Inputs!$B$5*Inputs!$B$6/12)</f>
        <v>4014945.91652118</v>
      </c>
      <c r="X4" s="0" t="n">
        <f aca="false">W10*((1-Inputs!$B$5)*Inputs!$B$4+Inputs!$B$5*Inputs!$B$6/12)</f>
        <v>3874790.53094318</v>
      </c>
      <c r="Y4" s="0" t="n">
        <f aca="false">X10*((1-Inputs!$B$5)*Inputs!$B$4+Inputs!$B$5*Inputs!$B$6/12)</f>
        <v>3934254.35669676</v>
      </c>
      <c r="Z4" s="0" t="n">
        <f aca="false">Y10*((1-Inputs!$B$5)*Inputs!$B$4+Inputs!$B$5*Inputs!$B$6/12)</f>
        <v>3993933.24328681</v>
      </c>
    </row>
    <row r="5" customFormat="false" ht="15" hidden="false" customHeight="false" outlineLevel="0" collapsed="false">
      <c r="A5" s="0" t="s">
        <v>18</v>
      </c>
      <c r="B5" s="0" t="n">
        <f aca="false">0</f>
        <v>0</v>
      </c>
      <c r="C5" s="0" t="n">
        <f aca="false">B10*SUMPRODUCT(Classes!$B$2:$B$4,Classes!$C$2:$C$4+Classes!$D$2:$D$4)/12</f>
        <v>1146666.66666667</v>
      </c>
      <c r="D5" s="0" t="n">
        <f aca="false">C10*SUMPRODUCT(Classes!$B$2:$B$4,Classes!$C$2:$C$4+Classes!$D$2:$D$4)/12</f>
        <v>1163713.77777778</v>
      </c>
      <c r="E5" s="0" t="n">
        <f aca="false">D10*SUMPRODUCT(Classes!$B$2:$B$4,Classes!$C$2:$C$4+Classes!$D$2:$D$4)/12</f>
        <v>1180822.54260741</v>
      </c>
      <c r="F5" s="0" t="n">
        <f aca="false">E10*SUMPRODUCT(Classes!$B$2:$B$4,Classes!$C$2:$C$4+Classes!$D$2:$D$4)/12</f>
        <v>1139136.62151466</v>
      </c>
      <c r="G5" s="0" t="n">
        <f aca="false">F10*SUMPRODUCT(Classes!$B$2:$B$4,Classes!$C$2:$C$4+Classes!$D$2:$D$4)/12</f>
        <v>1156156.49896247</v>
      </c>
      <c r="H5" s="0" t="n">
        <f aca="false">G10*SUMPRODUCT(Classes!$B$2:$B$4,Classes!$C$2:$C$4+Classes!$D$2:$D$4)/12</f>
        <v>1173237.93163371</v>
      </c>
      <c r="I5" s="0" t="n">
        <f aca="false">H10*SUMPRODUCT(Classes!$B$2:$B$4,Classes!$C$2:$C$4+Classes!$D$2:$D$4)/12</f>
        <v>1131902.29315776</v>
      </c>
      <c r="J5" s="0" t="n">
        <f aca="false">I10*SUMPRODUCT(Classes!$B$2:$B$4,Classes!$C$2:$C$4+Classes!$D$2:$D$4)/12</f>
        <v>1148896.00645135</v>
      </c>
      <c r="K5" s="0" t="n">
        <f aca="false">J10*SUMPRODUCT(Classes!$B$2:$B$4,Classes!$C$2:$C$4+Classes!$D$2:$D$4)/12</f>
        <v>1165951.18034135</v>
      </c>
      <c r="L5" s="0" t="n">
        <f aca="false">K10*SUMPRODUCT(Classes!$B$2:$B$4,Classes!$C$2:$C$4+Classes!$D$2:$D$4)/12</f>
        <v>1124952.06832925</v>
      </c>
      <c r="M5" s="0" t="n">
        <f aca="false">L10*SUMPRODUCT(Classes!$B$2:$B$4,Classes!$C$2:$C$4+Classes!$D$2:$D$4)/12</f>
        <v>1141920.64497638</v>
      </c>
      <c r="N5" s="0" t="n">
        <f aca="false">M10*SUMPRODUCT(Classes!$B$2:$B$4,Classes!$C$2:$C$4+Classes!$D$2:$D$4)/12</f>
        <v>1158950.59130904</v>
      </c>
      <c r="O5" s="0" t="n">
        <f aca="false">N10*SUMPRODUCT(Classes!$B$2:$B$4,Classes!$C$2:$C$4+Classes!$D$2:$D$4)/12</f>
        <v>1118274.78983375</v>
      </c>
      <c r="P5" s="0" t="n">
        <f aca="false">O10*SUMPRODUCT(Classes!$B$2:$B$4,Classes!$C$2:$C$4+Classes!$D$2:$D$4)/12</f>
        <v>1135219.21699032</v>
      </c>
      <c r="Q5" s="0" t="n">
        <f aca="false">P10*SUMPRODUCT(Classes!$B$2:$B$4,Classes!$C$2:$C$4+Classes!$D$2:$D$4)/12</f>
        <v>1152224.92649177</v>
      </c>
      <c r="R5" s="0" t="n">
        <f aca="false">Q10*SUMPRODUCT(Classes!$B$2:$B$4,Classes!$C$2:$C$4+Classes!$D$2:$D$4)/12</f>
        <v>1111859.73863662</v>
      </c>
      <c r="S5" s="0" t="n">
        <f aca="false">R10*SUMPRODUCT(Classes!$B$2:$B$4,Classes!$C$2:$C$4+Classes!$D$2:$D$4)/12</f>
        <v>1128780.96469136</v>
      </c>
      <c r="T5" s="0" t="n">
        <f aca="false">S10*SUMPRODUCT(Classes!$B$2:$B$4,Classes!$C$2:$C$4+Classes!$D$2:$D$4)/12</f>
        <v>1145763.38918032</v>
      </c>
      <c r="U5" s="0" t="n">
        <f aca="false">T10*SUMPRODUCT(Classes!$B$2:$B$4,Classes!$C$2:$C$4+Classes!$D$2:$D$4)/12</f>
        <v>1105696.61665668</v>
      </c>
      <c r="V5" s="0" t="n">
        <f aca="false">U10*SUMPRODUCT(Classes!$B$2:$B$4,Classes!$C$2:$C$4+Classes!$D$2:$D$4)/12</f>
        <v>1122595.55275359</v>
      </c>
      <c r="W5" s="0" t="n">
        <f aca="false">V10*SUMPRODUCT(Classes!$B$2:$B$4,Classes!$C$2:$C$4+Classes!$D$2:$D$4)/12</f>
        <v>1139555.60666938</v>
      </c>
      <c r="X5" s="0" t="n">
        <f aca="false">W10*SUMPRODUCT(Classes!$B$2:$B$4,Classes!$C$2:$C$4+Classes!$D$2:$D$4)/12</f>
        <v>1099775.5302347</v>
      </c>
      <c r="Y5" s="0" t="n">
        <f aca="false">X10*SUMPRODUCT(Classes!$B$2:$B$4,Classes!$C$2:$C$4+Classes!$D$2:$D$4)/12</f>
        <v>1116653.05173571</v>
      </c>
      <c r="Z5" s="0" t="n">
        <f aca="false">Y10*SUMPRODUCT(Classes!$B$2:$B$4,Classes!$C$2:$C$4+Classes!$D$2:$D$4)/12</f>
        <v>1133591.61360616</v>
      </c>
    </row>
    <row r="6" customFormat="false" ht="15" hidden="false" customHeight="false" outlineLevel="0" collapsed="false">
      <c r="A6" s="0" t="s">
        <v>19</v>
      </c>
      <c r="B6" s="0" t="n">
        <f aca="false">0</f>
        <v>0</v>
      </c>
      <c r="C6" s="0" t="n">
        <f aca="false">Inputs!$B$8+B8</f>
        <v>14000000</v>
      </c>
      <c r="D6" s="0" t="n">
        <f aca="false">Inputs!$B$8+C8</f>
        <v>28000000</v>
      </c>
      <c r="E6" s="0" t="n">
        <f aca="false">Inputs!$B$8+D8</f>
        <v>42000000</v>
      </c>
      <c r="F6" s="0" t="n">
        <f aca="false">Inputs!$B$8+E8</f>
        <v>14808515.9555556</v>
      </c>
      <c r="G6" s="0" t="n">
        <f aca="false">Inputs!$B$8+F8</f>
        <v>28808515.9555556</v>
      </c>
      <c r="H6" s="0" t="n">
        <f aca="false">Inputs!$B$8+G8</f>
        <v>42808515.9555556</v>
      </c>
      <c r="I6" s="0" t="n">
        <f aca="false">Inputs!$B$8+H8</f>
        <v>15881611.3636818</v>
      </c>
      <c r="J6" s="0" t="n">
        <f aca="false">Inputs!$B$8+I8</f>
        <v>29881611.3636818</v>
      </c>
      <c r="K6" s="0" t="n">
        <f aca="false">Inputs!$B$8+J8</f>
        <v>43881611.3636818</v>
      </c>
      <c r="L6" s="0" t="n">
        <f aca="false">Inputs!$B$8+K8</f>
        <v>17208895.7703789</v>
      </c>
      <c r="M6" s="0" t="n">
        <f aca="false">Inputs!$B$8+L8</f>
        <v>31208895.7703789</v>
      </c>
      <c r="N6" s="0" t="n">
        <f aca="false">Inputs!$B$8+M8</f>
        <v>45208895.7703789</v>
      </c>
      <c r="O6" s="0" t="n">
        <f aca="false">Inputs!$B$8+N8</f>
        <v>18780386.7712263</v>
      </c>
      <c r="P6" s="0" t="n">
        <f aca="false">Inputs!$B$8+O8</f>
        <v>32780386.7712263</v>
      </c>
      <c r="Q6" s="0" t="n">
        <f aca="false">Inputs!$B$8+P8</f>
        <v>46780386.7712263</v>
      </c>
      <c r="R6" s="0" t="n">
        <f aca="false">Inputs!$B$8+Q8</f>
        <v>20586493.9866298</v>
      </c>
      <c r="S6" s="0" t="n">
        <f aca="false">Inputs!$B$8+R8</f>
        <v>34586493.9866298</v>
      </c>
      <c r="T6" s="0" t="n">
        <f aca="false">Inputs!$B$8+S8</f>
        <v>48586493.9866298</v>
      </c>
      <c r="U6" s="0" t="n">
        <f aca="false">Inputs!$B$8+T8</f>
        <v>22618003.666386</v>
      </c>
      <c r="V6" s="0" t="n">
        <f aca="false">Inputs!$B$8+U8</f>
        <v>36618003.666386</v>
      </c>
      <c r="W6" s="0" t="n">
        <f aca="false">Inputs!$B$8+V8</f>
        <v>50618003.666386</v>
      </c>
      <c r="X6" s="0" t="n">
        <f aca="false">Inputs!$B$8+W8</f>
        <v>24866063.8988495</v>
      </c>
      <c r="Y6" s="0" t="n">
        <f aca="false">Inputs!$B$8+X8</f>
        <v>38866063.8988495</v>
      </c>
      <c r="Z6" s="0" t="n">
        <f aca="false">Inputs!$B$8+Y8</f>
        <v>52866063.8988495</v>
      </c>
    </row>
    <row r="7" customFormat="false" ht="15" hidden="false" customHeight="false" outlineLevel="0" collapsed="false">
      <c r="A7" s="0" t="s">
        <v>20</v>
      </c>
      <c r="B7" s="0" t="n">
        <f aca="false">0</f>
        <v>0</v>
      </c>
      <c r="C7" s="0" t="n">
        <f aca="false">IF(MOD(C$3,3)=0,MIN(C6,B10*Inputs!$B$9),0)</f>
        <v>0</v>
      </c>
      <c r="D7" s="0" t="n">
        <f aca="false">IF(MOD(D$3,3)=0,MIN(D6,C10*Inputs!$B$9),0)</f>
        <v>0</v>
      </c>
      <c r="E7" s="0" t="n">
        <f aca="false">IF(MOD(E$3,3)=0,MIN(E6,D10*Inputs!$B$9),0)</f>
        <v>41191484.0444445</v>
      </c>
      <c r="F7" s="0" t="n">
        <f aca="false">IF(MOD(F$3,3)=0,MIN(F6,E10*Inputs!$B$9),0)</f>
        <v>0</v>
      </c>
      <c r="G7" s="0" t="n">
        <f aca="false">IF(MOD(G$3,3)=0,MIN(G6,F10*Inputs!$B$9),0)</f>
        <v>0</v>
      </c>
      <c r="H7" s="0" t="n">
        <f aca="false">IF(MOD(H$3,3)=0,MIN(H6,G10*Inputs!$B$9),0)</f>
        <v>40926904.5918738</v>
      </c>
      <c r="I7" s="0" t="n">
        <f aca="false">IF(MOD(I$3,3)=0,MIN(I6,H10*Inputs!$B$9),0)</f>
        <v>0</v>
      </c>
      <c r="J7" s="0" t="n">
        <f aca="false">IF(MOD(J$3,3)=0,MIN(J6,I10*Inputs!$B$9),0)</f>
        <v>0</v>
      </c>
      <c r="K7" s="0" t="n">
        <f aca="false">IF(MOD(K$3,3)=0,MIN(K6,J10*Inputs!$B$9),0)</f>
        <v>40672715.5933029</v>
      </c>
      <c r="L7" s="0" t="n">
        <f aca="false">IF(MOD(L$3,3)=0,MIN(L6,K10*Inputs!$B$9),0)</f>
        <v>0</v>
      </c>
      <c r="M7" s="0" t="n">
        <f aca="false">IF(MOD(M$3,3)=0,MIN(M6,L10*Inputs!$B$9),0)</f>
        <v>0</v>
      </c>
      <c r="N7" s="0" t="n">
        <f aca="false">IF(MOD(N$3,3)=0,MIN(N6,M10*Inputs!$B$9),0)</f>
        <v>40428508.9991526</v>
      </c>
      <c r="O7" s="0" t="n">
        <f aca="false">IF(MOD(O$3,3)=0,MIN(O6,N10*Inputs!$B$9),0)</f>
        <v>0</v>
      </c>
      <c r="P7" s="0" t="n">
        <f aca="false">IF(MOD(P$3,3)=0,MIN(P6,O10*Inputs!$B$9),0)</f>
        <v>0</v>
      </c>
      <c r="Q7" s="0" t="n">
        <f aca="false">IF(MOD(Q$3,3)=0,MIN(Q6,P10*Inputs!$B$9),0)</f>
        <v>40193892.7845965</v>
      </c>
      <c r="R7" s="0" t="n">
        <f aca="false">IF(MOD(R$3,3)=0,MIN(R6,Q10*Inputs!$B$9),0)</f>
        <v>0</v>
      </c>
      <c r="S7" s="0" t="n">
        <f aca="false">IF(MOD(S$3,3)=0,MIN(S6,R10*Inputs!$B$9),0)</f>
        <v>0</v>
      </c>
      <c r="T7" s="0" t="n">
        <f aca="false">IF(MOD(T$3,3)=0,MIN(T6,S10*Inputs!$B$9),0)</f>
        <v>39968490.3202438</v>
      </c>
      <c r="U7" s="0" t="n">
        <f aca="false">IF(MOD(U$3,3)=0,MIN(U6,T10*Inputs!$B$9),0)</f>
        <v>0</v>
      </c>
      <c r="V7" s="0" t="n">
        <f aca="false">IF(MOD(V$3,3)=0,MIN(V6,U10*Inputs!$B$9),0)</f>
        <v>0</v>
      </c>
      <c r="W7" s="0" t="n">
        <f aca="false">IF(MOD(W$3,3)=0,MIN(W6,V10*Inputs!$B$9),0)</f>
        <v>39751939.7675365</v>
      </c>
      <c r="X7" s="0" t="n">
        <f aca="false">IF(MOD(X$3,3)=0,MIN(X6,W10*Inputs!$B$9),0)</f>
        <v>0</v>
      </c>
      <c r="Y7" s="0" t="n">
        <f aca="false">IF(MOD(Y$3,3)=0,MIN(Y6,X10*Inputs!$B$9),0)</f>
        <v>0</v>
      </c>
      <c r="Z7" s="0" t="n">
        <f aca="false">IF(MOD(Z$3,3)=0,MIN(Z6,Y10*Inputs!$B$9),0)</f>
        <v>39543893.4978892</v>
      </c>
    </row>
    <row r="8" customFormat="false" ht="15" hidden="false" customHeight="false" outlineLevel="0" collapsed="false">
      <c r="A8" s="0" t="s">
        <v>21</v>
      </c>
      <c r="B8" s="0" t="n">
        <f aca="false">0</f>
        <v>0</v>
      </c>
      <c r="C8" s="0" t="n">
        <f aca="false">C6-C7</f>
        <v>14000000</v>
      </c>
      <c r="D8" s="0" t="n">
        <f aca="false">D6-D7</f>
        <v>28000000</v>
      </c>
      <c r="E8" s="0" t="n">
        <f aca="false">E6-E7</f>
        <v>808515.955555551</v>
      </c>
      <c r="F8" s="0" t="n">
        <f aca="false">F6-F7</f>
        <v>14808515.9555556</v>
      </c>
      <c r="G8" s="0" t="n">
        <f aca="false">G6-G7</f>
        <v>28808515.9555556</v>
      </c>
      <c r="H8" s="0" t="n">
        <f aca="false">H6-H7</f>
        <v>1881611.3636818</v>
      </c>
      <c r="I8" s="0" t="n">
        <f aca="false">I6-I7</f>
        <v>15881611.3636818</v>
      </c>
      <c r="J8" s="0" t="n">
        <f aca="false">J6-J7</f>
        <v>29881611.3636818</v>
      </c>
      <c r="K8" s="0" t="n">
        <f aca="false">K6-K7</f>
        <v>3208895.77037889</v>
      </c>
      <c r="L8" s="0" t="n">
        <f aca="false">L6-L7</f>
        <v>17208895.7703789</v>
      </c>
      <c r="M8" s="0" t="n">
        <f aca="false">M6-M7</f>
        <v>31208895.7703789</v>
      </c>
      <c r="N8" s="0" t="n">
        <f aca="false">N6-N7</f>
        <v>4780386.7712263</v>
      </c>
      <c r="O8" s="0" t="n">
        <f aca="false">O6-O7</f>
        <v>18780386.7712263</v>
      </c>
      <c r="P8" s="0" t="n">
        <f aca="false">P6-P7</f>
        <v>32780386.7712263</v>
      </c>
      <c r="Q8" s="0" t="n">
        <f aca="false">Q6-Q7</f>
        <v>6586493.98662984</v>
      </c>
      <c r="R8" s="0" t="n">
        <f aca="false">R6-R7</f>
        <v>20586493.9866298</v>
      </c>
      <c r="S8" s="0" t="n">
        <f aca="false">S6-S7</f>
        <v>34586493.9866298</v>
      </c>
      <c r="T8" s="0" t="n">
        <f aca="false">T6-T7</f>
        <v>8618003.66638601</v>
      </c>
      <c r="U8" s="0" t="n">
        <f aca="false">U6-U7</f>
        <v>22618003.666386</v>
      </c>
      <c r="V8" s="0" t="n">
        <f aca="false">V6-V7</f>
        <v>36618003.666386</v>
      </c>
      <c r="W8" s="0" t="n">
        <f aca="false">W6-W7</f>
        <v>10866063.8988495</v>
      </c>
      <c r="X8" s="0" t="n">
        <f aca="false">X6-X7</f>
        <v>24866063.8988495</v>
      </c>
      <c r="Y8" s="0" t="n">
        <f aca="false">Y6-Y7</f>
        <v>38866063.8988495</v>
      </c>
      <c r="Z8" s="0" t="n">
        <f aca="false">Z6-Z7</f>
        <v>13322170.4009603</v>
      </c>
    </row>
    <row r="9" customFormat="false" ht="15" hidden="false" customHeight="false" outlineLevel="0" collapsed="false">
      <c r="A9" s="0" t="s">
        <v>22</v>
      </c>
      <c r="B9" s="0" t="n">
        <f aca="false">0</f>
        <v>0</v>
      </c>
      <c r="C9" s="0" t="n">
        <f aca="false">IF(C7&gt;Inputs!$B$7,(C7-Inputs!$B$7)*Inputs!$B$10,0)</f>
        <v>0</v>
      </c>
      <c r="D9" s="0" t="n">
        <f aca="false">IF(D7&gt;Inputs!$B$7,(D7-Inputs!$B$7)*Inputs!$B$10,0)</f>
        <v>0</v>
      </c>
      <c r="E9" s="0" t="n">
        <f aca="false">IF(E7&gt;Inputs!$B$7,(E7-Inputs!$B$7)*Inputs!$B$10,0)</f>
        <v>128765.936177778</v>
      </c>
      <c r="F9" s="0" t="n">
        <f aca="false">IF(F7&gt;Inputs!$B$7,(F7-Inputs!$B$7)*Inputs!$B$10,0)</f>
        <v>0</v>
      </c>
      <c r="G9" s="0" t="n">
        <f aca="false">IF(G7&gt;Inputs!$B$7,(G7-Inputs!$B$7)*Inputs!$B$10,0)</f>
        <v>0</v>
      </c>
      <c r="H9" s="0" t="n">
        <f aca="false">IF(H7&gt;Inputs!$B$7,(H7-Inputs!$B$7)*Inputs!$B$10,0)</f>
        <v>127707.618367495</v>
      </c>
      <c r="I9" s="0" t="n">
        <f aca="false">IF(I7&gt;Inputs!$B$7,(I7-Inputs!$B$7)*Inputs!$B$10,0)</f>
        <v>0</v>
      </c>
      <c r="J9" s="0" t="n">
        <f aca="false">IF(J7&gt;Inputs!$B$7,(J7-Inputs!$B$7)*Inputs!$B$10,0)</f>
        <v>0</v>
      </c>
      <c r="K9" s="0" t="n">
        <f aca="false">IF(K7&gt;Inputs!$B$7,(K7-Inputs!$B$7)*Inputs!$B$10,0)</f>
        <v>126690.862373212</v>
      </c>
      <c r="L9" s="0" t="n">
        <f aca="false">IF(L7&gt;Inputs!$B$7,(L7-Inputs!$B$7)*Inputs!$B$10,0)</f>
        <v>0</v>
      </c>
      <c r="M9" s="0" t="n">
        <f aca="false">IF(M7&gt;Inputs!$B$7,(M7-Inputs!$B$7)*Inputs!$B$10,0)</f>
        <v>0</v>
      </c>
      <c r="N9" s="0" t="n">
        <f aca="false">IF(N7&gt;Inputs!$B$7,(N7-Inputs!$B$7)*Inputs!$B$10,0)</f>
        <v>125714.03599661</v>
      </c>
      <c r="O9" s="0" t="n">
        <f aca="false">IF(O7&gt;Inputs!$B$7,(O7-Inputs!$B$7)*Inputs!$B$10,0)</f>
        <v>0</v>
      </c>
      <c r="P9" s="0" t="n">
        <f aca="false">IF(P7&gt;Inputs!$B$7,(P7-Inputs!$B$7)*Inputs!$B$10,0)</f>
        <v>0</v>
      </c>
      <c r="Q9" s="0" t="n">
        <f aca="false">IF(Q7&gt;Inputs!$B$7,(Q7-Inputs!$B$7)*Inputs!$B$10,0)</f>
        <v>124775.571138386</v>
      </c>
      <c r="R9" s="0" t="n">
        <f aca="false">IF(R7&gt;Inputs!$B$7,(R7-Inputs!$B$7)*Inputs!$B$10,0)</f>
        <v>0</v>
      </c>
      <c r="S9" s="0" t="n">
        <f aca="false">IF(S7&gt;Inputs!$B$7,(S7-Inputs!$B$7)*Inputs!$B$10,0)</f>
        <v>0</v>
      </c>
      <c r="T9" s="0" t="n">
        <f aca="false">IF(T7&gt;Inputs!$B$7,(T7-Inputs!$B$7)*Inputs!$B$10,0)</f>
        <v>123873.961280975</v>
      </c>
      <c r="U9" s="0" t="n">
        <f aca="false">IF(U7&gt;Inputs!$B$7,(U7-Inputs!$B$7)*Inputs!$B$10,0)</f>
        <v>0</v>
      </c>
      <c r="V9" s="0" t="n">
        <f aca="false">IF(V7&gt;Inputs!$B$7,(V7-Inputs!$B$7)*Inputs!$B$10,0)</f>
        <v>0</v>
      </c>
      <c r="W9" s="0" t="n">
        <f aca="false">IF(W7&gt;Inputs!$B$7,(W7-Inputs!$B$7)*Inputs!$B$10,0)</f>
        <v>123007.759070146</v>
      </c>
      <c r="X9" s="0" t="n">
        <f aca="false">IF(X7&gt;Inputs!$B$7,(X7-Inputs!$B$7)*Inputs!$B$10,0)</f>
        <v>0</v>
      </c>
      <c r="Y9" s="0" t="n">
        <f aca="false">IF(Y7&gt;Inputs!$B$7,(Y7-Inputs!$B$7)*Inputs!$B$10,0)</f>
        <v>0</v>
      </c>
      <c r="Z9" s="0" t="n">
        <f aca="false">IF(Z7&gt;Inputs!$B$7,(Z7-Inputs!$B$7)*Inputs!$B$10,0)</f>
        <v>122175.573991557</v>
      </c>
    </row>
    <row r="10" customFormat="false" ht="15" hidden="false" customHeight="false" outlineLevel="0" collapsed="false">
      <c r="A10" s="0" t="s">
        <v>23</v>
      </c>
      <c r="B10" s="1" t="n">
        <f aca="false">Inputs!$B$3</f>
        <v>800000000</v>
      </c>
      <c r="C10" s="0" t="n">
        <f aca="false">B10+C4-C5+Inputs!$B$7-C7+C9</f>
        <v>811893333.333333</v>
      </c>
      <c r="D10" s="0" t="n">
        <f aca="false">C10+D4-D5+Inputs!$B$7-D7+D9</f>
        <v>823829680.888889</v>
      </c>
      <c r="E10" s="0" t="n">
        <f aca="false">D10+E4-E5+Inputs!$B$7-E7+E9</f>
        <v>794746480.126504</v>
      </c>
      <c r="F10" s="0" t="n">
        <f aca="false">E10+F4-F5+Inputs!$B$7-F7+F9</f>
        <v>806620813.229628</v>
      </c>
      <c r="G10" s="0" t="n">
        <f aca="false">F10+G4-G5+Inputs!$B$7-G7+G9</f>
        <v>818538091.837475</v>
      </c>
      <c r="H10" s="0" t="n">
        <f aca="false">G10+H4-H5+Inputs!$B$7-H7+H9</f>
        <v>789699274.296114</v>
      </c>
      <c r="I10" s="0" t="n">
        <f aca="false">H10+I4-I5+Inputs!$B$7-I7+I9</f>
        <v>801555353.338152</v>
      </c>
      <c r="J10" s="0" t="n">
        <f aca="false">I10+J4-J5+Inputs!$B$7-J7+J9</f>
        <v>813454311.866058</v>
      </c>
      <c r="K10" s="0" t="n">
        <f aca="false">J10+K4-K5+Inputs!$B$7-K7+K9</f>
        <v>784850280.229711</v>
      </c>
      <c r="L10" s="0" t="n">
        <f aca="false">K10+L4-L5+Inputs!$B$7-L7+L9</f>
        <v>796688822.076542</v>
      </c>
      <c r="M10" s="0" t="n">
        <f aca="false">L10+M4-M5+Inputs!$B$7-M7+M9</f>
        <v>808570179.983052</v>
      </c>
      <c r="N10" s="0" t="n">
        <f aca="false">M10+N4-N5+Inputs!$B$7-N7+N9</f>
        <v>780191713.837501</v>
      </c>
      <c r="O10" s="0" t="n">
        <f aca="false">N10+O4-O5+Inputs!$B$7-O7+O9</f>
        <v>792013407.202547</v>
      </c>
      <c r="P10" s="0" t="n">
        <f aca="false">O10+P4-P5+Inputs!$B$7-P7+P9</f>
        <v>803877855.691929</v>
      </c>
      <c r="Q10" s="0" t="n">
        <f aca="false">P10+Q4-Q5+Inputs!$B$7-Q7+Q9</f>
        <v>775716096.723224</v>
      </c>
      <c r="R10" s="0" t="n">
        <f aca="false">Q10+R4-R5+Inputs!$B$7-R7+R9</f>
        <v>787521603.273039</v>
      </c>
      <c r="S10" s="0" t="n">
        <f aca="false">R10+S4-S5+Inputs!$B$7-S7+S9</f>
        <v>799369806.404877</v>
      </c>
      <c r="T10" s="0" t="n">
        <f aca="false">S10+T4-T5+Inputs!$B$7-T7+T9</f>
        <v>771416244.179078</v>
      </c>
      <c r="U10" s="0" t="n">
        <f aca="false">T10+U4-U5+Inputs!$B$7-U7+U9</f>
        <v>783206199.595526</v>
      </c>
      <c r="V10" s="0" t="n">
        <f aca="false">U10+V4-V5+Inputs!$B$7-V7+V9</f>
        <v>795038795.35073</v>
      </c>
      <c r="W10" s="0" t="n">
        <f aca="false">V10+W4-W5+Inputs!$B$7-W7+W9</f>
        <v>767285253.652115</v>
      </c>
      <c r="X10" s="0" t="n">
        <f aca="false">W10+X4-X5+Inputs!$B$7-X7+X9</f>
        <v>779060268.652823</v>
      </c>
      <c r="Y10" s="0" t="n">
        <f aca="false">X10+Y4-Y5+Inputs!$B$7-Y7+Y9</f>
        <v>790877869.957784</v>
      </c>
      <c r="Z10" s="0" t="n">
        <f aca="false">Y10+Z4-Z5+Inputs!$B$7-Z7+Z9</f>
        <v>763316493.663567</v>
      </c>
    </row>
    <row r="11" customFormat="false" ht="15" hidden="false" customHeight="false" outlineLevel="0" collapsed="false">
      <c r="A11" s="0" t="s">
        <v>24</v>
      </c>
      <c r="B11" s="0" t="n">
        <f aca="false">Inputs!$B$3*Inputs!$B$5</f>
        <v>120000000</v>
      </c>
      <c r="C11" s="0" t="n">
        <f aca="false">C10*Inputs!$B$5</f>
        <v>121784000</v>
      </c>
      <c r="D11" s="0" t="n">
        <f aca="false">D10*Inputs!$B$5</f>
        <v>123574452.133333</v>
      </c>
      <c r="E11" s="0" t="n">
        <f aca="false">E10*Inputs!$B$5</f>
        <v>119211972.018976</v>
      </c>
      <c r="F11" s="0" t="n">
        <f aca="false">F10*Inputs!$B$5</f>
        <v>120993121.984444</v>
      </c>
      <c r="G11" s="0" t="n">
        <f aca="false">G10*Inputs!$B$5</f>
        <v>122780713.775621</v>
      </c>
      <c r="H11" s="0" t="n">
        <f aca="false">H10*Inputs!$B$5</f>
        <v>118454891.144417</v>
      </c>
      <c r="I11" s="0" t="n">
        <f aca="false">I10*Inputs!$B$5</f>
        <v>120233303.000723</v>
      </c>
      <c r="J11" s="0" t="n">
        <f aca="false">J10*Inputs!$B$5</f>
        <v>122018146.779909</v>
      </c>
      <c r="K11" s="0" t="n">
        <f aca="false">K10*Inputs!$B$5</f>
        <v>117727542.034457</v>
      </c>
      <c r="L11" s="0" t="n">
        <f aca="false">L10*Inputs!$B$5</f>
        <v>119503323.311481</v>
      </c>
      <c r="M11" s="0" t="n">
        <f aca="false">M10*Inputs!$B$5</f>
        <v>121285526.997458</v>
      </c>
      <c r="N11" s="0" t="n">
        <f aca="false">N10*Inputs!$B$5</f>
        <v>117028757.075625</v>
      </c>
      <c r="O11" s="0" t="n">
        <f aca="false">O10*Inputs!$B$5</f>
        <v>118802011.080382</v>
      </c>
      <c r="P11" s="0" t="n">
        <f aca="false">P10*Inputs!$B$5</f>
        <v>120581678.353789</v>
      </c>
      <c r="Q11" s="0" t="n">
        <f aca="false">Q10*Inputs!$B$5</f>
        <v>116357414.508484</v>
      </c>
      <c r="R11" s="0" t="n">
        <f aca="false">R10*Inputs!$B$5</f>
        <v>118128240.490956</v>
      </c>
      <c r="S11" s="0" t="n">
        <f aca="false">S10*Inputs!$B$5</f>
        <v>119905470.960732</v>
      </c>
      <c r="T11" s="0" t="n">
        <f aca="false">T10*Inputs!$B$5</f>
        <v>115712436.626862</v>
      </c>
      <c r="U11" s="0" t="n">
        <f aca="false">U10*Inputs!$B$5</f>
        <v>117480929.939329</v>
      </c>
      <c r="V11" s="0" t="n">
        <f aca="false">V10*Inputs!$B$5</f>
        <v>119255819.302609</v>
      </c>
      <c r="W11" s="0" t="n">
        <f aca="false">W10*Inputs!$B$5</f>
        <v>115092788.047817</v>
      </c>
      <c r="X11" s="0" t="n">
        <f aca="false">X10*Inputs!$B$5</f>
        <v>116859040.297924</v>
      </c>
      <c r="Y11" s="0" t="n">
        <f aca="false">Y10*Inputs!$B$5</f>
        <v>118631680.493668</v>
      </c>
      <c r="Z11" s="0" t="n">
        <f aca="false">Z10*Inputs!$B$5</f>
        <v>114497474.049535</v>
      </c>
    </row>
    <row r="12" customFormat="false" ht="15" hidden="false" customHeight="false" outlineLevel="0" collapsed="false">
      <c r="A12" s="0" t="s">
        <v>25</v>
      </c>
      <c r="B12" s="0" t="n">
        <f aca="false">10</f>
        <v>10</v>
      </c>
      <c r="C12" s="0" t="n">
        <f aca="false">B12*(1+C4/B10-(Classes!$C$2+Classes!$D$2)/12)</f>
        <v>10.0313333333333</v>
      </c>
      <c r="D12" s="0" t="n">
        <f aca="false">C12*(1+D4/C10-(Classes!$C$2+Classes!$D$2)/12)</f>
        <v>10.0627648444444</v>
      </c>
      <c r="E12" s="0" t="n">
        <f aca="false">D12*(1+E4/D10-(Classes!$C$2+Classes!$D$2)/12)</f>
        <v>10.094294840957</v>
      </c>
      <c r="F12" s="0" t="n">
        <f aca="false">E12*(1+F4/E10-(Classes!$C$2+Classes!$D$2)/12)</f>
        <v>10.1259236314587</v>
      </c>
      <c r="G12" s="0" t="n">
        <f aca="false">F12*(1+G4/F10-(Classes!$C$2+Classes!$D$2)/12)</f>
        <v>10.1576515255039</v>
      </c>
      <c r="H12" s="0" t="n">
        <f aca="false">G12*(1+H4/G10-(Classes!$C$2+Classes!$D$2)/12)</f>
        <v>10.1894788336172</v>
      </c>
      <c r="I12" s="0" t="n">
        <f aca="false">H12*(1+I4/H10-(Classes!$C$2+Classes!$D$2)/12)</f>
        <v>10.2214058672959</v>
      </c>
      <c r="J12" s="0" t="n">
        <f aca="false">I12*(1+J4/I10-(Classes!$C$2+Classes!$D$2)/12)</f>
        <v>10.2534329390134</v>
      </c>
      <c r="K12" s="0" t="n">
        <f aca="false">J12*(1+K4/J10-(Classes!$C$2+Classes!$D$2)/12)</f>
        <v>10.2855603622223</v>
      </c>
      <c r="L12" s="0" t="n">
        <f aca="false">K12*(1+L4/K10-(Classes!$C$2+Classes!$D$2)/12)</f>
        <v>10.3177884513573</v>
      </c>
      <c r="M12" s="0" t="n">
        <f aca="false">L12*(1+M4/L10-(Classes!$C$2+Classes!$D$2)/12)</f>
        <v>10.3501175218382</v>
      </c>
      <c r="N12" s="0" t="n">
        <f aca="false">M12*(1+N4/M10-(Classes!$C$2+Classes!$D$2)/12)</f>
        <v>10.3825478900733</v>
      </c>
      <c r="O12" s="0" t="n">
        <f aca="false">N12*(1+O4/N10-(Classes!$C$2+Classes!$D$2)/12)</f>
        <v>10.4150798734622</v>
      </c>
      <c r="P12" s="0" t="n">
        <f aca="false">O12*(1+P4/O10-(Classes!$C$2+Classes!$D$2)/12)</f>
        <v>10.447713790399</v>
      </c>
      <c r="Q12" s="0" t="n">
        <f aca="false">P12*(1+Q4/P10-(Classes!$C$2+Classes!$D$2)/12)</f>
        <v>10.4804499602756</v>
      </c>
      <c r="R12" s="0" t="n">
        <f aca="false">Q12*(1+R4/Q10-(Classes!$C$2+Classes!$D$2)/12)</f>
        <v>10.5132887034845</v>
      </c>
      <c r="S12" s="0" t="n">
        <f aca="false">R12*(1+S4/R10-(Classes!$C$2+Classes!$D$2)/12)</f>
        <v>10.5462303414221</v>
      </c>
      <c r="T12" s="0" t="n">
        <f aca="false">S12*(1+T4/S10-(Classes!$C$2+Classes!$D$2)/12)</f>
        <v>10.5792751964918</v>
      </c>
      <c r="U12" s="0" t="n">
        <f aca="false">T12*(1+U4/T10-(Classes!$C$2+Classes!$D$2)/12)</f>
        <v>10.6124235921075</v>
      </c>
      <c r="V12" s="0" t="n">
        <f aca="false">U12*(1+V4/U10-(Classes!$C$2+Classes!$D$2)/12)</f>
        <v>10.6456758526961</v>
      </c>
      <c r="W12" s="0" t="n">
        <f aca="false">V12*(1+W4/V10-(Classes!$C$2+Classes!$D$2)/12)</f>
        <v>10.6790323037012</v>
      </c>
      <c r="X12" s="0" t="n">
        <f aca="false">W12*(1+X4/W10-(Classes!$C$2+Classes!$D$2)/12)</f>
        <v>10.7124932715862</v>
      </c>
      <c r="Y12" s="0" t="n">
        <f aca="false">X12*(1+Y4/X10-(Classes!$C$2+Classes!$D$2)/12)</f>
        <v>10.7460590838371</v>
      </c>
      <c r="Z12" s="0" t="n">
        <f aca="false">Y12*(1+Z4/Y10-(Classes!$C$2+Classes!$D$2)/12)</f>
        <v>10.7797300689665</v>
      </c>
    </row>
    <row r="13" customFormat="false" ht="15" hidden="false" customHeight="false" outlineLevel="0" collapsed="false">
      <c r="A13" s="0" t="s">
        <v>26</v>
      </c>
      <c r="B13" s="0" t="n">
        <f aca="false">10</f>
        <v>10</v>
      </c>
      <c r="C13" s="0" t="n">
        <f aca="false">B13*(1+C4/B10-(Classes!$C$4+Classes!$D$4)/12)</f>
        <v>10.0438333333333</v>
      </c>
      <c r="D13" s="0" t="n">
        <f aca="false">C13*(1+D4/C10-(Classes!$C$4+Classes!$D$4)/12)</f>
        <v>10.0878588027778</v>
      </c>
      <c r="E13" s="0" t="n">
        <f aca="false">D13*(1+E4/D10-(Classes!$C$4+Classes!$D$4)/12)</f>
        <v>10.13207725053</v>
      </c>
      <c r="F13" s="0" t="n">
        <f aca="false">E13*(1+F4/E10-(Classes!$C$4+Classes!$D$4)/12)</f>
        <v>10.1764895224781</v>
      </c>
      <c r="G13" s="0" t="n">
        <f aca="false">F13*(1+G4/F10-(Classes!$C$4+Classes!$D$4)/12)</f>
        <v>10.2210964682183</v>
      </c>
      <c r="H13" s="0" t="n">
        <f aca="false">G13*(1+H4/G10-(Classes!$C$4+Classes!$D$4)/12)</f>
        <v>10.2658989410707</v>
      </c>
      <c r="I13" s="0" t="n">
        <f aca="false">H13*(1+I4/H10-(Classes!$C$4+Classes!$D$4)/12)</f>
        <v>10.3108977980957</v>
      </c>
      <c r="J13" s="0" t="n">
        <f aca="false">I13*(1+J4/I10-(Classes!$C$4+Classes!$D$4)/12)</f>
        <v>10.3560939001107</v>
      </c>
      <c r="K13" s="0" t="n">
        <f aca="false">J13*(1+K4/J10-(Classes!$C$4+Classes!$D$4)/12)</f>
        <v>10.4014881117062</v>
      </c>
      <c r="L13" s="0" t="n">
        <f aca="false">K13*(1+L4/K10-(Classes!$C$4+Classes!$D$4)/12)</f>
        <v>10.4470813012625</v>
      </c>
      <c r="M13" s="0" t="n">
        <f aca="false">L13*(1+M4/L10-(Classes!$C$4+Classes!$D$4)/12)</f>
        <v>10.4928743409663</v>
      </c>
      <c r="N13" s="0" t="n">
        <f aca="false">M13*(1+N4/M10-(Classes!$C$4+Classes!$D$4)/12)</f>
        <v>10.5388681068276</v>
      </c>
      <c r="O13" s="0" t="n">
        <f aca="false">N13*(1+O4/N10-(Classes!$C$4+Classes!$D$4)/12)</f>
        <v>10.5850634786958</v>
      </c>
      <c r="P13" s="0" t="n">
        <f aca="false">O13*(1+P4/O10-(Classes!$C$4+Classes!$D$4)/12)</f>
        <v>10.6314613402775</v>
      </c>
      <c r="Q13" s="0" t="n">
        <f aca="false">P13*(1+Q4/P10-(Classes!$C$4+Classes!$D$4)/12)</f>
        <v>10.6780625791523</v>
      </c>
      <c r="R13" s="0" t="n">
        <f aca="false">Q13*(1+R4/Q10-(Classes!$C$4+Classes!$D$4)/12)</f>
        <v>10.724868086791</v>
      </c>
      <c r="S13" s="0" t="n">
        <f aca="false">R13*(1+S4/R10-(Classes!$C$4+Classes!$D$4)/12)</f>
        <v>10.7718787585714</v>
      </c>
      <c r="T13" s="0" t="n">
        <f aca="false">S13*(1+T4/S10-(Classes!$C$4+Classes!$D$4)/12)</f>
        <v>10.8190954937965</v>
      </c>
      <c r="U13" s="0" t="n">
        <f aca="false">T13*(1+U4/T10-(Classes!$C$4+Classes!$D$4)/12)</f>
        <v>10.8665191957109</v>
      </c>
      <c r="V13" s="0" t="n">
        <f aca="false">U13*(1+V4/U10-(Classes!$C$4+Classes!$D$4)/12)</f>
        <v>10.9141507715188</v>
      </c>
      <c r="W13" s="0" t="n">
        <f aca="false">V13*(1+W4/V10-(Classes!$C$4+Classes!$D$4)/12)</f>
        <v>10.9619911324006</v>
      </c>
      <c r="X13" s="0" t="n">
        <f aca="false">W13*(1+X4/W10-(Classes!$C$4+Classes!$D$4)/12)</f>
        <v>11.010041193531</v>
      </c>
      <c r="Y13" s="0" t="n">
        <f aca="false">X13*(1+Y4/X10-(Classes!$C$4+Classes!$D$4)/12)</f>
        <v>11.058301874096</v>
      </c>
      <c r="Z13" s="0" t="n">
        <f aca="false">Y13*(1+Z4/Y10-(Classes!$C$4+Classes!$D$4)/12)</f>
        <v>11.1067740973108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27</v>
      </c>
      <c r="B3" s="2" t="n">
        <f aca="false">(NAV!Z12/10)^(12/24)-1</f>
        <v>0.0382547890073275</v>
      </c>
    </row>
    <row r="4" customFormat="false" ht="15" hidden="false" customHeight="false" outlineLevel="0" collapsed="false">
      <c r="A4" s="0" t="s">
        <v>28</v>
      </c>
      <c r="B4" s="2" t="n">
        <f aca="false">(NAV!Z13/10)^(12/24)-1</f>
        <v>0.0538868106827584</v>
      </c>
    </row>
    <row r="5" customFormat="false" ht="15" hidden="false" customHeight="false" outlineLevel="0" collapsed="false">
      <c r="A5" s="0" t="s">
        <v>29</v>
      </c>
      <c r="B5" s="2" t="n">
        <f aca="false">B4-B3</f>
        <v>0.0156320216754309</v>
      </c>
    </row>
    <row r="6" customFormat="false" ht="15" hidden="false" customHeight="false" outlineLevel="0" collapsed="false">
      <c r="A6" s="0" t="s">
        <v>30</v>
      </c>
      <c r="B6" s="1" t="n">
        <f aca="false">NAV!Z10</f>
        <v>763316493.663567</v>
      </c>
    </row>
    <row r="7" customFormat="false" ht="15" hidden="false" customHeight="false" outlineLevel="0" collapsed="false">
      <c r="A7" s="0" t="s">
        <v>31</v>
      </c>
      <c r="B7" s="1" t="n">
        <f aca="false">NAV!Z8</f>
        <v>13322170.4009603</v>
      </c>
    </row>
    <row r="8" customFormat="false" ht="15" hidden="false" customHeight="false" outlineLevel="0" collapsed="false">
      <c r="A8" s="0" t="s">
        <v>32</v>
      </c>
      <c r="B8" s="1" t="n">
        <f aca="false">SUM(NAV!$B$9:$Z$9)</f>
        <v>1002711.31839616</v>
      </c>
    </row>
    <row r="9" customFormat="false" ht="15" hidden="false" customHeight="false" outlineLevel="0" collapsed="false">
      <c r="A9" s="0" t="s">
        <v>33</v>
      </c>
      <c r="B9" s="1" t="n">
        <f aca="false">NAV!Z11</f>
        <v>114497474.049535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2026-10-18T01:10:31Z</dcterms:created>
  <dc:creator>openpyxl</dc:creator>
  <dc:description/>
  <dc:language>en-US</dc:language>
  <cp:lastModifiedBy/>
  <dcterms:modified xsi:type="dcterms:W3CDTF">2026-10-18T01:10:31Z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