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isk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<sst xmlns="http://schemas.openxmlformats.org/spreadsheetml/2006/main" count="17" uniqueCount="17">
  <si>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QASR AL RIMAL – MIXED-USE WITH A RISK SHEET (SAR)</t>
  </si>
  <si>
    <t xml:space="preserve">Gross development value (SAR)</t>
  </si>
  <si>
    <t xml:space="preserve">Construction cost (SAR)</t>
  </si>
  <si>
    <t xml:space="preserve">Land (SAR)</t>
  </si>
  <si>
    <t xml:space="preserve">Finance cost (SAR)</t>
  </si>
  <si>
    <t xml:space="preserve">Contingency</t>
  </si>
  <si>
    <t xml:space="preserve">Cost overrun volatility (risk sheet)</t>
  </si>
  <si>
    <t xml:space="preserve">Simulated cost overrun (one draw, recalculates every time)</t>
  </si>
  <si>
    <t xml:space="preserve">Draw</t>
  </si>
  <si>
    <t xml:space="preserve">Overrun</t>
  </si>
  <si>
    <t xml:space="preserve">Simulated profit (SAR)</t>
  </si>
  <si>
    <t xml:space="preserve">Random scenario number</t>
  </si>
  <si>
    <t xml:space="preserve">Net profit (SAR)</t>
  </si>
  <si>
    <t xml:space="preserve">Total cost (SAR)</t>
  </si>
  <si>
    <t xml:space="preserve">Profit on cost</t>
  </si>
  <si>
    <t xml:space="preserve">Gross revenue (SAR)</t>
  </si>
  <si>
    <t xml:space="preserve">Simulated profit, one draw (SAR)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</si>
</sst>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1450000000</v>
      </c>
    </row>
    <row r="4" customFormat="false" ht="15" hidden="false" customHeight="false" outlineLevel="0" collapsed="false">
      <c r="A4" s="0" t="s">
        <v>2</v>
      </c>
      <c r="B4" s="1" t="n">
        <v>820000000</v>
      </c>
    </row>
    <row r="5" customFormat="false" ht="15" hidden="false" customHeight="false" outlineLevel="0" collapsed="false">
      <c r="A5" s="0" t="s">
        <v>3</v>
      </c>
      <c r="B5" s="1" t="n">
        <v>260000000</v>
      </c>
    </row>
    <row r="6" customFormat="false" ht="15" hidden="false" customHeight="false" outlineLevel="0" collapsed="false">
      <c r="A6" s="0" t="s">
        <v>4</v>
      </c>
      <c r="B6" s="1" t="n">
        <v>95000000</v>
      </c>
    </row>
    <row r="7" customFormat="false" ht="15" hidden="false" customHeight="false" outlineLevel="0" collapsed="false">
      <c r="A7" s="0" t="s">
        <v>5</v>
      </c>
      <c r="B7" s="2" t="n">
        <v>0.05</v>
      </c>
    </row>
    <row r="8" customFormat="false" ht="15" hidden="false" customHeight="false" outlineLevel="0" collapsed="false">
      <c r="A8" s="0" t="s">
        <v>6</v>
      </c>
      <c r="B8" s="2" t="n">
        <v>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  <c r="B2" s="0" t="n">
        <f aca="true">RAND()</f>
        <v>0.209221374827549</v>
      </c>
    </row>
    <row r="3" customFormat="false" ht="15" hidden="false" customHeight="false" outlineLevel="0" collapsed="false">
      <c r="A3" s="0" t="s">
        <v>9</v>
      </c>
      <c r="B3" s="0" t="n">
        <f aca="false">_xlfn.NORM.INV(B2,0,Inputs!$B$8)</f>
        <v>-0.0970951042901156</v>
      </c>
    </row>
    <row r="4" customFormat="false" ht="15" hidden="false" customHeight="false" outlineLevel="0" collapsed="false">
      <c r="A4" s="0" t="s">
        <v>10</v>
      </c>
      <c r="B4" s="0" t="n">
        <f aca="false">Inputs!$B$3-Inputs!$B$4*(1+Inputs!$B$7+B3)-Inputs!$B$5-Inputs!$B$6</f>
        <v>313617985.517895</v>
      </c>
    </row>
    <row r="5" customFormat="false" ht="15" hidden="false" customHeight="false" outlineLevel="0" collapsed="false">
      <c r="A5" s="0" t="s">
        <v>11</v>
      </c>
      <c r="B5" s="0" t="n">
        <f aca="false">RANDBETWEEN(1,100)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12</v>
      </c>
      <c r="B3" s="1" t="n">
        <f aca="false">Inputs!$B$3-Inputs!$B$4*(1+Inputs!$B$7)-Inputs!$B$5-Inputs!$B$6</f>
        <v>234000000</v>
      </c>
    </row>
    <row r="4" customFormat="false" ht="15" hidden="false" customHeight="false" outlineLevel="0" collapsed="false">
      <c r="A4" s="0" t="s">
        <v>13</v>
      </c>
      <c r="B4" s="1" t="n">
        <f aca="false">Inputs!$B$4*(1+Inputs!$B$7)+Inputs!$B$5+Inputs!$B$6</f>
        <v>1216000000</v>
      </c>
    </row>
    <row r="5" customFormat="false" ht="15" hidden="false" customHeight="false" outlineLevel="0" collapsed="false">
      <c r="A5" s="0" t="s">
        <v>14</v>
      </c>
      <c r="B5" s="2" t="n">
        <f aca="false">B3/B4</f>
        <v>0.192434210526316</v>
      </c>
    </row>
    <row r="6" customFormat="false" ht="15" hidden="false" customHeight="false" outlineLevel="0" collapsed="false">
      <c r="A6" s="0" t="s">
        <v>15</v>
      </c>
      <c r="B6" s="1" t="n">
        <f aca="false">Inputs!$B$3</f>
        <v>1450000000</v>
      </c>
    </row>
    <row r="7" customFormat="false" ht="15" hidden="false" customHeight="false" outlineLevel="0" collapsed="false">
      <c r="A7" s="0" t="s">
        <v>16</v>
      </c>
      <c r="B7" s="1" t="n">
        <f aca="false">Risk!B4</f>
        <v>313617985.517895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2026-10-17T19:36:24Z</dcterms:created>
  <dc:creator>openpyxl</dc:creator>
  <dc:description/>
  <dc:language>en-US</dc:language>
  <cp:lastModifiedBy/>
  <dcterms:modified xsi:type="dcterms:W3CDTF">2026-10-17T19:36:24Z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