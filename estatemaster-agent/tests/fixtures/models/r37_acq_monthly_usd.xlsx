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 &amp; Monthly CF" sheetId="1" state="visible" r:id="rId3"/>
    <sheet name="AmortSched" sheetId="2" state="visible" r:id="rId4"/>
    <sheet name="AnnualCF &amp; Retur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<sst xmlns="http://schemas.openxmlformats.org/spreadsheetml/2006/main" count="142" uniqueCount="107">
  <si>
    <t xml:space="preserve">INPUTS AND MONTHLY CASH FLOW</t>
  </si>
  <si>
    <t xml:space="preserve">Inputs</t>
  </si>
  <si>
    <t xml:space="preserve">Monthly DCF</t>
  </si>
  <si>
    <t xml:space="preserve">Property Inputs</t>
  </si>
  <si>
    <t xml:space="preserve">Annual Growth Rate</t>
  </si>
  <si>
    <t xml:space="preserve">Unlevered DCF</t>
  </si>
  <si>
    <t xml:space="preserve">Date </t>
  </si>
  <si>
    <t xml:space="preserve">Calendar Year</t>
  </si>
  <si>
    <t xml:space="preserve">Fiscal Year</t>
  </si>
  <si>
    <t xml:space="preserve">Month</t>
  </si>
  <si>
    <t xml:space="preserve">Fiscal Month</t>
  </si>
  <si>
    <t xml:space="preserve">Analysis Start</t>
  </si>
  <si>
    <t xml:space="preserve">Purchase Price</t>
  </si>
  <si>
    <t xml:space="preserve">Start Month</t>
  </si>
  <si>
    <t xml:space="preserve">January</t>
  </si>
  <si>
    <t xml:space="preserve">Gross Potential Income</t>
  </si>
  <si>
    <t xml:space="preserve">Start Year</t>
  </si>
  <si>
    <t xml:space="preserve">Expected Vacancy</t>
  </si>
  <si>
    <t xml:space="preserve">Property Name</t>
  </si>
  <si>
    <t xml:space="preserve">Lakeside Logistics Park</t>
  </si>
  <si>
    <t xml:space="preserve">Additional Vacancy - (Input as Negative)</t>
  </si>
  <si>
    <t xml:space="preserve">City, State</t>
  </si>
  <si>
    <t xml:space="preserve">Columbus, OH</t>
  </si>
  <si>
    <t xml:space="preserve">Effective Gross Income</t>
  </si>
  <si>
    <t xml:space="preserve">Tax</t>
  </si>
  <si>
    <t xml:space="preserve">Property SF</t>
  </si>
  <si>
    <t xml:space="preserve">Insurance</t>
  </si>
  <si>
    <t xml:space="preserve">CAM</t>
  </si>
  <si>
    <t xml:space="preserve">Going in Cap Rate</t>
  </si>
  <si>
    <t xml:space="preserve">Mgmt Fee</t>
  </si>
  <si>
    <t xml:space="preserve">$/PSF</t>
  </si>
  <si>
    <t xml:space="preserve">NOI</t>
  </si>
  <si>
    <t xml:space="preserve">Closing costs</t>
  </si>
  <si>
    <t xml:space="preserve">Leasing Commissions - (Input as Negative)</t>
  </si>
  <si>
    <t xml:space="preserve">All-in Purchase Cost </t>
  </si>
  <si>
    <t xml:space="preserve">Tenant Improvements - (Input as Negative)</t>
  </si>
  <si>
    <t xml:space="preserve">Hold Period</t>
  </si>
  <si>
    <t xml:space="preserve">Cap Ex &amp; Misc</t>
  </si>
  <si>
    <t xml:space="preserve">Exit Month</t>
  </si>
  <si>
    <t xml:space="preserve">Exit Year</t>
  </si>
  <si>
    <t xml:space="preserve">CFO</t>
  </si>
  <si>
    <t xml:space="preserve">Gross Potential Rent - Year 1</t>
  </si>
  <si>
    <t xml:space="preserve">Reimbursable Expenses Year 1</t>
  </si>
  <si>
    <t xml:space="preserve">Sale</t>
  </si>
  <si>
    <t xml:space="preserve">Misc. Income</t>
  </si>
  <si>
    <t xml:space="preserve">Selling Expenses</t>
  </si>
  <si>
    <t xml:space="preserve">Gross Potential Income Year 1</t>
  </si>
  <si>
    <t xml:space="preserve">Proceeds</t>
  </si>
  <si>
    <t xml:space="preserve">Expected Vacancy Loss (% of GPI)</t>
  </si>
  <si>
    <t xml:space="preserve">Tax in Year 1</t>
  </si>
  <si>
    <t xml:space="preserve">Unlvered Cash Flow</t>
  </si>
  <si>
    <t xml:space="preserve">Tax Payable in Month</t>
  </si>
  <si>
    <t xml:space="preserve">October</t>
  </si>
  <si>
    <t xml:space="preserve">IRR</t>
  </si>
  <si>
    <t xml:space="preserve">Annual Insurance premium</t>
  </si>
  <si>
    <t xml:space="preserve">Equity Multiple</t>
  </si>
  <si>
    <t xml:space="preserve">Insurance Payable in Month</t>
  </si>
  <si>
    <t xml:space="preserve">March</t>
  </si>
  <si>
    <t xml:space="preserve">Net Gain (loss)</t>
  </si>
  <si>
    <t xml:space="preserve">CAM (Annual Expense)</t>
  </si>
  <si>
    <t xml:space="preserve">Property Mgmt Fee </t>
  </si>
  <si>
    <t xml:space="preserve">Ave Annual Cap ex &amp; Misc</t>
  </si>
  <si>
    <t xml:space="preserve">Levered DCF</t>
  </si>
  <si>
    <t xml:space="preserve">Loan Proceeds</t>
  </si>
  <si>
    <t xml:space="preserve">Going Out Cap Rate</t>
  </si>
  <si>
    <t xml:space="preserve">Debt Inputs</t>
  </si>
  <si>
    <t xml:space="preserve">LTV</t>
  </si>
  <si>
    <t xml:space="preserve">Int Rate</t>
  </si>
  <si>
    <t xml:space="preserve">Amort. Period (Max 30 years)</t>
  </si>
  <si>
    <t xml:space="preserve">Points</t>
  </si>
  <si>
    <t xml:space="preserve">Pmt</t>
  </si>
  <si>
    <t xml:space="preserve">Loan Repayment</t>
  </si>
  <si>
    <t xml:space="preserve">Debt Payments</t>
  </si>
  <si>
    <t xml:space="preserve">CFAF</t>
  </si>
  <si>
    <t xml:space="preserve">Levered Cash Flow</t>
  </si>
  <si>
    <t xml:space="preserve">Year</t>
  </si>
  <si>
    <t xml:space="preserve">DSCR</t>
  </si>
  <si>
    <t xml:space="preserve">February</t>
  </si>
  <si>
    <t xml:space="preserve">April</t>
  </si>
  <si>
    <t xml:space="preserve">May</t>
  </si>
  <si>
    <t xml:space="preserve">June</t>
  </si>
  <si>
    <t xml:space="preserve">July</t>
  </si>
  <si>
    <t xml:space="preserve">August</t>
  </si>
  <si>
    <t xml:space="preserve">September</t>
  </si>
  <si>
    <t xml:space="preserve">November</t>
  </si>
  <si>
    <t xml:space="preserve">December</t>
  </si>
  <si>
    <t xml:space="preserve">AMORTIZATION SCHEDULE</t>
  </si>
  <si>
    <t xml:space="preserve">Loan Amortization Schedule</t>
  </si>
  <si>
    <t xml:space="preserve">Period</t>
  </si>
  <si>
    <t xml:space="preserve">Balance</t>
  </si>
  <si>
    <t xml:space="preserve">Int</t>
  </si>
  <si>
    <t xml:space="preserve">Princ</t>
  </si>
  <si>
    <t xml:space="preserve">End</t>
  </si>
  <si>
    <t xml:space="preserve">RETURNS AND ANNUAL CASH FLOW</t>
  </si>
  <si>
    <t xml:space="preserve">Return Metrics &amp; Sensitivity</t>
  </si>
  <si>
    <t xml:space="preserve">Annual Cash Flow</t>
  </si>
  <si>
    <t xml:space="preserve">Return Summary</t>
  </si>
  <si>
    <t xml:space="preserve">Purchase Price PSF</t>
  </si>
  <si>
    <t xml:space="preserve">Going-In Cap Rate</t>
  </si>
  <si>
    <t xml:space="preserve">Going-Out Cap Rate</t>
  </si>
  <si>
    <t xml:space="preserve">Exit Price</t>
  </si>
  <si>
    <t xml:space="preserve">Unlevered Return Summary</t>
  </si>
  <si>
    <t xml:space="preserve">NPV Discount Rate</t>
  </si>
  <si>
    <t xml:space="preserve">NPV</t>
  </si>
  <si>
    <t xml:space="preserve">Levered Return Summary</t>
  </si>
  <si>
    <t xml:space="preserve">Equity Needed at Acquisition</t>
  </si>
  <si>
    <t xml:space="preserve">Min DSCR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</si>
</sst>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mmm\-yy"/>
    <numFmt numFmtId="166" formatCode="0"/>
    <numFmt numFmtId="167" formatCode="General"/>
    <numFmt numFmtId="168" formatCode="0.00%"/>
    <numFmt numFmtId="169" formatCode="#,##0"/>
    <numFmt numFmtId="170" formatCode="#,##0.00"/>
    <numFmt numFmtId="171" formatCode="0.00\x"/>
    <numFmt numFmtId="172" formatCode="0.00"/>
    <numFmt numFmtId="173" formatCode="[$$-409]#,##0.00;[RED]\-[$$-409]#,##0.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L9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2" customFormat="false" ht="15" hidden="false" customHeight="false" outlineLevel="0" collapsed="false">
      <c r="B2" s="0" t="s">
        <v>0</v>
      </c>
    </row>
    <row r="10" customFormat="false" ht="15" hidden="false" customHeight="false" outlineLevel="0" collapsed="false">
      <c r="C10" s="0" t="s">
        <v>1</v>
      </c>
      <c r="H10" s="0" t="s">
        <v>2</v>
      </c>
    </row>
    <row r="12" customFormat="false" ht="15" hidden="false" customHeight="false" outlineLevel="0" collapsed="false">
      <c r="C12" s="0" t="s">
        <v>3</v>
      </c>
      <c r="H12" s="0" t="s">
        <v>4</v>
      </c>
      <c r="I12" s="0" t="s">
        <v>5</v>
      </c>
    </row>
    <row r="13" customFormat="false" ht="15" hidden="false" customHeight="false" outlineLevel="0" collapsed="false">
      <c r="I13" s="0" t="s">
        <v>6</v>
      </c>
      <c r="J13" s="1" t="n">
        <f aca="false">$D$19</f>
        <v>46023</v>
      </c>
      <c r="K13" s="1" t="n">
        <f aca="false">EDATE(J13,1)</f>
        <v>46054</v>
      </c>
      <c r="L13" s="1" t="n">
        <f aca="false">EDATE(K13,1)</f>
        <v>46082</v>
      </c>
      <c r="M13" s="1" t="n">
        <f aca="false">EDATE(L13,1)</f>
        <v>46113</v>
      </c>
      <c r="N13" s="1" t="n">
        <f aca="false">EDATE(M13,1)</f>
        <v>46143</v>
      </c>
      <c r="O13" s="1" t="n">
        <f aca="false">EDATE(N13,1)</f>
        <v>46174</v>
      </c>
      <c r="P13" s="1" t="n">
        <f aca="false">EDATE(O13,1)</f>
        <v>46204</v>
      </c>
      <c r="Q13" s="1" t="n">
        <f aca="false">EDATE(P13,1)</f>
        <v>46235</v>
      </c>
      <c r="R13" s="1" t="n">
        <f aca="false">EDATE(Q13,1)</f>
        <v>46266</v>
      </c>
      <c r="S13" s="1" t="n">
        <f aca="false">EDATE(R13,1)</f>
        <v>46296</v>
      </c>
      <c r="T13" s="1" t="n">
        <f aca="false">EDATE(S13,1)</f>
        <v>46327</v>
      </c>
      <c r="U13" s="1" t="n">
        <f aca="false">EDATE(T13,1)</f>
        <v>46357</v>
      </c>
      <c r="V13" s="1" t="n">
        <f aca="false">EDATE(U13,1)</f>
        <v>46388</v>
      </c>
      <c r="W13" s="1" t="n">
        <f aca="false">EDATE(V13,1)</f>
        <v>46419</v>
      </c>
      <c r="X13" s="1" t="n">
        <f aca="false">EDATE(W13,1)</f>
        <v>46447</v>
      </c>
      <c r="Y13" s="1" t="n">
        <f aca="false">EDATE(X13,1)</f>
        <v>46478</v>
      </c>
      <c r="Z13" s="1" t="n">
        <f aca="false">EDATE(Y13,1)</f>
        <v>46508</v>
      </c>
      <c r="AA13" s="1" t="n">
        <f aca="false">EDATE(Z13,1)</f>
        <v>46539</v>
      </c>
      <c r="AB13" s="1" t="n">
        <f aca="false">EDATE(AA13,1)</f>
        <v>46569</v>
      </c>
      <c r="AC13" s="1" t="n">
        <f aca="false">EDATE(AB13,1)</f>
        <v>46600</v>
      </c>
      <c r="AD13" s="1" t="n">
        <f aca="false">EDATE(AC13,1)</f>
        <v>46631</v>
      </c>
      <c r="AE13" s="1" t="n">
        <f aca="false">EDATE(AD13,1)</f>
        <v>46661</v>
      </c>
      <c r="AF13" s="1" t="n">
        <f aca="false">EDATE(AE13,1)</f>
        <v>46692</v>
      </c>
      <c r="AG13" s="1" t="n">
        <f aca="false">EDATE(AF13,1)</f>
        <v>46722</v>
      </c>
      <c r="AH13" s="1" t="n">
        <f aca="false">EDATE(AG13,1)</f>
        <v>46753</v>
      </c>
      <c r="AI13" s="1" t="n">
        <f aca="false">EDATE(AH13,1)</f>
        <v>46784</v>
      </c>
      <c r="AJ13" s="1" t="n">
        <f aca="false">EDATE(AI13,1)</f>
        <v>46813</v>
      </c>
      <c r="AK13" s="1" t="n">
        <f aca="false">EDATE(AJ13,1)</f>
        <v>46844</v>
      </c>
      <c r="AL13" s="1" t="n">
        <f aca="false">EDATE(AK13,1)</f>
        <v>46874</v>
      </c>
      <c r="AM13" s="1" t="n">
        <f aca="false">EDATE(AL13,1)</f>
        <v>46905</v>
      </c>
      <c r="AN13" s="1" t="n">
        <f aca="false">EDATE(AM13,1)</f>
        <v>46935</v>
      </c>
      <c r="AO13" s="1" t="n">
        <f aca="false">EDATE(AN13,1)</f>
        <v>46966</v>
      </c>
      <c r="AP13" s="1" t="n">
        <f aca="false">EDATE(AO13,1)</f>
        <v>46997</v>
      </c>
      <c r="AQ13" s="1" t="n">
        <f aca="false">EDATE(AP13,1)</f>
        <v>47027</v>
      </c>
      <c r="AR13" s="1" t="n">
        <f aca="false">EDATE(AQ13,1)</f>
        <v>47058</v>
      </c>
      <c r="AS13" s="1" t="n">
        <f aca="false">EDATE(AR13,1)</f>
        <v>47088</v>
      </c>
      <c r="AT13" s="1" t="n">
        <f aca="false">EDATE(AS13,1)</f>
        <v>47119</v>
      </c>
      <c r="AU13" s="1" t="n">
        <f aca="false">EDATE(AT13,1)</f>
        <v>47150</v>
      </c>
      <c r="AV13" s="1" t="n">
        <f aca="false">EDATE(AU13,1)</f>
        <v>47178</v>
      </c>
      <c r="AW13" s="1" t="n">
        <f aca="false">EDATE(AV13,1)</f>
        <v>47209</v>
      </c>
      <c r="AX13" s="1" t="n">
        <f aca="false">EDATE(AW13,1)</f>
        <v>47239</v>
      </c>
      <c r="AY13" s="1" t="n">
        <f aca="false">EDATE(AX13,1)</f>
        <v>47270</v>
      </c>
      <c r="AZ13" s="1" t="n">
        <f aca="false">EDATE(AY13,1)</f>
        <v>47300</v>
      </c>
      <c r="BA13" s="1" t="n">
        <f aca="false">EDATE(AZ13,1)</f>
        <v>47331</v>
      </c>
      <c r="BB13" s="1" t="n">
        <f aca="false">EDATE(BA13,1)</f>
        <v>47362</v>
      </c>
      <c r="BC13" s="1" t="n">
        <f aca="false">EDATE(BB13,1)</f>
        <v>47392</v>
      </c>
      <c r="BD13" s="1" t="n">
        <f aca="false">EDATE(BC13,1)</f>
        <v>47423</v>
      </c>
      <c r="BE13" s="1" t="n">
        <f aca="false">EDATE(BD13,1)</f>
        <v>47453</v>
      </c>
      <c r="BF13" s="1" t="n">
        <f aca="false">EDATE(BE13,1)</f>
        <v>47484</v>
      </c>
      <c r="BG13" s="1" t="n">
        <f aca="false">EDATE(BF13,1)</f>
        <v>47515</v>
      </c>
      <c r="BH13" s="1" t="n">
        <f aca="false">EDATE(BG13,1)</f>
        <v>47543</v>
      </c>
      <c r="BI13" s="1" t="n">
        <f aca="false">EDATE(BH13,1)</f>
        <v>47574</v>
      </c>
      <c r="BJ13" s="1" t="n">
        <f aca="false">EDATE(BI13,1)</f>
        <v>47604</v>
      </c>
      <c r="BK13" s="1" t="n">
        <f aca="false">EDATE(BJ13,1)</f>
        <v>47635</v>
      </c>
      <c r="BL13" s="1" t="n">
        <f aca="false">EDATE(BK13,1)</f>
        <v>47665</v>
      </c>
      <c r="BM13" s="1" t="n">
        <f aca="false">EDATE(BL13,1)</f>
        <v>47696</v>
      </c>
      <c r="BN13" s="1" t="n">
        <f aca="false">EDATE(BM13,1)</f>
        <v>47727</v>
      </c>
      <c r="BO13" s="1" t="n">
        <f aca="false">EDATE(BN13,1)</f>
        <v>47757</v>
      </c>
      <c r="BP13" s="1" t="n">
        <f aca="false">EDATE(BO13,1)</f>
        <v>47788</v>
      </c>
      <c r="BQ13" s="1" t="n">
        <f aca="false">EDATE(BP13,1)</f>
        <v>47818</v>
      </c>
      <c r="BR13" s="1" t="n">
        <f aca="false">EDATE(BQ13,1)</f>
        <v>47849</v>
      </c>
      <c r="BS13" s="1" t="n">
        <f aca="false">EDATE(BR13,1)</f>
        <v>47880</v>
      </c>
      <c r="BT13" s="1" t="n">
        <f aca="false">EDATE(BS13,1)</f>
        <v>47908</v>
      </c>
      <c r="BU13" s="1" t="n">
        <f aca="false">EDATE(BT13,1)</f>
        <v>47939</v>
      </c>
      <c r="BV13" s="1" t="n">
        <f aca="false">EDATE(BU13,1)</f>
        <v>47969</v>
      </c>
      <c r="BW13" s="1" t="n">
        <f aca="false">EDATE(BV13,1)</f>
        <v>48000</v>
      </c>
      <c r="BX13" s="1" t="n">
        <f aca="false">EDATE(BW13,1)</f>
        <v>48030</v>
      </c>
      <c r="BY13" s="1" t="n">
        <f aca="false">EDATE(BX13,1)</f>
        <v>48061</v>
      </c>
      <c r="BZ13" s="1" t="n">
        <f aca="false">EDATE(BY13,1)</f>
        <v>48092</v>
      </c>
      <c r="CA13" s="1" t="n">
        <f aca="false">EDATE(BZ13,1)</f>
        <v>48122</v>
      </c>
      <c r="CB13" s="1" t="n">
        <f aca="false">EDATE(CA13,1)</f>
        <v>48153</v>
      </c>
      <c r="CC13" s="1" t="n">
        <f aca="false">EDATE(CB13,1)</f>
        <v>48183</v>
      </c>
      <c r="CD13" s="1" t="n">
        <f aca="false">EDATE(CC13,1)</f>
        <v>48214</v>
      </c>
      <c r="CE13" s="1" t="n">
        <f aca="false">EDATE(CD13,1)</f>
        <v>48245</v>
      </c>
      <c r="CF13" s="1" t="n">
        <f aca="false">EDATE(CE13,1)</f>
        <v>48274</v>
      </c>
      <c r="CG13" s="1" t="n">
        <f aca="false">EDATE(CF13,1)</f>
        <v>48305</v>
      </c>
      <c r="CH13" s="1" t="n">
        <f aca="false">EDATE(CG13,1)</f>
        <v>48335</v>
      </c>
      <c r="CI13" s="1" t="n">
        <f aca="false">EDATE(CH13,1)</f>
        <v>48366</v>
      </c>
      <c r="CJ13" s="1" t="n">
        <f aca="false">EDATE(CI13,1)</f>
        <v>48396</v>
      </c>
      <c r="CK13" s="1" t="n">
        <f aca="false">EDATE(CJ13,1)</f>
        <v>48427</v>
      </c>
      <c r="CL13" s="1" t="n">
        <f aca="false">EDATE(CK13,1)</f>
        <v>48458</v>
      </c>
      <c r="CM13" s="1" t="n">
        <f aca="false">EDATE(CL13,1)</f>
        <v>48488</v>
      </c>
      <c r="CN13" s="1" t="n">
        <f aca="false">EDATE(CM13,1)</f>
        <v>48519</v>
      </c>
      <c r="CO13" s="1" t="n">
        <f aca="false">EDATE(CN13,1)</f>
        <v>48549</v>
      </c>
      <c r="CP13" s="1" t="n">
        <f aca="false">EDATE(CO13,1)</f>
        <v>48580</v>
      </c>
      <c r="CQ13" s="1" t="n">
        <f aca="false">EDATE(CP13,1)</f>
        <v>48611</v>
      </c>
      <c r="CR13" s="1" t="n">
        <f aca="false">EDATE(CQ13,1)</f>
        <v>48639</v>
      </c>
      <c r="CS13" s="1" t="n">
        <f aca="false">EDATE(CR13,1)</f>
        <v>48670</v>
      </c>
      <c r="CT13" s="1" t="n">
        <f aca="false">EDATE(CS13,1)</f>
        <v>48700</v>
      </c>
      <c r="CU13" s="1" t="n">
        <f aca="false">EDATE(CT13,1)</f>
        <v>48731</v>
      </c>
      <c r="CV13" s="1" t="n">
        <f aca="false">EDATE(CU13,1)</f>
        <v>48761</v>
      </c>
      <c r="CW13" s="1" t="n">
        <f aca="false">EDATE(CV13,1)</f>
        <v>48792</v>
      </c>
      <c r="CX13" s="1" t="n">
        <f aca="false">EDATE(CW13,1)</f>
        <v>48823</v>
      </c>
      <c r="CY13" s="1" t="n">
        <f aca="false">EDATE(CX13,1)</f>
        <v>48853</v>
      </c>
      <c r="CZ13" s="1" t="n">
        <f aca="false">EDATE(CY13,1)</f>
        <v>48884</v>
      </c>
      <c r="DA13" s="1" t="n">
        <f aca="false">EDATE(CZ13,1)</f>
        <v>48914</v>
      </c>
      <c r="DB13" s="1" t="n">
        <f aca="false">EDATE(DA13,1)</f>
        <v>48945</v>
      </c>
      <c r="DC13" s="1" t="n">
        <f aca="false">EDATE(DB13,1)</f>
        <v>48976</v>
      </c>
      <c r="DD13" s="1" t="n">
        <f aca="false">EDATE(DC13,1)</f>
        <v>49004</v>
      </c>
      <c r="DE13" s="1" t="n">
        <f aca="false">EDATE(DD13,1)</f>
        <v>49035</v>
      </c>
      <c r="DF13" s="1" t="n">
        <f aca="false">EDATE(DE13,1)</f>
        <v>49065</v>
      </c>
      <c r="DG13" s="1" t="n">
        <f aca="false">EDATE(DF13,1)</f>
        <v>49096</v>
      </c>
      <c r="DH13" s="1" t="n">
        <f aca="false">EDATE(DG13,1)</f>
        <v>49126</v>
      </c>
      <c r="DI13" s="1" t="n">
        <f aca="false">EDATE(DH13,1)</f>
        <v>49157</v>
      </c>
      <c r="DJ13" s="1" t="n">
        <f aca="false">EDATE(DI13,1)</f>
        <v>49188</v>
      </c>
      <c r="DK13" s="1" t="n">
        <f aca="false">EDATE(DJ13,1)</f>
        <v>49218</v>
      </c>
      <c r="DL13" s="1" t="n">
        <f aca="false">EDATE(DK13,1)</f>
        <v>49249</v>
      </c>
      <c r="DM13" s="1" t="n">
        <f aca="false">EDATE(DL13,1)</f>
        <v>49279</v>
      </c>
      <c r="DN13" s="1" t="n">
        <f aca="false">EDATE(DM13,1)</f>
        <v>49310</v>
      </c>
      <c r="DO13" s="1" t="n">
        <f aca="false">EDATE(DN13,1)</f>
        <v>49341</v>
      </c>
      <c r="DP13" s="1" t="n">
        <f aca="false">EDATE(DO13,1)</f>
        <v>49369</v>
      </c>
      <c r="DQ13" s="1" t="n">
        <f aca="false">EDATE(DP13,1)</f>
        <v>49400</v>
      </c>
      <c r="DR13" s="1" t="n">
        <f aca="false">EDATE(DQ13,1)</f>
        <v>49430</v>
      </c>
      <c r="DS13" s="1" t="n">
        <f aca="false">EDATE(DR13,1)</f>
        <v>49461</v>
      </c>
      <c r="DT13" s="1" t="n">
        <f aca="false">EDATE(DS13,1)</f>
        <v>49491</v>
      </c>
      <c r="DU13" s="1" t="n">
        <f aca="false">EDATE(DT13,1)</f>
        <v>49522</v>
      </c>
      <c r="DV13" s="1" t="n">
        <f aca="false">EDATE(DU13,1)</f>
        <v>49553</v>
      </c>
      <c r="DW13" s="1" t="n">
        <f aca="false">EDATE(DV13,1)</f>
        <v>49583</v>
      </c>
      <c r="DX13" s="1" t="n">
        <f aca="false">EDATE(DW13,1)</f>
        <v>49614</v>
      </c>
      <c r="DY13" s="1" t="n">
        <f aca="false">EDATE(DX13,1)</f>
        <v>49644</v>
      </c>
      <c r="DZ13" s="1" t="n">
        <f aca="false">EDATE(DY13,1)</f>
        <v>49675</v>
      </c>
      <c r="EA13" s="1" t="n">
        <f aca="false">EDATE(DZ13,1)</f>
        <v>49706</v>
      </c>
      <c r="EB13" s="1" t="n">
        <f aca="false">EDATE(EA13,1)</f>
        <v>49735</v>
      </c>
      <c r="EC13" s="1" t="n">
        <f aca="false">EDATE(EB13,1)</f>
        <v>49766</v>
      </c>
      <c r="ED13" s="1" t="n">
        <f aca="false">EDATE(EC13,1)</f>
        <v>49796</v>
      </c>
      <c r="EE13" s="1" t="n">
        <f aca="false">EDATE(ED13,1)</f>
        <v>49827</v>
      </c>
      <c r="EF13" s="1" t="n">
        <f aca="false">EDATE(EE13,1)</f>
        <v>49857</v>
      </c>
      <c r="EG13" s="1" t="n">
        <f aca="false">EDATE(EF13,1)</f>
        <v>49888</v>
      </c>
      <c r="EH13" s="1" t="n">
        <f aca="false">EDATE(EG13,1)</f>
        <v>49919</v>
      </c>
      <c r="EI13" s="1" t="n">
        <f aca="false">EDATE(EH13,1)</f>
        <v>49949</v>
      </c>
      <c r="EJ13" s="1" t="n">
        <f aca="false">EDATE(EI13,1)</f>
        <v>49980</v>
      </c>
      <c r="EK13" s="1" t="n">
        <f aca="false">EDATE(EJ13,1)</f>
        <v>50010</v>
      </c>
      <c r="EL13" s="1" t="n">
        <f aca="false">EDATE(EK13,1)</f>
        <v>50041</v>
      </c>
    </row>
    <row r="14" customFormat="false" ht="15" hidden="false" customHeight="false" outlineLevel="0" collapsed="false">
      <c r="I14" s="0" t="s">
        <v>7</v>
      </c>
      <c r="J14" s="2" t="n">
        <f aca="false">$D$21</f>
        <v>2026</v>
      </c>
      <c r="K14" s="3" t="n">
        <f aca="false">YEAR(K13)</f>
        <v>2026</v>
      </c>
      <c r="L14" s="3" t="n">
        <f aca="false">YEAR(L13)</f>
        <v>2026</v>
      </c>
      <c r="M14" s="3" t="n">
        <f aca="false">YEAR(M13)</f>
        <v>2026</v>
      </c>
      <c r="N14" s="3" t="n">
        <f aca="false">YEAR(N13)</f>
        <v>2026</v>
      </c>
      <c r="O14" s="3" t="n">
        <f aca="false">YEAR(O13)</f>
        <v>2026</v>
      </c>
      <c r="P14" s="3" t="n">
        <f aca="false">YEAR(P13)</f>
        <v>2026</v>
      </c>
      <c r="Q14" s="3" t="n">
        <f aca="false">YEAR(Q13)</f>
        <v>2026</v>
      </c>
      <c r="R14" s="3" t="n">
        <f aca="false">YEAR(R13)</f>
        <v>2026</v>
      </c>
      <c r="S14" s="3" t="n">
        <f aca="false">YEAR(S13)</f>
        <v>2026</v>
      </c>
      <c r="T14" s="3" t="n">
        <f aca="false">YEAR(T13)</f>
        <v>2026</v>
      </c>
      <c r="U14" s="3" t="n">
        <f aca="false">YEAR(U13)</f>
        <v>2026</v>
      </c>
      <c r="V14" s="3" t="n">
        <f aca="false">YEAR(V13)</f>
        <v>2027</v>
      </c>
      <c r="W14" s="3" t="n">
        <f aca="false">YEAR(W13)</f>
        <v>2027</v>
      </c>
      <c r="X14" s="3" t="n">
        <f aca="false">YEAR(X13)</f>
        <v>2027</v>
      </c>
      <c r="Y14" s="3" t="n">
        <f aca="false">YEAR(Y13)</f>
        <v>2027</v>
      </c>
      <c r="Z14" s="3" t="n">
        <f aca="false">YEAR(Z13)</f>
        <v>2027</v>
      </c>
      <c r="AA14" s="3" t="n">
        <f aca="false">YEAR(AA13)</f>
        <v>2027</v>
      </c>
      <c r="AB14" s="3" t="n">
        <f aca="false">YEAR(AB13)</f>
        <v>2027</v>
      </c>
      <c r="AC14" s="3" t="n">
        <f aca="false">YEAR(AC13)</f>
        <v>2027</v>
      </c>
      <c r="AD14" s="3" t="n">
        <f aca="false">YEAR(AD13)</f>
        <v>2027</v>
      </c>
      <c r="AE14" s="3" t="n">
        <f aca="false">YEAR(AE13)</f>
        <v>2027</v>
      </c>
      <c r="AF14" s="3" t="n">
        <f aca="false">YEAR(AF13)</f>
        <v>2027</v>
      </c>
      <c r="AG14" s="3" t="n">
        <f aca="false">YEAR(AG13)</f>
        <v>2027</v>
      </c>
      <c r="AH14" s="3" t="n">
        <f aca="false">YEAR(AH13)</f>
        <v>2028</v>
      </c>
      <c r="AI14" s="3" t="n">
        <f aca="false">YEAR(AI13)</f>
        <v>2028</v>
      </c>
      <c r="AJ14" s="3" t="n">
        <f aca="false">YEAR(AJ13)</f>
        <v>2028</v>
      </c>
      <c r="AK14" s="3" t="n">
        <f aca="false">YEAR(AK13)</f>
        <v>2028</v>
      </c>
      <c r="AL14" s="3" t="n">
        <f aca="false">YEAR(AL13)</f>
        <v>2028</v>
      </c>
      <c r="AM14" s="3" t="n">
        <f aca="false">YEAR(AM13)</f>
        <v>2028</v>
      </c>
      <c r="AN14" s="3" t="n">
        <f aca="false">YEAR(AN13)</f>
        <v>2028</v>
      </c>
      <c r="AO14" s="3" t="n">
        <f aca="false">YEAR(AO13)</f>
        <v>2028</v>
      </c>
      <c r="AP14" s="3" t="n">
        <f aca="false">YEAR(AP13)</f>
        <v>2028</v>
      </c>
      <c r="AQ14" s="3" t="n">
        <f aca="false">YEAR(AQ13)</f>
        <v>2028</v>
      </c>
      <c r="AR14" s="3" t="n">
        <f aca="false">YEAR(AR13)</f>
        <v>2028</v>
      </c>
      <c r="AS14" s="3" t="n">
        <f aca="false">YEAR(AS13)</f>
        <v>2028</v>
      </c>
      <c r="AT14" s="3" t="n">
        <f aca="false">YEAR(AT13)</f>
        <v>2029</v>
      </c>
      <c r="AU14" s="3" t="n">
        <f aca="false">YEAR(AU13)</f>
        <v>2029</v>
      </c>
      <c r="AV14" s="3" t="n">
        <f aca="false">YEAR(AV13)</f>
        <v>2029</v>
      </c>
      <c r="AW14" s="3" t="n">
        <f aca="false">YEAR(AW13)</f>
        <v>2029</v>
      </c>
      <c r="AX14" s="3" t="n">
        <f aca="false">YEAR(AX13)</f>
        <v>2029</v>
      </c>
      <c r="AY14" s="3" t="n">
        <f aca="false">YEAR(AY13)</f>
        <v>2029</v>
      </c>
      <c r="AZ14" s="3" t="n">
        <f aca="false">YEAR(AZ13)</f>
        <v>2029</v>
      </c>
      <c r="BA14" s="3" t="n">
        <f aca="false">YEAR(BA13)</f>
        <v>2029</v>
      </c>
      <c r="BB14" s="3" t="n">
        <f aca="false">YEAR(BB13)</f>
        <v>2029</v>
      </c>
      <c r="BC14" s="3" t="n">
        <f aca="false">YEAR(BC13)</f>
        <v>2029</v>
      </c>
      <c r="BD14" s="3" t="n">
        <f aca="false">YEAR(BD13)</f>
        <v>2029</v>
      </c>
      <c r="BE14" s="3" t="n">
        <f aca="false">YEAR(BE13)</f>
        <v>2029</v>
      </c>
      <c r="BF14" s="3" t="n">
        <f aca="false">YEAR(BF13)</f>
        <v>2030</v>
      </c>
      <c r="BG14" s="3" t="n">
        <f aca="false">YEAR(BG13)</f>
        <v>2030</v>
      </c>
      <c r="BH14" s="3" t="n">
        <f aca="false">YEAR(BH13)</f>
        <v>2030</v>
      </c>
      <c r="BI14" s="3" t="n">
        <f aca="false">YEAR(BI13)</f>
        <v>2030</v>
      </c>
      <c r="BJ14" s="3" t="n">
        <f aca="false">YEAR(BJ13)</f>
        <v>2030</v>
      </c>
      <c r="BK14" s="3" t="n">
        <f aca="false">YEAR(BK13)</f>
        <v>2030</v>
      </c>
      <c r="BL14" s="3" t="n">
        <f aca="false">YEAR(BL13)</f>
        <v>2030</v>
      </c>
      <c r="BM14" s="3" t="n">
        <f aca="false">YEAR(BM13)</f>
        <v>2030</v>
      </c>
      <c r="BN14" s="3" t="n">
        <f aca="false">YEAR(BN13)</f>
        <v>2030</v>
      </c>
      <c r="BO14" s="3" t="n">
        <f aca="false">YEAR(BO13)</f>
        <v>2030</v>
      </c>
      <c r="BP14" s="3" t="n">
        <f aca="false">YEAR(BP13)</f>
        <v>2030</v>
      </c>
      <c r="BQ14" s="3" t="n">
        <f aca="false">YEAR(BQ13)</f>
        <v>2030</v>
      </c>
      <c r="BR14" s="3" t="n">
        <f aca="false">YEAR(BR13)</f>
        <v>2031</v>
      </c>
      <c r="BS14" s="3" t="n">
        <f aca="false">YEAR(BS13)</f>
        <v>2031</v>
      </c>
      <c r="BT14" s="3" t="n">
        <f aca="false">YEAR(BT13)</f>
        <v>2031</v>
      </c>
      <c r="BU14" s="3" t="n">
        <f aca="false">YEAR(BU13)</f>
        <v>2031</v>
      </c>
      <c r="BV14" s="3" t="n">
        <f aca="false">YEAR(BV13)</f>
        <v>2031</v>
      </c>
      <c r="BW14" s="3" t="n">
        <f aca="false">YEAR(BW13)</f>
        <v>2031</v>
      </c>
      <c r="BX14" s="3" t="n">
        <f aca="false">YEAR(BX13)</f>
        <v>2031</v>
      </c>
      <c r="BY14" s="3" t="n">
        <f aca="false">YEAR(BY13)</f>
        <v>2031</v>
      </c>
      <c r="BZ14" s="3" t="n">
        <f aca="false">YEAR(BZ13)</f>
        <v>2031</v>
      </c>
      <c r="CA14" s="3" t="n">
        <f aca="false">YEAR(CA13)</f>
        <v>2031</v>
      </c>
      <c r="CB14" s="3" t="n">
        <f aca="false">YEAR(CB13)</f>
        <v>2031</v>
      </c>
      <c r="CC14" s="3" t="n">
        <f aca="false">YEAR(CC13)</f>
        <v>2031</v>
      </c>
      <c r="CD14" s="3" t="n">
        <f aca="false">YEAR(CD13)</f>
        <v>2032</v>
      </c>
      <c r="CE14" s="3" t="n">
        <f aca="false">YEAR(CE13)</f>
        <v>2032</v>
      </c>
      <c r="CF14" s="3" t="n">
        <f aca="false">YEAR(CF13)</f>
        <v>2032</v>
      </c>
      <c r="CG14" s="3" t="n">
        <f aca="false">YEAR(CG13)</f>
        <v>2032</v>
      </c>
      <c r="CH14" s="3" t="n">
        <f aca="false">YEAR(CH13)</f>
        <v>2032</v>
      </c>
      <c r="CI14" s="3" t="n">
        <f aca="false">YEAR(CI13)</f>
        <v>2032</v>
      </c>
      <c r="CJ14" s="3" t="n">
        <f aca="false">YEAR(CJ13)</f>
        <v>2032</v>
      </c>
      <c r="CK14" s="3" t="n">
        <f aca="false">YEAR(CK13)</f>
        <v>2032</v>
      </c>
      <c r="CL14" s="3" t="n">
        <f aca="false">YEAR(CL13)</f>
        <v>2032</v>
      </c>
      <c r="CM14" s="3" t="n">
        <f aca="false">YEAR(CM13)</f>
        <v>2032</v>
      </c>
      <c r="CN14" s="3" t="n">
        <f aca="false">YEAR(CN13)</f>
        <v>2032</v>
      </c>
      <c r="CO14" s="3" t="n">
        <f aca="false">YEAR(CO13)</f>
        <v>2032</v>
      </c>
      <c r="CP14" s="3" t="n">
        <f aca="false">YEAR(CP13)</f>
        <v>2033</v>
      </c>
      <c r="CQ14" s="3" t="n">
        <f aca="false">YEAR(CQ13)</f>
        <v>2033</v>
      </c>
      <c r="CR14" s="3" t="n">
        <f aca="false">YEAR(CR13)</f>
        <v>2033</v>
      </c>
      <c r="CS14" s="3" t="n">
        <f aca="false">YEAR(CS13)</f>
        <v>2033</v>
      </c>
      <c r="CT14" s="3" t="n">
        <f aca="false">YEAR(CT13)</f>
        <v>2033</v>
      </c>
      <c r="CU14" s="3" t="n">
        <f aca="false">YEAR(CU13)</f>
        <v>2033</v>
      </c>
      <c r="CV14" s="3" t="n">
        <f aca="false">YEAR(CV13)</f>
        <v>2033</v>
      </c>
      <c r="CW14" s="3" t="n">
        <f aca="false">YEAR(CW13)</f>
        <v>2033</v>
      </c>
      <c r="CX14" s="3" t="n">
        <f aca="false">YEAR(CX13)</f>
        <v>2033</v>
      </c>
      <c r="CY14" s="3" t="n">
        <f aca="false">YEAR(CY13)</f>
        <v>2033</v>
      </c>
      <c r="CZ14" s="3" t="n">
        <f aca="false">YEAR(CZ13)</f>
        <v>2033</v>
      </c>
      <c r="DA14" s="3" t="n">
        <f aca="false">YEAR(DA13)</f>
        <v>2033</v>
      </c>
      <c r="DB14" s="3" t="n">
        <f aca="false">YEAR(DB13)</f>
        <v>2034</v>
      </c>
      <c r="DC14" s="3" t="n">
        <f aca="false">YEAR(DC13)</f>
        <v>2034</v>
      </c>
      <c r="DD14" s="3" t="n">
        <f aca="false">YEAR(DD13)</f>
        <v>2034</v>
      </c>
      <c r="DE14" s="3" t="n">
        <f aca="false">YEAR(DE13)</f>
        <v>2034</v>
      </c>
      <c r="DF14" s="3" t="n">
        <f aca="false">YEAR(DF13)</f>
        <v>2034</v>
      </c>
      <c r="DG14" s="3" t="n">
        <f aca="false">YEAR(DG13)</f>
        <v>2034</v>
      </c>
      <c r="DH14" s="3" t="n">
        <f aca="false">YEAR(DH13)</f>
        <v>2034</v>
      </c>
      <c r="DI14" s="3" t="n">
        <f aca="false">YEAR(DI13)</f>
        <v>2034</v>
      </c>
      <c r="DJ14" s="3" t="n">
        <f aca="false">YEAR(DJ13)</f>
        <v>2034</v>
      </c>
      <c r="DK14" s="3" t="n">
        <f aca="false">YEAR(DK13)</f>
        <v>2034</v>
      </c>
      <c r="DL14" s="3" t="n">
        <f aca="false">YEAR(DL13)</f>
        <v>2034</v>
      </c>
      <c r="DM14" s="3" t="n">
        <f aca="false">YEAR(DM13)</f>
        <v>2034</v>
      </c>
      <c r="DN14" s="3" t="n">
        <f aca="false">YEAR(DN13)</f>
        <v>2035</v>
      </c>
      <c r="DO14" s="3" t="n">
        <f aca="false">YEAR(DO13)</f>
        <v>2035</v>
      </c>
      <c r="DP14" s="3" t="n">
        <f aca="false">YEAR(DP13)</f>
        <v>2035</v>
      </c>
      <c r="DQ14" s="3" t="n">
        <f aca="false">YEAR(DQ13)</f>
        <v>2035</v>
      </c>
      <c r="DR14" s="3" t="n">
        <f aca="false">YEAR(DR13)</f>
        <v>2035</v>
      </c>
      <c r="DS14" s="3" t="n">
        <f aca="false">YEAR(DS13)</f>
        <v>2035</v>
      </c>
      <c r="DT14" s="3" t="n">
        <f aca="false">YEAR(DT13)</f>
        <v>2035</v>
      </c>
      <c r="DU14" s="3" t="n">
        <f aca="false">YEAR(DU13)</f>
        <v>2035</v>
      </c>
      <c r="DV14" s="3" t="n">
        <f aca="false">YEAR(DV13)</f>
        <v>2035</v>
      </c>
      <c r="DW14" s="3" t="n">
        <f aca="false">YEAR(DW13)</f>
        <v>2035</v>
      </c>
      <c r="DX14" s="3" t="n">
        <f aca="false">YEAR(DX13)</f>
        <v>2035</v>
      </c>
      <c r="DY14" s="3" t="n">
        <f aca="false">YEAR(DY13)</f>
        <v>2035</v>
      </c>
      <c r="DZ14" s="3" t="n">
        <f aca="false">YEAR(DZ13)</f>
        <v>2036</v>
      </c>
      <c r="EA14" s="3" t="n">
        <f aca="false">YEAR(EA13)</f>
        <v>2036</v>
      </c>
      <c r="EB14" s="3" t="n">
        <f aca="false">YEAR(EB13)</f>
        <v>2036</v>
      </c>
      <c r="EC14" s="3" t="n">
        <f aca="false">YEAR(EC13)</f>
        <v>2036</v>
      </c>
      <c r="ED14" s="3" t="n">
        <f aca="false">YEAR(ED13)</f>
        <v>2036</v>
      </c>
      <c r="EE14" s="3" t="n">
        <f aca="false">YEAR(EE13)</f>
        <v>2036</v>
      </c>
      <c r="EF14" s="3" t="n">
        <f aca="false">YEAR(EF13)</f>
        <v>2036</v>
      </c>
      <c r="EG14" s="3" t="n">
        <f aca="false">YEAR(EG13)</f>
        <v>2036</v>
      </c>
      <c r="EH14" s="3" t="n">
        <f aca="false">YEAR(EH13)</f>
        <v>2036</v>
      </c>
      <c r="EI14" s="3" t="n">
        <f aca="false">YEAR(EI13)</f>
        <v>2036</v>
      </c>
      <c r="EJ14" s="3" t="n">
        <f aca="false">YEAR(EJ13)</f>
        <v>2036</v>
      </c>
      <c r="EK14" s="3" t="n">
        <f aca="false">YEAR(EK13)</f>
        <v>2036</v>
      </c>
      <c r="EL14" s="3" t="n">
        <f aca="false">YEAR(EL13)</f>
        <v>2037</v>
      </c>
    </row>
    <row r="15" customFormat="false" ht="15" hidden="false" customHeight="false" outlineLevel="0" collapsed="false">
      <c r="I15" s="0" t="s">
        <v>8</v>
      </c>
      <c r="J15" s="0" t="n">
        <v>0</v>
      </c>
      <c r="K15" s="0" t="n">
        <f aca="false">ROUNDUP(K18/12,0)</f>
        <v>1</v>
      </c>
      <c r="L15" s="0" t="n">
        <f aca="false">ROUNDUP(L18/12,0)</f>
        <v>1</v>
      </c>
      <c r="M15" s="0" t="n">
        <f aca="false">ROUNDUP(M18/12,0)</f>
        <v>1</v>
      </c>
      <c r="N15" s="0" t="n">
        <f aca="false">ROUNDUP(N18/12,0)</f>
        <v>1</v>
      </c>
      <c r="O15" s="0" t="n">
        <f aca="false">ROUNDUP(O18/12,0)</f>
        <v>1</v>
      </c>
      <c r="P15" s="0" t="n">
        <f aca="false">ROUNDUP(P18/12,0)</f>
        <v>1</v>
      </c>
      <c r="Q15" s="0" t="n">
        <f aca="false">ROUNDUP(Q18/12,0)</f>
        <v>1</v>
      </c>
      <c r="R15" s="0" t="n">
        <f aca="false">ROUNDUP(R18/12,0)</f>
        <v>1</v>
      </c>
      <c r="S15" s="0" t="n">
        <f aca="false">ROUNDUP(S18/12,0)</f>
        <v>1</v>
      </c>
      <c r="T15" s="0" t="n">
        <f aca="false">ROUNDUP(T18/12,0)</f>
        <v>1</v>
      </c>
      <c r="U15" s="0" t="n">
        <f aca="false">ROUNDUP(U18/12,0)</f>
        <v>1</v>
      </c>
      <c r="V15" s="0" t="n">
        <f aca="false">ROUNDUP(V18/12,0)</f>
        <v>1</v>
      </c>
      <c r="W15" s="0" t="n">
        <f aca="false">ROUNDUP(W18/12,0)</f>
        <v>2</v>
      </c>
      <c r="X15" s="0" t="n">
        <f aca="false">ROUNDUP(X18/12,0)</f>
        <v>2</v>
      </c>
      <c r="Y15" s="0" t="n">
        <f aca="false">ROUNDUP(Y18/12,0)</f>
        <v>2</v>
      </c>
      <c r="Z15" s="0" t="n">
        <f aca="false">ROUNDUP(Z18/12,0)</f>
        <v>2</v>
      </c>
      <c r="AA15" s="0" t="n">
        <f aca="false">ROUNDUP(AA18/12,0)</f>
        <v>2</v>
      </c>
      <c r="AB15" s="0" t="n">
        <f aca="false">ROUNDUP(AB18/12,0)</f>
        <v>2</v>
      </c>
      <c r="AC15" s="0" t="n">
        <f aca="false">ROUNDUP(AC18/12,0)</f>
        <v>2</v>
      </c>
      <c r="AD15" s="0" t="n">
        <f aca="false">ROUNDUP(AD18/12,0)</f>
        <v>2</v>
      </c>
      <c r="AE15" s="0" t="n">
        <f aca="false">ROUNDUP(AE18/12,0)</f>
        <v>2</v>
      </c>
      <c r="AF15" s="0" t="n">
        <f aca="false">ROUNDUP(AF18/12,0)</f>
        <v>2</v>
      </c>
      <c r="AG15" s="0" t="n">
        <f aca="false">ROUNDUP(AG18/12,0)</f>
        <v>2</v>
      </c>
      <c r="AH15" s="0" t="n">
        <f aca="false">ROUNDUP(AH18/12,0)</f>
        <v>2</v>
      </c>
      <c r="AI15" s="0" t="n">
        <f aca="false">ROUNDUP(AI18/12,0)</f>
        <v>3</v>
      </c>
      <c r="AJ15" s="0" t="n">
        <f aca="false">ROUNDUP(AJ18/12,0)</f>
        <v>3</v>
      </c>
      <c r="AK15" s="0" t="n">
        <f aca="false">ROUNDUP(AK18/12,0)</f>
        <v>3</v>
      </c>
      <c r="AL15" s="0" t="n">
        <f aca="false">ROUNDUP(AL18/12,0)</f>
        <v>3</v>
      </c>
      <c r="AM15" s="0" t="n">
        <f aca="false">ROUNDUP(AM18/12,0)</f>
        <v>3</v>
      </c>
      <c r="AN15" s="0" t="n">
        <f aca="false">ROUNDUP(AN18/12,0)</f>
        <v>3</v>
      </c>
      <c r="AO15" s="0" t="n">
        <f aca="false">ROUNDUP(AO18/12,0)</f>
        <v>3</v>
      </c>
      <c r="AP15" s="0" t="n">
        <f aca="false">ROUNDUP(AP18/12,0)</f>
        <v>3</v>
      </c>
      <c r="AQ15" s="0" t="n">
        <f aca="false">ROUNDUP(AQ18/12,0)</f>
        <v>3</v>
      </c>
      <c r="AR15" s="0" t="n">
        <f aca="false">ROUNDUP(AR18/12,0)</f>
        <v>3</v>
      </c>
      <c r="AS15" s="0" t="n">
        <f aca="false">ROUNDUP(AS18/12,0)</f>
        <v>3</v>
      </c>
      <c r="AT15" s="0" t="n">
        <f aca="false">ROUNDUP(AT18/12,0)</f>
        <v>3</v>
      </c>
      <c r="AU15" s="0" t="n">
        <f aca="false">ROUNDUP(AU18/12,0)</f>
        <v>4</v>
      </c>
      <c r="AV15" s="0" t="n">
        <f aca="false">ROUNDUP(AV18/12,0)</f>
        <v>4</v>
      </c>
      <c r="AW15" s="0" t="n">
        <f aca="false">ROUNDUP(AW18/12,0)</f>
        <v>4</v>
      </c>
      <c r="AX15" s="0" t="n">
        <f aca="false">ROUNDUP(AX18/12,0)</f>
        <v>4</v>
      </c>
      <c r="AY15" s="0" t="n">
        <f aca="false">ROUNDUP(AY18/12,0)</f>
        <v>4</v>
      </c>
      <c r="AZ15" s="0" t="n">
        <f aca="false">ROUNDUP(AZ18/12,0)</f>
        <v>4</v>
      </c>
      <c r="BA15" s="0" t="n">
        <f aca="false">ROUNDUP(BA18/12,0)</f>
        <v>4</v>
      </c>
      <c r="BB15" s="0" t="n">
        <f aca="false">ROUNDUP(BB18/12,0)</f>
        <v>4</v>
      </c>
      <c r="BC15" s="0" t="n">
        <f aca="false">ROUNDUP(BC18/12,0)</f>
        <v>4</v>
      </c>
      <c r="BD15" s="0" t="n">
        <f aca="false">ROUNDUP(BD18/12,0)</f>
        <v>4</v>
      </c>
      <c r="BE15" s="0" t="n">
        <f aca="false">ROUNDUP(BE18/12,0)</f>
        <v>4</v>
      </c>
      <c r="BF15" s="0" t="n">
        <f aca="false">ROUNDUP(BF18/12,0)</f>
        <v>4</v>
      </c>
      <c r="BG15" s="0" t="n">
        <f aca="false">ROUNDUP(BG18/12,0)</f>
        <v>5</v>
      </c>
      <c r="BH15" s="0" t="n">
        <f aca="false">ROUNDUP(BH18/12,0)</f>
        <v>5</v>
      </c>
      <c r="BI15" s="0" t="n">
        <f aca="false">ROUNDUP(BI18/12,0)</f>
        <v>5</v>
      </c>
      <c r="BJ15" s="0" t="n">
        <f aca="false">ROUNDUP(BJ18/12,0)</f>
        <v>5</v>
      </c>
      <c r="BK15" s="0" t="n">
        <f aca="false">ROUNDUP(BK18/12,0)</f>
        <v>5</v>
      </c>
      <c r="BL15" s="0" t="n">
        <f aca="false">ROUNDUP(BL18/12,0)</f>
        <v>5</v>
      </c>
      <c r="BM15" s="0" t="n">
        <f aca="false">ROUNDUP(BM18/12,0)</f>
        <v>5</v>
      </c>
      <c r="BN15" s="0" t="n">
        <f aca="false">ROUNDUP(BN18/12,0)</f>
        <v>5</v>
      </c>
      <c r="BO15" s="0" t="n">
        <f aca="false">ROUNDUP(BO18/12,0)</f>
        <v>5</v>
      </c>
      <c r="BP15" s="0" t="n">
        <f aca="false">ROUNDUP(BP18/12,0)</f>
        <v>5</v>
      </c>
      <c r="BQ15" s="0" t="n">
        <f aca="false">ROUNDUP(BQ18/12,0)</f>
        <v>5</v>
      </c>
      <c r="BR15" s="0" t="n">
        <f aca="false">ROUNDUP(BR18/12,0)</f>
        <v>5</v>
      </c>
      <c r="BS15" s="0" t="n">
        <f aca="false">ROUNDUP(BS18/12,0)</f>
        <v>6</v>
      </c>
      <c r="BT15" s="0" t="n">
        <f aca="false">ROUNDUP(BT18/12,0)</f>
        <v>6</v>
      </c>
      <c r="BU15" s="0" t="n">
        <f aca="false">ROUNDUP(BU18/12,0)</f>
        <v>6</v>
      </c>
      <c r="BV15" s="0" t="n">
        <f aca="false">ROUNDUP(BV18/12,0)</f>
        <v>6</v>
      </c>
      <c r="BW15" s="0" t="n">
        <f aca="false">ROUNDUP(BW18/12,0)</f>
        <v>6</v>
      </c>
      <c r="BX15" s="0" t="n">
        <f aca="false">ROUNDUP(BX18/12,0)</f>
        <v>6</v>
      </c>
      <c r="BY15" s="0" t="n">
        <f aca="false">ROUNDUP(BY18/12,0)</f>
        <v>6</v>
      </c>
      <c r="BZ15" s="0" t="n">
        <f aca="false">ROUNDUP(BZ18/12,0)</f>
        <v>6</v>
      </c>
      <c r="CA15" s="0" t="n">
        <f aca="false">ROUNDUP(CA18/12,0)</f>
        <v>6</v>
      </c>
      <c r="CB15" s="0" t="n">
        <f aca="false">ROUNDUP(CB18/12,0)</f>
        <v>6</v>
      </c>
      <c r="CC15" s="0" t="n">
        <f aca="false">ROUNDUP(CC18/12,0)</f>
        <v>6</v>
      </c>
      <c r="CD15" s="0" t="n">
        <f aca="false">ROUNDUP(CD18/12,0)</f>
        <v>6</v>
      </c>
      <c r="CE15" s="0" t="n">
        <f aca="false">ROUNDUP(CE18/12,0)</f>
        <v>7</v>
      </c>
      <c r="CF15" s="0" t="n">
        <f aca="false">ROUNDUP(CF18/12,0)</f>
        <v>7</v>
      </c>
      <c r="CG15" s="0" t="n">
        <f aca="false">ROUNDUP(CG18/12,0)</f>
        <v>7</v>
      </c>
      <c r="CH15" s="0" t="n">
        <f aca="false">ROUNDUP(CH18/12,0)</f>
        <v>7</v>
      </c>
      <c r="CI15" s="0" t="n">
        <f aca="false">ROUNDUP(CI18/12,0)</f>
        <v>7</v>
      </c>
      <c r="CJ15" s="0" t="n">
        <f aca="false">ROUNDUP(CJ18/12,0)</f>
        <v>7</v>
      </c>
      <c r="CK15" s="0" t="n">
        <f aca="false">ROUNDUP(CK18/12,0)</f>
        <v>7</v>
      </c>
      <c r="CL15" s="0" t="n">
        <f aca="false">ROUNDUP(CL18/12,0)</f>
        <v>7</v>
      </c>
      <c r="CM15" s="0" t="n">
        <f aca="false">ROUNDUP(CM18/12,0)</f>
        <v>7</v>
      </c>
      <c r="CN15" s="0" t="n">
        <f aca="false">ROUNDUP(CN18/12,0)</f>
        <v>7</v>
      </c>
      <c r="CO15" s="0" t="n">
        <f aca="false">ROUNDUP(CO18/12,0)</f>
        <v>7</v>
      </c>
      <c r="CP15" s="0" t="n">
        <f aca="false">ROUNDUP(CP18/12,0)</f>
        <v>7</v>
      </c>
      <c r="CQ15" s="0" t="n">
        <f aca="false">ROUNDUP(CQ18/12,0)</f>
        <v>8</v>
      </c>
      <c r="CR15" s="0" t="n">
        <f aca="false">ROUNDUP(CR18/12,0)</f>
        <v>8</v>
      </c>
      <c r="CS15" s="0" t="n">
        <f aca="false">ROUNDUP(CS18/12,0)</f>
        <v>8</v>
      </c>
      <c r="CT15" s="0" t="n">
        <f aca="false">ROUNDUP(CT18/12,0)</f>
        <v>8</v>
      </c>
      <c r="CU15" s="0" t="n">
        <f aca="false">ROUNDUP(CU18/12,0)</f>
        <v>8</v>
      </c>
      <c r="CV15" s="0" t="n">
        <f aca="false">ROUNDUP(CV18/12,0)</f>
        <v>8</v>
      </c>
      <c r="CW15" s="0" t="n">
        <f aca="false">ROUNDUP(CW18/12,0)</f>
        <v>8</v>
      </c>
      <c r="CX15" s="0" t="n">
        <f aca="false">ROUNDUP(CX18/12,0)</f>
        <v>8</v>
      </c>
      <c r="CY15" s="0" t="n">
        <f aca="false">ROUNDUP(CY18/12,0)</f>
        <v>8</v>
      </c>
      <c r="CZ15" s="0" t="n">
        <f aca="false">ROUNDUP(CZ18/12,0)</f>
        <v>8</v>
      </c>
      <c r="DA15" s="0" t="n">
        <f aca="false">ROUNDUP(DA18/12,0)</f>
        <v>8</v>
      </c>
      <c r="DB15" s="0" t="n">
        <f aca="false">ROUNDUP(DB18/12,0)</f>
        <v>8</v>
      </c>
      <c r="DC15" s="0" t="n">
        <f aca="false">ROUNDUP(DC18/12,0)</f>
        <v>9</v>
      </c>
      <c r="DD15" s="0" t="n">
        <f aca="false">ROUNDUP(DD18/12,0)</f>
        <v>9</v>
      </c>
      <c r="DE15" s="0" t="n">
        <f aca="false">ROUNDUP(DE18/12,0)</f>
        <v>9</v>
      </c>
      <c r="DF15" s="0" t="n">
        <f aca="false">ROUNDUP(DF18/12,0)</f>
        <v>9</v>
      </c>
      <c r="DG15" s="0" t="n">
        <f aca="false">ROUNDUP(DG18/12,0)</f>
        <v>9</v>
      </c>
      <c r="DH15" s="0" t="n">
        <f aca="false">ROUNDUP(DH18/12,0)</f>
        <v>9</v>
      </c>
      <c r="DI15" s="0" t="n">
        <f aca="false">ROUNDUP(DI18/12,0)</f>
        <v>9</v>
      </c>
      <c r="DJ15" s="0" t="n">
        <f aca="false">ROUNDUP(DJ18/12,0)</f>
        <v>9</v>
      </c>
      <c r="DK15" s="0" t="n">
        <f aca="false">ROUNDUP(DK18/12,0)</f>
        <v>9</v>
      </c>
      <c r="DL15" s="0" t="n">
        <f aca="false">ROUNDUP(DL18/12,0)</f>
        <v>9</v>
      </c>
      <c r="DM15" s="0" t="n">
        <f aca="false">ROUNDUP(DM18/12,0)</f>
        <v>9</v>
      </c>
      <c r="DN15" s="0" t="n">
        <f aca="false">ROUNDUP(DN18/12,0)</f>
        <v>9</v>
      </c>
      <c r="DO15" s="0" t="n">
        <f aca="false">ROUNDUP(DO18/12,0)</f>
        <v>10</v>
      </c>
      <c r="DP15" s="0" t="n">
        <f aca="false">ROUNDUP(DP18/12,0)</f>
        <v>10</v>
      </c>
      <c r="DQ15" s="0" t="n">
        <f aca="false">ROUNDUP(DQ18/12,0)</f>
        <v>10</v>
      </c>
      <c r="DR15" s="0" t="n">
        <f aca="false">ROUNDUP(DR18/12,0)</f>
        <v>10</v>
      </c>
      <c r="DS15" s="0" t="n">
        <f aca="false">ROUNDUP(DS18/12,0)</f>
        <v>10</v>
      </c>
      <c r="DT15" s="0" t="n">
        <f aca="false">ROUNDUP(DT18/12,0)</f>
        <v>10</v>
      </c>
      <c r="DU15" s="0" t="n">
        <f aca="false">ROUNDUP(DU18/12,0)</f>
        <v>10</v>
      </c>
      <c r="DV15" s="0" t="n">
        <f aca="false">ROUNDUP(DV18/12,0)</f>
        <v>10</v>
      </c>
      <c r="DW15" s="0" t="n">
        <f aca="false">ROUNDUP(DW18/12,0)</f>
        <v>10</v>
      </c>
      <c r="DX15" s="0" t="n">
        <f aca="false">ROUNDUP(DX18/12,0)</f>
        <v>10</v>
      </c>
      <c r="DY15" s="0" t="n">
        <f aca="false">ROUNDUP(DY18/12,0)</f>
        <v>10</v>
      </c>
      <c r="DZ15" s="0" t="n">
        <f aca="false">ROUNDUP(DZ18/12,0)</f>
        <v>10</v>
      </c>
      <c r="EA15" s="0" t="n">
        <f aca="false">ROUNDUP(EA18/12,0)</f>
        <v>11</v>
      </c>
      <c r="EB15" s="0" t="n">
        <f aca="false">ROUNDUP(EB18/12,0)</f>
        <v>11</v>
      </c>
      <c r="EC15" s="0" t="n">
        <f aca="false">ROUNDUP(EC18/12,0)</f>
        <v>11</v>
      </c>
      <c r="ED15" s="0" t="n">
        <f aca="false">ROUNDUP(ED18/12,0)</f>
        <v>11</v>
      </c>
      <c r="EE15" s="0" t="n">
        <f aca="false">ROUNDUP(EE18/12,0)</f>
        <v>11</v>
      </c>
      <c r="EF15" s="0" t="n">
        <f aca="false">ROUNDUP(EF18/12,0)</f>
        <v>11</v>
      </c>
      <c r="EG15" s="0" t="n">
        <f aca="false">ROUNDUP(EG18/12,0)</f>
        <v>11</v>
      </c>
      <c r="EH15" s="0" t="n">
        <f aca="false">ROUNDUP(EH18/12,0)</f>
        <v>11</v>
      </c>
      <c r="EI15" s="0" t="n">
        <f aca="false">ROUNDUP(EI18/12,0)</f>
        <v>11</v>
      </c>
      <c r="EJ15" s="0" t="n">
        <f aca="false">ROUNDUP(EJ18/12,0)</f>
        <v>11</v>
      </c>
      <c r="EK15" s="0" t="n">
        <f aca="false">ROUNDUP(EK18/12,0)</f>
        <v>11</v>
      </c>
      <c r="EL15" s="0" t="n">
        <f aca="false">ROUNDUP(EL18/12,0)</f>
        <v>11</v>
      </c>
    </row>
    <row r="16" customFormat="false" ht="15" hidden="false" customHeight="false" outlineLevel="0" collapsed="false">
      <c r="I16" s="0" t="s">
        <v>9</v>
      </c>
      <c r="J16" s="0" t="str">
        <f aca="false">$D$20</f>
        <v>January</v>
      </c>
      <c r="K16" s="0" t="str">
        <f aca="false">INDEX($D$87:$D$98,MONTH(K13))</f>
        <v>February</v>
      </c>
      <c r="L16" s="0" t="str">
        <f aca="false">INDEX($D$87:$D$98,MONTH(L13))</f>
        <v>March</v>
      </c>
      <c r="M16" s="0" t="str">
        <f aca="false">INDEX($D$87:$D$98,MONTH(M13))</f>
        <v>April</v>
      </c>
      <c r="N16" s="0" t="str">
        <f aca="false">INDEX($D$87:$D$98,MONTH(N13))</f>
        <v>May</v>
      </c>
      <c r="O16" s="0" t="str">
        <f aca="false">INDEX($D$87:$D$98,MONTH(O13))</f>
        <v>June</v>
      </c>
      <c r="P16" s="0" t="str">
        <f aca="false">INDEX($D$87:$D$98,MONTH(P13))</f>
        <v>July</v>
      </c>
      <c r="Q16" s="0" t="str">
        <f aca="false">INDEX($D$87:$D$98,MONTH(Q13))</f>
        <v>August</v>
      </c>
      <c r="R16" s="0" t="str">
        <f aca="false">INDEX($D$87:$D$98,MONTH(R13))</f>
        <v>September</v>
      </c>
      <c r="S16" s="0" t="str">
        <f aca="false">INDEX($D$87:$D$98,MONTH(S13))</f>
        <v>October</v>
      </c>
      <c r="T16" s="0" t="str">
        <f aca="false">INDEX($D$87:$D$98,MONTH(T13))</f>
        <v>November</v>
      </c>
      <c r="U16" s="0" t="str">
        <f aca="false">INDEX($D$87:$D$98,MONTH(U13))</f>
        <v>December</v>
      </c>
      <c r="V16" s="0" t="str">
        <f aca="false">INDEX($D$87:$D$98,MONTH(V13))</f>
        <v>January</v>
      </c>
      <c r="W16" s="0" t="str">
        <f aca="false">INDEX($D$87:$D$98,MONTH(W13))</f>
        <v>February</v>
      </c>
      <c r="X16" s="0" t="str">
        <f aca="false">INDEX($D$87:$D$98,MONTH(X13))</f>
        <v>March</v>
      </c>
      <c r="Y16" s="0" t="str">
        <f aca="false">INDEX($D$87:$D$98,MONTH(Y13))</f>
        <v>April</v>
      </c>
      <c r="Z16" s="0" t="str">
        <f aca="false">INDEX($D$87:$D$98,MONTH(Z13))</f>
        <v>May</v>
      </c>
      <c r="AA16" s="0" t="str">
        <f aca="false">INDEX($D$87:$D$98,MONTH(AA13))</f>
        <v>June</v>
      </c>
      <c r="AB16" s="0" t="str">
        <f aca="false">INDEX($D$87:$D$98,MONTH(AB13))</f>
        <v>July</v>
      </c>
      <c r="AC16" s="0" t="str">
        <f aca="false">INDEX($D$87:$D$98,MONTH(AC13))</f>
        <v>August</v>
      </c>
      <c r="AD16" s="0" t="str">
        <f aca="false">INDEX($D$87:$D$98,MONTH(AD13))</f>
        <v>September</v>
      </c>
      <c r="AE16" s="0" t="str">
        <f aca="false">INDEX($D$87:$D$98,MONTH(AE13))</f>
        <v>October</v>
      </c>
      <c r="AF16" s="0" t="str">
        <f aca="false">INDEX($D$87:$D$98,MONTH(AF13))</f>
        <v>November</v>
      </c>
      <c r="AG16" s="0" t="str">
        <f aca="false">INDEX($D$87:$D$98,MONTH(AG13))</f>
        <v>December</v>
      </c>
      <c r="AH16" s="0" t="str">
        <f aca="false">INDEX($D$87:$D$98,MONTH(AH13))</f>
        <v>January</v>
      </c>
      <c r="AI16" s="0" t="str">
        <f aca="false">INDEX($D$87:$D$98,MONTH(AI13))</f>
        <v>February</v>
      </c>
      <c r="AJ16" s="0" t="str">
        <f aca="false">INDEX($D$87:$D$98,MONTH(AJ13))</f>
        <v>March</v>
      </c>
      <c r="AK16" s="0" t="str">
        <f aca="false">INDEX($D$87:$D$98,MONTH(AK13))</f>
        <v>April</v>
      </c>
      <c r="AL16" s="0" t="str">
        <f aca="false">INDEX($D$87:$D$98,MONTH(AL13))</f>
        <v>May</v>
      </c>
      <c r="AM16" s="0" t="str">
        <f aca="false">INDEX($D$87:$D$98,MONTH(AM13))</f>
        <v>June</v>
      </c>
      <c r="AN16" s="0" t="str">
        <f aca="false">INDEX($D$87:$D$98,MONTH(AN13))</f>
        <v>July</v>
      </c>
      <c r="AO16" s="0" t="str">
        <f aca="false">INDEX($D$87:$D$98,MONTH(AO13))</f>
        <v>August</v>
      </c>
      <c r="AP16" s="0" t="str">
        <f aca="false">INDEX($D$87:$D$98,MONTH(AP13))</f>
        <v>September</v>
      </c>
      <c r="AQ16" s="0" t="str">
        <f aca="false">INDEX($D$87:$D$98,MONTH(AQ13))</f>
        <v>October</v>
      </c>
      <c r="AR16" s="0" t="str">
        <f aca="false">INDEX($D$87:$D$98,MONTH(AR13))</f>
        <v>November</v>
      </c>
      <c r="AS16" s="0" t="str">
        <f aca="false">INDEX($D$87:$D$98,MONTH(AS13))</f>
        <v>December</v>
      </c>
      <c r="AT16" s="0" t="str">
        <f aca="false">INDEX($D$87:$D$98,MONTH(AT13))</f>
        <v>January</v>
      </c>
      <c r="AU16" s="0" t="str">
        <f aca="false">INDEX($D$87:$D$98,MONTH(AU13))</f>
        <v>February</v>
      </c>
      <c r="AV16" s="0" t="str">
        <f aca="false">INDEX($D$87:$D$98,MONTH(AV13))</f>
        <v>March</v>
      </c>
      <c r="AW16" s="0" t="str">
        <f aca="false">INDEX($D$87:$D$98,MONTH(AW13))</f>
        <v>April</v>
      </c>
      <c r="AX16" s="0" t="str">
        <f aca="false">INDEX($D$87:$D$98,MONTH(AX13))</f>
        <v>May</v>
      </c>
      <c r="AY16" s="0" t="str">
        <f aca="false">INDEX($D$87:$D$98,MONTH(AY13))</f>
        <v>June</v>
      </c>
      <c r="AZ16" s="0" t="str">
        <f aca="false">INDEX($D$87:$D$98,MONTH(AZ13))</f>
        <v>July</v>
      </c>
      <c r="BA16" s="0" t="str">
        <f aca="false">INDEX($D$87:$D$98,MONTH(BA13))</f>
        <v>August</v>
      </c>
      <c r="BB16" s="0" t="str">
        <f aca="false">INDEX($D$87:$D$98,MONTH(BB13))</f>
        <v>September</v>
      </c>
      <c r="BC16" s="0" t="str">
        <f aca="false">INDEX($D$87:$D$98,MONTH(BC13))</f>
        <v>October</v>
      </c>
      <c r="BD16" s="0" t="str">
        <f aca="false">INDEX($D$87:$D$98,MONTH(BD13))</f>
        <v>November</v>
      </c>
      <c r="BE16" s="0" t="str">
        <f aca="false">INDEX($D$87:$D$98,MONTH(BE13))</f>
        <v>December</v>
      </c>
      <c r="BF16" s="0" t="str">
        <f aca="false">INDEX($D$87:$D$98,MONTH(BF13))</f>
        <v>January</v>
      </c>
      <c r="BG16" s="0" t="str">
        <f aca="false">INDEX($D$87:$D$98,MONTH(BG13))</f>
        <v>February</v>
      </c>
      <c r="BH16" s="0" t="str">
        <f aca="false">INDEX($D$87:$D$98,MONTH(BH13))</f>
        <v>March</v>
      </c>
      <c r="BI16" s="0" t="str">
        <f aca="false">INDEX($D$87:$D$98,MONTH(BI13))</f>
        <v>April</v>
      </c>
      <c r="BJ16" s="0" t="str">
        <f aca="false">INDEX($D$87:$D$98,MONTH(BJ13))</f>
        <v>May</v>
      </c>
      <c r="BK16" s="0" t="str">
        <f aca="false">INDEX($D$87:$D$98,MONTH(BK13))</f>
        <v>June</v>
      </c>
      <c r="BL16" s="0" t="str">
        <f aca="false">INDEX($D$87:$D$98,MONTH(BL13))</f>
        <v>July</v>
      </c>
      <c r="BM16" s="0" t="str">
        <f aca="false">INDEX($D$87:$D$98,MONTH(BM13))</f>
        <v>August</v>
      </c>
      <c r="BN16" s="0" t="str">
        <f aca="false">INDEX($D$87:$D$98,MONTH(BN13))</f>
        <v>September</v>
      </c>
      <c r="BO16" s="0" t="str">
        <f aca="false">INDEX($D$87:$D$98,MONTH(BO13))</f>
        <v>October</v>
      </c>
      <c r="BP16" s="0" t="str">
        <f aca="false">INDEX($D$87:$D$98,MONTH(BP13))</f>
        <v>November</v>
      </c>
      <c r="BQ16" s="0" t="str">
        <f aca="false">INDEX($D$87:$D$98,MONTH(BQ13))</f>
        <v>December</v>
      </c>
      <c r="BR16" s="0" t="str">
        <f aca="false">INDEX($D$87:$D$98,MONTH(BR13))</f>
        <v>January</v>
      </c>
      <c r="BS16" s="0" t="str">
        <f aca="false">INDEX($D$87:$D$98,MONTH(BS13))</f>
        <v>February</v>
      </c>
      <c r="BT16" s="0" t="str">
        <f aca="false">INDEX($D$87:$D$98,MONTH(BT13))</f>
        <v>March</v>
      </c>
      <c r="BU16" s="0" t="str">
        <f aca="false">INDEX($D$87:$D$98,MONTH(BU13))</f>
        <v>April</v>
      </c>
      <c r="BV16" s="0" t="str">
        <f aca="false">INDEX($D$87:$D$98,MONTH(BV13))</f>
        <v>May</v>
      </c>
      <c r="BW16" s="0" t="str">
        <f aca="false">INDEX($D$87:$D$98,MONTH(BW13))</f>
        <v>June</v>
      </c>
      <c r="BX16" s="0" t="str">
        <f aca="false">INDEX($D$87:$D$98,MONTH(BX13))</f>
        <v>July</v>
      </c>
      <c r="BY16" s="0" t="str">
        <f aca="false">INDEX($D$87:$D$98,MONTH(BY13))</f>
        <v>August</v>
      </c>
      <c r="BZ16" s="0" t="str">
        <f aca="false">INDEX($D$87:$D$98,MONTH(BZ13))</f>
        <v>September</v>
      </c>
      <c r="CA16" s="0" t="str">
        <f aca="false">INDEX($D$87:$D$98,MONTH(CA13))</f>
        <v>October</v>
      </c>
      <c r="CB16" s="0" t="str">
        <f aca="false">INDEX($D$87:$D$98,MONTH(CB13))</f>
        <v>November</v>
      </c>
      <c r="CC16" s="0" t="str">
        <f aca="false">INDEX($D$87:$D$98,MONTH(CC13))</f>
        <v>December</v>
      </c>
      <c r="CD16" s="0" t="str">
        <f aca="false">INDEX($D$87:$D$98,MONTH(CD13))</f>
        <v>January</v>
      </c>
      <c r="CE16" s="0" t="str">
        <f aca="false">INDEX($D$87:$D$98,MONTH(CE13))</f>
        <v>February</v>
      </c>
      <c r="CF16" s="0" t="str">
        <f aca="false">INDEX($D$87:$D$98,MONTH(CF13))</f>
        <v>March</v>
      </c>
      <c r="CG16" s="0" t="str">
        <f aca="false">INDEX($D$87:$D$98,MONTH(CG13))</f>
        <v>April</v>
      </c>
      <c r="CH16" s="0" t="str">
        <f aca="false">INDEX($D$87:$D$98,MONTH(CH13))</f>
        <v>May</v>
      </c>
      <c r="CI16" s="0" t="str">
        <f aca="false">INDEX($D$87:$D$98,MONTH(CI13))</f>
        <v>June</v>
      </c>
      <c r="CJ16" s="0" t="str">
        <f aca="false">INDEX($D$87:$D$98,MONTH(CJ13))</f>
        <v>July</v>
      </c>
      <c r="CK16" s="0" t="str">
        <f aca="false">INDEX($D$87:$D$98,MONTH(CK13))</f>
        <v>August</v>
      </c>
      <c r="CL16" s="0" t="str">
        <f aca="false">INDEX($D$87:$D$98,MONTH(CL13))</f>
        <v>September</v>
      </c>
      <c r="CM16" s="0" t="str">
        <f aca="false">INDEX($D$87:$D$98,MONTH(CM13))</f>
        <v>October</v>
      </c>
      <c r="CN16" s="0" t="str">
        <f aca="false">INDEX($D$87:$D$98,MONTH(CN13))</f>
        <v>November</v>
      </c>
      <c r="CO16" s="0" t="str">
        <f aca="false">INDEX($D$87:$D$98,MONTH(CO13))</f>
        <v>December</v>
      </c>
      <c r="CP16" s="0" t="str">
        <f aca="false">INDEX($D$87:$D$98,MONTH(CP13))</f>
        <v>January</v>
      </c>
      <c r="CQ16" s="0" t="str">
        <f aca="false">INDEX($D$87:$D$98,MONTH(CQ13))</f>
        <v>February</v>
      </c>
      <c r="CR16" s="0" t="str">
        <f aca="false">INDEX($D$87:$D$98,MONTH(CR13))</f>
        <v>March</v>
      </c>
      <c r="CS16" s="0" t="str">
        <f aca="false">INDEX($D$87:$D$98,MONTH(CS13))</f>
        <v>April</v>
      </c>
      <c r="CT16" s="0" t="str">
        <f aca="false">INDEX($D$87:$D$98,MONTH(CT13))</f>
        <v>May</v>
      </c>
      <c r="CU16" s="0" t="str">
        <f aca="false">INDEX($D$87:$D$98,MONTH(CU13))</f>
        <v>June</v>
      </c>
      <c r="CV16" s="0" t="str">
        <f aca="false">INDEX($D$87:$D$98,MONTH(CV13))</f>
        <v>July</v>
      </c>
      <c r="CW16" s="0" t="str">
        <f aca="false">INDEX($D$87:$D$98,MONTH(CW13))</f>
        <v>August</v>
      </c>
      <c r="CX16" s="0" t="str">
        <f aca="false">INDEX($D$87:$D$98,MONTH(CX13))</f>
        <v>September</v>
      </c>
      <c r="CY16" s="0" t="str">
        <f aca="false">INDEX($D$87:$D$98,MONTH(CY13))</f>
        <v>October</v>
      </c>
      <c r="CZ16" s="0" t="str">
        <f aca="false">INDEX($D$87:$D$98,MONTH(CZ13))</f>
        <v>November</v>
      </c>
      <c r="DA16" s="0" t="str">
        <f aca="false">INDEX($D$87:$D$98,MONTH(DA13))</f>
        <v>December</v>
      </c>
      <c r="DB16" s="0" t="str">
        <f aca="false">INDEX($D$87:$D$98,MONTH(DB13))</f>
        <v>January</v>
      </c>
      <c r="DC16" s="0" t="str">
        <f aca="false">INDEX($D$87:$D$98,MONTH(DC13))</f>
        <v>February</v>
      </c>
      <c r="DD16" s="0" t="str">
        <f aca="false">INDEX($D$87:$D$98,MONTH(DD13))</f>
        <v>March</v>
      </c>
      <c r="DE16" s="0" t="str">
        <f aca="false">INDEX($D$87:$D$98,MONTH(DE13))</f>
        <v>April</v>
      </c>
      <c r="DF16" s="0" t="str">
        <f aca="false">INDEX($D$87:$D$98,MONTH(DF13))</f>
        <v>May</v>
      </c>
      <c r="DG16" s="0" t="str">
        <f aca="false">INDEX($D$87:$D$98,MONTH(DG13))</f>
        <v>June</v>
      </c>
      <c r="DH16" s="0" t="str">
        <f aca="false">INDEX($D$87:$D$98,MONTH(DH13))</f>
        <v>July</v>
      </c>
      <c r="DI16" s="0" t="str">
        <f aca="false">INDEX($D$87:$D$98,MONTH(DI13))</f>
        <v>August</v>
      </c>
      <c r="DJ16" s="0" t="str">
        <f aca="false">INDEX($D$87:$D$98,MONTH(DJ13))</f>
        <v>September</v>
      </c>
      <c r="DK16" s="0" t="str">
        <f aca="false">INDEX($D$87:$D$98,MONTH(DK13))</f>
        <v>October</v>
      </c>
      <c r="DL16" s="0" t="str">
        <f aca="false">INDEX($D$87:$D$98,MONTH(DL13))</f>
        <v>November</v>
      </c>
      <c r="DM16" s="0" t="str">
        <f aca="false">INDEX($D$87:$D$98,MONTH(DM13))</f>
        <v>December</v>
      </c>
      <c r="DN16" s="0" t="str">
        <f aca="false">INDEX($D$87:$D$98,MONTH(DN13))</f>
        <v>January</v>
      </c>
      <c r="DO16" s="0" t="str">
        <f aca="false">INDEX($D$87:$D$98,MONTH(DO13))</f>
        <v>February</v>
      </c>
      <c r="DP16" s="0" t="str">
        <f aca="false">INDEX($D$87:$D$98,MONTH(DP13))</f>
        <v>March</v>
      </c>
      <c r="DQ16" s="0" t="str">
        <f aca="false">INDEX($D$87:$D$98,MONTH(DQ13))</f>
        <v>April</v>
      </c>
      <c r="DR16" s="0" t="str">
        <f aca="false">INDEX($D$87:$D$98,MONTH(DR13))</f>
        <v>May</v>
      </c>
      <c r="DS16" s="0" t="str">
        <f aca="false">INDEX($D$87:$D$98,MONTH(DS13))</f>
        <v>June</v>
      </c>
      <c r="DT16" s="0" t="str">
        <f aca="false">INDEX($D$87:$D$98,MONTH(DT13))</f>
        <v>July</v>
      </c>
      <c r="DU16" s="0" t="str">
        <f aca="false">INDEX($D$87:$D$98,MONTH(DU13))</f>
        <v>August</v>
      </c>
      <c r="DV16" s="0" t="str">
        <f aca="false">INDEX($D$87:$D$98,MONTH(DV13))</f>
        <v>September</v>
      </c>
      <c r="DW16" s="0" t="str">
        <f aca="false">INDEX($D$87:$D$98,MONTH(DW13))</f>
        <v>October</v>
      </c>
      <c r="DX16" s="0" t="str">
        <f aca="false">INDEX($D$87:$D$98,MONTH(DX13))</f>
        <v>November</v>
      </c>
      <c r="DY16" s="0" t="str">
        <f aca="false">INDEX($D$87:$D$98,MONTH(DY13))</f>
        <v>December</v>
      </c>
      <c r="DZ16" s="0" t="str">
        <f aca="false">INDEX($D$87:$D$98,MONTH(DZ13))</f>
        <v>January</v>
      </c>
      <c r="EA16" s="0" t="str">
        <f aca="false">INDEX($D$87:$D$98,MONTH(EA13))</f>
        <v>February</v>
      </c>
      <c r="EB16" s="0" t="str">
        <f aca="false">INDEX($D$87:$D$98,MONTH(EB13))</f>
        <v>March</v>
      </c>
      <c r="EC16" s="0" t="str">
        <f aca="false">INDEX($D$87:$D$98,MONTH(EC13))</f>
        <v>April</v>
      </c>
      <c r="ED16" s="0" t="str">
        <f aca="false">INDEX($D$87:$D$98,MONTH(ED13))</f>
        <v>May</v>
      </c>
      <c r="EE16" s="0" t="str">
        <f aca="false">INDEX($D$87:$D$98,MONTH(EE13))</f>
        <v>June</v>
      </c>
      <c r="EF16" s="0" t="str">
        <f aca="false">INDEX($D$87:$D$98,MONTH(EF13))</f>
        <v>July</v>
      </c>
      <c r="EG16" s="0" t="str">
        <f aca="false">INDEX($D$87:$D$98,MONTH(EG13))</f>
        <v>August</v>
      </c>
      <c r="EH16" s="0" t="str">
        <f aca="false">INDEX($D$87:$D$98,MONTH(EH13))</f>
        <v>September</v>
      </c>
      <c r="EI16" s="0" t="str">
        <f aca="false">INDEX($D$87:$D$98,MONTH(EI13))</f>
        <v>October</v>
      </c>
      <c r="EJ16" s="0" t="str">
        <f aca="false">INDEX($D$87:$D$98,MONTH(EJ13))</f>
        <v>November</v>
      </c>
      <c r="EK16" s="0" t="str">
        <f aca="false">INDEX($D$87:$D$98,MONTH(EK13))</f>
        <v>December</v>
      </c>
      <c r="EL16" s="0" t="str">
        <f aca="false">INDEX($D$87:$D$98,MONTH(EL13))</f>
        <v>January</v>
      </c>
    </row>
    <row r="18" customFormat="false" ht="15" hidden="false" customHeight="false" outlineLevel="0" collapsed="false">
      <c r="I18" s="0" t="s">
        <v>10</v>
      </c>
      <c r="J18" s="0" t="n">
        <v>0</v>
      </c>
      <c r="K18" s="0" t="n">
        <f aca="false">J18+1</f>
        <v>1</v>
      </c>
      <c r="L18" s="0" t="n">
        <f aca="false">K18+1</f>
        <v>2</v>
      </c>
      <c r="M18" s="0" t="n">
        <f aca="false">L18+1</f>
        <v>3</v>
      </c>
      <c r="N18" s="0" t="n">
        <f aca="false">M18+1</f>
        <v>4</v>
      </c>
      <c r="O18" s="0" t="n">
        <f aca="false">N18+1</f>
        <v>5</v>
      </c>
      <c r="P18" s="0" t="n">
        <f aca="false">O18+1</f>
        <v>6</v>
      </c>
      <c r="Q18" s="0" t="n">
        <f aca="false">P18+1</f>
        <v>7</v>
      </c>
      <c r="R18" s="0" t="n">
        <f aca="false">Q18+1</f>
        <v>8</v>
      </c>
      <c r="S18" s="0" t="n">
        <f aca="false">R18+1</f>
        <v>9</v>
      </c>
      <c r="T18" s="0" t="n">
        <f aca="false">S18+1</f>
        <v>10</v>
      </c>
      <c r="U18" s="0" t="n">
        <f aca="false">T18+1</f>
        <v>11</v>
      </c>
      <c r="V18" s="0" t="n">
        <f aca="false">U18+1</f>
        <v>12</v>
      </c>
      <c r="W18" s="0" t="n">
        <f aca="false">V18+1</f>
        <v>13</v>
      </c>
      <c r="X18" s="0" t="n">
        <f aca="false">W18+1</f>
        <v>14</v>
      </c>
      <c r="Y18" s="0" t="n">
        <f aca="false">X18+1</f>
        <v>15</v>
      </c>
      <c r="Z18" s="0" t="n">
        <f aca="false">Y18+1</f>
        <v>16</v>
      </c>
      <c r="AA18" s="0" t="n">
        <f aca="false">Z18+1</f>
        <v>17</v>
      </c>
      <c r="AB18" s="0" t="n">
        <f aca="false">AA18+1</f>
        <v>18</v>
      </c>
      <c r="AC18" s="0" t="n">
        <f aca="false">AB18+1</f>
        <v>19</v>
      </c>
      <c r="AD18" s="0" t="n">
        <f aca="false">AC18+1</f>
        <v>20</v>
      </c>
      <c r="AE18" s="0" t="n">
        <f aca="false">AD18+1</f>
        <v>21</v>
      </c>
      <c r="AF18" s="0" t="n">
        <f aca="false">AE18+1</f>
        <v>22</v>
      </c>
      <c r="AG18" s="0" t="n">
        <f aca="false">AF18+1</f>
        <v>23</v>
      </c>
      <c r="AH18" s="0" t="n">
        <f aca="false">AG18+1</f>
        <v>24</v>
      </c>
      <c r="AI18" s="0" t="n">
        <f aca="false">AH18+1</f>
        <v>25</v>
      </c>
      <c r="AJ18" s="0" t="n">
        <f aca="false">AI18+1</f>
        <v>26</v>
      </c>
      <c r="AK18" s="0" t="n">
        <f aca="false">AJ18+1</f>
        <v>27</v>
      </c>
      <c r="AL18" s="0" t="n">
        <f aca="false">AK18+1</f>
        <v>28</v>
      </c>
      <c r="AM18" s="0" t="n">
        <f aca="false">AL18+1</f>
        <v>29</v>
      </c>
      <c r="AN18" s="0" t="n">
        <f aca="false">AM18+1</f>
        <v>30</v>
      </c>
      <c r="AO18" s="0" t="n">
        <f aca="false">AN18+1</f>
        <v>31</v>
      </c>
      <c r="AP18" s="0" t="n">
        <f aca="false">AO18+1</f>
        <v>32</v>
      </c>
      <c r="AQ18" s="0" t="n">
        <f aca="false">AP18+1</f>
        <v>33</v>
      </c>
      <c r="AR18" s="0" t="n">
        <f aca="false">AQ18+1</f>
        <v>34</v>
      </c>
      <c r="AS18" s="0" t="n">
        <f aca="false">AR18+1</f>
        <v>35</v>
      </c>
      <c r="AT18" s="0" t="n">
        <f aca="false">AS18+1</f>
        <v>36</v>
      </c>
      <c r="AU18" s="0" t="n">
        <f aca="false">AT18+1</f>
        <v>37</v>
      </c>
      <c r="AV18" s="0" t="n">
        <f aca="false">AU18+1</f>
        <v>38</v>
      </c>
      <c r="AW18" s="0" t="n">
        <f aca="false">AV18+1</f>
        <v>39</v>
      </c>
      <c r="AX18" s="0" t="n">
        <f aca="false">AW18+1</f>
        <v>40</v>
      </c>
      <c r="AY18" s="0" t="n">
        <f aca="false">AX18+1</f>
        <v>41</v>
      </c>
      <c r="AZ18" s="0" t="n">
        <f aca="false">AY18+1</f>
        <v>42</v>
      </c>
      <c r="BA18" s="0" t="n">
        <f aca="false">AZ18+1</f>
        <v>43</v>
      </c>
      <c r="BB18" s="0" t="n">
        <f aca="false">BA18+1</f>
        <v>44</v>
      </c>
      <c r="BC18" s="0" t="n">
        <f aca="false">BB18+1</f>
        <v>45</v>
      </c>
      <c r="BD18" s="0" t="n">
        <f aca="false">BC18+1</f>
        <v>46</v>
      </c>
      <c r="BE18" s="0" t="n">
        <f aca="false">BD18+1</f>
        <v>47</v>
      </c>
      <c r="BF18" s="0" t="n">
        <f aca="false">BE18+1</f>
        <v>48</v>
      </c>
      <c r="BG18" s="0" t="n">
        <f aca="false">BF18+1</f>
        <v>49</v>
      </c>
      <c r="BH18" s="0" t="n">
        <f aca="false">BG18+1</f>
        <v>50</v>
      </c>
      <c r="BI18" s="0" t="n">
        <f aca="false">BH18+1</f>
        <v>51</v>
      </c>
      <c r="BJ18" s="0" t="n">
        <f aca="false">BI18+1</f>
        <v>52</v>
      </c>
      <c r="BK18" s="0" t="n">
        <f aca="false">BJ18+1</f>
        <v>53</v>
      </c>
      <c r="BL18" s="0" t="n">
        <f aca="false">BK18+1</f>
        <v>54</v>
      </c>
      <c r="BM18" s="0" t="n">
        <f aca="false">BL18+1</f>
        <v>55</v>
      </c>
      <c r="BN18" s="0" t="n">
        <f aca="false">BM18+1</f>
        <v>56</v>
      </c>
      <c r="BO18" s="0" t="n">
        <f aca="false">BN18+1</f>
        <v>57</v>
      </c>
      <c r="BP18" s="0" t="n">
        <f aca="false">BO18+1</f>
        <v>58</v>
      </c>
      <c r="BQ18" s="0" t="n">
        <f aca="false">BP18+1</f>
        <v>59</v>
      </c>
      <c r="BR18" s="0" t="n">
        <f aca="false">BQ18+1</f>
        <v>60</v>
      </c>
      <c r="BS18" s="0" t="n">
        <f aca="false">BR18+1</f>
        <v>61</v>
      </c>
      <c r="BT18" s="0" t="n">
        <f aca="false">BS18+1</f>
        <v>62</v>
      </c>
      <c r="BU18" s="0" t="n">
        <f aca="false">BT18+1</f>
        <v>63</v>
      </c>
      <c r="BV18" s="0" t="n">
        <f aca="false">BU18+1</f>
        <v>64</v>
      </c>
      <c r="BW18" s="0" t="n">
        <f aca="false">BV18+1</f>
        <v>65</v>
      </c>
      <c r="BX18" s="0" t="n">
        <f aca="false">BW18+1</f>
        <v>66</v>
      </c>
      <c r="BY18" s="0" t="n">
        <f aca="false">BX18+1</f>
        <v>67</v>
      </c>
      <c r="BZ18" s="0" t="n">
        <f aca="false">BY18+1</f>
        <v>68</v>
      </c>
      <c r="CA18" s="0" t="n">
        <f aca="false">BZ18+1</f>
        <v>69</v>
      </c>
      <c r="CB18" s="0" t="n">
        <f aca="false">CA18+1</f>
        <v>70</v>
      </c>
      <c r="CC18" s="0" t="n">
        <f aca="false">CB18+1</f>
        <v>71</v>
      </c>
      <c r="CD18" s="0" t="n">
        <f aca="false">CC18+1</f>
        <v>72</v>
      </c>
      <c r="CE18" s="0" t="n">
        <f aca="false">CD18+1</f>
        <v>73</v>
      </c>
      <c r="CF18" s="0" t="n">
        <f aca="false">CE18+1</f>
        <v>74</v>
      </c>
      <c r="CG18" s="0" t="n">
        <f aca="false">CF18+1</f>
        <v>75</v>
      </c>
      <c r="CH18" s="0" t="n">
        <f aca="false">CG18+1</f>
        <v>76</v>
      </c>
      <c r="CI18" s="0" t="n">
        <f aca="false">CH18+1</f>
        <v>77</v>
      </c>
      <c r="CJ18" s="0" t="n">
        <f aca="false">CI18+1</f>
        <v>78</v>
      </c>
      <c r="CK18" s="0" t="n">
        <f aca="false">CJ18+1</f>
        <v>79</v>
      </c>
      <c r="CL18" s="0" t="n">
        <f aca="false">CK18+1</f>
        <v>80</v>
      </c>
      <c r="CM18" s="0" t="n">
        <f aca="false">CL18+1</f>
        <v>81</v>
      </c>
      <c r="CN18" s="0" t="n">
        <f aca="false">CM18+1</f>
        <v>82</v>
      </c>
      <c r="CO18" s="0" t="n">
        <f aca="false">CN18+1</f>
        <v>83</v>
      </c>
      <c r="CP18" s="0" t="n">
        <f aca="false">CO18+1</f>
        <v>84</v>
      </c>
      <c r="CQ18" s="0" t="n">
        <f aca="false">CP18+1</f>
        <v>85</v>
      </c>
      <c r="CR18" s="0" t="n">
        <f aca="false">CQ18+1</f>
        <v>86</v>
      </c>
      <c r="CS18" s="0" t="n">
        <f aca="false">CR18+1</f>
        <v>87</v>
      </c>
      <c r="CT18" s="0" t="n">
        <f aca="false">CS18+1</f>
        <v>88</v>
      </c>
      <c r="CU18" s="0" t="n">
        <f aca="false">CT18+1</f>
        <v>89</v>
      </c>
      <c r="CV18" s="0" t="n">
        <f aca="false">CU18+1</f>
        <v>90</v>
      </c>
      <c r="CW18" s="0" t="n">
        <f aca="false">CV18+1</f>
        <v>91</v>
      </c>
      <c r="CX18" s="0" t="n">
        <f aca="false">CW18+1</f>
        <v>92</v>
      </c>
      <c r="CY18" s="0" t="n">
        <f aca="false">CX18+1</f>
        <v>93</v>
      </c>
      <c r="CZ18" s="0" t="n">
        <f aca="false">CY18+1</f>
        <v>94</v>
      </c>
      <c r="DA18" s="0" t="n">
        <f aca="false">CZ18+1</f>
        <v>95</v>
      </c>
      <c r="DB18" s="0" t="n">
        <f aca="false">DA18+1</f>
        <v>96</v>
      </c>
      <c r="DC18" s="0" t="n">
        <f aca="false">DB18+1</f>
        <v>97</v>
      </c>
      <c r="DD18" s="0" t="n">
        <f aca="false">DC18+1</f>
        <v>98</v>
      </c>
      <c r="DE18" s="0" t="n">
        <f aca="false">DD18+1</f>
        <v>99</v>
      </c>
      <c r="DF18" s="0" t="n">
        <f aca="false">DE18+1</f>
        <v>100</v>
      </c>
      <c r="DG18" s="0" t="n">
        <f aca="false">DF18+1</f>
        <v>101</v>
      </c>
      <c r="DH18" s="0" t="n">
        <f aca="false">DG18+1</f>
        <v>102</v>
      </c>
      <c r="DI18" s="0" t="n">
        <f aca="false">DH18+1</f>
        <v>103</v>
      </c>
      <c r="DJ18" s="0" t="n">
        <f aca="false">DI18+1</f>
        <v>104</v>
      </c>
      <c r="DK18" s="0" t="n">
        <f aca="false">DJ18+1</f>
        <v>105</v>
      </c>
      <c r="DL18" s="0" t="n">
        <f aca="false">DK18+1</f>
        <v>106</v>
      </c>
      <c r="DM18" s="0" t="n">
        <f aca="false">DL18+1</f>
        <v>107</v>
      </c>
      <c r="DN18" s="0" t="n">
        <f aca="false">DM18+1</f>
        <v>108</v>
      </c>
      <c r="DO18" s="0" t="n">
        <f aca="false">DN18+1</f>
        <v>109</v>
      </c>
      <c r="DP18" s="0" t="n">
        <f aca="false">DO18+1</f>
        <v>110</v>
      </c>
      <c r="DQ18" s="0" t="n">
        <f aca="false">DP18+1</f>
        <v>111</v>
      </c>
      <c r="DR18" s="0" t="n">
        <f aca="false">DQ18+1</f>
        <v>112</v>
      </c>
      <c r="DS18" s="0" t="n">
        <f aca="false">DR18+1</f>
        <v>113</v>
      </c>
      <c r="DT18" s="0" t="n">
        <f aca="false">DS18+1</f>
        <v>114</v>
      </c>
      <c r="DU18" s="0" t="n">
        <f aca="false">DT18+1</f>
        <v>115</v>
      </c>
      <c r="DV18" s="0" t="n">
        <f aca="false">DU18+1</f>
        <v>116</v>
      </c>
      <c r="DW18" s="0" t="n">
        <f aca="false">DV18+1</f>
        <v>117</v>
      </c>
      <c r="DX18" s="0" t="n">
        <f aca="false">DW18+1</f>
        <v>118</v>
      </c>
      <c r="DY18" s="0" t="n">
        <f aca="false">DX18+1</f>
        <v>119</v>
      </c>
      <c r="DZ18" s="0" t="n">
        <f aca="false">DY18+1</f>
        <v>120</v>
      </c>
      <c r="EA18" s="0" t="n">
        <f aca="false">DZ18+1</f>
        <v>121</v>
      </c>
      <c r="EB18" s="0" t="n">
        <f aca="false">EA18+1</f>
        <v>122</v>
      </c>
      <c r="EC18" s="0" t="n">
        <f aca="false">EB18+1</f>
        <v>123</v>
      </c>
      <c r="ED18" s="0" t="n">
        <f aca="false">EC18+1</f>
        <v>124</v>
      </c>
      <c r="EE18" s="0" t="n">
        <f aca="false">ED18+1</f>
        <v>125</v>
      </c>
      <c r="EF18" s="0" t="n">
        <f aca="false">EE18+1</f>
        <v>126</v>
      </c>
      <c r="EG18" s="0" t="n">
        <f aca="false">EF18+1</f>
        <v>127</v>
      </c>
      <c r="EH18" s="0" t="n">
        <f aca="false">EG18+1</f>
        <v>128</v>
      </c>
      <c r="EI18" s="0" t="n">
        <f aca="false">EH18+1</f>
        <v>129</v>
      </c>
      <c r="EJ18" s="0" t="n">
        <f aca="false">EI18+1</f>
        <v>130</v>
      </c>
      <c r="EK18" s="0" t="n">
        <f aca="false">EJ18+1</f>
        <v>131</v>
      </c>
      <c r="EL18" s="0" t="n">
        <f aca="false">EK18+1</f>
        <v>132</v>
      </c>
    </row>
    <row r="19" customFormat="false" ht="15" hidden="false" customHeight="false" outlineLevel="0" collapsed="false">
      <c r="C19" s="0" t="s">
        <v>11</v>
      </c>
      <c r="D19" s="1" t="n">
        <f aca="false">DATE(D21,MATCH(D20,$D$87:$D$98,0),1)</f>
        <v>46023</v>
      </c>
      <c r="I19" s="3" t="s">
        <v>12</v>
      </c>
      <c r="J19" s="3" t="n">
        <f aca="false">-$D$30</f>
        <v>-18870000</v>
      </c>
    </row>
    <row r="20" customFormat="false" ht="15" hidden="false" customHeight="false" outlineLevel="0" collapsed="false">
      <c r="C20" s="0" t="s">
        <v>13</v>
      </c>
      <c r="D20" s="0" t="s">
        <v>14</v>
      </c>
      <c r="H20" s="4" t="n">
        <v>0.025</v>
      </c>
      <c r="I20" s="3" t="s">
        <v>15</v>
      </c>
      <c r="K20" s="3" t="n">
        <f aca="false">$D$37/12*(1+$H$20)^(K15-1)</f>
        <v>158083.333333333</v>
      </c>
      <c r="L20" s="3" t="n">
        <f aca="false">$D$37/12*(1+$H$20)^(L15-1)</f>
        <v>158083.333333333</v>
      </c>
      <c r="M20" s="3" t="n">
        <f aca="false">$D$37/12*(1+$H$20)^(M15-1)</f>
        <v>158083.333333333</v>
      </c>
      <c r="N20" s="3" t="n">
        <f aca="false">$D$37/12*(1+$H$20)^(N15-1)</f>
        <v>158083.333333333</v>
      </c>
      <c r="O20" s="3" t="n">
        <f aca="false">$D$37/12*(1+$H$20)^(O15-1)</f>
        <v>158083.333333333</v>
      </c>
      <c r="P20" s="3" t="n">
        <f aca="false">$D$37/12*(1+$H$20)^(P15-1)</f>
        <v>158083.333333333</v>
      </c>
      <c r="Q20" s="3" t="n">
        <f aca="false">$D$37/12*(1+$H$20)^(Q15-1)</f>
        <v>158083.333333333</v>
      </c>
      <c r="R20" s="3" t="n">
        <f aca="false">$D$37/12*(1+$H$20)^(R15-1)</f>
        <v>158083.333333333</v>
      </c>
      <c r="S20" s="3" t="n">
        <f aca="false">$D$37/12*(1+$H$20)^(S15-1)</f>
        <v>158083.333333333</v>
      </c>
      <c r="T20" s="3" t="n">
        <f aca="false">$D$37/12*(1+$H$20)^(T15-1)</f>
        <v>158083.333333333</v>
      </c>
      <c r="U20" s="3" t="n">
        <f aca="false">$D$37/12*(1+$H$20)^(U15-1)</f>
        <v>158083.333333333</v>
      </c>
      <c r="V20" s="3" t="n">
        <f aca="false">$D$37/12*(1+$H$20)^(V15-1)</f>
        <v>158083.333333333</v>
      </c>
      <c r="W20" s="3" t="n">
        <f aca="false">$D$37/12*(1+$H$20)^(W15-1)</f>
        <v>162035.416666667</v>
      </c>
      <c r="X20" s="3" t="n">
        <f aca="false">$D$37/12*(1+$H$20)^(X15-1)</f>
        <v>162035.416666667</v>
      </c>
      <c r="Y20" s="3" t="n">
        <f aca="false">$D$37/12*(1+$H$20)^(Y15-1)</f>
        <v>162035.416666667</v>
      </c>
      <c r="Z20" s="3" t="n">
        <f aca="false">$D$37/12*(1+$H$20)^(Z15-1)</f>
        <v>162035.416666667</v>
      </c>
      <c r="AA20" s="3" t="n">
        <f aca="false">$D$37/12*(1+$H$20)^(AA15-1)</f>
        <v>162035.416666667</v>
      </c>
      <c r="AB20" s="3" t="n">
        <f aca="false">$D$37/12*(1+$H$20)^(AB15-1)</f>
        <v>162035.416666667</v>
      </c>
      <c r="AC20" s="3" t="n">
        <f aca="false">$D$37/12*(1+$H$20)^(AC15-1)</f>
        <v>162035.416666667</v>
      </c>
      <c r="AD20" s="3" t="n">
        <f aca="false">$D$37/12*(1+$H$20)^(AD15-1)</f>
        <v>162035.416666667</v>
      </c>
      <c r="AE20" s="3" t="n">
        <f aca="false">$D$37/12*(1+$H$20)^(AE15-1)</f>
        <v>162035.416666667</v>
      </c>
      <c r="AF20" s="3" t="n">
        <f aca="false">$D$37/12*(1+$H$20)^(AF15-1)</f>
        <v>162035.416666667</v>
      </c>
      <c r="AG20" s="3" t="n">
        <f aca="false">$D$37/12*(1+$H$20)^(AG15-1)</f>
        <v>162035.416666667</v>
      </c>
      <c r="AH20" s="3" t="n">
        <f aca="false">$D$37/12*(1+$H$20)^(AH15-1)</f>
        <v>162035.416666667</v>
      </c>
      <c r="AI20" s="3" t="n">
        <f aca="false">$D$37/12*(1+$H$20)^(AI15-1)</f>
        <v>166086.302083333</v>
      </c>
      <c r="AJ20" s="3" t="n">
        <f aca="false">$D$37/12*(1+$H$20)^(AJ15-1)</f>
        <v>166086.302083333</v>
      </c>
      <c r="AK20" s="3" t="n">
        <f aca="false">$D$37/12*(1+$H$20)^(AK15-1)</f>
        <v>166086.302083333</v>
      </c>
      <c r="AL20" s="3" t="n">
        <f aca="false">$D$37/12*(1+$H$20)^(AL15-1)</f>
        <v>166086.302083333</v>
      </c>
      <c r="AM20" s="3" t="n">
        <f aca="false">$D$37/12*(1+$H$20)^(AM15-1)</f>
        <v>166086.302083333</v>
      </c>
      <c r="AN20" s="3" t="n">
        <f aca="false">$D$37/12*(1+$H$20)^(AN15-1)</f>
        <v>166086.302083333</v>
      </c>
      <c r="AO20" s="3" t="n">
        <f aca="false">$D$37/12*(1+$H$20)^(AO15-1)</f>
        <v>166086.302083333</v>
      </c>
      <c r="AP20" s="3" t="n">
        <f aca="false">$D$37/12*(1+$H$20)^(AP15-1)</f>
        <v>166086.302083333</v>
      </c>
      <c r="AQ20" s="3" t="n">
        <f aca="false">$D$37/12*(1+$H$20)^(AQ15-1)</f>
        <v>166086.302083333</v>
      </c>
      <c r="AR20" s="3" t="n">
        <f aca="false">$D$37/12*(1+$H$20)^(AR15-1)</f>
        <v>166086.302083333</v>
      </c>
      <c r="AS20" s="3" t="n">
        <f aca="false">$D$37/12*(1+$H$20)^(AS15-1)</f>
        <v>166086.302083333</v>
      </c>
      <c r="AT20" s="3" t="n">
        <f aca="false">$D$37/12*(1+$H$20)^(AT15-1)</f>
        <v>166086.302083333</v>
      </c>
      <c r="AU20" s="3" t="n">
        <f aca="false">$D$37/12*(1+$H$20)^(AU15-1)</f>
        <v>170238.459635417</v>
      </c>
      <c r="AV20" s="3" t="n">
        <f aca="false">$D$37/12*(1+$H$20)^(AV15-1)</f>
        <v>170238.459635417</v>
      </c>
      <c r="AW20" s="3" t="n">
        <f aca="false">$D$37/12*(1+$H$20)^(AW15-1)</f>
        <v>170238.459635417</v>
      </c>
      <c r="AX20" s="3" t="n">
        <f aca="false">$D$37/12*(1+$H$20)^(AX15-1)</f>
        <v>170238.459635417</v>
      </c>
      <c r="AY20" s="3" t="n">
        <f aca="false">$D$37/12*(1+$H$20)^(AY15-1)</f>
        <v>170238.459635417</v>
      </c>
      <c r="AZ20" s="3" t="n">
        <f aca="false">$D$37/12*(1+$H$20)^(AZ15-1)</f>
        <v>170238.459635417</v>
      </c>
      <c r="BA20" s="3" t="n">
        <f aca="false">$D$37/12*(1+$H$20)^(BA15-1)</f>
        <v>170238.459635417</v>
      </c>
      <c r="BB20" s="3" t="n">
        <f aca="false">$D$37/12*(1+$H$20)^(BB15-1)</f>
        <v>170238.459635417</v>
      </c>
      <c r="BC20" s="3" t="n">
        <f aca="false">$D$37/12*(1+$H$20)^(BC15-1)</f>
        <v>170238.459635417</v>
      </c>
      <c r="BD20" s="3" t="n">
        <f aca="false">$D$37/12*(1+$H$20)^(BD15-1)</f>
        <v>170238.459635417</v>
      </c>
      <c r="BE20" s="3" t="n">
        <f aca="false">$D$37/12*(1+$H$20)^(BE15-1)</f>
        <v>170238.459635417</v>
      </c>
      <c r="BF20" s="3" t="n">
        <f aca="false">$D$37/12*(1+$H$20)^(BF15-1)</f>
        <v>170238.459635417</v>
      </c>
      <c r="BG20" s="3" t="n">
        <f aca="false">$D$37/12*(1+$H$20)^(BG15-1)</f>
        <v>174494.421126302</v>
      </c>
      <c r="BH20" s="3" t="n">
        <f aca="false">$D$37/12*(1+$H$20)^(BH15-1)</f>
        <v>174494.421126302</v>
      </c>
      <c r="BI20" s="3" t="n">
        <f aca="false">$D$37/12*(1+$H$20)^(BI15-1)</f>
        <v>174494.421126302</v>
      </c>
      <c r="BJ20" s="3" t="n">
        <f aca="false">$D$37/12*(1+$H$20)^(BJ15-1)</f>
        <v>174494.421126302</v>
      </c>
      <c r="BK20" s="3" t="n">
        <f aca="false">$D$37/12*(1+$H$20)^(BK15-1)</f>
        <v>174494.421126302</v>
      </c>
      <c r="BL20" s="3" t="n">
        <f aca="false">$D$37/12*(1+$H$20)^(BL15-1)</f>
        <v>174494.421126302</v>
      </c>
      <c r="BM20" s="3" t="n">
        <f aca="false">$D$37/12*(1+$H$20)^(BM15-1)</f>
        <v>174494.421126302</v>
      </c>
      <c r="BN20" s="3" t="n">
        <f aca="false">$D$37/12*(1+$H$20)^(BN15-1)</f>
        <v>174494.421126302</v>
      </c>
      <c r="BO20" s="3" t="n">
        <f aca="false">$D$37/12*(1+$H$20)^(BO15-1)</f>
        <v>174494.421126302</v>
      </c>
      <c r="BP20" s="3" t="n">
        <f aca="false">$D$37/12*(1+$H$20)^(BP15-1)</f>
        <v>174494.421126302</v>
      </c>
      <c r="BQ20" s="3" t="n">
        <f aca="false">$D$37/12*(1+$H$20)^(BQ15-1)</f>
        <v>174494.421126302</v>
      </c>
      <c r="BR20" s="3" t="n">
        <f aca="false">$D$37/12*(1+$H$20)^(BR15-1)</f>
        <v>174494.421126302</v>
      </c>
      <c r="BS20" s="3" t="n">
        <f aca="false">$D$37/12*(1+$H$20)^(BS15-1)</f>
        <v>178856.78165446</v>
      </c>
      <c r="BT20" s="3" t="n">
        <f aca="false">$D$37/12*(1+$H$20)^(BT15-1)</f>
        <v>178856.78165446</v>
      </c>
      <c r="BU20" s="3" t="n">
        <f aca="false">$D$37/12*(1+$H$20)^(BU15-1)</f>
        <v>178856.78165446</v>
      </c>
      <c r="BV20" s="3" t="n">
        <f aca="false">$D$37/12*(1+$H$20)^(BV15-1)</f>
        <v>178856.78165446</v>
      </c>
      <c r="BW20" s="3" t="n">
        <f aca="false">$D$37/12*(1+$H$20)^(BW15-1)</f>
        <v>178856.78165446</v>
      </c>
      <c r="BX20" s="3" t="n">
        <f aca="false">$D$37/12*(1+$H$20)^(BX15-1)</f>
        <v>178856.78165446</v>
      </c>
      <c r="BY20" s="3" t="n">
        <f aca="false">$D$37/12*(1+$H$20)^(BY15-1)</f>
        <v>178856.78165446</v>
      </c>
      <c r="BZ20" s="3" t="n">
        <f aca="false">$D$37/12*(1+$H$20)^(BZ15-1)</f>
        <v>178856.78165446</v>
      </c>
      <c r="CA20" s="3" t="n">
        <f aca="false">$D$37/12*(1+$H$20)^(CA15-1)</f>
        <v>178856.78165446</v>
      </c>
      <c r="CB20" s="3" t="n">
        <f aca="false">$D$37/12*(1+$H$20)^(CB15-1)</f>
        <v>178856.78165446</v>
      </c>
      <c r="CC20" s="3" t="n">
        <f aca="false">$D$37/12*(1+$H$20)^(CC15-1)</f>
        <v>178856.78165446</v>
      </c>
      <c r="CD20" s="3" t="n">
        <f aca="false">$D$37/12*(1+$H$20)^(CD15-1)</f>
        <v>178856.78165446</v>
      </c>
      <c r="CE20" s="3" t="n">
        <f aca="false">$D$37/12*(1+$H$20)^(CE15-1)</f>
        <v>183328.201195821</v>
      </c>
      <c r="CF20" s="3" t="n">
        <f aca="false">$D$37/12*(1+$H$20)^(CF15-1)</f>
        <v>183328.201195821</v>
      </c>
      <c r="CG20" s="3" t="n">
        <f aca="false">$D$37/12*(1+$H$20)^(CG15-1)</f>
        <v>183328.201195821</v>
      </c>
      <c r="CH20" s="3" t="n">
        <f aca="false">$D$37/12*(1+$H$20)^(CH15-1)</f>
        <v>183328.201195821</v>
      </c>
      <c r="CI20" s="3" t="n">
        <f aca="false">$D$37/12*(1+$H$20)^(CI15-1)</f>
        <v>183328.201195821</v>
      </c>
      <c r="CJ20" s="3" t="n">
        <f aca="false">$D$37/12*(1+$H$20)^(CJ15-1)</f>
        <v>183328.201195821</v>
      </c>
      <c r="CK20" s="3" t="n">
        <f aca="false">$D$37/12*(1+$H$20)^(CK15-1)</f>
        <v>183328.201195821</v>
      </c>
      <c r="CL20" s="3" t="n">
        <f aca="false">$D$37/12*(1+$H$20)^(CL15-1)</f>
        <v>183328.201195821</v>
      </c>
      <c r="CM20" s="3" t="n">
        <f aca="false">$D$37/12*(1+$H$20)^(CM15-1)</f>
        <v>183328.201195821</v>
      </c>
      <c r="CN20" s="3" t="n">
        <f aca="false">$D$37/12*(1+$H$20)^(CN15-1)</f>
        <v>183328.201195821</v>
      </c>
      <c r="CO20" s="3" t="n">
        <f aca="false">$D$37/12*(1+$H$20)^(CO15-1)</f>
        <v>183328.201195821</v>
      </c>
      <c r="CP20" s="3" t="n">
        <f aca="false">$D$37/12*(1+$H$20)^(CP15-1)</f>
        <v>183328.201195821</v>
      </c>
      <c r="CQ20" s="3" t="n">
        <f aca="false">$D$37/12*(1+$H$20)^(CQ15-1)</f>
        <v>187911.406225717</v>
      </c>
      <c r="CR20" s="3" t="n">
        <f aca="false">$D$37/12*(1+$H$20)^(CR15-1)</f>
        <v>187911.406225717</v>
      </c>
      <c r="CS20" s="3" t="n">
        <f aca="false">$D$37/12*(1+$H$20)^(CS15-1)</f>
        <v>187911.406225717</v>
      </c>
      <c r="CT20" s="3" t="n">
        <f aca="false">$D$37/12*(1+$H$20)^(CT15-1)</f>
        <v>187911.406225717</v>
      </c>
      <c r="CU20" s="3" t="n">
        <f aca="false">$D$37/12*(1+$H$20)^(CU15-1)</f>
        <v>187911.406225717</v>
      </c>
      <c r="CV20" s="3" t="n">
        <f aca="false">$D$37/12*(1+$H$20)^(CV15-1)</f>
        <v>187911.406225717</v>
      </c>
      <c r="CW20" s="3" t="n">
        <f aca="false">$D$37/12*(1+$H$20)^(CW15-1)</f>
        <v>187911.406225717</v>
      </c>
      <c r="CX20" s="3" t="n">
        <f aca="false">$D$37/12*(1+$H$20)^(CX15-1)</f>
        <v>187911.406225717</v>
      </c>
      <c r="CY20" s="3" t="n">
        <f aca="false">$D$37/12*(1+$H$20)^(CY15-1)</f>
        <v>187911.406225717</v>
      </c>
      <c r="CZ20" s="3" t="n">
        <f aca="false">$D$37/12*(1+$H$20)^(CZ15-1)</f>
        <v>187911.406225717</v>
      </c>
      <c r="DA20" s="3" t="n">
        <f aca="false">$D$37/12*(1+$H$20)^(DA15-1)</f>
        <v>187911.406225717</v>
      </c>
      <c r="DB20" s="3" t="n">
        <f aca="false">$D$37/12*(1+$H$20)^(DB15-1)</f>
        <v>187911.406225717</v>
      </c>
      <c r="DC20" s="3" t="n">
        <f aca="false">$D$37/12*(1+$H$20)^(DC15-1)</f>
        <v>192609.191381359</v>
      </c>
      <c r="DD20" s="3" t="n">
        <f aca="false">$D$37/12*(1+$H$20)^(DD15-1)</f>
        <v>192609.191381359</v>
      </c>
      <c r="DE20" s="3" t="n">
        <f aca="false">$D$37/12*(1+$H$20)^(DE15-1)</f>
        <v>192609.191381359</v>
      </c>
      <c r="DF20" s="3" t="n">
        <f aca="false">$D$37/12*(1+$H$20)^(DF15-1)</f>
        <v>192609.191381359</v>
      </c>
      <c r="DG20" s="3" t="n">
        <f aca="false">$D$37/12*(1+$H$20)^(DG15-1)</f>
        <v>192609.191381359</v>
      </c>
      <c r="DH20" s="3" t="n">
        <f aca="false">$D$37/12*(1+$H$20)^(DH15-1)</f>
        <v>192609.191381359</v>
      </c>
      <c r="DI20" s="3" t="n">
        <f aca="false">$D$37/12*(1+$H$20)^(DI15-1)</f>
        <v>192609.191381359</v>
      </c>
      <c r="DJ20" s="3" t="n">
        <f aca="false">$D$37/12*(1+$H$20)^(DJ15-1)</f>
        <v>192609.191381359</v>
      </c>
      <c r="DK20" s="3" t="n">
        <f aca="false">$D$37/12*(1+$H$20)^(DK15-1)</f>
        <v>192609.191381359</v>
      </c>
      <c r="DL20" s="3" t="n">
        <f aca="false">$D$37/12*(1+$H$20)^(DL15-1)</f>
        <v>192609.191381359</v>
      </c>
      <c r="DM20" s="3" t="n">
        <f aca="false">$D$37/12*(1+$H$20)^(DM15-1)</f>
        <v>192609.191381359</v>
      </c>
      <c r="DN20" s="3" t="n">
        <f aca="false">$D$37/12*(1+$H$20)^(DN15-1)</f>
        <v>192609.191381359</v>
      </c>
      <c r="DO20" s="3" t="n">
        <f aca="false">$D$37/12*(1+$H$20)^(DO15-1)</f>
        <v>197424.421165893</v>
      </c>
      <c r="DP20" s="3" t="n">
        <f aca="false">$D$37/12*(1+$H$20)^(DP15-1)</f>
        <v>197424.421165893</v>
      </c>
      <c r="DQ20" s="3" t="n">
        <f aca="false">$D$37/12*(1+$H$20)^(DQ15-1)</f>
        <v>197424.421165893</v>
      </c>
      <c r="DR20" s="3" t="n">
        <f aca="false">$D$37/12*(1+$H$20)^(DR15-1)</f>
        <v>197424.421165893</v>
      </c>
      <c r="DS20" s="3" t="n">
        <f aca="false">$D$37/12*(1+$H$20)^(DS15-1)</f>
        <v>197424.421165893</v>
      </c>
      <c r="DT20" s="3" t="n">
        <f aca="false">$D$37/12*(1+$H$20)^(DT15-1)</f>
        <v>197424.421165893</v>
      </c>
      <c r="DU20" s="3" t="n">
        <f aca="false">$D$37/12*(1+$H$20)^(DU15-1)</f>
        <v>197424.421165893</v>
      </c>
      <c r="DV20" s="3" t="n">
        <f aca="false">$D$37/12*(1+$H$20)^(DV15-1)</f>
        <v>197424.421165893</v>
      </c>
      <c r="DW20" s="3" t="n">
        <f aca="false">$D$37/12*(1+$H$20)^(DW15-1)</f>
        <v>197424.421165893</v>
      </c>
      <c r="DX20" s="3" t="n">
        <f aca="false">$D$37/12*(1+$H$20)^(DX15-1)</f>
        <v>197424.421165893</v>
      </c>
      <c r="DY20" s="3" t="n">
        <f aca="false">$D$37/12*(1+$H$20)^(DY15-1)</f>
        <v>197424.421165893</v>
      </c>
      <c r="DZ20" s="3" t="n">
        <f aca="false">$D$37/12*(1+$H$20)^(DZ15-1)</f>
        <v>197424.421165893</v>
      </c>
      <c r="EA20" s="3" t="n">
        <f aca="false">$D$37/12*(1+$H$20)^(EA15-1)</f>
        <v>202360.031695041</v>
      </c>
      <c r="EB20" s="3" t="n">
        <f aca="false">$D$37/12*(1+$H$20)^(EB15-1)</f>
        <v>202360.031695041</v>
      </c>
      <c r="EC20" s="3" t="n">
        <f aca="false">$D$37/12*(1+$H$20)^(EC15-1)</f>
        <v>202360.031695041</v>
      </c>
      <c r="ED20" s="3" t="n">
        <f aca="false">$D$37/12*(1+$H$20)^(ED15-1)</f>
        <v>202360.031695041</v>
      </c>
      <c r="EE20" s="3" t="n">
        <f aca="false">$D$37/12*(1+$H$20)^(EE15-1)</f>
        <v>202360.031695041</v>
      </c>
      <c r="EF20" s="3" t="n">
        <f aca="false">$D$37/12*(1+$H$20)^(EF15-1)</f>
        <v>202360.031695041</v>
      </c>
      <c r="EG20" s="3" t="n">
        <f aca="false">$D$37/12*(1+$H$20)^(EG15-1)</f>
        <v>202360.031695041</v>
      </c>
      <c r="EH20" s="3" t="n">
        <f aca="false">$D$37/12*(1+$H$20)^(EH15-1)</f>
        <v>202360.031695041</v>
      </c>
      <c r="EI20" s="3" t="n">
        <f aca="false">$D$37/12*(1+$H$20)^(EI15-1)</f>
        <v>202360.031695041</v>
      </c>
      <c r="EJ20" s="3" t="n">
        <f aca="false">$D$37/12*(1+$H$20)^(EJ15-1)</f>
        <v>202360.031695041</v>
      </c>
      <c r="EK20" s="3" t="n">
        <f aca="false">$D$37/12*(1+$H$20)^(EK15-1)</f>
        <v>202360.031695041</v>
      </c>
      <c r="EL20" s="3" t="n">
        <f aca="false">$D$37/12*(1+$H$20)^(EL15-1)</f>
        <v>202360.031695041</v>
      </c>
    </row>
    <row r="21" customFormat="false" ht="15" hidden="false" customHeight="false" outlineLevel="0" collapsed="false">
      <c r="C21" s="0" t="s">
        <v>16</v>
      </c>
      <c r="D21" s="2" t="n">
        <v>2026</v>
      </c>
      <c r="I21" s="3" t="s">
        <v>17</v>
      </c>
      <c r="K21" s="3" t="n">
        <f aca="false">-K20*$D$38</f>
        <v>-7904.16666666667</v>
      </c>
      <c r="L21" s="3" t="n">
        <f aca="false">-L20*$D$38</f>
        <v>-7904.16666666667</v>
      </c>
      <c r="M21" s="3" t="n">
        <f aca="false">-M20*$D$38</f>
        <v>-7904.16666666667</v>
      </c>
      <c r="N21" s="3" t="n">
        <f aca="false">-N20*$D$38</f>
        <v>-7904.16666666667</v>
      </c>
      <c r="O21" s="3" t="n">
        <f aca="false">-O20*$D$38</f>
        <v>-7904.16666666667</v>
      </c>
      <c r="P21" s="3" t="n">
        <f aca="false">-P20*$D$38</f>
        <v>-7904.16666666667</v>
      </c>
      <c r="Q21" s="3" t="n">
        <f aca="false">-Q20*$D$38</f>
        <v>-7904.16666666667</v>
      </c>
      <c r="R21" s="3" t="n">
        <f aca="false">-R20*$D$38</f>
        <v>-7904.16666666667</v>
      </c>
      <c r="S21" s="3" t="n">
        <f aca="false">-S20*$D$38</f>
        <v>-7904.16666666667</v>
      </c>
      <c r="T21" s="3" t="n">
        <f aca="false">-T20*$D$38</f>
        <v>-7904.16666666667</v>
      </c>
      <c r="U21" s="3" t="n">
        <f aca="false">-U20*$D$38</f>
        <v>-7904.16666666667</v>
      </c>
      <c r="V21" s="3" t="n">
        <f aca="false">-V20*$D$38</f>
        <v>-7904.16666666667</v>
      </c>
      <c r="W21" s="3" t="n">
        <f aca="false">-W20*$D$38</f>
        <v>-8101.77083333333</v>
      </c>
      <c r="X21" s="3" t="n">
        <f aca="false">-X20*$D$38</f>
        <v>-8101.77083333333</v>
      </c>
      <c r="Y21" s="3" t="n">
        <f aca="false">-Y20*$D$38</f>
        <v>-8101.77083333333</v>
      </c>
      <c r="Z21" s="3" t="n">
        <f aca="false">-Z20*$D$38</f>
        <v>-8101.77083333333</v>
      </c>
      <c r="AA21" s="3" t="n">
        <f aca="false">-AA20*$D$38</f>
        <v>-8101.77083333333</v>
      </c>
      <c r="AB21" s="3" t="n">
        <f aca="false">-AB20*$D$38</f>
        <v>-8101.77083333333</v>
      </c>
      <c r="AC21" s="3" t="n">
        <f aca="false">-AC20*$D$38</f>
        <v>-8101.77083333333</v>
      </c>
      <c r="AD21" s="3" t="n">
        <f aca="false">-AD20*$D$38</f>
        <v>-8101.77083333333</v>
      </c>
      <c r="AE21" s="3" t="n">
        <f aca="false">-AE20*$D$38</f>
        <v>-8101.77083333333</v>
      </c>
      <c r="AF21" s="3" t="n">
        <f aca="false">-AF20*$D$38</f>
        <v>-8101.77083333333</v>
      </c>
      <c r="AG21" s="3" t="n">
        <f aca="false">-AG20*$D$38</f>
        <v>-8101.77083333333</v>
      </c>
      <c r="AH21" s="3" t="n">
        <f aca="false">-AH20*$D$38</f>
        <v>-8101.77083333333</v>
      </c>
      <c r="AI21" s="3" t="n">
        <f aca="false">-AI20*$D$38</f>
        <v>-8304.31510416667</v>
      </c>
      <c r="AJ21" s="3" t="n">
        <f aca="false">-AJ20*$D$38</f>
        <v>-8304.31510416667</v>
      </c>
      <c r="AK21" s="3" t="n">
        <f aca="false">-AK20*$D$38</f>
        <v>-8304.31510416667</v>
      </c>
      <c r="AL21" s="3" t="n">
        <f aca="false">-AL20*$D$38</f>
        <v>-8304.31510416667</v>
      </c>
      <c r="AM21" s="3" t="n">
        <f aca="false">-AM20*$D$38</f>
        <v>-8304.31510416667</v>
      </c>
      <c r="AN21" s="3" t="n">
        <f aca="false">-AN20*$D$38</f>
        <v>-8304.31510416667</v>
      </c>
      <c r="AO21" s="3" t="n">
        <f aca="false">-AO20*$D$38</f>
        <v>-8304.31510416667</v>
      </c>
      <c r="AP21" s="3" t="n">
        <f aca="false">-AP20*$D$38</f>
        <v>-8304.31510416667</v>
      </c>
      <c r="AQ21" s="3" t="n">
        <f aca="false">-AQ20*$D$38</f>
        <v>-8304.31510416667</v>
      </c>
      <c r="AR21" s="3" t="n">
        <f aca="false">-AR20*$D$38</f>
        <v>-8304.31510416667</v>
      </c>
      <c r="AS21" s="3" t="n">
        <f aca="false">-AS20*$D$38</f>
        <v>-8304.31510416667</v>
      </c>
      <c r="AT21" s="3" t="n">
        <f aca="false">-AT20*$D$38</f>
        <v>-8304.31510416667</v>
      </c>
      <c r="AU21" s="3" t="n">
        <f aca="false">-AU20*$D$38</f>
        <v>-8511.92298177083</v>
      </c>
      <c r="AV21" s="3" t="n">
        <f aca="false">-AV20*$D$38</f>
        <v>-8511.92298177083</v>
      </c>
      <c r="AW21" s="3" t="n">
        <f aca="false">-AW20*$D$38</f>
        <v>-8511.92298177083</v>
      </c>
      <c r="AX21" s="3" t="n">
        <f aca="false">-AX20*$D$38</f>
        <v>-8511.92298177083</v>
      </c>
      <c r="AY21" s="3" t="n">
        <f aca="false">-AY20*$D$38</f>
        <v>-8511.92298177083</v>
      </c>
      <c r="AZ21" s="3" t="n">
        <f aca="false">-AZ20*$D$38</f>
        <v>-8511.92298177083</v>
      </c>
      <c r="BA21" s="3" t="n">
        <f aca="false">-BA20*$D$38</f>
        <v>-8511.92298177083</v>
      </c>
      <c r="BB21" s="3" t="n">
        <f aca="false">-BB20*$D$38</f>
        <v>-8511.92298177083</v>
      </c>
      <c r="BC21" s="3" t="n">
        <f aca="false">-BC20*$D$38</f>
        <v>-8511.92298177083</v>
      </c>
      <c r="BD21" s="3" t="n">
        <f aca="false">-BD20*$D$38</f>
        <v>-8511.92298177083</v>
      </c>
      <c r="BE21" s="3" t="n">
        <f aca="false">-BE20*$D$38</f>
        <v>-8511.92298177083</v>
      </c>
      <c r="BF21" s="3" t="n">
        <f aca="false">-BF20*$D$38</f>
        <v>-8511.92298177083</v>
      </c>
      <c r="BG21" s="3" t="n">
        <f aca="false">-BG20*$D$38</f>
        <v>-8724.7210563151</v>
      </c>
      <c r="BH21" s="3" t="n">
        <f aca="false">-BH20*$D$38</f>
        <v>-8724.7210563151</v>
      </c>
      <c r="BI21" s="3" t="n">
        <f aca="false">-BI20*$D$38</f>
        <v>-8724.7210563151</v>
      </c>
      <c r="BJ21" s="3" t="n">
        <f aca="false">-BJ20*$D$38</f>
        <v>-8724.7210563151</v>
      </c>
      <c r="BK21" s="3" t="n">
        <f aca="false">-BK20*$D$38</f>
        <v>-8724.7210563151</v>
      </c>
      <c r="BL21" s="3" t="n">
        <f aca="false">-BL20*$D$38</f>
        <v>-8724.7210563151</v>
      </c>
      <c r="BM21" s="3" t="n">
        <f aca="false">-BM20*$D$38</f>
        <v>-8724.7210563151</v>
      </c>
      <c r="BN21" s="3" t="n">
        <f aca="false">-BN20*$D$38</f>
        <v>-8724.7210563151</v>
      </c>
      <c r="BO21" s="3" t="n">
        <f aca="false">-BO20*$D$38</f>
        <v>-8724.7210563151</v>
      </c>
      <c r="BP21" s="3" t="n">
        <f aca="false">-BP20*$D$38</f>
        <v>-8724.7210563151</v>
      </c>
      <c r="BQ21" s="3" t="n">
        <f aca="false">-BQ20*$D$38</f>
        <v>-8724.7210563151</v>
      </c>
      <c r="BR21" s="3" t="n">
        <f aca="false">-BR20*$D$38</f>
        <v>-8724.7210563151</v>
      </c>
      <c r="BS21" s="3" t="n">
        <f aca="false">-BS20*$D$38</f>
        <v>-8942.83908272298</v>
      </c>
      <c r="BT21" s="3" t="n">
        <f aca="false">-BT20*$D$38</f>
        <v>-8942.83908272298</v>
      </c>
      <c r="BU21" s="3" t="n">
        <f aca="false">-BU20*$D$38</f>
        <v>-8942.83908272298</v>
      </c>
      <c r="BV21" s="3" t="n">
        <f aca="false">-BV20*$D$38</f>
        <v>-8942.83908272298</v>
      </c>
      <c r="BW21" s="3" t="n">
        <f aca="false">-BW20*$D$38</f>
        <v>-8942.83908272298</v>
      </c>
      <c r="BX21" s="3" t="n">
        <f aca="false">-BX20*$D$38</f>
        <v>-8942.83908272298</v>
      </c>
      <c r="BY21" s="3" t="n">
        <f aca="false">-BY20*$D$38</f>
        <v>-8942.83908272298</v>
      </c>
      <c r="BZ21" s="3" t="n">
        <f aca="false">-BZ20*$D$38</f>
        <v>-8942.83908272298</v>
      </c>
      <c r="CA21" s="3" t="n">
        <f aca="false">-CA20*$D$38</f>
        <v>-8942.83908272298</v>
      </c>
      <c r="CB21" s="3" t="n">
        <f aca="false">-CB20*$D$38</f>
        <v>-8942.83908272298</v>
      </c>
      <c r="CC21" s="3" t="n">
        <f aca="false">-CC20*$D$38</f>
        <v>-8942.83908272298</v>
      </c>
      <c r="CD21" s="3" t="n">
        <f aca="false">-CD20*$D$38</f>
        <v>-8942.83908272298</v>
      </c>
      <c r="CE21" s="3" t="n">
        <f aca="false">-CE20*$D$38</f>
        <v>-9166.41005979105</v>
      </c>
      <c r="CF21" s="3" t="n">
        <f aca="false">-CF20*$D$38</f>
        <v>-9166.41005979105</v>
      </c>
      <c r="CG21" s="3" t="n">
        <f aca="false">-CG20*$D$38</f>
        <v>-9166.41005979105</v>
      </c>
      <c r="CH21" s="3" t="n">
        <f aca="false">-CH20*$D$38</f>
        <v>-9166.41005979105</v>
      </c>
      <c r="CI21" s="3" t="n">
        <f aca="false">-CI20*$D$38</f>
        <v>-9166.41005979105</v>
      </c>
      <c r="CJ21" s="3" t="n">
        <f aca="false">-CJ20*$D$38</f>
        <v>-9166.41005979105</v>
      </c>
      <c r="CK21" s="3" t="n">
        <f aca="false">-CK20*$D$38</f>
        <v>-9166.41005979105</v>
      </c>
      <c r="CL21" s="3" t="n">
        <f aca="false">-CL20*$D$38</f>
        <v>-9166.41005979105</v>
      </c>
      <c r="CM21" s="3" t="n">
        <f aca="false">-CM20*$D$38</f>
        <v>-9166.41005979105</v>
      </c>
      <c r="CN21" s="3" t="n">
        <f aca="false">-CN20*$D$38</f>
        <v>-9166.41005979105</v>
      </c>
      <c r="CO21" s="3" t="n">
        <f aca="false">-CO20*$D$38</f>
        <v>-9166.41005979105</v>
      </c>
      <c r="CP21" s="3" t="n">
        <f aca="false">-CP20*$D$38</f>
        <v>-9166.41005979105</v>
      </c>
      <c r="CQ21" s="3" t="n">
        <f aca="false">-CQ20*$D$38</f>
        <v>-9395.57031128583</v>
      </c>
      <c r="CR21" s="3" t="n">
        <f aca="false">-CR20*$D$38</f>
        <v>-9395.57031128583</v>
      </c>
      <c r="CS21" s="3" t="n">
        <f aca="false">-CS20*$D$38</f>
        <v>-9395.57031128583</v>
      </c>
      <c r="CT21" s="3" t="n">
        <f aca="false">-CT20*$D$38</f>
        <v>-9395.57031128583</v>
      </c>
      <c r="CU21" s="3" t="n">
        <f aca="false">-CU20*$D$38</f>
        <v>-9395.57031128583</v>
      </c>
      <c r="CV21" s="3" t="n">
        <f aca="false">-CV20*$D$38</f>
        <v>-9395.57031128583</v>
      </c>
      <c r="CW21" s="3" t="n">
        <f aca="false">-CW20*$D$38</f>
        <v>-9395.57031128583</v>
      </c>
      <c r="CX21" s="3" t="n">
        <f aca="false">-CX20*$D$38</f>
        <v>-9395.57031128583</v>
      </c>
      <c r="CY21" s="3" t="n">
        <f aca="false">-CY20*$D$38</f>
        <v>-9395.57031128583</v>
      </c>
      <c r="CZ21" s="3" t="n">
        <f aca="false">-CZ20*$D$38</f>
        <v>-9395.57031128583</v>
      </c>
      <c r="DA21" s="3" t="n">
        <f aca="false">-DA20*$D$38</f>
        <v>-9395.57031128583</v>
      </c>
      <c r="DB21" s="3" t="n">
        <f aca="false">-DB20*$D$38</f>
        <v>-9395.57031128583</v>
      </c>
      <c r="DC21" s="3" t="n">
        <f aca="false">-DC20*$D$38</f>
        <v>-9630.45956906797</v>
      </c>
      <c r="DD21" s="3" t="n">
        <f aca="false">-DD20*$D$38</f>
        <v>-9630.45956906797</v>
      </c>
      <c r="DE21" s="3" t="n">
        <f aca="false">-DE20*$D$38</f>
        <v>-9630.45956906797</v>
      </c>
      <c r="DF21" s="3" t="n">
        <f aca="false">-DF20*$D$38</f>
        <v>-9630.45956906797</v>
      </c>
      <c r="DG21" s="3" t="n">
        <f aca="false">-DG20*$D$38</f>
        <v>-9630.45956906797</v>
      </c>
      <c r="DH21" s="3" t="n">
        <f aca="false">-DH20*$D$38</f>
        <v>-9630.45956906797</v>
      </c>
      <c r="DI21" s="3" t="n">
        <f aca="false">-DI20*$D$38</f>
        <v>-9630.45956906797</v>
      </c>
      <c r="DJ21" s="3" t="n">
        <f aca="false">-DJ20*$D$38</f>
        <v>-9630.45956906797</v>
      </c>
      <c r="DK21" s="3" t="n">
        <f aca="false">-DK20*$D$38</f>
        <v>-9630.45956906797</v>
      </c>
      <c r="DL21" s="3" t="n">
        <f aca="false">-DL20*$D$38</f>
        <v>-9630.45956906797</v>
      </c>
      <c r="DM21" s="3" t="n">
        <f aca="false">-DM20*$D$38</f>
        <v>-9630.45956906797</v>
      </c>
      <c r="DN21" s="3" t="n">
        <f aca="false">-DN20*$D$38</f>
        <v>-9630.45956906797</v>
      </c>
      <c r="DO21" s="3" t="n">
        <f aca="false">-DO20*$D$38</f>
        <v>-9871.22105829467</v>
      </c>
      <c r="DP21" s="3" t="n">
        <f aca="false">-DP20*$D$38</f>
        <v>-9871.22105829467</v>
      </c>
      <c r="DQ21" s="3" t="n">
        <f aca="false">-DQ20*$D$38</f>
        <v>-9871.22105829467</v>
      </c>
      <c r="DR21" s="3" t="n">
        <f aca="false">-DR20*$D$38</f>
        <v>-9871.22105829467</v>
      </c>
      <c r="DS21" s="3" t="n">
        <f aca="false">-DS20*$D$38</f>
        <v>-9871.22105829467</v>
      </c>
      <c r="DT21" s="3" t="n">
        <f aca="false">-DT20*$D$38</f>
        <v>-9871.22105829467</v>
      </c>
      <c r="DU21" s="3" t="n">
        <f aca="false">-DU20*$D$38</f>
        <v>-9871.22105829467</v>
      </c>
      <c r="DV21" s="3" t="n">
        <f aca="false">-DV20*$D$38</f>
        <v>-9871.22105829467</v>
      </c>
      <c r="DW21" s="3" t="n">
        <f aca="false">-DW20*$D$38</f>
        <v>-9871.22105829467</v>
      </c>
      <c r="DX21" s="3" t="n">
        <f aca="false">-DX20*$D$38</f>
        <v>-9871.22105829467</v>
      </c>
      <c r="DY21" s="3" t="n">
        <f aca="false">-DY20*$D$38</f>
        <v>-9871.22105829467</v>
      </c>
      <c r="DZ21" s="3" t="n">
        <f aca="false">-DZ20*$D$38</f>
        <v>-9871.22105829467</v>
      </c>
      <c r="EA21" s="3" t="n">
        <f aca="false">-EA20*$D$38</f>
        <v>-10118.001584752</v>
      </c>
      <c r="EB21" s="3" t="n">
        <f aca="false">-EB20*$D$38</f>
        <v>-10118.001584752</v>
      </c>
      <c r="EC21" s="3" t="n">
        <f aca="false">-EC20*$D$38</f>
        <v>-10118.001584752</v>
      </c>
      <c r="ED21" s="3" t="n">
        <f aca="false">-ED20*$D$38</f>
        <v>-10118.001584752</v>
      </c>
      <c r="EE21" s="3" t="n">
        <f aca="false">-EE20*$D$38</f>
        <v>-10118.001584752</v>
      </c>
      <c r="EF21" s="3" t="n">
        <f aca="false">-EF20*$D$38</f>
        <v>-10118.001584752</v>
      </c>
      <c r="EG21" s="3" t="n">
        <f aca="false">-EG20*$D$38</f>
        <v>-10118.001584752</v>
      </c>
      <c r="EH21" s="3" t="n">
        <f aca="false">-EH20*$D$38</f>
        <v>-10118.001584752</v>
      </c>
      <c r="EI21" s="3" t="n">
        <f aca="false">-EI20*$D$38</f>
        <v>-10118.001584752</v>
      </c>
      <c r="EJ21" s="3" t="n">
        <f aca="false">-EJ20*$D$38</f>
        <v>-10118.001584752</v>
      </c>
      <c r="EK21" s="3" t="n">
        <f aca="false">-EK20*$D$38</f>
        <v>-10118.001584752</v>
      </c>
      <c r="EL21" s="3" t="n">
        <f aca="false">-EL20*$D$38</f>
        <v>-10118.001584752</v>
      </c>
    </row>
    <row r="22" customFormat="false" ht="15" hidden="false" customHeight="false" outlineLevel="0" collapsed="false">
      <c r="C22" s="0" t="s">
        <v>18</v>
      </c>
      <c r="D22" s="0" t="s">
        <v>19</v>
      </c>
      <c r="I22" s="0" t="s">
        <v>20</v>
      </c>
      <c r="K22" s="0" t="n">
        <v>-8000</v>
      </c>
      <c r="L22" s="0" t="n">
        <v>-8000</v>
      </c>
      <c r="M22" s="0" t="n">
        <v>-8000</v>
      </c>
      <c r="N22" s="0" t="n">
        <v>-8000</v>
      </c>
      <c r="O22" s="0" t="n">
        <v>-8000</v>
      </c>
      <c r="P22" s="0" t="n">
        <v>-8000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0</v>
      </c>
      <c r="AI22" s="0" t="n">
        <v>0</v>
      </c>
      <c r="AJ22" s="0" t="n">
        <v>0</v>
      </c>
      <c r="AK22" s="0" t="n">
        <v>0</v>
      </c>
      <c r="AL22" s="0" t="n">
        <v>0</v>
      </c>
      <c r="AM22" s="0" t="n">
        <v>0</v>
      </c>
      <c r="AN22" s="0" t="n">
        <v>0</v>
      </c>
      <c r="AO22" s="0" t="n">
        <v>0</v>
      </c>
      <c r="AP22" s="0" t="n">
        <v>0</v>
      </c>
      <c r="AQ22" s="0" t="n">
        <v>0</v>
      </c>
      <c r="AR22" s="0" t="n">
        <v>0</v>
      </c>
      <c r="AS22" s="0" t="n">
        <v>0</v>
      </c>
      <c r="AT22" s="0" t="n">
        <v>0</v>
      </c>
      <c r="AU22" s="0" t="n">
        <v>0</v>
      </c>
      <c r="AV22" s="0" t="n">
        <v>0</v>
      </c>
      <c r="AW22" s="0" t="n">
        <v>0</v>
      </c>
      <c r="AX22" s="0" t="n">
        <v>0</v>
      </c>
      <c r="AY22" s="0" t="n">
        <v>0</v>
      </c>
      <c r="AZ22" s="0" t="n">
        <v>0</v>
      </c>
      <c r="BA22" s="0" t="n">
        <v>0</v>
      </c>
      <c r="BB22" s="0" t="n">
        <v>0</v>
      </c>
      <c r="BC22" s="0" t="n">
        <v>0</v>
      </c>
      <c r="BD22" s="0" t="n">
        <v>0</v>
      </c>
      <c r="BE22" s="0" t="n">
        <v>0</v>
      </c>
      <c r="BF22" s="0" t="n">
        <v>0</v>
      </c>
      <c r="BG22" s="0" t="n">
        <v>0</v>
      </c>
      <c r="BH22" s="0" t="n">
        <v>0</v>
      </c>
      <c r="BI22" s="0" t="n">
        <v>0</v>
      </c>
      <c r="BJ22" s="0" t="n">
        <v>0</v>
      </c>
      <c r="BK22" s="0" t="n">
        <v>0</v>
      </c>
      <c r="BL22" s="0" t="n">
        <v>0</v>
      </c>
      <c r="BM22" s="0" t="n">
        <v>0</v>
      </c>
      <c r="BN22" s="0" t="n">
        <v>0</v>
      </c>
      <c r="BO22" s="0" t="n">
        <v>0</v>
      </c>
      <c r="BP22" s="0" t="n">
        <v>0</v>
      </c>
      <c r="BQ22" s="0" t="n">
        <v>0</v>
      </c>
      <c r="BR22" s="0" t="n">
        <v>0</v>
      </c>
      <c r="BS22" s="0" t="n">
        <v>0</v>
      </c>
      <c r="BT22" s="0" t="n">
        <v>0</v>
      </c>
      <c r="BU22" s="0" t="n">
        <v>0</v>
      </c>
      <c r="BV22" s="0" t="n">
        <v>0</v>
      </c>
      <c r="BW22" s="0" t="n">
        <v>0</v>
      </c>
      <c r="BX22" s="0" t="n">
        <v>0</v>
      </c>
      <c r="BY22" s="0" t="n">
        <v>0</v>
      </c>
      <c r="BZ22" s="0" t="n">
        <v>0</v>
      </c>
      <c r="CA22" s="0" t="n">
        <v>0</v>
      </c>
      <c r="CB22" s="0" t="n">
        <v>0</v>
      </c>
      <c r="CC22" s="0" t="n">
        <v>0</v>
      </c>
      <c r="CD22" s="0" t="n">
        <v>0</v>
      </c>
      <c r="CE22" s="0" t="n">
        <v>0</v>
      </c>
      <c r="CF22" s="0" t="n">
        <v>0</v>
      </c>
      <c r="CG22" s="0" t="n">
        <v>0</v>
      </c>
      <c r="CH22" s="0" t="n">
        <v>0</v>
      </c>
      <c r="CI22" s="0" t="n">
        <v>0</v>
      </c>
      <c r="CJ22" s="0" t="n">
        <v>0</v>
      </c>
      <c r="CK22" s="0" t="n">
        <v>0</v>
      </c>
      <c r="CL22" s="0" t="n">
        <v>0</v>
      </c>
      <c r="CM22" s="0" t="n">
        <v>0</v>
      </c>
      <c r="CN22" s="0" t="n">
        <v>0</v>
      </c>
      <c r="CO22" s="0" t="n">
        <v>0</v>
      </c>
      <c r="CP22" s="0" t="n">
        <v>0</v>
      </c>
      <c r="CQ22" s="0" t="n">
        <v>0</v>
      </c>
      <c r="CR22" s="0" t="n">
        <v>0</v>
      </c>
      <c r="CS22" s="0" t="n">
        <v>0</v>
      </c>
      <c r="CT22" s="0" t="n">
        <v>0</v>
      </c>
      <c r="CU22" s="0" t="n">
        <v>0</v>
      </c>
      <c r="CV22" s="0" t="n">
        <v>0</v>
      </c>
      <c r="CW22" s="0" t="n">
        <v>0</v>
      </c>
      <c r="CX22" s="0" t="n">
        <v>0</v>
      </c>
      <c r="CY22" s="0" t="n">
        <v>0</v>
      </c>
      <c r="CZ22" s="0" t="n">
        <v>0</v>
      </c>
      <c r="DA22" s="0" t="n">
        <v>0</v>
      </c>
      <c r="DB22" s="0" t="n">
        <v>0</v>
      </c>
      <c r="DC22" s="0" t="n">
        <v>0</v>
      </c>
      <c r="DD22" s="0" t="n">
        <v>0</v>
      </c>
      <c r="DE22" s="0" t="n">
        <v>0</v>
      </c>
      <c r="DF22" s="0" t="n">
        <v>0</v>
      </c>
      <c r="DG22" s="0" t="n">
        <v>0</v>
      </c>
      <c r="DH22" s="0" t="n">
        <v>0</v>
      </c>
      <c r="DI22" s="0" t="n">
        <v>0</v>
      </c>
      <c r="DJ22" s="0" t="n">
        <v>0</v>
      </c>
      <c r="DK22" s="0" t="n">
        <v>0</v>
      </c>
      <c r="DL22" s="0" t="n">
        <v>0</v>
      </c>
      <c r="DM22" s="0" t="n">
        <v>0</v>
      </c>
      <c r="DN22" s="0" t="n">
        <v>0</v>
      </c>
      <c r="DO22" s="0" t="n">
        <v>0</v>
      </c>
      <c r="DP22" s="0" t="n">
        <v>0</v>
      </c>
      <c r="DQ22" s="0" t="n">
        <v>0</v>
      </c>
      <c r="DR22" s="0" t="n">
        <v>0</v>
      </c>
      <c r="DS22" s="0" t="n">
        <v>0</v>
      </c>
      <c r="DT22" s="0" t="n">
        <v>0</v>
      </c>
      <c r="DU22" s="0" t="n">
        <v>0</v>
      </c>
      <c r="DV22" s="0" t="n">
        <v>0</v>
      </c>
      <c r="DW22" s="0" t="n">
        <v>0</v>
      </c>
      <c r="DX22" s="0" t="n">
        <v>0</v>
      </c>
      <c r="DY22" s="0" t="n">
        <v>0</v>
      </c>
      <c r="DZ22" s="0" t="n">
        <v>0</v>
      </c>
      <c r="EA22" s="0" t="n">
        <v>0</v>
      </c>
      <c r="EB22" s="0" t="n">
        <v>0</v>
      </c>
      <c r="EC22" s="0" t="n">
        <v>0</v>
      </c>
      <c r="ED22" s="0" t="n">
        <v>0</v>
      </c>
      <c r="EE22" s="0" t="n">
        <v>0</v>
      </c>
      <c r="EF22" s="0" t="n">
        <v>0</v>
      </c>
      <c r="EG22" s="0" t="n">
        <v>0</v>
      </c>
      <c r="EH22" s="0" t="n">
        <v>0</v>
      </c>
      <c r="EI22" s="0" t="n">
        <v>0</v>
      </c>
      <c r="EJ22" s="0" t="n">
        <v>0</v>
      </c>
      <c r="EK22" s="0" t="n">
        <v>0</v>
      </c>
      <c r="EL22" s="0" t="n">
        <v>0</v>
      </c>
    </row>
    <row r="23" customFormat="false" ht="15" hidden="false" customHeight="false" outlineLevel="0" collapsed="false">
      <c r="C23" s="0" t="s">
        <v>21</v>
      </c>
      <c r="D23" s="0" t="s">
        <v>22</v>
      </c>
      <c r="I23" s="0" t="s">
        <v>23</v>
      </c>
      <c r="K23" s="0" t="n">
        <f aca="false">SUM(K20:K22)</f>
        <v>142179.166666667</v>
      </c>
      <c r="L23" s="0" t="n">
        <f aca="false">SUM(L20:L22)</f>
        <v>142179.166666667</v>
      </c>
      <c r="M23" s="0" t="n">
        <f aca="false">SUM(M20:M22)</f>
        <v>142179.166666667</v>
      </c>
      <c r="N23" s="0" t="n">
        <f aca="false">SUM(N20:N22)</f>
        <v>142179.166666667</v>
      </c>
      <c r="O23" s="0" t="n">
        <f aca="false">SUM(O20:O22)</f>
        <v>142179.166666667</v>
      </c>
      <c r="P23" s="0" t="n">
        <f aca="false">SUM(P20:P22)</f>
        <v>142179.166666667</v>
      </c>
      <c r="Q23" s="0" t="n">
        <f aca="false">SUM(Q20:Q22)</f>
        <v>150179.166666667</v>
      </c>
      <c r="R23" s="0" t="n">
        <f aca="false">SUM(R20:R22)</f>
        <v>150179.166666667</v>
      </c>
      <c r="S23" s="0" t="n">
        <f aca="false">SUM(S20:S22)</f>
        <v>150179.166666667</v>
      </c>
      <c r="T23" s="0" t="n">
        <f aca="false">SUM(T20:T22)</f>
        <v>150179.166666667</v>
      </c>
      <c r="U23" s="0" t="n">
        <f aca="false">SUM(U20:U22)</f>
        <v>150179.166666667</v>
      </c>
      <c r="V23" s="0" t="n">
        <f aca="false">SUM(V20:V22)</f>
        <v>150179.166666667</v>
      </c>
      <c r="W23" s="0" t="n">
        <f aca="false">SUM(W20:W22)</f>
        <v>153933.645833333</v>
      </c>
      <c r="X23" s="0" t="n">
        <f aca="false">SUM(X20:X22)</f>
        <v>153933.645833333</v>
      </c>
      <c r="Y23" s="0" t="n">
        <f aca="false">SUM(Y20:Y22)</f>
        <v>153933.645833333</v>
      </c>
      <c r="Z23" s="0" t="n">
        <f aca="false">SUM(Z20:Z22)</f>
        <v>153933.645833333</v>
      </c>
      <c r="AA23" s="0" t="n">
        <f aca="false">SUM(AA20:AA22)</f>
        <v>153933.645833333</v>
      </c>
      <c r="AB23" s="0" t="n">
        <f aca="false">SUM(AB20:AB22)</f>
        <v>153933.645833333</v>
      </c>
      <c r="AC23" s="0" t="n">
        <f aca="false">SUM(AC20:AC22)</f>
        <v>153933.645833333</v>
      </c>
      <c r="AD23" s="0" t="n">
        <f aca="false">SUM(AD20:AD22)</f>
        <v>153933.645833333</v>
      </c>
      <c r="AE23" s="0" t="n">
        <f aca="false">SUM(AE20:AE22)</f>
        <v>153933.645833333</v>
      </c>
      <c r="AF23" s="0" t="n">
        <f aca="false">SUM(AF20:AF22)</f>
        <v>153933.645833333</v>
      </c>
      <c r="AG23" s="0" t="n">
        <f aca="false">SUM(AG20:AG22)</f>
        <v>153933.645833333</v>
      </c>
      <c r="AH23" s="0" t="n">
        <f aca="false">SUM(AH20:AH22)</f>
        <v>153933.645833333</v>
      </c>
      <c r="AI23" s="0" t="n">
        <f aca="false">SUM(AI20:AI22)</f>
        <v>157781.986979167</v>
      </c>
      <c r="AJ23" s="0" t="n">
        <f aca="false">SUM(AJ20:AJ22)</f>
        <v>157781.986979167</v>
      </c>
      <c r="AK23" s="0" t="n">
        <f aca="false">SUM(AK20:AK22)</f>
        <v>157781.986979167</v>
      </c>
      <c r="AL23" s="0" t="n">
        <f aca="false">SUM(AL20:AL22)</f>
        <v>157781.986979167</v>
      </c>
      <c r="AM23" s="0" t="n">
        <f aca="false">SUM(AM20:AM22)</f>
        <v>157781.986979167</v>
      </c>
      <c r="AN23" s="0" t="n">
        <f aca="false">SUM(AN20:AN22)</f>
        <v>157781.986979167</v>
      </c>
      <c r="AO23" s="0" t="n">
        <f aca="false">SUM(AO20:AO22)</f>
        <v>157781.986979167</v>
      </c>
      <c r="AP23" s="0" t="n">
        <f aca="false">SUM(AP20:AP22)</f>
        <v>157781.986979167</v>
      </c>
      <c r="AQ23" s="0" t="n">
        <f aca="false">SUM(AQ20:AQ22)</f>
        <v>157781.986979167</v>
      </c>
      <c r="AR23" s="0" t="n">
        <f aca="false">SUM(AR20:AR22)</f>
        <v>157781.986979167</v>
      </c>
      <c r="AS23" s="0" t="n">
        <f aca="false">SUM(AS20:AS22)</f>
        <v>157781.986979167</v>
      </c>
      <c r="AT23" s="0" t="n">
        <f aca="false">SUM(AT20:AT22)</f>
        <v>157781.986979167</v>
      </c>
      <c r="AU23" s="0" t="n">
        <f aca="false">SUM(AU20:AU22)</f>
        <v>161726.536653646</v>
      </c>
      <c r="AV23" s="0" t="n">
        <f aca="false">SUM(AV20:AV22)</f>
        <v>161726.536653646</v>
      </c>
      <c r="AW23" s="0" t="n">
        <f aca="false">SUM(AW20:AW22)</f>
        <v>161726.536653646</v>
      </c>
      <c r="AX23" s="0" t="n">
        <f aca="false">SUM(AX20:AX22)</f>
        <v>161726.536653646</v>
      </c>
      <c r="AY23" s="0" t="n">
        <f aca="false">SUM(AY20:AY22)</f>
        <v>161726.536653646</v>
      </c>
      <c r="AZ23" s="0" t="n">
        <f aca="false">SUM(AZ20:AZ22)</f>
        <v>161726.536653646</v>
      </c>
      <c r="BA23" s="0" t="n">
        <f aca="false">SUM(BA20:BA22)</f>
        <v>161726.536653646</v>
      </c>
      <c r="BB23" s="0" t="n">
        <f aca="false">SUM(BB20:BB22)</f>
        <v>161726.536653646</v>
      </c>
      <c r="BC23" s="0" t="n">
        <f aca="false">SUM(BC20:BC22)</f>
        <v>161726.536653646</v>
      </c>
      <c r="BD23" s="0" t="n">
        <f aca="false">SUM(BD20:BD22)</f>
        <v>161726.536653646</v>
      </c>
      <c r="BE23" s="0" t="n">
        <f aca="false">SUM(BE20:BE22)</f>
        <v>161726.536653646</v>
      </c>
      <c r="BF23" s="0" t="n">
        <f aca="false">SUM(BF20:BF22)</f>
        <v>161726.536653646</v>
      </c>
      <c r="BG23" s="0" t="n">
        <f aca="false">SUM(BG20:BG22)</f>
        <v>165769.700069987</v>
      </c>
      <c r="BH23" s="0" t="n">
        <f aca="false">SUM(BH20:BH22)</f>
        <v>165769.700069987</v>
      </c>
      <c r="BI23" s="0" t="n">
        <f aca="false">SUM(BI20:BI22)</f>
        <v>165769.700069987</v>
      </c>
      <c r="BJ23" s="0" t="n">
        <f aca="false">SUM(BJ20:BJ22)</f>
        <v>165769.700069987</v>
      </c>
      <c r="BK23" s="0" t="n">
        <f aca="false">SUM(BK20:BK22)</f>
        <v>165769.700069987</v>
      </c>
      <c r="BL23" s="0" t="n">
        <f aca="false">SUM(BL20:BL22)</f>
        <v>165769.700069987</v>
      </c>
      <c r="BM23" s="0" t="n">
        <f aca="false">SUM(BM20:BM22)</f>
        <v>165769.700069987</v>
      </c>
      <c r="BN23" s="0" t="n">
        <f aca="false">SUM(BN20:BN22)</f>
        <v>165769.700069987</v>
      </c>
      <c r="BO23" s="0" t="n">
        <f aca="false">SUM(BO20:BO22)</f>
        <v>165769.700069987</v>
      </c>
      <c r="BP23" s="0" t="n">
        <f aca="false">SUM(BP20:BP22)</f>
        <v>165769.700069987</v>
      </c>
      <c r="BQ23" s="0" t="n">
        <f aca="false">SUM(BQ20:BQ22)</f>
        <v>165769.700069987</v>
      </c>
      <c r="BR23" s="0" t="n">
        <f aca="false">SUM(BR20:BR22)</f>
        <v>165769.700069987</v>
      </c>
      <c r="BS23" s="0" t="n">
        <f aca="false">SUM(BS20:BS22)</f>
        <v>169913.942571737</v>
      </c>
      <c r="BT23" s="0" t="n">
        <f aca="false">SUM(BT20:BT22)</f>
        <v>169913.942571737</v>
      </c>
      <c r="BU23" s="0" t="n">
        <f aca="false">SUM(BU20:BU22)</f>
        <v>169913.942571737</v>
      </c>
      <c r="BV23" s="0" t="n">
        <f aca="false">SUM(BV20:BV22)</f>
        <v>169913.942571737</v>
      </c>
      <c r="BW23" s="0" t="n">
        <f aca="false">SUM(BW20:BW22)</f>
        <v>169913.942571737</v>
      </c>
      <c r="BX23" s="0" t="n">
        <f aca="false">SUM(BX20:BX22)</f>
        <v>169913.942571737</v>
      </c>
      <c r="BY23" s="0" t="n">
        <f aca="false">SUM(BY20:BY22)</f>
        <v>169913.942571737</v>
      </c>
      <c r="BZ23" s="0" t="n">
        <f aca="false">SUM(BZ20:BZ22)</f>
        <v>169913.942571737</v>
      </c>
      <c r="CA23" s="0" t="n">
        <f aca="false">SUM(CA20:CA22)</f>
        <v>169913.942571737</v>
      </c>
      <c r="CB23" s="0" t="n">
        <f aca="false">SUM(CB20:CB22)</f>
        <v>169913.942571737</v>
      </c>
      <c r="CC23" s="0" t="n">
        <f aca="false">SUM(CC20:CC22)</f>
        <v>169913.942571737</v>
      </c>
      <c r="CD23" s="0" t="n">
        <f aca="false">SUM(CD20:CD22)</f>
        <v>169913.942571737</v>
      </c>
      <c r="CE23" s="0" t="n">
        <f aca="false">SUM(CE20:CE22)</f>
        <v>174161.79113603</v>
      </c>
      <c r="CF23" s="0" t="n">
        <f aca="false">SUM(CF20:CF22)</f>
        <v>174161.79113603</v>
      </c>
      <c r="CG23" s="0" t="n">
        <f aca="false">SUM(CG20:CG22)</f>
        <v>174161.79113603</v>
      </c>
      <c r="CH23" s="0" t="n">
        <f aca="false">SUM(CH20:CH22)</f>
        <v>174161.79113603</v>
      </c>
      <c r="CI23" s="0" t="n">
        <f aca="false">SUM(CI20:CI22)</f>
        <v>174161.79113603</v>
      </c>
      <c r="CJ23" s="0" t="n">
        <f aca="false">SUM(CJ20:CJ22)</f>
        <v>174161.79113603</v>
      </c>
      <c r="CK23" s="0" t="n">
        <f aca="false">SUM(CK20:CK22)</f>
        <v>174161.79113603</v>
      </c>
      <c r="CL23" s="0" t="n">
        <f aca="false">SUM(CL20:CL22)</f>
        <v>174161.79113603</v>
      </c>
      <c r="CM23" s="0" t="n">
        <f aca="false">SUM(CM20:CM22)</f>
        <v>174161.79113603</v>
      </c>
      <c r="CN23" s="0" t="n">
        <f aca="false">SUM(CN20:CN22)</f>
        <v>174161.79113603</v>
      </c>
      <c r="CO23" s="0" t="n">
        <f aca="false">SUM(CO20:CO22)</f>
        <v>174161.79113603</v>
      </c>
      <c r="CP23" s="0" t="n">
        <f aca="false">SUM(CP20:CP22)</f>
        <v>174161.79113603</v>
      </c>
      <c r="CQ23" s="0" t="n">
        <f aca="false">SUM(CQ20:CQ22)</f>
        <v>178515.835914431</v>
      </c>
      <c r="CR23" s="0" t="n">
        <f aca="false">SUM(CR20:CR22)</f>
        <v>178515.835914431</v>
      </c>
      <c r="CS23" s="0" t="n">
        <f aca="false">SUM(CS20:CS22)</f>
        <v>178515.835914431</v>
      </c>
      <c r="CT23" s="0" t="n">
        <f aca="false">SUM(CT20:CT22)</f>
        <v>178515.835914431</v>
      </c>
      <c r="CU23" s="0" t="n">
        <f aca="false">SUM(CU20:CU22)</f>
        <v>178515.835914431</v>
      </c>
      <c r="CV23" s="0" t="n">
        <f aca="false">SUM(CV20:CV22)</f>
        <v>178515.835914431</v>
      </c>
      <c r="CW23" s="0" t="n">
        <f aca="false">SUM(CW20:CW22)</f>
        <v>178515.835914431</v>
      </c>
      <c r="CX23" s="0" t="n">
        <f aca="false">SUM(CX20:CX22)</f>
        <v>178515.835914431</v>
      </c>
      <c r="CY23" s="0" t="n">
        <f aca="false">SUM(CY20:CY22)</f>
        <v>178515.835914431</v>
      </c>
      <c r="CZ23" s="0" t="n">
        <f aca="false">SUM(CZ20:CZ22)</f>
        <v>178515.835914431</v>
      </c>
      <c r="DA23" s="0" t="n">
        <f aca="false">SUM(DA20:DA22)</f>
        <v>178515.835914431</v>
      </c>
      <c r="DB23" s="0" t="n">
        <f aca="false">SUM(DB20:DB22)</f>
        <v>178515.835914431</v>
      </c>
      <c r="DC23" s="0" t="n">
        <f aca="false">SUM(DC20:DC22)</f>
        <v>182978.731812291</v>
      </c>
      <c r="DD23" s="0" t="n">
        <f aca="false">SUM(DD20:DD22)</f>
        <v>182978.731812291</v>
      </c>
      <c r="DE23" s="0" t="n">
        <f aca="false">SUM(DE20:DE22)</f>
        <v>182978.731812291</v>
      </c>
      <c r="DF23" s="0" t="n">
        <f aca="false">SUM(DF20:DF22)</f>
        <v>182978.731812291</v>
      </c>
      <c r="DG23" s="0" t="n">
        <f aca="false">SUM(DG20:DG22)</f>
        <v>182978.731812291</v>
      </c>
      <c r="DH23" s="0" t="n">
        <f aca="false">SUM(DH20:DH22)</f>
        <v>182978.731812291</v>
      </c>
      <c r="DI23" s="0" t="n">
        <f aca="false">SUM(DI20:DI22)</f>
        <v>182978.731812291</v>
      </c>
      <c r="DJ23" s="0" t="n">
        <f aca="false">SUM(DJ20:DJ22)</f>
        <v>182978.731812291</v>
      </c>
      <c r="DK23" s="0" t="n">
        <f aca="false">SUM(DK20:DK22)</f>
        <v>182978.731812291</v>
      </c>
      <c r="DL23" s="0" t="n">
        <f aca="false">SUM(DL20:DL22)</f>
        <v>182978.731812291</v>
      </c>
      <c r="DM23" s="0" t="n">
        <f aca="false">SUM(DM20:DM22)</f>
        <v>182978.731812291</v>
      </c>
      <c r="DN23" s="0" t="n">
        <f aca="false">SUM(DN20:DN22)</f>
        <v>182978.731812291</v>
      </c>
      <c r="DO23" s="0" t="n">
        <f aca="false">SUM(DO20:DO22)</f>
        <v>187553.200107599</v>
      </c>
      <c r="DP23" s="0" t="n">
        <f aca="false">SUM(DP20:DP22)</f>
        <v>187553.200107599</v>
      </c>
      <c r="DQ23" s="0" t="n">
        <f aca="false">SUM(DQ20:DQ22)</f>
        <v>187553.200107599</v>
      </c>
      <c r="DR23" s="0" t="n">
        <f aca="false">SUM(DR20:DR22)</f>
        <v>187553.200107599</v>
      </c>
      <c r="DS23" s="0" t="n">
        <f aca="false">SUM(DS20:DS22)</f>
        <v>187553.200107599</v>
      </c>
      <c r="DT23" s="0" t="n">
        <f aca="false">SUM(DT20:DT22)</f>
        <v>187553.200107599</v>
      </c>
      <c r="DU23" s="0" t="n">
        <f aca="false">SUM(DU20:DU22)</f>
        <v>187553.200107599</v>
      </c>
      <c r="DV23" s="0" t="n">
        <f aca="false">SUM(DV20:DV22)</f>
        <v>187553.200107599</v>
      </c>
      <c r="DW23" s="0" t="n">
        <f aca="false">SUM(DW20:DW22)</f>
        <v>187553.200107599</v>
      </c>
      <c r="DX23" s="0" t="n">
        <f aca="false">SUM(DX20:DX22)</f>
        <v>187553.200107599</v>
      </c>
      <c r="DY23" s="0" t="n">
        <f aca="false">SUM(DY20:DY22)</f>
        <v>187553.200107599</v>
      </c>
      <c r="DZ23" s="0" t="n">
        <f aca="false">SUM(DZ20:DZ22)</f>
        <v>187553.200107599</v>
      </c>
      <c r="EA23" s="0" t="n">
        <f aca="false">SUM(EA20:EA22)</f>
        <v>192242.030110289</v>
      </c>
      <c r="EB23" s="0" t="n">
        <f aca="false">SUM(EB20:EB22)</f>
        <v>192242.030110289</v>
      </c>
      <c r="EC23" s="0" t="n">
        <f aca="false">SUM(EC20:EC22)</f>
        <v>192242.030110289</v>
      </c>
      <c r="ED23" s="0" t="n">
        <f aca="false">SUM(ED20:ED22)</f>
        <v>192242.030110289</v>
      </c>
      <c r="EE23" s="0" t="n">
        <f aca="false">SUM(EE20:EE22)</f>
        <v>192242.030110289</v>
      </c>
      <c r="EF23" s="0" t="n">
        <f aca="false">SUM(EF20:EF22)</f>
        <v>192242.030110289</v>
      </c>
      <c r="EG23" s="0" t="n">
        <f aca="false">SUM(EG20:EG22)</f>
        <v>192242.030110289</v>
      </c>
      <c r="EH23" s="0" t="n">
        <f aca="false">SUM(EH20:EH22)</f>
        <v>192242.030110289</v>
      </c>
      <c r="EI23" s="0" t="n">
        <f aca="false">SUM(EI20:EI22)</f>
        <v>192242.030110289</v>
      </c>
      <c r="EJ23" s="0" t="n">
        <f aca="false">SUM(EJ20:EJ22)</f>
        <v>192242.030110289</v>
      </c>
      <c r="EK23" s="0" t="n">
        <f aca="false">SUM(EK20:EK22)</f>
        <v>192242.030110289</v>
      </c>
      <c r="EL23" s="0" t="n">
        <f aca="false">SUM(EL20:EL22)</f>
        <v>192242.030110289</v>
      </c>
    </row>
    <row r="24" customFormat="false" ht="15" hidden="false" customHeight="false" outlineLevel="0" collapsed="false">
      <c r="H24" s="4" t="n">
        <v>0.03</v>
      </c>
      <c r="I24" s="3" t="s">
        <v>24</v>
      </c>
      <c r="K24" s="3" t="n">
        <f aca="false">($D$40=K16)*-$D$39*(1+$H$24)^(K15-1)</f>
        <v>-0</v>
      </c>
      <c r="L24" s="3" t="n">
        <f aca="false">($D$40=L16)*-$D$39*(1+$H$24)^(L15-1)</f>
        <v>-0</v>
      </c>
      <c r="M24" s="3" t="n">
        <f aca="false">($D$40=M16)*-$D$39*(1+$H$24)^(M15-1)</f>
        <v>-0</v>
      </c>
      <c r="N24" s="3" t="n">
        <f aca="false">($D$40=N16)*-$D$39*(1+$H$24)^(N15-1)</f>
        <v>-0</v>
      </c>
      <c r="O24" s="3" t="n">
        <f aca="false">($D$40=O16)*-$D$39*(1+$H$24)^(O15-1)</f>
        <v>-0</v>
      </c>
      <c r="P24" s="3" t="n">
        <f aca="false">($D$40=P16)*-$D$39*(1+$H$24)^(P15-1)</f>
        <v>-0</v>
      </c>
      <c r="Q24" s="3" t="n">
        <f aca="false">($D$40=Q16)*-$D$39*(1+$H$24)^(Q15-1)</f>
        <v>-0</v>
      </c>
      <c r="R24" s="3" t="n">
        <f aca="false">($D$40=R16)*-$D$39*(1+$H$24)^(R15-1)</f>
        <v>-0</v>
      </c>
      <c r="S24" s="3" t="n">
        <f aca="false">($D$40=S16)*-$D$39*(1+$H$24)^(S15-1)</f>
        <v>-214000</v>
      </c>
      <c r="T24" s="3" t="n">
        <f aca="false">($D$40=T16)*-$D$39*(1+$H$24)^(T15-1)</f>
        <v>-0</v>
      </c>
      <c r="U24" s="3" t="n">
        <f aca="false">($D$40=U16)*-$D$39*(1+$H$24)^(U15-1)</f>
        <v>-0</v>
      </c>
      <c r="V24" s="3" t="n">
        <f aca="false">($D$40=V16)*-$D$39*(1+$H$24)^(V15-1)</f>
        <v>-0</v>
      </c>
      <c r="W24" s="3" t="n">
        <f aca="false">($D$40=W16)*-$D$39*(1+$H$24)^(W15-1)</f>
        <v>-0</v>
      </c>
      <c r="X24" s="3" t="n">
        <f aca="false">($D$40=X16)*-$D$39*(1+$H$24)^(X15-1)</f>
        <v>-0</v>
      </c>
      <c r="Y24" s="3" t="n">
        <f aca="false">($D$40=Y16)*-$D$39*(1+$H$24)^(Y15-1)</f>
        <v>-0</v>
      </c>
      <c r="Z24" s="3" t="n">
        <f aca="false">($D$40=Z16)*-$D$39*(1+$H$24)^(Z15-1)</f>
        <v>-0</v>
      </c>
      <c r="AA24" s="3" t="n">
        <f aca="false">($D$40=AA16)*-$D$39*(1+$H$24)^(AA15-1)</f>
        <v>-0</v>
      </c>
      <c r="AB24" s="3" t="n">
        <f aca="false">($D$40=AB16)*-$D$39*(1+$H$24)^(AB15-1)</f>
        <v>-0</v>
      </c>
      <c r="AC24" s="3" t="n">
        <f aca="false">($D$40=AC16)*-$D$39*(1+$H$24)^(AC15-1)</f>
        <v>-0</v>
      </c>
      <c r="AD24" s="3" t="n">
        <f aca="false">($D$40=AD16)*-$D$39*(1+$H$24)^(AD15-1)</f>
        <v>-0</v>
      </c>
      <c r="AE24" s="3" t="n">
        <f aca="false">($D$40=AE16)*-$D$39*(1+$H$24)^(AE15-1)</f>
        <v>-220420</v>
      </c>
      <c r="AF24" s="3" t="n">
        <f aca="false">($D$40=AF16)*-$D$39*(1+$H$24)^(AF15-1)</f>
        <v>-0</v>
      </c>
      <c r="AG24" s="3" t="n">
        <f aca="false">($D$40=AG16)*-$D$39*(1+$H$24)^(AG15-1)</f>
        <v>-0</v>
      </c>
      <c r="AH24" s="3" t="n">
        <f aca="false">($D$40=AH16)*-$D$39*(1+$H$24)^(AH15-1)</f>
        <v>-0</v>
      </c>
      <c r="AI24" s="3" t="n">
        <f aca="false">($D$40=AI16)*-$D$39*(1+$H$24)^(AI15-1)</f>
        <v>-0</v>
      </c>
      <c r="AJ24" s="3" t="n">
        <f aca="false">($D$40=AJ16)*-$D$39*(1+$H$24)^(AJ15-1)</f>
        <v>-0</v>
      </c>
      <c r="AK24" s="3" t="n">
        <f aca="false">($D$40=AK16)*-$D$39*(1+$H$24)^(AK15-1)</f>
        <v>-0</v>
      </c>
      <c r="AL24" s="3" t="n">
        <f aca="false">($D$40=AL16)*-$D$39*(1+$H$24)^(AL15-1)</f>
        <v>-0</v>
      </c>
      <c r="AM24" s="3" t="n">
        <f aca="false">($D$40=AM16)*-$D$39*(1+$H$24)^(AM15-1)</f>
        <v>-0</v>
      </c>
      <c r="AN24" s="3" t="n">
        <f aca="false">($D$40=AN16)*-$D$39*(1+$H$24)^(AN15-1)</f>
        <v>-0</v>
      </c>
      <c r="AO24" s="3" t="n">
        <f aca="false">($D$40=AO16)*-$D$39*(1+$H$24)^(AO15-1)</f>
        <v>-0</v>
      </c>
      <c r="AP24" s="3" t="n">
        <f aca="false">($D$40=AP16)*-$D$39*(1+$H$24)^(AP15-1)</f>
        <v>-0</v>
      </c>
      <c r="AQ24" s="3" t="n">
        <f aca="false">($D$40=AQ16)*-$D$39*(1+$H$24)^(AQ15-1)</f>
        <v>-227032.6</v>
      </c>
      <c r="AR24" s="3" t="n">
        <f aca="false">($D$40=AR16)*-$D$39*(1+$H$24)^(AR15-1)</f>
        <v>-0</v>
      </c>
      <c r="AS24" s="3" t="n">
        <f aca="false">($D$40=AS16)*-$D$39*(1+$H$24)^(AS15-1)</f>
        <v>-0</v>
      </c>
      <c r="AT24" s="3" t="n">
        <f aca="false">($D$40=AT16)*-$D$39*(1+$H$24)^(AT15-1)</f>
        <v>-0</v>
      </c>
      <c r="AU24" s="3" t="n">
        <f aca="false">($D$40=AU16)*-$D$39*(1+$H$24)^(AU15-1)</f>
        <v>-0</v>
      </c>
      <c r="AV24" s="3" t="n">
        <f aca="false">($D$40=AV16)*-$D$39*(1+$H$24)^(AV15-1)</f>
        <v>-0</v>
      </c>
      <c r="AW24" s="3" t="n">
        <f aca="false">($D$40=AW16)*-$D$39*(1+$H$24)^(AW15-1)</f>
        <v>-0</v>
      </c>
      <c r="AX24" s="3" t="n">
        <f aca="false">($D$40=AX16)*-$D$39*(1+$H$24)^(AX15-1)</f>
        <v>-0</v>
      </c>
      <c r="AY24" s="3" t="n">
        <f aca="false">($D$40=AY16)*-$D$39*(1+$H$24)^(AY15-1)</f>
        <v>-0</v>
      </c>
      <c r="AZ24" s="3" t="n">
        <f aca="false">($D$40=AZ16)*-$D$39*(1+$H$24)^(AZ15-1)</f>
        <v>-0</v>
      </c>
      <c r="BA24" s="3" t="n">
        <f aca="false">($D$40=BA16)*-$D$39*(1+$H$24)^(BA15-1)</f>
        <v>-0</v>
      </c>
      <c r="BB24" s="3" t="n">
        <f aca="false">($D$40=BB16)*-$D$39*(1+$H$24)^(BB15-1)</f>
        <v>-0</v>
      </c>
      <c r="BC24" s="3" t="n">
        <f aca="false">($D$40=BC16)*-$D$39*(1+$H$24)^(BC15-1)</f>
        <v>-233843.578</v>
      </c>
      <c r="BD24" s="3" t="n">
        <f aca="false">($D$40=BD16)*-$D$39*(1+$H$24)^(BD15-1)</f>
        <v>-0</v>
      </c>
      <c r="BE24" s="3" t="n">
        <f aca="false">($D$40=BE16)*-$D$39*(1+$H$24)^(BE15-1)</f>
        <v>-0</v>
      </c>
      <c r="BF24" s="3" t="n">
        <f aca="false">($D$40=BF16)*-$D$39*(1+$H$24)^(BF15-1)</f>
        <v>-0</v>
      </c>
      <c r="BG24" s="3" t="n">
        <f aca="false">($D$40=BG16)*-$D$39*(1+$H$24)^(BG15-1)</f>
        <v>-0</v>
      </c>
      <c r="BH24" s="3" t="n">
        <f aca="false">($D$40=BH16)*-$D$39*(1+$H$24)^(BH15-1)</f>
        <v>-0</v>
      </c>
      <c r="BI24" s="3" t="n">
        <f aca="false">($D$40=BI16)*-$D$39*(1+$H$24)^(BI15-1)</f>
        <v>-0</v>
      </c>
      <c r="BJ24" s="3" t="n">
        <f aca="false">($D$40=BJ16)*-$D$39*(1+$H$24)^(BJ15-1)</f>
        <v>-0</v>
      </c>
      <c r="BK24" s="3" t="n">
        <f aca="false">($D$40=BK16)*-$D$39*(1+$H$24)^(BK15-1)</f>
        <v>-0</v>
      </c>
      <c r="BL24" s="3" t="n">
        <f aca="false">($D$40=BL16)*-$D$39*(1+$H$24)^(BL15-1)</f>
        <v>-0</v>
      </c>
      <c r="BM24" s="3" t="n">
        <f aca="false">($D$40=BM16)*-$D$39*(1+$H$24)^(BM15-1)</f>
        <v>-0</v>
      </c>
      <c r="BN24" s="3" t="n">
        <f aca="false">($D$40=BN16)*-$D$39*(1+$H$24)^(BN15-1)</f>
        <v>-0</v>
      </c>
      <c r="BO24" s="3" t="n">
        <f aca="false">($D$40=BO16)*-$D$39*(1+$H$24)^(BO15-1)</f>
        <v>-240858.88534</v>
      </c>
      <c r="BP24" s="3" t="n">
        <f aca="false">($D$40=BP16)*-$D$39*(1+$H$24)^(BP15-1)</f>
        <v>-0</v>
      </c>
      <c r="BQ24" s="3" t="n">
        <f aca="false">($D$40=BQ16)*-$D$39*(1+$H$24)^(BQ15-1)</f>
        <v>-0</v>
      </c>
      <c r="BR24" s="3" t="n">
        <f aca="false">($D$40=BR16)*-$D$39*(1+$H$24)^(BR15-1)</f>
        <v>-0</v>
      </c>
      <c r="BS24" s="3" t="n">
        <f aca="false">($D$40=BS16)*-$D$39*(1+$H$24)^(BS15-1)</f>
        <v>-0</v>
      </c>
      <c r="BT24" s="3" t="n">
        <f aca="false">($D$40=BT16)*-$D$39*(1+$H$24)^(BT15-1)</f>
        <v>-0</v>
      </c>
      <c r="BU24" s="3" t="n">
        <f aca="false">($D$40=BU16)*-$D$39*(1+$H$24)^(BU15-1)</f>
        <v>-0</v>
      </c>
      <c r="BV24" s="3" t="n">
        <f aca="false">($D$40=BV16)*-$D$39*(1+$H$24)^(BV15-1)</f>
        <v>-0</v>
      </c>
      <c r="BW24" s="3" t="n">
        <f aca="false">($D$40=BW16)*-$D$39*(1+$H$24)^(BW15-1)</f>
        <v>-0</v>
      </c>
      <c r="BX24" s="3" t="n">
        <f aca="false">($D$40=BX16)*-$D$39*(1+$H$24)^(BX15-1)</f>
        <v>-0</v>
      </c>
      <c r="BY24" s="3" t="n">
        <f aca="false">($D$40=BY16)*-$D$39*(1+$H$24)^(BY15-1)</f>
        <v>-0</v>
      </c>
      <c r="BZ24" s="3" t="n">
        <f aca="false">($D$40=BZ16)*-$D$39*(1+$H$24)^(BZ15-1)</f>
        <v>-0</v>
      </c>
      <c r="CA24" s="3" t="n">
        <f aca="false">($D$40=CA16)*-$D$39*(1+$H$24)^(CA15-1)</f>
        <v>-248084.6519002</v>
      </c>
      <c r="CB24" s="3" t="n">
        <f aca="false">($D$40=CB16)*-$D$39*(1+$H$24)^(CB15-1)</f>
        <v>-0</v>
      </c>
      <c r="CC24" s="3" t="n">
        <f aca="false">($D$40=CC16)*-$D$39*(1+$H$24)^(CC15-1)</f>
        <v>-0</v>
      </c>
      <c r="CD24" s="3" t="n">
        <f aca="false">($D$40=CD16)*-$D$39*(1+$H$24)^(CD15-1)</f>
        <v>-0</v>
      </c>
      <c r="CE24" s="3" t="n">
        <f aca="false">($D$40=CE16)*-$D$39*(1+$H$24)^(CE15-1)</f>
        <v>-0</v>
      </c>
      <c r="CF24" s="3" t="n">
        <f aca="false">($D$40=CF16)*-$D$39*(1+$H$24)^(CF15-1)</f>
        <v>-0</v>
      </c>
      <c r="CG24" s="3" t="n">
        <f aca="false">($D$40=CG16)*-$D$39*(1+$H$24)^(CG15-1)</f>
        <v>-0</v>
      </c>
      <c r="CH24" s="3" t="n">
        <f aca="false">($D$40=CH16)*-$D$39*(1+$H$24)^(CH15-1)</f>
        <v>-0</v>
      </c>
      <c r="CI24" s="3" t="n">
        <f aca="false">($D$40=CI16)*-$D$39*(1+$H$24)^(CI15-1)</f>
        <v>-0</v>
      </c>
      <c r="CJ24" s="3" t="n">
        <f aca="false">($D$40=CJ16)*-$D$39*(1+$H$24)^(CJ15-1)</f>
        <v>-0</v>
      </c>
      <c r="CK24" s="3" t="n">
        <f aca="false">($D$40=CK16)*-$D$39*(1+$H$24)^(CK15-1)</f>
        <v>-0</v>
      </c>
      <c r="CL24" s="3" t="n">
        <f aca="false">($D$40=CL16)*-$D$39*(1+$H$24)^(CL15-1)</f>
        <v>-0</v>
      </c>
      <c r="CM24" s="3" t="n">
        <f aca="false">($D$40=CM16)*-$D$39*(1+$H$24)^(CM15-1)</f>
        <v>-255527.191457206</v>
      </c>
      <c r="CN24" s="3" t="n">
        <f aca="false">($D$40=CN16)*-$D$39*(1+$H$24)^(CN15-1)</f>
        <v>-0</v>
      </c>
      <c r="CO24" s="3" t="n">
        <f aca="false">($D$40=CO16)*-$D$39*(1+$H$24)^(CO15-1)</f>
        <v>-0</v>
      </c>
      <c r="CP24" s="3" t="n">
        <f aca="false">($D$40=CP16)*-$D$39*(1+$H$24)^(CP15-1)</f>
        <v>-0</v>
      </c>
      <c r="CQ24" s="3" t="n">
        <f aca="false">($D$40=CQ16)*-$D$39*(1+$H$24)^(CQ15-1)</f>
        <v>-0</v>
      </c>
      <c r="CR24" s="3" t="n">
        <f aca="false">($D$40=CR16)*-$D$39*(1+$H$24)^(CR15-1)</f>
        <v>-0</v>
      </c>
      <c r="CS24" s="3" t="n">
        <f aca="false">($D$40=CS16)*-$D$39*(1+$H$24)^(CS15-1)</f>
        <v>-0</v>
      </c>
      <c r="CT24" s="3" t="n">
        <f aca="false">($D$40=CT16)*-$D$39*(1+$H$24)^(CT15-1)</f>
        <v>-0</v>
      </c>
      <c r="CU24" s="3" t="n">
        <f aca="false">($D$40=CU16)*-$D$39*(1+$H$24)^(CU15-1)</f>
        <v>-0</v>
      </c>
      <c r="CV24" s="3" t="n">
        <f aca="false">($D$40=CV16)*-$D$39*(1+$H$24)^(CV15-1)</f>
        <v>-0</v>
      </c>
      <c r="CW24" s="3" t="n">
        <f aca="false">($D$40=CW16)*-$D$39*(1+$H$24)^(CW15-1)</f>
        <v>-0</v>
      </c>
      <c r="CX24" s="3" t="n">
        <f aca="false">($D$40=CX16)*-$D$39*(1+$H$24)^(CX15-1)</f>
        <v>-0</v>
      </c>
      <c r="CY24" s="3" t="n">
        <f aca="false">($D$40=CY16)*-$D$39*(1+$H$24)^(CY15-1)</f>
        <v>-263193.007200922</v>
      </c>
      <c r="CZ24" s="3" t="n">
        <f aca="false">($D$40=CZ16)*-$D$39*(1+$H$24)^(CZ15-1)</f>
        <v>-0</v>
      </c>
      <c r="DA24" s="3" t="n">
        <f aca="false">($D$40=DA16)*-$D$39*(1+$H$24)^(DA15-1)</f>
        <v>-0</v>
      </c>
      <c r="DB24" s="3" t="n">
        <f aca="false">($D$40=DB16)*-$D$39*(1+$H$24)^(DB15-1)</f>
        <v>-0</v>
      </c>
      <c r="DC24" s="3" t="n">
        <f aca="false">($D$40=DC16)*-$D$39*(1+$H$24)^(DC15-1)</f>
        <v>-0</v>
      </c>
      <c r="DD24" s="3" t="n">
        <f aca="false">($D$40=DD16)*-$D$39*(1+$H$24)^(DD15-1)</f>
        <v>-0</v>
      </c>
      <c r="DE24" s="3" t="n">
        <f aca="false">($D$40=DE16)*-$D$39*(1+$H$24)^(DE15-1)</f>
        <v>-0</v>
      </c>
      <c r="DF24" s="3" t="n">
        <f aca="false">($D$40=DF16)*-$D$39*(1+$H$24)^(DF15-1)</f>
        <v>-0</v>
      </c>
      <c r="DG24" s="3" t="n">
        <f aca="false">($D$40=DG16)*-$D$39*(1+$H$24)^(DG15-1)</f>
        <v>-0</v>
      </c>
      <c r="DH24" s="3" t="n">
        <f aca="false">($D$40=DH16)*-$D$39*(1+$H$24)^(DH15-1)</f>
        <v>-0</v>
      </c>
      <c r="DI24" s="3" t="n">
        <f aca="false">($D$40=DI16)*-$D$39*(1+$H$24)^(DI15-1)</f>
        <v>-0</v>
      </c>
      <c r="DJ24" s="3" t="n">
        <f aca="false">($D$40=DJ16)*-$D$39*(1+$H$24)^(DJ15-1)</f>
        <v>-0</v>
      </c>
      <c r="DK24" s="3" t="n">
        <f aca="false">($D$40=DK16)*-$D$39*(1+$H$24)^(DK15-1)</f>
        <v>-271088.79741695</v>
      </c>
      <c r="DL24" s="3" t="n">
        <f aca="false">($D$40=DL16)*-$D$39*(1+$H$24)^(DL15-1)</f>
        <v>-0</v>
      </c>
      <c r="DM24" s="3" t="n">
        <f aca="false">($D$40=DM16)*-$D$39*(1+$H$24)^(DM15-1)</f>
        <v>-0</v>
      </c>
      <c r="DN24" s="3" t="n">
        <f aca="false">($D$40=DN16)*-$D$39*(1+$H$24)^(DN15-1)</f>
        <v>-0</v>
      </c>
      <c r="DO24" s="3" t="n">
        <f aca="false">($D$40=DO16)*-$D$39*(1+$H$24)^(DO15-1)</f>
        <v>-0</v>
      </c>
      <c r="DP24" s="3" t="n">
        <f aca="false">($D$40=DP16)*-$D$39*(1+$H$24)^(DP15-1)</f>
        <v>-0</v>
      </c>
      <c r="DQ24" s="3" t="n">
        <f aca="false">($D$40=DQ16)*-$D$39*(1+$H$24)^(DQ15-1)</f>
        <v>-0</v>
      </c>
      <c r="DR24" s="3" t="n">
        <f aca="false">($D$40=DR16)*-$D$39*(1+$H$24)^(DR15-1)</f>
        <v>-0</v>
      </c>
      <c r="DS24" s="3" t="n">
        <f aca="false">($D$40=DS16)*-$D$39*(1+$H$24)^(DS15-1)</f>
        <v>-0</v>
      </c>
      <c r="DT24" s="3" t="n">
        <f aca="false">($D$40=DT16)*-$D$39*(1+$H$24)^(DT15-1)</f>
        <v>-0</v>
      </c>
      <c r="DU24" s="3" t="n">
        <f aca="false">($D$40=DU16)*-$D$39*(1+$H$24)^(DU15-1)</f>
        <v>-0</v>
      </c>
      <c r="DV24" s="3" t="n">
        <f aca="false">($D$40=DV16)*-$D$39*(1+$H$24)^(DV15-1)</f>
        <v>-0</v>
      </c>
      <c r="DW24" s="3" t="n">
        <f aca="false">($D$40=DW16)*-$D$39*(1+$H$24)^(DW15-1)</f>
        <v>-279221.461339458</v>
      </c>
      <c r="DX24" s="3" t="n">
        <f aca="false">($D$40=DX16)*-$D$39*(1+$H$24)^(DX15-1)</f>
        <v>-0</v>
      </c>
      <c r="DY24" s="3" t="n">
        <f aca="false">($D$40=DY16)*-$D$39*(1+$H$24)^(DY15-1)</f>
        <v>-0</v>
      </c>
      <c r="DZ24" s="3" t="n">
        <f aca="false">($D$40=DZ16)*-$D$39*(1+$H$24)^(DZ15-1)</f>
        <v>-0</v>
      </c>
      <c r="EA24" s="3" t="n">
        <f aca="false">($D$40=EA16)*-$D$39*(1+$H$24)^(EA15-1)</f>
        <v>-0</v>
      </c>
      <c r="EB24" s="3" t="n">
        <f aca="false">($D$40=EB16)*-$D$39*(1+$H$24)^(EB15-1)</f>
        <v>-0</v>
      </c>
      <c r="EC24" s="3" t="n">
        <f aca="false">($D$40=EC16)*-$D$39*(1+$H$24)^(EC15-1)</f>
        <v>-0</v>
      </c>
      <c r="ED24" s="3" t="n">
        <f aca="false">($D$40=ED16)*-$D$39*(1+$H$24)^(ED15-1)</f>
        <v>-0</v>
      </c>
      <c r="EE24" s="3" t="n">
        <f aca="false">($D$40=EE16)*-$D$39*(1+$H$24)^(EE15-1)</f>
        <v>-0</v>
      </c>
      <c r="EF24" s="3" t="n">
        <f aca="false">($D$40=EF16)*-$D$39*(1+$H$24)^(EF15-1)</f>
        <v>-0</v>
      </c>
      <c r="EG24" s="3" t="n">
        <f aca="false">($D$40=EG16)*-$D$39*(1+$H$24)^(EG15-1)</f>
        <v>-0</v>
      </c>
      <c r="EH24" s="3" t="n">
        <f aca="false">($D$40=EH16)*-$D$39*(1+$H$24)^(EH15-1)</f>
        <v>-0</v>
      </c>
      <c r="EI24" s="3" t="n">
        <f aca="false">($D$40=EI16)*-$D$39*(1+$H$24)^(EI15-1)</f>
        <v>-287598.105179642</v>
      </c>
      <c r="EJ24" s="3" t="n">
        <f aca="false">($D$40=EJ16)*-$D$39*(1+$H$24)^(EJ15-1)</f>
        <v>-0</v>
      </c>
      <c r="EK24" s="3" t="n">
        <f aca="false">($D$40=EK16)*-$D$39*(1+$H$24)^(EK15-1)</f>
        <v>-0</v>
      </c>
      <c r="EL24" s="3" t="n">
        <f aca="false">($D$40=EL16)*-$D$39*(1+$H$24)^(EL15-1)</f>
        <v>-0</v>
      </c>
    </row>
    <row r="25" customFormat="false" ht="15" hidden="false" customHeight="false" outlineLevel="0" collapsed="false">
      <c r="C25" s="0" t="s">
        <v>25</v>
      </c>
      <c r="D25" s="5" t="n">
        <v>145000</v>
      </c>
      <c r="H25" s="4" t="n">
        <v>0.03</v>
      </c>
      <c r="I25" s="3" t="s">
        <v>26</v>
      </c>
      <c r="K25" s="3" t="n">
        <f aca="false">($D$42=K16)*-$D$41*(1+$H$25)^(K15-1)</f>
        <v>-0</v>
      </c>
      <c r="L25" s="3" t="n">
        <f aca="false">($D$42=L16)*-$D$41*(1+$H$25)^(L15-1)</f>
        <v>-51000</v>
      </c>
      <c r="M25" s="3" t="n">
        <f aca="false">($D$42=M16)*-$D$41*(1+$H$25)^(M15-1)</f>
        <v>-0</v>
      </c>
      <c r="N25" s="3" t="n">
        <f aca="false">($D$42=N16)*-$D$41*(1+$H$25)^(N15-1)</f>
        <v>-0</v>
      </c>
      <c r="O25" s="3" t="n">
        <f aca="false">($D$42=O16)*-$D$41*(1+$H$25)^(O15-1)</f>
        <v>-0</v>
      </c>
      <c r="P25" s="3" t="n">
        <f aca="false">($D$42=P16)*-$D$41*(1+$H$25)^(P15-1)</f>
        <v>-0</v>
      </c>
      <c r="Q25" s="3" t="n">
        <f aca="false">($D$42=Q16)*-$D$41*(1+$H$25)^(Q15-1)</f>
        <v>-0</v>
      </c>
      <c r="R25" s="3" t="n">
        <f aca="false">($D$42=R16)*-$D$41*(1+$H$25)^(R15-1)</f>
        <v>-0</v>
      </c>
      <c r="S25" s="3" t="n">
        <f aca="false">($D$42=S16)*-$D$41*(1+$H$25)^(S15-1)</f>
        <v>-0</v>
      </c>
      <c r="T25" s="3" t="n">
        <f aca="false">($D$42=T16)*-$D$41*(1+$H$25)^(T15-1)</f>
        <v>-0</v>
      </c>
      <c r="U25" s="3" t="n">
        <f aca="false">($D$42=U16)*-$D$41*(1+$H$25)^(U15-1)</f>
        <v>-0</v>
      </c>
      <c r="V25" s="3" t="n">
        <f aca="false">($D$42=V16)*-$D$41*(1+$H$25)^(V15-1)</f>
        <v>-0</v>
      </c>
      <c r="W25" s="3" t="n">
        <f aca="false">($D$42=W16)*-$D$41*(1+$H$25)^(W15-1)</f>
        <v>-0</v>
      </c>
      <c r="X25" s="3" t="n">
        <f aca="false">($D$42=X16)*-$D$41*(1+$H$25)^(X15-1)</f>
        <v>-52530</v>
      </c>
      <c r="Y25" s="3" t="n">
        <f aca="false">($D$42=Y16)*-$D$41*(1+$H$25)^(Y15-1)</f>
        <v>-0</v>
      </c>
      <c r="Z25" s="3" t="n">
        <f aca="false">($D$42=Z16)*-$D$41*(1+$H$25)^(Z15-1)</f>
        <v>-0</v>
      </c>
      <c r="AA25" s="3" t="n">
        <f aca="false">($D$42=AA16)*-$D$41*(1+$H$25)^(AA15-1)</f>
        <v>-0</v>
      </c>
      <c r="AB25" s="3" t="n">
        <f aca="false">($D$42=AB16)*-$D$41*(1+$H$25)^(AB15-1)</f>
        <v>-0</v>
      </c>
      <c r="AC25" s="3" t="n">
        <f aca="false">($D$42=AC16)*-$D$41*(1+$H$25)^(AC15-1)</f>
        <v>-0</v>
      </c>
      <c r="AD25" s="3" t="n">
        <f aca="false">($D$42=AD16)*-$D$41*(1+$H$25)^(AD15-1)</f>
        <v>-0</v>
      </c>
      <c r="AE25" s="3" t="n">
        <f aca="false">($D$42=AE16)*-$D$41*(1+$H$25)^(AE15-1)</f>
        <v>-0</v>
      </c>
      <c r="AF25" s="3" t="n">
        <f aca="false">($D$42=AF16)*-$D$41*(1+$H$25)^(AF15-1)</f>
        <v>-0</v>
      </c>
      <c r="AG25" s="3" t="n">
        <f aca="false">($D$42=AG16)*-$D$41*(1+$H$25)^(AG15-1)</f>
        <v>-0</v>
      </c>
      <c r="AH25" s="3" t="n">
        <f aca="false">($D$42=AH16)*-$D$41*(1+$H$25)^(AH15-1)</f>
        <v>-0</v>
      </c>
      <c r="AI25" s="3" t="n">
        <f aca="false">($D$42=AI16)*-$D$41*(1+$H$25)^(AI15-1)</f>
        <v>-0</v>
      </c>
      <c r="AJ25" s="3" t="n">
        <f aca="false">($D$42=AJ16)*-$D$41*(1+$H$25)^(AJ15-1)</f>
        <v>-54105.9</v>
      </c>
      <c r="AK25" s="3" t="n">
        <f aca="false">($D$42=AK16)*-$D$41*(1+$H$25)^(AK15-1)</f>
        <v>-0</v>
      </c>
      <c r="AL25" s="3" t="n">
        <f aca="false">($D$42=AL16)*-$D$41*(1+$H$25)^(AL15-1)</f>
        <v>-0</v>
      </c>
      <c r="AM25" s="3" t="n">
        <f aca="false">($D$42=AM16)*-$D$41*(1+$H$25)^(AM15-1)</f>
        <v>-0</v>
      </c>
      <c r="AN25" s="3" t="n">
        <f aca="false">($D$42=AN16)*-$D$41*(1+$H$25)^(AN15-1)</f>
        <v>-0</v>
      </c>
      <c r="AO25" s="3" t="n">
        <f aca="false">($D$42=AO16)*-$D$41*(1+$H$25)^(AO15-1)</f>
        <v>-0</v>
      </c>
      <c r="AP25" s="3" t="n">
        <f aca="false">($D$42=AP16)*-$D$41*(1+$H$25)^(AP15-1)</f>
        <v>-0</v>
      </c>
      <c r="AQ25" s="3" t="n">
        <f aca="false">($D$42=AQ16)*-$D$41*(1+$H$25)^(AQ15-1)</f>
        <v>-0</v>
      </c>
      <c r="AR25" s="3" t="n">
        <f aca="false">($D$42=AR16)*-$D$41*(1+$H$25)^(AR15-1)</f>
        <v>-0</v>
      </c>
      <c r="AS25" s="3" t="n">
        <f aca="false">($D$42=AS16)*-$D$41*(1+$H$25)^(AS15-1)</f>
        <v>-0</v>
      </c>
      <c r="AT25" s="3" t="n">
        <f aca="false">($D$42=AT16)*-$D$41*(1+$H$25)^(AT15-1)</f>
        <v>-0</v>
      </c>
      <c r="AU25" s="3" t="n">
        <f aca="false">($D$42=AU16)*-$D$41*(1+$H$25)^(AU15-1)</f>
        <v>-0</v>
      </c>
      <c r="AV25" s="3" t="n">
        <f aca="false">($D$42=AV16)*-$D$41*(1+$H$25)^(AV15-1)</f>
        <v>-55729.077</v>
      </c>
      <c r="AW25" s="3" t="n">
        <f aca="false">($D$42=AW16)*-$D$41*(1+$H$25)^(AW15-1)</f>
        <v>-0</v>
      </c>
      <c r="AX25" s="3" t="n">
        <f aca="false">($D$42=AX16)*-$D$41*(1+$H$25)^(AX15-1)</f>
        <v>-0</v>
      </c>
      <c r="AY25" s="3" t="n">
        <f aca="false">($D$42=AY16)*-$D$41*(1+$H$25)^(AY15-1)</f>
        <v>-0</v>
      </c>
      <c r="AZ25" s="3" t="n">
        <f aca="false">($D$42=AZ16)*-$D$41*(1+$H$25)^(AZ15-1)</f>
        <v>-0</v>
      </c>
      <c r="BA25" s="3" t="n">
        <f aca="false">($D$42=BA16)*-$D$41*(1+$H$25)^(BA15-1)</f>
        <v>-0</v>
      </c>
      <c r="BB25" s="3" t="n">
        <f aca="false">($D$42=BB16)*-$D$41*(1+$H$25)^(BB15-1)</f>
        <v>-0</v>
      </c>
      <c r="BC25" s="3" t="n">
        <f aca="false">($D$42=BC16)*-$D$41*(1+$H$25)^(BC15-1)</f>
        <v>-0</v>
      </c>
      <c r="BD25" s="3" t="n">
        <f aca="false">($D$42=BD16)*-$D$41*(1+$H$25)^(BD15-1)</f>
        <v>-0</v>
      </c>
      <c r="BE25" s="3" t="n">
        <f aca="false">($D$42=BE16)*-$D$41*(1+$H$25)^(BE15-1)</f>
        <v>-0</v>
      </c>
      <c r="BF25" s="3" t="n">
        <f aca="false">($D$42=BF16)*-$D$41*(1+$H$25)^(BF15-1)</f>
        <v>-0</v>
      </c>
      <c r="BG25" s="3" t="n">
        <f aca="false">($D$42=BG16)*-$D$41*(1+$H$25)^(BG15-1)</f>
        <v>-0</v>
      </c>
      <c r="BH25" s="3" t="n">
        <f aca="false">($D$42=BH16)*-$D$41*(1+$H$25)^(BH15-1)</f>
        <v>-57400.94931</v>
      </c>
      <c r="BI25" s="3" t="n">
        <f aca="false">($D$42=BI16)*-$D$41*(1+$H$25)^(BI15-1)</f>
        <v>-0</v>
      </c>
      <c r="BJ25" s="3" t="n">
        <f aca="false">($D$42=BJ16)*-$D$41*(1+$H$25)^(BJ15-1)</f>
        <v>-0</v>
      </c>
      <c r="BK25" s="3" t="n">
        <f aca="false">($D$42=BK16)*-$D$41*(1+$H$25)^(BK15-1)</f>
        <v>-0</v>
      </c>
      <c r="BL25" s="3" t="n">
        <f aca="false">($D$42=BL16)*-$D$41*(1+$H$25)^(BL15-1)</f>
        <v>-0</v>
      </c>
      <c r="BM25" s="3" t="n">
        <f aca="false">($D$42=BM16)*-$D$41*(1+$H$25)^(BM15-1)</f>
        <v>-0</v>
      </c>
      <c r="BN25" s="3" t="n">
        <f aca="false">($D$42=BN16)*-$D$41*(1+$H$25)^(BN15-1)</f>
        <v>-0</v>
      </c>
      <c r="BO25" s="3" t="n">
        <f aca="false">($D$42=BO16)*-$D$41*(1+$H$25)^(BO15-1)</f>
        <v>-0</v>
      </c>
      <c r="BP25" s="3" t="n">
        <f aca="false">($D$42=BP16)*-$D$41*(1+$H$25)^(BP15-1)</f>
        <v>-0</v>
      </c>
      <c r="BQ25" s="3" t="n">
        <f aca="false">($D$42=BQ16)*-$D$41*(1+$H$25)^(BQ15-1)</f>
        <v>-0</v>
      </c>
      <c r="BR25" s="3" t="n">
        <f aca="false">($D$42=BR16)*-$D$41*(1+$H$25)^(BR15-1)</f>
        <v>-0</v>
      </c>
      <c r="BS25" s="3" t="n">
        <f aca="false">($D$42=BS16)*-$D$41*(1+$H$25)^(BS15-1)</f>
        <v>-0</v>
      </c>
      <c r="BT25" s="3" t="n">
        <f aca="false">($D$42=BT16)*-$D$41*(1+$H$25)^(BT15-1)</f>
        <v>-59122.9777893</v>
      </c>
      <c r="BU25" s="3" t="n">
        <f aca="false">($D$42=BU16)*-$D$41*(1+$H$25)^(BU15-1)</f>
        <v>-0</v>
      </c>
      <c r="BV25" s="3" t="n">
        <f aca="false">($D$42=BV16)*-$D$41*(1+$H$25)^(BV15-1)</f>
        <v>-0</v>
      </c>
      <c r="BW25" s="3" t="n">
        <f aca="false">($D$42=BW16)*-$D$41*(1+$H$25)^(BW15-1)</f>
        <v>-0</v>
      </c>
      <c r="BX25" s="3" t="n">
        <f aca="false">($D$42=BX16)*-$D$41*(1+$H$25)^(BX15-1)</f>
        <v>-0</v>
      </c>
      <c r="BY25" s="3" t="n">
        <f aca="false">($D$42=BY16)*-$D$41*(1+$H$25)^(BY15-1)</f>
        <v>-0</v>
      </c>
      <c r="BZ25" s="3" t="n">
        <f aca="false">($D$42=BZ16)*-$D$41*(1+$H$25)^(BZ15-1)</f>
        <v>-0</v>
      </c>
      <c r="CA25" s="3" t="n">
        <f aca="false">($D$42=CA16)*-$D$41*(1+$H$25)^(CA15-1)</f>
        <v>-0</v>
      </c>
      <c r="CB25" s="3" t="n">
        <f aca="false">($D$42=CB16)*-$D$41*(1+$H$25)^(CB15-1)</f>
        <v>-0</v>
      </c>
      <c r="CC25" s="3" t="n">
        <f aca="false">($D$42=CC16)*-$D$41*(1+$H$25)^(CC15-1)</f>
        <v>-0</v>
      </c>
      <c r="CD25" s="3" t="n">
        <f aca="false">($D$42=CD16)*-$D$41*(1+$H$25)^(CD15-1)</f>
        <v>-0</v>
      </c>
      <c r="CE25" s="3" t="n">
        <f aca="false">($D$42=CE16)*-$D$41*(1+$H$25)^(CE15-1)</f>
        <v>-0</v>
      </c>
      <c r="CF25" s="3" t="n">
        <f aca="false">($D$42=CF16)*-$D$41*(1+$H$25)^(CF15-1)</f>
        <v>-60896.667122979</v>
      </c>
      <c r="CG25" s="3" t="n">
        <f aca="false">($D$42=CG16)*-$D$41*(1+$H$25)^(CG15-1)</f>
        <v>-0</v>
      </c>
      <c r="CH25" s="3" t="n">
        <f aca="false">($D$42=CH16)*-$D$41*(1+$H$25)^(CH15-1)</f>
        <v>-0</v>
      </c>
      <c r="CI25" s="3" t="n">
        <f aca="false">($D$42=CI16)*-$D$41*(1+$H$25)^(CI15-1)</f>
        <v>-0</v>
      </c>
      <c r="CJ25" s="3" t="n">
        <f aca="false">($D$42=CJ16)*-$D$41*(1+$H$25)^(CJ15-1)</f>
        <v>-0</v>
      </c>
      <c r="CK25" s="3" t="n">
        <f aca="false">($D$42=CK16)*-$D$41*(1+$H$25)^(CK15-1)</f>
        <v>-0</v>
      </c>
      <c r="CL25" s="3" t="n">
        <f aca="false">($D$42=CL16)*-$D$41*(1+$H$25)^(CL15-1)</f>
        <v>-0</v>
      </c>
      <c r="CM25" s="3" t="n">
        <f aca="false">($D$42=CM16)*-$D$41*(1+$H$25)^(CM15-1)</f>
        <v>-0</v>
      </c>
      <c r="CN25" s="3" t="n">
        <f aca="false">($D$42=CN16)*-$D$41*(1+$H$25)^(CN15-1)</f>
        <v>-0</v>
      </c>
      <c r="CO25" s="3" t="n">
        <f aca="false">($D$42=CO16)*-$D$41*(1+$H$25)^(CO15-1)</f>
        <v>-0</v>
      </c>
      <c r="CP25" s="3" t="n">
        <f aca="false">($D$42=CP16)*-$D$41*(1+$H$25)^(CP15-1)</f>
        <v>-0</v>
      </c>
      <c r="CQ25" s="3" t="n">
        <f aca="false">($D$42=CQ16)*-$D$41*(1+$H$25)^(CQ15-1)</f>
        <v>-0</v>
      </c>
      <c r="CR25" s="3" t="n">
        <f aca="false">($D$42=CR16)*-$D$41*(1+$H$25)^(CR15-1)</f>
        <v>-62723.5671366684</v>
      </c>
      <c r="CS25" s="3" t="n">
        <f aca="false">($D$42=CS16)*-$D$41*(1+$H$25)^(CS15-1)</f>
        <v>-0</v>
      </c>
      <c r="CT25" s="3" t="n">
        <f aca="false">($D$42=CT16)*-$D$41*(1+$H$25)^(CT15-1)</f>
        <v>-0</v>
      </c>
      <c r="CU25" s="3" t="n">
        <f aca="false">($D$42=CU16)*-$D$41*(1+$H$25)^(CU15-1)</f>
        <v>-0</v>
      </c>
      <c r="CV25" s="3" t="n">
        <f aca="false">($D$42=CV16)*-$D$41*(1+$H$25)^(CV15-1)</f>
        <v>-0</v>
      </c>
      <c r="CW25" s="3" t="n">
        <f aca="false">($D$42=CW16)*-$D$41*(1+$H$25)^(CW15-1)</f>
        <v>-0</v>
      </c>
      <c r="CX25" s="3" t="n">
        <f aca="false">($D$42=CX16)*-$D$41*(1+$H$25)^(CX15-1)</f>
        <v>-0</v>
      </c>
      <c r="CY25" s="3" t="n">
        <f aca="false">($D$42=CY16)*-$D$41*(1+$H$25)^(CY15-1)</f>
        <v>-0</v>
      </c>
      <c r="CZ25" s="3" t="n">
        <f aca="false">($D$42=CZ16)*-$D$41*(1+$H$25)^(CZ15-1)</f>
        <v>-0</v>
      </c>
      <c r="DA25" s="3" t="n">
        <f aca="false">($D$42=DA16)*-$D$41*(1+$H$25)^(DA15-1)</f>
        <v>-0</v>
      </c>
      <c r="DB25" s="3" t="n">
        <f aca="false">($D$42=DB16)*-$D$41*(1+$H$25)^(DB15-1)</f>
        <v>-0</v>
      </c>
      <c r="DC25" s="3" t="n">
        <f aca="false">($D$42=DC16)*-$D$41*(1+$H$25)^(DC15-1)</f>
        <v>-0</v>
      </c>
      <c r="DD25" s="3" t="n">
        <f aca="false">($D$42=DD16)*-$D$41*(1+$H$25)^(DD15-1)</f>
        <v>-64605.2741507684</v>
      </c>
      <c r="DE25" s="3" t="n">
        <f aca="false">($D$42=DE16)*-$D$41*(1+$H$25)^(DE15-1)</f>
        <v>-0</v>
      </c>
      <c r="DF25" s="3" t="n">
        <f aca="false">($D$42=DF16)*-$D$41*(1+$H$25)^(DF15-1)</f>
        <v>-0</v>
      </c>
      <c r="DG25" s="3" t="n">
        <f aca="false">($D$42=DG16)*-$D$41*(1+$H$25)^(DG15-1)</f>
        <v>-0</v>
      </c>
      <c r="DH25" s="3" t="n">
        <f aca="false">($D$42=DH16)*-$D$41*(1+$H$25)^(DH15-1)</f>
        <v>-0</v>
      </c>
      <c r="DI25" s="3" t="n">
        <f aca="false">($D$42=DI16)*-$D$41*(1+$H$25)^(DI15-1)</f>
        <v>-0</v>
      </c>
      <c r="DJ25" s="3" t="n">
        <f aca="false">($D$42=DJ16)*-$D$41*(1+$H$25)^(DJ15-1)</f>
        <v>-0</v>
      </c>
      <c r="DK25" s="3" t="n">
        <f aca="false">($D$42=DK16)*-$D$41*(1+$H$25)^(DK15-1)</f>
        <v>-0</v>
      </c>
      <c r="DL25" s="3" t="n">
        <f aca="false">($D$42=DL16)*-$D$41*(1+$H$25)^(DL15-1)</f>
        <v>-0</v>
      </c>
      <c r="DM25" s="3" t="n">
        <f aca="false">($D$42=DM16)*-$D$41*(1+$H$25)^(DM15-1)</f>
        <v>-0</v>
      </c>
      <c r="DN25" s="3" t="n">
        <f aca="false">($D$42=DN16)*-$D$41*(1+$H$25)^(DN15-1)</f>
        <v>-0</v>
      </c>
      <c r="DO25" s="3" t="n">
        <f aca="false">($D$42=DO16)*-$D$41*(1+$H$25)^(DO15-1)</f>
        <v>-0</v>
      </c>
      <c r="DP25" s="3" t="n">
        <f aca="false">($D$42=DP16)*-$D$41*(1+$H$25)^(DP15-1)</f>
        <v>-66543.4323752915</v>
      </c>
      <c r="DQ25" s="3" t="n">
        <f aca="false">($D$42=DQ16)*-$D$41*(1+$H$25)^(DQ15-1)</f>
        <v>-0</v>
      </c>
      <c r="DR25" s="3" t="n">
        <f aca="false">($D$42=DR16)*-$D$41*(1+$H$25)^(DR15-1)</f>
        <v>-0</v>
      </c>
      <c r="DS25" s="3" t="n">
        <f aca="false">($D$42=DS16)*-$D$41*(1+$H$25)^(DS15-1)</f>
        <v>-0</v>
      </c>
      <c r="DT25" s="3" t="n">
        <f aca="false">($D$42=DT16)*-$D$41*(1+$H$25)^(DT15-1)</f>
        <v>-0</v>
      </c>
      <c r="DU25" s="3" t="n">
        <f aca="false">($D$42=DU16)*-$D$41*(1+$H$25)^(DU15-1)</f>
        <v>-0</v>
      </c>
      <c r="DV25" s="3" t="n">
        <f aca="false">($D$42=DV16)*-$D$41*(1+$H$25)^(DV15-1)</f>
        <v>-0</v>
      </c>
      <c r="DW25" s="3" t="n">
        <f aca="false">($D$42=DW16)*-$D$41*(1+$H$25)^(DW15-1)</f>
        <v>-0</v>
      </c>
      <c r="DX25" s="3" t="n">
        <f aca="false">($D$42=DX16)*-$D$41*(1+$H$25)^(DX15-1)</f>
        <v>-0</v>
      </c>
      <c r="DY25" s="3" t="n">
        <f aca="false">($D$42=DY16)*-$D$41*(1+$H$25)^(DY15-1)</f>
        <v>-0</v>
      </c>
      <c r="DZ25" s="3" t="n">
        <f aca="false">($D$42=DZ16)*-$D$41*(1+$H$25)^(DZ15-1)</f>
        <v>-0</v>
      </c>
      <c r="EA25" s="3" t="n">
        <f aca="false">($D$42=EA16)*-$D$41*(1+$H$25)^(EA15-1)</f>
        <v>-0</v>
      </c>
      <c r="EB25" s="3" t="n">
        <f aca="false">($D$42=EB16)*-$D$41*(1+$H$25)^(EB15-1)</f>
        <v>-68539.7353465502</v>
      </c>
      <c r="EC25" s="3" t="n">
        <f aca="false">($D$42=EC16)*-$D$41*(1+$H$25)^(EC15-1)</f>
        <v>-0</v>
      </c>
      <c r="ED25" s="3" t="n">
        <f aca="false">($D$42=ED16)*-$D$41*(1+$H$25)^(ED15-1)</f>
        <v>-0</v>
      </c>
      <c r="EE25" s="3" t="n">
        <f aca="false">($D$42=EE16)*-$D$41*(1+$H$25)^(EE15-1)</f>
        <v>-0</v>
      </c>
      <c r="EF25" s="3" t="n">
        <f aca="false">($D$42=EF16)*-$D$41*(1+$H$25)^(EF15-1)</f>
        <v>-0</v>
      </c>
      <c r="EG25" s="3" t="n">
        <f aca="false">($D$42=EG16)*-$D$41*(1+$H$25)^(EG15-1)</f>
        <v>-0</v>
      </c>
      <c r="EH25" s="3" t="n">
        <f aca="false">($D$42=EH16)*-$D$41*(1+$H$25)^(EH15-1)</f>
        <v>-0</v>
      </c>
      <c r="EI25" s="3" t="n">
        <f aca="false">($D$42=EI16)*-$D$41*(1+$H$25)^(EI15-1)</f>
        <v>-0</v>
      </c>
      <c r="EJ25" s="3" t="n">
        <f aca="false">($D$42=EJ16)*-$D$41*(1+$H$25)^(EJ15-1)</f>
        <v>-0</v>
      </c>
      <c r="EK25" s="3" t="n">
        <f aca="false">($D$42=EK16)*-$D$41*(1+$H$25)^(EK15-1)</f>
        <v>-0</v>
      </c>
      <c r="EL25" s="3" t="n">
        <f aca="false">($D$42=EL16)*-$D$41*(1+$H$25)^(EL15-1)</f>
        <v>-0</v>
      </c>
    </row>
    <row r="26" customFormat="false" ht="15" hidden="false" customHeight="false" outlineLevel="0" collapsed="false">
      <c r="C26" s="0" t="s">
        <v>12</v>
      </c>
      <c r="D26" s="5" t="n">
        <v>18500000</v>
      </c>
      <c r="H26" s="4" t="n">
        <v>0.03</v>
      </c>
      <c r="I26" s="3" t="s">
        <v>27</v>
      </c>
      <c r="K26" s="3" t="n">
        <f aca="false">-$D$43/12*(1+$H$26)^(K15-1)</f>
        <v>-14000</v>
      </c>
      <c r="L26" s="3" t="n">
        <f aca="false">-$D$43/12*(1+$H$26)^(L15-1)</f>
        <v>-14000</v>
      </c>
      <c r="M26" s="3" t="n">
        <f aca="false">-$D$43/12*(1+$H$26)^(M15-1)</f>
        <v>-14000</v>
      </c>
      <c r="N26" s="3" t="n">
        <f aca="false">-$D$43/12*(1+$H$26)^(N15-1)</f>
        <v>-14000</v>
      </c>
      <c r="O26" s="3" t="n">
        <f aca="false">-$D$43/12*(1+$H$26)^(O15-1)</f>
        <v>-14000</v>
      </c>
      <c r="P26" s="3" t="n">
        <f aca="false">-$D$43/12*(1+$H$26)^(P15-1)</f>
        <v>-14000</v>
      </c>
      <c r="Q26" s="3" t="n">
        <f aca="false">-$D$43/12*(1+$H$26)^(Q15-1)</f>
        <v>-14000</v>
      </c>
      <c r="R26" s="3" t="n">
        <f aca="false">-$D$43/12*(1+$H$26)^(R15-1)</f>
        <v>-14000</v>
      </c>
      <c r="S26" s="3" t="n">
        <f aca="false">-$D$43/12*(1+$H$26)^(S15-1)</f>
        <v>-14000</v>
      </c>
      <c r="T26" s="3" t="n">
        <f aca="false">-$D$43/12*(1+$H$26)^(T15-1)</f>
        <v>-14000</v>
      </c>
      <c r="U26" s="3" t="n">
        <f aca="false">-$D$43/12*(1+$H$26)^(U15-1)</f>
        <v>-14000</v>
      </c>
      <c r="V26" s="3" t="n">
        <f aca="false">-$D$43/12*(1+$H$26)^(V15-1)</f>
        <v>-14000</v>
      </c>
      <c r="W26" s="3" t="n">
        <f aca="false">-$D$43/12*(1+$H$26)^(W15-1)</f>
        <v>-14420</v>
      </c>
      <c r="X26" s="3" t="n">
        <f aca="false">-$D$43/12*(1+$H$26)^(X15-1)</f>
        <v>-14420</v>
      </c>
      <c r="Y26" s="3" t="n">
        <f aca="false">-$D$43/12*(1+$H$26)^(Y15-1)</f>
        <v>-14420</v>
      </c>
      <c r="Z26" s="3" t="n">
        <f aca="false">-$D$43/12*(1+$H$26)^(Z15-1)</f>
        <v>-14420</v>
      </c>
      <c r="AA26" s="3" t="n">
        <f aca="false">-$D$43/12*(1+$H$26)^(AA15-1)</f>
        <v>-14420</v>
      </c>
      <c r="AB26" s="3" t="n">
        <f aca="false">-$D$43/12*(1+$H$26)^(AB15-1)</f>
        <v>-14420</v>
      </c>
      <c r="AC26" s="3" t="n">
        <f aca="false">-$D$43/12*(1+$H$26)^(AC15-1)</f>
        <v>-14420</v>
      </c>
      <c r="AD26" s="3" t="n">
        <f aca="false">-$D$43/12*(1+$H$26)^(AD15-1)</f>
        <v>-14420</v>
      </c>
      <c r="AE26" s="3" t="n">
        <f aca="false">-$D$43/12*(1+$H$26)^(AE15-1)</f>
        <v>-14420</v>
      </c>
      <c r="AF26" s="3" t="n">
        <f aca="false">-$D$43/12*(1+$H$26)^(AF15-1)</f>
        <v>-14420</v>
      </c>
      <c r="AG26" s="3" t="n">
        <f aca="false">-$D$43/12*(1+$H$26)^(AG15-1)</f>
        <v>-14420</v>
      </c>
      <c r="AH26" s="3" t="n">
        <f aca="false">-$D$43/12*(1+$H$26)^(AH15-1)</f>
        <v>-14420</v>
      </c>
      <c r="AI26" s="3" t="n">
        <f aca="false">-$D$43/12*(1+$H$26)^(AI15-1)</f>
        <v>-14852.6</v>
      </c>
      <c r="AJ26" s="3" t="n">
        <f aca="false">-$D$43/12*(1+$H$26)^(AJ15-1)</f>
        <v>-14852.6</v>
      </c>
      <c r="AK26" s="3" t="n">
        <f aca="false">-$D$43/12*(1+$H$26)^(AK15-1)</f>
        <v>-14852.6</v>
      </c>
      <c r="AL26" s="3" t="n">
        <f aca="false">-$D$43/12*(1+$H$26)^(AL15-1)</f>
        <v>-14852.6</v>
      </c>
      <c r="AM26" s="3" t="n">
        <f aca="false">-$D$43/12*(1+$H$26)^(AM15-1)</f>
        <v>-14852.6</v>
      </c>
      <c r="AN26" s="3" t="n">
        <f aca="false">-$D$43/12*(1+$H$26)^(AN15-1)</f>
        <v>-14852.6</v>
      </c>
      <c r="AO26" s="3" t="n">
        <f aca="false">-$D$43/12*(1+$H$26)^(AO15-1)</f>
        <v>-14852.6</v>
      </c>
      <c r="AP26" s="3" t="n">
        <f aca="false">-$D$43/12*(1+$H$26)^(AP15-1)</f>
        <v>-14852.6</v>
      </c>
      <c r="AQ26" s="3" t="n">
        <f aca="false">-$D$43/12*(1+$H$26)^(AQ15-1)</f>
        <v>-14852.6</v>
      </c>
      <c r="AR26" s="3" t="n">
        <f aca="false">-$D$43/12*(1+$H$26)^(AR15-1)</f>
        <v>-14852.6</v>
      </c>
      <c r="AS26" s="3" t="n">
        <f aca="false">-$D$43/12*(1+$H$26)^(AS15-1)</f>
        <v>-14852.6</v>
      </c>
      <c r="AT26" s="3" t="n">
        <f aca="false">-$D$43/12*(1+$H$26)^(AT15-1)</f>
        <v>-14852.6</v>
      </c>
      <c r="AU26" s="3" t="n">
        <f aca="false">-$D$43/12*(1+$H$26)^(AU15-1)</f>
        <v>-15298.178</v>
      </c>
      <c r="AV26" s="3" t="n">
        <f aca="false">-$D$43/12*(1+$H$26)^(AV15-1)</f>
        <v>-15298.178</v>
      </c>
      <c r="AW26" s="3" t="n">
        <f aca="false">-$D$43/12*(1+$H$26)^(AW15-1)</f>
        <v>-15298.178</v>
      </c>
      <c r="AX26" s="3" t="n">
        <f aca="false">-$D$43/12*(1+$H$26)^(AX15-1)</f>
        <v>-15298.178</v>
      </c>
      <c r="AY26" s="3" t="n">
        <f aca="false">-$D$43/12*(1+$H$26)^(AY15-1)</f>
        <v>-15298.178</v>
      </c>
      <c r="AZ26" s="3" t="n">
        <f aca="false">-$D$43/12*(1+$H$26)^(AZ15-1)</f>
        <v>-15298.178</v>
      </c>
      <c r="BA26" s="3" t="n">
        <f aca="false">-$D$43/12*(1+$H$26)^(BA15-1)</f>
        <v>-15298.178</v>
      </c>
      <c r="BB26" s="3" t="n">
        <f aca="false">-$D$43/12*(1+$H$26)^(BB15-1)</f>
        <v>-15298.178</v>
      </c>
      <c r="BC26" s="3" t="n">
        <f aca="false">-$D$43/12*(1+$H$26)^(BC15-1)</f>
        <v>-15298.178</v>
      </c>
      <c r="BD26" s="3" t="n">
        <f aca="false">-$D$43/12*(1+$H$26)^(BD15-1)</f>
        <v>-15298.178</v>
      </c>
      <c r="BE26" s="3" t="n">
        <f aca="false">-$D$43/12*(1+$H$26)^(BE15-1)</f>
        <v>-15298.178</v>
      </c>
      <c r="BF26" s="3" t="n">
        <f aca="false">-$D$43/12*(1+$H$26)^(BF15-1)</f>
        <v>-15298.178</v>
      </c>
      <c r="BG26" s="3" t="n">
        <f aca="false">-$D$43/12*(1+$H$26)^(BG15-1)</f>
        <v>-15757.12334</v>
      </c>
      <c r="BH26" s="3" t="n">
        <f aca="false">-$D$43/12*(1+$H$26)^(BH15-1)</f>
        <v>-15757.12334</v>
      </c>
      <c r="BI26" s="3" t="n">
        <f aca="false">-$D$43/12*(1+$H$26)^(BI15-1)</f>
        <v>-15757.12334</v>
      </c>
      <c r="BJ26" s="3" t="n">
        <f aca="false">-$D$43/12*(1+$H$26)^(BJ15-1)</f>
        <v>-15757.12334</v>
      </c>
      <c r="BK26" s="3" t="n">
        <f aca="false">-$D$43/12*(1+$H$26)^(BK15-1)</f>
        <v>-15757.12334</v>
      </c>
      <c r="BL26" s="3" t="n">
        <f aca="false">-$D$43/12*(1+$H$26)^(BL15-1)</f>
        <v>-15757.12334</v>
      </c>
      <c r="BM26" s="3" t="n">
        <f aca="false">-$D$43/12*(1+$H$26)^(BM15-1)</f>
        <v>-15757.12334</v>
      </c>
      <c r="BN26" s="3" t="n">
        <f aca="false">-$D$43/12*(1+$H$26)^(BN15-1)</f>
        <v>-15757.12334</v>
      </c>
      <c r="BO26" s="3" t="n">
        <f aca="false">-$D$43/12*(1+$H$26)^(BO15-1)</f>
        <v>-15757.12334</v>
      </c>
      <c r="BP26" s="3" t="n">
        <f aca="false">-$D$43/12*(1+$H$26)^(BP15-1)</f>
        <v>-15757.12334</v>
      </c>
      <c r="BQ26" s="3" t="n">
        <f aca="false">-$D$43/12*(1+$H$26)^(BQ15-1)</f>
        <v>-15757.12334</v>
      </c>
      <c r="BR26" s="3" t="n">
        <f aca="false">-$D$43/12*(1+$H$26)^(BR15-1)</f>
        <v>-15757.12334</v>
      </c>
      <c r="BS26" s="3" t="n">
        <f aca="false">-$D$43/12*(1+$H$26)^(BS15-1)</f>
        <v>-16229.8370402</v>
      </c>
      <c r="BT26" s="3" t="n">
        <f aca="false">-$D$43/12*(1+$H$26)^(BT15-1)</f>
        <v>-16229.8370402</v>
      </c>
      <c r="BU26" s="3" t="n">
        <f aca="false">-$D$43/12*(1+$H$26)^(BU15-1)</f>
        <v>-16229.8370402</v>
      </c>
      <c r="BV26" s="3" t="n">
        <f aca="false">-$D$43/12*(1+$H$26)^(BV15-1)</f>
        <v>-16229.8370402</v>
      </c>
      <c r="BW26" s="3" t="n">
        <f aca="false">-$D$43/12*(1+$H$26)^(BW15-1)</f>
        <v>-16229.8370402</v>
      </c>
      <c r="BX26" s="3" t="n">
        <f aca="false">-$D$43/12*(1+$H$26)^(BX15-1)</f>
        <v>-16229.8370402</v>
      </c>
      <c r="BY26" s="3" t="n">
        <f aca="false">-$D$43/12*(1+$H$26)^(BY15-1)</f>
        <v>-16229.8370402</v>
      </c>
      <c r="BZ26" s="3" t="n">
        <f aca="false">-$D$43/12*(1+$H$26)^(BZ15-1)</f>
        <v>-16229.8370402</v>
      </c>
      <c r="CA26" s="3" t="n">
        <f aca="false">-$D$43/12*(1+$H$26)^(CA15-1)</f>
        <v>-16229.8370402</v>
      </c>
      <c r="CB26" s="3" t="n">
        <f aca="false">-$D$43/12*(1+$H$26)^(CB15-1)</f>
        <v>-16229.8370402</v>
      </c>
      <c r="CC26" s="3" t="n">
        <f aca="false">-$D$43/12*(1+$H$26)^(CC15-1)</f>
        <v>-16229.8370402</v>
      </c>
      <c r="CD26" s="3" t="n">
        <f aca="false">-$D$43/12*(1+$H$26)^(CD15-1)</f>
        <v>-16229.8370402</v>
      </c>
      <c r="CE26" s="3" t="n">
        <f aca="false">-$D$43/12*(1+$H$26)^(CE15-1)</f>
        <v>-16716.732151406</v>
      </c>
      <c r="CF26" s="3" t="n">
        <f aca="false">-$D$43/12*(1+$H$26)^(CF15-1)</f>
        <v>-16716.732151406</v>
      </c>
      <c r="CG26" s="3" t="n">
        <f aca="false">-$D$43/12*(1+$H$26)^(CG15-1)</f>
        <v>-16716.732151406</v>
      </c>
      <c r="CH26" s="3" t="n">
        <f aca="false">-$D$43/12*(1+$H$26)^(CH15-1)</f>
        <v>-16716.732151406</v>
      </c>
      <c r="CI26" s="3" t="n">
        <f aca="false">-$D$43/12*(1+$H$26)^(CI15-1)</f>
        <v>-16716.732151406</v>
      </c>
      <c r="CJ26" s="3" t="n">
        <f aca="false">-$D$43/12*(1+$H$26)^(CJ15-1)</f>
        <v>-16716.732151406</v>
      </c>
      <c r="CK26" s="3" t="n">
        <f aca="false">-$D$43/12*(1+$H$26)^(CK15-1)</f>
        <v>-16716.732151406</v>
      </c>
      <c r="CL26" s="3" t="n">
        <f aca="false">-$D$43/12*(1+$H$26)^(CL15-1)</f>
        <v>-16716.732151406</v>
      </c>
      <c r="CM26" s="3" t="n">
        <f aca="false">-$D$43/12*(1+$H$26)^(CM15-1)</f>
        <v>-16716.732151406</v>
      </c>
      <c r="CN26" s="3" t="n">
        <f aca="false">-$D$43/12*(1+$H$26)^(CN15-1)</f>
        <v>-16716.732151406</v>
      </c>
      <c r="CO26" s="3" t="n">
        <f aca="false">-$D$43/12*(1+$H$26)^(CO15-1)</f>
        <v>-16716.732151406</v>
      </c>
      <c r="CP26" s="3" t="n">
        <f aca="false">-$D$43/12*(1+$H$26)^(CP15-1)</f>
        <v>-16716.732151406</v>
      </c>
      <c r="CQ26" s="3" t="n">
        <f aca="false">-$D$43/12*(1+$H$26)^(CQ15-1)</f>
        <v>-17218.2341159482</v>
      </c>
      <c r="CR26" s="3" t="n">
        <f aca="false">-$D$43/12*(1+$H$26)^(CR15-1)</f>
        <v>-17218.2341159482</v>
      </c>
      <c r="CS26" s="3" t="n">
        <f aca="false">-$D$43/12*(1+$H$26)^(CS15-1)</f>
        <v>-17218.2341159482</v>
      </c>
      <c r="CT26" s="3" t="n">
        <f aca="false">-$D$43/12*(1+$H$26)^(CT15-1)</f>
        <v>-17218.2341159482</v>
      </c>
      <c r="CU26" s="3" t="n">
        <f aca="false">-$D$43/12*(1+$H$26)^(CU15-1)</f>
        <v>-17218.2341159482</v>
      </c>
      <c r="CV26" s="3" t="n">
        <f aca="false">-$D$43/12*(1+$H$26)^(CV15-1)</f>
        <v>-17218.2341159482</v>
      </c>
      <c r="CW26" s="3" t="n">
        <f aca="false">-$D$43/12*(1+$H$26)^(CW15-1)</f>
        <v>-17218.2341159482</v>
      </c>
      <c r="CX26" s="3" t="n">
        <f aca="false">-$D$43/12*(1+$H$26)^(CX15-1)</f>
        <v>-17218.2341159482</v>
      </c>
      <c r="CY26" s="3" t="n">
        <f aca="false">-$D$43/12*(1+$H$26)^(CY15-1)</f>
        <v>-17218.2341159482</v>
      </c>
      <c r="CZ26" s="3" t="n">
        <f aca="false">-$D$43/12*(1+$H$26)^(CZ15-1)</f>
        <v>-17218.2341159482</v>
      </c>
      <c r="DA26" s="3" t="n">
        <f aca="false">-$D$43/12*(1+$H$26)^(DA15-1)</f>
        <v>-17218.2341159482</v>
      </c>
      <c r="DB26" s="3" t="n">
        <f aca="false">-$D$43/12*(1+$H$26)^(DB15-1)</f>
        <v>-17218.2341159482</v>
      </c>
      <c r="DC26" s="3" t="n">
        <f aca="false">-$D$43/12*(1+$H$26)^(DC15-1)</f>
        <v>-17734.7811394266</v>
      </c>
      <c r="DD26" s="3" t="n">
        <f aca="false">-$D$43/12*(1+$H$26)^(DD15-1)</f>
        <v>-17734.7811394266</v>
      </c>
      <c r="DE26" s="3" t="n">
        <f aca="false">-$D$43/12*(1+$H$26)^(DE15-1)</f>
        <v>-17734.7811394266</v>
      </c>
      <c r="DF26" s="3" t="n">
        <f aca="false">-$D$43/12*(1+$H$26)^(DF15-1)</f>
        <v>-17734.7811394266</v>
      </c>
      <c r="DG26" s="3" t="n">
        <f aca="false">-$D$43/12*(1+$H$26)^(DG15-1)</f>
        <v>-17734.7811394266</v>
      </c>
      <c r="DH26" s="3" t="n">
        <f aca="false">-$D$43/12*(1+$H$26)^(DH15-1)</f>
        <v>-17734.7811394266</v>
      </c>
      <c r="DI26" s="3" t="n">
        <f aca="false">-$D$43/12*(1+$H$26)^(DI15-1)</f>
        <v>-17734.7811394266</v>
      </c>
      <c r="DJ26" s="3" t="n">
        <f aca="false">-$D$43/12*(1+$H$26)^(DJ15-1)</f>
        <v>-17734.7811394266</v>
      </c>
      <c r="DK26" s="3" t="n">
        <f aca="false">-$D$43/12*(1+$H$26)^(DK15-1)</f>
        <v>-17734.7811394266</v>
      </c>
      <c r="DL26" s="3" t="n">
        <f aca="false">-$D$43/12*(1+$H$26)^(DL15-1)</f>
        <v>-17734.7811394266</v>
      </c>
      <c r="DM26" s="3" t="n">
        <f aca="false">-$D$43/12*(1+$H$26)^(DM15-1)</f>
        <v>-17734.7811394266</v>
      </c>
      <c r="DN26" s="3" t="n">
        <f aca="false">-$D$43/12*(1+$H$26)^(DN15-1)</f>
        <v>-17734.7811394266</v>
      </c>
      <c r="DO26" s="3" t="n">
        <f aca="false">-$D$43/12*(1+$H$26)^(DO15-1)</f>
        <v>-18266.8245736094</v>
      </c>
      <c r="DP26" s="3" t="n">
        <f aca="false">-$D$43/12*(1+$H$26)^(DP15-1)</f>
        <v>-18266.8245736094</v>
      </c>
      <c r="DQ26" s="3" t="n">
        <f aca="false">-$D$43/12*(1+$H$26)^(DQ15-1)</f>
        <v>-18266.8245736094</v>
      </c>
      <c r="DR26" s="3" t="n">
        <f aca="false">-$D$43/12*(1+$H$26)^(DR15-1)</f>
        <v>-18266.8245736094</v>
      </c>
      <c r="DS26" s="3" t="n">
        <f aca="false">-$D$43/12*(1+$H$26)^(DS15-1)</f>
        <v>-18266.8245736094</v>
      </c>
      <c r="DT26" s="3" t="n">
        <f aca="false">-$D$43/12*(1+$H$26)^(DT15-1)</f>
        <v>-18266.8245736094</v>
      </c>
      <c r="DU26" s="3" t="n">
        <f aca="false">-$D$43/12*(1+$H$26)^(DU15-1)</f>
        <v>-18266.8245736094</v>
      </c>
      <c r="DV26" s="3" t="n">
        <f aca="false">-$D$43/12*(1+$H$26)^(DV15-1)</f>
        <v>-18266.8245736094</v>
      </c>
      <c r="DW26" s="3" t="n">
        <f aca="false">-$D$43/12*(1+$H$26)^(DW15-1)</f>
        <v>-18266.8245736094</v>
      </c>
      <c r="DX26" s="3" t="n">
        <f aca="false">-$D$43/12*(1+$H$26)^(DX15-1)</f>
        <v>-18266.8245736094</v>
      </c>
      <c r="DY26" s="3" t="n">
        <f aca="false">-$D$43/12*(1+$H$26)^(DY15-1)</f>
        <v>-18266.8245736094</v>
      </c>
      <c r="DZ26" s="3" t="n">
        <f aca="false">-$D$43/12*(1+$H$26)^(DZ15-1)</f>
        <v>-18266.8245736094</v>
      </c>
      <c r="EA26" s="3" t="n">
        <f aca="false">-$D$43/12*(1+$H$26)^(EA15-1)</f>
        <v>-18814.8293108177</v>
      </c>
      <c r="EB26" s="3" t="n">
        <f aca="false">-$D$43/12*(1+$H$26)^(EB15-1)</f>
        <v>-18814.8293108177</v>
      </c>
      <c r="EC26" s="3" t="n">
        <f aca="false">-$D$43/12*(1+$H$26)^(EC15-1)</f>
        <v>-18814.8293108177</v>
      </c>
      <c r="ED26" s="3" t="n">
        <f aca="false">-$D$43/12*(1+$H$26)^(ED15-1)</f>
        <v>-18814.8293108177</v>
      </c>
      <c r="EE26" s="3" t="n">
        <f aca="false">-$D$43/12*(1+$H$26)^(EE15-1)</f>
        <v>-18814.8293108177</v>
      </c>
      <c r="EF26" s="3" t="n">
        <f aca="false">-$D$43/12*(1+$H$26)^(EF15-1)</f>
        <v>-18814.8293108177</v>
      </c>
      <c r="EG26" s="3" t="n">
        <f aca="false">-$D$43/12*(1+$H$26)^(EG15-1)</f>
        <v>-18814.8293108177</v>
      </c>
      <c r="EH26" s="3" t="n">
        <f aca="false">-$D$43/12*(1+$H$26)^(EH15-1)</f>
        <v>-18814.8293108177</v>
      </c>
      <c r="EI26" s="3" t="n">
        <f aca="false">-$D$43/12*(1+$H$26)^(EI15-1)</f>
        <v>-18814.8293108177</v>
      </c>
      <c r="EJ26" s="3" t="n">
        <f aca="false">-$D$43/12*(1+$H$26)^(EJ15-1)</f>
        <v>-18814.8293108177</v>
      </c>
      <c r="EK26" s="3" t="n">
        <f aca="false">-$D$43/12*(1+$H$26)^(EK15-1)</f>
        <v>-18814.8293108177</v>
      </c>
      <c r="EL26" s="3" t="n">
        <f aca="false">-$D$43/12*(1+$H$26)^(EL15-1)</f>
        <v>-18814.8293108177</v>
      </c>
    </row>
    <row r="27" customFormat="false" ht="15" hidden="false" customHeight="false" outlineLevel="0" collapsed="false">
      <c r="C27" s="0" t="s">
        <v>28</v>
      </c>
      <c r="D27" s="4" t="n">
        <f aca="false">SUM($K$28:$V$28)/D26</f>
        <v>0.068568945945946</v>
      </c>
      <c r="I27" s="3" t="s">
        <v>29</v>
      </c>
      <c r="K27" s="3" t="n">
        <f aca="false">-K23*$D$44</f>
        <v>-4265.375</v>
      </c>
      <c r="L27" s="3" t="n">
        <f aca="false">-L23*$D$44</f>
        <v>-4265.375</v>
      </c>
      <c r="M27" s="3" t="n">
        <f aca="false">-M23*$D$44</f>
        <v>-4265.375</v>
      </c>
      <c r="N27" s="3" t="n">
        <f aca="false">-N23*$D$44</f>
        <v>-4265.375</v>
      </c>
      <c r="O27" s="3" t="n">
        <f aca="false">-O23*$D$44</f>
        <v>-4265.375</v>
      </c>
      <c r="P27" s="3" t="n">
        <f aca="false">-P23*$D$44</f>
        <v>-4265.375</v>
      </c>
      <c r="Q27" s="3" t="n">
        <f aca="false">-Q23*$D$44</f>
        <v>-4505.375</v>
      </c>
      <c r="R27" s="3" t="n">
        <f aca="false">-R23*$D$44</f>
        <v>-4505.375</v>
      </c>
      <c r="S27" s="3" t="n">
        <f aca="false">-S23*$D$44</f>
        <v>-4505.375</v>
      </c>
      <c r="T27" s="3" t="n">
        <f aca="false">-T23*$D$44</f>
        <v>-4505.375</v>
      </c>
      <c r="U27" s="3" t="n">
        <f aca="false">-U23*$D$44</f>
        <v>-4505.375</v>
      </c>
      <c r="V27" s="3" t="n">
        <f aca="false">-V23*$D$44</f>
        <v>-4505.375</v>
      </c>
      <c r="W27" s="3" t="n">
        <f aca="false">-W23*$D$44</f>
        <v>-4618.009375</v>
      </c>
      <c r="X27" s="3" t="n">
        <f aca="false">-X23*$D$44</f>
        <v>-4618.009375</v>
      </c>
      <c r="Y27" s="3" t="n">
        <f aca="false">-Y23*$D$44</f>
        <v>-4618.009375</v>
      </c>
      <c r="Z27" s="3" t="n">
        <f aca="false">-Z23*$D$44</f>
        <v>-4618.009375</v>
      </c>
      <c r="AA27" s="3" t="n">
        <f aca="false">-AA23*$D$44</f>
        <v>-4618.009375</v>
      </c>
      <c r="AB27" s="3" t="n">
        <f aca="false">-AB23*$D$44</f>
        <v>-4618.009375</v>
      </c>
      <c r="AC27" s="3" t="n">
        <f aca="false">-AC23*$D$44</f>
        <v>-4618.009375</v>
      </c>
      <c r="AD27" s="3" t="n">
        <f aca="false">-AD23*$D$44</f>
        <v>-4618.009375</v>
      </c>
      <c r="AE27" s="3" t="n">
        <f aca="false">-AE23*$D$44</f>
        <v>-4618.009375</v>
      </c>
      <c r="AF27" s="3" t="n">
        <f aca="false">-AF23*$D$44</f>
        <v>-4618.009375</v>
      </c>
      <c r="AG27" s="3" t="n">
        <f aca="false">-AG23*$D$44</f>
        <v>-4618.009375</v>
      </c>
      <c r="AH27" s="3" t="n">
        <f aca="false">-AH23*$D$44</f>
        <v>-4618.009375</v>
      </c>
      <c r="AI27" s="3" t="n">
        <f aca="false">-AI23*$D$44</f>
        <v>-4733.459609375</v>
      </c>
      <c r="AJ27" s="3" t="n">
        <f aca="false">-AJ23*$D$44</f>
        <v>-4733.459609375</v>
      </c>
      <c r="AK27" s="3" t="n">
        <f aca="false">-AK23*$D$44</f>
        <v>-4733.459609375</v>
      </c>
      <c r="AL27" s="3" t="n">
        <f aca="false">-AL23*$D$44</f>
        <v>-4733.459609375</v>
      </c>
      <c r="AM27" s="3" t="n">
        <f aca="false">-AM23*$D$44</f>
        <v>-4733.459609375</v>
      </c>
      <c r="AN27" s="3" t="n">
        <f aca="false">-AN23*$D$44</f>
        <v>-4733.459609375</v>
      </c>
      <c r="AO27" s="3" t="n">
        <f aca="false">-AO23*$D$44</f>
        <v>-4733.459609375</v>
      </c>
      <c r="AP27" s="3" t="n">
        <f aca="false">-AP23*$D$44</f>
        <v>-4733.459609375</v>
      </c>
      <c r="AQ27" s="3" t="n">
        <f aca="false">-AQ23*$D$44</f>
        <v>-4733.459609375</v>
      </c>
      <c r="AR27" s="3" t="n">
        <f aca="false">-AR23*$D$44</f>
        <v>-4733.459609375</v>
      </c>
      <c r="AS27" s="3" t="n">
        <f aca="false">-AS23*$D$44</f>
        <v>-4733.459609375</v>
      </c>
      <c r="AT27" s="3" t="n">
        <f aca="false">-AT23*$D$44</f>
        <v>-4733.459609375</v>
      </c>
      <c r="AU27" s="3" t="n">
        <f aca="false">-AU23*$D$44</f>
        <v>-4851.79609960937</v>
      </c>
      <c r="AV27" s="3" t="n">
        <f aca="false">-AV23*$D$44</f>
        <v>-4851.79609960937</v>
      </c>
      <c r="AW27" s="3" t="n">
        <f aca="false">-AW23*$D$44</f>
        <v>-4851.79609960937</v>
      </c>
      <c r="AX27" s="3" t="n">
        <f aca="false">-AX23*$D$44</f>
        <v>-4851.79609960937</v>
      </c>
      <c r="AY27" s="3" t="n">
        <f aca="false">-AY23*$D$44</f>
        <v>-4851.79609960937</v>
      </c>
      <c r="AZ27" s="3" t="n">
        <f aca="false">-AZ23*$D$44</f>
        <v>-4851.79609960937</v>
      </c>
      <c r="BA27" s="3" t="n">
        <f aca="false">-BA23*$D$44</f>
        <v>-4851.79609960937</v>
      </c>
      <c r="BB27" s="3" t="n">
        <f aca="false">-BB23*$D$44</f>
        <v>-4851.79609960937</v>
      </c>
      <c r="BC27" s="3" t="n">
        <f aca="false">-BC23*$D$44</f>
        <v>-4851.79609960937</v>
      </c>
      <c r="BD27" s="3" t="n">
        <f aca="false">-BD23*$D$44</f>
        <v>-4851.79609960937</v>
      </c>
      <c r="BE27" s="3" t="n">
        <f aca="false">-BE23*$D$44</f>
        <v>-4851.79609960937</v>
      </c>
      <c r="BF27" s="3" t="n">
        <f aca="false">-BF23*$D$44</f>
        <v>-4851.79609960937</v>
      </c>
      <c r="BG27" s="3" t="n">
        <f aca="false">-BG23*$D$44</f>
        <v>-4973.09100209961</v>
      </c>
      <c r="BH27" s="3" t="n">
        <f aca="false">-BH23*$D$44</f>
        <v>-4973.09100209961</v>
      </c>
      <c r="BI27" s="3" t="n">
        <f aca="false">-BI23*$D$44</f>
        <v>-4973.09100209961</v>
      </c>
      <c r="BJ27" s="3" t="n">
        <f aca="false">-BJ23*$D$44</f>
        <v>-4973.09100209961</v>
      </c>
      <c r="BK27" s="3" t="n">
        <f aca="false">-BK23*$D$44</f>
        <v>-4973.09100209961</v>
      </c>
      <c r="BL27" s="3" t="n">
        <f aca="false">-BL23*$D$44</f>
        <v>-4973.09100209961</v>
      </c>
      <c r="BM27" s="3" t="n">
        <f aca="false">-BM23*$D$44</f>
        <v>-4973.09100209961</v>
      </c>
      <c r="BN27" s="3" t="n">
        <f aca="false">-BN23*$D$44</f>
        <v>-4973.09100209961</v>
      </c>
      <c r="BO27" s="3" t="n">
        <f aca="false">-BO23*$D$44</f>
        <v>-4973.09100209961</v>
      </c>
      <c r="BP27" s="3" t="n">
        <f aca="false">-BP23*$D$44</f>
        <v>-4973.09100209961</v>
      </c>
      <c r="BQ27" s="3" t="n">
        <f aca="false">-BQ23*$D$44</f>
        <v>-4973.09100209961</v>
      </c>
      <c r="BR27" s="3" t="n">
        <f aca="false">-BR23*$D$44</f>
        <v>-4973.09100209961</v>
      </c>
      <c r="BS27" s="3" t="n">
        <f aca="false">-BS23*$D$44</f>
        <v>-5097.4182771521</v>
      </c>
      <c r="BT27" s="3" t="n">
        <f aca="false">-BT23*$D$44</f>
        <v>-5097.4182771521</v>
      </c>
      <c r="BU27" s="3" t="n">
        <f aca="false">-BU23*$D$44</f>
        <v>-5097.4182771521</v>
      </c>
      <c r="BV27" s="3" t="n">
        <f aca="false">-BV23*$D$44</f>
        <v>-5097.4182771521</v>
      </c>
      <c r="BW27" s="3" t="n">
        <f aca="false">-BW23*$D$44</f>
        <v>-5097.4182771521</v>
      </c>
      <c r="BX27" s="3" t="n">
        <f aca="false">-BX23*$D$44</f>
        <v>-5097.4182771521</v>
      </c>
      <c r="BY27" s="3" t="n">
        <f aca="false">-BY23*$D$44</f>
        <v>-5097.4182771521</v>
      </c>
      <c r="BZ27" s="3" t="n">
        <f aca="false">-BZ23*$D$44</f>
        <v>-5097.4182771521</v>
      </c>
      <c r="CA27" s="3" t="n">
        <f aca="false">-CA23*$D$44</f>
        <v>-5097.4182771521</v>
      </c>
      <c r="CB27" s="3" t="n">
        <f aca="false">-CB23*$D$44</f>
        <v>-5097.4182771521</v>
      </c>
      <c r="CC27" s="3" t="n">
        <f aca="false">-CC23*$D$44</f>
        <v>-5097.4182771521</v>
      </c>
      <c r="CD27" s="3" t="n">
        <f aca="false">-CD23*$D$44</f>
        <v>-5097.4182771521</v>
      </c>
      <c r="CE27" s="3" t="n">
        <f aca="false">-CE23*$D$44</f>
        <v>-5224.8537340809</v>
      </c>
      <c r="CF27" s="3" t="n">
        <f aca="false">-CF23*$D$44</f>
        <v>-5224.8537340809</v>
      </c>
      <c r="CG27" s="3" t="n">
        <f aca="false">-CG23*$D$44</f>
        <v>-5224.8537340809</v>
      </c>
      <c r="CH27" s="3" t="n">
        <f aca="false">-CH23*$D$44</f>
        <v>-5224.8537340809</v>
      </c>
      <c r="CI27" s="3" t="n">
        <f aca="false">-CI23*$D$44</f>
        <v>-5224.8537340809</v>
      </c>
      <c r="CJ27" s="3" t="n">
        <f aca="false">-CJ23*$D$44</f>
        <v>-5224.8537340809</v>
      </c>
      <c r="CK27" s="3" t="n">
        <f aca="false">-CK23*$D$44</f>
        <v>-5224.8537340809</v>
      </c>
      <c r="CL27" s="3" t="n">
        <f aca="false">-CL23*$D$44</f>
        <v>-5224.8537340809</v>
      </c>
      <c r="CM27" s="3" t="n">
        <f aca="false">-CM23*$D$44</f>
        <v>-5224.8537340809</v>
      </c>
      <c r="CN27" s="3" t="n">
        <f aca="false">-CN23*$D$44</f>
        <v>-5224.8537340809</v>
      </c>
      <c r="CO27" s="3" t="n">
        <f aca="false">-CO23*$D$44</f>
        <v>-5224.8537340809</v>
      </c>
      <c r="CP27" s="3" t="n">
        <f aca="false">-CP23*$D$44</f>
        <v>-5224.8537340809</v>
      </c>
      <c r="CQ27" s="3" t="n">
        <f aca="false">-CQ23*$D$44</f>
        <v>-5355.47507743292</v>
      </c>
      <c r="CR27" s="3" t="n">
        <f aca="false">-CR23*$D$44</f>
        <v>-5355.47507743292</v>
      </c>
      <c r="CS27" s="3" t="n">
        <f aca="false">-CS23*$D$44</f>
        <v>-5355.47507743292</v>
      </c>
      <c r="CT27" s="3" t="n">
        <f aca="false">-CT23*$D$44</f>
        <v>-5355.47507743292</v>
      </c>
      <c r="CU27" s="3" t="n">
        <f aca="false">-CU23*$D$44</f>
        <v>-5355.47507743292</v>
      </c>
      <c r="CV27" s="3" t="n">
        <f aca="false">-CV23*$D$44</f>
        <v>-5355.47507743292</v>
      </c>
      <c r="CW27" s="3" t="n">
        <f aca="false">-CW23*$D$44</f>
        <v>-5355.47507743292</v>
      </c>
      <c r="CX27" s="3" t="n">
        <f aca="false">-CX23*$D$44</f>
        <v>-5355.47507743292</v>
      </c>
      <c r="CY27" s="3" t="n">
        <f aca="false">-CY23*$D$44</f>
        <v>-5355.47507743292</v>
      </c>
      <c r="CZ27" s="3" t="n">
        <f aca="false">-CZ23*$D$44</f>
        <v>-5355.47507743292</v>
      </c>
      <c r="DA27" s="3" t="n">
        <f aca="false">-DA23*$D$44</f>
        <v>-5355.47507743292</v>
      </c>
      <c r="DB27" s="3" t="n">
        <f aca="false">-DB23*$D$44</f>
        <v>-5355.47507743292</v>
      </c>
      <c r="DC27" s="3" t="n">
        <f aca="false">-DC23*$D$44</f>
        <v>-5489.36195436874</v>
      </c>
      <c r="DD27" s="3" t="n">
        <f aca="false">-DD23*$D$44</f>
        <v>-5489.36195436874</v>
      </c>
      <c r="DE27" s="3" t="n">
        <f aca="false">-DE23*$D$44</f>
        <v>-5489.36195436874</v>
      </c>
      <c r="DF27" s="3" t="n">
        <f aca="false">-DF23*$D$44</f>
        <v>-5489.36195436874</v>
      </c>
      <c r="DG27" s="3" t="n">
        <f aca="false">-DG23*$D$44</f>
        <v>-5489.36195436874</v>
      </c>
      <c r="DH27" s="3" t="n">
        <f aca="false">-DH23*$D$44</f>
        <v>-5489.36195436874</v>
      </c>
      <c r="DI27" s="3" t="n">
        <f aca="false">-DI23*$D$44</f>
        <v>-5489.36195436874</v>
      </c>
      <c r="DJ27" s="3" t="n">
        <f aca="false">-DJ23*$D$44</f>
        <v>-5489.36195436874</v>
      </c>
      <c r="DK27" s="3" t="n">
        <f aca="false">-DK23*$D$44</f>
        <v>-5489.36195436874</v>
      </c>
      <c r="DL27" s="3" t="n">
        <f aca="false">-DL23*$D$44</f>
        <v>-5489.36195436874</v>
      </c>
      <c r="DM27" s="3" t="n">
        <f aca="false">-DM23*$D$44</f>
        <v>-5489.36195436874</v>
      </c>
      <c r="DN27" s="3" t="n">
        <f aca="false">-DN23*$D$44</f>
        <v>-5489.36195436874</v>
      </c>
      <c r="DO27" s="3" t="n">
        <f aca="false">-DO23*$D$44</f>
        <v>-5626.59600322796</v>
      </c>
      <c r="DP27" s="3" t="n">
        <f aca="false">-DP23*$D$44</f>
        <v>-5626.59600322796</v>
      </c>
      <c r="DQ27" s="3" t="n">
        <f aca="false">-DQ23*$D$44</f>
        <v>-5626.59600322796</v>
      </c>
      <c r="DR27" s="3" t="n">
        <f aca="false">-DR23*$D$44</f>
        <v>-5626.59600322796</v>
      </c>
      <c r="DS27" s="3" t="n">
        <f aca="false">-DS23*$D$44</f>
        <v>-5626.59600322796</v>
      </c>
      <c r="DT27" s="3" t="n">
        <f aca="false">-DT23*$D$44</f>
        <v>-5626.59600322796</v>
      </c>
      <c r="DU27" s="3" t="n">
        <f aca="false">-DU23*$D$44</f>
        <v>-5626.59600322796</v>
      </c>
      <c r="DV27" s="3" t="n">
        <f aca="false">-DV23*$D$44</f>
        <v>-5626.59600322796</v>
      </c>
      <c r="DW27" s="3" t="n">
        <f aca="false">-DW23*$D$44</f>
        <v>-5626.59600322796</v>
      </c>
      <c r="DX27" s="3" t="n">
        <f aca="false">-DX23*$D$44</f>
        <v>-5626.59600322796</v>
      </c>
      <c r="DY27" s="3" t="n">
        <f aca="false">-DY23*$D$44</f>
        <v>-5626.59600322796</v>
      </c>
      <c r="DZ27" s="3" t="n">
        <f aca="false">-DZ23*$D$44</f>
        <v>-5626.59600322796</v>
      </c>
      <c r="EA27" s="3" t="n">
        <f aca="false">-EA23*$D$44</f>
        <v>-5767.26090330866</v>
      </c>
      <c r="EB27" s="3" t="n">
        <f aca="false">-EB23*$D$44</f>
        <v>-5767.26090330866</v>
      </c>
      <c r="EC27" s="3" t="n">
        <f aca="false">-EC23*$D$44</f>
        <v>-5767.26090330866</v>
      </c>
      <c r="ED27" s="3" t="n">
        <f aca="false">-ED23*$D$44</f>
        <v>-5767.26090330866</v>
      </c>
      <c r="EE27" s="3" t="n">
        <f aca="false">-EE23*$D$44</f>
        <v>-5767.26090330866</v>
      </c>
      <c r="EF27" s="3" t="n">
        <f aca="false">-EF23*$D$44</f>
        <v>-5767.26090330866</v>
      </c>
      <c r="EG27" s="3" t="n">
        <f aca="false">-EG23*$D$44</f>
        <v>-5767.26090330866</v>
      </c>
      <c r="EH27" s="3" t="n">
        <f aca="false">-EH23*$D$44</f>
        <v>-5767.26090330866</v>
      </c>
      <c r="EI27" s="3" t="n">
        <f aca="false">-EI23*$D$44</f>
        <v>-5767.26090330866</v>
      </c>
      <c r="EJ27" s="3" t="n">
        <f aca="false">-EJ23*$D$44</f>
        <v>-5767.26090330866</v>
      </c>
      <c r="EK27" s="3" t="n">
        <f aca="false">-EK23*$D$44</f>
        <v>-5767.26090330866</v>
      </c>
      <c r="EL27" s="3" t="n">
        <f aca="false">-EL23*$D$44</f>
        <v>-5767.26090330866</v>
      </c>
    </row>
    <row r="28" customFormat="false" ht="15" hidden="false" customHeight="false" outlineLevel="0" collapsed="false">
      <c r="C28" s="0" t="s">
        <v>30</v>
      </c>
      <c r="D28" s="6" t="n">
        <f aca="false">D26/D25</f>
        <v>127.586206896552</v>
      </c>
      <c r="I28" s="3" t="s">
        <v>31</v>
      </c>
      <c r="K28" s="3" t="n">
        <f aca="false">SUM(K23:K27)</f>
        <v>123913.791666667</v>
      </c>
      <c r="L28" s="3" t="n">
        <f aca="false">SUM(L23:L27)</f>
        <v>72913.7916666667</v>
      </c>
      <c r="M28" s="3" t="n">
        <f aca="false">SUM(M23:M27)</f>
        <v>123913.791666667</v>
      </c>
      <c r="N28" s="3" t="n">
        <f aca="false">SUM(N23:N27)</f>
        <v>123913.791666667</v>
      </c>
      <c r="O28" s="3" t="n">
        <f aca="false">SUM(O23:O27)</f>
        <v>123913.791666667</v>
      </c>
      <c r="P28" s="3" t="n">
        <f aca="false">SUM(P23:P27)</f>
        <v>123913.791666667</v>
      </c>
      <c r="Q28" s="3" t="n">
        <f aca="false">SUM(Q23:Q27)</f>
        <v>131673.791666667</v>
      </c>
      <c r="R28" s="3" t="n">
        <f aca="false">SUM(R23:R27)</f>
        <v>131673.791666667</v>
      </c>
      <c r="S28" s="3" t="n">
        <f aca="false">SUM(S23:S27)</f>
        <v>-82326.2083333333</v>
      </c>
      <c r="T28" s="3" t="n">
        <f aca="false">SUM(T23:T27)</f>
        <v>131673.791666667</v>
      </c>
      <c r="U28" s="3" t="n">
        <f aca="false">SUM(U23:U27)</f>
        <v>131673.791666667</v>
      </c>
      <c r="V28" s="3" t="n">
        <f aca="false">SUM(V23:V27)</f>
        <v>131673.791666667</v>
      </c>
      <c r="W28" s="3" t="n">
        <f aca="false">SUM(W23:W27)</f>
        <v>134895.636458333</v>
      </c>
      <c r="X28" s="3" t="n">
        <f aca="false">SUM(X23:X27)</f>
        <v>82365.6364583333</v>
      </c>
      <c r="Y28" s="3" t="n">
        <f aca="false">SUM(Y23:Y27)</f>
        <v>134895.636458333</v>
      </c>
      <c r="Z28" s="3" t="n">
        <f aca="false">SUM(Z23:Z27)</f>
        <v>134895.636458333</v>
      </c>
      <c r="AA28" s="3" t="n">
        <f aca="false">SUM(AA23:AA27)</f>
        <v>134895.636458333</v>
      </c>
      <c r="AB28" s="3" t="n">
        <f aca="false">SUM(AB23:AB27)</f>
        <v>134895.636458333</v>
      </c>
      <c r="AC28" s="3" t="n">
        <f aca="false">SUM(AC23:AC27)</f>
        <v>134895.636458333</v>
      </c>
      <c r="AD28" s="3" t="n">
        <f aca="false">SUM(AD23:AD27)</f>
        <v>134895.636458333</v>
      </c>
      <c r="AE28" s="3" t="n">
        <f aca="false">SUM(AE23:AE27)</f>
        <v>-85524.3635416667</v>
      </c>
      <c r="AF28" s="3" t="n">
        <f aca="false">SUM(AF23:AF27)</f>
        <v>134895.636458333</v>
      </c>
      <c r="AG28" s="3" t="n">
        <f aca="false">SUM(AG23:AG27)</f>
        <v>134895.636458333</v>
      </c>
      <c r="AH28" s="3" t="n">
        <f aca="false">SUM(AH23:AH27)</f>
        <v>134895.636458333</v>
      </c>
      <c r="AI28" s="3" t="n">
        <f aca="false">SUM(AI23:AI27)</f>
        <v>138195.927369792</v>
      </c>
      <c r="AJ28" s="3" t="n">
        <f aca="false">SUM(AJ23:AJ27)</f>
        <v>84090.0273697917</v>
      </c>
      <c r="AK28" s="3" t="n">
        <f aca="false">SUM(AK23:AK27)</f>
        <v>138195.927369792</v>
      </c>
      <c r="AL28" s="3" t="n">
        <f aca="false">SUM(AL23:AL27)</f>
        <v>138195.927369792</v>
      </c>
      <c r="AM28" s="3" t="n">
        <f aca="false">SUM(AM23:AM27)</f>
        <v>138195.927369792</v>
      </c>
      <c r="AN28" s="3" t="n">
        <f aca="false">SUM(AN23:AN27)</f>
        <v>138195.927369792</v>
      </c>
      <c r="AO28" s="3" t="n">
        <f aca="false">SUM(AO23:AO27)</f>
        <v>138195.927369792</v>
      </c>
      <c r="AP28" s="3" t="n">
        <f aca="false">SUM(AP23:AP27)</f>
        <v>138195.927369792</v>
      </c>
      <c r="AQ28" s="3" t="n">
        <f aca="false">SUM(AQ23:AQ27)</f>
        <v>-88836.6726302083</v>
      </c>
      <c r="AR28" s="3" t="n">
        <f aca="false">SUM(AR23:AR27)</f>
        <v>138195.927369792</v>
      </c>
      <c r="AS28" s="3" t="n">
        <f aca="false">SUM(AS23:AS27)</f>
        <v>138195.927369792</v>
      </c>
      <c r="AT28" s="3" t="n">
        <f aca="false">SUM(AT23:AT27)</f>
        <v>138195.927369792</v>
      </c>
      <c r="AU28" s="3" t="n">
        <f aca="false">SUM(AU23:AU27)</f>
        <v>141576.562554036</v>
      </c>
      <c r="AV28" s="3" t="n">
        <f aca="false">SUM(AV23:AV27)</f>
        <v>85847.4855540364</v>
      </c>
      <c r="AW28" s="3" t="n">
        <f aca="false">SUM(AW23:AW27)</f>
        <v>141576.562554036</v>
      </c>
      <c r="AX28" s="3" t="n">
        <f aca="false">SUM(AX23:AX27)</f>
        <v>141576.562554036</v>
      </c>
      <c r="AY28" s="3" t="n">
        <f aca="false">SUM(AY23:AY27)</f>
        <v>141576.562554036</v>
      </c>
      <c r="AZ28" s="3" t="n">
        <f aca="false">SUM(AZ23:AZ27)</f>
        <v>141576.562554036</v>
      </c>
      <c r="BA28" s="3" t="n">
        <f aca="false">SUM(BA23:BA27)</f>
        <v>141576.562554036</v>
      </c>
      <c r="BB28" s="3" t="n">
        <f aca="false">SUM(BB23:BB27)</f>
        <v>141576.562554036</v>
      </c>
      <c r="BC28" s="3" t="n">
        <f aca="false">SUM(BC23:BC27)</f>
        <v>-92267.0154459636</v>
      </c>
      <c r="BD28" s="3" t="n">
        <f aca="false">SUM(BD23:BD27)</f>
        <v>141576.562554036</v>
      </c>
      <c r="BE28" s="3" t="n">
        <f aca="false">SUM(BE23:BE27)</f>
        <v>141576.562554036</v>
      </c>
      <c r="BF28" s="3" t="n">
        <f aca="false">SUM(BF23:BF27)</f>
        <v>141576.562554036</v>
      </c>
      <c r="BG28" s="3" t="n">
        <f aca="false">SUM(BG23:BG27)</f>
        <v>145039.485727887</v>
      </c>
      <c r="BH28" s="3" t="n">
        <f aca="false">SUM(BH23:BH27)</f>
        <v>87638.5364178873</v>
      </c>
      <c r="BI28" s="3" t="n">
        <f aca="false">SUM(BI23:BI27)</f>
        <v>145039.485727887</v>
      </c>
      <c r="BJ28" s="3" t="n">
        <f aca="false">SUM(BJ23:BJ27)</f>
        <v>145039.485727887</v>
      </c>
      <c r="BK28" s="3" t="n">
        <f aca="false">SUM(BK23:BK27)</f>
        <v>145039.485727887</v>
      </c>
      <c r="BL28" s="3" t="n">
        <f aca="false">SUM(BL23:BL27)</f>
        <v>145039.485727887</v>
      </c>
      <c r="BM28" s="3" t="n">
        <f aca="false">SUM(BM23:BM27)</f>
        <v>145039.485727887</v>
      </c>
      <c r="BN28" s="3" t="n">
        <f aca="false">SUM(BN23:BN27)</f>
        <v>145039.485727887</v>
      </c>
      <c r="BO28" s="3" t="n">
        <f aca="false">SUM(BO23:BO27)</f>
        <v>-95819.3996121127</v>
      </c>
      <c r="BP28" s="3" t="n">
        <f aca="false">SUM(BP23:BP27)</f>
        <v>145039.485727887</v>
      </c>
      <c r="BQ28" s="3" t="n">
        <f aca="false">SUM(BQ23:BQ27)</f>
        <v>145039.485727887</v>
      </c>
      <c r="BR28" s="3" t="n">
        <f aca="false">SUM(BR23:BR27)</f>
        <v>145039.485727887</v>
      </c>
      <c r="BS28" s="3" t="n">
        <f aca="false">SUM(BS23:BS27)</f>
        <v>148586.687254384</v>
      </c>
      <c r="BT28" s="3" t="n">
        <f aca="false">SUM(BT23:BT27)</f>
        <v>89463.7094650845</v>
      </c>
      <c r="BU28" s="3" t="n">
        <f aca="false">SUM(BU23:BU27)</f>
        <v>148586.687254384</v>
      </c>
      <c r="BV28" s="3" t="n">
        <f aca="false">SUM(BV23:BV27)</f>
        <v>148586.687254384</v>
      </c>
      <c r="BW28" s="3" t="n">
        <f aca="false">SUM(BW23:BW27)</f>
        <v>148586.687254384</v>
      </c>
      <c r="BX28" s="3" t="n">
        <f aca="false">SUM(BX23:BX27)</f>
        <v>148586.687254384</v>
      </c>
      <c r="BY28" s="3" t="n">
        <f aca="false">SUM(BY23:BY27)</f>
        <v>148586.687254384</v>
      </c>
      <c r="BZ28" s="3" t="n">
        <f aca="false">SUM(BZ23:BZ27)</f>
        <v>148586.687254384</v>
      </c>
      <c r="CA28" s="3" t="n">
        <f aca="false">SUM(CA23:CA27)</f>
        <v>-99497.9646458156</v>
      </c>
      <c r="CB28" s="3" t="n">
        <f aca="false">SUM(CB23:CB27)</f>
        <v>148586.687254384</v>
      </c>
      <c r="CC28" s="3" t="n">
        <f aca="false">SUM(CC23:CC27)</f>
        <v>148586.687254384</v>
      </c>
      <c r="CD28" s="3" t="n">
        <f aca="false">SUM(CD23:CD27)</f>
        <v>148586.687254384</v>
      </c>
      <c r="CE28" s="3" t="n">
        <f aca="false">SUM(CE23:CE27)</f>
        <v>152220.205250543</v>
      </c>
      <c r="CF28" s="3" t="n">
        <f aca="false">SUM(CF23:CF27)</f>
        <v>91323.5381275641</v>
      </c>
      <c r="CG28" s="3" t="n">
        <f aca="false">SUM(CG23:CG27)</f>
        <v>152220.205250543</v>
      </c>
      <c r="CH28" s="3" t="n">
        <f aca="false">SUM(CH23:CH27)</f>
        <v>152220.205250543</v>
      </c>
      <c r="CI28" s="3" t="n">
        <f aca="false">SUM(CI23:CI27)</f>
        <v>152220.205250543</v>
      </c>
      <c r="CJ28" s="3" t="n">
        <f aca="false">SUM(CJ23:CJ27)</f>
        <v>152220.205250543</v>
      </c>
      <c r="CK28" s="3" t="n">
        <f aca="false">SUM(CK23:CK27)</f>
        <v>152220.205250543</v>
      </c>
      <c r="CL28" s="3" t="n">
        <f aca="false">SUM(CL23:CL27)</f>
        <v>152220.205250543</v>
      </c>
      <c r="CM28" s="3" t="n">
        <f aca="false">SUM(CM23:CM27)</f>
        <v>-103306.986206663</v>
      </c>
      <c r="CN28" s="3" t="n">
        <f aca="false">SUM(CN23:CN27)</f>
        <v>152220.205250543</v>
      </c>
      <c r="CO28" s="3" t="n">
        <f aca="false">SUM(CO23:CO27)</f>
        <v>152220.205250543</v>
      </c>
      <c r="CP28" s="3" t="n">
        <f aca="false">SUM(CP23:CP27)</f>
        <v>152220.205250543</v>
      </c>
      <c r="CQ28" s="3" t="n">
        <f aca="false">SUM(CQ23:CQ27)</f>
        <v>155942.12672105</v>
      </c>
      <c r="CR28" s="3" t="n">
        <f aca="false">SUM(CR23:CR27)</f>
        <v>93218.5595843813</v>
      </c>
      <c r="CS28" s="3" t="n">
        <f aca="false">SUM(CS23:CS27)</f>
        <v>155942.12672105</v>
      </c>
      <c r="CT28" s="3" t="n">
        <f aca="false">SUM(CT23:CT27)</f>
        <v>155942.12672105</v>
      </c>
      <c r="CU28" s="3" t="n">
        <f aca="false">SUM(CU23:CU27)</f>
        <v>155942.12672105</v>
      </c>
      <c r="CV28" s="3" t="n">
        <f aca="false">SUM(CV23:CV27)</f>
        <v>155942.12672105</v>
      </c>
      <c r="CW28" s="3" t="n">
        <f aca="false">SUM(CW23:CW27)</f>
        <v>155942.12672105</v>
      </c>
      <c r="CX28" s="3" t="n">
        <f aca="false">SUM(CX23:CX27)</f>
        <v>155942.12672105</v>
      </c>
      <c r="CY28" s="3" t="n">
        <f aca="false">SUM(CY23:CY27)</f>
        <v>-107250.880479873</v>
      </c>
      <c r="CZ28" s="3" t="n">
        <f aca="false">SUM(CZ23:CZ27)</f>
        <v>155942.12672105</v>
      </c>
      <c r="DA28" s="3" t="n">
        <f aca="false">SUM(DA23:DA27)</f>
        <v>155942.12672105</v>
      </c>
      <c r="DB28" s="3" t="n">
        <f aca="false">SUM(DB23:DB27)</f>
        <v>155942.12672105</v>
      </c>
      <c r="DC28" s="3" t="n">
        <f aca="false">SUM(DC23:DC27)</f>
        <v>159754.588718496</v>
      </c>
      <c r="DD28" s="3" t="n">
        <f aca="false">SUM(DD23:DD27)</f>
        <v>95149.3145677277</v>
      </c>
      <c r="DE28" s="3" t="n">
        <f aca="false">SUM(DE23:DE27)</f>
        <v>159754.588718496</v>
      </c>
      <c r="DF28" s="3" t="n">
        <f aca="false">SUM(DF23:DF27)</f>
        <v>159754.588718496</v>
      </c>
      <c r="DG28" s="3" t="n">
        <f aca="false">SUM(DG23:DG27)</f>
        <v>159754.588718496</v>
      </c>
      <c r="DH28" s="3" t="n">
        <f aca="false">SUM(DH23:DH27)</f>
        <v>159754.588718496</v>
      </c>
      <c r="DI28" s="3" t="n">
        <f aca="false">SUM(DI23:DI27)</f>
        <v>159754.588718496</v>
      </c>
      <c r="DJ28" s="3" t="n">
        <f aca="false">SUM(DJ23:DJ27)</f>
        <v>159754.588718496</v>
      </c>
      <c r="DK28" s="3" t="n">
        <f aca="false">SUM(DK23:DK27)</f>
        <v>-111334.208698454</v>
      </c>
      <c r="DL28" s="3" t="n">
        <f aca="false">SUM(DL23:DL27)</f>
        <v>159754.588718496</v>
      </c>
      <c r="DM28" s="3" t="n">
        <f aca="false">SUM(DM23:DM27)</f>
        <v>159754.588718496</v>
      </c>
      <c r="DN28" s="3" t="n">
        <f aca="false">SUM(DN23:DN27)</f>
        <v>159754.588718496</v>
      </c>
      <c r="DO28" s="3" t="n">
        <f aca="false">SUM(DO23:DO27)</f>
        <v>163659.779530761</v>
      </c>
      <c r="DP28" s="3" t="n">
        <f aca="false">SUM(DP23:DP27)</f>
        <v>97116.3471554699</v>
      </c>
      <c r="DQ28" s="3" t="n">
        <f aca="false">SUM(DQ23:DQ27)</f>
        <v>163659.779530761</v>
      </c>
      <c r="DR28" s="3" t="n">
        <f aca="false">SUM(DR23:DR27)</f>
        <v>163659.779530761</v>
      </c>
      <c r="DS28" s="3" t="n">
        <f aca="false">SUM(DS23:DS27)</f>
        <v>163659.779530761</v>
      </c>
      <c r="DT28" s="3" t="n">
        <f aca="false">SUM(DT23:DT27)</f>
        <v>163659.779530761</v>
      </c>
      <c r="DU28" s="3" t="n">
        <f aca="false">SUM(DU23:DU27)</f>
        <v>163659.779530761</v>
      </c>
      <c r="DV28" s="3" t="n">
        <f aca="false">SUM(DV23:DV27)</f>
        <v>163659.779530761</v>
      </c>
      <c r="DW28" s="3" t="n">
        <f aca="false">SUM(DW23:DW27)</f>
        <v>-115561.681808697</v>
      </c>
      <c r="DX28" s="3" t="n">
        <f aca="false">SUM(DX23:DX27)</f>
        <v>163659.779530761</v>
      </c>
      <c r="DY28" s="3" t="n">
        <f aca="false">SUM(DY23:DY27)</f>
        <v>163659.779530761</v>
      </c>
      <c r="DZ28" s="3" t="n">
        <f aca="false">SUM(DZ23:DZ27)</f>
        <v>163659.779530761</v>
      </c>
      <c r="EA28" s="3" t="n">
        <f aca="false">SUM(EA23:EA27)</f>
        <v>167659.939896162</v>
      </c>
      <c r="EB28" s="3" t="n">
        <f aca="false">SUM(EB23:EB27)</f>
        <v>99120.2045496121</v>
      </c>
      <c r="EC28" s="3" t="n">
        <f aca="false">SUM(EC23:EC27)</f>
        <v>167659.939896162</v>
      </c>
      <c r="ED28" s="3" t="n">
        <f aca="false">SUM(ED23:ED27)</f>
        <v>167659.939896162</v>
      </c>
      <c r="EE28" s="3" t="n">
        <f aca="false">SUM(EE23:EE27)</f>
        <v>167659.939896162</v>
      </c>
      <c r="EF28" s="3" t="n">
        <f aca="false">SUM(EF23:EF27)</f>
        <v>167659.939896162</v>
      </c>
      <c r="EG28" s="3" t="n">
        <f aca="false">SUM(EG23:EG27)</f>
        <v>167659.939896162</v>
      </c>
      <c r="EH28" s="3" t="n">
        <f aca="false">SUM(EH23:EH27)</f>
        <v>167659.939896162</v>
      </c>
      <c r="EI28" s="3" t="n">
        <f aca="false">SUM(EI23:EI27)</f>
        <v>-119938.16528348</v>
      </c>
      <c r="EJ28" s="3" t="n">
        <f aca="false">SUM(EJ23:EJ27)</f>
        <v>167659.939896162</v>
      </c>
      <c r="EK28" s="3" t="n">
        <f aca="false">SUM(EK23:EK27)</f>
        <v>167659.939896162</v>
      </c>
      <c r="EL28" s="3" t="n">
        <f aca="false">SUM(EL23:EL27)</f>
        <v>167659.939896162</v>
      </c>
    </row>
    <row r="29" customFormat="false" ht="15" hidden="false" customHeight="false" outlineLevel="0" collapsed="false">
      <c r="C29" s="0" t="s">
        <v>32</v>
      </c>
      <c r="D29" s="4" t="n">
        <v>0.02</v>
      </c>
      <c r="I29" s="3" t="s">
        <v>33</v>
      </c>
      <c r="AN29" s="0" t="n">
        <v>-64000</v>
      </c>
    </row>
    <row r="30" customFormat="false" ht="15" hidden="false" customHeight="false" outlineLevel="0" collapsed="false">
      <c r="C30" s="0" t="s">
        <v>34</v>
      </c>
      <c r="D30" s="5" t="n">
        <f aca="false">D26*(1+$D$29)</f>
        <v>18870000</v>
      </c>
      <c r="I30" s="3" t="s">
        <v>35</v>
      </c>
      <c r="AN30" s="0" t="n">
        <v>-120000</v>
      </c>
    </row>
    <row r="31" customFormat="false" ht="15" hidden="false" customHeight="false" outlineLevel="0" collapsed="false">
      <c r="C31" s="0" t="s">
        <v>36</v>
      </c>
      <c r="D31" s="2" t="n">
        <v>5</v>
      </c>
      <c r="H31" s="4" t="n">
        <v>0.02</v>
      </c>
      <c r="I31" s="3" t="s">
        <v>37</v>
      </c>
      <c r="K31" s="3" t="n">
        <f aca="false">-$D$45/12*(1+$H$31)^(K15-1)</f>
        <v>-2416.66666666667</v>
      </c>
      <c r="L31" s="3" t="n">
        <f aca="false">-$D$45/12*(1+$H$31)^(L15-1)</f>
        <v>-2416.66666666667</v>
      </c>
      <c r="M31" s="3" t="n">
        <f aca="false">-$D$45/12*(1+$H$31)^(M15-1)</f>
        <v>-2416.66666666667</v>
      </c>
      <c r="N31" s="3" t="n">
        <f aca="false">-$D$45/12*(1+$H$31)^(N15-1)</f>
        <v>-2416.66666666667</v>
      </c>
      <c r="O31" s="3" t="n">
        <f aca="false">-$D$45/12*(1+$H$31)^(O15-1)</f>
        <v>-2416.66666666667</v>
      </c>
      <c r="P31" s="3" t="n">
        <f aca="false">-$D$45/12*(1+$H$31)^(P15-1)</f>
        <v>-2416.66666666667</v>
      </c>
      <c r="Q31" s="3" t="n">
        <f aca="false">-$D$45/12*(1+$H$31)^(Q15-1)</f>
        <v>-2416.66666666667</v>
      </c>
      <c r="R31" s="3" t="n">
        <f aca="false">-$D$45/12*(1+$H$31)^(R15-1)</f>
        <v>-2416.66666666667</v>
      </c>
      <c r="S31" s="3" t="n">
        <f aca="false">-$D$45/12*(1+$H$31)^(S15-1)</f>
        <v>-2416.66666666667</v>
      </c>
      <c r="T31" s="3" t="n">
        <f aca="false">-$D$45/12*(1+$H$31)^(T15-1)</f>
        <v>-2416.66666666667</v>
      </c>
      <c r="U31" s="3" t="n">
        <f aca="false">-$D$45/12*(1+$H$31)^(U15-1)</f>
        <v>-2416.66666666667</v>
      </c>
      <c r="V31" s="3" t="n">
        <f aca="false">-$D$45/12*(1+$H$31)^(V15-1)</f>
        <v>-2416.66666666667</v>
      </c>
      <c r="W31" s="3" t="n">
        <f aca="false">-$D$45/12*(1+$H$31)^(W15-1)</f>
        <v>-2465</v>
      </c>
      <c r="X31" s="3" t="n">
        <f aca="false">-$D$45/12*(1+$H$31)^(X15-1)</f>
        <v>-2465</v>
      </c>
      <c r="Y31" s="3" t="n">
        <f aca="false">-$D$45/12*(1+$H$31)^(Y15-1)</f>
        <v>-2465</v>
      </c>
      <c r="Z31" s="3" t="n">
        <f aca="false">-$D$45/12*(1+$H$31)^(Z15-1)</f>
        <v>-2465</v>
      </c>
      <c r="AA31" s="3" t="n">
        <f aca="false">-$D$45/12*(1+$H$31)^(AA15-1)</f>
        <v>-2465</v>
      </c>
      <c r="AB31" s="3" t="n">
        <f aca="false">-$D$45/12*(1+$H$31)^(AB15-1)</f>
        <v>-2465</v>
      </c>
      <c r="AC31" s="3" t="n">
        <f aca="false">-$D$45/12*(1+$H$31)^(AC15-1)</f>
        <v>-2465</v>
      </c>
      <c r="AD31" s="3" t="n">
        <f aca="false">-$D$45/12*(1+$H$31)^(AD15-1)</f>
        <v>-2465</v>
      </c>
      <c r="AE31" s="3" t="n">
        <f aca="false">-$D$45/12*(1+$H$31)^(AE15-1)</f>
        <v>-2465</v>
      </c>
      <c r="AF31" s="3" t="n">
        <f aca="false">-$D$45/12*(1+$H$31)^(AF15-1)</f>
        <v>-2465</v>
      </c>
      <c r="AG31" s="3" t="n">
        <f aca="false">-$D$45/12*(1+$H$31)^(AG15-1)</f>
        <v>-2465</v>
      </c>
      <c r="AH31" s="3" t="n">
        <f aca="false">-$D$45/12*(1+$H$31)^(AH15-1)</f>
        <v>-2465</v>
      </c>
      <c r="AI31" s="3" t="n">
        <f aca="false">-$D$45/12*(1+$H$31)^(AI15-1)</f>
        <v>-2514.3</v>
      </c>
      <c r="AJ31" s="3" t="n">
        <f aca="false">-$D$45/12*(1+$H$31)^(AJ15-1)</f>
        <v>-2514.3</v>
      </c>
      <c r="AK31" s="3" t="n">
        <f aca="false">-$D$45/12*(1+$H$31)^(AK15-1)</f>
        <v>-2514.3</v>
      </c>
      <c r="AL31" s="3" t="n">
        <f aca="false">-$D$45/12*(1+$H$31)^(AL15-1)</f>
        <v>-2514.3</v>
      </c>
      <c r="AM31" s="3" t="n">
        <f aca="false">-$D$45/12*(1+$H$31)^(AM15-1)</f>
        <v>-2514.3</v>
      </c>
      <c r="AN31" s="3" t="n">
        <f aca="false">-$D$45/12*(1+$H$31)^(AN15-1)</f>
        <v>-2514.3</v>
      </c>
      <c r="AO31" s="3" t="n">
        <f aca="false">-$D$45/12*(1+$H$31)^(AO15-1)</f>
        <v>-2514.3</v>
      </c>
      <c r="AP31" s="3" t="n">
        <f aca="false">-$D$45/12*(1+$H$31)^(AP15-1)</f>
        <v>-2514.3</v>
      </c>
      <c r="AQ31" s="3" t="n">
        <f aca="false">-$D$45/12*(1+$H$31)^(AQ15-1)</f>
        <v>-2514.3</v>
      </c>
      <c r="AR31" s="3" t="n">
        <f aca="false">-$D$45/12*(1+$H$31)^(AR15-1)</f>
        <v>-2514.3</v>
      </c>
      <c r="AS31" s="3" t="n">
        <f aca="false">-$D$45/12*(1+$H$31)^(AS15-1)</f>
        <v>-2514.3</v>
      </c>
      <c r="AT31" s="3" t="n">
        <f aca="false">-$D$45/12*(1+$H$31)^(AT15-1)</f>
        <v>-2514.3</v>
      </c>
      <c r="AU31" s="3" t="n">
        <f aca="false">-$D$45/12*(1+$H$31)^(AU15-1)</f>
        <v>-2564.586</v>
      </c>
      <c r="AV31" s="3" t="n">
        <f aca="false">-$D$45/12*(1+$H$31)^(AV15-1)</f>
        <v>-2564.586</v>
      </c>
      <c r="AW31" s="3" t="n">
        <f aca="false">-$D$45/12*(1+$H$31)^(AW15-1)</f>
        <v>-2564.586</v>
      </c>
      <c r="AX31" s="3" t="n">
        <f aca="false">-$D$45/12*(1+$H$31)^(AX15-1)</f>
        <v>-2564.586</v>
      </c>
      <c r="AY31" s="3" t="n">
        <f aca="false">-$D$45/12*(1+$H$31)^(AY15-1)</f>
        <v>-2564.586</v>
      </c>
      <c r="AZ31" s="3" t="n">
        <f aca="false">-$D$45/12*(1+$H$31)^(AZ15-1)</f>
        <v>-2564.586</v>
      </c>
      <c r="BA31" s="3" t="n">
        <f aca="false">-$D$45/12*(1+$H$31)^(BA15-1)</f>
        <v>-2564.586</v>
      </c>
      <c r="BB31" s="3" t="n">
        <f aca="false">-$D$45/12*(1+$H$31)^(BB15-1)</f>
        <v>-2564.586</v>
      </c>
      <c r="BC31" s="3" t="n">
        <f aca="false">-$D$45/12*(1+$H$31)^(BC15-1)</f>
        <v>-2564.586</v>
      </c>
      <c r="BD31" s="3" t="n">
        <f aca="false">-$D$45/12*(1+$H$31)^(BD15-1)</f>
        <v>-2564.586</v>
      </c>
      <c r="BE31" s="3" t="n">
        <f aca="false">-$D$45/12*(1+$H$31)^(BE15-1)</f>
        <v>-2564.586</v>
      </c>
      <c r="BF31" s="3" t="n">
        <f aca="false">-$D$45/12*(1+$H$31)^(BF15-1)</f>
        <v>-2564.586</v>
      </c>
      <c r="BG31" s="3" t="n">
        <f aca="false">-$D$45/12*(1+$H$31)^(BG15-1)</f>
        <v>-2615.87772</v>
      </c>
      <c r="BH31" s="3" t="n">
        <f aca="false">-$D$45/12*(1+$H$31)^(BH15-1)</f>
        <v>-2615.87772</v>
      </c>
      <c r="BI31" s="3" t="n">
        <f aca="false">-$D$45/12*(1+$H$31)^(BI15-1)</f>
        <v>-2615.87772</v>
      </c>
      <c r="BJ31" s="3" t="n">
        <f aca="false">-$D$45/12*(1+$H$31)^(BJ15-1)</f>
        <v>-2615.87772</v>
      </c>
      <c r="BK31" s="3" t="n">
        <f aca="false">-$D$45/12*(1+$H$31)^(BK15-1)</f>
        <v>-2615.87772</v>
      </c>
      <c r="BL31" s="3" t="n">
        <f aca="false">-$D$45/12*(1+$H$31)^(BL15-1)</f>
        <v>-2615.87772</v>
      </c>
      <c r="BM31" s="3" t="n">
        <f aca="false">-$D$45/12*(1+$H$31)^(BM15-1)</f>
        <v>-2615.87772</v>
      </c>
      <c r="BN31" s="3" t="n">
        <f aca="false">-$D$45/12*(1+$H$31)^(BN15-1)</f>
        <v>-2615.87772</v>
      </c>
      <c r="BO31" s="3" t="n">
        <f aca="false">-$D$45/12*(1+$H$31)^(BO15-1)</f>
        <v>-2615.87772</v>
      </c>
      <c r="BP31" s="3" t="n">
        <f aca="false">-$D$45/12*(1+$H$31)^(BP15-1)</f>
        <v>-2615.87772</v>
      </c>
      <c r="BQ31" s="3" t="n">
        <f aca="false">-$D$45/12*(1+$H$31)^(BQ15-1)</f>
        <v>-2615.87772</v>
      </c>
      <c r="BR31" s="3" t="n">
        <f aca="false">-$D$45/12*(1+$H$31)^(BR15-1)</f>
        <v>-2615.87772</v>
      </c>
      <c r="BS31" s="3" t="n">
        <f aca="false">-$D$45/12*(1+$H$31)^(BS15-1)</f>
        <v>-2668.1952744</v>
      </c>
      <c r="BT31" s="3" t="n">
        <f aca="false">-$D$45/12*(1+$H$31)^(BT15-1)</f>
        <v>-2668.1952744</v>
      </c>
      <c r="BU31" s="3" t="n">
        <f aca="false">-$D$45/12*(1+$H$31)^(BU15-1)</f>
        <v>-2668.1952744</v>
      </c>
      <c r="BV31" s="3" t="n">
        <f aca="false">-$D$45/12*(1+$H$31)^(BV15-1)</f>
        <v>-2668.1952744</v>
      </c>
      <c r="BW31" s="3" t="n">
        <f aca="false">-$D$45/12*(1+$H$31)^(BW15-1)</f>
        <v>-2668.1952744</v>
      </c>
      <c r="BX31" s="3" t="n">
        <f aca="false">-$D$45/12*(1+$H$31)^(BX15-1)</f>
        <v>-2668.1952744</v>
      </c>
      <c r="BY31" s="3" t="n">
        <f aca="false">-$D$45/12*(1+$H$31)^(BY15-1)</f>
        <v>-2668.1952744</v>
      </c>
      <c r="BZ31" s="3" t="n">
        <f aca="false">-$D$45/12*(1+$H$31)^(BZ15-1)</f>
        <v>-2668.1952744</v>
      </c>
      <c r="CA31" s="3" t="n">
        <f aca="false">-$D$45/12*(1+$H$31)^(CA15-1)</f>
        <v>-2668.1952744</v>
      </c>
      <c r="CB31" s="3" t="n">
        <f aca="false">-$D$45/12*(1+$H$31)^(CB15-1)</f>
        <v>-2668.1952744</v>
      </c>
      <c r="CC31" s="3" t="n">
        <f aca="false">-$D$45/12*(1+$H$31)^(CC15-1)</f>
        <v>-2668.1952744</v>
      </c>
      <c r="CD31" s="3" t="n">
        <f aca="false">-$D$45/12*(1+$H$31)^(CD15-1)</f>
        <v>-2668.1952744</v>
      </c>
      <c r="CE31" s="3" t="n">
        <f aca="false">-$D$45/12*(1+$H$31)^(CE15-1)</f>
        <v>-2721.559179888</v>
      </c>
      <c r="CF31" s="3" t="n">
        <f aca="false">-$D$45/12*(1+$H$31)^(CF15-1)</f>
        <v>-2721.559179888</v>
      </c>
      <c r="CG31" s="3" t="n">
        <f aca="false">-$D$45/12*(1+$H$31)^(CG15-1)</f>
        <v>-2721.559179888</v>
      </c>
      <c r="CH31" s="3" t="n">
        <f aca="false">-$D$45/12*(1+$H$31)^(CH15-1)</f>
        <v>-2721.559179888</v>
      </c>
      <c r="CI31" s="3" t="n">
        <f aca="false">-$D$45/12*(1+$H$31)^(CI15-1)</f>
        <v>-2721.559179888</v>
      </c>
      <c r="CJ31" s="3" t="n">
        <f aca="false">-$D$45/12*(1+$H$31)^(CJ15-1)</f>
        <v>-2721.559179888</v>
      </c>
      <c r="CK31" s="3" t="n">
        <f aca="false">-$D$45/12*(1+$H$31)^(CK15-1)</f>
        <v>-2721.559179888</v>
      </c>
      <c r="CL31" s="3" t="n">
        <f aca="false">-$D$45/12*(1+$H$31)^(CL15-1)</f>
        <v>-2721.559179888</v>
      </c>
      <c r="CM31" s="3" t="n">
        <f aca="false">-$D$45/12*(1+$H$31)^(CM15-1)</f>
        <v>-2721.559179888</v>
      </c>
      <c r="CN31" s="3" t="n">
        <f aca="false">-$D$45/12*(1+$H$31)^(CN15-1)</f>
        <v>-2721.559179888</v>
      </c>
      <c r="CO31" s="3" t="n">
        <f aca="false">-$D$45/12*(1+$H$31)^(CO15-1)</f>
        <v>-2721.559179888</v>
      </c>
      <c r="CP31" s="3" t="n">
        <f aca="false">-$D$45/12*(1+$H$31)^(CP15-1)</f>
        <v>-2721.559179888</v>
      </c>
      <c r="CQ31" s="3" t="n">
        <f aca="false">-$D$45/12*(1+$H$31)^(CQ15-1)</f>
        <v>-2775.99036348576</v>
      </c>
      <c r="CR31" s="3" t="n">
        <f aca="false">-$D$45/12*(1+$H$31)^(CR15-1)</f>
        <v>-2775.99036348576</v>
      </c>
      <c r="CS31" s="3" t="n">
        <f aca="false">-$D$45/12*(1+$H$31)^(CS15-1)</f>
        <v>-2775.99036348576</v>
      </c>
      <c r="CT31" s="3" t="n">
        <f aca="false">-$D$45/12*(1+$H$31)^(CT15-1)</f>
        <v>-2775.99036348576</v>
      </c>
      <c r="CU31" s="3" t="n">
        <f aca="false">-$D$45/12*(1+$H$31)^(CU15-1)</f>
        <v>-2775.99036348576</v>
      </c>
      <c r="CV31" s="3" t="n">
        <f aca="false">-$D$45/12*(1+$H$31)^(CV15-1)</f>
        <v>-2775.99036348576</v>
      </c>
      <c r="CW31" s="3" t="n">
        <f aca="false">-$D$45/12*(1+$H$31)^(CW15-1)</f>
        <v>-2775.99036348576</v>
      </c>
      <c r="CX31" s="3" t="n">
        <f aca="false">-$D$45/12*(1+$H$31)^(CX15-1)</f>
        <v>-2775.99036348576</v>
      </c>
      <c r="CY31" s="3" t="n">
        <f aca="false">-$D$45/12*(1+$H$31)^(CY15-1)</f>
        <v>-2775.99036348576</v>
      </c>
      <c r="CZ31" s="3" t="n">
        <f aca="false">-$D$45/12*(1+$H$31)^(CZ15-1)</f>
        <v>-2775.99036348576</v>
      </c>
      <c r="DA31" s="3" t="n">
        <f aca="false">-$D$45/12*(1+$H$31)^(DA15-1)</f>
        <v>-2775.99036348576</v>
      </c>
      <c r="DB31" s="3" t="n">
        <f aca="false">-$D$45/12*(1+$H$31)^(DB15-1)</f>
        <v>-2775.99036348576</v>
      </c>
      <c r="DC31" s="3" t="n">
        <f aca="false">-$D$45/12*(1+$H$31)^(DC15-1)</f>
        <v>-2831.51017075548</v>
      </c>
      <c r="DD31" s="3" t="n">
        <f aca="false">-$D$45/12*(1+$H$31)^(DD15-1)</f>
        <v>-2831.51017075548</v>
      </c>
      <c r="DE31" s="3" t="n">
        <f aca="false">-$D$45/12*(1+$H$31)^(DE15-1)</f>
        <v>-2831.51017075548</v>
      </c>
      <c r="DF31" s="3" t="n">
        <f aca="false">-$D$45/12*(1+$H$31)^(DF15-1)</f>
        <v>-2831.51017075548</v>
      </c>
      <c r="DG31" s="3" t="n">
        <f aca="false">-$D$45/12*(1+$H$31)^(DG15-1)</f>
        <v>-2831.51017075548</v>
      </c>
      <c r="DH31" s="3" t="n">
        <f aca="false">-$D$45/12*(1+$H$31)^(DH15-1)</f>
        <v>-2831.51017075548</v>
      </c>
      <c r="DI31" s="3" t="n">
        <f aca="false">-$D$45/12*(1+$H$31)^(DI15-1)</f>
        <v>-2831.51017075548</v>
      </c>
      <c r="DJ31" s="3" t="n">
        <f aca="false">-$D$45/12*(1+$H$31)^(DJ15-1)</f>
        <v>-2831.51017075548</v>
      </c>
      <c r="DK31" s="3" t="n">
        <f aca="false">-$D$45/12*(1+$H$31)^(DK15-1)</f>
        <v>-2831.51017075548</v>
      </c>
      <c r="DL31" s="3" t="n">
        <f aca="false">-$D$45/12*(1+$H$31)^(DL15-1)</f>
        <v>-2831.51017075548</v>
      </c>
      <c r="DM31" s="3" t="n">
        <f aca="false">-$D$45/12*(1+$H$31)^(DM15-1)</f>
        <v>-2831.51017075548</v>
      </c>
      <c r="DN31" s="3" t="n">
        <f aca="false">-$D$45/12*(1+$H$31)^(DN15-1)</f>
        <v>-2831.51017075548</v>
      </c>
      <c r="DO31" s="3" t="n">
        <f aca="false">-$D$45/12*(1+$H$31)^(DO15-1)</f>
        <v>-2888.14037417059</v>
      </c>
      <c r="DP31" s="3" t="n">
        <f aca="false">-$D$45/12*(1+$H$31)^(DP15-1)</f>
        <v>-2888.14037417059</v>
      </c>
      <c r="DQ31" s="3" t="n">
        <f aca="false">-$D$45/12*(1+$H$31)^(DQ15-1)</f>
        <v>-2888.14037417059</v>
      </c>
      <c r="DR31" s="3" t="n">
        <f aca="false">-$D$45/12*(1+$H$31)^(DR15-1)</f>
        <v>-2888.14037417059</v>
      </c>
      <c r="DS31" s="3" t="n">
        <f aca="false">-$D$45/12*(1+$H$31)^(DS15-1)</f>
        <v>-2888.14037417059</v>
      </c>
      <c r="DT31" s="3" t="n">
        <f aca="false">-$D$45/12*(1+$H$31)^(DT15-1)</f>
        <v>-2888.14037417059</v>
      </c>
      <c r="DU31" s="3" t="n">
        <f aca="false">-$D$45/12*(1+$H$31)^(DU15-1)</f>
        <v>-2888.14037417059</v>
      </c>
      <c r="DV31" s="3" t="n">
        <f aca="false">-$D$45/12*(1+$H$31)^(DV15-1)</f>
        <v>-2888.14037417059</v>
      </c>
      <c r="DW31" s="3" t="n">
        <f aca="false">-$D$45/12*(1+$H$31)^(DW15-1)</f>
        <v>-2888.14037417059</v>
      </c>
      <c r="DX31" s="3" t="n">
        <f aca="false">-$D$45/12*(1+$H$31)^(DX15-1)</f>
        <v>-2888.14037417059</v>
      </c>
      <c r="DY31" s="3" t="n">
        <f aca="false">-$D$45/12*(1+$H$31)^(DY15-1)</f>
        <v>-2888.14037417059</v>
      </c>
      <c r="DZ31" s="3" t="n">
        <f aca="false">-$D$45/12*(1+$H$31)^(DZ15-1)</f>
        <v>-2888.14037417059</v>
      </c>
      <c r="EA31" s="3" t="n">
        <f aca="false">-$D$45/12*(1+$H$31)^(EA15-1)</f>
        <v>-2945.903181654</v>
      </c>
      <c r="EB31" s="3" t="n">
        <f aca="false">-$D$45/12*(1+$H$31)^(EB15-1)</f>
        <v>-2945.903181654</v>
      </c>
      <c r="EC31" s="3" t="n">
        <f aca="false">-$D$45/12*(1+$H$31)^(EC15-1)</f>
        <v>-2945.903181654</v>
      </c>
      <c r="ED31" s="3" t="n">
        <f aca="false">-$D$45/12*(1+$H$31)^(ED15-1)</f>
        <v>-2945.903181654</v>
      </c>
      <c r="EE31" s="3" t="n">
        <f aca="false">-$D$45/12*(1+$H$31)^(EE15-1)</f>
        <v>-2945.903181654</v>
      </c>
      <c r="EF31" s="3" t="n">
        <f aca="false">-$D$45/12*(1+$H$31)^(EF15-1)</f>
        <v>-2945.903181654</v>
      </c>
      <c r="EG31" s="3" t="n">
        <f aca="false">-$D$45/12*(1+$H$31)^(EG15-1)</f>
        <v>-2945.903181654</v>
      </c>
      <c r="EH31" s="3" t="n">
        <f aca="false">-$D$45/12*(1+$H$31)^(EH15-1)</f>
        <v>-2945.903181654</v>
      </c>
      <c r="EI31" s="3" t="n">
        <f aca="false">-$D$45/12*(1+$H$31)^(EI15-1)</f>
        <v>-2945.903181654</v>
      </c>
      <c r="EJ31" s="3" t="n">
        <f aca="false">-$D$45/12*(1+$H$31)^(EJ15-1)</f>
        <v>-2945.903181654</v>
      </c>
      <c r="EK31" s="3" t="n">
        <f aca="false">-$D$45/12*(1+$H$31)^(EK15-1)</f>
        <v>-2945.903181654</v>
      </c>
      <c r="EL31" s="3" t="n">
        <f aca="false">-$D$45/12*(1+$H$31)^(EL15-1)</f>
        <v>-2945.903181654</v>
      </c>
    </row>
    <row r="32" customFormat="false" ht="15" hidden="false" customHeight="false" outlineLevel="0" collapsed="false">
      <c r="C32" s="0" t="s">
        <v>38</v>
      </c>
      <c r="D32" s="0" t="str">
        <f aca="false">D20</f>
        <v>January</v>
      </c>
    </row>
    <row r="33" customFormat="false" ht="15" hidden="false" customHeight="false" outlineLevel="0" collapsed="false">
      <c r="C33" s="0" t="s">
        <v>39</v>
      </c>
      <c r="D33" s="2" t="n">
        <f aca="false">YEAR(D19)+ROUND(D31,0)</f>
        <v>2031</v>
      </c>
      <c r="I33" s="3" t="s">
        <v>40</v>
      </c>
      <c r="K33" s="3" t="n">
        <f aca="false">(K15&lt;=ROUND($D$31,0))*SUM(K28:K31)</f>
        <v>121497.125</v>
      </c>
      <c r="L33" s="3" t="n">
        <f aca="false">(L15&lt;=ROUND($D$31,0))*SUM(L28:L31)</f>
        <v>70497.125</v>
      </c>
      <c r="M33" s="3" t="n">
        <f aca="false">(M15&lt;=ROUND($D$31,0))*SUM(M28:M31)</f>
        <v>121497.125</v>
      </c>
      <c r="N33" s="3" t="n">
        <f aca="false">(N15&lt;=ROUND($D$31,0))*SUM(N28:N31)</f>
        <v>121497.125</v>
      </c>
      <c r="O33" s="3" t="n">
        <f aca="false">(O15&lt;=ROUND($D$31,0))*SUM(O28:O31)</f>
        <v>121497.125</v>
      </c>
      <c r="P33" s="3" t="n">
        <f aca="false">(P15&lt;=ROUND($D$31,0))*SUM(P28:P31)</f>
        <v>121497.125</v>
      </c>
      <c r="Q33" s="3" t="n">
        <f aca="false">(Q15&lt;=ROUND($D$31,0))*SUM(Q28:Q31)</f>
        <v>129257.125</v>
      </c>
      <c r="R33" s="3" t="n">
        <f aca="false">(R15&lt;=ROUND($D$31,0))*SUM(R28:R31)</f>
        <v>129257.125</v>
      </c>
      <c r="S33" s="3" t="n">
        <f aca="false">(S15&lt;=ROUND($D$31,0))*SUM(S28:S31)</f>
        <v>-84742.875</v>
      </c>
      <c r="T33" s="3" t="n">
        <f aca="false">(T15&lt;=ROUND($D$31,0))*SUM(T28:T31)</f>
        <v>129257.125</v>
      </c>
      <c r="U33" s="3" t="n">
        <f aca="false">(U15&lt;=ROUND($D$31,0))*SUM(U28:U31)</f>
        <v>129257.125</v>
      </c>
      <c r="V33" s="3" t="n">
        <f aca="false">(V15&lt;=ROUND($D$31,0))*SUM(V28:V31)</f>
        <v>129257.125</v>
      </c>
      <c r="W33" s="3" t="n">
        <f aca="false">(W15&lt;=ROUND($D$31,0))*SUM(W28:W31)</f>
        <v>132430.636458333</v>
      </c>
      <c r="X33" s="3" t="n">
        <f aca="false">(X15&lt;=ROUND($D$31,0))*SUM(X28:X31)</f>
        <v>79900.6364583333</v>
      </c>
      <c r="Y33" s="3" t="n">
        <f aca="false">(Y15&lt;=ROUND($D$31,0))*SUM(Y28:Y31)</f>
        <v>132430.636458333</v>
      </c>
      <c r="Z33" s="3" t="n">
        <f aca="false">(Z15&lt;=ROUND($D$31,0))*SUM(Z28:Z31)</f>
        <v>132430.636458333</v>
      </c>
      <c r="AA33" s="3" t="n">
        <f aca="false">(AA15&lt;=ROUND($D$31,0))*SUM(AA28:AA31)</f>
        <v>132430.636458333</v>
      </c>
      <c r="AB33" s="3" t="n">
        <f aca="false">(AB15&lt;=ROUND($D$31,0))*SUM(AB28:AB31)</f>
        <v>132430.636458333</v>
      </c>
      <c r="AC33" s="3" t="n">
        <f aca="false">(AC15&lt;=ROUND($D$31,0))*SUM(AC28:AC31)</f>
        <v>132430.636458333</v>
      </c>
      <c r="AD33" s="3" t="n">
        <f aca="false">(AD15&lt;=ROUND($D$31,0))*SUM(AD28:AD31)</f>
        <v>132430.636458333</v>
      </c>
      <c r="AE33" s="3" t="n">
        <f aca="false">(AE15&lt;=ROUND($D$31,0))*SUM(AE28:AE31)</f>
        <v>-87989.3635416667</v>
      </c>
      <c r="AF33" s="3" t="n">
        <f aca="false">(AF15&lt;=ROUND($D$31,0))*SUM(AF28:AF31)</f>
        <v>132430.636458333</v>
      </c>
      <c r="AG33" s="3" t="n">
        <f aca="false">(AG15&lt;=ROUND($D$31,0))*SUM(AG28:AG31)</f>
        <v>132430.636458333</v>
      </c>
      <c r="AH33" s="3" t="n">
        <f aca="false">(AH15&lt;=ROUND($D$31,0))*SUM(AH28:AH31)</f>
        <v>132430.636458333</v>
      </c>
      <c r="AI33" s="3" t="n">
        <f aca="false">(AI15&lt;=ROUND($D$31,0))*SUM(AI28:AI31)</f>
        <v>135681.627369792</v>
      </c>
      <c r="AJ33" s="3" t="n">
        <f aca="false">(AJ15&lt;=ROUND($D$31,0))*SUM(AJ28:AJ31)</f>
        <v>81575.7273697917</v>
      </c>
      <c r="AK33" s="3" t="n">
        <f aca="false">(AK15&lt;=ROUND($D$31,0))*SUM(AK28:AK31)</f>
        <v>135681.627369792</v>
      </c>
      <c r="AL33" s="3" t="n">
        <f aca="false">(AL15&lt;=ROUND($D$31,0))*SUM(AL28:AL31)</f>
        <v>135681.627369792</v>
      </c>
      <c r="AM33" s="3" t="n">
        <f aca="false">(AM15&lt;=ROUND($D$31,0))*SUM(AM28:AM31)</f>
        <v>135681.627369792</v>
      </c>
      <c r="AN33" s="3" t="n">
        <f aca="false">(AN15&lt;=ROUND($D$31,0))*SUM(AN28:AN31)</f>
        <v>-48318.3726302083</v>
      </c>
      <c r="AO33" s="3" t="n">
        <f aca="false">(AO15&lt;=ROUND($D$31,0))*SUM(AO28:AO31)</f>
        <v>135681.627369792</v>
      </c>
      <c r="AP33" s="3" t="n">
        <f aca="false">(AP15&lt;=ROUND($D$31,0))*SUM(AP28:AP31)</f>
        <v>135681.627369792</v>
      </c>
      <c r="AQ33" s="3" t="n">
        <f aca="false">(AQ15&lt;=ROUND($D$31,0))*SUM(AQ28:AQ31)</f>
        <v>-91350.9726302083</v>
      </c>
      <c r="AR33" s="3" t="n">
        <f aca="false">(AR15&lt;=ROUND($D$31,0))*SUM(AR28:AR31)</f>
        <v>135681.627369792</v>
      </c>
      <c r="AS33" s="3" t="n">
        <f aca="false">(AS15&lt;=ROUND($D$31,0))*SUM(AS28:AS31)</f>
        <v>135681.627369792</v>
      </c>
      <c r="AT33" s="3" t="n">
        <f aca="false">(AT15&lt;=ROUND($D$31,0))*SUM(AT28:AT31)</f>
        <v>135681.627369792</v>
      </c>
      <c r="AU33" s="3" t="n">
        <f aca="false">(AU15&lt;=ROUND($D$31,0))*SUM(AU28:AU31)</f>
        <v>139011.976554036</v>
      </c>
      <c r="AV33" s="3" t="n">
        <f aca="false">(AV15&lt;=ROUND($D$31,0))*SUM(AV28:AV31)</f>
        <v>83282.8995540364</v>
      </c>
      <c r="AW33" s="3" t="n">
        <f aca="false">(AW15&lt;=ROUND($D$31,0))*SUM(AW28:AW31)</f>
        <v>139011.976554036</v>
      </c>
      <c r="AX33" s="3" t="n">
        <f aca="false">(AX15&lt;=ROUND($D$31,0))*SUM(AX28:AX31)</f>
        <v>139011.976554036</v>
      </c>
      <c r="AY33" s="3" t="n">
        <f aca="false">(AY15&lt;=ROUND($D$31,0))*SUM(AY28:AY31)</f>
        <v>139011.976554036</v>
      </c>
      <c r="AZ33" s="3" t="n">
        <f aca="false">(AZ15&lt;=ROUND($D$31,0))*SUM(AZ28:AZ31)</f>
        <v>139011.976554036</v>
      </c>
      <c r="BA33" s="3" t="n">
        <f aca="false">(BA15&lt;=ROUND($D$31,0))*SUM(BA28:BA31)</f>
        <v>139011.976554036</v>
      </c>
      <c r="BB33" s="3" t="n">
        <f aca="false">(BB15&lt;=ROUND($D$31,0))*SUM(BB28:BB31)</f>
        <v>139011.976554036</v>
      </c>
      <c r="BC33" s="3" t="n">
        <f aca="false">(BC15&lt;=ROUND($D$31,0))*SUM(BC28:BC31)</f>
        <v>-94831.6014459636</v>
      </c>
      <c r="BD33" s="3" t="n">
        <f aca="false">(BD15&lt;=ROUND($D$31,0))*SUM(BD28:BD31)</f>
        <v>139011.976554036</v>
      </c>
      <c r="BE33" s="3" t="n">
        <f aca="false">(BE15&lt;=ROUND($D$31,0))*SUM(BE28:BE31)</f>
        <v>139011.976554036</v>
      </c>
      <c r="BF33" s="3" t="n">
        <f aca="false">(BF15&lt;=ROUND($D$31,0))*SUM(BF28:BF31)</f>
        <v>139011.976554036</v>
      </c>
      <c r="BG33" s="3" t="n">
        <f aca="false">(BG15&lt;=ROUND($D$31,0))*SUM(BG28:BG31)</f>
        <v>142423.608007887</v>
      </c>
      <c r="BH33" s="3" t="n">
        <f aca="false">(BH15&lt;=ROUND($D$31,0))*SUM(BH28:BH31)</f>
        <v>85022.6586978873</v>
      </c>
      <c r="BI33" s="3" t="n">
        <f aca="false">(BI15&lt;=ROUND($D$31,0))*SUM(BI28:BI31)</f>
        <v>142423.608007887</v>
      </c>
      <c r="BJ33" s="3" t="n">
        <f aca="false">(BJ15&lt;=ROUND($D$31,0))*SUM(BJ28:BJ31)</f>
        <v>142423.608007887</v>
      </c>
      <c r="BK33" s="3" t="n">
        <f aca="false">(BK15&lt;=ROUND($D$31,0))*SUM(BK28:BK31)</f>
        <v>142423.608007887</v>
      </c>
      <c r="BL33" s="3" t="n">
        <f aca="false">(BL15&lt;=ROUND($D$31,0))*SUM(BL28:BL31)</f>
        <v>142423.608007887</v>
      </c>
      <c r="BM33" s="3" t="n">
        <f aca="false">(BM15&lt;=ROUND($D$31,0))*SUM(BM28:BM31)</f>
        <v>142423.608007887</v>
      </c>
      <c r="BN33" s="3" t="n">
        <f aca="false">(BN15&lt;=ROUND($D$31,0))*SUM(BN28:BN31)</f>
        <v>142423.608007887</v>
      </c>
      <c r="BO33" s="3" t="n">
        <f aca="false">(BO15&lt;=ROUND($D$31,0))*SUM(BO28:BO31)</f>
        <v>-98435.2773321127</v>
      </c>
      <c r="BP33" s="3" t="n">
        <f aca="false">(BP15&lt;=ROUND($D$31,0))*SUM(BP28:BP31)</f>
        <v>142423.608007887</v>
      </c>
      <c r="BQ33" s="3" t="n">
        <f aca="false">(BQ15&lt;=ROUND($D$31,0))*SUM(BQ28:BQ31)</f>
        <v>142423.608007887</v>
      </c>
      <c r="BR33" s="3" t="n">
        <f aca="false">(BR15&lt;=ROUND($D$31,0))*SUM(BR28:BR31)</f>
        <v>142423.608007887</v>
      </c>
      <c r="BS33" s="3" t="n">
        <f aca="false">(BS15&lt;=ROUND($D$31,0))*SUM(BS28:BS31)</f>
        <v>0</v>
      </c>
      <c r="BT33" s="3" t="n">
        <f aca="false">(BT15&lt;=ROUND($D$31,0))*SUM(BT28:BT31)</f>
        <v>0</v>
      </c>
      <c r="BU33" s="3" t="n">
        <f aca="false">(BU15&lt;=ROUND($D$31,0))*SUM(BU28:BU31)</f>
        <v>0</v>
      </c>
      <c r="BV33" s="3" t="n">
        <f aca="false">(BV15&lt;=ROUND($D$31,0))*SUM(BV28:BV31)</f>
        <v>0</v>
      </c>
      <c r="BW33" s="3" t="n">
        <f aca="false">(BW15&lt;=ROUND($D$31,0))*SUM(BW28:BW31)</f>
        <v>0</v>
      </c>
      <c r="BX33" s="3" t="n">
        <f aca="false">(BX15&lt;=ROUND($D$31,0))*SUM(BX28:BX31)</f>
        <v>0</v>
      </c>
      <c r="BY33" s="3" t="n">
        <f aca="false">(BY15&lt;=ROUND($D$31,0))*SUM(BY28:BY31)</f>
        <v>0</v>
      </c>
      <c r="BZ33" s="3" t="n">
        <f aca="false">(BZ15&lt;=ROUND($D$31,0))*SUM(BZ28:BZ31)</f>
        <v>0</v>
      </c>
      <c r="CA33" s="3" t="n">
        <f aca="false">(CA15&lt;=ROUND($D$31,0))*SUM(CA28:CA31)</f>
        <v>-0</v>
      </c>
      <c r="CB33" s="3" t="n">
        <f aca="false">(CB15&lt;=ROUND($D$31,0))*SUM(CB28:CB31)</f>
        <v>0</v>
      </c>
      <c r="CC33" s="3" t="n">
        <f aca="false">(CC15&lt;=ROUND($D$31,0))*SUM(CC28:CC31)</f>
        <v>0</v>
      </c>
      <c r="CD33" s="3" t="n">
        <f aca="false">(CD15&lt;=ROUND($D$31,0))*SUM(CD28:CD31)</f>
        <v>0</v>
      </c>
      <c r="CE33" s="3" t="n">
        <f aca="false">(CE15&lt;=ROUND($D$31,0))*SUM(CE28:CE31)</f>
        <v>0</v>
      </c>
      <c r="CF33" s="3" t="n">
        <f aca="false">(CF15&lt;=ROUND($D$31,0))*SUM(CF28:CF31)</f>
        <v>0</v>
      </c>
      <c r="CG33" s="3" t="n">
        <f aca="false">(CG15&lt;=ROUND($D$31,0))*SUM(CG28:CG31)</f>
        <v>0</v>
      </c>
      <c r="CH33" s="3" t="n">
        <f aca="false">(CH15&lt;=ROUND($D$31,0))*SUM(CH28:CH31)</f>
        <v>0</v>
      </c>
      <c r="CI33" s="3" t="n">
        <f aca="false">(CI15&lt;=ROUND($D$31,0))*SUM(CI28:CI31)</f>
        <v>0</v>
      </c>
      <c r="CJ33" s="3" t="n">
        <f aca="false">(CJ15&lt;=ROUND($D$31,0))*SUM(CJ28:CJ31)</f>
        <v>0</v>
      </c>
      <c r="CK33" s="3" t="n">
        <f aca="false">(CK15&lt;=ROUND($D$31,0))*SUM(CK28:CK31)</f>
        <v>0</v>
      </c>
      <c r="CL33" s="3" t="n">
        <f aca="false">(CL15&lt;=ROUND($D$31,0))*SUM(CL28:CL31)</f>
        <v>0</v>
      </c>
      <c r="CM33" s="3" t="n">
        <f aca="false">(CM15&lt;=ROUND($D$31,0))*SUM(CM28:CM31)</f>
        <v>-0</v>
      </c>
      <c r="CN33" s="3" t="n">
        <f aca="false">(CN15&lt;=ROUND($D$31,0))*SUM(CN28:CN31)</f>
        <v>0</v>
      </c>
      <c r="CO33" s="3" t="n">
        <f aca="false">(CO15&lt;=ROUND($D$31,0))*SUM(CO28:CO31)</f>
        <v>0</v>
      </c>
      <c r="CP33" s="3" t="n">
        <f aca="false">(CP15&lt;=ROUND($D$31,0))*SUM(CP28:CP31)</f>
        <v>0</v>
      </c>
      <c r="CQ33" s="3" t="n">
        <f aca="false">(CQ15&lt;=ROUND($D$31,0))*SUM(CQ28:CQ31)</f>
        <v>0</v>
      </c>
      <c r="CR33" s="3" t="n">
        <f aca="false">(CR15&lt;=ROUND($D$31,0))*SUM(CR28:CR31)</f>
        <v>0</v>
      </c>
      <c r="CS33" s="3" t="n">
        <f aca="false">(CS15&lt;=ROUND($D$31,0))*SUM(CS28:CS31)</f>
        <v>0</v>
      </c>
      <c r="CT33" s="3" t="n">
        <f aca="false">(CT15&lt;=ROUND($D$31,0))*SUM(CT28:CT31)</f>
        <v>0</v>
      </c>
      <c r="CU33" s="3" t="n">
        <f aca="false">(CU15&lt;=ROUND($D$31,0))*SUM(CU28:CU31)</f>
        <v>0</v>
      </c>
      <c r="CV33" s="3" t="n">
        <f aca="false">(CV15&lt;=ROUND($D$31,0))*SUM(CV28:CV31)</f>
        <v>0</v>
      </c>
      <c r="CW33" s="3" t="n">
        <f aca="false">(CW15&lt;=ROUND($D$31,0))*SUM(CW28:CW31)</f>
        <v>0</v>
      </c>
      <c r="CX33" s="3" t="n">
        <f aca="false">(CX15&lt;=ROUND($D$31,0))*SUM(CX28:CX31)</f>
        <v>0</v>
      </c>
      <c r="CY33" s="3" t="n">
        <f aca="false">(CY15&lt;=ROUND($D$31,0))*SUM(CY28:CY31)</f>
        <v>-0</v>
      </c>
      <c r="CZ33" s="3" t="n">
        <f aca="false">(CZ15&lt;=ROUND($D$31,0))*SUM(CZ28:CZ31)</f>
        <v>0</v>
      </c>
      <c r="DA33" s="3" t="n">
        <f aca="false">(DA15&lt;=ROUND($D$31,0))*SUM(DA28:DA31)</f>
        <v>0</v>
      </c>
      <c r="DB33" s="3" t="n">
        <f aca="false">(DB15&lt;=ROUND($D$31,0))*SUM(DB28:DB31)</f>
        <v>0</v>
      </c>
      <c r="DC33" s="3" t="n">
        <f aca="false">(DC15&lt;=ROUND($D$31,0))*SUM(DC28:DC31)</f>
        <v>0</v>
      </c>
      <c r="DD33" s="3" t="n">
        <f aca="false">(DD15&lt;=ROUND($D$31,0))*SUM(DD28:DD31)</f>
        <v>0</v>
      </c>
      <c r="DE33" s="3" t="n">
        <f aca="false">(DE15&lt;=ROUND($D$31,0))*SUM(DE28:DE31)</f>
        <v>0</v>
      </c>
      <c r="DF33" s="3" t="n">
        <f aca="false">(DF15&lt;=ROUND($D$31,0))*SUM(DF28:DF31)</f>
        <v>0</v>
      </c>
      <c r="DG33" s="3" t="n">
        <f aca="false">(DG15&lt;=ROUND($D$31,0))*SUM(DG28:DG31)</f>
        <v>0</v>
      </c>
      <c r="DH33" s="3" t="n">
        <f aca="false">(DH15&lt;=ROUND($D$31,0))*SUM(DH28:DH31)</f>
        <v>0</v>
      </c>
      <c r="DI33" s="3" t="n">
        <f aca="false">(DI15&lt;=ROUND($D$31,0))*SUM(DI28:DI31)</f>
        <v>0</v>
      </c>
      <c r="DJ33" s="3" t="n">
        <f aca="false">(DJ15&lt;=ROUND($D$31,0))*SUM(DJ28:DJ31)</f>
        <v>0</v>
      </c>
      <c r="DK33" s="3" t="n">
        <f aca="false">(DK15&lt;=ROUND($D$31,0))*SUM(DK28:DK31)</f>
        <v>-0</v>
      </c>
      <c r="DL33" s="3" t="n">
        <f aca="false">(DL15&lt;=ROUND($D$31,0))*SUM(DL28:DL31)</f>
        <v>0</v>
      </c>
      <c r="DM33" s="3" t="n">
        <f aca="false">(DM15&lt;=ROUND($D$31,0))*SUM(DM28:DM31)</f>
        <v>0</v>
      </c>
      <c r="DN33" s="3" t="n">
        <f aca="false">(DN15&lt;=ROUND($D$31,0))*SUM(DN28:DN31)</f>
        <v>0</v>
      </c>
      <c r="DO33" s="3" t="n">
        <f aca="false">(DO15&lt;=ROUND($D$31,0))*SUM(DO28:DO31)</f>
        <v>0</v>
      </c>
      <c r="DP33" s="3" t="n">
        <f aca="false">(DP15&lt;=ROUND($D$31,0))*SUM(DP28:DP31)</f>
        <v>0</v>
      </c>
      <c r="DQ33" s="3" t="n">
        <f aca="false">(DQ15&lt;=ROUND($D$31,0))*SUM(DQ28:DQ31)</f>
        <v>0</v>
      </c>
      <c r="DR33" s="3" t="n">
        <f aca="false">(DR15&lt;=ROUND($D$31,0))*SUM(DR28:DR31)</f>
        <v>0</v>
      </c>
      <c r="DS33" s="3" t="n">
        <f aca="false">(DS15&lt;=ROUND($D$31,0))*SUM(DS28:DS31)</f>
        <v>0</v>
      </c>
      <c r="DT33" s="3" t="n">
        <f aca="false">(DT15&lt;=ROUND($D$31,0))*SUM(DT28:DT31)</f>
        <v>0</v>
      </c>
      <c r="DU33" s="3" t="n">
        <f aca="false">(DU15&lt;=ROUND($D$31,0))*SUM(DU28:DU31)</f>
        <v>0</v>
      </c>
      <c r="DV33" s="3" t="n">
        <f aca="false">(DV15&lt;=ROUND($D$31,0))*SUM(DV28:DV31)</f>
        <v>0</v>
      </c>
      <c r="DW33" s="3" t="n">
        <f aca="false">(DW15&lt;=ROUND($D$31,0))*SUM(DW28:DW31)</f>
        <v>-0</v>
      </c>
      <c r="DX33" s="3" t="n">
        <f aca="false">(DX15&lt;=ROUND($D$31,0))*SUM(DX28:DX31)</f>
        <v>0</v>
      </c>
      <c r="DY33" s="3" t="n">
        <f aca="false">(DY15&lt;=ROUND($D$31,0))*SUM(DY28:DY31)</f>
        <v>0</v>
      </c>
      <c r="DZ33" s="3" t="n">
        <f aca="false">(DZ15&lt;=ROUND($D$31,0))*SUM(DZ28:DZ31)</f>
        <v>0</v>
      </c>
      <c r="EA33" s="3" t="n">
        <f aca="false">(EA15&lt;=ROUND($D$31,0))*SUM(EA28:EA31)</f>
        <v>0</v>
      </c>
      <c r="EB33" s="3" t="n">
        <f aca="false">(EB15&lt;=ROUND($D$31,0))*SUM(EB28:EB31)</f>
        <v>0</v>
      </c>
      <c r="EC33" s="3" t="n">
        <f aca="false">(EC15&lt;=ROUND($D$31,0))*SUM(EC28:EC31)</f>
        <v>0</v>
      </c>
      <c r="ED33" s="3" t="n">
        <f aca="false">(ED15&lt;=ROUND($D$31,0))*SUM(ED28:ED31)</f>
        <v>0</v>
      </c>
      <c r="EE33" s="3" t="n">
        <f aca="false">(EE15&lt;=ROUND($D$31,0))*SUM(EE28:EE31)</f>
        <v>0</v>
      </c>
      <c r="EF33" s="3" t="n">
        <f aca="false">(EF15&lt;=ROUND($D$31,0))*SUM(EF28:EF31)</f>
        <v>0</v>
      </c>
      <c r="EG33" s="3" t="n">
        <f aca="false">(EG15&lt;=ROUND($D$31,0))*SUM(EG28:EG31)</f>
        <v>0</v>
      </c>
      <c r="EH33" s="3" t="n">
        <f aca="false">(EH15&lt;=ROUND($D$31,0))*SUM(EH28:EH31)</f>
        <v>0</v>
      </c>
      <c r="EI33" s="3" t="n">
        <f aca="false">(EI15&lt;=ROUND($D$31,0))*SUM(EI28:EI31)</f>
        <v>-0</v>
      </c>
      <c r="EJ33" s="3" t="n">
        <f aca="false">(EJ15&lt;=ROUND($D$31,0))*SUM(EJ28:EJ31)</f>
        <v>0</v>
      </c>
      <c r="EK33" s="3" t="n">
        <f aca="false">(EK15&lt;=ROUND($D$31,0))*SUM(EK28:EK31)</f>
        <v>0</v>
      </c>
      <c r="EL33" s="3" t="n">
        <f aca="false">(EL15&lt;=ROUND($D$31,0))*SUM(EL28:EL31)</f>
        <v>0</v>
      </c>
    </row>
    <row r="34" customFormat="false" ht="15" hidden="false" customHeight="false" outlineLevel="0" collapsed="false">
      <c r="C34" s="0" t="s">
        <v>41</v>
      </c>
      <c r="D34" s="5" t="n">
        <v>1480000</v>
      </c>
    </row>
    <row r="35" customFormat="false" ht="15" hidden="false" customHeight="false" outlineLevel="0" collapsed="false">
      <c r="C35" s="0" t="s">
        <v>42</v>
      </c>
      <c r="D35" s="5" t="n">
        <v>395000</v>
      </c>
      <c r="I35" s="3" t="s">
        <v>43</v>
      </c>
      <c r="K35" s="3" t="n">
        <f aca="false">AND($D$32=K16,$D$33=K14)*SUM(L$28:W$28)/$D$51</f>
        <v>0</v>
      </c>
      <c r="L35" s="3" t="n">
        <f aca="false">AND($D$32=L16,$D$33=L14)*SUM(M$28:X$28)/$D$51</f>
        <v>0</v>
      </c>
      <c r="M35" s="3" t="n">
        <f aca="false">AND($D$32=M16,$D$33=M14)*SUM(N$28:Y$28)/$D$51</f>
        <v>0</v>
      </c>
      <c r="N35" s="3" t="n">
        <f aca="false">AND($D$32=N16,$D$33=N14)*SUM(O$28:Z$28)/$D$51</f>
        <v>0</v>
      </c>
      <c r="O35" s="3" t="n">
        <f aca="false">AND($D$32=O16,$D$33=O14)*SUM(P$28:AA$28)/$D$51</f>
        <v>0</v>
      </c>
      <c r="P35" s="3" t="n">
        <f aca="false">AND($D$32=P16,$D$33=P14)*SUM(Q$28:AB$28)/$D$51</f>
        <v>0</v>
      </c>
      <c r="Q35" s="3" t="n">
        <f aca="false">AND($D$32=Q16,$D$33=Q14)*SUM(R$28:AC$28)/$D$51</f>
        <v>0</v>
      </c>
      <c r="R35" s="3" t="n">
        <f aca="false">AND($D$32=R16,$D$33=R14)*SUM(S$28:AD$28)/$D$51</f>
        <v>0</v>
      </c>
      <c r="S35" s="3" t="n">
        <f aca="false">AND($D$32=S16,$D$33=S14)*SUM(T$28:AE$28)/$D$51</f>
        <v>0</v>
      </c>
      <c r="T35" s="3" t="n">
        <f aca="false">AND($D$32=T16,$D$33=T14)*SUM(U$28:AF$28)/$D$51</f>
        <v>0</v>
      </c>
      <c r="U35" s="3" t="n">
        <f aca="false">AND($D$32=U16,$D$33=U14)*SUM(V$28:AG$28)/$D$51</f>
        <v>0</v>
      </c>
      <c r="V35" s="3" t="n">
        <f aca="false">AND($D$32=V16,$D$33=V14)*SUM(W$28:AH$28)/$D$51</f>
        <v>0</v>
      </c>
      <c r="W35" s="3" t="n">
        <f aca="false">AND($D$32=W16,$D$33=W14)*SUM(X$28:AI$28)/$D$51</f>
        <v>0</v>
      </c>
      <c r="X35" s="3" t="n">
        <f aca="false">AND($D$32=X16,$D$33=X14)*SUM(Y$28:AJ$28)/$D$51</f>
        <v>0</v>
      </c>
      <c r="Y35" s="3" t="n">
        <f aca="false">AND($D$32=Y16,$D$33=Y14)*SUM(Z$28:AK$28)/$D$51</f>
        <v>0</v>
      </c>
      <c r="Z35" s="3" t="n">
        <f aca="false">AND($D$32=Z16,$D$33=Z14)*SUM(AA$28:AL$28)/$D$51</f>
        <v>0</v>
      </c>
      <c r="AA35" s="3" t="n">
        <f aca="false">AND($D$32=AA16,$D$33=AA14)*SUM(AB$28:AM$28)/$D$51</f>
        <v>0</v>
      </c>
      <c r="AB35" s="3" t="n">
        <f aca="false">AND($D$32=AB16,$D$33=AB14)*SUM(AC$28:AN$28)/$D$51</f>
        <v>0</v>
      </c>
      <c r="AC35" s="3" t="n">
        <f aca="false">AND($D$32=AC16,$D$33=AC14)*SUM(AD$28:AO$28)/$D$51</f>
        <v>0</v>
      </c>
      <c r="AD35" s="3" t="n">
        <f aca="false">AND($D$32=AD16,$D$33=AD14)*SUM(AE$28:AP$28)/$D$51</f>
        <v>0</v>
      </c>
      <c r="AE35" s="3" t="n">
        <f aca="false">AND($D$32=AE16,$D$33=AE14)*SUM(AF$28:AQ$28)/$D$51</f>
        <v>0</v>
      </c>
      <c r="AF35" s="3" t="n">
        <f aca="false">AND($D$32=AF16,$D$33=AF14)*SUM(AG$28:AR$28)/$D$51</f>
        <v>0</v>
      </c>
      <c r="AG35" s="3" t="n">
        <f aca="false">AND($D$32=AG16,$D$33=AG14)*SUM(AH$28:AS$28)/$D$51</f>
        <v>0</v>
      </c>
      <c r="AH35" s="3" t="n">
        <f aca="false">AND($D$32=AH16,$D$33=AH14)*SUM(AI$28:AT$28)/$D$51</f>
        <v>0</v>
      </c>
      <c r="AI35" s="3" t="n">
        <f aca="false">AND($D$32=AI16,$D$33=AI14)*SUM(AJ$28:AU$28)/$D$51</f>
        <v>0</v>
      </c>
      <c r="AJ35" s="3" t="n">
        <f aca="false">AND($D$32=AJ16,$D$33=AJ14)*SUM(AK$28:AV$28)/$D$51</f>
        <v>0</v>
      </c>
      <c r="AK35" s="3" t="n">
        <f aca="false">AND($D$32=AK16,$D$33=AK14)*SUM(AL$28:AW$28)/$D$51</f>
        <v>0</v>
      </c>
      <c r="AL35" s="3" t="n">
        <f aca="false">AND($D$32=AL16,$D$33=AL14)*SUM(AM$28:AX$28)/$D$51</f>
        <v>0</v>
      </c>
      <c r="AM35" s="3" t="n">
        <f aca="false">AND($D$32=AM16,$D$33=AM14)*SUM(AN$28:AY$28)/$D$51</f>
        <v>0</v>
      </c>
      <c r="AN35" s="3" t="n">
        <f aca="false">AND($D$32=AN16,$D$33=AN14)*SUM(AO$28:AZ$28)/$D$51</f>
        <v>0</v>
      </c>
      <c r="AO35" s="3" t="n">
        <f aca="false">AND($D$32=AO16,$D$33=AO14)*SUM(AP$28:BA$28)/$D$51</f>
        <v>0</v>
      </c>
      <c r="AP35" s="3" t="n">
        <f aca="false">AND($D$32=AP16,$D$33=AP14)*SUM(AQ$28:BB$28)/$D$51</f>
        <v>0</v>
      </c>
      <c r="AQ35" s="3" t="n">
        <f aca="false">AND($D$32=AQ16,$D$33=AQ14)*SUM(AR$28:BC$28)/$D$51</f>
        <v>0</v>
      </c>
      <c r="AR35" s="3" t="n">
        <f aca="false">AND($D$32=AR16,$D$33=AR14)*SUM(AS$28:BD$28)/$D$51</f>
        <v>0</v>
      </c>
      <c r="AS35" s="3" t="n">
        <f aca="false">AND($D$32=AS16,$D$33=AS14)*SUM(AT$28:BE$28)/$D$51</f>
        <v>0</v>
      </c>
      <c r="AT35" s="3" t="n">
        <f aca="false">AND($D$32=AT16,$D$33=AT14)*SUM(AU$28:BF$28)/$D$51</f>
        <v>0</v>
      </c>
      <c r="AU35" s="3" t="n">
        <f aca="false">AND($D$32=AU16,$D$33=AU14)*SUM(AV$28:BG$28)/$D$51</f>
        <v>0</v>
      </c>
      <c r="AV35" s="3" t="n">
        <f aca="false">AND($D$32=AV16,$D$33=AV14)*SUM(AW$28:BH$28)/$D$51</f>
        <v>0</v>
      </c>
      <c r="AW35" s="3" t="n">
        <f aca="false">AND($D$32=AW16,$D$33=AW14)*SUM(AX$28:BI$28)/$D$51</f>
        <v>0</v>
      </c>
      <c r="AX35" s="3" t="n">
        <f aca="false">AND($D$32=AX16,$D$33=AX14)*SUM(AY$28:BJ$28)/$D$51</f>
        <v>0</v>
      </c>
      <c r="AY35" s="3" t="n">
        <f aca="false">AND($D$32=AY16,$D$33=AY14)*SUM(AZ$28:BK$28)/$D$51</f>
        <v>0</v>
      </c>
      <c r="AZ35" s="3" t="n">
        <f aca="false">AND($D$32=AZ16,$D$33=AZ14)*SUM(BA$28:BL$28)/$D$51</f>
        <v>0</v>
      </c>
      <c r="BA35" s="3" t="n">
        <f aca="false">AND($D$32=BA16,$D$33=BA14)*SUM(BB$28:BM$28)/$D$51</f>
        <v>0</v>
      </c>
      <c r="BB35" s="3" t="n">
        <f aca="false">AND($D$32=BB16,$D$33=BB14)*SUM(BC$28:BN$28)/$D$51</f>
        <v>0</v>
      </c>
      <c r="BC35" s="3" t="n">
        <f aca="false">AND($D$32=BC16,$D$33=BC14)*SUM(BD$28:BO$28)/$D$51</f>
        <v>0</v>
      </c>
      <c r="BD35" s="3" t="n">
        <f aca="false">AND($D$32=BD16,$D$33=BD14)*SUM(BE$28:BP$28)/$D$51</f>
        <v>0</v>
      </c>
      <c r="BE35" s="3" t="n">
        <f aca="false">AND($D$32=BE16,$D$33=BE14)*SUM(BF$28:BQ$28)/$D$51</f>
        <v>0</v>
      </c>
      <c r="BF35" s="3" t="n">
        <f aca="false">AND($D$32=BF16,$D$33=BF14)*SUM(BG$28:BR$28)/$D$51</f>
        <v>0</v>
      </c>
      <c r="BG35" s="3" t="n">
        <f aca="false">AND($D$32=BG16,$D$33=BG14)*SUM(BH$28:BS$28)/$D$51</f>
        <v>0</v>
      </c>
      <c r="BH35" s="3" t="n">
        <f aca="false">AND($D$32=BH16,$D$33=BH14)*SUM(BI$28:BT$28)/$D$51</f>
        <v>0</v>
      </c>
      <c r="BI35" s="3" t="n">
        <f aca="false">AND($D$32=BI16,$D$33=BI14)*SUM(BJ$28:BU$28)/$D$51</f>
        <v>0</v>
      </c>
      <c r="BJ35" s="3" t="n">
        <f aca="false">AND($D$32=BJ16,$D$33=BJ14)*SUM(BK$28:BV$28)/$D$51</f>
        <v>0</v>
      </c>
      <c r="BK35" s="3" t="n">
        <f aca="false">AND($D$32=BK16,$D$33=BK14)*SUM(BL$28:BW$28)/$D$51</f>
        <v>0</v>
      </c>
      <c r="BL35" s="3" t="n">
        <f aca="false">AND($D$32=BL16,$D$33=BL14)*SUM(BM$28:BX$28)/$D$51</f>
        <v>0</v>
      </c>
      <c r="BM35" s="3" t="n">
        <f aca="false">AND($D$32=BM16,$D$33=BM14)*SUM(BN$28:BY$28)/$D$51</f>
        <v>0</v>
      </c>
      <c r="BN35" s="3" t="n">
        <f aca="false">AND($D$32=BN16,$D$33=BN14)*SUM(BO$28:BZ$28)/$D$51</f>
        <v>0</v>
      </c>
      <c r="BO35" s="3" t="n">
        <f aca="false">AND($D$32=BO16,$D$33=BO14)*SUM(BP$28:CA$28)/$D$51</f>
        <v>0</v>
      </c>
      <c r="BP35" s="3" t="n">
        <f aca="false">AND($D$32=BP16,$D$33=BP14)*SUM(BQ$28:CB$28)/$D$51</f>
        <v>0</v>
      </c>
      <c r="BQ35" s="3" t="n">
        <f aca="false">AND($D$32=BQ16,$D$33=BQ14)*SUM(BR$28:CC$28)/$D$51</f>
        <v>0</v>
      </c>
      <c r="BR35" s="3" t="n">
        <f aca="false">AND($D$32=BR16,$D$33=BR14)*SUM(BS$28:CD$28)/$D$51</f>
        <v>20356311.9636292</v>
      </c>
      <c r="BS35" s="3" t="n">
        <f aca="false">AND($D$32=BS16,$D$33=BS14)*SUM(BT$28:CE$28)/$D$51</f>
        <v>0</v>
      </c>
      <c r="BT35" s="3" t="n">
        <f aca="false">AND($D$32=BT16,$D$33=BT14)*SUM(BU$28:CF$28)/$D$51</f>
        <v>0</v>
      </c>
      <c r="BU35" s="3" t="n">
        <f aca="false">AND($D$32=BU16,$D$33=BU14)*SUM(BV$28:CG$28)/$D$51</f>
        <v>0</v>
      </c>
      <c r="BV35" s="3" t="n">
        <f aca="false">AND($D$32=BV16,$D$33=BV14)*SUM(BW$28:CH$28)/$D$51</f>
        <v>0</v>
      </c>
      <c r="BW35" s="3" t="n">
        <f aca="false">AND($D$32=BW16,$D$33=BW14)*SUM(BX$28:CI$28)/$D$51</f>
        <v>0</v>
      </c>
      <c r="BX35" s="3" t="n">
        <f aca="false">AND($D$32=BX16,$D$33=BX14)*SUM(BY$28:CJ$28)/$D$51</f>
        <v>0</v>
      </c>
      <c r="BY35" s="3" t="n">
        <f aca="false">AND($D$32=BY16,$D$33=BY14)*SUM(BZ$28:CK$28)/$D$51</f>
        <v>0</v>
      </c>
      <c r="BZ35" s="3" t="n">
        <f aca="false">AND($D$32=BZ16,$D$33=BZ14)*SUM(CA$28:CL$28)/$D$51</f>
        <v>0</v>
      </c>
      <c r="CA35" s="3" t="n">
        <f aca="false">AND($D$32=CA16,$D$33=CA14)*SUM(CB$28:CM$28)/$D$51</f>
        <v>0</v>
      </c>
      <c r="CB35" s="3" t="n">
        <f aca="false">AND($D$32=CB16,$D$33=CB14)*SUM(CC$28:CN$28)/$D$51</f>
        <v>0</v>
      </c>
      <c r="CC35" s="3" t="n">
        <f aca="false">AND($D$32=CC16,$D$33=CC14)*SUM(CD$28:CO$28)/$D$51</f>
        <v>0</v>
      </c>
      <c r="CD35" s="3" t="n">
        <f aca="false">AND($D$32=CD16,$D$33=CD14)*SUM(CE$28:CP$28)/$D$51</f>
        <v>0</v>
      </c>
      <c r="CE35" s="3" t="n">
        <f aca="false">AND($D$32=CE16,$D$33=CE14)*SUM(CF$28:CQ$28)/$D$51</f>
        <v>0</v>
      </c>
      <c r="CF35" s="3" t="n">
        <f aca="false">AND($D$32=CF16,$D$33=CF14)*SUM(CG$28:CR$28)/$D$51</f>
        <v>0</v>
      </c>
      <c r="CG35" s="3" t="n">
        <f aca="false">AND($D$32=CG16,$D$33=CG14)*SUM(CH$28:CS$28)/$D$51</f>
        <v>0</v>
      </c>
      <c r="CH35" s="3" t="n">
        <f aca="false">AND($D$32=CH16,$D$33=CH14)*SUM(CI$28:CT$28)/$D$51</f>
        <v>0</v>
      </c>
      <c r="CI35" s="3" t="n">
        <f aca="false">AND($D$32=CI16,$D$33=CI14)*SUM(CJ$28:CU$28)/$D$51</f>
        <v>0</v>
      </c>
      <c r="CJ35" s="3" t="n">
        <f aca="false">AND($D$32=CJ16,$D$33=CJ14)*SUM(CK$28:CV$28)/$D$51</f>
        <v>0</v>
      </c>
      <c r="CK35" s="3" t="n">
        <f aca="false">AND($D$32=CK16,$D$33=CK14)*SUM(CL$28:CW$28)/$D$51</f>
        <v>0</v>
      </c>
      <c r="CL35" s="3" t="n">
        <f aca="false">AND($D$32=CL16,$D$33=CL14)*SUM(CM$28:CX$28)/$D$51</f>
        <v>0</v>
      </c>
      <c r="CM35" s="3" t="n">
        <f aca="false">AND($D$32=CM16,$D$33=CM14)*SUM(CN$28:CY$28)/$D$51</f>
        <v>0</v>
      </c>
      <c r="CN35" s="3" t="n">
        <f aca="false">AND($D$32=CN16,$D$33=CN14)*SUM(CO$28:CZ$28)/$D$51</f>
        <v>0</v>
      </c>
      <c r="CO35" s="3" t="n">
        <f aca="false">AND($D$32=CO16,$D$33=CO14)*SUM(CP$28:DA$28)/$D$51</f>
        <v>0</v>
      </c>
      <c r="CP35" s="3" t="n">
        <f aca="false">AND($D$32=CP16,$D$33=CP14)*SUM(CQ$28:DB$28)/$D$51</f>
        <v>0</v>
      </c>
      <c r="CQ35" s="3" t="n">
        <f aca="false">AND($D$32=CQ16,$D$33=CQ14)*SUM(CR$28:DC$28)/$D$51</f>
        <v>0</v>
      </c>
      <c r="CR35" s="3" t="n">
        <f aca="false">AND($D$32=CR16,$D$33=CR14)*SUM(CS$28:DD$28)/$D$51</f>
        <v>0</v>
      </c>
      <c r="CS35" s="3" t="n">
        <f aca="false">AND($D$32=CS16,$D$33=CS14)*SUM(CT$28:DE$28)/$D$51</f>
        <v>0</v>
      </c>
      <c r="CT35" s="3" t="n">
        <f aca="false">AND($D$32=CT16,$D$33=CT14)*SUM(CU$28:DF$28)/$D$51</f>
        <v>0</v>
      </c>
      <c r="CU35" s="3" t="n">
        <f aca="false">AND($D$32=CU16,$D$33=CU14)*SUM(CV$28:DG$28)/$D$51</f>
        <v>0</v>
      </c>
      <c r="CV35" s="3" t="n">
        <f aca="false">AND($D$32=CV16,$D$33=CV14)*SUM(CW$28:DH$28)/$D$51</f>
        <v>0</v>
      </c>
      <c r="CW35" s="3" t="n">
        <f aca="false">AND($D$32=CW16,$D$33=CW14)*SUM(CX$28:DI$28)/$D$51</f>
        <v>0</v>
      </c>
      <c r="CX35" s="3" t="n">
        <f aca="false">AND($D$32=CX16,$D$33=CX14)*SUM(CY$28:DJ$28)/$D$51</f>
        <v>0</v>
      </c>
      <c r="CY35" s="3" t="n">
        <f aca="false">AND($D$32=CY16,$D$33=CY14)*SUM(CZ$28:DK$28)/$D$51</f>
        <v>0</v>
      </c>
      <c r="CZ35" s="3" t="n">
        <f aca="false">AND($D$32=CZ16,$D$33=CZ14)*SUM(DA$28:DL$28)/$D$51</f>
        <v>0</v>
      </c>
      <c r="DA35" s="3" t="n">
        <f aca="false">AND($D$32=DA16,$D$33=DA14)*SUM(DB$28:DM$28)/$D$51</f>
        <v>0</v>
      </c>
      <c r="DB35" s="3" t="n">
        <f aca="false">AND($D$32=DB16,$D$33=DB14)*SUM(DC$28:DN$28)/$D$51</f>
        <v>0</v>
      </c>
      <c r="DC35" s="3" t="n">
        <f aca="false">AND($D$32=DC16,$D$33=DC14)*SUM(DD$28:DO$28)/$D$51</f>
        <v>0</v>
      </c>
      <c r="DD35" s="3" t="n">
        <f aca="false">AND($D$32=DD16,$D$33=DD14)*SUM(DE$28:DP$28)/$D$51</f>
        <v>0</v>
      </c>
      <c r="DE35" s="3" t="n">
        <f aca="false">AND($D$32=DE16,$D$33=DE14)*SUM(DF$28:DQ$28)/$D$51</f>
        <v>0</v>
      </c>
      <c r="DF35" s="3" t="n">
        <f aca="false">AND($D$32=DF16,$D$33=DF14)*SUM(DG$28:DR$28)/$D$51</f>
        <v>0</v>
      </c>
      <c r="DG35" s="3" t="n">
        <f aca="false">AND($D$32=DG16,$D$33=DG14)*SUM(DH$28:DS$28)/$D$51</f>
        <v>0</v>
      </c>
      <c r="DH35" s="3" t="n">
        <f aca="false">AND($D$32=DH16,$D$33=DH14)*SUM(DI$28:DT$28)/$D$51</f>
        <v>0</v>
      </c>
      <c r="DI35" s="3" t="n">
        <f aca="false">AND($D$32=DI16,$D$33=DI14)*SUM(DJ$28:DU$28)/$D$51</f>
        <v>0</v>
      </c>
      <c r="DJ35" s="3" t="n">
        <f aca="false">AND($D$32=DJ16,$D$33=DJ14)*SUM(DK$28:DV$28)/$D$51</f>
        <v>0</v>
      </c>
      <c r="DK35" s="3" t="n">
        <f aca="false">AND($D$32=DK16,$D$33=DK14)*SUM(DL$28:DW$28)/$D$51</f>
        <v>0</v>
      </c>
      <c r="DL35" s="3" t="n">
        <f aca="false">AND($D$32=DL16,$D$33=DL14)*SUM(DM$28:DX$28)/$D$51</f>
        <v>0</v>
      </c>
      <c r="DM35" s="3" t="n">
        <f aca="false">AND($D$32=DM16,$D$33=DM14)*SUM(DN$28:DY$28)/$D$51</f>
        <v>0</v>
      </c>
      <c r="DN35" s="3" t="n">
        <f aca="false">AND($D$32=DN16,$D$33=DN14)*SUM(DO$28:DZ$28)/$D$51</f>
        <v>0</v>
      </c>
      <c r="DO35" s="3" t="n">
        <f aca="false">AND($D$32=DO16,$D$33=DO14)*SUM(DP$28:EA$28)/$D$51</f>
        <v>0</v>
      </c>
      <c r="DP35" s="3" t="n">
        <f aca="false">AND($D$32=DP16,$D$33=DP14)*SUM(DQ$28:EB$28)/$D$51</f>
        <v>0</v>
      </c>
      <c r="DQ35" s="3" t="n">
        <f aca="false">AND($D$32=DQ16,$D$33=DQ14)*SUM(DR$28:EC$28)/$D$51</f>
        <v>0</v>
      </c>
      <c r="DR35" s="3" t="n">
        <f aca="false">AND($D$32=DR16,$D$33=DR14)*SUM(DS$28:ED$28)/$D$51</f>
        <v>0</v>
      </c>
      <c r="DS35" s="3" t="n">
        <f aca="false">AND($D$32=DS16,$D$33=DS14)*SUM(DT$28:EE$28)/$D$51</f>
        <v>0</v>
      </c>
      <c r="DT35" s="3" t="n">
        <f aca="false">AND($D$32=DT16,$D$33=DT14)*SUM(DU$28:EF$28)/$D$51</f>
        <v>0</v>
      </c>
      <c r="DU35" s="3" t="n">
        <f aca="false">AND($D$32=DU16,$D$33=DU14)*SUM(DV$28:EG$28)/$D$51</f>
        <v>0</v>
      </c>
      <c r="DV35" s="3" t="n">
        <f aca="false">AND($D$32=DV16,$D$33=DV14)*SUM(DW$28:EH$28)/$D$51</f>
        <v>0</v>
      </c>
      <c r="DW35" s="3" t="n">
        <f aca="false">AND($D$32=DW16,$D$33=DW14)*SUM(DX$28:EI$28)/$D$51</f>
        <v>0</v>
      </c>
      <c r="DX35" s="3" t="n">
        <f aca="false">AND($D$32=DX16,$D$33=DX14)*SUM(DY$28:EJ$28)/$D$51</f>
        <v>0</v>
      </c>
      <c r="DY35" s="3" t="n">
        <f aca="false">AND($D$32=DY16,$D$33=DY14)*SUM(DZ$28:EK$28)/$D$51</f>
        <v>0</v>
      </c>
      <c r="DZ35" s="3" t="n">
        <f aca="false">AND($D$32=DZ16,$D$33=DZ14)*SUM(EA$28:EL$28)/$D$51</f>
        <v>0</v>
      </c>
      <c r="EA35" s="3" t="n">
        <f aca="false">AND($D$32=EA16,$D$33=EA14)*SUM(EB$28:EM$28)/$D$51</f>
        <v>0</v>
      </c>
      <c r="EB35" s="3" t="n">
        <f aca="false">AND($D$32=EB16,$D$33=EB14)*SUM(EC$28:EN$28)/$D$51</f>
        <v>0</v>
      </c>
      <c r="EC35" s="3" t="n">
        <f aca="false">AND($D$32=EC16,$D$33=EC14)*SUM(ED$28:EO$28)/$D$51</f>
        <v>0</v>
      </c>
      <c r="ED35" s="3" t="n">
        <f aca="false">AND($D$32=ED16,$D$33=ED14)*SUM(EE$28:EP$28)/$D$51</f>
        <v>0</v>
      </c>
      <c r="EE35" s="3" t="n">
        <f aca="false">AND($D$32=EE16,$D$33=EE14)*SUM(EF$28:EQ$28)/$D$51</f>
        <v>0</v>
      </c>
      <c r="EF35" s="3" t="n">
        <f aca="false">AND($D$32=EF16,$D$33=EF14)*SUM(EG$28:ER$28)/$D$51</f>
        <v>0</v>
      </c>
      <c r="EG35" s="3" t="n">
        <f aca="false">AND($D$32=EG16,$D$33=EG14)*SUM(EH$28:ES$28)/$D$51</f>
        <v>0</v>
      </c>
      <c r="EH35" s="3" t="n">
        <f aca="false">AND($D$32=EH16,$D$33=EH14)*SUM(EI$28:ET$28)/$D$51</f>
        <v>0</v>
      </c>
      <c r="EI35" s="3" t="n">
        <f aca="false">AND($D$32=EI16,$D$33=EI14)*SUM(EJ$28:EU$28)/$D$51</f>
        <v>0</v>
      </c>
      <c r="EJ35" s="3" t="n">
        <f aca="false">AND($D$32=EJ16,$D$33=EJ14)*SUM(EK$28:EV$28)/$D$51</f>
        <v>0</v>
      </c>
      <c r="EK35" s="3" t="n">
        <f aca="false">AND($D$32=EK16,$D$33=EK14)*SUM(EL$28:EW$28)/$D$51</f>
        <v>0</v>
      </c>
      <c r="EL35" s="3" t="n">
        <f aca="false">AND($D$32=EL16,$D$33=EL14)*SUM(EM$28:EX$28)/$D$51</f>
        <v>0</v>
      </c>
    </row>
    <row r="36" customFormat="false" ht="15" hidden="false" customHeight="false" outlineLevel="0" collapsed="false">
      <c r="C36" s="0" t="s">
        <v>44</v>
      </c>
      <c r="D36" s="5" t="n">
        <v>22000</v>
      </c>
      <c r="I36" s="3" t="s">
        <v>45</v>
      </c>
      <c r="K36" s="3" t="n">
        <f aca="false">K35*$D$52</f>
        <v>0</v>
      </c>
      <c r="L36" s="3" t="n">
        <f aca="false">L35*$D$52</f>
        <v>0</v>
      </c>
      <c r="M36" s="3" t="n">
        <f aca="false">M35*$D$52</f>
        <v>0</v>
      </c>
      <c r="N36" s="3" t="n">
        <f aca="false">N35*$D$52</f>
        <v>0</v>
      </c>
      <c r="O36" s="3" t="n">
        <f aca="false">O35*$D$52</f>
        <v>0</v>
      </c>
      <c r="P36" s="3" t="n">
        <f aca="false">P35*$D$52</f>
        <v>0</v>
      </c>
      <c r="Q36" s="3" t="n">
        <f aca="false">Q35*$D$52</f>
        <v>0</v>
      </c>
      <c r="R36" s="3" t="n">
        <f aca="false">R35*$D$52</f>
        <v>0</v>
      </c>
      <c r="S36" s="3" t="n">
        <f aca="false">S35*$D$52</f>
        <v>0</v>
      </c>
      <c r="T36" s="3" t="n">
        <f aca="false">T35*$D$52</f>
        <v>0</v>
      </c>
      <c r="U36" s="3" t="n">
        <f aca="false">U35*$D$52</f>
        <v>0</v>
      </c>
      <c r="V36" s="3" t="n">
        <f aca="false">V35*$D$52</f>
        <v>0</v>
      </c>
      <c r="W36" s="3" t="n">
        <f aca="false">W35*$D$52</f>
        <v>0</v>
      </c>
      <c r="X36" s="3" t="n">
        <f aca="false">X35*$D$52</f>
        <v>0</v>
      </c>
      <c r="Y36" s="3" t="n">
        <f aca="false">Y35*$D$52</f>
        <v>0</v>
      </c>
      <c r="Z36" s="3" t="n">
        <f aca="false">Z35*$D$52</f>
        <v>0</v>
      </c>
      <c r="AA36" s="3" t="n">
        <f aca="false">AA35*$D$52</f>
        <v>0</v>
      </c>
      <c r="AB36" s="3" t="n">
        <f aca="false">AB35*$D$52</f>
        <v>0</v>
      </c>
      <c r="AC36" s="3" t="n">
        <f aca="false">AC35*$D$52</f>
        <v>0</v>
      </c>
      <c r="AD36" s="3" t="n">
        <f aca="false">AD35*$D$52</f>
        <v>0</v>
      </c>
      <c r="AE36" s="3" t="n">
        <f aca="false">AE35*$D$52</f>
        <v>0</v>
      </c>
      <c r="AF36" s="3" t="n">
        <f aca="false">AF35*$D$52</f>
        <v>0</v>
      </c>
      <c r="AG36" s="3" t="n">
        <f aca="false">AG35*$D$52</f>
        <v>0</v>
      </c>
      <c r="AH36" s="3" t="n">
        <f aca="false">AH35*$D$52</f>
        <v>0</v>
      </c>
      <c r="AI36" s="3" t="n">
        <f aca="false">AI35*$D$52</f>
        <v>0</v>
      </c>
      <c r="AJ36" s="3" t="n">
        <f aca="false">AJ35*$D$52</f>
        <v>0</v>
      </c>
      <c r="AK36" s="3" t="n">
        <f aca="false">AK35*$D$52</f>
        <v>0</v>
      </c>
      <c r="AL36" s="3" t="n">
        <f aca="false">AL35*$D$52</f>
        <v>0</v>
      </c>
      <c r="AM36" s="3" t="n">
        <f aca="false">AM35*$D$52</f>
        <v>0</v>
      </c>
      <c r="AN36" s="3" t="n">
        <f aca="false">AN35*$D$52</f>
        <v>0</v>
      </c>
      <c r="AO36" s="3" t="n">
        <f aca="false">AO35*$D$52</f>
        <v>0</v>
      </c>
      <c r="AP36" s="3" t="n">
        <f aca="false">AP35*$D$52</f>
        <v>0</v>
      </c>
      <c r="AQ36" s="3" t="n">
        <f aca="false">AQ35*$D$52</f>
        <v>0</v>
      </c>
      <c r="AR36" s="3" t="n">
        <f aca="false">AR35*$D$52</f>
        <v>0</v>
      </c>
      <c r="AS36" s="3" t="n">
        <f aca="false">AS35*$D$52</f>
        <v>0</v>
      </c>
      <c r="AT36" s="3" t="n">
        <f aca="false">AT35*$D$52</f>
        <v>0</v>
      </c>
      <c r="AU36" s="3" t="n">
        <f aca="false">AU35*$D$52</f>
        <v>0</v>
      </c>
      <c r="AV36" s="3" t="n">
        <f aca="false">AV35*$D$52</f>
        <v>0</v>
      </c>
      <c r="AW36" s="3" t="n">
        <f aca="false">AW35*$D$52</f>
        <v>0</v>
      </c>
      <c r="AX36" s="3" t="n">
        <f aca="false">AX35*$D$52</f>
        <v>0</v>
      </c>
      <c r="AY36" s="3" t="n">
        <f aca="false">AY35*$D$52</f>
        <v>0</v>
      </c>
      <c r="AZ36" s="3" t="n">
        <f aca="false">AZ35*$D$52</f>
        <v>0</v>
      </c>
      <c r="BA36" s="3" t="n">
        <f aca="false">BA35*$D$52</f>
        <v>0</v>
      </c>
      <c r="BB36" s="3" t="n">
        <f aca="false">BB35*$D$52</f>
        <v>0</v>
      </c>
      <c r="BC36" s="3" t="n">
        <f aca="false">BC35*$D$52</f>
        <v>0</v>
      </c>
      <c r="BD36" s="3" t="n">
        <f aca="false">BD35*$D$52</f>
        <v>0</v>
      </c>
      <c r="BE36" s="3" t="n">
        <f aca="false">BE35*$D$52</f>
        <v>0</v>
      </c>
      <c r="BF36" s="3" t="n">
        <f aca="false">BF35*$D$52</f>
        <v>0</v>
      </c>
      <c r="BG36" s="3" t="n">
        <f aca="false">BG35*$D$52</f>
        <v>0</v>
      </c>
      <c r="BH36" s="3" t="n">
        <f aca="false">BH35*$D$52</f>
        <v>0</v>
      </c>
      <c r="BI36" s="3" t="n">
        <f aca="false">BI35*$D$52</f>
        <v>0</v>
      </c>
      <c r="BJ36" s="3" t="n">
        <f aca="false">BJ35*$D$52</f>
        <v>0</v>
      </c>
      <c r="BK36" s="3" t="n">
        <f aca="false">BK35*$D$52</f>
        <v>0</v>
      </c>
      <c r="BL36" s="3" t="n">
        <f aca="false">BL35*$D$52</f>
        <v>0</v>
      </c>
      <c r="BM36" s="3" t="n">
        <f aca="false">BM35*$D$52</f>
        <v>0</v>
      </c>
      <c r="BN36" s="3" t="n">
        <f aca="false">BN35*$D$52</f>
        <v>0</v>
      </c>
      <c r="BO36" s="3" t="n">
        <f aca="false">BO35*$D$52</f>
        <v>0</v>
      </c>
      <c r="BP36" s="3" t="n">
        <f aca="false">BP35*$D$52</f>
        <v>0</v>
      </c>
      <c r="BQ36" s="3" t="n">
        <f aca="false">BQ35*$D$52</f>
        <v>0</v>
      </c>
      <c r="BR36" s="3" t="n">
        <f aca="false">BR35*$D$52</f>
        <v>305344.679454437</v>
      </c>
      <c r="BS36" s="3" t="n">
        <f aca="false">BS35*$D$52</f>
        <v>0</v>
      </c>
      <c r="BT36" s="3" t="n">
        <f aca="false">BT35*$D$52</f>
        <v>0</v>
      </c>
      <c r="BU36" s="3" t="n">
        <f aca="false">BU35*$D$52</f>
        <v>0</v>
      </c>
      <c r="BV36" s="3" t="n">
        <f aca="false">BV35*$D$52</f>
        <v>0</v>
      </c>
      <c r="BW36" s="3" t="n">
        <f aca="false">BW35*$D$52</f>
        <v>0</v>
      </c>
      <c r="BX36" s="3" t="n">
        <f aca="false">BX35*$D$52</f>
        <v>0</v>
      </c>
      <c r="BY36" s="3" t="n">
        <f aca="false">BY35*$D$52</f>
        <v>0</v>
      </c>
      <c r="BZ36" s="3" t="n">
        <f aca="false">BZ35*$D$52</f>
        <v>0</v>
      </c>
      <c r="CA36" s="3" t="n">
        <f aca="false">CA35*$D$52</f>
        <v>0</v>
      </c>
      <c r="CB36" s="3" t="n">
        <f aca="false">CB35*$D$52</f>
        <v>0</v>
      </c>
      <c r="CC36" s="3" t="n">
        <f aca="false">CC35*$D$52</f>
        <v>0</v>
      </c>
      <c r="CD36" s="3" t="n">
        <f aca="false">CD35*$D$52</f>
        <v>0</v>
      </c>
      <c r="CE36" s="3" t="n">
        <f aca="false">CE35*$D$52</f>
        <v>0</v>
      </c>
      <c r="CF36" s="3" t="n">
        <f aca="false">CF35*$D$52</f>
        <v>0</v>
      </c>
      <c r="CG36" s="3" t="n">
        <f aca="false">CG35*$D$52</f>
        <v>0</v>
      </c>
      <c r="CH36" s="3" t="n">
        <f aca="false">CH35*$D$52</f>
        <v>0</v>
      </c>
      <c r="CI36" s="3" t="n">
        <f aca="false">CI35*$D$52</f>
        <v>0</v>
      </c>
      <c r="CJ36" s="3" t="n">
        <f aca="false">CJ35*$D$52</f>
        <v>0</v>
      </c>
      <c r="CK36" s="3" t="n">
        <f aca="false">CK35*$D$52</f>
        <v>0</v>
      </c>
      <c r="CL36" s="3" t="n">
        <f aca="false">CL35*$D$52</f>
        <v>0</v>
      </c>
      <c r="CM36" s="3" t="n">
        <f aca="false">CM35*$D$52</f>
        <v>0</v>
      </c>
      <c r="CN36" s="3" t="n">
        <f aca="false">CN35*$D$52</f>
        <v>0</v>
      </c>
      <c r="CO36" s="3" t="n">
        <f aca="false">CO35*$D$52</f>
        <v>0</v>
      </c>
      <c r="CP36" s="3" t="n">
        <f aca="false">CP35*$D$52</f>
        <v>0</v>
      </c>
      <c r="CQ36" s="3" t="n">
        <f aca="false">CQ35*$D$52</f>
        <v>0</v>
      </c>
      <c r="CR36" s="3" t="n">
        <f aca="false">CR35*$D$52</f>
        <v>0</v>
      </c>
      <c r="CS36" s="3" t="n">
        <f aca="false">CS35*$D$52</f>
        <v>0</v>
      </c>
      <c r="CT36" s="3" t="n">
        <f aca="false">CT35*$D$52</f>
        <v>0</v>
      </c>
      <c r="CU36" s="3" t="n">
        <f aca="false">CU35*$D$52</f>
        <v>0</v>
      </c>
      <c r="CV36" s="3" t="n">
        <f aca="false">CV35*$D$52</f>
        <v>0</v>
      </c>
      <c r="CW36" s="3" t="n">
        <f aca="false">CW35*$D$52</f>
        <v>0</v>
      </c>
      <c r="CX36" s="3" t="n">
        <f aca="false">CX35*$D$52</f>
        <v>0</v>
      </c>
      <c r="CY36" s="3" t="n">
        <f aca="false">CY35*$D$52</f>
        <v>0</v>
      </c>
      <c r="CZ36" s="3" t="n">
        <f aca="false">CZ35*$D$52</f>
        <v>0</v>
      </c>
      <c r="DA36" s="3" t="n">
        <f aca="false">DA35*$D$52</f>
        <v>0</v>
      </c>
      <c r="DB36" s="3" t="n">
        <f aca="false">DB35*$D$52</f>
        <v>0</v>
      </c>
      <c r="DC36" s="3" t="n">
        <f aca="false">DC35*$D$52</f>
        <v>0</v>
      </c>
      <c r="DD36" s="3" t="n">
        <f aca="false">DD35*$D$52</f>
        <v>0</v>
      </c>
      <c r="DE36" s="3" t="n">
        <f aca="false">DE35*$D$52</f>
        <v>0</v>
      </c>
      <c r="DF36" s="3" t="n">
        <f aca="false">DF35*$D$52</f>
        <v>0</v>
      </c>
      <c r="DG36" s="3" t="n">
        <f aca="false">DG35*$D$52</f>
        <v>0</v>
      </c>
      <c r="DH36" s="3" t="n">
        <f aca="false">DH35*$D$52</f>
        <v>0</v>
      </c>
      <c r="DI36" s="3" t="n">
        <f aca="false">DI35*$D$52</f>
        <v>0</v>
      </c>
      <c r="DJ36" s="3" t="n">
        <f aca="false">DJ35*$D$52</f>
        <v>0</v>
      </c>
      <c r="DK36" s="3" t="n">
        <f aca="false">DK35*$D$52</f>
        <v>0</v>
      </c>
      <c r="DL36" s="3" t="n">
        <f aca="false">DL35*$D$52</f>
        <v>0</v>
      </c>
      <c r="DM36" s="3" t="n">
        <f aca="false">DM35*$D$52</f>
        <v>0</v>
      </c>
      <c r="DN36" s="3" t="n">
        <f aca="false">DN35*$D$52</f>
        <v>0</v>
      </c>
      <c r="DO36" s="3" t="n">
        <f aca="false">DO35*$D$52</f>
        <v>0</v>
      </c>
      <c r="DP36" s="3" t="n">
        <f aca="false">DP35*$D$52</f>
        <v>0</v>
      </c>
      <c r="DQ36" s="3" t="n">
        <f aca="false">DQ35*$D$52</f>
        <v>0</v>
      </c>
      <c r="DR36" s="3" t="n">
        <f aca="false">DR35*$D$52</f>
        <v>0</v>
      </c>
      <c r="DS36" s="3" t="n">
        <f aca="false">DS35*$D$52</f>
        <v>0</v>
      </c>
      <c r="DT36" s="3" t="n">
        <f aca="false">DT35*$D$52</f>
        <v>0</v>
      </c>
      <c r="DU36" s="3" t="n">
        <f aca="false">DU35*$D$52</f>
        <v>0</v>
      </c>
      <c r="DV36" s="3" t="n">
        <f aca="false">DV35*$D$52</f>
        <v>0</v>
      </c>
      <c r="DW36" s="3" t="n">
        <f aca="false">DW35*$D$52</f>
        <v>0</v>
      </c>
      <c r="DX36" s="3" t="n">
        <f aca="false">DX35*$D$52</f>
        <v>0</v>
      </c>
      <c r="DY36" s="3" t="n">
        <f aca="false">DY35*$D$52</f>
        <v>0</v>
      </c>
      <c r="DZ36" s="3" t="n">
        <f aca="false">DZ35*$D$52</f>
        <v>0</v>
      </c>
      <c r="EA36" s="3" t="n">
        <f aca="false">EA35*$D$52</f>
        <v>0</v>
      </c>
      <c r="EB36" s="3" t="n">
        <f aca="false">EB35*$D$52</f>
        <v>0</v>
      </c>
      <c r="EC36" s="3" t="n">
        <f aca="false">EC35*$D$52</f>
        <v>0</v>
      </c>
      <c r="ED36" s="3" t="n">
        <f aca="false">ED35*$D$52</f>
        <v>0</v>
      </c>
      <c r="EE36" s="3" t="n">
        <f aca="false">EE35*$D$52</f>
        <v>0</v>
      </c>
      <c r="EF36" s="3" t="n">
        <f aca="false">EF35*$D$52</f>
        <v>0</v>
      </c>
      <c r="EG36" s="3" t="n">
        <f aca="false">EG35*$D$52</f>
        <v>0</v>
      </c>
      <c r="EH36" s="3" t="n">
        <f aca="false">EH35*$D$52</f>
        <v>0</v>
      </c>
      <c r="EI36" s="3" t="n">
        <f aca="false">EI35*$D$52</f>
        <v>0</v>
      </c>
      <c r="EJ36" s="3" t="n">
        <f aca="false">EJ35*$D$52</f>
        <v>0</v>
      </c>
      <c r="EK36" s="3" t="n">
        <f aca="false">EK35*$D$52</f>
        <v>0</v>
      </c>
      <c r="EL36" s="3" t="n">
        <f aca="false">EL35*$D$52</f>
        <v>0</v>
      </c>
    </row>
    <row r="37" customFormat="false" ht="15" hidden="false" customHeight="false" outlineLevel="0" collapsed="false">
      <c r="C37" s="0" t="s">
        <v>46</v>
      </c>
      <c r="D37" s="5" t="n">
        <f aca="false">SUM(D34:D36)</f>
        <v>1897000</v>
      </c>
      <c r="I37" s="3" t="s">
        <v>47</v>
      </c>
      <c r="K37" s="3" t="n">
        <f aca="false">K35-K36</f>
        <v>0</v>
      </c>
      <c r="L37" s="3" t="n">
        <f aca="false">L35-L36</f>
        <v>0</v>
      </c>
      <c r="M37" s="3" t="n">
        <f aca="false">M35-M36</f>
        <v>0</v>
      </c>
      <c r="N37" s="3" t="n">
        <f aca="false">N35-N36</f>
        <v>0</v>
      </c>
      <c r="O37" s="3" t="n">
        <f aca="false">O35-O36</f>
        <v>0</v>
      </c>
      <c r="P37" s="3" t="n">
        <f aca="false">P35-P36</f>
        <v>0</v>
      </c>
      <c r="Q37" s="3" t="n">
        <f aca="false">Q35-Q36</f>
        <v>0</v>
      </c>
      <c r="R37" s="3" t="n">
        <f aca="false">R35-R36</f>
        <v>0</v>
      </c>
      <c r="S37" s="3" t="n">
        <f aca="false">S35-S36</f>
        <v>0</v>
      </c>
      <c r="T37" s="3" t="n">
        <f aca="false">T35-T36</f>
        <v>0</v>
      </c>
      <c r="U37" s="3" t="n">
        <f aca="false">U35-U36</f>
        <v>0</v>
      </c>
      <c r="V37" s="3" t="n">
        <f aca="false">V35-V36</f>
        <v>0</v>
      </c>
      <c r="W37" s="3" t="n">
        <f aca="false">W35-W36</f>
        <v>0</v>
      </c>
      <c r="X37" s="3" t="n">
        <f aca="false">X35-X36</f>
        <v>0</v>
      </c>
      <c r="Y37" s="3" t="n">
        <f aca="false">Y35-Y36</f>
        <v>0</v>
      </c>
      <c r="Z37" s="3" t="n">
        <f aca="false">Z35-Z36</f>
        <v>0</v>
      </c>
      <c r="AA37" s="3" t="n">
        <f aca="false">AA35-AA36</f>
        <v>0</v>
      </c>
      <c r="AB37" s="3" t="n">
        <f aca="false">AB35-AB36</f>
        <v>0</v>
      </c>
      <c r="AC37" s="3" t="n">
        <f aca="false">AC35-AC36</f>
        <v>0</v>
      </c>
      <c r="AD37" s="3" t="n">
        <f aca="false">AD35-AD36</f>
        <v>0</v>
      </c>
      <c r="AE37" s="3" t="n">
        <f aca="false">AE35-AE36</f>
        <v>0</v>
      </c>
      <c r="AF37" s="3" t="n">
        <f aca="false">AF35-AF36</f>
        <v>0</v>
      </c>
      <c r="AG37" s="3" t="n">
        <f aca="false">AG35-AG36</f>
        <v>0</v>
      </c>
      <c r="AH37" s="3" t="n">
        <f aca="false">AH35-AH36</f>
        <v>0</v>
      </c>
      <c r="AI37" s="3" t="n">
        <f aca="false">AI35-AI36</f>
        <v>0</v>
      </c>
      <c r="AJ37" s="3" t="n">
        <f aca="false">AJ35-AJ36</f>
        <v>0</v>
      </c>
      <c r="AK37" s="3" t="n">
        <f aca="false">AK35-AK36</f>
        <v>0</v>
      </c>
      <c r="AL37" s="3" t="n">
        <f aca="false">AL35-AL36</f>
        <v>0</v>
      </c>
      <c r="AM37" s="3" t="n">
        <f aca="false">AM35-AM36</f>
        <v>0</v>
      </c>
      <c r="AN37" s="3" t="n">
        <f aca="false">AN35-AN36</f>
        <v>0</v>
      </c>
      <c r="AO37" s="3" t="n">
        <f aca="false">AO35-AO36</f>
        <v>0</v>
      </c>
      <c r="AP37" s="3" t="n">
        <f aca="false">AP35-AP36</f>
        <v>0</v>
      </c>
      <c r="AQ37" s="3" t="n">
        <f aca="false">AQ35-AQ36</f>
        <v>0</v>
      </c>
      <c r="AR37" s="3" t="n">
        <f aca="false">AR35-AR36</f>
        <v>0</v>
      </c>
      <c r="AS37" s="3" t="n">
        <f aca="false">AS35-AS36</f>
        <v>0</v>
      </c>
      <c r="AT37" s="3" t="n">
        <f aca="false">AT35-AT36</f>
        <v>0</v>
      </c>
      <c r="AU37" s="3" t="n">
        <f aca="false">AU35-AU36</f>
        <v>0</v>
      </c>
      <c r="AV37" s="3" t="n">
        <f aca="false">AV35-AV36</f>
        <v>0</v>
      </c>
      <c r="AW37" s="3" t="n">
        <f aca="false">AW35-AW36</f>
        <v>0</v>
      </c>
      <c r="AX37" s="3" t="n">
        <f aca="false">AX35-AX36</f>
        <v>0</v>
      </c>
      <c r="AY37" s="3" t="n">
        <f aca="false">AY35-AY36</f>
        <v>0</v>
      </c>
      <c r="AZ37" s="3" t="n">
        <f aca="false">AZ35-AZ36</f>
        <v>0</v>
      </c>
      <c r="BA37" s="3" t="n">
        <f aca="false">BA35-BA36</f>
        <v>0</v>
      </c>
      <c r="BB37" s="3" t="n">
        <f aca="false">BB35-BB36</f>
        <v>0</v>
      </c>
      <c r="BC37" s="3" t="n">
        <f aca="false">BC35-BC36</f>
        <v>0</v>
      </c>
      <c r="BD37" s="3" t="n">
        <f aca="false">BD35-BD36</f>
        <v>0</v>
      </c>
      <c r="BE37" s="3" t="n">
        <f aca="false">BE35-BE36</f>
        <v>0</v>
      </c>
      <c r="BF37" s="3" t="n">
        <f aca="false">BF35-BF36</f>
        <v>0</v>
      </c>
      <c r="BG37" s="3" t="n">
        <f aca="false">BG35-BG36</f>
        <v>0</v>
      </c>
      <c r="BH37" s="3" t="n">
        <f aca="false">BH35-BH36</f>
        <v>0</v>
      </c>
      <c r="BI37" s="3" t="n">
        <f aca="false">BI35-BI36</f>
        <v>0</v>
      </c>
      <c r="BJ37" s="3" t="n">
        <f aca="false">BJ35-BJ36</f>
        <v>0</v>
      </c>
      <c r="BK37" s="3" t="n">
        <f aca="false">BK35-BK36</f>
        <v>0</v>
      </c>
      <c r="BL37" s="3" t="n">
        <f aca="false">BL35-BL36</f>
        <v>0</v>
      </c>
      <c r="BM37" s="3" t="n">
        <f aca="false">BM35-BM36</f>
        <v>0</v>
      </c>
      <c r="BN37" s="3" t="n">
        <f aca="false">BN35-BN36</f>
        <v>0</v>
      </c>
      <c r="BO37" s="3" t="n">
        <f aca="false">BO35-BO36</f>
        <v>0</v>
      </c>
      <c r="BP37" s="3" t="n">
        <f aca="false">BP35-BP36</f>
        <v>0</v>
      </c>
      <c r="BQ37" s="3" t="n">
        <f aca="false">BQ35-BQ36</f>
        <v>0</v>
      </c>
      <c r="BR37" s="3" t="n">
        <f aca="false">BR35-BR36</f>
        <v>20050967.2841747</v>
      </c>
      <c r="BS37" s="3" t="n">
        <f aca="false">BS35-BS36</f>
        <v>0</v>
      </c>
      <c r="BT37" s="3" t="n">
        <f aca="false">BT35-BT36</f>
        <v>0</v>
      </c>
      <c r="BU37" s="3" t="n">
        <f aca="false">BU35-BU36</f>
        <v>0</v>
      </c>
      <c r="BV37" s="3" t="n">
        <f aca="false">BV35-BV36</f>
        <v>0</v>
      </c>
      <c r="BW37" s="3" t="n">
        <f aca="false">BW35-BW36</f>
        <v>0</v>
      </c>
      <c r="BX37" s="3" t="n">
        <f aca="false">BX35-BX36</f>
        <v>0</v>
      </c>
      <c r="BY37" s="3" t="n">
        <f aca="false">BY35-BY36</f>
        <v>0</v>
      </c>
      <c r="BZ37" s="3" t="n">
        <f aca="false">BZ35-BZ36</f>
        <v>0</v>
      </c>
      <c r="CA37" s="3" t="n">
        <f aca="false">CA35-CA36</f>
        <v>0</v>
      </c>
      <c r="CB37" s="3" t="n">
        <f aca="false">CB35-CB36</f>
        <v>0</v>
      </c>
      <c r="CC37" s="3" t="n">
        <f aca="false">CC35-CC36</f>
        <v>0</v>
      </c>
      <c r="CD37" s="3" t="n">
        <f aca="false">CD35-CD36</f>
        <v>0</v>
      </c>
      <c r="CE37" s="3" t="n">
        <f aca="false">CE35-CE36</f>
        <v>0</v>
      </c>
      <c r="CF37" s="3" t="n">
        <f aca="false">CF35-CF36</f>
        <v>0</v>
      </c>
      <c r="CG37" s="3" t="n">
        <f aca="false">CG35-CG36</f>
        <v>0</v>
      </c>
      <c r="CH37" s="3" t="n">
        <f aca="false">CH35-CH36</f>
        <v>0</v>
      </c>
      <c r="CI37" s="3" t="n">
        <f aca="false">CI35-CI36</f>
        <v>0</v>
      </c>
      <c r="CJ37" s="3" t="n">
        <f aca="false">CJ35-CJ36</f>
        <v>0</v>
      </c>
      <c r="CK37" s="3" t="n">
        <f aca="false">CK35-CK36</f>
        <v>0</v>
      </c>
      <c r="CL37" s="3" t="n">
        <f aca="false">CL35-CL36</f>
        <v>0</v>
      </c>
      <c r="CM37" s="3" t="n">
        <f aca="false">CM35-CM36</f>
        <v>0</v>
      </c>
      <c r="CN37" s="3" t="n">
        <f aca="false">CN35-CN36</f>
        <v>0</v>
      </c>
      <c r="CO37" s="3" t="n">
        <f aca="false">CO35-CO36</f>
        <v>0</v>
      </c>
      <c r="CP37" s="3" t="n">
        <f aca="false">CP35-CP36</f>
        <v>0</v>
      </c>
      <c r="CQ37" s="3" t="n">
        <f aca="false">CQ35-CQ36</f>
        <v>0</v>
      </c>
      <c r="CR37" s="3" t="n">
        <f aca="false">CR35-CR36</f>
        <v>0</v>
      </c>
      <c r="CS37" s="3" t="n">
        <f aca="false">CS35-CS36</f>
        <v>0</v>
      </c>
      <c r="CT37" s="3" t="n">
        <f aca="false">CT35-CT36</f>
        <v>0</v>
      </c>
      <c r="CU37" s="3" t="n">
        <f aca="false">CU35-CU36</f>
        <v>0</v>
      </c>
      <c r="CV37" s="3" t="n">
        <f aca="false">CV35-CV36</f>
        <v>0</v>
      </c>
      <c r="CW37" s="3" t="n">
        <f aca="false">CW35-CW36</f>
        <v>0</v>
      </c>
      <c r="CX37" s="3" t="n">
        <f aca="false">CX35-CX36</f>
        <v>0</v>
      </c>
      <c r="CY37" s="3" t="n">
        <f aca="false">CY35-CY36</f>
        <v>0</v>
      </c>
      <c r="CZ37" s="3" t="n">
        <f aca="false">CZ35-CZ36</f>
        <v>0</v>
      </c>
      <c r="DA37" s="3" t="n">
        <f aca="false">DA35-DA36</f>
        <v>0</v>
      </c>
      <c r="DB37" s="3" t="n">
        <f aca="false">DB35-DB36</f>
        <v>0</v>
      </c>
      <c r="DC37" s="3" t="n">
        <f aca="false">DC35-DC36</f>
        <v>0</v>
      </c>
      <c r="DD37" s="3" t="n">
        <f aca="false">DD35-DD36</f>
        <v>0</v>
      </c>
      <c r="DE37" s="3" t="n">
        <f aca="false">DE35-DE36</f>
        <v>0</v>
      </c>
      <c r="DF37" s="3" t="n">
        <f aca="false">DF35-DF36</f>
        <v>0</v>
      </c>
      <c r="DG37" s="3" t="n">
        <f aca="false">DG35-DG36</f>
        <v>0</v>
      </c>
      <c r="DH37" s="3" t="n">
        <f aca="false">DH35-DH36</f>
        <v>0</v>
      </c>
      <c r="DI37" s="3" t="n">
        <f aca="false">DI35-DI36</f>
        <v>0</v>
      </c>
      <c r="DJ37" s="3" t="n">
        <f aca="false">DJ35-DJ36</f>
        <v>0</v>
      </c>
      <c r="DK37" s="3" t="n">
        <f aca="false">DK35-DK36</f>
        <v>0</v>
      </c>
      <c r="DL37" s="3" t="n">
        <f aca="false">DL35-DL36</f>
        <v>0</v>
      </c>
      <c r="DM37" s="3" t="n">
        <f aca="false">DM35-DM36</f>
        <v>0</v>
      </c>
      <c r="DN37" s="3" t="n">
        <f aca="false">DN35-DN36</f>
        <v>0</v>
      </c>
      <c r="DO37" s="3" t="n">
        <f aca="false">DO35-DO36</f>
        <v>0</v>
      </c>
      <c r="DP37" s="3" t="n">
        <f aca="false">DP35-DP36</f>
        <v>0</v>
      </c>
      <c r="DQ37" s="3" t="n">
        <f aca="false">DQ35-DQ36</f>
        <v>0</v>
      </c>
      <c r="DR37" s="3" t="n">
        <f aca="false">DR35-DR36</f>
        <v>0</v>
      </c>
      <c r="DS37" s="3" t="n">
        <f aca="false">DS35-DS36</f>
        <v>0</v>
      </c>
      <c r="DT37" s="3" t="n">
        <f aca="false">DT35-DT36</f>
        <v>0</v>
      </c>
      <c r="DU37" s="3" t="n">
        <f aca="false">DU35-DU36</f>
        <v>0</v>
      </c>
      <c r="DV37" s="3" t="n">
        <f aca="false">DV35-DV36</f>
        <v>0</v>
      </c>
      <c r="DW37" s="3" t="n">
        <f aca="false">DW35-DW36</f>
        <v>0</v>
      </c>
      <c r="DX37" s="3" t="n">
        <f aca="false">DX35-DX36</f>
        <v>0</v>
      </c>
      <c r="DY37" s="3" t="n">
        <f aca="false">DY35-DY36</f>
        <v>0</v>
      </c>
      <c r="DZ37" s="3" t="n">
        <f aca="false">DZ35-DZ36</f>
        <v>0</v>
      </c>
      <c r="EA37" s="3" t="n">
        <f aca="false">EA35-EA36</f>
        <v>0</v>
      </c>
      <c r="EB37" s="3" t="n">
        <f aca="false">EB35-EB36</f>
        <v>0</v>
      </c>
      <c r="EC37" s="3" t="n">
        <f aca="false">EC35-EC36</f>
        <v>0</v>
      </c>
      <c r="ED37" s="3" t="n">
        <f aca="false">ED35-ED36</f>
        <v>0</v>
      </c>
      <c r="EE37" s="3" t="n">
        <f aca="false">EE35-EE36</f>
        <v>0</v>
      </c>
      <c r="EF37" s="3" t="n">
        <f aca="false">EF35-EF36</f>
        <v>0</v>
      </c>
      <c r="EG37" s="3" t="n">
        <f aca="false">EG35-EG36</f>
        <v>0</v>
      </c>
      <c r="EH37" s="3" t="n">
        <f aca="false">EH35-EH36</f>
        <v>0</v>
      </c>
      <c r="EI37" s="3" t="n">
        <f aca="false">EI35-EI36</f>
        <v>0</v>
      </c>
      <c r="EJ37" s="3" t="n">
        <f aca="false">EJ35-EJ36</f>
        <v>0</v>
      </c>
      <c r="EK37" s="3" t="n">
        <f aca="false">EK35-EK36</f>
        <v>0</v>
      </c>
      <c r="EL37" s="3" t="n">
        <f aca="false">EL35-EL36</f>
        <v>0</v>
      </c>
    </row>
    <row r="38" customFormat="false" ht="15" hidden="false" customHeight="false" outlineLevel="0" collapsed="false">
      <c r="C38" s="0" t="s">
        <v>48</v>
      </c>
      <c r="D38" s="4" t="n">
        <v>0.05</v>
      </c>
    </row>
    <row r="39" customFormat="false" ht="15" hidden="false" customHeight="false" outlineLevel="0" collapsed="false">
      <c r="C39" s="0" t="s">
        <v>49</v>
      </c>
      <c r="D39" s="5" t="n">
        <v>214000</v>
      </c>
      <c r="I39" s="3" t="s">
        <v>50</v>
      </c>
      <c r="J39" s="3" t="n">
        <f aca="false">J19</f>
        <v>-18870000</v>
      </c>
      <c r="K39" s="3" t="n">
        <f aca="false">(K15&lt;=ROUND($D$31,0))*SUM(K33,K37)</f>
        <v>121497.125</v>
      </c>
      <c r="L39" s="3" t="n">
        <f aca="false">(L15&lt;=ROUND($D$31,0))*SUM(L33,L37)</f>
        <v>70497.125</v>
      </c>
      <c r="M39" s="3" t="n">
        <f aca="false">(M15&lt;=ROUND($D$31,0))*SUM(M33,M37)</f>
        <v>121497.125</v>
      </c>
      <c r="N39" s="3" t="n">
        <f aca="false">(N15&lt;=ROUND($D$31,0))*SUM(N33,N37)</f>
        <v>121497.125</v>
      </c>
      <c r="O39" s="3" t="n">
        <f aca="false">(O15&lt;=ROUND($D$31,0))*SUM(O33,O37)</f>
        <v>121497.125</v>
      </c>
      <c r="P39" s="3" t="n">
        <f aca="false">(P15&lt;=ROUND($D$31,0))*SUM(P33,P37)</f>
        <v>121497.125</v>
      </c>
      <c r="Q39" s="3" t="n">
        <f aca="false">(Q15&lt;=ROUND($D$31,0))*SUM(Q33,Q37)</f>
        <v>129257.125</v>
      </c>
      <c r="R39" s="3" t="n">
        <f aca="false">(R15&lt;=ROUND($D$31,0))*SUM(R33,R37)</f>
        <v>129257.125</v>
      </c>
      <c r="S39" s="3" t="n">
        <f aca="false">(S15&lt;=ROUND($D$31,0))*SUM(S33,S37)</f>
        <v>-84742.875</v>
      </c>
      <c r="T39" s="3" t="n">
        <f aca="false">(T15&lt;=ROUND($D$31,0))*SUM(T33,T37)</f>
        <v>129257.125</v>
      </c>
      <c r="U39" s="3" t="n">
        <f aca="false">(U15&lt;=ROUND($D$31,0))*SUM(U33,U37)</f>
        <v>129257.125</v>
      </c>
      <c r="V39" s="3" t="n">
        <f aca="false">(V15&lt;=ROUND($D$31,0))*SUM(V33,V37)</f>
        <v>129257.125</v>
      </c>
      <c r="W39" s="3" t="n">
        <f aca="false">(W15&lt;=ROUND($D$31,0))*SUM(W33,W37)</f>
        <v>132430.636458333</v>
      </c>
      <c r="X39" s="3" t="n">
        <f aca="false">(X15&lt;=ROUND($D$31,0))*SUM(X33,X37)</f>
        <v>79900.6364583333</v>
      </c>
      <c r="Y39" s="3" t="n">
        <f aca="false">(Y15&lt;=ROUND($D$31,0))*SUM(Y33,Y37)</f>
        <v>132430.636458333</v>
      </c>
      <c r="Z39" s="3" t="n">
        <f aca="false">(Z15&lt;=ROUND($D$31,0))*SUM(Z33,Z37)</f>
        <v>132430.636458333</v>
      </c>
      <c r="AA39" s="3" t="n">
        <f aca="false">(AA15&lt;=ROUND($D$31,0))*SUM(AA33,AA37)</f>
        <v>132430.636458333</v>
      </c>
      <c r="AB39" s="3" t="n">
        <f aca="false">(AB15&lt;=ROUND($D$31,0))*SUM(AB33,AB37)</f>
        <v>132430.636458333</v>
      </c>
      <c r="AC39" s="3" t="n">
        <f aca="false">(AC15&lt;=ROUND($D$31,0))*SUM(AC33,AC37)</f>
        <v>132430.636458333</v>
      </c>
      <c r="AD39" s="3" t="n">
        <f aca="false">(AD15&lt;=ROUND($D$31,0))*SUM(AD33,AD37)</f>
        <v>132430.636458333</v>
      </c>
      <c r="AE39" s="3" t="n">
        <f aca="false">(AE15&lt;=ROUND($D$31,0))*SUM(AE33,AE37)</f>
        <v>-87989.3635416667</v>
      </c>
      <c r="AF39" s="3" t="n">
        <f aca="false">(AF15&lt;=ROUND($D$31,0))*SUM(AF33,AF37)</f>
        <v>132430.636458333</v>
      </c>
      <c r="AG39" s="3" t="n">
        <f aca="false">(AG15&lt;=ROUND($D$31,0))*SUM(AG33,AG37)</f>
        <v>132430.636458333</v>
      </c>
      <c r="AH39" s="3" t="n">
        <f aca="false">(AH15&lt;=ROUND($D$31,0))*SUM(AH33,AH37)</f>
        <v>132430.636458333</v>
      </c>
      <c r="AI39" s="3" t="n">
        <f aca="false">(AI15&lt;=ROUND($D$31,0))*SUM(AI33,AI37)</f>
        <v>135681.627369792</v>
      </c>
      <c r="AJ39" s="3" t="n">
        <f aca="false">(AJ15&lt;=ROUND($D$31,0))*SUM(AJ33,AJ37)</f>
        <v>81575.7273697917</v>
      </c>
      <c r="AK39" s="3" t="n">
        <f aca="false">(AK15&lt;=ROUND($D$31,0))*SUM(AK33,AK37)</f>
        <v>135681.627369792</v>
      </c>
      <c r="AL39" s="3" t="n">
        <f aca="false">(AL15&lt;=ROUND($D$31,0))*SUM(AL33,AL37)</f>
        <v>135681.627369792</v>
      </c>
      <c r="AM39" s="3" t="n">
        <f aca="false">(AM15&lt;=ROUND($D$31,0))*SUM(AM33,AM37)</f>
        <v>135681.627369792</v>
      </c>
      <c r="AN39" s="3" t="n">
        <f aca="false">(AN15&lt;=ROUND($D$31,0))*SUM(AN33,AN37)</f>
        <v>-48318.3726302083</v>
      </c>
      <c r="AO39" s="3" t="n">
        <f aca="false">(AO15&lt;=ROUND($D$31,0))*SUM(AO33,AO37)</f>
        <v>135681.627369792</v>
      </c>
      <c r="AP39" s="3" t="n">
        <f aca="false">(AP15&lt;=ROUND($D$31,0))*SUM(AP33,AP37)</f>
        <v>135681.627369792</v>
      </c>
      <c r="AQ39" s="3" t="n">
        <f aca="false">(AQ15&lt;=ROUND($D$31,0))*SUM(AQ33,AQ37)</f>
        <v>-91350.9726302083</v>
      </c>
      <c r="AR39" s="3" t="n">
        <f aca="false">(AR15&lt;=ROUND($D$31,0))*SUM(AR33,AR37)</f>
        <v>135681.627369792</v>
      </c>
      <c r="AS39" s="3" t="n">
        <f aca="false">(AS15&lt;=ROUND($D$31,0))*SUM(AS33,AS37)</f>
        <v>135681.627369792</v>
      </c>
      <c r="AT39" s="3" t="n">
        <f aca="false">(AT15&lt;=ROUND($D$31,0))*SUM(AT33,AT37)</f>
        <v>135681.627369792</v>
      </c>
      <c r="AU39" s="3" t="n">
        <f aca="false">(AU15&lt;=ROUND($D$31,0))*SUM(AU33,AU37)</f>
        <v>139011.976554036</v>
      </c>
      <c r="AV39" s="3" t="n">
        <f aca="false">(AV15&lt;=ROUND($D$31,0))*SUM(AV33,AV37)</f>
        <v>83282.8995540364</v>
      </c>
      <c r="AW39" s="3" t="n">
        <f aca="false">(AW15&lt;=ROUND($D$31,0))*SUM(AW33,AW37)</f>
        <v>139011.976554036</v>
      </c>
      <c r="AX39" s="3" t="n">
        <f aca="false">(AX15&lt;=ROUND($D$31,0))*SUM(AX33,AX37)</f>
        <v>139011.976554036</v>
      </c>
      <c r="AY39" s="3" t="n">
        <f aca="false">(AY15&lt;=ROUND($D$31,0))*SUM(AY33,AY37)</f>
        <v>139011.976554036</v>
      </c>
      <c r="AZ39" s="3" t="n">
        <f aca="false">(AZ15&lt;=ROUND($D$31,0))*SUM(AZ33,AZ37)</f>
        <v>139011.976554036</v>
      </c>
      <c r="BA39" s="3" t="n">
        <f aca="false">(BA15&lt;=ROUND($D$31,0))*SUM(BA33,BA37)</f>
        <v>139011.976554036</v>
      </c>
      <c r="BB39" s="3" t="n">
        <f aca="false">(BB15&lt;=ROUND($D$31,0))*SUM(BB33,BB37)</f>
        <v>139011.976554036</v>
      </c>
      <c r="BC39" s="3" t="n">
        <f aca="false">(BC15&lt;=ROUND($D$31,0))*SUM(BC33,BC37)</f>
        <v>-94831.6014459636</v>
      </c>
      <c r="BD39" s="3" t="n">
        <f aca="false">(BD15&lt;=ROUND($D$31,0))*SUM(BD33,BD37)</f>
        <v>139011.976554036</v>
      </c>
      <c r="BE39" s="3" t="n">
        <f aca="false">(BE15&lt;=ROUND($D$31,0))*SUM(BE33,BE37)</f>
        <v>139011.976554036</v>
      </c>
      <c r="BF39" s="3" t="n">
        <f aca="false">(BF15&lt;=ROUND($D$31,0))*SUM(BF33,BF37)</f>
        <v>139011.976554036</v>
      </c>
      <c r="BG39" s="3" t="n">
        <f aca="false">(BG15&lt;=ROUND($D$31,0))*SUM(BG33,BG37)</f>
        <v>142423.608007887</v>
      </c>
      <c r="BH39" s="3" t="n">
        <f aca="false">(BH15&lt;=ROUND($D$31,0))*SUM(BH33,BH37)</f>
        <v>85022.6586978873</v>
      </c>
      <c r="BI39" s="3" t="n">
        <f aca="false">(BI15&lt;=ROUND($D$31,0))*SUM(BI33,BI37)</f>
        <v>142423.608007887</v>
      </c>
      <c r="BJ39" s="3" t="n">
        <f aca="false">(BJ15&lt;=ROUND($D$31,0))*SUM(BJ33,BJ37)</f>
        <v>142423.608007887</v>
      </c>
      <c r="BK39" s="3" t="n">
        <f aca="false">(BK15&lt;=ROUND($D$31,0))*SUM(BK33,BK37)</f>
        <v>142423.608007887</v>
      </c>
      <c r="BL39" s="3" t="n">
        <f aca="false">(BL15&lt;=ROUND($D$31,0))*SUM(BL33,BL37)</f>
        <v>142423.608007887</v>
      </c>
      <c r="BM39" s="3" t="n">
        <f aca="false">(BM15&lt;=ROUND($D$31,0))*SUM(BM33,BM37)</f>
        <v>142423.608007887</v>
      </c>
      <c r="BN39" s="3" t="n">
        <f aca="false">(BN15&lt;=ROUND($D$31,0))*SUM(BN33,BN37)</f>
        <v>142423.608007887</v>
      </c>
      <c r="BO39" s="3" t="n">
        <f aca="false">(BO15&lt;=ROUND($D$31,0))*SUM(BO33,BO37)</f>
        <v>-98435.2773321127</v>
      </c>
      <c r="BP39" s="3" t="n">
        <f aca="false">(BP15&lt;=ROUND($D$31,0))*SUM(BP33,BP37)</f>
        <v>142423.608007887</v>
      </c>
      <c r="BQ39" s="3" t="n">
        <f aca="false">(BQ15&lt;=ROUND($D$31,0))*SUM(BQ33,BQ37)</f>
        <v>142423.608007887</v>
      </c>
      <c r="BR39" s="3" t="n">
        <f aca="false">(BR15&lt;=ROUND($D$31,0))*SUM(BR33,BR37)</f>
        <v>20193390.8921826</v>
      </c>
      <c r="BS39" s="3" t="n">
        <f aca="false">(BS15&lt;=ROUND($D$31,0))*SUM(BS33,BS37)</f>
        <v>0</v>
      </c>
      <c r="BT39" s="3" t="n">
        <f aca="false">(BT15&lt;=ROUND($D$31,0))*SUM(BT33,BT37)</f>
        <v>0</v>
      </c>
      <c r="BU39" s="3" t="n">
        <f aca="false">(BU15&lt;=ROUND($D$31,0))*SUM(BU33,BU37)</f>
        <v>0</v>
      </c>
      <c r="BV39" s="3" t="n">
        <f aca="false">(BV15&lt;=ROUND($D$31,0))*SUM(BV33,BV37)</f>
        <v>0</v>
      </c>
      <c r="BW39" s="3" t="n">
        <f aca="false">(BW15&lt;=ROUND($D$31,0))*SUM(BW33,BW37)</f>
        <v>0</v>
      </c>
      <c r="BX39" s="3" t="n">
        <f aca="false">(BX15&lt;=ROUND($D$31,0))*SUM(BX33,BX37)</f>
        <v>0</v>
      </c>
      <c r="BY39" s="3" t="n">
        <f aca="false">(BY15&lt;=ROUND($D$31,0))*SUM(BY33,BY37)</f>
        <v>0</v>
      </c>
      <c r="BZ39" s="3" t="n">
        <f aca="false">(BZ15&lt;=ROUND($D$31,0))*SUM(BZ33,BZ37)</f>
        <v>0</v>
      </c>
      <c r="CA39" s="3" t="n">
        <f aca="false">(CA15&lt;=ROUND($D$31,0))*SUM(CA33,CA37)</f>
        <v>0</v>
      </c>
      <c r="CB39" s="3" t="n">
        <f aca="false">(CB15&lt;=ROUND($D$31,0))*SUM(CB33,CB37)</f>
        <v>0</v>
      </c>
      <c r="CC39" s="3" t="n">
        <f aca="false">(CC15&lt;=ROUND($D$31,0))*SUM(CC33,CC37)</f>
        <v>0</v>
      </c>
      <c r="CD39" s="3" t="n">
        <f aca="false">(CD15&lt;=ROUND($D$31,0))*SUM(CD33,CD37)</f>
        <v>0</v>
      </c>
      <c r="CE39" s="3" t="n">
        <f aca="false">(CE15&lt;=ROUND($D$31,0))*SUM(CE33,CE37)</f>
        <v>0</v>
      </c>
      <c r="CF39" s="3" t="n">
        <f aca="false">(CF15&lt;=ROUND($D$31,0))*SUM(CF33,CF37)</f>
        <v>0</v>
      </c>
      <c r="CG39" s="3" t="n">
        <f aca="false">(CG15&lt;=ROUND($D$31,0))*SUM(CG33,CG37)</f>
        <v>0</v>
      </c>
      <c r="CH39" s="3" t="n">
        <f aca="false">(CH15&lt;=ROUND($D$31,0))*SUM(CH33,CH37)</f>
        <v>0</v>
      </c>
      <c r="CI39" s="3" t="n">
        <f aca="false">(CI15&lt;=ROUND($D$31,0))*SUM(CI33,CI37)</f>
        <v>0</v>
      </c>
      <c r="CJ39" s="3" t="n">
        <f aca="false">(CJ15&lt;=ROUND($D$31,0))*SUM(CJ33,CJ37)</f>
        <v>0</v>
      </c>
      <c r="CK39" s="3" t="n">
        <f aca="false">(CK15&lt;=ROUND($D$31,0))*SUM(CK33,CK37)</f>
        <v>0</v>
      </c>
      <c r="CL39" s="3" t="n">
        <f aca="false">(CL15&lt;=ROUND($D$31,0))*SUM(CL33,CL37)</f>
        <v>0</v>
      </c>
      <c r="CM39" s="3" t="n">
        <f aca="false">(CM15&lt;=ROUND($D$31,0))*SUM(CM33,CM37)</f>
        <v>0</v>
      </c>
      <c r="CN39" s="3" t="n">
        <f aca="false">(CN15&lt;=ROUND($D$31,0))*SUM(CN33,CN37)</f>
        <v>0</v>
      </c>
      <c r="CO39" s="3" t="n">
        <f aca="false">(CO15&lt;=ROUND($D$31,0))*SUM(CO33,CO37)</f>
        <v>0</v>
      </c>
      <c r="CP39" s="3" t="n">
        <f aca="false">(CP15&lt;=ROUND($D$31,0))*SUM(CP33,CP37)</f>
        <v>0</v>
      </c>
      <c r="CQ39" s="3" t="n">
        <f aca="false">(CQ15&lt;=ROUND($D$31,0))*SUM(CQ33,CQ37)</f>
        <v>0</v>
      </c>
      <c r="CR39" s="3" t="n">
        <f aca="false">(CR15&lt;=ROUND($D$31,0))*SUM(CR33,CR37)</f>
        <v>0</v>
      </c>
      <c r="CS39" s="3" t="n">
        <f aca="false">(CS15&lt;=ROUND($D$31,0))*SUM(CS33,CS37)</f>
        <v>0</v>
      </c>
      <c r="CT39" s="3" t="n">
        <f aca="false">(CT15&lt;=ROUND($D$31,0))*SUM(CT33,CT37)</f>
        <v>0</v>
      </c>
      <c r="CU39" s="3" t="n">
        <f aca="false">(CU15&lt;=ROUND($D$31,0))*SUM(CU33,CU37)</f>
        <v>0</v>
      </c>
      <c r="CV39" s="3" t="n">
        <f aca="false">(CV15&lt;=ROUND($D$31,0))*SUM(CV33,CV37)</f>
        <v>0</v>
      </c>
      <c r="CW39" s="3" t="n">
        <f aca="false">(CW15&lt;=ROUND($D$31,0))*SUM(CW33,CW37)</f>
        <v>0</v>
      </c>
      <c r="CX39" s="3" t="n">
        <f aca="false">(CX15&lt;=ROUND($D$31,0))*SUM(CX33,CX37)</f>
        <v>0</v>
      </c>
      <c r="CY39" s="3" t="n">
        <f aca="false">(CY15&lt;=ROUND($D$31,0))*SUM(CY33,CY37)</f>
        <v>0</v>
      </c>
      <c r="CZ39" s="3" t="n">
        <f aca="false">(CZ15&lt;=ROUND($D$31,0))*SUM(CZ33,CZ37)</f>
        <v>0</v>
      </c>
      <c r="DA39" s="3" t="n">
        <f aca="false">(DA15&lt;=ROUND($D$31,0))*SUM(DA33,DA37)</f>
        <v>0</v>
      </c>
      <c r="DB39" s="3" t="n">
        <f aca="false">(DB15&lt;=ROUND($D$31,0))*SUM(DB33,DB37)</f>
        <v>0</v>
      </c>
      <c r="DC39" s="3" t="n">
        <f aca="false">(DC15&lt;=ROUND($D$31,0))*SUM(DC33,DC37)</f>
        <v>0</v>
      </c>
      <c r="DD39" s="3" t="n">
        <f aca="false">(DD15&lt;=ROUND($D$31,0))*SUM(DD33,DD37)</f>
        <v>0</v>
      </c>
      <c r="DE39" s="3" t="n">
        <f aca="false">(DE15&lt;=ROUND($D$31,0))*SUM(DE33,DE37)</f>
        <v>0</v>
      </c>
      <c r="DF39" s="3" t="n">
        <f aca="false">(DF15&lt;=ROUND($D$31,0))*SUM(DF33,DF37)</f>
        <v>0</v>
      </c>
      <c r="DG39" s="3" t="n">
        <f aca="false">(DG15&lt;=ROUND($D$31,0))*SUM(DG33,DG37)</f>
        <v>0</v>
      </c>
      <c r="DH39" s="3" t="n">
        <f aca="false">(DH15&lt;=ROUND($D$31,0))*SUM(DH33,DH37)</f>
        <v>0</v>
      </c>
      <c r="DI39" s="3" t="n">
        <f aca="false">(DI15&lt;=ROUND($D$31,0))*SUM(DI33,DI37)</f>
        <v>0</v>
      </c>
      <c r="DJ39" s="3" t="n">
        <f aca="false">(DJ15&lt;=ROUND($D$31,0))*SUM(DJ33,DJ37)</f>
        <v>0</v>
      </c>
      <c r="DK39" s="3" t="n">
        <f aca="false">(DK15&lt;=ROUND($D$31,0))*SUM(DK33,DK37)</f>
        <v>0</v>
      </c>
      <c r="DL39" s="3" t="n">
        <f aca="false">(DL15&lt;=ROUND($D$31,0))*SUM(DL33,DL37)</f>
        <v>0</v>
      </c>
      <c r="DM39" s="3" t="n">
        <f aca="false">(DM15&lt;=ROUND($D$31,0))*SUM(DM33,DM37)</f>
        <v>0</v>
      </c>
      <c r="DN39" s="3" t="n">
        <f aca="false">(DN15&lt;=ROUND($D$31,0))*SUM(DN33,DN37)</f>
        <v>0</v>
      </c>
      <c r="DO39" s="3" t="n">
        <f aca="false">(DO15&lt;=ROUND($D$31,0))*SUM(DO33,DO37)</f>
        <v>0</v>
      </c>
      <c r="DP39" s="3" t="n">
        <f aca="false">(DP15&lt;=ROUND($D$31,0))*SUM(DP33,DP37)</f>
        <v>0</v>
      </c>
      <c r="DQ39" s="3" t="n">
        <f aca="false">(DQ15&lt;=ROUND($D$31,0))*SUM(DQ33,DQ37)</f>
        <v>0</v>
      </c>
      <c r="DR39" s="3" t="n">
        <f aca="false">(DR15&lt;=ROUND($D$31,0))*SUM(DR33,DR37)</f>
        <v>0</v>
      </c>
      <c r="DS39" s="3" t="n">
        <f aca="false">(DS15&lt;=ROUND($D$31,0))*SUM(DS33,DS37)</f>
        <v>0</v>
      </c>
      <c r="DT39" s="3" t="n">
        <f aca="false">(DT15&lt;=ROUND($D$31,0))*SUM(DT33,DT37)</f>
        <v>0</v>
      </c>
      <c r="DU39" s="3" t="n">
        <f aca="false">(DU15&lt;=ROUND($D$31,0))*SUM(DU33,DU37)</f>
        <v>0</v>
      </c>
      <c r="DV39" s="3" t="n">
        <f aca="false">(DV15&lt;=ROUND($D$31,0))*SUM(DV33,DV37)</f>
        <v>0</v>
      </c>
      <c r="DW39" s="3" t="n">
        <f aca="false">(DW15&lt;=ROUND($D$31,0))*SUM(DW33,DW37)</f>
        <v>0</v>
      </c>
      <c r="DX39" s="3" t="n">
        <f aca="false">(DX15&lt;=ROUND($D$31,0))*SUM(DX33,DX37)</f>
        <v>0</v>
      </c>
      <c r="DY39" s="3" t="n">
        <f aca="false">(DY15&lt;=ROUND($D$31,0))*SUM(DY33,DY37)</f>
        <v>0</v>
      </c>
      <c r="DZ39" s="3" t="n">
        <f aca="false">(DZ15&lt;=ROUND($D$31,0))*SUM(DZ33,DZ37)</f>
        <v>0</v>
      </c>
      <c r="EA39" s="3" t="n">
        <f aca="false">(EA15&lt;=ROUND($D$31,0))*SUM(EA33,EA37)</f>
        <v>0</v>
      </c>
      <c r="EB39" s="3" t="n">
        <f aca="false">(EB15&lt;=ROUND($D$31,0))*SUM(EB33,EB37)</f>
        <v>0</v>
      </c>
      <c r="EC39" s="3" t="n">
        <f aca="false">(EC15&lt;=ROUND($D$31,0))*SUM(EC33,EC37)</f>
        <v>0</v>
      </c>
      <c r="ED39" s="3" t="n">
        <f aca="false">(ED15&lt;=ROUND($D$31,0))*SUM(ED33,ED37)</f>
        <v>0</v>
      </c>
      <c r="EE39" s="3" t="n">
        <f aca="false">(EE15&lt;=ROUND($D$31,0))*SUM(EE33,EE37)</f>
        <v>0</v>
      </c>
      <c r="EF39" s="3" t="n">
        <f aca="false">(EF15&lt;=ROUND($D$31,0))*SUM(EF33,EF37)</f>
        <v>0</v>
      </c>
      <c r="EG39" s="3" t="n">
        <f aca="false">(EG15&lt;=ROUND($D$31,0))*SUM(EG33,EG37)</f>
        <v>0</v>
      </c>
      <c r="EH39" s="3" t="n">
        <f aca="false">(EH15&lt;=ROUND($D$31,0))*SUM(EH33,EH37)</f>
        <v>0</v>
      </c>
      <c r="EI39" s="3" t="n">
        <f aca="false">(EI15&lt;=ROUND($D$31,0))*SUM(EI33,EI37)</f>
        <v>0</v>
      </c>
      <c r="EJ39" s="3" t="n">
        <f aca="false">(EJ15&lt;=ROUND($D$31,0))*SUM(EJ33,EJ37)</f>
        <v>0</v>
      </c>
      <c r="EK39" s="3" t="n">
        <f aca="false">(EK15&lt;=ROUND($D$31,0))*SUM(EK33,EK37)</f>
        <v>0</v>
      </c>
      <c r="EL39" s="3" t="n">
        <f aca="false">(EL15&lt;=ROUND($D$31,0))*SUM(EL33,EL37)</f>
        <v>0</v>
      </c>
    </row>
    <row r="40" customFormat="false" ht="15" hidden="false" customHeight="false" outlineLevel="0" collapsed="false">
      <c r="C40" s="0" t="s">
        <v>51</v>
      </c>
      <c r="D40" s="0" t="s">
        <v>52</v>
      </c>
      <c r="I40" s="0" t="s">
        <v>53</v>
      </c>
      <c r="J40" s="4" t="n">
        <f aca="false">XIRR($J$39:$EL$39,$J$13:$EL$13)</f>
        <v>0.0818828127869081</v>
      </c>
    </row>
    <row r="41" customFormat="false" ht="15" hidden="false" customHeight="false" outlineLevel="0" collapsed="false">
      <c r="C41" s="0" t="s">
        <v>54</v>
      </c>
      <c r="D41" s="5" t="n">
        <v>51000</v>
      </c>
      <c r="I41" s="3" t="s">
        <v>55</v>
      </c>
      <c r="J41" s="7" t="n">
        <f aca="false">SUMIF($J$39:$EL$39,"&gt;0")/-SUMIF($J$39:$EL$39,"&lt;0")</f>
        <v>1.39684545542546</v>
      </c>
    </row>
    <row r="42" customFormat="false" ht="15" hidden="false" customHeight="false" outlineLevel="0" collapsed="false">
      <c r="C42" s="0" t="s">
        <v>56</v>
      </c>
      <c r="D42" s="0" t="s">
        <v>57</v>
      </c>
      <c r="I42" s="0" t="s">
        <v>58</v>
      </c>
      <c r="J42" s="0" t="n">
        <f aca="false">SUM(J39:EL39)</f>
        <v>7689145.9752053</v>
      </c>
    </row>
    <row r="43" customFormat="false" ht="15" hidden="false" customHeight="false" outlineLevel="0" collapsed="false">
      <c r="C43" s="0" t="s">
        <v>59</v>
      </c>
      <c r="D43" s="5" t="n">
        <v>168000</v>
      </c>
    </row>
    <row r="44" customFormat="false" ht="15" hidden="false" customHeight="false" outlineLevel="0" collapsed="false">
      <c r="C44" s="0" t="s">
        <v>60</v>
      </c>
      <c r="D44" s="4" t="n">
        <v>0.03</v>
      </c>
    </row>
    <row r="45" customFormat="false" ht="15" hidden="false" customHeight="false" outlineLevel="0" collapsed="false">
      <c r="C45" s="0" t="s">
        <v>61</v>
      </c>
      <c r="D45" s="5" t="n">
        <v>29000</v>
      </c>
    </row>
    <row r="46" customFormat="false" ht="15" hidden="false" customHeight="false" outlineLevel="0" collapsed="false">
      <c r="I46" s="0" t="s">
        <v>62</v>
      </c>
    </row>
    <row r="49" customFormat="false" ht="15" hidden="false" customHeight="false" outlineLevel="0" collapsed="false">
      <c r="I49" s="0" t="s">
        <v>12</v>
      </c>
      <c r="J49" s="0" t="n">
        <f aca="false">J19</f>
        <v>-18870000</v>
      </c>
    </row>
    <row r="50" customFormat="false" ht="15" hidden="false" customHeight="false" outlineLevel="0" collapsed="false">
      <c r="I50" s="0" t="s">
        <v>63</v>
      </c>
      <c r="J50" s="5" t="n">
        <f aca="false">$D$61</f>
        <v>11904750</v>
      </c>
    </row>
    <row r="51" customFormat="false" ht="15" hidden="false" customHeight="false" outlineLevel="0" collapsed="false">
      <c r="C51" s="0" t="s">
        <v>64</v>
      </c>
      <c r="D51" s="4" t="n">
        <v>0.0725</v>
      </c>
    </row>
    <row r="52" customFormat="false" ht="15" hidden="false" customHeight="false" outlineLevel="0" collapsed="false">
      <c r="C52" s="0" t="s">
        <v>45</v>
      </c>
      <c r="D52" s="4" t="n">
        <v>0.015</v>
      </c>
    </row>
    <row r="55" customFormat="false" ht="15" hidden="false" customHeight="false" outlineLevel="0" collapsed="false">
      <c r="C55" s="0" t="s">
        <v>65</v>
      </c>
    </row>
    <row r="56" customFormat="false" ht="15" hidden="false" customHeight="false" outlineLevel="0" collapsed="false">
      <c r="C56" s="0" t="s">
        <v>66</v>
      </c>
      <c r="D56" s="4" t="n">
        <v>0.65</v>
      </c>
    </row>
    <row r="57" customFormat="false" ht="15" hidden="false" customHeight="false" outlineLevel="0" collapsed="false">
      <c r="C57" s="0" t="s">
        <v>67</v>
      </c>
      <c r="D57" s="4" t="n">
        <v>0.0625</v>
      </c>
    </row>
    <row r="58" customFormat="false" ht="15" hidden="false" customHeight="false" outlineLevel="0" collapsed="false">
      <c r="C58" s="0" t="s">
        <v>68</v>
      </c>
      <c r="D58" s="2" t="n">
        <v>30</v>
      </c>
    </row>
    <row r="59" customFormat="false" ht="15" hidden="false" customHeight="false" outlineLevel="0" collapsed="false">
      <c r="C59" s="0" t="s">
        <v>69</v>
      </c>
      <c r="D59" s="8" t="n">
        <v>1</v>
      </c>
      <c r="I59" s="3" t="s">
        <v>31</v>
      </c>
      <c r="K59" s="3" t="n">
        <f aca="false">K28</f>
        <v>123913.791666667</v>
      </c>
      <c r="L59" s="3" t="n">
        <f aca="false">L28</f>
        <v>72913.7916666667</v>
      </c>
      <c r="M59" s="3" t="n">
        <f aca="false">M28</f>
        <v>123913.791666667</v>
      </c>
      <c r="N59" s="3" t="n">
        <f aca="false">N28</f>
        <v>123913.791666667</v>
      </c>
      <c r="O59" s="3" t="n">
        <f aca="false">O28</f>
        <v>123913.791666667</v>
      </c>
      <c r="P59" s="3" t="n">
        <f aca="false">P28</f>
        <v>123913.791666667</v>
      </c>
      <c r="Q59" s="3" t="n">
        <f aca="false">Q28</f>
        <v>131673.791666667</v>
      </c>
      <c r="R59" s="3" t="n">
        <f aca="false">R28</f>
        <v>131673.791666667</v>
      </c>
      <c r="S59" s="3" t="n">
        <f aca="false">S28</f>
        <v>-82326.2083333333</v>
      </c>
      <c r="T59" s="3" t="n">
        <f aca="false">T28</f>
        <v>131673.791666667</v>
      </c>
      <c r="U59" s="3" t="n">
        <f aca="false">U28</f>
        <v>131673.791666667</v>
      </c>
      <c r="V59" s="3" t="n">
        <f aca="false">V28</f>
        <v>131673.791666667</v>
      </c>
      <c r="W59" s="3" t="n">
        <f aca="false">W28</f>
        <v>134895.636458333</v>
      </c>
      <c r="X59" s="3" t="n">
        <f aca="false">X28</f>
        <v>82365.6364583333</v>
      </c>
      <c r="Y59" s="3" t="n">
        <f aca="false">Y28</f>
        <v>134895.636458333</v>
      </c>
      <c r="Z59" s="3" t="n">
        <f aca="false">Z28</f>
        <v>134895.636458333</v>
      </c>
      <c r="AA59" s="3" t="n">
        <f aca="false">AA28</f>
        <v>134895.636458333</v>
      </c>
      <c r="AB59" s="3" t="n">
        <f aca="false">AB28</f>
        <v>134895.636458333</v>
      </c>
      <c r="AC59" s="3" t="n">
        <f aca="false">AC28</f>
        <v>134895.636458333</v>
      </c>
      <c r="AD59" s="3" t="n">
        <f aca="false">AD28</f>
        <v>134895.636458333</v>
      </c>
      <c r="AE59" s="3" t="n">
        <f aca="false">AE28</f>
        <v>-85524.3635416667</v>
      </c>
      <c r="AF59" s="3" t="n">
        <f aca="false">AF28</f>
        <v>134895.636458333</v>
      </c>
      <c r="AG59" s="3" t="n">
        <f aca="false">AG28</f>
        <v>134895.636458333</v>
      </c>
      <c r="AH59" s="3" t="n">
        <f aca="false">AH28</f>
        <v>134895.636458333</v>
      </c>
      <c r="AI59" s="3" t="n">
        <f aca="false">AI28</f>
        <v>138195.927369792</v>
      </c>
      <c r="AJ59" s="3" t="n">
        <f aca="false">AJ28</f>
        <v>84090.0273697917</v>
      </c>
      <c r="AK59" s="3" t="n">
        <f aca="false">AK28</f>
        <v>138195.927369792</v>
      </c>
      <c r="AL59" s="3" t="n">
        <f aca="false">AL28</f>
        <v>138195.927369792</v>
      </c>
      <c r="AM59" s="3" t="n">
        <f aca="false">AM28</f>
        <v>138195.927369792</v>
      </c>
      <c r="AN59" s="3" t="n">
        <f aca="false">AN28</f>
        <v>138195.927369792</v>
      </c>
      <c r="AO59" s="3" t="n">
        <f aca="false">AO28</f>
        <v>138195.927369792</v>
      </c>
      <c r="AP59" s="3" t="n">
        <f aca="false">AP28</f>
        <v>138195.927369792</v>
      </c>
      <c r="AQ59" s="3" t="n">
        <f aca="false">AQ28</f>
        <v>-88836.6726302083</v>
      </c>
      <c r="AR59" s="3" t="n">
        <f aca="false">AR28</f>
        <v>138195.927369792</v>
      </c>
      <c r="AS59" s="3" t="n">
        <f aca="false">AS28</f>
        <v>138195.927369792</v>
      </c>
      <c r="AT59" s="3" t="n">
        <f aca="false">AT28</f>
        <v>138195.927369792</v>
      </c>
      <c r="AU59" s="3" t="n">
        <f aca="false">AU28</f>
        <v>141576.562554036</v>
      </c>
      <c r="AV59" s="3" t="n">
        <f aca="false">AV28</f>
        <v>85847.4855540364</v>
      </c>
      <c r="AW59" s="3" t="n">
        <f aca="false">AW28</f>
        <v>141576.562554036</v>
      </c>
      <c r="AX59" s="3" t="n">
        <f aca="false">AX28</f>
        <v>141576.562554036</v>
      </c>
      <c r="AY59" s="3" t="n">
        <f aca="false">AY28</f>
        <v>141576.562554036</v>
      </c>
      <c r="AZ59" s="3" t="n">
        <f aca="false">AZ28</f>
        <v>141576.562554036</v>
      </c>
      <c r="BA59" s="3" t="n">
        <f aca="false">BA28</f>
        <v>141576.562554036</v>
      </c>
      <c r="BB59" s="3" t="n">
        <f aca="false">BB28</f>
        <v>141576.562554036</v>
      </c>
      <c r="BC59" s="3" t="n">
        <f aca="false">BC28</f>
        <v>-92267.0154459636</v>
      </c>
      <c r="BD59" s="3" t="n">
        <f aca="false">BD28</f>
        <v>141576.562554036</v>
      </c>
      <c r="BE59" s="3" t="n">
        <f aca="false">BE28</f>
        <v>141576.562554036</v>
      </c>
      <c r="BF59" s="3" t="n">
        <f aca="false">BF28</f>
        <v>141576.562554036</v>
      </c>
      <c r="BG59" s="3" t="n">
        <f aca="false">BG28</f>
        <v>145039.485727887</v>
      </c>
      <c r="BH59" s="3" t="n">
        <f aca="false">BH28</f>
        <v>87638.5364178873</v>
      </c>
      <c r="BI59" s="3" t="n">
        <f aca="false">BI28</f>
        <v>145039.485727887</v>
      </c>
      <c r="BJ59" s="3" t="n">
        <f aca="false">BJ28</f>
        <v>145039.485727887</v>
      </c>
      <c r="BK59" s="3" t="n">
        <f aca="false">BK28</f>
        <v>145039.485727887</v>
      </c>
      <c r="BL59" s="3" t="n">
        <f aca="false">BL28</f>
        <v>145039.485727887</v>
      </c>
      <c r="BM59" s="3" t="n">
        <f aca="false">BM28</f>
        <v>145039.485727887</v>
      </c>
      <c r="BN59" s="3" t="n">
        <f aca="false">BN28</f>
        <v>145039.485727887</v>
      </c>
      <c r="BO59" s="3" t="n">
        <f aca="false">BO28</f>
        <v>-95819.3996121127</v>
      </c>
      <c r="BP59" s="3" t="n">
        <f aca="false">BP28</f>
        <v>145039.485727887</v>
      </c>
      <c r="BQ59" s="3" t="n">
        <f aca="false">BQ28</f>
        <v>145039.485727887</v>
      </c>
      <c r="BR59" s="3" t="n">
        <f aca="false">BR28</f>
        <v>145039.485727887</v>
      </c>
      <c r="BS59" s="3" t="n">
        <f aca="false">BS28</f>
        <v>148586.687254384</v>
      </c>
      <c r="BT59" s="3" t="n">
        <f aca="false">BT28</f>
        <v>89463.7094650845</v>
      </c>
      <c r="BU59" s="3" t="n">
        <f aca="false">BU28</f>
        <v>148586.687254384</v>
      </c>
      <c r="BV59" s="3" t="n">
        <f aca="false">BV28</f>
        <v>148586.687254384</v>
      </c>
      <c r="BW59" s="3" t="n">
        <f aca="false">BW28</f>
        <v>148586.687254384</v>
      </c>
      <c r="BX59" s="3" t="n">
        <f aca="false">BX28</f>
        <v>148586.687254384</v>
      </c>
      <c r="BY59" s="3" t="n">
        <f aca="false">BY28</f>
        <v>148586.687254384</v>
      </c>
      <c r="BZ59" s="3" t="n">
        <f aca="false">BZ28</f>
        <v>148586.687254384</v>
      </c>
      <c r="CA59" s="3" t="n">
        <f aca="false">CA28</f>
        <v>-99497.9646458156</v>
      </c>
      <c r="CB59" s="3" t="n">
        <f aca="false">CB28</f>
        <v>148586.687254384</v>
      </c>
      <c r="CC59" s="3" t="n">
        <f aca="false">CC28</f>
        <v>148586.687254384</v>
      </c>
      <c r="CD59" s="3" t="n">
        <f aca="false">CD28</f>
        <v>148586.687254384</v>
      </c>
      <c r="CE59" s="3" t="n">
        <f aca="false">CE28</f>
        <v>152220.205250543</v>
      </c>
      <c r="CF59" s="3" t="n">
        <f aca="false">CF28</f>
        <v>91323.5381275641</v>
      </c>
      <c r="CG59" s="3" t="n">
        <f aca="false">CG28</f>
        <v>152220.205250543</v>
      </c>
      <c r="CH59" s="3" t="n">
        <f aca="false">CH28</f>
        <v>152220.205250543</v>
      </c>
      <c r="CI59" s="3" t="n">
        <f aca="false">CI28</f>
        <v>152220.205250543</v>
      </c>
      <c r="CJ59" s="3" t="n">
        <f aca="false">CJ28</f>
        <v>152220.205250543</v>
      </c>
      <c r="CK59" s="3" t="n">
        <f aca="false">CK28</f>
        <v>152220.205250543</v>
      </c>
      <c r="CL59" s="3" t="n">
        <f aca="false">CL28</f>
        <v>152220.205250543</v>
      </c>
      <c r="CM59" s="3" t="n">
        <f aca="false">CM28</f>
        <v>-103306.986206663</v>
      </c>
      <c r="CN59" s="3" t="n">
        <f aca="false">CN28</f>
        <v>152220.205250543</v>
      </c>
      <c r="CO59" s="3" t="n">
        <f aca="false">CO28</f>
        <v>152220.205250543</v>
      </c>
      <c r="CP59" s="3" t="n">
        <f aca="false">CP28</f>
        <v>152220.205250543</v>
      </c>
      <c r="CQ59" s="3" t="n">
        <f aca="false">CQ28</f>
        <v>155942.12672105</v>
      </c>
      <c r="CR59" s="3" t="n">
        <f aca="false">CR28</f>
        <v>93218.5595843813</v>
      </c>
      <c r="CS59" s="3" t="n">
        <f aca="false">CS28</f>
        <v>155942.12672105</v>
      </c>
      <c r="CT59" s="3" t="n">
        <f aca="false">CT28</f>
        <v>155942.12672105</v>
      </c>
      <c r="CU59" s="3" t="n">
        <f aca="false">CU28</f>
        <v>155942.12672105</v>
      </c>
      <c r="CV59" s="3" t="n">
        <f aca="false">CV28</f>
        <v>155942.12672105</v>
      </c>
      <c r="CW59" s="3" t="n">
        <f aca="false">CW28</f>
        <v>155942.12672105</v>
      </c>
      <c r="CX59" s="3" t="n">
        <f aca="false">CX28</f>
        <v>155942.12672105</v>
      </c>
      <c r="CY59" s="3" t="n">
        <f aca="false">CY28</f>
        <v>-107250.880479873</v>
      </c>
      <c r="CZ59" s="3" t="n">
        <f aca="false">CZ28</f>
        <v>155942.12672105</v>
      </c>
      <c r="DA59" s="3" t="n">
        <f aca="false">DA28</f>
        <v>155942.12672105</v>
      </c>
      <c r="DB59" s="3" t="n">
        <f aca="false">DB28</f>
        <v>155942.12672105</v>
      </c>
      <c r="DC59" s="3" t="n">
        <f aca="false">DC28</f>
        <v>159754.588718496</v>
      </c>
      <c r="DD59" s="3" t="n">
        <f aca="false">DD28</f>
        <v>95149.3145677277</v>
      </c>
      <c r="DE59" s="3" t="n">
        <f aca="false">DE28</f>
        <v>159754.588718496</v>
      </c>
      <c r="DF59" s="3" t="n">
        <f aca="false">DF28</f>
        <v>159754.588718496</v>
      </c>
      <c r="DG59" s="3" t="n">
        <f aca="false">DG28</f>
        <v>159754.588718496</v>
      </c>
      <c r="DH59" s="3" t="n">
        <f aca="false">DH28</f>
        <v>159754.588718496</v>
      </c>
      <c r="DI59" s="3" t="n">
        <f aca="false">DI28</f>
        <v>159754.588718496</v>
      </c>
      <c r="DJ59" s="3" t="n">
        <f aca="false">DJ28</f>
        <v>159754.588718496</v>
      </c>
      <c r="DK59" s="3" t="n">
        <f aca="false">DK28</f>
        <v>-111334.208698454</v>
      </c>
      <c r="DL59" s="3" t="n">
        <f aca="false">DL28</f>
        <v>159754.588718496</v>
      </c>
      <c r="DM59" s="3" t="n">
        <f aca="false">DM28</f>
        <v>159754.588718496</v>
      </c>
      <c r="DN59" s="3" t="n">
        <f aca="false">DN28</f>
        <v>159754.588718496</v>
      </c>
      <c r="DO59" s="3" t="n">
        <f aca="false">DO28</f>
        <v>163659.779530761</v>
      </c>
      <c r="DP59" s="3" t="n">
        <f aca="false">DP28</f>
        <v>97116.3471554699</v>
      </c>
      <c r="DQ59" s="3" t="n">
        <f aca="false">DQ28</f>
        <v>163659.779530761</v>
      </c>
      <c r="DR59" s="3" t="n">
        <f aca="false">DR28</f>
        <v>163659.779530761</v>
      </c>
      <c r="DS59" s="3" t="n">
        <f aca="false">DS28</f>
        <v>163659.779530761</v>
      </c>
      <c r="DT59" s="3" t="n">
        <f aca="false">DT28</f>
        <v>163659.779530761</v>
      </c>
      <c r="DU59" s="3" t="n">
        <f aca="false">DU28</f>
        <v>163659.779530761</v>
      </c>
      <c r="DV59" s="3" t="n">
        <f aca="false">DV28</f>
        <v>163659.779530761</v>
      </c>
      <c r="DW59" s="3" t="n">
        <f aca="false">DW28</f>
        <v>-115561.681808697</v>
      </c>
      <c r="DX59" s="3" t="n">
        <f aca="false">DX28</f>
        <v>163659.779530761</v>
      </c>
      <c r="DY59" s="3" t="n">
        <f aca="false">DY28</f>
        <v>163659.779530761</v>
      </c>
      <c r="DZ59" s="3" t="n">
        <f aca="false">DZ28</f>
        <v>163659.779530761</v>
      </c>
      <c r="EA59" s="3" t="n">
        <f aca="false">EA28</f>
        <v>167659.939896162</v>
      </c>
      <c r="EB59" s="3" t="n">
        <f aca="false">EB28</f>
        <v>99120.2045496121</v>
      </c>
      <c r="EC59" s="3" t="n">
        <f aca="false">EC28</f>
        <v>167659.939896162</v>
      </c>
      <c r="ED59" s="3" t="n">
        <f aca="false">ED28</f>
        <v>167659.939896162</v>
      </c>
      <c r="EE59" s="3" t="n">
        <f aca="false">EE28</f>
        <v>167659.939896162</v>
      </c>
      <c r="EF59" s="3" t="n">
        <f aca="false">EF28</f>
        <v>167659.939896162</v>
      </c>
      <c r="EG59" s="3" t="n">
        <f aca="false">EG28</f>
        <v>167659.939896162</v>
      </c>
      <c r="EH59" s="3" t="n">
        <f aca="false">EH28</f>
        <v>167659.939896162</v>
      </c>
      <c r="EI59" s="3" t="n">
        <f aca="false">EI28</f>
        <v>-119938.16528348</v>
      </c>
      <c r="EJ59" s="3" t="n">
        <f aca="false">EJ28</f>
        <v>167659.939896162</v>
      </c>
      <c r="EK59" s="3" t="n">
        <f aca="false">EK28</f>
        <v>167659.939896162</v>
      </c>
      <c r="EL59" s="3" t="n">
        <f aca="false">EL28</f>
        <v>167659.939896162</v>
      </c>
    </row>
    <row r="60" customFormat="false" ht="15" hidden="false" customHeight="false" outlineLevel="0" collapsed="false">
      <c r="C60" s="0" t="s">
        <v>70</v>
      </c>
      <c r="D60" s="5" t="n">
        <f aca="false">-PMT(D57/12,D58*12,D26*D56)</f>
        <v>74039.9933512736</v>
      </c>
    </row>
    <row r="61" customFormat="false" ht="15" hidden="false" customHeight="false" outlineLevel="0" collapsed="false">
      <c r="C61" s="0" t="s">
        <v>63</v>
      </c>
      <c r="D61" s="5" t="n">
        <f aca="false">D26*D56*(1-D59/100)</f>
        <v>11904750</v>
      </c>
    </row>
    <row r="62" customFormat="false" ht="15" hidden="false" customHeight="false" outlineLevel="0" collapsed="false">
      <c r="C62" s="0" t="s">
        <v>71</v>
      </c>
      <c r="D62" s="5" t="n">
        <f aca="false">INDEX(AmortSched!$I$14:$I$373,12*ROUND(D31,0))</f>
        <v>11223803.2846681</v>
      </c>
    </row>
    <row r="64" customFormat="false" ht="15" hidden="false" customHeight="false" outlineLevel="0" collapsed="false">
      <c r="I64" s="0" t="s">
        <v>40</v>
      </c>
      <c r="K64" s="0" t="n">
        <f aca="false">K33</f>
        <v>121497.125</v>
      </c>
      <c r="L64" s="0" t="n">
        <f aca="false">L33</f>
        <v>70497.125</v>
      </c>
      <c r="M64" s="0" t="n">
        <f aca="false">M33</f>
        <v>121497.125</v>
      </c>
      <c r="N64" s="0" t="n">
        <f aca="false">N33</f>
        <v>121497.125</v>
      </c>
      <c r="O64" s="0" t="n">
        <f aca="false">O33</f>
        <v>121497.125</v>
      </c>
      <c r="P64" s="0" t="n">
        <f aca="false">P33</f>
        <v>121497.125</v>
      </c>
      <c r="Q64" s="0" t="n">
        <f aca="false">Q33</f>
        <v>129257.125</v>
      </c>
      <c r="R64" s="0" t="n">
        <f aca="false">R33</f>
        <v>129257.125</v>
      </c>
      <c r="S64" s="0" t="n">
        <f aca="false">S33</f>
        <v>-84742.875</v>
      </c>
      <c r="T64" s="0" t="n">
        <f aca="false">T33</f>
        <v>129257.125</v>
      </c>
      <c r="U64" s="0" t="n">
        <f aca="false">U33</f>
        <v>129257.125</v>
      </c>
      <c r="V64" s="0" t="n">
        <f aca="false">V33</f>
        <v>129257.125</v>
      </c>
      <c r="W64" s="0" t="n">
        <f aca="false">W33</f>
        <v>132430.636458333</v>
      </c>
      <c r="X64" s="0" t="n">
        <f aca="false">X33</f>
        <v>79900.6364583333</v>
      </c>
      <c r="Y64" s="0" t="n">
        <f aca="false">Y33</f>
        <v>132430.636458333</v>
      </c>
      <c r="Z64" s="0" t="n">
        <f aca="false">Z33</f>
        <v>132430.636458333</v>
      </c>
      <c r="AA64" s="0" t="n">
        <f aca="false">AA33</f>
        <v>132430.636458333</v>
      </c>
      <c r="AB64" s="0" t="n">
        <f aca="false">AB33</f>
        <v>132430.636458333</v>
      </c>
      <c r="AC64" s="0" t="n">
        <f aca="false">AC33</f>
        <v>132430.636458333</v>
      </c>
      <c r="AD64" s="0" t="n">
        <f aca="false">AD33</f>
        <v>132430.636458333</v>
      </c>
      <c r="AE64" s="0" t="n">
        <f aca="false">AE33</f>
        <v>-87989.3635416667</v>
      </c>
      <c r="AF64" s="0" t="n">
        <f aca="false">AF33</f>
        <v>132430.636458333</v>
      </c>
      <c r="AG64" s="0" t="n">
        <f aca="false">AG33</f>
        <v>132430.636458333</v>
      </c>
      <c r="AH64" s="0" t="n">
        <f aca="false">AH33</f>
        <v>132430.636458333</v>
      </c>
      <c r="AI64" s="0" t="n">
        <f aca="false">AI33</f>
        <v>135681.627369792</v>
      </c>
      <c r="AJ64" s="0" t="n">
        <f aca="false">AJ33</f>
        <v>81575.7273697917</v>
      </c>
      <c r="AK64" s="0" t="n">
        <f aca="false">AK33</f>
        <v>135681.627369792</v>
      </c>
      <c r="AL64" s="0" t="n">
        <f aca="false">AL33</f>
        <v>135681.627369792</v>
      </c>
      <c r="AM64" s="0" t="n">
        <f aca="false">AM33</f>
        <v>135681.627369792</v>
      </c>
      <c r="AN64" s="0" t="n">
        <f aca="false">AN33</f>
        <v>-48318.3726302083</v>
      </c>
      <c r="AO64" s="0" t="n">
        <f aca="false">AO33</f>
        <v>135681.627369792</v>
      </c>
      <c r="AP64" s="0" t="n">
        <f aca="false">AP33</f>
        <v>135681.627369792</v>
      </c>
      <c r="AQ64" s="0" t="n">
        <f aca="false">AQ33</f>
        <v>-91350.9726302083</v>
      </c>
      <c r="AR64" s="0" t="n">
        <f aca="false">AR33</f>
        <v>135681.627369792</v>
      </c>
      <c r="AS64" s="0" t="n">
        <f aca="false">AS33</f>
        <v>135681.627369792</v>
      </c>
      <c r="AT64" s="0" t="n">
        <f aca="false">AT33</f>
        <v>135681.627369792</v>
      </c>
      <c r="AU64" s="0" t="n">
        <f aca="false">AU33</f>
        <v>139011.976554036</v>
      </c>
      <c r="AV64" s="0" t="n">
        <f aca="false">AV33</f>
        <v>83282.8995540364</v>
      </c>
      <c r="AW64" s="0" t="n">
        <f aca="false">AW33</f>
        <v>139011.976554036</v>
      </c>
      <c r="AX64" s="0" t="n">
        <f aca="false">AX33</f>
        <v>139011.976554036</v>
      </c>
      <c r="AY64" s="0" t="n">
        <f aca="false">AY33</f>
        <v>139011.976554036</v>
      </c>
      <c r="AZ64" s="0" t="n">
        <f aca="false">AZ33</f>
        <v>139011.976554036</v>
      </c>
      <c r="BA64" s="0" t="n">
        <f aca="false">BA33</f>
        <v>139011.976554036</v>
      </c>
      <c r="BB64" s="0" t="n">
        <f aca="false">BB33</f>
        <v>139011.976554036</v>
      </c>
      <c r="BC64" s="0" t="n">
        <f aca="false">BC33</f>
        <v>-94831.6014459636</v>
      </c>
      <c r="BD64" s="0" t="n">
        <f aca="false">BD33</f>
        <v>139011.976554036</v>
      </c>
      <c r="BE64" s="0" t="n">
        <f aca="false">BE33</f>
        <v>139011.976554036</v>
      </c>
      <c r="BF64" s="0" t="n">
        <f aca="false">BF33</f>
        <v>139011.976554036</v>
      </c>
      <c r="BG64" s="0" t="n">
        <f aca="false">BG33</f>
        <v>142423.608007887</v>
      </c>
      <c r="BH64" s="0" t="n">
        <f aca="false">BH33</f>
        <v>85022.6586978873</v>
      </c>
      <c r="BI64" s="0" t="n">
        <f aca="false">BI33</f>
        <v>142423.608007887</v>
      </c>
      <c r="BJ64" s="0" t="n">
        <f aca="false">BJ33</f>
        <v>142423.608007887</v>
      </c>
      <c r="BK64" s="0" t="n">
        <f aca="false">BK33</f>
        <v>142423.608007887</v>
      </c>
      <c r="BL64" s="0" t="n">
        <f aca="false">BL33</f>
        <v>142423.608007887</v>
      </c>
      <c r="BM64" s="0" t="n">
        <f aca="false">BM33</f>
        <v>142423.608007887</v>
      </c>
      <c r="BN64" s="0" t="n">
        <f aca="false">BN33</f>
        <v>142423.608007887</v>
      </c>
      <c r="BO64" s="0" t="n">
        <f aca="false">BO33</f>
        <v>-98435.2773321127</v>
      </c>
      <c r="BP64" s="0" t="n">
        <f aca="false">BP33</f>
        <v>142423.608007887</v>
      </c>
      <c r="BQ64" s="0" t="n">
        <f aca="false">BQ33</f>
        <v>142423.608007887</v>
      </c>
      <c r="BR64" s="0" t="n">
        <f aca="false">BR33</f>
        <v>142423.608007887</v>
      </c>
      <c r="BS64" s="0" t="n">
        <f aca="false">BS33</f>
        <v>0</v>
      </c>
      <c r="BT64" s="0" t="n">
        <f aca="false">BT33</f>
        <v>0</v>
      </c>
      <c r="BU64" s="0" t="n">
        <f aca="false">BU33</f>
        <v>0</v>
      </c>
      <c r="BV64" s="0" t="n">
        <f aca="false">BV33</f>
        <v>0</v>
      </c>
      <c r="BW64" s="0" t="n">
        <f aca="false">BW33</f>
        <v>0</v>
      </c>
      <c r="BX64" s="0" t="n">
        <f aca="false">BX33</f>
        <v>0</v>
      </c>
      <c r="BY64" s="0" t="n">
        <f aca="false">BY33</f>
        <v>0</v>
      </c>
      <c r="BZ64" s="0" t="n">
        <f aca="false">BZ33</f>
        <v>0</v>
      </c>
      <c r="CA64" s="0" t="n">
        <f aca="false">CA33</f>
        <v>-0</v>
      </c>
      <c r="CB64" s="0" t="n">
        <f aca="false">CB33</f>
        <v>0</v>
      </c>
      <c r="CC64" s="0" t="n">
        <f aca="false">CC33</f>
        <v>0</v>
      </c>
      <c r="CD64" s="0" t="n">
        <f aca="false">CD33</f>
        <v>0</v>
      </c>
      <c r="CE64" s="0" t="n">
        <f aca="false">CE33</f>
        <v>0</v>
      </c>
      <c r="CF64" s="0" t="n">
        <f aca="false">CF33</f>
        <v>0</v>
      </c>
      <c r="CG64" s="0" t="n">
        <f aca="false">CG33</f>
        <v>0</v>
      </c>
      <c r="CH64" s="0" t="n">
        <f aca="false">CH33</f>
        <v>0</v>
      </c>
      <c r="CI64" s="0" t="n">
        <f aca="false">CI33</f>
        <v>0</v>
      </c>
      <c r="CJ64" s="0" t="n">
        <f aca="false">CJ33</f>
        <v>0</v>
      </c>
      <c r="CK64" s="0" t="n">
        <f aca="false">CK33</f>
        <v>0</v>
      </c>
      <c r="CL64" s="0" t="n">
        <f aca="false">CL33</f>
        <v>0</v>
      </c>
      <c r="CM64" s="0" t="n">
        <f aca="false">CM33</f>
        <v>-0</v>
      </c>
      <c r="CN64" s="0" t="n">
        <f aca="false">CN33</f>
        <v>0</v>
      </c>
      <c r="CO64" s="0" t="n">
        <f aca="false">CO33</f>
        <v>0</v>
      </c>
      <c r="CP64" s="0" t="n">
        <f aca="false">CP33</f>
        <v>0</v>
      </c>
      <c r="CQ64" s="0" t="n">
        <f aca="false">CQ33</f>
        <v>0</v>
      </c>
      <c r="CR64" s="0" t="n">
        <f aca="false">CR33</f>
        <v>0</v>
      </c>
      <c r="CS64" s="0" t="n">
        <f aca="false">CS33</f>
        <v>0</v>
      </c>
      <c r="CT64" s="0" t="n">
        <f aca="false">CT33</f>
        <v>0</v>
      </c>
      <c r="CU64" s="0" t="n">
        <f aca="false">CU33</f>
        <v>0</v>
      </c>
      <c r="CV64" s="0" t="n">
        <f aca="false">CV33</f>
        <v>0</v>
      </c>
      <c r="CW64" s="0" t="n">
        <f aca="false">CW33</f>
        <v>0</v>
      </c>
      <c r="CX64" s="0" t="n">
        <f aca="false">CX33</f>
        <v>0</v>
      </c>
      <c r="CY64" s="0" t="n">
        <f aca="false">CY33</f>
        <v>-0</v>
      </c>
      <c r="CZ64" s="0" t="n">
        <f aca="false">CZ33</f>
        <v>0</v>
      </c>
      <c r="DA64" s="0" t="n">
        <f aca="false">DA33</f>
        <v>0</v>
      </c>
      <c r="DB64" s="0" t="n">
        <f aca="false">DB33</f>
        <v>0</v>
      </c>
      <c r="DC64" s="0" t="n">
        <f aca="false">DC33</f>
        <v>0</v>
      </c>
      <c r="DD64" s="0" t="n">
        <f aca="false">DD33</f>
        <v>0</v>
      </c>
      <c r="DE64" s="0" t="n">
        <f aca="false">DE33</f>
        <v>0</v>
      </c>
      <c r="DF64" s="0" t="n">
        <f aca="false">DF33</f>
        <v>0</v>
      </c>
      <c r="DG64" s="0" t="n">
        <f aca="false">DG33</f>
        <v>0</v>
      </c>
      <c r="DH64" s="0" t="n">
        <f aca="false">DH33</f>
        <v>0</v>
      </c>
      <c r="DI64" s="0" t="n">
        <f aca="false">DI33</f>
        <v>0</v>
      </c>
      <c r="DJ64" s="0" t="n">
        <f aca="false">DJ33</f>
        <v>0</v>
      </c>
      <c r="DK64" s="0" t="n">
        <f aca="false">DK33</f>
        <v>-0</v>
      </c>
      <c r="DL64" s="0" t="n">
        <f aca="false">DL33</f>
        <v>0</v>
      </c>
      <c r="DM64" s="0" t="n">
        <f aca="false">DM33</f>
        <v>0</v>
      </c>
      <c r="DN64" s="0" t="n">
        <f aca="false">DN33</f>
        <v>0</v>
      </c>
      <c r="DO64" s="0" t="n">
        <f aca="false">DO33</f>
        <v>0</v>
      </c>
      <c r="DP64" s="0" t="n">
        <f aca="false">DP33</f>
        <v>0</v>
      </c>
      <c r="DQ64" s="0" t="n">
        <f aca="false">DQ33</f>
        <v>0</v>
      </c>
      <c r="DR64" s="0" t="n">
        <f aca="false">DR33</f>
        <v>0</v>
      </c>
      <c r="DS64" s="0" t="n">
        <f aca="false">DS33</f>
        <v>0</v>
      </c>
      <c r="DT64" s="0" t="n">
        <f aca="false">DT33</f>
        <v>0</v>
      </c>
      <c r="DU64" s="0" t="n">
        <f aca="false">DU33</f>
        <v>0</v>
      </c>
      <c r="DV64" s="0" t="n">
        <f aca="false">DV33</f>
        <v>0</v>
      </c>
      <c r="DW64" s="0" t="n">
        <f aca="false">DW33</f>
        <v>-0</v>
      </c>
      <c r="DX64" s="0" t="n">
        <f aca="false">DX33</f>
        <v>0</v>
      </c>
      <c r="DY64" s="0" t="n">
        <f aca="false">DY33</f>
        <v>0</v>
      </c>
      <c r="DZ64" s="0" t="n">
        <f aca="false">DZ33</f>
        <v>0</v>
      </c>
      <c r="EA64" s="0" t="n">
        <f aca="false">EA33</f>
        <v>0</v>
      </c>
      <c r="EB64" s="0" t="n">
        <f aca="false">EB33</f>
        <v>0</v>
      </c>
      <c r="EC64" s="0" t="n">
        <f aca="false">EC33</f>
        <v>0</v>
      </c>
      <c r="ED64" s="0" t="n">
        <f aca="false">ED33</f>
        <v>0</v>
      </c>
      <c r="EE64" s="0" t="n">
        <f aca="false">EE33</f>
        <v>0</v>
      </c>
      <c r="EF64" s="0" t="n">
        <f aca="false">EF33</f>
        <v>0</v>
      </c>
      <c r="EG64" s="0" t="n">
        <f aca="false">EG33</f>
        <v>0</v>
      </c>
      <c r="EH64" s="0" t="n">
        <f aca="false">EH33</f>
        <v>0</v>
      </c>
      <c r="EI64" s="0" t="n">
        <f aca="false">EI33</f>
        <v>-0</v>
      </c>
      <c r="EJ64" s="0" t="n">
        <f aca="false">EJ33</f>
        <v>0</v>
      </c>
      <c r="EK64" s="0" t="n">
        <f aca="false">EK33</f>
        <v>0</v>
      </c>
      <c r="EL64" s="0" t="n">
        <f aca="false">EL33</f>
        <v>0</v>
      </c>
    </row>
    <row r="65" customFormat="false" ht="15" hidden="false" customHeight="false" outlineLevel="0" collapsed="false">
      <c r="I65" s="0" t="s">
        <v>72</v>
      </c>
      <c r="K65" s="0" t="n">
        <f aca="false">-(K15&lt;=ROUND($D$31,0))*$D$60</f>
        <v>-74039.9933512736</v>
      </c>
      <c r="L65" s="0" t="n">
        <f aca="false">-(L15&lt;=ROUND($D$31,0))*$D$60</f>
        <v>-74039.9933512736</v>
      </c>
      <c r="M65" s="0" t="n">
        <f aca="false">-(M15&lt;=ROUND($D$31,0))*$D$60</f>
        <v>-74039.9933512736</v>
      </c>
      <c r="N65" s="0" t="n">
        <f aca="false">-(N15&lt;=ROUND($D$31,0))*$D$60</f>
        <v>-74039.9933512736</v>
      </c>
      <c r="O65" s="0" t="n">
        <f aca="false">-(O15&lt;=ROUND($D$31,0))*$D$60</f>
        <v>-74039.9933512736</v>
      </c>
      <c r="P65" s="0" t="n">
        <f aca="false">-(P15&lt;=ROUND($D$31,0))*$D$60</f>
        <v>-74039.9933512736</v>
      </c>
      <c r="Q65" s="0" t="n">
        <f aca="false">-(Q15&lt;=ROUND($D$31,0))*$D$60</f>
        <v>-74039.9933512736</v>
      </c>
      <c r="R65" s="0" t="n">
        <f aca="false">-(R15&lt;=ROUND($D$31,0))*$D$60</f>
        <v>-74039.9933512736</v>
      </c>
      <c r="S65" s="0" t="n">
        <f aca="false">-(S15&lt;=ROUND($D$31,0))*$D$60</f>
        <v>-74039.9933512736</v>
      </c>
      <c r="T65" s="0" t="n">
        <f aca="false">-(T15&lt;=ROUND($D$31,0))*$D$60</f>
        <v>-74039.9933512736</v>
      </c>
      <c r="U65" s="0" t="n">
        <f aca="false">-(U15&lt;=ROUND($D$31,0))*$D$60</f>
        <v>-74039.9933512736</v>
      </c>
      <c r="V65" s="0" t="n">
        <f aca="false">-(V15&lt;=ROUND($D$31,0))*$D$60</f>
        <v>-74039.9933512736</v>
      </c>
      <c r="W65" s="0" t="n">
        <f aca="false">-(W15&lt;=ROUND($D$31,0))*$D$60</f>
        <v>-74039.9933512736</v>
      </c>
      <c r="X65" s="0" t="n">
        <f aca="false">-(X15&lt;=ROUND($D$31,0))*$D$60</f>
        <v>-74039.9933512736</v>
      </c>
      <c r="Y65" s="0" t="n">
        <f aca="false">-(Y15&lt;=ROUND($D$31,0))*$D$60</f>
        <v>-74039.9933512736</v>
      </c>
      <c r="Z65" s="0" t="n">
        <f aca="false">-(Z15&lt;=ROUND($D$31,0))*$D$60</f>
        <v>-74039.9933512736</v>
      </c>
      <c r="AA65" s="0" t="n">
        <f aca="false">-(AA15&lt;=ROUND($D$31,0))*$D$60</f>
        <v>-74039.9933512736</v>
      </c>
      <c r="AB65" s="0" t="n">
        <f aca="false">-(AB15&lt;=ROUND($D$31,0))*$D$60</f>
        <v>-74039.9933512736</v>
      </c>
      <c r="AC65" s="0" t="n">
        <f aca="false">-(AC15&lt;=ROUND($D$31,0))*$D$60</f>
        <v>-74039.9933512736</v>
      </c>
      <c r="AD65" s="0" t="n">
        <f aca="false">-(AD15&lt;=ROUND($D$31,0))*$D$60</f>
        <v>-74039.9933512736</v>
      </c>
      <c r="AE65" s="0" t="n">
        <f aca="false">-(AE15&lt;=ROUND($D$31,0))*$D$60</f>
        <v>-74039.9933512736</v>
      </c>
      <c r="AF65" s="0" t="n">
        <f aca="false">-(AF15&lt;=ROUND($D$31,0))*$D$60</f>
        <v>-74039.9933512736</v>
      </c>
      <c r="AG65" s="0" t="n">
        <f aca="false">-(AG15&lt;=ROUND($D$31,0))*$D$60</f>
        <v>-74039.9933512736</v>
      </c>
      <c r="AH65" s="0" t="n">
        <f aca="false">-(AH15&lt;=ROUND($D$31,0))*$D$60</f>
        <v>-74039.9933512736</v>
      </c>
      <c r="AI65" s="0" t="n">
        <f aca="false">-(AI15&lt;=ROUND($D$31,0))*$D$60</f>
        <v>-74039.9933512736</v>
      </c>
      <c r="AJ65" s="0" t="n">
        <f aca="false">-(AJ15&lt;=ROUND($D$31,0))*$D$60</f>
        <v>-74039.9933512736</v>
      </c>
      <c r="AK65" s="0" t="n">
        <f aca="false">-(AK15&lt;=ROUND($D$31,0))*$D$60</f>
        <v>-74039.9933512736</v>
      </c>
      <c r="AL65" s="0" t="n">
        <f aca="false">-(AL15&lt;=ROUND($D$31,0))*$D$60</f>
        <v>-74039.9933512736</v>
      </c>
      <c r="AM65" s="0" t="n">
        <f aca="false">-(AM15&lt;=ROUND($D$31,0))*$D$60</f>
        <v>-74039.9933512736</v>
      </c>
      <c r="AN65" s="0" t="n">
        <f aca="false">-(AN15&lt;=ROUND($D$31,0))*$D$60</f>
        <v>-74039.9933512736</v>
      </c>
      <c r="AO65" s="0" t="n">
        <f aca="false">-(AO15&lt;=ROUND($D$31,0))*$D$60</f>
        <v>-74039.9933512736</v>
      </c>
      <c r="AP65" s="0" t="n">
        <f aca="false">-(AP15&lt;=ROUND($D$31,0))*$D$60</f>
        <v>-74039.9933512736</v>
      </c>
      <c r="AQ65" s="0" t="n">
        <f aca="false">-(AQ15&lt;=ROUND($D$31,0))*$D$60</f>
        <v>-74039.9933512736</v>
      </c>
      <c r="AR65" s="0" t="n">
        <f aca="false">-(AR15&lt;=ROUND($D$31,0))*$D$60</f>
        <v>-74039.9933512736</v>
      </c>
      <c r="AS65" s="0" t="n">
        <f aca="false">-(AS15&lt;=ROUND($D$31,0))*$D$60</f>
        <v>-74039.9933512736</v>
      </c>
      <c r="AT65" s="0" t="n">
        <f aca="false">-(AT15&lt;=ROUND($D$31,0))*$D$60</f>
        <v>-74039.9933512736</v>
      </c>
      <c r="AU65" s="0" t="n">
        <f aca="false">-(AU15&lt;=ROUND($D$31,0))*$D$60</f>
        <v>-74039.9933512736</v>
      </c>
      <c r="AV65" s="0" t="n">
        <f aca="false">-(AV15&lt;=ROUND($D$31,0))*$D$60</f>
        <v>-74039.9933512736</v>
      </c>
      <c r="AW65" s="0" t="n">
        <f aca="false">-(AW15&lt;=ROUND($D$31,0))*$D$60</f>
        <v>-74039.9933512736</v>
      </c>
      <c r="AX65" s="0" t="n">
        <f aca="false">-(AX15&lt;=ROUND($D$31,0))*$D$60</f>
        <v>-74039.9933512736</v>
      </c>
      <c r="AY65" s="0" t="n">
        <f aca="false">-(AY15&lt;=ROUND($D$31,0))*$D$60</f>
        <v>-74039.9933512736</v>
      </c>
      <c r="AZ65" s="0" t="n">
        <f aca="false">-(AZ15&lt;=ROUND($D$31,0))*$D$60</f>
        <v>-74039.9933512736</v>
      </c>
      <c r="BA65" s="0" t="n">
        <f aca="false">-(BA15&lt;=ROUND($D$31,0))*$D$60</f>
        <v>-74039.9933512736</v>
      </c>
      <c r="BB65" s="0" t="n">
        <f aca="false">-(BB15&lt;=ROUND($D$31,0))*$D$60</f>
        <v>-74039.9933512736</v>
      </c>
      <c r="BC65" s="0" t="n">
        <f aca="false">-(BC15&lt;=ROUND($D$31,0))*$D$60</f>
        <v>-74039.9933512736</v>
      </c>
      <c r="BD65" s="0" t="n">
        <f aca="false">-(BD15&lt;=ROUND($D$31,0))*$D$60</f>
        <v>-74039.9933512736</v>
      </c>
      <c r="BE65" s="0" t="n">
        <f aca="false">-(BE15&lt;=ROUND($D$31,0))*$D$60</f>
        <v>-74039.9933512736</v>
      </c>
      <c r="BF65" s="0" t="n">
        <f aca="false">-(BF15&lt;=ROUND($D$31,0))*$D$60</f>
        <v>-74039.9933512736</v>
      </c>
      <c r="BG65" s="0" t="n">
        <f aca="false">-(BG15&lt;=ROUND($D$31,0))*$D$60</f>
        <v>-74039.9933512736</v>
      </c>
      <c r="BH65" s="0" t="n">
        <f aca="false">-(BH15&lt;=ROUND($D$31,0))*$D$60</f>
        <v>-74039.9933512736</v>
      </c>
      <c r="BI65" s="0" t="n">
        <f aca="false">-(BI15&lt;=ROUND($D$31,0))*$D$60</f>
        <v>-74039.9933512736</v>
      </c>
      <c r="BJ65" s="0" t="n">
        <f aca="false">-(BJ15&lt;=ROUND($D$31,0))*$D$60</f>
        <v>-74039.9933512736</v>
      </c>
      <c r="BK65" s="0" t="n">
        <f aca="false">-(BK15&lt;=ROUND($D$31,0))*$D$60</f>
        <v>-74039.9933512736</v>
      </c>
      <c r="BL65" s="0" t="n">
        <f aca="false">-(BL15&lt;=ROUND($D$31,0))*$D$60</f>
        <v>-74039.9933512736</v>
      </c>
      <c r="BM65" s="0" t="n">
        <f aca="false">-(BM15&lt;=ROUND($D$31,0))*$D$60</f>
        <v>-74039.9933512736</v>
      </c>
      <c r="BN65" s="0" t="n">
        <f aca="false">-(BN15&lt;=ROUND($D$31,0))*$D$60</f>
        <v>-74039.9933512736</v>
      </c>
      <c r="BO65" s="0" t="n">
        <f aca="false">-(BO15&lt;=ROUND($D$31,0))*$D$60</f>
        <v>-74039.9933512736</v>
      </c>
      <c r="BP65" s="0" t="n">
        <f aca="false">-(BP15&lt;=ROUND($D$31,0))*$D$60</f>
        <v>-74039.9933512736</v>
      </c>
      <c r="BQ65" s="0" t="n">
        <f aca="false">-(BQ15&lt;=ROUND($D$31,0))*$D$60</f>
        <v>-74039.9933512736</v>
      </c>
      <c r="BR65" s="0" t="n">
        <f aca="false">-(BR15&lt;=ROUND($D$31,0))*$D$60</f>
        <v>-74039.9933512736</v>
      </c>
      <c r="BS65" s="0" t="n">
        <f aca="false">-(BS15&lt;=ROUND($D$31,0))*$D$60</f>
        <v>-0</v>
      </c>
      <c r="BT65" s="0" t="n">
        <f aca="false">-(BT15&lt;=ROUND($D$31,0))*$D$60</f>
        <v>-0</v>
      </c>
      <c r="BU65" s="0" t="n">
        <f aca="false">-(BU15&lt;=ROUND($D$31,0))*$D$60</f>
        <v>-0</v>
      </c>
      <c r="BV65" s="0" t="n">
        <f aca="false">-(BV15&lt;=ROUND($D$31,0))*$D$60</f>
        <v>-0</v>
      </c>
      <c r="BW65" s="0" t="n">
        <f aca="false">-(BW15&lt;=ROUND($D$31,0))*$D$60</f>
        <v>-0</v>
      </c>
      <c r="BX65" s="0" t="n">
        <f aca="false">-(BX15&lt;=ROUND($D$31,0))*$D$60</f>
        <v>-0</v>
      </c>
      <c r="BY65" s="0" t="n">
        <f aca="false">-(BY15&lt;=ROUND($D$31,0))*$D$60</f>
        <v>-0</v>
      </c>
      <c r="BZ65" s="0" t="n">
        <f aca="false">-(BZ15&lt;=ROUND($D$31,0))*$D$60</f>
        <v>-0</v>
      </c>
      <c r="CA65" s="0" t="n">
        <f aca="false">-(CA15&lt;=ROUND($D$31,0))*$D$60</f>
        <v>-0</v>
      </c>
      <c r="CB65" s="0" t="n">
        <f aca="false">-(CB15&lt;=ROUND($D$31,0))*$D$60</f>
        <v>-0</v>
      </c>
      <c r="CC65" s="0" t="n">
        <f aca="false">-(CC15&lt;=ROUND($D$31,0))*$D$60</f>
        <v>-0</v>
      </c>
      <c r="CD65" s="0" t="n">
        <f aca="false">-(CD15&lt;=ROUND($D$31,0))*$D$60</f>
        <v>-0</v>
      </c>
      <c r="CE65" s="0" t="n">
        <f aca="false">-(CE15&lt;=ROUND($D$31,0))*$D$60</f>
        <v>-0</v>
      </c>
      <c r="CF65" s="0" t="n">
        <f aca="false">-(CF15&lt;=ROUND($D$31,0))*$D$60</f>
        <v>-0</v>
      </c>
      <c r="CG65" s="0" t="n">
        <f aca="false">-(CG15&lt;=ROUND($D$31,0))*$D$60</f>
        <v>-0</v>
      </c>
      <c r="CH65" s="0" t="n">
        <f aca="false">-(CH15&lt;=ROUND($D$31,0))*$D$60</f>
        <v>-0</v>
      </c>
      <c r="CI65" s="0" t="n">
        <f aca="false">-(CI15&lt;=ROUND($D$31,0))*$D$60</f>
        <v>-0</v>
      </c>
      <c r="CJ65" s="0" t="n">
        <f aca="false">-(CJ15&lt;=ROUND($D$31,0))*$D$60</f>
        <v>-0</v>
      </c>
      <c r="CK65" s="0" t="n">
        <f aca="false">-(CK15&lt;=ROUND($D$31,0))*$D$60</f>
        <v>-0</v>
      </c>
      <c r="CL65" s="0" t="n">
        <f aca="false">-(CL15&lt;=ROUND($D$31,0))*$D$60</f>
        <v>-0</v>
      </c>
      <c r="CM65" s="0" t="n">
        <f aca="false">-(CM15&lt;=ROUND($D$31,0))*$D$60</f>
        <v>-0</v>
      </c>
      <c r="CN65" s="0" t="n">
        <f aca="false">-(CN15&lt;=ROUND($D$31,0))*$D$60</f>
        <v>-0</v>
      </c>
      <c r="CO65" s="0" t="n">
        <f aca="false">-(CO15&lt;=ROUND($D$31,0))*$D$60</f>
        <v>-0</v>
      </c>
      <c r="CP65" s="0" t="n">
        <f aca="false">-(CP15&lt;=ROUND($D$31,0))*$D$60</f>
        <v>-0</v>
      </c>
      <c r="CQ65" s="0" t="n">
        <f aca="false">-(CQ15&lt;=ROUND($D$31,0))*$D$60</f>
        <v>-0</v>
      </c>
      <c r="CR65" s="0" t="n">
        <f aca="false">-(CR15&lt;=ROUND($D$31,0))*$D$60</f>
        <v>-0</v>
      </c>
      <c r="CS65" s="0" t="n">
        <f aca="false">-(CS15&lt;=ROUND($D$31,0))*$D$60</f>
        <v>-0</v>
      </c>
      <c r="CT65" s="0" t="n">
        <f aca="false">-(CT15&lt;=ROUND($D$31,0))*$D$60</f>
        <v>-0</v>
      </c>
      <c r="CU65" s="0" t="n">
        <f aca="false">-(CU15&lt;=ROUND($D$31,0))*$D$60</f>
        <v>-0</v>
      </c>
      <c r="CV65" s="0" t="n">
        <f aca="false">-(CV15&lt;=ROUND($D$31,0))*$D$60</f>
        <v>-0</v>
      </c>
      <c r="CW65" s="0" t="n">
        <f aca="false">-(CW15&lt;=ROUND($D$31,0))*$D$60</f>
        <v>-0</v>
      </c>
      <c r="CX65" s="0" t="n">
        <f aca="false">-(CX15&lt;=ROUND($D$31,0))*$D$60</f>
        <v>-0</v>
      </c>
      <c r="CY65" s="0" t="n">
        <f aca="false">-(CY15&lt;=ROUND($D$31,0))*$D$60</f>
        <v>-0</v>
      </c>
      <c r="CZ65" s="0" t="n">
        <f aca="false">-(CZ15&lt;=ROUND($D$31,0))*$D$60</f>
        <v>-0</v>
      </c>
      <c r="DA65" s="0" t="n">
        <f aca="false">-(DA15&lt;=ROUND($D$31,0))*$D$60</f>
        <v>-0</v>
      </c>
      <c r="DB65" s="0" t="n">
        <f aca="false">-(DB15&lt;=ROUND($D$31,0))*$D$60</f>
        <v>-0</v>
      </c>
      <c r="DC65" s="0" t="n">
        <f aca="false">-(DC15&lt;=ROUND($D$31,0))*$D$60</f>
        <v>-0</v>
      </c>
      <c r="DD65" s="0" t="n">
        <f aca="false">-(DD15&lt;=ROUND($D$31,0))*$D$60</f>
        <v>-0</v>
      </c>
      <c r="DE65" s="0" t="n">
        <f aca="false">-(DE15&lt;=ROUND($D$31,0))*$D$60</f>
        <v>-0</v>
      </c>
      <c r="DF65" s="0" t="n">
        <f aca="false">-(DF15&lt;=ROUND($D$31,0))*$D$60</f>
        <v>-0</v>
      </c>
      <c r="DG65" s="0" t="n">
        <f aca="false">-(DG15&lt;=ROUND($D$31,0))*$D$60</f>
        <v>-0</v>
      </c>
      <c r="DH65" s="0" t="n">
        <f aca="false">-(DH15&lt;=ROUND($D$31,0))*$D$60</f>
        <v>-0</v>
      </c>
      <c r="DI65" s="0" t="n">
        <f aca="false">-(DI15&lt;=ROUND($D$31,0))*$D$60</f>
        <v>-0</v>
      </c>
      <c r="DJ65" s="0" t="n">
        <f aca="false">-(DJ15&lt;=ROUND($D$31,0))*$D$60</f>
        <v>-0</v>
      </c>
      <c r="DK65" s="0" t="n">
        <f aca="false">-(DK15&lt;=ROUND($D$31,0))*$D$60</f>
        <v>-0</v>
      </c>
      <c r="DL65" s="0" t="n">
        <f aca="false">-(DL15&lt;=ROUND($D$31,0))*$D$60</f>
        <v>-0</v>
      </c>
      <c r="DM65" s="0" t="n">
        <f aca="false">-(DM15&lt;=ROUND($D$31,0))*$D$60</f>
        <v>-0</v>
      </c>
      <c r="DN65" s="0" t="n">
        <f aca="false">-(DN15&lt;=ROUND($D$31,0))*$D$60</f>
        <v>-0</v>
      </c>
      <c r="DO65" s="0" t="n">
        <f aca="false">-(DO15&lt;=ROUND($D$31,0))*$D$60</f>
        <v>-0</v>
      </c>
      <c r="DP65" s="0" t="n">
        <f aca="false">-(DP15&lt;=ROUND($D$31,0))*$D$60</f>
        <v>-0</v>
      </c>
      <c r="DQ65" s="0" t="n">
        <f aca="false">-(DQ15&lt;=ROUND($D$31,0))*$D$60</f>
        <v>-0</v>
      </c>
      <c r="DR65" s="0" t="n">
        <f aca="false">-(DR15&lt;=ROUND($D$31,0))*$D$60</f>
        <v>-0</v>
      </c>
      <c r="DS65" s="0" t="n">
        <f aca="false">-(DS15&lt;=ROUND($D$31,0))*$D$60</f>
        <v>-0</v>
      </c>
      <c r="DT65" s="0" t="n">
        <f aca="false">-(DT15&lt;=ROUND($D$31,0))*$D$60</f>
        <v>-0</v>
      </c>
      <c r="DU65" s="0" t="n">
        <f aca="false">-(DU15&lt;=ROUND($D$31,0))*$D$60</f>
        <v>-0</v>
      </c>
      <c r="DV65" s="0" t="n">
        <f aca="false">-(DV15&lt;=ROUND($D$31,0))*$D$60</f>
        <v>-0</v>
      </c>
      <c r="DW65" s="0" t="n">
        <f aca="false">-(DW15&lt;=ROUND($D$31,0))*$D$60</f>
        <v>-0</v>
      </c>
      <c r="DX65" s="0" t="n">
        <f aca="false">-(DX15&lt;=ROUND($D$31,0))*$D$60</f>
        <v>-0</v>
      </c>
      <c r="DY65" s="0" t="n">
        <f aca="false">-(DY15&lt;=ROUND($D$31,0))*$D$60</f>
        <v>-0</v>
      </c>
      <c r="DZ65" s="0" t="n">
        <f aca="false">-(DZ15&lt;=ROUND($D$31,0))*$D$60</f>
        <v>-0</v>
      </c>
      <c r="EA65" s="0" t="n">
        <f aca="false">-(EA15&lt;=ROUND($D$31,0))*$D$60</f>
        <v>-0</v>
      </c>
      <c r="EB65" s="0" t="n">
        <f aca="false">-(EB15&lt;=ROUND($D$31,0))*$D$60</f>
        <v>-0</v>
      </c>
      <c r="EC65" s="0" t="n">
        <f aca="false">-(EC15&lt;=ROUND($D$31,0))*$D$60</f>
        <v>-0</v>
      </c>
      <c r="ED65" s="0" t="n">
        <f aca="false">-(ED15&lt;=ROUND($D$31,0))*$D$60</f>
        <v>-0</v>
      </c>
      <c r="EE65" s="0" t="n">
        <f aca="false">-(EE15&lt;=ROUND($D$31,0))*$D$60</f>
        <v>-0</v>
      </c>
      <c r="EF65" s="0" t="n">
        <f aca="false">-(EF15&lt;=ROUND($D$31,0))*$D$60</f>
        <v>-0</v>
      </c>
      <c r="EG65" s="0" t="n">
        <f aca="false">-(EG15&lt;=ROUND($D$31,0))*$D$60</f>
        <v>-0</v>
      </c>
      <c r="EH65" s="0" t="n">
        <f aca="false">-(EH15&lt;=ROUND($D$31,0))*$D$60</f>
        <v>-0</v>
      </c>
      <c r="EI65" s="0" t="n">
        <f aca="false">-(EI15&lt;=ROUND($D$31,0))*$D$60</f>
        <v>-0</v>
      </c>
      <c r="EJ65" s="0" t="n">
        <f aca="false">-(EJ15&lt;=ROUND($D$31,0))*$D$60</f>
        <v>-0</v>
      </c>
      <c r="EK65" s="0" t="n">
        <f aca="false">-(EK15&lt;=ROUND($D$31,0))*$D$60</f>
        <v>-0</v>
      </c>
      <c r="EL65" s="0" t="n">
        <f aca="false">-(EL15&lt;=ROUND($D$31,0))*$D$60</f>
        <v>-0</v>
      </c>
    </row>
    <row r="66" customFormat="false" ht="15" hidden="false" customHeight="false" outlineLevel="0" collapsed="false">
      <c r="I66" s="0" t="s">
        <v>73</v>
      </c>
      <c r="K66" s="0" t="n">
        <f aca="false">SUM(K64:K65)</f>
        <v>47457.1316487264</v>
      </c>
      <c r="L66" s="0" t="n">
        <f aca="false">SUM(L64:L65)</f>
        <v>-3542.86835127357</v>
      </c>
      <c r="M66" s="0" t="n">
        <f aca="false">SUM(M64:M65)</f>
        <v>47457.1316487264</v>
      </c>
      <c r="N66" s="0" t="n">
        <f aca="false">SUM(N64:N65)</f>
        <v>47457.1316487264</v>
      </c>
      <c r="O66" s="0" t="n">
        <f aca="false">SUM(O64:O65)</f>
        <v>47457.1316487264</v>
      </c>
      <c r="P66" s="0" t="n">
        <f aca="false">SUM(P64:P65)</f>
        <v>47457.1316487264</v>
      </c>
      <c r="Q66" s="0" t="n">
        <f aca="false">SUM(Q64:Q65)</f>
        <v>55217.1316487264</v>
      </c>
      <c r="R66" s="0" t="n">
        <f aca="false">SUM(R64:R65)</f>
        <v>55217.1316487264</v>
      </c>
      <c r="S66" s="0" t="n">
        <f aca="false">SUM(S64:S65)</f>
        <v>-158782.868351274</v>
      </c>
      <c r="T66" s="0" t="n">
        <f aca="false">SUM(T64:T65)</f>
        <v>55217.1316487264</v>
      </c>
      <c r="U66" s="0" t="n">
        <f aca="false">SUM(U64:U65)</f>
        <v>55217.1316487264</v>
      </c>
      <c r="V66" s="0" t="n">
        <f aca="false">SUM(V64:V65)</f>
        <v>55217.1316487264</v>
      </c>
      <c r="W66" s="0" t="n">
        <f aca="false">SUM(W64:W65)</f>
        <v>58390.6431070597</v>
      </c>
      <c r="X66" s="0" t="n">
        <f aca="false">SUM(X64:X65)</f>
        <v>5860.64310705973</v>
      </c>
      <c r="Y66" s="0" t="n">
        <f aca="false">SUM(Y64:Y65)</f>
        <v>58390.6431070597</v>
      </c>
      <c r="Z66" s="0" t="n">
        <f aca="false">SUM(Z64:Z65)</f>
        <v>58390.6431070597</v>
      </c>
      <c r="AA66" s="0" t="n">
        <f aca="false">SUM(AA64:AA65)</f>
        <v>58390.6431070597</v>
      </c>
      <c r="AB66" s="0" t="n">
        <f aca="false">SUM(AB64:AB65)</f>
        <v>58390.6431070597</v>
      </c>
      <c r="AC66" s="0" t="n">
        <f aca="false">SUM(AC64:AC65)</f>
        <v>58390.6431070597</v>
      </c>
      <c r="AD66" s="0" t="n">
        <f aca="false">SUM(AD64:AD65)</f>
        <v>58390.6431070597</v>
      </c>
      <c r="AE66" s="0" t="n">
        <f aca="false">SUM(AE64:AE65)</f>
        <v>-162029.35689294</v>
      </c>
      <c r="AF66" s="0" t="n">
        <f aca="false">SUM(AF64:AF65)</f>
        <v>58390.6431070597</v>
      </c>
      <c r="AG66" s="0" t="n">
        <f aca="false">SUM(AG64:AG65)</f>
        <v>58390.6431070597</v>
      </c>
      <c r="AH66" s="0" t="n">
        <f aca="false">SUM(AH64:AH65)</f>
        <v>58390.6431070597</v>
      </c>
      <c r="AI66" s="0" t="n">
        <f aca="false">SUM(AI64:AI65)</f>
        <v>61641.6340185181</v>
      </c>
      <c r="AJ66" s="0" t="n">
        <f aca="false">SUM(AJ64:AJ65)</f>
        <v>7535.7340185181</v>
      </c>
      <c r="AK66" s="0" t="n">
        <f aca="false">SUM(AK64:AK65)</f>
        <v>61641.6340185181</v>
      </c>
      <c r="AL66" s="0" t="n">
        <f aca="false">SUM(AL64:AL65)</f>
        <v>61641.6340185181</v>
      </c>
      <c r="AM66" s="0" t="n">
        <f aca="false">SUM(AM64:AM65)</f>
        <v>61641.6340185181</v>
      </c>
      <c r="AN66" s="0" t="n">
        <f aca="false">SUM(AN64:AN65)</f>
        <v>-122358.365981482</v>
      </c>
      <c r="AO66" s="0" t="n">
        <f aca="false">SUM(AO64:AO65)</f>
        <v>61641.6340185181</v>
      </c>
      <c r="AP66" s="0" t="n">
        <f aca="false">SUM(AP64:AP65)</f>
        <v>61641.6340185181</v>
      </c>
      <c r="AQ66" s="0" t="n">
        <f aca="false">SUM(AQ64:AQ65)</f>
        <v>-165390.965981482</v>
      </c>
      <c r="AR66" s="0" t="n">
        <f aca="false">SUM(AR64:AR65)</f>
        <v>61641.6340185181</v>
      </c>
      <c r="AS66" s="0" t="n">
        <f aca="false">SUM(AS64:AS65)</f>
        <v>61641.6340185181</v>
      </c>
      <c r="AT66" s="0" t="n">
        <f aca="false">SUM(AT64:AT65)</f>
        <v>61641.6340185181</v>
      </c>
      <c r="AU66" s="0" t="n">
        <f aca="false">SUM(AU64:AU65)</f>
        <v>64971.9832027628</v>
      </c>
      <c r="AV66" s="0" t="n">
        <f aca="false">SUM(AV64:AV65)</f>
        <v>9242.90620276284</v>
      </c>
      <c r="AW66" s="0" t="n">
        <f aca="false">SUM(AW64:AW65)</f>
        <v>64971.9832027628</v>
      </c>
      <c r="AX66" s="0" t="n">
        <f aca="false">SUM(AX64:AX65)</f>
        <v>64971.9832027628</v>
      </c>
      <c r="AY66" s="0" t="n">
        <f aca="false">SUM(AY64:AY65)</f>
        <v>64971.9832027628</v>
      </c>
      <c r="AZ66" s="0" t="n">
        <f aca="false">SUM(AZ64:AZ65)</f>
        <v>64971.9832027628</v>
      </c>
      <c r="BA66" s="0" t="n">
        <f aca="false">SUM(BA64:BA65)</f>
        <v>64971.9832027628</v>
      </c>
      <c r="BB66" s="0" t="n">
        <f aca="false">SUM(BB64:BB65)</f>
        <v>64971.9832027628</v>
      </c>
      <c r="BC66" s="0" t="n">
        <f aca="false">SUM(BC64:BC65)</f>
        <v>-168871.594797237</v>
      </c>
      <c r="BD66" s="0" t="n">
        <f aca="false">SUM(BD64:BD65)</f>
        <v>64971.9832027628</v>
      </c>
      <c r="BE66" s="0" t="n">
        <f aca="false">SUM(BE64:BE65)</f>
        <v>64971.9832027628</v>
      </c>
      <c r="BF66" s="0" t="n">
        <f aca="false">SUM(BF64:BF65)</f>
        <v>64971.9832027628</v>
      </c>
      <c r="BG66" s="0" t="n">
        <f aca="false">SUM(BG64:BG65)</f>
        <v>68383.6146566138</v>
      </c>
      <c r="BH66" s="0" t="n">
        <f aca="false">SUM(BH64:BH65)</f>
        <v>10982.6653466137</v>
      </c>
      <c r="BI66" s="0" t="n">
        <f aca="false">SUM(BI64:BI65)</f>
        <v>68383.6146566138</v>
      </c>
      <c r="BJ66" s="0" t="n">
        <f aca="false">SUM(BJ64:BJ65)</f>
        <v>68383.6146566138</v>
      </c>
      <c r="BK66" s="0" t="n">
        <f aca="false">SUM(BK64:BK65)</f>
        <v>68383.6146566138</v>
      </c>
      <c r="BL66" s="0" t="n">
        <f aca="false">SUM(BL64:BL65)</f>
        <v>68383.6146566138</v>
      </c>
      <c r="BM66" s="0" t="n">
        <f aca="false">SUM(BM64:BM65)</f>
        <v>68383.6146566138</v>
      </c>
      <c r="BN66" s="0" t="n">
        <f aca="false">SUM(BN64:BN65)</f>
        <v>68383.6146566138</v>
      </c>
      <c r="BO66" s="0" t="n">
        <f aca="false">SUM(BO64:BO65)</f>
        <v>-172475.270683386</v>
      </c>
      <c r="BP66" s="0" t="n">
        <f aca="false">SUM(BP64:BP65)</f>
        <v>68383.6146566138</v>
      </c>
      <c r="BQ66" s="0" t="n">
        <f aca="false">SUM(BQ64:BQ65)</f>
        <v>68383.6146566138</v>
      </c>
      <c r="BR66" s="0" t="n">
        <f aca="false">SUM(BR64:BR65)</f>
        <v>68383.6146566138</v>
      </c>
      <c r="BS66" s="0" t="n">
        <f aca="false">SUM(BS64:BS65)</f>
        <v>0</v>
      </c>
      <c r="BT66" s="0" t="n">
        <f aca="false">SUM(BT64:BT65)</f>
        <v>0</v>
      </c>
      <c r="BU66" s="0" t="n">
        <f aca="false">SUM(BU64:BU65)</f>
        <v>0</v>
      </c>
      <c r="BV66" s="0" t="n">
        <f aca="false">SUM(BV64:BV65)</f>
        <v>0</v>
      </c>
      <c r="BW66" s="0" t="n">
        <f aca="false">SUM(BW64:BW65)</f>
        <v>0</v>
      </c>
      <c r="BX66" s="0" t="n">
        <f aca="false">SUM(BX64:BX65)</f>
        <v>0</v>
      </c>
      <c r="BY66" s="0" t="n">
        <f aca="false">SUM(BY64:BY65)</f>
        <v>0</v>
      </c>
      <c r="BZ66" s="0" t="n">
        <f aca="false">SUM(BZ64:BZ65)</f>
        <v>0</v>
      </c>
      <c r="CA66" s="0" t="n">
        <f aca="false">SUM(CA64:CA65)</f>
        <v>0</v>
      </c>
      <c r="CB66" s="0" t="n">
        <f aca="false">SUM(CB64:CB65)</f>
        <v>0</v>
      </c>
      <c r="CC66" s="0" t="n">
        <f aca="false">SUM(CC64:CC65)</f>
        <v>0</v>
      </c>
      <c r="CD66" s="0" t="n">
        <f aca="false">SUM(CD64:CD65)</f>
        <v>0</v>
      </c>
      <c r="CE66" s="0" t="n">
        <f aca="false">SUM(CE64:CE65)</f>
        <v>0</v>
      </c>
      <c r="CF66" s="0" t="n">
        <f aca="false">SUM(CF64:CF65)</f>
        <v>0</v>
      </c>
      <c r="CG66" s="0" t="n">
        <f aca="false">SUM(CG64:CG65)</f>
        <v>0</v>
      </c>
      <c r="CH66" s="0" t="n">
        <f aca="false">SUM(CH64:CH65)</f>
        <v>0</v>
      </c>
      <c r="CI66" s="0" t="n">
        <f aca="false">SUM(CI64:CI65)</f>
        <v>0</v>
      </c>
      <c r="CJ66" s="0" t="n">
        <f aca="false">SUM(CJ64:CJ65)</f>
        <v>0</v>
      </c>
      <c r="CK66" s="0" t="n">
        <f aca="false">SUM(CK64:CK65)</f>
        <v>0</v>
      </c>
      <c r="CL66" s="0" t="n">
        <f aca="false">SUM(CL64:CL65)</f>
        <v>0</v>
      </c>
      <c r="CM66" s="0" t="n">
        <f aca="false">SUM(CM64:CM65)</f>
        <v>0</v>
      </c>
      <c r="CN66" s="0" t="n">
        <f aca="false">SUM(CN64:CN65)</f>
        <v>0</v>
      </c>
      <c r="CO66" s="0" t="n">
        <f aca="false">SUM(CO64:CO65)</f>
        <v>0</v>
      </c>
      <c r="CP66" s="0" t="n">
        <f aca="false">SUM(CP64:CP65)</f>
        <v>0</v>
      </c>
      <c r="CQ66" s="0" t="n">
        <f aca="false">SUM(CQ64:CQ65)</f>
        <v>0</v>
      </c>
      <c r="CR66" s="0" t="n">
        <f aca="false">SUM(CR64:CR65)</f>
        <v>0</v>
      </c>
      <c r="CS66" s="0" t="n">
        <f aca="false">SUM(CS64:CS65)</f>
        <v>0</v>
      </c>
      <c r="CT66" s="0" t="n">
        <f aca="false">SUM(CT64:CT65)</f>
        <v>0</v>
      </c>
      <c r="CU66" s="0" t="n">
        <f aca="false">SUM(CU64:CU65)</f>
        <v>0</v>
      </c>
      <c r="CV66" s="0" t="n">
        <f aca="false">SUM(CV64:CV65)</f>
        <v>0</v>
      </c>
      <c r="CW66" s="0" t="n">
        <f aca="false">SUM(CW64:CW65)</f>
        <v>0</v>
      </c>
      <c r="CX66" s="0" t="n">
        <f aca="false">SUM(CX64:CX65)</f>
        <v>0</v>
      </c>
      <c r="CY66" s="0" t="n">
        <f aca="false">SUM(CY64:CY65)</f>
        <v>0</v>
      </c>
      <c r="CZ66" s="0" t="n">
        <f aca="false">SUM(CZ64:CZ65)</f>
        <v>0</v>
      </c>
      <c r="DA66" s="0" t="n">
        <f aca="false">SUM(DA64:DA65)</f>
        <v>0</v>
      </c>
      <c r="DB66" s="0" t="n">
        <f aca="false">SUM(DB64:DB65)</f>
        <v>0</v>
      </c>
      <c r="DC66" s="0" t="n">
        <f aca="false">SUM(DC64:DC65)</f>
        <v>0</v>
      </c>
      <c r="DD66" s="0" t="n">
        <f aca="false">SUM(DD64:DD65)</f>
        <v>0</v>
      </c>
      <c r="DE66" s="0" t="n">
        <f aca="false">SUM(DE64:DE65)</f>
        <v>0</v>
      </c>
      <c r="DF66" s="0" t="n">
        <f aca="false">SUM(DF64:DF65)</f>
        <v>0</v>
      </c>
      <c r="DG66" s="0" t="n">
        <f aca="false">SUM(DG64:DG65)</f>
        <v>0</v>
      </c>
      <c r="DH66" s="0" t="n">
        <f aca="false">SUM(DH64:DH65)</f>
        <v>0</v>
      </c>
      <c r="DI66" s="0" t="n">
        <f aca="false">SUM(DI64:DI65)</f>
        <v>0</v>
      </c>
      <c r="DJ66" s="0" t="n">
        <f aca="false">SUM(DJ64:DJ65)</f>
        <v>0</v>
      </c>
      <c r="DK66" s="0" t="n">
        <f aca="false">SUM(DK64:DK65)</f>
        <v>0</v>
      </c>
      <c r="DL66" s="0" t="n">
        <f aca="false">SUM(DL64:DL65)</f>
        <v>0</v>
      </c>
      <c r="DM66" s="0" t="n">
        <f aca="false">SUM(DM64:DM65)</f>
        <v>0</v>
      </c>
      <c r="DN66" s="0" t="n">
        <f aca="false">SUM(DN64:DN65)</f>
        <v>0</v>
      </c>
      <c r="DO66" s="0" t="n">
        <f aca="false">SUM(DO64:DO65)</f>
        <v>0</v>
      </c>
      <c r="DP66" s="0" t="n">
        <f aca="false">SUM(DP64:DP65)</f>
        <v>0</v>
      </c>
      <c r="DQ66" s="0" t="n">
        <f aca="false">SUM(DQ64:DQ65)</f>
        <v>0</v>
      </c>
      <c r="DR66" s="0" t="n">
        <f aca="false">SUM(DR64:DR65)</f>
        <v>0</v>
      </c>
      <c r="DS66" s="0" t="n">
        <f aca="false">SUM(DS64:DS65)</f>
        <v>0</v>
      </c>
      <c r="DT66" s="0" t="n">
        <f aca="false">SUM(DT64:DT65)</f>
        <v>0</v>
      </c>
      <c r="DU66" s="0" t="n">
        <f aca="false">SUM(DU64:DU65)</f>
        <v>0</v>
      </c>
      <c r="DV66" s="0" t="n">
        <f aca="false">SUM(DV64:DV65)</f>
        <v>0</v>
      </c>
      <c r="DW66" s="0" t="n">
        <f aca="false">SUM(DW64:DW65)</f>
        <v>0</v>
      </c>
      <c r="DX66" s="0" t="n">
        <f aca="false">SUM(DX64:DX65)</f>
        <v>0</v>
      </c>
      <c r="DY66" s="0" t="n">
        <f aca="false">SUM(DY64:DY65)</f>
        <v>0</v>
      </c>
      <c r="DZ66" s="0" t="n">
        <f aca="false">SUM(DZ64:DZ65)</f>
        <v>0</v>
      </c>
      <c r="EA66" s="0" t="n">
        <f aca="false">SUM(EA64:EA65)</f>
        <v>0</v>
      </c>
      <c r="EB66" s="0" t="n">
        <f aca="false">SUM(EB64:EB65)</f>
        <v>0</v>
      </c>
      <c r="EC66" s="0" t="n">
        <f aca="false">SUM(EC64:EC65)</f>
        <v>0</v>
      </c>
      <c r="ED66" s="0" t="n">
        <f aca="false">SUM(ED64:ED65)</f>
        <v>0</v>
      </c>
      <c r="EE66" s="0" t="n">
        <f aca="false">SUM(EE64:EE65)</f>
        <v>0</v>
      </c>
      <c r="EF66" s="0" t="n">
        <f aca="false">SUM(EF64:EF65)</f>
        <v>0</v>
      </c>
      <c r="EG66" s="0" t="n">
        <f aca="false">SUM(EG64:EG65)</f>
        <v>0</v>
      </c>
      <c r="EH66" s="0" t="n">
        <f aca="false">SUM(EH64:EH65)</f>
        <v>0</v>
      </c>
      <c r="EI66" s="0" t="n">
        <f aca="false">SUM(EI64:EI65)</f>
        <v>0</v>
      </c>
      <c r="EJ66" s="0" t="n">
        <f aca="false">SUM(EJ64:EJ65)</f>
        <v>0</v>
      </c>
      <c r="EK66" s="0" t="n">
        <f aca="false">SUM(EK64:EK65)</f>
        <v>0</v>
      </c>
      <c r="EL66" s="0" t="n">
        <f aca="false">SUM(EL64:EL65)</f>
        <v>0</v>
      </c>
    </row>
    <row r="68" customFormat="false" ht="15" hidden="false" customHeight="false" outlineLevel="0" collapsed="false">
      <c r="I68" s="0" t="s">
        <v>43</v>
      </c>
      <c r="K68" s="0" t="n">
        <f aca="false">K35</f>
        <v>0</v>
      </c>
      <c r="L68" s="0" t="n">
        <f aca="false">L35</f>
        <v>0</v>
      </c>
      <c r="M68" s="0" t="n">
        <f aca="false">M35</f>
        <v>0</v>
      </c>
      <c r="N68" s="0" t="n">
        <f aca="false">N35</f>
        <v>0</v>
      </c>
      <c r="O68" s="0" t="n">
        <f aca="false">O35</f>
        <v>0</v>
      </c>
      <c r="P68" s="0" t="n">
        <f aca="false">P35</f>
        <v>0</v>
      </c>
      <c r="Q68" s="0" t="n">
        <f aca="false">Q35</f>
        <v>0</v>
      </c>
      <c r="R68" s="0" t="n">
        <f aca="false">R35</f>
        <v>0</v>
      </c>
      <c r="S68" s="0" t="n">
        <f aca="false">S35</f>
        <v>0</v>
      </c>
      <c r="T68" s="0" t="n">
        <f aca="false">T35</f>
        <v>0</v>
      </c>
      <c r="U68" s="0" t="n">
        <f aca="false">U35</f>
        <v>0</v>
      </c>
      <c r="V68" s="0" t="n">
        <f aca="false">V35</f>
        <v>0</v>
      </c>
      <c r="W68" s="0" t="n">
        <f aca="false">W35</f>
        <v>0</v>
      </c>
      <c r="X68" s="0" t="n">
        <f aca="false">X35</f>
        <v>0</v>
      </c>
      <c r="Y68" s="0" t="n">
        <f aca="false">Y35</f>
        <v>0</v>
      </c>
      <c r="Z68" s="0" t="n">
        <f aca="false">Z35</f>
        <v>0</v>
      </c>
      <c r="AA68" s="0" t="n">
        <f aca="false">AA35</f>
        <v>0</v>
      </c>
      <c r="AB68" s="0" t="n">
        <f aca="false">AB35</f>
        <v>0</v>
      </c>
      <c r="AC68" s="0" t="n">
        <f aca="false">AC35</f>
        <v>0</v>
      </c>
      <c r="AD68" s="0" t="n">
        <f aca="false">AD35</f>
        <v>0</v>
      </c>
      <c r="AE68" s="0" t="n">
        <f aca="false">AE35</f>
        <v>0</v>
      </c>
      <c r="AF68" s="0" t="n">
        <f aca="false">AF35</f>
        <v>0</v>
      </c>
      <c r="AG68" s="0" t="n">
        <f aca="false">AG35</f>
        <v>0</v>
      </c>
      <c r="AH68" s="0" t="n">
        <f aca="false">AH35</f>
        <v>0</v>
      </c>
      <c r="AI68" s="0" t="n">
        <f aca="false">AI35</f>
        <v>0</v>
      </c>
      <c r="AJ68" s="0" t="n">
        <f aca="false">AJ35</f>
        <v>0</v>
      </c>
      <c r="AK68" s="0" t="n">
        <f aca="false">AK35</f>
        <v>0</v>
      </c>
      <c r="AL68" s="0" t="n">
        <f aca="false">AL35</f>
        <v>0</v>
      </c>
      <c r="AM68" s="0" t="n">
        <f aca="false">AM35</f>
        <v>0</v>
      </c>
      <c r="AN68" s="0" t="n">
        <f aca="false">AN35</f>
        <v>0</v>
      </c>
      <c r="AO68" s="0" t="n">
        <f aca="false">AO35</f>
        <v>0</v>
      </c>
      <c r="AP68" s="0" t="n">
        <f aca="false">AP35</f>
        <v>0</v>
      </c>
      <c r="AQ68" s="0" t="n">
        <f aca="false">AQ35</f>
        <v>0</v>
      </c>
      <c r="AR68" s="0" t="n">
        <f aca="false">AR35</f>
        <v>0</v>
      </c>
      <c r="AS68" s="0" t="n">
        <f aca="false">AS35</f>
        <v>0</v>
      </c>
      <c r="AT68" s="0" t="n">
        <f aca="false">AT35</f>
        <v>0</v>
      </c>
      <c r="AU68" s="0" t="n">
        <f aca="false">AU35</f>
        <v>0</v>
      </c>
      <c r="AV68" s="0" t="n">
        <f aca="false">AV35</f>
        <v>0</v>
      </c>
      <c r="AW68" s="0" t="n">
        <f aca="false">AW35</f>
        <v>0</v>
      </c>
      <c r="AX68" s="0" t="n">
        <f aca="false">AX35</f>
        <v>0</v>
      </c>
      <c r="AY68" s="0" t="n">
        <f aca="false">AY35</f>
        <v>0</v>
      </c>
      <c r="AZ68" s="0" t="n">
        <f aca="false">AZ35</f>
        <v>0</v>
      </c>
      <c r="BA68" s="0" t="n">
        <f aca="false">BA35</f>
        <v>0</v>
      </c>
      <c r="BB68" s="0" t="n">
        <f aca="false">BB35</f>
        <v>0</v>
      </c>
      <c r="BC68" s="0" t="n">
        <f aca="false">BC35</f>
        <v>0</v>
      </c>
      <c r="BD68" s="0" t="n">
        <f aca="false">BD35</f>
        <v>0</v>
      </c>
      <c r="BE68" s="0" t="n">
        <f aca="false">BE35</f>
        <v>0</v>
      </c>
      <c r="BF68" s="0" t="n">
        <f aca="false">BF35</f>
        <v>0</v>
      </c>
      <c r="BG68" s="0" t="n">
        <f aca="false">BG35</f>
        <v>0</v>
      </c>
      <c r="BH68" s="0" t="n">
        <f aca="false">BH35</f>
        <v>0</v>
      </c>
      <c r="BI68" s="0" t="n">
        <f aca="false">BI35</f>
        <v>0</v>
      </c>
      <c r="BJ68" s="0" t="n">
        <f aca="false">BJ35</f>
        <v>0</v>
      </c>
      <c r="BK68" s="0" t="n">
        <f aca="false">BK35</f>
        <v>0</v>
      </c>
      <c r="BL68" s="0" t="n">
        <f aca="false">BL35</f>
        <v>0</v>
      </c>
      <c r="BM68" s="0" t="n">
        <f aca="false">BM35</f>
        <v>0</v>
      </c>
      <c r="BN68" s="0" t="n">
        <f aca="false">BN35</f>
        <v>0</v>
      </c>
      <c r="BO68" s="0" t="n">
        <f aca="false">BO35</f>
        <v>0</v>
      </c>
      <c r="BP68" s="0" t="n">
        <f aca="false">BP35</f>
        <v>0</v>
      </c>
      <c r="BQ68" s="0" t="n">
        <f aca="false">BQ35</f>
        <v>0</v>
      </c>
      <c r="BR68" s="0" t="n">
        <f aca="false">BR35</f>
        <v>20356311.9636292</v>
      </c>
      <c r="BS68" s="0" t="n">
        <f aca="false">BS35</f>
        <v>0</v>
      </c>
      <c r="BT68" s="0" t="n">
        <f aca="false">BT35</f>
        <v>0</v>
      </c>
      <c r="BU68" s="0" t="n">
        <f aca="false">BU35</f>
        <v>0</v>
      </c>
      <c r="BV68" s="0" t="n">
        <f aca="false">BV35</f>
        <v>0</v>
      </c>
      <c r="BW68" s="0" t="n">
        <f aca="false">BW35</f>
        <v>0</v>
      </c>
      <c r="BX68" s="0" t="n">
        <f aca="false">BX35</f>
        <v>0</v>
      </c>
      <c r="BY68" s="0" t="n">
        <f aca="false">BY35</f>
        <v>0</v>
      </c>
      <c r="BZ68" s="0" t="n">
        <f aca="false">BZ35</f>
        <v>0</v>
      </c>
      <c r="CA68" s="0" t="n">
        <f aca="false">CA35</f>
        <v>0</v>
      </c>
      <c r="CB68" s="0" t="n">
        <f aca="false">CB35</f>
        <v>0</v>
      </c>
      <c r="CC68" s="0" t="n">
        <f aca="false">CC35</f>
        <v>0</v>
      </c>
      <c r="CD68" s="0" t="n">
        <f aca="false">CD35</f>
        <v>0</v>
      </c>
      <c r="CE68" s="0" t="n">
        <f aca="false">CE35</f>
        <v>0</v>
      </c>
      <c r="CF68" s="0" t="n">
        <f aca="false">CF35</f>
        <v>0</v>
      </c>
      <c r="CG68" s="0" t="n">
        <f aca="false">CG35</f>
        <v>0</v>
      </c>
      <c r="CH68" s="0" t="n">
        <f aca="false">CH35</f>
        <v>0</v>
      </c>
      <c r="CI68" s="0" t="n">
        <f aca="false">CI35</f>
        <v>0</v>
      </c>
      <c r="CJ68" s="0" t="n">
        <f aca="false">CJ35</f>
        <v>0</v>
      </c>
      <c r="CK68" s="0" t="n">
        <f aca="false">CK35</f>
        <v>0</v>
      </c>
      <c r="CL68" s="0" t="n">
        <f aca="false">CL35</f>
        <v>0</v>
      </c>
      <c r="CM68" s="0" t="n">
        <f aca="false">CM35</f>
        <v>0</v>
      </c>
      <c r="CN68" s="0" t="n">
        <f aca="false">CN35</f>
        <v>0</v>
      </c>
      <c r="CO68" s="0" t="n">
        <f aca="false">CO35</f>
        <v>0</v>
      </c>
      <c r="CP68" s="0" t="n">
        <f aca="false">CP35</f>
        <v>0</v>
      </c>
      <c r="CQ68" s="0" t="n">
        <f aca="false">CQ35</f>
        <v>0</v>
      </c>
      <c r="CR68" s="0" t="n">
        <f aca="false">CR35</f>
        <v>0</v>
      </c>
      <c r="CS68" s="0" t="n">
        <f aca="false">CS35</f>
        <v>0</v>
      </c>
      <c r="CT68" s="0" t="n">
        <f aca="false">CT35</f>
        <v>0</v>
      </c>
      <c r="CU68" s="0" t="n">
        <f aca="false">CU35</f>
        <v>0</v>
      </c>
      <c r="CV68" s="0" t="n">
        <f aca="false">CV35</f>
        <v>0</v>
      </c>
      <c r="CW68" s="0" t="n">
        <f aca="false">CW35</f>
        <v>0</v>
      </c>
      <c r="CX68" s="0" t="n">
        <f aca="false">CX35</f>
        <v>0</v>
      </c>
      <c r="CY68" s="0" t="n">
        <f aca="false">CY35</f>
        <v>0</v>
      </c>
      <c r="CZ68" s="0" t="n">
        <f aca="false">CZ35</f>
        <v>0</v>
      </c>
      <c r="DA68" s="0" t="n">
        <f aca="false">DA35</f>
        <v>0</v>
      </c>
      <c r="DB68" s="0" t="n">
        <f aca="false">DB35</f>
        <v>0</v>
      </c>
      <c r="DC68" s="0" t="n">
        <f aca="false">DC35</f>
        <v>0</v>
      </c>
      <c r="DD68" s="0" t="n">
        <f aca="false">DD35</f>
        <v>0</v>
      </c>
      <c r="DE68" s="0" t="n">
        <f aca="false">DE35</f>
        <v>0</v>
      </c>
      <c r="DF68" s="0" t="n">
        <f aca="false">DF35</f>
        <v>0</v>
      </c>
      <c r="DG68" s="0" t="n">
        <f aca="false">DG35</f>
        <v>0</v>
      </c>
      <c r="DH68" s="0" t="n">
        <f aca="false">DH35</f>
        <v>0</v>
      </c>
      <c r="DI68" s="0" t="n">
        <f aca="false">DI35</f>
        <v>0</v>
      </c>
      <c r="DJ68" s="0" t="n">
        <f aca="false">DJ35</f>
        <v>0</v>
      </c>
      <c r="DK68" s="0" t="n">
        <f aca="false">DK35</f>
        <v>0</v>
      </c>
      <c r="DL68" s="0" t="n">
        <f aca="false">DL35</f>
        <v>0</v>
      </c>
      <c r="DM68" s="0" t="n">
        <f aca="false">DM35</f>
        <v>0</v>
      </c>
      <c r="DN68" s="0" t="n">
        <f aca="false">DN35</f>
        <v>0</v>
      </c>
      <c r="DO68" s="0" t="n">
        <f aca="false">DO35</f>
        <v>0</v>
      </c>
      <c r="DP68" s="0" t="n">
        <f aca="false">DP35</f>
        <v>0</v>
      </c>
      <c r="DQ68" s="0" t="n">
        <f aca="false">DQ35</f>
        <v>0</v>
      </c>
      <c r="DR68" s="0" t="n">
        <f aca="false">DR35</f>
        <v>0</v>
      </c>
      <c r="DS68" s="0" t="n">
        <f aca="false">DS35</f>
        <v>0</v>
      </c>
      <c r="DT68" s="0" t="n">
        <f aca="false">DT35</f>
        <v>0</v>
      </c>
      <c r="DU68" s="0" t="n">
        <f aca="false">DU35</f>
        <v>0</v>
      </c>
      <c r="DV68" s="0" t="n">
        <f aca="false">DV35</f>
        <v>0</v>
      </c>
      <c r="DW68" s="0" t="n">
        <f aca="false">DW35</f>
        <v>0</v>
      </c>
      <c r="DX68" s="0" t="n">
        <f aca="false">DX35</f>
        <v>0</v>
      </c>
      <c r="DY68" s="0" t="n">
        <f aca="false">DY35</f>
        <v>0</v>
      </c>
      <c r="DZ68" s="0" t="n">
        <f aca="false">DZ35</f>
        <v>0</v>
      </c>
      <c r="EA68" s="0" t="n">
        <f aca="false">EA35</f>
        <v>0</v>
      </c>
      <c r="EB68" s="0" t="n">
        <f aca="false">EB35</f>
        <v>0</v>
      </c>
      <c r="EC68" s="0" t="n">
        <f aca="false">EC35</f>
        <v>0</v>
      </c>
      <c r="ED68" s="0" t="n">
        <f aca="false">ED35</f>
        <v>0</v>
      </c>
      <c r="EE68" s="0" t="n">
        <f aca="false">EE35</f>
        <v>0</v>
      </c>
      <c r="EF68" s="0" t="n">
        <f aca="false">EF35</f>
        <v>0</v>
      </c>
      <c r="EG68" s="0" t="n">
        <f aca="false">EG35</f>
        <v>0</v>
      </c>
      <c r="EH68" s="0" t="n">
        <f aca="false">EH35</f>
        <v>0</v>
      </c>
      <c r="EI68" s="0" t="n">
        <f aca="false">EI35</f>
        <v>0</v>
      </c>
      <c r="EJ68" s="0" t="n">
        <f aca="false">EJ35</f>
        <v>0</v>
      </c>
      <c r="EK68" s="0" t="n">
        <f aca="false">EK35</f>
        <v>0</v>
      </c>
      <c r="EL68" s="0" t="n">
        <f aca="false">EL35</f>
        <v>0</v>
      </c>
    </row>
    <row r="69" customFormat="false" ht="15" hidden="false" customHeight="false" outlineLevel="0" collapsed="false">
      <c r="I69" s="0" t="s">
        <v>45</v>
      </c>
      <c r="K69" s="0" t="n">
        <f aca="false">K36</f>
        <v>0</v>
      </c>
      <c r="L69" s="0" t="n">
        <f aca="false">L36</f>
        <v>0</v>
      </c>
      <c r="M69" s="0" t="n">
        <f aca="false">M36</f>
        <v>0</v>
      </c>
      <c r="N69" s="0" t="n">
        <f aca="false">N36</f>
        <v>0</v>
      </c>
      <c r="O69" s="0" t="n">
        <f aca="false">O36</f>
        <v>0</v>
      </c>
      <c r="P69" s="0" t="n">
        <f aca="false">P36</f>
        <v>0</v>
      </c>
      <c r="Q69" s="0" t="n">
        <f aca="false">Q36</f>
        <v>0</v>
      </c>
      <c r="R69" s="0" t="n">
        <f aca="false">R36</f>
        <v>0</v>
      </c>
      <c r="S69" s="0" t="n">
        <f aca="false">S36</f>
        <v>0</v>
      </c>
      <c r="T69" s="0" t="n">
        <f aca="false">T36</f>
        <v>0</v>
      </c>
      <c r="U69" s="0" t="n">
        <f aca="false">U36</f>
        <v>0</v>
      </c>
      <c r="V69" s="0" t="n">
        <f aca="false">V36</f>
        <v>0</v>
      </c>
      <c r="W69" s="0" t="n">
        <f aca="false">W36</f>
        <v>0</v>
      </c>
      <c r="X69" s="0" t="n">
        <f aca="false">X36</f>
        <v>0</v>
      </c>
      <c r="Y69" s="0" t="n">
        <f aca="false">Y36</f>
        <v>0</v>
      </c>
      <c r="Z69" s="0" t="n">
        <f aca="false">Z36</f>
        <v>0</v>
      </c>
      <c r="AA69" s="0" t="n">
        <f aca="false">AA36</f>
        <v>0</v>
      </c>
      <c r="AB69" s="0" t="n">
        <f aca="false">AB36</f>
        <v>0</v>
      </c>
      <c r="AC69" s="0" t="n">
        <f aca="false">AC36</f>
        <v>0</v>
      </c>
      <c r="AD69" s="0" t="n">
        <f aca="false">AD36</f>
        <v>0</v>
      </c>
      <c r="AE69" s="0" t="n">
        <f aca="false">AE36</f>
        <v>0</v>
      </c>
      <c r="AF69" s="0" t="n">
        <f aca="false">AF36</f>
        <v>0</v>
      </c>
      <c r="AG69" s="0" t="n">
        <f aca="false">AG36</f>
        <v>0</v>
      </c>
      <c r="AH69" s="0" t="n">
        <f aca="false">AH36</f>
        <v>0</v>
      </c>
      <c r="AI69" s="0" t="n">
        <f aca="false">AI36</f>
        <v>0</v>
      </c>
      <c r="AJ69" s="0" t="n">
        <f aca="false">AJ36</f>
        <v>0</v>
      </c>
      <c r="AK69" s="0" t="n">
        <f aca="false">AK36</f>
        <v>0</v>
      </c>
      <c r="AL69" s="0" t="n">
        <f aca="false">AL36</f>
        <v>0</v>
      </c>
      <c r="AM69" s="0" t="n">
        <f aca="false">AM36</f>
        <v>0</v>
      </c>
      <c r="AN69" s="0" t="n">
        <f aca="false">AN36</f>
        <v>0</v>
      </c>
      <c r="AO69" s="0" t="n">
        <f aca="false">AO36</f>
        <v>0</v>
      </c>
      <c r="AP69" s="0" t="n">
        <f aca="false">AP36</f>
        <v>0</v>
      </c>
      <c r="AQ69" s="0" t="n">
        <f aca="false">AQ36</f>
        <v>0</v>
      </c>
      <c r="AR69" s="0" t="n">
        <f aca="false">AR36</f>
        <v>0</v>
      </c>
      <c r="AS69" s="0" t="n">
        <f aca="false">AS36</f>
        <v>0</v>
      </c>
      <c r="AT69" s="0" t="n">
        <f aca="false">AT36</f>
        <v>0</v>
      </c>
      <c r="AU69" s="0" t="n">
        <f aca="false">AU36</f>
        <v>0</v>
      </c>
      <c r="AV69" s="0" t="n">
        <f aca="false">AV36</f>
        <v>0</v>
      </c>
      <c r="AW69" s="0" t="n">
        <f aca="false">AW36</f>
        <v>0</v>
      </c>
      <c r="AX69" s="0" t="n">
        <f aca="false">AX36</f>
        <v>0</v>
      </c>
      <c r="AY69" s="0" t="n">
        <f aca="false">AY36</f>
        <v>0</v>
      </c>
      <c r="AZ69" s="0" t="n">
        <f aca="false">AZ36</f>
        <v>0</v>
      </c>
      <c r="BA69" s="0" t="n">
        <f aca="false">BA36</f>
        <v>0</v>
      </c>
      <c r="BB69" s="0" t="n">
        <f aca="false">BB36</f>
        <v>0</v>
      </c>
      <c r="BC69" s="0" t="n">
        <f aca="false">BC36</f>
        <v>0</v>
      </c>
      <c r="BD69" s="0" t="n">
        <f aca="false">BD36</f>
        <v>0</v>
      </c>
      <c r="BE69" s="0" t="n">
        <f aca="false">BE36</f>
        <v>0</v>
      </c>
      <c r="BF69" s="0" t="n">
        <f aca="false">BF36</f>
        <v>0</v>
      </c>
      <c r="BG69" s="0" t="n">
        <f aca="false">BG36</f>
        <v>0</v>
      </c>
      <c r="BH69" s="0" t="n">
        <f aca="false">BH36</f>
        <v>0</v>
      </c>
      <c r="BI69" s="0" t="n">
        <f aca="false">BI36</f>
        <v>0</v>
      </c>
      <c r="BJ69" s="0" t="n">
        <f aca="false">BJ36</f>
        <v>0</v>
      </c>
      <c r="BK69" s="0" t="n">
        <f aca="false">BK36</f>
        <v>0</v>
      </c>
      <c r="BL69" s="0" t="n">
        <f aca="false">BL36</f>
        <v>0</v>
      </c>
      <c r="BM69" s="0" t="n">
        <f aca="false">BM36</f>
        <v>0</v>
      </c>
      <c r="BN69" s="0" t="n">
        <f aca="false">BN36</f>
        <v>0</v>
      </c>
      <c r="BO69" s="0" t="n">
        <f aca="false">BO36</f>
        <v>0</v>
      </c>
      <c r="BP69" s="0" t="n">
        <f aca="false">BP36</f>
        <v>0</v>
      </c>
      <c r="BQ69" s="0" t="n">
        <f aca="false">BQ36</f>
        <v>0</v>
      </c>
      <c r="BR69" s="0" t="n">
        <f aca="false">BR36</f>
        <v>305344.679454437</v>
      </c>
      <c r="BS69" s="0" t="n">
        <f aca="false">BS36</f>
        <v>0</v>
      </c>
      <c r="BT69" s="0" t="n">
        <f aca="false">BT36</f>
        <v>0</v>
      </c>
      <c r="BU69" s="0" t="n">
        <f aca="false">BU36</f>
        <v>0</v>
      </c>
      <c r="BV69" s="0" t="n">
        <f aca="false">BV36</f>
        <v>0</v>
      </c>
      <c r="BW69" s="0" t="n">
        <f aca="false">BW36</f>
        <v>0</v>
      </c>
      <c r="BX69" s="0" t="n">
        <f aca="false">BX36</f>
        <v>0</v>
      </c>
      <c r="BY69" s="0" t="n">
        <f aca="false">BY36</f>
        <v>0</v>
      </c>
      <c r="BZ69" s="0" t="n">
        <f aca="false">BZ36</f>
        <v>0</v>
      </c>
      <c r="CA69" s="0" t="n">
        <f aca="false">CA36</f>
        <v>0</v>
      </c>
      <c r="CB69" s="0" t="n">
        <f aca="false">CB36</f>
        <v>0</v>
      </c>
      <c r="CC69" s="0" t="n">
        <f aca="false">CC36</f>
        <v>0</v>
      </c>
      <c r="CD69" s="0" t="n">
        <f aca="false">CD36</f>
        <v>0</v>
      </c>
      <c r="CE69" s="0" t="n">
        <f aca="false">CE36</f>
        <v>0</v>
      </c>
      <c r="CF69" s="0" t="n">
        <f aca="false">CF36</f>
        <v>0</v>
      </c>
      <c r="CG69" s="0" t="n">
        <f aca="false">CG36</f>
        <v>0</v>
      </c>
      <c r="CH69" s="0" t="n">
        <f aca="false">CH36</f>
        <v>0</v>
      </c>
      <c r="CI69" s="0" t="n">
        <f aca="false">CI36</f>
        <v>0</v>
      </c>
      <c r="CJ69" s="0" t="n">
        <f aca="false">CJ36</f>
        <v>0</v>
      </c>
      <c r="CK69" s="0" t="n">
        <f aca="false">CK36</f>
        <v>0</v>
      </c>
      <c r="CL69" s="0" t="n">
        <f aca="false">CL36</f>
        <v>0</v>
      </c>
      <c r="CM69" s="0" t="n">
        <f aca="false">CM36</f>
        <v>0</v>
      </c>
      <c r="CN69" s="0" t="n">
        <f aca="false">CN36</f>
        <v>0</v>
      </c>
      <c r="CO69" s="0" t="n">
        <f aca="false">CO36</f>
        <v>0</v>
      </c>
      <c r="CP69" s="0" t="n">
        <f aca="false">CP36</f>
        <v>0</v>
      </c>
      <c r="CQ69" s="0" t="n">
        <f aca="false">CQ36</f>
        <v>0</v>
      </c>
      <c r="CR69" s="0" t="n">
        <f aca="false">CR36</f>
        <v>0</v>
      </c>
      <c r="CS69" s="0" t="n">
        <f aca="false">CS36</f>
        <v>0</v>
      </c>
      <c r="CT69" s="0" t="n">
        <f aca="false">CT36</f>
        <v>0</v>
      </c>
      <c r="CU69" s="0" t="n">
        <f aca="false">CU36</f>
        <v>0</v>
      </c>
      <c r="CV69" s="0" t="n">
        <f aca="false">CV36</f>
        <v>0</v>
      </c>
      <c r="CW69" s="0" t="n">
        <f aca="false">CW36</f>
        <v>0</v>
      </c>
      <c r="CX69" s="0" t="n">
        <f aca="false">CX36</f>
        <v>0</v>
      </c>
      <c r="CY69" s="0" t="n">
        <f aca="false">CY36</f>
        <v>0</v>
      </c>
      <c r="CZ69" s="0" t="n">
        <f aca="false">CZ36</f>
        <v>0</v>
      </c>
      <c r="DA69" s="0" t="n">
        <f aca="false">DA36</f>
        <v>0</v>
      </c>
      <c r="DB69" s="0" t="n">
        <f aca="false">DB36</f>
        <v>0</v>
      </c>
      <c r="DC69" s="0" t="n">
        <f aca="false">DC36</f>
        <v>0</v>
      </c>
      <c r="DD69" s="0" t="n">
        <f aca="false">DD36</f>
        <v>0</v>
      </c>
      <c r="DE69" s="0" t="n">
        <f aca="false">DE36</f>
        <v>0</v>
      </c>
      <c r="DF69" s="0" t="n">
        <f aca="false">DF36</f>
        <v>0</v>
      </c>
      <c r="DG69" s="0" t="n">
        <f aca="false">DG36</f>
        <v>0</v>
      </c>
      <c r="DH69" s="0" t="n">
        <f aca="false">DH36</f>
        <v>0</v>
      </c>
      <c r="DI69" s="0" t="n">
        <f aca="false">DI36</f>
        <v>0</v>
      </c>
      <c r="DJ69" s="0" t="n">
        <f aca="false">DJ36</f>
        <v>0</v>
      </c>
      <c r="DK69" s="0" t="n">
        <f aca="false">DK36</f>
        <v>0</v>
      </c>
      <c r="DL69" s="0" t="n">
        <f aca="false">DL36</f>
        <v>0</v>
      </c>
      <c r="DM69" s="0" t="n">
        <f aca="false">DM36</f>
        <v>0</v>
      </c>
      <c r="DN69" s="0" t="n">
        <f aca="false">DN36</f>
        <v>0</v>
      </c>
      <c r="DO69" s="0" t="n">
        <f aca="false">DO36</f>
        <v>0</v>
      </c>
      <c r="DP69" s="0" t="n">
        <f aca="false">DP36</f>
        <v>0</v>
      </c>
      <c r="DQ69" s="0" t="n">
        <f aca="false">DQ36</f>
        <v>0</v>
      </c>
      <c r="DR69" s="0" t="n">
        <f aca="false">DR36</f>
        <v>0</v>
      </c>
      <c r="DS69" s="0" t="n">
        <f aca="false">DS36</f>
        <v>0</v>
      </c>
      <c r="DT69" s="0" t="n">
        <f aca="false">DT36</f>
        <v>0</v>
      </c>
      <c r="DU69" s="0" t="n">
        <f aca="false">DU36</f>
        <v>0</v>
      </c>
      <c r="DV69" s="0" t="n">
        <f aca="false">DV36</f>
        <v>0</v>
      </c>
      <c r="DW69" s="0" t="n">
        <f aca="false">DW36</f>
        <v>0</v>
      </c>
      <c r="DX69" s="0" t="n">
        <f aca="false">DX36</f>
        <v>0</v>
      </c>
      <c r="DY69" s="0" t="n">
        <f aca="false">DY36</f>
        <v>0</v>
      </c>
      <c r="DZ69" s="0" t="n">
        <f aca="false">DZ36</f>
        <v>0</v>
      </c>
      <c r="EA69" s="0" t="n">
        <f aca="false">EA36</f>
        <v>0</v>
      </c>
      <c r="EB69" s="0" t="n">
        <f aca="false">EB36</f>
        <v>0</v>
      </c>
      <c r="EC69" s="0" t="n">
        <f aca="false">EC36</f>
        <v>0</v>
      </c>
      <c r="ED69" s="0" t="n">
        <f aca="false">ED36</f>
        <v>0</v>
      </c>
      <c r="EE69" s="0" t="n">
        <f aca="false">EE36</f>
        <v>0</v>
      </c>
      <c r="EF69" s="0" t="n">
        <f aca="false">EF36</f>
        <v>0</v>
      </c>
      <c r="EG69" s="0" t="n">
        <f aca="false">EG36</f>
        <v>0</v>
      </c>
      <c r="EH69" s="0" t="n">
        <f aca="false">EH36</f>
        <v>0</v>
      </c>
      <c r="EI69" s="0" t="n">
        <f aca="false">EI36</f>
        <v>0</v>
      </c>
      <c r="EJ69" s="0" t="n">
        <f aca="false">EJ36</f>
        <v>0</v>
      </c>
      <c r="EK69" s="0" t="n">
        <f aca="false">EK36</f>
        <v>0</v>
      </c>
      <c r="EL69" s="0" t="n">
        <f aca="false">EL36</f>
        <v>0</v>
      </c>
    </row>
    <row r="70" customFormat="false" ht="15" hidden="false" customHeight="false" outlineLevel="0" collapsed="false">
      <c r="I70" s="0" t="s">
        <v>71</v>
      </c>
      <c r="K70" s="0" t="n">
        <f aca="false">(K68&gt;0)*$D$62</f>
        <v>0</v>
      </c>
      <c r="L70" s="0" t="n">
        <f aca="false">(L68&gt;0)*$D$62</f>
        <v>0</v>
      </c>
      <c r="M70" s="0" t="n">
        <f aca="false">(M68&gt;0)*$D$62</f>
        <v>0</v>
      </c>
      <c r="N70" s="0" t="n">
        <f aca="false">(N68&gt;0)*$D$62</f>
        <v>0</v>
      </c>
      <c r="O70" s="0" t="n">
        <f aca="false">(O68&gt;0)*$D$62</f>
        <v>0</v>
      </c>
      <c r="P70" s="0" t="n">
        <f aca="false">(P68&gt;0)*$D$62</f>
        <v>0</v>
      </c>
      <c r="Q70" s="0" t="n">
        <f aca="false">(Q68&gt;0)*$D$62</f>
        <v>0</v>
      </c>
      <c r="R70" s="0" t="n">
        <f aca="false">(R68&gt;0)*$D$62</f>
        <v>0</v>
      </c>
      <c r="S70" s="0" t="n">
        <f aca="false">(S68&gt;0)*$D$62</f>
        <v>0</v>
      </c>
      <c r="T70" s="0" t="n">
        <f aca="false">(T68&gt;0)*$D$62</f>
        <v>0</v>
      </c>
      <c r="U70" s="0" t="n">
        <f aca="false">(U68&gt;0)*$D$62</f>
        <v>0</v>
      </c>
      <c r="V70" s="0" t="n">
        <f aca="false">(V68&gt;0)*$D$62</f>
        <v>0</v>
      </c>
      <c r="W70" s="0" t="n">
        <f aca="false">(W68&gt;0)*$D$62</f>
        <v>0</v>
      </c>
      <c r="X70" s="0" t="n">
        <f aca="false">(X68&gt;0)*$D$62</f>
        <v>0</v>
      </c>
      <c r="Y70" s="0" t="n">
        <f aca="false">(Y68&gt;0)*$D$62</f>
        <v>0</v>
      </c>
      <c r="Z70" s="0" t="n">
        <f aca="false">(Z68&gt;0)*$D$62</f>
        <v>0</v>
      </c>
      <c r="AA70" s="0" t="n">
        <f aca="false">(AA68&gt;0)*$D$62</f>
        <v>0</v>
      </c>
      <c r="AB70" s="0" t="n">
        <f aca="false">(AB68&gt;0)*$D$62</f>
        <v>0</v>
      </c>
      <c r="AC70" s="0" t="n">
        <f aca="false">(AC68&gt;0)*$D$62</f>
        <v>0</v>
      </c>
      <c r="AD70" s="0" t="n">
        <f aca="false">(AD68&gt;0)*$D$62</f>
        <v>0</v>
      </c>
      <c r="AE70" s="0" t="n">
        <f aca="false">(AE68&gt;0)*$D$62</f>
        <v>0</v>
      </c>
      <c r="AF70" s="0" t="n">
        <f aca="false">(AF68&gt;0)*$D$62</f>
        <v>0</v>
      </c>
      <c r="AG70" s="0" t="n">
        <f aca="false">(AG68&gt;0)*$D$62</f>
        <v>0</v>
      </c>
      <c r="AH70" s="0" t="n">
        <f aca="false">(AH68&gt;0)*$D$62</f>
        <v>0</v>
      </c>
      <c r="AI70" s="0" t="n">
        <f aca="false">(AI68&gt;0)*$D$62</f>
        <v>0</v>
      </c>
      <c r="AJ70" s="0" t="n">
        <f aca="false">(AJ68&gt;0)*$D$62</f>
        <v>0</v>
      </c>
      <c r="AK70" s="0" t="n">
        <f aca="false">(AK68&gt;0)*$D$62</f>
        <v>0</v>
      </c>
      <c r="AL70" s="0" t="n">
        <f aca="false">(AL68&gt;0)*$D$62</f>
        <v>0</v>
      </c>
      <c r="AM70" s="0" t="n">
        <f aca="false">(AM68&gt;0)*$D$62</f>
        <v>0</v>
      </c>
      <c r="AN70" s="0" t="n">
        <f aca="false">(AN68&gt;0)*$D$62</f>
        <v>0</v>
      </c>
      <c r="AO70" s="0" t="n">
        <f aca="false">(AO68&gt;0)*$D$62</f>
        <v>0</v>
      </c>
      <c r="AP70" s="0" t="n">
        <f aca="false">(AP68&gt;0)*$D$62</f>
        <v>0</v>
      </c>
      <c r="AQ70" s="0" t="n">
        <f aca="false">(AQ68&gt;0)*$D$62</f>
        <v>0</v>
      </c>
      <c r="AR70" s="0" t="n">
        <f aca="false">(AR68&gt;0)*$D$62</f>
        <v>0</v>
      </c>
      <c r="AS70" s="0" t="n">
        <f aca="false">(AS68&gt;0)*$D$62</f>
        <v>0</v>
      </c>
      <c r="AT70" s="0" t="n">
        <f aca="false">(AT68&gt;0)*$D$62</f>
        <v>0</v>
      </c>
      <c r="AU70" s="0" t="n">
        <f aca="false">(AU68&gt;0)*$D$62</f>
        <v>0</v>
      </c>
      <c r="AV70" s="0" t="n">
        <f aca="false">(AV68&gt;0)*$D$62</f>
        <v>0</v>
      </c>
      <c r="AW70" s="0" t="n">
        <f aca="false">(AW68&gt;0)*$D$62</f>
        <v>0</v>
      </c>
      <c r="AX70" s="0" t="n">
        <f aca="false">(AX68&gt;0)*$D$62</f>
        <v>0</v>
      </c>
      <c r="AY70" s="0" t="n">
        <f aca="false">(AY68&gt;0)*$D$62</f>
        <v>0</v>
      </c>
      <c r="AZ70" s="0" t="n">
        <f aca="false">(AZ68&gt;0)*$D$62</f>
        <v>0</v>
      </c>
      <c r="BA70" s="0" t="n">
        <f aca="false">(BA68&gt;0)*$D$62</f>
        <v>0</v>
      </c>
      <c r="BB70" s="0" t="n">
        <f aca="false">(BB68&gt;0)*$D$62</f>
        <v>0</v>
      </c>
      <c r="BC70" s="0" t="n">
        <f aca="false">(BC68&gt;0)*$D$62</f>
        <v>0</v>
      </c>
      <c r="BD70" s="0" t="n">
        <f aca="false">(BD68&gt;0)*$D$62</f>
        <v>0</v>
      </c>
      <c r="BE70" s="0" t="n">
        <f aca="false">(BE68&gt;0)*$D$62</f>
        <v>0</v>
      </c>
      <c r="BF70" s="0" t="n">
        <f aca="false">(BF68&gt;0)*$D$62</f>
        <v>0</v>
      </c>
      <c r="BG70" s="0" t="n">
        <f aca="false">(BG68&gt;0)*$D$62</f>
        <v>0</v>
      </c>
      <c r="BH70" s="0" t="n">
        <f aca="false">(BH68&gt;0)*$D$62</f>
        <v>0</v>
      </c>
      <c r="BI70" s="0" t="n">
        <f aca="false">(BI68&gt;0)*$D$62</f>
        <v>0</v>
      </c>
      <c r="BJ70" s="0" t="n">
        <f aca="false">(BJ68&gt;0)*$D$62</f>
        <v>0</v>
      </c>
      <c r="BK70" s="0" t="n">
        <f aca="false">(BK68&gt;0)*$D$62</f>
        <v>0</v>
      </c>
      <c r="BL70" s="0" t="n">
        <f aca="false">(BL68&gt;0)*$D$62</f>
        <v>0</v>
      </c>
      <c r="BM70" s="0" t="n">
        <f aca="false">(BM68&gt;0)*$D$62</f>
        <v>0</v>
      </c>
      <c r="BN70" s="0" t="n">
        <f aca="false">(BN68&gt;0)*$D$62</f>
        <v>0</v>
      </c>
      <c r="BO70" s="0" t="n">
        <f aca="false">(BO68&gt;0)*$D$62</f>
        <v>0</v>
      </c>
      <c r="BP70" s="0" t="n">
        <f aca="false">(BP68&gt;0)*$D$62</f>
        <v>0</v>
      </c>
      <c r="BQ70" s="0" t="n">
        <f aca="false">(BQ68&gt;0)*$D$62</f>
        <v>0</v>
      </c>
      <c r="BR70" s="0" t="n">
        <f aca="false">(BR68&gt;0)*$D$62</f>
        <v>11223803.2846681</v>
      </c>
      <c r="BS70" s="0" t="n">
        <f aca="false">(BS68&gt;0)*$D$62</f>
        <v>0</v>
      </c>
      <c r="BT70" s="0" t="n">
        <f aca="false">(BT68&gt;0)*$D$62</f>
        <v>0</v>
      </c>
      <c r="BU70" s="0" t="n">
        <f aca="false">(BU68&gt;0)*$D$62</f>
        <v>0</v>
      </c>
      <c r="BV70" s="0" t="n">
        <f aca="false">(BV68&gt;0)*$D$62</f>
        <v>0</v>
      </c>
      <c r="BW70" s="0" t="n">
        <f aca="false">(BW68&gt;0)*$D$62</f>
        <v>0</v>
      </c>
      <c r="BX70" s="0" t="n">
        <f aca="false">(BX68&gt;0)*$D$62</f>
        <v>0</v>
      </c>
      <c r="BY70" s="0" t="n">
        <f aca="false">(BY68&gt;0)*$D$62</f>
        <v>0</v>
      </c>
      <c r="BZ70" s="0" t="n">
        <f aca="false">(BZ68&gt;0)*$D$62</f>
        <v>0</v>
      </c>
      <c r="CA70" s="0" t="n">
        <f aca="false">(CA68&gt;0)*$D$62</f>
        <v>0</v>
      </c>
      <c r="CB70" s="0" t="n">
        <f aca="false">(CB68&gt;0)*$D$62</f>
        <v>0</v>
      </c>
      <c r="CC70" s="0" t="n">
        <f aca="false">(CC68&gt;0)*$D$62</f>
        <v>0</v>
      </c>
      <c r="CD70" s="0" t="n">
        <f aca="false">(CD68&gt;0)*$D$62</f>
        <v>0</v>
      </c>
      <c r="CE70" s="0" t="n">
        <f aca="false">(CE68&gt;0)*$D$62</f>
        <v>0</v>
      </c>
      <c r="CF70" s="0" t="n">
        <f aca="false">(CF68&gt;0)*$D$62</f>
        <v>0</v>
      </c>
      <c r="CG70" s="0" t="n">
        <f aca="false">(CG68&gt;0)*$D$62</f>
        <v>0</v>
      </c>
      <c r="CH70" s="0" t="n">
        <f aca="false">(CH68&gt;0)*$D$62</f>
        <v>0</v>
      </c>
      <c r="CI70" s="0" t="n">
        <f aca="false">(CI68&gt;0)*$D$62</f>
        <v>0</v>
      </c>
      <c r="CJ70" s="0" t="n">
        <f aca="false">(CJ68&gt;0)*$D$62</f>
        <v>0</v>
      </c>
      <c r="CK70" s="0" t="n">
        <f aca="false">(CK68&gt;0)*$D$62</f>
        <v>0</v>
      </c>
      <c r="CL70" s="0" t="n">
        <f aca="false">(CL68&gt;0)*$D$62</f>
        <v>0</v>
      </c>
      <c r="CM70" s="0" t="n">
        <f aca="false">(CM68&gt;0)*$D$62</f>
        <v>0</v>
      </c>
      <c r="CN70" s="0" t="n">
        <f aca="false">(CN68&gt;0)*$D$62</f>
        <v>0</v>
      </c>
      <c r="CO70" s="0" t="n">
        <f aca="false">(CO68&gt;0)*$D$62</f>
        <v>0</v>
      </c>
      <c r="CP70" s="0" t="n">
        <f aca="false">(CP68&gt;0)*$D$62</f>
        <v>0</v>
      </c>
      <c r="CQ70" s="0" t="n">
        <f aca="false">(CQ68&gt;0)*$D$62</f>
        <v>0</v>
      </c>
      <c r="CR70" s="0" t="n">
        <f aca="false">(CR68&gt;0)*$D$62</f>
        <v>0</v>
      </c>
      <c r="CS70" s="0" t="n">
        <f aca="false">(CS68&gt;0)*$D$62</f>
        <v>0</v>
      </c>
      <c r="CT70" s="0" t="n">
        <f aca="false">(CT68&gt;0)*$D$62</f>
        <v>0</v>
      </c>
      <c r="CU70" s="0" t="n">
        <f aca="false">(CU68&gt;0)*$D$62</f>
        <v>0</v>
      </c>
      <c r="CV70" s="0" t="n">
        <f aca="false">(CV68&gt;0)*$D$62</f>
        <v>0</v>
      </c>
      <c r="CW70" s="0" t="n">
        <f aca="false">(CW68&gt;0)*$D$62</f>
        <v>0</v>
      </c>
      <c r="CX70" s="0" t="n">
        <f aca="false">(CX68&gt;0)*$D$62</f>
        <v>0</v>
      </c>
      <c r="CY70" s="0" t="n">
        <f aca="false">(CY68&gt;0)*$D$62</f>
        <v>0</v>
      </c>
      <c r="CZ70" s="0" t="n">
        <f aca="false">(CZ68&gt;0)*$D$62</f>
        <v>0</v>
      </c>
      <c r="DA70" s="0" t="n">
        <f aca="false">(DA68&gt;0)*$D$62</f>
        <v>0</v>
      </c>
      <c r="DB70" s="0" t="n">
        <f aca="false">(DB68&gt;0)*$D$62</f>
        <v>0</v>
      </c>
      <c r="DC70" s="0" t="n">
        <f aca="false">(DC68&gt;0)*$D$62</f>
        <v>0</v>
      </c>
      <c r="DD70" s="0" t="n">
        <f aca="false">(DD68&gt;0)*$D$62</f>
        <v>0</v>
      </c>
      <c r="DE70" s="0" t="n">
        <f aca="false">(DE68&gt;0)*$D$62</f>
        <v>0</v>
      </c>
      <c r="DF70" s="0" t="n">
        <f aca="false">(DF68&gt;0)*$D$62</f>
        <v>0</v>
      </c>
      <c r="DG70" s="0" t="n">
        <f aca="false">(DG68&gt;0)*$D$62</f>
        <v>0</v>
      </c>
      <c r="DH70" s="0" t="n">
        <f aca="false">(DH68&gt;0)*$D$62</f>
        <v>0</v>
      </c>
      <c r="DI70" s="0" t="n">
        <f aca="false">(DI68&gt;0)*$D$62</f>
        <v>0</v>
      </c>
      <c r="DJ70" s="0" t="n">
        <f aca="false">(DJ68&gt;0)*$D$62</f>
        <v>0</v>
      </c>
      <c r="DK70" s="0" t="n">
        <f aca="false">(DK68&gt;0)*$D$62</f>
        <v>0</v>
      </c>
      <c r="DL70" s="0" t="n">
        <f aca="false">(DL68&gt;0)*$D$62</f>
        <v>0</v>
      </c>
      <c r="DM70" s="0" t="n">
        <f aca="false">(DM68&gt;0)*$D$62</f>
        <v>0</v>
      </c>
      <c r="DN70" s="0" t="n">
        <f aca="false">(DN68&gt;0)*$D$62</f>
        <v>0</v>
      </c>
      <c r="DO70" s="0" t="n">
        <f aca="false">(DO68&gt;0)*$D$62</f>
        <v>0</v>
      </c>
      <c r="DP70" s="0" t="n">
        <f aca="false">(DP68&gt;0)*$D$62</f>
        <v>0</v>
      </c>
      <c r="DQ70" s="0" t="n">
        <f aca="false">(DQ68&gt;0)*$D$62</f>
        <v>0</v>
      </c>
      <c r="DR70" s="0" t="n">
        <f aca="false">(DR68&gt;0)*$D$62</f>
        <v>0</v>
      </c>
      <c r="DS70" s="0" t="n">
        <f aca="false">(DS68&gt;0)*$D$62</f>
        <v>0</v>
      </c>
      <c r="DT70" s="0" t="n">
        <f aca="false">(DT68&gt;0)*$D$62</f>
        <v>0</v>
      </c>
      <c r="DU70" s="0" t="n">
        <f aca="false">(DU68&gt;0)*$D$62</f>
        <v>0</v>
      </c>
      <c r="DV70" s="0" t="n">
        <f aca="false">(DV68&gt;0)*$D$62</f>
        <v>0</v>
      </c>
      <c r="DW70" s="0" t="n">
        <f aca="false">(DW68&gt;0)*$D$62</f>
        <v>0</v>
      </c>
      <c r="DX70" s="0" t="n">
        <f aca="false">(DX68&gt;0)*$D$62</f>
        <v>0</v>
      </c>
      <c r="DY70" s="0" t="n">
        <f aca="false">(DY68&gt;0)*$D$62</f>
        <v>0</v>
      </c>
      <c r="DZ70" s="0" t="n">
        <f aca="false">(DZ68&gt;0)*$D$62</f>
        <v>0</v>
      </c>
      <c r="EA70" s="0" t="n">
        <f aca="false">(EA68&gt;0)*$D$62</f>
        <v>0</v>
      </c>
      <c r="EB70" s="0" t="n">
        <f aca="false">(EB68&gt;0)*$D$62</f>
        <v>0</v>
      </c>
      <c r="EC70" s="0" t="n">
        <f aca="false">(EC68&gt;0)*$D$62</f>
        <v>0</v>
      </c>
      <c r="ED70" s="0" t="n">
        <f aca="false">(ED68&gt;0)*$D$62</f>
        <v>0</v>
      </c>
      <c r="EE70" s="0" t="n">
        <f aca="false">(EE68&gt;0)*$D$62</f>
        <v>0</v>
      </c>
      <c r="EF70" s="0" t="n">
        <f aca="false">(EF68&gt;0)*$D$62</f>
        <v>0</v>
      </c>
      <c r="EG70" s="0" t="n">
        <f aca="false">(EG68&gt;0)*$D$62</f>
        <v>0</v>
      </c>
      <c r="EH70" s="0" t="n">
        <f aca="false">(EH68&gt;0)*$D$62</f>
        <v>0</v>
      </c>
      <c r="EI70" s="0" t="n">
        <f aca="false">(EI68&gt;0)*$D$62</f>
        <v>0</v>
      </c>
      <c r="EJ70" s="0" t="n">
        <f aca="false">(EJ68&gt;0)*$D$62</f>
        <v>0</v>
      </c>
      <c r="EK70" s="0" t="n">
        <f aca="false">(EK68&gt;0)*$D$62</f>
        <v>0</v>
      </c>
      <c r="EL70" s="0" t="n">
        <f aca="false">(EL68&gt;0)*$D$62</f>
        <v>0</v>
      </c>
    </row>
    <row r="71" customFormat="false" ht="15" hidden="false" customHeight="false" outlineLevel="0" collapsed="false">
      <c r="I71" s="0" t="s">
        <v>47</v>
      </c>
      <c r="K71" s="0" t="n">
        <f aca="false">K68-SUM(K69:K70)</f>
        <v>0</v>
      </c>
      <c r="L71" s="0" t="n">
        <f aca="false">L68-SUM(L69:L70)</f>
        <v>0</v>
      </c>
      <c r="M71" s="0" t="n">
        <f aca="false">M68-SUM(M69:M70)</f>
        <v>0</v>
      </c>
      <c r="N71" s="0" t="n">
        <f aca="false">N68-SUM(N69:N70)</f>
        <v>0</v>
      </c>
      <c r="O71" s="0" t="n">
        <f aca="false">O68-SUM(O69:O70)</f>
        <v>0</v>
      </c>
      <c r="P71" s="0" t="n">
        <f aca="false">P68-SUM(P69:P70)</f>
        <v>0</v>
      </c>
      <c r="Q71" s="0" t="n">
        <f aca="false">Q68-SUM(Q69:Q70)</f>
        <v>0</v>
      </c>
      <c r="R71" s="0" t="n">
        <f aca="false">R68-SUM(R69:R70)</f>
        <v>0</v>
      </c>
      <c r="S71" s="0" t="n">
        <f aca="false">S68-SUM(S69:S70)</f>
        <v>0</v>
      </c>
      <c r="T71" s="0" t="n">
        <f aca="false">T68-SUM(T69:T70)</f>
        <v>0</v>
      </c>
      <c r="U71" s="0" t="n">
        <f aca="false">U68-SUM(U69:U70)</f>
        <v>0</v>
      </c>
      <c r="V71" s="0" t="n">
        <f aca="false">V68-SUM(V69:V70)</f>
        <v>0</v>
      </c>
      <c r="W71" s="0" t="n">
        <f aca="false">W68-SUM(W69:W70)</f>
        <v>0</v>
      </c>
      <c r="X71" s="0" t="n">
        <f aca="false">X68-SUM(X69:X70)</f>
        <v>0</v>
      </c>
      <c r="Y71" s="0" t="n">
        <f aca="false">Y68-SUM(Y69:Y70)</f>
        <v>0</v>
      </c>
      <c r="Z71" s="0" t="n">
        <f aca="false">Z68-SUM(Z69:Z70)</f>
        <v>0</v>
      </c>
      <c r="AA71" s="0" t="n">
        <f aca="false">AA68-SUM(AA69:AA70)</f>
        <v>0</v>
      </c>
      <c r="AB71" s="0" t="n">
        <f aca="false">AB68-SUM(AB69:AB70)</f>
        <v>0</v>
      </c>
      <c r="AC71" s="0" t="n">
        <f aca="false">AC68-SUM(AC69:AC70)</f>
        <v>0</v>
      </c>
      <c r="AD71" s="0" t="n">
        <f aca="false">AD68-SUM(AD69:AD70)</f>
        <v>0</v>
      </c>
      <c r="AE71" s="0" t="n">
        <f aca="false">AE68-SUM(AE69:AE70)</f>
        <v>0</v>
      </c>
      <c r="AF71" s="0" t="n">
        <f aca="false">AF68-SUM(AF69:AF70)</f>
        <v>0</v>
      </c>
      <c r="AG71" s="0" t="n">
        <f aca="false">AG68-SUM(AG69:AG70)</f>
        <v>0</v>
      </c>
      <c r="AH71" s="0" t="n">
        <f aca="false">AH68-SUM(AH69:AH70)</f>
        <v>0</v>
      </c>
      <c r="AI71" s="0" t="n">
        <f aca="false">AI68-SUM(AI69:AI70)</f>
        <v>0</v>
      </c>
      <c r="AJ71" s="0" t="n">
        <f aca="false">AJ68-SUM(AJ69:AJ70)</f>
        <v>0</v>
      </c>
      <c r="AK71" s="0" t="n">
        <f aca="false">AK68-SUM(AK69:AK70)</f>
        <v>0</v>
      </c>
      <c r="AL71" s="0" t="n">
        <f aca="false">AL68-SUM(AL69:AL70)</f>
        <v>0</v>
      </c>
      <c r="AM71" s="0" t="n">
        <f aca="false">AM68-SUM(AM69:AM70)</f>
        <v>0</v>
      </c>
      <c r="AN71" s="0" t="n">
        <f aca="false">AN68-SUM(AN69:AN70)</f>
        <v>0</v>
      </c>
      <c r="AO71" s="0" t="n">
        <f aca="false">AO68-SUM(AO69:AO70)</f>
        <v>0</v>
      </c>
      <c r="AP71" s="0" t="n">
        <f aca="false">AP68-SUM(AP69:AP70)</f>
        <v>0</v>
      </c>
      <c r="AQ71" s="0" t="n">
        <f aca="false">AQ68-SUM(AQ69:AQ70)</f>
        <v>0</v>
      </c>
      <c r="AR71" s="0" t="n">
        <f aca="false">AR68-SUM(AR69:AR70)</f>
        <v>0</v>
      </c>
      <c r="AS71" s="0" t="n">
        <f aca="false">AS68-SUM(AS69:AS70)</f>
        <v>0</v>
      </c>
      <c r="AT71" s="0" t="n">
        <f aca="false">AT68-SUM(AT69:AT70)</f>
        <v>0</v>
      </c>
      <c r="AU71" s="0" t="n">
        <f aca="false">AU68-SUM(AU69:AU70)</f>
        <v>0</v>
      </c>
      <c r="AV71" s="0" t="n">
        <f aca="false">AV68-SUM(AV69:AV70)</f>
        <v>0</v>
      </c>
      <c r="AW71" s="0" t="n">
        <f aca="false">AW68-SUM(AW69:AW70)</f>
        <v>0</v>
      </c>
      <c r="AX71" s="0" t="n">
        <f aca="false">AX68-SUM(AX69:AX70)</f>
        <v>0</v>
      </c>
      <c r="AY71" s="0" t="n">
        <f aca="false">AY68-SUM(AY69:AY70)</f>
        <v>0</v>
      </c>
      <c r="AZ71" s="0" t="n">
        <f aca="false">AZ68-SUM(AZ69:AZ70)</f>
        <v>0</v>
      </c>
      <c r="BA71" s="0" t="n">
        <f aca="false">BA68-SUM(BA69:BA70)</f>
        <v>0</v>
      </c>
      <c r="BB71" s="0" t="n">
        <f aca="false">BB68-SUM(BB69:BB70)</f>
        <v>0</v>
      </c>
      <c r="BC71" s="0" t="n">
        <f aca="false">BC68-SUM(BC69:BC70)</f>
        <v>0</v>
      </c>
      <c r="BD71" s="0" t="n">
        <f aca="false">BD68-SUM(BD69:BD70)</f>
        <v>0</v>
      </c>
      <c r="BE71" s="0" t="n">
        <f aca="false">BE68-SUM(BE69:BE70)</f>
        <v>0</v>
      </c>
      <c r="BF71" s="0" t="n">
        <f aca="false">BF68-SUM(BF69:BF70)</f>
        <v>0</v>
      </c>
      <c r="BG71" s="0" t="n">
        <f aca="false">BG68-SUM(BG69:BG70)</f>
        <v>0</v>
      </c>
      <c r="BH71" s="0" t="n">
        <f aca="false">BH68-SUM(BH69:BH70)</f>
        <v>0</v>
      </c>
      <c r="BI71" s="0" t="n">
        <f aca="false">BI68-SUM(BI69:BI70)</f>
        <v>0</v>
      </c>
      <c r="BJ71" s="0" t="n">
        <f aca="false">BJ68-SUM(BJ69:BJ70)</f>
        <v>0</v>
      </c>
      <c r="BK71" s="0" t="n">
        <f aca="false">BK68-SUM(BK69:BK70)</f>
        <v>0</v>
      </c>
      <c r="BL71" s="0" t="n">
        <f aca="false">BL68-SUM(BL69:BL70)</f>
        <v>0</v>
      </c>
      <c r="BM71" s="0" t="n">
        <f aca="false">BM68-SUM(BM69:BM70)</f>
        <v>0</v>
      </c>
      <c r="BN71" s="0" t="n">
        <f aca="false">BN68-SUM(BN69:BN70)</f>
        <v>0</v>
      </c>
      <c r="BO71" s="0" t="n">
        <f aca="false">BO68-SUM(BO69:BO70)</f>
        <v>0</v>
      </c>
      <c r="BP71" s="0" t="n">
        <f aca="false">BP68-SUM(BP69:BP70)</f>
        <v>0</v>
      </c>
      <c r="BQ71" s="0" t="n">
        <f aca="false">BQ68-SUM(BQ69:BQ70)</f>
        <v>0</v>
      </c>
      <c r="BR71" s="0" t="n">
        <f aca="false">BR68-SUM(BR69:BR70)</f>
        <v>8827163.9995066</v>
      </c>
      <c r="BS71" s="0" t="n">
        <f aca="false">BS68-SUM(BS69:BS70)</f>
        <v>0</v>
      </c>
      <c r="BT71" s="0" t="n">
        <f aca="false">BT68-SUM(BT69:BT70)</f>
        <v>0</v>
      </c>
      <c r="BU71" s="0" t="n">
        <f aca="false">BU68-SUM(BU69:BU70)</f>
        <v>0</v>
      </c>
      <c r="BV71" s="0" t="n">
        <f aca="false">BV68-SUM(BV69:BV70)</f>
        <v>0</v>
      </c>
      <c r="BW71" s="0" t="n">
        <f aca="false">BW68-SUM(BW69:BW70)</f>
        <v>0</v>
      </c>
      <c r="BX71" s="0" t="n">
        <f aca="false">BX68-SUM(BX69:BX70)</f>
        <v>0</v>
      </c>
      <c r="BY71" s="0" t="n">
        <f aca="false">BY68-SUM(BY69:BY70)</f>
        <v>0</v>
      </c>
      <c r="BZ71" s="0" t="n">
        <f aca="false">BZ68-SUM(BZ69:BZ70)</f>
        <v>0</v>
      </c>
      <c r="CA71" s="0" t="n">
        <f aca="false">CA68-SUM(CA69:CA70)</f>
        <v>0</v>
      </c>
      <c r="CB71" s="0" t="n">
        <f aca="false">CB68-SUM(CB69:CB70)</f>
        <v>0</v>
      </c>
      <c r="CC71" s="0" t="n">
        <f aca="false">CC68-SUM(CC69:CC70)</f>
        <v>0</v>
      </c>
      <c r="CD71" s="0" t="n">
        <f aca="false">CD68-SUM(CD69:CD70)</f>
        <v>0</v>
      </c>
      <c r="CE71" s="0" t="n">
        <f aca="false">CE68-SUM(CE69:CE70)</f>
        <v>0</v>
      </c>
      <c r="CF71" s="0" t="n">
        <f aca="false">CF68-SUM(CF69:CF70)</f>
        <v>0</v>
      </c>
      <c r="CG71" s="0" t="n">
        <f aca="false">CG68-SUM(CG69:CG70)</f>
        <v>0</v>
      </c>
      <c r="CH71" s="0" t="n">
        <f aca="false">CH68-SUM(CH69:CH70)</f>
        <v>0</v>
      </c>
      <c r="CI71" s="0" t="n">
        <f aca="false">CI68-SUM(CI69:CI70)</f>
        <v>0</v>
      </c>
      <c r="CJ71" s="0" t="n">
        <f aca="false">CJ68-SUM(CJ69:CJ70)</f>
        <v>0</v>
      </c>
      <c r="CK71" s="0" t="n">
        <f aca="false">CK68-SUM(CK69:CK70)</f>
        <v>0</v>
      </c>
      <c r="CL71" s="0" t="n">
        <f aca="false">CL68-SUM(CL69:CL70)</f>
        <v>0</v>
      </c>
      <c r="CM71" s="0" t="n">
        <f aca="false">CM68-SUM(CM69:CM70)</f>
        <v>0</v>
      </c>
      <c r="CN71" s="0" t="n">
        <f aca="false">CN68-SUM(CN69:CN70)</f>
        <v>0</v>
      </c>
      <c r="CO71" s="0" t="n">
        <f aca="false">CO68-SUM(CO69:CO70)</f>
        <v>0</v>
      </c>
      <c r="CP71" s="0" t="n">
        <f aca="false">CP68-SUM(CP69:CP70)</f>
        <v>0</v>
      </c>
      <c r="CQ71" s="0" t="n">
        <f aca="false">CQ68-SUM(CQ69:CQ70)</f>
        <v>0</v>
      </c>
      <c r="CR71" s="0" t="n">
        <f aca="false">CR68-SUM(CR69:CR70)</f>
        <v>0</v>
      </c>
      <c r="CS71" s="0" t="n">
        <f aca="false">CS68-SUM(CS69:CS70)</f>
        <v>0</v>
      </c>
      <c r="CT71" s="0" t="n">
        <f aca="false">CT68-SUM(CT69:CT70)</f>
        <v>0</v>
      </c>
      <c r="CU71" s="0" t="n">
        <f aca="false">CU68-SUM(CU69:CU70)</f>
        <v>0</v>
      </c>
      <c r="CV71" s="0" t="n">
        <f aca="false">CV68-SUM(CV69:CV70)</f>
        <v>0</v>
      </c>
      <c r="CW71" s="0" t="n">
        <f aca="false">CW68-SUM(CW69:CW70)</f>
        <v>0</v>
      </c>
      <c r="CX71" s="0" t="n">
        <f aca="false">CX68-SUM(CX69:CX70)</f>
        <v>0</v>
      </c>
      <c r="CY71" s="0" t="n">
        <f aca="false">CY68-SUM(CY69:CY70)</f>
        <v>0</v>
      </c>
      <c r="CZ71" s="0" t="n">
        <f aca="false">CZ68-SUM(CZ69:CZ70)</f>
        <v>0</v>
      </c>
      <c r="DA71" s="0" t="n">
        <f aca="false">DA68-SUM(DA69:DA70)</f>
        <v>0</v>
      </c>
      <c r="DB71" s="0" t="n">
        <f aca="false">DB68-SUM(DB69:DB70)</f>
        <v>0</v>
      </c>
      <c r="DC71" s="0" t="n">
        <f aca="false">DC68-SUM(DC69:DC70)</f>
        <v>0</v>
      </c>
      <c r="DD71" s="0" t="n">
        <f aca="false">DD68-SUM(DD69:DD70)</f>
        <v>0</v>
      </c>
      <c r="DE71" s="0" t="n">
        <f aca="false">DE68-SUM(DE69:DE70)</f>
        <v>0</v>
      </c>
      <c r="DF71" s="0" t="n">
        <f aca="false">DF68-SUM(DF69:DF70)</f>
        <v>0</v>
      </c>
      <c r="DG71" s="0" t="n">
        <f aca="false">DG68-SUM(DG69:DG70)</f>
        <v>0</v>
      </c>
      <c r="DH71" s="0" t="n">
        <f aca="false">DH68-SUM(DH69:DH70)</f>
        <v>0</v>
      </c>
      <c r="DI71" s="0" t="n">
        <f aca="false">DI68-SUM(DI69:DI70)</f>
        <v>0</v>
      </c>
      <c r="DJ71" s="0" t="n">
        <f aca="false">DJ68-SUM(DJ69:DJ70)</f>
        <v>0</v>
      </c>
      <c r="DK71" s="0" t="n">
        <f aca="false">DK68-SUM(DK69:DK70)</f>
        <v>0</v>
      </c>
      <c r="DL71" s="0" t="n">
        <f aca="false">DL68-SUM(DL69:DL70)</f>
        <v>0</v>
      </c>
      <c r="DM71" s="0" t="n">
        <f aca="false">DM68-SUM(DM69:DM70)</f>
        <v>0</v>
      </c>
      <c r="DN71" s="0" t="n">
        <f aca="false">DN68-SUM(DN69:DN70)</f>
        <v>0</v>
      </c>
      <c r="DO71" s="0" t="n">
        <f aca="false">DO68-SUM(DO69:DO70)</f>
        <v>0</v>
      </c>
      <c r="DP71" s="0" t="n">
        <f aca="false">DP68-SUM(DP69:DP70)</f>
        <v>0</v>
      </c>
      <c r="DQ71" s="0" t="n">
        <f aca="false">DQ68-SUM(DQ69:DQ70)</f>
        <v>0</v>
      </c>
      <c r="DR71" s="0" t="n">
        <f aca="false">DR68-SUM(DR69:DR70)</f>
        <v>0</v>
      </c>
      <c r="DS71" s="0" t="n">
        <f aca="false">DS68-SUM(DS69:DS70)</f>
        <v>0</v>
      </c>
      <c r="DT71" s="0" t="n">
        <f aca="false">DT68-SUM(DT69:DT70)</f>
        <v>0</v>
      </c>
      <c r="DU71" s="0" t="n">
        <f aca="false">DU68-SUM(DU69:DU70)</f>
        <v>0</v>
      </c>
      <c r="DV71" s="0" t="n">
        <f aca="false">DV68-SUM(DV69:DV70)</f>
        <v>0</v>
      </c>
      <c r="DW71" s="0" t="n">
        <f aca="false">DW68-SUM(DW69:DW70)</f>
        <v>0</v>
      </c>
      <c r="DX71" s="0" t="n">
        <f aca="false">DX68-SUM(DX69:DX70)</f>
        <v>0</v>
      </c>
      <c r="DY71" s="0" t="n">
        <f aca="false">DY68-SUM(DY69:DY70)</f>
        <v>0</v>
      </c>
      <c r="DZ71" s="0" t="n">
        <f aca="false">DZ68-SUM(DZ69:DZ70)</f>
        <v>0</v>
      </c>
      <c r="EA71" s="0" t="n">
        <f aca="false">EA68-SUM(EA69:EA70)</f>
        <v>0</v>
      </c>
      <c r="EB71" s="0" t="n">
        <f aca="false">EB68-SUM(EB69:EB70)</f>
        <v>0</v>
      </c>
      <c r="EC71" s="0" t="n">
        <f aca="false">EC68-SUM(EC69:EC70)</f>
        <v>0</v>
      </c>
      <c r="ED71" s="0" t="n">
        <f aca="false">ED68-SUM(ED69:ED70)</f>
        <v>0</v>
      </c>
      <c r="EE71" s="0" t="n">
        <f aca="false">EE68-SUM(EE69:EE70)</f>
        <v>0</v>
      </c>
      <c r="EF71" s="0" t="n">
        <f aca="false">EF68-SUM(EF69:EF70)</f>
        <v>0</v>
      </c>
      <c r="EG71" s="0" t="n">
        <f aca="false">EG68-SUM(EG69:EG70)</f>
        <v>0</v>
      </c>
      <c r="EH71" s="0" t="n">
        <f aca="false">EH68-SUM(EH69:EH70)</f>
        <v>0</v>
      </c>
      <c r="EI71" s="0" t="n">
        <f aca="false">EI68-SUM(EI69:EI70)</f>
        <v>0</v>
      </c>
      <c r="EJ71" s="0" t="n">
        <f aca="false">EJ68-SUM(EJ69:EJ70)</f>
        <v>0</v>
      </c>
      <c r="EK71" s="0" t="n">
        <f aca="false">EK68-SUM(EK69:EK70)</f>
        <v>0</v>
      </c>
      <c r="EL71" s="0" t="n">
        <f aca="false">EL68-SUM(EL69:EL70)</f>
        <v>0</v>
      </c>
    </row>
    <row r="73" customFormat="false" ht="15" hidden="false" customHeight="false" outlineLevel="0" collapsed="false">
      <c r="I73" s="0" t="s">
        <v>74</v>
      </c>
      <c r="J73" s="0" t="n">
        <f aca="false">J49+J50</f>
        <v>-6965250</v>
      </c>
      <c r="K73" s="0" t="n">
        <f aca="false">SUM(K66,K71)</f>
        <v>47457.1316487264</v>
      </c>
      <c r="L73" s="0" t="n">
        <f aca="false">SUM(L66,L71)</f>
        <v>-3542.86835127357</v>
      </c>
      <c r="M73" s="0" t="n">
        <f aca="false">SUM(M66,M71)</f>
        <v>47457.1316487264</v>
      </c>
      <c r="N73" s="0" t="n">
        <f aca="false">SUM(N66,N71)</f>
        <v>47457.1316487264</v>
      </c>
      <c r="O73" s="0" t="n">
        <f aca="false">SUM(O66,O71)</f>
        <v>47457.1316487264</v>
      </c>
      <c r="P73" s="0" t="n">
        <f aca="false">SUM(P66,P71)</f>
        <v>47457.1316487264</v>
      </c>
      <c r="Q73" s="0" t="n">
        <f aca="false">SUM(Q66,Q71)</f>
        <v>55217.1316487264</v>
      </c>
      <c r="R73" s="0" t="n">
        <f aca="false">SUM(R66,R71)</f>
        <v>55217.1316487264</v>
      </c>
      <c r="S73" s="0" t="n">
        <f aca="false">SUM(S66,S71)</f>
        <v>-158782.868351274</v>
      </c>
      <c r="T73" s="0" t="n">
        <f aca="false">SUM(T66,T71)</f>
        <v>55217.1316487264</v>
      </c>
      <c r="U73" s="0" t="n">
        <f aca="false">SUM(U66,U71)</f>
        <v>55217.1316487264</v>
      </c>
      <c r="V73" s="0" t="n">
        <f aca="false">SUM(V66,V71)</f>
        <v>55217.1316487264</v>
      </c>
      <c r="W73" s="0" t="n">
        <f aca="false">SUM(W66,W71)</f>
        <v>58390.6431070597</v>
      </c>
      <c r="X73" s="0" t="n">
        <f aca="false">SUM(X66,X71)</f>
        <v>5860.64310705973</v>
      </c>
      <c r="Y73" s="0" t="n">
        <f aca="false">SUM(Y66,Y71)</f>
        <v>58390.6431070597</v>
      </c>
      <c r="Z73" s="0" t="n">
        <f aca="false">SUM(Z66,Z71)</f>
        <v>58390.6431070597</v>
      </c>
      <c r="AA73" s="0" t="n">
        <f aca="false">SUM(AA66,AA71)</f>
        <v>58390.6431070597</v>
      </c>
      <c r="AB73" s="0" t="n">
        <f aca="false">SUM(AB66,AB71)</f>
        <v>58390.6431070597</v>
      </c>
      <c r="AC73" s="0" t="n">
        <f aca="false">SUM(AC66,AC71)</f>
        <v>58390.6431070597</v>
      </c>
      <c r="AD73" s="0" t="n">
        <f aca="false">SUM(AD66,AD71)</f>
        <v>58390.6431070597</v>
      </c>
      <c r="AE73" s="0" t="n">
        <f aca="false">SUM(AE66,AE71)</f>
        <v>-162029.35689294</v>
      </c>
      <c r="AF73" s="0" t="n">
        <f aca="false">SUM(AF66,AF71)</f>
        <v>58390.6431070597</v>
      </c>
      <c r="AG73" s="0" t="n">
        <f aca="false">SUM(AG66,AG71)</f>
        <v>58390.6431070597</v>
      </c>
      <c r="AH73" s="0" t="n">
        <f aca="false">SUM(AH66,AH71)</f>
        <v>58390.6431070597</v>
      </c>
      <c r="AI73" s="0" t="n">
        <f aca="false">SUM(AI66,AI71)</f>
        <v>61641.6340185181</v>
      </c>
      <c r="AJ73" s="0" t="n">
        <f aca="false">SUM(AJ66,AJ71)</f>
        <v>7535.7340185181</v>
      </c>
      <c r="AK73" s="0" t="n">
        <f aca="false">SUM(AK66,AK71)</f>
        <v>61641.6340185181</v>
      </c>
      <c r="AL73" s="0" t="n">
        <f aca="false">SUM(AL66,AL71)</f>
        <v>61641.6340185181</v>
      </c>
      <c r="AM73" s="0" t="n">
        <f aca="false">SUM(AM66,AM71)</f>
        <v>61641.6340185181</v>
      </c>
      <c r="AN73" s="0" t="n">
        <f aca="false">SUM(AN66,AN71)</f>
        <v>-122358.365981482</v>
      </c>
      <c r="AO73" s="0" t="n">
        <f aca="false">SUM(AO66,AO71)</f>
        <v>61641.6340185181</v>
      </c>
      <c r="AP73" s="0" t="n">
        <f aca="false">SUM(AP66,AP71)</f>
        <v>61641.6340185181</v>
      </c>
      <c r="AQ73" s="0" t="n">
        <f aca="false">SUM(AQ66,AQ71)</f>
        <v>-165390.965981482</v>
      </c>
      <c r="AR73" s="0" t="n">
        <f aca="false">SUM(AR66,AR71)</f>
        <v>61641.6340185181</v>
      </c>
      <c r="AS73" s="0" t="n">
        <f aca="false">SUM(AS66,AS71)</f>
        <v>61641.6340185181</v>
      </c>
      <c r="AT73" s="0" t="n">
        <f aca="false">SUM(AT66,AT71)</f>
        <v>61641.6340185181</v>
      </c>
      <c r="AU73" s="0" t="n">
        <f aca="false">SUM(AU66,AU71)</f>
        <v>64971.9832027628</v>
      </c>
      <c r="AV73" s="0" t="n">
        <f aca="false">SUM(AV66,AV71)</f>
        <v>9242.90620276284</v>
      </c>
      <c r="AW73" s="0" t="n">
        <f aca="false">SUM(AW66,AW71)</f>
        <v>64971.9832027628</v>
      </c>
      <c r="AX73" s="0" t="n">
        <f aca="false">SUM(AX66,AX71)</f>
        <v>64971.9832027628</v>
      </c>
      <c r="AY73" s="0" t="n">
        <f aca="false">SUM(AY66,AY71)</f>
        <v>64971.9832027628</v>
      </c>
      <c r="AZ73" s="0" t="n">
        <f aca="false">SUM(AZ66,AZ71)</f>
        <v>64971.9832027628</v>
      </c>
      <c r="BA73" s="0" t="n">
        <f aca="false">SUM(BA66,BA71)</f>
        <v>64971.9832027628</v>
      </c>
      <c r="BB73" s="0" t="n">
        <f aca="false">SUM(BB66,BB71)</f>
        <v>64971.9832027628</v>
      </c>
      <c r="BC73" s="0" t="n">
        <f aca="false">SUM(BC66,BC71)</f>
        <v>-168871.594797237</v>
      </c>
      <c r="BD73" s="0" t="n">
        <f aca="false">SUM(BD66,BD71)</f>
        <v>64971.9832027628</v>
      </c>
      <c r="BE73" s="0" t="n">
        <f aca="false">SUM(BE66,BE71)</f>
        <v>64971.9832027628</v>
      </c>
      <c r="BF73" s="0" t="n">
        <f aca="false">SUM(BF66,BF71)</f>
        <v>64971.9832027628</v>
      </c>
      <c r="BG73" s="0" t="n">
        <f aca="false">SUM(BG66,BG71)</f>
        <v>68383.6146566138</v>
      </c>
      <c r="BH73" s="0" t="n">
        <f aca="false">SUM(BH66,BH71)</f>
        <v>10982.6653466137</v>
      </c>
      <c r="BI73" s="0" t="n">
        <f aca="false">SUM(BI66,BI71)</f>
        <v>68383.6146566138</v>
      </c>
      <c r="BJ73" s="0" t="n">
        <f aca="false">SUM(BJ66,BJ71)</f>
        <v>68383.6146566138</v>
      </c>
      <c r="BK73" s="0" t="n">
        <f aca="false">SUM(BK66,BK71)</f>
        <v>68383.6146566138</v>
      </c>
      <c r="BL73" s="0" t="n">
        <f aca="false">SUM(BL66,BL71)</f>
        <v>68383.6146566138</v>
      </c>
      <c r="BM73" s="0" t="n">
        <f aca="false">SUM(BM66,BM71)</f>
        <v>68383.6146566138</v>
      </c>
      <c r="BN73" s="0" t="n">
        <f aca="false">SUM(BN66,BN71)</f>
        <v>68383.6146566138</v>
      </c>
      <c r="BO73" s="0" t="n">
        <f aca="false">SUM(BO66,BO71)</f>
        <v>-172475.270683386</v>
      </c>
      <c r="BP73" s="0" t="n">
        <f aca="false">SUM(BP66,BP71)</f>
        <v>68383.6146566138</v>
      </c>
      <c r="BQ73" s="0" t="n">
        <f aca="false">SUM(BQ66,BQ71)</f>
        <v>68383.6146566138</v>
      </c>
      <c r="BR73" s="0" t="n">
        <f aca="false">SUM(BR66,BR71)</f>
        <v>8895547.61416322</v>
      </c>
      <c r="BS73" s="0" t="n">
        <f aca="false">SUM(BS66,BS71)</f>
        <v>0</v>
      </c>
      <c r="BT73" s="0" t="n">
        <f aca="false">SUM(BT66,BT71)</f>
        <v>0</v>
      </c>
      <c r="BU73" s="0" t="n">
        <f aca="false">SUM(BU66,BU71)</f>
        <v>0</v>
      </c>
      <c r="BV73" s="0" t="n">
        <f aca="false">SUM(BV66,BV71)</f>
        <v>0</v>
      </c>
      <c r="BW73" s="0" t="n">
        <f aca="false">SUM(BW66,BW71)</f>
        <v>0</v>
      </c>
      <c r="BX73" s="0" t="n">
        <f aca="false">SUM(BX66,BX71)</f>
        <v>0</v>
      </c>
      <c r="BY73" s="0" t="n">
        <f aca="false">SUM(BY66,BY71)</f>
        <v>0</v>
      </c>
      <c r="BZ73" s="0" t="n">
        <f aca="false">SUM(BZ66,BZ71)</f>
        <v>0</v>
      </c>
      <c r="CA73" s="0" t="n">
        <f aca="false">SUM(CA66,CA71)</f>
        <v>0</v>
      </c>
      <c r="CB73" s="0" t="n">
        <f aca="false">SUM(CB66,CB71)</f>
        <v>0</v>
      </c>
      <c r="CC73" s="0" t="n">
        <f aca="false">SUM(CC66,CC71)</f>
        <v>0</v>
      </c>
      <c r="CD73" s="0" t="n">
        <f aca="false">SUM(CD66,CD71)</f>
        <v>0</v>
      </c>
      <c r="CE73" s="0" t="n">
        <f aca="false">SUM(CE66,CE71)</f>
        <v>0</v>
      </c>
      <c r="CF73" s="0" t="n">
        <f aca="false">SUM(CF66,CF71)</f>
        <v>0</v>
      </c>
      <c r="CG73" s="0" t="n">
        <f aca="false">SUM(CG66,CG71)</f>
        <v>0</v>
      </c>
      <c r="CH73" s="0" t="n">
        <f aca="false">SUM(CH66,CH71)</f>
        <v>0</v>
      </c>
      <c r="CI73" s="0" t="n">
        <f aca="false">SUM(CI66,CI71)</f>
        <v>0</v>
      </c>
      <c r="CJ73" s="0" t="n">
        <f aca="false">SUM(CJ66,CJ71)</f>
        <v>0</v>
      </c>
      <c r="CK73" s="0" t="n">
        <f aca="false">SUM(CK66,CK71)</f>
        <v>0</v>
      </c>
      <c r="CL73" s="0" t="n">
        <f aca="false">SUM(CL66,CL71)</f>
        <v>0</v>
      </c>
      <c r="CM73" s="0" t="n">
        <f aca="false">SUM(CM66,CM71)</f>
        <v>0</v>
      </c>
      <c r="CN73" s="0" t="n">
        <f aca="false">SUM(CN66,CN71)</f>
        <v>0</v>
      </c>
      <c r="CO73" s="0" t="n">
        <f aca="false">SUM(CO66,CO71)</f>
        <v>0</v>
      </c>
      <c r="CP73" s="0" t="n">
        <f aca="false">SUM(CP66,CP71)</f>
        <v>0</v>
      </c>
      <c r="CQ73" s="0" t="n">
        <f aca="false">SUM(CQ66,CQ71)</f>
        <v>0</v>
      </c>
      <c r="CR73" s="0" t="n">
        <f aca="false">SUM(CR66,CR71)</f>
        <v>0</v>
      </c>
      <c r="CS73" s="0" t="n">
        <f aca="false">SUM(CS66,CS71)</f>
        <v>0</v>
      </c>
      <c r="CT73" s="0" t="n">
        <f aca="false">SUM(CT66,CT71)</f>
        <v>0</v>
      </c>
      <c r="CU73" s="0" t="n">
        <f aca="false">SUM(CU66,CU71)</f>
        <v>0</v>
      </c>
      <c r="CV73" s="0" t="n">
        <f aca="false">SUM(CV66,CV71)</f>
        <v>0</v>
      </c>
      <c r="CW73" s="0" t="n">
        <f aca="false">SUM(CW66,CW71)</f>
        <v>0</v>
      </c>
      <c r="CX73" s="0" t="n">
        <f aca="false">SUM(CX66,CX71)</f>
        <v>0</v>
      </c>
      <c r="CY73" s="0" t="n">
        <f aca="false">SUM(CY66,CY71)</f>
        <v>0</v>
      </c>
      <c r="CZ73" s="0" t="n">
        <f aca="false">SUM(CZ66,CZ71)</f>
        <v>0</v>
      </c>
      <c r="DA73" s="0" t="n">
        <f aca="false">SUM(DA66,DA71)</f>
        <v>0</v>
      </c>
      <c r="DB73" s="0" t="n">
        <f aca="false">SUM(DB66,DB71)</f>
        <v>0</v>
      </c>
      <c r="DC73" s="0" t="n">
        <f aca="false">SUM(DC66,DC71)</f>
        <v>0</v>
      </c>
      <c r="DD73" s="0" t="n">
        <f aca="false">SUM(DD66,DD71)</f>
        <v>0</v>
      </c>
      <c r="DE73" s="0" t="n">
        <f aca="false">SUM(DE66,DE71)</f>
        <v>0</v>
      </c>
      <c r="DF73" s="0" t="n">
        <f aca="false">SUM(DF66,DF71)</f>
        <v>0</v>
      </c>
      <c r="DG73" s="0" t="n">
        <f aca="false">SUM(DG66,DG71)</f>
        <v>0</v>
      </c>
      <c r="DH73" s="0" t="n">
        <f aca="false">SUM(DH66,DH71)</f>
        <v>0</v>
      </c>
      <c r="DI73" s="0" t="n">
        <f aca="false">SUM(DI66,DI71)</f>
        <v>0</v>
      </c>
      <c r="DJ73" s="0" t="n">
        <f aca="false">SUM(DJ66,DJ71)</f>
        <v>0</v>
      </c>
      <c r="DK73" s="0" t="n">
        <f aca="false">SUM(DK66,DK71)</f>
        <v>0</v>
      </c>
      <c r="DL73" s="0" t="n">
        <f aca="false">SUM(DL66,DL71)</f>
        <v>0</v>
      </c>
      <c r="DM73" s="0" t="n">
        <f aca="false">SUM(DM66,DM71)</f>
        <v>0</v>
      </c>
      <c r="DN73" s="0" t="n">
        <f aca="false">SUM(DN66,DN71)</f>
        <v>0</v>
      </c>
      <c r="DO73" s="0" t="n">
        <f aca="false">SUM(DO66,DO71)</f>
        <v>0</v>
      </c>
      <c r="DP73" s="0" t="n">
        <f aca="false">SUM(DP66,DP71)</f>
        <v>0</v>
      </c>
      <c r="DQ73" s="0" t="n">
        <f aca="false">SUM(DQ66,DQ71)</f>
        <v>0</v>
      </c>
      <c r="DR73" s="0" t="n">
        <f aca="false">SUM(DR66,DR71)</f>
        <v>0</v>
      </c>
      <c r="DS73" s="0" t="n">
        <f aca="false">SUM(DS66,DS71)</f>
        <v>0</v>
      </c>
      <c r="DT73" s="0" t="n">
        <f aca="false">SUM(DT66,DT71)</f>
        <v>0</v>
      </c>
      <c r="DU73" s="0" t="n">
        <f aca="false">SUM(DU66,DU71)</f>
        <v>0</v>
      </c>
      <c r="DV73" s="0" t="n">
        <f aca="false">SUM(DV66,DV71)</f>
        <v>0</v>
      </c>
      <c r="DW73" s="0" t="n">
        <f aca="false">SUM(DW66,DW71)</f>
        <v>0</v>
      </c>
      <c r="DX73" s="0" t="n">
        <f aca="false">SUM(DX66,DX71)</f>
        <v>0</v>
      </c>
      <c r="DY73" s="0" t="n">
        <f aca="false">SUM(DY66,DY71)</f>
        <v>0</v>
      </c>
      <c r="DZ73" s="0" t="n">
        <f aca="false">SUM(DZ66,DZ71)</f>
        <v>0</v>
      </c>
      <c r="EA73" s="0" t="n">
        <f aca="false">SUM(EA66,EA71)</f>
        <v>0</v>
      </c>
      <c r="EB73" s="0" t="n">
        <f aca="false">SUM(EB66,EB71)</f>
        <v>0</v>
      </c>
      <c r="EC73" s="0" t="n">
        <f aca="false">SUM(EC66,EC71)</f>
        <v>0</v>
      </c>
      <c r="ED73" s="0" t="n">
        <f aca="false">SUM(ED66,ED71)</f>
        <v>0</v>
      </c>
      <c r="EE73" s="0" t="n">
        <f aca="false">SUM(EE66,EE71)</f>
        <v>0</v>
      </c>
      <c r="EF73" s="0" t="n">
        <f aca="false">SUM(EF66,EF71)</f>
        <v>0</v>
      </c>
      <c r="EG73" s="0" t="n">
        <f aca="false">SUM(EG66,EG71)</f>
        <v>0</v>
      </c>
      <c r="EH73" s="0" t="n">
        <f aca="false">SUM(EH66,EH71)</f>
        <v>0</v>
      </c>
      <c r="EI73" s="0" t="n">
        <f aca="false">SUM(EI66,EI71)</f>
        <v>0</v>
      </c>
      <c r="EJ73" s="0" t="n">
        <f aca="false">SUM(EJ66,EJ71)</f>
        <v>0</v>
      </c>
      <c r="EK73" s="0" t="n">
        <f aca="false">SUM(EK66,EK71)</f>
        <v>0</v>
      </c>
      <c r="EL73" s="0" t="n">
        <f aca="false">SUM(EL66,EL71)</f>
        <v>0</v>
      </c>
    </row>
    <row r="74" customFormat="false" ht="15" hidden="false" customHeight="false" outlineLevel="0" collapsed="false">
      <c r="I74" s="0" t="s">
        <v>53</v>
      </c>
      <c r="J74" s="4" t="n">
        <f aca="false">XIRR($J$73:$EL$73,$J$13:$EL$13)</f>
        <v>0.10461834759154</v>
      </c>
    </row>
    <row r="75" customFormat="false" ht="15" hidden="false" customHeight="false" outlineLevel="0" collapsed="false">
      <c r="I75" s="0" t="s">
        <v>55</v>
      </c>
      <c r="J75" s="7" t="n">
        <f aca="false">SUMIF($J$73:$EL$73,"&gt;0")/-SUMIF($J$73:$EL$73,"&lt;0")</f>
        <v>1.49600217827454</v>
      </c>
    </row>
    <row r="76" customFormat="false" ht="15" hidden="false" customHeight="false" outlineLevel="0" collapsed="false">
      <c r="I76" s="0" t="s">
        <v>58</v>
      </c>
      <c r="J76" s="0" t="n">
        <f aca="false">SUM(J73:EL73)</f>
        <v>3927693.08946077</v>
      </c>
    </row>
    <row r="78" customFormat="false" ht="15" hidden="false" customHeight="false" outlineLevel="0" collapsed="false">
      <c r="I78" s="0" t="s">
        <v>75</v>
      </c>
      <c r="J78" s="0" t="n">
        <v>1</v>
      </c>
      <c r="K78" s="0" t="n">
        <v>2</v>
      </c>
      <c r="L78" s="0" t="n">
        <v>3</v>
      </c>
      <c r="M78" s="0" t="n">
        <v>4</v>
      </c>
      <c r="N78" s="0" t="n">
        <v>5</v>
      </c>
      <c r="O78" s="0" t="n">
        <v>6</v>
      </c>
      <c r="P78" s="0" t="n">
        <v>7</v>
      </c>
      <c r="Q78" s="0" t="n">
        <v>8</v>
      </c>
      <c r="R78" s="0" t="n">
        <v>9</v>
      </c>
      <c r="S78" s="0" t="n">
        <v>10</v>
      </c>
    </row>
    <row r="79" customFormat="false" ht="15" hidden="false" customHeight="false" outlineLevel="0" collapsed="false">
      <c r="I79" s="0" t="s">
        <v>76</v>
      </c>
      <c r="J79" s="7" t="n">
        <f aca="false">IF(J78&gt;ROUND($D$31,0),"",IFERROR(SUMIF($K$15:$EL$15,J78,$K$59:$EL$59)/-SUMIF($K$15:$EL$15,J78,$K$65:$EL$65),""))</f>
        <v>1.42774807976823</v>
      </c>
      <c r="K79" s="7" t="n">
        <f aca="false">IF(K78&gt;ROUND($D$31,0),"",IFERROR(SUMIF($K$15:$EL$15,K78,$K$59:$EL$59)/-SUMIF($K$15:$EL$15,K78,$K$65:$EL$65),""))</f>
        <v>1.51471924899992</v>
      </c>
      <c r="L79" s="7" t="n">
        <f aca="false">IF(L78&gt;ROUND($D$31,0),"",IFERROR(SUMIF($K$15:$EL$15,L78,$K$59:$EL$59)/-SUMIF($K$15:$EL$15,L78,$K$65:$EL$65),""))</f>
        <v>1.55007738171932</v>
      </c>
      <c r="M79" s="7" t="n">
        <f aca="false">IF(M78&gt;ROUND($D$31,0),"",IFERROR(SUMIF($K$15:$EL$15,M78,$K$59:$EL$59)/-SUMIF($K$15:$EL$15,M78,$K$65:$EL$65),""))</f>
        <v>1.58624417230155</v>
      </c>
      <c r="N79" s="7" t="n">
        <f aca="false">IF(N78&gt;ROUND($D$31,0),"",IFERROR(SUMIF($K$15:$EL$15,N78,$K$59:$EL$59)/-SUMIF($K$15:$EL$15,N78,$K$65:$EL$65),""))</f>
        <v>1.62323757832951</v>
      </c>
      <c r="O79" s="7" t="str">
        <f aca="false">IF(O78&gt;ROUND($D$31,0),"",IFERROR(SUMIF($K$15:$EL$15,O78,$K$59:$EL$59)/-SUMIF($K$15:$EL$15,O78,$K$65:$EL$65),""))</f>
        <v/>
      </c>
      <c r="P79" s="7" t="str">
        <f aca="false">IF(P78&gt;ROUND($D$31,0),"",IFERROR(SUMIF($K$15:$EL$15,P78,$K$59:$EL$59)/-SUMIF($K$15:$EL$15,P78,$K$65:$EL$65),""))</f>
        <v/>
      </c>
      <c r="Q79" s="7" t="str">
        <f aca="false">IF(Q78&gt;ROUND($D$31,0),"",IFERROR(SUMIF($K$15:$EL$15,Q78,$K$59:$EL$59)/-SUMIF($K$15:$EL$15,Q78,$K$65:$EL$65),""))</f>
        <v/>
      </c>
      <c r="R79" s="7" t="str">
        <f aca="false">IF(R78&gt;ROUND($D$31,0),"",IFERROR(SUMIF($K$15:$EL$15,R78,$K$59:$EL$59)/-SUMIF($K$15:$EL$15,R78,$K$65:$EL$65),""))</f>
        <v/>
      </c>
      <c r="S79" s="7" t="str">
        <f aca="false">IF(S78&gt;ROUND($D$31,0),"",IFERROR(SUMIF($K$15:$EL$15,S78,$K$59:$EL$59)/-SUMIF($K$15:$EL$15,S78,$K$65:$EL$65),""))</f>
        <v/>
      </c>
    </row>
    <row r="87" customFormat="false" ht="15" hidden="false" customHeight="false" outlineLevel="0" collapsed="false">
      <c r="D87" s="0" t="s">
        <v>14</v>
      </c>
      <c r="E87" s="0" t="n">
        <v>1</v>
      </c>
    </row>
    <row r="88" customFormat="false" ht="15" hidden="false" customHeight="false" outlineLevel="0" collapsed="false">
      <c r="D88" s="0" t="s">
        <v>77</v>
      </c>
      <c r="E88" s="0" t="n">
        <v>2</v>
      </c>
    </row>
    <row r="89" customFormat="false" ht="15" hidden="false" customHeight="false" outlineLevel="0" collapsed="false">
      <c r="D89" s="0" t="s">
        <v>57</v>
      </c>
      <c r="E89" s="0" t="n">
        <v>3</v>
      </c>
    </row>
    <row r="90" customFormat="false" ht="15" hidden="false" customHeight="false" outlineLevel="0" collapsed="false">
      <c r="D90" s="0" t="s">
        <v>78</v>
      </c>
      <c r="E90" s="0" t="n">
        <v>4</v>
      </c>
    </row>
    <row r="91" customFormat="false" ht="15" hidden="false" customHeight="false" outlineLevel="0" collapsed="false">
      <c r="D91" s="0" t="s">
        <v>79</v>
      </c>
      <c r="E91" s="0" t="n">
        <v>5</v>
      </c>
    </row>
    <row r="92" customFormat="false" ht="15" hidden="false" customHeight="false" outlineLevel="0" collapsed="false">
      <c r="D92" s="0" t="s">
        <v>80</v>
      </c>
      <c r="E92" s="0" t="n">
        <v>6</v>
      </c>
    </row>
    <row r="93" customFormat="false" ht="15" hidden="false" customHeight="false" outlineLevel="0" collapsed="false">
      <c r="D93" s="0" t="s">
        <v>81</v>
      </c>
      <c r="E93" s="0" t="n">
        <v>7</v>
      </c>
    </row>
    <row r="94" customFormat="false" ht="15" hidden="false" customHeight="false" outlineLevel="0" collapsed="false">
      <c r="D94" s="0" t="s">
        <v>82</v>
      </c>
      <c r="E94" s="0" t="n">
        <v>8</v>
      </c>
    </row>
    <row r="95" customFormat="false" ht="15" hidden="false" customHeight="false" outlineLevel="0" collapsed="false">
      <c r="D95" s="0" t="s">
        <v>83</v>
      </c>
      <c r="E95" s="0" t="n">
        <v>9</v>
      </c>
    </row>
    <row r="96" customFormat="false" ht="15" hidden="false" customHeight="false" outlineLevel="0" collapsed="false">
      <c r="D96" s="0" t="s">
        <v>52</v>
      </c>
      <c r="E96" s="0" t="n">
        <v>10</v>
      </c>
    </row>
    <row r="97" customFormat="false" ht="15" hidden="false" customHeight="false" outlineLevel="0" collapsed="false">
      <c r="D97" s="0" t="s">
        <v>84</v>
      </c>
      <c r="E97" s="0" t="n">
        <v>11</v>
      </c>
    </row>
    <row r="98" customFormat="false" ht="15" hidden="false" customHeight="false" outlineLevel="0" collapsed="false">
      <c r="D98" s="0" t="s">
        <v>85</v>
      </c>
      <c r="E98" s="0" t="n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3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2" customFormat="false" ht="15" hidden="false" customHeight="false" outlineLevel="0" collapsed="false">
      <c r="B2" s="0" t="s">
        <v>86</v>
      </c>
    </row>
    <row r="12" customFormat="false" ht="15" hidden="false" customHeight="false" outlineLevel="0" collapsed="false">
      <c r="C12" s="0" t="s">
        <v>87</v>
      </c>
    </row>
    <row r="13" customFormat="false" ht="15" hidden="false" customHeight="false" outlineLevel="0" collapsed="false">
      <c r="D13" s="0" t="s">
        <v>88</v>
      </c>
      <c r="E13" s="0" t="s">
        <v>89</v>
      </c>
      <c r="F13" s="0" t="s">
        <v>70</v>
      </c>
      <c r="G13" s="0" t="s">
        <v>90</v>
      </c>
      <c r="H13" s="0" t="s">
        <v>91</v>
      </c>
      <c r="I13" s="0" t="s">
        <v>92</v>
      </c>
    </row>
    <row r="14" customFormat="false" ht="15" hidden="false" customHeight="false" outlineLevel="0" collapsed="false">
      <c r="D14" s="0" t="n">
        <v>1</v>
      </c>
      <c r="E14" s="0" t="n">
        <f aca="false">'Inputs &amp; Monthly CF'!$D$26*'Inputs &amp; Monthly CF'!$D$56</f>
        <v>12025000</v>
      </c>
      <c r="F14" s="9" t="n">
        <f aca="false">-PMT('Inputs &amp; Monthly CF'!$D$57/12,'Inputs &amp; Monthly CF'!$D$58*12,$E$14)</f>
        <v>74039.9933512736</v>
      </c>
      <c r="G14" s="0" t="n">
        <f aca="false">E14*'Inputs &amp; Monthly CF'!$D$57/12</f>
        <v>62630.2083333333</v>
      </c>
      <c r="H14" s="9" t="n">
        <f aca="false">F14-G14</f>
        <v>11409.7850179403</v>
      </c>
      <c r="I14" s="9" t="n">
        <f aca="false">E14-H14</f>
        <v>12013590.2149821</v>
      </c>
    </row>
    <row r="15" customFormat="false" ht="15" hidden="false" customHeight="false" outlineLevel="0" collapsed="false">
      <c r="D15" s="0" t="n">
        <v>2</v>
      </c>
      <c r="E15" s="9" t="n">
        <f aca="false">I14</f>
        <v>12013590.2149821</v>
      </c>
      <c r="F15" s="9" t="n">
        <f aca="false">-PMT('Inputs &amp; Monthly CF'!$D$57/12,'Inputs &amp; Monthly CF'!$D$58*12,$E$14)</f>
        <v>74039.9933512736</v>
      </c>
      <c r="G15" s="9" t="n">
        <f aca="false">E15*'Inputs &amp; Monthly CF'!$D$57/12</f>
        <v>62570.7823696982</v>
      </c>
      <c r="H15" s="9" t="n">
        <f aca="false">F15-G15</f>
        <v>11469.2109815754</v>
      </c>
      <c r="I15" s="9" t="n">
        <f aca="false">E15-H15</f>
        <v>12002121.0040005</v>
      </c>
    </row>
    <row r="16" customFormat="false" ht="15" hidden="false" customHeight="false" outlineLevel="0" collapsed="false">
      <c r="D16" s="0" t="n">
        <v>3</v>
      </c>
      <c r="E16" s="9" t="n">
        <f aca="false">I15</f>
        <v>12002121.0040005</v>
      </c>
      <c r="F16" s="9" t="n">
        <f aca="false">-PMT('Inputs &amp; Monthly CF'!$D$57/12,'Inputs &amp; Monthly CF'!$D$58*12,$E$14)</f>
        <v>74039.9933512736</v>
      </c>
      <c r="G16" s="9" t="n">
        <f aca="false">E16*'Inputs &amp; Monthly CF'!$D$57/12</f>
        <v>62511.0468958359</v>
      </c>
      <c r="H16" s="9" t="n">
        <f aca="false">F16-G16</f>
        <v>11528.9464554377</v>
      </c>
      <c r="I16" s="9" t="n">
        <f aca="false">E16-H16</f>
        <v>11990592.057545</v>
      </c>
    </row>
    <row r="17" customFormat="false" ht="15" hidden="false" customHeight="false" outlineLevel="0" collapsed="false">
      <c r="D17" s="0" t="n">
        <v>4</v>
      </c>
      <c r="E17" s="9" t="n">
        <f aca="false">I16</f>
        <v>11990592.057545</v>
      </c>
      <c r="F17" s="9" t="n">
        <f aca="false">-PMT('Inputs &amp; Monthly CF'!$D$57/12,'Inputs &amp; Monthly CF'!$D$58*12,$E$14)</f>
        <v>74039.9933512736</v>
      </c>
      <c r="G17" s="9" t="n">
        <f aca="false">E17*'Inputs &amp; Monthly CF'!$D$57/12</f>
        <v>62451.0002997138</v>
      </c>
      <c r="H17" s="9" t="n">
        <f aca="false">F17-G17</f>
        <v>11588.9930515598</v>
      </c>
      <c r="I17" s="9" t="n">
        <f aca="false">E17-H17</f>
        <v>11979003.0644935</v>
      </c>
    </row>
    <row r="18" customFormat="false" ht="15" hidden="false" customHeight="false" outlineLevel="0" collapsed="false">
      <c r="D18" s="0" t="n">
        <v>5</v>
      </c>
      <c r="E18" s="9" t="n">
        <f aca="false">I17</f>
        <v>11979003.0644935</v>
      </c>
      <c r="F18" s="9" t="n">
        <f aca="false">-PMT('Inputs &amp; Monthly CF'!$D$57/12,'Inputs &amp; Monthly CF'!$D$58*12,$E$14)</f>
        <v>74039.9933512736</v>
      </c>
      <c r="G18" s="9" t="n">
        <f aca="false">E18*'Inputs &amp; Monthly CF'!$D$57/12</f>
        <v>62390.6409609036</v>
      </c>
      <c r="H18" s="9" t="n">
        <f aca="false">F18-G18</f>
        <v>11649.35239037</v>
      </c>
      <c r="I18" s="9" t="n">
        <f aca="false">E18-H18</f>
        <v>11967353.7121031</v>
      </c>
    </row>
    <row r="19" customFormat="false" ht="15" hidden="false" customHeight="false" outlineLevel="0" collapsed="false">
      <c r="D19" s="0" t="n">
        <v>6</v>
      </c>
      <c r="E19" s="9" t="n">
        <f aca="false">I18</f>
        <v>11967353.7121031</v>
      </c>
      <c r="F19" s="9" t="n">
        <f aca="false">-PMT('Inputs &amp; Monthly CF'!$D$57/12,'Inputs &amp; Monthly CF'!$D$58*12,$E$14)</f>
        <v>74039.9933512736</v>
      </c>
      <c r="G19" s="9" t="n">
        <f aca="false">E19*'Inputs &amp; Monthly CF'!$D$57/12</f>
        <v>62329.9672505371</v>
      </c>
      <c r="H19" s="9" t="n">
        <f aca="false">F19-G19</f>
        <v>11710.0261007365</v>
      </c>
      <c r="I19" s="9" t="n">
        <f aca="false">E19-H19</f>
        <v>11955643.6860024</v>
      </c>
    </row>
    <row r="20" customFormat="false" ht="15" hidden="false" customHeight="false" outlineLevel="0" collapsed="false">
      <c r="D20" s="0" t="n">
        <v>7</v>
      </c>
      <c r="E20" s="9" t="n">
        <f aca="false">I19</f>
        <v>11955643.6860024</v>
      </c>
      <c r="F20" s="9" t="n">
        <f aca="false">-PMT('Inputs &amp; Monthly CF'!$D$57/12,'Inputs &amp; Monthly CF'!$D$58*12,$E$14)</f>
        <v>74039.9933512736</v>
      </c>
      <c r="G20" s="9" t="n">
        <f aca="false">E20*'Inputs &amp; Monthly CF'!$D$57/12</f>
        <v>62268.9775312624</v>
      </c>
      <c r="H20" s="9" t="n">
        <f aca="false">F20-G20</f>
        <v>11771.0158200112</v>
      </c>
      <c r="I20" s="9" t="n">
        <f aca="false">E20-H20</f>
        <v>11943872.6701824</v>
      </c>
    </row>
    <row r="21" customFormat="false" ht="15" hidden="false" customHeight="false" outlineLevel="0" collapsed="false">
      <c r="D21" s="0" t="n">
        <v>8</v>
      </c>
      <c r="E21" s="9" t="n">
        <f aca="false">I20</f>
        <v>11943872.6701824</v>
      </c>
      <c r="F21" s="9" t="n">
        <f aca="false">-PMT('Inputs &amp; Monthly CF'!$D$57/12,'Inputs &amp; Monthly CF'!$D$58*12,$E$14)</f>
        <v>74039.9933512736</v>
      </c>
      <c r="G21" s="9" t="n">
        <f aca="false">E21*'Inputs &amp; Monthly CF'!$D$57/12</f>
        <v>62207.6701571998</v>
      </c>
      <c r="H21" s="9" t="n">
        <f aca="false">F21-G21</f>
        <v>11832.3231940738</v>
      </c>
      <c r="I21" s="9" t="n">
        <f aca="false">E21-H21</f>
        <v>11932040.3469883</v>
      </c>
    </row>
    <row r="22" customFormat="false" ht="15" hidden="false" customHeight="false" outlineLevel="0" collapsed="false">
      <c r="D22" s="0" t="n">
        <v>9</v>
      </c>
      <c r="E22" s="9" t="n">
        <f aca="false">I21</f>
        <v>11932040.3469883</v>
      </c>
      <c r="F22" s="9" t="n">
        <f aca="false">-PMT('Inputs &amp; Monthly CF'!$D$57/12,'Inputs &amp; Monthly CF'!$D$58*12,$E$14)</f>
        <v>74039.9933512736</v>
      </c>
      <c r="G22" s="9" t="n">
        <f aca="false">E22*'Inputs &amp; Monthly CF'!$D$57/12</f>
        <v>62146.0434738974</v>
      </c>
      <c r="H22" s="9" t="n">
        <f aca="false">F22-G22</f>
        <v>11893.9498773762</v>
      </c>
      <c r="I22" s="9" t="n">
        <f aca="false">E22-H22</f>
        <v>11920146.3971109</v>
      </c>
    </row>
    <row r="23" customFormat="false" ht="15" hidden="false" customHeight="false" outlineLevel="0" collapsed="false">
      <c r="D23" s="0" t="n">
        <v>10</v>
      </c>
      <c r="E23" s="9" t="n">
        <f aca="false">I22</f>
        <v>11920146.3971109</v>
      </c>
      <c r="F23" s="9" t="n">
        <f aca="false">-PMT('Inputs &amp; Monthly CF'!$D$57/12,'Inputs &amp; Monthly CF'!$D$58*12,$E$14)</f>
        <v>74039.9933512736</v>
      </c>
      <c r="G23" s="9" t="n">
        <f aca="false">E23*'Inputs &amp; Monthly CF'!$D$57/12</f>
        <v>62084.095818286</v>
      </c>
      <c r="H23" s="9" t="n">
        <f aca="false">F23-G23</f>
        <v>11955.8975329876</v>
      </c>
      <c r="I23" s="9" t="n">
        <f aca="false">E23-H23</f>
        <v>11908190.4995779</v>
      </c>
    </row>
    <row r="24" customFormat="false" ht="15" hidden="false" customHeight="false" outlineLevel="0" collapsed="false">
      <c r="D24" s="0" t="n">
        <v>11</v>
      </c>
      <c r="E24" s="9" t="n">
        <f aca="false">I23</f>
        <v>11908190.4995779</v>
      </c>
      <c r="F24" s="9" t="n">
        <f aca="false">-PMT('Inputs &amp; Monthly CF'!$D$57/12,'Inputs &amp; Monthly CF'!$D$58*12,$E$14)</f>
        <v>74039.9933512736</v>
      </c>
      <c r="G24" s="9" t="n">
        <f aca="false">E24*'Inputs &amp; Monthly CF'!$D$57/12</f>
        <v>62021.8255186351</v>
      </c>
      <c r="H24" s="9" t="n">
        <f aca="false">F24-G24</f>
        <v>12018.1678326385</v>
      </c>
      <c r="I24" s="9" t="n">
        <f aca="false">E24-H24</f>
        <v>11896172.3317453</v>
      </c>
    </row>
    <row r="25" customFormat="false" ht="15" hidden="false" customHeight="false" outlineLevel="0" collapsed="false">
      <c r="D25" s="0" t="n">
        <v>12</v>
      </c>
      <c r="E25" s="9" t="n">
        <f aca="false">I24</f>
        <v>11896172.3317453</v>
      </c>
      <c r="F25" s="9" t="n">
        <f aca="false">-PMT('Inputs &amp; Monthly CF'!$D$57/12,'Inputs &amp; Monthly CF'!$D$58*12,$E$14)</f>
        <v>74039.9933512736</v>
      </c>
      <c r="G25" s="9" t="n">
        <f aca="false">E25*'Inputs &amp; Monthly CF'!$D$57/12</f>
        <v>61959.2308945067</v>
      </c>
      <c r="H25" s="9" t="n">
        <f aca="false">F25-G25</f>
        <v>12080.7624567669</v>
      </c>
      <c r="I25" s="9" t="n">
        <f aca="false">E25-H25</f>
        <v>11884091.5692885</v>
      </c>
    </row>
    <row r="26" customFormat="false" ht="15" hidden="false" customHeight="false" outlineLevel="0" collapsed="false">
      <c r="D26" s="0" t="n">
        <v>13</v>
      </c>
      <c r="E26" s="9" t="n">
        <f aca="false">I25</f>
        <v>11884091.5692885</v>
      </c>
      <c r="F26" s="9" t="n">
        <f aca="false">-PMT('Inputs &amp; Monthly CF'!$D$57/12,'Inputs &amp; Monthly CF'!$D$58*12,$E$14)</f>
        <v>74039.9933512736</v>
      </c>
      <c r="G26" s="9" t="n">
        <f aca="false">E26*'Inputs &amp; Monthly CF'!$D$57/12</f>
        <v>61896.3102567111</v>
      </c>
      <c r="H26" s="9" t="n">
        <f aca="false">F26-G26</f>
        <v>12143.6830945625</v>
      </c>
      <c r="I26" s="9" t="n">
        <f aca="false">E26-H26</f>
        <v>11871947.886194</v>
      </c>
    </row>
    <row r="27" customFormat="false" ht="15" hidden="false" customHeight="false" outlineLevel="0" collapsed="false">
      <c r="D27" s="0" t="n">
        <v>14</v>
      </c>
      <c r="E27" s="9" t="n">
        <f aca="false">I26</f>
        <v>11871947.886194</v>
      </c>
      <c r="F27" s="9" t="n">
        <f aca="false">-PMT('Inputs &amp; Monthly CF'!$D$57/12,'Inputs &amp; Monthly CF'!$D$58*12,$E$14)</f>
        <v>74039.9933512736</v>
      </c>
      <c r="G27" s="9" t="n">
        <f aca="false">E27*'Inputs &amp; Monthly CF'!$D$57/12</f>
        <v>61833.0619072602</v>
      </c>
      <c r="H27" s="9" t="n">
        <f aca="false">F27-G27</f>
        <v>12206.9314440134</v>
      </c>
      <c r="I27" s="9" t="n">
        <f aca="false">E27-H27</f>
        <v>11859740.9547499</v>
      </c>
    </row>
    <row r="28" customFormat="false" ht="15" hidden="false" customHeight="false" outlineLevel="0" collapsed="false">
      <c r="D28" s="0" t="n">
        <v>15</v>
      </c>
      <c r="E28" s="9" t="n">
        <f aca="false">I27</f>
        <v>11859740.9547499</v>
      </c>
      <c r="F28" s="9" t="n">
        <f aca="false">-PMT('Inputs &amp; Monthly CF'!$D$57/12,'Inputs &amp; Monthly CF'!$D$58*12,$E$14)</f>
        <v>74039.9933512736</v>
      </c>
      <c r="G28" s="9" t="n">
        <f aca="false">E28*'Inputs &amp; Monthly CF'!$D$57/12</f>
        <v>61769.4841393226</v>
      </c>
      <c r="H28" s="9" t="n">
        <f aca="false">F28-G28</f>
        <v>12270.5092119509</v>
      </c>
      <c r="I28" s="9" t="n">
        <f aca="false">E28-H28</f>
        <v>11847470.445538</v>
      </c>
    </row>
    <row r="29" customFormat="false" ht="15" hidden="false" customHeight="false" outlineLevel="0" collapsed="false">
      <c r="D29" s="0" t="n">
        <v>16</v>
      </c>
      <c r="E29" s="9" t="n">
        <f aca="false">I28</f>
        <v>11847470.445538</v>
      </c>
      <c r="F29" s="9" t="n">
        <f aca="false">-PMT('Inputs &amp; Monthly CF'!$D$57/12,'Inputs &amp; Monthly CF'!$D$58*12,$E$14)</f>
        <v>74039.9933512736</v>
      </c>
      <c r="G29" s="9" t="n">
        <f aca="false">E29*'Inputs &amp; Monthly CF'!$D$57/12</f>
        <v>61705.5752371771</v>
      </c>
      <c r="H29" s="9" t="n">
        <f aca="false">F29-G29</f>
        <v>12334.4181140965</v>
      </c>
      <c r="I29" s="9" t="n">
        <f aca="false">E29-H29</f>
        <v>11835136.0274239</v>
      </c>
    </row>
    <row r="30" customFormat="false" ht="15" hidden="false" customHeight="false" outlineLevel="0" collapsed="false">
      <c r="D30" s="0" t="n">
        <v>17</v>
      </c>
      <c r="E30" s="9" t="n">
        <f aca="false">I29</f>
        <v>11835136.0274239</v>
      </c>
      <c r="F30" s="9" t="n">
        <f aca="false">-PMT('Inputs &amp; Monthly CF'!$D$57/12,'Inputs &amp; Monthly CF'!$D$58*12,$E$14)</f>
        <v>74039.9933512736</v>
      </c>
      <c r="G30" s="9" t="n">
        <f aca="false">E30*'Inputs &amp; Monthly CF'!$D$57/12</f>
        <v>61641.3334761661</v>
      </c>
      <c r="H30" s="9" t="n">
        <f aca="false">F30-G30</f>
        <v>12398.6598751074</v>
      </c>
      <c r="I30" s="9" t="n">
        <f aca="false">E30-H30</f>
        <v>11822737.3675488</v>
      </c>
    </row>
    <row r="31" customFormat="false" ht="15" hidden="false" customHeight="false" outlineLevel="0" collapsed="false">
      <c r="D31" s="0" t="n">
        <v>18</v>
      </c>
      <c r="E31" s="9" t="n">
        <f aca="false">I30</f>
        <v>11822737.3675488</v>
      </c>
      <c r="F31" s="9" t="n">
        <f aca="false">-PMT('Inputs &amp; Monthly CF'!$D$57/12,'Inputs &amp; Monthly CF'!$D$58*12,$E$14)</f>
        <v>74039.9933512736</v>
      </c>
      <c r="G31" s="9" t="n">
        <f aca="false">E31*'Inputs &amp; Monthly CF'!$D$57/12</f>
        <v>61576.75712265</v>
      </c>
      <c r="H31" s="9" t="n">
        <f aca="false">F31-G31</f>
        <v>12463.2362286236</v>
      </c>
      <c r="I31" s="9" t="n">
        <f aca="false">E31-H31</f>
        <v>11810274.1313202</v>
      </c>
    </row>
    <row r="32" customFormat="false" ht="15" hidden="false" customHeight="false" outlineLevel="0" collapsed="false">
      <c r="D32" s="0" t="n">
        <v>19</v>
      </c>
      <c r="E32" s="9" t="n">
        <f aca="false">I31</f>
        <v>11810274.1313202</v>
      </c>
      <c r="F32" s="9" t="n">
        <f aca="false">-PMT('Inputs &amp; Monthly CF'!$D$57/12,'Inputs &amp; Monthly CF'!$D$58*12,$E$14)</f>
        <v>74039.9933512736</v>
      </c>
      <c r="G32" s="9" t="n">
        <f aca="false">E32*'Inputs &amp; Monthly CF'!$D$57/12</f>
        <v>61511.8444339592</v>
      </c>
      <c r="H32" s="9" t="n">
        <f aca="false">F32-G32</f>
        <v>12528.1489173144</v>
      </c>
      <c r="I32" s="9" t="n">
        <f aca="false">E32-H32</f>
        <v>11797745.9824029</v>
      </c>
    </row>
    <row r="33" customFormat="false" ht="15" hidden="false" customHeight="false" outlineLevel="0" collapsed="false">
      <c r="D33" s="0" t="n">
        <v>20</v>
      </c>
      <c r="E33" s="9" t="n">
        <f aca="false">I32</f>
        <v>11797745.9824029</v>
      </c>
      <c r="F33" s="9" t="n">
        <f aca="false">-PMT('Inputs &amp; Monthly CF'!$D$57/12,'Inputs &amp; Monthly CF'!$D$58*12,$E$14)</f>
        <v>74039.9933512736</v>
      </c>
      <c r="G33" s="9" t="n">
        <f aca="false">E33*'Inputs &amp; Monthly CF'!$D$57/12</f>
        <v>61446.5936583482</v>
      </c>
      <c r="H33" s="9" t="n">
        <f aca="false">F33-G33</f>
        <v>12593.3996929254</v>
      </c>
      <c r="I33" s="9" t="n">
        <f aca="false">E33-H33</f>
        <v>11785152.5827099</v>
      </c>
    </row>
    <row r="34" customFormat="false" ht="15" hidden="false" customHeight="false" outlineLevel="0" collapsed="false">
      <c r="D34" s="0" t="n">
        <v>21</v>
      </c>
      <c r="E34" s="9" t="n">
        <f aca="false">I33</f>
        <v>11785152.5827099</v>
      </c>
      <c r="F34" s="9" t="n">
        <f aca="false">-PMT('Inputs &amp; Monthly CF'!$D$57/12,'Inputs &amp; Monthly CF'!$D$58*12,$E$14)</f>
        <v>74039.9933512736</v>
      </c>
      <c r="G34" s="9" t="n">
        <f aca="false">E34*'Inputs &amp; Monthly CF'!$D$57/12</f>
        <v>61381.0030349476</v>
      </c>
      <c r="H34" s="9" t="n">
        <f aca="false">F34-G34</f>
        <v>12658.990316326</v>
      </c>
      <c r="I34" s="9" t="n">
        <f aca="false">E34-H34</f>
        <v>11772493.5923936</v>
      </c>
    </row>
    <row r="35" customFormat="false" ht="15" hidden="false" customHeight="false" outlineLevel="0" collapsed="false">
      <c r="D35" s="0" t="n">
        <v>22</v>
      </c>
      <c r="E35" s="9" t="n">
        <f aca="false">I34</f>
        <v>11772493.5923936</v>
      </c>
      <c r="F35" s="9" t="n">
        <f aca="false">-PMT('Inputs &amp; Monthly CF'!$D$57/12,'Inputs &amp; Monthly CF'!$D$58*12,$E$14)</f>
        <v>74039.9933512736</v>
      </c>
      <c r="G35" s="9" t="n">
        <f aca="false">E35*'Inputs &amp; Monthly CF'!$D$57/12</f>
        <v>61315.0707937167</v>
      </c>
      <c r="H35" s="9" t="n">
        <f aca="false">F35-G35</f>
        <v>12724.9225575569</v>
      </c>
      <c r="I35" s="9" t="n">
        <f aca="false">E35-H35</f>
        <v>11759768.669836</v>
      </c>
    </row>
    <row r="36" customFormat="false" ht="15" hidden="false" customHeight="false" outlineLevel="0" collapsed="false">
      <c r="D36" s="0" t="n">
        <v>23</v>
      </c>
      <c r="E36" s="9" t="n">
        <f aca="false">I35</f>
        <v>11759768.669836</v>
      </c>
      <c r="F36" s="9" t="n">
        <f aca="false">-PMT('Inputs &amp; Monthly CF'!$D$57/12,'Inputs &amp; Monthly CF'!$D$58*12,$E$14)</f>
        <v>74039.9933512736</v>
      </c>
      <c r="G36" s="9" t="n">
        <f aca="false">E36*'Inputs &amp; Monthly CF'!$D$57/12</f>
        <v>61248.7951553961</v>
      </c>
      <c r="H36" s="9" t="n">
        <f aca="false">F36-G36</f>
        <v>12791.1981958775</v>
      </c>
      <c r="I36" s="9" t="n">
        <f aca="false">E36-H36</f>
        <v>11746977.4716402</v>
      </c>
    </row>
    <row r="37" customFormat="false" ht="15" hidden="false" customHeight="false" outlineLevel="0" collapsed="false">
      <c r="D37" s="0" t="n">
        <v>24</v>
      </c>
      <c r="E37" s="9" t="n">
        <f aca="false">I36</f>
        <v>11746977.4716402</v>
      </c>
      <c r="F37" s="9" t="n">
        <f aca="false">-PMT('Inputs &amp; Monthly CF'!$D$57/12,'Inputs &amp; Monthly CF'!$D$58*12,$E$14)</f>
        <v>74039.9933512736</v>
      </c>
      <c r="G37" s="9" t="n">
        <f aca="false">E37*'Inputs &amp; Monthly CF'!$D$57/12</f>
        <v>61182.1743314592</v>
      </c>
      <c r="H37" s="9" t="n">
        <f aca="false">F37-G37</f>
        <v>12857.8190198144</v>
      </c>
      <c r="I37" s="9" t="n">
        <f aca="false">E37-H37</f>
        <v>11734119.6526204</v>
      </c>
    </row>
    <row r="38" customFormat="false" ht="15" hidden="false" customHeight="false" outlineLevel="0" collapsed="false">
      <c r="D38" s="0" t="n">
        <v>25</v>
      </c>
      <c r="E38" s="9" t="n">
        <f aca="false">I37</f>
        <v>11734119.6526204</v>
      </c>
      <c r="F38" s="9" t="n">
        <f aca="false">-PMT('Inputs &amp; Monthly CF'!$D$57/12,'Inputs &amp; Monthly CF'!$D$58*12,$E$14)</f>
        <v>74039.9933512736</v>
      </c>
      <c r="G38" s="9" t="n">
        <f aca="false">E38*'Inputs &amp; Monthly CF'!$D$57/12</f>
        <v>61115.2065240643</v>
      </c>
      <c r="H38" s="9" t="n">
        <f aca="false">F38-G38</f>
        <v>12924.7868272093</v>
      </c>
      <c r="I38" s="9" t="n">
        <f aca="false">E38-H38</f>
        <v>11721194.8657931</v>
      </c>
    </row>
    <row r="39" customFormat="false" ht="15" hidden="false" customHeight="false" outlineLevel="0" collapsed="false">
      <c r="D39" s="0" t="n">
        <v>26</v>
      </c>
      <c r="E39" s="9" t="n">
        <f aca="false">I38</f>
        <v>11721194.8657931</v>
      </c>
      <c r="F39" s="9" t="n">
        <f aca="false">-PMT('Inputs &amp; Monthly CF'!$D$57/12,'Inputs &amp; Monthly CF'!$D$58*12,$E$14)</f>
        <v>74039.9933512736</v>
      </c>
      <c r="G39" s="9" t="n">
        <f aca="false">E39*'Inputs &amp; Monthly CF'!$D$57/12</f>
        <v>61047.889926006</v>
      </c>
      <c r="H39" s="9" t="n">
        <f aca="false">F39-G39</f>
        <v>12992.1034252676</v>
      </c>
      <c r="I39" s="9" t="n">
        <f aca="false">E39-H39</f>
        <v>11708202.7623679</v>
      </c>
    </row>
    <row r="40" customFormat="false" ht="15" hidden="false" customHeight="false" outlineLevel="0" collapsed="false">
      <c r="D40" s="0" t="n">
        <v>27</v>
      </c>
      <c r="E40" s="9" t="n">
        <f aca="false">I39</f>
        <v>11708202.7623679</v>
      </c>
      <c r="F40" s="9" t="n">
        <f aca="false">-PMT('Inputs &amp; Monthly CF'!$D$57/12,'Inputs &amp; Monthly CF'!$D$58*12,$E$14)</f>
        <v>74039.9933512736</v>
      </c>
      <c r="G40" s="9" t="n">
        <f aca="false">E40*'Inputs &amp; Monthly CF'!$D$57/12</f>
        <v>60980.222720666</v>
      </c>
      <c r="H40" s="9" t="n">
        <f aca="false">F40-G40</f>
        <v>13059.7706306076</v>
      </c>
      <c r="I40" s="9" t="n">
        <f aca="false">E40-H40</f>
        <v>11695142.9917373</v>
      </c>
    </row>
    <row r="41" customFormat="false" ht="15" hidden="false" customHeight="false" outlineLevel="0" collapsed="false">
      <c r="D41" s="0" t="n">
        <v>28</v>
      </c>
      <c r="E41" s="9" t="n">
        <f aca="false">I40</f>
        <v>11695142.9917373</v>
      </c>
      <c r="F41" s="9" t="n">
        <f aca="false">-PMT('Inputs &amp; Monthly CF'!$D$57/12,'Inputs &amp; Monthly CF'!$D$58*12,$E$14)</f>
        <v>74039.9933512736</v>
      </c>
      <c r="G41" s="9" t="n">
        <f aca="false">E41*'Inputs &amp; Monthly CF'!$D$57/12</f>
        <v>60912.2030819649</v>
      </c>
      <c r="H41" s="9" t="n">
        <f aca="false">F41-G41</f>
        <v>13127.7902693086</v>
      </c>
      <c r="I41" s="9" t="n">
        <f aca="false">E41-H41</f>
        <v>11682015.201468</v>
      </c>
    </row>
    <row r="42" customFormat="false" ht="15" hidden="false" customHeight="false" outlineLevel="0" collapsed="false">
      <c r="D42" s="0" t="n">
        <v>29</v>
      </c>
      <c r="E42" s="9" t="n">
        <f aca="false">I41</f>
        <v>11682015.201468</v>
      </c>
      <c r="F42" s="9" t="n">
        <f aca="false">-PMT('Inputs &amp; Monthly CF'!$D$57/12,'Inputs &amp; Monthly CF'!$D$58*12,$E$14)</f>
        <v>74039.9933512736</v>
      </c>
      <c r="G42" s="9" t="n">
        <f aca="false">E42*'Inputs &amp; Monthly CF'!$D$57/12</f>
        <v>60843.8291743123</v>
      </c>
      <c r="H42" s="9" t="n">
        <f aca="false">F42-G42</f>
        <v>13196.1641769613</v>
      </c>
      <c r="I42" s="9" t="n">
        <f aca="false">E42-H42</f>
        <v>11668819.037291</v>
      </c>
    </row>
    <row r="43" customFormat="false" ht="15" hidden="false" customHeight="false" outlineLevel="0" collapsed="false">
      <c r="D43" s="0" t="n">
        <v>30</v>
      </c>
      <c r="E43" s="9" t="n">
        <f aca="false">I42</f>
        <v>11668819.037291</v>
      </c>
      <c r="F43" s="9" t="n">
        <f aca="false">-PMT('Inputs &amp; Monthly CF'!$D$57/12,'Inputs &amp; Monthly CF'!$D$58*12,$E$14)</f>
        <v>74039.9933512736</v>
      </c>
      <c r="G43" s="9" t="n">
        <f aca="false">E43*'Inputs &amp; Monthly CF'!$D$57/12</f>
        <v>60775.0991525573</v>
      </c>
      <c r="H43" s="9" t="n">
        <f aca="false">F43-G43</f>
        <v>13264.8941987163</v>
      </c>
      <c r="I43" s="9" t="n">
        <f aca="false">E43-H43</f>
        <v>11655554.1430923</v>
      </c>
    </row>
    <row r="44" customFormat="false" ht="15" hidden="false" customHeight="false" outlineLevel="0" collapsed="false">
      <c r="D44" s="0" t="n">
        <v>31</v>
      </c>
      <c r="E44" s="9" t="n">
        <f aca="false">I43</f>
        <v>11655554.1430923</v>
      </c>
      <c r="F44" s="9" t="n">
        <f aca="false">-PMT('Inputs &amp; Monthly CF'!$D$57/12,'Inputs &amp; Monthly CF'!$D$58*12,$E$14)</f>
        <v>74039.9933512736</v>
      </c>
      <c r="G44" s="9" t="n">
        <f aca="false">E44*'Inputs &amp; Monthly CF'!$D$57/12</f>
        <v>60706.011161939</v>
      </c>
      <c r="H44" s="9" t="n">
        <f aca="false">F44-G44</f>
        <v>13333.9821893346</v>
      </c>
      <c r="I44" s="9" t="n">
        <f aca="false">E44-H44</f>
        <v>11642220.1609029</v>
      </c>
    </row>
    <row r="45" customFormat="false" ht="15" hidden="false" customHeight="false" outlineLevel="0" collapsed="false">
      <c r="D45" s="0" t="n">
        <v>32</v>
      </c>
      <c r="E45" s="9" t="n">
        <f aca="false">I44</f>
        <v>11642220.1609029</v>
      </c>
      <c r="F45" s="9" t="n">
        <f aca="false">-PMT('Inputs &amp; Monthly CF'!$D$57/12,'Inputs &amp; Monthly CF'!$D$58*12,$E$14)</f>
        <v>74039.9933512736</v>
      </c>
      <c r="G45" s="9" t="n">
        <f aca="false">E45*'Inputs &amp; Monthly CF'!$D$57/12</f>
        <v>60636.5633380362</v>
      </c>
      <c r="H45" s="9" t="n">
        <f aca="false">F45-G45</f>
        <v>13403.4300132374</v>
      </c>
      <c r="I45" s="9" t="n">
        <f aca="false">E45-H45</f>
        <v>11628816.7308897</v>
      </c>
    </row>
    <row r="46" customFormat="false" ht="15" hidden="false" customHeight="false" outlineLevel="0" collapsed="false">
      <c r="D46" s="0" t="n">
        <v>33</v>
      </c>
      <c r="E46" s="9" t="n">
        <f aca="false">I45</f>
        <v>11628816.7308897</v>
      </c>
      <c r="F46" s="9" t="n">
        <f aca="false">-PMT('Inputs &amp; Monthly CF'!$D$57/12,'Inputs &amp; Monthly CF'!$D$58*12,$E$14)</f>
        <v>74039.9933512736</v>
      </c>
      <c r="G46" s="9" t="n">
        <f aca="false">E46*'Inputs &amp; Monthly CF'!$D$57/12</f>
        <v>60566.7538067173</v>
      </c>
      <c r="H46" s="9" t="n">
        <f aca="false">F46-G46</f>
        <v>13473.2395445563</v>
      </c>
      <c r="I46" s="9" t="n">
        <f aca="false">E46-H46</f>
        <v>11615343.4913452</v>
      </c>
    </row>
    <row r="47" customFormat="false" ht="15" hidden="false" customHeight="false" outlineLevel="0" collapsed="false">
      <c r="D47" s="0" t="n">
        <v>34</v>
      </c>
      <c r="E47" s="9" t="n">
        <f aca="false">I46</f>
        <v>11615343.4913452</v>
      </c>
      <c r="F47" s="9" t="n">
        <f aca="false">-PMT('Inputs &amp; Monthly CF'!$D$57/12,'Inputs &amp; Monthly CF'!$D$58*12,$E$14)</f>
        <v>74039.9933512736</v>
      </c>
      <c r="G47" s="9" t="n">
        <f aca="false">E47*'Inputs &amp; Monthly CF'!$D$57/12</f>
        <v>60496.5806840894</v>
      </c>
      <c r="H47" s="9" t="n">
        <f aca="false">F47-G47</f>
        <v>13543.4126671842</v>
      </c>
      <c r="I47" s="9" t="n">
        <f aca="false">E47-H47</f>
        <v>11601800.078678</v>
      </c>
    </row>
    <row r="48" customFormat="false" ht="15" hidden="false" customHeight="false" outlineLevel="0" collapsed="false">
      <c r="D48" s="0" t="n">
        <v>35</v>
      </c>
      <c r="E48" s="9" t="n">
        <f aca="false">I47</f>
        <v>11601800.078678</v>
      </c>
      <c r="F48" s="9" t="n">
        <f aca="false">-PMT('Inputs &amp; Monthly CF'!$D$57/12,'Inputs &amp; Monthly CF'!$D$58*12,$E$14)</f>
        <v>74039.9933512736</v>
      </c>
      <c r="G48" s="9" t="n">
        <f aca="false">E48*'Inputs &amp; Monthly CF'!$D$57/12</f>
        <v>60426.0420764478</v>
      </c>
      <c r="H48" s="9" t="n">
        <f aca="false">F48-G48</f>
        <v>13613.9512748258</v>
      </c>
      <c r="I48" s="9" t="n">
        <f aca="false">E48-H48</f>
        <v>11588186.1274031</v>
      </c>
    </row>
    <row r="49" customFormat="false" ht="15" hidden="false" customHeight="false" outlineLevel="0" collapsed="false">
      <c r="D49" s="0" t="n">
        <v>36</v>
      </c>
      <c r="E49" s="9" t="n">
        <f aca="false">I48</f>
        <v>11588186.1274031</v>
      </c>
      <c r="F49" s="9" t="n">
        <f aca="false">-PMT('Inputs &amp; Monthly CF'!$D$57/12,'Inputs &amp; Monthly CF'!$D$58*12,$E$14)</f>
        <v>74039.9933512736</v>
      </c>
      <c r="G49" s="9" t="n">
        <f aca="false">E49*'Inputs &amp; Monthly CF'!$D$57/12</f>
        <v>60355.1360802247</v>
      </c>
      <c r="H49" s="9" t="n">
        <f aca="false">F49-G49</f>
        <v>13684.8572710489</v>
      </c>
      <c r="I49" s="9" t="n">
        <f aca="false">E49-H49</f>
        <v>11574501.2701321</v>
      </c>
    </row>
    <row r="50" customFormat="false" ht="15" hidden="false" customHeight="false" outlineLevel="0" collapsed="false">
      <c r="D50" s="0" t="n">
        <v>37</v>
      </c>
      <c r="E50" s="9" t="n">
        <f aca="false">I49</f>
        <v>11574501.2701321</v>
      </c>
      <c r="F50" s="9" t="n">
        <f aca="false">-PMT('Inputs &amp; Monthly CF'!$D$57/12,'Inputs &amp; Monthly CF'!$D$58*12,$E$14)</f>
        <v>74039.9933512736</v>
      </c>
      <c r="G50" s="9" t="n">
        <f aca="false">E50*'Inputs &amp; Monthly CF'!$D$57/12</f>
        <v>60283.860781938</v>
      </c>
      <c r="H50" s="9" t="n">
        <f aca="false">F50-G50</f>
        <v>13756.1325693356</v>
      </c>
      <c r="I50" s="9" t="n">
        <f aca="false">E50-H50</f>
        <v>11560745.1375628</v>
      </c>
    </row>
    <row r="51" customFormat="false" ht="15" hidden="false" customHeight="false" outlineLevel="0" collapsed="false">
      <c r="D51" s="0" t="n">
        <v>38</v>
      </c>
      <c r="E51" s="9" t="n">
        <f aca="false">I50</f>
        <v>11560745.1375628</v>
      </c>
      <c r="F51" s="9" t="n">
        <f aca="false">-PMT('Inputs &amp; Monthly CF'!$D$57/12,'Inputs &amp; Monthly CF'!$D$58*12,$E$14)</f>
        <v>74039.9933512736</v>
      </c>
      <c r="G51" s="9" t="n">
        <f aca="false">E51*'Inputs &amp; Monthly CF'!$D$57/12</f>
        <v>60212.2142581394</v>
      </c>
      <c r="H51" s="9" t="n">
        <f aca="false">F51-G51</f>
        <v>13827.7790931342</v>
      </c>
      <c r="I51" s="9" t="n">
        <f aca="false">E51-H51</f>
        <v>11546917.3584696</v>
      </c>
    </row>
    <row r="52" customFormat="false" ht="15" hidden="false" customHeight="false" outlineLevel="0" collapsed="false">
      <c r="D52" s="0" t="n">
        <v>39</v>
      </c>
      <c r="E52" s="9" t="n">
        <f aca="false">I51</f>
        <v>11546917.3584696</v>
      </c>
      <c r="F52" s="9" t="n">
        <f aca="false">-PMT('Inputs &amp; Monthly CF'!$D$57/12,'Inputs &amp; Monthly CF'!$D$58*12,$E$14)</f>
        <v>74039.9933512736</v>
      </c>
      <c r="G52" s="9" t="n">
        <f aca="false">E52*'Inputs &amp; Monthly CF'!$D$57/12</f>
        <v>60140.1945753626</v>
      </c>
      <c r="H52" s="9" t="n">
        <f aca="false">F52-G52</f>
        <v>13899.7987759109</v>
      </c>
      <c r="I52" s="9" t="n">
        <f aca="false">E52-H52</f>
        <v>11533017.5596937</v>
      </c>
    </row>
    <row r="53" customFormat="false" ht="15" hidden="false" customHeight="false" outlineLevel="0" collapsed="false">
      <c r="D53" s="0" t="n">
        <v>40</v>
      </c>
      <c r="E53" s="9" t="n">
        <f aca="false">I52</f>
        <v>11533017.5596937</v>
      </c>
      <c r="F53" s="9" t="n">
        <f aca="false">-PMT('Inputs &amp; Monthly CF'!$D$57/12,'Inputs &amp; Monthly CF'!$D$58*12,$E$14)</f>
        <v>74039.9933512736</v>
      </c>
      <c r="G53" s="9" t="n">
        <f aca="false">E53*'Inputs &amp; Monthly CF'!$D$57/12</f>
        <v>60067.7997900714</v>
      </c>
      <c r="H53" s="9" t="n">
        <f aca="false">F53-G53</f>
        <v>13972.1935612021</v>
      </c>
      <c r="I53" s="9" t="n">
        <f aca="false">E53-H53</f>
        <v>11519045.3661325</v>
      </c>
    </row>
    <row r="54" customFormat="false" ht="15" hidden="false" customHeight="false" outlineLevel="0" collapsed="false">
      <c r="D54" s="0" t="n">
        <v>41</v>
      </c>
      <c r="E54" s="9" t="n">
        <f aca="false">I53</f>
        <v>11519045.3661325</v>
      </c>
      <c r="F54" s="9" t="n">
        <f aca="false">-PMT('Inputs &amp; Monthly CF'!$D$57/12,'Inputs &amp; Monthly CF'!$D$58*12,$E$14)</f>
        <v>74039.9933512736</v>
      </c>
      <c r="G54" s="9" t="n">
        <f aca="false">E54*'Inputs &amp; Monthly CF'!$D$57/12</f>
        <v>59995.0279486069</v>
      </c>
      <c r="H54" s="9" t="n">
        <f aca="false">F54-G54</f>
        <v>14044.9654026667</v>
      </c>
      <c r="I54" s="9" t="n">
        <f aca="false">E54-H54</f>
        <v>11505000.4007298</v>
      </c>
    </row>
    <row r="55" customFormat="false" ht="15" hidden="false" customHeight="false" outlineLevel="0" collapsed="false">
      <c r="D55" s="0" t="n">
        <v>42</v>
      </c>
      <c r="E55" s="9" t="n">
        <f aca="false">I54</f>
        <v>11505000.4007298</v>
      </c>
      <c r="F55" s="9" t="n">
        <f aca="false">-PMT('Inputs &amp; Monthly CF'!$D$57/12,'Inputs &amp; Monthly CF'!$D$58*12,$E$14)</f>
        <v>74039.9933512736</v>
      </c>
      <c r="G55" s="9" t="n">
        <f aca="false">E55*'Inputs &amp; Monthly CF'!$D$57/12</f>
        <v>59921.8770871346</v>
      </c>
      <c r="H55" s="9" t="n">
        <f aca="false">F55-G55</f>
        <v>14118.116264139</v>
      </c>
      <c r="I55" s="9" t="n">
        <f aca="false">E55-H55</f>
        <v>11490882.2844657</v>
      </c>
    </row>
    <row r="56" customFormat="false" ht="15" hidden="false" customHeight="false" outlineLevel="0" collapsed="false">
      <c r="D56" s="0" t="n">
        <v>43</v>
      </c>
      <c r="E56" s="9" t="n">
        <f aca="false">I55</f>
        <v>11490882.2844657</v>
      </c>
      <c r="F56" s="9" t="n">
        <f aca="false">-PMT('Inputs &amp; Monthly CF'!$D$57/12,'Inputs &amp; Monthly CF'!$D$58*12,$E$14)</f>
        <v>74039.9933512736</v>
      </c>
      <c r="G56" s="9" t="n">
        <f aca="false">E56*'Inputs &amp; Monthly CF'!$D$57/12</f>
        <v>59848.3452315922</v>
      </c>
      <c r="H56" s="9" t="n">
        <f aca="false">F56-G56</f>
        <v>14191.6481196813</v>
      </c>
      <c r="I56" s="9" t="n">
        <f aca="false">E56-H56</f>
        <v>11476690.636346</v>
      </c>
    </row>
    <row r="57" customFormat="false" ht="15" hidden="false" customHeight="false" outlineLevel="0" collapsed="false">
      <c r="D57" s="0" t="n">
        <v>44</v>
      </c>
      <c r="E57" s="9" t="n">
        <f aca="false">I56</f>
        <v>11476690.636346</v>
      </c>
      <c r="F57" s="9" t="n">
        <f aca="false">-PMT('Inputs &amp; Monthly CF'!$D$57/12,'Inputs &amp; Monthly CF'!$D$58*12,$E$14)</f>
        <v>74039.9933512736</v>
      </c>
      <c r="G57" s="9" t="n">
        <f aca="false">E57*'Inputs &amp; Monthly CF'!$D$57/12</f>
        <v>59774.4303976356</v>
      </c>
      <c r="H57" s="9" t="n">
        <f aca="false">F57-G57</f>
        <v>14265.562953638</v>
      </c>
      <c r="I57" s="9" t="n">
        <f aca="false">E57-H57</f>
        <v>11462425.0733924</v>
      </c>
    </row>
    <row r="58" customFormat="false" ht="15" hidden="false" customHeight="false" outlineLevel="0" collapsed="false">
      <c r="D58" s="0" t="n">
        <v>45</v>
      </c>
      <c r="E58" s="9" t="n">
        <f aca="false">I57</f>
        <v>11462425.0733924</v>
      </c>
      <c r="F58" s="9" t="n">
        <f aca="false">-PMT('Inputs &amp; Monthly CF'!$D$57/12,'Inputs &amp; Monthly CF'!$D$58*12,$E$14)</f>
        <v>74039.9933512736</v>
      </c>
      <c r="G58" s="9" t="n">
        <f aca="false">E58*'Inputs &amp; Monthly CF'!$D$57/12</f>
        <v>59700.1305905854</v>
      </c>
      <c r="H58" s="9" t="n">
        <f aca="false">F58-G58</f>
        <v>14339.8627606882</v>
      </c>
      <c r="I58" s="9" t="n">
        <f aca="false">E58-H58</f>
        <v>11448085.2106317</v>
      </c>
    </row>
    <row r="59" customFormat="false" ht="15" hidden="false" customHeight="false" outlineLevel="0" collapsed="false">
      <c r="D59" s="0" t="n">
        <v>46</v>
      </c>
      <c r="E59" s="9" t="n">
        <f aca="false">I58</f>
        <v>11448085.2106317</v>
      </c>
      <c r="F59" s="9" t="n">
        <f aca="false">-PMT('Inputs &amp; Monthly CF'!$D$57/12,'Inputs &amp; Monthly CF'!$D$58*12,$E$14)</f>
        <v>74039.9933512736</v>
      </c>
      <c r="G59" s="9" t="n">
        <f aca="false">E59*'Inputs &amp; Monthly CF'!$D$57/12</f>
        <v>59625.4438053735</v>
      </c>
      <c r="H59" s="9" t="n">
        <f aca="false">F59-G59</f>
        <v>14414.5495459001</v>
      </c>
      <c r="I59" s="9" t="n">
        <f aca="false">E59-H59</f>
        <v>11433670.6610858</v>
      </c>
    </row>
    <row r="60" customFormat="false" ht="15" hidden="false" customHeight="false" outlineLevel="0" collapsed="false">
      <c r="D60" s="0" t="n">
        <v>47</v>
      </c>
      <c r="E60" s="9" t="n">
        <f aca="false">I59</f>
        <v>11433670.6610858</v>
      </c>
      <c r="F60" s="9" t="n">
        <f aca="false">-PMT('Inputs &amp; Monthly CF'!$D$57/12,'Inputs &amp; Monthly CF'!$D$58*12,$E$14)</f>
        <v>74039.9933512736</v>
      </c>
      <c r="G60" s="9" t="n">
        <f aca="false">E60*'Inputs &amp; Monthly CF'!$D$57/12</f>
        <v>59550.3680264886</v>
      </c>
      <c r="H60" s="9" t="n">
        <f aca="false">F60-G60</f>
        <v>14489.625324785</v>
      </c>
      <c r="I60" s="9" t="n">
        <f aca="false">E60-H60</f>
        <v>11419181.035761</v>
      </c>
    </row>
    <row r="61" customFormat="false" ht="15" hidden="false" customHeight="false" outlineLevel="0" collapsed="false">
      <c r="D61" s="0" t="n">
        <v>48</v>
      </c>
      <c r="E61" s="9" t="n">
        <f aca="false">I60</f>
        <v>11419181.035761</v>
      </c>
      <c r="F61" s="9" t="n">
        <f aca="false">-PMT('Inputs &amp; Monthly CF'!$D$57/12,'Inputs &amp; Monthly CF'!$D$58*12,$E$14)</f>
        <v>74039.9933512736</v>
      </c>
      <c r="G61" s="9" t="n">
        <f aca="false">E61*'Inputs &amp; Monthly CF'!$D$57/12</f>
        <v>59474.901227922</v>
      </c>
      <c r="H61" s="9" t="n">
        <f aca="false">F61-G61</f>
        <v>14565.0921233516</v>
      </c>
      <c r="I61" s="9" t="n">
        <f aca="false">E61-H61</f>
        <v>11404615.9436377</v>
      </c>
    </row>
    <row r="62" customFormat="false" ht="15" hidden="false" customHeight="false" outlineLevel="0" collapsed="false">
      <c r="D62" s="0" t="n">
        <v>49</v>
      </c>
      <c r="E62" s="9" t="n">
        <f aca="false">I61</f>
        <v>11404615.9436377</v>
      </c>
      <c r="F62" s="9" t="n">
        <f aca="false">-PMT('Inputs &amp; Monthly CF'!$D$57/12,'Inputs &amp; Monthly CF'!$D$58*12,$E$14)</f>
        <v>74039.9933512736</v>
      </c>
      <c r="G62" s="9" t="n">
        <f aca="false">E62*'Inputs &amp; Monthly CF'!$D$57/12</f>
        <v>59399.0413731128</v>
      </c>
      <c r="H62" s="9" t="n">
        <f aca="false">F62-G62</f>
        <v>14640.9519781608</v>
      </c>
      <c r="I62" s="9" t="n">
        <f aca="false">E62-H62</f>
        <v>11389974.9916595</v>
      </c>
    </row>
    <row r="63" customFormat="false" ht="15" hidden="false" customHeight="false" outlineLevel="0" collapsed="false">
      <c r="D63" s="0" t="n">
        <v>50</v>
      </c>
      <c r="E63" s="9" t="n">
        <f aca="false">I62</f>
        <v>11389974.9916595</v>
      </c>
      <c r="F63" s="9" t="n">
        <f aca="false">-PMT('Inputs &amp; Monthly CF'!$D$57/12,'Inputs &amp; Monthly CF'!$D$58*12,$E$14)</f>
        <v>74039.9933512736</v>
      </c>
      <c r="G63" s="9" t="n">
        <f aca="false">E63*'Inputs &amp; Monthly CF'!$D$57/12</f>
        <v>59322.7864148933</v>
      </c>
      <c r="H63" s="9" t="n">
        <f aca="false">F63-G63</f>
        <v>14717.2069363803</v>
      </c>
      <c r="I63" s="9" t="n">
        <f aca="false">E63-H63</f>
        <v>11375257.7847231</v>
      </c>
    </row>
    <row r="64" customFormat="false" ht="15" hidden="false" customHeight="false" outlineLevel="0" collapsed="false">
      <c r="D64" s="0" t="n">
        <v>51</v>
      </c>
      <c r="E64" s="9" t="n">
        <f aca="false">I63</f>
        <v>11375257.7847231</v>
      </c>
      <c r="F64" s="9" t="n">
        <f aca="false">-PMT('Inputs &amp; Monthly CF'!$D$57/12,'Inputs &amp; Monthly CF'!$D$58*12,$E$14)</f>
        <v>74039.9933512736</v>
      </c>
      <c r="G64" s="9" t="n">
        <f aca="false">E64*'Inputs &amp; Monthly CF'!$D$57/12</f>
        <v>59246.1342954329</v>
      </c>
      <c r="H64" s="9" t="n">
        <f aca="false">F64-G64</f>
        <v>14793.8590558407</v>
      </c>
      <c r="I64" s="9" t="n">
        <f aca="false">E64-H64</f>
        <v>11360463.9256673</v>
      </c>
    </row>
    <row r="65" customFormat="false" ht="15" hidden="false" customHeight="false" outlineLevel="0" collapsed="false">
      <c r="D65" s="0" t="n">
        <v>52</v>
      </c>
      <c r="E65" s="9" t="n">
        <f aca="false">I64</f>
        <v>11360463.9256673</v>
      </c>
      <c r="F65" s="9" t="n">
        <f aca="false">-PMT('Inputs &amp; Monthly CF'!$D$57/12,'Inputs &amp; Monthly CF'!$D$58*12,$E$14)</f>
        <v>74039.9933512736</v>
      </c>
      <c r="G65" s="9" t="n">
        <f aca="false">E65*'Inputs &amp; Monthly CF'!$D$57/12</f>
        <v>59169.0829461838</v>
      </c>
      <c r="H65" s="9" t="n">
        <f aca="false">F65-G65</f>
        <v>14870.9104050898</v>
      </c>
      <c r="I65" s="9" t="n">
        <f aca="false">E65-H65</f>
        <v>11345593.0152622</v>
      </c>
    </row>
    <row r="66" customFormat="false" ht="15" hidden="false" customHeight="false" outlineLevel="0" collapsed="false">
      <c r="D66" s="0" t="n">
        <v>53</v>
      </c>
      <c r="E66" s="9" t="n">
        <f aca="false">I65</f>
        <v>11345593.0152622</v>
      </c>
      <c r="F66" s="9" t="n">
        <f aca="false">-PMT('Inputs &amp; Monthly CF'!$D$57/12,'Inputs &amp; Monthly CF'!$D$58*12,$E$14)</f>
        <v>74039.9933512736</v>
      </c>
      <c r="G66" s="9" t="n">
        <f aca="false">E66*'Inputs &amp; Monthly CF'!$D$57/12</f>
        <v>59091.6302878239</v>
      </c>
      <c r="H66" s="9" t="n">
        <f aca="false">F66-G66</f>
        <v>14948.3630634497</v>
      </c>
      <c r="I66" s="9" t="n">
        <f aca="false">E66-H66</f>
        <v>11330644.6521987</v>
      </c>
    </row>
    <row r="67" customFormat="false" ht="15" hidden="false" customHeight="false" outlineLevel="0" collapsed="false">
      <c r="D67" s="0" t="n">
        <v>54</v>
      </c>
      <c r="E67" s="9" t="n">
        <f aca="false">I66</f>
        <v>11330644.6521987</v>
      </c>
      <c r="F67" s="9" t="n">
        <f aca="false">-PMT('Inputs &amp; Monthly CF'!$D$57/12,'Inputs &amp; Monthly CF'!$D$58*12,$E$14)</f>
        <v>74039.9933512736</v>
      </c>
      <c r="G67" s="9" t="n">
        <f aca="false">E67*'Inputs &amp; Monthly CF'!$D$57/12</f>
        <v>59013.7742302018</v>
      </c>
      <c r="H67" s="9" t="n">
        <f aca="false">F67-G67</f>
        <v>15026.2191210718</v>
      </c>
      <c r="I67" s="9" t="n">
        <f aca="false">E67-H67</f>
        <v>11315618.4330777</v>
      </c>
    </row>
    <row r="68" customFormat="false" ht="15" hidden="false" customHeight="false" outlineLevel="0" collapsed="false">
      <c r="D68" s="0" t="n">
        <v>55</v>
      </c>
      <c r="E68" s="9" t="n">
        <f aca="false">I67</f>
        <v>11315618.4330777</v>
      </c>
      <c r="F68" s="9" t="n">
        <f aca="false">-PMT('Inputs &amp; Monthly CF'!$D$57/12,'Inputs &amp; Monthly CF'!$D$58*12,$E$14)</f>
        <v>74039.9933512736</v>
      </c>
      <c r="G68" s="9" t="n">
        <f aca="false">E68*'Inputs &amp; Monthly CF'!$D$57/12</f>
        <v>58935.5126722795</v>
      </c>
      <c r="H68" s="9" t="n">
        <f aca="false">F68-G68</f>
        <v>15104.4806789941</v>
      </c>
      <c r="I68" s="9" t="n">
        <f aca="false">E68-H68</f>
        <v>11300513.9523987</v>
      </c>
    </row>
    <row r="69" customFormat="false" ht="15" hidden="false" customHeight="false" outlineLevel="0" collapsed="false">
      <c r="D69" s="0" t="n">
        <v>56</v>
      </c>
      <c r="E69" s="9" t="n">
        <f aca="false">I68</f>
        <v>11300513.9523987</v>
      </c>
      <c r="F69" s="9" t="n">
        <f aca="false">-PMT('Inputs &amp; Monthly CF'!$D$57/12,'Inputs &amp; Monthly CF'!$D$58*12,$E$14)</f>
        <v>74039.9933512736</v>
      </c>
      <c r="G69" s="9" t="n">
        <f aca="false">E69*'Inputs &amp; Monthly CF'!$D$57/12</f>
        <v>58856.8435020764</v>
      </c>
      <c r="H69" s="9" t="n">
        <f aca="false">F69-G69</f>
        <v>15183.1498491972</v>
      </c>
      <c r="I69" s="9" t="n">
        <f aca="false">E69-H69</f>
        <v>11285330.8025495</v>
      </c>
    </row>
    <row r="70" customFormat="false" ht="15" hidden="false" customHeight="false" outlineLevel="0" collapsed="false">
      <c r="D70" s="0" t="n">
        <v>57</v>
      </c>
      <c r="E70" s="9" t="n">
        <f aca="false">I69</f>
        <v>11285330.8025495</v>
      </c>
      <c r="F70" s="9" t="n">
        <f aca="false">-PMT('Inputs &amp; Monthly CF'!$D$57/12,'Inputs &amp; Monthly CF'!$D$58*12,$E$14)</f>
        <v>74039.9933512736</v>
      </c>
      <c r="G70" s="9" t="n">
        <f aca="false">E70*'Inputs &amp; Monthly CF'!$D$57/12</f>
        <v>58777.7645966119</v>
      </c>
      <c r="H70" s="9" t="n">
        <f aca="false">F70-G70</f>
        <v>15262.2287546617</v>
      </c>
      <c r="I70" s="9" t="n">
        <f aca="false">E70-H70</f>
        <v>11270068.5737948</v>
      </c>
    </row>
    <row r="71" customFormat="false" ht="15" hidden="false" customHeight="false" outlineLevel="0" collapsed="false">
      <c r="D71" s="0" t="n">
        <v>58</v>
      </c>
      <c r="E71" s="9" t="n">
        <f aca="false">I70</f>
        <v>11270068.5737948</v>
      </c>
      <c r="F71" s="9" t="n">
        <f aca="false">-PMT('Inputs &amp; Monthly CF'!$D$57/12,'Inputs &amp; Monthly CF'!$D$58*12,$E$14)</f>
        <v>74039.9933512736</v>
      </c>
      <c r="G71" s="9" t="n">
        <f aca="false">E71*'Inputs &amp; Monthly CF'!$D$57/12</f>
        <v>58698.273821848</v>
      </c>
      <c r="H71" s="9" t="n">
        <f aca="false">F71-G71</f>
        <v>15341.7195294256</v>
      </c>
      <c r="I71" s="9" t="n">
        <f aca="false">E71-H71</f>
        <v>11254726.8542654</v>
      </c>
    </row>
    <row r="72" customFormat="false" ht="15" hidden="false" customHeight="false" outlineLevel="0" collapsed="false">
      <c r="D72" s="0" t="n">
        <v>59</v>
      </c>
      <c r="E72" s="9" t="n">
        <f aca="false">I71</f>
        <v>11254726.8542654</v>
      </c>
      <c r="F72" s="9" t="n">
        <f aca="false">-PMT('Inputs &amp; Monthly CF'!$D$57/12,'Inputs &amp; Monthly CF'!$D$58*12,$E$14)</f>
        <v>74039.9933512736</v>
      </c>
      <c r="G72" s="9" t="n">
        <f aca="false">E72*'Inputs &amp; Monthly CF'!$D$57/12</f>
        <v>58618.3690326323</v>
      </c>
      <c r="H72" s="9" t="n">
        <f aca="false">F72-G72</f>
        <v>15421.6243186413</v>
      </c>
      <c r="I72" s="9" t="n">
        <f aca="false">E72-H72</f>
        <v>11239305.2299468</v>
      </c>
    </row>
    <row r="73" customFormat="false" ht="15" hidden="false" customHeight="false" outlineLevel="0" collapsed="false">
      <c r="D73" s="0" t="n">
        <v>60</v>
      </c>
      <c r="E73" s="9" t="n">
        <f aca="false">I72</f>
        <v>11239305.2299468</v>
      </c>
      <c r="F73" s="9" t="n">
        <f aca="false">-PMT('Inputs &amp; Monthly CF'!$D$57/12,'Inputs &amp; Monthly CF'!$D$58*12,$E$14)</f>
        <v>74039.9933512736</v>
      </c>
      <c r="G73" s="9" t="n">
        <f aca="false">E73*'Inputs &amp; Monthly CF'!$D$57/12</f>
        <v>58538.0480726393</v>
      </c>
      <c r="H73" s="9" t="n">
        <f aca="false">F73-G73</f>
        <v>15501.9452786343</v>
      </c>
      <c r="I73" s="9" t="n">
        <f aca="false">E73-H73</f>
        <v>11223803.2846681</v>
      </c>
    </row>
    <row r="74" customFormat="false" ht="15" hidden="false" customHeight="false" outlineLevel="0" collapsed="false">
      <c r="D74" s="0" t="n">
        <v>61</v>
      </c>
      <c r="E74" s="9" t="n">
        <f aca="false">I73</f>
        <v>11223803.2846681</v>
      </c>
      <c r="F74" s="9" t="n">
        <f aca="false">-PMT('Inputs &amp; Monthly CF'!$D$57/12,'Inputs &amp; Monthly CF'!$D$58*12,$E$14)</f>
        <v>74039.9933512736</v>
      </c>
      <c r="G74" s="9" t="n">
        <f aca="false">E74*'Inputs &amp; Monthly CF'!$D$57/12</f>
        <v>58457.3087743131</v>
      </c>
      <c r="H74" s="9" t="n">
        <f aca="false">F74-G74</f>
        <v>15582.6845769605</v>
      </c>
      <c r="I74" s="9" t="n">
        <f aca="false">E74-H74</f>
        <v>11208220.6000912</v>
      </c>
    </row>
    <row r="75" customFormat="false" ht="15" hidden="false" customHeight="false" outlineLevel="0" collapsed="false">
      <c r="D75" s="0" t="n">
        <v>62</v>
      </c>
      <c r="E75" s="9" t="n">
        <f aca="false">I74</f>
        <v>11208220.6000912</v>
      </c>
      <c r="F75" s="9" t="n">
        <f aca="false">-PMT('Inputs &amp; Monthly CF'!$D$57/12,'Inputs &amp; Monthly CF'!$D$58*12,$E$14)</f>
        <v>74039.9933512736</v>
      </c>
      <c r="G75" s="9" t="n">
        <f aca="false">E75*'Inputs &amp; Monthly CF'!$D$57/12</f>
        <v>58376.1489588081</v>
      </c>
      <c r="H75" s="9" t="n">
        <f aca="false">F75-G75</f>
        <v>15663.8443924655</v>
      </c>
      <c r="I75" s="9" t="n">
        <f aca="false">E75-H75</f>
        <v>11192556.7556987</v>
      </c>
    </row>
    <row r="76" customFormat="false" ht="15" hidden="false" customHeight="false" outlineLevel="0" collapsed="false">
      <c r="D76" s="0" t="n">
        <v>63</v>
      </c>
      <c r="E76" s="9" t="n">
        <f aca="false">I75</f>
        <v>11192556.7556987</v>
      </c>
      <c r="F76" s="9" t="n">
        <f aca="false">-PMT('Inputs &amp; Monthly CF'!$D$57/12,'Inputs &amp; Monthly CF'!$D$58*12,$E$14)</f>
        <v>74039.9933512736</v>
      </c>
      <c r="G76" s="9" t="n">
        <f aca="false">E76*'Inputs &amp; Monthly CF'!$D$57/12</f>
        <v>58294.5664359307</v>
      </c>
      <c r="H76" s="9" t="n">
        <f aca="false">F76-G76</f>
        <v>15745.4269153429</v>
      </c>
      <c r="I76" s="9" t="n">
        <f aca="false">E76-H76</f>
        <v>11176811.3287834</v>
      </c>
    </row>
    <row r="77" customFormat="false" ht="15" hidden="false" customHeight="false" outlineLevel="0" collapsed="false">
      <c r="D77" s="0" t="n">
        <v>64</v>
      </c>
      <c r="E77" s="9" t="n">
        <f aca="false">I76</f>
        <v>11176811.3287834</v>
      </c>
      <c r="F77" s="9" t="n">
        <f aca="false">-PMT('Inputs &amp; Monthly CF'!$D$57/12,'Inputs &amp; Monthly CF'!$D$58*12,$E$14)</f>
        <v>74039.9933512736</v>
      </c>
      <c r="G77" s="9" t="n">
        <f aca="false">E77*'Inputs &amp; Monthly CF'!$D$57/12</f>
        <v>58212.55900408</v>
      </c>
      <c r="H77" s="9" t="n">
        <f aca="false">F77-G77</f>
        <v>15827.4343471936</v>
      </c>
      <c r="I77" s="9" t="n">
        <f aca="false">E77-H77</f>
        <v>11160983.8944362</v>
      </c>
    </row>
    <row r="78" customFormat="false" ht="15" hidden="false" customHeight="false" outlineLevel="0" collapsed="false">
      <c r="D78" s="0" t="n">
        <v>65</v>
      </c>
      <c r="E78" s="9" t="n">
        <f aca="false">I77</f>
        <v>11160983.8944362</v>
      </c>
      <c r="F78" s="9" t="n">
        <f aca="false">-PMT('Inputs &amp; Monthly CF'!$D$57/12,'Inputs &amp; Monthly CF'!$D$58*12,$E$14)</f>
        <v>74039.9933512736</v>
      </c>
      <c r="G78" s="9" t="n">
        <f aca="false">E78*'Inputs &amp; Monthly CF'!$D$57/12</f>
        <v>58130.1244501883</v>
      </c>
      <c r="H78" s="9" t="n">
        <f aca="false">F78-G78</f>
        <v>15909.8689010853</v>
      </c>
      <c r="I78" s="9" t="n">
        <f aca="false">E78-H78</f>
        <v>11145074.0255351</v>
      </c>
    </row>
    <row r="79" customFormat="false" ht="15" hidden="false" customHeight="false" outlineLevel="0" collapsed="false">
      <c r="D79" s="0" t="n">
        <v>66</v>
      </c>
      <c r="E79" s="9" t="n">
        <f aca="false">I78</f>
        <v>11145074.0255351</v>
      </c>
      <c r="F79" s="9" t="n">
        <f aca="false">-PMT('Inputs &amp; Monthly CF'!$D$57/12,'Inputs &amp; Monthly CF'!$D$58*12,$E$14)</f>
        <v>74039.9933512736</v>
      </c>
      <c r="G79" s="9" t="n">
        <f aca="false">E79*'Inputs &amp; Monthly CF'!$D$57/12</f>
        <v>58047.2605496618</v>
      </c>
      <c r="H79" s="9" t="n">
        <f aca="false">F79-G79</f>
        <v>15992.7328016118</v>
      </c>
      <c r="I79" s="9" t="n">
        <f aca="false">E79-H79</f>
        <v>11129081.2927335</v>
      </c>
    </row>
    <row r="80" customFormat="false" ht="15" hidden="false" customHeight="false" outlineLevel="0" collapsed="false">
      <c r="D80" s="0" t="n">
        <v>67</v>
      </c>
      <c r="E80" s="9" t="n">
        <f aca="false">I79</f>
        <v>11129081.2927335</v>
      </c>
      <c r="F80" s="9" t="n">
        <f aca="false">-PMT('Inputs &amp; Monthly CF'!$D$57/12,'Inputs &amp; Monthly CF'!$D$58*12,$E$14)</f>
        <v>74039.9933512736</v>
      </c>
      <c r="G80" s="9" t="n">
        <f aca="false">E80*'Inputs &amp; Monthly CF'!$D$57/12</f>
        <v>57963.9650663201</v>
      </c>
      <c r="H80" s="9" t="n">
        <f aca="false">F80-G80</f>
        <v>16076.0282849535</v>
      </c>
      <c r="I80" s="9" t="n">
        <f aca="false">E80-H80</f>
        <v>11113005.2644485</v>
      </c>
    </row>
    <row r="81" customFormat="false" ht="15" hidden="false" customHeight="false" outlineLevel="0" collapsed="false">
      <c r="D81" s="0" t="n">
        <v>68</v>
      </c>
      <c r="E81" s="9" t="n">
        <f aca="false">I80</f>
        <v>11113005.2644485</v>
      </c>
      <c r="F81" s="9" t="n">
        <f aca="false">-PMT('Inputs &amp; Monthly CF'!$D$57/12,'Inputs &amp; Monthly CF'!$D$58*12,$E$14)</f>
        <v>74039.9933512736</v>
      </c>
      <c r="G81" s="9" t="n">
        <f aca="false">E81*'Inputs &amp; Monthly CF'!$D$57/12</f>
        <v>57880.235752336</v>
      </c>
      <c r="H81" s="9" t="n">
        <f aca="false">F81-G81</f>
        <v>16159.7575989376</v>
      </c>
      <c r="I81" s="9" t="n">
        <f aca="false">E81-H81</f>
        <v>11096845.5068496</v>
      </c>
    </row>
    <row r="82" customFormat="false" ht="15" hidden="false" customHeight="false" outlineLevel="0" collapsed="false">
      <c r="D82" s="0" t="n">
        <v>69</v>
      </c>
      <c r="E82" s="9" t="n">
        <f aca="false">I81</f>
        <v>11096845.5068496</v>
      </c>
      <c r="F82" s="9" t="n">
        <f aca="false">-PMT('Inputs &amp; Monthly CF'!$D$57/12,'Inputs &amp; Monthly CF'!$D$58*12,$E$14)</f>
        <v>74039.9933512736</v>
      </c>
      <c r="G82" s="9" t="n">
        <f aca="false">E82*'Inputs &amp; Monthly CF'!$D$57/12</f>
        <v>57796.0703481748</v>
      </c>
      <c r="H82" s="9" t="n">
        <f aca="false">F82-G82</f>
        <v>16243.9230030988</v>
      </c>
      <c r="I82" s="9" t="n">
        <f aca="false">E82-H82</f>
        <v>11080601.5838465</v>
      </c>
    </row>
    <row r="83" customFormat="false" ht="15" hidden="false" customHeight="false" outlineLevel="0" collapsed="false">
      <c r="D83" s="0" t="n">
        <v>70</v>
      </c>
      <c r="E83" s="9" t="n">
        <f aca="false">I82</f>
        <v>11080601.5838465</v>
      </c>
      <c r="F83" s="9" t="n">
        <f aca="false">-PMT('Inputs &amp; Monthly CF'!$D$57/12,'Inputs &amp; Monthly CF'!$D$58*12,$E$14)</f>
        <v>74039.9933512736</v>
      </c>
      <c r="G83" s="9" t="n">
        <f aca="false">E83*'Inputs &amp; Monthly CF'!$D$57/12</f>
        <v>57711.4665825337</v>
      </c>
      <c r="H83" s="9" t="n">
        <f aca="false">F83-G83</f>
        <v>16328.5267687399</v>
      </c>
      <c r="I83" s="9" t="n">
        <f aca="false">E83-H83</f>
        <v>11064273.0570777</v>
      </c>
    </row>
    <row r="84" customFormat="false" ht="15" hidden="false" customHeight="false" outlineLevel="0" collapsed="false">
      <c r="D84" s="0" t="n">
        <v>71</v>
      </c>
      <c r="E84" s="9" t="n">
        <f aca="false">I83</f>
        <v>11064273.0570777</v>
      </c>
      <c r="F84" s="9" t="n">
        <f aca="false">-PMT('Inputs &amp; Monthly CF'!$D$57/12,'Inputs &amp; Monthly CF'!$D$58*12,$E$14)</f>
        <v>74039.9933512736</v>
      </c>
      <c r="G84" s="9" t="n">
        <f aca="false">E84*'Inputs &amp; Monthly CF'!$D$57/12</f>
        <v>57626.4221722798</v>
      </c>
      <c r="H84" s="9" t="n">
        <f aca="false">F84-G84</f>
        <v>16413.5711789938</v>
      </c>
      <c r="I84" s="9" t="n">
        <f aca="false">E84-H84</f>
        <v>11047859.4858987</v>
      </c>
    </row>
    <row r="85" customFormat="false" ht="15" hidden="false" customHeight="false" outlineLevel="0" collapsed="false">
      <c r="D85" s="0" t="n">
        <v>72</v>
      </c>
      <c r="E85" s="9" t="n">
        <f aca="false">I84</f>
        <v>11047859.4858987</v>
      </c>
      <c r="F85" s="9" t="n">
        <f aca="false">-PMT('Inputs &amp; Monthly CF'!$D$57/12,'Inputs &amp; Monthly CF'!$D$58*12,$E$14)</f>
        <v>74039.9933512736</v>
      </c>
      <c r="G85" s="9" t="n">
        <f aca="false">E85*'Inputs &amp; Monthly CF'!$D$57/12</f>
        <v>57540.9348223892</v>
      </c>
      <c r="H85" s="9" t="n">
        <f aca="false">F85-G85</f>
        <v>16499.0585288843</v>
      </c>
      <c r="I85" s="9" t="n">
        <f aca="false">E85-H85</f>
        <v>11031360.4273699</v>
      </c>
    </row>
    <row r="86" customFormat="false" ht="15" hidden="false" customHeight="false" outlineLevel="0" collapsed="false">
      <c r="D86" s="0" t="n">
        <v>73</v>
      </c>
      <c r="E86" s="9" t="n">
        <f aca="false">I85</f>
        <v>11031360.4273699</v>
      </c>
      <c r="F86" s="9" t="n">
        <f aca="false">-PMT('Inputs &amp; Monthly CF'!$D$57/12,'Inputs &amp; Monthly CF'!$D$58*12,$E$14)</f>
        <v>74039.9933512736</v>
      </c>
      <c r="G86" s="9" t="n">
        <f aca="false">E86*'Inputs &amp; Monthly CF'!$D$57/12</f>
        <v>57455.0022258846</v>
      </c>
      <c r="H86" s="9" t="n">
        <f aca="false">F86-G86</f>
        <v>16584.991125389</v>
      </c>
      <c r="I86" s="9" t="n">
        <f aca="false">E86-H86</f>
        <v>11014775.4362445</v>
      </c>
    </row>
    <row r="87" customFormat="false" ht="15" hidden="false" customHeight="false" outlineLevel="0" collapsed="false">
      <c r="D87" s="0" t="n">
        <v>74</v>
      </c>
      <c r="E87" s="9" t="n">
        <f aca="false">I86</f>
        <v>11014775.4362445</v>
      </c>
      <c r="F87" s="9" t="n">
        <f aca="false">-PMT('Inputs &amp; Monthly CF'!$D$57/12,'Inputs &amp; Monthly CF'!$D$58*12,$E$14)</f>
        <v>74039.9933512736</v>
      </c>
      <c r="G87" s="9" t="n">
        <f aca="false">E87*'Inputs &amp; Monthly CF'!$D$57/12</f>
        <v>57368.6220637732</v>
      </c>
      <c r="H87" s="9" t="n">
        <f aca="false">F87-G87</f>
        <v>16671.3712875003</v>
      </c>
      <c r="I87" s="9" t="n">
        <f aca="false">E87-H87</f>
        <v>10998104.064957</v>
      </c>
    </row>
    <row r="88" customFormat="false" ht="15" hidden="false" customHeight="false" outlineLevel="0" collapsed="false">
      <c r="D88" s="0" t="n">
        <v>75</v>
      </c>
      <c r="E88" s="9" t="n">
        <f aca="false">I87</f>
        <v>10998104.064957</v>
      </c>
      <c r="F88" s="9" t="n">
        <f aca="false">-PMT('Inputs &amp; Monthly CF'!$D$57/12,'Inputs &amp; Monthly CF'!$D$58*12,$E$14)</f>
        <v>74039.9933512736</v>
      </c>
      <c r="G88" s="9" t="n">
        <f aca="false">E88*'Inputs &amp; Monthly CF'!$D$57/12</f>
        <v>57281.7920049842</v>
      </c>
      <c r="H88" s="9" t="n">
        <f aca="false">F88-G88</f>
        <v>16758.2013462894</v>
      </c>
      <c r="I88" s="9" t="n">
        <f aca="false">E88-H88</f>
        <v>10981345.8636107</v>
      </c>
    </row>
    <row r="89" customFormat="false" ht="15" hidden="false" customHeight="false" outlineLevel="0" collapsed="false">
      <c r="D89" s="0" t="n">
        <v>76</v>
      </c>
      <c r="E89" s="9" t="n">
        <f aca="false">I88</f>
        <v>10981345.8636107</v>
      </c>
      <c r="F89" s="9" t="n">
        <f aca="false">-PMT('Inputs &amp; Monthly CF'!$D$57/12,'Inputs &amp; Monthly CF'!$D$58*12,$E$14)</f>
        <v>74039.9933512736</v>
      </c>
      <c r="G89" s="9" t="n">
        <f aca="false">E89*'Inputs &amp; Monthly CF'!$D$57/12</f>
        <v>57194.5097063056</v>
      </c>
      <c r="H89" s="9" t="n">
        <f aca="false">F89-G89</f>
        <v>16845.483644968</v>
      </c>
      <c r="I89" s="9" t="n">
        <f aca="false">E89-H89</f>
        <v>10964500.3799657</v>
      </c>
    </row>
    <row r="90" customFormat="false" ht="15" hidden="false" customHeight="false" outlineLevel="0" collapsed="false">
      <c r="D90" s="0" t="n">
        <v>77</v>
      </c>
      <c r="E90" s="9" t="n">
        <f aca="false">I89</f>
        <v>10964500.3799657</v>
      </c>
      <c r="F90" s="9" t="n">
        <f aca="false">-PMT('Inputs &amp; Monthly CF'!$D$57/12,'Inputs &amp; Monthly CF'!$D$58*12,$E$14)</f>
        <v>74039.9933512736</v>
      </c>
      <c r="G90" s="9" t="n">
        <f aca="false">E90*'Inputs &amp; Monthly CF'!$D$57/12</f>
        <v>57106.7728123214</v>
      </c>
      <c r="H90" s="9" t="n">
        <f aca="false">F90-G90</f>
        <v>16933.2205389522</v>
      </c>
      <c r="I90" s="9" t="n">
        <f aca="false">E90-H90</f>
        <v>10947567.1594268</v>
      </c>
    </row>
    <row r="91" customFormat="false" ht="15" hidden="false" customHeight="false" outlineLevel="0" collapsed="false">
      <c r="D91" s="0" t="n">
        <v>78</v>
      </c>
      <c r="E91" s="9" t="n">
        <f aca="false">I90</f>
        <v>10947567.1594268</v>
      </c>
      <c r="F91" s="9" t="n">
        <f aca="false">-PMT('Inputs &amp; Monthly CF'!$D$57/12,'Inputs &amp; Monthly CF'!$D$58*12,$E$14)</f>
        <v>74039.9933512736</v>
      </c>
      <c r="G91" s="9" t="n">
        <f aca="false">E91*'Inputs &amp; Monthly CF'!$D$57/12</f>
        <v>57018.5789553477</v>
      </c>
      <c r="H91" s="9" t="n">
        <f aca="false">F91-G91</f>
        <v>17021.4143959259</v>
      </c>
      <c r="I91" s="9" t="n">
        <f aca="false">E91-H91</f>
        <v>10930545.7450308</v>
      </c>
    </row>
    <row r="92" customFormat="false" ht="15" hidden="false" customHeight="false" outlineLevel="0" collapsed="false">
      <c r="D92" s="0" t="n">
        <v>79</v>
      </c>
      <c r="E92" s="9" t="n">
        <f aca="false">I91</f>
        <v>10930545.7450308</v>
      </c>
      <c r="F92" s="9" t="n">
        <f aca="false">-PMT('Inputs &amp; Monthly CF'!$D$57/12,'Inputs &amp; Monthly CF'!$D$58*12,$E$14)</f>
        <v>74039.9933512736</v>
      </c>
      <c r="G92" s="9" t="n">
        <f aca="false">E92*'Inputs &amp; Monthly CF'!$D$57/12</f>
        <v>56929.9257553689</v>
      </c>
      <c r="H92" s="9" t="n">
        <f aca="false">F92-G92</f>
        <v>17110.0675959047</v>
      </c>
      <c r="I92" s="9" t="n">
        <f aca="false">E92-H92</f>
        <v>10913435.6774349</v>
      </c>
    </row>
    <row r="93" customFormat="false" ht="15" hidden="false" customHeight="false" outlineLevel="0" collapsed="false">
      <c r="D93" s="0" t="n">
        <v>80</v>
      </c>
      <c r="E93" s="9" t="n">
        <f aca="false">I92</f>
        <v>10913435.6774349</v>
      </c>
      <c r="F93" s="9" t="n">
        <f aca="false">-PMT('Inputs &amp; Monthly CF'!$D$57/12,'Inputs &amp; Monthly CF'!$D$58*12,$E$14)</f>
        <v>74039.9933512736</v>
      </c>
      <c r="G93" s="9" t="n">
        <f aca="false">E93*'Inputs &amp; Monthly CF'!$D$57/12</f>
        <v>56840.8108199736</v>
      </c>
      <c r="H93" s="9" t="n">
        <f aca="false">F93-G93</f>
        <v>17199.1825313</v>
      </c>
      <c r="I93" s="9" t="n">
        <f aca="false">E93-H93</f>
        <v>10896236.4949036</v>
      </c>
    </row>
    <row r="94" customFormat="false" ht="15" hidden="false" customHeight="false" outlineLevel="0" collapsed="false">
      <c r="D94" s="0" t="n">
        <v>81</v>
      </c>
      <c r="E94" s="9" t="n">
        <f aca="false">I93</f>
        <v>10896236.4949036</v>
      </c>
      <c r="F94" s="9" t="n">
        <f aca="false">-PMT('Inputs &amp; Monthly CF'!$D$57/12,'Inputs &amp; Monthly CF'!$D$58*12,$E$14)</f>
        <v>74039.9933512736</v>
      </c>
      <c r="G94" s="9" t="n">
        <f aca="false">E94*'Inputs &amp; Monthly CF'!$D$57/12</f>
        <v>56751.2317442897</v>
      </c>
      <c r="H94" s="9" t="n">
        <f aca="false">F94-G94</f>
        <v>17288.7616069839</v>
      </c>
      <c r="I94" s="9" t="n">
        <f aca="false">E94-H94</f>
        <v>10878947.7332966</v>
      </c>
    </row>
    <row r="95" customFormat="false" ht="15" hidden="false" customHeight="false" outlineLevel="0" collapsed="false">
      <c r="D95" s="0" t="n">
        <v>82</v>
      </c>
      <c r="E95" s="9" t="n">
        <f aca="false">I94</f>
        <v>10878947.7332966</v>
      </c>
      <c r="F95" s="9" t="n">
        <f aca="false">-PMT('Inputs &amp; Monthly CF'!$D$57/12,'Inputs &amp; Monthly CF'!$D$58*12,$E$14)</f>
        <v>74039.9933512736</v>
      </c>
      <c r="G95" s="9" t="n">
        <f aca="false">E95*'Inputs &amp; Monthly CF'!$D$57/12</f>
        <v>56661.18611092</v>
      </c>
      <c r="H95" s="9" t="n">
        <f aca="false">F95-G95</f>
        <v>17378.8072403536</v>
      </c>
      <c r="I95" s="9" t="n">
        <f aca="false">E95-H95</f>
        <v>10861568.9260563</v>
      </c>
    </row>
    <row r="96" customFormat="false" ht="15" hidden="false" customHeight="false" outlineLevel="0" collapsed="false">
      <c r="D96" s="0" t="n">
        <v>83</v>
      </c>
      <c r="E96" s="9" t="n">
        <f aca="false">I95</f>
        <v>10861568.9260563</v>
      </c>
      <c r="F96" s="9" t="n">
        <f aca="false">-PMT('Inputs &amp; Monthly CF'!$D$57/12,'Inputs &amp; Monthly CF'!$D$58*12,$E$14)</f>
        <v>74039.9933512736</v>
      </c>
      <c r="G96" s="9" t="n">
        <f aca="false">E96*'Inputs &amp; Monthly CF'!$D$57/12</f>
        <v>56570.6714898765</v>
      </c>
      <c r="H96" s="9" t="n">
        <f aca="false">F96-G96</f>
        <v>17469.3218613971</v>
      </c>
      <c r="I96" s="9" t="n">
        <f aca="false">E96-H96</f>
        <v>10844099.6041949</v>
      </c>
    </row>
    <row r="97" customFormat="false" ht="15" hidden="false" customHeight="false" outlineLevel="0" collapsed="false">
      <c r="D97" s="0" t="n">
        <v>84</v>
      </c>
      <c r="E97" s="9" t="n">
        <f aca="false">I96</f>
        <v>10844099.6041949</v>
      </c>
      <c r="F97" s="9" t="n">
        <f aca="false">-PMT('Inputs &amp; Monthly CF'!$D$57/12,'Inputs &amp; Monthly CF'!$D$58*12,$E$14)</f>
        <v>74039.9933512736</v>
      </c>
      <c r="G97" s="9" t="n">
        <f aca="false">E97*'Inputs &amp; Monthly CF'!$D$57/12</f>
        <v>56479.685438515</v>
      </c>
      <c r="H97" s="9" t="n">
        <f aca="false">F97-G97</f>
        <v>17560.3079127586</v>
      </c>
      <c r="I97" s="9" t="n">
        <f aca="false">E97-H97</f>
        <v>10826539.2962821</v>
      </c>
    </row>
    <row r="98" customFormat="false" ht="15" hidden="false" customHeight="false" outlineLevel="0" collapsed="false">
      <c r="D98" s="0" t="n">
        <v>85</v>
      </c>
      <c r="E98" s="9" t="n">
        <f aca="false">I97</f>
        <v>10826539.2962821</v>
      </c>
      <c r="F98" s="9" t="n">
        <f aca="false">-PMT('Inputs &amp; Monthly CF'!$D$57/12,'Inputs &amp; Monthly CF'!$D$58*12,$E$14)</f>
        <v>74039.9933512736</v>
      </c>
      <c r="G98" s="9" t="n">
        <f aca="false">E98*'Inputs &amp; Monthly CF'!$D$57/12</f>
        <v>56388.2255014694</v>
      </c>
      <c r="H98" s="9" t="n">
        <f aca="false">F98-G98</f>
        <v>17651.7678498042</v>
      </c>
      <c r="I98" s="9" t="n">
        <f aca="false">E98-H98</f>
        <v>10808887.5284323</v>
      </c>
    </row>
    <row r="99" customFormat="false" ht="15" hidden="false" customHeight="false" outlineLevel="0" collapsed="false">
      <c r="D99" s="0" t="n">
        <v>86</v>
      </c>
      <c r="E99" s="9" t="n">
        <f aca="false">I98</f>
        <v>10808887.5284323</v>
      </c>
      <c r="F99" s="9" t="n">
        <f aca="false">-PMT('Inputs &amp; Monthly CF'!$D$57/12,'Inputs &amp; Monthly CF'!$D$58*12,$E$14)</f>
        <v>74039.9933512736</v>
      </c>
      <c r="G99" s="9" t="n">
        <f aca="false">E99*'Inputs &amp; Monthly CF'!$D$57/12</f>
        <v>56296.289210585</v>
      </c>
      <c r="H99" s="9" t="n">
        <f aca="false">F99-G99</f>
        <v>17743.7041406886</v>
      </c>
      <c r="I99" s="9" t="n">
        <f aca="false">E99-H99</f>
        <v>10791143.8242916</v>
      </c>
    </row>
    <row r="100" customFormat="false" ht="15" hidden="false" customHeight="false" outlineLevel="0" collapsed="false">
      <c r="D100" s="0" t="n">
        <v>87</v>
      </c>
      <c r="E100" s="9" t="n">
        <f aca="false">I99</f>
        <v>10791143.8242916</v>
      </c>
      <c r="F100" s="9" t="n">
        <f aca="false">-PMT('Inputs &amp; Monthly CF'!$D$57/12,'Inputs &amp; Monthly CF'!$D$58*12,$E$14)</f>
        <v>74039.9933512736</v>
      </c>
      <c r="G100" s="9" t="n">
        <f aca="false">E100*'Inputs &amp; Monthly CF'!$D$57/12</f>
        <v>56203.8740848523</v>
      </c>
      <c r="H100" s="9" t="n">
        <f aca="false">F100-G100</f>
        <v>17836.1192664213</v>
      </c>
      <c r="I100" s="9" t="n">
        <f aca="false">E100-H100</f>
        <v>10773307.7050252</v>
      </c>
    </row>
    <row r="101" customFormat="false" ht="15" hidden="false" customHeight="false" outlineLevel="0" collapsed="false">
      <c r="D101" s="0" t="n">
        <v>88</v>
      </c>
      <c r="E101" s="9" t="n">
        <f aca="false">I100</f>
        <v>10773307.7050252</v>
      </c>
      <c r="F101" s="9" t="n">
        <f aca="false">-PMT('Inputs &amp; Monthly CF'!$D$57/12,'Inputs &amp; Monthly CF'!$D$58*12,$E$14)</f>
        <v>74039.9933512736</v>
      </c>
      <c r="G101" s="9" t="n">
        <f aca="false">E101*'Inputs &amp; Monthly CF'!$D$57/12</f>
        <v>56110.9776303396</v>
      </c>
      <c r="H101" s="9" t="n">
        <f aca="false">F101-G101</f>
        <v>17929.0157209339</v>
      </c>
      <c r="I101" s="9" t="n">
        <f aca="false">E101-H101</f>
        <v>10755378.6893043</v>
      </c>
    </row>
    <row r="102" customFormat="false" ht="15" hidden="false" customHeight="false" outlineLevel="0" collapsed="false">
      <c r="D102" s="0" t="n">
        <v>89</v>
      </c>
      <c r="E102" s="9" t="n">
        <f aca="false">I101</f>
        <v>10755378.6893043</v>
      </c>
      <c r="F102" s="9" t="n">
        <f aca="false">-PMT('Inputs &amp; Monthly CF'!$D$57/12,'Inputs &amp; Monthly CF'!$D$58*12,$E$14)</f>
        <v>74039.9933512736</v>
      </c>
      <c r="G102" s="9" t="n">
        <f aca="false">E102*'Inputs &amp; Monthly CF'!$D$57/12</f>
        <v>56017.5973401264</v>
      </c>
      <c r="H102" s="9" t="n">
        <f aca="false">F102-G102</f>
        <v>18022.3960111471</v>
      </c>
      <c r="I102" s="9" t="n">
        <f aca="false">E102-H102</f>
        <v>10737356.2932931</v>
      </c>
    </row>
    <row r="103" customFormat="false" ht="15" hidden="false" customHeight="false" outlineLevel="0" collapsed="false">
      <c r="D103" s="0" t="n">
        <v>90</v>
      </c>
      <c r="E103" s="9" t="n">
        <f aca="false">I102</f>
        <v>10737356.2932931</v>
      </c>
      <c r="F103" s="9" t="n">
        <f aca="false">-PMT('Inputs &amp; Monthly CF'!$D$57/12,'Inputs &amp; Monthly CF'!$D$58*12,$E$14)</f>
        <v>74039.9933512736</v>
      </c>
      <c r="G103" s="9" t="n">
        <f aca="false">E103*'Inputs &amp; Monthly CF'!$D$57/12</f>
        <v>55923.7306942351</v>
      </c>
      <c r="H103" s="9" t="n">
        <f aca="false">F103-G103</f>
        <v>18116.2626570385</v>
      </c>
      <c r="I103" s="9" t="n">
        <f aca="false">E103-H103</f>
        <v>10719240.0306361</v>
      </c>
    </row>
    <row r="104" customFormat="false" ht="15" hidden="false" customHeight="false" outlineLevel="0" collapsed="false">
      <c r="D104" s="0" t="n">
        <v>91</v>
      </c>
      <c r="E104" s="9" t="n">
        <f aca="false">I103</f>
        <v>10719240.0306361</v>
      </c>
      <c r="F104" s="9" t="n">
        <f aca="false">-PMT('Inputs &amp; Monthly CF'!$D$57/12,'Inputs &amp; Monthly CF'!$D$58*12,$E$14)</f>
        <v>74039.9933512736</v>
      </c>
      <c r="G104" s="9" t="n">
        <f aca="false">E104*'Inputs &amp; Monthly CF'!$D$57/12</f>
        <v>55829.375159563</v>
      </c>
      <c r="H104" s="9" t="n">
        <f aca="false">F104-G104</f>
        <v>18210.6181917106</v>
      </c>
      <c r="I104" s="9" t="n">
        <f aca="false">E104-H104</f>
        <v>10701029.4124444</v>
      </c>
    </row>
    <row r="105" customFormat="false" ht="15" hidden="false" customHeight="false" outlineLevel="0" collapsed="false">
      <c r="D105" s="0" t="n">
        <v>92</v>
      </c>
      <c r="E105" s="9" t="n">
        <f aca="false">I104</f>
        <v>10701029.4124444</v>
      </c>
      <c r="F105" s="9" t="n">
        <f aca="false">-PMT('Inputs &amp; Monthly CF'!$D$57/12,'Inputs &amp; Monthly CF'!$D$58*12,$E$14)</f>
        <v>74039.9933512736</v>
      </c>
      <c r="G105" s="9" t="n">
        <f aca="false">E105*'Inputs &amp; Monthly CF'!$D$57/12</f>
        <v>55734.5281898145</v>
      </c>
      <c r="H105" s="9" t="n">
        <f aca="false">F105-G105</f>
        <v>18305.4651614591</v>
      </c>
      <c r="I105" s="9" t="n">
        <f aca="false">E105-H105</f>
        <v>10682723.9472829</v>
      </c>
    </row>
    <row r="106" customFormat="false" ht="15" hidden="false" customHeight="false" outlineLevel="0" collapsed="false">
      <c r="D106" s="0" t="n">
        <v>93</v>
      </c>
      <c r="E106" s="9" t="n">
        <f aca="false">I105</f>
        <v>10682723.9472829</v>
      </c>
      <c r="F106" s="9" t="n">
        <f aca="false">-PMT('Inputs &amp; Monthly CF'!$D$57/12,'Inputs &amp; Monthly CF'!$D$58*12,$E$14)</f>
        <v>74039.9933512736</v>
      </c>
      <c r="G106" s="9" t="n">
        <f aca="false">E106*'Inputs &amp; Monthly CF'!$D$57/12</f>
        <v>55639.1872254319</v>
      </c>
      <c r="H106" s="9" t="n">
        <f aca="false">F106-G106</f>
        <v>18400.8061258417</v>
      </c>
      <c r="I106" s="9" t="n">
        <f aca="false">E106-H106</f>
        <v>10664323.1411571</v>
      </c>
    </row>
    <row r="107" customFormat="false" ht="15" hidden="false" customHeight="false" outlineLevel="0" collapsed="false">
      <c r="D107" s="0" t="n">
        <v>94</v>
      </c>
      <c r="E107" s="9" t="n">
        <f aca="false">I106</f>
        <v>10664323.1411571</v>
      </c>
      <c r="F107" s="9" t="n">
        <f aca="false">-PMT('Inputs &amp; Monthly CF'!$D$57/12,'Inputs &amp; Monthly CF'!$D$58*12,$E$14)</f>
        <v>74039.9933512736</v>
      </c>
      <c r="G107" s="9" t="n">
        <f aca="false">E107*'Inputs &amp; Monthly CF'!$D$57/12</f>
        <v>55543.3496935265</v>
      </c>
      <c r="H107" s="9" t="n">
        <f aca="false">F107-G107</f>
        <v>18496.6436577471</v>
      </c>
      <c r="I107" s="9" t="n">
        <f aca="false">E107-H107</f>
        <v>10645826.4974993</v>
      </c>
    </row>
    <row r="108" customFormat="false" ht="15" hidden="false" customHeight="false" outlineLevel="0" collapsed="false">
      <c r="D108" s="0" t="n">
        <v>95</v>
      </c>
      <c r="E108" s="9" t="n">
        <f aca="false">I107</f>
        <v>10645826.4974993</v>
      </c>
      <c r="F108" s="9" t="n">
        <f aca="false">-PMT('Inputs &amp; Monthly CF'!$D$57/12,'Inputs &amp; Monthly CF'!$D$58*12,$E$14)</f>
        <v>74039.9933512736</v>
      </c>
      <c r="G108" s="9" t="n">
        <f aca="false">E108*'Inputs &amp; Monthly CF'!$D$57/12</f>
        <v>55447.013007809</v>
      </c>
      <c r="H108" s="9" t="n">
        <f aca="false">F108-G108</f>
        <v>18592.9803434646</v>
      </c>
      <c r="I108" s="9" t="n">
        <f aca="false">E108-H108</f>
        <v>10627233.5171559</v>
      </c>
    </row>
    <row r="109" customFormat="false" ht="15" hidden="false" customHeight="false" outlineLevel="0" collapsed="false">
      <c r="D109" s="0" t="n">
        <v>96</v>
      </c>
      <c r="E109" s="9" t="n">
        <f aca="false">I108</f>
        <v>10627233.5171559</v>
      </c>
      <c r="F109" s="9" t="n">
        <f aca="false">-PMT('Inputs &amp; Monthly CF'!$D$57/12,'Inputs &amp; Monthly CF'!$D$58*12,$E$14)</f>
        <v>74039.9933512736</v>
      </c>
      <c r="G109" s="9" t="n">
        <f aca="false">E109*'Inputs &amp; Monthly CF'!$D$57/12</f>
        <v>55350.1745685201</v>
      </c>
      <c r="H109" s="9" t="n">
        <f aca="false">F109-G109</f>
        <v>18689.8187827535</v>
      </c>
      <c r="I109" s="9" t="n">
        <f aca="false">E109-H109</f>
        <v>10608543.6983731</v>
      </c>
    </row>
    <row r="110" customFormat="false" ht="15" hidden="false" customHeight="false" outlineLevel="0" collapsed="false">
      <c r="D110" s="0" t="n">
        <v>97</v>
      </c>
      <c r="E110" s="9" t="n">
        <f aca="false">I109</f>
        <v>10608543.6983731</v>
      </c>
      <c r="F110" s="9" t="n">
        <f aca="false">-PMT('Inputs &amp; Monthly CF'!$D$57/12,'Inputs &amp; Monthly CF'!$D$58*12,$E$14)</f>
        <v>74039.9933512736</v>
      </c>
      <c r="G110" s="9" t="n">
        <f aca="false">E110*'Inputs &amp; Monthly CF'!$D$57/12</f>
        <v>55252.83176236</v>
      </c>
      <c r="H110" s="9" t="n">
        <f aca="false">F110-G110</f>
        <v>18787.1615889136</v>
      </c>
      <c r="I110" s="9" t="n">
        <f aca="false">E110-H110</f>
        <v>10589756.5367842</v>
      </c>
    </row>
    <row r="111" customFormat="false" ht="15" hidden="false" customHeight="false" outlineLevel="0" collapsed="false">
      <c r="D111" s="0" t="n">
        <v>98</v>
      </c>
      <c r="E111" s="9" t="n">
        <f aca="false">I110</f>
        <v>10589756.5367842</v>
      </c>
      <c r="F111" s="9" t="n">
        <f aca="false">-PMT('Inputs &amp; Monthly CF'!$D$57/12,'Inputs &amp; Monthly CF'!$D$58*12,$E$14)</f>
        <v>74039.9933512736</v>
      </c>
      <c r="G111" s="9" t="n">
        <f aca="false">E111*'Inputs &amp; Monthly CF'!$D$57/12</f>
        <v>55154.9819624177</v>
      </c>
      <c r="H111" s="9" t="n">
        <f aca="false">F111-G111</f>
        <v>18885.0113888559</v>
      </c>
      <c r="I111" s="9" t="n">
        <f aca="false">E111-H111</f>
        <v>10570871.5253953</v>
      </c>
    </row>
    <row r="112" customFormat="false" ht="15" hidden="false" customHeight="false" outlineLevel="0" collapsed="false">
      <c r="D112" s="0" t="n">
        <v>99</v>
      </c>
      <c r="E112" s="9" t="n">
        <f aca="false">I111</f>
        <v>10570871.5253953</v>
      </c>
      <c r="F112" s="9" t="n">
        <f aca="false">-PMT('Inputs &amp; Monthly CF'!$D$57/12,'Inputs &amp; Monthly CF'!$D$58*12,$E$14)</f>
        <v>74039.9933512736</v>
      </c>
      <c r="G112" s="9" t="n">
        <f aca="false">E112*'Inputs &amp; Monthly CF'!$D$57/12</f>
        <v>55056.6225281008</v>
      </c>
      <c r="H112" s="9" t="n">
        <f aca="false">F112-G112</f>
        <v>18983.3708231728</v>
      </c>
      <c r="I112" s="9" t="n">
        <f aca="false">E112-H112</f>
        <v>10551888.1545722</v>
      </c>
    </row>
    <row r="113" customFormat="false" ht="15" hidden="false" customHeight="false" outlineLevel="0" collapsed="false">
      <c r="D113" s="0" t="n">
        <v>100</v>
      </c>
      <c r="E113" s="9" t="n">
        <f aca="false">I112</f>
        <v>10551888.1545722</v>
      </c>
      <c r="F113" s="9" t="n">
        <f aca="false">-PMT('Inputs &amp; Monthly CF'!$D$57/12,'Inputs &amp; Monthly CF'!$D$58*12,$E$14)</f>
        <v>74039.9933512736</v>
      </c>
      <c r="G113" s="9" t="n">
        <f aca="false">E113*'Inputs &amp; Monthly CF'!$D$57/12</f>
        <v>54957.7508050634</v>
      </c>
      <c r="H113" s="9" t="n">
        <f aca="false">F113-G113</f>
        <v>19082.2425462102</v>
      </c>
      <c r="I113" s="9" t="n">
        <f aca="false">E113-H113</f>
        <v>10532805.912026</v>
      </c>
    </row>
    <row r="114" customFormat="false" ht="15" hidden="false" customHeight="false" outlineLevel="0" collapsed="false">
      <c r="D114" s="0" t="n">
        <v>101</v>
      </c>
      <c r="E114" s="9" t="n">
        <f aca="false">I113</f>
        <v>10532805.912026</v>
      </c>
      <c r="F114" s="9" t="n">
        <f aca="false">-PMT('Inputs &amp; Monthly CF'!$D$57/12,'Inputs &amp; Monthly CF'!$D$58*12,$E$14)</f>
        <v>74039.9933512736</v>
      </c>
      <c r="G114" s="9" t="n">
        <f aca="false">E114*'Inputs &amp; Monthly CF'!$D$57/12</f>
        <v>54858.3641251352</v>
      </c>
      <c r="H114" s="9" t="n">
        <f aca="false">F114-G114</f>
        <v>19181.6292261384</v>
      </c>
      <c r="I114" s="9" t="n">
        <f aca="false">E114-H114</f>
        <v>10513624.2827998</v>
      </c>
    </row>
    <row r="115" customFormat="false" ht="15" hidden="false" customHeight="false" outlineLevel="0" collapsed="false">
      <c r="D115" s="0" t="n">
        <v>102</v>
      </c>
      <c r="E115" s="9" t="n">
        <f aca="false">I114</f>
        <v>10513624.2827998</v>
      </c>
      <c r="F115" s="9" t="n">
        <f aca="false">-PMT('Inputs &amp; Monthly CF'!$D$57/12,'Inputs &amp; Monthly CF'!$D$58*12,$E$14)</f>
        <v>74039.9933512736</v>
      </c>
      <c r="G115" s="9" t="n">
        <f aca="false">E115*'Inputs &amp; Monthly CF'!$D$57/12</f>
        <v>54758.4598062491</v>
      </c>
      <c r="H115" s="9" t="n">
        <f aca="false">F115-G115</f>
        <v>19281.5335450245</v>
      </c>
      <c r="I115" s="9" t="n">
        <f aca="false">E115-H115</f>
        <v>10494342.7492548</v>
      </c>
    </row>
    <row r="116" customFormat="false" ht="15" hidden="false" customHeight="false" outlineLevel="0" collapsed="false">
      <c r="D116" s="0" t="n">
        <v>103</v>
      </c>
      <c r="E116" s="9" t="n">
        <f aca="false">I115</f>
        <v>10494342.7492548</v>
      </c>
      <c r="F116" s="9" t="n">
        <f aca="false">-PMT('Inputs &amp; Monthly CF'!$D$57/12,'Inputs &amp; Monthly CF'!$D$58*12,$E$14)</f>
        <v>74039.9933512736</v>
      </c>
      <c r="G116" s="9" t="n">
        <f aca="false">E116*'Inputs &amp; Monthly CF'!$D$57/12</f>
        <v>54658.0351523687</v>
      </c>
      <c r="H116" s="9" t="n">
        <f aca="false">F116-G116</f>
        <v>19381.9581989048</v>
      </c>
      <c r="I116" s="9" t="n">
        <f aca="false">E116-H116</f>
        <v>10474960.7910559</v>
      </c>
    </row>
    <row r="117" customFormat="false" ht="15" hidden="false" customHeight="false" outlineLevel="0" collapsed="false">
      <c r="D117" s="0" t="n">
        <v>104</v>
      </c>
      <c r="E117" s="9" t="n">
        <f aca="false">I116</f>
        <v>10474960.7910559</v>
      </c>
      <c r="F117" s="9" t="n">
        <f aca="false">-PMT('Inputs &amp; Monthly CF'!$D$57/12,'Inputs &amp; Monthly CF'!$D$58*12,$E$14)</f>
        <v>74039.9933512736</v>
      </c>
      <c r="G117" s="9" t="n">
        <f aca="false">E117*'Inputs &amp; Monthly CF'!$D$57/12</f>
        <v>54557.0874534161</v>
      </c>
      <c r="H117" s="9" t="n">
        <f aca="false">F117-G117</f>
        <v>19482.9058978575</v>
      </c>
      <c r="I117" s="9" t="n">
        <f aca="false">E117-H117</f>
        <v>10455477.885158</v>
      </c>
    </row>
    <row r="118" customFormat="false" ht="15" hidden="false" customHeight="false" outlineLevel="0" collapsed="false">
      <c r="D118" s="0" t="n">
        <v>105</v>
      </c>
      <c r="E118" s="9" t="n">
        <f aca="false">I117</f>
        <v>10455477.885158</v>
      </c>
      <c r="F118" s="9" t="n">
        <f aca="false">-PMT('Inputs &amp; Monthly CF'!$D$57/12,'Inputs &amp; Monthly CF'!$D$58*12,$E$14)</f>
        <v>74039.9933512736</v>
      </c>
      <c r="G118" s="9" t="n">
        <f aca="false">E118*'Inputs &amp; Monthly CF'!$D$57/12</f>
        <v>54455.6139851981</v>
      </c>
      <c r="H118" s="9" t="n">
        <f aca="false">F118-G118</f>
        <v>19584.3793660755</v>
      </c>
      <c r="I118" s="9" t="n">
        <f aca="false">E118-H118</f>
        <v>10435893.505792</v>
      </c>
    </row>
    <row r="119" customFormat="false" ht="15" hidden="false" customHeight="false" outlineLevel="0" collapsed="false">
      <c r="D119" s="0" t="n">
        <v>106</v>
      </c>
      <c r="E119" s="9" t="n">
        <f aca="false">I118</f>
        <v>10435893.505792</v>
      </c>
      <c r="F119" s="9" t="n">
        <f aca="false">-PMT('Inputs &amp; Monthly CF'!$D$57/12,'Inputs &amp; Monthly CF'!$D$58*12,$E$14)</f>
        <v>74039.9933512736</v>
      </c>
      <c r="G119" s="9" t="n">
        <f aca="false">E119*'Inputs &amp; Monthly CF'!$D$57/12</f>
        <v>54353.6120093331</v>
      </c>
      <c r="H119" s="9" t="n">
        <f aca="false">F119-G119</f>
        <v>19686.3813419405</v>
      </c>
      <c r="I119" s="9" t="n">
        <f aca="false">E119-H119</f>
        <v>10416207.12445</v>
      </c>
    </row>
    <row r="120" customFormat="false" ht="15" hidden="false" customHeight="false" outlineLevel="0" collapsed="false">
      <c r="D120" s="0" t="n">
        <v>107</v>
      </c>
      <c r="E120" s="9" t="n">
        <f aca="false">I119</f>
        <v>10416207.12445</v>
      </c>
      <c r="F120" s="9" t="n">
        <f aca="false">-PMT('Inputs &amp; Monthly CF'!$D$57/12,'Inputs &amp; Monthly CF'!$D$58*12,$E$14)</f>
        <v>74039.9933512736</v>
      </c>
      <c r="G120" s="9" t="n">
        <f aca="false">E120*'Inputs &amp; Monthly CF'!$D$57/12</f>
        <v>54251.0787731772</v>
      </c>
      <c r="H120" s="9" t="n">
        <f aca="false">F120-G120</f>
        <v>19788.9145780964</v>
      </c>
      <c r="I120" s="9" t="n">
        <f aca="false">E120-H120</f>
        <v>10396418.2098719</v>
      </c>
    </row>
    <row r="121" customFormat="false" ht="15" hidden="false" customHeight="false" outlineLevel="0" collapsed="false">
      <c r="D121" s="0" t="n">
        <v>108</v>
      </c>
      <c r="E121" s="9" t="n">
        <f aca="false">I120</f>
        <v>10396418.2098719</v>
      </c>
      <c r="F121" s="9" t="n">
        <f aca="false">-PMT('Inputs &amp; Monthly CF'!$D$57/12,'Inputs &amp; Monthly CF'!$D$58*12,$E$14)</f>
        <v>74039.9933512736</v>
      </c>
      <c r="G121" s="9" t="n">
        <f aca="false">E121*'Inputs &amp; Monthly CF'!$D$57/12</f>
        <v>54148.0115097496</v>
      </c>
      <c r="H121" s="9" t="n">
        <f aca="false">F121-G121</f>
        <v>19891.981841524</v>
      </c>
      <c r="I121" s="9" t="n">
        <f aca="false">E121-H121</f>
        <v>10376526.2280304</v>
      </c>
    </row>
    <row r="122" customFormat="false" ht="15" hidden="false" customHeight="false" outlineLevel="0" collapsed="false">
      <c r="D122" s="0" t="n">
        <v>109</v>
      </c>
      <c r="E122" s="9" t="n">
        <f aca="false">I121</f>
        <v>10376526.2280304</v>
      </c>
      <c r="F122" s="9" t="n">
        <f aca="false">-PMT('Inputs &amp; Monthly CF'!$D$57/12,'Inputs &amp; Monthly CF'!$D$58*12,$E$14)</f>
        <v>74039.9933512736</v>
      </c>
      <c r="G122" s="9" t="n">
        <f aca="false">E122*'Inputs &amp; Monthly CF'!$D$57/12</f>
        <v>54044.4074376583</v>
      </c>
      <c r="H122" s="9" t="n">
        <f aca="false">F122-G122</f>
        <v>19995.5859136153</v>
      </c>
      <c r="I122" s="9" t="n">
        <f aca="false">E122-H122</f>
        <v>10356530.6421168</v>
      </c>
    </row>
    <row r="123" customFormat="false" ht="15" hidden="false" customHeight="false" outlineLevel="0" collapsed="false">
      <c r="D123" s="0" t="n">
        <v>110</v>
      </c>
      <c r="E123" s="9" t="n">
        <f aca="false">I122</f>
        <v>10356530.6421168</v>
      </c>
      <c r="F123" s="9" t="n">
        <f aca="false">-PMT('Inputs &amp; Monthly CF'!$D$57/12,'Inputs &amp; Monthly CF'!$D$58*12,$E$14)</f>
        <v>74039.9933512736</v>
      </c>
      <c r="G123" s="9" t="n">
        <f aca="false">E123*'Inputs &amp; Monthly CF'!$D$57/12</f>
        <v>53940.2637610249</v>
      </c>
      <c r="H123" s="9" t="n">
        <f aca="false">F123-G123</f>
        <v>20099.7295902487</v>
      </c>
      <c r="I123" s="9" t="n">
        <f aca="false">E123-H123</f>
        <v>10336430.9125265</v>
      </c>
    </row>
    <row r="124" customFormat="false" ht="15" hidden="false" customHeight="false" outlineLevel="0" collapsed="false">
      <c r="D124" s="0" t="n">
        <v>111</v>
      </c>
      <c r="E124" s="9" t="n">
        <f aca="false">I123</f>
        <v>10336430.9125265</v>
      </c>
      <c r="F124" s="9" t="n">
        <f aca="false">-PMT('Inputs &amp; Monthly CF'!$D$57/12,'Inputs &amp; Monthly CF'!$D$58*12,$E$14)</f>
        <v>74039.9933512736</v>
      </c>
      <c r="G124" s="9" t="n">
        <f aca="false">E124*'Inputs &amp; Monthly CF'!$D$57/12</f>
        <v>53835.577669409</v>
      </c>
      <c r="H124" s="9" t="n">
        <f aca="false">F124-G124</f>
        <v>20204.4156818645</v>
      </c>
      <c r="I124" s="9" t="n">
        <f aca="false">E124-H124</f>
        <v>10316226.4968447</v>
      </c>
    </row>
    <row r="125" customFormat="false" ht="15" hidden="false" customHeight="false" outlineLevel="0" collapsed="false">
      <c r="D125" s="0" t="n">
        <v>112</v>
      </c>
      <c r="E125" s="9" t="n">
        <f aca="false">I124</f>
        <v>10316226.4968447</v>
      </c>
      <c r="F125" s="9" t="n">
        <f aca="false">-PMT('Inputs &amp; Monthly CF'!$D$57/12,'Inputs &amp; Monthly CF'!$D$58*12,$E$14)</f>
        <v>74039.9933512736</v>
      </c>
      <c r="G125" s="9" t="n">
        <f aca="false">E125*'Inputs &amp; Monthly CF'!$D$57/12</f>
        <v>53730.3463377327</v>
      </c>
      <c r="H125" s="9" t="n">
        <f aca="false">F125-G125</f>
        <v>20309.6470135409</v>
      </c>
      <c r="I125" s="9" t="n">
        <f aca="false">E125-H125</f>
        <v>10295916.8498311</v>
      </c>
    </row>
    <row r="126" customFormat="false" ht="15" hidden="false" customHeight="false" outlineLevel="0" collapsed="false">
      <c r="D126" s="0" t="n">
        <v>113</v>
      </c>
      <c r="E126" s="9" t="n">
        <f aca="false">I125</f>
        <v>10295916.8498311</v>
      </c>
      <c r="F126" s="9" t="n">
        <f aca="false">-PMT('Inputs &amp; Monthly CF'!$D$57/12,'Inputs &amp; Monthly CF'!$D$58*12,$E$14)</f>
        <v>74039.9933512736</v>
      </c>
      <c r="G126" s="9" t="n">
        <f aca="false">E126*'Inputs &amp; Monthly CF'!$D$57/12</f>
        <v>53624.5669262038</v>
      </c>
      <c r="H126" s="9" t="n">
        <f aca="false">F126-G126</f>
        <v>20415.4264250698</v>
      </c>
      <c r="I126" s="9" t="n">
        <f aca="false">E126-H126</f>
        <v>10275501.4234061</v>
      </c>
    </row>
    <row r="127" customFormat="false" ht="15" hidden="false" customHeight="false" outlineLevel="0" collapsed="false">
      <c r="D127" s="0" t="n">
        <v>114</v>
      </c>
      <c r="E127" s="9" t="n">
        <f aca="false">I126</f>
        <v>10275501.4234061</v>
      </c>
      <c r="F127" s="9" t="n">
        <f aca="false">-PMT('Inputs &amp; Monthly CF'!$D$57/12,'Inputs &amp; Monthly CF'!$D$58*12,$E$14)</f>
        <v>74039.9933512736</v>
      </c>
      <c r="G127" s="9" t="n">
        <f aca="false">E127*'Inputs &amp; Monthly CF'!$D$57/12</f>
        <v>53518.2365802399</v>
      </c>
      <c r="H127" s="9" t="n">
        <f aca="false">F127-G127</f>
        <v>20521.7567710337</v>
      </c>
      <c r="I127" s="9" t="n">
        <f aca="false">E127-H127</f>
        <v>10254979.666635</v>
      </c>
    </row>
    <row r="128" customFormat="false" ht="15" hidden="false" customHeight="false" outlineLevel="0" collapsed="false">
      <c r="D128" s="0" t="n">
        <v>115</v>
      </c>
      <c r="E128" s="9" t="n">
        <f aca="false">I127</f>
        <v>10254979.666635</v>
      </c>
      <c r="F128" s="9" t="n">
        <f aca="false">-PMT('Inputs &amp; Monthly CF'!$D$57/12,'Inputs &amp; Monthly CF'!$D$58*12,$E$14)</f>
        <v>74039.9933512736</v>
      </c>
      <c r="G128" s="9" t="n">
        <f aca="false">E128*'Inputs &amp; Monthly CF'!$D$57/12</f>
        <v>53411.3524303908</v>
      </c>
      <c r="H128" s="9" t="n">
        <f aca="false">F128-G128</f>
        <v>20628.6409208828</v>
      </c>
      <c r="I128" s="9" t="n">
        <f aca="false">E128-H128</f>
        <v>10234351.0257141</v>
      </c>
    </row>
    <row r="129" customFormat="false" ht="15" hidden="false" customHeight="false" outlineLevel="0" collapsed="false">
      <c r="D129" s="0" t="n">
        <v>116</v>
      </c>
      <c r="E129" s="9" t="n">
        <f aca="false">I128</f>
        <v>10234351.0257141</v>
      </c>
      <c r="F129" s="9" t="n">
        <f aca="false">-PMT('Inputs &amp; Monthly CF'!$D$57/12,'Inputs &amp; Monthly CF'!$D$58*12,$E$14)</f>
        <v>74039.9933512736</v>
      </c>
      <c r="G129" s="9" t="n">
        <f aca="false">E129*'Inputs &amp; Monthly CF'!$D$57/12</f>
        <v>53303.9115922612</v>
      </c>
      <c r="H129" s="9" t="n">
        <f aca="false">F129-G129</f>
        <v>20736.0817590124</v>
      </c>
      <c r="I129" s="9" t="n">
        <f aca="false">E129-H129</f>
        <v>10213614.9439551</v>
      </c>
    </row>
    <row r="130" customFormat="false" ht="15" hidden="false" customHeight="false" outlineLevel="0" collapsed="false">
      <c r="D130" s="0" t="n">
        <v>117</v>
      </c>
      <c r="E130" s="9" t="n">
        <f aca="false">I129</f>
        <v>10213614.9439551</v>
      </c>
      <c r="F130" s="9" t="n">
        <f aca="false">-PMT('Inputs &amp; Monthly CF'!$D$57/12,'Inputs &amp; Monthly CF'!$D$58*12,$E$14)</f>
        <v>74039.9933512736</v>
      </c>
      <c r="G130" s="9" t="n">
        <f aca="false">E130*'Inputs &amp; Monthly CF'!$D$57/12</f>
        <v>53195.911166433</v>
      </c>
      <c r="H130" s="9" t="n">
        <f aca="false">F130-G130</f>
        <v>20844.0821848406</v>
      </c>
      <c r="I130" s="9" t="n">
        <f aca="false">E130-H130</f>
        <v>10192770.8617703</v>
      </c>
    </row>
    <row r="131" customFormat="false" ht="15" hidden="false" customHeight="false" outlineLevel="0" collapsed="false">
      <c r="D131" s="0" t="n">
        <v>118</v>
      </c>
      <c r="E131" s="9" t="n">
        <f aca="false">I130</f>
        <v>10192770.8617703</v>
      </c>
      <c r="F131" s="9" t="n">
        <f aca="false">-PMT('Inputs &amp; Monthly CF'!$D$57/12,'Inputs &amp; Monthly CF'!$D$58*12,$E$14)</f>
        <v>74039.9933512736</v>
      </c>
      <c r="G131" s="9" t="n">
        <f aca="false">E131*'Inputs &amp; Monthly CF'!$D$57/12</f>
        <v>53087.3482383869</v>
      </c>
      <c r="H131" s="9" t="n">
        <f aca="false">F131-G131</f>
        <v>20952.6451128867</v>
      </c>
      <c r="I131" s="9" t="n">
        <f aca="false">E131-H131</f>
        <v>10171818.2166574</v>
      </c>
    </row>
    <row r="132" customFormat="false" ht="15" hidden="false" customHeight="false" outlineLevel="0" collapsed="false">
      <c r="D132" s="0" t="n">
        <v>119</v>
      </c>
      <c r="E132" s="9" t="n">
        <f aca="false">I131</f>
        <v>10171818.2166574</v>
      </c>
      <c r="F132" s="9" t="n">
        <f aca="false">-PMT('Inputs &amp; Monthly CF'!$D$57/12,'Inputs &amp; Monthly CF'!$D$58*12,$E$14)</f>
        <v>74039.9933512736</v>
      </c>
      <c r="G132" s="9" t="n">
        <f aca="false">E132*'Inputs &amp; Monthly CF'!$D$57/12</f>
        <v>52978.219878424</v>
      </c>
      <c r="H132" s="9" t="n">
        <f aca="false">F132-G132</f>
        <v>21061.7734728496</v>
      </c>
      <c r="I132" s="9" t="n">
        <f aca="false">E132-H132</f>
        <v>10150756.4431846</v>
      </c>
    </row>
    <row r="133" customFormat="false" ht="15" hidden="false" customHeight="false" outlineLevel="0" collapsed="false">
      <c r="D133" s="0" t="n">
        <v>120</v>
      </c>
      <c r="E133" s="9" t="n">
        <f aca="false">I132</f>
        <v>10150756.4431846</v>
      </c>
      <c r="F133" s="9" t="n">
        <f aca="false">-PMT('Inputs &amp; Monthly CF'!$D$57/12,'Inputs &amp; Monthly CF'!$D$58*12,$E$14)</f>
        <v>74039.9933512736</v>
      </c>
      <c r="G133" s="9" t="n">
        <f aca="false">E133*'Inputs &amp; Monthly CF'!$D$57/12</f>
        <v>52868.5231415862</v>
      </c>
      <c r="H133" s="9" t="n">
        <f aca="false">F133-G133</f>
        <v>21171.4702096874</v>
      </c>
      <c r="I133" s="9" t="n">
        <f aca="false">E133-H133</f>
        <v>10129584.9729749</v>
      </c>
    </row>
    <row r="134" customFormat="false" ht="15" hidden="false" customHeight="false" outlineLevel="0" collapsed="false">
      <c r="D134" s="0" t="n">
        <v>121</v>
      </c>
      <c r="E134" s="9" t="n">
        <f aca="false">I133</f>
        <v>10129584.9729749</v>
      </c>
      <c r="F134" s="9" t="n">
        <f aca="false">-PMT('Inputs &amp; Monthly CF'!$D$57/12,'Inputs &amp; Monthly CF'!$D$58*12,$E$14)</f>
        <v>74039.9933512736</v>
      </c>
      <c r="G134" s="9" t="n">
        <f aca="false">E134*'Inputs &amp; Monthly CF'!$D$57/12</f>
        <v>52758.2550675774</v>
      </c>
      <c r="H134" s="9" t="n">
        <f aca="false">F134-G134</f>
        <v>21281.7382836962</v>
      </c>
      <c r="I134" s="9" t="n">
        <f aca="false">E134-H134</f>
        <v>10108303.2346912</v>
      </c>
    </row>
    <row r="135" customFormat="false" ht="15" hidden="false" customHeight="false" outlineLevel="0" collapsed="false">
      <c r="D135" s="0" t="n">
        <v>122</v>
      </c>
      <c r="E135" s="9" t="n">
        <f aca="false">I134</f>
        <v>10108303.2346912</v>
      </c>
      <c r="F135" s="9" t="n">
        <f aca="false">-PMT('Inputs &amp; Monthly CF'!$D$57/12,'Inputs &amp; Monthly CF'!$D$58*12,$E$14)</f>
        <v>74039.9933512736</v>
      </c>
      <c r="G135" s="9" t="n">
        <f aca="false">E135*'Inputs &amp; Monthly CF'!$D$57/12</f>
        <v>52647.4126806832</v>
      </c>
      <c r="H135" s="9" t="n">
        <f aca="false">F135-G135</f>
        <v>21392.5806705904</v>
      </c>
      <c r="I135" s="9" t="n">
        <f aca="false">E135-H135</f>
        <v>10086910.6540206</v>
      </c>
    </row>
    <row r="136" customFormat="false" ht="15" hidden="false" customHeight="false" outlineLevel="0" collapsed="false">
      <c r="D136" s="0" t="n">
        <v>123</v>
      </c>
      <c r="E136" s="9" t="n">
        <f aca="false">I135</f>
        <v>10086910.6540206</v>
      </c>
      <c r="F136" s="9" t="n">
        <f aca="false">-PMT('Inputs &amp; Monthly CF'!$D$57/12,'Inputs &amp; Monthly CF'!$D$58*12,$E$14)</f>
        <v>74039.9933512736</v>
      </c>
      <c r="G136" s="9" t="n">
        <f aca="false">E136*'Inputs &amp; Monthly CF'!$D$57/12</f>
        <v>52535.9929896905</v>
      </c>
      <c r="H136" s="9" t="n">
        <f aca="false">F136-G136</f>
        <v>21504.0003615831</v>
      </c>
      <c r="I136" s="9" t="n">
        <f aca="false">E136-H136</f>
        <v>10065406.653659</v>
      </c>
    </row>
    <row r="137" customFormat="false" ht="15" hidden="false" customHeight="false" outlineLevel="0" collapsed="false">
      <c r="D137" s="0" t="n">
        <v>124</v>
      </c>
      <c r="E137" s="9" t="n">
        <f aca="false">I136</f>
        <v>10065406.653659</v>
      </c>
      <c r="F137" s="9" t="n">
        <f aca="false">-PMT('Inputs &amp; Monthly CF'!$D$57/12,'Inputs &amp; Monthly CF'!$D$58*12,$E$14)</f>
        <v>74039.9933512736</v>
      </c>
      <c r="G137" s="9" t="n">
        <f aca="false">E137*'Inputs &amp; Monthly CF'!$D$57/12</f>
        <v>52423.9929878073</v>
      </c>
      <c r="H137" s="9" t="n">
        <f aca="false">F137-G137</f>
        <v>21616.0003634663</v>
      </c>
      <c r="I137" s="9" t="n">
        <f aca="false">E137-H137</f>
        <v>10043790.6532955</v>
      </c>
    </row>
    <row r="138" customFormat="false" ht="15" hidden="false" customHeight="false" outlineLevel="0" collapsed="false">
      <c r="D138" s="0" t="n">
        <v>125</v>
      </c>
      <c r="E138" s="9" t="n">
        <f aca="false">I137</f>
        <v>10043790.6532955</v>
      </c>
      <c r="F138" s="9" t="n">
        <f aca="false">-PMT('Inputs &amp; Monthly CF'!$D$57/12,'Inputs &amp; Monthly CF'!$D$58*12,$E$14)</f>
        <v>74039.9933512736</v>
      </c>
      <c r="G138" s="9" t="n">
        <f aca="false">E138*'Inputs &amp; Monthly CF'!$D$57/12</f>
        <v>52311.4096525809</v>
      </c>
      <c r="H138" s="9" t="n">
        <f aca="false">F138-G138</f>
        <v>21728.5836986927</v>
      </c>
      <c r="I138" s="9" t="n">
        <f aca="false">E138-H138</f>
        <v>10022062.0695968</v>
      </c>
    </row>
    <row r="139" customFormat="false" ht="15" hidden="false" customHeight="false" outlineLevel="0" collapsed="false">
      <c r="D139" s="0" t="n">
        <v>126</v>
      </c>
      <c r="E139" s="9" t="n">
        <f aca="false">I138</f>
        <v>10022062.0695968</v>
      </c>
      <c r="F139" s="9" t="n">
        <f aca="false">-PMT('Inputs &amp; Monthly CF'!$D$57/12,'Inputs &amp; Monthly CF'!$D$58*12,$E$14)</f>
        <v>74039.9933512736</v>
      </c>
      <c r="G139" s="9" t="n">
        <f aca="false">E139*'Inputs &amp; Monthly CF'!$D$57/12</f>
        <v>52198.2399458169</v>
      </c>
      <c r="H139" s="9" t="n">
        <f aca="false">F139-G139</f>
        <v>21841.7534054567</v>
      </c>
      <c r="I139" s="9" t="n">
        <f aca="false">E139-H139</f>
        <v>10000220.3161914</v>
      </c>
    </row>
    <row r="140" customFormat="false" ht="15" hidden="false" customHeight="false" outlineLevel="0" collapsed="false">
      <c r="D140" s="0" t="n">
        <v>127</v>
      </c>
      <c r="E140" s="9" t="n">
        <f aca="false">I139</f>
        <v>10000220.3161914</v>
      </c>
      <c r="F140" s="9" t="n">
        <f aca="false">-PMT('Inputs &amp; Monthly CF'!$D$57/12,'Inputs &amp; Monthly CF'!$D$58*12,$E$14)</f>
        <v>74039.9933512736</v>
      </c>
      <c r="G140" s="9" t="n">
        <f aca="false">E140*'Inputs &amp; Monthly CF'!$D$57/12</f>
        <v>52084.4808134968</v>
      </c>
      <c r="H140" s="9" t="n">
        <f aca="false">F140-G140</f>
        <v>21955.5125377768</v>
      </c>
      <c r="I140" s="9" t="n">
        <f aca="false">E140-H140</f>
        <v>9978264.80365361</v>
      </c>
    </row>
    <row r="141" customFormat="false" ht="15" hidden="false" customHeight="false" outlineLevel="0" collapsed="false">
      <c r="D141" s="0" t="n">
        <v>128</v>
      </c>
      <c r="E141" s="9" t="n">
        <f aca="false">I140</f>
        <v>9978264.80365361</v>
      </c>
      <c r="F141" s="9" t="n">
        <f aca="false">-PMT('Inputs &amp; Monthly CF'!$D$57/12,'Inputs &amp; Monthly CF'!$D$58*12,$E$14)</f>
        <v>74039.9933512736</v>
      </c>
      <c r="G141" s="9" t="n">
        <f aca="false">E141*'Inputs &amp; Monthly CF'!$D$57/12</f>
        <v>51970.1291856959</v>
      </c>
      <c r="H141" s="9" t="n">
        <f aca="false">F141-G141</f>
        <v>22069.8641655777</v>
      </c>
      <c r="I141" s="9" t="n">
        <f aca="false">E141-H141</f>
        <v>9956194.93948803</v>
      </c>
    </row>
    <row r="142" customFormat="false" ht="15" hidden="false" customHeight="false" outlineLevel="0" collapsed="false">
      <c r="D142" s="0" t="n">
        <v>129</v>
      </c>
      <c r="E142" s="9" t="n">
        <f aca="false">I141</f>
        <v>9956194.93948803</v>
      </c>
      <c r="F142" s="9" t="n">
        <f aca="false">-PMT('Inputs &amp; Monthly CF'!$D$57/12,'Inputs &amp; Monthly CF'!$D$58*12,$E$14)</f>
        <v>74039.9933512736</v>
      </c>
      <c r="G142" s="9" t="n">
        <f aca="false">E142*'Inputs &amp; Monthly CF'!$D$57/12</f>
        <v>51855.1819765002</v>
      </c>
      <c r="H142" s="9" t="n">
        <f aca="false">F142-G142</f>
        <v>22184.8113747734</v>
      </c>
      <c r="I142" s="9" t="n">
        <f aca="false">E142-H142</f>
        <v>9934010.12811326</v>
      </c>
    </row>
    <row r="143" customFormat="false" ht="15" hidden="false" customHeight="false" outlineLevel="0" collapsed="false">
      <c r="D143" s="0" t="n">
        <v>130</v>
      </c>
      <c r="E143" s="9" t="n">
        <f aca="false">I142</f>
        <v>9934010.12811326</v>
      </c>
      <c r="F143" s="9" t="n">
        <f aca="false">-PMT('Inputs &amp; Monthly CF'!$D$57/12,'Inputs &amp; Monthly CF'!$D$58*12,$E$14)</f>
        <v>74039.9933512736</v>
      </c>
      <c r="G143" s="9" t="n">
        <f aca="false">E143*'Inputs &amp; Monthly CF'!$D$57/12</f>
        <v>51739.6360839232</v>
      </c>
      <c r="H143" s="9" t="n">
        <f aca="false">F143-G143</f>
        <v>22300.3572673504</v>
      </c>
      <c r="I143" s="9" t="n">
        <f aca="false">E143-H143</f>
        <v>9911709.77084591</v>
      </c>
    </row>
    <row r="144" customFormat="false" ht="15" hidden="false" customHeight="false" outlineLevel="0" collapsed="false">
      <c r="D144" s="0" t="n">
        <v>131</v>
      </c>
      <c r="E144" s="9" t="n">
        <f aca="false">I143</f>
        <v>9911709.77084591</v>
      </c>
      <c r="F144" s="9" t="n">
        <f aca="false">-PMT('Inputs &amp; Monthly CF'!$D$57/12,'Inputs &amp; Monthly CF'!$D$58*12,$E$14)</f>
        <v>74039.9933512736</v>
      </c>
      <c r="G144" s="9" t="n">
        <f aca="false">E144*'Inputs &amp; Monthly CF'!$D$57/12</f>
        <v>51623.4883898224</v>
      </c>
      <c r="H144" s="9" t="n">
        <f aca="false">F144-G144</f>
        <v>22416.5049614512</v>
      </c>
      <c r="I144" s="9" t="n">
        <f aca="false">E144-H144</f>
        <v>9889293.26588445</v>
      </c>
    </row>
    <row r="145" customFormat="false" ht="15" hidden="false" customHeight="false" outlineLevel="0" collapsed="false">
      <c r="D145" s="0" t="n">
        <v>132</v>
      </c>
      <c r="E145" s="9" t="n">
        <f aca="false">I144</f>
        <v>9889293.26588445</v>
      </c>
      <c r="F145" s="9" t="n">
        <f aca="false">-PMT('Inputs &amp; Monthly CF'!$D$57/12,'Inputs &amp; Monthly CF'!$D$58*12,$E$14)</f>
        <v>74039.9933512736</v>
      </c>
      <c r="G145" s="9" t="n">
        <f aca="false">E145*'Inputs &amp; Monthly CF'!$D$57/12</f>
        <v>51506.7357598149</v>
      </c>
      <c r="H145" s="9" t="n">
        <f aca="false">F145-G145</f>
        <v>22533.2575914587</v>
      </c>
      <c r="I145" s="9" t="n">
        <f aca="false">E145-H145</f>
        <v>9866760.008293</v>
      </c>
    </row>
    <row r="146" customFormat="false" ht="15" hidden="false" customHeight="false" outlineLevel="0" collapsed="false">
      <c r="D146" s="0" t="n">
        <v>133</v>
      </c>
      <c r="E146" s="9" t="n">
        <f aca="false">I145</f>
        <v>9866760.008293</v>
      </c>
      <c r="F146" s="9" t="n">
        <f aca="false">-PMT('Inputs &amp; Monthly CF'!$D$57/12,'Inputs &amp; Monthly CF'!$D$58*12,$E$14)</f>
        <v>74039.9933512736</v>
      </c>
      <c r="G146" s="9" t="n">
        <f aca="false">E146*'Inputs &amp; Monthly CF'!$D$57/12</f>
        <v>51389.3750431927</v>
      </c>
      <c r="H146" s="9" t="n">
        <f aca="false">F146-G146</f>
        <v>22650.6183080809</v>
      </c>
      <c r="I146" s="9" t="n">
        <f aca="false">E146-H146</f>
        <v>9844109.38998492</v>
      </c>
    </row>
    <row r="147" customFormat="false" ht="15" hidden="false" customHeight="false" outlineLevel="0" collapsed="false">
      <c r="D147" s="0" t="n">
        <v>134</v>
      </c>
      <c r="E147" s="9" t="n">
        <f aca="false">I146</f>
        <v>9844109.38998492</v>
      </c>
      <c r="F147" s="9" t="n">
        <f aca="false">-PMT('Inputs &amp; Monthly CF'!$D$57/12,'Inputs &amp; Monthly CF'!$D$58*12,$E$14)</f>
        <v>74039.9933512736</v>
      </c>
      <c r="G147" s="9" t="n">
        <f aca="false">E147*'Inputs &amp; Monthly CF'!$D$57/12</f>
        <v>51271.4030728381</v>
      </c>
      <c r="H147" s="9" t="n">
        <f aca="false">F147-G147</f>
        <v>22768.5902784355</v>
      </c>
      <c r="I147" s="9" t="n">
        <f aca="false">E147-H147</f>
        <v>9821340.79970648</v>
      </c>
    </row>
    <row r="148" customFormat="false" ht="15" hidden="false" customHeight="false" outlineLevel="0" collapsed="false">
      <c r="D148" s="0" t="n">
        <v>135</v>
      </c>
      <c r="E148" s="9" t="n">
        <f aca="false">I147</f>
        <v>9821340.79970648</v>
      </c>
      <c r="F148" s="9" t="n">
        <f aca="false">-PMT('Inputs &amp; Monthly CF'!$D$57/12,'Inputs &amp; Monthly CF'!$D$58*12,$E$14)</f>
        <v>74039.9933512736</v>
      </c>
      <c r="G148" s="9" t="n">
        <f aca="false">E148*'Inputs &amp; Monthly CF'!$D$57/12</f>
        <v>51152.8166651379</v>
      </c>
      <c r="H148" s="9" t="n">
        <f aca="false">F148-G148</f>
        <v>22887.1766861357</v>
      </c>
      <c r="I148" s="9" t="n">
        <f aca="false">E148-H148</f>
        <v>9798453.62302034</v>
      </c>
    </row>
    <row r="149" customFormat="false" ht="15" hidden="false" customHeight="false" outlineLevel="0" collapsed="false">
      <c r="D149" s="0" t="n">
        <v>136</v>
      </c>
      <c r="E149" s="9" t="n">
        <f aca="false">I148</f>
        <v>9798453.62302034</v>
      </c>
      <c r="F149" s="9" t="n">
        <f aca="false">-PMT('Inputs &amp; Monthly CF'!$D$57/12,'Inputs &amp; Monthly CF'!$D$58*12,$E$14)</f>
        <v>74039.9933512736</v>
      </c>
      <c r="G149" s="9" t="n">
        <f aca="false">E149*'Inputs &amp; Monthly CF'!$D$57/12</f>
        <v>51033.6126198976</v>
      </c>
      <c r="H149" s="9" t="n">
        <f aca="false">F149-G149</f>
        <v>23006.380731376</v>
      </c>
      <c r="I149" s="9" t="n">
        <f aca="false">E149-H149</f>
        <v>9775447.24228897</v>
      </c>
    </row>
    <row r="150" customFormat="false" ht="15" hidden="false" customHeight="false" outlineLevel="0" collapsed="false">
      <c r="D150" s="0" t="n">
        <v>137</v>
      </c>
      <c r="E150" s="9" t="n">
        <f aca="false">I149</f>
        <v>9775447.24228897</v>
      </c>
      <c r="F150" s="9" t="n">
        <f aca="false">-PMT('Inputs &amp; Monthly CF'!$D$57/12,'Inputs &amp; Monthly CF'!$D$58*12,$E$14)</f>
        <v>74039.9933512736</v>
      </c>
      <c r="G150" s="9" t="n">
        <f aca="false">E150*'Inputs &amp; Monthly CF'!$D$57/12</f>
        <v>50913.787720255</v>
      </c>
      <c r="H150" s="9" t="n">
        <f aca="false">F150-G150</f>
        <v>23126.2056310186</v>
      </c>
      <c r="I150" s="9" t="n">
        <f aca="false">E150-H150</f>
        <v>9752321.03665795</v>
      </c>
    </row>
    <row r="151" customFormat="false" ht="15" hidden="false" customHeight="false" outlineLevel="0" collapsed="false">
      <c r="D151" s="0" t="n">
        <v>138</v>
      </c>
      <c r="E151" s="9" t="n">
        <f aca="false">I150</f>
        <v>9752321.03665795</v>
      </c>
      <c r="F151" s="9" t="n">
        <f aca="false">-PMT('Inputs &amp; Monthly CF'!$D$57/12,'Inputs &amp; Monthly CF'!$D$58*12,$E$14)</f>
        <v>74039.9933512736</v>
      </c>
      <c r="G151" s="9" t="n">
        <f aca="false">E151*'Inputs &amp; Monthly CF'!$D$57/12</f>
        <v>50793.3387325935</v>
      </c>
      <c r="H151" s="9" t="n">
        <f aca="false">F151-G151</f>
        <v>23246.6546186801</v>
      </c>
      <c r="I151" s="9" t="n">
        <f aca="false">E151-H151</f>
        <v>9729074.38203927</v>
      </c>
    </row>
    <row r="152" customFormat="false" ht="15" hidden="false" customHeight="false" outlineLevel="0" collapsed="false">
      <c r="D152" s="0" t="n">
        <v>139</v>
      </c>
      <c r="E152" s="9" t="n">
        <f aca="false">I151</f>
        <v>9729074.38203927</v>
      </c>
      <c r="F152" s="9" t="n">
        <f aca="false">-PMT('Inputs &amp; Monthly CF'!$D$57/12,'Inputs &amp; Monthly CF'!$D$58*12,$E$14)</f>
        <v>74039.9933512736</v>
      </c>
      <c r="G152" s="9" t="n">
        <f aca="false">E152*'Inputs &amp; Monthly CF'!$D$57/12</f>
        <v>50672.2624064545</v>
      </c>
      <c r="H152" s="9" t="n">
        <f aca="false">F152-G152</f>
        <v>23367.7309448191</v>
      </c>
      <c r="I152" s="9" t="n">
        <f aca="false">E152-H152</f>
        <v>9705706.65109445</v>
      </c>
    </row>
    <row r="153" customFormat="false" ht="15" hidden="false" customHeight="false" outlineLevel="0" collapsed="false">
      <c r="D153" s="0" t="n">
        <v>140</v>
      </c>
      <c r="E153" s="9" t="n">
        <f aca="false">I152</f>
        <v>9705706.65109445</v>
      </c>
      <c r="F153" s="9" t="n">
        <f aca="false">-PMT('Inputs &amp; Monthly CF'!$D$57/12,'Inputs &amp; Monthly CF'!$D$58*12,$E$14)</f>
        <v>74039.9933512736</v>
      </c>
      <c r="G153" s="9" t="n">
        <f aca="false">E153*'Inputs &amp; Monthly CF'!$D$57/12</f>
        <v>50550.5554744503</v>
      </c>
      <c r="H153" s="9" t="n">
        <f aca="false">F153-G153</f>
        <v>23489.4378768233</v>
      </c>
      <c r="I153" s="9" t="n">
        <f aca="false">E153-H153</f>
        <v>9682217.21321763</v>
      </c>
    </row>
    <row r="154" customFormat="false" ht="15" hidden="false" customHeight="false" outlineLevel="0" collapsed="false">
      <c r="D154" s="0" t="n">
        <v>141</v>
      </c>
      <c r="E154" s="9" t="n">
        <f aca="false">I153</f>
        <v>9682217.21321763</v>
      </c>
      <c r="F154" s="9" t="n">
        <f aca="false">-PMT('Inputs &amp; Monthly CF'!$D$57/12,'Inputs &amp; Monthly CF'!$D$58*12,$E$14)</f>
        <v>74039.9933512736</v>
      </c>
      <c r="G154" s="9" t="n">
        <f aca="false">E154*'Inputs &amp; Monthly CF'!$D$57/12</f>
        <v>50428.2146521751</v>
      </c>
      <c r="H154" s="9" t="n">
        <f aca="false">F154-G154</f>
        <v>23611.7786990984</v>
      </c>
      <c r="I154" s="9" t="n">
        <f aca="false">E154-H154</f>
        <v>9658605.43451853</v>
      </c>
    </row>
    <row r="155" customFormat="false" ht="15" hidden="false" customHeight="false" outlineLevel="0" collapsed="false">
      <c r="D155" s="0" t="n">
        <v>142</v>
      </c>
      <c r="E155" s="9" t="n">
        <f aca="false">I154</f>
        <v>9658605.43451853</v>
      </c>
      <c r="F155" s="9" t="n">
        <f aca="false">-PMT('Inputs &amp; Monthly CF'!$D$57/12,'Inputs &amp; Monthly CF'!$D$58*12,$E$14)</f>
        <v>74039.9933512736</v>
      </c>
      <c r="G155" s="9" t="n">
        <f aca="false">E155*'Inputs &amp; Monthly CF'!$D$57/12</f>
        <v>50305.2366381173</v>
      </c>
      <c r="H155" s="9" t="n">
        <f aca="false">F155-G155</f>
        <v>23734.7567131562</v>
      </c>
      <c r="I155" s="9" t="n">
        <f aca="false">E155-H155</f>
        <v>9634870.67780537</v>
      </c>
    </row>
    <row r="156" customFormat="false" ht="15" hidden="false" customHeight="false" outlineLevel="0" collapsed="false">
      <c r="D156" s="0" t="n">
        <v>143</v>
      </c>
      <c r="E156" s="9" t="n">
        <f aca="false">I155</f>
        <v>9634870.67780537</v>
      </c>
      <c r="F156" s="9" t="n">
        <f aca="false">-PMT('Inputs &amp; Monthly CF'!$D$57/12,'Inputs &amp; Monthly CF'!$D$58*12,$E$14)</f>
        <v>74039.9933512736</v>
      </c>
      <c r="G156" s="9" t="n">
        <f aca="false">E156*'Inputs &amp; Monthly CF'!$D$57/12</f>
        <v>50181.6181135697</v>
      </c>
      <c r="H156" s="9" t="n">
        <f aca="false">F156-G156</f>
        <v>23858.3752377039</v>
      </c>
      <c r="I156" s="9" t="n">
        <f aca="false">E156-H156</f>
        <v>9611012.30256767</v>
      </c>
    </row>
    <row r="157" customFormat="false" ht="15" hidden="false" customHeight="false" outlineLevel="0" collapsed="false">
      <c r="D157" s="0" t="n">
        <v>144</v>
      </c>
      <c r="E157" s="9" t="n">
        <f aca="false">I156</f>
        <v>9611012.30256767</v>
      </c>
      <c r="F157" s="9" t="n">
        <f aca="false">-PMT('Inputs &amp; Monthly CF'!$D$57/12,'Inputs &amp; Monthly CF'!$D$58*12,$E$14)</f>
        <v>74039.9933512736</v>
      </c>
      <c r="G157" s="9" t="n">
        <f aca="false">E157*'Inputs &amp; Monthly CF'!$D$57/12</f>
        <v>50057.35574254</v>
      </c>
      <c r="H157" s="9" t="n">
        <f aca="false">F157-G157</f>
        <v>23982.6376087336</v>
      </c>
      <c r="I157" s="9" t="n">
        <f aca="false">E157-H157</f>
        <v>9587029.66495894</v>
      </c>
    </row>
    <row r="158" customFormat="false" ht="15" hidden="false" customHeight="false" outlineLevel="0" collapsed="false">
      <c r="D158" s="0" t="n">
        <v>145</v>
      </c>
      <c r="E158" s="9" t="n">
        <f aca="false">I157</f>
        <v>9587029.66495894</v>
      </c>
      <c r="F158" s="9" t="n">
        <f aca="false">-PMT('Inputs &amp; Monthly CF'!$D$57/12,'Inputs &amp; Monthly CF'!$D$58*12,$E$14)</f>
        <v>74039.9933512736</v>
      </c>
      <c r="G158" s="9" t="n">
        <f aca="false">E158*'Inputs &amp; Monthly CF'!$D$57/12</f>
        <v>49932.4461716611</v>
      </c>
      <c r="H158" s="9" t="n">
        <f aca="false">F158-G158</f>
        <v>24107.5471796125</v>
      </c>
      <c r="I158" s="9" t="n">
        <f aca="false">E158-H158</f>
        <v>9562922.11777932</v>
      </c>
    </row>
    <row r="159" customFormat="false" ht="15" hidden="false" customHeight="false" outlineLevel="0" collapsed="false">
      <c r="D159" s="0" t="n">
        <v>146</v>
      </c>
      <c r="E159" s="9" t="n">
        <f aca="false">I158</f>
        <v>9562922.11777932</v>
      </c>
      <c r="F159" s="9" t="n">
        <f aca="false">-PMT('Inputs &amp; Monthly CF'!$D$57/12,'Inputs &amp; Monthly CF'!$D$58*12,$E$14)</f>
        <v>74039.9933512736</v>
      </c>
      <c r="G159" s="9" t="n">
        <f aca="false">E159*'Inputs &amp; Monthly CF'!$D$57/12</f>
        <v>49806.8860301006</v>
      </c>
      <c r="H159" s="9" t="n">
        <f aca="false">F159-G159</f>
        <v>24233.1073211729</v>
      </c>
      <c r="I159" s="9" t="n">
        <f aca="false">E159-H159</f>
        <v>9538689.01045815</v>
      </c>
    </row>
    <row r="160" customFormat="false" ht="15" hidden="false" customHeight="false" outlineLevel="0" collapsed="false">
      <c r="D160" s="0" t="n">
        <v>147</v>
      </c>
      <c r="E160" s="9" t="n">
        <f aca="false">I159</f>
        <v>9538689.01045815</v>
      </c>
      <c r="F160" s="9" t="n">
        <f aca="false">-PMT('Inputs &amp; Monthly CF'!$D$57/12,'Inputs &amp; Monthly CF'!$D$58*12,$E$14)</f>
        <v>74039.9933512736</v>
      </c>
      <c r="G160" s="9" t="n">
        <f aca="false">E160*'Inputs &amp; Monthly CF'!$D$57/12</f>
        <v>49680.6719294695</v>
      </c>
      <c r="H160" s="9" t="n">
        <f aca="false">F160-G160</f>
        <v>24359.3214218041</v>
      </c>
      <c r="I160" s="9" t="n">
        <f aca="false">E160-H160</f>
        <v>9514329.68903635</v>
      </c>
    </row>
    <row r="161" customFormat="false" ht="15" hidden="false" customHeight="false" outlineLevel="0" collapsed="false">
      <c r="D161" s="0" t="n">
        <v>148</v>
      </c>
      <c r="E161" s="9" t="n">
        <f aca="false">I160</f>
        <v>9514329.68903635</v>
      </c>
      <c r="F161" s="9" t="n">
        <f aca="false">-PMT('Inputs &amp; Monthly CF'!$D$57/12,'Inputs &amp; Monthly CF'!$D$58*12,$E$14)</f>
        <v>74039.9933512736</v>
      </c>
      <c r="G161" s="9" t="n">
        <f aca="false">E161*'Inputs &amp; Monthly CF'!$D$57/12</f>
        <v>49553.800463731</v>
      </c>
      <c r="H161" s="9" t="n">
        <f aca="false">F161-G161</f>
        <v>24486.1928875426</v>
      </c>
      <c r="I161" s="9" t="n">
        <f aca="false">E161-H161</f>
        <v>9489843.4961488</v>
      </c>
    </row>
    <row r="162" customFormat="false" ht="15" hidden="false" customHeight="false" outlineLevel="0" collapsed="false">
      <c r="D162" s="0" t="n">
        <v>149</v>
      </c>
      <c r="E162" s="9" t="n">
        <f aca="false">I161</f>
        <v>9489843.4961488</v>
      </c>
      <c r="F162" s="9" t="n">
        <f aca="false">-PMT('Inputs &amp; Monthly CF'!$D$57/12,'Inputs &amp; Monthly CF'!$D$58*12,$E$14)</f>
        <v>74039.9933512736</v>
      </c>
      <c r="G162" s="9" t="n">
        <f aca="false">E162*'Inputs &amp; Monthly CF'!$D$57/12</f>
        <v>49426.2682091084</v>
      </c>
      <c r="H162" s="9" t="n">
        <f aca="false">F162-G162</f>
        <v>24613.7251421652</v>
      </c>
      <c r="I162" s="9" t="n">
        <f aca="false">E162-H162</f>
        <v>9465229.77100664</v>
      </c>
    </row>
    <row r="163" customFormat="false" ht="15" hidden="false" customHeight="false" outlineLevel="0" collapsed="false">
      <c r="D163" s="0" t="n">
        <v>150</v>
      </c>
      <c r="E163" s="9" t="n">
        <f aca="false">I162</f>
        <v>9465229.77100664</v>
      </c>
      <c r="F163" s="9" t="n">
        <f aca="false">-PMT('Inputs &amp; Monthly CF'!$D$57/12,'Inputs &amp; Monthly CF'!$D$58*12,$E$14)</f>
        <v>74039.9933512736</v>
      </c>
      <c r="G163" s="9" t="n">
        <f aca="false">E163*'Inputs &amp; Monthly CF'!$D$57/12</f>
        <v>49298.0717239929</v>
      </c>
      <c r="H163" s="9" t="n">
        <f aca="false">F163-G163</f>
        <v>24741.9216272807</v>
      </c>
      <c r="I163" s="9" t="n">
        <f aca="false">E163-H163</f>
        <v>9440487.84937936</v>
      </c>
    </row>
    <row r="164" customFormat="false" ht="15" hidden="false" customHeight="false" outlineLevel="0" collapsed="false">
      <c r="D164" s="0" t="n">
        <v>151</v>
      </c>
      <c r="E164" s="9" t="n">
        <f aca="false">I163</f>
        <v>9440487.84937936</v>
      </c>
      <c r="F164" s="9" t="n">
        <f aca="false">-PMT('Inputs &amp; Monthly CF'!$D$57/12,'Inputs &amp; Monthly CF'!$D$58*12,$E$14)</f>
        <v>74039.9933512736</v>
      </c>
      <c r="G164" s="9" t="n">
        <f aca="false">E164*'Inputs &amp; Monthly CF'!$D$57/12</f>
        <v>49169.2075488508</v>
      </c>
      <c r="H164" s="9" t="n">
        <f aca="false">F164-G164</f>
        <v>24870.7858024228</v>
      </c>
      <c r="I164" s="9" t="n">
        <f aca="false">E164-H164</f>
        <v>9415617.06357694</v>
      </c>
    </row>
    <row r="165" customFormat="false" ht="15" hidden="false" customHeight="false" outlineLevel="0" collapsed="false">
      <c r="D165" s="0" t="n">
        <v>152</v>
      </c>
      <c r="E165" s="9" t="n">
        <f aca="false">I164</f>
        <v>9415617.06357694</v>
      </c>
      <c r="F165" s="9" t="n">
        <f aca="false">-PMT('Inputs &amp; Monthly CF'!$D$57/12,'Inputs &amp; Monthly CF'!$D$58*12,$E$14)</f>
        <v>74039.9933512736</v>
      </c>
      <c r="G165" s="9" t="n">
        <f aca="false">E165*'Inputs &amp; Monthly CF'!$D$57/12</f>
        <v>49039.6722061299</v>
      </c>
      <c r="H165" s="9" t="n">
        <f aca="false">F165-G165</f>
        <v>25000.3211451437</v>
      </c>
      <c r="I165" s="9" t="n">
        <f aca="false">E165-H165</f>
        <v>9390616.74243179</v>
      </c>
    </row>
    <row r="166" customFormat="false" ht="15" hidden="false" customHeight="false" outlineLevel="0" collapsed="false">
      <c r="D166" s="0" t="n">
        <v>153</v>
      </c>
      <c r="E166" s="9" t="n">
        <f aca="false">I165</f>
        <v>9390616.74243179</v>
      </c>
      <c r="F166" s="9" t="n">
        <f aca="false">-PMT('Inputs &amp; Monthly CF'!$D$57/12,'Inputs &amp; Monthly CF'!$D$58*12,$E$14)</f>
        <v>74039.9933512736</v>
      </c>
      <c r="G166" s="9" t="n">
        <f aca="false">E166*'Inputs &amp; Monthly CF'!$D$57/12</f>
        <v>48909.4622001656</v>
      </c>
      <c r="H166" s="9" t="n">
        <f aca="false">F166-G166</f>
        <v>25130.531151108</v>
      </c>
      <c r="I166" s="9" t="n">
        <f aca="false">E166-H166</f>
        <v>9365486.21128068</v>
      </c>
    </row>
    <row r="167" customFormat="false" ht="15" hidden="false" customHeight="false" outlineLevel="0" collapsed="false">
      <c r="D167" s="0" t="n">
        <v>154</v>
      </c>
      <c r="E167" s="9" t="n">
        <f aca="false">I166</f>
        <v>9365486.21128068</v>
      </c>
      <c r="F167" s="9" t="n">
        <f aca="false">-PMT('Inputs &amp; Monthly CF'!$D$57/12,'Inputs &amp; Monthly CF'!$D$58*12,$E$14)</f>
        <v>74039.9933512736</v>
      </c>
      <c r="G167" s="9" t="n">
        <f aca="false">E167*'Inputs &amp; Monthly CF'!$D$57/12</f>
        <v>48778.5740170869</v>
      </c>
      <c r="H167" s="9" t="n">
        <f aca="false">F167-G167</f>
        <v>25261.4193341867</v>
      </c>
      <c r="I167" s="9" t="n">
        <f aca="false">E167-H167</f>
        <v>9340224.7919465</v>
      </c>
    </row>
    <row r="168" customFormat="false" ht="15" hidden="false" customHeight="false" outlineLevel="0" collapsed="false">
      <c r="D168" s="0" t="n">
        <v>155</v>
      </c>
      <c r="E168" s="9" t="n">
        <f aca="false">I167</f>
        <v>9340224.7919465</v>
      </c>
      <c r="F168" s="9" t="n">
        <f aca="false">-PMT('Inputs &amp; Monthly CF'!$D$57/12,'Inputs &amp; Monthly CF'!$D$58*12,$E$14)</f>
        <v>74039.9933512736</v>
      </c>
      <c r="G168" s="9" t="n">
        <f aca="false">E168*'Inputs &amp; Monthly CF'!$D$57/12</f>
        <v>48647.0041247213</v>
      </c>
      <c r="H168" s="9" t="n">
        <f aca="false">F168-G168</f>
        <v>25392.9892265523</v>
      </c>
      <c r="I168" s="9" t="n">
        <f aca="false">E168-H168</f>
        <v>9314831.80271995</v>
      </c>
    </row>
    <row r="169" customFormat="false" ht="15" hidden="false" customHeight="false" outlineLevel="0" collapsed="false">
      <c r="D169" s="0" t="n">
        <v>156</v>
      </c>
      <c r="E169" s="9" t="n">
        <f aca="false">I168</f>
        <v>9314831.80271995</v>
      </c>
      <c r="F169" s="9" t="n">
        <f aca="false">-PMT('Inputs &amp; Monthly CF'!$D$57/12,'Inputs &amp; Monthly CF'!$D$58*12,$E$14)</f>
        <v>74039.9933512736</v>
      </c>
      <c r="G169" s="9" t="n">
        <f aca="false">E169*'Inputs &amp; Monthly CF'!$D$57/12</f>
        <v>48514.7489724997</v>
      </c>
      <c r="H169" s="9" t="n">
        <f aca="false">F169-G169</f>
        <v>25525.2443787739</v>
      </c>
      <c r="I169" s="9" t="n">
        <f aca="false">E169-H169</f>
        <v>9289306.55834117</v>
      </c>
    </row>
    <row r="170" customFormat="false" ht="15" hidden="false" customHeight="false" outlineLevel="0" collapsed="false">
      <c r="D170" s="0" t="n">
        <v>157</v>
      </c>
      <c r="E170" s="9" t="n">
        <f aca="false">I169</f>
        <v>9289306.55834117</v>
      </c>
      <c r="F170" s="9" t="n">
        <f aca="false">-PMT('Inputs &amp; Monthly CF'!$D$57/12,'Inputs &amp; Monthly CF'!$D$58*12,$E$14)</f>
        <v>74039.9933512736</v>
      </c>
      <c r="G170" s="9" t="n">
        <f aca="false">E170*'Inputs &amp; Monthly CF'!$D$57/12</f>
        <v>48381.8049913603</v>
      </c>
      <c r="H170" s="9" t="n">
        <f aca="false">F170-G170</f>
        <v>25658.1883599133</v>
      </c>
      <c r="I170" s="9" t="n">
        <f aca="false">E170-H170</f>
        <v>9263648.36998126</v>
      </c>
    </row>
    <row r="171" customFormat="false" ht="15" hidden="false" customHeight="false" outlineLevel="0" collapsed="false">
      <c r="D171" s="0" t="n">
        <v>158</v>
      </c>
      <c r="E171" s="9" t="n">
        <f aca="false">I170</f>
        <v>9263648.36998126</v>
      </c>
      <c r="F171" s="9" t="n">
        <f aca="false">-PMT('Inputs &amp; Monthly CF'!$D$57/12,'Inputs &amp; Monthly CF'!$D$58*12,$E$14)</f>
        <v>74039.9933512736</v>
      </c>
      <c r="G171" s="9" t="n">
        <f aca="false">E171*'Inputs &amp; Monthly CF'!$D$57/12</f>
        <v>48248.1685936524</v>
      </c>
      <c r="H171" s="9" t="n">
        <f aca="false">F171-G171</f>
        <v>25791.8247576212</v>
      </c>
      <c r="I171" s="9" t="n">
        <f aca="false">E171-H171</f>
        <v>9237856.54522364</v>
      </c>
    </row>
    <row r="172" customFormat="false" ht="15" hidden="false" customHeight="false" outlineLevel="0" collapsed="false">
      <c r="D172" s="0" t="n">
        <v>159</v>
      </c>
      <c r="E172" s="9" t="n">
        <f aca="false">I171</f>
        <v>9237856.54522364</v>
      </c>
      <c r="F172" s="9" t="n">
        <f aca="false">-PMT('Inputs &amp; Monthly CF'!$D$57/12,'Inputs &amp; Monthly CF'!$D$58*12,$E$14)</f>
        <v>74039.9933512736</v>
      </c>
      <c r="G172" s="9" t="n">
        <f aca="false">E172*'Inputs &amp; Monthly CF'!$D$57/12</f>
        <v>48113.8361730398</v>
      </c>
      <c r="H172" s="9" t="n">
        <f aca="false">F172-G172</f>
        <v>25926.1571782338</v>
      </c>
      <c r="I172" s="9" t="n">
        <f aca="false">E172-H172</f>
        <v>9211930.3880454</v>
      </c>
    </row>
    <row r="173" customFormat="false" ht="15" hidden="false" customHeight="false" outlineLevel="0" collapsed="false">
      <c r="D173" s="0" t="n">
        <v>160</v>
      </c>
      <c r="E173" s="9" t="n">
        <f aca="false">I172</f>
        <v>9211930.3880454</v>
      </c>
      <c r="F173" s="9" t="n">
        <f aca="false">-PMT('Inputs &amp; Monthly CF'!$D$57/12,'Inputs &amp; Monthly CF'!$D$58*12,$E$14)</f>
        <v>74039.9933512736</v>
      </c>
      <c r="G173" s="9" t="n">
        <f aca="false">E173*'Inputs &amp; Monthly CF'!$D$57/12</f>
        <v>47978.8041044032</v>
      </c>
      <c r="H173" s="9" t="n">
        <f aca="false">F173-G173</f>
        <v>26061.1892468704</v>
      </c>
      <c r="I173" s="9" t="n">
        <f aca="false">E173-H173</f>
        <v>9185869.19879853</v>
      </c>
    </row>
    <row r="174" customFormat="false" ht="15" hidden="false" customHeight="false" outlineLevel="0" collapsed="false">
      <c r="D174" s="0" t="n">
        <v>161</v>
      </c>
      <c r="E174" s="9" t="n">
        <f aca="false">I173</f>
        <v>9185869.19879853</v>
      </c>
      <c r="F174" s="9" t="n">
        <f aca="false">-PMT('Inputs &amp; Monthly CF'!$D$57/12,'Inputs &amp; Monthly CF'!$D$58*12,$E$14)</f>
        <v>74039.9933512736</v>
      </c>
      <c r="G174" s="9" t="n">
        <f aca="false">E174*'Inputs &amp; Monthly CF'!$D$57/12</f>
        <v>47843.0687437424</v>
      </c>
      <c r="H174" s="9" t="n">
        <f aca="false">F174-G174</f>
        <v>26196.9246075312</v>
      </c>
      <c r="I174" s="9" t="n">
        <f aca="false">E174-H174</f>
        <v>9159672.274191</v>
      </c>
    </row>
    <row r="175" customFormat="false" ht="15" hidden="false" customHeight="false" outlineLevel="0" collapsed="false">
      <c r="D175" s="0" t="n">
        <v>162</v>
      </c>
      <c r="E175" s="9" t="n">
        <f aca="false">I174</f>
        <v>9159672.274191</v>
      </c>
      <c r="F175" s="9" t="n">
        <f aca="false">-PMT('Inputs &amp; Monthly CF'!$D$57/12,'Inputs &amp; Monthly CF'!$D$58*12,$E$14)</f>
        <v>74039.9933512736</v>
      </c>
      <c r="G175" s="9" t="n">
        <f aca="false">E175*'Inputs &amp; Monthly CF'!$D$57/12</f>
        <v>47706.6264280781</v>
      </c>
      <c r="H175" s="9" t="n">
        <f aca="false">F175-G175</f>
        <v>26333.3669231955</v>
      </c>
      <c r="I175" s="9" t="n">
        <f aca="false">E175-H175</f>
        <v>9133338.90726781</v>
      </c>
    </row>
    <row r="176" customFormat="false" ht="15" hidden="false" customHeight="false" outlineLevel="0" collapsed="false">
      <c r="D176" s="0" t="n">
        <v>163</v>
      </c>
      <c r="E176" s="9" t="n">
        <f aca="false">I175</f>
        <v>9133338.90726781</v>
      </c>
      <c r="F176" s="9" t="n">
        <f aca="false">-PMT('Inputs &amp; Monthly CF'!$D$57/12,'Inputs &amp; Monthly CF'!$D$58*12,$E$14)</f>
        <v>74039.9933512736</v>
      </c>
      <c r="G176" s="9" t="n">
        <f aca="false">E176*'Inputs &amp; Monthly CF'!$D$57/12</f>
        <v>47569.4734753532</v>
      </c>
      <c r="H176" s="9" t="n">
        <f aca="false">F176-G176</f>
        <v>26470.5198759204</v>
      </c>
      <c r="I176" s="9" t="n">
        <f aca="false">E176-H176</f>
        <v>9106868.38739188</v>
      </c>
    </row>
    <row r="177" customFormat="false" ht="15" hidden="false" customHeight="false" outlineLevel="0" collapsed="false">
      <c r="D177" s="0" t="n">
        <v>164</v>
      </c>
      <c r="E177" s="9" t="n">
        <f aca="false">I176</f>
        <v>9106868.38739188</v>
      </c>
      <c r="F177" s="9" t="n">
        <f aca="false">-PMT('Inputs &amp; Monthly CF'!$D$57/12,'Inputs &amp; Monthly CF'!$D$58*12,$E$14)</f>
        <v>74039.9933512736</v>
      </c>
      <c r="G177" s="9" t="n">
        <f aca="false">E177*'Inputs &amp; Monthly CF'!$D$57/12</f>
        <v>47431.6061843327</v>
      </c>
      <c r="H177" s="9" t="n">
        <f aca="false">F177-G177</f>
        <v>26608.3871669409</v>
      </c>
      <c r="I177" s="9" t="n">
        <f aca="false">E177-H177</f>
        <v>9080260.00022494</v>
      </c>
    </row>
    <row r="178" customFormat="false" ht="15" hidden="false" customHeight="false" outlineLevel="0" collapsed="false">
      <c r="D178" s="0" t="n">
        <v>165</v>
      </c>
      <c r="E178" s="9" t="n">
        <f aca="false">I177</f>
        <v>9080260.00022494</v>
      </c>
      <c r="F178" s="9" t="n">
        <f aca="false">-PMT('Inputs &amp; Monthly CF'!$D$57/12,'Inputs &amp; Monthly CF'!$D$58*12,$E$14)</f>
        <v>74039.9933512736</v>
      </c>
      <c r="G178" s="9" t="n">
        <f aca="false">E178*'Inputs &amp; Monthly CF'!$D$57/12</f>
        <v>47293.0208345049</v>
      </c>
      <c r="H178" s="9" t="n">
        <f aca="false">F178-G178</f>
        <v>26746.9725167687</v>
      </c>
      <c r="I178" s="9" t="n">
        <f aca="false">E178-H178</f>
        <v>9053513.02770817</v>
      </c>
    </row>
    <row r="179" customFormat="false" ht="15" hidden="false" customHeight="false" outlineLevel="0" collapsed="false">
      <c r="D179" s="0" t="n">
        <v>166</v>
      </c>
      <c r="E179" s="9" t="n">
        <f aca="false">I178</f>
        <v>9053513.02770817</v>
      </c>
      <c r="F179" s="9" t="n">
        <f aca="false">-PMT('Inputs &amp; Monthly CF'!$D$57/12,'Inputs &amp; Monthly CF'!$D$58*12,$E$14)</f>
        <v>74039.9933512736</v>
      </c>
      <c r="G179" s="9" t="n">
        <f aca="false">E179*'Inputs &amp; Monthly CF'!$D$57/12</f>
        <v>47153.7136859801</v>
      </c>
      <c r="H179" s="9" t="n">
        <f aca="false">F179-G179</f>
        <v>26886.2796652935</v>
      </c>
      <c r="I179" s="9" t="n">
        <f aca="false">E179-H179</f>
        <v>9026626.74804288</v>
      </c>
    </row>
    <row r="180" customFormat="false" ht="15" hidden="false" customHeight="false" outlineLevel="0" collapsed="false">
      <c r="D180" s="0" t="n">
        <v>167</v>
      </c>
      <c r="E180" s="9" t="n">
        <f aca="false">I179</f>
        <v>9026626.74804288</v>
      </c>
      <c r="F180" s="9" t="n">
        <f aca="false">-PMT('Inputs &amp; Monthly CF'!$D$57/12,'Inputs &amp; Monthly CF'!$D$58*12,$E$14)</f>
        <v>74039.9933512736</v>
      </c>
      <c r="G180" s="9" t="n">
        <f aca="false">E180*'Inputs &amp; Monthly CF'!$D$57/12</f>
        <v>47013.68097939</v>
      </c>
      <c r="H180" s="9" t="n">
        <f aca="false">F180-G180</f>
        <v>27026.3123718836</v>
      </c>
      <c r="I180" s="9" t="n">
        <f aca="false">E180-H180</f>
        <v>8999600.435671</v>
      </c>
    </row>
    <row r="181" customFormat="false" ht="15" hidden="false" customHeight="false" outlineLevel="0" collapsed="false">
      <c r="D181" s="0" t="n">
        <v>168</v>
      </c>
      <c r="E181" s="9" t="n">
        <f aca="false">I180</f>
        <v>8999600.435671</v>
      </c>
      <c r="F181" s="9" t="n">
        <f aca="false">-PMT('Inputs &amp; Monthly CF'!$D$57/12,'Inputs &amp; Monthly CF'!$D$58*12,$E$14)</f>
        <v>74039.9933512736</v>
      </c>
      <c r="G181" s="9" t="n">
        <f aca="false">E181*'Inputs &amp; Monthly CF'!$D$57/12</f>
        <v>46872.9189357864</v>
      </c>
      <c r="H181" s="9" t="n">
        <f aca="false">F181-G181</f>
        <v>27167.0744154872</v>
      </c>
      <c r="I181" s="9" t="n">
        <f aca="false">E181-H181</f>
        <v>8972433.36125551</v>
      </c>
    </row>
    <row r="182" customFormat="false" ht="15" hidden="false" customHeight="false" outlineLevel="0" collapsed="false">
      <c r="D182" s="0" t="n">
        <v>169</v>
      </c>
      <c r="E182" s="9" t="n">
        <f aca="false">I181</f>
        <v>8972433.36125551</v>
      </c>
      <c r="F182" s="9" t="n">
        <f aca="false">-PMT('Inputs &amp; Monthly CF'!$D$57/12,'Inputs &amp; Monthly CF'!$D$58*12,$E$14)</f>
        <v>74039.9933512736</v>
      </c>
      <c r="G182" s="9" t="n">
        <f aca="false">E182*'Inputs &amp; Monthly CF'!$D$57/12</f>
        <v>46731.4237565391</v>
      </c>
      <c r="H182" s="9" t="n">
        <f aca="false">F182-G182</f>
        <v>27308.5695947345</v>
      </c>
      <c r="I182" s="9" t="n">
        <f aca="false">E182-H182</f>
        <v>8945124.79166077</v>
      </c>
    </row>
    <row r="183" customFormat="false" ht="15" hidden="false" customHeight="false" outlineLevel="0" collapsed="false">
      <c r="D183" s="0" t="n">
        <v>170</v>
      </c>
      <c r="E183" s="9" t="n">
        <f aca="false">I182</f>
        <v>8945124.79166077</v>
      </c>
      <c r="F183" s="9" t="n">
        <f aca="false">-PMT('Inputs &amp; Monthly CF'!$D$57/12,'Inputs &amp; Monthly CF'!$D$58*12,$E$14)</f>
        <v>74039.9933512736</v>
      </c>
      <c r="G183" s="9" t="n">
        <f aca="false">E183*'Inputs &amp; Monthly CF'!$D$57/12</f>
        <v>46589.1916232332</v>
      </c>
      <c r="H183" s="9" t="n">
        <f aca="false">F183-G183</f>
        <v>27450.8017280404</v>
      </c>
      <c r="I183" s="9" t="n">
        <f aca="false">E183-H183</f>
        <v>8917673.98993274</v>
      </c>
    </row>
    <row r="184" customFormat="false" ht="15" hidden="false" customHeight="false" outlineLevel="0" collapsed="false">
      <c r="D184" s="0" t="n">
        <v>171</v>
      </c>
      <c r="E184" s="9" t="n">
        <f aca="false">I183</f>
        <v>8917673.98993274</v>
      </c>
      <c r="F184" s="9" t="n">
        <f aca="false">-PMT('Inputs &amp; Monthly CF'!$D$57/12,'Inputs &amp; Monthly CF'!$D$58*12,$E$14)</f>
        <v>74039.9933512736</v>
      </c>
      <c r="G184" s="9" t="n">
        <f aca="false">E184*'Inputs &amp; Monthly CF'!$D$57/12</f>
        <v>46446.2186975663</v>
      </c>
      <c r="H184" s="9" t="n">
        <f aca="false">F184-G184</f>
        <v>27593.7746537073</v>
      </c>
      <c r="I184" s="9" t="n">
        <f aca="false">E184-H184</f>
        <v>8890080.21527903</v>
      </c>
    </row>
    <row r="185" customFormat="false" ht="15" hidden="false" customHeight="false" outlineLevel="0" collapsed="false">
      <c r="D185" s="0" t="n">
        <v>172</v>
      </c>
      <c r="E185" s="9" t="n">
        <f aca="false">I184</f>
        <v>8890080.21527903</v>
      </c>
      <c r="F185" s="9" t="n">
        <f aca="false">-PMT('Inputs &amp; Monthly CF'!$D$57/12,'Inputs &amp; Monthly CF'!$D$58*12,$E$14)</f>
        <v>74039.9933512736</v>
      </c>
      <c r="G185" s="9" t="n">
        <f aca="false">E185*'Inputs &amp; Monthly CF'!$D$57/12</f>
        <v>46302.5011212449</v>
      </c>
      <c r="H185" s="9" t="n">
        <f aca="false">F185-G185</f>
        <v>27737.4922300287</v>
      </c>
      <c r="I185" s="9" t="n">
        <f aca="false">E185-H185</f>
        <v>8862342.723049</v>
      </c>
    </row>
    <row r="186" customFormat="false" ht="15" hidden="false" customHeight="false" outlineLevel="0" collapsed="false">
      <c r="D186" s="0" t="n">
        <v>173</v>
      </c>
      <c r="E186" s="9" t="n">
        <f aca="false">I185</f>
        <v>8862342.723049</v>
      </c>
      <c r="F186" s="9" t="n">
        <f aca="false">-PMT('Inputs &amp; Monthly CF'!$D$57/12,'Inputs &amp; Monthly CF'!$D$58*12,$E$14)</f>
        <v>74039.9933512736</v>
      </c>
      <c r="G186" s="9" t="n">
        <f aca="false">E186*'Inputs &amp; Monthly CF'!$D$57/12</f>
        <v>46158.0350158802</v>
      </c>
      <c r="H186" s="9" t="n">
        <f aca="false">F186-G186</f>
        <v>27881.9583353934</v>
      </c>
      <c r="I186" s="9" t="n">
        <f aca="false">E186-H186</f>
        <v>8834460.76471361</v>
      </c>
    </row>
    <row r="187" customFormat="false" ht="15" hidden="false" customHeight="false" outlineLevel="0" collapsed="false">
      <c r="D187" s="0" t="n">
        <v>174</v>
      </c>
      <c r="E187" s="9" t="n">
        <f aca="false">I186</f>
        <v>8834460.76471361</v>
      </c>
      <c r="F187" s="9" t="n">
        <f aca="false">-PMT('Inputs &amp; Monthly CF'!$D$57/12,'Inputs &amp; Monthly CF'!$D$58*12,$E$14)</f>
        <v>74039.9933512736</v>
      </c>
      <c r="G187" s="9" t="n">
        <f aca="false">E187*'Inputs &amp; Monthly CF'!$D$57/12</f>
        <v>46012.8164828834</v>
      </c>
      <c r="H187" s="9" t="n">
        <f aca="false">F187-G187</f>
        <v>28027.1768683902</v>
      </c>
      <c r="I187" s="9" t="n">
        <f aca="false">E187-H187</f>
        <v>8806433.58784522</v>
      </c>
    </row>
    <row r="188" customFormat="false" ht="15" hidden="false" customHeight="false" outlineLevel="0" collapsed="false">
      <c r="D188" s="0" t="n">
        <v>175</v>
      </c>
      <c r="E188" s="9" t="n">
        <f aca="false">I187</f>
        <v>8806433.58784522</v>
      </c>
      <c r="F188" s="9" t="n">
        <f aca="false">-PMT('Inputs &amp; Monthly CF'!$D$57/12,'Inputs &amp; Monthly CF'!$D$58*12,$E$14)</f>
        <v>74039.9933512736</v>
      </c>
      <c r="G188" s="9" t="n">
        <f aca="false">E188*'Inputs &amp; Monthly CF'!$D$57/12</f>
        <v>45866.8416033605</v>
      </c>
      <c r="H188" s="9" t="n">
        <f aca="false">F188-G188</f>
        <v>28173.1517479131</v>
      </c>
      <c r="I188" s="9" t="n">
        <f aca="false">E188-H188</f>
        <v>8778260.4360973</v>
      </c>
    </row>
    <row r="189" customFormat="false" ht="15" hidden="false" customHeight="false" outlineLevel="0" collapsed="false">
      <c r="D189" s="0" t="n">
        <v>176</v>
      </c>
      <c r="E189" s="9" t="n">
        <f aca="false">I188</f>
        <v>8778260.4360973</v>
      </c>
      <c r="F189" s="9" t="n">
        <f aca="false">-PMT('Inputs &amp; Monthly CF'!$D$57/12,'Inputs &amp; Monthly CF'!$D$58*12,$E$14)</f>
        <v>74039.9933512736</v>
      </c>
      <c r="G189" s="9" t="n">
        <f aca="false">E189*'Inputs &amp; Monthly CF'!$D$57/12</f>
        <v>45720.1064380068</v>
      </c>
      <c r="H189" s="9" t="n">
        <f aca="false">F189-G189</f>
        <v>28319.8869132668</v>
      </c>
      <c r="I189" s="9" t="n">
        <f aca="false">E189-H189</f>
        <v>8749940.54918404</v>
      </c>
    </row>
    <row r="190" customFormat="false" ht="15" hidden="false" customHeight="false" outlineLevel="0" collapsed="false">
      <c r="D190" s="0" t="n">
        <v>177</v>
      </c>
      <c r="E190" s="9" t="n">
        <f aca="false">I189</f>
        <v>8749940.54918404</v>
      </c>
      <c r="F190" s="9" t="n">
        <f aca="false">-PMT('Inputs &amp; Monthly CF'!$D$57/12,'Inputs &amp; Monthly CF'!$D$58*12,$E$14)</f>
        <v>74039.9933512736</v>
      </c>
      <c r="G190" s="9" t="n">
        <f aca="false">E190*'Inputs &amp; Monthly CF'!$D$57/12</f>
        <v>45572.6070270002</v>
      </c>
      <c r="H190" s="9" t="n">
        <f aca="false">F190-G190</f>
        <v>28467.3863242734</v>
      </c>
      <c r="I190" s="9" t="n">
        <f aca="false">E190-H190</f>
        <v>8721473.16285976</v>
      </c>
    </row>
    <row r="191" customFormat="false" ht="15" hidden="false" customHeight="false" outlineLevel="0" collapsed="false">
      <c r="D191" s="0" t="n">
        <v>178</v>
      </c>
      <c r="E191" s="9" t="n">
        <f aca="false">I190</f>
        <v>8721473.16285976</v>
      </c>
      <c r="F191" s="9" t="n">
        <f aca="false">-PMT('Inputs &amp; Monthly CF'!$D$57/12,'Inputs &amp; Monthly CF'!$D$58*12,$E$14)</f>
        <v>74039.9933512736</v>
      </c>
      <c r="G191" s="9" t="n">
        <f aca="false">E191*'Inputs &amp; Monthly CF'!$D$57/12</f>
        <v>45424.3393898946</v>
      </c>
      <c r="H191" s="9" t="n">
        <f aca="false">F191-G191</f>
        <v>28615.653961379</v>
      </c>
      <c r="I191" s="9" t="n">
        <f aca="false">E191-H191</f>
        <v>8692857.50889839</v>
      </c>
    </row>
    <row r="192" customFormat="false" ht="15" hidden="false" customHeight="false" outlineLevel="0" collapsed="false">
      <c r="D192" s="0" t="n">
        <v>179</v>
      </c>
      <c r="E192" s="9" t="n">
        <f aca="false">I191</f>
        <v>8692857.50889839</v>
      </c>
      <c r="F192" s="9" t="n">
        <f aca="false">-PMT('Inputs &amp; Monthly CF'!$D$57/12,'Inputs &amp; Monthly CF'!$D$58*12,$E$14)</f>
        <v>74039.9933512736</v>
      </c>
      <c r="G192" s="9" t="n">
        <f aca="false">E192*'Inputs &amp; Monthly CF'!$D$57/12</f>
        <v>45275.2995255124</v>
      </c>
      <c r="H192" s="9" t="n">
        <f aca="false">F192-G192</f>
        <v>28764.6938257612</v>
      </c>
      <c r="I192" s="9" t="n">
        <f aca="false">E192-H192</f>
        <v>8664092.81507262</v>
      </c>
    </row>
    <row r="193" customFormat="false" ht="15" hidden="false" customHeight="false" outlineLevel="0" collapsed="false">
      <c r="D193" s="0" t="n">
        <v>180</v>
      </c>
      <c r="E193" s="9" t="n">
        <f aca="false">I192</f>
        <v>8664092.81507262</v>
      </c>
      <c r="F193" s="9" t="n">
        <f aca="false">-PMT('Inputs &amp; Monthly CF'!$D$57/12,'Inputs &amp; Monthly CF'!$D$58*12,$E$14)</f>
        <v>74039.9933512736</v>
      </c>
      <c r="G193" s="9" t="n">
        <f aca="false">E193*'Inputs &amp; Monthly CF'!$D$57/12</f>
        <v>45125.4834118366</v>
      </c>
      <c r="H193" s="9" t="n">
        <f aca="false">F193-G193</f>
        <v>28914.509939437</v>
      </c>
      <c r="I193" s="9" t="n">
        <f aca="false">E193-H193</f>
        <v>8635178.30513319</v>
      </c>
    </row>
    <row r="194" customFormat="false" ht="15" hidden="false" customHeight="false" outlineLevel="0" collapsed="false">
      <c r="D194" s="0" t="n">
        <v>181</v>
      </c>
      <c r="E194" s="9" t="n">
        <f aca="false">I193</f>
        <v>8635178.30513319</v>
      </c>
      <c r="F194" s="9" t="n">
        <f aca="false">-PMT('Inputs &amp; Monthly CF'!$D$57/12,'Inputs &amp; Monthly CF'!$D$58*12,$E$14)</f>
        <v>74039.9933512736</v>
      </c>
      <c r="G194" s="9" t="n">
        <f aca="false">E194*'Inputs &amp; Monthly CF'!$D$57/12</f>
        <v>44974.887005902</v>
      </c>
      <c r="H194" s="9" t="n">
        <f aca="false">F194-G194</f>
        <v>29065.1063453716</v>
      </c>
      <c r="I194" s="9" t="n">
        <f aca="false">E194-H194</f>
        <v>8606113.19878781</v>
      </c>
    </row>
    <row r="195" customFormat="false" ht="15" hidden="false" customHeight="false" outlineLevel="0" collapsed="false">
      <c r="D195" s="0" t="n">
        <v>182</v>
      </c>
      <c r="E195" s="9" t="n">
        <f aca="false">I194</f>
        <v>8606113.19878781</v>
      </c>
      <c r="F195" s="9" t="n">
        <f aca="false">-PMT('Inputs &amp; Monthly CF'!$D$57/12,'Inputs &amp; Monthly CF'!$D$58*12,$E$14)</f>
        <v>74039.9933512736</v>
      </c>
      <c r="G195" s="9" t="n">
        <f aca="false">E195*'Inputs &amp; Monthly CF'!$D$57/12</f>
        <v>44823.5062436865</v>
      </c>
      <c r="H195" s="9" t="n">
        <f aca="false">F195-G195</f>
        <v>29216.4871075871</v>
      </c>
      <c r="I195" s="9" t="n">
        <f aca="false">E195-H195</f>
        <v>8576896.71168023</v>
      </c>
    </row>
    <row r="196" customFormat="false" ht="15" hidden="false" customHeight="false" outlineLevel="0" collapsed="false">
      <c r="D196" s="0" t="n">
        <v>183</v>
      </c>
      <c r="E196" s="9" t="n">
        <f aca="false">I195</f>
        <v>8576896.71168023</v>
      </c>
      <c r="F196" s="9" t="n">
        <f aca="false">-PMT('Inputs &amp; Monthly CF'!$D$57/12,'Inputs &amp; Monthly CF'!$D$58*12,$E$14)</f>
        <v>74039.9933512736</v>
      </c>
      <c r="G196" s="9" t="n">
        <f aca="false">E196*'Inputs &amp; Monthly CF'!$D$57/12</f>
        <v>44671.3370400012</v>
      </c>
      <c r="H196" s="9" t="n">
        <f aca="false">F196-G196</f>
        <v>29368.6563112724</v>
      </c>
      <c r="I196" s="9" t="n">
        <f aca="false">E196-H196</f>
        <v>8547528.05536895</v>
      </c>
    </row>
    <row r="197" customFormat="false" ht="15" hidden="false" customHeight="false" outlineLevel="0" collapsed="false">
      <c r="D197" s="0" t="n">
        <v>184</v>
      </c>
      <c r="E197" s="9" t="n">
        <f aca="false">I196</f>
        <v>8547528.05536895</v>
      </c>
      <c r="F197" s="9" t="n">
        <f aca="false">-PMT('Inputs &amp; Monthly CF'!$D$57/12,'Inputs &amp; Monthly CF'!$D$58*12,$E$14)</f>
        <v>74039.9933512736</v>
      </c>
      <c r="G197" s="9" t="n">
        <f aca="false">E197*'Inputs &amp; Monthly CF'!$D$57/12</f>
        <v>44518.37528838</v>
      </c>
      <c r="H197" s="9" t="n">
        <f aca="false">F197-G197</f>
        <v>29521.6180628936</v>
      </c>
      <c r="I197" s="9" t="n">
        <f aca="false">E197-H197</f>
        <v>8518006.43730606</v>
      </c>
    </row>
    <row r="198" customFormat="false" ht="15" hidden="false" customHeight="false" outlineLevel="0" collapsed="false">
      <c r="D198" s="0" t="n">
        <v>185</v>
      </c>
      <c r="E198" s="9" t="n">
        <f aca="false">I197</f>
        <v>8518006.43730606</v>
      </c>
      <c r="F198" s="9" t="n">
        <f aca="false">-PMT('Inputs &amp; Monthly CF'!$D$57/12,'Inputs &amp; Monthly CF'!$D$58*12,$E$14)</f>
        <v>74039.9933512736</v>
      </c>
      <c r="G198" s="9" t="n">
        <f aca="false">E198*'Inputs &amp; Monthly CF'!$D$57/12</f>
        <v>44364.6168609691</v>
      </c>
      <c r="H198" s="9" t="n">
        <f aca="false">F198-G198</f>
        <v>29675.3764903045</v>
      </c>
      <c r="I198" s="9" t="n">
        <f aca="false">E198-H198</f>
        <v>8488331.06081576</v>
      </c>
    </row>
    <row r="199" customFormat="false" ht="15" hidden="false" customHeight="false" outlineLevel="0" collapsed="false">
      <c r="D199" s="0" t="n">
        <v>186</v>
      </c>
      <c r="E199" s="9" t="n">
        <f aca="false">I198</f>
        <v>8488331.06081576</v>
      </c>
      <c r="F199" s="9" t="n">
        <f aca="false">-PMT('Inputs &amp; Monthly CF'!$D$57/12,'Inputs &amp; Monthly CF'!$D$58*12,$E$14)</f>
        <v>74039.9933512736</v>
      </c>
      <c r="G199" s="9" t="n">
        <f aca="false">E199*'Inputs &amp; Monthly CF'!$D$57/12</f>
        <v>44210.0576084154</v>
      </c>
      <c r="H199" s="9" t="n">
        <f aca="false">F199-G199</f>
        <v>29829.9357428582</v>
      </c>
      <c r="I199" s="9" t="n">
        <f aca="false">E199-H199</f>
        <v>8458501.1250729</v>
      </c>
    </row>
    <row r="200" customFormat="false" ht="15" hidden="false" customHeight="false" outlineLevel="0" collapsed="false">
      <c r="D200" s="0" t="n">
        <v>187</v>
      </c>
      <c r="E200" s="9" t="n">
        <f aca="false">I199</f>
        <v>8458501.1250729</v>
      </c>
      <c r="F200" s="9" t="n">
        <f aca="false">-PMT('Inputs &amp; Monthly CF'!$D$57/12,'Inputs &amp; Monthly CF'!$D$58*12,$E$14)</f>
        <v>74039.9933512736</v>
      </c>
      <c r="G200" s="9" t="n">
        <f aca="false">E200*'Inputs &amp; Monthly CF'!$D$57/12</f>
        <v>44054.6933597547</v>
      </c>
      <c r="H200" s="9" t="n">
        <f aca="false">F200-G200</f>
        <v>29985.2999915189</v>
      </c>
      <c r="I200" s="9" t="n">
        <f aca="false">E200-H200</f>
        <v>8428515.82508138</v>
      </c>
    </row>
    <row r="201" customFormat="false" ht="15" hidden="false" customHeight="false" outlineLevel="0" collapsed="false">
      <c r="D201" s="0" t="n">
        <v>188</v>
      </c>
      <c r="E201" s="9" t="n">
        <f aca="false">I200</f>
        <v>8428515.82508138</v>
      </c>
      <c r="F201" s="9" t="n">
        <f aca="false">-PMT('Inputs &amp; Monthly CF'!$D$57/12,'Inputs &amp; Monthly CF'!$D$58*12,$E$14)</f>
        <v>74039.9933512736</v>
      </c>
      <c r="G201" s="9" t="n">
        <f aca="false">E201*'Inputs &amp; Monthly CF'!$D$57/12</f>
        <v>43898.5199222989</v>
      </c>
      <c r="H201" s="9" t="n">
        <f aca="false">F201-G201</f>
        <v>30141.4734289747</v>
      </c>
      <c r="I201" s="9" t="n">
        <f aca="false">E201-H201</f>
        <v>8398374.35165241</v>
      </c>
    </row>
    <row r="202" customFormat="false" ht="15" hidden="false" customHeight="false" outlineLevel="0" collapsed="false">
      <c r="D202" s="0" t="n">
        <v>189</v>
      </c>
      <c r="E202" s="9" t="n">
        <f aca="false">I201</f>
        <v>8398374.35165241</v>
      </c>
      <c r="F202" s="9" t="n">
        <f aca="false">-PMT('Inputs &amp; Monthly CF'!$D$57/12,'Inputs &amp; Monthly CF'!$D$58*12,$E$14)</f>
        <v>74039.9933512736</v>
      </c>
      <c r="G202" s="9" t="n">
        <f aca="false">E202*'Inputs &amp; Monthly CF'!$D$57/12</f>
        <v>43741.5330815229</v>
      </c>
      <c r="H202" s="9" t="n">
        <f aca="false">F202-G202</f>
        <v>30298.4602697506</v>
      </c>
      <c r="I202" s="9" t="n">
        <f aca="false">E202-H202</f>
        <v>8368075.89138266</v>
      </c>
    </row>
    <row r="203" customFormat="false" ht="15" hidden="false" customHeight="false" outlineLevel="0" collapsed="false">
      <c r="D203" s="0" t="n">
        <v>190</v>
      </c>
      <c r="E203" s="9" t="n">
        <f aca="false">I202</f>
        <v>8368075.89138266</v>
      </c>
      <c r="F203" s="9" t="n">
        <f aca="false">-PMT('Inputs &amp; Monthly CF'!$D$57/12,'Inputs &amp; Monthly CF'!$D$58*12,$E$14)</f>
        <v>74039.9933512736</v>
      </c>
      <c r="G203" s="9" t="n">
        <f aca="false">E203*'Inputs &amp; Monthly CF'!$D$57/12</f>
        <v>43583.7286009513</v>
      </c>
      <c r="H203" s="9" t="n">
        <f aca="false">F203-G203</f>
        <v>30456.2647503223</v>
      </c>
      <c r="I203" s="9" t="n">
        <f aca="false">E203-H203</f>
        <v>8337619.62663233</v>
      </c>
    </row>
    <row r="204" customFormat="false" ht="15" hidden="false" customHeight="false" outlineLevel="0" collapsed="false">
      <c r="D204" s="0" t="n">
        <v>191</v>
      </c>
      <c r="E204" s="9" t="n">
        <f aca="false">I203</f>
        <v>8337619.62663233</v>
      </c>
      <c r="F204" s="9" t="n">
        <f aca="false">-PMT('Inputs &amp; Monthly CF'!$D$57/12,'Inputs &amp; Monthly CF'!$D$58*12,$E$14)</f>
        <v>74039.9933512736</v>
      </c>
      <c r="G204" s="9" t="n">
        <f aca="false">E204*'Inputs &amp; Monthly CF'!$D$57/12</f>
        <v>43425.1022220434</v>
      </c>
      <c r="H204" s="9" t="n">
        <f aca="false">F204-G204</f>
        <v>30614.8911292302</v>
      </c>
      <c r="I204" s="9" t="n">
        <f aca="false">E204-H204</f>
        <v>8307004.7355031</v>
      </c>
    </row>
    <row r="205" customFormat="false" ht="15" hidden="false" customHeight="false" outlineLevel="0" collapsed="false">
      <c r="D205" s="0" t="n">
        <v>192</v>
      </c>
      <c r="E205" s="9" t="n">
        <f aca="false">I204</f>
        <v>8307004.7355031</v>
      </c>
      <c r="F205" s="9" t="n">
        <f aca="false">-PMT('Inputs &amp; Monthly CF'!$D$57/12,'Inputs &amp; Monthly CF'!$D$58*12,$E$14)</f>
        <v>74039.9933512736</v>
      </c>
      <c r="G205" s="9" t="n">
        <f aca="false">E205*'Inputs &amp; Monthly CF'!$D$57/12</f>
        <v>43265.6496640787</v>
      </c>
      <c r="H205" s="9" t="n">
        <f aca="false">F205-G205</f>
        <v>30774.3436871949</v>
      </c>
      <c r="I205" s="9" t="n">
        <f aca="false">E205-H205</f>
        <v>8276230.39181591</v>
      </c>
    </row>
    <row r="206" customFormat="false" ht="15" hidden="false" customHeight="false" outlineLevel="0" collapsed="false">
      <c r="D206" s="0" t="n">
        <v>193</v>
      </c>
      <c r="E206" s="9" t="n">
        <f aca="false">I205</f>
        <v>8276230.39181591</v>
      </c>
      <c r="F206" s="9" t="n">
        <f aca="false">-PMT('Inputs &amp; Monthly CF'!$D$57/12,'Inputs &amp; Monthly CF'!$D$58*12,$E$14)</f>
        <v>74039.9933512736</v>
      </c>
      <c r="G206" s="9" t="n">
        <f aca="false">E206*'Inputs &amp; Monthly CF'!$D$57/12</f>
        <v>43105.3666240412</v>
      </c>
      <c r="H206" s="9" t="n">
        <f aca="false">F206-G206</f>
        <v>30934.6267272324</v>
      </c>
      <c r="I206" s="9" t="n">
        <f aca="false">E206-H206</f>
        <v>8245295.76508868</v>
      </c>
    </row>
    <row r="207" customFormat="false" ht="15" hidden="false" customHeight="false" outlineLevel="0" collapsed="false">
      <c r="D207" s="0" t="n">
        <v>194</v>
      </c>
      <c r="E207" s="9" t="n">
        <f aca="false">I206</f>
        <v>8245295.76508868</v>
      </c>
      <c r="F207" s="9" t="n">
        <f aca="false">-PMT('Inputs &amp; Monthly CF'!$D$57/12,'Inputs &amp; Monthly CF'!$D$58*12,$E$14)</f>
        <v>74039.9933512736</v>
      </c>
      <c r="G207" s="9" t="n">
        <f aca="false">E207*'Inputs &amp; Monthly CF'!$D$57/12</f>
        <v>42944.2487765035</v>
      </c>
      <c r="H207" s="9" t="n">
        <f aca="false">F207-G207</f>
        <v>31095.7445747701</v>
      </c>
      <c r="I207" s="9" t="n">
        <f aca="false">E207-H207</f>
        <v>8214200.0205139</v>
      </c>
    </row>
    <row r="208" customFormat="false" ht="15" hidden="false" customHeight="false" outlineLevel="0" collapsed="false">
      <c r="D208" s="0" t="n">
        <v>195</v>
      </c>
      <c r="E208" s="9" t="n">
        <f aca="false">I207</f>
        <v>8214200.0205139</v>
      </c>
      <c r="F208" s="9" t="n">
        <f aca="false">-PMT('Inputs &amp; Monthly CF'!$D$57/12,'Inputs &amp; Monthly CF'!$D$58*12,$E$14)</f>
        <v>74039.9933512736</v>
      </c>
      <c r="G208" s="9" t="n">
        <f aca="false">E208*'Inputs &amp; Monthly CF'!$D$57/12</f>
        <v>42782.2917735099</v>
      </c>
      <c r="H208" s="9" t="n">
        <f aca="false">F208-G208</f>
        <v>31257.7015777637</v>
      </c>
      <c r="I208" s="9" t="n">
        <f aca="false">E208-H208</f>
        <v>8182942.31893614</v>
      </c>
    </row>
    <row r="209" customFormat="false" ht="15" hidden="false" customHeight="false" outlineLevel="0" collapsed="false">
      <c r="D209" s="0" t="n">
        <v>196</v>
      </c>
      <c r="E209" s="9" t="n">
        <f aca="false">I208</f>
        <v>8182942.31893614</v>
      </c>
      <c r="F209" s="9" t="n">
        <f aca="false">-PMT('Inputs &amp; Monthly CF'!$D$57/12,'Inputs &amp; Monthly CF'!$D$58*12,$E$14)</f>
        <v>74039.9933512736</v>
      </c>
      <c r="G209" s="9" t="n">
        <f aca="false">E209*'Inputs &amp; Monthly CF'!$D$57/12</f>
        <v>42619.4912444591</v>
      </c>
      <c r="H209" s="9" t="n">
        <f aca="false">F209-G209</f>
        <v>31420.5021068145</v>
      </c>
      <c r="I209" s="9" t="n">
        <f aca="false">E209-H209</f>
        <v>8151521.81682933</v>
      </c>
    </row>
    <row r="210" customFormat="false" ht="15" hidden="false" customHeight="false" outlineLevel="0" collapsed="false">
      <c r="D210" s="0" t="n">
        <v>197</v>
      </c>
      <c r="E210" s="9" t="n">
        <f aca="false">I209</f>
        <v>8151521.81682933</v>
      </c>
      <c r="F210" s="9" t="n">
        <f aca="false">-PMT('Inputs &amp; Monthly CF'!$D$57/12,'Inputs &amp; Monthly CF'!$D$58*12,$E$14)</f>
        <v>74039.9933512736</v>
      </c>
      <c r="G210" s="9" t="n">
        <f aca="false">E210*'Inputs &amp; Monthly CF'!$D$57/12</f>
        <v>42455.8427959861</v>
      </c>
      <c r="H210" s="9" t="n">
        <f aca="false">F210-G210</f>
        <v>31584.1505552875</v>
      </c>
      <c r="I210" s="9" t="n">
        <f aca="false">E210-H210</f>
        <v>8119937.66627404</v>
      </c>
    </row>
    <row r="211" customFormat="false" ht="15" hidden="false" customHeight="false" outlineLevel="0" collapsed="false">
      <c r="D211" s="0" t="n">
        <v>198</v>
      </c>
      <c r="E211" s="9" t="n">
        <f aca="false">I210</f>
        <v>8119937.66627404</v>
      </c>
      <c r="F211" s="9" t="n">
        <f aca="false">-PMT('Inputs &amp; Monthly CF'!$D$57/12,'Inputs &amp; Monthly CF'!$D$58*12,$E$14)</f>
        <v>74039.9933512736</v>
      </c>
      <c r="G211" s="9" t="n">
        <f aca="false">E211*'Inputs &amp; Monthly CF'!$D$57/12</f>
        <v>42291.3420118439</v>
      </c>
      <c r="H211" s="9" t="n">
        <f aca="false">F211-G211</f>
        <v>31748.6513394296</v>
      </c>
      <c r="I211" s="9" t="n">
        <f aca="false">E211-H211</f>
        <v>8088189.01493461</v>
      </c>
    </row>
    <row r="212" customFormat="false" ht="15" hidden="false" customHeight="false" outlineLevel="0" collapsed="false">
      <c r="D212" s="0" t="n">
        <v>199</v>
      </c>
      <c r="E212" s="9" t="n">
        <f aca="false">I211</f>
        <v>8088189.01493461</v>
      </c>
      <c r="F212" s="9" t="n">
        <f aca="false">-PMT('Inputs &amp; Monthly CF'!$D$57/12,'Inputs &amp; Monthly CF'!$D$58*12,$E$14)</f>
        <v>74039.9933512736</v>
      </c>
      <c r="G212" s="9" t="n">
        <f aca="false">E212*'Inputs &amp; Monthly CF'!$D$57/12</f>
        <v>42125.9844527844</v>
      </c>
      <c r="H212" s="9" t="n">
        <f aca="false">F212-G212</f>
        <v>31914.0088984892</v>
      </c>
      <c r="I212" s="9" t="n">
        <f aca="false">E212-H212</f>
        <v>8056275.00603612</v>
      </c>
    </row>
    <row r="213" customFormat="false" ht="15" hidden="false" customHeight="false" outlineLevel="0" collapsed="false">
      <c r="D213" s="0" t="n">
        <v>200</v>
      </c>
      <c r="E213" s="9" t="n">
        <f aca="false">I212</f>
        <v>8056275.00603612</v>
      </c>
      <c r="F213" s="9" t="n">
        <f aca="false">-PMT('Inputs &amp; Monthly CF'!$D$57/12,'Inputs &amp; Monthly CF'!$D$58*12,$E$14)</f>
        <v>74039.9933512736</v>
      </c>
      <c r="G213" s="9" t="n">
        <f aca="false">E213*'Inputs &amp; Monthly CF'!$D$57/12</f>
        <v>41959.7656564381</v>
      </c>
      <c r="H213" s="9" t="n">
        <f aca="false">F213-G213</f>
        <v>32080.2276948355</v>
      </c>
      <c r="I213" s="9" t="n">
        <f aca="false">E213-H213</f>
        <v>8024194.77834128</v>
      </c>
    </row>
    <row r="214" customFormat="false" ht="15" hidden="false" customHeight="false" outlineLevel="0" collapsed="false">
      <c r="D214" s="0" t="n">
        <v>201</v>
      </c>
      <c r="E214" s="9" t="n">
        <f aca="false">I213</f>
        <v>8024194.77834128</v>
      </c>
      <c r="F214" s="9" t="n">
        <f aca="false">-PMT('Inputs &amp; Monthly CF'!$D$57/12,'Inputs &amp; Monthly CF'!$D$58*12,$E$14)</f>
        <v>74039.9933512736</v>
      </c>
      <c r="G214" s="9" t="n">
        <f aca="false">E214*'Inputs &amp; Monthly CF'!$D$57/12</f>
        <v>41792.6811371942</v>
      </c>
      <c r="H214" s="9" t="n">
        <f aca="false">F214-G214</f>
        <v>32247.3122140794</v>
      </c>
      <c r="I214" s="9" t="n">
        <f aca="false">E214-H214</f>
        <v>7991947.46612721</v>
      </c>
    </row>
    <row r="215" customFormat="false" ht="15" hidden="false" customHeight="false" outlineLevel="0" collapsed="false">
      <c r="D215" s="0" t="n">
        <v>202</v>
      </c>
      <c r="E215" s="9" t="n">
        <f aca="false">I214</f>
        <v>7991947.46612721</v>
      </c>
      <c r="F215" s="9" t="n">
        <f aca="false">-PMT('Inputs &amp; Monthly CF'!$D$57/12,'Inputs &amp; Monthly CF'!$D$58*12,$E$14)</f>
        <v>74039.9933512736</v>
      </c>
      <c r="G215" s="9" t="n">
        <f aca="false">E215*'Inputs &amp; Monthly CF'!$D$57/12</f>
        <v>41624.7263860792</v>
      </c>
      <c r="H215" s="9" t="n">
        <f aca="false">F215-G215</f>
        <v>32415.2669651944</v>
      </c>
      <c r="I215" s="9" t="n">
        <f aca="false">E215-H215</f>
        <v>7959532.19916201</v>
      </c>
    </row>
    <row r="216" customFormat="false" ht="15" hidden="false" customHeight="false" outlineLevel="0" collapsed="false">
      <c r="D216" s="0" t="n">
        <v>203</v>
      </c>
      <c r="E216" s="9" t="n">
        <f aca="false">I215</f>
        <v>7959532.19916201</v>
      </c>
      <c r="F216" s="9" t="n">
        <f aca="false">-PMT('Inputs &amp; Monthly CF'!$D$57/12,'Inputs &amp; Monthly CF'!$D$58*12,$E$14)</f>
        <v>74039.9933512736</v>
      </c>
      <c r="G216" s="9" t="n">
        <f aca="false">E216*'Inputs &amp; Monthly CF'!$D$57/12</f>
        <v>41455.8968706355</v>
      </c>
      <c r="H216" s="9" t="n">
        <f aca="false">F216-G216</f>
        <v>32584.0964806381</v>
      </c>
      <c r="I216" s="9" t="n">
        <f aca="false">E216-H216</f>
        <v>7926948.10268137</v>
      </c>
    </row>
    <row r="217" customFormat="false" ht="15" hidden="false" customHeight="false" outlineLevel="0" collapsed="false">
      <c r="D217" s="0" t="n">
        <v>204</v>
      </c>
      <c r="E217" s="9" t="n">
        <f aca="false">I216</f>
        <v>7926948.10268137</v>
      </c>
      <c r="F217" s="9" t="n">
        <f aca="false">-PMT('Inputs &amp; Monthly CF'!$D$57/12,'Inputs &amp; Monthly CF'!$D$58*12,$E$14)</f>
        <v>74039.9933512736</v>
      </c>
      <c r="G217" s="9" t="n">
        <f aca="false">E217*'Inputs &amp; Monthly CF'!$D$57/12</f>
        <v>41286.1880347988</v>
      </c>
      <c r="H217" s="9" t="n">
        <f aca="false">F217-G217</f>
        <v>32753.8053164748</v>
      </c>
      <c r="I217" s="9" t="n">
        <f aca="false">E217-H217</f>
        <v>7894194.2973649</v>
      </c>
    </row>
    <row r="218" customFormat="false" ht="15" hidden="false" customHeight="false" outlineLevel="0" collapsed="false">
      <c r="D218" s="0" t="n">
        <v>205</v>
      </c>
      <c r="E218" s="9" t="n">
        <f aca="false">I217</f>
        <v>7894194.2973649</v>
      </c>
      <c r="F218" s="9" t="n">
        <f aca="false">-PMT('Inputs &amp; Monthly CF'!$D$57/12,'Inputs &amp; Monthly CF'!$D$58*12,$E$14)</f>
        <v>74039.9933512736</v>
      </c>
      <c r="G218" s="9" t="n">
        <f aca="false">E218*'Inputs &amp; Monthly CF'!$D$57/12</f>
        <v>41115.5952987755</v>
      </c>
      <c r="H218" s="9" t="n">
        <f aca="false">F218-G218</f>
        <v>32924.3980524981</v>
      </c>
      <c r="I218" s="9" t="n">
        <f aca="false">E218-H218</f>
        <v>7861269.8993124</v>
      </c>
    </row>
    <row r="219" customFormat="false" ht="15" hidden="false" customHeight="false" outlineLevel="0" collapsed="false">
      <c r="D219" s="0" t="n">
        <v>206</v>
      </c>
      <c r="E219" s="9" t="n">
        <f aca="false">I218</f>
        <v>7861269.8993124</v>
      </c>
      <c r="F219" s="9" t="n">
        <f aca="false">-PMT('Inputs &amp; Monthly CF'!$D$57/12,'Inputs &amp; Monthly CF'!$D$58*12,$E$14)</f>
        <v>74039.9933512736</v>
      </c>
      <c r="G219" s="9" t="n">
        <f aca="false">E219*'Inputs &amp; Monthly CF'!$D$57/12</f>
        <v>40944.1140589188</v>
      </c>
      <c r="H219" s="9" t="n">
        <f aca="false">F219-G219</f>
        <v>33095.8792923548</v>
      </c>
      <c r="I219" s="9" t="n">
        <f aca="false">E219-H219</f>
        <v>7828174.02002004</v>
      </c>
    </row>
    <row r="220" customFormat="false" ht="15" hidden="false" customHeight="false" outlineLevel="0" collapsed="false">
      <c r="D220" s="0" t="n">
        <v>207</v>
      </c>
      <c r="E220" s="9" t="n">
        <f aca="false">I219</f>
        <v>7828174.02002004</v>
      </c>
      <c r="F220" s="9" t="n">
        <f aca="false">-PMT('Inputs &amp; Monthly CF'!$D$57/12,'Inputs &amp; Monthly CF'!$D$58*12,$E$14)</f>
        <v>74039.9933512736</v>
      </c>
      <c r="G220" s="9" t="n">
        <f aca="false">E220*'Inputs &amp; Monthly CF'!$D$57/12</f>
        <v>40771.7396876044</v>
      </c>
      <c r="H220" s="9" t="n">
        <f aca="false">F220-G220</f>
        <v>33268.2536636692</v>
      </c>
      <c r="I220" s="9" t="n">
        <f aca="false">E220-H220</f>
        <v>7794905.76635638</v>
      </c>
    </row>
    <row r="221" customFormat="false" ht="15" hidden="false" customHeight="false" outlineLevel="0" collapsed="false">
      <c r="D221" s="0" t="n">
        <v>208</v>
      </c>
      <c r="E221" s="9" t="n">
        <f aca="false">I220</f>
        <v>7794905.76635638</v>
      </c>
      <c r="F221" s="9" t="n">
        <f aca="false">-PMT('Inputs &amp; Monthly CF'!$D$57/12,'Inputs &amp; Monthly CF'!$D$58*12,$E$14)</f>
        <v>74039.9933512736</v>
      </c>
      <c r="G221" s="9" t="n">
        <f aca="false">E221*'Inputs &amp; Monthly CF'!$D$57/12</f>
        <v>40598.4675331061</v>
      </c>
      <c r="H221" s="9" t="n">
        <f aca="false">F221-G221</f>
        <v>33441.5258181675</v>
      </c>
      <c r="I221" s="9" t="n">
        <f aca="false">E221-H221</f>
        <v>7761464.24053821</v>
      </c>
    </row>
    <row r="222" customFormat="false" ht="15" hidden="false" customHeight="false" outlineLevel="0" collapsed="false">
      <c r="D222" s="0" t="n">
        <v>209</v>
      </c>
      <c r="E222" s="9" t="n">
        <f aca="false">I221</f>
        <v>7761464.24053821</v>
      </c>
      <c r="F222" s="9" t="n">
        <f aca="false">-PMT('Inputs &amp; Monthly CF'!$D$57/12,'Inputs &amp; Monthly CF'!$D$58*12,$E$14)</f>
        <v>74039.9933512736</v>
      </c>
      <c r="G222" s="9" t="n">
        <f aca="false">E222*'Inputs &amp; Monthly CF'!$D$57/12</f>
        <v>40424.2929194698</v>
      </c>
      <c r="H222" s="9" t="n">
        <f aca="false">F222-G222</f>
        <v>33615.7004318038</v>
      </c>
      <c r="I222" s="9" t="n">
        <f aca="false">E222-H222</f>
        <v>7727848.5401064</v>
      </c>
    </row>
    <row r="223" customFormat="false" ht="15" hidden="false" customHeight="false" outlineLevel="0" collapsed="false">
      <c r="D223" s="0" t="n">
        <v>210</v>
      </c>
      <c r="E223" s="9" t="n">
        <f aca="false">I222</f>
        <v>7727848.5401064</v>
      </c>
      <c r="F223" s="9" t="n">
        <f aca="false">-PMT('Inputs &amp; Monthly CF'!$D$57/12,'Inputs &amp; Monthly CF'!$D$58*12,$E$14)</f>
        <v>74039.9933512736</v>
      </c>
      <c r="G223" s="9" t="n">
        <f aca="false">E223*'Inputs &amp; Monthly CF'!$D$57/12</f>
        <v>40249.2111463875</v>
      </c>
      <c r="H223" s="9" t="n">
        <f aca="false">F223-G223</f>
        <v>33790.7822048861</v>
      </c>
      <c r="I223" s="9" t="n">
        <f aca="false">E223-H223</f>
        <v>7694057.75790152</v>
      </c>
    </row>
    <row r="224" customFormat="false" ht="15" hidden="false" customHeight="false" outlineLevel="0" collapsed="false">
      <c r="D224" s="0" t="n">
        <v>211</v>
      </c>
      <c r="E224" s="9" t="n">
        <f aca="false">I223</f>
        <v>7694057.75790152</v>
      </c>
      <c r="F224" s="9" t="n">
        <f aca="false">-PMT('Inputs &amp; Monthly CF'!$D$57/12,'Inputs &amp; Monthly CF'!$D$58*12,$E$14)</f>
        <v>74039.9933512736</v>
      </c>
      <c r="G224" s="9" t="n">
        <f aca="false">E224*'Inputs &amp; Monthly CF'!$D$57/12</f>
        <v>40073.2174890704</v>
      </c>
      <c r="H224" s="9" t="n">
        <f aca="false">F224-G224</f>
        <v>33966.7758622032</v>
      </c>
      <c r="I224" s="9" t="n">
        <f aca="false">E224-H224</f>
        <v>7660090.98203932</v>
      </c>
    </row>
    <row r="225" customFormat="false" ht="15" hidden="false" customHeight="false" outlineLevel="0" collapsed="false">
      <c r="D225" s="0" t="n">
        <v>212</v>
      </c>
      <c r="E225" s="9" t="n">
        <f aca="false">I224</f>
        <v>7660090.98203932</v>
      </c>
      <c r="F225" s="9" t="n">
        <f aca="false">-PMT('Inputs &amp; Monthly CF'!$D$57/12,'Inputs &amp; Monthly CF'!$D$58*12,$E$14)</f>
        <v>74039.9933512736</v>
      </c>
      <c r="G225" s="9" t="n">
        <f aca="false">E225*'Inputs &amp; Monthly CF'!$D$57/12</f>
        <v>39896.3071981214</v>
      </c>
      <c r="H225" s="9" t="n">
        <f aca="false">F225-G225</f>
        <v>34143.6861531522</v>
      </c>
      <c r="I225" s="9" t="n">
        <f aca="false">E225-H225</f>
        <v>7625947.29588616</v>
      </c>
    </row>
    <row r="226" customFormat="false" ht="15" hidden="false" customHeight="false" outlineLevel="0" collapsed="false">
      <c r="D226" s="0" t="n">
        <v>213</v>
      </c>
      <c r="E226" s="9" t="n">
        <f aca="false">I225</f>
        <v>7625947.29588616</v>
      </c>
      <c r="F226" s="9" t="n">
        <f aca="false">-PMT('Inputs &amp; Monthly CF'!$D$57/12,'Inputs &amp; Monthly CF'!$D$58*12,$E$14)</f>
        <v>74039.9933512736</v>
      </c>
      <c r="G226" s="9" t="n">
        <f aca="false">E226*'Inputs &amp; Monthly CF'!$D$57/12</f>
        <v>39718.4754994071</v>
      </c>
      <c r="H226" s="9" t="n">
        <f aca="false">F226-G226</f>
        <v>34321.5178518665</v>
      </c>
      <c r="I226" s="9" t="n">
        <f aca="false">E226-H226</f>
        <v>7591625.7780343</v>
      </c>
    </row>
    <row r="227" customFormat="false" ht="15" hidden="false" customHeight="false" outlineLevel="0" collapsed="false">
      <c r="D227" s="0" t="n">
        <v>214</v>
      </c>
      <c r="E227" s="9" t="n">
        <f aca="false">I226</f>
        <v>7591625.7780343</v>
      </c>
      <c r="F227" s="9" t="n">
        <f aca="false">-PMT('Inputs &amp; Monthly CF'!$D$57/12,'Inputs &amp; Monthly CF'!$D$58*12,$E$14)</f>
        <v>74039.9933512736</v>
      </c>
      <c r="G227" s="9" t="n">
        <f aca="false">E227*'Inputs &amp; Monthly CF'!$D$57/12</f>
        <v>39539.7175939286</v>
      </c>
      <c r="H227" s="9" t="n">
        <f aca="false">F227-G227</f>
        <v>34500.275757345</v>
      </c>
      <c r="I227" s="9" t="n">
        <f aca="false">E227-H227</f>
        <v>7557125.50227695</v>
      </c>
    </row>
    <row r="228" customFormat="false" ht="15" hidden="false" customHeight="false" outlineLevel="0" collapsed="false">
      <c r="D228" s="0" t="n">
        <v>215</v>
      </c>
      <c r="E228" s="9" t="n">
        <f aca="false">I227</f>
        <v>7557125.50227695</v>
      </c>
      <c r="F228" s="9" t="n">
        <f aca="false">-PMT('Inputs &amp; Monthly CF'!$D$57/12,'Inputs &amp; Monthly CF'!$D$58*12,$E$14)</f>
        <v>74039.9933512736</v>
      </c>
      <c r="G228" s="9" t="n">
        <f aca="false">E228*'Inputs &amp; Monthly CF'!$D$57/12</f>
        <v>39360.0286576925</v>
      </c>
      <c r="H228" s="9" t="n">
        <f aca="false">F228-G228</f>
        <v>34679.9646935811</v>
      </c>
      <c r="I228" s="9" t="n">
        <f aca="false">E228-H228</f>
        <v>7522445.53758337</v>
      </c>
    </row>
    <row r="229" customFormat="false" ht="15" hidden="false" customHeight="false" outlineLevel="0" collapsed="false">
      <c r="D229" s="0" t="n">
        <v>216</v>
      </c>
      <c r="E229" s="9" t="n">
        <f aca="false">I228</f>
        <v>7522445.53758337</v>
      </c>
      <c r="F229" s="9" t="n">
        <f aca="false">-PMT('Inputs &amp; Monthly CF'!$D$57/12,'Inputs &amp; Monthly CF'!$D$58*12,$E$14)</f>
        <v>74039.9933512736</v>
      </c>
      <c r="G229" s="9" t="n">
        <f aca="false">E229*'Inputs &amp; Monthly CF'!$D$57/12</f>
        <v>39179.4038415801</v>
      </c>
      <c r="H229" s="9" t="n">
        <f aca="false">F229-G229</f>
        <v>34860.5895096935</v>
      </c>
      <c r="I229" s="9" t="n">
        <f aca="false">E229-H229</f>
        <v>7487584.94807368</v>
      </c>
    </row>
    <row r="230" customFormat="false" ht="15" hidden="false" customHeight="false" outlineLevel="0" collapsed="false">
      <c r="D230" s="0" t="n">
        <v>217</v>
      </c>
      <c r="E230" s="9" t="n">
        <f aca="false">I229</f>
        <v>7487584.94807368</v>
      </c>
      <c r="F230" s="9" t="n">
        <f aca="false">-PMT('Inputs &amp; Monthly CF'!$D$57/12,'Inputs &amp; Monthly CF'!$D$58*12,$E$14)</f>
        <v>74039.9933512736</v>
      </c>
      <c r="G230" s="9" t="n">
        <f aca="false">E230*'Inputs &amp; Monthly CF'!$D$57/12</f>
        <v>38997.8382712171</v>
      </c>
      <c r="H230" s="9" t="n">
        <f aca="false">F230-G230</f>
        <v>35042.1550800565</v>
      </c>
      <c r="I230" s="9" t="n">
        <f aca="false">E230-H230</f>
        <v>7452542.79299362</v>
      </c>
    </row>
    <row r="231" customFormat="false" ht="15" hidden="false" customHeight="false" outlineLevel="0" collapsed="false">
      <c r="D231" s="0" t="n">
        <v>218</v>
      </c>
      <c r="E231" s="9" t="n">
        <f aca="false">I230</f>
        <v>7452542.79299362</v>
      </c>
      <c r="F231" s="9" t="n">
        <f aca="false">-PMT('Inputs &amp; Monthly CF'!$D$57/12,'Inputs &amp; Monthly CF'!$D$58*12,$E$14)</f>
        <v>74039.9933512736</v>
      </c>
      <c r="G231" s="9" t="n">
        <f aca="false">E231*'Inputs &amp; Monthly CF'!$D$57/12</f>
        <v>38815.3270468418</v>
      </c>
      <c r="H231" s="9" t="n">
        <f aca="false">F231-G231</f>
        <v>35224.6663044318</v>
      </c>
      <c r="I231" s="9" t="n">
        <f aca="false">E231-H231</f>
        <v>7417318.12668919</v>
      </c>
    </row>
    <row r="232" customFormat="false" ht="15" hidden="false" customHeight="false" outlineLevel="0" collapsed="false">
      <c r="D232" s="0" t="n">
        <v>219</v>
      </c>
      <c r="E232" s="9" t="n">
        <f aca="false">I231</f>
        <v>7417318.12668919</v>
      </c>
      <c r="F232" s="9" t="n">
        <f aca="false">-PMT('Inputs &amp; Monthly CF'!$D$57/12,'Inputs &amp; Monthly CF'!$D$58*12,$E$14)</f>
        <v>74039.9933512736</v>
      </c>
      <c r="G232" s="9" t="n">
        <f aca="false">E232*'Inputs &amp; Monthly CF'!$D$57/12</f>
        <v>38631.8652431729</v>
      </c>
      <c r="H232" s="9" t="n">
        <f aca="false">F232-G232</f>
        <v>35408.1281081007</v>
      </c>
      <c r="I232" s="9" t="n">
        <f aca="false">E232-H232</f>
        <v>7381909.99858109</v>
      </c>
    </row>
    <row r="233" customFormat="false" ht="15" hidden="false" customHeight="false" outlineLevel="0" collapsed="false">
      <c r="D233" s="0" t="n">
        <v>220</v>
      </c>
      <c r="E233" s="9" t="n">
        <f aca="false">I232</f>
        <v>7381909.99858109</v>
      </c>
      <c r="F233" s="9" t="n">
        <f aca="false">-PMT('Inputs &amp; Monthly CF'!$D$57/12,'Inputs &amp; Monthly CF'!$D$58*12,$E$14)</f>
        <v>74039.9933512736</v>
      </c>
      <c r="G233" s="9" t="n">
        <f aca="false">E233*'Inputs &amp; Monthly CF'!$D$57/12</f>
        <v>38447.4479092765</v>
      </c>
      <c r="H233" s="9" t="n">
        <f aca="false">F233-G233</f>
        <v>35592.5454419971</v>
      </c>
      <c r="I233" s="9" t="n">
        <f aca="false">E233-H233</f>
        <v>7346317.45313909</v>
      </c>
    </row>
    <row r="234" customFormat="false" ht="15" hidden="false" customHeight="false" outlineLevel="0" collapsed="false">
      <c r="D234" s="0" t="n">
        <v>221</v>
      </c>
      <c r="E234" s="9" t="n">
        <f aca="false">I233</f>
        <v>7346317.45313909</v>
      </c>
      <c r="F234" s="9" t="n">
        <f aca="false">-PMT('Inputs &amp; Monthly CF'!$D$57/12,'Inputs &amp; Monthly CF'!$D$58*12,$E$14)</f>
        <v>74039.9933512736</v>
      </c>
      <c r="G234" s="9" t="n">
        <f aca="false">E234*'Inputs &amp; Monthly CF'!$D$57/12</f>
        <v>38262.0700684328</v>
      </c>
      <c r="H234" s="9" t="n">
        <f aca="false">F234-G234</f>
        <v>35777.9232828408</v>
      </c>
      <c r="I234" s="9" t="n">
        <f aca="false">E234-H234</f>
        <v>7310539.52985625</v>
      </c>
    </row>
    <row r="235" customFormat="false" ht="15" hidden="false" customHeight="false" outlineLevel="0" collapsed="false">
      <c r="D235" s="0" t="n">
        <v>222</v>
      </c>
      <c r="E235" s="9" t="n">
        <f aca="false">I234</f>
        <v>7310539.52985625</v>
      </c>
      <c r="F235" s="9" t="n">
        <f aca="false">-PMT('Inputs &amp; Monthly CF'!$D$57/12,'Inputs &amp; Monthly CF'!$D$58*12,$E$14)</f>
        <v>74039.9933512736</v>
      </c>
      <c r="G235" s="9" t="n">
        <f aca="false">E235*'Inputs &amp; Monthly CF'!$D$57/12</f>
        <v>38075.7267180013</v>
      </c>
      <c r="H235" s="9" t="n">
        <f aca="false">F235-G235</f>
        <v>35964.2666332723</v>
      </c>
      <c r="I235" s="9" t="n">
        <f aca="false">E235-H235</f>
        <v>7274575.26322298</v>
      </c>
    </row>
    <row r="236" customFormat="false" ht="15" hidden="false" customHeight="false" outlineLevel="0" collapsed="false">
      <c r="D236" s="0" t="n">
        <v>223</v>
      </c>
      <c r="E236" s="9" t="n">
        <f aca="false">I235</f>
        <v>7274575.26322298</v>
      </c>
      <c r="F236" s="9" t="n">
        <f aca="false">-PMT('Inputs &amp; Monthly CF'!$D$57/12,'Inputs &amp; Monthly CF'!$D$58*12,$E$14)</f>
        <v>74039.9933512736</v>
      </c>
      <c r="G236" s="9" t="n">
        <f aca="false">E236*'Inputs &amp; Monthly CF'!$D$57/12</f>
        <v>37888.4128292863</v>
      </c>
      <c r="H236" s="9" t="n">
        <f aca="false">F236-G236</f>
        <v>36151.5805219873</v>
      </c>
      <c r="I236" s="9" t="n">
        <f aca="false">E236-H236</f>
        <v>7238423.68270099</v>
      </c>
    </row>
    <row r="237" customFormat="false" ht="15" hidden="false" customHeight="false" outlineLevel="0" collapsed="false">
      <c r="D237" s="0" t="n">
        <v>224</v>
      </c>
      <c r="E237" s="9" t="n">
        <f aca="false">I236</f>
        <v>7238423.68270099</v>
      </c>
      <c r="F237" s="9" t="n">
        <f aca="false">-PMT('Inputs &amp; Monthly CF'!$D$57/12,'Inputs &amp; Monthly CF'!$D$58*12,$E$14)</f>
        <v>74039.9933512736</v>
      </c>
      <c r="G237" s="9" t="n">
        <f aca="false">E237*'Inputs &amp; Monthly CF'!$D$57/12</f>
        <v>37700.123347401</v>
      </c>
      <c r="H237" s="9" t="n">
        <f aca="false">F237-G237</f>
        <v>36339.8700038726</v>
      </c>
      <c r="I237" s="9" t="n">
        <f aca="false">E237-H237</f>
        <v>7202083.81269712</v>
      </c>
    </row>
    <row r="238" customFormat="false" ht="15" hidden="false" customHeight="false" outlineLevel="0" collapsed="false">
      <c r="D238" s="0" t="n">
        <v>225</v>
      </c>
      <c r="E238" s="9" t="n">
        <f aca="false">I237</f>
        <v>7202083.81269712</v>
      </c>
      <c r="F238" s="9" t="n">
        <f aca="false">-PMT('Inputs &amp; Monthly CF'!$D$57/12,'Inputs &amp; Monthly CF'!$D$58*12,$E$14)</f>
        <v>74039.9933512736</v>
      </c>
      <c r="G238" s="9" t="n">
        <f aca="false">E238*'Inputs &amp; Monthly CF'!$D$57/12</f>
        <v>37510.8531911308</v>
      </c>
      <c r="H238" s="9" t="n">
        <f aca="false">F238-G238</f>
        <v>36529.1401601428</v>
      </c>
      <c r="I238" s="9" t="n">
        <f aca="false">E238-H238</f>
        <v>7165554.67253697</v>
      </c>
    </row>
    <row r="239" customFormat="false" ht="15" hidden="false" customHeight="false" outlineLevel="0" collapsed="false">
      <c r="D239" s="0" t="n">
        <v>226</v>
      </c>
      <c r="E239" s="9" t="n">
        <f aca="false">I238</f>
        <v>7165554.67253697</v>
      </c>
      <c r="F239" s="9" t="n">
        <f aca="false">-PMT('Inputs &amp; Monthly CF'!$D$57/12,'Inputs &amp; Monthly CF'!$D$58*12,$E$14)</f>
        <v>74039.9933512736</v>
      </c>
      <c r="G239" s="9" t="n">
        <f aca="false">E239*'Inputs &amp; Monthly CF'!$D$57/12</f>
        <v>37320.5972527967</v>
      </c>
      <c r="H239" s="9" t="n">
        <f aca="false">F239-G239</f>
        <v>36719.3960984769</v>
      </c>
      <c r="I239" s="9" t="n">
        <f aca="false">E239-H239</f>
        <v>7128835.2764385</v>
      </c>
    </row>
    <row r="240" customFormat="false" ht="15" hidden="false" customHeight="false" outlineLevel="0" collapsed="false">
      <c r="D240" s="0" t="n">
        <v>227</v>
      </c>
      <c r="E240" s="9" t="n">
        <f aca="false">I239</f>
        <v>7128835.2764385</v>
      </c>
      <c r="F240" s="9" t="n">
        <f aca="false">-PMT('Inputs &amp; Monthly CF'!$D$57/12,'Inputs &amp; Monthly CF'!$D$58*12,$E$14)</f>
        <v>74039.9933512736</v>
      </c>
      <c r="G240" s="9" t="n">
        <f aca="false">E240*'Inputs &amp; Monthly CF'!$D$57/12</f>
        <v>37129.3503981172</v>
      </c>
      <c r="H240" s="9" t="n">
        <f aca="false">F240-G240</f>
        <v>36910.6429531564</v>
      </c>
      <c r="I240" s="9" t="n">
        <f aca="false">E240-H240</f>
        <v>7091924.63348534</v>
      </c>
    </row>
    <row r="241" customFormat="false" ht="15" hidden="false" customHeight="false" outlineLevel="0" collapsed="false">
      <c r="D241" s="0" t="n">
        <v>228</v>
      </c>
      <c r="E241" s="9" t="n">
        <f aca="false">I240</f>
        <v>7091924.63348534</v>
      </c>
      <c r="F241" s="9" t="n">
        <f aca="false">-PMT('Inputs &amp; Monthly CF'!$D$57/12,'Inputs &amp; Monthly CF'!$D$58*12,$E$14)</f>
        <v>74039.9933512736</v>
      </c>
      <c r="G241" s="9" t="n">
        <f aca="false">E241*'Inputs &amp; Monthly CF'!$D$57/12</f>
        <v>36937.1074660695</v>
      </c>
      <c r="H241" s="9" t="n">
        <f aca="false">F241-G241</f>
        <v>37102.8858852041</v>
      </c>
      <c r="I241" s="9" t="n">
        <f aca="false">E241-H241</f>
        <v>7054821.74760014</v>
      </c>
    </row>
    <row r="242" customFormat="false" ht="15" hidden="false" customHeight="false" outlineLevel="0" collapsed="false">
      <c r="D242" s="0" t="n">
        <v>229</v>
      </c>
      <c r="E242" s="9" t="n">
        <f aca="false">I241</f>
        <v>7054821.74760014</v>
      </c>
      <c r="F242" s="9" t="n">
        <f aca="false">-PMT('Inputs &amp; Monthly CF'!$D$57/12,'Inputs &amp; Monthly CF'!$D$58*12,$E$14)</f>
        <v>74039.9933512736</v>
      </c>
      <c r="G242" s="9" t="n">
        <f aca="false">E242*'Inputs &amp; Monthly CF'!$D$57/12</f>
        <v>36743.8632687507</v>
      </c>
      <c r="H242" s="9" t="n">
        <f aca="false">F242-G242</f>
        <v>37296.1300825229</v>
      </c>
      <c r="I242" s="9" t="n">
        <f aca="false">E242-H242</f>
        <v>7017525.61751761</v>
      </c>
    </row>
    <row r="243" customFormat="false" ht="15" hidden="false" customHeight="false" outlineLevel="0" collapsed="false">
      <c r="D243" s="0" t="n">
        <v>230</v>
      </c>
      <c r="E243" s="9" t="n">
        <f aca="false">I242</f>
        <v>7017525.61751761</v>
      </c>
      <c r="F243" s="9" t="n">
        <f aca="false">-PMT('Inputs &amp; Monthly CF'!$D$57/12,'Inputs &amp; Monthly CF'!$D$58*12,$E$14)</f>
        <v>74039.9933512736</v>
      </c>
      <c r="G243" s="9" t="n">
        <f aca="false">E243*'Inputs &amp; Monthly CF'!$D$57/12</f>
        <v>36549.6125912376</v>
      </c>
      <c r="H243" s="9" t="n">
        <f aca="false">F243-G243</f>
        <v>37490.380760036</v>
      </c>
      <c r="I243" s="9" t="n">
        <f aca="false">E243-H243</f>
        <v>6980035.23675758</v>
      </c>
    </row>
    <row r="244" customFormat="false" ht="15" hidden="false" customHeight="false" outlineLevel="0" collapsed="false">
      <c r="D244" s="0" t="n">
        <v>231</v>
      </c>
      <c r="E244" s="9" t="n">
        <f aca="false">I243</f>
        <v>6980035.23675758</v>
      </c>
      <c r="F244" s="9" t="n">
        <f aca="false">-PMT('Inputs &amp; Monthly CF'!$D$57/12,'Inputs &amp; Monthly CF'!$D$58*12,$E$14)</f>
        <v>74039.9933512736</v>
      </c>
      <c r="G244" s="9" t="n">
        <f aca="false">E244*'Inputs &amp; Monthly CF'!$D$57/12</f>
        <v>36354.3501914457</v>
      </c>
      <c r="H244" s="9" t="n">
        <f aca="false">F244-G244</f>
        <v>37685.6431598279</v>
      </c>
      <c r="I244" s="9" t="n">
        <f aca="false">E244-H244</f>
        <v>6942349.59359775</v>
      </c>
    </row>
    <row r="245" customFormat="false" ht="15" hidden="false" customHeight="false" outlineLevel="0" collapsed="false">
      <c r="D245" s="0" t="n">
        <v>232</v>
      </c>
      <c r="E245" s="9" t="n">
        <f aca="false">I244</f>
        <v>6942349.59359775</v>
      </c>
      <c r="F245" s="9" t="n">
        <f aca="false">-PMT('Inputs &amp; Monthly CF'!$D$57/12,'Inputs &amp; Monthly CF'!$D$58*12,$E$14)</f>
        <v>74039.9933512736</v>
      </c>
      <c r="G245" s="9" t="n">
        <f aca="false">E245*'Inputs &amp; Monthly CF'!$D$57/12</f>
        <v>36158.0707999883</v>
      </c>
      <c r="H245" s="9" t="n">
        <f aca="false">F245-G245</f>
        <v>37881.9225512853</v>
      </c>
      <c r="I245" s="9" t="n">
        <f aca="false">E245-H245</f>
        <v>6904467.67104646</v>
      </c>
    </row>
    <row r="246" customFormat="false" ht="15" hidden="false" customHeight="false" outlineLevel="0" collapsed="false">
      <c r="D246" s="0" t="n">
        <v>233</v>
      </c>
      <c r="E246" s="9" t="n">
        <f aca="false">I245</f>
        <v>6904467.67104646</v>
      </c>
      <c r="F246" s="9" t="n">
        <f aca="false">-PMT('Inputs &amp; Monthly CF'!$D$57/12,'Inputs &amp; Monthly CF'!$D$58*12,$E$14)</f>
        <v>74039.9933512736</v>
      </c>
      <c r="G246" s="9" t="n">
        <f aca="false">E246*'Inputs &amp; Monthly CF'!$D$57/12</f>
        <v>35960.7691200337</v>
      </c>
      <c r="H246" s="9" t="n">
        <f aca="false">F246-G246</f>
        <v>38079.2242312399</v>
      </c>
      <c r="I246" s="9" t="n">
        <f aca="false">E246-H246</f>
        <v>6866388.44681522</v>
      </c>
    </row>
    <row r="247" customFormat="false" ht="15" hidden="false" customHeight="false" outlineLevel="0" collapsed="false">
      <c r="D247" s="0" t="n">
        <v>234</v>
      </c>
      <c r="E247" s="9" t="n">
        <f aca="false">I246</f>
        <v>6866388.44681522</v>
      </c>
      <c r="F247" s="9" t="n">
        <f aca="false">-PMT('Inputs &amp; Monthly CF'!$D$57/12,'Inputs &amp; Monthly CF'!$D$58*12,$E$14)</f>
        <v>74039.9933512736</v>
      </c>
      <c r="G247" s="9" t="n">
        <f aca="false">E247*'Inputs &amp; Monthly CF'!$D$57/12</f>
        <v>35762.4398271626</v>
      </c>
      <c r="H247" s="9" t="n">
        <f aca="false">F247-G247</f>
        <v>38277.553524111</v>
      </c>
      <c r="I247" s="9" t="n">
        <f aca="false">E247-H247</f>
        <v>6828110.89329111</v>
      </c>
    </row>
    <row r="248" customFormat="false" ht="15" hidden="false" customHeight="false" outlineLevel="0" collapsed="false">
      <c r="D248" s="0" t="n">
        <v>235</v>
      </c>
      <c r="E248" s="9" t="n">
        <f aca="false">I247</f>
        <v>6828110.89329111</v>
      </c>
      <c r="F248" s="9" t="n">
        <f aca="false">-PMT('Inputs &amp; Monthly CF'!$D$57/12,'Inputs &amp; Monthly CF'!$D$58*12,$E$14)</f>
        <v>74039.9933512736</v>
      </c>
      <c r="G248" s="9" t="n">
        <f aca="false">E248*'Inputs &amp; Monthly CF'!$D$57/12</f>
        <v>35563.0775692245</v>
      </c>
      <c r="H248" s="9" t="n">
        <f aca="false">F248-G248</f>
        <v>38476.915782049</v>
      </c>
      <c r="I248" s="9" t="n">
        <f aca="false">E248-H248</f>
        <v>6789633.97750906</v>
      </c>
    </row>
    <row r="249" customFormat="false" ht="15" hidden="false" customHeight="false" outlineLevel="0" collapsed="false">
      <c r="D249" s="0" t="n">
        <v>236</v>
      </c>
      <c r="E249" s="9" t="n">
        <f aca="false">I248</f>
        <v>6789633.97750906</v>
      </c>
      <c r="F249" s="9" t="n">
        <f aca="false">-PMT('Inputs &amp; Monthly CF'!$D$57/12,'Inputs &amp; Monthly CF'!$D$58*12,$E$14)</f>
        <v>74039.9933512736</v>
      </c>
      <c r="G249" s="9" t="n">
        <f aca="false">E249*'Inputs &amp; Monthly CF'!$D$57/12</f>
        <v>35362.676966193</v>
      </c>
      <c r="H249" s="9" t="n">
        <f aca="false">F249-G249</f>
        <v>38677.3163850806</v>
      </c>
      <c r="I249" s="9" t="n">
        <f aca="false">E249-H249</f>
        <v>6750956.66112398</v>
      </c>
    </row>
    <row r="250" customFormat="false" ht="15" hidden="false" customHeight="false" outlineLevel="0" collapsed="false">
      <c r="D250" s="0" t="n">
        <v>237</v>
      </c>
      <c r="E250" s="9" t="n">
        <f aca="false">I249</f>
        <v>6750956.66112398</v>
      </c>
      <c r="F250" s="9" t="n">
        <f aca="false">-PMT('Inputs &amp; Monthly CF'!$D$57/12,'Inputs &amp; Monthly CF'!$D$58*12,$E$14)</f>
        <v>74039.9933512736</v>
      </c>
      <c r="G250" s="9" t="n">
        <f aca="false">E250*'Inputs &amp; Monthly CF'!$D$57/12</f>
        <v>35161.2326100207</v>
      </c>
      <c r="H250" s="9" t="n">
        <f aca="false">F250-G250</f>
        <v>38878.7607412528</v>
      </c>
      <c r="I250" s="9" t="n">
        <f aca="false">E250-H250</f>
        <v>6712077.90038273</v>
      </c>
    </row>
    <row r="251" customFormat="false" ht="15" hidden="false" customHeight="false" outlineLevel="0" collapsed="false">
      <c r="D251" s="0" t="n">
        <v>238</v>
      </c>
      <c r="E251" s="9" t="n">
        <f aca="false">I250</f>
        <v>6712077.90038273</v>
      </c>
      <c r="F251" s="9" t="n">
        <f aca="false">-PMT('Inputs &amp; Monthly CF'!$D$57/12,'Inputs &amp; Monthly CF'!$D$58*12,$E$14)</f>
        <v>74039.9933512736</v>
      </c>
      <c r="G251" s="9" t="n">
        <f aca="false">E251*'Inputs &amp; Monthly CF'!$D$57/12</f>
        <v>34958.7390644934</v>
      </c>
      <c r="H251" s="9" t="n">
        <f aca="false">F251-G251</f>
        <v>39081.2542867802</v>
      </c>
      <c r="I251" s="9" t="n">
        <f aca="false">E251-H251</f>
        <v>6672996.64609595</v>
      </c>
    </row>
    <row r="252" customFormat="false" ht="15" hidden="false" customHeight="false" outlineLevel="0" collapsed="false">
      <c r="D252" s="0" t="n">
        <v>239</v>
      </c>
      <c r="E252" s="9" t="n">
        <f aca="false">I251</f>
        <v>6672996.64609595</v>
      </c>
      <c r="F252" s="9" t="n">
        <f aca="false">-PMT('Inputs &amp; Monthly CF'!$D$57/12,'Inputs &amp; Monthly CF'!$D$58*12,$E$14)</f>
        <v>74039.9933512736</v>
      </c>
      <c r="G252" s="9" t="n">
        <f aca="false">E252*'Inputs &amp; Monthly CF'!$D$57/12</f>
        <v>34755.1908650831</v>
      </c>
      <c r="H252" s="9" t="n">
        <f aca="false">F252-G252</f>
        <v>39284.8024861905</v>
      </c>
      <c r="I252" s="9" t="n">
        <f aca="false">E252-H252</f>
        <v>6633711.84360976</v>
      </c>
    </row>
    <row r="253" customFormat="false" ht="15" hidden="false" customHeight="false" outlineLevel="0" collapsed="false">
      <c r="D253" s="0" t="n">
        <v>240</v>
      </c>
      <c r="E253" s="9" t="n">
        <f aca="false">I252</f>
        <v>6633711.84360976</v>
      </c>
      <c r="F253" s="9" t="n">
        <f aca="false">-PMT('Inputs &amp; Monthly CF'!$D$57/12,'Inputs &amp; Monthly CF'!$D$58*12,$E$14)</f>
        <v>74039.9933512736</v>
      </c>
      <c r="G253" s="9" t="n">
        <f aca="false">E253*'Inputs &amp; Monthly CF'!$D$57/12</f>
        <v>34550.5825188008</v>
      </c>
      <c r="H253" s="9" t="n">
        <f aca="false">F253-G253</f>
        <v>39489.4108324728</v>
      </c>
      <c r="I253" s="9" t="n">
        <f aca="false">E253-H253</f>
        <v>6594222.43277729</v>
      </c>
    </row>
    <row r="254" customFormat="false" ht="15" hidden="false" customHeight="false" outlineLevel="0" collapsed="false">
      <c r="D254" s="0" t="n">
        <v>241</v>
      </c>
      <c r="E254" s="9" t="n">
        <f aca="false">I253</f>
        <v>6594222.43277729</v>
      </c>
      <c r="F254" s="9" t="n">
        <f aca="false">-PMT('Inputs &amp; Monthly CF'!$D$57/12,'Inputs &amp; Monthly CF'!$D$58*12,$E$14)</f>
        <v>74039.9933512736</v>
      </c>
      <c r="G254" s="9" t="n">
        <f aca="false">E254*'Inputs &amp; Monthly CF'!$D$57/12</f>
        <v>34344.9085040484</v>
      </c>
      <c r="H254" s="9" t="n">
        <f aca="false">F254-G254</f>
        <v>39695.0848472252</v>
      </c>
      <c r="I254" s="9" t="n">
        <f aca="false">E254-H254</f>
        <v>6554527.34793006</v>
      </c>
    </row>
    <row r="255" customFormat="false" ht="15" hidden="false" customHeight="false" outlineLevel="0" collapsed="false">
      <c r="D255" s="0" t="n">
        <v>242</v>
      </c>
      <c r="E255" s="9" t="n">
        <f aca="false">I254</f>
        <v>6554527.34793006</v>
      </c>
      <c r="F255" s="9" t="n">
        <f aca="false">-PMT('Inputs &amp; Monthly CF'!$D$57/12,'Inputs &amp; Monthly CF'!$D$58*12,$E$14)</f>
        <v>74039.9933512736</v>
      </c>
      <c r="G255" s="9" t="n">
        <f aca="false">E255*'Inputs &amp; Monthly CF'!$D$57/12</f>
        <v>34138.1632704691</v>
      </c>
      <c r="H255" s="9" t="n">
        <f aca="false">F255-G255</f>
        <v>39901.8300808045</v>
      </c>
      <c r="I255" s="9" t="n">
        <f aca="false">E255-H255</f>
        <v>6514625.51784926</v>
      </c>
    </row>
    <row r="256" customFormat="false" ht="15" hidden="false" customHeight="false" outlineLevel="0" collapsed="false">
      <c r="D256" s="0" t="n">
        <v>243</v>
      </c>
      <c r="E256" s="9" t="n">
        <f aca="false">I255</f>
        <v>6514625.51784926</v>
      </c>
      <c r="F256" s="9" t="n">
        <f aca="false">-PMT('Inputs &amp; Monthly CF'!$D$57/12,'Inputs &amp; Monthly CF'!$D$58*12,$E$14)</f>
        <v>74039.9933512736</v>
      </c>
      <c r="G256" s="9" t="n">
        <f aca="false">E256*'Inputs &amp; Monthly CF'!$D$57/12</f>
        <v>33930.3412387982</v>
      </c>
      <c r="H256" s="9" t="n">
        <f aca="false">F256-G256</f>
        <v>40109.6521124754</v>
      </c>
      <c r="I256" s="9" t="n">
        <f aca="false">E256-H256</f>
        <v>6474515.86573678</v>
      </c>
    </row>
    <row r="257" customFormat="false" ht="15" hidden="false" customHeight="false" outlineLevel="0" collapsed="false">
      <c r="D257" s="0" t="n">
        <v>244</v>
      </c>
      <c r="E257" s="9" t="n">
        <f aca="false">I256</f>
        <v>6474515.86573678</v>
      </c>
      <c r="F257" s="9" t="n">
        <f aca="false">-PMT('Inputs &amp; Monthly CF'!$D$57/12,'Inputs &amp; Monthly CF'!$D$58*12,$E$14)</f>
        <v>74039.9933512736</v>
      </c>
      <c r="G257" s="9" t="n">
        <f aca="false">E257*'Inputs &amp; Monthly CF'!$D$57/12</f>
        <v>33721.4368007124</v>
      </c>
      <c r="H257" s="9" t="n">
        <f aca="false">F257-G257</f>
        <v>40318.5565505612</v>
      </c>
      <c r="I257" s="9" t="n">
        <f aca="false">E257-H257</f>
        <v>6434197.30918622</v>
      </c>
    </row>
    <row r="258" customFormat="false" ht="15" hidden="false" customHeight="false" outlineLevel="0" collapsed="false">
      <c r="D258" s="0" t="n">
        <v>245</v>
      </c>
      <c r="E258" s="9" t="n">
        <f aca="false">I257</f>
        <v>6434197.30918622</v>
      </c>
      <c r="F258" s="9" t="n">
        <f aca="false">-PMT('Inputs &amp; Monthly CF'!$D$57/12,'Inputs &amp; Monthly CF'!$D$58*12,$E$14)</f>
        <v>74039.9933512736</v>
      </c>
      <c r="G258" s="9" t="n">
        <f aca="false">E258*'Inputs &amp; Monthly CF'!$D$57/12</f>
        <v>33511.4443186782</v>
      </c>
      <c r="H258" s="9" t="n">
        <f aca="false">F258-G258</f>
        <v>40528.5490325954</v>
      </c>
      <c r="I258" s="9" t="n">
        <f aca="false">E258-H258</f>
        <v>6393668.76015363</v>
      </c>
    </row>
    <row r="259" customFormat="false" ht="15" hidden="false" customHeight="false" outlineLevel="0" collapsed="false">
      <c r="D259" s="0" t="n">
        <v>246</v>
      </c>
      <c r="E259" s="9" t="n">
        <f aca="false">I258</f>
        <v>6393668.76015363</v>
      </c>
      <c r="F259" s="9" t="n">
        <f aca="false">-PMT('Inputs &amp; Monthly CF'!$D$57/12,'Inputs &amp; Monthly CF'!$D$58*12,$E$14)</f>
        <v>74039.9933512736</v>
      </c>
      <c r="G259" s="9" t="n">
        <f aca="false">E259*'Inputs &amp; Monthly CF'!$D$57/12</f>
        <v>33300.3581258001</v>
      </c>
      <c r="H259" s="9" t="n">
        <f aca="false">F259-G259</f>
        <v>40739.6352254735</v>
      </c>
      <c r="I259" s="9" t="n">
        <f aca="false">E259-H259</f>
        <v>6352929.12492815</v>
      </c>
    </row>
    <row r="260" customFormat="false" ht="15" hidden="false" customHeight="false" outlineLevel="0" collapsed="false">
      <c r="D260" s="0" t="n">
        <v>247</v>
      </c>
      <c r="E260" s="9" t="n">
        <f aca="false">I259</f>
        <v>6352929.12492815</v>
      </c>
      <c r="F260" s="9" t="n">
        <f aca="false">-PMT('Inputs &amp; Monthly CF'!$D$57/12,'Inputs &amp; Monthly CF'!$D$58*12,$E$14)</f>
        <v>74039.9933512736</v>
      </c>
      <c r="G260" s="9" t="n">
        <f aca="false">E260*'Inputs &amp; Monthly CF'!$D$57/12</f>
        <v>33088.1725256675</v>
      </c>
      <c r="H260" s="9" t="n">
        <f aca="false">F260-G260</f>
        <v>40951.8208256061</v>
      </c>
      <c r="I260" s="9" t="n">
        <f aca="false">E260-H260</f>
        <v>6311977.30410255</v>
      </c>
    </row>
    <row r="261" customFormat="false" ht="15" hidden="false" customHeight="false" outlineLevel="0" collapsed="false">
      <c r="D261" s="0" t="n">
        <v>248</v>
      </c>
      <c r="E261" s="9" t="n">
        <f aca="false">I260</f>
        <v>6311977.30410255</v>
      </c>
      <c r="F261" s="9" t="n">
        <f aca="false">-PMT('Inputs &amp; Monthly CF'!$D$57/12,'Inputs &amp; Monthly CF'!$D$58*12,$E$14)</f>
        <v>74039.9933512736</v>
      </c>
      <c r="G261" s="9" t="n">
        <f aca="false">E261*'Inputs &amp; Monthly CF'!$D$57/12</f>
        <v>32874.8817922008</v>
      </c>
      <c r="H261" s="9" t="n">
        <f aca="false">F261-G261</f>
        <v>41165.1115590728</v>
      </c>
      <c r="I261" s="9" t="n">
        <f aca="false">E261-H261</f>
        <v>6270812.19254347</v>
      </c>
    </row>
    <row r="262" customFormat="false" ht="15" hidden="false" customHeight="false" outlineLevel="0" collapsed="false">
      <c r="D262" s="0" t="n">
        <v>249</v>
      </c>
      <c r="E262" s="9" t="n">
        <f aca="false">I261</f>
        <v>6270812.19254347</v>
      </c>
      <c r="F262" s="9" t="n">
        <f aca="false">-PMT('Inputs &amp; Monthly CF'!$D$57/12,'Inputs &amp; Monthly CF'!$D$58*12,$E$14)</f>
        <v>74039.9933512736</v>
      </c>
      <c r="G262" s="9" t="n">
        <f aca="false">E262*'Inputs &amp; Monthly CF'!$D$57/12</f>
        <v>32660.4801694973</v>
      </c>
      <c r="H262" s="9" t="n">
        <f aca="false">F262-G262</f>
        <v>41379.5131817763</v>
      </c>
      <c r="I262" s="9" t="n">
        <f aca="false">E262-H262</f>
        <v>6229432.6793617</v>
      </c>
    </row>
    <row r="263" customFormat="false" ht="15" hidden="false" customHeight="false" outlineLevel="0" collapsed="false">
      <c r="D263" s="0" t="n">
        <v>250</v>
      </c>
      <c r="E263" s="9" t="n">
        <f aca="false">I262</f>
        <v>6229432.6793617</v>
      </c>
      <c r="F263" s="9" t="n">
        <f aca="false">-PMT('Inputs &amp; Monthly CF'!$D$57/12,'Inputs &amp; Monthly CF'!$D$58*12,$E$14)</f>
        <v>74039.9933512736</v>
      </c>
      <c r="G263" s="9" t="n">
        <f aca="false">E263*'Inputs &amp; Monthly CF'!$D$57/12</f>
        <v>32444.9618716755</v>
      </c>
      <c r="H263" s="9" t="n">
        <f aca="false">F263-G263</f>
        <v>41595.0314795981</v>
      </c>
      <c r="I263" s="9" t="n">
        <f aca="false">E263-H263</f>
        <v>6187837.6478821</v>
      </c>
    </row>
    <row r="264" customFormat="false" ht="15" hidden="false" customHeight="false" outlineLevel="0" collapsed="false">
      <c r="D264" s="0" t="n">
        <v>251</v>
      </c>
      <c r="E264" s="9" t="n">
        <f aca="false">I263</f>
        <v>6187837.6478821</v>
      </c>
      <c r="F264" s="9" t="n">
        <f aca="false">-PMT('Inputs &amp; Monthly CF'!$D$57/12,'Inputs &amp; Monthly CF'!$D$58*12,$E$14)</f>
        <v>74039.9933512736</v>
      </c>
      <c r="G264" s="9" t="n">
        <f aca="false">E264*'Inputs &amp; Monthly CF'!$D$57/12</f>
        <v>32228.3210827193</v>
      </c>
      <c r="H264" s="9" t="n">
        <f aca="false">F264-G264</f>
        <v>41811.6722685543</v>
      </c>
      <c r="I264" s="9" t="n">
        <f aca="false">E264-H264</f>
        <v>6146025.97561354</v>
      </c>
    </row>
    <row r="265" customFormat="false" ht="15" hidden="false" customHeight="false" outlineLevel="0" collapsed="false">
      <c r="D265" s="0" t="n">
        <v>252</v>
      </c>
      <c r="E265" s="9" t="n">
        <f aca="false">I264</f>
        <v>6146025.97561354</v>
      </c>
      <c r="F265" s="9" t="n">
        <f aca="false">-PMT('Inputs &amp; Monthly CF'!$D$57/12,'Inputs &amp; Monthly CF'!$D$58*12,$E$14)</f>
        <v>74039.9933512736</v>
      </c>
      <c r="G265" s="9" t="n">
        <f aca="false">E265*'Inputs &amp; Monthly CF'!$D$57/12</f>
        <v>32010.5519563205</v>
      </c>
      <c r="H265" s="9" t="n">
        <f aca="false">F265-G265</f>
        <v>42029.4413949531</v>
      </c>
      <c r="I265" s="9" t="n">
        <f aca="false">E265-H265</f>
        <v>6103996.53421859</v>
      </c>
    </row>
    <row r="266" customFormat="false" ht="15" hidden="false" customHeight="false" outlineLevel="0" collapsed="false">
      <c r="D266" s="0" t="n">
        <v>253</v>
      </c>
      <c r="E266" s="9" t="n">
        <f aca="false">I265</f>
        <v>6103996.53421859</v>
      </c>
      <c r="F266" s="9" t="n">
        <f aca="false">-PMT('Inputs &amp; Monthly CF'!$D$57/12,'Inputs &amp; Monthly CF'!$D$58*12,$E$14)</f>
        <v>74039.9933512736</v>
      </c>
      <c r="G266" s="9" t="n">
        <f aca="false">E266*'Inputs &amp; Monthly CF'!$D$57/12</f>
        <v>31791.6486157218</v>
      </c>
      <c r="H266" s="9" t="n">
        <f aca="false">F266-G266</f>
        <v>42248.3447355518</v>
      </c>
      <c r="I266" s="9" t="n">
        <f aca="false">E266-H266</f>
        <v>6061748.18948304</v>
      </c>
    </row>
    <row r="267" customFormat="false" ht="15" hidden="false" customHeight="false" outlineLevel="0" collapsed="false">
      <c r="D267" s="0" t="n">
        <v>254</v>
      </c>
      <c r="E267" s="9" t="n">
        <f aca="false">I266</f>
        <v>6061748.18948304</v>
      </c>
      <c r="F267" s="9" t="n">
        <f aca="false">-PMT('Inputs &amp; Monthly CF'!$D$57/12,'Inputs &amp; Monthly CF'!$D$58*12,$E$14)</f>
        <v>74039.9933512736</v>
      </c>
      <c r="G267" s="9" t="n">
        <f aca="false">E267*'Inputs &amp; Monthly CF'!$D$57/12</f>
        <v>31571.6051535575</v>
      </c>
      <c r="H267" s="9" t="n">
        <f aca="false">F267-G267</f>
        <v>42468.3881977161</v>
      </c>
      <c r="I267" s="9" t="n">
        <f aca="false">E267-H267</f>
        <v>6019279.80128532</v>
      </c>
    </row>
    <row r="268" customFormat="false" ht="15" hidden="false" customHeight="false" outlineLevel="0" collapsed="false">
      <c r="D268" s="0" t="n">
        <v>255</v>
      </c>
      <c r="E268" s="9" t="n">
        <f aca="false">I267</f>
        <v>6019279.80128532</v>
      </c>
      <c r="F268" s="9" t="n">
        <f aca="false">-PMT('Inputs &amp; Monthly CF'!$D$57/12,'Inputs &amp; Monthly CF'!$D$58*12,$E$14)</f>
        <v>74039.9933512736</v>
      </c>
      <c r="G268" s="9" t="n">
        <f aca="false">E268*'Inputs &amp; Monthly CF'!$D$57/12</f>
        <v>31350.4156316944</v>
      </c>
      <c r="H268" s="9" t="n">
        <f aca="false">F268-G268</f>
        <v>42689.5777195792</v>
      </c>
      <c r="I268" s="9" t="n">
        <f aca="false">E268-H268</f>
        <v>5976590.22356574</v>
      </c>
    </row>
    <row r="269" customFormat="false" ht="15" hidden="false" customHeight="false" outlineLevel="0" collapsed="false">
      <c r="D269" s="0" t="n">
        <v>256</v>
      </c>
      <c r="E269" s="9" t="n">
        <f aca="false">I268</f>
        <v>5976590.22356574</v>
      </c>
      <c r="F269" s="9" t="n">
        <f aca="false">-PMT('Inputs &amp; Monthly CF'!$D$57/12,'Inputs &amp; Monthly CF'!$D$58*12,$E$14)</f>
        <v>74039.9933512736</v>
      </c>
      <c r="G269" s="9" t="n">
        <f aca="false">E269*'Inputs &amp; Monthly CF'!$D$57/12</f>
        <v>31128.0740810716</v>
      </c>
      <c r="H269" s="9" t="n">
        <f aca="false">F269-G269</f>
        <v>42911.919270202</v>
      </c>
      <c r="I269" s="9" t="n">
        <f aca="false">E269-H269</f>
        <v>5933678.30429554</v>
      </c>
    </row>
    <row r="270" customFormat="false" ht="15" hidden="false" customHeight="false" outlineLevel="0" collapsed="false">
      <c r="D270" s="0" t="n">
        <v>257</v>
      </c>
      <c r="E270" s="9" t="n">
        <f aca="false">I269</f>
        <v>5933678.30429554</v>
      </c>
      <c r="F270" s="9" t="n">
        <f aca="false">-PMT('Inputs &amp; Monthly CF'!$D$57/12,'Inputs &amp; Monthly CF'!$D$58*12,$E$14)</f>
        <v>74039.9933512736</v>
      </c>
      <c r="G270" s="9" t="n">
        <f aca="false">E270*'Inputs &amp; Monthly CF'!$D$57/12</f>
        <v>30904.5745015393</v>
      </c>
      <c r="H270" s="9" t="n">
        <f aca="false">F270-G270</f>
        <v>43135.4188497343</v>
      </c>
      <c r="I270" s="9" t="n">
        <f aca="false">E270-H270</f>
        <v>5890542.88544581</v>
      </c>
    </row>
    <row r="271" customFormat="false" ht="15" hidden="false" customHeight="false" outlineLevel="0" collapsed="false">
      <c r="D271" s="0" t="n">
        <v>258</v>
      </c>
      <c r="E271" s="9" t="n">
        <f aca="false">I270</f>
        <v>5890542.88544581</v>
      </c>
      <c r="F271" s="9" t="n">
        <f aca="false">-PMT('Inputs &amp; Monthly CF'!$D$57/12,'Inputs &amp; Monthly CF'!$D$58*12,$E$14)</f>
        <v>74039.9933512736</v>
      </c>
      <c r="G271" s="9" t="n">
        <f aca="false">E271*'Inputs &amp; Monthly CF'!$D$57/12</f>
        <v>30679.9108616969</v>
      </c>
      <c r="H271" s="9" t="n">
        <f aca="false">F271-G271</f>
        <v>43360.0824895767</v>
      </c>
      <c r="I271" s="9" t="n">
        <f aca="false">E271-H271</f>
        <v>5847182.80295623</v>
      </c>
    </row>
    <row r="272" customFormat="false" ht="15" hidden="false" customHeight="false" outlineLevel="0" collapsed="false">
      <c r="D272" s="0" t="n">
        <v>259</v>
      </c>
      <c r="E272" s="9" t="n">
        <f aca="false">I271</f>
        <v>5847182.80295623</v>
      </c>
      <c r="F272" s="9" t="n">
        <f aca="false">-PMT('Inputs &amp; Monthly CF'!$D$57/12,'Inputs &amp; Monthly CF'!$D$58*12,$E$14)</f>
        <v>74039.9933512736</v>
      </c>
      <c r="G272" s="9" t="n">
        <f aca="false">E272*'Inputs &amp; Monthly CF'!$D$57/12</f>
        <v>30454.0770987304</v>
      </c>
      <c r="H272" s="9" t="n">
        <f aca="false">F272-G272</f>
        <v>43585.9162525432</v>
      </c>
      <c r="I272" s="9" t="n">
        <f aca="false">E272-H272</f>
        <v>5803596.88670369</v>
      </c>
    </row>
    <row r="273" customFormat="false" ht="15" hidden="false" customHeight="false" outlineLevel="0" collapsed="false">
      <c r="D273" s="0" t="n">
        <v>260</v>
      </c>
      <c r="E273" s="9" t="n">
        <f aca="false">I272</f>
        <v>5803596.88670369</v>
      </c>
      <c r="F273" s="9" t="n">
        <f aca="false">-PMT('Inputs &amp; Monthly CF'!$D$57/12,'Inputs &amp; Monthly CF'!$D$58*12,$E$14)</f>
        <v>74039.9933512736</v>
      </c>
      <c r="G273" s="9" t="n">
        <f aca="false">E273*'Inputs &amp; Monthly CF'!$D$57/12</f>
        <v>30227.0671182484</v>
      </c>
      <c r="H273" s="9" t="n">
        <f aca="false">F273-G273</f>
        <v>43812.9262330252</v>
      </c>
      <c r="I273" s="9" t="n">
        <f aca="false">E273-H273</f>
        <v>5759783.96047066</v>
      </c>
    </row>
    <row r="274" customFormat="false" ht="15" hidden="false" customHeight="false" outlineLevel="0" collapsed="false">
      <c r="D274" s="0" t="n">
        <v>261</v>
      </c>
      <c r="E274" s="9" t="n">
        <f aca="false">I273</f>
        <v>5759783.96047066</v>
      </c>
      <c r="F274" s="9" t="n">
        <f aca="false">-PMT('Inputs &amp; Monthly CF'!$D$57/12,'Inputs &amp; Monthly CF'!$D$58*12,$E$14)</f>
        <v>74039.9933512736</v>
      </c>
      <c r="G274" s="9" t="n">
        <f aca="false">E274*'Inputs &amp; Monthly CF'!$D$57/12</f>
        <v>29998.874794118</v>
      </c>
      <c r="H274" s="9" t="n">
        <f aca="false">F274-G274</f>
        <v>44041.1185571556</v>
      </c>
      <c r="I274" s="9" t="n">
        <f aca="false">E274-H274</f>
        <v>5715742.84191351</v>
      </c>
    </row>
    <row r="275" customFormat="false" ht="15" hidden="false" customHeight="false" outlineLevel="0" collapsed="false">
      <c r="D275" s="0" t="n">
        <v>262</v>
      </c>
      <c r="E275" s="9" t="n">
        <f aca="false">I274</f>
        <v>5715742.84191351</v>
      </c>
      <c r="F275" s="9" t="n">
        <f aca="false">-PMT('Inputs &amp; Monthly CF'!$D$57/12,'Inputs &amp; Monthly CF'!$D$58*12,$E$14)</f>
        <v>74039.9933512736</v>
      </c>
      <c r="G275" s="9" t="n">
        <f aca="false">E275*'Inputs &amp; Monthly CF'!$D$57/12</f>
        <v>29769.4939682995</v>
      </c>
      <c r="H275" s="9" t="n">
        <f aca="false">F275-G275</f>
        <v>44270.4993829741</v>
      </c>
      <c r="I275" s="9" t="n">
        <f aca="false">E275-H275</f>
        <v>5671472.34253053</v>
      </c>
    </row>
    <row r="276" customFormat="false" ht="15" hidden="false" customHeight="false" outlineLevel="0" collapsed="false">
      <c r="D276" s="0" t="n">
        <v>263</v>
      </c>
      <c r="E276" s="9" t="n">
        <f aca="false">I275</f>
        <v>5671472.34253053</v>
      </c>
      <c r="F276" s="9" t="n">
        <f aca="false">-PMT('Inputs &amp; Monthly CF'!$D$57/12,'Inputs &amp; Monthly CF'!$D$58*12,$E$14)</f>
        <v>74039.9933512736</v>
      </c>
      <c r="G276" s="9" t="n">
        <f aca="false">E276*'Inputs &amp; Monthly CF'!$D$57/12</f>
        <v>29538.9184506799</v>
      </c>
      <c r="H276" s="9" t="n">
        <f aca="false">F276-G276</f>
        <v>44501.0749005937</v>
      </c>
      <c r="I276" s="9" t="n">
        <f aca="false">E276-H276</f>
        <v>5626971.26762994</v>
      </c>
    </row>
    <row r="277" customFormat="false" ht="15" hidden="false" customHeight="false" outlineLevel="0" collapsed="false">
      <c r="D277" s="0" t="n">
        <v>264</v>
      </c>
      <c r="E277" s="9" t="n">
        <f aca="false">I276</f>
        <v>5626971.26762994</v>
      </c>
      <c r="F277" s="9" t="n">
        <f aca="false">-PMT('Inputs &amp; Monthly CF'!$D$57/12,'Inputs &amp; Monthly CF'!$D$58*12,$E$14)</f>
        <v>74039.9933512736</v>
      </c>
      <c r="G277" s="9" t="n">
        <f aca="false">E277*'Inputs &amp; Monthly CF'!$D$57/12</f>
        <v>29307.1420189059</v>
      </c>
      <c r="H277" s="9" t="n">
        <f aca="false">F277-G277</f>
        <v>44732.8513323677</v>
      </c>
      <c r="I277" s="9" t="n">
        <f aca="false">E277-H277</f>
        <v>5582238.41629757</v>
      </c>
    </row>
    <row r="278" customFormat="false" ht="15" hidden="false" customHeight="false" outlineLevel="0" collapsed="false">
      <c r="D278" s="0" t="n">
        <v>265</v>
      </c>
      <c r="E278" s="9" t="n">
        <f aca="false">I277</f>
        <v>5582238.41629757</v>
      </c>
      <c r="F278" s="9" t="n">
        <f aca="false">-PMT('Inputs &amp; Monthly CF'!$D$57/12,'Inputs &amp; Monthly CF'!$D$58*12,$E$14)</f>
        <v>74039.9933512736</v>
      </c>
      <c r="G278" s="9" t="n">
        <f aca="false">E278*'Inputs &amp; Monthly CF'!$D$57/12</f>
        <v>29074.1584182165</v>
      </c>
      <c r="H278" s="9" t="n">
        <f aca="false">F278-G278</f>
        <v>44965.8349330571</v>
      </c>
      <c r="I278" s="9" t="n">
        <f aca="false">E278-H278</f>
        <v>5537272.58136451</v>
      </c>
    </row>
    <row r="279" customFormat="false" ht="15" hidden="false" customHeight="false" outlineLevel="0" collapsed="false">
      <c r="D279" s="0" t="n">
        <v>266</v>
      </c>
      <c r="E279" s="9" t="n">
        <f aca="false">I278</f>
        <v>5537272.58136451</v>
      </c>
      <c r="F279" s="9" t="n">
        <f aca="false">-PMT('Inputs &amp; Monthly CF'!$D$57/12,'Inputs &amp; Monthly CF'!$D$58*12,$E$14)</f>
        <v>74039.9933512736</v>
      </c>
      <c r="G279" s="9" t="n">
        <f aca="false">E279*'Inputs &amp; Monthly CF'!$D$57/12</f>
        <v>28839.9613612735</v>
      </c>
      <c r="H279" s="9" t="n">
        <f aca="false">F279-G279</f>
        <v>45200.0319900001</v>
      </c>
      <c r="I279" s="9" t="n">
        <f aca="false">E279-H279</f>
        <v>5492072.54937451</v>
      </c>
    </row>
    <row r="280" customFormat="false" ht="15" hidden="false" customHeight="false" outlineLevel="0" collapsed="false">
      <c r="D280" s="0" t="n">
        <v>267</v>
      </c>
      <c r="E280" s="9" t="n">
        <f aca="false">I279</f>
        <v>5492072.54937451</v>
      </c>
      <c r="F280" s="9" t="n">
        <f aca="false">-PMT('Inputs &amp; Monthly CF'!$D$57/12,'Inputs &amp; Monthly CF'!$D$58*12,$E$14)</f>
        <v>74039.9933512736</v>
      </c>
      <c r="G280" s="9" t="n">
        <f aca="false">E280*'Inputs &amp; Monthly CF'!$D$57/12</f>
        <v>28604.5445279923</v>
      </c>
      <c r="H280" s="9" t="n">
        <f aca="false">F280-G280</f>
        <v>45435.4488232813</v>
      </c>
      <c r="I280" s="9" t="n">
        <f aca="false">E280-H280</f>
        <v>5446637.10055123</v>
      </c>
    </row>
    <row r="281" customFormat="false" ht="15" hidden="false" customHeight="false" outlineLevel="0" collapsed="false">
      <c r="D281" s="0" t="n">
        <v>268</v>
      </c>
      <c r="E281" s="9" t="n">
        <f aca="false">I280</f>
        <v>5446637.10055123</v>
      </c>
      <c r="F281" s="9" t="n">
        <f aca="false">-PMT('Inputs &amp; Monthly CF'!$D$57/12,'Inputs &amp; Monthly CF'!$D$58*12,$E$14)</f>
        <v>74039.9933512736</v>
      </c>
      <c r="G281" s="9" t="n">
        <f aca="false">E281*'Inputs &amp; Monthly CF'!$D$57/12</f>
        <v>28367.901565371</v>
      </c>
      <c r="H281" s="9" t="n">
        <f aca="false">F281-G281</f>
        <v>45672.0917859026</v>
      </c>
      <c r="I281" s="9" t="n">
        <f aca="false">E281-H281</f>
        <v>5400965.00876533</v>
      </c>
    </row>
    <row r="282" customFormat="false" ht="15" hidden="false" customHeight="false" outlineLevel="0" collapsed="false">
      <c r="D282" s="0" t="n">
        <v>269</v>
      </c>
      <c r="E282" s="9" t="n">
        <f aca="false">I281</f>
        <v>5400965.00876533</v>
      </c>
      <c r="F282" s="9" t="n">
        <f aca="false">-PMT('Inputs &amp; Monthly CF'!$D$57/12,'Inputs &amp; Monthly CF'!$D$58*12,$E$14)</f>
        <v>74039.9933512736</v>
      </c>
      <c r="G282" s="9" t="n">
        <f aca="false">E282*'Inputs &amp; Monthly CF'!$D$57/12</f>
        <v>28130.0260873194</v>
      </c>
      <c r="H282" s="9" t="n">
        <f aca="false">F282-G282</f>
        <v>45909.9672639542</v>
      </c>
      <c r="I282" s="9" t="n">
        <f aca="false">E282-H282</f>
        <v>5355055.04150138</v>
      </c>
    </row>
    <row r="283" customFormat="false" ht="15" hidden="false" customHeight="false" outlineLevel="0" collapsed="false">
      <c r="D283" s="0" t="n">
        <v>270</v>
      </c>
      <c r="E283" s="9" t="n">
        <f aca="false">I282</f>
        <v>5355055.04150138</v>
      </c>
      <c r="F283" s="9" t="n">
        <f aca="false">-PMT('Inputs &amp; Monthly CF'!$D$57/12,'Inputs &amp; Monthly CF'!$D$58*12,$E$14)</f>
        <v>74039.9933512736</v>
      </c>
      <c r="G283" s="9" t="n">
        <f aca="false">E283*'Inputs &amp; Monthly CF'!$D$57/12</f>
        <v>27890.9116744863</v>
      </c>
      <c r="H283" s="9" t="n">
        <f aca="false">F283-G283</f>
        <v>46149.0816767873</v>
      </c>
      <c r="I283" s="9" t="n">
        <f aca="false">E283-H283</f>
        <v>5308905.95982459</v>
      </c>
    </row>
    <row r="284" customFormat="false" ht="15" hidden="false" customHeight="false" outlineLevel="0" collapsed="false">
      <c r="D284" s="0" t="n">
        <v>271</v>
      </c>
      <c r="E284" s="9" t="n">
        <f aca="false">I283</f>
        <v>5308905.95982459</v>
      </c>
      <c r="F284" s="9" t="n">
        <f aca="false">-PMT('Inputs &amp; Monthly CF'!$D$57/12,'Inputs &amp; Monthly CF'!$D$58*12,$E$14)</f>
        <v>74039.9933512736</v>
      </c>
      <c r="G284" s="9" t="n">
        <f aca="false">E284*'Inputs &amp; Monthly CF'!$D$57/12</f>
        <v>27650.5518740864</v>
      </c>
      <c r="H284" s="9" t="n">
        <f aca="false">F284-G284</f>
        <v>46389.4414771872</v>
      </c>
      <c r="I284" s="9" t="n">
        <f aca="false">E284-H284</f>
        <v>5262516.5183474</v>
      </c>
    </row>
    <row r="285" customFormat="false" ht="15" hidden="false" customHeight="false" outlineLevel="0" collapsed="false">
      <c r="D285" s="0" t="n">
        <v>272</v>
      </c>
      <c r="E285" s="9" t="n">
        <f aca="false">I284</f>
        <v>5262516.5183474</v>
      </c>
      <c r="F285" s="9" t="n">
        <f aca="false">-PMT('Inputs &amp; Monthly CF'!$D$57/12,'Inputs &amp; Monthly CF'!$D$58*12,$E$14)</f>
        <v>74039.9933512736</v>
      </c>
      <c r="G285" s="9" t="n">
        <f aca="false">E285*'Inputs &amp; Monthly CF'!$D$57/12</f>
        <v>27408.940199726</v>
      </c>
      <c r="H285" s="9" t="n">
        <f aca="false">F285-G285</f>
        <v>46631.0531515475</v>
      </c>
      <c r="I285" s="9" t="n">
        <f aca="false">E285-H285</f>
        <v>5215885.46519585</v>
      </c>
    </row>
    <row r="286" customFormat="false" ht="15" hidden="false" customHeight="false" outlineLevel="0" collapsed="false">
      <c r="D286" s="0" t="n">
        <v>273</v>
      </c>
      <c r="E286" s="9" t="n">
        <f aca="false">I285</f>
        <v>5215885.46519585</v>
      </c>
      <c r="F286" s="9" t="n">
        <f aca="false">-PMT('Inputs &amp; Monthly CF'!$D$57/12,'Inputs &amp; Monthly CF'!$D$58*12,$E$14)</f>
        <v>74039.9933512736</v>
      </c>
      <c r="G286" s="9" t="n">
        <f aca="false">E286*'Inputs &amp; Monthly CF'!$D$57/12</f>
        <v>27166.0701312284</v>
      </c>
      <c r="H286" s="9" t="n">
        <f aca="false">F286-G286</f>
        <v>46873.9232200452</v>
      </c>
      <c r="I286" s="9" t="n">
        <f aca="false">E286-H286</f>
        <v>5169011.54197581</v>
      </c>
    </row>
    <row r="287" customFormat="false" ht="15" hidden="false" customHeight="false" outlineLevel="0" collapsed="false">
      <c r="D287" s="0" t="n">
        <v>274</v>
      </c>
      <c r="E287" s="9" t="n">
        <f aca="false">I286</f>
        <v>5169011.54197581</v>
      </c>
      <c r="F287" s="9" t="n">
        <f aca="false">-PMT('Inputs &amp; Monthly CF'!$D$57/12,'Inputs &amp; Monthly CF'!$D$58*12,$E$14)</f>
        <v>74039.9933512736</v>
      </c>
      <c r="G287" s="9" t="n">
        <f aca="false">E287*'Inputs &amp; Monthly CF'!$D$57/12</f>
        <v>26921.9351144573</v>
      </c>
      <c r="H287" s="9" t="n">
        <f aca="false">F287-G287</f>
        <v>47118.0582368163</v>
      </c>
      <c r="I287" s="9" t="n">
        <f aca="false">E287-H287</f>
        <v>5121893.48373899</v>
      </c>
    </row>
    <row r="288" customFormat="false" ht="15" hidden="false" customHeight="false" outlineLevel="0" collapsed="false">
      <c r="D288" s="0" t="n">
        <v>275</v>
      </c>
      <c r="E288" s="9" t="n">
        <f aca="false">I287</f>
        <v>5121893.48373899</v>
      </c>
      <c r="F288" s="9" t="n">
        <f aca="false">-PMT('Inputs &amp; Monthly CF'!$D$57/12,'Inputs &amp; Monthly CF'!$D$58*12,$E$14)</f>
        <v>74039.9933512736</v>
      </c>
      <c r="G288" s="9" t="n">
        <f aca="false">E288*'Inputs &amp; Monthly CF'!$D$57/12</f>
        <v>26676.5285611406</v>
      </c>
      <c r="H288" s="9" t="n">
        <f aca="false">F288-G288</f>
        <v>47363.464790133</v>
      </c>
      <c r="I288" s="9" t="n">
        <f aca="false">E288-H288</f>
        <v>5074530.01894886</v>
      </c>
    </row>
    <row r="289" customFormat="false" ht="15" hidden="false" customHeight="false" outlineLevel="0" collapsed="false">
      <c r="D289" s="0" t="n">
        <v>276</v>
      </c>
      <c r="E289" s="9" t="n">
        <f aca="false">I288</f>
        <v>5074530.01894886</v>
      </c>
      <c r="F289" s="9" t="n">
        <f aca="false">-PMT('Inputs &amp; Monthly CF'!$D$57/12,'Inputs &amp; Monthly CF'!$D$58*12,$E$14)</f>
        <v>74039.9933512736</v>
      </c>
      <c r="G289" s="9" t="n">
        <f aca="false">E289*'Inputs &amp; Monthly CF'!$D$57/12</f>
        <v>26429.843848692</v>
      </c>
      <c r="H289" s="9" t="n">
        <f aca="false">F289-G289</f>
        <v>47610.1495025816</v>
      </c>
      <c r="I289" s="9" t="n">
        <f aca="false">E289-H289</f>
        <v>5026919.86944628</v>
      </c>
    </row>
    <row r="290" customFormat="false" ht="15" hidden="false" customHeight="false" outlineLevel="0" collapsed="false">
      <c r="D290" s="0" t="n">
        <v>277</v>
      </c>
      <c r="E290" s="9" t="n">
        <f aca="false">I289</f>
        <v>5026919.86944628</v>
      </c>
      <c r="F290" s="9" t="n">
        <f aca="false">-PMT('Inputs &amp; Monthly CF'!$D$57/12,'Inputs &amp; Monthly CF'!$D$58*12,$E$14)</f>
        <v>74039.9933512736</v>
      </c>
      <c r="G290" s="9" t="n">
        <f aca="false">E290*'Inputs &amp; Monthly CF'!$D$57/12</f>
        <v>26181.8743200327</v>
      </c>
      <c r="H290" s="9" t="n">
        <f aca="false">F290-G290</f>
        <v>47858.1190312409</v>
      </c>
      <c r="I290" s="9" t="n">
        <f aca="false">E290-H290</f>
        <v>4979061.75041504</v>
      </c>
    </row>
    <row r="291" customFormat="false" ht="15" hidden="false" customHeight="false" outlineLevel="0" collapsed="false">
      <c r="D291" s="0" t="n">
        <v>278</v>
      </c>
      <c r="E291" s="9" t="n">
        <f aca="false">I290</f>
        <v>4979061.75041504</v>
      </c>
      <c r="F291" s="9" t="n">
        <f aca="false">-PMT('Inputs &amp; Monthly CF'!$D$57/12,'Inputs &amp; Monthly CF'!$D$58*12,$E$14)</f>
        <v>74039.9933512736</v>
      </c>
      <c r="G291" s="9" t="n">
        <f aca="false">E291*'Inputs &amp; Monthly CF'!$D$57/12</f>
        <v>25932.6132834116</v>
      </c>
      <c r="H291" s="9" t="n">
        <f aca="false">F291-G291</f>
        <v>48107.3800678619</v>
      </c>
      <c r="I291" s="9" t="n">
        <f aca="false">E291-H291</f>
        <v>4930954.37034718</v>
      </c>
    </row>
    <row r="292" customFormat="false" ht="15" hidden="false" customHeight="false" outlineLevel="0" collapsed="false">
      <c r="D292" s="0" t="n">
        <v>279</v>
      </c>
      <c r="E292" s="9" t="n">
        <f aca="false">I291</f>
        <v>4930954.37034718</v>
      </c>
      <c r="F292" s="9" t="n">
        <f aca="false">-PMT('Inputs &amp; Monthly CF'!$D$57/12,'Inputs &amp; Monthly CF'!$D$58*12,$E$14)</f>
        <v>74039.9933512736</v>
      </c>
      <c r="G292" s="9" t="n">
        <f aca="false">E292*'Inputs &amp; Monthly CF'!$D$57/12</f>
        <v>25682.0540122249</v>
      </c>
      <c r="H292" s="9" t="n">
        <f aca="false">F292-G292</f>
        <v>48357.9393390487</v>
      </c>
      <c r="I292" s="9" t="n">
        <f aca="false">E292-H292</f>
        <v>4882596.43100813</v>
      </c>
    </row>
    <row r="293" customFormat="false" ht="15" hidden="false" customHeight="false" outlineLevel="0" collapsed="false">
      <c r="D293" s="0" t="n">
        <v>280</v>
      </c>
      <c r="E293" s="9" t="n">
        <f aca="false">I292</f>
        <v>4882596.43100813</v>
      </c>
      <c r="F293" s="9" t="n">
        <f aca="false">-PMT('Inputs &amp; Monthly CF'!$D$57/12,'Inputs &amp; Monthly CF'!$D$58*12,$E$14)</f>
        <v>74039.9933512736</v>
      </c>
      <c r="G293" s="9" t="n">
        <f aca="false">E293*'Inputs &amp; Monthly CF'!$D$57/12</f>
        <v>25430.189744834</v>
      </c>
      <c r="H293" s="9" t="n">
        <f aca="false">F293-G293</f>
        <v>48609.8036064396</v>
      </c>
      <c r="I293" s="9" t="n">
        <f aca="false">E293-H293</f>
        <v>4833986.62740169</v>
      </c>
    </row>
    <row r="294" customFormat="false" ht="15" hidden="false" customHeight="false" outlineLevel="0" collapsed="false">
      <c r="D294" s="0" t="n">
        <v>281</v>
      </c>
      <c r="E294" s="9" t="n">
        <f aca="false">I293</f>
        <v>4833986.62740169</v>
      </c>
      <c r="F294" s="9" t="n">
        <f aca="false">-PMT('Inputs &amp; Monthly CF'!$D$57/12,'Inputs &amp; Monthly CF'!$D$58*12,$E$14)</f>
        <v>74039.9933512736</v>
      </c>
      <c r="G294" s="9" t="n">
        <f aca="false">E294*'Inputs &amp; Monthly CF'!$D$57/12</f>
        <v>25177.0136843838</v>
      </c>
      <c r="H294" s="9" t="n">
        <f aca="false">F294-G294</f>
        <v>48862.9796668898</v>
      </c>
      <c r="I294" s="9" t="n">
        <f aca="false">E294-H294</f>
        <v>4785123.6477348</v>
      </c>
    </row>
    <row r="295" customFormat="false" ht="15" hidden="false" customHeight="false" outlineLevel="0" collapsed="false">
      <c r="D295" s="0" t="n">
        <v>282</v>
      </c>
      <c r="E295" s="9" t="n">
        <f aca="false">I294</f>
        <v>4785123.6477348</v>
      </c>
      <c r="F295" s="9" t="n">
        <f aca="false">-PMT('Inputs &amp; Monthly CF'!$D$57/12,'Inputs &amp; Monthly CF'!$D$58*12,$E$14)</f>
        <v>74039.9933512736</v>
      </c>
      <c r="G295" s="9" t="n">
        <f aca="false">E295*'Inputs &amp; Monthly CF'!$D$57/12</f>
        <v>24922.5189986187</v>
      </c>
      <c r="H295" s="9" t="n">
        <f aca="false">F295-G295</f>
        <v>49117.4743526549</v>
      </c>
      <c r="I295" s="9" t="n">
        <f aca="false">E295-H295</f>
        <v>4736006.17338214</v>
      </c>
    </row>
    <row r="296" customFormat="false" ht="15" hidden="false" customHeight="false" outlineLevel="0" collapsed="false">
      <c r="D296" s="0" t="n">
        <v>283</v>
      </c>
      <c r="E296" s="9" t="n">
        <f aca="false">I295</f>
        <v>4736006.17338214</v>
      </c>
      <c r="F296" s="9" t="n">
        <f aca="false">-PMT('Inputs &amp; Monthly CF'!$D$57/12,'Inputs &amp; Monthly CF'!$D$58*12,$E$14)</f>
        <v>74039.9933512736</v>
      </c>
      <c r="G296" s="9" t="n">
        <f aca="false">E296*'Inputs &amp; Monthly CF'!$D$57/12</f>
        <v>24666.6988196987</v>
      </c>
      <c r="H296" s="9" t="n">
        <f aca="false">F296-G296</f>
        <v>49373.2945315749</v>
      </c>
      <c r="I296" s="9" t="n">
        <f aca="false">E296-H296</f>
        <v>4686632.87885057</v>
      </c>
    </row>
    <row r="297" customFormat="false" ht="15" hidden="false" customHeight="false" outlineLevel="0" collapsed="false">
      <c r="D297" s="0" t="n">
        <v>284</v>
      </c>
      <c r="E297" s="9" t="n">
        <f aca="false">I296</f>
        <v>4686632.87885057</v>
      </c>
      <c r="F297" s="9" t="n">
        <f aca="false">-PMT('Inputs &amp; Monthly CF'!$D$57/12,'Inputs &amp; Monthly CF'!$D$58*12,$E$14)</f>
        <v>74039.9933512736</v>
      </c>
      <c r="G297" s="9" t="n">
        <f aca="false">E297*'Inputs &amp; Monthly CF'!$D$57/12</f>
        <v>24409.5462440134</v>
      </c>
      <c r="H297" s="9" t="n">
        <f aca="false">F297-G297</f>
        <v>49630.4471072602</v>
      </c>
      <c r="I297" s="9" t="n">
        <f aca="false">E297-H297</f>
        <v>4637002.43174331</v>
      </c>
    </row>
    <row r="298" customFormat="false" ht="15" hidden="false" customHeight="false" outlineLevel="0" collapsed="false">
      <c r="D298" s="0" t="n">
        <v>285</v>
      </c>
      <c r="E298" s="9" t="n">
        <f aca="false">I297</f>
        <v>4637002.43174331</v>
      </c>
      <c r="F298" s="9" t="n">
        <f aca="false">-PMT('Inputs &amp; Monthly CF'!$D$57/12,'Inputs &amp; Monthly CF'!$D$58*12,$E$14)</f>
        <v>74039.9933512736</v>
      </c>
      <c r="G298" s="9" t="n">
        <f aca="false">E298*'Inputs &amp; Monthly CF'!$D$57/12</f>
        <v>24151.0543319964</v>
      </c>
      <c r="H298" s="9" t="n">
        <f aca="false">F298-G298</f>
        <v>49888.9390192772</v>
      </c>
      <c r="I298" s="9" t="n">
        <f aca="false">E298-H298</f>
        <v>4587113.49272403</v>
      </c>
    </row>
    <row r="299" customFormat="false" ht="15" hidden="false" customHeight="false" outlineLevel="0" collapsed="false">
      <c r="D299" s="0" t="n">
        <v>286</v>
      </c>
      <c r="E299" s="9" t="n">
        <f aca="false">I298</f>
        <v>4587113.49272403</v>
      </c>
      <c r="F299" s="9" t="n">
        <f aca="false">-PMT('Inputs &amp; Monthly CF'!$D$57/12,'Inputs &amp; Monthly CF'!$D$58*12,$E$14)</f>
        <v>74039.9933512736</v>
      </c>
      <c r="G299" s="9" t="n">
        <f aca="false">E299*'Inputs &amp; Monthly CF'!$D$57/12</f>
        <v>23891.2161079377</v>
      </c>
      <c r="H299" s="9" t="n">
        <f aca="false">F299-G299</f>
        <v>50148.7772433359</v>
      </c>
      <c r="I299" s="9" t="n">
        <f aca="false">E299-H299</f>
        <v>4536964.71548069</v>
      </c>
    </row>
    <row r="300" customFormat="false" ht="15" hidden="false" customHeight="false" outlineLevel="0" collapsed="false">
      <c r="D300" s="0" t="n">
        <v>287</v>
      </c>
      <c r="E300" s="9" t="n">
        <f aca="false">I299</f>
        <v>4536964.71548069</v>
      </c>
      <c r="F300" s="9" t="n">
        <f aca="false">-PMT('Inputs &amp; Monthly CF'!$D$57/12,'Inputs &amp; Monthly CF'!$D$58*12,$E$14)</f>
        <v>74039.9933512736</v>
      </c>
      <c r="G300" s="9" t="n">
        <f aca="false">E300*'Inputs &amp; Monthly CF'!$D$57/12</f>
        <v>23630.0245597953</v>
      </c>
      <c r="H300" s="9" t="n">
        <f aca="false">F300-G300</f>
        <v>50409.9687914783</v>
      </c>
      <c r="I300" s="9" t="n">
        <f aca="false">E300-H300</f>
        <v>4486554.74668922</v>
      </c>
    </row>
    <row r="301" customFormat="false" ht="15" hidden="false" customHeight="false" outlineLevel="0" collapsed="false">
      <c r="D301" s="0" t="n">
        <v>288</v>
      </c>
      <c r="E301" s="9" t="n">
        <f aca="false">I300</f>
        <v>4486554.74668922</v>
      </c>
      <c r="F301" s="9" t="n">
        <f aca="false">-PMT('Inputs &amp; Monthly CF'!$D$57/12,'Inputs &amp; Monthly CF'!$D$58*12,$E$14)</f>
        <v>74039.9933512736</v>
      </c>
      <c r="G301" s="9" t="n">
        <f aca="false">E301*'Inputs &amp; Monthly CF'!$D$57/12</f>
        <v>23367.4726390063</v>
      </c>
      <c r="H301" s="9" t="n">
        <f aca="false">F301-G301</f>
        <v>50672.5207122673</v>
      </c>
      <c r="I301" s="9" t="n">
        <f aca="false">E301-H301</f>
        <v>4435882.22597695</v>
      </c>
    </row>
    <row r="302" customFormat="false" ht="15" hidden="false" customHeight="false" outlineLevel="0" collapsed="false">
      <c r="D302" s="0" t="n">
        <v>289</v>
      </c>
      <c r="E302" s="9" t="n">
        <f aca="false">I301</f>
        <v>4435882.22597695</v>
      </c>
      <c r="F302" s="9" t="n">
        <f aca="false">-PMT('Inputs &amp; Monthly CF'!$D$57/12,'Inputs &amp; Monthly CF'!$D$58*12,$E$14)</f>
        <v>74039.9933512736</v>
      </c>
      <c r="G302" s="9" t="n">
        <f aca="false">E302*'Inputs &amp; Monthly CF'!$D$57/12</f>
        <v>23103.5532602966</v>
      </c>
      <c r="H302" s="9" t="n">
        <f aca="false">F302-G302</f>
        <v>50936.440090977</v>
      </c>
      <c r="I302" s="9" t="n">
        <f aca="false">E302-H302</f>
        <v>4384945.78588597</v>
      </c>
    </row>
    <row r="303" customFormat="false" ht="15" hidden="false" customHeight="false" outlineLevel="0" collapsed="false">
      <c r="D303" s="0" t="n">
        <v>290</v>
      </c>
      <c r="E303" s="9" t="n">
        <f aca="false">I302</f>
        <v>4384945.78588597</v>
      </c>
      <c r="F303" s="9" t="n">
        <f aca="false">-PMT('Inputs &amp; Monthly CF'!$D$57/12,'Inputs &amp; Monthly CF'!$D$58*12,$E$14)</f>
        <v>74039.9933512736</v>
      </c>
      <c r="G303" s="9" t="n">
        <f aca="false">E303*'Inputs &amp; Monthly CF'!$D$57/12</f>
        <v>22838.2593014894</v>
      </c>
      <c r="H303" s="9" t="n">
        <f aca="false">F303-G303</f>
        <v>51201.7340497842</v>
      </c>
      <c r="I303" s="9" t="n">
        <f aca="false">E303-H303</f>
        <v>4333744.05183619</v>
      </c>
    </row>
    <row r="304" customFormat="false" ht="15" hidden="false" customHeight="false" outlineLevel="0" collapsed="false">
      <c r="D304" s="0" t="n">
        <v>291</v>
      </c>
      <c r="E304" s="9" t="n">
        <f aca="false">I303</f>
        <v>4333744.05183619</v>
      </c>
      <c r="F304" s="9" t="n">
        <f aca="false">-PMT('Inputs &amp; Monthly CF'!$D$57/12,'Inputs &amp; Monthly CF'!$D$58*12,$E$14)</f>
        <v>74039.9933512736</v>
      </c>
      <c r="G304" s="9" t="n">
        <f aca="false">E304*'Inputs &amp; Monthly CF'!$D$57/12</f>
        <v>22571.5836033135</v>
      </c>
      <c r="H304" s="9" t="n">
        <f aca="false">F304-G304</f>
        <v>51468.4097479601</v>
      </c>
      <c r="I304" s="9" t="n">
        <f aca="false">E304-H304</f>
        <v>4282275.64208823</v>
      </c>
    </row>
    <row r="305" customFormat="false" ht="15" hidden="false" customHeight="false" outlineLevel="0" collapsed="false">
      <c r="D305" s="0" t="n">
        <v>292</v>
      </c>
      <c r="E305" s="9" t="n">
        <f aca="false">I304</f>
        <v>4282275.64208823</v>
      </c>
      <c r="F305" s="9" t="n">
        <f aca="false">-PMT('Inputs &amp; Monthly CF'!$D$57/12,'Inputs &amp; Monthly CF'!$D$58*12,$E$14)</f>
        <v>74039.9933512736</v>
      </c>
      <c r="G305" s="9" t="n">
        <f aca="false">E305*'Inputs &amp; Monthly CF'!$D$57/12</f>
        <v>22303.5189692095</v>
      </c>
      <c r="H305" s="9" t="n">
        <f aca="false">F305-G305</f>
        <v>51736.4743820641</v>
      </c>
      <c r="I305" s="9" t="n">
        <f aca="false">E305-H305</f>
        <v>4230539.16770616</v>
      </c>
    </row>
    <row r="306" customFormat="false" ht="15" hidden="false" customHeight="false" outlineLevel="0" collapsed="false">
      <c r="D306" s="0" t="n">
        <v>293</v>
      </c>
      <c r="E306" s="9" t="n">
        <f aca="false">I305</f>
        <v>4230539.16770616</v>
      </c>
      <c r="F306" s="9" t="n">
        <f aca="false">-PMT('Inputs &amp; Monthly CF'!$D$57/12,'Inputs &amp; Monthly CF'!$D$58*12,$E$14)</f>
        <v>74039.9933512736</v>
      </c>
      <c r="G306" s="9" t="n">
        <f aca="false">E306*'Inputs &amp; Monthly CF'!$D$57/12</f>
        <v>22034.0581651363</v>
      </c>
      <c r="H306" s="9" t="n">
        <f aca="false">F306-G306</f>
        <v>52005.9351861373</v>
      </c>
      <c r="I306" s="9" t="n">
        <f aca="false">E306-H306</f>
        <v>4178533.23252003</v>
      </c>
    </row>
    <row r="307" customFormat="false" ht="15" hidden="false" customHeight="false" outlineLevel="0" collapsed="false">
      <c r="D307" s="0" t="n">
        <v>294</v>
      </c>
      <c r="E307" s="9" t="n">
        <f aca="false">I306</f>
        <v>4178533.23252003</v>
      </c>
      <c r="F307" s="9" t="n">
        <f aca="false">-PMT('Inputs &amp; Monthly CF'!$D$57/12,'Inputs &amp; Monthly CF'!$D$58*12,$E$14)</f>
        <v>74039.9933512736</v>
      </c>
      <c r="G307" s="9" t="n">
        <f aca="false">E307*'Inputs &amp; Monthly CF'!$D$57/12</f>
        <v>21763.1939193751</v>
      </c>
      <c r="H307" s="9" t="n">
        <f aca="false">F307-G307</f>
        <v>52276.7994318985</v>
      </c>
      <c r="I307" s="9" t="n">
        <f aca="false">E307-H307</f>
        <v>4126256.43308813</v>
      </c>
    </row>
    <row r="308" customFormat="false" ht="15" hidden="false" customHeight="false" outlineLevel="0" collapsed="false">
      <c r="D308" s="0" t="n">
        <v>295</v>
      </c>
      <c r="E308" s="9" t="n">
        <f aca="false">I307</f>
        <v>4126256.43308813</v>
      </c>
      <c r="F308" s="9" t="n">
        <f aca="false">-PMT('Inputs &amp; Monthly CF'!$D$57/12,'Inputs &amp; Monthly CF'!$D$58*12,$E$14)</f>
        <v>74039.9933512736</v>
      </c>
      <c r="G308" s="9" t="n">
        <f aca="false">E308*'Inputs &amp; Monthly CF'!$D$57/12</f>
        <v>21490.918922334</v>
      </c>
      <c r="H308" s="9" t="n">
        <f aca="false">F308-G308</f>
        <v>52549.0744289396</v>
      </c>
      <c r="I308" s="9" t="n">
        <f aca="false">E308-H308</f>
        <v>4073707.35865919</v>
      </c>
    </row>
    <row r="309" customFormat="false" ht="15" hidden="false" customHeight="false" outlineLevel="0" collapsed="false">
      <c r="D309" s="0" t="n">
        <v>296</v>
      </c>
      <c r="E309" s="9" t="n">
        <f aca="false">I308</f>
        <v>4073707.35865919</v>
      </c>
      <c r="F309" s="9" t="n">
        <f aca="false">-PMT('Inputs &amp; Monthly CF'!$D$57/12,'Inputs &amp; Monthly CF'!$D$58*12,$E$14)</f>
        <v>74039.9933512736</v>
      </c>
      <c r="G309" s="9" t="n">
        <f aca="false">E309*'Inputs &amp; Monthly CF'!$D$57/12</f>
        <v>21217.2258263499</v>
      </c>
      <c r="H309" s="9" t="n">
        <f aca="false">F309-G309</f>
        <v>52822.7675249237</v>
      </c>
      <c r="I309" s="9" t="n">
        <f aca="false">E309-H309</f>
        <v>4020884.59113426</v>
      </c>
    </row>
    <row r="310" customFormat="false" ht="15" hidden="false" customHeight="false" outlineLevel="0" collapsed="false">
      <c r="D310" s="0" t="n">
        <v>297</v>
      </c>
      <c r="E310" s="9" t="n">
        <f aca="false">I309</f>
        <v>4020884.59113426</v>
      </c>
      <c r="F310" s="9" t="n">
        <f aca="false">-PMT('Inputs &amp; Monthly CF'!$D$57/12,'Inputs &amp; Monthly CF'!$D$58*12,$E$14)</f>
        <v>74039.9933512736</v>
      </c>
      <c r="G310" s="9" t="n">
        <f aca="false">E310*'Inputs &amp; Monthly CF'!$D$57/12</f>
        <v>20942.107245491</v>
      </c>
      <c r="H310" s="9" t="n">
        <f aca="false">F310-G310</f>
        <v>53097.8861057826</v>
      </c>
      <c r="I310" s="9" t="n">
        <f aca="false">E310-H310</f>
        <v>3967786.70502848</v>
      </c>
    </row>
    <row r="311" customFormat="false" ht="15" hidden="false" customHeight="false" outlineLevel="0" collapsed="false">
      <c r="D311" s="0" t="n">
        <v>298</v>
      </c>
      <c r="E311" s="9" t="n">
        <f aca="false">I310</f>
        <v>3967786.70502848</v>
      </c>
      <c r="F311" s="9" t="n">
        <f aca="false">-PMT('Inputs &amp; Monthly CF'!$D$57/12,'Inputs &amp; Monthly CF'!$D$58*12,$E$14)</f>
        <v>74039.9933512736</v>
      </c>
      <c r="G311" s="9" t="n">
        <f aca="false">E311*'Inputs &amp; Monthly CF'!$D$57/12</f>
        <v>20665.5557553567</v>
      </c>
      <c r="H311" s="9" t="n">
        <f aca="false">F311-G311</f>
        <v>53374.4375959169</v>
      </c>
      <c r="I311" s="9" t="n">
        <f aca="false">E311-H311</f>
        <v>3914412.26743256</v>
      </c>
    </row>
    <row r="312" customFormat="false" ht="15" hidden="false" customHeight="false" outlineLevel="0" collapsed="false">
      <c r="D312" s="0" t="n">
        <v>299</v>
      </c>
      <c r="E312" s="9" t="n">
        <f aca="false">I311</f>
        <v>3914412.26743256</v>
      </c>
      <c r="F312" s="9" t="n">
        <f aca="false">-PMT('Inputs &amp; Monthly CF'!$D$57/12,'Inputs &amp; Monthly CF'!$D$58*12,$E$14)</f>
        <v>74039.9933512736</v>
      </c>
      <c r="G312" s="9" t="n">
        <f aca="false">E312*'Inputs &amp; Monthly CF'!$D$57/12</f>
        <v>20387.5638928779</v>
      </c>
      <c r="H312" s="9" t="n">
        <f aca="false">F312-G312</f>
        <v>53652.4294583957</v>
      </c>
      <c r="I312" s="9" t="n">
        <f aca="false">E312-H312</f>
        <v>3860759.83797417</v>
      </c>
    </row>
    <row r="313" customFormat="false" ht="15" hidden="false" customHeight="false" outlineLevel="0" collapsed="false">
      <c r="D313" s="0" t="n">
        <v>300</v>
      </c>
      <c r="E313" s="9" t="n">
        <f aca="false">I312</f>
        <v>3860759.83797417</v>
      </c>
      <c r="F313" s="9" t="n">
        <f aca="false">-PMT('Inputs &amp; Monthly CF'!$D$57/12,'Inputs &amp; Monthly CF'!$D$58*12,$E$14)</f>
        <v>74039.9933512736</v>
      </c>
      <c r="G313" s="9" t="n">
        <f aca="false">E313*'Inputs &amp; Monthly CF'!$D$57/12</f>
        <v>20108.1241561155</v>
      </c>
      <c r="H313" s="9" t="n">
        <f aca="false">F313-G313</f>
        <v>53931.8691951581</v>
      </c>
      <c r="I313" s="9" t="n">
        <f aca="false">E313-H313</f>
        <v>3806827.96877901</v>
      </c>
    </row>
    <row r="314" customFormat="false" ht="15" hidden="false" customHeight="false" outlineLevel="0" collapsed="false">
      <c r="D314" s="0" t="n">
        <v>301</v>
      </c>
      <c r="E314" s="9" t="n">
        <f aca="false">I313</f>
        <v>3806827.96877901</v>
      </c>
      <c r="F314" s="9" t="n">
        <f aca="false">-PMT('Inputs &amp; Monthly CF'!$D$57/12,'Inputs &amp; Monthly CF'!$D$58*12,$E$14)</f>
        <v>74039.9933512736</v>
      </c>
      <c r="G314" s="9" t="n">
        <f aca="false">E314*'Inputs &amp; Monthly CF'!$D$57/12</f>
        <v>19827.2290040573</v>
      </c>
      <c r="H314" s="9" t="n">
        <f aca="false">F314-G314</f>
        <v>54212.7643472162</v>
      </c>
      <c r="I314" s="9" t="n">
        <f aca="false">E314-H314</f>
        <v>3752615.20443179</v>
      </c>
    </row>
    <row r="315" customFormat="false" ht="15" hidden="false" customHeight="false" outlineLevel="0" collapsed="false">
      <c r="D315" s="0" t="n">
        <v>302</v>
      </c>
      <c r="E315" s="9" t="n">
        <f aca="false">I314</f>
        <v>3752615.20443179</v>
      </c>
      <c r="F315" s="9" t="n">
        <f aca="false">-PMT('Inputs &amp; Monthly CF'!$D$57/12,'Inputs &amp; Monthly CF'!$D$58*12,$E$14)</f>
        <v>74039.9933512736</v>
      </c>
      <c r="G315" s="9" t="n">
        <f aca="false">E315*'Inputs &amp; Monthly CF'!$D$57/12</f>
        <v>19544.8708564156</v>
      </c>
      <c r="H315" s="9" t="n">
        <f aca="false">F315-G315</f>
        <v>54495.122494858</v>
      </c>
      <c r="I315" s="9" t="n">
        <f aca="false">E315-H315</f>
        <v>3698120.08193694</v>
      </c>
    </row>
    <row r="316" customFormat="false" ht="15" hidden="false" customHeight="false" outlineLevel="0" collapsed="false">
      <c r="D316" s="0" t="n">
        <v>303</v>
      </c>
      <c r="E316" s="9" t="n">
        <f aca="false">I315</f>
        <v>3698120.08193694</v>
      </c>
      <c r="F316" s="9" t="n">
        <f aca="false">-PMT('Inputs &amp; Monthly CF'!$D$57/12,'Inputs &amp; Monthly CF'!$D$58*12,$E$14)</f>
        <v>74039.9933512736</v>
      </c>
      <c r="G316" s="9" t="n">
        <f aca="false">E316*'Inputs &amp; Monthly CF'!$D$57/12</f>
        <v>19261.0420934215</v>
      </c>
      <c r="H316" s="9" t="n">
        <f aca="false">F316-G316</f>
        <v>54778.9512578521</v>
      </c>
      <c r="I316" s="9" t="n">
        <f aca="false">E316-H316</f>
        <v>3643341.13067908</v>
      </c>
    </row>
    <row r="317" customFormat="false" ht="15" hidden="false" customHeight="false" outlineLevel="0" collapsed="false">
      <c r="D317" s="0" t="n">
        <v>304</v>
      </c>
      <c r="E317" s="9" t="n">
        <f aca="false">I316</f>
        <v>3643341.13067908</v>
      </c>
      <c r="F317" s="9" t="n">
        <f aca="false">-PMT('Inputs &amp; Monthly CF'!$D$57/12,'Inputs &amp; Monthly CF'!$D$58*12,$E$14)</f>
        <v>74039.9933512736</v>
      </c>
      <c r="G317" s="9" t="n">
        <f aca="false">E317*'Inputs &amp; Monthly CF'!$D$57/12</f>
        <v>18975.7350556202</v>
      </c>
      <c r="H317" s="9" t="n">
        <f aca="false">F317-G317</f>
        <v>55064.2582956534</v>
      </c>
      <c r="I317" s="9" t="n">
        <f aca="false">E317-H317</f>
        <v>3588276.87238343</v>
      </c>
    </row>
    <row r="318" customFormat="false" ht="15" hidden="false" customHeight="false" outlineLevel="0" collapsed="false">
      <c r="D318" s="0" t="n">
        <v>305</v>
      </c>
      <c r="E318" s="9" t="n">
        <f aca="false">I317</f>
        <v>3588276.87238343</v>
      </c>
      <c r="F318" s="9" t="n">
        <f aca="false">-PMT('Inputs &amp; Monthly CF'!$D$57/12,'Inputs &amp; Monthly CF'!$D$58*12,$E$14)</f>
        <v>74039.9933512736</v>
      </c>
      <c r="G318" s="9" t="n">
        <f aca="false">E318*'Inputs &amp; Monthly CF'!$D$57/12</f>
        <v>18688.9420436637</v>
      </c>
      <c r="H318" s="9" t="n">
        <f aca="false">F318-G318</f>
        <v>55351.0513076099</v>
      </c>
      <c r="I318" s="9" t="n">
        <f aca="false">E318-H318</f>
        <v>3532925.82107582</v>
      </c>
    </row>
    <row r="319" customFormat="false" ht="15" hidden="false" customHeight="false" outlineLevel="0" collapsed="false">
      <c r="D319" s="0" t="n">
        <v>306</v>
      </c>
      <c r="E319" s="9" t="n">
        <f aca="false">I318</f>
        <v>3532925.82107582</v>
      </c>
      <c r="F319" s="9" t="n">
        <f aca="false">-PMT('Inputs &amp; Monthly CF'!$D$57/12,'Inputs &amp; Monthly CF'!$D$58*12,$E$14)</f>
        <v>74039.9933512736</v>
      </c>
      <c r="G319" s="9" t="n">
        <f aca="false">E319*'Inputs &amp; Monthly CF'!$D$57/12</f>
        <v>18400.6553181032</v>
      </c>
      <c r="H319" s="9" t="n">
        <f aca="false">F319-G319</f>
        <v>55639.3380331704</v>
      </c>
      <c r="I319" s="9" t="n">
        <f aca="false">E319-H319</f>
        <v>3477286.48304265</v>
      </c>
    </row>
    <row r="320" customFormat="false" ht="15" hidden="false" customHeight="false" outlineLevel="0" collapsed="false">
      <c r="D320" s="0" t="n">
        <v>307</v>
      </c>
      <c r="E320" s="9" t="n">
        <f aca="false">I319</f>
        <v>3477286.48304265</v>
      </c>
      <c r="F320" s="9" t="n">
        <f aca="false">-PMT('Inputs &amp; Monthly CF'!$D$57/12,'Inputs &amp; Monthly CF'!$D$58*12,$E$14)</f>
        <v>74039.9933512736</v>
      </c>
      <c r="G320" s="9" t="n">
        <f aca="false">E320*'Inputs &amp; Monthly CF'!$D$57/12</f>
        <v>18110.8670991805</v>
      </c>
      <c r="H320" s="9" t="n">
        <f aca="false">F320-G320</f>
        <v>55929.1262520931</v>
      </c>
      <c r="I320" s="9" t="n">
        <f aca="false">E320-H320</f>
        <v>3421357.35679056</v>
      </c>
    </row>
    <row r="321" customFormat="false" ht="15" hidden="false" customHeight="false" outlineLevel="0" collapsed="false">
      <c r="D321" s="0" t="n">
        <v>308</v>
      </c>
      <c r="E321" s="9" t="n">
        <f aca="false">I320</f>
        <v>3421357.35679056</v>
      </c>
      <c r="F321" s="9" t="n">
        <f aca="false">-PMT('Inputs &amp; Monthly CF'!$D$57/12,'Inputs &amp; Monthly CF'!$D$58*12,$E$14)</f>
        <v>74039.9933512736</v>
      </c>
      <c r="G321" s="9" t="n">
        <f aca="false">E321*'Inputs &amp; Monthly CF'!$D$57/12</f>
        <v>17819.5695666175</v>
      </c>
      <c r="H321" s="9" t="n">
        <f aca="false">F321-G321</f>
        <v>56220.4237846561</v>
      </c>
      <c r="I321" s="9" t="n">
        <f aca="false">E321-H321</f>
        <v>3365136.9330059</v>
      </c>
    </row>
    <row r="322" customFormat="false" ht="15" hidden="false" customHeight="false" outlineLevel="0" collapsed="false">
      <c r="D322" s="0" t="n">
        <v>309</v>
      </c>
      <c r="E322" s="9" t="n">
        <f aca="false">I321</f>
        <v>3365136.9330059</v>
      </c>
      <c r="F322" s="9" t="n">
        <f aca="false">-PMT('Inputs &amp; Monthly CF'!$D$57/12,'Inputs &amp; Monthly CF'!$D$58*12,$E$14)</f>
        <v>74039.9933512736</v>
      </c>
      <c r="G322" s="9" t="n">
        <f aca="false">E322*'Inputs &amp; Monthly CF'!$D$57/12</f>
        <v>17526.7548594057</v>
      </c>
      <c r="H322" s="9" t="n">
        <f aca="false">F322-G322</f>
        <v>56513.2384918679</v>
      </c>
      <c r="I322" s="9" t="n">
        <f aca="false">E322-H322</f>
        <v>3308623.69451403</v>
      </c>
    </row>
    <row r="323" customFormat="false" ht="15" hidden="false" customHeight="false" outlineLevel="0" collapsed="false">
      <c r="D323" s="0" t="n">
        <v>310</v>
      </c>
      <c r="E323" s="9" t="n">
        <f aca="false">I322</f>
        <v>3308623.69451403</v>
      </c>
      <c r="F323" s="9" t="n">
        <f aca="false">-PMT('Inputs &amp; Monthly CF'!$D$57/12,'Inputs &amp; Monthly CF'!$D$58*12,$E$14)</f>
        <v>74039.9933512736</v>
      </c>
      <c r="G323" s="9" t="n">
        <f aca="false">E323*'Inputs &amp; Monthly CF'!$D$57/12</f>
        <v>17232.4150755939</v>
      </c>
      <c r="H323" s="9" t="n">
        <f aca="false">F323-G323</f>
        <v>56807.5782756797</v>
      </c>
      <c r="I323" s="9" t="n">
        <f aca="false">E323-H323</f>
        <v>3251816.11623835</v>
      </c>
    </row>
    <row r="324" customFormat="false" ht="15" hidden="false" customHeight="false" outlineLevel="0" collapsed="false">
      <c r="D324" s="0" t="n">
        <v>311</v>
      </c>
      <c r="E324" s="9" t="n">
        <f aca="false">I323</f>
        <v>3251816.11623835</v>
      </c>
      <c r="F324" s="9" t="n">
        <f aca="false">-PMT('Inputs &amp; Monthly CF'!$D$57/12,'Inputs &amp; Monthly CF'!$D$58*12,$E$14)</f>
        <v>74039.9933512736</v>
      </c>
      <c r="G324" s="9" t="n">
        <f aca="false">E324*'Inputs &amp; Monthly CF'!$D$57/12</f>
        <v>16936.5422720748</v>
      </c>
      <c r="H324" s="9" t="n">
        <f aca="false">F324-G324</f>
        <v>57103.4510791988</v>
      </c>
      <c r="I324" s="9" t="n">
        <f aca="false">E324-H324</f>
        <v>3194712.66515916</v>
      </c>
    </row>
    <row r="325" customFormat="false" ht="15" hidden="false" customHeight="false" outlineLevel="0" collapsed="false">
      <c r="D325" s="0" t="n">
        <v>312</v>
      </c>
      <c r="E325" s="9" t="n">
        <f aca="false">I324</f>
        <v>3194712.66515916</v>
      </c>
      <c r="F325" s="9" t="n">
        <f aca="false">-PMT('Inputs &amp; Monthly CF'!$D$57/12,'Inputs &amp; Monthly CF'!$D$58*12,$E$14)</f>
        <v>74039.9933512736</v>
      </c>
      <c r="G325" s="9" t="n">
        <f aca="false">E325*'Inputs &amp; Monthly CF'!$D$57/12</f>
        <v>16639.1284643706</v>
      </c>
      <c r="H325" s="9" t="n">
        <f aca="false">F325-G325</f>
        <v>57400.864886903</v>
      </c>
      <c r="I325" s="9" t="n">
        <f aca="false">E325-H325</f>
        <v>3137311.80027225</v>
      </c>
    </row>
    <row r="326" customFormat="false" ht="15" hidden="false" customHeight="false" outlineLevel="0" collapsed="false">
      <c r="D326" s="0" t="n">
        <v>313</v>
      </c>
      <c r="E326" s="9" t="n">
        <f aca="false">I325</f>
        <v>3137311.80027225</v>
      </c>
      <c r="F326" s="9" t="n">
        <f aca="false">-PMT('Inputs &amp; Monthly CF'!$D$57/12,'Inputs &amp; Monthly CF'!$D$58*12,$E$14)</f>
        <v>74039.9933512736</v>
      </c>
      <c r="G326" s="9" t="n">
        <f aca="false">E326*'Inputs &amp; Monthly CF'!$D$57/12</f>
        <v>16340.165626418</v>
      </c>
      <c r="H326" s="9" t="n">
        <f aca="false">F326-G326</f>
        <v>57699.8277248556</v>
      </c>
      <c r="I326" s="9" t="n">
        <f aca="false">E326-H326</f>
        <v>3079611.9725474</v>
      </c>
    </row>
    <row r="327" customFormat="false" ht="15" hidden="false" customHeight="false" outlineLevel="0" collapsed="false">
      <c r="D327" s="0" t="n">
        <v>314</v>
      </c>
      <c r="E327" s="9" t="n">
        <f aca="false">I326</f>
        <v>3079611.9725474</v>
      </c>
      <c r="F327" s="9" t="n">
        <f aca="false">-PMT('Inputs &amp; Monthly CF'!$D$57/12,'Inputs &amp; Monthly CF'!$D$58*12,$E$14)</f>
        <v>74039.9933512736</v>
      </c>
      <c r="G327" s="9" t="n">
        <f aca="false">E327*'Inputs &amp; Monthly CF'!$D$57/12</f>
        <v>16039.645690351</v>
      </c>
      <c r="H327" s="9" t="n">
        <f aca="false">F327-G327</f>
        <v>58000.3476609226</v>
      </c>
      <c r="I327" s="9" t="n">
        <f aca="false">E327-H327</f>
        <v>3021611.62488647</v>
      </c>
    </row>
    <row r="328" customFormat="false" ht="15" hidden="false" customHeight="false" outlineLevel="0" collapsed="false">
      <c r="D328" s="0" t="n">
        <v>315</v>
      </c>
      <c r="E328" s="9" t="n">
        <f aca="false">I327</f>
        <v>3021611.62488647</v>
      </c>
      <c r="F328" s="9" t="n">
        <f aca="false">-PMT('Inputs &amp; Monthly CF'!$D$57/12,'Inputs &amp; Monthly CF'!$D$58*12,$E$14)</f>
        <v>74039.9933512736</v>
      </c>
      <c r="G328" s="9" t="n">
        <f aca="false">E328*'Inputs &amp; Monthly CF'!$D$57/12</f>
        <v>15737.5605462837</v>
      </c>
      <c r="H328" s="9" t="n">
        <f aca="false">F328-G328</f>
        <v>58302.4328049899</v>
      </c>
      <c r="I328" s="9" t="n">
        <f aca="false">E328-H328</f>
        <v>2963309.19208148</v>
      </c>
    </row>
    <row r="329" customFormat="false" ht="15" hidden="false" customHeight="false" outlineLevel="0" collapsed="false">
      <c r="D329" s="0" t="n">
        <v>316</v>
      </c>
      <c r="E329" s="9" t="n">
        <f aca="false">I328</f>
        <v>2963309.19208148</v>
      </c>
      <c r="F329" s="9" t="n">
        <f aca="false">-PMT('Inputs &amp; Monthly CF'!$D$57/12,'Inputs &amp; Monthly CF'!$D$58*12,$E$14)</f>
        <v>74039.9933512736</v>
      </c>
      <c r="G329" s="9" t="n">
        <f aca="false">E329*'Inputs &amp; Monthly CF'!$D$57/12</f>
        <v>15433.9020420911</v>
      </c>
      <c r="H329" s="9" t="n">
        <f aca="false">F329-G329</f>
        <v>58606.0913091825</v>
      </c>
      <c r="I329" s="9" t="n">
        <f aca="false">E329-H329</f>
        <v>2904703.1007723</v>
      </c>
    </row>
    <row r="330" customFormat="false" ht="15" hidden="false" customHeight="false" outlineLevel="0" collapsed="false">
      <c r="D330" s="0" t="n">
        <v>317</v>
      </c>
      <c r="E330" s="9" t="n">
        <f aca="false">I329</f>
        <v>2904703.1007723</v>
      </c>
      <c r="F330" s="9" t="n">
        <f aca="false">-PMT('Inputs &amp; Monthly CF'!$D$57/12,'Inputs &amp; Monthly CF'!$D$58*12,$E$14)</f>
        <v>74039.9933512736</v>
      </c>
      <c r="G330" s="9" t="n">
        <f aca="false">E330*'Inputs &amp; Monthly CF'!$D$57/12</f>
        <v>15128.6619831891</v>
      </c>
      <c r="H330" s="9" t="n">
        <f aca="false">F330-G330</f>
        <v>58911.3313680845</v>
      </c>
      <c r="I330" s="9" t="n">
        <f aca="false">E330-H330</f>
        <v>2845791.76940422</v>
      </c>
    </row>
    <row r="331" customFormat="false" ht="15" hidden="false" customHeight="false" outlineLevel="0" collapsed="false">
      <c r="D331" s="0" t="n">
        <v>318</v>
      </c>
      <c r="E331" s="9" t="n">
        <f aca="false">I330</f>
        <v>2845791.76940422</v>
      </c>
      <c r="F331" s="9" t="n">
        <f aca="false">-PMT('Inputs &amp; Monthly CF'!$D$57/12,'Inputs &amp; Monthly CF'!$D$58*12,$E$14)</f>
        <v>74039.9933512736</v>
      </c>
      <c r="G331" s="9" t="n">
        <f aca="false">E331*'Inputs &amp; Monthly CF'!$D$57/12</f>
        <v>14821.8321323136</v>
      </c>
      <c r="H331" s="9" t="n">
        <f aca="false">F331-G331</f>
        <v>59218.16121896</v>
      </c>
      <c r="I331" s="9" t="n">
        <f aca="false">E331-H331</f>
        <v>2786573.60818526</v>
      </c>
    </row>
    <row r="332" customFormat="false" ht="15" hidden="false" customHeight="false" outlineLevel="0" collapsed="false">
      <c r="D332" s="0" t="n">
        <v>319</v>
      </c>
      <c r="E332" s="9" t="n">
        <f aca="false">I331</f>
        <v>2786573.60818526</v>
      </c>
      <c r="F332" s="9" t="n">
        <f aca="false">-PMT('Inputs &amp; Monthly CF'!$D$57/12,'Inputs &amp; Monthly CF'!$D$58*12,$E$14)</f>
        <v>74039.9933512736</v>
      </c>
      <c r="G332" s="9" t="n">
        <f aca="false">E332*'Inputs &amp; Monthly CF'!$D$57/12</f>
        <v>14513.4042092982</v>
      </c>
      <c r="H332" s="9" t="n">
        <f aca="false">F332-G332</f>
        <v>59526.5891419754</v>
      </c>
      <c r="I332" s="9" t="n">
        <f aca="false">E332-H332</f>
        <v>2727047.01904328</v>
      </c>
    </row>
    <row r="333" customFormat="false" ht="15" hidden="false" customHeight="false" outlineLevel="0" collapsed="false">
      <c r="D333" s="0" t="n">
        <v>320</v>
      </c>
      <c r="E333" s="9" t="n">
        <f aca="false">I332</f>
        <v>2727047.01904328</v>
      </c>
      <c r="F333" s="9" t="n">
        <f aca="false">-PMT('Inputs &amp; Monthly CF'!$D$57/12,'Inputs &amp; Monthly CF'!$D$58*12,$E$14)</f>
        <v>74039.9933512736</v>
      </c>
      <c r="G333" s="9" t="n">
        <f aca="false">E333*'Inputs &amp; Monthly CF'!$D$57/12</f>
        <v>14203.3698908504</v>
      </c>
      <c r="H333" s="9" t="n">
        <f aca="false">F333-G333</f>
        <v>59836.6234604232</v>
      </c>
      <c r="I333" s="9" t="n">
        <f aca="false">E333-H333</f>
        <v>2667210.39558286</v>
      </c>
    </row>
    <row r="334" customFormat="false" ht="15" hidden="false" customHeight="false" outlineLevel="0" collapsed="false">
      <c r="D334" s="0" t="n">
        <v>321</v>
      </c>
      <c r="E334" s="9" t="n">
        <f aca="false">I333</f>
        <v>2667210.39558286</v>
      </c>
      <c r="F334" s="9" t="n">
        <f aca="false">-PMT('Inputs &amp; Monthly CF'!$D$57/12,'Inputs &amp; Monthly CF'!$D$58*12,$E$14)</f>
        <v>74039.9933512736</v>
      </c>
      <c r="G334" s="9" t="n">
        <f aca="false">E334*'Inputs &amp; Monthly CF'!$D$57/12</f>
        <v>13891.7208103274</v>
      </c>
      <c r="H334" s="9" t="n">
        <f aca="false">F334-G334</f>
        <v>60148.2725409462</v>
      </c>
      <c r="I334" s="9" t="n">
        <f aca="false">E334-H334</f>
        <v>2607062.12304191</v>
      </c>
    </row>
    <row r="335" customFormat="false" ht="15" hidden="false" customHeight="false" outlineLevel="0" collapsed="false">
      <c r="D335" s="0" t="n">
        <v>322</v>
      </c>
      <c r="E335" s="9" t="n">
        <f aca="false">I334</f>
        <v>2607062.12304191</v>
      </c>
      <c r="F335" s="9" t="n">
        <f aca="false">-PMT('Inputs &amp; Monthly CF'!$D$57/12,'Inputs &amp; Monthly CF'!$D$58*12,$E$14)</f>
        <v>74039.9933512736</v>
      </c>
      <c r="G335" s="9" t="n">
        <f aca="false">E335*'Inputs &amp; Monthly CF'!$D$57/12</f>
        <v>13578.44855751</v>
      </c>
      <c r="H335" s="9" t="n">
        <f aca="false">F335-G335</f>
        <v>60461.5447937636</v>
      </c>
      <c r="I335" s="9" t="n">
        <f aca="false">E335-H335</f>
        <v>2546600.57824815</v>
      </c>
    </row>
    <row r="336" customFormat="false" ht="15" hidden="false" customHeight="false" outlineLevel="0" collapsed="false">
      <c r="D336" s="0" t="n">
        <v>323</v>
      </c>
      <c r="E336" s="9" t="n">
        <f aca="false">I335</f>
        <v>2546600.57824815</v>
      </c>
      <c r="F336" s="9" t="n">
        <f aca="false">-PMT('Inputs &amp; Monthly CF'!$D$57/12,'Inputs &amp; Monthly CF'!$D$58*12,$E$14)</f>
        <v>74039.9933512736</v>
      </c>
      <c r="G336" s="9" t="n">
        <f aca="false">E336*'Inputs &amp; Monthly CF'!$D$57/12</f>
        <v>13263.5446783758</v>
      </c>
      <c r="H336" s="9" t="n">
        <f aca="false">F336-G336</f>
        <v>60776.4486728978</v>
      </c>
      <c r="I336" s="9" t="n">
        <f aca="false">E336-H336</f>
        <v>2485824.12957525</v>
      </c>
    </row>
    <row r="337" customFormat="false" ht="15" hidden="false" customHeight="false" outlineLevel="0" collapsed="false">
      <c r="D337" s="0" t="n">
        <v>324</v>
      </c>
      <c r="E337" s="9" t="n">
        <f aca="false">I336</f>
        <v>2485824.12957525</v>
      </c>
      <c r="F337" s="9" t="n">
        <f aca="false">-PMT('Inputs &amp; Monthly CF'!$D$57/12,'Inputs &amp; Monthly CF'!$D$58*12,$E$14)</f>
        <v>74039.9933512736</v>
      </c>
      <c r="G337" s="9" t="n">
        <f aca="false">E337*'Inputs &amp; Monthly CF'!$D$57/12</f>
        <v>12947.0006748711</v>
      </c>
      <c r="H337" s="9" t="n">
        <f aca="false">F337-G337</f>
        <v>61092.9926764025</v>
      </c>
      <c r="I337" s="9" t="n">
        <f aca="false">E337-H337</f>
        <v>2424731.13689885</v>
      </c>
    </row>
    <row r="338" customFormat="false" ht="15" hidden="false" customHeight="false" outlineLevel="0" collapsed="false">
      <c r="D338" s="0" t="n">
        <v>325</v>
      </c>
      <c r="E338" s="9" t="n">
        <f aca="false">I337</f>
        <v>2424731.13689885</v>
      </c>
      <c r="F338" s="9" t="n">
        <f aca="false">-PMT('Inputs &amp; Monthly CF'!$D$57/12,'Inputs &amp; Monthly CF'!$D$58*12,$E$14)</f>
        <v>74039.9933512736</v>
      </c>
      <c r="G338" s="9" t="n">
        <f aca="false">E338*'Inputs &amp; Monthly CF'!$D$57/12</f>
        <v>12628.8080046815</v>
      </c>
      <c r="H338" s="9" t="n">
        <f aca="false">F338-G338</f>
        <v>61411.1853465921</v>
      </c>
      <c r="I338" s="9" t="n">
        <f aca="false">E338-H338</f>
        <v>2363319.95155226</v>
      </c>
    </row>
    <row r="339" customFormat="false" ht="15" hidden="false" customHeight="false" outlineLevel="0" collapsed="false">
      <c r="D339" s="0" t="n">
        <v>326</v>
      </c>
      <c r="E339" s="9" t="n">
        <f aca="false">I338</f>
        <v>2363319.95155226</v>
      </c>
      <c r="F339" s="9" t="n">
        <f aca="false">-PMT('Inputs &amp; Monthly CF'!$D$57/12,'Inputs &amp; Monthly CF'!$D$58*12,$E$14)</f>
        <v>74039.9933512736</v>
      </c>
      <c r="G339" s="9" t="n">
        <f aca="false">E339*'Inputs &amp; Monthly CF'!$D$57/12</f>
        <v>12308.9580810013</v>
      </c>
      <c r="H339" s="9" t="n">
        <f aca="false">F339-G339</f>
        <v>61731.0352702722</v>
      </c>
      <c r="I339" s="9" t="n">
        <f aca="false">E339-H339</f>
        <v>2301588.91628199</v>
      </c>
    </row>
    <row r="340" customFormat="false" ht="15" hidden="false" customHeight="false" outlineLevel="0" collapsed="false">
      <c r="D340" s="0" t="n">
        <v>327</v>
      </c>
      <c r="E340" s="9" t="n">
        <f aca="false">I339</f>
        <v>2301588.91628199</v>
      </c>
      <c r="F340" s="9" t="n">
        <f aca="false">-PMT('Inputs &amp; Monthly CF'!$D$57/12,'Inputs &amp; Monthly CF'!$D$58*12,$E$14)</f>
        <v>74039.9933512736</v>
      </c>
      <c r="G340" s="9" t="n">
        <f aca="false">E340*'Inputs &amp; Monthly CF'!$D$57/12</f>
        <v>11987.442272302</v>
      </c>
      <c r="H340" s="9" t="n">
        <f aca="false">F340-G340</f>
        <v>62052.5510789716</v>
      </c>
      <c r="I340" s="9" t="n">
        <f aca="false">E340-H340</f>
        <v>2239536.36520301</v>
      </c>
    </row>
    <row r="341" customFormat="false" ht="15" hidden="false" customHeight="false" outlineLevel="0" collapsed="false">
      <c r="D341" s="0" t="n">
        <v>328</v>
      </c>
      <c r="E341" s="9" t="n">
        <f aca="false">I340</f>
        <v>2239536.36520301</v>
      </c>
      <c r="F341" s="9" t="n">
        <f aca="false">-PMT('Inputs &amp; Monthly CF'!$D$57/12,'Inputs &amp; Monthly CF'!$D$58*12,$E$14)</f>
        <v>74039.9933512736</v>
      </c>
      <c r="G341" s="9" t="n">
        <f aca="false">E341*'Inputs &amp; Monthly CF'!$D$57/12</f>
        <v>11664.251902099</v>
      </c>
      <c r="H341" s="9" t="n">
        <f aca="false">F341-G341</f>
        <v>62375.7414491746</v>
      </c>
      <c r="I341" s="9" t="n">
        <f aca="false">E341-H341</f>
        <v>2177160.62375384</v>
      </c>
    </row>
    <row r="342" customFormat="false" ht="15" hidden="false" customHeight="false" outlineLevel="0" collapsed="false">
      <c r="D342" s="0" t="n">
        <v>329</v>
      </c>
      <c r="E342" s="9" t="n">
        <f aca="false">I341</f>
        <v>2177160.62375384</v>
      </c>
      <c r="F342" s="9" t="n">
        <f aca="false">-PMT('Inputs &amp; Monthly CF'!$D$57/12,'Inputs &amp; Monthly CF'!$D$58*12,$E$14)</f>
        <v>74039.9933512736</v>
      </c>
      <c r="G342" s="9" t="n">
        <f aca="false">E342*'Inputs &amp; Monthly CF'!$D$57/12</f>
        <v>11339.3782487179</v>
      </c>
      <c r="H342" s="9" t="n">
        <f aca="false">F342-G342</f>
        <v>62700.6151025557</v>
      </c>
      <c r="I342" s="9" t="n">
        <f aca="false">E342-H342</f>
        <v>2114460.00865128</v>
      </c>
    </row>
    <row r="343" customFormat="false" ht="15" hidden="false" customHeight="false" outlineLevel="0" collapsed="false">
      <c r="D343" s="0" t="n">
        <v>330</v>
      </c>
      <c r="E343" s="9" t="n">
        <f aca="false">I342</f>
        <v>2114460.00865128</v>
      </c>
      <c r="F343" s="9" t="n">
        <f aca="false">-PMT('Inputs &amp; Monthly CF'!$D$57/12,'Inputs &amp; Monthly CF'!$D$58*12,$E$14)</f>
        <v>74039.9933512736</v>
      </c>
      <c r="G343" s="9" t="n">
        <f aca="false">E343*'Inputs &amp; Monthly CF'!$D$57/12</f>
        <v>11012.8125450588</v>
      </c>
      <c r="H343" s="9" t="n">
        <f aca="false">F343-G343</f>
        <v>63027.1808062148</v>
      </c>
      <c r="I343" s="9" t="n">
        <f aca="false">E343-H343</f>
        <v>2051432.82784507</v>
      </c>
    </row>
    <row r="344" customFormat="false" ht="15" hidden="false" customHeight="false" outlineLevel="0" collapsed="false">
      <c r="D344" s="0" t="n">
        <v>331</v>
      </c>
      <c r="E344" s="9" t="n">
        <f aca="false">I343</f>
        <v>2051432.82784507</v>
      </c>
      <c r="F344" s="9" t="n">
        <f aca="false">-PMT('Inputs &amp; Monthly CF'!$D$57/12,'Inputs &amp; Monthly CF'!$D$58*12,$E$14)</f>
        <v>74039.9933512736</v>
      </c>
      <c r="G344" s="9" t="n">
        <f aca="false">E344*'Inputs &amp; Monthly CF'!$D$57/12</f>
        <v>10684.5459783597</v>
      </c>
      <c r="H344" s="9" t="n">
        <f aca="false">F344-G344</f>
        <v>63355.4473729139</v>
      </c>
      <c r="I344" s="9" t="n">
        <f aca="false">E344-H344</f>
        <v>1988077.38047215</v>
      </c>
    </row>
    <row r="345" customFormat="false" ht="15" hidden="false" customHeight="false" outlineLevel="0" collapsed="false">
      <c r="D345" s="0" t="n">
        <v>332</v>
      </c>
      <c r="E345" s="9" t="n">
        <f aca="false">I344</f>
        <v>1988077.38047215</v>
      </c>
      <c r="F345" s="9" t="n">
        <f aca="false">-PMT('Inputs &amp; Monthly CF'!$D$57/12,'Inputs &amp; Monthly CF'!$D$58*12,$E$14)</f>
        <v>74039.9933512736</v>
      </c>
      <c r="G345" s="9" t="n">
        <f aca="false">E345*'Inputs &amp; Monthly CF'!$D$57/12</f>
        <v>10354.5696899591</v>
      </c>
      <c r="H345" s="9" t="n">
        <f aca="false">F345-G345</f>
        <v>63685.4236613144</v>
      </c>
      <c r="I345" s="9" t="n">
        <f aca="false">E345-H345</f>
        <v>1924391.95681084</v>
      </c>
    </row>
    <row r="346" customFormat="false" ht="15" hidden="false" customHeight="false" outlineLevel="0" collapsed="false">
      <c r="D346" s="0" t="n">
        <v>333</v>
      </c>
      <c r="E346" s="9" t="n">
        <f aca="false">I345</f>
        <v>1924391.95681084</v>
      </c>
      <c r="F346" s="9" t="n">
        <f aca="false">-PMT('Inputs &amp; Monthly CF'!$D$57/12,'Inputs &amp; Monthly CF'!$D$58*12,$E$14)</f>
        <v>74039.9933512736</v>
      </c>
      <c r="G346" s="9" t="n">
        <f aca="false">E346*'Inputs &amp; Monthly CF'!$D$57/12</f>
        <v>10022.8747750565</v>
      </c>
      <c r="H346" s="9" t="n">
        <f aca="false">F346-G346</f>
        <v>64017.1185762171</v>
      </c>
      <c r="I346" s="9" t="n">
        <f aca="false">E346-H346</f>
        <v>1860374.83823462</v>
      </c>
    </row>
    <row r="347" customFormat="false" ht="15" hidden="false" customHeight="false" outlineLevel="0" collapsed="false">
      <c r="D347" s="0" t="n">
        <v>334</v>
      </c>
      <c r="E347" s="9" t="n">
        <f aca="false">I346</f>
        <v>1860374.83823462</v>
      </c>
      <c r="F347" s="9" t="n">
        <f aca="false">-PMT('Inputs &amp; Monthly CF'!$D$57/12,'Inputs &amp; Monthly CF'!$D$58*12,$E$14)</f>
        <v>74039.9933512736</v>
      </c>
      <c r="G347" s="9" t="n">
        <f aca="false">E347*'Inputs &amp; Monthly CF'!$D$57/12</f>
        <v>9689.452282472</v>
      </c>
      <c r="H347" s="9" t="n">
        <f aca="false">F347-G347</f>
        <v>64350.5410688016</v>
      </c>
      <c r="I347" s="9" t="n">
        <f aca="false">E347-H347</f>
        <v>1796024.29716582</v>
      </c>
    </row>
    <row r="348" customFormat="false" ht="15" hidden="false" customHeight="false" outlineLevel="0" collapsed="false">
      <c r="D348" s="0" t="n">
        <v>335</v>
      </c>
      <c r="E348" s="9" t="n">
        <f aca="false">I347</f>
        <v>1796024.29716582</v>
      </c>
      <c r="F348" s="9" t="n">
        <f aca="false">-PMT('Inputs &amp; Monthly CF'!$D$57/12,'Inputs &amp; Monthly CF'!$D$58*12,$E$14)</f>
        <v>74039.9933512736</v>
      </c>
      <c r="G348" s="9" t="n">
        <f aca="false">E348*'Inputs &amp; Monthly CF'!$D$57/12</f>
        <v>9354.29321440532</v>
      </c>
      <c r="H348" s="9" t="n">
        <f aca="false">F348-G348</f>
        <v>64685.7001368683</v>
      </c>
      <c r="I348" s="9" t="n">
        <f aca="false">E348-H348</f>
        <v>1731338.59702895</v>
      </c>
    </row>
    <row r="349" customFormat="false" ht="15" hidden="false" customHeight="false" outlineLevel="0" collapsed="false">
      <c r="D349" s="0" t="n">
        <v>336</v>
      </c>
      <c r="E349" s="9" t="n">
        <f aca="false">I348</f>
        <v>1731338.59702895</v>
      </c>
      <c r="F349" s="9" t="n">
        <f aca="false">-PMT('Inputs &amp; Monthly CF'!$D$57/12,'Inputs &amp; Monthly CF'!$D$58*12,$E$14)</f>
        <v>74039.9933512736</v>
      </c>
      <c r="G349" s="9" t="n">
        <f aca="false">E349*'Inputs &amp; Monthly CF'!$D$57/12</f>
        <v>9017.38852619246</v>
      </c>
      <c r="H349" s="9" t="n">
        <f aca="false">F349-G349</f>
        <v>65022.6048250811</v>
      </c>
      <c r="I349" s="9" t="n">
        <f aca="false">E349-H349</f>
        <v>1666315.99220387</v>
      </c>
    </row>
    <row r="350" customFormat="false" ht="15" hidden="false" customHeight="false" outlineLevel="0" collapsed="false">
      <c r="D350" s="0" t="n">
        <v>337</v>
      </c>
      <c r="E350" s="9" t="n">
        <f aca="false">I349</f>
        <v>1666315.99220387</v>
      </c>
      <c r="F350" s="9" t="n">
        <f aca="false">-PMT('Inputs &amp; Monthly CF'!$D$57/12,'Inputs &amp; Monthly CF'!$D$58*12,$E$14)</f>
        <v>74039.9933512736</v>
      </c>
      <c r="G350" s="9" t="n">
        <f aca="false">E350*'Inputs &amp; Monthly CF'!$D$57/12</f>
        <v>8678.72912606184</v>
      </c>
      <c r="H350" s="9" t="n">
        <f aca="false">F350-G350</f>
        <v>65361.2642252118</v>
      </c>
      <c r="I350" s="9" t="n">
        <f aca="false">E350-H350</f>
        <v>1600954.72797866</v>
      </c>
    </row>
    <row r="351" customFormat="false" ht="15" hidden="false" customHeight="false" outlineLevel="0" collapsed="false">
      <c r="D351" s="0" t="n">
        <v>338</v>
      </c>
      <c r="E351" s="9" t="n">
        <f aca="false">I350</f>
        <v>1600954.72797866</v>
      </c>
      <c r="F351" s="9" t="n">
        <f aca="false">-PMT('Inputs &amp; Monthly CF'!$D$57/12,'Inputs &amp; Monthly CF'!$D$58*12,$E$14)</f>
        <v>74039.9933512736</v>
      </c>
      <c r="G351" s="9" t="n">
        <f aca="false">E351*'Inputs &amp; Monthly CF'!$D$57/12</f>
        <v>8338.30587488886</v>
      </c>
      <c r="H351" s="9" t="n">
        <f aca="false">F351-G351</f>
        <v>65701.6874763847</v>
      </c>
      <c r="I351" s="9" t="n">
        <f aca="false">E351-H351</f>
        <v>1535253.04050228</v>
      </c>
    </row>
    <row r="352" customFormat="false" ht="15" hidden="false" customHeight="false" outlineLevel="0" collapsed="false">
      <c r="D352" s="0" t="n">
        <v>339</v>
      </c>
      <c r="E352" s="9" t="n">
        <f aca="false">I351</f>
        <v>1535253.04050228</v>
      </c>
      <c r="F352" s="9" t="n">
        <f aca="false">-PMT('Inputs &amp; Monthly CF'!$D$57/12,'Inputs &amp; Monthly CF'!$D$58*12,$E$14)</f>
        <v>74039.9933512736</v>
      </c>
      <c r="G352" s="9" t="n">
        <f aca="false">E352*'Inputs &amp; Monthly CF'!$D$57/12</f>
        <v>7996.10958594935</v>
      </c>
      <c r="H352" s="9" t="n">
        <f aca="false">F352-G352</f>
        <v>66043.8837653242</v>
      </c>
      <c r="I352" s="9" t="n">
        <f aca="false">E352-H352</f>
        <v>1469209.15673695</v>
      </c>
    </row>
    <row r="353" customFormat="false" ht="15" hidden="false" customHeight="false" outlineLevel="0" collapsed="false">
      <c r="D353" s="0" t="n">
        <v>340</v>
      </c>
      <c r="E353" s="9" t="n">
        <f aca="false">I352</f>
        <v>1469209.15673695</v>
      </c>
      <c r="F353" s="9" t="n">
        <f aca="false">-PMT('Inputs &amp; Monthly CF'!$D$57/12,'Inputs &amp; Monthly CF'!$D$58*12,$E$14)</f>
        <v>74039.9933512736</v>
      </c>
      <c r="G353" s="9" t="n">
        <f aca="false">E353*'Inputs &amp; Monthly CF'!$D$57/12</f>
        <v>7652.13102467162</v>
      </c>
      <c r="H353" s="9" t="n">
        <f aca="false">F353-G353</f>
        <v>66387.862326602</v>
      </c>
      <c r="I353" s="9" t="n">
        <f aca="false">E353-H353</f>
        <v>1402821.29441035</v>
      </c>
    </row>
    <row r="354" customFormat="false" ht="15" hidden="false" customHeight="false" outlineLevel="0" collapsed="false">
      <c r="D354" s="0" t="n">
        <v>341</v>
      </c>
      <c r="E354" s="9" t="n">
        <f aca="false">I353</f>
        <v>1402821.29441035</v>
      </c>
      <c r="F354" s="9" t="n">
        <f aca="false">-PMT('Inputs &amp; Monthly CF'!$D$57/12,'Inputs &amp; Monthly CF'!$D$58*12,$E$14)</f>
        <v>74039.9933512736</v>
      </c>
      <c r="G354" s="9" t="n">
        <f aca="false">E354*'Inputs &amp; Monthly CF'!$D$57/12</f>
        <v>7306.36090838724</v>
      </c>
      <c r="H354" s="9" t="n">
        <f aca="false">F354-G354</f>
        <v>66733.6324428863</v>
      </c>
      <c r="I354" s="9" t="n">
        <f aca="false">E354-H354</f>
        <v>1336087.66196746</v>
      </c>
    </row>
    <row r="355" customFormat="false" ht="15" hidden="false" customHeight="false" outlineLevel="0" collapsed="false">
      <c r="D355" s="0" t="n">
        <v>342</v>
      </c>
      <c r="E355" s="9" t="n">
        <f aca="false">I354</f>
        <v>1336087.66196746</v>
      </c>
      <c r="F355" s="9" t="n">
        <f aca="false">-PMT('Inputs &amp; Monthly CF'!$D$57/12,'Inputs &amp; Monthly CF'!$D$58*12,$E$14)</f>
        <v>74039.9933512736</v>
      </c>
      <c r="G355" s="9" t="n">
        <f aca="false">E355*'Inputs &amp; Monthly CF'!$D$57/12</f>
        <v>6958.78990608054</v>
      </c>
      <c r="H355" s="9" t="n">
        <f aca="false">F355-G355</f>
        <v>67081.2034451931</v>
      </c>
      <c r="I355" s="9" t="n">
        <f aca="false">E355-H355</f>
        <v>1269006.45852227</v>
      </c>
    </row>
    <row r="356" customFormat="false" ht="15" hidden="false" customHeight="false" outlineLevel="0" collapsed="false">
      <c r="D356" s="0" t="n">
        <v>343</v>
      </c>
      <c r="E356" s="9" t="n">
        <f aca="false">I355</f>
        <v>1269006.45852227</v>
      </c>
      <c r="F356" s="9" t="n">
        <f aca="false">-PMT('Inputs &amp; Monthly CF'!$D$57/12,'Inputs &amp; Monthly CF'!$D$58*12,$E$14)</f>
        <v>74039.9933512736</v>
      </c>
      <c r="G356" s="9" t="n">
        <f aca="false">E356*'Inputs &amp; Monthly CF'!$D$57/12</f>
        <v>6609.40863813682</v>
      </c>
      <c r="H356" s="9" t="n">
        <f aca="false">F356-G356</f>
        <v>67430.5847131368</v>
      </c>
      <c r="I356" s="9" t="n">
        <f aca="false">E356-H356</f>
        <v>1201575.87380913</v>
      </c>
    </row>
    <row r="357" customFormat="false" ht="15" hidden="false" customHeight="false" outlineLevel="0" collapsed="false">
      <c r="D357" s="0" t="n">
        <v>344</v>
      </c>
      <c r="E357" s="9" t="n">
        <f aca="false">I356</f>
        <v>1201575.87380913</v>
      </c>
      <c r="F357" s="9" t="n">
        <f aca="false">-PMT('Inputs &amp; Monthly CF'!$D$57/12,'Inputs &amp; Monthly CF'!$D$58*12,$E$14)</f>
        <v>74039.9933512736</v>
      </c>
      <c r="G357" s="9" t="n">
        <f aca="false">E357*'Inputs &amp; Monthly CF'!$D$57/12</f>
        <v>6258.20767608924</v>
      </c>
      <c r="H357" s="9" t="n">
        <f aca="false">F357-G357</f>
        <v>67781.7856751844</v>
      </c>
      <c r="I357" s="9" t="n">
        <f aca="false">E357-H357</f>
        <v>1133794.08813395</v>
      </c>
    </row>
    <row r="358" customFormat="false" ht="15" hidden="false" customHeight="false" outlineLevel="0" collapsed="false">
      <c r="D358" s="0" t="n">
        <v>345</v>
      </c>
      <c r="E358" s="9" t="n">
        <f aca="false">I357</f>
        <v>1133794.08813395</v>
      </c>
      <c r="F358" s="9" t="n">
        <f aca="false">-PMT('Inputs &amp; Monthly CF'!$D$57/12,'Inputs &amp; Monthly CF'!$D$58*12,$E$14)</f>
        <v>74039.9933512736</v>
      </c>
      <c r="G358" s="9" t="n">
        <f aca="false">E358*'Inputs &amp; Monthly CF'!$D$57/12</f>
        <v>5905.17754236432</v>
      </c>
      <c r="H358" s="9" t="n">
        <f aca="false">F358-G358</f>
        <v>68134.8158089093</v>
      </c>
      <c r="I358" s="9" t="n">
        <f aca="false">E358-H358</f>
        <v>1065659.27232504</v>
      </c>
    </row>
    <row r="359" customFormat="false" ht="15" hidden="false" customHeight="false" outlineLevel="0" collapsed="false">
      <c r="D359" s="0" t="n">
        <v>346</v>
      </c>
      <c r="E359" s="9" t="n">
        <f aca="false">I358</f>
        <v>1065659.27232504</v>
      </c>
      <c r="F359" s="9" t="n">
        <f aca="false">-PMT('Inputs &amp; Monthly CF'!$D$57/12,'Inputs &amp; Monthly CF'!$D$58*12,$E$14)</f>
        <v>74039.9933512736</v>
      </c>
      <c r="G359" s="9" t="n">
        <f aca="false">E359*'Inputs &amp; Monthly CF'!$D$57/12</f>
        <v>5550.30871002625</v>
      </c>
      <c r="H359" s="9" t="n">
        <f aca="false">F359-G359</f>
        <v>68489.6846412473</v>
      </c>
      <c r="I359" s="9" t="n">
        <f aca="false">E359-H359</f>
        <v>997169.587683793</v>
      </c>
    </row>
    <row r="360" customFormat="false" ht="15" hidden="false" customHeight="false" outlineLevel="0" collapsed="false">
      <c r="D360" s="0" t="n">
        <v>347</v>
      </c>
      <c r="E360" s="9" t="n">
        <f aca="false">I359</f>
        <v>997169.587683793</v>
      </c>
      <c r="F360" s="9" t="n">
        <f aca="false">-PMT('Inputs &amp; Monthly CF'!$D$57/12,'Inputs &amp; Monthly CF'!$D$58*12,$E$14)</f>
        <v>74039.9933512736</v>
      </c>
      <c r="G360" s="9" t="n">
        <f aca="false">E360*'Inputs &amp; Monthly CF'!$D$57/12</f>
        <v>5193.59160251975</v>
      </c>
      <c r="H360" s="9" t="n">
        <f aca="false">F360-G360</f>
        <v>68846.4017487538</v>
      </c>
      <c r="I360" s="9" t="n">
        <f aca="false">E360-H360</f>
        <v>928323.185935039</v>
      </c>
    </row>
    <row r="361" customFormat="false" ht="15" hidden="false" customHeight="false" outlineLevel="0" collapsed="false">
      <c r="D361" s="0" t="n">
        <v>348</v>
      </c>
      <c r="E361" s="9" t="n">
        <f aca="false">I360</f>
        <v>928323.185935039</v>
      </c>
      <c r="F361" s="9" t="n">
        <f aca="false">-PMT('Inputs &amp; Monthly CF'!$D$57/12,'Inputs &amp; Monthly CF'!$D$58*12,$E$14)</f>
        <v>74039.9933512736</v>
      </c>
      <c r="G361" s="9" t="n">
        <f aca="false">E361*'Inputs &amp; Monthly CF'!$D$57/12</f>
        <v>4835.01659341166</v>
      </c>
      <c r="H361" s="9" t="n">
        <f aca="false">F361-G361</f>
        <v>69204.9767578619</v>
      </c>
      <c r="I361" s="9" t="n">
        <f aca="false">E361-H361</f>
        <v>859118.209177177</v>
      </c>
    </row>
    <row r="362" customFormat="false" ht="15" hidden="false" customHeight="false" outlineLevel="0" collapsed="false">
      <c r="D362" s="0" t="n">
        <v>349</v>
      </c>
      <c r="E362" s="9" t="n">
        <f aca="false">I361</f>
        <v>859118.209177177</v>
      </c>
      <c r="F362" s="9" t="n">
        <f aca="false">-PMT('Inputs &amp; Monthly CF'!$D$57/12,'Inputs &amp; Monthly CF'!$D$58*12,$E$14)</f>
        <v>74039.9933512736</v>
      </c>
      <c r="G362" s="9" t="n">
        <f aca="false">E362*'Inputs &amp; Monthly CF'!$D$57/12</f>
        <v>4474.57400613113</v>
      </c>
      <c r="H362" s="9" t="n">
        <f aca="false">F362-G362</f>
        <v>69565.4193451425</v>
      </c>
      <c r="I362" s="9" t="n">
        <f aca="false">E362-H362</f>
        <v>789552.789832034</v>
      </c>
    </row>
    <row r="363" customFormat="false" ht="15" hidden="false" customHeight="false" outlineLevel="0" collapsed="false">
      <c r="D363" s="0" t="n">
        <v>350</v>
      </c>
      <c r="E363" s="9" t="n">
        <f aca="false">I362</f>
        <v>789552.789832034</v>
      </c>
      <c r="F363" s="9" t="n">
        <f aca="false">-PMT('Inputs &amp; Monthly CF'!$D$57/12,'Inputs &amp; Monthly CF'!$D$58*12,$E$14)</f>
        <v>74039.9933512736</v>
      </c>
      <c r="G363" s="9" t="n">
        <f aca="false">E363*'Inputs &amp; Monthly CF'!$D$57/12</f>
        <v>4112.25411370851</v>
      </c>
      <c r="H363" s="9" t="n">
        <f aca="false">F363-G363</f>
        <v>69927.7392375651</v>
      </c>
      <c r="I363" s="9" t="n">
        <f aca="false">E363-H363</f>
        <v>719625.050594469</v>
      </c>
    </row>
    <row r="364" customFormat="false" ht="15" hidden="false" customHeight="false" outlineLevel="0" collapsed="false">
      <c r="D364" s="0" t="n">
        <v>351</v>
      </c>
      <c r="E364" s="9" t="n">
        <f aca="false">I363</f>
        <v>719625.050594469</v>
      </c>
      <c r="F364" s="9" t="n">
        <f aca="false">-PMT('Inputs &amp; Monthly CF'!$D$57/12,'Inputs &amp; Monthly CF'!$D$58*12,$E$14)</f>
        <v>74039.9933512736</v>
      </c>
      <c r="G364" s="9" t="n">
        <f aca="false">E364*'Inputs &amp; Monthly CF'!$D$57/12</f>
        <v>3748.04713851286</v>
      </c>
      <c r="H364" s="9" t="n">
        <f aca="false">F364-G364</f>
        <v>70291.9462127607</v>
      </c>
      <c r="I364" s="9" t="n">
        <f aca="false">E364-H364</f>
        <v>649333.104381708</v>
      </c>
    </row>
    <row r="365" customFormat="false" ht="15" hidden="false" customHeight="false" outlineLevel="0" collapsed="false">
      <c r="D365" s="0" t="n">
        <v>352</v>
      </c>
      <c r="E365" s="9" t="n">
        <f aca="false">I364</f>
        <v>649333.104381708</v>
      </c>
      <c r="F365" s="9" t="n">
        <f aca="false">-PMT('Inputs &amp; Monthly CF'!$D$57/12,'Inputs &amp; Monthly CF'!$D$58*12,$E$14)</f>
        <v>74039.9933512736</v>
      </c>
      <c r="G365" s="9" t="n">
        <f aca="false">E365*'Inputs &amp; Monthly CF'!$D$57/12</f>
        <v>3381.94325198806</v>
      </c>
      <c r="H365" s="9" t="n">
        <f aca="false">F365-G365</f>
        <v>70658.0500992855</v>
      </c>
      <c r="I365" s="9" t="n">
        <f aca="false">E365-H365</f>
        <v>578675.054282423</v>
      </c>
    </row>
    <row r="366" customFormat="false" ht="15" hidden="false" customHeight="false" outlineLevel="0" collapsed="false">
      <c r="D366" s="0" t="n">
        <v>353</v>
      </c>
      <c r="E366" s="9" t="n">
        <f aca="false">I365</f>
        <v>578675.054282423</v>
      </c>
      <c r="F366" s="9" t="n">
        <f aca="false">-PMT('Inputs &amp; Monthly CF'!$D$57/12,'Inputs &amp; Monthly CF'!$D$58*12,$E$14)</f>
        <v>74039.9933512736</v>
      </c>
      <c r="G366" s="9" t="n">
        <f aca="false">E366*'Inputs &amp; Monthly CF'!$D$57/12</f>
        <v>3013.93257438762</v>
      </c>
      <c r="H366" s="9" t="n">
        <f aca="false">F366-G366</f>
        <v>71026.060776886</v>
      </c>
      <c r="I366" s="9" t="n">
        <f aca="false">E366-H366</f>
        <v>507648.993505537</v>
      </c>
    </row>
    <row r="367" customFormat="false" ht="15" hidden="false" customHeight="false" outlineLevel="0" collapsed="false">
      <c r="D367" s="0" t="n">
        <v>354</v>
      </c>
      <c r="E367" s="9" t="n">
        <f aca="false">I366</f>
        <v>507648.993505537</v>
      </c>
      <c r="F367" s="9" t="n">
        <f aca="false">-PMT('Inputs &amp; Monthly CF'!$D$57/12,'Inputs &amp; Monthly CF'!$D$58*12,$E$14)</f>
        <v>74039.9933512736</v>
      </c>
      <c r="G367" s="9" t="n">
        <f aca="false">E367*'Inputs &amp; Monthly CF'!$D$57/12</f>
        <v>2644.00517450801</v>
      </c>
      <c r="H367" s="9" t="n">
        <f aca="false">F367-G367</f>
        <v>71395.9881767656</v>
      </c>
      <c r="I367" s="9" t="n">
        <f aca="false">E367-H367</f>
        <v>436253.005328771</v>
      </c>
    </row>
    <row r="368" customFormat="false" ht="15" hidden="false" customHeight="false" outlineLevel="0" collapsed="false">
      <c r="D368" s="0" t="n">
        <v>355</v>
      </c>
      <c r="E368" s="9" t="n">
        <f aca="false">I367</f>
        <v>436253.005328771</v>
      </c>
      <c r="F368" s="9" t="n">
        <f aca="false">-PMT('Inputs &amp; Monthly CF'!$D$57/12,'Inputs &amp; Monthly CF'!$D$58*12,$E$14)</f>
        <v>74039.9933512736</v>
      </c>
      <c r="G368" s="9" t="n">
        <f aca="false">E368*'Inputs &amp; Monthly CF'!$D$57/12</f>
        <v>2272.15106942068</v>
      </c>
      <c r="H368" s="9" t="n">
        <f aca="false">F368-G368</f>
        <v>71767.8422818529</v>
      </c>
      <c r="I368" s="9" t="n">
        <f aca="false">E368-H368</f>
        <v>364485.163046918</v>
      </c>
    </row>
    <row r="369" customFormat="false" ht="15" hidden="false" customHeight="false" outlineLevel="0" collapsed="false">
      <c r="D369" s="0" t="n">
        <v>356</v>
      </c>
      <c r="E369" s="9" t="n">
        <f aca="false">I368</f>
        <v>364485.163046918</v>
      </c>
      <c r="F369" s="9" t="n">
        <f aca="false">-PMT('Inputs &amp; Monthly CF'!$D$57/12,'Inputs &amp; Monthly CF'!$D$58*12,$E$14)</f>
        <v>74039.9933512736</v>
      </c>
      <c r="G369" s="9" t="n">
        <f aca="false">E369*'Inputs &amp; Monthly CF'!$D$57/12</f>
        <v>1898.3602242027</v>
      </c>
      <c r="H369" s="9" t="n">
        <f aca="false">F369-G369</f>
        <v>72141.6331270709</v>
      </c>
      <c r="I369" s="9" t="n">
        <f aca="false">E369-H369</f>
        <v>292343.529919848</v>
      </c>
    </row>
    <row r="370" customFormat="false" ht="15" hidden="false" customHeight="false" outlineLevel="0" collapsed="false">
      <c r="D370" s="0" t="n">
        <v>357</v>
      </c>
      <c r="E370" s="9" t="n">
        <f aca="false">I369</f>
        <v>292343.529919848</v>
      </c>
      <c r="F370" s="9" t="n">
        <f aca="false">-PMT('Inputs &amp; Monthly CF'!$D$57/12,'Inputs &amp; Monthly CF'!$D$58*12,$E$14)</f>
        <v>74039.9933512736</v>
      </c>
      <c r="G370" s="9" t="n">
        <f aca="false">E370*'Inputs &amp; Monthly CF'!$D$57/12</f>
        <v>1522.62255166587</v>
      </c>
      <c r="H370" s="9" t="n">
        <f aca="false">F370-G370</f>
        <v>72517.3707996077</v>
      </c>
      <c r="I370" s="9" t="n">
        <f aca="false">E370-H370</f>
        <v>219826.15912024</v>
      </c>
    </row>
    <row r="371" customFormat="false" ht="15" hidden="false" customHeight="false" outlineLevel="0" collapsed="false">
      <c r="D371" s="0" t="n">
        <v>358</v>
      </c>
      <c r="E371" s="9" t="n">
        <f aca="false">I370</f>
        <v>219826.15912024</v>
      </c>
      <c r="F371" s="9" t="n">
        <f aca="false">-PMT('Inputs &amp; Monthly CF'!$D$57/12,'Inputs &amp; Monthly CF'!$D$58*12,$E$14)</f>
        <v>74039.9933512736</v>
      </c>
      <c r="G371" s="9" t="n">
        <f aca="false">E371*'Inputs &amp; Monthly CF'!$D$57/12</f>
        <v>1144.92791208458</v>
      </c>
      <c r="H371" s="9" t="n">
        <f aca="false">F371-G371</f>
        <v>72895.065439189</v>
      </c>
      <c r="I371" s="9" t="n">
        <f aca="false">E371-H371</f>
        <v>146931.093681051</v>
      </c>
    </row>
    <row r="372" customFormat="false" ht="15" hidden="false" customHeight="false" outlineLevel="0" collapsed="false">
      <c r="D372" s="0" t="n">
        <v>359</v>
      </c>
      <c r="E372" s="9" t="n">
        <f aca="false">I371</f>
        <v>146931.093681051</v>
      </c>
      <c r="F372" s="9" t="n">
        <f aca="false">-PMT('Inputs &amp; Monthly CF'!$D$57/12,'Inputs &amp; Monthly CF'!$D$58*12,$E$14)</f>
        <v>74039.9933512736</v>
      </c>
      <c r="G372" s="9" t="n">
        <f aca="false">E372*'Inputs &amp; Monthly CF'!$D$57/12</f>
        <v>765.26611292214</v>
      </c>
      <c r="H372" s="9" t="n">
        <f aca="false">F372-G372</f>
        <v>73274.7272383515</v>
      </c>
      <c r="I372" s="9" t="n">
        <f aca="false">E372-H372</f>
        <v>73656.3664426993</v>
      </c>
    </row>
    <row r="373" customFormat="false" ht="15" hidden="false" customHeight="false" outlineLevel="0" collapsed="false">
      <c r="D373" s="0" t="n">
        <v>360</v>
      </c>
      <c r="E373" s="9" t="n">
        <f aca="false">I372</f>
        <v>73656.3664426993</v>
      </c>
      <c r="F373" s="9" t="n">
        <f aca="false">-PMT('Inputs &amp; Monthly CF'!$D$57/12,'Inputs &amp; Monthly CF'!$D$58*12,$E$14)</f>
        <v>74039.9933512736</v>
      </c>
      <c r="G373" s="9" t="n">
        <f aca="false">E373*'Inputs &amp; Monthly CF'!$D$57/12</f>
        <v>383.626908555726</v>
      </c>
      <c r="H373" s="9" t="n">
        <f aca="false">F373-G373</f>
        <v>73656.3664427179</v>
      </c>
      <c r="I373" s="9" t="n">
        <f aca="false">E373-H373</f>
        <v>-1.8524588085711E-008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S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2" customFormat="false" ht="15" hidden="false" customHeight="false" outlineLevel="0" collapsed="false">
      <c r="B2" s="0" t="s">
        <v>93</v>
      </c>
    </row>
    <row r="10" customFormat="false" ht="15" hidden="false" customHeight="false" outlineLevel="0" collapsed="false">
      <c r="C10" s="0" t="s">
        <v>94</v>
      </c>
      <c r="H10" s="0" t="s">
        <v>95</v>
      </c>
    </row>
    <row r="12" customFormat="false" ht="15" hidden="false" customHeight="false" outlineLevel="0" collapsed="false">
      <c r="C12" s="0" t="s">
        <v>96</v>
      </c>
      <c r="H12" s="0" t="s">
        <v>5</v>
      </c>
    </row>
    <row r="14" customFormat="false" ht="15" hidden="false" customHeight="false" outlineLevel="0" collapsed="false">
      <c r="H14" s="0" t="s">
        <v>7</v>
      </c>
      <c r="I14" s="0" t="n">
        <f aca="false">'Inputs &amp; Monthly CF'!$D$21+I15</f>
        <v>2026</v>
      </c>
      <c r="J14" s="0" t="n">
        <f aca="false">'Inputs &amp; Monthly CF'!$D$21+J15</f>
        <v>2027</v>
      </c>
      <c r="K14" s="0" t="n">
        <f aca="false">'Inputs &amp; Monthly CF'!$D$21+K15</f>
        <v>2028</v>
      </c>
      <c r="L14" s="0" t="n">
        <f aca="false">'Inputs &amp; Monthly CF'!$D$21+L15</f>
        <v>2029</v>
      </c>
      <c r="M14" s="0" t="n">
        <f aca="false">'Inputs &amp; Monthly CF'!$D$21+M15</f>
        <v>2030</v>
      </c>
      <c r="N14" s="0" t="n">
        <f aca="false">'Inputs &amp; Monthly CF'!$D$21+N15</f>
        <v>2031</v>
      </c>
      <c r="O14" s="0" t="n">
        <f aca="false">'Inputs &amp; Monthly CF'!$D$21+O15</f>
        <v>2032</v>
      </c>
      <c r="P14" s="0" t="n">
        <f aca="false">'Inputs &amp; Monthly CF'!$D$21+P15</f>
        <v>2033</v>
      </c>
      <c r="Q14" s="0" t="n">
        <f aca="false">'Inputs &amp; Monthly CF'!$D$21+Q15</f>
        <v>2034</v>
      </c>
      <c r="R14" s="0" t="n">
        <f aca="false">'Inputs &amp; Monthly CF'!$D$21+R15</f>
        <v>2035</v>
      </c>
      <c r="S14" s="0" t="n">
        <f aca="false">'Inputs &amp; Monthly CF'!$D$21+S15</f>
        <v>2036</v>
      </c>
    </row>
    <row r="15" customFormat="false" ht="15" hidden="false" customHeight="false" outlineLevel="0" collapsed="false">
      <c r="H15" s="0" t="s">
        <v>8</v>
      </c>
      <c r="I15" s="0" t="n">
        <v>0</v>
      </c>
      <c r="J15" s="0" t="n">
        <v>1</v>
      </c>
      <c r="K15" s="0" t="n">
        <v>2</v>
      </c>
      <c r="L15" s="0" t="n">
        <v>3</v>
      </c>
      <c r="M15" s="0" t="n">
        <v>4</v>
      </c>
      <c r="N15" s="0" t="n">
        <v>5</v>
      </c>
      <c r="O15" s="0" t="n">
        <v>6</v>
      </c>
      <c r="P15" s="0" t="n">
        <v>7</v>
      </c>
      <c r="Q15" s="0" t="n">
        <v>8</v>
      </c>
      <c r="R15" s="0" t="n">
        <v>9</v>
      </c>
      <c r="S15" s="0" t="n">
        <v>10</v>
      </c>
    </row>
    <row r="16" customFormat="false" ht="15" hidden="false" customHeight="false" outlineLevel="0" collapsed="false">
      <c r="C16" s="0" t="s">
        <v>36</v>
      </c>
      <c r="D16" s="2" t="n">
        <f aca="false">'Inputs &amp; Monthly CF'!D31</f>
        <v>5</v>
      </c>
      <c r="H16" s="3" t="s">
        <v>12</v>
      </c>
      <c r="I16" s="3" t="n">
        <f aca="false">'Inputs &amp; Monthly CF'!J19</f>
        <v>-18870000</v>
      </c>
    </row>
    <row r="17" customFormat="false" ht="15" hidden="false" customHeight="false" outlineLevel="0" collapsed="false">
      <c r="C17" s="0" t="s">
        <v>12</v>
      </c>
      <c r="D17" s="5" t="n">
        <f aca="false">'Inputs &amp; Monthly CF'!D26</f>
        <v>18500000</v>
      </c>
    </row>
    <row r="18" customFormat="false" ht="15" hidden="false" customHeight="false" outlineLevel="0" collapsed="false">
      <c r="C18" s="0" t="s">
        <v>97</v>
      </c>
      <c r="D18" s="6" t="n">
        <f aca="false">'Inputs &amp; Monthly CF'!D28</f>
        <v>127.586206896552</v>
      </c>
    </row>
    <row r="19" customFormat="false" ht="15" hidden="false" customHeight="false" outlineLevel="0" collapsed="false">
      <c r="C19" s="0" t="s">
        <v>98</v>
      </c>
      <c r="D19" s="4" t="n">
        <f aca="false">J25/-I16</f>
        <v>0.0672244568097509</v>
      </c>
    </row>
    <row r="20" customFormat="false" ht="15" hidden="false" customHeight="false" outlineLevel="0" collapsed="false">
      <c r="C20" s="0" t="s">
        <v>99</v>
      </c>
      <c r="D20" s="4" t="n">
        <f aca="false">'Inputs &amp; Monthly CF'!D51</f>
        <v>0.0725</v>
      </c>
    </row>
    <row r="21" customFormat="false" ht="15" hidden="false" customHeight="false" outlineLevel="0" collapsed="false">
      <c r="C21" s="0" t="s">
        <v>100</v>
      </c>
      <c r="D21" s="5" t="n">
        <f aca="false">SUM('Inputs &amp; Monthly CF'!K35:EL35)</f>
        <v>20356311.9636292</v>
      </c>
    </row>
    <row r="22" customFormat="false" ht="15" hidden="false" customHeight="false" outlineLevel="0" collapsed="false">
      <c r="C22" s="0" t="s">
        <v>101</v>
      </c>
    </row>
    <row r="23" customFormat="false" ht="15" hidden="false" customHeight="false" outlineLevel="0" collapsed="false">
      <c r="C23" s="0" t="s">
        <v>53</v>
      </c>
      <c r="D23" s="4" t="n">
        <f aca="false">'Inputs &amp; Monthly CF'!J40</f>
        <v>0.0818828127869081</v>
      </c>
    </row>
    <row r="24" customFormat="false" ht="15" hidden="false" customHeight="false" outlineLevel="0" collapsed="false">
      <c r="C24" s="0" t="s">
        <v>55</v>
      </c>
      <c r="D24" s="7" t="n">
        <f aca="false">'Inputs &amp; Monthly CF'!J41</f>
        <v>1.39684545542546</v>
      </c>
    </row>
    <row r="25" customFormat="false" ht="15" hidden="false" customHeight="false" outlineLevel="0" collapsed="false">
      <c r="C25" s="0" t="s">
        <v>58</v>
      </c>
      <c r="D25" s="5" t="n">
        <f aca="false">'Inputs &amp; Monthly CF'!J42</f>
        <v>7689145.9752053</v>
      </c>
      <c r="H25" s="3" t="s">
        <v>31</v>
      </c>
      <c r="J25" s="3" t="n">
        <f aca="false">SUMIF('Inputs &amp; Monthly CF'!$K$15:$EL$15,J$15,'Inputs &amp; Monthly CF'!$K28:$EL28)</f>
        <v>1268525.5</v>
      </c>
      <c r="K25" s="3" t="n">
        <f aca="false">SUMIF('Inputs &amp; Monthly CF'!$K$15:$EL$15,K$15,'Inputs &amp; Monthly CF'!$K28:$EL28)</f>
        <v>1345797.6375</v>
      </c>
      <c r="L25" s="3" t="n">
        <f aca="false">SUMIF('Inputs &amp; Monthly CF'!$K$15:$EL$15,L$15,'Inputs &amp; Monthly CF'!$K28:$EL28)</f>
        <v>1377212.6284375</v>
      </c>
      <c r="M25" s="3" t="n">
        <f aca="false">SUMIF('Inputs &amp; Monthly CF'!$K$15:$EL$15,M$15,'Inputs &amp; Monthly CF'!$K28:$EL28)</f>
        <v>1409346.09564844</v>
      </c>
      <c r="N25" s="3" t="n">
        <f aca="false">SUMIF('Inputs &amp; Monthly CF'!$K$15:$EL$15,N$15,'Inputs &amp; Monthly CF'!$K28:$EL28)</f>
        <v>1442213.99408465</v>
      </c>
      <c r="O25" s="3" t="n">
        <f aca="false">SUMIF('Inputs &amp; Monthly CF'!$K$15:$EL$15,O$15,'Inputs &amp; Monthly CF'!$K28:$EL28)</f>
        <v>1475832.61736311</v>
      </c>
      <c r="P25" s="3" t="n">
        <f aca="false">SUMIF('Inputs &amp; Monthly CF'!$K$15:$EL$15,P$15,'Inputs &amp; Monthly CF'!$K28:$EL28)</f>
        <v>1510218.60442633</v>
      </c>
      <c r="Q25" s="3" t="n">
        <f aca="false">SUMIF('Inputs &amp; Monthly CF'!$K$15:$EL$15,Q$15,'Inputs &amp; Monthly CF'!$K28:$EL28)</f>
        <v>1545388.94631501</v>
      </c>
      <c r="R25" s="3" t="n">
        <f aca="false">SUMIF('Inputs &amp; Monthly CF'!$K$15:$EL$15,R$15,'Inputs &amp; Monthly CF'!$K28:$EL28)</f>
        <v>1581360.99305423</v>
      </c>
      <c r="S25" s="3" t="n">
        <f aca="false">SUMIF('Inputs &amp; Monthly CF'!$K$15:$EL$15,S$15,'Inputs &amp; Monthly CF'!$K28:$EL28)</f>
        <v>1618152.46065439</v>
      </c>
    </row>
    <row r="27" customFormat="false" ht="15" hidden="false" customHeight="false" outlineLevel="0" collapsed="false">
      <c r="C27" s="0" t="s">
        <v>102</v>
      </c>
      <c r="D27" s="4" t="n">
        <v>0.08</v>
      </c>
    </row>
    <row r="28" customFormat="false" ht="15" hidden="false" customHeight="false" outlineLevel="0" collapsed="false">
      <c r="C28" s="0" t="s">
        <v>103</v>
      </c>
      <c r="D28" s="5" t="n">
        <f aca="false">NPV($D$27,$J$36:$S$36)+$I$36</f>
        <v>-50762.2154001109</v>
      </c>
    </row>
    <row r="29" customFormat="false" ht="15" hidden="false" customHeight="false" outlineLevel="0" collapsed="false">
      <c r="C29" s="0" t="s">
        <v>104</v>
      </c>
    </row>
    <row r="30" customFormat="false" ht="15" hidden="false" customHeight="false" outlineLevel="0" collapsed="false">
      <c r="C30" s="0" t="s">
        <v>53</v>
      </c>
      <c r="D30" s="4" t="n">
        <f aca="false">'Inputs &amp; Monthly CF'!J74</f>
        <v>0.10461834759154</v>
      </c>
    </row>
    <row r="31" customFormat="false" ht="15" hidden="false" customHeight="false" outlineLevel="0" collapsed="false">
      <c r="C31" s="0" t="s">
        <v>55</v>
      </c>
      <c r="D31" s="7" t="n">
        <f aca="false">'Inputs &amp; Monthly CF'!J75</f>
        <v>1.49600217827454</v>
      </c>
    </row>
    <row r="32" customFormat="false" ht="15" hidden="false" customHeight="false" outlineLevel="0" collapsed="false">
      <c r="C32" s="0" t="s">
        <v>105</v>
      </c>
      <c r="D32" s="5" t="n">
        <f aca="false">-(I46+I47)</f>
        <v>6965250</v>
      </c>
    </row>
    <row r="33" customFormat="false" ht="15" hidden="false" customHeight="false" outlineLevel="0" collapsed="false">
      <c r="C33" s="0" t="s">
        <v>58</v>
      </c>
      <c r="D33" s="5" t="n">
        <f aca="false">'Inputs &amp; Monthly CF'!J76</f>
        <v>3927693.08946077</v>
      </c>
    </row>
    <row r="35" customFormat="false" ht="15" hidden="false" customHeight="false" outlineLevel="0" collapsed="false">
      <c r="C35" s="0" t="s">
        <v>106</v>
      </c>
      <c r="D35" s="7" t="n">
        <f aca="false">MIN('Inputs &amp; Monthly CF'!J79:S79)</f>
        <v>1.42774807976823</v>
      </c>
    </row>
    <row r="36" customFormat="false" ht="15" hidden="false" customHeight="false" outlineLevel="0" collapsed="false">
      <c r="H36" s="0" t="s">
        <v>50</v>
      </c>
      <c r="I36" s="0" t="n">
        <f aca="false">'Inputs &amp; Monthly CF'!J39</f>
        <v>-18870000</v>
      </c>
      <c r="J36" s="0" t="n">
        <f aca="false">SUMIF('Inputs &amp; Monthly CF'!$K$15:$EL$15,J$15,'Inputs &amp; Monthly CF'!$K39:$EL39)</f>
        <v>1239525.5</v>
      </c>
      <c r="K36" s="0" t="n">
        <f aca="false">SUMIF('Inputs &amp; Monthly CF'!$K$15:$EL$15,K$15,'Inputs &amp; Monthly CF'!$K39:$EL39)</f>
        <v>1316217.6375</v>
      </c>
      <c r="L36" s="0" t="n">
        <f aca="false">SUMIF('Inputs &amp; Monthly CF'!$K$15:$EL$15,L$15,'Inputs &amp; Monthly CF'!$K39:$EL39)</f>
        <v>1163041.0284375</v>
      </c>
      <c r="M36" s="0" t="n">
        <f aca="false">SUMIF('Inputs &amp; Monthly CF'!$K$15:$EL$15,M$15,'Inputs &amp; Monthly CF'!$K39:$EL39)</f>
        <v>1378571.06364844</v>
      </c>
      <c r="N36" s="0" t="n">
        <f aca="false">SUMIF('Inputs &amp; Monthly CF'!$K$15:$EL$15,N$15,'Inputs &amp; Monthly CF'!$K39:$EL39)</f>
        <v>21461790.7456194</v>
      </c>
      <c r="O36" s="0" t="n">
        <f aca="false">SUMIF('Inputs &amp; Monthly CF'!$K$15:$EL$15,O$15,'Inputs &amp; Monthly CF'!$K39:$EL39)</f>
        <v>0</v>
      </c>
      <c r="P36" s="0" t="n">
        <f aca="false">SUMIF('Inputs &amp; Monthly CF'!$K$15:$EL$15,P$15,'Inputs &amp; Monthly CF'!$K39:$EL39)</f>
        <v>0</v>
      </c>
      <c r="Q36" s="0" t="n">
        <f aca="false">SUMIF('Inputs &amp; Monthly CF'!$K$15:$EL$15,Q$15,'Inputs &amp; Monthly CF'!$K39:$EL39)</f>
        <v>0</v>
      </c>
      <c r="R36" s="0" t="n">
        <f aca="false">SUMIF('Inputs &amp; Monthly CF'!$K$15:$EL$15,R$15,'Inputs &amp; Monthly CF'!$K39:$EL39)</f>
        <v>0</v>
      </c>
      <c r="S36" s="0" t="n">
        <f aca="false">SUMIF('Inputs &amp; Monthly CF'!$K$15:$EL$15,S$15,'Inputs &amp; Monthly CF'!$K39:$EL39)</f>
        <v>0</v>
      </c>
    </row>
    <row r="43" customFormat="false" ht="15" hidden="false" customHeight="false" outlineLevel="0" collapsed="false">
      <c r="H43" s="0" t="s">
        <v>62</v>
      </c>
    </row>
    <row r="46" customFormat="false" ht="15" hidden="false" customHeight="false" outlineLevel="0" collapsed="false">
      <c r="H46" s="0" t="s">
        <v>12</v>
      </c>
      <c r="I46" s="0" t="n">
        <f aca="false">'Inputs &amp; Monthly CF'!J49</f>
        <v>-18870000</v>
      </c>
    </row>
    <row r="47" customFormat="false" ht="15" hidden="false" customHeight="false" outlineLevel="0" collapsed="false">
      <c r="H47" s="0" t="s">
        <v>63</v>
      </c>
      <c r="I47" s="5" t="n">
        <f aca="false">'Inputs &amp; Monthly CF'!J50</f>
        <v>11904750</v>
      </c>
    </row>
    <row r="70" customFormat="false" ht="15" hidden="false" customHeight="false" outlineLevel="0" collapsed="false">
      <c r="H70" s="0" t="s">
        <v>74</v>
      </c>
      <c r="I70" s="0" t="n">
        <f aca="false">'Inputs &amp; Monthly CF'!J73</f>
        <v>-6965250</v>
      </c>
      <c r="J70" s="0" t="n">
        <f aca="false">SUMIF('Inputs &amp; Monthly CF'!$K$15:$EL$15,J$15,'Inputs &amp; Monthly CF'!$K73:$EL73)</f>
        <v>351045.579784717</v>
      </c>
      <c r="K70" s="0" t="n">
        <f aca="false">SUMIF('Inputs &amp; Monthly CF'!$K$15:$EL$15,K$15,'Inputs &amp; Monthly CF'!$K73:$EL73)</f>
        <v>427737.717284717</v>
      </c>
      <c r="L70" s="0" t="n">
        <f aca="false">SUMIF('Inputs &amp; Monthly CF'!$K$15:$EL$15,L$15,'Inputs &amp; Monthly CF'!$K73:$EL73)</f>
        <v>274561.108222217</v>
      </c>
      <c r="M70" s="0" t="n">
        <f aca="false">SUMIF('Inputs &amp; Monthly CF'!$K$15:$EL$15,M$15,'Inputs &amp; Monthly CF'!$K73:$EL73)</f>
        <v>490091.143433154</v>
      </c>
      <c r="N70" s="0" t="n">
        <f aca="false">SUMIF('Inputs &amp; Monthly CF'!$K$15:$EL$15,N$15,'Inputs &amp; Monthly CF'!$K73:$EL73)</f>
        <v>9349507.54073597</v>
      </c>
      <c r="O70" s="0" t="n">
        <f aca="false">SUMIF('Inputs &amp; Monthly CF'!$K$15:$EL$15,O$15,'Inputs &amp; Monthly CF'!$K73:$EL73)</f>
        <v>0</v>
      </c>
      <c r="P70" s="0" t="n">
        <f aca="false">SUMIF('Inputs &amp; Monthly CF'!$K$15:$EL$15,P$15,'Inputs &amp; Monthly CF'!$K73:$EL73)</f>
        <v>0</v>
      </c>
      <c r="Q70" s="0" t="n">
        <f aca="false">SUMIF('Inputs &amp; Monthly CF'!$K$15:$EL$15,Q$15,'Inputs &amp; Monthly CF'!$K73:$EL73)</f>
        <v>0</v>
      </c>
      <c r="R70" s="0" t="n">
        <f aca="false">SUMIF('Inputs &amp; Monthly CF'!$K$15:$EL$15,R$15,'Inputs &amp; Monthly CF'!$K73:$EL73)</f>
        <v>0</v>
      </c>
      <c r="S70" s="0" t="n">
        <f aca="false">SUMIF('Inputs &amp; Monthly CF'!$K$15:$EL$15,S$15,'Inputs &amp; Monthly CF'!$K73:$EL73)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2026-10-19T11:21:51Z</dcterms:created>
  <dc:creator>openpyxl</dc:creator>
  <dc:description/>
  <dc:language>en-US</dc:language>
  <cp:lastModifiedBy/>
  <dcterms:modified xsi:type="dcterms:W3CDTF">2026-10-19T11:21:51Z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