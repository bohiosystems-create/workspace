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Phases" sheetId="3" state="visible" r:id="rId5"/>
    <sheet name="Cash Flow" sheetId="4" state="visible" r:id="rId6"/>
    <sheet name="Returns" sheetId="5" state="visible" r:id="rId7"/>
  </sheets>
  <calcPr iterateCount="500" refMode="A1" iterate="tru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<sst xmlns="http://schemas.openxmlformats.org/spreadsheetml/2006/main" count="94" uniqueCount="90">
  <si>
    <t xml:space="preserve">WADI AL NOOR MASTERPLAN – SIX PHASES (SAR)</t>
  </si>
  <si>
    <t xml:space="preserve">Scenario (1 Base, 2 Downside, 3 Upside)</t>
  </si>
  <si>
    <t xml:space="preserve">Land (SAR)</t>
  </si>
  <si>
    <t xml:space="preserve">Infrastructure (SAR)</t>
  </si>
  <si>
    <t xml:space="preserve">Infrastructure build (quarters)</t>
  </si>
  <si>
    <t xml:space="preserve">VAT on commercial sales</t>
  </si>
  <si>
    <t xml:space="preserve">Zakat</t>
  </si>
  <si>
    <t xml:space="preserve">Murabaha (% of phase cost)</t>
  </si>
  <si>
    <t xml:space="preserve">Murabaha profit rate (capitalised during build)</t>
  </si>
  <si>
    <t xml:space="preserve">Escrow: share of collections released by progress</t>
  </si>
  <si>
    <t xml:space="preserve">Discount rate</t>
  </si>
  <si>
    <t xml:space="preserve">Assumption</t>
  </si>
  <si>
    <t xml:space="preserve">Base</t>
  </si>
  <si>
    <t xml:space="preserve">Downside</t>
  </si>
  <si>
    <t xml:space="preserve">Upside</t>
  </si>
  <si>
    <t xml:space="preserve">Live</t>
  </si>
  <si>
    <t xml:space="preserve">Plot price (SAR/sqm)</t>
  </si>
  <si>
    <t xml:space="preserve">Villa price (SAR/sqm)</t>
  </si>
  <si>
    <t xml:space="preserve">BTR rent (SAR/sqm/yr)</t>
  </si>
  <si>
    <t xml:space="preserve">Hotel ADR (SAR)</t>
  </si>
  <si>
    <t xml:space="preserve">Retail rent (SAR/sqm/yr)</t>
  </si>
  <si>
    <t xml:space="preserve">Office rent (SAR/sqm/yr)</t>
  </si>
  <si>
    <t xml:space="preserve">Build cost (SAR/sqm)</t>
  </si>
  <si>
    <t xml:space="preserve">Exit yield (income phases)</t>
  </si>
  <si>
    <t xml:space="preserve">Phase</t>
  </si>
  <si>
    <t xml:space="preserve">Type</t>
  </si>
  <si>
    <t xml:space="preserve">GFA / land (sqm)</t>
  </si>
  <si>
    <t xml:space="preserve">Start quarter</t>
  </si>
  <si>
    <t xml:space="preserve">Build (quarters)</t>
  </si>
  <si>
    <t xml:space="preserve">Sales / lease-up (quarters)</t>
  </si>
  <si>
    <t xml:space="preserve">Commercial (VAT)</t>
  </si>
  <si>
    <t xml:space="preserve">Plots</t>
  </si>
  <si>
    <t xml:space="preserve">sale</t>
  </si>
  <si>
    <t xml:space="preserve">Villas</t>
  </si>
  <si>
    <t xml:space="preserve">BTR</t>
  </si>
  <si>
    <t xml:space="preserve">income</t>
  </si>
  <si>
    <t xml:space="preserve">Hotel</t>
  </si>
  <si>
    <t xml:space="preserve">hotel</t>
  </si>
  <si>
    <t xml:space="preserve">Retail</t>
  </si>
  <si>
    <t xml:space="preserve">Offices</t>
  </si>
  <si>
    <t xml:space="preserve">Quarter</t>
  </si>
  <si>
    <t xml:space="preserve">Plots · build cost</t>
  </si>
  <si>
    <t xml:space="preserve">Plots · revenue</t>
  </si>
  <si>
    <t xml:space="preserve">Plots · collections released</t>
  </si>
  <si>
    <t xml:space="preserve">Plots · NOI</t>
  </si>
  <si>
    <t xml:space="preserve">Villas · build cost</t>
  </si>
  <si>
    <t xml:space="preserve">Villas · revenue</t>
  </si>
  <si>
    <t xml:space="preserve">Villas · collections released</t>
  </si>
  <si>
    <t xml:space="preserve">Villas · NOI</t>
  </si>
  <si>
    <t xml:space="preserve">BTR · build cost</t>
  </si>
  <si>
    <t xml:space="preserve">BTR · revenue</t>
  </si>
  <si>
    <t xml:space="preserve">BTR · collections released</t>
  </si>
  <si>
    <t xml:space="preserve">BTR · NOI</t>
  </si>
  <si>
    <t xml:space="preserve">Hotel · build cost</t>
  </si>
  <si>
    <t xml:space="preserve">Hotel · revenue</t>
  </si>
  <si>
    <t xml:space="preserve">Hotel · collections released</t>
  </si>
  <si>
    <t xml:space="preserve">Hotel · NOI</t>
  </si>
  <si>
    <t xml:space="preserve">Retail · build cost</t>
  </si>
  <si>
    <t xml:space="preserve">Retail · revenue</t>
  </si>
  <si>
    <t xml:space="preserve">Retail · collections released</t>
  </si>
  <si>
    <t xml:space="preserve">Retail · NOI</t>
  </si>
  <si>
    <t xml:space="preserve">Offices · build cost</t>
  </si>
  <si>
    <t xml:space="preserve">Offices · revenue</t>
  </si>
  <si>
    <t xml:space="preserve">Offices · collections released</t>
  </si>
  <si>
    <t xml:space="preserve">Offices · NOI</t>
  </si>
  <si>
    <t xml:space="preserve">Land</t>
  </si>
  <si>
    <t xml:space="preserve">Infrastructure</t>
  </si>
  <si>
    <t xml:space="preserve">Build cost</t>
  </si>
  <si>
    <t xml:space="preserve">Collections</t>
  </si>
  <si>
    <t xml:space="preserve">NOI</t>
  </si>
  <si>
    <t xml:space="preserve">Exit value</t>
  </si>
  <si>
    <t xml:space="preserve">Total cost</t>
  </si>
  <si>
    <t xml:space="preserve">Murabaha drawn</t>
  </si>
  <si>
    <t xml:space="preserve">Murabaha profit</t>
  </si>
  <si>
    <t xml:space="preserve">Murabaha repaid</t>
  </si>
  <si>
    <t xml:space="preserve">Murabaha balance</t>
  </si>
  <si>
    <t xml:space="preserve">Pre-zakat cash flow</t>
  </si>
  <si>
    <t xml:space="preserve">Cumulative</t>
  </si>
  <si>
    <t xml:space="preserve">Unlevered cash flow</t>
  </si>
  <si>
    <t xml:space="preserve">Equity cash flow</t>
  </si>
  <si>
    <t xml:space="preserve">Project IRR</t>
  </si>
  <si>
    <t xml:space="preserve">Equity IRR</t>
  </si>
  <si>
    <t xml:space="preserve">NPV (SAR)</t>
  </si>
  <si>
    <t xml:space="preserve">Net profit (SAR)</t>
  </si>
  <si>
    <t xml:space="preserve">Total development cost (SAR)</t>
  </si>
  <si>
    <t xml:space="preserve">Gross revenue (SAR)</t>
  </si>
  <si>
    <t xml:space="preserve">Peak murabaha (SAR)</t>
  </si>
  <si>
    <t xml:space="preserve">Profit capitalised (SAR)</t>
  </si>
  <si>
    <t xml:space="preserve">Zakat paid (SAR)</t>
  </si>
  <si>
    <t xml:space="preserve">Escrow held at horizon (SAR)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</si>
</sst>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</v>
      </c>
    </row>
    <row r="4" customFormat="false" ht="15" hidden="false" customHeight="false" outlineLevel="0" collapsed="false">
      <c r="A4" s="0" t="s">
        <v>2</v>
      </c>
      <c r="B4" s="2" t="n">
        <v>900000000</v>
      </c>
    </row>
    <row r="5" customFormat="false" ht="15" hidden="false" customHeight="false" outlineLevel="0" collapsed="false">
      <c r="A5" s="0" t="s">
        <v>3</v>
      </c>
      <c r="B5" s="2" t="n">
        <v>420000000</v>
      </c>
    </row>
    <row r="6" customFormat="false" ht="15" hidden="false" customHeight="false" outlineLevel="0" collapsed="false">
      <c r="A6" s="0" t="s">
        <v>4</v>
      </c>
      <c r="B6" s="1" t="n">
        <v>8</v>
      </c>
    </row>
    <row r="7" customFormat="false" ht="15" hidden="false" customHeight="false" outlineLevel="0" collapsed="false">
      <c r="A7" s="0" t="s">
        <v>5</v>
      </c>
      <c r="B7" s="3" t="n">
        <v>0.15</v>
      </c>
    </row>
    <row r="8" customFormat="false" ht="15" hidden="false" customHeight="false" outlineLevel="0" collapsed="false">
      <c r="A8" s="0" t="s">
        <v>6</v>
      </c>
      <c r="B8" s="3" t="n">
        <v>0.025</v>
      </c>
    </row>
    <row r="9" customFormat="false" ht="15" hidden="false" customHeight="false" outlineLevel="0" collapsed="false">
      <c r="A9" s="0" t="s">
        <v>7</v>
      </c>
      <c r="B9" s="3" t="n">
        <v>0.6</v>
      </c>
    </row>
    <row r="10" customFormat="false" ht="15" hidden="false" customHeight="false" outlineLevel="0" collapsed="false">
      <c r="A10" s="0" t="s">
        <v>8</v>
      </c>
      <c r="B10" s="3" t="n">
        <v>0.07</v>
      </c>
    </row>
    <row r="11" customFormat="false" ht="15" hidden="false" customHeight="false" outlineLevel="0" collapsed="false">
      <c r="A11" s="0" t="s">
        <v>9</v>
      </c>
      <c r="B11" s="3" t="n">
        <v>0.7</v>
      </c>
    </row>
    <row r="12" customFormat="false" ht="15" hidden="false" customHeight="false" outlineLevel="0" collapsed="false">
      <c r="A12" s="0" t="s">
        <v>10</v>
      </c>
      <c r="B12" s="3" t="n">
        <v>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</row>
    <row r="2" customFormat="false" ht="15" hidden="false" customHeight="false" outlineLevel="0" collapsed="false">
      <c r="A2" s="0" t="s">
        <v>16</v>
      </c>
      <c r="B2" s="2" t="n">
        <v>3200</v>
      </c>
      <c r="C2" s="2" t="n">
        <v>2700</v>
      </c>
      <c r="D2" s="2" t="n">
        <v>3500</v>
      </c>
      <c r="E2" s="2" t="n">
        <f aca="false">CHOOSE(Inputs!$B$3,B2,C2,D2)</f>
        <v>3200</v>
      </c>
    </row>
    <row r="3" customFormat="false" ht="15" hidden="false" customHeight="false" outlineLevel="0" collapsed="false">
      <c r="A3" s="0" t="s">
        <v>17</v>
      </c>
      <c r="B3" s="2" t="n">
        <v>8800</v>
      </c>
      <c r="C3" s="2" t="n">
        <v>7600</v>
      </c>
      <c r="D3" s="2" t="n">
        <v>9500</v>
      </c>
      <c r="E3" s="2" t="n">
        <f aca="false">CHOOSE(Inputs!$B$3,B3,C3,D3)</f>
        <v>8800</v>
      </c>
    </row>
    <row r="4" customFormat="false" ht="15" hidden="false" customHeight="false" outlineLevel="0" collapsed="false">
      <c r="A4" s="0" t="s">
        <v>18</v>
      </c>
      <c r="B4" s="2" t="n">
        <v>950</v>
      </c>
      <c r="C4" s="2" t="n">
        <v>820</v>
      </c>
      <c r="D4" s="2" t="n">
        <v>1020</v>
      </c>
      <c r="E4" s="2" t="n">
        <f aca="false">CHOOSE(Inputs!$B$3,B4,C4,D4)</f>
        <v>950</v>
      </c>
    </row>
    <row r="5" customFormat="false" ht="15" hidden="false" customHeight="false" outlineLevel="0" collapsed="false">
      <c r="A5" s="0" t="s">
        <v>19</v>
      </c>
      <c r="B5" s="2" t="n">
        <v>900</v>
      </c>
      <c r="C5" s="2" t="n">
        <v>760</v>
      </c>
      <c r="D5" s="2" t="n">
        <v>980</v>
      </c>
      <c r="E5" s="2" t="n">
        <f aca="false">CHOOSE(Inputs!$B$3,B5,C5,D5)</f>
        <v>900</v>
      </c>
    </row>
    <row r="6" customFormat="false" ht="15" hidden="false" customHeight="false" outlineLevel="0" collapsed="false">
      <c r="A6" s="0" t="s">
        <v>20</v>
      </c>
      <c r="B6" s="2" t="n">
        <v>1700</v>
      </c>
      <c r="C6" s="2" t="n">
        <v>1450</v>
      </c>
      <c r="D6" s="2" t="n">
        <v>1850</v>
      </c>
      <c r="E6" s="2" t="n">
        <f aca="false">CHOOSE(Inputs!$B$3,B6,C6,D6)</f>
        <v>1700</v>
      </c>
    </row>
    <row r="7" customFormat="false" ht="15" hidden="false" customHeight="false" outlineLevel="0" collapsed="false">
      <c r="A7" s="0" t="s">
        <v>21</v>
      </c>
      <c r="B7" s="2" t="n">
        <v>1150</v>
      </c>
      <c r="C7" s="2" t="n">
        <v>980</v>
      </c>
      <c r="D7" s="2" t="n">
        <v>1250</v>
      </c>
      <c r="E7" s="2" t="n">
        <f aca="false">CHOOSE(Inputs!$B$3,B7,C7,D7)</f>
        <v>1150</v>
      </c>
    </row>
    <row r="8" customFormat="false" ht="15" hidden="false" customHeight="false" outlineLevel="0" collapsed="false">
      <c r="A8" s="0" t="s">
        <v>22</v>
      </c>
      <c r="B8" s="2" t="n">
        <v>4300</v>
      </c>
      <c r="C8" s="2" t="n">
        <v>4800</v>
      </c>
      <c r="D8" s="2" t="n">
        <v>4150</v>
      </c>
      <c r="E8" s="2" t="n">
        <f aca="false">CHOOSE(Inputs!$B$3,B8,C8,D8)</f>
        <v>4300</v>
      </c>
    </row>
    <row r="9" customFormat="false" ht="15" hidden="false" customHeight="false" outlineLevel="0" collapsed="false">
      <c r="A9" s="0" t="s">
        <v>23</v>
      </c>
      <c r="B9" s="3" t="n">
        <v>0.075</v>
      </c>
      <c r="C9" s="3" t="n">
        <v>0.0875</v>
      </c>
      <c r="D9" s="3" t="n">
        <v>0.07</v>
      </c>
      <c r="E9" s="3" t="n">
        <f aca="false">CHOOSE(Inputs!$B$3,B9,C9,D9)</f>
        <v>0.075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</row>
    <row r="2" customFormat="false" ht="15" hidden="false" customHeight="false" outlineLevel="0" collapsed="false">
      <c r="A2" s="0" t="s">
        <v>31</v>
      </c>
      <c r="B2" s="0" t="s">
        <v>32</v>
      </c>
      <c r="C2" s="0" t="n">
        <v>220000</v>
      </c>
      <c r="D2" s="0" t="n">
        <v>1</v>
      </c>
      <c r="E2" s="0" t="n">
        <v>6</v>
      </c>
      <c r="F2" s="0" t="n">
        <v>8</v>
      </c>
      <c r="G2" s="0" t="n">
        <v>0</v>
      </c>
    </row>
    <row r="3" customFormat="false" ht="15" hidden="false" customHeight="false" outlineLevel="0" collapsed="false">
      <c r="A3" s="0" t="s">
        <v>33</v>
      </c>
      <c r="B3" s="0" t="s">
        <v>32</v>
      </c>
      <c r="C3" s="0" t="n">
        <v>130000</v>
      </c>
      <c r="D3" s="0" t="n">
        <v>3</v>
      </c>
      <c r="E3" s="0" t="n">
        <v>8</v>
      </c>
      <c r="F3" s="0" t="n">
        <v>8</v>
      </c>
      <c r="G3" s="0" t="n">
        <v>0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n">
        <v>90000</v>
      </c>
      <c r="D4" s="0" t="n">
        <v>6</v>
      </c>
      <c r="E4" s="0" t="n">
        <v>9</v>
      </c>
      <c r="F4" s="0" t="n">
        <v>0</v>
      </c>
      <c r="G4" s="0" t="n">
        <v>0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n">
        <v>40000</v>
      </c>
      <c r="D5" s="0" t="n">
        <v>9</v>
      </c>
      <c r="E5" s="0" t="n">
        <v>10</v>
      </c>
      <c r="F5" s="0" t="n">
        <v>0</v>
      </c>
      <c r="G5" s="0" t="n">
        <v>1</v>
      </c>
    </row>
    <row r="6" customFormat="false" ht="15" hidden="false" customHeight="false" outlineLevel="0" collapsed="false">
      <c r="A6" s="0" t="s">
        <v>38</v>
      </c>
      <c r="B6" s="0" t="s">
        <v>35</v>
      </c>
      <c r="C6" s="0" t="n">
        <v>35000</v>
      </c>
      <c r="D6" s="0" t="n">
        <v>8</v>
      </c>
      <c r="E6" s="0" t="n">
        <v>8</v>
      </c>
      <c r="F6" s="0" t="n">
        <v>0</v>
      </c>
      <c r="G6" s="0" t="n">
        <v>1</v>
      </c>
    </row>
    <row r="7" customFormat="false" ht="15" hidden="false" customHeight="false" outlineLevel="0" collapsed="false">
      <c r="A7" s="0" t="s">
        <v>39</v>
      </c>
      <c r="B7" s="0" t="s">
        <v>35</v>
      </c>
      <c r="C7" s="0" t="n">
        <v>60000</v>
      </c>
      <c r="D7" s="0" t="n">
        <v>12</v>
      </c>
      <c r="E7" s="0" t="n">
        <v>10</v>
      </c>
      <c r="F7" s="0" t="n">
        <v>0</v>
      </c>
      <c r="G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X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40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</row>
    <row r="4" customFormat="false" ht="15" hidden="false" customHeight="false" outlineLevel="0" collapsed="false">
      <c r="A4" s="0" t="s">
        <v>41</v>
      </c>
      <c r="B4" s="0" t="n">
        <f aca="false">IF(AND(B$3&gt;=Phases!$D$2,B$3&lt;Phases!$D$2+Phases!$E$2),Phases!$C$2*Scenarios!$E$8*IF("sale"="hotel",1.6,IF("Plots"="Plots",0.25,1))/Phases!$E$2,0)</f>
        <v>0</v>
      </c>
      <c r="C4" s="0" t="n">
        <f aca="false">IF(AND(C$3&gt;=Phases!$D$2,C$3&lt;Phases!$D$2+Phases!$E$2),Phases!$C$2*Scenarios!$E$8*IF("sale"="hotel",1.6,IF("Plots"="Plots",0.25,1))/Phases!$E$2,0)</f>
        <v>39416666.6666667</v>
      </c>
      <c r="D4" s="0" t="n">
        <f aca="false">IF(AND(D$3&gt;=Phases!$D$2,D$3&lt;Phases!$D$2+Phases!$E$2),Phases!$C$2*Scenarios!$E$8*IF("sale"="hotel",1.6,IF("Plots"="Plots",0.25,1))/Phases!$E$2,0)</f>
        <v>39416666.6666667</v>
      </c>
      <c r="E4" s="0" t="n">
        <f aca="false">IF(AND(E$3&gt;=Phases!$D$2,E$3&lt;Phases!$D$2+Phases!$E$2),Phases!$C$2*Scenarios!$E$8*IF("sale"="hotel",1.6,IF("Plots"="Plots",0.25,1))/Phases!$E$2,0)</f>
        <v>39416666.6666667</v>
      </c>
      <c r="F4" s="0" t="n">
        <f aca="false">IF(AND(F$3&gt;=Phases!$D$2,F$3&lt;Phases!$D$2+Phases!$E$2),Phases!$C$2*Scenarios!$E$8*IF("sale"="hotel",1.6,IF("Plots"="Plots",0.25,1))/Phases!$E$2,0)</f>
        <v>39416666.6666667</v>
      </c>
      <c r="G4" s="0" t="n">
        <f aca="false">IF(AND(G$3&gt;=Phases!$D$2,G$3&lt;Phases!$D$2+Phases!$E$2),Phases!$C$2*Scenarios!$E$8*IF("sale"="hotel",1.6,IF("Plots"="Plots",0.25,1))/Phases!$E$2,0)</f>
        <v>39416666.6666667</v>
      </c>
      <c r="H4" s="0" t="n">
        <f aca="false">IF(AND(H$3&gt;=Phases!$D$2,H$3&lt;Phases!$D$2+Phases!$E$2),Phases!$C$2*Scenarios!$E$8*IF("sale"="hotel",1.6,IF("Plots"="Plots",0.25,1))/Phases!$E$2,0)</f>
        <v>39416666.6666667</v>
      </c>
      <c r="I4" s="0" t="n">
        <f aca="false">IF(AND(I$3&gt;=Phases!$D$2,I$3&lt;Phases!$D$2+Phases!$E$2),Phases!$C$2*Scenarios!$E$8*IF("sale"="hotel",1.6,IF("Plots"="Plots",0.25,1))/Phases!$E$2,0)</f>
        <v>0</v>
      </c>
      <c r="J4" s="0" t="n">
        <f aca="false">IF(AND(J$3&gt;=Phases!$D$2,J$3&lt;Phases!$D$2+Phases!$E$2),Phases!$C$2*Scenarios!$E$8*IF("sale"="hotel",1.6,IF("Plots"="Plots",0.25,1))/Phases!$E$2,0)</f>
        <v>0</v>
      </c>
      <c r="K4" s="0" t="n">
        <f aca="false">IF(AND(K$3&gt;=Phases!$D$2,K$3&lt;Phases!$D$2+Phases!$E$2),Phases!$C$2*Scenarios!$E$8*IF("sale"="hotel",1.6,IF("Plots"="Plots",0.25,1))/Phases!$E$2,0)</f>
        <v>0</v>
      </c>
      <c r="L4" s="0" t="n">
        <f aca="false">IF(AND(L$3&gt;=Phases!$D$2,L$3&lt;Phases!$D$2+Phases!$E$2),Phases!$C$2*Scenarios!$E$8*IF("sale"="hotel",1.6,IF("Plots"="Plots",0.25,1))/Phases!$E$2,0)</f>
        <v>0</v>
      </c>
      <c r="M4" s="0" t="n">
        <f aca="false">IF(AND(M$3&gt;=Phases!$D$2,M$3&lt;Phases!$D$2+Phases!$E$2),Phases!$C$2*Scenarios!$E$8*IF("sale"="hotel",1.6,IF("Plots"="Plots",0.25,1))/Phases!$E$2,0)</f>
        <v>0</v>
      </c>
      <c r="N4" s="0" t="n">
        <f aca="false">IF(AND(N$3&gt;=Phases!$D$2,N$3&lt;Phases!$D$2+Phases!$E$2),Phases!$C$2*Scenarios!$E$8*IF("sale"="hotel",1.6,IF("Plots"="Plots",0.25,1))/Phases!$E$2,0)</f>
        <v>0</v>
      </c>
      <c r="O4" s="0" t="n">
        <f aca="false">IF(AND(O$3&gt;=Phases!$D$2,O$3&lt;Phases!$D$2+Phases!$E$2),Phases!$C$2*Scenarios!$E$8*IF("sale"="hotel",1.6,IF("Plots"="Plots",0.25,1))/Phases!$E$2,0)</f>
        <v>0</v>
      </c>
      <c r="P4" s="0" t="n">
        <f aca="false">IF(AND(P$3&gt;=Phases!$D$2,P$3&lt;Phases!$D$2+Phases!$E$2),Phases!$C$2*Scenarios!$E$8*IF("sale"="hotel",1.6,IF("Plots"="Plots",0.25,1))/Phases!$E$2,0)</f>
        <v>0</v>
      </c>
      <c r="Q4" s="0" t="n">
        <f aca="false">IF(AND(Q$3&gt;=Phases!$D$2,Q$3&lt;Phases!$D$2+Phases!$E$2),Phases!$C$2*Scenarios!$E$8*IF("sale"="hotel",1.6,IF("Plots"="Plots",0.25,1))/Phases!$E$2,0)</f>
        <v>0</v>
      </c>
      <c r="R4" s="0" t="n">
        <f aca="false">IF(AND(R$3&gt;=Phases!$D$2,R$3&lt;Phases!$D$2+Phases!$E$2),Phases!$C$2*Scenarios!$E$8*IF("sale"="hotel",1.6,IF("Plots"="Plots",0.25,1))/Phases!$E$2,0)</f>
        <v>0</v>
      </c>
      <c r="S4" s="0" t="n">
        <f aca="false">IF(AND(S$3&gt;=Phases!$D$2,S$3&lt;Phases!$D$2+Phases!$E$2),Phases!$C$2*Scenarios!$E$8*IF("sale"="hotel",1.6,IF("Plots"="Plots",0.25,1))/Phases!$E$2,0)</f>
        <v>0</v>
      </c>
      <c r="T4" s="0" t="n">
        <f aca="false">IF(AND(T$3&gt;=Phases!$D$2,T$3&lt;Phases!$D$2+Phases!$E$2),Phases!$C$2*Scenarios!$E$8*IF("sale"="hotel",1.6,IF("Plots"="Plots",0.25,1))/Phases!$E$2,0)</f>
        <v>0</v>
      </c>
      <c r="U4" s="0" t="n">
        <f aca="false">IF(AND(U$3&gt;=Phases!$D$2,U$3&lt;Phases!$D$2+Phases!$E$2),Phases!$C$2*Scenarios!$E$8*IF("sale"="hotel",1.6,IF("Plots"="Plots",0.25,1))/Phases!$E$2,0)</f>
        <v>0</v>
      </c>
      <c r="V4" s="0" t="n">
        <f aca="false">IF(AND(V$3&gt;=Phases!$D$2,V$3&lt;Phases!$D$2+Phases!$E$2),Phases!$C$2*Scenarios!$E$8*IF("sale"="hotel",1.6,IF("Plots"="Plots",0.25,1))/Phases!$E$2,0)</f>
        <v>0</v>
      </c>
      <c r="W4" s="0" t="n">
        <f aca="false">IF(AND(W$3&gt;=Phases!$D$2,W$3&lt;Phases!$D$2+Phases!$E$2),Phases!$C$2*Scenarios!$E$8*IF("sale"="hotel",1.6,IF("Plots"="Plots",0.25,1))/Phases!$E$2,0)</f>
        <v>0</v>
      </c>
      <c r="X4" s="0" t="n">
        <f aca="false">IF(AND(X$3&gt;=Phases!$D$2,X$3&lt;Phases!$D$2+Phases!$E$2),Phases!$C$2*Scenarios!$E$8*IF("sale"="hotel",1.6,IF("Plots"="Plots",0.25,1))/Phases!$E$2,0)</f>
        <v>0</v>
      </c>
      <c r="Y4" s="0" t="n">
        <f aca="false">IF(AND(Y$3&gt;=Phases!$D$2,Y$3&lt;Phases!$D$2+Phases!$E$2),Phases!$C$2*Scenarios!$E$8*IF("sale"="hotel",1.6,IF("Plots"="Plots",0.25,1))/Phases!$E$2,0)</f>
        <v>0</v>
      </c>
      <c r="Z4" s="0" t="n">
        <f aca="false">IF(AND(Z$3&gt;=Phases!$D$2,Z$3&lt;Phases!$D$2+Phases!$E$2),Phases!$C$2*Scenarios!$E$8*IF("sale"="hotel",1.6,IF("Plots"="Plots",0.25,1))/Phases!$E$2,0)</f>
        <v>0</v>
      </c>
      <c r="AA4" s="0" t="n">
        <f aca="false">IF(AND(AA$3&gt;=Phases!$D$2,AA$3&lt;Phases!$D$2+Phases!$E$2),Phases!$C$2*Scenarios!$E$8*IF("sale"="hotel",1.6,IF("Plots"="Plots",0.25,1))/Phases!$E$2,0)</f>
        <v>0</v>
      </c>
      <c r="AB4" s="0" t="n">
        <f aca="false">IF(AND(AB$3&gt;=Phases!$D$2,AB$3&lt;Phases!$D$2+Phases!$E$2),Phases!$C$2*Scenarios!$E$8*IF("sale"="hotel",1.6,IF("Plots"="Plots",0.25,1))/Phases!$E$2,0)</f>
        <v>0</v>
      </c>
      <c r="AC4" s="0" t="n">
        <f aca="false">IF(AND(AC$3&gt;=Phases!$D$2,AC$3&lt;Phases!$D$2+Phases!$E$2),Phases!$C$2*Scenarios!$E$8*IF("sale"="hotel",1.6,IF("Plots"="Plots",0.25,1))/Phases!$E$2,0)</f>
        <v>0</v>
      </c>
      <c r="AD4" s="0" t="n">
        <f aca="false">IF(AND(AD$3&gt;=Phases!$D$2,AD$3&lt;Phases!$D$2+Phases!$E$2),Phases!$C$2*Scenarios!$E$8*IF("sale"="hotel",1.6,IF("Plots"="Plots",0.25,1))/Phases!$E$2,0)</f>
        <v>0</v>
      </c>
      <c r="AE4" s="0" t="n">
        <f aca="false">IF(AND(AE$3&gt;=Phases!$D$2,AE$3&lt;Phases!$D$2+Phases!$E$2),Phases!$C$2*Scenarios!$E$8*IF("sale"="hotel",1.6,IF("Plots"="Plots",0.25,1))/Phases!$E$2,0)</f>
        <v>0</v>
      </c>
      <c r="AF4" s="0" t="n">
        <f aca="false">IF(AND(AF$3&gt;=Phases!$D$2,AF$3&lt;Phases!$D$2+Phases!$E$2),Phases!$C$2*Scenarios!$E$8*IF("sale"="hotel",1.6,IF("Plots"="Plots",0.25,1))/Phases!$E$2,0)</f>
        <v>0</v>
      </c>
      <c r="AG4" s="0" t="n">
        <f aca="false">IF(AND(AG$3&gt;=Phases!$D$2,AG$3&lt;Phases!$D$2+Phases!$E$2),Phases!$C$2*Scenarios!$E$8*IF("sale"="hotel",1.6,IF("Plots"="Plots",0.25,1))/Phases!$E$2,0)</f>
        <v>0</v>
      </c>
      <c r="AH4" s="0" t="n">
        <f aca="false">IF(AND(AH$3&gt;=Phases!$D$2,AH$3&lt;Phases!$D$2+Phases!$E$2),Phases!$C$2*Scenarios!$E$8*IF("sale"="hotel",1.6,IF("Plots"="Plots",0.25,1))/Phases!$E$2,0)</f>
        <v>0</v>
      </c>
      <c r="AI4" s="0" t="n">
        <f aca="false">IF(AND(AI$3&gt;=Phases!$D$2,AI$3&lt;Phases!$D$2+Phases!$E$2),Phases!$C$2*Scenarios!$E$8*IF("sale"="hotel",1.6,IF("Plots"="Plots",0.25,1))/Phases!$E$2,0)</f>
        <v>0</v>
      </c>
      <c r="AJ4" s="0" t="n">
        <f aca="false">IF(AND(AJ$3&gt;=Phases!$D$2,AJ$3&lt;Phases!$D$2+Phases!$E$2),Phases!$C$2*Scenarios!$E$8*IF("sale"="hotel",1.6,IF("Plots"="Plots",0.25,1))/Phases!$E$2,0)</f>
        <v>0</v>
      </c>
      <c r="AK4" s="0" t="n">
        <f aca="false">IF(AND(AK$3&gt;=Phases!$D$2,AK$3&lt;Phases!$D$2+Phases!$E$2),Phases!$C$2*Scenarios!$E$8*IF("sale"="hotel",1.6,IF("Plots"="Plots",0.25,1))/Phases!$E$2,0)</f>
        <v>0</v>
      </c>
      <c r="AL4" s="0" t="n">
        <f aca="false">IF(AND(AL$3&gt;=Phases!$D$2,AL$3&lt;Phases!$D$2+Phases!$E$2),Phases!$C$2*Scenarios!$E$8*IF("sale"="hotel",1.6,IF("Plots"="Plots",0.25,1))/Phases!$E$2,0)</f>
        <v>0</v>
      </c>
      <c r="AM4" s="0" t="n">
        <f aca="false">IF(AND(AM$3&gt;=Phases!$D$2,AM$3&lt;Phases!$D$2+Phases!$E$2),Phases!$C$2*Scenarios!$E$8*IF("sale"="hotel",1.6,IF("Plots"="Plots",0.25,1))/Phases!$E$2,0)</f>
        <v>0</v>
      </c>
      <c r="AN4" s="0" t="n">
        <f aca="false">IF(AND(AN$3&gt;=Phases!$D$2,AN$3&lt;Phases!$D$2+Phases!$E$2),Phases!$C$2*Scenarios!$E$8*IF("sale"="hotel",1.6,IF("Plots"="Plots",0.25,1))/Phases!$E$2,0)</f>
        <v>0</v>
      </c>
      <c r="AO4" s="0" t="n">
        <f aca="false">IF(AND(AO$3&gt;=Phases!$D$2,AO$3&lt;Phases!$D$2+Phases!$E$2),Phases!$C$2*Scenarios!$E$8*IF("sale"="hotel",1.6,IF("Plots"="Plots",0.25,1))/Phases!$E$2,0)</f>
        <v>0</v>
      </c>
      <c r="AP4" s="0" t="n">
        <f aca="false">IF(AND(AP$3&gt;=Phases!$D$2,AP$3&lt;Phases!$D$2+Phases!$E$2),Phases!$C$2*Scenarios!$E$8*IF("sale"="hotel",1.6,IF("Plots"="Plots",0.25,1))/Phases!$E$2,0)</f>
        <v>0</v>
      </c>
      <c r="AQ4" s="0" t="n">
        <f aca="false">IF(AND(AQ$3&gt;=Phases!$D$2,AQ$3&lt;Phases!$D$2+Phases!$E$2),Phases!$C$2*Scenarios!$E$8*IF("sale"="hotel",1.6,IF("Plots"="Plots",0.25,1))/Phases!$E$2,0)</f>
        <v>0</v>
      </c>
      <c r="AR4" s="0" t="n">
        <f aca="false">IF(AND(AR$3&gt;=Phases!$D$2,AR$3&lt;Phases!$D$2+Phases!$E$2),Phases!$C$2*Scenarios!$E$8*IF("sale"="hotel",1.6,IF("Plots"="Plots",0.25,1))/Phases!$E$2,0)</f>
        <v>0</v>
      </c>
      <c r="AS4" s="0" t="n">
        <f aca="false">IF(AND(AS$3&gt;=Phases!$D$2,AS$3&lt;Phases!$D$2+Phases!$E$2),Phases!$C$2*Scenarios!$E$8*IF("sale"="hotel",1.6,IF("Plots"="Plots",0.25,1))/Phases!$E$2,0)</f>
        <v>0</v>
      </c>
      <c r="AT4" s="0" t="n">
        <f aca="false">IF(AND(AT$3&gt;=Phases!$D$2,AT$3&lt;Phases!$D$2+Phases!$E$2),Phases!$C$2*Scenarios!$E$8*IF("sale"="hotel",1.6,IF("Plots"="Plots",0.25,1))/Phases!$E$2,0)</f>
        <v>0</v>
      </c>
      <c r="AU4" s="0" t="n">
        <f aca="false">IF(AND(AU$3&gt;=Phases!$D$2,AU$3&lt;Phases!$D$2+Phases!$E$2),Phases!$C$2*Scenarios!$E$8*IF("sale"="hotel",1.6,IF("Plots"="Plots",0.25,1))/Phases!$E$2,0)</f>
        <v>0</v>
      </c>
      <c r="AV4" s="0" t="n">
        <f aca="false">IF(AND(AV$3&gt;=Phases!$D$2,AV$3&lt;Phases!$D$2+Phases!$E$2),Phases!$C$2*Scenarios!$E$8*IF("sale"="hotel",1.6,IF("Plots"="Plots",0.25,1))/Phases!$E$2,0)</f>
        <v>0</v>
      </c>
      <c r="AW4" s="0" t="n">
        <f aca="false">IF(AND(AW$3&gt;=Phases!$D$2,AW$3&lt;Phases!$D$2+Phases!$E$2),Phases!$C$2*Scenarios!$E$8*IF("sale"="hotel",1.6,IF("Plots"="Plots",0.25,1))/Phases!$E$2,0)</f>
        <v>0</v>
      </c>
      <c r="AX4" s="0" t="n">
        <f aca="false">IF(AND(AX$3&gt;=Phases!$D$2,AX$3&lt;Phases!$D$2+Phases!$E$2),Phases!$C$2*Scenarios!$E$8*IF("sale"="hotel",1.6,IF("Plots"="Plots",0.25,1))/Phases!$E$2,0)</f>
        <v>0</v>
      </c>
    </row>
    <row r="5" customFormat="false" ht="15" hidden="false" customHeight="false" outlineLevel="0" collapsed="false">
      <c r="A5" s="0" t="s">
        <v>42</v>
      </c>
      <c r="B5" s="0" t="n">
        <f aca="false">IF(AND(B$3&gt;=Phases!$D$2,B$3&lt;Phases!$D$2+Phases!$F$2),Phases!$C$2*Scenarios!$E$2/Phases!$F$2,0)*(1+Inputs!$B$7*Phases!$G$2)</f>
        <v>0</v>
      </c>
      <c r="C5" s="0" t="n">
        <f aca="false">IF(AND(C$3&gt;=Phases!$D$2,C$3&lt;Phases!$D$2+Phases!$F$2),Phases!$C$2*Scenarios!$E$2/Phases!$F$2,0)*(1+Inputs!$B$7*Phases!$G$2)</f>
        <v>88000000</v>
      </c>
      <c r="D5" s="0" t="n">
        <f aca="false">IF(AND(D$3&gt;=Phases!$D$2,D$3&lt;Phases!$D$2+Phases!$F$2),Phases!$C$2*Scenarios!$E$2/Phases!$F$2,0)*(1+Inputs!$B$7*Phases!$G$2)</f>
        <v>88000000</v>
      </c>
      <c r="E5" s="0" t="n">
        <f aca="false">IF(AND(E$3&gt;=Phases!$D$2,E$3&lt;Phases!$D$2+Phases!$F$2),Phases!$C$2*Scenarios!$E$2/Phases!$F$2,0)*(1+Inputs!$B$7*Phases!$G$2)</f>
        <v>88000000</v>
      </c>
      <c r="F5" s="0" t="n">
        <f aca="false">IF(AND(F$3&gt;=Phases!$D$2,F$3&lt;Phases!$D$2+Phases!$F$2),Phases!$C$2*Scenarios!$E$2/Phases!$F$2,0)*(1+Inputs!$B$7*Phases!$G$2)</f>
        <v>88000000</v>
      </c>
      <c r="G5" s="0" t="n">
        <f aca="false">IF(AND(G$3&gt;=Phases!$D$2,G$3&lt;Phases!$D$2+Phases!$F$2),Phases!$C$2*Scenarios!$E$2/Phases!$F$2,0)*(1+Inputs!$B$7*Phases!$G$2)</f>
        <v>88000000</v>
      </c>
      <c r="H5" s="0" t="n">
        <f aca="false">IF(AND(H$3&gt;=Phases!$D$2,H$3&lt;Phases!$D$2+Phases!$F$2),Phases!$C$2*Scenarios!$E$2/Phases!$F$2,0)*(1+Inputs!$B$7*Phases!$G$2)</f>
        <v>88000000</v>
      </c>
      <c r="I5" s="0" t="n">
        <f aca="false">IF(AND(I$3&gt;=Phases!$D$2,I$3&lt;Phases!$D$2+Phases!$F$2),Phases!$C$2*Scenarios!$E$2/Phases!$F$2,0)*(1+Inputs!$B$7*Phases!$G$2)</f>
        <v>88000000</v>
      </c>
      <c r="J5" s="0" t="n">
        <f aca="false">IF(AND(J$3&gt;=Phases!$D$2,J$3&lt;Phases!$D$2+Phases!$F$2),Phases!$C$2*Scenarios!$E$2/Phases!$F$2,0)*(1+Inputs!$B$7*Phases!$G$2)</f>
        <v>88000000</v>
      </c>
      <c r="K5" s="0" t="n">
        <f aca="false">IF(AND(K$3&gt;=Phases!$D$2,K$3&lt;Phases!$D$2+Phases!$F$2),Phases!$C$2*Scenarios!$E$2/Phases!$F$2,0)*(1+Inputs!$B$7*Phases!$G$2)</f>
        <v>0</v>
      </c>
      <c r="L5" s="0" t="n">
        <f aca="false">IF(AND(L$3&gt;=Phases!$D$2,L$3&lt;Phases!$D$2+Phases!$F$2),Phases!$C$2*Scenarios!$E$2/Phases!$F$2,0)*(1+Inputs!$B$7*Phases!$G$2)</f>
        <v>0</v>
      </c>
      <c r="M5" s="0" t="n">
        <f aca="false">IF(AND(M$3&gt;=Phases!$D$2,M$3&lt;Phases!$D$2+Phases!$F$2),Phases!$C$2*Scenarios!$E$2/Phases!$F$2,0)*(1+Inputs!$B$7*Phases!$G$2)</f>
        <v>0</v>
      </c>
      <c r="N5" s="0" t="n">
        <f aca="false">IF(AND(N$3&gt;=Phases!$D$2,N$3&lt;Phases!$D$2+Phases!$F$2),Phases!$C$2*Scenarios!$E$2/Phases!$F$2,0)*(1+Inputs!$B$7*Phases!$G$2)</f>
        <v>0</v>
      </c>
      <c r="O5" s="0" t="n">
        <f aca="false">IF(AND(O$3&gt;=Phases!$D$2,O$3&lt;Phases!$D$2+Phases!$F$2),Phases!$C$2*Scenarios!$E$2/Phases!$F$2,0)*(1+Inputs!$B$7*Phases!$G$2)</f>
        <v>0</v>
      </c>
      <c r="P5" s="0" t="n">
        <f aca="false">IF(AND(P$3&gt;=Phases!$D$2,P$3&lt;Phases!$D$2+Phases!$F$2),Phases!$C$2*Scenarios!$E$2/Phases!$F$2,0)*(1+Inputs!$B$7*Phases!$G$2)</f>
        <v>0</v>
      </c>
      <c r="Q5" s="0" t="n">
        <f aca="false">IF(AND(Q$3&gt;=Phases!$D$2,Q$3&lt;Phases!$D$2+Phases!$F$2),Phases!$C$2*Scenarios!$E$2/Phases!$F$2,0)*(1+Inputs!$B$7*Phases!$G$2)</f>
        <v>0</v>
      </c>
      <c r="R5" s="0" t="n">
        <f aca="false">IF(AND(R$3&gt;=Phases!$D$2,R$3&lt;Phases!$D$2+Phases!$F$2),Phases!$C$2*Scenarios!$E$2/Phases!$F$2,0)*(1+Inputs!$B$7*Phases!$G$2)</f>
        <v>0</v>
      </c>
      <c r="S5" s="0" t="n">
        <f aca="false">IF(AND(S$3&gt;=Phases!$D$2,S$3&lt;Phases!$D$2+Phases!$F$2),Phases!$C$2*Scenarios!$E$2/Phases!$F$2,0)*(1+Inputs!$B$7*Phases!$G$2)</f>
        <v>0</v>
      </c>
      <c r="T5" s="0" t="n">
        <f aca="false">IF(AND(T$3&gt;=Phases!$D$2,T$3&lt;Phases!$D$2+Phases!$F$2),Phases!$C$2*Scenarios!$E$2/Phases!$F$2,0)*(1+Inputs!$B$7*Phases!$G$2)</f>
        <v>0</v>
      </c>
      <c r="U5" s="0" t="n">
        <f aca="false">IF(AND(U$3&gt;=Phases!$D$2,U$3&lt;Phases!$D$2+Phases!$F$2),Phases!$C$2*Scenarios!$E$2/Phases!$F$2,0)*(1+Inputs!$B$7*Phases!$G$2)</f>
        <v>0</v>
      </c>
      <c r="V5" s="0" t="n">
        <f aca="false">IF(AND(V$3&gt;=Phases!$D$2,V$3&lt;Phases!$D$2+Phases!$F$2),Phases!$C$2*Scenarios!$E$2/Phases!$F$2,0)*(1+Inputs!$B$7*Phases!$G$2)</f>
        <v>0</v>
      </c>
      <c r="W5" s="0" t="n">
        <f aca="false">IF(AND(W$3&gt;=Phases!$D$2,W$3&lt;Phases!$D$2+Phases!$F$2),Phases!$C$2*Scenarios!$E$2/Phases!$F$2,0)*(1+Inputs!$B$7*Phases!$G$2)</f>
        <v>0</v>
      </c>
      <c r="X5" s="0" t="n">
        <f aca="false">IF(AND(X$3&gt;=Phases!$D$2,X$3&lt;Phases!$D$2+Phases!$F$2),Phases!$C$2*Scenarios!$E$2/Phases!$F$2,0)*(1+Inputs!$B$7*Phases!$G$2)</f>
        <v>0</v>
      </c>
      <c r="Y5" s="0" t="n">
        <f aca="false">IF(AND(Y$3&gt;=Phases!$D$2,Y$3&lt;Phases!$D$2+Phases!$F$2),Phases!$C$2*Scenarios!$E$2/Phases!$F$2,0)*(1+Inputs!$B$7*Phases!$G$2)</f>
        <v>0</v>
      </c>
      <c r="Z5" s="0" t="n">
        <f aca="false">IF(AND(Z$3&gt;=Phases!$D$2,Z$3&lt;Phases!$D$2+Phases!$F$2),Phases!$C$2*Scenarios!$E$2/Phases!$F$2,0)*(1+Inputs!$B$7*Phases!$G$2)</f>
        <v>0</v>
      </c>
      <c r="AA5" s="0" t="n">
        <f aca="false">IF(AND(AA$3&gt;=Phases!$D$2,AA$3&lt;Phases!$D$2+Phases!$F$2),Phases!$C$2*Scenarios!$E$2/Phases!$F$2,0)*(1+Inputs!$B$7*Phases!$G$2)</f>
        <v>0</v>
      </c>
      <c r="AB5" s="0" t="n">
        <f aca="false">IF(AND(AB$3&gt;=Phases!$D$2,AB$3&lt;Phases!$D$2+Phases!$F$2),Phases!$C$2*Scenarios!$E$2/Phases!$F$2,0)*(1+Inputs!$B$7*Phases!$G$2)</f>
        <v>0</v>
      </c>
      <c r="AC5" s="0" t="n">
        <f aca="false">IF(AND(AC$3&gt;=Phases!$D$2,AC$3&lt;Phases!$D$2+Phases!$F$2),Phases!$C$2*Scenarios!$E$2/Phases!$F$2,0)*(1+Inputs!$B$7*Phases!$G$2)</f>
        <v>0</v>
      </c>
      <c r="AD5" s="0" t="n">
        <f aca="false">IF(AND(AD$3&gt;=Phases!$D$2,AD$3&lt;Phases!$D$2+Phases!$F$2),Phases!$C$2*Scenarios!$E$2/Phases!$F$2,0)*(1+Inputs!$B$7*Phases!$G$2)</f>
        <v>0</v>
      </c>
      <c r="AE5" s="0" t="n">
        <f aca="false">IF(AND(AE$3&gt;=Phases!$D$2,AE$3&lt;Phases!$D$2+Phases!$F$2),Phases!$C$2*Scenarios!$E$2/Phases!$F$2,0)*(1+Inputs!$B$7*Phases!$G$2)</f>
        <v>0</v>
      </c>
      <c r="AF5" s="0" t="n">
        <f aca="false">IF(AND(AF$3&gt;=Phases!$D$2,AF$3&lt;Phases!$D$2+Phases!$F$2),Phases!$C$2*Scenarios!$E$2/Phases!$F$2,0)*(1+Inputs!$B$7*Phases!$G$2)</f>
        <v>0</v>
      </c>
      <c r="AG5" s="0" t="n">
        <f aca="false">IF(AND(AG$3&gt;=Phases!$D$2,AG$3&lt;Phases!$D$2+Phases!$F$2),Phases!$C$2*Scenarios!$E$2/Phases!$F$2,0)*(1+Inputs!$B$7*Phases!$G$2)</f>
        <v>0</v>
      </c>
      <c r="AH5" s="0" t="n">
        <f aca="false">IF(AND(AH$3&gt;=Phases!$D$2,AH$3&lt;Phases!$D$2+Phases!$F$2),Phases!$C$2*Scenarios!$E$2/Phases!$F$2,0)*(1+Inputs!$B$7*Phases!$G$2)</f>
        <v>0</v>
      </c>
      <c r="AI5" s="0" t="n">
        <f aca="false">IF(AND(AI$3&gt;=Phases!$D$2,AI$3&lt;Phases!$D$2+Phases!$F$2),Phases!$C$2*Scenarios!$E$2/Phases!$F$2,0)*(1+Inputs!$B$7*Phases!$G$2)</f>
        <v>0</v>
      </c>
      <c r="AJ5" s="0" t="n">
        <f aca="false">IF(AND(AJ$3&gt;=Phases!$D$2,AJ$3&lt;Phases!$D$2+Phases!$F$2),Phases!$C$2*Scenarios!$E$2/Phases!$F$2,0)*(1+Inputs!$B$7*Phases!$G$2)</f>
        <v>0</v>
      </c>
      <c r="AK5" s="0" t="n">
        <f aca="false">IF(AND(AK$3&gt;=Phases!$D$2,AK$3&lt;Phases!$D$2+Phases!$F$2),Phases!$C$2*Scenarios!$E$2/Phases!$F$2,0)*(1+Inputs!$B$7*Phases!$G$2)</f>
        <v>0</v>
      </c>
      <c r="AL5" s="0" t="n">
        <f aca="false">IF(AND(AL$3&gt;=Phases!$D$2,AL$3&lt;Phases!$D$2+Phases!$F$2),Phases!$C$2*Scenarios!$E$2/Phases!$F$2,0)*(1+Inputs!$B$7*Phases!$G$2)</f>
        <v>0</v>
      </c>
      <c r="AM5" s="0" t="n">
        <f aca="false">IF(AND(AM$3&gt;=Phases!$D$2,AM$3&lt;Phases!$D$2+Phases!$F$2),Phases!$C$2*Scenarios!$E$2/Phases!$F$2,0)*(1+Inputs!$B$7*Phases!$G$2)</f>
        <v>0</v>
      </c>
      <c r="AN5" s="0" t="n">
        <f aca="false">IF(AND(AN$3&gt;=Phases!$D$2,AN$3&lt;Phases!$D$2+Phases!$F$2),Phases!$C$2*Scenarios!$E$2/Phases!$F$2,0)*(1+Inputs!$B$7*Phases!$G$2)</f>
        <v>0</v>
      </c>
      <c r="AO5" s="0" t="n">
        <f aca="false">IF(AND(AO$3&gt;=Phases!$D$2,AO$3&lt;Phases!$D$2+Phases!$F$2),Phases!$C$2*Scenarios!$E$2/Phases!$F$2,0)*(1+Inputs!$B$7*Phases!$G$2)</f>
        <v>0</v>
      </c>
      <c r="AP5" s="0" t="n">
        <f aca="false">IF(AND(AP$3&gt;=Phases!$D$2,AP$3&lt;Phases!$D$2+Phases!$F$2),Phases!$C$2*Scenarios!$E$2/Phases!$F$2,0)*(1+Inputs!$B$7*Phases!$G$2)</f>
        <v>0</v>
      </c>
      <c r="AQ5" s="0" t="n">
        <f aca="false">IF(AND(AQ$3&gt;=Phases!$D$2,AQ$3&lt;Phases!$D$2+Phases!$F$2),Phases!$C$2*Scenarios!$E$2/Phases!$F$2,0)*(1+Inputs!$B$7*Phases!$G$2)</f>
        <v>0</v>
      </c>
      <c r="AR5" s="0" t="n">
        <f aca="false">IF(AND(AR$3&gt;=Phases!$D$2,AR$3&lt;Phases!$D$2+Phases!$F$2),Phases!$C$2*Scenarios!$E$2/Phases!$F$2,0)*(1+Inputs!$B$7*Phases!$G$2)</f>
        <v>0</v>
      </c>
      <c r="AS5" s="0" t="n">
        <f aca="false">IF(AND(AS$3&gt;=Phases!$D$2,AS$3&lt;Phases!$D$2+Phases!$F$2),Phases!$C$2*Scenarios!$E$2/Phases!$F$2,0)*(1+Inputs!$B$7*Phases!$G$2)</f>
        <v>0</v>
      </c>
      <c r="AT5" s="0" t="n">
        <f aca="false">IF(AND(AT$3&gt;=Phases!$D$2,AT$3&lt;Phases!$D$2+Phases!$F$2),Phases!$C$2*Scenarios!$E$2/Phases!$F$2,0)*(1+Inputs!$B$7*Phases!$G$2)</f>
        <v>0</v>
      </c>
      <c r="AU5" s="0" t="n">
        <f aca="false">IF(AND(AU$3&gt;=Phases!$D$2,AU$3&lt;Phases!$D$2+Phases!$F$2),Phases!$C$2*Scenarios!$E$2/Phases!$F$2,0)*(1+Inputs!$B$7*Phases!$G$2)</f>
        <v>0</v>
      </c>
      <c r="AV5" s="0" t="n">
        <f aca="false">IF(AND(AV$3&gt;=Phases!$D$2,AV$3&lt;Phases!$D$2+Phases!$F$2),Phases!$C$2*Scenarios!$E$2/Phases!$F$2,0)*(1+Inputs!$B$7*Phases!$G$2)</f>
        <v>0</v>
      </c>
      <c r="AW5" s="0" t="n">
        <f aca="false">IF(AND(AW$3&gt;=Phases!$D$2,AW$3&lt;Phases!$D$2+Phases!$F$2),Phases!$C$2*Scenarios!$E$2/Phases!$F$2,0)*(1+Inputs!$B$7*Phases!$G$2)</f>
        <v>0</v>
      </c>
      <c r="AX5" s="0" t="n">
        <f aca="false">IF(AND(AX$3&gt;=Phases!$D$2,AX$3&lt;Phases!$D$2+Phases!$F$2),Phases!$C$2*Scenarios!$E$2/Phases!$F$2,0)*(1+Inputs!$B$7*Phases!$G$2)</f>
        <v>0</v>
      </c>
    </row>
    <row r="6" customFormat="false" ht="15" hidden="false" customHeight="false" outlineLevel="0" collapsed="false">
      <c r="A6" s="0" t="s">
        <v>43</v>
      </c>
      <c r="B6" s="0" t="n">
        <f aca="false">B5*(1-Inputs!$B$11)</f>
        <v>0</v>
      </c>
      <c r="C6" s="0" t="n">
        <f aca="false">IF(C$3&lt;Phases!$D$2+Phases!$E$2-1,C5*(1-Inputs!$B$11)+Inputs!$B$11*SUM($B$5:C5)*MIN(1,MAX(0,(C$3-Phases!$D$2+1)/Phases!$E$2))-Inputs!$B$11*SUM($B$5:B5)*MIN(1,MAX(0,(C$3-Phases!$D$2)/Phases!$E$2)),SUM($B$5:C5)-SUM($B$6:B6)+IF(C$3&gt;=Phases!$D$2+Phases!$E$2-1,0,0))</f>
        <v>36666666.6666667</v>
      </c>
      <c r="D6" s="0" t="n">
        <f aca="false">IF(D$3&lt;Phases!$D$2+Phases!$E$2-1,D5*(1-Inputs!$B$11)+Inputs!$B$11*SUM($B$5:D5)*MIN(1,MAX(0,(D$3-Phases!$D$2+1)/Phases!$E$2))-Inputs!$B$11*SUM($B$5:C5)*MIN(1,MAX(0,(D$3-Phases!$D$2)/Phases!$E$2)),SUM($B$5:D5)-SUM($B$6:C6)+IF(D$3&gt;=Phases!$D$2+Phases!$E$2-1,0,0))</f>
        <v>57200000</v>
      </c>
      <c r="E6" s="0" t="n">
        <f aca="false">IF(E$3&lt;Phases!$D$2+Phases!$E$2-1,E5*(1-Inputs!$B$11)+Inputs!$B$11*SUM($B$5:E5)*MIN(1,MAX(0,(E$3-Phases!$D$2+1)/Phases!$E$2))-Inputs!$B$11*SUM($B$5:D5)*MIN(1,MAX(0,(E$3-Phases!$D$2)/Phases!$E$2)),SUM($B$5:E5)-SUM($B$6:D6)+IF(E$3&gt;=Phases!$D$2+Phases!$E$2-1,0,0))</f>
        <v>77733333.3333333</v>
      </c>
      <c r="F6" s="0" t="n">
        <f aca="false">IF(F$3&lt;Phases!$D$2+Phases!$E$2-1,F5*(1-Inputs!$B$11)+Inputs!$B$11*SUM($B$5:F5)*MIN(1,MAX(0,(F$3-Phases!$D$2+1)/Phases!$E$2))-Inputs!$B$11*SUM($B$5:E5)*MIN(1,MAX(0,(F$3-Phases!$D$2)/Phases!$E$2)),SUM($B$5:F5)-SUM($B$6:E6)+IF(F$3&gt;=Phases!$D$2+Phases!$E$2-1,0,0))</f>
        <v>98266666.6666666</v>
      </c>
      <c r="G6" s="0" t="n">
        <f aca="false">IF(G$3&lt;Phases!$D$2+Phases!$E$2-1,G5*(1-Inputs!$B$11)+Inputs!$B$11*SUM($B$5:G5)*MIN(1,MAX(0,(G$3-Phases!$D$2+1)/Phases!$E$2))-Inputs!$B$11*SUM($B$5:F5)*MIN(1,MAX(0,(G$3-Phases!$D$2)/Phases!$E$2)),SUM($B$5:G5)-SUM($B$6:F6)+IF(G$3&gt;=Phases!$D$2+Phases!$E$2-1,0,0))</f>
        <v>118800000</v>
      </c>
      <c r="H6" s="0" t="n">
        <f aca="false">IF(H$3&lt;Phases!$D$2+Phases!$E$2-1,H5*(1-Inputs!$B$11)+Inputs!$B$11*SUM($B$5:H5)*MIN(1,MAX(0,(H$3-Phases!$D$2+1)/Phases!$E$2))-Inputs!$B$11*SUM($B$5:G5)*MIN(1,MAX(0,(H$3-Phases!$D$2)/Phases!$E$2)),SUM($B$5:H5)-SUM($B$6:G6)+IF(H$3&gt;=Phases!$D$2+Phases!$E$2-1,0,0))</f>
        <v>139333333.333333</v>
      </c>
      <c r="I6" s="0" t="n">
        <f aca="false">IF(I$3&lt;Phases!$D$2+Phases!$E$2-1,I5*(1-Inputs!$B$11)+Inputs!$B$11*SUM($B$5:I5)*MIN(1,MAX(0,(I$3-Phases!$D$2+1)/Phases!$E$2))-Inputs!$B$11*SUM($B$5:H5)*MIN(1,MAX(0,(I$3-Phases!$D$2)/Phases!$E$2)),SUM($B$5:I5)-SUM($B$6:H6)+IF(I$3&gt;=Phases!$D$2+Phases!$E$2-1,0,0))</f>
        <v>88000000</v>
      </c>
      <c r="J6" s="0" t="n">
        <f aca="false">IF(J$3&lt;Phases!$D$2+Phases!$E$2-1,J5*(1-Inputs!$B$11)+Inputs!$B$11*SUM($B$5:J5)*MIN(1,MAX(0,(J$3-Phases!$D$2+1)/Phases!$E$2))-Inputs!$B$11*SUM($B$5:I5)*MIN(1,MAX(0,(J$3-Phases!$D$2)/Phases!$E$2)),SUM($B$5:J5)-SUM($B$6:I6)+IF(J$3&gt;=Phases!$D$2+Phases!$E$2-1,0,0))</f>
        <v>88000000</v>
      </c>
      <c r="K6" s="0" t="n">
        <f aca="false">IF(K$3&lt;Phases!$D$2+Phases!$E$2-1,K5*(1-Inputs!$B$11)+Inputs!$B$11*SUM($B$5:K5)*MIN(1,MAX(0,(K$3-Phases!$D$2+1)/Phases!$E$2))-Inputs!$B$11*SUM($B$5:J5)*MIN(1,MAX(0,(K$3-Phases!$D$2)/Phases!$E$2)),SUM($B$5:K5)-SUM($B$6:J6)+IF(K$3&gt;=Phases!$D$2+Phases!$E$2-1,0,0))</f>
        <v>0</v>
      </c>
      <c r="L6" s="0" t="n">
        <f aca="false">IF(L$3&lt;Phases!$D$2+Phases!$E$2-1,L5*(1-Inputs!$B$11)+Inputs!$B$11*SUM($B$5:L5)*MIN(1,MAX(0,(L$3-Phases!$D$2+1)/Phases!$E$2))-Inputs!$B$11*SUM($B$5:K5)*MIN(1,MAX(0,(L$3-Phases!$D$2)/Phases!$E$2)),SUM($B$5:L5)-SUM($B$6:K6)+IF(L$3&gt;=Phases!$D$2+Phases!$E$2-1,0,0))</f>
        <v>0</v>
      </c>
      <c r="M6" s="0" t="n">
        <f aca="false">IF(M$3&lt;Phases!$D$2+Phases!$E$2-1,M5*(1-Inputs!$B$11)+Inputs!$B$11*SUM($B$5:M5)*MIN(1,MAX(0,(M$3-Phases!$D$2+1)/Phases!$E$2))-Inputs!$B$11*SUM($B$5:L5)*MIN(1,MAX(0,(M$3-Phases!$D$2)/Phases!$E$2)),SUM($B$5:M5)-SUM($B$6:L6)+IF(M$3&gt;=Phases!$D$2+Phases!$E$2-1,0,0))</f>
        <v>0</v>
      </c>
      <c r="N6" s="0" t="n">
        <f aca="false">IF(N$3&lt;Phases!$D$2+Phases!$E$2-1,N5*(1-Inputs!$B$11)+Inputs!$B$11*SUM($B$5:N5)*MIN(1,MAX(0,(N$3-Phases!$D$2+1)/Phases!$E$2))-Inputs!$B$11*SUM($B$5:M5)*MIN(1,MAX(0,(N$3-Phases!$D$2)/Phases!$E$2)),SUM($B$5:N5)-SUM($B$6:M6)+IF(N$3&gt;=Phases!$D$2+Phases!$E$2-1,0,0))</f>
        <v>0</v>
      </c>
      <c r="O6" s="0" t="n">
        <f aca="false">IF(O$3&lt;Phases!$D$2+Phases!$E$2-1,O5*(1-Inputs!$B$11)+Inputs!$B$11*SUM($B$5:O5)*MIN(1,MAX(0,(O$3-Phases!$D$2+1)/Phases!$E$2))-Inputs!$B$11*SUM($B$5:N5)*MIN(1,MAX(0,(O$3-Phases!$D$2)/Phases!$E$2)),SUM($B$5:O5)-SUM($B$6:N6)+IF(O$3&gt;=Phases!$D$2+Phases!$E$2-1,0,0))</f>
        <v>0</v>
      </c>
      <c r="P6" s="0" t="n">
        <f aca="false">IF(P$3&lt;Phases!$D$2+Phases!$E$2-1,P5*(1-Inputs!$B$11)+Inputs!$B$11*SUM($B$5:P5)*MIN(1,MAX(0,(P$3-Phases!$D$2+1)/Phases!$E$2))-Inputs!$B$11*SUM($B$5:O5)*MIN(1,MAX(0,(P$3-Phases!$D$2)/Phases!$E$2)),SUM($B$5:P5)-SUM($B$6:O6)+IF(P$3&gt;=Phases!$D$2+Phases!$E$2-1,0,0))</f>
        <v>0</v>
      </c>
      <c r="Q6" s="0" t="n">
        <f aca="false">IF(Q$3&lt;Phases!$D$2+Phases!$E$2-1,Q5*(1-Inputs!$B$11)+Inputs!$B$11*SUM($B$5:Q5)*MIN(1,MAX(0,(Q$3-Phases!$D$2+1)/Phases!$E$2))-Inputs!$B$11*SUM($B$5:P5)*MIN(1,MAX(0,(Q$3-Phases!$D$2)/Phases!$E$2)),SUM($B$5:Q5)-SUM($B$6:P6)+IF(Q$3&gt;=Phases!$D$2+Phases!$E$2-1,0,0))</f>
        <v>0</v>
      </c>
      <c r="R6" s="0" t="n">
        <f aca="false">IF(R$3&lt;Phases!$D$2+Phases!$E$2-1,R5*(1-Inputs!$B$11)+Inputs!$B$11*SUM($B$5:R5)*MIN(1,MAX(0,(R$3-Phases!$D$2+1)/Phases!$E$2))-Inputs!$B$11*SUM($B$5:Q5)*MIN(1,MAX(0,(R$3-Phases!$D$2)/Phases!$E$2)),SUM($B$5:R5)-SUM($B$6:Q6)+IF(R$3&gt;=Phases!$D$2+Phases!$E$2-1,0,0))</f>
        <v>0</v>
      </c>
      <c r="S6" s="0" t="n">
        <f aca="false">IF(S$3&lt;Phases!$D$2+Phases!$E$2-1,S5*(1-Inputs!$B$11)+Inputs!$B$11*SUM($B$5:S5)*MIN(1,MAX(0,(S$3-Phases!$D$2+1)/Phases!$E$2))-Inputs!$B$11*SUM($B$5:R5)*MIN(1,MAX(0,(S$3-Phases!$D$2)/Phases!$E$2)),SUM($B$5:S5)-SUM($B$6:R6)+IF(S$3&gt;=Phases!$D$2+Phases!$E$2-1,0,0))</f>
        <v>0</v>
      </c>
      <c r="T6" s="0" t="n">
        <f aca="false">IF(T$3&lt;Phases!$D$2+Phases!$E$2-1,T5*(1-Inputs!$B$11)+Inputs!$B$11*SUM($B$5:T5)*MIN(1,MAX(0,(T$3-Phases!$D$2+1)/Phases!$E$2))-Inputs!$B$11*SUM($B$5:S5)*MIN(1,MAX(0,(T$3-Phases!$D$2)/Phases!$E$2)),SUM($B$5:T5)-SUM($B$6:S6)+IF(T$3&gt;=Phases!$D$2+Phases!$E$2-1,0,0))</f>
        <v>0</v>
      </c>
      <c r="U6" s="0" t="n">
        <f aca="false">IF(U$3&lt;Phases!$D$2+Phases!$E$2-1,U5*(1-Inputs!$B$11)+Inputs!$B$11*SUM($B$5:U5)*MIN(1,MAX(0,(U$3-Phases!$D$2+1)/Phases!$E$2))-Inputs!$B$11*SUM($B$5:T5)*MIN(1,MAX(0,(U$3-Phases!$D$2)/Phases!$E$2)),SUM($B$5:U5)-SUM($B$6:T6)+IF(U$3&gt;=Phases!$D$2+Phases!$E$2-1,0,0))</f>
        <v>0</v>
      </c>
      <c r="V6" s="0" t="n">
        <f aca="false">IF(V$3&lt;Phases!$D$2+Phases!$E$2-1,V5*(1-Inputs!$B$11)+Inputs!$B$11*SUM($B$5:V5)*MIN(1,MAX(0,(V$3-Phases!$D$2+1)/Phases!$E$2))-Inputs!$B$11*SUM($B$5:U5)*MIN(1,MAX(0,(V$3-Phases!$D$2)/Phases!$E$2)),SUM($B$5:V5)-SUM($B$6:U6)+IF(V$3&gt;=Phases!$D$2+Phases!$E$2-1,0,0))</f>
        <v>0</v>
      </c>
      <c r="W6" s="0" t="n">
        <f aca="false">IF(W$3&lt;Phases!$D$2+Phases!$E$2-1,W5*(1-Inputs!$B$11)+Inputs!$B$11*SUM($B$5:W5)*MIN(1,MAX(0,(W$3-Phases!$D$2+1)/Phases!$E$2))-Inputs!$B$11*SUM($B$5:V5)*MIN(1,MAX(0,(W$3-Phases!$D$2)/Phases!$E$2)),SUM($B$5:W5)-SUM($B$6:V6)+IF(W$3&gt;=Phases!$D$2+Phases!$E$2-1,0,0))</f>
        <v>0</v>
      </c>
      <c r="X6" s="0" t="n">
        <f aca="false">IF(X$3&lt;Phases!$D$2+Phases!$E$2-1,X5*(1-Inputs!$B$11)+Inputs!$B$11*SUM($B$5:X5)*MIN(1,MAX(0,(X$3-Phases!$D$2+1)/Phases!$E$2))-Inputs!$B$11*SUM($B$5:W5)*MIN(1,MAX(0,(X$3-Phases!$D$2)/Phases!$E$2)),SUM($B$5:X5)-SUM($B$6:W6)+IF(X$3&gt;=Phases!$D$2+Phases!$E$2-1,0,0))</f>
        <v>0</v>
      </c>
      <c r="Y6" s="0" t="n">
        <f aca="false">IF(Y$3&lt;Phases!$D$2+Phases!$E$2-1,Y5*(1-Inputs!$B$11)+Inputs!$B$11*SUM($B$5:Y5)*MIN(1,MAX(0,(Y$3-Phases!$D$2+1)/Phases!$E$2))-Inputs!$B$11*SUM($B$5:X5)*MIN(1,MAX(0,(Y$3-Phases!$D$2)/Phases!$E$2)),SUM($B$5:Y5)-SUM($B$6:X6)+IF(Y$3&gt;=Phases!$D$2+Phases!$E$2-1,0,0))</f>
        <v>0</v>
      </c>
      <c r="Z6" s="0" t="n">
        <f aca="false">IF(Z$3&lt;Phases!$D$2+Phases!$E$2-1,Z5*(1-Inputs!$B$11)+Inputs!$B$11*SUM($B$5:Z5)*MIN(1,MAX(0,(Z$3-Phases!$D$2+1)/Phases!$E$2))-Inputs!$B$11*SUM($B$5:Y5)*MIN(1,MAX(0,(Z$3-Phases!$D$2)/Phases!$E$2)),SUM($B$5:Z5)-SUM($B$6:Y6)+IF(Z$3&gt;=Phases!$D$2+Phases!$E$2-1,0,0))</f>
        <v>0</v>
      </c>
      <c r="AA6" s="0" t="n">
        <f aca="false">IF(AA$3&lt;Phases!$D$2+Phases!$E$2-1,AA5*(1-Inputs!$B$11)+Inputs!$B$11*SUM($B$5:AA5)*MIN(1,MAX(0,(AA$3-Phases!$D$2+1)/Phases!$E$2))-Inputs!$B$11*SUM($B$5:Z5)*MIN(1,MAX(0,(AA$3-Phases!$D$2)/Phases!$E$2)),SUM($B$5:AA5)-SUM($B$6:Z6)+IF(AA$3&gt;=Phases!$D$2+Phases!$E$2-1,0,0))</f>
        <v>0</v>
      </c>
      <c r="AB6" s="0" t="n">
        <f aca="false">IF(AB$3&lt;Phases!$D$2+Phases!$E$2-1,AB5*(1-Inputs!$B$11)+Inputs!$B$11*SUM($B$5:AB5)*MIN(1,MAX(0,(AB$3-Phases!$D$2+1)/Phases!$E$2))-Inputs!$B$11*SUM($B$5:AA5)*MIN(1,MAX(0,(AB$3-Phases!$D$2)/Phases!$E$2)),SUM($B$5:AB5)-SUM($B$6:AA6)+IF(AB$3&gt;=Phases!$D$2+Phases!$E$2-1,0,0))</f>
        <v>0</v>
      </c>
      <c r="AC6" s="0" t="n">
        <f aca="false">IF(AC$3&lt;Phases!$D$2+Phases!$E$2-1,AC5*(1-Inputs!$B$11)+Inputs!$B$11*SUM($B$5:AC5)*MIN(1,MAX(0,(AC$3-Phases!$D$2+1)/Phases!$E$2))-Inputs!$B$11*SUM($B$5:AB5)*MIN(1,MAX(0,(AC$3-Phases!$D$2)/Phases!$E$2)),SUM($B$5:AC5)-SUM($B$6:AB6)+IF(AC$3&gt;=Phases!$D$2+Phases!$E$2-1,0,0))</f>
        <v>0</v>
      </c>
      <c r="AD6" s="0" t="n">
        <f aca="false">IF(AD$3&lt;Phases!$D$2+Phases!$E$2-1,AD5*(1-Inputs!$B$11)+Inputs!$B$11*SUM($B$5:AD5)*MIN(1,MAX(0,(AD$3-Phases!$D$2+1)/Phases!$E$2))-Inputs!$B$11*SUM($B$5:AC5)*MIN(1,MAX(0,(AD$3-Phases!$D$2)/Phases!$E$2)),SUM($B$5:AD5)-SUM($B$6:AC6)+IF(AD$3&gt;=Phases!$D$2+Phases!$E$2-1,0,0))</f>
        <v>0</v>
      </c>
      <c r="AE6" s="0" t="n">
        <f aca="false">IF(AE$3&lt;Phases!$D$2+Phases!$E$2-1,AE5*(1-Inputs!$B$11)+Inputs!$B$11*SUM($B$5:AE5)*MIN(1,MAX(0,(AE$3-Phases!$D$2+1)/Phases!$E$2))-Inputs!$B$11*SUM($B$5:AD5)*MIN(1,MAX(0,(AE$3-Phases!$D$2)/Phases!$E$2)),SUM($B$5:AE5)-SUM($B$6:AD6)+IF(AE$3&gt;=Phases!$D$2+Phases!$E$2-1,0,0))</f>
        <v>0</v>
      </c>
      <c r="AF6" s="0" t="n">
        <f aca="false">IF(AF$3&lt;Phases!$D$2+Phases!$E$2-1,AF5*(1-Inputs!$B$11)+Inputs!$B$11*SUM($B$5:AF5)*MIN(1,MAX(0,(AF$3-Phases!$D$2+1)/Phases!$E$2))-Inputs!$B$11*SUM($B$5:AE5)*MIN(1,MAX(0,(AF$3-Phases!$D$2)/Phases!$E$2)),SUM($B$5:AF5)-SUM($B$6:AE6)+IF(AF$3&gt;=Phases!$D$2+Phases!$E$2-1,0,0))</f>
        <v>0</v>
      </c>
      <c r="AG6" s="0" t="n">
        <f aca="false">IF(AG$3&lt;Phases!$D$2+Phases!$E$2-1,AG5*(1-Inputs!$B$11)+Inputs!$B$11*SUM($B$5:AG5)*MIN(1,MAX(0,(AG$3-Phases!$D$2+1)/Phases!$E$2))-Inputs!$B$11*SUM($B$5:AF5)*MIN(1,MAX(0,(AG$3-Phases!$D$2)/Phases!$E$2)),SUM($B$5:AG5)-SUM($B$6:AF6)+IF(AG$3&gt;=Phases!$D$2+Phases!$E$2-1,0,0))</f>
        <v>0</v>
      </c>
      <c r="AH6" s="0" t="n">
        <f aca="false">IF(AH$3&lt;Phases!$D$2+Phases!$E$2-1,AH5*(1-Inputs!$B$11)+Inputs!$B$11*SUM($B$5:AH5)*MIN(1,MAX(0,(AH$3-Phases!$D$2+1)/Phases!$E$2))-Inputs!$B$11*SUM($B$5:AG5)*MIN(1,MAX(0,(AH$3-Phases!$D$2)/Phases!$E$2)),SUM($B$5:AH5)-SUM($B$6:AG6)+IF(AH$3&gt;=Phases!$D$2+Phases!$E$2-1,0,0))</f>
        <v>0</v>
      </c>
      <c r="AI6" s="0" t="n">
        <f aca="false">IF(AI$3&lt;Phases!$D$2+Phases!$E$2-1,AI5*(1-Inputs!$B$11)+Inputs!$B$11*SUM($B$5:AI5)*MIN(1,MAX(0,(AI$3-Phases!$D$2+1)/Phases!$E$2))-Inputs!$B$11*SUM($B$5:AH5)*MIN(1,MAX(0,(AI$3-Phases!$D$2)/Phases!$E$2)),SUM($B$5:AI5)-SUM($B$6:AH6)+IF(AI$3&gt;=Phases!$D$2+Phases!$E$2-1,0,0))</f>
        <v>0</v>
      </c>
      <c r="AJ6" s="0" t="n">
        <f aca="false">IF(AJ$3&lt;Phases!$D$2+Phases!$E$2-1,AJ5*(1-Inputs!$B$11)+Inputs!$B$11*SUM($B$5:AJ5)*MIN(1,MAX(0,(AJ$3-Phases!$D$2+1)/Phases!$E$2))-Inputs!$B$11*SUM($B$5:AI5)*MIN(1,MAX(0,(AJ$3-Phases!$D$2)/Phases!$E$2)),SUM($B$5:AJ5)-SUM($B$6:AI6)+IF(AJ$3&gt;=Phases!$D$2+Phases!$E$2-1,0,0))</f>
        <v>0</v>
      </c>
      <c r="AK6" s="0" t="n">
        <f aca="false">IF(AK$3&lt;Phases!$D$2+Phases!$E$2-1,AK5*(1-Inputs!$B$11)+Inputs!$B$11*SUM($B$5:AK5)*MIN(1,MAX(0,(AK$3-Phases!$D$2+1)/Phases!$E$2))-Inputs!$B$11*SUM($B$5:AJ5)*MIN(1,MAX(0,(AK$3-Phases!$D$2)/Phases!$E$2)),SUM($B$5:AK5)-SUM($B$6:AJ6)+IF(AK$3&gt;=Phases!$D$2+Phases!$E$2-1,0,0))</f>
        <v>0</v>
      </c>
      <c r="AL6" s="0" t="n">
        <f aca="false">IF(AL$3&lt;Phases!$D$2+Phases!$E$2-1,AL5*(1-Inputs!$B$11)+Inputs!$B$11*SUM($B$5:AL5)*MIN(1,MAX(0,(AL$3-Phases!$D$2+1)/Phases!$E$2))-Inputs!$B$11*SUM($B$5:AK5)*MIN(1,MAX(0,(AL$3-Phases!$D$2)/Phases!$E$2)),SUM($B$5:AL5)-SUM($B$6:AK6)+IF(AL$3&gt;=Phases!$D$2+Phases!$E$2-1,0,0))</f>
        <v>0</v>
      </c>
      <c r="AM6" s="0" t="n">
        <f aca="false">IF(AM$3&lt;Phases!$D$2+Phases!$E$2-1,AM5*(1-Inputs!$B$11)+Inputs!$B$11*SUM($B$5:AM5)*MIN(1,MAX(0,(AM$3-Phases!$D$2+1)/Phases!$E$2))-Inputs!$B$11*SUM($B$5:AL5)*MIN(1,MAX(0,(AM$3-Phases!$D$2)/Phases!$E$2)),SUM($B$5:AM5)-SUM($B$6:AL6)+IF(AM$3&gt;=Phases!$D$2+Phases!$E$2-1,0,0))</f>
        <v>0</v>
      </c>
      <c r="AN6" s="0" t="n">
        <f aca="false">IF(AN$3&lt;Phases!$D$2+Phases!$E$2-1,AN5*(1-Inputs!$B$11)+Inputs!$B$11*SUM($B$5:AN5)*MIN(1,MAX(0,(AN$3-Phases!$D$2+1)/Phases!$E$2))-Inputs!$B$11*SUM($B$5:AM5)*MIN(1,MAX(0,(AN$3-Phases!$D$2)/Phases!$E$2)),SUM($B$5:AN5)-SUM($B$6:AM6)+IF(AN$3&gt;=Phases!$D$2+Phases!$E$2-1,0,0))</f>
        <v>0</v>
      </c>
      <c r="AO6" s="0" t="n">
        <f aca="false">IF(AO$3&lt;Phases!$D$2+Phases!$E$2-1,AO5*(1-Inputs!$B$11)+Inputs!$B$11*SUM($B$5:AO5)*MIN(1,MAX(0,(AO$3-Phases!$D$2+1)/Phases!$E$2))-Inputs!$B$11*SUM($B$5:AN5)*MIN(1,MAX(0,(AO$3-Phases!$D$2)/Phases!$E$2)),SUM($B$5:AO5)-SUM($B$6:AN6)+IF(AO$3&gt;=Phases!$D$2+Phases!$E$2-1,0,0))</f>
        <v>0</v>
      </c>
      <c r="AP6" s="0" t="n">
        <f aca="false">IF(AP$3&lt;Phases!$D$2+Phases!$E$2-1,AP5*(1-Inputs!$B$11)+Inputs!$B$11*SUM($B$5:AP5)*MIN(1,MAX(0,(AP$3-Phases!$D$2+1)/Phases!$E$2))-Inputs!$B$11*SUM($B$5:AO5)*MIN(1,MAX(0,(AP$3-Phases!$D$2)/Phases!$E$2)),SUM($B$5:AP5)-SUM($B$6:AO6)+IF(AP$3&gt;=Phases!$D$2+Phases!$E$2-1,0,0))</f>
        <v>0</v>
      </c>
      <c r="AQ6" s="0" t="n">
        <f aca="false">IF(AQ$3&lt;Phases!$D$2+Phases!$E$2-1,AQ5*(1-Inputs!$B$11)+Inputs!$B$11*SUM($B$5:AQ5)*MIN(1,MAX(0,(AQ$3-Phases!$D$2+1)/Phases!$E$2))-Inputs!$B$11*SUM($B$5:AP5)*MIN(1,MAX(0,(AQ$3-Phases!$D$2)/Phases!$E$2)),SUM($B$5:AQ5)-SUM($B$6:AP6)+IF(AQ$3&gt;=Phases!$D$2+Phases!$E$2-1,0,0))</f>
        <v>0</v>
      </c>
      <c r="AR6" s="0" t="n">
        <f aca="false">IF(AR$3&lt;Phases!$D$2+Phases!$E$2-1,AR5*(1-Inputs!$B$11)+Inputs!$B$11*SUM($B$5:AR5)*MIN(1,MAX(0,(AR$3-Phases!$D$2+1)/Phases!$E$2))-Inputs!$B$11*SUM($B$5:AQ5)*MIN(1,MAX(0,(AR$3-Phases!$D$2)/Phases!$E$2)),SUM($B$5:AR5)-SUM($B$6:AQ6)+IF(AR$3&gt;=Phases!$D$2+Phases!$E$2-1,0,0))</f>
        <v>0</v>
      </c>
      <c r="AS6" s="0" t="n">
        <f aca="false">IF(AS$3&lt;Phases!$D$2+Phases!$E$2-1,AS5*(1-Inputs!$B$11)+Inputs!$B$11*SUM($B$5:AS5)*MIN(1,MAX(0,(AS$3-Phases!$D$2+1)/Phases!$E$2))-Inputs!$B$11*SUM($B$5:AR5)*MIN(1,MAX(0,(AS$3-Phases!$D$2)/Phases!$E$2)),SUM($B$5:AS5)-SUM($B$6:AR6)+IF(AS$3&gt;=Phases!$D$2+Phases!$E$2-1,0,0))</f>
        <v>0</v>
      </c>
      <c r="AT6" s="0" t="n">
        <f aca="false">IF(AT$3&lt;Phases!$D$2+Phases!$E$2-1,AT5*(1-Inputs!$B$11)+Inputs!$B$11*SUM($B$5:AT5)*MIN(1,MAX(0,(AT$3-Phases!$D$2+1)/Phases!$E$2))-Inputs!$B$11*SUM($B$5:AS5)*MIN(1,MAX(0,(AT$3-Phases!$D$2)/Phases!$E$2)),SUM($B$5:AT5)-SUM($B$6:AS6)+IF(AT$3&gt;=Phases!$D$2+Phases!$E$2-1,0,0))</f>
        <v>0</v>
      </c>
      <c r="AU6" s="0" t="n">
        <f aca="false">IF(AU$3&lt;Phases!$D$2+Phases!$E$2-1,AU5*(1-Inputs!$B$11)+Inputs!$B$11*SUM($B$5:AU5)*MIN(1,MAX(0,(AU$3-Phases!$D$2+1)/Phases!$E$2))-Inputs!$B$11*SUM($B$5:AT5)*MIN(1,MAX(0,(AU$3-Phases!$D$2)/Phases!$E$2)),SUM($B$5:AU5)-SUM($B$6:AT6)+IF(AU$3&gt;=Phases!$D$2+Phases!$E$2-1,0,0))</f>
        <v>0</v>
      </c>
      <c r="AV6" s="0" t="n">
        <f aca="false">IF(AV$3&lt;Phases!$D$2+Phases!$E$2-1,AV5*(1-Inputs!$B$11)+Inputs!$B$11*SUM($B$5:AV5)*MIN(1,MAX(0,(AV$3-Phases!$D$2+1)/Phases!$E$2))-Inputs!$B$11*SUM($B$5:AU5)*MIN(1,MAX(0,(AV$3-Phases!$D$2)/Phases!$E$2)),SUM($B$5:AV5)-SUM($B$6:AU6)+IF(AV$3&gt;=Phases!$D$2+Phases!$E$2-1,0,0))</f>
        <v>0</v>
      </c>
      <c r="AW6" s="0" t="n">
        <f aca="false">IF(AW$3&lt;Phases!$D$2+Phases!$E$2-1,AW5*(1-Inputs!$B$11)+Inputs!$B$11*SUM($B$5:AW5)*MIN(1,MAX(0,(AW$3-Phases!$D$2+1)/Phases!$E$2))-Inputs!$B$11*SUM($B$5:AV5)*MIN(1,MAX(0,(AW$3-Phases!$D$2)/Phases!$E$2)),SUM($B$5:AW5)-SUM($B$6:AV6)+IF(AW$3&gt;=Phases!$D$2+Phases!$E$2-1,0,0))</f>
        <v>0</v>
      </c>
      <c r="AX6" s="0" t="n">
        <f aca="false">IF(AX$3&lt;Phases!$D$2+Phases!$E$2-1,AX5*(1-Inputs!$B$11)+Inputs!$B$11*SUM($B$5:AX5)*MIN(1,MAX(0,(AX$3-Phases!$D$2+1)/Phases!$E$2))-Inputs!$B$11*SUM($B$5:AW5)*MIN(1,MAX(0,(AX$3-Phases!$D$2)/Phases!$E$2)),SUM($B$5:AX5)-SUM($B$6:AW6)+IF(AX$3&gt;=Phases!$D$2+Phases!$E$2-1,0,0))</f>
        <v>0</v>
      </c>
    </row>
    <row r="7" customFormat="false" ht="15" hidden="false" customHeight="false" outlineLevel="0" collapsed="false">
      <c r="A7" s="0" t="s">
        <v>44</v>
      </c>
      <c r="B7" s="0" t="n">
        <f aca="false">0</f>
        <v>0</v>
      </c>
      <c r="C7" s="0" t="n">
        <f aca="false">0</f>
        <v>0</v>
      </c>
      <c r="D7" s="0" t="n">
        <f aca="false">0</f>
        <v>0</v>
      </c>
      <c r="E7" s="0" t="n">
        <f aca="false">0</f>
        <v>0</v>
      </c>
      <c r="F7" s="0" t="n">
        <f aca="false">0</f>
        <v>0</v>
      </c>
      <c r="G7" s="0" t="n">
        <f aca="false">0</f>
        <v>0</v>
      </c>
      <c r="H7" s="0" t="n">
        <f aca="false">0</f>
        <v>0</v>
      </c>
      <c r="I7" s="0" t="n">
        <f aca="false">0</f>
        <v>0</v>
      </c>
      <c r="J7" s="0" t="n">
        <f aca="false">0</f>
        <v>0</v>
      </c>
      <c r="K7" s="0" t="n">
        <f aca="false">0</f>
        <v>0</v>
      </c>
      <c r="L7" s="0" t="n">
        <f aca="false">0</f>
        <v>0</v>
      </c>
      <c r="M7" s="0" t="n">
        <f aca="false">0</f>
        <v>0</v>
      </c>
      <c r="N7" s="0" t="n">
        <f aca="false">0</f>
        <v>0</v>
      </c>
      <c r="O7" s="0" t="n">
        <f aca="false">0</f>
        <v>0</v>
      </c>
      <c r="P7" s="0" t="n">
        <f aca="false">0</f>
        <v>0</v>
      </c>
      <c r="Q7" s="0" t="n">
        <f aca="false">0</f>
        <v>0</v>
      </c>
      <c r="R7" s="0" t="n">
        <f aca="false">0</f>
        <v>0</v>
      </c>
      <c r="S7" s="0" t="n">
        <f aca="false">0</f>
        <v>0</v>
      </c>
      <c r="T7" s="0" t="n">
        <f aca="false">0</f>
        <v>0</v>
      </c>
      <c r="U7" s="0" t="n">
        <f aca="false">0</f>
        <v>0</v>
      </c>
      <c r="V7" s="0" t="n">
        <f aca="false">0</f>
        <v>0</v>
      </c>
      <c r="W7" s="0" t="n">
        <f aca="false">0</f>
        <v>0</v>
      </c>
      <c r="X7" s="0" t="n">
        <f aca="false">0</f>
        <v>0</v>
      </c>
      <c r="Y7" s="0" t="n">
        <f aca="false">0</f>
        <v>0</v>
      </c>
      <c r="Z7" s="0" t="n">
        <f aca="false">0</f>
        <v>0</v>
      </c>
      <c r="AA7" s="0" t="n">
        <f aca="false">0</f>
        <v>0</v>
      </c>
      <c r="AB7" s="0" t="n">
        <f aca="false">0</f>
        <v>0</v>
      </c>
      <c r="AC7" s="0" t="n">
        <f aca="false">0</f>
        <v>0</v>
      </c>
      <c r="AD7" s="0" t="n">
        <f aca="false">0</f>
        <v>0</v>
      </c>
      <c r="AE7" s="0" t="n">
        <f aca="false">0</f>
        <v>0</v>
      </c>
      <c r="AF7" s="0" t="n">
        <f aca="false">0</f>
        <v>0</v>
      </c>
      <c r="AG7" s="0" t="n">
        <f aca="false">0</f>
        <v>0</v>
      </c>
      <c r="AH7" s="0" t="n">
        <f aca="false">0</f>
        <v>0</v>
      </c>
      <c r="AI7" s="0" t="n">
        <f aca="false">0</f>
        <v>0</v>
      </c>
      <c r="AJ7" s="0" t="n">
        <f aca="false">0</f>
        <v>0</v>
      </c>
      <c r="AK7" s="0" t="n">
        <f aca="false">0</f>
        <v>0</v>
      </c>
      <c r="AL7" s="0" t="n">
        <f aca="false">0</f>
        <v>0</v>
      </c>
      <c r="AM7" s="0" t="n">
        <f aca="false">0</f>
        <v>0</v>
      </c>
      <c r="AN7" s="0" t="n">
        <f aca="false">0</f>
        <v>0</v>
      </c>
      <c r="AO7" s="0" t="n">
        <f aca="false">0</f>
        <v>0</v>
      </c>
      <c r="AP7" s="0" t="n">
        <f aca="false">0</f>
        <v>0</v>
      </c>
      <c r="AQ7" s="0" t="n">
        <f aca="false">0</f>
        <v>0</v>
      </c>
      <c r="AR7" s="0" t="n">
        <f aca="false">0</f>
        <v>0</v>
      </c>
      <c r="AS7" s="0" t="n">
        <f aca="false">0</f>
        <v>0</v>
      </c>
      <c r="AT7" s="0" t="n">
        <f aca="false">0</f>
        <v>0</v>
      </c>
      <c r="AU7" s="0" t="n">
        <f aca="false">0</f>
        <v>0</v>
      </c>
      <c r="AV7" s="0" t="n">
        <f aca="false">0</f>
        <v>0</v>
      </c>
      <c r="AW7" s="0" t="n">
        <f aca="false">0</f>
        <v>0</v>
      </c>
      <c r="AX7" s="0" t="n">
        <f aca="false">0</f>
        <v>0</v>
      </c>
    </row>
    <row r="8" customFormat="false" ht="15" hidden="false" customHeight="false" outlineLevel="0" collapsed="false">
      <c r="A8" s="0" t="s">
        <v>45</v>
      </c>
      <c r="B8" s="0" t="n">
        <f aca="false">IF(AND(B$3&gt;=Phases!$D$3,B$3&lt;Phases!$D$3+Phases!$E$3),Phases!$C$3*Scenarios!$E$8*IF("sale"="hotel",1.6,IF("Villas"="Plots",0.25,1))/Phases!$E$3,0)</f>
        <v>0</v>
      </c>
      <c r="C8" s="0" t="n">
        <f aca="false">IF(AND(C$3&gt;=Phases!$D$3,C$3&lt;Phases!$D$3+Phases!$E$3),Phases!$C$3*Scenarios!$E$8*IF("sale"="hotel",1.6,IF("Villas"="Plots",0.25,1))/Phases!$E$3,0)</f>
        <v>0</v>
      </c>
      <c r="D8" s="0" t="n">
        <f aca="false">IF(AND(D$3&gt;=Phases!$D$3,D$3&lt;Phases!$D$3+Phases!$E$3),Phases!$C$3*Scenarios!$E$8*IF("sale"="hotel",1.6,IF("Villas"="Plots",0.25,1))/Phases!$E$3,0)</f>
        <v>0</v>
      </c>
      <c r="E8" s="0" t="n">
        <f aca="false">IF(AND(E$3&gt;=Phases!$D$3,E$3&lt;Phases!$D$3+Phases!$E$3),Phases!$C$3*Scenarios!$E$8*IF("sale"="hotel",1.6,IF("Villas"="Plots",0.25,1))/Phases!$E$3,0)</f>
        <v>69875000</v>
      </c>
      <c r="F8" s="0" t="n">
        <f aca="false">IF(AND(F$3&gt;=Phases!$D$3,F$3&lt;Phases!$D$3+Phases!$E$3),Phases!$C$3*Scenarios!$E$8*IF("sale"="hotel",1.6,IF("Villas"="Plots",0.25,1))/Phases!$E$3,0)</f>
        <v>69875000</v>
      </c>
      <c r="G8" s="0" t="n">
        <f aca="false">IF(AND(G$3&gt;=Phases!$D$3,G$3&lt;Phases!$D$3+Phases!$E$3),Phases!$C$3*Scenarios!$E$8*IF("sale"="hotel",1.6,IF("Villas"="Plots",0.25,1))/Phases!$E$3,0)</f>
        <v>69875000</v>
      </c>
      <c r="H8" s="0" t="n">
        <f aca="false">IF(AND(H$3&gt;=Phases!$D$3,H$3&lt;Phases!$D$3+Phases!$E$3),Phases!$C$3*Scenarios!$E$8*IF("sale"="hotel",1.6,IF("Villas"="Plots",0.25,1))/Phases!$E$3,0)</f>
        <v>69875000</v>
      </c>
      <c r="I8" s="0" t="n">
        <f aca="false">IF(AND(I$3&gt;=Phases!$D$3,I$3&lt;Phases!$D$3+Phases!$E$3),Phases!$C$3*Scenarios!$E$8*IF("sale"="hotel",1.6,IF("Villas"="Plots",0.25,1))/Phases!$E$3,0)</f>
        <v>69875000</v>
      </c>
      <c r="J8" s="0" t="n">
        <f aca="false">IF(AND(J$3&gt;=Phases!$D$3,J$3&lt;Phases!$D$3+Phases!$E$3),Phases!$C$3*Scenarios!$E$8*IF("sale"="hotel",1.6,IF("Villas"="Plots",0.25,1))/Phases!$E$3,0)</f>
        <v>69875000</v>
      </c>
      <c r="K8" s="0" t="n">
        <f aca="false">IF(AND(K$3&gt;=Phases!$D$3,K$3&lt;Phases!$D$3+Phases!$E$3),Phases!$C$3*Scenarios!$E$8*IF("sale"="hotel",1.6,IF("Villas"="Plots",0.25,1))/Phases!$E$3,0)</f>
        <v>69875000</v>
      </c>
      <c r="L8" s="0" t="n">
        <f aca="false">IF(AND(L$3&gt;=Phases!$D$3,L$3&lt;Phases!$D$3+Phases!$E$3),Phases!$C$3*Scenarios!$E$8*IF("sale"="hotel",1.6,IF("Villas"="Plots",0.25,1))/Phases!$E$3,0)</f>
        <v>69875000</v>
      </c>
      <c r="M8" s="0" t="n">
        <f aca="false">IF(AND(M$3&gt;=Phases!$D$3,M$3&lt;Phases!$D$3+Phases!$E$3),Phases!$C$3*Scenarios!$E$8*IF("sale"="hotel",1.6,IF("Villas"="Plots",0.25,1))/Phases!$E$3,0)</f>
        <v>0</v>
      </c>
      <c r="N8" s="0" t="n">
        <f aca="false">IF(AND(N$3&gt;=Phases!$D$3,N$3&lt;Phases!$D$3+Phases!$E$3),Phases!$C$3*Scenarios!$E$8*IF("sale"="hotel",1.6,IF("Villas"="Plots",0.25,1))/Phases!$E$3,0)</f>
        <v>0</v>
      </c>
      <c r="O8" s="0" t="n">
        <f aca="false">IF(AND(O$3&gt;=Phases!$D$3,O$3&lt;Phases!$D$3+Phases!$E$3),Phases!$C$3*Scenarios!$E$8*IF("sale"="hotel",1.6,IF("Villas"="Plots",0.25,1))/Phases!$E$3,0)</f>
        <v>0</v>
      </c>
      <c r="P8" s="0" t="n">
        <f aca="false">IF(AND(P$3&gt;=Phases!$D$3,P$3&lt;Phases!$D$3+Phases!$E$3),Phases!$C$3*Scenarios!$E$8*IF("sale"="hotel",1.6,IF("Villas"="Plots",0.25,1))/Phases!$E$3,0)</f>
        <v>0</v>
      </c>
      <c r="Q8" s="0" t="n">
        <f aca="false">IF(AND(Q$3&gt;=Phases!$D$3,Q$3&lt;Phases!$D$3+Phases!$E$3),Phases!$C$3*Scenarios!$E$8*IF("sale"="hotel",1.6,IF("Villas"="Plots",0.25,1))/Phases!$E$3,0)</f>
        <v>0</v>
      </c>
      <c r="R8" s="0" t="n">
        <f aca="false">IF(AND(R$3&gt;=Phases!$D$3,R$3&lt;Phases!$D$3+Phases!$E$3),Phases!$C$3*Scenarios!$E$8*IF("sale"="hotel",1.6,IF("Villas"="Plots",0.25,1))/Phases!$E$3,0)</f>
        <v>0</v>
      </c>
      <c r="S8" s="0" t="n">
        <f aca="false">IF(AND(S$3&gt;=Phases!$D$3,S$3&lt;Phases!$D$3+Phases!$E$3),Phases!$C$3*Scenarios!$E$8*IF("sale"="hotel",1.6,IF("Villas"="Plots",0.25,1))/Phases!$E$3,0)</f>
        <v>0</v>
      </c>
      <c r="T8" s="0" t="n">
        <f aca="false">IF(AND(T$3&gt;=Phases!$D$3,T$3&lt;Phases!$D$3+Phases!$E$3),Phases!$C$3*Scenarios!$E$8*IF("sale"="hotel",1.6,IF("Villas"="Plots",0.25,1))/Phases!$E$3,0)</f>
        <v>0</v>
      </c>
      <c r="U8" s="0" t="n">
        <f aca="false">IF(AND(U$3&gt;=Phases!$D$3,U$3&lt;Phases!$D$3+Phases!$E$3),Phases!$C$3*Scenarios!$E$8*IF("sale"="hotel",1.6,IF("Villas"="Plots",0.25,1))/Phases!$E$3,0)</f>
        <v>0</v>
      </c>
      <c r="V8" s="0" t="n">
        <f aca="false">IF(AND(V$3&gt;=Phases!$D$3,V$3&lt;Phases!$D$3+Phases!$E$3),Phases!$C$3*Scenarios!$E$8*IF("sale"="hotel",1.6,IF("Villas"="Plots",0.25,1))/Phases!$E$3,0)</f>
        <v>0</v>
      </c>
      <c r="W8" s="0" t="n">
        <f aca="false">IF(AND(W$3&gt;=Phases!$D$3,W$3&lt;Phases!$D$3+Phases!$E$3),Phases!$C$3*Scenarios!$E$8*IF("sale"="hotel",1.6,IF("Villas"="Plots",0.25,1))/Phases!$E$3,0)</f>
        <v>0</v>
      </c>
      <c r="X8" s="0" t="n">
        <f aca="false">IF(AND(X$3&gt;=Phases!$D$3,X$3&lt;Phases!$D$3+Phases!$E$3),Phases!$C$3*Scenarios!$E$8*IF("sale"="hotel",1.6,IF("Villas"="Plots",0.25,1))/Phases!$E$3,0)</f>
        <v>0</v>
      </c>
      <c r="Y8" s="0" t="n">
        <f aca="false">IF(AND(Y$3&gt;=Phases!$D$3,Y$3&lt;Phases!$D$3+Phases!$E$3),Phases!$C$3*Scenarios!$E$8*IF("sale"="hotel",1.6,IF("Villas"="Plots",0.25,1))/Phases!$E$3,0)</f>
        <v>0</v>
      </c>
      <c r="Z8" s="0" t="n">
        <f aca="false">IF(AND(Z$3&gt;=Phases!$D$3,Z$3&lt;Phases!$D$3+Phases!$E$3),Phases!$C$3*Scenarios!$E$8*IF("sale"="hotel",1.6,IF("Villas"="Plots",0.25,1))/Phases!$E$3,0)</f>
        <v>0</v>
      </c>
      <c r="AA8" s="0" t="n">
        <f aca="false">IF(AND(AA$3&gt;=Phases!$D$3,AA$3&lt;Phases!$D$3+Phases!$E$3),Phases!$C$3*Scenarios!$E$8*IF("sale"="hotel",1.6,IF("Villas"="Plots",0.25,1))/Phases!$E$3,0)</f>
        <v>0</v>
      </c>
      <c r="AB8" s="0" t="n">
        <f aca="false">IF(AND(AB$3&gt;=Phases!$D$3,AB$3&lt;Phases!$D$3+Phases!$E$3),Phases!$C$3*Scenarios!$E$8*IF("sale"="hotel",1.6,IF("Villas"="Plots",0.25,1))/Phases!$E$3,0)</f>
        <v>0</v>
      </c>
      <c r="AC8" s="0" t="n">
        <f aca="false">IF(AND(AC$3&gt;=Phases!$D$3,AC$3&lt;Phases!$D$3+Phases!$E$3),Phases!$C$3*Scenarios!$E$8*IF("sale"="hotel",1.6,IF("Villas"="Plots",0.25,1))/Phases!$E$3,0)</f>
        <v>0</v>
      </c>
      <c r="AD8" s="0" t="n">
        <f aca="false">IF(AND(AD$3&gt;=Phases!$D$3,AD$3&lt;Phases!$D$3+Phases!$E$3),Phases!$C$3*Scenarios!$E$8*IF("sale"="hotel",1.6,IF("Villas"="Plots",0.25,1))/Phases!$E$3,0)</f>
        <v>0</v>
      </c>
      <c r="AE8" s="0" t="n">
        <f aca="false">IF(AND(AE$3&gt;=Phases!$D$3,AE$3&lt;Phases!$D$3+Phases!$E$3),Phases!$C$3*Scenarios!$E$8*IF("sale"="hotel",1.6,IF("Villas"="Plots",0.25,1))/Phases!$E$3,0)</f>
        <v>0</v>
      </c>
      <c r="AF8" s="0" t="n">
        <f aca="false">IF(AND(AF$3&gt;=Phases!$D$3,AF$3&lt;Phases!$D$3+Phases!$E$3),Phases!$C$3*Scenarios!$E$8*IF("sale"="hotel",1.6,IF("Villas"="Plots",0.25,1))/Phases!$E$3,0)</f>
        <v>0</v>
      </c>
      <c r="AG8" s="0" t="n">
        <f aca="false">IF(AND(AG$3&gt;=Phases!$D$3,AG$3&lt;Phases!$D$3+Phases!$E$3),Phases!$C$3*Scenarios!$E$8*IF("sale"="hotel",1.6,IF("Villas"="Plots",0.25,1))/Phases!$E$3,0)</f>
        <v>0</v>
      </c>
      <c r="AH8" s="0" t="n">
        <f aca="false">IF(AND(AH$3&gt;=Phases!$D$3,AH$3&lt;Phases!$D$3+Phases!$E$3),Phases!$C$3*Scenarios!$E$8*IF("sale"="hotel",1.6,IF("Villas"="Plots",0.25,1))/Phases!$E$3,0)</f>
        <v>0</v>
      </c>
      <c r="AI8" s="0" t="n">
        <f aca="false">IF(AND(AI$3&gt;=Phases!$D$3,AI$3&lt;Phases!$D$3+Phases!$E$3),Phases!$C$3*Scenarios!$E$8*IF("sale"="hotel",1.6,IF("Villas"="Plots",0.25,1))/Phases!$E$3,0)</f>
        <v>0</v>
      </c>
      <c r="AJ8" s="0" t="n">
        <f aca="false">IF(AND(AJ$3&gt;=Phases!$D$3,AJ$3&lt;Phases!$D$3+Phases!$E$3),Phases!$C$3*Scenarios!$E$8*IF("sale"="hotel",1.6,IF("Villas"="Plots",0.25,1))/Phases!$E$3,0)</f>
        <v>0</v>
      </c>
      <c r="AK8" s="0" t="n">
        <f aca="false">IF(AND(AK$3&gt;=Phases!$D$3,AK$3&lt;Phases!$D$3+Phases!$E$3),Phases!$C$3*Scenarios!$E$8*IF("sale"="hotel",1.6,IF("Villas"="Plots",0.25,1))/Phases!$E$3,0)</f>
        <v>0</v>
      </c>
      <c r="AL8" s="0" t="n">
        <f aca="false">IF(AND(AL$3&gt;=Phases!$D$3,AL$3&lt;Phases!$D$3+Phases!$E$3),Phases!$C$3*Scenarios!$E$8*IF("sale"="hotel",1.6,IF("Villas"="Plots",0.25,1))/Phases!$E$3,0)</f>
        <v>0</v>
      </c>
      <c r="AM8" s="0" t="n">
        <f aca="false">IF(AND(AM$3&gt;=Phases!$D$3,AM$3&lt;Phases!$D$3+Phases!$E$3),Phases!$C$3*Scenarios!$E$8*IF("sale"="hotel",1.6,IF("Villas"="Plots",0.25,1))/Phases!$E$3,0)</f>
        <v>0</v>
      </c>
      <c r="AN8" s="0" t="n">
        <f aca="false">IF(AND(AN$3&gt;=Phases!$D$3,AN$3&lt;Phases!$D$3+Phases!$E$3),Phases!$C$3*Scenarios!$E$8*IF("sale"="hotel",1.6,IF("Villas"="Plots",0.25,1))/Phases!$E$3,0)</f>
        <v>0</v>
      </c>
      <c r="AO8" s="0" t="n">
        <f aca="false">IF(AND(AO$3&gt;=Phases!$D$3,AO$3&lt;Phases!$D$3+Phases!$E$3),Phases!$C$3*Scenarios!$E$8*IF("sale"="hotel",1.6,IF("Villas"="Plots",0.25,1))/Phases!$E$3,0)</f>
        <v>0</v>
      </c>
      <c r="AP8" s="0" t="n">
        <f aca="false">IF(AND(AP$3&gt;=Phases!$D$3,AP$3&lt;Phases!$D$3+Phases!$E$3),Phases!$C$3*Scenarios!$E$8*IF("sale"="hotel",1.6,IF("Villas"="Plots",0.25,1))/Phases!$E$3,0)</f>
        <v>0</v>
      </c>
      <c r="AQ8" s="0" t="n">
        <f aca="false">IF(AND(AQ$3&gt;=Phases!$D$3,AQ$3&lt;Phases!$D$3+Phases!$E$3),Phases!$C$3*Scenarios!$E$8*IF("sale"="hotel",1.6,IF("Villas"="Plots",0.25,1))/Phases!$E$3,0)</f>
        <v>0</v>
      </c>
      <c r="AR8" s="0" t="n">
        <f aca="false">IF(AND(AR$3&gt;=Phases!$D$3,AR$3&lt;Phases!$D$3+Phases!$E$3),Phases!$C$3*Scenarios!$E$8*IF("sale"="hotel",1.6,IF("Villas"="Plots",0.25,1))/Phases!$E$3,0)</f>
        <v>0</v>
      </c>
      <c r="AS8" s="0" t="n">
        <f aca="false">IF(AND(AS$3&gt;=Phases!$D$3,AS$3&lt;Phases!$D$3+Phases!$E$3),Phases!$C$3*Scenarios!$E$8*IF("sale"="hotel",1.6,IF("Villas"="Plots",0.25,1))/Phases!$E$3,0)</f>
        <v>0</v>
      </c>
      <c r="AT8" s="0" t="n">
        <f aca="false">IF(AND(AT$3&gt;=Phases!$D$3,AT$3&lt;Phases!$D$3+Phases!$E$3),Phases!$C$3*Scenarios!$E$8*IF("sale"="hotel",1.6,IF("Villas"="Plots",0.25,1))/Phases!$E$3,0)</f>
        <v>0</v>
      </c>
      <c r="AU8" s="0" t="n">
        <f aca="false">IF(AND(AU$3&gt;=Phases!$D$3,AU$3&lt;Phases!$D$3+Phases!$E$3),Phases!$C$3*Scenarios!$E$8*IF("sale"="hotel",1.6,IF("Villas"="Plots",0.25,1))/Phases!$E$3,0)</f>
        <v>0</v>
      </c>
      <c r="AV8" s="0" t="n">
        <f aca="false">IF(AND(AV$3&gt;=Phases!$D$3,AV$3&lt;Phases!$D$3+Phases!$E$3),Phases!$C$3*Scenarios!$E$8*IF("sale"="hotel",1.6,IF("Villas"="Plots",0.25,1))/Phases!$E$3,0)</f>
        <v>0</v>
      </c>
      <c r="AW8" s="0" t="n">
        <f aca="false">IF(AND(AW$3&gt;=Phases!$D$3,AW$3&lt;Phases!$D$3+Phases!$E$3),Phases!$C$3*Scenarios!$E$8*IF("sale"="hotel",1.6,IF("Villas"="Plots",0.25,1))/Phases!$E$3,0)</f>
        <v>0</v>
      </c>
      <c r="AX8" s="0" t="n">
        <f aca="false">IF(AND(AX$3&gt;=Phases!$D$3,AX$3&lt;Phases!$D$3+Phases!$E$3),Phases!$C$3*Scenarios!$E$8*IF("sale"="hotel",1.6,IF("Villas"="Plots",0.25,1))/Phases!$E$3,0)</f>
        <v>0</v>
      </c>
    </row>
    <row r="9" customFormat="false" ht="15" hidden="false" customHeight="false" outlineLevel="0" collapsed="false">
      <c r="A9" s="0" t="s">
        <v>46</v>
      </c>
      <c r="B9" s="0" t="n">
        <f aca="false">IF(AND(B$3&gt;=Phases!$D$3,B$3&lt;Phases!$D$3+Phases!$F$3),Phases!$C$3*Scenarios!$E$3/Phases!$F$3,0)*(1+Inputs!$B$7*Phases!$G$3)</f>
        <v>0</v>
      </c>
      <c r="C9" s="0" t="n">
        <f aca="false">IF(AND(C$3&gt;=Phases!$D$3,C$3&lt;Phases!$D$3+Phases!$F$3),Phases!$C$3*Scenarios!$E$3/Phases!$F$3,0)*(1+Inputs!$B$7*Phases!$G$3)</f>
        <v>0</v>
      </c>
      <c r="D9" s="0" t="n">
        <f aca="false">IF(AND(D$3&gt;=Phases!$D$3,D$3&lt;Phases!$D$3+Phases!$F$3),Phases!$C$3*Scenarios!$E$3/Phases!$F$3,0)*(1+Inputs!$B$7*Phases!$G$3)</f>
        <v>0</v>
      </c>
      <c r="E9" s="0" t="n">
        <f aca="false">IF(AND(E$3&gt;=Phases!$D$3,E$3&lt;Phases!$D$3+Phases!$F$3),Phases!$C$3*Scenarios!$E$3/Phases!$F$3,0)*(1+Inputs!$B$7*Phases!$G$3)</f>
        <v>143000000</v>
      </c>
      <c r="F9" s="0" t="n">
        <f aca="false">IF(AND(F$3&gt;=Phases!$D$3,F$3&lt;Phases!$D$3+Phases!$F$3),Phases!$C$3*Scenarios!$E$3/Phases!$F$3,0)*(1+Inputs!$B$7*Phases!$G$3)</f>
        <v>143000000</v>
      </c>
      <c r="G9" s="0" t="n">
        <f aca="false">IF(AND(G$3&gt;=Phases!$D$3,G$3&lt;Phases!$D$3+Phases!$F$3),Phases!$C$3*Scenarios!$E$3/Phases!$F$3,0)*(1+Inputs!$B$7*Phases!$G$3)</f>
        <v>143000000</v>
      </c>
      <c r="H9" s="0" t="n">
        <f aca="false">IF(AND(H$3&gt;=Phases!$D$3,H$3&lt;Phases!$D$3+Phases!$F$3),Phases!$C$3*Scenarios!$E$3/Phases!$F$3,0)*(1+Inputs!$B$7*Phases!$G$3)</f>
        <v>143000000</v>
      </c>
      <c r="I9" s="0" t="n">
        <f aca="false">IF(AND(I$3&gt;=Phases!$D$3,I$3&lt;Phases!$D$3+Phases!$F$3),Phases!$C$3*Scenarios!$E$3/Phases!$F$3,0)*(1+Inputs!$B$7*Phases!$G$3)</f>
        <v>143000000</v>
      </c>
      <c r="J9" s="0" t="n">
        <f aca="false">IF(AND(J$3&gt;=Phases!$D$3,J$3&lt;Phases!$D$3+Phases!$F$3),Phases!$C$3*Scenarios!$E$3/Phases!$F$3,0)*(1+Inputs!$B$7*Phases!$G$3)</f>
        <v>143000000</v>
      </c>
      <c r="K9" s="0" t="n">
        <f aca="false">IF(AND(K$3&gt;=Phases!$D$3,K$3&lt;Phases!$D$3+Phases!$F$3),Phases!$C$3*Scenarios!$E$3/Phases!$F$3,0)*(1+Inputs!$B$7*Phases!$G$3)</f>
        <v>143000000</v>
      </c>
      <c r="L9" s="0" t="n">
        <f aca="false">IF(AND(L$3&gt;=Phases!$D$3,L$3&lt;Phases!$D$3+Phases!$F$3),Phases!$C$3*Scenarios!$E$3/Phases!$F$3,0)*(1+Inputs!$B$7*Phases!$G$3)</f>
        <v>143000000</v>
      </c>
      <c r="M9" s="0" t="n">
        <f aca="false">IF(AND(M$3&gt;=Phases!$D$3,M$3&lt;Phases!$D$3+Phases!$F$3),Phases!$C$3*Scenarios!$E$3/Phases!$F$3,0)*(1+Inputs!$B$7*Phases!$G$3)</f>
        <v>0</v>
      </c>
      <c r="N9" s="0" t="n">
        <f aca="false">IF(AND(N$3&gt;=Phases!$D$3,N$3&lt;Phases!$D$3+Phases!$F$3),Phases!$C$3*Scenarios!$E$3/Phases!$F$3,0)*(1+Inputs!$B$7*Phases!$G$3)</f>
        <v>0</v>
      </c>
      <c r="O9" s="0" t="n">
        <f aca="false">IF(AND(O$3&gt;=Phases!$D$3,O$3&lt;Phases!$D$3+Phases!$F$3),Phases!$C$3*Scenarios!$E$3/Phases!$F$3,0)*(1+Inputs!$B$7*Phases!$G$3)</f>
        <v>0</v>
      </c>
      <c r="P9" s="0" t="n">
        <f aca="false">IF(AND(P$3&gt;=Phases!$D$3,P$3&lt;Phases!$D$3+Phases!$F$3),Phases!$C$3*Scenarios!$E$3/Phases!$F$3,0)*(1+Inputs!$B$7*Phases!$G$3)</f>
        <v>0</v>
      </c>
      <c r="Q9" s="0" t="n">
        <f aca="false">IF(AND(Q$3&gt;=Phases!$D$3,Q$3&lt;Phases!$D$3+Phases!$F$3),Phases!$C$3*Scenarios!$E$3/Phases!$F$3,0)*(1+Inputs!$B$7*Phases!$G$3)</f>
        <v>0</v>
      </c>
      <c r="R9" s="0" t="n">
        <f aca="false">IF(AND(R$3&gt;=Phases!$D$3,R$3&lt;Phases!$D$3+Phases!$F$3),Phases!$C$3*Scenarios!$E$3/Phases!$F$3,0)*(1+Inputs!$B$7*Phases!$G$3)</f>
        <v>0</v>
      </c>
      <c r="S9" s="0" t="n">
        <f aca="false">IF(AND(S$3&gt;=Phases!$D$3,S$3&lt;Phases!$D$3+Phases!$F$3),Phases!$C$3*Scenarios!$E$3/Phases!$F$3,0)*(1+Inputs!$B$7*Phases!$G$3)</f>
        <v>0</v>
      </c>
      <c r="T9" s="0" t="n">
        <f aca="false">IF(AND(T$3&gt;=Phases!$D$3,T$3&lt;Phases!$D$3+Phases!$F$3),Phases!$C$3*Scenarios!$E$3/Phases!$F$3,0)*(1+Inputs!$B$7*Phases!$G$3)</f>
        <v>0</v>
      </c>
      <c r="U9" s="0" t="n">
        <f aca="false">IF(AND(U$3&gt;=Phases!$D$3,U$3&lt;Phases!$D$3+Phases!$F$3),Phases!$C$3*Scenarios!$E$3/Phases!$F$3,0)*(1+Inputs!$B$7*Phases!$G$3)</f>
        <v>0</v>
      </c>
      <c r="V9" s="0" t="n">
        <f aca="false">IF(AND(V$3&gt;=Phases!$D$3,V$3&lt;Phases!$D$3+Phases!$F$3),Phases!$C$3*Scenarios!$E$3/Phases!$F$3,0)*(1+Inputs!$B$7*Phases!$G$3)</f>
        <v>0</v>
      </c>
      <c r="W9" s="0" t="n">
        <f aca="false">IF(AND(W$3&gt;=Phases!$D$3,W$3&lt;Phases!$D$3+Phases!$F$3),Phases!$C$3*Scenarios!$E$3/Phases!$F$3,0)*(1+Inputs!$B$7*Phases!$G$3)</f>
        <v>0</v>
      </c>
      <c r="X9" s="0" t="n">
        <f aca="false">IF(AND(X$3&gt;=Phases!$D$3,X$3&lt;Phases!$D$3+Phases!$F$3),Phases!$C$3*Scenarios!$E$3/Phases!$F$3,0)*(1+Inputs!$B$7*Phases!$G$3)</f>
        <v>0</v>
      </c>
      <c r="Y9" s="0" t="n">
        <f aca="false">IF(AND(Y$3&gt;=Phases!$D$3,Y$3&lt;Phases!$D$3+Phases!$F$3),Phases!$C$3*Scenarios!$E$3/Phases!$F$3,0)*(1+Inputs!$B$7*Phases!$G$3)</f>
        <v>0</v>
      </c>
      <c r="Z9" s="0" t="n">
        <f aca="false">IF(AND(Z$3&gt;=Phases!$D$3,Z$3&lt;Phases!$D$3+Phases!$F$3),Phases!$C$3*Scenarios!$E$3/Phases!$F$3,0)*(1+Inputs!$B$7*Phases!$G$3)</f>
        <v>0</v>
      </c>
      <c r="AA9" s="0" t="n">
        <f aca="false">IF(AND(AA$3&gt;=Phases!$D$3,AA$3&lt;Phases!$D$3+Phases!$F$3),Phases!$C$3*Scenarios!$E$3/Phases!$F$3,0)*(1+Inputs!$B$7*Phases!$G$3)</f>
        <v>0</v>
      </c>
      <c r="AB9" s="0" t="n">
        <f aca="false">IF(AND(AB$3&gt;=Phases!$D$3,AB$3&lt;Phases!$D$3+Phases!$F$3),Phases!$C$3*Scenarios!$E$3/Phases!$F$3,0)*(1+Inputs!$B$7*Phases!$G$3)</f>
        <v>0</v>
      </c>
      <c r="AC9" s="0" t="n">
        <f aca="false">IF(AND(AC$3&gt;=Phases!$D$3,AC$3&lt;Phases!$D$3+Phases!$F$3),Phases!$C$3*Scenarios!$E$3/Phases!$F$3,0)*(1+Inputs!$B$7*Phases!$G$3)</f>
        <v>0</v>
      </c>
      <c r="AD9" s="0" t="n">
        <f aca="false">IF(AND(AD$3&gt;=Phases!$D$3,AD$3&lt;Phases!$D$3+Phases!$F$3),Phases!$C$3*Scenarios!$E$3/Phases!$F$3,0)*(1+Inputs!$B$7*Phases!$G$3)</f>
        <v>0</v>
      </c>
      <c r="AE9" s="0" t="n">
        <f aca="false">IF(AND(AE$3&gt;=Phases!$D$3,AE$3&lt;Phases!$D$3+Phases!$F$3),Phases!$C$3*Scenarios!$E$3/Phases!$F$3,0)*(1+Inputs!$B$7*Phases!$G$3)</f>
        <v>0</v>
      </c>
      <c r="AF9" s="0" t="n">
        <f aca="false">IF(AND(AF$3&gt;=Phases!$D$3,AF$3&lt;Phases!$D$3+Phases!$F$3),Phases!$C$3*Scenarios!$E$3/Phases!$F$3,0)*(1+Inputs!$B$7*Phases!$G$3)</f>
        <v>0</v>
      </c>
      <c r="AG9" s="0" t="n">
        <f aca="false">IF(AND(AG$3&gt;=Phases!$D$3,AG$3&lt;Phases!$D$3+Phases!$F$3),Phases!$C$3*Scenarios!$E$3/Phases!$F$3,0)*(1+Inputs!$B$7*Phases!$G$3)</f>
        <v>0</v>
      </c>
      <c r="AH9" s="0" t="n">
        <f aca="false">IF(AND(AH$3&gt;=Phases!$D$3,AH$3&lt;Phases!$D$3+Phases!$F$3),Phases!$C$3*Scenarios!$E$3/Phases!$F$3,0)*(1+Inputs!$B$7*Phases!$G$3)</f>
        <v>0</v>
      </c>
      <c r="AI9" s="0" t="n">
        <f aca="false">IF(AND(AI$3&gt;=Phases!$D$3,AI$3&lt;Phases!$D$3+Phases!$F$3),Phases!$C$3*Scenarios!$E$3/Phases!$F$3,0)*(1+Inputs!$B$7*Phases!$G$3)</f>
        <v>0</v>
      </c>
      <c r="AJ9" s="0" t="n">
        <f aca="false">IF(AND(AJ$3&gt;=Phases!$D$3,AJ$3&lt;Phases!$D$3+Phases!$F$3),Phases!$C$3*Scenarios!$E$3/Phases!$F$3,0)*(1+Inputs!$B$7*Phases!$G$3)</f>
        <v>0</v>
      </c>
      <c r="AK9" s="0" t="n">
        <f aca="false">IF(AND(AK$3&gt;=Phases!$D$3,AK$3&lt;Phases!$D$3+Phases!$F$3),Phases!$C$3*Scenarios!$E$3/Phases!$F$3,0)*(1+Inputs!$B$7*Phases!$G$3)</f>
        <v>0</v>
      </c>
      <c r="AL9" s="0" t="n">
        <f aca="false">IF(AND(AL$3&gt;=Phases!$D$3,AL$3&lt;Phases!$D$3+Phases!$F$3),Phases!$C$3*Scenarios!$E$3/Phases!$F$3,0)*(1+Inputs!$B$7*Phases!$G$3)</f>
        <v>0</v>
      </c>
      <c r="AM9" s="0" t="n">
        <f aca="false">IF(AND(AM$3&gt;=Phases!$D$3,AM$3&lt;Phases!$D$3+Phases!$F$3),Phases!$C$3*Scenarios!$E$3/Phases!$F$3,0)*(1+Inputs!$B$7*Phases!$G$3)</f>
        <v>0</v>
      </c>
      <c r="AN9" s="0" t="n">
        <f aca="false">IF(AND(AN$3&gt;=Phases!$D$3,AN$3&lt;Phases!$D$3+Phases!$F$3),Phases!$C$3*Scenarios!$E$3/Phases!$F$3,0)*(1+Inputs!$B$7*Phases!$G$3)</f>
        <v>0</v>
      </c>
      <c r="AO9" s="0" t="n">
        <f aca="false">IF(AND(AO$3&gt;=Phases!$D$3,AO$3&lt;Phases!$D$3+Phases!$F$3),Phases!$C$3*Scenarios!$E$3/Phases!$F$3,0)*(1+Inputs!$B$7*Phases!$G$3)</f>
        <v>0</v>
      </c>
      <c r="AP9" s="0" t="n">
        <f aca="false">IF(AND(AP$3&gt;=Phases!$D$3,AP$3&lt;Phases!$D$3+Phases!$F$3),Phases!$C$3*Scenarios!$E$3/Phases!$F$3,0)*(1+Inputs!$B$7*Phases!$G$3)</f>
        <v>0</v>
      </c>
      <c r="AQ9" s="0" t="n">
        <f aca="false">IF(AND(AQ$3&gt;=Phases!$D$3,AQ$3&lt;Phases!$D$3+Phases!$F$3),Phases!$C$3*Scenarios!$E$3/Phases!$F$3,0)*(1+Inputs!$B$7*Phases!$G$3)</f>
        <v>0</v>
      </c>
      <c r="AR9" s="0" t="n">
        <f aca="false">IF(AND(AR$3&gt;=Phases!$D$3,AR$3&lt;Phases!$D$3+Phases!$F$3),Phases!$C$3*Scenarios!$E$3/Phases!$F$3,0)*(1+Inputs!$B$7*Phases!$G$3)</f>
        <v>0</v>
      </c>
      <c r="AS9" s="0" t="n">
        <f aca="false">IF(AND(AS$3&gt;=Phases!$D$3,AS$3&lt;Phases!$D$3+Phases!$F$3),Phases!$C$3*Scenarios!$E$3/Phases!$F$3,0)*(1+Inputs!$B$7*Phases!$G$3)</f>
        <v>0</v>
      </c>
      <c r="AT9" s="0" t="n">
        <f aca="false">IF(AND(AT$3&gt;=Phases!$D$3,AT$3&lt;Phases!$D$3+Phases!$F$3),Phases!$C$3*Scenarios!$E$3/Phases!$F$3,0)*(1+Inputs!$B$7*Phases!$G$3)</f>
        <v>0</v>
      </c>
      <c r="AU9" s="0" t="n">
        <f aca="false">IF(AND(AU$3&gt;=Phases!$D$3,AU$3&lt;Phases!$D$3+Phases!$F$3),Phases!$C$3*Scenarios!$E$3/Phases!$F$3,0)*(1+Inputs!$B$7*Phases!$G$3)</f>
        <v>0</v>
      </c>
      <c r="AV9" s="0" t="n">
        <f aca="false">IF(AND(AV$3&gt;=Phases!$D$3,AV$3&lt;Phases!$D$3+Phases!$F$3),Phases!$C$3*Scenarios!$E$3/Phases!$F$3,0)*(1+Inputs!$B$7*Phases!$G$3)</f>
        <v>0</v>
      </c>
      <c r="AW9" s="0" t="n">
        <f aca="false">IF(AND(AW$3&gt;=Phases!$D$3,AW$3&lt;Phases!$D$3+Phases!$F$3),Phases!$C$3*Scenarios!$E$3/Phases!$F$3,0)*(1+Inputs!$B$7*Phases!$G$3)</f>
        <v>0</v>
      </c>
      <c r="AX9" s="0" t="n">
        <f aca="false">IF(AND(AX$3&gt;=Phases!$D$3,AX$3&lt;Phases!$D$3+Phases!$F$3),Phases!$C$3*Scenarios!$E$3/Phases!$F$3,0)*(1+Inputs!$B$7*Phases!$G$3)</f>
        <v>0</v>
      </c>
    </row>
    <row r="10" customFormat="false" ht="15" hidden="false" customHeight="false" outlineLevel="0" collapsed="false">
      <c r="A10" s="0" t="s">
        <v>47</v>
      </c>
      <c r="B10" s="0" t="n">
        <f aca="false">B9*(1-Inputs!$B$11)</f>
        <v>0</v>
      </c>
      <c r="C10" s="0" t="n">
        <f aca="false">IF(C$3&lt;Phases!$D$3+Phases!$E$3-1,C9*(1-Inputs!$B$11)+Inputs!$B$11*SUM($B$9:C9)*MIN(1,MAX(0,(C$3-Phases!$D$3+1)/Phases!$E$3))-Inputs!$B$11*SUM($B$9:B9)*MIN(1,MAX(0,(C$3-Phases!$D$3)/Phases!$E$3)),SUM($B$9:C9)-SUM($B$10:B10)+IF(C$3&gt;=Phases!$D$3+Phases!$E$3-1,0,0))</f>
        <v>0</v>
      </c>
      <c r="D10" s="0" t="n">
        <f aca="false">IF(D$3&lt;Phases!$D$3+Phases!$E$3-1,D9*(1-Inputs!$B$11)+Inputs!$B$11*SUM($B$9:D9)*MIN(1,MAX(0,(D$3-Phases!$D$3+1)/Phases!$E$3))-Inputs!$B$11*SUM($B$9:C9)*MIN(1,MAX(0,(D$3-Phases!$D$3)/Phases!$E$3)),SUM($B$9:D9)-SUM($B$10:C10)+IF(D$3&gt;=Phases!$D$3+Phases!$E$3-1,0,0))</f>
        <v>0</v>
      </c>
      <c r="E10" s="0" t="n">
        <f aca="false">IF(E$3&lt;Phases!$D$3+Phases!$E$3-1,E9*(1-Inputs!$B$11)+Inputs!$B$11*SUM($B$9:E9)*MIN(1,MAX(0,(E$3-Phases!$D$3+1)/Phases!$E$3))-Inputs!$B$11*SUM($B$9:D9)*MIN(1,MAX(0,(E$3-Phases!$D$3)/Phases!$E$3)),SUM($B$9:E9)-SUM($B$10:D10)+IF(E$3&gt;=Phases!$D$3+Phases!$E$3-1,0,0))</f>
        <v>55412500</v>
      </c>
      <c r="F10" s="0" t="n">
        <f aca="false">IF(F$3&lt;Phases!$D$3+Phases!$E$3-1,F9*(1-Inputs!$B$11)+Inputs!$B$11*SUM($B$9:F9)*MIN(1,MAX(0,(F$3-Phases!$D$3+1)/Phases!$E$3))-Inputs!$B$11*SUM($B$9:E9)*MIN(1,MAX(0,(F$3-Phases!$D$3)/Phases!$E$3)),SUM($B$9:F9)-SUM($B$10:E10)+IF(F$3&gt;=Phases!$D$3+Phases!$E$3-1,0,0))</f>
        <v>80437500</v>
      </c>
      <c r="G10" s="0" t="n">
        <f aca="false">IF(G$3&lt;Phases!$D$3+Phases!$E$3-1,G9*(1-Inputs!$B$11)+Inputs!$B$11*SUM($B$9:G9)*MIN(1,MAX(0,(G$3-Phases!$D$3+1)/Phases!$E$3))-Inputs!$B$11*SUM($B$9:F9)*MIN(1,MAX(0,(G$3-Phases!$D$3)/Phases!$E$3)),SUM($B$9:G9)-SUM($B$10:F10)+IF(G$3&gt;=Phases!$D$3+Phases!$E$3-1,0,0))</f>
        <v>105462500</v>
      </c>
      <c r="H10" s="0" t="n">
        <f aca="false">IF(H$3&lt;Phases!$D$3+Phases!$E$3-1,H9*(1-Inputs!$B$11)+Inputs!$B$11*SUM($B$9:H9)*MIN(1,MAX(0,(H$3-Phases!$D$3+1)/Phases!$E$3))-Inputs!$B$11*SUM($B$9:G9)*MIN(1,MAX(0,(H$3-Phases!$D$3)/Phases!$E$3)),SUM($B$9:H9)-SUM($B$10:G10)+IF(H$3&gt;=Phases!$D$3+Phases!$E$3-1,0,0))</f>
        <v>130487500</v>
      </c>
      <c r="I10" s="0" t="n">
        <f aca="false">IF(I$3&lt;Phases!$D$3+Phases!$E$3-1,I9*(1-Inputs!$B$11)+Inputs!$B$11*SUM($B$9:I9)*MIN(1,MAX(0,(I$3-Phases!$D$3+1)/Phases!$E$3))-Inputs!$B$11*SUM($B$9:H9)*MIN(1,MAX(0,(I$3-Phases!$D$3)/Phases!$E$3)),SUM($B$9:I9)-SUM($B$10:H10)+IF(I$3&gt;=Phases!$D$3+Phases!$E$3-1,0,0))</f>
        <v>155512500</v>
      </c>
      <c r="J10" s="0" t="n">
        <f aca="false">IF(J$3&lt;Phases!$D$3+Phases!$E$3-1,J9*(1-Inputs!$B$11)+Inputs!$B$11*SUM($B$9:J9)*MIN(1,MAX(0,(J$3-Phases!$D$3+1)/Phases!$E$3))-Inputs!$B$11*SUM($B$9:I9)*MIN(1,MAX(0,(J$3-Phases!$D$3)/Phases!$E$3)),SUM($B$9:J9)-SUM($B$10:I10)+IF(J$3&gt;=Phases!$D$3+Phases!$E$3-1,0,0))</f>
        <v>180537500</v>
      </c>
      <c r="K10" s="0" t="n">
        <f aca="false">IF(K$3&lt;Phases!$D$3+Phases!$E$3-1,K9*(1-Inputs!$B$11)+Inputs!$B$11*SUM($B$9:K9)*MIN(1,MAX(0,(K$3-Phases!$D$3+1)/Phases!$E$3))-Inputs!$B$11*SUM($B$9:J9)*MIN(1,MAX(0,(K$3-Phases!$D$3)/Phases!$E$3)),SUM($B$9:K9)-SUM($B$10:J10)+IF(K$3&gt;=Phases!$D$3+Phases!$E$3-1,0,0))</f>
        <v>205562500</v>
      </c>
      <c r="L10" s="0" t="n">
        <f aca="false">IF(L$3&lt;Phases!$D$3+Phases!$E$3-1,L9*(1-Inputs!$B$11)+Inputs!$B$11*SUM($B$9:L9)*MIN(1,MAX(0,(L$3-Phases!$D$3+1)/Phases!$E$3))-Inputs!$B$11*SUM($B$9:K9)*MIN(1,MAX(0,(L$3-Phases!$D$3)/Phases!$E$3)),SUM($B$9:L9)-SUM($B$10:K10)+IF(L$3&gt;=Phases!$D$3+Phases!$E$3-1,0,0))</f>
        <v>230587500</v>
      </c>
      <c r="M10" s="0" t="n">
        <f aca="false">IF(M$3&lt;Phases!$D$3+Phases!$E$3-1,M9*(1-Inputs!$B$11)+Inputs!$B$11*SUM($B$9:M9)*MIN(1,MAX(0,(M$3-Phases!$D$3+1)/Phases!$E$3))-Inputs!$B$11*SUM($B$9:L9)*MIN(1,MAX(0,(M$3-Phases!$D$3)/Phases!$E$3)),SUM($B$9:M9)-SUM($B$10:L10)+IF(M$3&gt;=Phases!$D$3+Phases!$E$3-1,0,0))</f>
        <v>0</v>
      </c>
      <c r="N10" s="0" t="n">
        <f aca="false">IF(N$3&lt;Phases!$D$3+Phases!$E$3-1,N9*(1-Inputs!$B$11)+Inputs!$B$11*SUM($B$9:N9)*MIN(1,MAX(0,(N$3-Phases!$D$3+1)/Phases!$E$3))-Inputs!$B$11*SUM($B$9:M9)*MIN(1,MAX(0,(N$3-Phases!$D$3)/Phases!$E$3)),SUM($B$9:N9)-SUM($B$10:M10)+IF(N$3&gt;=Phases!$D$3+Phases!$E$3-1,0,0))</f>
        <v>0</v>
      </c>
      <c r="O10" s="0" t="n">
        <f aca="false">IF(O$3&lt;Phases!$D$3+Phases!$E$3-1,O9*(1-Inputs!$B$11)+Inputs!$B$11*SUM($B$9:O9)*MIN(1,MAX(0,(O$3-Phases!$D$3+1)/Phases!$E$3))-Inputs!$B$11*SUM($B$9:N9)*MIN(1,MAX(0,(O$3-Phases!$D$3)/Phases!$E$3)),SUM($B$9:O9)-SUM($B$10:N10)+IF(O$3&gt;=Phases!$D$3+Phases!$E$3-1,0,0))</f>
        <v>0</v>
      </c>
      <c r="P10" s="0" t="n">
        <f aca="false">IF(P$3&lt;Phases!$D$3+Phases!$E$3-1,P9*(1-Inputs!$B$11)+Inputs!$B$11*SUM($B$9:P9)*MIN(1,MAX(0,(P$3-Phases!$D$3+1)/Phases!$E$3))-Inputs!$B$11*SUM($B$9:O9)*MIN(1,MAX(0,(P$3-Phases!$D$3)/Phases!$E$3)),SUM($B$9:P9)-SUM($B$10:O10)+IF(P$3&gt;=Phases!$D$3+Phases!$E$3-1,0,0))</f>
        <v>0</v>
      </c>
      <c r="Q10" s="0" t="n">
        <f aca="false">IF(Q$3&lt;Phases!$D$3+Phases!$E$3-1,Q9*(1-Inputs!$B$11)+Inputs!$B$11*SUM($B$9:Q9)*MIN(1,MAX(0,(Q$3-Phases!$D$3+1)/Phases!$E$3))-Inputs!$B$11*SUM($B$9:P9)*MIN(1,MAX(0,(Q$3-Phases!$D$3)/Phases!$E$3)),SUM($B$9:Q9)-SUM($B$10:P10)+IF(Q$3&gt;=Phases!$D$3+Phases!$E$3-1,0,0))</f>
        <v>0</v>
      </c>
      <c r="R10" s="0" t="n">
        <f aca="false">IF(R$3&lt;Phases!$D$3+Phases!$E$3-1,R9*(1-Inputs!$B$11)+Inputs!$B$11*SUM($B$9:R9)*MIN(1,MAX(0,(R$3-Phases!$D$3+1)/Phases!$E$3))-Inputs!$B$11*SUM($B$9:Q9)*MIN(1,MAX(0,(R$3-Phases!$D$3)/Phases!$E$3)),SUM($B$9:R9)-SUM($B$10:Q10)+IF(R$3&gt;=Phases!$D$3+Phases!$E$3-1,0,0))</f>
        <v>0</v>
      </c>
      <c r="S10" s="0" t="n">
        <f aca="false">IF(S$3&lt;Phases!$D$3+Phases!$E$3-1,S9*(1-Inputs!$B$11)+Inputs!$B$11*SUM($B$9:S9)*MIN(1,MAX(0,(S$3-Phases!$D$3+1)/Phases!$E$3))-Inputs!$B$11*SUM($B$9:R9)*MIN(1,MAX(0,(S$3-Phases!$D$3)/Phases!$E$3)),SUM($B$9:S9)-SUM($B$10:R10)+IF(S$3&gt;=Phases!$D$3+Phases!$E$3-1,0,0))</f>
        <v>0</v>
      </c>
      <c r="T10" s="0" t="n">
        <f aca="false">IF(T$3&lt;Phases!$D$3+Phases!$E$3-1,T9*(1-Inputs!$B$11)+Inputs!$B$11*SUM($B$9:T9)*MIN(1,MAX(0,(T$3-Phases!$D$3+1)/Phases!$E$3))-Inputs!$B$11*SUM($B$9:S9)*MIN(1,MAX(0,(T$3-Phases!$D$3)/Phases!$E$3)),SUM($B$9:T9)-SUM($B$10:S10)+IF(T$3&gt;=Phases!$D$3+Phases!$E$3-1,0,0))</f>
        <v>0</v>
      </c>
      <c r="U10" s="0" t="n">
        <f aca="false">IF(U$3&lt;Phases!$D$3+Phases!$E$3-1,U9*(1-Inputs!$B$11)+Inputs!$B$11*SUM($B$9:U9)*MIN(1,MAX(0,(U$3-Phases!$D$3+1)/Phases!$E$3))-Inputs!$B$11*SUM($B$9:T9)*MIN(1,MAX(0,(U$3-Phases!$D$3)/Phases!$E$3)),SUM($B$9:U9)-SUM($B$10:T10)+IF(U$3&gt;=Phases!$D$3+Phases!$E$3-1,0,0))</f>
        <v>0</v>
      </c>
      <c r="V10" s="0" t="n">
        <f aca="false">IF(V$3&lt;Phases!$D$3+Phases!$E$3-1,V9*(1-Inputs!$B$11)+Inputs!$B$11*SUM($B$9:V9)*MIN(1,MAX(0,(V$3-Phases!$D$3+1)/Phases!$E$3))-Inputs!$B$11*SUM($B$9:U9)*MIN(1,MAX(0,(V$3-Phases!$D$3)/Phases!$E$3)),SUM($B$9:V9)-SUM($B$10:U10)+IF(V$3&gt;=Phases!$D$3+Phases!$E$3-1,0,0))</f>
        <v>0</v>
      </c>
      <c r="W10" s="0" t="n">
        <f aca="false">IF(W$3&lt;Phases!$D$3+Phases!$E$3-1,W9*(1-Inputs!$B$11)+Inputs!$B$11*SUM($B$9:W9)*MIN(1,MAX(0,(W$3-Phases!$D$3+1)/Phases!$E$3))-Inputs!$B$11*SUM($B$9:V9)*MIN(1,MAX(0,(W$3-Phases!$D$3)/Phases!$E$3)),SUM($B$9:W9)-SUM($B$10:V10)+IF(W$3&gt;=Phases!$D$3+Phases!$E$3-1,0,0))</f>
        <v>0</v>
      </c>
      <c r="X10" s="0" t="n">
        <f aca="false">IF(X$3&lt;Phases!$D$3+Phases!$E$3-1,X9*(1-Inputs!$B$11)+Inputs!$B$11*SUM($B$9:X9)*MIN(1,MAX(0,(X$3-Phases!$D$3+1)/Phases!$E$3))-Inputs!$B$11*SUM($B$9:W9)*MIN(1,MAX(0,(X$3-Phases!$D$3)/Phases!$E$3)),SUM($B$9:X9)-SUM($B$10:W10)+IF(X$3&gt;=Phases!$D$3+Phases!$E$3-1,0,0))</f>
        <v>0</v>
      </c>
      <c r="Y10" s="0" t="n">
        <f aca="false">IF(Y$3&lt;Phases!$D$3+Phases!$E$3-1,Y9*(1-Inputs!$B$11)+Inputs!$B$11*SUM($B$9:Y9)*MIN(1,MAX(0,(Y$3-Phases!$D$3+1)/Phases!$E$3))-Inputs!$B$11*SUM($B$9:X9)*MIN(1,MAX(0,(Y$3-Phases!$D$3)/Phases!$E$3)),SUM($B$9:Y9)-SUM($B$10:X10)+IF(Y$3&gt;=Phases!$D$3+Phases!$E$3-1,0,0))</f>
        <v>0</v>
      </c>
      <c r="Z10" s="0" t="n">
        <f aca="false">IF(Z$3&lt;Phases!$D$3+Phases!$E$3-1,Z9*(1-Inputs!$B$11)+Inputs!$B$11*SUM($B$9:Z9)*MIN(1,MAX(0,(Z$3-Phases!$D$3+1)/Phases!$E$3))-Inputs!$B$11*SUM($B$9:Y9)*MIN(1,MAX(0,(Z$3-Phases!$D$3)/Phases!$E$3)),SUM($B$9:Z9)-SUM($B$10:Y10)+IF(Z$3&gt;=Phases!$D$3+Phases!$E$3-1,0,0))</f>
        <v>0</v>
      </c>
      <c r="AA10" s="0" t="n">
        <f aca="false">IF(AA$3&lt;Phases!$D$3+Phases!$E$3-1,AA9*(1-Inputs!$B$11)+Inputs!$B$11*SUM($B$9:AA9)*MIN(1,MAX(0,(AA$3-Phases!$D$3+1)/Phases!$E$3))-Inputs!$B$11*SUM($B$9:Z9)*MIN(1,MAX(0,(AA$3-Phases!$D$3)/Phases!$E$3)),SUM($B$9:AA9)-SUM($B$10:Z10)+IF(AA$3&gt;=Phases!$D$3+Phases!$E$3-1,0,0))</f>
        <v>0</v>
      </c>
      <c r="AB10" s="0" t="n">
        <f aca="false">IF(AB$3&lt;Phases!$D$3+Phases!$E$3-1,AB9*(1-Inputs!$B$11)+Inputs!$B$11*SUM($B$9:AB9)*MIN(1,MAX(0,(AB$3-Phases!$D$3+1)/Phases!$E$3))-Inputs!$B$11*SUM($B$9:AA9)*MIN(1,MAX(0,(AB$3-Phases!$D$3)/Phases!$E$3)),SUM($B$9:AB9)-SUM($B$10:AA10)+IF(AB$3&gt;=Phases!$D$3+Phases!$E$3-1,0,0))</f>
        <v>0</v>
      </c>
      <c r="AC10" s="0" t="n">
        <f aca="false">IF(AC$3&lt;Phases!$D$3+Phases!$E$3-1,AC9*(1-Inputs!$B$11)+Inputs!$B$11*SUM($B$9:AC9)*MIN(1,MAX(0,(AC$3-Phases!$D$3+1)/Phases!$E$3))-Inputs!$B$11*SUM($B$9:AB9)*MIN(1,MAX(0,(AC$3-Phases!$D$3)/Phases!$E$3)),SUM($B$9:AC9)-SUM($B$10:AB10)+IF(AC$3&gt;=Phases!$D$3+Phases!$E$3-1,0,0))</f>
        <v>0</v>
      </c>
      <c r="AD10" s="0" t="n">
        <f aca="false">IF(AD$3&lt;Phases!$D$3+Phases!$E$3-1,AD9*(1-Inputs!$B$11)+Inputs!$B$11*SUM($B$9:AD9)*MIN(1,MAX(0,(AD$3-Phases!$D$3+1)/Phases!$E$3))-Inputs!$B$11*SUM($B$9:AC9)*MIN(1,MAX(0,(AD$3-Phases!$D$3)/Phases!$E$3)),SUM($B$9:AD9)-SUM($B$10:AC10)+IF(AD$3&gt;=Phases!$D$3+Phases!$E$3-1,0,0))</f>
        <v>0</v>
      </c>
      <c r="AE10" s="0" t="n">
        <f aca="false">IF(AE$3&lt;Phases!$D$3+Phases!$E$3-1,AE9*(1-Inputs!$B$11)+Inputs!$B$11*SUM($B$9:AE9)*MIN(1,MAX(0,(AE$3-Phases!$D$3+1)/Phases!$E$3))-Inputs!$B$11*SUM($B$9:AD9)*MIN(1,MAX(0,(AE$3-Phases!$D$3)/Phases!$E$3)),SUM($B$9:AE9)-SUM($B$10:AD10)+IF(AE$3&gt;=Phases!$D$3+Phases!$E$3-1,0,0))</f>
        <v>0</v>
      </c>
      <c r="AF10" s="0" t="n">
        <f aca="false">IF(AF$3&lt;Phases!$D$3+Phases!$E$3-1,AF9*(1-Inputs!$B$11)+Inputs!$B$11*SUM($B$9:AF9)*MIN(1,MAX(0,(AF$3-Phases!$D$3+1)/Phases!$E$3))-Inputs!$B$11*SUM($B$9:AE9)*MIN(1,MAX(0,(AF$3-Phases!$D$3)/Phases!$E$3)),SUM($B$9:AF9)-SUM($B$10:AE10)+IF(AF$3&gt;=Phases!$D$3+Phases!$E$3-1,0,0))</f>
        <v>0</v>
      </c>
      <c r="AG10" s="0" t="n">
        <f aca="false">IF(AG$3&lt;Phases!$D$3+Phases!$E$3-1,AG9*(1-Inputs!$B$11)+Inputs!$B$11*SUM($B$9:AG9)*MIN(1,MAX(0,(AG$3-Phases!$D$3+1)/Phases!$E$3))-Inputs!$B$11*SUM($B$9:AF9)*MIN(1,MAX(0,(AG$3-Phases!$D$3)/Phases!$E$3)),SUM($B$9:AG9)-SUM($B$10:AF10)+IF(AG$3&gt;=Phases!$D$3+Phases!$E$3-1,0,0))</f>
        <v>0</v>
      </c>
      <c r="AH10" s="0" t="n">
        <f aca="false">IF(AH$3&lt;Phases!$D$3+Phases!$E$3-1,AH9*(1-Inputs!$B$11)+Inputs!$B$11*SUM($B$9:AH9)*MIN(1,MAX(0,(AH$3-Phases!$D$3+1)/Phases!$E$3))-Inputs!$B$11*SUM($B$9:AG9)*MIN(1,MAX(0,(AH$3-Phases!$D$3)/Phases!$E$3)),SUM($B$9:AH9)-SUM($B$10:AG10)+IF(AH$3&gt;=Phases!$D$3+Phases!$E$3-1,0,0))</f>
        <v>0</v>
      </c>
      <c r="AI10" s="0" t="n">
        <f aca="false">IF(AI$3&lt;Phases!$D$3+Phases!$E$3-1,AI9*(1-Inputs!$B$11)+Inputs!$B$11*SUM($B$9:AI9)*MIN(1,MAX(0,(AI$3-Phases!$D$3+1)/Phases!$E$3))-Inputs!$B$11*SUM($B$9:AH9)*MIN(1,MAX(0,(AI$3-Phases!$D$3)/Phases!$E$3)),SUM($B$9:AI9)-SUM($B$10:AH10)+IF(AI$3&gt;=Phases!$D$3+Phases!$E$3-1,0,0))</f>
        <v>0</v>
      </c>
      <c r="AJ10" s="0" t="n">
        <f aca="false">IF(AJ$3&lt;Phases!$D$3+Phases!$E$3-1,AJ9*(1-Inputs!$B$11)+Inputs!$B$11*SUM($B$9:AJ9)*MIN(1,MAX(0,(AJ$3-Phases!$D$3+1)/Phases!$E$3))-Inputs!$B$11*SUM($B$9:AI9)*MIN(1,MAX(0,(AJ$3-Phases!$D$3)/Phases!$E$3)),SUM($B$9:AJ9)-SUM($B$10:AI10)+IF(AJ$3&gt;=Phases!$D$3+Phases!$E$3-1,0,0))</f>
        <v>0</v>
      </c>
      <c r="AK10" s="0" t="n">
        <f aca="false">IF(AK$3&lt;Phases!$D$3+Phases!$E$3-1,AK9*(1-Inputs!$B$11)+Inputs!$B$11*SUM($B$9:AK9)*MIN(1,MAX(0,(AK$3-Phases!$D$3+1)/Phases!$E$3))-Inputs!$B$11*SUM($B$9:AJ9)*MIN(1,MAX(0,(AK$3-Phases!$D$3)/Phases!$E$3)),SUM($B$9:AK9)-SUM($B$10:AJ10)+IF(AK$3&gt;=Phases!$D$3+Phases!$E$3-1,0,0))</f>
        <v>0</v>
      </c>
      <c r="AL10" s="0" t="n">
        <f aca="false">IF(AL$3&lt;Phases!$D$3+Phases!$E$3-1,AL9*(1-Inputs!$B$11)+Inputs!$B$11*SUM($B$9:AL9)*MIN(1,MAX(0,(AL$3-Phases!$D$3+1)/Phases!$E$3))-Inputs!$B$11*SUM($B$9:AK9)*MIN(1,MAX(0,(AL$3-Phases!$D$3)/Phases!$E$3)),SUM($B$9:AL9)-SUM($B$10:AK10)+IF(AL$3&gt;=Phases!$D$3+Phases!$E$3-1,0,0))</f>
        <v>0</v>
      </c>
      <c r="AM10" s="0" t="n">
        <f aca="false">IF(AM$3&lt;Phases!$D$3+Phases!$E$3-1,AM9*(1-Inputs!$B$11)+Inputs!$B$11*SUM($B$9:AM9)*MIN(1,MAX(0,(AM$3-Phases!$D$3+1)/Phases!$E$3))-Inputs!$B$11*SUM($B$9:AL9)*MIN(1,MAX(0,(AM$3-Phases!$D$3)/Phases!$E$3)),SUM($B$9:AM9)-SUM($B$10:AL10)+IF(AM$3&gt;=Phases!$D$3+Phases!$E$3-1,0,0))</f>
        <v>0</v>
      </c>
      <c r="AN10" s="0" t="n">
        <f aca="false">IF(AN$3&lt;Phases!$D$3+Phases!$E$3-1,AN9*(1-Inputs!$B$11)+Inputs!$B$11*SUM($B$9:AN9)*MIN(1,MAX(0,(AN$3-Phases!$D$3+1)/Phases!$E$3))-Inputs!$B$11*SUM($B$9:AM9)*MIN(1,MAX(0,(AN$3-Phases!$D$3)/Phases!$E$3)),SUM($B$9:AN9)-SUM($B$10:AM10)+IF(AN$3&gt;=Phases!$D$3+Phases!$E$3-1,0,0))</f>
        <v>0</v>
      </c>
      <c r="AO10" s="0" t="n">
        <f aca="false">IF(AO$3&lt;Phases!$D$3+Phases!$E$3-1,AO9*(1-Inputs!$B$11)+Inputs!$B$11*SUM($B$9:AO9)*MIN(1,MAX(0,(AO$3-Phases!$D$3+1)/Phases!$E$3))-Inputs!$B$11*SUM($B$9:AN9)*MIN(1,MAX(0,(AO$3-Phases!$D$3)/Phases!$E$3)),SUM($B$9:AO9)-SUM($B$10:AN10)+IF(AO$3&gt;=Phases!$D$3+Phases!$E$3-1,0,0))</f>
        <v>0</v>
      </c>
      <c r="AP10" s="0" t="n">
        <f aca="false">IF(AP$3&lt;Phases!$D$3+Phases!$E$3-1,AP9*(1-Inputs!$B$11)+Inputs!$B$11*SUM($B$9:AP9)*MIN(1,MAX(0,(AP$3-Phases!$D$3+1)/Phases!$E$3))-Inputs!$B$11*SUM($B$9:AO9)*MIN(1,MAX(0,(AP$3-Phases!$D$3)/Phases!$E$3)),SUM($B$9:AP9)-SUM($B$10:AO10)+IF(AP$3&gt;=Phases!$D$3+Phases!$E$3-1,0,0))</f>
        <v>0</v>
      </c>
      <c r="AQ10" s="0" t="n">
        <f aca="false">IF(AQ$3&lt;Phases!$D$3+Phases!$E$3-1,AQ9*(1-Inputs!$B$11)+Inputs!$B$11*SUM($B$9:AQ9)*MIN(1,MAX(0,(AQ$3-Phases!$D$3+1)/Phases!$E$3))-Inputs!$B$11*SUM($B$9:AP9)*MIN(1,MAX(0,(AQ$3-Phases!$D$3)/Phases!$E$3)),SUM($B$9:AQ9)-SUM($B$10:AP10)+IF(AQ$3&gt;=Phases!$D$3+Phases!$E$3-1,0,0))</f>
        <v>0</v>
      </c>
      <c r="AR10" s="0" t="n">
        <f aca="false">IF(AR$3&lt;Phases!$D$3+Phases!$E$3-1,AR9*(1-Inputs!$B$11)+Inputs!$B$11*SUM($B$9:AR9)*MIN(1,MAX(0,(AR$3-Phases!$D$3+1)/Phases!$E$3))-Inputs!$B$11*SUM($B$9:AQ9)*MIN(1,MAX(0,(AR$3-Phases!$D$3)/Phases!$E$3)),SUM($B$9:AR9)-SUM($B$10:AQ10)+IF(AR$3&gt;=Phases!$D$3+Phases!$E$3-1,0,0))</f>
        <v>0</v>
      </c>
      <c r="AS10" s="0" t="n">
        <f aca="false">IF(AS$3&lt;Phases!$D$3+Phases!$E$3-1,AS9*(1-Inputs!$B$11)+Inputs!$B$11*SUM($B$9:AS9)*MIN(1,MAX(0,(AS$3-Phases!$D$3+1)/Phases!$E$3))-Inputs!$B$11*SUM($B$9:AR9)*MIN(1,MAX(0,(AS$3-Phases!$D$3)/Phases!$E$3)),SUM($B$9:AS9)-SUM($B$10:AR10)+IF(AS$3&gt;=Phases!$D$3+Phases!$E$3-1,0,0))</f>
        <v>0</v>
      </c>
      <c r="AT10" s="0" t="n">
        <f aca="false">IF(AT$3&lt;Phases!$D$3+Phases!$E$3-1,AT9*(1-Inputs!$B$11)+Inputs!$B$11*SUM($B$9:AT9)*MIN(1,MAX(0,(AT$3-Phases!$D$3+1)/Phases!$E$3))-Inputs!$B$11*SUM($B$9:AS9)*MIN(1,MAX(0,(AT$3-Phases!$D$3)/Phases!$E$3)),SUM($B$9:AT9)-SUM($B$10:AS10)+IF(AT$3&gt;=Phases!$D$3+Phases!$E$3-1,0,0))</f>
        <v>0</v>
      </c>
      <c r="AU10" s="0" t="n">
        <f aca="false">IF(AU$3&lt;Phases!$D$3+Phases!$E$3-1,AU9*(1-Inputs!$B$11)+Inputs!$B$11*SUM($B$9:AU9)*MIN(1,MAX(0,(AU$3-Phases!$D$3+1)/Phases!$E$3))-Inputs!$B$11*SUM($B$9:AT9)*MIN(1,MAX(0,(AU$3-Phases!$D$3)/Phases!$E$3)),SUM($B$9:AU9)-SUM($B$10:AT10)+IF(AU$3&gt;=Phases!$D$3+Phases!$E$3-1,0,0))</f>
        <v>0</v>
      </c>
      <c r="AV10" s="0" t="n">
        <f aca="false">IF(AV$3&lt;Phases!$D$3+Phases!$E$3-1,AV9*(1-Inputs!$B$11)+Inputs!$B$11*SUM($B$9:AV9)*MIN(1,MAX(0,(AV$3-Phases!$D$3+1)/Phases!$E$3))-Inputs!$B$11*SUM($B$9:AU9)*MIN(1,MAX(0,(AV$3-Phases!$D$3)/Phases!$E$3)),SUM($B$9:AV9)-SUM($B$10:AU10)+IF(AV$3&gt;=Phases!$D$3+Phases!$E$3-1,0,0))</f>
        <v>0</v>
      </c>
      <c r="AW10" s="0" t="n">
        <f aca="false">IF(AW$3&lt;Phases!$D$3+Phases!$E$3-1,AW9*(1-Inputs!$B$11)+Inputs!$B$11*SUM($B$9:AW9)*MIN(1,MAX(0,(AW$3-Phases!$D$3+1)/Phases!$E$3))-Inputs!$B$11*SUM($B$9:AV9)*MIN(1,MAX(0,(AW$3-Phases!$D$3)/Phases!$E$3)),SUM($B$9:AW9)-SUM($B$10:AV10)+IF(AW$3&gt;=Phases!$D$3+Phases!$E$3-1,0,0))</f>
        <v>0</v>
      </c>
      <c r="AX10" s="0" t="n">
        <f aca="false">IF(AX$3&lt;Phases!$D$3+Phases!$E$3-1,AX9*(1-Inputs!$B$11)+Inputs!$B$11*SUM($B$9:AX9)*MIN(1,MAX(0,(AX$3-Phases!$D$3+1)/Phases!$E$3))-Inputs!$B$11*SUM($B$9:AW9)*MIN(1,MAX(0,(AX$3-Phases!$D$3)/Phases!$E$3)),SUM($B$9:AX9)-SUM($B$10:AW10)+IF(AX$3&gt;=Phases!$D$3+Phases!$E$3-1,0,0))</f>
        <v>0</v>
      </c>
    </row>
    <row r="11" customFormat="false" ht="15" hidden="false" customHeight="false" outlineLevel="0" collapsed="false">
      <c r="A11" s="0" t="s">
        <v>48</v>
      </c>
      <c r="B11" s="0" t="n">
        <f aca="false">0</f>
        <v>0</v>
      </c>
      <c r="C11" s="0" t="n">
        <f aca="false">0</f>
        <v>0</v>
      </c>
      <c r="D11" s="0" t="n">
        <f aca="false">0</f>
        <v>0</v>
      </c>
      <c r="E11" s="0" t="n">
        <f aca="false">0</f>
        <v>0</v>
      </c>
      <c r="F11" s="0" t="n">
        <f aca="false">0</f>
        <v>0</v>
      </c>
      <c r="G11" s="0" t="n">
        <f aca="false">0</f>
        <v>0</v>
      </c>
      <c r="H11" s="0" t="n">
        <f aca="false">0</f>
        <v>0</v>
      </c>
      <c r="I11" s="0" t="n">
        <f aca="false">0</f>
        <v>0</v>
      </c>
      <c r="J11" s="0" t="n">
        <f aca="false">0</f>
        <v>0</v>
      </c>
      <c r="K11" s="0" t="n">
        <f aca="false">0</f>
        <v>0</v>
      </c>
      <c r="L11" s="0" t="n">
        <f aca="false">0</f>
        <v>0</v>
      </c>
      <c r="M11" s="0" t="n">
        <f aca="false">0</f>
        <v>0</v>
      </c>
      <c r="N11" s="0" t="n">
        <f aca="false">0</f>
        <v>0</v>
      </c>
      <c r="O11" s="0" t="n">
        <f aca="false">0</f>
        <v>0</v>
      </c>
      <c r="P11" s="0" t="n">
        <f aca="false">0</f>
        <v>0</v>
      </c>
      <c r="Q11" s="0" t="n">
        <f aca="false">0</f>
        <v>0</v>
      </c>
      <c r="R11" s="0" t="n">
        <f aca="false">0</f>
        <v>0</v>
      </c>
      <c r="S11" s="0" t="n">
        <f aca="false">0</f>
        <v>0</v>
      </c>
      <c r="T11" s="0" t="n">
        <f aca="false">0</f>
        <v>0</v>
      </c>
      <c r="U11" s="0" t="n">
        <f aca="false">0</f>
        <v>0</v>
      </c>
      <c r="V11" s="0" t="n">
        <f aca="false">0</f>
        <v>0</v>
      </c>
      <c r="W11" s="0" t="n">
        <f aca="false">0</f>
        <v>0</v>
      </c>
      <c r="X11" s="0" t="n">
        <f aca="false">0</f>
        <v>0</v>
      </c>
      <c r="Y11" s="0" t="n">
        <f aca="false">0</f>
        <v>0</v>
      </c>
      <c r="Z11" s="0" t="n">
        <f aca="false">0</f>
        <v>0</v>
      </c>
      <c r="AA11" s="0" t="n">
        <f aca="false">0</f>
        <v>0</v>
      </c>
      <c r="AB11" s="0" t="n">
        <f aca="false">0</f>
        <v>0</v>
      </c>
      <c r="AC11" s="0" t="n">
        <f aca="false">0</f>
        <v>0</v>
      </c>
      <c r="AD11" s="0" t="n">
        <f aca="false">0</f>
        <v>0</v>
      </c>
      <c r="AE11" s="0" t="n">
        <f aca="false">0</f>
        <v>0</v>
      </c>
      <c r="AF11" s="0" t="n">
        <f aca="false">0</f>
        <v>0</v>
      </c>
      <c r="AG11" s="0" t="n">
        <f aca="false">0</f>
        <v>0</v>
      </c>
      <c r="AH11" s="0" t="n">
        <f aca="false">0</f>
        <v>0</v>
      </c>
      <c r="AI11" s="0" t="n">
        <f aca="false">0</f>
        <v>0</v>
      </c>
      <c r="AJ11" s="0" t="n">
        <f aca="false">0</f>
        <v>0</v>
      </c>
      <c r="AK11" s="0" t="n">
        <f aca="false">0</f>
        <v>0</v>
      </c>
      <c r="AL11" s="0" t="n">
        <f aca="false">0</f>
        <v>0</v>
      </c>
      <c r="AM11" s="0" t="n">
        <f aca="false">0</f>
        <v>0</v>
      </c>
      <c r="AN11" s="0" t="n">
        <f aca="false">0</f>
        <v>0</v>
      </c>
      <c r="AO11" s="0" t="n">
        <f aca="false">0</f>
        <v>0</v>
      </c>
      <c r="AP11" s="0" t="n">
        <f aca="false">0</f>
        <v>0</v>
      </c>
      <c r="AQ11" s="0" t="n">
        <f aca="false">0</f>
        <v>0</v>
      </c>
      <c r="AR11" s="0" t="n">
        <f aca="false">0</f>
        <v>0</v>
      </c>
      <c r="AS11" s="0" t="n">
        <f aca="false">0</f>
        <v>0</v>
      </c>
      <c r="AT11" s="0" t="n">
        <f aca="false">0</f>
        <v>0</v>
      </c>
      <c r="AU11" s="0" t="n">
        <f aca="false">0</f>
        <v>0</v>
      </c>
      <c r="AV11" s="0" t="n">
        <f aca="false">0</f>
        <v>0</v>
      </c>
      <c r="AW11" s="0" t="n">
        <f aca="false">0</f>
        <v>0</v>
      </c>
      <c r="AX11" s="0" t="n">
        <f aca="false">0</f>
        <v>0</v>
      </c>
    </row>
    <row r="12" customFormat="false" ht="15" hidden="false" customHeight="false" outlineLevel="0" collapsed="false">
      <c r="A12" s="0" t="s">
        <v>49</v>
      </c>
      <c r="B12" s="0" t="n">
        <f aca="false">IF(AND(B$3&gt;=Phases!$D$4,B$3&lt;Phases!$D$4+Phases!$E$4),Phases!$C$4*Scenarios!$E$8*IF("income"="hotel",1.6,IF("BTR"="Plots",0.25,1))/Phases!$E$4,0)</f>
        <v>0</v>
      </c>
      <c r="C12" s="0" t="n">
        <f aca="false">IF(AND(C$3&gt;=Phases!$D$4,C$3&lt;Phases!$D$4+Phases!$E$4),Phases!$C$4*Scenarios!$E$8*IF("income"="hotel",1.6,IF("BTR"="Plots",0.25,1))/Phases!$E$4,0)</f>
        <v>0</v>
      </c>
      <c r="D12" s="0" t="n">
        <f aca="false">IF(AND(D$3&gt;=Phases!$D$4,D$3&lt;Phases!$D$4+Phases!$E$4),Phases!$C$4*Scenarios!$E$8*IF("income"="hotel",1.6,IF("BTR"="Plots",0.25,1))/Phases!$E$4,0)</f>
        <v>0</v>
      </c>
      <c r="E12" s="0" t="n">
        <f aca="false">IF(AND(E$3&gt;=Phases!$D$4,E$3&lt;Phases!$D$4+Phases!$E$4),Phases!$C$4*Scenarios!$E$8*IF("income"="hotel",1.6,IF("BTR"="Plots",0.25,1))/Phases!$E$4,0)</f>
        <v>0</v>
      </c>
      <c r="F12" s="0" t="n">
        <f aca="false">IF(AND(F$3&gt;=Phases!$D$4,F$3&lt;Phases!$D$4+Phases!$E$4),Phases!$C$4*Scenarios!$E$8*IF("income"="hotel",1.6,IF("BTR"="Plots",0.25,1))/Phases!$E$4,0)</f>
        <v>0</v>
      </c>
      <c r="G12" s="0" t="n">
        <f aca="false">IF(AND(G$3&gt;=Phases!$D$4,G$3&lt;Phases!$D$4+Phases!$E$4),Phases!$C$4*Scenarios!$E$8*IF("income"="hotel",1.6,IF("BTR"="Plots",0.25,1))/Phases!$E$4,0)</f>
        <v>0</v>
      </c>
      <c r="H12" s="0" t="n">
        <f aca="false">IF(AND(H$3&gt;=Phases!$D$4,H$3&lt;Phases!$D$4+Phases!$E$4),Phases!$C$4*Scenarios!$E$8*IF("income"="hotel",1.6,IF("BTR"="Plots",0.25,1))/Phases!$E$4,0)</f>
        <v>43000000</v>
      </c>
      <c r="I12" s="0" t="n">
        <f aca="false">IF(AND(I$3&gt;=Phases!$D$4,I$3&lt;Phases!$D$4+Phases!$E$4),Phases!$C$4*Scenarios!$E$8*IF("income"="hotel",1.6,IF("BTR"="Plots",0.25,1))/Phases!$E$4,0)</f>
        <v>43000000</v>
      </c>
      <c r="J12" s="0" t="n">
        <f aca="false">IF(AND(J$3&gt;=Phases!$D$4,J$3&lt;Phases!$D$4+Phases!$E$4),Phases!$C$4*Scenarios!$E$8*IF("income"="hotel",1.6,IF("BTR"="Plots",0.25,1))/Phases!$E$4,0)</f>
        <v>43000000</v>
      </c>
      <c r="K12" s="0" t="n">
        <f aca="false">IF(AND(K$3&gt;=Phases!$D$4,K$3&lt;Phases!$D$4+Phases!$E$4),Phases!$C$4*Scenarios!$E$8*IF("income"="hotel",1.6,IF("BTR"="Plots",0.25,1))/Phases!$E$4,0)</f>
        <v>43000000</v>
      </c>
      <c r="L12" s="0" t="n">
        <f aca="false">IF(AND(L$3&gt;=Phases!$D$4,L$3&lt;Phases!$D$4+Phases!$E$4),Phases!$C$4*Scenarios!$E$8*IF("income"="hotel",1.6,IF("BTR"="Plots",0.25,1))/Phases!$E$4,0)</f>
        <v>43000000</v>
      </c>
      <c r="M12" s="0" t="n">
        <f aca="false">IF(AND(M$3&gt;=Phases!$D$4,M$3&lt;Phases!$D$4+Phases!$E$4),Phases!$C$4*Scenarios!$E$8*IF("income"="hotel",1.6,IF("BTR"="Plots",0.25,1))/Phases!$E$4,0)</f>
        <v>43000000</v>
      </c>
      <c r="N12" s="0" t="n">
        <f aca="false">IF(AND(N$3&gt;=Phases!$D$4,N$3&lt;Phases!$D$4+Phases!$E$4),Phases!$C$4*Scenarios!$E$8*IF("income"="hotel",1.6,IF("BTR"="Plots",0.25,1))/Phases!$E$4,0)</f>
        <v>43000000</v>
      </c>
      <c r="O12" s="0" t="n">
        <f aca="false">IF(AND(O$3&gt;=Phases!$D$4,O$3&lt;Phases!$D$4+Phases!$E$4),Phases!$C$4*Scenarios!$E$8*IF("income"="hotel",1.6,IF("BTR"="Plots",0.25,1))/Phases!$E$4,0)</f>
        <v>43000000</v>
      </c>
      <c r="P12" s="0" t="n">
        <f aca="false">IF(AND(P$3&gt;=Phases!$D$4,P$3&lt;Phases!$D$4+Phases!$E$4),Phases!$C$4*Scenarios!$E$8*IF("income"="hotel",1.6,IF("BTR"="Plots",0.25,1))/Phases!$E$4,0)</f>
        <v>43000000</v>
      </c>
      <c r="Q12" s="0" t="n">
        <f aca="false">IF(AND(Q$3&gt;=Phases!$D$4,Q$3&lt;Phases!$D$4+Phases!$E$4),Phases!$C$4*Scenarios!$E$8*IF("income"="hotel",1.6,IF("BTR"="Plots",0.25,1))/Phases!$E$4,0)</f>
        <v>0</v>
      </c>
      <c r="R12" s="0" t="n">
        <f aca="false">IF(AND(R$3&gt;=Phases!$D$4,R$3&lt;Phases!$D$4+Phases!$E$4),Phases!$C$4*Scenarios!$E$8*IF("income"="hotel",1.6,IF("BTR"="Plots",0.25,1))/Phases!$E$4,0)</f>
        <v>0</v>
      </c>
      <c r="S12" s="0" t="n">
        <f aca="false">IF(AND(S$3&gt;=Phases!$D$4,S$3&lt;Phases!$D$4+Phases!$E$4),Phases!$C$4*Scenarios!$E$8*IF("income"="hotel",1.6,IF("BTR"="Plots",0.25,1))/Phases!$E$4,0)</f>
        <v>0</v>
      </c>
      <c r="T12" s="0" t="n">
        <f aca="false">IF(AND(T$3&gt;=Phases!$D$4,T$3&lt;Phases!$D$4+Phases!$E$4),Phases!$C$4*Scenarios!$E$8*IF("income"="hotel",1.6,IF("BTR"="Plots",0.25,1))/Phases!$E$4,0)</f>
        <v>0</v>
      </c>
      <c r="U12" s="0" t="n">
        <f aca="false">IF(AND(U$3&gt;=Phases!$D$4,U$3&lt;Phases!$D$4+Phases!$E$4),Phases!$C$4*Scenarios!$E$8*IF("income"="hotel",1.6,IF("BTR"="Plots",0.25,1))/Phases!$E$4,0)</f>
        <v>0</v>
      </c>
      <c r="V12" s="0" t="n">
        <f aca="false">IF(AND(V$3&gt;=Phases!$D$4,V$3&lt;Phases!$D$4+Phases!$E$4),Phases!$C$4*Scenarios!$E$8*IF("income"="hotel",1.6,IF("BTR"="Plots",0.25,1))/Phases!$E$4,0)</f>
        <v>0</v>
      </c>
      <c r="W12" s="0" t="n">
        <f aca="false">IF(AND(W$3&gt;=Phases!$D$4,W$3&lt;Phases!$D$4+Phases!$E$4),Phases!$C$4*Scenarios!$E$8*IF("income"="hotel",1.6,IF("BTR"="Plots",0.25,1))/Phases!$E$4,0)</f>
        <v>0</v>
      </c>
      <c r="X12" s="0" t="n">
        <f aca="false">IF(AND(X$3&gt;=Phases!$D$4,X$3&lt;Phases!$D$4+Phases!$E$4),Phases!$C$4*Scenarios!$E$8*IF("income"="hotel",1.6,IF("BTR"="Plots",0.25,1))/Phases!$E$4,0)</f>
        <v>0</v>
      </c>
      <c r="Y12" s="0" t="n">
        <f aca="false">IF(AND(Y$3&gt;=Phases!$D$4,Y$3&lt;Phases!$D$4+Phases!$E$4),Phases!$C$4*Scenarios!$E$8*IF("income"="hotel",1.6,IF("BTR"="Plots",0.25,1))/Phases!$E$4,0)</f>
        <v>0</v>
      </c>
      <c r="Z12" s="0" t="n">
        <f aca="false">IF(AND(Z$3&gt;=Phases!$D$4,Z$3&lt;Phases!$D$4+Phases!$E$4),Phases!$C$4*Scenarios!$E$8*IF("income"="hotel",1.6,IF("BTR"="Plots",0.25,1))/Phases!$E$4,0)</f>
        <v>0</v>
      </c>
      <c r="AA12" s="0" t="n">
        <f aca="false">IF(AND(AA$3&gt;=Phases!$D$4,AA$3&lt;Phases!$D$4+Phases!$E$4),Phases!$C$4*Scenarios!$E$8*IF("income"="hotel",1.6,IF("BTR"="Plots",0.25,1))/Phases!$E$4,0)</f>
        <v>0</v>
      </c>
      <c r="AB12" s="0" t="n">
        <f aca="false">IF(AND(AB$3&gt;=Phases!$D$4,AB$3&lt;Phases!$D$4+Phases!$E$4),Phases!$C$4*Scenarios!$E$8*IF("income"="hotel",1.6,IF("BTR"="Plots",0.25,1))/Phases!$E$4,0)</f>
        <v>0</v>
      </c>
      <c r="AC12" s="0" t="n">
        <f aca="false">IF(AND(AC$3&gt;=Phases!$D$4,AC$3&lt;Phases!$D$4+Phases!$E$4),Phases!$C$4*Scenarios!$E$8*IF("income"="hotel",1.6,IF("BTR"="Plots",0.25,1))/Phases!$E$4,0)</f>
        <v>0</v>
      </c>
      <c r="AD12" s="0" t="n">
        <f aca="false">IF(AND(AD$3&gt;=Phases!$D$4,AD$3&lt;Phases!$D$4+Phases!$E$4),Phases!$C$4*Scenarios!$E$8*IF("income"="hotel",1.6,IF("BTR"="Plots",0.25,1))/Phases!$E$4,0)</f>
        <v>0</v>
      </c>
      <c r="AE12" s="0" t="n">
        <f aca="false">IF(AND(AE$3&gt;=Phases!$D$4,AE$3&lt;Phases!$D$4+Phases!$E$4),Phases!$C$4*Scenarios!$E$8*IF("income"="hotel",1.6,IF("BTR"="Plots",0.25,1))/Phases!$E$4,0)</f>
        <v>0</v>
      </c>
      <c r="AF12" s="0" t="n">
        <f aca="false">IF(AND(AF$3&gt;=Phases!$D$4,AF$3&lt;Phases!$D$4+Phases!$E$4),Phases!$C$4*Scenarios!$E$8*IF("income"="hotel",1.6,IF("BTR"="Plots",0.25,1))/Phases!$E$4,0)</f>
        <v>0</v>
      </c>
      <c r="AG12" s="0" t="n">
        <f aca="false">IF(AND(AG$3&gt;=Phases!$D$4,AG$3&lt;Phases!$D$4+Phases!$E$4),Phases!$C$4*Scenarios!$E$8*IF("income"="hotel",1.6,IF("BTR"="Plots",0.25,1))/Phases!$E$4,0)</f>
        <v>0</v>
      </c>
      <c r="AH12" s="0" t="n">
        <f aca="false">IF(AND(AH$3&gt;=Phases!$D$4,AH$3&lt;Phases!$D$4+Phases!$E$4),Phases!$C$4*Scenarios!$E$8*IF("income"="hotel",1.6,IF("BTR"="Plots",0.25,1))/Phases!$E$4,0)</f>
        <v>0</v>
      </c>
      <c r="AI12" s="0" t="n">
        <f aca="false">IF(AND(AI$3&gt;=Phases!$D$4,AI$3&lt;Phases!$D$4+Phases!$E$4),Phases!$C$4*Scenarios!$E$8*IF("income"="hotel",1.6,IF("BTR"="Plots",0.25,1))/Phases!$E$4,0)</f>
        <v>0</v>
      </c>
      <c r="AJ12" s="0" t="n">
        <f aca="false">IF(AND(AJ$3&gt;=Phases!$D$4,AJ$3&lt;Phases!$D$4+Phases!$E$4),Phases!$C$4*Scenarios!$E$8*IF("income"="hotel",1.6,IF("BTR"="Plots",0.25,1))/Phases!$E$4,0)</f>
        <v>0</v>
      </c>
      <c r="AK12" s="0" t="n">
        <f aca="false">IF(AND(AK$3&gt;=Phases!$D$4,AK$3&lt;Phases!$D$4+Phases!$E$4),Phases!$C$4*Scenarios!$E$8*IF("income"="hotel",1.6,IF("BTR"="Plots",0.25,1))/Phases!$E$4,0)</f>
        <v>0</v>
      </c>
      <c r="AL12" s="0" t="n">
        <f aca="false">IF(AND(AL$3&gt;=Phases!$D$4,AL$3&lt;Phases!$D$4+Phases!$E$4),Phases!$C$4*Scenarios!$E$8*IF("income"="hotel",1.6,IF("BTR"="Plots",0.25,1))/Phases!$E$4,0)</f>
        <v>0</v>
      </c>
      <c r="AM12" s="0" t="n">
        <f aca="false">IF(AND(AM$3&gt;=Phases!$D$4,AM$3&lt;Phases!$D$4+Phases!$E$4),Phases!$C$4*Scenarios!$E$8*IF("income"="hotel",1.6,IF("BTR"="Plots",0.25,1))/Phases!$E$4,0)</f>
        <v>0</v>
      </c>
      <c r="AN12" s="0" t="n">
        <f aca="false">IF(AND(AN$3&gt;=Phases!$D$4,AN$3&lt;Phases!$D$4+Phases!$E$4),Phases!$C$4*Scenarios!$E$8*IF("income"="hotel",1.6,IF("BTR"="Plots",0.25,1))/Phases!$E$4,0)</f>
        <v>0</v>
      </c>
      <c r="AO12" s="0" t="n">
        <f aca="false">IF(AND(AO$3&gt;=Phases!$D$4,AO$3&lt;Phases!$D$4+Phases!$E$4),Phases!$C$4*Scenarios!$E$8*IF("income"="hotel",1.6,IF("BTR"="Plots",0.25,1))/Phases!$E$4,0)</f>
        <v>0</v>
      </c>
      <c r="AP12" s="0" t="n">
        <f aca="false">IF(AND(AP$3&gt;=Phases!$D$4,AP$3&lt;Phases!$D$4+Phases!$E$4),Phases!$C$4*Scenarios!$E$8*IF("income"="hotel",1.6,IF("BTR"="Plots",0.25,1))/Phases!$E$4,0)</f>
        <v>0</v>
      </c>
      <c r="AQ12" s="0" t="n">
        <f aca="false">IF(AND(AQ$3&gt;=Phases!$D$4,AQ$3&lt;Phases!$D$4+Phases!$E$4),Phases!$C$4*Scenarios!$E$8*IF("income"="hotel",1.6,IF("BTR"="Plots",0.25,1))/Phases!$E$4,0)</f>
        <v>0</v>
      </c>
      <c r="AR12" s="0" t="n">
        <f aca="false">IF(AND(AR$3&gt;=Phases!$D$4,AR$3&lt;Phases!$D$4+Phases!$E$4),Phases!$C$4*Scenarios!$E$8*IF("income"="hotel",1.6,IF("BTR"="Plots",0.25,1))/Phases!$E$4,0)</f>
        <v>0</v>
      </c>
      <c r="AS12" s="0" t="n">
        <f aca="false">IF(AND(AS$3&gt;=Phases!$D$4,AS$3&lt;Phases!$D$4+Phases!$E$4),Phases!$C$4*Scenarios!$E$8*IF("income"="hotel",1.6,IF("BTR"="Plots",0.25,1))/Phases!$E$4,0)</f>
        <v>0</v>
      </c>
      <c r="AT12" s="0" t="n">
        <f aca="false">IF(AND(AT$3&gt;=Phases!$D$4,AT$3&lt;Phases!$D$4+Phases!$E$4),Phases!$C$4*Scenarios!$E$8*IF("income"="hotel",1.6,IF("BTR"="Plots",0.25,1))/Phases!$E$4,0)</f>
        <v>0</v>
      </c>
      <c r="AU12" s="0" t="n">
        <f aca="false">IF(AND(AU$3&gt;=Phases!$D$4,AU$3&lt;Phases!$D$4+Phases!$E$4),Phases!$C$4*Scenarios!$E$8*IF("income"="hotel",1.6,IF("BTR"="Plots",0.25,1))/Phases!$E$4,0)</f>
        <v>0</v>
      </c>
      <c r="AV12" s="0" t="n">
        <f aca="false">IF(AND(AV$3&gt;=Phases!$D$4,AV$3&lt;Phases!$D$4+Phases!$E$4),Phases!$C$4*Scenarios!$E$8*IF("income"="hotel",1.6,IF("BTR"="Plots",0.25,1))/Phases!$E$4,0)</f>
        <v>0</v>
      </c>
      <c r="AW12" s="0" t="n">
        <f aca="false">IF(AND(AW$3&gt;=Phases!$D$4,AW$3&lt;Phases!$D$4+Phases!$E$4),Phases!$C$4*Scenarios!$E$8*IF("income"="hotel",1.6,IF("BTR"="Plots",0.25,1))/Phases!$E$4,0)</f>
        <v>0</v>
      </c>
      <c r="AX12" s="0" t="n">
        <f aca="false">IF(AND(AX$3&gt;=Phases!$D$4,AX$3&lt;Phases!$D$4+Phases!$E$4),Phases!$C$4*Scenarios!$E$8*IF("income"="hotel",1.6,IF("BTR"="Plots",0.25,1))/Phases!$E$4,0)</f>
        <v>0</v>
      </c>
    </row>
    <row r="13" customFormat="false" ht="15" hidden="false" customHeight="false" outlineLevel="0" collapsed="false">
      <c r="A13" s="0" t="s">
        <v>50</v>
      </c>
      <c r="B13" s="0" t="n">
        <f aca="false">0</f>
        <v>0</v>
      </c>
      <c r="C13" s="0" t="n">
        <f aca="false">0</f>
        <v>0</v>
      </c>
      <c r="D13" s="0" t="n">
        <f aca="false">0</f>
        <v>0</v>
      </c>
      <c r="E13" s="0" t="n">
        <f aca="false">0</f>
        <v>0</v>
      </c>
      <c r="F13" s="0" t="n">
        <f aca="false">0</f>
        <v>0</v>
      </c>
      <c r="G13" s="0" t="n">
        <f aca="false">0</f>
        <v>0</v>
      </c>
      <c r="H13" s="0" t="n">
        <f aca="false">0</f>
        <v>0</v>
      </c>
      <c r="I13" s="0" t="n">
        <f aca="false">0</f>
        <v>0</v>
      </c>
      <c r="J13" s="0" t="n">
        <f aca="false">0</f>
        <v>0</v>
      </c>
      <c r="K13" s="0" t="n">
        <f aca="false">0</f>
        <v>0</v>
      </c>
      <c r="L13" s="0" t="n">
        <f aca="false">0</f>
        <v>0</v>
      </c>
      <c r="M13" s="0" t="n">
        <f aca="false">0</f>
        <v>0</v>
      </c>
      <c r="N13" s="0" t="n">
        <f aca="false">0</f>
        <v>0</v>
      </c>
      <c r="O13" s="0" t="n">
        <f aca="false">0</f>
        <v>0</v>
      </c>
      <c r="P13" s="0" t="n">
        <f aca="false">0</f>
        <v>0</v>
      </c>
      <c r="Q13" s="0" t="n">
        <f aca="false">0</f>
        <v>0</v>
      </c>
      <c r="R13" s="0" t="n">
        <f aca="false">0</f>
        <v>0</v>
      </c>
      <c r="S13" s="0" t="n">
        <f aca="false">0</f>
        <v>0</v>
      </c>
      <c r="T13" s="0" t="n">
        <f aca="false">0</f>
        <v>0</v>
      </c>
      <c r="U13" s="0" t="n">
        <f aca="false">0</f>
        <v>0</v>
      </c>
      <c r="V13" s="0" t="n">
        <f aca="false">0</f>
        <v>0</v>
      </c>
      <c r="W13" s="0" t="n">
        <f aca="false">0</f>
        <v>0</v>
      </c>
      <c r="X13" s="0" t="n">
        <f aca="false">0</f>
        <v>0</v>
      </c>
      <c r="Y13" s="0" t="n">
        <f aca="false">0</f>
        <v>0</v>
      </c>
      <c r="Z13" s="0" t="n">
        <f aca="false">0</f>
        <v>0</v>
      </c>
      <c r="AA13" s="0" t="n">
        <f aca="false">0</f>
        <v>0</v>
      </c>
      <c r="AB13" s="0" t="n">
        <f aca="false">0</f>
        <v>0</v>
      </c>
      <c r="AC13" s="0" t="n">
        <f aca="false">0</f>
        <v>0</v>
      </c>
      <c r="AD13" s="0" t="n">
        <f aca="false">0</f>
        <v>0</v>
      </c>
      <c r="AE13" s="0" t="n">
        <f aca="false">0</f>
        <v>0</v>
      </c>
      <c r="AF13" s="0" t="n">
        <f aca="false">0</f>
        <v>0</v>
      </c>
      <c r="AG13" s="0" t="n">
        <f aca="false">0</f>
        <v>0</v>
      </c>
      <c r="AH13" s="0" t="n">
        <f aca="false">0</f>
        <v>0</v>
      </c>
      <c r="AI13" s="0" t="n">
        <f aca="false">0</f>
        <v>0</v>
      </c>
      <c r="AJ13" s="0" t="n">
        <f aca="false">0</f>
        <v>0</v>
      </c>
      <c r="AK13" s="0" t="n">
        <f aca="false">0</f>
        <v>0</v>
      </c>
      <c r="AL13" s="0" t="n">
        <f aca="false">0</f>
        <v>0</v>
      </c>
      <c r="AM13" s="0" t="n">
        <f aca="false">0</f>
        <v>0</v>
      </c>
      <c r="AN13" s="0" t="n">
        <f aca="false">0</f>
        <v>0</v>
      </c>
      <c r="AO13" s="0" t="n">
        <f aca="false">0</f>
        <v>0</v>
      </c>
      <c r="AP13" s="0" t="n">
        <f aca="false">0</f>
        <v>0</v>
      </c>
      <c r="AQ13" s="0" t="n">
        <f aca="false">0</f>
        <v>0</v>
      </c>
      <c r="AR13" s="0" t="n">
        <f aca="false">0</f>
        <v>0</v>
      </c>
      <c r="AS13" s="0" t="n">
        <f aca="false">0</f>
        <v>0</v>
      </c>
      <c r="AT13" s="0" t="n">
        <f aca="false">0</f>
        <v>0</v>
      </c>
      <c r="AU13" s="0" t="n">
        <f aca="false">0</f>
        <v>0</v>
      </c>
      <c r="AV13" s="0" t="n">
        <f aca="false">0</f>
        <v>0</v>
      </c>
      <c r="AW13" s="0" t="n">
        <f aca="false">0</f>
        <v>0</v>
      </c>
      <c r="AX13" s="0" t="n">
        <f aca="false">0</f>
        <v>0</v>
      </c>
    </row>
    <row r="14" customFormat="false" ht="15" hidden="false" customHeight="false" outlineLevel="0" collapsed="false">
      <c r="A14" s="0" t="s">
        <v>51</v>
      </c>
      <c r="B14" s="0" t="n">
        <f aca="false">0</f>
        <v>0</v>
      </c>
      <c r="C14" s="0" t="n">
        <f aca="false">0</f>
        <v>0</v>
      </c>
      <c r="D14" s="0" t="n">
        <f aca="false">0</f>
        <v>0</v>
      </c>
      <c r="E14" s="0" t="n">
        <f aca="false">0</f>
        <v>0</v>
      </c>
      <c r="F14" s="0" t="n">
        <f aca="false">0</f>
        <v>0</v>
      </c>
      <c r="G14" s="0" t="n">
        <f aca="false">0</f>
        <v>0</v>
      </c>
      <c r="H14" s="0" t="n">
        <f aca="false">0</f>
        <v>0</v>
      </c>
      <c r="I14" s="0" t="n">
        <f aca="false">0</f>
        <v>0</v>
      </c>
      <c r="J14" s="0" t="n">
        <f aca="false">0</f>
        <v>0</v>
      </c>
      <c r="K14" s="0" t="n">
        <f aca="false">0</f>
        <v>0</v>
      </c>
      <c r="L14" s="0" t="n">
        <f aca="false">0</f>
        <v>0</v>
      </c>
      <c r="M14" s="0" t="n">
        <f aca="false">0</f>
        <v>0</v>
      </c>
      <c r="N14" s="0" t="n">
        <f aca="false">0</f>
        <v>0</v>
      </c>
      <c r="O14" s="0" t="n">
        <f aca="false">0</f>
        <v>0</v>
      </c>
      <c r="P14" s="0" t="n">
        <f aca="false">0</f>
        <v>0</v>
      </c>
      <c r="Q14" s="0" t="n">
        <f aca="false">0</f>
        <v>0</v>
      </c>
      <c r="R14" s="0" t="n">
        <f aca="false">0</f>
        <v>0</v>
      </c>
      <c r="S14" s="0" t="n">
        <f aca="false">0</f>
        <v>0</v>
      </c>
      <c r="T14" s="0" t="n">
        <f aca="false">0</f>
        <v>0</v>
      </c>
      <c r="U14" s="0" t="n">
        <f aca="false">0</f>
        <v>0</v>
      </c>
      <c r="V14" s="0" t="n">
        <f aca="false">0</f>
        <v>0</v>
      </c>
      <c r="W14" s="0" t="n">
        <f aca="false">0</f>
        <v>0</v>
      </c>
      <c r="X14" s="0" t="n">
        <f aca="false">0</f>
        <v>0</v>
      </c>
      <c r="Y14" s="0" t="n">
        <f aca="false">0</f>
        <v>0</v>
      </c>
      <c r="Z14" s="0" t="n">
        <f aca="false">0</f>
        <v>0</v>
      </c>
      <c r="AA14" s="0" t="n">
        <f aca="false">0</f>
        <v>0</v>
      </c>
      <c r="AB14" s="0" t="n">
        <f aca="false">0</f>
        <v>0</v>
      </c>
      <c r="AC14" s="0" t="n">
        <f aca="false">0</f>
        <v>0</v>
      </c>
      <c r="AD14" s="0" t="n">
        <f aca="false">0</f>
        <v>0</v>
      </c>
      <c r="AE14" s="0" t="n">
        <f aca="false">0</f>
        <v>0</v>
      </c>
      <c r="AF14" s="0" t="n">
        <f aca="false">0</f>
        <v>0</v>
      </c>
      <c r="AG14" s="0" t="n">
        <f aca="false">0</f>
        <v>0</v>
      </c>
      <c r="AH14" s="0" t="n">
        <f aca="false">0</f>
        <v>0</v>
      </c>
      <c r="AI14" s="0" t="n">
        <f aca="false">0</f>
        <v>0</v>
      </c>
      <c r="AJ14" s="0" t="n">
        <f aca="false">0</f>
        <v>0</v>
      </c>
      <c r="AK14" s="0" t="n">
        <f aca="false">0</f>
        <v>0</v>
      </c>
      <c r="AL14" s="0" t="n">
        <f aca="false">0</f>
        <v>0</v>
      </c>
      <c r="AM14" s="0" t="n">
        <f aca="false">0</f>
        <v>0</v>
      </c>
      <c r="AN14" s="0" t="n">
        <f aca="false">0</f>
        <v>0</v>
      </c>
      <c r="AO14" s="0" t="n">
        <f aca="false">0</f>
        <v>0</v>
      </c>
      <c r="AP14" s="0" t="n">
        <f aca="false">0</f>
        <v>0</v>
      </c>
      <c r="AQ14" s="0" t="n">
        <f aca="false">0</f>
        <v>0</v>
      </c>
      <c r="AR14" s="0" t="n">
        <f aca="false">0</f>
        <v>0</v>
      </c>
      <c r="AS14" s="0" t="n">
        <f aca="false">0</f>
        <v>0</v>
      </c>
      <c r="AT14" s="0" t="n">
        <f aca="false">0</f>
        <v>0</v>
      </c>
      <c r="AU14" s="0" t="n">
        <f aca="false">0</f>
        <v>0</v>
      </c>
      <c r="AV14" s="0" t="n">
        <f aca="false">0</f>
        <v>0</v>
      </c>
      <c r="AW14" s="0" t="n">
        <f aca="false">0</f>
        <v>0</v>
      </c>
      <c r="AX14" s="0" t="n">
        <f aca="false">0</f>
        <v>0</v>
      </c>
    </row>
    <row r="15" customFormat="false" ht="15" hidden="false" customHeight="false" outlineLevel="0" collapsed="false">
      <c r="A15" s="0" t="s">
        <v>52</v>
      </c>
      <c r="B15" s="0" t="n">
        <f aca="false">IF((B$3&gt;=Phases!$D$4+Phases!$E$4),Phases!$C$4*Scenarios!$E$4*0.9/4*MIN(1,(B$3-Phases!$D$4-Phases!$E$4+1)/6)*1.025^INT((B$3-Phases!$D$4-Phases!$E$4)/4),0)</f>
        <v>0</v>
      </c>
      <c r="C15" s="0" t="n">
        <f aca="false">IF((C$3&gt;=Phases!$D$4+Phases!$E$4),Phases!$C$4*Scenarios!$E$4*0.9/4*MIN(1,(C$3-Phases!$D$4-Phases!$E$4+1)/6)*1.025^INT((C$3-Phases!$D$4-Phases!$E$4)/4),0)</f>
        <v>0</v>
      </c>
      <c r="D15" s="0" t="n">
        <f aca="false">IF((D$3&gt;=Phases!$D$4+Phases!$E$4),Phases!$C$4*Scenarios!$E$4*0.9/4*MIN(1,(D$3-Phases!$D$4-Phases!$E$4+1)/6)*1.025^INT((D$3-Phases!$D$4-Phases!$E$4)/4),0)</f>
        <v>0</v>
      </c>
      <c r="E15" s="0" t="n">
        <f aca="false">IF((E$3&gt;=Phases!$D$4+Phases!$E$4),Phases!$C$4*Scenarios!$E$4*0.9/4*MIN(1,(E$3-Phases!$D$4-Phases!$E$4+1)/6)*1.025^INT((E$3-Phases!$D$4-Phases!$E$4)/4),0)</f>
        <v>0</v>
      </c>
      <c r="F15" s="0" t="n">
        <f aca="false">IF((F$3&gt;=Phases!$D$4+Phases!$E$4),Phases!$C$4*Scenarios!$E$4*0.9/4*MIN(1,(F$3-Phases!$D$4-Phases!$E$4+1)/6)*1.025^INT((F$3-Phases!$D$4-Phases!$E$4)/4),0)</f>
        <v>0</v>
      </c>
      <c r="G15" s="0" t="n">
        <f aca="false">IF((G$3&gt;=Phases!$D$4+Phases!$E$4),Phases!$C$4*Scenarios!$E$4*0.9/4*MIN(1,(G$3-Phases!$D$4-Phases!$E$4+1)/6)*1.025^INT((G$3-Phases!$D$4-Phases!$E$4)/4),0)</f>
        <v>0</v>
      </c>
      <c r="H15" s="0" t="n">
        <f aca="false">IF((H$3&gt;=Phases!$D$4+Phases!$E$4),Phases!$C$4*Scenarios!$E$4*0.9/4*MIN(1,(H$3-Phases!$D$4-Phases!$E$4+1)/6)*1.025^INT((H$3-Phases!$D$4-Phases!$E$4)/4),0)</f>
        <v>0</v>
      </c>
      <c r="I15" s="0" t="n">
        <f aca="false">IF((I$3&gt;=Phases!$D$4+Phases!$E$4),Phases!$C$4*Scenarios!$E$4*0.9/4*MIN(1,(I$3-Phases!$D$4-Phases!$E$4+1)/6)*1.025^INT((I$3-Phases!$D$4-Phases!$E$4)/4),0)</f>
        <v>0</v>
      </c>
      <c r="J15" s="0" t="n">
        <f aca="false">IF((J$3&gt;=Phases!$D$4+Phases!$E$4),Phases!$C$4*Scenarios!$E$4*0.9/4*MIN(1,(J$3-Phases!$D$4-Phases!$E$4+1)/6)*1.025^INT((J$3-Phases!$D$4-Phases!$E$4)/4),0)</f>
        <v>0</v>
      </c>
      <c r="K15" s="0" t="n">
        <f aca="false">IF((K$3&gt;=Phases!$D$4+Phases!$E$4),Phases!$C$4*Scenarios!$E$4*0.9/4*MIN(1,(K$3-Phases!$D$4-Phases!$E$4+1)/6)*1.025^INT((K$3-Phases!$D$4-Phases!$E$4)/4),0)</f>
        <v>0</v>
      </c>
      <c r="L15" s="0" t="n">
        <f aca="false">IF((L$3&gt;=Phases!$D$4+Phases!$E$4),Phases!$C$4*Scenarios!$E$4*0.9/4*MIN(1,(L$3-Phases!$D$4-Phases!$E$4+1)/6)*1.025^INT((L$3-Phases!$D$4-Phases!$E$4)/4),0)</f>
        <v>0</v>
      </c>
      <c r="M15" s="0" t="n">
        <f aca="false">IF((M$3&gt;=Phases!$D$4+Phases!$E$4),Phases!$C$4*Scenarios!$E$4*0.9/4*MIN(1,(M$3-Phases!$D$4-Phases!$E$4+1)/6)*1.025^INT((M$3-Phases!$D$4-Phases!$E$4)/4),0)</f>
        <v>0</v>
      </c>
      <c r="N15" s="0" t="n">
        <f aca="false">IF((N$3&gt;=Phases!$D$4+Phases!$E$4),Phases!$C$4*Scenarios!$E$4*0.9/4*MIN(1,(N$3-Phases!$D$4-Phases!$E$4+1)/6)*1.025^INT((N$3-Phases!$D$4-Phases!$E$4)/4),0)</f>
        <v>0</v>
      </c>
      <c r="O15" s="0" t="n">
        <f aca="false">IF((O$3&gt;=Phases!$D$4+Phases!$E$4),Phases!$C$4*Scenarios!$E$4*0.9/4*MIN(1,(O$3-Phases!$D$4-Phases!$E$4+1)/6)*1.025^INT((O$3-Phases!$D$4-Phases!$E$4)/4),0)</f>
        <v>0</v>
      </c>
      <c r="P15" s="0" t="n">
        <f aca="false">IF((P$3&gt;=Phases!$D$4+Phases!$E$4),Phases!$C$4*Scenarios!$E$4*0.9/4*MIN(1,(P$3-Phases!$D$4-Phases!$E$4+1)/6)*1.025^INT((P$3-Phases!$D$4-Phases!$E$4)/4),0)</f>
        <v>0</v>
      </c>
      <c r="Q15" s="0" t="n">
        <f aca="false">IF((Q$3&gt;=Phases!$D$4+Phases!$E$4),Phases!$C$4*Scenarios!$E$4*0.9/4*MIN(1,(Q$3-Phases!$D$4-Phases!$E$4+1)/6)*1.025^INT((Q$3-Phases!$D$4-Phases!$E$4)/4),0)</f>
        <v>3206250</v>
      </c>
      <c r="R15" s="0" t="n">
        <f aca="false">IF((R$3&gt;=Phases!$D$4+Phases!$E$4),Phases!$C$4*Scenarios!$E$4*0.9/4*MIN(1,(R$3-Phases!$D$4-Phases!$E$4+1)/6)*1.025^INT((R$3-Phases!$D$4-Phases!$E$4)/4),0)</f>
        <v>6412500</v>
      </c>
      <c r="S15" s="0" t="n">
        <f aca="false">IF((S$3&gt;=Phases!$D$4+Phases!$E$4),Phases!$C$4*Scenarios!$E$4*0.9/4*MIN(1,(S$3-Phases!$D$4-Phases!$E$4+1)/6)*1.025^INT((S$3-Phases!$D$4-Phases!$E$4)/4),0)</f>
        <v>9618750</v>
      </c>
      <c r="T15" s="0" t="n">
        <f aca="false">IF((T$3&gt;=Phases!$D$4+Phases!$E$4),Phases!$C$4*Scenarios!$E$4*0.9/4*MIN(1,(T$3-Phases!$D$4-Phases!$E$4+1)/6)*1.025^INT((T$3-Phases!$D$4-Phases!$E$4)/4),0)</f>
        <v>12825000</v>
      </c>
      <c r="U15" s="0" t="n">
        <f aca="false">IF((U$3&gt;=Phases!$D$4+Phases!$E$4),Phases!$C$4*Scenarios!$E$4*0.9/4*MIN(1,(U$3-Phases!$D$4-Phases!$E$4+1)/6)*1.025^INT((U$3-Phases!$D$4-Phases!$E$4)/4),0)</f>
        <v>16432031.25</v>
      </c>
      <c r="V15" s="0" t="n">
        <f aca="false">IF((V$3&gt;=Phases!$D$4+Phases!$E$4),Phases!$C$4*Scenarios!$E$4*0.9/4*MIN(1,(V$3-Phases!$D$4-Phases!$E$4+1)/6)*1.025^INT((V$3-Phases!$D$4-Phases!$E$4)/4),0)</f>
        <v>19718437.5</v>
      </c>
      <c r="W15" s="0" t="n">
        <f aca="false">IF((W$3&gt;=Phases!$D$4+Phases!$E$4),Phases!$C$4*Scenarios!$E$4*0.9/4*MIN(1,(W$3-Phases!$D$4-Phases!$E$4+1)/6)*1.025^INT((W$3-Phases!$D$4-Phases!$E$4)/4),0)</f>
        <v>19718437.5</v>
      </c>
      <c r="X15" s="0" t="n">
        <f aca="false">IF((X$3&gt;=Phases!$D$4+Phases!$E$4),Phases!$C$4*Scenarios!$E$4*0.9/4*MIN(1,(X$3-Phases!$D$4-Phases!$E$4+1)/6)*1.025^INT((X$3-Phases!$D$4-Phases!$E$4)/4),0)</f>
        <v>19718437.5</v>
      </c>
      <c r="Y15" s="0" t="n">
        <f aca="false">IF((Y$3&gt;=Phases!$D$4+Phases!$E$4),Phases!$C$4*Scenarios!$E$4*0.9/4*MIN(1,(Y$3-Phases!$D$4-Phases!$E$4+1)/6)*1.025^INT((Y$3-Phases!$D$4-Phases!$E$4)/4),0)</f>
        <v>20211398.4375</v>
      </c>
      <c r="Z15" s="0" t="n">
        <f aca="false">IF((Z$3&gt;=Phases!$D$4+Phases!$E$4),Phases!$C$4*Scenarios!$E$4*0.9/4*MIN(1,(Z$3-Phases!$D$4-Phases!$E$4+1)/6)*1.025^INT((Z$3-Phases!$D$4-Phases!$E$4)/4),0)</f>
        <v>20211398.4375</v>
      </c>
      <c r="AA15" s="0" t="n">
        <f aca="false">IF((AA$3&gt;=Phases!$D$4+Phases!$E$4),Phases!$C$4*Scenarios!$E$4*0.9/4*MIN(1,(AA$3-Phases!$D$4-Phases!$E$4+1)/6)*1.025^INT((AA$3-Phases!$D$4-Phases!$E$4)/4),0)</f>
        <v>20211398.4375</v>
      </c>
      <c r="AB15" s="0" t="n">
        <f aca="false">IF((AB$3&gt;=Phases!$D$4+Phases!$E$4),Phases!$C$4*Scenarios!$E$4*0.9/4*MIN(1,(AB$3-Phases!$D$4-Phases!$E$4+1)/6)*1.025^INT((AB$3-Phases!$D$4-Phases!$E$4)/4),0)</f>
        <v>20211398.4375</v>
      </c>
      <c r="AC15" s="0" t="n">
        <f aca="false">IF((AC$3&gt;=Phases!$D$4+Phases!$E$4),Phases!$C$4*Scenarios!$E$4*0.9/4*MIN(1,(AC$3-Phases!$D$4-Phases!$E$4+1)/6)*1.025^INT((AC$3-Phases!$D$4-Phases!$E$4)/4),0)</f>
        <v>20716683.3984375</v>
      </c>
      <c r="AD15" s="0" t="n">
        <f aca="false">IF((AD$3&gt;=Phases!$D$4+Phases!$E$4),Phases!$C$4*Scenarios!$E$4*0.9/4*MIN(1,(AD$3-Phases!$D$4-Phases!$E$4+1)/6)*1.025^INT((AD$3-Phases!$D$4-Phases!$E$4)/4),0)</f>
        <v>20716683.3984375</v>
      </c>
      <c r="AE15" s="0" t="n">
        <f aca="false">IF((AE$3&gt;=Phases!$D$4+Phases!$E$4),Phases!$C$4*Scenarios!$E$4*0.9/4*MIN(1,(AE$3-Phases!$D$4-Phases!$E$4+1)/6)*1.025^INT((AE$3-Phases!$D$4-Phases!$E$4)/4),0)</f>
        <v>20716683.3984375</v>
      </c>
      <c r="AF15" s="0" t="n">
        <f aca="false">IF((AF$3&gt;=Phases!$D$4+Phases!$E$4),Phases!$C$4*Scenarios!$E$4*0.9/4*MIN(1,(AF$3-Phases!$D$4-Phases!$E$4+1)/6)*1.025^INT((AF$3-Phases!$D$4-Phases!$E$4)/4),0)</f>
        <v>20716683.3984375</v>
      </c>
      <c r="AG15" s="0" t="n">
        <f aca="false">IF((AG$3&gt;=Phases!$D$4+Phases!$E$4),Phases!$C$4*Scenarios!$E$4*0.9/4*MIN(1,(AG$3-Phases!$D$4-Phases!$E$4+1)/6)*1.025^INT((AG$3-Phases!$D$4-Phases!$E$4)/4),0)</f>
        <v>21234600.4833984</v>
      </c>
      <c r="AH15" s="0" t="n">
        <f aca="false">IF((AH$3&gt;=Phases!$D$4+Phases!$E$4),Phases!$C$4*Scenarios!$E$4*0.9/4*MIN(1,(AH$3-Phases!$D$4-Phases!$E$4+1)/6)*1.025^INT((AH$3-Phases!$D$4-Phases!$E$4)/4),0)</f>
        <v>21234600.4833984</v>
      </c>
      <c r="AI15" s="0" t="n">
        <f aca="false">IF((AI$3&gt;=Phases!$D$4+Phases!$E$4),Phases!$C$4*Scenarios!$E$4*0.9/4*MIN(1,(AI$3-Phases!$D$4-Phases!$E$4+1)/6)*1.025^INT((AI$3-Phases!$D$4-Phases!$E$4)/4),0)</f>
        <v>21234600.4833984</v>
      </c>
      <c r="AJ15" s="0" t="n">
        <f aca="false">IF((AJ$3&gt;=Phases!$D$4+Phases!$E$4),Phases!$C$4*Scenarios!$E$4*0.9/4*MIN(1,(AJ$3-Phases!$D$4-Phases!$E$4+1)/6)*1.025^INT((AJ$3-Phases!$D$4-Phases!$E$4)/4),0)</f>
        <v>21234600.4833984</v>
      </c>
      <c r="AK15" s="0" t="n">
        <f aca="false">IF((AK$3&gt;=Phases!$D$4+Phases!$E$4),Phases!$C$4*Scenarios!$E$4*0.9/4*MIN(1,(AK$3-Phases!$D$4-Phases!$E$4+1)/6)*1.025^INT((AK$3-Phases!$D$4-Phases!$E$4)/4),0)</f>
        <v>21765465.4954834</v>
      </c>
      <c r="AL15" s="0" t="n">
        <f aca="false">IF((AL$3&gt;=Phases!$D$4+Phases!$E$4),Phases!$C$4*Scenarios!$E$4*0.9/4*MIN(1,(AL$3-Phases!$D$4-Phases!$E$4+1)/6)*1.025^INT((AL$3-Phases!$D$4-Phases!$E$4)/4),0)</f>
        <v>21765465.4954834</v>
      </c>
      <c r="AM15" s="0" t="n">
        <f aca="false">IF((AM$3&gt;=Phases!$D$4+Phases!$E$4),Phases!$C$4*Scenarios!$E$4*0.9/4*MIN(1,(AM$3-Phases!$D$4-Phases!$E$4+1)/6)*1.025^INT((AM$3-Phases!$D$4-Phases!$E$4)/4),0)</f>
        <v>21765465.4954834</v>
      </c>
      <c r="AN15" s="0" t="n">
        <f aca="false">IF((AN$3&gt;=Phases!$D$4+Phases!$E$4),Phases!$C$4*Scenarios!$E$4*0.9/4*MIN(1,(AN$3-Phases!$D$4-Phases!$E$4+1)/6)*1.025^INT((AN$3-Phases!$D$4-Phases!$E$4)/4),0)</f>
        <v>21765465.4954834</v>
      </c>
      <c r="AO15" s="0" t="n">
        <f aca="false">IF((AO$3&gt;=Phases!$D$4+Phases!$E$4),Phases!$C$4*Scenarios!$E$4*0.9/4*MIN(1,(AO$3-Phases!$D$4-Phases!$E$4+1)/6)*1.025^INT((AO$3-Phases!$D$4-Phases!$E$4)/4),0)</f>
        <v>22309602.1328705</v>
      </c>
      <c r="AP15" s="0" t="n">
        <f aca="false">IF((AP$3&gt;=Phases!$D$4+Phases!$E$4),Phases!$C$4*Scenarios!$E$4*0.9/4*MIN(1,(AP$3-Phases!$D$4-Phases!$E$4+1)/6)*1.025^INT((AP$3-Phases!$D$4-Phases!$E$4)/4),0)</f>
        <v>22309602.1328705</v>
      </c>
      <c r="AQ15" s="0" t="n">
        <f aca="false">IF((AQ$3&gt;=Phases!$D$4+Phases!$E$4),Phases!$C$4*Scenarios!$E$4*0.9/4*MIN(1,(AQ$3-Phases!$D$4-Phases!$E$4+1)/6)*1.025^INT((AQ$3-Phases!$D$4-Phases!$E$4)/4),0)</f>
        <v>22309602.1328705</v>
      </c>
      <c r="AR15" s="0" t="n">
        <f aca="false">IF((AR$3&gt;=Phases!$D$4+Phases!$E$4),Phases!$C$4*Scenarios!$E$4*0.9/4*MIN(1,(AR$3-Phases!$D$4-Phases!$E$4+1)/6)*1.025^INT((AR$3-Phases!$D$4-Phases!$E$4)/4),0)</f>
        <v>22309602.1328705</v>
      </c>
      <c r="AS15" s="0" t="n">
        <f aca="false">IF((AS$3&gt;=Phases!$D$4+Phases!$E$4),Phases!$C$4*Scenarios!$E$4*0.9/4*MIN(1,(AS$3-Phases!$D$4-Phases!$E$4+1)/6)*1.025^INT((AS$3-Phases!$D$4-Phases!$E$4)/4),0)</f>
        <v>22867342.1861922</v>
      </c>
      <c r="AT15" s="0" t="n">
        <f aca="false">IF((AT$3&gt;=Phases!$D$4+Phases!$E$4),Phases!$C$4*Scenarios!$E$4*0.9/4*MIN(1,(AT$3-Phases!$D$4-Phases!$E$4+1)/6)*1.025^INT((AT$3-Phases!$D$4-Phases!$E$4)/4),0)</f>
        <v>22867342.1861922</v>
      </c>
      <c r="AU15" s="0" t="n">
        <f aca="false">IF((AU$3&gt;=Phases!$D$4+Phases!$E$4),Phases!$C$4*Scenarios!$E$4*0.9/4*MIN(1,(AU$3-Phases!$D$4-Phases!$E$4+1)/6)*1.025^INT((AU$3-Phases!$D$4-Phases!$E$4)/4),0)</f>
        <v>22867342.1861922</v>
      </c>
      <c r="AV15" s="0" t="n">
        <f aca="false">IF((AV$3&gt;=Phases!$D$4+Phases!$E$4),Phases!$C$4*Scenarios!$E$4*0.9/4*MIN(1,(AV$3-Phases!$D$4-Phases!$E$4+1)/6)*1.025^INT((AV$3-Phases!$D$4-Phases!$E$4)/4),0)</f>
        <v>22867342.1861922</v>
      </c>
      <c r="AW15" s="0" t="n">
        <f aca="false">IF((AW$3&gt;=Phases!$D$4+Phases!$E$4),Phases!$C$4*Scenarios!$E$4*0.9/4*MIN(1,(AW$3-Phases!$D$4-Phases!$E$4+1)/6)*1.025^INT((AW$3-Phases!$D$4-Phases!$E$4)/4),0)</f>
        <v>23439025.740847</v>
      </c>
      <c r="AX15" s="0" t="n">
        <f aca="false">IF((AX$3&gt;=Phases!$D$4+Phases!$E$4),Phases!$C$4*Scenarios!$E$4*0.9/4*MIN(1,(AX$3-Phases!$D$4-Phases!$E$4+1)/6)*1.025^INT((AX$3-Phases!$D$4-Phases!$E$4)/4),0)</f>
        <v>23439025.740847</v>
      </c>
    </row>
    <row r="16" customFormat="false" ht="15" hidden="false" customHeight="false" outlineLevel="0" collapsed="false">
      <c r="A16" s="0" t="s">
        <v>53</v>
      </c>
      <c r="B16" s="0" t="n">
        <f aca="false">IF(AND(B$3&gt;=Phases!$D$5,B$3&lt;Phases!$D$5+Phases!$E$5),Phases!$C$5*Scenarios!$E$8*IF("hotel"="hotel",1.6,IF("Hotel"="Plots",0.25,1))/Phases!$E$5,0)</f>
        <v>0</v>
      </c>
      <c r="C16" s="0" t="n">
        <f aca="false">IF(AND(C$3&gt;=Phases!$D$5,C$3&lt;Phases!$D$5+Phases!$E$5),Phases!$C$5*Scenarios!$E$8*IF("hotel"="hotel",1.6,IF("Hotel"="Plots",0.25,1))/Phases!$E$5,0)</f>
        <v>0</v>
      </c>
      <c r="D16" s="0" t="n">
        <f aca="false">IF(AND(D$3&gt;=Phases!$D$5,D$3&lt;Phases!$D$5+Phases!$E$5),Phases!$C$5*Scenarios!$E$8*IF("hotel"="hotel",1.6,IF("Hotel"="Plots",0.25,1))/Phases!$E$5,0)</f>
        <v>0</v>
      </c>
      <c r="E16" s="0" t="n">
        <f aca="false">IF(AND(E$3&gt;=Phases!$D$5,E$3&lt;Phases!$D$5+Phases!$E$5),Phases!$C$5*Scenarios!$E$8*IF("hotel"="hotel",1.6,IF("Hotel"="Plots",0.25,1))/Phases!$E$5,0)</f>
        <v>0</v>
      </c>
      <c r="F16" s="0" t="n">
        <f aca="false">IF(AND(F$3&gt;=Phases!$D$5,F$3&lt;Phases!$D$5+Phases!$E$5),Phases!$C$5*Scenarios!$E$8*IF("hotel"="hotel",1.6,IF("Hotel"="Plots",0.25,1))/Phases!$E$5,0)</f>
        <v>0</v>
      </c>
      <c r="G16" s="0" t="n">
        <f aca="false">IF(AND(G$3&gt;=Phases!$D$5,G$3&lt;Phases!$D$5+Phases!$E$5),Phases!$C$5*Scenarios!$E$8*IF("hotel"="hotel",1.6,IF("Hotel"="Plots",0.25,1))/Phases!$E$5,0)</f>
        <v>0</v>
      </c>
      <c r="H16" s="0" t="n">
        <f aca="false">IF(AND(H$3&gt;=Phases!$D$5,H$3&lt;Phases!$D$5+Phases!$E$5),Phases!$C$5*Scenarios!$E$8*IF("hotel"="hotel",1.6,IF("Hotel"="Plots",0.25,1))/Phases!$E$5,0)</f>
        <v>0</v>
      </c>
      <c r="I16" s="0" t="n">
        <f aca="false">IF(AND(I$3&gt;=Phases!$D$5,I$3&lt;Phases!$D$5+Phases!$E$5),Phases!$C$5*Scenarios!$E$8*IF("hotel"="hotel",1.6,IF("Hotel"="Plots",0.25,1))/Phases!$E$5,0)</f>
        <v>0</v>
      </c>
      <c r="J16" s="0" t="n">
        <f aca="false">IF(AND(J$3&gt;=Phases!$D$5,J$3&lt;Phases!$D$5+Phases!$E$5),Phases!$C$5*Scenarios!$E$8*IF("hotel"="hotel",1.6,IF("Hotel"="Plots",0.25,1))/Phases!$E$5,0)</f>
        <v>0</v>
      </c>
      <c r="K16" s="0" t="n">
        <f aca="false">IF(AND(K$3&gt;=Phases!$D$5,K$3&lt;Phases!$D$5+Phases!$E$5),Phases!$C$5*Scenarios!$E$8*IF("hotel"="hotel",1.6,IF("Hotel"="Plots",0.25,1))/Phases!$E$5,0)</f>
        <v>27520000</v>
      </c>
      <c r="L16" s="0" t="n">
        <f aca="false">IF(AND(L$3&gt;=Phases!$D$5,L$3&lt;Phases!$D$5+Phases!$E$5),Phases!$C$5*Scenarios!$E$8*IF("hotel"="hotel",1.6,IF("Hotel"="Plots",0.25,1))/Phases!$E$5,0)</f>
        <v>27520000</v>
      </c>
      <c r="M16" s="0" t="n">
        <f aca="false">IF(AND(M$3&gt;=Phases!$D$5,M$3&lt;Phases!$D$5+Phases!$E$5),Phases!$C$5*Scenarios!$E$8*IF("hotel"="hotel",1.6,IF("Hotel"="Plots",0.25,1))/Phases!$E$5,0)</f>
        <v>27520000</v>
      </c>
      <c r="N16" s="0" t="n">
        <f aca="false">IF(AND(N$3&gt;=Phases!$D$5,N$3&lt;Phases!$D$5+Phases!$E$5),Phases!$C$5*Scenarios!$E$8*IF("hotel"="hotel",1.6,IF("Hotel"="Plots",0.25,1))/Phases!$E$5,0)</f>
        <v>27520000</v>
      </c>
      <c r="O16" s="0" t="n">
        <f aca="false">IF(AND(O$3&gt;=Phases!$D$5,O$3&lt;Phases!$D$5+Phases!$E$5),Phases!$C$5*Scenarios!$E$8*IF("hotel"="hotel",1.6,IF("Hotel"="Plots",0.25,1))/Phases!$E$5,0)</f>
        <v>27520000</v>
      </c>
      <c r="P16" s="0" t="n">
        <f aca="false">IF(AND(P$3&gt;=Phases!$D$5,P$3&lt;Phases!$D$5+Phases!$E$5),Phases!$C$5*Scenarios!$E$8*IF("hotel"="hotel",1.6,IF("Hotel"="Plots",0.25,1))/Phases!$E$5,0)</f>
        <v>27520000</v>
      </c>
      <c r="Q16" s="0" t="n">
        <f aca="false">IF(AND(Q$3&gt;=Phases!$D$5,Q$3&lt;Phases!$D$5+Phases!$E$5),Phases!$C$5*Scenarios!$E$8*IF("hotel"="hotel",1.6,IF("Hotel"="Plots",0.25,1))/Phases!$E$5,0)</f>
        <v>27520000</v>
      </c>
      <c r="R16" s="0" t="n">
        <f aca="false">IF(AND(R$3&gt;=Phases!$D$5,R$3&lt;Phases!$D$5+Phases!$E$5),Phases!$C$5*Scenarios!$E$8*IF("hotel"="hotel",1.6,IF("Hotel"="Plots",0.25,1))/Phases!$E$5,0)</f>
        <v>27520000</v>
      </c>
      <c r="S16" s="0" t="n">
        <f aca="false">IF(AND(S$3&gt;=Phases!$D$5,S$3&lt;Phases!$D$5+Phases!$E$5),Phases!$C$5*Scenarios!$E$8*IF("hotel"="hotel",1.6,IF("Hotel"="Plots",0.25,1))/Phases!$E$5,0)</f>
        <v>27520000</v>
      </c>
      <c r="T16" s="0" t="n">
        <f aca="false">IF(AND(T$3&gt;=Phases!$D$5,T$3&lt;Phases!$D$5+Phases!$E$5),Phases!$C$5*Scenarios!$E$8*IF("hotel"="hotel",1.6,IF("Hotel"="Plots",0.25,1))/Phases!$E$5,0)</f>
        <v>27520000</v>
      </c>
      <c r="U16" s="0" t="n">
        <f aca="false">IF(AND(U$3&gt;=Phases!$D$5,U$3&lt;Phases!$D$5+Phases!$E$5),Phases!$C$5*Scenarios!$E$8*IF("hotel"="hotel",1.6,IF("Hotel"="Plots",0.25,1))/Phases!$E$5,0)</f>
        <v>0</v>
      </c>
      <c r="V16" s="0" t="n">
        <f aca="false">IF(AND(V$3&gt;=Phases!$D$5,V$3&lt;Phases!$D$5+Phases!$E$5),Phases!$C$5*Scenarios!$E$8*IF("hotel"="hotel",1.6,IF("Hotel"="Plots",0.25,1))/Phases!$E$5,0)</f>
        <v>0</v>
      </c>
      <c r="W16" s="0" t="n">
        <f aca="false">IF(AND(W$3&gt;=Phases!$D$5,W$3&lt;Phases!$D$5+Phases!$E$5),Phases!$C$5*Scenarios!$E$8*IF("hotel"="hotel",1.6,IF("Hotel"="Plots",0.25,1))/Phases!$E$5,0)</f>
        <v>0</v>
      </c>
      <c r="X16" s="0" t="n">
        <f aca="false">IF(AND(X$3&gt;=Phases!$D$5,X$3&lt;Phases!$D$5+Phases!$E$5),Phases!$C$5*Scenarios!$E$8*IF("hotel"="hotel",1.6,IF("Hotel"="Plots",0.25,1))/Phases!$E$5,0)</f>
        <v>0</v>
      </c>
      <c r="Y16" s="0" t="n">
        <f aca="false">IF(AND(Y$3&gt;=Phases!$D$5,Y$3&lt;Phases!$D$5+Phases!$E$5),Phases!$C$5*Scenarios!$E$8*IF("hotel"="hotel",1.6,IF("Hotel"="Plots",0.25,1))/Phases!$E$5,0)</f>
        <v>0</v>
      </c>
      <c r="Z16" s="0" t="n">
        <f aca="false">IF(AND(Z$3&gt;=Phases!$D$5,Z$3&lt;Phases!$D$5+Phases!$E$5),Phases!$C$5*Scenarios!$E$8*IF("hotel"="hotel",1.6,IF("Hotel"="Plots",0.25,1))/Phases!$E$5,0)</f>
        <v>0</v>
      </c>
      <c r="AA16" s="0" t="n">
        <f aca="false">IF(AND(AA$3&gt;=Phases!$D$5,AA$3&lt;Phases!$D$5+Phases!$E$5),Phases!$C$5*Scenarios!$E$8*IF("hotel"="hotel",1.6,IF("Hotel"="Plots",0.25,1))/Phases!$E$5,0)</f>
        <v>0</v>
      </c>
      <c r="AB16" s="0" t="n">
        <f aca="false">IF(AND(AB$3&gt;=Phases!$D$5,AB$3&lt;Phases!$D$5+Phases!$E$5),Phases!$C$5*Scenarios!$E$8*IF("hotel"="hotel",1.6,IF("Hotel"="Plots",0.25,1))/Phases!$E$5,0)</f>
        <v>0</v>
      </c>
      <c r="AC16" s="0" t="n">
        <f aca="false">IF(AND(AC$3&gt;=Phases!$D$5,AC$3&lt;Phases!$D$5+Phases!$E$5),Phases!$C$5*Scenarios!$E$8*IF("hotel"="hotel",1.6,IF("Hotel"="Plots",0.25,1))/Phases!$E$5,0)</f>
        <v>0</v>
      </c>
      <c r="AD16" s="0" t="n">
        <f aca="false">IF(AND(AD$3&gt;=Phases!$D$5,AD$3&lt;Phases!$D$5+Phases!$E$5),Phases!$C$5*Scenarios!$E$8*IF("hotel"="hotel",1.6,IF("Hotel"="Plots",0.25,1))/Phases!$E$5,0)</f>
        <v>0</v>
      </c>
      <c r="AE16" s="0" t="n">
        <f aca="false">IF(AND(AE$3&gt;=Phases!$D$5,AE$3&lt;Phases!$D$5+Phases!$E$5),Phases!$C$5*Scenarios!$E$8*IF("hotel"="hotel",1.6,IF("Hotel"="Plots",0.25,1))/Phases!$E$5,0)</f>
        <v>0</v>
      </c>
      <c r="AF16" s="0" t="n">
        <f aca="false">IF(AND(AF$3&gt;=Phases!$D$5,AF$3&lt;Phases!$D$5+Phases!$E$5),Phases!$C$5*Scenarios!$E$8*IF("hotel"="hotel",1.6,IF("Hotel"="Plots",0.25,1))/Phases!$E$5,0)</f>
        <v>0</v>
      </c>
      <c r="AG16" s="0" t="n">
        <f aca="false">IF(AND(AG$3&gt;=Phases!$D$5,AG$3&lt;Phases!$D$5+Phases!$E$5),Phases!$C$5*Scenarios!$E$8*IF("hotel"="hotel",1.6,IF("Hotel"="Plots",0.25,1))/Phases!$E$5,0)</f>
        <v>0</v>
      </c>
      <c r="AH16" s="0" t="n">
        <f aca="false">IF(AND(AH$3&gt;=Phases!$D$5,AH$3&lt;Phases!$D$5+Phases!$E$5),Phases!$C$5*Scenarios!$E$8*IF("hotel"="hotel",1.6,IF("Hotel"="Plots",0.25,1))/Phases!$E$5,0)</f>
        <v>0</v>
      </c>
      <c r="AI16" s="0" t="n">
        <f aca="false">IF(AND(AI$3&gt;=Phases!$D$5,AI$3&lt;Phases!$D$5+Phases!$E$5),Phases!$C$5*Scenarios!$E$8*IF("hotel"="hotel",1.6,IF("Hotel"="Plots",0.25,1))/Phases!$E$5,0)</f>
        <v>0</v>
      </c>
      <c r="AJ16" s="0" t="n">
        <f aca="false">IF(AND(AJ$3&gt;=Phases!$D$5,AJ$3&lt;Phases!$D$5+Phases!$E$5),Phases!$C$5*Scenarios!$E$8*IF("hotel"="hotel",1.6,IF("Hotel"="Plots",0.25,1))/Phases!$E$5,0)</f>
        <v>0</v>
      </c>
      <c r="AK16" s="0" t="n">
        <f aca="false">IF(AND(AK$3&gt;=Phases!$D$5,AK$3&lt;Phases!$D$5+Phases!$E$5),Phases!$C$5*Scenarios!$E$8*IF("hotel"="hotel",1.6,IF("Hotel"="Plots",0.25,1))/Phases!$E$5,0)</f>
        <v>0</v>
      </c>
      <c r="AL16" s="0" t="n">
        <f aca="false">IF(AND(AL$3&gt;=Phases!$D$5,AL$3&lt;Phases!$D$5+Phases!$E$5),Phases!$C$5*Scenarios!$E$8*IF("hotel"="hotel",1.6,IF("Hotel"="Plots",0.25,1))/Phases!$E$5,0)</f>
        <v>0</v>
      </c>
      <c r="AM16" s="0" t="n">
        <f aca="false">IF(AND(AM$3&gt;=Phases!$D$5,AM$3&lt;Phases!$D$5+Phases!$E$5),Phases!$C$5*Scenarios!$E$8*IF("hotel"="hotel",1.6,IF("Hotel"="Plots",0.25,1))/Phases!$E$5,0)</f>
        <v>0</v>
      </c>
      <c r="AN16" s="0" t="n">
        <f aca="false">IF(AND(AN$3&gt;=Phases!$D$5,AN$3&lt;Phases!$D$5+Phases!$E$5),Phases!$C$5*Scenarios!$E$8*IF("hotel"="hotel",1.6,IF("Hotel"="Plots",0.25,1))/Phases!$E$5,0)</f>
        <v>0</v>
      </c>
      <c r="AO16" s="0" t="n">
        <f aca="false">IF(AND(AO$3&gt;=Phases!$D$5,AO$3&lt;Phases!$D$5+Phases!$E$5),Phases!$C$5*Scenarios!$E$8*IF("hotel"="hotel",1.6,IF("Hotel"="Plots",0.25,1))/Phases!$E$5,0)</f>
        <v>0</v>
      </c>
      <c r="AP16" s="0" t="n">
        <f aca="false">IF(AND(AP$3&gt;=Phases!$D$5,AP$3&lt;Phases!$D$5+Phases!$E$5),Phases!$C$5*Scenarios!$E$8*IF("hotel"="hotel",1.6,IF("Hotel"="Plots",0.25,1))/Phases!$E$5,0)</f>
        <v>0</v>
      </c>
      <c r="AQ16" s="0" t="n">
        <f aca="false">IF(AND(AQ$3&gt;=Phases!$D$5,AQ$3&lt;Phases!$D$5+Phases!$E$5),Phases!$C$5*Scenarios!$E$8*IF("hotel"="hotel",1.6,IF("Hotel"="Plots",0.25,1))/Phases!$E$5,0)</f>
        <v>0</v>
      </c>
      <c r="AR16" s="0" t="n">
        <f aca="false">IF(AND(AR$3&gt;=Phases!$D$5,AR$3&lt;Phases!$D$5+Phases!$E$5),Phases!$C$5*Scenarios!$E$8*IF("hotel"="hotel",1.6,IF("Hotel"="Plots",0.25,1))/Phases!$E$5,0)</f>
        <v>0</v>
      </c>
      <c r="AS16" s="0" t="n">
        <f aca="false">IF(AND(AS$3&gt;=Phases!$D$5,AS$3&lt;Phases!$D$5+Phases!$E$5),Phases!$C$5*Scenarios!$E$8*IF("hotel"="hotel",1.6,IF("Hotel"="Plots",0.25,1))/Phases!$E$5,0)</f>
        <v>0</v>
      </c>
      <c r="AT16" s="0" t="n">
        <f aca="false">IF(AND(AT$3&gt;=Phases!$D$5,AT$3&lt;Phases!$D$5+Phases!$E$5),Phases!$C$5*Scenarios!$E$8*IF("hotel"="hotel",1.6,IF("Hotel"="Plots",0.25,1))/Phases!$E$5,0)</f>
        <v>0</v>
      </c>
      <c r="AU16" s="0" t="n">
        <f aca="false">IF(AND(AU$3&gt;=Phases!$D$5,AU$3&lt;Phases!$D$5+Phases!$E$5),Phases!$C$5*Scenarios!$E$8*IF("hotel"="hotel",1.6,IF("Hotel"="Plots",0.25,1))/Phases!$E$5,0)</f>
        <v>0</v>
      </c>
      <c r="AV16" s="0" t="n">
        <f aca="false">IF(AND(AV$3&gt;=Phases!$D$5,AV$3&lt;Phases!$D$5+Phases!$E$5),Phases!$C$5*Scenarios!$E$8*IF("hotel"="hotel",1.6,IF("Hotel"="Plots",0.25,1))/Phases!$E$5,0)</f>
        <v>0</v>
      </c>
      <c r="AW16" s="0" t="n">
        <f aca="false">IF(AND(AW$3&gt;=Phases!$D$5,AW$3&lt;Phases!$D$5+Phases!$E$5),Phases!$C$5*Scenarios!$E$8*IF("hotel"="hotel",1.6,IF("Hotel"="Plots",0.25,1))/Phases!$E$5,0)</f>
        <v>0</v>
      </c>
      <c r="AX16" s="0" t="n">
        <f aca="false">IF(AND(AX$3&gt;=Phases!$D$5,AX$3&lt;Phases!$D$5+Phases!$E$5),Phases!$C$5*Scenarios!$E$8*IF("hotel"="hotel",1.6,IF("Hotel"="Plots",0.25,1))/Phases!$E$5,0)</f>
        <v>0</v>
      </c>
    </row>
    <row r="17" customFormat="false" ht="15" hidden="false" customHeight="false" outlineLevel="0" collapsed="false">
      <c r="A17" s="0" t="s">
        <v>54</v>
      </c>
      <c r="B17" s="0" t="n">
        <f aca="false">0</f>
        <v>0</v>
      </c>
      <c r="C17" s="0" t="n">
        <f aca="false">0</f>
        <v>0</v>
      </c>
      <c r="D17" s="0" t="n">
        <f aca="false">0</f>
        <v>0</v>
      </c>
      <c r="E17" s="0" t="n">
        <f aca="false">0</f>
        <v>0</v>
      </c>
      <c r="F17" s="0" t="n">
        <f aca="false">0</f>
        <v>0</v>
      </c>
      <c r="G17" s="0" t="n">
        <f aca="false">0</f>
        <v>0</v>
      </c>
      <c r="H17" s="0" t="n">
        <f aca="false">0</f>
        <v>0</v>
      </c>
      <c r="I17" s="0" t="n">
        <f aca="false">0</f>
        <v>0</v>
      </c>
      <c r="J17" s="0" t="n">
        <f aca="false">0</f>
        <v>0</v>
      </c>
      <c r="K17" s="0" t="n">
        <f aca="false">0</f>
        <v>0</v>
      </c>
      <c r="L17" s="0" t="n">
        <f aca="false">0</f>
        <v>0</v>
      </c>
      <c r="M17" s="0" t="n">
        <f aca="false">0</f>
        <v>0</v>
      </c>
      <c r="N17" s="0" t="n">
        <f aca="false">0</f>
        <v>0</v>
      </c>
      <c r="O17" s="0" t="n">
        <f aca="false">0</f>
        <v>0</v>
      </c>
      <c r="P17" s="0" t="n">
        <f aca="false">0</f>
        <v>0</v>
      </c>
      <c r="Q17" s="0" t="n">
        <f aca="false">0</f>
        <v>0</v>
      </c>
      <c r="R17" s="0" t="n">
        <f aca="false">0</f>
        <v>0</v>
      </c>
      <c r="S17" s="0" t="n">
        <f aca="false">0</f>
        <v>0</v>
      </c>
      <c r="T17" s="0" t="n">
        <f aca="false">0</f>
        <v>0</v>
      </c>
      <c r="U17" s="0" t="n">
        <f aca="false">0</f>
        <v>0</v>
      </c>
      <c r="V17" s="0" t="n">
        <f aca="false">0</f>
        <v>0</v>
      </c>
      <c r="W17" s="0" t="n">
        <f aca="false">0</f>
        <v>0</v>
      </c>
      <c r="X17" s="0" t="n">
        <f aca="false">0</f>
        <v>0</v>
      </c>
      <c r="Y17" s="0" t="n">
        <f aca="false">0</f>
        <v>0</v>
      </c>
      <c r="Z17" s="0" t="n">
        <f aca="false">0</f>
        <v>0</v>
      </c>
      <c r="AA17" s="0" t="n">
        <f aca="false">0</f>
        <v>0</v>
      </c>
      <c r="AB17" s="0" t="n">
        <f aca="false">0</f>
        <v>0</v>
      </c>
      <c r="AC17" s="0" t="n">
        <f aca="false">0</f>
        <v>0</v>
      </c>
      <c r="AD17" s="0" t="n">
        <f aca="false">0</f>
        <v>0</v>
      </c>
      <c r="AE17" s="0" t="n">
        <f aca="false">0</f>
        <v>0</v>
      </c>
      <c r="AF17" s="0" t="n">
        <f aca="false">0</f>
        <v>0</v>
      </c>
      <c r="AG17" s="0" t="n">
        <f aca="false">0</f>
        <v>0</v>
      </c>
      <c r="AH17" s="0" t="n">
        <f aca="false">0</f>
        <v>0</v>
      </c>
      <c r="AI17" s="0" t="n">
        <f aca="false">0</f>
        <v>0</v>
      </c>
      <c r="AJ17" s="0" t="n">
        <f aca="false">0</f>
        <v>0</v>
      </c>
      <c r="AK17" s="0" t="n">
        <f aca="false">0</f>
        <v>0</v>
      </c>
      <c r="AL17" s="0" t="n">
        <f aca="false">0</f>
        <v>0</v>
      </c>
      <c r="AM17" s="0" t="n">
        <f aca="false">0</f>
        <v>0</v>
      </c>
      <c r="AN17" s="0" t="n">
        <f aca="false">0</f>
        <v>0</v>
      </c>
      <c r="AO17" s="0" t="n">
        <f aca="false">0</f>
        <v>0</v>
      </c>
      <c r="AP17" s="0" t="n">
        <f aca="false">0</f>
        <v>0</v>
      </c>
      <c r="AQ17" s="0" t="n">
        <f aca="false">0</f>
        <v>0</v>
      </c>
      <c r="AR17" s="0" t="n">
        <f aca="false">0</f>
        <v>0</v>
      </c>
      <c r="AS17" s="0" t="n">
        <f aca="false">0</f>
        <v>0</v>
      </c>
      <c r="AT17" s="0" t="n">
        <f aca="false">0</f>
        <v>0</v>
      </c>
      <c r="AU17" s="0" t="n">
        <f aca="false">0</f>
        <v>0</v>
      </c>
      <c r="AV17" s="0" t="n">
        <f aca="false">0</f>
        <v>0</v>
      </c>
      <c r="AW17" s="0" t="n">
        <f aca="false">0</f>
        <v>0</v>
      </c>
      <c r="AX17" s="0" t="n">
        <f aca="false">0</f>
        <v>0</v>
      </c>
    </row>
    <row r="18" customFormat="false" ht="15" hidden="false" customHeight="false" outlineLevel="0" collapsed="false">
      <c r="A18" s="0" t="s">
        <v>55</v>
      </c>
      <c r="B18" s="0" t="n">
        <f aca="false">0</f>
        <v>0</v>
      </c>
      <c r="C18" s="0" t="n">
        <f aca="false">0</f>
        <v>0</v>
      </c>
      <c r="D18" s="0" t="n">
        <f aca="false">0</f>
        <v>0</v>
      </c>
      <c r="E18" s="0" t="n">
        <f aca="false">0</f>
        <v>0</v>
      </c>
      <c r="F18" s="0" t="n">
        <f aca="false">0</f>
        <v>0</v>
      </c>
      <c r="G18" s="0" t="n">
        <f aca="false">0</f>
        <v>0</v>
      </c>
      <c r="H18" s="0" t="n">
        <f aca="false">0</f>
        <v>0</v>
      </c>
      <c r="I18" s="0" t="n">
        <f aca="false">0</f>
        <v>0</v>
      </c>
      <c r="J18" s="0" t="n">
        <f aca="false">0</f>
        <v>0</v>
      </c>
      <c r="K18" s="0" t="n">
        <f aca="false">0</f>
        <v>0</v>
      </c>
      <c r="L18" s="0" t="n">
        <f aca="false">0</f>
        <v>0</v>
      </c>
      <c r="M18" s="0" t="n">
        <f aca="false">0</f>
        <v>0</v>
      </c>
      <c r="N18" s="0" t="n">
        <f aca="false">0</f>
        <v>0</v>
      </c>
      <c r="O18" s="0" t="n">
        <f aca="false">0</f>
        <v>0</v>
      </c>
      <c r="P18" s="0" t="n">
        <f aca="false">0</f>
        <v>0</v>
      </c>
      <c r="Q18" s="0" t="n">
        <f aca="false">0</f>
        <v>0</v>
      </c>
      <c r="R18" s="0" t="n">
        <f aca="false">0</f>
        <v>0</v>
      </c>
      <c r="S18" s="0" t="n">
        <f aca="false">0</f>
        <v>0</v>
      </c>
      <c r="T18" s="0" t="n">
        <f aca="false">0</f>
        <v>0</v>
      </c>
      <c r="U18" s="0" t="n">
        <f aca="false">0</f>
        <v>0</v>
      </c>
      <c r="V18" s="0" t="n">
        <f aca="false">0</f>
        <v>0</v>
      </c>
      <c r="W18" s="0" t="n">
        <f aca="false">0</f>
        <v>0</v>
      </c>
      <c r="X18" s="0" t="n">
        <f aca="false">0</f>
        <v>0</v>
      </c>
      <c r="Y18" s="0" t="n">
        <f aca="false">0</f>
        <v>0</v>
      </c>
      <c r="Z18" s="0" t="n">
        <f aca="false">0</f>
        <v>0</v>
      </c>
      <c r="AA18" s="0" t="n">
        <f aca="false">0</f>
        <v>0</v>
      </c>
      <c r="AB18" s="0" t="n">
        <f aca="false">0</f>
        <v>0</v>
      </c>
      <c r="AC18" s="0" t="n">
        <f aca="false">0</f>
        <v>0</v>
      </c>
      <c r="AD18" s="0" t="n">
        <f aca="false">0</f>
        <v>0</v>
      </c>
      <c r="AE18" s="0" t="n">
        <f aca="false">0</f>
        <v>0</v>
      </c>
      <c r="AF18" s="0" t="n">
        <f aca="false">0</f>
        <v>0</v>
      </c>
      <c r="AG18" s="0" t="n">
        <f aca="false">0</f>
        <v>0</v>
      </c>
      <c r="AH18" s="0" t="n">
        <f aca="false">0</f>
        <v>0</v>
      </c>
      <c r="AI18" s="0" t="n">
        <f aca="false">0</f>
        <v>0</v>
      </c>
      <c r="AJ18" s="0" t="n">
        <f aca="false">0</f>
        <v>0</v>
      </c>
      <c r="AK18" s="0" t="n">
        <f aca="false">0</f>
        <v>0</v>
      </c>
      <c r="AL18" s="0" t="n">
        <f aca="false">0</f>
        <v>0</v>
      </c>
      <c r="AM18" s="0" t="n">
        <f aca="false">0</f>
        <v>0</v>
      </c>
      <c r="AN18" s="0" t="n">
        <f aca="false">0</f>
        <v>0</v>
      </c>
      <c r="AO18" s="0" t="n">
        <f aca="false">0</f>
        <v>0</v>
      </c>
      <c r="AP18" s="0" t="n">
        <f aca="false">0</f>
        <v>0</v>
      </c>
      <c r="AQ18" s="0" t="n">
        <f aca="false">0</f>
        <v>0</v>
      </c>
      <c r="AR18" s="0" t="n">
        <f aca="false">0</f>
        <v>0</v>
      </c>
      <c r="AS18" s="0" t="n">
        <f aca="false">0</f>
        <v>0</v>
      </c>
      <c r="AT18" s="0" t="n">
        <f aca="false">0</f>
        <v>0</v>
      </c>
      <c r="AU18" s="0" t="n">
        <f aca="false">0</f>
        <v>0</v>
      </c>
      <c r="AV18" s="0" t="n">
        <f aca="false">0</f>
        <v>0</v>
      </c>
      <c r="AW18" s="0" t="n">
        <f aca="false">0</f>
        <v>0</v>
      </c>
      <c r="AX18" s="0" t="n">
        <f aca="false">0</f>
        <v>0</v>
      </c>
    </row>
    <row r="19" customFormat="false" ht="15" hidden="false" customHeight="false" outlineLevel="0" collapsed="false">
      <c r="A19" s="0" t="s">
        <v>56</v>
      </c>
      <c r="B19" s="0" t="n">
        <f aca="false">IF((B$3&gt;=Phases!$D$5+Phases!$E$5),Phases!$C$5/45*Scenarios!$E$5*365*0.68*0.38/4*MIN(1,(B$3-Phases!$D$5-Phases!$E$5+1)/6)*1.025^INT((B$3-Phases!$D$5-Phases!$E$5)/4),0)</f>
        <v>0</v>
      </c>
      <c r="C19" s="0" t="n">
        <f aca="false">IF((C$3&gt;=Phases!$D$5+Phases!$E$5),Phases!$C$5/45*Scenarios!$E$5*365*0.68*0.38/4*MIN(1,(C$3-Phases!$D$5-Phases!$E$5+1)/6)*1.025^INT((C$3-Phases!$D$5-Phases!$E$5)/4),0)</f>
        <v>0</v>
      </c>
      <c r="D19" s="0" t="n">
        <f aca="false">IF((D$3&gt;=Phases!$D$5+Phases!$E$5),Phases!$C$5/45*Scenarios!$E$5*365*0.68*0.38/4*MIN(1,(D$3-Phases!$D$5-Phases!$E$5+1)/6)*1.025^INT((D$3-Phases!$D$5-Phases!$E$5)/4),0)</f>
        <v>0</v>
      </c>
      <c r="E19" s="0" t="n">
        <f aca="false">IF((E$3&gt;=Phases!$D$5+Phases!$E$5),Phases!$C$5/45*Scenarios!$E$5*365*0.68*0.38/4*MIN(1,(E$3-Phases!$D$5-Phases!$E$5+1)/6)*1.025^INT((E$3-Phases!$D$5-Phases!$E$5)/4),0)</f>
        <v>0</v>
      </c>
      <c r="F19" s="0" t="n">
        <f aca="false">IF((F$3&gt;=Phases!$D$5+Phases!$E$5),Phases!$C$5/45*Scenarios!$E$5*365*0.68*0.38/4*MIN(1,(F$3-Phases!$D$5-Phases!$E$5+1)/6)*1.025^INT((F$3-Phases!$D$5-Phases!$E$5)/4),0)</f>
        <v>0</v>
      </c>
      <c r="G19" s="0" t="n">
        <f aca="false">IF((G$3&gt;=Phases!$D$5+Phases!$E$5),Phases!$C$5/45*Scenarios!$E$5*365*0.68*0.38/4*MIN(1,(G$3-Phases!$D$5-Phases!$E$5+1)/6)*1.025^INT((G$3-Phases!$D$5-Phases!$E$5)/4),0)</f>
        <v>0</v>
      </c>
      <c r="H19" s="0" t="n">
        <f aca="false">IF((H$3&gt;=Phases!$D$5+Phases!$E$5),Phases!$C$5/45*Scenarios!$E$5*365*0.68*0.38/4*MIN(1,(H$3-Phases!$D$5-Phases!$E$5+1)/6)*1.025^INT((H$3-Phases!$D$5-Phases!$E$5)/4),0)</f>
        <v>0</v>
      </c>
      <c r="I19" s="0" t="n">
        <f aca="false">IF((I$3&gt;=Phases!$D$5+Phases!$E$5),Phases!$C$5/45*Scenarios!$E$5*365*0.68*0.38/4*MIN(1,(I$3-Phases!$D$5-Phases!$E$5+1)/6)*1.025^INT((I$3-Phases!$D$5-Phases!$E$5)/4),0)</f>
        <v>0</v>
      </c>
      <c r="J19" s="0" t="n">
        <f aca="false">IF((J$3&gt;=Phases!$D$5+Phases!$E$5),Phases!$C$5/45*Scenarios!$E$5*365*0.68*0.38/4*MIN(1,(J$3-Phases!$D$5-Phases!$E$5+1)/6)*1.025^INT((J$3-Phases!$D$5-Phases!$E$5)/4),0)</f>
        <v>0</v>
      </c>
      <c r="K19" s="0" t="n">
        <f aca="false">IF((K$3&gt;=Phases!$D$5+Phases!$E$5),Phases!$C$5/45*Scenarios!$E$5*365*0.68*0.38/4*MIN(1,(K$3-Phases!$D$5-Phases!$E$5+1)/6)*1.025^INT((K$3-Phases!$D$5-Phases!$E$5)/4),0)</f>
        <v>0</v>
      </c>
      <c r="L19" s="0" t="n">
        <f aca="false">IF((L$3&gt;=Phases!$D$5+Phases!$E$5),Phases!$C$5/45*Scenarios!$E$5*365*0.68*0.38/4*MIN(1,(L$3-Phases!$D$5-Phases!$E$5+1)/6)*1.025^INT((L$3-Phases!$D$5-Phases!$E$5)/4),0)</f>
        <v>0</v>
      </c>
      <c r="M19" s="0" t="n">
        <f aca="false">IF((M$3&gt;=Phases!$D$5+Phases!$E$5),Phases!$C$5/45*Scenarios!$E$5*365*0.68*0.38/4*MIN(1,(M$3-Phases!$D$5-Phases!$E$5+1)/6)*1.025^INT((M$3-Phases!$D$5-Phases!$E$5)/4),0)</f>
        <v>0</v>
      </c>
      <c r="N19" s="0" t="n">
        <f aca="false">IF((N$3&gt;=Phases!$D$5+Phases!$E$5),Phases!$C$5/45*Scenarios!$E$5*365*0.68*0.38/4*MIN(1,(N$3-Phases!$D$5-Phases!$E$5+1)/6)*1.025^INT((N$3-Phases!$D$5-Phases!$E$5)/4),0)</f>
        <v>0</v>
      </c>
      <c r="O19" s="0" t="n">
        <f aca="false">IF((O$3&gt;=Phases!$D$5+Phases!$E$5),Phases!$C$5/45*Scenarios!$E$5*365*0.68*0.38/4*MIN(1,(O$3-Phases!$D$5-Phases!$E$5+1)/6)*1.025^INT((O$3-Phases!$D$5-Phases!$E$5)/4),0)</f>
        <v>0</v>
      </c>
      <c r="P19" s="0" t="n">
        <f aca="false">IF((P$3&gt;=Phases!$D$5+Phases!$E$5),Phases!$C$5/45*Scenarios!$E$5*365*0.68*0.38/4*MIN(1,(P$3-Phases!$D$5-Phases!$E$5+1)/6)*1.025^INT((P$3-Phases!$D$5-Phases!$E$5)/4),0)</f>
        <v>0</v>
      </c>
      <c r="Q19" s="0" t="n">
        <f aca="false">IF((Q$3&gt;=Phases!$D$5+Phases!$E$5),Phases!$C$5/45*Scenarios!$E$5*365*0.68*0.38/4*MIN(1,(Q$3-Phases!$D$5-Phases!$E$5+1)/6)*1.025^INT((Q$3-Phases!$D$5-Phases!$E$5)/4),0)</f>
        <v>0</v>
      </c>
      <c r="R19" s="0" t="n">
        <f aca="false">IF((R$3&gt;=Phases!$D$5+Phases!$E$5),Phases!$C$5/45*Scenarios!$E$5*365*0.68*0.38/4*MIN(1,(R$3-Phases!$D$5-Phases!$E$5+1)/6)*1.025^INT((R$3-Phases!$D$5-Phases!$E$5)/4),0)</f>
        <v>0</v>
      </c>
      <c r="S19" s="0" t="n">
        <f aca="false">IF((S$3&gt;=Phases!$D$5+Phases!$E$5),Phases!$C$5/45*Scenarios!$E$5*365*0.68*0.38/4*MIN(1,(S$3-Phases!$D$5-Phases!$E$5+1)/6)*1.025^INT((S$3-Phases!$D$5-Phases!$E$5)/4),0)</f>
        <v>0</v>
      </c>
      <c r="T19" s="0" t="n">
        <f aca="false">IF((T$3&gt;=Phases!$D$5+Phases!$E$5),Phases!$C$5/45*Scenarios!$E$5*365*0.68*0.38/4*MIN(1,(T$3-Phases!$D$5-Phases!$E$5+1)/6)*1.025^INT((T$3-Phases!$D$5-Phases!$E$5)/4),0)</f>
        <v>0</v>
      </c>
      <c r="U19" s="0" t="n">
        <f aca="false">IF((U$3&gt;=Phases!$D$5+Phases!$E$5),Phases!$C$5/45*Scenarios!$E$5*365*0.68*0.38/4*MIN(1,(U$3-Phases!$D$5-Phases!$E$5+1)/6)*1.025^INT((U$3-Phases!$D$5-Phases!$E$5)/4),0)</f>
        <v>3143866.66666667</v>
      </c>
      <c r="V19" s="0" t="n">
        <f aca="false">IF((V$3&gt;=Phases!$D$5+Phases!$E$5),Phases!$C$5/45*Scenarios!$E$5*365*0.68*0.38/4*MIN(1,(V$3-Phases!$D$5-Phases!$E$5+1)/6)*1.025^INT((V$3-Phases!$D$5-Phases!$E$5)/4),0)</f>
        <v>6287733.33333333</v>
      </c>
      <c r="W19" s="0" t="n">
        <f aca="false">IF((W$3&gt;=Phases!$D$5+Phases!$E$5),Phases!$C$5/45*Scenarios!$E$5*365*0.68*0.38/4*MIN(1,(W$3-Phases!$D$5-Phases!$E$5+1)/6)*1.025^INT((W$3-Phases!$D$5-Phases!$E$5)/4),0)</f>
        <v>9431600</v>
      </c>
      <c r="X19" s="0" t="n">
        <f aca="false">IF((X$3&gt;=Phases!$D$5+Phases!$E$5),Phases!$C$5/45*Scenarios!$E$5*365*0.68*0.38/4*MIN(1,(X$3-Phases!$D$5-Phases!$E$5+1)/6)*1.025^INT((X$3-Phases!$D$5-Phases!$E$5)/4),0)</f>
        <v>12575466.6666667</v>
      </c>
      <c r="Y19" s="0" t="n">
        <f aca="false">IF((Y$3&gt;=Phases!$D$5+Phases!$E$5),Phases!$C$5/45*Scenarios!$E$5*365*0.68*0.38/4*MIN(1,(Y$3-Phases!$D$5-Phases!$E$5+1)/6)*1.025^INT((Y$3-Phases!$D$5-Phases!$E$5)/4),0)</f>
        <v>16112316.6666667</v>
      </c>
      <c r="Z19" s="0" t="n">
        <f aca="false">IF((Z$3&gt;=Phases!$D$5+Phases!$E$5),Phases!$C$5/45*Scenarios!$E$5*365*0.68*0.38/4*MIN(1,(Z$3-Phases!$D$5-Phases!$E$5+1)/6)*1.025^INT((Z$3-Phases!$D$5-Phases!$E$5)/4),0)</f>
        <v>19334780</v>
      </c>
      <c r="AA19" s="0" t="n">
        <f aca="false">IF((AA$3&gt;=Phases!$D$5+Phases!$E$5),Phases!$C$5/45*Scenarios!$E$5*365*0.68*0.38/4*MIN(1,(AA$3-Phases!$D$5-Phases!$E$5+1)/6)*1.025^INT((AA$3-Phases!$D$5-Phases!$E$5)/4),0)</f>
        <v>19334780</v>
      </c>
      <c r="AB19" s="0" t="n">
        <f aca="false">IF((AB$3&gt;=Phases!$D$5+Phases!$E$5),Phases!$C$5/45*Scenarios!$E$5*365*0.68*0.38/4*MIN(1,(AB$3-Phases!$D$5-Phases!$E$5+1)/6)*1.025^INT((AB$3-Phases!$D$5-Phases!$E$5)/4),0)</f>
        <v>19334780</v>
      </c>
      <c r="AC19" s="0" t="n">
        <f aca="false">IF((AC$3&gt;=Phases!$D$5+Phases!$E$5),Phases!$C$5/45*Scenarios!$E$5*365*0.68*0.38/4*MIN(1,(AC$3-Phases!$D$5-Phases!$E$5+1)/6)*1.025^INT((AC$3-Phases!$D$5-Phases!$E$5)/4),0)</f>
        <v>19818149.5</v>
      </c>
      <c r="AD19" s="0" t="n">
        <f aca="false">IF((AD$3&gt;=Phases!$D$5+Phases!$E$5),Phases!$C$5/45*Scenarios!$E$5*365*0.68*0.38/4*MIN(1,(AD$3-Phases!$D$5-Phases!$E$5+1)/6)*1.025^INT((AD$3-Phases!$D$5-Phases!$E$5)/4),0)</f>
        <v>19818149.5</v>
      </c>
      <c r="AE19" s="0" t="n">
        <f aca="false">IF((AE$3&gt;=Phases!$D$5+Phases!$E$5),Phases!$C$5/45*Scenarios!$E$5*365*0.68*0.38/4*MIN(1,(AE$3-Phases!$D$5-Phases!$E$5+1)/6)*1.025^INT((AE$3-Phases!$D$5-Phases!$E$5)/4),0)</f>
        <v>19818149.5</v>
      </c>
      <c r="AF19" s="0" t="n">
        <f aca="false">IF((AF$3&gt;=Phases!$D$5+Phases!$E$5),Phases!$C$5/45*Scenarios!$E$5*365*0.68*0.38/4*MIN(1,(AF$3-Phases!$D$5-Phases!$E$5+1)/6)*1.025^INT((AF$3-Phases!$D$5-Phases!$E$5)/4),0)</f>
        <v>19818149.5</v>
      </c>
      <c r="AG19" s="0" t="n">
        <f aca="false">IF((AG$3&gt;=Phases!$D$5+Phases!$E$5),Phases!$C$5/45*Scenarios!$E$5*365*0.68*0.38/4*MIN(1,(AG$3-Phases!$D$5-Phases!$E$5+1)/6)*1.025^INT((AG$3-Phases!$D$5-Phases!$E$5)/4),0)</f>
        <v>20313603.2375</v>
      </c>
      <c r="AH19" s="0" t="n">
        <f aca="false">IF((AH$3&gt;=Phases!$D$5+Phases!$E$5),Phases!$C$5/45*Scenarios!$E$5*365*0.68*0.38/4*MIN(1,(AH$3-Phases!$D$5-Phases!$E$5+1)/6)*1.025^INT((AH$3-Phases!$D$5-Phases!$E$5)/4),0)</f>
        <v>20313603.2375</v>
      </c>
      <c r="AI19" s="0" t="n">
        <f aca="false">IF((AI$3&gt;=Phases!$D$5+Phases!$E$5),Phases!$C$5/45*Scenarios!$E$5*365*0.68*0.38/4*MIN(1,(AI$3-Phases!$D$5-Phases!$E$5+1)/6)*1.025^INT((AI$3-Phases!$D$5-Phases!$E$5)/4),0)</f>
        <v>20313603.2375</v>
      </c>
      <c r="AJ19" s="0" t="n">
        <f aca="false">IF((AJ$3&gt;=Phases!$D$5+Phases!$E$5),Phases!$C$5/45*Scenarios!$E$5*365*0.68*0.38/4*MIN(1,(AJ$3-Phases!$D$5-Phases!$E$5+1)/6)*1.025^INT((AJ$3-Phases!$D$5-Phases!$E$5)/4),0)</f>
        <v>20313603.2375</v>
      </c>
      <c r="AK19" s="0" t="n">
        <f aca="false">IF((AK$3&gt;=Phases!$D$5+Phases!$E$5),Phases!$C$5/45*Scenarios!$E$5*365*0.68*0.38/4*MIN(1,(AK$3-Phases!$D$5-Phases!$E$5+1)/6)*1.025^INT((AK$3-Phases!$D$5-Phases!$E$5)/4),0)</f>
        <v>20821443.3184375</v>
      </c>
      <c r="AL19" s="0" t="n">
        <f aca="false">IF((AL$3&gt;=Phases!$D$5+Phases!$E$5),Phases!$C$5/45*Scenarios!$E$5*365*0.68*0.38/4*MIN(1,(AL$3-Phases!$D$5-Phases!$E$5+1)/6)*1.025^INT((AL$3-Phases!$D$5-Phases!$E$5)/4),0)</f>
        <v>20821443.3184375</v>
      </c>
      <c r="AM19" s="0" t="n">
        <f aca="false">IF((AM$3&gt;=Phases!$D$5+Phases!$E$5),Phases!$C$5/45*Scenarios!$E$5*365*0.68*0.38/4*MIN(1,(AM$3-Phases!$D$5-Phases!$E$5+1)/6)*1.025^INT((AM$3-Phases!$D$5-Phases!$E$5)/4),0)</f>
        <v>20821443.3184375</v>
      </c>
      <c r="AN19" s="0" t="n">
        <f aca="false">IF((AN$3&gt;=Phases!$D$5+Phases!$E$5),Phases!$C$5/45*Scenarios!$E$5*365*0.68*0.38/4*MIN(1,(AN$3-Phases!$D$5-Phases!$E$5+1)/6)*1.025^INT((AN$3-Phases!$D$5-Phases!$E$5)/4),0)</f>
        <v>20821443.3184375</v>
      </c>
      <c r="AO19" s="0" t="n">
        <f aca="false">IF((AO$3&gt;=Phases!$D$5+Phases!$E$5),Phases!$C$5/45*Scenarios!$E$5*365*0.68*0.38/4*MIN(1,(AO$3-Phases!$D$5-Phases!$E$5+1)/6)*1.025^INT((AO$3-Phases!$D$5-Phases!$E$5)/4),0)</f>
        <v>21341979.4013984</v>
      </c>
      <c r="AP19" s="0" t="n">
        <f aca="false">IF((AP$3&gt;=Phases!$D$5+Phases!$E$5),Phases!$C$5/45*Scenarios!$E$5*365*0.68*0.38/4*MIN(1,(AP$3-Phases!$D$5-Phases!$E$5+1)/6)*1.025^INT((AP$3-Phases!$D$5-Phases!$E$5)/4),0)</f>
        <v>21341979.4013984</v>
      </c>
      <c r="AQ19" s="0" t="n">
        <f aca="false">IF((AQ$3&gt;=Phases!$D$5+Phases!$E$5),Phases!$C$5/45*Scenarios!$E$5*365*0.68*0.38/4*MIN(1,(AQ$3-Phases!$D$5-Phases!$E$5+1)/6)*1.025^INT((AQ$3-Phases!$D$5-Phases!$E$5)/4),0)</f>
        <v>21341979.4013984</v>
      </c>
      <c r="AR19" s="0" t="n">
        <f aca="false">IF((AR$3&gt;=Phases!$D$5+Phases!$E$5),Phases!$C$5/45*Scenarios!$E$5*365*0.68*0.38/4*MIN(1,(AR$3-Phases!$D$5-Phases!$E$5+1)/6)*1.025^INT((AR$3-Phases!$D$5-Phases!$E$5)/4),0)</f>
        <v>21341979.4013984</v>
      </c>
      <c r="AS19" s="0" t="n">
        <f aca="false">IF((AS$3&gt;=Phases!$D$5+Phases!$E$5),Phases!$C$5/45*Scenarios!$E$5*365*0.68*0.38/4*MIN(1,(AS$3-Phases!$D$5-Phases!$E$5+1)/6)*1.025^INT((AS$3-Phases!$D$5-Phases!$E$5)/4),0)</f>
        <v>21875528.8864334</v>
      </c>
      <c r="AT19" s="0" t="n">
        <f aca="false">IF((AT$3&gt;=Phases!$D$5+Phases!$E$5),Phases!$C$5/45*Scenarios!$E$5*365*0.68*0.38/4*MIN(1,(AT$3-Phases!$D$5-Phases!$E$5+1)/6)*1.025^INT((AT$3-Phases!$D$5-Phases!$E$5)/4),0)</f>
        <v>21875528.8864334</v>
      </c>
      <c r="AU19" s="0" t="n">
        <f aca="false">IF((AU$3&gt;=Phases!$D$5+Phases!$E$5),Phases!$C$5/45*Scenarios!$E$5*365*0.68*0.38/4*MIN(1,(AU$3-Phases!$D$5-Phases!$E$5+1)/6)*1.025^INT((AU$3-Phases!$D$5-Phases!$E$5)/4),0)</f>
        <v>21875528.8864334</v>
      </c>
      <c r="AV19" s="0" t="n">
        <f aca="false">IF((AV$3&gt;=Phases!$D$5+Phases!$E$5),Phases!$C$5/45*Scenarios!$E$5*365*0.68*0.38/4*MIN(1,(AV$3-Phases!$D$5-Phases!$E$5+1)/6)*1.025^INT((AV$3-Phases!$D$5-Phases!$E$5)/4),0)</f>
        <v>21875528.8864334</v>
      </c>
      <c r="AW19" s="0" t="n">
        <f aca="false">IF((AW$3&gt;=Phases!$D$5+Phases!$E$5),Phases!$C$5/45*Scenarios!$E$5*365*0.68*0.38/4*MIN(1,(AW$3-Phases!$D$5-Phases!$E$5+1)/6)*1.025^INT((AW$3-Phases!$D$5-Phases!$E$5)/4),0)</f>
        <v>22422417.1085942</v>
      </c>
      <c r="AX19" s="0" t="n">
        <f aca="false">IF((AX$3&gt;=Phases!$D$5+Phases!$E$5),Phases!$C$5/45*Scenarios!$E$5*365*0.68*0.38/4*MIN(1,(AX$3-Phases!$D$5-Phases!$E$5+1)/6)*1.025^INT((AX$3-Phases!$D$5-Phases!$E$5)/4),0)</f>
        <v>22422417.1085942</v>
      </c>
    </row>
    <row r="20" customFormat="false" ht="15" hidden="false" customHeight="false" outlineLevel="0" collapsed="false">
      <c r="A20" s="0" t="s">
        <v>57</v>
      </c>
      <c r="B20" s="0" t="n">
        <f aca="false">IF(AND(B$3&gt;=Phases!$D$6,B$3&lt;Phases!$D$6+Phases!$E$6),Phases!$C$6*Scenarios!$E$8*IF("income"="hotel",1.6,IF("Retail"="Plots",0.25,1))/Phases!$E$6,0)</f>
        <v>0</v>
      </c>
      <c r="C20" s="0" t="n">
        <f aca="false">IF(AND(C$3&gt;=Phases!$D$6,C$3&lt;Phases!$D$6+Phases!$E$6),Phases!$C$6*Scenarios!$E$8*IF("income"="hotel",1.6,IF("Retail"="Plots",0.25,1))/Phases!$E$6,0)</f>
        <v>0</v>
      </c>
      <c r="D20" s="0" t="n">
        <f aca="false">IF(AND(D$3&gt;=Phases!$D$6,D$3&lt;Phases!$D$6+Phases!$E$6),Phases!$C$6*Scenarios!$E$8*IF("income"="hotel",1.6,IF("Retail"="Plots",0.25,1))/Phases!$E$6,0)</f>
        <v>0</v>
      </c>
      <c r="E20" s="0" t="n">
        <f aca="false">IF(AND(E$3&gt;=Phases!$D$6,E$3&lt;Phases!$D$6+Phases!$E$6),Phases!$C$6*Scenarios!$E$8*IF("income"="hotel",1.6,IF("Retail"="Plots",0.25,1))/Phases!$E$6,0)</f>
        <v>0</v>
      </c>
      <c r="F20" s="0" t="n">
        <f aca="false">IF(AND(F$3&gt;=Phases!$D$6,F$3&lt;Phases!$D$6+Phases!$E$6),Phases!$C$6*Scenarios!$E$8*IF("income"="hotel",1.6,IF("Retail"="Plots",0.25,1))/Phases!$E$6,0)</f>
        <v>0</v>
      </c>
      <c r="G20" s="0" t="n">
        <f aca="false">IF(AND(G$3&gt;=Phases!$D$6,G$3&lt;Phases!$D$6+Phases!$E$6),Phases!$C$6*Scenarios!$E$8*IF("income"="hotel",1.6,IF("Retail"="Plots",0.25,1))/Phases!$E$6,0)</f>
        <v>0</v>
      </c>
      <c r="H20" s="0" t="n">
        <f aca="false">IF(AND(H$3&gt;=Phases!$D$6,H$3&lt;Phases!$D$6+Phases!$E$6),Phases!$C$6*Scenarios!$E$8*IF("income"="hotel",1.6,IF("Retail"="Plots",0.25,1))/Phases!$E$6,0)</f>
        <v>0</v>
      </c>
      <c r="I20" s="0" t="n">
        <f aca="false">IF(AND(I$3&gt;=Phases!$D$6,I$3&lt;Phases!$D$6+Phases!$E$6),Phases!$C$6*Scenarios!$E$8*IF("income"="hotel",1.6,IF("Retail"="Plots",0.25,1))/Phases!$E$6,0)</f>
        <v>0</v>
      </c>
      <c r="J20" s="0" t="n">
        <f aca="false">IF(AND(J$3&gt;=Phases!$D$6,J$3&lt;Phases!$D$6+Phases!$E$6),Phases!$C$6*Scenarios!$E$8*IF("income"="hotel",1.6,IF("Retail"="Plots",0.25,1))/Phases!$E$6,0)</f>
        <v>18812500</v>
      </c>
      <c r="K20" s="0" t="n">
        <f aca="false">IF(AND(K$3&gt;=Phases!$D$6,K$3&lt;Phases!$D$6+Phases!$E$6),Phases!$C$6*Scenarios!$E$8*IF("income"="hotel",1.6,IF("Retail"="Plots",0.25,1))/Phases!$E$6,0)</f>
        <v>18812500</v>
      </c>
      <c r="L20" s="0" t="n">
        <f aca="false">IF(AND(L$3&gt;=Phases!$D$6,L$3&lt;Phases!$D$6+Phases!$E$6),Phases!$C$6*Scenarios!$E$8*IF("income"="hotel",1.6,IF("Retail"="Plots",0.25,1))/Phases!$E$6,0)</f>
        <v>18812500</v>
      </c>
      <c r="M20" s="0" t="n">
        <f aca="false">IF(AND(M$3&gt;=Phases!$D$6,M$3&lt;Phases!$D$6+Phases!$E$6),Phases!$C$6*Scenarios!$E$8*IF("income"="hotel",1.6,IF("Retail"="Plots",0.25,1))/Phases!$E$6,0)</f>
        <v>18812500</v>
      </c>
      <c r="N20" s="0" t="n">
        <f aca="false">IF(AND(N$3&gt;=Phases!$D$6,N$3&lt;Phases!$D$6+Phases!$E$6),Phases!$C$6*Scenarios!$E$8*IF("income"="hotel",1.6,IF("Retail"="Plots",0.25,1))/Phases!$E$6,0)</f>
        <v>18812500</v>
      </c>
      <c r="O20" s="0" t="n">
        <f aca="false">IF(AND(O$3&gt;=Phases!$D$6,O$3&lt;Phases!$D$6+Phases!$E$6),Phases!$C$6*Scenarios!$E$8*IF("income"="hotel",1.6,IF("Retail"="Plots",0.25,1))/Phases!$E$6,0)</f>
        <v>18812500</v>
      </c>
      <c r="P20" s="0" t="n">
        <f aca="false">IF(AND(P$3&gt;=Phases!$D$6,P$3&lt;Phases!$D$6+Phases!$E$6),Phases!$C$6*Scenarios!$E$8*IF("income"="hotel",1.6,IF("Retail"="Plots",0.25,1))/Phases!$E$6,0)</f>
        <v>18812500</v>
      </c>
      <c r="Q20" s="0" t="n">
        <f aca="false">IF(AND(Q$3&gt;=Phases!$D$6,Q$3&lt;Phases!$D$6+Phases!$E$6),Phases!$C$6*Scenarios!$E$8*IF("income"="hotel",1.6,IF("Retail"="Plots",0.25,1))/Phases!$E$6,0)</f>
        <v>18812500</v>
      </c>
      <c r="R20" s="0" t="n">
        <f aca="false">IF(AND(R$3&gt;=Phases!$D$6,R$3&lt;Phases!$D$6+Phases!$E$6),Phases!$C$6*Scenarios!$E$8*IF("income"="hotel",1.6,IF("Retail"="Plots",0.25,1))/Phases!$E$6,0)</f>
        <v>0</v>
      </c>
      <c r="S20" s="0" t="n">
        <f aca="false">IF(AND(S$3&gt;=Phases!$D$6,S$3&lt;Phases!$D$6+Phases!$E$6),Phases!$C$6*Scenarios!$E$8*IF("income"="hotel",1.6,IF("Retail"="Plots",0.25,1))/Phases!$E$6,0)</f>
        <v>0</v>
      </c>
      <c r="T20" s="0" t="n">
        <f aca="false">IF(AND(T$3&gt;=Phases!$D$6,T$3&lt;Phases!$D$6+Phases!$E$6),Phases!$C$6*Scenarios!$E$8*IF("income"="hotel",1.6,IF("Retail"="Plots",0.25,1))/Phases!$E$6,0)</f>
        <v>0</v>
      </c>
      <c r="U20" s="0" t="n">
        <f aca="false">IF(AND(U$3&gt;=Phases!$D$6,U$3&lt;Phases!$D$6+Phases!$E$6),Phases!$C$6*Scenarios!$E$8*IF("income"="hotel",1.6,IF("Retail"="Plots",0.25,1))/Phases!$E$6,0)</f>
        <v>0</v>
      </c>
      <c r="V20" s="0" t="n">
        <f aca="false">IF(AND(V$3&gt;=Phases!$D$6,V$3&lt;Phases!$D$6+Phases!$E$6),Phases!$C$6*Scenarios!$E$8*IF("income"="hotel",1.6,IF("Retail"="Plots",0.25,1))/Phases!$E$6,0)</f>
        <v>0</v>
      </c>
      <c r="W20" s="0" t="n">
        <f aca="false">IF(AND(W$3&gt;=Phases!$D$6,W$3&lt;Phases!$D$6+Phases!$E$6),Phases!$C$6*Scenarios!$E$8*IF("income"="hotel",1.6,IF("Retail"="Plots",0.25,1))/Phases!$E$6,0)</f>
        <v>0</v>
      </c>
      <c r="X20" s="0" t="n">
        <f aca="false">IF(AND(X$3&gt;=Phases!$D$6,X$3&lt;Phases!$D$6+Phases!$E$6),Phases!$C$6*Scenarios!$E$8*IF("income"="hotel",1.6,IF("Retail"="Plots",0.25,1))/Phases!$E$6,0)</f>
        <v>0</v>
      </c>
      <c r="Y20" s="0" t="n">
        <f aca="false">IF(AND(Y$3&gt;=Phases!$D$6,Y$3&lt;Phases!$D$6+Phases!$E$6),Phases!$C$6*Scenarios!$E$8*IF("income"="hotel",1.6,IF("Retail"="Plots",0.25,1))/Phases!$E$6,0)</f>
        <v>0</v>
      </c>
      <c r="Z20" s="0" t="n">
        <f aca="false">IF(AND(Z$3&gt;=Phases!$D$6,Z$3&lt;Phases!$D$6+Phases!$E$6),Phases!$C$6*Scenarios!$E$8*IF("income"="hotel",1.6,IF("Retail"="Plots",0.25,1))/Phases!$E$6,0)</f>
        <v>0</v>
      </c>
      <c r="AA20" s="0" t="n">
        <f aca="false">IF(AND(AA$3&gt;=Phases!$D$6,AA$3&lt;Phases!$D$6+Phases!$E$6),Phases!$C$6*Scenarios!$E$8*IF("income"="hotel",1.6,IF("Retail"="Plots",0.25,1))/Phases!$E$6,0)</f>
        <v>0</v>
      </c>
      <c r="AB20" s="0" t="n">
        <f aca="false">IF(AND(AB$3&gt;=Phases!$D$6,AB$3&lt;Phases!$D$6+Phases!$E$6),Phases!$C$6*Scenarios!$E$8*IF("income"="hotel",1.6,IF("Retail"="Plots",0.25,1))/Phases!$E$6,0)</f>
        <v>0</v>
      </c>
      <c r="AC20" s="0" t="n">
        <f aca="false">IF(AND(AC$3&gt;=Phases!$D$6,AC$3&lt;Phases!$D$6+Phases!$E$6),Phases!$C$6*Scenarios!$E$8*IF("income"="hotel",1.6,IF("Retail"="Plots",0.25,1))/Phases!$E$6,0)</f>
        <v>0</v>
      </c>
      <c r="AD20" s="0" t="n">
        <f aca="false">IF(AND(AD$3&gt;=Phases!$D$6,AD$3&lt;Phases!$D$6+Phases!$E$6),Phases!$C$6*Scenarios!$E$8*IF("income"="hotel",1.6,IF("Retail"="Plots",0.25,1))/Phases!$E$6,0)</f>
        <v>0</v>
      </c>
      <c r="AE20" s="0" t="n">
        <f aca="false">IF(AND(AE$3&gt;=Phases!$D$6,AE$3&lt;Phases!$D$6+Phases!$E$6),Phases!$C$6*Scenarios!$E$8*IF("income"="hotel",1.6,IF("Retail"="Plots",0.25,1))/Phases!$E$6,0)</f>
        <v>0</v>
      </c>
      <c r="AF20" s="0" t="n">
        <f aca="false">IF(AND(AF$3&gt;=Phases!$D$6,AF$3&lt;Phases!$D$6+Phases!$E$6),Phases!$C$6*Scenarios!$E$8*IF("income"="hotel",1.6,IF("Retail"="Plots",0.25,1))/Phases!$E$6,0)</f>
        <v>0</v>
      </c>
      <c r="AG20" s="0" t="n">
        <f aca="false">IF(AND(AG$3&gt;=Phases!$D$6,AG$3&lt;Phases!$D$6+Phases!$E$6),Phases!$C$6*Scenarios!$E$8*IF("income"="hotel",1.6,IF("Retail"="Plots",0.25,1))/Phases!$E$6,0)</f>
        <v>0</v>
      </c>
      <c r="AH20" s="0" t="n">
        <f aca="false">IF(AND(AH$3&gt;=Phases!$D$6,AH$3&lt;Phases!$D$6+Phases!$E$6),Phases!$C$6*Scenarios!$E$8*IF("income"="hotel",1.6,IF("Retail"="Plots",0.25,1))/Phases!$E$6,0)</f>
        <v>0</v>
      </c>
      <c r="AI20" s="0" t="n">
        <f aca="false">IF(AND(AI$3&gt;=Phases!$D$6,AI$3&lt;Phases!$D$6+Phases!$E$6),Phases!$C$6*Scenarios!$E$8*IF("income"="hotel",1.6,IF("Retail"="Plots",0.25,1))/Phases!$E$6,0)</f>
        <v>0</v>
      </c>
      <c r="AJ20" s="0" t="n">
        <f aca="false">IF(AND(AJ$3&gt;=Phases!$D$6,AJ$3&lt;Phases!$D$6+Phases!$E$6),Phases!$C$6*Scenarios!$E$8*IF("income"="hotel",1.6,IF("Retail"="Plots",0.25,1))/Phases!$E$6,0)</f>
        <v>0</v>
      </c>
      <c r="AK20" s="0" t="n">
        <f aca="false">IF(AND(AK$3&gt;=Phases!$D$6,AK$3&lt;Phases!$D$6+Phases!$E$6),Phases!$C$6*Scenarios!$E$8*IF("income"="hotel",1.6,IF("Retail"="Plots",0.25,1))/Phases!$E$6,0)</f>
        <v>0</v>
      </c>
      <c r="AL20" s="0" t="n">
        <f aca="false">IF(AND(AL$3&gt;=Phases!$D$6,AL$3&lt;Phases!$D$6+Phases!$E$6),Phases!$C$6*Scenarios!$E$8*IF("income"="hotel",1.6,IF("Retail"="Plots",0.25,1))/Phases!$E$6,0)</f>
        <v>0</v>
      </c>
      <c r="AM20" s="0" t="n">
        <f aca="false">IF(AND(AM$3&gt;=Phases!$D$6,AM$3&lt;Phases!$D$6+Phases!$E$6),Phases!$C$6*Scenarios!$E$8*IF("income"="hotel",1.6,IF("Retail"="Plots",0.25,1))/Phases!$E$6,0)</f>
        <v>0</v>
      </c>
      <c r="AN20" s="0" t="n">
        <f aca="false">IF(AND(AN$3&gt;=Phases!$D$6,AN$3&lt;Phases!$D$6+Phases!$E$6),Phases!$C$6*Scenarios!$E$8*IF("income"="hotel",1.6,IF("Retail"="Plots",0.25,1))/Phases!$E$6,0)</f>
        <v>0</v>
      </c>
      <c r="AO20" s="0" t="n">
        <f aca="false">IF(AND(AO$3&gt;=Phases!$D$6,AO$3&lt;Phases!$D$6+Phases!$E$6),Phases!$C$6*Scenarios!$E$8*IF("income"="hotel",1.6,IF("Retail"="Plots",0.25,1))/Phases!$E$6,0)</f>
        <v>0</v>
      </c>
      <c r="AP20" s="0" t="n">
        <f aca="false">IF(AND(AP$3&gt;=Phases!$D$6,AP$3&lt;Phases!$D$6+Phases!$E$6),Phases!$C$6*Scenarios!$E$8*IF("income"="hotel",1.6,IF("Retail"="Plots",0.25,1))/Phases!$E$6,0)</f>
        <v>0</v>
      </c>
      <c r="AQ20" s="0" t="n">
        <f aca="false">IF(AND(AQ$3&gt;=Phases!$D$6,AQ$3&lt;Phases!$D$6+Phases!$E$6),Phases!$C$6*Scenarios!$E$8*IF("income"="hotel",1.6,IF("Retail"="Plots",0.25,1))/Phases!$E$6,0)</f>
        <v>0</v>
      </c>
      <c r="AR20" s="0" t="n">
        <f aca="false">IF(AND(AR$3&gt;=Phases!$D$6,AR$3&lt;Phases!$D$6+Phases!$E$6),Phases!$C$6*Scenarios!$E$8*IF("income"="hotel",1.6,IF("Retail"="Plots",0.25,1))/Phases!$E$6,0)</f>
        <v>0</v>
      </c>
      <c r="AS20" s="0" t="n">
        <f aca="false">IF(AND(AS$3&gt;=Phases!$D$6,AS$3&lt;Phases!$D$6+Phases!$E$6),Phases!$C$6*Scenarios!$E$8*IF("income"="hotel",1.6,IF("Retail"="Plots",0.25,1))/Phases!$E$6,0)</f>
        <v>0</v>
      </c>
      <c r="AT20" s="0" t="n">
        <f aca="false">IF(AND(AT$3&gt;=Phases!$D$6,AT$3&lt;Phases!$D$6+Phases!$E$6),Phases!$C$6*Scenarios!$E$8*IF("income"="hotel",1.6,IF("Retail"="Plots",0.25,1))/Phases!$E$6,0)</f>
        <v>0</v>
      </c>
      <c r="AU20" s="0" t="n">
        <f aca="false">IF(AND(AU$3&gt;=Phases!$D$6,AU$3&lt;Phases!$D$6+Phases!$E$6),Phases!$C$6*Scenarios!$E$8*IF("income"="hotel",1.6,IF("Retail"="Plots",0.25,1))/Phases!$E$6,0)</f>
        <v>0</v>
      </c>
      <c r="AV20" s="0" t="n">
        <f aca="false">IF(AND(AV$3&gt;=Phases!$D$6,AV$3&lt;Phases!$D$6+Phases!$E$6),Phases!$C$6*Scenarios!$E$8*IF("income"="hotel",1.6,IF("Retail"="Plots",0.25,1))/Phases!$E$6,0)</f>
        <v>0</v>
      </c>
      <c r="AW20" s="0" t="n">
        <f aca="false">IF(AND(AW$3&gt;=Phases!$D$6,AW$3&lt;Phases!$D$6+Phases!$E$6),Phases!$C$6*Scenarios!$E$8*IF("income"="hotel",1.6,IF("Retail"="Plots",0.25,1))/Phases!$E$6,0)</f>
        <v>0</v>
      </c>
      <c r="AX20" s="0" t="n">
        <f aca="false">IF(AND(AX$3&gt;=Phases!$D$6,AX$3&lt;Phases!$D$6+Phases!$E$6),Phases!$C$6*Scenarios!$E$8*IF("income"="hotel",1.6,IF("Retail"="Plots",0.25,1))/Phases!$E$6,0)</f>
        <v>0</v>
      </c>
    </row>
    <row r="21" customFormat="false" ht="15" hidden="false" customHeight="false" outlineLevel="0" collapsed="false">
      <c r="A21" s="0" t="s">
        <v>58</v>
      </c>
      <c r="B21" s="0" t="n">
        <f aca="false">0</f>
        <v>0</v>
      </c>
      <c r="C21" s="0" t="n">
        <f aca="false">0</f>
        <v>0</v>
      </c>
      <c r="D21" s="0" t="n">
        <f aca="false">0</f>
        <v>0</v>
      </c>
      <c r="E21" s="0" t="n">
        <f aca="false">0</f>
        <v>0</v>
      </c>
      <c r="F21" s="0" t="n">
        <f aca="false">0</f>
        <v>0</v>
      </c>
      <c r="G21" s="0" t="n">
        <f aca="false">0</f>
        <v>0</v>
      </c>
      <c r="H21" s="0" t="n">
        <f aca="false">0</f>
        <v>0</v>
      </c>
      <c r="I21" s="0" t="n">
        <f aca="false">0</f>
        <v>0</v>
      </c>
      <c r="J21" s="0" t="n">
        <f aca="false">0</f>
        <v>0</v>
      </c>
      <c r="K21" s="0" t="n">
        <f aca="false">0</f>
        <v>0</v>
      </c>
      <c r="L21" s="0" t="n">
        <f aca="false">0</f>
        <v>0</v>
      </c>
      <c r="M21" s="0" t="n">
        <f aca="false">0</f>
        <v>0</v>
      </c>
      <c r="N21" s="0" t="n">
        <f aca="false">0</f>
        <v>0</v>
      </c>
      <c r="O21" s="0" t="n">
        <f aca="false">0</f>
        <v>0</v>
      </c>
      <c r="P21" s="0" t="n">
        <f aca="false">0</f>
        <v>0</v>
      </c>
      <c r="Q21" s="0" t="n">
        <f aca="false">0</f>
        <v>0</v>
      </c>
      <c r="R21" s="0" t="n">
        <f aca="false">0</f>
        <v>0</v>
      </c>
      <c r="S21" s="0" t="n">
        <f aca="false">0</f>
        <v>0</v>
      </c>
      <c r="T21" s="0" t="n">
        <f aca="false">0</f>
        <v>0</v>
      </c>
      <c r="U21" s="0" t="n">
        <f aca="false">0</f>
        <v>0</v>
      </c>
      <c r="V21" s="0" t="n">
        <f aca="false">0</f>
        <v>0</v>
      </c>
      <c r="W21" s="0" t="n">
        <f aca="false">0</f>
        <v>0</v>
      </c>
      <c r="X21" s="0" t="n">
        <f aca="false">0</f>
        <v>0</v>
      </c>
      <c r="Y21" s="0" t="n">
        <f aca="false">0</f>
        <v>0</v>
      </c>
      <c r="Z21" s="0" t="n">
        <f aca="false">0</f>
        <v>0</v>
      </c>
      <c r="AA21" s="0" t="n">
        <f aca="false">0</f>
        <v>0</v>
      </c>
      <c r="AB21" s="0" t="n">
        <f aca="false">0</f>
        <v>0</v>
      </c>
      <c r="AC21" s="0" t="n">
        <f aca="false">0</f>
        <v>0</v>
      </c>
      <c r="AD21" s="0" t="n">
        <f aca="false">0</f>
        <v>0</v>
      </c>
      <c r="AE21" s="0" t="n">
        <f aca="false">0</f>
        <v>0</v>
      </c>
      <c r="AF21" s="0" t="n">
        <f aca="false">0</f>
        <v>0</v>
      </c>
      <c r="AG21" s="0" t="n">
        <f aca="false">0</f>
        <v>0</v>
      </c>
      <c r="AH21" s="0" t="n">
        <f aca="false">0</f>
        <v>0</v>
      </c>
      <c r="AI21" s="0" t="n">
        <f aca="false">0</f>
        <v>0</v>
      </c>
      <c r="AJ21" s="0" t="n">
        <f aca="false">0</f>
        <v>0</v>
      </c>
      <c r="AK21" s="0" t="n">
        <f aca="false">0</f>
        <v>0</v>
      </c>
      <c r="AL21" s="0" t="n">
        <f aca="false">0</f>
        <v>0</v>
      </c>
      <c r="AM21" s="0" t="n">
        <f aca="false">0</f>
        <v>0</v>
      </c>
      <c r="AN21" s="0" t="n">
        <f aca="false">0</f>
        <v>0</v>
      </c>
      <c r="AO21" s="0" t="n">
        <f aca="false">0</f>
        <v>0</v>
      </c>
      <c r="AP21" s="0" t="n">
        <f aca="false">0</f>
        <v>0</v>
      </c>
      <c r="AQ21" s="0" t="n">
        <f aca="false">0</f>
        <v>0</v>
      </c>
      <c r="AR21" s="0" t="n">
        <f aca="false">0</f>
        <v>0</v>
      </c>
      <c r="AS21" s="0" t="n">
        <f aca="false">0</f>
        <v>0</v>
      </c>
      <c r="AT21" s="0" t="n">
        <f aca="false">0</f>
        <v>0</v>
      </c>
      <c r="AU21" s="0" t="n">
        <f aca="false">0</f>
        <v>0</v>
      </c>
      <c r="AV21" s="0" t="n">
        <f aca="false">0</f>
        <v>0</v>
      </c>
      <c r="AW21" s="0" t="n">
        <f aca="false">0</f>
        <v>0</v>
      </c>
      <c r="AX21" s="0" t="n">
        <f aca="false">0</f>
        <v>0</v>
      </c>
    </row>
    <row r="22" customFormat="false" ht="15" hidden="false" customHeight="false" outlineLevel="0" collapsed="false">
      <c r="A22" s="0" t="s">
        <v>59</v>
      </c>
      <c r="B22" s="0" t="n">
        <f aca="false">0</f>
        <v>0</v>
      </c>
      <c r="C22" s="0" t="n">
        <f aca="false">0</f>
        <v>0</v>
      </c>
      <c r="D22" s="0" t="n">
        <f aca="false">0</f>
        <v>0</v>
      </c>
      <c r="E22" s="0" t="n">
        <f aca="false">0</f>
        <v>0</v>
      </c>
      <c r="F22" s="0" t="n">
        <f aca="false">0</f>
        <v>0</v>
      </c>
      <c r="G22" s="0" t="n">
        <f aca="false">0</f>
        <v>0</v>
      </c>
      <c r="H22" s="0" t="n">
        <f aca="false">0</f>
        <v>0</v>
      </c>
      <c r="I22" s="0" t="n">
        <f aca="false">0</f>
        <v>0</v>
      </c>
      <c r="J22" s="0" t="n">
        <f aca="false">0</f>
        <v>0</v>
      </c>
      <c r="K22" s="0" t="n">
        <f aca="false">0</f>
        <v>0</v>
      </c>
      <c r="L22" s="0" t="n">
        <f aca="false">0</f>
        <v>0</v>
      </c>
      <c r="M22" s="0" t="n">
        <f aca="false">0</f>
        <v>0</v>
      </c>
      <c r="N22" s="0" t="n">
        <f aca="false">0</f>
        <v>0</v>
      </c>
      <c r="O22" s="0" t="n">
        <f aca="false">0</f>
        <v>0</v>
      </c>
      <c r="P22" s="0" t="n">
        <f aca="false">0</f>
        <v>0</v>
      </c>
      <c r="Q22" s="0" t="n">
        <f aca="false">0</f>
        <v>0</v>
      </c>
      <c r="R22" s="0" t="n">
        <f aca="false">0</f>
        <v>0</v>
      </c>
      <c r="S22" s="0" t="n">
        <f aca="false">0</f>
        <v>0</v>
      </c>
      <c r="T22" s="0" t="n">
        <f aca="false">0</f>
        <v>0</v>
      </c>
      <c r="U22" s="0" t="n">
        <f aca="false">0</f>
        <v>0</v>
      </c>
      <c r="V22" s="0" t="n">
        <f aca="false">0</f>
        <v>0</v>
      </c>
      <c r="W22" s="0" t="n">
        <f aca="false">0</f>
        <v>0</v>
      </c>
      <c r="X22" s="0" t="n">
        <f aca="false">0</f>
        <v>0</v>
      </c>
      <c r="Y22" s="0" t="n">
        <f aca="false">0</f>
        <v>0</v>
      </c>
      <c r="Z22" s="0" t="n">
        <f aca="false">0</f>
        <v>0</v>
      </c>
      <c r="AA22" s="0" t="n">
        <f aca="false">0</f>
        <v>0</v>
      </c>
      <c r="AB22" s="0" t="n">
        <f aca="false">0</f>
        <v>0</v>
      </c>
      <c r="AC22" s="0" t="n">
        <f aca="false">0</f>
        <v>0</v>
      </c>
      <c r="AD22" s="0" t="n">
        <f aca="false">0</f>
        <v>0</v>
      </c>
      <c r="AE22" s="0" t="n">
        <f aca="false">0</f>
        <v>0</v>
      </c>
      <c r="AF22" s="0" t="n">
        <f aca="false">0</f>
        <v>0</v>
      </c>
      <c r="AG22" s="0" t="n">
        <f aca="false">0</f>
        <v>0</v>
      </c>
      <c r="AH22" s="0" t="n">
        <f aca="false">0</f>
        <v>0</v>
      </c>
      <c r="AI22" s="0" t="n">
        <f aca="false">0</f>
        <v>0</v>
      </c>
      <c r="AJ22" s="0" t="n">
        <f aca="false">0</f>
        <v>0</v>
      </c>
      <c r="AK22" s="0" t="n">
        <f aca="false">0</f>
        <v>0</v>
      </c>
      <c r="AL22" s="0" t="n">
        <f aca="false">0</f>
        <v>0</v>
      </c>
      <c r="AM22" s="0" t="n">
        <f aca="false">0</f>
        <v>0</v>
      </c>
      <c r="AN22" s="0" t="n">
        <f aca="false">0</f>
        <v>0</v>
      </c>
      <c r="AO22" s="0" t="n">
        <f aca="false">0</f>
        <v>0</v>
      </c>
      <c r="AP22" s="0" t="n">
        <f aca="false">0</f>
        <v>0</v>
      </c>
      <c r="AQ22" s="0" t="n">
        <f aca="false">0</f>
        <v>0</v>
      </c>
      <c r="AR22" s="0" t="n">
        <f aca="false">0</f>
        <v>0</v>
      </c>
      <c r="AS22" s="0" t="n">
        <f aca="false">0</f>
        <v>0</v>
      </c>
      <c r="AT22" s="0" t="n">
        <f aca="false">0</f>
        <v>0</v>
      </c>
      <c r="AU22" s="0" t="n">
        <f aca="false">0</f>
        <v>0</v>
      </c>
      <c r="AV22" s="0" t="n">
        <f aca="false">0</f>
        <v>0</v>
      </c>
      <c r="AW22" s="0" t="n">
        <f aca="false">0</f>
        <v>0</v>
      </c>
      <c r="AX22" s="0" t="n">
        <f aca="false">0</f>
        <v>0</v>
      </c>
    </row>
    <row r="23" customFormat="false" ht="15" hidden="false" customHeight="false" outlineLevel="0" collapsed="false">
      <c r="A23" s="0" t="s">
        <v>60</v>
      </c>
      <c r="B23" s="0" t="n">
        <f aca="false">IF((B$3&gt;=Phases!$D$6+Phases!$E$6),Phases!$C$6*Scenarios!$E$6*0.9/4*MIN(1,(B$3-Phases!$D$6-Phases!$E$6+1)/6)*1.025^INT((B$3-Phases!$D$6-Phases!$E$6)/4),0)</f>
        <v>0</v>
      </c>
      <c r="C23" s="0" t="n">
        <f aca="false">IF((C$3&gt;=Phases!$D$6+Phases!$E$6),Phases!$C$6*Scenarios!$E$6*0.9/4*MIN(1,(C$3-Phases!$D$6-Phases!$E$6+1)/6)*1.025^INT((C$3-Phases!$D$6-Phases!$E$6)/4),0)</f>
        <v>0</v>
      </c>
      <c r="D23" s="0" t="n">
        <f aca="false">IF((D$3&gt;=Phases!$D$6+Phases!$E$6),Phases!$C$6*Scenarios!$E$6*0.9/4*MIN(1,(D$3-Phases!$D$6-Phases!$E$6+1)/6)*1.025^INT((D$3-Phases!$D$6-Phases!$E$6)/4),0)</f>
        <v>0</v>
      </c>
      <c r="E23" s="0" t="n">
        <f aca="false">IF((E$3&gt;=Phases!$D$6+Phases!$E$6),Phases!$C$6*Scenarios!$E$6*0.9/4*MIN(1,(E$3-Phases!$D$6-Phases!$E$6+1)/6)*1.025^INT((E$3-Phases!$D$6-Phases!$E$6)/4),0)</f>
        <v>0</v>
      </c>
      <c r="F23" s="0" t="n">
        <f aca="false">IF((F$3&gt;=Phases!$D$6+Phases!$E$6),Phases!$C$6*Scenarios!$E$6*0.9/4*MIN(1,(F$3-Phases!$D$6-Phases!$E$6+1)/6)*1.025^INT((F$3-Phases!$D$6-Phases!$E$6)/4),0)</f>
        <v>0</v>
      </c>
      <c r="G23" s="0" t="n">
        <f aca="false">IF((G$3&gt;=Phases!$D$6+Phases!$E$6),Phases!$C$6*Scenarios!$E$6*0.9/4*MIN(1,(G$3-Phases!$D$6-Phases!$E$6+1)/6)*1.025^INT((G$3-Phases!$D$6-Phases!$E$6)/4),0)</f>
        <v>0</v>
      </c>
      <c r="H23" s="0" t="n">
        <f aca="false">IF((H$3&gt;=Phases!$D$6+Phases!$E$6),Phases!$C$6*Scenarios!$E$6*0.9/4*MIN(1,(H$3-Phases!$D$6-Phases!$E$6+1)/6)*1.025^INT((H$3-Phases!$D$6-Phases!$E$6)/4),0)</f>
        <v>0</v>
      </c>
      <c r="I23" s="0" t="n">
        <f aca="false">IF((I$3&gt;=Phases!$D$6+Phases!$E$6),Phases!$C$6*Scenarios!$E$6*0.9/4*MIN(1,(I$3-Phases!$D$6-Phases!$E$6+1)/6)*1.025^INT((I$3-Phases!$D$6-Phases!$E$6)/4),0)</f>
        <v>0</v>
      </c>
      <c r="J23" s="0" t="n">
        <f aca="false">IF((J$3&gt;=Phases!$D$6+Phases!$E$6),Phases!$C$6*Scenarios!$E$6*0.9/4*MIN(1,(J$3-Phases!$D$6-Phases!$E$6+1)/6)*1.025^INT((J$3-Phases!$D$6-Phases!$E$6)/4),0)</f>
        <v>0</v>
      </c>
      <c r="K23" s="0" t="n">
        <f aca="false">IF((K$3&gt;=Phases!$D$6+Phases!$E$6),Phases!$C$6*Scenarios!$E$6*0.9/4*MIN(1,(K$3-Phases!$D$6-Phases!$E$6+1)/6)*1.025^INT((K$3-Phases!$D$6-Phases!$E$6)/4),0)</f>
        <v>0</v>
      </c>
      <c r="L23" s="0" t="n">
        <f aca="false">IF((L$3&gt;=Phases!$D$6+Phases!$E$6),Phases!$C$6*Scenarios!$E$6*0.9/4*MIN(1,(L$3-Phases!$D$6-Phases!$E$6+1)/6)*1.025^INT((L$3-Phases!$D$6-Phases!$E$6)/4),0)</f>
        <v>0</v>
      </c>
      <c r="M23" s="0" t="n">
        <f aca="false">IF((M$3&gt;=Phases!$D$6+Phases!$E$6),Phases!$C$6*Scenarios!$E$6*0.9/4*MIN(1,(M$3-Phases!$D$6-Phases!$E$6+1)/6)*1.025^INT((M$3-Phases!$D$6-Phases!$E$6)/4),0)</f>
        <v>0</v>
      </c>
      <c r="N23" s="0" t="n">
        <f aca="false">IF((N$3&gt;=Phases!$D$6+Phases!$E$6),Phases!$C$6*Scenarios!$E$6*0.9/4*MIN(1,(N$3-Phases!$D$6-Phases!$E$6+1)/6)*1.025^INT((N$3-Phases!$D$6-Phases!$E$6)/4),0)</f>
        <v>0</v>
      </c>
      <c r="O23" s="0" t="n">
        <f aca="false">IF((O$3&gt;=Phases!$D$6+Phases!$E$6),Phases!$C$6*Scenarios!$E$6*0.9/4*MIN(1,(O$3-Phases!$D$6-Phases!$E$6+1)/6)*1.025^INT((O$3-Phases!$D$6-Phases!$E$6)/4),0)</f>
        <v>0</v>
      </c>
      <c r="P23" s="0" t="n">
        <f aca="false">IF((P$3&gt;=Phases!$D$6+Phases!$E$6),Phases!$C$6*Scenarios!$E$6*0.9/4*MIN(1,(P$3-Phases!$D$6-Phases!$E$6+1)/6)*1.025^INT((P$3-Phases!$D$6-Phases!$E$6)/4),0)</f>
        <v>0</v>
      </c>
      <c r="Q23" s="0" t="n">
        <f aca="false">IF((Q$3&gt;=Phases!$D$6+Phases!$E$6),Phases!$C$6*Scenarios!$E$6*0.9/4*MIN(1,(Q$3-Phases!$D$6-Phases!$E$6+1)/6)*1.025^INT((Q$3-Phases!$D$6-Phases!$E$6)/4),0)</f>
        <v>0</v>
      </c>
      <c r="R23" s="0" t="n">
        <f aca="false">IF((R$3&gt;=Phases!$D$6+Phases!$E$6),Phases!$C$6*Scenarios!$E$6*0.9/4*MIN(1,(R$3-Phases!$D$6-Phases!$E$6+1)/6)*1.025^INT((R$3-Phases!$D$6-Phases!$E$6)/4),0)</f>
        <v>2231250</v>
      </c>
      <c r="S23" s="0" t="n">
        <f aca="false">IF((S$3&gt;=Phases!$D$6+Phases!$E$6),Phases!$C$6*Scenarios!$E$6*0.9/4*MIN(1,(S$3-Phases!$D$6-Phases!$E$6+1)/6)*1.025^INT((S$3-Phases!$D$6-Phases!$E$6)/4),0)</f>
        <v>4462500</v>
      </c>
      <c r="T23" s="0" t="n">
        <f aca="false">IF((T$3&gt;=Phases!$D$6+Phases!$E$6),Phases!$C$6*Scenarios!$E$6*0.9/4*MIN(1,(T$3-Phases!$D$6-Phases!$E$6+1)/6)*1.025^INT((T$3-Phases!$D$6-Phases!$E$6)/4),0)</f>
        <v>6693750</v>
      </c>
      <c r="U23" s="0" t="n">
        <f aca="false">IF((U$3&gt;=Phases!$D$6+Phases!$E$6),Phases!$C$6*Scenarios!$E$6*0.9/4*MIN(1,(U$3-Phases!$D$6-Phases!$E$6+1)/6)*1.025^INT((U$3-Phases!$D$6-Phases!$E$6)/4),0)</f>
        <v>8925000</v>
      </c>
      <c r="V23" s="0" t="n">
        <f aca="false">IF((V$3&gt;=Phases!$D$6+Phases!$E$6),Phases!$C$6*Scenarios!$E$6*0.9/4*MIN(1,(V$3-Phases!$D$6-Phases!$E$6+1)/6)*1.025^INT((V$3-Phases!$D$6-Phases!$E$6)/4),0)</f>
        <v>11435156.25</v>
      </c>
      <c r="W23" s="0" t="n">
        <f aca="false">IF((W$3&gt;=Phases!$D$6+Phases!$E$6),Phases!$C$6*Scenarios!$E$6*0.9/4*MIN(1,(W$3-Phases!$D$6-Phases!$E$6+1)/6)*1.025^INT((W$3-Phases!$D$6-Phases!$E$6)/4),0)</f>
        <v>13722187.5</v>
      </c>
      <c r="X23" s="0" t="n">
        <f aca="false">IF((X$3&gt;=Phases!$D$6+Phases!$E$6),Phases!$C$6*Scenarios!$E$6*0.9/4*MIN(1,(X$3-Phases!$D$6-Phases!$E$6+1)/6)*1.025^INT((X$3-Phases!$D$6-Phases!$E$6)/4),0)</f>
        <v>13722187.5</v>
      </c>
      <c r="Y23" s="0" t="n">
        <f aca="false">IF((Y$3&gt;=Phases!$D$6+Phases!$E$6),Phases!$C$6*Scenarios!$E$6*0.9/4*MIN(1,(Y$3-Phases!$D$6-Phases!$E$6+1)/6)*1.025^INT((Y$3-Phases!$D$6-Phases!$E$6)/4),0)</f>
        <v>13722187.5</v>
      </c>
      <c r="Z23" s="0" t="n">
        <f aca="false">IF((Z$3&gt;=Phases!$D$6+Phases!$E$6),Phases!$C$6*Scenarios!$E$6*0.9/4*MIN(1,(Z$3-Phases!$D$6-Phases!$E$6+1)/6)*1.025^INT((Z$3-Phases!$D$6-Phases!$E$6)/4),0)</f>
        <v>14065242.1875</v>
      </c>
      <c r="AA23" s="0" t="n">
        <f aca="false">IF((AA$3&gt;=Phases!$D$6+Phases!$E$6),Phases!$C$6*Scenarios!$E$6*0.9/4*MIN(1,(AA$3-Phases!$D$6-Phases!$E$6+1)/6)*1.025^INT((AA$3-Phases!$D$6-Phases!$E$6)/4),0)</f>
        <v>14065242.1875</v>
      </c>
      <c r="AB23" s="0" t="n">
        <f aca="false">IF((AB$3&gt;=Phases!$D$6+Phases!$E$6),Phases!$C$6*Scenarios!$E$6*0.9/4*MIN(1,(AB$3-Phases!$D$6-Phases!$E$6+1)/6)*1.025^INT((AB$3-Phases!$D$6-Phases!$E$6)/4),0)</f>
        <v>14065242.1875</v>
      </c>
      <c r="AC23" s="0" t="n">
        <f aca="false">IF((AC$3&gt;=Phases!$D$6+Phases!$E$6),Phases!$C$6*Scenarios!$E$6*0.9/4*MIN(1,(AC$3-Phases!$D$6-Phases!$E$6+1)/6)*1.025^INT((AC$3-Phases!$D$6-Phases!$E$6)/4),0)</f>
        <v>14065242.1875</v>
      </c>
      <c r="AD23" s="0" t="n">
        <f aca="false">IF((AD$3&gt;=Phases!$D$6+Phases!$E$6),Phases!$C$6*Scenarios!$E$6*0.9/4*MIN(1,(AD$3-Phases!$D$6-Phases!$E$6+1)/6)*1.025^INT((AD$3-Phases!$D$6-Phases!$E$6)/4),0)</f>
        <v>14416873.2421875</v>
      </c>
      <c r="AE23" s="0" t="n">
        <f aca="false">IF((AE$3&gt;=Phases!$D$6+Phases!$E$6),Phases!$C$6*Scenarios!$E$6*0.9/4*MIN(1,(AE$3-Phases!$D$6-Phases!$E$6+1)/6)*1.025^INT((AE$3-Phases!$D$6-Phases!$E$6)/4),0)</f>
        <v>14416873.2421875</v>
      </c>
      <c r="AF23" s="0" t="n">
        <f aca="false">IF((AF$3&gt;=Phases!$D$6+Phases!$E$6),Phases!$C$6*Scenarios!$E$6*0.9/4*MIN(1,(AF$3-Phases!$D$6-Phases!$E$6+1)/6)*1.025^INT((AF$3-Phases!$D$6-Phases!$E$6)/4),0)</f>
        <v>14416873.2421875</v>
      </c>
      <c r="AG23" s="0" t="n">
        <f aca="false">IF((AG$3&gt;=Phases!$D$6+Phases!$E$6),Phases!$C$6*Scenarios!$E$6*0.9/4*MIN(1,(AG$3-Phases!$D$6-Phases!$E$6+1)/6)*1.025^INT((AG$3-Phases!$D$6-Phases!$E$6)/4),0)</f>
        <v>14416873.2421875</v>
      </c>
      <c r="AH23" s="0" t="n">
        <f aca="false">IF((AH$3&gt;=Phases!$D$6+Phases!$E$6),Phases!$C$6*Scenarios!$E$6*0.9/4*MIN(1,(AH$3-Phases!$D$6-Phases!$E$6+1)/6)*1.025^INT((AH$3-Phases!$D$6-Phases!$E$6)/4),0)</f>
        <v>14777295.0732422</v>
      </c>
      <c r="AI23" s="0" t="n">
        <f aca="false">IF((AI$3&gt;=Phases!$D$6+Phases!$E$6),Phases!$C$6*Scenarios!$E$6*0.9/4*MIN(1,(AI$3-Phases!$D$6-Phases!$E$6+1)/6)*1.025^INT((AI$3-Phases!$D$6-Phases!$E$6)/4),0)</f>
        <v>14777295.0732422</v>
      </c>
      <c r="AJ23" s="0" t="n">
        <f aca="false">IF((AJ$3&gt;=Phases!$D$6+Phases!$E$6),Phases!$C$6*Scenarios!$E$6*0.9/4*MIN(1,(AJ$3-Phases!$D$6-Phases!$E$6+1)/6)*1.025^INT((AJ$3-Phases!$D$6-Phases!$E$6)/4),0)</f>
        <v>14777295.0732422</v>
      </c>
      <c r="AK23" s="0" t="n">
        <f aca="false">IF((AK$3&gt;=Phases!$D$6+Phases!$E$6),Phases!$C$6*Scenarios!$E$6*0.9/4*MIN(1,(AK$3-Phases!$D$6-Phases!$E$6+1)/6)*1.025^INT((AK$3-Phases!$D$6-Phases!$E$6)/4),0)</f>
        <v>14777295.0732422</v>
      </c>
      <c r="AL23" s="0" t="n">
        <f aca="false">IF((AL$3&gt;=Phases!$D$6+Phases!$E$6),Phases!$C$6*Scenarios!$E$6*0.9/4*MIN(1,(AL$3-Phases!$D$6-Phases!$E$6+1)/6)*1.025^INT((AL$3-Phases!$D$6-Phases!$E$6)/4),0)</f>
        <v>15146727.4500732</v>
      </c>
      <c r="AM23" s="0" t="n">
        <f aca="false">IF((AM$3&gt;=Phases!$D$6+Phases!$E$6),Phases!$C$6*Scenarios!$E$6*0.9/4*MIN(1,(AM$3-Phases!$D$6-Phases!$E$6+1)/6)*1.025^INT((AM$3-Phases!$D$6-Phases!$E$6)/4),0)</f>
        <v>15146727.4500732</v>
      </c>
      <c r="AN23" s="0" t="n">
        <f aca="false">IF((AN$3&gt;=Phases!$D$6+Phases!$E$6),Phases!$C$6*Scenarios!$E$6*0.9/4*MIN(1,(AN$3-Phases!$D$6-Phases!$E$6+1)/6)*1.025^INT((AN$3-Phases!$D$6-Phases!$E$6)/4),0)</f>
        <v>15146727.4500732</v>
      </c>
      <c r="AO23" s="0" t="n">
        <f aca="false">IF((AO$3&gt;=Phases!$D$6+Phases!$E$6),Phases!$C$6*Scenarios!$E$6*0.9/4*MIN(1,(AO$3-Phases!$D$6-Phases!$E$6+1)/6)*1.025^INT((AO$3-Phases!$D$6-Phases!$E$6)/4),0)</f>
        <v>15146727.4500732</v>
      </c>
      <c r="AP23" s="0" t="n">
        <f aca="false">IF((AP$3&gt;=Phases!$D$6+Phases!$E$6),Phases!$C$6*Scenarios!$E$6*0.9/4*MIN(1,(AP$3-Phases!$D$6-Phases!$E$6+1)/6)*1.025^INT((AP$3-Phases!$D$6-Phases!$E$6)/4),0)</f>
        <v>15525395.6363251</v>
      </c>
      <c r="AQ23" s="0" t="n">
        <f aca="false">IF((AQ$3&gt;=Phases!$D$6+Phases!$E$6),Phases!$C$6*Scenarios!$E$6*0.9/4*MIN(1,(AQ$3-Phases!$D$6-Phases!$E$6+1)/6)*1.025^INT((AQ$3-Phases!$D$6-Phases!$E$6)/4),0)</f>
        <v>15525395.6363251</v>
      </c>
      <c r="AR23" s="0" t="n">
        <f aca="false">IF((AR$3&gt;=Phases!$D$6+Phases!$E$6),Phases!$C$6*Scenarios!$E$6*0.9/4*MIN(1,(AR$3-Phases!$D$6-Phases!$E$6+1)/6)*1.025^INT((AR$3-Phases!$D$6-Phases!$E$6)/4),0)</f>
        <v>15525395.6363251</v>
      </c>
      <c r="AS23" s="0" t="n">
        <f aca="false">IF((AS$3&gt;=Phases!$D$6+Phases!$E$6),Phases!$C$6*Scenarios!$E$6*0.9/4*MIN(1,(AS$3-Phases!$D$6-Phases!$E$6+1)/6)*1.025^INT((AS$3-Phases!$D$6-Phases!$E$6)/4),0)</f>
        <v>15525395.6363251</v>
      </c>
      <c r="AT23" s="0" t="n">
        <f aca="false">IF((AT$3&gt;=Phases!$D$6+Phases!$E$6),Phases!$C$6*Scenarios!$E$6*0.9/4*MIN(1,(AT$3-Phases!$D$6-Phases!$E$6+1)/6)*1.025^INT((AT$3-Phases!$D$6-Phases!$E$6)/4),0)</f>
        <v>15913530.5272332</v>
      </c>
      <c r="AU23" s="0" t="n">
        <f aca="false">IF((AU$3&gt;=Phases!$D$6+Phases!$E$6),Phases!$C$6*Scenarios!$E$6*0.9/4*MIN(1,(AU$3-Phases!$D$6-Phases!$E$6+1)/6)*1.025^INT((AU$3-Phases!$D$6-Phases!$E$6)/4),0)</f>
        <v>15913530.5272332</v>
      </c>
      <c r="AV23" s="0" t="n">
        <f aca="false">IF((AV$3&gt;=Phases!$D$6+Phases!$E$6),Phases!$C$6*Scenarios!$E$6*0.9/4*MIN(1,(AV$3-Phases!$D$6-Phases!$E$6+1)/6)*1.025^INT((AV$3-Phases!$D$6-Phases!$E$6)/4),0)</f>
        <v>15913530.5272332</v>
      </c>
      <c r="AW23" s="0" t="n">
        <f aca="false">IF((AW$3&gt;=Phases!$D$6+Phases!$E$6),Phases!$C$6*Scenarios!$E$6*0.9/4*MIN(1,(AW$3-Phases!$D$6-Phases!$E$6+1)/6)*1.025^INT((AW$3-Phases!$D$6-Phases!$E$6)/4),0)</f>
        <v>15913530.5272332</v>
      </c>
      <c r="AX23" s="0" t="n">
        <f aca="false">IF((AX$3&gt;=Phases!$D$6+Phases!$E$6),Phases!$C$6*Scenarios!$E$6*0.9/4*MIN(1,(AX$3-Phases!$D$6-Phases!$E$6+1)/6)*1.025^INT((AX$3-Phases!$D$6-Phases!$E$6)/4),0)</f>
        <v>16311368.790414</v>
      </c>
    </row>
    <row r="24" customFormat="false" ht="15" hidden="false" customHeight="false" outlineLevel="0" collapsed="false">
      <c r="A24" s="0" t="s">
        <v>61</v>
      </c>
      <c r="B24" s="0" t="n">
        <f aca="false">IF(AND(B$3&gt;=Phases!$D$7,B$3&lt;Phases!$D$7+Phases!$E$7),Phases!$C$7*Scenarios!$E$8*IF("income"="hotel",1.6,IF("Offices"="Plots",0.25,1))/Phases!$E$7,0)</f>
        <v>0</v>
      </c>
      <c r="C24" s="0" t="n">
        <f aca="false">IF(AND(C$3&gt;=Phases!$D$7,C$3&lt;Phases!$D$7+Phases!$E$7),Phases!$C$7*Scenarios!$E$8*IF("income"="hotel",1.6,IF("Offices"="Plots",0.25,1))/Phases!$E$7,0)</f>
        <v>0</v>
      </c>
      <c r="D24" s="0" t="n">
        <f aca="false">IF(AND(D$3&gt;=Phases!$D$7,D$3&lt;Phases!$D$7+Phases!$E$7),Phases!$C$7*Scenarios!$E$8*IF("income"="hotel",1.6,IF("Offices"="Plots",0.25,1))/Phases!$E$7,0)</f>
        <v>0</v>
      </c>
      <c r="E24" s="0" t="n">
        <f aca="false">IF(AND(E$3&gt;=Phases!$D$7,E$3&lt;Phases!$D$7+Phases!$E$7),Phases!$C$7*Scenarios!$E$8*IF("income"="hotel",1.6,IF("Offices"="Plots",0.25,1))/Phases!$E$7,0)</f>
        <v>0</v>
      </c>
      <c r="F24" s="0" t="n">
        <f aca="false">IF(AND(F$3&gt;=Phases!$D$7,F$3&lt;Phases!$D$7+Phases!$E$7),Phases!$C$7*Scenarios!$E$8*IF("income"="hotel",1.6,IF("Offices"="Plots",0.25,1))/Phases!$E$7,0)</f>
        <v>0</v>
      </c>
      <c r="G24" s="0" t="n">
        <f aca="false">IF(AND(G$3&gt;=Phases!$D$7,G$3&lt;Phases!$D$7+Phases!$E$7),Phases!$C$7*Scenarios!$E$8*IF("income"="hotel",1.6,IF("Offices"="Plots",0.25,1))/Phases!$E$7,0)</f>
        <v>0</v>
      </c>
      <c r="H24" s="0" t="n">
        <f aca="false">IF(AND(H$3&gt;=Phases!$D$7,H$3&lt;Phases!$D$7+Phases!$E$7),Phases!$C$7*Scenarios!$E$8*IF("income"="hotel",1.6,IF("Offices"="Plots",0.25,1))/Phases!$E$7,0)</f>
        <v>0</v>
      </c>
      <c r="I24" s="0" t="n">
        <f aca="false">IF(AND(I$3&gt;=Phases!$D$7,I$3&lt;Phases!$D$7+Phases!$E$7),Phases!$C$7*Scenarios!$E$8*IF("income"="hotel",1.6,IF("Offices"="Plots",0.25,1))/Phases!$E$7,0)</f>
        <v>0</v>
      </c>
      <c r="J24" s="0" t="n">
        <f aca="false">IF(AND(J$3&gt;=Phases!$D$7,J$3&lt;Phases!$D$7+Phases!$E$7),Phases!$C$7*Scenarios!$E$8*IF("income"="hotel",1.6,IF("Offices"="Plots",0.25,1))/Phases!$E$7,0)</f>
        <v>0</v>
      </c>
      <c r="K24" s="0" t="n">
        <f aca="false">IF(AND(K$3&gt;=Phases!$D$7,K$3&lt;Phases!$D$7+Phases!$E$7),Phases!$C$7*Scenarios!$E$8*IF("income"="hotel",1.6,IF("Offices"="Plots",0.25,1))/Phases!$E$7,0)</f>
        <v>0</v>
      </c>
      <c r="L24" s="0" t="n">
        <f aca="false">IF(AND(L$3&gt;=Phases!$D$7,L$3&lt;Phases!$D$7+Phases!$E$7),Phases!$C$7*Scenarios!$E$8*IF("income"="hotel",1.6,IF("Offices"="Plots",0.25,1))/Phases!$E$7,0)</f>
        <v>0</v>
      </c>
      <c r="M24" s="0" t="n">
        <f aca="false">IF(AND(M$3&gt;=Phases!$D$7,M$3&lt;Phases!$D$7+Phases!$E$7),Phases!$C$7*Scenarios!$E$8*IF("income"="hotel",1.6,IF("Offices"="Plots",0.25,1))/Phases!$E$7,0)</f>
        <v>0</v>
      </c>
      <c r="N24" s="0" t="n">
        <f aca="false">IF(AND(N$3&gt;=Phases!$D$7,N$3&lt;Phases!$D$7+Phases!$E$7),Phases!$C$7*Scenarios!$E$8*IF("income"="hotel",1.6,IF("Offices"="Plots",0.25,1))/Phases!$E$7,0)</f>
        <v>25800000</v>
      </c>
      <c r="O24" s="0" t="n">
        <f aca="false">IF(AND(O$3&gt;=Phases!$D$7,O$3&lt;Phases!$D$7+Phases!$E$7),Phases!$C$7*Scenarios!$E$8*IF("income"="hotel",1.6,IF("Offices"="Plots",0.25,1))/Phases!$E$7,0)</f>
        <v>25800000</v>
      </c>
      <c r="P24" s="0" t="n">
        <f aca="false">IF(AND(P$3&gt;=Phases!$D$7,P$3&lt;Phases!$D$7+Phases!$E$7),Phases!$C$7*Scenarios!$E$8*IF("income"="hotel",1.6,IF("Offices"="Plots",0.25,1))/Phases!$E$7,0)</f>
        <v>25800000</v>
      </c>
      <c r="Q24" s="0" t="n">
        <f aca="false">IF(AND(Q$3&gt;=Phases!$D$7,Q$3&lt;Phases!$D$7+Phases!$E$7),Phases!$C$7*Scenarios!$E$8*IF("income"="hotel",1.6,IF("Offices"="Plots",0.25,1))/Phases!$E$7,0)</f>
        <v>25800000</v>
      </c>
      <c r="R24" s="0" t="n">
        <f aca="false">IF(AND(R$3&gt;=Phases!$D$7,R$3&lt;Phases!$D$7+Phases!$E$7),Phases!$C$7*Scenarios!$E$8*IF("income"="hotel",1.6,IF("Offices"="Plots",0.25,1))/Phases!$E$7,0)</f>
        <v>25800000</v>
      </c>
      <c r="S24" s="0" t="n">
        <f aca="false">IF(AND(S$3&gt;=Phases!$D$7,S$3&lt;Phases!$D$7+Phases!$E$7),Phases!$C$7*Scenarios!$E$8*IF("income"="hotel",1.6,IF("Offices"="Plots",0.25,1))/Phases!$E$7,0)</f>
        <v>25800000</v>
      </c>
      <c r="T24" s="0" t="n">
        <f aca="false">IF(AND(T$3&gt;=Phases!$D$7,T$3&lt;Phases!$D$7+Phases!$E$7),Phases!$C$7*Scenarios!$E$8*IF("income"="hotel",1.6,IF("Offices"="Plots",0.25,1))/Phases!$E$7,0)</f>
        <v>25800000</v>
      </c>
      <c r="U24" s="0" t="n">
        <f aca="false">IF(AND(U$3&gt;=Phases!$D$7,U$3&lt;Phases!$D$7+Phases!$E$7),Phases!$C$7*Scenarios!$E$8*IF("income"="hotel",1.6,IF("Offices"="Plots",0.25,1))/Phases!$E$7,0)</f>
        <v>25800000</v>
      </c>
      <c r="V24" s="0" t="n">
        <f aca="false">IF(AND(V$3&gt;=Phases!$D$7,V$3&lt;Phases!$D$7+Phases!$E$7),Phases!$C$7*Scenarios!$E$8*IF("income"="hotel",1.6,IF("Offices"="Plots",0.25,1))/Phases!$E$7,0)</f>
        <v>25800000</v>
      </c>
      <c r="W24" s="0" t="n">
        <f aca="false">IF(AND(W$3&gt;=Phases!$D$7,W$3&lt;Phases!$D$7+Phases!$E$7),Phases!$C$7*Scenarios!$E$8*IF("income"="hotel",1.6,IF("Offices"="Plots",0.25,1))/Phases!$E$7,0)</f>
        <v>25800000</v>
      </c>
      <c r="X24" s="0" t="n">
        <f aca="false">IF(AND(X$3&gt;=Phases!$D$7,X$3&lt;Phases!$D$7+Phases!$E$7),Phases!$C$7*Scenarios!$E$8*IF("income"="hotel",1.6,IF("Offices"="Plots",0.25,1))/Phases!$E$7,0)</f>
        <v>0</v>
      </c>
      <c r="Y24" s="0" t="n">
        <f aca="false">IF(AND(Y$3&gt;=Phases!$D$7,Y$3&lt;Phases!$D$7+Phases!$E$7),Phases!$C$7*Scenarios!$E$8*IF("income"="hotel",1.6,IF("Offices"="Plots",0.25,1))/Phases!$E$7,0)</f>
        <v>0</v>
      </c>
      <c r="Z24" s="0" t="n">
        <f aca="false">IF(AND(Z$3&gt;=Phases!$D$7,Z$3&lt;Phases!$D$7+Phases!$E$7),Phases!$C$7*Scenarios!$E$8*IF("income"="hotel",1.6,IF("Offices"="Plots",0.25,1))/Phases!$E$7,0)</f>
        <v>0</v>
      </c>
      <c r="AA24" s="0" t="n">
        <f aca="false">IF(AND(AA$3&gt;=Phases!$D$7,AA$3&lt;Phases!$D$7+Phases!$E$7),Phases!$C$7*Scenarios!$E$8*IF("income"="hotel",1.6,IF("Offices"="Plots",0.25,1))/Phases!$E$7,0)</f>
        <v>0</v>
      </c>
      <c r="AB24" s="0" t="n">
        <f aca="false">IF(AND(AB$3&gt;=Phases!$D$7,AB$3&lt;Phases!$D$7+Phases!$E$7),Phases!$C$7*Scenarios!$E$8*IF("income"="hotel",1.6,IF("Offices"="Plots",0.25,1))/Phases!$E$7,0)</f>
        <v>0</v>
      </c>
      <c r="AC24" s="0" t="n">
        <f aca="false">IF(AND(AC$3&gt;=Phases!$D$7,AC$3&lt;Phases!$D$7+Phases!$E$7),Phases!$C$7*Scenarios!$E$8*IF("income"="hotel",1.6,IF("Offices"="Plots",0.25,1))/Phases!$E$7,0)</f>
        <v>0</v>
      </c>
      <c r="AD24" s="0" t="n">
        <f aca="false">IF(AND(AD$3&gt;=Phases!$D$7,AD$3&lt;Phases!$D$7+Phases!$E$7),Phases!$C$7*Scenarios!$E$8*IF("income"="hotel",1.6,IF("Offices"="Plots",0.25,1))/Phases!$E$7,0)</f>
        <v>0</v>
      </c>
      <c r="AE24" s="0" t="n">
        <f aca="false">IF(AND(AE$3&gt;=Phases!$D$7,AE$3&lt;Phases!$D$7+Phases!$E$7),Phases!$C$7*Scenarios!$E$8*IF("income"="hotel",1.6,IF("Offices"="Plots",0.25,1))/Phases!$E$7,0)</f>
        <v>0</v>
      </c>
      <c r="AF24" s="0" t="n">
        <f aca="false">IF(AND(AF$3&gt;=Phases!$D$7,AF$3&lt;Phases!$D$7+Phases!$E$7),Phases!$C$7*Scenarios!$E$8*IF("income"="hotel",1.6,IF("Offices"="Plots",0.25,1))/Phases!$E$7,0)</f>
        <v>0</v>
      </c>
      <c r="AG24" s="0" t="n">
        <f aca="false">IF(AND(AG$3&gt;=Phases!$D$7,AG$3&lt;Phases!$D$7+Phases!$E$7),Phases!$C$7*Scenarios!$E$8*IF("income"="hotel",1.6,IF("Offices"="Plots",0.25,1))/Phases!$E$7,0)</f>
        <v>0</v>
      </c>
      <c r="AH24" s="0" t="n">
        <f aca="false">IF(AND(AH$3&gt;=Phases!$D$7,AH$3&lt;Phases!$D$7+Phases!$E$7),Phases!$C$7*Scenarios!$E$8*IF("income"="hotel",1.6,IF("Offices"="Plots",0.25,1))/Phases!$E$7,0)</f>
        <v>0</v>
      </c>
      <c r="AI24" s="0" t="n">
        <f aca="false">IF(AND(AI$3&gt;=Phases!$D$7,AI$3&lt;Phases!$D$7+Phases!$E$7),Phases!$C$7*Scenarios!$E$8*IF("income"="hotel",1.6,IF("Offices"="Plots",0.25,1))/Phases!$E$7,0)</f>
        <v>0</v>
      </c>
      <c r="AJ24" s="0" t="n">
        <f aca="false">IF(AND(AJ$3&gt;=Phases!$D$7,AJ$3&lt;Phases!$D$7+Phases!$E$7),Phases!$C$7*Scenarios!$E$8*IF("income"="hotel",1.6,IF("Offices"="Plots",0.25,1))/Phases!$E$7,0)</f>
        <v>0</v>
      </c>
      <c r="AK24" s="0" t="n">
        <f aca="false">IF(AND(AK$3&gt;=Phases!$D$7,AK$3&lt;Phases!$D$7+Phases!$E$7),Phases!$C$7*Scenarios!$E$8*IF("income"="hotel",1.6,IF("Offices"="Plots",0.25,1))/Phases!$E$7,0)</f>
        <v>0</v>
      </c>
      <c r="AL24" s="0" t="n">
        <f aca="false">IF(AND(AL$3&gt;=Phases!$D$7,AL$3&lt;Phases!$D$7+Phases!$E$7),Phases!$C$7*Scenarios!$E$8*IF("income"="hotel",1.6,IF("Offices"="Plots",0.25,1))/Phases!$E$7,0)</f>
        <v>0</v>
      </c>
      <c r="AM24" s="0" t="n">
        <f aca="false">IF(AND(AM$3&gt;=Phases!$D$7,AM$3&lt;Phases!$D$7+Phases!$E$7),Phases!$C$7*Scenarios!$E$8*IF("income"="hotel",1.6,IF("Offices"="Plots",0.25,1))/Phases!$E$7,0)</f>
        <v>0</v>
      </c>
      <c r="AN24" s="0" t="n">
        <f aca="false">IF(AND(AN$3&gt;=Phases!$D$7,AN$3&lt;Phases!$D$7+Phases!$E$7),Phases!$C$7*Scenarios!$E$8*IF("income"="hotel",1.6,IF("Offices"="Plots",0.25,1))/Phases!$E$7,0)</f>
        <v>0</v>
      </c>
      <c r="AO24" s="0" t="n">
        <f aca="false">IF(AND(AO$3&gt;=Phases!$D$7,AO$3&lt;Phases!$D$7+Phases!$E$7),Phases!$C$7*Scenarios!$E$8*IF("income"="hotel",1.6,IF("Offices"="Plots",0.25,1))/Phases!$E$7,0)</f>
        <v>0</v>
      </c>
      <c r="AP24" s="0" t="n">
        <f aca="false">IF(AND(AP$3&gt;=Phases!$D$7,AP$3&lt;Phases!$D$7+Phases!$E$7),Phases!$C$7*Scenarios!$E$8*IF("income"="hotel",1.6,IF("Offices"="Plots",0.25,1))/Phases!$E$7,0)</f>
        <v>0</v>
      </c>
      <c r="AQ24" s="0" t="n">
        <f aca="false">IF(AND(AQ$3&gt;=Phases!$D$7,AQ$3&lt;Phases!$D$7+Phases!$E$7),Phases!$C$7*Scenarios!$E$8*IF("income"="hotel",1.6,IF("Offices"="Plots",0.25,1))/Phases!$E$7,0)</f>
        <v>0</v>
      </c>
      <c r="AR24" s="0" t="n">
        <f aca="false">IF(AND(AR$3&gt;=Phases!$D$7,AR$3&lt;Phases!$D$7+Phases!$E$7),Phases!$C$7*Scenarios!$E$8*IF("income"="hotel",1.6,IF("Offices"="Plots",0.25,1))/Phases!$E$7,0)</f>
        <v>0</v>
      </c>
      <c r="AS24" s="0" t="n">
        <f aca="false">IF(AND(AS$3&gt;=Phases!$D$7,AS$3&lt;Phases!$D$7+Phases!$E$7),Phases!$C$7*Scenarios!$E$8*IF("income"="hotel",1.6,IF("Offices"="Plots",0.25,1))/Phases!$E$7,0)</f>
        <v>0</v>
      </c>
      <c r="AT24" s="0" t="n">
        <f aca="false">IF(AND(AT$3&gt;=Phases!$D$7,AT$3&lt;Phases!$D$7+Phases!$E$7),Phases!$C$7*Scenarios!$E$8*IF("income"="hotel",1.6,IF("Offices"="Plots",0.25,1))/Phases!$E$7,0)</f>
        <v>0</v>
      </c>
      <c r="AU24" s="0" t="n">
        <f aca="false">IF(AND(AU$3&gt;=Phases!$D$7,AU$3&lt;Phases!$D$7+Phases!$E$7),Phases!$C$7*Scenarios!$E$8*IF("income"="hotel",1.6,IF("Offices"="Plots",0.25,1))/Phases!$E$7,0)</f>
        <v>0</v>
      </c>
      <c r="AV24" s="0" t="n">
        <f aca="false">IF(AND(AV$3&gt;=Phases!$D$7,AV$3&lt;Phases!$D$7+Phases!$E$7),Phases!$C$7*Scenarios!$E$8*IF("income"="hotel",1.6,IF("Offices"="Plots",0.25,1))/Phases!$E$7,0)</f>
        <v>0</v>
      </c>
      <c r="AW24" s="0" t="n">
        <f aca="false">IF(AND(AW$3&gt;=Phases!$D$7,AW$3&lt;Phases!$D$7+Phases!$E$7),Phases!$C$7*Scenarios!$E$8*IF("income"="hotel",1.6,IF("Offices"="Plots",0.25,1))/Phases!$E$7,0)</f>
        <v>0</v>
      </c>
      <c r="AX24" s="0" t="n">
        <f aca="false">IF(AND(AX$3&gt;=Phases!$D$7,AX$3&lt;Phases!$D$7+Phases!$E$7),Phases!$C$7*Scenarios!$E$8*IF("income"="hotel",1.6,IF("Offices"="Plots",0.25,1))/Phases!$E$7,0)</f>
        <v>0</v>
      </c>
    </row>
    <row r="25" customFormat="false" ht="15" hidden="false" customHeight="false" outlineLevel="0" collapsed="false">
      <c r="A25" s="0" t="s">
        <v>62</v>
      </c>
      <c r="B25" s="0" t="n">
        <f aca="false">0</f>
        <v>0</v>
      </c>
      <c r="C25" s="0" t="n">
        <f aca="false">0</f>
        <v>0</v>
      </c>
      <c r="D25" s="0" t="n">
        <f aca="false">0</f>
        <v>0</v>
      </c>
      <c r="E25" s="0" t="n">
        <f aca="false">0</f>
        <v>0</v>
      </c>
      <c r="F25" s="0" t="n">
        <f aca="false">0</f>
        <v>0</v>
      </c>
      <c r="G25" s="0" t="n">
        <f aca="false">0</f>
        <v>0</v>
      </c>
      <c r="H25" s="0" t="n">
        <f aca="false">0</f>
        <v>0</v>
      </c>
      <c r="I25" s="0" t="n">
        <f aca="false">0</f>
        <v>0</v>
      </c>
      <c r="J25" s="0" t="n">
        <f aca="false">0</f>
        <v>0</v>
      </c>
      <c r="K25" s="0" t="n">
        <f aca="false">0</f>
        <v>0</v>
      </c>
      <c r="L25" s="0" t="n">
        <f aca="false">0</f>
        <v>0</v>
      </c>
      <c r="M25" s="0" t="n">
        <f aca="false">0</f>
        <v>0</v>
      </c>
      <c r="N25" s="0" t="n">
        <f aca="false">0</f>
        <v>0</v>
      </c>
      <c r="O25" s="0" t="n">
        <f aca="false">0</f>
        <v>0</v>
      </c>
      <c r="P25" s="0" t="n">
        <f aca="false">0</f>
        <v>0</v>
      </c>
      <c r="Q25" s="0" t="n">
        <f aca="false">0</f>
        <v>0</v>
      </c>
      <c r="R25" s="0" t="n">
        <f aca="false">0</f>
        <v>0</v>
      </c>
      <c r="S25" s="0" t="n">
        <f aca="false">0</f>
        <v>0</v>
      </c>
      <c r="T25" s="0" t="n">
        <f aca="false">0</f>
        <v>0</v>
      </c>
      <c r="U25" s="0" t="n">
        <f aca="false">0</f>
        <v>0</v>
      </c>
      <c r="V25" s="0" t="n">
        <f aca="false">0</f>
        <v>0</v>
      </c>
      <c r="W25" s="0" t="n">
        <f aca="false">0</f>
        <v>0</v>
      </c>
      <c r="X25" s="0" t="n">
        <f aca="false">0</f>
        <v>0</v>
      </c>
      <c r="Y25" s="0" t="n">
        <f aca="false">0</f>
        <v>0</v>
      </c>
      <c r="Z25" s="0" t="n">
        <f aca="false">0</f>
        <v>0</v>
      </c>
      <c r="AA25" s="0" t="n">
        <f aca="false">0</f>
        <v>0</v>
      </c>
      <c r="AB25" s="0" t="n">
        <f aca="false">0</f>
        <v>0</v>
      </c>
      <c r="AC25" s="0" t="n">
        <f aca="false">0</f>
        <v>0</v>
      </c>
      <c r="AD25" s="0" t="n">
        <f aca="false">0</f>
        <v>0</v>
      </c>
      <c r="AE25" s="0" t="n">
        <f aca="false">0</f>
        <v>0</v>
      </c>
      <c r="AF25" s="0" t="n">
        <f aca="false">0</f>
        <v>0</v>
      </c>
      <c r="AG25" s="0" t="n">
        <f aca="false">0</f>
        <v>0</v>
      </c>
      <c r="AH25" s="0" t="n">
        <f aca="false">0</f>
        <v>0</v>
      </c>
      <c r="AI25" s="0" t="n">
        <f aca="false">0</f>
        <v>0</v>
      </c>
      <c r="AJ25" s="0" t="n">
        <f aca="false">0</f>
        <v>0</v>
      </c>
      <c r="AK25" s="0" t="n">
        <f aca="false">0</f>
        <v>0</v>
      </c>
      <c r="AL25" s="0" t="n">
        <f aca="false">0</f>
        <v>0</v>
      </c>
      <c r="AM25" s="0" t="n">
        <f aca="false">0</f>
        <v>0</v>
      </c>
      <c r="AN25" s="0" t="n">
        <f aca="false">0</f>
        <v>0</v>
      </c>
      <c r="AO25" s="0" t="n">
        <f aca="false">0</f>
        <v>0</v>
      </c>
      <c r="AP25" s="0" t="n">
        <f aca="false">0</f>
        <v>0</v>
      </c>
      <c r="AQ25" s="0" t="n">
        <f aca="false">0</f>
        <v>0</v>
      </c>
      <c r="AR25" s="0" t="n">
        <f aca="false">0</f>
        <v>0</v>
      </c>
      <c r="AS25" s="0" t="n">
        <f aca="false">0</f>
        <v>0</v>
      </c>
      <c r="AT25" s="0" t="n">
        <f aca="false">0</f>
        <v>0</v>
      </c>
      <c r="AU25" s="0" t="n">
        <f aca="false">0</f>
        <v>0</v>
      </c>
      <c r="AV25" s="0" t="n">
        <f aca="false">0</f>
        <v>0</v>
      </c>
      <c r="AW25" s="0" t="n">
        <f aca="false">0</f>
        <v>0</v>
      </c>
      <c r="AX25" s="0" t="n">
        <f aca="false">0</f>
        <v>0</v>
      </c>
    </row>
    <row r="26" customFormat="false" ht="15" hidden="false" customHeight="false" outlineLevel="0" collapsed="false">
      <c r="A26" s="0" t="s">
        <v>63</v>
      </c>
      <c r="B26" s="0" t="n">
        <f aca="false">0</f>
        <v>0</v>
      </c>
      <c r="C26" s="0" t="n">
        <f aca="false">0</f>
        <v>0</v>
      </c>
      <c r="D26" s="0" t="n">
        <f aca="false">0</f>
        <v>0</v>
      </c>
      <c r="E26" s="0" t="n">
        <f aca="false">0</f>
        <v>0</v>
      </c>
      <c r="F26" s="0" t="n">
        <f aca="false">0</f>
        <v>0</v>
      </c>
      <c r="G26" s="0" t="n">
        <f aca="false">0</f>
        <v>0</v>
      </c>
      <c r="H26" s="0" t="n">
        <f aca="false">0</f>
        <v>0</v>
      </c>
      <c r="I26" s="0" t="n">
        <f aca="false">0</f>
        <v>0</v>
      </c>
      <c r="J26" s="0" t="n">
        <f aca="false">0</f>
        <v>0</v>
      </c>
      <c r="K26" s="0" t="n">
        <f aca="false">0</f>
        <v>0</v>
      </c>
      <c r="L26" s="0" t="n">
        <f aca="false">0</f>
        <v>0</v>
      </c>
      <c r="M26" s="0" t="n">
        <f aca="false">0</f>
        <v>0</v>
      </c>
      <c r="N26" s="0" t="n">
        <f aca="false">0</f>
        <v>0</v>
      </c>
      <c r="O26" s="0" t="n">
        <f aca="false">0</f>
        <v>0</v>
      </c>
      <c r="P26" s="0" t="n">
        <f aca="false">0</f>
        <v>0</v>
      </c>
      <c r="Q26" s="0" t="n">
        <f aca="false">0</f>
        <v>0</v>
      </c>
      <c r="R26" s="0" t="n">
        <f aca="false">0</f>
        <v>0</v>
      </c>
      <c r="S26" s="0" t="n">
        <f aca="false">0</f>
        <v>0</v>
      </c>
      <c r="T26" s="0" t="n">
        <f aca="false">0</f>
        <v>0</v>
      </c>
      <c r="U26" s="0" t="n">
        <f aca="false">0</f>
        <v>0</v>
      </c>
      <c r="V26" s="0" t="n">
        <f aca="false">0</f>
        <v>0</v>
      </c>
      <c r="W26" s="0" t="n">
        <f aca="false">0</f>
        <v>0</v>
      </c>
      <c r="X26" s="0" t="n">
        <f aca="false">0</f>
        <v>0</v>
      </c>
      <c r="Y26" s="0" t="n">
        <f aca="false">0</f>
        <v>0</v>
      </c>
      <c r="Z26" s="0" t="n">
        <f aca="false">0</f>
        <v>0</v>
      </c>
      <c r="AA26" s="0" t="n">
        <f aca="false">0</f>
        <v>0</v>
      </c>
      <c r="AB26" s="0" t="n">
        <f aca="false">0</f>
        <v>0</v>
      </c>
      <c r="AC26" s="0" t="n">
        <f aca="false">0</f>
        <v>0</v>
      </c>
      <c r="AD26" s="0" t="n">
        <f aca="false">0</f>
        <v>0</v>
      </c>
      <c r="AE26" s="0" t="n">
        <f aca="false">0</f>
        <v>0</v>
      </c>
      <c r="AF26" s="0" t="n">
        <f aca="false">0</f>
        <v>0</v>
      </c>
      <c r="AG26" s="0" t="n">
        <f aca="false">0</f>
        <v>0</v>
      </c>
      <c r="AH26" s="0" t="n">
        <f aca="false">0</f>
        <v>0</v>
      </c>
      <c r="AI26" s="0" t="n">
        <f aca="false">0</f>
        <v>0</v>
      </c>
      <c r="AJ26" s="0" t="n">
        <f aca="false">0</f>
        <v>0</v>
      </c>
      <c r="AK26" s="0" t="n">
        <f aca="false">0</f>
        <v>0</v>
      </c>
      <c r="AL26" s="0" t="n">
        <f aca="false">0</f>
        <v>0</v>
      </c>
      <c r="AM26" s="0" t="n">
        <f aca="false">0</f>
        <v>0</v>
      </c>
      <c r="AN26" s="0" t="n">
        <f aca="false">0</f>
        <v>0</v>
      </c>
      <c r="AO26" s="0" t="n">
        <f aca="false">0</f>
        <v>0</v>
      </c>
      <c r="AP26" s="0" t="n">
        <f aca="false">0</f>
        <v>0</v>
      </c>
      <c r="AQ26" s="0" t="n">
        <f aca="false">0</f>
        <v>0</v>
      </c>
      <c r="AR26" s="0" t="n">
        <f aca="false">0</f>
        <v>0</v>
      </c>
      <c r="AS26" s="0" t="n">
        <f aca="false">0</f>
        <v>0</v>
      </c>
      <c r="AT26" s="0" t="n">
        <f aca="false">0</f>
        <v>0</v>
      </c>
      <c r="AU26" s="0" t="n">
        <f aca="false">0</f>
        <v>0</v>
      </c>
      <c r="AV26" s="0" t="n">
        <f aca="false">0</f>
        <v>0</v>
      </c>
      <c r="AW26" s="0" t="n">
        <f aca="false">0</f>
        <v>0</v>
      </c>
      <c r="AX26" s="0" t="n">
        <f aca="false">0</f>
        <v>0</v>
      </c>
    </row>
    <row r="27" customFormat="false" ht="15" hidden="false" customHeight="false" outlineLevel="0" collapsed="false">
      <c r="A27" s="0" t="s">
        <v>64</v>
      </c>
      <c r="B27" s="0" t="n">
        <f aca="false">IF((B$3&gt;=Phases!$D$7+Phases!$E$7),Phases!$C$7*Scenarios!$E$7*0.9/4*MIN(1,(B$3-Phases!$D$7-Phases!$E$7+1)/6)*1.025^INT((B$3-Phases!$D$7-Phases!$E$7)/4),0)</f>
        <v>0</v>
      </c>
      <c r="C27" s="0" t="n">
        <f aca="false">IF((C$3&gt;=Phases!$D$7+Phases!$E$7),Phases!$C$7*Scenarios!$E$7*0.9/4*MIN(1,(C$3-Phases!$D$7-Phases!$E$7+1)/6)*1.025^INT((C$3-Phases!$D$7-Phases!$E$7)/4),0)</f>
        <v>0</v>
      </c>
      <c r="D27" s="0" t="n">
        <f aca="false">IF((D$3&gt;=Phases!$D$7+Phases!$E$7),Phases!$C$7*Scenarios!$E$7*0.9/4*MIN(1,(D$3-Phases!$D$7-Phases!$E$7+1)/6)*1.025^INT((D$3-Phases!$D$7-Phases!$E$7)/4),0)</f>
        <v>0</v>
      </c>
      <c r="E27" s="0" t="n">
        <f aca="false">IF((E$3&gt;=Phases!$D$7+Phases!$E$7),Phases!$C$7*Scenarios!$E$7*0.9/4*MIN(1,(E$3-Phases!$D$7-Phases!$E$7+1)/6)*1.025^INT((E$3-Phases!$D$7-Phases!$E$7)/4),0)</f>
        <v>0</v>
      </c>
      <c r="F27" s="0" t="n">
        <f aca="false">IF((F$3&gt;=Phases!$D$7+Phases!$E$7),Phases!$C$7*Scenarios!$E$7*0.9/4*MIN(1,(F$3-Phases!$D$7-Phases!$E$7+1)/6)*1.025^INT((F$3-Phases!$D$7-Phases!$E$7)/4),0)</f>
        <v>0</v>
      </c>
      <c r="G27" s="0" t="n">
        <f aca="false">IF((G$3&gt;=Phases!$D$7+Phases!$E$7),Phases!$C$7*Scenarios!$E$7*0.9/4*MIN(1,(G$3-Phases!$D$7-Phases!$E$7+1)/6)*1.025^INT((G$3-Phases!$D$7-Phases!$E$7)/4),0)</f>
        <v>0</v>
      </c>
      <c r="H27" s="0" t="n">
        <f aca="false">IF((H$3&gt;=Phases!$D$7+Phases!$E$7),Phases!$C$7*Scenarios!$E$7*0.9/4*MIN(1,(H$3-Phases!$D$7-Phases!$E$7+1)/6)*1.025^INT((H$3-Phases!$D$7-Phases!$E$7)/4),0)</f>
        <v>0</v>
      </c>
      <c r="I27" s="0" t="n">
        <f aca="false">IF((I$3&gt;=Phases!$D$7+Phases!$E$7),Phases!$C$7*Scenarios!$E$7*0.9/4*MIN(1,(I$3-Phases!$D$7-Phases!$E$7+1)/6)*1.025^INT((I$3-Phases!$D$7-Phases!$E$7)/4),0)</f>
        <v>0</v>
      </c>
      <c r="J27" s="0" t="n">
        <f aca="false">IF((J$3&gt;=Phases!$D$7+Phases!$E$7),Phases!$C$7*Scenarios!$E$7*0.9/4*MIN(1,(J$3-Phases!$D$7-Phases!$E$7+1)/6)*1.025^INT((J$3-Phases!$D$7-Phases!$E$7)/4),0)</f>
        <v>0</v>
      </c>
      <c r="K27" s="0" t="n">
        <f aca="false">IF((K$3&gt;=Phases!$D$7+Phases!$E$7),Phases!$C$7*Scenarios!$E$7*0.9/4*MIN(1,(K$3-Phases!$D$7-Phases!$E$7+1)/6)*1.025^INT((K$3-Phases!$D$7-Phases!$E$7)/4),0)</f>
        <v>0</v>
      </c>
      <c r="L27" s="0" t="n">
        <f aca="false">IF((L$3&gt;=Phases!$D$7+Phases!$E$7),Phases!$C$7*Scenarios!$E$7*0.9/4*MIN(1,(L$3-Phases!$D$7-Phases!$E$7+1)/6)*1.025^INT((L$3-Phases!$D$7-Phases!$E$7)/4),0)</f>
        <v>0</v>
      </c>
      <c r="M27" s="0" t="n">
        <f aca="false">IF((M$3&gt;=Phases!$D$7+Phases!$E$7),Phases!$C$7*Scenarios!$E$7*0.9/4*MIN(1,(M$3-Phases!$D$7-Phases!$E$7+1)/6)*1.025^INT((M$3-Phases!$D$7-Phases!$E$7)/4),0)</f>
        <v>0</v>
      </c>
      <c r="N27" s="0" t="n">
        <f aca="false">IF((N$3&gt;=Phases!$D$7+Phases!$E$7),Phases!$C$7*Scenarios!$E$7*0.9/4*MIN(1,(N$3-Phases!$D$7-Phases!$E$7+1)/6)*1.025^INT((N$3-Phases!$D$7-Phases!$E$7)/4),0)</f>
        <v>0</v>
      </c>
      <c r="O27" s="0" t="n">
        <f aca="false">IF((O$3&gt;=Phases!$D$7+Phases!$E$7),Phases!$C$7*Scenarios!$E$7*0.9/4*MIN(1,(O$3-Phases!$D$7-Phases!$E$7+1)/6)*1.025^INT((O$3-Phases!$D$7-Phases!$E$7)/4),0)</f>
        <v>0</v>
      </c>
      <c r="P27" s="0" t="n">
        <f aca="false">IF((P$3&gt;=Phases!$D$7+Phases!$E$7),Phases!$C$7*Scenarios!$E$7*0.9/4*MIN(1,(P$3-Phases!$D$7-Phases!$E$7+1)/6)*1.025^INT((P$3-Phases!$D$7-Phases!$E$7)/4),0)</f>
        <v>0</v>
      </c>
      <c r="Q27" s="0" t="n">
        <f aca="false">IF((Q$3&gt;=Phases!$D$7+Phases!$E$7),Phases!$C$7*Scenarios!$E$7*0.9/4*MIN(1,(Q$3-Phases!$D$7-Phases!$E$7+1)/6)*1.025^INT((Q$3-Phases!$D$7-Phases!$E$7)/4),0)</f>
        <v>0</v>
      </c>
      <c r="R27" s="0" t="n">
        <f aca="false">IF((R$3&gt;=Phases!$D$7+Phases!$E$7),Phases!$C$7*Scenarios!$E$7*0.9/4*MIN(1,(R$3-Phases!$D$7-Phases!$E$7+1)/6)*1.025^INT((R$3-Phases!$D$7-Phases!$E$7)/4),0)</f>
        <v>0</v>
      </c>
      <c r="S27" s="0" t="n">
        <f aca="false">IF((S$3&gt;=Phases!$D$7+Phases!$E$7),Phases!$C$7*Scenarios!$E$7*0.9/4*MIN(1,(S$3-Phases!$D$7-Phases!$E$7+1)/6)*1.025^INT((S$3-Phases!$D$7-Phases!$E$7)/4),0)</f>
        <v>0</v>
      </c>
      <c r="T27" s="0" t="n">
        <f aca="false">IF((T$3&gt;=Phases!$D$7+Phases!$E$7),Phases!$C$7*Scenarios!$E$7*0.9/4*MIN(1,(T$3-Phases!$D$7-Phases!$E$7+1)/6)*1.025^INT((T$3-Phases!$D$7-Phases!$E$7)/4),0)</f>
        <v>0</v>
      </c>
      <c r="U27" s="0" t="n">
        <f aca="false">IF((U$3&gt;=Phases!$D$7+Phases!$E$7),Phases!$C$7*Scenarios!$E$7*0.9/4*MIN(1,(U$3-Phases!$D$7-Phases!$E$7+1)/6)*1.025^INT((U$3-Phases!$D$7-Phases!$E$7)/4),0)</f>
        <v>0</v>
      </c>
      <c r="V27" s="0" t="n">
        <f aca="false">IF((V$3&gt;=Phases!$D$7+Phases!$E$7),Phases!$C$7*Scenarios!$E$7*0.9/4*MIN(1,(V$3-Phases!$D$7-Phases!$E$7+1)/6)*1.025^INT((V$3-Phases!$D$7-Phases!$E$7)/4),0)</f>
        <v>0</v>
      </c>
      <c r="W27" s="0" t="n">
        <f aca="false">IF((W$3&gt;=Phases!$D$7+Phases!$E$7),Phases!$C$7*Scenarios!$E$7*0.9/4*MIN(1,(W$3-Phases!$D$7-Phases!$E$7+1)/6)*1.025^INT((W$3-Phases!$D$7-Phases!$E$7)/4),0)</f>
        <v>0</v>
      </c>
      <c r="X27" s="0" t="n">
        <f aca="false">IF((X$3&gt;=Phases!$D$7+Phases!$E$7),Phases!$C$7*Scenarios!$E$7*0.9/4*MIN(1,(X$3-Phases!$D$7-Phases!$E$7+1)/6)*1.025^INT((X$3-Phases!$D$7-Phases!$E$7)/4),0)</f>
        <v>2587500</v>
      </c>
      <c r="Y27" s="0" t="n">
        <f aca="false">IF((Y$3&gt;=Phases!$D$7+Phases!$E$7),Phases!$C$7*Scenarios!$E$7*0.9/4*MIN(1,(Y$3-Phases!$D$7-Phases!$E$7+1)/6)*1.025^INT((Y$3-Phases!$D$7-Phases!$E$7)/4),0)</f>
        <v>5175000</v>
      </c>
      <c r="Z27" s="0" t="n">
        <f aca="false">IF((Z$3&gt;=Phases!$D$7+Phases!$E$7),Phases!$C$7*Scenarios!$E$7*0.9/4*MIN(1,(Z$3-Phases!$D$7-Phases!$E$7+1)/6)*1.025^INT((Z$3-Phases!$D$7-Phases!$E$7)/4),0)</f>
        <v>7762500</v>
      </c>
      <c r="AA27" s="0" t="n">
        <f aca="false">IF((AA$3&gt;=Phases!$D$7+Phases!$E$7),Phases!$C$7*Scenarios!$E$7*0.9/4*MIN(1,(AA$3-Phases!$D$7-Phases!$E$7+1)/6)*1.025^INT((AA$3-Phases!$D$7-Phases!$E$7)/4),0)</f>
        <v>10350000</v>
      </c>
      <c r="AB27" s="0" t="n">
        <f aca="false">IF((AB$3&gt;=Phases!$D$7+Phases!$E$7),Phases!$C$7*Scenarios!$E$7*0.9/4*MIN(1,(AB$3-Phases!$D$7-Phases!$E$7+1)/6)*1.025^INT((AB$3-Phases!$D$7-Phases!$E$7)/4),0)</f>
        <v>13260937.5</v>
      </c>
      <c r="AC27" s="0" t="n">
        <f aca="false">IF((AC$3&gt;=Phases!$D$7+Phases!$E$7),Phases!$C$7*Scenarios!$E$7*0.9/4*MIN(1,(AC$3-Phases!$D$7-Phases!$E$7+1)/6)*1.025^INT((AC$3-Phases!$D$7-Phases!$E$7)/4),0)</f>
        <v>15913125</v>
      </c>
      <c r="AD27" s="0" t="n">
        <f aca="false">IF((AD$3&gt;=Phases!$D$7+Phases!$E$7),Phases!$C$7*Scenarios!$E$7*0.9/4*MIN(1,(AD$3-Phases!$D$7-Phases!$E$7+1)/6)*1.025^INT((AD$3-Phases!$D$7-Phases!$E$7)/4),0)</f>
        <v>15913125</v>
      </c>
      <c r="AE27" s="0" t="n">
        <f aca="false">IF((AE$3&gt;=Phases!$D$7+Phases!$E$7),Phases!$C$7*Scenarios!$E$7*0.9/4*MIN(1,(AE$3-Phases!$D$7-Phases!$E$7+1)/6)*1.025^INT((AE$3-Phases!$D$7-Phases!$E$7)/4),0)</f>
        <v>15913125</v>
      </c>
      <c r="AF27" s="0" t="n">
        <f aca="false">IF((AF$3&gt;=Phases!$D$7+Phases!$E$7),Phases!$C$7*Scenarios!$E$7*0.9/4*MIN(1,(AF$3-Phases!$D$7-Phases!$E$7+1)/6)*1.025^INT((AF$3-Phases!$D$7-Phases!$E$7)/4),0)</f>
        <v>16310953.125</v>
      </c>
      <c r="AG27" s="0" t="n">
        <f aca="false">IF((AG$3&gt;=Phases!$D$7+Phases!$E$7),Phases!$C$7*Scenarios!$E$7*0.9/4*MIN(1,(AG$3-Phases!$D$7-Phases!$E$7+1)/6)*1.025^INT((AG$3-Phases!$D$7-Phases!$E$7)/4),0)</f>
        <v>16310953.125</v>
      </c>
      <c r="AH27" s="0" t="n">
        <f aca="false">IF((AH$3&gt;=Phases!$D$7+Phases!$E$7),Phases!$C$7*Scenarios!$E$7*0.9/4*MIN(1,(AH$3-Phases!$D$7-Phases!$E$7+1)/6)*1.025^INT((AH$3-Phases!$D$7-Phases!$E$7)/4),0)</f>
        <v>16310953.125</v>
      </c>
      <c r="AI27" s="0" t="n">
        <f aca="false">IF((AI$3&gt;=Phases!$D$7+Phases!$E$7),Phases!$C$7*Scenarios!$E$7*0.9/4*MIN(1,(AI$3-Phases!$D$7-Phases!$E$7+1)/6)*1.025^INT((AI$3-Phases!$D$7-Phases!$E$7)/4),0)</f>
        <v>16310953.125</v>
      </c>
      <c r="AJ27" s="0" t="n">
        <f aca="false">IF((AJ$3&gt;=Phases!$D$7+Phases!$E$7),Phases!$C$7*Scenarios!$E$7*0.9/4*MIN(1,(AJ$3-Phases!$D$7-Phases!$E$7+1)/6)*1.025^INT((AJ$3-Phases!$D$7-Phases!$E$7)/4),0)</f>
        <v>16718726.953125</v>
      </c>
      <c r="AK27" s="0" t="n">
        <f aca="false">IF((AK$3&gt;=Phases!$D$7+Phases!$E$7),Phases!$C$7*Scenarios!$E$7*0.9/4*MIN(1,(AK$3-Phases!$D$7-Phases!$E$7+1)/6)*1.025^INT((AK$3-Phases!$D$7-Phases!$E$7)/4),0)</f>
        <v>16718726.953125</v>
      </c>
      <c r="AL27" s="0" t="n">
        <f aca="false">IF((AL$3&gt;=Phases!$D$7+Phases!$E$7),Phases!$C$7*Scenarios!$E$7*0.9/4*MIN(1,(AL$3-Phases!$D$7-Phases!$E$7+1)/6)*1.025^INT((AL$3-Phases!$D$7-Phases!$E$7)/4),0)</f>
        <v>16718726.953125</v>
      </c>
      <c r="AM27" s="0" t="n">
        <f aca="false">IF((AM$3&gt;=Phases!$D$7+Phases!$E$7),Phases!$C$7*Scenarios!$E$7*0.9/4*MIN(1,(AM$3-Phases!$D$7-Phases!$E$7+1)/6)*1.025^INT((AM$3-Phases!$D$7-Phases!$E$7)/4),0)</f>
        <v>16718726.953125</v>
      </c>
      <c r="AN27" s="0" t="n">
        <f aca="false">IF((AN$3&gt;=Phases!$D$7+Phases!$E$7),Phases!$C$7*Scenarios!$E$7*0.9/4*MIN(1,(AN$3-Phases!$D$7-Phases!$E$7+1)/6)*1.025^INT((AN$3-Phases!$D$7-Phases!$E$7)/4),0)</f>
        <v>17136695.1269531</v>
      </c>
      <c r="AO27" s="0" t="n">
        <f aca="false">IF((AO$3&gt;=Phases!$D$7+Phases!$E$7),Phases!$C$7*Scenarios!$E$7*0.9/4*MIN(1,(AO$3-Phases!$D$7-Phases!$E$7+1)/6)*1.025^INT((AO$3-Phases!$D$7-Phases!$E$7)/4),0)</f>
        <v>17136695.1269531</v>
      </c>
      <c r="AP27" s="0" t="n">
        <f aca="false">IF((AP$3&gt;=Phases!$D$7+Phases!$E$7),Phases!$C$7*Scenarios!$E$7*0.9/4*MIN(1,(AP$3-Phases!$D$7-Phases!$E$7+1)/6)*1.025^INT((AP$3-Phases!$D$7-Phases!$E$7)/4),0)</f>
        <v>17136695.1269531</v>
      </c>
      <c r="AQ27" s="0" t="n">
        <f aca="false">IF((AQ$3&gt;=Phases!$D$7+Phases!$E$7),Phases!$C$7*Scenarios!$E$7*0.9/4*MIN(1,(AQ$3-Phases!$D$7-Phases!$E$7+1)/6)*1.025^INT((AQ$3-Phases!$D$7-Phases!$E$7)/4),0)</f>
        <v>17136695.1269531</v>
      </c>
      <c r="AR27" s="0" t="n">
        <f aca="false">IF((AR$3&gt;=Phases!$D$7+Phases!$E$7),Phases!$C$7*Scenarios!$E$7*0.9/4*MIN(1,(AR$3-Phases!$D$7-Phases!$E$7+1)/6)*1.025^INT((AR$3-Phases!$D$7-Phases!$E$7)/4),0)</f>
        <v>17565112.5051269</v>
      </c>
      <c r="AS27" s="0" t="n">
        <f aca="false">IF((AS$3&gt;=Phases!$D$7+Phases!$E$7),Phases!$C$7*Scenarios!$E$7*0.9/4*MIN(1,(AS$3-Phases!$D$7-Phases!$E$7+1)/6)*1.025^INT((AS$3-Phases!$D$7-Phases!$E$7)/4),0)</f>
        <v>17565112.5051269</v>
      </c>
      <c r="AT27" s="0" t="n">
        <f aca="false">IF((AT$3&gt;=Phases!$D$7+Phases!$E$7),Phases!$C$7*Scenarios!$E$7*0.9/4*MIN(1,(AT$3-Phases!$D$7-Phases!$E$7+1)/6)*1.025^INT((AT$3-Phases!$D$7-Phases!$E$7)/4),0)</f>
        <v>17565112.5051269</v>
      </c>
      <c r="AU27" s="0" t="n">
        <f aca="false">IF((AU$3&gt;=Phases!$D$7+Phases!$E$7),Phases!$C$7*Scenarios!$E$7*0.9/4*MIN(1,(AU$3-Phases!$D$7-Phases!$E$7+1)/6)*1.025^INT((AU$3-Phases!$D$7-Phases!$E$7)/4),0)</f>
        <v>17565112.5051269</v>
      </c>
      <c r="AV27" s="0" t="n">
        <f aca="false">IF((AV$3&gt;=Phases!$D$7+Phases!$E$7),Phases!$C$7*Scenarios!$E$7*0.9/4*MIN(1,(AV$3-Phases!$D$7-Phases!$E$7+1)/6)*1.025^INT((AV$3-Phases!$D$7-Phases!$E$7)/4),0)</f>
        <v>18004240.3177551</v>
      </c>
      <c r="AW27" s="0" t="n">
        <f aca="false">IF((AW$3&gt;=Phases!$D$7+Phases!$E$7),Phases!$C$7*Scenarios!$E$7*0.9/4*MIN(1,(AW$3-Phases!$D$7-Phases!$E$7+1)/6)*1.025^INT((AW$3-Phases!$D$7-Phases!$E$7)/4),0)</f>
        <v>18004240.3177551</v>
      </c>
      <c r="AX27" s="0" t="n">
        <f aca="false">IF((AX$3&gt;=Phases!$D$7+Phases!$E$7),Phases!$C$7*Scenarios!$E$7*0.9/4*MIN(1,(AX$3-Phases!$D$7-Phases!$E$7+1)/6)*1.025^INT((AX$3-Phases!$D$7-Phases!$E$7)/4),0)</f>
        <v>18004240.3177551</v>
      </c>
    </row>
    <row r="28" customFormat="false" ht="15" hidden="false" customHeight="false" outlineLevel="0" collapsed="false">
      <c r="A28" s="0" t="s">
        <v>65</v>
      </c>
      <c r="B28" s="2" t="n">
        <f aca="false">IF(B$3=0,Inputs!$B$4,0)</f>
        <v>900000000</v>
      </c>
      <c r="C28" s="0" t="n">
        <f aca="false">IF(C$3=0,Inputs!$B$4,0)</f>
        <v>0</v>
      </c>
      <c r="D28" s="0" t="n">
        <f aca="false">IF(D$3=0,Inputs!$B$4,0)</f>
        <v>0</v>
      </c>
      <c r="E28" s="0" t="n">
        <f aca="false">IF(E$3=0,Inputs!$B$4,0)</f>
        <v>0</v>
      </c>
      <c r="F28" s="0" t="n">
        <f aca="false">IF(F$3=0,Inputs!$B$4,0)</f>
        <v>0</v>
      </c>
      <c r="G28" s="0" t="n">
        <f aca="false">IF(G$3=0,Inputs!$B$4,0)</f>
        <v>0</v>
      </c>
      <c r="H28" s="0" t="n">
        <f aca="false">IF(H$3=0,Inputs!$B$4,0)</f>
        <v>0</v>
      </c>
      <c r="I28" s="0" t="n">
        <f aca="false">IF(I$3=0,Inputs!$B$4,0)</f>
        <v>0</v>
      </c>
      <c r="J28" s="0" t="n">
        <f aca="false">IF(J$3=0,Inputs!$B$4,0)</f>
        <v>0</v>
      </c>
      <c r="K28" s="0" t="n">
        <f aca="false">IF(K$3=0,Inputs!$B$4,0)</f>
        <v>0</v>
      </c>
      <c r="L28" s="0" t="n">
        <f aca="false">IF(L$3=0,Inputs!$B$4,0)</f>
        <v>0</v>
      </c>
      <c r="M28" s="0" t="n">
        <f aca="false">IF(M$3=0,Inputs!$B$4,0)</f>
        <v>0</v>
      </c>
      <c r="N28" s="0" t="n">
        <f aca="false">IF(N$3=0,Inputs!$B$4,0)</f>
        <v>0</v>
      </c>
      <c r="O28" s="0" t="n">
        <f aca="false">IF(O$3=0,Inputs!$B$4,0)</f>
        <v>0</v>
      </c>
      <c r="P28" s="0" t="n">
        <f aca="false">IF(P$3=0,Inputs!$B$4,0)</f>
        <v>0</v>
      </c>
      <c r="Q28" s="0" t="n">
        <f aca="false">IF(Q$3=0,Inputs!$B$4,0)</f>
        <v>0</v>
      </c>
      <c r="R28" s="0" t="n">
        <f aca="false">IF(R$3=0,Inputs!$B$4,0)</f>
        <v>0</v>
      </c>
      <c r="S28" s="0" t="n">
        <f aca="false">IF(S$3=0,Inputs!$B$4,0)</f>
        <v>0</v>
      </c>
      <c r="T28" s="0" t="n">
        <f aca="false">IF(T$3=0,Inputs!$B$4,0)</f>
        <v>0</v>
      </c>
      <c r="U28" s="0" t="n">
        <f aca="false">IF(U$3=0,Inputs!$B$4,0)</f>
        <v>0</v>
      </c>
      <c r="V28" s="0" t="n">
        <f aca="false">IF(V$3=0,Inputs!$B$4,0)</f>
        <v>0</v>
      </c>
      <c r="W28" s="0" t="n">
        <f aca="false">IF(W$3=0,Inputs!$B$4,0)</f>
        <v>0</v>
      </c>
      <c r="X28" s="0" t="n">
        <f aca="false">IF(X$3=0,Inputs!$B$4,0)</f>
        <v>0</v>
      </c>
      <c r="Y28" s="0" t="n">
        <f aca="false">IF(Y$3=0,Inputs!$B$4,0)</f>
        <v>0</v>
      </c>
      <c r="Z28" s="0" t="n">
        <f aca="false">IF(Z$3=0,Inputs!$B$4,0)</f>
        <v>0</v>
      </c>
      <c r="AA28" s="0" t="n">
        <f aca="false">IF(AA$3=0,Inputs!$B$4,0)</f>
        <v>0</v>
      </c>
      <c r="AB28" s="0" t="n">
        <f aca="false">IF(AB$3=0,Inputs!$B$4,0)</f>
        <v>0</v>
      </c>
      <c r="AC28" s="0" t="n">
        <f aca="false">IF(AC$3=0,Inputs!$B$4,0)</f>
        <v>0</v>
      </c>
      <c r="AD28" s="0" t="n">
        <f aca="false">IF(AD$3=0,Inputs!$B$4,0)</f>
        <v>0</v>
      </c>
      <c r="AE28" s="0" t="n">
        <f aca="false">IF(AE$3=0,Inputs!$B$4,0)</f>
        <v>0</v>
      </c>
      <c r="AF28" s="0" t="n">
        <f aca="false">IF(AF$3=0,Inputs!$B$4,0)</f>
        <v>0</v>
      </c>
      <c r="AG28" s="0" t="n">
        <f aca="false">IF(AG$3=0,Inputs!$B$4,0)</f>
        <v>0</v>
      </c>
      <c r="AH28" s="0" t="n">
        <f aca="false">IF(AH$3=0,Inputs!$B$4,0)</f>
        <v>0</v>
      </c>
      <c r="AI28" s="0" t="n">
        <f aca="false">IF(AI$3=0,Inputs!$B$4,0)</f>
        <v>0</v>
      </c>
      <c r="AJ28" s="0" t="n">
        <f aca="false">IF(AJ$3=0,Inputs!$B$4,0)</f>
        <v>0</v>
      </c>
      <c r="AK28" s="0" t="n">
        <f aca="false">IF(AK$3=0,Inputs!$B$4,0)</f>
        <v>0</v>
      </c>
      <c r="AL28" s="0" t="n">
        <f aca="false">IF(AL$3=0,Inputs!$B$4,0)</f>
        <v>0</v>
      </c>
      <c r="AM28" s="0" t="n">
        <f aca="false">IF(AM$3=0,Inputs!$B$4,0)</f>
        <v>0</v>
      </c>
      <c r="AN28" s="0" t="n">
        <f aca="false">IF(AN$3=0,Inputs!$B$4,0)</f>
        <v>0</v>
      </c>
      <c r="AO28" s="0" t="n">
        <f aca="false">IF(AO$3=0,Inputs!$B$4,0)</f>
        <v>0</v>
      </c>
      <c r="AP28" s="0" t="n">
        <f aca="false">IF(AP$3=0,Inputs!$B$4,0)</f>
        <v>0</v>
      </c>
      <c r="AQ28" s="0" t="n">
        <f aca="false">IF(AQ$3=0,Inputs!$B$4,0)</f>
        <v>0</v>
      </c>
      <c r="AR28" s="0" t="n">
        <f aca="false">IF(AR$3=0,Inputs!$B$4,0)</f>
        <v>0</v>
      </c>
      <c r="AS28" s="0" t="n">
        <f aca="false">IF(AS$3=0,Inputs!$B$4,0)</f>
        <v>0</v>
      </c>
      <c r="AT28" s="0" t="n">
        <f aca="false">IF(AT$3=0,Inputs!$B$4,0)</f>
        <v>0</v>
      </c>
      <c r="AU28" s="0" t="n">
        <f aca="false">IF(AU$3=0,Inputs!$B$4,0)</f>
        <v>0</v>
      </c>
      <c r="AV28" s="0" t="n">
        <f aca="false">IF(AV$3=0,Inputs!$B$4,0)</f>
        <v>0</v>
      </c>
      <c r="AW28" s="0" t="n">
        <f aca="false">IF(AW$3=0,Inputs!$B$4,0)</f>
        <v>0</v>
      </c>
      <c r="AX28" s="0" t="n">
        <f aca="false">IF(AX$3=0,Inputs!$B$4,0)</f>
        <v>0</v>
      </c>
    </row>
    <row r="29" customFormat="false" ht="15" hidden="false" customHeight="false" outlineLevel="0" collapsed="false">
      <c r="A29" s="0" t="s">
        <v>66</v>
      </c>
      <c r="B29" s="0" t="n">
        <f aca="false">IF(AND(B$3&gt;=1,B$3&lt;=Inputs!$B$6),Inputs!$B$5/Inputs!$B$6,0)</f>
        <v>0</v>
      </c>
      <c r="C29" s="0" t="n">
        <f aca="false">IF(AND(C$3&gt;=1,C$3&lt;=Inputs!$B$6),Inputs!$B$5/Inputs!$B$6,0)</f>
        <v>52500000</v>
      </c>
      <c r="D29" s="0" t="n">
        <f aca="false">IF(AND(D$3&gt;=1,D$3&lt;=Inputs!$B$6),Inputs!$B$5/Inputs!$B$6,0)</f>
        <v>52500000</v>
      </c>
      <c r="E29" s="0" t="n">
        <f aca="false">IF(AND(E$3&gt;=1,E$3&lt;=Inputs!$B$6),Inputs!$B$5/Inputs!$B$6,0)</f>
        <v>52500000</v>
      </c>
      <c r="F29" s="0" t="n">
        <f aca="false">IF(AND(F$3&gt;=1,F$3&lt;=Inputs!$B$6),Inputs!$B$5/Inputs!$B$6,0)</f>
        <v>52500000</v>
      </c>
      <c r="G29" s="0" t="n">
        <f aca="false">IF(AND(G$3&gt;=1,G$3&lt;=Inputs!$B$6),Inputs!$B$5/Inputs!$B$6,0)</f>
        <v>52500000</v>
      </c>
      <c r="H29" s="0" t="n">
        <f aca="false">IF(AND(H$3&gt;=1,H$3&lt;=Inputs!$B$6),Inputs!$B$5/Inputs!$B$6,0)</f>
        <v>52500000</v>
      </c>
      <c r="I29" s="0" t="n">
        <f aca="false">IF(AND(I$3&gt;=1,I$3&lt;=Inputs!$B$6),Inputs!$B$5/Inputs!$B$6,0)</f>
        <v>52500000</v>
      </c>
      <c r="J29" s="0" t="n">
        <f aca="false">IF(AND(J$3&gt;=1,J$3&lt;=Inputs!$B$6),Inputs!$B$5/Inputs!$B$6,0)</f>
        <v>52500000</v>
      </c>
      <c r="K29" s="0" t="n">
        <f aca="false">IF(AND(K$3&gt;=1,K$3&lt;=Inputs!$B$6),Inputs!$B$5/Inputs!$B$6,0)</f>
        <v>0</v>
      </c>
      <c r="L29" s="0" t="n">
        <f aca="false">IF(AND(L$3&gt;=1,L$3&lt;=Inputs!$B$6),Inputs!$B$5/Inputs!$B$6,0)</f>
        <v>0</v>
      </c>
      <c r="M29" s="0" t="n">
        <f aca="false">IF(AND(M$3&gt;=1,M$3&lt;=Inputs!$B$6),Inputs!$B$5/Inputs!$B$6,0)</f>
        <v>0</v>
      </c>
      <c r="N29" s="0" t="n">
        <f aca="false">IF(AND(N$3&gt;=1,N$3&lt;=Inputs!$B$6),Inputs!$B$5/Inputs!$B$6,0)</f>
        <v>0</v>
      </c>
      <c r="O29" s="0" t="n">
        <f aca="false">IF(AND(O$3&gt;=1,O$3&lt;=Inputs!$B$6),Inputs!$B$5/Inputs!$B$6,0)</f>
        <v>0</v>
      </c>
      <c r="P29" s="0" t="n">
        <f aca="false">IF(AND(P$3&gt;=1,P$3&lt;=Inputs!$B$6),Inputs!$B$5/Inputs!$B$6,0)</f>
        <v>0</v>
      </c>
      <c r="Q29" s="0" t="n">
        <f aca="false">IF(AND(Q$3&gt;=1,Q$3&lt;=Inputs!$B$6),Inputs!$B$5/Inputs!$B$6,0)</f>
        <v>0</v>
      </c>
      <c r="R29" s="0" t="n">
        <f aca="false">IF(AND(R$3&gt;=1,R$3&lt;=Inputs!$B$6),Inputs!$B$5/Inputs!$B$6,0)</f>
        <v>0</v>
      </c>
      <c r="S29" s="0" t="n">
        <f aca="false">IF(AND(S$3&gt;=1,S$3&lt;=Inputs!$B$6),Inputs!$B$5/Inputs!$B$6,0)</f>
        <v>0</v>
      </c>
      <c r="T29" s="0" t="n">
        <f aca="false">IF(AND(T$3&gt;=1,T$3&lt;=Inputs!$B$6),Inputs!$B$5/Inputs!$B$6,0)</f>
        <v>0</v>
      </c>
      <c r="U29" s="0" t="n">
        <f aca="false">IF(AND(U$3&gt;=1,U$3&lt;=Inputs!$B$6),Inputs!$B$5/Inputs!$B$6,0)</f>
        <v>0</v>
      </c>
      <c r="V29" s="0" t="n">
        <f aca="false">IF(AND(V$3&gt;=1,V$3&lt;=Inputs!$B$6),Inputs!$B$5/Inputs!$B$6,0)</f>
        <v>0</v>
      </c>
      <c r="W29" s="0" t="n">
        <f aca="false">IF(AND(W$3&gt;=1,W$3&lt;=Inputs!$B$6),Inputs!$B$5/Inputs!$B$6,0)</f>
        <v>0</v>
      </c>
      <c r="X29" s="0" t="n">
        <f aca="false">IF(AND(X$3&gt;=1,X$3&lt;=Inputs!$B$6),Inputs!$B$5/Inputs!$B$6,0)</f>
        <v>0</v>
      </c>
      <c r="Y29" s="0" t="n">
        <f aca="false">IF(AND(Y$3&gt;=1,Y$3&lt;=Inputs!$B$6),Inputs!$B$5/Inputs!$B$6,0)</f>
        <v>0</v>
      </c>
      <c r="Z29" s="0" t="n">
        <f aca="false">IF(AND(Z$3&gt;=1,Z$3&lt;=Inputs!$B$6),Inputs!$B$5/Inputs!$B$6,0)</f>
        <v>0</v>
      </c>
      <c r="AA29" s="0" t="n">
        <f aca="false">IF(AND(AA$3&gt;=1,AA$3&lt;=Inputs!$B$6),Inputs!$B$5/Inputs!$B$6,0)</f>
        <v>0</v>
      </c>
      <c r="AB29" s="0" t="n">
        <f aca="false">IF(AND(AB$3&gt;=1,AB$3&lt;=Inputs!$B$6),Inputs!$B$5/Inputs!$B$6,0)</f>
        <v>0</v>
      </c>
      <c r="AC29" s="0" t="n">
        <f aca="false">IF(AND(AC$3&gt;=1,AC$3&lt;=Inputs!$B$6),Inputs!$B$5/Inputs!$B$6,0)</f>
        <v>0</v>
      </c>
      <c r="AD29" s="0" t="n">
        <f aca="false">IF(AND(AD$3&gt;=1,AD$3&lt;=Inputs!$B$6),Inputs!$B$5/Inputs!$B$6,0)</f>
        <v>0</v>
      </c>
      <c r="AE29" s="0" t="n">
        <f aca="false">IF(AND(AE$3&gt;=1,AE$3&lt;=Inputs!$B$6),Inputs!$B$5/Inputs!$B$6,0)</f>
        <v>0</v>
      </c>
      <c r="AF29" s="0" t="n">
        <f aca="false">IF(AND(AF$3&gt;=1,AF$3&lt;=Inputs!$B$6),Inputs!$B$5/Inputs!$B$6,0)</f>
        <v>0</v>
      </c>
      <c r="AG29" s="0" t="n">
        <f aca="false">IF(AND(AG$3&gt;=1,AG$3&lt;=Inputs!$B$6),Inputs!$B$5/Inputs!$B$6,0)</f>
        <v>0</v>
      </c>
      <c r="AH29" s="0" t="n">
        <f aca="false">IF(AND(AH$3&gt;=1,AH$3&lt;=Inputs!$B$6),Inputs!$B$5/Inputs!$B$6,0)</f>
        <v>0</v>
      </c>
      <c r="AI29" s="0" t="n">
        <f aca="false">IF(AND(AI$3&gt;=1,AI$3&lt;=Inputs!$B$6),Inputs!$B$5/Inputs!$B$6,0)</f>
        <v>0</v>
      </c>
      <c r="AJ29" s="0" t="n">
        <f aca="false">IF(AND(AJ$3&gt;=1,AJ$3&lt;=Inputs!$B$6),Inputs!$B$5/Inputs!$B$6,0)</f>
        <v>0</v>
      </c>
      <c r="AK29" s="0" t="n">
        <f aca="false">IF(AND(AK$3&gt;=1,AK$3&lt;=Inputs!$B$6),Inputs!$B$5/Inputs!$B$6,0)</f>
        <v>0</v>
      </c>
      <c r="AL29" s="0" t="n">
        <f aca="false">IF(AND(AL$3&gt;=1,AL$3&lt;=Inputs!$B$6),Inputs!$B$5/Inputs!$B$6,0)</f>
        <v>0</v>
      </c>
      <c r="AM29" s="0" t="n">
        <f aca="false">IF(AND(AM$3&gt;=1,AM$3&lt;=Inputs!$B$6),Inputs!$B$5/Inputs!$B$6,0)</f>
        <v>0</v>
      </c>
      <c r="AN29" s="0" t="n">
        <f aca="false">IF(AND(AN$3&gt;=1,AN$3&lt;=Inputs!$B$6),Inputs!$B$5/Inputs!$B$6,0)</f>
        <v>0</v>
      </c>
      <c r="AO29" s="0" t="n">
        <f aca="false">IF(AND(AO$3&gt;=1,AO$3&lt;=Inputs!$B$6),Inputs!$B$5/Inputs!$B$6,0)</f>
        <v>0</v>
      </c>
      <c r="AP29" s="0" t="n">
        <f aca="false">IF(AND(AP$3&gt;=1,AP$3&lt;=Inputs!$B$6),Inputs!$B$5/Inputs!$B$6,0)</f>
        <v>0</v>
      </c>
      <c r="AQ29" s="0" t="n">
        <f aca="false">IF(AND(AQ$3&gt;=1,AQ$3&lt;=Inputs!$B$6),Inputs!$B$5/Inputs!$B$6,0)</f>
        <v>0</v>
      </c>
      <c r="AR29" s="0" t="n">
        <f aca="false">IF(AND(AR$3&gt;=1,AR$3&lt;=Inputs!$B$6),Inputs!$B$5/Inputs!$B$6,0)</f>
        <v>0</v>
      </c>
      <c r="AS29" s="0" t="n">
        <f aca="false">IF(AND(AS$3&gt;=1,AS$3&lt;=Inputs!$B$6),Inputs!$B$5/Inputs!$B$6,0)</f>
        <v>0</v>
      </c>
      <c r="AT29" s="0" t="n">
        <f aca="false">IF(AND(AT$3&gt;=1,AT$3&lt;=Inputs!$B$6),Inputs!$B$5/Inputs!$B$6,0)</f>
        <v>0</v>
      </c>
      <c r="AU29" s="0" t="n">
        <f aca="false">IF(AND(AU$3&gt;=1,AU$3&lt;=Inputs!$B$6),Inputs!$B$5/Inputs!$B$6,0)</f>
        <v>0</v>
      </c>
      <c r="AV29" s="0" t="n">
        <f aca="false">IF(AND(AV$3&gt;=1,AV$3&lt;=Inputs!$B$6),Inputs!$B$5/Inputs!$B$6,0)</f>
        <v>0</v>
      </c>
      <c r="AW29" s="0" t="n">
        <f aca="false">IF(AND(AW$3&gt;=1,AW$3&lt;=Inputs!$B$6),Inputs!$B$5/Inputs!$B$6,0)</f>
        <v>0</v>
      </c>
      <c r="AX29" s="0" t="n">
        <f aca="false">IF(AND(AX$3&gt;=1,AX$3&lt;=Inputs!$B$6),Inputs!$B$5/Inputs!$B$6,0)</f>
        <v>0</v>
      </c>
    </row>
    <row r="30" customFormat="false" ht="15" hidden="false" customHeight="false" outlineLevel="0" collapsed="false">
      <c r="A30" s="0" t="s">
        <v>67</v>
      </c>
      <c r="B30" s="0" t="n">
        <f aca="false">B4+B8+B12+B16+B20+B24</f>
        <v>0</v>
      </c>
      <c r="C30" s="0" t="n">
        <f aca="false">C4+C8+C12+C16+C20+C24</f>
        <v>39416666.6666667</v>
      </c>
      <c r="D30" s="0" t="n">
        <f aca="false">D4+D8+D12+D16+D20+D24</f>
        <v>39416666.6666667</v>
      </c>
      <c r="E30" s="0" t="n">
        <f aca="false">E4+E8+E12+E16+E20+E24</f>
        <v>109291666.666667</v>
      </c>
      <c r="F30" s="0" t="n">
        <f aca="false">F4+F8+F12+F16+F20+F24</f>
        <v>109291666.666667</v>
      </c>
      <c r="G30" s="0" t="n">
        <f aca="false">G4+G8+G12+G16+G20+G24</f>
        <v>109291666.666667</v>
      </c>
      <c r="H30" s="0" t="n">
        <f aca="false">H4+H8+H12+H16+H20+H24</f>
        <v>152291666.666667</v>
      </c>
      <c r="I30" s="0" t="n">
        <f aca="false">I4+I8+I12+I16+I20+I24</f>
        <v>112875000</v>
      </c>
      <c r="J30" s="0" t="n">
        <f aca="false">J4+J8+J12+J16+J20+J24</f>
        <v>131687500</v>
      </c>
      <c r="K30" s="0" t="n">
        <f aca="false">K4+K8+K12+K16+K20+K24</f>
        <v>159207500</v>
      </c>
      <c r="L30" s="0" t="n">
        <f aca="false">L4+L8+L12+L16+L20+L24</f>
        <v>159207500</v>
      </c>
      <c r="M30" s="0" t="n">
        <f aca="false">M4+M8+M12+M16+M20+M24</f>
        <v>89332500</v>
      </c>
      <c r="N30" s="0" t="n">
        <f aca="false">N4+N8+N12+N16+N20+N24</f>
        <v>115132500</v>
      </c>
      <c r="O30" s="0" t="n">
        <f aca="false">O4+O8+O12+O16+O20+O24</f>
        <v>115132500</v>
      </c>
      <c r="P30" s="0" t="n">
        <f aca="false">P4+P8+P12+P16+P20+P24</f>
        <v>115132500</v>
      </c>
      <c r="Q30" s="0" t="n">
        <f aca="false">Q4+Q8+Q12+Q16+Q20+Q24</f>
        <v>72132500</v>
      </c>
      <c r="R30" s="0" t="n">
        <f aca="false">R4+R8+R12+R16+R20+R24</f>
        <v>53320000</v>
      </c>
      <c r="S30" s="0" t="n">
        <f aca="false">S4+S8+S12+S16+S20+S24</f>
        <v>53320000</v>
      </c>
      <c r="T30" s="0" t="n">
        <f aca="false">T4+T8+T12+T16+T20+T24</f>
        <v>53320000</v>
      </c>
      <c r="U30" s="0" t="n">
        <f aca="false">U4+U8+U12+U16+U20+U24</f>
        <v>25800000</v>
      </c>
      <c r="V30" s="0" t="n">
        <f aca="false">V4+V8+V12+V16+V20+V24</f>
        <v>25800000</v>
      </c>
      <c r="W30" s="0" t="n">
        <f aca="false">W4+W8+W12+W16+W20+W24</f>
        <v>25800000</v>
      </c>
      <c r="X30" s="0" t="n">
        <f aca="false">X4+X8+X12+X16+X20+X24</f>
        <v>0</v>
      </c>
      <c r="Y30" s="0" t="n">
        <f aca="false">Y4+Y8+Y12+Y16+Y20+Y24</f>
        <v>0</v>
      </c>
      <c r="Z30" s="0" t="n">
        <f aca="false">Z4+Z8+Z12+Z16+Z20+Z24</f>
        <v>0</v>
      </c>
      <c r="AA30" s="0" t="n">
        <f aca="false">AA4+AA8+AA12+AA16+AA20+AA24</f>
        <v>0</v>
      </c>
      <c r="AB30" s="0" t="n">
        <f aca="false">AB4+AB8+AB12+AB16+AB20+AB24</f>
        <v>0</v>
      </c>
      <c r="AC30" s="0" t="n">
        <f aca="false">AC4+AC8+AC12+AC16+AC20+AC24</f>
        <v>0</v>
      </c>
      <c r="AD30" s="0" t="n">
        <f aca="false">AD4+AD8+AD12+AD16+AD20+AD24</f>
        <v>0</v>
      </c>
      <c r="AE30" s="0" t="n">
        <f aca="false">AE4+AE8+AE12+AE16+AE20+AE24</f>
        <v>0</v>
      </c>
      <c r="AF30" s="0" t="n">
        <f aca="false">AF4+AF8+AF12+AF16+AF20+AF24</f>
        <v>0</v>
      </c>
      <c r="AG30" s="0" t="n">
        <f aca="false">AG4+AG8+AG12+AG16+AG20+AG24</f>
        <v>0</v>
      </c>
      <c r="AH30" s="0" t="n">
        <f aca="false">AH4+AH8+AH12+AH16+AH20+AH24</f>
        <v>0</v>
      </c>
      <c r="AI30" s="0" t="n">
        <f aca="false">AI4+AI8+AI12+AI16+AI20+AI24</f>
        <v>0</v>
      </c>
      <c r="AJ30" s="0" t="n">
        <f aca="false">AJ4+AJ8+AJ12+AJ16+AJ20+AJ24</f>
        <v>0</v>
      </c>
      <c r="AK30" s="0" t="n">
        <f aca="false">AK4+AK8+AK12+AK16+AK20+AK24</f>
        <v>0</v>
      </c>
      <c r="AL30" s="0" t="n">
        <f aca="false">AL4+AL8+AL12+AL16+AL20+AL24</f>
        <v>0</v>
      </c>
      <c r="AM30" s="0" t="n">
        <f aca="false">AM4+AM8+AM12+AM16+AM20+AM24</f>
        <v>0</v>
      </c>
      <c r="AN30" s="0" t="n">
        <f aca="false">AN4+AN8+AN12+AN16+AN20+AN24</f>
        <v>0</v>
      </c>
      <c r="AO30" s="0" t="n">
        <f aca="false">AO4+AO8+AO12+AO16+AO20+AO24</f>
        <v>0</v>
      </c>
      <c r="AP30" s="0" t="n">
        <f aca="false">AP4+AP8+AP12+AP16+AP20+AP24</f>
        <v>0</v>
      </c>
      <c r="AQ30" s="0" t="n">
        <f aca="false">AQ4+AQ8+AQ12+AQ16+AQ20+AQ24</f>
        <v>0</v>
      </c>
      <c r="AR30" s="0" t="n">
        <f aca="false">AR4+AR8+AR12+AR16+AR20+AR24</f>
        <v>0</v>
      </c>
      <c r="AS30" s="0" t="n">
        <f aca="false">AS4+AS8+AS12+AS16+AS20+AS24</f>
        <v>0</v>
      </c>
      <c r="AT30" s="0" t="n">
        <f aca="false">AT4+AT8+AT12+AT16+AT20+AT24</f>
        <v>0</v>
      </c>
      <c r="AU30" s="0" t="n">
        <f aca="false">AU4+AU8+AU12+AU16+AU20+AU24</f>
        <v>0</v>
      </c>
      <c r="AV30" s="0" t="n">
        <f aca="false">AV4+AV8+AV12+AV16+AV20+AV24</f>
        <v>0</v>
      </c>
      <c r="AW30" s="0" t="n">
        <f aca="false">AW4+AW8+AW12+AW16+AW20+AW24</f>
        <v>0</v>
      </c>
      <c r="AX30" s="0" t="n">
        <f aca="false">AX4+AX8+AX12+AX16+AX20+AX24</f>
        <v>0</v>
      </c>
    </row>
    <row r="31" customFormat="false" ht="15" hidden="false" customHeight="false" outlineLevel="0" collapsed="false">
      <c r="A31" s="0" t="s">
        <v>68</v>
      </c>
      <c r="B31" s="0" t="n">
        <f aca="false">B6+B10+B14+B18+B22+B26</f>
        <v>0</v>
      </c>
      <c r="C31" s="0" t="n">
        <f aca="false">C6+C10+C14+C18+C22+C26</f>
        <v>36666666.6666667</v>
      </c>
      <c r="D31" s="0" t="n">
        <f aca="false">D6+D10+D14+D18+D22+D26</f>
        <v>57200000</v>
      </c>
      <c r="E31" s="0" t="n">
        <f aca="false">E6+E10+E14+E18+E22+E26</f>
        <v>133145833.333333</v>
      </c>
      <c r="F31" s="0" t="n">
        <f aca="false">F6+F10+F14+F18+F22+F26</f>
        <v>178704166.666667</v>
      </c>
      <c r="G31" s="0" t="n">
        <f aca="false">G6+G10+G14+G18+G22+G26</f>
        <v>224262500</v>
      </c>
      <c r="H31" s="0" t="n">
        <f aca="false">H6+H10+H14+H18+H22+H26</f>
        <v>269820833.333333</v>
      </c>
      <c r="I31" s="0" t="n">
        <f aca="false">I6+I10+I14+I18+I22+I26</f>
        <v>243512500</v>
      </c>
      <c r="J31" s="0" t="n">
        <f aca="false">J6+J10+J14+J18+J22+J26</f>
        <v>268537500</v>
      </c>
      <c r="K31" s="0" t="n">
        <f aca="false">K6+K10+K14+K18+K22+K26</f>
        <v>205562500</v>
      </c>
      <c r="L31" s="0" t="n">
        <f aca="false">L6+L10+L14+L18+L22+L26</f>
        <v>230587500</v>
      </c>
      <c r="M31" s="0" t="n">
        <f aca="false">M6+M10+M14+M18+M22+M26</f>
        <v>0</v>
      </c>
      <c r="N31" s="0" t="n">
        <f aca="false">N6+N10+N14+N18+N22+N26</f>
        <v>0</v>
      </c>
      <c r="O31" s="0" t="n">
        <f aca="false">O6+O10+O14+O18+O22+O26</f>
        <v>0</v>
      </c>
      <c r="P31" s="0" t="n">
        <f aca="false">P6+P10+P14+P18+P22+P26</f>
        <v>0</v>
      </c>
      <c r="Q31" s="0" t="n">
        <f aca="false">Q6+Q10+Q14+Q18+Q22+Q26</f>
        <v>0</v>
      </c>
      <c r="R31" s="0" t="n">
        <f aca="false">R6+R10+R14+R18+R22+R26</f>
        <v>0</v>
      </c>
      <c r="S31" s="0" t="n">
        <f aca="false">S6+S10+S14+S18+S22+S26</f>
        <v>0</v>
      </c>
      <c r="T31" s="0" t="n">
        <f aca="false">T6+T10+T14+T18+T22+T26</f>
        <v>0</v>
      </c>
      <c r="U31" s="0" t="n">
        <f aca="false">U6+U10+U14+U18+U22+U26</f>
        <v>0</v>
      </c>
      <c r="V31" s="0" t="n">
        <f aca="false">V6+V10+V14+V18+V22+V26</f>
        <v>0</v>
      </c>
      <c r="W31" s="0" t="n">
        <f aca="false">W6+W10+W14+W18+W22+W26</f>
        <v>0</v>
      </c>
      <c r="X31" s="0" t="n">
        <f aca="false">X6+X10+X14+X18+X22+X26</f>
        <v>0</v>
      </c>
      <c r="Y31" s="0" t="n">
        <f aca="false">Y6+Y10+Y14+Y18+Y22+Y26</f>
        <v>0</v>
      </c>
      <c r="Z31" s="0" t="n">
        <f aca="false">Z6+Z10+Z14+Z18+Z22+Z26</f>
        <v>0</v>
      </c>
      <c r="AA31" s="0" t="n">
        <f aca="false">AA6+AA10+AA14+AA18+AA22+AA26</f>
        <v>0</v>
      </c>
      <c r="AB31" s="0" t="n">
        <f aca="false">AB6+AB10+AB14+AB18+AB22+AB26</f>
        <v>0</v>
      </c>
      <c r="AC31" s="0" t="n">
        <f aca="false">AC6+AC10+AC14+AC18+AC22+AC26</f>
        <v>0</v>
      </c>
      <c r="AD31" s="0" t="n">
        <f aca="false">AD6+AD10+AD14+AD18+AD22+AD26</f>
        <v>0</v>
      </c>
      <c r="AE31" s="0" t="n">
        <f aca="false">AE6+AE10+AE14+AE18+AE22+AE26</f>
        <v>0</v>
      </c>
      <c r="AF31" s="0" t="n">
        <f aca="false">AF6+AF10+AF14+AF18+AF22+AF26</f>
        <v>0</v>
      </c>
      <c r="AG31" s="0" t="n">
        <f aca="false">AG6+AG10+AG14+AG18+AG22+AG26</f>
        <v>0</v>
      </c>
      <c r="AH31" s="0" t="n">
        <f aca="false">AH6+AH10+AH14+AH18+AH22+AH26</f>
        <v>0</v>
      </c>
      <c r="AI31" s="0" t="n">
        <f aca="false">AI6+AI10+AI14+AI18+AI22+AI26</f>
        <v>0</v>
      </c>
      <c r="AJ31" s="0" t="n">
        <f aca="false">AJ6+AJ10+AJ14+AJ18+AJ22+AJ26</f>
        <v>0</v>
      </c>
      <c r="AK31" s="0" t="n">
        <f aca="false">AK6+AK10+AK14+AK18+AK22+AK26</f>
        <v>0</v>
      </c>
      <c r="AL31" s="0" t="n">
        <f aca="false">AL6+AL10+AL14+AL18+AL22+AL26</f>
        <v>0</v>
      </c>
      <c r="AM31" s="0" t="n">
        <f aca="false">AM6+AM10+AM14+AM18+AM22+AM26</f>
        <v>0</v>
      </c>
      <c r="AN31" s="0" t="n">
        <f aca="false">AN6+AN10+AN14+AN18+AN22+AN26</f>
        <v>0</v>
      </c>
      <c r="AO31" s="0" t="n">
        <f aca="false">AO6+AO10+AO14+AO18+AO22+AO26</f>
        <v>0</v>
      </c>
      <c r="AP31" s="0" t="n">
        <f aca="false">AP6+AP10+AP14+AP18+AP22+AP26</f>
        <v>0</v>
      </c>
      <c r="AQ31" s="0" t="n">
        <f aca="false">AQ6+AQ10+AQ14+AQ18+AQ22+AQ26</f>
        <v>0</v>
      </c>
      <c r="AR31" s="0" t="n">
        <f aca="false">AR6+AR10+AR14+AR18+AR22+AR26</f>
        <v>0</v>
      </c>
      <c r="AS31" s="0" t="n">
        <f aca="false">AS6+AS10+AS14+AS18+AS22+AS26</f>
        <v>0</v>
      </c>
      <c r="AT31" s="0" t="n">
        <f aca="false">AT6+AT10+AT14+AT18+AT22+AT26</f>
        <v>0</v>
      </c>
      <c r="AU31" s="0" t="n">
        <f aca="false">AU6+AU10+AU14+AU18+AU22+AU26</f>
        <v>0</v>
      </c>
      <c r="AV31" s="0" t="n">
        <f aca="false">AV6+AV10+AV14+AV18+AV22+AV26</f>
        <v>0</v>
      </c>
      <c r="AW31" s="0" t="n">
        <f aca="false">AW6+AW10+AW14+AW18+AW22+AW26</f>
        <v>0</v>
      </c>
      <c r="AX31" s="0" t="n">
        <f aca="false">AX6+AX10+AX14+AX18+AX22+AX26</f>
        <v>0</v>
      </c>
    </row>
    <row r="32" customFormat="false" ht="15" hidden="false" customHeight="false" outlineLevel="0" collapsed="false">
      <c r="A32" s="0" t="s">
        <v>69</v>
      </c>
      <c r="B32" s="0" t="n">
        <f aca="false">B7+B11+B15+B19+B23+B27</f>
        <v>0</v>
      </c>
      <c r="C32" s="0" t="n">
        <f aca="false">C7+C11+C15+C19+C23+C27</f>
        <v>0</v>
      </c>
      <c r="D32" s="0" t="n">
        <f aca="false">D7+D11+D15+D19+D23+D27</f>
        <v>0</v>
      </c>
      <c r="E32" s="0" t="n">
        <f aca="false">E7+E11+E15+E19+E23+E27</f>
        <v>0</v>
      </c>
      <c r="F32" s="0" t="n">
        <f aca="false">F7+F11+F15+F19+F23+F27</f>
        <v>0</v>
      </c>
      <c r="G32" s="0" t="n">
        <f aca="false">G7+G11+G15+G19+G23+G27</f>
        <v>0</v>
      </c>
      <c r="H32" s="0" t="n">
        <f aca="false">H7+H11+H15+H19+H23+H27</f>
        <v>0</v>
      </c>
      <c r="I32" s="0" t="n">
        <f aca="false">I7+I11+I15+I19+I23+I27</f>
        <v>0</v>
      </c>
      <c r="J32" s="0" t="n">
        <f aca="false">J7+J11+J15+J19+J23+J27</f>
        <v>0</v>
      </c>
      <c r="K32" s="0" t="n">
        <f aca="false">K7+K11+K15+K19+K23+K27</f>
        <v>0</v>
      </c>
      <c r="L32" s="0" t="n">
        <f aca="false">L7+L11+L15+L19+L23+L27</f>
        <v>0</v>
      </c>
      <c r="M32" s="0" t="n">
        <f aca="false">M7+M11+M15+M19+M23+M27</f>
        <v>0</v>
      </c>
      <c r="N32" s="0" t="n">
        <f aca="false">N7+N11+N15+N19+N23+N27</f>
        <v>0</v>
      </c>
      <c r="O32" s="0" t="n">
        <f aca="false">O7+O11+O15+O19+O23+O27</f>
        <v>0</v>
      </c>
      <c r="P32" s="0" t="n">
        <f aca="false">P7+P11+P15+P19+P23+P27</f>
        <v>0</v>
      </c>
      <c r="Q32" s="0" t="n">
        <f aca="false">Q7+Q11+Q15+Q19+Q23+Q27</f>
        <v>3206250</v>
      </c>
      <c r="R32" s="0" t="n">
        <f aca="false">R7+R11+R15+R19+R23+R27</f>
        <v>8643750</v>
      </c>
      <c r="S32" s="0" t="n">
        <f aca="false">S7+S11+S15+S19+S23+S27</f>
        <v>14081250</v>
      </c>
      <c r="T32" s="0" t="n">
        <f aca="false">T7+T11+T15+T19+T23+T27</f>
        <v>19518750</v>
      </c>
      <c r="U32" s="0" t="n">
        <f aca="false">U7+U11+U15+U19+U23+U27</f>
        <v>28500897.9166667</v>
      </c>
      <c r="V32" s="0" t="n">
        <f aca="false">V7+V11+V15+V19+V23+V27</f>
        <v>37441327.0833333</v>
      </c>
      <c r="W32" s="0" t="n">
        <f aca="false">W7+W11+W15+W19+W23+W27</f>
        <v>42872225</v>
      </c>
      <c r="X32" s="0" t="n">
        <f aca="false">X7+X11+X15+X19+X23+X27</f>
        <v>48603591.6666667</v>
      </c>
      <c r="Y32" s="0" t="n">
        <f aca="false">Y7+Y11+Y15+Y19+Y23+Y27</f>
        <v>55220902.6041667</v>
      </c>
      <c r="Z32" s="0" t="n">
        <f aca="false">Z7+Z11+Z15+Z19+Z23+Z27</f>
        <v>61373920.625</v>
      </c>
      <c r="AA32" s="0" t="n">
        <f aca="false">AA7+AA11+AA15+AA19+AA23+AA27</f>
        <v>63961420.625</v>
      </c>
      <c r="AB32" s="0" t="n">
        <f aca="false">AB7+AB11+AB15+AB19+AB23+AB27</f>
        <v>66872358.125</v>
      </c>
      <c r="AC32" s="0" t="n">
        <f aca="false">AC7+AC11+AC15+AC19+AC23+AC27</f>
        <v>70513200.0859375</v>
      </c>
      <c r="AD32" s="0" t="n">
        <f aca="false">AD7+AD11+AD15+AD19+AD23+AD27</f>
        <v>70864831.140625</v>
      </c>
      <c r="AE32" s="0" t="n">
        <f aca="false">AE7+AE11+AE15+AE19+AE23+AE27</f>
        <v>70864831.140625</v>
      </c>
      <c r="AF32" s="0" t="n">
        <f aca="false">AF7+AF11+AF15+AF19+AF23+AF27</f>
        <v>71262659.265625</v>
      </c>
      <c r="AG32" s="0" t="n">
        <f aca="false">AG7+AG11+AG15+AG19+AG23+AG27</f>
        <v>72276030.0880859</v>
      </c>
      <c r="AH32" s="0" t="n">
        <f aca="false">AH7+AH11+AH15+AH19+AH23+AH27</f>
        <v>72636451.9191406</v>
      </c>
      <c r="AI32" s="0" t="n">
        <f aca="false">AI7+AI11+AI15+AI19+AI23+AI27</f>
        <v>72636451.9191406</v>
      </c>
      <c r="AJ32" s="0" t="n">
        <f aca="false">AJ7+AJ11+AJ15+AJ19+AJ23+AJ27</f>
        <v>73044225.7472656</v>
      </c>
      <c r="AK32" s="0" t="n">
        <f aca="false">AK7+AK11+AK15+AK19+AK23+AK27</f>
        <v>74082930.8402881</v>
      </c>
      <c r="AL32" s="0" t="n">
        <f aca="false">AL7+AL11+AL15+AL19+AL23+AL27</f>
        <v>74452363.2171191</v>
      </c>
      <c r="AM32" s="0" t="n">
        <f aca="false">AM7+AM11+AM15+AM19+AM23+AM27</f>
        <v>74452363.2171191</v>
      </c>
      <c r="AN32" s="0" t="n">
        <f aca="false">AN7+AN11+AN15+AN19+AN23+AN27</f>
        <v>74870331.3909472</v>
      </c>
      <c r="AO32" s="0" t="n">
        <f aca="false">AO7+AO11+AO15+AO19+AO23+AO27</f>
        <v>75935004.1112953</v>
      </c>
      <c r="AP32" s="0" t="n">
        <f aca="false">AP7+AP11+AP15+AP19+AP23+AP27</f>
        <v>76313672.2975471</v>
      </c>
      <c r="AQ32" s="0" t="n">
        <f aca="false">AQ7+AQ11+AQ15+AQ19+AQ23+AQ27</f>
        <v>76313672.2975471</v>
      </c>
      <c r="AR32" s="0" t="n">
        <f aca="false">AR7+AR11+AR15+AR19+AR23+AR27</f>
        <v>76742089.6757209</v>
      </c>
      <c r="AS32" s="0" t="n">
        <f aca="false">AS7+AS11+AS15+AS19+AS23+AS27</f>
        <v>77833379.2140776</v>
      </c>
      <c r="AT32" s="0" t="n">
        <f aca="false">AT7+AT11+AT15+AT19+AT23+AT27</f>
        <v>78221514.1049858</v>
      </c>
      <c r="AU32" s="0" t="n">
        <f aca="false">AU7+AU11+AU15+AU19+AU23+AU27</f>
        <v>78221514.1049858</v>
      </c>
      <c r="AV32" s="0" t="n">
        <f aca="false">AV7+AV11+AV15+AV19+AV23+AV27</f>
        <v>78660641.9176139</v>
      </c>
      <c r="AW32" s="0" t="n">
        <f aca="false">AW7+AW11+AW15+AW19+AW23+AW27</f>
        <v>79779213.6944296</v>
      </c>
      <c r="AX32" s="0" t="n">
        <f aca="false">AX7+AX11+AX15+AX19+AX23+AX27</f>
        <v>80177051.9576104</v>
      </c>
    </row>
    <row r="33" customFormat="false" ht="15" hidden="false" customHeight="false" outlineLevel="0" collapsed="false">
      <c r="A33" s="0" t="s">
        <v>70</v>
      </c>
      <c r="B33" s="0" t="n">
        <f aca="false">IF(B$3=48,B32*4*1.025/Scenarios!$E$9,0)</f>
        <v>0</v>
      </c>
      <c r="C33" s="0" t="n">
        <f aca="false">IF(C$3=48,C32*4*1.025/Scenarios!$E$9,0)</f>
        <v>0</v>
      </c>
      <c r="D33" s="0" t="n">
        <f aca="false">IF(D$3=48,D32*4*1.025/Scenarios!$E$9,0)</f>
        <v>0</v>
      </c>
      <c r="E33" s="0" t="n">
        <f aca="false">IF(E$3=48,E32*4*1.025/Scenarios!$E$9,0)</f>
        <v>0</v>
      </c>
      <c r="F33" s="0" t="n">
        <f aca="false">IF(F$3=48,F32*4*1.025/Scenarios!$E$9,0)</f>
        <v>0</v>
      </c>
      <c r="G33" s="0" t="n">
        <f aca="false">IF(G$3=48,G32*4*1.025/Scenarios!$E$9,0)</f>
        <v>0</v>
      </c>
      <c r="H33" s="0" t="n">
        <f aca="false">IF(H$3=48,H32*4*1.025/Scenarios!$E$9,0)</f>
        <v>0</v>
      </c>
      <c r="I33" s="0" t="n">
        <f aca="false">IF(I$3=48,I32*4*1.025/Scenarios!$E$9,0)</f>
        <v>0</v>
      </c>
      <c r="J33" s="0" t="n">
        <f aca="false">IF(J$3=48,J32*4*1.025/Scenarios!$E$9,0)</f>
        <v>0</v>
      </c>
      <c r="K33" s="0" t="n">
        <f aca="false">IF(K$3=48,K32*4*1.025/Scenarios!$E$9,0)</f>
        <v>0</v>
      </c>
      <c r="L33" s="0" t="n">
        <f aca="false">IF(L$3=48,L32*4*1.025/Scenarios!$E$9,0)</f>
        <v>0</v>
      </c>
      <c r="M33" s="0" t="n">
        <f aca="false">IF(M$3=48,M32*4*1.025/Scenarios!$E$9,0)</f>
        <v>0</v>
      </c>
      <c r="N33" s="0" t="n">
        <f aca="false">IF(N$3=48,N32*4*1.025/Scenarios!$E$9,0)</f>
        <v>0</v>
      </c>
      <c r="O33" s="0" t="n">
        <f aca="false">IF(O$3=48,O32*4*1.025/Scenarios!$E$9,0)</f>
        <v>0</v>
      </c>
      <c r="P33" s="0" t="n">
        <f aca="false">IF(P$3=48,P32*4*1.025/Scenarios!$E$9,0)</f>
        <v>0</v>
      </c>
      <c r="Q33" s="0" t="n">
        <f aca="false">IF(Q$3=48,Q32*4*1.025/Scenarios!$E$9,0)</f>
        <v>0</v>
      </c>
      <c r="R33" s="0" t="n">
        <f aca="false">IF(R$3=48,R32*4*1.025/Scenarios!$E$9,0)</f>
        <v>0</v>
      </c>
      <c r="S33" s="0" t="n">
        <f aca="false">IF(S$3=48,S32*4*1.025/Scenarios!$E$9,0)</f>
        <v>0</v>
      </c>
      <c r="T33" s="0" t="n">
        <f aca="false">IF(T$3=48,T32*4*1.025/Scenarios!$E$9,0)</f>
        <v>0</v>
      </c>
      <c r="U33" s="0" t="n">
        <f aca="false">IF(U$3=48,U32*4*1.025/Scenarios!$E$9,0)</f>
        <v>0</v>
      </c>
      <c r="V33" s="0" t="n">
        <f aca="false">IF(V$3=48,V32*4*1.025/Scenarios!$E$9,0)</f>
        <v>0</v>
      </c>
      <c r="W33" s="0" t="n">
        <f aca="false">IF(W$3=48,W32*4*1.025/Scenarios!$E$9,0)</f>
        <v>0</v>
      </c>
      <c r="X33" s="0" t="n">
        <f aca="false">IF(X$3=48,X32*4*1.025/Scenarios!$E$9,0)</f>
        <v>0</v>
      </c>
      <c r="Y33" s="0" t="n">
        <f aca="false">IF(Y$3=48,Y32*4*1.025/Scenarios!$E$9,0)</f>
        <v>0</v>
      </c>
      <c r="Z33" s="0" t="n">
        <f aca="false">IF(Z$3=48,Z32*4*1.025/Scenarios!$E$9,0)</f>
        <v>0</v>
      </c>
      <c r="AA33" s="0" t="n">
        <f aca="false">IF(AA$3=48,AA32*4*1.025/Scenarios!$E$9,0)</f>
        <v>0</v>
      </c>
      <c r="AB33" s="0" t="n">
        <f aca="false">IF(AB$3=48,AB32*4*1.025/Scenarios!$E$9,0)</f>
        <v>0</v>
      </c>
      <c r="AC33" s="0" t="n">
        <f aca="false">IF(AC$3=48,AC32*4*1.025/Scenarios!$E$9,0)</f>
        <v>0</v>
      </c>
      <c r="AD33" s="0" t="n">
        <f aca="false">IF(AD$3=48,AD32*4*1.025/Scenarios!$E$9,0)</f>
        <v>0</v>
      </c>
      <c r="AE33" s="0" t="n">
        <f aca="false">IF(AE$3=48,AE32*4*1.025/Scenarios!$E$9,0)</f>
        <v>0</v>
      </c>
      <c r="AF33" s="0" t="n">
        <f aca="false">IF(AF$3=48,AF32*4*1.025/Scenarios!$E$9,0)</f>
        <v>0</v>
      </c>
      <c r="AG33" s="0" t="n">
        <f aca="false">IF(AG$3=48,AG32*4*1.025/Scenarios!$E$9,0)</f>
        <v>0</v>
      </c>
      <c r="AH33" s="0" t="n">
        <f aca="false">IF(AH$3=48,AH32*4*1.025/Scenarios!$E$9,0)</f>
        <v>0</v>
      </c>
      <c r="AI33" s="0" t="n">
        <f aca="false">IF(AI$3=48,AI32*4*1.025/Scenarios!$E$9,0)</f>
        <v>0</v>
      </c>
      <c r="AJ33" s="0" t="n">
        <f aca="false">IF(AJ$3=48,AJ32*4*1.025/Scenarios!$E$9,0)</f>
        <v>0</v>
      </c>
      <c r="AK33" s="0" t="n">
        <f aca="false">IF(AK$3=48,AK32*4*1.025/Scenarios!$E$9,0)</f>
        <v>0</v>
      </c>
      <c r="AL33" s="0" t="n">
        <f aca="false">IF(AL$3=48,AL32*4*1.025/Scenarios!$E$9,0)</f>
        <v>0</v>
      </c>
      <c r="AM33" s="0" t="n">
        <f aca="false">IF(AM$3=48,AM32*4*1.025/Scenarios!$E$9,0)</f>
        <v>0</v>
      </c>
      <c r="AN33" s="0" t="n">
        <f aca="false">IF(AN$3=48,AN32*4*1.025/Scenarios!$E$9,0)</f>
        <v>0</v>
      </c>
      <c r="AO33" s="0" t="n">
        <f aca="false">IF(AO$3=48,AO32*4*1.025/Scenarios!$E$9,0)</f>
        <v>0</v>
      </c>
      <c r="AP33" s="0" t="n">
        <f aca="false">IF(AP$3=48,AP32*4*1.025/Scenarios!$E$9,0)</f>
        <v>0</v>
      </c>
      <c r="AQ33" s="0" t="n">
        <f aca="false">IF(AQ$3=48,AQ32*4*1.025/Scenarios!$E$9,0)</f>
        <v>0</v>
      </c>
      <c r="AR33" s="0" t="n">
        <f aca="false">IF(AR$3=48,AR32*4*1.025/Scenarios!$E$9,0)</f>
        <v>0</v>
      </c>
      <c r="AS33" s="0" t="n">
        <f aca="false">IF(AS$3=48,AS32*4*1.025/Scenarios!$E$9,0)</f>
        <v>0</v>
      </c>
      <c r="AT33" s="0" t="n">
        <f aca="false">IF(AT$3=48,AT32*4*1.025/Scenarios!$E$9,0)</f>
        <v>0</v>
      </c>
      <c r="AU33" s="0" t="n">
        <f aca="false">IF(AU$3=48,AU32*4*1.025/Scenarios!$E$9,0)</f>
        <v>0</v>
      </c>
      <c r="AV33" s="0" t="n">
        <f aca="false">IF(AV$3=48,AV32*4*1.025/Scenarios!$E$9,0)</f>
        <v>0</v>
      </c>
      <c r="AW33" s="0" t="n">
        <f aca="false">IF(AW$3=48,AW32*4*1.025/Scenarios!$E$9,0)</f>
        <v>0</v>
      </c>
      <c r="AX33" s="0" t="n">
        <f aca="false">IF(AX$3=48,AX32*4*1.025/Scenarios!$E$9,0)</f>
        <v>4383012173.6827</v>
      </c>
    </row>
    <row r="34" customFormat="false" ht="15" hidden="false" customHeight="false" outlineLevel="0" collapsed="false">
      <c r="A34" s="0" t="s">
        <v>71</v>
      </c>
      <c r="B34" s="0" t="n">
        <f aca="false">B28+B29+B30</f>
        <v>900000000</v>
      </c>
      <c r="C34" s="0" t="n">
        <f aca="false">C28+C29+C30</f>
        <v>91916666.6666667</v>
      </c>
      <c r="D34" s="0" t="n">
        <f aca="false">D28+D29+D30</f>
        <v>91916666.6666667</v>
      </c>
      <c r="E34" s="0" t="n">
        <f aca="false">E28+E29+E30</f>
        <v>161791666.666667</v>
      </c>
      <c r="F34" s="0" t="n">
        <f aca="false">F28+F29+F30</f>
        <v>161791666.666667</v>
      </c>
      <c r="G34" s="0" t="n">
        <f aca="false">G28+G29+G30</f>
        <v>161791666.666667</v>
      </c>
      <c r="H34" s="0" t="n">
        <f aca="false">H28+H29+H30</f>
        <v>204791666.666667</v>
      </c>
      <c r="I34" s="0" t="n">
        <f aca="false">I28+I29+I30</f>
        <v>165375000</v>
      </c>
      <c r="J34" s="0" t="n">
        <f aca="false">J28+J29+J30</f>
        <v>184187500</v>
      </c>
      <c r="K34" s="0" t="n">
        <f aca="false">K28+K29+K30</f>
        <v>159207500</v>
      </c>
      <c r="L34" s="0" t="n">
        <f aca="false">L28+L29+L30</f>
        <v>159207500</v>
      </c>
      <c r="M34" s="0" t="n">
        <f aca="false">M28+M29+M30</f>
        <v>89332500</v>
      </c>
      <c r="N34" s="0" t="n">
        <f aca="false">N28+N29+N30</f>
        <v>115132500</v>
      </c>
      <c r="O34" s="0" t="n">
        <f aca="false">O28+O29+O30</f>
        <v>115132500</v>
      </c>
      <c r="P34" s="0" t="n">
        <f aca="false">P28+P29+P30</f>
        <v>115132500</v>
      </c>
      <c r="Q34" s="0" t="n">
        <f aca="false">Q28+Q29+Q30</f>
        <v>72132500</v>
      </c>
      <c r="R34" s="0" t="n">
        <f aca="false">R28+R29+R30</f>
        <v>53320000</v>
      </c>
      <c r="S34" s="0" t="n">
        <f aca="false">S28+S29+S30</f>
        <v>53320000</v>
      </c>
      <c r="T34" s="0" t="n">
        <f aca="false">T28+T29+T30</f>
        <v>53320000</v>
      </c>
      <c r="U34" s="0" t="n">
        <f aca="false">U28+U29+U30</f>
        <v>25800000</v>
      </c>
      <c r="V34" s="0" t="n">
        <f aca="false">V28+V29+V30</f>
        <v>25800000</v>
      </c>
      <c r="W34" s="0" t="n">
        <f aca="false">W28+W29+W30</f>
        <v>25800000</v>
      </c>
      <c r="X34" s="0" t="n">
        <f aca="false">X28+X29+X30</f>
        <v>0</v>
      </c>
      <c r="Y34" s="0" t="n">
        <f aca="false">Y28+Y29+Y30</f>
        <v>0</v>
      </c>
      <c r="Z34" s="0" t="n">
        <f aca="false">Z28+Z29+Z30</f>
        <v>0</v>
      </c>
      <c r="AA34" s="0" t="n">
        <f aca="false">AA28+AA29+AA30</f>
        <v>0</v>
      </c>
      <c r="AB34" s="0" t="n">
        <f aca="false">AB28+AB29+AB30</f>
        <v>0</v>
      </c>
      <c r="AC34" s="0" t="n">
        <f aca="false">AC28+AC29+AC30</f>
        <v>0</v>
      </c>
      <c r="AD34" s="0" t="n">
        <f aca="false">AD28+AD29+AD30</f>
        <v>0</v>
      </c>
      <c r="AE34" s="0" t="n">
        <f aca="false">AE28+AE29+AE30</f>
        <v>0</v>
      </c>
      <c r="AF34" s="0" t="n">
        <f aca="false">AF28+AF29+AF30</f>
        <v>0</v>
      </c>
      <c r="AG34" s="0" t="n">
        <f aca="false">AG28+AG29+AG30</f>
        <v>0</v>
      </c>
      <c r="AH34" s="0" t="n">
        <f aca="false">AH28+AH29+AH30</f>
        <v>0</v>
      </c>
      <c r="AI34" s="0" t="n">
        <f aca="false">AI28+AI29+AI30</f>
        <v>0</v>
      </c>
      <c r="AJ34" s="0" t="n">
        <f aca="false">AJ28+AJ29+AJ30</f>
        <v>0</v>
      </c>
      <c r="AK34" s="0" t="n">
        <f aca="false">AK28+AK29+AK30</f>
        <v>0</v>
      </c>
      <c r="AL34" s="0" t="n">
        <f aca="false">AL28+AL29+AL30</f>
        <v>0</v>
      </c>
      <c r="AM34" s="0" t="n">
        <f aca="false">AM28+AM29+AM30</f>
        <v>0</v>
      </c>
      <c r="AN34" s="0" t="n">
        <f aca="false">AN28+AN29+AN30</f>
        <v>0</v>
      </c>
      <c r="AO34" s="0" t="n">
        <f aca="false">AO28+AO29+AO30</f>
        <v>0</v>
      </c>
      <c r="AP34" s="0" t="n">
        <f aca="false">AP28+AP29+AP30</f>
        <v>0</v>
      </c>
      <c r="AQ34" s="0" t="n">
        <f aca="false">AQ28+AQ29+AQ30</f>
        <v>0</v>
      </c>
      <c r="AR34" s="0" t="n">
        <f aca="false">AR28+AR29+AR30</f>
        <v>0</v>
      </c>
      <c r="AS34" s="0" t="n">
        <f aca="false">AS28+AS29+AS30</f>
        <v>0</v>
      </c>
      <c r="AT34" s="0" t="n">
        <f aca="false">AT28+AT29+AT30</f>
        <v>0</v>
      </c>
      <c r="AU34" s="0" t="n">
        <f aca="false">AU28+AU29+AU30</f>
        <v>0</v>
      </c>
      <c r="AV34" s="0" t="n">
        <f aca="false">AV28+AV29+AV30</f>
        <v>0</v>
      </c>
      <c r="AW34" s="0" t="n">
        <f aca="false">AW28+AW29+AW30</f>
        <v>0</v>
      </c>
      <c r="AX34" s="0" t="n">
        <f aca="false">AX28+AX29+AX30</f>
        <v>0</v>
      </c>
    </row>
    <row r="35" customFormat="false" ht="15" hidden="false" customHeight="false" outlineLevel="0" collapsed="false">
      <c r="A35" s="0" t="s">
        <v>72</v>
      </c>
      <c r="B35" s="0" t="n">
        <f aca="false">B30*Inputs!$B$9</f>
        <v>0</v>
      </c>
      <c r="C35" s="0" t="n">
        <f aca="false">C30*Inputs!$B$9</f>
        <v>23650000</v>
      </c>
      <c r="D35" s="0" t="n">
        <f aca="false">D30*Inputs!$B$9</f>
        <v>23650000</v>
      </c>
      <c r="E35" s="0" t="n">
        <f aca="false">E30*Inputs!$B$9</f>
        <v>65575000</v>
      </c>
      <c r="F35" s="0" t="n">
        <f aca="false">F30*Inputs!$B$9</f>
        <v>65575000</v>
      </c>
      <c r="G35" s="0" t="n">
        <f aca="false">G30*Inputs!$B$9</f>
        <v>65575000</v>
      </c>
      <c r="H35" s="0" t="n">
        <f aca="false">H30*Inputs!$B$9</f>
        <v>91375000</v>
      </c>
      <c r="I35" s="0" t="n">
        <f aca="false">I30*Inputs!$B$9</f>
        <v>67725000</v>
      </c>
      <c r="J35" s="0" t="n">
        <f aca="false">J30*Inputs!$B$9</f>
        <v>79012500</v>
      </c>
      <c r="K35" s="0" t="n">
        <f aca="false">K30*Inputs!$B$9</f>
        <v>95524500</v>
      </c>
      <c r="L35" s="0" t="n">
        <f aca="false">L30*Inputs!$B$9</f>
        <v>95524500</v>
      </c>
      <c r="M35" s="0" t="n">
        <f aca="false">M30*Inputs!$B$9</f>
        <v>53599500</v>
      </c>
      <c r="N35" s="0" t="n">
        <f aca="false">N30*Inputs!$B$9</f>
        <v>69079500</v>
      </c>
      <c r="O35" s="0" t="n">
        <f aca="false">O30*Inputs!$B$9</f>
        <v>69079500</v>
      </c>
      <c r="P35" s="0" t="n">
        <f aca="false">P30*Inputs!$B$9</f>
        <v>69079500</v>
      </c>
      <c r="Q35" s="0" t="n">
        <f aca="false">Q30*Inputs!$B$9</f>
        <v>43279500</v>
      </c>
      <c r="R35" s="0" t="n">
        <f aca="false">R30*Inputs!$B$9</f>
        <v>31992000</v>
      </c>
      <c r="S35" s="0" t="n">
        <f aca="false">S30*Inputs!$B$9</f>
        <v>31992000</v>
      </c>
      <c r="T35" s="0" t="n">
        <f aca="false">T30*Inputs!$B$9</f>
        <v>31992000</v>
      </c>
      <c r="U35" s="0" t="n">
        <f aca="false">U30*Inputs!$B$9</f>
        <v>15480000</v>
      </c>
      <c r="V35" s="0" t="n">
        <f aca="false">V30*Inputs!$B$9</f>
        <v>15480000</v>
      </c>
      <c r="W35" s="0" t="n">
        <f aca="false">W30*Inputs!$B$9</f>
        <v>15480000</v>
      </c>
      <c r="X35" s="0" t="n">
        <f aca="false">X30*Inputs!$B$9</f>
        <v>0</v>
      </c>
      <c r="Y35" s="0" t="n">
        <f aca="false">Y30*Inputs!$B$9</f>
        <v>0</v>
      </c>
      <c r="Z35" s="0" t="n">
        <f aca="false">Z30*Inputs!$B$9</f>
        <v>0</v>
      </c>
      <c r="AA35" s="0" t="n">
        <f aca="false">AA30*Inputs!$B$9</f>
        <v>0</v>
      </c>
      <c r="AB35" s="0" t="n">
        <f aca="false">AB30*Inputs!$B$9</f>
        <v>0</v>
      </c>
      <c r="AC35" s="0" t="n">
        <f aca="false">AC30*Inputs!$B$9</f>
        <v>0</v>
      </c>
      <c r="AD35" s="0" t="n">
        <f aca="false">AD30*Inputs!$B$9</f>
        <v>0</v>
      </c>
      <c r="AE35" s="0" t="n">
        <f aca="false">AE30*Inputs!$B$9</f>
        <v>0</v>
      </c>
      <c r="AF35" s="0" t="n">
        <f aca="false">AF30*Inputs!$B$9</f>
        <v>0</v>
      </c>
      <c r="AG35" s="0" t="n">
        <f aca="false">AG30*Inputs!$B$9</f>
        <v>0</v>
      </c>
      <c r="AH35" s="0" t="n">
        <f aca="false">AH30*Inputs!$B$9</f>
        <v>0</v>
      </c>
      <c r="AI35" s="0" t="n">
        <f aca="false">AI30*Inputs!$B$9</f>
        <v>0</v>
      </c>
      <c r="AJ35" s="0" t="n">
        <f aca="false">AJ30*Inputs!$B$9</f>
        <v>0</v>
      </c>
      <c r="AK35" s="0" t="n">
        <f aca="false">AK30*Inputs!$B$9</f>
        <v>0</v>
      </c>
      <c r="AL35" s="0" t="n">
        <f aca="false">AL30*Inputs!$B$9</f>
        <v>0</v>
      </c>
      <c r="AM35" s="0" t="n">
        <f aca="false">AM30*Inputs!$B$9</f>
        <v>0</v>
      </c>
      <c r="AN35" s="0" t="n">
        <f aca="false">AN30*Inputs!$B$9</f>
        <v>0</v>
      </c>
      <c r="AO35" s="0" t="n">
        <f aca="false">AO30*Inputs!$B$9</f>
        <v>0</v>
      </c>
      <c r="AP35" s="0" t="n">
        <f aca="false">AP30*Inputs!$B$9</f>
        <v>0</v>
      </c>
      <c r="AQ35" s="0" t="n">
        <f aca="false">AQ30*Inputs!$B$9</f>
        <v>0</v>
      </c>
      <c r="AR35" s="0" t="n">
        <f aca="false">AR30*Inputs!$B$9</f>
        <v>0</v>
      </c>
      <c r="AS35" s="0" t="n">
        <f aca="false">AS30*Inputs!$B$9</f>
        <v>0</v>
      </c>
      <c r="AT35" s="0" t="n">
        <f aca="false">AT30*Inputs!$B$9</f>
        <v>0</v>
      </c>
      <c r="AU35" s="0" t="n">
        <f aca="false">AU30*Inputs!$B$9</f>
        <v>0</v>
      </c>
      <c r="AV35" s="0" t="n">
        <f aca="false">AV30*Inputs!$B$9</f>
        <v>0</v>
      </c>
      <c r="AW35" s="0" t="n">
        <f aca="false">AW30*Inputs!$B$9</f>
        <v>0</v>
      </c>
      <c r="AX35" s="0" t="n">
        <f aca="false">AX30*Inputs!$B$9</f>
        <v>0</v>
      </c>
    </row>
    <row r="36" customFormat="false" ht="15" hidden="false" customHeight="false" outlineLevel="0" collapsed="false">
      <c r="A36" s="0" t="s">
        <v>73</v>
      </c>
      <c r="B36" s="0" t="n">
        <f aca="false">0*Inputs!$B$10/4</f>
        <v>0</v>
      </c>
      <c r="C36" s="0" t="n">
        <f aca="false">B38*Inputs!$B$10/4</f>
        <v>0</v>
      </c>
      <c r="D36" s="0" t="n">
        <f aca="false">C38*Inputs!$B$10/4</f>
        <v>0</v>
      </c>
      <c r="E36" s="0" t="n">
        <f aca="false">D38*Inputs!$B$10/4</f>
        <v>0</v>
      </c>
      <c r="F36" s="0" t="n">
        <f aca="false">E38*Inputs!$B$10/4</f>
        <v>0</v>
      </c>
      <c r="G36" s="0" t="n">
        <f aca="false">F38*Inputs!$B$10/4</f>
        <v>0</v>
      </c>
      <c r="H36" s="0" t="n">
        <f aca="false">G38*Inputs!$B$10/4</f>
        <v>0</v>
      </c>
      <c r="I36" s="0" t="n">
        <f aca="false">H38*Inputs!$B$10/4</f>
        <v>0</v>
      </c>
      <c r="J36" s="0" t="n">
        <f aca="false">I38*Inputs!$B$10/4</f>
        <v>0</v>
      </c>
      <c r="K36" s="0" t="n">
        <f aca="false">J38*Inputs!$B$10/4</f>
        <v>0</v>
      </c>
      <c r="L36" s="0" t="n">
        <f aca="false">K38*Inputs!$B$10/4</f>
        <v>0</v>
      </c>
      <c r="M36" s="0" t="n">
        <f aca="false">L38*Inputs!$B$10/4</f>
        <v>0</v>
      </c>
      <c r="N36" s="0" t="n">
        <f aca="false">M38*Inputs!$B$10/4</f>
        <v>937991.25</v>
      </c>
      <c r="O36" s="0" t="n">
        <f aca="false">N38*Inputs!$B$10/4</f>
        <v>2163297.346875</v>
      </c>
      <c r="P36" s="0" t="n">
        <f aca="false">O38*Inputs!$B$10/4</f>
        <v>3410046.30044531</v>
      </c>
      <c r="Q36" s="0" t="n">
        <f aca="false">P38*Inputs!$B$10/4</f>
        <v>4678613.36070311</v>
      </c>
      <c r="R36" s="0" t="n">
        <f aca="false">Q38*Inputs!$B$10/4</f>
        <v>5461770.96951541</v>
      </c>
      <c r="S36" s="0" t="n">
        <f aca="false">R38*Inputs!$B$10/4</f>
        <v>5965946.33648193</v>
      </c>
      <c r="T36" s="0" t="n">
        <f aca="false">S38*Inputs!$B$10/4</f>
        <v>6383788.52237036</v>
      </c>
      <c r="U36" s="0" t="n">
        <f aca="false">T38*Inputs!$B$10/4</f>
        <v>6713786.69651185</v>
      </c>
      <c r="V36" s="0" t="n">
        <f aca="false">U38*Inputs!$B$10/4</f>
        <v>6603412.25015914</v>
      </c>
      <c r="W36" s="0" t="n">
        <f aca="false">V38*Inputs!$B$10/4</f>
        <v>6334648.74057859</v>
      </c>
      <c r="X36" s="0" t="n">
        <f aca="false">W38*Inputs!$B$10/4</f>
        <v>5966141.15603871</v>
      </c>
      <c r="Y36" s="0" t="n">
        <f aca="false">X38*Inputs!$B$10/4</f>
        <v>5219985.77210272</v>
      </c>
      <c r="Z36" s="0" t="n">
        <f aca="false">Y38*Inputs!$B$10/4</f>
        <v>4344969.7275416</v>
      </c>
      <c r="AA36" s="0" t="n">
        <f aca="false">Z38*Inputs!$B$10/4</f>
        <v>3346963.08683608</v>
      </c>
      <c r="AB36" s="0" t="n">
        <f aca="false">AA38*Inputs!$B$10/4</f>
        <v>2286210.07991821</v>
      </c>
      <c r="AC36" s="0" t="n">
        <f aca="false">AB38*Inputs!$B$10/4</f>
        <v>1155952.48912928</v>
      </c>
      <c r="AD36" s="0" t="n">
        <f aca="false">AC38*Inputs!$B$10/4</f>
        <v>0</v>
      </c>
      <c r="AE36" s="0" t="n">
        <f aca="false">AD38*Inputs!$B$10/4</f>
        <v>0</v>
      </c>
      <c r="AF36" s="0" t="n">
        <f aca="false">AE38*Inputs!$B$10/4</f>
        <v>0</v>
      </c>
      <c r="AG36" s="0" t="n">
        <f aca="false">AF38*Inputs!$B$10/4</f>
        <v>0</v>
      </c>
      <c r="AH36" s="0" t="n">
        <f aca="false">AG38*Inputs!$B$10/4</f>
        <v>0</v>
      </c>
      <c r="AI36" s="0" t="n">
        <f aca="false">AH38*Inputs!$B$10/4</f>
        <v>0</v>
      </c>
      <c r="AJ36" s="0" t="n">
        <f aca="false">AI38*Inputs!$B$10/4</f>
        <v>0</v>
      </c>
      <c r="AK36" s="0" t="n">
        <f aca="false">AJ38*Inputs!$B$10/4</f>
        <v>0</v>
      </c>
      <c r="AL36" s="0" t="n">
        <f aca="false">AK38*Inputs!$B$10/4</f>
        <v>0</v>
      </c>
      <c r="AM36" s="0" t="n">
        <f aca="false">AL38*Inputs!$B$10/4</f>
        <v>0</v>
      </c>
      <c r="AN36" s="0" t="n">
        <f aca="false">AM38*Inputs!$B$10/4</f>
        <v>0</v>
      </c>
      <c r="AO36" s="0" t="n">
        <f aca="false">AN38*Inputs!$B$10/4</f>
        <v>0</v>
      </c>
      <c r="AP36" s="0" t="n">
        <f aca="false">AO38*Inputs!$B$10/4</f>
        <v>0</v>
      </c>
      <c r="AQ36" s="0" t="n">
        <f aca="false">AP38*Inputs!$B$10/4</f>
        <v>0</v>
      </c>
      <c r="AR36" s="0" t="n">
        <f aca="false">AQ38*Inputs!$B$10/4</f>
        <v>0</v>
      </c>
      <c r="AS36" s="0" t="n">
        <f aca="false">AR38*Inputs!$B$10/4</f>
        <v>0</v>
      </c>
      <c r="AT36" s="0" t="n">
        <f aca="false">AS38*Inputs!$B$10/4</f>
        <v>0</v>
      </c>
      <c r="AU36" s="0" t="n">
        <f aca="false">AT38*Inputs!$B$10/4</f>
        <v>0</v>
      </c>
      <c r="AV36" s="0" t="n">
        <f aca="false">AU38*Inputs!$B$10/4</f>
        <v>0</v>
      </c>
      <c r="AW36" s="0" t="n">
        <f aca="false">AV38*Inputs!$B$10/4</f>
        <v>0</v>
      </c>
      <c r="AX36" s="0" t="n">
        <f aca="false">AW38*Inputs!$B$10/4</f>
        <v>0</v>
      </c>
    </row>
    <row r="37" customFormat="false" ht="15" hidden="false" customHeight="false" outlineLevel="0" collapsed="false">
      <c r="A37" s="0" t="s">
        <v>74</v>
      </c>
      <c r="B37" s="0" t="n">
        <f aca="false">MIN(B31+B32+B33,0+B35+B36)</f>
        <v>0</v>
      </c>
      <c r="C37" s="0" t="n">
        <f aca="false">MIN(C31+C32+C33,B38+C35+C36)</f>
        <v>23650000</v>
      </c>
      <c r="D37" s="0" t="n">
        <f aca="false">MIN(D31+D32+D33,C38+D35+D36)</f>
        <v>23650000</v>
      </c>
      <c r="E37" s="0" t="n">
        <f aca="false">MIN(E31+E32+E33,D38+E35+E36)</f>
        <v>65575000</v>
      </c>
      <c r="F37" s="0" t="n">
        <f aca="false">MIN(F31+F32+F33,E38+F35+F36)</f>
        <v>65575000</v>
      </c>
      <c r="G37" s="0" t="n">
        <f aca="false">MIN(G31+G32+G33,F38+G35+G36)</f>
        <v>65575000</v>
      </c>
      <c r="H37" s="0" t="n">
        <f aca="false">MIN(H31+H32+H33,G38+H35+H36)</f>
        <v>91375000</v>
      </c>
      <c r="I37" s="0" t="n">
        <f aca="false">MIN(I31+I32+I33,H38+I35+I36)</f>
        <v>67725000</v>
      </c>
      <c r="J37" s="0" t="n">
        <f aca="false">MIN(J31+J32+J33,I38+J35+J36)</f>
        <v>79012500</v>
      </c>
      <c r="K37" s="0" t="n">
        <f aca="false">MIN(K31+K32+K33,J38+K35+K36)</f>
        <v>95524500</v>
      </c>
      <c r="L37" s="0" t="n">
        <f aca="false">MIN(L31+L32+L33,K38+L35+L36)</f>
        <v>95524500</v>
      </c>
      <c r="M37" s="0" t="n">
        <f aca="false">MIN(M31+M32+M33,L38+M35+M36)</f>
        <v>0</v>
      </c>
      <c r="N37" s="0" t="n">
        <f aca="false">MIN(N31+N32+N33,M38+N35+N36)</f>
        <v>0</v>
      </c>
      <c r="O37" s="0" t="n">
        <f aca="false">MIN(O31+O32+O33,N38+O35+O36)</f>
        <v>0</v>
      </c>
      <c r="P37" s="0" t="n">
        <f aca="false">MIN(P31+P32+P33,O38+P35+P36)</f>
        <v>0</v>
      </c>
      <c r="Q37" s="0" t="n">
        <f aca="false">MIN(Q31+Q32+Q33,P38+Q35+Q36)</f>
        <v>3206250</v>
      </c>
      <c r="R37" s="0" t="n">
        <f aca="false">MIN(R31+R32+R33,Q38+R35+R36)</f>
        <v>8643750</v>
      </c>
      <c r="S37" s="0" t="n">
        <f aca="false">MIN(S31+S32+S33,R38+S35+S36)</f>
        <v>14081250</v>
      </c>
      <c r="T37" s="0" t="n">
        <f aca="false">MIN(T31+T32+T33,S38+T35+T36)</f>
        <v>19518750</v>
      </c>
      <c r="U37" s="0" t="n">
        <f aca="false">MIN(U31+U32+U33,T38+U35+U36)</f>
        <v>28500897.9166667</v>
      </c>
      <c r="V37" s="0" t="n">
        <f aca="false">MIN(V31+V32+V33,U38+V35+V36)</f>
        <v>37441327.0833333</v>
      </c>
      <c r="W37" s="0" t="n">
        <f aca="false">MIN(W31+W32+W33,V38+W35+W36)</f>
        <v>42872225</v>
      </c>
      <c r="X37" s="0" t="n">
        <f aca="false">MIN(X31+X32+X33,W38+X35+X36)</f>
        <v>48603591.6666667</v>
      </c>
      <c r="Y37" s="0" t="n">
        <f aca="false">MIN(Y31+Y32+Y33,X38+Y35+Y36)</f>
        <v>55220902.6041667</v>
      </c>
      <c r="Z37" s="0" t="n">
        <f aca="false">MIN(Z31+Z32+Z33,Y38+Z35+Z36)</f>
        <v>61373920.625</v>
      </c>
      <c r="AA37" s="0" t="n">
        <f aca="false">MIN(AA31+AA32+AA33,Z38+AA35+AA36)</f>
        <v>63961420.625</v>
      </c>
      <c r="AB37" s="0" t="n">
        <f aca="false">MIN(AB31+AB32+AB33,AA38+AB35+AB36)</f>
        <v>66872358.125</v>
      </c>
      <c r="AC37" s="0" t="n">
        <f aca="false">MIN(AC31+AC32+AC33,AB38+AC35+AC36)</f>
        <v>67210380.4393739</v>
      </c>
      <c r="AD37" s="0" t="n">
        <f aca="false">MIN(AD31+AD32+AD33,AC38+AD35+AD36)</f>
        <v>0</v>
      </c>
      <c r="AE37" s="0" t="n">
        <f aca="false">MIN(AE31+AE32+AE33,AD38+AE35+AE36)</f>
        <v>0</v>
      </c>
      <c r="AF37" s="0" t="n">
        <f aca="false">MIN(AF31+AF32+AF33,AE38+AF35+AF36)</f>
        <v>0</v>
      </c>
      <c r="AG37" s="0" t="n">
        <f aca="false">MIN(AG31+AG32+AG33,AF38+AG35+AG36)</f>
        <v>0</v>
      </c>
      <c r="AH37" s="0" t="n">
        <f aca="false">MIN(AH31+AH32+AH33,AG38+AH35+AH36)</f>
        <v>0</v>
      </c>
      <c r="AI37" s="0" t="n">
        <f aca="false">MIN(AI31+AI32+AI33,AH38+AI35+AI36)</f>
        <v>0</v>
      </c>
      <c r="AJ37" s="0" t="n">
        <f aca="false">MIN(AJ31+AJ32+AJ33,AI38+AJ35+AJ36)</f>
        <v>0</v>
      </c>
      <c r="AK37" s="0" t="n">
        <f aca="false">MIN(AK31+AK32+AK33,AJ38+AK35+AK36)</f>
        <v>0</v>
      </c>
      <c r="AL37" s="0" t="n">
        <f aca="false">MIN(AL31+AL32+AL33,AK38+AL35+AL36)</f>
        <v>0</v>
      </c>
      <c r="AM37" s="0" t="n">
        <f aca="false">MIN(AM31+AM32+AM33,AL38+AM35+AM36)</f>
        <v>0</v>
      </c>
      <c r="AN37" s="0" t="n">
        <f aca="false">MIN(AN31+AN32+AN33,AM38+AN35+AN36)</f>
        <v>0</v>
      </c>
      <c r="AO37" s="0" t="n">
        <f aca="false">MIN(AO31+AO32+AO33,AN38+AO35+AO36)</f>
        <v>0</v>
      </c>
      <c r="AP37" s="0" t="n">
        <f aca="false">MIN(AP31+AP32+AP33,AO38+AP35+AP36)</f>
        <v>0</v>
      </c>
      <c r="AQ37" s="0" t="n">
        <f aca="false">MIN(AQ31+AQ32+AQ33,AP38+AQ35+AQ36)</f>
        <v>0</v>
      </c>
      <c r="AR37" s="0" t="n">
        <f aca="false">MIN(AR31+AR32+AR33,AQ38+AR35+AR36)</f>
        <v>0</v>
      </c>
      <c r="AS37" s="0" t="n">
        <f aca="false">MIN(AS31+AS32+AS33,AR38+AS35+AS36)</f>
        <v>0</v>
      </c>
      <c r="AT37" s="0" t="n">
        <f aca="false">MIN(AT31+AT32+AT33,AS38+AT35+AT36)</f>
        <v>0</v>
      </c>
      <c r="AU37" s="0" t="n">
        <f aca="false">MIN(AU31+AU32+AU33,AT38+AU35+AU36)</f>
        <v>0</v>
      </c>
      <c r="AV37" s="0" t="n">
        <f aca="false">MIN(AV31+AV32+AV33,AU38+AV35+AV36)</f>
        <v>0</v>
      </c>
      <c r="AW37" s="0" t="n">
        <f aca="false">MIN(AW31+AW32+AW33,AV38+AW35+AW36)</f>
        <v>0</v>
      </c>
      <c r="AX37" s="0" t="n">
        <f aca="false">MIN(AX31+AX32+AX33,AW38+AX35+AX36)</f>
        <v>0</v>
      </c>
    </row>
    <row r="38" customFormat="false" ht="15" hidden="false" customHeight="false" outlineLevel="0" collapsed="false">
      <c r="A38" s="0" t="s">
        <v>75</v>
      </c>
      <c r="B38" s="0" t="n">
        <f aca="false">0+B35+B36-B37</f>
        <v>0</v>
      </c>
      <c r="C38" s="0" t="n">
        <f aca="false">B38+C35+C36-C37</f>
        <v>0</v>
      </c>
      <c r="D38" s="0" t="n">
        <f aca="false">C38+D35+D36-D37</f>
        <v>0</v>
      </c>
      <c r="E38" s="0" t="n">
        <f aca="false">D38+E35+E36-E37</f>
        <v>0</v>
      </c>
      <c r="F38" s="0" t="n">
        <f aca="false">E38+F35+F36-F37</f>
        <v>0</v>
      </c>
      <c r="G38" s="0" t="n">
        <f aca="false">F38+G35+G36-G37</f>
        <v>0</v>
      </c>
      <c r="H38" s="0" t="n">
        <f aca="false">G38+H35+H36-H37</f>
        <v>0</v>
      </c>
      <c r="I38" s="0" t="n">
        <f aca="false">H38+I35+I36-I37</f>
        <v>0</v>
      </c>
      <c r="J38" s="0" t="n">
        <f aca="false">I38+J35+J36-J37</f>
        <v>0</v>
      </c>
      <c r="K38" s="0" t="n">
        <f aca="false">J38+K35+K36-K37</f>
        <v>0</v>
      </c>
      <c r="L38" s="0" t="n">
        <f aca="false">K38+L35+L36-L37</f>
        <v>0</v>
      </c>
      <c r="M38" s="0" t="n">
        <f aca="false">L38+M35+M36-M37</f>
        <v>53599500</v>
      </c>
      <c r="N38" s="0" t="n">
        <f aca="false">M38+N35+N36-N37</f>
        <v>123616991.25</v>
      </c>
      <c r="O38" s="0" t="n">
        <f aca="false">N38+O35+O36-O37</f>
        <v>194859788.596875</v>
      </c>
      <c r="P38" s="0" t="n">
        <f aca="false">O38+P35+P36-P37</f>
        <v>267349334.89732</v>
      </c>
      <c r="Q38" s="0" t="n">
        <f aca="false">P38+Q35+Q36-Q37</f>
        <v>312101198.258023</v>
      </c>
      <c r="R38" s="0" t="n">
        <f aca="false">Q38+R35+R36-R37</f>
        <v>340911219.227539</v>
      </c>
      <c r="S38" s="0" t="n">
        <f aca="false">R38+S35+S36-S37</f>
        <v>364787915.564021</v>
      </c>
      <c r="T38" s="0" t="n">
        <f aca="false">S38+T35+T36-T37</f>
        <v>383644954.086391</v>
      </c>
      <c r="U38" s="0" t="n">
        <f aca="false">T38+U35+U36-U37</f>
        <v>377337842.866236</v>
      </c>
      <c r="V38" s="0" t="n">
        <f aca="false">U38+V35+V36-V37</f>
        <v>361979928.033062</v>
      </c>
      <c r="W38" s="0" t="n">
        <f aca="false">V38+W35+W36-W37</f>
        <v>340922351.773641</v>
      </c>
      <c r="X38" s="0" t="n">
        <f aca="false">W38+X35+X36-X37</f>
        <v>298284901.263013</v>
      </c>
      <c r="Y38" s="0" t="n">
        <f aca="false">X38+Y35+Y36-Y37</f>
        <v>248283984.430949</v>
      </c>
      <c r="Z38" s="0" t="n">
        <f aca="false">Y38+Z35+Z36-Z37</f>
        <v>191255033.53349</v>
      </c>
      <c r="AA38" s="0" t="n">
        <f aca="false">Z38+AA35+AA36-AA37</f>
        <v>130640575.995326</v>
      </c>
      <c r="AB38" s="0" t="n">
        <f aca="false">AA38+AB35+AB36-AB37</f>
        <v>66054427.9502446</v>
      </c>
      <c r="AC38" s="0" t="n">
        <f aca="false">AB38+AC35+AC36-AC37</f>
        <v>0</v>
      </c>
      <c r="AD38" s="0" t="n">
        <f aca="false">AC38+AD35+AD36-AD37</f>
        <v>0</v>
      </c>
      <c r="AE38" s="0" t="n">
        <f aca="false">AD38+AE35+AE36-AE37</f>
        <v>0</v>
      </c>
      <c r="AF38" s="0" t="n">
        <f aca="false">AE38+AF35+AF36-AF37</f>
        <v>0</v>
      </c>
      <c r="AG38" s="0" t="n">
        <f aca="false">AF38+AG35+AG36-AG37</f>
        <v>0</v>
      </c>
      <c r="AH38" s="0" t="n">
        <f aca="false">AG38+AH35+AH36-AH37</f>
        <v>0</v>
      </c>
      <c r="AI38" s="0" t="n">
        <f aca="false">AH38+AI35+AI36-AI37</f>
        <v>0</v>
      </c>
      <c r="AJ38" s="0" t="n">
        <f aca="false">AI38+AJ35+AJ36-AJ37</f>
        <v>0</v>
      </c>
      <c r="AK38" s="0" t="n">
        <f aca="false">AJ38+AK35+AK36-AK37</f>
        <v>0</v>
      </c>
      <c r="AL38" s="0" t="n">
        <f aca="false">AK38+AL35+AL36-AL37</f>
        <v>0</v>
      </c>
      <c r="AM38" s="0" t="n">
        <f aca="false">AL38+AM35+AM36-AM37</f>
        <v>0</v>
      </c>
      <c r="AN38" s="0" t="n">
        <f aca="false">AM38+AN35+AN36-AN37</f>
        <v>0</v>
      </c>
      <c r="AO38" s="0" t="n">
        <f aca="false">AN38+AO35+AO36-AO37</f>
        <v>0</v>
      </c>
      <c r="AP38" s="0" t="n">
        <f aca="false">AO38+AP35+AP36-AP37</f>
        <v>0</v>
      </c>
      <c r="AQ38" s="0" t="n">
        <f aca="false">AP38+AQ35+AQ36-AQ37</f>
        <v>0</v>
      </c>
      <c r="AR38" s="0" t="n">
        <f aca="false">AQ38+AR35+AR36-AR37</f>
        <v>0</v>
      </c>
      <c r="AS38" s="0" t="n">
        <f aca="false">AR38+AS35+AS36-AS37</f>
        <v>0</v>
      </c>
      <c r="AT38" s="0" t="n">
        <f aca="false">AS38+AT35+AT36-AT37</f>
        <v>0</v>
      </c>
      <c r="AU38" s="0" t="n">
        <f aca="false">AT38+AU35+AU36-AU37</f>
        <v>0</v>
      </c>
      <c r="AV38" s="0" t="n">
        <f aca="false">AU38+AV35+AV36-AV37</f>
        <v>0</v>
      </c>
      <c r="AW38" s="0" t="n">
        <f aca="false">AV38+AW35+AW36-AW37</f>
        <v>0</v>
      </c>
      <c r="AX38" s="0" t="n">
        <f aca="false">AW38+AX35+AX36-AX37</f>
        <v>0</v>
      </c>
    </row>
    <row r="39" customFormat="false" ht="15" hidden="false" customHeight="false" outlineLevel="0" collapsed="false">
      <c r="A39" s="0" t="s">
        <v>76</v>
      </c>
      <c r="B39" s="0" t="n">
        <f aca="false">B31+B32+B33-B34</f>
        <v>-900000000</v>
      </c>
      <c r="C39" s="0" t="n">
        <f aca="false">C31+C32+C33-C34</f>
        <v>-55250000</v>
      </c>
      <c r="D39" s="0" t="n">
        <f aca="false">D31+D32+D33-D34</f>
        <v>-34716666.6666667</v>
      </c>
      <c r="E39" s="0" t="n">
        <f aca="false">E31+E32+E33-E34</f>
        <v>-28645833.3333333</v>
      </c>
      <c r="F39" s="0" t="n">
        <f aca="false">F31+F32+F33-F34</f>
        <v>16912500</v>
      </c>
      <c r="G39" s="0" t="n">
        <f aca="false">G31+G32+G33-G34</f>
        <v>62470833.3333334</v>
      </c>
      <c r="H39" s="0" t="n">
        <f aca="false">H31+H32+H33-H34</f>
        <v>65029166.6666667</v>
      </c>
      <c r="I39" s="0" t="n">
        <f aca="false">I31+I32+I33-I34</f>
        <v>78137499.9999999</v>
      </c>
      <c r="J39" s="0" t="n">
        <f aca="false">J31+J32+J33-J34</f>
        <v>84350000.0000001</v>
      </c>
      <c r="K39" s="0" t="n">
        <f aca="false">K31+K32+K33-K34</f>
        <v>46355000</v>
      </c>
      <c r="L39" s="0" t="n">
        <f aca="false">L31+L32+L33-L34</f>
        <v>71380000</v>
      </c>
      <c r="M39" s="0" t="n">
        <f aca="false">M31+M32+M33-M34</f>
        <v>-89332500</v>
      </c>
      <c r="N39" s="0" t="n">
        <f aca="false">N31+N32+N33-N34</f>
        <v>-115132500</v>
      </c>
      <c r="O39" s="0" t="n">
        <f aca="false">O31+O32+O33-O34</f>
        <v>-115132500</v>
      </c>
      <c r="P39" s="0" t="n">
        <f aca="false">P31+P32+P33-P34</f>
        <v>-115132500</v>
      </c>
      <c r="Q39" s="0" t="n">
        <f aca="false">Q31+Q32+Q33-Q34</f>
        <v>-68926250</v>
      </c>
      <c r="R39" s="0" t="n">
        <f aca="false">R31+R32+R33-R34</f>
        <v>-44676250</v>
      </c>
      <c r="S39" s="0" t="n">
        <f aca="false">S31+S32+S33-S34</f>
        <v>-39238750</v>
      </c>
      <c r="T39" s="0" t="n">
        <f aca="false">T31+T32+T33-T34</f>
        <v>-33801250</v>
      </c>
      <c r="U39" s="0" t="n">
        <f aca="false">U31+U32+U33-U34</f>
        <v>2700897.91666666</v>
      </c>
      <c r="V39" s="0" t="n">
        <f aca="false">V31+V32+V33-V34</f>
        <v>11641327.0833333</v>
      </c>
      <c r="W39" s="0" t="n">
        <f aca="false">W31+W32+W33-W34</f>
        <v>17072225</v>
      </c>
      <c r="X39" s="0" t="n">
        <f aca="false">X31+X32+X33-X34</f>
        <v>48603591.6666667</v>
      </c>
      <c r="Y39" s="0" t="n">
        <f aca="false">Y31+Y32+Y33-Y34</f>
        <v>55220902.6041667</v>
      </c>
      <c r="Z39" s="0" t="n">
        <f aca="false">Z31+Z32+Z33-Z34</f>
        <v>61373920.625</v>
      </c>
      <c r="AA39" s="0" t="n">
        <f aca="false">AA31+AA32+AA33-AA34</f>
        <v>63961420.625</v>
      </c>
      <c r="AB39" s="0" t="n">
        <f aca="false">AB31+AB32+AB33-AB34</f>
        <v>66872358.125</v>
      </c>
      <c r="AC39" s="0" t="n">
        <f aca="false">AC31+AC32+AC33-AC34</f>
        <v>70513200.0859375</v>
      </c>
      <c r="AD39" s="0" t="n">
        <f aca="false">AD31+AD32+AD33-AD34</f>
        <v>70864831.140625</v>
      </c>
      <c r="AE39" s="0" t="n">
        <f aca="false">AE31+AE32+AE33-AE34</f>
        <v>70864831.140625</v>
      </c>
      <c r="AF39" s="0" t="n">
        <f aca="false">AF31+AF32+AF33-AF34</f>
        <v>71262659.265625</v>
      </c>
      <c r="AG39" s="0" t="n">
        <f aca="false">AG31+AG32+AG33-AG34</f>
        <v>72276030.0880859</v>
      </c>
      <c r="AH39" s="0" t="n">
        <f aca="false">AH31+AH32+AH33-AH34</f>
        <v>72636451.9191406</v>
      </c>
      <c r="AI39" s="0" t="n">
        <f aca="false">AI31+AI32+AI33-AI34</f>
        <v>72636451.9191406</v>
      </c>
      <c r="AJ39" s="0" t="n">
        <f aca="false">AJ31+AJ32+AJ33-AJ34</f>
        <v>73044225.7472656</v>
      </c>
      <c r="AK39" s="0" t="n">
        <f aca="false">AK31+AK32+AK33-AK34</f>
        <v>74082930.8402881</v>
      </c>
      <c r="AL39" s="0" t="n">
        <f aca="false">AL31+AL32+AL33-AL34</f>
        <v>74452363.2171191</v>
      </c>
      <c r="AM39" s="0" t="n">
        <f aca="false">AM31+AM32+AM33-AM34</f>
        <v>74452363.2171191</v>
      </c>
      <c r="AN39" s="0" t="n">
        <f aca="false">AN31+AN32+AN33-AN34</f>
        <v>74870331.3909472</v>
      </c>
      <c r="AO39" s="0" t="n">
        <f aca="false">AO31+AO32+AO33-AO34</f>
        <v>75935004.1112953</v>
      </c>
      <c r="AP39" s="0" t="n">
        <f aca="false">AP31+AP32+AP33-AP34</f>
        <v>76313672.2975471</v>
      </c>
      <c r="AQ39" s="0" t="n">
        <f aca="false">AQ31+AQ32+AQ33-AQ34</f>
        <v>76313672.2975471</v>
      </c>
      <c r="AR39" s="0" t="n">
        <f aca="false">AR31+AR32+AR33-AR34</f>
        <v>76742089.6757209</v>
      </c>
      <c r="AS39" s="0" t="n">
        <f aca="false">AS31+AS32+AS33-AS34</f>
        <v>77833379.2140776</v>
      </c>
      <c r="AT39" s="0" t="n">
        <f aca="false">AT31+AT32+AT33-AT34</f>
        <v>78221514.1049858</v>
      </c>
      <c r="AU39" s="0" t="n">
        <f aca="false">AU31+AU32+AU33-AU34</f>
        <v>78221514.1049858</v>
      </c>
      <c r="AV39" s="0" t="n">
        <f aca="false">AV31+AV32+AV33-AV34</f>
        <v>78660641.9176139</v>
      </c>
      <c r="AW39" s="0" t="n">
        <f aca="false">AW31+AW32+AW33-AW34</f>
        <v>79779213.6944296</v>
      </c>
      <c r="AX39" s="0" t="n">
        <f aca="false">AX31+AX32+AX33-AX34</f>
        <v>4463189225.64031</v>
      </c>
    </row>
    <row r="40" customFormat="false" ht="15" hidden="false" customHeight="false" outlineLevel="0" collapsed="false">
      <c r="A40" s="0" t="s">
        <v>77</v>
      </c>
      <c r="B40" s="0" t="n">
        <f aca="false">B39</f>
        <v>-900000000</v>
      </c>
      <c r="C40" s="0" t="n">
        <f aca="false">B40+C39</f>
        <v>-955250000</v>
      </c>
      <c r="D40" s="0" t="n">
        <f aca="false">C40+D39</f>
        <v>-989966666.666667</v>
      </c>
      <c r="E40" s="0" t="n">
        <f aca="false">D40+E39</f>
        <v>-1018612500</v>
      </c>
      <c r="F40" s="0" t="n">
        <f aca="false">E40+F39</f>
        <v>-1001700000</v>
      </c>
      <c r="G40" s="0" t="n">
        <f aca="false">F40+G39</f>
        <v>-939229166.666667</v>
      </c>
      <c r="H40" s="0" t="n">
        <f aca="false">G40+H39</f>
        <v>-874200000</v>
      </c>
      <c r="I40" s="0" t="n">
        <f aca="false">H40+I39</f>
        <v>-796062500</v>
      </c>
      <c r="J40" s="0" t="n">
        <f aca="false">I40+J39</f>
        <v>-711712500</v>
      </c>
      <c r="K40" s="0" t="n">
        <f aca="false">J40+K39</f>
        <v>-665357500</v>
      </c>
      <c r="L40" s="0" t="n">
        <f aca="false">K40+L39</f>
        <v>-593977500</v>
      </c>
      <c r="M40" s="0" t="n">
        <f aca="false">L40+M39</f>
        <v>-683310000</v>
      </c>
      <c r="N40" s="0" t="n">
        <f aca="false">M40+N39</f>
        <v>-798442500</v>
      </c>
      <c r="O40" s="0" t="n">
        <f aca="false">N40+O39</f>
        <v>-913575000</v>
      </c>
      <c r="P40" s="0" t="n">
        <f aca="false">O40+P39</f>
        <v>-1028707500</v>
      </c>
      <c r="Q40" s="0" t="n">
        <f aca="false">P40+Q39</f>
        <v>-1097633750</v>
      </c>
      <c r="R40" s="0" t="n">
        <f aca="false">Q40+R39</f>
        <v>-1142310000</v>
      </c>
      <c r="S40" s="0" t="n">
        <f aca="false">R40+S39</f>
        <v>-1181548750</v>
      </c>
      <c r="T40" s="0" t="n">
        <f aca="false">S40+T39</f>
        <v>-1215350000</v>
      </c>
      <c r="U40" s="0" t="n">
        <f aca="false">T40+U39</f>
        <v>-1212649102.08333</v>
      </c>
      <c r="V40" s="0" t="n">
        <f aca="false">U40+V39</f>
        <v>-1201007775</v>
      </c>
      <c r="W40" s="0" t="n">
        <f aca="false">V40+W39</f>
        <v>-1183935550</v>
      </c>
      <c r="X40" s="0" t="n">
        <f aca="false">W40+X39</f>
        <v>-1135331958.33333</v>
      </c>
      <c r="Y40" s="0" t="n">
        <f aca="false">X40+Y39</f>
        <v>-1080111055.72917</v>
      </c>
      <c r="Z40" s="0" t="n">
        <f aca="false">Y40+Z39</f>
        <v>-1018737135.10417</v>
      </c>
      <c r="AA40" s="0" t="n">
        <f aca="false">Z40+AA39</f>
        <v>-954775714.479167</v>
      </c>
      <c r="AB40" s="0" t="n">
        <f aca="false">AA40+AB39</f>
        <v>-887903356.354167</v>
      </c>
      <c r="AC40" s="0" t="n">
        <f aca="false">AB40+AC39</f>
        <v>-817390156.268229</v>
      </c>
      <c r="AD40" s="0" t="n">
        <f aca="false">AC40+AD39</f>
        <v>-746525325.127604</v>
      </c>
      <c r="AE40" s="0" t="n">
        <f aca="false">AD40+AE39</f>
        <v>-675660493.986979</v>
      </c>
      <c r="AF40" s="0" t="n">
        <f aca="false">AE40+AF39</f>
        <v>-604397834.721354</v>
      </c>
      <c r="AG40" s="0" t="n">
        <f aca="false">AF40+AG39</f>
        <v>-532121804.633268</v>
      </c>
      <c r="AH40" s="0" t="n">
        <f aca="false">AG40+AH39</f>
        <v>-459485352.714128</v>
      </c>
      <c r="AI40" s="0" t="n">
        <f aca="false">AH40+AI39</f>
        <v>-386848900.794987</v>
      </c>
      <c r="AJ40" s="0" t="n">
        <f aca="false">AI40+AJ39</f>
        <v>-313804675.047721</v>
      </c>
      <c r="AK40" s="0" t="n">
        <f aca="false">AJ40+AK39</f>
        <v>-239721744.207433</v>
      </c>
      <c r="AL40" s="0" t="n">
        <f aca="false">AK40+AL39</f>
        <v>-165269380.990314</v>
      </c>
      <c r="AM40" s="0" t="n">
        <f aca="false">AL40+AM39</f>
        <v>-90817017.7731951</v>
      </c>
      <c r="AN40" s="0" t="n">
        <f aca="false">AM40+AN39</f>
        <v>-15946686.3822479</v>
      </c>
      <c r="AO40" s="0" t="n">
        <f aca="false">AN40+AO39</f>
        <v>59988317.7290473</v>
      </c>
      <c r="AP40" s="0" t="n">
        <f aca="false">AO40+AP39</f>
        <v>136301990.026594</v>
      </c>
      <c r="AQ40" s="0" t="n">
        <f aca="false">AP40+AQ39</f>
        <v>212615662.324141</v>
      </c>
      <c r="AR40" s="0" t="n">
        <f aca="false">AQ40+AR39</f>
        <v>289357751.999862</v>
      </c>
      <c r="AS40" s="0" t="n">
        <f aca="false">AR40+AS39</f>
        <v>367191131.21394</v>
      </c>
      <c r="AT40" s="0" t="n">
        <f aca="false">AS40+AT39</f>
        <v>445412645.318926</v>
      </c>
      <c r="AU40" s="0" t="n">
        <f aca="false">AT40+AU39</f>
        <v>523634159.423912</v>
      </c>
      <c r="AV40" s="0" t="n">
        <f aca="false">AU40+AV39</f>
        <v>602294801.341526</v>
      </c>
      <c r="AW40" s="0" t="n">
        <f aca="false">AV40+AW39</f>
        <v>682074015.035955</v>
      </c>
      <c r="AX40" s="0" t="n">
        <f aca="false">AW40+AX39</f>
        <v>5145263240.67627</v>
      </c>
    </row>
    <row r="41" customFormat="false" ht="15" hidden="false" customHeight="false" outlineLevel="0" collapsed="false">
      <c r="A41" s="0" t="s">
        <v>6</v>
      </c>
      <c r="B41" s="0" t="n">
        <f aca="false">MAX(0,B40)*Inputs!$B$8</f>
        <v>0</v>
      </c>
      <c r="C41" s="0" t="n">
        <f aca="false">MAX(0,C40)*Inputs!$B$8-MAX(0,B40)*Inputs!$B$8</f>
        <v>0</v>
      </c>
      <c r="D41" s="0" t="n">
        <f aca="false">MAX(0,D40)*Inputs!$B$8-MAX(0,C40)*Inputs!$B$8</f>
        <v>0</v>
      </c>
      <c r="E41" s="0" t="n">
        <f aca="false">MAX(0,E40)*Inputs!$B$8-MAX(0,D40)*Inputs!$B$8</f>
        <v>0</v>
      </c>
      <c r="F41" s="0" t="n">
        <f aca="false">MAX(0,F40)*Inputs!$B$8-MAX(0,E40)*Inputs!$B$8</f>
        <v>0</v>
      </c>
      <c r="G41" s="0" t="n">
        <f aca="false">MAX(0,G40)*Inputs!$B$8-MAX(0,F40)*Inputs!$B$8</f>
        <v>0</v>
      </c>
      <c r="H41" s="0" t="n">
        <f aca="false">MAX(0,H40)*Inputs!$B$8-MAX(0,G40)*Inputs!$B$8</f>
        <v>0</v>
      </c>
      <c r="I41" s="0" t="n">
        <f aca="false">MAX(0,I40)*Inputs!$B$8-MAX(0,H40)*Inputs!$B$8</f>
        <v>0</v>
      </c>
      <c r="J41" s="0" t="n">
        <f aca="false">MAX(0,J40)*Inputs!$B$8-MAX(0,I40)*Inputs!$B$8</f>
        <v>0</v>
      </c>
      <c r="K41" s="0" t="n">
        <f aca="false">MAX(0,K40)*Inputs!$B$8-MAX(0,J40)*Inputs!$B$8</f>
        <v>0</v>
      </c>
      <c r="L41" s="0" t="n">
        <f aca="false">MAX(0,L40)*Inputs!$B$8-MAX(0,K40)*Inputs!$B$8</f>
        <v>0</v>
      </c>
      <c r="M41" s="0" t="n">
        <f aca="false">MAX(0,M40)*Inputs!$B$8-MAX(0,L40)*Inputs!$B$8</f>
        <v>0</v>
      </c>
      <c r="N41" s="0" t="n">
        <f aca="false">MAX(0,N40)*Inputs!$B$8-MAX(0,M40)*Inputs!$B$8</f>
        <v>0</v>
      </c>
      <c r="O41" s="0" t="n">
        <f aca="false">MAX(0,O40)*Inputs!$B$8-MAX(0,N40)*Inputs!$B$8</f>
        <v>0</v>
      </c>
      <c r="P41" s="0" t="n">
        <f aca="false">MAX(0,P40)*Inputs!$B$8-MAX(0,O40)*Inputs!$B$8</f>
        <v>0</v>
      </c>
      <c r="Q41" s="0" t="n">
        <f aca="false">MAX(0,Q40)*Inputs!$B$8-MAX(0,P40)*Inputs!$B$8</f>
        <v>0</v>
      </c>
      <c r="R41" s="0" t="n">
        <f aca="false">MAX(0,R40)*Inputs!$B$8-MAX(0,Q40)*Inputs!$B$8</f>
        <v>0</v>
      </c>
      <c r="S41" s="0" t="n">
        <f aca="false">MAX(0,S40)*Inputs!$B$8-MAX(0,R40)*Inputs!$B$8</f>
        <v>0</v>
      </c>
      <c r="T41" s="0" t="n">
        <f aca="false">MAX(0,T40)*Inputs!$B$8-MAX(0,S40)*Inputs!$B$8</f>
        <v>0</v>
      </c>
      <c r="U41" s="0" t="n">
        <f aca="false">MAX(0,U40)*Inputs!$B$8-MAX(0,T40)*Inputs!$B$8</f>
        <v>0</v>
      </c>
      <c r="V41" s="0" t="n">
        <f aca="false">MAX(0,V40)*Inputs!$B$8-MAX(0,U40)*Inputs!$B$8</f>
        <v>0</v>
      </c>
      <c r="W41" s="0" t="n">
        <f aca="false">MAX(0,W40)*Inputs!$B$8-MAX(0,V40)*Inputs!$B$8</f>
        <v>0</v>
      </c>
      <c r="X41" s="0" t="n">
        <f aca="false">MAX(0,X40)*Inputs!$B$8-MAX(0,W40)*Inputs!$B$8</f>
        <v>0</v>
      </c>
      <c r="Y41" s="0" t="n">
        <f aca="false">MAX(0,Y40)*Inputs!$B$8-MAX(0,X40)*Inputs!$B$8</f>
        <v>0</v>
      </c>
      <c r="Z41" s="0" t="n">
        <f aca="false">MAX(0,Z40)*Inputs!$B$8-MAX(0,Y40)*Inputs!$B$8</f>
        <v>0</v>
      </c>
      <c r="AA41" s="0" t="n">
        <f aca="false">MAX(0,AA40)*Inputs!$B$8-MAX(0,Z40)*Inputs!$B$8</f>
        <v>0</v>
      </c>
      <c r="AB41" s="0" t="n">
        <f aca="false">MAX(0,AB40)*Inputs!$B$8-MAX(0,AA40)*Inputs!$B$8</f>
        <v>0</v>
      </c>
      <c r="AC41" s="0" t="n">
        <f aca="false">MAX(0,AC40)*Inputs!$B$8-MAX(0,AB40)*Inputs!$B$8</f>
        <v>0</v>
      </c>
      <c r="AD41" s="0" t="n">
        <f aca="false">MAX(0,AD40)*Inputs!$B$8-MAX(0,AC40)*Inputs!$B$8</f>
        <v>0</v>
      </c>
      <c r="AE41" s="0" t="n">
        <f aca="false">MAX(0,AE40)*Inputs!$B$8-MAX(0,AD40)*Inputs!$B$8</f>
        <v>0</v>
      </c>
      <c r="AF41" s="0" t="n">
        <f aca="false">MAX(0,AF40)*Inputs!$B$8-MAX(0,AE40)*Inputs!$B$8</f>
        <v>0</v>
      </c>
      <c r="AG41" s="0" t="n">
        <f aca="false">MAX(0,AG40)*Inputs!$B$8-MAX(0,AF40)*Inputs!$B$8</f>
        <v>0</v>
      </c>
      <c r="AH41" s="0" t="n">
        <f aca="false">MAX(0,AH40)*Inputs!$B$8-MAX(0,AG40)*Inputs!$B$8</f>
        <v>0</v>
      </c>
      <c r="AI41" s="0" t="n">
        <f aca="false">MAX(0,AI40)*Inputs!$B$8-MAX(0,AH40)*Inputs!$B$8</f>
        <v>0</v>
      </c>
      <c r="AJ41" s="0" t="n">
        <f aca="false">MAX(0,AJ40)*Inputs!$B$8-MAX(0,AI40)*Inputs!$B$8</f>
        <v>0</v>
      </c>
      <c r="AK41" s="0" t="n">
        <f aca="false">MAX(0,AK40)*Inputs!$B$8-MAX(0,AJ40)*Inputs!$B$8</f>
        <v>0</v>
      </c>
      <c r="AL41" s="0" t="n">
        <f aca="false">MAX(0,AL40)*Inputs!$B$8-MAX(0,AK40)*Inputs!$B$8</f>
        <v>0</v>
      </c>
      <c r="AM41" s="0" t="n">
        <f aca="false">MAX(0,AM40)*Inputs!$B$8-MAX(0,AL40)*Inputs!$B$8</f>
        <v>0</v>
      </c>
      <c r="AN41" s="0" t="n">
        <f aca="false">MAX(0,AN40)*Inputs!$B$8-MAX(0,AM40)*Inputs!$B$8</f>
        <v>0</v>
      </c>
      <c r="AO41" s="0" t="n">
        <f aca="false">MAX(0,AO40)*Inputs!$B$8-MAX(0,AN40)*Inputs!$B$8</f>
        <v>1499707.94322618</v>
      </c>
      <c r="AP41" s="0" t="n">
        <f aca="false">MAX(0,AP40)*Inputs!$B$8-MAX(0,AO40)*Inputs!$B$8</f>
        <v>1907841.80743868</v>
      </c>
      <c r="AQ41" s="0" t="n">
        <f aca="false">MAX(0,AQ40)*Inputs!$B$8-MAX(0,AP40)*Inputs!$B$8</f>
        <v>1907841.80743868</v>
      </c>
      <c r="AR41" s="0" t="n">
        <f aca="false">MAX(0,AR40)*Inputs!$B$8-MAX(0,AQ40)*Inputs!$B$8</f>
        <v>1918552.24189302</v>
      </c>
      <c r="AS41" s="0" t="n">
        <f aca="false">MAX(0,AS40)*Inputs!$B$8-MAX(0,AR40)*Inputs!$B$8</f>
        <v>1945834.48035194</v>
      </c>
      <c r="AT41" s="0" t="n">
        <f aca="false">MAX(0,AT40)*Inputs!$B$8-MAX(0,AS40)*Inputs!$B$8</f>
        <v>1955537.85262465</v>
      </c>
      <c r="AU41" s="0" t="n">
        <f aca="false">MAX(0,AU40)*Inputs!$B$8-MAX(0,AT40)*Inputs!$B$8</f>
        <v>1955537.85262464</v>
      </c>
      <c r="AV41" s="0" t="n">
        <f aca="false">MAX(0,AV40)*Inputs!$B$8-MAX(0,AU40)*Inputs!$B$8</f>
        <v>1966516.04794035</v>
      </c>
      <c r="AW41" s="0" t="n">
        <f aca="false">MAX(0,AW40)*Inputs!$B$8-MAX(0,AV40)*Inputs!$B$8</f>
        <v>1994480.34236074</v>
      </c>
      <c r="AX41" s="0" t="n">
        <f aca="false">MAX(0,AX40)*Inputs!$B$8-MAX(0,AW40)*Inputs!$B$8</f>
        <v>111579730.641008</v>
      </c>
    </row>
    <row r="42" customFormat="false" ht="15" hidden="false" customHeight="false" outlineLevel="0" collapsed="false">
      <c r="A42" s="0" t="s">
        <v>78</v>
      </c>
      <c r="B42" s="0" t="n">
        <f aca="false">B39-B41</f>
        <v>-900000000</v>
      </c>
      <c r="C42" s="0" t="n">
        <f aca="false">C39-C41</f>
        <v>-55250000</v>
      </c>
      <c r="D42" s="0" t="n">
        <f aca="false">D39-D41</f>
        <v>-34716666.6666667</v>
      </c>
      <c r="E42" s="0" t="n">
        <f aca="false">E39-E41</f>
        <v>-28645833.3333333</v>
      </c>
      <c r="F42" s="0" t="n">
        <f aca="false">F39-F41</f>
        <v>16912500</v>
      </c>
      <c r="G42" s="0" t="n">
        <f aca="false">G39-G41</f>
        <v>62470833.3333334</v>
      </c>
      <c r="H42" s="0" t="n">
        <f aca="false">H39-H41</f>
        <v>65029166.6666667</v>
      </c>
      <c r="I42" s="0" t="n">
        <f aca="false">I39-I41</f>
        <v>78137499.9999999</v>
      </c>
      <c r="J42" s="0" t="n">
        <f aca="false">J39-J41</f>
        <v>84350000.0000001</v>
      </c>
      <c r="K42" s="0" t="n">
        <f aca="false">K39-K41</f>
        <v>46355000</v>
      </c>
      <c r="L42" s="0" t="n">
        <f aca="false">L39-L41</f>
        <v>71380000</v>
      </c>
      <c r="M42" s="0" t="n">
        <f aca="false">M39-M41</f>
        <v>-89332500</v>
      </c>
      <c r="N42" s="0" t="n">
        <f aca="false">N39-N41</f>
        <v>-115132500</v>
      </c>
      <c r="O42" s="0" t="n">
        <f aca="false">O39-O41</f>
        <v>-115132500</v>
      </c>
      <c r="P42" s="0" t="n">
        <f aca="false">P39-P41</f>
        <v>-115132500</v>
      </c>
      <c r="Q42" s="0" t="n">
        <f aca="false">Q39-Q41</f>
        <v>-68926250</v>
      </c>
      <c r="R42" s="0" t="n">
        <f aca="false">R39-R41</f>
        <v>-44676250</v>
      </c>
      <c r="S42" s="0" t="n">
        <f aca="false">S39-S41</f>
        <v>-39238750</v>
      </c>
      <c r="T42" s="0" t="n">
        <f aca="false">T39-T41</f>
        <v>-33801250</v>
      </c>
      <c r="U42" s="0" t="n">
        <f aca="false">U39-U41</f>
        <v>2700897.91666666</v>
      </c>
      <c r="V42" s="0" t="n">
        <f aca="false">V39-V41</f>
        <v>11641327.0833333</v>
      </c>
      <c r="W42" s="0" t="n">
        <f aca="false">W39-W41</f>
        <v>17072225</v>
      </c>
      <c r="X42" s="0" t="n">
        <f aca="false">X39-X41</f>
        <v>48603591.6666667</v>
      </c>
      <c r="Y42" s="0" t="n">
        <f aca="false">Y39-Y41</f>
        <v>55220902.6041667</v>
      </c>
      <c r="Z42" s="0" t="n">
        <f aca="false">Z39-Z41</f>
        <v>61373920.625</v>
      </c>
      <c r="AA42" s="0" t="n">
        <f aca="false">AA39-AA41</f>
        <v>63961420.625</v>
      </c>
      <c r="AB42" s="0" t="n">
        <f aca="false">AB39-AB41</f>
        <v>66872358.125</v>
      </c>
      <c r="AC42" s="0" t="n">
        <f aca="false">AC39-AC41</f>
        <v>70513200.0859375</v>
      </c>
      <c r="AD42" s="0" t="n">
        <f aca="false">AD39-AD41</f>
        <v>70864831.140625</v>
      </c>
      <c r="AE42" s="0" t="n">
        <f aca="false">AE39-AE41</f>
        <v>70864831.140625</v>
      </c>
      <c r="AF42" s="0" t="n">
        <f aca="false">AF39-AF41</f>
        <v>71262659.265625</v>
      </c>
      <c r="AG42" s="0" t="n">
        <f aca="false">AG39-AG41</f>
        <v>72276030.0880859</v>
      </c>
      <c r="AH42" s="0" t="n">
        <f aca="false">AH39-AH41</f>
        <v>72636451.9191406</v>
      </c>
      <c r="AI42" s="0" t="n">
        <f aca="false">AI39-AI41</f>
        <v>72636451.9191406</v>
      </c>
      <c r="AJ42" s="0" t="n">
        <f aca="false">AJ39-AJ41</f>
        <v>73044225.7472656</v>
      </c>
      <c r="AK42" s="0" t="n">
        <f aca="false">AK39-AK41</f>
        <v>74082930.8402881</v>
      </c>
      <c r="AL42" s="0" t="n">
        <f aca="false">AL39-AL41</f>
        <v>74452363.2171191</v>
      </c>
      <c r="AM42" s="0" t="n">
        <f aca="false">AM39-AM41</f>
        <v>74452363.2171191</v>
      </c>
      <c r="AN42" s="0" t="n">
        <f aca="false">AN39-AN41</f>
        <v>74870331.3909472</v>
      </c>
      <c r="AO42" s="0" t="n">
        <f aca="false">AO39-AO41</f>
        <v>74435296.1680691</v>
      </c>
      <c r="AP42" s="0" t="n">
        <f aca="false">AP39-AP41</f>
        <v>74405830.4901084</v>
      </c>
      <c r="AQ42" s="0" t="n">
        <f aca="false">AQ39-AQ41</f>
        <v>74405830.4901084</v>
      </c>
      <c r="AR42" s="0" t="n">
        <f aca="false">AR39-AR41</f>
        <v>74823537.4338279</v>
      </c>
      <c r="AS42" s="0" t="n">
        <f aca="false">AS39-AS41</f>
        <v>75887544.7337257</v>
      </c>
      <c r="AT42" s="0" t="n">
        <f aca="false">AT39-AT41</f>
        <v>76265976.2523611</v>
      </c>
      <c r="AU42" s="0" t="n">
        <f aca="false">AU39-AU41</f>
        <v>76265976.2523611</v>
      </c>
      <c r="AV42" s="0" t="n">
        <f aca="false">AV39-AV41</f>
        <v>76694125.8696736</v>
      </c>
      <c r="AW42" s="0" t="n">
        <f aca="false">AW39-AW41</f>
        <v>77784733.3520688</v>
      </c>
      <c r="AX42" s="0" t="n">
        <f aca="false">AX39-AX41</f>
        <v>4351609494.9993</v>
      </c>
    </row>
    <row r="43" customFormat="false" ht="15" hidden="false" customHeight="false" outlineLevel="0" collapsed="false">
      <c r="A43" s="0" t="s">
        <v>79</v>
      </c>
      <c r="B43" s="0" t="n">
        <f aca="false">B42+B35-B37</f>
        <v>-900000000</v>
      </c>
      <c r="C43" s="0" t="n">
        <f aca="false">C42+C35-C37</f>
        <v>-55250000</v>
      </c>
      <c r="D43" s="0" t="n">
        <f aca="false">D42+D35-D37</f>
        <v>-34716666.6666667</v>
      </c>
      <c r="E43" s="0" t="n">
        <f aca="false">E42+E35-E37</f>
        <v>-28645833.3333333</v>
      </c>
      <c r="F43" s="0" t="n">
        <f aca="false">F42+F35-F37</f>
        <v>16912500</v>
      </c>
      <c r="G43" s="0" t="n">
        <f aca="false">G42+G35-G37</f>
        <v>62470833.3333334</v>
      </c>
      <c r="H43" s="0" t="n">
        <f aca="false">H42+H35-H37</f>
        <v>65029166.6666666</v>
      </c>
      <c r="I43" s="0" t="n">
        <f aca="false">I42+I35-I37</f>
        <v>78137499.9999999</v>
      </c>
      <c r="J43" s="0" t="n">
        <f aca="false">J42+J35-J37</f>
        <v>84350000.0000001</v>
      </c>
      <c r="K43" s="0" t="n">
        <f aca="false">K42+K35-K37</f>
        <v>46355000</v>
      </c>
      <c r="L43" s="0" t="n">
        <f aca="false">L42+L35-L37</f>
        <v>71380000</v>
      </c>
      <c r="M43" s="0" t="n">
        <f aca="false">M42+M35-M37</f>
        <v>-35733000</v>
      </c>
      <c r="N43" s="0" t="n">
        <f aca="false">N42+N35-N37</f>
        <v>-46053000</v>
      </c>
      <c r="O43" s="0" t="n">
        <f aca="false">O42+O35-O37</f>
        <v>-46053000</v>
      </c>
      <c r="P43" s="0" t="n">
        <f aca="false">P42+P35-P37</f>
        <v>-46053000</v>
      </c>
      <c r="Q43" s="0" t="n">
        <f aca="false">Q42+Q35-Q37</f>
        <v>-28853000</v>
      </c>
      <c r="R43" s="0" t="n">
        <f aca="false">R42+R35-R37</f>
        <v>-21328000</v>
      </c>
      <c r="S43" s="0" t="n">
        <f aca="false">S42+S35-S37</f>
        <v>-21328000</v>
      </c>
      <c r="T43" s="0" t="n">
        <f aca="false">T42+T35-T37</f>
        <v>-21328000</v>
      </c>
      <c r="U43" s="0" t="n">
        <f aca="false">U42+U35-U37</f>
        <v>-10320000</v>
      </c>
      <c r="V43" s="0" t="n">
        <f aca="false">V42+V35-V37</f>
        <v>-10320000</v>
      </c>
      <c r="W43" s="0" t="n">
        <f aca="false">W42+W35-W37</f>
        <v>-10320000</v>
      </c>
      <c r="X43" s="0" t="n">
        <f aca="false">X42+X35-X37</f>
        <v>0</v>
      </c>
      <c r="Y43" s="0" t="n">
        <f aca="false">Y42+Y35-Y37</f>
        <v>0</v>
      </c>
      <c r="Z43" s="0" t="n">
        <f aca="false">Z42+Z35-Z37</f>
        <v>0</v>
      </c>
      <c r="AA43" s="0" t="n">
        <f aca="false">AA42+AA35-AA37</f>
        <v>0</v>
      </c>
      <c r="AB43" s="0" t="n">
        <f aca="false">AB42+AB35-AB37</f>
        <v>0</v>
      </c>
      <c r="AC43" s="0" t="n">
        <f aca="false">AC42+AC35-AC37</f>
        <v>3302819.64656357</v>
      </c>
      <c r="AD43" s="0" t="n">
        <f aca="false">AD42+AD35-AD37</f>
        <v>70864831.140625</v>
      </c>
      <c r="AE43" s="0" t="n">
        <f aca="false">AE42+AE35-AE37</f>
        <v>70864831.140625</v>
      </c>
      <c r="AF43" s="0" t="n">
        <f aca="false">AF42+AF35-AF37</f>
        <v>71262659.265625</v>
      </c>
      <c r="AG43" s="0" t="n">
        <f aca="false">AG42+AG35-AG37</f>
        <v>72276030.0880859</v>
      </c>
      <c r="AH43" s="0" t="n">
        <f aca="false">AH42+AH35-AH37</f>
        <v>72636451.9191406</v>
      </c>
      <c r="AI43" s="0" t="n">
        <f aca="false">AI42+AI35-AI37</f>
        <v>72636451.9191406</v>
      </c>
      <c r="AJ43" s="0" t="n">
        <f aca="false">AJ42+AJ35-AJ37</f>
        <v>73044225.7472656</v>
      </c>
      <c r="AK43" s="0" t="n">
        <f aca="false">AK42+AK35-AK37</f>
        <v>74082930.8402881</v>
      </c>
      <c r="AL43" s="0" t="n">
        <f aca="false">AL42+AL35-AL37</f>
        <v>74452363.2171191</v>
      </c>
      <c r="AM43" s="0" t="n">
        <f aca="false">AM42+AM35-AM37</f>
        <v>74452363.2171191</v>
      </c>
      <c r="AN43" s="0" t="n">
        <f aca="false">AN42+AN35-AN37</f>
        <v>74870331.3909472</v>
      </c>
      <c r="AO43" s="0" t="n">
        <f aca="false">AO42+AO35-AO37</f>
        <v>74435296.1680691</v>
      </c>
      <c r="AP43" s="0" t="n">
        <f aca="false">AP42+AP35-AP37</f>
        <v>74405830.4901084</v>
      </c>
      <c r="AQ43" s="0" t="n">
        <f aca="false">AQ42+AQ35-AQ37</f>
        <v>74405830.4901084</v>
      </c>
      <c r="AR43" s="0" t="n">
        <f aca="false">AR42+AR35-AR37</f>
        <v>74823537.4338279</v>
      </c>
      <c r="AS43" s="0" t="n">
        <f aca="false">AS42+AS35-AS37</f>
        <v>75887544.7337257</v>
      </c>
      <c r="AT43" s="0" t="n">
        <f aca="false">AT42+AT35-AT37</f>
        <v>76265976.2523611</v>
      </c>
      <c r="AU43" s="0" t="n">
        <f aca="false">AU42+AU35-AU37</f>
        <v>76265976.2523611</v>
      </c>
      <c r="AV43" s="0" t="n">
        <f aca="false">AV42+AV35-AV37</f>
        <v>76694125.8696736</v>
      </c>
      <c r="AW43" s="0" t="n">
        <f aca="false">AW42+AW35-AW37</f>
        <v>77784733.3520688</v>
      </c>
      <c r="AX43" s="0" t="n">
        <f aca="false">AX42+AX35-AX37</f>
        <v>4351609494.9993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80</v>
      </c>
      <c r="B3" s="3" t="n">
        <f aca="false">(1+IRR('Cash Flow'!B42:AX42,0.02))^4-1</f>
        <v>0.181595159594999</v>
      </c>
    </row>
    <row r="4" customFormat="false" ht="15" hidden="false" customHeight="false" outlineLevel="0" collapsed="false">
      <c r="A4" s="0" t="s">
        <v>81</v>
      </c>
      <c r="B4" s="3" t="n">
        <f aca="false">(1+IRR('Cash Flow'!B43:AX43,0.02))^4-1</f>
        <v>0.187219517155817</v>
      </c>
    </row>
    <row r="5" customFormat="false" ht="15" hidden="false" customHeight="false" outlineLevel="0" collapsed="false">
      <c r="A5" s="0" t="s">
        <v>82</v>
      </c>
      <c r="B5" s="2" t="n">
        <f aca="false">NPV((1+Inputs!$B$12)^0.25-1,'Cash Flow'!C42:AX42)+'Cash Flow'!B42</f>
        <v>918495964.461291</v>
      </c>
    </row>
    <row r="6" customFormat="false" ht="15" hidden="false" customHeight="false" outlineLevel="0" collapsed="false">
      <c r="A6" s="0" t="s">
        <v>83</v>
      </c>
      <c r="B6" s="2" t="n">
        <f aca="false">SUM('Cash Flow'!B42:AX42)</f>
        <v>5016631659.65936</v>
      </c>
    </row>
    <row r="7" customFormat="false" ht="15" hidden="false" customHeight="false" outlineLevel="0" collapsed="false">
      <c r="A7" s="0" t="s">
        <v>84</v>
      </c>
      <c r="B7" s="2" t="n">
        <f aca="false">SUM('Cash Flow'!B34:AX34)+SUM('Cash Flow'!B36:AX36)</f>
        <v>3257173524.08521</v>
      </c>
    </row>
    <row r="8" customFormat="false" ht="15" hidden="false" customHeight="false" outlineLevel="0" collapsed="false">
      <c r="A8" s="0" t="s">
        <v>85</v>
      </c>
      <c r="B8" s="2" t="n">
        <f aca="false">SUM('Cash Flow'!B31:AX31)+SUM('Cash Flow'!B32:AX32)+SUM('Cash Flow'!B33:AX33)</f>
        <v>8331463240.67627</v>
      </c>
    </row>
    <row r="9" customFormat="false" ht="15" hidden="false" customHeight="false" outlineLevel="0" collapsed="false">
      <c r="A9" s="0" t="s">
        <v>86</v>
      </c>
      <c r="B9" s="2" t="n">
        <f aca="false">MAX('Cash Flow'!B38:AX38)</f>
        <v>383644954.086391</v>
      </c>
    </row>
    <row r="10" customFormat="false" ht="15" hidden="false" customHeight="false" outlineLevel="0" collapsed="false">
      <c r="A10" s="0" t="s">
        <v>87</v>
      </c>
      <c r="B10" s="2" t="n">
        <f aca="false">SUM('Cash Flow'!B36:AX36)</f>
        <v>70973524.0852073</v>
      </c>
    </row>
    <row r="11" customFormat="false" ht="15" hidden="false" customHeight="false" outlineLevel="0" collapsed="false">
      <c r="A11" s="0" t="s">
        <v>88</v>
      </c>
      <c r="B11" s="2" t="n">
        <f aca="false">SUM('Cash Flow'!B41:AX41)</f>
        <v>128631581.016907</v>
      </c>
    </row>
    <row r="12" customFormat="false" ht="15" hidden="false" customHeight="false" outlineLevel="0" collapsed="false">
      <c r="A12" s="0" t="s">
        <v>89</v>
      </c>
      <c r="B12" s="2" t="n">
        <f aca="false">SUM('Cash Flow'!B5:AX5,'Cash Flow'!B9:AX9,'Cash Flow'!B13:AX13,'Cash Flow'!B17:AX17,'Cash Flow'!B21:AX21,'Cash Flow'!B25:AX25)-SUM('Cash Flow'!B6:AX6,'Cash Flow'!B10:AX10,'Cash Flow'!B14:AX14,'Cash Flow'!B18:AX18,'Cash Flow'!B22:AX22,'Cash Flow'!B26:AX26)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2026-10-17T14:17:14Z</dcterms:created>
  <dc:creator>openpyxl</dc:creator>
  <dc:description/>
  <dc:language>en-US</dc:language>
  <cp:lastModifiedBy/>
  <dcterms:modified xsi:type="dcterms:W3CDTF">2026-10-17T14:17:14Z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