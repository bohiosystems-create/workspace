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Cash Flow" sheetId="2" state="visible" r:id="rId2"/>
    <sheet name="Returns" sheetId="3" state="visible" r:id="rId3"/>
  </sheets>
  <definedNames/>
  <calcPr calcId="124519" fullCalcOnLoad="1" iterate="1" iterateCount="200" iterateDelta="1e-09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 MANAR TOWERS JV – DEVELOPMENT (SAR)</t>
        </is>
      </c>
    </row>
    <row r="2">
      <c r="A2" t="inlineStr">
        <is>
          <t>Land</t>
        </is>
      </c>
      <c r="B2" t="n">
        <v>50000000</v>
      </c>
    </row>
    <row r="3">
      <c r="A3" t="inlineStr">
        <is>
          <t>Construction cost</t>
        </is>
      </c>
      <c r="B3" t="n">
        <v>200000000</v>
      </c>
    </row>
    <row r="4">
      <c r="A4" t="inlineStr">
        <is>
          <t>Loan to cost</t>
        </is>
      </c>
      <c r="B4" t="n">
        <v>0.6</v>
      </c>
    </row>
    <row r="5">
      <c r="A5" t="inlineStr">
        <is>
          <t>Interest rate</t>
        </is>
      </c>
      <c r="B5" t="n">
        <v>0.08</v>
      </c>
    </row>
    <row r="6">
      <c r="A6" t="inlineStr">
        <is>
          <t>Stabilised rent</t>
        </is>
      </c>
      <c r="B6" t="n">
        <v>30000000</v>
      </c>
    </row>
    <row r="7">
      <c r="A7" t="inlineStr">
        <is>
          <t>Rent growth</t>
        </is>
      </c>
      <c r="B7" t="n">
        <v>0.03</v>
      </c>
    </row>
    <row r="8">
      <c r="A8" t="inlineStr">
        <is>
          <t>Exit yield</t>
        </is>
      </c>
      <c r="B8" t="n">
        <v>0.075</v>
      </c>
    </row>
    <row r="9">
      <c r="A9" t="inlineStr">
        <is>
          <t>Hold period (years)</t>
        </is>
      </c>
      <c r="B9" t="n">
        <v>8</v>
      </c>
    </row>
    <row r="10">
      <c r="A10" t="inlineStr">
        <is>
          <t>Selling costs</t>
        </is>
      </c>
      <c r="B10" t="n">
        <v>0.02</v>
      </c>
    </row>
    <row r="11">
      <c r="A11" t="inlineStr">
        <is>
          <t>LP share of equity</t>
        </is>
      </c>
      <c r="B11" t="n">
        <v>0.9</v>
      </c>
    </row>
    <row r="12">
      <c r="A12" t="inlineStr">
        <is>
          <t>Preferred return</t>
        </is>
      </c>
      <c r="B12" t="n">
        <v>0.08</v>
      </c>
    </row>
    <row r="13">
      <c r="A13" t="inlineStr">
        <is>
          <t>LP share above the pref</t>
        </is>
      </c>
      <c r="B13" t="n">
        <v>0.8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</row>
    <row r="2">
      <c r="A2" t="inlineStr">
        <is>
          <t>Land</t>
        </is>
      </c>
      <c r="B2">
        <f>Inputs!$B$2</f>
        <v/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Construction</t>
        </is>
      </c>
      <c r="B3">
        <f>Inputs!$B$3*0.3</f>
        <v/>
      </c>
      <c r="C3">
        <f>Inputs!$B$3*0.4</f>
        <v/>
      </c>
      <c r="D3">
        <f>Inputs!$B$3*0.3</f>
        <v/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Interest</t>
        </is>
      </c>
      <c r="B4">
        <f>Inputs!$B$5*(0+B6/2)*(B1&lt;=Inputs!$B$9)</f>
        <v/>
      </c>
      <c r="C4">
        <f>Inputs!$B$5*(B7+C6/2)*(C1&lt;=Inputs!$B$9)</f>
        <v/>
      </c>
      <c r="D4">
        <f>Inputs!$B$5*(C7+D6/2)*(D1&lt;=Inputs!$B$9)</f>
        <v/>
      </c>
      <c r="E4">
        <f>Inputs!$B$5*(D7+E6/2)*(E1&lt;=Inputs!$B$9)</f>
        <v/>
      </c>
      <c r="F4">
        <f>Inputs!$B$5*(E7+F6/2)*(F1&lt;=Inputs!$B$9)</f>
        <v/>
      </c>
      <c r="G4">
        <f>Inputs!$B$5*(F7+G6/2)*(G1&lt;=Inputs!$B$9)</f>
        <v/>
      </c>
      <c r="H4">
        <f>Inputs!$B$5*(G7+H6/2)*(H1&lt;=Inputs!$B$9)</f>
        <v/>
      </c>
      <c r="I4">
        <f>Inputs!$B$5*(H7+I6/2)*(I1&lt;=Inputs!$B$9)</f>
        <v/>
      </c>
      <c r="J4">
        <f>Inputs!$B$5*(I7+J6/2)*(J1&lt;=Inputs!$B$9)</f>
        <v/>
      </c>
      <c r="K4">
        <f>Inputs!$B$5*(J7+K6/2)*(K1&lt;=Inputs!$B$9)</f>
        <v/>
      </c>
    </row>
    <row r="5">
      <c r="A5" t="inlineStr">
        <is>
          <t>Total cost</t>
        </is>
      </c>
      <c r="B5">
        <f>B2+B3+IF(B1&lt;=3,B4,0)</f>
        <v/>
      </c>
      <c r="C5">
        <f>C2+C3+IF(C1&lt;=3,C4,0)</f>
        <v/>
      </c>
      <c r="D5">
        <f>D2+D3+IF(D1&lt;=3,D4,0)</f>
        <v/>
      </c>
      <c r="E5">
        <f>E2+E3+IF(E1&lt;=3,E4,0)</f>
        <v/>
      </c>
      <c r="F5">
        <f>F2+F3+IF(F1&lt;=3,F4,0)</f>
        <v/>
      </c>
      <c r="G5">
        <f>G2+G3+IF(G1&lt;=3,G4,0)</f>
        <v/>
      </c>
      <c r="H5">
        <f>H2+H3+IF(H1&lt;=3,H4,0)</f>
        <v/>
      </c>
      <c r="I5">
        <f>I2+I3+IF(I1&lt;=3,I4,0)</f>
        <v/>
      </c>
      <c r="J5">
        <f>J2+J3+IF(J1&lt;=3,J4,0)</f>
        <v/>
      </c>
      <c r="K5">
        <f>K2+K3+IF(K1&lt;=3,K4,0)</f>
        <v/>
      </c>
    </row>
    <row r="6">
      <c r="A6" t="inlineStr">
        <is>
          <t>Loan draw</t>
        </is>
      </c>
      <c r="B6">
        <f>IF(B1&lt;=3,Inputs!$B$4*B5,0)</f>
        <v/>
      </c>
      <c r="C6">
        <f>IF(C1&lt;=3,Inputs!$B$4*C5,0)</f>
        <v/>
      </c>
      <c r="D6">
        <f>IF(D1&lt;=3,Inputs!$B$4*D5,0)</f>
        <v/>
      </c>
      <c r="E6">
        <f>IF(E1&lt;=3,Inputs!$B$4*E5,0)</f>
        <v/>
      </c>
      <c r="F6">
        <f>IF(F1&lt;=3,Inputs!$B$4*F5,0)</f>
        <v/>
      </c>
      <c r="G6">
        <f>IF(G1&lt;=3,Inputs!$B$4*G5,0)</f>
        <v/>
      </c>
      <c r="H6">
        <f>IF(H1&lt;=3,Inputs!$B$4*H5,0)</f>
        <v/>
      </c>
      <c r="I6">
        <f>IF(I1&lt;=3,Inputs!$B$4*I5,0)</f>
        <v/>
      </c>
      <c r="J6">
        <f>IF(J1&lt;=3,Inputs!$B$4*J5,0)</f>
        <v/>
      </c>
      <c r="K6">
        <f>IF(K1&lt;=3,Inputs!$B$4*K5,0)</f>
        <v/>
      </c>
    </row>
    <row r="7">
      <c r="A7" t="inlineStr">
        <is>
          <t>Loan balance</t>
        </is>
      </c>
      <c r="B7">
        <f>IF(B1&lt;=Inputs!$B$9,0+B6-B10,0)</f>
        <v/>
      </c>
      <c r="C7">
        <f>IF(C1&lt;=Inputs!$B$9,B7+C6-C10,0)</f>
        <v/>
      </c>
      <c r="D7">
        <f>IF(D1&lt;=Inputs!$B$9,C7+D6-D10,0)</f>
        <v/>
      </c>
      <c r="E7">
        <f>IF(E1&lt;=Inputs!$B$9,D7+E6-E10,0)</f>
        <v/>
      </c>
      <c r="F7">
        <f>IF(F1&lt;=Inputs!$B$9,E7+F6-F10,0)</f>
        <v/>
      </c>
      <c r="G7">
        <f>IF(G1&lt;=Inputs!$B$9,F7+G6-G10,0)</f>
        <v/>
      </c>
      <c r="H7">
        <f>IF(H1&lt;=Inputs!$B$9,G7+H6-H10,0)</f>
        <v/>
      </c>
      <c r="I7">
        <f>IF(I1&lt;=Inputs!$B$9,H7+I6-I10,0)</f>
        <v/>
      </c>
      <c r="J7">
        <f>IF(J1&lt;=Inputs!$B$9,I7+J6-J10,0)</f>
        <v/>
      </c>
      <c r="K7">
        <f>IF(K1&lt;=Inputs!$B$9,J7+K6-K10,0)</f>
        <v/>
      </c>
    </row>
    <row r="8">
      <c r="A8" t="inlineStr">
        <is>
          <t>NOI</t>
        </is>
      </c>
      <c r="B8">
        <f>IF(AND(B1&gt;3,B1&lt;=Inputs!$B$9),Inputs!$B$6*(1+Inputs!$B$7)^(B1-4),0)</f>
        <v/>
      </c>
      <c r="C8">
        <f>IF(AND(C1&gt;3,C1&lt;=Inputs!$B$9),Inputs!$B$6*(1+Inputs!$B$7)^(C1-4),0)</f>
        <v/>
      </c>
      <c r="D8">
        <f>IF(AND(D1&gt;3,D1&lt;=Inputs!$B$9),Inputs!$B$6*(1+Inputs!$B$7)^(D1-4),0)</f>
        <v/>
      </c>
      <c r="E8">
        <f>IF(AND(E1&gt;3,E1&lt;=Inputs!$B$9),Inputs!$B$6*(1+Inputs!$B$7)^(E1-4),0)</f>
        <v/>
      </c>
      <c r="F8">
        <f>IF(AND(F1&gt;3,F1&lt;=Inputs!$B$9),Inputs!$B$6*(1+Inputs!$B$7)^(F1-4),0)</f>
        <v/>
      </c>
      <c r="G8">
        <f>IF(AND(G1&gt;3,G1&lt;=Inputs!$B$9),Inputs!$B$6*(1+Inputs!$B$7)^(G1-4),0)</f>
        <v/>
      </c>
      <c r="H8">
        <f>IF(AND(H1&gt;3,H1&lt;=Inputs!$B$9),Inputs!$B$6*(1+Inputs!$B$7)^(H1-4),0)</f>
        <v/>
      </c>
      <c r="I8">
        <f>IF(AND(I1&gt;3,I1&lt;=Inputs!$B$9),Inputs!$B$6*(1+Inputs!$B$7)^(I1-4),0)</f>
        <v/>
      </c>
      <c r="J8">
        <f>IF(AND(J1&gt;3,J1&lt;=Inputs!$B$9),Inputs!$B$6*(1+Inputs!$B$7)^(J1-4),0)</f>
        <v/>
      </c>
      <c r="K8">
        <f>IF(AND(K1&gt;3,K1&lt;=Inputs!$B$9),Inputs!$B$6*(1+Inputs!$B$7)^(K1-4),0)</f>
        <v/>
      </c>
    </row>
    <row r="9">
      <c r="A9" t="inlineStr">
        <is>
          <t>Sale proceeds</t>
        </is>
      </c>
      <c r="B9">
        <f>IF(B1=Inputs!$B$9,Inputs!$B$6*(1+Inputs!$B$7)^(B1-3)/Inputs!$B$8*(1-Inputs!$B$10),0)</f>
        <v/>
      </c>
      <c r="C9">
        <f>IF(C1=Inputs!$B$9,Inputs!$B$6*(1+Inputs!$B$7)^(C1-3)/Inputs!$B$8*(1-Inputs!$B$10),0)</f>
        <v/>
      </c>
      <c r="D9">
        <f>IF(D1=Inputs!$B$9,Inputs!$B$6*(1+Inputs!$B$7)^(D1-3)/Inputs!$B$8*(1-Inputs!$B$10),0)</f>
        <v/>
      </c>
      <c r="E9">
        <f>IF(E1=Inputs!$B$9,Inputs!$B$6*(1+Inputs!$B$7)^(E1-3)/Inputs!$B$8*(1-Inputs!$B$10),0)</f>
        <v/>
      </c>
      <c r="F9">
        <f>IF(F1=Inputs!$B$9,Inputs!$B$6*(1+Inputs!$B$7)^(F1-3)/Inputs!$B$8*(1-Inputs!$B$10),0)</f>
        <v/>
      </c>
      <c r="G9">
        <f>IF(G1=Inputs!$B$9,Inputs!$B$6*(1+Inputs!$B$7)^(G1-3)/Inputs!$B$8*(1-Inputs!$B$10),0)</f>
        <v/>
      </c>
      <c r="H9">
        <f>IF(H1=Inputs!$B$9,Inputs!$B$6*(1+Inputs!$B$7)^(H1-3)/Inputs!$B$8*(1-Inputs!$B$10),0)</f>
        <v/>
      </c>
      <c r="I9">
        <f>IF(I1=Inputs!$B$9,Inputs!$B$6*(1+Inputs!$B$7)^(I1-3)/Inputs!$B$8*(1-Inputs!$B$10),0)</f>
        <v/>
      </c>
      <c r="J9">
        <f>IF(J1=Inputs!$B$9,Inputs!$B$6*(1+Inputs!$B$7)^(J1-3)/Inputs!$B$8*(1-Inputs!$B$10),0)</f>
        <v/>
      </c>
      <c r="K9">
        <f>IF(K1=Inputs!$B$9,Inputs!$B$6*(1+Inputs!$B$7)^(K1-3)/Inputs!$B$8*(1-Inputs!$B$10),0)</f>
        <v/>
      </c>
    </row>
    <row r="10">
      <c r="A10" t="inlineStr">
        <is>
          <t>Loan repayment</t>
        </is>
      </c>
      <c r="B10">
        <f>IF(B1=Inputs!$B$9,0+B6,0)</f>
        <v/>
      </c>
      <c r="C10">
        <f>IF(C1=Inputs!$B$9,B7+C6,0)</f>
        <v/>
      </c>
      <c r="D10">
        <f>IF(D1=Inputs!$B$9,C7+D6,0)</f>
        <v/>
      </c>
      <c r="E10">
        <f>IF(E1=Inputs!$B$9,D7+E6,0)</f>
        <v/>
      </c>
      <c r="F10">
        <f>IF(F1=Inputs!$B$9,E7+F6,0)</f>
        <v/>
      </c>
      <c r="G10">
        <f>IF(G1=Inputs!$B$9,F7+G6,0)</f>
        <v/>
      </c>
      <c r="H10">
        <f>IF(H1=Inputs!$B$9,G7+H6,0)</f>
        <v/>
      </c>
      <c r="I10">
        <f>IF(I1=Inputs!$B$9,H7+I6,0)</f>
        <v/>
      </c>
      <c r="J10">
        <f>IF(J1=Inputs!$B$9,I7+J6,0)</f>
        <v/>
      </c>
      <c r="K10">
        <f>IF(K1=Inputs!$B$9,J7+K6,0)</f>
        <v/>
      </c>
    </row>
    <row r="11">
      <c r="A11" t="inlineStr">
        <is>
          <t>Unlevered cash flow</t>
        </is>
      </c>
      <c r="B11">
        <f>-B2-B3+B8+B9</f>
        <v/>
      </c>
      <c r="C11">
        <f>-C2-C3+C8+C9</f>
        <v/>
      </c>
      <c r="D11">
        <f>-D2-D3+D8+D9</f>
        <v/>
      </c>
      <c r="E11">
        <f>-E2-E3+E8+E9</f>
        <v/>
      </c>
      <c r="F11">
        <f>-F2-F3+F8+F9</f>
        <v/>
      </c>
      <c r="G11">
        <f>-G2-G3+G8+G9</f>
        <v/>
      </c>
      <c r="H11">
        <f>-H2-H3+H8+H9</f>
        <v/>
      </c>
      <c r="I11">
        <f>-I2-I3+I8+I9</f>
        <v/>
      </c>
      <c r="J11">
        <f>-J2-J3+J8+J9</f>
        <v/>
      </c>
      <c r="K11">
        <f>-K2-K3+K8+K9</f>
        <v/>
      </c>
    </row>
    <row r="12">
      <c r="A12" t="inlineStr">
        <is>
          <t>Equity cash flow</t>
        </is>
      </c>
      <c r="B12">
        <f>-B5+B6+B8-IF(B1&gt;3,B4,0)+B9-B10</f>
        <v/>
      </c>
      <c r="C12">
        <f>-C5+C6+C8-IF(C1&gt;3,C4,0)+C9-C10</f>
        <v/>
      </c>
      <c r="D12">
        <f>-D5+D6+D8-IF(D1&gt;3,D4,0)+D9-D10</f>
        <v/>
      </c>
      <c r="E12">
        <f>-E5+E6+E8-IF(E1&gt;3,E4,0)+E9-E10</f>
        <v/>
      </c>
      <c r="F12">
        <f>-F5+F6+F8-IF(F1&gt;3,F4,0)+F9-F10</f>
        <v/>
      </c>
      <c r="G12">
        <f>-G5+G6+G8-IF(G1&gt;3,G4,0)+G9-G10</f>
        <v/>
      </c>
      <c r="H12">
        <f>-H5+H6+H8-IF(H1&gt;3,H4,0)+H9-H10</f>
        <v/>
      </c>
      <c r="I12">
        <f>-I5+I6+I8-IF(I1&gt;3,I4,0)+I9-I10</f>
        <v/>
      </c>
      <c r="J12">
        <f>-J5+J6+J8-IF(J1&gt;3,J4,0)+J9-J10</f>
        <v/>
      </c>
      <c r="K12">
        <f>-K5+K6+K8-IF(K1&gt;3,K4,0)+K9-K10</f>
        <v/>
      </c>
    </row>
    <row r="13">
      <c r="A13" t="inlineStr">
        <is>
          <t>LP contribution</t>
        </is>
      </c>
      <c r="B13">
        <f>MAX(0,-B12)*Inputs!$B$11</f>
        <v/>
      </c>
      <c r="C13">
        <f>MAX(0,-C12)*Inputs!$B$11</f>
        <v/>
      </c>
      <c r="D13">
        <f>MAX(0,-D12)*Inputs!$B$11</f>
        <v/>
      </c>
      <c r="E13">
        <f>MAX(0,-E12)*Inputs!$B$11</f>
        <v/>
      </c>
      <c r="F13">
        <f>MAX(0,-F12)*Inputs!$B$11</f>
        <v/>
      </c>
      <c r="G13">
        <f>MAX(0,-G12)*Inputs!$B$11</f>
        <v/>
      </c>
      <c r="H13">
        <f>MAX(0,-H12)*Inputs!$B$11</f>
        <v/>
      </c>
      <c r="I13">
        <f>MAX(0,-I12)*Inputs!$B$11</f>
        <v/>
      </c>
      <c r="J13">
        <f>MAX(0,-J12)*Inputs!$B$11</f>
        <v/>
      </c>
      <c r="K13">
        <f>MAX(0,-K12)*Inputs!$B$11</f>
        <v/>
      </c>
    </row>
    <row r="14">
      <c r="A14" t="inlineStr">
        <is>
          <t>GP contribution</t>
        </is>
      </c>
      <c r="B14">
        <f>MAX(0,-B12)*(1-Inputs!$B$11)</f>
        <v/>
      </c>
      <c r="C14">
        <f>MAX(0,-C12)*(1-Inputs!$B$11)</f>
        <v/>
      </c>
      <c r="D14">
        <f>MAX(0,-D12)*(1-Inputs!$B$11)</f>
        <v/>
      </c>
      <c r="E14">
        <f>MAX(0,-E12)*(1-Inputs!$B$11)</f>
        <v/>
      </c>
      <c r="F14">
        <f>MAX(0,-F12)*(1-Inputs!$B$11)</f>
        <v/>
      </c>
      <c r="G14">
        <f>MAX(0,-G12)*(1-Inputs!$B$11)</f>
        <v/>
      </c>
      <c r="H14">
        <f>MAX(0,-H12)*(1-Inputs!$B$11)</f>
        <v/>
      </c>
      <c r="I14">
        <f>MAX(0,-I12)*(1-Inputs!$B$11)</f>
        <v/>
      </c>
      <c r="J14">
        <f>MAX(0,-J12)*(1-Inputs!$B$11)</f>
        <v/>
      </c>
      <c r="K14">
        <f>MAX(0,-K12)*(1-Inputs!$B$11)</f>
        <v/>
      </c>
    </row>
    <row r="15">
      <c r="A15" t="inlineStr">
        <is>
          <t>Distributions</t>
        </is>
      </c>
      <c r="B15">
        <f>MAX(0,B12)</f>
        <v/>
      </c>
      <c r="C15">
        <f>MAX(0,C12)</f>
        <v/>
      </c>
      <c r="D15">
        <f>MAX(0,D12)</f>
        <v/>
      </c>
      <c r="E15">
        <f>MAX(0,E12)</f>
        <v/>
      </c>
      <c r="F15">
        <f>MAX(0,F12)</f>
        <v/>
      </c>
      <c r="G15">
        <f>MAX(0,G12)</f>
        <v/>
      </c>
      <c r="H15">
        <f>MAX(0,H12)</f>
        <v/>
      </c>
      <c r="I15">
        <f>MAX(0,I12)</f>
        <v/>
      </c>
      <c r="J15">
        <f>MAX(0,J12)</f>
        <v/>
      </c>
      <c r="K15">
        <f>MAX(0,K12)</f>
        <v/>
      </c>
    </row>
    <row r="16">
      <c r="A16" t="inlineStr">
        <is>
          <t>Hurdle balance</t>
        </is>
      </c>
      <c r="B16">
        <f>0*(1+Inputs!$B$12)+B13-B17</f>
        <v/>
      </c>
      <c r="C16">
        <f>B16*(1+Inputs!$B$12)+C13-C17</f>
        <v/>
      </c>
      <c r="D16">
        <f>C16*(1+Inputs!$B$12)+D13-D17</f>
        <v/>
      </c>
      <c r="E16">
        <f>D16*(1+Inputs!$B$12)+E13-E17</f>
        <v/>
      </c>
      <c r="F16">
        <f>E16*(1+Inputs!$B$12)+F13-F17</f>
        <v/>
      </c>
      <c r="G16">
        <f>F16*(1+Inputs!$B$12)+G13-G17</f>
        <v/>
      </c>
      <c r="H16">
        <f>G16*(1+Inputs!$B$12)+H13-H17</f>
        <v/>
      </c>
      <c r="I16">
        <f>H16*(1+Inputs!$B$12)+I13-I17</f>
        <v/>
      </c>
      <c r="J16">
        <f>I16*(1+Inputs!$B$12)+J13-J17</f>
        <v/>
      </c>
      <c r="K16">
        <f>J16*(1+Inputs!$B$12)+K13-K17</f>
        <v/>
      </c>
    </row>
    <row r="17">
      <c r="A17" t="inlineStr">
        <is>
          <t>LP to pref</t>
        </is>
      </c>
      <c r="B17">
        <f>MIN(B15,MAX(0,0*(1+Inputs!$B$12)+B13))</f>
        <v/>
      </c>
      <c r="C17">
        <f>MIN(C15,MAX(0,B16*(1+Inputs!$B$12)+C13))</f>
        <v/>
      </c>
      <c r="D17">
        <f>MIN(D15,MAX(0,C16*(1+Inputs!$B$12)+D13))</f>
        <v/>
      </c>
      <c r="E17">
        <f>MIN(E15,MAX(0,D16*(1+Inputs!$B$12)+E13))</f>
        <v/>
      </c>
      <c r="F17">
        <f>MIN(F15,MAX(0,E16*(1+Inputs!$B$12)+F13))</f>
        <v/>
      </c>
      <c r="G17">
        <f>MIN(G15,MAX(0,F16*(1+Inputs!$B$12)+G13))</f>
        <v/>
      </c>
      <c r="H17">
        <f>MIN(H15,MAX(0,G16*(1+Inputs!$B$12)+H13))</f>
        <v/>
      </c>
      <c r="I17">
        <f>MIN(I15,MAX(0,H16*(1+Inputs!$B$12)+I13))</f>
        <v/>
      </c>
      <c r="J17">
        <f>MIN(J15,MAX(0,I16*(1+Inputs!$B$12)+J13))</f>
        <v/>
      </c>
      <c r="K17">
        <f>MIN(K15,MAX(0,J16*(1+Inputs!$B$12)+K13))</f>
        <v/>
      </c>
    </row>
    <row r="18">
      <c r="A18" t="inlineStr">
        <is>
          <t>Above the pref</t>
        </is>
      </c>
      <c r="B18">
        <f>B15-B17</f>
        <v/>
      </c>
      <c r="C18">
        <f>C15-C17</f>
        <v/>
      </c>
      <c r="D18">
        <f>D15-D17</f>
        <v/>
      </c>
      <c r="E18">
        <f>E15-E17</f>
        <v/>
      </c>
      <c r="F18">
        <f>F15-F17</f>
        <v/>
      </c>
      <c r="G18">
        <f>G15-G17</f>
        <v/>
      </c>
      <c r="H18">
        <f>H15-H17</f>
        <v/>
      </c>
      <c r="I18">
        <f>I15-I17</f>
        <v/>
      </c>
      <c r="J18">
        <f>J15-J17</f>
        <v/>
      </c>
      <c r="K18">
        <f>K15-K17</f>
        <v/>
      </c>
    </row>
    <row r="19">
      <c r="A19" t="inlineStr">
        <is>
          <t>LP cash flow</t>
        </is>
      </c>
      <c r="B19">
        <f>-B13+B17+B18*Inputs!$B$13</f>
        <v/>
      </c>
      <c r="C19">
        <f>-C13+C17+C18*Inputs!$B$13</f>
        <v/>
      </c>
      <c r="D19">
        <f>-D13+D17+D18*Inputs!$B$13</f>
        <v/>
      </c>
      <c r="E19">
        <f>-E13+E17+E18*Inputs!$B$13</f>
        <v/>
      </c>
      <c r="F19">
        <f>-F13+F17+F18*Inputs!$B$13</f>
        <v/>
      </c>
      <c r="G19">
        <f>-G13+G17+G18*Inputs!$B$13</f>
        <v/>
      </c>
      <c r="H19">
        <f>-H13+H17+H18*Inputs!$B$13</f>
        <v/>
      </c>
      <c r="I19">
        <f>-I13+I17+I18*Inputs!$B$13</f>
        <v/>
      </c>
      <c r="J19">
        <f>-J13+J17+J18*Inputs!$B$13</f>
        <v/>
      </c>
      <c r="K19">
        <f>-K13+K17+K18*Inputs!$B$13</f>
        <v/>
      </c>
    </row>
    <row r="20">
      <c r="A20" t="inlineStr">
        <is>
          <t>GP cash flow</t>
        </is>
      </c>
      <c r="B20">
        <f>-B14+B18*(1-Inputs!$B$13)</f>
        <v/>
      </c>
      <c r="C20">
        <f>-C14+C18*(1-Inputs!$B$13)</f>
        <v/>
      </c>
      <c r="D20">
        <f>-D14+D18*(1-Inputs!$B$13)</f>
        <v/>
      </c>
      <c r="E20">
        <f>-E14+E18*(1-Inputs!$B$13)</f>
        <v/>
      </c>
      <c r="F20">
        <f>-F14+F18*(1-Inputs!$B$13)</f>
        <v/>
      </c>
      <c r="G20">
        <f>-G14+G18*(1-Inputs!$B$13)</f>
        <v/>
      </c>
      <c r="H20">
        <f>-H14+H18*(1-Inputs!$B$13)</f>
        <v/>
      </c>
      <c r="I20">
        <f>-I14+I18*(1-Inputs!$B$13)</f>
        <v/>
      </c>
      <c r="J20">
        <f>-J14+J18*(1-Inputs!$B$13)</f>
        <v/>
      </c>
      <c r="K20">
        <f>-K14+K18*(1-Inputs!$B$13)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Levered IRR</t>
        </is>
      </c>
      <c r="B1">
        <f>IRR('Cash Flow'!B12:K12)</f>
        <v/>
      </c>
    </row>
    <row r="2">
      <c r="A2" t="inlineStr">
        <is>
          <t>Unlevered IRR</t>
        </is>
      </c>
      <c r="B2">
        <f>IRR('Cash Flow'!B11:K11)</f>
        <v/>
      </c>
    </row>
    <row r="3">
      <c r="A3" t="inlineStr">
        <is>
          <t>LP IRR</t>
        </is>
      </c>
      <c r="B3">
        <f>IRR('Cash Flow'!B19:K19)</f>
        <v/>
      </c>
    </row>
    <row r="4">
      <c r="A4" t="inlineStr">
        <is>
          <t>GP IRR</t>
        </is>
      </c>
      <c r="B4">
        <f>IRR('Cash Flow'!B20:K20)</f>
        <v/>
      </c>
    </row>
    <row r="5">
      <c r="A5" t="inlineStr">
        <is>
          <t>Net profit</t>
        </is>
      </c>
      <c r="B5">
        <f>SUM('Cash Flow'!B12:K12)</f>
        <v/>
      </c>
    </row>
    <row r="6">
      <c r="A6" t="inlineStr">
        <is>
          <t>Peak debt</t>
        </is>
      </c>
      <c r="B6">
        <f>MAX('Cash Flow'!B7:K7)</f>
        <v/>
      </c>
    </row>
    <row r="7">
      <c r="A7" t="inlineStr">
        <is>
          <t>Equity multiple</t>
        </is>
      </c>
      <c r="B7">
        <f>SUMIF('Cash Flow'!B12:K12,"&gt;0")/-SUMIF('Cash Flow'!B12:K12,"&lt;0")</f>
        <v/>
      </c>
    </row>
    <row r="8">
      <c r="A8" t="inlineStr">
        <is>
          <t>Waterfall tier reached</t>
        </is>
      </c>
      <c r="B8">
        <f>IF(SUM('Cash Flow'!B18:K18)&gt;0,"Promote","Pref only")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2026-10-24T08:32:55Z</dcterms:created>
  <dcterms:modified xsi:type="dcterms:W3CDTF">2026-10-24T08:32:55Z</dcterms:modified>
</cp:coreProperties>
</file>