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Budget" sheetId="2" state="visible" r:id="rId4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<sst xmlns="http://schemas.openxmlformats.org/spreadsheetml/2006/main" count="24" uniqueCount="22">
  <si>
    <t xml:space="preserve">STOREWAY SELF STORAGE – DEVELOPMENT (USD)</t>
  </si>
  <si>
    <t xml:space="preserve">Interest is funded by the loan (circular: iterative calculation on)</t>
  </si>
  <si>
    <t xml:space="preserve">Net rentable area (sf)</t>
  </si>
  <si>
    <t xml:space="preserve">Rent per sf per year</t>
  </si>
  <si>
    <t xml:space="preserve">Stabilised occupancy</t>
  </si>
  <si>
    <t xml:space="preserve">Operating expense ratio</t>
  </si>
  <si>
    <t xml:space="preserve">Hard cost</t>
  </si>
  <si>
    <t xml:space="preserve">Land</t>
  </si>
  <si>
    <t xml:space="preserve">Loan to cost</t>
  </si>
  <si>
    <t xml:space="preserve">Interest rate</t>
  </si>
  <si>
    <t xml:space="preserve">Exit cap rate</t>
  </si>
  <si>
    <t xml:space="preserve">BUDGET</t>
  </si>
  <si>
    <t xml:space="preserve">Interest reserve</t>
  </si>
  <si>
    <t xml:space="preserve">Total cost</t>
  </si>
  <si>
    <t xml:space="preserve">Loan</t>
  </si>
  <si>
    <t xml:space="preserve">Equity</t>
  </si>
  <si>
    <t xml:space="preserve">Stabilised NOI</t>
  </si>
  <si>
    <t xml:space="preserve">Value at exit</t>
  </si>
  <si>
    <t xml:space="preserve">Profit</t>
  </si>
  <si>
    <t xml:space="preserve">Profit on cost</t>
  </si>
  <si>
    <t xml:space="preserve">Yield on cost</t>
  </si>
  <si>
    <t xml:space="preserve">Equity multiple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</si>
</sst>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"/>
    <numFmt numFmtId="167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0" t="s">
        <v>2</v>
      </c>
      <c r="B4" s="1" t="n">
        <v>82000</v>
      </c>
    </row>
    <row r="5" customFormat="false" ht="15" hidden="false" customHeight="false" outlineLevel="0" collapsed="false">
      <c r="A5" s="0" t="s">
        <v>3</v>
      </c>
      <c r="B5" s="2" t="n">
        <v>19.5</v>
      </c>
    </row>
    <row r="6" customFormat="false" ht="15" hidden="false" customHeight="false" outlineLevel="0" collapsed="false">
      <c r="A6" s="0" t="s">
        <v>4</v>
      </c>
      <c r="B6" s="3" t="n">
        <v>0.88</v>
      </c>
    </row>
    <row r="7" customFormat="false" ht="15" hidden="false" customHeight="false" outlineLevel="0" collapsed="false">
      <c r="A7" s="0" t="s">
        <v>5</v>
      </c>
      <c r="B7" s="3" t="n">
        <v>0.36</v>
      </c>
    </row>
    <row r="8" customFormat="false" ht="15" hidden="false" customHeight="false" outlineLevel="0" collapsed="false">
      <c r="A8" s="0" t="s">
        <v>6</v>
      </c>
      <c r="B8" s="1" t="n">
        <v>9800000</v>
      </c>
    </row>
    <row r="9" customFormat="false" ht="15" hidden="false" customHeight="false" outlineLevel="0" collapsed="false">
      <c r="A9" s="0" t="s">
        <v>7</v>
      </c>
      <c r="B9" s="1" t="n">
        <v>2600000</v>
      </c>
    </row>
    <row r="10" customFormat="false" ht="15" hidden="false" customHeight="false" outlineLevel="0" collapsed="false">
      <c r="A10" s="0" t="s">
        <v>8</v>
      </c>
      <c r="B10" s="3" t="n">
        <v>0.65</v>
      </c>
    </row>
    <row r="11" customFormat="false" ht="15" hidden="false" customHeight="false" outlineLevel="0" collapsed="false">
      <c r="A11" s="0" t="s">
        <v>9</v>
      </c>
      <c r="B11" s="3" t="n">
        <v>0.0725</v>
      </c>
    </row>
    <row r="12" customFormat="false" ht="15" hidden="false" customHeight="false" outlineLevel="0" collapsed="false">
      <c r="A12" s="0" t="s">
        <v>10</v>
      </c>
      <c r="B12" s="3" t="n">
        <v>0.0575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11</v>
      </c>
    </row>
    <row r="3" customFormat="false" ht="15" hidden="false" customHeight="false" outlineLevel="0" collapsed="false">
      <c r="A3" s="0" t="s">
        <v>7</v>
      </c>
      <c r="B3" s="1" t="n">
        <f aca="false">Inputs!$B$9</f>
        <v>2600000</v>
      </c>
    </row>
    <row r="4" customFormat="false" ht="15" hidden="false" customHeight="false" outlineLevel="0" collapsed="false">
      <c r="A4" s="0" t="s">
        <v>6</v>
      </c>
      <c r="B4" s="1" t="n">
        <f aca="false">Inputs!$B$8</f>
        <v>9800000</v>
      </c>
    </row>
    <row r="5" customFormat="false" ht="15" hidden="false" customHeight="false" outlineLevel="0" collapsed="false">
      <c r="A5" s="0" t="s">
        <v>12</v>
      </c>
      <c r="B5" s="0" t="n">
        <f aca="false">B7*Inputs!$B$11*1.5/2</f>
        <v>454319.86782746</v>
      </c>
    </row>
    <row r="6" customFormat="false" ht="15" hidden="false" customHeight="false" outlineLevel="0" collapsed="false">
      <c r="A6" s="0" t="s">
        <v>13</v>
      </c>
      <c r="B6" s="0" t="n">
        <f aca="false">SUM(B3:B5)</f>
        <v>12854319.8678275</v>
      </c>
    </row>
    <row r="7" customFormat="false" ht="15" hidden="false" customHeight="false" outlineLevel="0" collapsed="false">
      <c r="A7" s="0" t="s">
        <v>14</v>
      </c>
      <c r="B7" s="0" t="n">
        <f aca="false">B6*Inputs!$B$10</f>
        <v>8355307.91408785</v>
      </c>
    </row>
    <row r="8" customFormat="false" ht="15" hidden="false" customHeight="false" outlineLevel="0" collapsed="false">
      <c r="A8" s="0" t="s">
        <v>15</v>
      </c>
      <c r="B8" s="0" t="n">
        <f aca="false">B6-B7</f>
        <v>4499011.95373961</v>
      </c>
    </row>
    <row r="10" customFormat="false" ht="15" hidden="false" customHeight="false" outlineLevel="0" collapsed="false">
      <c r="A10" s="0" t="s">
        <v>16</v>
      </c>
      <c r="B10" s="0" t="n">
        <f aca="false">Inputs!$B$4*Inputs!$B$5*Inputs!$B$6*(1-Inputs!$B$7)</f>
        <v>900556.8</v>
      </c>
    </row>
    <row r="11" customFormat="false" ht="15" hidden="false" customHeight="false" outlineLevel="0" collapsed="false">
      <c r="A11" s="0" t="s">
        <v>17</v>
      </c>
      <c r="B11" s="0" t="n">
        <f aca="false">B10/Inputs!$B$12</f>
        <v>15661857.3913043</v>
      </c>
    </row>
    <row r="12" customFormat="false" ht="15" hidden="false" customHeight="false" outlineLevel="0" collapsed="false">
      <c r="A12" s="0" t="s">
        <v>18</v>
      </c>
      <c r="B12" s="0" t="n">
        <f aca="false">B11-B6</f>
        <v>2807537.52347689</v>
      </c>
    </row>
    <row r="13" customFormat="false" ht="15" hidden="false" customHeight="false" outlineLevel="0" collapsed="false">
      <c r="A13" s="0" t="s">
        <v>19</v>
      </c>
      <c r="B13" s="0" t="n">
        <f aca="false">B12/B6</f>
        <v>0.21841198541385</v>
      </c>
    </row>
    <row r="14" customFormat="false" ht="15" hidden="false" customHeight="false" outlineLevel="0" collapsed="false">
      <c r="A14" s="0" t="s">
        <v>20</v>
      </c>
      <c r="B14" s="0" t="n">
        <f aca="false">B10/B6</f>
        <v>0.0700586891612964</v>
      </c>
    </row>
    <row r="15" customFormat="false" ht="15" hidden="false" customHeight="false" outlineLevel="0" collapsed="false">
      <c r="A15" s="0" t="s">
        <v>21</v>
      </c>
      <c r="B15" s="0" t="n">
        <f aca="false">(B11-B7)/B8</f>
        <v>1.62403424403957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2026-10-16T14:59:27Z</dcterms:created>
  <dc:creator>openpyxl</dc:creator>
  <dc:description/>
  <dc:language>en-US</dc:language>
  <cp:lastModifiedBy/>
  <dcterms:modified xsi:type="dcterms:W3CDTF">2026-10-16T14:59:27Z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