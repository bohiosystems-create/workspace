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und" sheetId="1" state="visible" r:id="rId3"/>
    <sheet name="Deals" sheetId="2" state="visible" r:id="rId4"/>
    <sheet name="Cash Flow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<sst xmlns="http://schemas.openxmlformats.org/spreadsheetml/2006/main" count="57" uniqueCount="57">
  <si>
    <t xml:space="preserve">EUROPA VALUE-ADD FUND II – FUND MODEL (EUR)</t>
  </si>
  <si>
    <t xml:space="preserve">Commitments (€)</t>
  </si>
  <si>
    <t xml:space="preserve">First close</t>
  </si>
  <si>
    <t xml:space="preserve">Investment period ends</t>
  </si>
  <si>
    <t xml:space="preserve">Management fee on commitments (investment period)</t>
  </si>
  <si>
    <t xml:space="preserve">Management fee on invested cost (after)</t>
  </si>
  <si>
    <t xml:space="preserve">Fund expenses a year (% of commitments)</t>
  </si>
  <si>
    <t xml:space="preserve">Capital call lag on the subscription line (quarters)</t>
  </si>
  <si>
    <t xml:space="preserve">Subscription line rate</t>
  </si>
  <si>
    <t xml:space="preserve">Preferred return</t>
  </si>
  <si>
    <t xml:space="preserve">Carried interest</t>
  </si>
  <si>
    <t xml:space="preserve">GP commitment</t>
  </si>
  <si>
    <t xml:space="preserve">Deal</t>
  </si>
  <si>
    <t xml:space="preserve">Acquisition date</t>
  </si>
  <si>
    <t xml:space="preserve">Equity (€)</t>
  </si>
  <si>
    <t xml:space="preserve">Exit date</t>
  </si>
  <si>
    <t xml:space="preserve">Gross multiple</t>
  </si>
  <si>
    <t xml:space="preserve">Milan offices</t>
  </si>
  <si>
    <t xml:space="preserve">Lyon logistics</t>
  </si>
  <si>
    <t xml:space="preserve">Madrid resi</t>
  </si>
  <si>
    <t xml:space="preserve">Warsaw retail park</t>
  </si>
  <si>
    <t xml:space="preserve">Lisbon hotel</t>
  </si>
  <si>
    <t xml:space="preserve">Quarter</t>
  </si>
  <si>
    <t xml:space="preserve">Date</t>
  </si>
  <si>
    <t xml:space="preserve">Deal equity</t>
  </si>
  <si>
    <t xml:space="preserve">Deal proceeds</t>
  </si>
  <si>
    <t xml:space="preserve">Invested cost</t>
  </si>
  <si>
    <t xml:space="preserve">Management fee</t>
  </si>
  <si>
    <t xml:space="preserve">Fund expenses</t>
  </si>
  <si>
    <t xml:space="preserve">Sub line drawn</t>
  </si>
  <si>
    <t xml:space="preserve">Capital called</t>
  </si>
  <si>
    <t xml:space="preserve">Sub line interest</t>
  </si>
  <si>
    <t xml:space="preserve">Sub line balance</t>
  </si>
  <si>
    <t xml:space="preserve">Contributions</t>
  </si>
  <si>
    <t xml:space="preserve">Distributable</t>
  </si>
  <si>
    <t xml:space="preserve">LP contributions</t>
  </si>
  <si>
    <t xml:space="preserve">ROC account</t>
  </si>
  <si>
    <t xml:space="preserve">Return of capital</t>
  </si>
  <si>
    <t xml:space="preserve">Pref account</t>
  </si>
  <si>
    <t xml:space="preserve">Pref paid</t>
  </si>
  <si>
    <t xml:space="preserve">Catch-up account</t>
  </si>
  <si>
    <t xml:space="preserve">Catch-up to GP</t>
  </si>
  <si>
    <t xml:space="preserve">Split 80/20 LP</t>
  </si>
  <si>
    <t xml:space="preserve">Split 80/20 GP</t>
  </si>
  <si>
    <t xml:space="preserve">LP distributions</t>
  </si>
  <si>
    <t xml:space="preserve">GP carry</t>
  </si>
  <si>
    <t xml:space="preserve">LP net cash flow</t>
  </si>
  <si>
    <t xml:space="preserve">Gross deal cash flow</t>
  </si>
  <si>
    <t xml:space="preserve">Gross IRR (deals)</t>
  </si>
  <si>
    <t xml:space="preserve">LP net IRR</t>
  </si>
  <si>
    <t xml:space="preserve">LP TVPI</t>
  </si>
  <si>
    <t xml:space="preserve">GP carried interest (€)</t>
  </si>
  <si>
    <t xml:space="preserve">Management fees (€)</t>
  </si>
  <si>
    <t xml:space="preserve">Sub line interest (€)</t>
  </si>
  <si>
    <t xml:space="preserve">Peak sub line balance (€)</t>
  </si>
  <si>
    <t xml:space="preserve">Total called (€)</t>
  </si>
  <si>
    <t xml:space="preserve">Carry as share of profit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</si>
</sst>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dd\-mmm\-yyyy"/>
    <numFmt numFmtId="167" formatCode="0.00%"/>
    <numFmt numFmtId="168" formatCode="0"/>
    <numFmt numFmtId="169" formatCode="0.00\x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500000000</v>
      </c>
    </row>
    <row r="4" customFormat="false" ht="15" hidden="false" customHeight="false" outlineLevel="0" collapsed="false">
      <c r="A4" s="0" t="s">
        <v>2</v>
      </c>
      <c r="B4" s="2" t="n">
        <v>45747</v>
      </c>
    </row>
    <row r="5" customFormat="false" ht="15" hidden="false" customHeight="false" outlineLevel="0" collapsed="false">
      <c r="A5" s="0" t="s">
        <v>3</v>
      </c>
      <c r="B5" s="2" t="n">
        <v>46843</v>
      </c>
    </row>
    <row r="6" customFormat="false" ht="15" hidden="false" customHeight="false" outlineLevel="0" collapsed="false">
      <c r="A6" s="0" t="s">
        <v>4</v>
      </c>
      <c r="B6" s="3" t="n">
        <v>0.015</v>
      </c>
    </row>
    <row r="7" customFormat="false" ht="15" hidden="false" customHeight="false" outlineLevel="0" collapsed="false">
      <c r="A7" s="0" t="s">
        <v>5</v>
      </c>
      <c r="B7" s="3" t="n">
        <v>0.0125</v>
      </c>
    </row>
    <row r="8" customFormat="false" ht="15" hidden="false" customHeight="false" outlineLevel="0" collapsed="false">
      <c r="A8" s="0" t="s">
        <v>6</v>
      </c>
      <c r="B8" s="3" t="n">
        <v>0.002</v>
      </c>
    </row>
    <row r="9" customFormat="false" ht="15" hidden="false" customHeight="false" outlineLevel="0" collapsed="false">
      <c r="A9" s="0" t="s">
        <v>7</v>
      </c>
      <c r="B9" s="4" t="n">
        <v>2</v>
      </c>
    </row>
    <row r="10" customFormat="false" ht="15" hidden="false" customHeight="false" outlineLevel="0" collapsed="false">
      <c r="A10" s="0" t="s">
        <v>8</v>
      </c>
      <c r="B10" s="3" t="n">
        <v>0.055</v>
      </c>
    </row>
    <row r="11" customFormat="false" ht="15" hidden="false" customHeight="false" outlineLevel="0" collapsed="false">
      <c r="A11" s="0" t="s">
        <v>9</v>
      </c>
      <c r="B11" s="3" t="n">
        <v>0.08</v>
      </c>
    </row>
    <row r="12" customFormat="false" ht="15" hidden="false" customHeight="false" outlineLevel="0" collapsed="false">
      <c r="A12" s="0" t="s">
        <v>10</v>
      </c>
      <c r="B12" s="3" t="n">
        <v>0.2</v>
      </c>
    </row>
    <row r="13" customFormat="false" ht="15" hidden="false" customHeight="false" outlineLevel="0" collapsed="false">
      <c r="A13" s="0" t="s">
        <v>11</v>
      </c>
      <c r="B13" s="3" t="n">
        <v>0.02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</row>
    <row r="2" customFormat="false" ht="15" hidden="false" customHeight="false" outlineLevel="0" collapsed="false">
      <c r="A2" s="0" t="s">
        <v>17</v>
      </c>
      <c r="B2" s="2" t="n">
        <v>45838</v>
      </c>
      <c r="C2" s="1" t="n">
        <v>95000000</v>
      </c>
      <c r="D2" s="2" t="n">
        <v>47483</v>
      </c>
      <c r="E2" s="5" t="n">
        <v>1.75</v>
      </c>
    </row>
    <row r="3" customFormat="false" ht="15" hidden="false" customHeight="false" outlineLevel="0" collapsed="false">
      <c r="A3" s="0" t="s">
        <v>18</v>
      </c>
      <c r="B3" s="2" t="n">
        <v>46022</v>
      </c>
      <c r="C3" s="1" t="n">
        <v>70000000</v>
      </c>
      <c r="D3" s="2" t="n">
        <v>47299</v>
      </c>
      <c r="E3" s="5" t="n">
        <v>1.9</v>
      </c>
    </row>
    <row r="4" customFormat="false" ht="15" hidden="false" customHeight="false" outlineLevel="0" collapsed="false">
      <c r="A4" s="0" t="s">
        <v>19</v>
      </c>
      <c r="B4" s="2" t="n">
        <v>46295</v>
      </c>
      <c r="C4" s="1" t="n">
        <v>85000000</v>
      </c>
      <c r="D4" s="2" t="n">
        <v>47756</v>
      </c>
      <c r="E4" s="5" t="n">
        <v>1.6</v>
      </c>
    </row>
    <row r="5" customFormat="false" ht="15" hidden="false" customHeight="false" outlineLevel="0" collapsed="false">
      <c r="A5" s="0" t="s">
        <v>20</v>
      </c>
      <c r="B5" s="2" t="n">
        <v>46477</v>
      </c>
      <c r="C5" s="1" t="n">
        <v>60000000</v>
      </c>
      <c r="D5" s="2" t="n">
        <v>47573</v>
      </c>
      <c r="E5" s="5" t="n">
        <v>1.45</v>
      </c>
    </row>
    <row r="6" customFormat="false" ht="15" hidden="false" customHeight="false" outlineLevel="0" collapsed="false">
      <c r="A6" s="0" t="s">
        <v>21</v>
      </c>
      <c r="B6" s="2" t="n">
        <v>46752</v>
      </c>
      <c r="C6" s="1" t="n">
        <v>90000000</v>
      </c>
      <c r="D6" s="2" t="n">
        <v>48029</v>
      </c>
      <c r="E6" s="5" t="n">
        <v>2.1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22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  <c r="R3" s="0" t="n">
        <v>16</v>
      </c>
      <c r="S3" s="0" t="n">
        <v>17</v>
      </c>
      <c r="T3" s="0" t="n">
        <v>18</v>
      </c>
      <c r="U3" s="0" t="n">
        <v>19</v>
      </c>
      <c r="V3" s="0" t="n">
        <v>20</v>
      </c>
      <c r="W3" s="0" t="n">
        <v>21</v>
      </c>
      <c r="X3" s="0" t="n">
        <v>22</v>
      </c>
      <c r="Y3" s="0" t="n">
        <v>23</v>
      </c>
      <c r="Z3" s="0" t="n">
        <v>24</v>
      </c>
      <c r="AA3" s="0" t="n">
        <v>25</v>
      </c>
      <c r="AB3" s="0" t="n">
        <v>26</v>
      </c>
      <c r="AC3" s="0" t="n">
        <v>27</v>
      </c>
      <c r="AD3" s="0" t="n">
        <v>28</v>
      </c>
    </row>
    <row r="4" customFormat="false" ht="15" hidden="false" customHeight="false" outlineLevel="0" collapsed="false">
      <c r="A4" s="0" t="s">
        <v>23</v>
      </c>
      <c r="B4" s="2" t="n">
        <f aca="false">EOMONTH(Fund!$B$4,3*B$3)</f>
        <v>45747</v>
      </c>
      <c r="C4" s="2" t="n">
        <f aca="false">EOMONTH(Fund!$B$4,3*C$3)</f>
        <v>45838</v>
      </c>
      <c r="D4" s="2" t="n">
        <f aca="false">EOMONTH(Fund!$B$4,3*D$3)</f>
        <v>45930</v>
      </c>
      <c r="E4" s="2" t="n">
        <f aca="false">EOMONTH(Fund!$B$4,3*E$3)</f>
        <v>46022</v>
      </c>
      <c r="F4" s="2" t="n">
        <f aca="false">EOMONTH(Fund!$B$4,3*F$3)</f>
        <v>46112</v>
      </c>
      <c r="G4" s="2" t="n">
        <f aca="false">EOMONTH(Fund!$B$4,3*G$3)</f>
        <v>46203</v>
      </c>
      <c r="H4" s="2" t="n">
        <f aca="false">EOMONTH(Fund!$B$4,3*H$3)</f>
        <v>46295</v>
      </c>
      <c r="I4" s="2" t="n">
        <f aca="false">EOMONTH(Fund!$B$4,3*I$3)</f>
        <v>46387</v>
      </c>
      <c r="J4" s="2" t="n">
        <f aca="false">EOMONTH(Fund!$B$4,3*J$3)</f>
        <v>46477</v>
      </c>
      <c r="K4" s="2" t="n">
        <f aca="false">EOMONTH(Fund!$B$4,3*K$3)</f>
        <v>46568</v>
      </c>
      <c r="L4" s="2" t="n">
        <f aca="false">EOMONTH(Fund!$B$4,3*L$3)</f>
        <v>46660</v>
      </c>
      <c r="M4" s="2" t="n">
        <f aca="false">EOMONTH(Fund!$B$4,3*M$3)</f>
        <v>46752</v>
      </c>
      <c r="N4" s="2" t="n">
        <f aca="false">EOMONTH(Fund!$B$4,3*N$3)</f>
        <v>46843</v>
      </c>
      <c r="O4" s="2" t="n">
        <f aca="false">EOMONTH(Fund!$B$4,3*O$3)</f>
        <v>46934</v>
      </c>
      <c r="P4" s="2" t="n">
        <f aca="false">EOMONTH(Fund!$B$4,3*P$3)</f>
        <v>47026</v>
      </c>
      <c r="Q4" s="2" t="n">
        <f aca="false">EOMONTH(Fund!$B$4,3*Q$3)</f>
        <v>47118</v>
      </c>
      <c r="R4" s="2" t="n">
        <f aca="false">EOMONTH(Fund!$B$4,3*R$3)</f>
        <v>47208</v>
      </c>
      <c r="S4" s="2" t="n">
        <f aca="false">EOMONTH(Fund!$B$4,3*S$3)</f>
        <v>47299</v>
      </c>
      <c r="T4" s="2" t="n">
        <f aca="false">EOMONTH(Fund!$B$4,3*T$3)</f>
        <v>47391</v>
      </c>
      <c r="U4" s="2" t="n">
        <f aca="false">EOMONTH(Fund!$B$4,3*U$3)</f>
        <v>47483</v>
      </c>
      <c r="V4" s="2" t="n">
        <f aca="false">EOMONTH(Fund!$B$4,3*V$3)</f>
        <v>47573</v>
      </c>
      <c r="W4" s="2" t="n">
        <f aca="false">EOMONTH(Fund!$B$4,3*W$3)</f>
        <v>47664</v>
      </c>
      <c r="X4" s="2" t="n">
        <f aca="false">EOMONTH(Fund!$B$4,3*X$3)</f>
        <v>47756</v>
      </c>
      <c r="Y4" s="2" t="n">
        <f aca="false">EOMONTH(Fund!$B$4,3*Y$3)</f>
        <v>47848</v>
      </c>
      <c r="Z4" s="2" t="n">
        <f aca="false">EOMONTH(Fund!$B$4,3*Z$3)</f>
        <v>47938</v>
      </c>
      <c r="AA4" s="2" t="n">
        <f aca="false">EOMONTH(Fund!$B$4,3*AA$3)</f>
        <v>48029</v>
      </c>
      <c r="AB4" s="2" t="n">
        <f aca="false">EOMONTH(Fund!$B$4,3*AB$3)</f>
        <v>48121</v>
      </c>
      <c r="AC4" s="2" t="n">
        <f aca="false">EOMONTH(Fund!$B$4,3*AC$3)</f>
        <v>48213</v>
      </c>
      <c r="AD4" s="2" t="n">
        <f aca="false">EOMONTH(Fund!$B$4,3*AD$3)</f>
        <v>48304</v>
      </c>
    </row>
    <row r="5" customFormat="false" ht="15" hidden="false" customHeight="false" outlineLevel="0" collapsed="false">
      <c r="A5" s="0" t="s">
        <v>24</v>
      </c>
      <c r="B5" s="0" t="n">
        <f aca="false">SUMPRODUCT((Deals!$B$2:$B$6&gt;(B4-1))*(Deals!$B$2:$B$6&lt;=B4)*Deals!$C$2:$C$6)</f>
        <v>0</v>
      </c>
      <c r="C5" s="0" t="n">
        <f aca="false">SUMPRODUCT((Deals!$B$2:$B$6&gt;B4)*(Deals!$B$2:$B$6&lt;=C4)*Deals!$C$2:$C$6)</f>
        <v>95000000</v>
      </c>
      <c r="D5" s="0" t="n">
        <f aca="false">SUMPRODUCT((Deals!$B$2:$B$6&gt;C4)*(Deals!$B$2:$B$6&lt;=D4)*Deals!$C$2:$C$6)</f>
        <v>0</v>
      </c>
      <c r="E5" s="0" t="n">
        <f aca="false">SUMPRODUCT((Deals!$B$2:$B$6&gt;D4)*(Deals!$B$2:$B$6&lt;=E4)*Deals!$C$2:$C$6)</f>
        <v>70000000</v>
      </c>
      <c r="F5" s="0" t="n">
        <f aca="false">SUMPRODUCT((Deals!$B$2:$B$6&gt;E4)*(Deals!$B$2:$B$6&lt;=F4)*Deals!$C$2:$C$6)</f>
        <v>0</v>
      </c>
      <c r="G5" s="0" t="n">
        <f aca="false">SUMPRODUCT((Deals!$B$2:$B$6&gt;F4)*(Deals!$B$2:$B$6&lt;=G4)*Deals!$C$2:$C$6)</f>
        <v>0</v>
      </c>
      <c r="H5" s="0" t="n">
        <f aca="false">SUMPRODUCT((Deals!$B$2:$B$6&gt;G4)*(Deals!$B$2:$B$6&lt;=H4)*Deals!$C$2:$C$6)</f>
        <v>85000000</v>
      </c>
      <c r="I5" s="0" t="n">
        <f aca="false">SUMPRODUCT((Deals!$B$2:$B$6&gt;H4)*(Deals!$B$2:$B$6&lt;=I4)*Deals!$C$2:$C$6)</f>
        <v>0</v>
      </c>
      <c r="J5" s="0" t="n">
        <f aca="false">SUMPRODUCT((Deals!$B$2:$B$6&gt;I4)*(Deals!$B$2:$B$6&lt;=J4)*Deals!$C$2:$C$6)</f>
        <v>60000000</v>
      </c>
      <c r="K5" s="0" t="n">
        <f aca="false">SUMPRODUCT((Deals!$B$2:$B$6&gt;J4)*(Deals!$B$2:$B$6&lt;=K4)*Deals!$C$2:$C$6)</f>
        <v>0</v>
      </c>
      <c r="L5" s="0" t="n">
        <f aca="false">SUMPRODUCT((Deals!$B$2:$B$6&gt;K4)*(Deals!$B$2:$B$6&lt;=L4)*Deals!$C$2:$C$6)</f>
        <v>0</v>
      </c>
      <c r="M5" s="0" t="n">
        <f aca="false">SUMPRODUCT((Deals!$B$2:$B$6&gt;L4)*(Deals!$B$2:$B$6&lt;=M4)*Deals!$C$2:$C$6)</f>
        <v>90000000</v>
      </c>
      <c r="N5" s="0" t="n">
        <f aca="false">SUMPRODUCT((Deals!$B$2:$B$6&gt;M4)*(Deals!$B$2:$B$6&lt;=N4)*Deals!$C$2:$C$6)</f>
        <v>0</v>
      </c>
      <c r="O5" s="0" t="n">
        <f aca="false">SUMPRODUCT((Deals!$B$2:$B$6&gt;N4)*(Deals!$B$2:$B$6&lt;=O4)*Deals!$C$2:$C$6)</f>
        <v>0</v>
      </c>
      <c r="P5" s="0" t="n">
        <f aca="false">SUMPRODUCT((Deals!$B$2:$B$6&gt;O4)*(Deals!$B$2:$B$6&lt;=P4)*Deals!$C$2:$C$6)</f>
        <v>0</v>
      </c>
      <c r="Q5" s="0" t="n">
        <f aca="false">SUMPRODUCT((Deals!$B$2:$B$6&gt;P4)*(Deals!$B$2:$B$6&lt;=Q4)*Deals!$C$2:$C$6)</f>
        <v>0</v>
      </c>
      <c r="R5" s="0" t="n">
        <f aca="false">SUMPRODUCT((Deals!$B$2:$B$6&gt;Q4)*(Deals!$B$2:$B$6&lt;=R4)*Deals!$C$2:$C$6)</f>
        <v>0</v>
      </c>
      <c r="S5" s="0" t="n">
        <f aca="false">SUMPRODUCT((Deals!$B$2:$B$6&gt;R4)*(Deals!$B$2:$B$6&lt;=S4)*Deals!$C$2:$C$6)</f>
        <v>0</v>
      </c>
      <c r="T5" s="0" t="n">
        <f aca="false">SUMPRODUCT((Deals!$B$2:$B$6&gt;S4)*(Deals!$B$2:$B$6&lt;=T4)*Deals!$C$2:$C$6)</f>
        <v>0</v>
      </c>
      <c r="U5" s="0" t="n">
        <f aca="false">SUMPRODUCT((Deals!$B$2:$B$6&gt;T4)*(Deals!$B$2:$B$6&lt;=U4)*Deals!$C$2:$C$6)</f>
        <v>0</v>
      </c>
      <c r="V5" s="0" t="n">
        <f aca="false">SUMPRODUCT((Deals!$B$2:$B$6&gt;U4)*(Deals!$B$2:$B$6&lt;=V4)*Deals!$C$2:$C$6)</f>
        <v>0</v>
      </c>
      <c r="W5" s="0" t="n">
        <f aca="false">SUMPRODUCT((Deals!$B$2:$B$6&gt;V4)*(Deals!$B$2:$B$6&lt;=W4)*Deals!$C$2:$C$6)</f>
        <v>0</v>
      </c>
      <c r="X5" s="0" t="n">
        <f aca="false">SUMPRODUCT((Deals!$B$2:$B$6&gt;W4)*(Deals!$B$2:$B$6&lt;=X4)*Deals!$C$2:$C$6)</f>
        <v>0</v>
      </c>
      <c r="Y5" s="0" t="n">
        <f aca="false">SUMPRODUCT((Deals!$B$2:$B$6&gt;X4)*(Deals!$B$2:$B$6&lt;=Y4)*Deals!$C$2:$C$6)</f>
        <v>0</v>
      </c>
      <c r="Z5" s="0" t="n">
        <f aca="false">SUMPRODUCT((Deals!$B$2:$B$6&gt;Y4)*(Deals!$B$2:$B$6&lt;=Z4)*Deals!$C$2:$C$6)</f>
        <v>0</v>
      </c>
      <c r="AA5" s="0" t="n">
        <f aca="false">SUMPRODUCT((Deals!$B$2:$B$6&gt;Z4)*(Deals!$B$2:$B$6&lt;=AA4)*Deals!$C$2:$C$6)</f>
        <v>0</v>
      </c>
      <c r="AB5" s="0" t="n">
        <f aca="false">SUMPRODUCT((Deals!$B$2:$B$6&gt;AA4)*(Deals!$B$2:$B$6&lt;=AB4)*Deals!$C$2:$C$6)</f>
        <v>0</v>
      </c>
      <c r="AC5" s="0" t="n">
        <f aca="false">SUMPRODUCT((Deals!$B$2:$B$6&gt;AB4)*(Deals!$B$2:$B$6&lt;=AC4)*Deals!$C$2:$C$6)</f>
        <v>0</v>
      </c>
      <c r="AD5" s="0" t="n">
        <f aca="false">SUMPRODUCT((Deals!$B$2:$B$6&gt;AC4)*(Deals!$B$2:$B$6&lt;=AD4)*Deals!$C$2:$C$6)</f>
        <v>0</v>
      </c>
    </row>
    <row r="6" customFormat="false" ht="15" hidden="false" customHeight="false" outlineLevel="0" collapsed="false">
      <c r="A6" s="0" t="s">
        <v>25</v>
      </c>
      <c r="B6" s="0" t="n">
        <f aca="false">SUMPRODUCT((Deals!$D$2:$D$6&gt;(B4-1))*(Deals!$D$2:$D$6&lt;=B4)*Deals!$C$2:$C$6*Deals!$E$2:$E$6)</f>
        <v>0</v>
      </c>
      <c r="C6" s="0" t="n">
        <f aca="false">SUMPRODUCT((Deals!$D$2:$D$6&gt;B4)*(Deals!$D$2:$D$6&lt;=C4)*Deals!$C$2:$C$6*Deals!$E$2:$E$6)</f>
        <v>0</v>
      </c>
      <c r="D6" s="0" t="n">
        <f aca="false">SUMPRODUCT((Deals!$D$2:$D$6&gt;C4)*(Deals!$D$2:$D$6&lt;=D4)*Deals!$C$2:$C$6*Deals!$E$2:$E$6)</f>
        <v>0</v>
      </c>
      <c r="E6" s="0" t="n">
        <f aca="false">SUMPRODUCT((Deals!$D$2:$D$6&gt;D4)*(Deals!$D$2:$D$6&lt;=E4)*Deals!$C$2:$C$6*Deals!$E$2:$E$6)</f>
        <v>0</v>
      </c>
      <c r="F6" s="0" t="n">
        <f aca="false">SUMPRODUCT((Deals!$D$2:$D$6&gt;E4)*(Deals!$D$2:$D$6&lt;=F4)*Deals!$C$2:$C$6*Deals!$E$2:$E$6)</f>
        <v>0</v>
      </c>
      <c r="G6" s="0" t="n">
        <f aca="false">SUMPRODUCT((Deals!$D$2:$D$6&gt;F4)*(Deals!$D$2:$D$6&lt;=G4)*Deals!$C$2:$C$6*Deals!$E$2:$E$6)</f>
        <v>0</v>
      </c>
      <c r="H6" s="0" t="n">
        <f aca="false">SUMPRODUCT((Deals!$D$2:$D$6&gt;G4)*(Deals!$D$2:$D$6&lt;=H4)*Deals!$C$2:$C$6*Deals!$E$2:$E$6)</f>
        <v>0</v>
      </c>
      <c r="I6" s="0" t="n">
        <f aca="false">SUMPRODUCT((Deals!$D$2:$D$6&gt;H4)*(Deals!$D$2:$D$6&lt;=I4)*Deals!$C$2:$C$6*Deals!$E$2:$E$6)</f>
        <v>0</v>
      </c>
      <c r="J6" s="0" t="n">
        <f aca="false">SUMPRODUCT((Deals!$D$2:$D$6&gt;I4)*(Deals!$D$2:$D$6&lt;=J4)*Deals!$C$2:$C$6*Deals!$E$2:$E$6)</f>
        <v>0</v>
      </c>
      <c r="K6" s="0" t="n">
        <f aca="false">SUMPRODUCT((Deals!$D$2:$D$6&gt;J4)*(Deals!$D$2:$D$6&lt;=K4)*Deals!$C$2:$C$6*Deals!$E$2:$E$6)</f>
        <v>0</v>
      </c>
      <c r="L6" s="0" t="n">
        <f aca="false">SUMPRODUCT((Deals!$D$2:$D$6&gt;K4)*(Deals!$D$2:$D$6&lt;=L4)*Deals!$C$2:$C$6*Deals!$E$2:$E$6)</f>
        <v>0</v>
      </c>
      <c r="M6" s="0" t="n">
        <f aca="false">SUMPRODUCT((Deals!$D$2:$D$6&gt;L4)*(Deals!$D$2:$D$6&lt;=M4)*Deals!$C$2:$C$6*Deals!$E$2:$E$6)</f>
        <v>0</v>
      </c>
      <c r="N6" s="0" t="n">
        <f aca="false">SUMPRODUCT((Deals!$D$2:$D$6&gt;M4)*(Deals!$D$2:$D$6&lt;=N4)*Deals!$C$2:$C$6*Deals!$E$2:$E$6)</f>
        <v>0</v>
      </c>
      <c r="O6" s="0" t="n">
        <f aca="false">SUMPRODUCT((Deals!$D$2:$D$6&gt;N4)*(Deals!$D$2:$D$6&lt;=O4)*Deals!$C$2:$C$6*Deals!$E$2:$E$6)</f>
        <v>0</v>
      </c>
      <c r="P6" s="0" t="n">
        <f aca="false">SUMPRODUCT((Deals!$D$2:$D$6&gt;O4)*(Deals!$D$2:$D$6&lt;=P4)*Deals!$C$2:$C$6*Deals!$E$2:$E$6)</f>
        <v>0</v>
      </c>
      <c r="Q6" s="0" t="n">
        <f aca="false">SUMPRODUCT((Deals!$D$2:$D$6&gt;P4)*(Deals!$D$2:$D$6&lt;=Q4)*Deals!$C$2:$C$6*Deals!$E$2:$E$6)</f>
        <v>0</v>
      </c>
      <c r="R6" s="0" t="n">
        <f aca="false">SUMPRODUCT((Deals!$D$2:$D$6&gt;Q4)*(Deals!$D$2:$D$6&lt;=R4)*Deals!$C$2:$C$6*Deals!$E$2:$E$6)</f>
        <v>0</v>
      </c>
      <c r="S6" s="0" t="n">
        <f aca="false">SUMPRODUCT((Deals!$D$2:$D$6&gt;R4)*(Deals!$D$2:$D$6&lt;=S4)*Deals!$C$2:$C$6*Deals!$E$2:$E$6)</f>
        <v>133000000</v>
      </c>
      <c r="T6" s="0" t="n">
        <f aca="false">SUMPRODUCT((Deals!$D$2:$D$6&gt;S4)*(Deals!$D$2:$D$6&lt;=T4)*Deals!$C$2:$C$6*Deals!$E$2:$E$6)</f>
        <v>0</v>
      </c>
      <c r="U6" s="0" t="n">
        <f aca="false">SUMPRODUCT((Deals!$D$2:$D$6&gt;T4)*(Deals!$D$2:$D$6&lt;=U4)*Deals!$C$2:$C$6*Deals!$E$2:$E$6)</f>
        <v>166250000</v>
      </c>
      <c r="V6" s="0" t="n">
        <f aca="false">SUMPRODUCT((Deals!$D$2:$D$6&gt;U4)*(Deals!$D$2:$D$6&lt;=V4)*Deals!$C$2:$C$6*Deals!$E$2:$E$6)</f>
        <v>87000000</v>
      </c>
      <c r="W6" s="0" t="n">
        <f aca="false">SUMPRODUCT((Deals!$D$2:$D$6&gt;V4)*(Deals!$D$2:$D$6&lt;=W4)*Deals!$C$2:$C$6*Deals!$E$2:$E$6)</f>
        <v>0</v>
      </c>
      <c r="X6" s="0" t="n">
        <f aca="false">SUMPRODUCT((Deals!$D$2:$D$6&gt;W4)*(Deals!$D$2:$D$6&lt;=X4)*Deals!$C$2:$C$6*Deals!$E$2:$E$6)</f>
        <v>136000000</v>
      </c>
      <c r="Y6" s="0" t="n">
        <f aca="false">SUMPRODUCT((Deals!$D$2:$D$6&gt;X4)*(Deals!$D$2:$D$6&lt;=Y4)*Deals!$C$2:$C$6*Deals!$E$2:$E$6)</f>
        <v>0</v>
      </c>
      <c r="Z6" s="0" t="n">
        <f aca="false">SUMPRODUCT((Deals!$D$2:$D$6&gt;Y4)*(Deals!$D$2:$D$6&lt;=Z4)*Deals!$C$2:$C$6*Deals!$E$2:$E$6)</f>
        <v>0</v>
      </c>
      <c r="AA6" s="0" t="n">
        <f aca="false">SUMPRODUCT((Deals!$D$2:$D$6&gt;Z4)*(Deals!$D$2:$D$6&lt;=AA4)*Deals!$C$2:$C$6*Deals!$E$2:$E$6)</f>
        <v>189000000</v>
      </c>
      <c r="AB6" s="0" t="n">
        <f aca="false">SUMPRODUCT((Deals!$D$2:$D$6&gt;AA4)*(Deals!$D$2:$D$6&lt;=AB4)*Deals!$C$2:$C$6*Deals!$E$2:$E$6)</f>
        <v>0</v>
      </c>
      <c r="AC6" s="0" t="n">
        <f aca="false">SUMPRODUCT((Deals!$D$2:$D$6&gt;AB4)*(Deals!$D$2:$D$6&lt;=AC4)*Deals!$C$2:$C$6*Deals!$E$2:$E$6)</f>
        <v>0</v>
      </c>
      <c r="AD6" s="0" t="n">
        <f aca="false">SUMPRODUCT((Deals!$D$2:$D$6&gt;AC4)*(Deals!$D$2:$D$6&lt;=AD4)*Deals!$C$2:$C$6*Deals!$E$2:$E$6)</f>
        <v>0</v>
      </c>
    </row>
    <row r="7" customFormat="false" ht="15" hidden="false" customHeight="false" outlineLevel="0" collapsed="false">
      <c r="A7" s="0" t="s">
        <v>26</v>
      </c>
      <c r="B7" s="0" t="n">
        <f aca="false">SUMPRODUCT((Deals!$B$2:$B$6&lt;=B4)*(Deals!$D$2:$D$6&gt;B4)*Deals!$C$2:$C$6)</f>
        <v>0</v>
      </c>
      <c r="C7" s="0" t="n">
        <f aca="false">SUMPRODUCT((Deals!$B$2:$B$6&lt;=C4)*(Deals!$D$2:$D$6&gt;C4)*Deals!$C$2:$C$6)</f>
        <v>95000000</v>
      </c>
      <c r="D7" s="0" t="n">
        <f aca="false">SUMPRODUCT((Deals!$B$2:$B$6&lt;=D4)*(Deals!$D$2:$D$6&gt;D4)*Deals!$C$2:$C$6)</f>
        <v>95000000</v>
      </c>
      <c r="E7" s="0" t="n">
        <f aca="false">SUMPRODUCT((Deals!$B$2:$B$6&lt;=E4)*(Deals!$D$2:$D$6&gt;E4)*Deals!$C$2:$C$6)</f>
        <v>165000000</v>
      </c>
      <c r="F7" s="0" t="n">
        <f aca="false">SUMPRODUCT((Deals!$B$2:$B$6&lt;=F4)*(Deals!$D$2:$D$6&gt;F4)*Deals!$C$2:$C$6)</f>
        <v>165000000</v>
      </c>
      <c r="G7" s="0" t="n">
        <f aca="false">SUMPRODUCT((Deals!$B$2:$B$6&lt;=G4)*(Deals!$D$2:$D$6&gt;G4)*Deals!$C$2:$C$6)</f>
        <v>165000000</v>
      </c>
      <c r="H7" s="0" t="n">
        <f aca="false">SUMPRODUCT((Deals!$B$2:$B$6&lt;=H4)*(Deals!$D$2:$D$6&gt;H4)*Deals!$C$2:$C$6)</f>
        <v>250000000</v>
      </c>
      <c r="I7" s="0" t="n">
        <f aca="false">SUMPRODUCT((Deals!$B$2:$B$6&lt;=I4)*(Deals!$D$2:$D$6&gt;I4)*Deals!$C$2:$C$6)</f>
        <v>250000000</v>
      </c>
      <c r="J7" s="0" t="n">
        <f aca="false">SUMPRODUCT((Deals!$B$2:$B$6&lt;=J4)*(Deals!$D$2:$D$6&gt;J4)*Deals!$C$2:$C$6)</f>
        <v>310000000</v>
      </c>
      <c r="K7" s="0" t="n">
        <f aca="false">SUMPRODUCT((Deals!$B$2:$B$6&lt;=K4)*(Deals!$D$2:$D$6&gt;K4)*Deals!$C$2:$C$6)</f>
        <v>310000000</v>
      </c>
      <c r="L7" s="0" t="n">
        <f aca="false">SUMPRODUCT((Deals!$B$2:$B$6&lt;=L4)*(Deals!$D$2:$D$6&gt;L4)*Deals!$C$2:$C$6)</f>
        <v>310000000</v>
      </c>
      <c r="M7" s="0" t="n">
        <f aca="false">SUMPRODUCT((Deals!$B$2:$B$6&lt;=M4)*(Deals!$D$2:$D$6&gt;M4)*Deals!$C$2:$C$6)</f>
        <v>400000000</v>
      </c>
      <c r="N7" s="0" t="n">
        <f aca="false">SUMPRODUCT((Deals!$B$2:$B$6&lt;=N4)*(Deals!$D$2:$D$6&gt;N4)*Deals!$C$2:$C$6)</f>
        <v>400000000</v>
      </c>
      <c r="O7" s="0" t="n">
        <f aca="false">SUMPRODUCT((Deals!$B$2:$B$6&lt;=O4)*(Deals!$D$2:$D$6&gt;O4)*Deals!$C$2:$C$6)</f>
        <v>400000000</v>
      </c>
      <c r="P7" s="0" t="n">
        <f aca="false">SUMPRODUCT((Deals!$B$2:$B$6&lt;=P4)*(Deals!$D$2:$D$6&gt;P4)*Deals!$C$2:$C$6)</f>
        <v>400000000</v>
      </c>
      <c r="Q7" s="0" t="n">
        <f aca="false">SUMPRODUCT((Deals!$B$2:$B$6&lt;=Q4)*(Deals!$D$2:$D$6&gt;Q4)*Deals!$C$2:$C$6)</f>
        <v>400000000</v>
      </c>
      <c r="R7" s="0" t="n">
        <f aca="false">SUMPRODUCT((Deals!$B$2:$B$6&lt;=R4)*(Deals!$D$2:$D$6&gt;R4)*Deals!$C$2:$C$6)</f>
        <v>400000000</v>
      </c>
      <c r="S7" s="0" t="n">
        <f aca="false">SUMPRODUCT((Deals!$B$2:$B$6&lt;=S4)*(Deals!$D$2:$D$6&gt;S4)*Deals!$C$2:$C$6)</f>
        <v>330000000</v>
      </c>
      <c r="T7" s="0" t="n">
        <f aca="false">SUMPRODUCT((Deals!$B$2:$B$6&lt;=T4)*(Deals!$D$2:$D$6&gt;T4)*Deals!$C$2:$C$6)</f>
        <v>330000000</v>
      </c>
      <c r="U7" s="0" t="n">
        <f aca="false">SUMPRODUCT((Deals!$B$2:$B$6&lt;=U4)*(Deals!$D$2:$D$6&gt;U4)*Deals!$C$2:$C$6)</f>
        <v>235000000</v>
      </c>
      <c r="V7" s="0" t="n">
        <f aca="false">SUMPRODUCT((Deals!$B$2:$B$6&lt;=V4)*(Deals!$D$2:$D$6&gt;V4)*Deals!$C$2:$C$6)</f>
        <v>175000000</v>
      </c>
      <c r="W7" s="0" t="n">
        <f aca="false">SUMPRODUCT((Deals!$B$2:$B$6&lt;=W4)*(Deals!$D$2:$D$6&gt;W4)*Deals!$C$2:$C$6)</f>
        <v>175000000</v>
      </c>
      <c r="X7" s="0" t="n">
        <f aca="false">SUMPRODUCT((Deals!$B$2:$B$6&lt;=X4)*(Deals!$D$2:$D$6&gt;X4)*Deals!$C$2:$C$6)</f>
        <v>90000000</v>
      </c>
      <c r="Y7" s="0" t="n">
        <f aca="false">SUMPRODUCT((Deals!$B$2:$B$6&lt;=Y4)*(Deals!$D$2:$D$6&gt;Y4)*Deals!$C$2:$C$6)</f>
        <v>90000000</v>
      </c>
      <c r="Z7" s="0" t="n">
        <f aca="false">SUMPRODUCT((Deals!$B$2:$B$6&lt;=Z4)*(Deals!$D$2:$D$6&gt;Z4)*Deals!$C$2:$C$6)</f>
        <v>90000000</v>
      </c>
      <c r="AA7" s="0" t="n">
        <f aca="false">SUMPRODUCT((Deals!$B$2:$B$6&lt;=AA4)*(Deals!$D$2:$D$6&gt;AA4)*Deals!$C$2:$C$6)</f>
        <v>0</v>
      </c>
      <c r="AB7" s="0" t="n">
        <f aca="false">SUMPRODUCT((Deals!$B$2:$B$6&lt;=AB4)*(Deals!$D$2:$D$6&gt;AB4)*Deals!$C$2:$C$6)</f>
        <v>0</v>
      </c>
      <c r="AC7" s="0" t="n">
        <f aca="false">SUMPRODUCT((Deals!$B$2:$B$6&lt;=AC4)*(Deals!$D$2:$D$6&gt;AC4)*Deals!$C$2:$C$6)</f>
        <v>0</v>
      </c>
      <c r="AD7" s="0" t="n">
        <f aca="false">SUMPRODUCT((Deals!$B$2:$B$6&lt;=AD4)*(Deals!$D$2:$D$6&gt;AD4)*Deals!$C$2:$C$6)</f>
        <v>0</v>
      </c>
    </row>
    <row r="8" customFormat="false" ht="15" hidden="false" customHeight="false" outlineLevel="0" collapsed="false">
      <c r="A8" s="0" t="s">
        <v>27</v>
      </c>
      <c r="B8" s="0" t="n">
        <f aca="false">IF(B4&lt;=Fund!$B$5,Fund!$B$3*Fund!$B$6,B7*Fund!$B$7)/4</f>
        <v>1875000</v>
      </c>
      <c r="C8" s="0" t="n">
        <f aca="false">IF(C4&lt;=Fund!$B$5,Fund!$B$3*Fund!$B$6,C7*Fund!$B$7)/4</f>
        <v>1875000</v>
      </c>
      <c r="D8" s="0" t="n">
        <f aca="false">IF(D4&lt;=Fund!$B$5,Fund!$B$3*Fund!$B$6,D7*Fund!$B$7)/4</f>
        <v>1875000</v>
      </c>
      <c r="E8" s="0" t="n">
        <f aca="false">IF(E4&lt;=Fund!$B$5,Fund!$B$3*Fund!$B$6,E7*Fund!$B$7)/4</f>
        <v>1875000</v>
      </c>
      <c r="F8" s="0" t="n">
        <f aca="false">IF(F4&lt;=Fund!$B$5,Fund!$B$3*Fund!$B$6,F7*Fund!$B$7)/4</f>
        <v>1875000</v>
      </c>
      <c r="G8" s="0" t="n">
        <f aca="false">IF(G4&lt;=Fund!$B$5,Fund!$B$3*Fund!$B$6,G7*Fund!$B$7)/4</f>
        <v>1875000</v>
      </c>
      <c r="H8" s="0" t="n">
        <f aca="false">IF(H4&lt;=Fund!$B$5,Fund!$B$3*Fund!$B$6,H7*Fund!$B$7)/4</f>
        <v>1875000</v>
      </c>
      <c r="I8" s="0" t="n">
        <f aca="false">IF(I4&lt;=Fund!$B$5,Fund!$B$3*Fund!$B$6,I7*Fund!$B$7)/4</f>
        <v>1875000</v>
      </c>
      <c r="J8" s="0" t="n">
        <f aca="false">IF(J4&lt;=Fund!$B$5,Fund!$B$3*Fund!$B$6,J7*Fund!$B$7)/4</f>
        <v>1875000</v>
      </c>
      <c r="K8" s="0" t="n">
        <f aca="false">IF(K4&lt;=Fund!$B$5,Fund!$B$3*Fund!$B$6,K7*Fund!$B$7)/4</f>
        <v>1875000</v>
      </c>
      <c r="L8" s="0" t="n">
        <f aca="false">IF(L4&lt;=Fund!$B$5,Fund!$B$3*Fund!$B$6,L7*Fund!$B$7)/4</f>
        <v>1875000</v>
      </c>
      <c r="M8" s="0" t="n">
        <f aca="false">IF(M4&lt;=Fund!$B$5,Fund!$B$3*Fund!$B$6,M7*Fund!$B$7)/4</f>
        <v>1875000</v>
      </c>
      <c r="N8" s="0" t="n">
        <f aca="false">IF(N4&lt;=Fund!$B$5,Fund!$B$3*Fund!$B$6,N7*Fund!$B$7)/4</f>
        <v>1875000</v>
      </c>
      <c r="O8" s="0" t="n">
        <f aca="false">IF(O4&lt;=Fund!$B$5,Fund!$B$3*Fund!$B$6,O7*Fund!$B$7)/4</f>
        <v>1250000</v>
      </c>
      <c r="P8" s="0" t="n">
        <f aca="false">IF(P4&lt;=Fund!$B$5,Fund!$B$3*Fund!$B$6,P7*Fund!$B$7)/4</f>
        <v>1250000</v>
      </c>
      <c r="Q8" s="0" t="n">
        <f aca="false">IF(Q4&lt;=Fund!$B$5,Fund!$B$3*Fund!$B$6,Q7*Fund!$B$7)/4</f>
        <v>1250000</v>
      </c>
      <c r="R8" s="0" t="n">
        <f aca="false">IF(R4&lt;=Fund!$B$5,Fund!$B$3*Fund!$B$6,R7*Fund!$B$7)/4</f>
        <v>1250000</v>
      </c>
      <c r="S8" s="0" t="n">
        <f aca="false">IF(S4&lt;=Fund!$B$5,Fund!$B$3*Fund!$B$6,S7*Fund!$B$7)/4</f>
        <v>1031250</v>
      </c>
      <c r="T8" s="0" t="n">
        <f aca="false">IF(T4&lt;=Fund!$B$5,Fund!$B$3*Fund!$B$6,T7*Fund!$B$7)/4</f>
        <v>1031250</v>
      </c>
      <c r="U8" s="0" t="n">
        <f aca="false">IF(U4&lt;=Fund!$B$5,Fund!$B$3*Fund!$B$6,U7*Fund!$B$7)/4</f>
        <v>734375</v>
      </c>
      <c r="V8" s="0" t="n">
        <f aca="false">IF(V4&lt;=Fund!$B$5,Fund!$B$3*Fund!$B$6,V7*Fund!$B$7)/4</f>
        <v>546875</v>
      </c>
      <c r="W8" s="0" t="n">
        <f aca="false">IF(W4&lt;=Fund!$B$5,Fund!$B$3*Fund!$B$6,W7*Fund!$B$7)/4</f>
        <v>546875</v>
      </c>
      <c r="X8" s="0" t="n">
        <f aca="false">IF(X4&lt;=Fund!$B$5,Fund!$B$3*Fund!$B$6,X7*Fund!$B$7)/4</f>
        <v>281250</v>
      </c>
      <c r="Y8" s="0" t="n">
        <f aca="false">IF(Y4&lt;=Fund!$B$5,Fund!$B$3*Fund!$B$6,Y7*Fund!$B$7)/4</f>
        <v>281250</v>
      </c>
      <c r="Z8" s="0" t="n">
        <f aca="false">IF(Z4&lt;=Fund!$B$5,Fund!$B$3*Fund!$B$6,Z7*Fund!$B$7)/4</f>
        <v>281250</v>
      </c>
      <c r="AA8" s="0" t="n">
        <f aca="false">IF(AA4&lt;=Fund!$B$5,Fund!$B$3*Fund!$B$6,AA7*Fund!$B$7)/4</f>
        <v>0</v>
      </c>
      <c r="AB8" s="0" t="n">
        <f aca="false">IF(AB4&lt;=Fund!$B$5,Fund!$B$3*Fund!$B$6,AB7*Fund!$B$7)/4</f>
        <v>0</v>
      </c>
      <c r="AC8" s="0" t="n">
        <f aca="false">IF(AC4&lt;=Fund!$B$5,Fund!$B$3*Fund!$B$6,AC7*Fund!$B$7)/4</f>
        <v>0</v>
      </c>
      <c r="AD8" s="0" t="n">
        <f aca="false">IF(AD4&lt;=Fund!$B$5,Fund!$B$3*Fund!$B$6,AD7*Fund!$B$7)/4</f>
        <v>0</v>
      </c>
    </row>
    <row r="9" customFormat="false" ht="15" hidden="false" customHeight="false" outlineLevel="0" collapsed="false">
      <c r="A9" s="0" t="s">
        <v>28</v>
      </c>
      <c r="B9" s="0" t="n">
        <f aca="false">Fund!$B$3*Fund!$B$8/4</f>
        <v>250000</v>
      </c>
      <c r="C9" s="0" t="n">
        <f aca="false">Fund!$B$3*Fund!$B$8/4</f>
        <v>250000</v>
      </c>
      <c r="D9" s="0" t="n">
        <f aca="false">Fund!$B$3*Fund!$B$8/4</f>
        <v>250000</v>
      </c>
      <c r="E9" s="0" t="n">
        <f aca="false">Fund!$B$3*Fund!$B$8/4</f>
        <v>250000</v>
      </c>
      <c r="F9" s="0" t="n">
        <f aca="false">Fund!$B$3*Fund!$B$8/4</f>
        <v>250000</v>
      </c>
      <c r="G9" s="0" t="n">
        <f aca="false">Fund!$B$3*Fund!$B$8/4</f>
        <v>250000</v>
      </c>
      <c r="H9" s="0" t="n">
        <f aca="false">Fund!$B$3*Fund!$B$8/4</f>
        <v>250000</v>
      </c>
      <c r="I9" s="0" t="n">
        <f aca="false">Fund!$B$3*Fund!$B$8/4</f>
        <v>250000</v>
      </c>
      <c r="J9" s="0" t="n">
        <f aca="false">Fund!$B$3*Fund!$B$8/4</f>
        <v>250000</v>
      </c>
      <c r="K9" s="0" t="n">
        <f aca="false">Fund!$B$3*Fund!$B$8/4</f>
        <v>250000</v>
      </c>
      <c r="L9" s="0" t="n">
        <f aca="false">Fund!$B$3*Fund!$B$8/4</f>
        <v>250000</v>
      </c>
      <c r="M9" s="0" t="n">
        <f aca="false">Fund!$B$3*Fund!$B$8/4</f>
        <v>250000</v>
      </c>
      <c r="N9" s="0" t="n">
        <f aca="false">Fund!$B$3*Fund!$B$8/4</f>
        <v>250000</v>
      </c>
      <c r="O9" s="0" t="n">
        <f aca="false">Fund!$B$3*Fund!$B$8/4</f>
        <v>250000</v>
      </c>
      <c r="P9" s="0" t="n">
        <f aca="false">Fund!$B$3*Fund!$B$8/4</f>
        <v>250000</v>
      </c>
      <c r="Q9" s="0" t="n">
        <f aca="false">Fund!$B$3*Fund!$B$8/4</f>
        <v>250000</v>
      </c>
      <c r="R9" s="0" t="n">
        <f aca="false">Fund!$B$3*Fund!$B$8/4</f>
        <v>250000</v>
      </c>
      <c r="S9" s="0" t="n">
        <f aca="false">Fund!$B$3*Fund!$B$8/4</f>
        <v>250000</v>
      </c>
      <c r="T9" s="0" t="n">
        <f aca="false">Fund!$B$3*Fund!$B$8/4</f>
        <v>250000</v>
      </c>
      <c r="U9" s="0" t="n">
        <f aca="false">Fund!$B$3*Fund!$B$8/4</f>
        <v>250000</v>
      </c>
      <c r="V9" s="0" t="n">
        <f aca="false">Fund!$B$3*Fund!$B$8/4</f>
        <v>250000</v>
      </c>
      <c r="W9" s="0" t="n">
        <f aca="false">Fund!$B$3*Fund!$B$8/4</f>
        <v>250000</v>
      </c>
      <c r="X9" s="0" t="n">
        <f aca="false">Fund!$B$3*Fund!$B$8/4</f>
        <v>250000</v>
      </c>
      <c r="Y9" s="0" t="n">
        <f aca="false">Fund!$B$3*Fund!$B$8/4</f>
        <v>250000</v>
      </c>
      <c r="Z9" s="0" t="n">
        <f aca="false">Fund!$B$3*Fund!$B$8/4</f>
        <v>250000</v>
      </c>
      <c r="AA9" s="0" t="n">
        <f aca="false">Fund!$B$3*Fund!$B$8/4</f>
        <v>250000</v>
      </c>
      <c r="AB9" s="0" t="n">
        <f aca="false">Fund!$B$3*Fund!$B$8/4</f>
        <v>250000</v>
      </c>
      <c r="AC9" s="0" t="n">
        <f aca="false">Fund!$B$3*Fund!$B$8/4</f>
        <v>250000</v>
      </c>
      <c r="AD9" s="0" t="n">
        <f aca="false">Fund!$B$3*Fund!$B$8/4</f>
        <v>250000</v>
      </c>
    </row>
    <row r="10" customFormat="false" ht="15" hidden="false" customHeight="false" outlineLevel="0" collapsed="false">
      <c r="A10" s="0" t="s">
        <v>29</v>
      </c>
      <c r="B10" s="0" t="n">
        <f aca="false">B5</f>
        <v>0</v>
      </c>
      <c r="C10" s="0" t="n">
        <f aca="false">C5</f>
        <v>95000000</v>
      </c>
      <c r="D10" s="0" t="n">
        <f aca="false">D5</f>
        <v>0</v>
      </c>
      <c r="E10" s="0" t="n">
        <f aca="false">E5</f>
        <v>70000000</v>
      </c>
      <c r="F10" s="0" t="n">
        <f aca="false">F5</f>
        <v>0</v>
      </c>
      <c r="G10" s="0" t="n">
        <f aca="false">G5</f>
        <v>0</v>
      </c>
      <c r="H10" s="0" t="n">
        <f aca="false">H5</f>
        <v>85000000</v>
      </c>
      <c r="I10" s="0" t="n">
        <f aca="false">I5</f>
        <v>0</v>
      </c>
      <c r="J10" s="0" t="n">
        <f aca="false">J5</f>
        <v>60000000</v>
      </c>
      <c r="K10" s="0" t="n">
        <f aca="false">K5</f>
        <v>0</v>
      </c>
      <c r="L10" s="0" t="n">
        <f aca="false">L5</f>
        <v>0</v>
      </c>
      <c r="M10" s="0" t="n">
        <f aca="false">M5</f>
        <v>90000000</v>
      </c>
      <c r="N10" s="0" t="n">
        <f aca="false">N5</f>
        <v>0</v>
      </c>
      <c r="O10" s="0" t="n">
        <f aca="false">O5</f>
        <v>0</v>
      </c>
      <c r="P10" s="0" t="n">
        <f aca="false">P5</f>
        <v>0</v>
      </c>
      <c r="Q10" s="0" t="n">
        <f aca="false">Q5</f>
        <v>0</v>
      </c>
      <c r="R10" s="0" t="n">
        <f aca="false">R5</f>
        <v>0</v>
      </c>
      <c r="S10" s="0" t="n">
        <f aca="false">S5</f>
        <v>0</v>
      </c>
      <c r="T10" s="0" t="n">
        <f aca="false">T5</f>
        <v>0</v>
      </c>
      <c r="U10" s="0" t="n">
        <f aca="false">U5</f>
        <v>0</v>
      </c>
      <c r="V10" s="0" t="n">
        <f aca="false">V5</f>
        <v>0</v>
      </c>
      <c r="W10" s="0" t="n">
        <f aca="false">W5</f>
        <v>0</v>
      </c>
      <c r="X10" s="0" t="n">
        <f aca="false">X5</f>
        <v>0</v>
      </c>
      <c r="Y10" s="0" t="n">
        <f aca="false">Y5</f>
        <v>0</v>
      </c>
      <c r="Z10" s="0" t="n">
        <f aca="false">Z5</f>
        <v>0</v>
      </c>
      <c r="AA10" s="0" t="n">
        <f aca="false">AA5</f>
        <v>0</v>
      </c>
      <c r="AB10" s="0" t="n">
        <f aca="false">AB5</f>
        <v>0</v>
      </c>
      <c r="AC10" s="0" t="n">
        <f aca="false">AC5</f>
        <v>0</v>
      </c>
      <c r="AD10" s="0" t="n">
        <f aca="false">AD5</f>
        <v>0</v>
      </c>
    </row>
    <row r="11" customFormat="false" ht="15" hidden="false" customHeight="false" outlineLevel="0" collapsed="false">
      <c r="A11" s="0" t="s">
        <v>30</v>
      </c>
      <c r="B11" s="0" t="n">
        <f aca="true">IF(B$3&gt;=Fund!$B$9,OFFSET(B10,0,-Fund!$B$9),0)+B8+B9+B12</f>
        <v>2125000</v>
      </c>
      <c r="C11" s="0" t="n">
        <f aca="true">IF(C$3&gt;=Fund!$B$9,OFFSET(C10,0,-Fund!$B$9),0)+C8+C9+C12</f>
        <v>2125000</v>
      </c>
      <c r="D11" s="0" t="n">
        <f aca="true">IF(D$3&gt;=Fund!$B$9,OFFSET(D10,0,-Fund!$B$9),0)+D8+D9+D12</f>
        <v>3431250</v>
      </c>
      <c r="E11" s="0" t="n">
        <f aca="true">IF(E$3&gt;=Fund!$B$9,OFFSET(E10,0,-Fund!$B$9),0)+E8+E9+E12</f>
        <v>98431250</v>
      </c>
      <c r="F11" s="0" t="n">
        <f aca="true">IF(F$3&gt;=Fund!$B$9,OFFSET(F10,0,-Fund!$B$9),0)+F8+F9+F12</f>
        <v>3087500</v>
      </c>
      <c r="G11" s="0" t="n">
        <f aca="true">IF(G$3&gt;=Fund!$B$9,OFFSET(G10,0,-Fund!$B$9),0)+G8+G9+G12</f>
        <v>73087500</v>
      </c>
      <c r="H11" s="0" t="n">
        <f aca="true">IF(H$3&gt;=Fund!$B$9,OFFSET(H10,0,-Fund!$B$9),0)+H8+H9+H12</f>
        <v>2125000</v>
      </c>
      <c r="I11" s="0" t="n">
        <f aca="true">IF(I$3&gt;=Fund!$B$9,OFFSET(I10,0,-Fund!$B$9),0)+I8+I9+I12</f>
        <v>3293750</v>
      </c>
      <c r="J11" s="0" t="n">
        <f aca="true">IF(J$3&gt;=Fund!$B$9,OFFSET(J10,0,-Fund!$B$9),0)+J8+J9+J12</f>
        <v>88293750</v>
      </c>
      <c r="K11" s="0" t="n">
        <f aca="true">IF(K$3&gt;=Fund!$B$9,OFFSET(K10,0,-Fund!$B$9),0)+K8+K9+K12</f>
        <v>2950000</v>
      </c>
      <c r="L11" s="0" t="n">
        <f aca="true">IF(L$3&gt;=Fund!$B$9,OFFSET(L10,0,-Fund!$B$9),0)+L8+L9+L12</f>
        <v>62950000</v>
      </c>
      <c r="M11" s="0" t="n">
        <f aca="true">IF(M$3&gt;=Fund!$B$9,OFFSET(M10,0,-Fund!$B$9),0)+M8+M9+M12</f>
        <v>2125000</v>
      </c>
      <c r="N11" s="0" t="n">
        <f aca="true">IF(N$3&gt;=Fund!$B$9,OFFSET(N10,0,-Fund!$B$9),0)+N8+N9+N12</f>
        <v>3362500</v>
      </c>
      <c r="O11" s="0" t="n">
        <f aca="true">IF(O$3&gt;=Fund!$B$9,OFFSET(O10,0,-Fund!$B$9),0)+O8+O9+O12</f>
        <v>92737500</v>
      </c>
      <c r="P11" s="0" t="n">
        <f aca="true">IF(P$3&gt;=Fund!$B$9,OFFSET(P10,0,-Fund!$B$9),0)+P8+P9+P12</f>
        <v>1500000</v>
      </c>
      <c r="Q11" s="0" t="n">
        <f aca="true">IF(Q$3&gt;=Fund!$B$9,OFFSET(Q10,0,-Fund!$B$9),0)+Q8+Q9+Q12</f>
        <v>1500000</v>
      </c>
      <c r="R11" s="0" t="n">
        <f aca="true">IF(R$3&gt;=Fund!$B$9,OFFSET(R10,0,-Fund!$B$9),0)+R8+R9+R12</f>
        <v>1500000</v>
      </c>
      <c r="S11" s="0" t="n">
        <f aca="true">IF(S$3&gt;=Fund!$B$9,OFFSET(S10,0,-Fund!$B$9),0)+S8+S9+S12</f>
        <v>1281250</v>
      </c>
      <c r="T11" s="0" t="n">
        <f aca="true">IF(T$3&gt;=Fund!$B$9,OFFSET(T10,0,-Fund!$B$9),0)+T8+T9+T12</f>
        <v>1281250</v>
      </c>
      <c r="U11" s="0" t="n">
        <f aca="true">IF(U$3&gt;=Fund!$B$9,OFFSET(U10,0,-Fund!$B$9),0)+U8+U9+U12</f>
        <v>984375</v>
      </c>
      <c r="V11" s="0" t="n">
        <f aca="true">IF(V$3&gt;=Fund!$B$9,OFFSET(V10,0,-Fund!$B$9),0)+V8+V9+V12</f>
        <v>796875</v>
      </c>
      <c r="W11" s="0" t="n">
        <f aca="true">IF(W$3&gt;=Fund!$B$9,OFFSET(W10,0,-Fund!$B$9),0)+W8+W9+W12</f>
        <v>796875</v>
      </c>
      <c r="X11" s="0" t="n">
        <f aca="true">IF(X$3&gt;=Fund!$B$9,OFFSET(X10,0,-Fund!$B$9),0)+X8+X9+X12</f>
        <v>531250</v>
      </c>
      <c r="Y11" s="0" t="n">
        <f aca="true">IF(Y$3&gt;=Fund!$B$9,OFFSET(Y10,0,-Fund!$B$9),0)+Y8+Y9+Y12</f>
        <v>531250</v>
      </c>
      <c r="Z11" s="0" t="n">
        <f aca="true">IF(Z$3&gt;=Fund!$B$9,OFFSET(Z10,0,-Fund!$B$9),0)+Z8+Z9+Z12</f>
        <v>531250</v>
      </c>
      <c r="AA11" s="0" t="n">
        <f aca="true">IF(AA$3&gt;=Fund!$B$9,OFFSET(AA10,0,-Fund!$B$9),0)+AA8+AA9+AA12</f>
        <v>250000</v>
      </c>
      <c r="AB11" s="0" t="n">
        <f aca="true">IF(AB$3&gt;=Fund!$B$9,OFFSET(AB10,0,-Fund!$B$9),0)+AB8+AB9+AB12</f>
        <v>250000</v>
      </c>
      <c r="AC11" s="0" t="n">
        <f aca="true">IF(AC$3&gt;=Fund!$B$9,OFFSET(AC10,0,-Fund!$B$9),0)+AC8+AC9+AC12</f>
        <v>250000</v>
      </c>
      <c r="AD11" s="0" t="n">
        <f aca="true">IF(AD$3&gt;=Fund!$B$9,OFFSET(AD10,0,-Fund!$B$9),0)+AD8+AD9+AD12</f>
        <v>250000</v>
      </c>
    </row>
    <row r="12" customFormat="false" ht="15" hidden="false" customHeight="false" outlineLevel="0" collapsed="false">
      <c r="A12" s="0" t="s">
        <v>31</v>
      </c>
      <c r="B12" s="0" t="n">
        <f aca="false">0</f>
        <v>0</v>
      </c>
      <c r="C12" s="0" t="n">
        <f aca="false">B13*Fund!$B$10/4</f>
        <v>0</v>
      </c>
      <c r="D12" s="0" t="n">
        <f aca="false">C13*Fund!$B$10/4</f>
        <v>1306250</v>
      </c>
      <c r="E12" s="0" t="n">
        <f aca="false">D13*Fund!$B$10/4</f>
        <v>1306250</v>
      </c>
      <c r="F12" s="0" t="n">
        <f aca="false">E13*Fund!$B$10/4</f>
        <v>962500</v>
      </c>
      <c r="G12" s="0" t="n">
        <f aca="false">F13*Fund!$B$10/4</f>
        <v>962500</v>
      </c>
      <c r="H12" s="0" t="n">
        <f aca="false">G13*Fund!$B$10/4</f>
        <v>0</v>
      </c>
      <c r="I12" s="0" t="n">
        <f aca="false">H13*Fund!$B$10/4</f>
        <v>1168750</v>
      </c>
      <c r="J12" s="0" t="n">
        <f aca="false">I13*Fund!$B$10/4</f>
        <v>1168750</v>
      </c>
      <c r="K12" s="0" t="n">
        <f aca="false">J13*Fund!$B$10/4</f>
        <v>825000</v>
      </c>
      <c r="L12" s="0" t="n">
        <f aca="false">K13*Fund!$B$10/4</f>
        <v>825000</v>
      </c>
      <c r="M12" s="0" t="n">
        <f aca="false">L13*Fund!$B$10/4</f>
        <v>0</v>
      </c>
      <c r="N12" s="0" t="n">
        <f aca="false">M13*Fund!$B$10/4</f>
        <v>1237500</v>
      </c>
      <c r="O12" s="0" t="n">
        <f aca="false">N13*Fund!$B$10/4</f>
        <v>1237500</v>
      </c>
      <c r="P12" s="0" t="n">
        <f aca="false">O13*Fund!$B$10/4</f>
        <v>0</v>
      </c>
      <c r="Q12" s="0" t="n">
        <f aca="false">P13*Fund!$B$10/4</f>
        <v>0</v>
      </c>
      <c r="R12" s="0" t="n">
        <f aca="false">Q13*Fund!$B$10/4</f>
        <v>0</v>
      </c>
      <c r="S12" s="0" t="n">
        <f aca="false">R13*Fund!$B$10/4</f>
        <v>0</v>
      </c>
      <c r="T12" s="0" t="n">
        <f aca="false">S13*Fund!$B$10/4</f>
        <v>0</v>
      </c>
      <c r="U12" s="0" t="n">
        <f aca="false">T13*Fund!$B$10/4</f>
        <v>0</v>
      </c>
      <c r="V12" s="0" t="n">
        <f aca="false">U13*Fund!$B$10/4</f>
        <v>0</v>
      </c>
      <c r="W12" s="0" t="n">
        <f aca="false">V13*Fund!$B$10/4</f>
        <v>0</v>
      </c>
      <c r="X12" s="0" t="n">
        <f aca="false">W13*Fund!$B$10/4</f>
        <v>0</v>
      </c>
      <c r="Y12" s="0" t="n">
        <f aca="false">X13*Fund!$B$10/4</f>
        <v>0</v>
      </c>
      <c r="Z12" s="0" t="n">
        <f aca="false">Y13*Fund!$B$10/4</f>
        <v>0</v>
      </c>
      <c r="AA12" s="0" t="n">
        <f aca="false">Z13*Fund!$B$10/4</f>
        <v>0</v>
      </c>
      <c r="AB12" s="0" t="n">
        <f aca="false">AA13*Fund!$B$10/4</f>
        <v>0</v>
      </c>
      <c r="AC12" s="0" t="n">
        <f aca="false">AB13*Fund!$B$10/4</f>
        <v>0</v>
      </c>
      <c r="AD12" s="0" t="n">
        <f aca="false">AC13*Fund!$B$10/4</f>
        <v>0</v>
      </c>
    </row>
    <row r="13" customFormat="false" ht="15" hidden="false" customHeight="false" outlineLevel="0" collapsed="false">
      <c r="A13" s="0" t="s">
        <v>32</v>
      </c>
      <c r="B13" s="0" t="n">
        <f aca="true">B10-IF(B$3&gt;=Fund!$B$9,OFFSET(B10,0,-Fund!$B$9),0)</f>
        <v>0</v>
      </c>
      <c r="C13" s="0" t="n">
        <f aca="true">B13+C10-IF(C$3&gt;=Fund!$B$9,OFFSET(C10,0,-Fund!$B$9),0)</f>
        <v>95000000</v>
      </c>
      <c r="D13" s="0" t="n">
        <f aca="true">C13+D10-IF(D$3&gt;=Fund!$B$9,OFFSET(D10,0,-Fund!$B$9),0)</f>
        <v>95000000</v>
      </c>
      <c r="E13" s="0" t="n">
        <f aca="true">D13+E10-IF(E$3&gt;=Fund!$B$9,OFFSET(E10,0,-Fund!$B$9),0)</f>
        <v>70000000</v>
      </c>
      <c r="F13" s="0" t="n">
        <f aca="true">E13+F10-IF(F$3&gt;=Fund!$B$9,OFFSET(F10,0,-Fund!$B$9),0)</f>
        <v>70000000</v>
      </c>
      <c r="G13" s="0" t="n">
        <f aca="true">F13+G10-IF(G$3&gt;=Fund!$B$9,OFFSET(G10,0,-Fund!$B$9),0)</f>
        <v>0</v>
      </c>
      <c r="H13" s="0" t="n">
        <f aca="true">G13+H10-IF(H$3&gt;=Fund!$B$9,OFFSET(H10,0,-Fund!$B$9),0)</f>
        <v>85000000</v>
      </c>
      <c r="I13" s="0" t="n">
        <f aca="true">H13+I10-IF(I$3&gt;=Fund!$B$9,OFFSET(I10,0,-Fund!$B$9),0)</f>
        <v>85000000</v>
      </c>
      <c r="J13" s="0" t="n">
        <f aca="true">I13+J10-IF(J$3&gt;=Fund!$B$9,OFFSET(J10,0,-Fund!$B$9),0)</f>
        <v>60000000</v>
      </c>
      <c r="K13" s="0" t="n">
        <f aca="true">J13+K10-IF(K$3&gt;=Fund!$B$9,OFFSET(K10,0,-Fund!$B$9),0)</f>
        <v>60000000</v>
      </c>
      <c r="L13" s="0" t="n">
        <f aca="true">K13+L10-IF(L$3&gt;=Fund!$B$9,OFFSET(L10,0,-Fund!$B$9),0)</f>
        <v>0</v>
      </c>
      <c r="M13" s="0" t="n">
        <f aca="true">L13+M10-IF(M$3&gt;=Fund!$B$9,OFFSET(M10,0,-Fund!$B$9),0)</f>
        <v>90000000</v>
      </c>
      <c r="N13" s="0" t="n">
        <f aca="true">M13+N10-IF(N$3&gt;=Fund!$B$9,OFFSET(N10,0,-Fund!$B$9),0)</f>
        <v>90000000</v>
      </c>
      <c r="O13" s="0" t="n">
        <f aca="true">N13+O10-IF(O$3&gt;=Fund!$B$9,OFFSET(O10,0,-Fund!$B$9),0)</f>
        <v>0</v>
      </c>
      <c r="P13" s="0" t="n">
        <f aca="true">O13+P10-IF(P$3&gt;=Fund!$B$9,OFFSET(P10,0,-Fund!$B$9),0)</f>
        <v>0</v>
      </c>
      <c r="Q13" s="0" t="n">
        <f aca="true">P13+Q10-IF(Q$3&gt;=Fund!$B$9,OFFSET(Q10,0,-Fund!$B$9),0)</f>
        <v>0</v>
      </c>
      <c r="R13" s="0" t="n">
        <f aca="true">Q13+R10-IF(R$3&gt;=Fund!$B$9,OFFSET(R10,0,-Fund!$B$9),0)</f>
        <v>0</v>
      </c>
      <c r="S13" s="0" t="n">
        <f aca="true">R13+S10-IF(S$3&gt;=Fund!$B$9,OFFSET(S10,0,-Fund!$B$9),0)</f>
        <v>0</v>
      </c>
      <c r="T13" s="0" t="n">
        <f aca="true">S13+T10-IF(T$3&gt;=Fund!$B$9,OFFSET(T10,0,-Fund!$B$9),0)</f>
        <v>0</v>
      </c>
      <c r="U13" s="0" t="n">
        <f aca="true">T13+U10-IF(U$3&gt;=Fund!$B$9,OFFSET(U10,0,-Fund!$B$9),0)</f>
        <v>0</v>
      </c>
      <c r="V13" s="0" t="n">
        <f aca="true">U13+V10-IF(V$3&gt;=Fund!$B$9,OFFSET(V10,0,-Fund!$B$9),0)</f>
        <v>0</v>
      </c>
      <c r="W13" s="0" t="n">
        <f aca="true">V13+W10-IF(W$3&gt;=Fund!$B$9,OFFSET(W10,0,-Fund!$B$9),0)</f>
        <v>0</v>
      </c>
      <c r="X13" s="0" t="n">
        <f aca="true">W13+X10-IF(X$3&gt;=Fund!$B$9,OFFSET(X10,0,-Fund!$B$9),0)</f>
        <v>0</v>
      </c>
      <c r="Y13" s="0" t="n">
        <f aca="true">X13+Y10-IF(Y$3&gt;=Fund!$B$9,OFFSET(Y10,0,-Fund!$B$9),0)</f>
        <v>0</v>
      </c>
      <c r="Z13" s="0" t="n">
        <f aca="true">Y13+Z10-IF(Z$3&gt;=Fund!$B$9,OFFSET(Z10,0,-Fund!$B$9),0)</f>
        <v>0</v>
      </c>
      <c r="AA13" s="0" t="n">
        <f aca="true">Z13+AA10-IF(AA$3&gt;=Fund!$B$9,OFFSET(AA10,0,-Fund!$B$9),0)</f>
        <v>0</v>
      </c>
      <c r="AB13" s="0" t="n">
        <f aca="true">AA13+AB10-IF(AB$3&gt;=Fund!$B$9,OFFSET(AB10,0,-Fund!$B$9),0)</f>
        <v>0</v>
      </c>
      <c r="AC13" s="0" t="n">
        <f aca="true">AB13+AC10-IF(AC$3&gt;=Fund!$B$9,OFFSET(AC10,0,-Fund!$B$9),0)</f>
        <v>0</v>
      </c>
      <c r="AD13" s="0" t="n">
        <f aca="true">AC13+AD10-IF(AD$3&gt;=Fund!$B$9,OFFSET(AD10,0,-Fund!$B$9),0)</f>
        <v>0</v>
      </c>
    </row>
    <row r="14" customFormat="false" ht="15" hidden="false" customHeight="false" outlineLevel="0" collapsed="false">
      <c r="A14" s="0" t="s">
        <v>33</v>
      </c>
      <c r="B14" s="0" t="n">
        <f aca="false">B11</f>
        <v>2125000</v>
      </c>
      <c r="C14" s="0" t="n">
        <f aca="false">C11</f>
        <v>2125000</v>
      </c>
      <c r="D14" s="0" t="n">
        <f aca="false">D11</f>
        <v>3431250</v>
      </c>
      <c r="E14" s="0" t="n">
        <f aca="false">E11</f>
        <v>98431250</v>
      </c>
      <c r="F14" s="0" t="n">
        <f aca="false">F11</f>
        <v>3087500</v>
      </c>
      <c r="G14" s="0" t="n">
        <f aca="false">G11</f>
        <v>73087500</v>
      </c>
      <c r="H14" s="0" t="n">
        <f aca="false">H11</f>
        <v>2125000</v>
      </c>
      <c r="I14" s="0" t="n">
        <f aca="false">I11</f>
        <v>3293750</v>
      </c>
      <c r="J14" s="0" t="n">
        <f aca="false">J11</f>
        <v>88293750</v>
      </c>
      <c r="K14" s="0" t="n">
        <f aca="false">K11</f>
        <v>2950000</v>
      </c>
      <c r="L14" s="0" t="n">
        <f aca="false">L11</f>
        <v>62950000</v>
      </c>
      <c r="M14" s="0" t="n">
        <f aca="false">M11</f>
        <v>2125000</v>
      </c>
      <c r="N14" s="0" t="n">
        <f aca="false">N11</f>
        <v>3362500</v>
      </c>
      <c r="O14" s="0" t="n">
        <f aca="false">O11</f>
        <v>92737500</v>
      </c>
      <c r="P14" s="0" t="n">
        <f aca="false">P11</f>
        <v>1500000</v>
      </c>
      <c r="Q14" s="0" t="n">
        <f aca="false">Q11</f>
        <v>1500000</v>
      </c>
      <c r="R14" s="0" t="n">
        <f aca="false">R11</f>
        <v>1500000</v>
      </c>
      <c r="S14" s="0" t="n">
        <f aca="false">S11</f>
        <v>1281250</v>
      </c>
      <c r="T14" s="0" t="n">
        <f aca="false">T11</f>
        <v>1281250</v>
      </c>
      <c r="U14" s="0" t="n">
        <f aca="false">U11</f>
        <v>984375</v>
      </c>
      <c r="V14" s="0" t="n">
        <f aca="false">V11</f>
        <v>796875</v>
      </c>
      <c r="W14" s="0" t="n">
        <f aca="false">W11</f>
        <v>796875</v>
      </c>
      <c r="X14" s="0" t="n">
        <f aca="false">X11</f>
        <v>531250</v>
      </c>
      <c r="Y14" s="0" t="n">
        <f aca="false">Y11</f>
        <v>531250</v>
      </c>
      <c r="Z14" s="0" t="n">
        <f aca="false">Z11</f>
        <v>531250</v>
      </c>
      <c r="AA14" s="0" t="n">
        <f aca="false">AA11</f>
        <v>250000</v>
      </c>
      <c r="AB14" s="0" t="n">
        <f aca="false">AB11</f>
        <v>250000</v>
      </c>
      <c r="AC14" s="0" t="n">
        <f aca="false">AC11</f>
        <v>250000</v>
      </c>
      <c r="AD14" s="0" t="n">
        <f aca="false">AD11</f>
        <v>250000</v>
      </c>
    </row>
    <row r="15" customFormat="false" ht="15" hidden="false" customHeight="false" outlineLevel="0" collapsed="false">
      <c r="A15" s="0" t="s">
        <v>34</v>
      </c>
      <c r="B15" s="0" t="n">
        <f aca="false">B6</f>
        <v>0</v>
      </c>
      <c r="C15" s="0" t="n">
        <f aca="false">C6</f>
        <v>0</v>
      </c>
      <c r="D15" s="0" t="n">
        <f aca="false">D6</f>
        <v>0</v>
      </c>
      <c r="E15" s="0" t="n">
        <f aca="false">E6</f>
        <v>0</v>
      </c>
      <c r="F15" s="0" t="n">
        <f aca="false">F6</f>
        <v>0</v>
      </c>
      <c r="G15" s="0" t="n">
        <f aca="false">G6</f>
        <v>0</v>
      </c>
      <c r="H15" s="0" t="n">
        <f aca="false">H6</f>
        <v>0</v>
      </c>
      <c r="I15" s="0" t="n">
        <f aca="false">I6</f>
        <v>0</v>
      </c>
      <c r="J15" s="0" t="n">
        <f aca="false">J6</f>
        <v>0</v>
      </c>
      <c r="K15" s="0" t="n">
        <f aca="false">K6</f>
        <v>0</v>
      </c>
      <c r="L15" s="0" t="n">
        <f aca="false">L6</f>
        <v>0</v>
      </c>
      <c r="M15" s="0" t="n">
        <f aca="false">M6</f>
        <v>0</v>
      </c>
      <c r="N15" s="0" t="n">
        <f aca="false">N6</f>
        <v>0</v>
      </c>
      <c r="O15" s="0" t="n">
        <f aca="false">O6</f>
        <v>0</v>
      </c>
      <c r="P15" s="0" t="n">
        <f aca="false">P6</f>
        <v>0</v>
      </c>
      <c r="Q15" s="0" t="n">
        <f aca="false">Q6</f>
        <v>0</v>
      </c>
      <c r="R15" s="0" t="n">
        <f aca="false">R6</f>
        <v>0</v>
      </c>
      <c r="S15" s="0" t="n">
        <f aca="false">S6</f>
        <v>133000000</v>
      </c>
      <c r="T15" s="0" t="n">
        <f aca="false">T6</f>
        <v>0</v>
      </c>
      <c r="U15" s="0" t="n">
        <f aca="false">U6</f>
        <v>166250000</v>
      </c>
      <c r="V15" s="0" t="n">
        <f aca="false">V6</f>
        <v>87000000</v>
      </c>
      <c r="W15" s="0" t="n">
        <f aca="false">W6</f>
        <v>0</v>
      </c>
      <c r="X15" s="0" t="n">
        <f aca="false">X6</f>
        <v>136000000</v>
      </c>
      <c r="Y15" s="0" t="n">
        <f aca="false">Y6</f>
        <v>0</v>
      </c>
      <c r="Z15" s="0" t="n">
        <f aca="false">Z6</f>
        <v>0</v>
      </c>
      <c r="AA15" s="0" t="n">
        <f aca="false">AA6</f>
        <v>189000000</v>
      </c>
      <c r="AB15" s="0" t="n">
        <f aca="false">AB6</f>
        <v>0</v>
      </c>
      <c r="AC15" s="0" t="n">
        <f aca="false">AC6</f>
        <v>0</v>
      </c>
      <c r="AD15" s="0" t="n">
        <f aca="false">AD6</f>
        <v>0</v>
      </c>
    </row>
    <row r="16" customFormat="false" ht="15" hidden="false" customHeight="false" outlineLevel="0" collapsed="false">
      <c r="A16" s="0" t="s">
        <v>35</v>
      </c>
      <c r="B16" s="0" t="n">
        <f aca="false">B14</f>
        <v>2125000</v>
      </c>
      <c r="C16" s="0" t="n">
        <f aca="false">C14</f>
        <v>2125000</v>
      </c>
      <c r="D16" s="0" t="n">
        <f aca="false">D14</f>
        <v>3431250</v>
      </c>
      <c r="E16" s="0" t="n">
        <f aca="false">E14</f>
        <v>98431250</v>
      </c>
      <c r="F16" s="0" t="n">
        <f aca="false">F14</f>
        <v>3087500</v>
      </c>
      <c r="G16" s="0" t="n">
        <f aca="false">G14</f>
        <v>73087500</v>
      </c>
      <c r="H16" s="0" t="n">
        <f aca="false">H14</f>
        <v>2125000</v>
      </c>
      <c r="I16" s="0" t="n">
        <f aca="false">I14</f>
        <v>3293750</v>
      </c>
      <c r="J16" s="0" t="n">
        <f aca="false">J14</f>
        <v>88293750</v>
      </c>
      <c r="K16" s="0" t="n">
        <f aca="false">K14</f>
        <v>2950000</v>
      </c>
      <c r="L16" s="0" t="n">
        <f aca="false">L14</f>
        <v>62950000</v>
      </c>
      <c r="M16" s="0" t="n">
        <f aca="false">M14</f>
        <v>2125000</v>
      </c>
      <c r="N16" s="0" t="n">
        <f aca="false">N14</f>
        <v>3362500</v>
      </c>
      <c r="O16" s="0" t="n">
        <f aca="false">O14</f>
        <v>92737500</v>
      </c>
      <c r="P16" s="0" t="n">
        <f aca="false">P14</f>
        <v>1500000</v>
      </c>
      <c r="Q16" s="0" t="n">
        <f aca="false">Q14</f>
        <v>1500000</v>
      </c>
      <c r="R16" s="0" t="n">
        <f aca="false">R14</f>
        <v>1500000</v>
      </c>
      <c r="S16" s="0" t="n">
        <f aca="false">S14</f>
        <v>1281250</v>
      </c>
      <c r="T16" s="0" t="n">
        <f aca="false">T14</f>
        <v>1281250</v>
      </c>
      <c r="U16" s="0" t="n">
        <f aca="false">U14</f>
        <v>984375</v>
      </c>
      <c r="V16" s="0" t="n">
        <f aca="false">V14</f>
        <v>796875</v>
      </c>
      <c r="W16" s="0" t="n">
        <f aca="false">W14</f>
        <v>796875</v>
      </c>
      <c r="X16" s="0" t="n">
        <f aca="false">X14</f>
        <v>531250</v>
      </c>
      <c r="Y16" s="0" t="n">
        <f aca="false">Y14</f>
        <v>531250</v>
      </c>
      <c r="Z16" s="0" t="n">
        <f aca="false">Z14</f>
        <v>531250</v>
      </c>
      <c r="AA16" s="0" t="n">
        <f aca="false">AA14</f>
        <v>250000</v>
      </c>
      <c r="AB16" s="0" t="n">
        <f aca="false">AB14</f>
        <v>250000</v>
      </c>
      <c r="AC16" s="0" t="n">
        <f aca="false">AC14</f>
        <v>250000</v>
      </c>
      <c r="AD16" s="0" t="n">
        <f aca="false">AD14</f>
        <v>250000</v>
      </c>
    </row>
    <row r="17" customFormat="false" ht="15" hidden="false" customHeight="false" outlineLevel="0" collapsed="false">
      <c r="A17" s="0" t="s">
        <v>36</v>
      </c>
      <c r="B17" s="0" t="n">
        <f aca="false">B14</f>
        <v>2125000</v>
      </c>
      <c r="C17" s="0" t="n">
        <f aca="false">B17-B18+C14</f>
        <v>4250000</v>
      </c>
      <c r="D17" s="0" t="n">
        <f aca="false">C17-C18+D14</f>
        <v>7681250</v>
      </c>
      <c r="E17" s="0" t="n">
        <f aca="false">D17-D18+E14</f>
        <v>106112500</v>
      </c>
      <c r="F17" s="0" t="n">
        <f aca="false">E17-E18+F14</f>
        <v>109200000</v>
      </c>
      <c r="G17" s="0" t="n">
        <f aca="false">F17-F18+G14</f>
        <v>182287500</v>
      </c>
      <c r="H17" s="0" t="n">
        <f aca="false">G17-G18+H14</f>
        <v>184412500</v>
      </c>
      <c r="I17" s="0" t="n">
        <f aca="false">H17-H18+I14</f>
        <v>187706250</v>
      </c>
      <c r="J17" s="0" t="n">
        <f aca="false">I17-I18+J14</f>
        <v>276000000</v>
      </c>
      <c r="K17" s="0" t="n">
        <f aca="false">J17-J18+K14</f>
        <v>278950000</v>
      </c>
      <c r="L17" s="0" t="n">
        <f aca="false">K17-K18+L14</f>
        <v>341900000</v>
      </c>
      <c r="M17" s="0" t="n">
        <f aca="false">L17-L18+M14</f>
        <v>344025000</v>
      </c>
      <c r="N17" s="0" t="n">
        <f aca="false">M17-M18+N14</f>
        <v>347387500</v>
      </c>
      <c r="O17" s="0" t="n">
        <f aca="false">N17-N18+O14</f>
        <v>440125000</v>
      </c>
      <c r="P17" s="0" t="n">
        <f aca="false">O17-O18+P14</f>
        <v>441625000</v>
      </c>
      <c r="Q17" s="0" t="n">
        <f aca="false">P17-P18+Q14</f>
        <v>443125000</v>
      </c>
      <c r="R17" s="0" t="n">
        <f aca="false">Q17-Q18+R14</f>
        <v>444625000</v>
      </c>
      <c r="S17" s="0" t="n">
        <f aca="false">R17-R18+S14</f>
        <v>445906250</v>
      </c>
      <c r="T17" s="0" t="n">
        <f aca="false">S17-S18+T14</f>
        <v>314187500</v>
      </c>
      <c r="U17" s="0" t="n">
        <f aca="false">T17-T18+U14</f>
        <v>315171875</v>
      </c>
      <c r="V17" s="0" t="n">
        <f aca="false">U17-U18+V14</f>
        <v>149718750</v>
      </c>
      <c r="W17" s="0" t="n">
        <f aca="false">V17-V18+W14</f>
        <v>63515625</v>
      </c>
      <c r="X17" s="0" t="n">
        <f aca="false">W17-W18+X14</f>
        <v>64046875</v>
      </c>
      <c r="Y17" s="0" t="n">
        <f aca="false">X17-X18+Y14</f>
        <v>531250</v>
      </c>
      <c r="Z17" s="0" t="n">
        <f aca="false">Y17-Y18+Z14</f>
        <v>1062500</v>
      </c>
      <c r="AA17" s="0" t="n">
        <f aca="false">Z17-Z18+AA14</f>
        <v>1312500</v>
      </c>
      <c r="AB17" s="0" t="n">
        <f aca="false">AA17-AA18+AB14</f>
        <v>250000</v>
      </c>
      <c r="AC17" s="0" t="n">
        <f aca="false">AB17-AB18+AC14</f>
        <v>500000</v>
      </c>
      <c r="AD17" s="0" t="n">
        <f aca="false">AC17-AC18+AD14</f>
        <v>750000</v>
      </c>
    </row>
    <row r="18" customFormat="false" ht="15" hidden="false" customHeight="false" outlineLevel="0" collapsed="false">
      <c r="A18" s="0" t="s">
        <v>37</v>
      </c>
      <c r="B18" s="0" t="n">
        <f aca="false">MIN(B15,B17)</f>
        <v>0</v>
      </c>
      <c r="C18" s="0" t="n">
        <f aca="false">MIN(C15,C17)</f>
        <v>0</v>
      </c>
      <c r="D18" s="0" t="n">
        <f aca="false">MIN(D15,D17)</f>
        <v>0</v>
      </c>
      <c r="E18" s="0" t="n">
        <f aca="false">MIN(E15,E17)</f>
        <v>0</v>
      </c>
      <c r="F18" s="0" t="n">
        <f aca="false">MIN(F15,F17)</f>
        <v>0</v>
      </c>
      <c r="G18" s="0" t="n">
        <f aca="false">MIN(G15,G17)</f>
        <v>0</v>
      </c>
      <c r="H18" s="0" t="n">
        <f aca="false">MIN(H15,H17)</f>
        <v>0</v>
      </c>
      <c r="I18" s="0" t="n">
        <f aca="false">MIN(I15,I17)</f>
        <v>0</v>
      </c>
      <c r="J18" s="0" t="n">
        <f aca="false">MIN(J15,J17)</f>
        <v>0</v>
      </c>
      <c r="K18" s="0" t="n">
        <f aca="false">MIN(K15,K17)</f>
        <v>0</v>
      </c>
      <c r="L18" s="0" t="n">
        <f aca="false">MIN(L15,L17)</f>
        <v>0</v>
      </c>
      <c r="M18" s="0" t="n">
        <f aca="false">MIN(M15,M17)</f>
        <v>0</v>
      </c>
      <c r="N18" s="0" t="n">
        <f aca="false">MIN(N15,N17)</f>
        <v>0</v>
      </c>
      <c r="O18" s="0" t="n">
        <f aca="false">MIN(O15,O17)</f>
        <v>0</v>
      </c>
      <c r="P18" s="0" t="n">
        <f aca="false">MIN(P15,P17)</f>
        <v>0</v>
      </c>
      <c r="Q18" s="0" t="n">
        <f aca="false">MIN(Q15,Q17)</f>
        <v>0</v>
      </c>
      <c r="R18" s="0" t="n">
        <f aca="false">MIN(R15,R17)</f>
        <v>0</v>
      </c>
      <c r="S18" s="0" t="n">
        <f aca="false">MIN(S15,S17)</f>
        <v>133000000</v>
      </c>
      <c r="T18" s="0" t="n">
        <f aca="false">MIN(T15,T17)</f>
        <v>0</v>
      </c>
      <c r="U18" s="0" t="n">
        <f aca="false">MIN(U15,U17)</f>
        <v>166250000</v>
      </c>
      <c r="V18" s="0" t="n">
        <f aca="false">MIN(V15,V17)</f>
        <v>87000000</v>
      </c>
      <c r="W18" s="0" t="n">
        <f aca="false">MIN(W15,W17)</f>
        <v>0</v>
      </c>
      <c r="X18" s="0" t="n">
        <f aca="false">MIN(X15,X17)</f>
        <v>64046875</v>
      </c>
      <c r="Y18" s="0" t="n">
        <f aca="false">MIN(Y15,Y17)</f>
        <v>0</v>
      </c>
      <c r="Z18" s="0" t="n">
        <f aca="false">MIN(Z15,Z17)</f>
        <v>0</v>
      </c>
      <c r="AA18" s="0" t="n">
        <f aca="false">MIN(AA15,AA17)</f>
        <v>1312500</v>
      </c>
      <c r="AB18" s="0" t="n">
        <f aca="false">MIN(AB15,AB17)</f>
        <v>0</v>
      </c>
      <c r="AC18" s="0" t="n">
        <f aca="false">MIN(AC15,AC17)</f>
        <v>0</v>
      </c>
      <c r="AD18" s="0" t="n">
        <f aca="false">MIN(AD15,AD17)</f>
        <v>0</v>
      </c>
    </row>
    <row r="19" customFormat="false" ht="15" hidden="false" customHeight="false" outlineLevel="0" collapsed="false">
      <c r="A19" s="0" t="s">
        <v>38</v>
      </c>
      <c r="B19" s="0" t="n">
        <f aca="false">0</f>
        <v>0</v>
      </c>
      <c r="C19" s="0" t="n">
        <f aca="false">B19-B20+(B17-B18+B19-B20)*((1+Fund!$B$11)^((C4-B4)/365)-1)</f>
        <v>41167.2239069219</v>
      </c>
      <c r="D19" s="0" t="n">
        <f aca="false">C19-C20+(C17-C18+C19-C20)*((1+Fund!$B$11)^((D4-C4)/365)-1)</f>
        <v>125221.624290614</v>
      </c>
      <c r="E19" s="0" t="n">
        <f aca="false">D19-D20+(D17-D18+D19-D20)*((1+Fund!$B$11)^((E4-D4)/365)-1)</f>
        <v>278133.001837593</v>
      </c>
      <c r="F19" s="0" t="n">
        <f aca="false">E19-E20+(E17-E18+E19-E20)*((1+Fund!$B$11)^((F4-E4)/365)-1)</f>
        <v>2316353.78447535</v>
      </c>
      <c r="G19" s="0" t="n">
        <f aca="false">F19-F20+(F17-F18+F19-F20)*((1+Fund!$B$11)^((G4-F4)/365)-1)</f>
        <v>4476739.05766548</v>
      </c>
      <c r="H19" s="0" t="n">
        <f aca="false">G19-G20+(G17-G18+G19-G20)*((1+Fund!$B$11)^((H4-G4)/365)-1)</f>
        <v>8135034.18064507</v>
      </c>
      <c r="I19" s="0" t="n">
        <f aca="false">H19-H20+(H17-H18+H19-H20)*((1+Fund!$B$11)^((I4-H4)/365)-1)</f>
        <v>11906611.163417</v>
      </c>
      <c r="J19" s="0" t="n">
        <f aca="false">I19-I20+(I17-I18+I19-I20)*((1+Fund!$B$11)^((J4-I4)/365)-1)</f>
        <v>15730773.785873</v>
      </c>
      <c r="K19" s="0" t="n">
        <f aca="false">J19-J20+(J17-J18+J19-J20)*((1+Fund!$B$11)^((K4-J4)/365)-1)</f>
        <v>21382419.0023354</v>
      </c>
      <c r="L19" s="0" t="n">
        <f aca="false">K19-K20+(K17-K18+K19-K20)*((1+Fund!$B$11)^((L4-K4)/365)-1)</f>
        <v>27265261.613172</v>
      </c>
      <c r="M19" s="0" t="n">
        <f aca="false">L19-L20+(L17-L18+L19-L20)*((1+Fund!$B$11)^((M4-L4)/365)-1)</f>
        <v>34496386.1739931</v>
      </c>
      <c r="N19" s="0" t="n">
        <f aca="false">M19-M20+(M17-M18+M19-M20)*((1+Fund!$B$11)^((N4-M4)/365)-1)</f>
        <v>41829409.5425499</v>
      </c>
      <c r="O19" s="0" t="n">
        <f aca="false">N19-N20+(N17-N18+N19-N20)*((1+Fund!$B$11)^((O4-N4)/365)-1)</f>
        <v>49369635.2665492</v>
      </c>
      <c r="P19" s="0" t="n">
        <f aca="false">O19-O20+(O17-O18+O19-O20)*((1+Fund!$B$11)^((P4-O4)/365)-1)</f>
        <v>58957744.0284594</v>
      </c>
      <c r="Q19" s="0" t="n">
        <f aca="false">P19-P20+(P17-P18+P19-P20)*((1+Fund!$B$11)^((Q4-P4)/365)-1)</f>
        <v>68763044.124275</v>
      </c>
      <c r="R19" s="0" t="n">
        <f aca="false">Q19-Q20+(Q17-Q18+Q19-Q20)*((1+Fund!$B$11)^((R4-Q4)/365)-1)</f>
        <v>78569742.5194229</v>
      </c>
      <c r="S19" s="0" t="n">
        <f aca="false">R19-R20+(R17-R18+R19-R20)*((1+Fund!$B$11)^((S4-R4)/365)-1)</f>
        <v>88705495.5134094</v>
      </c>
      <c r="T19" s="0" t="n">
        <f aca="false">S19-S20+(S17-S18+S19-S20)*((1+Fund!$B$11)^((T4-S4)/365)-1)</f>
        <v>96572174.3666849</v>
      </c>
      <c r="U19" s="0" t="n">
        <f aca="false">T19-T20+(T17-T18+T19-T20)*((1+Fund!$B$11)^((U4-T4)/365)-1)</f>
        <v>104618040.754352</v>
      </c>
      <c r="V19" s="0" t="n">
        <f aca="false">U19-U20+(U17-U18+U19-U20)*((1+Fund!$B$11)^((V4-U4)/365)-1)</f>
        <v>109475332.331044</v>
      </c>
      <c r="W19" s="0" t="n">
        <f aca="false">V19-V20+(V17-V18+V19-V20)*((1+Fund!$B$11)^((W4-V4)/365)-1)</f>
        <v>112811215.786465</v>
      </c>
      <c r="X19" s="0" t="n">
        <f aca="false">W19-W20+(W17-W18+W19-W20)*((1+Fund!$B$11)^((X4-W4)/365)-1)</f>
        <v>116265065.543539</v>
      </c>
      <c r="Y19" s="0" t="n">
        <f aca="false">X19-X20+(X17-X18+X19-X20)*((1+Fund!$B$11)^((Y4-X4)/365)-1)</f>
        <v>45179912.6820929</v>
      </c>
      <c r="Z19" s="0" t="n">
        <f aca="false">Y19-Y20+(Y17-Y18+Y19-Y20)*((1+Fund!$B$11)^((Z4-Y4)/365)-1)</f>
        <v>46055642.425853</v>
      </c>
      <c r="AA19" s="0" t="n">
        <f aca="false">Z19-Z20+(Z17-Z18+Z19-Z20)*((1+Fund!$B$11)^((AA4-Z4)/365)-1)</f>
        <v>46968453.3055346</v>
      </c>
      <c r="AB19" s="0" t="n">
        <f aca="false">AA19-AA20+(AA17-AA18+AA19-AA20)*((1+Fund!$B$11)^((AB4-AA4)/365)-1)</f>
        <v>0</v>
      </c>
      <c r="AC19" s="0" t="n">
        <f aca="false">AB19-AB20+(AB17-AB18+AB19-AB20)*((1+Fund!$B$11)^((AC4-AB4)/365)-1)</f>
        <v>4896.94271965263</v>
      </c>
      <c r="AD19" s="0" t="n">
        <f aca="false">AC19-AC20+(AC17-AC18+AC19-AC20)*((1+Fund!$B$11)^((AD4-AC4)/365)-1)</f>
        <v>14678.2158918222</v>
      </c>
    </row>
    <row r="20" customFormat="false" ht="15" hidden="false" customHeight="false" outlineLevel="0" collapsed="false">
      <c r="A20" s="0" t="s">
        <v>39</v>
      </c>
      <c r="B20" s="0" t="n">
        <f aca="false">MIN(B15-B18,B19)</f>
        <v>0</v>
      </c>
      <c r="C20" s="0" t="n">
        <f aca="false">MIN(C15-C18,C19)</f>
        <v>0</v>
      </c>
      <c r="D20" s="0" t="n">
        <f aca="false">MIN(D15-D18,D19)</f>
        <v>0</v>
      </c>
      <c r="E20" s="0" t="n">
        <f aca="false">MIN(E15-E18,E19)</f>
        <v>0</v>
      </c>
      <c r="F20" s="0" t="n">
        <f aca="false">MIN(F15-F18,F19)</f>
        <v>0</v>
      </c>
      <c r="G20" s="0" t="n">
        <f aca="false">MIN(G15-G18,G19)</f>
        <v>0</v>
      </c>
      <c r="H20" s="0" t="n">
        <f aca="false">MIN(H15-H18,H19)</f>
        <v>0</v>
      </c>
      <c r="I20" s="0" t="n">
        <f aca="false">MIN(I15-I18,I19)</f>
        <v>0</v>
      </c>
      <c r="J20" s="0" t="n">
        <f aca="false">MIN(J15-J18,J19)</f>
        <v>0</v>
      </c>
      <c r="K20" s="0" t="n">
        <f aca="false">MIN(K15-K18,K19)</f>
        <v>0</v>
      </c>
      <c r="L20" s="0" t="n">
        <f aca="false">MIN(L15-L18,L19)</f>
        <v>0</v>
      </c>
      <c r="M20" s="0" t="n">
        <f aca="false">MIN(M15-M18,M19)</f>
        <v>0</v>
      </c>
      <c r="N20" s="0" t="n">
        <f aca="false">MIN(N15-N18,N19)</f>
        <v>0</v>
      </c>
      <c r="O20" s="0" t="n">
        <f aca="false">MIN(O15-O18,O19)</f>
        <v>0</v>
      </c>
      <c r="P20" s="0" t="n">
        <f aca="false">MIN(P15-P18,P19)</f>
        <v>0</v>
      </c>
      <c r="Q20" s="0" t="n">
        <f aca="false">MIN(Q15-Q18,Q19)</f>
        <v>0</v>
      </c>
      <c r="R20" s="0" t="n">
        <f aca="false">MIN(R15-R18,R19)</f>
        <v>0</v>
      </c>
      <c r="S20" s="0" t="n">
        <f aca="false">MIN(S15-S18,S19)</f>
        <v>0</v>
      </c>
      <c r="T20" s="0" t="n">
        <f aca="false">MIN(T15-T18,T19)</f>
        <v>0</v>
      </c>
      <c r="U20" s="0" t="n">
        <f aca="false">MIN(U15-U18,U19)</f>
        <v>0</v>
      </c>
      <c r="V20" s="0" t="n">
        <f aca="false">MIN(V15-V18,V19)</f>
        <v>0</v>
      </c>
      <c r="W20" s="0" t="n">
        <f aca="false">MIN(W15-W18,W19)</f>
        <v>0</v>
      </c>
      <c r="X20" s="0" t="n">
        <f aca="false">MIN(X15-X18,X19)</f>
        <v>71953125</v>
      </c>
      <c r="Y20" s="0" t="n">
        <f aca="false">MIN(Y15-Y18,Y19)</f>
        <v>0</v>
      </c>
      <c r="Z20" s="0" t="n">
        <f aca="false">MIN(Z15-Z18,Z19)</f>
        <v>0</v>
      </c>
      <c r="AA20" s="0" t="n">
        <f aca="false">MIN(AA15-AA18,AA19)</f>
        <v>46968453.3055346</v>
      </c>
      <c r="AB20" s="0" t="n">
        <f aca="false">MIN(AB15-AB18,AB19)</f>
        <v>0</v>
      </c>
      <c r="AC20" s="0" t="n">
        <f aca="false">MIN(AC15-AC18,AC19)</f>
        <v>0</v>
      </c>
      <c r="AD20" s="0" t="n">
        <f aca="false">MIN(AD15-AD18,AD19)</f>
        <v>0</v>
      </c>
    </row>
    <row r="21" customFormat="false" ht="15" hidden="false" customHeight="false" outlineLevel="0" collapsed="false">
      <c r="A21" s="0" t="s">
        <v>40</v>
      </c>
      <c r="B21" s="0" t="n">
        <f aca="false">B20*Fund!$B$12/(1-Fund!$B$12)</f>
        <v>0</v>
      </c>
      <c r="C21" s="0" t="n">
        <f aca="false">B21-B22+C20*Fund!$B$12/(1-Fund!$B$12)</f>
        <v>0</v>
      </c>
      <c r="D21" s="0" t="n">
        <f aca="false">C21-C22+D20*Fund!$B$12/(1-Fund!$B$12)</f>
        <v>0</v>
      </c>
      <c r="E21" s="0" t="n">
        <f aca="false">D21-D22+E20*Fund!$B$12/(1-Fund!$B$12)</f>
        <v>0</v>
      </c>
      <c r="F21" s="0" t="n">
        <f aca="false">E21-E22+F20*Fund!$B$12/(1-Fund!$B$12)</f>
        <v>0</v>
      </c>
      <c r="G21" s="0" t="n">
        <f aca="false">F21-F22+G20*Fund!$B$12/(1-Fund!$B$12)</f>
        <v>0</v>
      </c>
      <c r="H21" s="0" t="n">
        <f aca="false">G21-G22+H20*Fund!$B$12/(1-Fund!$B$12)</f>
        <v>0</v>
      </c>
      <c r="I21" s="0" t="n">
        <f aca="false">H21-H22+I20*Fund!$B$12/(1-Fund!$B$12)</f>
        <v>0</v>
      </c>
      <c r="J21" s="0" t="n">
        <f aca="false">I21-I22+J20*Fund!$B$12/(1-Fund!$B$12)</f>
        <v>0</v>
      </c>
      <c r="K21" s="0" t="n">
        <f aca="false">J21-J22+K20*Fund!$B$12/(1-Fund!$B$12)</f>
        <v>0</v>
      </c>
      <c r="L21" s="0" t="n">
        <f aca="false">K21-K22+L20*Fund!$B$12/(1-Fund!$B$12)</f>
        <v>0</v>
      </c>
      <c r="M21" s="0" t="n">
        <f aca="false">L21-L22+M20*Fund!$B$12/(1-Fund!$B$12)</f>
        <v>0</v>
      </c>
      <c r="N21" s="0" t="n">
        <f aca="false">M21-M22+N20*Fund!$B$12/(1-Fund!$B$12)</f>
        <v>0</v>
      </c>
      <c r="O21" s="0" t="n">
        <f aca="false">N21-N22+O20*Fund!$B$12/(1-Fund!$B$12)</f>
        <v>0</v>
      </c>
      <c r="P21" s="0" t="n">
        <f aca="false">O21-O22+P20*Fund!$B$12/(1-Fund!$B$12)</f>
        <v>0</v>
      </c>
      <c r="Q21" s="0" t="n">
        <f aca="false">P21-P22+Q20*Fund!$B$12/(1-Fund!$B$12)</f>
        <v>0</v>
      </c>
      <c r="R21" s="0" t="n">
        <f aca="false">Q21-Q22+R20*Fund!$B$12/(1-Fund!$B$12)</f>
        <v>0</v>
      </c>
      <c r="S21" s="0" t="n">
        <f aca="false">R21-R22+S20*Fund!$B$12/(1-Fund!$B$12)</f>
        <v>0</v>
      </c>
      <c r="T21" s="0" t="n">
        <f aca="false">S21-S22+T20*Fund!$B$12/(1-Fund!$B$12)</f>
        <v>0</v>
      </c>
      <c r="U21" s="0" t="n">
        <f aca="false">T21-T22+U20*Fund!$B$12/(1-Fund!$B$12)</f>
        <v>0</v>
      </c>
      <c r="V21" s="0" t="n">
        <f aca="false">U21-U22+V20*Fund!$B$12/(1-Fund!$B$12)</f>
        <v>0</v>
      </c>
      <c r="W21" s="0" t="n">
        <f aca="false">V21-V22+W20*Fund!$B$12/(1-Fund!$B$12)</f>
        <v>0</v>
      </c>
      <c r="X21" s="0" t="n">
        <f aca="false">W21-W22+X20*Fund!$B$12/(1-Fund!$B$12)</f>
        <v>17988281.25</v>
      </c>
      <c r="Y21" s="0" t="n">
        <f aca="false">X21-X22+Y20*Fund!$B$12/(1-Fund!$B$12)</f>
        <v>17988281.25</v>
      </c>
      <c r="Z21" s="0" t="n">
        <f aca="false">Y21-Y22+Z20*Fund!$B$12/(1-Fund!$B$12)</f>
        <v>17988281.25</v>
      </c>
      <c r="AA21" s="0" t="n">
        <f aca="false">Z21-Z22+AA20*Fund!$B$12/(1-Fund!$B$12)</f>
        <v>29730394.5763836</v>
      </c>
      <c r="AB21" s="0" t="n">
        <f aca="false">AA21-AA22+AB20*Fund!$B$12/(1-Fund!$B$12)</f>
        <v>0</v>
      </c>
      <c r="AC21" s="0" t="n">
        <f aca="false">AB21-AB22+AC20*Fund!$B$12/(1-Fund!$B$12)</f>
        <v>0</v>
      </c>
      <c r="AD21" s="0" t="n">
        <f aca="false">AC21-AC22+AD20*Fund!$B$12/(1-Fund!$B$12)</f>
        <v>0</v>
      </c>
    </row>
    <row r="22" customFormat="false" ht="15" hidden="false" customHeight="false" outlineLevel="0" collapsed="false">
      <c r="A22" s="0" t="s">
        <v>41</v>
      </c>
      <c r="B22" s="0" t="n">
        <f aca="false">MIN(B15-B18-B20,B21)</f>
        <v>0</v>
      </c>
      <c r="C22" s="0" t="n">
        <f aca="false">MIN(C15-C18-C20,C21)</f>
        <v>0</v>
      </c>
      <c r="D22" s="0" t="n">
        <f aca="false">MIN(D15-D18-D20,D21)</f>
        <v>0</v>
      </c>
      <c r="E22" s="0" t="n">
        <f aca="false">MIN(E15-E18-E20,E21)</f>
        <v>0</v>
      </c>
      <c r="F22" s="0" t="n">
        <f aca="false">MIN(F15-F18-F20,F21)</f>
        <v>0</v>
      </c>
      <c r="G22" s="0" t="n">
        <f aca="false">MIN(G15-G18-G20,G21)</f>
        <v>0</v>
      </c>
      <c r="H22" s="0" t="n">
        <f aca="false">MIN(H15-H18-H20,H21)</f>
        <v>0</v>
      </c>
      <c r="I22" s="0" t="n">
        <f aca="false">MIN(I15-I18-I20,I21)</f>
        <v>0</v>
      </c>
      <c r="J22" s="0" t="n">
        <f aca="false">MIN(J15-J18-J20,J21)</f>
        <v>0</v>
      </c>
      <c r="K22" s="0" t="n">
        <f aca="false">MIN(K15-K18-K20,K21)</f>
        <v>0</v>
      </c>
      <c r="L22" s="0" t="n">
        <f aca="false">MIN(L15-L18-L20,L21)</f>
        <v>0</v>
      </c>
      <c r="M22" s="0" t="n">
        <f aca="false">MIN(M15-M18-M20,M21)</f>
        <v>0</v>
      </c>
      <c r="N22" s="0" t="n">
        <f aca="false">MIN(N15-N18-N20,N21)</f>
        <v>0</v>
      </c>
      <c r="O22" s="0" t="n">
        <f aca="false">MIN(O15-O18-O20,O21)</f>
        <v>0</v>
      </c>
      <c r="P22" s="0" t="n">
        <f aca="false">MIN(P15-P18-P20,P21)</f>
        <v>0</v>
      </c>
      <c r="Q22" s="0" t="n">
        <f aca="false">MIN(Q15-Q18-Q20,Q21)</f>
        <v>0</v>
      </c>
      <c r="R22" s="0" t="n">
        <f aca="false">MIN(R15-R18-R20,R21)</f>
        <v>0</v>
      </c>
      <c r="S22" s="0" t="n">
        <f aca="false">MIN(S15-S18-S20,S21)</f>
        <v>0</v>
      </c>
      <c r="T22" s="0" t="n">
        <f aca="false">MIN(T15-T18-T20,T21)</f>
        <v>0</v>
      </c>
      <c r="U22" s="0" t="n">
        <f aca="false">MIN(U15-U18-U20,U21)</f>
        <v>0</v>
      </c>
      <c r="V22" s="0" t="n">
        <f aca="false">MIN(V15-V18-V20,V21)</f>
        <v>0</v>
      </c>
      <c r="W22" s="0" t="n">
        <f aca="false">MIN(W15-W18-W20,W21)</f>
        <v>0</v>
      </c>
      <c r="X22" s="0" t="n">
        <f aca="false">MIN(X15-X18-X20,X21)</f>
        <v>0</v>
      </c>
      <c r="Y22" s="0" t="n">
        <f aca="false">MIN(Y15-Y18-Y20,Y21)</f>
        <v>0</v>
      </c>
      <c r="Z22" s="0" t="n">
        <f aca="false">MIN(Z15-Z18-Z20,Z21)</f>
        <v>0</v>
      </c>
      <c r="AA22" s="0" t="n">
        <f aca="false">MIN(AA15-AA18-AA20,AA21)</f>
        <v>29730394.5763836</v>
      </c>
      <c r="AB22" s="0" t="n">
        <f aca="false">MIN(AB15-AB18-AB20,AB21)</f>
        <v>0</v>
      </c>
      <c r="AC22" s="0" t="n">
        <f aca="false">MIN(AC15-AC18-AC20,AC21)</f>
        <v>0</v>
      </c>
      <c r="AD22" s="0" t="n">
        <f aca="false">MIN(AD15-AD18-AD20,AD21)</f>
        <v>0</v>
      </c>
    </row>
    <row r="23" customFormat="false" ht="15" hidden="false" customHeight="false" outlineLevel="0" collapsed="false">
      <c r="A23" s="0" t="s">
        <v>42</v>
      </c>
      <c r="B23" s="0" t="n">
        <f aca="false">(B15-B18-B20-B22)*(1-Fund!$B$12)</f>
        <v>0</v>
      </c>
      <c r="C23" s="0" t="n">
        <f aca="false">(C15-C18-C20-C22)*(1-Fund!$B$12)</f>
        <v>0</v>
      </c>
      <c r="D23" s="0" t="n">
        <f aca="false">(D15-D18-D20-D22)*(1-Fund!$B$12)</f>
        <v>0</v>
      </c>
      <c r="E23" s="0" t="n">
        <f aca="false">(E15-E18-E20-E22)*(1-Fund!$B$12)</f>
        <v>0</v>
      </c>
      <c r="F23" s="0" t="n">
        <f aca="false">(F15-F18-F20-F22)*(1-Fund!$B$12)</f>
        <v>0</v>
      </c>
      <c r="G23" s="0" t="n">
        <f aca="false">(G15-G18-G20-G22)*(1-Fund!$B$12)</f>
        <v>0</v>
      </c>
      <c r="H23" s="0" t="n">
        <f aca="false">(H15-H18-H20-H22)*(1-Fund!$B$12)</f>
        <v>0</v>
      </c>
      <c r="I23" s="0" t="n">
        <f aca="false">(I15-I18-I20-I22)*(1-Fund!$B$12)</f>
        <v>0</v>
      </c>
      <c r="J23" s="0" t="n">
        <f aca="false">(J15-J18-J20-J22)*(1-Fund!$B$12)</f>
        <v>0</v>
      </c>
      <c r="K23" s="0" t="n">
        <f aca="false">(K15-K18-K20-K22)*(1-Fund!$B$12)</f>
        <v>0</v>
      </c>
      <c r="L23" s="0" t="n">
        <f aca="false">(L15-L18-L20-L22)*(1-Fund!$B$12)</f>
        <v>0</v>
      </c>
      <c r="M23" s="0" t="n">
        <f aca="false">(M15-M18-M20-M22)*(1-Fund!$B$12)</f>
        <v>0</v>
      </c>
      <c r="N23" s="0" t="n">
        <f aca="false">(N15-N18-N20-N22)*(1-Fund!$B$12)</f>
        <v>0</v>
      </c>
      <c r="O23" s="0" t="n">
        <f aca="false">(O15-O18-O20-O22)*(1-Fund!$B$12)</f>
        <v>0</v>
      </c>
      <c r="P23" s="0" t="n">
        <f aca="false">(P15-P18-P20-P22)*(1-Fund!$B$12)</f>
        <v>0</v>
      </c>
      <c r="Q23" s="0" t="n">
        <f aca="false">(Q15-Q18-Q20-Q22)*(1-Fund!$B$12)</f>
        <v>0</v>
      </c>
      <c r="R23" s="0" t="n">
        <f aca="false">(R15-R18-R20-R22)*(1-Fund!$B$12)</f>
        <v>0</v>
      </c>
      <c r="S23" s="0" t="n">
        <f aca="false">(S15-S18-S20-S22)*(1-Fund!$B$12)</f>
        <v>0</v>
      </c>
      <c r="T23" s="0" t="n">
        <f aca="false">(T15-T18-T20-T22)*(1-Fund!$B$12)</f>
        <v>0</v>
      </c>
      <c r="U23" s="0" t="n">
        <f aca="false">(U15-U18-U20-U22)*(1-Fund!$B$12)</f>
        <v>0</v>
      </c>
      <c r="V23" s="0" t="n">
        <f aca="false">(V15-V18-V20-V22)*(1-Fund!$B$12)</f>
        <v>0</v>
      </c>
      <c r="W23" s="0" t="n">
        <f aca="false">(W15-W18-W20-W22)*(1-Fund!$B$12)</f>
        <v>0</v>
      </c>
      <c r="X23" s="0" t="n">
        <f aca="false">(X15-X18-X20-X22)*(1-Fund!$B$12)</f>
        <v>0</v>
      </c>
      <c r="Y23" s="0" t="n">
        <f aca="false">(Y15-Y18-Y20-Y22)*(1-Fund!$B$12)</f>
        <v>0</v>
      </c>
      <c r="Z23" s="0" t="n">
        <f aca="false">(Z15-Z18-Z20-Z22)*(1-Fund!$B$12)</f>
        <v>0</v>
      </c>
      <c r="AA23" s="0" t="n">
        <f aca="false">(AA15-AA18-AA20-AA22)*(1-Fund!$B$12)</f>
        <v>88790921.6944654</v>
      </c>
      <c r="AB23" s="0" t="n">
        <f aca="false">(AB15-AB18-AB20-AB22)*(1-Fund!$B$12)</f>
        <v>0</v>
      </c>
      <c r="AC23" s="0" t="n">
        <f aca="false">(AC15-AC18-AC20-AC22)*(1-Fund!$B$12)</f>
        <v>0</v>
      </c>
      <c r="AD23" s="0" t="n">
        <f aca="false">(AD15-AD18-AD20-AD22)*(1-Fund!$B$12)</f>
        <v>0</v>
      </c>
    </row>
    <row r="24" customFormat="false" ht="15" hidden="false" customHeight="false" outlineLevel="0" collapsed="false">
      <c r="A24" s="0" t="s">
        <v>43</v>
      </c>
      <c r="B24" s="0" t="n">
        <f aca="false">(B15-B18-B20-B22)*Fund!$B$12</f>
        <v>0</v>
      </c>
      <c r="C24" s="0" t="n">
        <f aca="false">(C15-C18-C20-C22)*Fund!$B$12</f>
        <v>0</v>
      </c>
      <c r="D24" s="0" t="n">
        <f aca="false">(D15-D18-D20-D22)*Fund!$B$12</f>
        <v>0</v>
      </c>
      <c r="E24" s="0" t="n">
        <f aca="false">(E15-E18-E20-E22)*Fund!$B$12</f>
        <v>0</v>
      </c>
      <c r="F24" s="0" t="n">
        <f aca="false">(F15-F18-F20-F22)*Fund!$B$12</f>
        <v>0</v>
      </c>
      <c r="G24" s="0" t="n">
        <f aca="false">(G15-G18-G20-G22)*Fund!$B$12</f>
        <v>0</v>
      </c>
      <c r="H24" s="0" t="n">
        <f aca="false">(H15-H18-H20-H22)*Fund!$B$12</f>
        <v>0</v>
      </c>
      <c r="I24" s="0" t="n">
        <f aca="false">(I15-I18-I20-I22)*Fund!$B$12</f>
        <v>0</v>
      </c>
      <c r="J24" s="0" t="n">
        <f aca="false">(J15-J18-J20-J22)*Fund!$B$12</f>
        <v>0</v>
      </c>
      <c r="K24" s="0" t="n">
        <f aca="false">(K15-K18-K20-K22)*Fund!$B$12</f>
        <v>0</v>
      </c>
      <c r="L24" s="0" t="n">
        <f aca="false">(L15-L18-L20-L22)*Fund!$B$12</f>
        <v>0</v>
      </c>
      <c r="M24" s="0" t="n">
        <f aca="false">(M15-M18-M20-M22)*Fund!$B$12</f>
        <v>0</v>
      </c>
      <c r="N24" s="0" t="n">
        <f aca="false">(N15-N18-N20-N22)*Fund!$B$12</f>
        <v>0</v>
      </c>
      <c r="O24" s="0" t="n">
        <f aca="false">(O15-O18-O20-O22)*Fund!$B$12</f>
        <v>0</v>
      </c>
      <c r="P24" s="0" t="n">
        <f aca="false">(P15-P18-P20-P22)*Fund!$B$12</f>
        <v>0</v>
      </c>
      <c r="Q24" s="0" t="n">
        <f aca="false">(Q15-Q18-Q20-Q22)*Fund!$B$12</f>
        <v>0</v>
      </c>
      <c r="R24" s="0" t="n">
        <f aca="false">(R15-R18-R20-R22)*Fund!$B$12</f>
        <v>0</v>
      </c>
      <c r="S24" s="0" t="n">
        <f aca="false">(S15-S18-S20-S22)*Fund!$B$12</f>
        <v>0</v>
      </c>
      <c r="T24" s="0" t="n">
        <f aca="false">(T15-T18-T20-T22)*Fund!$B$12</f>
        <v>0</v>
      </c>
      <c r="U24" s="0" t="n">
        <f aca="false">(U15-U18-U20-U22)*Fund!$B$12</f>
        <v>0</v>
      </c>
      <c r="V24" s="0" t="n">
        <f aca="false">(V15-V18-V20-V22)*Fund!$B$12</f>
        <v>0</v>
      </c>
      <c r="W24" s="0" t="n">
        <f aca="false">(W15-W18-W20-W22)*Fund!$B$12</f>
        <v>0</v>
      </c>
      <c r="X24" s="0" t="n">
        <f aca="false">(X15-X18-X20-X22)*Fund!$B$12</f>
        <v>0</v>
      </c>
      <c r="Y24" s="0" t="n">
        <f aca="false">(Y15-Y18-Y20-Y22)*Fund!$B$12</f>
        <v>0</v>
      </c>
      <c r="Z24" s="0" t="n">
        <f aca="false">(Z15-Z18-Z20-Z22)*Fund!$B$12</f>
        <v>0</v>
      </c>
      <c r="AA24" s="0" t="n">
        <f aca="false">(AA15-AA18-AA20-AA22)*Fund!$B$12</f>
        <v>22197730.4236164</v>
      </c>
      <c r="AB24" s="0" t="n">
        <f aca="false">(AB15-AB18-AB20-AB22)*Fund!$B$12</f>
        <v>0</v>
      </c>
      <c r="AC24" s="0" t="n">
        <f aca="false">(AC15-AC18-AC20-AC22)*Fund!$B$12</f>
        <v>0</v>
      </c>
      <c r="AD24" s="0" t="n">
        <f aca="false">(AD15-AD18-AD20-AD22)*Fund!$B$12</f>
        <v>0</v>
      </c>
    </row>
    <row r="25" customFormat="false" ht="15" hidden="false" customHeight="false" outlineLevel="0" collapsed="false">
      <c r="A25" s="0" t="s">
        <v>44</v>
      </c>
      <c r="B25" s="0" t="n">
        <f aca="false">B18+B20+B23</f>
        <v>0</v>
      </c>
      <c r="C25" s="0" t="n">
        <f aca="false">C18+C20+C23</f>
        <v>0</v>
      </c>
      <c r="D25" s="0" t="n">
        <f aca="false">D18+D20+D23</f>
        <v>0</v>
      </c>
      <c r="E25" s="0" t="n">
        <f aca="false">E18+E20+E23</f>
        <v>0</v>
      </c>
      <c r="F25" s="0" t="n">
        <f aca="false">F18+F20+F23</f>
        <v>0</v>
      </c>
      <c r="G25" s="0" t="n">
        <f aca="false">G18+G20+G23</f>
        <v>0</v>
      </c>
      <c r="H25" s="0" t="n">
        <f aca="false">H18+H20+H23</f>
        <v>0</v>
      </c>
      <c r="I25" s="0" t="n">
        <f aca="false">I18+I20+I23</f>
        <v>0</v>
      </c>
      <c r="J25" s="0" t="n">
        <f aca="false">J18+J20+J23</f>
        <v>0</v>
      </c>
      <c r="K25" s="0" t="n">
        <f aca="false">K18+K20+K23</f>
        <v>0</v>
      </c>
      <c r="L25" s="0" t="n">
        <f aca="false">L18+L20+L23</f>
        <v>0</v>
      </c>
      <c r="M25" s="0" t="n">
        <f aca="false">M18+M20+M23</f>
        <v>0</v>
      </c>
      <c r="N25" s="0" t="n">
        <f aca="false">N18+N20+N23</f>
        <v>0</v>
      </c>
      <c r="O25" s="0" t="n">
        <f aca="false">O18+O20+O23</f>
        <v>0</v>
      </c>
      <c r="P25" s="0" t="n">
        <f aca="false">P18+P20+P23</f>
        <v>0</v>
      </c>
      <c r="Q25" s="0" t="n">
        <f aca="false">Q18+Q20+Q23</f>
        <v>0</v>
      </c>
      <c r="R25" s="0" t="n">
        <f aca="false">R18+R20+R23</f>
        <v>0</v>
      </c>
      <c r="S25" s="0" t="n">
        <f aca="false">S18+S20+S23</f>
        <v>133000000</v>
      </c>
      <c r="T25" s="0" t="n">
        <f aca="false">T18+T20+T23</f>
        <v>0</v>
      </c>
      <c r="U25" s="0" t="n">
        <f aca="false">U18+U20+U23</f>
        <v>166250000</v>
      </c>
      <c r="V25" s="0" t="n">
        <f aca="false">V18+V20+V23</f>
        <v>87000000</v>
      </c>
      <c r="W25" s="0" t="n">
        <f aca="false">W18+W20+W23</f>
        <v>0</v>
      </c>
      <c r="X25" s="0" t="n">
        <f aca="false">X18+X20+X23</f>
        <v>136000000</v>
      </c>
      <c r="Y25" s="0" t="n">
        <f aca="false">Y18+Y20+Y23</f>
        <v>0</v>
      </c>
      <c r="Z25" s="0" t="n">
        <f aca="false">Z18+Z20+Z23</f>
        <v>0</v>
      </c>
      <c r="AA25" s="0" t="n">
        <f aca="false">AA18+AA20+AA23</f>
        <v>137071875</v>
      </c>
      <c r="AB25" s="0" t="n">
        <f aca="false">AB18+AB20+AB23</f>
        <v>0</v>
      </c>
      <c r="AC25" s="0" t="n">
        <f aca="false">AC18+AC20+AC23</f>
        <v>0</v>
      </c>
      <c r="AD25" s="0" t="n">
        <f aca="false">AD18+AD20+AD23</f>
        <v>0</v>
      </c>
    </row>
    <row r="26" customFormat="false" ht="15" hidden="false" customHeight="false" outlineLevel="0" collapsed="false">
      <c r="A26" s="0" t="s">
        <v>45</v>
      </c>
      <c r="B26" s="0" t="n">
        <f aca="false">B22+B24</f>
        <v>0</v>
      </c>
      <c r="C26" s="0" t="n">
        <f aca="false">C22+C24</f>
        <v>0</v>
      </c>
      <c r="D26" s="0" t="n">
        <f aca="false">D22+D24</f>
        <v>0</v>
      </c>
      <c r="E26" s="0" t="n">
        <f aca="false">E22+E24</f>
        <v>0</v>
      </c>
      <c r="F26" s="0" t="n">
        <f aca="false">F22+F24</f>
        <v>0</v>
      </c>
      <c r="G26" s="0" t="n">
        <f aca="false">G22+G24</f>
        <v>0</v>
      </c>
      <c r="H26" s="0" t="n">
        <f aca="false">H22+H24</f>
        <v>0</v>
      </c>
      <c r="I26" s="0" t="n">
        <f aca="false">I22+I24</f>
        <v>0</v>
      </c>
      <c r="J26" s="0" t="n">
        <f aca="false">J22+J24</f>
        <v>0</v>
      </c>
      <c r="K26" s="0" t="n">
        <f aca="false">K22+K24</f>
        <v>0</v>
      </c>
      <c r="L26" s="0" t="n">
        <f aca="false">L22+L24</f>
        <v>0</v>
      </c>
      <c r="M26" s="0" t="n">
        <f aca="false">M22+M24</f>
        <v>0</v>
      </c>
      <c r="N26" s="0" t="n">
        <f aca="false">N22+N24</f>
        <v>0</v>
      </c>
      <c r="O26" s="0" t="n">
        <f aca="false">O22+O24</f>
        <v>0</v>
      </c>
      <c r="P26" s="0" t="n">
        <f aca="false">P22+P24</f>
        <v>0</v>
      </c>
      <c r="Q26" s="0" t="n">
        <f aca="false">Q22+Q24</f>
        <v>0</v>
      </c>
      <c r="R26" s="0" t="n">
        <f aca="false">R22+R24</f>
        <v>0</v>
      </c>
      <c r="S26" s="0" t="n">
        <f aca="false">S22+S24</f>
        <v>0</v>
      </c>
      <c r="T26" s="0" t="n">
        <f aca="false">T22+T24</f>
        <v>0</v>
      </c>
      <c r="U26" s="0" t="n">
        <f aca="false">U22+U24</f>
        <v>0</v>
      </c>
      <c r="V26" s="0" t="n">
        <f aca="false">V22+V24</f>
        <v>0</v>
      </c>
      <c r="W26" s="0" t="n">
        <f aca="false">W22+W24</f>
        <v>0</v>
      </c>
      <c r="X26" s="0" t="n">
        <f aca="false">X22+X24</f>
        <v>0</v>
      </c>
      <c r="Y26" s="0" t="n">
        <f aca="false">Y22+Y24</f>
        <v>0</v>
      </c>
      <c r="Z26" s="0" t="n">
        <f aca="false">Z22+Z24</f>
        <v>0</v>
      </c>
      <c r="AA26" s="0" t="n">
        <f aca="false">AA22+AA24</f>
        <v>51928125</v>
      </c>
      <c r="AB26" s="0" t="n">
        <f aca="false">AB22+AB24</f>
        <v>0</v>
      </c>
      <c r="AC26" s="0" t="n">
        <f aca="false">AC22+AC24</f>
        <v>0</v>
      </c>
      <c r="AD26" s="0" t="n">
        <f aca="false">AD22+AD24</f>
        <v>0</v>
      </c>
    </row>
    <row r="27" customFormat="false" ht="15" hidden="false" customHeight="false" outlineLevel="0" collapsed="false">
      <c r="A27" s="0" t="s">
        <v>46</v>
      </c>
      <c r="B27" s="0" t="n">
        <f aca="false">B25-B16</f>
        <v>-2125000</v>
      </c>
      <c r="C27" s="0" t="n">
        <f aca="false">C25-C16</f>
        <v>-2125000</v>
      </c>
      <c r="D27" s="0" t="n">
        <f aca="false">D25-D16</f>
        <v>-3431250</v>
      </c>
      <c r="E27" s="0" t="n">
        <f aca="false">E25-E16</f>
        <v>-98431250</v>
      </c>
      <c r="F27" s="0" t="n">
        <f aca="false">F25-F16</f>
        <v>-3087500</v>
      </c>
      <c r="G27" s="0" t="n">
        <f aca="false">G25-G16</f>
        <v>-73087500</v>
      </c>
      <c r="H27" s="0" t="n">
        <f aca="false">H25-H16</f>
        <v>-2125000</v>
      </c>
      <c r="I27" s="0" t="n">
        <f aca="false">I25-I16</f>
        <v>-3293750</v>
      </c>
      <c r="J27" s="0" t="n">
        <f aca="false">J25-J16</f>
        <v>-88293750</v>
      </c>
      <c r="K27" s="0" t="n">
        <f aca="false">K25-K16</f>
        <v>-2950000</v>
      </c>
      <c r="L27" s="0" t="n">
        <f aca="false">L25-L16</f>
        <v>-62950000</v>
      </c>
      <c r="M27" s="0" t="n">
        <f aca="false">M25-M16</f>
        <v>-2125000</v>
      </c>
      <c r="N27" s="0" t="n">
        <f aca="false">N25-N16</f>
        <v>-3362500</v>
      </c>
      <c r="O27" s="0" t="n">
        <f aca="false">O25-O16</f>
        <v>-92737500</v>
      </c>
      <c r="P27" s="0" t="n">
        <f aca="false">P25-P16</f>
        <v>-1500000</v>
      </c>
      <c r="Q27" s="0" t="n">
        <f aca="false">Q25-Q16</f>
        <v>-1500000</v>
      </c>
      <c r="R27" s="0" t="n">
        <f aca="false">R25-R16</f>
        <v>-1500000</v>
      </c>
      <c r="S27" s="0" t="n">
        <f aca="false">S25-S16</f>
        <v>131718750</v>
      </c>
      <c r="T27" s="0" t="n">
        <f aca="false">T25-T16</f>
        <v>-1281250</v>
      </c>
      <c r="U27" s="0" t="n">
        <f aca="false">U25-U16</f>
        <v>165265625</v>
      </c>
      <c r="V27" s="0" t="n">
        <f aca="false">V25-V16</f>
        <v>86203125</v>
      </c>
      <c r="W27" s="0" t="n">
        <f aca="false">W25-W16</f>
        <v>-796875</v>
      </c>
      <c r="X27" s="0" t="n">
        <f aca="false">X25-X16</f>
        <v>135468750</v>
      </c>
      <c r="Y27" s="0" t="n">
        <f aca="false">Y25-Y16</f>
        <v>-531250</v>
      </c>
      <c r="Z27" s="0" t="n">
        <f aca="false">Z25-Z16</f>
        <v>-531250</v>
      </c>
      <c r="AA27" s="0" t="n">
        <f aca="false">AA25-AA16</f>
        <v>136821875</v>
      </c>
      <c r="AB27" s="0" t="n">
        <f aca="false">AB25-AB16</f>
        <v>-250000</v>
      </c>
      <c r="AC27" s="0" t="n">
        <f aca="false">AC25-AC16</f>
        <v>-250000</v>
      </c>
      <c r="AD27" s="0" t="n">
        <f aca="false">AD25-AD16</f>
        <v>-250000</v>
      </c>
    </row>
    <row r="28" customFormat="false" ht="15" hidden="false" customHeight="false" outlineLevel="0" collapsed="false">
      <c r="A28" s="0" t="s">
        <v>47</v>
      </c>
      <c r="B28" s="0" t="n">
        <f aca="false">B6-B5</f>
        <v>0</v>
      </c>
      <c r="C28" s="0" t="n">
        <f aca="false">C6-C5</f>
        <v>-95000000</v>
      </c>
      <c r="D28" s="0" t="n">
        <f aca="false">D6-D5</f>
        <v>0</v>
      </c>
      <c r="E28" s="0" t="n">
        <f aca="false">E6-E5</f>
        <v>-70000000</v>
      </c>
      <c r="F28" s="0" t="n">
        <f aca="false">F6-F5</f>
        <v>0</v>
      </c>
      <c r="G28" s="0" t="n">
        <f aca="false">G6-G5</f>
        <v>0</v>
      </c>
      <c r="H28" s="0" t="n">
        <f aca="false">H6-H5</f>
        <v>-85000000</v>
      </c>
      <c r="I28" s="0" t="n">
        <f aca="false">I6-I5</f>
        <v>0</v>
      </c>
      <c r="J28" s="0" t="n">
        <f aca="false">J6-J5</f>
        <v>-60000000</v>
      </c>
      <c r="K28" s="0" t="n">
        <f aca="false">K6-K5</f>
        <v>0</v>
      </c>
      <c r="L28" s="0" t="n">
        <f aca="false">L6-L5</f>
        <v>0</v>
      </c>
      <c r="M28" s="0" t="n">
        <f aca="false">M6-M5</f>
        <v>-90000000</v>
      </c>
      <c r="N28" s="0" t="n">
        <f aca="false">N6-N5</f>
        <v>0</v>
      </c>
      <c r="O28" s="0" t="n">
        <f aca="false">O6-O5</f>
        <v>0</v>
      </c>
      <c r="P28" s="0" t="n">
        <f aca="false">P6-P5</f>
        <v>0</v>
      </c>
      <c r="Q28" s="0" t="n">
        <f aca="false">Q6-Q5</f>
        <v>0</v>
      </c>
      <c r="R28" s="0" t="n">
        <f aca="false">R6-R5</f>
        <v>0</v>
      </c>
      <c r="S28" s="0" t="n">
        <f aca="false">S6-S5</f>
        <v>133000000</v>
      </c>
      <c r="T28" s="0" t="n">
        <f aca="false">T6-T5</f>
        <v>0</v>
      </c>
      <c r="U28" s="0" t="n">
        <f aca="false">U6-U5</f>
        <v>166250000</v>
      </c>
      <c r="V28" s="0" t="n">
        <f aca="false">V6-V5</f>
        <v>87000000</v>
      </c>
      <c r="W28" s="0" t="n">
        <f aca="false">W6-W5</f>
        <v>0</v>
      </c>
      <c r="X28" s="0" t="n">
        <f aca="false">X6-X5</f>
        <v>136000000</v>
      </c>
      <c r="Y28" s="0" t="n">
        <f aca="false">Y6-Y5</f>
        <v>0</v>
      </c>
      <c r="Z28" s="0" t="n">
        <f aca="false">Z6-Z5</f>
        <v>0</v>
      </c>
      <c r="AA28" s="0" t="n">
        <f aca="false">AA6-AA5</f>
        <v>189000000</v>
      </c>
      <c r="AB28" s="0" t="n">
        <f aca="false">AB6-AB5</f>
        <v>0</v>
      </c>
      <c r="AC28" s="0" t="n">
        <f aca="false">AC6-AC5</f>
        <v>0</v>
      </c>
      <c r="AD28" s="0" t="n">
        <f aca="false">AD6-AD5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48</v>
      </c>
      <c r="B3" s="3" t="n">
        <f aca="false">XIRR('Cash Flow'!B28:AD28,'Cash Flow'!B4:AD4)</f>
        <v>0.162280827963197</v>
      </c>
    </row>
    <row r="4" customFormat="false" ht="15" hidden="false" customHeight="false" outlineLevel="0" collapsed="false">
      <c r="A4" s="0" t="s">
        <v>49</v>
      </c>
      <c r="B4" s="3" t="n">
        <f aca="false">XIRR('Cash Flow'!B27:AD27,'Cash Flow'!B4:AD4)</f>
        <v>0.12463258327815</v>
      </c>
    </row>
    <row r="5" customFormat="false" ht="15" hidden="false" customHeight="false" outlineLevel="0" collapsed="false">
      <c r="A5" s="0" t="s">
        <v>50</v>
      </c>
      <c r="B5" s="5" t="n">
        <f aca="false">SUM('Cash Flow'!B25:AD25)/SUM('Cash Flow'!B16:AD16)</f>
        <v>1.45751787503022</v>
      </c>
    </row>
    <row r="6" customFormat="false" ht="15" hidden="false" customHeight="false" outlineLevel="0" collapsed="false">
      <c r="A6" s="0" t="s">
        <v>51</v>
      </c>
      <c r="B6" s="1" t="n">
        <f aca="false">SUM('Cash Flow'!B26:AD26)</f>
        <v>51928125</v>
      </c>
    </row>
    <row r="7" customFormat="false" ht="15" hidden="false" customHeight="false" outlineLevel="0" collapsed="false">
      <c r="A7" s="0" t="s">
        <v>52</v>
      </c>
      <c r="B7" s="1" t="n">
        <f aca="false">SUM('Cash Flow'!B8:AD8)</f>
        <v>34109375</v>
      </c>
    </row>
    <row r="8" customFormat="false" ht="15" hidden="false" customHeight="false" outlineLevel="0" collapsed="false">
      <c r="A8" s="0" t="s">
        <v>53</v>
      </c>
      <c r="B8" s="1" t="n">
        <f aca="false">SUM('Cash Flow'!B12:AD12)</f>
        <v>11000000</v>
      </c>
    </row>
    <row r="9" customFormat="false" ht="15" hidden="false" customHeight="false" outlineLevel="0" collapsed="false">
      <c r="A9" s="0" t="s">
        <v>54</v>
      </c>
      <c r="B9" s="1" t="n">
        <f aca="false">MAX('Cash Flow'!B13:AD13)</f>
        <v>95000000</v>
      </c>
    </row>
    <row r="10" customFormat="false" ht="15" hidden="false" customHeight="false" outlineLevel="0" collapsed="false">
      <c r="A10" s="0" t="s">
        <v>55</v>
      </c>
      <c r="B10" s="1" t="n">
        <f aca="false">SUM('Cash Flow'!B14:AD14)</f>
        <v>452359375</v>
      </c>
    </row>
    <row r="11" customFormat="false" ht="15" hidden="false" customHeight="false" outlineLevel="0" collapsed="false">
      <c r="A11" s="0" t="s">
        <v>56</v>
      </c>
      <c r="B11" s="3" t="n">
        <f aca="false">B6/(SUM('Cash Flow'!B6:AD6)-B10)</f>
        <v>0.200579395256201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2026-10-17T12:22:18Z</dcterms:created>
  <dc:creator>openpyxl</dc:creator>
  <dc:description/>
  <dc:language>en-US</dc:language>
  <cp:lastModifiedBy/>
  <dcterms:modified xsi:type="dcterms:W3CDTF">2026-10-17T12:22:18Z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