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urve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<sst xmlns="http://schemas.openxmlformats.org/spreadsheetml/2006/main" count="36" uniqueCount="34">
  <si>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ALDGATE YARD – US INVESTOR, GBP ASSET WITH FX HEDGE</t>
  </si>
  <si>
    <t xml:space="preserve">Purchase price (£)</t>
  </si>
  <si>
    <t xml:space="preserve">Purchase costs</t>
  </si>
  <si>
    <t xml:space="preserve">NOI year 1 (£)</t>
  </si>
  <si>
    <t xml:space="preserve">NOI growth</t>
  </si>
  <si>
    <t xml:space="preserve">Exit yield</t>
  </si>
  <si>
    <t xml:space="preserve">Hold (years)</t>
  </si>
  <si>
    <t xml:space="preserve">GBP loan to value</t>
  </si>
  <si>
    <t xml:space="preserve">SONIA (flat)</t>
  </si>
  <si>
    <t xml:space="preserve">Loan margin</t>
  </si>
  <si>
    <t xml:space="preserve">GBP/USD spot</t>
  </si>
  <si>
    <t xml:space="preserve">GBP/USD drift a year</t>
  </si>
  <si>
    <t xml:space="preserve">Hedge ratio (of GBP equity)</t>
  </si>
  <si>
    <t xml:space="preserve">Hedge execution cost (bps a year)</t>
  </si>
  <si>
    <t xml:space="preserve">Year</t>
  </si>
  <si>
    <t xml:space="preserve">Forward points (annual, % of spot)</t>
  </si>
  <si>
    <t xml:space="preserve">NOI (£)</t>
  </si>
  <si>
    <t xml:space="preserve">Sale (£)</t>
  </si>
  <si>
    <t xml:space="preserve">Purchase (£)</t>
  </si>
  <si>
    <t xml:space="preserve">Loan (£)</t>
  </si>
  <si>
    <t xml:space="preserve">Interest (£)</t>
  </si>
  <si>
    <t xml:space="preserve">Repayment (£)</t>
  </si>
  <si>
    <t xml:space="preserve">Equity cash flow (£)</t>
  </si>
  <si>
    <t xml:space="preserve">Equity (£) hedged notional</t>
  </si>
  <si>
    <t xml:space="preserve">Forward rate locked</t>
  </si>
  <si>
    <t xml:space="preserve">Hedge settlement ($)</t>
  </si>
  <si>
    <t xml:space="preserve">Equity cash flow unhedged ($)</t>
  </si>
  <si>
    <t xml:space="preserve">Equity cash flow hedged ($)</t>
  </si>
  <si>
    <t xml:space="preserve">Levered IRR (GBP)</t>
  </si>
  <si>
    <t xml:space="preserve">Levered IRR (USD, unhedged)</t>
  </si>
  <si>
    <t xml:space="preserve">Levered IRR (USD, hedged)</t>
  </si>
  <si>
    <t xml:space="preserve">Equity multiple (USD, hedged)</t>
  </si>
  <si>
    <t xml:space="preserve">Hedge result ($)</t>
  </si>
  <si>
    <t xml:space="preserve">Net profit (USD, hedged)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</si>
</sst>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0"/>
    <numFmt numFmtId="168" formatCode="0.0000"/>
    <numFmt numFmtId="169" formatCode="0.000%"/>
    <numFmt numFmtId="170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180000000</v>
      </c>
    </row>
    <row r="4" customFormat="false" ht="15" hidden="false" customHeight="false" outlineLevel="0" collapsed="false">
      <c r="A4" s="0" t="s">
        <v>2</v>
      </c>
      <c r="B4" s="2" t="n">
        <v>0.068</v>
      </c>
    </row>
    <row r="5" customFormat="false" ht="15" hidden="false" customHeight="false" outlineLevel="0" collapsed="false">
      <c r="A5" s="0" t="s">
        <v>3</v>
      </c>
      <c r="B5" s="1" t="n">
        <v>10200000</v>
      </c>
    </row>
    <row r="6" customFormat="false" ht="15" hidden="false" customHeight="false" outlineLevel="0" collapsed="false">
      <c r="A6" s="0" t="s">
        <v>4</v>
      </c>
      <c r="B6" s="2" t="n">
        <v>0.025</v>
      </c>
    </row>
    <row r="7" customFormat="false" ht="15" hidden="false" customHeight="false" outlineLevel="0" collapsed="false">
      <c r="A7" s="0" t="s">
        <v>5</v>
      </c>
      <c r="B7" s="2" t="n">
        <v>0.0575</v>
      </c>
    </row>
    <row r="8" customFormat="false" ht="15" hidden="false" customHeight="false" outlineLevel="0" collapsed="false">
      <c r="A8" s="0" t="s">
        <v>6</v>
      </c>
      <c r="B8" s="3" t="n">
        <v>7</v>
      </c>
    </row>
    <row r="9" customFormat="false" ht="15" hidden="false" customHeight="false" outlineLevel="0" collapsed="false">
      <c r="A9" s="0" t="s">
        <v>7</v>
      </c>
      <c r="B9" s="2" t="n">
        <v>0.5</v>
      </c>
    </row>
    <row r="10" customFormat="false" ht="15" hidden="false" customHeight="false" outlineLevel="0" collapsed="false">
      <c r="A10" s="0" t="s">
        <v>8</v>
      </c>
      <c r="B10" s="2" t="n">
        <v>0.04</v>
      </c>
    </row>
    <row r="11" customFormat="false" ht="15" hidden="false" customHeight="false" outlineLevel="0" collapsed="false">
      <c r="A11" s="0" t="s">
        <v>9</v>
      </c>
      <c r="B11" s="2" t="n">
        <v>0.018</v>
      </c>
    </row>
    <row r="12" customFormat="false" ht="15" hidden="false" customHeight="false" outlineLevel="0" collapsed="false">
      <c r="A12" s="0" t="s">
        <v>10</v>
      </c>
      <c r="B12" s="4" t="n">
        <v>1.27</v>
      </c>
    </row>
    <row r="13" customFormat="false" ht="15" hidden="false" customHeight="false" outlineLevel="0" collapsed="false">
      <c r="A13" s="0" t="s">
        <v>11</v>
      </c>
      <c r="B13" s="2" t="n">
        <v>-0.01</v>
      </c>
    </row>
    <row r="14" customFormat="false" ht="15" hidden="false" customHeight="false" outlineLevel="0" collapsed="false">
      <c r="A14" s="0" t="s">
        <v>12</v>
      </c>
      <c r="B14" s="2" t="n">
        <v>0.75</v>
      </c>
    </row>
    <row r="15" customFormat="false" ht="15" hidden="false" customHeight="false" outlineLevel="0" collapsed="false">
      <c r="A15" s="0" t="s">
        <v>13</v>
      </c>
      <c r="B15" s="3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</row>
    <row r="2" customFormat="false" ht="15" hidden="false" customHeight="false" outlineLevel="0" collapsed="false">
      <c r="A2" s="0" t="n">
        <v>1</v>
      </c>
      <c r="B2" s="5" t="n">
        <v>-0.005</v>
      </c>
    </row>
    <row r="3" customFormat="false" ht="15" hidden="false" customHeight="false" outlineLevel="0" collapsed="false">
      <c r="A3" s="0" t="n">
        <v>2</v>
      </c>
      <c r="B3" s="5" t="n">
        <v>-0.0055</v>
      </c>
    </row>
    <row r="4" customFormat="false" ht="15" hidden="false" customHeight="false" outlineLevel="0" collapsed="false">
      <c r="A4" s="0" t="n">
        <v>3</v>
      </c>
      <c r="B4" s="5" t="n">
        <v>-0.006</v>
      </c>
    </row>
    <row r="5" customFormat="false" ht="15" hidden="false" customHeight="false" outlineLevel="0" collapsed="false">
      <c r="A5" s="0" t="n">
        <v>4</v>
      </c>
      <c r="B5" s="5" t="n">
        <v>-0.0065</v>
      </c>
    </row>
    <row r="6" customFormat="false" ht="15" hidden="false" customHeight="false" outlineLevel="0" collapsed="false">
      <c r="A6" s="0" t="n">
        <v>5</v>
      </c>
      <c r="B6" s="5" t="n">
        <v>-0.007</v>
      </c>
    </row>
    <row r="7" customFormat="false" ht="15" hidden="false" customHeight="false" outlineLevel="0" collapsed="false">
      <c r="A7" s="0" t="n">
        <v>6</v>
      </c>
      <c r="B7" s="5" t="n">
        <v>-0.0075</v>
      </c>
    </row>
    <row r="8" customFormat="false" ht="15" hidden="false" customHeight="false" outlineLevel="0" collapsed="false">
      <c r="A8" s="0" t="n">
        <v>7</v>
      </c>
      <c r="B8" s="5" t="n">
        <v>-0.008</v>
      </c>
    </row>
    <row r="9" customFormat="false" ht="15" hidden="false" customHeight="false" outlineLevel="0" collapsed="false">
      <c r="A9" s="0" t="n">
        <v>8</v>
      </c>
      <c r="B9" s="5" t="n">
        <v>-0.0085</v>
      </c>
    </row>
    <row r="10" customFormat="false" ht="15" hidden="false" customHeight="false" outlineLevel="0" collapsed="false">
      <c r="A10" s="0" t="n">
        <v>9</v>
      </c>
      <c r="B10" s="5" t="n">
        <v>-0.009</v>
      </c>
    </row>
    <row r="11" customFormat="false" ht="15" hidden="false" customHeight="false" outlineLevel="0" collapsed="false">
      <c r="A11" s="0" t="n">
        <v>10</v>
      </c>
      <c r="B11" s="5" t="n">
        <v>-0.0095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14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16</v>
      </c>
      <c r="B4" s="0" t="n">
        <f aca="false">IF(AND(B$3&gt;=1,B$3&lt;=Inputs!$B$8),Inputs!$B$5*(1+Inputs!$B$6)^(B$3-1),0)</f>
        <v>0</v>
      </c>
      <c r="C4" s="0" t="n">
        <f aca="false">IF(AND(C$3&gt;=1,C$3&lt;=Inputs!$B$8),Inputs!$B$5*(1+Inputs!$B$6)^(C$3-1),0)</f>
        <v>10200000</v>
      </c>
      <c r="D4" s="0" t="n">
        <f aca="false">IF(AND(D$3&gt;=1,D$3&lt;=Inputs!$B$8),Inputs!$B$5*(1+Inputs!$B$6)^(D$3-1),0)</f>
        <v>10455000</v>
      </c>
      <c r="E4" s="0" t="n">
        <f aca="false">IF(AND(E$3&gt;=1,E$3&lt;=Inputs!$B$8),Inputs!$B$5*(1+Inputs!$B$6)^(E$3-1),0)</f>
        <v>10716375</v>
      </c>
      <c r="F4" s="0" t="n">
        <f aca="false">IF(AND(F$3&gt;=1,F$3&lt;=Inputs!$B$8),Inputs!$B$5*(1+Inputs!$B$6)^(F$3-1),0)</f>
        <v>10984284.375</v>
      </c>
      <c r="G4" s="0" t="n">
        <f aca="false">IF(AND(G$3&gt;=1,G$3&lt;=Inputs!$B$8),Inputs!$B$5*(1+Inputs!$B$6)^(G$3-1),0)</f>
        <v>11258891.484375</v>
      </c>
      <c r="H4" s="0" t="n">
        <f aca="false">IF(AND(H$3&gt;=1,H$3&lt;=Inputs!$B$8),Inputs!$B$5*(1+Inputs!$B$6)^(H$3-1),0)</f>
        <v>11540363.7714844</v>
      </c>
      <c r="I4" s="0" t="n">
        <f aca="false">IF(AND(I$3&gt;=1,I$3&lt;=Inputs!$B$8),Inputs!$B$5*(1+Inputs!$B$6)^(I$3-1),0)</f>
        <v>11828872.8657715</v>
      </c>
      <c r="J4" s="0" t="n">
        <f aca="false">IF(AND(J$3&gt;=1,J$3&lt;=Inputs!$B$8),Inputs!$B$5*(1+Inputs!$B$6)^(J$3-1),0)</f>
        <v>0</v>
      </c>
      <c r="K4" s="0" t="n">
        <f aca="false">IF(AND(K$3&gt;=1,K$3&lt;=Inputs!$B$8),Inputs!$B$5*(1+Inputs!$B$6)^(K$3-1),0)</f>
        <v>0</v>
      </c>
      <c r="L4" s="0" t="n">
        <f aca="false">IF(AND(L$3&gt;=1,L$3&lt;=Inputs!$B$8),Inputs!$B$5*(1+Inputs!$B$6)^(L$3-1),0)</f>
        <v>0</v>
      </c>
    </row>
    <row r="5" customFormat="false" ht="15" hidden="false" customHeight="false" outlineLevel="0" collapsed="false">
      <c r="A5" s="0" t="s">
        <v>17</v>
      </c>
      <c r="B5" s="0" t="n">
        <f aca="false">IF((B$3=Inputs!$B$8),Inputs!$B$5*(1+Inputs!$B$6)^B$3/Inputs!$B$7,0)</f>
        <v>0</v>
      </c>
      <c r="C5" s="0" t="n">
        <f aca="false">IF((C$3=Inputs!$B$8),Inputs!$B$5*(1+Inputs!$B$6)^C$3/Inputs!$B$7,0)</f>
        <v>0</v>
      </c>
      <c r="D5" s="0" t="n">
        <f aca="false">IF((D$3=Inputs!$B$8),Inputs!$B$5*(1+Inputs!$B$6)^D$3/Inputs!$B$7,0)</f>
        <v>0</v>
      </c>
      <c r="E5" s="0" t="n">
        <f aca="false">IF((E$3=Inputs!$B$8),Inputs!$B$5*(1+Inputs!$B$6)^E$3/Inputs!$B$7,0)</f>
        <v>0</v>
      </c>
      <c r="F5" s="0" t="n">
        <f aca="false">IF((F$3=Inputs!$B$8),Inputs!$B$5*(1+Inputs!$B$6)^F$3/Inputs!$B$7,0)</f>
        <v>0</v>
      </c>
      <c r="G5" s="0" t="n">
        <f aca="false">IF((G$3=Inputs!$B$8),Inputs!$B$5*(1+Inputs!$B$6)^G$3/Inputs!$B$7,0)</f>
        <v>0</v>
      </c>
      <c r="H5" s="0" t="n">
        <f aca="false">IF((H$3=Inputs!$B$8),Inputs!$B$5*(1+Inputs!$B$6)^H$3/Inputs!$B$7,0)</f>
        <v>0</v>
      </c>
      <c r="I5" s="0" t="n">
        <f aca="false">IF((I$3=Inputs!$B$8),Inputs!$B$5*(1+Inputs!$B$6)^I$3/Inputs!$B$7,0)</f>
        <v>210862516.302883</v>
      </c>
      <c r="J5" s="0" t="n">
        <f aca="false">IF((J$3=Inputs!$B$8),Inputs!$B$5*(1+Inputs!$B$6)^J$3/Inputs!$B$7,0)</f>
        <v>0</v>
      </c>
      <c r="K5" s="0" t="n">
        <f aca="false">IF((K$3=Inputs!$B$8),Inputs!$B$5*(1+Inputs!$B$6)^K$3/Inputs!$B$7,0)</f>
        <v>0</v>
      </c>
      <c r="L5" s="0" t="n">
        <f aca="false">IF((L$3=Inputs!$B$8),Inputs!$B$5*(1+Inputs!$B$6)^L$3/Inputs!$B$7,0)</f>
        <v>0</v>
      </c>
    </row>
    <row r="6" customFormat="false" ht="15" hidden="false" customHeight="false" outlineLevel="0" collapsed="false">
      <c r="A6" s="0" t="s">
        <v>18</v>
      </c>
      <c r="B6" s="0" t="n">
        <f aca="false">IF(B$3=0,-Inputs!$B$3*(1+Inputs!$B$4),0)</f>
        <v>-192240000</v>
      </c>
      <c r="C6" s="0" t="n">
        <f aca="false">IF(C$3=0,-Inputs!$B$3*(1+Inputs!$B$4),0)</f>
        <v>0</v>
      </c>
      <c r="D6" s="0" t="n">
        <f aca="false">IF(D$3=0,-Inputs!$B$3*(1+Inputs!$B$4),0)</f>
        <v>0</v>
      </c>
      <c r="E6" s="0" t="n">
        <f aca="false">IF(E$3=0,-Inputs!$B$3*(1+Inputs!$B$4),0)</f>
        <v>0</v>
      </c>
      <c r="F6" s="0" t="n">
        <f aca="false">IF(F$3=0,-Inputs!$B$3*(1+Inputs!$B$4),0)</f>
        <v>0</v>
      </c>
      <c r="G6" s="0" t="n">
        <f aca="false">IF(G$3=0,-Inputs!$B$3*(1+Inputs!$B$4),0)</f>
        <v>0</v>
      </c>
      <c r="H6" s="0" t="n">
        <f aca="false">IF(H$3=0,-Inputs!$B$3*(1+Inputs!$B$4),0)</f>
        <v>0</v>
      </c>
      <c r="I6" s="0" t="n">
        <f aca="false">IF(I$3=0,-Inputs!$B$3*(1+Inputs!$B$4),0)</f>
        <v>0</v>
      </c>
      <c r="J6" s="0" t="n">
        <f aca="false">IF(J$3=0,-Inputs!$B$3*(1+Inputs!$B$4),0)</f>
        <v>0</v>
      </c>
      <c r="K6" s="0" t="n">
        <f aca="false">IF(K$3=0,-Inputs!$B$3*(1+Inputs!$B$4),0)</f>
        <v>0</v>
      </c>
      <c r="L6" s="0" t="n">
        <f aca="false">IF(L$3=0,-Inputs!$B$3*(1+Inputs!$B$4),0)</f>
        <v>0</v>
      </c>
    </row>
    <row r="7" customFormat="false" ht="15" hidden="false" customHeight="false" outlineLevel="0" collapsed="false">
      <c r="A7" s="0" t="s">
        <v>19</v>
      </c>
      <c r="B7" s="0" t="n">
        <f aca="false">IF(B$3=0,Inputs!$B$3*Inputs!$B$9,0)</f>
        <v>90000000</v>
      </c>
      <c r="C7" s="0" t="n">
        <f aca="false">IF(C$3=0,Inputs!$B$3*Inputs!$B$9,0)</f>
        <v>0</v>
      </c>
      <c r="D7" s="0" t="n">
        <f aca="false">IF(D$3=0,Inputs!$B$3*Inputs!$B$9,0)</f>
        <v>0</v>
      </c>
      <c r="E7" s="0" t="n">
        <f aca="false">IF(E$3=0,Inputs!$B$3*Inputs!$B$9,0)</f>
        <v>0</v>
      </c>
      <c r="F7" s="0" t="n">
        <f aca="false">IF(F$3=0,Inputs!$B$3*Inputs!$B$9,0)</f>
        <v>0</v>
      </c>
      <c r="G7" s="0" t="n">
        <f aca="false">IF(G$3=0,Inputs!$B$3*Inputs!$B$9,0)</f>
        <v>0</v>
      </c>
      <c r="H7" s="0" t="n">
        <f aca="false">IF(H$3=0,Inputs!$B$3*Inputs!$B$9,0)</f>
        <v>0</v>
      </c>
      <c r="I7" s="0" t="n">
        <f aca="false">IF(I$3=0,Inputs!$B$3*Inputs!$B$9,0)</f>
        <v>0</v>
      </c>
      <c r="J7" s="0" t="n">
        <f aca="false">IF(J$3=0,Inputs!$B$3*Inputs!$B$9,0)</f>
        <v>0</v>
      </c>
      <c r="K7" s="0" t="n">
        <f aca="false">IF(K$3=0,Inputs!$B$3*Inputs!$B$9,0)</f>
        <v>0</v>
      </c>
      <c r="L7" s="0" t="n">
        <f aca="false">IF(L$3=0,Inputs!$B$3*Inputs!$B$9,0)</f>
        <v>0</v>
      </c>
    </row>
    <row r="8" customFormat="false" ht="15" hidden="false" customHeight="false" outlineLevel="0" collapsed="false">
      <c r="A8" s="0" t="s">
        <v>20</v>
      </c>
      <c r="B8" s="0" t="n">
        <f aca="false">IF(AND(B$3&gt;=1,B$3&lt;=Inputs!$B$8),-Inputs!$B$3*Inputs!$B$9*(Inputs!$B$10+Inputs!$B$11),0)</f>
        <v>0</v>
      </c>
      <c r="C8" s="0" t="n">
        <f aca="false">IF(AND(C$3&gt;=1,C$3&lt;=Inputs!$B$8),-Inputs!$B$3*Inputs!$B$9*(Inputs!$B$10+Inputs!$B$11),0)</f>
        <v>-5220000</v>
      </c>
      <c r="D8" s="0" t="n">
        <f aca="false">IF(AND(D$3&gt;=1,D$3&lt;=Inputs!$B$8),-Inputs!$B$3*Inputs!$B$9*(Inputs!$B$10+Inputs!$B$11),0)</f>
        <v>-5220000</v>
      </c>
      <c r="E8" s="0" t="n">
        <f aca="false">IF(AND(E$3&gt;=1,E$3&lt;=Inputs!$B$8),-Inputs!$B$3*Inputs!$B$9*(Inputs!$B$10+Inputs!$B$11),0)</f>
        <v>-5220000</v>
      </c>
      <c r="F8" s="0" t="n">
        <f aca="false">IF(AND(F$3&gt;=1,F$3&lt;=Inputs!$B$8),-Inputs!$B$3*Inputs!$B$9*(Inputs!$B$10+Inputs!$B$11),0)</f>
        <v>-5220000</v>
      </c>
      <c r="G8" s="0" t="n">
        <f aca="false">IF(AND(G$3&gt;=1,G$3&lt;=Inputs!$B$8),-Inputs!$B$3*Inputs!$B$9*(Inputs!$B$10+Inputs!$B$11),0)</f>
        <v>-5220000</v>
      </c>
      <c r="H8" s="0" t="n">
        <f aca="false">IF(AND(H$3&gt;=1,H$3&lt;=Inputs!$B$8),-Inputs!$B$3*Inputs!$B$9*(Inputs!$B$10+Inputs!$B$11),0)</f>
        <v>-5220000</v>
      </c>
      <c r="I8" s="0" t="n">
        <f aca="false">IF(AND(I$3&gt;=1,I$3&lt;=Inputs!$B$8),-Inputs!$B$3*Inputs!$B$9*(Inputs!$B$10+Inputs!$B$11),0)</f>
        <v>-5220000</v>
      </c>
      <c r="J8" s="0" t="n">
        <f aca="false">IF(AND(J$3&gt;=1,J$3&lt;=Inputs!$B$8),-Inputs!$B$3*Inputs!$B$9*(Inputs!$B$10+Inputs!$B$11),0)</f>
        <v>0</v>
      </c>
      <c r="K8" s="0" t="n">
        <f aca="false">IF(AND(K$3&gt;=1,K$3&lt;=Inputs!$B$8),-Inputs!$B$3*Inputs!$B$9*(Inputs!$B$10+Inputs!$B$11),0)</f>
        <v>0</v>
      </c>
      <c r="L8" s="0" t="n">
        <f aca="false">IF(AND(L$3&gt;=1,L$3&lt;=Inputs!$B$8),-Inputs!$B$3*Inputs!$B$9*(Inputs!$B$10+Inputs!$B$11),0)</f>
        <v>0</v>
      </c>
    </row>
    <row r="9" customFormat="false" ht="15" hidden="false" customHeight="false" outlineLevel="0" collapsed="false">
      <c r="A9" s="0" t="s">
        <v>21</v>
      </c>
      <c r="B9" s="0" t="n">
        <f aca="false">IF((B$3=Inputs!$B$8),-Inputs!$B$3*Inputs!$B$9,0)</f>
        <v>0</v>
      </c>
      <c r="C9" s="0" t="n">
        <f aca="false">IF((C$3=Inputs!$B$8),-Inputs!$B$3*Inputs!$B$9,0)</f>
        <v>0</v>
      </c>
      <c r="D9" s="0" t="n">
        <f aca="false">IF((D$3=Inputs!$B$8),-Inputs!$B$3*Inputs!$B$9,0)</f>
        <v>0</v>
      </c>
      <c r="E9" s="0" t="n">
        <f aca="false">IF((E$3=Inputs!$B$8),-Inputs!$B$3*Inputs!$B$9,0)</f>
        <v>0</v>
      </c>
      <c r="F9" s="0" t="n">
        <f aca="false">IF((F$3=Inputs!$B$8),-Inputs!$B$3*Inputs!$B$9,0)</f>
        <v>0</v>
      </c>
      <c r="G9" s="0" t="n">
        <f aca="false">IF((G$3=Inputs!$B$8),-Inputs!$B$3*Inputs!$B$9,0)</f>
        <v>0</v>
      </c>
      <c r="H9" s="0" t="n">
        <f aca="false">IF((H$3=Inputs!$B$8),-Inputs!$B$3*Inputs!$B$9,0)</f>
        <v>0</v>
      </c>
      <c r="I9" s="0" t="n">
        <f aca="false">IF((I$3=Inputs!$B$8),-Inputs!$B$3*Inputs!$B$9,0)</f>
        <v>-90000000</v>
      </c>
      <c r="J9" s="0" t="n">
        <f aca="false">IF((J$3=Inputs!$B$8),-Inputs!$B$3*Inputs!$B$9,0)</f>
        <v>0</v>
      </c>
      <c r="K9" s="0" t="n">
        <f aca="false">IF((K$3=Inputs!$B$8),-Inputs!$B$3*Inputs!$B$9,0)</f>
        <v>0</v>
      </c>
      <c r="L9" s="0" t="n">
        <f aca="false">IF((L$3=Inputs!$B$8),-Inputs!$B$3*Inputs!$B$9,0)</f>
        <v>0</v>
      </c>
    </row>
    <row r="10" customFormat="false" ht="15" hidden="false" customHeight="false" outlineLevel="0" collapsed="false">
      <c r="A10" s="0" t="s">
        <v>22</v>
      </c>
      <c r="B10" s="0" t="n">
        <f aca="false">SUM(B4:B9)</f>
        <v>-102240000</v>
      </c>
      <c r="C10" s="0" t="n">
        <f aca="false">SUM(C4:C9)</f>
        <v>4980000</v>
      </c>
      <c r="D10" s="0" t="n">
        <f aca="false">SUM(D4:D9)</f>
        <v>5235000</v>
      </c>
      <c r="E10" s="0" t="n">
        <f aca="false">SUM(E4:E9)</f>
        <v>5496375</v>
      </c>
      <c r="F10" s="0" t="n">
        <f aca="false">SUM(F4:F9)</f>
        <v>5764284.375</v>
      </c>
      <c r="G10" s="0" t="n">
        <f aca="false">SUM(G4:G9)</f>
        <v>6038891.48437499</v>
      </c>
      <c r="H10" s="0" t="n">
        <f aca="false">SUM(H4:H9)</f>
        <v>6320363.77148437</v>
      </c>
      <c r="I10" s="0" t="n">
        <f aca="false">SUM(I4:I9)</f>
        <v>127471389.168654</v>
      </c>
      <c r="J10" s="0" t="n">
        <f aca="false">SUM(J4:J9)</f>
        <v>0</v>
      </c>
      <c r="K10" s="0" t="n">
        <f aca="false">SUM(K4:K9)</f>
        <v>0</v>
      </c>
      <c r="L10" s="0" t="n">
        <f aca="false">SUM(L4:L9)</f>
        <v>0</v>
      </c>
    </row>
    <row r="11" customFormat="false" ht="15" hidden="false" customHeight="false" outlineLevel="0" collapsed="false">
      <c r="A11" s="0" t="s">
        <v>10</v>
      </c>
      <c r="B11" s="0" t="n">
        <f aca="false">Inputs!$B$12*(1+Inputs!$B$13)^B$3</f>
        <v>1.27</v>
      </c>
      <c r="C11" s="0" t="n">
        <f aca="false">Inputs!$B$12*(1+Inputs!$B$13)^C$3</f>
        <v>1.2573</v>
      </c>
      <c r="D11" s="0" t="n">
        <f aca="false">Inputs!$B$12*(1+Inputs!$B$13)^D$3</f>
        <v>1.244727</v>
      </c>
      <c r="E11" s="0" t="n">
        <f aca="false">Inputs!$B$12*(1+Inputs!$B$13)^E$3</f>
        <v>1.23227973</v>
      </c>
      <c r="F11" s="0" t="n">
        <f aca="false">Inputs!$B$12*(1+Inputs!$B$13)^F$3</f>
        <v>1.2199569327</v>
      </c>
      <c r="G11" s="0" t="n">
        <f aca="false">Inputs!$B$12*(1+Inputs!$B$13)^G$3</f>
        <v>1.207757363373</v>
      </c>
      <c r="H11" s="0" t="n">
        <f aca="false">Inputs!$B$12*(1+Inputs!$B$13)^H$3</f>
        <v>1.19567978973927</v>
      </c>
      <c r="I11" s="0" t="n">
        <f aca="false">Inputs!$B$12*(1+Inputs!$B$13)^I$3</f>
        <v>1.18372299184188</v>
      </c>
      <c r="J11" s="0" t="n">
        <f aca="false">Inputs!$B$12*(1+Inputs!$B$13)^J$3</f>
        <v>1.17188576192346</v>
      </c>
      <c r="K11" s="0" t="n">
        <f aca="false">Inputs!$B$12*(1+Inputs!$B$13)^K$3</f>
        <v>1.16016690430422</v>
      </c>
      <c r="L11" s="0" t="n">
        <f aca="false">Inputs!$B$12*(1+Inputs!$B$13)^L$3</f>
        <v>1.14856523526118</v>
      </c>
    </row>
    <row r="12" customFormat="false" ht="15" hidden="false" customHeight="false" outlineLevel="0" collapsed="false">
      <c r="A12" s="0" t="s">
        <v>23</v>
      </c>
      <c r="B12" s="0" t="n">
        <f aca="false">IF(AND(B$3&gt;=1,B$3&lt;=Inputs!$B$8),Inputs!$B$3*(1+Inputs!$B$4)-Inputs!$B$3*Inputs!$B$9*Inputs!$B$14,0)</f>
        <v>0</v>
      </c>
      <c r="C12" s="0" t="n">
        <f aca="false">IF(AND(C$3&gt;=1,C$3&lt;=Inputs!$B$8),Inputs!$B$3*(1+Inputs!$B$4)-Inputs!$B$3*Inputs!$B$9*Inputs!$B$14,0)</f>
        <v>124740000</v>
      </c>
      <c r="D12" s="0" t="n">
        <f aca="false">IF(AND(D$3&gt;=1,D$3&lt;=Inputs!$B$8),Inputs!$B$3*(1+Inputs!$B$4)-Inputs!$B$3*Inputs!$B$9*Inputs!$B$14,0)</f>
        <v>124740000</v>
      </c>
      <c r="E12" s="0" t="n">
        <f aca="false">IF(AND(E$3&gt;=1,E$3&lt;=Inputs!$B$8),Inputs!$B$3*(1+Inputs!$B$4)-Inputs!$B$3*Inputs!$B$9*Inputs!$B$14,0)</f>
        <v>124740000</v>
      </c>
      <c r="F12" s="0" t="n">
        <f aca="false">IF(AND(F$3&gt;=1,F$3&lt;=Inputs!$B$8),Inputs!$B$3*(1+Inputs!$B$4)-Inputs!$B$3*Inputs!$B$9*Inputs!$B$14,0)</f>
        <v>124740000</v>
      </c>
      <c r="G12" s="0" t="n">
        <f aca="false">IF(AND(G$3&gt;=1,G$3&lt;=Inputs!$B$8),Inputs!$B$3*(1+Inputs!$B$4)-Inputs!$B$3*Inputs!$B$9*Inputs!$B$14,0)</f>
        <v>124740000</v>
      </c>
      <c r="H12" s="0" t="n">
        <f aca="false">IF(AND(H$3&gt;=1,H$3&lt;=Inputs!$B$8),Inputs!$B$3*(1+Inputs!$B$4)-Inputs!$B$3*Inputs!$B$9*Inputs!$B$14,0)</f>
        <v>124740000</v>
      </c>
      <c r="I12" s="0" t="n">
        <f aca="false">IF(AND(I$3&gt;=1,I$3&lt;=Inputs!$B$8),Inputs!$B$3*(1+Inputs!$B$4)-Inputs!$B$3*Inputs!$B$9*Inputs!$B$14,0)</f>
        <v>124740000</v>
      </c>
      <c r="J12" s="0" t="n">
        <f aca="false">IF(AND(J$3&gt;=1,J$3&lt;=Inputs!$B$8),Inputs!$B$3*(1+Inputs!$B$4)-Inputs!$B$3*Inputs!$B$9*Inputs!$B$14,0)</f>
        <v>0</v>
      </c>
      <c r="K12" s="0" t="n">
        <f aca="false">IF(AND(K$3&gt;=1,K$3&lt;=Inputs!$B$8),Inputs!$B$3*(1+Inputs!$B$4)-Inputs!$B$3*Inputs!$B$9*Inputs!$B$14,0)</f>
        <v>0</v>
      </c>
      <c r="L12" s="0" t="n">
        <f aca="false">IF(AND(L$3&gt;=1,L$3&lt;=Inputs!$B$8),Inputs!$B$3*(1+Inputs!$B$4)-Inputs!$B$3*Inputs!$B$9*Inputs!$B$14,0)</f>
        <v>0</v>
      </c>
    </row>
    <row r="13" customFormat="false" ht="15" hidden="false" customHeight="false" outlineLevel="0" collapsed="false">
      <c r="A13" s="0" t="s">
        <v>24</v>
      </c>
      <c r="B13" s="0" t="n">
        <f aca="false">0</f>
        <v>0</v>
      </c>
      <c r="C13" s="0" t="n">
        <f aca="false">IF(AND(C$3&gt;=1,C$3&lt;=Inputs!$B$8),B11*(1+INDEX(Curves!$B$2:$B$11,C$3)),0)</f>
        <v>1.26365</v>
      </c>
      <c r="D13" s="0" t="n">
        <f aca="false">IF(AND(D$3&gt;=1,D$3&lt;=Inputs!$B$8),C11*(1+INDEX(Curves!$B$2:$B$11,D$3)),0)</f>
        <v>1.25038485</v>
      </c>
      <c r="E13" s="0" t="n">
        <f aca="false">IF(AND(E$3&gt;=1,E$3&lt;=Inputs!$B$8),D11*(1+INDEX(Curves!$B$2:$B$11,E$3)),0)</f>
        <v>1.237258638</v>
      </c>
      <c r="F13" s="0" t="n">
        <f aca="false">IF(AND(F$3&gt;=1,F$3&lt;=Inputs!$B$8),E11*(1+INDEX(Curves!$B$2:$B$11,F$3)),0)</f>
        <v>1.224269911755</v>
      </c>
      <c r="G13" s="0" t="n">
        <f aca="false">IF(AND(G$3&gt;=1,G$3&lt;=Inputs!$B$8),F11*(1+INDEX(Curves!$B$2:$B$11,G$3)),0)</f>
        <v>1.2114172341711</v>
      </c>
      <c r="H13" s="0" t="n">
        <f aca="false">IF(AND(H$3&gt;=1,H$3&lt;=Inputs!$B$8),G11*(1+INDEX(Curves!$B$2:$B$11,H$3)),0)</f>
        <v>1.1986991831477</v>
      </c>
      <c r="I13" s="0" t="n">
        <f aca="false">IF(AND(I$3&gt;=1,I$3&lt;=Inputs!$B$8),H11*(1+INDEX(Curves!$B$2:$B$11,I$3)),0)</f>
        <v>1.18611435142136</v>
      </c>
      <c r="J13" s="0" t="n">
        <f aca="false">IF(AND(J$3&gt;=1,J$3&lt;=Inputs!$B$8),I11*(1+INDEX(Curves!$B$2:$B$11,J$3)),0)</f>
        <v>0</v>
      </c>
      <c r="K13" s="0" t="n">
        <f aca="false">IF(AND(K$3&gt;=1,K$3&lt;=Inputs!$B$8),J11*(1+INDEX(Curves!$B$2:$B$11,K$3)),0)</f>
        <v>0</v>
      </c>
      <c r="L13" s="0" t="n">
        <f aca="false">IF(AND(L$3&gt;=1,L$3&lt;=Inputs!$B$8),K11*(1+INDEX(Curves!$B$2:$B$11,L$3)),0)</f>
        <v>0</v>
      </c>
    </row>
    <row r="14" customFormat="false" ht="15" hidden="false" customHeight="false" outlineLevel="0" collapsed="false">
      <c r="A14" s="0" t="s">
        <v>25</v>
      </c>
      <c r="B14" s="0" t="n">
        <f aca="false">B12*(B13-B11)-B12*B11*Inputs!$B$15/10000</f>
        <v>-0</v>
      </c>
      <c r="C14" s="0" t="n">
        <f aca="false">C12*(C13-C11)-C12*C11*Inputs!$B$15/10000</f>
        <v>556845.596999982</v>
      </c>
      <c r="D14" s="0" t="n">
        <f aca="false">D12*(D13-D11)-D12*D11*Inputs!$B$15/10000</f>
        <v>472859.340030023</v>
      </c>
      <c r="E14" s="0" t="n">
        <f aca="false">E12*(E13-E11)-E12*E11*Inputs!$B$15/10000</f>
        <v>390497.123639673</v>
      </c>
      <c r="F14" s="0" t="n">
        <f aca="false">F12*(F13-F11)-F12*F11*Inputs!$B$15/10000</f>
        <v>309734.865643238</v>
      </c>
      <c r="G14" s="0" t="n">
        <f aca="false">G12*(G13-G11)-G12*G11*Inputs!$B$15/10000</f>
        <v>230548.803094291</v>
      </c>
      <c r="H14" s="0" t="n">
        <f aca="false">H12*(H13-H11)-H12*H11*Inputs!$B$15/10000</f>
        <v>152915.488309768</v>
      </c>
      <c r="I14" s="0" t="n">
        <f aca="false">I12*(I13-I11)-I12*I11*Inputs!$B$15/10000</f>
        <v>76811.7849406079</v>
      </c>
      <c r="J14" s="0" t="n">
        <f aca="false">J12*(J13-J11)-J12*J11*Inputs!$B$15/10000</f>
        <v>-0</v>
      </c>
      <c r="K14" s="0" t="n">
        <f aca="false">K12*(K13-K11)-K12*K11*Inputs!$B$15/10000</f>
        <v>-0</v>
      </c>
      <c r="L14" s="0" t="n">
        <f aca="false">L12*(L13-L11)-L12*L11*Inputs!$B$15/10000</f>
        <v>-0</v>
      </c>
    </row>
    <row r="15" customFormat="false" ht="15" hidden="false" customHeight="false" outlineLevel="0" collapsed="false">
      <c r="A15" s="0" t="s">
        <v>26</v>
      </c>
      <c r="B15" s="0" t="n">
        <f aca="false">B10*B11</f>
        <v>-129844800</v>
      </c>
      <c r="C15" s="0" t="n">
        <f aca="false">C10*C11</f>
        <v>6261354</v>
      </c>
      <c r="D15" s="0" t="n">
        <f aca="false">D10*D11</f>
        <v>6516145.845</v>
      </c>
      <c r="E15" s="0" t="n">
        <f aca="false">E10*E11</f>
        <v>6773071.50097875</v>
      </c>
      <c r="F15" s="0" t="n">
        <f aca="false">F10*F11</f>
        <v>7032178.68533553</v>
      </c>
      <c r="G15" s="0" t="n">
        <f aca="false">G10*G11</f>
        <v>7293515.65686441</v>
      </c>
      <c r="H15" s="0" t="n">
        <f aca="false">H10*H11</f>
        <v>7557131.22536413</v>
      </c>
      <c r="I15" s="0" t="n">
        <f aca="false">I10*I11</f>
        <v>150890814.16096</v>
      </c>
      <c r="J15" s="0" t="n">
        <f aca="false">J10*J11</f>
        <v>0</v>
      </c>
      <c r="K15" s="0" t="n">
        <f aca="false">K10*K11</f>
        <v>0</v>
      </c>
      <c r="L15" s="0" t="n">
        <f aca="false">L10*L11</f>
        <v>0</v>
      </c>
    </row>
    <row r="16" customFormat="false" ht="15" hidden="false" customHeight="false" outlineLevel="0" collapsed="false">
      <c r="A16" s="0" t="s">
        <v>27</v>
      </c>
      <c r="B16" s="0" t="n">
        <f aca="false">B15+B14</f>
        <v>-129844800</v>
      </c>
      <c r="C16" s="0" t="n">
        <f aca="false">C15+C14</f>
        <v>6818199.59699998</v>
      </c>
      <c r="D16" s="0" t="n">
        <f aca="false">D15+D14</f>
        <v>6989005.18503002</v>
      </c>
      <c r="E16" s="0" t="n">
        <f aca="false">E15+E14</f>
        <v>7163568.62461842</v>
      </c>
      <c r="F16" s="0" t="n">
        <f aca="false">F15+F14</f>
        <v>7341913.55097877</v>
      </c>
      <c r="G16" s="0" t="n">
        <f aca="false">G15+G14</f>
        <v>7524064.4599587</v>
      </c>
      <c r="H16" s="0" t="n">
        <f aca="false">H15+H14</f>
        <v>7710046.7136739</v>
      </c>
      <c r="I16" s="0" t="n">
        <f aca="false">I15+I14</f>
        <v>150967625.9459</v>
      </c>
      <c r="J16" s="0" t="n">
        <f aca="false">J15+J14</f>
        <v>0</v>
      </c>
      <c r="K16" s="0" t="n">
        <f aca="false">K15+K14</f>
        <v>0</v>
      </c>
      <c r="L16" s="0" t="n">
        <f aca="false">L15+L14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28</v>
      </c>
      <c r="B3" s="2" t="n">
        <f aca="false">IRR('Cash Flow'!B10:L10)</f>
        <v>0.0763751604238056</v>
      </c>
    </row>
    <row r="4" customFormat="false" ht="15" hidden="false" customHeight="false" outlineLevel="0" collapsed="false">
      <c r="A4" s="0" t="s">
        <v>29</v>
      </c>
      <c r="B4" s="2" t="n">
        <f aca="false">IRR('Cash Flow'!B15:L15)</f>
        <v>0.0656114088195664</v>
      </c>
    </row>
    <row r="5" customFormat="false" ht="15" hidden="false" customHeight="false" outlineLevel="0" collapsed="false">
      <c r="A5" s="0" t="s">
        <v>30</v>
      </c>
      <c r="B5" s="2" t="n">
        <f aca="false">IRR('Cash Flow'!B16:L16)</f>
        <v>0.0680752798662191</v>
      </c>
    </row>
    <row r="6" customFormat="false" ht="15" hidden="false" customHeight="false" outlineLevel="0" collapsed="false">
      <c r="A6" s="0" t="s">
        <v>31</v>
      </c>
      <c r="B6" s="6" t="n">
        <f aca="false">SUMIF('Cash Flow'!B16:L16,"&gt;0")/-SUMIF('Cash Flow'!B16:L16,"&lt;0")</f>
        <v>1.49805324569917</v>
      </c>
    </row>
    <row r="7" customFormat="false" ht="15" hidden="false" customHeight="false" outlineLevel="0" collapsed="false">
      <c r="A7" s="0" t="s">
        <v>32</v>
      </c>
      <c r="B7" s="1" t="n">
        <f aca="false">SUM('Cash Flow'!B14:L14)</f>
        <v>2190213.00265758</v>
      </c>
    </row>
    <row r="8" customFormat="false" ht="15" hidden="false" customHeight="false" outlineLevel="0" collapsed="false">
      <c r="A8" s="0" t="s">
        <v>33</v>
      </c>
      <c r="B8" s="1" t="n">
        <f aca="false">SUM('Cash Flow'!B16:L16)</f>
        <v>64669624.0771602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2026-10-17T12:22:18Z</dcterms:created>
  <dc:creator>openpyxl</dc:creator>
  <dc:description/>
  <dc:language>en-US</dc:language>
  <cp:lastModifiedBy/>
  <dcterms:modified xsi:type="dcterms:W3CDTF">2026-10-17T12:22:18Z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