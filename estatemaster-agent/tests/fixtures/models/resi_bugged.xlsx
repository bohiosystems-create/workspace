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turns" sheetId="1" state="visible" r:id="rId3"/>
    <sheet name="Assumptions" sheetId="2" state="visible" r:id="rId4"/>
    <sheet name="CashFlow" sheetId="3" state="visible" r:id="rId5"/>
    <sheet name="Check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<sst xmlns="http://schemas.openxmlformats.org/spreadsheetml/2006/main" count="54" uniqueCount="54">
  <si>
    <t xml:space="preserve">RIVERSIDE GARDENS · returns</t>
  </si>
  <si>
    <t xml:space="preserve">Gross development value</t>
  </si>
  <si>
    <t xml:space="preserve">Total development cost</t>
  </si>
  <si>
    <t xml:space="preserve">Net profit</t>
  </si>
  <si>
    <t xml:space="preserve">Profit on cost</t>
  </si>
  <si>
    <t xml:space="preserve">Unlevered IRR</t>
  </si>
  <si>
    <t xml:space="preserve">Levered IRR</t>
  </si>
  <si>
    <t xml:space="preserve">Peak debt</t>
  </si>
  <si>
    <t xml:space="preserve">NPV at discount rate</t>
  </si>
  <si>
    <t xml:space="preserve">Equity multiple</t>
  </si>
  <si>
    <t xml:space="preserve">RIVERSIDE GARDENS · residential scheme</t>
  </si>
  <si>
    <t xml:space="preserve">Site</t>
  </si>
  <si>
    <t xml:space="preserve">Site area (sqm)</t>
  </si>
  <si>
    <t xml:space="preserve">Gross internal area (sqm)</t>
  </si>
  <si>
    <t xml:space="preserve">Net sales area (sqm)</t>
  </si>
  <si>
    <t xml:space="preserve">Revenue</t>
  </si>
  <si>
    <t xml:space="preserve">Sales price (£/sqm)</t>
  </si>
  <si>
    <t xml:space="preserve">Sales period (months)</t>
  </si>
  <si>
    <t xml:space="preserve">Costs</t>
  </si>
  <si>
    <t xml:space="preserve">Land cost</t>
  </si>
  <si>
    <t xml:space="preserve">Build cost (£/sqm GIA)</t>
  </si>
  <si>
    <t xml:space="preserve">Professional fees</t>
  </si>
  <si>
    <t xml:space="preserve">Contingency</t>
  </si>
  <si>
    <t xml:space="preserve">Build period (months)</t>
  </si>
  <si>
    <t xml:space="preserve">Funding</t>
  </si>
  <si>
    <t xml:space="preserve">Loan to cost</t>
  </si>
  <si>
    <t xml:space="preserve">Interest rate</t>
  </si>
  <si>
    <t xml:space="preserve">Discount rate</t>
  </si>
  <si>
    <t xml:space="preserve">Marketing budget</t>
  </si>
  <si>
    <t xml:space="preserve">Monthly cash flow (£)</t>
  </si>
  <si>
    <t xml:space="preserve">Month</t>
  </si>
  <si>
    <t xml:space="preserve">Land</t>
  </si>
  <si>
    <t xml:space="preserve">Build</t>
  </si>
  <si>
    <t xml:space="preserve">Fees &amp; contingency</t>
  </si>
  <si>
    <t xml:space="preserve">Sales revenue</t>
  </si>
  <si>
    <t xml:space="preserve">Net cash flow (unlevered)</t>
  </si>
  <si>
    <t xml:space="preserve">Cumulative cost</t>
  </si>
  <si>
    <t xml:space="preserve">Debt draw</t>
  </si>
  <si>
    <t xml:space="preserve">Interest</t>
  </si>
  <si>
    <t xml:space="preserve">Debt balance</t>
  </si>
  <si>
    <t xml:space="preserve">Debt repayment</t>
  </si>
  <si>
    <t xml:space="preserve">Net cash flow to equity</t>
  </si>
  <si>
    <t xml:space="preserve">Checks and dates</t>
  </si>
  <si>
    <t xml:space="preserve">Analysis date</t>
  </si>
  <si>
    <t xml:space="preserve">Completion date</t>
  </si>
  <si>
    <t xml:space="preserve">Average monthly sales after build</t>
  </si>
  <si>
    <t xml:space="preserve">Scheme</t>
  </si>
  <si>
    <t xml:space="preserve">Debt balance at month 30</t>
  </si>
  <si>
    <t xml:space="preserve">Rank of levered IRR</t>
  </si>
  <si>
    <t xml:space="preserve">Debt trend at month 41</t>
  </si>
  <si>
    <t xml:space="preserve">Strength</t>
  </si>
  <si>
    <t xml:space="preserve">Sales after build</t>
  </si>
  <si>
    <t xml:space="preserve">Days to completion</t>
  </si>
  <si>
    <t xml:space="preserve">Cost per unit sold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</si>
</sst>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£#,##0"/>
    <numFmt numFmtId="166" formatCode="0.00%"/>
    <numFmt numFmtId="167" formatCode="0.00\x"/>
    <numFmt numFmtId="168" formatCode="#,##0"/>
    <numFmt numFmtId="169" formatCode="0"/>
    <numFmt numFmtId="170" formatCode="0.0%"/>
    <numFmt numFmtId="171" formatCode="0%"/>
    <numFmt numFmtId="172" formatCode="\£#,##0"/>
    <numFmt numFmtId="173" formatCode="#,##0;\(#,##0\)"/>
    <numFmt numFmtId="174" formatCode="dd/mm/yyyy"/>
    <numFmt numFmtId="17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true" outlineLevel="0" collapsed="false">
      <c r="B2" s="1" t="s">
        <v>0</v>
      </c>
    </row>
    <row r="4" customFormat="false" ht="15" hidden="false" customHeight="true" outlineLevel="0" collapsed="false">
      <c r="B4" s="2" t="s">
        <v>1</v>
      </c>
      <c r="D4" s="3" t="n">
        <f aca="false">(Assumptions!$D$7*Assumptions!$D$9)</f>
        <v>86700000</v>
      </c>
    </row>
    <row r="5" customFormat="false" ht="15" hidden="false" customHeight="true" outlineLevel="0" collapsed="false">
      <c r="B5" s="2" t="s">
        <v>2</v>
      </c>
      <c r="D5" s="3" t="n">
        <f aca="false">-SUM(CashFlow!D5:AQ7)+SUM(CashFlow!D12:AQ12)</f>
        <v>68003069.580575</v>
      </c>
    </row>
    <row r="6" customFormat="false" ht="15" hidden="false" customHeight="true" outlineLevel="0" collapsed="false">
      <c r="B6" s="2" t="s">
        <v>3</v>
      </c>
      <c r="D6" s="3" t="n">
        <f aca="false">D4-D5</f>
        <v>18696930.419425</v>
      </c>
    </row>
    <row r="7" customFormat="false" ht="15" hidden="false" customHeight="true" outlineLevel="0" collapsed="false">
      <c r="B7" s="2" t="s">
        <v>4</v>
      </c>
      <c r="D7" s="4" t="n">
        <f aca="false">D6/D5</f>
        <v>0.274942447962169</v>
      </c>
    </row>
    <row r="8" customFormat="false" ht="15" hidden="false" customHeight="true" outlineLevel="0" collapsed="false">
      <c r="B8" s="2" t="s">
        <v>5</v>
      </c>
      <c r="D8" s="4" t="n">
        <f aca="false">(1+IRR(CashFlow!D9:AQ9,0.02))^12-1</f>
        <v>0.17642050564972</v>
      </c>
    </row>
    <row r="9" customFormat="false" ht="15" hidden="false" customHeight="true" outlineLevel="0" collapsed="false">
      <c r="B9" s="2" t="s">
        <v>6</v>
      </c>
      <c r="D9" s="4" t="n">
        <f aca="false">(1+IRR(CashFlow!D15:AQ15,0.02))^12-1</f>
        <v>0.251318499692994</v>
      </c>
    </row>
    <row r="10" customFormat="false" ht="15" hidden="false" customHeight="true" outlineLevel="0" collapsed="false">
      <c r="B10" s="2" t="s">
        <v>7</v>
      </c>
      <c r="D10" s="3" t="n">
        <f aca="false">MAX(CashFlow!D13:AQ13)</f>
        <v>44694843.2870035</v>
      </c>
    </row>
    <row r="11" customFormat="false" ht="15" hidden="false" customHeight="true" outlineLevel="0" collapsed="false">
      <c r="B11" s="2" t="s">
        <v>8</v>
      </c>
      <c r="D11" s="3" t="n">
        <f aca="false">NPV(Assumptions!$D$20/12,CashFlow!D9:AQ9)</f>
        <v>7656286.21313993</v>
      </c>
    </row>
    <row r="12" customFormat="false" ht="15" hidden="false" customHeight="true" outlineLevel="0" collapsed="false">
      <c r="B12" s="2" t="s">
        <v>9</v>
      </c>
      <c r="D12" s="5" t="n">
        <f aca="false">SUMIF(CashFlow!D15:AQ15,"&gt;0")/-SUMIF(CashFlow!D15:AQ15,"&lt;0")</f>
        <v>1.83940605277117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true" outlineLevel="0" collapsed="false">
      <c r="B2" s="1" t="s">
        <v>10</v>
      </c>
    </row>
    <row r="4" customFormat="false" ht="15" hidden="false" customHeight="true" outlineLevel="0" collapsed="false">
      <c r="B4" s="1" t="s">
        <v>11</v>
      </c>
    </row>
    <row r="5" customFormat="false" ht="15" hidden="false" customHeight="true" outlineLevel="0" collapsed="false">
      <c r="B5" s="2" t="s">
        <v>12</v>
      </c>
      <c r="D5" s="6" t="n">
        <v>6500</v>
      </c>
    </row>
    <row r="6" customFormat="false" ht="15" hidden="false" customHeight="true" outlineLevel="0" collapsed="false">
      <c r="B6" s="2" t="s">
        <v>13</v>
      </c>
      <c r="D6" s="6" t="n">
        <v>12000</v>
      </c>
    </row>
    <row r="7" customFormat="false" ht="15" hidden="false" customHeight="true" outlineLevel="0" collapsed="false">
      <c r="B7" s="2" t="s">
        <v>14</v>
      </c>
      <c r="D7" s="6" t="n">
        <v>10200</v>
      </c>
    </row>
    <row r="8" customFormat="false" ht="15" hidden="false" customHeight="true" outlineLevel="0" collapsed="false">
      <c r="B8" s="1" t="s">
        <v>15</v>
      </c>
    </row>
    <row r="9" customFormat="false" ht="15" hidden="false" customHeight="true" outlineLevel="0" collapsed="false">
      <c r="B9" s="2" t="s">
        <v>16</v>
      </c>
      <c r="D9" s="3" t="n">
        <v>8500</v>
      </c>
    </row>
    <row r="10" customFormat="false" ht="15" hidden="false" customHeight="true" outlineLevel="0" collapsed="false">
      <c r="B10" s="2" t="s">
        <v>17</v>
      </c>
      <c r="D10" s="7" t="n">
        <v>12</v>
      </c>
    </row>
    <row r="11" customFormat="false" ht="15" hidden="false" customHeight="true" outlineLevel="0" collapsed="false">
      <c r="B11" s="1" t="s">
        <v>18</v>
      </c>
    </row>
    <row r="12" customFormat="false" ht="15" hidden="false" customHeight="true" outlineLevel="0" collapsed="false">
      <c r="B12" s="2" t="s">
        <v>19</v>
      </c>
      <c r="D12" s="3" t="n">
        <v>25000000</v>
      </c>
    </row>
    <row r="13" customFormat="false" ht="15" hidden="false" customHeight="true" outlineLevel="0" collapsed="false">
      <c r="B13" s="2" t="s">
        <v>20</v>
      </c>
      <c r="D13" s="3" t="n">
        <v>2800</v>
      </c>
    </row>
    <row r="14" customFormat="false" ht="15" hidden="false" customHeight="true" outlineLevel="0" collapsed="false">
      <c r="B14" s="2" t="s">
        <v>21</v>
      </c>
      <c r="D14" s="8" t="n">
        <v>0.1</v>
      </c>
    </row>
    <row r="15" customFormat="false" ht="15" hidden="false" customHeight="true" outlineLevel="0" collapsed="false">
      <c r="B15" s="2" t="s">
        <v>22</v>
      </c>
      <c r="D15" s="8" t="n">
        <v>0.05</v>
      </c>
    </row>
    <row r="16" customFormat="false" ht="15" hidden="false" customHeight="true" outlineLevel="0" collapsed="false">
      <c r="B16" s="2" t="s">
        <v>23</v>
      </c>
      <c r="D16" s="7" t="n">
        <v>24</v>
      </c>
    </row>
    <row r="17" customFormat="false" ht="15" hidden="false" customHeight="true" outlineLevel="0" collapsed="false">
      <c r="B17" s="1" t="s">
        <v>24</v>
      </c>
    </row>
    <row r="18" customFormat="false" ht="15" hidden="false" customHeight="true" outlineLevel="0" collapsed="false">
      <c r="B18" s="2" t="s">
        <v>25</v>
      </c>
      <c r="D18" s="9" t="n">
        <v>0.65</v>
      </c>
    </row>
    <row r="19" customFormat="false" ht="15" hidden="false" customHeight="true" outlineLevel="0" collapsed="false">
      <c r="B19" s="2" t="s">
        <v>26</v>
      </c>
      <c r="D19" s="4" t="n">
        <v>0.075</v>
      </c>
    </row>
    <row r="20" customFormat="false" ht="15" hidden="false" customHeight="true" outlineLevel="0" collapsed="false">
      <c r="B20" s="2" t="s">
        <v>27</v>
      </c>
      <c r="D20" s="8" t="n">
        <v>0.1</v>
      </c>
    </row>
    <row r="22" customFormat="false" ht="15" hidden="false" customHeight="false" outlineLevel="0" collapsed="false">
      <c r="B22" s="0" t="s">
        <v>28</v>
      </c>
      <c r="D22" s="10" t="n">
        <v>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true" outlineLevel="0" collapsed="false">
      <c r="B2" s="1" t="s">
        <v>29</v>
      </c>
    </row>
    <row r="4" customFormat="false" ht="15" hidden="false" customHeight="true" outlineLevel="0" collapsed="false">
      <c r="B4" s="2" t="s">
        <v>30</v>
      </c>
      <c r="D4" s="2" t="n">
        <v>1</v>
      </c>
      <c r="E4" s="2" t="n">
        <v>2</v>
      </c>
      <c r="F4" s="2" t="n">
        <v>3</v>
      </c>
      <c r="G4" s="2" t="n">
        <v>4</v>
      </c>
      <c r="H4" s="2" t="n">
        <v>5</v>
      </c>
      <c r="I4" s="2" t="n">
        <v>6</v>
      </c>
      <c r="J4" s="2" t="n">
        <v>7</v>
      </c>
      <c r="K4" s="2" t="n">
        <v>8</v>
      </c>
      <c r="L4" s="2" t="n">
        <v>9</v>
      </c>
      <c r="M4" s="2" t="n">
        <v>10</v>
      </c>
      <c r="N4" s="2" t="n">
        <v>11</v>
      </c>
      <c r="O4" s="2" t="n">
        <v>12</v>
      </c>
      <c r="P4" s="2" t="n">
        <v>13</v>
      </c>
      <c r="Q4" s="2" t="n">
        <v>14</v>
      </c>
      <c r="R4" s="2" t="n">
        <v>15</v>
      </c>
      <c r="S4" s="2" t="n">
        <v>16</v>
      </c>
      <c r="T4" s="2" t="n">
        <v>17</v>
      </c>
      <c r="U4" s="2" t="n">
        <v>18</v>
      </c>
      <c r="V4" s="2" t="n">
        <v>19</v>
      </c>
      <c r="W4" s="2" t="n">
        <v>20</v>
      </c>
      <c r="X4" s="2" t="n">
        <v>21</v>
      </c>
      <c r="Y4" s="2" t="n">
        <v>22</v>
      </c>
      <c r="Z4" s="2" t="n">
        <v>23</v>
      </c>
      <c r="AA4" s="2" t="n">
        <v>24</v>
      </c>
      <c r="AB4" s="2" t="n">
        <v>25</v>
      </c>
      <c r="AC4" s="2" t="n">
        <v>26</v>
      </c>
      <c r="AD4" s="2" t="n">
        <v>27</v>
      </c>
      <c r="AE4" s="2" t="n">
        <v>28</v>
      </c>
      <c r="AF4" s="2" t="n">
        <v>29</v>
      </c>
      <c r="AG4" s="2" t="n">
        <v>30</v>
      </c>
      <c r="AH4" s="2" t="n">
        <v>31</v>
      </c>
      <c r="AI4" s="2" t="n">
        <v>32</v>
      </c>
      <c r="AJ4" s="2" t="n">
        <v>33</v>
      </c>
      <c r="AK4" s="2" t="n">
        <v>34</v>
      </c>
      <c r="AL4" s="2" t="n">
        <v>35</v>
      </c>
      <c r="AM4" s="2" t="n">
        <v>36</v>
      </c>
      <c r="AN4" s="2" t="n">
        <v>37</v>
      </c>
      <c r="AO4" s="2" t="n">
        <v>38</v>
      </c>
      <c r="AP4" s="2" t="n">
        <v>39</v>
      </c>
      <c r="AQ4" s="2" t="n">
        <v>40</v>
      </c>
    </row>
    <row r="5" customFormat="false" ht="15" hidden="false" customHeight="true" outlineLevel="0" collapsed="false">
      <c r="B5" s="2" t="s">
        <v>31</v>
      </c>
      <c r="D5" s="11" t="n">
        <f aca="false">IF(D4=1,-Assumptions!$D$12,0)</f>
        <v>-25000000</v>
      </c>
      <c r="E5" s="11" t="n">
        <f aca="false">IF(E4=1,-Assumptions!$D$12,0)</f>
        <v>0</v>
      </c>
      <c r="F5" s="11" t="n">
        <f aca="false">IF(F4=1,-Assumptions!$D$12,0)</f>
        <v>0</v>
      </c>
      <c r="G5" s="11" t="n">
        <f aca="false">IF(G4=1,-Assumptions!$D$12,0)</f>
        <v>0</v>
      </c>
      <c r="H5" s="11" t="n">
        <f aca="false">IF(H4=1,-Assumptions!$D$12,0)</f>
        <v>0</v>
      </c>
      <c r="I5" s="11" t="n">
        <f aca="false">IF(I4=1,-Assumptions!$D$12,0)</f>
        <v>0</v>
      </c>
      <c r="J5" s="11" t="n">
        <f aca="false">IF(J4=1,-Assumptions!$D$12,0)</f>
        <v>0</v>
      </c>
      <c r="K5" s="11" t="n">
        <f aca="false">IF(K4=1,-Assumptions!$D$12,0)</f>
        <v>0</v>
      </c>
      <c r="L5" s="11" t="n">
        <f aca="false">IF(L4=1,-Assumptions!$D$12,0)</f>
        <v>0</v>
      </c>
      <c r="M5" s="11" t="n">
        <f aca="false">IF(M4=1,-Assumptions!$D$12,0)</f>
        <v>0</v>
      </c>
      <c r="N5" s="11" t="n">
        <f aca="false">IF(N4=1,-Assumptions!$D$12,0)</f>
        <v>0</v>
      </c>
      <c r="O5" s="11" t="n">
        <f aca="false">IF(O4=1,-Assumptions!$D$12,0)</f>
        <v>0</v>
      </c>
      <c r="P5" s="11" t="n">
        <f aca="false">IF(P4=1,-Assumptions!$D$12,0)</f>
        <v>0</v>
      </c>
      <c r="Q5" s="11" t="n">
        <f aca="false">IF(Q4=1,-Assumptions!$D$12,0)</f>
        <v>0</v>
      </c>
      <c r="R5" s="11" t="n">
        <f aca="false">IF(R4=1,-Assumptions!$D$12,0)</f>
        <v>0</v>
      </c>
      <c r="S5" s="11" t="n">
        <f aca="false">IF(S4=1,-Assumptions!$D$12,0)</f>
        <v>0</v>
      </c>
      <c r="T5" s="11" t="n">
        <f aca="false">IF(T4=1,-Assumptions!$D$12,0)</f>
        <v>0</v>
      </c>
      <c r="U5" s="11" t="n">
        <f aca="false">IF(U4=1,-Assumptions!$D$12,0)</f>
        <v>0</v>
      </c>
      <c r="V5" s="11" t="n">
        <f aca="false">IF(V4=1,-Assumptions!$D$12,0)</f>
        <v>0</v>
      </c>
      <c r="W5" s="11" t="n">
        <f aca="false">IF(W4=1,-Assumptions!$D$12,0)</f>
        <v>0</v>
      </c>
      <c r="X5" s="11" t="n">
        <f aca="false">IF(X4=1,-Assumptions!$D$12,0)</f>
        <v>0</v>
      </c>
      <c r="Y5" s="11" t="n">
        <f aca="false">IF(Y4=1,-Assumptions!$D$12,0)</f>
        <v>0</v>
      </c>
      <c r="Z5" s="11" t="n">
        <f aca="false">IF(Z4=1,-Assumptions!$D$12,0)</f>
        <v>0</v>
      </c>
      <c r="AA5" s="11" t="n">
        <f aca="false">IF(AA4=1,-Assumptions!$D$12,0)</f>
        <v>0</v>
      </c>
      <c r="AB5" s="11" t="n">
        <f aca="false">IF(AB4=1,-Assumptions!$D$12,0)</f>
        <v>0</v>
      </c>
      <c r="AC5" s="11" t="n">
        <f aca="false">IF(AC4=1,-Assumptions!$D$12,0)</f>
        <v>0</v>
      </c>
      <c r="AD5" s="11" t="n">
        <f aca="false">IF(AD4=1,-Assumptions!$D$12,0)</f>
        <v>0</v>
      </c>
      <c r="AE5" s="11" t="n">
        <f aca="false">IF(AE4=1,-Assumptions!$D$12,0)</f>
        <v>0</v>
      </c>
      <c r="AF5" s="11" t="n">
        <f aca="false">IF(AF4=1,-Assumptions!$D$12,0)</f>
        <v>0</v>
      </c>
      <c r="AG5" s="11" t="n">
        <f aca="false">IF(AG4=1,-Assumptions!$D$12,0)</f>
        <v>0</v>
      </c>
      <c r="AH5" s="11" t="n">
        <f aca="false">IF(AH4=1,-Assumptions!$D$12,0)</f>
        <v>0</v>
      </c>
      <c r="AI5" s="11" t="n">
        <f aca="false">IF(AI4=1,-Assumptions!$D$12,0)</f>
        <v>0</v>
      </c>
      <c r="AJ5" s="11" t="n">
        <f aca="false">IF(AJ4=1,-Assumptions!$D$12,0)</f>
        <v>0</v>
      </c>
      <c r="AK5" s="11" t="n">
        <f aca="false">IF(AK4=1,-Assumptions!$D$12,0)</f>
        <v>0</v>
      </c>
      <c r="AL5" s="11" t="n">
        <f aca="false">IF(AL4=1,-Assumptions!$D$12,0)</f>
        <v>0</v>
      </c>
      <c r="AM5" s="11" t="n">
        <f aca="false">IF(AM4=1,-Assumptions!$D$12,0)</f>
        <v>0</v>
      </c>
      <c r="AN5" s="11" t="n">
        <f aca="false">IF(AN4=1,-Assumptions!$D$12,0)</f>
        <v>0</v>
      </c>
      <c r="AO5" s="11" t="n">
        <f aca="false">IF(AO4=1,-Assumptions!$D$12,0)</f>
        <v>0</v>
      </c>
      <c r="AP5" s="11" t="n">
        <f aca="false">IF(AP4=1,-Assumptions!$D$12,0)</f>
        <v>0</v>
      </c>
      <c r="AQ5" s="11" t="n">
        <f aca="false">IF(AQ4=1,-Assumptions!$D$12,0)</f>
        <v>0</v>
      </c>
    </row>
    <row r="6" customFormat="false" ht="15" hidden="false" customHeight="true" outlineLevel="0" collapsed="false">
      <c r="B6" s="2" t="s">
        <v>32</v>
      </c>
      <c r="D6" s="11" t="n">
        <f aca="false">IF(D4&lt;=Assumptions!$D$16,-(Assumptions!$D$6*Assumptions!$D$13)/Assumptions!$D$16,0)</f>
        <v>-1400000</v>
      </c>
      <c r="E6" s="11" t="n">
        <f aca="false">IF(E4&lt;=Assumptions!$D$16,-(Assumptions!$D$6*Assumptions!$D$13)/Assumptions!$D$16,0)</f>
        <v>-1400000</v>
      </c>
      <c r="F6" s="11" t="n">
        <f aca="false">IF(F4&lt;=Assumptions!$D$16,-(Assumptions!$D$6*Assumptions!$D$13)/Assumptions!$D$16,0)</f>
        <v>-1400000</v>
      </c>
      <c r="G6" s="11" t="n">
        <f aca="false">IF(G4&lt;=Assumptions!$D$16,-(Assumptions!$D$6*Assumptions!$D$13)/Assumptions!$D$16,0)</f>
        <v>-1400000</v>
      </c>
      <c r="H6" s="11" t="n">
        <f aca="false">IF(H4&lt;=Assumptions!$D$16,-(Assumptions!$D$6*Assumptions!$D$13)/Assumptions!$D$16,0)</f>
        <v>-1400000</v>
      </c>
      <c r="I6" s="11" t="n">
        <f aca="false">IF(I4&lt;=Assumptions!$D$16,-(Assumptions!$D$6*Assumptions!$D$13)/Assumptions!$D$16,0)</f>
        <v>-1400000</v>
      </c>
      <c r="J6" s="11" t="n">
        <f aca="false">IF(J4&lt;=Assumptions!$D$16,-(Assumptions!$D$6*Assumptions!$D$13)/Assumptions!$D$16,0)</f>
        <v>-1400000</v>
      </c>
      <c r="K6" s="11" t="n">
        <f aca="false">IF(K4&lt;=Assumptions!$D$16,-(Assumptions!$D$6*Assumptions!$D$13)/Assumptions!$D$16,0)</f>
        <v>-1400000</v>
      </c>
      <c r="L6" s="11" t="n">
        <f aca="false">IF(L4&lt;=Assumptions!$D$16,-(Assumptions!$D$6*Assumptions!$D$13)/Assumptions!$D$16,0)</f>
        <v>-1400000</v>
      </c>
      <c r="M6" s="11" t="n">
        <v>-1400000</v>
      </c>
      <c r="N6" s="11" t="n">
        <f aca="false">IF(N4&lt;=Assumptions!$D$16,-(Assumptions!$D$6*Assumptions!$D$13)/Assumptions!$D$16,0)</f>
        <v>-1400000</v>
      </c>
      <c r="O6" s="11" t="n">
        <f aca="false">IF(O4&lt;=Assumptions!$D$16,-(Assumptions!$D$6*Assumptions!$D$13)/Assumptions!$D$16,0)</f>
        <v>-1400000</v>
      </c>
      <c r="P6" s="11" t="n">
        <f aca="false">IF(P4&lt;=Assumptions!$D$16,-(Assumptions!$D$6*Assumptions!$D$13)/Assumptions!$D$16,0)</f>
        <v>-1400000</v>
      </c>
      <c r="Q6" s="11" t="n">
        <f aca="false">IF(Q4&lt;=Assumptions!$D$16,-(Assumptions!$D$6*Assumptions!$D$13)/Assumptions!$D$16,0)</f>
        <v>-1400000</v>
      </c>
      <c r="R6" s="11" t="n">
        <f aca="false">IF(R4&lt;=Assumptions!$D$16,-(Assumptions!$D$6*Assumptions!$D$13)/Assumptions!$D$16,0)</f>
        <v>-1400000</v>
      </c>
      <c r="S6" s="11" t="n">
        <f aca="false">IF(S4&lt;=Assumptions!$D$16,-(Assumptions!$D$6*Assumptions!$D$13)/Assumptions!$D$16,0)</f>
        <v>-1400000</v>
      </c>
      <c r="T6" s="11" t="n">
        <f aca="false">IF(T4&lt;=Assumptions!$D$16,-(Assumptions!$D$6*Assumptions!$D$13)/Assumptions!$D$16,0)</f>
        <v>-1400000</v>
      </c>
      <c r="U6" s="11" t="n">
        <f aca="false">IF(U4&lt;=Assumptions!$D$16,-(Assumptions!$D$6*Assumptions!$D$13)/Assumptions!$D$16,0)</f>
        <v>-1400000</v>
      </c>
      <c r="V6" s="11" t="n">
        <f aca="false">IF(V4&lt;=Assumptions!$D$16,-(Assumptions!$D$6*Assumptions!$D$13)/Assumptions!$D$16,0)</f>
        <v>-1400000</v>
      </c>
      <c r="W6" s="11" t="n">
        <f aca="false">IF(W4&lt;=Assumptions!$D$16,-(Assumptions!$D$6*Assumptions!$D$13)/Assumptions!$D$16,0)</f>
        <v>-1400000</v>
      </c>
      <c r="X6" s="11" t="n">
        <f aca="false">IF(X4&lt;=Assumptions!$D$16,-(Assumptions!$D$6*Assumptions!$D$13)/Assumptions!$D$16,0)</f>
        <v>-1400000</v>
      </c>
      <c r="Y6" s="11" t="n">
        <f aca="false">IF(Y4&lt;=Assumptions!$D$16,-(Assumptions!$D$6*Assumptions!$D$13)/Assumptions!$D$16,0)</f>
        <v>-1400000</v>
      </c>
      <c r="Z6" s="11" t="n">
        <f aca="false">IF(Z4&lt;=Assumptions!$D$16,-(Assumptions!$D$6*Assumptions!$D$13)/Assumptions!$D$16,0)</f>
        <v>-1400000</v>
      </c>
      <c r="AA6" s="11" t="n">
        <f aca="false">IF(AA4&lt;=Assumptions!$D$16,-(Assumptions!$D$6*Assumptions!$D$13)/Assumptions!$D$16,0)</f>
        <v>-1400000</v>
      </c>
      <c r="AB6" s="11" t="n">
        <f aca="false">IF(AB4&lt;=Assumptions!$D$16,-(Assumptions!$D$6*Assumptions!$D$13)/Assumptions!$D$16,0)</f>
        <v>0</v>
      </c>
      <c r="AC6" s="11" t="n">
        <f aca="false">IF(AC4&lt;=Assumptions!$D$16,-(Assumptions!$D$6*Assumptions!$D$13)/Assumptions!$D$16,0)</f>
        <v>0</v>
      </c>
      <c r="AD6" s="11" t="n">
        <f aca="false">IF(AD4&lt;=Assumptions!$D$16,-(Assumptions!$D$6*Assumptions!$D$13)/Assumptions!$D$16,0)</f>
        <v>0</v>
      </c>
      <c r="AE6" s="11" t="n">
        <f aca="false">IF(AE4&lt;=Assumptions!$D$16,-(Assumptions!$D$6*Assumptions!$D$13)/Assumptions!$D$16,0)</f>
        <v>0</v>
      </c>
      <c r="AF6" s="11" t="n">
        <f aca="false">IF(AF4&lt;=Assumptions!$D$16,-(Assumptions!$D$6*Assumptions!$D$13)/Assumptions!$D$16,0)</f>
        <v>0</v>
      </c>
      <c r="AG6" s="11" t="n">
        <f aca="false">IF(AG4&lt;=Assumptions!$D$16,-(Assumptions!$D$6*Assumptions!$D$13)/Assumptions!$D$16,0)</f>
        <v>0</v>
      </c>
      <c r="AH6" s="11" t="n">
        <f aca="false">IF(AH4&lt;=Assumptions!$D$16,-(Assumptions!$D$6*Assumptions!$D$13)/Assumptions!$D$16,0)</f>
        <v>0</v>
      </c>
      <c r="AI6" s="11" t="n">
        <f aca="false">IF(AI4&lt;=Assumptions!$D$16,-(Assumptions!$D$6*Assumptions!$D$13)/Assumptions!$D$16,0)</f>
        <v>0</v>
      </c>
      <c r="AJ6" s="11" t="n">
        <f aca="false">IF(AJ4&lt;=Assumptions!$D$16,-(Assumptions!$D$6*Assumptions!$D$13)/Assumptions!$D$16,0)</f>
        <v>0</v>
      </c>
      <c r="AK6" s="11" t="n">
        <f aca="false">IF(AK4&lt;=Assumptions!$D$16,-(Assumptions!$D$6*Assumptions!$D$13)/Assumptions!$D$16,0)</f>
        <v>0</v>
      </c>
      <c r="AL6" s="11" t="n">
        <f aca="false">IF(AL4&lt;=Assumptions!$D$16,-(Assumptions!$D$6*Assumptions!$D$13)/Assumptions!$D$16,0)</f>
        <v>0</v>
      </c>
      <c r="AM6" s="11" t="n">
        <f aca="false">IF(AM4&lt;=Assumptions!$D$16,-(Assumptions!$D$6*Assumptions!$D$13)/Assumptions!$D$16,0)</f>
        <v>0</v>
      </c>
      <c r="AN6" s="11" t="n">
        <f aca="false">IF(AN4&lt;=Assumptions!$D$16,-(Assumptions!$D$6*Assumptions!$D$13)/Assumptions!$D$16,0)</f>
        <v>0</v>
      </c>
      <c r="AO6" s="11" t="n">
        <f aca="false">IF(AO4&lt;=Assumptions!$D$16,-(Assumptions!$D$6*Assumptions!$D$13)/Assumptions!$D$16,0)</f>
        <v>0</v>
      </c>
      <c r="AP6" s="11" t="n">
        <f aca="false">IF(AP4&lt;=Assumptions!$D$16,-(Assumptions!$D$6*Assumptions!$D$13)/Assumptions!$D$16,0)</f>
        <v>0</v>
      </c>
      <c r="AQ6" s="11" t="n">
        <f aca="false">IF(AQ4&lt;=Assumptions!$D$16,-(Assumptions!$D$6*Assumptions!$D$13)/Assumptions!$D$16,0)</f>
        <v>0</v>
      </c>
    </row>
    <row r="7" customFormat="false" ht="15" hidden="false" customHeight="true" outlineLevel="0" collapsed="false">
      <c r="B7" s="2" t="s">
        <v>33</v>
      </c>
      <c r="D7" s="11" t="n">
        <f aca="false">D6*(Assumptions!$D$14+Assumptions!$D$15)</f>
        <v>-210000</v>
      </c>
      <c r="E7" s="11" t="n">
        <f aca="false">E6*(Assumptions!$D$14+Assumptions!$D$15)</f>
        <v>-210000</v>
      </c>
      <c r="F7" s="11" t="n">
        <f aca="false">F6*(Assumptions!$D$14+Assumptions!$D$15)</f>
        <v>-210000</v>
      </c>
      <c r="G7" s="11" t="n">
        <f aca="false">G6*(Assumptions!$D$14+Assumptions!$D$15)</f>
        <v>-210000</v>
      </c>
      <c r="H7" s="11" t="n">
        <f aca="false">H6*(Assumptions!$D$14+Assumptions!$D$15)</f>
        <v>-210000</v>
      </c>
      <c r="I7" s="11" t="n">
        <f aca="false">I6*(Assumptions!$D$14+Assumptions!$D$15)</f>
        <v>-210000</v>
      </c>
      <c r="J7" s="11" t="n">
        <f aca="false">J6*(Assumptions!$D$14+Assumptions!$D$15)</f>
        <v>-210000</v>
      </c>
      <c r="K7" s="11" t="n">
        <f aca="false">K6*(Assumptions!$D$14+Assumptions!$D$15)</f>
        <v>-210000</v>
      </c>
      <c r="L7" s="11" t="n">
        <f aca="false">L6*(Assumptions!$D$14+Assumptions!$D$15)</f>
        <v>-210000</v>
      </c>
      <c r="M7" s="11" t="n">
        <f aca="false">M6*(Assumptions!$D$14+Assumptions!$D$15)</f>
        <v>-210000</v>
      </c>
      <c r="N7" s="11" t="n">
        <f aca="false">N6*(Assumptions!$D$14+Assumptions!$D$15)</f>
        <v>-210000</v>
      </c>
      <c r="O7" s="11" t="n">
        <f aca="false">O6*(Assumptions!$D$14+Assumptions!$D$15)</f>
        <v>-210000</v>
      </c>
      <c r="P7" s="11" t="n">
        <f aca="false">P6*(Assumptions!$D$14+Assumptions!$D$15)</f>
        <v>-210000</v>
      </c>
      <c r="Q7" s="11" t="n">
        <f aca="false">Q6*(Assumptions!$D$14+Assumptions!$D$15)</f>
        <v>-210000</v>
      </c>
      <c r="R7" s="11" t="n">
        <f aca="false">R6*(Assumptions!$D$14+Assumptions!$D$15)</f>
        <v>-210000</v>
      </c>
      <c r="S7" s="11" t="n">
        <f aca="false">S6*(Assumptions!$D$14+Assumptions!$D$15)</f>
        <v>-210000</v>
      </c>
      <c r="T7" s="11" t="n">
        <f aca="false">T6*(Assumptions!$D$14+Assumptions!$D$15)</f>
        <v>-210000</v>
      </c>
      <c r="U7" s="11" t="n">
        <f aca="false">U6*(Assumptions!$D$14+Assumptions!$D$15)</f>
        <v>-210000</v>
      </c>
      <c r="V7" s="11" t="n">
        <f aca="false">V6*(Assumptions!$D$14+Assumptions!$D$15)</f>
        <v>-210000</v>
      </c>
      <c r="W7" s="11" t="n">
        <f aca="false">W6*(Assumptions!$D$14+Assumptions!$D$15)</f>
        <v>-210000</v>
      </c>
      <c r="X7" s="11" t="n">
        <f aca="false">X6*(Assumptions!$D$14+Assumptions!$D$15)</f>
        <v>-210000</v>
      </c>
      <c r="Y7" s="11" t="n">
        <f aca="false">Y6*(Assumptions!$D$14+Assumptions!$D$15)</f>
        <v>-210000</v>
      </c>
      <c r="Z7" s="11" t="n">
        <f aca="false">Z6*(Assumptions!$D$14+Assumptions!$D$15)</f>
        <v>-210000</v>
      </c>
      <c r="AA7" s="11" t="n">
        <f aca="false">AA6*(Assumptions!$D$14+Assumptions!$D$15)</f>
        <v>-210000</v>
      </c>
      <c r="AB7" s="11" t="n">
        <f aca="false">AB6*(Assumptions!$D$14+Assumptions!$D$15)</f>
        <v>0</v>
      </c>
      <c r="AC7" s="11" t="n">
        <f aca="false">AC6*(Assumptions!$D$14+Assumptions!$D$15)</f>
        <v>0</v>
      </c>
      <c r="AD7" s="11" t="n">
        <f aca="false">AD6*(Assumptions!$D$14+Assumptions!$D$15)</f>
        <v>0</v>
      </c>
      <c r="AE7" s="11" t="n">
        <f aca="false">AE6*(Assumptions!$D$14+Assumptions!$D$15)</f>
        <v>0</v>
      </c>
      <c r="AF7" s="11" t="n">
        <f aca="false">AF6*(Assumptions!$D$14+Assumptions!$D$15)</f>
        <v>0</v>
      </c>
      <c r="AG7" s="11" t="n">
        <f aca="false">AG6*(Assumptions!$D$14+Assumptions!$D$15)</f>
        <v>0</v>
      </c>
      <c r="AH7" s="11" t="n">
        <f aca="false">AH6*(Assumptions!$D$14+Assumptions!$D$15)</f>
        <v>0</v>
      </c>
      <c r="AI7" s="11" t="n">
        <f aca="false">AI6*(Assumptions!$D$14+Assumptions!$D$15)</f>
        <v>0</v>
      </c>
      <c r="AJ7" s="11" t="n">
        <f aca="false">AJ6*(Assumptions!$D$14+Assumptions!$D$15)</f>
        <v>0</v>
      </c>
      <c r="AK7" s="11" t="n">
        <f aca="false">AK6*(Assumptions!$D$14+Assumptions!$D$15)</f>
        <v>0</v>
      </c>
      <c r="AL7" s="11" t="n">
        <f aca="false">AL6*(Assumptions!$D$14+Assumptions!$D$15)</f>
        <v>0</v>
      </c>
      <c r="AM7" s="11" t="n">
        <f aca="false">AM6*(Assumptions!$D$14+Assumptions!$D$15)</f>
        <v>0</v>
      </c>
      <c r="AN7" s="11" t="n">
        <f aca="false">AN6*(Assumptions!$D$14+Assumptions!$D$15)</f>
        <v>0</v>
      </c>
      <c r="AO7" s="11" t="n">
        <f aca="false">AO6*(Assumptions!$D$14+Assumptions!$D$15)</f>
        <v>0</v>
      </c>
      <c r="AP7" s="11" t="n">
        <f aca="false">AP6*(Assumptions!$D$14+Assumptions!$D$15)</f>
        <v>0</v>
      </c>
      <c r="AQ7" s="11" t="n">
        <f aca="false">AQ6*(Assumptions!$D$14+Assumptions!$D$15)</f>
        <v>0</v>
      </c>
    </row>
    <row r="8" customFormat="false" ht="15" hidden="false" customHeight="true" outlineLevel="0" collapsed="false">
      <c r="B8" s="2" t="s">
        <v>34</v>
      </c>
      <c r="D8" s="11" t="n">
        <f aca="false">IF(AND(D4&gt;Assumptions!$D$16,D4&lt;=Assumptions!$D$16+Assumptions!$D$10),(Assumptions!$D$7*Assumptions!$D$9)/Assumptions!$D$10,0)</f>
        <v>0</v>
      </c>
      <c r="E8" s="11" t="n">
        <f aca="false">IF(AND(E4&gt;Assumptions!$D$16,E4&lt;=Assumptions!$D$16+Assumptions!$D$10),(Assumptions!$D$7*Assumptions!$D$9)/Assumptions!$D$10,0)</f>
        <v>0</v>
      </c>
      <c r="F8" s="11" t="n">
        <f aca="false">IF(AND(F4&gt;Assumptions!$D$16,F4&lt;=Assumptions!$D$16+Assumptions!$D$10),(Assumptions!$D$7*Assumptions!$D$9)/Assumptions!$D$10,0)</f>
        <v>0</v>
      </c>
      <c r="G8" s="11" t="n">
        <f aca="false">IF(AND(G4&gt;Assumptions!$D$16,G4&lt;=Assumptions!$D$16+Assumptions!$D$10),(Assumptions!$D$7*Assumptions!$D$9)/Assumptions!$D$10,0)</f>
        <v>0</v>
      </c>
      <c r="H8" s="11" t="n">
        <f aca="false">IF(AND(H4&gt;Assumptions!$D$16,H4&lt;=Assumptions!$D$16+Assumptions!$D$10),(Assumptions!$D$7*Assumptions!$D$9)/Assumptions!$D$10,0)</f>
        <v>0</v>
      </c>
      <c r="I8" s="11" t="n">
        <f aca="false">IF(AND(I4&gt;Assumptions!$D$16,I4&lt;=Assumptions!$D$16+Assumptions!$D$10),(Assumptions!$D$7*Assumptions!$D$9)/Assumptions!$D$10,0)</f>
        <v>0</v>
      </c>
      <c r="J8" s="11" t="n">
        <f aca="false">IF(AND(J4&gt;Assumptions!$D$16,J4&lt;=Assumptions!$D$16+Assumptions!$D$10),(Assumptions!$D$7*Assumptions!$D$9)/Assumptions!$D$10,0)</f>
        <v>0</v>
      </c>
      <c r="K8" s="11" t="n">
        <f aca="false">IF(AND(K4&gt;Assumptions!$D$16,K4&lt;=Assumptions!$D$16+Assumptions!$D$10),(Assumptions!$D$7*Assumptions!$D$9)/Assumptions!$D$10,0)</f>
        <v>0</v>
      </c>
      <c r="L8" s="11" t="n">
        <f aca="false">IF(AND(L4&gt;Assumptions!$D$16,L4&lt;=Assumptions!$D$16+Assumptions!$D$10),(Assumptions!$D$7*Assumptions!$D$9)/Assumptions!$D$10,0)</f>
        <v>0</v>
      </c>
      <c r="M8" s="11" t="n">
        <f aca="false">IF(AND(M4&gt;Assumptions!$D$16,M4&lt;=Assumptions!$D$16+Assumptions!$D$10),(Assumptions!$D$7*Assumptions!$D$9)/Assumptions!$D$10,0)</f>
        <v>0</v>
      </c>
      <c r="N8" s="11" t="n">
        <f aca="false">IF(AND(N4&gt;Assumptions!$D$16,N4&lt;=Assumptions!$D$16+Assumptions!$D$10),(Assumptions!$D$7*Assumptions!$D$9)/Assumptions!$D$10,0)</f>
        <v>0</v>
      </c>
      <c r="O8" s="11" t="n">
        <f aca="false">IF(AND(O4&gt;Assumptions!$D$16,O4&lt;=Assumptions!$D$16+Assumptions!$D$10),(Assumptions!$D$7*Assumptions!$D$9)/Assumptions!$D$10,0)</f>
        <v>0</v>
      </c>
      <c r="P8" s="11" t="n">
        <f aca="false">IF(AND(P4&gt;Assumptions!$D$16,P4&lt;=Assumptions!$D$16+Assumptions!$D$10),(Assumptions!$D$7*Assumptions!$D$9)/Assumptions!$D$10,0)</f>
        <v>0</v>
      </c>
      <c r="Q8" s="11" t="n">
        <f aca="false">IF(AND(Q4&gt;Assumptions!$D$16,Q4&lt;=Assumptions!$D$16+Assumptions!$D$10),(Assumptions!$D$7*Assumptions!$D$9)/Assumptions!$D$10,0)</f>
        <v>0</v>
      </c>
      <c r="R8" s="11" t="n">
        <f aca="false">IF(AND(R4&gt;Assumptions!$D$16,R4&lt;=Assumptions!$D$16+Assumptions!$D$10),(Assumptions!$D$7*Assumptions!$D$9)/Assumptions!$D$10,0)</f>
        <v>0</v>
      </c>
      <c r="S8" s="11" t="n">
        <f aca="false">IF(AND(S4&gt;Assumptions!$D$16,S4&lt;=Assumptions!$D$16+Assumptions!$D$10),(Assumptions!$D$7*Assumptions!$D$9)/Assumptions!$D$10,0)</f>
        <v>0</v>
      </c>
      <c r="T8" s="11" t="n">
        <f aca="false">IF(AND(T4&gt;Assumptions!$D$16,T4&lt;=Assumptions!$D$16+Assumptions!$D$10),(Assumptions!$D$7*Assumptions!$D$9)/Assumptions!$D$10,0)</f>
        <v>0</v>
      </c>
      <c r="U8" s="11" t="n">
        <f aca="false">IF(AND(U4&gt;Assumptions!$D$16,U4&lt;=Assumptions!$D$16+Assumptions!$D$10),(Assumptions!$D$7*Assumptions!$D$9)/Assumptions!$D$10,0)</f>
        <v>0</v>
      </c>
      <c r="V8" s="11" t="n">
        <f aca="false">IF(AND(V4&gt;Assumptions!$D$16,V4&lt;=Assumptions!$D$16+Assumptions!$D$10),(Assumptions!$D$7*Assumptions!$D$9)/Assumptions!$D$10,0)</f>
        <v>0</v>
      </c>
      <c r="W8" s="11" t="n">
        <f aca="false">IF(AND(W4&gt;Assumptions!$D$16,W4&lt;=Assumptions!$D$16+Assumptions!$D$10),(Assumptions!$D$7*Assumptions!$D$9)/Assumptions!$D$10,0)</f>
        <v>0</v>
      </c>
      <c r="X8" s="11" t="n">
        <f aca="false">IF(AND(X4&gt;Assumptions!$D$16,X4&lt;=Assumptions!$D$16+Assumptions!$D$10),(Assumptions!$D$7*Assumptions!$D$9)/Assumptions!$D$10,0)</f>
        <v>0</v>
      </c>
      <c r="Y8" s="11" t="n">
        <f aca="false">IF(AND(Y4&gt;Assumptions!$D$16,Y4&lt;=Assumptions!$D$16+Assumptions!$D$10),(Assumptions!$D$7*Assumptions!$D$9)/Assumptions!$D$10,0)</f>
        <v>0</v>
      </c>
      <c r="Z8" s="11" t="n">
        <f aca="false">IF(AND(Z4&gt;Assumptions!$D$16,Z4&lt;=Assumptions!$D$16+Assumptions!$D$10),(Assumptions!$D$7*Assumptions!$D$9)/Assumptions!$D$10,0)</f>
        <v>0</v>
      </c>
      <c r="AA8" s="11" t="n">
        <f aca="false">IF(AND(AA4&gt;Assumptions!$D$16,AA4&lt;=Assumptions!$D$16+Assumptions!$D$10),(Assumptions!$D$7*Assumptions!$D$9)/Assumptions!$D$10,0)</f>
        <v>0</v>
      </c>
      <c r="AB8" s="11" t="n">
        <f aca="false">IF(AND(AB4&gt;Assumptions!$D$16,AB4&lt;=Assumptions!$D$16+Assumptions!$D$10),(Assumptions!$D$7*Assumptions!$D$9)/Assumptions!$D$10,0)</f>
        <v>7225000</v>
      </c>
      <c r="AC8" s="11" t="n">
        <f aca="false">IF(AND(AC4&gt;Assumptions!$D$16,AC4&lt;=Assumptions!$D$16+Assumptions!$D$10),(Assumptions!$D$7*Assumptions!$D$9)/Assumptions!$D$10,0)</f>
        <v>7225000</v>
      </c>
      <c r="AD8" s="11" t="n">
        <f aca="false">IF(AND(AD4&gt;Assumptions!$D$16,AD4&lt;=Assumptions!$D$16+Assumptions!$D$10),(Assumptions!$D$7*Assumptions!$D$9)/Assumptions!$D$10,0)</f>
        <v>7225000</v>
      </c>
      <c r="AE8" s="11" t="n">
        <f aca="false">IF(AND(AE4&gt;Assumptions!$D$16,AE4&lt;=Assumptions!$D$16+Assumptions!$D$10),(Assumptions!$D$7*Assumptions!$D$9)/Assumptions!$D$10,0)</f>
        <v>7225000</v>
      </c>
      <c r="AF8" s="11" t="n">
        <f aca="false">IF(AND(AF4&gt;Assumptions!$D$16,AF4&lt;=Assumptions!$D$16+Assumptions!$D$10),(Assumptions!$D$7*Assumptions!$D$9)/Assumptions!$D$10,0)</f>
        <v>7225000</v>
      </c>
      <c r="AG8" s="11" t="n">
        <f aca="false">IF(AND(AG4&gt;Assumptions!$D$16,AG4&lt;=Assumptions!$D$16+Assumptions!$D$10),(Assumptions!$D$7*Assumptions!$D$9)/Assumptions!$D$10,0)</f>
        <v>7225000</v>
      </c>
      <c r="AH8" s="11" t="n">
        <f aca="false">IF(AND(AH4&gt;Assumptions!$D$16,AH4&lt;=Assumptions!$D$16+Assumptions!$D$10),(Assumptions!$D$7*Assumptions!$D$9)/Assumptions!$D$10,0)</f>
        <v>7225000</v>
      </c>
      <c r="AI8" s="11" t="n">
        <f aca="false">IF(AND(AI4&gt;Assumptions!$D$16,AI4&lt;=Assumptions!$D$16+Assumptions!$D$10),(Assumptions!$D$7*Assumptions!$D$9)/Assumptions!$D$10,0)</f>
        <v>7225000</v>
      </c>
      <c r="AJ8" s="11" t="n">
        <f aca="false">IF(AND(AJ4&gt;Assumptions!$D$16,AJ4&lt;=Assumptions!$D$16+Assumptions!$D$10),(Assumptions!$D$7*Assumptions!$D$9)/Assumptions!$D$10,0)</f>
        <v>7225000</v>
      </c>
      <c r="AK8" s="11" t="n">
        <f aca="false">IF(AND(AK4&gt;Assumptions!$D$16,AK4&lt;=Assumptions!$D$16+Assumptions!$D$10),(Assumptions!$D$7*Assumptions!$D$9)/Assumptions!$D$10,0)</f>
        <v>7225000</v>
      </c>
      <c r="AL8" s="11" t="n">
        <f aca="false">IF(AND(AL4&gt;Assumptions!$D$16,AL4&lt;=Assumptions!$D$16+Assumptions!$D$10),(Assumptions!$D$7*Assumptions!$D$9)/Assumptions!$D$10,0)</f>
        <v>7225000</v>
      </c>
      <c r="AM8" s="11" t="n">
        <f aca="false">IF(AND(AM4&gt;Assumptions!$D$16,AM4&lt;=Assumptions!$D$16+Assumptions!$D$10),(Assumptions!$D$7*Assumptions!$D$9)/Assumptions!$D$10,0)</f>
        <v>7225000</v>
      </c>
      <c r="AN8" s="11" t="n">
        <f aca="false">IF(AND(AN4&gt;Assumptions!$D$16,AN4&lt;=Assumptions!$D$16+Assumptions!$D$10),(Assumptions!$D$7*Assumptions!$D$9)/Assumptions!$D$10,0)</f>
        <v>0</v>
      </c>
      <c r="AO8" s="11" t="n">
        <f aca="false">IF(AND(AO4&gt;Assumptions!$D$16,AO4&lt;=Assumptions!$D$16+Assumptions!$D$10),(Assumptions!$D$7*Assumptions!$D$9)/Assumptions!$D$10,0)</f>
        <v>0</v>
      </c>
      <c r="AP8" s="11" t="n">
        <f aca="false">IF(AND(AP4&gt;Assumptions!$D$16,AP4&lt;=Assumptions!$D$16+Assumptions!$D$10),(Assumptions!$D$7*Assumptions!$D$9)/Assumptions!$D$10,0)</f>
        <v>0</v>
      </c>
      <c r="AQ8" s="11" t="n">
        <f aca="false">IF(AND(AQ4&gt;Assumptions!$D$16,AQ4&lt;=Assumptions!$D$16+Assumptions!$D$10),(Assumptions!$D$7*Assumptions!$D$9)/Assumptions!$D$10,0)</f>
        <v>0</v>
      </c>
    </row>
    <row r="9" customFormat="false" ht="15" hidden="false" customHeight="true" outlineLevel="0" collapsed="false">
      <c r="B9" s="2" t="s">
        <v>35</v>
      </c>
      <c r="D9" s="11" t="n">
        <f aca="false">SUM(D5:D8)</f>
        <v>-26610000</v>
      </c>
      <c r="E9" s="11" t="n">
        <f aca="false">SUM(E5:E8)</f>
        <v>-1610000</v>
      </c>
      <c r="F9" s="11" t="n">
        <f aca="false">SUM(F5:F8)</f>
        <v>-1610000</v>
      </c>
      <c r="G9" s="11" t="n">
        <f aca="false">SUM(G5:G8)</f>
        <v>-1610000</v>
      </c>
      <c r="H9" s="11" t="n">
        <f aca="false">SUM(H5:H8)</f>
        <v>-1610000</v>
      </c>
      <c r="I9" s="11" t="n">
        <f aca="false">SUM(I5:I8)</f>
        <v>-1610000</v>
      </c>
      <c r="J9" s="11" t="n">
        <f aca="false">SUM(J5:J8)</f>
        <v>-1610000</v>
      </c>
      <c r="K9" s="11" t="n">
        <f aca="false">SUM(K5:K8)</f>
        <v>-1610000</v>
      </c>
      <c r="L9" s="11" t="n">
        <f aca="false">SUM(L5:L8)</f>
        <v>-1610000</v>
      </c>
      <c r="M9" s="11" t="n">
        <f aca="false">SUM(M5:M8)</f>
        <v>-1610000</v>
      </c>
      <c r="N9" s="11" t="n">
        <f aca="false">SUM(N5:N8)</f>
        <v>-1610000</v>
      </c>
      <c r="O9" s="11" t="n">
        <f aca="false">SUM(O5:O8)</f>
        <v>-1610000</v>
      </c>
      <c r="P9" s="11" t="n">
        <f aca="false">SUM(P5:P7)</f>
        <v>-1610000</v>
      </c>
      <c r="Q9" s="11" t="n">
        <f aca="false">SUM(Q5:Q8)</f>
        <v>-1610000</v>
      </c>
      <c r="R9" s="11" t="n">
        <f aca="false">SUM(R5:R8)</f>
        <v>-1610000</v>
      </c>
      <c r="S9" s="11" t="n">
        <f aca="false">SUM(S5:S8)</f>
        <v>-1610000</v>
      </c>
      <c r="T9" s="11" t="n">
        <f aca="false">SUM(T5:T8)</f>
        <v>-1610000</v>
      </c>
      <c r="U9" s="11" t="n">
        <f aca="false">SUM(U5:U8)</f>
        <v>-1610000</v>
      </c>
      <c r="V9" s="11" t="n">
        <f aca="false">SUM(V5:V8)</f>
        <v>-1610000</v>
      </c>
      <c r="W9" s="11" t="n">
        <f aca="false">SUM(W5:W8)</f>
        <v>-1610000</v>
      </c>
      <c r="X9" s="11" t="n">
        <f aca="false">SUM(X5:X8)</f>
        <v>-1610000</v>
      </c>
      <c r="Y9" s="11" t="n">
        <f aca="false">SUM(Y5:Y8)</f>
        <v>-1610000</v>
      </c>
      <c r="Z9" s="11" t="n">
        <f aca="false">SUM(Z5:Z8)</f>
        <v>-1610000</v>
      </c>
      <c r="AA9" s="11" t="n">
        <f aca="false">SUM(AA5:AA8)</f>
        <v>-1610000</v>
      </c>
      <c r="AB9" s="11" t="n">
        <f aca="false">SUM(AB5:AB8)</f>
        <v>7225000</v>
      </c>
      <c r="AC9" s="11" t="n">
        <f aca="false">SUM(AC5:AC8)</f>
        <v>7225000</v>
      </c>
      <c r="AD9" s="11" t="n">
        <f aca="false">SUM(AD5:AD8)</f>
        <v>7225000</v>
      </c>
      <c r="AE9" s="11" t="n">
        <f aca="false">SUM(AE5:AE8)</f>
        <v>7225000</v>
      </c>
      <c r="AF9" s="11" t="n">
        <f aca="false">SUM(AF5:AF8)</f>
        <v>7225000</v>
      </c>
      <c r="AG9" s="11" t="n">
        <f aca="false">SUM(AG5:AG8)</f>
        <v>7225000</v>
      </c>
      <c r="AH9" s="11" t="n">
        <f aca="false">SUM(AH5:AH8)</f>
        <v>7225000</v>
      </c>
      <c r="AI9" s="11" t="n">
        <f aca="false">SUM(AI5:AI8)</f>
        <v>7225000</v>
      </c>
      <c r="AJ9" s="11" t="n">
        <f aca="false">SUM(AJ5:AJ8)</f>
        <v>7225000</v>
      </c>
      <c r="AK9" s="11" t="n">
        <f aca="false">SUM(AK5:AK8)</f>
        <v>7225000</v>
      </c>
      <c r="AL9" s="11" t="n">
        <f aca="false">SUM(AL5:AL8)</f>
        <v>7225000</v>
      </c>
      <c r="AM9" s="11" t="n">
        <f aca="false">SUM(AM5:AM8)</f>
        <v>7225000</v>
      </c>
      <c r="AN9" s="11" t="n">
        <f aca="false">SUM(AN5:AN8)</f>
        <v>0</v>
      </c>
      <c r="AO9" s="11" t="n">
        <f aca="false">SUM(AO5:AO8)</f>
        <v>0</v>
      </c>
      <c r="AP9" s="11" t="n">
        <f aca="false">SUM(AP5:AP8)</f>
        <v>0</v>
      </c>
      <c r="AQ9" s="11" t="n">
        <f aca="false">SUM(AQ5:AQ8)</f>
        <v>0</v>
      </c>
    </row>
    <row r="10" customFormat="false" ht="15" hidden="false" customHeight="true" outlineLevel="0" collapsed="false">
      <c r="B10" s="2" t="s">
        <v>36</v>
      </c>
      <c r="D10" s="11" t="n">
        <f aca="false">-SUM($D$5:D7)</f>
        <v>26610000</v>
      </c>
      <c r="E10" s="11" t="n">
        <f aca="false">-SUM($D$5:E7)</f>
        <v>28220000</v>
      </c>
      <c r="F10" s="11" t="n">
        <f aca="false">-SUM($D$5:F7)</f>
        <v>29830000</v>
      </c>
      <c r="G10" s="11" t="n">
        <f aca="false">-SUM($D$5:G7)</f>
        <v>31440000</v>
      </c>
      <c r="H10" s="11" t="n">
        <f aca="false">-SUM($D$5:H7)</f>
        <v>33050000</v>
      </c>
      <c r="I10" s="11" t="n">
        <f aca="false">-SUM($D$5:I7)</f>
        <v>34660000</v>
      </c>
      <c r="J10" s="11" t="n">
        <f aca="false">-SUM($D$5:J7)</f>
        <v>36270000</v>
      </c>
      <c r="K10" s="11" t="n">
        <f aca="false">-SUM($D$5:K7)</f>
        <v>37880000</v>
      </c>
      <c r="L10" s="11" t="n">
        <f aca="false">-SUM($D$5:L7)</f>
        <v>39490000</v>
      </c>
      <c r="M10" s="11" t="n">
        <f aca="false">-SUM($D$5:M7)</f>
        <v>41100000</v>
      </c>
      <c r="N10" s="11" t="n">
        <f aca="false">-SUM($D$5:N7)</f>
        <v>42710000</v>
      </c>
      <c r="O10" s="11" t="n">
        <f aca="false">-SUM($D$5:O7)</f>
        <v>44320000</v>
      </c>
      <c r="P10" s="11" t="n">
        <f aca="false">-SUM($D$5:P7)</f>
        <v>45930000</v>
      </c>
      <c r="Q10" s="11" t="n">
        <f aca="false">-SUM($D$5:Q7)</f>
        <v>47540000</v>
      </c>
      <c r="R10" s="11" t="n">
        <f aca="false">-SUM($D$5:R7)</f>
        <v>49150000</v>
      </c>
      <c r="S10" s="11" t="n">
        <f aca="false">-SUM($D$5:S7)</f>
        <v>50760000</v>
      </c>
      <c r="T10" s="11" t="n">
        <f aca="false">-SUM($D$5:T7)</f>
        <v>52370000</v>
      </c>
      <c r="U10" s="11" t="n">
        <f aca="false">-SUM($D$5:U7)</f>
        <v>53980000</v>
      </c>
      <c r="V10" s="11" t="n">
        <f aca="false">-SUM($D$5:V7)</f>
        <v>55590000</v>
      </c>
      <c r="W10" s="11" t="n">
        <f aca="false">-SUM($D$5:W7)</f>
        <v>57200000</v>
      </c>
      <c r="X10" s="11" t="n">
        <f aca="false">-SUM($D$5:X7)</f>
        <v>58810000</v>
      </c>
      <c r="Y10" s="11" t="n">
        <f aca="false">-SUM($D$5:Y7)</f>
        <v>60420000</v>
      </c>
      <c r="Z10" s="11" t="n">
        <f aca="false">-SUM($D$5:Z7)</f>
        <v>62030000</v>
      </c>
      <c r="AA10" s="11" t="n">
        <f aca="false">-SUM($D$5:AA7)</f>
        <v>63640000</v>
      </c>
      <c r="AB10" s="11" t="n">
        <f aca="false">-SUM($D$5:AB7)</f>
        <v>63640000</v>
      </c>
      <c r="AC10" s="11" t="n">
        <f aca="false">-SUM($D$5:AC7)</f>
        <v>63640000</v>
      </c>
      <c r="AD10" s="11" t="n">
        <f aca="false">-SUM($D$5:AD7)</f>
        <v>63640000</v>
      </c>
      <c r="AE10" s="11" t="n">
        <f aca="false">-SUM($D$5:AE7)</f>
        <v>63640000</v>
      </c>
      <c r="AF10" s="11" t="n">
        <f aca="false">-SUM($D$5:AF7)</f>
        <v>63640000</v>
      </c>
      <c r="AG10" s="11" t="n">
        <f aca="false">-SUM($D$5:AG7)</f>
        <v>63640000</v>
      </c>
      <c r="AH10" s="11" t="n">
        <f aca="false">-SUM($D$5:AH7)</f>
        <v>63640000</v>
      </c>
      <c r="AI10" s="11" t="n">
        <f aca="false">-SUM($D$5:AI7)</f>
        <v>63640000</v>
      </c>
      <c r="AJ10" s="11" t="n">
        <f aca="false">-SUM($D$5:AJ7)</f>
        <v>63640000</v>
      </c>
      <c r="AK10" s="11" t="n">
        <f aca="false">-SUM($D$5:AK7)</f>
        <v>63640000</v>
      </c>
      <c r="AL10" s="11" t="n">
        <f aca="false">-SUM($D$5:AL7)</f>
        <v>63640000</v>
      </c>
      <c r="AM10" s="11" t="n">
        <f aca="false">-SUM($D$5:AM7)</f>
        <v>63640000</v>
      </c>
      <c r="AN10" s="11" t="n">
        <f aca="false">-SUM($D$5:AN7)</f>
        <v>63640000</v>
      </c>
      <c r="AO10" s="11" t="n">
        <f aca="false">-SUM($D$5:AO7)</f>
        <v>63640000</v>
      </c>
      <c r="AP10" s="11" t="n">
        <f aca="false">-SUM($D$5:AP7)</f>
        <v>63640000</v>
      </c>
      <c r="AQ10" s="11" t="n">
        <f aca="false">-SUM($D$5:AQ7)</f>
        <v>63640000</v>
      </c>
    </row>
    <row r="11" customFormat="false" ht="15" hidden="false" customHeight="true" outlineLevel="0" collapsed="false">
      <c r="B11" s="2" t="s">
        <v>37</v>
      </c>
      <c r="D11" s="11" t="n">
        <f aca="false">MAX(0,MIN(-(D5+D6+D7),D10-(1-Assumptions!$D$18)*(-SUM($D$5:$AQ$7))))</f>
        <v>4336000</v>
      </c>
      <c r="E11" s="11" t="n">
        <f aca="false">MAX(0,MIN(-(E5+E6+E7),E10-(1-Assumptions!$D$18)*(-SUM($D$5:$AQ$7))))</f>
        <v>1610000</v>
      </c>
      <c r="F11" s="11" t="n">
        <f aca="false">MAX(0,MIN(-(F5+F6+F7),F10-(1-Assumptions!$D$18)*(-SUM($D$5:$AQ$7))))</f>
        <v>1610000</v>
      </c>
      <c r="G11" s="11" t="n">
        <f aca="false">MAX(0,MIN(-(G5+G6+G7),G10-(1-Assumptions!$D$18)*(-SUM($D$5:$AQ$7))))</f>
        <v>1610000</v>
      </c>
      <c r="H11" s="11" t="n">
        <f aca="false">MAX(0,MIN(-(H5+H6+H7),H10-(1-Assumptions!$D$18)*(-SUM($D$5:$AQ$7))))</f>
        <v>1610000</v>
      </c>
      <c r="I11" s="11" t="n">
        <f aca="false">MAX(0,MIN(-(I5+I6+I7),I10-(1-Assumptions!$D$18)*(-SUM($D$5:$AQ$7))))</f>
        <v>1610000</v>
      </c>
      <c r="J11" s="11" t="n">
        <f aca="false">MAX(0,MIN(-(J5+J6+J7),J10-(1-Assumptions!$D$18)*(-SUM($D$5:$AQ$7))))</f>
        <v>1610000</v>
      </c>
      <c r="K11" s="11" t="n">
        <f aca="false">MAX(0,MIN(-(K5+K6+K7),K10-(1-Assumptions!$D$18)*(-SUM($D$5:$AQ$7))))</f>
        <v>1610000</v>
      </c>
      <c r="L11" s="11" t="n">
        <f aca="false">MAX(0,MIN(-(L5+L6+L7),L10-(1-Assumptions!$D$18)*(-SUM($D$5:$AQ$7))))</f>
        <v>1610000</v>
      </c>
      <c r="M11" s="11" t="n">
        <f aca="false">MAX(0,MIN(-(M5+M6+M7),M10-(1-Assumptions!$D$18)*(-SUM($D$5:$AQ$7))))</f>
        <v>1610000</v>
      </c>
      <c r="N11" s="11" t="n">
        <f aca="false">MAX(0,MIN(-(N5+N6+N7),N10-(1-Assumptions!$D$18)*(-SUM($D$5:$AQ$7))))</f>
        <v>1610000</v>
      </c>
      <c r="O11" s="11" t="n">
        <f aca="false">MAX(0,MIN(-(O5+O6+O7),O10-(1-Assumptions!$D$18)*(-SUM($D$5:$AQ$7))))</f>
        <v>1610000</v>
      </c>
      <c r="P11" s="11" t="n">
        <f aca="false">MAX(0,MIN(-(P5+P6+P7),P10-(1-Assumptions!$D$18)*(-SUM($D$5:$AQ$7))))</f>
        <v>1610000</v>
      </c>
      <c r="Q11" s="11" t="n">
        <f aca="false">MAX(0,MIN(-(Q5+Q6+Q7),Q10-(1-Assumptions!$D$18)*(-SUM($D$5:$AQ$7))))</f>
        <v>1610000</v>
      </c>
      <c r="R11" s="11" t="n">
        <f aca="false">MAX(0,MIN(-(R5+R6+R7),R10-(1-Assumptions!$D$18)*(-SUM($D$5:$AQ$7))))</f>
        <v>1610000</v>
      </c>
      <c r="S11" s="11" t="n">
        <f aca="false">MAX(0,MIN(-(S5+S6+S7),S10-(1-Assumptions!$D$18)*(-SUM($D$5:$AQ$7))))</f>
        <v>1610000</v>
      </c>
      <c r="T11" s="11" t="n">
        <f aca="false">MAX(0,MIN(-(T5+T6+T7),T10-(1-Assumptions!$D$18)*(-SUM($D$5:$AQ$7))))</f>
        <v>1610000</v>
      </c>
      <c r="U11" s="11" t="n">
        <f aca="false">MAX(0,MIN(-(U5+U6+U7),U10-(1-Assumptions!$D$18)*(-SUM($D$5:$AQ$7))))</f>
        <v>1610000</v>
      </c>
      <c r="V11" s="11" t="n">
        <f aca="false">MAX(0,MIN(-(V5+V6+V7),V10-(1-Assumptions!$D$18)*(-SUM($D$5:$AQ$7))))</f>
        <v>1610000</v>
      </c>
      <c r="W11" s="11" t="n">
        <f aca="false">MAX(0,MIN(-(W5+W6+W7),W10-(1-Assumptions!$D$18)*(-SUM($D$5:$AQ$7))))</f>
        <v>1610000</v>
      </c>
      <c r="X11" s="11" t="n">
        <f aca="false">MAX(0,MIN(-(X5+X6+X7),X10-(1-Assumptions!$D$18)*(-SUM($D$5:$AQ$7))))</f>
        <v>1610000</v>
      </c>
      <c r="Y11" s="11" t="n">
        <f aca="false">MAX(0,MIN(-(Y5+Y6+Y7),Y10-(1-Assumptions!$D$18)*(-SUM($D$5:$AQ$7))))</f>
        <v>1610000</v>
      </c>
      <c r="Z11" s="11" t="n">
        <f aca="false">MAX(0,MIN(-(Z5+Z6+Z7),Z10-(1-Assumptions!$D$18)*(-SUM($D$5:$AQ$7))))</f>
        <v>1610000</v>
      </c>
      <c r="AA11" s="11" t="n">
        <f aca="false">MAX(0,MIN(-(AA5+AA6+AA7),AA10-(1-Assumptions!$D$18)*(-SUM($D$5:$AQ$7))))</f>
        <v>1610000</v>
      </c>
      <c r="AB11" s="11" t="n">
        <f aca="false">MAX(0,MIN(-(AB5+AB6+AB7),AB10-(1-Assumptions!$D$18)*(-SUM($D$5:$AQ$7))))</f>
        <v>-0</v>
      </c>
      <c r="AC11" s="11" t="n">
        <f aca="false">MAX(0,MIN(-(AC5+AC6+AC7),AC10-(1-Assumptions!$D$18)*(-SUM($D$5:$AQ$7))))</f>
        <v>-0</v>
      </c>
      <c r="AD11" s="11" t="n">
        <f aca="false">MAX(0,MIN(-(AD5+AD6+AD7),AD10-(1-Assumptions!$D$18)*(-SUM($D$5:$AQ$7))))</f>
        <v>-0</v>
      </c>
      <c r="AE11" s="11" t="n">
        <f aca="false">MAX(0,MIN(-(AE5+AE6+AE7),AE10-(1-Assumptions!$D$18)*(-SUM($D$5:$AQ$7))))</f>
        <v>-0</v>
      </c>
      <c r="AF11" s="11" t="n">
        <f aca="false">MAX(0,MIN(-(AF5+AF6+AF7),AF10-(1-Assumptions!$D$18)*(-SUM($D$5:$AQ$7))))</f>
        <v>-0</v>
      </c>
      <c r="AG11" s="11" t="n">
        <f aca="false">MAX(0,MIN(-(AG5+AG6+AG7),AG10-(1-Assumptions!$D$18)*(-SUM($D$5:$AQ$7))))</f>
        <v>-0</v>
      </c>
      <c r="AH11" s="11" t="n">
        <f aca="false">MAX(0,MIN(-(AH5+AH6+AH7),AH10-(1-Assumptions!$D$18)*(-SUM($D$5:$AQ$7))))</f>
        <v>-0</v>
      </c>
      <c r="AI11" s="11" t="n">
        <f aca="false">MAX(0,MIN(-(AI5+AI6+AI7),AI10-(1-Assumptions!$D$18)*(-SUM($D$5:$AQ$7))))</f>
        <v>-0</v>
      </c>
      <c r="AJ11" s="11" t="n">
        <f aca="false">MAX(0,MIN(-(AJ5+AJ6+AJ7),AJ10-(1-Assumptions!$D$18)*(-SUM($D$5:$AQ$7))))</f>
        <v>-0</v>
      </c>
      <c r="AK11" s="11" t="n">
        <f aca="false">MAX(0,MIN(-(AK5+AK6+AK7),AK10-(1-Assumptions!$D$18)*(-SUM($D$5:$AQ$7))))</f>
        <v>-0</v>
      </c>
      <c r="AL11" s="11" t="n">
        <f aca="false">MAX(0,MIN(-(AL5+AL6+AL7),AL10-(1-Assumptions!$D$18)*(-SUM($D$5:$AQ$7))))</f>
        <v>-0</v>
      </c>
      <c r="AM11" s="11" t="n">
        <f aca="false">MAX(0,MIN(-(AM5+AM6+AM7),AM10-(1-Assumptions!$D$18)*(-SUM($D$5:$AQ$7))))</f>
        <v>-0</v>
      </c>
      <c r="AN11" s="11" t="n">
        <f aca="false">MAX(0,MIN(-(AN5+AN6+AN7),AN10-(1-Assumptions!$D$18)*(-SUM($D$5:$AQ$7))))</f>
        <v>-0</v>
      </c>
      <c r="AO11" s="11" t="n">
        <f aca="false">MAX(0,MIN(-(AO5+AO6+AO7),AO10-(1-Assumptions!$D$18)*(-SUM($D$5:$AQ$7))))</f>
        <v>-0</v>
      </c>
      <c r="AP11" s="11" t="n">
        <f aca="false">MAX(0,MIN(-(AP5+AP6+AP7),AP10-(1-Assumptions!$D$18)*(-SUM($D$5:$AQ$7))))</f>
        <v>-0</v>
      </c>
      <c r="AQ11" s="11" t="n">
        <f aca="false">MAX(0,MIN(-(AQ5+AQ6+AQ7),AQ10-(1-Assumptions!$D$18)*(-SUM($D$5:$AQ$7))))</f>
        <v>-0</v>
      </c>
    </row>
    <row r="12" customFormat="false" ht="15" hidden="false" customHeight="true" outlineLevel="0" collapsed="false">
      <c r="B12" s="2" t="s">
        <v>38</v>
      </c>
      <c r="D12" s="11" t="n">
        <f aca="false">0*Assumptions!$D$19/12</f>
        <v>0</v>
      </c>
      <c r="E12" s="11" t="n">
        <f aca="false">D13*Assumptions!$D$19/12</f>
        <v>27100</v>
      </c>
      <c r="F12" s="11" t="n">
        <f aca="false">E13*Assumptions!$D$19/12</f>
        <v>37331.875</v>
      </c>
      <c r="G12" s="11" t="n">
        <f aca="false">F13*Assumptions!$D$19/12</f>
        <v>47627.69921875</v>
      </c>
      <c r="H12" s="11" t="n">
        <f aca="false">G13*Assumptions!$D$19/12</f>
        <v>57987.8723388672</v>
      </c>
      <c r="I12" s="11" t="n">
        <f aca="false">H13*Assumptions!$D$19/12</f>
        <v>68412.7965409851</v>
      </c>
      <c r="J12" s="11" t="n">
        <f aca="false">I13*Assumptions!$D$19/12</f>
        <v>78902.8765193663</v>
      </c>
      <c r="K12" s="11" t="n">
        <f aca="false">J13*Assumptions!$D$19/12</f>
        <v>89458.5194976123</v>
      </c>
      <c r="L12" s="11" t="n">
        <f aca="false">K13*Assumptions!$D$19/12</f>
        <v>100080.135244472</v>
      </c>
      <c r="M12" s="11" t="n">
        <f aca="false">L13*Assumptions!$D$19/12</f>
        <v>110768.13608975</v>
      </c>
      <c r="N12" s="11" t="n">
        <f aca="false">M13*Assumptions!$D$19/12</f>
        <v>121522.936940311</v>
      </c>
      <c r="O12" s="11" t="n">
        <f aca="false">N13*Assumptions!$D$19/12</f>
        <v>132344.955296188</v>
      </c>
      <c r="P12" s="11" t="n">
        <f aca="false">O13*Assumptions!$D$19/12</f>
        <v>143234.611266789</v>
      </c>
      <c r="Q12" s="11" t="n">
        <f aca="false">P13*Assumptions!$D$19/12</f>
        <v>154192.327587207</v>
      </c>
      <c r="R12" s="11" t="n">
        <f aca="false">Q13*Assumptions!$D$19/12</f>
        <v>165218.529634627</v>
      </c>
      <c r="S12" s="11" t="n">
        <f aca="false">R13*Assumptions!$D$19/12</f>
        <v>176313.645444843</v>
      </c>
      <c r="T12" s="11" t="n">
        <f aca="false">S13*Assumptions!$D$19/12</f>
        <v>187478.105728874</v>
      </c>
      <c r="U12" s="11" t="n">
        <f aca="false">T13*Assumptions!$D$19/12</f>
        <v>198712.343889679</v>
      </c>
      <c r="V12" s="11" t="n">
        <f aca="false">U13*Assumptions!$D$19/12</f>
        <v>210016.796038989</v>
      </c>
      <c r="W12" s="11" t="n">
        <f aca="false">V13*Assumptions!$D$19/12</f>
        <v>221391.901014233</v>
      </c>
      <c r="X12" s="11" t="n">
        <f aca="false">W13*Assumptions!$D$19/12</f>
        <v>232838.100395572</v>
      </c>
      <c r="Y12" s="11" t="n">
        <f aca="false">X13*Assumptions!$D$19/12</f>
        <v>244355.838523044</v>
      </c>
      <c r="Z12" s="11" t="n">
        <f aca="false">Y13*Assumptions!$D$19/12</f>
        <v>255945.562513814</v>
      </c>
      <c r="AA12" s="11" t="n">
        <f aca="false">Z13*Assumptions!$D$19/12</f>
        <v>267607.722279525</v>
      </c>
      <c r="AB12" s="11" t="n">
        <f aca="false">AA13*Assumptions!$D$19/12</f>
        <v>279342.770543772</v>
      </c>
      <c r="AC12" s="11" t="n">
        <f aca="false">AB13*Assumptions!$D$19/12</f>
        <v>235932.41285967</v>
      </c>
      <c r="AD12" s="11" t="n">
        <f aca="false">AC13*Assumptions!$D$19/12</f>
        <v>192250.740440043</v>
      </c>
      <c r="AE12" s="11" t="n">
        <f aca="false">AD13*Assumptions!$D$19/12</f>
        <v>148296.057567794</v>
      </c>
      <c r="AF12" s="11" t="n">
        <f aca="false">AE13*Assumptions!$D$19/12</f>
        <v>104066.657927592</v>
      </c>
      <c r="AG12" s="11" t="n">
        <f aca="false">AF13*Assumptions!$D$19/12</f>
        <v>59560.8245396398</v>
      </c>
      <c r="AH12" s="11" t="n">
        <f aca="false">AG13*Assumptions!$D$19/12</f>
        <v>14776.8296930126</v>
      </c>
      <c r="AI12" s="11" t="n">
        <f aca="false">AH13*Assumptions!$D$19/12</f>
        <v>0</v>
      </c>
      <c r="AJ12" s="11" t="n">
        <f aca="false">AI13*Assumptions!$D$19/12</f>
        <v>0</v>
      </c>
      <c r="AK12" s="11" t="n">
        <f aca="false">AJ13*Assumptions!$D$19/12</f>
        <v>0</v>
      </c>
      <c r="AL12" s="11" t="n">
        <f aca="false">AK13*Assumptions!$D$19/12</f>
        <v>0</v>
      </c>
      <c r="AM12" s="11" t="n">
        <f aca="false">AL13*Assumptions!$D$19/12</f>
        <v>0</v>
      </c>
      <c r="AN12" s="11" t="n">
        <f aca="false">AM13*Assumptions!$D$19/12</f>
        <v>0</v>
      </c>
      <c r="AO12" s="11" t="n">
        <f aca="false">AN13*Assumptions!$D$19/12</f>
        <v>0</v>
      </c>
      <c r="AP12" s="11" t="n">
        <f aca="false">AO13*Assumptions!$D$19/12</f>
        <v>0</v>
      </c>
      <c r="AQ12" s="11" t="n">
        <f aca="false">AP13*Assumptions!$D$19/12</f>
        <v>0</v>
      </c>
    </row>
    <row r="13" customFormat="false" ht="15" hidden="false" customHeight="true" outlineLevel="0" collapsed="false">
      <c r="B13" s="2" t="s">
        <v>39</v>
      </c>
      <c r="D13" s="11" t="n">
        <f aca="false">0+D11+D12-D14</f>
        <v>4336000</v>
      </c>
      <c r="E13" s="11" t="n">
        <f aca="false">D13+E11+E12-E14</f>
        <v>5973100</v>
      </c>
      <c r="F13" s="11" t="n">
        <f aca="false">E13+F11+F12-F14</f>
        <v>7620431.875</v>
      </c>
      <c r="G13" s="11" t="n">
        <f aca="false">F13+G11+G12-G14</f>
        <v>9278059.57421875</v>
      </c>
      <c r="H13" s="11" t="n">
        <f aca="false">G13+H11+H12-H14</f>
        <v>10946047.4465576</v>
      </c>
      <c r="I13" s="11" t="n">
        <f aca="false">H13+I11+I12-I14</f>
        <v>12624460.2430986</v>
      </c>
      <c r="J13" s="11" t="n">
        <f aca="false">I13+J11+J12-J14</f>
        <v>14313363.119618</v>
      </c>
      <c r="K13" s="11" t="n">
        <f aca="false">J13+K11+K12-K14</f>
        <v>16012821.6391156</v>
      </c>
      <c r="L13" s="11" t="n">
        <f aca="false">K13+L11+L12-L14</f>
        <v>17722901.7743601</v>
      </c>
      <c r="M13" s="11" t="n">
        <f aca="false">L13+M11+M12-M14</f>
        <v>19443669.9104498</v>
      </c>
      <c r="N13" s="11" t="n">
        <f aca="false">M13+N11+N12-N14</f>
        <v>21175192.8473901</v>
      </c>
      <c r="O13" s="11" t="n">
        <f aca="false">N13+O11+O12-O14</f>
        <v>22917537.8026863</v>
      </c>
      <c r="P13" s="11" t="n">
        <f aca="false">O13+P11+P12-P14</f>
        <v>24670772.4139531</v>
      </c>
      <c r="Q13" s="11" t="n">
        <f aca="false">P13+Q11+Q12-Q14</f>
        <v>26434964.7415403</v>
      </c>
      <c r="R13" s="11" t="n">
        <f aca="false">Q13+R11+R12-R14</f>
        <v>28210183.2711749</v>
      </c>
      <c r="S13" s="11" t="n">
        <f aca="false">R13+S11+S12-S14</f>
        <v>29996496.9166198</v>
      </c>
      <c r="T13" s="11" t="n">
        <f aca="false">S13+T11+T12-T14</f>
        <v>31793975.0223486</v>
      </c>
      <c r="U13" s="11" t="n">
        <f aca="false">T13+U11+U12-U14</f>
        <v>33602687.3662383</v>
      </c>
      <c r="V13" s="11" t="n">
        <f aca="false">U13+V11+V12-V14</f>
        <v>35422704.1622773</v>
      </c>
      <c r="W13" s="11" t="n">
        <f aca="false">V13+W11+W12-W14</f>
        <v>37254096.0632915</v>
      </c>
      <c r="X13" s="11" t="n">
        <f aca="false">W13+X11+X12-X14</f>
        <v>39096934.1636871</v>
      </c>
      <c r="Y13" s="11" t="n">
        <f aca="false">X13+Y11+Y12-Y14</f>
        <v>40951290.0022102</v>
      </c>
      <c r="Z13" s="11" t="n">
        <f aca="false">Y13+Z11+Z12-Z14</f>
        <v>42817235.564724</v>
      </c>
      <c r="AA13" s="11" t="n">
        <f aca="false">Z13+AA11+AA12-AA14</f>
        <v>44694843.2870035</v>
      </c>
      <c r="AB13" s="11" t="n">
        <f aca="false">AA13+AB11+AB12-AB14</f>
        <v>37749186.0575473</v>
      </c>
      <c r="AC13" s="11" t="n">
        <f aca="false">AB13+AC11+AC12-AC14</f>
        <v>30760118.4704069</v>
      </c>
      <c r="AD13" s="11" t="n">
        <f aca="false">AC13+AD11+AD12-AD14</f>
        <v>23727369.210847</v>
      </c>
      <c r="AE13" s="11" t="n">
        <f aca="false">AD13+AE11+AE12-AE14</f>
        <v>16650665.2684148</v>
      </c>
      <c r="AF13" s="11" t="n">
        <f aca="false">AE13+AF11+AF12-AF14</f>
        <v>9529731.92634237</v>
      </c>
      <c r="AG13" s="11" t="n">
        <f aca="false">AF13+AG11+AG12-AG14</f>
        <v>2364292.75088201</v>
      </c>
      <c r="AH13" s="11" t="n">
        <f aca="false">AG13+AH11+AH12-AH14</f>
        <v>0</v>
      </c>
      <c r="AI13" s="11" t="n">
        <f aca="false">AH13+AI11+AI12-AI14</f>
        <v>0</v>
      </c>
      <c r="AJ13" s="11" t="n">
        <f aca="false">AI13+AJ11+AJ12-AJ14</f>
        <v>0</v>
      </c>
      <c r="AK13" s="11" t="n">
        <f aca="false">AJ13+AK11+AK12-AK14</f>
        <v>0</v>
      </c>
      <c r="AL13" s="11" t="n">
        <f aca="false">AK13+AL11+AL12-AL14</f>
        <v>0</v>
      </c>
      <c r="AM13" s="11" t="n">
        <f aca="false">AL13+AM11+AM12-AM14</f>
        <v>0</v>
      </c>
      <c r="AN13" s="11" t="n">
        <f aca="false">AM13+AN11+AN12-AN14</f>
        <v>0</v>
      </c>
      <c r="AO13" s="11" t="n">
        <f aca="false">AN13+AO11+AO12-AO14</f>
        <v>0</v>
      </c>
      <c r="AP13" s="11" t="n">
        <f aca="false">AO13+AP11+AP12-AP14</f>
        <v>0</v>
      </c>
      <c r="AQ13" s="11" t="n">
        <f aca="false">AP13+AQ11+AQ12-AQ14</f>
        <v>0</v>
      </c>
    </row>
    <row r="14" customFormat="false" ht="15" hidden="false" customHeight="true" outlineLevel="0" collapsed="false">
      <c r="B14" s="2" t="s">
        <v>40</v>
      </c>
      <c r="D14" s="11" t="n">
        <f aca="false">IF(D8&gt;0,MIN(D8,0+D11+D12),0)</f>
        <v>0</v>
      </c>
      <c r="E14" s="11" t="n">
        <f aca="false">IF(E8&gt;0,MIN(E8,D13+E11+E12),0)</f>
        <v>0</v>
      </c>
      <c r="F14" s="11" t="n">
        <f aca="false">IF(F8&gt;0,MIN(F8,E13+F11+F12),0)</f>
        <v>0</v>
      </c>
      <c r="G14" s="11" t="n">
        <f aca="false">IF(G8&gt;0,MIN(G8,F13+G11+G12),0)</f>
        <v>0</v>
      </c>
      <c r="H14" s="11" t="n">
        <f aca="false">IF(H8&gt;0,MIN(H8,G13+H11+H12),0)</f>
        <v>0</v>
      </c>
      <c r="I14" s="11" t="n">
        <f aca="false">IF(I8&gt;0,MIN(I8,H13+I11+I12),0)</f>
        <v>0</v>
      </c>
      <c r="J14" s="11" t="n">
        <f aca="false">IF(J8&gt;0,MIN(J8,I13+J11+J12),0)</f>
        <v>0</v>
      </c>
      <c r="K14" s="11" t="n">
        <f aca="false">IF(K8&gt;0,MIN(K8,J13+K11+K12),0)</f>
        <v>0</v>
      </c>
      <c r="L14" s="11" t="n">
        <f aca="false">IF(L8&gt;0,MIN(L8,K13+L11+L12),0)</f>
        <v>0</v>
      </c>
      <c r="M14" s="11" t="n">
        <f aca="false">IF(M8&gt;0,MIN(M8,L13+M11+M12),0)</f>
        <v>0</v>
      </c>
      <c r="N14" s="11" t="n">
        <f aca="false">IF(N8&gt;0,MIN(N8,M13+N11+N12),0)</f>
        <v>0</v>
      </c>
      <c r="O14" s="11" t="n">
        <f aca="false">IF(O8&gt;0,MIN(O8,N13+O11+O12),0)</f>
        <v>0</v>
      </c>
      <c r="P14" s="11" t="n">
        <f aca="false">IF(P8&gt;0,MIN(P8,O13+P11+P12),0)</f>
        <v>0</v>
      </c>
      <c r="Q14" s="11" t="n">
        <f aca="false">IF(Q8&gt;0,MIN(Q8,P13+Q11+Q12),0)</f>
        <v>0</v>
      </c>
      <c r="R14" s="11" t="n">
        <f aca="false">IF(R8&gt;0,MIN(R8,Q13+R11+R12),0)</f>
        <v>0</v>
      </c>
      <c r="S14" s="11" t="n">
        <f aca="false">IF(S8&gt;0,MIN(S8,R13+S11+S12),0)</f>
        <v>0</v>
      </c>
      <c r="T14" s="11" t="n">
        <f aca="false">IF(T8&gt;0,MIN(T8,S13+T11+T12),0)</f>
        <v>0</v>
      </c>
      <c r="U14" s="11" t="n">
        <f aca="false">IF(U8&gt;0,MIN(U8,T13+U11+U12),0)</f>
        <v>0</v>
      </c>
      <c r="V14" s="11" t="n">
        <f aca="false">IF(V8&gt;0,MIN(V8,U13+V11+V12),0)</f>
        <v>0</v>
      </c>
      <c r="W14" s="11" t="n">
        <f aca="false">IF(W8&gt;0,MIN(W8,V13+W11+W12),0)</f>
        <v>0</v>
      </c>
      <c r="X14" s="11" t="n">
        <f aca="false">IF(X8&gt;0,MIN(X8,W13+X11+X12),0)</f>
        <v>0</v>
      </c>
      <c r="Y14" s="11" t="n">
        <f aca="false">IF(Y8&gt;0,MIN(Y8,X13+Y11+Y12),0)</f>
        <v>0</v>
      </c>
      <c r="Z14" s="11" t="n">
        <f aca="false">IF(Z8&gt;0,MIN(Z8,Y13+Z11+Z12),0)</f>
        <v>0</v>
      </c>
      <c r="AA14" s="11" t="n">
        <f aca="false">IF(AA8&gt;0,MIN(AA8,Z13+AA11+AA12),0)</f>
        <v>0</v>
      </c>
      <c r="AB14" s="11" t="n">
        <f aca="false">IF(AB8&gt;0,MIN(AB8,AA13+AB11+AB12),0)</f>
        <v>7225000</v>
      </c>
      <c r="AC14" s="11" t="n">
        <f aca="false">IF(AC8&gt;0,MIN(AC8,AB13+AC11+AC12),0)</f>
        <v>7225000</v>
      </c>
      <c r="AD14" s="11" t="n">
        <f aca="false">IF(AD8&gt;0,MIN(AD8,AC13+AD11+AD12),0)</f>
        <v>7225000</v>
      </c>
      <c r="AE14" s="11" t="n">
        <f aca="false">IF(AE8&gt;0,MIN(AE8,AD13+AE11+AE12),0)</f>
        <v>7225000</v>
      </c>
      <c r="AF14" s="11" t="n">
        <f aca="false">IF(AF8&gt;0,MIN(AF8,AE13+AF11+AF12),0)</f>
        <v>7225000</v>
      </c>
      <c r="AG14" s="11" t="n">
        <f aca="false">IF(AG8&gt;0,MIN(AG8,AF13+AG11+AG12),0)</f>
        <v>7225000</v>
      </c>
      <c r="AH14" s="11" t="n">
        <f aca="false">IF(AH8&gt;0,MIN(AH8,AG13+AH11+AH12),0)</f>
        <v>2379069.58057503</v>
      </c>
      <c r="AI14" s="11" t="n">
        <f aca="false">IF(AI8&gt;0,MIN(AI8,AH13+AI11+AI12),0)</f>
        <v>0</v>
      </c>
      <c r="AJ14" s="11" t="n">
        <f aca="false">IF(AJ8&gt;0,MIN(AJ8,AI13+AJ11+AJ12),0)</f>
        <v>0</v>
      </c>
      <c r="AK14" s="11" t="n">
        <f aca="false">IF(AK8&gt;0,MIN(AK8,AJ13+AK11+AK12),0)</f>
        <v>0</v>
      </c>
      <c r="AL14" s="11" t="n">
        <f aca="false">IF(AL8&gt;0,MIN(AL8,AK13+AL11+AL12),0)</f>
        <v>0</v>
      </c>
      <c r="AM14" s="11" t="n">
        <f aca="false">IF(AM8&gt;0,MIN(AM8,AL13+AM11+AM12),0)</f>
        <v>0</v>
      </c>
      <c r="AN14" s="11" t="n">
        <f aca="false">IF(AN8&gt;0,MIN(AN8,AM13+AN11+AN12),0)</f>
        <v>0</v>
      </c>
      <c r="AO14" s="11" t="n">
        <f aca="false">IF(AO8&gt;0,MIN(AO8,AN13+AO11+AO12),0)</f>
        <v>0</v>
      </c>
      <c r="AP14" s="11" t="n">
        <f aca="false">IF(AP8&gt;0,MIN(AP8,AO13+AP11+AP12),0)</f>
        <v>0</v>
      </c>
      <c r="AQ14" s="11" t="n">
        <f aca="false">IF(AQ8&gt;0,MIN(AQ8,AP13+AQ11+AQ12),0)</f>
        <v>0</v>
      </c>
    </row>
    <row r="15" customFormat="false" ht="15" hidden="false" customHeight="true" outlineLevel="0" collapsed="false">
      <c r="B15" s="2" t="s">
        <v>41</v>
      </c>
      <c r="D15" s="11" t="n">
        <f aca="false">D9+D11-D14</f>
        <v>-22274000</v>
      </c>
      <c r="E15" s="11" t="n">
        <f aca="false">E9+E11-E14</f>
        <v>0</v>
      </c>
      <c r="F15" s="11" t="n">
        <f aca="false">F9+F11-F14</f>
        <v>0</v>
      </c>
      <c r="G15" s="11" t="n">
        <f aca="false">G9+G11-G14</f>
        <v>0</v>
      </c>
      <c r="H15" s="11" t="n">
        <f aca="false">H9+H11-H14</f>
        <v>0</v>
      </c>
      <c r="I15" s="11" t="n">
        <f aca="false">I9+I11-I14</f>
        <v>0</v>
      </c>
      <c r="J15" s="11" t="n">
        <f aca="false">J9+J11-J14</f>
        <v>0</v>
      </c>
      <c r="K15" s="11" t="n">
        <f aca="false">K9+K11-K14</f>
        <v>0</v>
      </c>
      <c r="L15" s="11" t="n">
        <f aca="false">L9+L11-L14</f>
        <v>0</v>
      </c>
      <c r="M15" s="11" t="n">
        <f aca="false">M9+M11-M14</f>
        <v>0</v>
      </c>
      <c r="N15" s="11" t="n">
        <f aca="false">N9+N11-N14</f>
        <v>0</v>
      </c>
      <c r="O15" s="11" t="n">
        <f aca="false">O9+O11-O14</f>
        <v>0</v>
      </c>
      <c r="P15" s="11" t="n">
        <f aca="false">P9+P11-P14</f>
        <v>0</v>
      </c>
      <c r="Q15" s="11" t="n">
        <f aca="false">Q9+Q11-Q14</f>
        <v>0</v>
      </c>
      <c r="R15" s="11" t="n">
        <f aca="false">R9+R11-R14</f>
        <v>0</v>
      </c>
      <c r="S15" s="11" t="n">
        <f aca="false">S9+S11-S14</f>
        <v>0</v>
      </c>
      <c r="T15" s="11" t="n">
        <f aca="false">T9+T11-T14</f>
        <v>0</v>
      </c>
      <c r="U15" s="11" t="n">
        <f aca="false">U9+U11-U14</f>
        <v>0</v>
      </c>
      <c r="V15" s="11" t="n">
        <f aca="false">V9+V11-V14</f>
        <v>0</v>
      </c>
      <c r="W15" s="11" t="n">
        <f aca="false">W9+W11-W14</f>
        <v>0</v>
      </c>
      <c r="X15" s="11" t="n">
        <f aca="false">X9+X11-X14</f>
        <v>0</v>
      </c>
      <c r="Y15" s="11" t="n">
        <f aca="false">Y9+Y11-Y14</f>
        <v>0</v>
      </c>
      <c r="Z15" s="11" t="n">
        <f aca="false">Z9+Z11-Z14</f>
        <v>0</v>
      </c>
      <c r="AA15" s="11" t="n">
        <f aca="false">AA9+AA11-AA14</f>
        <v>0</v>
      </c>
      <c r="AB15" s="11" t="n">
        <f aca="false">AB9+AB11-AB14</f>
        <v>0</v>
      </c>
      <c r="AC15" s="11" t="n">
        <f aca="false">AC9+AC11-AC14</f>
        <v>0</v>
      </c>
      <c r="AD15" s="11" t="n">
        <f aca="false">AD9+AD11-AD14</f>
        <v>0</v>
      </c>
      <c r="AE15" s="11" t="n">
        <f aca="false">AE9+AE11-AE14</f>
        <v>0</v>
      </c>
      <c r="AF15" s="11" t="n">
        <f aca="false">AF9+AF11-AF14</f>
        <v>0</v>
      </c>
      <c r="AG15" s="11" t="n">
        <f aca="false">AG9+AG11-AG14</f>
        <v>0</v>
      </c>
      <c r="AH15" s="11" t="n">
        <f aca="false">AH9+AH11-AH14</f>
        <v>4845930.41942498</v>
      </c>
      <c r="AI15" s="11" t="n">
        <f aca="false">AI9+AI11-AI14</f>
        <v>7225000</v>
      </c>
      <c r="AJ15" s="11" t="n">
        <f aca="false">AJ9+AJ11-AJ14</f>
        <v>7225000</v>
      </c>
      <c r="AK15" s="11" t="n">
        <f aca="false">AK9+AK11-AK14</f>
        <v>7225000</v>
      </c>
      <c r="AL15" s="11" t="n">
        <f aca="false">AL9+AL11-AL14</f>
        <v>7225000</v>
      </c>
      <c r="AM15" s="11" t="n">
        <f aca="false">AM9+AM11-AM14</f>
        <v>7225000</v>
      </c>
      <c r="AN15" s="11" t="n">
        <f aca="false">AN9+AN11-AN14</f>
        <v>0</v>
      </c>
      <c r="AO15" s="11" t="n">
        <f aca="false">AO9+AO11-AO14</f>
        <v>0</v>
      </c>
      <c r="AP15" s="11" t="n">
        <f aca="false">AP9+AP11-AP14</f>
        <v>0</v>
      </c>
      <c r="AQ15" s="11" t="n">
        <f aca="false">AQ9+AQ11-AQ14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true" outlineLevel="0" collapsed="false">
      <c r="B2" s="1" t="s">
        <v>42</v>
      </c>
    </row>
    <row r="4" customFormat="false" ht="15" hidden="false" customHeight="true" outlineLevel="0" collapsed="false">
      <c r="B4" s="2" t="s">
        <v>43</v>
      </c>
      <c r="D4" s="12" t="n">
        <f aca="true">TODAY()</f>
        <v>46310</v>
      </c>
    </row>
    <row r="5" customFormat="false" ht="15" hidden="false" customHeight="true" outlineLevel="0" collapsed="false">
      <c r="B5" s="2" t="s">
        <v>44</v>
      </c>
      <c r="D5" s="12" t="n">
        <f aca="false">EDATE(D4,Assumptions!D16)</f>
        <v>47041</v>
      </c>
    </row>
    <row r="6" customFormat="false" ht="15" hidden="false" customHeight="true" outlineLevel="0" collapsed="false">
      <c r="B6" s="2" t="s">
        <v>45</v>
      </c>
      <c r="D6" s="3" t="n">
        <f aca="false">AVERAGEIFS(CashFlow!D8:AQ8,CashFlow!D4:AQ4,"&gt;"&amp;Assumptions!D16)</f>
        <v>5418750</v>
      </c>
    </row>
    <row r="7" customFormat="false" ht="15" hidden="false" customHeight="true" outlineLevel="0" collapsed="false">
      <c r="B7" s="2" t="s">
        <v>46</v>
      </c>
      <c r="D7" s="13" t="str">
        <f aca="false">_xlfn.CONCAT("Scheme: ",Returns!B2)</f>
        <v>Scheme: RIVERSIDE GARDENS · returns</v>
      </c>
    </row>
    <row r="8" customFormat="false" ht="15" hidden="false" customHeight="true" outlineLevel="0" collapsed="false">
      <c r="B8" s="2" t="s">
        <v>47</v>
      </c>
      <c r="D8" s="3" t="n">
        <f aca="false">LOOKUP(30,CashFlow!D4:AQ4,CashFlow!D13:AQ13)</f>
        <v>2364292.75088201</v>
      </c>
    </row>
    <row r="9" customFormat="false" ht="15" hidden="false" customHeight="true" outlineLevel="0" collapsed="false">
      <c r="B9" s="2" t="s">
        <v>48</v>
      </c>
      <c r="D9" s="7" t="n">
        <f aca="false">RANK(Returns!D9,Returns!D7:D9)</f>
        <v>2</v>
      </c>
    </row>
    <row r="10" customFormat="false" ht="15" hidden="false" customHeight="true" outlineLevel="0" collapsed="false">
      <c r="B10" s="2" t="s">
        <v>49</v>
      </c>
      <c r="D10" s="3" t="n">
        <f aca="false">FORECAST(41,CashFlow!D13:AQ13,CashFlow!D4:AQ4)</f>
        <v>10223372.552121</v>
      </c>
    </row>
    <row r="11" customFormat="false" ht="15" hidden="false" customHeight="true" outlineLevel="0" collapsed="false">
      <c r="B11" s="2" t="s">
        <v>50</v>
      </c>
      <c r="D11" s="13" t="str">
        <f aca="false">_xlfn.IFS(Returns!D7&gt;0.2,"strong",Returns!D7&gt;0.1,"ok",TRUE(),"weak")</f>
        <v>strong</v>
      </c>
    </row>
    <row r="12" customFormat="false" ht="15" hidden="false" customHeight="true" outlineLevel="0" collapsed="false">
      <c r="B12" s="2" t="s">
        <v>51</v>
      </c>
      <c r="D12" s="3" t="n">
        <f aca="false">SUMPRODUCT((CashFlow!D4:AQ4&gt;Assumptions!D16)*CashFlow!D8:AQ8)</f>
        <v>86700000</v>
      </c>
    </row>
    <row r="13" customFormat="false" ht="15" hidden="false" customHeight="true" outlineLevel="0" collapsed="false">
      <c r="B13" s="2" t="s">
        <v>52</v>
      </c>
      <c r="D13" s="7" t="n">
        <f aca="false">D5-D4</f>
        <v>731</v>
      </c>
    </row>
    <row r="15" customFormat="false" ht="15" hidden="false" customHeight="false" outlineLevel="0" collapsed="false">
      <c r="B15" s="0" t="s">
        <v>53</v>
      </c>
      <c r="D15" s="0" t="e">
        <f aca="false">Returns!D5/0</f>
        <v>#DIV/0!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2026-10-15T15:53:20Z</dcterms:created>
  <dc:creator>openpyxl</dc:creator>
  <dc:description/>
  <dc:language>en-US</dc:language>
  <cp:lastModifiedBy/>
  <dcterms:modified xsi:type="dcterms:W3CDTF">2026-10-15T22:08:45Z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