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 Terms" sheetId="1" state="visible" r:id="rId3"/>
    <sheet name="Lender Cash Flow" sheetId="2" state="visible" r:id="rId4"/>
    <sheet name="Lender 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<sst xmlns="http://schemas.openxmlformats.org/spreadsheetml/2006/main" count="21" uniqueCount="21">
  <si>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CANAL STREET – MEZZANINE LOAN (LENDER MODEL, USD)</t>
  </si>
  <si>
    <t xml:space="preserve">Commitment ($)</t>
  </si>
  <si>
    <t xml:space="preserve">Cash coupon</t>
  </si>
  <si>
    <t xml:space="preserve">PIK coupon</t>
  </si>
  <si>
    <t xml:space="preserve">Arrangement fee</t>
  </si>
  <si>
    <t xml:space="preserve">Exit fee</t>
  </si>
  <si>
    <t xml:space="preserve">Term (years)</t>
  </si>
  <si>
    <t xml:space="preserve">Property value ($)</t>
  </si>
  <si>
    <t xml:space="preserve">Senior loan ($)</t>
  </si>
  <si>
    <t xml:space="preserve">Year</t>
  </si>
  <si>
    <t xml:space="preserve">Balance (with PIK)</t>
  </si>
  <si>
    <t xml:space="preserve">Drawdown</t>
  </si>
  <si>
    <t xml:space="preserve">Fees</t>
  </si>
  <si>
    <t xml:space="preserve">Cash interest</t>
  </si>
  <si>
    <t xml:space="preserve">Repayment</t>
  </si>
  <si>
    <t xml:space="preserve">Lender cash flow</t>
  </si>
  <si>
    <t xml:space="preserve">Lender IRR</t>
  </si>
  <si>
    <t xml:space="preserve">Lender MOIC</t>
  </si>
  <si>
    <t xml:space="preserve">Attachment LTV</t>
  </si>
  <si>
    <t xml:space="preserve">Detachment LTV</t>
  </si>
  <si>
    <t xml:space="preserve">Net profit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</si>
</sst>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35000000</v>
      </c>
    </row>
    <row r="4" customFormat="false" ht="15" hidden="false" customHeight="false" outlineLevel="0" collapsed="false">
      <c r="A4" s="0" t="s">
        <v>2</v>
      </c>
      <c r="B4" s="2" t="n">
        <v>0.08</v>
      </c>
    </row>
    <row r="5" customFormat="false" ht="15" hidden="false" customHeight="false" outlineLevel="0" collapsed="false">
      <c r="A5" s="0" t="s">
        <v>3</v>
      </c>
      <c r="B5" s="2" t="n">
        <v>0.04</v>
      </c>
    </row>
    <row r="6" customFormat="false" ht="15" hidden="false" customHeight="false" outlineLevel="0" collapsed="false">
      <c r="A6" s="0" t="s">
        <v>4</v>
      </c>
      <c r="B6" s="2" t="n">
        <v>0.015</v>
      </c>
    </row>
    <row r="7" customFormat="false" ht="15" hidden="false" customHeight="false" outlineLevel="0" collapsed="false">
      <c r="A7" s="0" t="s">
        <v>5</v>
      </c>
      <c r="B7" s="2" t="n">
        <v>0.01</v>
      </c>
    </row>
    <row r="8" customFormat="false" ht="15" hidden="false" customHeight="false" outlineLevel="0" collapsed="false">
      <c r="A8" s="0" t="s">
        <v>6</v>
      </c>
      <c r="B8" s="3" t="n">
        <v>4</v>
      </c>
    </row>
    <row r="9" customFormat="false" ht="15" hidden="false" customHeight="false" outlineLevel="0" collapsed="false">
      <c r="A9" s="0" t="s">
        <v>7</v>
      </c>
      <c r="B9" s="1" t="n">
        <v>190000000</v>
      </c>
    </row>
    <row r="10" customFormat="false" ht="15" hidden="false" customHeight="false" outlineLevel="0" collapsed="false">
      <c r="A10" s="0" t="s">
        <v>8</v>
      </c>
      <c r="B10" s="1" t="n">
        <v>105000000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</row>
    <row r="4" customFormat="false" ht="15" hidden="false" customHeight="false" outlineLevel="0" collapsed="false">
      <c r="A4" s="0" t="s">
        <v>10</v>
      </c>
      <c r="B4" s="1" t="n">
        <f aca="false">'Loan Terms'!$B$3</f>
        <v>35000000</v>
      </c>
      <c r="C4" s="0" t="n">
        <f aca="false">IF(C$3&lt;='Loan Terms'!$B$8,B4*(1+'Loan Terms'!$B$5),0)</f>
        <v>36400000</v>
      </c>
      <c r="D4" s="0" t="n">
        <f aca="false">IF(D$3&lt;='Loan Terms'!$B$8,C4*(1+'Loan Terms'!$B$5),0)</f>
        <v>37856000</v>
      </c>
      <c r="E4" s="0" t="n">
        <f aca="false">IF(E$3&lt;='Loan Terms'!$B$8,D4*(1+'Loan Terms'!$B$5),0)</f>
        <v>39370240</v>
      </c>
      <c r="F4" s="0" t="n">
        <f aca="false">IF(F$3&lt;='Loan Terms'!$B$8,E4*(1+'Loan Terms'!$B$5),0)</f>
        <v>40945049.6</v>
      </c>
      <c r="G4" s="0" t="n">
        <f aca="false">IF(G$3&lt;='Loan Terms'!$B$8,F4*(1+'Loan Terms'!$B$5),0)</f>
        <v>0</v>
      </c>
    </row>
    <row r="5" customFormat="false" ht="15" hidden="false" customHeight="false" outlineLevel="0" collapsed="false">
      <c r="A5" s="0" t="s">
        <v>11</v>
      </c>
      <c r="B5" s="0" t="n">
        <f aca="false">IF(B$3=0,-'Loan Terms'!$B$3,0)</f>
        <v>-35000000</v>
      </c>
      <c r="C5" s="0" t="n">
        <f aca="false">IF(C$3=0,-'Loan Terms'!$B$3,0)</f>
        <v>0</v>
      </c>
      <c r="D5" s="0" t="n">
        <f aca="false">IF(D$3=0,-'Loan Terms'!$B$3,0)</f>
        <v>0</v>
      </c>
      <c r="E5" s="0" t="n">
        <f aca="false">IF(E$3=0,-'Loan Terms'!$B$3,0)</f>
        <v>0</v>
      </c>
      <c r="F5" s="0" t="n">
        <f aca="false">IF(F$3=0,-'Loan Terms'!$B$3,0)</f>
        <v>0</v>
      </c>
      <c r="G5" s="0" t="n">
        <f aca="false">IF(G$3=0,-'Loan Terms'!$B$3,0)</f>
        <v>0</v>
      </c>
    </row>
    <row r="6" customFormat="false" ht="15" hidden="false" customHeight="false" outlineLevel="0" collapsed="false">
      <c r="A6" s="0" t="s">
        <v>12</v>
      </c>
      <c r="B6" s="0" t="n">
        <f aca="false">IF(B$3=0,'Loan Terms'!$B$3*'Loan Terms'!$B$6,0)+IF(B$3='Loan Terms'!$B$8,B4*'Loan Terms'!$B$7,0)</f>
        <v>525000</v>
      </c>
      <c r="C6" s="0" t="n">
        <f aca="false">IF(C$3=0,'Loan Terms'!$B$3*'Loan Terms'!$B$6,0)+IF(C$3='Loan Terms'!$B$8,C4*'Loan Terms'!$B$7,0)</f>
        <v>0</v>
      </c>
      <c r="D6" s="0" t="n">
        <f aca="false">IF(D$3=0,'Loan Terms'!$B$3*'Loan Terms'!$B$6,0)+IF(D$3='Loan Terms'!$B$8,D4*'Loan Terms'!$B$7,0)</f>
        <v>0</v>
      </c>
      <c r="E6" s="0" t="n">
        <f aca="false">IF(E$3=0,'Loan Terms'!$B$3*'Loan Terms'!$B$6,0)+IF(E$3='Loan Terms'!$B$8,E4*'Loan Terms'!$B$7,0)</f>
        <v>0</v>
      </c>
      <c r="F6" s="0" t="n">
        <f aca="false">IF(F$3=0,'Loan Terms'!$B$3*'Loan Terms'!$B$6,0)+IF(F$3='Loan Terms'!$B$8,F4*'Loan Terms'!$B$7,0)</f>
        <v>409450.496</v>
      </c>
      <c r="G6" s="0" t="n">
        <f aca="false">IF(G$3=0,'Loan Terms'!$B$3*'Loan Terms'!$B$6,0)+IF(G$3='Loan Terms'!$B$8,G4*'Loan Terms'!$B$7,0)</f>
        <v>0</v>
      </c>
    </row>
    <row r="7" customFormat="false" ht="15" hidden="false" customHeight="false" outlineLevel="0" collapsed="false">
      <c r="A7" s="0" t="s">
        <v>13</v>
      </c>
      <c r="B7" s="0" t="n">
        <f aca="false">0</f>
        <v>0</v>
      </c>
      <c r="C7" s="0" t="n">
        <f aca="false">IF(C$3&lt;='Loan Terms'!$B$8,B4*'Loan Terms'!$B$4,0)</f>
        <v>2800000</v>
      </c>
      <c r="D7" s="0" t="n">
        <f aca="false">IF(D$3&lt;='Loan Terms'!$B$8,C4*'Loan Terms'!$B$4,0)</f>
        <v>2912000</v>
      </c>
      <c r="E7" s="0" t="n">
        <f aca="false">IF(E$3&lt;='Loan Terms'!$B$8,D4*'Loan Terms'!$B$4,0)</f>
        <v>3028480</v>
      </c>
      <c r="F7" s="0" t="n">
        <f aca="false">IF(F$3&lt;='Loan Terms'!$B$8,E4*'Loan Terms'!$B$4,0)</f>
        <v>3149619.2</v>
      </c>
      <c r="G7" s="0" t="n">
        <f aca="false">IF(G$3&lt;='Loan Terms'!$B$8,F4*'Loan Terms'!$B$4,0)</f>
        <v>0</v>
      </c>
    </row>
    <row r="8" customFormat="false" ht="15" hidden="false" customHeight="false" outlineLevel="0" collapsed="false">
      <c r="A8" s="0" t="s">
        <v>14</v>
      </c>
      <c r="B8" s="0" t="n">
        <f aca="false">IF(B$3='Loan Terms'!$B$8,B4,0)</f>
        <v>0</v>
      </c>
      <c r="C8" s="0" t="n">
        <f aca="false">IF(C$3='Loan Terms'!$B$8,C4,0)</f>
        <v>0</v>
      </c>
      <c r="D8" s="0" t="n">
        <f aca="false">IF(D$3='Loan Terms'!$B$8,D4,0)</f>
        <v>0</v>
      </c>
      <c r="E8" s="0" t="n">
        <f aca="false">IF(E$3='Loan Terms'!$B$8,E4,0)</f>
        <v>0</v>
      </c>
      <c r="F8" s="0" t="n">
        <f aca="false">IF(F$3='Loan Terms'!$B$8,F4,0)</f>
        <v>40945049.6</v>
      </c>
      <c r="G8" s="0" t="n">
        <f aca="false">IF(G$3='Loan Terms'!$B$8,G4,0)</f>
        <v>0</v>
      </c>
    </row>
    <row r="9" customFormat="false" ht="15" hidden="false" customHeight="false" outlineLevel="0" collapsed="false">
      <c r="A9" s="0" t="s">
        <v>15</v>
      </c>
      <c r="B9" s="0" t="n">
        <f aca="false">SUM(B5:B8)</f>
        <v>-34475000</v>
      </c>
      <c r="C9" s="0" t="n">
        <f aca="false">SUM(C5:C8)</f>
        <v>2800000</v>
      </c>
      <c r="D9" s="0" t="n">
        <f aca="false">SUM(D5:D8)</f>
        <v>2912000</v>
      </c>
      <c r="E9" s="0" t="n">
        <f aca="false">SUM(E5:E8)</f>
        <v>3028480</v>
      </c>
      <c r="F9" s="0" t="n">
        <f aca="false">SUM(F5:F8)</f>
        <v>44504119.296</v>
      </c>
      <c r="G9" s="0" t="n">
        <f aca="false">SUM(G5:G8)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16</v>
      </c>
      <c r="B3" s="2" t="n">
        <f aca="false">IRR('Lender Cash Flow'!B9:G9)</f>
        <v>0.127044183203122</v>
      </c>
    </row>
    <row r="4" customFormat="false" ht="15" hidden="false" customHeight="false" outlineLevel="0" collapsed="false">
      <c r="A4" s="0" t="s">
        <v>17</v>
      </c>
      <c r="B4" s="4" t="n">
        <f aca="false">SUMIF('Lender Cash Flow'!B9:G9,"&gt;0")/-SUMIF('Lender Cash Flow'!B9:G9,"&lt;0")</f>
        <v>1.54444087878173</v>
      </c>
    </row>
    <row r="5" customFormat="false" ht="15" hidden="false" customHeight="false" outlineLevel="0" collapsed="false">
      <c r="A5" s="0" t="s">
        <v>18</v>
      </c>
      <c r="B5" s="2" t="n">
        <f aca="false">'Loan Terms'!$B$10/'Loan Terms'!$B$9</f>
        <v>0.552631578947369</v>
      </c>
    </row>
    <row r="6" customFormat="false" ht="15" hidden="false" customHeight="false" outlineLevel="0" collapsed="false">
      <c r="A6" s="0" t="s">
        <v>19</v>
      </c>
      <c r="B6" s="2" t="n">
        <f aca="false">('Loan Terms'!$B$10+'Loan Terms'!$B$3)/'Loan Terms'!$B$9</f>
        <v>0.736842105263158</v>
      </c>
    </row>
    <row r="7" customFormat="false" ht="15" hidden="false" customHeight="false" outlineLevel="0" collapsed="false">
      <c r="A7" s="0" t="s">
        <v>20</v>
      </c>
      <c r="B7" s="1" t="n">
        <f aca="false">SUM('Lender Cash Flow'!B9:G9)</f>
        <v>18769599.296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2026-10-17T06:38:39Z</dcterms:created>
  <dc:creator>openpyxl</dc:creator>
  <dc:description/>
  <dc:language>en-US</dc:language>
  <cp:lastModifiedBy/>
  <dcterms:modified xsi:type="dcterms:W3CDTF">2026-10-17T06:38:39Z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