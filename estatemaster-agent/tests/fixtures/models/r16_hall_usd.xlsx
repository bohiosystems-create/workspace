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onthly" sheetId="2" state="visible" r:id="rId4"/>
    <sheet name="Annual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<sst xmlns="http://schemas.openxmlformats.org/spreadsheetml/2006/main" count="26" uniqueCount="24">
  <si>
    <t xml:space="preserve">ASHBURN HALL 3 – DATA HALL LEASE-UP (USD)</t>
  </si>
  <si>
    <t xml:space="preserve">First month</t>
  </si>
  <si>
    <t xml:space="preserve">IT capacity (MW)</t>
  </si>
  <si>
    <t xml:space="preserve">Rate ($/kW/month)</t>
  </si>
  <si>
    <t xml:space="preserve">MW leased per month</t>
  </si>
  <si>
    <t xml:space="preserve">Capex ($m/MW)</t>
  </si>
  <si>
    <t xml:space="preserve">Opex ($/kW/month)</t>
  </si>
  <si>
    <t xml:space="preserve">Exit multiple of annual EBITDA</t>
  </si>
  <si>
    <t xml:space="preserve">Exit after (months)</t>
  </si>
  <si>
    <t xml:space="preserve">Month</t>
  </si>
  <si>
    <t xml:space="preserve">Date</t>
  </si>
  <si>
    <t xml:space="preserve">Year</t>
  </si>
  <si>
    <t xml:space="preserve">MW leased</t>
  </si>
  <si>
    <t xml:space="preserve">Revenue</t>
  </si>
  <si>
    <t xml:space="preserve">Opex</t>
  </si>
  <si>
    <t xml:space="preserve">Capex</t>
  </si>
  <si>
    <t xml:space="preserve">Sale</t>
  </si>
  <si>
    <t xml:space="preserve">Net cash flow</t>
  </si>
  <si>
    <t xml:space="preserve">EBITDA</t>
  </si>
  <si>
    <t xml:space="preserve">Unlevered IRR (annualised)</t>
  </si>
  <si>
    <t xml:space="preserve">Net profit</t>
  </si>
  <si>
    <t xml:space="preserve">Total capex</t>
  </si>
  <si>
    <t xml:space="preserve">Stabilised EBITDA (2031)</t>
  </si>
  <si>
    <t xml:space="preserve">Yield on cost (stabilised)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</si>
</sst>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#,##0.00"/>
    <numFmt numFmtId="167" formatCode="0.0"/>
    <numFmt numFmtId="168" formatCode="0"/>
    <numFmt numFmtId="169" formatCode="0.00%"/>
    <numFmt numFmtId="170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46418</v>
      </c>
    </row>
    <row r="4" customFormat="false" ht="15" hidden="false" customHeight="false" outlineLevel="0" collapsed="false">
      <c r="A4" s="0" t="s">
        <v>2</v>
      </c>
      <c r="B4" s="2" t="n">
        <v>24</v>
      </c>
    </row>
    <row r="5" customFormat="false" ht="15" hidden="false" customHeight="false" outlineLevel="0" collapsed="false">
      <c r="A5" s="0" t="s">
        <v>3</v>
      </c>
      <c r="B5" s="2" t="n">
        <v>165</v>
      </c>
    </row>
    <row r="6" customFormat="false" ht="15" hidden="false" customHeight="false" outlineLevel="0" collapsed="false">
      <c r="A6" s="0" t="s">
        <v>4</v>
      </c>
      <c r="B6" s="2" t="n">
        <v>1.5</v>
      </c>
    </row>
    <row r="7" customFormat="false" ht="15" hidden="false" customHeight="false" outlineLevel="0" collapsed="false">
      <c r="A7" s="0" t="s">
        <v>5</v>
      </c>
      <c r="B7" s="2" t="n">
        <v>11.5</v>
      </c>
    </row>
    <row r="8" customFormat="false" ht="15" hidden="false" customHeight="false" outlineLevel="0" collapsed="false">
      <c r="A8" s="0" t="s">
        <v>6</v>
      </c>
      <c r="B8" s="2" t="n">
        <v>22</v>
      </c>
    </row>
    <row r="9" customFormat="false" ht="15" hidden="false" customHeight="false" outlineLevel="0" collapsed="false">
      <c r="A9" s="0" t="s">
        <v>7</v>
      </c>
      <c r="B9" s="3" t="n">
        <v>18</v>
      </c>
    </row>
    <row r="10" customFormat="false" ht="15" hidden="false" customHeight="false" outlineLevel="0" collapsed="false">
      <c r="A10" s="0" t="s">
        <v>8</v>
      </c>
      <c r="B10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</row>
    <row r="4" customFormat="false" ht="15" hidden="false" customHeight="false" outlineLevel="0" collapsed="false">
      <c r="A4" s="0" t="s">
        <v>10</v>
      </c>
      <c r="B4" s="1" t="n">
        <f aca="false">EOMONTH(Inputs!$B$3,B$3)</f>
        <v>46418</v>
      </c>
      <c r="C4" s="1" t="n">
        <f aca="false">EOMONTH(Inputs!$B$3,C$3)</f>
        <v>46446</v>
      </c>
      <c r="D4" s="1" t="n">
        <f aca="false">EOMONTH(Inputs!$B$3,D$3)</f>
        <v>46477</v>
      </c>
      <c r="E4" s="1" t="n">
        <f aca="false">EOMONTH(Inputs!$B$3,E$3)</f>
        <v>46507</v>
      </c>
      <c r="F4" s="1" t="n">
        <f aca="false">EOMONTH(Inputs!$B$3,F$3)</f>
        <v>46538</v>
      </c>
      <c r="G4" s="1" t="n">
        <f aca="false">EOMONTH(Inputs!$B$3,G$3)</f>
        <v>46568</v>
      </c>
      <c r="H4" s="1" t="n">
        <f aca="false">EOMONTH(Inputs!$B$3,H$3)</f>
        <v>46599</v>
      </c>
      <c r="I4" s="1" t="n">
        <f aca="false">EOMONTH(Inputs!$B$3,I$3)</f>
        <v>46630</v>
      </c>
      <c r="J4" s="1" t="n">
        <f aca="false">EOMONTH(Inputs!$B$3,J$3)</f>
        <v>46660</v>
      </c>
      <c r="K4" s="1" t="n">
        <f aca="false">EOMONTH(Inputs!$B$3,K$3)</f>
        <v>46691</v>
      </c>
      <c r="L4" s="1" t="n">
        <f aca="false">EOMONTH(Inputs!$B$3,L$3)</f>
        <v>46721</v>
      </c>
      <c r="M4" s="1" t="n">
        <f aca="false">EOMONTH(Inputs!$B$3,M$3)</f>
        <v>46752</v>
      </c>
      <c r="N4" s="1" t="n">
        <f aca="false">EOMONTH(Inputs!$B$3,N$3)</f>
        <v>46783</v>
      </c>
      <c r="O4" s="1" t="n">
        <f aca="false">EOMONTH(Inputs!$B$3,O$3)</f>
        <v>46812</v>
      </c>
      <c r="P4" s="1" t="n">
        <f aca="false">EOMONTH(Inputs!$B$3,P$3)</f>
        <v>46843</v>
      </c>
      <c r="Q4" s="1" t="n">
        <f aca="false">EOMONTH(Inputs!$B$3,Q$3)</f>
        <v>46873</v>
      </c>
      <c r="R4" s="1" t="n">
        <f aca="false">EOMONTH(Inputs!$B$3,R$3)</f>
        <v>46904</v>
      </c>
      <c r="S4" s="1" t="n">
        <f aca="false">EOMONTH(Inputs!$B$3,S$3)</f>
        <v>46934</v>
      </c>
      <c r="T4" s="1" t="n">
        <f aca="false">EOMONTH(Inputs!$B$3,T$3)</f>
        <v>46965</v>
      </c>
      <c r="U4" s="1" t="n">
        <f aca="false">EOMONTH(Inputs!$B$3,U$3)</f>
        <v>46996</v>
      </c>
      <c r="V4" s="1" t="n">
        <f aca="false">EOMONTH(Inputs!$B$3,V$3)</f>
        <v>47026</v>
      </c>
      <c r="W4" s="1" t="n">
        <f aca="false">EOMONTH(Inputs!$B$3,W$3)</f>
        <v>47057</v>
      </c>
      <c r="X4" s="1" t="n">
        <f aca="false">EOMONTH(Inputs!$B$3,X$3)</f>
        <v>47087</v>
      </c>
      <c r="Y4" s="1" t="n">
        <f aca="false">EOMONTH(Inputs!$B$3,Y$3)</f>
        <v>47118</v>
      </c>
      <c r="Z4" s="1" t="n">
        <f aca="false">EOMONTH(Inputs!$B$3,Z$3)</f>
        <v>47149</v>
      </c>
      <c r="AA4" s="1" t="n">
        <f aca="false">EOMONTH(Inputs!$B$3,AA$3)</f>
        <v>47177</v>
      </c>
      <c r="AB4" s="1" t="n">
        <f aca="false">EOMONTH(Inputs!$B$3,AB$3)</f>
        <v>47208</v>
      </c>
      <c r="AC4" s="1" t="n">
        <f aca="false">EOMONTH(Inputs!$B$3,AC$3)</f>
        <v>47238</v>
      </c>
      <c r="AD4" s="1" t="n">
        <f aca="false">EOMONTH(Inputs!$B$3,AD$3)</f>
        <v>47269</v>
      </c>
      <c r="AE4" s="1" t="n">
        <f aca="false">EOMONTH(Inputs!$B$3,AE$3)</f>
        <v>47299</v>
      </c>
      <c r="AF4" s="1" t="n">
        <f aca="false">EOMONTH(Inputs!$B$3,AF$3)</f>
        <v>47330</v>
      </c>
      <c r="AG4" s="1" t="n">
        <f aca="false">EOMONTH(Inputs!$B$3,AG$3)</f>
        <v>47361</v>
      </c>
      <c r="AH4" s="1" t="n">
        <f aca="false">EOMONTH(Inputs!$B$3,AH$3)</f>
        <v>47391</v>
      </c>
      <c r="AI4" s="1" t="n">
        <f aca="false">EOMONTH(Inputs!$B$3,AI$3)</f>
        <v>47422</v>
      </c>
      <c r="AJ4" s="1" t="n">
        <f aca="false">EOMONTH(Inputs!$B$3,AJ$3)</f>
        <v>47452</v>
      </c>
      <c r="AK4" s="1" t="n">
        <f aca="false">EOMONTH(Inputs!$B$3,AK$3)</f>
        <v>47483</v>
      </c>
      <c r="AL4" s="1" t="n">
        <f aca="false">EOMONTH(Inputs!$B$3,AL$3)</f>
        <v>47514</v>
      </c>
      <c r="AM4" s="1" t="n">
        <f aca="false">EOMONTH(Inputs!$B$3,AM$3)</f>
        <v>47542</v>
      </c>
      <c r="AN4" s="1" t="n">
        <f aca="false">EOMONTH(Inputs!$B$3,AN$3)</f>
        <v>47573</v>
      </c>
      <c r="AO4" s="1" t="n">
        <f aca="false">EOMONTH(Inputs!$B$3,AO$3)</f>
        <v>47603</v>
      </c>
      <c r="AP4" s="1" t="n">
        <f aca="false">EOMONTH(Inputs!$B$3,AP$3)</f>
        <v>47634</v>
      </c>
      <c r="AQ4" s="1" t="n">
        <f aca="false">EOMONTH(Inputs!$B$3,AQ$3)</f>
        <v>47664</v>
      </c>
      <c r="AR4" s="1" t="n">
        <f aca="false">EOMONTH(Inputs!$B$3,AR$3)</f>
        <v>47695</v>
      </c>
      <c r="AS4" s="1" t="n">
        <f aca="false">EOMONTH(Inputs!$B$3,AS$3)</f>
        <v>47726</v>
      </c>
      <c r="AT4" s="1" t="n">
        <f aca="false">EOMONTH(Inputs!$B$3,AT$3)</f>
        <v>47756</v>
      </c>
      <c r="AU4" s="1" t="n">
        <f aca="false">EOMONTH(Inputs!$B$3,AU$3)</f>
        <v>47787</v>
      </c>
      <c r="AV4" s="1" t="n">
        <f aca="false">EOMONTH(Inputs!$B$3,AV$3)</f>
        <v>47817</v>
      </c>
      <c r="AW4" s="1" t="n">
        <f aca="false">EOMONTH(Inputs!$B$3,AW$3)</f>
        <v>47848</v>
      </c>
      <c r="AX4" s="1" t="n">
        <f aca="false">EOMONTH(Inputs!$B$3,AX$3)</f>
        <v>47879</v>
      </c>
      <c r="AY4" s="1" t="n">
        <f aca="false">EOMONTH(Inputs!$B$3,AY$3)</f>
        <v>47907</v>
      </c>
      <c r="AZ4" s="1" t="n">
        <f aca="false">EOMONTH(Inputs!$B$3,AZ$3)</f>
        <v>47938</v>
      </c>
      <c r="BA4" s="1" t="n">
        <f aca="false">EOMONTH(Inputs!$B$3,BA$3)</f>
        <v>47968</v>
      </c>
      <c r="BB4" s="1" t="n">
        <f aca="false">EOMONTH(Inputs!$B$3,BB$3)</f>
        <v>47999</v>
      </c>
      <c r="BC4" s="1" t="n">
        <f aca="false">EOMONTH(Inputs!$B$3,BC$3)</f>
        <v>48029</v>
      </c>
      <c r="BD4" s="1" t="n">
        <f aca="false">EOMONTH(Inputs!$B$3,BD$3)</f>
        <v>48060</v>
      </c>
      <c r="BE4" s="1" t="n">
        <f aca="false">EOMONTH(Inputs!$B$3,BE$3)</f>
        <v>48091</v>
      </c>
      <c r="BF4" s="1" t="n">
        <f aca="false">EOMONTH(Inputs!$B$3,BF$3)</f>
        <v>48121</v>
      </c>
      <c r="BG4" s="1" t="n">
        <f aca="false">EOMONTH(Inputs!$B$3,BG$3)</f>
        <v>48152</v>
      </c>
      <c r="BH4" s="1" t="n">
        <f aca="false">EOMONTH(Inputs!$B$3,BH$3)</f>
        <v>48182</v>
      </c>
      <c r="BI4" s="1" t="n">
        <f aca="false">EOMONTH(Inputs!$B$3,BI$3)</f>
        <v>48213</v>
      </c>
      <c r="BJ4" s="1" t="n">
        <f aca="false">EOMONTH(Inputs!$B$3,BJ$3)</f>
        <v>48244</v>
      </c>
    </row>
    <row r="5" customFormat="false" ht="15" hidden="false" customHeight="false" outlineLevel="0" collapsed="false">
      <c r="A5" s="0" t="s">
        <v>11</v>
      </c>
      <c r="B5" s="0" t="n">
        <f aca="false">YEAR(B4)</f>
        <v>2027</v>
      </c>
      <c r="C5" s="0" t="n">
        <f aca="false">YEAR(C4)</f>
        <v>2027</v>
      </c>
      <c r="D5" s="0" t="n">
        <f aca="false">YEAR(D4)</f>
        <v>2027</v>
      </c>
      <c r="E5" s="0" t="n">
        <f aca="false">YEAR(E4)</f>
        <v>2027</v>
      </c>
      <c r="F5" s="0" t="n">
        <f aca="false">YEAR(F4)</f>
        <v>2027</v>
      </c>
      <c r="G5" s="0" t="n">
        <f aca="false">YEAR(G4)</f>
        <v>2027</v>
      </c>
      <c r="H5" s="0" t="n">
        <f aca="false">YEAR(H4)</f>
        <v>2027</v>
      </c>
      <c r="I5" s="0" t="n">
        <f aca="false">YEAR(I4)</f>
        <v>2027</v>
      </c>
      <c r="J5" s="0" t="n">
        <f aca="false">YEAR(J4)</f>
        <v>2027</v>
      </c>
      <c r="K5" s="0" t="n">
        <f aca="false">YEAR(K4)</f>
        <v>2027</v>
      </c>
      <c r="L5" s="0" t="n">
        <f aca="false">YEAR(L4)</f>
        <v>2027</v>
      </c>
      <c r="M5" s="0" t="n">
        <f aca="false">YEAR(M4)</f>
        <v>2027</v>
      </c>
      <c r="N5" s="0" t="n">
        <f aca="false">YEAR(N4)</f>
        <v>2028</v>
      </c>
      <c r="O5" s="0" t="n">
        <f aca="false">YEAR(O4)</f>
        <v>2028</v>
      </c>
      <c r="P5" s="0" t="n">
        <f aca="false">YEAR(P4)</f>
        <v>2028</v>
      </c>
      <c r="Q5" s="0" t="n">
        <f aca="false">YEAR(Q4)</f>
        <v>2028</v>
      </c>
      <c r="R5" s="0" t="n">
        <f aca="false">YEAR(R4)</f>
        <v>2028</v>
      </c>
      <c r="S5" s="0" t="n">
        <f aca="false">YEAR(S4)</f>
        <v>2028</v>
      </c>
      <c r="T5" s="0" t="n">
        <f aca="false">YEAR(T4)</f>
        <v>2028</v>
      </c>
      <c r="U5" s="0" t="n">
        <f aca="false">YEAR(U4)</f>
        <v>2028</v>
      </c>
      <c r="V5" s="0" t="n">
        <f aca="false">YEAR(V4)</f>
        <v>2028</v>
      </c>
      <c r="W5" s="0" t="n">
        <f aca="false">YEAR(W4)</f>
        <v>2028</v>
      </c>
      <c r="X5" s="0" t="n">
        <f aca="false">YEAR(X4)</f>
        <v>2028</v>
      </c>
      <c r="Y5" s="0" t="n">
        <f aca="false">YEAR(Y4)</f>
        <v>2028</v>
      </c>
      <c r="Z5" s="0" t="n">
        <f aca="false">YEAR(Z4)</f>
        <v>2029</v>
      </c>
      <c r="AA5" s="0" t="n">
        <f aca="false">YEAR(AA4)</f>
        <v>2029</v>
      </c>
      <c r="AB5" s="0" t="n">
        <f aca="false">YEAR(AB4)</f>
        <v>2029</v>
      </c>
      <c r="AC5" s="0" t="n">
        <f aca="false">YEAR(AC4)</f>
        <v>2029</v>
      </c>
      <c r="AD5" s="0" t="n">
        <f aca="false">YEAR(AD4)</f>
        <v>2029</v>
      </c>
      <c r="AE5" s="0" t="n">
        <f aca="false">YEAR(AE4)</f>
        <v>2029</v>
      </c>
      <c r="AF5" s="0" t="n">
        <f aca="false">YEAR(AF4)</f>
        <v>2029</v>
      </c>
      <c r="AG5" s="0" t="n">
        <f aca="false">YEAR(AG4)</f>
        <v>2029</v>
      </c>
      <c r="AH5" s="0" t="n">
        <f aca="false">YEAR(AH4)</f>
        <v>2029</v>
      </c>
      <c r="AI5" s="0" t="n">
        <f aca="false">YEAR(AI4)</f>
        <v>2029</v>
      </c>
      <c r="AJ5" s="0" t="n">
        <f aca="false">YEAR(AJ4)</f>
        <v>2029</v>
      </c>
      <c r="AK5" s="0" t="n">
        <f aca="false">YEAR(AK4)</f>
        <v>2029</v>
      </c>
      <c r="AL5" s="0" t="n">
        <f aca="false">YEAR(AL4)</f>
        <v>2030</v>
      </c>
      <c r="AM5" s="0" t="n">
        <f aca="false">YEAR(AM4)</f>
        <v>2030</v>
      </c>
      <c r="AN5" s="0" t="n">
        <f aca="false">YEAR(AN4)</f>
        <v>2030</v>
      </c>
      <c r="AO5" s="0" t="n">
        <f aca="false">YEAR(AO4)</f>
        <v>2030</v>
      </c>
      <c r="AP5" s="0" t="n">
        <f aca="false">YEAR(AP4)</f>
        <v>2030</v>
      </c>
      <c r="AQ5" s="0" t="n">
        <f aca="false">YEAR(AQ4)</f>
        <v>2030</v>
      </c>
      <c r="AR5" s="0" t="n">
        <f aca="false">YEAR(AR4)</f>
        <v>2030</v>
      </c>
      <c r="AS5" s="0" t="n">
        <f aca="false">YEAR(AS4)</f>
        <v>2030</v>
      </c>
      <c r="AT5" s="0" t="n">
        <f aca="false">YEAR(AT4)</f>
        <v>2030</v>
      </c>
      <c r="AU5" s="0" t="n">
        <f aca="false">YEAR(AU4)</f>
        <v>2030</v>
      </c>
      <c r="AV5" s="0" t="n">
        <f aca="false">YEAR(AV4)</f>
        <v>2030</v>
      </c>
      <c r="AW5" s="0" t="n">
        <f aca="false">YEAR(AW4)</f>
        <v>2030</v>
      </c>
      <c r="AX5" s="0" t="n">
        <f aca="false">YEAR(AX4)</f>
        <v>2031</v>
      </c>
      <c r="AY5" s="0" t="n">
        <f aca="false">YEAR(AY4)</f>
        <v>2031</v>
      </c>
      <c r="AZ5" s="0" t="n">
        <f aca="false">YEAR(AZ4)</f>
        <v>2031</v>
      </c>
      <c r="BA5" s="0" t="n">
        <f aca="false">YEAR(BA4)</f>
        <v>2031</v>
      </c>
      <c r="BB5" s="0" t="n">
        <f aca="false">YEAR(BB4)</f>
        <v>2031</v>
      </c>
      <c r="BC5" s="0" t="n">
        <f aca="false">YEAR(BC4)</f>
        <v>2031</v>
      </c>
      <c r="BD5" s="0" t="n">
        <f aca="false">YEAR(BD4)</f>
        <v>2031</v>
      </c>
      <c r="BE5" s="0" t="n">
        <f aca="false">YEAR(BE4)</f>
        <v>2031</v>
      </c>
      <c r="BF5" s="0" t="n">
        <f aca="false">YEAR(BF4)</f>
        <v>2031</v>
      </c>
      <c r="BG5" s="0" t="n">
        <f aca="false">YEAR(BG4)</f>
        <v>2031</v>
      </c>
      <c r="BH5" s="0" t="n">
        <f aca="false">YEAR(BH4)</f>
        <v>2031</v>
      </c>
      <c r="BI5" s="0" t="n">
        <f aca="false">YEAR(BI4)</f>
        <v>2031</v>
      </c>
      <c r="BJ5" s="0" t="n">
        <f aca="false">YEAR(BJ4)</f>
        <v>2032</v>
      </c>
    </row>
    <row r="6" customFormat="false" ht="15" hidden="false" customHeight="false" outlineLevel="0" collapsed="false">
      <c r="A6" s="0" t="s">
        <v>12</v>
      </c>
      <c r="B6" s="0" t="n">
        <f aca="false">MIN(Inputs!$B$4,Inputs!$B$6*B$3)</f>
        <v>0</v>
      </c>
      <c r="C6" s="0" t="n">
        <f aca="false">MIN(Inputs!$B$4,Inputs!$B$6*C$3)</f>
        <v>1.5</v>
      </c>
      <c r="D6" s="0" t="n">
        <f aca="false">MIN(Inputs!$B$4,Inputs!$B$6*D$3)</f>
        <v>3</v>
      </c>
      <c r="E6" s="0" t="n">
        <f aca="false">MIN(Inputs!$B$4,Inputs!$B$6*E$3)</f>
        <v>4.5</v>
      </c>
      <c r="F6" s="0" t="n">
        <f aca="false">MIN(Inputs!$B$4,Inputs!$B$6*F$3)</f>
        <v>6</v>
      </c>
      <c r="G6" s="0" t="n">
        <f aca="false">MIN(Inputs!$B$4,Inputs!$B$6*G$3)</f>
        <v>7.5</v>
      </c>
      <c r="H6" s="0" t="n">
        <f aca="false">MIN(Inputs!$B$4,Inputs!$B$6*H$3)</f>
        <v>9</v>
      </c>
      <c r="I6" s="0" t="n">
        <f aca="false">MIN(Inputs!$B$4,Inputs!$B$6*I$3)</f>
        <v>10.5</v>
      </c>
      <c r="J6" s="0" t="n">
        <f aca="false">MIN(Inputs!$B$4,Inputs!$B$6*J$3)</f>
        <v>12</v>
      </c>
      <c r="K6" s="0" t="n">
        <f aca="false">MIN(Inputs!$B$4,Inputs!$B$6*K$3)</f>
        <v>13.5</v>
      </c>
      <c r="L6" s="0" t="n">
        <f aca="false">MIN(Inputs!$B$4,Inputs!$B$6*L$3)</f>
        <v>15</v>
      </c>
      <c r="M6" s="0" t="n">
        <f aca="false">MIN(Inputs!$B$4,Inputs!$B$6*M$3)</f>
        <v>16.5</v>
      </c>
      <c r="N6" s="0" t="n">
        <f aca="false">MIN(Inputs!$B$4,Inputs!$B$6*N$3)</f>
        <v>18</v>
      </c>
      <c r="O6" s="0" t="n">
        <f aca="false">MIN(Inputs!$B$4,Inputs!$B$6*O$3)</f>
        <v>19.5</v>
      </c>
      <c r="P6" s="0" t="n">
        <f aca="false">MIN(Inputs!$B$4,Inputs!$B$6*P$3)</f>
        <v>21</v>
      </c>
      <c r="Q6" s="0" t="n">
        <f aca="false">MIN(Inputs!$B$4,Inputs!$B$6*Q$3)</f>
        <v>22.5</v>
      </c>
      <c r="R6" s="0" t="n">
        <f aca="false">MIN(Inputs!$B$4,Inputs!$B$6*R$3)</f>
        <v>24</v>
      </c>
      <c r="S6" s="0" t="n">
        <f aca="false">MIN(Inputs!$B$4,Inputs!$B$6*S$3)</f>
        <v>24</v>
      </c>
      <c r="T6" s="0" t="n">
        <f aca="false">MIN(Inputs!$B$4,Inputs!$B$6*T$3)</f>
        <v>24</v>
      </c>
      <c r="U6" s="0" t="n">
        <f aca="false">MIN(Inputs!$B$4,Inputs!$B$6*U$3)</f>
        <v>24</v>
      </c>
      <c r="V6" s="0" t="n">
        <f aca="false">MIN(Inputs!$B$4,Inputs!$B$6*V$3)</f>
        <v>24</v>
      </c>
      <c r="W6" s="0" t="n">
        <f aca="false">MIN(Inputs!$B$4,Inputs!$B$6*W$3)</f>
        <v>24</v>
      </c>
      <c r="X6" s="0" t="n">
        <f aca="false">MIN(Inputs!$B$4,Inputs!$B$6*X$3)</f>
        <v>24</v>
      </c>
      <c r="Y6" s="0" t="n">
        <f aca="false">MIN(Inputs!$B$4,Inputs!$B$6*Y$3)</f>
        <v>24</v>
      </c>
      <c r="Z6" s="0" t="n">
        <f aca="false">MIN(Inputs!$B$4,Inputs!$B$6*Z$3)</f>
        <v>24</v>
      </c>
      <c r="AA6" s="0" t="n">
        <f aca="false">MIN(Inputs!$B$4,Inputs!$B$6*AA$3)</f>
        <v>24</v>
      </c>
      <c r="AB6" s="0" t="n">
        <f aca="false">MIN(Inputs!$B$4,Inputs!$B$6*AB$3)</f>
        <v>24</v>
      </c>
      <c r="AC6" s="0" t="n">
        <f aca="false">MIN(Inputs!$B$4,Inputs!$B$6*AC$3)</f>
        <v>24</v>
      </c>
      <c r="AD6" s="0" t="n">
        <f aca="false">MIN(Inputs!$B$4,Inputs!$B$6*AD$3)</f>
        <v>24</v>
      </c>
      <c r="AE6" s="0" t="n">
        <f aca="false">MIN(Inputs!$B$4,Inputs!$B$6*AE$3)</f>
        <v>24</v>
      </c>
      <c r="AF6" s="0" t="n">
        <f aca="false">MIN(Inputs!$B$4,Inputs!$B$6*AF$3)</f>
        <v>24</v>
      </c>
      <c r="AG6" s="0" t="n">
        <f aca="false">MIN(Inputs!$B$4,Inputs!$B$6*AG$3)</f>
        <v>24</v>
      </c>
      <c r="AH6" s="0" t="n">
        <f aca="false">MIN(Inputs!$B$4,Inputs!$B$6*AH$3)</f>
        <v>24</v>
      </c>
      <c r="AI6" s="0" t="n">
        <f aca="false">MIN(Inputs!$B$4,Inputs!$B$6*AI$3)</f>
        <v>24</v>
      </c>
      <c r="AJ6" s="0" t="n">
        <f aca="false">MIN(Inputs!$B$4,Inputs!$B$6*AJ$3)</f>
        <v>24</v>
      </c>
      <c r="AK6" s="0" t="n">
        <f aca="false">MIN(Inputs!$B$4,Inputs!$B$6*AK$3)</f>
        <v>24</v>
      </c>
      <c r="AL6" s="0" t="n">
        <f aca="false">MIN(Inputs!$B$4,Inputs!$B$6*AL$3)</f>
        <v>24</v>
      </c>
      <c r="AM6" s="0" t="n">
        <f aca="false">MIN(Inputs!$B$4,Inputs!$B$6*AM$3)</f>
        <v>24</v>
      </c>
      <c r="AN6" s="0" t="n">
        <f aca="false">MIN(Inputs!$B$4,Inputs!$B$6*AN$3)</f>
        <v>24</v>
      </c>
      <c r="AO6" s="0" t="n">
        <f aca="false">MIN(Inputs!$B$4,Inputs!$B$6*AO$3)</f>
        <v>24</v>
      </c>
      <c r="AP6" s="0" t="n">
        <f aca="false">MIN(Inputs!$B$4,Inputs!$B$6*AP$3)</f>
        <v>24</v>
      </c>
      <c r="AQ6" s="0" t="n">
        <f aca="false">MIN(Inputs!$B$4,Inputs!$B$6*AQ$3)</f>
        <v>24</v>
      </c>
      <c r="AR6" s="0" t="n">
        <f aca="false">MIN(Inputs!$B$4,Inputs!$B$6*AR$3)</f>
        <v>24</v>
      </c>
      <c r="AS6" s="0" t="n">
        <f aca="false">MIN(Inputs!$B$4,Inputs!$B$6*AS$3)</f>
        <v>24</v>
      </c>
      <c r="AT6" s="0" t="n">
        <f aca="false">MIN(Inputs!$B$4,Inputs!$B$6*AT$3)</f>
        <v>24</v>
      </c>
      <c r="AU6" s="0" t="n">
        <f aca="false">MIN(Inputs!$B$4,Inputs!$B$6*AU$3)</f>
        <v>24</v>
      </c>
      <c r="AV6" s="0" t="n">
        <f aca="false">MIN(Inputs!$B$4,Inputs!$B$6*AV$3)</f>
        <v>24</v>
      </c>
      <c r="AW6" s="0" t="n">
        <f aca="false">MIN(Inputs!$B$4,Inputs!$B$6*AW$3)</f>
        <v>24</v>
      </c>
      <c r="AX6" s="0" t="n">
        <f aca="false">MIN(Inputs!$B$4,Inputs!$B$6*AX$3)</f>
        <v>24</v>
      </c>
      <c r="AY6" s="0" t="n">
        <f aca="false">MIN(Inputs!$B$4,Inputs!$B$6*AY$3)</f>
        <v>24</v>
      </c>
      <c r="AZ6" s="0" t="n">
        <f aca="false">MIN(Inputs!$B$4,Inputs!$B$6*AZ$3)</f>
        <v>24</v>
      </c>
      <c r="BA6" s="0" t="n">
        <f aca="false">MIN(Inputs!$B$4,Inputs!$B$6*BA$3)</f>
        <v>24</v>
      </c>
      <c r="BB6" s="0" t="n">
        <f aca="false">MIN(Inputs!$B$4,Inputs!$B$6*BB$3)</f>
        <v>24</v>
      </c>
      <c r="BC6" s="0" t="n">
        <f aca="false">MIN(Inputs!$B$4,Inputs!$B$6*BC$3)</f>
        <v>24</v>
      </c>
      <c r="BD6" s="0" t="n">
        <f aca="false">MIN(Inputs!$B$4,Inputs!$B$6*BD$3)</f>
        <v>24</v>
      </c>
      <c r="BE6" s="0" t="n">
        <f aca="false">MIN(Inputs!$B$4,Inputs!$B$6*BE$3)</f>
        <v>24</v>
      </c>
      <c r="BF6" s="0" t="n">
        <f aca="false">MIN(Inputs!$B$4,Inputs!$B$6*BF$3)</f>
        <v>24</v>
      </c>
      <c r="BG6" s="0" t="n">
        <f aca="false">MIN(Inputs!$B$4,Inputs!$B$6*BG$3)</f>
        <v>24</v>
      </c>
      <c r="BH6" s="0" t="n">
        <f aca="false">MIN(Inputs!$B$4,Inputs!$B$6*BH$3)</f>
        <v>24</v>
      </c>
      <c r="BI6" s="0" t="n">
        <f aca="false">MIN(Inputs!$B$4,Inputs!$B$6*BI$3)</f>
        <v>24</v>
      </c>
      <c r="BJ6" s="0" t="n">
        <f aca="false">MIN(Inputs!$B$4,Inputs!$B$6*BJ$3)</f>
        <v>24</v>
      </c>
    </row>
    <row r="7" customFormat="false" ht="15" hidden="false" customHeight="false" outlineLevel="0" collapsed="false">
      <c r="A7" s="0" t="s">
        <v>13</v>
      </c>
      <c r="B7" s="0" t="n">
        <f aca="false">B6*1000*Inputs!$B$5</f>
        <v>0</v>
      </c>
      <c r="C7" s="0" t="n">
        <f aca="false">C6*1000*Inputs!$B$5</f>
        <v>247500</v>
      </c>
      <c r="D7" s="0" t="n">
        <f aca="false">D6*1000*Inputs!$B$5</f>
        <v>495000</v>
      </c>
      <c r="E7" s="0" t="n">
        <f aca="false">E6*1000*Inputs!$B$5</f>
        <v>742500</v>
      </c>
      <c r="F7" s="0" t="n">
        <f aca="false">F6*1000*Inputs!$B$5</f>
        <v>990000</v>
      </c>
      <c r="G7" s="0" t="n">
        <f aca="false">G6*1000*Inputs!$B$5</f>
        <v>1237500</v>
      </c>
      <c r="H7" s="0" t="n">
        <f aca="false">H6*1000*Inputs!$B$5</f>
        <v>1485000</v>
      </c>
      <c r="I7" s="0" t="n">
        <f aca="false">I6*1000*Inputs!$B$5</f>
        <v>1732500</v>
      </c>
      <c r="J7" s="0" t="n">
        <f aca="false">J6*1000*Inputs!$B$5</f>
        <v>1980000</v>
      </c>
      <c r="K7" s="0" t="n">
        <f aca="false">K6*1000*Inputs!$B$5</f>
        <v>2227500</v>
      </c>
      <c r="L7" s="0" t="n">
        <f aca="false">L6*1000*Inputs!$B$5</f>
        <v>2475000</v>
      </c>
      <c r="M7" s="0" t="n">
        <f aca="false">M6*1000*Inputs!$B$5</f>
        <v>2722500</v>
      </c>
      <c r="N7" s="0" t="n">
        <f aca="false">N6*1000*Inputs!$B$5</f>
        <v>2970000</v>
      </c>
      <c r="O7" s="0" t="n">
        <f aca="false">O6*1000*Inputs!$B$5</f>
        <v>3217500</v>
      </c>
      <c r="P7" s="0" t="n">
        <f aca="false">P6*1000*Inputs!$B$5</f>
        <v>3465000</v>
      </c>
      <c r="Q7" s="0" t="n">
        <f aca="false">Q6*1000*Inputs!$B$5</f>
        <v>3712500</v>
      </c>
      <c r="R7" s="0" t="n">
        <f aca="false">R6*1000*Inputs!$B$5</f>
        <v>3960000</v>
      </c>
      <c r="S7" s="0" t="n">
        <f aca="false">S6*1000*Inputs!$B$5</f>
        <v>3960000</v>
      </c>
      <c r="T7" s="0" t="n">
        <f aca="false">T6*1000*Inputs!$B$5</f>
        <v>3960000</v>
      </c>
      <c r="U7" s="0" t="n">
        <f aca="false">U6*1000*Inputs!$B$5</f>
        <v>3960000</v>
      </c>
      <c r="V7" s="0" t="n">
        <f aca="false">V6*1000*Inputs!$B$5</f>
        <v>3960000</v>
      </c>
      <c r="W7" s="0" t="n">
        <f aca="false">W6*1000*Inputs!$B$5</f>
        <v>3960000</v>
      </c>
      <c r="X7" s="0" t="n">
        <f aca="false">X6*1000*Inputs!$B$5</f>
        <v>3960000</v>
      </c>
      <c r="Y7" s="0" t="n">
        <f aca="false">Y6*1000*Inputs!$B$5</f>
        <v>3960000</v>
      </c>
      <c r="Z7" s="0" t="n">
        <f aca="false">Z6*1000*Inputs!$B$5</f>
        <v>3960000</v>
      </c>
      <c r="AA7" s="0" t="n">
        <f aca="false">AA6*1000*Inputs!$B$5</f>
        <v>3960000</v>
      </c>
      <c r="AB7" s="0" t="n">
        <f aca="false">AB6*1000*Inputs!$B$5</f>
        <v>3960000</v>
      </c>
      <c r="AC7" s="0" t="n">
        <f aca="false">AC6*1000*Inputs!$B$5</f>
        <v>3960000</v>
      </c>
      <c r="AD7" s="0" t="n">
        <f aca="false">AD6*1000*Inputs!$B$5</f>
        <v>3960000</v>
      </c>
      <c r="AE7" s="0" t="n">
        <f aca="false">AE6*1000*Inputs!$B$5</f>
        <v>3960000</v>
      </c>
      <c r="AF7" s="0" t="n">
        <f aca="false">AF6*1000*Inputs!$B$5</f>
        <v>3960000</v>
      </c>
      <c r="AG7" s="0" t="n">
        <f aca="false">AG6*1000*Inputs!$B$5</f>
        <v>3960000</v>
      </c>
      <c r="AH7" s="0" t="n">
        <f aca="false">AH6*1000*Inputs!$B$5</f>
        <v>3960000</v>
      </c>
      <c r="AI7" s="0" t="n">
        <f aca="false">AI6*1000*Inputs!$B$5</f>
        <v>3960000</v>
      </c>
      <c r="AJ7" s="0" t="n">
        <f aca="false">AJ6*1000*Inputs!$B$5</f>
        <v>3960000</v>
      </c>
      <c r="AK7" s="0" t="n">
        <f aca="false">AK6*1000*Inputs!$B$5</f>
        <v>3960000</v>
      </c>
      <c r="AL7" s="0" t="n">
        <f aca="false">AL6*1000*Inputs!$B$5</f>
        <v>3960000</v>
      </c>
      <c r="AM7" s="0" t="n">
        <f aca="false">AM6*1000*Inputs!$B$5</f>
        <v>3960000</v>
      </c>
      <c r="AN7" s="0" t="n">
        <f aca="false">AN6*1000*Inputs!$B$5</f>
        <v>3960000</v>
      </c>
      <c r="AO7" s="0" t="n">
        <f aca="false">AO6*1000*Inputs!$B$5</f>
        <v>3960000</v>
      </c>
      <c r="AP7" s="0" t="n">
        <f aca="false">AP6*1000*Inputs!$B$5</f>
        <v>3960000</v>
      </c>
      <c r="AQ7" s="0" t="n">
        <f aca="false">AQ6*1000*Inputs!$B$5</f>
        <v>3960000</v>
      </c>
      <c r="AR7" s="0" t="n">
        <f aca="false">AR6*1000*Inputs!$B$5</f>
        <v>3960000</v>
      </c>
      <c r="AS7" s="0" t="n">
        <f aca="false">AS6*1000*Inputs!$B$5</f>
        <v>3960000</v>
      </c>
      <c r="AT7" s="0" t="n">
        <f aca="false">AT6*1000*Inputs!$B$5</f>
        <v>3960000</v>
      </c>
      <c r="AU7" s="0" t="n">
        <f aca="false">AU6*1000*Inputs!$B$5</f>
        <v>3960000</v>
      </c>
      <c r="AV7" s="0" t="n">
        <f aca="false">AV6*1000*Inputs!$B$5</f>
        <v>3960000</v>
      </c>
      <c r="AW7" s="0" t="n">
        <f aca="false">AW6*1000*Inputs!$B$5</f>
        <v>3960000</v>
      </c>
      <c r="AX7" s="0" t="n">
        <f aca="false">AX6*1000*Inputs!$B$5</f>
        <v>3960000</v>
      </c>
      <c r="AY7" s="0" t="n">
        <f aca="false">AY6*1000*Inputs!$B$5</f>
        <v>3960000</v>
      </c>
      <c r="AZ7" s="0" t="n">
        <f aca="false">AZ6*1000*Inputs!$B$5</f>
        <v>3960000</v>
      </c>
      <c r="BA7" s="0" t="n">
        <f aca="false">BA6*1000*Inputs!$B$5</f>
        <v>3960000</v>
      </c>
      <c r="BB7" s="0" t="n">
        <f aca="false">BB6*1000*Inputs!$B$5</f>
        <v>3960000</v>
      </c>
      <c r="BC7" s="0" t="n">
        <f aca="false">BC6*1000*Inputs!$B$5</f>
        <v>3960000</v>
      </c>
      <c r="BD7" s="0" t="n">
        <f aca="false">BD6*1000*Inputs!$B$5</f>
        <v>3960000</v>
      </c>
      <c r="BE7" s="0" t="n">
        <f aca="false">BE6*1000*Inputs!$B$5</f>
        <v>3960000</v>
      </c>
      <c r="BF7" s="0" t="n">
        <f aca="false">BF6*1000*Inputs!$B$5</f>
        <v>3960000</v>
      </c>
      <c r="BG7" s="0" t="n">
        <f aca="false">BG6*1000*Inputs!$B$5</f>
        <v>3960000</v>
      </c>
      <c r="BH7" s="0" t="n">
        <f aca="false">BH6*1000*Inputs!$B$5</f>
        <v>3960000</v>
      </c>
      <c r="BI7" s="0" t="n">
        <f aca="false">BI6*1000*Inputs!$B$5</f>
        <v>3960000</v>
      </c>
      <c r="BJ7" s="0" t="n">
        <f aca="false">BJ6*1000*Inputs!$B$5</f>
        <v>3960000</v>
      </c>
    </row>
    <row r="8" customFormat="false" ht="15" hidden="false" customHeight="false" outlineLevel="0" collapsed="false">
      <c r="A8" s="0" t="s">
        <v>14</v>
      </c>
      <c r="B8" s="0" t="n">
        <f aca="false">-B6*1000*Inputs!$B$8</f>
        <v>-0</v>
      </c>
      <c r="C8" s="0" t="n">
        <f aca="false">-C6*1000*Inputs!$B$8</f>
        <v>-33000</v>
      </c>
      <c r="D8" s="0" t="n">
        <f aca="false">-D6*1000*Inputs!$B$8</f>
        <v>-66000</v>
      </c>
      <c r="E8" s="0" t="n">
        <f aca="false">-E6*1000*Inputs!$B$8</f>
        <v>-99000</v>
      </c>
      <c r="F8" s="0" t="n">
        <f aca="false">-F6*1000*Inputs!$B$8</f>
        <v>-132000</v>
      </c>
      <c r="G8" s="0" t="n">
        <f aca="false">-G6*1000*Inputs!$B$8</f>
        <v>-165000</v>
      </c>
      <c r="H8" s="0" t="n">
        <f aca="false">-H6*1000*Inputs!$B$8</f>
        <v>-198000</v>
      </c>
      <c r="I8" s="0" t="n">
        <f aca="false">-I6*1000*Inputs!$B$8</f>
        <v>-231000</v>
      </c>
      <c r="J8" s="0" t="n">
        <f aca="false">-J6*1000*Inputs!$B$8</f>
        <v>-264000</v>
      </c>
      <c r="K8" s="0" t="n">
        <f aca="false">-K6*1000*Inputs!$B$8</f>
        <v>-297000</v>
      </c>
      <c r="L8" s="0" t="n">
        <f aca="false">-L6*1000*Inputs!$B$8</f>
        <v>-330000</v>
      </c>
      <c r="M8" s="0" t="n">
        <f aca="false">-M6*1000*Inputs!$B$8</f>
        <v>-363000</v>
      </c>
      <c r="N8" s="0" t="n">
        <f aca="false">-N6*1000*Inputs!$B$8</f>
        <v>-396000</v>
      </c>
      <c r="O8" s="0" t="n">
        <f aca="false">-O6*1000*Inputs!$B$8</f>
        <v>-429000</v>
      </c>
      <c r="P8" s="0" t="n">
        <f aca="false">-P6*1000*Inputs!$B$8</f>
        <v>-462000</v>
      </c>
      <c r="Q8" s="0" t="n">
        <f aca="false">-Q6*1000*Inputs!$B$8</f>
        <v>-495000</v>
      </c>
      <c r="R8" s="0" t="n">
        <f aca="false">-R6*1000*Inputs!$B$8</f>
        <v>-528000</v>
      </c>
      <c r="S8" s="0" t="n">
        <f aca="false">-S6*1000*Inputs!$B$8</f>
        <v>-528000</v>
      </c>
      <c r="T8" s="0" t="n">
        <f aca="false">-T6*1000*Inputs!$B$8</f>
        <v>-528000</v>
      </c>
      <c r="U8" s="0" t="n">
        <f aca="false">-U6*1000*Inputs!$B$8</f>
        <v>-528000</v>
      </c>
      <c r="V8" s="0" t="n">
        <f aca="false">-V6*1000*Inputs!$B$8</f>
        <v>-528000</v>
      </c>
      <c r="W8" s="0" t="n">
        <f aca="false">-W6*1000*Inputs!$B$8</f>
        <v>-528000</v>
      </c>
      <c r="X8" s="0" t="n">
        <f aca="false">-X6*1000*Inputs!$B$8</f>
        <v>-528000</v>
      </c>
      <c r="Y8" s="0" t="n">
        <f aca="false">-Y6*1000*Inputs!$B$8</f>
        <v>-528000</v>
      </c>
      <c r="Z8" s="0" t="n">
        <f aca="false">-Z6*1000*Inputs!$B$8</f>
        <v>-528000</v>
      </c>
      <c r="AA8" s="0" t="n">
        <f aca="false">-AA6*1000*Inputs!$B$8</f>
        <v>-528000</v>
      </c>
      <c r="AB8" s="0" t="n">
        <f aca="false">-AB6*1000*Inputs!$B$8</f>
        <v>-528000</v>
      </c>
      <c r="AC8" s="0" t="n">
        <f aca="false">-AC6*1000*Inputs!$B$8</f>
        <v>-528000</v>
      </c>
      <c r="AD8" s="0" t="n">
        <f aca="false">-AD6*1000*Inputs!$B$8</f>
        <v>-528000</v>
      </c>
      <c r="AE8" s="0" t="n">
        <f aca="false">-AE6*1000*Inputs!$B$8</f>
        <v>-528000</v>
      </c>
      <c r="AF8" s="0" t="n">
        <f aca="false">-AF6*1000*Inputs!$B$8</f>
        <v>-528000</v>
      </c>
      <c r="AG8" s="0" t="n">
        <f aca="false">-AG6*1000*Inputs!$B$8</f>
        <v>-528000</v>
      </c>
      <c r="AH8" s="0" t="n">
        <f aca="false">-AH6*1000*Inputs!$B$8</f>
        <v>-528000</v>
      </c>
      <c r="AI8" s="0" t="n">
        <f aca="false">-AI6*1000*Inputs!$B$8</f>
        <v>-528000</v>
      </c>
      <c r="AJ8" s="0" t="n">
        <f aca="false">-AJ6*1000*Inputs!$B$8</f>
        <v>-528000</v>
      </c>
      <c r="AK8" s="0" t="n">
        <f aca="false">-AK6*1000*Inputs!$B$8</f>
        <v>-528000</v>
      </c>
      <c r="AL8" s="0" t="n">
        <f aca="false">-AL6*1000*Inputs!$B$8</f>
        <v>-528000</v>
      </c>
      <c r="AM8" s="0" t="n">
        <f aca="false">-AM6*1000*Inputs!$B$8</f>
        <v>-528000</v>
      </c>
      <c r="AN8" s="0" t="n">
        <f aca="false">-AN6*1000*Inputs!$B$8</f>
        <v>-528000</v>
      </c>
      <c r="AO8" s="0" t="n">
        <f aca="false">-AO6*1000*Inputs!$B$8</f>
        <v>-528000</v>
      </c>
      <c r="AP8" s="0" t="n">
        <f aca="false">-AP6*1000*Inputs!$B$8</f>
        <v>-528000</v>
      </c>
      <c r="AQ8" s="0" t="n">
        <f aca="false">-AQ6*1000*Inputs!$B$8</f>
        <v>-528000</v>
      </c>
      <c r="AR8" s="0" t="n">
        <f aca="false">-AR6*1000*Inputs!$B$8</f>
        <v>-528000</v>
      </c>
      <c r="AS8" s="0" t="n">
        <f aca="false">-AS6*1000*Inputs!$B$8</f>
        <v>-528000</v>
      </c>
      <c r="AT8" s="0" t="n">
        <f aca="false">-AT6*1000*Inputs!$B$8</f>
        <v>-528000</v>
      </c>
      <c r="AU8" s="0" t="n">
        <f aca="false">-AU6*1000*Inputs!$B$8</f>
        <v>-528000</v>
      </c>
      <c r="AV8" s="0" t="n">
        <f aca="false">-AV6*1000*Inputs!$B$8</f>
        <v>-528000</v>
      </c>
      <c r="AW8" s="0" t="n">
        <f aca="false">-AW6*1000*Inputs!$B$8</f>
        <v>-528000</v>
      </c>
      <c r="AX8" s="0" t="n">
        <f aca="false">-AX6*1000*Inputs!$B$8</f>
        <v>-528000</v>
      </c>
      <c r="AY8" s="0" t="n">
        <f aca="false">-AY6*1000*Inputs!$B$8</f>
        <v>-528000</v>
      </c>
      <c r="AZ8" s="0" t="n">
        <f aca="false">-AZ6*1000*Inputs!$B$8</f>
        <v>-528000</v>
      </c>
      <c r="BA8" s="0" t="n">
        <f aca="false">-BA6*1000*Inputs!$B$8</f>
        <v>-528000</v>
      </c>
      <c r="BB8" s="0" t="n">
        <f aca="false">-BB6*1000*Inputs!$B$8</f>
        <v>-528000</v>
      </c>
      <c r="BC8" s="0" t="n">
        <f aca="false">-BC6*1000*Inputs!$B$8</f>
        <v>-528000</v>
      </c>
      <c r="BD8" s="0" t="n">
        <f aca="false">-BD6*1000*Inputs!$B$8</f>
        <v>-528000</v>
      </c>
      <c r="BE8" s="0" t="n">
        <f aca="false">-BE6*1000*Inputs!$B$8</f>
        <v>-528000</v>
      </c>
      <c r="BF8" s="0" t="n">
        <f aca="false">-BF6*1000*Inputs!$B$8</f>
        <v>-528000</v>
      </c>
      <c r="BG8" s="0" t="n">
        <f aca="false">-BG6*1000*Inputs!$B$8</f>
        <v>-528000</v>
      </c>
      <c r="BH8" s="0" t="n">
        <f aca="false">-BH6*1000*Inputs!$B$8</f>
        <v>-528000</v>
      </c>
      <c r="BI8" s="0" t="n">
        <f aca="false">-BI6*1000*Inputs!$B$8</f>
        <v>-528000</v>
      </c>
      <c r="BJ8" s="0" t="n">
        <f aca="false">-BJ6*1000*Inputs!$B$8</f>
        <v>-528000</v>
      </c>
    </row>
    <row r="9" customFormat="false" ht="15" hidden="false" customHeight="false" outlineLevel="0" collapsed="false">
      <c r="A9" s="0" t="s">
        <v>15</v>
      </c>
      <c r="B9" s="0" t="n">
        <f aca="false">IF(B$3=0,-Inputs!$B$4*Inputs!$B$7*1000000,0)</f>
        <v>-276000000</v>
      </c>
      <c r="C9" s="0" t="n">
        <f aca="false">IF(C$3=0,-Inputs!$B$4*Inputs!$B$7*1000000,0)</f>
        <v>0</v>
      </c>
      <c r="D9" s="0" t="n">
        <f aca="false">IF(D$3=0,-Inputs!$B$4*Inputs!$B$7*1000000,0)</f>
        <v>0</v>
      </c>
      <c r="E9" s="0" t="n">
        <f aca="false">IF(E$3=0,-Inputs!$B$4*Inputs!$B$7*1000000,0)</f>
        <v>0</v>
      </c>
      <c r="F9" s="0" t="n">
        <f aca="false">IF(F$3=0,-Inputs!$B$4*Inputs!$B$7*1000000,0)</f>
        <v>0</v>
      </c>
      <c r="G9" s="0" t="n">
        <f aca="false">IF(G$3=0,-Inputs!$B$4*Inputs!$B$7*1000000,0)</f>
        <v>0</v>
      </c>
      <c r="H9" s="0" t="n">
        <f aca="false">IF(H$3=0,-Inputs!$B$4*Inputs!$B$7*1000000,0)</f>
        <v>0</v>
      </c>
      <c r="I9" s="0" t="n">
        <f aca="false">IF(I$3=0,-Inputs!$B$4*Inputs!$B$7*1000000,0)</f>
        <v>0</v>
      </c>
      <c r="J9" s="0" t="n">
        <f aca="false">IF(J$3=0,-Inputs!$B$4*Inputs!$B$7*1000000,0)</f>
        <v>0</v>
      </c>
      <c r="K9" s="0" t="n">
        <f aca="false">IF(K$3=0,-Inputs!$B$4*Inputs!$B$7*1000000,0)</f>
        <v>0</v>
      </c>
      <c r="L9" s="0" t="n">
        <f aca="false">IF(L$3=0,-Inputs!$B$4*Inputs!$B$7*1000000,0)</f>
        <v>0</v>
      </c>
      <c r="M9" s="0" t="n">
        <f aca="false">IF(M$3=0,-Inputs!$B$4*Inputs!$B$7*1000000,0)</f>
        <v>0</v>
      </c>
      <c r="N9" s="0" t="n">
        <f aca="false">IF(N$3=0,-Inputs!$B$4*Inputs!$B$7*1000000,0)</f>
        <v>0</v>
      </c>
      <c r="O9" s="0" t="n">
        <f aca="false">IF(O$3=0,-Inputs!$B$4*Inputs!$B$7*1000000,0)</f>
        <v>0</v>
      </c>
      <c r="P9" s="0" t="n">
        <f aca="false">IF(P$3=0,-Inputs!$B$4*Inputs!$B$7*1000000,0)</f>
        <v>0</v>
      </c>
      <c r="Q9" s="0" t="n">
        <f aca="false">IF(Q$3=0,-Inputs!$B$4*Inputs!$B$7*1000000,0)</f>
        <v>0</v>
      </c>
      <c r="R9" s="0" t="n">
        <f aca="false">IF(R$3=0,-Inputs!$B$4*Inputs!$B$7*1000000,0)</f>
        <v>0</v>
      </c>
      <c r="S9" s="0" t="n">
        <f aca="false">IF(S$3=0,-Inputs!$B$4*Inputs!$B$7*1000000,0)</f>
        <v>0</v>
      </c>
      <c r="T9" s="0" t="n">
        <f aca="false">IF(T$3=0,-Inputs!$B$4*Inputs!$B$7*1000000,0)</f>
        <v>0</v>
      </c>
      <c r="U9" s="0" t="n">
        <f aca="false">IF(U$3=0,-Inputs!$B$4*Inputs!$B$7*1000000,0)</f>
        <v>0</v>
      </c>
      <c r="V9" s="0" t="n">
        <f aca="false">IF(V$3=0,-Inputs!$B$4*Inputs!$B$7*1000000,0)</f>
        <v>0</v>
      </c>
      <c r="W9" s="0" t="n">
        <f aca="false">IF(W$3=0,-Inputs!$B$4*Inputs!$B$7*1000000,0)</f>
        <v>0</v>
      </c>
      <c r="X9" s="0" t="n">
        <f aca="false">IF(X$3=0,-Inputs!$B$4*Inputs!$B$7*1000000,0)</f>
        <v>0</v>
      </c>
      <c r="Y9" s="0" t="n">
        <f aca="false">IF(Y$3=0,-Inputs!$B$4*Inputs!$B$7*1000000,0)</f>
        <v>0</v>
      </c>
      <c r="Z9" s="0" t="n">
        <f aca="false">IF(Z$3=0,-Inputs!$B$4*Inputs!$B$7*1000000,0)</f>
        <v>0</v>
      </c>
      <c r="AA9" s="0" t="n">
        <f aca="false">IF(AA$3=0,-Inputs!$B$4*Inputs!$B$7*1000000,0)</f>
        <v>0</v>
      </c>
      <c r="AB9" s="0" t="n">
        <f aca="false">IF(AB$3=0,-Inputs!$B$4*Inputs!$B$7*1000000,0)</f>
        <v>0</v>
      </c>
      <c r="AC9" s="0" t="n">
        <f aca="false">IF(AC$3=0,-Inputs!$B$4*Inputs!$B$7*1000000,0)</f>
        <v>0</v>
      </c>
      <c r="AD9" s="0" t="n">
        <f aca="false">IF(AD$3=0,-Inputs!$B$4*Inputs!$B$7*1000000,0)</f>
        <v>0</v>
      </c>
      <c r="AE9" s="0" t="n">
        <f aca="false">IF(AE$3=0,-Inputs!$B$4*Inputs!$B$7*1000000,0)</f>
        <v>0</v>
      </c>
      <c r="AF9" s="0" t="n">
        <f aca="false">IF(AF$3=0,-Inputs!$B$4*Inputs!$B$7*1000000,0)</f>
        <v>0</v>
      </c>
      <c r="AG9" s="0" t="n">
        <f aca="false">IF(AG$3=0,-Inputs!$B$4*Inputs!$B$7*1000000,0)</f>
        <v>0</v>
      </c>
      <c r="AH9" s="0" t="n">
        <f aca="false">IF(AH$3=0,-Inputs!$B$4*Inputs!$B$7*1000000,0)</f>
        <v>0</v>
      </c>
      <c r="AI9" s="0" t="n">
        <f aca="false">IF(AI$3=0,-Inputs!$B$4*Inputs!$B$7*1000000,0)</f>
        <v>0</v>
      </c>
      <c r="AJ9" s="0" t="n">
        <f aca="false">IF(AJ$3=0,-Inputs!$B$4*Inputs!$B$7*1000000,0)</f>
        <v>0</v>
      </c>
      <c r="AK9" s="0" t="n">
        <f aca="false">IF(AK$3=0,-Inputs!$B$4*Inputs!$B$7*1000000,0)</f>
        <v>0</v>
      </c>
      <c r="AL9" s="0" t="n">
        <f aca="false">IF(AL$3=0,-Inputs!$B$4*Inputs!$B$7*1000000,0)</f>
        <v>0</v>
      </c>
      <c r="AM9" s="0" t="n">
        <f aca="false">IF(AM$3=0,-Inputs!$B$4*Inputs!$B$7*1000000,0)</f>
        <v>0</v>
      </c>
      <c r="AN9" s="0" t="n">
        <f aca="false">IF(AN$3=0,-Inputs!$B$4*Inputs!$B$7*1000000,0)</f>
        <v>0</v>
      </c>
      <c r="AO9" s="0" t="n">
        <f aca="false">IF(AO$3=0,-Inputs!$B$4*Inputs!$B$7*1000000,0)</f>
        <v>0</v>
      </c>
      <c r="AP9" s="0" t="n">
        <f aca="false">IF(AP$3=0,-Inputs!$B$4*Inputs!$B$7*1000000,0)</f>
        <v>0</v>
      </c>
      <c r="AQ9" s="0" t="n">
        <f aca="false">IF(AQ$3=0,-Inputs!$B$4*Inputs!$B$7*1000000,0)</f>
        <v>0</v>
      </c>
      <c r="AR9" s="0" t="n">
        <f aca="false">IF(AR$3=0,-Inputs!$B$4*Inputs!$B$7*1000000,0)</f>
        <v>0</v>
      </c>
      <c r="AS9" s="0" t="n">
        <f aca="false">IF(AS$3=0,-Inputs!$B$4*Inputs!$B$7*1000000,0)</f>
        <v>0</v>
      </c>
      <c r="AT9" s="0" t="n">
        <f aca="false">IF(AT$3=0,-Inputs!$B$4*Inputs!$B$7*1000000,0)</f>
        <v>0</v>
      </c>
      <c r="AU9" s="0" t="n">
        <f aca="false">IF(AU$3=0,-Inputs!$B$4*Inputs!$B$7*1000000,0)</f>
        <v>0</v>
      </c>
      <c r="AV9" s="0" t="n">
        <f aca="false">IF(AV$3=0,-Inputs!$B$4*Inputs!$B$7*1000000,0)</f>
        <v>0</v>
      </c>
      <c r="AW9" s="0" t="n">
        <f aca="false">IF(AW$3=0,-Inputs!$B$4*Inputs!$B$7*1000000,0)</f>
        <v>0</v>
      </c>
      <c r="AX9" s="0" t="n">
        <f aca="false">IF(AX$3=0,-Inputs!$B$4*Inputs!$B$7*1000000,0)</f>
        <v>0</v>
      </c>
      <c r="AY9" s="0" t="n">
        <f aca="false">IF(AY$3=0,-Inputs!$B$4*Inputs!$B$7*1000000,0)</f>
        <v>0</v>
      </c>
      <c r="AZ9" s="0" t="n">
        <f aca="false">IF(AZ$3=0,-Inputs!$B$4*Inputs!$B$7*1000000,0)</f>
        <v>0</v>
      </c>
      <c r="BA9" s="0" t="n">
        <f aca="false">IF(BA$3=0,-Inputs!$B$4*Inputs!$B$7*1000000,0)</f>
        <v>0</v>
      </c>
      <c r="BB9" s="0" t="n">
        <f aca="false">IF(BB$3=0,-Inputs!$B$4*Inputs!$B$7*1000000,0)</f>
        <v>0</v>
      </c>
      <c r="BC9" s="0" t="n">
        <f aca="false">IF(BC$3=0,-Inputs!$B$4*Inputs!$B$7*1000000,0)</f>
        <v>0</v>
      </c>
      <c r="BD9" s="0" t="n">
        <f aca="false">IF(BD$3=0,-Inputs!$B$4*Inputs!$B$7*1000000,0)</f>
        <v>0</v>
      </c>
      <c r="BE9" s="0" t="n">
        <f aca="false">IF(BE$3=0,-Inputs!$B$4*Inputs!$B$7*1000000,0)</f>
        <v>0</v>
      </c>
      <c r="BF9" s="0" t="n">
        <f aca="false">IF(BF$3=0,-Inputs!$B$4*Inputs!$B$7*1000000,0)</f>
        <v>0</v>
      </c>
      <c r="BG9" s="0" t="n">
        <f aca="false">IF(BG$3=0,-Inputs!$B$4*Inputs!$B$7*1000000,0)</f>
        <v>0</v>
      </c>
      <c r="BH9" s="0" t="n">
        <f aca="false">IF(BH$3=0,-Inputs!$B$4*Inputs!$B$7*1000000,0)</f>
        <v>0</v>
      </c>
      <c r="BI9" s="0" t="n">
        <f aca="false">IF(BI$3=0,-Inputs!$B$4*Inputs!$B$7*1000000,0)</f>
        <v>0</v>
      </c>
      <c r="BJ9" s="0" t="n">
        <f aca="false">IF(BJ$3=0,-Inputs!$B$4*Inputs!$B$7*1000000,0)</f>
        <v>0</v>
      </c>
    </row>
    <row r="10" customFormat="false" ht="15" hidden="false" customHeight="false" outlineLevel="0" collapsed="false">
      <c r="A10" s="0" t="s">
        <v>16</v>
      </c>
      <c r="B10" s="0" t="n">
        <f aca="false">IF(B$3=Inputs!$B$10,(B7+B8)*12*Inputs!$B$9,0)</f>
        <v>0</v>
      </c>
      <c r="C10" s="0" t="n">
        <f aca="false">IF(C$3=Inputs!$B$10,(C7+C8)*12*Inputs!$B$9,0)</f>
        <v>0</v>
      </c>
      <c r="D10" s="0" t="n">
        <f aca="false">IF(D$3=Inputs!$B$10,(D7+D8)*12*Inputs!$B$9,0)</f>
        <v>0</v>
      </c>
      <c r="E10" s="0" t="n">
        <f aca="false">IF(E$3=Inputs!$B$10,(E7+E8)*12*Inputs!$B$9,0)</f>
        <v>0</v>
      </c>
      <c r="F10" s="0" t="n">
        <f aca="false">IF(F$3=Inputs!$B$10,(F7+F8)*12*Inputs!$B$9,0)</f>
        <v>0</v>
      </c>
      <c r="G10" s="0" t="n">
        <f aca="false">IF(G$3=Inputs!$B$10,(G7+G8)*12*Inputs!$B$9,0)</f>
        <v>0</v>
      </c>
      <c r="H10" s="0" t="n">
        <f aca="false">IF(H$3=Inputs!$B$10,(H7+H8)*12*Inputs!$B$9,0)</f>
        <v>0</v>
      </c>
      <c r="I10" s="0" t="n">
        <f aca="false">IF(I$3=Inputs!$B$10,(I7+I8)*12*Inputs!$B$9,0)</f>
        <v>0</v>
      </c>
      <c r="J10" s="0" t="n">
        <f aca="false">IF(J$3=Inputs!$B$10,(J7+J8)*12*Inputs!$B$9,0)</f>
        <v>0</v>
      </c>
      <c r="K10" s="0" t="n">
        <f aca="false">IF(K$3=Inputs!$B$10,(K7+K8)*12*Inputs!$B$9,0)</f>
        <v>0</v>
      </c>
      <c r="L10" s="0" t="n">
        <f aca="false">IF(L$3=Inputs!$B$10,(L7+L8)*12*Inputs!$B$9,0)</f>
        <v>0</v>
      </c>
      <c r="M10" s="0" t="n">
        <f aca="false">IF(M$3=Inputs!$B$10,(M7+M8)*12*Inputs!$B$9,0)</f>
        <v>0</v>
      </c>
      <c r="N10" s="0" t="n">
        <f aca="false">IF(N$3=Inputs!$B$10,(N7+N8)*12*Inputs!$B$9,0)</f>
        <v>0</v>
      </c>
      <c r="O10" s="0" t="n">
        <f aca="false">IF(O$3=Inputs!$B$10,(O7+O8)*12*Inputs!$B$9,0)</f>
        <v>0</v>
      </c>
      <c r="P10" s="0" t="n">
        <f aca="false">IF(P$3=Inputs!$B$10,(P7+P8)*12*Inputs!$B$9,0)</f>
        <v>0</v>
      </c>
      <c r="Q10" s="0" t="n">
        <f aca="false">IF(Q$3=Inputs!$B$10,(Q7+Q8)*12*Inputs!$B$9,0)</f>
        <v>0</v>
      </c>
      <c r="R10" s="0" t="n">
        <f aca="false">IF(R$3=Inputs!$B$10,(R7+R8)*12*Inputs!$B$9,0)</f>
        <v>0</v>
      </c>
      <c r="S10" s="0" t="n">
        <f aca="false">IF(S$3=Inputs!$B$10,(S7+S8)*12*Inputs!$B$9,0)</f>
        <v>0</v>
      </c>
      <c r="T10" s="0" t="n">
        <f aca="false">IF(T$3=Inputs!$B$10,(T7+T8)*12*Inputs!$B$9,0)</f>
        <v>0</v>
      </c>
      <c r="U10" s="0" t="n">
        <f aca="false">IF(U$3=Inputs!$B$10,(U7+U8)*12*Inputs!$B$9,0)</f>
        <v>0</v>
      </c>
      <c r="V10" s="0" t="n">
        <f aca="false">IF(V$3=Inputs!$B$10,(V7+V8)*12*Inputs!$B$9,0)</f>
        <v>0</v>
      </c>
      <c r="W10" s="0" t="n">
        <f aca="false">IF(W$3=Inputs!$B$10,(W7+W8)*12*Inputs!$B$9,0)</f>
        <v>0</v>
      </c>
      <c r="X10" s="0" t="n">
        <f aca="false">IF(X$3=Inputs!$B$10,(X7+X8)*12*Inputs!$B$9,0)</f>
        <v>0</v>
      </c>
      <c r="Y10" s="0" t="n">
        <f aca="false">IF(Y$3=Inputs!$B$10,(Y7+Y8)*12*Inputs!$B$9,0)</f>
        <v>0</v>
      </c>
      <c r="Z10" s="0" t="n">
        <f aca="false">IF(Z$3=Inputs!$B$10,(Z7+Z8)*12*Inputs!$B$9,0)</f>
        <v>0</v>
      </c>
      <c r="AA10" s="0" t="n">
        <f aca="false">IF(AA$3=Inputs!$B$10,(AA7+AA8)*12*Inputs!$B$9,0)</f>
        <v>0</v>
      </c>
      <c r="AB10" s="0" t="n">
        <f aca="false">IF(AB$3=Inputs!$B$10,(AB7+AB8)*12*Inputs!$B$9,0)</f>
        <v>0</v>
      </c>
      <c r="AC10" s="0" t="n">
        <f aca="false">IF(AC$3=Inputs!$B$10,(AC7+AC8)*12*Inputs!$B$9,0)</f>
        <v>0</v>
      </c>
      <c r="AD10" s="0" t="n">
        <f aca="false">IF(AD$3=Inputs!$B$10,(AD7+AD8)*12*Inputs!$B$9,0)</f>
        <v>0</v>
      </c>
      <c r="AE10" s="0" t="n">
        <f aca="false">IF(AE$3=Inputs!$B$10,(AE7+AE8)*12*Inputs!$B$9,0)</f>
        <v>0</v>
      </c>
      <c r="AF10" s="0" t="n">
        <f aca="false">IF(AF$3=Inputs!$B$10,(AF7+AF8)*12*Inputs!$B$9,0)</f>
        <v>0</v>
      </c>
      <c r="AG10" s="0" t="n">
        <f aca="false">IF(AG$3=Inputs!$B$10,(AG7+AG8)*12*Inputs!$B$9,0)</f>
        <v>0</v>
      </c>
      <c r="AH10" s="0" t="n">
        <f aca="false">IF(AH$3=Inputs!$B$10,(AH7+AH8)*12*Inputs!$B$9,0)</f>
        <v>0</v>
      </c>
      <c r="AI10" s="0" t="n">
        <f aca="false">IF(AI$3=Inputs!$B$10,(AI7+AI8)*12*Inputs!$B$9,0)</f>
        <v>0</v>
      </c>
      <c r="AJ10" s="0" t="n">
        <f aca="false">IF(AJ$3=Inputs!$B$10,(AJ7+AJ8)*12*Inputs!$B$9,0)</f>
        <v>0</v>
      </c>
      <c r="AK10" s="0" t="n">
        <f aca="false">IF(AK$3=Inputs!$B$10,(AK7+AK8)*12*Inputs!$B$9,0)</f>
        <v>0</v>
      </c>
      <c r="AL10" s="0" t="n">
        <f aca="false">IF(AL$3=Inputs!$B$10,(AL7+AL8)*12*Inputs!$B$9,0)</f>
        <v>0</v>
      </c>
      <c r="AM10" s="0" t="n">
        <f aca="false">IF(AM$3=Inputs!$B$10,(AM7+AM8)*12*Inputs!$B$9,0)</f>
        <v>0</v>
      </c>
      <c r="AN10" s="0" t="n">
        <f aca="false">IF(AN$3=Inputs!$B$10,(AN7+AN8)*12*Inputs!$B$9,0)</f>
        <v>0</v>
      </c>
      <c r="AO10" s="0" t="n">
        <f aca="false">IF(AO$3=Inputs!$B$10,(AO7+AO8)*12*Inputs!$B$9,0)</f>
        <v>0</v>
      </c>
      <c r="AP10" s="0" t="n">
        <f aca="false">IF(AP$3=Inputs!$B$10,(AP7+AP8)*12*Inputs!$B$9,0)</f>
        <v>0</v>
      </c>
      <c r="AQ10" s="0" t="n">
        <f aca="false">IF(AQ$3=Inputs!$B$10,(AQ7+AQ8)*12*Inputs!$B$9,0)</f>
        <v>0</v>
      </c>
      <c r="AR10" s="0" t="n">
        <f aca="false">IF(AR$3=Inputs!$B$10,(AR7+AR8)*12*Inputs!$B$9,0)</f>
        <v>0</v>
      </c>
      <c r="AS10" s="0" t="n">
        <f aca="false">IF(AS$3=Inputs!$B$10,(AS7+AS8)*12*Inputs!$B$9,0)</f>
        <v>0</v>
      </c>
      <c r="AT10" s="0" t="n">
        <f aca="false">IF(AT$3=Inputs!$B$10,(AT7+AT8)*12*Inputs!$B$9,0)</f>
        <v>0</v>
      </c>
      <c r="AU10" s="0" t="n">
        <f aca="false">IF(AU$3=Inputs!$B$10,(AU7+AU8)*12*Inputs!$B$9,0)</f>
        <v>0</v>
      </c>
      <c r="AV10" s="0" t="n">
        <f aca="false">IF(AV$3=Inputs!$B$10,(AV7+AV8)*12*Inputs!$B$9,0)</f>
        <v>0</v>
      </c>
      <c r="AW10" s="0" t="n">
        <f aca="false">IF(AW$3=Inputs!$B$10,(AW7+AW8)*12*Inputs!$B$9,0)</f>
        <v>0</v>
      </c>
      <c r="AX10" s="0" t="n">
        <f aca="false">IF(AX$3=Inputs!$B$10,(AX7+AX8)*12*Inputs!$B$9,0)</f>
        <v>0</v>
      </c>
      <c r="AY10" s="0" t="n">
        <f aca="false">IF(AY$3=Inputs!$B$10,(AY7+AY8)*12*Inputs!$B$9,0)</f>
        <v>0</v>
      </c>
      <c r="AZ10" s="0" t="n">
        <f aca="false">IF(AZ$3=Inputs!$B$10,(AZ7+AZ8)*12*Inputs!$B$9,0)</f>
        <v>0</v>
      </c>
      <c r="BA10" s="0" t="n">
        <f aca="false">IF(BA$3=Inputs!$B$10,(BA7+BA8)*12*Inputs!$B$9,0)</f>
        <v>0</v>
      </c>
      <c r="BB10" s="0" t="n">
        <f aca="false">IF(BB$3=Inputs!$B$10,(BB7+BB8)*12*Inputs!$B$9,0)</f>
        <v>0</v>
      </c>
      <c r="BC10" s="0" t="n">
        <f aca="false">IF(BC$3=Inputs!$B$10,(BC7+BC8)*12*Inputs!$B$9,0)</f>
        <v>0</v>
      </c>
      <c r="BD10" s="0" t="n">
        <f aca="false">IF(BD$3=Inputs!$B$10,(BD7+BD8)*12*Inputs!$B$9,0)</f>
        <v>0</v>
      </c>
      <c r="BE10" s="0" t="n">
        <f aca="false">IF(BE$3=Inputs!$B$10,(BE7+BE8)*12*Inputs!$B$9,0)</f>
        <v>0</v>
      </c>
      <c r="BF10" s="0" t="n">
        <f aca="false">IF(BF$3=Inputs!$B$10,(BF7+BF8)*12*Inputs!$B$9,0)</f>
        <v>0</v>
      </c>
      <c r="BG10" s="0" t="n">
        <f aca="false">IF(BG$3=Inputs!$B$10,(BG7+BG8)*12*Inputs!$B$9,0)</f>
        <v>0</v>
      </c>
      <c r="BH10" s="0" t="n">
        <f aca="false">IF(BH$3=Inputs!$B$10,(BH7+BH8)*12*Inputs!$B$9,0)</f>
        <v>0</v>
      </c>
      <c r="BI10" s="0" t="n">
        <f aca="false">IF(BI$3=Inputs!$B$10,(BI7+BI8)*12*Inputs!$B$9,0)</f>
        <v>0</v>
      </c>
      <c r="BJ10" s="0" t="n">
        <f aca="false">IF(BJ$3=Inputs!$B$10,(BJ7+BJ8)*12*Inputs!$B$9,0)</f>
        <v>741312000</v>
      </c>
    </row>
    <row r="11" customFormat="false" ht="15" hidden="false" customHeight="false" outlineLevel="0" collapsed="false">
      <c r="A11" s="0" t="s">
        <v>17</v>
      </c>
      <c r="B11" s="0" t="n">
        <f aca="false">SUM(B7:B10)</f>
        <v>-276000000</v>
      </c>
      <c r="C11" s="0" t="n">
        <f aca="false">SUM(C7:C10)</f>
        <v>214500</v>
      </c>
      <c r="D11" s="0" t="n">
        <f aca="false">SUM(D7:D10)</f>
        <v>429000</v>
      </c>
      <c r="E11" s="0" t="n">
        <f aca="false">SUM(E7:E10)</f>
        <v>643500</v>
      </c>
      <c r="F11" s="0" t="n">
        <f aca="false">SUM(F7:F10)</f>
        <v>858000</v>
      </c>
      <c r="G11" s="0" t="n">
        <f aca="false">SUM(G7:G10)</f>
        <v>1072500</v>
      </c>
      <c r="H11" s="0" t="n">
        <f aca="false">SUM(H7:H10)</f>
        <v>1287000</v>
      </c>
      <c r="I11" s="0" t="n">
        <f aca="false">SUM(I7:I10)</f>
        <v>1501500</v>
      </c>
      <c r="J11" s="0" t="n">
        <f aca="false">SUM(J7:J10)</f>
        <v>1716000</v>
      </c>
      <c r="K11" s="0" t="n">
        <f aca="false">SUM(K7:K10)</f>
        <v>1930500</v>
      </c>
      <c r="L11" s="0" t="n">
        <f aca="false">SUM(L7:L10)</f>
        <v>2145000</v>
      </c>
      <c r="M11" s="0" t="n">
        <f aca="false">SUM(M7:M10)</f>
        <v>2359500</v>
      </c>
      <c r="N11" s="0" t="n">
        <f aca="false">SUM(N7:N10)</f>
        <v>2574000</v>
      </c>
      <c r="O11" s="0" t="n">
        <f aca="false">SUM(O7:O10)</f>
        <v>2788500</v>
      </c>
      <c r="P11" s="0" t="n">
        <f aca="false">SUM(P7:P10)</f>
        <v>3003000</v>
      </c>
      <c r="Q11" s="0" t="n">
        <f aca="false">SUM(Q7:Q10)</f>
        <v>3217500</v>
      </c>
      <c r="R11" s="0" t="n">
        <f aca="false">SUM(R7:R10)</f>
        <v>3432000</v>
      </c>
      <c r="S11" s="0" t="n">
        <f aca="false">SUM(S7:S10)</f>
        <v>3432000</v>
      </c>
      <c r="T11" s="0" t="n">
        <f aca="false">SUM(T7:T10)</f>
        <v>3432000</v>
      </c>
      <c r="U11" s="0" t="n">
        <f aca="false">SUM(U7:U10)</f>
        <v>3432000</v>
      </c>
      <c r="V11" s="0" t="n">
        <f aca="false">SUM(V7:V10)</f>
        <v>3432000</v>
      </c>
      <c r="W11" s="0" t="n">
        <f aca="false">SUM(W7:W10)</f>
        <v>3432000</v>
      </c>
      <c r="X11" s="0" t="n">
        <f aca="false">SUM(X7:X10)</f>
        <v>3432000</v>
      </c>
      <c r="Y11" s="0" t="n">
        <f aca="false">SUM(Y7:Y10)</f>
        <v>3432000</v>
      </c>
      <c r="Z11" s="0" t="n">
        <f aca="false">SUM(Z7:Z10)</f>
        <v>3432000</v>
      </c>
      <c r="AA11" s="0" t="n">
        <f aca="false">SUM(AA7:AA10)</f>
        <v>3432000</v>
      </c>
      <c r="AB11" s="0" t="n">
        <f aca="false">SUM(AB7:AB10)</f>
        <v>3432000</v>
      </c>
      <c r="AC11" s="0" t="n">
        <f aca="false">SUM(AC7:AC10)</f>
        <v>3432000</v>
      </c>
      <c r="AD11" s="0" t="n">
        <f aca="false">SUM(AD7:AD10)</f>
        <v>3432000</v>
      </c>
      <c r="AE11" s="0" t="n">
        <f aca="false">SUM(AE7:AE10)</f>
        <v>3432000</v>
      </c>
      <c r="AF11" s="0" t="n">
        <f aca="false">SUM(AF7:AF10)</f>
        <v>3432000</v>
      </c>
      <c r="AG11" s="0" t="n">
        <f aca="false">SUM(AG7:AG10)</f>
        <v>3432000</v>
      </c>
      <c r="AH11" s="0" t="n">
        <f aca="false">SUM(AH7:AH10)</f>
        <v>3432000</v>
      </c>
      <c r="AI11" s="0" t="n">
        <f aca="false">SUM(AI7:AI10)</f>
        <v>3432000</v>
      </c>
      <c r="AJ11" s="0" t="n">
        <f aca="false">SUM(AJ7:AJ10)</f>
        <v>3432000</v>
      </c>
      <c r="AK11" s="0" t="n">
        <f aca="false">SUM(AK7:AK10)</f>
        <v>3432000</v>
      </c>
      <c r="AL11" s="0" t="n">
        <f aca="false">SUM(AL7:AL10)</f>
        <v>3432000</v>
      </c>
      <c r="AM11" s="0" t="n">
        <f aca="false">SUM(AM7:AM10)</f>
        <v>3432000</v>
      </c>
      <c r="AN11" s="0" t="n">
        <f aca="false">SUM(AN7:AN10)</f>
        <v>3432000</v>
      </c>
      <c r="AO11" s="0" t="n">
        <f aca="false">SUM(AO7:AO10)</f>
        <v>3432000</v>
      </c>
      <c r="AP11" s="0" t="n">
        <f aca="false">SUM(AP7:AP10)</f>
        <v>3432000</v>
      </c>
      <c r="AQ11" s="0" t="n">
        <f aca="false">SUM(AQ7:AQ10)</f>
        <v>3432000</v>
      </c>
      <c r="AR11" s="0" t="n">
        <f aca="false">SUM(AR7:AR10)</f>
        <v>3432000</v>
      </c>
      <c r="AS11" s="0" t="n">
        <f aca="false">SUM(AS7:AS10)</f>
        <v>3432000</v>
      </c>
      <c r="AT11" s="0" t="n">
        <f aca="false">SUM(AT7:AT10)</f>
        <v>3432000</v>
      </c>
      <c r="AU11" s="0" t="n">
        <f aca="false">SUM(AU7:AU10)</f>
        <v>3432000</v>
      </c>
      <c r="AV11" s="0" t="n">
        <f aca="false">SUM(AV7:AV10)</f>
        <v>3432000</v>
      </c>
      <c r="AW11" s="0" t="n">
        <f aca="false">SUM(AW7:AW10)</f>
        <v>3432000</v>
      </c>
      <c r="AX11" s="0" t="n">
        <f aca="false">SUM(AX7:AX10)</f>
        <v>3432000</v>
      </c>
      <c r="AY11" s="0" t="n">
        <f aca="false">SUM(AY7:AY10)</f>
        <v>3432000</v>
      </c>
      <c r="AZ11" s="0" t="n">
        <f aca="false">SUM(AZ7:AZ10)</f>
        <v>3432000</v>
      </c>
      <c r="BA11" s="0" t="n">
        <f aca="false">SUM(BA7:BA10)</f>
        <v>3432000</v>
      </c>
      <c r="BB11" s="0" t="n">
        <f aca="false">SUM(BB7:BB10)</f>
        <v>3432000</v>
      </c>
      <c r="BC11" s="0" t="n">
        <f aca="false">SUM(BC7:BC10)</f>
        <v>3432000</v>
      </c>
      <c r="BD11" s="0" t="n">
        <f aca="false">SUM(BD7:BD10)</f>
        <v>3432000</v>
      </c>
      <c r="BE11" s="0" t="n">
        <f aca="false">SUM(BE7:BE10)</f>
        <v>3432000</v>
      </c>
      <c r="BF11" s="0" t="n">
        <f aca="false">SUM(BF7:BF10)</f>
        <v>3432000</v>
      </c>
      <c r="BG11" s="0" t="n">
        <f aca="false">SUM(BG7:BG10)</f>
        <v>3432000</v>
      </c>
      <c r="BH11" s="0" t="n">
        <f aca="false">SUM(BH7:BH10)</f>
        <v>3432000</v>
      </c>
      <c r="BI11" s="0" t="n">
        <f aca="false">SUM(BI7:BI10)</f>
        <v>3432000</v>
      </c>
      <c r="BJ11" s="0" t="n">
        <f aca="false">SUM(BJ7:BJ10)</f>
        <v>744744000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13</v>
      </c>
      <c r="C1" s="0" t="s">
        <v>18</v>
      </c>
    </row>
    <row r="2" customFormat="false" ht="15" hidden="false" customHeight="false" outlineLevel="0" collapsed="false">
      <c r="A2" s="0" t="n">
        <v>2027</v>
      </c>
      <c r="B2" s="0" t="n">
        <f aca="false">SUMIFS(Monthly!$B$7:$BJ$7,Monthly!$B$5:$BJ$5,A2)</f>
        <v>16335000</v>
      </c>
      <c r="C2" s="0" t="n">
        <f aca="false">SUMIFS(Monthly!$B$7:$BJ$7,Monthly!$B$5:$BJ$5,A2)+SUMIFS(Monthly!$B$8:$BJ$8,Monthly!$B$5:$BJ$5,A2)</f>
        <v>14157000</v>
      </c>
    </row>
    <row r="3" customFormat="false" ht="15" hidden="false" customHeight="false" outlineLevel="0" collapsed="false">
      <c r="A3" s="0" t="n">
        <v>2028</v>
      </c>
      <c r="B3" s="0" t="n">
        <f aca="false">SUMIFS(Monthly!$B$7:$BJ$7,Monthly!$B$5:$BJ$5,A3)</f>
        <v>45045000</v>
      </c>
      <c r="C3" s="0" t="n">
        <f aca="false">SUMIFS(Monthly!$B$7:$BJ$7,Monthly!$B$5:$BJ$5,A3)+SUMIFS(Monthly!$B$8:$BJ$8,Monthly!$B$5:$BJ$5,A3)</f>
        <v>39039000</v>
      </c>
    </row>
    <row r="4" customFormat="false" ht="15" hidden="false" customHeight="false" outlineLevel="0" collapsed="false">
      <c r="A4" s="0" t="n">
        <v>2029</v>
      </c>
      <c r="B4" s="0" t="n">
        <f aca="false">SUMIFS(Monthly!$B$7:$BJ$7,Monthly!$B$5:$BJ$5,A4)</f>
        <v>47520000</v>
      </c>
      <c r="C4" s="0" t="n">
        <f aca="false">SUMIFS(Monthly!$B$7:$BJ$7,Monthly!$B$5:$BJ$5,A4)+SUMIFS(Monthly!$B$8:$BJ$8,Monthly!$B$5:$BJ$5,A4)</f>
        <v>41184000</v>
      </c>
    </row>
    <row r="5" customFormat="false" ht="15" hidden="false" customHeight="false" outlineLevel="0" collapsed="false">
      <c r="A5" s="0" t="n">
        <v>2030</v>
      </c>
      <c r="B5" s="0" t="n">
        <f aca="false">SUMIFS(Monthly!$B$7:$BJ$7,Monthly!$B$5:$BJ$5,A5)</f>
        <v>47520000</v>
      </c>
      <c r="C5" s="0" t="n">
        <f aca="false">SUMIFS(Monthly!$B$7:$BJ$7,Monthly!$B$5:$BJ$5,A5)+SUMIFS(Monthly!$B$8:$BJ$8,Monthly!$B$5:$BJ$5,A5)</f>
        <v>41184000</v>
      </c>
    </row>
    <row r="6" customFormat="false" ht="15" hidden="false" customHeight="false" outlineLevel="0" collapsed="false">
      <c r="A6" s="0" t="n">
        <v>2031</v>
      </c>
      <c r="B6" s="0" t="n">
        <f aca="false">SUMIFS(Monthly!$B$7:$BJ$7,Monthly!$B$5:$BJ$5,A6)</f>
        <v>47520000</v>
      </c>
      <c r="C6" s="0" t="n">
        <f aca="false">SUMIFS(Monthly!$B$7:$BJ$7,Monthly!$B$5:$BJ$5,A6)+SUMIFS(Monthly!$B$8:$BJ$8,Monthly!$B$5:$BJ$5,A6)</f>
        <v>41184000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5" t="n">
        <f aca="false">(1+IRR(Monthly!B11:BJ11,0.01))^12-1</f>
        <v>0.315806063774102</v>
      </c>
    </row>
    <row r="4" customFormat="false" ht="15" hidden="false" customHeight="false" outlineLevel="0" collapsed="false">
      <c r="A4" s="0" t="s">
        <v>20</v>
      </c>
      <c r="B4" s="6" t="n">
        <f aca="false">SUM(Monthly!B11:BJ11)</f>
        <v>645492000</v>
      </c>
    </row>
    <row r="5" customFormat="false" ht="15" hidden="false" customHeight="false" outlineLevel="0" collapsed="false">
      <c r="A5" s="0" t="s">
        <v>21</v>
      </c>
      <c r="B5" s="6" t="n">
        <f aca="false">-Monthly!B9</f>
        <v>276000000</v>
      </c>
    </row>
    <row r="6" customFormat="false" ht="15" hidden="false" customHeight="false" outlineLevel="0" collapsed="false">
      <c r="A6" s="0" t="s">
        <v>22</v>
      </c>
      <c r="B6" s="6" t="n">
        <f aca="false">Annual!C6</f>
        <v>41184000</v>
      </c>
    </row>
    <row r="7" customFormat="false" ht="15" hidden="false" customHeight="false" outlineLevel="0" collapsed="false">
      <c r="A7" s="0" t="s">
        <v>23</v>
      </c>
      <c r="B7" s="5" t="n">
        <f aca="false">Annual!C6/B5</f>
        <v>0.149217391304348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2026-10-17T06:30:11Z</dcterms:created>
  <dc:creator>openpyxl</dc:creator>
  <dc:description/>
  <dc:language>en-US</dc:language>
  <cp:lastModifiedBy/>
  <dcterms:modified xsi:type="dcterms:W3CDTF">2026-10-17T06:30:11Z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