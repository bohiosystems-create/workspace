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Floors" sheetId="2" state="visible" r:id="rId4"/>
    <sheet name="Retur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<sst xmlns="http://schemas.openxmlformats.org/spreadsheetml/2006/main" count="26" uniqueCount="26">
  <si>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 xml:space="preserve">KENDALL LABS – OFFICE TO LAB CONVERSION (USD)</t>
  </si>
  <si>
    <t xml:space="preserve">Acquisition (USD)</t>
  </si>
  <si>
    <t xml:space="preserve">Conversion capex per sq ft (USD)</t>
  </si>
  <si>
    <t xml:space="preserve">Lab rent per sq ft a year (USD)</t>
  </si>
  <si>
    <t xml:space="preserve">Operating cost per sq ft (USD)</t>
  </si>
  <si>
    <t xml:space="preserve">Exit cap rate</t>
  </si>
  <si>
    <t xml:space="preserve">Months to lease each floor after conversion</t>
  </si>
  <si>
    <t xml:space="preserve">Floor</t>
  </si>
  <si>
    <t xml:space="preserve">Area (sq ft)</t>
  </si>
  <si>
    <t xml:space="preserve">Conversion quarter</t>
  </si>
  <si>
    <t xml:space="preserve">Rent premium</t>
  </si>
  <si>
    <t xml:space="preserve">Net rent a year</t>
  </si>
  <si>
    <t xml:space="preserve">Stabilised value</t>
  </si>
  <si>
    <t xml:space="preserve">L1</t>
  </si>
  <si>
    <t xml:space="preserve">L2</t>
  </si>
  <si>
    <t xml:space="preserve">L3</t>
  </si>
  <si>
    <t xml:space="preserve">L4</t>
  </si>
  <si>
    <t xml:space="preserve">L5</t>
  </si>
  <si>
    <t xml:space="preserve">Total area (sq ft)</t>
  </si>
  <si>
    <t xml:space="preserve">Conversion capex (USD)</t>
  </si>
  <si>
    <t xml:space="preserve">Stabilised net rent (USD)</t>
  </si>
  <si>
    <t xml:space="preserve">Gross development value (USD)</t>
  </si>
  <si>
    <t xml:space="preserve">Total cost (USD)</t>
  </si>
  <si>
    <t xml:space="preserve">Net profit (USD)</t>
  </si>
  <si>
    <t xml:space="preserve">Profit on cost</t>
  </si>
  <si>
    <t xml:space="preserve">Yield on cost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</si>
</sst>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%"/>
    <numFmt numFmtId="167" formatCode="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loors" displayName="Floors" ref="A1:F6" headerRowCount="1" totalsRowCount="0" totalsRowShown="0">
  <autoFilter ref="A1:F6"/>
  <tableColumns count="6">
    <tableColumn id="1" name="Floor"/>
    <tableColumn id="2" name="Area (sq ft)"/>
    <tableColumn id="3" name="Conversion quarter"/>
    <tableColumn id="4" name="Rent premium"/>
    <tableColumn id="5" name="Net rent a year"/>
    <tableColumn id="6" name="Stabilised valu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v>190000000</v>
      </c>
    </row>
    <row r="4" customFormat="false" ht="15" hidden="false" customHeight="false" outlineLevel="0" collapsed="false">
      <c r="A4" s="0" t="s">
        <v>2</v>
      </c>
      <c r="B4" s="1" t="n">
        <v>420</v>
      </c>
    </row>
    <row r="5" customFormat="false" ht="15" hidden="false" customHeight="false" outlineLevel="0" collapsed="false">
      <c r="A5" s="0" t="s">
        <v>3</v>
      </c>
      <c r="B5" s="1" t="n">
        <v>142</v>
      </c>
    </row>
    <row r="6" customFormat="false" ht="15" hidden="false" customHeight="false" outlineLevel="0" collapsed="false">
      <c r="A6" s="0" t="s">
        <v>4</v>
      </c>
      <c r="B6" s="1" t="n">
        <v>22</v>
      </c>
    </row>
    <row r="7" customFormat="false" ht="15" hidden="false" customHeight="false" outlineLevel="0" collapsed="false">
      <c r="A7" s="0" t="s">
        <v>5</v>
      </c>
      <c r="B7" s="2" t="n">
        <v>0.0575</v>
      </c>
    </row>
    <row r="8" customFormat="false" ht="15" hidden="false" customHeight="false" outlineLevel="0" collapsed="false">
      <c r="A8" s="0" t="s">
        <v>6</v>
      </c>
      <c r="B8" s="3" t="n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4" t="s">
        <v>7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</row>
    <row r="2" customFormat="false" ht="15" hidden="false" customHeight="false" outlineLevel="0" collapsed="false">
      <c r="A2" s="0" t="s">
        <v>13</v>
      </c>
      <c r="B2" s="0" t="n">
        <v>38000</v>
      </c>
      <c r="C2" s="0" t="n">
        <v>2</v>
      </c>
      <c r="D2" s="0" t="n">
        <v>0.05</v>
      </c>
      <c r="E2" s="0">
        <f aca="false">_xlfn.let(_xlpm.r,Inputs!$B$5*(1+Floors[[#This Row],[Rent premium]]),Floors[[#This Row],[Area (sq ft)]]*(_xlpm.r-Inputs!$B$6))</f>
        <v>4829800.0</v>
      </c>
      <c r="F2" s="0">
        <f aca="false">Floors[[#This Row],[Net rent a year]]/Inputs!$B$7</f>
        <v>83996521.73913044</v>
      </c>
    </row>
    <row r="3" customFormat="false" ht="15" hidden="false" customHeight="false" outlineLevel="0" collapsed="false">
      <c r="A3" s="0" t="s">
        <v>14</v>
      </c>
      <c r="B3" s="0" t="n">
        <v>38000</v>
      </c>
      <c r="C3" s="0" t="n">
        <v>3</v>
      </c>
      <c r="D3" s="0" t="n">
        <v>0</v>
      </c>
      <c r="E3" s="0">
        <f aca="false">_xlfn.let(_xlpm.r,Inputs!$B$5*(1+Floors[[#This Row],[Rent premium]]),Floors[[#This Row],[Area (sq ft)]]*(_xlpm.r-Inputs!$B$6))</f>
        <v>4560000.0</v>
      </c>
      <c r="F3" s="0">
        <f aca="false">Floors[[#This Row],[Net rent a year]]/Inputs!$B$7</f>
        <v>79304347.82608695</v>
      </c>
    </row>
    <row r="4" customFormat="false" ht="15" hidden="false" customHeight="false" outlineLevel="0" collapsed="false">
      <c r="A4" s="0" t="s">
        <v>15</v>
      </c>
      <c r="B4" s="0" t="n">
        <v>38000</v>
      </c>
      <c r="C4" s="0" t="n">
        <v>4</v>
      </c>
      <c r="D4" s="0" t="n">
        <v>0</v>
      </c>
      <c r="E4" s="0">
        <f aca="false">_xlfn.let(_xlpm.r,Inputs!$B$5*(1+Floors[[#This Row],[Rent premium]]),Floors[[#This Row],[Area (sq ft)]]*(_xlpm.r-Inputs!$B$6))</f>
        <v>4560000.0</v>
      </c>
      <c r="F4" s="0">
        <f aca="false">Floors[[#This Row],[Net rent a year]]/Inputs!$B$7</f>
        <v>79304347.82608695</v>
      </c>
    </row>
    <row r="5" customFormat="false" ht="15" hidden="false" customHeight="false" outlineLevel="0" collapsed="false">
      <c r="A5" s="0" t="s">
        <v>16</v>
      </c>
      <c r="B5" s="0" t="n">
        <v>36000</v>
      </c>
      <c r="C5" s="0" t="n">
        <v>5</v>
      </c>
      <c r="D5" s="0" t="n">
        <v>0.02</v>
      </c>
      <c r="E5" s="0">
        <f aca="false">_xlfn.let(_xlpm.r,Inputs!$B$5*(1+Floors[[#This Row],[Rent premium]]),Floors[[#This Row],[Area (sq ft)]]*(_xlpm.r-Inputs!$B$6))</f>
        <v>4422240.0</v>
      </c>
      <c r="F5" s="0">
        <f aca="false">Floors[[#This Row],[Net rent a year]]/Inputs!$B$7</f>
        <v>76908521.73913044</v>
      </c>
    </row>
    <row r="6" customFormat="false" ht="15" hidden="false" customHeight="false" outlineLevel="0" collapsed="false">
      <c r="A6" s="0" t="s">
        <v>17</v>
      </c>
      <c r="B6" s="0" t="n">
        <v>34000</v>
      </c>
      <c r="C6" s="0" t="n">
        <v>6</v>
      </c>
      <c r="D6" s="0" t="n">
        <v>0.08</v>
      </c>
      <c r="E6" s="0">
        <f aca="false">_xlfn.let(_xlpm.r,Inputs!$B$5*(1+Floors[[#This Row],[Rent premium]]),Floors[[#This Row],[Area (sq ft)]]*(_xlpm.r-Inputs!$B$6))</f>
        <v>4466240.0</v>
      </c>
      <c r="F6" s="0">
        <f aca="false">Floors[[#This Row],[Net rent a year]]/Inputs!$B$7</f>
        <v>77673739.13043478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18</v>
      </c>
      <c r="B3" s="1" t="n">
        <f aca="false">SUM(Floors[Area (sq ft)])</f>
        <v>184000</v>
      </c>
    </row>
    <row r="4" customFormat="false" ht="15" hidden="false" customHeight="false" outlineLevel="0" collapsed="false">
      <c r="A4" s="0" t="s">
        <v>19</v>
      </c>
      <c r="B4" s="1" t="n">
        <f aca="false">B3*Inputs!$B$4</f>
        <v>77280000</v>
      </c>
    </row>
    <row r="5" customFormat="false" ht="15" hidden="false" customHeight="false" outlineLevel="0" collapsed="false">
      <c r="A5" s="0" t="s">
        <v>20</v>
      </c>
      <c r="B5" s="1">
        <f aca="false">SUM(Floors[Net rent a year])</f>
        <v>22838280.0</v>
      </c>
    </row>
    <row r="6" customFormat="false" ht="15" hidden="false" customHeight="false" outlineLevel="0" collapsed="false">
      <c r="A6" s="0" t="s">
        <v>21</v>
      </c>
      <c r="B6" s="1">
        <f aca="false">SUM(Floors[Stabilised value])</f>
        <v>397187478.2608695</v>
      </c>
    </row>
    <row r="7" customFormat="false" ht="15" hidden="false" customHeight="false" outlineLevel="0" collapsed="false">
      <c r="A7" s="0" t="s">
        <v>22</v>
      </c>
      <c r="B7" s="1" t="n">
        <f aca="false">Inputs!$B$3+B4</f>
        <v>267280000</v>
      </c>
    </row>
    <row r="8" customFormat="false" ht="15" hidden="false" customHeight="false" outlineLevel="0" collapsed="false">
      <c r="A8" s="0" t="s">
        <v>23</v>
      </c>
      <c r="B8" s="1">
        <f aca="false">B6-B7</f>
        <v>129907478.2608695</v>
      </c>
    </row>
    <row r="9" customFormat="false" ht="15" hidden="false" customHeight="false" outlineLevel="0" collapsed="false">
      <c r="A9" s="0" t="s">
        <v>24</v>
      </c>
      <c r="B9" s="2">
        <f aca="false">B8/B7</f>
        <v>0.4860351626042708</v>
      </c>
    </row>
    <row r="10" customFormat="false" ht="15" hidden="false" customHeight="false" outlineLevel="0" collapsed="false">
      <c r="A10" s="0" t="s">
        <v>25</v>
      </c>
      <c r="B10" s="2">
        <f aca="false">B5/B7</f>
        <v>0.08544702184974559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2026-10-17T21:44:46Z</dcterms:created>
  <dc:creator>openpyxl</dc:creator>
  <dc:description/>
  <dc:language>en-US</dc:language>
  <cp:lastModifiedBy/>
  <dcterms:modified xsi:type="dcterms:W3CDTF">2026-10-17T21:44:46Z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