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<sst xmlns="http://schemas.openxmlformats.org/spreadsheetml/2006/main" count="49" uniqueCount="49">
  <si>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AL WAHA BUSINESS PARK (SAR)</t>
  </si>
  <si>
    <t xml:space="preserve">Land cost</t>
  </si>
  <si>
    <t xml:space="preserve">Construction cost (total, phased on Cash Flow)</t>
  </si>
  <si>
    <t xml:space="preserve">Stabilised rent</t>
  </si>
  <si>
    <t xml:space="preserve">Rent growth</t>
  </si>
  <si>
    <t xml:space="preserve">Operating costs (share of rent)</t>
  </si>
  <si>
    <t xml:space="preserve">Exit cap rate</t>
  </si>
  <si>
    <t xml:space="preserve">Hold period (years)</t>
  </si>
  <si>
    <t xml:space="preserve">Loan to cost</t>
  </si>
  <si>
    <t xml:space="preserve">Interest rate</t>
  </si>
  <si>
    <t xml:space="preserve">Minimum DSCR covenant</t>
  </si>
  <si>
    <t xml:space="preserve">Maximum LTV covenant</t>
  </si>
  <si>
    <t xml:space="preserve">LP share of equity</t>
  </si>
  <si>
    <t xml:space="preserve">Preferred return</t>
  </si>
  <si>
    <t xml:space="preserve">GP promote</t>
  </si>
  <si>
    <t xml:space="preserve">Discount rate</t>
  </si>
  <si>
    <t xml:space="preserve">Selling costs</t>
  </si>
  <si>
    <t xml:space="preserve">AL WAHA BUSINESS PARK – CASH FLOW (SAR)</t>
  </si>
  <si>
    <t xml:space="preserve">Year</t>
  </si>
  <si>
    <t xml:space="preserve">Total</t>
  </si>
  <si>
    <t xml:space="preserve">Period</t>
  </si>
  <si>
    <t xml:space="preserve">Land</t>
  </si>
  <si>
    <t xml:space="preserve">Construction cost</t>
  </si>
  <si>
    <t xml:space="preserve">Occupancy</t>
  </si>
  <si>
    <t xml:space="preserve">Rent</t>
  </si>
  <si>
    <t xml:space="preserve">Operating costs</t>
  </si>
  <si>
    <t xml:space="preserve">Net operating income</t>
  </si>
  <si>
    <t xml:space="preserve">Sale proceeds</t>
  </si>
  <si>
    <t xml:space="preserve">Unlevered cash flow</t>
  </si>
  <si>
    <t xml:space="preserve">Loan drawdown</t>
  </si>
  <si>
    <t xml:space="preserve">Opening debt</t>
  </si>
  <si>
    <t xml:space="preserve">Interest</t>
  </si>
  <si>
    <t xml:space="preserve">Loan repayment</t>
  </si>
  <si>
    <t xml:space="preserve">Levered cash flow to equity</t>
  </si>
  <si>
    <t xml:space="preserve">Closing debt</t>
  </si>
  <si>
    <t xml:space="preserve">DSCR</t>
  </si>
  <si>
    <t xml:space="preserve">Property value</t>
  </si>
  <si>
    <t xml:space="preserve">LTV</t>
  </si>
  <si>
    <t xml:space="preserve">Cumulative equity cash flow</t>
  </si>
  <si>
    <t xml:space="preserve">Unlevered IRR</t>
  </si>
  <si>
    <t xml:space="preserve">Levered IRR</t>
  </si>
  <si>
    <t xml:space="preserve">Equity multiple</t>
  </si>
  <si>
    <t xml:space="preserve">Net profit</t>
  </si>
  <si>
    <t xml:space="preserve">Peak equity</t>
  </si>
  <si>
    <t xml:space="preserve">Minimum DSCR</t>
  </si>
  <si>
    <t xml:space="preserve">Maximum LTV</t>
  </si>
  <si>
    <t xml:space="preserve">NPV at the discount rate</t>
  </si>
  <si>
    <t xml:space="preserve">Total development cost</t>
  </si>
  <si>
    <t xml:space="preserve">Profit on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</si>
</sst>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n">
        <v>50000000</v>
      </c>
    </row>
    <row r="3" customFormat="false" ht="15" hidden="false" customHeight="false" outlineLevel="0" collapsed="false">
      <c r="A3" s="0" t="s">
        <v>2</v>
      </c>
      <c r="B3" s="0" t="n">
        <v>200000000</v>
      </c>
    </row>
    <row r="4" customFormat="false" ht="15" hidden="false" customHeight="false" outlineLevel="0" collapsed="false">
      <c r="A4" s="0" t="s">
        <v>3</v>
      </c>
      <c r="B4" s="0" t="n">
        <v>33000000</v>
      </c>
    </row>
    <row r="5" customFormat="false" ht="15" hidden="false" customHeight="false" outlineLevel="0" collapsed="false">
      <c r="A5" s="0" t="s">
        <v>4</v>
      </c>
      <c r="B5" s="1" t="n">
        <v>0.03</v>
      </c>
    </row>
    <row r="6" customFormat="false" ht="15" hidden="false" customHeight="false" outlineLevel="0" collapsed="false">
      <c r="A6" s="0" t="s">
        <v>5</v>
      </c>
      <c r="B6" s="1" t="n">
        <v>0.2</v>
      </c>
    </row>
    <row r="7" customFormat="false" ht="15" hidden="false" customHeight="false" outlineLevel="0" collapsed="false">
      <c r="A7" s="0" t="s">
        <v>6</v>
      </c>
      <c r="B7" s="1" t="n">
        <v>0.07</v>
      </c>
    </row>
    <row r="8" customFormat="false" ht="15" hidden="false" customHeight="false" outlineLevel="0" collapsed="false">
      <c r="A8" s="0" t="s">
        <v>7</v>
      </c>
      <c r="B8" s="0" t="n">
        <v>10</v>
      </c>
    </row>
    <row r="9" customFormat="false" ht="15" hidden="false" customHeight="false" outlineLevel="0" collapsed="false">
      <c r="A9" s="0" t="s">
        <v>8</v>
      </c>
      <c r="B9" s="1" t="n">
        <v>0.55</v>
      </c>
    </row>
    <row r="10" customFormat="false" ht="15" hidden="false" customHeight="false" outlineLevel="0" collapsed="false">
      <c r="A10" s="0" t="s">
        <v>9</v>
      </c>
      <c r="B10" s="1" t="n">
        <v>0.065</v>
      </c>
    </row>
    <row r="11" customFormat="false" ht="15" hidden="false" customHeight="false" outlineLevel="0" collapsed="false">
      <c r="A11" s="0" t="s">
        <v>10</v>
      </c>
      <c r="B11" s="0" t="n">
        <v>1.25</v>
      </c>
    </row>
    <row r="12" customFormat="false" ht="15" hidden="false" customHeight="false" outlineLevel="0" collapsed="false">
      <c r="A12" s="0" t="s">
        <v>11</v>
      </c>
      <c r="B12" s="1" t="n">
        <v>0.6</v>
      </c>
    </row>
    <row r="13" customFormat="false" ht="15" hidden="false" customHeight="false" outlineLevel="0" collapsed="false">
      <c r="A13" s="0" t="s">
        <v>12</v>
      </c>
      <c r="B13" s="1" t="n">
        <v>0.9</v>
      </c>
    </row>
    <row r="14" customFormat="false" ht="15" hidden="false" customHeight="false" outlineLevel="0" collapsed="false">
      <c r="A14" s="0" t="s">
        <v>13</v>
      </c>
      <c r="B14" s="1" t="n">
        <v>0.08</v>
      </c>
    </row>
    <row r="15" customFormat="false" ht="15" hidden="false" customHeight="false" outlineLevel="0" collapsed="false">
      <c r="A15" s="0" t="s">
        <v>14</v>
      </c>
      <c r="B15" s="1" t="n">
        <v>0.2</v>
      </c>
    </row>
    <row r="16" customFormat="false" ht="15" hidden="false" customHeight="false" outlineLevel="0" collapsed="false">
      <c r="A16" s="0" t="s">
        <v>15</v>
      </c>
      <c r="B16" s="1" t="n">
        <v>0.09</v>
      </c>
    </row>
    <row r="17" customFormat="false" ht="15" hidden="false" customHeight="false" outlineLevel="0" collapsed="false">
      <c r="A17" s="0" t="s">
        <v>16</v>
      </c>
      <c r="B17" s="1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17</v>
      </c>
    </row>
    <row r="3" customFormat="false" ht="15" hidden="false" customHeight="false" outlineLevel="0" collapsed="false">
      <c r="A3" s="0" t="s">
        <v>18</v>
      </c>
      <c r="C3" s="0" t="n">
        <v>2026</v>
      </c>
      <c r="D3" s="0" t="n">
        <v>2027</v>
      </c>
      <c r="E3" s="0" t="n">
        <v>2028</v>
      </c>
      <c r="F3" s="0" t="n">
        <v>2029</v>
      </c>
      <c r="G3" s="0" t="n">
        <v>2030</v>
      </c>
      <c r="H3" s="0" t="n">
        <v>2031</v>
      </c>
      <c r="I3" s="0" t="n">
        <v>2032</v>
      </c>
      <c r="J3" s="0" t="n">
        <v>2033</v>
      </c>
      <c r="K3" s="0" t="n">
        <v>2034</v>
      </c>
      <c r="L3" s="0" t="n">
        <v>2035</v>
      </c>
      <c r="M3" s="0" t="s">
        <v>19</v>
      </c>
    </row>
    <row r="4" customFormat="false" ht="15" hidden="false" customHeight="false" outlineLevel="0" collapsed="false">
      <c r="A4" s="0" t="s">
        <v>20</v>
      </c>
      <c r="C4" s="0" t="n"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6" customFormat="false" ht="15" hidden="false" customHeight="false" outlineLevel="0" collapsed="false">
      <c r="A6" s="0" t="s">
        <v>21</v>
      </c>
      <c r="C6" s="0" t="n">
        <f aca="false">IF(C$4=1,-Inputs!$B$2,0)</f>
        <v>-50000000</v>
      </c>
      <c r="D6" s="0" t="n">
        <f aca="false">IF(D$4=1,-Inputs!$B$2,0)</f>
        <v>0</v>
      </c>
      <c r="E6" s="0" t="n">
        <f aca="false">IF(E$4=1,-Inputs!$B$2,0)</f>
        <v>0</v>
      </c>
      <c r="F6" s="0" t="n">
        <f aca="false">IF(F$4=1,-Inputs!$B$2,0)</f>
        <v>0</v>
      </c>
      <c r="G6" s="0" t="n">
        <f aca="false">IF(G$4=1,-Inputs!$B$2,0)</f>
        <v>0</v>
      </c>
      <c r="H6" s="0" t="n">
        <f aca="false">IF(H$4=1,-Inputs!$B$2,0)</f>
        <v>0</v>
      </c>
      <c r="I6" s="0" t="n">
        <f aca="false">IF(I$4=1,-Inputs!$B$2,0)</f>
        <v>0</v>
      </c>
      <c r="J6" s="0" t="n">
        <f aca="false">IF(J$4=1,-Inputs!$B$2,0)</f>
        <v>0</v>
      </c>
      <c r="K6" s="0" t="n">
        <f aca="false">IF(K$4=1,-Inputs!$B$2,0)</f>
        <v>0</v>
      </c>
      <c r="L6" s="0" t="n">
        <f aca="false">IF(L$4=1,-Inputs!$B$2,0)</f>
        <v>0</v>
      </c>
      <c r="M6" s="0" t="n">
        <f aca="false">SUM(C6:L6)</f>
        <v>-50000000</v>
      </c>
    </row>
    <row r="7" customFormat="false" ht="15" hidden="false" customHeight="false" outlineLevel="0" collapsed="false">
      <c r="A7" s="0" t="s">
        <v>22</v>
      </c>
      <c r="C7" s="0" t="n">
        <v>-60000000</v>
      </c>
      <c r="D7" s="0" t="n">
        <v>-95000000</v>
      </c>
      <c r="E7" s="0" t="n">
        <v>-50000000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f aca="false">SUM(C7:L7)</f>
        <v>-205000000</v>
      </c>
    </row>
    <row r="8" customFormat="false" ht="15" hidden="false" customHeight="false" outlineLevel="0" collapsed="false">
      <c r="A8" s="0" t="s">
        <v>23</v>
      </c>
      <c r="C8" s="0" t="n">
        <v>0</v>
      </c>
      <c r="D8" s="0" t="n">
        <v>0</v>
      </c>
      <c r="E8" s="0" t="n">
        <v>0</v>
      </c>
      <c r="F8" s="0" t="n">
        <v>0.4</v>
      </c>
      <c r="G8" s="0" t="n">
        <v>0.75</v>
      </c>
      <c r="H8" s="0" t="n">
        <v>0.95</v>
      </c>
      <c r="I8" s="0" t="n">
        <v>0.95</v>
      </c>
      <c r="J8" s="0" t="n">
        <v>0.95</v>
      </c>
      <c r="K8" s="0" t="n">
        <v>0.95</v>
      </c>
      <c r="L8" s="0" t="n">
        <v>0.95</v>
      </c>
    </row>
    <row r="9" customFormat="false" ht="15" hidden="false" customHeight="false" outlineLevel="0" collapsed="false">
      <c r="A9" s="0" t="s">
        <v>24</v>
      </c>
      <c r="C9" s="0" t="n">
        <f aca="false">IF(C$4&lt;=Inputs!$B$8,Inputs!$B$4*C8*(1+Inputs!$B$5)^MAX(0,C$4-4),0)</f>
        <v>0</v>
      </c>
      <c r="D9" s="0" t="n">
        <f aca="false">IF(D$4&lt;=Inputs!$B$8,Inputs!$B$4*D8*(1+Inputs!$B$5)^MAX(0,D$4-4),0)</f>
        <v>0</v>
      </c>
      <c r="E9" s="0" t="n">
        <f aca="false">IF(E$4&lt;=Inputs!$B$8,Inputs!$B$4*E8*(1+Inputs!$B$5)^MAX(0,E$4-4),0)</f>
        <v>0</v>
      </c>
      <c r="F9" s="0" t="n">
        <f aca="false">IF(F$4&lt;=Inputs!$B$8,Inputs!$B$4*F8*(1+Inputs!$B$5)^MAX(0,F$4-4),0)</f>
        <v>13200000</v>
      </c>
      <c r="G9" s="0" t="n">
        <f aca="false">IF(G$4&lt;=Inputs!$B$8,Inputs!$B$4*G8*(1+Inputs!$B$5)^MAX(0,G$4-4),0)</f>
        <v>25492500</v>
      </c>
      <c r="H9" s="0" t="n">
        <f aca="false">IF(H$4&lt;=Inputs!$B$8,Inputs!$B$4*H8*(1+Inputs!$B$5)^MAX(0,H$4-4),0)</f>
        <v>33259215</v>
      </c>
      <c r="I9" s="0" t="n">
        <f aca="false">IF(I$4&lt;=Inputs!$B$8,Inputs!$B$4*I8*(1+Inputs!$B$5)^MAX(0,I$4-4),0)</f>
        <v>34256991.45</v>
      </c>
      <c r="J9" s="0" t="n">
        <f aca="false">IF(J$4&lt;=Inputs!$B$8,Inputs!$B$4*J8*(1+Inputs!$B$5)^MAX(0,J$4-4),0)</f>
        <v>35284701.1935</v>
      </c>
      <c r="K9" s="0" t="n">
        <f aca="false">IF(K$4&lt;=Inputs!$B$8,Inputs!$B$4*K8*(1+Inputs!$B$5)^MAX(0,K$4-4),0)</f>
        <v>36343242.229305</v>
      </c>
      <c r="L9" s="0" t="n">
        <f aca="false">IF(L$4&lt;=Inputs!$B$8,Inputs!$B$4*L8*(1+Inputs!$B$5)^MAX(0,L$4-4),0)</f>
        <v>37433539.4961842</v>
      </c>
      <c r="M9" s="0" t="n">
        <f aca="false">SUM(C9:L9)</f>
        <v>215270189.368989</v>
      </c>
    </row>
    <row r="10" customFormat="false" ht="15" hidden="false" customHeight="false" outlineLevel="0" collapsed="false">
      <c r="A10" s="0" t="s">
        <v>25</v>
      </c>
      <c r="C10" s="0" t="n">
        <f aca="false">-C9*Inputs!$B$6</f>
        <v>-0</v>
      </c>
      <c r="D10" s="0" t="n">
        <f aca="false">-D9*Inputs!$B$6</f>
        <v>-0</v>
      </c>
      <c r="E10" s="0" t="n">
        <f aca="false">-E9*Inputs!$B$6</f>
        <v>-0</v>
      </c>
      <c r="F10" s="0" t="n">
        <f aca="false">-F9*Inputs!$B$6</f>
        <v>-2640000</v>
      </c>
      <c r="G10" s="0" t="n">
        <f aca="false">-G9*Inputs!$B$6</f>
        <v>-5098500</v>
      </c>
      <c r="H10" s="0" t="n">
        <f aca="false">-H9*Inputs!$B$6</f>
        <v>-6651843</v>
      </c>
      <c r="I10" s="0" t="n">
        <f aca="false">-I9*Inputs!$B$6</f>
        <v>-6851398.29</v>
      </c>
      <c r="J10" s="0" t="n">
        <f aca="false">-J9*Inputs!$B$6</f>
        <v>-7056940.2387</v>
      </c>
      <c r="K10" s="0" t="n">
        <f aca="false">-K9*Inputs!$B$6</f>
        <v>-7268648.445861</v>
      </c>
      <c r="L10" s="0" t="n">
        <f aca="false">-L9*Inputs!$B$6</f>
        <v>-7486707.89923683</v>
      </c>
      <c r="M10" s="0" t="n">
        <f aca="false">SUM(C10:L10)</f>
        <v>-43054037.8737978</v>
      </c>
    </row>
    <row r="11" customFormat="false" ht="15" hidden="false" customHeight="false" outlineLevel="0" collapsed="false">
      <c r="A11" s="0" t="s">
        <v>26</v>
      </c>
      <c r="C11" s="0" t="n">
        <f aca="false">C9+C10</f>
        <v>0</v>
      </c>
      <c r="D11" s="0" t="n">
        <f aca="false">D9+D10</f>
        <v>0</v>
      </c>
      <c r="E11" s="0" t="n">
        <f aca="false">E9+E10</f>
        <v>0</v>
      </c>
      <c r="F11" s="0" t="n">
        <f aca="false">F9+F10</f>
        <v>10560000</v>
      </c>
      <c r="G11" s="0" t="n">
        <f aca="false">G9+G10</f>
        <v>20394000</v>
      </c>
      <c r="H11" s="0" t="n">
        <f aca="false">H9+H10</f>
        <v>26607372</v>
      </c>
      <c r="I11" s="0" t="n">
        <f aca="false">I9+I10</f>
        <v>27405593.16</v>
      </c>
      <c r="J11" s="0" t="n">
        <f aca="false">J9+J10</f>
        <v>28227760.9548</v>
      </c>
      <c r="K11" s="0" t="n">
        <f aca="false">K9+K10</f>
        <v>29074593.783444</v>
      </c>
      <c r="L11" s="0" t="n">
        <f aca="false">L9+L10</f>
        <v>29946831.5969473</v>
      </c>
      <c r="M11" s="0" t="n">
        <f aca="false">SUM(C11:L11)</f>
        <v>172216151.495191</v>
      </c>
    </row>
    <row r="12" customFormat="false" ht="15" hidden="false" customHeight="false" outlineLevel="0" collapsed="false">
      <c r="A12" s="0" t="s">
        <v>27</v>
      </c>
      <c r="C12" s="0" t="n">
        <f aca="false">IF(C$4=Inputs!$B$8,C11*(1+Inputs!$B$5)/Inputs!$B$7*(1-Inputs!$B$17),0)</f>
        <v>0</v>
      </c>
      <c r="D12" s="0" t="n">
        <f aca="false">IF(D$4=Inputs!$B$8,D11*(1+Inputs!$B$5)/Inputs!$B$7*(1-Inputs!$B$17),0)</f>
        <v>0</v>
      </c>
      <c r="E12" s="0" t="n">
        <f aca="false">IF(E$4=Inputs!$B$8,E11*(1+Inputs!$B$5)/Inputs!$B$7*(1-Inputs!$B$17),0)</f>
        <v>0</v>
      </c>
      <c r="F12" s="0" t="n">
        <f aca="false">IF(F$4=Inputs!$B$8,F11*(1+Inputs!$B$5)/Inputs!$B$7*(1-Inputs!$B$17),0)</f>
        <v>0</v>
      </c>
      <c r="G12" s="0" t="n">
        <f aca="false">IF(G$4=Inputs!$B$8,G11*(1+Inputs!$B$5)/Inputs!$B$7*(1-Inputs!$B$17),0)</f>
        <v>0</v>
      </c>
      <c r="H12" s="0" t="n">
        <f aca="false">IF(H$4=Inputs!$B$8,H11*(1+Inputs!$B$5)/Inputs!$B$7*(1-Inputs!$B$17),0)</f>
        <v>0</v>
      </c>
      <c r="I12" s="0" t="n">
        <f aca="false">IF(I$4=Inputs!$B$8,I11*(1+Inputs!$B$5)/Inputs!$B$7*(1-Inputs!$B$17),0)</f>
        <v>0</v>
      </c>
      <c r="J12" s="0" t="n">
        <f aca="false">IF(J$4=Inputs!$B$8,J11*(1+Inputs!$B$5)/Inputs!$B$7*(1-Inputs!$B$17),0)</f>
        <v>0</v>
      </c>
      <c r="K12" s="0" t="n">
        <f aca="false">IF(K$4=Inputs!$B$8,K11*(1+Inputs!$B$5)/Inputs!$B$7*(1-Inputs!$B$17),0)</f>
        <v>0</v>
      </c>
      <c r="L12" s="0" t="n">
        <f aca="false">IF(L$4=Inputs!$B$8,L11*(1+Inputs!$B$5)/Inputs!$B$7*(1-Inputs!$B$17),0)</f>
        <v>431833311.62798</v>
      </c>
      <c r="M12" s="0" t="n">
        <f aca="false">SUM(C12:L12)</f>
        <v>431833311.62798</v>
      </c>
    </row>
    <row r="13" customFormat="false" ht="15" hidden="false" customHeight="false" outlineLevel="0" collapsed="false">
      <c r="A13" s="0" t="s">
        <v>28</v>
      </c>
      <c r="C13" s="0" t="n">
        <f aca="false">C6+C7+C11+C12</f>
        <v>-110000000</v>
      </c>
      <c r="D13" s="0" t="n">
        <f aca="false">D6+D7+D11+D12</f>
        <v>-95000000</v>
      </c>
      <c r="E13" s="0" t="n">
        <f aca="false">E6+E7+E11+E12</f>
        <v>-50000000</v>
      </c>
      <c r="F13" s="0" t="n">
        <f aca="false">F6+F7+F11+F12</f>
        <v>10560000</v>
      </c>
      <c r="G13" s="0" t="n">
        <f aca="false">G6+G7+G11+G12</f>
        <v>20394000</v>
      </c>
      <c r="H13" s="0" t="n">
        <f aca="false">H6+H7+H11+H12</f>
        <v>26607372</v>
      </c>
      <c r="I13" s="0" t="n">
        <f aca="false">I6+I7+I11+I12</f>
        <v>27405593.16</v>
      </c>
      <c r="J13" s="0" t="n">
        <f aca="false">J6+J7+J11+J12</f>
        <v>28227760.9548</v>
      </c>
      <c r="K13" s="0" t="n">
        <f aca="false">K6+K7+K11+K12</f>
        <v>29074593.783444</v>
      </c>
      <c r="L13" s="0" t="n">
        <f aca="false">L6+L7+L11+L12</f>
        <v>461780143.224928</v>
      </c>
      <c r="M13" s="0" t="n">
        <f aca="false">SUM(C13:L13)</f>
        <v>349049463.123172</v>
      </c>
    </row>
    <row r="14" customFormat="false" ht="15" hidden="false" customHeight="false" outlineLevel="0" collapsed="false">
      <c r="A14" s="0" t="s">
        <v>29</v>
      </c>
      <c r="C14" s="0" t="n">
        <f aca="false">-(C6+C7)*Inputs!$B$9</f>
        <v>60500000</v>
      </c>
      <c r="D14" s="0" t="n">
        <f aca="false">-(D6+D7)*Inputs!$B$9</f>
        <v>52250000</v>
      </c>
      <c r="E14" s="0" t="n">
        <f aca="false">-(E6+E7)*Inputs!$B$9</f>
        <v>27500000</v>
      </c>
      <c r="F14" s="0" t="n">
        <f aca="false">-(F6+F7)*Inputs!$B$9</f>
        <v>-0</v>
      </c>
      <c r="G14" s="0" t="n">
        <f aca="false">-(G6+G7)*Inputs!$B$9</f>
        <v>-0</v>
      </c>
      <c r="H14" s="0" t="n">
        <f aca="false">-(H6+H7)*Inputs!$B$9</f>
        <v>-0</v>
      </c>
      <c r="I14" s="0" t="n">
        <f aca="false">-(I6+I7)*Inputs!$B$9</f>
        <v>-0</v>
      </c>
      <c r="J14" s="0" t="n">
        <f aca="false">-(J6+J7)*Inputs!$B$9</f>
        <v>-0</v>
      </c>
      <c r="K14" s="0" t="n">
        <f aca="false">-(K6+K7)*Inputs!$B$9</f>
        <v>-0</v>
      </c>
      <c r="L14" s="0" t="n">
        <f aca="false">-(L6+L7)*Inputs!$B$9</f>
        <v>-0</v>
      </c>
      <c r="M14" s="0" t="n">
        <f aca="false">SUM(C14:L14)</f>
        <v>140250000</v>
      </c>
    </row>
    <row r="15" customFormat="false" ht="15" hidden="false" customHeight="false" outlineLevel="0" collapsed="false">
      <c r="A15" s="0" t="s">
        <v>30</v>
      </c>
      <c r="C15" s="0" t="n">
        <f aca="false">0</f>
        <v>0</v>
      </c>
      <c r="D15" s="0" t="n">
        <f aca="false">C19</f>
        <v>60500000</v>
      </c>
      <c r="E15" s="0" t="n">
        <f aca="false">D19</f>
        <v>112750000</v>
      </c>
      <c r="F15" s="0" t="n">
        <f aca="false">E19</f>
        <v>140250000</v>
      </c>
      <c r="G15" s="0" t="n">
        <f aca="false">F19</f>
        <v>140250000</v>
      </c>
      <c r="H15" s="0" t="n">
        <f aca="false">G19</f>
        <v>140250000</v>
      </c>
      <c r="I15" s="0" t="n">
        <f aca="false">H19</f>
        <v>140250000</v>
      </c>
      <c r="J15" s="0" t="n">
        <f aca="false">I19</f>
        <v>140250000</v>
      </c>
      <c r="K15" s="0" t="n">
        <f aca="false">J19</f>
        <v>140250000</v>
      </c>
      <c r="L15" s="0" t="n">
        <f aca="false">K19</f>
        <v>140250000</v>
      </c>
    </row>
    <row r="16" customFormat="false" ht="15" hidden="false" customHeight="false" outlineLevel="0" collapsed="false">
      <c r="A16" s="0" t="s">
        <v>31</v>
      </c>
      <c r="C16" s="0" t="n">
        <f aca="false">-C15*Inputs!$B$10</f>
        <v>-0</v>
      </c>
      <c r="D16" s="0" t="n">
        <f aca="false">-D15*Inputs!$B$10</f>
        <v>-3932500</v>
      </c>
      <c r="E16" s="0" t="n">
        <f aca="false">-E15*Inputs!$B$10</f>
        <v>-7328750</v>
      </c>
      <c r="F16" s="0" t="n">
        <f aca="false">-F15*Inputs!$B$10</f>
        <v>-9116250</v>
      </c>
      <c r="G16" s="0" t="n">
        <f aca="false">-G15*Inputs!$B$10</f>
        <v>-9116250</v>
      </c>
      <c r="H16" s="0" t="n">
        <f aca="false">-H15*Inputs!$B$10</f>
        <v>-9116250</v>
      </c>
      <c r="I16" s="0" t="n">
        <f aca="false">-I15*Inputs!$B$10</f>
        <v>-9116250</v>
      </c>
      <c r="J16" s="0" t="n">
        <f aca="false">-J15*Inputs!$B$10</f>
        <v>-9116250</v>
      </c>
      <c r="K16" s="0" t="n">
        <f aca="false">-K15*Inputs!$B$10</f>
        <v>-9116250</v>
      </c>
      <c r="L16" s="0" t="n">
        <f aca="false">-L15*Inputs!$B$10</f>
        <v>-9116250</v>
      </c>
      <c r="M16" s="0" t="n">
        <f aca="false">SUM(C16:L16)</f>
        <v>-75075000</v>
      </c>
    </row>
    <row r="17" customFormat="false" ht="15" hidden="false" customHeight="false" outlineLevel="0" collapsed="false">
      <c r="A17" s="0" t="s">
        <v>32</v>
      </c>
      <c r="C17" s="0" t="n">
        <f aca="false">IF(C$4=Inputs!$B$8,-(C15+C14),0)</f>
        <v>0</v>
      </c>
      <c r="D17" s="0" t="n">
        <f aca="false">IF(D$4=Inputs!$B$8,-(D15+D14),0)</f>
        <v>0</v>
      </c>
      <c r="E17" s="0" t="n">
        <f aca="false">IF(E$4=Inputs!$B$8,-(E15+E14),0)</f>
        <v>0</v>
      </c>
      <c r="F17" s="0" t="n">
        <f aca="false">IF(F$4=Inputs!$B$8,-(F15+F14),0)</f>
        <v>0</v>
      </c>
      <c r="G17" s="0" t="n">
        <f aca="false">IF(G$4=Inputs!$B$8,-(G15+G14),0)</f>
        <v>0</v>
      </c>
      <c r="H17" s="0" t="n">
        <f aca="false">IF(H$4=Inputs!$B$8,-(H15+H14),0)</f>
        <v>0</v>
      </c>
      <c r="I17" s="0" t="n">
        <f aca="false">IF(I$4=Inputs!$B$8,-(I15+I14),0)</f>
        <v>0</v>
      </c>
      <c r="J17" s="0" t="n">
        <f aca="false">IF(J$4=Inputs!$B$8,-(J15+J14),0)</f>
        <v>0</v>
      </c>
      <c r="K17" s="0" t="n">
        <f aca="false">IF(K$4=Inputs!$B$8,-(K15+K14),0)</f>
        <v>0</v>
      </c>
      <c r="L17" s="0" t="n">
        <f aca="false">IF(L$4=Inputs!$B$8,-(L15+L14),0)</f>
        <v>-140250000</v>
      </c>
      <c r="M17" s="0" t="n">
        <f aca="false">SUM(C17:L17)</f>
        <v>-140250000</v>
      </c>
    </row>
    <row r="18" customFormat="false" ht="15" hidden="false" customHeight="false" outlineLevel="0" collapsed="false">
      <c r="A18" s="0" t="s">
        <v>33</v>
      </c>
      <c r="C18" s="0" t="n">
        <f aca="false">C13+C14+C16+C17</f>
        <v>-49500000</v>
      </c>
      <c r="D18" s="0" t="n">
        <f aca="false">D13+D14+D16+D17</f>
        <v>-46682500</v>
      </c>
      <c r="E18" s="0" t="n">
        <f aca="false">E13+E14+E16+E17</f>
        <v>-29828750</v>
      </c>
      <c r="F18" s="0" t="n">
        <f aca="false">F13+F14+F16+F17</f>
        <v>1443750</v>
      </c>
      <c r="G18" s="0" t="n">
        <f aca="false">G13+G14+G16+G17</f>
        <v>11277750</v>
      </c>
      <c r="H18" s="0" t="n">
        <f aca="false">H13+H14+H16+H17</f>
        <v>17491122</v>
      </c>
      <c r="I18" s="0" t="n">
        <f aca="false">I13+I14+I16+I17</f>
        <v>18289343.16</v>
      </c>
      <c r="J18" s="0" t="n">
        <f aca="false">J13+J14+J16+J17</f>
        <v>19111510.9548</v>
      </c>
      <c r="K18" s="0" t="n">
        <f aca="false">K13+K14+K16+K17</f>
        <v>19958343.783444</v>
      </c>
      <c r="L18" s="0" t="n">
        <f aca="false">L13+L14+L16+L17</f>
        <v>312413893.224928</v>
      </c>
      <c r="M18" s="0" t="n">
        <f aca="false">SUM(C18:L18)</f>
        <v>273974463.123172</v>
      </c>
    </row>
    <row r="19" customFormat="false" ht="15" hidden="false" customHeight="false" outlineLevel="0" collapsed="false">
      <c r="A19" s="0" t="s">
        <v>34</v>
      </c>
      <c r="C19" s="0" t="n">
        <f aca="false">C15+C14+C17</f>
        <v>60500000</v>
      </c>
      <c r="D19" s="0" t="n">
        <f aca="false">D15+D14+D17</f>
        <v>112750000</v>
      </c>
      <c r="E19" s="0" t="n">
        <f aca="false">E15+E14+E17</f>
        <v>140250000</v>
      </c>
      <c r="F19" s="0" t="n">
        <f aca="false">F15+F14+F17</f>
        <v>140250000</v>
      </c>
      <c r="G19" s="0" t="n">
        <f aca="false">G15+G14+G17</f>
        <v>140250000</v>
      </c>
      <c r="H19" s="0" t="n">
        <f aca="false">H15+H14+H17</f>
        <v>140250000</v>
      </c>
      <c r="I19" s="0" t="n">
        <f aca="false">I15+I14+I17</f>
        <v>140250000</v>
      </c>
      <c r="J19" s="0" t="n">
        <f aca="false">J15+J14+J17</f>
        <v>140250000</v>
      </c>
      <c r="K19" s="0" t="n">
        <f aca="false">K15+K14+K17</f>
        <v>140250000</v>
      </c>
      <c r="L19" s="0" t="n">
        <f aca="false">L15+L14+L17</f>
        <v>0</v>
      </c>
    </row>
    <row r="20" customFormat="false" ht="15" hidden="false" customHeight="false" outlineLevel="0" collapsed="false">
      <c r="A20" s="0" t="s">
        <v>35</v>
      </c>
      <c r="C20" s="0" t="str">
        <f aca="false">IF(AND(C11&gt;0,C16&lt;0),C11/-C16,"")</f>
        <v/>
      </c>
      <c r="D20" s="0" t="str">
        <f aca="false">IF(AND(D11&gt;0,D16&lt;0),D11/-D16,"")</f>
        <v/>
      </c>
      <c r="E20" s="0" t="str">
        <f aca="false">IF(AND(E11&gt;0,E16&lt;0),E11/-E16,"")</f>
        <v/>
      </c>
      <c r="F20" s="0" t="n">
        <f aca="false">IF(AND(F11&gt;0,F16&lt;0),F11/-F16,"")</f>
        <v>1.15837104072398</v>
      </c>
      <c r="G20" s="0" t="n">
        <f aca="false">IF(AND(G11&gt;0,G16&lt;0),G11/-G16,"")</f>
        <v>2.23710407239819</v>
      </c>
      <c r="H20" s="0" t="n">
        <f aca="false">IF(AND(H11&gt;0,H16&lt;0),H11/-H16,"")</f>
        <v>2.91867511312217</v>
      </c>
      <c r="I20" s="0" t="n">
        <f aca="false">IF(AND(I11&gt;0,I16&lt;0),I11/-I16,"")</f>
        <v>3.00623536651584</v>
      </c>
      <c r="J20" s="0" t="n">
        <f aca="false">IF(AND(J11&gt;0,J16&lt;0),J11/-J16,"")</f>
        <v>3.09642242751131</v>
      </c>
      <c r="K20" s="0" t="n">
        <f aca="false">IF(AND(K11&gt;0,K16&lt;0),K11/-K16,"")</f>
        <v>3.18931510033665</v>
      </c>
      <c r="L20" s="0" t="n">
        <f aca="false">IF(AND(L11&gt;0,L16&lt;0),L11/-L16,"")</f>
        <v>3.28499455334675</v>
      </c>
    </row>
    <row r="21" customFormat="false" ht="15" hidden="false" customHeight="false" outlineLevel="0" collapsed="false">
      <c r="A21" s="0" t="s">
        <v>36</v>
      </c>
      <c r="C21" s="0" t="str">
        <f aca="false">IF(C11&gt;0,C11/Inputs!$B$7,"")</f>
        <v/>
      </c>
      <c r="D21" s="0" t="str">
        <f aca="false">IF(D11&gt;0,D11/Inputs!$B$7,"")</f>
        <v/>
      </c>
      <c r="E21" s="0" t="str">
        <f aca="false">IF(E11&gt;0,E11/Inputs!$B$7,"")</f>
        <v/>
      </c>
      <c r="F21" s="0" t="n">
        <f aca="false">IF(F11&gt;0,F11/Inputs!$B$7,"")</f>
        <v>150857142.857143</v>
      </c>
      <c r="G21" s="0" t="n">
        <f aca="false">IF(G11&gt;0,G11/Inputs!$B$7,"")</f>
        <v>291342857.142857</v>
      </c>
      <c r="H21" s="0" t="n">
        <f aca="false">IF(H11&gt;0,H11/Inputs!$B$7,"")</f>
        <v>380105314.285714</v>
      </c>
      <c r="I21" s="0" t="n">
        <f aca="false">IF(I11&gt;0,I11/Inputs!$B$7,"")</f>
        <v>391508473.714286</v>
      </c>
      <c r="J21" s="0" t="n">
        <f aca="false">IF(J11&gt;0,J11/Inputs!$B$7,"")</f>
        <v>403253727.925714</v>
      </c>
      <c r="K21" s="0" t="n">
        <f aca="false">IF(K11&gt;0,K11/Inputs!$B$7,"")</f>
        <v>415351339.763486</v>
      </c>
      <c r="L21" s="0" t="n">
        <f aca="false">IF(L11&gt;0,L11/Inputs!$B$7,"")</f>
        <v>427811879.95639</v>
      </c>
    </row>
    <row r="22" customFormat="false" ht="15" hidden="false" customHeight="false" outlineLevel="0" collapsed="false">
      <c r="A22" s="0" t="s">
        <v>37</v>
      </c>
      <c r="C22" s="0" t="str">
        <f aca="false">IF(AND(ISNUMBER(C21),C19&gt;0),C19/C21,"")</f>
        <v/>
      </c>
      <c r="D22" s="0" t="str">
        <f aca="false">IF(AND(ISNUMBER(D21),D19&gt;0),D19/D21,"")</f>
        <v/>
      </c>
      <c r="E22" s="0" t="str">
        <f aca="false">IF(AND(ISNUMBER(E21),E19&gt;0),E19/E21,"")</f>
        <v/>
      </c>
      <c r="F22" s="0" t="n">
        <f aca="false">IF(AND(ISNUMBER(F21),F19&gt;0),F19/F21,"")</f>
        <v>0.9296875</v>
      </c>
      <c r="G22" s="0" t="n">
        <f aca="false">IF(AND(ISNUMBER(G21),G19&gt;0),G19/G21,"")</f>
        <v>0.481391585760518</v>
      </c>
      <c r="H22" s="0" t="n">
        <f aca="false">IF(AND(ISNUMBER(H21),H19&gt;0),H19/H21,"")</f>
        <v>0.368976688114858</v>
      </c>
      <c r="I22" s="0" t="n">
        <f aca="false">IF(AND(ISNUMBER(I21),I19&gt;0),I19/I21,"")</f>
        <v>0.35822979428627</v>
      </c>
      <c r="J22" s="0" t="n">
        <f aca="false">IF(AND(ISNUMBER(J21),J19&gt;0),J19/J21,"")</f>
        <v>0.347795916782786</v>
      </c>
      <c r="K22" s="0" t="n">
        <f aca="false">IF(AND(ISNUMBER(K21),K19&gt;0),K19/K21,"")</f>
        <v>0.337665938624064</v>
      </c>
      <c r="L22" s="0" t="str">
        <f aca="false">IF(AND(ISNUMBER(L21),L19&gt;0),L19/L21,"")</f>
        <v/>
      </c>
    </row>
    <row r="23" customFormat="false" ht="15" hidden="false" customHeight="false" outlineLevel="0" collapsed="false">
      <c r="A23" s="0" t="s">
        <v>38</v>
      </c>
      <c r="C23" s="0" t="n">
        <f aca="false">SUM($C18:C18)</f>
        <v>-49500000</v>
      </c>
      <c r="D23" s="0" t="n">
        <f aca="false">SUM($C18:D18)</f>
        <v>-96182500</v>
      </c>
      <c r="E23" s="0" t="n">
        <f aca="false">SUM($C18:E18)</f>
        <v>-126011250</v>
      </c>
      <c r="F23" s="0" t="n">
        <f aca="false">SUM($C18:F18)</f>
        <v>-124567500</v>
      </c>
      <c r="G23" s="0" t="n">
        <f aca="false">SUM($C18:G18)</f>
        <v>-113289750</v>
      </c>
      <c r="H23" s="0" t="n">
        <f aca="false">SUM($C18:H18)</f>
        <v>-95798628</v>
      </c>
      <c r="I23" s="0" t="n">
        <f aca="false">SUM($C18:I18)</f>
        <v>-77509284.84</v>
      </c>
      <c r="J23" s="0" t="n">
        <f aca="false">SUM($C18:J18)</f>
        <v>-58397773.8852</v>
      </c>
      <c r="K23" s="0" t="n">
        <f aca="false">SUM($C18:K18)</f>
        <v>-38439430.101756</v>
      </c>
      <c r="L23" s="0" t="n">
        <f aca="false">SUM($C18:L18)</f>
        <v>273974463.123172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39</v>
      </c>
      <c r="B2" s="1" t="n">
        <f aca="false">IRR('Cash Flow'!C13:L13)</f>
        <v>0.123781641338052</v>
      </c>
    </row>
    <row r="3" customFormat="false" ht="15" hidden="false" customHeight="false" outlineLevel="0" collapsed="false">
      <c r="A3" s="0" t="s">
        <v>40</v>
      </c>
      <c r="B3" s="1" t="n">
        <f aca="false">IRR('Cash Flow'!C18:L18)</f>
        <v>0.168449344246175</v>
      </c>
    </row>
    <row r="4" customFormat="false" ht="15" hidden="false" customHeight="false" outlineLevel="0" collapsed="false">
      <c r="A4" s="0" t="s">
        <v>41</v>
      </c>
      <c r="B4" s="0" t="n">
        <f aca="false">SUMIF('Cash Flow'!C18:L18,"&gt;0")/-SUMIF('Cash Flow'!C18:L18,"&lt;0")</f>
        <v>3.17420637540832</v>
      </c>
    </row>
    <row r="5" customFormat="false" ht="15" hidden="false" customHeight="false" outlineLevel="0" collapsed="false">
      <c r="A5" s="0" t="s">
        <v>42</v>
      </c>
      <c r="B5" s="0" t="n">
        <f aca="false">SUM('Cash Flow'!C18:L18)</f>
        <v>273974463.123172</v>
      </c>
    </row>
    <row r="6" customFormat="false" ht="15" hidden="false" customHeight="false" outlineLevel="0" collapsed="false">
      <c r="A6" s="0" t="s">
        <v>43</v>
      </c>
      <c r="B6" s="0" t="n">
        <f aca="false">-MIN('Cash Flow'!C23:L23)</f>
        <v>126011250</v>
      </c>
    </row>
    <row r="7" customFormat="false" ht="15" hidden="false" customHeight="false" outlineLevel="0" collapsed="false">
      <c r="A7" s="0" t="s">
        <v>44</v>
      </c>
      <c r="B7" s="0" t="n">
        <f aca="false">MIN('Cash Flow'!C20:L20)</f>
        <v>1.15837104072398</v>
      </c>
    </row>
    <row r="8" customFormat="false" ht="15" hidden="false" customHeight="false" outlineLevel="0" collapsed="false">
      <c r="A8" s="0" t="s">
        <v>45</v>
      </c>
      <c r="B8" s="0" t="n">
        <f aca="false">MAX('Cash Flow'!C22:L22)</f>
        <v>0.9296875</v>
      </c>
    </row>
    <row r="9" customFormat="false" ht="15" hidden="false" customHeight="false" outlineLevel="0" collapsed="false">
      <c r="A9" s="0" t="s">
        <v>46</v>
      </c>
      <c r="B9" s="2" t="n">
        <f aca="false">NPV(Inputs!B16,'Cash Flow'!C18:L18)</f>
        <v>71796799.405746</v>
      </c>
    </row>
    <row r="10" customFormat="false" ht="15" hidden="false" customHeight="false" outlineLevel="0" collapsed="false">
      <c r="A10" s="0" t="s">
        <v>47</v>
      </c>
      <c r="B10" s="0" t="n">
        <f aca="false">-('Cash Flow'!M6+'Cash Flow'!M7)</f>
        <v>255000000</v>
      </c>
    </row>
    <row r="11" customFormat="false" ht="15" hidden="false" customHeight="false" outlineLevel="0" collapsed="false">
      <c r="A11" s="0" t="s">
        <v>48</v>
      </c>
      <c r="B11" s="0" t="n">
        <f aca="false">B5/B10</f>
        <v>1.07440965930656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2026-10-18T17:28:19Z</dcterms:created>
  <dc:creator>openpyxl</dc:creator>
  <dc:description/>
  <dc:language>en-US</dc:language>
  <cp:lastModifiedBy/>
  <dcterms:modified xsi:type="dcterms:W3CDTF">2026-10-18T17:28:19Z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