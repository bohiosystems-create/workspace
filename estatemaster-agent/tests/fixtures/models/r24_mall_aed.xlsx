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enants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<sst xmlns="http://schemas.openxmlformats.org/spreadsheetml/2006/main" count="43" uniqueCount="43">
  <si>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AL WASL GALLERIA – REGIONAL MALL, MONTHLY (AED)</t>
  </si>
  <si>
    <t xml:space="preserve">Model start</t>
  </si>
  <si>
    <t xml:space="preserve">Market rent line shops (AED/sqm/yr)</t>
  </si>
  <si>
    <t xml:space="preserve">Market rent growth</t>
  </si>
  <si>
    <t xml:space="preserve">Re-letting void (months)</t>
  </si>
  <si>
    <t xml:space="preserve">Tenant sales growth</t>
  </si>
  <si>
    <t xml:space="preserve">Service charge (AED/sqm/yr)</t>
  </si>
  <si>
    <t xml:space="preserve">Service charge recovery cap (AED/sqm/yr)</t>
  </si>
  <si>
    <t xml:space="preserve">Service charge growth</t>
  </si>
  <si>
    <t xml:space="preserve">Exit yield</t>
  </si>
  <si>
    <t xml:space="preserve">Purchase price (AED)</t>
  </si>
  <si>
    <t xml:space="preserve">Tenant</t>
  </si>
  <si>
    <t xml:space="preserve">Area (sqm)</t>
  </si>
  <si>
    <t xml:space="preserve">Base rent (AED/sqm/yr)</t>
  </si>
  <si>
    <t xml:space="preserve">Sales (AED/sqm/yr)</t>
  </si>
  <si>
    <t xml:space="preserve">Turnover rent share</t>
  </si>
  <si>
    <t xml:space="preserve">Lease expiry</t>
  </si>
  <si>
    <t xml:space="preserve">Hypermarket</t>
  </si>
  <si>
    <t xml:space="preserve">Department store</t>
  </si>
  <si>
    <t xml:space="preserve">Cinema</t>
  </si>
  <si>
    <t xml:space="preserve">Fashion line shops</t>
  </si>
  <si>
    <t xml:space="preserve">F&amp;B court</t>
  </si>
  <si>
    <t xml:space="preserve">Electronics</t>
  </si>
  <si>
    <t xml:space="preserve">Month</t>
  </si>
  <si>
    <t xml:space="preserve">Date</t>
  </si>
  <si>
    <t xml:space="preserve">Rent 1</t>
  </si>
  <si>
    <t xml:space="preserve">Rent 2</t>
  </si>
  <si>
    <t xml:space="preserve">Rent 3</t>
  </si>
  <si>
    <t xml:space="preserve">Rent 4</t>
  </si>
  <si>
    <t xml:space="preserve">Rent 5</t>
  </si>
  <si>
    <t xml:space="preserve">Rent 6</t>
  </si>
  <si>
    <t xml:space="preserve">Base and re-let rent</t>
  </si>
  <si>
    <t xml:space="preserve">Turnover rent</t>
  </si>
  <si>
    <t xml:space="preserve">Service charge cost</t>
  </si>
  <si>
    <t xml:space="preserve">Service charge recovered</t>
  </si>
  <si>
    <t xml:space="preserve">Net operating income</t>
  </si>
  <si>
    <t xml:space="preserve">Equity cash flow</t>
  </si>
  <si>
    <t xml:space="preserve">Unlevered IRR</t>
  </si>
  <si>
    <t xml:space="preserve">Turnover rent share of income</t>
  </si>
  <si>
    <t xml:space="preserve">Service charge leakage (AED)</t>
  </si>
  <si>
    <t xml:space="preserve">Leases expiring by 2030</t>
  </si>
  <si>
    <t xml:space="preserve">Net initial yield</t>
  </si>
  <si>
    <t xml:space="preserve">Net profit (AED)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</si>
</sst>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"/>
    <numFmt numFmtId="167" formatCode="0.00%"/>
    <numFmt numFmtId="168" formatCode="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46387</v>
      </c>
    </row>
    <row r="4" customFormat="false" ht="15" hidden="false" customHeight="false" outlineLevel="0" collapsed="false">
      <c r="A4" s="0" t="s">
        <v>2</v>
      </c>
      <c r="B4" s="2" t="n">
        <v>2600</v>
      </c>
    </row>
    <row r="5" customFormat="false" ht="15" hidden="false" customHeight="false" outlineLevel="0" collapsed="false">
      <c r="A5" s="0" t="s">
        <v>3</v>
      </c>
      <c r="B5" s="3" t="n">
        <v>0.03</v>
      </c>
    </row>
    <row r="6" customFormat="false" ht="15" hidden="false" customHeight="false" outlineLevel="0" collapsed="false">
      <c r="A6" s="0" t="s">
        <v>4</v>
      </c>
      <c r="B6" s="4" t="n">
        <v>6</v>
      </c>
    </row>
    <row r="7" customFormat="false" ht="15" hidden="false" customHeight="false" outlineLevel="0" collapsed="false">
      <c r="A7" s="0" t="s">
        <v>5</v>
      </c>
      <c r="B7" s="3" t="n">
        <v>0.04</v>
      </c>
    </row>
    <row r="8" customFormat="false" ht="15" hidden="false" customHeight="false" outlineLevel="0" collapsed="false">
      <c r="A8" s="0" t="s">
        <v>6</v>
      </c>
      <c r="B8" s="2" t="n">
        <v>310</v>
      </c>
    </row>
    <row r="9" customFormat="false" ht="15" hidden="false" customHeight="false" outlineLevel="0" collapsed="false">
      <c r="A9" s="0" t="s">
        <v>7</v>
      </c>
      <c r="B9" s="2" t="n">
        <v>290</v>
      </c>
    </row>
    <row r="10" customFormat="false" ht="15" hidden="false" customHeight="false" outlineLevel="0" collapsed="false">
      <c r="A10" s="0" t="s">
        <v>8</v>
      </c>
      <c r="B10" s="3" t="n">
        <v>0.035</v>
      </c>
    </row>
    <row r="11" customFormat="false" ht="15" hidden="false" customHeight="false" outlineLevel="0" collapsed="false">
      <c r="A11" s="0" t="s">
        <v>9</v>
      </c>
      <c r="B11" s="3" t="n">
        <v>0.075</v>
      </c>
    </row>
    <row r="12" customFormat="false" ht="15" hidden="false" customHeight="false" outlineLevel="0" collapsed="false">
      <c r="A12" s="0" t="s">
        <v>10</v>
      </c>
      <c r="B12" s="2" t="n">
        <v>2650000000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</row>
    <row r="2" customFormat="false" ht="15" hidden="false" customHeight="false" outlineLevel="0" collapsed="false">
      <c r="A2" s="0" t="s">
        <v>17</v>
      </c>
      <c r="B2" s="0" t="n">
        <v>22000</v>
      </c>
      <c r="C2" s="0" t="n">
        <v>650</v>
      </c>
      <c r="D2" s="0" t="n">
        <v>9500</v>
      </c>
      <c r="E2" s="0" t="n">
        <v>0.08</v>
      </c>
      <c r="F2" s="1" t="n">
        <v>49125</v>
      </c>
    </row>
    <row r="3" customFormat="false" ht="15" hidden="false" customHeight="false" outlineLevel="0" collapsed="false">
      <c r="A3" s="0" t="s">
        <v>18</v>
      </c>
      <c r="B3" s="0" t="n">
        <v>15000</v>
      </c>
      <c r="C3" s="0" t="n">
        <v>820</v>
      </c>
      <c r="D3" s="0" t="n">
        <v>7800</v>
      </c>
      <c r="E3" s="0" t="n">
        <v>0.12</v>
      </c>
      <c r="F3" s="1" t="n">
        <v>48213</v>
      </c>
    </row>
    <row r="4" customFormat="false" ht="15" hidden="false" customHeight="false" outlineLevel="0" collapsed="false">
      <c r="A4" s="0" t="s">
        <v>19</v>
      </c>
      <c r="B4" s="0" t="n">
        <v>8000</v>
      </c>
      <c r="C4" s="0" t="n">
        <v>700</v>
      </c>
      <c r="D4" s="0" t="n">
        <v>5200</v>
      </c>
      <c r="E4" s="0" t="n">
        <v>0.15</v>
      </c>
      <c r="F4" s="1" t="n">
        <v>47208</v>
      </c>
    </row>
    <row r="5" customFormat="false" ht="15" hidden="false" customHeight="false" outlineLevel="0" collapsed="false">
      <c r="A5" s="0" t="s">
        <v>20</v>
      </c>
      <c r="B5" s="0" t="n">
        <v>26000</v>
      </c>
      <c r="C5" s="0" t="n">
        <v>2450</v>
      </c>
      <c r="D5" s="0" t="n">
        <v>14500</v>
      </c>
      <c r="E5" s="0" t="n">
        <v>0.2</v>
      </c>
      <c r="F5" s="1" t="n">
        <v>47026</v>
      </c>
    </row>
    <row r="6" customFormat="false" ht="15" hidden="false" customHeight="false" outlineLevel="0" collapsed="false">
      <c r="A6" s="0" t="s">
        <v>21</v>
      </c>
      <c r="B6" s="0" t="n">
        <v>9000</v>
      </c>
      <c r="C6" s="0" t="n">
        <v>2900</v>
      </c>
      <c r="D6" s="0" t="n">
        <v>16800</v>
      </c>
      <c r="E6" s="0" t="n">
        <v>0.2</v>
      </c>
      <c r="F6" s="1" t="n">
        <v>46752</v>
      </c>
    </row>
    <row r="7" customFormat="false" ht="15" hidden="false" customHeight="false" outlineLevel="0" collapsed="false">
      <c r="A7" s="0" t="s">
        <v>22</v>
      </c>
      <c r="B7" s="0" t="n">
        <v>6000</v>
      </c>
      <c r="C7" s="0" t="n">
        <v>2300</v>
      </c>
      <c r="D7" s="0" t="n">
        <v>21000</v>
      </c>
      <c r="E7" s="0" t="n">
        <v>0.12</v>
      </c>
      <c r="F7" s="1" t="n">
        <v>47664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R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  <c r="AY3" s="0" t="n">
        <v>49</v>
      </c>
      <c r="AZ3" s="0" t="n">
        <v>50</v>
      </c>
      <c r="BA3" s="0" t="n">
        <v>51</v>
      </c>
      <c r="BB3" s="0" t="n">
        <v>52</v>
      </c>
      <c r="BC3" s="0" t="n">
        <v>53</v>
      </c>
      <c r="BD3" s="0" t="n">
        <v>54</v>
      </c>
      <c r="BE3" s="0" t="n">
        <v>55</v>
      </c>
      <c r="BF3" s="0" t="n">
        <v>56</v>
      </c>
      <c r="BG3" s="0" t="n">
        <v>57</v>
      </c>
      <c r="BH3" s="0" t="n">
        <v>58</v>
      </c>
      <c r="BI3" s="0" t="n">
        <v>59</v>
      </c>
      <c r="BJ3" s="0" t="n">
        <v>60</v>
      </c>
      <c r="BK3" s="0" t="n">
        <v>61</v>
      </c>
      <c r="BL3" s="0" t="n">
        <v>62</v>
      </c>
      <c r="BM3" s="0" t="n">
        <v>63</v>
      </c>
      <c r="BN3" s="0" t="n">
        <v>64</v>
      </c>
      <c r="BO3" s="0" t="n">
        <v>65</v>
      </c>
      <c r="BP3" s="0" t="n">
        <v>66</v>
      </c>
      <c r="BQ3" s="0" t="n">
        <v>67</v>
      </c>
      <c r="BR3" s="0" t="n">
        <v>68</v>
      </c>
      <c r="BS3" s="0" t="n">
        <v>69</v>
      </c>
      <c r="BT3" s="0" t="n">
        <v>70</v>
      </c>
      <c r="BU3" s="0" t="n">
        <v>71</v>
      </c>
      <c r="BV3" s="0" t="n">
        <v>72</v>
      </c>
      <c r="BW3" s="0" t="n">
        <v>73</v>
      </c>
      <c r="BX3" s="0" t="n">
        <v>74</v>
      </c>
      <c r="BY3" s="0" t="n">
        <v>75</v>
      </c>
      <c r="BZ3" s="0" t="n">
        <v>76</v>
      </c>
      <c r="CA3" s="0" t="n">
        <v>77</v>
      </c>
      <c r="CB3" s="0" t="n">
        <v>78</v>
      </c>
      <c r="CC3" s="0" t="n">
        <v>79</v>
      </c>
      <c r="CD3" s="0" t="n">
        <v>80</v>
      </c>
      <c r="CE3" s="0" t="n">
        <v>81</v>
      </c>
      <c r="CF3" s="0" t="n">
        <v>82</v>
      </c>
      <c r="CG3" s="0" t="n">
        <v>83</v>
      </c>
      <c r="CH3" s="0" t="n">
        <v>84</v>
      </c>
      <c r="CI3" s="0" t="n">
        <v>85</v>
      </c>
      <c r="CJ3" s="0" t="n">
        <v>86</v>
      </c>
      <c r="CK3" s="0" t="n">
        <v>87</v>
      </c>
      <c r="CL3" s="0" t="n">
        <v>88</v>
      </c>
      <c r="CM3" s="0" t="n">
        <v>89</v>
      </c>
      <c r="CN3" s="0" t="n">
        <v>90</v>
      </c>
      <c r="CO3" s="0" t="n">
        <v>91</v>
      </c>
      <c r="CP3" s="0" t="n">
        <v>92</v>
      </c>
      <c r="CQ3" s="0" t="n">
        <v>93</v>
      </c>
      <c r="CR3" s="0" t="n">
        <v>94</v>
      </c>
      <c r="CS3" s="0" t="n">
        <v>95</v>
      </c>
      <c r="CT3" s="0" t="n">
        <v>96</v>
      </c>
      <c r="CU3" s="0" t="n">
        <v>97</v>
      </c>
      <c r="CV3" s="0" t="n">
        <v>98</v>
      </c>
      <c r="CW3" s="0" t="n">
        <v>99</v>
      </c>
      <c r="CX3" s="0" t="n">
        <v>100</v>
      </c>
      <c r="CY3" s="0" t="n">
        <v>101</v>
      </c>
      <c r="CZ3" s="0" t="n">
        <v>102</v>
      </c>
      <c r="DA3" s="0" t="n">
        <v>103</v>
      </c>
      <c r="DB3" s="0" t="n">
        <v>104</v>
      </c>
      <c r="DC3" s="0" t="n">
        <v>105</v>
      </c>
      <c r="DD3" s="0" t="n">
        <v>106</v>
      </c>
      <c r="DE3" s="0" t="n">
        <v>107</v>
      </c>
      <c r="DF3" s="0" t="n">
        <v>108</v>
      </c>
      <c r="DG3" s="0" t="n">
        <v>109</v>
      </c>
      <c r="DH3" s="0" t="n">
        <v>110</v>
      </c>
      <c r="DI3" s="0" t="n">
        <v>111</v>
      </c>
      <c r="DJ3" s="0" t="n">
        <v>112</v>
      </c>
      <c r="DK3" s="0" t="n">
        <v>113</v>
      </c>
      <c r="DL3" s="0" t="n">
        <v>114</v>
      </c>
      <c r="DM3" s="0" t="n">
        <v>115</v>
      </c>
      <c r="DN3" s="0" t="n">
        <v>116</v>
      </c>
      <c r="DO3" s="0" t="n">
        <v>117</v>
      </c>
      <c r="DP3" s="0" t="n">
        <v>118</v>
      </c>
      <c r="DQ3" s="0" t="n">
        <v>119</v>
      </c>
      <c r="DR3" s="0" t="n">
        <v>120</v>
      </c>
    </row>
    <row r="4" customFormat="false" ht="15" hidden="false" customHeight="false" outlineLevel="0" collapsed="false">
      <c r="A4" s="0" t="s">
        <v>24</v>
      </c>
      <c r="B4" s="1" t="n">
        <f aca="false">EOMONTH(Inputs!$B$3,B$3)</f>
        <v>46387</v>
      </c>
      <c r="C4" s="1" t="n">
        <f aca="false">EOMONTH(Inputs!$B$3,C$3)</f>
        <v>46418</v>
      </c>
      <c r="D4" s="1" t="n">
        <f aca="false">EOMONTH(Inputs!$B$3,D$3)</f>
        <v>46446</v>
      </c>
      <c r="E4" s="1" t="n">
        <f aca="false">EOMONTH(Inputs!$B$3,E$3)</f>
        <v>46477</v>
      </c>
      <c r="F4" s="1" t="n">
        <f aca="false">EOMONTH(Inputs!$B$3,F$3)</f>
        <v>46507</v>
      </c>
      <c r="G4" s="1" t="n">
        <f aca="false">EOMONTH(Inputs!$B$3,G$3)</f>
        <v>46538</v>
      </c>
      <c r="H4" s="1" t="n">
        <f aca="false">EOMONTH(Inputs!$B$3,H$3)</f>
        <v>46568</v>
      </c>
      <c r="I4" s="1" t="n">
        <f aca="false">EOMONTH(Inputs!$B$3,I$3)</f>
        <v>46599</v>
      </c>
      <c r="J4" s="1" t="n">
        <f aca="false">EOMONTH(Inputs!$B$3,J$3)</f>
        <v>46630</v>
      </c>
      <c r="K4" s="1" t="n">
        <f aca="false">EOMONTH(Inputs!$B$3,K$3)</f>
        <v>46660</v>
      </c>
      <c r="L4" s="1" t="n">
        <f aca="false">EOMONTH(Inputs!$B$3,L$3)</f>
        <v>46691</v>
      </c>
      <c r="M4" s="1" t="n">
        <f aca="false">EOMONTH(Inputs!$B$3,M$3)</f>
        <v>46721</v>
      </c>
      <c r="N4" s="1" t="n">
        <f aca="false">EOMONTH(Inputs!$B$3,N$3)</f>
        <v>46752</v>
      </c>
      <c r="O4" s="1" t="n">
        <f aca="false">EOMONTH(Inputs!$B$3,O$3)</f>
        <v>46783</v>
      </c>
      <c r="P4" s="1" t="n">
        <f aca="false">EOMONTH(Inputs!$B$3,P$3)</f>
        <v>46812</v>
      </c>
      <c r="Q4" s="1" t="n">
        <f aca="false">EOMONTH(Inputs!$B$3,Q$3)</f>
        <v>46843</v>
      </c>
      <c r="R4" s="1" t="n">
        <f aca="false">EOMONTH(Inputs!$B$3,R$3)</f>
        <v>46873</v>
      </c>
      <c r="S4" s="1" t="n">
        <f aca="false">EOMONTH(Inputs!$B$3,S$3)</f>
        <v>46904</v>
      </c>
      <c r="T4" s="1" t="n">
        <f aca="false">EOMONTH(Inputs!$B$3,T$3)</f>
        <v>46934</v>
      </c>
      <c r="U4" s="1" t="n">
        <f aca="false">EOMONTH(Inputs!$B$3,U$3)</f>
        <v>46965</v>
      </c>
      <c r="V4" s="1" t="n">
        <f aca="false">EOMONTH(Inputs!$B$3,V$3)</f>
        <v>46996</v>
      </c>
      <c r="W4" s="1" t="n">
        <f aca="false">EOMONTH(Inputs!$B$3,W$3)</f>
        <v>47026</v>
      </c>
      <c r="X4" s="1" t="n">
        <f aca="false">EOMONTH(Inputs!$B$3,X$3)</f>
        <v>47057</v>
      </c>
      <c r="Y4" s="1" t="n">
        <f aca="false">EOMONTH(Inputs!$B$3,Y$3)</f>
        <v>47087</v>
      </c>
      <c r="Z4" s="1" t="n">
        <f aca="false">EOMONTH(Inputs!$B$3,Z$3)</f>
        <v>47118</v>
      </c>
      <c r="AA4" s="1" t="n">
        <f aca="false">EOMONTH(Inputs!$B$3,AA$3)</f>
        <v>47149</v>
      </c>
      <c r="AB4" s="1" t="n">
        <f aca="false">EOMONTH(Inputs!$B$3,AB$3)</f>
        <v>47177</v>
      </c>
      <c r="AC4" s="1" t="n">
        <f aca="false">EOMONTH(Inputs!$B$3,AC$3)</f>
        <v>47208</v>
      </c>
      <c r="AD4" s="1" t="n">
        <f aca="false">EOMONTH(Inputs!$B$3,AD$3)</f>
        <v>47238</v>
      </c>
      <c r="AE4" s="1" t="n">
        <f aca="false">EOMONTH(Inputs!$B$3,AE$3)</f>
        <v>47269</v>
      </c>
      <c r="AF4" s="1" t="n">
        <f aca="false">EOMONTH(Inputs!$B$3,AF$3)</f>
        <v>47299</v>
      </c>
      <c r="AG4" s="1" t="n">
        <f aca="false">EOMONTH(Inputs!$B$3,AG$3)</f>
        <v>47330</v>
      </c>
      <c r="AH4" s="1" t="n">
        <f aca="false">EOMONTH(Inputs!$B$3,AH$3)</f>
        <v>47361</v>
      </c>
      <c r="AI4" s="1" t="n">
        <f aca="false">EOMONTH(Inputs!$B$3,AI$3)</f>
        <v>47391</v>
      </c>
      <c r="AJ4" s="1" t="n">
        <f aca="false">EOMONTH(Inputs!$B$3,AJ$3)</f>
        <v>47422</v>
      </c>
      <c r="AK4" s="1" t="n">
        <f aca="false">EOMONTH(Inputs!$B$3,AK$3)</f>
        <v>47452</v>
      </c>
      <c r="AL4" s="1" t="n">
        <f aca="false">EOMONTH(Inputs!$B$3,AL$3)</f>
        <v>47483</v>
      </c>
      <c r="AM4" s="1" t="n">
        <f aca="false">EOMONTH(Inputs!$B$3,AM$3)</f>
        <v>47514</v>
      </c>
      <c r="AN4" s="1" t="n">
        <f aca="false">EOMONTH(Inputs!$B$3,AN$3)</f>
        <v>47542</v>
      </c>
      <c r="AO4" s="1" t="n">
        <f aca="false">EOMONTH(Inputs!$B$3,AO$3)</f>
        <v>47573</v>
      </c>
      <c r="AP4" s="1" t="n">
        <f aca="false">EOMONTH(Inputs!$B$3,AP$3)</f>
        <v>47603</v>
      </c>
      <c r="AQ4" s="1" t="n">
        <f aca="false">EOMONTH(Inputs!$B$3,AQ$3)</f>
        <v>47634</v>
      </c>
      <c r="AR4" s="1" t="n">
        <f aca="false">EOMONTH(Inputs!$B$3,AR$3)</f>
        <v>47664</v>
      </c>
      <c r="AS4" s="1" t="n">
        <f aca="false">EOMONTH(Inputs!$B$3,AS$3)</f>
        <v>47695</v>
      </c>
      <c r="AT4" s="1" t="n">
        <f aca="false">EOMONTH(Inputs!$B$3,AT$3)</f>
        <v>47726</v>
      </c>
      <c r="AU4" s="1" t="n">
        <f aca="false">EOMONTH(Inputs!$B$3,AU$3)</f>
        <v>47756</v>
      </c>
      <c r="AV4" s="1" t="n">
        <f aca="false">EOMONTH(Inputs!$B$3,AV$3)</f>
        <v>47787</v>
      </c>
      <c r="AW4" s="1" t="n">
        <f aca="false">EOMONTH(Inputs!$B$3,AW$3)</f>
        <v>47817</v>
      </c>
      <c r="AX4" s="1" t="n">
        <f aca="false">EOMONTH(Inputs!$B$3,AX$3)</f>
        <v>47848</v>
      </c>
      <c r="AY4" s="1" t="n">
        <f aca="false">EOMONTH(Inputs!$B$3,AY$3)</f>
        <v>47879</v>
      </c>
      <c r="AZ4" s="1" t="n">
        <f aca="false">EOMONTH(Inputs!$B$3,AZ$3)</f>
        <v>47907</v>
      </c>
      <c r="BA4" s="1" t="n">
        <f aca="false">EOMONTH(Inputs!$B$3,BA$3)</f>
        <v>47938</v>
      </c>
      <c r="BB4" s="1" t="n">
        <f aca="false">EOMONTH(Inputs!$B$3,BB$3)</f>
        <v>47968</v>
      </c>
      <c r="BC4" s="1" t="n">
        <f aca="false">EOMONTH(Inputs!$B$3,BC$3)</f>
        <v>47999</v>
      </c>
      <c r="BD4" s="1" t="n">
        <f aca="false">EOMONTH(Inputs!$B$3,BD$3)</f>
        <v>48029</v>
      </c>
      <c r="BE4" s="1" t="n">
        <f aca="false">EOMONTH(Inputs!$B$3,BE$3)</f>
        <v>48060</v>
      </c>
      <c r="BF4" s="1" t="n">
        <f aca="false">EOMONTH(Inputs!$B$3,BF$3)</f>
        <v>48091</v>
      </c>
      <c r="BG4" s="1" t="n">
        <f aca="false">EOMONTH(Inputs!$B$3,BG$3)</f>
        <v>48121</v>
      </c>
      <c r="BH4" s="1" t="n">
        <f aca="false">EOMONTH(Inputs!$B$3,BH$3)</f>
        <v>48152</v>
      </c>
      <c r="BI4" s="1" t="n">
        <f aca="false">EOMONTH(Inputs!$B$3,BI$3)</f>
        <v>48182</v>
      </c>
      <c r="BJ4" s="1" t="n">
        <f aca="false">EOMONTH(Inputs!$B$3,BJ$3)</f>
        <v>48213</v>
      </c>
      <c r="BK4" s="1" t="n">
        <f aca="false">EOMONTH(Inputs!$B$3,BK$3)</f>
        <v>48244</v>
      </c>
      <c r="BL4" s="1" t="n">
        <f aca="false">EOMONTH(Inputs!$B$3,BL$3)</f>
        <v>48273</v>
      </c>
      <c r="BM4" s="1" t="n">
        <f aca="false">EOMONTH(Inputs!$B$3,BM$3)</f>
        <v>48304</v>
      </c>
      <c r="BN4" s="1" t="n">
        <f aca="false">EOMONTH(Inputs!$B$3,BN$3)</f>
        <v>48334</v>
      </c>
      <c r="BO4" s="1" t="n">
        <f aca="false">EOMONTH(Inputs!$B$3,BO$3)</f>
        <v>48365</v>
      </c>
      <c r="BP4" s="1" t="n">
        <f aca="false">EOMONTH(Inputs!$B$3,BP$3)</f>
        <v>48395</v>
      </c>
      <c r="BQ4" s="1" t="n">
        <f aca="false">EOMONTH(Inputs!$B$3,BQ$3)</f>
        <v>48426</v>
      </c>
      <c r="BR4" s="1" t="n">
        <f aca="false">EOMONTH(Inputs!$B$3,BR$3)</f>
        <v>48457</v>
      </c>
      <c r="BS4" s="1" t="n">
        <f aca="false">EOMONTH(Inputs!$B$3,BS$3)</f>
        <v>48487</v>
      </c>
      <c r="BT4" s="1" t="n">
        <f aca="false">EOMONTH(Inputs!$B$3,BT$3)</f>
        <v>48518</v>
      </c>
      <c r="BU4" s="1" t="n">
        <f aca="false">EOMONTH(Inputs!$B$3,BU$3)</f>
        <v>48548</v>
      </c>
      <c r="BV4" s="1" t="n">
        <f aca="false">EOMONTH(Inputs!$B$3,BV$3)</f>
        <v>48579</v>
      </c>
      <c r="BW4" s="1" t="n">
        <f aca="false">EOMONTH(Inputs!$B$3,BW$3)</f>
        <v>48610</v>
      </c>
      <c r="BX4" s="1" t="n">
        <f aca="false">EOMONTH(Inputs!$B$3,BX$3)</f>
        <v>48638</v>
      </c>
      <c r="BY4" s="1" t="n">
        <f aca="false">EOMONTH(Inputs!$B$3,BY$3)</f>
        <v>48669</v>
      </c>
      <c r="BZ4" s="1" t="n">
        <f aca="false">EOMONTH(Inputs!$B$3,BZ$3)</f>
        <v>48699</v>
      </c>
      <c r="CA4" s="1" t="n">
        <f aca="false">EOMONTH(Inputs!$B$3,CA$3)</f>
        <v>48730</v>
      </c>
      <c r="CB4" s="1" t="n">
        <f aca="false">EOMONTH(Inputs!$B$3,CB$3)</f>
        <v>48760</v>
      </c>
      <c r="CC4" s="1" t="n">
        <f aca="false">EOMONTH(Inputs!$B$3,CC$3)</f>
        <v>48791</v>
      </c>
      <c r="CD4" s="1" t="n">
        <f aca="false">EOMONTH(Inputs!$B$3,CD$3)</f>
        <v>48822</v>
      </c>
      <c r="CE4" s="1" t="n">
        <f aca="false">EOMONTH(Inputs!$B$3,CE$3)</f>
        <v>48852</v>
      </c>
      <c r="CF4" s="1" t="n">
        <f aca="false">EOMONTH(Inputs!$B$3,CF$3)</f>
        <v>48883</v>
      </c>
      <c r="CG4" s="1" t="n">
        <f aca="false">EOMONTH(Inputs!$B$3,CG$3)</f>
        <v>48913</v>
      </c>
      <c r="CH4" s="1" t="n">
        <f aca="false">EOMONTH(Inputs!$B$3,CH$3)</f>
        <v>48944</v>
      </c>
      <c r="CI4" s="1" t="n">
        <f aca="false">EOMONTH(Inputs!$B$3,CI$3)</f>
        <v>48975</v>
      </c>
      <c r="CJ4" s="1" t="n">
        <f aca="false">EOMONTH(Inputs!$B$3,CJ$3)</f>
        <v>49003</v>
      </c>
      <c r="CK4" s="1" t="n">
        <f aca="false">EOMONTH(Inputs!$B$3,CK$3)</f>
        <v>49034</v>
      </c>
      <c r="CL4" s="1" t="n">
        <f aca="false">EOMONTH(Inputs!$B$3,CL$3)</f>
        <v>49064</v>
      </c>
      <c r="CM4" s="1" t="n">
        <f aca="false">EOMONTH(Inputs!$B$3,CM$3)</f>
        <v>49095</v>
      </c>
      <c r="CN4" s="1" t="n">
        <f aca="false">EOMONTH(Inputs!$B$3,CN$3)</f>
        <v>49125</v>
      </c>
      <c r="CO4" s="1" t="n">
        <f aca="false">EOMONTH(Inputs!$B$3,CO$3)</f>
        <v>49156</v>
      </c>
      <c r="CP4" s="1" t="n">
        <f aca="false">EOMONTH(Inputs!$B$3,CP$3)</f>
        <v>49187</v>
      </c>
      <c r="CQ4" s="1" t="n">
        <f aca="false">EOMONTH(Inputs!$B$3,CQ$3)</f>
        <v>49217</v>
      </c>
      <c r="CR4" s="1" t="n">
        <f aca="false">EOMONTH(Inputs!$B$3,CR$3)</f>
        <v>49248</v>
      </c>
      <c r="CS4" s="1" t="n">
        <f aca="false">EOMONTH(Inputs!$B$3,CS$3)</f>
        <v>49278</v>
      </c>
      <c r="CT4" s="1" t="n">
        <f aca="false">EOMONTH(Inputs!$B$3,CT$3)</f>
        <v>49309</v>
      </c>
      <c r="CU4" s="1" t="n">
        <f aca="false">EOMONTH(Inputs!$B$3,CU$3)</f>
        <v>49340</v>
      </c>
      <c r="CV4" s="1" t="n">
        <f aca="false">EOMONTH(Inputs!$B$3,CV$3)</f>
        <v>49368</v>
      </c>
      <c r="CW4" s="1" t="n">
        <f aca="false">EOMONTH(Inputs!$B$3,CW$3)</f>
        <v>49399</v>
      </c>
      <c r="CX4" s="1" t="n">
        <f aca="false">EOMONTH(Inputs!$B$3,CX$3)</f>
        <v>49429</v>
      </c>
      <c r="CY4" s="1" t="n">
        <f aca="false">EOMONTH(Inputs!$B$3,CY$3)</f>
        <v>49460</v>
      </c>
      <c r="CZ4" s="1" t="n">
        <f aca="false">EOMONTH(Inputs!$B$3,CZ$3)</f>
        <v>49490</v>
      </c>
      <c r="DA4" s="1" t="n">
        <f aca="false">EOMONTH(Inputs!$B$3,DA$3)</f>
        <v>49521</v>
      </c>
      <c r="DB4" s="1" t="n">
        <f aca="false">EOMONTH(Inputs!$B$3,DB$3)</f>
        <v>49552</v>
      </c>
      <c r="DC4" s="1" t="n">
        <f aca="false">EOMONTH(Inputs!$B$3,DC$3)</f>
        <v>49582</v>
      </c>
      <c r="DD4" s="1" t="n">
        <f aca="false">EOMONTH(Inputs!$B$3,DD$3)</f>
        <v>49613</v>
      </c>
      <c r="DE4" s="1" t="n">
        <f aca="false">EOMONTH(Inputs!$B$3,DE$3)</f>
        <v>49643</v>
      </c>
      <c r="DF4" s="1" t="n">
        <f aca="false">EOMONTH(Inputs!$B$3,DF$3)</f>
        <v>49674</v>
      </c>
      <c r="DG4" s="1" t="n">
        <f aca="false">EOMONTH(Inputs!$B$3,DG$3)</f>
        <v>49705</v>
      </c>
      <c r="DH4" s="1" t="n">
        <f aca="false">EOMONTH(Inputs!$B$3,DH$3)</f>
        <v>49734</v>
      </c>
      <c r="DI4" s="1" t="n">
        <f aca="false">EOMONTH(Inputs!$B$3,DI$3)</f>
        <v>49765</v>
      </c>
      <c r="DJ4" s="1" t="n">
        <f aca="false">EOMONTH(Inputs!$B$3,DJ$3)</f>
        <v>49795</v>
      </c>
      <c r="DK4" s="1" t="n">
        <f aca="false">EOMONTH(Inputs!$B$3,DK$3)</f>
        <v>49826</v>
      </c>
      <c r="DL4" s="1" t="n">
        <f aca="false">EOMONTH(Inputs!$B$3,DL$3)</f>
        <v>49856</v>
      </c>
      <c r="DM4" s="1" t="n">
        <f aca="false">EOMONTH(Inputs!$B$3,DM$3)</f>
        <v>49887</v>
      </c>
      <c r="DN4" s="1" t="n">
        <f aca="false">EOMONTH(Inputs!$B$3,DN$3)</f>
        <v>49918</v>
      </c>
      <c r="DO4" s="1" t="n">
        <f aca="false">EOMONTH(Inputs!$B$3,DO$3)</f>
        <v>49948</v>
      </c>
      <c r="DP4" s="1" t="n">
        <f aca="false">EOMONTH(Inputs!$B$3,DP$3)</f>
        <v>49979</v>
      </c>
      <c r="DQ4" s="1" t="n">
        <f aca="false">EOMONTH(Inputs!$B$3,DQ$3)</f>
        <v>50009</v>
      </c>
      <c r="DR4" s="1" t="n">
        <f aca="false">EOMONTH(Inputs!$B$3,DR$3)</f>
        <v>50040</v>
      </c>
    </row>
    <row r="5" customFormat="false" ht="15" hidden="false" customHeight="false" outlineLevel="0" collapsed="false">
      <c r="A5" s="0" t="s">
        <v>25</v>
      </c>
      <c r="B5" s="0" t="n">
        <f aca="false">0</f>
        <v>0</v>
      </c>
      <c r="C5" s="0" t="n">
        <f aca="false">IF(C4&lt;=Tenants!$F$2,Tenants!$B$2*Tenants!$C$2/12,IF(C4&lt;=EOMONTH(Tenants!$F$2,Inputs!$B$6),0,Tenants!$B$2*Inputs!$B$4*(1+Inputs!$B$5)^(C$3/12)/12*IF(Tenants!$C$2&lt;1000,0.35,1)))</f>
        <v>1191666.66666667</v>
      </c>
      <c r="D5" s="0" t="n">
        <f aca="false">IF(D4&lt;=Tenants!$F$2,Tenants!$B$2*Tenants!$C$2/12,IF(D4&lt;=EOMONTH(Tenants!$F$2,Inputs!$B$6),0,Tenants!$B$2*Inputs!$B$4*(1+Inputs!$B$5)^(D$3/12)/12*IF(Tenants!$C$2&lt;1000,0.35,1)))</f>
        <v>1191666.66666667</v>
      </c>
      <c r="E5" s="0" t="n">
        <f aca="false">IF(E4&lt;=Tenants!$F$2,Tenants!$B$2*Tenants!$C$2/12,IF(E4&lt;=EOMONTH(Tenants!$F$2,Inputs!$B$6),0,Tenants!$B$2*Inputs!$B$4*(1+Inputs!$B$5)^(E$3/12)/12*IF(Tenants!$C$2&lt;1000,0.35,1)))</f>
        <v>1191666.66666667</v>
      </c>
      <c r="F5" s="0" t="n">
        <f aca="false">IF(F4&lt;=Tenants!$F$2,Tenants!$B$2*Tenants!$C$2/12,IF(F4&lt;=EOMONTH(Tenants!$F$2,Inputs!$B$6),0,Tenants!$B$2*Inputs!$B$4*(1+Inputs!$B$5)^(F$3/12)/12*IF(Tenants!$C$2&lt;1000,0.35,1)))</f>
        <v>1191666.66666667</v>
      </c>
      <c r="G5" s="0" t="n">
        <f aca="false">IF(G4&lt;=Tenants!$F$2,Tenants!$B$2*Tenants!$C$2/12,IF(G4&lt;=EOMONTH(Tenants!$F$2,Inputs!$B$6),0,Tenants!$B$2*Inputs!$B$4*(1+Inputs!$B$5)^(G$3/12)/12*IF(Tenants!$C$2&lt;1000,0.35,1)))</f>
        <v>1191666.66666667</v>
      </c>
      <c r="H5" s="0" t="n">
        <f aca="false">IF(H4&lt;=Tenants!$F$2,Tenants!$B$2*Tenants!$C$2/12,IF(H4&lt;=EOMONTH(Tenants!$F$2,Inputs!$B$6),0,Tenants!$B$2*Inputs!$B$4*(1+Inputs!$B$5)^(H$3/12)/12*IF(Tenants!$C$2&lt;1000,0.35,1)))</f>
        <v>1191666.66666667</v>
      </c>
      <c r="I5" s="0" t="n">
        <f aca="false">IF(I4&lt;=Tenants!$F$2,Tenants!$B$2*Tenants!$C$2/12,IF(I4&lt;=EOMONTH(Tenants!$F$2,Inputs!$B$6),0,Tenants!$B$2*Inputs!$B$4*(1+Inputs!$B$5)^(I$3/12)/12*IF(Tenants!$C$2&lt;1000,0.35,1)))</f>
        <v>1191666.66666667</v>
      </c>
      <c r="J5" s="0" t="n">
        <f aca="false">IF(J4&lt;=Tenants!$F$2,Tenants!$B$2*Tenants!$C$2/12,IF(J4&lt;=EOMONTH(Tenants!$F$2,Inputs!$B$6),0,Tenants!$B$2*Inputs!$B$4*(1+Inputs!$B$5)^(J$3/12)/12*IF(Tenants!$C$2&lt;1000,0.35,1)))</f>
        <v>1191666.66666667</v>
      </c>
      <c r="K5" s="0" t="n">
        <f aca="false">IF(K4&lt;=Tenants!$F$2,Tenants!$B$2*Tenants!$C$2/12,IF(K4&lt;=EOMONTH(Tenants!$F$2,Inputs!$B$6),0,Tenants!$B$2*Inputs!$B$4*(1+Inputs!$B$5)^(K$3/12)/12*IF(Tenants!$C$2&lt;1000,0.35,1)))</f>
        <v>1191666.66666667</v>
      </c>
      <c r="L5" s="0" t="n">
        <f aca="false">IF(L4&lt;=Tenants!$F$2,Tenants!$B$2*Tenants!$C$2/12,IF(L4&lt;=EOMONTH(Tenants!$F$2,Inputs!$B$6),0,Tenants!$B$2*Inputs!$B$4*(1+Inputs!$B$5)^(L$3/12)/12*IF(Tenants!$C$2&lt;1000,0.35,1)))</f>
        <v>1191666.66666667</v>
      </c>
      <c r="M5" s="0" t="n">
        <f aca="false">IF(M4&lt;=Tenants!$F$2,Tenants!$B$2*Tenants!$C$2/12,IF(M4&lt;=EOMONTH(Tenants!$F$2,Inputs!$B$6),0,Tenants!$B$2*Inputs!$B$4*(1+Inputs!$B$5)^(M$3/12)/12*IF(Tenants!$C$2&lt;1000,0.35,1)))</f>
        <v>1191666.66666667</v>
      </c>
      <c r="N5" s="0" t="n">
        <f aca="false">IF(N4&lt;=Tenants!$F$2,Tenants!$B$2*Tenants!$C$2/12,IF(N4&lt;=EOMONTH(Tenants!$F$2,Inputs!$B$6),0,Tenants!$B$2*Inputs!$B$4*(1+Inputs!$B$5)^(N$3/12)/12*IF(Tenants!$C$2&lt;1000,0.35,1)))</f>
        <v>1191666.66666667</v>
      </c>
      <c r="O5" s="0" t="n">
        <f aca="false">IF(O4&lt;=Tenants!$F$2,Tenants!$B$2*Tenants!$C$2/12,IF(O4&lt;=EOMONTH(Tenants!$F$2,Inputs!$B$6),0,Tenants!$B$2*Inputs!$B$4*(1+Inputs!$B$5)^(O$3/12)/12*IF(Tenants!$C$2&lt;1000,0.35,1)))</f>
        <v>1191666.66666667</v>
      </c>
      <c r="P5" s="0" t="n">
        <f aca="false">IF(P4&lt;=Tenants!$F$2,Tenants!$B$2*Tenants!$C$2/12,IF(P4&lt;=EOMONTH(Tenants!$F$2,Inputs!$B$6),0,Tenants!$B$2*Inputs!$B$4*(1+Inputs!$B$5)^(P$3/12)/12*IF(Tenants!$C$2&lt;1000,0.35,1)))</f>
        <v>1191666.66666667</v>
      </c>
      <c r="Q5" s="0" t="n">
        <f aca="false">IF(Q4&lt;=Tenants!$F$2,Tenants!$B$2*Tenants!$C$2/12,IF(Q4&lt;=EOMONTH(Tenants!$F$2,Inputs!$B$6),0,Tenants!$B$2*Inputs!$B$4*(1+Inputs!$B$5)^(Q$3/12)/12*IF(Tenants!$C$2&lt;1000,0.35,1)))</f>
        <v>1191666.66666667</v>
      </c>
      <c r="R5" s="0" t="n">
        <f aca="false">IF(R4&lt;=Tenants!$F$2,Tenants!$B$2*Tenants!$C$2/12,IF(R4&lt;=EOMONTH(Tenants!$F$2,Inputs!$B$6),0,Tenants!$B$2*Inputs!$B$4*(1+Inputs!$B$5)^(R$3/12)/12*IF(Tenants!$C$2&lt;1000,0.35,1)))</f>
        <v>1191666.66666667</v>
      </c>
      <c r="S5" s="0" t="n">
        <f aca="false">IF(S4&lt;=Tenants!$F$2,Tenants!$B$2*Tenants!$C$2/12,IF(S4&lt;=EOMONTH(Tenants!$F$2,Inputs!$B$6),0,Tenants!$B$2*Inputs!$B$4*(1+Inputs!$B$5)^(S$3/12)/12*IF(Tenants!$C$2&lt;1000,0.35,1)))</f>
        <v>1191666.66666667</v>
      </c>
      <c r="T5" s="0" t="n">
        <f aca="false">IF(T4&lt;=Tenants!$F$2,Tenants!$B$2*Tenants!$C$2/12,IF(T4&lt;=EOMONTH(Tenants!$F$2,Inputs!$B$6),0,Tenants!$B$2*Inputs!$B$4*(1+Inputs!$B$5)^(T$3/12)/12*IF(Tenants!$C$2&lt;1000,0.35,1)))</f>
        <v>1191666.66666667</v>
      </c>
      <c r="U5" s="0" t="n">
        <f aca="false">IF(U4&lt;=Tenants!$F$2,Tenants!$B$2*Tenants!$C$2/12,IF(U4&lt;=EOMONTH(Tenants!$F$2,Inputs!$B$6),0,Tenants!$B$2*Inputs!$B$4*(1+Inputs!$B$5)^(U$3/12)/12*IF(Tenants!$C$2&lt;1000,0.35,1)))</f>
        <v>1191666.66666667</v>
      </c>
      <c r="V5" s="0" t="n">
        <f aca="false">IF(V4&lt;=Tenants!$F$2,Tenants!$B$2*Tenants!$C$2/12,IF(V4&lt;=EOMONTH(Tenants!$F$2,Inputs!$B$6),0,Tenants!$B$2*Inputs!$B$4*(1+Inputs!$B$5)^(V$3/12)/12*IF(Tenants!$C$2&lt;1000,0.35,1)))</f>
        <v>1191666.66666667</v>
      </c>
      <c r="W5" s="0" t="n">
        <f aca="false">IF(W4&lt;=Tenants!$F$2,Tenants!$B$2*Tenants!$C$2/12,IF(W4&lt;=EOMONTH(Tenants!$F$2,Inputs!$B$6),0,Tenants!$B$2*Inputs!$B$4*(1+Inputs!$B$5)^(W$3/12)/12*IF(Tenants!$C$2&lt;1000,0.35,1)))</f>
        <v>1191666.66666667</v>
      </c>
      <c r="X5" s="0" t="n">
        <f aca="false">IF(X4&lt;=Tenants!$F$2,Tenants!$B$2*Tenants!$C$2/12,IF(X4&lt;=EOMONTH(Tenants!$F$2,Inputs!$B$6),0,Tenants!$B$2*Inputs!$B$4*(1+Inputs!$B$5)^(X$3/12)/12*IF(Tenants!$C$2&lt;1000,0.35,1)))</f>
        <v>1191666.66666667</v>
      </c>
      <c r="Y5" s="0" t="n">
        <f aca="false">IF(Y4&lt;=Tenants!$F$2,Tenants!$B$2*Tenants!$C$2/12,IF(Y4&lt;=EOMONTH(Tenants!$F$2,Inputs!$B$6),0,Tenants!$B$2*Inputs!$B$4*(1+Inputs!$B$5)^(Y$3/12)/12*IF(Tenants!$C$2&lt;1000,0.35,1)))</f>
        <v>1191666.66666667</v>
      </c>
      <c r="Z5" s="0" t="n">
        <f aca="false">IF(Z4&lt;=Tenants!$F$2,Tenants!$B$2*Tenants!$C$2/12,IF(Z4&lt;=EOMONTH(Tenants!$F$2,Inputs!$B$6),0,Tenants!$B$2*Inputs!$B$4*(1+Inputs!$B$5)^(Z$3/12)/12*IF(Tenants!$C$2&lt;1000,0.35,1)))</f>
        <v>1191666.66666667</v>
      </c>
      <c r="AA5" s="0" t="n">
        <f aca="false">IF(AA4&lt;=Tenants!$F$2,Tenants!$B$2*Tenants!$C$2/12,IF(AA4&lt;=EOMONTH(Tenants!$F$2,Inputs!$B$6),0,Tenants!$B$2*Inputs!$B$4*(1+Inputs!$B$5)^(AA$3/12)/12*IF(Tenants!$C$2&lt;1000,0.35,1)))</f>
        <v>1191666.66666667</v>
      </c>
      <c r="AB5" s="0" t="n">
        <f aca="false">IF(AB4&lt;=Tenants!$F$2,Tenants!$B$2*Tenants!$C$2/12,IF(AB4&lt;=EOMONTH(Tenants!$F$2,Inputs!$B$6),0,Tenants!$B$2*Inputs!$B$4*(1+Inputs!$B$5)^(AB$3/12)/12*IF(Tenants!$C$2&lt;1000,0.35,1)))</f>
        <v>1191666.66666667</v>
      </c>
      <c r="AC5" s="0" t="n">
        <f aca="false">IF(AC4&lt;=Tenants!$F$2,Tenants!$B$2*Tenants!$C$2/12,IF(AC4&lt;=EOMONTH(Tenants!$F$2,Inputs!$B$6),0,Tenants!$B$2*Inputs!$B$4*(1+Inputs!$B$5)^(AC$3/12)/12*IF(Tenants!$C$2&lt;1000,0.35,1)))</f>
        <v>1191666.66666667</v>
      </c>
      <c r="AD5" s="0" t="n">
        <f aca="false">IF(AD4&lt;=Tenants!$F$2,Tenants!$B$2*Tenants!$C$2/12,IF(AD4&lt;=EOMONTH(Tenants!$F$2,Inputs!$B$6),0,Tenants!$B$2*Inputs!$B$4*(1+Inputs!$B$5)^(AD$3/12)/12*IF(Tenants!$C$2&lt;1000,0.35,1)))</f>
        <v>1191666.66666667</v>
      </c>
      <c r="AE5" s="0" t="n">
        <f aca="false">IF(AE4&lt;=Tenants!$F$2,Tenants!$B$2*Tenants!$C$2/12,IF(AE4&lt;=EOMONTH(Tenants!$F$2,Inputs!$B$6),0,Tenants!$B$2*Inputs!$B$4*(1+Inputs!$B$5)^(AE$3/12)/12*IF(Tenants!$C$2&lt;1000,0.35,1)))</f>
        <v>1191666.66666667</v>
      </c>
      <c r="AF5" s="0" t="n">
        <f aca="false">IF(AF4&lt;=Tenants!$F$2,Tenants!$B$2*Tenants!$C$2/12,IF(AF4&lt;=EOMONTH(Tenants!$F$2,Inputs!$B$6),0,Tenants!$B$2*Inputs!$B$4*(1+Inputs!$B$5)^(AF$3/12)/12*IF(Tenants!$C$2&lt;1000,0.35,1)))</f>
        <v>1191666.66666667</v>
      </c>
      <c r="AG5" s="0" t="n">
        <f aca="false">IF(AG4&lt;=Tenants!$F$2,Tenants!$B$2*Tenants!$C$2/12,IF(AG4&lt;=EOMONTH(Tenants!$F$2,Inputs!$B$6),0,Tenants!$B$2*Inputs!$B$4*(1+Inputs!$B$5)^(AG$3/12)/12*IF(Tenants!$C$2&lt;1000,0.35,1)))</f>
        <v>1191666.66666667</v>
      </c>
      <c r="AH5" s="0" t="n">
        <f aca="false">IF(AH4&lt;=Tenants!$F$2,Tenants!$B$2*Tenants!$C$2/12,IF(AH4&lt;=EOMONTH(Tenants!$F$2,Inputs!$B$6),0,Tenants!$B$2*Inputs!$B$4*(1+Inputs!$B$5)^(AH$3/12)/12*IF(Tenants!$C$2&lt;1000,0.35,1)))</f>
        <v>1191666.66666667</v>
      </c>
      <c r="AI5" s="0" t="n">
        <f aca="false">IF(AI4&lt;=Tenants!$F$2,Tenants!$B$2*Tenants!$C$2/12,IF(AI4&lt;=EOMONTH(Tenants!$F$2,Inputs!$B$6),0,Tenants!$B$2*Inputs!$B$4*(1+Inputs!$B$5)^(AI$3/12)/12*IF(Tenants!$C$2&lt;1000,0.35,1)))</f>
        <v>1191666.66666667</v>
      </c>
      <c r="AJ5" s="0" t="n">
        <f aca="false">IF(AJ4&lt;=Tenants!$F$2,Tenants!$B$2*Tenants!$C$2/12,IF(AJ4&lt;=EOMONTH(Tenants!$F$2,Inputs!$B$6),0,Tenants!$B$2*Inputs!$B$4*(1+Inputs!$B$5)^(AJ$3/12)/12*IF(Tenants!$C$2&lt;1000,0.35,1)))</f>
        <v>1191666.66666667</v>
      </c>
      <c r="AK5" s="0" t="n">
        <f aca="false">IF(AK4&lt;=Tenants!$F$2,Tenants!$B$2*Tenants!$C$2/12,IF(AK4&lt;=EOMONTH(Tenants!$F$2,Inputs!$B$6),0,Tenants!$B$2*Inputs!$B$4*(1+Inputs!$B$5)^(AK$3/12)/12*IF(Tenants!$C$2&lt;1000,0.35,1)))</f>
        <v>1191666.66666667</v>
      </c>
      <c r="AL5" s="0" t="n">
        <f aca="false">IF(AL4&lt;=Tenants!$F$2,Tenants!$B$2*Tenants!$C$2/12,IF(AL4&lt;=EOMONTH(Tenants!$F$2,Inputs!$B$6),0,Tenants!$B$2*Inputs!$B$4*(1+Inputs!$B$5)^(AL$3/12)/12*IF(Tenants!$C$2&lt;1000,0.35,1)))</f>
        <v>1191666.66666667</v>
      </c>
      <c r="AM5" s="0" t="n">
        <f aca="false">IF(AM4&lt;=Tenants!$F$2,Tenants!$B$2*Tenants!$C$2/12,IF(AM4&lt;=EOMONTH(Tenants!$F$2,Inputs!$B$6),0,Tenants!$B$2*Inputs!$B$4*(1+Inputs!$B$5)^(AM$3/12)/12*IF(Tenants!$C$2&lt;1000,0.35,1)))</f>
        <v>1191666.66666667</v>
      </c>
      <c r="AN5" s="0" t="n">
        <f aca="false">IF(AN4&lt;=Tenants!$F$2,Tenants!$B$2*Tenants!$C$2/12,IF(AN4&lt;=EOMONTH(Tenants!$F$2,Inputs!$B$6),0,Tenants!$B$2*Inputs!$B$4*(1+Inputs!$B$5)^(AN$3/12)/12*IF(Tenants!$C$2&lt;1000,0.35,1)))</f>
        <v>1191666.66666667</v>
      </c>
      <c r="AO5" s="0" t="n">
        <f aca="false">IF(AO4&lt;=Tenants!$F$2,Tenants!$B$2*Tenants!$C$2/12,IF(AO4&lt;=EOMONTH(Tenants!$F$2,Inputs!$B$6),0,Tenants!$B$2*Inputs!$B$4*(1+Inputs!$B$5)^(AO$3/12)/12*IF(Tenants!$C$2&lt;1000,0.35,1)))</f>
        <v>1191666.66666667</v>
      </c>
      <c r="AP5" s="0" t="n">
        <f aca="false">IF(AP4&lt;=Tenants!$F$2,Tenants!$B$2*Tenants!$C$2/12,IF(AP4&lt;=EOMONTH(Tenants!$F$2,Inputs!$B$6),0,Tenants!$B$2*Inputs!$B$4*(1+Inputs!$B$5)^(AP$3/12)/12*IF(Tenants!$C$2&lt;1000,0.35,1)))</f>
        <v>1191666.66666667</v>
      </c>
      <c r="AQ5" s="0" t="n">
        <f aca="false">IF(AQ4&lt;=Tenants!$F$2,Tenants!$B$2*Tenants!$C$2/12,IF(AQ4&lt;=EOMONTH(Tenants!$F$2,Inputs!$B$6),0,Tenants!$B$2*Inputs!$B$4*(1+Inputs!$B$5)^(AQ$3/12)/12*IF(Tenants!$C$2&lt;1000,0.35,1)))</f>
        <v>1191666.66666667</v>
      </c>
      <c r="AR5" s="0" t="n">
        <f aca="false">IF(AR4&lt;=Tenants!$F$2,Tenants!$B$2*Tenants!$C$2/12,IF(AR4&lt;=EOMONTH(Tenants!$F$2,Inputs!$B$6),0,Tenants!$B$2*Inputs!$B$4*(1+Inputs!$B$5)^(AR$3/12)/12*IF(Tenants!$C$2&lt;1000,0.35,1)))</f>
        <v>1191666.66666667</v>
      </c>
      <c r="AS5" s="0" t="n">
        <f aca="false">IF(AS4&lt;=Tenants!$F$2,Tenants!$B$2*Tenants!$C$2/12,IF(AS4&lt;=EOMONTH(Tenants!$F$2,Inputs!$B$6),0,Tenants!$B$2*Inputs!$B$4*(1+Inputs!$B$5)^(AS$3/12)/12*IF(Tenants!$C$2&lt;1000,0.35,1)))</f>
        <v>1191666.66666667</v>
      </c>
      <c r="AT5" s="0" t="n">
        <f aca="false">IF(AT4&lt;=Tenants!$F$2,Tenants!$B$2*Tenants!$C$2/12,IF(AT4&lt;=EOMONTH(Tenants!$F$2,Inputs!$B$6),0,Tenants!$B$2*Inputs!$B$4*(1+Inputs!$B$5)^(AT$3/12)/12*IF(Tenants!$C$2&lt;1000,0.35,1)))</f>
        <v>1191666.66666667</v>
      </c>
      <c r="AU5" s="0" t="n">
        <f aca="false">IF(AU4&lt;=Tenants!$F$2,Tenants!$B$2*Tenants!$C$2/12,IF(AU4&lt;=EOMONTH(Tenants!$F$2,Inputs!$B$6),0,Tenants!$B$2*Inputs!$B$4*(1+Inputs!$B$5)^(AU$3/12)/12*IF(Tenants!$C$2&lt;1000,0.35,1)))</f>
        <v>1191666.66666667</v>
      </c>
      <c r="AV5" s="0" t="n">
        <f aca="false">IF(AV4&lt;=Tenants!$F$2,Tenants!$B$2*Tenants!$C$2/12,IF(AV4&lt;=EOMONTH(Tenants!$F$2,Inputs!$B$6),0,Tenants!$B$2*Inputs!$B$4*(1+Inputs!$B$5)^(AV$3/12)/12*IF(Tenants!$C$2&lt;1000,0.35,1)))</f>
        <v>1191666.66666667</v>
      </c>
      <c r="AW5" s="0" t="n">
        <f aca="false">IF(AW4&lt;=Tenants!$F$2,Tenants!$B$2*Tenants!$C$2/12,IF(AW4&lt;=EOMONTH(Tenants!$F$2,Inputs!$B$6),0,Tenants!$B$2*Inputs!$B$4*(1+Inputs!$B$5)^(AW$3/12)/12*IF(Tenants!$C$2&lt;1000,0.35,1)))</f>
        <v>1191666.66666667</v>
      </c>
      <c r="AX5" s="0" t="n">
        <f aca="false">IF(AX4&lt;=Tenants!$F$2,Tenants!$B$2*Tenants!$C$2/12,IF(AX4&lt;=EOMONTH(Tenants!$F$2,Inputs!$B$6),0,Tenants!$B$2*Inputs!$B$4*(1+Inputs!$B$5)^(AX$3/12)/12*IF(Tenants!$C$2&lt;1000,0.35,1)))</f>
        <v>1191666.66666667</v>
      </c>
      <c r="AY5" s="0" t="n">
        <f aca="false">IF(AY4&lt;=Tenants!$F$2,Tenants!$B$2*Tenants!$C$2/12,IF(AY4&lt;=EOMONTH(Tenants!$F$2,Inputs!$B$6),0,Tenants!$B$2*Inputs!$B$4*(1+Inputs!$B$5)^(AY$3/12)/12*IF(Tenants!$C$2&lt;1000,0.35,1)))</f>
        <v>1191666.66666667</v>
      </c>
      <c r="AZ5" s="0" t="n">
        <f aca="false">IF(AZ4&lt;=Tenants!$F$2,Tenants!$B$2*Tenants!$C$2/12,IF(AZ4&lt;=EOMONTH(Tenants!$F$2,Inputs!$B$6),0,Tenants!$B$2*Inputs!$B$4*(1+Inputs!$B$5)^(AZ$3/12)/12*IF(Tenants!$C$2&lt;1000,0.35,1)))</f>
        <v>1191666.66666667</v>
      </c>
      <c r="BA5" s="0" t="n">
        <f aca="false">IF(BA4&lt;=Tenants!$F$2,Tenants!$B$2*Tenants!$C$2/12,IF(BA4&lt;=EOMONTH(Tenants!$F$2,Inputs!$B$6),0,Tenants!$B$2*Inputs!$B$4*(1+Inputs!$B$5)^(BA$3/12)/12*IF(Tenants!$C$2&lt;1000,0.35,1)))</f>
        <v>1191666.66666667</v>
      </c>
      <c r="BB5" s="0" t="n">
        <f aca="false">IF(BB4&lt;=Tenants!$F$2,Tenants!$B$2*Tenants!$C$2/12,IF(BB4&lt;=EOMONTH(Tenants!$F$2,Inputs!$B$6),0,Tenants!$B$2*Inputs!$B$4*(1+Inputs!$B$5)^(BB$3/12)/12*IF(Tenants!$C$2&lt;1000,0.35,1)))</f>
        <v>1191666.66666667</v>
      </c>
      <c r="BC5" s="0" t="n">
        <f aca="false">IF(BC4&lt;=Tenants!$F$2,Tenants!$B$2*Tenants!$C$2/12,IF(BC4&lt;=EOMONTH(Tenants!$F$2,Inputs!$B$6),0,Tenants!$B$2*Inputs!$B$4*(1+Inputs!$B$5)^(BC$3/12)/12*IF(Tenants!$C$2&lt;1000,0.35,1)))</f>
        <v>1191666.66666667</v>
      </c>
      <c r="BD5" s="0" t="n">
        <f aca="false">IF(BD4&lt;=Tenants!$F$2,Tenants!$B$2*Tenants!$C$2/12,IF(BD4&lt;=EOMONTH(Tenants!$F$2,Inputs!$B$6),0,Tenants!$B$2*Inputs!$B$4*(1+Inputs!$B$5)^(BD$3/12)/12*IF(Tenants!$C$2&lt;1000,0.35,1)))</f>
        <v>1191666.66666667</v>
      </c>
      <c r="BE5" s="0" t="n">
        <f aca="false">IF(BE4&lt;=Tenants!$F$2,Tenants!$B$2*Tenants!$C$2/12,IF(BE4&lt;=EOMONTH(Tenants!$F$2,Inputs!$B$6),0,Tenants!$B$2*Inputs!$B$4*(1+Inputs!$B$5)^(BE$3/12)/12*IF(Tenants!$C$2&lt;1000,0.35,1)))</f>
        <v>1191666.66666667</v>
      </c>
      <c r="BF5" s="0" t="n">
        <f aca="false">IF(BF4&lt;=Tenants!$F$2,Tenants!$B$2*Tenants!$C$2/12,IF(BF4&lt;=EOMONTH(Tenants!$F$2,Inputs!$B$6),0,Tenants!$B$2*Inputs!$B$4*(1+Inputs!$B$5)^(BF$3/12)/12*IF(Tenants!$C$2&lt;1000,0.35,1)))</f>
        <v>1191666.66666667</v>
      </c>
      <c r="BG5" s="0" t="n">
        <f aca="false">IF(BG4&lt;=Tenants!$F$2,Tenants!$B$2*Tenants!$C$2/12,IF(BG4&lt;=EOMONTH(Tenants!$F$2,Inputs!$B$6),0,Tenants!$B$2*Inputs!$B$4*(1+Inputs!$B$5)^(BG$3/12)/12*IF(Tenants!$C$2&lt;1000,0.35,1)))</f>
        <v>1191666.66666667</v>
      </c>
      <c r="BH5" s="0" t="n">
        <f aca="false">IF(BH4&lt;=Tenants!$F$2,Tenants!$B$2*Tenants!$C$2/12,IF(BH4&lt;=EOMONTH(Tenants!$F$2,Inputs!$B$6),0,Tenants!$B$2*Inputs!$B$4*(1+Inputs!$B$5)^(BH$3/12)/12*IF(Tenants!$C$2&lt;1000,0.35,1)))</f>
        <v>1191666.66666667</v>
      </c>
      <c r="BI5" s="0" t="n">
        <f aca="false">IF(BI4&lt;=Tenants!$F$2,Tenants!$B$2*Tenants!$C$2/12,IF(BI4&lt;=EOMONTH(Tenants!$F$2,Inputs!$B$6),0,Tenants!$B$2*Inputs!$B$4*(1+Inputs!$B$5)^(BI$3/12)/12*IF(Tenants!$C$2&lt;1000,0.35,1)))</f>
        <v>1191666.66666667</v>
      </c>
      <c r="BJ5" s="0" t="n">
        <f aca="false">IF(BJ4&lt;=Tenants!$F$2,Tenants!$B$2*Tenants!$C$2/12,IF(BJ4&lt;=EOMONTH(Tenants!$F$2,Inputs!$B$6),0,Tenants!$B$2*Inputs!$B$4*(1+Inputs!$B$5)^(BJ$3/12)/12*IF(Tenants!$C$2&lt;1000,0.35,1)))</f>
        <v>1191666.66666667</v>
      </c>
      <c r="BK5" s="0" t="n">
        <f aca="false">IF(BK4&lt;=Tenants!$F$2,Tenants!$B$2*Tenants!$C$2/12,IF(BK4&lt;=EOMONTH(Tenants!$F$2,Inputs!$B$6),0,Tenants!$B$2*Inputs!$B$4*(1+Inputs!$B$5)^(BK$3/12)/12*IF(Tenants!$C$2&lt;1000,0.35,1)))</f>
        <v>1191666.66666667</v>
      </c>
      <c r="BL5" s="0" t="n">
        <f aca="false">IF(BL4&lt;=Tenants!$F$2,Tenants!$B$2*Tenants!$C$2/12,IF(BL4&lt;=EOMONTH(Tenants!$F$2,Inputs!$B$6),0,Tenants!$B$2*Inputs!$B$4*(1+Inputs!$B$5)^(BL$3/12)/12*IF(Tenants!$C$2&lt;1000,0.35,1)))</f>
        <v>1191666.66666667</v>
      </c>
      <c r="BM5" s="0" t="n">
        <f aca="false">IF(BM4&lt;=Tenants!$F$2,Tenants!$B$2*Tenants!$C$2/12,IF(BM4&lt;=EOMONTH(Tenants!$F$2,Inputs!$B$6),0,Tenants!$B$2*Inputs!$B$4*(1+Inputs!$B$5)^(BM$3/12)/12*IF(Tenants!$C$2&lt;1000,0.35,1)))</f>
        <v>1191666.66666667</v>
      </c>
      <c r="BN5" s="0" t="n">
        <f aca="false">IF(BN4&lt;=Tenants!$F$2,Tenants!$B$2*Tenants!$C$2/12,IF(BN4&lt;=EOMONTH(Tenants!$F$2,Inputs!$B$6),0,Tenants!$B$2*Inputs!$B$4*(1+Inputs!$B$5)^(BN$3/12)/12*IF(Tenants!$C$2&lt;1000,0.35,1)))</f>
        <v>1191666.66666667</v>
      </c>
      <c r="BO5" s="0" t="n">
        <f aca="false">IF(BO4&lt;=Tenants!$F$2,Tenants!$B$2*Tenants!$C$2/12,IF(BO4&lt;=EOMONTH(Tenants!$F$2,Inputs!$B$6),0,Tenants!$B$2*Inputs!$B$4*(1+Inputs!$B$5)^(BO$3/12)/12*IF(Tenants!$C$2&lt;1000,0.35,1)))</f>
        <v>1191666.66666667</v>
      </c>
      <c r="BP5" s="0" t="n">
        <f aca="false">IF(BP4&lt;=Tenants!$F$2,Tenants!$B$2*Tenants!$C$2/12,IF(BP4&lt;=EOMONTH(Tenants!$F$2,Inputs!$B$6),0,Tenants!$B$2*Inputs!$B$4*(1+Inputs!$B$5)^(BP$3/12)/12*IF(Tenants!$C$2&lt;1000,0.35,1)))</f>
        <v>1191666.66666667</v>
      </c>
      <c r="BQ5" s="0" t="n">
        <f aca="false">IF(BQ4&lt;=Tenants!$F$2,Tenants!$B$2*Tenants!$C$2/12,IF(BQ4&lt;=EOMONTH(Tenants!$F$2,Inputs!$B$6),0,Tenants!$B$2*Inputs!$B$4*(1+Inputs!$B$5)^(BQ$3/12)/12*IF(Tenants!$C$2&lt;1000,0.35,1)))</f>
        <v>1191666.66666667</v>
      </c>
      <c r="BR5" s="0" t="n">
        <f aca="false">IF(BR4&lt;=Tenants!$F$2,Tenants!$B$2*Tenants!$C$2/12,IF(BR4&lt;=EOMONTH(Tenants!$F$2,Inputs!$B$6),0,Tenants!$B$2*Inputs!$B$4*(1+Inputs!$B$5)^(BR$3/12)/12*IF(Tenants!$C$2&lt;1000,0.35,1)))</f>
        <v>1191666.66666667</v>
      </c>
      <c r="BS5" s="0" t="n">
        <f aca="false">IF(BS4&lt;=Tenants!$F$2,Tenants!$B$2*Tenants!$C$2/12,IF(BS4&lt;=EOMONTH(Tenants!$F$2,Inputs!$B$6),0,Tenants!$B$2*Inputs!$B$4*(1+Inputs!$B$5)^(BS$3/12)/12*IF(Tenants!$C$2&lt;1000,0.35,1)))</f>
        <v>1191666.66666667</v>
      </c>
      <c r="BT5" s="0" t="n">
        <f aca="false">IF(BT4&lt;=Tenants!$F$2,Tenants!$B$2*Tenants!$C$2/12,IF(BT4&lt;=EOMONTH(Tenants!$F$2,Inputs!$B$6),0,Tenants!$B$2*Inputs!$B$4*(1+Inputs!$B$5)^(BT$3/12)/12*IF(Tenants!$C$2&lt;1000,0.35,1)))</f>
        <v>1191666.66666667</v>
      </c>
      <c r="BU5" s="0" t="n">
        <f aca="false">IF(BU4&lt;=Tenants!$F$2,Tenants!$B$2*Tenants!$C$2/12,IF(BU4&lt;=EOMONTH(Tenants!$F$2,Inputs!$B$6),0,Tenants!$B$2*Inputs!$B$4*(1+Inputs!$B$5)^(BU$3/12)/12*IF(Tenants!$C$2&lt;1000,0.35,1)))</f>
        <v>1191666.66666667</v>
      </c>
      <c r="BV5" s="0" t="n">
        <f aca="false">IF(BV4&lt;=Tenants!$F$2,Tenants!$B$2*Tenants!$C$2/12,IF(BV4&lt;=EOMONTH(Tenants!$F$2,Inputs!$B$6),0,Tenants!$B$2*Inputs!$B$4*(1+Inputs!$B$5)^(BV$3/12)/12*IF(Tenants!$C$2&lt;1000,0.35,1)))</f>
        <v>1191666.66666667</v>
      </c>
      <c r="BW5" s="0" t="n">
        <f aca="false">IF(BW4&lt;=Tenants!$F$2,Tenants!$B$2*Tenants!$C$2/12,IF(BW4&lt;=EOMONTH(Tenants!$F$2,Inputs!$B$6),0,Tenants!$B$2*Inputs!$B$4*(1+Inputs!$B$5)^(BW$3/12)/12*IF(Tenants!$C$2&lt;1000,0.35,1)))</f>
        <v>1191666.66666667</v>
      </c>
      <c r="BX5" s="0" t="n">
        <f aca="false">IF(BX4&lt;=Tenants!$F$2,Tenants!$B$2*Tenants!$C$2/12,IF(BX4&lt;=EOMONTH(Tenants!$F$2,Inputs!$B$6),0,Tenants!$B$2*Inputs!$B$4*(1+Inputs!$B$5)^(BX$3/12)/12*IF(Tenants!$C$2&lt;1000,0.35,1)))</f>
        <v>1191666.66666667</v>
      </c>
      <c r="BY5" s="0" t="n">
        <f aca="false">IF(BY4&lt;=Tenants!$F$2,Tenants!$B$2*Tenants!$C$2/12,IF(BY4&lt;=EOMONTH(Tenants!$F$2,Inputs!$B$6),0,Tenants!$B$2*Inputs!$B$4*(1+Inputs!$B$5)^(BY$3/12)/12*IF(Tenants!$C$2&lt;1000,0.35,1)))</f>
        <v>1191666.66666667</v>
      </c>
      <c r="BZ5" s="0" t="n">
        <f aca="false">IF(BZ4&lt;=Tenants!$F$2,Tenants!$B$2*Tenants!$C$2/12,IF(BZ4&lt;=EOMONTH(Tenants!$F$2,Inputs!$B$6),0,Tenants!$B$2*Inputs!$B$4*(1+Inputs!$B$5)^(BZ$3/12)/12*IF(Tenants!$C$2&lt;1000,0.35,1)))</f>
        <v>1191666.66666667</v>
      </c>
      <c r="CA5" s="0" t="n">
        <f aca="false">IF(CA4&lt;=Tenants!$F$2,Tenants!$B$2*Tenants!$C$2/12,IF(CA4&lt;=EOMONTH(Tenants!$F$2,Inputs!$B$6),0,Tenants!$B$2*Inputs!$B$4*(1+Inputs!$B$5)^(CA$3/12)/12*IF(Tenants!$C$2&lt;1000,0.35,1)))</f>
        <v>1191666.66666667</v>
      </c>
      <c r="CB5" s="0" t="n">
        <f aca="false">IF(CB4&lt;=Tenants!$F$2,Tenants!$B$2*Tenants!$C$2/12,IF(CB4&lt;=EOMONTH(Tenants!$F$2,Inputs!$B$6),0,Tenants!$B$2*Inputs!$B$4*(1+Inputs!$B$5)^(CB$3/12)/12*IF(Tenants!$C$2&lt;1000,0.35,1)))</f>
        <v>1191666.66666667</v>
      </c>
      <c r="CC5" s="0" t="n">
        <f aca="false">IF(CC4&lt;=Tenants!$F$2,Tenants!$B$2*Tenants!$C$2/12,IF(CC4&lt;=EOMONTH(Tenants!$F$2,Inputs!$B$6),0,Tenants!$B$2*Inputs!$B$4*(1+Inputs!$B$5)^(CC$3/12)/12*IF(Tenants!$C$2&lt;1000,0.35,1)))</f>
        <v>1191666.66666667</v>
      </c>
      <c r="CD5" s="0" t="n">
        <f aca="false">IF(CD4&lt;=Tenants!$F$2,Tenants!$B$2*Tenants!$C$2/12,IF(CD4&lt;=EOMONTH(Tenants!$F$2,Inputs!$B$6),0,Tenants!$B$2*Inputs!$B$4*(1+Inputs!$B$5)^(CD$3/12)/12*IF(Tenants!$C$2&lt;1000,0.35,1)))</f>
        <v>1191666.66666667</v>
      </c>
      <c r="CE5" s="0" t="n">
        <f aca="false">IF(CE4&lt;=Tenants!$F$2,Tenants!$B$2*Tenants!$C$2/12,IF(CE4&lt;=EOMONTH(Tenants!$F$2,Inputs!$B$6),0,Tenants!$B$2*Inputs!$B$4*(1+Inputs!$B$5)^(CE$3/12)/12*IF(Tenants!$C$2&lt;1000,0.35,1)))</f>
        <v>1191666.66666667</v>
      </c>
      <c r="CF5" s="0" t="n">
        <f aca="false">IF(CF4&lt;=Tenants!$F$2,Tenants!$B$2*Tenants!$C$2/12,IF(CF4&lt;=EOMONTH(Tenants!$F$2,Inputs!$B$6),0,Tenants!$B$2*Inputs!$B$4*(1+Inputs!$B$5)^(CF$3/12)/12*IF(Tenants!$C$2&lt;1000,0.35,1)))</f>
        <v>1191666.66666667</v>
      </c>
      <c r="CG5" s="0" t="n">
        <f aca="false">IF(CG4&lt;=Tenants!$F$2,Tenants!$B$2*Tenants!$C$2/12,IF(CG4&lt;=EOMONTH(Tenants!$F$2,Inputs!$B$6),0,Tenants!$B$2*Inputs!$B$4*(1+Inputs!$B$5)^(CG$3/12)/12*IF(Tenants!$C$2&lt;1000,0.35,1)))</f>
        <v>1191666.66666667</v>
      </c>
      <c r="CH5" s="0" t="n">
        <f aca="false">IF(CH4&lt;=Tenants!$F$2,Tenants!$B$2*Tenants!$C$2/12,IF(CH4&lt;=EOMONTH(Tenants!$F$2,Inputs!$B$6),0,Tenants!$B$2*Inputs!$B$4*(1+Inputs!$B$5)^(CH$3/12)/12*IF(Tenants!$C$2&lt;1000,0.35,1)))</f>
        <v>1191666.66666667</v>
      </c>
      <c r="CI5" s="0" t="n">
        <f aca="false">IF(CI4&lt;=Tenants!$F$2,Tenants!$B$2*Tenants!$C$2/12,IF(CI4&lt;=EOMONTH(Tenants!$F$2,Inputs!$B$6),0,Tenants!$B$2*Inputs!$B$4*(1+Inputs!$B$5)^(CI$3/12)/12*IF(Tenants!$C$2&lt;1000,0.35,1)))</f>
        <v>1191666.66666667</v>
      </c>
      <c r="CJ5" s="0" t="n">
        <f aca="false">IF(CJ4&lt;=Tenants!$F$2,Tenants!$B$2*Tenants!$C$2/12,IF(CJ4&lt;=EOMONTH(Tenants!$F$2,Inputs!$B$6),0,Tenants!$B$2*Inputs!$B$4*(1+Inputs!$B$5)^(CJ$3/12)/12*IF(Tenants!$C$2&lt;1000,0.35,1)))</f>
        <v>1191666.66666667</v>
      </c>
      <c r="CK5" s="0" t="n">
        <f aca="false">IF(CK4&lt;=Tenants!$F$2,Tenants!$B$2*Tenants!$C$2/12,IF(CK4&lt;=EOMONTH(Tenants!$F$2,Inputs!$B$6),0,Tenants!$B$2*Inputs!$B$4*(1+Inputs!$B$5)^(CK$3/12)/12*IF(Tenants!$C$2&lt;1000,0.35,1)))</f>
        <v>1191666.66666667</v>
      </c>
      <c r="CL5" s="0" t="n">
        <f aca="false">IF(CL4&lt;=Tenants!$F$2,Tenants!$B$2*Tenants!$C$2/12,IF(CL4&lt;=EOMONTH(Tenants!$F$2,Inputs!$B$6),0,Tenants!$B$2*Inputs!$B$4*(1+Inputs!$B$5)^(CL$3/12)/12*IF(Tenants!$C$2&lt;1000,0.35,1)))</f>
        <v>1191666.66666667</v>
      </c>
      <c r="CM5" s="0" t="n">
        <f aca="false">IF(CM4&lt;=Tenants!$F$2,Tenants!$B$2*Tenants!$C$2/12,IF(CM4&lt;=EOMONTH(Tenants!$F$2,Inputs!$B$6),0,Tenants!$B$2*Inputs!$B$4*(1+Inputs!$B$5)^(CM$3/12)/12*IF(Tenants!$C$2&lt;1000,0.35,1)))</f>
        <v>1191666.66666667</v>
      </c>
      <c r="CN5" s="0" t="n">
        <f aca="false">IF(CN4&lt;=Tenants!$F$2,Tenants!$B$2*Tenants!$C$2/12,IF(CN4&lt;=EOMONTH(Tenants!$F$2,Inputs!$B$6),0,Tenants!$B$2*Inputs!$B$4*(1+Inputs!$B$5)^(CN$3/12)/12*IF(Tenants!$C$2&lt;1000,0.35,1)))</f>
        <v>1191666.66666667</v>
      </c>
      <c r="CO5" s="0" t="n">
        <f aca="false">IF(CO4&lt;=Tenants!$F$2,Tenants!$B$2*Tenants!$C$2/12,IF(CO4&lt;=EOMONTH(Tenants!$F$2,Inputs!$B$6),0,Tenants!$B$2*Inputs!$B$4*(1+Inputs!$B$5)^(CO$3/12)/12*IF(Tenants!$C$2&lt;1000,0.35,1)))</f>
        <v>0</v>
      </c>
      <c r="CP5" s="0" t="n">
        <f aca="false">IF(CP4&lt;=Tenants!$F$2,Tenants!$B$2*Tenants!$C$2/12,IF(CP4&lt;=EOMONTH(Tenants!$F$2,Inputs!$B$6),0,Tenants!$B$2*Inputs!$B$4*(1+Inputs!$B$5)^(CP$3/12)/12*IF(Tenants!$C$2&lt;1000,0.35,1)))</f>
        <v>0</v>
      </c>
      <c r="CQ5" s="0" t="n">
        <f aca="false">IF(CQ4&lt;=Tenants!$F$2,Tenants!$B$2*Tenants!$C$2/12,IF(CQ4&lt;=EOMONTH(Tenants!$F$2,Inputs!$B$6),0,Tenants!$B$2*Inputs!$B$4*(1+Inputs!$B$5)^(CQ$3/12)/12*IF(Tenants!$C$2&lt;1000,0.35,1)))</f>
        <v>0</v>
      </c>
      <c r="CR5" s="0" t="n">
        <f aca="false">IF(CR4&lt;=Tenants!$F$2,Tenants!$B$2*Tenants!$C$2/12,IF(CR4&lt;=EOMONTH(Tenants!$F$2,Inputs!$B$6),0,Tenants!$B$2*Inputs!$B$4*(1+Inputs!$B$5)^(CR$3/12)/12*IF(Tenants!$C$2&lt;1000,0.35,1)))</f>
        <v>0</v>
      </c>
      <c r="CS5" s="0" t="n">
        <f aca="false">IF(CS4&lt;=Tenants!$F$2,Tenants!$B$2*Tenants!$C$2/12,IF(CS4&lt;=EOMONTH(Tenants!$F$2,Inputs!$B$6),0,Tenants!$B$2*Inputs!$B$4*(1+Inputs!$B$5)^(CS$3/12)/12*IF(Tenants!$C$2&lt;1000,0.35,1)))</f>
        <v>0</v>
      </c>
      <c r="CT5" s="0" t="n">
        <f aca="false">IF(CT4&lt;=Tenants!$F$2,Tenants!$B$2*Tenants!$C$2/12,IF(CT4&lt;=EOMONTH(Tenants!$F$2,Inputs!$B$6),0,Tenants!$B$2*Inputs!$B$4*(1+Inputs!$B$5)^(CT$3/12)/12*IF(Tenants!$C$2&lt;1000,0.35,1)))</f>
        <v>0</v>
      </c>
      <c r="CU5" s="0" t="n">
        <f aca="false">IF(CU4&lt;=Tenants!$F$2,Tenants!$B$2*Tenants!$C$2/12,IF(CU4&lt;=EOMONTH(Tenants!$F$2,Inputs!$B$6),0,Tenants!$B$2*Inputs!$B$4*(1+Inputs!$B$5)^(CU$3/12)/12*IF(Tenants!$C$2&lt;1000,0.35,1)))</f>
        <v>2118606.95404325</v>
      </c>
      <c r="CV5" s="0" t="n">
        <f aca="false">IF(CV4&lt;=Tenants!$F$2,Tenants!$B$2*Tenants!$C$2/12,IF(CV4&lt;=EOMONTH(Tenants!$F$2,Inputs!$B$6),0,Tenants!$B$2*Inputs!$B$4*(1+Inputs!$B$5)^(CV$3/12)/12*IF(Tenants!$C$2&lt;1000,0.35,1)))</f>
        <v>2123832.0103334</v>
      </c>
      <c r="CW5" s="0" t="n">
        <f aca="false">IF(CW4&lt;=Tenants!$F$2,Tenants!$B$2*Tenants!$C$2/12,IF(CW4&lt;=EOMONTH(Tenants!$F$2,Inputs!$B$6),0,Tenants!$B$2*Inputs!$B$4*(1+Inputs!$B$5)^(CW$3/12)/12*IF(Tenants!$C$2&lt;1000,0.35,1)))</f>
        <v>2129069.95302193</v>
      </c>
      <c r="CX5" s="0" t="n">
        <f aca="false">IF(CX4&lt;=Tenants!$F$2,Tenants!$B$2*Tenants!$C$2/12,IF(CX4&lt;=EOMONTH(Tenants!$F$2,Inputs!$B$6),0,Tenants!$B$2*Inputs!$B$4*(1+Inputs!$B$5)^(CX$3/12)/12*IF(Tenants!$C$2&lt;1000,0.35,1)))</f>
        <v>2134320.81389019</v>
      </c>
      <c r="CY5" s="0" t="n">
        <f aca="false">IF(CY4&lt;=Tenants!$F$2,Tenants!$B$2*Tenants!$C$2/12,IF(CY4&lt;=EOMONTH(Tenants!$F$2,Inputs!$B$6),0,Tenants!$B$2*Inputs!$B$4*(1+Inputs!$B$5)^(CY$3/12)/12*IF(Tenants!$C$2&lt;1000,0.35,1)))</f>
        <v>2139584.62479789</v>
      </c>
      <c r="CZ5" s="0" t="n">
        <f aca="false">IF(CZ4&lt;=Tenants!$F$2,Tenants!$B$2*Tenants!$C$2/12,IF(CZ4&lt;=EOMONTH(Tenants!$F$2,Inputs!$B$6),0,Tenants!$B$2*Inputs!$B$4*(1+Inputs!$B$5)^(CZ$3/12)/12*IF(Tenants!$C$2&lt;1000,0.35,1)))</f>
        <v>2144861.41768331</v>
      </c>
      <c r="DA5" s="0" t="n">
        <f aca="false">IF(DA4&lt;=Tenants!$F$2,Tenants!$B$2*Tenants!$C$2/12,IF(DA4&lt;=EOMONTH(Tenants!$F$2,Inputs!$B$6),0,Tenants!$B$2*Inputs!$B$4*(1+Inputs!$B$5)^(DA$3/12)/12*IF(Tenants!$C$2&lt;1000,0.35,1)))</f>
        <v>2150151.22456352</v>
      </c>
      <c r="DB5" s="0" t="n">
        <f aca="false">IF(DB4&lt;=Tenants!$F$2,Tenants!$B$2*Tenants!$C$2/12,IF(DB4&lt;=EOMONTH(Tenants!$F$2,Inputs!$B$6),0,Tenants!$B$2*Inputs!$B$4*(1+Inputs!$B$5)^(DB$3/12)/12*IF(Tenants!$C$2&lt;1000,0.35,1)))</f>
        <v>2155454.07753455</v>
      </c>
      <c r="DC5" s="0" t="n">
        <f aca="false">IF(DC4&lt;=Tenants!$F$2,Tenants!$B$2*Tenants!$C$2/12,IF(DC4&lt;=EOMONTH(Tenants!$F$2,Inputs!$B$6),0,Tenants!$B$2*Inputs!$B$4*(1+Inputs!$B$5)^(DC$3/12)/12*IF(Tenants!$C$2&lt;1000,0.35,1)))</f>
        <v>2160770.00877156</v>
      </c>
      <c r="DD5" s="0" t="n">
        <f aca="false">IF(DD4&lt;=Tenants!$F$2,Tenants!$B$2*Tenants!$C$2/12,IF(DD4&lt;=EOMONTH(Tenants!$F$2,Inputs!$B$6),0,Tenants!$B$2*Inputs!$B$4*(1+Inputs!$B$5)^(DD$3/12)/12*IF(Tenants!$C$2&lt;1000,0.35,1)))</f>
        <v>2166099.05052909</v>
      </c>
      <c r="DE5" s="0" t="n">
        <f aca="false">IF(DE4&lt;=Tenants!$F$2,Tenants!$B$2*Tenants!$C$2/12,IF(DE4&lt;=EOMONTH(Tenants!$F$2,Inputs!$B$6),0,Tenants!$B$2*Inputs!$B$4*(1+Inputs!$B$5)^(DE$3/12)/12*IF(Tenants!$C$2&lt;1000,0.35,1)))</f>
        <v>2171441.23514123</v>
      </c>
      <c r="DF5" s="0" t="n">
        <f aca="false">IF(DF4&lt;=Tenants!$F$2,Tenants!$B$2*Tenants!$C$2/12,IF(DF4&lt;=EOMONTH(Tenants!$F$2,Inputs!$B$6),0,Tenants!$B$2*Inputs!$B$4*(1+Inputs!$B$5)^(DF$3/12)/12*IF(Tenants!$C$2&lt;1000,0.35,1)))</f>
        <v>2176796.59502179</v>
      </c>
      <c r="DG5" s="0" t="n">
        <f aca="false">IF(DG4&lt;=Tenants!$F$2,Tenants!$B$2*Tenants!$C$2/12,IF(DG4&lt;=EOMONTH(Tenants!$F$2,Inputs!$B$6),0,Tenants!$B$2*Inputs!$B$4*(1+Inputs!$B$5)^(DG$3/12)/12*IF(Tenants!$C$2&lt;1000,0.35,1)))</f>
        <v>2182165.16266455</v>
      </c>
      <c r="DH5" s="0" t="n">
        <f aca="false">IF(DH4&lt;=Tenants!$F$2,Tenants!$B$2*Tenants!$C$2/12,IF(DH4&lt;=EOMONTH(Tenants!$F$2,Inputs!$B$6),0,Tenants!$B$2*Inputs!$B$4*(1+Inputs!$B$5)^(DH$3/12)/12*IF(Tenants!$C$2&lt;1000,0.35,1)))</f>
        <v>2187546.9706434</v>
      </c>
      <c r="DI5" s="0" t="n">
        <f aca="false">IF(DI4&lt;=Tenants!$F$2,Tenants!$B$2*Tenants!$C$2/12,IF(DI4&lt;=EOMONTH(Tenants!$F$2,Inputs!$B$6),0,Tenants!$B$2*Inputs!$B$4*(1+Inputs!$B$5)^(DI$3/12)/12*IF(Tenants!$C$2&lt;1000,0.35,1)))</f>
        <v>2192942.05161259</v>
      </c>
      <c r="DJ5" s="0" t="n">
        <f aca="false">IF(DJ4&lt;=Tenants!$F$2,Tenants!$B$2*Tenants!$C$2/12,IF(DJ4&lt;=EOMONTH(Tenants!$F$2,Inputs!$B$6),0,Tenants!$B$2*Inputs!$B$4*(1+Inputs!$B$5)^(DJ$3/12)/12*IF(Tenants!$C$2&lt;1000,0.35,1)))</f>
        <v>2198350.4383069</v>
      </c>
      <c r="DK5" s="0" t="n">
        <f aca="false">IF(DK4&lt;=Tenants!$F$2,Tenants!$B$2*Tenants!$C$2/12,IF(DK4&lt;=EOMONTH(Tenants!$F$2,Inputs!$B$6),0,Tenants!$B$2*Inputs!$B$4*(1+Inputs!$B$5)^(DK$3/12)/12*IF(Tenants!$C$2&lt;1000,0.35,1)))</f>
        <v>2203772.16354182</v>
      </c>
      <c r="DL5" s="0" t="n">
        <f aca="false">IF(DL4&lt;=Tenants!$F$2,Tenants!$B$2*Tenants!$C$2/12,IF(DL4&lt;=EOMONTH(Tenants!$F$2,Inputs!$B$6),0,Tenants!$B$2*Inputs!$B$4*(1+Inputs!$B$5)^(DL$3/12)/12*IF(Tenants!$C$2&lt;1000,0.35,1)))</f>
        <v>2209207.26021381</v>
      </c>
      <c r="DM5" s="0" t="n">
        <f aca="false">IF(DM4&lt;=Tenants!$F$2,Tenants!$B$2*Tenants!$C$2/12,IF(DM4&lt;=EOMONTH(Tenants!$F$2,Inputs!$B$6),0,Tenants!$B$2*Inputs!$B$4*(1+Inputs!$B$5)^(DM$3/12)/12*IF(Tenants!$C$2&lt;1000,0.35,1)))</f>
        <v>2214655.76130043</v>
      </c>
      <c r="DN5" s="0" t="n">
        <f aca="false">IF(DN4&lt;=Tenants!$F$2,Tenants!$B$2*Tenants!$C$2/12,IF(DN4&lt;=EOMONTH(Tenants!$F$2,Inputs!$B$6),0,Tenants!$B$2*Inputs!$B$4*(1+Inputs!$B$5)^(DN$3/12)/12*IF(Tenants!$C$2&lt;1000,0.35,1)))</f>
        <v>2220117.69986058</v>
      </c>
      <c r="DO5" s="0" t="n">
        <f aca="false">IF(DO4&lt;=Tenants!$F$2,Tenants!$B$2*Tenants!$C$2/12,IF(DO4&lt;=EOMONTH(Tenants!$F$2,Inputs!$B$6),0,Tenants!$B$2*Inputs!$B$4*(1+Inputs!$B$5)^(DO$3/12)/12*IF(Tenants!$C$2&lt;1000,0.35,1)))</f>
        <v>2225593.10903471</v>
      </c>
      <c r="DP5" s="0" t="n">
        <f aca="false">IF(DP4&lt;=Tenants!$F$2,Tenants!$B$2*Tenants!$C$2/12,IF(DP4&lt;=EOMONTH(Tenants!$F$2,Inputs!$B$6),0,Tenants!$B$2*Inputs!$B$4*(1+Inputs!$B$5)^(DP$3/12)/12*IF(Tenants!$C$2&lt;1000,0.35,1)))</f>
        <v>2231082.02204497</v>
      </c>
      <c r="DQ5" s="0" t="n">
        <f aca="false">IF(DQ4&lt;=Tenants!$F$2,Tenants!$B$2*Tenants!$C$2/12,IF(DQ4&lt;=EOMONTH(Tenants!$F$2,Inputs!$B$6),0,Tenants!$B$2*Inputs!$B$4*(1+Inputs!$B$5)^(DQ$3/12)/12*IF(Tenants!$C$2&lt;1000,0.35,1)))</f>
        <v>2236584.47219546</v>
      </c>
      <c r="DR5" s="0" t="n">
        <f aca="false">IF(DR4&lt;=Tenants!$F$2,Tenants!$B$2*Tenants!$C$2/12,IF(DR4&lt;=EOMONTH(Tenants!$F$2,Inputs!$B$6),0,Tenants!$B$2*Inputs!$B$4*(1+Inputs!$B$5)^(DR$3/12)/12*IF(Tenants!$C$2&lt;1000,0.35,1)))</f>
        <v>2242100.49287244</v>
      </c>
    </row>
    <row r="6" customFormat="false" ht="15" hidden="false" customHeight="false" outlineLevel="0" collapsed="false">
      <c r="A6" s="0" t="s">
        <v>26</v>
      </c>
      <c r="B6" s="0" t="n">
        <f aca="false">0</f>
        <v>0</v>
      </c>
      <c r="C6" s="0" t="n">
        <f aca="false">IF(C4&lt;=Tenants!$F$3,Tenants!$B$3*Tenants!$C$3/12,IF(C4&lt;=EOMONTH(Tenants!$F$3,Inputs!$B$6),0,Tenants!$B$3*Inputs!$B$4*(1+Inputs!$B$5)^(C$3/12)/12*IF(Tenants!$C$3&lt;1000,0.35,1)))</f>
        <v>1025000</v>
      </c>
      <c r="D6" s="0" t="n">
        <f aca="false">IF(D4&lt;=Tenants!$F$3,Tenants!$B$3*Tenants!$C$3/12,IF(D4&lt;=EOMONTH(Tenants!$F$3,Inputs!$B$6),0,Tenants!$B$3*Inputs!$B$4*(1+Inputs!$B$5)^(D$3/12)/12*IF(Tenants!$C$3&lt;1000,0.35,1)))</f>
        <v>1025000</v>
      </c>
      <c r="E6" s="0" t="n">
        <f aca="false">IF(E4&lt;=Tenants!$F$3,Tenants!$B$3*Tenants!$C$3/12,IF(E4&lt;=EOMONTH(Tenants!$F$3,Inputs!$B$6),0,Tenants!$B$3*Inputs!$B$4*(1+Inputs!$B$5)^(E$3/12)/12*IF(Tenants!$C$3&lt;1000,0.35,1)))</f>
        <v>1025000</v>
      </c>
      <c r="F6" s="0" t="n">
        <f aca="false">IF(F4&lt;=Tenants!$F$3,Tenants!$B$3*Tenants!$C$3/12,IF(F4&lt;=EOMONTH(Tenants!$F$3,Inputs!$B$6),0,Tenants!$B$3*Inputs!$B$4*(1+Inputs!$B$5)^(F$3/12)/12*IF(Tenants!$C$3&lt;1000,0.35,1)))</f>
        <v>1025000</v>
      </c>
      <c r="G6" s="0" t="n">
        <f aca="false">IF(G4&lt;=Tenants!$F$3,Tenants!$B$3*Tenants!$C$3/12,IF(G4&lt;=EOMONTH(Tenants!$F$3,Inputs!$B$6),0,Tenants!$B$3*Inputs!$B$4*(1+Inputs!$B$5)^(G$3/12)/12*IF(Tenants!$C$3&lt;1000,0.35,1)))</f>
        <v>1025000</v>
      </c>
      <c r="H6" s="0" t="n">
        <f aca="false">IF(H4&lt;=Tenants!$F$3,Tenants!$B$3*Tenants!$C$3/12,IF(H4&lt;=EOMONTH(Tenants!$F$3,Inputs!$B$6),0,Tenants!$B$3*Inputs!$B$4*(1+Inputs!$B$5)^(H$3/12)/12*IF(Tenants!$C$3&lt;1000,0.35,1)))</f>
        <v>1025000</v>
      </c>
      <c r="I6" s="0" t="n">
        <f aca="false">IF(I4&lt;=Tenants!$F$3,Tenants!$B$3*Tenants!$C$3/12,IF(I4&lt;=EOMONTH(Tenants!$F$3,Inputs!$B$6),0,Tenants!$B$3*Inputs!$B$4*(1+Inputs!$B$5)^(I$3/12)/12*IF(Tenants!$C$3&lt;1000,0.35,1)))</f>
        <v>1025000</v>
      </c>
      <c r="J6" s="0" t="n">
        <f aca="false">IF(J4&lt;=Tenants!$F$3,Tenants!$B$3*Tenants!$C$3/12,IF(J4&lt;=EOMONTH(Tenants!$F$3,Inputs!$B$6),0,Tenants!$B$3*Inputs!$B$4*(1+Inputs!$B$5)^(J$3/12)/12*IF(Tenants!$C$3&lt;1000,0.35,1)))</f>
        <v>1025000</v>
      </c>
      <c r="K6" s="0" t="n">
        <f aca="false">IF(K4&lt;=Tenants!$F$3,Tenants!$B$3*Tenants!$C$3/12,IF(K4&lt;=EOMONTH(Tenants!$F$3,Inputs!$B$6),0,Tenants!$B$3*Inputs!$B$4*(1+Inputs!$B$5)^(K$3/12)/12*IF(Tenants!$C$3&lt;1000,0.35,1)))</f>
        <v>1025000</v>
      </c>
      <c r="L6" s="0" t="n">
        <f aca="false">IF(L4&lt;=Tenants!$F$3,Tenants!$B$3*Tenants!$C$3/12,IF(L4&lt;=EOMONTH(Tenants!$F$3,Inputs!$B$6),0,Tenants!$B$3*Inputs!$B$4*(1+Inputs!$B$5)^(L$3/12)/12*IF(Tenants!$C$3&lt;1000,0.35,1)))</f>
        <v>1025000</v>
      </c>
      <c r="M6" s="0" t="n">
        <f aca="false">IF(M4&lt;=Tenants!$F$3,Tenants!$B$3*Tenants!$C$3/12,IF(M4&lt;=EOMONTH(Tenants!$F$3,Inputs!$B$6),0,Tenants!$B$3*Inputs!$B$4*(1+Inputs!$B$5)^(M$3/12)/12*IF(Tenants!$C$3&lt;1000,0.35,1)))</f>
        <v>1025000</v>
      </c>
      <c r="N6" s="0" t="n">
        <f aca="false">IF(N4&lt;=Tenants!$F$3,Tenants!$B$3*Tenants!$C$3/12,IF(N4&lt;=EOMONTH(Tenants!$F$3,Inputs!$B$6),0,Tenants!$B$3*Inputs!$B$4*(1+Inputs!$B$5)^(N$3/12)/12*IF(Tenants!$C$3&lt;1000,0.35,1)))</f>
        <v>1025000</v>
      </c>
      <c r="O6" s="0" t="n">
        <f aca="false">IF(O4&lt;=Tenants!$F$3,Tenants!$B$3*Tenants!$C$3/12,IF(O4&lt;=EOMONTH(Tenants!$F$3,Inputs!$B$6),0,Tenants!$B$3*Inputs!$B$4*(1+Inputs!$B$5)^(O$3/12)/12*IF(Tenants!$C$3&lt;1000,0.35,1)))</f>
        <v>1025000</v>
      </c>
      <c r="P6" s="0" t="n">
        <f aca="false">IF(P4&lt;=Tenants!$F$3,Tenants!$B$3*Tenants!$C$3/12,IF(P4&lt;=EOMONTH(Tenants!$F$3,Inputs!$B$6),0,Tenants!$B$3*Inputs!$B$4*(1+Inputs!$B$5)^(P$3/12)/12*IF(Tenants!$C$3&lt;1000,0.35,1)))</f>
        <v>1025000</v>
      </c>
      <c r="Q6" s="0" t="n">
        <f aca="false">IF(Q4&lt;=Tenants!$F$3,Tenants!$B$3*Tenants!$C$3/12,IF(Q4&lt;=EOMONTH(Tenants!$F$3,Inputs!$B$6),0,Tenants!$B$3*Inputs!$B$4*(1+Inputs!$B$5)^(Q$3/12)/12*IF(Tenants!$C$3&lt;1000,0.35,1)))</f>
        <v>1025000</v>
      </c>
      <c r="R6" s="0" t="n">
        <f aca="false">IF(R4&lt;=Tenants!$F$3,Tenants!$B$3*Tenants!$C$3/12,IF(R4&lt;=EOMONTH(Tenants!$F$3,Inputs!$B$6),0,Tenants!$B$3*Inputs!$B$4*(1+Inputs!$B$5)^(R$3/12)/12*IF(Tenants!$C$3&lt;1000,0.35,1)))</f>
        <v>1025000</v>
      </c>
      <c r="S6" s="0" t="n">
        <f aca="false">IF(S4&lt;=Tenants!$F$3,Tenants!$B$3*Tenants!$C$3/12,IF(S4&lt;=EOMONTH(Tenants!$F$3,Inputs!$B$6),0,Tenants!$B$3*Inputs!$B$4*(1+Inputs!$B$5)^(S$3/12)/12*IF(Tenants!$C$3&lt;1000,0.35,1)))</f>
        <v>1025000</v>
      </c>
      <c r="T6" s="0" t="n">
        <f aca="false">IF(T4&lt;=Tenants!$F$3,Tenants!$B$3*Tenants!$C$3/12,IF(T4&lt;=EOMONTH(Tenants!$F$3,Inputs!$B$6),0,Tenants!$B$3*Inputs!$B$4*(1+Inputs!$B$5)^(T$3/12)/12*IF(Tenants!$C$3&lt;1000,0.35,1)))</f>
        <v>1025000</v>
      </c>
      <c r="U6" s="0" t="n">
        <f aca="false">IF(U4&lt;=Tenants!$F$3,Tenants!$B$3*Tenants!$C$3/12,IF(U4&lt;=EOMONTH(Tenants!$F$3,Inputs!$B$6),0,Tenants!$B$3*Inputs!$B$4*(1+Inputs!$B$5)^(U$3/12)/12*IF(Tenants!$C$3&lt;1000,0.35,1)))</f>
        <v>1025000</v>
      </c>
      <c r="V6" s="0" t="n">
        <f aca="false">IF(V4&lt;=Tenants!$F$3,Tenants!$B$3*Tenants!$C$3/12,IF(V4&lt;=EOMONTH(Tenants!$F$3,Inputs!$B$6),0,Tenants!$B$3*Inputs!$B$4*(1+Inputs!$B$5)^(V$3/12)/12*IF(Tenants!$C$3&lt;1000,0.35,1)))</f>
        <v>1025000</v>
      </c>
      <c r="W6" s="0" t="n">
        <f aca="false">IF(W4&lt;=Tenants!$F$3,Tenants!$B$3*Tenants!$C$3/12,IF(W4&lt;=EOMONTH(Tenants!$F$3,Inputs!$B$6),0,Tenants!$B$3*Inputs!$B$4*(1+Inputs!$B$5)^(W$3/12)/12*IF(Tenants!$C$3&lt;1000,0.35,1)))</f>
        <v>1025000</v>
      </c>
      <c r="X6" s="0" t="n">
        <f aca="false">IF(X4&lt;=Tenants!$F$3,Tenants!$B$3*Tenants!$C$3/12,IF(X4&lt;=EOMONTH(Tenants!$F$3,Inputs!$B$6),0,Tenants!$B$3*Inputs!$B$4*(1+Inputs!$B$5)^(X$3/12)/12*IF(Tenants!$C$3&lt;1000,0.35,1)))</f>
        <v>1025000</v>
      </c>
      <c r="Y6" s="0" t="n">
        <f aca="false">IF(Y4&lt;=Tenants!$F$3,Tenants!$B$3*Tenants!$C$3/12,IF(Y4&lt;=EOMONTH(Tenants!$F$3,Inputs!$B$6),0,Tenants!$B$3*Inputs!$B$4*(1+Inputs!$B$5)^(Y$3/12)/12*IF(Tenants!$C$3&lt;1000,0.35,1)))</f>
        <v>1025000</v>
      </c>
      <c r="Z6" s="0" t="n">
        <f aca="false">IF(Z4&lt;=Tenants!$F$3,Tenants!$B$3*Tenants!$C$3/12,IF(Z4&lt;=EOMONTH(Tenants!$F$3,Inputs!$B$6),0,Tenants!$B$3*Inputs!$B$4*(1+Inputs!$B$5)^(Z$3/12)/12*IF(Tenants!$C$3&lt;1000,0.35,1)))</f>
        <v>1025000</v>
      </c>
      <c r="AA6" s="0" t="n">
        <f aca="false">IF(AA4&lt;=Tenants!$F$3,Tenants!$B$3*Tenants!$C$3/12,IF(AA4&lt;=EOMONTH(Tenants!$F$3,Inputs!$B$6),0,Tenants!$B$3*Inputs!$B$4*(1+Inputs!$B$5)^(AA$3/12)/12*IF(Tenants!$C$3&lt;1000,0.35,1)))</f>
        <v>1025000</v>
      </c>
      <c r="AB6" s="0" t="n">
        <f aca="false">IF(AB4&lt;=Tenants!$F$3,Tenants!$B$3*Tenants!$C$3/12,IF(AB4&lt;=EOMONTH(Tenants!$F$3,Inputs!$B$6),0,Tenants!$B$3*Inputs!$B$4*(1+Inputs!$B$5)^(AB$3/12)/12*IF(Tenants!$C$3&lt;1000,0.35,1)))</f>
        <v>1025000</v>
      </c>
      <c r="AC6" s="0" t="n">
        <f aca="false">IF(AC4&lt;=Tenants!$F$3,Tenants!$B$3*Tenants!$C$3/12,IF(AC4&lt;=EOMONTH(Tenants!$F$3,Inputs!$B$6),0,Tenants!$B$3*Inputs!$B$4*(1+Inputs!$B$5)^(AC$3/12)/12*IF(Tenants!$C$3&lt;1000,0.35,1)))</f>
        <v>1025000</v>
      </c>
      <c r="AD6" s="0" t="n">
        <f aca="false">IF(AD4&lt;=Tenants!$F$3,Tenants!$B$3*Tenants!$C$3/12,IF(AD4&lt;=EOMONTH(Tenants!$F$3,Inputs!$B$6),0,Tenants!$B$3*Inputs!$B$4*(1+Inputs!$B$5)^(AD$3/12)/12*IF(Tenants!$C$3&lt;1000,0.35,1)))</f>
        <v>1025000</v>
      </c>
      <c r="AE6" s="0" t="n">
        <f aca="false">IF(AE4&lt;=Tenants!$F$3,Tenants!$B$3*Tenants!$C$3/12,IF(AE4&lt;=EOMONTH(Tenants!$F$3,Inputs!$B$6),0,Tenants!$B$3*Inputs!$B$4*(1+Inputs!$B$5)^(AE$3/12)/12*IF(Tenants!$C$3&lt;1000,0.35,1)))</f>
        <v>1025000</v>
      </c>
      <c r="AF6" s="0" t="n">
        <f aca="false">IF(AF4&lt;=Tenants!$F$3,Tenants!$B$3*Tenants!$C$3/12,IF(AF4&lt;=EOMONTH(Tenants!$F$3,Inputs!$B$6),0,Tenants!$B$3*Inputs!$B$4*(1+Inputs!$B$5)^(AF$3/12)/12*IF(Tenants!$C$3&lt;1000,0.35,1)))</f>
        <v>1025000</v>
      </c>
      <c r="AG6" s="0" t="n">
        <f aca="false">IF(AG4&lt;=Tenants!$F$3,Tenants!$B$3*Tenants!$C$3/12,IF(AG4&lt;=EOMONTH(Tenants!$F$3,Inputs!$B$6),0,Tenants!$B$3*Inputs!$B$4*(1+Inputs!$B$5)^(AG$3/12)/12*IF(Tenants!$C$3&lt;1000,0.35,1)))</f>
        <v>1025000</v>
      </c>
      <c r="AH6" s="0" t="n">
        <f aca="false">IF(AH4&lt;=Tenants!$F$3,Tenants!$B$3*Tenants!$C$3/12,IF(AH4&lt;=EOMONTH(Tenants!$F$3,Inputs!$B$6),0,Tenants!$B$3*Inputs!$B$4*(1+Inputs!$B$5)^(AH$3/12)/12*IF(Tenants!$C$3&lt;1000,0.35,1)))</f>
        <v>1025000</v>
      </c>
      <c r="AI6" s="0" t="n">
        <f aca="false">IF(AI4&lt;=Tenants!$F$3,Tenants!$B$3*Tenants!$C$3/12,IF(AI4&lt;=EOMONTH(Tenants!$F$3,Inputs!$B$6),0,Tenants!$B$3*Inputs!$B$4*(1+Inputs!$B$5)^(AI$3/12)/12*IF(Tenants!$C$3&lt;1000,0.35,1)))</f>
        <v>1025000</v>
      </c>
      <c r="AJ6" s="0" t="n">
        <f aca="false">IF(AJ4&lt;=Tenants!$F$3,Tenants!$B$3*Tenants!$C$3/12,IF(AJ4&lt;=EOMONTH(Tenants!$F$3,Inputs!$B$6),0,Tenants!$B$3*Inputs!$B$4*(1+Inputs!$B$5)^(AJ$3/12)/12*IF(Tenants!$C$3&lt;1000,0.35,1)))</f>
        <v>1025000</v>
      </c>
      <c r="AK6" s="0" t="n">
        <f aca="false">IF(AK4&lt;=Tenants!$F$3,Tenants!$B$3*Tenants!$C$3/12,IF(AK4&lt;=EOMONTH(Tenants!$F$3,Inputs!$B$6),0,Tenants!$B$3*Inputs!$B$4*(1+Inputs!$B$5)^(AK$3/12)/12*IF(Tenants!$C$3&lt;1000,0.35,1)))</f>
        <v>1025000</v>
      </c>
      <c r="AL6" s="0" t="n">
        <f aca="false">IF(AL4&lt;=Tenants!$F$3,Tenants!$B$3*Tenants!$C$3/12,IF(AL4&lt;=EOMONTH(Tenants!$F$3,Inputs!$B$6),0,Tenants!$B$3*Inputs!$B$4*(1+Inputs!$B$5)^(AL$3/12)/12*IF(Tenants!$C$3&lt;1000,0.35,1)))</f>
        <v>1025000</v>
      </c>
      <c r="AM6" s="0" t="n">
        <f aca="false">IF(AM4&lt;=Tenants!$F$3,Tenants!$B$3*Tenants!$C$3/12,IF(AM4&lt;=EOMONTH(Tenants!$F$3,Inputs!$B$6),0,Tenants!$B$3*Inputs!$B$4*(1+Inputs!$B$5)^(AM$3/12)/12*IF(Tenants!$C$3&lt;1000,0.35,1)))</f>
        <v>1025000</v>
      </c>
      <c r="AN6" s="0" t="n">
        <f aca="false">IF(AN4&lt;=Tenants!$F$3,Tenants!$B$3*Tenants!$C$3/12,IF(AN4&lt;=EOMONTH(Tenants!$F$3,Inputs!$B$6),0,Tenants!$B$3*Inputs!$B$4*(1+Inputs!$B$5)^(AN$3/12)/12*IF(Tenants!$C$3&lt;1000,0.35,1)))</f>
        <v>1025000</v>
      </c>
      <c r="AO6" s="0" t="n">
        <f aca="false">IF(AO4&lt;=Tenants!$F$3,Tenants!$B$3*Tenants!$C$3/12,IF(AO4&lt;=EOMONTH(Tenants!$F$3,Inputs!$B$6),0,Tenants!$B$3*Inputs!$B$4*(1+Inputs!$B$5)^(AO$3/12)/12*IF(Tenants!$C$3&lt;1000,0.35,1)))</f>
        <v>1025000</v>
      </c>
      <c r="AP6" s="0" t="n">
        <f aca="false">IF(AP4&lt;=Tenants!$F$3,Tenants!$B$3*Tenants!$C$3/12,IF(AP4&lt;=EOMONTH(Tenants!$F$3,Inputs!$B$6),0,Tenants!$B$3*Inputs!$B$4*(1+Inputs!$B$5)^(AP$3/12)/12*IF(Tenants!$C$3&lt;1000,0.35,1)))</f>
        <v>1025000</v>
      </c>
      <c r="AQ6" s="0" t="n">
        <f aca="false">IF(AQ4&lt;=Tenants!$F$3,Tenants!$B$3*Tenants!$C$3/12,IF(AQ4&lt;=EOMONTH(Tenants!$F$3,Inputs!$B$6),0,Tenants!$B$3*Inputs!$B$4*(1+Inputs!$B$5)^(AQ$3/12)/12*IF(Tenants!$C$3&lt;1000,0.35,1)))</f>
        <v>1025000</v>
      </c>
      <c r="AR6" s="0" t="n">
        <f aca="false">IF(AR4&lt;=Tenants!$F$3,Tenants!$B$3*Tenants!$C$3/12,IF(AR4&lt;=EOMONTH(Tenants!$F$3,Inputs!$B$6),0,Tenants!$B$3*Inputs!$B$4*(1+Inputs!$B$5)^(AR$3/12)/12*IF(Tenants!$C$3&lt;1000,0.35,1)))</f>
        <v>1025000</v>
      </c>
      <c r="AS6" s="0" t="n">
        <f aca="false">IF(AS4&lt;=Tenants!$F$3,Tenants!$B$3*Tenants!$C$3/12,IF(AS4&lt;=EOMONTH(Tenants!$F$3,Inputs!$B$6),0,Tenants!$B$3*Inputs!$B$4*(1+Inputs!$B$5)^(AS$3/12)/12*IF(Tenants!$C$3&lt;1000,0.35,1)))</f>
        <v>1025000</v>
      </c>
      <c r="AT6" s="0" t="n">
        <f aca="false">IF(AT4&lt;=Tenants!$F$3,Tenants!$B$3*Tenants!$C$3/12,IF(AT4&lt;=EOMONTH(Tenants!$F$3,Inputs!$B$6),0,Tenants!$B$3*Inputs!$B$4*(1+Inputs!$B$5)^(AT$3/12)/12*IF(Tenants!$C$3&lt;1000,0.35,1)))</f>
        <v>1025000</v>
      </c>
      <c r="AU6" s="0" t="n">
        <f aca="false">IF(AU4&lt;=Tenants!$F$3,Tenants!$B$3*Tenants!$C$3/12,IF(AU4&lt;=EOMONTH(Tenants!$F$3,Inputs!$B$6),0,Tenants!$B$3*Inputs!$B$4*(1+Inputs!$B$5)^(AU$3/12)/12*IF(Tenants!$C$3&lt;1000,0.35,1)))</f>
        <v>1025000</v>
      </c>
      <c r="AV6" s="0" t="n">
        <f aca="false">IF(AV4&lt;=Tenants!$F$3,Tenants!$B$3*Tenants!$C$3/12,IF(AV4&lt;=EOMONTH(Tenants!$F$3,Inputs!$B$6),0,Tenants!$B$3*Inputs!$B$4*(1+Inputs!$B$5)^(AV$3/12)/12*IF(Tenants!$C$3&lt;1000,0.35,1)))</f>
        <v>1025000</v>
      </c>
      <c r="AW6" s="0" t="n">
        <f aca="false">IF(AW4&lt;=Tenants!$F$3,Tenants!$B$3*Tenants!$C$3/12,IF(AW4&lt;=EOMONTH(Tenants!$F$3,Inputs!$B$6),0,Tenants!$B$3*Inputs!$B$4*(1+Inputs!$B$5)^(AW$3/12)/12*IF(Tenants!$C$3&lt;1000,0.35,1)))</f>
        <v>1025000</v>
      </c>
      <c r="AX6" s="0" t="n">
        <f aca="false">IF(AX4&lt;=Tenants!$F$3,Tenants!$B$3*Tenants!$C$3/12,IF(AX4&lt;=EOMONTH(Tenants!$F$3,Inputs!$B$6),0,Tenants!$B$3*Inputs!$B$4*(1+Inputs!$B$5)^(AX$3/12)/12*IF(Tenants!$C$3&lt;1000,0.35,1)))</f>
        <v>1025000</v>
      </c>
      <c r="AY6" s="0" t="n">
        <f aca="false">IF(AY4&lt;=Tenants!$F$3,Tenants!$B$3*Tenants!$C$3/12,IF(AY4&lt;=EOMONTH(Tenants!$F$3,Inputs!$B$6),0,Tenants!$B$3*Inputs!$B$4*(1+Inputs!$B$5)^(AY$3/12)/12*IF(Tenants!$C$3&lt;1000,0.35,1)))</f>
        <v>1025000</v>
      </c>
      <c r="AZ6" s="0" t="n">
        <f aca="false">IF(AZ4&lt;=Tenants!$F$3,Tenants!$B$3*Tenants!$C$3/12,IF(AZ4&lt;=EOMONTH(Tenants!$F$3,Inputs!$B$6),0,Tenants!$B$3*Inputs!$B$4*(1+Inputs!$B$5)^(AZ$3/12)/12*IF(Tenants!$C$3&lt;1000,0.35,1)))</f>
        <v>1025000</v>
      </c>
      <c r="BA6" s="0" t="n">
        <f aca="false">IF(BA4&lt;=Tenants!$F$3,Tenants!$B$3*Tenants!$C$3/12,IF(BA4&lt;=EOMONTH(Tenants!$F$3,Inputs!$B$6),0,Tenants!$B$3*Inputs!$B$4*(1+Inputs!$B$5)^(BA$3/12)/12*IF(Tenants!$C$3&lt;1000,0.35,1)))</f>
        <v>1025000</v>
      </c>
      <c r="BB6" s="0" t="n">
        <f aca="false">IF(BB4&lt;=Tenants!$F$3,Tenants!$B$3*Tenants!$C$3/12,IF(BB4&lt;=EOMONTH(Tenants!$F$3,Inputs!$B$6),0,Tenants!$B$3*Inputs!$B$4*(1+Inputs!$B$5)^(BB$3/12)/12*IF(Tenants!$C$3&lt;1000,0.35,1)))</f>
        <v>1025000</v>
      </c>
      <c r="BC6" s="0" t="n">
        <f aca="false">IF(BC4&lt;=Tenants!$F$3,Tenants!$B$3*Tenants!$C$3/12,IF(BC4&lt;=EOMONTH(Tenants!$F$3,Inputs!$B$6),0,Tenants!$B$3*Inputs!$B$4*(1+Inputs!$B$5)^(BC$3/12)/12*IF(Tenants!$C$3&lt;1000,0.35,1)))</f>
        <v>1025000</v>
      </c>
      <c r="BD6" s="0" t="n">
        <f aca="false">IF(BD4&lt;=Tenants!$F$3,Tenants!$B$3*Tenants!$C$3/12,IF(BD4&lt;=EOMONTH(Tenants!$F$3,Inputs!$B$6),0,Tenants!$B$3*Inputs!$B$4*(1+Inputs!$B$5)^(BD$3/12)/12*IF(Tenants!$C$3&lt;1000,0.35,1)))</f>
        <v>1025000</v>
      </c>
      <c r="BE6" s="0" t="n">
        <f aca="false">IF(BE4&lt;=Tenants!$F$3,Tenants!$B$3*Tenants!$C$3/12,IF(BE4&lt;=EOMONTH(Tenants!$F$3,Inputs!$B$6),0,Tenants!$B$3*Inputs!$B$4*(1+Inputs!$B$5)^(BE$3/12)/12*IF(Tenants!$C$3&lt;1000,0.35,1)))</f>
        <v>1025000</v>
      </c>
      <c r="BF6" s="0" t="n">
        <f aca="false">IF(BF4&lt;=Tenants!$F$3,Tenants!$B$3*Tenants!$C$3/12,IF(BF4&lt;=EOMONTH(Tenants!$F$3,Inputs!$B$6),0,Tenants!$B$3*Inputs!$B$4*(1+Inputs!$B$5)^(BF$3/12)/12*IF(Tenants!$C$3&lt;1000,0.35,1)))</f>
        <v>1025000</v>
      </c>
      <c r="BG6" s="0" t="n">
        <f aca="false">IF(BG4&lt;=Tenants!$F$3,Tenants!$B$3*Tenants!$C$3/12,IF(BG4&lt;=EOMONTH(Tenants!$F$3,Inputs!$B$6),0,Tenants!$B$3*Inputs!$B$4*(1+Inputs!$B$5)^(BG$3/12)/12*IF(Tenants!$C$3&lt;1000,0.35,1)))</f>
        <v>1025000</v>
      </c>
      <c r="BH6" s="0" t="n">
        <f aca="false">IF(BH4&lt;=Tenants!$F$3,Tenants!$B$3*Tenants!$C$3/12,IF(BH4&lt;=EOMONTH(Tenants!$F$3,Inputs!$B$6),0,Tenants!$B$3*Inputs!$B$4*(1+Inputs!$B$5)^(BH$3/12)/12*IF(Tenants!$C$3&lt;1000,0.35,1)))</f>
        <v>1025000</v>
      </c>
      <c r="BI6" s="0" t="n">
        <f aca="false">IF(BI4&lt;=Tenants!$F$3,Tenants!$B$3*Tenants!$C$3/12,IF(BI4&lt;=EOMONTH(Tenants!$F$3,Inputs!$B$6),0,Tenants!$B$3*Inputs!$B$4*(1+Inputs!$B$5)^(BI$3/12)/12*IF(Tenants!$C$3&lt;1000,0.35,1)))</f>
        <v>1025000</v>
      </c>
      <c r="BJ6" s="0" t="n">
        <f aca="false">IF(BJ4&lt;=Tenants!$F$3,Tenants!$B$3*Tenants!$C$3/12,IF(BJ4&lt;=EOMONTH(Tenants!$F$3,Inputs!$B$6),0,Tenants!$B$3*Inputs!$B$4*(1+Inputs!$B$5)^(BJ$3/12)/12*IF(Tenants!$C$3&lt;1000,0.35,1)))</f>
        <v>1025000</v>
      </c>
      <c r="BK6" s="0" t="n">
        <f aca="false">IF(BK4&lt;=Tenants!$F$3,Tenants!$B$3*Tenants!$C$3/12,IF(BK4&lt;=EOMONTH(Tenants!$F$3,Inputs!$B$6),0,Tenants!$B$3*Inputs!$B$4*(1+Inputs!$B$5)^(BK$3/12)/12*IF(Tenants!$C$3&lt;1000,0.35,1)))</f>
        <v>0</v>
      </c>
      <c r="BL6" s="0" t="n">
        <f aca="false">IF(BL4&lt;=Tenants!$F$3,Tenants!$B$3*Tenants!$C$3/12,IF(BL4&lt;=EOMONTH(Tenants!$F$3,Inputs!$B$6),0,Tenants!$B$3*Inputs!$B$4*(1+Inputs!$B$5)^(BL$3/12)/12*IF(Tenants!$C$3&lt;1000,0.35,1)))</f>
        <v>0</v>
      </c>
      <c r="BM6" s="0" t="n">
        <f aca="false">IF(BM4&lt;=Tenants!$F$3,Tenants!$B$3*Tenants!$C$3/12,IF(BM4&lt;=EOMONTH(Tenants!$F$3,Inputs!$B$6),0,Tenants!$B$3*Inputs!$B$4*(1+Inputs!$B$5)^(BM$3/12)/12*IF(Tenants!$C$3&lt;1000,0.35,1)))</f>
        <v>0</v>
      </c>
      <c r="BN6" s="0" t="n">
        <f aca="false">IF(BN4&lt;=Tenants!$F$3,Tenants!$B$3*Tenants!$C$3/12,IF(BN4&lt;=EOMONTH(Tenants!$F$3,Inputs!$B$6),0,Tenants!$B$3*Inputs!$B$4*(1+Inputs!$B$5)^(BN$3/12)/12*IF(Tenants!$C$3&lt;1000,0.35,1)))</f>
        <v>0</v>
      </c>
      <c r="BO6" s="0" t="n">
        <f aca="false">IF(BO4&lt;=Tenants!$F$3,Tenants!$B$3*Tenants!$C$3/12,IF(BO4&lt;=EOMONTH(Tenants!$F$3,Inputs!$B$6),0,Tenants!$B$3*Inputs!$B$4*(1+Inputs!$B$5)^(BO$3/12)/12*IF(Tenants!$C$3&lt;1000,0.35,1)))</f>
        <v>0</v>
      </c>
      <c r="BP6" s="0" t="n">
        <f aca="false">IF(BP4&lt;=Tenants!$F$3,Tenants!$B$3*Tenants!$C$3/12,IF(BP4&lt;=EOMONTH(Tenants!$F$3,Inputs!$B$6),0,Tenants!$B$3*Inputs!$B$4*(1+Inputs!$B$5)^(BP$3/12)/12*IF(Tenants!$C$3&lt;1000,0.35,1)))</f>
        <v>0</v>
      </c>
      <c r="BQ6" s="0" t="n">
        <f aca="false">IF(BQ4&lt;=Tenants!$F$3,Tenants!$B$3*Tenants!$C$3/12,IF(BQ4&lt;=EOMONTH(Tenants!$F$3,Inputs!$B$6),0,Tenants!$B$3*Inputs!$B$4*(1+Inputs!$B$5)^(BQ$3/12)/12*IF(Tenants!$C$3&lt;1000,0.35,1)))</f>
        <v>1341608.8360277</v>
      </c>
      <c r="BR6" s="0" t="n">
        <f aca="false">IF(BR4&lt;=Tenants!$F$3,Tenants!$B$3*Tenants!$C$3/12,IF(BR4&lt;=EOMONTH(Tenants!$F$3,Inputs!$B$6),0,Tenants!$B$3*Inputs!$B$4*(1+Inputs!$B$5)^(BR$3/12)/12*IF(Tenants!$C$3&lt;1000,0.35,1)))</f>
        <v>1344917.60534625</v>
      </c>
      <c r="BS6" s="0" t="n">
        <f aca="false">IF(BS4&lt;=Tenants!$F$3,Tenants!$B$3*Tenants!$C$3/12,IF(BS4&lt;=EOMONTH(Tenants!$F$3,Inputs!$B$6),0,Tenants!$B$3*Inputs!$B$4*(1+Inputs!$B$5)^(BS$3/12)/12*IF(Tenants!$C$3&lt;1000,0.35,1)))</f>
        <v>1348234.53498255</v>
      </c>
      <c r="BT6" s="0" t="n">
        <f aca="false">IF(BT4&lt;=Tenants!$F$3,Tenants!$B$3*Tenants!$C$3/12,IF(BT4&lt;=EOMONTH(Tenants!$F$3,Inputs!$B$6),0,Tenants!$B$3*Inputs!$B$4*(1+Inputs!$B$5)^(BT$3/12)/12*IF(Tenants!$C$3&lt;1000,0.35,1)))</f>
        <v>1351559.64506216</v>
      </c>
      <c r="BU6" s="0" t="n">
        <f aca="false">IF(BU4&lt;=Tenants!$F$3,Tenants!$B$3*Tenants!$C$3/12,IF(BU4&lt;=EOMONTH(Tenants!$F$3,Inputs!$B$6),0,Tenants!$B$3*Inputs!$B$4*(1+Inputs!$B$5)^(BU$3/12)/12*IF(Tenants!$C$3&lt;1000,0.35,1)))</f>
        <v>1354892.95576024</v>
      </c>
      <c r="BV6" s="0" t="n">
        <f aca="false">IF(BV4&lt;=Tenants!$F$3,Tenants!$B$3*Tenants!$C$3/12,IF(BV4&lt;=EOMONTH(Tenants!$F$3,Inputs!$B$6),0,Tenants!$B$3*Inputs!$B$4*(1+Inputs!$B$5)^(BV$3/12)/12*IF(Tenants!$C$3&lt;1000,0.35,1)))</f>
        <v>1358234.48730174</v>
      </c>
      <c r="BW6" s="0" t="n">
        <f aca="false">IF(BW4&lt;=Tenants!$F$3,Tenants!$B$3*Tenants!$C$3/12,IF(BW4&lt;=EOMONTH(Tenants!$F$3,Inputs!$B$6),0,Tenants!$B$3*Inputs!$B$4*(1+Inputs!$B$5)^(BW$3/12)/12*IF(Tenants!$C$3&lt;1000,0.35,1)))</f>
        <v>1361584.25996147</v>
      </c>
      <c r="BX6" s="0" t="n">
        <f aca="false">IF(BX4&lt;=Tenants!$F$3,Tenants!$B$3*Tenants!$C$3/12,IF(BX4&lt;=EOMONTH(Tenants!$F$3,Inputs!$B$6),0,Tenants!$B$3*Inputs!$B$4*(1+Inputs!$B$5)^(BX$3/12)/12*IF(Tenants!$C$3&lt;1000,0.35,1)))</f>
        <v>1364942.29406426</v>
      </c>
      <c r="BY6" s="0" t="n">
        <f aca="false">IF(BY4&lt;=Tenants!$F$3,Tenants!$B$3*Tenants!$C$3/12,IF(BY4&lt;=EOMONTH(Tenants!$F$3,Inputs!$B$6),0,Tenants!$B$3*Inputs!$B$4*(1+Inputs!$B$5)^(BY$3/12)/12*IF(Tenants!$C$3&lt;1000,0.35,1)))</f>
        <v>1368308.60998505</v>
      </c>
      <c r="BZ6" s="0" t="n">
        <f aca="false">IF(BZ4&lt;=Tenants!$F$3,Tenants!$B$3*Tenants!$C$3/12,IF(BZ4&lt;=EOMONTH(Tenants!$F$3,Inputs!$B$6),0,Tenants!$B$3*Inputs!$B$4*(1+Inputs!$B$5)^(BZ$3/12)/12*IF(Tenants!$C$3&lt;1000,0.35,1)))</f>
        <v>1371683.22814904</v>
      </c>
      <c r="CA6" s="0" t="n">
        <f aca="false">IF(CA4&lt;=Tenants!$F$3,Tenants!$B$3*Tenants!$C$3/12,IF(CA4&lt;=EOMONTH(Tenants!$F$3,Inputs!$B$6),0,Tenants!$B$3*Inputs!$B$4*(1+Inputs!$B$5)^(CA$3/12)/12*IF(Tenants!$C$3&lt;1000,0.35,1)))</f>
        <v>1375066.1690318</v>
      </c>
      <c r="CB6" s="0" t="n">
        <f aca="false">IF(CB4&lt;=Tenants!$F$3,Tenants!$B$3*Tenants!$C$3/12,IF(CB4&lt;=EOMONTH(Tenants!$F$3,Inputs!$B$6),0,Tenants!$B$3*Inputs!$B$4*(1+Inputs!$B$5)^(CB$3/12)/12*IF(Tenants!$C$3&lt;1000,0.35,1)))</f>
        <v>1378457.4531594</v>
      </c>
      <c r="CC6" s="0" t="n">
        <f aca="false">IF(CC4&lt;=Tenants!$F$3,Tenants!$B$3*Tenants!$C$3/12,IF(CC4&lt;=EOMONTH(Tenants!$F$3,Inputs!$B$6),0,Tenants!$B$3*Inputs!$B$4*(1+Inputs!$B$5)^(CC$3/12)/12*IF(Tenants!$C$3&lt;1000,0.35,1)))</f>
        <v>1381857.10110853</v>
      </c>
      <c r="CD6" s="0" t="n">
        <f aca="false">IF(CD4&lt;=Tenants!$F$3,Tenants!$B$3*Tenants!$C$3/12,IF(CD4&lt;=EOMONTH(Tenants!$F$3,Inputs!$B$6),0,Tenants!$B$3*Inputs!$B$4*(1+Inputs!$B$5)^(CD$3/12)/12*IF(Tenants!$C$3&lt;1000,0.35,1)))</f>
        <v>1385265.13350664</v>
      </c>
      <c r="CE6" s="0" t="n">
        <f aca="false">IF(CE4&lt;=Tenants!$F$3,Tenants!$B$3*Tenants!$C$3/12,IF(CE4&lt;=EOMONTH(Tenants!$F$3,Inputs!$B$6),0,Tenants!$B$3*Inputs!$B$4*(1+Inputs!$B$5)^(CE$3/12)/12*IF(Tenants!$C$3&lt;1000,0.35,1)))</f>
        <v>1388681.57103203</v>
      </c>
      <c r="CF6" s="0" t="n">
        <f aca="false">IF(CF4&lt;=Tenants!$F$3,Tenants!$B$3*Tenants!$C$3/12,IF(CF4&lt;=EOMONTH(Tenants!$F$3,Inputs!$B$6),0,Tenants!$B$3*Inputs!$B$4*(1+Inputs!$B$5)^(CF$3/12)/12*IF(Tenants!$C$3&lt;1000,0.35,1)))</f>
        <v>1392106.43441402</v>
      </c>
      <c r="CG6" s="0" t="n">
        <f aca="false">IF(CG4&lt;=Tenants!$F$3,Tenants!$B$3*Tenants!$C$3/12,IF(CG4&lt;=EOMONTH(Tenants!$F$3,Inputs!$B$6),0,Tenants!$B$3*Inputs!$B$4*(1+Inputs!$B$5)^(CG$3/12)/12*IF(Tenants!$C$3&lt;1000,0.35,1)))</f>
        <v>1395539.74443305</v>
      </c>
      <c r="CH6" s="0" t="n">
        <f aca="false">IF(CH4&lt;=Tenants!$F$3,Tenants!$B$3*Tenants!$C$3/12,IF(CH4&lt;=EOMONTH(Tenants!$F$3,Inputs!$B$6),0,Tenants!$B$3*Inputs!$B$4*(1+Inputs!$B$5)^(CH$3/12)/12*IF(Tenants!$C$3&lt;1000,0.35,1)))</f>
        <v>1398981.52192079</v>
      </c>
      <c r="CI6" s="0" t="n">
        <f aca="false">IF(CI4&lt;=Tenants!$F$3,Tenants!$B$3*Tenants!$C$3/12,IF(CI4&lt;=EOMONTH(Tenants!$F$3,Inputs!$B$6),0,Tenants!$B$3*Inputs!$B$4*(1+Inputs!$B$5)^(CI$3/12)/12*IF(Tenants!$C$3&lt;1000,0.35,1)))</f>
        <v>1402431.78776031</v>
      </c>
      <c r="CJ6" s="0" t="n">
        <f aca="false">IF(CJ4&lt;=Tenants!$F$3,Tenants!$B$3*Tenants!$C$3/12,IF(CJ4&lt;=EOMONTH(Tenants!$F$3,Inputs!$B$6),0,Tenants!$B$3*Inputs!$B$4*(1+Inputs!$B$5)^(CJ$3/12)/12*IF(Tenants!$C$3&lt;1000,0.35,1)))</f>
        <v>1405890.56288619</v>
      </c>
      <c r="CK6" s="0" t="n">
        <f aca="false">IF(CK4&lt;=Tenants!$F$3,Tenants!$B$3*Tenants!$C$3/12,IF(CK4&lt;=EOMONTH(Tenants!$F$3,Inputs!$B$6),0,Tenants!$B$3*Inputs!$B$4*(1+Inputs!$B$5)^(CK$3/12)/12*IF(Tenants!$C$3&lt;1000,0.35,1)))</f>
        <v>1409357.8682846</v>
      </c>
      <c r="CL6" s="0" t="n">
        <f aca="false">IF(CL4&lt;=Tenants!$F$3,Tenants!$B$3*Tenants!$C$3/12,IF(CL4&lt;=EOMONTH(Tenants!$F$3,Inputs!$B$6),0,Tenants!$B$3*Inputs!$B$4*(1+Inputs!$B$5)^(CL$3/12)/12*IF(Tenants!$C$3&lt;1000,0.35,1)))</f>
        <v>1412833.72499351</v>
      </c>
      <c r="CM6" s="0" t="n">
        <f aca="false">IF(CM4&lt;=Tenants!$F$3,Tenants!$B$3*Tenants!$C$3/12,IF(CM4&lt;=EOMONTH(Tenants!$F$3,Inputs!$B$6),0,Tenants!$B$3*Inputs!$B$4*(1+Inputs!$B$5)^(CM$3/12)/12*IF(Tenants!$C$3&lt;1000,0.35,1)))</f>
        <v>1416318.15410275</v>
      </c>
      <c r="CN6" s="0" t="n">
        <f aca="false">IF(CN4&lt;=Tenants!$F$3,Tenants!$B$3*Tenants!$C$3/12,IF(CN4&lt;=EOMONTH(Tenants!$F$3,Inputs!$B$6),0,Tenants!$B$3*Inputs!$B$4*(1+Inputs!$B$5)^(CN$3/12)/12*IF(Tenants!$C$3&lt;1000,0.35,1)))</f>
        <v>1419811.17675418</v>
      </c>
      <c r="CO6" s="0" t="n">
        <f aca="false">IF(CO4&lt;=Tenants!$F$3,Tenants!$B$3*Tenants!$C$3/12,IF(CO4&lt;=EOMONTH(Tenants!$F$3,Inputs!$B$6),0,Tenants!$B$3*Inputs!$B$4*(1+Inputs!$B$5)^(CO$3/12)/12*IF(Tenants!$C$3&lt;1000,0.35,1)))</f>
        <v>1423312.81414179</v>
      </c>
      <c r="CP6" s="0" t="n">
        <f aca="false">IF(CP4&lt;=Tenants!$F$3,Tenants!$B$3*Tenants!$C$3/12,IF(CP4&lt;=EOMONTH(Tenants!$F$3,Inputs!$B$6),0,Tenants!$B$3*Inputs!$B$4*(1+Inputs!$B$5)^(CP$3/12)/12*IF(Tenants!$C$3&lt;1000,0.35,1)))</f>
        <v>1426823.08751184</v>
      </c>
      <c r="CQ6" s="0" t="n">
        <f aca="false">IF(CQ4&lt;=Tenants!$F$3,Tenants!$B$3*Tenants!$C$3/12,IF(CQ4&lt;=EOMONTH(Tenants!$F$3,Inputs!$B$6),0,Tenants!$B$3*Inputs!$B$4*(1+Inputs!$B$5)^(CQ$3/12)/12*IF(Tenants!$C$3&lt;1000,0.35,1)))</f>
        <v>1430342.01816299</v>
      </c>
      <c r="CR6" s="0" t="n">
        <f aca="false">IF(CR4&lt;=Tenants!$F$3,Tenants!$B$3*Tenants!$C$3/12,IF(CR4&lt;=EOMONTH(Tenants!$F$3,Inputs!$B$6),0,Tenants!$B$3*Inputs!$B$4*(1+Inputs!$B$5)^(CR$3/12)/12*IF(Tenants!$C$3&lt;1000,0.35,1)))</f>
        <v>1433869.62744644</v>
      </c>
      <c r="CS6" s="0" t="n">
        <f aca="false">IF(CS4&lt;=Tenants!$F$3,Tenants!$B$3*Tenants!$C$3/12,IF(CS4&lt;=EOMONTH(Tenants!$F$3,Inputs!$B$6),0,Tenants!$B$3*Inputs!$B$4*(1+Inputs!$B$5)^(CS$3/12)/12*IF(Tenants!$C$3&lt;1000,0.35,1)))</f>
        <v>1437405.93676604</v>
      </c>
      <c r="CT6" s="0" t="n">
        <f aca="false">IF(CT4&lt;=Tenants!$F$3,Tenants!$B$3*Tenants!$C$3/12,IF(CT4&lt;=EOMONTH(Tenants!$F$3,Inputs!$B$6),0,Tenants!$B$3*Inputs!$B$4*(1+Inputs!$B$5)^(CT$3/12)/12*IF(Tenants!$C$3&lt;1000,0.35,1)))</f>
        <v>1440950.96757841</v>
      </c>
      <c r="CU6" s="0" t="n">
        <f aca="false">IF(CU4&lt;=Tenants!$F$3,Tenants!$B$3*Tenants!$C$3/12,IF(CU4&lt;=EOMONTH(Tenants!$F$3,Inputs!$B$6),0,Tenants!$B$3*Inputs!$B$4*(1+Inputs!$B$5)^(CU$3/12)/12*IF(Tenants!$C$3&lt;1000,0.35,1)))</f>
        <v>1444504.74139312</v>
      </c>
      <c r="CV6" s="0" t="n">
        <f aca="false">IF(CV4&lt;=Tenants!$F$3,Tenants!$B$3*Tenants!$C$3/12,IF(CV4&lt;=EOMONTH(Tenants!$F$3,Inputs!$B$6),0,Tenants!$B$3*Inputs!$B$4*(1+Inputs!$B$5)^(CV$3/12)/12*IF(Tenants!$C$3&lt;1000,0.35,1)))</f>
        <v>1448067.27977277</v>
      </c>
      <c r="CW6" s="0" t="n">
        <f aca="false">IF(CW4&lt;=Tenants!$F$3,Tenants!$B$3*Tenants!$C$3/12,IF(CW4&lt;=EOMONTH(Tenants!$F$3,Inputs!$B$6),0,Tenants!$B$3*Inputs!$B$4*(1+Inputs!$B$5)^(CW$3/12)/12*IF(Tenants!$C$3&lt;1000,0.35,1)))</f>
        <v>1451638.60433314</v>
      </c>
      <c r="CX6" s="0" t="n">
        <f aca="false">IF(CX4&lt;=Tenants!$F$3,Tenants!$B$3*Tenants!$C$3/12,IF(CX4&lt;=EOMONTH(Tenants!$F$3,Inputs!$B$6),0,Tenants!$B$3*Inputs!$B$4*(1+Inputs!$B$5)^(CX$3/12)/12*IF(Tenants!$C$3&lt;1000,0.35,1)))</f>
        <v>1455218.73674331</v>
      </c>
      <c r="CY6" s="0" t="n">
        <f aca="false">IF(CY4&lt;=Tenants!$F$3,Tenants!$B$3*Tenants!$C$3/12,IF(CY4&lt;=EOMONTH(Tenants!$F$3,Inputs!$B$6),0,Tenants!$B$3*Inputs!$B$4*(1+Inputs!$B$5)^(CY$3/12)/12*IF(Tenants!$C$3&lt;1000,0.35,1)))</f>
        <v>1458807.69872583</v>
      </c>
      <c r="CZ6" s="0" t="n">
        <f aca="false">IF(CZ4&lt;=Tenants!$F$3,Tenants!$B$3*Tenants!$C$3/12,IF(CZ4&lt;=EOMONTH(Tenants!$F$3,Inputs!$B$6),0,Tenants!$B$3*Inputs!$B$4*(1+Inputs!$B$5)^(CZ$3/12)/12*IF(Tenants!$C$3&lt;1000,0.35,1)))</f>
        <v>1462405.5120568</v>
      </c>
      <c r="DA6" s="0" t="n">
        <f aca="false">IF(DA4&lt;=Tenants!$F$3,Tenants!$B$3*Tenants!$C$3/12,IF(DA4&lt;=EOMONTH(Tenants!$F$3,Inputs!$B$6),0,Tenants!$B$3*Inputs!$B$4*(1+Inputs!$B$5)^(DA$3/12)/12*IF(Tenants!$C$3&lt;1000,0.35,1)))</f>
        <v>1466012.19856604</v>
      </c>
      <c r="DB6" s="0" t="n">
        <f aca="false">IF(DB4&lt;=Tenants!$F$3,Tenants!$B$3*Tenants!$C$3/12,IF(DB4&lt;=EOMONTH(Tenants!$F$3,Inputs!$B$6),0,Tenants!$B$3*Inputs!$B$4*(1+Inputs!$B$5)^(DB$3/12)/12*IF(Tenants!$C$3&lt;1000,0.35,1)))</f>
        <v>1469627.78013719</v>
      </c>
      <c r="DC6" s="0" t="n">
        <f aca="false">IF(DC4&lt;=Tenants!$F$3,Tenants!$B$3*Tenants!$C$3/12,IF(DC4&lt;=EOMONTH(Tenants!$F$3,Inputs!$B$6),0,Tenants!$B$3*Inputs!$B$4*(1+Inputs!$B$5)^(DC$3/12)/12*IF(Tenants!$C$3&lt;1000,0.35,1)))</f>
        <v>1473252.27870788</v>
      </c>
      <c r="DD6" s="0" t="n">
        <f aca="false">IF(DD4&lt;=Tenants!$F$3,Tenants!$B$3*Tenants!$C$3/12,IF(DD4&lt;=EOMONTH(Tenants!$F$3,Inputs!$B$6),0,Tenants!$B$3*Inputs!$B$4*(1+Inputs!$B$5)^(DD$3/12)/12*IF(Tenants!$C$3&lt;1000,0.35,1)))</f>
        <v>1476885.71626984</v>
      </c>
      <c r="DE6" s="0" t="n">
        <f aca="false">IF(DE4&lt;=Tenants!$F$3,Tenants!$B$3*Tenants!$C$3/12,IF(DE4&lt;=EOMONTH(Tenants!$F$3,Inputs!$B$6),0,Tenants!$B$3*Inputs!$B$4*(1+Inputs!$B$5)^(DE$3/12)/12*IF(Tenants!$C$3&lt;1000,0.35,1)))</f>
        <v>1480528.11486902</v>
      </c>
      <c r="DF6" s="0" t="n">
        <f aca="false">IF(DF4&lt;=Tenants!$F$3,Tenants!$B$3*Tenants!$C$3/12,IF(DF4&lt;=EOMONTH(Tenants!$F$3,Inputs!$B$6),0,Tenants!$B$3*Inputs!$B$4*(1+Inputs!$B$5)^(DF$3/12)/12*IF(Tenants!$C$3&lt;1000,0.35,1)))</f>
        <v>1484179.49660577</v>
      </c>
      <c r="DG6" s="0" t="n">
        <f aca="false">IF(DG4&lt;=Tenants!$F$3,Tenants!$B$3*Tenants!$C$3/12,IF(DG4&lt;=EOMONTH(Tenants!$F$3,Inputs!$B$6),0,Tenants!$B$3*Inputs!$B$4*(1+Inputs!$B$5)^(DG$3/12)/12*IF(Tenants!$C$3&lt;1000,0.35,1)))</f>
        <v>1487839.88363492</v>
      </c>
      <c r="DH6" s="0" t="n">
        <f aca="false">IF(DH4&lt;=Tenants!$F$3,Tenants!$B$3*Tenants!$C$3/12,IF(DH4&lt;=EOMONTH(Tenants!$F$3,Inputs!$B$6),0,Tenants!$B$3*Inputs!$B$4*(1+Inputs!$B$5)^(DH$3/12)/12*IF(Tenants!$C$3&lt;1000,0.35,1)))</f>
        <v>1491509.29816595</v>
      </c>
      <c r="DI6" s="0" t="n">
        <f aca="false">IF(DI4&lt;=Tenants!$F$3,Tenants!$B$3*Tenants!$C$3/12,IF(DI4&lt;=EOMONTH(Tenants!$F$3,Inputs!$B$6),0,Tenants!$B$3*Inputs!$B$4*(1+Inputs!$B$5)^(DI$3/12)/12*IF(Tenants!$C$3&lt;1000,0.35,1)))</f>
        <v>1495187.76246313</v>
      </c>
      <c r="DJ6" s="0" t="n">
        <f aca="false">IF(DJ4&lt;=Tenants!$F$3,Tenants!$B$3*Tenants!$C$3/12,IF(DJ4&lt;=EOMONTH(Tenants!$F$3,Inputs!$B$6),0,Tenants!$B$3*Inputs!$B$4*(1+Inputs!$B$5)^(DJ$3/12)/12*IF(Tenants!$C$3&lt;1000,0.35,1)))</f>
        <v>1498875.29884561</v>
      </c>
      <c r="DK6" s="0" t="n">
        <f aca="false">IF(DK4&lt;=Tenants!$F$3,Tenants!$B$3*Tenants!$C$3/12,IF(DK4&lt;=EOMONTH(Tenants!$F$3,Inputs!$B$6),0,Tenants!$B$3*Inputs!$B$4*(1+Inputs!$B$5)^(DK$3/12)/12*IF(Tenants!$C$3&lt;1000,0.35,1)))</f>
        <v>1502571.92968761</v>
      </c>
      <c r="DL6" s="0" t="n">
        <f aca="false">IF(DL4&lt;=Tenants!$F$3,Tenants!$B$3*Tenants!$C$3/12,IF(DL4&lt;=EOMONTH(Tenants!$F$3,Inputs!$B$6),0,Tenants!$B$3*Inputs!$B$4*(1+Inputs!$B$5)^(DL$3/12)/12*IF(Tenants!$C$3&lt;1000,0.35,1)))</f>
        <v>1506277.67741851</v>
      </c>
      <c r="DM6" s="0" t="n">
        <f aca="false">IF(DM4&lt;=Tenants!$F$3,Tenants!$B$3*Tenants!$C$3/12,IF(DM4&lt;=EOMONTH(Tenants!$F$3,Inputs!$B$6),0,Tenants!$B$3*Inputs!$B$4*(1+Inputs!$B$5)^(DM$3/12)/12*IF(Tenants!$C$3&lt;1000,0.35,1)))</f>
        <v>1509992.56452302</v>
      </c>
      <c r="DN6" s="0" t="n">
        <f aca="false">IF(DN4&lt;=Tenants!$F$3,Tenants!$B$3*Tenants!$C$3/12,IF(DN4&lt;=EOMONTH(Tenants!$F$3,Inputs!$B$6),0,Tenants!$B$3*Inputs!$B$4*(1+Inputs!$B$5)^(DN$3/12)/12*IF(Tenants!$C$3&lt;1000,0.35,1)))</f>
        <v>1513716.61354131</v>
      </c>
      <c r="DO6" s="0" t="n">
        <f aca="false">IF(DO4&lt;=Tenants!$F$3,Tenants!$B$3*Tenants!$C$3/12,IF(DO4&lt;=EOMONTH(Tenants!$F$3,Inputs!$B$6),0,Tenants!$B$3*Inputs!$B$4*(1+Inputs!$B$5)^(DO$3/12)/12*IF(Tenants!$C$3&lt;1000,0.35,1)))</f>
        <v>1517449.84706912</v>
      </c>
      <c r="DP6" s="0" t="n">
        <f aca="false">IF(DP4&lt;=Tenants!$F$3,Tenants!$B$3*Tenants!$C$3/12,IF(DP4&lt;=EOMONTH(Tenants!$F$3,Inputs!$B$6),0,Tenants!$B$3*Inputs!$B$4*(1+Inputs!$B$5)^(DP$3/12)/12*IF(Tenants!$C$3&lt;1000,0.35,1)))</f>
        <v>1521192.28775793</v>
      </c>
      <c r="DQ6" s="0" t="n">
        <f aca="false">IF(DQ4&lt;=Tenants!$F$3,Tenants!$B$3*Tenants!$C$3/12,IF(DQ4&lt;=EOMONTH(Tenants!$F$3,Inputs!$B$6),0,Tenants!$B$3*Inputs!$B$4*(1+Inputs!$B$5)^(DQ$3/12)/12*IF(Tenants!$C$3&lt;1000,0.35,1)))</f>
        <v>1524943.95831509</v>
      </c>
      <c r="DR6" s="0" t="n">
        <f aca="false">IF(DR4&lt;=Tenants!$F$3,Tenants!$B$3*Tenants!$C$3/12,IF(DR4&lt;=EOMONTH(Tenants!$F$3,Inputs!$B$6),0,Tenants!$B$3*Inputs!$B$4*(1+Inputs!$B$5)^(DR$3/12)/12*IF(Tenants!$C$3&lt;1000,0.35,1)))</f>
        <v>1528704.88150394</v>
      </c>
    </row>
    <row r="7" customFormat="false" ht="15" hidden="false" customHeight="false" outlineLevel="0" collapsed="false">
      <c r="A7" s="0" t="s">
        <v>27</v>
      </c>
      <c r="B7" s="0" t="n">
        <f aca="false">0</f>
        <v>0</v>
      </c>
      <c r="C7" s="0" t="n">
        <f aca="false">IF(C4&lt;=Tenants!$F$4,Tenants!$B$4*Tenants!$C$4/12,IF(C4&lt;=EOMONTH(Tenants!$F$4,Inputs!$B$6),0,Tenants!$B$4*Inputs!$B$4*(1+Inputs!$B$5)^(C$3/12)/12*IF(Tenants!$C$4&lt;1000,0.35,1)))</f>
        <v>466666.666666667</v>
      </c>
      <c r="D7" s="0" t="n">
        <f aca="false">IF(D4&lt;=Tenants!$F$4,Tenants!$B$4*Tenants!$C$4/12,IF(D4&lt;=EOMONTH(Tenants!$F$4,Inputs!$B$6),0,Tenants!$B$4*Inputs!$B$4*(1+Inputs!$B$5)^(D$3/12)/12*IF(Tenants!$C$4&lt;1000,0.35,1)))</f>
        <v>466666.666666667</v>
      </c>
      <c r="E7" s="0" t="n">
        <f aca="false">IF(E4&lt;=Tenants!$F$4,Tenants!$B$4*Tenants!$C$4/12,IF(E4&lt;=EOMONTH(Tenants!$F$4,Inputs!$B$6),0,Tenants!$B$4*Inputs!$B$4*(1+Inputs!$B$5)^(E$3/12)/12*IF(Tenants!$C$4&lt;1000,0.35,1)))</f>
        <v>466666.666666667</v>
      </c>
      <c r="F7" s="0" t="n">
        <f aca="false">IF(F4&lt;=Tenants!$F$4,Tenants!$B$4*Tenants!$C$4/12,IF(F4&lt;=EOMONTH(Tenants!$F$4,Inputs!$B$6),0,Tenants!$B$4*Inputs!$B$4*(1+Inputs!$B$5)^(F$3/12)/12*IF(Tenants!$C$4&lt;1000,0.35,1)))</f>
        <v>466666.666666667</v>
      </c>
      <c r="G7" s="0" t="n">
        <f aca="false">IF(G4&lt;=Tenants!$F$4,Tenants!$B$4*Tenants!$C$4/12,IF(G4&lt;=EOMONTH(Tenants!$F$4,Inputs!$B$6),0,Tenants!$B$4*Inputs!$B$4*(1+Inputs!$B$5)^(G$3/12)/12*IF(Tenants!$C$4&lt;1000,0.35,1)))</f>
        <v>466666.666666667</v>
      </c>
      <c r="H7" s="0" t="n">
        <f aca="false">IF(H4&lt;=Tenants!$F$4,Tenants!$B$4*Tenants!$C$4/12,IF(H4&lt;=EOMONTH(Tenants!$F$4,Inputs!$B$6),0,Tenants!$B$4*Inputs!$B$4*(1+Inputs!$B$5)^(H$3/12)/12*IF(Tenants!$C$4&lt;1000,0.35,1)))</f>
        <v>466666.666666667</v>
      </c>
      <c r="I7" s="0" t="n">
        <f aca="false">IF(I4&lt;=Tenants!$F$4,Tenants!$B$4*Tenants!$C$4/12,IF(I4&lt;=EOMONTH(Tenants!$F$4,Inputs!$B$6),0,Tenants!$B$4*Inputs!$B$4*(1+Inputs!$B$5)^(I$3/12)/12*IF(Tenants!$C$4&lt;1000,0.35,1)))</f>
        <v>466666.666666667</v>
      </c>
      <c r="J7" s="0" t="n">
        <f aca="false">IF(J4&lt;=Tenants!$F$4,Tenants!$B$4*Tenants!$C$4/12,IF(J4&lt;=EOMONTH(Tenants!$F$4,Inputs!$B$6),0,Tenants!$B$4*Inputs!$B$4*(1+Inputs!$B$5)^(J$3/12)/12*IF(Tenants!$C$4&lt;1000,0.35,1)))</f>
        <v>466666.666666667</v>
      </c>
      <c r="K7" s="0" t="n">
        <f aca="false">IF(K4&lt;=Tenants!$F$4,Tenants!$B$4*Tenants!$C$4/12,IF(K4&lt;=EOMONTH(Tenants!$F$4,Inputs!$B$6),0,Tenants!$B$4*Inputs!$B$4*(1+Inputs!$B$5)^(K$3/12)/12*IF(Tenants!$C$4&lt;1000,0.35,1)))</f>
        <v>466666.666666667</v>
      </c>
      <c r="L7" s="0" t="n">
        <f aca="false">IF(L4&lt;=Tenants!$F$4,Tenants!$B$4*Tenants!$C$4/12,IF(L4&lt;=EOMONTH(Tenants!$F$4,Inputs!$B$6),0,Tenants!$B$4*Inputs!$B$4*(1+Inputs!$B$5)^(L$3/12)/12*IF(Tenants!$C$4&lt;1000,0.35,1)))</f>
        <v>466666.666666667</v>
      </c>
      <c r="M7" s="0" t="n">
        <f aca="false">IF(M4&lt;=Tenants!$F$4,Tenants!$B$4*Tenants!$C$4/12,IF(M4&lt;=EOMONTH(Tenants!$F$4,Inputs!$B$6),0,Tenants!$B$4*Inputs!$B$4*(1+Inputs!$B$5)^(M$3/12)/12*IF(Tenants!$C$4&lt;1000,0.35,1)))</f>
        <v>466666.666666667</v>
      </c>
      <c r="N7" s="0" t="n">
        <f aca="false">IF(N4&lt;=Tenants!$F$4,Tenants!$B$4*Tenants!$C$4/12,IF(N4&lt;=EOMONTH(Tenants!$F$4,Inputs!$B$6),0,Tenants!$B$4*Inputs!$B$4*(1+Inputs!$B$5)^(N$3/12)/12*IF(Tenants!$C$4&lt;1000,0.35,1)))</f>
        <v>466666.666666667</v>
      </c>
      <c r="O7" s="0" t="n">
        <f aca="false">IF(O4&lt;=Tenants!$F$4,Tenants!$B$4*Tenants!$C$4/12,IF(O4&lt;=EOMONTH(Tenants!$F$4,Inputs!$B$6),0,Tenants!$B$4*Inputs!$B$4*(1+Inputs!$B$5)^(O$3/12)/12*IF(Tenants!$C$4&lt;1000,0.35,1)))</f>
        <v>466666.666666667</v>
      </c>
      <c r="P7" s="0" t="n">
        <f aca="false">IF(P4&lt;=Tenants!$F$4,Tenants!$B$4*Tenants!$C$4/12,IF(P4&lt;=EOMONTH(Tenants!$F$4,Inputs!$B$6),0,Tenants!$B$4*Inputs!$B$4*(1+Inputs!$B$5)^(P$3/12)/12*IF(Tenants!$C$4&lt;1000,0.35,1)))</f>
        <v>466666.666666667</v>
      </c>
      <c r="Q7" s="0" t="n">
        <f aca="false">IF(Q4&lt;=Tenants!$F$4,Tenants!$B$4*Tenants!$C$4/12,IF(Q4&lt;=EOMONTH(Tenants!$F$4,Inputs!$B$6),0,Tenants!$B$4*Inputs!$B$4*(1+Inputs!$B$5)^(Q$3/12)/12*IF(Tenants!$C$4&lt;1000,0.35,1)))</f>
        <v>466666.666666667</v>
      </c>
      <c r="R7" s="0" t="n">
        <f aca="false">IF(R4&lt;=Tenants!$F$4,Tenants!$B$4*Tenants!$C$4/12,IF(R4&lt;=EOMONTH(Tenants!$F$4,Inputs!$B$6),0,Tenants!$B$4*Inputs!$B$4*(1+Inputs!$B$5)^(R$3/12)/12*IF(Tenants!$C$4&lt;1000,0.35,1)))</f>
        <v>466666.666666667</v>
      </c>
      <c r="S7" s="0" t="n">
        <f aca="false">IF(S4&lt;=Tenants!$F$4,Tenants!$B$4*Tenants!$C$4/12,IF(S4&lt;=EOMONTH(Tenants!$F$4,Inputs!$B$6),0,Tenants!$B$4*Inputs!$B$4*(1+Inputs!$B$5)^(S$3/12)/12*IF(Tenants!$C$4&lt;1000,0.35,1)))</f>
        <v>466666.666666667</v>
      </c>
      <c r="T7" s="0" t="n">
        <f aca="false">IF(T4&lt;=Tenants!$F$4,Tenants!$B$4*Tenants!$C$4/12,IF(T4&lt;=EOMONTH(Tenants!$F$4,Inputs!$B$6),0,Tenants!$B$4*Inputs!$B$4*(1+Inputs!$B$5)^(T$3/12)/12*IF(Tenants!$C$4&lt;1000,0.35,1)))</f>
        <v>466666.666666667</v>
      </c>
      <c r="U7" s="0" t="n">
        <f aca="false">IF(U4&lt;=Tenants!$F$4,Tenants!$B$4*Tenants!$C$4/12,IF(U4&lt;=EOMONTH(Tenants!$F$4,Inputs!$B$6),0,Tenants!$B$4*Inputs!$B$4*(1+Inputs!$B$5)^(U$3/12)/12*IF(Tenants!$C$4&lt;1000,0.35,1)))</f>
        <v>466666.666666667</v>
      </c>
      <c r="V7" s="0" t="n">
        <f aca="false">IF(V4&lt;=Tenants!$F$4,Tenants!$B$4*Tenants!$C$4/12,IF(V4&lt;=EOMONTH(Tenants!$F$4,Inputs!$B$6),0,Tenants!$B$4*Inputs!$B$4*(1+Inputs!$B$5)^(V$3/12)/12*IF(Tenants!$C$4&lt;1000,0.35,1)))</f>
        <v>466666.666666667</v>
      </c>
      <c r="W7" s="0" t="n">
        <f aca="false">IF(W4&lt;=Tenants!$F$4,Tenants!$B$4*Tenants!$C$4/12,IF(W4&lt;=EOMONTH(Tenants!$F$4,Inputs!$B$6),0,Tenants!$B$4*Inputs!$B$4*(1+Inputs!$B$5)^(W$3/12)/12*IF(Tenants!$C$4&lt;1000,0.35,1)))</f>
        <v>466666.666666667</v>
      </c>
      <c r="X7" s="0" t="n">
        <f aca="false">IF(X4&lt;=Tenants!$F$4,Tenants!$B$4*Tenants!$C$4/12,IF(X4&lt;=EOMONTH(Tenants!$F$4,Inputs!$B$6),0,Tenants!$B$4*Inputs!$B$4*(1+Inputs!$B$5)^(X$3/12)/12*IF(Tenants!$C$4&lt;1000,0.35,1)))</f>
        <v>466666.666666667</v>
      </c>
      <c r="Y7" s="0" t="n">
        <f aca="false">IF(Y4&lt;=Tenants!$F$4,Tenants!$B$4*Tenants!$C$4/12,IF(Y4&lt;=EOMONTH(Tenants!$F$4,Inputs!$B$6),0,Tenants!$B$4*Inputs!$B$4*(1+Inputs!$B$5)^(Y$3/12)/12*IF(Tenants!$C$4&lt;1000,0.35,1)))</f>
        <v>466666.666666667</v>
      </c>
      <c r="Z7" s="0" t="n">
        <f aca="false">IF(Z4&lt;=Tenants!$F$4,Tenants!$B$4*Tenants!$C$4/12,IF(Z4&lt;=EOMONTH(Tenants!$F$4,Inputs!$B$6),0,Tenants!$B$4*Inputs!$B$4*(1+Inputs!$B$5)^(Z$3/12)/12*IF(Tenants!$C$4&lt;1000,0.35,1)))</f>
        <v>466666.666666667</v>
      </c>
      <c r="AA7" s="0" t="n">
        <f aca="false">IF(AA4&lt;=Tenants!$F$4,Tenants!$B$4*Tenants!$C$4/12,IF(AA4&lt;=EOMONTH(Tenants!$F$4,Inputs!$B$6),0,Tenants!$B$4*Inputs!$B$4*(1+Inputs!$B$5)^(AA$3/12)/12*IF(Tenants!$C$4&lt;1000,0.35,1)))</f>
        <v>466666.666666667</v>
      </c>
      <c r="AB7" s="0" t="n">
        <f aca="false">IF(AB4&lt;=Tenants!$F$4,Tenants!$B$4*Tenants!$C$4/12,IF(AB4&lt;=EOMONTH(Tenants!$F$4,Inputs!$B$6),0,Tenants!$B$4*Inputs!$B$4*(1+Inputs!$B$5)^(AB$3/12)/12*IF(Tenants!$C$4&lt;1000,0.35,1)))</f>
        <v>466666.666666667</v>
      </c>
      <c r="AC7" s="0" t="n">
        <f aca="false">IF(AC4&lt;=Tenants!$F$4,Tenants!$B$4*Tenants!$C$4/12,IF(AC4&lt;=EOMONTH(Tenants!$F$4,Inputs!$B$6),0,Tenants!$B$4*Inputs!$B$4*(1+Inputs!$B$5)^(AC$3/12)/12*IF(Tenants!$C$4&lt;1000,0.35,1)))</f>
        <v>466666.666666667</v>
      </c>
      <c r="AD7" s="0" t="n">
        <f aca="false">IF(AD4&lt;=Tenants!$F$4,Tenants!$B$4*Tenants!$C$4/12,IF(AD4&lt;=EOMONTH(Tenants!$F$4,Inputs!$B$6),0,Tenants!$B$4*Inputs!$B$4*(1+Inputs!$B$5)^(AD$3/12)/12*IF(Tenants!$C$4&lt;1000,0.35,1)))</f>
        <v>0</v>
      </c>
      <c r="AE7" s="0" t="n">
        <f aca="false">IF(AE4&lt;=Tenants!$F$4,Tenants!$B$4*Tenants!$C$4/12,IF(AE4&lt;=EOMONTH(Tenants!$F$4,Inputs!$B$6),0,Tenants!$B$4*Inputs!$B$4*(1+Inputs!$B$5)^(AE$3/12)/12*IF(Tenants!$C$4&lt;1000,0.35,1)))</f>
        <v>0</v>
      </c>
      <c r="AF7" s="0" t="n">
        <f aca="false">IF(AF4&lt;=Tenants!$F$4,Tenants!$B$4*Tenants!$C$4/12,IF(AF4&lt;=EOMONTH(Tenants!$F$4,Inputs!$B$6),0,Tenants!$B$4*Inputs!$B$4*(1+Inputs!$B$5)^(AF$3/12)/12*IF(Tenants!$C$4&lt;1000,0.35,1)))</f>
        <v>0</v>
      </c>
      <c r="AG7" s="0" t="n">
        <f aca="false">IF(AG4&lt;=Tenants!$F$4,Tenants!$B$4*Tenants!$C$4/12,IF(AG4&lt;=EOMONTH(Tenants!$F$4,Inputs!$B$6),0,Tenants!$B$4*Inputs!$B$4*(1+Inputs!$B$5)^(AG$3/12)/12*IF(Tenants!$C$4&lt;1000,0.35,1)))</f>
        <v>0</v>
      </c>
      <c r="AH7" s="0" t="n">
        <f aca="false">IF(AH4&lt;=Tenants!$F$4,Tenants!$B$4*Tenants!$C$4/12,IF(AH4&lt;=EOMONTH(Tenants!$F$4,Inputs!$B$6),0,Tenants!$B$4*Inputs!$B$4*(1+Inputs!$B$5)^(AH$3/12)/12*IF(Tenants!$C$4&lt;1000,0.35,1)))</f>
        <v>0</v>
      </c>
      <c r="AI7" s="0" t="n">
        <f aca="false">IF(AI4&lt;=Tenants!$F$4,Tenants!$B$4*Tenants!$C$4/12,IF(AI4&lt;=EOMONTH(Tenants!$F$4,Inputs!$B$6),0,Tenants!$B$4*Inputs!$B$4*(1+Inputs!$B$5)^(AI$3/12)/12*IF(Tenants!$C$4&lt;1000,0.35,1)))</f>
        <v>0</v>
      </c>
      <c r="AJ7" s="0" t="n">
        <f aca="false">IF(AJ4&lt;=Tenants!$F$4,Tenants!$B$4*Tenants!$C$4/12,IF(AJ4&lt;=EOMONTH(Tenants!$F$4,Inputs!$B$6),0,Tenants!$B$4*Inputs!$B$4*(1+Inputs!$B$5)^(AJ$3/12)/12*IF(Tenants!$C$4&lt;1000,0.35,1)))</f>
        <v>659663.219358373</v>
      </c>
      <c r="AK7" s="0" t="n">
        <f aca="false">IF(AK4&lt;=Tenants!$F$4,Tenants!$B$4*Tenants!$C$4/12,IF(AK4&lt;=EOMONTH(Tenants!$F$4,Inputs!$B$6),0,Tenants!$B$4*Inputs!$B$4*(1+Inputs!$B$5)^(AK$3/12)/12*IF(Tenants!$C$4&lt;1000,0.35,1)))</f>
        <v>661290.126816177</v>
      </c>
      <c r="AL7" s="0" t="n">
        <f aca="false">IF(AL4&lt;=Tenants!$F$4,Tenants!$B$4*Tenants!$C$4/12,IF(AL4&lt;=EOMONTH(Tenants!$F$4,Inputs!$B$6),0,Tenants!$B$4*Inputs!$B$4*(1+Inputs!$B$5)^(AL$3/12)/12*IF(Tenants!$C$4&lt;1000,0.35,1)))</f>
        <v>662921.046666667</v>
      </c>
      <c r="AM7" s="0" t="n">
        <f aca="false">IF(AM4&lt;=Tenants!$F$4,Tenants!$B$4*Tenants!$C$4/12,IF(AM4&lt;=EOMONTH(Tenants!$F$4,Inputs!$B$6),0,Tenants!$B$4*Inputs!$B$4*(1+Inputs!$B$5)^(AM$3/12)/12*IF(Tenants!$C$4&lt;1000,0.35,1)))</f>
        <v>664555.988805485</v>
      </c>
      <c r="AN7" s="0" t="n">
        <f aca="false">IF(AN4&lt;=Tenants!$F$4,Tenants!$B$4*Tenants!$C$4/12,IF(AN4&lt;=EOMONTH(Tenants!$F$4,Inputs!$B$6),0,Tenants!$B$4*Inputs!$B$4*(1+Inputs!$B$5)^(AN$3/12)/12*IF(Tenants!$C$4&lt;1000,0.35,1)))</f>
        <v>666194.963152679</v>
      </c>
      <c r="AO7" s="0" t="n">
        <f aca="false">IF(AO4&lt;=Tenants!$F$4,Tenants!$B$4*Tenants!$C$4/12,IF(AO4&lt;=EOMONTH(Tenants!$F$4,Inputs!$B$6),0,Tenants!$B$4*Inputs!$B$4*(1+Inputs!$B$5)^(AO$3/12)/12*IF(Tenants!$C$4&lt;1000,0.35,1)))</f>
        <v>667837.979652763</v>
      </c>
      <c r="AP7" s="0" t="n">
        <f aca="false">IF(AP4&lt;=Tenants!$F$4,Tenants!$B$4*Tenants!$C$4/12,IF(AP4&lt;=EOMONTH(Tenants!$F$4,Inputs!$B$6),0,Tenants!$B$4*Inputs!$B$4*(1+Inputs!$B$5)^(AP$3/12)/12*IF(Tenants!$C$4&lt;1000,0.35,1)))</f>
        <v>669485.048274777</v>
      </c>
      <c r="AQ7" s="0" t="n">
        <f aca="false">IF(AQ4&lt;=Tenants!$F$4,Tenants!$B$4*Tenants!$C$4/12,IF(AQ4&lt;=EOMONTH(Tenants!$F$4,Inputs!$B$6),0,Tenants!$B$4*Inputs!$B$4*(1+Inputs!$B$5)^(AQ$3/12)/12*IF(Tenants!$C$4&lt;1000,0.35,1)))</f>
        <v>671136.179012346</v>
      </c>
      <c r="AR7" s="0" t="n">
        <f aca="false">IF(AR4&lt;=Tenants!$F$4,Tenants!$B$4*Tenants!$C$4/12,IF(AR4&lt;=EOMONTH(Tenants!$F$4,Inputs!$B$6),0,Tenants!$B$4*Inputs!$B$4*(1+Inputs!$B$5)^(AR$3/12)/12*IF(Tenants!$C$4&lt;1000,0.35,1)))</f>
        <v>672791.381883744</v>
      </c>
      <c r="AS7" s="0" t="n">
        <f aca="false">IF(AS4&lt;=Tenants!$F$4,Tenants!$B$4*Tenants!$C$4/12,IF(AS4&lt;=EOMONTH(Tenants!$F$4,Inputs!$B$6),0,Tenants!$B$4*Inputs!$B$4*(1+Inputs!$B$5)^(AS$3/12)/12*IF(Tenants!$C$4&lt;1000,0.35,1)))</f>
        <v>674450.66693195</v>
      </c>
      <c r="AT7" s="0" t="n">
        <f aca="false">IF(AT4&lt;=Tenants!$F$4,Tenants!$B$4*Tenants!$C$4/12,IF(AT4&lt;=EOMONTH(Tenants!$F$4,Inputs!$B$6),0,Tenants!$B$4*Inputs!$B$4*(1+Inputs!$B$5)^(AT$3/12)/12*IF(Tenants!$C$4&lt;1000,0.35,1)))</f>
        <v>676114.044224714</v>
      </c>
      <c r="AU7" s="0" t="n">
        <f aca="false">IF(AU4&lt;=Tenants!$F$4,Tenants!$B$4*Tenants!$C$4/12,IF(AU4&lt;=EOMONTH(Tenants!$F$4,Inputs!$B$6),0,Tenants!$B$4*Inputs!$B$4*(1+Inputs!$B$5)^(AU$3/12)/12*IF(Tenants!$C$4&lt;1000,0.35,1)))</f>
        <v>677781.523854616</v>
      </c>
      <c r="AV7" s="0" t="n">
        <f aca="false">IF(AV4&lt;=Tenants!$F$4,Tenants!$B$4*Tenants!$C$4/12,IF(AV4&lt;=EOMONTH(Tenants!$F$4,Inputs!$B$6),0,Tenants!$B$4*Inputs!$B$4*(1+Inputs!$B$5)^(AV$3/12)/12*IF(Tenants!$C$4&lt;1000,0.35,1)))</f>
        <v>679453.115939124</v>
      </c>
      <c r="AW7" s="0" t="n">
        <f aca="false">IF(AW4&lt;=Tenants!$F$4,Tenants!$B$4*Tenants!$C$4/12,IF(AW4&lt;=EOMONTH(Tenants!$F$4,Inputs!$B$6),0,Tenants!$B$4*Inputs!$B$4*(1+Inputs!$B$5)^(AW$3/12)/12*IF(Tenants!$C$4&lt;1000,0.35,1)))</f>
        <v>681128.830620663</v>
      </c>
      <c r="AX7" s="0" t="n">
        <f aca="false">IF(AX4&lt;=Tenants!$F$4,Tenants!$B$4*Tenants!$C$4/12,IF(AX4&lt;=EOMONTH(Tenants!$F$4,Inputs!$B$6),0,Tenants!$B$4*Inputs!$B$4*(1+Inputs!$B$5)^(AX$3/12)/12*IF(Tenants!$C$4&lt;1000,0.35,1)))</f>
        <v>682808.678066667</v>
      </c>
      <c r="AY7" s="0" t="n">
        <f aca="false">IF(AY4&lt;=Tenants!$F$4,Tenants!$B$4*Tenants!$C$4/12,IF(AY4&lt;=EOMONTH(Tenants!$F$4,Inputs!$B$6),0,Tenants!$B$4*Inputs!$B$4*(1+Inputs!$B$5)^(AY$3/12)/12*IF(Tenants!$C$4&lt;1000,0.35,1)))</f>
        <v>684492.668469649</v>
      </c>
      <c r="AZ7" s="0" t="n">
        <f aca="false">IF(AZ4&lt;=Tenants!$F$4,Tenants!$B$4*Tenants!$C$4/12,IF(AZ4&lt;=EOMONTH(Tenants!$F$4,Inputs!$B$6),0,Tenants!$B$4*Inputs!$B$4*(1+Inputs!$B$5)^(AZ$3/12)/12*IF(Tenants!$C$4&lt;1000,0.35,1)))</f>
        <v>686180.812047259</v>
      </c>
      <c r="BA7" s="0" t="n">
        <f aca="false">IF(BA4&lt;=Tenants!$F$4,Tenants!$B$4*Tenants!$C$4/12,IF(BA4&lt;=EOMONTH(Tenants!$F$4,Inputs!$B$6),0,Tenants!$B$4*Inputs!$B$4*(1+Inputs!$B$5)^(BA$3/12)/12*IF(Tenants!$C$4&lt;1000,0.35,1)))</f>
        <v>687873.119042346</v>
      </c>
      <c r="BB7" s="0" t="n">
        <f aca="false">IF(BB4&lt;=Tenants!$F$4,Tenants!$B$4*Tenants!$C$4/12,IF(BB4&lt;=EOMONTH(Tenants!$F$4,Inputs!$B$6),0,Tenants!$B$4*Inputs!$B$4*(1+Inputs!$B$5)^(BB$3/12)/12*IF(Tenants!$C$4&lt;1000,0.35,1)))</f>
        <v>689569.599723021</v>
      </c>
      <c r="BC7" s="0" t="n">
        <f aca="false">IF(BC4&lt;=Tenants!$F$4,Tenants!$B$4*Tenants!$C$4/12,IF(BC4&lt;=EOMONTH(Tenants!$F$4,Inputs!$B$6),0,Tenants!$B$4*Inputs!$B$4*(1+Inputs!$B$5)^(BC$3/12)/12*IF(Tenants!$C$4&lt;1000,0.35,1)))</f>
        <v>691270.264382717</v>
      </c>
      <c r="BD7" s="0" t="n">
        <f aca="false">IF(BD4&lt;=Tenants!$F$4,Tenants!$B$4*Tenants!$C$4/12,IF(BD4&lt;=EOMONTH(Tenants!$F$4,Inputs!$B$6),0,Tenants!$B$4*Inputs!$B$4*(1+Inputs!$B$5)^(BD$3/12)/12*IF(Tenants!$C$4&lt;1000,0.35,1)))</f>
        <v>692975.123340256</v>
      </c>
      <c r="BE7" s="0" t="n">
        <f aca="false">IF(BE4&lt;=Tenants!$F$4,Tenants!$B$4*Tenants!$C$4/12,IF(BE4&lt;=EOMONTH(Tenants!$F$4,Inputs!$B$6),0,Tenants!$B$4*Inputs!$B$4*(1+Inputs!$B$5)^(BE$3/12)/12*IF(Tenants!$C$4&lt;1000,0.35,1)))</f>
        <v>694684.186939909</v>
      </c>
      <c r="BF7" s="0" t="n">
        <f aca="false">IF(BF4&lt;=Tenants!$F$4,Tenants!$B$4*Tenants!$C$4/12,IF(BF4&lt;=EOMONTH(Tenants!$F$4,Inputs!$B$6),0,Tenants!$B$4*Inputs!$B$4*(1+Inputs!$B$5)^(BF$3/12)/12*IF(Tenants!$C$4&lt;1000,0.35,1)))</f>
        <v>696397.465551456</v>
      </c>
      <c r="BG7" s="0" t="n">
        <f aca="false">IF(BG4&lt;=Tenants!$F$4,Tenants!$B$4*Tenants!$C$4/12,IF(BG4&lt;=EOMONTH(Tenants!$F$4,Inputs!$B$6),0,Tenants!$B$4*Inputs!$B$4*(1+Inputs!$B$5)^(BG$3/12)/12*IF(Tenants!$C$4&lt;1000,0.35,1)))</f>
        <v>698114.969570254</v>
      </c>
      <c r="BH7" s="0" t="n">
        <f aca="false">IF(BH4&lt;=Tenants!$F$4,Tenants!$B$4*Tenants!$C$4/12,IF(BH4&lt;=EOMONTH(Tenants!$F$4,Inputs!$B$6),0,Tenants!$B$4*Inputs!$B$4*(1+Inputs!$B$5)^(BH$3/12)/12*IF(Tenants!$C$4&lt;1000,0.35,1)))</f>
        <v>699836.709417298</v>
      </c>
      <c r="BI7" s="0" t="n">
        <f aca="false">IF(BI4&lt;=Tenants!$F$4,Tenants!$B$4*Tenants!$C$4/12,IF(BI4&lt;=EOMONTH(Tenants!$F$4,Inputs!$B$6),0,Tenants!$B$4*Inputs!$B$4*(1+Inputs!$B$5)^(BI$3/12)/12*IF(Tenants!$C$4&lt;1000,0.35,1)))</f>
        <v>701562.695539282</v>
      </c>
      <c r="BJ7" s="0" t="n">
        <f aca="false">IF(BJ4&lt;=Tenants!$F$4,Tenants!$B$4*Tenants!$C$4/12,IF(BJ4&lt;=EOMONTH(Tenants!$F$4,Inputs!$B$6),0,Tenants!$B$4*Inputs!$B$4*(1+Inputs!$B$5)^(BJ$3/12)/12*IF(Tenants!$C$4&lt;1000,0.35,1)))</f>
        <v>703292.938408667</v>
      </c>
      <c r="BK7" s="0" t="n">
        <f aca="false">IF(BK4&lt;=Tenants!$F$4,Tenants!$B$4*Tenants!$C$4/12,IF(BK4&lt;=EOMONTH(Tenants!$F$4,Inputs!$B$6),0,Tenants!$B$4*Inputs!$B$4*(1+Inputs!$B$5)^(BK$3/12)/12*IF(Tenants!$C$4&lt;1000,0.35,1)))</f>
        <v>705027.448523739</v>
      </c>
      <c r="BL7" s="0" t="n">
        <f aca="false">IF(BL4&lt;=Tenants!$F$4,Tenants!$B$4*Tenants!$C$4/12,IF(BL4&lt;=EOMONTH(Tenants!$F$4,Inputs!$B$6),0,Tenants!$B$4*Inputs!$B$4*(1+Inputs!$B$5)^(BL$3/12)/12*IF(Tenants!$C$4&lt;1000,0.35,1)))</f>
        <v>706766.236408677</v>
      </c>
      <c r="BM7" s="0" t="n">
        <f aca="false">IF(BM4&lt;=Tenants!$F$4,Tenants!$B$4*Tenants!$C$4/12,IF(BM4&lt;=EOMONTH(Tenants!$F$4,Inputs!$B$6),0,Tenants!$B$4*Inputs!$B$4*(1+Inputs!$B$5)^(BM$3/12)/12*IF(Tenants!$C$4&lt;1000,0.35,1)))</f>
        <v>708509.312613617</v>
      </c>
      <c r="BN7" s="0" t="n">
        <f aca="false">IF(BN4&lt;=Tenants!$F$4,Tenants!$B$4*Tenants!$C$4/12,IF(BN4&lt;=EOMONTH(Tenants!$F$4,Inputs!$B$6),0,Tenants!$B$4*Inputs!$B$4*(1+Inputs!$B$5)^(BN$3/12)/12*IF(Tenants!$C$4&lt;1000,0.35,1)))</f>
        <v>710256.687714711</v>
      </c>
      <c r="BO7" s="0" t="n">
        <f aca="false">IF(BO4&lt;=Tenants!$F$4,Tenants!$B$4*Tenants!$C$4/12,IF(BO4&lt;=EOMONTH(Tenants!$F$4,Inputs!$B$6),0,Tenants!$B$4*Inputs!$B$4*(1+Inputs!$B$5)^(BO$3/12)/12*IF(Tenants!$C$4&lt;1000,0.35,1)))</f>
        <v>712008.372314198</v>
      </c>
      <c r="BP7" s="0" t="n">
        <f aca="false">IF(BP4&lt;=Tenants!$F$4,Tenants!$B$4*Tenants!$C$4/12,IF(BP4&lt;=EOMONTH(Tenants!$F$4,Inputs!$B$6),0,Tenants!$B$4*Inputs!$B$4*(1+Inputs!$B$5)^(BP$3/12)/12*IF(Tenants!$C$4&lt;1000,0.35,1)))</f>
        <v>713764.377040464</v>
      </c>
      <c r="BQ7" s="0" t="n">
        <f aca="false">IF(BQ4&lt;=Tenants!$F$4,Tenants!$B$4*Tenants!$C$4/12,IF(BQ4&lt;=EOMONTH(Tenants!$F$4,Inputs!$B$6),0,Tenants!$B$4*Inputs!$B$4*(1+Inputs!$B$5)^(BQ$3/12)/12*IF(Tenants!$C$4&lt;1000,0.35,1)))</f>
        <v>715524.712548106</v>
      </c>
      <c r="BR7" s="0" t="n">
        <f aca="false">IF(BR4&lt;=Tenants!$F$4,Tenants!$B$4*Tenants!$C$4/12,IF(BR4&lt;=EOMONTH(Tenants!$F$4,Inputs!$B$6),0,Tenants!$B$4*Inputs!$B$4*(1+Inputs!$B$5)^(BR$3/12)/12*IF(Tenants!$C$4&lt;1000,0.35,1)))</f>
        <v>717289.389518</v>
      </c>
      <c r="BS7" s="0" t="n">
        <f aca="false">IF(BS4&lt;=Tenants!$F$4,Tenants!$B$4*Tenants!$C$4/12,IF(BS4&lt;=EOMONTH(Tenants!$F$4,Inputs!$B$6),0,Tenants!$B$4*Inputs!$B$4*(1+Inputs!$B$5)^(BS$3/12)/12*IF(Tenants!$C$4&lt;1000,0.35,1)))</f>
        <v>719058.418657362</v>
      </c>
      <c r="BT7" s="0" t="n">
        <f aca="false">IF(BT4&lt;=Tenants!$F$4,Tenants!$B$4*Tenants!$C$4/12,IF(BT4&lt;=EOMONTH(Tenants!$F$4,Inputs!$B$6),0,Tenants!$B$4*Inputs!$B$4*(1+Inputs!$B$5)^(BT$3/12)/12*IF(Tenants!$C$4&lt;1000,0.35,1)))</f>
        <v>720831.810699817</v>
      </c>
      <c r="BU7" s="0" t="n">
        <f aca="false">IF(BU4&lt;=Tenants!$F$4,Tenants!$B$4*Tenants!$C$4/12,IF(BU4&lt;=EOMONTH(Tenants!$F$4,Inputs!$B$6),0,Tenants!$B$4*Inputs!$B$4*(1+Inputs!$B$5)^(BU$3/12)/12*IF(Tenants!$C$4&lt;1000,0.35,1)))</f>
        <v>722609.576405461</v>
      </c>
      <c r="BV7" s="0" t="n">
        <f aca="false">IF(BV4&lt;=Tenants!$F$4,Tenants!$B$4*Tenants!$C$4/12,IF(BV4&lt;=EOMONTH(Tenants!$F$4,Inputs!$B$6),0,Tenants!$B$4*Inputs!$B$4*(1+Inputs!$B$5)^(BV$3/12)/12*IF(Tenants!$C$4&lt;1000,0.35,1)))</f>
        <v>724391.726560927</v>
      </c>
      <c r="BW7" s="0" t="n">
        <f aca="false">IF(BW4&lt;=Tenants!$F$4,Tenants!$B$4*Tenants!$C$4/12,IF(BW4&lt;=EOMONTH(Tenants!$F$4,Inputs!$B$6),0,Tenants!$B$4*Inputs!$B$4*(1+Inputs!$B$5)^(BW$3/12)/12*IF(Tenants!$C$4&lt;1000,0.35,1)))</f>
        <v>726178.271979451</v>
      </c>
      <c r="BX7" s="0" t="n">
        <f aca="false">IF(BX4&lt;=Tenants!$F$4,Tenants!$B$4*Tenants!$C$4/12,IF(BX4&lt;=EOMONTH(Tenants!$F$4,Inputs!$B$6),0,Tenants!$B$4*Inputs!$B$4*(1+Inputs!$B$5)^(BX$3/12)/12*IF(Tenants!$C$4&lt;1000,0.35,1)))</f>
        <v>727969.223500937</v>
      </c>
      <c r="BY7" s="0" t="n">
        <f aca="false">IF(BY4&lt;=Tenants!$F$4,Tenants!$B$4*Tenants!$C$4/12,IF(BY4&lt;=EOMONTH(Tenants!$F$4,Inputs!$B$6),0,Tenants!$B$4*Inputs!$B$4*(1+Inputs!$B$5)^(BY$3/12)/12*IF(Tenants!$C$4&lt;1000,0.35,1)))</f>
        <v>729764.591992025</v>
      </c>
      <c r="BZ7" s="0" t="n">
        <f aca="false">IF(BZ4&lt;=Tenants!$F$4,Tenants!$B$4*Tenants!$C$4/12,IF(BZ4&lt;=EOMONTH(Tenants!$F$4,Inputs!$B$6),0,Tenants!$B$4*Inputs!$B$4*(1+Inputs!$B$5)^(BZ$3/12)/12*IF(Tenants!$C$4&lt;1000,0.35,1)))</f>
        <v>731564.388346153</v>
      </c>
      <c r="CA7" s="0" t="n">
        <f aca="false">IF(CA4&lt;=Tenants!$F$4,Tenants!$B$4*Tenants!$C$4/12,IF(CA4&lt;=EOMONTH(Tenants!$F$4,Inputs!$B$6),0,Tenants!$B$4*Inputs!$B$4*(1+Inputs!$B$5)^(CA$3/12)/12*IF(Tenants!$C$4&lt;1000,0.35,1)))</f>
        <v>733368.623483624</v>
      </c>
      <c r="CB7" s="0" t="n">
        <f aca="false">IF(CB4&lt;=Tenants!$F$4,Tenants!$B$4*Tenants!$C$4/12,IF(CB4&lt;=EOMONTH(Tenants!$F$4,Inputs!$B$6),0,Tenants!$B$4*Inputs!$B$4*(1+Inputs!$B$5)^(CB$3/12)/12*IF(Tenants!$C$4&lt;1000,0.35,1)))</f>
        <v>735177.308351678</v>
      </c>
      <c r="CC7" s="0" t="n">
        <f aca="false">IF(CC4&lt;=Tenants!$F$4,Tenants!$B$4*Tenants!$C$4/12,IF(CC4&lt;=EOMONTH(Tenants!$F$4,Inputs!$B$6),0,Tenants!$B$4*Inputs!$B$4*(1+Inputs!$B$5)^(CC$3/12)/12*IF(Tenants!$C$4&lt;1000,0.35,1)))</f>
        <v>736990.453924549</v>
      </c>
      <c r="CD7" s="0" t="n">
        <f aca="false">IF(CD4&lt;=Tenants!$F$4,Tenants!$B$4*Tenants!$C$4/12,IF(CD4&lt;=EOMONTH(Tenants!$F$4,Inputs!$B$6),0,Tenants!$B$4*Inputs!$B$4*(1+Inputs!$B$5)^(CD$3/12)/12*IF(Tenants!$C$4&lt;1000,0.35,1)))</f>
        <v>738808.07120354</v>
      </c>
      <c r="CE7" s="0" t="n">
        <f aca="false">IF(CE4&lt;=Tenants!$F$4,Tenants!$B$4*Tenants!$C$4/12,IF(CE4&lt;=EOMONTH(Tenants!$F$4,Inputs!$B$6),0,Tenants!$B$4*Inputs!$B$4*(1+Inputs!$B$5)^(CE$3/12)/12*IF(Tenants!$C$4&lt;1000,0.35,1)))</f>
        <v>740630.171217083</v>
      </c>
      <c r="CF7" s="0" t="n">
        <f aca="false">IF(CF4&lt;=Tenants!$F$4,Tenants!$B$4*Tenants!$C$4/12,IF(CF4&lt;=EOMONTH(Tenants!$F$4,Inputs!$B$6),0,Tenants!$B$4*Inputs!$B$4*(1+Inputs!$B$5)^(CF$3/12)/12*IF(Tenants!$C$4&lt;1000,0.35,1)))</f>
        <v>742456.765020812</v>
      </c>
      <c r="CG7" s="0" t="n">
        <f aca="false">IF(CG4&lt;=Tenants!$F$4,Tenants!$B$4*Tenants!$C$4/12,IF(CG4&lt;=EOMONTH(Tenants!$F$4,Inputs!$B$6),0,Tenants!$B$4*Inputs!$B$4*(1+Inputs!$B$5)^(CG$3/12)/12*IF(Tenants!$C$4&lt;1000,0.35,1)))</f>
        <v>744287.863697625</v>
      </c>
      <c r="CH7" s="0" t="n">
        <f aca="false">IF(CH4&lt;=Tenants!$F$4,Tenants!$B$4*Tenants!$C$4/12,IF(CH4&lt;=EOMONTH(Tenants!$F$4,Inputs!$B$6),0,Tenants!$B$4*Inputs!$B$4*(1+Inputs!$B$5)^(CH$3/12)/12*IF(Tenants!$C$4&lt;1000,0.35,1)))</f>
        <v>746123.478357754</v>
      </c>
      <c r="CI7" s="0" t="n">
        <f aca="false">IF(CI4&lt;=Tenants!$F$4,Tenants!$B$4*Tenants!$C$4/12,IF(CI4&lt;=EOMONTH(Tenants!$F$4,Inputs!$B$6),0,Tenants!$B$4*Inputs!$B$4*(1+Inputs!$B$5)^(CI$3/12)/12*IF(Tenants!$C$4&lt;1000,0.35,1)))</f>
        <v>747963.620138834</v>
      </c>
      <c r="CJ7" s="0" t="n">
        <f aca="false">IF(CJ4&lt;=Tenants!$F$4,Tenants!$B$4*Tenants!$C$4/12,IF(CJ4&lt;=EOMONTH(Tenants!$F$4,Inputs!$B$6),0,Tenants!$B$4*Inputs!$B$4*(1+Inputs!$B$5)^(CJ$3/12)/12*IF(Tenants!$C$4&lt;1000,0.35,1)))</f>
        <v>749808.300205966</v>
      </c>
      <c r="CK7" s="0" t="n">
        <f aca="false">IF(CK4&lt;=Tenants!$F$4,Tenants!$B$4*Tenants!$C$4/12,IF(CK4&lt;=EOMONTH(Tenants!$F$4,Inputs!$B$6),0,Tenants!$B$4*Inputs!$B$4*(1+Inputs!$B$5)^(CK$3/12)/12*IF(Tenants!$C$4&lt;1000,0.35,1)))</f>
        <v>751657.529751786</v>
      </c>
      <c r="CL7" s="0" t="n">
        <f aca="false">IF(CL4&lt;=Tenants!$F$4,Tenants!$B$4*Tenants!$C$4/12,IF(CL4&lt;=EOMONTH(Tenants!$F$4,Inputs!$B$6),0,Tenants!$B$4*Inputs!$B$4*(1+Inputs!$B$5)^(CL$3/12)/12*IF(Tenants!$C$4&lt;1000,0.35,1)))</f>
        <v>753511.319996537</v>
      </c>
      <c r="CM7" s="0" t="n">
        <f aca="false">IF(CM4&lt;=Tenants!$F$4,Tenants!$B$4*Tenants!$C$4/12,IF(CM4&lt;=EOMONTH(Tenants!$F$4,Inputs!$B$6),0,Tenants!$B$4*Inputs!$B$4*(1+Inputs!$B$5)^(CM$3/12)/12*IF(Tenants!$C$4&lt;1000,0.35,1)))</f>
        <v>755369.682188133</v>
      </c>
      <c r="CN7" s="0" t="n">
        <f aca="false">IF(CN4&lt;=Tenants!$F$4,Tenants!$B$4*Tenants!$C$4/12,IF(CN4&lt;=EOMONTH(Tenants!$F$4,Inputs!$B$6),0,Tenants!$B$4*Inputs!$B$4*(1+Inputs!$B$5)^(CN$3/12)/12*IF(Tenants!$C$4&lt;1000,0.35,1)))</f>
        <v>757232.627602228</v>
      </c>
      <c r="CO7" s="0" t="n">
        <f aca="false">IF(CO4&lt;=Tenants!$F$4,Tenants!$B$4*Tenants!$C$4/12,IF(CO4&lt;=EOMONTH(Tenants!$F$4,Inputs!$B$6),0,Tenants!$B$4*Inputs!$B$4*(1+Inputs!$B$5)^(CO$3/12)/12*IF(Tenants!$C$4&lt;1000,0.35,1)))</f>
        <v>759100.167542286</v>
      </c>
      <c r="CP7" s="0" t="n">
        <f aca="false">IF(CP4&lt;=Tenants!$F$4,Tenants!$B$4*Tenants!$C$4/12,IF(CP4&lt;=EOMONTH(Tenants!$F$4,Inputs!$B$6),0,Tenants!$B$4*Inputs!$B$4*(1+Inputs!$B$5)^(CP$3/12)/12*IF(Tenants!$C$4&lt;1000,0.35,1)))</f>
        <v>760972.313339646</v>
      </c>
      <c r="CQ7" s="0" t="n">
        <f aca="false">IF(CQ4&lt;=Tenants!$F$4,Tenants!$B$4*Tenants!$C$4/12,IF(CQ4&lt;=EOMONTH(Tenants!$F$4,Inputs!$B$6),0,Tenants!$B$4*Inputs!$B$4*(1+Inputs!$B$5)^(CQ$3/12)/12*IF(Tenants!$C$4&lt;1000,0.35,1)))</f>
        <v>762849.076353595</v>
      </c>
      <c r="CR7" s="0" t="n">
        <f aca="false">IF(CR4&lt;=Tenants!$F$4,Tenants!$B$4*Tenants!$C$4/12,IF(CR4&lt;=EOMONTH(Tenants!$F$4,Inputs!$B$6),0,Tenants!$B$4*Inputs!$B$4*(1+Inputs!$B$5)^(CR$3/12)/12*IF(Tenants!$C$4&lt;1000,0.35,1)))</f>
        <v>764730.467971436</v>
      </c>
      <c r="CS7" s="0" t="n">
        <f aca="false">IF(CS4&lt;=Tenants!$F$4,Tenants!$B$4*Tenants!$C$4/12,IF(CS4&lt;=EOMONTH(Tenants!$F$4,Inputs!$B$6),0,Tenants!$B$4*Inputs!$B$4*(1+Inputs!$B$5)^(CS$3/12)/12*IF(Tenants!$C$4&lt;1000,0.35,1)))</f>
        <v>766616.499608554</v>
      </c>
      <c r="CT7" s="0" t="n">
        <f aca="false">IF(CT4&lt;=Tenants!$F$4,Tenants!$B$4*Tenants!$C$4/12,IF(CT4&lt;=EOMONTH(Tenants!$F$4,Inputs!$B$6),0,Tenants!$B$4*Inputs!$B$4*(1+Inputs!$B$5)^(CT$3/12)/12*IF(Tenants!$C$4&lt;1000,0.35,1)))</f>
        <v>768507.182708487</v>
      </c>
      <c r="CU7" s="0" t="n">
        <f aca="false">IF(CU4&lt;=Tenants!$F$4,Tenants!$B$4*Tenants!$C$4/12,IF(CU4&lt;=EOMONTH(Tenants!$F$4,Inputs!$B$6),0,Tenants!$B$4*Inputs!$B$4*(1+Inputs!$B$5)^(CU$3/12)/12*IF(Tenants!$C$4&lt;1000,0.35,1)))</f>
        <v>770402.528742999</v>
      </c>
      <c r="CV7" s="0" t="n">
        <f aca="false">IF(CV4&lt;=Tenants!$F$4,Tenants!$B$4*Tenants!$C$4/12,IF(CV4&lt;=EOMONTH(Tenants!$F$4,Inputs!$B$6),0,Tenants!$B$4*Inputs!$B$4*(1+Inputs!$B$5)^(CV$3/12)/12*IF(Tenants!$C$4&lt;1000,0.35,1)))</f>
        <v>772302.549212145</v>
      </c>
      <c r="CW7" s="0" t="n">
        <f aca="false">IF(CW4&lt;=Tenants!$F$4,Tenants!$B$4*Tenants!$C$4/12,IF(CW4&lt;=EOMONTH(Tenants!$F$4,Inputs!$B$6),0,Tenants!$B$4*Inputs!$B$4*(1+Inputs!$B$5)^(CW$3/12)/12*IF(Tenants!$C$4&lt;1000,0.35,1)))</f>
        <v>774207.255644339</v>
      </c>
      <c r="CX7" s="0" t="n">
        <f aca="false">IF(CX4&lt;=Tenants!$F$4,Tenants!$B$4*Tenants!$C$4/12,IF(CX4&lt;=EOMONTH(Tenants!$F$4,Inputs!$B$6),0,Tenants!$B$4*Inputs!$B$4*(1+Inputs!$B$5)^(CX$3/12)/12*IF(Tenants!$C$4&lt;1000,0.35,1)))</f>
        <v>776116.659596433</v>
      </c>
      <c r="CY7" s="0" t="n">
        <f aca="false">IF(CY4&lt;=Tenants!$F$4,Tenants!$B$4*Tenants!$C$4/12,IF(CY4&lt;=EOMONTH(Tenants!$F$4,Inputs!$B$6),0,Tenants!$B$4*Inputs!$B$4*(1+Inputs!$B$5)^(CY$3/12)/12*IF(Tenants!$C$4&lt;1000,0.35,1)))</f>
        <v>778030.772653777</v>
      </c>
      <c r="CZ7" s="0" t="n">
        <f aca="false">IF(CZ4&lt;=Tenants!$F$4,Tenants!$B$4*Tenants!$C$4/12,IF(CZ4&lt;=EOMONTH(Tenants!$F$4,Inputs!$B$6),0,Tenants!$B$4*Inputs!$B$4*(1+Inputs!$B$5)^(CZ$3/12)/12*IF(Tenants!$C$4&lt;1000,0.35,1)))</f>
        <v>779949.606430295</v>
      </c>
      <c r="DA7" s="0" t="n">
        <f aca="false">IF(DA4&lt;=Tenants!$F$4,Tenants!$B$4*Tenants!$C$4/12,IF(DA4&lt;=EOMONTH(Tenants!$F$4,Inputs!$B$6),0,Tenants!$B$4*Inputs!$B$4*(1+Inputs!$B$5)^(DA$3/12)/12*IF(Tenants!$C$4&lt;1000,0.35,1)))</f>
        <v>781873.172568554</v>
      </c>
      <c r="DB7" s="0" t="n">
        <f aca="false">IF(DB4&lt;=Tenants!$F$4,Tenants!$B$4*Tenants!$C$4/12,IF(DB4&lt;=EOMONTH(Tenants!$F$4,Inputs!$B$6),0,Tenants!$B$4*Inputs!$B$4*(1+Inputs!$B$5)^(DB$3/12)/12*IF(Tenants!$C$4&lt;1000,0.35,1)))</f>
        <v>783801.482739835</v>
      </c>
      <c r="DC7" s="0" t="n">
        <f aca="false">IF(DC4&lt;=Tenants!$F$4,Tenants!$B$4*Tenants!$C$4/12,IF(DC4&lt;=EOMONTH(Tenants!$F$4,Inputs!$B$6),0,Tenants!$B$4*Inputs!$B$4*(1+Inputs!$B$5)^(DC$3/12)/12*IF(Tenants!$C$4&lt;1000,0.35,1)))</f>
        <v>785734.548644203</v>
      </c>
      <c r="DD7" s="0" t="n">
        <f aca="false">IF(DD4&lt;=Tenants!$F$4,Tenants!$B$4*Tenants!$C$4/12,IF(DD4&lt;=EOMONTH(Tenants!$F$4,Inputs!$B$6),0,Tenants!$B$4*Inputs!$B$4*(1+Inputs!$B$5)^(DD$3/12)/12*IF(Tenants!$C$4&lt;1000,0.35,1)))</f>
        <v>787672.382010579</v>
      </c>
      <c r="DE7" s="0" t="n">
        <f aca="false">IF(DE4&lt;=Tenants!$F$4,Tenants!$B$4*Tenants!$C$4/12,IF(DE4&lt;=EOMONTH(Tenants!$F$4,Inputs!$B$6),0,Tenants!$B$4*Inputs!$B$4*(1+Inputs!$B$5)^(DE$3/12)/12*IF(Tenants!$C$4&lt;1000,0.35,1)))</f>
        <v>789614.99459681</v>
      </c>
      <c r="DF7" s="0" t="n">
        <f aca="false">IF(DF4&lt;=Tenants!$F$4,Tenants!$B$4*Tenants!$C$4/12,IF(DF4&lt;=EOMONTH(Tenants!$F$4,Inputs!$B$6),0,Tenants!$B$4*Inputs!$B$4*(1+Inputs!$B$5)^(DF$3/12)/12*IF(Tenants!$C$4&lt;1000,0.35,1)))</f>
        <v>791562.398189742</v>
      </c>
      <c r="DG7" s="0" t="n">
        <f aca="false">IF(DG4&lt;=Tenants!$F$4,Tenants!$B$4*Tenants!$C$4/12,IF(DG4&lt;=EOMONTH(Tenants!$F$4,Inputs!$B$6),0,Tenants!$B$4*Inputs!$B$4*(1+Inputs!$B$5)^(DG$3/12)/12*IF(Tenants!$C$4&lt;1000,0.35,1)))</f>
        <v>793514.604605289</v>
      </c>
      <c r="DH7" s="0" t="n">
        <f aca="false">IF(DH4&lt;=Tenants!$F$4,Tenants!$B$4*Tenants!$C$4/12,IF(DH4&lt;=EOMONTH(Tenants!$F$4,Inputs!$B$6),0,Tenants!$B$4*Inputs!$B$4*(1+Inputs!$B$5)^(DH$3/12)/12*IF(Tenants!$C$4&lt;1000,0.35,1)))</f>
        <v>795471.625688509</v>
      </c>
      <c r="DI7" s="0" t="n">
        <f aca="false">IF(DI4&lt;=Tenants!$F$4,Tenants!$B$4*Tenants!$C$4/12,IF(DI4&lt;=EOMONTH(Tenants!$F$4,Inputs!$B$6),0,Tenants!$B$4*Inputs!$B$4*(1+Inputs!$B$5)^(DI$3/12)/12*IF(Tenants!$C$4&lt;1000,0.35,1)))</f>
        <v>797433.47331367</v>
      </c>
      <c r="DJ7" s="0" t="n">
        <f aca="false">IF(DJ4&lt;=Tenants!$F$4,Tenants!$B$4*Tenants!$C$4/12,IF(DJ4&lt;=EOMONTH(Tenants!$F$4,Inputs!$B$6),0,Tenants!$B$4*Inputs!$B$4*(1+Inputs!$B$5)^(DJ$3/12)/12*IF(Tenants!$C$4&lt;1000,0.35,1)))</f>
        <v>799400.159384326</v>
      </c>
      <c r="DK7" s="0" t="n">
        <f aca="false">IF(DK4&lt;=Tenants!$F$4,Tenants!$B$4*Tenants!$C$4/12,IF(DK4&lt;=EOMONTH(Tenants!$F$4,Inputs!$B$6),0,Tenants!$B$4*Inputs!$B$4*(1+Inputs!$B$5)^(DK$3/12)/12*IF(Tenants!$C$4&lt;1000,0.35,1)))</f>
        <v>801371.695833391</v>
      </c>
      <c r="DL7" s="0" t="n">
        <f aca="false">IF(DL4&lt;=Tenants!$F$4,Tenants!$B$4*Tenants!$C$4/12,IF(DL4&lt;=EOMONTH(Tenants!$F$4,Inputs!$B$6),0,Tenants!$B$4*Inputs!$B$4*(1+Inputs!$B$5)^(DL$3/12)/12*IF(Tenants!$C$4&lt;1000,0.35,1)))</f>
        <v>803348.094623204</v>
      </c>
      <c r="DM7" s="0" t="n">
        <f aca="false">IF(DM4&lt;=Tenants!$F$4,Tenants!$B$4*Tenants!$C$4/12,IF(DM4&lt;=EOMONTH(Tenants!$F$4,Inputs!$B$6),0,Tenants!$B$4*Inputs!$B$4*(1+Inputs!$B$5)^(DM$3/12)/12*IF(Tenants!$C$4&lt;1000,0.35,1)))</f>
        <v>805329.367745611</v>
      </c>
      <c r="DN7" s="0" t="n">
        <f aca="false">IF(DN4&lt;=Tenants!$F$4,Tenants!$B$4*Tenants!$C$4/12,IF(DN4&lt;=EOMONTH(Tenants!$F$4,Inputs!$B$6),0,Tenants!$B$4*Inputs!$B$4*(1+Inputs!$B$5)^(DN$3/12)/12*IF(Tenants!$C$4&lt;1000,0.35,1)))</f>
        <v>807315.52722203</v>
      </c>
      <c r="DO7" s="0" t="n">
        <f aca="false">IF(DO4&lt;=Tenants!$F$4,Tenants!$B$4*Tenants!$C$4/12,IF(DO4&lt;=EOMONTH(Tenants!$F$4,Inputs!$B$6),0,Tenants!$B$4*Inputs!$B$4*(1+Inputs!$B$5)^(DO$3/12)/12*IF(Tenants!$C$4&lt;1000,0.35,1)))</f>
        <v>809306.585103529</v>
      </c>
      <c r="DP7" s="0" t="n">
        <f aca="false">IF(DP4&lt;=Tenants!$F$4,Tenants!$B$4*Tenants!$C$4/12,IF(DP4&lt;=EOMONTH(Tenants!$F$4,Inputs!$B$6),0,Tenants!$B$4*Inputs!$B$4*(1+Inputs!$B$5)^(DP$3/12)/12*IF(Tenants!$C$4&lt;1000,0.35,1)))</f>
        <v>811302.553470897</v>
      </c>
      <c r="DQ7" s="0" t="n">
        <f aca="false">IF(DQ4&lt;=Tenants!$F$4,Tenants!$B$4*Tenants!$C$4/12,IF(DQ4&lt;=EOMONTH(Tenants!$F$4,Inputs!$B$6),0,Tenants!$B$4*Inputs!$B$4*(1+Inputs!$B$5)^(DQ$3/12)/12*IF(Tenants!$C$4&lt;1000,0.35,1)))</f>
        <v>813303.444434714</v>
      </c>
      <c r="DR7" s="0" t="n">
        <f aca="false">IF(DR4&lt;=Tenants!$F$4,Tenants!$B$4*Tenants!$C$4/12,IF(DR4&lt;=EOMONTH(Tenants!$F$4,Inputs!$B$6),0,Tenants!$B$4*Inputs!$B$4*(1+Inputs!$B$5)^(DR$3/12)/12*IF(Tenants!$C$4&lt;1000,0.35,1)))</f>
        <v>815309.270135434</v>
      </c>
    </row>
    <row r="8" customFormat="false" ht="15" hidden="false" customHeight="false" outlineLevel="0" collapsed="false">
      <c r="A8" s="0" t="s">
        <v>28</v>
      </c>
      <c r="B8" s="0" t="n">
        <f aca="false">0</f>
        <v>0</v>
      </c>
      <c r="C8" s="0" t="n">
        <f aca="false">IF(C4&lt;=Tenants!$F$5,Tenants!$B$5*Tenants!$C$5/12,IF(C4&lt;=EOMONTH(Tenants!$F$5,Inputs!$B$6),0,Tenants!$B$5*Inputs!$B$4*(1+Inputs!$B$5)^(C$3/12)/12*IF(Tenants!$C$5&lt;1000,0.35,1)))</f>
        <v>5308333.33333333</v>
      </c>
      <c r="D8" s="0" t="n">
        <f aca="false">IF(D4&lt;=Tenants!$F$5,Tenants!$B$5*Tenants!$C$5/12,IF(D4&lt;=EOMONTH(Tenants!$F$5,Inputs!$B$6),0,Tenants!$B$5*Inputs!$B$4*(1+Inputs!$B$5)^(D$3/12)/12*IF(Tenants!$C$5&lt;1000,0.35,1)))</f>
        <v>5308333.33333333</v>
      </c>
      <c r="E8" s="0" t="n">
        <f aca="false">IF(E4&lt;=Tenants!$F$5,Tenants!$B$5*Tenants!$C$5/12,IF(E4&lt;=EOMONTH(Tenants!$F$5,Inputs!$B$6),0,Tenants!$B$5*Inputs!$B$4*(1+Inputs!$B$5)^(E$3/12)/12*IF(Tenants!$C$5&lt;1000,0.35,1)))</f>
        <v>5308333.33333333</v>
      </c>
      <c r="F8" s="0" t="n">
        <f aca="false">IF(F4&lt;=Tenants!$F$5,Tenants!$B$5*Tenants!$C$5/12,IF(F4&lt;=EOMONTH(Tenants!$F$5,Inputs!$B$6),0,Tenants!$B$5*Inputs!$B$4*(1+Inputs!$B$5)^(F$3/12)/12*IF(Tenants!$C$5&lt;1000,0.35,1)))</f>
        <v>5308333.33333333</v>
      </c>
      <c r="G8" s="0" t="n">
        <f aca="false">IF(G4&lt;=Tenants!$F$5,Tenants!$B$5*Tenants!$C$5/12,IF(G4&lt;=EOMONTH(Tenants!$F$5,Inputs!$B$6),0,Tenants!$B$5*Inputs!$B$4*(1+Inputs!$B$5)^(G$3/12)/12*IF(Tenants!$C$5&lt;1000,0.35,1)))</f>
        <v>5308333.33333333</v>
      </c>
      <c r="H8" s="0" t="n">
        <f aca="false">IF(H4&lt;=Tenants!$F$5,Tenants!$B$5*Tenants!$C$5/12,IF(H4&lt;=EOMONTH(Tenants!$F$5,Inputs!$B$6),0,Tenants!$B$5*Inputs!$B$4*(1+Inputs!$B$5)^(H$3/12)/12*IF(Tenants!$C$5&lt;1000,0.35,1)))</f>
        <v>5308333.33333333</v>
      </c>
      <c r="I8" s="0" t="n">
        <f aca="false">IF(I4&lt;=Tenants!$F$5,Tenants!$B$5*Tenants!$C$5/12,IF(I4&lt;=EOMONTH(Tenants!$F$5,Inputs!$B$6),0,Tenants!$B$5*Inputs!$B$4*(1+Inputs!$B$5)^(I$3/12)/12*IF(Tenants!$C$5&lt;1000,0.35,1)))</f>
        <v>5308333.33333333</v>
      </c>
      <c r="J8" s="0" t="n">
        <f aca="false">IF(J4&lt;=Tenants!$F$5,Tenants!$B$5*Tenants!$C$5/12,IF(J4&lt;=EOMONTH(Tenants!$F$5,Inputs!$B$6),0,Tenants!$B$5*Inputs!$B$4*(1+Inputs!$B$5)^(J$3/12)/12*IF(Tenants!$C$5&lt;1000,0.35,1)))</f>
        <v>5308333.33333333</v>
      </c>
      <c r="K8" s="0" t="n">
        <f aca="false">IF(K4&lt;=Tenants!$F$5,Tenants!$B$5*Tenants!$C$5/12,IF(K4&lt;=EOMONTH(Tenants!$F$5,Inputs!$B$6),0,Tenants!$B$5*Inputs!$B$4*(1+Inputs!$B$5)^(K$3/12)/12*IF(Tenants!$C$5&lt;1000,0.35,1)))</f>
        <v>5308333.33333333</v>
      </c>
      <c r="L8" s="0" t="n">
        <f aca="false">IF(L4&lt;=Tenants!$F$5,Tenants!$B$5*Tenants!$C$5/12,IF(L4&lt;=EOMONTH(Tenants!$F$5,Inputs!$B$6),0,Tenants!$B$5*Inputs!$B$4*(1+Inputs!$B$5)^(L$3/12)/12*IF(Tenants!$C$5&lt;1000,0.35,1)))</f>
        <v>5308333.33333333</v>
      </c>
      <c r="M8" s="0" t="n">
        <f aca="false">IF(M4&lt;=Tenants!$F$5,Tenants!$B$5*Tenants!$C$5/12,IF(M4&lt;=EOMONTH(Tenants!$F$5,Inputs!$B$6),0,Tenants!$B$5*Inputs!$B$4*(1+Inputs!$B$5)^(M$3/12)/12*IF(Tenants!$C$5&lt;1000,0.35,1)))</f>
        <v>5308333.33333333</v>
      </c>
      <c r="N8" s="0" t="n">
        <f aca="false">IF(N4&lt;=Tenants!$F$5,Tenants!$B$5*Tenants!$C$5/12,IF(N4&lt;=EOMONTH(Tenants!$F$5,Inputs!$B$6),0,Tenants!$B$5*Inputs!$B$4*(1+Inputs!$B$5)^(N$3/12)/12*IF(Tenants!$C$5&lt;1000,0.35,1)))</f>
        <v>5308333.33333333</v>
      </c>
      <c r="O8" s="0" t="n">
        <f aca="false">IF(O4&lt;=Tenants!$F$5,Tenants!$B$5*Tenants!$C$5/12,IF(O4&lt;=EOMONTH(Tenants!$F$5,Inputs!$B$6),0,Tenants!$B$5*Inputs!$B$4*(1+Inputs!$B$5)^(O$3/12)/12*IF(Tenants!$C$5&lt;1000,0.35,1)))</f>
        <v>5308333.33333333</v>
      </c>
      <c r="P8" s="0" t="n">
        <f aca="false">IF(P4&lt;=Tenants!$F$5,Tenants!$B$5*Tenants!$C$5/12,IF(P4&lt;=EOMONTH(Tenants!$F$5,Inputs!$B$6),0,Tenants!$B$5*Inputs!$B$4*(1+Inputs!$B$5)^(P$3/12)/12*IF(Tenants!$C$5&lt;1000,0.35,1)))</f>
        <v>5308333.33333333</v>
      </c>
      <c r="Q8" s="0" t="n">
        <f aca="false">IF(Q4&lt;=Tenants!$F$5,Tenants!$B$5*Tenants!$C$5/12,IF(Q4&lt;=EOMONTH(Tenants!$F$5,Inputs!$B$6),0,Tenants!$B$5*Inputs!$B$4*(1+Inputs!$B$5)^(Q$3/12)/12*IF(Tenants!$C$5&lt;1000,0.35,1)))</f>
        <v>5308333.33333333</v>
      </c>
      <c r="R8" s="0" t="n">
        <f aca="false">IF(R4&lt;=Tenants!$F$5,Tenants!$B$5*Tenants!$C$5/12,IF(R4&lt;=EOMONTH(Tenants!$F$5,Inputs!$B$6),0,Tenants!$B$5*Inputs!$B$4*(1+Inputs!$B$5)^(R$3/12)/12*IF(Tenants!$C$5&lt;1000,0.35,1)))</f>
        <v>5308333.33333333</v>
      </c>
      <c r="S8" s="0" t="n">
        <f aca="false">IF(S4&lt;=Tenants!$F$5,Tenants!$B$5*Tenants!$C$5/12,IF(S4&lt;=EOMONTH(Tenants!$F$5,Inputs!$B$6),0,Tenants!$B$5*Inputs!$B$4*(1+Inputs!$B$5)^(S$3/12)/12*IF(Tenants!$C$5&lt;1000,0.35,1)))</f>
        <v>5308333.33333333</v>
      </c>
      <c r="T8" s="0" t="n">
        <f aca="false">IF(T4&lt;=Tenants!$F$5,Tenants!$B$5*Tenants!$C$5/12,IF(T4&lt;=EOMONTH(Tenants!$F$5,Inputs!$B$6),0,Tenants!$B$5*Inputs!$B$4*(1+Inputs!$B$5)^(T$3/12)/12*IF(Tenants!$C$5&lt;1000,0.35,1)))</f>
        <v>5308333.33333333</v>
      </c>
      <c r="U8" s="0" t="n">
        <f aca="false">IF(U4&lt;=Tenants!$F$5,Tenants!$B$5*Tenants!$C$5/12,IF(U4&lt;=EOMONTH(Tenants!$F$5,Inputs!$B$6),0,Tenants!$B$5*Inputs!$B$4*(1+Inputs!$B$5)^(U$3/12)/12*IF(Tenants!$C$5&lt;1000,0.35,1)))</f>
        <v>5308333.33333333</v>
      </c>
      <c r="V8" s="0" t="n">
        <f aca="false">IF(V4&lt;=Tenants!$F$5,Tenants!$B$5*Tenants!$C$5/12,IF(V4&lt;=EOMONTH(Tenants!$F$5,Inputs!$B$6),0,Tenants!$B$5*Inputs!$B$4*(1+Inputs!$B$5)^(V$3/12)/12*IF(Tenants!$C$5&lt;1000,0.35,1)))</f>
        <v>5308333.33333333</v>
      </c>
      <c r="W8" s="0" t="n">
        <f aca="false">IF(W4&lt;=Tenants!$F$5,Tenants!$B$5*Tenants!$C$5/12,IF(W4&lt;=EOMONTH(Tenants!$F$5,Inputs!$B$6),0,Tenants!$B$5*Inputs!$B$4*(1+Inputs!$B$5)^(W$3/12)/12*IF(Tenants!$C$5&lt;1000,0.35,1)))</f>
        <v>5308333.33333333</v>
      </c>
      <c r="X8" s="0" t="n">
        <f aca="false">IF(X4&lt;=Tenants!$F$5,Tenants!$B$5*Tenants!$C$5/12,IF(X4&lt;=EOMONTH(Tenants!$F$5,Inputs!$B$6),0,Tenants!$B$5*Inputs!$B$4*(1+Inputs!$B$5)^(X$3/12)/12*IF(Tenants!$C$5&lt;1000,0.35,1)))</f>
        <v>0</v>
      </c>
      <c r="Y8" s="0" t="n">
        <f aca="false">IF(Y4&lt;=Tenants!$F$5,Tenants!$B$5*Tenants!$C$5/12,IF(Y4&lt;=EOMONTH(Tenants!$F$5,Inputs!$B$6),0,Tenants!$B$5*Inputs!$B$4*(1+Inputs!$B$5)^(Y$3/12)/12*IF(Tenants!$C$5&lt;1000,0.35,1)))</f>
        <v>0</v>
      </c>
      <c r="Z8" s="0" t="n">
        <f aca="false">IF(Z4&lt;=Tenants!$F$5,Tenants!$B$5*Tenants!$C$5/12,IF(Z4&lt;=EOMONTH(Tenants!$F$5,Inputs!$B$6),0,Tenants!$B$5*Inputs!$B$4*(1+Inputs!$B$5)^(Z$3/12)/12*IF(Tenants!$C$5&lt;1000,0.35,1)))</f>
        <v>0</v>
      </c>
      <c r="AA8" s="0" t="n">
        <f aca="false">IF(AA4&lt;=Tenants!$F$5,Tenants!$B$5*Tenants!$C$5/12,IF(AA4&lt;=EOMONTH(Tenants!$F$5,Inputs!$B$6),0,Tenants!$B$5*Inputs!$B$4*(1+Inputs!$B$5)^(AA$3/12)/12*IF(Tenants!$C$5&lt;1000,0.35,1)))</f>
        <v>0</v>
      </c>
      <c r="AB8" s="0" t="n">
        <f aca="false">IF(AB4&lt;=Tenants!$F$5,Tenants!$B$5*Tenants!$C$5/12,IF(AB4&lt;=EOMONTH(Tenants!$F$5,Inputs!$B$6),0,Tenants!$B$5*Inputs!$B$4*(1+Inputs!$B$5)^(AB$3/12)/12*IF(Tenants!$C$5&lt;1000,0.35,1)))</f>
        <v>0</v>
      </c>
      <c r="AC8" s="0" t="n">
        <f aca="false">IF(AC4&lt;=Tenants!$F$5,Tenants!$B$5*Tenants!$C$5/12,IF(AC4&lt;=EOMONTH(Tenants!$F$5,Inputs!$B$6),0,Tenants!$B$5*Inputs!$B$4*(1+Inputs!$B$5)^(AC$3/12)/12*IF(Tenants!$C$5&lt;1000,0.35,1)))</f>
        <v>0</v>
      </c>
      <c r="AD8" s="0" t="n">
        <f aca="false">IF(AD4&lt;=Tenants!$F$5,Tenants!$B$5*Tenants!$C$5/12,IF(AD4&lt;=EOMONTH(Tenants!$F$5,Inputs!$B$6),0,Tenants!$B$5*Inputs!$B$4*(1+Inputs!$B$5)^(AD$3/12)/12*IF(Tenants!$C$5&lt;1000,0.35,1)))</f>
        <v>6035579.49207497</v>
      </c>
      <c r="AE8" s="0" t="n">
        <f aca="false">IF(AE4&lt;=Tenants!$F$5,Tenants!$B$5*Tenants!$C$5/12,IF(AE4&lt;=EOMONTH(Tenants!$F$5,Inputs!$B$6),0,Tenants!$B$5*Inputs!$B$4*(1+Inputs!$B$5)^(AE$3/12)/12*IF(Tenants!$C$5&lt;1000,0.35,1)))</f>
        <v>6050464.85933461</v>
      </c>
      <c r="AF8" s="0" t="n">
        <f aca="false">IF(AF4&lt;=Tenants!$F$5,Tenants!$B$5*Tenants!$C$5/12,IF(AF4&lt;=EOMONTH(Tenants!$F$5,Inputs!$B$6),0,Tenants!$B$5*Inputs!$B$4*(1+Inputs!$B$5)^(AF$3/12)/12*IF(Tenants!$C$5&lt;1000,0.35,1)))</f>
        <v>6065386.93792557</v>
      </c>
      <c r="AG8" s="0" t="n">
        <f aca="false">IF(AG4&lt;=Tenants!$F$5,Tenants!$B$5*Tenants!$C$5/12,IF(AG4&lt;=EOMONTH(Tenants!$F$5,Inputs!$B$6),0,Tenants!$B$5*Inputs!$B$4*(1+Inputs!$B$5)^(AG$3/12)/12*IF(Tenants!$C$5&lt;1000,0.35,1)))</f>
        <v>6080345.8183879</v>
      </c>
      <c r="AH8" s="0" t="n">
        <f aca="false">IF(AH4&lt;=Tenants!$F$5,Tenants!$B$5*Tenants!$C$5/12,IF(AH4&lt;=EOMONTH(Tenants!$F$5,Inputs!$B$6),0,Tenants!$B$5*Inputs!$B$4*(1+Inputs!$B$5)^(AH$3/12)/12*IF(Tenants!$C$5&lt;1000,0.35,1)))</f>
        <v>6095341.59148494</v>
      </c>
      <c r="AI8" s="0" t="n">
        <f aca="false">IF(AI4&lt;=Tenants!$F$5,Tenants!$B$5*Tenants!$C$5/12,IF(AI4&lt;=EOMONTH(Tenants!$F$5,Inputs!$B$6),0,Tenants!$B$5*Inputs!$B$4*(1+Inputs!$B$5)^(AI$3/12)/12*IF(Tenants!$C$5&lt;1000,0.35,1)))</f>
        <v>6110374.34820389</v>
      </c>
      <c r="AJ8" s="0" t="n">
        <f aca="false">IF(AJ4&lt;=Tenants!$F$5,Tenants!$B$5*Tenants!$C$5/12,IF(AJ4&lt;=EOMONTH(Tenants!$F$5,Inputs!$B$6),0,Tenants!$B$5*Inputs!$B$4*(1+Inputs!$B$5)^(AJ$3/12)/12*IF(Tenants!$C$5&lt;1000,0.35,1)))</f>
        <v>6125444.17975632</v>
      </c>
      <c r="AK8" s="0" t="n">
        <f aca="false">IF(AK4&lt;=Tenants!$F$5,Tenants!$B$5*Tenants!$C$5/12,IF(AK4&lt;=EOMONTH(Tenants!$F$5,Inputs!$B$6),0,Tenants!$B$5*Inputs!$B$4*(1+Inputs!$B$5)^(AK$3/12)/12*IF(Tenants!$C$5&lt;1000,0.35,1)))</f>
        <v>6140551.17757879</v>
      </c>
      <c r="AL8" s="0" t="n">
        <f aca="false">IF(AL4&lt;=Tenants!$F$5,Tenants!$B$5*Tenants!$C$5/12,IF(AL4&lt;=EOMONTH(Tenants!$F$5,Inputs!$B$6),0,Tenants!$B$5*Inputs!$B$4*(1+Inputs!$B$5)^(AL$3/12)/12*IF(Tenants!$C$5&lt;1000,0.35,1)))</f>
        <v>6155695.43333333</v>
      </c>
      <c r="AM8" s="0" t="n">
        <f aca="false">IF(AM4&lt;=Tenants!$F$5,Tenants!$B$5*Tenants!$C$5/12,IF(AM4&lt;=EOMONTH(Tenants!$F$5,Inputs!$B$6),0,Tenants!$B$5*Inputs!$B$4*(1+Inputs!$B$5)^(AM$3/12)/12*IF(Tenants!$C$5&lt;1000,0.35,1)))</f>
        <v>6170877.03890807</v>
      </c>
      <c r="AN8" s="0" t="n">
        <f aca="false">IF(AN4&lt;=Tenants!$F$5,Tenants!$B$5*Tenants!$C$5/12,IF(AN4&lt;=EOMONTH(Tenants!$F$5,Inputs!$B$6),0,Tenants!$B$5*Inputs!$B$4*(1+Inputs!$B$5)^(AN$3/12)/12*IF(Tenants!$C$5&lt;1000,0.35,1)))</f>
        <v>6186096.08641773</v>
      </c>
      <c r="AO8" s="0" t="n">
        <f aca="false">IF(AO4&lt;=Tenants!$F$5,Tenants!$B$5*Tenants!$C$5/12,IF(AO4&lt;=EOMONTH(Tenants!$F$5,Inputs!$B$6),0,Tenants!$B$5*Inputs!$B$4*(1+Inputs!$B$5)^(AO$3/12)/12*IF(Tenants!$C$5&lt;1000,0.35,1)))</f>
        <v>6201352.66820423</v>
      </c>
      <c r="AP8" s="0" t="n">
        <f aca="false">IF(AP4&lt;=Tenants!$F$5,Tenants!$B$5*Tenants!$C$5/12,IF(AP4&lt;=EOMONTH(Tenants!$F$5,Inputs!$B$6),0,Tenants!$B$5*Inputs!$B$4*(1+Inputs!$B$5)^(AP$3/12)/12*IF(Tenants!$C$5&lt;1000,0.35,1)))</f>
        <v>6216646.87683722</v>
      </c>
      <c r="AQ8" s="0" t="n">
        <f aca="false">IF(AQ4&lt;=Tenants!$F$5,Tenants!$B$5*Tenants!$C$5/12,IF(AQ4&lt;=EOMONTH(Tenants!$F$5,Inputs!$B$6),0,Tenants!$B$5*Inputs!$B$4*(1+Inputs!$B$5)^(AQ$3/12)/12*IF(Tenants!$C$5&lt;1000,0.35,1)))</f>
        <v>6231978.80511465</v>
      </c>
      <c r="AR8" s="0" t="n">
        <f aca="false">IF(AR4&lt;=Tenants!$F$5,Tenants!$B$5*Tenants!$C$5/12,IF(AR4&lt;=EOMONTH(Tenants!$F$5,Inputs!$B$6),0,Tenants!$B$5*Inputs!$B$4*(1+Inputs!$B$5)^(AR$3/12)/12*IF(Tenants!$C$5&lt;1000,0.35,1)))</f>
        <v>6247348.54606334</v>
      </c>
      <c r="AS8" s="0" t="n">
        <f aca="false">IF(AS4&lt;=Tenants!$F$5,Tenants!$B$5*Tenants!$C$5/12,IF(AS4&lt;=EOMONTH(Tenants!$F$5,Inputs!$B$6),0,Tenants!$B$5*Inputs!$B$4*(1+Inputs!$B$5)^(AS$3/12)/12*IF(Tenants!$C$5&lt;1000,0.35,1)))</f>
        <v>6262756.19293954</v>
      </c>
      <c r="AT8" s="0" t="n">
        <f aca="false">IF(AT4&lt;=Tenants!$F$5,Tenants!$B$5*Tenants!$C$5/12,IF(AT4&lt;=EOMONTH(Tenants!$F$5,Inputs!$B$6),0,Tenants!$B$5*Inputs!$B$4*(1+Inputs!$B$5)^(AT$3/12)/12*IF(Tenants!$C$5&lt;1000,0.35,1)))</f>
        <v>6278201.83922949</v>
      </c>
      <c r="AU8" s="0" t="n">
        <f aca="false">IF(AU4&lt;=Tenants!$F$5,Tenants!$B$5*Tenants!$C$5/12,IF(AU4&lt;=EOMONTH(Tenants!$F$5,Inputs!$B$6),0,Tenants!$B$5*Inputs!$B$4*(1+Inputs!$B$5)^(AU$3/12)/12*IF(Tenants!$C$5&lt;1000,0.35,1)))</f>
        <v>6293685.57865</v>
      </c>
      <c r="AV8" s="0" t="n">
        <f aca="false">IF(AV4&lt;=Tenants!$F$5,Tenants!$B$5*Tenants!$C$5/12,IF(AV4&lt;=EOMONTH(Tenants!$F$5,Inputs!$B$6),0,Tenants!$B$5*Inputs!$B$4*(1+Inputs!$B$5)^(AV$3/12)/12*IF(Tenants!$C$5&lt;1000,0.35,1)))</f>
        <v>6309207.50514901</v>
      </c>
      <c r="AW8" s="0" t="n">
        <f aca="false">IF(AW4&lt;=Tenants!$F$5,Tenants!$B$5*Tenants!$C$5/12,IF(AW4&lt;=EOMONTH(Tenants!$F$5,Inputs!$B$6),0,Tenants!$B$5*Inputs!$B$4*(1+Inputs!$B$5)^(AW$3/12)/12*IF(Tenants!$C$5&lt;1000,0.35,1)))</f>
        <v>6324767.71290615</v>
      </c>
      <c r="AX8" s="0" t="n">
        <f aca="false">IF(AX4&lt;=Tenants!$F$5,Tenants!$B$5*Tenants!$C$5/12,IF(AX4&lt;=EOMONTH(Tenants!$F$5,Inputs!$B$6),0,Tenants!$B$5*Inputs!$B$4*(1+Inputs!$B$5)^(AX$3/12)/12*IF(Tenants!$C$5&lt;1000,0.35,1)))</f>
        <v>6340366.29633333</v>
      </c>
      <c r="AY8" s="0" t="n">
        <f aca="false">IF(AY4&lt;=Tenants!$F$5,Tenants!$B$5*Tenants!$C$5/12,IF(AY4&lt;=EOMONTH(Tenants!$F$5,Inputs!$B$6),0,Tenants!$B$5*Inputs!$B$4*(1+Inputs!$B$5)^(AY$3/12)/12*IF(Tenants!$C$5&lt;1000,0.35,1)))</f>
        <v>6356003.35007531</v>
      </c>
      <c r="AZ8" s="0" t="n">
        <f aca="false">IF(AZ4&lt;=Tenants!$F$5,Tenants!$B$5*Tenants!$C$5/12,IF(AZ4&lt;=EOMONTH(Tenants!$F$5,Inputs!$B$6),0,Tenants!$B$5*Inputs!$B$4*(1+Inputs!$B$5)^(AZ$3/12)/12*IF(Tenants!$C$5&lt;1000,0.35,1)))</f>
        <v>6371678.96901026</v>
      </c>
      <c r="BA8" s="0" t="n">
        <f aca="false">IF(BA4&lt;=Tenants!$F$5,Tenants!$B$5*Tenants!$C$5/12,IF(BA4&lt;=EOMONTH(Tenants!$F$5,Inputs!$B$6),0,Tenants!$B$5*Inputs!$B$4*(1+Inputs!$B$5)^(BA$3/12)/12*IF(Tenants!$C$5&lt;1000,0.35,1)))</f>
        <v>6387393.24825036</v>
      </c>
      <c r="BB8" s="0" t="n">
        <f aca="false">IF(BB4&lt;=Tenants!$F$5,Tenants!$B$5*Tenants!$C$5/12,IF(BB4&lt;=EOMONTH(Tenants!$F$5,Inputs!$B$6),0,Tenants!$B$5*Inputs!$B$4*(1+Inputs!$B$5)^(BB$3/12)/12*IF(Tenants!$C$5&lt;1000,0.35,1)))</f>
        <v>6403146.28314233</v>
      </c>
      <c r="BC8" s="0" t="n">
        <f aca="false">IF(BC4&lt;=Tenants!$F$5,Tenants!$B$5*Tenants!$C$5/12,IF(BC4&lt;=EOMONTH(Tenants!$F$5,Inputs!$B$6),0,Tenants!$B$5*Inputs!$B$4*(1+Inputs!$B$5)^(BC$3/12)/12*IF(Tenants!$C$5&lt;1000,0.35,1)))</f>
        <v>6418938.16926809</v>
      </c>
      <c r="BD8" s="0" t="n">
        <f aca="false">IF(BD4&lt;=Tenants!$F$5,Tenants!$B$5*Tenants!$C$5/12,IF(BD4&lt;=EOMONTH(Tenants!$F$5,Inputs!$B$6),0,Tenants!$B$5*Inputs!$B$4*(1+Inputs!$B$5)^(BD$3/12)/12*IF(Tenants!$C$5&lt;1000,0.35,1)))</f>
        <v>6434769.00244524</v>
      </c>
      <c r="BE8" s="0" t="n">
        <f aca="false">IF(BE4&lt;=Tenants!$F$5,Tenants!$B$5*Tenants!$C$5/12,IF(BE4&lt;=EOMONTH(Tenants!$F$5,Inputs!$B$6),0,Tenants!$B$5*Inputs!$B$4*(1+Inputs!$B$5)^(BE$3/12)/12*IF(Tenants!$C$5&lt;1000,0.35,1)))</f>
        <v>6450638.87872772</v>
      </c>
      <c r="BF8" s="0" t="n">
        <f aca="false">IF(BF4&lt;=Tenants!$F$5,Tenants!$B$5*Tenants!$C$5/12,IF(BF4&lt;=EOMONTH(Tenants!$F$5,Inputs!$B$6),0,Tenants!$B$5*Inputs!$B$4*(1+Inputs!$B$5)^(BF$3/12)/12*IF(Tenants!$C$5&lt;1000,0.35,1)))</f>
        <v>6466547.89440638</v>
      </c>
      <c r="BG8" s="0" t="n">
        <f aca="false">IF(BG4&lt;=Tenants!$F$5,Tenants!$B$5*Tenants!$C$5/12,IF(BG4&lt;=EOMONTH(Tenants!$F$5,Inputs!$B$6),0,Tenants!$B$5*Inputs!$B$4*(1+Inputs!$B$5)^(BG$3/12)/12*IF(Tenants!$C$5&lt;1000,0.35,1)))</f>
        <v>6482496.14600951</v>
      </c>
      <c r="BH8" s="0" t="n">
        <f aca="false">IF(BH4&lt;=Tenants!$F$5,Tenants!$B$5*Tenants!$C$5/12,IF(BH4&lt;=EOMONTH(Tenants!$F$5,Inputs!$B$6),0,Tenants!$B$5*Inputs!$B$4*(1+Inputs!$B$5)^(BH$3/12)/12*IF(Tenants!$C$5&lt;1000,0.35,1)))</f>
        <v>6498483.73030348</v>
      </c>
      <c r="BI8" s="0" t="n">
        <f aca="false">IF(BI4&lt;=Tenants!$F$5,Tenants!$B$5*Tenants!$C$5/12,IF(BI4&lt;=EOMONTH(Tenants!$F$5,Inputs!$B$6),0,Tenants!$B$5*Inputs!$B$4*(1+Inputs!$B$5)^(BI$3/12)/12*IF(Tenants!$C$5&lt;1000,0.35,1)))</f>
        <v>6514510.74429334</v>
      </c>
      <c r="BJ8" s="0" t="n">
        <f aca="false">IF(BJ4&lt;=Tenants!$F$5,Tenants!$B$5*Tenants!$C$5/12,IF(BJ4&lt;=EOMONTH(Tenants!$F$5,Inputs!$B$6),0,Tenants!$B$5*Inputs!$B$4*(1+Inputs!$B$5)^(BJ$3/12)/12*IF(Tenants!$C$5&lt;1000,0.35,1)))</f>
        <v>6530577.28522333</v>
      </c>
      <c r="BK8" s="0" t="n">
        <f aca="false">IF(BK4&lt;=Tenants!$F$5,Tenants!$B$5*Tenants!$C$5/12,IF(BK4&lt;=EOMONTH(Tenants!$F$5,Inputs!$B$6),0,Tenants!$B$5*Inputs!$B$4*(1+Inputs!$B$5)^(BK$3/12)/12*IF(Tenants!$C$5&lt;1000,0.35,1)))</f>
        <v>6546683.45057757</v>
      </c>
      <c r="BL8" s="0" t="n">
        <f aca="false">IF(BL4&lt;=Tenants!$F$5,Tenants!$B$5*Tenants!$C$5/12,IF(BL4&lt;=EOMONTH(Tenants!$F$5,Inputs!$B$6),0,Tenants!$B$5*Inputs!$B$4*(1+Inputs!$B$5)^(BL$3/12)/12*IF(Tenants!$C$5&lt;1000,0.35,1)))</f>
        <v>6562829.33808057</v>
      </c>
      <c r="BM8" s="0" t="n">
        <f aca="false">IF(BM4&lt;=Tenants!$F$5,Tenants!$B$5*Tenants!$C$5/12,IF(BM4&lt;=EOMONTH(Tenants!$F$5,Inputs!$B$6),0,Tenants!$B$5*Inputs!$B$4*(1+Inputs!$B$5)^(BM$3/12)/12*IF(Tenants!$C$5&lt;1000,0.35,1)))</f>
        <v>6579015.04569787</v>
      </c>
      <c r="BN8" s="0" t="n">
        <f aca="false">IF(BN4&lt;=Tenants!$F$5,Tenants!$B$5*Tenants!$C$5/12,IF(BN4&lt;=EOMONTH(Tenants!$F$5,Inputs!$B$6),0,Tenants!$B$5*Inputs!$B$4*(1+Inputs!$B$5)^(BN$3/12)/12*IF(Tenants!$C$5&lt;1000,0.35,1)))</f>
        <v>6595240.6716366</v>
      </c>
      <c r="BO8" s="0" t="n">
        <f aca="false">IF(BO4&lt;=Tenants!$F$5,Tenants!$B$5*Tenants!$C$5/12,IF(BO4&lt;=EOMONTH(Tenants!$F$5,Inputs!$B$6),0,Tenants!$B$5*Inputs!$B$4*(1+Inputs!$B$5)^(BO$3/12)/12*IF(Tenants!$C$5&lt;1000,0.35,1)))</f>
        <v>6611506.31434613</v>
      </c>
      <c r="BP8" s="0" t="n">
        <f aca="false">IF(BP4&lt;=Tenants!$F$5,Tenants!$B$5*Tenants!$C$5/12,IF(BP4&lt;=EOMONTH(Tenants!$F$5,Inputs!$B$6),0,Tenants!$B$5*Inputs!$B$4*(1+Inputs!$B$5)^(BP$3/12)/12*IF(Tenants!$C$5&lt;1000,0.35,1)))</f>
        <v>6627812.0725186</v>
      </c>
      <c r="BQ8" s="0" t="n">
        <f aca="false">IF(BQ4&lt;=Tenants!$F$5,Tenants!$B$5*Tenants!$C$5/12,IF(BQ4&lt;=EOMONTH(Tenants!$F$5,Inputs!$B$6),0,Tenants!$B$5*Inputs!$B$4*(1+Inputs!$B$5)^(BQ$3/12)/12*IF(Tenants!$C$5&lt;1000,0.35,1)))</f>
        <v>6644158.04508956</v>
      </c>
      <c r="BR8" s="0" t="n">
        <f aca="false">IF(BR4&lt;=Tenants!$F$5,Tenants!$B$5*Tenants!$C$5/12,IF(BR4&lt;=EOMONTH(Tenants!$F$5,Inputs!$B$6),0,Tenants!$B$5*Inputs!$B$4*(1+Inputs!$B$5)^(BR$3/12)/12*IF(Tenants!$C$5&lt;1000,0.35,1)))</f>
        <v>6660544.33123857</v>
      </c>
      <c r="BS8" s="0" t="n">
        <f aca="false">IF(BS4&lt;=Tenants!$F$5,Tenants!$B$5*Tenants!$C$5/12,IF(BS4&lt;=EOMONTH(Tenants!$F$5,Inputs!$B$6),0,Tenants!$B$5*Inputs!$B$4*(1+Inputs!$B$5)^(BS$3/12)/12*IF(Tenants!$C$5&lt;1000,0.35,1)))</f>
        <v>6676971.03038979</v>
      </c>
      <c r="BT8" s="0" t="n">
        <f aca="false">IF(BT4&lt;=Tenants!$F$5,Tenants!$B$5*Tenants!$C$5/12,IF(BT4&lt;=EOMONTH(Tenants!$F$5,Inputs!$B$6),0,Tenants!$B$5*Inputs!$B$4*(1+Inputs!$B$5)^(BT$3/12)/12*IF(Tenants!$C$5&lt;1000,0.35,1)))</f>
        <v>6693438.24221259</v>
      </c>
      <c r="BU8" s="0" t="n">
        <f aca="false">IF(BU4&lt;=Tenants!$F$5,Tenants!$B$5*Tenants!$C$5/12,IF(BU4&lt;=EOMONTH(Tenants!$F$5,Inputs!$B$6),0,Tenants!$B$5*Inputs!$B$4*(1+Inputs!$B$5)^(BU$3/12)/12*IF(Tenants!$C$5&lt;1000,0.35,1)))</f>
        <v>6709946.06662214</v>
      </c>
      <c r="BV8" s="0" t="n">
        <f aca="false">IF(BV4&lt;=Tenants!$F$5,Tenants!$B$5*Tenants!$C$5/12,IF(BV4&lt;=EOMONTH(Tenants!$F$5,Inputs!$B$6),0,Tenants!$B$5*Inputs!$B$4*(1+Inputs!$B$5)^(BV$3/12)/12*IF(Tenants!$C$5&lt;1000,0.35,1)))</f>
        <v>6726494.60378003</v>
      </c>
      <c r="BW8" s="0" t="n">
        <f aca="false">IF(BW4&lt;=Tenants!$F$5,Tenants!$B$5*Tenants!$C$5/12,IF(BW4&lt;=EOMONTH(Tenants!$F$5,Inputs!$B$6),0,Tenants!$B$5*Inputs!$B$4*(1+Inputs!$B$5)^(BW$3/12)/12*IF(Tenants!$C$5&lt;1000,0.35,1)))</f>
        <v>6743083.9540949</v>
      </c>
      <c r="BX8" s="0" t="n">
        <f aca="false">IF(BX4&lt;=Tenants!$F$5,Tenants!$B$5*Tenants!$C$5/12,IF(BX4&lt;=EOMONTH(Tenants!$F$5,Inputs!$B$6),0,Tenants!$B$5*Inputs!$B$4*(1+Inputs!$B$5)^(BX$3/12)/12*IF(Tenants!$C$5&lt;1000,0.35,1)))</f>
        <v>6759714.21822299</v>
      </c>
      <c r="BY8" s="0" t="n">
        <f aca="false">IF(BY4&lt;=Tenants!$F$5,Tenants!$B$5*Tenants!$C$5/12,IF(BY4&lt;=EOMONTH(Tenants!$F$5,Inputs!$B$6),0,Tenants!$B$5*Inputs!$B$4*(1+Inputs!$B$5)^(BY$3/12)/12*IF(Tenants!$C$5&lt;1000,0.35,1)))</f>
        <v>6776385.4970688</v>
      </c>
      <c r="BZ8" s="0" t="n">
        <f aca="false">IF(BZ4&lt;=Tenants!$F$5,Tenants!$B$5*Tenants!$C$5/12,IF(BZ4&lt;=EOMONTH(Tenants!$F$5,Inputs!$B$6),0,Tenants!$B$5*Inputs!$B$4*(1+Inputs!$B$5)^(BZ$3/12)/12*IF(Tenants!$C$5&lt;1000,0.35,1)))</f>
        <v>6793097.8917857</v>
      </c>
      <c r="CA8" s="0" t="n">
        <f aca="false">IF(CA4&lt;=Tenants!$F$5,Tenants!$B$5*Tenants!$C$5/12,IF(CA4&lt;=EOMONTH(Tenants!$F$5,Inputs!$B$6),0,Tenants!$B$5*Inputs!$B$4*(1+Inputs!$B$5)^(CA$3/12)/12*IF(Tenants!$C$5&lt;1000,0.35,1)))</f>
        <v>6809851.50377651</v>
      </c>
      <c r="CB8" s="0" t="n">
        <f aca="false">IF(CB4&lt;=Tenants!$F$5,Tenants!$B$5*Tenants!$C$5/12,IF(CB4&lt;=EOMONTH(Tenants!$F$5,Inputs!$B$6),0,Tenants!$B$5*Inputs!$B$4*(1+Inputs!$B$5)^(CB$3/12)/12*IF(Tenants!$C$5&lt;1000,0.35,1)))</f>
        <v>6826646.43469415</v>
      </c>
      <c r="CC8" s="0" t="n">
        <f aca="false">IF(CC4&lt;=Tenants!$F$5,Tenants!$B$5*Tenants!$C$5/12,IF(CC4&lt;=EOMONTH(Tenants!$F$5,Inputs!$B$6),0,Tenants!$B$5*Inputs!$B$4*(1+Inputs!$B$5)^(CC$3/12)/12*IF(Tenants!$C$5&lt;1000,0.35,1)))</f>
        <v>6843482.78644224</v>
      </c>
      <c r="CD8" s="0" t="n">
        <f aca="false">IF(CD4&lt;=Tenants!$F$5,Tenants!$B$5*Tenants!$C$5/12,IF(CD4&lt;=EOMONTH(Tenants!$F$5,Inputs!$B$6),0,Tenants!$B$5*Inputs!$B$4*(1+Inputs!$B$5)^(CD$3/12)/12*IF(Tenants!$C$5&lt;1000,0.35,1)))</f>
        <v>6860360.66117573</v>
      </c>
      <c r="CE8" s="0" t="n">
        <f aca="false">IF(CE4&lt;=Tenants!$F$5,Tenants!$B$5*Tenants!$C$5/12,IF(CE4&lt;=EOMONTH(Tenants!$F$5,Inputs!$B$6),0,Tenants!$B$5*Inputs!$B$4*(1+Inputs!$B$5)^(CE$3/12)/12*IF(Tenants!$C$5&lt;1000,0.35,1)))</f>
        <v>6877280.16130148</v>
      </c>
      <c r="CF8" s="0" t="n">
        <f aca="false">IF(CF4&lt;=Tenants!$F$5,Tenants!$B$5*Tenants!$C$5/12,IF(CF4&lt;=EOMONTH(Tenants!$F$5,Inputs!$B$6),0,Tenants!$B$5*Inputs!$B$4*(1+Inputs!$B$5)^(CF$3/12)/12*IF(Tenants!$C$5&lt;1000,0.35,1)))</f>
        <v>6894241.38947897</v>
      </c>
      <c r="CG8" s="0" t="n">
        <f aca="false">IF(CG4&lt;=Tenants!$F$5,Tenants!$B$5*Tenants!$C$5/12,IF(CG4&lt;=EOMONTH(Tenants!$F$5,Inputs!$B$6),0,Tenants!$B$5*Inputs!$B$4*(1+Inputs!$B$5)^(CG$3/12)/12*IF(Tenants!$C$5&lt;1000,0.35,1)))</f>
        <v>6911244.4486208</v>
      </c>
      <c r="CH8" s="0" t="n">
        <f aca="false">IF(CH4&lt;=Tenants!$F$5,Tenants!$B$5*Tenants!$C$5/12,IF(CH4&lt;=EOMONTH(Tenants!$F$5,Inputs!$B$6),0,Tenants!$B$5*Inputs!$B$4*(1+Inputs!$B$5)^(CH$3/12)/12*IF(Tenants!$C$5&lt;1000,0.35,1)))</f>
        <v>6928289.44189344</v>
      </c>
      <c r="CI8" s="0" t="n">
        <f aca="false">IF(CI4&lt;=Tenants!$F$5,Tenants!$B$5*Tenants!$C$5/12,IF(CI4&lt;=EOMONTH(Tenants!$F$5,Inputs!$B$6),0,Tenants!$B$5*Inputs!$B$4*(1+Inputs!$B$5)^(CI$3/12)/12*IF(Tenants!$C$5&lt;1000,0.35,1)))</f>
        <v>6945376.47271775</v>
      </c>
      <c r="CJ8" s="0" t="n">
        <f aca="false">IF(CJ4&lt;=Tenants!$F$5,Tenants!$B$5*Tenants!$C$5/12,IF(CJ4&lt;=EOMONTH(Tenants!$F$5,Inputs!$B$6),0,Tenants!$B$5*Inputs!$B$4*(1+Inputs!$B$5)^(CJ$3/12)/12*IF(Tenants!$C$5&lt;1000,0.35,1)))</f>
        <v>6962505.64476968</v>
      </c>
      <c r="CK8" s="0" t="n">
        <f aca="false">IF(CK4&lt;=Tenants!$F$5,Tenants!$B$5*Tenants!$C$5/12,IF(CK4&lt;=EOMONTH(Tenants!$F$5,Inputs!$B$6),0,Tenants!$B$5*Inputs!$B$4*(1+Inputs!$B$5)^(CK$3/12)/12*IF(Tenants!$C$5&lt;1000,0.35,1)))</f>
        <v>6979677.06198087</v>
      </c>
      <c r="CL8" s="0" t="n">
        <f aca="false">IF(CL4&lt;=Tenants!$F$5,Tenants!$B$5*Tenants!$C$5/12,IF(CL4&lt;=EOMONTH(Tenants!$F$5,Inputs!$B$6),0,Tenants!$B$5*Inputs!$B$4*(1+Inputs!$B$5)^(CL$3/12)/12*IF(Tenants!$C$5&lt;1000,0.35,1)))</f>
        <v>6996890.82853927</v>
      </c>
      <c r="CM8" s="0" t="n">
        <f aca="false">IF(CM4&lt;=Tenants!$F$5,Tenants!$B$5*Tenants!$C$5/12,IF(CM4&lt;=EOMONTH(Tenants!$F$5,Inputs!$B$6),0,Tenants!$B$5*Inputs!$B$4*(1+Inputs!$B$5)^(CM$3/12)/12*IF(Tenants!$C$5&lt;1000,0.35,1)))</f>
        <v>7014147.04888981</v>
      </c>
      <c r="CN8" s="0" t="n">
        <f aca="false">IF(CN4&lt;=Tenants!$F$5,Tenants!$B$5*Tenants!$C$5/12,IF(CN4&lt;=EOMONTH(Tenants!$F$5,Inputs!$B$6),0,Tenants!$B$5*Inputs!$B$4*(1+Inputs!$B$5)^(CN$3/12)/12*IF(Tenants!$C$5&lt;1000,0.35,1)))</f>
        <v>7031445.82773498</v>
      </c>
      <c r="CO8" s="0" t="n">
        <f aca="false">IF(CO4&lt;=Tenants!$F$5,Tenants!$B$5*Tenants!$C$5/12,IF(CO4&lt;=EOMONTH(Tenants!$F$5,Inputs!$B$6),0,Tenants!$B$5*Inputs!$B$4*(1+Inputs!$B$5)^(CO$3/12)/12*IF(Tenants!$C$5&lt;1000,0.35,1)))</f>
        <v>7048787.27003551</v>
      </c>
      <c r="CP8" s="0" t="n">
        <f aca="false">IF(CP4&lt;=Tenants!$F$5,Tenants!$B$5*Tenants!$C$5/12,IF(CP4&lt;=EOMONTH(Tenants!$F$5,Inputs!$B$6),0,Tenants!$B$5*Inputs!$B$4*(1+Inputs!$B$5)^(CP$3/12)/12*IF(Tenants!$C$5&lt;1000,0.35,1)))</f>
        <v>7066171.481011</v>
      </c>
      <c r="CQ8" s="0" t="n">
        <f aca="false">IF(CQ4&lt;=Tenants!$F$5,Tenants!$B$5*Tenants!$C$5/12,IF(CQ4&lt;=EOMONTH(Tenants!$F$5,Inputs!$B$6),0,Tenants!$B$5*Inputs!$B$4*(1+Inputs!$B$5)^(CQ$3/12)/12*IF(Tenants!$C$5&lt;1000,0.35,1)))</f>
        <v>7083598.56614053</v>
      </c>
      <c r="CR8" s="0" t="n">
        <f aca="false">IF(CR4&lt;=Tenants!$F$5,Tenants!$B$5*Tenants!$C$5/12,IF(CR4&lt;=EOMONTH(Tenants!$F$5,Inputs!$B$6),0,Tenants!$B$5*Inputs!$B$4*(1+Inputs!$B$5)^(CR$3/12)/12*IF(Tenants!$C$5&lt;1000,0.35,1)))</f>
        <v>7101068.63116333</v>
      </c>
      <c r="CS8" s="0" t="n">
        <f aca="false">IF(CS4&lt;=Tenants!$F$5,Tenants!$B$5*Tenants!$C$5/12,IF(CS4&lt;=EOMONTH(Tenants!$F$5,Inputs!$B$6),0,Tenants!$B$5*Inputs!$B$4*(1+Inputs!$B$5)^(CS$3/12)/12*IF(Tenants!$C$5&lt;1000,0.35,1)))</f>
        <v>7118581.78207943</v>
      </c>
      <c r="CT8" s="0" t="n">
        <f aca="false">IF(CT4&lt;=Tenants!$F$5,Tenants!$B$5*Tenants!$C$5/12,IF(CT4&lt;=EOMONTH(Tenants!$F$5,Inputs!$B$6),0,Tenants!$B$5*Inputs!$B$4*(1+Inputs!$B$5)^(CT$3/12)/12*IF(Tenants!$C$5&lt;1000,0.35,1)))</f>
        <v>7136138.12515024</v>
      </c>
      <c r="CU8" s="0" t="n">
        <f aca="false">IF(CU4&lt;=Tenants!$F$5,Tenants!$B$5*Tenants!$C$5/12,IF(CU4&lt;=EOMONTH(Tenants!$F$5,Inputs!$B$6),0,Tenants!$B$5*Inputs!$B$4*(1+Inputs!$B$5)^(CU$3/12)/12*IF(Tenants!$C$5&lt;1000,0.35,1)))</f>
        <v>7153737.76689928</v>
      </c>
      <c r="CV8" s="0" t="n">
        <f aca="false">IF(CV4&lt;=Tenants!$F$5,Tenants!$B$5*Tenants!$C$5/12,IF(CV4&lt;=EOMONTH(Tenants!$F$5,Inputs!$B$6),0,Tenants!$B$5*Inputs!$B$4*(1+Inputs!$B$5)^(CV$3/12)/12*IF(Tenants!$C$5&lt;1000,0.35,1)))</f>
        <v>7171380.81411277</v>
      </c>
      <c r="CW8" s="0" t="n">
        <f aca="false">IF(CW4&lt;=Tenants!$F$5,Tenants!$B$5*Tenants!$C$5/12,IF(CW4&lt;=EOMONTH(Tenants!$F$5,Inputs!$B$6),0,Tenants!$B$5*Inputs!$B$4*(1+Inputs!$B$5)^(CW$3/12)/12*IF(Tenants!$C$5&lt;1000,0.35,1)))</f>
        <v>7189067.3738403</v>
      </c>
      <c r="CX8" s="0" t="n">
        <f aca="false">IF(CX4&lt;=Tenants!$F$5,Tenants!$B$5*Tenants!$C$5/12,IF(CX4&lt;=EOMONTH(Tenants!$F$5,Inputs!$B$6),0,Tenants!$B$5*Inputs!$B$4*(1+Inputs!$B$5)^(CX$3/12)/12*IF(Tenants!$C$5&lt;1000,0.35,1)))</f>
        <v>7206797.55339545</v>
      </c>
      <c r="CY8" s="0" t="n">
        <f aca="false">IF(CY4&lt;=Tenants!$F$5,Tenants!$B$5*Tenants!$C$5/12,IF(CY4&lt;=EOMONTH(Tenants!$F$5,Inputs!$B$6),0,Tenants!$B$5*Inputs!$B$4*(1+Inputs!$B$5)^(CY$3/12)/12*IF(Tenants!$C$5&lt;1000,0.35,1)))</f>
        <v>7224571.4603565</v>
      </c>
      <c r="CZ8" s="0" t="n">
        <f aca="false">IF(CZ4&lt;=Tenants!$F$5,Tenants!$B$5*Tenants!$C$5/12,IF(CZ4&lt;=EOMONTH(Tenants!$F$5,Inputs!$B$6),0,Tenants!$B$5*Inputs!$B$4*(1+Inputs!$B$5)^(CZ$3/12)/12*IF(Tenants!$C$5&lt;1000,0.35,1)))</f>
        <v>7242389.20256703</v>
      </c>
      <c r="DA8" s="0" t="n">
        <f aca="false">IF(DA4&lt;=Tenants!$F$5,Tenants!$B$5*Tenants!$C$5/12,IF(DA4&lt;=EOMONTH(Tenants!$F$5,Inputs!$B$6),0,Tenants!$B$5*Inputs!$B$4*(1+Inputs!$B$5)^(DA$3/12)/12*IF(Tenants!$C$5&lt;1000,0.35,1)))</f>
        <v>7260250.88813658</v>
      </c>
      <c r="DB8" s="0" t="n">
        <f aca="false">IF(DB4&lt;=Tenants!$F$5,Tenants!$B$5*Tenants!$C$5/12,IF(DB4&lt;=EOMONTH(Tenants!$F$5,Inputs!$B$6),0,Tenants!$B$5*Inputs!$B$4*(1+Inputs!$B$5)^(DB$3/12)/12*IF(Tenants!$C$5&lt;1000,0.35,1)))</f>
        <v>7278156.62544133</v>
      </c>
      <c r="DC8" s="0" t="n">
        <f aca="false">IF(DC4&lt;=Tenants!$F$5,Tenants!$B$5*Tenants!$C$5/12,IF(DC4&lt;=EOMONTH(Tenants!$F$5,Inputs!$B$6),0,Tenants!$B$5*Inputs!$B$4*(1+Inputs!$B$5)^(DC$3/12)/12*IF(Tenants!$C$5&lt;1000,0.35,1)))</f>
        <v>7296106.52312474</v>
      </c>
      <c r="DD8" s="0" t="n">
        <f aca="false">IF(DD4&lt;=Tenants!$F$5,Tenants!$B$5*Tenants!$C$5/12,IF(DD4&lt;=EOMONTH(Tenants!$F$5,Inputs!$B$6),0,Tenants!$B$5*Inputs!$B$4*(1+Inputs!$B$5)^(DD$3/12)/12*IF(Tenants!$C$5&lt;1000,0.35,1)))</f>
        <v>7314100.69009823</v>
      </c>
      <c r="DE8" s="0" t="n">
        <f aca="false">IF(DE4&lt;=Tenants!$F$5,Tenants!$B$5*Tenants!$C$5/12,IF(DE4&lt;=EOMONTH(Tenants!$F$5,Inputs!$B$6),0,Tenants!$B$5*Inputs!$B$4*(1+Inputs!$B$5)^(DE$3/12)/12*IF(Tenants!$C$5&lt;1000,0.35,1)))</f>
        <v>7332139.23554181</v>
      </c>
      <c r="DF8" s="0" t="n">
        <f aca="false">IF(DF4&lt;=Tenants!$F$5,Tenants!$B$5*Tenants!$C$5/12,IF(DF4&lt;=EOMONTH(Tenants!$F$5,Inputs!$B$6),0,Tenants!$B$5*Inputs!$B$4*(1+Inputs!$B$5)^(DF$3/12)/12*IF(Tenants!$C$5&lt;1000,0.35,1)))</f>
        <v>7350222.26890475</v>
      </c>
      <c r="DG8" s="0" t="n">
        <f aca="false">IF(DG4&lt;=Tenants!$F$5,Tenants!$B$5*Tenants!$C$5/12,IF(DG4&lt;=EOMONTH(Tenants!$F$5,Inputs!$B$6),0,Tenants!$B$5*Inputs!$B$4*(1+Inputs!$B$5)^(DG$3/12)/12*IF(Tenants!$C$5&lt;1000,0.35,1)))</f>
        <v>7368349.89990626</v>
      </c>
      <c r="DH8" s="0" t="n">
        <f aca="false">IF(DH4&lt;=Tenants!$F$5,Tenants!$B$5*Tenants!$C$5/12,IF(DH4&lt;=EOMONTH(Tenants!$F$5,Inputs!$B$6),0,Tenants!$B$5*Inputs!$B$4*(1+Inputs!$B$5)^(DH$3/12)/12*IF(Tenants!$C$5&lt;1000,0.35,1)))</f>
        <v>7386522.23853615</v>
      </c>
      <c r="DI8" s="0" t="n">
        <f aca="false">IF(DI4&lt;=Tenants!$F$5,Tenants!$B$5*Tenants!$C$5/12,IF(DI4&lt;=EOMONTH(Tenants!$F$5,Inputs!$B$6),0,Tenants!$B$5*Inputs!$B$4*(1+Inputs!$B$5)^(DI$3/12)/12*IF(Tenants!$C$5&lt;1000,0.35,1)))</f>
        <v>7404739.3950555</v>
      </c>
      <c r="DJ8" s="0" t="n">
        <f aca="false">IF(DJ4&lt;=Tenants!$F$5,Tenants!$B$5*Tenants!$C$5/12,IF(DJ4&lt;=EOMONTH(Tenants!$F$5,Inputs!$B$6),0,Tenants!$B$5*Inputs!$B$4*(1+Inputs!$B$5)^(DJ$3/12)/12*IF(Tenants!$C$5&lt;1000,0.35,1)))</f>
        <v>7423001.47999731</v>
      </c>
      <c r="DK8" s="0" t="n">
        <f aca="false">IF(DK4&lt;=Tenants!$F$5,Tenants!$B$5*Tenants!$C$5/12,IF(DK4&lt;=EOMONTH(Tenants!$F$5,Inputs!$B$6),0,Tenants!$B$5*Inputs!$B$4*(1+Inputs!$B$5)^(DK$3/12)/12*IF(Tenants!$C$5&lt;1000,0.35,1)))</f>
        <v>7441308.6041672</v>
      </c>
      <c r="DL8" s="0" t="n">
        <f aca="false">IF(DL4&lt;=Tenants!$F$5,Tenants!$B$5*Tenants!$C$5/12,IF(DL4&lt;=EOMONTH(Tenants!$F$5,Inputs!$B$6),0,Tenants!$B$5*Inputs!$B$4*(1+Inputs!$B$5)^(DL$3/12)/12*IF(Tenants!$C$5&lt;1000,0.35,1)))</f>
        <v>7459660.87864404</v>
      </c>
      <c r="DM8" s="0" t="n">
        <f aca="false">IF(DM4&lt;=Tenants!$F$5,Tenants!$B$5*Tenants!$C$5/12,IF(DM4&lt;=EOMONTH(Tenants!$F$5,Inputs!$B$6),0,Tenants!$B$5*Inputs!$B$4*(1+Inputs!$B$5)^(DM$3/12)/12*IF(Tenants!$C$5&lt;1000,0.35,1)))</f>
        <v>7478058.41478067</v>
      </c>
      <c r="DN8" s="0" t="n">
        <f aca="false">IF(DN4&lt;=Tenants!$F$5,Tenants!$B$5*Tenants!$C$5/12,IF(DN4&lt;=EOMONTH(Tenants!$F$5,Inputs!$B$6),0,Tenants!$B$5*Inputs!$B$4*(1+Inputs!$B$5)^(DN$3/12)/12*IF(Tenants!$C$5&lt;1000,0.35,1)))</f>
        <v>7496501.32420457</v>
      </c>
      <c r="DO8" s="0" t="n">
        <f aca="false">IF(DO4&lt;=Tenants!$F$5,Tenants!$B$5*Tenants!$C$5/12,IF(DO4&lt;=EOMONTH(Tenants!$F$5,Inputs!$B$6),0,Tenants!$B$5*Inputs!$B$4*(1+Inputs!$B$5)^(DO$3/12)/12*IF(Tenants!$C$5&lt;1000,0.35,1)))</f>
        <v>7514989.71881849</v>
      </c>
      <c r="DP8" s="0" t="n">
        <f aca="false">IF(DP4&lt;=Tenants!$F$5,Tenants!$B$5*Tenants!$C$5/12,IF(DP4&lt;=EOMONTH(Tenants!$F$5,Inputs!$B$6),0,Tenants!$B$5*Inputs!$B$4*(1+Inputs!$B$5)^(DP$3/12)/12*IF(Tenants!$C$5&lt;1000,0.35,1)))</f>
        <v>7533523.71080118</v>
      </c>
      <c r="DQ8" s="0" t="n">
        <f aca="false">IF(DQ4&lt;=Tenants!$F$5,Tenants!$B$5*Tenants!$C$5/12,IF(DQ4&lt;=EOMONTH(Tenants!$F$5,Inputs!$B$6),0,Tenants!$B$5*Inputs!$B$4*(1+Inputs!$B$5)^(DQ$3/12)/12*IF(Tenants!$C$5&lt;1000,0.35,1)))</f>
        <v>7552103.41260806</v>
      </c>
      <c r="DR8" s="0" t="n">
        <f aca="false">IF(DR4&lt;=Tenants!$F$5,Tenants!$B$5*Tenants!$C$5/12,IF(DR4&lt;=EOMONTH(Tenants!$F$5,Inputs!$B$6),0,Tenants!$B$5*Inputs!$B$4*(1+Inputs!$B$5)^(DR$3/12)/12*IF(Tenants!$C$5&lt;1000,0.35,1)))</f>
        <v>7570728.93697189</v>
      </c>
    </row>
    <row r="9" customFormat="false" ht="15" hidden="false" customHeight="false" outlineLevel="0" collapsed="false">
      <c r="A9" s="0" t="s">
        <v>29</v>
      </c>
      <c r="B9" s="0" t="n">
        <f aca="false">0</f>
        <v>0</v>
      </c>
      <c r="C9" s="0" t="n">
        <f aca="false">IF(C4&lt;=Tenants!$F$6,Tenants!$B$6*Tenants!$C$6/12,IF(C4&lt;=EOMONTH(Tenants!$F$6,Inputs!$B$6),0,Tenants!$B$6*Inputs!$B$4*(1+Inputs!$B$5)^(C$3/12)/12*IF(Tenants!$C$6&lt;1000,0.35,1)))</f>
        <v>2175000</v>
      </c>
      <c r="D9" s="0" t="n">
        <f aca="false">IF(D4&lt;=Tenants!$F$6,Tenants!$B$6*Tenants!$C$6/12,IF(D4&lt;=EOMONTH(Tenants!$F$6,Inputs!$B$6),0,Tenants!$B$6*Inputs!$B$4*(1+Inputs!$B$5)^(D$3/12)/12*IF(Tenants!$C$6&lt;1000,0.35,1)))</f>
        <v>2175000</v>
      </c>
      <c r="E9" s="0" t="n">
        <f aca="false">IF(E4&lt;=Tenants!$F$6,Tenants!$B$6*Tenants!$C$6/12,IF(E4&lt;=EOMONTH(Tenants!$F$6,Inputs!$B$6),0,Tenants!$B$6*Inputs!$B$4*(1+Inputs!$B$5)^(E$3/12)/12*IF(Tenants!$C$6&lt;1000,0.35,1)))</f>
        <v>2175000</v>
      </c>
      <c r="F9" s="0" t="n">
        <f aca="false">IF(F4&lt;=Tenants!$F$6,Tenants!$B$6*Tenants!$C$6/12,IF(F4&lt;=EOMONTH(Tenants!$F$6,Inputs!$B$6),0,Tenants!$B$6*Inputs!$B$4*(1+Inputs!$B$5)^(F$3/12)/12*IF(Tenants!$C$6&lt;1000,0.35,1)))</f>
        <v>2175000</v>
      </c>
      <c r="G9" s="0" t="n">
        <f aca="false">IF(G4&lt;=Tenants!$F$6,Tenants!$B$6*Tenants!$C$6/12,IF(G4&lt;=EOMONTH(Tenants!$F$6,Inputs!$B$6),0,Tenants!$B$6*Inputs!$B$4*(1+Inputs!$B$5)^(G$3/12)/12*IF(Tenants!$C$6&lt;1000,0.35,1)))</f>
        <v>2175000</v>
      </c>
      <c r="H9" s="0" t="n">
        <f aca="false">IF(H4&lt;=Tenants!$F$6,Tenants!$B$6*Tenants!$C$6/12,IF(H4&lt;=EOMONTH(Tenants!$F$6,Inputs!$B$6),0,Tenants!$B$6*Inputs!$B$4*(1+Inputs!$B$5)^(H$3/12)/12*IF(Tenants!$C$6&lt;1000,0.35,1)))</f>
        <v>2175000</v>
      </c>
      <c r="I9" s="0" t="n">
        <f aca="false">IF(I4&lt;=Tenants!$F$6,Tenants!$B$6*Tenants!$C$6/12,IF(I4&lt;=EOMONTH(Tenants!$F$6,Inputs!$B$6),0,Tenants!$B$6*Inputs!$B$4*(1+Inputs!$B$5)^(I$3/12)/12*IF(Tenants!$C$6&lt;1000,0.35,1)))</f>
        <v>2175000</v>
      </c>
      <c r="J9" s="0" t="n">
        <f aca="false">IF(J4&lt;=Tenants!$F$6,Tenants!$B$6*Tenants!$C$6/12,IF(J4&lt;=EOMONTH(Tenants!$F$6,Inputs!$B$6),0,Tenants!$B$6*Inputs!$B$4*(1+Inputs!$B$5)^(J$3/12)/12*IF(Tenants!$C$6&lt;1000,0.35,1)))</f>
        <v>2175000</v>
      </c>
      <c r="K9" s="0" t="n">
        <f aca="false">IF(K4&lt;=Tenants!$F$6,Tenants!$B$6*Tenants!$C$6/12,IF(K4&lt;=EOMONTH(Tenants!$F$6,Inputs!$B$6),0,Tenants!$B$6*Inputs!$B$4*(1+Inputs!$B$5)^(K$3/12)/12*IF(Tenants!$C$6&lt;1000,0.35,1)))</f>
        <v>2175000</v>
      </c>
      <c r="L9" s="0" t="n">
        <f aca="false">IF(L4&lt;=Tenants!$F$6,Tenants!$B$6*Tenants!$C$6/12,IF(L4&lt;=EOMONTH(Tenants!$F$6,Inputs!$B$6),0,Tenants!$B$6*Inputs!$B$4*(1+Inputs!$B$5)^(L$3/12)/12*IF(Tenants!$C$6&lt;1000,0.35,1)))</f>
        <v>2175000</v>
      </c>
      <c r="M9" s="0" t="n">
        <f aca="false">IF(M4&lt;=Tenants!$F$6,Tenants!$B$6*Tenants!$C$6/12,IF(M4&lt;=EOMONTH(Tenants!$F$6,Inputs!$B$6),0,Tenants!$B$6*Inputs!$B$4*(1+Inputs!$B$5)^(M$3/12)/12*IF(Tenants!$C$6&lt;1000,0.35,1)))</f>
        <v>2175000</v>
      </c>
      <c r="N9" s="0" t="n">
        <f aca="false">IF(N4&lt;=Tenants!$F$6,Tenants!$B$6*Tenants!$C$6/12,IF(N4&lt;=EOMONTH(Tenants!$F$6,Inputs!$B$6),0,Tenants!$B$6*Inputs!$B$4*(1+Inputs!$B$5)^(N$3/12)/12*IF(Tenants!$C$6&lt;1000,0.35,1)))</f>
        <v>2175000</v>
      </c>
      <c r="O9" s="0" t="n">
        <f aca="false">IF(O4&lt;=Tenants!$F$6,Tenants!$B$6*Tenants!$C$6/12,IF(O4&lt;=EOMONTH(Tenants!$F$6,Inputs!$B$6),0,Tenants!$B$6*Inputs!$B$4*(1+Inputs!$B$5)^(O$3/12)/12*IF(Tenants!$C$6&lt;1000,0.35,1)))</f>
        <v>0</v>
      </c>
      <c r="P9" s="0" t="n">
        <f aca="false">IF(P4&lt;=Tenants!$F$6,Tenants!$B$6*Tenants!$C$6/12,IF(P4&lt;=EOMONTH(Tenants!$F$6,Inputs!$B$6),0,Tenants!$B$6*Inputs!$B$4*(1+Inputs!$B$5)^(P$3/12)/12*IF(Tenants!$C$6&lt;1000,0.35,1)))</f>
        <v>0</v>
      </c>
      <c r="Q9" s="0" t="n">
        <f aca="false">IF(Q4&lt;=Tenants!$F$6,Tenants!$B$6*Tenants!$C$6/12,IF(Q4&lt;=EOMONTH(Tenants!$F$6,Inputs!$B$6),0,Tenants!$B$6*Inputs!$B$4*(1+Inputs!$B$5)^(Q$3/12)/12*IF(Tenants!$C$6&lt;1000,0.35,1)))</f>
        <v>0</v>
      </c>
      <c r="R9" s="0" t="n">
        <f aca="false">IF(R4&lt;=Tenants!$F$6,Tenants!$B$6*Tenants!$C$6/12,IF(R4&lt;=EOMONTH(Tenants!$F$6,Inputs!$B$6),0,Tenants!$B$6*Inputs!$B$4*(1+Inputs!$B$5)^(R$3/12)/12*IF(Tenants!$C$6&lt;1000,0.35,1)))</f>
        <v>0</v>
      </c>
      <c r="S9" s="0" t="n">
        <f aca="false">IF(S4&lt;=Tenants!$F$6,Tenants!$B$6*Tenants!$C$6/12,IF(S4&lt;=EOMONTH(Tenants!$F$6,Inputs!$B$6),0,Tenants!$B$6*Inputs!$B$4*(1+Inputs!$B$5)^(S$3/12)/12*IF(Tenants!$C$6&lt;1000,0.35,1)))</f>
        <v>0</v>
      </c>
      <c r="T9" s="0" t="n">
        <f aca="false">IF(T4&lt;=Tenants!$F$6,Tenants!$B$6*Tenants!$C$6/12,IF(T4&lt;=EOMONTH(Tenants!$F$6,Inputs!$B$6),0,Tenants!$B$6*Inputs!$B$4*(1+Inputs!$B$5)^(T$3/12)/12*IF(Tenants!$C$6&lt;1000,0.35,1)))</f>
        <v>0</v>
      </c>
      <c r="U9" s="0" t="n">
        <f aca="false">IF(U4&lt;=Tenants!$F$6,Tenants!$B$6*Tenants!$C$6/12,IF(U4&lt;=EOMONTH(Tenants!$F$6,Inputs!$B$6),0,Tenants!$B$6*Inputs!$B$4*(1+Inputs!$B$5)^(U$3/12)/12*IF(Tenants!$C$6&lt;1000,0.35,1)))</f>
        <v>2043432.12716546</v>
      </c>
      <c r="V9" s="0" t="n">
        <f aca="false">IF(V4&lt;=Tenants!$F$6,Tenants!$B$6*Tenants!$C$6/12,IF(V4&lt;=EOMONTH(Tenants!$F$6,Inputs!$B$6),0,Tenants!$B$6*Inputs!$B$4*(1+Inputs!$B$5)^(V$3/12)/12*IF(Tenants!$C$6&lt;1000,0.35,1)))</f>
        <v>2048471.78205245</v>
      </c>
      <c r="W9" s="0" t="n">
        <f aca="false">IF(W4&lt;=Tenants!$F$6,Tenants!$B$6*Tenants!$C$6/12,IF(W4&lt;=EOMONTH(Tenants!$F$6,Inputs!$B$6),0,Tenants!$B$6*Inputs!$B$4*(1+Inputs!$B$5)^(W$3/12)/12*IF(Tenants!$C$6&lt;1000,0.35,1)))</f>
        <v>2053523.86608794</v>
      </c>
      <c r="X9" s="0" t="n">
        <f aca="false">IF(X4&lt;=Tenants!$F$6,Tenants!$B$6*Tenants!$C$6/12,IF(X4&lt;=EOMONTH(Tenants!$F$6,Inputs!$B$6),0,Tenants!$B$6*Inputs!$B$4*(1+Inputs!$B$5)^(X$3/12)/12*IF(Tenants!$C$6&lt;1000,0.35,1)))</f>
        <v>2058588.40992558</v>
      </c>
      <c r="Y9" s="0" t="n">
        <f aca="false">IF(Y4&lt;=Tenants!$F$6,Tenants!$B$6*Tenants!$C$6/12,IF(Y4&lt;=EOMONTH(Tenants!$F$6,Inputs!$B$6),0,Tenants!$B$6*Inputs!$B$4*(1+Inputs!$B$5)^(Y$3/12)/12*IF(Tenants!$C$6&lt;1000,0.35,1)))</f>
        <v>2063665.44429459</v>
      </c>
      <c r="Z9" s="0" t="n">
        <f aca="false">IF(Z4&lt;=Tenants!$F$6,Tenants!$B$6*Tenants!$C$6/12,IF(Z4&lt;=EOMONTH(Tenants!$F$6,Inputs!$B$6),0,Tenants!$B$6*Inputs!$B$4*(1+Inputs!$B$5)^(Z$3/12)/12*IF(Tenants!$C$6&lt;1000,0.35,1)))</f>
        <v>2068755</v>
      </c>
      <c r="AA9" s="0" t="n">
        <f aca="false">IF(AA4&lt;=Tenants!$F$6,Tenants!$B$6*Tenants!$C$6/12,IF(AA4&lt;=EOMONTH(Tenants!$F$6,Inputs!$B$6),0,Tenants!$B$6*Inputs!$B$4*(1+Inputs!$B$5)^(AA$3/12)/12*IF(Tenants!$C$6&lt;1000,0.35,1)))</f>
        <v>2073857.1079228</v>
      </c>
      <c r="AB9" s="0" t="n">
        <f aca="false">IF(AB4&lt;=Tenants!$F$6,Tenants!$B$6*Tenants!$C$6/12,IF(AB4&lt;=EOMONTH(Tenants!$F$6,Inputs!$B$6),0,Tenants!$B$6*Inputs!$B$4*(1+Inputs!$B$5)^(AB$3/12)/12*IF(Tenants!$C$6&lt;1000,0.35,1)))</f>
        <v>2078971.79902015</v>
      </c>
      <c r="AC9" s="0" t="n">
        <f aca="false">IF(AC4&lt;=Tenants!$F$6,Tenants!$B$6*Tenants!$C$6/12,IF(AC4&lt;=EOMONTH(Tenants!$F$6,Inputs!$B$6),0,Tenants!$B$6*Inputs!$B$4*(1+Inputs!$B$5)^(AC$3/12)/12*IF(Tenants!$C$6&lt;1000,0.35,1)))</f>
        <v>2084099.10432554</v>
      </c>
      <c r="AD9" s="0" t="n">
        <f aca="false">IF(AD4&lt;=Tenants!$F$6,Tenants!$B$6*Tenants!$C$6/12,IF(AD4&lt;=EOMONTH(Tenants!$F$6,Inputs!$B$6),0,Tenants!$B$6*Inputs!$B$4*(1+Inputs!$B$5)^(AD$3/12)/12*IF(Tenants!$C$6&lt;1000,0.35,1)))</f>
        <v>2089239.05494903</v>
      </c>
      <c r="AE9" s="0" t="n">
        <f aca="false">IF(AE4&lt;=Tenants!$F$6,Tenants!$B$6*Tenants!$C$6/12,IF(AE4&lt;=EOMONTH(Tenants!$F$6,Inputs!$B$6),0,Tenants!$B$6*Inputs!$B$4*(1+Inputs!$B$5)^(AE$3/12)/12*IF(Tenants!$C$6&lt;1000,0.35,1)))</f>
        <v>2094391.68207736</v>
      </c>
      <c r="AF9" s="0" t="n">
        <f aca="false">IF(AF4&lt;=Tenants!$F$6,Tenants!$B$6*Tenants!$C$6/12,IF(AF4&lt;=EOMONTH(Tenants!$F$6,Inputs!$B$6),0,Tenants!$B$6*Inputs!$B$4*(1+Inputs!$B$5)^(AF$3/12)/12*IF(Tenants!$C$6&lt;1000,0.35,1)))</f>
        <v>2099557.01697424</v>
      </c>
      <c r="AG9" s="0" t="n">
        <f aca="false">IF(AG4&lt;=Tenants!$F$6,Tenants!$B$6*Tenants!$C$6/12,IF(AG4&lt;=EOMONTH(Tenants!$F$6,Inputs!$B$6),0,Tenants!$B$6*Inputs!$B$4*(1+Inputs!$B$5)^(AG$3/12)/12*IF(Tenants!$C$6&lt;1000,0.35,1)))</f>
        <v>2104735.09098043</v>
      </c>
      <c r="AH9" s="0" t="n">
        <f aca="false">IF(AH4&lt;=Tenants!$F$6,Tenants!$B$6*Tenants!$C$6/12,IF(AH4&lt;=EOMONTH(Tenants!$F$6,Inputs!$B$6),0,Tenants!$B$6*Inputs!$B$4*(1+Inputs!$B$5)^(AH$3/12)/12*IF(Tenants!$C$6&lt;1000,0.35,1)))</f>
        <v>2109925.93551402</v>
      </c>
      <c r="AI9" s="0" t="n">
        <f aca="false">IF(AI4&lt;=Tenants!$F$6,Tenants!$B$6*Tenants!$C$6/12,IF(AI4&lt;=EOMONTH(Tenants!$F$6,Inputs!$B$6),0,Tenants!$B$6*Inputs!$B$4*(1+Inputs!$B$5)^(AI$3/12)/12*IF(Tenants!$C$6&lt;1000,0.35,1)))</f>
        <v>2115129.58207058</v>
      </c>
      <c r="AJ9" s="0" t="n">
        <f aca="false">IF(AJ4&lt;=Tenants!$F$6,Tenants!$B$6*Tenants!$C$6/12,IF(AJ4&lt;=EOMONTH(Tenants!$F$6,Inputs!$B$6),0,Tenants!$B$6*Inputs!$B$4*(1+Inputs!$B$5)^(AJ$3/12)/12*IF(Tenants!$C$6&lt;1000,0.35,1)))</f>
        <v>2120346.06222334</v>
      </c>
      <c r="AK9" s="0" t="n">
        <f aca="false">IF(AK4&lt;=Tenants!$F$6,Tenants!$B$6*Tenants!$C$6/12,IF(AK4&lt;=EOMONTH(Tenants!$F$6,Inputs!$B$6),0,Tenants!$B$6*Inputs!$B$4*(1+Inputs!$B$5)^(AK$3/12)/12*IF(Tenants!$C$6&lt;1000,0.35,1)))</f>
        <v>2125575.40762343</v>
      </c>
      <c r="AL9" s="0" t="n">
        <f aca="false">IF(AL4&lt;=Tenants!$F$6,Tenants!$B$6*Tenants!$C$6/12,IF(AL4&lt;=EOMONTH(Tenants!$F$6,Inputs!$B$6),0,Tenants!$B$6*Inputs!$B$4*(1+Inputs!$B$5)^(AL$3/12)/12*IF(Tenants!$C$6&lt;1000,0.35,1)))</f>
        <v>2130817.65</v>
      </c>
      <c r="AM9" s="0" t="n">
        <f aca="false">IF(AM4&lt;=Tenants!$F$6,Tenants!$B$6*Tenants!$C$6/12,IF(AM4&lt;=EOMONTH(Tenants!$F$6,Inputs!$B$6),0,Tenants!$B$6*Inputs!$B$4*(1+Inputs!$B$5)^(AM$3/12)/12*IF(Tenants!$C$6&lt;1000,0.35,1)))</f>
        <v>2136072.82116049</v>
      </c>
      <c r="AN9" s="0" t="n">
        <f aca="false">IF(AN4&lt;=Tenants!$F$6,Tenants!$B$6*Tenants!$C$6/12,IF(AN4&lt;=EOMONTH(Tenants!$F$6,Inputs!$B$6),0,Tenants!$B$6*Inputs!$B$4*(1+Inputs!$B$5)^(AN$3/12)/12*IF(Tenants!$C$6&lt;1000,0.35,1)))</f>
        <v>2141340.95299075</v>
      </c>
      <c r="AO9" s="0" t="n">
        <f aca="false">IF(AO4&lt;=Tenants!$F$6,Tenants!$B$6*Tenants!$C$6/12,IF(AO4&lt;=EOMONTH(Tenants!$F$6,Inputs!$B$6),0,Tenants!$B$6*Inputs!$B$4*(1+Inputs!$B$5)^(AO$3/12)/12*IF(Tenants!$C$6&lt;1000,0.35,1)))</f>
        <v>2146622.07745531</v>
      </c>
      <c r="AP9" s="0" t="n">
        <f aca="false">IF(AP4&lt;=Tenants!$F$6,Tenants!$B$6*Tenants!$C$6/12,IF(AP4&lt;=EOMONTH(Tenants!$F$6,Inputs!$B$6),0,Tenants!$B$6*Inputs!$B$4*(1+Inputs!$B$5)^(AP$3/12)/12*IF(Tenants!$C$6&lt;1000,0.35,1)))</f>
        <v>2151916.2265975</v>
      </c>
      <c r="AQ9" s="0" t="n">
        <f aca="false">IF(AQ4&lt;=Tenants!$F$6,Tenants!$B$6*Tenants!$C$6/12,IF(AQ4&lt;=EOMONTH(Tenants!$F$6,Inputs!$B$6),0,Tenants!$B$6*Inputs!$B$4*(1+Inputs!$B$5)^(AQ$3/12)/12*IF(Tenants!$C$6&lt;1000,0.35,1)))</f>
        <v>2157223.43253969</v>
      </c>
      <c r="AR9" s="0" t="n">
        <f aca="false">IF(AR4&lt;=Tenants!$F$6,Tenants!$B$6*Tenants!$C$6/12,IF(AR4&lt;=EOMONTH(Tenants!$F$6,Inputs!$B$6),0,Tenants!$B$6*Inputs!$B$4*(1+Inputs!$B$5)^(AR$3/12)/12*IF(Tenants!$C$6&lt;1000,0.35,1)))</f>
        <v>2162543.72748346</v>
      </c>
      <c r="AS9" s="0" t="n">
        <f aca="false">IF(AS4&lt;=Tenants!$F$6,Tenants!$B$6*Tenants!$C$6/12,IF(AS4&lt;=EOMONTH(Tenants!$F$6,Inputs!$B$6),0,Tenants!$B$6*Inputs!$B$4*(1+Inputs!$B$5)^(AS$3/12)/12*IF(Tenants!$C$6&lt;1000,0.35,1)))</f>
        <v>2167877.14370984</v>
      </c>
      <c r="AT9" s="0" t="n">
        <f aca="false">IF(AT4&lt;=Tenants!$F$6,Tenants!$B$6*Tenants!$C$6/12,IF(AT4&lt;=EOMONTH(Tenants!$F$6,Inputs!$B$6),0,Tenants!$B$6*Inputs!$B$4*(1+Inputs!$B$5)^(AT$3/12)/12*IF(Tenants!$C$6&lt;1000,0.35,1)))</f>
        <v>2173223.71357944</v>
      </c>
      <c r="AU9" s="0" t="n">
        <f aca="false">IF(AU4&lt;=Tenants!$F$6,Tenants!$B$6*Tenants!$C$6/12,IF(AU4&lt;=EOMONTH(Tenants!$F$6,Inputs!$B$6),0,Tenants!$B$6*Inputs!$B$4*(1+Inputs!$B$5)^(AU$3/12)/12*IF(Tenants!$C$6&lt;1000,0.35,1)))</f>
        <v>2178583.46953269</v>
      </c>
      <c r="AV9" s="0" t="n">
        <f aca="false">IF(AV4&lt;=Tenants!$F$6,Tenants!$B$6*Tenants!$C$6/12,IF(AV4&lt;=EOMONTH(Tenants!$F$6,Inputs!$B$6),0,Tenants!$B$6*Inputs!$B$4*(1+Inputs!$B$5)^(AV$3/12)/12*IF(Tenants!$C$6&lt;1000,0.35,1)))</f>
        <v>2183956.44409004</v>
      </c>
      <c r="AW9" s="0" t="n">
        <f aca="false">IF(AW4&lt;=Tenants!$F$6,Tenants!$B$6*Tenants!$C$6/12,IF(AW4&lt;=EOMONTH(Tenants!$F$6,Inputs!$B$6),0,Tenants!$B$6*Inputs!$B$4*(1+Inputs!$B$5)^(AW$3/12)/12*IF(Tenants!$C$6&lt;1000,0.35,1)))</f>
        <v>2189342.66985213</v>
      </c>
      <c r="AX9" s="0" t="n">
        <f aca="false">IF(AX4&lt;=Tenants!$F$6,Tenants!$B$6*Tenants!$C$6/12,IF(AX4&lt;=EOMONTH(Tenants!$F$6,Inputs!$B$6),0,Tenants!$B$6*Inputs!$B$4*(1+Inputs!$B$5)^(AX$3/12)/12*IF(Tenants!$C$6&lt;1000,0.35,1)))</f>
        <v>2194742.1795</v>
      </c>
      <c r="AY9" s="0" t="n">
        <f aca="false">IF(AY4&lt;=Tenants!$F$6,Tenants!$B$6*Tenants!$C$6/12,IF(AY4&lt;=EOMONTH(Tenants!$F$6,Inputs!$B$6),0,Tenants!$B$6*Inputs!$B$4*(1+Inputs!$B$5)^(AY$3/12)/12*IF(Tenants!$C$6&lt;1000,0.35,1)))</f>
        <v>2200155.0057953</v>
      </c>
      <c r="AZ9" s="0" t="n">
        <f aca="false">IF(AZ4&lt;=Tenants!$F$6,Tenants!$B$6*Tenants!$C$6/12,IF(AZ4&lt;=EOMONTH(Tenants!$F$6,Inputs!$B$6),0,Tenants!$B$6*Inputs!$B$4*(1+Inputs!$B$5)^(AZ$3/12)/12*IF(Tenants!$C$6&lt;1000,0.35,1)))</f>
        <v>2205581.18158048</v>
      </c>
      <c r="BA9" s="0" t="n">
        <f aca="false">IF(BA4&lt;=Tenants!$F$6,Tenants!$B$6*Tenants!$C$6/12,IF(BA4&lt;=EOMONTH(Tenants!$F$6,Inputs!$B$6),0,Tenants!$B$6*Inputs!$B$4*(1+Inputs!$B$5)^(BA$3/12)/12*IF(Tenants!$C$6&lt;1000,0.35,1)))</f>
        <v>2211020.73977897</v>
      </c>
      <c r="BB9" s="0" t="n">
        <f aca="false">IF(BB4&lt;=Tenants!$F$6,Tenants!$B$6*Tenants!$C$6/12,IF(BB4&lt;=EOMONTH(Tenants!$F$6,Inputs!$B$6),0,Tenants!$B$6*Inputs!$B$4*(1+Inputs!$B$5)^(BB$3/12)/12*IF(Tenants!$C$6&lt;1000,0.35,1)))</f>
        <v>2216473.71339542</v>
      </c>
      <c r="BC9" s="0" t="n">
        <f aca="false">IF(BC4&lt;=Tenants!$F$6,Tenants!$B$6*Tenants!$C$6/12,IF(BC4&lt;=EOMONTH(Tenants!$F$6,Inputs!$B$6),0,Tenants!$B$6*Inputs!$B$4*(1+Inputs!$B$5)^(BC$3/12)/12*IF(Tenants!$C$6&lt;1000,0.35,1)))</f>
        <v>2221940.13551588</v>
      </c>
      <c r="BD9" s="0" t="n">
        <f aca="false">IF(BD4&lt;=Tenants!$F$6,Tenants!$B$6*Tenants!$C$6/12,IF(BD4&lt;=EOMONTH(Tenants!$F$6,Inputs!$B$6),0,Tenants!$B$6*Inputs!$B$4*(1+Inputs!$B$5)^(BD$3/12)/12*IF(Tenants!$C$6&lt;1000,0.35,1)))</f>
        <v>2227420.03930797</v>
      </c>
      <c r="BE9" s="0" t="n">
        <f aca="false">IF(BE4&lt;=Tenants!$F$6,Tenants!$B$6*Tenants!$C$6/12,IF(BE4&lt;=EOMONTH(Tenants!$F$6,Inputs!$B$6),0,Tenants!$B$6*Inputs!$B$4*(1+Inputs!$B$5)^(BE$3/12)/12*IF(Tenants!$C$6&lt;1000,0.35,1)))</f>
        <v>2232913.45802114</v>
      </c>
      <c r="BF9" s="0" t="n">
        <f aca="false">IF(BF4&lt;=Tenants!$F$6,Tenants!$B$6*Tenants!$C$6/12,IF(BF4&lt;=EOMONTH(Tenants!$F$6,Inputs!$B$6),0,Tenants!$B$6*Inputs!$B$4*(1+Inputs!$B$5)^(BF$3/12)/12*IF(Tenants!$C$6&lt;1000,0.35,1)))</f>
        <v>2238420.42498682</v>
      </c>
      <c r="BG9" s="0" t="n">
        <f aca="false">IF(BG4&lt;=Tenants!$F$6,Tenants!$B$6*Tenants!$C$6/12,IF(BG4&lt;=EOMONTH(Tenants!$F$6,Inputs!$B$6),0,Tenants!$B$6*Inputs!$B$4*(1+Inputs!$B$5)^(BG$3/12)/12*IF(Tenants!$C$6&lt;1000,0.35,1)))</f>
        <v>2243940.97361867</v>
      </c>
      <c r="BH9" s="0" t="n">
        <f aca="false">IF(BH4&lt;=Tenants!$F$6,Tenants!$B$6*Tenants!$C$6/12,IF(BH4&lt;=EOMONTH(Tenants!$F$6,Inputs!$B$6),0,Tenants!$B$6*Inputs!$B$4*(1+Inputs!$B$5)^(BH$3/12)/12*IF(Tenants!$C$6&lt;1000,0.35,1)))</f>
        <v>2249475.13741274</v>
      </c>
      <c r="BI9" s="0" t="n">
        <f aca="false">IF(BI4&lt;=Tenants!$F$6,Tenants!$B$6*Tenants!$C$6/12,IF(BI4&lt;=EOMONTH(Tenants!$F$6,Inputs!$B$6),0,Tenants!$B$6*Inputs!$B$4*(1+Inputs!$B$5)^(BI$3/12)/12*IF(Tenants!$C$6&lt;1000,0.35,1)))</f>
        <v>2255022.94994769</v>
      </c>
      <c r="BJ9" s="0" t="n">
        <f aca="false">IF(BJ4&lt;=Tenants!$F$6,Tenants!$B$6*Tenants!$C$6/12,IF(BJ4&lt;=EOMONTH(Tenants!$F$6,Inputs!$B$6),0,Tenants!$B$6*Inputs!$B$4*(1+Inputs!$B$5)^(BJ$3/12)/12*IF(Tenants!$C$6&lt;1000,0.35,1)))</f>
        <v>2260584.444885</v>
      </c>
      <c r="BK9" s="0" t="n">
        <f aca="false">IF(BK4&lt;=Tenants!$F$6,Tenants!$B$6*Tenants!$C$6/12,IF(BK4&lt;=EOMONTH(Tenants!$F$6,Inputs!$B$6),0,Tenants!$B$6*Inputs!$B$4*(1+Inputs!$B$5)^(BK$3/12)/12*IF(Tenants!$C$6&lt;1000,0.35,1)))</f>
        <v>2266159.65596916</v>
      </c>
      <c r="BL9" s="0" t="n">
        <f aca="false">IF(BL4&lt;=Tenants!$F$6,Tenants!$B$6*Tenants!$C$6/12,IF(BL4&lt;=EOMONTH(Tenants!$F$6,Inputs!$B$6),0,Tenants!$B$6*Inputs!$B$4*(1+Inputs!$B$5)^(BL$3/12)/12*IF(Tenants!$C$6&lt;1000,0.35,1)))</f>
        <v>2271748.61702789</v>
      </c>
      <c r="BM9" s="0" t="n">
        <f aca="false">IF(BM4&lt;=Tenants!$F$6,Tenants!$B$6*Tenants!$C$6/12,IF(BM4&lt;=EOMONTH(Tenants!$F$6,Inputs!$B$6),0,Tenants!$B$6*Inputs!$B$4*(1+Inputs!$B$5)^(BM$3/12)/12*IF(Tenants!$C$6&lt;1000,0.35,1)))</f>
        <v>2277351.36197234</v>
      </c>
      <c r="BN9" s="0" t="n">
        <f aca="false">IF(BN4&lt;=Tenants!$F$6,Tenants!$B$6*Tenants!$C$6/12,IF(BN4&lt;=EOMONTH(Tenants!$F$6,Inputs!$B$6),0,Tenants!$B$6*Inputs!$B$4*(1+Inputs!$B$5)^(BN$3/12)/12*IF(Tenants!$C$6&lt;1000,0.35,1)))</f>
        <v>2282967.92479729</v>
      </c>
      <c r="BO9" s="0" t="n">
        <f aca="false">IF(BO4&lt;=Tenants!$F$6,Tenants!$B$6*Tenants!$C$6/12,IF(BO4&lt;=EOMONTH(Tenants!$F$6,Inputs!$B$6),0,Tenants!$B$6*Inputs!$B$4*(1+Inputs!$B$5)^(BO$3/12)/12*IF(Tenants!$C$6&lt;1000,0.35,1)))</f>
        <v>2288598.33958135</v>
      </c>
      <c r="BP9" s="0" t="n">
        <f aca="false">IF(BP4&lt;=Tenants!$F$6,Tenants!$B$6*Tenants!$C$6/12,IF(BP4&lt;=EOMONTH(Tenants!$F$6,Inputs!$B$6),0,Tenants!$B$6*Inputs!$B$4*(1+Inputs!$B$5)^(BP$3/12)/12*IF(Tenants!$C$6&lt;1000,0.35,1)))</f>
        <v>2294242.64048721</v>
      </c>
      <c r="BQ9" s="0" t="n">
        <f aca="false">IF(BQ4&lt;=Tenants!$F$6,Tenants!$B$6*Tenants!$C$6/12,IF(BQ4&lt;=EOMONTH(Tenants!$F$6,Inputs!$B$6),0,Tenants!$B$6*Inputs!$B$4*(1+Inputs!$B$5)^(BQ$3/12)/12*IF(Tenants!$C$6&lt;1000,0.35,1)))</f>
        <v>2299900.86176177</v>
      </c>
      <c r="BR9" s="0" t="n">
        <f aca="false">IF(BR4&lt;=Tenants!$F$6,Tenants!$B$6*Tenants!$C$6/12,IF(BR4&lt;=EOMONTH(Tenants!$F$6,Inputs!$B$6),0,Tenants!$B$6*Inputs!$B$4*(1+Inputs!$B$5)^(BR$3/12)/12*IF(Tenants!$C$6&lt;1000,0.35,1)))</f>
        <v>2305573.03773643</v>
      </c>
      <c r="BS9" s="0" t="n">
        <f aca="false">IF(BS4&lt;=Tenants!$F$6,Tenants!$B$6*Tenants!$C$6/12,IF(BS4&lt;=EOMONTH(Tenants!$F$6,Inputs!$B$6),0,Tenants!$B$6*Inputs!$B$4*(1+Inputs!$B$5)^(BS$3/12)/12*IF(Tenants!$C$6&lt;1000,0.35,1)))</f>
        <v>2311259.20282723</v>
      </c>
      <c r="BT9" s="0" t="n">
        <f aca="false">IF(BT4&lt;=Tenants!$F$6,Tenants!$B$6*Tenants!$C$6/12,IF(BT4&lt;=EOMONTH(Tenants!$F$6,Inputs!$B$6),0,Tenants!$B$6*Inputs!$B$4*(1+Inputs!$B$5)^(BT$3/12)/12*IF(Tenants!$C$6&lt;1000,0.35,1)))</f>
        <v>2316959.39153513</v>
      </c>
      <c r="BU9" s="0" t="n">
        <f aca="false">IF(BU4&lt;=Tenants!$F$6,Tenants!$B$6*Tenants!$C$6/12,IF(BU4&lt;=EOMONTH(Tenants!$F$6,Inputs!$B$6),0,Tenants!$B$6*Inputs!$B$4*(1+Inputs!$B$5)^(BU$3/12)/12*IF(Tenants!$C$6&lt;1000,0.35,1)))</f>
        <v>2322673.63844612</v>
      </c>
      <c r="BV9" s="0" t="n">
        <f aca="false">IF(BV4&lt;=Tenants!$F$6,Tenants!$B$6*Tenants!$C$6/12,IF(BV4&lt;=EOMONTH(Tenants!$F$6,Inputs!$B$6),0,Tenants!$B$6*Inputs!$B$4*(1+Inputs!$B$5)^(BV$3/12)/12*IF(Tenants!$C$6&lt;1000,0.35,1)))</f>
        <v>2328401.97823155</v>
      </c>
      <c r="BW9" s="0" t="n">
        <f aca="false">IF(BW4&lt;=Tenants!$F$6,Tenants!$B$6*Tenants!$C$6/12,IF(BW4&lt;=EOMONTH(Tenants!$F$6,Inputs!$B$6),0,Tenants!$B$6*Inputs!$B$4*(1+Inputs!$B$5)^(BW$3/12)/12*IF(Tenants!$C$6&lt;1000,0.35,1)))</f>
        <v>2334144.44564824</v>
      </c>
      <c r="BX9" s="0" t="n">
        <f aca="false">IF(BX4&lt;=Tenants!$F$6,Tenants!$B$6*Tenants!$C$6/12,IF(BX4&lt;=EOMONTH(Tenants!$F$6,Inputs!$B$6),0,Tenants!$B$6*Inputs!$B$4*(1+Inputs!$B$5)^(BX$3/12)/12*IF(Tenants!$C$6&lt;1000,0.35,1)))</f>
        <v>2339901.07553873</v>
      </c>
      <c r="BY9" s="0" t="n">
        <f aca="false">IF(BY4&lt;=Tenants!$F$6,Tenants!$B$6*Tenants!$C$6/12,IF(BY4&lt;=EOMONTH(Tenants!$F$6,Inputs!$B$6),0,Tenants!$B$6*Inputs!$B$4*(1+Inputs!$B$5)^(BY$3/12)/12*IF(Tenants!$C$6&lt;1000,0.35,1)))</f>
        <v>2345671.90283151</v>
      </c>
      <c r="BZ9" s="0" t="n">
        <f aca="false">IF(BZ4&lt;=Tenants!$F$6,Tenants!$B$6*Tenants!$C$6/12,IF(BZ4&lt;=EOMONTH(Tenants!$F$6,Inputs!$B$6),0,Tenants!$B$6*Inputs!$B$4*(1+Inputs!$B$5)^(BZ$3/12)/12*IF(Tenants!$C$6&lt;1000,0.35,1)))</f>
        <v>2351456.9625412</v>
      </c>
      <c r="CA9" s="0" t="n">
        <f aca="false">IF(CA4&lt;=Tenants!$F$6,Tenants!$B$6*Tenants!$C$6/12,IF(CA4&lt;=EOMONTH(Tenants!$F$6,Inputs!$B$6),0,Tenants!$B$6*Inputs!$B$4*(1+Inputs!$B$5)^(CA$3/12)/12*IF(Tenants!$C$6&lt;1000,0.35,1)))</f>
        <v>2357256.28976879</v>
      </c>
      <c r="CB9" s="0" t="n">
        <f aca="false">IF(CB4&lt;=Tenants!$F$6,Tenants!$B$6*Tenants!$C$6/12,IF(CB4&lt;=EOMONTH(Tenants!$F$6,Inputs!$B$6),0,Tenants!$B$6*Inputs!$B$4*(1+Inputs!$B$5)^(CB$3/12)/12*IF(Tenants!$C$6&lt;1000,0.35,1)))</f>
        <v>2363069.91970182</v>
      </c>
      <c r="CC9" s="0" t="n">
        <f aca="false">IF(CC4&lt;=Tenants!$F$6,Tenants!$B$6*Tenants!$C$6/12,IF(CC4&lt;=EOMONTH(Tenants!$F$6,Inputs!$B$6),0,Tenants!$B$6*Inputs!$B$4*(1+Inputs!$B$5)^(CC$3/12)/12*IF(Tenants!$C$6&lt;1000,0.35,1)))</f>
        <v>2368897.88761462</v>
      </c>
      <c r="CD9" s="0" t="n">
        <f aca="false">IF(CD4&lt;=Tenants!$F$6,Tenants!$B$6*Tenants!$C$6/12,IF(CD4&lt;=EOMONTH(Tenants!$F$6,Inputs!$B$6),0,Tenants!$B$6*Inputs!$B$4*(1+Inputs!$B$5)^(CD$3/12)/12*IF(Tenants!$C$6&lt;1000,0.35,1)))</f>
        <v>2374740.22886852</v>
      </c>
      <c r="CE9" s="0" t="n">
        <f aca="false">IF(CE4&lt;=Tenants!$F$6,Tenants!$B$6*Tenants!$C$6/12,IF(CE4&lt;=EOMONTH(Tenants!$F$6,Inputs!$B$6),0,Tenants!$B$6*Inputs!$B$4*(1+Inputs!$B$5)^(CE$3/12)/12*IF(Tenants!$C$6&lt;1000,0.35,1)))</f>
        <v>2380596.97891205</v>
      </c>
      <c r="CF9" s="0" t="n">
        <f aca="false">IF(CF4&lt;=Tenants!$F$6,Tenants!$B$6*Tenants!$C$6/12,IF(CF4&lt;=EOMONTH(Tenants!$F$6,Inputs!$B$6),0,Tenants!$B$6*Inputs!$B$4*(1+Inputs!$B$5)^(CF$3/12)/12*IF(Tenants!$C$6&lt;1000,0.35,1)))</f>
        <v>2386468.17328118</v>
      </c>
      <c r="CG9" s="0" t="n">
        <f aca="false">IF(CG4&lt;=Tenants!$F$6,Tenants!$B$6*Tenants!$C$6/12,IF(CG4&lt;=EOMONTH(Tenants!$F$6,Inputs!$B$6),0,Tenants!$B$6*Inputs!$B$4*(1+Inputs!$B$5)^(CG$3/12)/12*IF(Tenants!$C$6&lt;1000,0.35,1)))</f>
        <v>2392353.84759951</v>
      </c>
      <c r="CH9" s="0" t="n">
        <f aca="false">IF(CH4&lt;=Tenants!$F$6,Tenants!$B$6*Tenants!$C$6/12,IF(CH4&lt;=EOMONTH(Tenants!$F$6,Inputs!$B$6),0,Tenants!$B$6*Inputs!$B$4*(1+Inputs!$B$5)^(CH$3/12)/12*IF(Tenants!$C$6&lt;1000,0.35,1)))</f>
        <v>2398254.0375785</v>
      </c>
      <c r="CI9" s="0" t="n">
        <f aca="false">IF(CI4&lt;=Tenants!$F$6,Tenants!$B$6*Tenants!$C$6/12,IF(CI4&lt;=EOMONTH(Tenants!$F$6,Inputs!$B$6),0,Tenants!$B$6*Inputs!$B$4*(1+Inputs!$B$5)^(CI$3/12)/12*IF(Tenants!$C$6&lt;1000,0.35,1)))</f>
        <v>2404168.77901768</v>
      </c>
      <c r="CJ9" s="0" t="n">
        <f aca="false">IF(CJ4&lt;=Tenants!$F$6,Tenants!$B$6*Tenants!$C$6/12,IF(CJ4&lt;=EOMONTH(Tenants!$F$6,Inputs!$B$6),0,Tenants!$B$6*Inputs!$B$4*(1+Inputs!$B$5)^(CJ$3/12)/12*IF(Tenants!$C$6&lt;1000,0.35,1)))</f>
        <v>2410098.10780489</v>
      </c>
      <c r="CK9" s="0" t="n">
        <f aca="false">IF(CK4&lt;=Tenants!$F$6,Tenants!$B$6*Tenants!$C$6/12,IF(CK4&lt;=EOMONTH(Tenants!$F$6,Inputs!$B$6),0,Tenants!$B$6*Inputs!$B$4*(1+Inputs!$B$5)^(CK$3/12)/12*IF(Tenants!$C$6&lt;1000,0.35,1)))</f>
        <v>2416042.05991646</v>
      </c>
      <c r="CL9" s="0" t="n">
        <f aca="false">IF(CL4&lt;=Tenants!$F$6,Tenants!$B$6*Tenants!$C$6/12,IF(CL4&lt;=EOMONTH(Tenants!$F$6,Inputs!$B$6),0,Tenants!$B$6*Inputs!$B$4*(1+Inputs!$B$5)^(CL$3/12)/12*IF(Tenants!$C$6&lt;1000,0.35,1)))</f>
        <v>2422000.67141744</v>
      </c>
      <c r="CM9" s="0" t="n">
        <f aca="false">IF(CM4&lt;=Tenants!$F$6,Tenants!$B$6*Tenants!$C$6/12,IF(CM4&lt;=EOMONTH(Tenants!$F$6,Inputs!$B$6),0,Tenants!$B$6*Inputs!$B$4*(1+Inputs!$B$5)^(CM$3/12)/12*IF(Tenants!$C$6&lt;1000,0.35,1)))</f>
        <v>2427973.97846186</v>
      </c>
      <c r="CN9" s="0" t="n">
        <f aca="false">IF(CN4&lt;=Tenants!$F$6,Tenants!$B$6*Tenants!$C$6/12,IF(CN4&lt;=EOMONTH(Tenants!$F$6,Inputs!$B$6),0,Tenants!$B$6*Inputs!$B$4*(1+Inputs!$B$5)^(CN$3/12)/12*IF(Tenants!$C$6&lt;1000,0.35,1)))</f>
        <v>2433962.01729288</v>
      </c>
      <c r="CO9" s="0" t="n">
        <f aca="false">IF(CO4&lt;=Tenants!$F$6,Tenants!$B$6*Tenants!$C$6/12,IF(CO4&lt;=EOMONTH(Tenants!$F$6,Inputs!$B$6),0,Tenants!$B$6*Inputs!$B$4*(1+Inputs!$B$5)^(CO$3/12)/12*IF(Tenants!$C$6&lt;1000,0.35,1)))</f>
        <v>2439964.82424306</v>
      </c>
      <c r="CP9" s="0" t="n">
        <f aca="false">IF(CP4&lt;=Tenants!$F$6,Tenants!$B$6*Tenants!$C$6/12,IF(CP4&lt;=EOMONTH(Tenants!$F$6,Inputs!$B$6),0,Tenants!$B$6*Inputs!$B$4*(1+Inputs!$B$5)^(CP$3/12)/12*IF(Tenants!$C$6&lt;1000,0.35,1)))</f>
        <v>2445982.43573458</v>
      </c>
      <c r="CQ9" s="0" t="n">
        <f aca="false">IF(CQ4&lt;=Tenants!$F$6,Tenants!$B$6*Tenants!$C$6/12,IF(CQ4&lt;=EOMONTH(Tenants!$F$6,Inputs!$B$6),0,Tenants!$B$6*Inputs!$B$4*(1+Inputs!$B$5)^(CQ$3/12)/12*IF(Tenants!$C$6&lt;1000,0.35,1)))</f>
        <v>2452014.88827941</v>
      </c>
      <c r="CR9" s="0" t="n">
        <f aca="false">IF(CR4&lt;=Tenants!$F$6,Tenants!$B$6*Tenants!$C$6/12,IF(CR4&lt;=EOMONTH(Tenants!$F$6,Inputs!$B$6),0,Tenants!$B$6*Inputs!$B$4*(1+Inputs!$B$5)^(CR$3/12)/12*IF(Tenants!$C$6&lt;1000,0.35,1)))</f>
        <v>2458062.21847962</v>
      </c>
      <c r="CS9" s="0" t="n">
        <f aca="false">IF(CS4&lt;=Tenants!$F$6,Tenants!$B$6*Tenants!$C$6/12,IF(CS4&lt;=EOMONTH(Tenants!$F$6,Inputs!$B$6),0,Tenants!$B$6*Inputs!$B$4*(1+Inputs!$B$5)^(CS$3/12)/12*IF(Tenants!$C$6&lt;1000,0.35,1)))</f>
        <v>2464124.46302749</v>
      </c>
      <c r="CT9" s="0" t="n">
        <f aca="false">IF(CT4&lt;=Tenants!$F$6,Tenants!$B$6*Tenants!$C$6/12,IF(CT4&lt;=EOMONTH(Tenants!$F$6,Inputs!$B$6),0,Tenants!$B$6*Inputs!$B$4*(1+Inputs!$B$5)^(CT$3/12)/12*IF(Tenants!$C$6&lt;1000,0.35,1)))</f>
        <v>2470201.65870585</v>
      </c>
      <c r="CU9" s="0" t="n">
        <f aca="false">IF(CU4&lt;=Tenants!$F$6,Tenants!$B$6*Tenants!$C$6/12,IF(CU4&lt;=EOMONTH(Tenants!$F$6,Inputs!$B$6),0,Tenants!$B$6*Inputs!$B$4*(1+Inputs!$B$5)^(CU$3/12)/12*IF(Tenants!$C$6&lt;1000,0.35,1)))</f>
        <v>2476293.84238821</v>
      </c>
      <c r="CV9" s="0" t="n">
        <f aca="false">IF(CV4&lt;=Tenants!$F$6,Tenants!$B$6*Tenants!$C$6/12,IF(CV4&lt;=EOMONTH(Tenants!$F$6,Inputs!$B$6),0,Tenants!$B$6*Inputs!$B$4*(1+Inputs!$B$5)^(CV$3/12)/12*IF(Tenants!$C$6&lt;1000,0.35,1)))</f>
        <v>2482401.05103904</v>
      </c>
      <c r="CW9" s="0" t="n">
        <f aca="false">IF(CW4&lt;=Tenants!$F$6,Tenants!$B$6*Tenants!$C$6/12,IF(CW4&lt;=EOMONTH(Tenants!$F$6,Inputs!$B$6),0,Tenants!$B$6*Inputs!$B$4*(1+Inputs!$B$5)^(CW$3/12)/12*IF(Tenants!$C$6&lt;1000,0.35,1)))</f>
        <v>2488523.32171395</v>
      </c>
      <c r="CX9" s="0" t="n">
        <f aca="false">IF(CX4&lt;=Tenants!$F$6,Tenants!$B$6*Tenants!$C$6/12,IF(CX4&lt;=EOMONTH(Tenants!$F$6,Inputs!$B$6),0,Tenants!$B$6*Inputs!$B$4*(1+Inputs!$B$5)^(CX$3/12)/12*IF(Tenants!$C$6&lt;1000,0.35,1)))</f>
        <v>2494660.69155996</v>
      </c>
      <c r="CY9" s="0" t="n">
        <f aca="false">IF(CY4&lt;=Tenants!$F$6,Tenants!$B$6*Tenants!$C$6/12,IF(CY4&lt;=EOMONTH(Tenants!$F$6,Inputs!$B$6),0,Tenants!$B$6*Inputs!$B$4*(1+Inputs!$B$5)^(CY$3/12)/12*IF(Tenants!$C$6&lt;1000,0.35,1)))</f>
        <v>2500813.19781571</v>
      </c>
      <c r="CZ9" s="0" t="n">
        <f aca="false">IF(CZ4&lt;=Tenants!$F$6,Tenants!$B$6*Tenants!$C$6/12,IF(CZ4&lt;=EOMONTH(Tenants!$F$6,Inputs!$B$6),0,Tenants!$B$6*Inputs!$B$4*(1+Inputs!$B$5)^(CZ$3/12)/12*IF(Tenants!$C$6&lt;1000,0.35,1)))</f>
        <v>2506980.87781166</v>
      </c>
      <c r="DA9" s="0" t="n">
        <f aca="false">IF(DA4&lt;=Tenants!$F$6,Tenants!$B$6*Tenants!$C$6/12,IF(DA4&lt;=EOMONTH(Tenants!$F$6,Inputs!$B$6),0,Tenants!$B$6*Inputs!$B$4*(1+Inputs!$B$5)^(DA$3/12)/12*IF(Tenants!$C$6&lt;1000,0.35,1)))</f>
        <v>2513163.76897035</v>
      </c>
      <c r="DB9" s="0" t="n">
        <f aca="false">IF(DB4&lt;=Tenants!$F$6,Tenants!$B$6*Tenants!$C$6/12,IF(DB4&lt;=EOMONTH(Tenants!$F$6,Inputs!$B$6),0,Tenants!$B$6*Inputs!$B$4*(1+Inputs!$B$5)^(DB$3/12)/12*IF(Tenants!$C$6&lt;1000,0.35,1)))</f>
        <v>2519361.90880661</v>
      </c>
      <c r="DC9" s="0" t="n">
        <f aca="false">IF(DC4&lt;=Tenants!$F$6,Tenants!$B$6*Tenants!$C$6/12,IF(DC4&lt;=EOMONTH(Tenants!$F$6,Inputs!$B$6),0,Tenants!$B$6*Inputs!$B$4*(1+Inputs!$B$5)^(DC$3/12)/12*IF(Tenants!$C$6&lt;1000,0.35,1)))</f>
        <v>2525575.3349278</v>
      </c>
      <c r="DD9" s="0" t="n">
        <f aca="false">IF(DD4&lt;=Tenants!$F$6,Tenants!$B$6*Tenants!$C$6/12,IF(DD4&lt;=EOMONTH(Tenants!$F$6,Inputs!$B$6),0,Tenants!$B$6*Inputs!$B$4*(1+Inputs!$B$5)^(DD$3/12)/12*IF(Tenants!$C$6&lt;1000,0.35,1)))</f>
        <v>2531804.085034</v>
      </c>
      <c r="DE9" s="0" t="n">
        <f aca="false">IF(DE4&lt;=Tenants!$F$6,Tenants!$B$6*Tenants!$C$6/12,IF(DE4&lt;=EOMONTH(Tenants!$F$6,Inputs!$B$6),0,Tenants!$B$6*Inputs!$B$4*(1+Inputs!$B$5)^(DE$3/12)/12*IF(Tenants!$C$6&lt;1000,0.35,1)))</f>
        <v>2538048.19691832</v>
      </c>
      <c r="DF9" s="0" t="n">
        <f aca="false">IF(DF4&lt;=Tenants!$F$6,Tenants!$B$6*Tenants!$C$6/12,IF(DF4&lt;=EOMONTH(Tenants!$F$6,Inputs!$B$6),0,Tenants!$B$6*Inputs!$B$4*(1+Inputs!$B$5)^(DF$3/12)/12*IF(Tenants!$C$6&lt;1000,0.35,1)))</f>
        <v>2544307.70846703</v>
      </c>
      <c r="DG9" s="0" t="n">
        <f aca="false">IF(DG4&lt;=Tenants!$F$6,Tenants!$B$6*Tenants!$C$6/12,IF(DG4&lt;=EOMONTH(Tenants!$F$6,Inputs!$B$6),0,Tenants!$B$6*Inputs!$B$4*(1+Inputs!$B$5)^(DG$3/12)/12*IF(Tenants!$C$6&lt;1000,0.35,1)))</f>
        <v>2550582.65765986</v>
      </c>
      <c r="DH9" s="0" t="n">
        <f aca="false">IF(DH4&lt;=Tenants!$F$6,Tenants!$B$6*Tenants!$C$6/12,IF(DH4&lt;=EOMONTH(Tenants!$F$6,Inputs!$B$6),0,Tenants!$B$6*Inputs!$B$4*(1+Inputs!$B$5)^(DH$3/12)/12*IF(Tenants!$C$6&lt;1000,0.35,1)))</f>
        <v>2556873.08257021</v>
      </c>
      <c r="DI9" s="0" t="n">
        <f aca="false">IF(DI4&lt;=Tenants!$F$6,Tenants!$B$6*Tenants!$C$6/12,IF(DI4&lt;=EOMONTH(Tenants!$F$6,Inputs!$B$6),0,Tenants!$B$6*Inputs!$B$4*(1+Inputs!$B$5)^(DI$3/12)/12*IF(Tenants!$C$6&lt;1000,0.35,1)))</f>
        <v>2563179.02136537</v>
      </c>
      <c r="DJ9" s="0" t="n">
        <f aca="false">IF(DJ4&lt;=Tenants!$F$6,Tenants!$B$6*Tenants!$C$6/12,IF(DJ4&lt;=EOMONTH(Tenants!$F$6,Inputs!$B$6),0,Tenants!$B$6*Inputs!$B$4*(1+Inputs!$B$5)^(DJ$3/12)/12*IF(Tenants!$C$6&lt;1000,0.35,1)))</f>
        <v>2569500.51230676</v>
      </c>
      <c r="DK9" s="0" t="n">
        <f aca="false">IF(DK4&lt;=Tenants!$F$6,Tenants!$B$6*Tenants!$C$6/12,IF(DK4&lt;=EOMONTH(Tenants!$F$6,Inputs!$B$6),0,Tenants!$B$6*Inputs!$B$4*(1+Inputs!$B$5)^(DK$3/12)/12*IF(Tenants!$C$6&lt;1000,0.35,1)))</f>
        <v>2575837.59375018</v>
      </c>
      <c r="DL9" s="0" t="n">
        <f aca="false">IF(DL4&lt;=Tenants!$F$6,Tenants!$B$6*Tenants!$C$6/12,IF(DL4&lt;=EOMONTH(Tenants!$F$6,Inputs!$B$6),0,Tenants!$B$6*Inputs!$B$4*(1+Inputs!$B$5)^(DL$3/12)/12*IF(Tenants!$C$6&lt;1000,0.35,1)))</f>
        <v>2582190.30414601</v>
      </c>
      <c r="DM9" s="0" t="n">
        <f aca="false">IF(DM4&lt;=Tenants!$F$6,Tenants!$B$6*Tenants!$C$6/12,IF(DM4&lt;=EOMONTH(Tenants!$F$6,Inputs!$B$6),0,Tenants!$B$6*Inputs!$B$4*(1+Inputs!$B$5)^(DM$3/12)/12*IF(Tenants!$C$6&lt;1000,0.35,1)))</f>
        <v>2588558.68203946</v>
      </c>
      <c r="DN9" s="0" t="n">
        <f aca="false">IF(DN4&lt;=Tenants!$F$6,Tenants!$B$6*Tenants!$C$6/12,IF(DN4&lt;=EOMONTH(Tenants!$F$6,Inputs!$B$6),0,Tenants!$B$6*Inputs!$B$4*(1+Inputs!$B$5)^(DN$3/12)/12*IF(Tenants!$C$6&lt;1000,0.35,1)))</f>
        <v>2594942.76607081</v>
      </c>
      <c r="DO9" s="0" t="n">
        <f aca="false">IF(DO4&lt;=Tenants!$F$6,Tenants!$B$6*Tenants!$C$6/12,IF(DO4&lt;=EOMONTH(Tenants!$F$6,Inputs!$B$6),0,Tenants!$B$6*Inputs!$B$4*(1+Inputs!$B$5)^(DO$3/12)/12*IF(Tenants!$C$6&lt;1000,0.35,1)))</f>
        <v>2601342.59497563</v>
      </c>
      <c r="DP9" s="0" t="n">
        <f aca="false">IF(DP4&lt;=Tenants!$F$6,Tenants!$B$6*Tenants!$C$6/12,IF(DP4&lt;=EOMONTH(Tenants!$F$6,Inputs!$B$6),0,Tenants!$B$6*Inputs!$B$4*(1+Inputs!$B$5)^(DP$3/12)/12*IF(Tenants!$C$6&lt;1000,0.35,1)))</f>
        <v>2607758.20758502</v>
      </c>
      <c r="DQ9" s="0" t="n">
        <f aca="false">IF(DQ4&lt;=Tenants!$F$6,Tenants!$B$6*Tenants!$C$6/12,IF(DQ4&lt;=EOMONTH(Tenants!$F$6,Inputs!$B$6),0,Tenants!$B$6*Inputs!$B$4*(1+Inputs!$B$5)^(DQ$3/12)/12*IF(Tenants!$C$6&lt;1000,0.35,1)))</f>
        <v>2614189.64282587</v>
      </c>
      <c r="DR9" s="0" t="n">
        <f aca="false">IF(DR4&lt;=Tenants!$F$6,Tenants!$B$6*Tenants!$C$6/12,IF(DR4&lt;=EOMONTH(Tenants!$F$6,Inputs!$B$6),0,Tenants!$B$6*Inputs!$B$4*(1+Inputs!$B$5)^(DR$3/12)/12*IF(Tenants!$C$6&lt;1000,0.35,1)))</f>
        <v>2620636.93972104</v>
      </c>
    </row>
    <row r="10" customFormat="false" ht="15" hidden="false" customHeight="false" outlineLevel="0" collapsed="false">
      <c r="A10" s="0" t="s">
        <v>30</v>
      </c>
      <c r="B10" s="0" t="n">
        <f aca="false">0</f>
        <v>0</v>
      </c>
      <c r="C10" s="0" t="n">
        <f aca="false">IF(C4&lt;=Tenants!$F$7,Tenants!$B$7*Tenants!$C$7/12,IF(C4&lt;=EOMONTH(Tenants!$F$7,Inputs!$B$6),0,Tenants!$B$7*Inputs!$B$4*(1+Inputs!$B$5)^(C$3/12)/12*IF(Tenants!$C$7&lt;1000,0.35,1)))</f>
        <v>1150000</v>
      </c>
      <c r="D10" s="0" t="n">
        <f aca="false">IF(D4&lt;=Tenants!$F$7,Tenants!$B$7*Tenants!$C$7/12,IF(D4&lt;=EOMONTH(Tenants!$F$7,Inputs!$B$6),0,Tenants!$B$7*Inputs!$B$4*(1+Inputs!$B$5)^(D$3/12)/12*IF(Tenants!$C$7&lt;1000,0.35,1)))</f>
        <v>1150000</v>
      </c>
      <c r="E10" s="0" t="n">
        <f aca="false">IF(E4&lt;=Tenants!$F$7,Tenants!$B$7*Tenants!$C$7/12,IF(E4&lt;=EOMONTH(Tenants!$F$7,Inputs!$B$6),0,Tenants!$B$7*Inputs!$B$4*(1+Inputs!$B$5)^(E$3/12)/12*IF(Tenants!$C$7&lt;1000,0.35,1)))</f>
        <v>1150000</v>
      </c>
      <c r="F10" s="0" t="n">
        <f aca="false">IF(F4&lt;=Tenants!$F$7,Tenants!$B$7*Tenants!$C$7/12,IF(F4&lt;=EOMONTH(Tenants!$F$7,Inputs!$B$6),0,Tenants!$B$7*Inputs!$B$4*(1+Inputs!$B$5)^(F$3/12)/12*IF(Tenants!$C$7&lt;1000,0.35,1)))</f>
        <v>1150000</v>
      </c>
      <c r="G10" s="0" t="n">
        <f aca="false">IF(G4&lt;=Tenants!$F$7,Tenants!$B$7*Tenants!$C$7/12,IF(G4&lt;=EOMONTH(Tenants!$F$7,Inputs!$B$6),0,Tenants!$B$7*Inputs!$B$4*(1+Inputs!$B$5)^(G$3/12)/12*IF(Tenants!$C$7&lt;1000,0.35,1)))</f>
        <v>1150000</v>
      </c>
      <c r="H10" s="0" t="n">
        <f aca="false">IF(H4&lt;=Tenants!$F$7,Tenants!$B$7*Tenants!$C$7/12,IF(H4&lt;=EOMONTH(Tenants!$F$7,Inputs!$B$6),0,Tenants!$B$7*Inputs!$B$4*(1+Inputs!$B$5)^(H$3/12)/12*IF(Tenants!$C$7&lt;1000,0.35,1)))</f>
        <v>1150000</v>
      </c>
      <c r="I10" s="0" t="n">
        <f aca="false">IF(I4&lt;=Tenants!$F$7,Tenants!$B$7*Tenants!$C$7/12,IF(I4&lt;=EOMONTH(Tenants!$F$7,Inputs!$B$6),0,Tenants!$B$7*Inputs!$B$4*(1+Inputs!$B$5)^(I$3/12)/12*IF(Tenants!$C$7&lt;1000,0.35,1)))</f>
        <v>1150000</v>
      </c>
      <c r="J10" s="0" t="n">
        <f aca="false">IF(J4&lt;=Tenants!$F$7,Tenants!$B$7*Tenants!$C$7/12,IF(J4&lt;=EOMONTH(Tenants!$F$7,Inputs!$B$6),0,Tenants!$B$7*Inputs!$B$4*(1+Inputs!$B$5)^(J$3/12)/12*IF(Tenants!$C$7&lt;1000,0.35,1)))</f>
        <v>1150000</v>
      </c>
      <c r="K10" s="0" t="n">
        <f aca="false">IF(K4&lt;=Tenants!$F$7,Tenants!$B$7*Tenants!$C$7/12,IF(K4&lt;=EOMONTH(Tenants!$F$7,Inputs!$B$6),0,Tenants!$B$7*Inputs!$B$4*(1+Inputs!$B$5)^(K$3/12)/12*IF(Tenants!$C$7&lt;1000,0.35,1)))</f>
        <v>1150000</v>
      </c>
      <c r="L10" s="0" t="n">
        <f aca="false">IF(L4&lt;=Tenants!$F$7,Tenants!$B$7*Tenants!$C$7/12,IF(L4&lt;=EOMONTH(Tenants!$F$7,Inputs!$B$6),0,Tenants!$B$7*Inputs!$B$4*(1+Inputs!$B$5)^(L$3/12)/12*IF(Tenants!$C$7&lt;1000,0.35,1)))</f>
        <v>1150000</v>
      </c>
      <c r="M10" s="0" t="n">
        <f aca="false">IF(M4&lt;=Tenants!$F$7,Tenants!$B$7*Tenants!$C$7/12,IF(M4&lt;=EOMONTH(Tenants!$F$7,Inputs!$B$6),0,Tenants!$B$7*Inputs!$B$4*(1+Inputs!$B$5)^(M$3/12)/12*IF(Tenants!$C$7&lt;1000,0.35,1)))</f>
        <v>1150000</v>
      </c>
      <c r="N10" s="0" t="n">
        <f aca="false">IF(N4&lt;=Tenants!$F$7,Tenants!$B$7*Tenants!$C$7/12,IF(N4&lt;=EOMONTH(Tenants!$F$7,Inputs!$B$6),0,Tenants!$B$7*Inputs!$B$4*(1+Inputs!$B$5)^(N$3/12)/12*IF(Tenants!$C$7&lt;1000,0.35,1)))</f>
        <v>1150000</v>
      </c>
      <c r="O10" s="0" t="n">
        <f aca="false">IF(O4&lt;=Tenants!$F$7,Tenants!$B$7*Tenants!$C$7/12,IF(O4&lt;=EOMONTH(Tenants!$F$7,Inputs!$B$6),0,Tenants!$B$7*Inputs!$B$4*(1+Inputs!$B$5)^(O$3/12)/12*IF(Tenants!$C$7&lt;1000,0.35,1)))</f>
        <v>1150000</v>
      </c>
      <c r="P10" s="0" t="n">
        <f aca="false">IF(P4&lt;=Tenants!$F$7,Tenants!$B$7*Tenants!$C$7/12,IF(P4&lt;=EOMONTH(Tenants!$F$7,Inputs!$B$6),0,Tenants!$B$7*Inputs!$B$4*(1+Inputs!$B$5)^(P$3/12)/12*IF(Tenants!$C$7&lt;1000,0.35,1)))</f>
        <v>1150000</v>
      </c>
      <c r="Q10" s="0" t="n">
        <f aca="false">IF(Q4&lt;=Tenants!$F$7,Tenants!$B$7*Tenants!$C$7/12,IF(Q4&lt;=EOMONTH(Tenants!$F$7,Inputs!$B$6),0,Tenants!$B$7*Inputs!$B$4*(1+Inputs!$B$5)^(Q$3/12)/12*IF(Tenants!$C$7&lt;1000,0.35,1)))</f>
        <v>1150000</v>
      </c>
      <c r="R10" s="0" t="n">
        <f aca="false">IF(R4&lt;=Tenants!$F$7,Tenants!$B$7*Tenants!$C$7/12,IF(R4&lt;=EOMONTH(Tenants!$F$7,Inputs!$B$6),0,Tenants!$B$7*Inputs!$B$4*(1+Inputs!$B$5)^(R$3/12)/12*IF(Tenants!$C$7&lt;1000,0.35,1)))</f>
        <v>1150000</v>
      </c>
      <c r="S10" s="0" t="n">
        <f aca="false">IF(S4&lt;=Tenants!$F$7,Tenants!$B$7*Tenants!$C$7/12,IF(S4&lt;=EOMONTH(Tenants!$F$7,Inputs!$B$6),0,Tenants!$B$7*Inputs!$B$4*(1+Inputs!$B$5)^(S$3/12)/12*IF(Tenants!$C$7&lt;1000,0.35,1)))</f>
        <v>1150000</v>
      </c>
      <c r="T10" s="0" t="n">
        <f aca="false">IF(T4&lt;=Tenants!$F$7,Tenants!$B$7*Tenants!$C$7/12,IF(T4&lt;=EOMONTH(Tenants!$F$7,Inputs!$B$6),0,Tenants!$B$7*Inputs!$B$4*(1+Inputs!$B$5)^(T$3/12)/12*IF(Tenants!$C$7&lt;1000,0.35,1)))</f>
        <v>1150000</v>
      </c>
      <c r="U10" s="0" t="n">
        <f aca="false">IF(U4&lt;=Tenants!$F$7,Tenants!$B$7*Tenants!$C$7/12,IF(U4&lt;=EOMONTH(Tenants!$F$7,Inputs!$B$6),0,Tenants!$B$7*Inputs!$B$4*(1+Inputs!$B$5)^(U$3/12)/12*IF(Tenants!$C$7&lt;1000,0.35,1)))</f>
        <v>1150000</v>
      </c>
      <c r="V10" s="0" t="n">
        <f aca="false">IF(V4&lt;=Tenants!$F$7,Tenants!$B$7*Tenants!$C$7/12,IF(V4&lt;=EOMONTH(Tenants!$F$7,Inputs!$B$6),0,Tenants!$B$7*Inputs!$B$4*(1+Inputs!$B$5)^(V$3/12)/12*IF(Tenants!$C$7&lt;1000,0.35,1)))</f>
        <v>1150000</v>
      </c>
      <c r="W10" s="0" t="n">
        <f aca="false">IF(W4&lt;=Tenants!$F$7,Tenants!$B$7*Tenants!$C$7/12,IF(W4&lt;=EOMONTH(Tenants!$F$7,Inputs!$B$6),0,Tenants!$B$7*Inputs!$B$4*(1+Inputs!$B$5)^(W$3/12)/12*IF(Tenants!$C$7&lt;1000,0.35,1)))</f>
        <v>1150000</v>
      </c>
      <c r="X10" s="0" t="n">
        <f aca="false">IF(X4&lt;=Tenants!$F$7,Tenants!$B$7*Tenants!$C$7/12,IF(X4&lt;=EOMONTH(Tenants!$F$7,Inputs!$B$6),0,Tenants!$B$7*Inputs!$B$4*(1+Inputs!$B$5)^(X$3/12)/12*IF(Tenants!$C$7&lt;1000,0.35,1)))</f>
        <v>1150000</v>
      </c>
      <c r="Y10" s="0" t="n">
        <f aca="false">IF(Y4&lt;=Tenants!$F$7,Tenants!$B$7*Tenants!$C$7/12,IF(Y4&lt;=EOMONTH(Tenants!$F$7,Inputs!$B$6),0,Tenants!$B$7*Inputs!$B$4*(1+Inputs!$B$5)^(Y$3/12)/12*IF(Tenants!$C$7&lt;1000,0.35,1)))</f>
        <v>1150000</v>
      </c>
      <c r="Z10" s="0" t="n">
        <f aca="false">IF(Z4&lt;=Tenants!$F$7,Tenants!$B$7*Tenants!$C$7/12,IF(Z4&lt;=EOMONTH(Tenants!$F$7,Inputs!$B$6),0,Tenants!$B$7*Inputs!$B$4*(1+Inputs!$B$5)^(Z$3/12)/12*IF(Tenants!$C$7&lt;1000,0.35,1)))</f>
        <v>1150000</v>
      </c>
      <c r="AA10" s="0" t="n">
        <f aca="false">IF(AA4&lt;=Tenants!$F$7,Tenants!$B$7*Tenants!$C$7/12,IF(AA4&lt;=EOMONTH(Tenants!$F$7,Inputs!$B$6),0,Tenants!$B$7*Inputs!$B$4*(1+Inputs!$B$5)^(AA$3/12)/12*IF(Tenants!$C$7&lt;1000,0.35,1)))</f>
        <v>1150000</v>
      </c>
      <c r="AB10" s="0" t="n">
        <f aca="false">IF(AB4&lt;=Tenants!$F$7,Tenants!$B$7*Tenants!$C$7/12,IF(AB4&lt;=EOMONTH(Tenants!$F$7,Inputs!$B$6),0,Tenants!$B$7*Inputs!$B$4*(1+Inputs!$B$5)^(AB$3/12)/12*IF(Tenants!$C$7&lt;1000,0.35,1)))</f>
        <v>1150000</v>
      </c>
      <c r="AC10" s="0" t="n">
        <f aca="false">IF(AC4&lt;=Tenants!$F$7,Tenants!$B$7*Tenants!$C$7/12,IF(AC4&lt;=EOMONTH(Tenants!$F$7,Inputs!$B$6),0,Tenants!$B$7*Inputs!$B$4*(1+Inputs!$B$5)^(AC$3/12)/12*IF(Tenants!$C$7&lt;1000,0.35,1)))</f>
        <v>1150000</v>
      </c>
      <c r="AD10" s="0" t="n">
        <f aca="false">IF(AD4&lt;=Tenants!$F$7,Tenants!$B$7*Tenants!$C$7/12,IF(AD4&lt;=EOMONTH(Tenants!$F$7,Inputs!$B$6),0,Tenants!$B$7*Inputs!$B$4*(1+Inputs!$B$5)^(AD$3/12)/12*IF(Tenants!$C$7&lt;1000,0.35,1)))</f>
        <v>1150000</v>
      </c>
      <c r="AE10" s="0" t="n">
        <f aca="false">IF(AE4&lt;=Tenants!$F$7,Tenants!$B$7*Tenants!$C$7/12,IF(AE4&lt;=EOMONTH(Tenants!$F$7,Inputs!$B$6),0,Tenants!$B$7*Inputs!$B$4*(1+Inputs!$B$5)^(AE$3/12)/12*IF(Tenants!$C$7&lt;1000,0.35,1)))</f>
        <v>1150000</v>
      </c>
      <c r="AF10" s="0" t="n">
        <f aca="false">IF(AF4&lt;=Tenants!$F$7,Tenants!$B$7*Tenants!$C$7/12,IF(AF4&lt;=EOMONTH(Tenants!$F$7,Inputs!$B$6),0,Tenants!$B$7*Inputs!$B$4*(1+Inputs!$B$5)^(AF$3/12)/12*IF(Tenants!$C$7&lt;1000,0.35,1)))</f>
        <v>1150000</v>
      </c>
      <c r="AG10" s="0" t="n">
        <f aca="false">IF(AG4&lt;=Tenants!$F$7,Tenants!$B$7*Tenants!$C$7/12,IF(AG4&lt;=EOMONTH(Tenants!$F$7,Inputs!$B$6),0,Tenants!$B$7*Inputs!$B$4*(1+Inputs!$B$5)^(AG$3/12)/12*IF(Tenants!$C$7&lt;1000,0.35,1)))</f>
        <v>1150000</v>
      </c>
      <c r="AH10" s="0" t="n">
        <f aca="false">IF(AH4&lt;=Tenants!$F$7,Tenants!$B$7*Tenants!$C$7/12,IF(AH4&lt;=EOMONTH(Tenants!$F$7,Inputs!$B$6),0,Tenants!$B$7*Inputs!$B$4*(1+Inputs!$B$5)^(AH$3/12)/12*IF(Tenants!$C$7&lt;1000,0.35,1)))</f>
        <v>1150000</v>
      </c>
      <c r="AI10" s="0" t="n">
        <f aca="false">IF(AI4&lt;=Tenants!$F$7,Tenants!$B$7*Tenants!$C$7/12,IF(AI4&lt;=EOMONTH(Tenants!$F$7,Inputs!$B$6),0,Tenants!$B$7*Inputs!$B$4*(1+Inputs!$B$5)^(AI$3/12)/12*IF(Tenants!$C$7&lt;1000,0.35,1)))</f>
        <v>1150000</v>
      </c>
      <c r="AJ10" s="0" t="n">
        <f aca="false">IF(AJ4&lt;=Tenants!$F$7,Tenants!$B$7*Tenants!$C$7/12,IF(AJ4&lt;=EOMONTH(Tenants!$F$7,Inputs!$B$6),0,Tenants!$B$7*Inputs!$B$4*(1+Inputs!$B$5)^(AJ$3/12)/12*IF(Tenants!$C$7&lt;1000,0.35,1)))</f>
        <v>1150000</v>
      </c>
      <c r="AK10" s="0" t="n">
        <f aca="false">IF(AK4&lt;=Tenants!$F$7,Tenants!$B$7*Tenants!$C$7/12,IF(AK4&lt;=EOMONTH(Tenants!$F$7,Inputs!$B$6),0,Tenants!$B$7*Inputs!$B$4*(1+Inputs!$B$5)^(AK$3/12)/12*IF(Tenants!$C$7&lt;1000,0.35,1)))</f>
        <v>1150000</v>
      </c>
      <c r="AL10" s="0" t="n">
        <f aca="false">IF(AL4&lt;=Tenants!$F$7,Tenants!$B$7*Tenants!$C$7/12,IF(AL4&lt;=EOMONTH(Tenants!$F$7,Inputs!$B$6),0,Tenants!$B$7*Inputs!$B$4*(1+Inputs!$B$5)^(AL$3/12)/12*IF(Tenants!$C$7&lt;1000,0.35,1)))</f>
        <v>1150000</v>
      </c>
      <c r="AM10" s="0" t="n">
        <f aca="false">IF(AM4&lt;=Tenants!$F$7,Tenants!$B$7*Tenants!$C$7/12,IF(AM4&lt;=EOMONTH(Tenants!$F$7,Inputs!$B$6),0,Tenants!$B$7*Inputs!$B$4*(1+Inputs!$B$5)^(AM$3/12)/12*IF(Tenants!$C$7&lt;1000,0.35,1)))</f>
        <v>1150000</v>
      </c>
      <c r="AN10" s="0" t="n">
        <f aca="false">IF(AN4&lt;=Tenants!$F$7,Tenants!$B$7*Tenants!$C$7/12,IF(AN4&lt;=EOMONTH(Tenants!$F$7,Inputs!$B$6),0,Tenants!$B$7*Inputs!$B$4*(1+Inputs!$B$5)^(AN$3/12)/12*IF(Tenants!$C$7&lt;1000,0.35,1)))</f>
        <v>1150000</v>
      </c>
      <c r="AO10" s="0" t="n">
        <f aca="false">IF(AO4&lt;=Tenants!$F$7,Tenants!$B$7*Tenants!$C$7/12,IF(AO4&lt;=EOMONTH(Tenants!$F$7,Inputs!$B$6),0,Tenants!$B$7*Inputs!$B$4*(1+Inputs!$B$5)^(AO$3/12)/12*IF(Tenants!$C$7&lt;1000,0.35,1)))</f>
        <v>1150000</v>
      </c>
      <c r="AP10" s="0" t="n">
        <f aca="false">IF(AP4&lt;=Tenants!$F$7,Tenants!$B$7*Tenants!$C$7/12,IF(AP4&lt;=EOMONTH(Tenants!$F$7,Inputs!$B$6),0,Tenants!$B$7*Inputs!$B$4*(1+Inputs!$B$5)^(AP$3/12)/12*IF(Tenants!$C$7&lt;1000,0.35,1)))</f>
        <v>1150000</v>
      </c>
      <c r="AQ10" s="0" t="n">
        <f aca="false">IF(AQ4&lt;=Tenants!$F$7,Tenants!$B$7*Tenants!$C$7/12,IF(AQ4&lt;=EOMONTH(Tenants!$F$7,Inputs!$B$6),0,Tenants!$B$7*Inputs!$B$4*(1+Inputs!$B$5)^(AQ$3/12)/12*IF(Tenants!$C$7&lt;1000,0.35,1)))</f>
        <v>1150000</v>
      </c>
      <c r="AR10" s="0" t="n">
        <f aca="false">IF(AR4&lt;=Tenants!$F$7,Tenants!$B$7*Tenants!$C$7/12,IF(AR4&lt;=EOMONTH(Tenants!$F$7,Inputs!$B$6),0,Tenants!$B$7*Inputs!$B$4*(1+Inputs!$B$5)^(AR$3/12)/12*IF(Tenants!$C$7&lt;1000,0.35,1)))</f>
        <v>1150000</v>
      </c>
      <c r="AS10" s="0" t="n">
        <f aca="false">IF(AS4&lt;=Tenants!$F$7,Tenants!$B$7*Tenants!$C$7/12,IF(AS4&lt;=EOMONTH(Tenants!$F$7,Inputs!$B$6),0,Tenants!$B$7*Inputs!$B$4*(1+Inputs!$B$5)^(AS$3/12)/12*IF(Tenants!$C$7&lt;1000,0.35,1)))</f>
        <v>0</v>
      </c>
      <c r="AT10" s="0" t="n">
        <f aca="false">IF(AT4&lt;=Tenants!$F$7,Tenants!$B$7*Tenants!$C$7/12,IF(AT4&lt;=EOMONTH(Tenants!$F$7,Inputs!$B$6),0,Tenants!$B$7*Inputs!$B$4*(1+Inputs!$B$5)^(AT$3/12)/12*IF(Tenants!$C$7&lt;1000,0.35,1)))</f>
        <v>0</v>
      </c>
      <c r="AU10" s="0" t="n">
        <f aca="false">IF(AU4&lt;=Tenants!$F$7,Tenants!$B$7*Tenants!$C$7/12,IF(AU4&lt;=EOMONTH(Tenants!$F$7,Inputs!$B$6),0,Tenants!$B$7*Inputs!$B$4*(1+Inputs!$B$5)^(AU$3/12)/12*IF(Tenants!$C$7&lt;1000,0.35,1)))</f>
        <v>0</v>
      </c>
      <c r="AV10" s="0" t="n">
        <f aca="false">IF(AV4&lt;=Tenants!$F$7,Tenants!$B$7*Tenants!$C$7/12,IF(AV4&lt;=EOMONTH(Tenants!$F$7,Inputs!$B$6),0,Tenants!$B$7*Inputs!$B$4*(1+Inputs!$B$5)^(AV$3/12)/12*IF(Tenants!$C$7&lt;1000,0.35,1)))</f>
        <v>0</v>
      </c>
      <c r="AW10" s="0" t="n">
        <f aca="false">IF(AW4&lt;=Tenants!$F$7,Tenants!$B$7*Tenants!$C$7/12,IF(AW4&lt;=EOMONTH(Tenants!$F$7,Inputs!$B$6),0,Tenants!$B$7*Inputs!$B$4*(1+Inputs!$B$5)^(AW$3/12)/12*IF(Tenants!$C$7&lt;1000,0.35,1)))</f>
        <v>0</v>
      </c>
      <c r="AX10" s="0" t="n">
        <f aca="false">IF(AX4&lt;=Tenants!$F$7,Tenants!$B$7*Tenants!$C$7/12,IF(AX4&lt;=EOMONTH(Tenants!$F$7,Inputs!$B$6),0,Tenants!$B$7*Inputs!$B$4*(1+Inputs!$B$5)^(AX$3/12)/12*IF(Tenants!$C$7&lt;1000,0.35,1)))</f>
        <v>0</v>
      </c>
      <c r="AY10" s="0" t="n">
        <f aca="false">IF(AY4&lt;=Tenants!$F$7,Tenants!$B$7*Tenants!$C$7/12,IF(AY4&lt;=EOMONTH(Tenants!$F$7,Inputs!$B$6),0,Tenants!$B$7*Inputs!$B$4*(1+Inputs!$B$5)^(AY$3/12)/12*IF(Tenants!$C$7&lt;1000,0.35,1)))</f>
        <v>1466770.00386353</v>
      </c>
      <c r="AZ10" s="0" t="n">
        <f aca="false">IF(AZ4&lt;=Tenants!$F$7,Tenants!$B$7*Tenants!$C$7/12,IF(AZ4&lt;=EOMONTH(Tenants!$F$7,Inputs!$B$6),0,Tenants!$B$7*Inputs!$B$4*(1+Inputs!$B$5)^(AZ$3/12)/12*IF(Tenants!$C$7&lt;1000,0.35,1)))</f>
        <v>1470387.45438698</v>
      </c>
      <c r="BA10" s="0" t="n">
        <f aca="false">IF(BA4&lt;=Tenants!$F$7,Tenants!$B$7*Tenants!$C$7/12,IF(BA4&lt;=EOMONTH(Tenants!$F$7,Inputs!$B$6),0,Tenants!$B$7*Inputs!$B$4*(1+Inputs!$B$5)^(BA$3/12)/12*IF(Tenants!$C$7&lt;1000,0.35,1)))</f>
        <v>1474013.82651931</v>
      </c>
      <c r="BB10" s="0" t="n">
        <f aca="false">IF(BB4&lt;=Tenants!$F$7,Tenants!$B$7*Tenants!$C$7/12,IF(BB4&lt;=EOMONTH(Tenants!$F$7,Inputs!$B$6),0,Tenants!$B$7*Inputs!$B$4*(1+Inputs!$B$5)^(BB$3/12)/12*IF(Tenants!$C$7&lt;1000,0.35,1)))</f>
        <v>1477649.14226362</v>
      </c>
      <c r="BC10" s="0" t="n">
        <f aca="false">IF(BC4&lt;=Tenants!$F$7,Tenants!$B$7*Tenants!$C$7/12,IF(BC4&lt;=EOMONTH(Tenants!$F$7,Inputs!$B$6),0,Tenants!$B$7*Inputs!$B$4*(1+Inputs!$B$5)^(BC$3/12)/12*IF(Tenants!$C$7&lt;1000,0.35,1)))</f>
        <v>1481293.42367725</v>
      </c>
      <c r="BD10" s="0" t="n">
        <f aca="false">IF(BD4&lt;=Tenants!$F$7,Tenants!$B$7*Tenants!$C$7/12,IF(BD4&lt;=EOMONTH(Tenants!$F$7,Inputs!$B$6),0,Tenants!$B$7*Inputs!$B$4*(1+Inputs!$B$5)^(BD$3/12)/12*IF(Tenants!$C$7&lt;1000,0.35,1)))</f>
        <v>1484946.69287198</v>
      </c>
      <c r="BE10" s="0" t="n">
        <f aca="false">IF(BE4&lt;=Tenants!$F$7,Tenants!$B$7*Tenants!$C$7/12,IF(BE4&lt;=EOMONTH(Tenants!$F$7,Inputs!$B$6),0,Tenants!$B$7*Inputs!$B$4*(1+Inputs!$B$5)^(BE$3/12)/12*IF(Tenants!$C$7&lt;1000,0.35,1)))</f>
        <v>1488608.97201409</v>
      </c>
      <c r="BF10" s="0" t="n">
        <f aca="false">IF(BF4&lt;=Tenants!$F$7,Tenants!$B$7*Tenants!$C$7/12,IF(BF4&lt;=EOMONTH(Tenants!$F$7,Inputs!$B$6),0,Tenants!$B$7*Inputs!$B$4*(1+Inputs!$B$5)^(BF$3/12)/12*IF(Tenants!$C$7&lt;1000,0.35,1)))</f>
        <v>1492280.28332455</v>
      </c>
      <c r="BG10" s="0" t="n">
        <f aca="false">IF(BG4&lt;=Tenants!$F$7,Tenants!$B$7*Tenants!$C$7/12,IF(BG4&lt;=EOMONTH(Tenants!$F$7,Inputs!$B$6),0,Tenants!$B$7*Inputs!$B$4*(1+Inputs!$B$5)^(BG$3/12)/12*IF(Tenants!$C$7&lt;1000,0.35,1)))</f>
        <v>1495960.64907912</v>
      </c>
      <c r="BH10" s="0" t="n">
        <f aca="false">IF(BH4&lt;=Tenants!$F$7,Tenants!$B$7*Tenants!$C$7/12,IF(BH4&lt;=EOMONTH(Tenants!$F$7,Inputs!$B$6),0,Tenants!$B$7*Inputs!$B$4*(1+Inputs!$B$5)^(BH$3/12)/12*IF(Tenants!$C$7&lt;1000,0.35,1)))</f>
        <v>1499650.0916085</v>
      </c>
      <c r="BI10" s="0" t="n">
        <f aca="false">IF(BI4&lt;=Tenants!$F$7,Tenants!$B$7*Tenants!$C$7/12,IF(BI4&lt;=EOMONTH(Tenants!$F$7,Inputs!$B$6),0,Tenants!$B$7*Inputs!$B$4*(1+Inputs!$B$5)^(BI$3/12)/12*IF(Tenants!$C$7&lt;1000,0.35,1)))</f>
        <v>1503348.63329846</v>
      </c>
      <c r="BJ10" s="0" t="n">
        <f aca="false">IF(BJ4&lt;=Tenants!$F$7,Tenants!$B$7*Tenants!$C$7/12,IF(BJ4&lt;=EOMONTH(Tenants!$F$7,Inputs!$B$6),0,Tenants!$B$7*Inputs!$B$4*(1+Inputs!$B$5)^(BJ$3/12)/12*IF(Tenants!$C$7&lt;1000,0.35,1)))</f>
        <v>1507056.29659</v>
      </c>
      <c r="BK10" s="0" t="n">
        <f aca="false">IF(BK4&lt;=Tenants!$F$7,Tenants!$B$7*Tenants!$C$7/12,IF(BK4&lt;=EOMONTH(Tenants!$F$7,Inputs!$B$6),0,Tenants!$B$7*Inputs!$B$4*(1+Inputs!$B$5)^(BK$3/12)/12*IF(Tenants!$C$7&lt;1000,0.35,1)))</f>
        <v>1510773.10397944</v>
      </c>
      <c r="BL10" s="0" t="n">
        <f aca="false">IF(BL4&lt;=Tenants!$F$7,Tenants!$B$7*Tenants!$C$7/12,IF(BL4&lt;=EOMONTH(Tenants!$F$7,Inputs!$B$6),0,Tenants!$B$7*Inputs!$B$4*(1+Inputs!$B$5)^(BL$3/12)/12*IF(Tenants!$C$7&lt;1000,0.35,1)))</f>
        <v>1514499.07801859</v>
      </c>
      <c r="BM10" s="0" t="n">
        <f aca="false">IF(BM4&lt;=Tenants!$F$7,Tenants!$B$7*Tenants!$C$7/12,IF(BM4&lt;=EOMONTH(Tenants!$F$7,Inputs!$B$6),0,Tenants!$B$7*Inputs!$B$4*(1+Inputs!$B$5)^(BM$3/12)/12*IF(Tenants!$C$7&lt;1000,0.35,1)))</f>
        <v>1518234.24131489</v>
      </c>
      <c r="BN10" s="0" t="n">
        <f aca="false">IF(BN4&lt;=Tenants!$F$7,Tenants!$B$7*Tenants!$C$7/12,IF(BN4&lt;=EOMONTH(Tenants!$F$7,Inputs!$B$6),0,Tenants!$B$7*Inputs!$B$4*(1+Inputs!$B$5)^(BN$3/12)/12*IF(Tenants!$C$7&lt;1000,0.35,1)))</f>
        <v>1521978.61653152</v>
      </c>
      <c r="BO10" s="0" t="n">
        <f aca="false">IF(BO4&lt;=Tenants!$F$7,Tenants!$B$7*Tenants!$C$7/12,IF(BO4&lt;=EOMONTH(Tenants!$F$7,Inputs!$B$6),0,Tenants!$B$7*Inputs!$B$4*(1+Inputs!$B$5)^(BO$3/12)/12*IF(Tenants!$C$7&lt;1000,0.35,1)))</f>
        <v>1525732.22638757</v>
      </c>
      <c r="BP10" s="0" t="n">
        <f aca="false">IF(BP4&lt;=Tenants!$F$7,Tenants!$B$7*Tenants!$C$7/12,IF(BP4&lt;=EOMONTH(Tenants!$F$7,Inputs!$B$6),0,Tenants!$B$7*Inputs!$B$4*(1+Inputs!$B$5)^(BP$3/12)/12*IF(Tenants!$C$7&lt;1000,0.35,1)))</f>
        <v>1529495.09365814</v>
      </c>
      <c r="BQ10" s="0" t="n">
        <f aca="false">IF(BQ4&lt;=Tenants!$F$7,Tenants!$B$7*Tenants!$C$7/12,IF(BQ4&lt;=EOMONTH(Tenants!$F$7,Inputs!$B$6),0,Tenants!$B$7*Inputs!$B$4*(1+Inputs!$B$5)^(BQ$3/12)/12*IF(Tenants!$C$7&lt;1000,0.35,1)))</f>
        <v>1533267.24117451</v>
      </c>
      <c r="BR10" s="0" t="n">
        <f aca="false">IF(BR4&lt;=Tenants!$F$7,Tenants!$B$7*Tenants!$C$7/12,IF(BR4&lt;=EOMONTH(Tenants!$F$7,Inputs!$B$6),0,Tenants!$B$7*Inputs!$B$4*(1+Inputs!$B$5)^(BR$3/12)/12*IF(Tenants!$C$7&lt;1000,0.35,1)))</f>
        <v>1537048.69182429</v>
      </c>
      <c r="BS10" s="0" t="n">
        <f aca="false">IF(BS4&lt;=Tenants!$F$7,Tenants!$B$7*Tenants!$C$7/12,IF(BS4&lt;=EOMONTH(Tenants!$F$7,Inputs!$B$6),0,Tenants!$B$7*Inputs!$B$4*(1+Inputs!$B$5)^(BS$3/12)/12*IF(Tenants!$C$7&lt;1000,0.35,1)))</f>
        <v>1540839.46855149</v>
      </c>
      <c r="BT10" s="0" t="n">
        <f aca="false">IF(BT4&lt;=Tenants!$F$7,Tenants!$B$7*Tenants!$C$7/12,IF(BT4&lt;=EOMONTH(Tenants!$F$7,Inputs!$B$6),0,Tenants!$B$7*Inputs!$B$4*(1+Inputs!$B$5)^(BT$3/12)/12*IF(Tenants!$C$7&lt;1000,0.35,1)))</f>
        <v>1544639.59435675</v>
      </c>
      <c r="BU10" s="0" t="n">
        <f aca="false">IF(BU4&lt;=Tenants!$F$7,Tenants!$B$7*Tenants!$C$7/12,IF(BU4&lt;=EOMONTH(Tenants!$F$7,Inputs!$B$6),0,Tenants!$B$7*Inputs!$B$4*(1+Inputs!$B$5)^(BU$3/12)/12*IF(Tenants!$C$7&lt;1000,0.35,1)))</f>
        <v>1548449.09229742</v>
      </c>
      <c r="BV10" s="0" t="n">
        <f aca="false">IF(BV4&lt;=Tenants!$F$7,Tenants!$B$7*Tenants!$C$7/12,IF(BV4&lt;=EOMONTH(Tenants!$F$7,Inputs!$B$6),0,Tenants!$B$7*Inputs!$B$4*(1+Inputs!$B$5)^(BV$3/12)/12*IF(Tenants!$C$7&lt;1000,0.35,1)))</f>
        <v>1552267.9854877</v>
      </c>
      <c r="BW10" s="0" t="n">
        <f aca="false">IF(BW4&lt;=Tenants!$F$7,Tenants!$B$7*Tenants!$C$7/12,IF(BW4&lt;=EOMONTH(Tenants!$F$7,Inputs!$B$6),0,Tenants!$B$7*Inputs!$B$4*(1+Inputs!$B$5)^(BW$3/12)/12*IF(Tenants!$C$7&lt;1000,0.35,1)))</f>
        <v>1556096.29709882</v>
      </c>
      <c r="BX10" s="0" t="n">
        <f aca="false">IF(BX4&lt;=Tenants!$F$7,Tenants!$B$7*Tenants!$C$7/12,IF(BX4&lt;=EOMONTH(Tenants!$F$7,Inputs!$B$6),0,Tenants!$B$7*Inputs!$B$4*(1+Inputs!$B$5)^(BX$3/12)/12*IF(Tenants!$C$7&lt;1000,0.35,1)))</f>
        <v>1559934.05035915</v>
      </c>
      <c r="BY10" s="0" t="n">
        <f aca="false">IF(BY4&lt;=Tenants!$F$7,Tenants!$B$7*Tenants!$C$7/12,IF(BY4&lt;=EOMONTH(Tenants!$F$7,Inputs!$B$6),0,Tenants!$B$7*Inputs!$B$4*(1+Inputs!$B$5)^(BY$3/12)/12*IF(Tenants!$C$7&lt;1000,0.35,1)))</f>
        <v>1563781.26855434</v>
      </c>
      <c r="BZ10" s="0" t="n">
        <f aca="false">IF(BZ4&lt;=Tenants!$F$7,Tenants!$B$7*Tenants!$C$7/12,IF(BZ4&lt;=EOMONTH(Tenants!$F$7,Inputs!$B$6),0,Tenants!$B$7*Inputs!$B$4*(1+Inputs!$B$5)^(BZ$3/12)/12*IF(Tenants!$C$7&lt;1000,0.35,1)))</f>
        <v>1567637.97502747</v>
      </c>
      <c r="CA10" s="0" t="n">
        <f aca="false">IF(CA4&lt;=Tenants!$F$7,Tenants!$B$7*Tenants!$C$7/12,IF(CA4&lt;=EOMONTH(Tenants!$F$7,Inputs!$B$6),0,Tenants!$B$7*Inputs!$B$4*(1+Inputs!$B$5)^(CA$3/12)/12*IF(Tenants!$C$7&lt;1000,0.35,1)))</f>
        <v>1571504.1931792</v>
      </c>
      <c r="CB10" s="0" t="n">
        <f aca="false">IF(CB4&lt;=Tenants!$F$7,Tenants!$B$7*Tenants!$C$7/12,IF(CB4&lt;=EOMONTH(Tenants!$F$7,Inputs!$B$6),0,Tenants!$B$7*Inputs!$B$4*(1+Inputs!$B$5)^(CB$3/12)/12*IF(Tenants!$C$7&lt;1000,0.35,1)))</f>
        <v>1575379.94646788</v>
      </c>
      <c r="CC10" s="0" t="n">
        <f aca="false">IF(CC4&lt;=Tenants!$F$7,Tenants!$B$7*Tenants!$C$7/12,IF(CC4&lt;=EOMONTH(Tenants!$F$7,Inputs!$B$6),0,Tenants!$B$7*Inputs!$B$4*(1+Inputs!$B$5)^(CC$3/12)/12*IF(Tenants!$C$7&lt;1000,0.35,1)))</f>
        <v>1579265.25840975</v>
      </c>
      <c r="CD10" s="0" t="n">
        <f aca="false">IF(CD4&lt;=Tenants!$F$7,Tenants!$B$7*Tenants!$C$7/12,IF(CD4&lt;=EOMONTH(Tenants!$F$7,Inputs!$B$6),0,Tenants!$B$7*Inputs!$B$4*(1+Inputs!$B$5)^(CD$3/12)/12*IF(Tenants!$C$7&lt;1000,0.35,1)))</f>
        <v>1583160.15257901</v>
      </c>
      <c r="CE10" s="0" t="n">
        <f aca="false">IF(CE4&lt;=Tenants!$F$7,Tenants!$B$7*Tenants!$C$7/12,IF(CE4&lt;=EOMONTH(Tenants!$F$7,Inputs!$B$6),0,Tenants!$B$7*Inputs!$B$4*(1+Inputs!$B$5)^(CE$3/12)/12*IF(Tenants!$C$7&lt;1000,0.35,1)))</f>
        <v>1587064.65260803</v>
      </c>
      <c r="CF10" s="0" t="n">
        <f aca="false">IF(CF4&lt;=Tenants!$F$7,Tenants!$B$7*Tenants!$C$7/12,IF(CF4&lt;=EOMONTH(Tenants!$F$7,Inputs!$B$6),0,Tenants!$B$7*Inputs!$B$4*(1+Inputs!$B$5)^(CF$3/12)/12*IF(Tenants!$C$7&lt;1000,0.35,1)))</f>
        <v>1590978.78218745</v>
      </c>
      <c r="CG10" s="0" t="n">
        <f aca="false">IF(CG4&lt;=Tenants!$F$7,Tenants!$B$7*Tenants!$C$7/12,IF(CG4&lt;=EOMONTH(Tenants!$F$7,Inputs!$B$6),0,Tenants!$B$7*Inputs!$B$4*(1+Inputs!$B$5)^(CG$3/12)/12*IF(Tenants!$C$7&lt;1000,0.35,1)))</f>
        <v>1594902.56506634</v>
      </c>
      <c r="CH10" s="0" t="n">
        <f aca="false">IF(CH4&lt;=Tenants!$F$7,Tenants!$B$7*Tenants!$C$7/12,IF(CH4&lt;=EOMONTH(Tenants!$F$7,Inputs!$B$6),0,Tenants!$B$7*Inputs!$B$4*(1+Inputs!$B$5)^(CH$3/12)/12*IF(Tenants!$C$7&lt;1000,0.35,1)))</f>
        <v>1598836.02505233</v>
      </c>
      <c r="CI10" s="0" t="n">
        <f aca="false">IF(CI4&lt;=Tenants!$F$7,Tenants!$B$7*Tenants!$C$7/12,IF(CI4&lt;=EOMONTH(Tenants!$F$7,Inputs!$B$6),0,Tenants!$B$7*Inputs!$B$4*(1+Inputs!$B$5)^(CI$3/12)/12*IF(Tenants!$C$7&lt;1000,0.35,1)))</f>
        <v>1602779.18601179</v>
      </c>
      <c r="CJ10" s="0" t="n">
        <f aca="false">IF(CJ4&lt;=Tenants!$F$7,Tenants!$B$7*Tenants!$C$7/12,IF(CJ4&lt;=EOMONTH(Tenants!$F$7,Inputs!$B$6),0,Tenants!$B$7*Inputs!$B$4*(1+Inputs!$B$5)^(CJ$3/12)/12*IF(Tenants!$C$7&lt;1000,0.35,1)))</f>
        <v>1606732.07186993</v>
      </c>
      <c r="CK10" s="0" t="n">
        <f aca="false">IF(CK4&lt;=Tenants!$F$7,Tenants!$B$7*Tenants!$C$7/12,IF(CK4&lt;=EOMONTH(Tenants!$F$7,Inputs!$B$6),0,Tenants!$B$7*Inputs!$B$4*(1+Inputs!$B$5)^(CK$3/12)/12*IF(Tenants!$C$7&lt;1000,0.35,1)))</f>
        <v>1610694.70661097</v>
      </c>
      <c r="CL10" s="0" t="n">
        <f aca="false">IF(CL4&lt;=Tenants!$F$7,Tenants!$B$7*Tenants!$C$7/12,IF(CL4&lt;=EOMONTH(Tenants!$F$7,Inputs!$B$6),0,Tenants!$B$7*Inputs!$B$4*(1+Inputs!$B$5)^(CL$3/12)/12*IF(Tenants!$C$7&lt;1000,0.35,1)))</f>
        <v>1614667.11427829</v>
      </c>
      <c r="CM10" s="0" t="n">
        <f aca="false">IF(CM4&lt;=Tenants!$F$7,Tenants!$B$7*Tenants!$C$7/12,IF(CM4&lt;=EOMONTH(Tenants!$F$7,Inputs!$B$6),0,Tenants!$B$7*Inputs!$B$4*(1+Inputs!$B$5)^(CM$3/12)/12*IF(Tenants!$C$7&lt;1000,0.35,1)))</f>
        <v>1618649.31897457</v>
      </c>
      <c r="CN10" s="0" t="n">
        <f aca="false">IF(CN4&lt;=Tenants!$F$7,Tenants!$B$7*Tenants!$C$7/12,IF(CN4&lt;=EOMONTH(Tenants!$F$7,Inputs!$B$6),0,Tenants!$B$7*Inputs!$B$4*(1+Inputs!$B$5)^(CN$3/12)/12*IF(Tenants!$C$7&lt;1000,0.35,1)))</f>
        <v>1622641.34486192</v>
      </c>
      <c r="CO10" s="0" t="n">
        <f aca="false">IF(CO4&lt;=Tenants!$F$7,Tenants!$B$7*Tenants!$C$7/12,IF(CO4&lt;=EOMONTH(Tenants!$F$7,Inputs!$B$6),0,Tenants!$B$7*Inputs!$B$4*(1+Inputs!$B$5)^(CO$3/12)/12*IF(Tenants!$C$7&lt;1000,0.35,1)))</f>
        <v>1626643.21616204</v>
      </c>
      <c r="CP10" s="0" t="n">
        <f aca="false">IF(CP4&lt;=Tenants!$F$7,Tenants!$B$7*Tenants!$C$7/12,IF(CP4&lt;=EOMONTH(Tenants!$F$7,Inputs!$B$6),0,Tenants!$B$7*Inputs!$B$4*(1+Inputs!$B$5)^(CP$3/12)/12*IF(Tenants!$C$7&lt;1000,0.35,1)))</f>
        <v>1630654.95715638</v>
      </c>
      <c r="CQ10" s="0" t="n">
        <f aca="false">IF(CQ4&lt;=Tenants!$F$7,Tenants!$B$7*Tenants!$C$7/12,IF(CQ4&lt;=EOMONTH(Tenants!$F$7,Inputs!$B$6),0,Tenants!$B$7*Inputs!$B$4*(1+Inputs!$B$5)^(CQ$3/12)/12*IF(Tenants!$C$7&lt;1000,0.35,1)))</f>
        <v>1634676.59218628</v>
      </c>
      <c r="CR10" s="0" t="n">
        <f aca="false">IF(CR4&lt;=Tenants!$F$7,Tenants!$B$7*Tenants!$C$7/12,IF(CR4&lt;=EOMONTH(Tenants!$F$7,Inputs!$B$6),0,Tenants!$B$7*Inputs!$B$4*(1+Inputs!$B$5)^(CR$3/12)/12*IF(Tenants!$C$7&lt;1000,0.35,1)))</f>
        <v>1638708.14565308</v>
      </c>
      <c r="CS10" s="0" t="n">
        <f aca="false">IF(CS4&lt;=Tenants!$F$7,Tenants!$B$7*Tenants!$C$7/12,IF(CS4&lt;=EOMONTH(Tenants!$F$7,Inputs!$B$6),0,Tenants!$B$7*Inputs!$B$4*(1+Inputs!$B$5)^(CS$3/12)/12*IF(Tenants!$C$7&lt;1000,0.35,1)))</f>
        <v>1642749.64201833</v>
      </c>
      <c r="CT10" s="0" t="n">
        <f aca="false">IF(CT4&lt;=Tenants!$F$7,Tenants!$B$7*Tenants!$C$7/12,IF(CT4&lt;=EOMONTH(Tenants!$F$7,Inputs!$B$6),0,Tenants!$B$7*Inputs!$B$4*(1+Inputs!$B$5)^(CT$3/12)/12*IF(Tenants!$C$7&lt;1000,0.35,1)))</f>
        <v>1646801.1058039</v>
      </c>
      <c r="CU10" s="0" t="n">
        <f aca="false">IF(CU4&lt;=Tenants!$F$7,Tenants!$B$7*Tenants!$C$7/12,IF(CU4&lt;=EOMONTH(Tenants!$F$7,Inputs!$B$6),0,Tenants!$B$7*Inputs!$B$4*(1+Inputs!$B$5)^(CU$3/12)/12*IF(Tenants!$C$7&lt;1000,0.35,1)))</f>
        <v>1650862.56159214</v>
      </c>
      <c r="CV10" s="0" t="n">
        <f aca="false">IF(CV4&lt;=Tenants!$F$7,Tenants!$B$7*Tenants!$C$7/12,IF(CV4&lt;=EOMONTH(Tenants!$F$7,Inputs!$B$6),0,Tenants!$B$7*Inputs!$B$4*(1+Inputs!$B$5)^(CV$3/12)/12*IF(Tenants!$C$7&lt;1000,0.35,1)))</f>
        <v>1654934.03402602</v>
      </c>
      <c r="CW10" s="0" t="n">
        <f aca="false">IF(CW4&lt;=Tenants!$F$7,Tenants!$B$7*Tenants!$C$7/12,IF(CW4&lt;=EOMONTH(Tenants!$F$7,Inputs!$B$6),0,Tenants!$B$7*Inputs!$B$4*(1+Inputs!$B$5)^(CW$3/12)/12*IF(Tenants!$C$7&lt;1000,0.35,1)))</f>
        <v>1659015.5478093</v>
      </c>
      <c r="CX10" s="0" t="n">
        <f aca="false">IF(CX4&lt;=Tenants!$F$7,Tenants!$B$7*Tenants!$C$7/12,IF(CX4&lt;=EOMONTH(Tenants!$F$7,Inputs!$B$6),0,Tenants!$B$7*Inputs!$B$4*(1+Inputs!$B$5)^(CX$3/12)/12*IF(Tenants!$C$7&lt;1000,0.35,1)))</f>
        <v>1663107.12770664</v>
      </c>
      <c r="CY10" s="0" t="n">
        <f aca="false">IF(CY4&lt;=Tenants!$F$7,Tenants!$B$7*Tenants!$C$7/12,IF(CY4&lt;=EOMONTH(Tenants!$F$7,Inputs!$B$6),0,Tenants!$B$7*Inputs!$B$4*(1+Inputs!$B$5)^(CY$3/12)/12*IF(Tenants!$C$7&lt;1000,0.35,1)))</f>
        <v>1667208.79854381</v>
      </c>
      <c r="CZ10" s="0" t="n">
        <f aca="false">IF(CZ4&lt;=Tenants!$F$7,Tenants!$B$7*Tenants!$C$7/12,IF(CZ4&lt;=EOMONTH(Tenants!$F$7,Inputs!$B$6),0,Tenants!$B$7*Inputs!$B$4*(1+Inputs!$B$5)^(CZ$3/12)/12*IF(Tenants!$C$7&lt;1000,0.35,1)))</f>
        <v>1671320.58520778</v>
      </c>
      <c r="DA10" s="0" t="n">
        <f aca="false">IF(DA4&lt;=Tenants!$F$7,Tenants!$B$7*Tenants!$C$7/12,IF(DA4&lt;=EOMONTH(Tenants!$F$7,Inputs!$B$6),0,Tenants!$B$7*Inputs!$B$4*(1+Inputs!$B$5)^(DA$3/12)/12*IF(Tenants!$C$7&lt;1000,0.35,1)))</f>
        <v>1675442.5126469</v>
      </c>
      <c r="DB10" s="0" t="n">
        <f aca="false">IF(DB4&lt;=Tenants!$F$7,Tenants!$B$7*Tenants!$C$7/12,IF(DB4&lt;=EOMONTH(Tenants!$F$7,Inputs!$B$6),0,Tenants!$B$7*Inputs!$B$4*(1+Inputs!$B$5)^(DB$3/12)/12*IF(Tenants!$C$7&lt;1000,0.35,1)))</f>
        <v>1679574.60587108</v>
      </c>
      <c r="DC10" s="0" t="n">
        <f aca="false">IF(DC4&lt;=Tenants!$F$7,Tenants!$B$7*Tenants!$C$7/12,IF(DC4&lt;=EOMONTH(Tenants!$F$7,Inputs!$B$6),0,Tenants!$B$7*Inputs!$B$4*(1+Inputs!$B$5)^(DC$3/12)/12*IF(Tenants!$C$7&lt;1000,0.35,1)))</f>
        <v>1683716.88995186</v>
      </c>
      <c r="DD10" s="0" t="n">
        <f aca="false">IF(DD4&lt;=Tenants!$F$7,Tenants!$B$7*Tenants!$C$7/12,IF(DD4&lt;=EOMONTH(Tenants!$F$7,Inputs!$B$6),0,Tenants!$B$7*Inputs!$B$4*(1+Inputs!$B$5)^(DD$3/12)/12*IF(Tenants!$C$7&lt;1000,0.35,1)))</f>
        <v>1687869.39002267</v>
      </c>
      <c r="DE10" s="0" t="n">
        <f aca="false">IF(DE4&lt;=Tenants!$F$7,Tenants!$B$7*Tenants!$C$7/12,IF(DE4&lt;=EOMONTH(Tenants!$F$7,Inputs!$B$6),0,Tenants!$B$7*Inputs!$B$4*(1+Inputs!$B$5)^(DE$3/12)/12*IF(Tenants!$C$7&lt;1000,0.35,1)))</f>
        <v>1692032.13127888</v>
      </c>
      <c r="DF10" s="0" t="n">
        <f aca="false">IF(DF4&lt;=Tenants!$F$7,Tenants!$B$7*Tenants!$C$7/12,IF(DF4&lt;=EOMONTH(Tenants!$F$7,Inputs!$B$6),0,Tenants!$B$7*Inputs!$B$4*(1+Inputs!$B$5)^(DF$3/12)/12*IF(Tenants!$C$7&lt;1000,0.35,1)))</f>
        <v>1696205.13897802</v>
      </c>
      <c r="DG10" s="0" t="n">
        <f aca="false">IF(DG4&lt;=Tenants!$F$7,Tenants!$B$7*Tenants!$C$7/12,IF(DG4&lt;=EOMONTH(Tenants!$F$7,Inputs!$B$6),0,Tenants!$B$7*Inputs!$B$4*(1+Inputs!$B$5)^(DG$3/12)/12*IF(Tenants!$C$7&lt;1000,0.35,1)))</f>
        <v>1700388.43843991</v>
      </c>
      <c r="DH10" s="0" t="n">
        <f aca="false">IF(DH4&lt;=Tenants!$F$7,Tenants!$B$7*Tenants!$C$7/12,IF(DH4&lt;=EOMONTH(Tenants!$F$7,Inputs!$B$6),0,Tenants!$B$7*Inputs!$B$4*(1+Inputs!$B$5)^(DH$3/12)/12*IF(Tenants!$C$7&lt;1000,0.35,1)))</f>
        <v>1704582.0550468</v>
      </c>
      <c r="DI10" s="0" t="n">
        <f aca="false">IF(DI4&lt;=Tenants!$F$7,Tenants!$B$7*Tenants!$C$7/12,IF(DI4&lt;=EOMONTH(Tenants!$F$7,Inputs!$B$6),0,Tenants!$B$7*Inputs!$B$4*(1+Inputs!$B$5)^(DI$3/12)/12*IF(Tenants!$C$7&lt;1000,0.35,1)))</f>
        <v>1708786.01424358</v>
      </c>
      <c r="DJ10" s="0" t="n">
        <f aca="false">IF(DJ4&lt;=Tenants!$F$7,Tenants!$B$7*Tenants!$C$7/12,IF(DJ4&lt;=EOMONTH(Tenants!$F$7,Inputs!$B$6),0,Tenants!$B$7*Inputs!$B$4*(1+Inputs!$B$5)^(DJ$3/12)/12*IF(Tenants!$C$7&lt;1000,0.35,1)))</f>
        <v>1713000.34153784</v>
      </c>
      <c r="DK10" s="0" t="n">
        <f aca="false">IF(DK4&lt;=Tenants!$F$7,Tenants!$B$7*Tenants!$C$7/12,IF(DK4&lt;=EOMONTH(Tenants!$F$7,Inputs!$B$6),0,Tenants!$B$7*Inputs!$B$4*(1+Inputs!$B$5)^(DK$3/12)/12*IF(Tenants!$C$7&lt;1000,0.35,1)))</f>
        <v>1717225.06250012</v>
      </c>
      <c r="DL10" s="0" t="n">
        <f aca="false">IF(DL4&lt;=Tenants!$F$7,Tenants!$B$7*Tenants!$C$7/12,IF(DL4&lt;=EOMONTH(Tenants!$F$7,Inputs!$B$6),0,Tenants!$B$7*Inputs!$B$4*(1+Inputs!$B$5)^(DL$3/12)/12*IF(Tenants!$C$7&lt;1000,0.35,1)))</f>
        <v>1721460.20276401</v>
      </c>
      <c r="DM10" s="0" t="n">
        <f aca="false">IF(DM4&lt;=Tenants!$F$7,Tenants!$B$7*Tenants!$C$7/12,IF(DM4&lt;=EOMONTH(Tenants!$F$7,Inputs!$B$6),0,Tenants!$B$7*Inputs!$B$4*(1+Inputs!$B$5)^(DM$3/12)/12*IF(Tenants!$C$7&lt;1000,0.35,1)))</f>
        <v>1725705.78802631</v>
      </c>
      <c r="DN10" s="0" t="n">
        <f aca="false">IF(DN4&lt;=Tenants!$F$7,Tenants!$B$7*Tenants!$C$7/12,IF(DN4&lt;=EOMONTH(Tenants!$F$7,Inputs!$B$6),0,Tenants!$B$7*Inputs!$B$4*(1+Inputs!$B$5)^(DN$3/12)/12*IF(Tenants!$C$7&lt;1000,0.35,1)))</f>
        <v>1729961.84404721</v>
      </c>
      <c r="DO10" s="0" t="n">
        <f aca="false">IF(DO4&lt;=Tenants!$F$7,Tenants!$B$7*Tenants!$C$7/12,IF(DO4&lt;=EOMONTH(Tenants!$F$7,Inputs!$B$6),0,Tenants!$B$7*Inputs!$B$4*(1+Inputs!$B$5)^(DO$3/12)/12*IF(Tenants!$C$7&lt;1000,0.35,1)))</f>
        <v>1734228.39665042</v>
      </c>
      <c r="DP10" s="0" t="n">
        <f aca="false">IF(DP4&lt;=Tenants!$F$7,Tenants!$B$7*Tenants!$C$7/12,IF(DP4&lt;=EOMONTH(Tenants!$F$7,Inputs!$B$6),0,Tenants!$B$7*Inputs!$B$4*(1+Inputs!$B$5)^(DP$3/12)/12*IF(Tenants!$C$7&lt;1000,0.35,1)))</f>
        <v>1738505.47172335</v>
      </c>
      <c r="DQ10" s="0" t="n">
        <f aca="false">IF(DQ4&lt;=Tenants!$F$7,Tenants!$B$7*Tenants!$C$7/12,IF(DQ4&lt;=EOMONTH(Tenants!$F$7,Inputs!$B$6),0,Tenants!$B$7*Inputs!$B$4*(1+Inputs!$B$5)^(DQ$3/12)/12*IF(Tenants!$C$7&lt;1000,0.35,1)))</f>
        <v>1742793.09521725</v>
      </c>
      <c r="DR10" s="0" t="n">
        <f aca="false">IF(DR4&lt;=Tenants!$F$7,Tenants!$B$7*Tenants!$C$7/12,IF(DR4&lt;=EOMONTH(Tenants!$F$7,Inputs!$B$6),0,Tenants!$B$7*Inputs!$B$4*(1+Inputs!$B$5)^(DR$3/12)/12*IF(Tenants!$C$7&lt;1000,0.35,1)))</f>
        <v>1747091.29314736</v>
      </c>
    </row>
    <row r="11" customFormat="false" ht="15" hidden="false" customHeight="false" outlineLevel="0" collapsed="false">
      <c r="A11" s="0" t="s">
        <v>31</v>
      </c>
      <c r="B11" s="0" t="n">
        <f aca="false">B5+B6+B7+B8+B9+B10</f>
        <v>0</v>
      </c>
      <c r="C11" s="0" t="n">
        <f aca="false">C5+C6+C7+C8+C9+C10</f>
        <v>11316666.6666667</v>
      </c>
      <c r="D11" s="0" t="n">
        <f aca="false">D5+D6+D7+D8+D9+D10</f>
        <v>11316666.6666667</v>
      </c>
      <c r="E11" s="0" t="n">
        <f aca="false">E5+E6+E7+E8+E9+E10</f>
        <v>11316666.6666667</v>
      </c>
      <c r="F11" s="0" t="n">
        <f aca="false">F5+F6+F7+F8+F9+F10</f>
        <v>11316666.6666667</v>
      </c>
      <c r="G11" s="0" t="n">
        <f aca="false">G5+G6+G7+G8+G9+G10</f>
        <v>11316666.6666667</v>
      </c>
      <c r="H11" s="0" t="n">
        <f aca="false">H5+H6+H7+H8+H9+H10</f>
        <v>11316666.6666667</v>
      </c>
      <c r="I11" s="0" t="n">
        <f aca="false">I5+I6+I7+I8+I9+I10</f>
        <v>11316666.6666667</v>
      </c>
      <c r="J11" s="0" t="n">
        <f aca="false">J5+J6+J7+J8+J9+J10</f>
        <v>11316666.6666667</v>
      </c>
      <c r="K11" s="0" t="n">
        <f aca="false">K5+K6+K7+K8+K9+K10</f>
        <v>11316666.6666667</v>
      </c>
      <c r="L11" s="0" t="n">
        <f aca="false">L5+L6+L7+L8+L9+L10</f>
        <v>11316666.6666667</v>
      </c>
      <c r="M11" s="0" t="n">
        <f aca="false">M5+M6+M7+M8+M9+M10</f>
        <v>11316666.6666667</v>
      </c>
      <c r="N11" s="0" t="n">
        <f aca="false">N5+N6+N7+N8+N9+N10</f>
        <v>11316666.6666667</v>
      </c>
      <c r="O11" s="0" t="n">
        <f aca="false">O5+O6+O7+O8+O9+O10</f>
        <v>9141666.66666667</v>
      </c>
      <c r="P11" s="0" t="n">
        <f aca="false">P5+P6+P7+P8+P9+P10</f>
        <v>9141666.66666667</v>
      </c>
      <c r="Q11" s="0" t="n">
        <f aca="false">Q5+Q6+Q7+Q8+Q9+Q10</f>
        <v>9141666.66666667</v>
      </c>
      <c r="R11" s="0" t="n">
        <f aca="false">R5+R6+R7+R8+R9+R10</f>
        <v>9141666.66666667</v>
      </c>
      <c r="S11" s="0" t="n">
        <f aca="false">S5+S6+S7+S8+S9+S10</f>
        <v>9141666.66666667</v>
      </c>
      <c r="T11" s="0" t="n">
        <f aca="false">T5+T6+T7+T8+T9+T10</f>
        <v>9141666.66666667</v>
      </c>
      <c r="U11" s="0" t="n">
        <f aca="false">U5+U6+U7+U8+U9+U10</f>
        <v>11185098.7938321</v>
      </c>
      <c r="V11" s="0" t="n">
        <f aca="false">V5+V6+V7+V8+V9+V10</f>
        <v>11190138.4487191</v>
      </c>
      <c r="W11" s="0" t="n">
        <f aca="false">W5+W6+W7+W8+W9+W10</f>
        <v>11195190.5327546</v>
      </c>
      <c r="X11" s="0" t="n">
        <f aca="false">X5+X6+X7+X8+X9+X10</f>
        <v>5891921.74325891</v>
      </c>
      <c r="Y11" s="0" t="n">
        <f aca="false">Y5+Y6+Y7+Y8+Y9+Y10</f>
        <v>5896998.77762792</v>
      </c>
      <c r="Z11" s="0" t="n">
        <f aca="false">Z5+Z6+Z7+Z8+Z9+Z10</f>
        <v>5902088.33333333</v>
      </c>
      <c r="AA11" s="0" t="n">
        <f aca="false">AA5+AA6+AA7+AA8+AA9+AA10</f>
        <v>5907190.44125614</v>
      </c>
      <c r="AB11" s="0" t="n">
        <f aca="false">AB5+AB6+AB7+AB8+AB9+AB10</f>
        <v>5912305.13235348</v>
      </c>
      <c r="AC11" s="0" t="n">
        <f aca="false">AC5+AC6+AC7+AC8+AC9+AC10</f>
        <v>5917432.43765888</v>
      </c>
      <c r="AD11" s="0" t="n">
        <f aca="false">AD5+AD6+AD7+AD8+AD9+AD10</f>
        <v>11491485.2136907</v>
      </c>
      <c r="AE11" s="0" t="n">
        <f aca="false">AE5+AE6+AE7+AE8+AE9+AE10</f>
        <v>11511523.2080786</v>
      </c>
      <c r="AF11" s="0" t="n">
        <f aca="false">AF5+AF6+AF7+AF8+AF9+AF10</f>
        <v>11531610.6215665</v>
      </c>
      <c r="AG11" s="0" t="n">
        <f aca="false">AG5+AG6+AG7+AG8+AG9+AG10</f>
        <v>11551747.576035</v>
      </c>
      <c r="AH11" s="0" t="n">
        <f aca="false">AH5+AH6+AH7+AH8+AH9+AH10</f>
        <v>11571934.1936656</v>
      </c>
      <c r="AI11" s="0" t="n">
        <f aca="false">AI5+AI6+AI7+AI8+AI9+AI10</f>
        <v>11592170.5969411</v>
      </c>
      <c r="AJ11" s="0" t="n">
        <f aca="false">AJ5+AJ6+AJ7+AJ8+AJ9+AJ10</f>
        <v>12272120.1280047</v>
      </c>
      <c r="AK11" s="0" t="n">
        <f aca="false">AK5+AK6+AK7+AK8+AK9+AK10</f>
        <v>12294083.3786851</v>
      </c>
      <c r="AL11" s="0" t="n">
        <f aca="false">AL5+AL6+AL7+AL8+AL9+AL10</f>
        <v>12316100.7966667</v>
      </c>
      <c r="AM11" s="0" t="n">
        <f aca="false">AM5+AM6+AM7+AM8+AM9+AM10</f>
        <v>12338172.5155407</v>
      </c>
      <c r="AN11" s="0" t="n">
        <f aca="false">AN5+AN6+AN7+AN8+AN9+AN10</f>
        <v>12360298.6692278</v>
      </c>
      <c r="AO11" s="0" t="n">
        <f aca="false">AO5+AO6+AO7+AO8+AO9+AO10</f>
        <v>12382479.391979</v>
      </c>
      <c r="AP11" s="0" t="n">
        <f aca="false">AP5+AP6+AP7+AP8+AP9+AP10</f>
        <v>12404714.8183762</v>
      </c>
      <c r="AQ11" s="0" t="n">
        <f aca="false">AQ5+AQ6+AQ7+AQ8+AQ9+AQ10</f>
        <v>12427005.0833333</v>
      </c>
      <c r="AR11" s="0" t="n">
        <f aca="false">AR5+AR6+AR7+AR8+AR9+AR10</f>
        <v>12449350.3220972</v>
      </c>
      <c r="AS11" s="0" t="n">
        <f aca="false">AS5+AS6+AS7+AS8+AS9+AS10</f>
        <v>11321750.670248</v>
      </c>
      <c r="AT11" s="0" t="n">
        <f aca="false">AT5+AT6+AT7+AT8+AT9+AT10</f>
        <v>11344206.2637003</v>
      </c>
      <c r="AU11" s="0" t="n">
        <f aca="false">AU5+AU6+AU7+AU8+AU9+AU10</f>
        <v>11366717.238704</v>
      </c>
      <c r="AV11" s="0" t="n">
        <f aca="false">AV5+AV6+AV7+AV8+AV9+AV10</f>
        <v>11389283.7318448</v>
      </c>
      <c r="AW11" s="0" t="n">
        <f aca="false">AW5+AW6+AW7+AW8+AW9+AW10</f>
        <v>11411905.8800456</v>
      </c>
      <c r="AX11" s="0" t="n">
        <f aca="false">AX5+AX6+AX7+AX8+AX9+AX10</f>
        <v>11434583.8205667</v>
      </c>
      <c r="AY11" s="0" t="n">
        <f aca="false">AY5+AY6+AY7+AY8+AY9+AY10</f>
        <v>12924087.6948705</v>
      </c>
      <c r="AZ11" s="0" t="n">
        <f aca="false">AZ5+AZ6+AZ7+AZ8+AZ9+AZ10</f>
        <v>12950495.0836917</v>
      </c>
      <c r="BA11" s="0" t="n">
        <f aca="false">BA5+BA6+BA7+BA8+BA9+BA10</f>
        <v>12976967.6002577</v>
      </c>
      <c r="BB11" s="0" t="n">
        <f aca="false">BB5+BB6+BB7+BB8+BB9+BB10</f>
        <v>13003505.4051911</v>
      </c>
      <c r="BC11" s="0" t="n">
        <f aca="false">BC5+BC6+BC7+BC8+BC9+BC10</f>
        <v>13030108.6595106</v>
      </c>
      <c r="BD11" s="0" t="n">
        <f aca="false">BD5+BD6+BD7+BD8+BD9+BD10</f>
        <v>13056777.5246321</v>
      </c>
      <c r="BE11" s="0" t="n">
        <f aca="false">BE5+BE6+BE7+BE8+BE9+BE10</f>
        <v>13083512.1623695</v>
      </c>
      <c r="BF11" s="0" t="n">
        <f aca="false">BF5+BF6+BF7+BF8+BF9+BF10</f>
        <v>13110312.7349359</v>
      </c>
      <c r="BG11" s="0" t="n">
        <f aca="false">BG5+BG6+BG7+BG8+BG9+BG10</f>
        <v>13137179.4049442</v>
      </c>
      <c r="BH11" s="0" t="n">
        <f aca="false">BH5+BH6+BH7+BH8+BH9+BH10</f>
        <v>13164112.3354087</v>
      </c>
      <c r="BI11" s="0" t="n">
        <f aca="false">BI5+BI6+BI7+BI8+BI9+BI10</f>
        <v>13191111.6897454</v>
      </c>
      <c r="BJ11" s="0" t="n">
        <f aca="false">BJ5+BJ6+BJ7+BJ8+BJ9+BJ10</f>
        <v>13218177.6317737</v>
      </c>
      <c r="BK11" s="0" t="n">
        <f aca="false">BK5+BK6+BK7+BK8+BK9+BK10</f>
        <v>12220310.3257166</v>
      </c>
      <c r="BL11" s="0" t="n">
        <f aca="false">BL5+BL6+BL7+BL8+BL9+BL10</f>
        <v>12247509.9362024</v>
      </c>
      <c r="BM11" s="0" t="n">
        <f aca="false">BM5+BM6+BM7+BM8+BM9+BM10</f>
        <v>12274776.6282654</v>
      </c>
      <c r="BN11" s="0" t="n">
        <f aca="false">BN5+BN6+BN7+BN8+BN9+BN10</f>
        <v>12302110.5673468</v>
      </c>
      <c r="BO11" s="0" t="n">
        <f aca="false">BO5+BO6+BO7+BO8+BO9+BO10</f>
        <v>12329511.9192959</v>
      </c>
      <c r="BP11" s="0" t="n">
        <f aca="false">BP5+BP6+BP7+BP8+BP9+BP10</f>
        <v>12356980.8503711</v>
      </c>
      <c r="BQ11" s="0" t="n">
        <f aca="false">BQ5+BQ6+BQ7+BQ8+BQ9+BQ10</f>
        <v>13726126.3632683</v>
      </c>
      <c r="BR11" s="0" t="n">
        <f aca="false">BR5+BR6+BR7+BR8+BR9+BR10</f>
        <v>13757039.7223302</v>
      </c>
      <c r="BS11" s="0" t="n">
        <f aca="false">BS5+BS6+BS7+BS8+BS9+BS10</f>
        <v>13788029.3220751</v>
      </c>
      <c r="BT11" s="0" t="n">
        <f aca="false">BT5+BT6+BT7+BT8+BT9+BT10</f>
        <v>13819095.3505331</v>
      </c>
      <c r="BU11" s="0" t="n">
        <f aca="false">BU5+BU6+BU7+BU8+BU9+BU10</f>
        <v>13850237.996198</v>
      </c>
      <c r="BV11" s="0" t="n">
        <f aca="false">BV5+BV6+BV7+BV8+BV9+BV10</f>
        <v>13881457.4480286</v>
      </c>
      <c r="BW11" s="0" t="n">
        <f aca="false">BW5+BW6+BW7+BW8+BW9+BW10</f>
        <v>13912753.8954495</v>
      </c>
      <c r="BX11" s="0" t="n">
        <f aca="false">BX5+BX6+BX7+BX8+BX9+BX10</f>
        <v>13944127.5283527</v>
      </c>
      <c r="BY11" s="0" t="n">
        <f aca="false">BY5+BY6+BY7+BY8+BY9+BY10</f>
        <v>13975578.5370984</v>
      </c>
      <c r="BZ11" s="0" t="n">
        <f aca="false">BZ5+BZ6+BZ7+BZ8+BZ9+BZ10</f>
        <v>14007107.1125162</v>
      </c>
      <c r="CA11" s="0" t="n">
        <f aca="false">CA5+CA6+CA7+CA8+CA9+CA10</f>
        <v>14038713.4459066</v>
      </c>
      <c r="CB11" s="0" t="n">
        <f aca="false">CB5+CB6+CB7+CB8+CB9+CB10</f>
        <v>14070397.7290416</v>
      </c>
      <c r="CC11" s="0" t="n">
        <f aca="false">CC5+CC6+CC7+CC8+CC9+CC10</f>
        <v>14102160.1541664</v>
      </c>
      <c r="CD11" s="0" t="n">
        <f aca="false">CD5+CD6+CD7+CD8+CD9+CD10</f>
        <v>14134000.9140001</v>
      </c>
      <c r="CE11" s="0" t="n">
        <f aca="false">CE5+CE6+CE7+CE8+CE9+CE10</f>
        <v>14165920.2017374</v>
      </c>
      <c r="CF11" s="0" t="n">
        <f aca="false">CF5+CF6+CF7+CF8+CF9+CF10</f>
        <v>14197918.2110491</v>
      </c>
      <c r="CG11" s="0" t="n">
        <f aca="false">CG5+CG6+CG7+CG8+CG9+CG10</f>
        <v>14229995.136084</v>
      </c>
      <c r="CH11" s="0" t="n">
        <f aca="false">CH5+CH6+CH7+CH8+CH9+CH10</f>
        <v>14262151.1714695</v>
      </c>
      <c r="CI11" s="0" t="n">
        <f aca="false">CI5+CI6+CI7+CI8+CI9+CI10</f>
        <v>14294386.512313</v>
      </c>
      <c r="CJ11" s="0" t="n">
        <f aca="false">CJ5+CJ6+CJ7+CJ8+CJ9+CJ10</f>
        <v>14326701.3542033</v>
      </c>
      <c r="CK11" s="0" t="n">
        <f aca="false">CK5+CK6+CK7+CK8+CK9+CK10</f>
        <v>14359095.8932113</v>
      </c>
      <c r="CL11" s="0" t="n">
        <f aca="false">CL5+CL6+CL7+CL8+CL9+CL10</f>
        <v>14391570.3258917</v>
      </c>
      <c r="CM11" s="0" t="n">
        <f aca="false">CM5+CM6+CM7+CM8+CM9+CM10</f>
        <v>14424124.8492838</v>
      </c>
      <c r="CN11" s="0" t="n">
        <f aca="false">CN5+CN6+CN7+CN8+CN9+CN10</f>
        <v>14456759.6609128</v>
      </c>
      <c r="CO11" s="0" t="n">
        <f aca="false">CO5+CO6+CO7+CO8+CO9+CO10</f>
        <v>13297808.2921247</v>
      </c>
      <c r="CP11" s="0" t="n">
        <f aca="false">CP5+CP6+CP7+CP8+CP9+CP10</f>
        <v>13330604.2747534</v>
      </c>
      <c r="CQ11" s="0" t="n">
        <f aca="false">CQ5+CQ6+CQ7+CQ8+CQ9+CQ10</f>
        <v>13363481.1411228</v>
      </c>
      <c r="CR11" s="0" t="n">
        <f aca="false">CR5+CR6+CR7+CR8+CR9+CR10</f>
        <v>13396439.0907139</v>
      </c>
      <c r="CS11" s="0" t="n">
        <f aca="false">CS5+CS6+CS7+CS8+CS9+CS10</f>
        <v>13429478.3234998</v>
      </c>
      <c r="CT11" s="0" t="n">
        <f aca="false">CT5+CT6+CT7+CT8+CT9+CT10</f>
        <v>13462599.0399469</v>
      </c>
      <c r="CU11" s="0" t="n">
        <f aca="false">CU5+CU6+CU7+CU8+CU9+CU10</f>
        <v>15614408.395059</v>
      </c>
      <c r="CV11" s="0" t="n">
        <f aca="false">CV5+CV6+CV7+CV8+CV9+CV10</f>
        <v>15652917.7384961</v>
      </c>
      <c r="CW11" s="0" t="n">
        <f aca="false">CW5+CW6+CW7+CW8+CW9+CW10</f>
        <v>15691522.056363</v>
      </c>
      <c r="CX11" s="0" t="n">
        <f aca="false">CX5+CX6+CX7+CX8+CX9+CX10</f>
        <v>15730221.582892</v>
      </c>
      <c r="CY11" s="0" t="n">
        <f aca="false">CY5+CY6+CY7+CY8+CY9+CY10</f>
        <v>15769016.5528935</v>
      </c>
      <c r="CZ11" s="0" t="n">
        <f aca="false">CZ5+CZ6+CZ7+CZ8+CZ9+CZ10</f>
        <v>15807907.2017569</v>
      </c>
      <c r="DA11" s="0" t="n">
        <f aca="false">DA5+DA6+DA7+DA8+DA9+DA10</f>
        <v>15846893.765452</v>
      </c>
      <c r="DB11" s="0" t="n">
        <f aca="false">DB5+DB6+DB7+DB8+DB9+DB10</f>
        <v>15885976.4805306</v>
      </c>
      <c r="DC11" s="0" t="n">
        <f aca="false">DC5+DC6+DC7+DC8+DC9+DC10</f>
        <v>15925155.584128</v>
      </c>
      <c r="DD11" s="0" t="n">
        <f aca="false">DD5+DD6+DD7+DD8+DD9+DD10</f>
        <v>15964431.3139644</v>
      </c>
      <c r="DE11" s="0" t="n">
        <f aca="false">DE5+DE6+DE7+DE8+DE9+DE10</f>
        <v>16003803.9083461</v>
      </c>
      <c r="DF11" s="0" t="n">
        <f aca="false">DF5+DF6+DF7+DF8+DF9+DF10</f>
        <v>16043273.6061671</v>
      </c>
      <c r="DG11" s="0" t="n">
        <f aca="false">DG5+DG6+DG7+DG8+DG9+DG10</f>
        <v>16082840.6469108</v>
      </c>
      <c r="DH11" s="0" t="n">
        <f aca="false">DH5+DH6+DH7+DH8+DH9+DH10</f>
        <v>16122505.270651</v>
      </c>
      <c r="DI11" s="0" t="n">
        <f aca="false">DI5+DI6+DI7+DI8+DI9+DI10</f>
        <v>16162267.7180538</v>
      </c>
      <c r="DJ11" s="0" t="n">
        <f aca="false">DJ5+DJ6+DJ7+DJ8+DJ9+DJ10</f>
        <v>16202128.2303788</v>
      </c>
      <c r="DK11" s="0" t="n">
        <f aca="false">DK5+DK6+DK7+DK8+DK9+DK10</f>
        <v>16242087.0494803</v>
      </c>
      <c r="DL11" s="0" t="n">
        <f aca="false">DL5+DL6+DL7+DL8+DL9+DL10</f>
        <v>16282144.4178096</v>
      </c>
      <c r="DM11" s="0" t="n">
        <f aca="false">DM5+DM6+DM7+DM8+DM9+DM10</f>
        <v>16322300.5784155</v>
      </c>
      <c r="DN11" s="0" t="n">
        <f aca="false">DN5+DN6+DN7+DN8+DN9+DN10</f>
        <v>16362555.7749465</v>
      </c>
      <c r="DO11" s="0" t="n">
        <f aca="false">DO5+DO6+DO7+DO8+DO9+DO10</f>
        <v>16402910.2516519</v>
      </c>
      <c r="DP11" s="0" t="n">
        <f aca="false">DP5+DP6+DP7+DP8+DP9+DP10</f>
        <v>16443364.2533833</v>
      </c>
      <c r="DQ11" s="0" t="n">
        <f aca="false">DQ5+DQ6+DQ7+DQ8+DQ9+DQ10</f>
        <v>16483918.0255964</v>
      </c>
      <c r="DR11" s="0" t="n">
        <f aca="false">DR5+DR6+DR7+DR8+DR9+DR10</f>
        <v>16524571.8143521</v>
      </c>
    </row>
    <row r="12" customFormat="false" ht="15" hidden="false" customHeight="false" outlineLevel="0" collapsed="false">
      <c r="A12" s="0" t="s">
        <v>32</v>
      </c>
      <c r="B12" s="0" t="n">
        <f aca="false">0</f>
        <v>0</v>
      </c>
      <c r="C12" s="0" t="n">
        <f aca="false">IF(C4&lt;=Tenants!$F$2,MAX(0,Tenants!$B$2*Tenants!$D$2*(1+Inputs!$B$7)^(C$3/12)/12*Tenants!$E$2-Tenants!$B$2*Tenants!$C$2/12),0)+IF(C4&lt;=Tenants!$F$3,MAX(0,Tenants!$B$3*Tenants!$D$3*(1+Inputs!$B$7)^(C$3/12)/12*Tenants!$E$3-Tenants!$B$3*Tenants!$C$3/12),0)+IF(C4&lt;=Tenants!$F$4,MAX(0,Tenants!$B$4*Tenants!$D$4*(1+Inputs!$B$7)^(C$3/12)/12*Tenants!$E$4-Tenants!$B$4*Tenants!$C$4/12),0)+IF(C4&lt;=Tenants!$F$5,MAX(0,Tenants!$B$5*Tenants!$D$5*(1+Inputs!$B$7)^(C$3/12)/12*Tenants!$E$5-Tenants!$B$5*Tenants!$C$5/12),0)+IF(C4&lt;=Tenants!$F$6,MAX(0,Tenants!$B$6*Tenants!$D$6*(1+Inputs!$B$7)^(C$3/12)/12*Tenants!$E$6-Tenants!$B$6*Tenants!$C$6/12),0)+IF(C4&lt;=Tenants!$F$7,MAX(0,Tenants!$B$7*Tenants!$D$7*(1+Inputs!$B$7)^(C$3/12)/12*Tenants!$E$7-Tenants!$B$7*Tenants!$C$7/12),0)</f>
        <v>1873038.76566998</v>
      </c>
      <c r="D12" s="0" t="n">
        <f aca="false">IF(D4&lt;=Tenants!$F$2,MAX(0,Tenants!$B$2*Tenants!$D$2*(1+Inputs!$B$7)^(D$3/12)/12*Tenants!$E$2-Tenants!$B$2*Tenants!$C$2/12),0)+IF(D4&lt;=Tenants!$F$3,MAX(0,Tenants!$B$3*Tenants!$D$3*(1+Inputs!$B$7)^(D$3/12)/12*Tenants!$E$3-Tenants!$B$3*Tenants!$C$3/12),0)+IF(D4&lt;=Tenants!$F$4,MAX(0,Tenants!$B$4*Tenants!$D$4*(1+Inputs!$B$7)^(D$3/12)/12*Tenants!$E$4-Tenants!$B$4*Tenants!$C$4/12),0)+IF(D4&lt;=Tenants!$F$5,MAX(0,Tenants!$B$5*Tenants!$D$5*(1+Inputs!$B$7)^(D$3/12)/12*Tenants!$E$5-Tenants!$B$5*Tenants!$C$5/12),0)+IF(D4&lt;=Tenants!$F$6,MAX(0,Tenants!$B$6*Tenants!$D$6*(1+Inputs!$B$7)^(D$3/12)/12*Tenants!$E$6-Tenants!$B$6*Tenants!$C$6/12),0)+IF(D4&lt;=Tenants!$F$7,MAX(0,Tenants!$B$7*Tenants!$D$7*(1+Inputs!$B$7)^(D$3/12)/12*Tenants!$E$7-Tenants!$B$7*Tenants!$C$7/12),0)</f>
        <v>1916218.4290593</v>
      </c>
      <c r="E12" s="0" t="n">
        <f aca="false">IF(E4&lt;=Tenants!$F$2,MAX(0,Tenants!$B$2*Tenants!$D$2*(1+Inputs!$B$7)^(E$3/12)/12*Tenants!$E$2-Tenants!$B$2*Tenants!$C$2/12),0)+IF(E4&lt;=Tenants!$F$3,MAX(0,Tenants!$B$3*Tenants!$D$3*(1+Inputs!$B$7)^(E$3/12)/12*Tenants!$E$3-Tenants!$B$3*Tenants!$C$3/12),0)+IF(E4&lt;=Tenants!$F$4,MAX(0,Tenants!$B$4*Tenants!$D$4*(1+Inputs!$B$7)^(E$3/12)/12*Tenants!$E$4-Tenants!$B$4*Tenants!$C$4/12),0)+IF(E4&lt;=Tenants!$F$5,MAX(0,Tenants!$B$5*Tenants!$D$5*(1+Inputs!$B$7)^(E$3/12)/12*Tenants!$E$5-Tenants!$B$5*Tenants!$C$5/12),0)+IF(E4&lt;=Tenants!$F$6,MAX(0,Tenants!$B$6*Tenants!$D$6*(1+Inputs!$B$7)^(E$3/12)/12*Tenants!$E$6-Tenants!$B$6*Tenants!$C$6/12),0)+IF(E4&lt;=Tenants!$F$7,MAX(0,Tenants!$B$7*Tenants!$D$7*(1+Inputs!$B$7)^(E$3/12)/12*Tenants!$E$7-Tenants!$B$7*Tenants!$C$7/12),0)</f>
        <v>1959539.45143044</v>
      </c>
      <c r="F12" s="0" t="n">
        <f aca="false">IF(F4&lt;=Tenants!$F$2,MAX(0,Tenants!$B$2*Tenants!$D$2*(1+Inputs!$B$7)^(F$3/12)/12*Tenants!$E$2-Tenants!$B$2*Tenants!$C$2/12),0)+IF(F4&lt;=Tenants!$F$3,MAX(0,Tenants!$B$3*Tenants!$D$3*(1+Inputs!$B$7)^(F$3/12)/12*Tenants!$E$3-Tenants!$B$3*Tenants!$C$3/12),0)+IF(F4&lt;=Tenants!$F$4,MAX(0,Tenants!$B$4*Tenants!$D$4*(1+Inputs!$B$7)^(F$3/12)/12*Tenants!$E$4-Tenants!$B$4*Tenants!$C$4/12),0)+IF(F4&lt;=Tenants!$F$5,MAX(0,Tenants!$B$5*Tenants!$D$5*(1+Inputs!$B$7)^(F$3/12)/12*Tenants!$E$5-Tenants!$B$5*Tenants!$C$5/12),0)+IF(F4&lt;=Tenants!$F$6,MAX(0,Tenants!$B$6*Tenants!$D$6*(1+Inputs!$B$7)^(F$3/12)/12*Tenants!$E$6-Tenants!$B$6*Tenants!$C$6/12),0)+IF(F4&lt;=Tenants!$F$7,MAX(0,Tenants!$B$7*Tenants!$D$7*(1+Inputs!$B$7)^(F$3/12)/12*Tenants!$E$7-Tenants!$B$7*Tenants!$C$7/12),0)</f>
        <v>2003002.29555593</v>
      </c>
      <c r="G12" s="0" t="n">
        <f aca="false">IF(G4&lt;=Tenants!$F$2,MAX(0,Tenants!$B$2*Tenants!$D$2*(1+Inputs!$B$7)^(G$3/12)/12*Tenants!$E$2-Tenants!$B$2*Tenants!$C$2/12),0)+IF(G4&lt;=Tenants!$F$3,MAX(0,Tenants!$B$3*Tenants!$D$3*(1+Inputs!$B$7)^(G$3/12)/12*Tenants!$E$3-Tenants!$B$3*Tenants!$C$3/12),0)+IF(G4&lt;=Tenants!$F$4,MAX(0,Tenants!$B$4*Tenants!$D$4*(1+Inputs!$B$7)^(G$3/12)/12*Tenants!$E$4-Tenants!$B$4*Tenants!$C$4/12),0)+IF(G4&lt;=Tenants!$F$5,MAX(0,Tenants!$B$5*Tenants!$D$5*(1+Inputs!$B$7)^(G$3/12)/12*Tenants!$E$5-Tenants!$B$5*Tenants!$C$5/12),0)+IF(G4&lt;=Tenants!$F$6,MAX(0,Tenants!$B$6*Tenants!$D$6*(1+Inputs!$B$7)^(G$3/12)/12*Tenants!$E$6-Tenants!$B$6*Tenants!$C$6/12),0)+IF(G4&lt;=Tenants!$F$7,MAX(0,Tenants!$B$7*Tenants!$D$7*(1+Inputs!$B$7)^(G$3/12)/12*Tenants!$E$7-Tenants!$B$7*Tenants!$C$7/12),0)</f>
        <v>2046607.42572328</v>
      </c>
      <c r="H12" s="0" t="n">
        <f aca="false">IF(H4&lt;=Tenants!$F$2,MAX(0,Tenants!$B$2*Tenants!$D$2*(1+Inputs!$B$7)^(H$3/12)/12*Tenants!$E$2-Tenants!$B$2*Tenants!$C$2/12),0)+IF(H4&lt;=Tenants!$F$3,MAX(0,Tenants!$B$3*Tenants!$D$3*(1+Inputs!$B$7)^(H$3/12)/12*Tenants!$E$3-Tenants!$B$3*Tenants!$C$3/12),0)+IF(H4&lt;=Tenants!$F$4,MAX(0,Tenants!$B$4*Tenants!$D$4*(1+Inputs!$B$7)^(H$3/12)/12*Tenants!$E$4-Tenants!$B$4*Tenants!$C$4/12),0)+IF(H4&lt;=Tenants!$F$5,MAX(0,Tenants!$B$5*Tenants!$D$5*(1+Inputs!$B$7)^(H$3/12)/12*Tenants!$E$5-Tenants!$B$5*Tenants!$C$5/12),0)+IF(H4&lt;=Tenants!$F$6,MAX(0,Tenants!$B$6*Tenants!$D$6*(1+Inputs!$B$7)^(H$3/12)/12*Tenants!$E$6-Tenants!$B$6*Tenants!$C$6/12),0)+IF(H4&lt;=Tenants!$F$7,MAX(0,Tenants!$B$7*Tenants!$D$7*(1+Inputs!$B$7)^(H$3/12)/12*Tenants!$E$7-Tenants!$B$7*Tenants!$C$7/12),0)</f>
        <v>2090355.30773996</v>
      </c>
      <c r="I12" s="0" t="n">
        <f aca="false">IF(I4&lt;=Tenants!$F$2,MAX(0,Tenants!$B$2*Tenants!$D$2*(1+Inputs!$B$7)^(I$3/12)/12*Tenants!$E$2-Tenants!$B$2*Tenants!$C$2/12),0)+IF(I4&lt;=Tenants!$F$3,MAX(0,Tenants!$B$3*Tenants!$D$3*(1+Inputs!$B$7)^(I$3/12)/12*Tenants!$E$3-Tenants!$B$3*Tenants!$C$3/12),0)+IF(I4&lt;=Tenants!$F$4,MAX(0,Tenants!$B$4*Tenants!$D$4*(1+Inputs!$B$7)^(I$3/12)/12*Tenants!$E$4-Tenants!$B$4*Tenants!$C$4/12),0)+IF(I4&lt;=Tenants!$F$5,MAX(0,Tenants!$B$5*Tenants!$D$5*(1+Inputs!$B$7)^(I$3/12)/12*Tenants!$E$5-Tenants!$B$5*Tenants!$C$5/12),0)+IF(I4&lt;=Tenants!$F$6,MAX(0,Tenants!$B$6*Tenants!$D$6*(1+Inputs!$B$7)^(I$3/12)/12*Tenants!$E$6-Tenants!$B$6*Tenants!$C$6/12),0)+IF(I4&lt;=Tenants!$F$7,MAX(0,Tenants!$B$7*Tenants!$D$7*(1+Inputs!$B$7)^(I$3/12)/12*Tenants!$E$7-Tenants!$B$7*Tenants!$C$7/12),0)</f>
        <v>2134246.40893839</v>
      </c>
      <c r="J12" s="0" t="n">
        <f aca="false">IF(J4&lt;=Tenants!$F$2,MAX(0,Tenants!$B$2*Tenants!$D$2*(1+Inputs!$B$7)^(J$3/12)/12*Tenants!$E$2-Tenants!$B$2*Tenants!$C$2/12),0)+IF(J4&lt;=Tenants!$F$3,MAX(0,Tenants!$B$3*Tenants!$D$3*(1+Inputs!$B$7)^(J$3/12)/12*Tenants!$E$3-Tenants!$B$3*Tenants!$C$3/12),0)+IF(J4&lt;=Tenants!$F$4,MAX(0,Tenants!$B$4*Tenants!$D$4*(1+Inputs!$B$7)^(J$3/12)/12*Tenants!$E$4-Tenants!$B$4*Tenants!$C$4/12),0)+IF(J4&lt;=Tenants!$F$5,MAX(0,Tenants!$B$5*Tenants!$D$5*(1+Inputs!$B$7)^(J$3/12)/12*Tenants!$E$5-Tenants!$B$5*Tenants!$C$5/12),0)+IF(J4&lt;=Tenants!$F$6,MAX(0,Tenants!$B$6*Tenants!$D$6*(1+Inputs!$B$7)^(J$3/12)/12*Tenants!$E$6-Tenants!$B$6*Tenants!$C$6/12),0)+IF(J4&lt;=Tenants!$F$7,MAX(0,Tenants!$B$7*Tenants!$D$7*(1+Inputs!$B$7)^(J$3/12)/12*Tenants!$E$7-Tenants!$B$7*Tenants!$C$7/12),0)</f>
        <v>2178281.1981809</v>
      </c>
      <c r="K12" s="0" t="n">
        <f aca="false">IF(K4&lt;=Tenants!$F$2,MAX(0,Tenants!$B$2*Tenants!$D$2*(1+Inputs!$B$7)^(K$3/12)/12*Tenants!$E$2-Tenants!$B$2*Tenants!$C$2/12),0)+IF(K4&lt;=Tenants!$F$3,MAX(0,Tenants!$B$3*Tenants!$D$3*(1+Inputs!$B$7)^(K$3/12)/12*Tenants!$E$3-Tenants!$B$3*Tenants!$C$3/12),0)+IF(K4&lt;=Tenants!$F$4,MAX(0,Tenants!$B$4*Tenants!$D$4*(1+Inputs!$B$7)^(K$3/12)/12*Tenants!$E$4-Tenants!$B$4*Tenants!$C$4/12),0)+IF(K4&lt;=Tenants!$F$5,MAX(0,Tenants!$B$5*Tenants!$D$5*(1+Inputs!$B$7)^(K$3/12)/12*Tenants!$E$5-Tenants!$B$5*Tenants!$C$5/12),0)+IF(K4&lt;=Tenants!$F$6,MAX(0,Tenants!$B$6*Tenants!$D$6*(1+Inputs!$B$7)^(K$3/12)/12*Tenants!$E$6-Tenants!$B$6*Tenants!$C$6/12),0)+IF(K4&lt;=Tenants!$F$7,MAX(0,Tenants!$B$7*Tenants!$D$7*(1+Inputs!$B$7)^(K$3/12)/12*Tenants!$E$7-Tenants!$B$7*Tenants!$C$7/12),0)</f>
        <v>2222460.14586475</v>
      </c>
      <c r="L12" s="0" t="n">
        <f aca="false">IF(L4&lt;=Tenants!$F$2,MAX(0,Tenants!$B$2*Tenants!$D$2*(1+Inputs!$B$7)^(L$3/12)/12*Tenants!$E$2-Tenants!$B$2*Tenants!$C$2/12),0)+IF(L4&lt;=Tenants!$F$3,MAX(0,Tenants!$B$3*Tenants!$D$3*(1+Inputs!$B$7)^(L$3/12)/12*Tenants!$E$3-Tenants!$B$3*Tenants!$C$3/12),0)+IF(L4&lt;=Tenants!$F$4,MAX(0,Tenants!$B$4*Tenants!$D$4*(1+Inputs!$B$7)^(L$3/12)/12*Tenants!$E$4-Tenants!$B$4*Tenants!$C$4/12),0)+IF(L4&lt;=Tenants!$F$5,MAX(0,Tenants!$B$5*Tenants!$D$5*(1+Inputs!$B$7)^(L$3/12)/12*Tenants!$E$5-Tenants!$B$5*Tenants!$C$5/12),0)+IF(L4&lt;=Tenants!$F$6,MAX(0,Tenants!$B$6*Tenants!$D$6*(1+Inputs!$B$7)^(L$3/12)/12*Tenants!$E$6-Tenants!$B$6*Tenants!$C$6/12),0)+IF(L4&lt;=Tenants!$F$7,MAX(0,Tenants!$B$7*Tenants!$D$7*(1+Inputs!$B$7)^(L$3/12)/12*Tenants!$E$7-Tenants!$B$7*Tenants!$C$7/12),0)</f>
        <v>2266783.72392717</v>
      </c>
      <c r="M12" s="0" t="n">
        <f aca="false">IF(M4&lt;=Tenants!$F$2,MAX(0,Tenants!$B$2*Tenants!$D$2*(1+Inputs!$B$7)^(M$3/12)/12*Tenants!$E$2-Tenants!$B$2*Tenants!$C$2/12),0)+IF(M4&lt;=Tenants!$F$3,MAX(0,Tenants!$B$3*Tenants!$D$3*(1+Inputs!$B$7)^(M$3/12)/12*Tenants!$E$3-Tenants!$B$3*Tenants!$C$3/12),0)+IF(M4&lt;=Tenants!$F$4,MAX(0,Tenants!$B$4*Tenants!$D$4*(1+Inputs!$B$7)^(M$3/12)/12*Tenants!$E$4-Tenants!$B$4*Tenants!$C$4/12),0)+IF(M4&lt;=Tenants!$F$5,MAX(0,Tenants!$B$5*Tenants!$D$5*(1+Inputs!$B$7)^(M$3/12)/12*Tenants!$E$5-Tenants!$B$5*Tenants!$C$5/12),0)+IF(M4&lt;=Tenants!$F$6,MAX(0,Tenants!$B$6*Tenants!$D$6*(1+Inputs!$B$7)^(M$3/12)/12*Tenants!$E$6-Tenants!$B$6*Tenants!$C$6/12),0)+IF(M4&lt;=Tenants!$F$7,MAX(0,Tenants!$B$7*Tenants!$D$7*(1+Inputs!$B$7)^(M$3/12)/12*Tenants!$E$7-Tenants!$B$7*Tenants!$C$7/12),0)</f>
        <v>2311252.40585038</v>
      </c>
      <c r="N12" s="0" t="n">
        <f aca="false">IF(N4&lt;=Tenants!$F$2,MAX(0,Tenants!$B$2*Tenants!$D$2*(1+Inputs!$B$7)^(N$3/12)/12*Tenants!$E$2-Tenants!$B$2*Tenants!$C$2/12),0)+IF(N4&lt;=Tenants!$F$3,MAX(0,Tenants!$B$3*Tenants!$D$3*(1+Inputs!$B$7)^(N$3/12)/12*Tenants!$E$3-Tenants!$B$3*Tenants!$C$3/12),0)+IF(N4&lt;=Tenants!$F$4,MAX(0,Tenants!$B$4*Tenants!$D$4*(1+Inputs!$B$7)^(N$3/12)/12*Tenants!$E$4-Tenants!$B$4*Tenants!$C$4/12),0)+IF(N4&lt;=Tenants!$F$5,MAX(0,Tenants!$B$5*Tenants!$D$5*(1+Inputs!$B$7)^(N$3/12)/12*Tenants!$E$5-Tenants!$B$5*Tenants!$C$5/12),0)+IF(N4&lt;=Tenants!$F$6,MAX(0,Tenants!$B$6*Tenants!$D$6*(1+Inputs!$B$7)^(N$3/12)/12*Tenants!$E$6-Tenants!$B$6*Tenants!$C$6/12),0)+IF(N4&lt;=Tenants!$F$7,MAX(0,Tenants!$B$7*Tenants!$D$7*(1+Inputs!$B$7)^(N$3/12)/12*Tenants!$E$7-Tenants!$B$7*Tenants!$C$7/12),0)</f>
        <v>2355866.66666667</v>
      </c>
      <c r="O12" s="0" t="n">
        <f aca="false">IF(O4&lt;=Tenants!$F$2,MAX(0,Tenants!$B$2*Tenants!$D$2*(1+Inputs!$B$7)^(O$3/12)/12*Tenants!$E$2-Tenants!$B$2*Tenants!$C$2/12),0)+IF(O4&lt;=Tenants!$F$3,MAX(0,Tenants!$B$3*Tenants!$D$3*(1+Inputs!$B$7)^(O$3/12)/12*Tenants!$E$3-Tenants!$B$3*Tenants!$C$3/12),0)+IF(O4&lt;=Tenants!$F$4,MAX(0,Tenants!$B$4*Tenants!$D$4*(1+Inputs!$B$7)^(O$3/12)/12*Tenants!$E$4-Tenants!$B$4*Tenants!$C$4/12),0)+IF(O4&lt;=Tenants!$F$5,MAX(0,Tenants!$B$5*Tenants!$D$5*(1+Inputs!$B$7)^(O$3/12)/12*Tenants!$E$5-Tenants!$B$5*Tenants!$C$5/12),0)+IF(O4&lt;=Tenants!$F$6,MAX(0,Tenants!$B$6*Tenants!$D$6*(1+Inputs!$B$7)^(O$3/12)/12*Tenants!$E$6-Tenants!$B$6*Tenants!$C$6/12),0)+IF(O4&lt;=Tenants!$F$7,MAX(0,Tenants!$B$7*Tenants!$D$7*(1+Inputs!$B$7)^(O$3/12)/12*Tenants!$E$7-Tenants!$B$7*Tenants!$C$7/12),0)</f>
        <v>1946247.16574226</v>
      </c>
      <c r="P12" s="0" t="n">
        <f aca="false">IF(P4&lt;=Tenants!$F$2,MAX(0,Tenants!$B$2*Tenants!$D$2*(1+Inputs!$B$7)^(P$3/12)/12*Tenants!$E$2-Tenants!$B$2*Tenants!$C$2/12),0)+IF(P4&lt;=Tenants!$F$3,MAX(0,Tenants!$B$3*Tenants!$D$3*(1+Inputs!$B$7)^(P$3/12)/12*Tenants!$E$3-Tenants!$B$3*Tenants!$C$3/12),0)+IF(P4&lt;=Tenants!$F$4,MAX(0,Tenants!$B$4*Tenants!$D$4*(1+Inputs!$B$7)^(P$3/12)/12*Tenants!$E$4-Tenants!$B$4*Tenants!$C$4/12),0)+IF(P4&lt;=Tenants!$F$5,MAX(0,Tenants!$B$5*Tenants!$D$5*(1+Inputs!$B$7)^(P$3/12)/12*Tenants!$E$5-Tenants!$B$5*Tenants!$C$5/12),0)+IF(P4&lt;=Tenants!$F$6,MAX(0,Tenants!$B$6*Tenants!$D$6*(1+Inputs!$B$7)^(P$3/12)/12*Tenants!$E$6-Tenants!$B$6*Tenants!$C$6/12),0)+IF(P4&lt;=Tenants!$F$7,MAX(0,Tenants!$B$7*Tenants!$D$7*(1+Inputs!$B$7)^(P$3/12)/12*Tenants!$E$7-Tenants!$B$7*Tenants!$C$7/12),0)</f>
        <v>1982546.110357</v>
      </c>
      <c r="Q12" s="0" t="n">
        <f aca="false">IF(Q4&lt;=Tenants!$F$2,MAX(0,Tenants!$B$2*Tenants!$D$2*(1+Inputs!$B$7)^(Q$3/12)/12*Tenants!$E$2-Tenants!$B$2*Tenants!$C$2/12),0)+IF(Q4&lt;=Tenants!$F$3,MAX(0,Tenants!$B$3*Tenants!$D$3*(1+Inputs!$B$7)^(Q$3/12)/12*Tenants!$E$3-Tenants!$B$3*Tenants!$C$3/12),0)+IF(Q4&lt;=Tenants!$F$4,MAX(0,Tenants!$B$4*Tenants!$D$4*(1+Inputs!$B$7)^(Q$3/12)/12*Tenants!$E$4-Tenants!$B$4*Tenants!$C$4/12),0)+IF(Q4&lt;=Tenants!$F$5,MAX(0,Tenants!$B$5*Tenants!$D$5*(1+Inputs!$B$7)^(Q$3/12)/12*Tenants!$E$5-Tenants!$B$5*Tenants!$C$5/12),0)+IF(Q4&lt;=Tenants!$F$6,MAX(0,Tenants!$B$6*Tenants!$D$6*(1+Inputs!$B$7)^(Q$3/12)/12*Tenants!$E$6-Tenants!$B$6*Tenants!$C$6/12),0)+IF(Q4&lt;=Tenants!$F$7,MAX(0,Tenants!$B$7*Tenants!$D$7*(1+Inputs!$B$7)^(Q$3/12)/12*Tenants!$E$7-Tenants!$B$7*Tenants!$C$7/12),0)</f>
        <v>2018963.88827079</v>
      </c>
      <c r="R12" s="0" t="n">
        <f aca="false">IF(R4&lt;=Tenants!$F$2,MAX(0,Tenants!$B$2*Tenants!$D$2*(1+Inputs!$B$7)^(R$3/12)/12*Tenants!$E$2-Tenants!$B$2*Tenants!$C$2/12),0)+IF(R4&lt;=Tenants!$F$3,MAX(0,Tenants!$B$3*Tenants!$D$3*(1+Inputs!$B$7)^(R$3/12)/12*Tenants!$E$3-Tenants!$B$3*Tenants!$C$3/12),0)+IF(R4&lt;=Tenants!$F$4,MAX(0,Tenants!$B$4*Tenants!$D$4*(1+Inputs!$B$7)^(R$3/12)/12*Tenants!$E$4-Tenants!$B$4*Tenants!$C$4/12),0)+IF(R4&lt;=Tenants!$F$5,MAX(0,Tenants!$B$5*Tenants!$D$5*(1+Inputs!$B$7)^(R$3/12)/12*Tenants!$E$5-Tenants!$B$5*Tenants!$C$5/12),0)+IF(R4&lt;=Tenants!$F$6,MAX(0,Tenants!$B$6*Tenants!$D$6*(1+Inputs!$B$7)^(R$3/12)/12*Tenants!$E$6-Tenants!$B$6*Tenants!$C$6/12),0)+IF(R4&lt;=Tenants!$F$7,MAX(0,Tenants!$B$7*Tenants!$D$7*(1+Inputs!$B$7)^(R$3/12)/12*Tenants!$E$7-Tenants!$B$7*Tenants!$C$7/12),0)</f>
        <v>2055500.88851292</v>
      </c>
      <c r="S12" s="0" t="n">
        <f aca="false">IF(S4&lt;=Tenants!$F$2,MAX(0,Tenants!$B$2*Tenants!$D$2*(1+Inputs!$B$7)^(S$3/12)/12*Tenants!$E$2-Tenants!$B$2*Tenants!$C$2/12),0)+IF(S4&lt;=Tenants!$F$3,MAX(0,Tenants!$B$3*Tenants!$D$3*(1+Inputs!$B$7)^(S$3/12)/12*Tenants!$E$3-Tenants!$B$3*Tenants!$C$3/12),0)+IF(S4&lt;=Tenants!$F$4,MAX(0,Tenants!$B$4*Tenants!$D$4*(1+Inputs!$B$7)^(S$3/12)/12*Tenants!$E$4-Tenants!$B$4*Tenants!$C$4/12),0)+IF(S4&lt;=Tenants!$F$5,MAX(0,Tenants!$B$5*Tenants!$D$5*(1+Inputs!$B$7)^(S$3/12)/12*Tenants!$E$5-Tenants!$B$5*Tenants!$C$5/12),0)+IF(S4&lt;=Tenants!$F$6,MAX(0,Tenants!$B$6*Tenants!$D$6*(1+Inputs!$B$7)^(S$3/12)/12*Tenants!$E$6-Tenants!$B$6*Tenants!$C$6/12),0)+IF(S4&lt;=Tenants!$F$7,MAX(0,Tenants!$B$7*Tenants!$D$7*(1+Inputs!$B$7)^(S$3/12)/12*Tenants!$E$7-Tenants!$B$7*Tenants!$C$7/12),0)</f>
        <v>2092157.50138625</v>
      </c>
      <c r="T12" s="0" t="n">
        <f aca="false">IF(T4&lt;=Tenants!$F$2,MAX(0,Tenants!$B$2*Tenants!$D$2*(1+Inputs!$B$7)^(T$3/12)/12*Tenants!$E$2-Tenants!$B$2*Tenants!$C$2/12),0)+IF(T4&lt;=Tenants!$F$3,MAX(0,Tenants!$B$3*Tenants!$D$3*(1+Inputs!$B$7)^(T$3/12)/12*Tenants!$E$3-Tenants!$B$3*Tenants!$C$3/12),0)+IF(T4&lt;=Tenants!$F$4,MAX(0,Tenants!$B$4*Tenants!$D$4*(1+Inputs!$B$7)^(T$3/12)/12*Tenants!$E$4-Tenants!$B$4*Tenants!$C$4/12),0)+IF(T4&lt;=Tenants!$F$5,MAX(0,Tenants!$B$5*Tenants!$D$5*(1+Inputs!$B$7)^(T$3/12)/12*Tenants!$E$5-Tenants!$B$5*Tenants!$C$5/12),0)+IF(T4&lt;=Tenants!$F$6,MAX(0,Tenants!$B$6*Tenants!$D$6*(1+Inputs!$B$7)^(T$3/12)/12*Tenants!$E$6-Tenants!$B$6*Tenants!$C$6/12),0)+IF(T4&lt;=Tenants!$F$7,MAX(0,Tenants!$B$7*Tenants!$D$7*(1+Inputs!$B$7)^(T$3/12)/12*Tenants!$E$7-Tenants!$B$7*Tenants!$C$7/12),0)</f>
        <v>2128934.11847144</v>
      </c>
      <c r="U12" s="0" t="n">
        <f aca="false">IF(U4&lt;=Tenants!$F$2,MAX(0,Tenants!$B$2*Tenants!$D$2*(1+Inputs!$B$7)^(U$3/12)/12*Tenants!$E$2-Tenants!$B$2*Tenants!$C$2/12),0)+IF(U4&lt;=Tenants!$F$3,MAX(0,Tenants!$B$3*Tenants!$D$3*(1+Inputs!$B$7)^(U$3/12)/12*Tenants!$E$3-Tenants!$B$3*Tenants!$C$3/12),0)+IF(U4&lt;=Tenants!$F$4,MAX(0,Tenants!$B$4*Tenants!$D$4*(1+Inputs!$B$7)^(U$3/12)/12*Tenants!$E$4-Tenants!$B$4*Tenants!$C$4/12),0)+IF(U4&lt;=Tenants!$F$5,MAX(0,Tenants!$B$5*Tenants!$D$5*(1+Inputs!$B$7)^(U$3/12)/12*Tenants!$E$5-Tenants!$B$5*Tenants!$C$5/12),0)+IF(U4&lt;=Tenants!$F$6,MAX(0,Tenants!$B$6*Tenants!$D$6*(1+Inputs!$B$7)^(U$3/12)/12*Tenants!$E$6-Tenants!$B$6*Tenants!$C$6/12),0)+IF(U4&lt;=Tenants!$F$7,MAX(0,Tenants!$B$7*Tenants!$D$7*(1+Inputs!$B$7)^(U$3/12)/12*Tenants!$E$7-Tenants!$B$7*Tenants!$C$7/12),0)</f>
        <v>2165831.13263102</v>
      </c>
      <c r="V12" s="0" t="n">
        <f aca="false">IF(V4&lt;=Tenants!$F$2,MAX(0,Tenants!$B$2*Tenants!$D$2*(1+Inputs!$B$7)^(V$3/12)/12*Tenants!$E$2-Tenants!$B$2*Tenants!$C$2/12),0)+IF(V4&lt;=Tenants!$F$3,MAX(0,Tenants!$B$3*Tenants!$D$3*(1+Inputs!$B$7)^(V$3/12)/12*Tenants!$E$3-Tenants!$B$3*Tenants!$C$3/12),0)+IF(V4&lt;=Tenants!$F$4,MAX(0,Tenants!$B$4*Tenants!$D$4*(1+Inputs!$B$7)^(V$3/12)/12*Tenants!$E$4-Tenants!$B$4*Tenants!$C$4/12),0)+IF(V4&lt;=Tenants!$F$5,MAX(0,Tenants!$B$5*Tenants!$D$5*(1+Inputs!$B$7)^(V$3/12)/12*Tenants!$E$5-Tenants!$B$5*Tenants!$C$5/12),0)+IF(V4&lt;=Tenants!$F$6,MAX(0,Tenants!$B$6*Tenants!$D$6*(1+Inputs!$B$7)^(V$3/12)/12*Tenants!$E$6-Tenants!$B$6*Tenants!$C$6/12),0)+IF(V4&lt;=Tenants!$F$7,MAX(0,Tenants!$B$7*Tenants!$D$7*(1+Inputs!$B$7)^(V$3/12)/12*Tenants!$E$7-Tenants!$B$7*Tenants!$C$7/12),0)</f>
        <v>2202848.93801371</v>
      </c>
      <c r="W12" s="0" t="n">
        <f aca="false">IF(W4&lt;=Tenants!$F$2,MAX(0,Tenants!$B$2*Tenants!$D$2*(1+Inputs!$B$7)^(W$3/12)/12*Tenants!$E$2-Tenants!$B$2*Tenants!$C$2/12),0)+IF(W4&lt;=Tenants!$F$3,MAX(0,Tenants!$B$3*Tenants!$D$3*(1+Inputs!$B$7)^(W$3/12)/12*Tenants!$E$3-Tenants!$B$3*Tenants!$C$3/12),0)+IF(W4&lt;=Tenants!$F$4,MAX(0,Tenants!$B$4*Tenants!$D$4*(1+Inputs!$B$7)^(W$3/12)/12*Tenants!$E$4-Tenants!$B$4*Tenants!$C$4/12),0)+IF(W4&lt;=Tenants!$F$5,MAX(0,Tenants!$B$5*Tenants!$D$5*(1+Inputs!$B$7)^(W$3/12)/12*Tenants!$E$5-Tenants!$B$5*Tenants!$C$5/12),0)+IF(W4&lt;=Tenants!$F$6,MAX(0,Tenants!$B$6*Tenants!$D$6*(1+Inputs!$B$7)^(W$3/12)/12*Tenants!$E$6-Tenants!$B$6*Tenants!$C$6/12),0)+IF(W4&lt;=Tenants!$F$7,MAX(0,Tenants!$B$7*Tenants!$D$7*(1+Inputs!$B$7)^(W$3/12)/12*Tenants!$E$7-Tenants!$B$7*Tenants!$C$7/12),0)</f>
        <v>2239987.93005853</v>
      </c>
      <c r="X12" s="0" t="n">
        <f aca="false">IF(X4&lt;=Tenants!$F$2,MAX(0,Tenants!$B$2*Tenants!$D$2*(1+Inputs!$B$7)^(X$3/12)/12*Tenants!$E$2-Tenants!$B$2*Tenants!$C$2/12),0)+IF(X4&lt;=Tenants!$F$3,MAX(0,Tenants!$B$3*Tenants!$D$3*(1+Inputs!$B$7)^(X$3/12)/12*Tenants!$E$3-Tenants!$B$3*Tenants!$C$3/12),0)+IF(X4&lt;=Tenants!$F$4,MAX(0,Tenants!$B$4*Tenants!$D$4*(1+Inputs!$B$7)^(X$3/12)/12*Tenants!$E$4-Tenants!$B$4*Tenants!$C$4/12),0)+IF(X4&lt;=Tenants!$F$5,MAX(0,Tenants!$B$5*Tenants!$D$5*(1+Inputs!$B$7)^(X$3/12)/12*Tenants!$E$5-Tenants!$B$5*Tenants!$C$5/12),0)+IF(X4&lt;=Tenants!$F$6,MAX(0,Tenants!$B$6*Tenants!$D$6*(1+Inputs!$B$7)^(X$3/12)/12*Tenants!$E$6-Tenants!$B$6*Tenants!$C$6/12),0)+IF(X4&lt;=Tenants!$F$7,MAX(0,Tenants!$B$7*Tenants!$D$7*(1+Inputs!$B$7)^(X$3/12)/12*Tenants!$E$7-Tenants!$B$7*Tenants!$C$7/12),0)</f>
        <v>833807.968213705</v>
      </c>
      <c r="Y12" s="0" t="n">
        <f aca="false">IF(Y4&lt;=Tenants!$F$2,MAX(0,Tenants!$B$2*Tenants!$D$2*(1+Inputs!$B$7)^(Y$3/12)/12*Tenants!$E$2-Tenants!$B$2*Tenants!$C$2/12),0)+IF(Y4&lt;=Tenants!$F$3,MAX(0,Tenants!$B$3*Tenants!$D$3*(1+Inputs!$B$7)^(Y$3/12)/12*Tenants!$E$3-Tenants!$B$3*Tenants!$C$3/12),0)+IF(Y4&lt;=Tenants!$F$4,MAX(0,Tenants!$B$4*Tenants!$D$4*(1+Inputs!$B$7)^(Y$3/12)/12*Tenants!$E$4-Tenants!$B$4*Tenants!$C$4/12),0)+IF(Y4&lt;=Tenants!$F$5,MAX(0,Tenants!$B$5*Tenants!$D$5*(1+Inputs!$B$7)^(Y$3/12)/12*Tenants!$E$5-Tenants!$B$5*Tenants!$C$5/12),0)+IF(Y4&lt;=Tenants!$F$6,MAX(0,Tenants!$B$6*Tenants!$D$6*(1+Inputs!$B$7)^(Y$3/12)/12*Tenants!$E$6-Tenants!$B$6*Tenants!$C$6/12),0)+IF(Y4&lt;=Tenants!$F$7,MAX(0,Tenants!$B$7*Tenants!$D$7*(1+Inputs!$B$7)^(Y$3/12)/12*Tenants!$E$7-Tenants!$B$7*Tenants!$C$7/12),0)</f>
        <v>849086.974361723</v>
      </c>
      <c r="Z12" s="0" t="n">
        <f aca="false">IF(Z4&lt;=Tenants!$F$2,MAX(0,Tenants!$B$2*Tenants!$D$2*(1+Inputs!$B$7)^(Z$3/12)/12*Tenants!$E$2-Tenants!$B$2*Tenants!$C$2/12),0)+IF(Z4&lt;=Tenants!$F$3,MAX(0,Tenants!$B$3*Tenants!$D$3*(1+Inputs!$B$7)^(Z$3/12)/12*Tenants!$E$3-Tenants!$B$3*Tenants!$C$3/12),0)+IF(Z4&lt;=Tenants!$F$4,MAX(0,Tenants!$B$4*Tenants!$D$4*(1+Inputs!$B$7)^(Z$3/12)/12*Tenants!$E$4-Tenants!$B$4*Tenants!$C$4/12),0)+IF(Z4&lt;=Tenants!$F$5,MAX(0,Tenants!$B$5*Tenants!$D$5*(1+Inputs!$B$7)^(Z$3/12)/12*Tenants!$E$5-Tenants!$B$5*Tenants!$C$5/12),0)+IF(Z4&lt;=Tenants!$F$6,MAX(0,Tenants!$B$6*Tenants!$D$6*(1+Inputs!$B$7)^(Z$3/12)/12*Tenants!$E$6-Tenants!$B$6*Tenants!$C$6/12),0)+IF(Z4&lt;=Tenants!$F$7,MAX(0,Tenants!$B$7*Tenants!$D$7*(1+Inputs!$B$7)^(Z$3/12)/12*Tenants!$E$7-Tenants!$B$7*Tenants!$C$7/12),0)</f>
        <v>864416.000000001</v>
      </c>
      <c r="AA12" s="0" t="n">
        <f aca="false">IF(AA4&lt;=Tenants!$F$2,MAX(0,Tenants!$B$2*Tenants!$D$2*(1+Inputs!$B$7)^(AA$3/12)/12*Tenants!$E$2-Tenants!$B$2*Tenants!$C$2/12),0)+IF(AA4&lt;=Tenants!$F$3,MAX(0,Tenants!$B$3*Tenants!$D$3*(1+Inputs!$B$7)^(AA$3/12)/12*Tenants!$E$3-Tenants!$B$3*Tenants!$C$3/12),0)+IF(AA4&lt;=Tenants!$F$4,MAX(0,Tenants!$B$4*Tenants!$D$4*(1+Inputs!$B$7)^(AA$3/12)/12*Tenants!$E$4-Tenants!$B$4*Tenants!$C$4/12),0)+IF(AA4&lt;=Tenants!$F$5,MAX(0,Tenants!$B$5*Tenants!$D$5*(1+Inputs!$B$7)^(AA$3/12)/12*Tenants!$E$5-Tenants!$B$5*Tenants!$C$5/12),0)+IF(AA4&lt;=Tenants!$F$6,MAX(0,Tenants!$B$6*Tenants!$D$6*(1+Inputs!$B$7)^(AA$3/12)/12*Tenants!$E$6-Tenants!$B$6*Tenants!$C$6/12),0)+IF(AA4&lt;=Tenants!$F$7,MAX(0,Tenants!$B$7*Tenants!$D$7*(1+Inputs!$B$7)^(AA$3/12)/12*Tenants!$E$7-Tenants!$B$7*Tenants!$C$7/12),0)</f>
        <v>879795.208879332</v>
      </c>
      <c r="AB12" s="0" t="n">
        <f aca="false">IF(AB4&lt;=Tenants!$F$2,MAX(0,Tenants!$B$2*Tenants!$D$2*(1+Inputs!$B$7)^(AB$3/12)/12*Tenants!$E$2-Tenants!$B$2*Tenants!$C$2/12),0)+IF(AB4&lt;=Tenants!$F$3,MAX(0,Tenants!$B$3*Tenants!$D$3*(1+Inputs!$B$7)^(AB$3/12)/12*Tenants!$E$3-Tenants!$B$3*Tenants!$C$3/12),0)+IF(AB4&lt;=Tenants!$F$4,MAX(0,Tenants!$B$4*Tenants!$D$4*(1+Inputs!$B$7)^(AB$3/12)/12*Tenants!$E$4-Tenants!$B$4*Tenants!$C$4/12),0)+IF(AB4&lt;=Tenants!$F$5,MAX(0,Tenants!$B$5*Tenants!$D$5*(1+Inputs!$B$7)^(AB$3/12)/12*Tenants!$E$5-Tenants!$B$5*Tenants!$C$5/12),0)+IF(AB4&lt;=Tenants!$F$6,MAX(0,Tenants!$B$6*Tenants!$D$6*(1+Inputs!$B$7)^(AB$3/12)/12*Tenants!$E$6-Tenants!$B$6*Tenants!$C$6/12),0)+IF(AB4&lt;=Tenants!$F$7,MAX(0,Tenants!$B$7*Tenants!$D$7*(1+Inputs!$B$7)^(AB$3/12)/12*Tenants!$E$7-Tenants!$B$7*Tenants!$C$7/12),0)</f>
        <v>895224.76528659</v>
      </c>
      <c r="AC12" s="0" t="n">
        <f aca="false">IF(AC4&lt;=Tenants!$F$2,MAX(0,Tenants!$B$2*Tenants!$D$2*(1+Inputs!$B$7)^(AC$3/12)/12*Tenants!$E$2-Tenants!$B$2*Tenants!$C$2/12),0)+IF(AC4&lt;=Tenants!$F$3,MAX(0,Tenants!$B$3*Tenants!$D$3*(1+Inputs!$B$7)^(AC$3/12)/12*Tenants!$E$3-Tenants!$B$3*Tenants!$C$3/12),0)+IF(AC4&lt;=Tenants!$F$4,MAX(0,Tenants!$B$4*Tenants!$D$4*(1+Inputs!$B$7)^(AC$3/12)/12*Tenants!$E$4-Tenants!$B$4*Tenants!$C$4/12),0)+IF(AC4&lt;=Tenants!$F$5,MAX(0,Tenants!$B$5*Tenants!$D$5*(1+Inputs!$B$7)^(AC$3/12)/12*Tenants!$E$5-Tenants!$B$5*Tenants!$C$5/12),0)+IF(AC4&lt;=Tenants!$F$6,MAX(0,Tenants!$B$6*Tenants!$D$6*(1+Inputs!$B$7)^(AC$3/12)/12*Tenants!$E$6-Tenants!$B$6*Tenants!$C$6/12),0)+IF(AC4&lt;=Tenants!$F$7,MAX(0,Tenants!$B$7*Tenants!$D$7*(1+Inputs!$B$7)^(AC$3/12)/12*Tenants!$E$7-Tenants!$B$7*Tenants!$C$7/12),0)</f>
        <v>910704.834046481</v>
      </c>
      <c r="AD12" s="0" t="n">
        <f aca="false">IF(AD4&lt;=Tenants!$F$2,MAX(0,Tenants!$B$2*Tenants!$D$2*(1+Inputs!$B$7)^(AD$3/12)/12*Tenants!$E$2-Tenants!$B$2*Tenants!$C$2/12),0)+IF(AD4&lt;=Tenants!$F$3,MAX(0,Tenants!$B$3*Tenants!$D$3*(1+Inputs!$B$7)^(AD$3/12)/12*Tenants!$E$3-Tenants!$B$3*Tenants!$C$3/12),0)+IF(AD4&lt;=Tenants!$F$4,MAX(0,Tenants!$B$4*Tenants!$D$4*(1+Inputs!$B$7)^(AD$3/12)/12*Tenants!$E$4-Tenants!$B$4*Tenants!$C$4/12),0)+IF(AD4&lt;=Tenants!$F$5,MAX(0,Tenants!$B$5*Tenants!$D$5*(1+Inputs!$B$7)^(AD$3/12)/12*Tenants!$E$5-Tenants!$B$5*Tenants!$C$5/12),0)+IF(AD4&lt;=Tenants!$F$6,MAX(0,Tenants!$B$6*Tenants!$D$6*(1+Inputs!$B$7)^(AD$3/12)/12*Tenants!$E$6-Tenants!$B$6*Tenants!$C$6/12),0)+IF(AD4&lt;=Tenants!$F$7,MAX(0,Tenants!$B$7*Tenants!$D$7*(1+Inputs!$B$7)^(AD$3/12)/12*Tenants!$E$7-Tenants!$B$7*Tenants!$C$7/12),0)</f>
        <v>823068.977380579</v>
      </c>
      <c r="AE12" s="0" t="n">
        <f aca="false">IF(AE4&lt;=Tenants!$F$2,MAX(0,Tenants!$B$2*Tenants!$D$2*(1+Inputs!$B$7)^(AE$3/12)/12*Tenants!$E$2-Tenants!$B$2*Tenants!$C$2/12),0)+IF(AE4&lt;=Tenants!$F$3,MAX(0,Tenants!$B$3*Tenants!$D$3*(1+Inputs!$B$7)^(AE$3/12)/12*Tenants!$E$3-Tenants!$B$3*Tenants!$C$3/12),0)+IF(AE4&lt;=Tenants!$F$4,MAX(0,Tenants!$B$4*Tenants!$D$4*(1+Inputs!$B$7)^(AE$3/12)/12*Tenants!$E$4-Tenants!$B$4*Tenants!$C$4/12),0)+IF(AE4&lt;=Tenants!$F$5,MAX(0,Tenants!$B$5*Tenants!$D$5*(1+Inputs!$B$7)^(AE$3/12)/12*Tenants!$E$5-Tenants!$B$5*Tenants!$C$5/12),0)+IF(AE4&lt;=Tenants!$F$6,MAX(0,Tenants!$B$6*Tenants!$D$6*(1+Inputs!$B$7)^(AE$3/12)/12*Tenants!$E$6-Tenants!$B$6*Tenants!$C$6/12),0)+IF(AE4&lt;=Tenants!$F$7,MAX(0,Tenants!$B$7*Tenants!$D$7*(1+Inputs!$B$7)^(AE$3/12)/12*Tenants!$E$7-Tenants!$B$7*Tenants!$C$7/12),0)</f>
        <v>836785.081635393</v>
      </c>
      <c r="AF12" s="0" t="n">
        <f aca="false">IF(AF4&lt;=Tenants!$F$2,MAX(0,Tenants!$B$2*Tenants!$D$2*(1+Inputs!$B$7)^(AF$3/12)/12*Tenants!$E$2-Tenants!$B$2*Tenants!$C$2/12),0)+IF(AF4&lt;=Tenants!$F$3,MAX(0,Tenants!$B$3*Tenants!$D$3*(1+Inputs!$B$7)^(AF$3/12)/12*Tenants!$E$3-Tenants!$B$3*Tenants!$C$3/12),0)+IF(AF4&lt;=Tenants!$F$4,MAX(0,Tenants!$B$4*Tenants!$D$4*(1+Inputs!$B$7)^(AF$3/12)/12*Tenants!$E$4-Tenants!$B$4*Tenants!$C$4/12),0)+IF(AF4&lt;=Tenants!$F$5,MAX(0,Tenants!$B$5*Tenants!$D$5*(1+Inputs!$B$7)^(AF$3/12)/12*Tenants!$E$5-Tenants!$B$5*Tenants!$C$5/12),0)+IF(AF4&lt;=Tenants!$F$6,MAX(0,Tenants!$B$6*Tenants!$D$6*(1+Inputs!$B$7)^(AF$3/12)/12*Tenants!$E$6-Tenants!$B$6*Tenants!$C$6/12),0)+IF(AF4&lt;=Tenants!$F$7,MAX(0,Tenants!$B$7*Tenants!$D$7*(1+Inputs!$B$7)^(AF$3/12)/12*Tenants!$E$7-Tenants!$B$7*Tenants!$C$7/12),0)</f>
        <v>850546.088846363</v>
      </c>
      <c r="AG12" s="0" t="n">
        <f aca="false">IF(AG4&lt;=Tenants!$F$2,MAX(0,Tenants!$B$2*Tenants!$D$2*(1+Inputs!$B$7)^(AG$3/12)/12*Tenants!$E$2-Tenants!$B$2*Tenants!$C$2/12),0)+IF(AG4&lt;=Tenants!$F$3,MAX(0,Tenants!$B$3*Tenants!$D$3*(1+Inputs!$B$7)^(AG$3/12)/12*Tenants!$E$3-Tenants!$B$3*Tenants!$C$3/12),0)+IF(AG4&lt;=Tenants!$F$4,MAX(0,Tenants!$B$4*Tenants!$D$4*(1+Inputs!$B$7)^(AG$3/12)/12*Tenants!$E$4-Tenants!$B$4*Tenants!$C$4/12),0)+IF(AG4&lt;=Tenants!$F$5,MAX(0,Tenants!$B$5*Tenants!$D$5*(1+Inputs!$B$7)^(AG$3/12)/12*Tenants!$E$5-Tenants!$B$5*Tenants!$C$5/12),0)+IF(AG4&lt;=Tenants!$F$6,MAX(0,Tenants!$B$6*Tenants!$D$6*(1+Inputs!$B$7)^(AG$3/12)/12*Tenants!$E$6-Tenants!$B$6*Tenants!$C$6/12),0)+IF(AG4&lt;=Tenants!$F$7,MAX(0,Tenants!$B$7*Tenants!$D$7*(1+Inputs!$B$7)^(AG$3/12)/12*Tenants!$E$7-Tenants!$B$7*Tenants!$C$7/12),0)</f>
        <v>864352.146014082</v>
      </c>
      <c r="AH12" s="0" t="n">
        <f aca="false">IF(AH4&lt;=Tenants!$F$2,MAX(0,Tenants!$B$2*Tenants!$D$2*(1+Inputs!$B$7)^(AH$3/12)/12*Tenants!$E$2-Tenants!$B$2*Tenants!$C$2/12),0)+IF(AH4&lt;=Tenants!$F$3,MAX(0,Tenants!$B$3*Tenants!$D$3*(1+Inputs!$B$7)^(AH$3/12)/12*Tenants!$E$3-Tenants!$B$3*Tenants!$C$3/12),0)+IF(AH4&lt;=Tenants!$F$4,MAX(0,Tenants!$B$4*Tenants!$D$4*(1+Inputs!$B$7)^(AH$3/12)/12*Tenants!$E$4-Tenants!$B$4*Tenants!$C$4/12),0)+IF(AH4&lt;=Tenants!$F$5,MAX(0,Tenants!$B$5*Tenants!$D$5*(1+Inputs!$B$7)^(AH$3/12)/12*Tenants!$E$5-Tenants!$B$5*Tenants!$C$5/12),0)+IF(AH4&lt;=Tenants!$F$6,MAX(0,Tenants!$B$6*Tenants!$D$6*(1+Inputs!$B$7)^(AH$3/12)/12*Tenants!$E$6-Tenants!$B$6*Tenants!$C$6/12),0)+IF(AH4&lt;=Tenants!$F$7,MAX(0,Tenants!$B$7*Tenants!$D$7*(1+Inputs!$B$7)^(AH$3/12)/12*Tenants!$E$7-Tenants!$B$7*Tenants!$C$7/12),0)</f>
        <v>878203.400620387</v>
      </c>
      <c r="AI12" s="0" t="n">
        <f aca="false">IF(AI4&lt;=Tenants!$F$2,MAX(0,Tenants!$B$2*Tenants!$D$2*(1+Inputs!$B$7)^(AI$3/12)/12*Tenants!$E$2-Tenants!$B$2*Tenants!$C$2/12),0)+IF(AI4&lt;=Tenants!$F$3,MAX(0,Tenants!$B$3*Tenants!$D$3*(1+Inputs!$B$7)^(AI$3/12)/12*Tenants!$E$3-Tenants!$B$3*Tenants!$C$3/12),0)+IF(AI4&lt;=Tenants!$F$4,MAX(0,Tenants!$B$4*Tenants!$D$4*(1+Inputs!$B$7)^(AI$3/12)/12*Tenants!$E$4-Tenants!$B$4*Tenants!$C$4/12),0)+IF(AI4&lt;=Tenants!$F$5,MAX(0,Tenants!$B$5*Tenants!$D$5*(1+Inputs!$B$7)^(AI$3/12)/12*Tenants!$E$5-Tenants!$B$5*Tenants!$C$5/12),0)+IF(AI4&lt;=Tenants!$F$6,MAX(0,Tenants!$B$6*Tenants!$D$6*(1+Inputs!$B$7)^(AI$3/12)/12*Tenants!$E$6-Tenants!$B$6*Tenants!$C$6/12),0)+IF(AI4&lt;=Tenants!$F$7,MAX(0,Tenants!$B$7*Tenants!$D$7*(1+Inputs!$B$7)^(AI$3/12)/12*Tenants!$E$7-Tenants!$B$7*Tenants!$C$7/12),0)</f>
        <v>892100.00062993</v>
      </c>
      <c r="AJ12" s="0" t="n">
        <f aca="false">IF(AJ4&lt;=Tenants!$F$2,MAX(0,Tenants!$B$2*Tenants!$D$2*(1+Inputs!$B$7)^(AJ$3/12)/12*Tenants!$E$2-Tenants!$B$2*Tenants!$C$2/12),0)+IF(AJ4&lt;=Tenants!$F$3,MAX(0,Tenants!$B$3*Tenants!$D$3*(1+Inputs!$B$7)^(AJ$3/12)/12*Tenants!$E$3-Tenants!$B$3*Tenants!$C$3/12),0)+IF(AJ4&lt;=Tenants!$F$4,MAX(0,Tenants!$B$4*Tenants!$D$4*(1+Inputs!$B$7)^(AJ$3/12)/12*Tenants!$E$4-Tenants!$B$4*Tenants!$C$4/12),0)+IF(AJ4&lt;=Tenants!$F$5,MAX(0,Tenants!$B$5*Tenants!$D$5*(1+Inputs!$B$7)^(AJ$3/12)/12*Tenants!$E$5-Tenants!$B$5*Tenants!$C$5/12),0)+IF(AJ4&lt;=Tenants!$F$6,MAX(0,Tenants!$B$6*Tenants!$D$6*(1+Inputs!$B$7)^(AJ$3/12)/12*Tenants!$E$6-Tenants!$B$6*Tenants!$C$6/12),0)+IF(AJ4&lt;=Tenants!$F$7,MAX(0,Tenants!$B$7*Tenants!$D$7*(1+Inputs!$B$7)^(AJ$3/12)/12*Tenants!$E$7-Tenants!$B$7*Tenants!$C$7/12),0)</f>
        <v>906042.094491761</v>
      </c>
      <c r="AK12" s="0" t="n">
        <f aca="false">IF(AK4&lt;=Tenants!$F$2,MAX(0,Tenants!$B$2*Tenants!$D$2*(1+Inputs!$B$7)^(AK$3/12)/12*Tenants!$E$2-Tenants!$B$2*Tenants!$C$2/12),0)+IF(AK4&lt;=Tenants!$F$3,MAX(0,Tenants!$B$3*Tenants!$D$3*(1+Inputs!$B$7)^(AK$3/12)/12*Tenants!$E$3-Tenants!$B$3*Tenants!$C$3/12),0)+IF(AK4&lt;=Tenants!$F$4,MAX(0,Tenants!$B$4*Tenants!$D$4*(1+Inputs!$B$7)^(AK$3/12)/12*Tenants!$E$4-Tenants!$B$4*Tenants!$C$4/12),0)+IF(AK4&lt;=Tenants!$F$5,MAX(0,Tenants!$B$5*Tenants!$D$5*(1+Inputs!$B$7)^(AK$3/12)/12*Tenants!$E$5-Tenants!$B$5*Tenants!$C$5/12),0)+IF(AK4&lt;=Tenants!$F$6,MAX(0,Tenants!$B$6*Tenants!$D$6*(1+Inputs!$B$7)^(AK$3/12)/12*Tenants!$E$6-Tenants!$B$6*Tenants!$C$6/12),0)+IF(AK4&lt;=Tenants!$F$7,MAX(0,Tenants!$B$7*Tenants!$D$7*(1+Inputs!$B$7)^(AK$3/12)/12*Tenants!$E$7-Tenants!$B$7*Tenants!$C$7/12),0)</f>
        <v>920029.831140915</v>
      </c>
      <c r="AL12" s="0" t="n">
        <f aca="false">IF(AL4&lt;=Tenants!$F$2,MAX(0,Tenants!$B$2*Tenants!$D$2*(1+Inputs!$B$7)^(AL$3/12)/12*Tenants!$E$2-Tenants!$B$2*Tenants!$C$2/12),0)+IF(AL4&lt;=Tenants!$F$3,MAX(0,Tenants!$B$3*Tenants!$D$3*(1+Inputs!$B$7)^(AL$3/12)/12*Tenants!$E$3-Tenants!$B$3*Tenants!$C$3/12),0)+IF(AL4&lt;=Tenants!$F$4,MAX(0,Tenants!$B$4*Tenants!$D$4*(1+Inputs!$B$7)^(AL$3/12)/12*Tenants!$E$4-Tenants!$B$4*Tenants!$C$4/12),0)+IF(AL4&lt;=Tenants!$F$5,MAX(0,Tenants!$B$5*Tenants!$D$5*(1+Inputs!$B$7)^(AL$3/12)/12*Tenants!$E$5-Tenants!$B$5*Tenants!$C$5/12),0)+IF(AL4&lt;=Tenants!$F$6,MAX(0,Tenants!$B$6*Tenants!$D$6*(1+Inputs!$B$7)^(AL$3/12)/12*Tenants!$E$6-Tenants!$B$6*Tenants!$C$6/12),0)+IF(AL4&lt;=Tenants!$F$7,MAX(0,Tenants!$B$7*Tenants!$D$7*(1+Inputs!$B$7)^(AL$3/12)/12*Tenants!$E$7-Tenants!$B$7*Tenants!$C$7/12),0)</f>
        <v>934063.36</v>
      </c>
      <c r="AM12" s="0" t="n">
        <f aca="false">IF(AM4&lt;=Tenants!$F$2,MAX(0,Tenants!$B$2*Tenants!$D$2*(1+Inputs!$B$7)^(AM$3/12)/12*Tenants!$E$2-Tenants!$B$2*Tenants!$C$2/12),0)+IF(AM4&lt;=Tenants!$F$3,MAX(0,Tenants!$B$3*Tenants!$D$3*(1+Inputs!$B$7)^(AM$3/12)/12*Tenants!$E$3-Tenants!$B$3*Tenants!$C$3/12),0)+IF(AM4&lt;=Tenants!$F$4,MAX(0,Tenants!$B$4*Tenants!$D$4*(1+Inputs!$B$7)^(AM$3/12)/12*Tenants!$E$4-Tenants!$B$4*Tenants!$C$4/12),0)+IF(AM4&lt;=Tenants!$F$5,MAX(0,Tenants!$B$5*Tenants!$D$5*(1+Inputs!$B$7)^(AM$3/12)/12*Tenants!$E$5-Tenants!$B$5*Tenants!$C$5/12),0)+IF(AM4&lt;=Tenants!$F$6,MAX(0,Tenants!$B$6*Tenants!$D$6*(1+Inputs!$B$7)^(AM$3/12)/12*Tenants!$E$6-Tenants!$B$6*Tenants!$C$6/12),0)+IF(AM4&lt;=Tenants!$F$7,MAX(0,Tenants!$B$7*Tenants!$D$7*(1+Inputs!$B$7)^(AM$3/12)/12*Tenants!$E$7-Tenants!$B$7*Tenants!$C$7/12),0)</f>
        <v>948142.830980796</v>
      </c>
      <c r="AN12" s="0" t="n">
        <f aca="false">IF(AN4&lt;=Tenants!$F$2,MAX(0,Tenants!$B$2*Tenants!$D$2*(1+Inputs!$B$7)^(AN$3/12)/12*Tenants!$E$2-Tenants!$B$2*Tenants!$C$2/12),0)+IF(AN4&lt;=Tenants!$F$3,MAX(0,Tenants!$B$3*Tenants!$D$3*(1+Inputs!$B$7)^(AN$3/12)/12*Tenants!$E$3-Tenants!$B$3*Tenants!$C$3/12),0)+IF(AN4&lt;=Tenants!$F$4,MAX(0,Tenants!$B$4*Tenants!$D$4*(1+Inputs!$B$7)^(AN$3/12)/12*Tenants!$E$4-Tenants!$B$4*Tenants!$C$4/12),0)+IF(AN4&lt;=Tenants!$F$5,MAX(0,Tenants!$B$5*Tenants!$D$5*(1+Inputs!$B$7)^(AN$3/12)/12*Tenants!$E$5-Tenants!$B$5*Tenants!$C$5/12),0)+IF(AN4&lt;=Tenants!$F$6,MAX(0,Tenants!$B$6*Tenants!$D$6*(1+Inputs!$B$7)^(AN$3/12)/12*Tenants!$E$6-Tenants!$B$6*Tenants!$C$6/12),0)+IF(AN4&lt;=Tenants!$F$7,MAX(0,Tenants!$B$7*Tenants!$D$7*(1+Inputs!$B$7)^(AN$3/12)/12*Tenants!$E$7-Tenants!$B$7*Tenants!$C$7/12),0)</f>
        <v>962268.394485855</v>
      </c>
      <c r="AO12" s="0" t="n">
        <f aca="false">IF(AO4&lt;=Tenants!$F$2,MAX(0,Tenants!$B$2*Tenants!$D$2*(1+Inputs!$B$7)^(AO$3/12)/12*Tenants!$E$2-Tenants!$B$2*Tenants!$C$2/12),0)+IF(AO4&lt;=Tenants!$F$3,MAX(0,Tenants!$B$3*Tenants!$D$3*(1+Inputs!$B$7)^(AO$3/12)/12*Tenants!$E$3-Tenants!$B$3*Tenants!$C$3/12),0)+IF(AO4&lt;=Tenants!$F$4,MAX(0,Tenants!$B$4*Tenants!$D$4*(1+Inputs!$B$7)^(AO$3/12)/12*Tenants!$E$4-Tenants!$B$4*Tenants!$C$4/12),0)+IF(AO4&lt;=Tenants!$F$5,MAX(0,Tenants!$B$5*Tenants!$D$5*(1+Inputs!$B$7)^(AO$3/12)/12*Tenants!$E$5-Tenants!$B$5*Tenants!$C$5/12),0)+IF(AO4&lt;=Tenants!$F$6,MAX(0,Tenants!$B$6*Tenants!$D$6*(1+Inputs!$B$7)^(AO$3/12)/12*Tenants!$E$6-Tenants!$B$6*Tenants!$C$6/12),0)+IF(AO4&lt;=Tenants!$F$7,MAX(0,Tenants!$B$7*Tenants!$D$7*(1+Inputs!$B$7)^(AO$3/12)/12*Tenants!$E$7-Tenants!$B$7*Tenants!$C$7/12),0)</f>
        <v>976440.201410105</v>
      </c>
      <c r="AP12" s="0" t="n">
        <f aca="false">IF(AP4&lt;=Tenants!$F$2,MAX(0,Tenants!$B$2*Tenants!$D$2*(1+Inputs!$B$7)^(AP$3/12)/12*Tenants!$E$2-Tenants!$B$2*Tenants!$C$2/12),0)+IF(AP4&lt;=Tenants!$F$3,MAX(0,Tenants!$B$3*Tenants!$D$3*(1+Inputs!$B$7)^(AP$3/12)/12*Tenants!$E$3-Tenants!$B$3*Tenants!$C$3/12),0)+IF(AP4&lt;=Tenants!$F$4,MAX(0,Tenants!$B$4*Tenants!$D$4*(1+Inputs!$B$7)^(AP$3/12)/12*Tenants!$E$4-Tenants!$B$4*Tenants!$C$4/12),0)+IF(AP4&lt;=Tenants!$F$5,MAX(0,Tenants!$B$5*Tenants!$D$5*(1+Inputs!$B$7)^(AP$3/12)/12*Tenants!$E$5-Tenants!$B$5*Tenants!$C$5/12),0)+IF(AP4&lt;=Tenants!$F$6,MAX(0,Tenants!$B$6*Tenants!$D$6*(1+Inputs!$B$7)^(AP$3/12)/12*Tenants!$E$6-Tenants!$B$6*Tenants!$C$6/12),0)+IF(AP4&lt;=Tenants!$F$7,MAX(0,Tenants!$B$7*Tenants!$D$7*(1+Inputs!$B$7)^(AP$3/12)/12*Tenants!$E$7-Tenants!$B$7*Tenants!$C$7/12),0)</f>
        <v>990658.403142469</v>
      </c>
      <c r="AQ12" s="0" t="n">
        <f aca="false">IF(AQ4&lt;=Tenants!$F$2,MAX(0,Tenants!$B$2*Tenants!$D$2*(1+Inputs!$B$7)^(AQ$3/12)/12*Tenants!$E$2-Tenants!$B$2*Tenants!$C$2/12),0)+IF(AQ4&lt;=Tenants!$F$3,MAX(0,Tenants!$B$3*Tenants!$D$3*(1+Inputs!$B$7)^(AQ$3/12)/12*Tenants!$E$3-Tenants!$B$3*Tenants!$C$3/12),0)+IF(AQ4&lt;=Tenants!$F$4,MAX(0,Tenants!$B$4*Tenants!$D$4*(1+Inputs!$B$7)^(AQ$3/12)/12*Tenants!$E$4-Tenants!$B$4*Tenants!$C$4/12),0)+IF(AQ4&lt;=Tenants!$F$5,MAX(0,Tenants!$B$5*Tenants!$D$5*(1+Inputs!$B$7)^(AQ$3/12)/12*Tenants!$E$5-Tenants!$B$5*Tenants!$C$5/12),0)+IF(AQ4&lt;=Tenants!$F$6,MAX(0,Tenants!$B$6*Tenants!$D$6*(1+Inputs!$B$7)^(AQ$3/12)/12*Tenants!$E$6-Tenants!$B$6*Tenants!$C$6/12),0)+IF(AQ4&lt;=Tenants!$F$7,MAX(0,Tenants!$B$7*Tenants!$D$7*(1+Inputs!$B$7)^(AQ$3/12)/12*Tenants!$E$7-Tenants!$B$7*Tenants!$C$7/12),0)</f>
        <v>1004923.15156748</v>
      </c>
      <c r="AR12" s="0" t="n">
        <f aca="false">IF(AR4&lt;=Tenants!$F$2,MAX(0,Tenants!$B$2*Tenants!$D$2*(1+Inputs!$B$7)^(AR$3/12)/12*Tenants!$E$2-Tenants!$B$2*Tenants!$C$2/12),0)+IF(AR4&lt;=Tenants!$F$3,MAX(0,Tenants!$B$3*Tenants!$D$3*(1+Inputs!$B$7)^(AR$3/12)/12*Tenants!$E$3-Tenants!$B$3*Tenants!$C$3/12),0)+IF(AR4&lt;=Tenants!$F$4,MAX(0,Tenants!$B$4*Tenants!$D$4*(1+Inputs!$B$7)^(AR$3/12)/12*Tenants!$E$4-Tenants!$B$4*Tenants!$C$4/12),0)+IF(AR4&lt;=Tenants!$F$5,MAX(0,Tenants!$B$5*Tenants!$D$5*(1+Inputs!$B$7)^(AR$3/12)/12*Tenants!$E$5-Tenants!$B$5*Tenants!$C$5/12),0)+IF(AR4&lt;=Tenants!$F$6,MAX(0,Tenants!$B$6*Tenants!$D$6*(1+Inputs!$B$7)^(AR$3/12)/12*Tenants!$E$6-Tenants!$B$6*Tenants!$C$6/12),0)+IF(AR4&lt;=Tenants!$F$7,MAX(0,Tenants!$B$7*Tenants!$D$7*(1+Inputs!$B$7)^(AR$3/12)/12*Tenants!$E$7-Tenants!$B$7*Tenants!$C$7/12),0)</f>
        <v>1019234.59906688</v>
      </c>
      <c r="AS12" s="0" t="n">
        <f aca="false">IF(AS4&lt;=Tenants!$F$2,MAX(0,Tenants!$B$2*Tenants!$D$2*(1+Inputs!$B$7)^(AS$3/12)/12*Tenants!$E$2-Tenants!$B$2*Tenants!$C$2/12),0)+IF(AS4&lt;=Tenants!$F$3,MAX(0,Tenants!$B$3*Tenants!$D$3*(1+Inputs!$B$7)^(AS$3/12)/12*Tenants!$E$3-Tenants!$B$3*Tenants!$C$3/12),0)+IF(AS4&lt;=Tenants!$F$4,MAX(0,Tenants!$B$4*Tenants!$D$4*(1+Inputs!$B$7)^(AS$3/12)/12*Tenants!$E$4-Tenants!$B$4*Tenants!$C$4/12),0)+IF(AS4&lt;=Tenants!$F$5,MAX(0,Tenants!$B$5*Tenants!$D$5*(1+Inputs!$B$7)^(AS$3/12)/12*Tenants!$E$5-Tenants!$B$5*Tenants!$C$5/12),0)+IF(AS4&lt;=Tenants!$F$6,MAX(0,Tenants!$B$6*Tenants!$D$6*(1+Inputs!$B$7)^(AS$3/12)/12*Tenants!$E$6-Tenants!$B$6*Tenants!$C$6/12),0)+IF(AS4&lt;=Tenants!$F$7,MAX(0,Tenants!$B$7*Tenants!$D$7*(1+Inputs!$B$7)^(AS$3/12)/12*Tenants!$E$7-Tenants!$B$7*Tenants!$C$7/12),0)</f>
        <v>733463.765442798</v>
      </c>
      <c r="AT12" s="0" t="n">
        <f aca="false">IF(AT4&lt;=Tenants!$F$2,MAX(0,Tenants!$B$2*Tenants!$D$2*(1+Inputs!$B$7)^(AT$3/12)/12*Tenants!$E$2-Tenants!$B$2*Tenants!$C$2/12),0)+IF(AT4&lt;=Tenants!$F$3,MAX(0,Tenants!$B$3*Tenants!$D$3*(1+Inputs!$B$7)^(AT$3/12)/12*Tenants!$E$3-Tenants!$B$3*Tenants!$C$3/12),0)+IF(AT4&lt;=Tenants!$F$4,MAX(0,Tenants!$B$4*Tenants!$D$4*(1+Inputs!$B$7)^(AT$3/12)/12*Tenants!$E$4-Tenants!$B$4*Tenants!$C$4/12),0)+IF(AT4&lt;=Tenants!$F$5,MAX(0,Tenants!$B$5*Tenants!$D$5*(1+Inputs!$B$7)^(AT$3/12)/12*Tenants!$E$5-Tenants!$B$5*Tenants!$C$5/12),0)+IF(AT4&lt;=Tenants!$F$6,MAX(0,Tenants!$B$6*Tenants!$D$6*(1+Inputs!$B$7)^(AT$3/12)/12*Tenants!$E$6-Tenants!$B$6*Tenants!$C$6/12),0)+IF(AT4&lt;=Tenants!$F$7,MAX(0,Tenants!$B$7*Tenants!$D$7*(1+Inputs!$B$7)^(AT$3/12)/12*Tenants!$E$7-Tenants!$B$7*Tenants!$C$7/12),0)</f>
        <v>743121.72480107</v>
      </c>
      <c r="AU12" s="0" t="n">
        <f aca="false">IF(AU4&lt;=Tenants!$F$2,MAX(0,Tenants!$B$2*Tenants!$D$2*(1+Inputs!$B$7)^(AU$3/12)/12*Tenants!$E$2-Tenants!$B$2*Tenants!$C$2/12),0)+IF(AU4&lt;=Tenants!$F$3,MAX(0,Tenants!$B$3*Tenants!$D$3*(1+Inputs!$B$7)^(AU$3/12)/12*Tenants!$E$3-Tenants!$B$3*Tenants!$C$3/12),0)+IF(AU4&lt;=Tenants!$F$4,MAX(0,Tenants!$B$4*Tenants!$D$4*(1+Inputs!$B$7)^(AU$3/12)/12*Tenants!$E$4-Tenants!$B$4*Tenants!$C$4/12),0)+IF(AU4&lt;=Tenants!$F$5,MAX(0,Tenants!$B$5*Tenants!$D$5*(1+Inputs!$B$7)^(AU$3/12)/12*Tenants!$E$5-Tenants!$B$5*Tenants!$C$5/12),0)+IF(AU4&lt;=Tenants!$F$6,MAX(0,Tenants!$B$6*Tenants!$D$6*(1+Inputs!$B$7)^(AU$3/12)/12*Tenants!$E$6-Tenants!$B$6*Tenants!$C$6/12),0)+IF(AU4&lt;=Tenants!$F$7,MAX(0,Tenants!$B$7*Tenants!$D$7*(1+Inputs!$B$7)^(AU$3/12)/12*Tenants!$E$7-Tenants!$B$7*Tenants!$C$7/12),0)</f>
        <v>752811.301805108</v>
      </c>
      <c r="AV12" s="0" t="n">
        <f aca="false">IF(AV4&lt;=Tenants!$F$2,MAX(0,Tenants!$B$2*Tenants!$D$2*(1+Inputs!$B$7)^(AV$3/12)/12*Tenants!$E$2-Tenants!$B$2*Tenants!$C$2/12),0)+IF(AV4&lt;=Tenants!$F$3,MAX(0,Tenants!$B$3*Tenants!$D$3*(1+Inputs!$B$7)^(AV$3/12)/12*Tenants!$E$3-Tenants!$B$3*Tenants!$C$3/12),0)+IF(AV4&lt;=Tenants!$F$4,MAX(0,Tenants!$B$4*Tenants!$D$4*(1+Inputs!$B$7)^(AV$3/12)/12*Tenants!$E$4-Tenants!$B$4*Tenants!$C$4/12),0)+IF(AV4&lt;=Tenants!$F$5,MAX(0,Tenants!$B$5*Tenants!$D$5*(1+Inputs!$B$7)^(AV$3/12)/12*Tenants!$E$5-Tenants!$B$5*Tenants!$C$5/12),0)+IF(AV4&lt;=Tenants!$F$6,MAX(0,Tenants!$B$6*Tenants!$D$6*(1+Inputs!$B$7)^(AV$3/12)/12*Tenants!$E$6-Tenants!$B$6*Tenants!$C$6/12),0)+IF(AV4&lt;=Tenants!$F$7,MAX(0,Tenants!$B$7*Tenants!$D$7*(1+Inputs!$B$7)^(AV$3/12)/12*Tenants!$E$7-Tenants!$B$7*Tenants!$C$7/12),0)</f>
        <v>762532.599962857</v>
      </c>
      <c r="AW12" s="0" t="n">
        <f aca="false">IF(AW4&lt;=Tenants!$F$2,MAX(0,Tenants!$B$2*Tenants!$D$2*(1+Inputs!$B$7)^(AW$3/12)/12*Tenants!$E$2-Tenants!$B$2*Tenants!$C$2/12),0)+IF(AW4&lt;=Tenants!$F$3,MAX(0,Tenants!$B$3*Tenants!$D$3*(1+Inputs!$B$7)^(AW$3/12)/12*Tenants!$E$3-Tenants!$B$3*Tenants!$C$3/12),0)+IF(AW4&lt;=Tenants!$F$4,MAX(0,Tenants!$B$4*Tenants!$D$4*(1+Inputs!$B$7)^(AW$3/12)/12*Tenants!$E$4-Tenants!$B$4*Tenants!$C$4/12),0)+IF(AW4&lt;=Tenants!$F$5,MAX(0,Tenants!$B$5*Tenants!$D$5*(1+Inputs!$B$7)^(AW$3/12)/12*Tenants!$E$5-Tenants!$B$5*Tenants!$C$5/12),0)+IF(AW4&lt;=Tenants!$F$6,MAX(0,Tenants!$B$6*Tenants!$D$6*(1+Inputs!$B$7)^(AW$3/12)/12*Tenants!$E$6-Tenants!$B$6*Tenants!$C$6/12),0)+IF(AW4&lt;=Tenants!$F$7,MAX(0,Tenants!$B$7*Tenants!$D$7*(1+Inputs!$B$7)^(AW$3/12)/12*Tenants!$E$7-Tenants!$B$7*Tenants!$C$7/12),0)</f>
        <v>772285.723121121</v>
      </c>
      <c r="AX12" s="0" t="n">
        <f aca="false">IF(AX4&lt;=Tenants!$F$2,MAX(0,Tenants!$B$2*Tenants!$D$2*(1+Inputs!$B$7)^(AX$3/12)/12*Tenants!$E$2-Tenants!$B$2*Tenants!$C$2/12),0)+IF(AX4&lt;=Tenants!$F$3,MAX(0,Tenants!$B$3*Tenants!$D$3*(1+Inputs!$B$7)^(AX$3/12)/12*Tenants!$E$3-Tenants!$B$3*Tenants!$C$3/12),0)+IF(AX4&lt;=Tenants!$F$4,MAX(0,Tenants!$B$4*Tenants!$D$4*(1+Inputs!$B$7)^(AX$3/12)/12*Tenants!$E$4-Tenants!$B$4*Tenants!$C$4/12),0)+IF(AX4&lt;=Tenants!$F$5,MAX(0,Tenants!$B$5*Tenants!$D$5*(1+Inputs!$B$7)^(AX$3/12)/12*Tenants!$E$5-Tenants!$B$5*Tenants!$C$5/12),0)+IF(AX4&lt;=Tenants!$F$6,MAX(0,Tenants!$B$6*Tenants!$D$6*(1+Inputs!$B$7)^(AX$3/12)/12*Tenants!$E$6-Tenants!$B$6*Tenants!$C$6/12),0)+IF(AX4&lt;=Tenants!$F$7,MAX(0,Tenants!$B$7*Tenants!$D$7*(1+Inputs!$B$7)^(AX$3/12)/12*Tenants!$E$7-Tenants!$B$7*Tenants!$C$7/12),0)</f>
        <v>782070.775466667</v>
      </c>
      <c r="AY12" s="0" t="n">
        <f aca="false">IF(AY4&lt;=Tenants!$F$2,MAX(0,Tenants!$B$2*Tenants!$D$2*(1+Inputs!$B$7)^(AY$3/12)/12*Tenants!$E$2-Tenants!$B$2*Tenants!$C$2/12),0)+IF(AY4&lt;=Tenants!$F$3,MAX(0,Tenants!$B$3*Tenants!$D$3*(1+Inputs!$B$7)^(AY$3/12)/12*Tenants!$E$3-Tenants!$B$3*Tenants!$C$3/12),0)+IF(AY4&lt;=Tenants!$F$4,MAX(0,Tenants!$B$4*Tenants!$D$4*(1+Inputs!$B$7)^(AY$3/12)/12*Tenants!$E$4-Tenants!$B$4*Tenants!$C$4/12),0)+IF(AY4&lt;=Tenants!$F$5,MAX(0,Tenants!$B$5*Tenants!$D$5*(1+Inputs!$B$7)^(AY$3/12)/12*Tenants!$E$5-Tenants!$B$5*Tenants!$C$5/12),0)+IF(AY4&lt;=Tenants!$F$6,MAX(0,Tenants!$B$6*Tenants!$D$6*(1+Inputs!$B$7)^(AY$3/12)/12*Tenants!$E$6-Tenants!$B$6*Tenants!$C$6/12),0)+IF(AY4&lt;=Tenants!$F$7,MAX(0,Tenants!$B$7*Tenants!$D$7*(1+Inputs!$B$7)^(AY$3/12)/12*Tenants!$E$7-Tenants!$B$7*Tenants!$C$7/12),0)</f>
        <v>791887.861527348</v>
      </c>
      <c r="AZ12" s="0" t="n">
        <f aca="false">IF(AZ4&lt;=Tenants!$F$2,MAX(0,Tenants!$B$2*Tenants!$D$2*(1+Inputs!$B$7)^(AZ$3/12)/12*Tenants!$E$2-Tenants!$B$2*Tenants!$C$2/12),0)+IF(AZ4&lt;=Tenants!$F$3,MAX(0,Tenants!$B$3*Tenants!$D$3*(1+Inputs!$B$7)^(AZ$3/12)/12*Tenants!$E$3-Tenants!$B$3*Tenants!$C$3/12),0)+IF(AZ4&lt;=Tenants!$F$4,MAX(0,Tenants!$B$4*Tenants!$D$4*(1+Inputs!$B$7)^(AZ$3/12)/12*Tenants!$E$4-Tenants!$B$4*Tenants!$C$4/12),0)+IF(AZ4&lt;=Tenants!$F$5,MAX(0,Tenants!$B$5*Tenants!$D$5*(1+Inputs!$B$7)^(AZ$3/12)/12*Tenants!$E$5-Tenants!$B$5*Tenants!$C$5/12),0)+IF(AZ4&lt;=Tenants!$F$6,MAX(0,Tenants!$B$6*Tenants!$D$6*(1+Inputs!$B$7)^(AZ$3/12)/12*Tenants!$E$6-Tenants!$B$6*Tenants!$C$6/12),0)+IF(AZ4&lt;=Tenants!$F$7,MAX(0,Tenants!$B$7*Tenants!$D$7*(1+Inputs!$B$7)^(AZ$3/12)/12*Tenants!$E$7-Tenants!$B$7*Tenants!$C$7/12),0)</f>
        <v>801737.086173212</v>
      </c>
      <c r="BA12" s="0" t="n">
        <f aca="false">IF(BA4&lt;=Tenants!$F$2,MAX(0,Tenants!$B$2*Tenants!$D$2*(1+Inputs!$B$7)^(BA$3/12)/12*Tenants!$E$2-Tenants!$B$2*Tenants!$C$2/12),0)+IF(BA4&lt;=Tenants!$F$3,MAX(0,Tenants!$B$3*Tenants!$D$3*(1+Inputs!$B$7)^(BA$3/12)/12*Tenants!$E$3-Tenants!$B$3*Tenants!$C$3/12),0)+IF(BA4&lt;=Tenants!$F$4,MAX(0,Tenants!$B$4*Tenants!$D$4*(1+Inputs!$B$7)^(BA$3/12)/12*Tenants!$E$4-Tenants!$B$4*Tenants!$C$4/12),0)+IF(BA4&lt;=Tenants!$F$5,MAX(0,Tenants!$B$5*Tenants!$D$5*(1+Inputs!$B$7)^(BA$3/12)/12*Tenants!$E$5-Tenants!$B$5*Tenants!$C$5/12),0)+IF(BA4&lt;=Tenants!$F$6,MAX(0,Tenants!$B$6*Tenants!$D$6*(1+Inputs!$B$7)^(BA$3/12)/12*Tenants!$E$6-Tenants!$B$6*Tenants!$C$6/12),0)+IF(BA4&lt;=Tenants!$F$7,MAX(0,Tenants!$B$7*Tenants!$D$7*(1+Inputs!$B$7)^(BA$3/12)/12*Tenants!$E$7-Tenants!$B$7*Tenants!$C$7/12),0)</f>
        <v>811618.554617622</v>
      </c>
      <c r="BB12" s="0" t="n">
        <f aca="false">IF(BB4&lt;=Tenants!$F$2,MAX(0,Tenants!$B$2*Tenants!$D$2*(1+Inputs!$B$7)^(BB$3/12)/12*Tenants!$E$2-Tenants!$B$2*Tenants!$C$2/12),0)+IF(BB4&lt;=Tenants!$F$3,MAX(0,Tenants!$B$3*Tenants!$D$3*(1+Inputs!$B$7)^(BB$3/12)/12*Tenants!$E$3-Tenants!$B$3*Tenants!$C$3/12),0)+IF(BB4&lt;=Tenants!$F$4,MAX(0,Tenants!$B$4*Tenants!$D$4*(1+Inputs!$B$7)^(BB$3/12)/12*Tenants!$E$4-Tenants!$B$4*Tenants!$C$4/12),0)+IF(BB4&lt;=Tenants!$F$5,MAX(0,Tenants!$B$5*Tenants!$D$5*(1+Inputs!$B$7)^(BB$3/12)/12*Tenants!$E$5-Tenants!$B$5*Tenants!$C$5/12),0)+IF(BB4&lt;=Tenants!$F$6,MAX(0,Tenants!$B$6*Tenants!$D$6*(1+Inputs!$B$7)^(BB$3/12)/12*Tenants!$E$6-Tenants!$B$6*Tenants!$C$6/12),0)+IF(BB4&lt;=Tenants!$F$7,MAX(0,Tenants!$B$7*Tenants!$D$7*(1+Inputs!$B$7)^(BB$3/12)/12*Tenants!$E$7-Tenants!$B$7*Tenants!$C$7/12),0)</f>
        <v>821532.372418385</v>
      </c>
      <c r="BC12" s="0" t="n">
        <f aca="false">IF(BC4&lt;=Tenants!$F$2,MAX(0,Tenants!$B$2*Tenants!$D$2*(1+Inputs!$B$7)^(BC$3/12)/12*Tenants!$E$2-Tenants!$B$2*Tenants!$C$2/12),0)+IF(BC4&lt;=Tenants!$F$3,MAX(0,Tenants!$B$3*Tenants!$D$3*(1+Inputs!$B$7)^(BC$3/12)/12*Tenants!$E$3-Tenants!$B$3*Tenants!$C$3/12),0)+IF(BC4&lt;=Tenants!$F$4,MAX(0,Tenants!$B$4*Tenants!$D$4*(1+Inputs!$B$7)^(BC$3/12)/12*Tenants!$E$4-Tenants!$B$4*Tenants!$C$4/12),0)+IF(BC4&lt;=Tenants!$F$5,MAX(0,Tenants!$B$5*Tenants!$D$5*(1+Inputs!$B$7)^(BC$3/12)/12*Tenants!$E$5-Tenants!$B$5*Tenants!$C$5/12),0)+IF(BC4&lt;=Tenants!$F$6,MAX(0,Tenants!$B$6*Tenants!$D$6*(1+Inputs!$B$7)^(BC$3/12)/12*Tenants!$E$6-Tenants!$B$6*Tenants!$C$6/12),0)+IF(BC4&lt;=Tenants!$F$7,MAX(0,Tenants!$B$7*Tenants!$D$7*(1+Inputs!$B$7)^(BC$3/12)/12*Tenants!$E$7-Tenants!$B$7*Tenants!$C$7/12),0)</f>
        <v>831478.645478876</v>
      </c>
      <c r="BD12" s="0" t="n">
        <f aca="false">IF(BD4&lt;=Tenants!$F$2,MAX(0,Tenants!$B$2*Tenants!$D$2*(1+Inputs!$B$7)^(BD$3/12)/12*Tenants!$E$2-Tenants!$B$2*Tenants!$C$2/12),0)+IF(BD4&lt;=Tenants!$F$3,MAX(0,Tenants!$B$3*Tenants!$D$3*(1+Inputs!$B$7)^(BD$3/12)/12*Tenants!$E$3-Tenants!$B$3*Tenants!$C$3/12),0)+IF(BD4&lt;=Tenants!$F$4,MAX(0,Tenants!$B$4*Tenants!$D$4*(1+Inputs!$B$7)^(BD$3/12)/12*Tenants!$E$4-Tenants!$B$4*Tenants!$C$4/12),0)+IF(BD4&lt;=Tenants!$F$5,MAX(0,Tenants!$B$5*Tenants!$D$5*(1+Inputs!$B$7)^(BD$3/12)/12*Tenants!$E$5-Tenants!$B$5*Tenants!$C$5/12),0)+IF(BD4&lt;=Tenants!$F$6,MAX(0,Tenants!$B$6*Tenants!$D$6*(1+Inputs!$B$7)^(BD$3/12)/12*Tenants!$E$6-Tenants!$B$6*Tenants!$C$6/12),0)+IF(BD4&lt;=Tenants!$F$7,MAX(0,Tenants!$B$7*Tenants!$D$7*(1+Inputs!$B$7)^(BD$3/12)/12*Tenants!$E$7-Tenants!$B$7*Tenants!$C$7/12),0)</f>
        <v>841457.48004917</v>
      </c>
      <c r="BE12" s="0" t="n">
        <f aca="false">IF(BE4&lt;=Tenants!$F$2,MAX(0,Tenants!$B$2*Tenants!$D$2*(1+Inputs!$B$7)^(BE$3/12)/12*Tenants!$E$2-Tenants!$B$2*Tenants!$C$2/12),0)+IF(BE4&lt;=Tenants!$F$3,MAX(0,Tenants!$B$3*Tenants!$D$3*(1+Inputs!$B$7)^(BE$3/12)/12*Tenants!$E$3-Tenants!$B$3*Tenants!$C$3/12),0)+IF(BE4&lt;=Tenants!$F$4,MAX(0,Tenants!$B$4*Tenants!$D$4*(1+Inputs!$B$7)^(BE$3/12)/12*Tenants!$E$4-Tenants!$B$4*Tenants!$C$4/12),0)+IF(BE4&lt;=Tenants!$F$5,MAX(0,Tenants!$B$5*Tenants!$D$5*(1+Inputs!$B$7)^(BE$3/12)/12*Tenants!$E$5-Tenants!$B$5*Tenants!$C$5/12),0)+IF(BE4&lt;=Tenants!$F$6,MAX(0,Tenants!$B$6*Tenants!$D$6*(1+Inputs!$B$7)^(BE$3/12)/12*Tenants!$E$6-Tenants!$B$6*Tenants!$C$6/12),0)+IF(BE4&lt;=Tenants!$F$7,MAX(0,Tenants!$B$7*Tenants!$D$7*(1+Inputs!$B$7)^(BE$3/12)/12*Tenants!$E$7-Tenants!$B$7*Tenants!$C$7/12),0)</f>
        <v>851468.982727176</v>
      </c>
      <c r="BF12" s="0" t="n">
        <f aca="false">IF(BF4&lt;=Tenants!$F$2,MAX(0,Tenants!$B$2*Tenants!$D$2*(1+Inputs!$B$7)^(BF$3/12)/12*Tenants!$E$2-Tenants!$B$2*Tenants!$C$2/12),0)+IF(BF4&lt;=Tenants!$F$3,MAX(0,Tenants!$B$3*Tenants!$D$3*(1+Inputs!$B$7)^(BF$3/12)/12*Tenants!$E$3-Tenants!$B$3*Tenants!$C$3/12),0)+IF(BF4&lt;=Tenants!$F$4,MAX(0,Tenants!$B$4*Tenants!$D$4*(1+Inputs!$B$7)^(BF$3/12)/12*Tenants!$E$4-Tenants!$B$4*Tenants!$C$4/12),0)+IF(BF4&lt;=Tenants!$F$5,MAX(0,Tenants!$B$5*Tenants!$D$5*(1+Inputs!$B$7)^(BF$3/12)/12*Tenants!$E$5-Tenants!$B$5*Tenants!$C$5/12),0)+IF(BF4&lt;=Tenants!$F$6,MAX(0,Tenants!$B$6*Tenants!$D$6*(1+Inputs!$B$7)^(BF$3/12)/12*Tenants!$E$6-Tenants!$B$6*Tenants!$C$6/12),0)+IF(BF4&lt;=Tenants!$F$7,MAX(0,Tenants!$B$7*Tenants!$D$7*(1+Inputs!$B$7)^(BF$3/12)/12*Tenants!$E$7-Tenants!$B$7*Tenants!$C$7/12),0)</f>
        <v>861513.26045978</v>
      </c>
      <c r="BG12" s="0" t="n">
        <f aca="false">IF(BG4&lt;=Tenants!$F$2,MAX(0,Tenants!$B$2*Tenants!$D$2*(1+Inputs!$B$7)^(BG$3/12)/12*Tenants!$E$2-Tenants!$B$2*Tenants!$C$2/12),0)+IF(BG4&lt;=Tenants!$F$3,MAX(0,Tenants!$B$3*Tenants!$D$3*(1+Inputs!$B$7)^(BG$3/12)/12*Tenants!$E$3-Tenants!$B$3*Tenants!$C$3/12),0)+IF(BG4&lt;=Tenants!$F$4,MAX(0,Tenants!$B$4*Tenants!$D$4*(1+Inputs!$B$7)^(BG$3/12)/12*Tenants!$E$4-Tenants!$B$4*Tenants!$C$4/12),0)+IF(BG4&lt;=Tenants!$F$5,MAX(0,Tenants!$B$5*Tenants!$D$5*(1+Inputs!$B$7)^(BG$3/12)/12*Tenants!$E$5-Tenants!$B$5*Tenants!$C$5/12),0)+IF(BG4&lt;=Tenants!$F$6,MAX(0,Tenants!$B$6*Tenants!$D$6*(1+Inputs!$B$7)^(BG$3/12)/12*Tenants!$E$6-Tenants!$B$6*Tenants!$C$6/12),0)+IF(BG4&lt;=Tenants!$F$7,MAX(0,Tenants!$B$7*Tenants!$D$7*(1+Inputs!$B$7)^(BG$3/12)/12*Tenants!$E$7-Tenants!$B$7*Tenants!$C$7/12),0)</f>
        <v>871590.42054398</v>
      </c>
      <c r="BH12" s="0" t="n">
        <f aca="false">IF(BH4&lt;=Tenants!$F$2,MAX(0,Tenants!$B$2*Tenants!$D$2*(1+Inputs!$B$7)^(BH$3/12)/12*Tenants!$E$2-Tenants!$B$2*Tenants!$C$2/12),0)+IF(BH4&lt;=Tenants!$F$3,MAX(0,Tenants!$B$3*Tenants!$D$3*(1+Inputs!$B$7)^(BH$3/12)/12*Tenants!$E$3-Tenants!$B$3*Tenants!$C$3/12),0)+IF(BH4&lt;=Tenants!$F$4,MAX(0,Tenants!$B$4*Tenants!$D$4*(1+Inputs!$B$7)^(BH$3/12)/12*Tenants!$E$4-Tenants!$B$4*Tenants!$C$4/12),0)+IF(BH4&lt;=Tenants!$F$5,MAX(0,Tenants!$B$5*Tenants!$D$5*(1+Inputs!$B$7)^(BH$3/12)/12*Tenants!$E$5-Tenants!$B$5*Tenants!$C$5/12),0)+IF(BH4&lt;=Tenants!$F$6,MAX(0,Tenants!$B$6*Tenants!$D$6*(1+Inputs!$B$7)^(BH$3/12)/12*Tenants!$E$6-Tenants!$B$6*Tenants!$C$6/12),0)+IF(BH4&lt;=Tenants!$F$7,MAX(0,Tenants!$B$7*Tenants!$D$7*(1+Inputs!$B$7)^(BH$3/12)/12*Tenants!$E$7-Tenants!$B$7*Tenants!$C$7/12),0)</f>
        <v>881700.570628039</v>
      </c>
      <c r="BI12" s="0" t="n">
        <f aca="false">IF(BI4&lt;=Tenants!$F$2,MAX(0,Tenants!$B$2*Tenants!$D$2*(1+Inputs!$B$7)^(BI$3/12)/12*Tenants!$E$2-Tenants!$B$2*Tenants!$C$2/12),0)+IF(BI4&lt;=Tenants!$F$3,MAX(0,Tenants!$B$3*Tenants!$D$3*(1+Inputs!$B$7)^(BI$3/12)/12*Tenants!$E$3-Tenants!$B$3*Tenants!$C$3/12),0)+IF(BI4&lt;=Tenants!$F$4,MAX(0,Tenants!$B$4*Tenants!$D$4*(1+Inputs!$B$7)^(BI$3/12)/12*Tenants!$E$4-Tenants!$B$4*Tenants!$C$4/12),0)+IF(BI4&lt;=Tenants!$F$5,MAX(0,Tenants!$B$5*Tenants!$D$5*(1+Inputs!$B$7)^(BI$3/12)/12*Tenants!$E$5-Tenants!$B$5*Tenants!$C$5/12),0)+IF(BI4&lt;=Tenants!$F$6,MAX(0,Tenants!$B$6*Tenants!$D$6*(1+Inputs!$B$7)^(BI$3/12)/12*Tenants!$E$6-Tenants!$B$6*Tenants!$C$6/12),0)+IF(BI4&lt;=Tenants!$F$7,MAX(0,Tenants!$B$7*Tenants!$D$7*(1+Inputs!$B$7)^(BI$3/12)/12*Tenants!$E$7-Tenants!$B$7*Tenants!$C$7/12),0)</f>
        <v>891843.818712632</v>
      </c>
      <c r="BJ12" s="0" t="n">
        <f aca="false">IF(BJ4&lt;=Tenants!$F$2,MAX(0,Tenants!$B$2*Tenants!$D$2*(1+Inputs!$B$7)^(BJ$3/12)/12*Tenants!$E$2-Tenants!$B$2*Tenants!$C$2/12),0)+IF(BJ4&lt;=Tenants!$F$3,MAX(0,Tenants!$B$3*Tenants!$D$3*(1+Inputs!$B$7)^(BJ$3/12)/12*Tenants!$E$3-Tenants!$B$3*Tenants!$C$3/12),0)+IF(BJ4&lt;=Tenants!$F$4,MAX(0,Tenants!$B$4*Tenants!$D$4*(1+Inputs!$B$7)^(BJ$3/12)/12*Tenants!$E$4-Tenants!$B$4*Tenants!$C$4/12),0)+IF(BJ4&lt;=Tenants!$F$5,MAX(0,Tenants!$B$5*Tenants!$D$5*(1+Inputs!$B$7)^(BJ$3/12)/12*Tenants!$E$5-Tenants!$B$5*Tenants!$C$5/12),0)+IF(BJ4&lt;=Tenants!$F$6,MAX(0,Tenants!$B$6*Tenants!$D$6*(1+Inputs!$B$7)^(BJ$3/12)/12*Tenants!$E$6-Tenants!$B$6*Tenants!$C$6/12),0)+IF(BJ4&lt;=Tenants!$F$7,MAX(0,Tenants!$B$7*Tenants!$D$7*(1+Inputs!$B$7)^(BJ$3/12)/12*Tenants!$E$7-Tenants!$B$7*Tenants!$C$7/12),0)</f>
        <v>902020.273152</v>
      </c>
      <c r="BK12" s="0" t="n">
        <f aca="false">IF(BK4&lt;=Tenants!$F$2,MAX(0,Tenants!$B$2*Tenants!$D$2*(1+Inputs!$B$7)^(BK$3/12)/12*Tenants!$E$2-Tenants!$B$2*Tenants!$C$2/12),0)+IF(BK4&lt;=Tenants!$F$3,MAX(0,Tenants!$B$3*Tenants!$D$3*(1+Inputs!$B$7)^(BK$3/12)/12*Tenants!$E$3-Tenants!$B$3*Tenants!$C$3/12),0)+IF(BK4&lt;=Tenants!$F$4,MAX(0,Tenants!$B$4*Tenants!$D$4*(1+Inputs!$B$7)^(BK$3/12)/12*Tenants!$E$4-Tenants!$B$4*Tenants!$C$4/12),0)+IF(BK4&lt;=Tenants!$F$5,MAX(0,Tenants!$B$5*Tenants!$D$5*(1+Inputs!$B$7)^(BK$3/12)/12*Tenants!$E$5-Tenants!$B$5*Tenants!$C$5/12),0)+IF(BK4&lt;=Tenants!$F$6,MAX(0,Tenants!$B$6*Tenants!$D$6*(1+Inputs!$B$7)^(BK$3/12)/12*Tenants!$E$6-Tenants!$B$6*Tenants!$C$6/12),0)+IF(BK4&lt;=Tenants!$F$7,MAX(0,Tenants!$B$7*Tenants!$D$7*(1+Inputs!$B$7)^(BK$3/12)/12*Tenants!$E$7-Tenants!$B$7*Tenants!$C$7/12),0)</f>
        <v>509086.030988083</v>
      </c>
      <c r="BL12" s="0" t="n">
        <f aca="false">IF(BL4&lt;=Tenants!$F$2,MAX(0,Tenants!$B$2*Tenants!$D$2*(1+Inputs!$B$7)^(BL$3/12)/12*Tenants!$E$2-Tenants!$B$2*Tenants!$C$2/12),0)+IF(BL4&lt;=Tenants!$F$3,MAX(0,Tenants!$B$3*Tenants!$D$3*(1+Inputs!$B$7)^(BL$3/12)/12*Tenants!$E$3-Tenants!$B$3*Tenants!$C$3/12),0)+IF(BL4&lt;=Tenants!$F$4,MAX(0,Tenants!$B$4*Tenants!$D$4*(1+Inputs!$B$7)^(BL$3/12)/12*Tenants!$E$4-Tenants!$B$4*Tenants!$C$4/12),0)+IF(BL4&lt;=Tenants!$F$5,MAX(0,Tenants!$B$5*Tenants!$D$5*(1+Inputs!$B$7)^(BL$3/12)/12*Tenants!$E$5-Tenants!$B$5*Tenants!$C$5/12),0)+IF(BL4&lt;=Tenants!$F$6,MAX(0,Tenants!$B$6*Tenants!$D$6*(1+Inputs!$B$7)^(BL$3/12)/12*Tenants!$E$6-Tenants!$B$6*Tenants!$C$6/12),0)+IF(BL4&lt;=Tenants!$F$7,MAX(0,Tenants!$B$7*Tenants!$D$7*(1+Inputs!$B$7)^(BL$3/12)/12*Tenants!$E$7-Tenants!$B$7*Tenants!$C$7/12),0)</f>
        <v>514653.852754077</v>
      </c>
      <c r="BM12" s="0" t="n">
        <f aca="false">IF(BM4&lt;=Tenants!$F$2,MAX(0,Tenants!$B$2*Tenants!$D$2*(1+Inputs!$B$7)^(BM$3/12)/12*Tenants!$E$2-Tenants!$B$2*Tenants!$C$2/12),0)+IF(BM4&lt;=Tenants!$F$3,MAX(0,Tenants!$B$3*Tenants!$D$3*(1+Inputs!$B$7)^(BM$3/12)/12*Tenants!$E$3-Tenants!$B$3*Tenants!$C$3/12),0)+IF(BM4&lt;=Tenants!$F$4,MAX(0,Tenants!$B$4*Tenants!$D$4*(1+Inputs!$B$7)^(BM$3/12)/12*Tenants!$E$4-Tenants!$B$4*Tenants!$C$4/12),0)+IF(BM4&lt;=Tenants!$F$5,MAX(0,Tenants!$B$5*Tenants!$D$5*(1+Inputs!$B$7)^(BM$3/12)/12*Tenants!$E$5-Tenants!$B$5*Tenants!$C$5/12),0)+IF(BM4&lt;=Tenants!$F$6,MAX(0,Tenants!$B$6*Tenants!$D$6*(1+Inputs!$B$7)^(BM$3/12)/12*Tenants!$E$6-Tenants!$B$6*Tenants!$C$6/12),0)+IF(BM4&lt;=Tenants!$F$7,MAX(0,Tenants!$B$7*Tenants!$D$7*(1+Inputs!$B$7)^(BM$3/12)/12*Tenants!$E$7-Tenants!$B$7*Tenants!$C$7/12),0)</f>
        <v>520239.902119687</v>
      </c>
      <c r="BN12" s="0" t="n">
        <f aca="false">IF(BN4&lt;=Tenants!$F$2,MAX(0,Tenants!$B$2*Tenants!$D$2*(1+Inputs!$B$7)^(BN$3/12)/12*Tenants!$E$2-Tenants!$B$2*Tenants!$C$2/12),0)+IF(BN4&lt;=Tenants!$F$3,MAX(0,Tenants!$B$3*Tenants!$D$3*(1+Inputs!$B$7)^(BN$3/12)/12*Tenants!$E$3-Tenants!$B$3*Tenants!$C$3/12),0)+IF(BN4&lt;=Tenants!$F$4,MAX(0,Tenants!$B$4*Tenants!$D$4*(1+Inputs!$B$7)^(BN$3/12)/12*Tenants!$E$4-Tenants!$B$4*Tenants!$C$4/12),0)+IF(BN4&lt;=Tenants!$F$5,MAX(0,Tenants!$B$5*Tenants!$D$5*(1+Inputs!$B$7)^(BN$3/12)/12*Tenants!$E$5-Tenants!$B$5*Tenants!$C$5/12),0)+IF(BN4&lt;=Tenants!$F$6,MAX(0,Tenants!$B$6*Tenants!$D$6*(1+Inputs!$B$7)^(BN$3/12)/12*Tenants!$E$6-Tenants!$B$6*Tenants!$C$6/12),0)+IF(BN4&lt;=Tenants!$F$7,MAX(0,Tenants!$B$7*Tenants!$D$7*(1+Inputs!$B$7)^(BN$3/12)/12*Tenants!$E$7-Tenants!$B$7*Tenants!$C$7/12),0)</f>
        <v>525844.23875733</v>
      </c>
      <c r="BO12" s="0" t="n">
        <f aca="false">IF(BO4&lt;=Tenants!$F$2,MAX(0,Tenants!$B$2*Tenants!$D$2*(1+Inputs!$B$7)^(BO$3/12)/12*Tenants!$E$2-Tenants!$B$2*Tenants!$C$2/12),0)+IF(BO4&lt;=Tenants!$F$3,MAX(0,Tenants!$B$3*Tenants!$D$3*(1+Inputs!$B$7)^(BO$3/12)/12*Tenants!$E$3-Tenants!$B$3*Tenants!$C$3/12),0)+IF(BO4&lt;=Tenants!$F$4,MAX(0,Tenants!$B$4*Tenants!$D$4*(1+Inputs!$B$7)^(BO$3/12)/12*Tenants!$E$4-Tenants!$B$4*Tenants!$C$4/12),0)+IF(BO4&lt;=Tenants!$F$5,MAX(0,Tenants!$B$5*Tenants!$D$5*(1+Inputs!$B$7)^(BO$3/12)/12*Tenants!$E$5-Tenants!$B$5*Tenants!$C$5/12),0)+IF(BO4&lt;=Tenants!$F$6,MAX(0,Tenants!$B$6*Tenants!$D$6*(1+Inputs!$B$7)^(BO$3/12)/12*Tenants!$E$6-Tenants!$B$6*Tenants!$C$6/12),0)+IF(BO4&lt;=Tenants!$F$7,MAX(0,Tenants!$B$7*Tenants!$D$7*(1+Inputs!$B$7)^(BO$3/12)/12*Tenants!$E$7-Tenants!$B$7*Tenants!$C$7/12),0)</f>
        <v>531466.922534777</v>
      </c>
      <c r="BP12" s="0" t="n">
        <f aca="false">IF(BP4&lt;=Tenants!$F$2,MAX(0,Tenants!$B$2*Tenants!$D$2*(1+Inputs!$B$7)^(BP$3/12)/12*Tenants!$E$2-Tenants!$B$2*Tenants!$C$2/12),0)+IF(BP4&lt;=Tenants!$F$3,MAX(0,Tenants!$B$3*Tenants!$D$3*(1+Inputs!$B$7)^(BP$3/12)/12*Tenants!$E$3-Tenants!$B$3*Tenants!$C$3/12),0)+IF(BP4&lt;=Tenants!$F$4,MAX(0,Tenants!$B$4*Tenants!$D$4*(1+Inputs!$B$7)^(BP$3/12)/12*Tenants!$E$4-Tenants!$B$4*Tenants!$C$4/12),0)+IF(BP4&lt;=Tenants!$F$5,MAX(0,Tenants!$B$5*Tenants!$D$5*(1+Inputs!$B$7)^(BP$3/12)/12*Tenants!$E$5-Tenants!$B$5*Tenants!$C$5/12),0)+IF(BP4&lt;=Tenants!$F$6,MAX(0,Tenants!$B$6*Tenants!$D$6*(1+Inputs!$B$7)^(BP$3/12)/12*Tenants!$E$6-Tenants!$B$6*Tenants!$C$6/12),0)+IF(BP4&lt;=Tenants!$F$7,MAX(0,Tenants!$B$7*Tenants!$D$7*(1+Inputs!$B$7)^(BP$3/12)/12*Tenants!$E$7-Tenants!$B$7*Tenants!$C$7/12),0)</f>
        <v>537108.013515789</v>
      </c>
      <c r="BQ12" s="0" t="n">
        <f aca="false">IF(BQ4&lt;=Tenants!$F$2,MAX(0,Tenants!$B$2*Tenants!$D$2*(1+Inputs!$B$7)^(BQ$3/12)/12*Tenants!$E$2-Tenants!$B$2*Tenants!$C$2/12),0)+IF(BQ4&lt;=Tenants!$F$3,MAX(0,Tenants!$B$3*Tenants!$D$3*(1+Inputs!$B$7)^(BQ$3/12)/12*Tenants!$E$3-Tenants!$B$3*Tenants!$C$3/12),0)+IF(BQ4&lt;=Tenants!$F$4,MAX(0,Tenants!$B$4*Tenants!$D$4*(1+Inputs!$B$7)^(BQ$3/12)/12*Tenants!$E$4-Tenants!$B$4*Tenants!$C$4/12),0)+IF(BQ4&lt;=Tenants!$F$5,MAX(0,Tenants!$B$5*Tenants!$D$5*(1+Inputs!$B$7)^(BQ$3/12)/12*Tenants!$E$5-Tenants!$B$5*Tenants!$C$5/12),0)+IF(BQ4&lt;=Tenants!$F$6,MAX(0,Tenants!$B$6*Tenants!$D$6*(1+Inputs!$B$7)^(BQ$3/12)/12*Tenants!$E$6-Tenants!$B$6*Tenants!$C$6/12),0)+IF(BQ4&lt;=Tenants!$F$7,MAX(0,Tenants!$B$7*Tenants!$D$7*(1+Inputs!$B$7)^(BQ$3/12)/12*Tenants!$E$7-Tenants!$B$7*Tenants!$C$7/12),0)</f>
        <v>542767.571960761</v>
      </c>
      <c r="BR12" s="0" t="n">
        <f aca="false">IF(BR4&lt;=Tenants!$F$2,MAX(0,Tenants!$B$2*Tenants!$D$2*(1+Inputs!$B$7)^(BR$3/12)/12*Tenants!$E$2-Tenants!$B$2*Tenants!$C$2/12),0)+IF(BR4&lt;=Tenants!$F$3,MAX(0,Tenants!$B$3*Tenants!$D$3*(1+Inputs!$B$7)^(BR$3/12)/12*Tenants!$E$3-Tenants!$B$3*Tenants!$C$3/12),0)+IF(BR4&lt;=Tenants!$F$4,MAX(0,Tenants!$B$4*Tenants!$D$4*(1+Inputs!$B$7)^(BR$3/12)/12*Tenants!$E$4-Tenants!$B$4*Tenants!$C$4/12),0)+IF(BR4&lt;=Tenants!$F$5,MAX(0,Tenants!$B$5*Tenants!$D$5*(1+Inputs!$B$7)^(BR$3/12)/12*Tenants!$E$5-Tenants!$B$5*Tenants!$C$5/12),0)+IF(BR4&lt;=Tenants!$F$6,MAX(0,Tenants!$B$6*Tenants!$D$6*(1+Inputs!$B$7)^(BR$3/12)/12*Tenants!$E$6-Tenants!$B$6*Tenants!$C$6/12),0)+IF(BR4&lt;=Tenants!$F$7,MAX(0,Tenants!$B$7*Tenants!$D$7*(1+Inputs!$B$7)^(BR$3/12)/12*Tenants!$E$7-Tenants!$B$7*Tenants!$C$7/12),0)</f>
        <v>548445.658327363</v>
      </c>
      <c r="BS12" s="0" t="n">
        <f aca="false">IF(BS4&lt;=Tenants!$F$2,MAX(0,Tenants!$B$2*Tenants!$D$2*(1+Inputs!$B$7)^(BS$3/12)/12*Tenants!$E$2-Tenants!$B$2*Tenants!$C$2/12),0)+IF(BS4&lt;=Tenants!$F$3,MAX(0,Tenants!$B$3*Tenants!$D$3*(1+Inputs!$B$7)^(BS$3/12)/12*Tenants!$E$3-Tenants!$B$3*Tenants!$C$3/12),0)+IF(BS4&lt;=Tenants!$F$4,MAX(0,Tenants!$B$4*Tenants!$D$4*(1+Inputs!$B$7)^(BS$3/12)/12*Tenants!$E$4-Tenants!$B$4*Tenants!$C$4/12),0)+IF(BS4&lt;=Tenants!$F$5,MAX(0,Tenants!$B$5*Tenants!$D$5*(1+Inputs!$B$7)^(BS$3/12)/12*Tenants!$E$5-Tenants!$B$5*Tenants!$C$5/12),0)+IF(BS4&lt;=Tenants!$F$6,MAX(0,Tenants!$B$6*Tenants!$D$6*(1+Inputs!$B$7)^(BS$3/12)/12*Tenants!$E$6-Tenants!$B$6*Tenants!$C$6/12),0)+IF(BS4&lt;=Tenants!$F$7,MAX(0,Tenants!$B$7*Tenants!$D$7*(1+Inputs!$B$7)^(BS$3/12)/12*Tenants!$E$7-Tenants!$B$7*Tenants!$C$7/12),0)</f>
        <v>554142.333271191</v>
      </c>
      <c r="BT12" s="0" t="n">
        <f aca="false">IF(BT4&lt;=Tenants!$F$2,MAX(0,Tenants!$B$2*Tenants!$D$2*(1+Inputs!$B$7)^(BT$3/12)/12*Tenants!$E$2-Tenants!$B$2*Tenants!$C$2/12),0)+IF(BT4&lt;=Tenants!$F$3,MAX(0,Tenants!$B$3*Tenants!$D$3*(1+Inputs!$B$7)^(BT$3/12)/12*Tenants!$E$3-Tenants!$B$3*Tenants!$C$3/12),0)+IF(BT4&lt;=Tenants!$F$4,MAX(0,Tenants!$B$4*Tenants!$D$4*(1+Inputs!$B$7)^(BT$3/12)/12*Tenants!$E$4-Tenants!$B$4*Tenants!$C$4/12),0)+IF(BT4&lt;=Tenants!$F$5,MAX(0,Tenants!$B$5*Tenants!$D$5*(1+Inputs!$B$7)^(BT$3/12)/12*Tenants!$E$5-Tenants!$B$5*Tenants!$C$5/12),0)+IF(BT4&lt;=Tenants!$F$6,MAX(0,Tenants!$B$6*Tenants!$D$6*(1+Inputs!$B$7)^(BT$3/12)/12*Tenants!$E$6-Tenants!$B$6*Tenants!$C$6/12),0)+IF(BT4&lt;=Tenants!$F$7,MAX(0,Tenants!$B$7*Tenants!$D$7*(1+Inputs!$B$7)^(BT$3/12)/12*Tenants!$E$7-Tenants!$B$7*Tenants!$C$7/12),0)</f>
        <v>559857.657646408</v>
      </c>
      <c r="BU12" s="0" t="n">
        <f aca="false">IF(BU4&lt;=Tenants!$F$2,MAX(0,Tenants!$B$2*Tenants!$D$2*(1+Inputs!$B$7)^(BU$3/12)/12*Tenants!$E$2-Tenants!$B$2*Tenants!$C$2/12),0)+IF(BU4&lt;=Tenants!$F$3,MAX(0,Tenants!$B$3*Tenants!$D$3*(1+Inputs!$B$7)^(BU$3/12)/12*Tenants!$E$3-Tenants!$B$3*Tenants!$C$3/12),0)+IF(BU4&lt;=Tenants!$F$4,MAX(0,Tenants!$B$4*Tenants!$D$4*(1+Inputs!$B$7)^(BU$3/12)/12*Tenants!$E$4-Tenants!$B$4*Tenants!$C$4/12),0)+IF(BU4&lt;=Tenants!$F$5,MAX(0,Tenants!$B$5*Tenants!$D$5*(1+Inputs!$B$7)^(BU$3/12)/12*Tenants!$E$5-Tenants!$B$5*Tenants!$C$5/12),0)+IF(BU4&lt;=Tenants!$F$6,MAX(0,Tenants!$B$6*Tenants!$D$6*(1+Inputs!$B$7)^(BU$3/12)/12*Tenants!$E$6-Tenants!$B$6*Tenants!$C$6/12),0)+IF(BU4&lt;=Tenants!$F$7,MAX(0,Tenants!$B$7*Tenants!$D$7*(1+Inputs!$B$7)^(BU$3/12)/12*Tenants!$E$7-Tenants!$B$7*Tenants!$C$7/12),0)</f>
        <v>565591.6925064</v>
      </c>
      <c r="BV12" s="0" t="n">
        <f aca="false">IF(BV4&lt;=Tenants!$F$2,MAX(0,Tenants!$B$2*Tenants!$D$2*(1+Inputs!$B$7)^(BV$3/12)/12*Tenants!$E$2-Tenants!$B$2*Tenants!$C$2/12),0)+IF(BV4&lt;=Tenants!$F$3,MAX(0,Tenants!$B$3*Tenants!$D$3*(1+Inputs!$B$7)^(BV$3/12)/12*Tenants!$E$3-Tenants!$B$3*Tenants!$C$3/12),0)+IF(BV4&lt;=Tenants!$F$4,MAX(0,Tenants!$B$4*Tenants!$D$4*(1+Inputs!$B$7)^(BV$3/12)/12*Tenants!$E$4-Tenants!$B$4*Tenants!$C$4/12),0)+IF(BV4&lt;=Tenants!$F$5,MAX(0,Tenants!$B$5*Tenants!$D$5*(1+Inputs!$B$7)^(BV$3/12)/12*Tenants!$E$5-Tenants!$B$5*Tenants!$C$5/12),0)+IF(BV4&lt;=Tenants!$F$6,MAX(0,Tenants!$B$6*Tenants!$D$6*(1+Inputs!$B$7)^(BV$3/12)/12*Tenants!$E$6-Tenants!$B$6*Tenants!$C$6/12),0)+IF(BV4&lt;=Tenants!$F$7,MAX(0,Tenants!$B$7*Tenants!$D$7*(1+Inputs!$B$7)^(BV$3/12)/12*Tenants!$E$7-Tenants!$B$7*Tenants!$C$7/12),0)</f>
        <v>571344.499104427</v>
      </c>
      <c r="BW12" s="0" t="n">
        <f aca="false">IF(BW4&lt;=Tenants!$F$2,MAX(0,Tenants!$B$2*Tenants!$D$2*(1+Inputs!$B$7)^(BW$3/12)/12*Tenants!$E$2-Tenants!$B$2*Tenants!$C$2/12),0)+IF(BW4&lt;=Tenants!$F$3,MAX(0,Tenants!$B$3*Tenants!$D$3*(1+Inputs!$B$7)^(BW$3/12)/12*Tenants!$E$3-Tenants!$B$3*Tenants!$C$3/12),0)+IF(BW4&lt;=Tenants!$F$4,MAX(0,Tenants!$B$4*Tenants!$D$4*(1+Inputs!$B$7)^(BW$3/12)/12*Tenants!$E$4-Tenants!$B$4*Tenants!$C$4/12),0)+IF(BW4&lt;=Tenants!$F$5,MAX(0,Tenants!$B$5*Tenants!$D$5*(1+Inputs!$B$7)^(BW$3/12)/12*Tenants!$E$5-Tenants!$B$5*Tenants!$C$5/12),0)+IF(BW4&lt;=Tenants!$F$6,MAX(0,Tenants!$B$6*Tenants!$D$6*(1+Inputs!$B$7)^(BW$3/12)/12*Tenants!$E$6-Tenants!$B$6*Tenants!$C$6/12),0)+IF(BW4&lt;=Tenants!$F$7,MAX(0,Tenants!$B$7*Tenants!$D$7*(1+Inputs!$B$7)^(BW$3/12)/12*Tenants!$E$7-Tenants!$B$7*Tenants!$C$7/12),0)</f>
        <v>577116.138894273</v>
      </c>
      <c r="BX12" s="0" t="n">
        <f aca="false">IF(BX4&lt;=Tenants!$F$2,MAX(0,Tenants!$B$2*Tenants!$D$2*(1+Inputs!$B$7)^(BX$3/12)/12*Tenants!$E$2-Tenants!$B$2*Tenants!$C$2/12),0)+IF(BX4&lt;=Tenants!$F$3,MAX(0,Tenants!$B$3*Tenants!$D$3*(1+Inputs!$B$7)^(BX$3/12)/12*Tenants!$E$3-Tenants!$B$3*Tenants!$C$3/12),0)+IF(BX4&lt;=Tenants!$F$4,MAX(0,Tenants!$B$4*Tenants!$D$4*(1+Inputs!$B$7)^(BX$3/12)/12*Tenants!$E$4-Tenants!$B$4*Tenants!$C$4/12),0)+IF(BX4&lt;=Tenants!$F$5,MAX(0,Tenants!$B$5*Tenants!$D$5*(1+Inputs!$B$7)^(BX$3/12)/12*Tenants!$E$5-Tenants!$B$5*Tenants!$C$5/12),0)+IF(BX4&lt;=Tenants!$F$6,MAX(0,Tenants!$B$6*Tenants!$D$6*(1+Inputs!$B$7)^(BX$3/12)/12*Tenants!$E$6-Tenants!$B$6*Tenants!$C$6/12),0)+IF(BX4&lt;=Tenants!$F$7,MAX(0,Tenants!$B$7*Tenants!$D$7*(1+Inputs!$B$7)^(BX$3/12)/12*Tenants!$E$7-Tenants!$B$7*Tenants!$C$7/12),0)</f>
        <v>582906.673530907</v>
      </c>
      <c r="BY12" s="0" t="n">
        <f aca="false">IF(BY4&lt;=Tenants!$F$2,MAX(0,Tenants!$B$2*Tenants!$D$2*(1+Inputs!$B$7)^(BY$3/12)/12*Tenants!$E$2-Tenants!$B$2*Tenants!$C$2/12),0)+IF(BY4&lt;=Tenants!$F$3,MAX(0,Tenants!$B$3*Tenants!$D$3*(1+Inputs!$B$7)^(BY$3/12)/12*Tenants!$E$3-Tenants!$B$3*Tenants!$C$3/12),0)+IF(BY4&lt;=Tenants!$F$4,MAX(0,Tenants!$B$4*Tenants!$D$4*(1+Inputs!$B$7)^(BY$3/12)/12*Tenants!$E$4-Tenants!$B$4*Tenants!$C$4/12),0)+IF(BY4&lt;=Tenants!$F$5,MAX(0,Tenants!$B$5*Tenants!$D$5*(1+Inputs!$B$7)^(BY$3/12)/12*Tenants!$E$5-Tenants!$B$5*Tenants!$C$5/12),0)+IF(BY4&lt;=Tenants!$F$6,MAX(0,Tenants!$B$6*Tenants!$D$6*(1+Inputs!$B$7)^(BY$3/12)/12*Tenants!$E$6-Tenants!$B$6*Tenants!$C$6/12),0)+IF(BY4&lt;=Tenants!$F$7,MAX(0,Tenants!$B$7*Tenants!$D$7*(1+Inputs!$B$7)^(BY$3/12)/12*Tenants!$E$7-Tenants!$B$7*Tenants!$C$7/12),0)</f>
        <v>588716.164871141</v>
      </c>
      <c r="BZ12" s="0" t="n">
        <f aca="false">IF(BZ4&lt;=Tenants!$F$2,MAX(0,Tenants!$B$2*Tenants!$D$2*(1+Inputs!$B$7)^(BZ$3/12)/12*Tenants!$E$2-Tenants!$B$2*Tenants!$C$2/12),0)+IF(BZ4&lt;=Tenants!$F$3,MAX(0,Tenants!$B$3*Tenants!$D$3*(1+Inputs!$B$7)^(BZ$3/12)/12*Tenants!$E$3-Tenants!$B$3*Tenants!$C$3/12),0)+IF(BZ4&lt;=Tenants!$F$4,MAX(0,Tenants!$B$4*Tenants!$D$4*(1+Inputs!$B$7)^(BZ$3/12)/12*Tenants!$E$4-Tenants!$B$4*Tenants!$C$4/12),0)+IF(BZ4&lt;=Tenants!$F$5,MAX(0,Tenants!$B$5*Tenants!$D$5*(1+Inputs!$B$7)^(BZ$3/12)/12*Tenants!$E$5-Tenants!$B$5*Tenants!$C$5/12),0)+IF(BZ4&lt;=Tenants!$F$6,MAX(0,Tenants!$B$6*Tenants!$D$6*(1+Inputs!$B$7)^(BZ$3/12)/12*Tenants!$E$6-Tenants!$B$6*Tenants!$C$6/12),0)+IF(BZ4&lt;=Tenants!$F$7,MAX(0,Tenants!$B$7*Tenants!$D$7*(1+Inputs!$B$7)^(BZ$3/12)/12*Tenants!$E$7-Tenants!$B$7*Tenants!$C$7/12),0)</f>
        <v>594544.67497429</v>
      </c>
      <c r="CA12" s="0" t="n">
        <f aca="false">IF(CA4&lt;=Tenants!$F$2,MAX(0,Tenants!$B$2*Tenants!$D$2*(1+Inputs!$B$7)^(CA$3/12)/12*Tenants!$E$2-Tenants!$B$2*Tenants!$C$2/12),0)+IF(CA4&lt;=Tenants!$F$3,MAX(0,Tenants!$B$3*Tenants!$D$3*(1+Inputs!$B$7)^(CA$3/12)/12*Tenants!$E$3-Tenants!$B$3*Tenants!$C$3/12),0)+IF(CA4&lt;=Tenants!$F$4,MAX(0,Tenants!$B$4*Tenants!$D$4*(1+Inputs!$B$7)^(CA$3/12)/12*Tenants!$E$4-Tenants!$B$4*Tenants!$C$4/12),0)+IF(CA4&lt;=Tenants!$F$5,MAX(0,Tenants!$B$5*Tenants!$D$5*(1+Inputs!$B$7)^(CA$3/12)/12*Tenants!$E$5-Tenants!$B$5*Tenants!$C$5/12),0)+IF(CA4&lt;=Tenants!$F$6,MAX(0,Tenants!$B$6*Tenants!$D$6*(1+Inputs!$B$7)^(CA$3/12)/12*Tenants!$E$6-Tenants!$B$6*Tenants!$C$6/12),0)+IF(CA4&lt;=Tenants!$F$7,MAX(0,Tenants!$B$7*Tenants!$D$7*(1+Inputs!$B$7)^(CA$3/12)/12*Tenants!$E$7-Tenants!$B$7*Tenants!$C$7/12),0)</f>
        <v>600392.266102835</v>
      </c>
      <c r="CB12" s="0" t="n">
        <f aca="false">IF(CB4&lt;=Tenants!$F$2,MAX(0,Tenants!$B$2*Tenants!$D$2*(1+Inputs!$B$7)^(CB$3/12)/12*Tenants!$E$2-Tenants!$B$2*Tenants!$C$2/12),0)+IF(CB4&lt;=Tenants!$F$3,MAX(0,Tenants!$B$3*Tenants!$D$3*(1+Inputs!$B$7)^(CB$3/12)/12*Tenants!$E$3-Tenants!$B$3*Tenants!$C$3/12),0)+IF(CB4&lt;=Tenants!$F$4,MAX(0,Tenants!$B$4*Tenants!$D$4*(1+Inputs!$B$7)^(CB$3/12)/12*Tenants!$E$4-Tenants!$B$4*Tenants!$C$4/12),0)+IF(CB4&lt;=Tenants!$F$5,MAX(0,Tenants!$B$5*Tenants!$D$5*(1+Inputs!$B$7)^(CB$3/12)/12*Tenants!$E$5-Tenants!$B$5*Tenants!$C$5/12),0)+IF(CB4&lt;=Tenants!$F$6,MAX(0,Tenants!$B$6*Tenants!$D$6*(1+Inputs!$B$7)^(CB$3/12)/12*Tenants!$E$6-Tenants!$B$6*Tenants!$C$6/12),0)+IF(CB4&lt;=Tenants!$F$7,MAX(0,Tenants!$B$7*Tenants!$D$7*(1+Inputs!$B$7)^(CB$3/12)/12*Tenants!$E$7-Tenants!$B$7*Tenants!$C$7/12),0)</f>
        <v>606259.000723088</v>
      </c>
      <c r="CC12" s="0" t="n">
        <f aca="false">IF(CC4&lt;=Tenants!$F$2,MAX(0,Tenants!$B$2*Tenants!$D$2*(1+Inputs!$B$7)^(CC$3/12)/12*Tenants!$E$2-Tenants!$B$2*Tenants!$C$2/12),0)+IF(CC4&lt;=Tenants!$F$3,MAX(0,Tenants!$B$3*Tenants!$D$3*(1+Inputs!$B$7)^(CC$3/12)/12*Tenants!$E$3-Tenants!$B$3*Tenants!$C$3/12),0)+IF(CC4&lt;=Tenants!$F$4,MAX(0,Tenants!$B$4*Tenants!$D$4*(1+Inputs!$B$7)^(CC$3/12)/12*Tenants!$E$4-Tenants!$B$4*Tenants!$C$4/12),0)+IF(CC4&lt;=Tenants!$F$5,MAX(0,Tenants!$B$5*Tenants!$D$5*(1+Inputs!$B$7)^(CC$3/12)/12*Tenants!$E$5-Tenants!$B$5*Tenants!$C$5/12),0)+IF(CC4&lt;=Tenants!$F$6,MAX(0,Tenants!$B$6*Tenants!$D$6*(1+Inputs!$B$7)^(CC$3/12)/12*Tenants!$E$6-Tenants!$B$6*Tenants!$C$6/12),0)+IF(CC4&lt;=Tenants!$F$7,MAX(0,Tenants!$B$7*Tenants!$D$7*(1+Inputs!$B$7)^(CC$3/12)/12*Tenants!$E$7-Tenants!$B$7*Tenants!$C$7/12),0)</f>
        <v>612144.941505858</v>
      </c>
      <c r="CD12" s="0" t="n">
        <f aca="false">IF(CD4&lt;=Tenants!$F$2,MAX(0,Tenants!$B$2*Tenants!$D$2*(1+Inputs!$B$7)^(CD$3/12)/12*Tenants!$E$2-Tenants!$B$2*Tenants!$C$2/12),0)+IF(CD4&lt;=Tenants!$F$3,MAX(0,Tenants!$B$3*Tenants!$D$3*(1+Inputs!$B$7)^(CD$3/12)/12*Tenants!$E$3-Tenants!$B$3*Tenants!$C$3/12),0)+IF(CD4&lt;=Tenants!$F$4,MAX(0,Tenants!$B$4*Tenants!$D$4*(1+Inputs!$B$7)^(CD$3/12)/12*Tenants!$E$4-Tenants!$B$4*Tenants!$C$4/12),0)+IF(CD4&lt;=Tenants!$F$5,MAX(0,Tenants!$B$5*Tenants!$D$5*(1+Inputs!$B$7)^(CD$3/12)/12*Tenants!$E$5-Tenants!$B$5*Tenants!$C$5/12),0)+IF(CD4&lt;=Tenants!$F$6,MAX(0,Tenants!$B$6*Tenants!$D$6*(1+Inputs!$B$7)^(CD$3/12)/12*Tenants!$E$6-Tenants!$B$6*Tenants!$C$6/12),0)+IF(CD4&lt;=Tenants!$F$7,MAX(0,Tenants!$B$7*Tenants!$D$7*(1+Inputs!$B$7)^(CD$3/12)/12*Tenants!$E$7-Tenants!$B$7*Tenants!$C$7/12),0)</f>
        <v>618050.151327124</v>
      </c>
      <c r="CE12" s="0" t="n">
        <f aca="false">IF(CE4&lt;=Tenants!$F$2,MAX(0,Tenants!$B$2*Tenants!$D$2*(1+Inputs!$B$7)^(CE$3/12)/12*Tenants!$E$2-Tenants!$B$2*Tenants!$C$2/12),0)+IF(CE4&lt;=Tenants!$F$3,MAX(0,Tenants!$B$3*Tenants!$D$3*(1+Inputs!$B$7)^(CE$3/12)/12*Tenants!$E$3-Tenants!$B$3*Tenants!$C$3/12),0)+IF(CE4&lt;=Tenants!$F$4,MAX(0,Tenants!$B$4*Tenants!$D$4*(1+Inputs!$B$7)^(CE$3/12)/12*Tenants!$E$4-Tenants!$B$4*Tenants!$C$4/12),0)+IF(CE4&lt;=Tenants!$F$5,MAX(0,Tenants!$B$5*Tenants!$D$5*(1+Inputs!$B$7)^(CE$3/12)/12*Tenants!$E$5-Tenants!$B$5*Tenants!$C$5/12),0)+IF(CE4&lt;=Tenants!$F$6,MAX(0,Tenants!$B$6*Tenants!$D$6*(1+Inputs!$B$7)^(CE$3/12)/12*Tenants!$E$6-Tenants!$B$6*Tenants!$C$6/12),0)+IF(CE4&lt;=Tenants!$F$7,MAX(0,Tenants!$B$7*Tenants!$D$7*(1+Inputs!$B$7)^(CE$3/12)/12*Tenants!$E$7-Tenants!$B$7*Tenants!$C$7/12),0)</f>
        <v>623974.693268705</v>
      </c>
      <c r="CF12" s="0" t="n">
        <f aca="false">IF(CF4&lt;=Tenants!$F$2,MAX(0,Tenants!$B$2*Tenants!$D$2*(1+Inputs!$B$7)^(CF$3/12)/12*Tenants!$E$2-Tenants!$B$2*Tenants!$C$2/12),0)+IF(CF4&lt;=Tenants!$F$3,MAX(0,Tenants!$B$3*Tenants!$D$3*(1+Inputs!$B$7)^(CF$3/12)/12*Tenants!$E$3-Tenants!$B$3*Tenants!$C$3/12),0)+IF(CF4&lt;=Tenants!$F$4,MAX(0,Tenants!$B$4*Tenants!$D$4*(1+Inputs!$B$7)^(CF$3/12)/12*Tenants!$E$4-Tenants!$B$4*Tenants!$C$4/12),0)+IF(CF4&lt;=Tenants!$F$5,MAX(0,Tenants!$B$5*Tenants!$D$5*(1+Inputs!$B$7)^(CF$3/12)/12*Tenants!$E$5-Tenants!$B$5*Tenants!$C$5/12),0)+IF(CF4&lt;=Tenants!$F$6,MAX(0,Tenants!$B$6*Tenants!$D$6*(1+Inputs!$B$7)^(CF$3/12)/12*Tenants!$E$6-Tenants!$B$6*Tenants!$C$6/12),0)+IF(CF4&lt;=Tenants!$F$7,MAX(0,Tenants!$B$7*Tenants!$D$7*(1+Inputs!$B$7)^(CF$3/12)/12*Tenants!$E$7-Tenants!$B$7*Tenants!$C$7/12),0)</f>
        <v>629918.630618931</v>
      </c>
      <c r="CG12" s="0" t="n">
        <f aca="false">IF(CG4&lt;=Tenants!$F$2,MAX(0,Tenants!$B$2*Tenants!$D$2*(1+Inputs!$B$7)^(CG$3/12)/12*Tenants!$E$2-Tenants!$B$2*Tenants!$C$2/12),0)+IF(CG4&lt;=Tenants!$F$3,MAX(0,Tenants!$B$3*Tenants!$D$3*(1+Inputs!$B$7)^(CG$3/12)/12*Tenants!$E$3-Tenants!$B$3*Tenants!$C$3/12),0)+IF(CG4&lt;=Tenants!$F$4,MAX(0,Tenants!$B$4*Tenants!$D$4*(1+Inputs!$B$7)^(CG$3/12)/12*Tenants!$E$4-Tenants!$B$4*Tenants!$C$4/12),0)+IF(CG4&lt;=Tenants!$F$5,MAX(0,Tenants!$B$5*Tenants!$D$5*(1+Inputs!$B$7)^(CG$3/12)/12*Tenants!$E$5-Tenants!$B$5*Tenants!$C$5/12),0)+IF(CG4&lt;=Tenants!$F$6,MAX(0,Tenants!$B$6*Tenants!$D$6*(1+Inputs!$B$7)^(CG$3/12)/12*Tenants!$E$6-Tenants!$B$6*Tenants!$C$6/12),0)+IF(CG4&lt;=Tenants!$F$7,MAX(0,Tenants!$B$7*Tenants!$D$7*(1+Inputs!$B$7)^(CG$3/12)/12*Tenants!$E$7-Tenants!$B$7*Tenants!$C$7/12),0)</f>
        <v>635882.026873323</v>
      </c>
      <c r="CH12" s="0" t="n">
        <f aca="false">IF(CH4&lt;=Tenants!$F$2,MAX(0,Tenants!$B$2*Tenants!$D$2*(1+Inputs!$B$7)^(CH$3/12)/12*Tenants!$E$2-Tenants!$B$2*Tenants!$C$2/12),0)+IF(CH4&lt;=Tenants!$F$3,MAX(0,Tenants!$B$3*Tenants!$D$3*(1+Inputs!$B$7)^(CH$3/12)/12*Tenants!$E$3-Tenants!$B$3*Tenants!$C$3/12),0)+IF(CH4&lt;=Tenants!$F$4,MAX(0,Tenants!$B$4*Tenants!$D$4*(1+Inputs!$B$7)^(CH$3/12)/12*Tenants!$E$4-Tenants!$B$4*Tenants!$C$4/12),0)+IF(CH4&lt;=Tenants!$F$5,MAX(0,Tenants!$B$5*Tenants!$D$5*(1+Inputs!$B$7)^(CH$3/12)/12*Tenants!$E$5-Tenants!$B$5*Tenants!$C$5/12),0)+IF(CH4&lt;=Tenants!$F$6,MAX(0,Tenants!$B$6*Tenants!$D$6*(1+Inputs!$B$7)^(CH$3/12)/12*Tenants!$E$6-Tenants!$B$6*Tenants!$C$6/12),0)+IF(CH4&lt;=Tenants!$F$7,MAX(0,Tenants!$B$7*Tenants!$D$7*(1+Inputs!$B$7)^(CH$3/12)/12*Tenants!$E$7-Tenants!$B$7*Tenants!$C$7/12),0)</f>
        <v>641864.945735271</v>
      </c>
      <c r="CI12" s="0" t="n">
        <f aca="false">IF(CI4&lt;=Tenants!$F$2,MAX(0,Tenants!$B$2*Tenants!$D$2*(1+Inputs!$B$7)^(CI$3/12)/12*Tenants!$E$2-Tenants!$B$2*Tenants!$C$2/12),0)+IF(CI4&lt;=Tenants!$F$3,MAX(0,Tenants!$B$3*Tenants!$D$3*(1+Inputs!$B$7)^(CI$3/12)/12*Tenants!$E$3-Tenants!$B$3*Tenants!$C$3/12),0)+IF(CI4&lt;=Tenants!$F$4,MAX(0,Tenants!$B$4*Tenants!$D$4*(1+Inputs!$B$7)^(CI$3/12)/12*Tenants!$E$4-Tenants!$B$4*Tenants!$C$4/12),0)+IF(CI4&lt;=Tenants!$F$5,MAX(0,Tenants!$B$5*Tenants!$D$5*(1+Inputs!$B$7)^(CI$3/12)/12*Tenants!$E$5-Tenants!$B$5*Tenants!$C$5/12),0)+IF(CI4&lt;=Tenants!$F$6,MAX(0,Tenants!$B$6*Tenants!$D$6*(1+Inputs!$B$7)^(CI$3/12)/12*Tenants!$E$6-Tenants!$B$6*Tenants!$C$6/12),0)+IF(CI4&lt;=Tenants!$F$7,MAX(0,Tenants!$B$7*Tenants!$D$7*(1+Inputs!$B$7)^(CI$3/12)/12*Tenants!$E$7-Tenants!$B$7*Tenants!$C$7/12),0)</f>
        <v>647867.45111671</v>
      </c>
      <c r="CJ12" s="0" t="n">
        <f aca="false">IF(CJ4&lt;=Tenants!$F$2,MAX(0,Tenants!$B$2*Tenants!$D$2*(1+Inputs!$B$7)^(CJ$3/12)/12*Tenants!$E$2-Tenants!$B$2*Tenants!$C$2/12),0)+IF(CJ4&lt;=Tenants!$F$3,MAX(0,Tenants!$B$3*Tenants!$D$3*(1+Inputs!$B$7)^(CJ$3/12)/12*Tenants!$E$3-Tenants!$B$3*Tenants!$C$3/12),0)+IF(CJ4&lt;=Tenants!$F$4,MAX(0,Tenants!$B$4*Tenants!$D$4*(1+Inputs!$B$7)^(CJ$3/12)/12*Tenants!$E$4-Tenants!$B$4*Tenants!$C$4/12),0)+IF(CJ4&lt;=Tenants!$F$5,MAX(0,Tenants!$B$5*Tenants!$D$5*(1+Inputs!$B$7)^(CJ$3/12)/12*Tenants!$E$5-Tenants!$B$5*Tenants!$C$5/12),0)+IF(CJ4&lt;=Tenants!$F$6,MAX(0,Tenants!$B$6*Tenants!$D$6*(1+Inputs!$B$7)^(CJ$3/12)/12*Tenants!$E$6-Tenants!$B$6*Tenants!$C$6/12),0)+IF(CJ4&lt;=Tenants!$F$7,MAX(0,Tenants!$B$7*Tenants!$D$7*(1+Inputs!$B$7)^(CJ$3/12)/12*Tenants!$E$7-Tenants!$B$7*Tenants!$C$7/12),0)</f>
        <v>653889.60713881</v>
      </c>
      <c r="CK12" s="0" t="n">
        <f aca="false">IF(CK4&lt;=Tenants!$F$2,MAX(0,Tenants!$B$2*Tenants!$D$2*(1+Inputs!$B$7)^(CK$3/12)/12*Tenants!$E$2-Tenants!$B$2*Tenants!$C$2/12),0)+IF(CK4&lt;=Tenants!$F$3,MAX(0,Tenants!$B$3*Tenants!$D$3*(1+Inputs!$B$7)^(CK$3/12)/12*Tenants!$E$3-Tenants!$B$3*Tenants!$C$3/12),0)+IF(CK4&lt;=Tenants!$F$4,MAX(0,Tenants!$B$4*Tenants!$D$4*(1+Inputs!$B$7)^(CK$3/12)/12*Tenants!$E$4-Tenants!$B$4*Tenants!$C$4/12),0)+IF(CK4&lt;=Tenants!$F$5,MAX(0,Tenants!$B$5*Tenants!$D$5*(1+Inputs!$B$7)^(CK$3/12)/12*Tenants!$E$5-Tenants!$B$5*Tenants!$C$5/12),0)+IF(CK4&lt;=Tenants!$F$6,MAX(0,Tenants!$B$6*Tenants!$D$6*(1+Inputs!$B$7)^(CK$3/12)/12*Tenants!$E$6-Tenants!$B$6*Tenants!$C$6/12),0)+IF(CK4&lt;=Tenants!$F$7,MAX(0,Tenants!$B$7*Tenants!$D$7*(1+Inputs!$B$7)^(CK$3/12)/12*Tenants!$E$7-Tenants!$B$7*Tenants!$C$7/12),0)</f>
        <v>659931.478132654</v>
      </c>
      <c r="CL12" s="0" t="n">
        <f aca="false">IF(CL4&lt;=Tenants!$F$2,MAX(0,Tenants!$B$2*Tenants!$D$2*(1+Inputs!$B$7)^(CL$3/12)/12*Tenants!$E$2-Tenants!$B$2*Tenants!$C$2/12),0)+IF(CL4&lt;=Tenants!$F$3,MAX(0,Tenants!$B$3*Tenants!$D$3*(1+Inputs!$B$7)^(CL$3/12)/12*Tenants!$E$3-Tenants!$B$3*Tenants!$C$3/12),0)+IF(CL4&lt;=Tenants!$F$4,MAX(0,Tenants!$B$4*Tenants!$D$4*(1+Inputs!$B$7)^(CL$3/12)/12*Tenants!$E$4-Tenants!$B$4*Tenants!$C$4/12),0)+IF(CL4&lt;=Tenants!$F$5,MAX(0,Tenants!$B$5*Tenants!$D$5*(1+Inputs!$B$7)^(CL$3/12)/12*Tenants!$E$5-Tenants!$B$5*Tenants!$C$5/12),0)+IF(CL4&lt;=Tenants!$F$6,MAX(0,Tenants!$B$6*Tenants!$D$6*(1+Inputs!$B$7)^(CL$3/12)/12*Tenants!$E$6-Tenants!$B$6*Tenants!$C$6/12),0)+IF(CL4&lt;=Tenants!$F$7,MAX(0,Tenants!$B$7*Tenants!$D$7*(1+Inputs!$B$7)^(CL$3/12)/12*Tenants!$E$7-Tenants!$B$7*Tenants!$C$7/12),0)</f>
        <v>665993.128639929</v>
      </c>
      <c r="CM12" s="0" t="n">
        <f aca="false">IF(CM4&lt;=Tenants!$F$2,MAX(0,Tenants!$B$2*Tenants!$D$2*(1+Inputs!$B$7)^(CM$3/12)/12*Tenants!$E$2-Tenants!$B$2*Tenants!$C$2/12),0)+IF(CM4&lt;=Tenants!$F$3,MAX(0,Tenants!$B$3*Tenants!$D$3*(1+Inputs!$B$7)^(CM$3/12)/12*Tenants!$E$3-Tenants!$B$3*Tenants!$C$3/12),0)+IF(CM4&lt;=Tenants!$F$4,MAX(0,Tenants!$B$4*Tenants!$D$4*(1+Inputs!$B$7)^(CM$3/12)/12*Tenants!$E$4-Tenants!$B$4*Tenants!$C$4/12),0)+IF(CM4&lt;=Tenants!$F$5,MAX(0,Tenants!$B$5*Tenants!$D$5*(1+Inputs!$B$7)^(CM$3/12)/12*Tenants!$E$5-Tenants!$B$5*Tenants!$C$5/12),0)+IF(CM4&lt;=Tenants!$F$6,MAX(0,Tenants!$B$6*Tenants!$D$6*(1+Inputs!$B$7)^(CM$3/12)/12*Tenants!$E$6-Tenants!$B$6*Tenants!$C$6/12),0)+IF(CM4&lt;=Tenants!$F$7,MAX(0,Tenants!$B$7*Tenants!$D$7*(1+Inputs!$B$7)^(CM$3/12)/12*Tenants!$E$7-Tenants!$B$7*Tenants!$C$7/12),0)</f>
        <v>672074.623413615</v>
      </c>
      <c r="CN12" s="0" t="n">
        <f aca="false">IF(CN4&lt;=Tenants!$F$2,MAX(0,Tenants!$B$2*Tenants!$D$2*(1+Inputs!$B$7)^(CN$3/12)/12*Tenants!$E$2-Tenants!$B$2*Tenants!$C$2/12),0)+IF(CN4&lt;=Tenants!$F$3,MAX(0,Tenants!$B$3*Tenants!$D$3*(1+Inputs!$B$7)^(CN$3/12)/12*Tenants!$E$3-Tenants!$B$3*Tenants!$C$3/12),0)+IF(CN4&lt;=Tenants!$F$4,MAX(0,Tenants!$B$4*Tenants!$D$4*(1+Inputs!$B$7)^(CN$3/12)/12*Tenants!$E$4-Tenants!$B$4*Tenants!$C$4/12),0)+IF(CN4&lt;=Tenants!$F$5,MAX(0,Tenants!$B$5*Tenants!$D$5*(1+Inputs!$B$7)^(CN$3/12)/12*Tenants!$E$5-Tenants!$B$5*Tenants!$C$5/12),0)+IF(CN4&lt;=Tenants!$F$6,MAX(0,Tenants!$B$6*Tenants!$D$6*(1+Inputs!$B$7)^(CN$3/12)/12*Tenants!$E$6-Tenants!$B$6*Tenants!$C$6/12),0)+IF(CN4&lt;=Tenants!$F$7,MAX(0,Tenants!$B$7*Tenants!$D$7*(1+Inputs!$B$7)^(CN$3/12)/12*Tenants!$E$7-Tenants!$B$7*Tenants!$C$7/12),0)</f>
        <v>678176.027418678</v>
      </c>
      <c r="CO12" s="0" t="n">
        <f aca="false">IF(CO4&lt;=Tenants!$F$2,MAX(0,Tenants!$B$2*Tenants!$D$2*(1+Inputs!$B$7)^(CO$3/12)/12*Tenants!$E$2-Tenants!$B$2*Tenants!$C$2/12),0)+IF(CO4&lt;=Tenants!$F$3,MAX(0,Tenants!$B$3*Tenants!$D$3*(1+Inputs!$B$7)^(CO$3/12)/12*Tenants!$E$3-Tenants!$B$3*Tenants!$C$3/12),0)+IF(CO4&lt;=Tenants!$F$4,MAX(0,Tenants!$B$4*Tenants!$D$4*(1+Inputs!$B$7)^(CO$3/12)/12*Tenants!$E$4-Tenants!$B$4*Tenants!$C$4/12),0)+IF(CO4&lt;=Tenants!$F$5,MAX(0,Tenants!$B$5*Tenants!$D$5*(1+Inputs!$B$7)^(CO$3/12)/12*Tenants!$E$5-Tenants!$B$5*Tenants!$C$5/12),0)+IF(CO4&lt;=Tenants!$F$6,MAX(0,Tenants!$B$6*Tenants!$D$6*(1+Inputs!$B$7)^(CO$3/12)/12*Tenants!$E$6-Tenants!$B$6*Tenants!$C$6/12),0)+IF(CO4&lt;=Tenants!$F$7,MAX(0,Tenants!$B$7*Tenants!$D$7*(1+Inputs!$B$7)^(CO$3/12)/12*Tenants!$E$7-Tenants!$B$7*Tenants!$C$7/12),0)</f>
        <v>0</v>
      </c>
      <c r="CP12" s="0" t="n">
        <f aca="false">IF(CP4&lt;=Tenants!$F$2,MAX(0,Tenants!$B$2*Tenants!$D$2*(1+Inputs!$B$7)^(CP$3/12)/12*Tenants!$E$2-Tenants!$B$2*Tenants!$C$2/12),0)+IF(CP4&lt;=Tenants!$F$3,MAX(0,Tenants!$B$3*Tenants!$D$3*(1+Inputs!$B$7)^(CP$3/12)/12*Tenants!$E$3-Tenants!$B$3*Tenants!$C$3/12),0)+IF(CP4&lt;=Tenants!$F$4,MAX(0,Tenants!$B$4*Tenants!$D$4*(1+Inputs!$B$7)^(CP$3/12)/12*Tenants!$E$4-Tenants!$B$4*Tenants!$C$4/12),0)+IF(CP4&lt;=Tenants!$F$5,MAX(0,Tenants!$B$5*Tenants!$D$5*(1+Inputs!$B$7)^(CP$3/12)/12*Tenants!$E$5-Tenants!$B$5*Tenants!$C$5/12),0)+IF(CP4&lt;=Tenants!$F$6,MAX(0,Tenants!$B$6*Tenants!$D$6*(1+Inputs!$B$7)^(CP$3/12)/12*Tenants!$E$6-Tenants!$B$6*Tenants!$C$6/12),0)+IF(CP4&lt;=Tenants!$F$7,MAX(0,Tenants!$B$7*Tenants!$D$7*(1+Inputs!$B$7)^(CP$3/12)/12*Tenants!$E$7-Tenants!$B$7*Tenants!$C$7/12),0)</f>
        <v>0</v>
      </c>
      <c r="CQ12" s="0" t="n">
        <f aca="false">IF(CQ4&lt;=Tenants!$F$2,MAX(0,Tenants!$B$2*Tenants!$D$2*(1+Inputs!$B$7)^(CQ$3/12)/12*Tenants!$E$2-Tenants!$B$2*Tenants!$C$2/12),0)+IF(CQ4&lt;=Tenants!$F$3,MAX(0,Tenants!$B$3*Tenants!$D$3*(1+Inputs!$B$7)^(CQ$3/12)/12*Tenants!$E$3-Tenants!$B$3*Tenants!$C$3/12),0)+IF(CQ4&lt;=Tenants!$F$4,MAX(0,Tenants!$B$4*Tenants!$D$4*(1+Inputs!$B$7)^(CQ$3/12)/12*Tenants!$E$4-Tenants!$B$4*Tenants!$C$4/12),0)+IF(CQ4&lt;=Tenants!$F$5,MAX(0,Tenants!$B$5*Tenants!$D$5*(1+Inputs!$B$7)^(CQ$3/12)/12*Tenants!$E$5-Tenants!$B$5*Tenants!$C$5/12),0)+IF(CQ4&lt;=Tenants!$F$6,MAX(0,Tenants!$B$6*Tenants!$D$6*(1+Inputs!$B$7)^(CQ$3/12)/12*Tenants!$E$6-Tenants!$B$6*Tenants!$C$6/12),0)+IF(CQ4&lt;=Tenants!$F$7,MAX(0,Tenants!$B$7*Tenants!$D$7*(1+Inputs!$B$7)^(CQ$3/12)/12*Tenants!$E$7-Tenants!$B$7*Tenants!$C$7/12),0)</f>
        <v>0</v>
      </c>
      <c r="CR12" s="0" t="n">
        <f aca="false">IF(CR4&lt;=Tenants!$F$2,MAX(0,Tenants!$B$2*Tenants!$D$2*(1+Inputs!$B$7)^(CR$3/12)/12*Tenants!$E$2-Tenants!$B$2*Tenants!$C$2/12),0)+IF(CR4&lt;=Tenants!$F$3,MAX(0,Tenants!$B$3*Tenants!$D$3*(1+Inputs!$B$7)^(CR$3/12)/12*Tenants!$E$3-Tenants!$B$3*Tenants!$C$3/12),0)+IF(CR4&lt;=Tenants!$F$4,MAX(0,Tenants!$B$4*Tenants!$D$4*(1+Inputs!$B$7)^(CR$3/12)/12*Tenants!$E$4-Tenants!$B$4*Tenants!$C$4/12),0)+IF(CR4&lt;=Tenants!$F$5,MAX(0,Tenants!$B$5*Tenants!$D$5*(1+Inputs!$B$7)^(CR$3/12)/12*Tenants!$E$5-Tenants!$B$5*Tenants!$C$5/12),0)+IF(CR4&lt;=Tenants!$F$6,MAX(0,Tenants!$B$6*Tenants!$D$6*(1+Inputs!$B$7)^(CR$3/12)/12*Tenants!$E$6-Tenants!$B$6*Tenants!$C$6/12),0)+IF(CR4&lt;=Tenants!$F$7,MAX(0,Tenants!$B$7*Tenants!$D$7*(1+Inputs!$B$7)^(CR$3/12)/12*Tenants!$E$7-Tenants!$B$7*Tenants!$C$7/12),0)</f>
        <v>0</v>
      </c>
      <c r="CS12" s="0" t="n">
        <f aca="false">IF(CS4&lt;=Tenants!$F$2,MAX(0,Tenants!$B$2*Tenants!$D$2*(1+Inputs!$B$7)^(CS$3/12)/12*Tenants!$E$2-Tenants!$B$2*Tenants!$C$2/12),0)+IF(CS4&lt;=Tenants!$F$3,MAX(0,Tenants!$B$3*Tenants!$D$3*(1+Inputs!$B$7)^(CS$3/12)/12*Tenants!$E$3-Tenants!$B$3*Tenants!$C$3/12),0)+IF(CS4&lt;=Tenants!$F$4,MAX(0,Tenants!$B$4*Tenants!$D$4*(1+Inputs!$B$7)^(CS$3/12)/12*Tenants!$E$4-Tenants!$B$4*Tenants!$C$4/12),0)+IF(CS4&lt;=Tenants!$F$5,MAX(0,Tenants!$B$5*Tenants!$D$5*(1+Inputs!$B$7)^(CS$3/12)/12*Tenants!$E$5-Tenants!$B$5*Tenants!$C$5/12),0)+IF(CS4&lt;=Tenants!$F$6,MAX(0,Tenants!$B$6*Tenants!$D$6*(1+Inputs!$B$7)^(CS$3/12)/12*Tenants!$E$6-Tenants!$B$6*Tenants!$C$6/12),0)+IF(CS4&lt;=Tenants!$F$7,MAX(0,Tenants!$B$7*Tenants!$D$7*(1+Inputs!$B$7)^(CS$3/12)/12*Tenants!$E$7-Tenants!$B$7*Tenants!$C$7/12),0)</f>
        <v>0</v>
      </c>
      <c r="CT12" s="0" t="n">
        <f aca="false">IF(CT4&lt;=Tenants!$F$2,MAX(0,Tenants!$B$2*Tenants!$D$2*(1+Inputs!$B$7)^(CT$3/12)/12*Tenants!$E$2-Tenants!$B$2*Tenants!$C$2/12),0)+IF(CT4&lt;=Tenants!$F$3,MAX(0,Tenants!$B$3*Tenants!$D$3*(1+Inputs!$B$7)^(CT$3/12)/12*Tenants!$E$3-Tenants!$B$3*Tenants!$C$3/12),0)+IF(CT4&lt;=Tenants!$F$4,MAX(0,Tenants!$B$4*Tenants!$D$4*(1+Inputs!$B$7)^(CT$3/12)/12*Tenants!$E$4-Tenants!$B$4*Tenants!$C$4/12),0)+IF(CT4&lt;=Tenants!$F$5,MAX(0,Tenants!$B$5*Tenants!$D$5*(1+Inputs!$B$7)^(CT$3/12)/12*Tenants!$E$5-Tenants!$B$5*Tenants!$C$5/12),0)+IF(CT4&lt;=Tenants!$F$6,MAX(0,Tenants!$B$6*Tenants!$D$6*(1+Inputs!$B$7)^(CT$3/12)/12*Tenants!$E$6-Tenants!$B$6*Tenants!$C$6/12),0)+IF(CT4&lt;=Tenants!$F$7,MAX(0,Tenants!$B$7*Tenants!$D$7*(1+Inputs!$B$7)^(CT$3/12)/12*Tenants!$E$7-Tenants!$B$7*Tenants!$C$7/12),0)</f>
        <v>0</v>
      </c>
      <c r="CU12" s="0" t="n">
        <f aca="false">IF(CU4&lt;=Tenants!$F$2,MAX(0,Tenants!$B$2*Tenants!$D$2*(1+Inputs!$B$7)^(CU$3/12)/12*Tenants!$E$2-Tenants!$B$2*Tenants!$C$2/12),0)+IF(CU4&lt;=Tenants!$F$3,MAX(0,Tenants!$B$3*Tenants!$D$3*(1+Inputs!$B$7)^(CU$3/12)/12*Tenants!$E$3-Tenants!$B$3*Tenants!$C$3/12),0)+IF(CU4&lt;=Tenants!$F$4,MAX(0,Tenants!$B$4*Tenants!$D$4*(1+Inputs!$B$7)^(CU$3/12)/12*Tenants!$E$4-Tenants!$B$4*Tenants!$C$4/12),0)+IF(CU4&lt;=Tenants!$F$5,MAX(0,Tenants!$B$5*Tenants!$D$5*(1+Inputs!$B$7)^(CU$3/12)/12*Tenants!$E$5-Tenants!$B$5*Tenants!$C$5/12),0)+IF(CU4&lt;=Tenants!$F$6,MAX(0,Tenants!$B$6*Tenants!$D$6*(1+Inputs!$B$7)^(CU$3/12)/12*Tenants!$E$6-Tenants!$B$6*Tenants!$C$6/12),0)+IF(CU4&lt;=Tenants!$F$7,MAX(0,Tenants!$B$7*Tenants!$D$7*(1+Inputs!$B$7)^(CU$3/12)/12*Tenants!$E$7-Tenants!$B$7*Tenants!$C$7/12),0)</f>
        <v>0</v>
      </c>
      <c r="CV12" s="0" t="n">
        <f aca="false">IF(CV4&lt;=Tenants!$F$2,MAX(0,Tenants!$B$2*Tenants!$D$2*(1+Inputs!$B$7)^(CV$3/12)/12*Tenants!$E$2-Tenants!$B$2*Tenants!$C$2/12),0)+IF(CV4&lt;=Tenants!$F$3,MAX(0,Tenants!$B$3*Tenants!$D$3*(1+Inputs!$B$7)^(CV$3/12)/12*Tenants!$E$3-Tenants!$B$3*Tenants!$C$3/12),0)+IF(CV4&lt;=Tenants!$F$4,MAX(0,Tenants!$B$4*Tenants!$D$4*(1+Inputs!$B$7)^(CV$3/12)/12*Tenants!$E$4-Tenants!$B$4*Tenants!$C$4/12),0)+IF(CV4&lt;=Tenants!$F$5,MAX(0,Tenants!$B$5*Tenants!$D$5*(1+Inputs!$B$7)^(CV$3/12)/12*Tenants!$E$5-Tenants!$B$5*Tenants!$C$5/12),0)+IF(CV4&lt;=Tenants!$F$6,MAX(0,Tenants!$B$6*Tenants!$D$6*(1+Inputs!$B$7)^(CV$3/12)/12*Tenants!$E$6-Tenants!$B$6*Tenants!$C$6/12),0)+IF(CV4&lt;=Tenants!$F$7,MAX(0,Tenants!$B$7*Tenants!$D$7*(1+Inputs!$B$7)^(CV$3/12)/12*Tenants!$E$7-Tenants!$B$7*Tenants!$C$7/12),0)</f>
        <v>0</v>
      </c>
      <c r="CW12" s="0" t="n">
        <f aca="false">IF(CW4&lt;=Tenants!$F$2,MAX(0,Tenants!$B$2*Tenants!$D$2*(1+Inputs!$B$7)^(CW$3/12)/12*Tenants!$E$2-Tenants!$B$2*Tenants!$C$2/12),0)+IF(CW4&lt;=Tenants!$F$3,MAX(0,Tenants!$B$3*Tenants!$D$3*(1+Inputs!$B$7)^(CW$3/12)/12*Tenants!$E$3-Tenants!$B$3*Tenants!$C$3/12),0)+IF(CW4&lt;=Tenants!$F$4,MAX(0,Tenants!$B$4*Tenants!$D$4*(1+Inputs!$B$7)^(CW$3/12)/12*Tenants!$E$4-Tenants!$B$4*Tenants!$C$4/12),0)+IF(CW4&lt;=Tenants!$F$5,MAX(0,Tenants!$B$5*Tenants!$D$5*(1+Inputs!$B$7)^(CW$3/12)/12*Tenants!$E$5-Tenants!$B$5*Tenants!$C$5/12),0)+IF(CW4&lt;=Tenants!$F$6,MAX(0,Tenants!$B$6*Tenants!$D$6*(1+Inputs!$B$7)^(CW$3/12)/12*Tenants!$E$6-Tenants!$B$6*Tenants!$C$6/12),0)+IF(CW4&lt;=Tenants!$F$7,MAX(0,Tenants!$B$7*Tenants!$D$7*(1+Inputs!$B$7)^(CW$3/12)/12*Tenants!$E$7-Tenants!$B$7*Tenants!$C$7/12),0)</f>
        <v>0</v>
      </c>
      <c r="CX12" s="0" t="n">
        <f aca="false">IF(CX4&lt;=Tenants!$F$2,MAX(0,Tenants!$B$2*Tenants!$D$2*(1+Inputs!$B$7)^(CX$3/12)/12*Tenants!$E$2-Tenants!$B$2*Tenants!$C$2/12),0)+IF(CX4&lt;=Tenants!$F$3,MAX(0,Tenants!$B$3*Tenants!$D$3*(1+Inputs!$B$7)^(CX$3/12)/12*Tenants!$E$3-Tenants!$B$3*Tenants!$C$3/12),0)+IF(CX4&lt;=Tenants!$F$4,MAX(0,Tenants!$B$4*Tenants!$D$4*(1+Inputs!$B$7)^(CX$3/12)/12*Tenants!$E$4-Tenants!$B$4*Tenants!$C$4/12),0)+IF(CX4&lt;=Tenants!$F$5,MAX(0,Tenants!$B$5*Tenants!$D$5*(1+Inputs!$B$7)^(CX$3/12)/12*Tenants!$E$5-Tenants!$B$5*Tenants!$C$5/12),0)+IF(CX4&lt;=Tenants!$F$6,MAX(0,Tenants!$B$6*Tenants!$D$6*(1+Inputs!$B$7)^(CX$3/12)/12*Tenants!$E$6-Tenants!$B$6*Tenants!$C$6/12),0)+IF(CX4&lt;=Tenants!$F$7,MAX(0,Tenants!$B$7*Tenants!$D$7*(1+Inputs!$B$7)^(CX$3/12)/12*Tenants!$E$7-Tenants!$B$7*Tenants!$C$7/12),0)</f>
        <v>0</v>
      </c>
      <c r="CY12" s="0" t="n">
        <f aca="false">IF(CY4&lt;=Tenants!$F$2,MAX(0,Tenants!$B$2*Tenants!$D$2*(1+Inputs!$B$7)^(CY$3/12)/12*Tenants!$E$2-Tenants!$B$2*Tenants!$C$2/12),0)+IF(CY4&lt;=Tenants!$F$3,MAX(0,Tenants!$B$3*Tenants!$D$3*(1+Inputs!$B$7)^(CY$3/12)/12*Tenants!$E$3-Tenants!$B$3*Tenants!$C$3/12),0)+IF(CY4&lt;=Tenants!$F$4,MAX(0,Tenants!$B$4*Tenants!$D$4*(1+Inputs!$B$7)^(CY$3/12)/12*Tenants!$E$4-Tenants!$B$4*Tenants!$C$4/12),0)+IF(CY4&lt;=Tenants!$F$5,MAX(0,Tenants!$B$5*Tenants!$D$5*(1+Inputs!$B$7)^(CY$3/12)/12*Tenants!$E$5-Tenants!$B$5*Tenants!$C$5/12),0)+IF(CY4&lt;=Tenants!$F$6,MAX(0,Tenants!$B$6*Tenants!$D$6*(1+Inputs!$B$7)^(CY$3/12)/12*Tenants!$E$6-Tenants!$B$6*Tenants!$C$6/12),0)+IF(CY4&lt;=Tenants!$F$7,MAX(0,Tenants!$B$7*Tenants!$D$7*(1+Inputs!$B$7)^(CY$3/12)/12*Tenants!$E$7-Tenants!$B$7*Tenants!$C$7/12),0)</f>
        <v>0</v>
      </c>
      <c r="CZ12" s="0" t="n">
        <f aca="false">IF(CZ4&lt;=Tenants!$F$2,MAX(0,Tenants!$B$2*Tenants!$D$2*(1+Inputs!$B$7)^(CZ$3/12)/12*Tenants!$E$2-Tenants!$B$2*Tenants!$C$2/12),0)+IF(CZ4&lt;=Tenants!$F$3,MAX(0,Tenants!$B$3*Tenants!$D$3*(1+Inputs!$B$7)^(CZ$3/12)/12*Tenants!$E$3-Tenants!$B$3*Tenants!$C$3/12),0)+IF(CZ4&lt;=Tenants!$F$4,MAX(0,Tenants!$B$4*Tenants!$D$4*(1+Inputs!$B$7)^(CZ$3/12)/12*Tenants!$E$4-Tenants!$B$4*Tenants!$C$4/12),0)+IF(CZ4&lt;=Tenants!$F$5,MAX(0,Tenants!$B$5*Tenants!$D$5*(1+Inputs!$B$7)^(CZ$3/12)/12*Tenants!$E$5-Tenants!$B$5*Tenants!$C$5/12),0)+IF(CZ4&lt;=Tenants!$F$6,MAX(0,Tenants!$B$6*Tenants!$D$6*(1+Inputs!$B$7)^(CZ$3/12)/12*Tenants!$E$6-Tenants!$B$6*Tenants!$C$6/12),0)+IF(CZ4&lt;=Tenants!$F$7,MAX(0,Tenants!$B$7*Tenants!$D$7*(1+Inputs!$B$7)^(CZ$3/12)/12*Tenants!$E$7-Tenants!$B$7*Tenants!$C$7/12),0)</f>
        <v>0</v>
      </c>
      <c r="DA12" s="0" t="n">
        <f aca="false">IF(DA4&lt;=Tenants!$F$2,MAX(0,Tenants!$B$2*Tenants!$D$2*(1+Inputs!$B$7)^(DA$3/12)/12*Tenants!$E$2-Tenants!$B$2*Tenants!$C$2/12),0)+IF(DA4&lt;=Tenants!$F$3,MAX(0,Tenants!$B$3*Tenants!$D$3*(1+Inputs!$B$7)^(DA$3/12)/12*Tenants!$E$3-Tenants!$B$3*Tenants!$C$3/12),0)+IF(DA4&lt;=Tenants!$F$4,MAX(0,Tenants!$B$4*Tenants!$D$4*(1+Inputs!$B$7)^(DA$3/12)/12*Tenants!$E$4-Tenants!$B$4*Tenants!$C$4/12),0)+IF(DA4&lt;=Tenants!$F$5,MAX(0,Tenants!$B$5*Tenants!$D$5*(1+Inputs!$B$7)^(DA$3/12)/12*Tenants!$E$5-Tenants!$B$5*Tenants!$C$5/12),0)+IF(DA4&lt;=Tenants!$F$6,MAX(0,Tenants!$B$6*Tenants!$D$6*(1+Inputs!$B$7)^(DA$3/12)/12*Tenants!$E$6-Tenants!$B$6*Tenants!$C$6/12),0)+IF(DA4&lt;=Tenants!$F$7,MAX(0,Tenants!$B$7*Tenants!$D$7*(1+Inputs!$B$7)^(DA$3/12)/12*Tenants!$E$7-Tenants!$B$7*Tenants!$C$7/12),0)</f>
        <v>0</v>
      </c>
      <c r="DB12" s="0" t="n">
        <f aca="false">IF(DB4&lt;=Tenants!$F$2,MAX(0,Tenants!$B$2*Tenants!$D$2*(1+Inputs!$B$7)^(DB$3/12)/12*Tenants!$E$2-Tenants!$B$2*Tenants!$C$2/12),0)+IF(DB4&lt;=Tenants!$F$3,MAX(0,Tenants!$B$3*Tenants!$D$3*(1+Inputs!$B$7)^(DB$3/12)/12*Tenants!$E$3-Tenants!$B$3*Tenants!$C$3/12),0)+IF(DB4&lt;=Tenants!$F$4,MAX(0,Tenants!$B$4*Tenants!$D$4*(1+Inputs!$B$7)^(DB$3/12)/12*Tenants!$E$4-Tenants!$B$4*Tenants!$C$4/12),0)+IF(DB4&lt;=Tenants!$F$5,MAX(0,Tenants!$B$5*Tenants!$D$5*(1+Inputs!$B$7)^(DB$3/12)/12*Tenants!$E$5-Tenants!$B$5*Tenants!$C$5/12),0)+IF(DB4&lt;=Tenants!$F$6,MAX(0,Tenants!$B$6*Tenants!$D$6*(1+Inputs!$B$7)^(DB$3/12)/12*Tenants!$E$6-Tenants!$B$6*Tenants!$C$6/12),0)+IF(DB4&lt;=Tenants!$F$7,MAX(0,Tenants!$B$7*Tenants!$D$7*(1+Inputs!$B$7)^(DB$3/12)/12*Tenants!$E$7-Tenants!$B$7*Tenants!$C$7/12),0)</f>
        <v>0</v>
      </c>
      <c r="DC12" s="0" t="n">
        <f aca="false">IF(DC4&lt;=Tenants!$F$2,MAX(0,Tenants!$B$2*Tenants!$D$2*(1+Inputs!$B$7)^(DC$3/12)/12*Tenants!$E$2-Tenants!$B$2*Tenants!$C$2/12),0)+IF(DC4&lt;=Tenants!$F$3,MAX(0,Tenants!$B$3*Tenants!$D$3*(1+Inputs!$B$7)^(DC$3/12)/12*Tenants!$E$3-Tenants!$B$3*Tenants!$C$3/12),0)+IF(DC4&lt;=Tenants!$F$4,MAX(0,Tenants!$B$4*Tenants!$D$4*(1+Inputs!$B$7)^(DC$3/12)/12*Tenants!$E$4-Tenants!$B$4*Tenants!$C$4/12),0)+IF(DC4&lt;=Tenants!$F$5,MAX(0,Tenants!$B$5*Tenants!$D$5*(1+Inputs!$B$7)^(DC$3/12)/12*Tenants!$E$5-Tenants!$B$5*Tenants!$C$5/12),0)+IF(DC4&lt;=Tenants!$F$6,MAX(0,Tenants!$B$6*Tenants!$D$6*(1+Inputs!$B$7)^(DC$3/12)/12*Tenants!$E$6-Tenants!$B$6*Tenants!$C$6/12),0)+IF(DC4&lt;=Tenants!$F$7,MAX(0,Tenants!$B$7*Tenants!$D$7*(1+Inputs!$B$7)^(DC$3/12)/12*Tenants!$E$7-Tenants!$B$7*Tenants!$C$7/12),0)</f>
        <v>0</v>
      </c>
      <c r="DD12" s="0" t="n">
        <f aca="false">IF(DD4&lt;=Tenants!$F$2,MAX(0,Tenants!$B$2*Tenants!$D$2*(1+Inputs!$B$7)^(DD$3/12)/12*Tenants!$E$2-Tenants!$B$2*Tenants!$C$2/12),0)+IF(DD4&lt;=Tenants!$F$3,MAX(0,Tenants!$B$3*Tenants!$D$3*(1+Inputs!$B$7)^(DD$3/12)/12*Tenants!$E$3-Tenants!$B$3*Tenants!$C$3/12),0)+IF(DD4&lt;=Tenants!$F$4,MAX(0,Tenants!$B$4*Tenants!$D$4*(1+Inputs!$B$7)^(DD$3/12)/12*Tenants!$E$4-Tenants!$B$4*Tenants!$C$4/12),0)+IF(DD4&lt;=Tenants!$F$5,MAX(0,Tenants!$B$5*Tenants!$D$5*(1+Inputs!$B$7)^(DD$3/12)/12*Tenants!$E$5-Tenants!$B$5*Tenants!$C$5/12),0)+IF(DD4&lt;=Tenants!$F$6,MAX(0,Tenants!$B$6*Tenants!$D$6*(1+Inputs!$B$7)^(DD$3/12)/12*Tenants!$E$6-Tenants!$B$6*Tenants!$C$6/12),0)+IF(DD4&lt;=Tenants!$F$7,MAX(0,Tenants!$B$7*Tenants!$D$7*(1+Inputs!$B$7)^(DD$3/12)/12*Tenants!$E$7-Tenants!$B$7*Tenants!$C$7/12),0)</f>
        <v>0</v>
      </c>
      <c r="DE12" s="0" t="n">
        <f aca="false">IF(DE4&lt;=Tenants!$F$2,MAX(0,Tenants!$B$2*Tenants!$D$2*(1+Inputs!$B$7)^(DE$3/12)/12*Tenants!$E$2-Tenants!$B$2*Tenants!$C$2/12),0)+IF(DE4&lt;=Tenants!$F$3,MAX(0,Tenants!$B$3*Tenants!$D$3*(1+Inputs!$B$7)^(DE$3/12)/12*Tenants!$E$3-Tenants!$B$3*Tenants!$C$3/12),0)+IF(DE4&lt;=Tenants!$F$4,MAX(0,Tenants!$B$4*Tenants!$D$4*(1+Inputs!$B$7)^(DE$3/12)/12*Tenants!$E$4-Tenants!$B$4*Tenants!$C$4/12),0)+IF(DE4&lt;=Tenants!$F$5,MAX(0,Tenants!$B$5*Tenants!$D$5*(1+Inputs!$B$7)^(DE$3/12)/12*Tenants!$E$5-Tenants!$B$5*Tenants!$C$5/12),0)+IF(DE4&lt;=Tenants!$F$6,MAX(0,Tenants!$B$6*Tenants!$D$6*(1+Inputs!$B$7)^(DE$3/12)/12*Tenants!$E$6-Tenants!$B$6*Tenants!$C$6/12),0)+IF(DE4&lt;=Tenants!$F$7,MAX(0,Tenants!$B$7*Tenants!$D$7*(1+Inputs!$B$7)^(DE$3/12)/12*Tenants!$E$7-Tenants!$B$7*Tenants!$C$7/12),0)</f>
        <v>0</v>
      </c>
      <c r="DF12" s="0" t="n">
        <f aca="false">IF(DF4&lt;=Tenants!$F$2,MAX(0,Tenants!$B$2*Tenants!$D$2*(1+Inputs!$B$7)^(DF$3/12)/12*Tenants!$E$2-Tenants!$B$2*Tenants!$C$2/12),0)+IF(DF4&lt;=Tenants!$F$3,MAX(0,Tenants!$B$3*Tenants!$D$3*(1+Inputs!$B$7)^(DF$3/12)/12*Tenants!$E$3-Tenants!$B$3*Tenants!$C$3/12),0)+IF(DF4&lt;=Tenants!$F$4,MAX(0,Tenants!$B$4*Tenants!$D$4*(1+Inputs!$B$7)^(DF$3/12)/12*Tenants!$E$4-Tenants!$B$4*Tenants!$C$4/12),0)+IF(DF4&lt;=Tenants!$F$5,MAX(0,Tenants!$B$5*Tenants!$D$5*(1+Inputs!$B$7)^(DF$3/12)/12*Tenants!$E$5-Tenants!$B$5*Tenants!$C$5/12),0)+IF(DF4&lt;=Tenants!$F$6,MAX(0,Tenants!$B$6*Tenants!$D$6*(1+Inputs!$B$7)^(DF$3/12)/12*Tenants!$E$6-Tenants!$B$6*Tenants!$C$6/12),0)+IF(DF4&lt;=Tenants!$F$7,MAX(0,Tenants!$B$7*Tenants!$D$7*(1+Inputs!$B$7)^(DF$3/12)/12*Tenants!$E$7-Tenants!$B$7*Tenants!$C$7/12),0)</f>
        <v>0</v>
      </c>
      <c r="DG12" s="0" t="n">
        <f aca="false">IF(DG4&lt;=Tenants!$F$2,MAX(0,Tenants!$B$2*Tenants!$D$2*(1+Inputs!$B$7)^(DG$3/12)/12*Tenants!$E$2-Tenants!$B$2*Tenants!$C$2/12),0)+IF(DG4&lt;=Tenants!$F$3,MAX(0,Tenants!$B$3*Tenants!$D$3*(1+Inputs!$B$7)^(DG$3/12)/12*Tenants!$E$3-Tenants!$B$3*Tenants!$C$3/12),0)+IF(DG4&lt;=Tenants!$F$4,MAX(0,Tenants!$B$4*Tenants!$D$4*(1+Inputs!$B$7)^(DG$3/12)/12*Tenants!$E$4-Tenants!$B$4*Tenants!$C$4/12),0)+IF(DG4&lt;=Tenants!$F$5,MAX(0,Tenants!$B$5*Tenants!$D$5*(1+Inputs!$B$7)^(DG$3/12)/12*Tenants!$E$5-Tenants!$B$5*Tenants!$C$5/12),0)+IF(DG4&lt;=Tenants!$F$6,MAX(0,Tenants!$B$6*Tenants!$D$6*(1+Inputs!$B$7)^(DG$3/12)/12*Tenants!$E$6-Tenants!$B$6*Tenants!$C$6/12),0)+IF(DG4&lt;=Tenants!$F$7,MAX(0,Tenants!$B$7*Tenants!$D$7*(1+Inputs!$B$7)^(DG$3/12)/12*Tenants!$E$7-Tenants!$B$7*Tenants!$C$7/12),0)</f>
        <v>0</v>
      </c>
      <c r="DH12" s="0" t="n">
        <f aca="false">IF(DH4&lt;=Tenants!$F$2,MAX(0,Tenants!$B$2*Tenants!$D$2*(1+Inputs!$B$7)^(DH$3/12)/12*Tenants!$E$2-Tenants!$B$2*Tenants!$C$2/12),0)+IF(DH4&lt;=Tenants!$F$3,MAX(0,Tenants!$B$3*Tenants!$D$3*(1+Inputs!$B$7)^(DH$3/12)/12*Tenants!$E$3-Tenants!$B$3*Tenants!$C$3/12),0)+IF(DH4&lt;=Tenants!$F$4,MAX(0,Tenants!$B$4*Tenants!$D$4*(1+Inputs!$B$7)^(DH$3/12)/12*Tenants!$E$4-Tenants!$B$4*Tenants!$C$4/12),0)+IF(DH4&lt;=Tenants!$F$5,MAX(0,Tenants!$B$5*Tenants!$D$5*(1+Inputs!$B$7)^(DH$3/12)/12*Tenants!$E$5-Tenants!$B$5*Tenants!$C$5/12),0)+IF(DH4&lt;=Tenants!$F$6,MAX(0,Tenants!$B$6*Tenants!$D$6*(1+Inputs!$B$7)^(DH$3/12)/12*Tenants!$E$6-Tenants!$B$6*Tenants!$C$6/12),0)+IF(DH4&lt;=Tenants!$F$7,MAX(0,Tenants!$B$7*Tenants!$D$7*(1+Inputs!$B$7)^(DH$3/12)/12*Tenants!$E$7-Tenants!$B$7*Tenants!$C$7/12),0)</f>
        <v>0</v>
      </c>
      <c r="DI12" s="0" t="n">
        <f aca="false">IF(DI4&lt;=Tenants!$F$2,MAX(0,Tenants!$B$2*Tenants!$D$2*(1+Inputs!$B$7)^(DI$3/12)/12*Tenants!$E$2-Tenants!$B$2*Tenants!$C$2/12),0)+IF(DI4&lt;=Tenants!$F$3,MAX(0,Tenants!$B$3*Tenants!$D$3*(1+Inputs!$B$7)^(DI$3/12)/12*Tenants!$E$3-Tenants!$B$3*Tenants!$C$3/12),0)+IF(DI4&lt;=Tenants!$F$4,MAX(0,Tenants!$B$4*Tenants!$D$4*(1+Inputs!$B$7)^(DI$3/12)/12*Tenants!$E$4-Tenants!$B$4*Tenants!$C$4/12),0)+IF(DI4&lt;=Tenants!$F$5,MAX(0,Tenants!$B$5*Tenants!$D$5*(1+Inputs!$B$7)^(DI$3/12)/12*Tenants!$E$5-Tenants!$B$5*Tenants!$C$5/12),0)+IF(DI4&lt;=Tenants!$F$6,MAX(0,Tenants!$B$6*Tenants!$D$6*(1+Inputs!$B$7)^(DI$3/12)/12*Tenants!$E$6-Tenants!$B$6*Tenants!$C$6/12),0)+IF(DI4&lt;=Tenants!$F$7,MAX(0,Tenants!$B$7*Tenants!$D$7*(1+Inputs!$B$7)^(DI$3/12)/12*Tenants!$E$7-Tenants!$B$7*Tenants!$C$7/12),0)</f>
        <v>0</v>
      </c>
      <c r="DJ12" s="0" t="n">
        <f aca="false">IF(DJ4&lt;=Tenants!$F$2,MAX(0,Tenants!$B$2*Tenants!$D$2*(1+Inputs!$B$7)^(DJ$3/12)/12*Tenants!$E$2-Tenants!$B$2*Tenants!$C$2/12),0)+IF(DJ4&lt;=Tenants!$F$3,MAX(0,Tenants!$B$3*Tenants!$D$3*(1+Inputs!$B$7)^(DJ$3/12)/12*Tenants!$E$3-Tenants!$B$3*Tenants!$C$3/12),0)+IF(DJ4&lt;=Tenants!$F$4,MAX(0,Tenants!$B$4*Tenants!$D$4*(1+Inputs!$B$7)^(DJ$3/12)/12*Tenants!$E$4-Tenants!$B$4*Tenants!$C$4/12),0)+IF(DJ4&lt;=Tenants!$F$5,MAX(0,Tenants!$B$5*Tenants!$D$5*(1+Inputs!$B$7)^(DJ$3/12)/12*Tenants!$E$5-Tenants!$B$5*Tenants!$C$5/12),0)+IF(DJ4&lt;=Tenants!$F$6,MAX(0,Tenants!$B$6*Tenants!$D$6*(1+Inputs!$B$7)^(DJ$3/12)/12*Tenants!$E$6-Tenants!$B$6*Tenants!$C$6/12),0)+IF(DJ4&lt;=Tenants!$F$7,MAX(0,Tenants!$B$7*Tenants!$D$7*(1+Inputs!$B$7)^(DJ$3/12)/12*Tenants!$E$7-Tenants!$B$7*Tenants!$C$7/12),0)</f>
        <v>0</v>
      </c>
      <c r="DK12" s="0" t="n">
        <f aca="false">IF(DK4&lt;=Tenants!$F$2,MAX(0,Tenants!$B$2*Tenants!$D$2*(1+Inputs!$B$7)^(DK$3/12)/12*Tenants!$E$2-Tenants!$B$2*Tenants!$C$2/12),0)+IF(DK4&lt;=Tenants!$F$3,MAX(0,Tenants!$B$3*Tenants!$D$3*(1+Inputs!$B$7)^(DK$3/12)/12*Tenants!$E$3-Tenants!$B$3*Tenants!$C$3/12),0)+IF(DK4&lt;=Tenants!$F$4,MAX(0,Tenants!$B$4*Tenants!$D$4*(1+Inputs!$B$7)^(DK$3/12)/12*Tenants!$E$4-Tenants!$B$4*Tenants!$C$4/12),0)+IF(DK4&lt;=Tenants!$F$5,MAX(0,Tenants!$B$5*Tenants!$D$5*(1+Inputs!$B$7)^(DK$3/12)/12*Tenants!$E$5-Tenants!$B$5*Tenants!$C$5/12),0)+IF(DK4&lt;=Tenants!$F$6,MAX(0,Tenants!$B$6*Tenants!$D$6*(1+Inputs!$B$7)^(DK$3/12)/12*Tenants!$E$6-Tenants!$B$6*Tenants!$C$6/12),0)+IF(DK4&lt;=Tenants!$F$7,MAX(0,Tenants!$B$7*Tenants!$D$7*(1+Inputs!$B$7)^(DK$3/12)/12*Tenants!$E$7-Tenants!$B$7*Tenants!$C$7/12),0)</f>
        <v>0</v>
      </c>
      <c r="DL12" s="0" t="n">
        <f aca="false">IF(DL4&lt;=Tenants!$F$2,MAX(0,Tenants!$B$2*Tenants!$D$2*(1+Inputs!$B$7)^(DL$3/12)/12*Tenants!$E$2-Tenants!$B$2*Tenants!$C$2/12),0)+IF(DL4&lt;=Tenants!$F$3,MAX(0,Tenants!$B$3*Tenants!$D$3*(1+Inputs!$B$7)^(DL$3/12)/12*Tenants!$E$3-Tenants!$B$3*Tenants!$C$3/12),0)+IF(DL4&lt;=Tenants!$F$4,MAX(0,Tenants!$B$4*Tenants!$D$4*(1+Inputs!$B$7)^(DL$3/12)/12*Tenants!$E$4-Tenants!$B$4*Tenants!$C$4/12),0)+IF(DL4&lt;=Tenants!$F$5,MAX(0,Tenants!$B$5*Tenants!$D$5*(1+Inputs!$B$7)^(DL$3/12)/12*Tenants!$E$5-Tenants!$B$5*Tenants!$C$5/12),0)+IF(DL4&lt;=Tenants!$F$6,MAX(0,Tenants!$B$6*Tenants!$D$6*(1+Inputs!$B$7)^(DL$3/12)/12*Tenants!$E$6-Tenants!$B$6*Tenants!$C$6/12),0)+IF(DL4&lt;=Tenants!$F$7,MAX(0,Tenants!$B$7*Tenants!$D$7*(1+Inputs!$B$7)^(DL$3/12)/12*Tenants!$E$7-Tenants!$B$7*Tenants!$C$7/12),0)</f>
        <v>0</v>
      </c>
      <c r="DM12" s="0" t="n">
        <f aca="false">IF(DM4&lt;=Tenants!$F$2,MAX(0,Tenants!$B$2*Tenants!$D$2*(1+Inputs!$B$7)^(DM$3/12)/12*Tenants!$E$2-Tenants!$B$2*Tenants!$C$2/12),0)+IF(DM4&lt;=Tenants!$F$3,MAX(0,Tenants!$B$3*Tenants!$D$3*(1+Inputs!$B$7)^(DM$3/12)/12*Tenants!$E$3-Tenants!$B$3*Tenants!$C$3/12),0)+IF(DM4&lt;=Tenants!$F$4,MAX(0,Tenants!$B$4*Tenants!$D$4*(1+Inputs!$B$7)^(DM$3/12)/12*Tenants!$E$4-Tenants!$B$4*Tenants!$C$4/12),0)+IF(DM4&lt;=Tenants!$F$5,MAX(0,Tenants!$B$5*Tenants!$D$5*(1+Inputs!$B$7)^(DM$3/12)/12*Tenants!$E$5-Tenants!$B$5*Tenants!$C$5/12),0)+IF(DM4&lt;=Tenants!$F$6,MAX(0,Tenants!$B$6*Tenants!$D$6*(1+Inputs!$B$7)^(DM$3/12)/12*Tenants!$E$6-Tenants!$B$6*Tenants!$C$6/12),0)+IF(DM4&lt;=Tenants!$F$7,MAX(0,Tenants!$B$7*Tenants!$D$7*(1+Inputs!$B$7)^(DM$3/12)/12*Tenants!$E$7-Tenants!$B$7*Tenants!$C$7/12),0)</f>
        <v>0</v>
      </c>
      <c r="DN12" s="0" t="n">
        <f aca="false">IF(DN4&lt;=Tenants!$F$2,MAX(0,Tenants!$B$2*Tenants!$D$2*(1+Inputs!$B$7)^(DN$3/12)/12*Tenants!$E$2-Tenants!$B$2*Tenants!$C$2/12),0)+IF(DN4&lt;=Tenants!$F$3,MAX(0,Tenants!$B$3*Tenants!$D$3*(1+Inputs!$B$7)^(DN$3/12)/12*Tenants!$E$3-Tenants!$B$3*Tenants!$C$3/12),0)+IF(DN4&lt;=Tenants!$F$4,MAX(0,Tenants!$B$4*Tenants!$D$4*(1+Inputs!$B$7)^(DN$3/12)/12*Tenants!$E$4-Tenants!$B$4*Tenants!$C$4/12),0)+IF(DN4&lt;=Tenants!$F$5,MAX(0,Tenants!$B$5*Tenants!$D$5*(1+Inputs!$B$7)^(DN$3/12)/12*Tenants!$E$5-Tenants!$B$5*Tenants!$C$5/12),0)+IF(DN4&lt;=Tenants!$F$6,MAX(0,Tenants!$B$6*Tenants!$D$6*(1+Inputs!$B$7)^(DN$3/12)/12*Tenants!$E$6-Tenants!$B$6*Tenants!$C$6/12),0)+IF(DN4&lt;=Tenants!$F$7,MAX(0,Tenants!$B$7*Tenants!$D$7*(1+Inputs!$B$7)^(DN$3/12)/12*Tenants!$E$7-Tenants!$B$7*Tenants!$C$7/12),0)</f>
        <v>0</v>
      </c>
      <c r="DO12" s="0" t="n">
        <f aca="false">IF(DO4&lt;=Tenants!$F$2,MAX(0,Tenants!$B$2*Tenants!$D$2*(1+Inputs!$B$7)^(DO$3/12)/12*Tenants!$E$2-Tenants!$B$2*Tenants!$C$2/12),0)+IF(DO4&lt;=Tenants!$F$3,MAX(0,Tenants!$B$3*Tenants!$D$3*(1+Inputs!$B$7)^(DO$3/12)/12*Tenants!$E$3-Tenants!$B$3*Tenants!$C$3/12),0)+IF(DO4&lt;=Tenants!$F$4,MAX(0,Tenants!$B$4*Tenants!$D$4*(1+Inputs!$B$7)^(DO$3/12)/12*Tenants!$E$4-Tenants!$B$4*Tenants!$C$4/12),0)+IF(DO4&lt;=Tenants!$F$5,MAX(0,Tenants!$B$5*Tenants!$D$5*(1+Inputs!$B$7)^(DO$3/12)/12*Tenants!$E$5-Tenants!$B$5*Tenants!$C$5/12),0)+IF(DO4&lt;=Tenants!$F$6,MAX(0,Tenants!$B$6*Tenants!$D$6*(1+Inputs!$B$7)^(DO$3/12)/12*Tenants!$E$6-Tenants!$B$6*Tenants!$C$6/12),0)+IF(DO4&lt;=Tenants!$F$7,MAX(0,Tenants!$B$7*Tenants!$D$7*(1+Inputs!$B$7)^(DO$3/12)/12*Tenants!$E$7-Tenants!$B$7*Tenants!$C$7/12),0)</f>
        <v>0</v>
      </c>
      <c r="DP12" s="0" t="n">
        <f aca="false">IF(DP4&lt;=Tenants!$F$2,MAX(0,Tenants!$B$2*Tenants!$D$2*(1+Inputs!$B$7)^(DP$3/12)/12*Tenants!$E$2-Tenants!$B$2*Tenants!$C$2/12),0)+IF(DP4&lt;=Tenants!$F$3,MAX(0,Tenants!$B$3*Tenants!$D$3*(1+Inputs!$B$7)^(DP$3/12)/12*Tenants!$E$3-Tenants!$B$3*Tenants!$C$3/12),0)+IF(DP4&lt;=Tenants!$F$4,MAX(0,Tenants!$B$4*Tenants!$D$4*(1+Inputs!$B$7)^(DP$3/12)/12*Tenants!$E$4-Tenants!$B$4*Tenants!$C$4/12),0)+IF(DP4&lt;=Tenants!$F$5,MAX(0,Tenants!$B$5*Tenants!$D$5*(1+Inputs!$B$7)^(DP$3/12)/12*Tenants!$E$5-Tenants!$B$5*Tenants!$C$5/12),0)+IF(DP4&lt;=Tenants!$F$6,MAX(0,Tenants!$B$6*Tenants!$D$6*(1+Inputs!$B$7)^(DP$3/12)/12*Tenants!$E$6-Tenants!$B$6*Tenants!$C$6/12),0)+IF(DP4&lt;=Tenants!$F$7,MAX(0,Tenants!$B$7*Tenants!$D$7*(1+Inputs!$B$7)^(DP$3/12)/12*Tenants!$E$7-Tenants!$B$7*Tenants!$C$7/12),0)</f>
        <v>0</v>
      </c>
      <c r="DQ12" s="0" t="n">
        <f aca="false">IF(DQ4&lt;=Tenants!$F$2,MAX(0,Tenants!$B$2*Tenants!$D$2*(1+Inputs!$B$7)^(DQ$3/12)/12*Tenants!$E$2-Tenants!$B$2*Tenants!$C$2/12),0)+IF(DQ4&lt;=Tenants!$F$3,MAX(0,Tenants!$B$3*Tenants!$D$3*(1+Inputs!$B$7)^(DQ$3/12)/12*Tenants!$E$3-Tenants!$B$3*Tenants!$C$3/12),0)+IF(DQ4&lt;=Tenants!$F$4,MAX(0,Tenants!$B$4*Tenants!$D$4*(1+Inputs!$B$7)^(DQ$3/12)/12*Tenants!$E$4-Tenants!$B$4*Tenants!$C$4/12),0)+IF(DQ4&lt;=Tenants!$F$5,MAX(0,Tenants!$B$5*Tenants!$D$5*(1+Inputs!$B$7)^(DQ$3/12)/12*Tenants!$E$5-Tenants!$B$5*Tenants!$C$5/12),0)+IF(DQ4&lt;=Tenants!$F$6,MAX(0,Tenants!$B$6*Tenants!$D$6*(1+Inputs!$B$7)^(DQ$3/12)/12*Tenants!$E$6-Tenants!$B$6*Tenants!$C$6/12),0)+IF(DQ4&lt;=Tenants!$F$7,MAX(0,Tenants!$B$7*Tenants!$D$7*(1+Inputs!$B$7)^(DQ$3/12)/12*Tenants!$E$7-Tenants!$B$7*Tenants!$C$7/12),0)</f>
        <v>0</v>
      </c>
      <c r="DR12" s="0" t="n">
        <f aca="false">IF(DR4&lt;=Tenants!$F$2,MAX(0,Tenants!$B$2*Tenants!$D$2*(1+Inputs!$B$7)^(DR$3/12)/12*Tenants!$E$2-Tenants!$B$2*Tenants!$C$2/12),0)+IF(DR4&lt;=Tenants!$F$3,MAX(0,Tenants!$B$3*Tenants!$D$3*(1+Inputs!$B$7)^(DR$3/12)/12*Tenants!$E$3-Tenants!$B$3*Tenants!$C$3/12),0)+IF(DR4&lt;=Tenants!$F$4,MAX(0,Tenants!$B$4*Tenants!$D$4*(1+Inputs!$B$7)^(DR$3/12)/12*Tenants!$E$4-Tenants!$B$4*Tenants!$C$4/12),0)+IF(DR4&lt;=Tenants!$F$5,MAX(0,Tenants!$B$5*Tenants!$D$5*(1+Inputs!$B$7)^(DR$3/12)/12*Tenants!$E$5-Tenants!$B$5*Tenants!$C$5/12),0)+IF(DR4&lt;=Tenants!$F$6,MAX(0,Tenants!$B$6*Tenants!$D$6*(1+Inputs!$B$7)^(DR$3/12)/12*Tenants!$E$6-Tenants!$B$6*Tenants!$C$6/12),0)+IF(DR4&lt;=Tenants!$F$7,MAX(0,Tenants!$B$7*Tenants!$D$7*(1+Inputs!$B$7)^(DR$3/12)/12*Tenants!$E$7-Tenants!$B$7*Tenants!$C$7/12),0)</f>
        <v>0</v>
      </c>
    </row>
    <row r="13" customFormat="false" ht="15" hidden="false" customHeight="false" outlineLevel="0" collapsed="false">
      <c r="A13" s="0" t="s">
        <v>33</v>
      </c>
      <c r="B13" s="0" t="n">
        <f aca="false">0</f>
        <v>0</v>
      </c>
      <c r="C13" s="0" t="n">
        <f aca="false">SUM(Tenants!$B$2:$B$7)*Inputs!$B$8*(1+Inputs!$B$10)^(C$3/12)/12</f>
        <v>2228044.84665422</v>
      </c>
      <c r="D13" s="0" t="n">
        <f aca="false">SUM(Tenants!$B$2:$B$7)*Inputs!$B$8*(1+Inputs!$B$10)^(D$3/12)/12</f>
        <v>2234441.33775052</v>
      </c>
      <c r="E13" s="0" t="n">
        <f aca="false">SUM(Tenants!$B$2:$B$7)*Inputs!$B$8*(1+Inputs!$B$10)^(E$3/12)/12</f>
        <v>2240856.19252492</v>
      </c>
      <c r="F13" s="0" t="n">
        <f aca="false">SUM(Tenants!$B$2:$B$7)*Inputs!$B$8*(1+Inputs!$B$10)^(F$3/12)/12</f>
        <v>2247289.46369767</v>
      </c>
      <c r="G13" s="0" t="n">
        <f aca="false">SUM(Tenants!$B$2:$B$7)*Inputs!$B$8*(1+Inputs!$B$10)^(G$3/12)/12</f>
        <v>2253741.2041404</v>
      </c>
      <c r="H13" s="0" t="n">
        <f aca="false">SUM(Tenants!$B$2:$B$7)*Inputs!$B$8*(1+Inputs!$B$10)^(H$3/12)/12</f>
        <v>2260211.4668765</v>
      </c>
      <c r="I13" s="0" t="n">
        <f aca="false">SUM(Tenants!$B$2:$B$7)*Inputs!$B$8*(1+Inputs!$B$10)^(I$3/12)/12</f>
        <v>2266700.30508159</v>
      </c>
      <c r="J13" s="0" t="n">
        <f aca="false">SUM(Tenants!$B$2:$B$7)*Inputs!$B$8*(1+Inputs!$B$10)^(J$3/12)/12</f>
        <v>2273207.77208398</v>
      </c>
      <c r="K13" s="0" t="n">
        <f aca="false">SUM(Tenants!$B$2:$B$7)*Inputs!$B$8*(1+Inputs!$B$10)^(K$3/12)/12</f>
        <v>2279733.92136505</v>
      </c>
      <c r="L13" s="0" t="n">
        <f aca="false">SUM(Tenants!$B$2:$B$7)*Inputs!$B$8*(1+Inputs!$B$10)^(L$3/12)/12</f>
        <v>2286278.80655974</v>
      </c>
      <c r="M13" s="0" t="n">
        <f aca="false">SUM(Tenants!$B$2:$B$7)*Inputs!$B$8*(1+Inputs!$B$10)^(M$3/12)/12</f>
        <v>2292842.48145694</v>
      </c>
      <c r="N13" s="0" t="n">
        <f aca="false">SUM(Tenants!$B$2:$B$7)*Inputs!$B$8*(1+Inputs!$B$10)^(N$3/12)/12</f>
        <v>2299425</v>
      </c>
      <c r="O13" s="0" t="n">
        <f aca="false">SUM(Tenants!$B$2:$B$7)*Inputs!$B$8*(1+Inputs!$B$10)^(O$3/12)/12</f>
        <v>2306026.41628711</v>
      </c>
      <c r="P13" s="0" t="n">
        <f aca="false">SUM(Tenants!$B$2:$B$7)*Inputs!$B$8*(1+Inputs!$B$10)^(P$3/12)/12</f>
        <v>2312646.78457179</v>
      </c>
      <c r="Q13" s="0" t="n">
        <f aca="false">SUM(Tenants!$B$2:$B$7)*Inputs!$B$8*(1+Inputs!$B$10)^(Q$3/12)/12</f>
        <v>2319286.15926329</v>
      </c>
      <c r="R13" s="0" t="n">
        <f aca="false">SUM(Tenants!$B$2:$B$7)*Inputs!$B$8*(1+Inputs!$B$10)^(R$3/12)/12</f>
        <v>2325944.59492709</v>
      </c>
      <c r="S13" s="0" t="n">
        <f aca="false">SUM(Tenants!$B$2:$B$7)*Inputs!$B$8*(1+Inputs!$B$10)^(S$3/12)/12</f>
        <v>2332622.14628531</v>
      </c>
      <c r="T13" s="0" t="n">
        <f aca="false">SUM(Tenants!$B$2:$B$7)*Inputs!$B$8*(1+Inputs!$B$10)^(T$3/12)/12</f>
        <v>2339318.86821717</v>
      </c>
      <c r="U13" s="0" t="n">
        <f aca="false">SUM(Tenants!$B$2:$B$7)*Inputs!$B$8*(1+Inputs!$B$10)^(U$3/12)/12</f>
        <v>2346034.81575945</v>
      </c>
      <c r="V13" s="0" t="n">
        <f aca="false">SUM(Tenants!$B$2:$B$7)*Inputs!$B$8*(1+Inputs!$B$10)^(V$3/12)/12</f>
        <v>2352770.04410692</v>
      </c>
      <c r="W13" s="0" t="n">
        <f aca="false">SUM(Tenants!$B$2:$B$7)*Inputs!$B$8*(1+Inputs!$B$10)^(W$3/12)/12</f>
        <v>2359524.60861283</v>
      </c>
      <c r="X13" s="0" t="n">
        <f aca="false">SUM(Tenants!$B$2:$B$7)*Inputs!$B$8*(1+Inputs!$B$10)^(X$3/12)/12</f>
        <v>2366298.56478933</v>
      </c>
      <c r="Y13" s="0" t="n">
        <f aca="false">SUM(Tenants!$B$2:$B$7)*Inputs!$B$8*(1+Inputs!$B$10)^(Y$3/12)/12</f>
        <v>2373091.96830793</v>
      </c>
      <c r="Z13" s="0" t="n">
        <f aca="false">SUM(Tenants!$B$2:$B$7)*Inputs!$B$8*(1+Inputs!$B$10)^(Z$3/12)/12</f>
        <v>2379904.875</v>
      </c>
      <c r="AA13" s="0" t="n">
        <f aca="false">SUM(Tenants!$B$2:$B$7)*Inputs!$B$8*(1+Inputs!$B$10)^(AA$3/12)/12</f>
        <v>2386737.34085716</v>
      </c>
      <c r="AB13" s="0" t="n">
        <f aca="false">SUM(Tenants!$B$2:$B$7)*Inputs!$B$8*(1+Inputs!$B$10)^(AB$3/12)/12</f>
        <v>2393589.4220318</v>
      </c>
      <c r="AC13" s="0" t="n">
        <f aca="false">SUM(Tenants!$B$2:$B$7)*Inputs!$B$8*(1+Inputs!$B$10)^(AC$3/12)/12</f>
        <v>2400461.17483751</v>
      </c>
      <c r="AD13" s="0" t="n">
        <f aca="false">SUM(Tenants!$B$2:$B$7)*Inputs!$B$8*(1+Inputs!$B$10)^(AD$3/12)/12</f>
        <v>2407352.65574954</v>
      </c>
      <c r="AE13" s="0" t="n">
        <f aca="false">SUM(Tenants!$B$2:$B$7)*Inputs!$B$8*(1+Inputs!$B$10)^(AE$3/12)/12</f>
        <v>2414263.9214053</v>
      </c>
      <c r="AF13" s="0" t="n">
        <f aca="false">SUM(Tenants!$B$2:$B$7)*Inputs!$B$8*(1+Inputs!$B$10)^(AF$3/12)/12</f>
        <v>2421195.02860477</v>
      </c>
      <c r="AG13" s="0" t="n">
        <f aca="false">SUM(Tenants!$B$2:$B$7)*Inputs!$B$8*(1+Inputs!$B$10)^(AG$3/12)/12</f>
        <v>2428146.03431103</v>
      </c>
      <c r="AH13" s="0" t="n">
        <f aca="false">SUM(Tenants!$B$2:$B$7)*Inputs!$B$8*(1+Inputs!$B$10)^(AH$3/12)/12</f>
        <v>2435116.99565066</v>
      </c>
      <c r="AI13" s="0" t="n">
        <f aca="false">SUM(Tenants!$B$2:$B$7)*Inputs!$B$8*(1+Inputs!$B$10)^(AI$3/12)/12</f>
        <v>2442107.96991428</v>
      </c>
      <c r="AJ13" s="0" t="n">
        <f aca="false">SUM(Tenants!$B$2:$B$7)*Inputs!$B$8*(1+Inputs!$B$10)^(AJ$3/12)/12</f>
        <v>2449119.01455695</v>
      </c>
      <c r="AK13" s="0" t="n">
        <f aca="false">SUM(Tenants!$B$2:$B$7)*Inputs!$B$8*(1+Inputs!$B$10)^(AK$3/12)/12</f>
        <v>2456150.18719871</v>
      </c>
      <c r="AL13" s="0" t="n">
        <f aca="false">SUM(Tenants!$B$2:$B$7)*Inputs!$B$8*(1+Inputs!$B$10)^(AL$3/12)/12</f>
        <v>2463201.545625</v>
      </c>
      <c r="AM13" s="0" t="n">
        <f aca="false">SUM(Tenants!$B$2:$B$7)*Inputs!$B$8*(1+Inputs!$B$10)^(AM$3/12)/12</f>
        <v>2470273.14778716</v>
      </c>
      <c r="AN13" s="0" t="n">
        <f aca="false">SUM(Tenants!$B$2:$B$7)*Inputs!$B$8*(1+Inputs!$B$10)^(AN$3/12)/12</f>
        <v>2477365.05180291</v>
      </c>
      <c r="AO13" s="0" t="n">
        <f aca="false">SUM(Tenants!$B$2:$B$7)*Inputs!$B$8*(1+Inputs!$B$10)^(AO$3/12)/12</f>
        <v>2484477.31595682</v>
      </c>
      <c r="AP13" s="0" t="n">
        <f aca="false">SUM(Tenants!$B$2:$B$7)*Inputs!$B$8*(1+Inputs!$B$10)^(AP$3/12)/12</f>
        <v>2491609.99870077</v>
      </c>
      <c r="AQ13" s="0" t="n">
        <f aca="false">SUM(Tenants!$B$2:$B$7)*Inputs!$B$8*(1+Inputs!$B$10)^(AQ$3/12)/12</f>
        <v>2498763.15865448</v>
      </c>
      <c r="AR13" s="0" t="n">
        <f aca="false">SUM(Tenants!$B$2:$B$7)*Inputs!$B$8*(1+Inputs!$B$10)^(AR$3/12)/12</f>
        <v>2505936.85460594</v>
      </c>
      <c r="AS13" s="0" t="n">
        <f aca="false">SUM(Tenants!$B$2:$B$7)*Inputs!$B$8*(1+Inputs!$B$10)^(AS$3/12)/12</f>
        <v>2513131.14551192</v>
      </c>
      <c r="AT13" s="0" t="n">
        <f aca="false">SUM(Tenants!$B$2:$B$7)*Inputs!$B$8*(1+Inputs!$B$10)^(AT$3/12)/12</f>
        <v>2520346.09049844</v>
      </c>
      <c r="AU13" s="0" t="n">
        <f aca="false">SUM(Tenants!$B$2:$B$7)*Inputs!$B$8*(1+Inputs!$B$10)^(AU$3/12)/12</f>
        <v>2527581.74886128</v>
      </c>
      <c r="AV13" s="0" t="n">
        <f aca="false">SUM(Tenants!$B$2:$B$7)*Inputs!$B$8*(1+Inputs!$B$10)^(AV$3/12)/12</f>
        <v>2534838.18006645</v>
      </c>
      <c r="AW13" s="0" t="n">
        <f aca="false">SUM(Tenants!$B$2:$B$7)*Inputs!$B$8*(1+Inputs!$B$10)^(AW$3/12)/12</f>
        <v>2542115.44375067</v>
      </c>
      <c r="AX13" s="0" t="n">
        <f aca="false">SUM(Tenants!$B$2:$B$7)*Inputs!$B$8*(1+Inputs!$B$10)^(AX$3/12)/12</f>
        <v>2549413.59972187</v>
      </c>
      <c r="AY13" s="0" t="n">
        <f aca="false">SUM(Tenants!$B$2:$B$7)*Inputs!$B$8*(1+Inputs!$B$10)^(AY$3/12)/12</f>
        <v>2556732.70795971</v>
      </c>
      <c r="AZ13" s="0" t="n">
        <f aca="false">SUM(Tenants!$B$2:$B$7)*Inputs!$B$8*(1+Inputs!$B$10)^(AZ$3/12)/12</f>
        <v>2564072.82861602</v>
      </c>
      <c r="BA13" s="0" t="n">
        <f aca="false">SUM(Tenants!$B$2:$B$7)*Inputs!$B$8*(1+Inputs!$B$10)^(BA$3/12)/12</f>
        <v>2571434.02201531</v>
      </c>
      <c r="BB13" s="0" t="n">
        <f aca="false">SUM(Tenants!$B$2:$B$7)*Inputs!$B$8*(1+Inputs!$B$10)^(BB$3/12)/12</f>
        <v>2578816.3486553</v>
      </c>
      <c r="BC13" s="0" t="n">
        <f aca="false">SUM(Tenants!$B$2:$B$7)*Inputs!$B$8*(1+Inputs!$B$10)^(BC$3/12)/12</f>
        <v>2586219.86920739</v>
      </c>
      <c r="BD13" s="0" t="n">
        <f aca="false">SUM(Tenants!$B$2:$B$7)*Inputs!$B$8*(1+Inputs!$B$10)^(BD$3/12)/12</f>
        <v>2593644.64451715</v>
      </c>
      <c r="BE13" s="0" t="n">
        <f aca="false">SUM(Tenants!$B$2:$B$7)*Inputs!$B$8*(1+Inputs!$B$10)^(BE$3/12)/12</f>
        <v>2601090.73560483</v>
      </c>
      <c r="BF13" s="0" t="n">
        <f aca="false">SUM(Tenants!$B$2:$B$7)*Inputs!$B$8*(1+Inputs!$B$10)^(BF$3/12)/12</f>
        <v>2608558.20366588</v>
      </c>
      <c r="BG13" s="0" t="n">
        <f aca="false">SUM(Tenants!$B$2:$B$7)*Inputs!$B$8*(1+Inputs!$B$10)^(BG$3/12)/12</f>
        <v>2616047.11007142</v>
      </c>
      <c r="BH13" s="0" t="n">
        <f aca="false">SUM(Tenants!$B$2:$B$7)*Inputs!$B$8*(1+Inputs!$B$10)^(BH$3/12)/12</f>
        <v>2623557.51636877</v>
      </c>
      <c r="BI13" s="0" t="n">
        <f aca="false">SUM(Tenants!$B$2:$B$7)*Inputs!$B$8*(1+Inputs!$B$10)^(BI$3/12)/12</f>
        <v>2631089.48428194</v>
      </c>
      <c r="BJ13" s="0" t="n">
        <f aca="false">SUM(Tenants!$B$2:$B$7)*Inputs!$B$8*(1+Inputs!$B$10)^(BJ$3/12)/12</f>
        <v>2638643.07571214</v>
      </c>
      <c r="BK13" s="0" t="n">
        <f aca="false">SUM(Tenants!$B$2:$B$7)*Inputs!$B$8*(1+Inputs!$B$10)^(BK$3/12)/12</f>
        <v>2646218.3527383</v>
      </c>
      <c r="BL13" s="0" t="n">
        <f aca="false">SUM(Tenants!$B$2:$B$7)*Inputs!$B$8*(1+Inputs!$B$10)^(BL$3/12)/12</f>
        <v>2653815.37761758</v>
      </c>
      <c r="BM13" s="0" t="n">
        <f aca="false">SUM(Tenants!$B$2:$B$7)*Inputs!$B$8*(1+Inputs!$B$10)^(BM$3/12)/12</f>
        <v>2661434.21278584</v>
      </c>
      <c r="BN13" s="0" t="n">
        <f aca="false">SUM(Tenants!$B$2:$B$7)*Inputs!$B$8*(1+Inputs!$B$10)^(BN$3/12)/12</f>
        <v>2669074.92085824</v>
      </c>
      <c r="BO13" s="0" t="n">
        <f aca="false">SUM(Tenants!$B$2:$B$7)*Inputs!$B$8*(1+Inputs!$B$10)^(BO$3/12)/12</f>
        <v>2676737.56462965</v>
      </c>
      <c r="BP13" s="0" t="n">
        <f aca="false">SUM(Tenants!$B$2:$B$7)*Inputs!$B$8*(1+Inputs!$B$10)^(BP$3/12)/12</f>
        <v>2684422.20707525</v>
      </c>
      <c r="BQ13" s="0" t="n">
        <f aca="false">SUM(Tenants!$B$2:$B$7)*Inputs!$B$8*(1+Inputs!$B$10)^(BQ$3/12)/12</f>
        <v>2692128.911351</v>
      </c>
      <c r="BR13" s="0" t="n">
        <f aca="false">SUM(Tenants!$B$2:$B$7)*Inputs!$B$8*(1+Inputs!$B$10)^(BR$3/12)/12</f>
        <v>2699857.74079419</v>
      </c>
      <c r="BS13" s="0" t="n">
        <f aca="false">SUM(Tenants!$B$2:$B$7)*Inputs!$B$8*(1+Inputs!$B$10)^(BS$3/12)/12</f>
        <v>2707608.75892392</v>
      </c>
      <c r="BT13" s="0" t="n">
        <f aca="false">SUM(Tenants!$B$2:$B$7)*Inputs!$B$8*(1+Inputs!$B$10)^(BT$3/12)/12</f>
        <v>2715382.02944168</v>
      </c>
      <c r="BU13" s="0" t="n">
        <f aca="false">SUM(Tenants!$B$2:$B$7)*Inputs!$B$8*(1+Inputs!$B$10)^(BU$3/12)/12</f>
        <v>2723177.61623181</v>
      </c>
      <c r="BV13" s="0" t="n">
        <f aca="false">SUM(Tenants!$B$2:$B$7)*Inputs!$B$8*(1+Inputs!$B$10)^(BV$3/12)/12</f>
        <v>2730995.58336206</v>
      </c>
      <c r="BW13" s="0" t="n">
        <f aca="false">SUM(Tenants!$B$2:$B$7)*Inputs!$B$8*(1+Inputs!$B$10)^(BW$3/12)/12</f>
        <v>2738835.99508414</v>
      </c>
      <c r="BX13" s="0" t="n">
        <f aca="false">SUM(Tenants!$B$2:$B$7)*Inputs!$B$8*(1+Inputs!$B$10)^(BX$3/12)/12</f>
        <v>2746698.91583419</v>
      </c>
      <c r="BY13" s="0" t="n">
        <f aca="false">SUM(Tenants!$B$2:$B$7)*Inputs!$B$8*(1+Inputs!$B$10)^(BY$3/12)/12</f>
        <v>2754584.41023335</v>
      </c>
      <c r="BZ13" s="0" t="n">
        <f aca="false">SUM(Tenants!$B$2:$B$7)*Inputs!$B$8*(1+Inputs!$B$10)^(BZ$3/12)/12</f>
        <v>2762492.54308828</v>
      </c>
      <c r="CA13" s="0" t="n">
        <f aca="false">SUM(Tenants!$B$2:$B$7)*Inputs!$B$8*(1+Inputs!$B$10)^(CA$3/12)/12</f>
        <v>2770423.37939169</v>
      </c>
      <c r="CB13" s="0" t="n">
        <f aca="false">SUM(Tenants!$B$2:$B$7)*Inputs!$B$8*(1+Inputs!$B$10)^(CB$3/12)/12</f>
        <v>2778376.98432288</v>
      </c>
      <c r="CC13" s="0" t="n">
        <f aca="false">SUM(Tenants!$B$2:$B$7)*Inputs!$B$8*(1+Inputs!$B$10)^(CC$3/12)/12</f>
        <v>2786353.42324829</v>
      </c>
      <c r="CD13" s="0" t="n">
        <f aca="false">SUM(Tenants!$B$2:$B$7)*Inputs!$B$8*(1+Inputs!$B$10)^(CD$3/12)/12</f>
        <v>2794352.76172198</v>
      </c>
      <c r="CE13" s="0" t="n">
        <f aca="false">SUM(Tenants!$B$2:$B$7)*Inputs!$B$8*(1+Inputs!$B$10)^(CE$3/12)/12</f>
        <v>2802375.06548626</v>
      </c>
      <c r="CF13" s="0" t="n">
        <f aca="false">SUM(Tenants!$B$2:$B$7)*Inputs!$B$8*(1+Inputs!$B$10)^(CF$3/12)/12</f>
        <v>2810420.40047214</v>
      </c>
      <c r="CG13" s="0" t="n">
        <f aca="false">SUM(Tenants!$B$2:$B$7)*Inputs!$B$8*(1+Inputs!$B$10)^(CG$3/12)/12</f>
        <v>2818488.83279992</v>
      </c>
      <c r="CH13" s="0" t="n">
        <f aca="false">SUM(Tenants!$B$2:$B$7)*Inputs!$B$8*(1+Inputs!$B$10)^(CH$3/12)/12</f>
        <v>2826580.42877974</v>
      </c>
      <c r="CI13" s="0" t="n">
        <f aca="false">SUM(Tenants!$B$2:$B$7)*Inputs!$B$8*(1+Inputs!$B$10)^(CI$3/12)/12</f>
        <v>2834695.25491209</v>
      </c>
      <c r="CJ13" s="0" t="n">
        <f aca="false">SUM(Tenants!$B$2:$B$7)*Inputs!$B$8*(1+Inputs!$B$10)^(CJ$3/12)/12</f>
        <v>2842833.37788839</v>
      </c>
      <c r="CK13" s="0" t="n">
        <f aca="false">SUM(Tenants!$B$2:$B$7)*Inputs!$B$8*(1+Inputs!$B$10)^(CK$3/12)/12</f>
        <v>2850994.86459151</v>
      </c>
      <c r="CL13" s="0" t="n">
        <f aca="false">SUM(Tenants!$B$2:$B$7)*Inputs!$B$8*(1+Inputs!$B$10)^(CL$3/12)/12</f>
        <v>2859179.78209637</v>
      </c>
      <c r="CM13" s="0" t="n">
        <f aca="false">SUM(Tenants!$B$2:$B$7)*Inputs!$B$8*(1+Inputs!$B$10)^(CM$3/12)/12</f>
        <v>2867388.19767039</v>
      </c>
      <c r="CN13" s="0" t="n">
        <f aca="false">SUM(Tenants!$B$2:$B$7)*Inputs!$B$8*(1+Inputs!$B$10)^(CN$3/12)/12</f>
        <v>2875620.17877418</v>
      </c>
      <c r="CO13" s="0" t="n">
        <f aca="false">SUM(Tenants!$B$2:$B$7)*Inputs!$B$8*(1+Inputs!$B$10)^(CO$3/12)/12</f>
        <v>2883875.79306198</v>
      </c>
      <c r="CP13" s="0" t="n">
        <f aca="false">SUM(Tenants!$B$2:$B$7)*Inputs!$B$8*(1+Inputs!$B$10)^(CP$3/12)/12</f>
        <v>2892155.10838225</v>
      </c>
      <c r="CQ13" s="0" t="n">
        <f aca="false">SUM(Tenants!$B$2:$B$7)*Inputs!$B$8*(1+Inputs!$B$10)^(CQ$3/12)/12</f>
        <v>2900458.19277828</v>
      </c>
      <c r="CR13" s="0" t="n">
        <f aca="false">SUM(Tenants!$B$2:$B$7)*Inputs!$B$8*(1+Inputs!$B$10)^(CR$3/12)/12</f>
        <v>2908785.11448866</v>
      </c>
      <c r="CS13" s="0" t="n">
        <f aca="false">SUM(Tenants!$B$2:$B$7)*Inputs!$B$8*(1+Inputs!$B$10)^(CS$3/12)/12</f>
        <v>2917135.94194792</v>
      </c>
      <c r="CT13" s="0" t="n">
        <f aca="false">SUM(Tenants!$B$2:$B$7)*Inputs!$B$8*(1+Inputs!$B$10)^(CT$3/12)/12</f>
        <v>2925510.74378703</v>
      </c>
      <c r="CU13" s="0" t="n">
        <f aca="false">SUM(Tenants!$B$2:$B$7)*Inputs!$B$8*(1+Inputs!$B$10)^(CU$3/12)/12</f>
        <v>2933909.58883401</v>
      </c>
      <c r="CV13" s="0" t="n">
        <f aca="false">SUM(Tenants!$B$2:$B$7)*Inputs!$B$8*(1+Inputs!$B$10)^(CV$3/12)/12</f>
        <v>2942332.54611448</v>
      </c>
      <c r="CW13" s="0" t="n">
        <f aca="false">SUM(Tenants!$B$2:$B$7)*Inputs!$B$8*(1+Inputs!$B$10)^(CW$3/12)/12</f>
        <v>2950779.68485222</v>
      </c>
      <c r="CX13" s="0" t="n">
        <f aca="false">SUM(Tenants!$B$2:$B$7)*Inputs!$B$8*(1+Inputs!$B$10)^(CX$3/12)/12</f>
        <v>2959251.07446974</v>
      </c>
      <c r="CY13" s="0" t="n">
        <f aca="false">SUM(Tenants!$B$2:$B$7)*Inputs!$B$8*(1+Inputs!$B$10)^(CY$3/12)/12</f>
        <v>2967746.78458886</v>
      </c>
      <c r="CZ13" s="0" t="n">
        <f aca="false">SUM(Tenants!$B$2:$B$7)*Inputs!$B$8*(1+Inputs!$B$10)^(CZ$3/12)/12</f>
        <v>2976266.88503128</v>
      </c>
      <c r="DA13" s="0" t="n">
        <f aca="false">SUM(Tenants!$B$2:$B$7)*Inputs!$B$8*(1+Inputs!$B$10)^(DA$3/12)/12</f>
        <v>2984811.44581914</v>
      </c>
      <c r="DB13" s="0" t="n">
        <f aca="false">SUM(Tenants!$B$2:$B$7)*Inputs!$B$8*(1+Inputs!$B$10)^(DB$3/12)/12</f>
        <v>2993380.53717563</v>
      </c>
      <c r="DC13" s="0" t="n">
        <f aca="false">SUM(Tenants!$B$2:$B$7)*Inputs!$B$8*(1+Inputs!$B$10)^(DC$3/12)/12</f>
        <v>3001974.22952552</v>
      </c>
      <c r="DD13" s="0" t="n">
        <f aca="false">SUM(Tenants!$B$2:$B$7)*Inputs!$B$8*(1+Inputs!$B$10)^(DD$3/12)/12</f>
        <v>3010592.59349576</v>
      </c>
      <c r="DE13" s="0" t="n">
        <f aca="false">SUM(Tenants!$B$2:$B$7)*Inputs!$B$8*(1+Inputs!$B$10)^(DE$3/12)/12</f>
        <v>3019235.69991609</v>
      </c>
      <c r="DF13" s="0" t="n">
        <f aca="false">SUM(Tenants!$B$2:$B$7)*Inputs!$B$8*(1+Inputs!$B$10)^(DF$3/12)/12</f>
        <v>3027903.61981957</v>
      </c>
      <c r="DG13" s="0" t="n">
        <f aca="false">SUM(Tenants!$B$2:$B$7)*Inputs!$B$8*(1+Inputs!$B$10)^(DG$3/12)/12</f>
        <v>3036596.4244432</v>
      </c>
      <c r="DH13" s="0" t="n">
        <f aca="false">SUM(Tenants!$B$2:$B$7)*Inputs!$B$8*(1+Inputs!$B$10)^(DH$3/12)/12</f>
        <v>3045314.18522849</v>
      </c>
      <c r="DI13" s="0" t="n">
        <f aca="false">SUM(Tenants!$B$2:$B$7)*Inputs!$B$8*(1+Inputs!$B$10)^(DI$3/12)/12</f>
        <v>3054056.97382204</v>
      </c>
      <c r="DJ13" s="0" t="n">
        <f aca="false">SUM(Tenants!$B$2:$B$7)*Inputs!$B$8*(1+Inputs!$B$10)^(DJ$3/12)/12</f>
        <v>3062824.86207618</v>
      </c>
      <c r="DK13" s="0" t="n">
        <f aca="false">SUM(Tenants!$B$2:$B$7)*Inputs!$B$8*(1+Inputs!$B$10)^(DK$3/12)/12</f>
        <v>3071617.92204947</v>
      </c>
      <c r="DL13" s="0" t="n">
        <f aca="false">SUM(Tenants!$B$2:$B$7)*Inputs!$B$8*(1+Inputs!$B$10)^(DL$3/12)/12</f>
        <v>3080436.22600737</v>
      </c>
      <c r="DM13" s="0" t="n">
        <f aca="false">SUM(Tenants!$B$2:$B$7)*Inputs!$B$8*(1+Inputs!$B$10)^(DM$3/12)/12</f>
        <v>3089279.84642282</v>
      </c>
      <c r="DN13" s="0" t="n">
        <f aca="false">SUM(Tenants!$B$2:$B$7)*Inputs!$B$8*(1+Inputs!$B$10)^(DN$3/12)/12</f>
        <v>3098148.85597678</v>
      </c>
      <c r="DO13" s="0" t="n">
        <f aca="false">SUM(Tenants!$B$2:$B$7)*Inputs!$B$8*(1+Inputs!$B$10)^(DO$3/12)/12</f>
        <v>3107043.32755891</v>
      </c>
      <c r="DP13" s="0" t="n">
        <f aca="false">SUM(Tenants!$B$2:$B$7)*Inputs!$B$8*(1+Inputs!$B$10)^(DP$3/12)/12</f>
        <v>3115963.33426812</v>
      </c>
      <c r="DQ13" s="0" t="n">
        <f aca="false">SUM(Tenants!$B$2:$B$7)*Inputs!$B$8*(1+Inputs!$B$10)^(DQ$3/12)/12</f>
        <v>3124908.94941316</v>
      </c>
      <c r="DR13" s="0" t="n">
        <f aca="false">SUM(Tenants!$B$2:$B$7)*Inputs!$B$8*(1+Inputs!$B$10)^(DR$3/12)/12</f>
        <v>3133880.24651326</v>
      </c>
    </row>
    <row r="14" customFormat="false" ht="15" hidden="false" customHeight="false" outlineLevel="0" collapsed="false">
      <c r="A14" s="0" t="s">
        <v>34</v>
      </c>
      <c r="B14" s="0" t="n">
        <f aca="false">0</f>
        <v>0</v>
      </c>
      <c r="C14" s="0" t="n">
        <f aca="false">MIN(C13,SUM(Tenants!$B$2:$B$7)*Inputs!$B$9/12)</f>
        <v>2078333.33333333</v>
      </c>
      <c r="D14" s="0" t="n">
        <f aca="false">MIN(D13,SUM(Tenants!$B$2:$B$7)*Inputs!$B$9/12)</f>
        <v>2078333.33333333</v>
      </c>
      <c r="E14" s="0" t="n">
        <f aca="false">MIN(E13,SUM(Tenants!$B$2:$B$7)*Inputs!$B$9/12)</f>
        <v>2078333.33333333</v>
      </c>
      <c r="F14" s="0" t="n">
        <f aca="false">MIN(F13,SUM(Tenants!$B$2:$B$7)*Inputs!$B$9/12)</f>
        <v>2078333.33333333</v>
      </c>
      <c r="G14" s="0" t="n">
        <f aca="false">MIN(G13,SUM(Tenants!$B$2:$B$7)*Inputs!$B$9/12)</f>
        <v>2078333.33333333</v>
      </c>
      <c r="H14" s="0" t="n">
        <f aca="false">MIN(H13,SUM(Tenants!$B$2:$B$7)*Inputs!$B$9/12)</f>
        <v>2078333.33333333</v>
      </c>
      <c r="I14" s="0" t="n">
        <f aca="false">MIN(I13,SUM(Tenants!$B$2:$B$7)*Inputs!$B$9/12)</f>
        <v>2078333.33333333</v>
      </c>
      <c r="J14" s="0" t="n">
        <f aca="false">MIN(J13,SUM(Tenants!$B$2:$B$7)*Inputs!$B$9/12)</f>
        <v>2078333.33333333</v>
      </c>
      <c r="K14" s="0" t="n">
        <f aca="false">MIN(K13,SUM(Tenants!$B$2:$B$7)*Inputs!$B$9/12)</f>
        <v>2078333.33333333</v>
      </c>
      <c r="L14" s="0" t="n">
        <f aca="false">MIN(L13,SUM(Tenants!$B$2:$B$7)*Inputs!$B$9/12)</f>
        <v>2078333.33333333</v>
      </c>
      <c r="M14" s="0" t="n">
        <f aca="false">MIN(M13,SUM(Tenants!$B$2:$B$7)*Inputs!$B$9/12)</f>
        <v>2078333.33333333</v>
      </c>
      <c r="N14" s="0" t="n">
        <f aca="false">MIN(N13,SUM(Tenants!$B$2:$B$7)*Inputs!$B$9/12)</f>
        <v>2078333.33333333</v>
      </c>
      <c r="O14" s="0" t="n">
        <f aca="false">MIN(O13,SUM(Tenants!$B$2:$B$7)*Inputs!$B$9/12)</f>
        <v>2078333.33333333</v>
      </c>
      <c r="P14" s="0" t="n">
        <f aca="false">MIN(P13,SUM(Tenants!$B$2:$B$7)*Inputs!$B$9/12)</f>
        <v>2078333.33333333</v>
      </c>
      <c r="Q14" s="0" t="n">
        <f aca="false">MIN(Q13,SUM(Tenants!$B$2:$B$7)*Inputs!$B$9/12)</f>
        <v>2078333.33333333</v>
      </c>
      <c r="R14" s="0" t="n">
        <f aca="false">MIN(R13,SUM(Tenants!$B$2:$B$7)*Inputs!$B$9/12)</f>
        <v>2078333.33333333</v>
      </c>
      <c r="S14" s="0" t="n">
        <f aca="false">MIN(S13,SUM(Tenants!$B$2:$B$7)*Inputs!$B$9/12)</f>
        <v>2078333.33333333</v>
      </c>
      <c r="T14" s="0" t="n">
        <f aca="false">MIN(T13,SUM(Tenants!$B$2:$B$7)*Inputs!$B$9/12)</f>
        <v>2078333.33333333</v>
      </c>
      <c r="U14" s="0" t="n">
        <f aca="false">MIN(U13,SUM(Tenants!$B$2:$B$7)*Inputs!$B$9/12)</f>
        <v>2078333.33333333</v>
      </c>
      <c r="V14" s="0" t="n">
        <f aca="false">MIN(V13,SUM(Tenants!$B$2:$B$7)*Inputs!$B$9/12)</f>
        <v>2078333.33333333</v>
      </c>
      <c r="W14" s="0" t="n">
        <f aca="false">MIN(W13,SUM(Tenants!$B$2:$B$7)*Inputs!$B$9/12)</f>
        <v>2078333.33333333</v>
      </c>
      <c r="X14" s="0" t="n">
        <f aca="false">MIN(X13,SUM(Tenants!$B$2:$B$7)*Inputs!$B$9/12)</f>
        <v>2078333.33333333</v>
      </c>
      <c r="Y14" s="0" t="n">
        <f aca="false">MIN(Y13,SUM(Tenants!$B$2:$B$7)*Inputs!$B$9/12)</f>
        <v>2078333.33333333</v>
      </c>
      <c r="Z14" s="0" t="n">
        <f aca="false">MIN(Z13,SUM(Tenants!$B$2:$B$7)*Inputs!$B$9/12)</f>
        <v>2078333.33333333</v>
      </c>
      <c r="AA14" s="0" t="n">
        <f aca="false">MIN(AA13,SUM(Tenants!$B$2:$B$7)*Inputs!$B$9/12)</f>
        <v>2078333.33333333</v>
      </c>
      <c r="AB14" s="0" t="n">
        <f aca="false">MIN(AB13,SUM(Tenants!$B$2:$B$7)*Inputs!$B$9/12)</f>
        <v>2078333.33333333</v>
      </c>
      <c r="AC14" s="0" t="n">
        <f aca="false">MIN(AC13,SUM(Tenants!$B$2:$B$7)*Inputs!$B$9/12)</f>
        <v>2078333.33333333</v>
      </c>
      <c r="AD14" s="0" t="n">
        <f aca="false">MIN(AD13,SUM(Tenants!$B$2:$B$7)*Inputs!$B$9/12)</f>
        <v>2078333.33333333</v>
      </c>
      <c r="AE14" s="0" t="n">
        <f aca="false">MIN(AE13,SUM(Tenants!$B$2:$B$7)*Inputs!$B$9/12)</f>
        <v>2078333.33333333</v>
      </c>
      <c r="AF14" s="0" t="n">
        <f aca="false">MIN(AF13,SUM(Tenants!$B$2:$B$7)*Inputs!$B$9/12)</f>
        <v>2078333.33333333</v>
      </c>
      <c r="AG14" s="0" t="n">
        <f aca="false">MIN(AG13,SUM(Tenants!$B$2:$B$7)*Inputs!$B$9/12)</f>
        <v>2078333.33333333</v>
      </c>
      <c r="AH14" s="0" t="n">
        <f aca="false">MIN(AH13,SUM(Tenants!$B$2:$B$7)*Inputs!$B$9/12)</f>
        <v>2078333.33333333</v>
      </c>
      <c r="AI14" s="0" t="n">
        <f aca="false">MIN(AI13,SUM(Tenants!$B$2:$B$7)*Inputs!$B$9/12)</f>
        <v>2078333.33333333</v>
      </c>
      <c r="AJ14" s="0" t="n">
        <f aca="false">MIN(AJ13,SUM(Tenants!$B$2:$B$7)*Inputs!$B$9/12)</f>
        <v>2078333.33333333</v>
      </c>
      <c r="AK14" s="0" t="n">
        <f aca="false">MIN(AK13,SUM(Tenants!$B$2:$B$7)*Inputs!$B$9/12)</f>
        <v>2078333.33333333</v>
      </c>
      <c r="AL14" s="0" t="n">
        <f aca="false">MIN(AL13,SUM(Tenants!$B$2:$B$7)*Inputs!$B$9/12)</f>
        <v>2078333.33333333</v>
      </c>
      <c r="AM14" s="0" t="n">
        <f aca="false">MIN(AM13,SUM(Tenants!$B$2:$B$7)*Inputs!$B$9/12)</f>
        <v>2078333.33333333</v>
      </c>
      <c r="AN14" s="0" t="n">
        <f aca="false">MIN(AN13,SUM(Tenants!$B$2:$B$7)*Inputs!$B$9/12)</f>
        <v>2078333.33333333</v>
      </c>
      <c r="AO14" s="0" t="n">
        <f aca="false">MIN(AO13,SUM(Tenants!$B$2:$B$7)*Inputs!$B$9/12)</f>
        <v>2078333.33333333</v>
      </c>
      <c r="AP14" s="0" t="n">
        <f aca="false">MIN(AP13,SUM(Tenants!$B$2:$B$7)*Inputs!$B$9/12)</f>
        <v>2078333.33333333</v>
      </c>
      <c r="AQ14" s="0" t="n">
        <f aca="false">MIN(AQ13,SUM(Tenants!$B$2:$B$7)*Inputs!$B$9/12)</f>
        <v>2078333.33333333</v>
      </c>
      <c r="AR14" s="0" t="n">
        <f aca="false">MIN(AR13,SUM(Tenants!$B$2:$B$7)*Inputs!$B$9/12)</f>
        <v>2078333.33333333</v>
      </c>
      <c r="AS14" s="0" t="n">
        <f aca="false">MIN(AS13,SUM(Tenants!$B$2:$B$7)*Inputs!$B$9/12)</f>
        <v>2078333.33333333</v>
      </c>
      <c r="AT14" s="0" t="n">
        <f aca="false">MIN(AT13,SUM(Tenants!$B$2:$B$7)*Inputs!$B$9/12)</f>
        <v>2078333.33333333</v>
      </c>
      <c r="AU14" s="0" t="n">
        <f aca="false">MIN(AU13,SUM(Tenants!$B$2:$B$7)*Inputs!$B$9/12)</f>
        <v>2078333.33333333</v>
      </c>
      <c r="AV14" s="0" t="n">
        <f aca="false">MIN(AV13,SUM(Tenants!$B$2:$B$7)*Inputs!$B$9/12)</f>
        <v>2078333.33333333</v>
      </c>
      <c r="AW14" s="0" t="n">
        <f aca="false">MIN(AW13,SUM(Tenants!$B$2:$B$7)*Inputs!$B$9/12)</f>
        <v>2078333.33333333</v>
      </c>
      <c r="AX14" s="0" t="n">
        <f aca="false">MIN(AX13,SUM(Tenants!$B$2:$B$7)*Inputs!$B$9/12)</f>
        <v>2078333.33333333</v>
      </c>
      <c r="AY14" s="0" t="n">
        <f aca="false">MIN(AY13,SUM(Tenants!$B$2:$B$7)*Inputs!$B$9/12)</f>
        <v>2078333.33333333</v>
      </c>
      <c r="AZ14" s="0" t="n">
        <f aca="false">MIN(AZ13,SUM(Tenants!$B$2:$B$7)*Inputs!$B$9/12)</f>
        <v>2078333.33333333</v>
      </c>
      <c r="BA14" s="0" t="n">
        <f aca="false">MIN(BA13,SUM(Tenants!$B$2:$B$7)*Inputs!$B$9/12)</f>
        <v>2078333.33333333</v>
      </c>
      <c r="BB14" s="0" t="n">
        <f aca="false">MIN(BB13,SUM(Tenants!$B$2:$B$7)*Inputs!$B$9/12)</f>
        <v>2078333.33333333</v>
      </c>
      <c r="BC14" s="0" t="n">
        <f aca="false">MIN(BC13,SUM(Tenants!$B$2:$B$7)*Inputs!$B$9/12)</f>
        <v>2078333.33333333</v>
      </c>
      <c r="BD14" s="0" t="n">
        <f aca="false">MIN(BD13,SUM(Tenants!$B$2:$B$7)*Inputs!$B$9/12)</f>
        <v>2078333.33333333</v>
      </c>
      <c r="BE14" s="0" t="n">
        <f aca="false">MIN(BE13,SUM(Tenants!$B$2:$B$7)*Inputs!$B$9/12)</f>
        <v>2078333.33333333</v>
      </c>
      <c r="BF14" s="0" t="n">
        <f aca="false">MIN(BF13,SUM(Tenants!$B$2:$B$7)*Inputs!$B$9/12)</f>
        <v>2078333.33333333</v>
      </c>
      <c r="BG14" s="0" t="n">
        <f aca="false">MIN(BG13,SUM(Tenants!$B$2:$B$7)*Inputs!$B$9/12)</f>
        <v>2078333.33333333</v>
      </c>
      <c r="BH14" s="0" t="n">
        <f aca="false">MIN(BH13,SUM(Tenants!$B$2:$B$7)*Inputs!$B$9/12)</f>
        <v>2078333.33333333</v>
      </c>
      <c r="BI14" s="0" t="n">
        <f aca="false">MIN(BI13,SUM(Tenants!$B$2:$B$7)*Inputs!$B$9/12)</f>
        <v>2078333.33333333</v>
      </c>
      <c r="BJ14" s="0" t="n">
        <f aca="false">MIN(BJ13,SUM(Tenants!$B$2:$B$7)*Inputs!$B$9/12)</f>
        <v>2078333.33333333</v>
      </c>
      <c r="BK14" s="0" t="n">
        <f aca="false">MIN(BK13,SUM(Tenants!$B$2:$B$7)*Inputs!$B$9/12)</f>
        <v>2078333.33333333</v>
      </c>
      <c r="BL14" s="0" t="n">
        <f aca="false">MIN(BL13,SUM(Tenants!$B$2:$B$7)*Inputs!$B$9/12)</f>
        <v>2078333.33333333</v>
      </c>
      <c r="BM14" s="0" t="n">
        <f aca="false">MIN(BM13,SUM(Tenants!$B$2:$B$7)*Inputs!$B$9/12)</f>
        <v>2078333.33333333</v>
      </c>
      <c r="BN14" s="0" t="n">
        <f aca="false">MIN(BN13,SUM(Tenants!$B$2:$B$7)*Inputs!$B$9/12)</f>
        <v>2078333.33333333</v>
      </c>
      <c r="BO14" s="0" t="n">
        <f aca="false">MIN(BO13,SUM(Tenants!$B$2:$B$7)*Inputs!$B$9/12)</f>
        <v>2078333.33333333</v>
      </c>
      <c r="BP14" s="0" t="n">
        <f aca="false">MIN(BP13,SUM(Tenants!$B$2:$B$7)*Inputs!$B$9/12)</f>
        <v>2078333.33333333</v>
      </c>
      <c r="BQ14" s="0" t="n">
        <f aca="false">MIN(BQ13,SUM(Tenants!$B$2:$B$7)*Inputs!$B$9/12)</f>
        <v>2078333.33333333</v>
      </c>
      <c r="BR14" s="0" t="n">
        <f aca="false">MIN(BR13,SUM(Tenants!$B$2:$B$7)*Inputs!$B$9/12)</f>
        <v>2078333.33333333</v>
      </c>
      <c r="BS14" s="0" t="n">
        <f aca="false">MIN(BS13,SUM(Tenants!$B$2:$B$7)*Inputs!$B$9/12)</f>
        <v>2078333.33333333</v>
      </c>
      <c r="BT14" s="0" t="n">
        <f aca="false">MIN(BT13,SUM(Tenants!$B$2:$B$7)*Inputs!$B$9/12)</f>
        <v>2078333.33333333</v>
      </c>
      <c r="BU14" s="0" t="n">
        <f aca="false">MIN(BU13,SUM(Tenants!$B$2:$B$7)*Inputs!$B$9/12)</f>
        <v>2078333.33333333</v>
      </c>
      <c r="BV14" s="0" t="n">
        <f aca="false">MIN(BV13,SUM(Tenants!$B$2:$B$7)*Inputs!$B$9/12)</f>
        <v>2078333.33333333</v>
      </c>
      <c r="BW14" s="0" t="n">
        <f aca="false">MIN(BW13,SUM(Tenants!$B$2:$B$7)*Inputs!$B$9/12)</f>
        <v>2078333.33333333</v>
      </c>
      <c r="BX14" s="0" t="n">
        <f aca="false">MIN(BX13,SUM(Tenants!$B$2:$B$7)*Inputs!$B$9/12)</f>
        <v>2078333.33333333</v>
      </c>
      <c r="BY14" s="0" t="n">
        <f aca="false">MIN(BY13,SUM(Tenants!$B$2:$B$7)*Inputs!$B$9/12)</f>
        <v>2078333.33333333</v>
      </c>
      <c r="BZ14" s="0" t="n">
        <f aca="false">MIN(BZ13,SUM(Tenants!$B$2:$B$7)*Inputs!$B$9/12)</f>
        <v>2078333.33333333</v>
      </c>
      <c r="CA14" s="0" t="n">
        <f aca="false">MIN(CA13,SUM(Tenants!$B$2:$B$7)*Inputs!$B$9/12)</f>
        <v>2078333.33333333</v>
      </c>
      <c r="CB14" s="0" t="n">
        <f aca="false">MIN(CB13,SUM(Tenants!$B$2:$B$7)*Inputs!$B$9/12)</f>
        <v>2078333.33333333</v>
      </c>
      <c r="CC14" s="0" t="n">
        <f aca="false">MIN(CC13,SUM(Tenants!$B$2:$B$7)*Inputs!$B$9/12)</f>
        <v>2078333.33333333</v>
      </c>
      <c r="CD14" s="0" t="n">
        <f aca="false">MIN(CD13,SUM(Tenants!$B$2:$B$7)*Inputs!$B$9/12)</f>
        <v>2078333.33333333</v>
      </c>
      <c r="CE14" s="0" t="n">
        <f aca="false">MIN(CE13,SUM(Tenants!$B$2:$B$7)*Inputs!$B$9/12)</f>
        <v>2078333.33333333</v>
      </c>
      <c r="CF14" s="0" t="n">
        <f aca="false">MIN(CF13,SUM(Tenants!$B$2:$B$7)*Inputs!$B$9/12)</f>
        <v>2078333.33333333</v>
      </c>
      <c r="CG14" s="0" t="n">
        <f aca="false">MIN(CG13,SUM(Tenants!$B$2:$B$7)*Inputs!$B$9/12)</f>
        <v>2078333.33333333</v>
      </c>
      <c r="CH14" s="0" t="n">
        <f aca="false">MIN(CH13,SUM(Tenants!$B$2:$B$7)*Inputs!$B$9/12)</f>
        <v>2078333.33333333</v>
      </c>
      <c r="CI14" s="0" t="n">
        <f aca="false">MIN(CI13,SUM(Tenants!$B$2:$B$7)*Inputs!$B$9/12)</f>
        <v>2078333.33333333</v>
      </c>
      <c r="CJ14" s="0" t="n">
        <f aca="false">MIN(CJ13,SUM(Tenants!$B$2:$B$7)*Inputs!$B$9/12)</f>
        <v>2078333.33333333</v>
      </c>
      <c r="CK14" s="0" t="n">
        <f aca="false">MIN(CK13,SUM(Tenants!$B$2:$B$7)*Inputs!$B$9/12)</f>
        <v>2078333.33333333</v>
      </c>
      <c r="CL14" s="0" t="n">
        <f aca="false">MIN(CL13,SUM(Tenants!$B$2:$B$7)*Inputs!$B$9/12)</f>
        <v>2078333.33333333</v>
      </c>
      <c r="CM14" s="0" t="n">
        <f aca="false">MIN(CM13,SUM(Tenants!$B$2:$B$7)*Inputs!$B$9/12)</f>
        <v>2078333.33333333</v>
      </c>
      <c r="CN14" s="0" t="n">
        <f aca="false">MIN(CN13,SUM(Tenants!$B$2:$B$7)*Inputs!$B$9/12)</f>
        <v>2078333.33333333</v>
      </c>
      <c r="CO14" s="0" t="n">
        <f aca="false">MIN(CO13,SUM(Tenants!$B$2:$B$7)*Inputs!$B$9/12)</f>
        <v>2078333.33333333</v>
      </c>
      <c r="CP14" s="0" t="n">
        <f aca="false">MIN(CP13,SUM(Tenants!$B$2:$B$7)*Inputs!$B$9/12)</f>
        <v>2078333.33333333</v>
      </c>
      <c r="CQ14" s="0" t="n">
        <f aca="false">MIN(CQ13,SUM(Tenants!$B$2:$B$7)*Inputs!$B$9/12)</f>
        <v>2078333.33333333</v>
      </c>
      <c r="CR14" s="0" t="n">
        <f aca="false">MIN(CR13,SUM(Tenants!$B$2:$B$7)*Inputs!$B$9/12)</f>
        <v>2078333.33333333</v>
      </c>
      <c r="CS14" s="0" t="n">
        <f aca="false">MIN(CS13,SUM(Tenants!$B$2:$B$7)*Inputs!$B$9/12)</f>
        <v>2078333.33333333</v>
      </c>
      <c r="CT14" s="0" t="n">
        <f aca="false">MIN(CT13,SUM(Tenants!$B$2:$B$7)*Inputs!$B$9/12)</f>
        <v>2078333.33333333</v>
      </c>
      <c r="CU14" s="0" t="n">
        <f aca="false">MIN(CU13,SUM(Tenants!$B$2:$B$7)*Inputs!$B$9/12)</f>
        <v>2078333.33333333</v>
      </c>
      <c r="CV14" s="0" t="n">
        <f aca="false">MIN(CV13,SUM(Tenants!$B$2:$B$7)*Inputs!$B$9/12)</f>
        <v>2078333.33333333</v>
      </c>
      <c r="CW14" s="0" t="n">
        <f aca="false">MIN(CW13,SUM(Tenants!$B$2:$B$7)*Inputs!$B$9/12)</f>
        <v>2078333.33333333</v>
      </c>
      <c r="CX14" s="0" t="n">
        <f aca="false">MIN(CX13,SUM(Tenants!$B$2:$B$7)*Inputs!$B$9/12)</f>
        <v>2078333.33333333</v>
      </c>
      <c r="CY14" s="0" t="n">
        <f aca="false">MIN(CY13,SUM(Tenants!$B$2:$B$7)*Inputs!$B$9/12)</f>
        <v>2078333.33333333</v>
      </c>
      <c r="CZ14" s="0" t="n">
        <f aca="false">MIN(CZ13,SUM(Tenants!$B$2:$B$7)*Inputs!$B$9/12)</f>
        <v>2078333.33333333</v>
      </c>
      <c r="DA14" s="0" t="n">
        <f aca="false">MIN(DA13,SUM(Tenants!$B$2:$B$7)*Inputs!$B$9/12)</f>
        <v>2078333.33333333</v>
      </c>
      <c r="DB14" s="0" t="n">
        <f aca="false">MIN(DB13,SUM(Tenants!$B$2:$B$7)*Inputs!$B$9/12)</f>
        <v>2078333.33333333</v>
      </c>
      <c r="DC14" s="0" t="n">
        <f aca="false">MIN(DC13,SUM(Tenants!$B$2:$B$7)*Inputs!$B$9/12)</f>
        <v>2078333.33333333</v>
      </c>
      <c r="DD14" s="0" t="n">
        <f aca="false">MIN(DD13,SUM(Tenants!$B$2:$B$7)*Inputs!$B$9/12)</f>
        <v>2078333.33333333</v>
      </c>
      <c r="DE14" s="0" t="n">
        <f aca="false">MIN(DE13,SUM(Tenants!$B$2:$B$7)*Inputs!$B$9/12)</f>
        <v>2078333.33333333</v>
      </c>
      <c r="DF14" s="0" t="n">
        <f aca="false">MIN(DF13,SUM(Tenants!$B$2:$B$7)*Inputs!$B$9/12)</f>
        <v>2078333.33333333</v>
      </c>
      <c r="DG14" s="0" t="n">
        <f aca="false">MIN(DG13,SUM(Tenants!$B$2:$B$7)*Inputs!$B$9/12)</f>
        <v>2078333.33333333</v>
      </c>
      <c r="DH14" s="0" t="n">
        <f aca="false">MIN(DH13,SUM(Tenants!$B$2:$B$7)*Inputs!$B$9/12)</f>
        <v>2078333.33333333</v>
      </c>
      <c r="DI14" s="0" t="n">
        <f aca="false">MIN(DI13,SUM(Tenants!$B$2:$B$7)*Inputs!$B$9/12)</f>
        <v>2078333.33333333</v>
      </c>
      <c r="DJ14" s="0" t="n">
        <f aca="false">MIN(DJ13,SUM(Tenants!$B$2:$B$7)*Inputs!$B$9/12)</f>
        <v>2078333.33333333</v>
      </c>
      <c r="DK14" s="0" t="n">
        <f aca="false">MIN(DK13,SUM(Tenants!$B$2:$B$7)*Inputs!$B$9/12)</f>
        <v>2078333.33333333</v>
      </c>
      <c r="DL14" s="0" t="n">
        <f aca="false">MIN(DL13,SUM(Tenants!$B$2:$B$7)*Inputs!$B$9/12)</f>
        <v>2078333.33333333</v>
      </c>
      <c r="DM14" s="0" t="n">
        <f aca="false">MIN(DM13,SUM(Tenants!$B$2:$B$7)*Inputs!$B$9/12)</f>
        <v>2078333.33333333</v>
      </c>
      <c r="DN14" s="0" t="n">
        <f aca="false">MIN(DN13,SUM(Tenants!$B$2:$B$7)*Inputs!$B$9/12)</f>
        <v>2078333.33333333</v>
      </c>
      <c r="DO14" s="0" t="n">
        <f aca="false">MIN(DO13,SUM(Tenants!$B$2:$B$7)*Inputs!$B$9/12)</f>
        <v>2078333.33333333</v>
      </c>
      <c r="DP14" s="0" t="n">
        <f aca="false">MIN(DP13,SUM(Tenants!$B$2:$B$7)*Inputs!$B$9/12)</f>
        <v>2078333.33333333</v>
      </c>
      <c r="DQ14" s="0" t="n">
        <f aca="false">MIN(DQ13,SUM(Tenants!$B$2:$B$7)*Inputs!$B$9/12)</f>
        <v>2078333.33333333</v>
      </c>
      <c r="DR14" s="0" t="n">
        <f aca="false">MIN(DR13,SUM(Tenants!$B$2:$B$7)*Inputs!$B$9/12)</f>
        <v>2078333.33333333</v>
      </c>
    </row>
    <row r="15" customFormat="false" ht="15" hidden="false" customHeight="false" outlineLevel="0" collapsed="false">
      <c r="A15" s="0" t="s">
        <v>35</v>
      </c>
      <c r="B15" s="0" t="n">
        <f aca="false">B11+B12-B13+B14</f>
        <v>0</v>
      </c>
      <c r="C15" s="0" t="n">
        <f aca="false">C11+C12-C13+C14</f>
        <v>13039993.9190158</v>
      </c>
      <c r="D15" s="0" t="n">
        <f aca="false">D11+D12-D13+D14</f>
        <v>13076777.0913088</v>
      </c>
      <c r="E15" s="0" t="n">
        <f aca="false">E11+E12-E13+E14</f>
        <v>13113683.2589055</v>
      </c>
      <c r="F15" s="0" t="n">
        <f aca="false">F11+F12-F13+F14</f>
        <v>13150712.8318583</v>
      </c>
      <c r="G15" s="0" t="n">
        <f aca="false">G11+G12-G13+G14</f>
        <v>13187866.2215829</v>
      </c>
      <c r="H15" s="0" t="n">
        <f aca="false">H11+H12-H13+H14</f>
        <v>13225143.8408635</v>
      </c>
      <c r="I15" s="0" t="n">
        <f aca="false">I11+I12-I13+I14</f>
        <v>13262546.1038568</v>
      </c>
      <c r="J15" s="0" t="n">
        <f aca="false">J11+J12-J13+J14</f>
        <v>13300073.4260969</v>
      </c>
      <c r="K15" s="0" t="n">
        <f aca="false">K11+K12-K13+K14</f>
        <v>13337726.2244997</v>
      </c>
      <c r="L15" s="0" t="n">
        <f aca="false">L11+L12-L13+L14</f>
        <v>13375504.9173674</v>
      </c>
      <c r="M15" s="0" t="n">
        <f aca="false">M11+M12-M13+M14</f>
        <v>13413409.9243934</v>
      </c>
      <c r="N15" s="0" t="n">
        <f aca="false">N11+N12-N13+N14</f>
        <v>13451441.6666667</v>
      </c>
      <c r="O15" s="0" t="n">
        <f aca="false">O11+O12-O13+O14</f>
        <v>10860220.7494551</v>
      </c>
      <c r="P15" s="0" t="n">
        <f aca="false">P11+P12-P13+P14</f>
        <v>10889899.3257852</v>
      </c>
      <c r="Q15" s="0" t="n">
        <f aca="false">Q11+Q12-Q13+Q14</f>
        <v>10919677.7290075</v>
      </c>
      <c r="R15" s="0" t="n">
        <f aca="false">R11+R12-R13+R14</f>
        <v>10949556.2935858</v>
      </c>
      <c r="S15" s="0" t="n">
        <f aca="false">S11+S12-S13+S14</f>
        <v>10979535.3551009</v>
      </c>
      <c r="T15" s="0" t="n">
        <f aca="false">T11+T12-T13+T14</f>
        <v>11009615.2502543</v>
      </c>
      <c r="U15" s="0" t="n">
        <f aca="false">U11+U12-U13+U14</f>
        <v>13083228.444037</v>
      </c>
      <c r="V15" s="0" t="n">
        <f aca="false">V11+V12-V13+V14</f>
        <v>13118550.6759592</v>
      </c>
      <c r="W15" s="0" t="n">
        <f aca="false">W11+W12-W13+W14</f>
        <v>13153987.1875336</v>
      </c>
      <c r="X15" s="0" t="n">
        <f aca="false">X11+X12-X13+X14</f>
        <v>6437764.48001662</v>
      </c>
      <c r="Y15" s="0" t="n">
        <f aca="false">Y11+Y12-Y13+Y14</f>
        <v>6451327.11701505</v>
      </c>
      <c r="Z15" s="0" t="n">
        <f aca="false">Z11+Z12-Z13+Z14</f>
        <v>6464932.79166667</v>
      </c>
      <c r="AA15" s="0" t="n">
        <f aca="false">AA11+AA12-AA13+AA14</f>
        <v>6478581.64261164</v>
      </c>
      <c r="AB15" s="0" t="n">
        <f aca="false">AB11+AB12-AB13+AB14</f>
        <v>6492273.80894161</v>
      </c>
      <c r="AC15" s="0" t="n">
        <f aca="false">AC11+AC12-AC13+AC14</f>
        <v>6506009.43020118</v>
      </c>
      <c r="AD15" s="0" t="n">
        <f aca="false">AD11+AD12-AD13+AD14</f>
        <v>11985534.868655</v>
      </c>
      <c r="AE15" s="0" t="n">
        <f aca="false">AE11+AE12-AE13+AE14</f>
        <v>12012377.7016421</v>
      </c>
      <c r="AF15" s="0" t="n">
        <f aca="false">AF11+AF12-AF13+AF14</f>
        <v>12039295.0151414</v>
      </c>
      <c r="AG15" s="0" t="n">
        <f aca="false">AG11+AG12-AG13+AG14</f>
        <v>12066287.0210714</v>
      </c>
      <c r="AH15" s="0" t="n">
        <f aca="false">AH11+AH12-AH13+AH14</f>
        <v>12093353.9319687</v>
      </c>
      <c r="AI15" s="0" t="n">
        <f aca="false">AI11+AI12-AI13+AI14</f>
        <v>12120495.9609901</v>
      </c>
      <c r="AJ15" s="0" t="n">
        <f aca="false">AJ11+AJ12-AJ13+AJ14</f>
        <v>12807376.5412728</v>
      </c>
      <c r="AK15" s="0" t="n">
        <f aca="false">AK11+AK12-AK13+AK14</f>
        <v>12836296.3559606</v>
      </c>
      <c r="AL15" s="0" t="n">
        <f aca="false">AL11+AL12-AL13+AL14</f>
        <v>12865295.944375</v>
      </c>
      <c r="AM15" s="0" t="n">
        <f aca="false">AM11+AM12-AM13+AM14</f>
        <v>12894375.5320677</v>
      </c>
      <c r="AN15" s="0" t="n">
        <f aca="false">AN11+AN12-AN13+AN14</f>
        <v>12923535.3452441</v>
      </c>
      <c r="AO15" s="0" t="n">
        <f aca="false">AO11+AO12-AO13+AO14</f>
        <v>12952775.6107656</v>
      </c>
      <c r="AP15" s="0" t="n">
        <f aca="false">AP11+AP12-AP13+AP14</f>
        <v>12982096.5561512</v>
      </c>
      <c r="AQ15" s="0" t="n">
        <f aca="false">AQ11+AQ12-AQ13+AQ14</f>
        <v>13011498.4095797</v>
      </c>
      <c r="AR15" s="0" t="n">
        <f aca="false">AR11+AR12-AR13+AR14</f>
        <v>13040981.3998915</v>
      </c>
      <c r="AS15" s="0" t="n">
        <f aca="false">AS11+AS12-AS13+AS14</f>
        <v>11620416.6235122</v>
      </c>
      <c r="AT15" s="0" t="n">
        <f aca="false">AT11+AT12-AT13+AT14</f>
        <v>11645315.2313363</v>
      </c>
      <c r="AU15" s="0" t="n">
        <f aca="false">AU11+AU12-AU13+AU14</f>
        <v>11670280.1249811</v>
      </c>
      <c r="AV15" s="0" t="n">
        <f aca="false">AV11+AV12-AV13+AV14</f>
        <v>11695311.4850746</v>
      </c>
      <c r="AW15" s="0" t="n">
        <f aca="false">AW11+AW12-AW13+AW14</f>
        <v>11720409.4927494</v>
      </c>
      <c r="AX15" s="0" t="n">
        <f aca="false">AX11+AX12-AX13+AX14</f>
        <v>11745574.3296448</v>
      </c>
      <c r="AY15" s="0" t="n">
        <f aca="false">AY11+AY12-AY13+AY14</f>
        <v>13237576.1817714</v>
      </c>
      <c r="AZ15" s="0" t="n">
        <f aca="false">AZ11+AZ12-AZ13+AZ14</f>
        <v>13266492.6745822</v>
      </c>
      <c r="BA15" s="0" t="n">
        <f aca="false">BA11+BA12-BA13+BA14</f>
        <v>13295485.4661933</v>
      </c>
      <c r="BB15" s="0" t="n">
        <f aca="false">BB11+BB12-BB13+BB14</f>
        <v>13324554.7622875</v>
      </c>
      <c r="BC15" s="0" t="n">
        <f aca="false">BC11+BC12-BC13+BC14</f>
        <v>13353700.7691154</v>
      </c>
      <c r="BD15" s="0" t="n">
        <f aca="false">BD11+BD12-BD13+BD14</f>
        <v>13382923.6934975</v>
      </c>
      <c r="BE15" s="0" t="n">
        <f aca="false">BE11+BE12-BE13+BE14</f>
        <v>13412223.7428252</v>
      </c>
      <c r="BF15" s="0" t="n">
        <f aca="false">BF11+BF12-BF13+BF14</f>
        <v>13441601.1250631</v>
      </c>
      <c r="BG15" s="0" t="n">
        <f aca="false">BG11+BG12-BG13+BG14</f>
        <v>13471056.0487501</v>
      </c>
      <c r="BH15" s="0" t="n">
        <f aca="false">BH11+BH12-BH13+BH14</f>
        <v>13500588.7230013</v>
      </c>
      <c r="BI15" s="0" t="n">
        <f aca="false">BI11+BI12-BI13+BI14</f>
        <v>13530199.3575095</v>
      </c>
      <c r="BJ15" s="0" t="n">
        <f aca="false">BJ11+BJ12-BJ13+BJ14</f>
        <v>13559888.1625469</v>
      </c>
      <c r="BK15" s="0" t="n">
        <f aca="false">BK11+BK12-BK13+BK14</f>
        <v>12161511.3372997</v>
      </c>
      <c r="BL15" s="0" t="n">
        <f aca="false">BL11+BL12-BL13+BL14</f>
        <v>12186681.7446722</v>
      </c>
      <c r="BM15" s="0" t="n">
        <f aca="false">BM11+BM12-BM13+BM14</f>
        <v>12211915.6509326</v>
      </c>
      <c r="BN15" s="0" t="n">
        <f aca="false">BN11+BN12-BN13+BN14</f>
        <v>12237213.2185792</v>
      </c>
      <c r="BO15" s="0" t="n">
        <f aca="false">BO11+BO12-BO13+BO14</f>
        <v>12262574.6105344</v>
      </c>
      <c r="BP15" s="0" t="n">
        <f aca="false">BP11+BP12-BP13+BP14</f>
        <v>12287999.9901449</v>
      </c>
      <c r="BQ15" s="0" t="n">
        <f aca="false">BQ11+BQ12-BQ13+BQ14</f>
        <v>13655098.3572114</v>
      </c>
      <c r="BR15" s="0" t="n">
        <f aca="false">BR11+BR12-BR13+BR14</f>
        <v>13683960.9731967</v>
      </c>
      <c r="BS15" s="0" t="n">
        <f aca="false">BS11+BS12-BS13+BS14</f>
        <v>13712896.2297557</v>
      </c>
      <c r="BT15" s="0" t="n">
        <f aca="false">BT11+BT12-BT13+BT14</f>
        <v>13741904.3120712</v>
      </c>
      <c r="BU15" s="0" t="n">
        <f aca="false">BU11+BU12-BU13+BU14</f>
        <v>13770985.405806</v>
      </c>
      <c r="BV15" s="0" t="n">
        <f aca="false">BV11+BV12-BV13+BV14</f>
        <v>13800139.6971043</v>
      </c>
      <c r="BW15" s="0" t="n">
        <f aca="false">BW11+BW12-BW13+BW14</f>
        <v>13829367.372593</v>
      </c>
      <c r="BX15" s="0" t="n">
        <f aca="false">BX11+BX12-BX13+BX14</f>
        <v>13858668.6193828</v>
      </c>
      <c r="BY15" s="0" t="n">
        <f aca="false">BY11+BY12-BY13+BY14</f>
        <v>13888043.6250695</v>
      </c>
      <c r="BZ15" s="0" t="n">
        <f aca="false">BZ11+BZ12-BZ13+BZ14</f>
        <v>13917492.5777356</v>
      </c>
      <c r="CA15" s="0" t="n">
        <f aca="false">CA11+CA12-CA13+CA14</f>
        <v>13947015.6659511</v>
      </c>
      <c r="CB15" s="0" t="n">
        <f aca="false">CB11+CB12-CB13+CB14</f>
        <v>13976613.0787751</v>
      </c>
      <c r="CC15" s="0" t="n">
        <f aca="false">CC11+CC12-CC13+CC14</f>
        <v>14006285.0057573</v>
      </c>
      <c r="CD15" s="0" t="n">
        <f aca="false">CD11+CD12-CD13+CD14</f>
        <v>14036031.6369386</v>
      </c>
      <c r="CE15" s="0" t="n">
        <f aca="false">CE11+CE12-CE13+CE14</f>
        <v>14065853.1628531</v>
      </c>
      <c r="CF15" s="0" t="n">
        <f aca="false">CF11+CF12-CF13+CF14</f>
        <v>14095749.7745292</v>
      </c>
      <c r="CG15" s="0" t="n">
        <f aca="false">CG11+CG12-CG13+CG14</f>
        <v>14125721.6634907</v>
      </c>
      <c r="CH15" s="0" t="n">
        <f aca="false">CH11+CH12-CH13+CH14</f>
        <v>14155769.0217583</v>
      </c>
      <c r="CI15" s="0" t="n">
        <f aca="false">CI11+CI12-CI13+CI14</f>
        <v>14185892.041851</v>
      </c>
      <c r="CJ15" s="0" t="n">
        <f aca="false">CJ11+CJ12-CJ13+CJ14</f>
        <v>14216090.9167871</v>
      </c>
      <c r="CK15" s="0" t="n">
        <f aca="false">CK11+CK12-CK13+CK14</f>
        <v>14246365.8400858</v>
      </c>
      <c r="CL15" s="0" t="n">
        <f aca="false">CL11+CL12-CL13+CL14</f>
        <v>14276717.0057686</v>
      </c>
      <c r="CM15" s="0" t="n">
        <f aca="false">CM11+CM12-CM13+CM14</f>
        <v>14307144.6083603</v>
      </c>
      <c r="CN15" s="0" t="n">
        <f aca="false">CN11+CN12-CN13+CN14</f>
        <v>14337648.8428907</v>
      </c>
      <c r="CO15" s="0" t="n">
        <f aca="false">CO11+CO12-CO13+CO14</f>
        <v>12492265.832396</v>
      </c>
      <c r="CP15" s="0" t="n">
        <f aca="false">CP11+CP12-CP13+CP14</f>
        <v>12516782.4997045</v>
      </c>
      <c r="CQ15" s="0" t="n">
        <f aca="false">CQ11+CQ12-CQ13+CQ14</f>
        <v>12541356.2816779</v>
      </c>
      <c r="CR15" s="0" t="n">
        <f aca="false">CR11+CR12-CR13+CR14</f>
        <v>12565987.3095586</v>
      </c>
      <c r="CS15" s="0" t="n">
        <f aca="false">CS11+CS12-CS13+CS14</f>
        <v>12590675.7148853</v>
      </c>
      <c r="CT15" s="0" t="n">
        <f aca="false">CT11+CT12-CT13+CT14</f>
        <v>12615421.6294932</v>
      </c>
      <c r="CU15" s="0" t="n">
        <f aca="false">CU11+CU12-CU13+CU14</f>
        <v>14758832.1395583</v>
      </c>
      <c r="CV15" s="0" t="n">
        <f aca="false">CV11+CV12-CV13+CV14</f>
        <v>14788918.525715</v>
      </c>
      <c r="CW15" s="0" t="n">
        <f aca="false">CW11+CW12-CW13+CW14</f>
        <v>14819075.7048441</v>
      </c>
      <c r="CX15" s="0" t="n">
        <f aca="false">CX11+CX12-CX13+CX14</f>
        <v>14849303.8417556</v>
      </c>
      <c r="CY15" s="0" t="n">
        <f aca="false">CY11+CY12-CY13+CY14</f>
        <v>14879603.101638</v>
      </c>
      <c r="CZ15" s="0" t="n">
        <f aca="false">CZ11+CZ12-CZ13+CZ14</f>
        <v>14909973.6500589</v>
      </c>
      <c r="DA15" s="0" t="n">
        <f aca="false">DA11+DA12-DA13+DA14</f>
        <v>14940415.6529661</v>
      </c>
      <c r="DB15" s="0" t="n">
        <f aca="false">DB11+DB12-DB13+DB14</f>
        <v>14970929.2766883</v>
      </c>
      <c r="DC15" s="0" t="n">
        <f aca="false">DC11+DC12-DC13+DC14</f>
        <v>15001514.6879359</v>
      </c>
      <c r="DD15" s="0" t="n">
        <f aca="false">DD11+DD12-DD13+DD14</f>
        <v>15032172.053802</v>
      </c>
      <c r="DE15" s="0" t="n">
        <f aca="false">DE11+DE12-DE13+DE14</f>
        <v>15062901.5417633</v>
      </c>
      <c r="DF15" s="0" t="n">
        <f aca="false">DF11+DF12-DF13+DF14</f>
        <v>15093703.3196809</v>
      </c>
      <c r="DG15" s="0" t="n">
        <f aca="false">DG11+DG12-DG13+DG14</f>
        <v>15124577.5558009</v>
      </c>
      <c r="DH15" s="0" t="n">
        <f aca="false">DH11+DH12-DH13+DH14</f>
        <v>15155524.4187559</v>
      </c>
      <c r="DI15" s="0" t="n">
        <f aca="false">DI11+DI12-DI13+DI14</f>
        <v>15186544.0775651</v>
      </c>
      <c r="DJ15" s="0" t="n">
        <f aca="false">DJ11+DJ12-DJ13+DJ14</f>
        <v>15217636.7016359</v>
      </c>
      <c r="DK15" s="0" t="n">
        <f aca="false">DK11+DK12-DK13+DK14</f>
        <v>15248802.4607642</v>
      </c>
      <c r="DL15" s="0" t="n">
        <f aca="false">DL11+DL12-DL13+DL14</f>
        <v>15280041.5251355</v>
      </c>
      <c r="DM15" s="0" t="n">
        <f aca="false">DM11+DM12-DM13+DM14</f>
        <v>15311354.065326</v>
      </c>
      <c r="DN15" s="0" t="n">
        <f aca="false">DN11+DN12-DN13+DN14</f>
        <v>15342740.2523031</v>
      </c>
      <c r="DO15" s="0" t="n">
        <f aca="false">DO11+DO12-DO13+DO14</f>
        <v>15374200.2574263</v>
      </c>
      <c r="DP15" s="0" t="n">
        <f aca="false">DP11+DP12-DP13+DP14</f>
        <v>15405734.2524486</v>
      </c>
      <c r="DQ15" s="0" t="n">
        <f aca="false">DQ11+DQ12-DQ13+DQ14</f>
        <v>15437342.4095166</v>
      </c>
      <c r="DR15" s="0" t="n">
        <f aca="false">DR11+DR12-DR13+DR14</f>
        <v>15469024.9011722</v>
      </c>
    </row>
    <row r="16" customFormat="false" ht="15" hidden="false" customHeight="false" outlineLevel="0" collapsed="false">
      <c r="A16" s="0" t="s">
        <v>36</v>
      </c>
      <c r="B16" s="0" t="n">
        <f aca="false">-Inputs!$B$12</f>
        <v>-2650000000</v>
      </c>
      <c r="C16" s="0" t="n">
        <f aca="false">C15+IF(C$3=120,SUM(B15:C15)*12/MIN(12,C$3)/Inputs!$B$11,0)</f>
        <v>13039993.9190158</v>
      </c>
      <c r="D16" s="0" t="n">
        <f aca="false">D15+IF(D$3=120,SUM(B15:D15)*12/MIN(12,D$3)/Inputs!$B$11,0)</f>
        <v>13076777.0913088</v>
      </c>
      <c r="E16" s="0" t="n">
        <f aca="false">E15+IF(E$3=120,SUM(B15:E15)*12/MIN(12,E$3)/Inputs!$B$11,0)</f>
        <v>13113683.2589055</v>
      </c>
      <c r="F16" s="0" t="n">
        <f aca="false">F15+IF(F$3=120,SUM(B15:F15)*12/MIN(12,F$3)/Inputs!$B$11,0)</f>
        <v>13150712.8318583</v>
      </c>
      <c r="G16" s="0" t="n">
        <f aca="false">G15+IF(G$3=120,SUM(B15:G15)*12/MIN(12,G$3)/Inputs!$B$11,0)</f>
        <v>13187866.2215829</v>
      </c>
      <c r="H16" s="0" t="n">
        <f aca="false">H15+IF(H$3=120,SUM(B15:H15)*12/MIN(12,H$3)/Inputs!$B$11,0)</f>
        <v>13225143.8408635</v>
      </c>
      <c r="I16" s="0" t="n">
        <f aca="false">I15+IF(I$3=120,SUM(B15:I15)*12/MIN(12,I$3)/Inputs!$B$11,0)</f>
        <v>13262546.1038568</v>
      </c>
      <c r="J16" s="0" t="n">
        <f aca="false">J15+IF(J$3=120,SUM(B15:J15)*12/MIN(12,J$3)/Inputs!$B$11,0)</f>
        <v>13300073.4260969</v>
      </c>
      <c r="K16" s="0" t="n">
        <f aca="false">K15+IF(K$3=120,SUM(B15:K15)*12/MIN(12,K$3)/Inputs!$B$11,0)</f>
        <v>13337726.2244997</v>
      </c>
      <c r="L16" s="0" t="n">
        <f aca="false">L15+IF(L$3=120,SUM(B15:L15)*12/MIN(12,L$3)/Inputs!$B$11,0)</f>
        <v>13375504.9173674</v>
      </c>
      <c r="M16" s="0" t="n">
        <f aca="false">M15+IF(M$3=120,SUM(B15:M15)*12/MIN(12,M$3)/Inputs!$B$11,0)</f>
        <v>13413409.9243934</v>
      </c>
      <c r="N16" s="0" t="n">
        <f aca="false">N15+IF(N$3=120,SUM(B15:N15)*12/MIN(12,N$3)/Inputs!$B$11,0)</f>
        <v>13451441.6666667</v>
      </c>
      <c r="O16" s="0" t="n">
        <f aca="false">O15+IF(O$3=120,SUM(C15:O15)*12/MIN(12,O$3)/Inputs!$B$11,0)</f>
        <v>10860220.7494551</v>
      </c>
      <c r="P16" s="0" t="n">
        <f aca="false">P15+IF(P$3=120,SUM(D15:P15)*12/MIN(12,P$3)/Inputs!$B$11,0)</f>
        <v>10889899.3257852</v>
      </c>
      <c r="Q16" s="0" t="n">
        <f aca="false">Q15+IF(Q$3=120,SUM(E15:Q15)*12/MIN(12,Q$3)/Inputs!$B$11,0)</f>
        <v>10919677.7290075</v>
      </c>
      <c r="R16" s="0" t="n">
        <f aca="false">R15+IF(R$3=120,SUM(F15:R15)*12/MIN(12,R$3)/Inputs!$B$11,0)</f>
        <v>10949556.2935858</v>
      </c>
      <c r="S16" s="0" t="n">
        <f aca="false">S15+IF(S$3=120,SUM(G15:S15)*12/MIN(12,S$3)/Inputs!$B$11,0)</f>
        <v>10979535.3551009</v>
      </c>
      <c r="T16" s="0" t="n">
        <f aca="false">T15+IF(T$3=120,SUM(H15:T15)*12/MIN(12,T$3)/Inputs!$B$11,0)</f>
        <v>11009615.2502543</v>
      </c>
      <c r="U16" s="0" t="n">
        <f aca="false">U15+IF(U$3=120,SUM(I15:U15)*12/MIN(12,U$3)/Inputs!$B$11,0)</f>
        <v>13083228.444037</v>
      </c>
      <c r="V16" s="0" t="n">
        <f aca="false">V15+IF(V$3=120,SUM(J15:V15)*12/MIN(12,V$3)/Inputs!$B$11,0)</f>
        <v>13118550.6759592</v>
      </c>
      <c r="W16" s="0" t="n">
        <f aca="false">W15+IF(W$3=120,SUM(K15:W15)*12/MIN(12,W$3)/Inputs!$B$11,0)</f>
        <v>13153987.1875336</v>
      </c>
      <c r="X16" s="0" t="n">
        <f aca="false">X15+IF(X$3=120,SUM(L15:X15)*12/MIN(12,X$3)/Inputs!$B$11,0)</f>
        <v>6437764.48001662</v>
      </c>
      <c r="Y16" s="0" t="n">
        <f aca="false">Y15+IF(Y$3=120,SUM(M15:Y15)*12/MIN(12,Y$3)/Inputs!$B$11,0)</f>
        <v>6451327.11701505</v>
      </c>
      <c r="Z16" s="0" t="n">
        <f aca="false">Z15+IF(Z$3=120,SUM(N15:Z15)*12/MIN(12,Z$3)/Inputs!$B$11,0)</f>
        <v>6464932.79166667</v>
      </c>
      <c r="AA16" s="0" t="n">
        <f aca="false">AA15+IF(AA$3=120,SUM(O15:AA15)*12/MIN(12,AA$3)/Inputs!$B$11,0)</f>
        <v>6478581.64261164</v>
      </c>
      <c r="AB16" s="0" t="n">
        <f aca="false">AB15+IF(AB$3=120,SUM(P15:AB15)*12/MIN(12,AB$3)/Inputs!$B$11,0)</f>
        <v>6492273.80894161</v>
      </c>
      <c r="AC16" s="0" t="n">
        <f aca="false">AC15+IF(AC$3=120,SUM(Q15:AC15)*12/MIN(12,AC$3)/Inputs!$B$11,0)</f>
        <v>6506009.43020118</v>
      </c>
      <c r="AD16" s="0" t="n">
        <f aca="false">AD15+IF(AD$3=120,SUM(R15:AD15)*12/MIN(12,AD$3)/Inputs!$B$11,0)</f>
        <v>11985534.868655</v>
      </c>
      <c r="AE16" s="0" t="n">
        <f aca="false">AE15+IF(AE$3=120,SUM(S15:AE15)*12/MIN(12,AE$3)/Inputs!$B$11,0)</f>
        <v>12012377.7016421</v>
      </c>
      <c r="AF16" s="0" t="n">
        <f aca="false">AF15+IF(AF$3=120,SUM(T15:AF15)*12/MIN(12,AF$3)/Inputs!$B$11,0)</f>
        <v>12039295.0151414</v>
      </c>
      <c r="AG16" s="0" t="n">
        <f aca="false">AG15+IF(AG$3=120,SUM(U15:AG15)*12/MIN(12,AG$3)/Inputs!$B$11,0)</f>
        <v>12066287.0210714</v>
      </c>
      <c r="AH16" s="0" t="n">
        <f aca="false">AH15+IF(AH$3=120,SUM(V15:AH15)*12/MIN(12,AH$3)/Inputs!$B$11,0)</f>
        <v>12093353.9319687</v>
      </c>
      <c r="AI16" s="0" t="n">
        <f aca="false">AI15+IF(AI$3=120,SUM(W15:AI15)*12/MIN(12,AI$3)/Inputs!$B$11,0)</f>
        <v>12120495.9609901</v>
      </c>
      <c r="AJ16" s="0" t="n">
        <f aca="false">AJ15+IF(AJ$3=120,SUM(X15:AJ15)*12/MIN(12,AJ$3)/Inputs!$B$11,0)</f>
        <v>12807376.5412728</v>
      </c>
      <c r="AK16" s="0" t="n">
        <f aca="false">AK15+IF(AK$3=120,SUM(Y15:AK15)*12/MIN(12,AK$3)/Inputs!$B$11,0)</f>
        <v>12836296.3559606</v>
      </c>
      <c r="AL16" s="0" t="n">
        <f aca="false">AL15+IF(AL$3=120,SUM(Z15:AL15)*12/MIN(12,AL$3)/Inputs!$B$11,0)</f>
        <v>12865295.944375</v>
      </c>
      <c r="AM16" s="0" t="n">
        <f aca="false">AM15+IF(AM$3=120,SUM(AA15:AM15)*12/MIN(12,AM$3)/Inputs!$B$11,0)</f>
        <v>12894375.5320677</v>
      </c>
      <c r="AN16" s="0" t="n">
        <f aca="false">AN15+IF(AN$3=120,SUM(AB15:AN15)*12/MIN(12,AN$3)/Inputs!$B$11,0)</f>
        <v>12923535.3452441</v>
      </c>
      <c r="AO16" s="0" t="n">
        <f aca="false">AO15+IF(AO$3=120,SUM(AC15:AO15)*12/MIN(12,AO$3)/Inputs!$B$11,0)</f>
        <v>12952775.6107656</v>
      </c>
      <c r="AP16" s="0" t="n">
        <f aca="false">AP15+IF(AP$3=120,SUM(AD15:AP15)*12/MIN(12,AP$3)/Inputs!$B$11,0)</f>
        <v>12982096.5561512</v>
      </c>
      <c r="AQ16" s="0" t="n">
        <f aca="false">AQ15+IF(AQ$3=120,SUM(AE15:AQ15)*12/MIN(12,AQ$3)/Inputs!$B$11,0)</f>
        <v>13011498.4095797</v>
      </c>
      <c r="AR16" s="0" t="n">
        <f aca="false">AR15+IF(AR$3=120,SUM(AF15:AR15)*12/MIN(12,AR$3)/Inputs!$B$11,0)</f>
        <v>13040981.3998915</v>
      </c>
      <c r="AS16" s="0" t="n">
        <f aca="false">AS15+IF(AS$3=120,SUM(AG15:AS15)*12/MIN(12,AS$3)/Inputs!$B$11,0)</f>
        <v>11620416.6235122</v>
      </c>
      <c r="AT16" s="0" t="n">
        <f aca="false">AT15+IF(AT$3=120,SUM(AH15:AT15)*12/MIN(12,AT$3)/Inputs!$B$11,0)</f>
        <v>11645315.2313363</v>
      </c>
      <c r="AU16" s="0" t="n">
        <f aca="false">AU15+IF(AU$3=120,SUM(AI15:AU15)*12/MIN(12,AU$3)/Inputs!$B$11,0)</f>
        <v>11670280.1249811</v>
      </c>
      <c r="AV16" s="0" t="n">
        <f aca="false">AV15+IF(AV$3=120,SUM(AJ15:AV15)*12/MIN(12,AV$3)/Inputs!$B$11,0)</f>
        <v>11695311.4850746</v>
      </c>
      <c r="AW16" s="0" t="n">
        <f aca="false">AW15+IF(AW$3=120,SUM(AK15:AW15)*12/MIN(12,AW$3)/Inputs!$B$11,0)</f>
        <v>11720409.4927494</v>
      </c>
      <c r="AX16" s="0" t="n">
        <f aca="false">AX15+IF(AX$3=120,SUM(AL15:AX15)*12/MIN(12,AX$3)/Inputs!$B$11,0)</f>
        <v>11745574.3296448</v>
      </c>
      <c r="AY16" s="0" t="n">
        <f aca="false">AY15+IF(AY$3=120,SUM(AM15:AY15)*12/MIN(12,AY$3)/Inputs!$B$11,0)</f>
        <v>13237576.1817714</v>
      </c>
      <c r="AZ16" s="0" t="n">
        <f aca="false">AZ15+IF(AZ$3=120,SUM(AN15:AZ15)*12/MIN(12,AZ$3)/Inputs!$B$11,0)</f>
        <v>13266492.6745822</v>
      </c>
      <c r="BA16" s="0" t="n">
        <f aca="false">BA15+IF(BA$3=120,SUM(AO15:BA15)*12/MIN(12,BA$3)/Inputs!$B$11,0)</f>
        <v>13295485.4661933</v>
      </c>
      <c r="BB16" s="0" t="n">
        <f aca="false">BB15+IF(BB$3=120,SUM(AP15:BB15)*12/MIN(12,BB$3)/Inputs!$B$11,0)</f>
        <v>13324554.7622875</v>
      </c>
      <c r="BC16" s="0" t="n">
        <f aca="false">BC15+IF(BC$3=120,SUM(AQ15:BC15)*12/MIN(12,BC$3)/Inputs!$B$11,0)</f>
        <v>13353700.7691154</v>
      </c>
      <c r="BD16" s="0" t="n">
        <f aca="false">BD15+IF(BD$3=120,SUM(AR15:BD15)*12/MIN(12,BD$3)/Inputs!$B$11,0)</f>
        <v>13382923.6934975</v>
      </c>
      <c r="BE16" s="0" t="n">
        <f aca="false">BE15+IF(BE$3=120,SUM(AS15:BE15)*12/MIN(12,BE$3)/Inputs!$B$11,0)</f>
        <v>13412223.7428252</v>
      </c>
      <c r="BF16" s="0" t="n">
        <f aca="false">BF15+IF(BF$3=120,SUM(AT15:BF15)*12/MIN(12,BF$3)/Inputs!$B$11,0)</f>
        <v>13441601.1250631</v>
      </c>
      <c r="BG16" s="0" t="n">
        <f aca="false">BG15+IF(BG$3=120,SUM(AU15:BG15)*12/MIN(12,BG$3)/Inputs!$B$11,0)</f>
        <v>13471056.0487501</v>
      </c>
      <c r="BH16" s="0" t="n">
        <f aca="false">BH15+IF(BH$3=120,SUM(AV15:BH15)*12/MIN(12,BH$3)/Inputs!$B$11,0)</f>
        <v>13500588.7230013</v>
      </c>
      <c r="BI16" s="0" t="n">
        <f aca="false">BI15+IF(BI$3=120,SUM(AW15:BI15)*12/MIN(12,BI$3)/Inputs!$B$11,0)</f>
        <v>13530199.3575095</v>
      </c>
      <c r="BJ16" s="0" t="n">
        <f aca="false">BJ15+IF(BJ$3=120,SUM(AX15:BJ15)*12/MIN(12,BJ$3)/Inputs!$B$11,0)</f>
        <v>13559888.1625469</v>
      </c>
      <c r="BK16" s="0" t="n">
        <f aca="false">BK15+IF(BK$3=120,SUM(AY15:BK15)*12/MIN(12,BK$3)/Inputs!$B$11,0)</f>
        <v>12161511.3372997</v>
      </c>
      <c r="BL16" s="0" t="n">
        <f aca="false">BL15+IF(BL$3=120,SUM(AZ15:BL15)*12/MIN(12,BL$3)/Inputs!$B$11,0)</f>
        <v>12186681.7446722</v>
      </c>
      <c r="BM16" s="0" t="n">
        <f aca="false">BM15+IF(BM$3=120,SUM(BA15:BM15)*12/MIN(12,BM$3)/Inputs!$B$11,0)</f>
        <v>12211915.6509326</v>
      </c>
      <c r="BN16" s="0" t="n">
        <f aca="false">BN15+IF(BN$3=120,SUM(BB15:BN15)*12/MIN(12,BN$3)/Inputs!$B$11,0)</f>
        <v>12237213.2185792</v>
      </c>
      <c r="BO16" s="0" t="n">
        <f aca="false">BO15+IF(BO$3=120,SUM(BC15:BO15)*12/MIN(12,BO$3)/Inputs!$B$11,0)</f>
        <v>12262574.6105344</v>
      </c>
      <c r="BP16" s="0" t="n">
        <f aca="false">BP15+IF(BP$3=120,SUM(BD15:BP15)*12/MIN(12,BP$3)/Inputs!$B$11,0)</f>
        <v>12287999.9901449</v>
      </c>
      <c r="BQ16" s="0" t="n">
        <f aca="false">BQ15+IF(BQ$3=120,SUM(BE15:BQ15)*12/MIN(12,BQ$3)/Inputs!$B$11,0)</f>
        <v>13655098.3572114</v>
      </c>
      <c r="BR16" s="0" t="n">
        <f aca="false">BR15+IF(BR$3=120,SUM(BF15:BR15)*12/MIN(12,BR$3)/Inputs!$B$11,0)</f>
        <v>13683960.9731967</v>
      </c>
      <c r="BS16" s="0" t="n">
        <f aca="false">BS15+IF(BS$3=120,SUM(BG15:BS15)*12/MIN(12,BS$3)/Inputs!$B$11,0)</f>
        <v>13712896.2297557</v>
      </c>
      <c r="BT16" s="0" t="n">
        <f aca="false">BT15+IF(BT$3=120,SUM(BH15:BT15)*12/MIN(12,BT$3)/Inputs!$B$11,0)</f>
        <v>13741904.3120712</v>
      </c>
      <c r="BU16" s="0" t="n">
        <f aca="false">BU15+IF(BU$3=120,SUM(BI15:BU15)*12/MIN(12,BU$3)/Inputs!$B$11,0)</f>
        <v>13770985.405806</v>
      </c>
      <c r="BV16" s="0" t="n">
        <f aca="false">BV15+IF(BV$3=120,SUM(BJ15:BV15)*12/MIN(12,BV$3)/Inputs!$B$11,0)</f>
        <v>13800139.6971043</v>
      </c>
      <c r="BW16" s="0" t="n">
        <f aca="false">BW15+IF(BW$3=120,SUM(BK15:BW15)*12/MIN(12,BW$3)/Inputs!$B$11,0)</f>
        <v>13829367.372593</v>
      </c>
      <c r="BX16" s="0" t="n">
        <f aca="false">BX15+IF(BX$3=120,SUM(BL15:BX15)*12/MIN(12,BX$3)/Inputs!$B$11,0)</f>
        <v>13858668.6193828</v>
      </c>
      <c r="BY16" s="0" t="n">
        <f aca="false">BY15+IF(BY$3=120,SUM(BM15:BY15)*12/MIN(12,BY$3)/Inputs!$B$11,0)</f>
        <v>13888043.6250695</v>
      </c>
      <c r="BZ16" s="0" t="n">
        <f aca="false">BZ15+IF(BZ$3=120,SUM(BN15:BZ15)*12/MIN(12,BZ$3)/Inputs!$B$11,0)</f>
        <v>13917492.5777356</v>
      </c>
      <c r="CA16" s="0" t="n">
        <f aca="false">CA15+IF(CA$3=120,SUM(BO15:CA15)*12/MIN(12,CA$3)/Inputs!$B$11,0)</f>
        <v>13947015.6659511</v>
      </c>
      <c r="CB16" s="0" t="n">
        <f aca="false">CB15+IF(CB$3=120,SUM(BP15:CB15)*12/MIN(12,CB$3)/Inputs!$B$11,0)</f>
        <v>13976613.0787751</v>
      </c>
      <c r="CC16" s="0" t="n">
        <f aca="false">CC15+IF(CC$3=120,SUM(BQ15:CC15)*12/MIN(12,CC$3)/Inputs!$B$11,0)</f>
        <v>14006285.0057573</v>
      </c>
      <c r="CD16" s="0" t="n">
        <f aca="false">CD15+IF(CD$3=120,SUM(BR15:CD15)*12/MIN(12,CD$3)/Inputs!$B$11,0)</f>
        <v>14036031.6369386</v>
      </c>
      <c r="CE16" s="0" t="n">
        <f aca="false">CE15+IF(CE$3=120,SUM(BS15:CE15)*12/MIN(12,CE$3)/Inputs!$B$11,0)</f>
        <v>14065853.1628531</v>
      </c>
      <c r="CF16" s="0" t="n">
        <f aca="false">CF15+IF(CF$3=120,SUM(BT15:CF15)*12/MIN(12,CF$3)/Inputs!$B$11,0)</f>
        <v>14095749.7745292</v>
      </c>
      <c r="CG16" s="0" t="n">
        <f aca="false">CG15+IF(CG$3=120,SUM(BU15:CG15)*12/MIN(12,CG$3)/Inputs!$B$11,0)</f>
        <v>14125721.6634907</v>
      </c>
      <c r="CH16" s="0" t="n">
        <f aca="false">CH15+IF(CH$3=120,SUM(BV15:CH15)*12/MIN(12,CH$3)/Inputs!$B$11,0)</f>
        <v>14155769.0217583</v>
      </c>
      <c r="CI16" s="0" t="n">
        <f aca="false">CI15+IF(CI$3=120,SUM(BW15:CI15)*12/MIN(12,CI$3)/Inputs!$B$11,0)</f>
        <v>14185892.041851</v>
      </c>
      <c r="CJ16" s="0" t="n">
        <f aca="false">CJ15+IF(CJ$3=120,SUM(BX15:CJ15)*12/MIN(12,CJ$3)/Inputs!$B$11,0)</f>
        <v>14216090.9167871</v>
      </c>
      <c r="CK16" s="0" t="n">
        <f aca="false">CK15+IF(CK$3=120,SUM(BY15:CK15)*12/MIN(12,CK$3)/Inputs!$B$11,0)</f>
        <v>14246365.8400858</v>
      </c>
      <c r="CL16" s="0" t="n">
        <f aca="false">CL15+IF(CL$3=120,SUM(BZ15:CL15)*12/MIN(12,CL$3)/Inputs!$B$11,0)</f>
        <v>14276717.0057686</v>
      </c>
      <c r="CM16" s="0" t="n">
        <f aca="false">CM15+IF(CM$3=120,SUM(CA15:CM15)*12/MIN(12,CM$3)/Inputs!$B$11,0)</f>
        <v>14307144.6083603</v>
      </c>
      <c r="CN16" s="0" t="n">
        <f aca="false">CN15+IF(CN$3=120,SUM(CB15:CN15)*12/MIN(12,CN$3)/Inputs!$B$11,0)</f>
        <v>14337648.8428907</v>
      </c>
      <c r="CO16" s="0" t="n">
        <f aca="false">CO15+IF(CO$3=120,SUM(CC15:CO15)*12/MIN(12,CO$3)/Inputs!$B$11,0)</f>
        <v>12492265.832396</v>
      </c>
      <c r="CP16" s="0" t="n">
        <f aca="false">CP15+IF(CP$3=120,SUM(CD15:CP15)*12/MIN(12,CP$3)/Inputs!$B$11,0)</f>
        <v>12516782.4997045</v>
      </c>
      <c r="CQ16" s="0" t="n">
        <f aca="false">CQ15+IF(CQ$3=120,SUM(CE15:CQ15)*12/MIN(12,CQ$3)/Inputs!$B$11,0)</f>
        <v>12541356.2816779</v>
      </c>
      <c r="CR16" s="0" t="n">
        <f aca="false">CR15+IF(CR$3=120,SUM(CF15:CR15)*12/MIN(12,CR$3)/Inputs!$B$11,0)</f>
        <v>12565987.3095586</v>
      </c>
      <c r="CS16" s="0" t="n">
        <f aca="false">CS15+IF(CS$3=120,SUM(CG15:CS15)*12/MIN(12,CS$3)/Inputs!$B$11,0)</f>
        <v>12590675.7148853</v>
      </c>
      <c r="CT16" s="0" t="n">
        <f aca="false">CT15+IF(CT$3=120,SUM(CH15:CT15)*12/MIN(12,CT$3)/Inputs!$B$11,0)</f>
        <v>12615421.6294932</v>
      </c>
      <c r="CU16" s="0" t="n">
        <f aca="false">CU15+IF(CU$3=120,SUM(CI15:CU15)*12/MIN(12,CU$3)/Inputs!$B$11,0)</f>
        <v>14758832.1395583</v>
      </c>
      <c r="CV16" s="0" t="n">
        <f aca="false">CV15+IF(CV$3=120,SUM(CJ15:CV15)*12/MIN(12,CV$3)/Inputs!$B$11,0)</f>
        <v>14788918.525715</v>
      </c>
      <c r="CW16" s="0" t="n">
        <f aca="false">CW15+IF(CW$3=120,SUM(CK15:CW15)*12/MIN(12,CW$3)/Inputs!$B$11,0)</f>
        <v>14819075.7048441</v>
      </c>
      <c r="CX16" s="0" t="n">
        <f aca="false">CX15+IF(CX$3=120,SUM(CL15:CX15)*12/MIN(12,CX$3)/Inputs!$B$11,0)</f>
        <v>14849303.8417556</v>
      </c>
      <c r="CY16" s="0" t="n">
        <f aca="false">CY15+IF(CY$3=120,SUM(CM15:CY15)*12/MIN(12,CY$3)/Inputs!$B$11,0)</f>
        <v>14879603.101638</v>
      </c>
      <c r="CZ16" s="0" t="n">
        <f aca="false">CZ15+IF(CZ$3=120,SUM(CN15:CZ15)*12/MIN(12,CZ$3)/Inputs!$B$11,0)</f>
        <v>14909973.6500589</v>
      </c>
      <c r="DA16" s="0" t="n">
        <f aca="false">DA15+IF(DA$3=120,SUM(CO15:DA15)*12/MIN(12,DA$3)/Inputs!$B$11,0)</f>
        <v>14940415.6529661</v>
      </c>
      <c r="DB16" s="0" t="n">
        <f aca="false">DB15+IF(DB$3=120,SUM(CP15:DB15)*12/MIN(12,DB$3)/Inputs!$B$11,0)</f>
        <v>14970929.2766883</v>
      </c>
      <c r="DC16" s="0" t="n">
        <f aca="false">DC15+IF(DC$3=120,SUM(CQ15:DC15)*12/MIN(12,DC$3)/Inputs!$B$11,0)</f>
        <v>15001514.6879359</v>
      </c>
      <c r="DD16" s="0" t="n">
        <f aca="false">DD15+IF(DD$3=120,SUM(CR15:DD15)*12/MIN(12,DD$3)/Inputs!$B$11,0)</f>
        <v>15032172.053802</v>
      </c>
      <c r="DE16" s="0" t="n">
        <f aca="false">DE15+IF(DE$3=120,SUM(CS15:DE15)*12/MIN(12,DE$3)/Inputs!$B$11,0)</f>
        <v>15062901.5417633</v>
      </c>
      <c r="DF16" s="0" t="n">
        <f aca="false">DF15+IF(DF$3=120,SUM(CT15:DF15)*12/MIN(12,DF$3)/Inputs!$B$11,0)</f>
        <v>15093703.3196809</v>
      </c>
      <c r="DG16" s="0" t="n">
        <f aca="false">DG15+IF(DG$3=120,SUM(CU15:DG15)*12/MIN(12,DG$3)/Inputs!$B$11,0)</f>
        <v>15124577.5558009</v>
      </c>
      <c r="DH16" s="0" t="n">
        <f aca="false">DH15+IF(DH$3=120,SUM(CV15:DH15)*12/MIN(12,DH$3)/Inputs!$B$11,0)</f>
        <v>15155524.4187559</v>
      </c>
      <c r="DI16" s="0" t="n">
        <f aca="false">DI15+IF(DI$3=120,SUM(CW15:DI15)*12/MIN(12,DI$3)/Inputs!$B$11,0)</f>
        <v>15186544.0775651</v>
      </c>
      <c r="DJ16" s="0" t="n">
        <f aca="false">DJ15+IF(DJ$3=120,SUM(CX15:DJ15)*12/MIN(12,DJ$3)/Inputs!$B$11,0)</f>
        <v>15217636.7016359</v>
      </c>
      <c r="DK16" s="0" t="n">
        <f aca="false">DK15+IF(DK$3=120,SUM(CY15:DK15)*12/MIN(12,DK$3)/Inputs!$B$11,0)</f>
        <v>15248802.4607642</v>
      </c>
      <c r="DL16" s="0" t="n">
        <f aca="false">DL15+IF(DL$3=120,SUM(CZ15:DL15)*12/MIN(12,DL$3)/Inputs!$B$11,0)</f>
        <v>15280041.5251355</v>
      </c>
      <c r="DM16" s="0" t="n">
        <f aca="false">DM15+IF(DM$3=120,SUM(DA15:DM15)*12/MIN(12,DM$3)/Inputs!$B$11,0)</f>
        <v>15311354.065326</v>
      </c>
      <c r="DN16" s="0" t="n">
        <f aca="false">DN15+IF(DN$3=120,SUM(DB15:DN15)*12/MIN(12,DN$3)/Inputs!$B$11,0)</f>
        <v>15342740.2523031</v>
      </c>
      <c r="DO16" s="0" t="n">
        <f aca="false">DO15+IF(DO$3=120,SUM(DC15:DO15)*12/MIN(12,DO$3)/Inputs!$B$11,0)</f>
        <v>15374200.2574263</v>
      </c>
      <c r="DP16" s="0" t="n">
        <f aca="false">DP15+IF(DP$3=120,SUM(DD15:DP15)*12/MIN(12,DP$3)/Inputs!$B$11,0)</f>
        <v>15405734.2524486</v>
      </c>
      <c r="DQ16" s="0" t="n">
        <f aca="false">DQ15+IF(DQ$3=120,SUM(DE15:DQ15)*12/MIN(12,DQ$3)/Inputs!$B$11,0)</f>
        <v>15437342.4095166</v>
      </c>
      <c r="DR16" s="0" t="n">
        <f aca="false">DR15+IF(DR$3=120,SUM(DF15:DR15)*12/MIN(12,DR$3)/Inputs!$B$11,0)</f>
        <v>2664098707.53492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37</v>
      </c>
      <c r="B3" s="3" t="n">
        <f aca="false">(1+IRR('Cash Flow'!$B$16:$DR$16,0.006))^12-1</f>
        <v>0.0598952909919379</v>
      </c>
    </row>
    <row r="4" customFormat="false" ht="15" hidden="false" customHeight="false" outlineLevel="0" collapsed="false">
      <c r="A4" s="0" t="s">
        <v>38</v>
      </c>
      <c r="B4" s="3" t="n">
        <f aca="false">SUM('Cash Flow'!$B$12:$DR$12)/(SUM('Cash Flow'!$B$11:$DR$11)+SUM('Cash Flow'!$B$12:$DR$12))</f>
        <v>0.0584055794658208</v>
      </c>
    </row>
    <row r="5" customFormat="false" ht="15" hidden="false" customHeight="false" outlineLevel="0" collapsed="false">
      <c r="A5" s="0" t="s">
        <v>39</v>
      </c>
      <c r="B5" s="2" t="n">
        <f aca="false">SUM('Cash Flow'!$B$13:$DR$13)-SUM('Cash Flow'!$B$14:$DR$14)</f>
        <v>69257167.0277305</v>
      </c>
    </row>
    <row r="6" customFormat="false" ht="15" hidden="false" customHeight="false" outlineLevel="0" collapsed="false">
      <c r="A6" s="0" t="s">
        <v>40</v>
      </c>
      <c r="B6" s="4" t="n">
        <f aca="false">COUNTIFS(Tenants!$F$2:$F$7,"&lt;="&amp;DATE(2030,12,31))</f>
        <v>4</v>
      </c>
    </row>
    <row r="7" customFormat="false" ht="15" hidden="false" customHeight="false" outlineLevel="0" collapsed="false">
      <c r="A7" s="0" t="s">
        <v>41</v>
      </c>
      <c r="B7" s="3" t="n">
        <f aca="false">SUM('Cash Flow'!$C$15:$N$15)/Inputs!$B$12</f>
        <v>0.0599754261986474</v>
      </c>
    </row>
    <row r="8" customFormat="false" ht="15" hidden="false" customHeight="false" outlineLevel="0" collapsed="false">
      <c r="A8" s="0" t="s">
        <v>42</v>
      </c>
      <c r="B8" s="2" t="n">
        <f aca="false">SUM('Cash Flow'!$B$16:$DR$16)</f>
        <v>1568033604.16041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2026-10-17T21:43:14Z</dcterms:created>
  <dc:creator>openpyxl</dc:creator>
  <dc:description/>
  <dc:language>en-US</dc:language>
  <cp:lastModifiedBy/>
  <dcterms:modified xsi:type="dcterms:W3CDTF">2026-10-17T21:43:14Z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