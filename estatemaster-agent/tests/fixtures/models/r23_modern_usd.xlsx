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nits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<sst xmlns="http://schemas.openxmlformats.org/spreadsheetml/2006/main" count="23" uniqueCount="23">
  <si>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HARBOR POINT – UNIT MIX (USD, EXCEL 365)</t>
  </si>
  <si>
    <t xml:space="preserve">Price per sq ft ($)</t>
  </si>
  <si>
    <t xml:space="preserve">Build cost per sq ft ($)</t>
  </si>
  <si>
    <t xml:space="preserve">Soft costs (% of build)</t>
  </si>
  <si>
    <t xml:space="preserve">Land ($)</t>
  </si>
  <si>
    <t xml:space="preserve">Price escalation per floor</t>
  </si>
  <si>
    <t xml:space="preserve">Type</t>
  </si>
  <si>
    <t xml:space="preserve">Units</t>
  </si>
  <si>
    <t xml:space="preserve">Size (sq ft)</t>
  </si>
  <si>
    <t xml:space="preserve">Floor from</t>
  </si>
  <si>
    <t xml:space="preserve">Studio</t>
  </si>
  <si>
    <t xml:space="preserve">1BR</t>
  </si>
  <si>
    <t xml:space="preserve">2BR</t>
  </si>
  <si>
    <t xml:space="preserve">3BR</t>
  </si>
  <si>
    <t xml:space="preserve">PH</t>
  </si>
  <si>
    <t xml:space="preserve">Sellable area (sq ft)</t>
  </si>
  <si>
    <t xml:space="preserve">Gross revenue ($)</t>
  </si>
  <si>
    <t xml:space="preserve">Total cost ($)</t>
  </si>
  <si>
    <t xml:space="preserve">Net profit ($)</t>
  </si>
  <si>
    <t xml:space="preserve">Profit on cost</t>
  </si>
  <si>
    <t xml:space="preserve">Largest unit type</t>
  </si>
  <si>
    <t xml:space="preserve">Units on floors 10 and up</t>
  </si>
  <si>
    <t xml:space="preserve">Sum of the first 5 floor numbers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</si>
</sst>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UnitMix" displayName="UnitMix" ref="A1:D6" headerRowCount="1" totalsRowCount="0" totalsRowShown="0">
  <autoFilter ref="A1:D6"/>
  <tableColumns count="4">
    <tableColumn id="1" name="Type"/>
    <tableColumn id="2" name="Units"/>
    <tableColumn id="3" name="Size (sq ft)"/>
    <tableColumn id="4" name="Floor fro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920</v>
      </c>
    </row>
    <row r="4" customFormat="false" ht="15" hidden="false" customHeight="false" outlineLevel="0" collapsed="false">
      <c r="A4" s="0" t="s">
        <v>2</v>
      </c>
      <c r="B4" s="1" t="n">
        <v>540</v>
      </c>
    </row>
    <row r="5" customFormat="false" ht="15" hidden="false" customHeight="false" outlineLevel="0" collapsed="false">
      <c r="A5" s="0" t="s">
        <v>3</v>
      </c>
      <c r="B5" s="2" t="n">
        <v>0.18</v>
      </c>
    </row>
    <row r="6" customFormat="false" ht="15" hidden="false" customHeight="false" outlineLevel="0" collapsed="false">
      <c r="A6" s="0" t="s">
        <v>4</v>
      </c>
      <c r="B6" s="1" t="n">
        <v>38000000</v>
      </c>
    </row>
    <row r="7" customFormat="false" ht="15" hidden="false" customHeight="false" outlineLevel="0" collapsed="false">
      <c r="A7" s="0" t="s">
        <v>5</v>
      </c>
      <c r="B7" s="2" t="n">
        <v>0.006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</row>
    <row r="2" customFormat="false" ht="15" hidden="false" customHeight="false" outlineLevel="0" collapsed="false">
      <c r="A2" s="0" t="s">
        <v>10</v>
      </c>
      <c r="B2" s="0" t="n">
        <v>60</v>
      </c>
      <c r="C2" s="0" t="n">
        <v>480</v>
      </c>
      <c r="D2" s="0" t="n">
        <v>2</v>
      </c>
    </row>
    <row r="3" customFormat="false" ht="15" hidden="false" customHeight="false" outlineLevel="0" collapsed="false">
      <c r="A3" s="0" t="s">
        <v>11</v>
      </c>
      <c r="B3" s="0" t="n">
        <v>110</v>
      </c>
      <c r="C3" s="0" t="n">
        <v>720</v>
      </c>
      <c r="D3" s="0" t="n">
        <v>4</v>
      </c>
    </row>
    <row r="4" customFormat="false" ht="15" hidden="false" customHeight="false" outlineLevel="0" collapsed="false">
      <c r="A4" s="0" t="s">
        <v>12</v>
      </c>
      <c r="B4" s="0" t="n">
        <v>90</v>
      </c>
      <c r="C4" s="0" t="n">
        <v>1050</v>
      </c>
      <c r="D4" s="0" t="n">
        <v>8</v>
      </c>
    </row>
    <row r="5" customFormat="false" ht="15" hidden="false" customHeight="false" outlineLevel="0" collapsed="false">
      <c r="A5" s="0" t="s">
        <v>13</v>
      </c>
      <c r="B5" s="0" t="n">
        <v>40</v>
      </c>
      <c r="C5" s="0" t="n">
        <v>1480</v>
      </c>
      <c r="D5" s="0" t="n">
        <v>14</v>
      </c>
    </row>
    <row r="6" customFormat="false" ht="15" hidden="false" customHeight="false" outlineLevel="0" collapsed="false">
      <c r="A6" s="0" t="s">
        <v>14</v>
      </c>
      <c r="B6" s="0" t="n">
        <v>8</v>
      </c>
      <c r="C6" s="0" t="n">
        <v>2600</v>
      </c>
      <c r="D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15</v>
      </c>
      <c r="B3" s="1" t="n">
        <f aca="false">SUMPRODUCT(UnitMix[Units],UnitMix[Size (sq ft)])</f>
        <v>282500</v>
      </c>
    </row>
    <row r="4" customFormat="false" ht="15" hidden="false" customHeight="false" outlineLevel="0" collapsed="false">
      <c r="A4" s="0" t="s">
        <v>16</v>
      </c>
      <c r="B4" s="1">
        <f aca="false">_xlfn.let(_xlpm.a,B3,_xlpm.esc,Inputs!$B$7,SUMPRODUCT(UnitMix[Units],UnitMix[Size (sq ft)],Inputs!$B$3*(1+_xlpm.esc*UnitMix[Floor from])))</f>
        <v>274159264.0</v>
      </c>
    </row>
    <row r="5" customFormat="false" ht="15" hidden="false" customHeight="false" outlineLevel="0" collapsed="false">
      <c r="A5" s="0" t="s">
        <v>17</v>
      </c>
      <c r="B5" s="1" t="n">
        <f aca="false">B3*Inputs!$B$4*(1+Inputs!$B$5)+Inputs!$B$6</f>
        <v>218009000</v>
      </c>
    </row>
    <row r="6" customFormat="false" ht="15" hidden="false" customHeight="false" outlineLevel="0" collapsed="false">
      <c r="A6" s="0" t="s">
        <v>18</v>
      </c>
      <c r="B6" s="1">
        <f aca="false">B4-B5</f>
        <v>56150264.0</v>
      </c>
    </row>
    <row r="7" customFormat="false" ht="15" hidden="false" customHeight="false" outlineLevel="0" collapsed="false">
      <c r="A7" s="0" t="s">
        <v>19</v>
      </c>
      <c r="B7" s="2">
        <f aca="false">B6/B5</f>
        <v>0.25755938516299787</v>
      </c>
    </row>
    <row r="8" customFormat="false" ht="15" hidden="false" customHeight="false" outlineLevel="0" collapsed="false">
      <c r="A8" s="0" t="s">
        <v>20</v>
      </c>
      <c r="B8" s="4" t="str">
        <f aca="false">_xlfn.xlookup(MAX(UnitMix[Size (sq ft)]),UnitMix[Size (sq ft)],UnitMix[Type])</f>
        <v>PH</v>
      </c>
    </row>
    <row r="9" customFormat="false" ht="15" hidden="false" customHeight="false" outlineLevel="0" collapsed="false">
      <c r="A9" s="0" t="s">
        <v>21</v>
      </c>
      <c r="B9" s="1">
        <f aca="false">SUM(_xlfn._xlws.filter(UnitMix[Units],UnitMix[Floor from]&gt;=10))</f>
        <v>48.0</v>
      </c>
    </row>
    <row r="10" customFormat="false" ht="15" hidden="false" customHeight="false" outlineLevel="0" collapsed="false">
      <c r="A10" s="0" t="s">
        <v>22</v>
      </c>
      <c r="B10" s="1">
        <f aca="false">SUM(_xlfn.sequence(5))</f>
        <v>15.0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2026-10-17T19:36:24Z</dcterms:created>
  <dc:creator>openpyxl</dc:creator>
  <dc:description/>
  <dc:language>en-US</dc:language>
  <cp:lastModifiedBy/>
  <dcterms:modified xsi:type="dcterms:W3CDTF">2026-10-17T19:36:24Z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