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Levels" sheetId="2" state="visible" r:id="rId4"/>
    <sheet name="Cash Flow" sheetId="3" state="visible" r:id="rId5"/>
    <sheet name="Retur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<sst xmlns="http://schemas.openxmlformats.org/spreadsheetml/2006/main" count="52" uniqueCount="52">
  <si>
    <t xml:space="preserve">MAPLE GROVE SENIOR LIVING – CARE AND LABOUR MODEL (CAD)</t>
  </si>
  <si>
    <t xml:space="preserve">Development cost (C$)</t>
  </si>
  <si>
    <t xml:space="preserve">Loan to cost</t>
  </si>
  <si>
    <t xml:space="preserve">Interest rate</t>
  </si>
  <si>
    <t xml:space="preserve">Amortisation (years)</t>
  </si>
  <si>
    <t xml:space="preserve">Lease-up (move-ins a month, all levels)</t>
  </si>
  <si>
    <t xml:space="preserve">Stabilised occupancy</t>
  </si>
  <si>
    <t xml:space="preserve">Fee growth a year</t>
  </si>
  <si>
    <t xml:space="preserve">Care wage (C$ an hour)</t>
  </si>
  <si>
    <t xml:space="preserve">Wage growth a year</t>
  </si>
  <si>
    <t xml:space="preserve">In-house care staff (FTE)</t>
  </si>
  <si>
    <t xml:space="preserve">Hours per FTE a year</t>
  </si>
  <si>
    <t xml:space="preserve">Agency premium over wage</t>
  </si>
  <si>
    <t xml:space="preserve">Other opex per occupied unit a month (C$)</t>
  </si>
  <si>
    <t xml:space="preserve">Management fee (% of revenue)</t>
  </si>
  <si>
    <t xml:space="preserve">Capital reserve per unit a year (C$)</t>
  </si>
  <si>
    <t xml:space="preserve">Exit cap rate</t>
  </si>
  <si>
    <t xml:space="preserve">Hold (years)</t>
  </si>
  <si>
    <t xml:space="preserve">Level</t>
  </si>
  <si>
    <t xml:space="preserve">Units</t>
  </si>
  <si>
    <t xml:space="preserve">Monthly fee (C$)</t>
  </si>
  <si>
    <t xml:space="preserve">Care hours per resident day</t>
  </si>
  <si>
    <t xml:space="preserve">Share of move-ins</t>
  </si>
  <si>
    <t xml:space="preserve">Independent living</t>
  </si>
  <si>
    <t xml:space="preserve">Assisted living</t>
  </si>
  <si>
    <t xml:space="preserve">Memory care</t>
  </si>
  <si>
    <t xml:space="preserve">Year</t>
  </si>
  <si>
    <t xml:space="preserve">IL occupied</t>
  </si>
  <si>
    <t xml:space="preserve">AL occupied</t>
  </si>
  <si>
    <t xml:space="preserve">MC occupied</t>
  </si>
  <si>
    <t xml:space="preserve">Revenue</t>
  </si>
  <si>
    <t xml:space="preserve">Care hours needed</t>
  </si>
  <si>
    <t xml:space="preserve">In-house hours</t>
  </si>
  <si>
    <t xml:space="preserve">Agency hours</t>
  </si>
  <si>
    <t xml:space="preserve">Care labour</t>
  </si>
  <si>
    <t xml:space="preserve">Other opex</t>
  </si>
  <si>
    <t xml:space="preserve">Management fee</t>
  </si>
  <si>
    <t xml:space="preserve">Capital reserve</t>
  </si>
  <si>
    <t xml:space="preserve">NOI</t>
  </si>
  <si>
    <t xml:space="preserve">Loan balance</t>
  </si>
  <si>
    <t xml:space="preserve">Interest</t>
  </si>
  <si>
    <t xml:space="preserve">Principal</t>
  </si>
  <si>
    <t xml:space="preserve">Debt service</t>
  </si>
  <si>
    <t xml:space="preserve">DSCR</t>
  </si>
  <si>
    <t xml:space="preserve">Sale</t>
  </si>
  <si>
    <t xml:space="preserve">Equity cash flow</t>
  </si>
  <si>
    <t xml:space="preserve">Levered IRR</t>
  </si>
  <si>
    <t xml:space="preserve">Equity multiple</t>
  </si>
  <si>
    <t xml:space="preserve">Minimum DSCR from year 3</t>
  </si>
  <si>
    <t xml:space="preserve">Agency labour, year 5 (C$)</t>
  </si>
  <si>
    <t xml:space="preserve">NOI margin, year 5</t>
  </si>
  <si>
    <t xml:space="preserve">Net profit (C$)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</si>
</sst>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0%"/>
    <numFmt numFmtId="167" formatCode="0"/>
    <numFmt numFmtId="168" formatCode="#,##0.00"/>
    <numFmt numFmtId="169" formatCode="[$$-409]#,##0.00;[RED]\-[$$-409]#,##0.00"/>
    <numFmt numFmtId="170" formatCode="0.00\x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165000000</v>
      </c>
    </row>
    <row r="4" customFormat="false" ht="15" hidden="false" customHeight="false" outlineLevel="0" collapsed="false">
      <c r="A4" s="0" t="s">
        <v>2</v>
      </c>
      <c r="B4" s="2" t="n">
        <v>0.7</v>
      </c>
    </row>
    <row r="5" customFormat="false" ht="15" hidden="false" customHeight="false" outlineLevel="0" collapsed="false">
      <c r="A5" s="0" t="s">
        <v>3</v>
      </c>
      <c r="B5" s="2" t="n">
        <v>0.0525</v>
      </c>
    </row>
    <row r="6" customFormat="false" ht="15" hidden="false" customHeight="false" outlineLevel="0" collapsed="false">
      <c r="A6" s="0" t="s">
        <v>4</v>
      </c>
      <c r="B6" s="3" t="n">
        <v>35</v>
      </c>
    </row>
    <row r="7" customFormat="false" ht="15" hidden="false" customHeight="false" outlineLevel="0" collapsed="false">
      <c r="A7" s="0" t="s">
        <v>5</v>
      </c>
      <c r="B7" s="3" t="n">
        <v>9</v>
      </c>
    </row>
    <row r="8" customFormat="false" ht="15" hidden="false" customHeight="false" outlineLevel="0" collapsed="false">
      <c r="A8" s="0" t="s">
        <v>6</v>
      </c>
      <c r="B8" s="2" t="n">
        <v>0.93</v>
      </c>
    </row>
    <row r="9" customFormat="false" ht="15" hidden="false" customHeight="false" outlineLevel="0" collapsed="false">
      <c r="A9" s="0" t="s">
        <v>7</v>
      </c>
      <c r="B9" s="2" t="n">
        <v>0.04</v>
      </c>
    </row>
    <row r="10" customFormat="false" ht="15" hidden="false" customHeight="false" outlineLevel="0" collapsed="false">
      <c r="A10" s="0" t="s">
        <v>8</v>
      </c>
      <c r="B10" s="4" t="n">
        <v>34</v>
      </c>
    </row>
    <row r="11" customFormat="false" ht="15" hidden="false" customHeight="false" outlineLevel="0" collapsed="false">
      <c r="A11" s="0" t="s">
        <v>9</v>
      </c>
      <c r="B11" s="2" t="n">
        <v>0.05</v>
      </c>
    </row>
    <row r="12" customFormat="false" ht="15" hidden="false" customHeight="false" outlineLevel="0" collapsed="false">
      <c r="A12" s="0" t="s">
        <v>10</v>
      </c>
      <c r="B12" s="3" t="n">
        <v>70</v>
      </c>
    </row>
    <row r="13" customFormat="false" ht="15" hidden="false" customHeight="false" outlineLevel="0" collapsed="false">
      <c r="A13" s="0" t="s">
        <v>11</v>
      </c>
      <c r="B13" s="1" t="n">
        <v>1950</v>
      </c>
    </row>
    <row r="14" customFormat="false" ht="15" hidden="false" customHeight="false" outlineLevel="0" collapsed="false">
      <c r="A14" s="0" t="s">
        <v>12</v>
      </c>
      <c r="B14" s="2" t="n">
        <v>0.6</v>
      </c>
    </row>
    <row r="15" customFormat="false" ht="15" hidden="false" customHeight="false" outlineLevel="0" collapsed="false">
      <c r="A15" s="0" t="s">
        <v>13</v>
      </c>
      <c r="B15" s="1" t="n">
        <v>1450</v>
      </c>
    </row>
    <row r="16" customFormat="false" ht="15" hidden="false" customHeight="false" outlineLevel="0" collapsed="false">
      <c r="A16" s="0" t="s">
        <v>14</v>
      </c>
      <c r="B16" s="2" t="n">
        <v>0.05</v>
      </c>
    </row>
    <row r="17" customFormat="false" ht="15" hidden="false" customHeight="false" outlineLevel="0" collapsed="false">
      <c r="A17" s="0" t="s">
        <v>15</v>
      </c>
      <c r="B17" s="1" t="n">
        <v>750</v>
      </c>
    </row>
    <row r="18" customFormat="false" ht="15" hidden="false" customHeight="false" outlineLevel="0" collapsed="false">
      <c r="A18" s="0" t="s">
        <v>16</v>
      </c>
      <c r="B18" s="2" t="n">
        <v>0.0675</v>
      </c>
    </row>
    <row r="19" customFormat="false" ht="15" hidden="false" customHeight="false" outlineLevel="0" collapsed="false">
      <c r="A19" s="0" t="s">
        <v>17</v>
      </c>
      <c r="B19" s="3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18</v>
      </c>
      <c r="B1" s="0" t="s">
        <v>19</v>
      </c>
      <c r="C1" s="0" t="s">
        <v>20</v>
      </c>
      <c r="D1" s="0" t="s">
        <v>21</v>
      </c>
      <c r="E1" s="0" t="s">
        <v>22</v>
      </c>
    </row>
    <row r="2" customFormat="false" ht="15" hidden="false" customHeight="false" outlineLevel="0" collapsed="false">
      <c r="A2" s="0" t="s">
        <v>23</v>
      </c>
      <c r="B2" s="1" t="n">
        <v>120</v>
      </c>
      <c r="C2" s="1" t="n">
        <v>4900</v>
      </c>
      <c r="D2" s="4" t="n">
        <v>0.4</v>
      </c>
      <c r="E2" s="2" t="n">
        <v>0.45</v>
      </c>
    </row>
    <row r="3" customFormat="false" ht="15" hidden="false" customHeight="false" outlineLevel="0" collapsed="false">
      <c r="A3" s="0" t="s">
        <v>24</v>
      </c>
      <c r="B3" s="1" t="n">
        <v>80</v>
      </c>
      <c r="C3" s="1" t="n">
        <v>7600</v>
      </c>
      <c r="D3" s="4" t="n">
        <v>2.5</v>
      </c>
      <c r="E3" s="2" t="n">
        <v>0.4</v>
      </c>
    </row>
    <row r="4" customFormat="false" ht="15" hidden="false" customHeight="false" outlineLevel="0" collapsed="false">
      <c r="A4" s="0" t="s">
        <v>25</v>
      </c>
      <c r="B4" s="1" t="n">
        <v>40</v>
      </c>
      <c r="C4" s="1" t="n">
        <v>10400</v>
      </c>
      <c r="D4" s="4" t="n">
        <v>4.5</v>
      </c>
      <c r="E4" s="2" t="n"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L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26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  <c r="I3" s="0" t="n">
        <v>7</v>
      </c>
      <c r="J3" s="0" t="n">
        <v>8</v>
      </c>
      <c r="K3" s="0" t="n">
        <v>9</v>
      </c>
      <c r="L3" s="0" t="n">
        <v>10</v>
      </c>
    </row>
    <row r="4" customFormat="false" ht="15" hidden="false" customHeight="false" outlineLevel="0" collapsed="false">
      <c r="A4" s="0" t="s">
        <v>27</v>
      </c>
      <c r="B4" s="0" t="n">
        <f aca="false">IF(AND(B$3&gt;=1,B$3&lt;=Inputs!$B$19),MIN(Levels!$B$2*Inputs!$B$8,((B$3-0.5)*12*Inputs!$B$7)*Levels!$E$2),0)</f>
        <v>0</v>
      </c>
      <c r="C4" s="0" t="n">
        <f aca="false">IF(AND(C$3&gt;=1,C$3&lt;=Inputs!$B$19),MIN(Levels!$B$2*Inputs!$B$8,((C$3-0.5)*12*Inputs!$B$7)*Levels!$E$2),0)</f>
        <v>24.3</v>
      </c>
      <c r="D4" s="0" t="n">
        <f aca="false">IF(AND(D$3&gt;=1,D$3&lt;=Inputs!$B$19),MIN(Levels!$B$2*Inputs!$B$8,((D$3-0.5)*12*Inputs!$B$7)*Levels!$E$2),0)</f>
        <v>72.9</v>
      </c>
      <c r="E4" s="0" t="n">
        <f aca="false">IF(AND(E$3&gt;=1,E$3&lt;=Inputs!$B$19),MIN(Levels!$B$2*Inputs!$B$8,((E$3-0.5)*12*Inputs!$B$7)*Levels!$E$2),0)</f>
        <v>111.6</v>
      </c>
      <c r="F4" s="0" t="n">
        <f aca="false">IF(AND(F$3&gt;=1,F$3&lt;=Inputs!$B$19),MIN(Levels!$B$2*Inputs!$B$8,((F$3-0.5)*12*Inputs!$B$7)*Levels!$E$2),0)</f>
        <v>111.6</v>
      </c>
      <c r="G4" s="0" t="n">
        <f aca="false">IF(AND(G$3&gt;=1,G$3&lt;=Inputs!$B$19),MIN(Levels!$B$2*Inputs!$B$8,((G$3-0.5)*12*Inputs!$B$7)*Levels!$E$2),0)</f>
        <v>111.6</v>
      </c>
      <c r="H4" s="0" t="n">
        <f aca="false">IF(AND(H$3&gt;=1,H$3&lt;=Inputs!$B$19),MIN(Levels!$B$2*Inputs!$B$8,((H$3-0.5)*12*Inputs!$B$7)*Levels!$E$2),0)</f>
        <v>111.6</v>
      </c>
      <c r="I4" s="0" t="n">
        <f aca="false">IF(AND(I$3&gt;=1,I$3&lt;=Inputs!$B$19),MIN(Levels!$B$2*Inputs!$B$8,((I$3-0.5)*12*Inputs!$B$7)*Levels!$E$2),0)</f>
        <v>111.6</v>
      </c>
      <c r="J4" s="0" t="n">
        <f aca="false">IF(AND(J$3&gt;=1,J$3&lt;=Inputs!$B$19),MIN(Levels!$B$2*Inputs!$B$8,((J$3-0.5)*12*Inputs!$B$7)*Levels!$E$2),0)</f>
        <v>111.6</v>
      </c>
      <c r="K4" s="0" t="n">
        <f aca="false">IF(AND(K$3&gt;=1,K$3&lt;=Inputs!$B$19),MIN(Levels!$B$2*Inputs!$B$8,((K$3-0.5)*12*Inputs!$B$7)*Levels!$E$2),0)</f>
        <v>111.6</v>
      </c>
      <c r="L4" s="0" t="n">
        <f aca="false">IF(AND(L$3&gt;=1,L$3&lt;=Inputs!$B$19),MIN(Levels!$B$2*Inputs!$B$8,((L$3-0.5)*12*Inputs!$B$7)*Levels!$E$2),0)</f>
        <v>111.6</v>
      </c>
    </row>
    <row r="5" customFormat="false" ht="15" hidden="false" customHeight="false" outlineLevel="0" collapsed="false">
      <c r="A5" s="0" t="s">
        <v>28</v>
      </c>
      <c r="B5" s="0" t="n">
        <f aca="false">IF(AND(B$3&gt;=1,B$3&lt;=Inputs!$B$19),MIN(Levels!$B$3*Inputs!$B$8,((B$3-0.5)*12*Inputs!$B$7)*Levels!$E$3),0)</f>
        <v>0</v>
      </c>
      <c r="C5" s="0" t="n">
        <f aca="false">IF(AND(C$3&gt;=1,C$3&lt;=Inputs!$B$19),MIN(Levels!$B$3*Inputs!$B$8,((C$3-0.5)*12*Inputs!$B$7)*Levels!$E$3),0)</f>
        <v>21.6</v>
      </c>
      <c r="D5" s="0" t="n">
        <f aca="false">IF(AND(D$3&gt;=1,D$3&lt;=Inputs!$B$19),MIN(Levels!$B$3*Inputs!$B$8,((D$3-0.5)*12*Inputs!$B$7)*Levels!$E$3),0)</f>
        <v>64.8</v>
      </c>
      <c r="E5" s="0" t="n">
        <f aca="false">IF(AND(E$3&gt;=1,E$3&lt;=Inputs!$B$19),MIN(Levels!$B$3*Inputs!$B$8,((E$3-0.5)*12*Inputs!$B$7)*Levels!$E$3),0)</f>
        <v>74.4</v>
      </c>
      <c r="F5" s="0" t="n">
        <f aca="false">IF(AND(F$3&gt;=1,F$3&lt;=Inputs!$B$19),MIN(Levels!$B$3*Inputs!$B$8,((F$3-0.5)*12*Inputs!$B$7)*Levels!$E$3),0)</f>
        <v>74.4</v>
      </c>
      <c r="G5" s="0" t="n">
        <f aca="false">IF(AND(G$3&gt;=1,G$3&lt;=Inputs!$B$19),MIN(Levels!$B$3*Inputs!$B$8,((G$3-0.5)*12*Inputs!$B$7)*Levels!$E$3),0)</f>
        <v>74.4</v>
      </c>
      <c r="H5" s="0" t="n">
        <f aca="false">IF(AND(H$3&gt;=1,H$3&lt;=Inputs!$B$19),MIN(Levels!$B$3*Inputs!$B$8,((H$3-0.5)*12*Inputs!$B$7)*Levels!$E$3),0)</f>
        <v>74.4</v>
      </c>
      <c r="I5" s="0" t="n">
        <f aca="false">IF(AND(I$3&gt;=1,I$3&lt;=Inputs!$B$19),MIN(Levels!$B$3*Inputs!$B$8,((I$3-0.5)*12*Inputs!$B$7)*Levels!$E$3),0)</f>
        <v>74.4</v>
      </c>
      <c r="J5" s="0" t="n">
        <f aca="false">IF(AND(J$3&gt;=1,J$3&lt;=Inputs!$B$19),MIN(Levels!$B$3*Inputs!$B$8,((J$3-0.5)*12*Inputs!$B$7)*Levels!$E$3),0)</f>
        <v>74.4</v>
      </c>
      <c r="K5" s="0" t="n">
        <f aca="false">IF(AND(K$3&gt;=1,K$3&lt;=Inputs!$B$19),MIN(Levels!$B$3*Inputs!$B$8,((K$3-0.5)*12*Inputs!$B$7)*Levels!$E$3),0)</f>
        <v>74.4</v>
      </c>
      <c r="L5" s="0" t="n">
        <f aca="false">IF(AND(L$3&gt;=1,L$3&lt;=Inputs!$B$19),MIN(Levels!$B$3*Inputs!$B$8,((L$3-0.5)*12*Inputs!$B$7)*Levels!$E$3),0)</f>
        <v>74.4</v>
      </c>
    </row>
    <row r="6" customFormat="false" ht="15" hidden="false" customHeight="false" outlineLevel="0" collapsed="false">
      <c r="A6" s="0" t="s">
        <v>29</v>
      </c>
      <c r="B6" s="0" t="n">
        <f aca="false">IF(AND(B$3&gt;=1,B$3&lt;=Inputs!$B$19),MIN(Levels!$B$4*Inputs!$B$8,((B$3-0.5)*12*Inputs!$B$7)*Levels!$E$4),0)</f>
        <v>0</v>
      </c>
      <c r="C6" s="0" t="n">
        <f aca="false">IF(AND(C$3&gt;=1,C$3&lt;=Inputs!$B$19),MIN(Levels!$B$4*Inputs!$B$8,((C$3-0.5)*12*Inputs!$B$7)*Levels!$E$4),0)</f>
        <v>8.1</v>
      </c>
      <c r="D6" s="0" t="n">
        <f aca="false">IF(AND(D$3&gt;=1,D$3&lt;=Inputs!$B$19),MIN(Levels!$B$4*Inputs!$B$8,((D$3-0.5)*12*Inputs!$B$7)*Levels!$E$4),0)</f>
        <v>24.3</v>
      </c>
      <c r="E6" s="0" t="n">
        <f aca="false">IF(AND(E$3&gt;=1,E$3&lt;=Inputs!$B$19),MIN(Levels!$B$4*Inputs!$B$8,((E$3-0.5)*12*Inputs!$B$7)*Levels!$E$4),0)</f>
        <v>37.2</v>
      </c>
      <c r="F6" s="0" t="n">
        <f aca="false">IF(AND(F$3&gt;=1,F$3&lt;=Inputs!$B$19),MIN(Levels!$B$4*Inputs!$B$8,((F$3-0.5)*12*Inputs!$B$7)*Levels!$E$4),0)</f>
        <v>37.2</v>
      </c>
      <c r="G6" s="0" t="n">
        <f aca="false">IF(AND(G$3&gt;=1,G$3&lt;=Inputs!$B$19),MIN(Levels!$B$4*Inputs!$B$8,((G$3-0.5)*12*Inputs!$B$7)*Levels!$E$4),0)</f>
        <v>37.2</v>
      </c>
      <c r="H6" s="0" t="n">
        <f aca="false">IF(AND(H$3&gt;=1,H$3&lt;=Inputs!$B$19),MIN(Levels!$B$4*Inputs!$B$8,((H$3-0.5)*12*Inputs!$B$7)*Levels!$E$4),0)</f>
        <v>37.2</v>
      </c>
      <c r="I6" s="0" t="n">
        <f aca="false">IF(AND(I$3&gt;=1,I$3&lt;=Inputs!$B$19),MIN(Levels!$B$4*Inputs!$B$8,((I$3-0.5)*12*Inputs!$B$7)*Levels!$E$4),0)</f>
        <v>37.2</v>
      </c>
      <c r="J6" s="0" t="n">
        <f aca="false">IF(AND(J$3&gt;=1,J$3&lt;=Inputs!$B$19),MIN(Levels!$B$4*Inputs!$B$8,((J$3-0.5)*12*Inputs!$B$7)*Levels!$E$4),0)</f>
        <v>37.2</v>
      </c>
      <c r="K6" s="0" t="n">
        <f aca="false">IF(AND(K$3&gt;=1,K$3&lt;=Inputs!$B$19),MIN(Levels!$B$4*Inputs!$B$8,((K$3-0.5)*12*Inputs!$B$7)*Levels!$E$4),0)</f>
        <v>37.2</v>
      </c>
      <c r="L6" s="0" t="n">
        <f aca="false">IF(AND(L$3&gt;=1,L$3&lt;=Inputs!$B$19),MIN(Levels!$B$4*Inputs!$B$8,((L$3-0.5)*12*Inputs!$B$7)*Levels!$E$4),0)</f>
        <v>37.2</v>
      </c>
    </row>
    <row r="7" customFormat="false" ht="15" hidden="false" customHeight="false" outlineLevel="0" collapsed="false">
      <c r="A7" s="0" t="s">
        <v>30</v>
      </c>
      <c r="B7" s="0" t="n">
        <f aca="false">12*(B4*Levels!$C$2+B5*Levels!$C$3+B6*Levels!$C$4)*(1+Inputs!$B$9)^MAX(0,B$3-1)</f>
        <v>0</v>
      </c>
      <c r="C7" s="0" t="n">
        <f aca="false">12*(C4*Levels!$C$2+C5*Levels!$C$3+C6*Levels!$C$4)*(1+Inputs!$B$9)^MAX(0,C$3-1)</f>
        <v>4409640</v>
      </c>
      <c r="D7" s="0" t="n">
        <f aca="false">12*(D4*Levels!$C$2+D5*Levels!$C$3+D6*Levels!$C$4)*(1+Inputs!$B$9)^MAX(0,D$3-1)</f>
        <v>13758076.8</v>
      </c>
      <c r="E7" s="0" t="n">
        <f aca="false">12*(E4*Levels!$C$2+E5*Levels!$C$3+E6*Levels!$C$4)*(1+Inputs!$B$9)^MAX(0,E$3-1)</f>
        <v>19457897.472</v>
      </c>
      <c r="F7" s="0" t="n">
        <f aca="false">12*(F4*Levels!$C$2+F5*Levels!$C$3+F6*Levels!$C$4)*(1+Inputs!$B$9)^MAX(0,F$3-1)</f>
        <v>20236213.37088</v>
      </c>
      <c r="G7" s="0" t="n">
        <f aca="false">12*(G4*Levels!$C$2+G5*Levels!$C$3+G6*Levels!$C$4)*(1+Inputs!$B$9)^MAX(0,G$3-1)</f>
        <v>21045661.9057152</v>
      </c>
      <c r="H7" s="0" t="n">
        <f aca="false">12*(H4*Levels!$C$2+H5*Levels!$C$3+H6*Levels!$C$4)*(1+Inputs!$B$9)^MAX(0,H$3-1)</f>
        <v>21887488.3819438</v>
      </c>
      <c r="I7" s="0" t="n">
        <f aca="false">12*(I4*Levels!$C$2+I5*Levels!$C$3+I6*Levels!$C$4)*(1+Inputs!$B$9)^MAX(0,I$3-1)</f>
        <v>22762987.9172216</v>
      </c>
      <c r="J7" s="0" t="n">
        <f aca="false">12*(J4*Levels!$C$2+J5*Levels!$C$3+J6*Levels!$C$4)*(1+Inputs!$B$9)^MAX(0,J$3-1)</f>
        <v>23673507.4339104</v>
      </c>
      <c r="K7" s="0" t="n">
        <f aca="false">12*(K4*Levels!$C$2+K5*Levels!$C$3+K6*Levels!$C$4)*(1+Inputs!$B$9)^MAX(0,K$3-1)</f>
        <v>24620447.7312668</v>
      </c>
      <c r="L7" s="0" t="n">
        <f aca="false">12*(L4*Levels!$C$2+L5*Levels!$C$3+L6*Levels!$C$4)*(1+Inputs!$B$9)^MAX(0,L$3-1)</f>
        <v>25605265.6405175</v>
      </c>
    </row>
    <row r="8" customFormat="false" ht="15" hidden="false" customHeight="false" outlineLevel="0" collapsed="false">
      <c r="A8" s="0" t="s">
        <v>31</v>
      </c>
      <c r="B8" s="0" t="n">
        <f aca="false">365*(B4*Levels!$D$2+B5*Levels!$D$3+B6*Levels!$D$4)</f>
        <v>0</v>
      </c>
      <c r="C8" s="0" t="n">
        <f aca="false">365*(C4*Levels!$D$2+C5*Levels!$D$3+C6*Levels!$D$4)</f>
        <v>36562.05</v>
      </c>
      <c r="D8" s="0" t="n">
        <f aca="false">365*(D4*Levels!$D$2+D5*Levels!$D$3+D6*Levels!$D$4)</f>
        <v>109686.15</v>
      </c>
      <c r="E8" s="0" t="n">
        <f aca="false">365*(E4*Levels!$D$2+E5*Levels!$D$3+E6*Levels!$D$4)</f>
        <v>145284.6</v>
      </c>
      <c r="F8" s="0" t="n">
        <f aca="false">365*(F4*Levels!$D$2+F5*Levels!$D$3+F6*Levels!$D$4)</f>
        <v>145284.6</v>
      </c>
      <c r="G8" s="0" t="n">
        <f aca="false">365*(G4*Levels!$D$2+G5*Levels!$D$3+G6*Levels!$D$4)</f>
        <v>145284.6</v>
      </c>
      <c r="H8" s="0" t="n">
        <f aca="false">365*(H4*Levels!$D$2+H5*Levels!$D$3+H6*Levels!$D$4)</f>
        <v>145284.6</v>
      </c>
      <c r="I8" s="0" t="n">
        <f aca="false">365*(I4*Levels!$D$2+I5*Levels!$D$3+I6*Levels!$D$4)</f>
        <v>145284.6</v>
      </c>
      <c r="J8" s="0" t="n">
        <f aca="false">365*(J4*Levels!$D$2+J5*Levels!$D$3+J6*Levels!$D$4)</f>
        <v>145284.6</v>
      </c>
      <c r="K8" s="0" t="n">
        <f aca="false">365*(K4*Levels!$D$2+K5*Levels!$D$3+K6*Levels!$D$4)</f>
        <v>145284.6</v>
      </c>
      <c r="L8" s="0" t="n">
        <f aca="false">365*(L4*Levels!$D$2+L5*Levels!$D$3+L6*Levels!$D$4)</f>
        <v>145284.6</v>
      </c>
    </row>
    <row r="9" customFormat="false" ht="15" hidden="false" customHeight="false" outlineLevel="0" collapsed="false">
      <c r="A9" s="0" t="s">
        <v>32</v>
      </c>
      <c r="B9" s="0" t="n">
        <f aca="false">MIN(B8,Inputs!$B$12*Inputs!$B$13)</f>
        <v>0</v>
      </c>
      <c r="C9" s="0" t="n">
        <f aca="false">MIN(C8,Inputs!$B$12*Inputs!$B$13)</f>
        <v>36562.05</v>
      </c>
      <c r="D9" s="0" t="n">
        <f aca="false">MIN(D8,Inputs!$B$12*Inputs!$B$13)</f>
        <v>109686.15</v>
      </c>
      <c r="E9" s="0" t="n">
        <f aca="false">MIN(E8,Inputs!$B$12*Inputs!$B$13)</f>
        <v>136500</v>
      </c>
      <c r="F9" s="0" t="n">
        <f aca="false">MIN(F8,Inputs!$B$12*Inputs!$B$13)</f>
        <v>136500</v>
      </c>
      <c r="G9" s="0" t="n">
        <f aca="false">MIN(G8,Inputs!$B$12*Inputs!$B$13)</f>
        <v>136500</v>
      </c>
      <c r="H9" s="0" t="n">
        <f aca="false">MIN(H8,Inputs!$B$12*Inputs!$B$13)</f>
        <v>136500</v>
      </c>
      <c r="I9" s="0" t="n">
        <f aca="false">MIN(I8,Inputs!$B$12*Inputs!$B$13)</f>
        <v>136500</v>
      </c>
      <c r="J9" s="0" t="n">
        <f aca="false">MIN(J8,Inputs!$B$12*Inputs!$B$13)</f>
        <v>136500</v>
      </c>
      <c r="K9" s="0" t="n">
        <f aca="false">MIN(K8,Inputs!$B$12*Inputs!$B$13)</f>
        <v>136500</v>
      </c>
      <c r="L9" s="0" t="n">
        <f aca="false">MIN(L8,Inputs!$B$12*Inputs!$B$13)</f>
        <v>136500</v>
      </c>
    </row>
    <row r="10" customFormat="false" ht="15" hidden="false" customHeight="false" outlineLevel="0" collapsed="false">
      <c r="A10" s="0" t="s">
        <v>33</v>
      </c>
      <c r="B10" s="0" t="n">
        <f aca="false">B8-B9</f>
        <v>0</v>
      </c>
      <c r="C10" s="0" t="n">
        <f aca="false">C8-C9</f>
        <v>0</v>
      </c>
      <c r="D10" s="0" t="n">
        <f aca="false">D8-D9</f>
        <v>0</v>
      </c>
      <c r="E10" s="0" t="n">
        <f aca="false">E8-E9</f>
        <v>8784.60000000001</v>
      </c>
      <c r="F10" s="0" t="n">
        <f aca="false">F8-F9</f>
        <v>8784.60000000001</v>
      </c>
      <c r="G10" s="0" t="n">
        <f aca="false">G8-G9</f>
        <v>8784.60000000001</v>
      </c>
      <c r="H10" s="0" t="n">
        <f aca="false">H8-H9</f>
        <v>8784.60000000001</v>
      </c>
      <c r="I10" s="0" t="n">
        <f aca="false">I8-I9</f>
        <v>8784.60000000001</v>
      </c>
      <c r="J10" s="0" t="n">
        <f aca="false">J8-J9</f>
        <v>8784.60000000001</v>
      </c>
      <c r="K10" s="0" t="n">
        <f aca="false">K8-K9</f>
        <v>8784.60000000001</v>
      </c>
      <c r="L10" s="0" t="n">
        <f aca="false">L8-L9</f>
        <v>8784.60000000001</v>
      </c>
    </row>
    <row r="11" customFormat="false" ht="15" hidden="false" customHeight="false" outlineLevel="0" collapsed="false">
      <c r="A11" s="0" t="s">
        <v>34</v>
      </c>
      <c r="B11" s="0" t="n">
        <f aca="false">(B9+B10*(1+Inputs!$B$14))*Inputs!$B$10*(1+Inputs!$B$11)^MAX(0,B$3-1)</f>
        <v>0</v>
      </c>
      <c r="C11" s="0" t="n">
        <f aca="false">(C9+C10*(1+Inputs!$B$14))*Inputs!$B$10*(1+Inputs!$B$11)^MAX(0,C$3-1)</f>
        <v>1243109.7</v>
      </c>
      <c r="D11" s="0" t="n">
        <f aca="false">(D9+D10*(1+Inputs!$B$14))*Inputs!$B$10*(1+Inputs!$B$11)^MAX(0,D$3-1)</f>
        <v>3915795.555</v>
      </c>
      <c r="E11" s="0" t="n">
        <f aca="false">(E9+E10*(1+Inputs!$B$14))*Inputs!$B$10*(1+Inputs!$B$11)^MAX(0,E$3-1)</f>
        <v>5643567.6696</v>
      </c>
      <c r="F11" s="0" t="n">
        <f aca="false">(F9+F10*(1+Inputs!$B$14))*Inputs!$B$10*(1+Inputs!$B$11)^MAX(0,F$3-1)</f>
        <v>5925746.05308</v>
      </c>
      <c r="G11" s="0" t="n">
        <f aca="false">(G9+G10*(1+Inputs!$B$14))*Inputs!$B$10*(1+Inputs!$B$11)^MAX(0,G$3-1)</f>
        <v>6222033.355734</v>
      </c>
      <c r="H11" s="0" t="n">
        <f aca="false">(H9+H10*(1+Inputs!$B$14))*Inputs!$B$10*(1+Inputs!$B$11)^MAX(0,H$3-1)</f>
        <v>6533135.0235207</v>
      </c>
      <c r="I11" s="0" t="n">
        <f aca="false">(I9+I10*(1+Inputs!$B$14))*Inputs!$B$10*(1+Inputs!$B$11)^MAX(0,I$3-1)</f>
        <v>6859791.77469674</v>
      </c>
      <c r="J11" s="0" t="n">
        <f aca="false">(J9+J10*(1+Inputs!$B$14))*Inputs!$B$10*(1+Inputs!$B$11)^MAX(0,J$3-1)</f>
        <v>7202781.36343158</v>
      </c>
      <c r="K11" s="0" t="n">
        <f aca="false">(K9+K10*(1+Inputs!$B$14))*Inputs!$B$10*(1+Inputs!$B$11)^MAX(0,K$3-1)</f>
        <v>7562920.43160315</v>
      </c>
      <c r="L11" s="0" t="n">
        <f aca="false">(L9+L10*(1+Inputs!$B$14))*Inputs!$B$10*(1+Inputs!$B$11)^MAX(0,L$3-1)</f>
        <v>7941066.45318331</v>
      </c>
    </row>
    <row r="12" customFormat="false" ht="15" hidden="false" customHeight="false" outlineLevel="0" collapsed="false">
      <c r="A12" s="0" t="s">
        <v>35</v>
      </c>
      <c r="B12" s="0" t="n">
        <f aca="false">12*Inputs!$B$15*(B4+B5+B6)*(1+0.03)^MAX(0,B$3-1)</f>
        <v>0</v>
      </c>
      <c r="C12" s="0" t="n">
        <f aca="false">12*Inputs!$B$15*(C4+C5+C6)*(1+0.03)^MAX(0,C$3-1)</f>
        <v>939600</v>
      </c>
      <c r="D12" s="0" t="n">
        <f aca="false">12*Inputs!$B$15*(D4+D5+D6)*(1+0.03)^MAX(0,D$3-1)</f>
        <v>2903364</v>
      </c>
      <c r="E12" s="0" t="n">
        <f aca="false">12*Inputs!$B$15*(E4+E5+E6)*(1+0.03)^MAX(0,E$3-1)</f>
        <v>4120196.112</v>
      </c>
      <c r="F12" s="0" t="n">
        <f aca="false">12*Inputs!$B$15*(F4+F5+F6)*(1+0.03)^MAX(0,F$3-1)</f>
        <v>4243801.99536</v>
      </c>
      <c r="G12" s="0" t="n">
        <f aca="false">12*Inputs!$B$15*(G4+G5+G6)*(1+0.03)^MAX(0,G$3-1)</f>
        <v>4371116.0552208</v>
      </c>
      <c r="H12" s="0" t="n">
        <f aca="false">12*Inputs!$B$15*(H4+H5+H6)*(1+0.03)^MAX(0,H$3-1)</f>
        <v>4502249.53687742</v>
      </c>
      <c r="I12" s="0" t="n">
        <f aca="false">12*Inputs!$B$15*(I4+I5+I6)*(1+0.03)^MAX(0,I$3-1)</f>
        <v>4637317.02298375</v>
      </c>
      <c r="J12" s="0" t="n">
        <f aca="false">12*Inputs!$B$15*(J4+J5+J6)*(1+0.03)^MAX(0,J$3-1)</f>
        <v>4776436.53367326</v>
      </c>
      <c r="K12" s="0" t="n">
        <f aca="false">12*Inputs!$B$15*(K4+K5+K6)*(1+0.03)^MAX(0,K$3-1)</f>
        <v>4919729.62968346</v>
      </c>
      <c r="L12" s="0" t="n">
        <f aca="false">12*Inputs!$B$15*(L4+L5+L6)*(1+0.03)^MAX(0,L$3-1)</f>
        <v>5067321.51857396</v>
      </c>
    </row>
    <row r="13" customFormat="false" ht="15" hidden="false" customHeight="false" outlineLevel="0" collapsed="false">
      <c r="A13" s="0" t="s">
        <v>36</v>
      </c>
      <c r="B13" s="0" t="n">
        <f aca="false">B7*Inputs!$B$16</f>
        <v>0</v>
      </c>
      <c r="C13" s="0" t="n">
        <f aca="false">C7*Inputs!$B$16</f>
        <v>220482</v>
      </c>
      <c r="D13" s="0" t="n">
        <f aca="false">D7*Inputs!$B$16</f>
        <v>687903.84</v>
      </c>
      <c r="E13" s="0" t="n">
        <f aca="false">E7*Inputs!$B$16</f>
        <v>972894.8736</v>
      </c>
      <c r="F13" s="0" t="n">
        <f aca="false">F7*Inputs!$B$16</f>
        <v>1011810.668544</v>
      </c>
      <c r="G13" s="0" t="n">
        <f aca="false">G7*Inputs!$B$16</f>
        <v>1052283.09528576</v>
      </c>
      <c r="H13" s="0" t="n">
        <f aca="false">H7*Inputs!$B$16</f>
        <v>1094374.41909719</v>
      </c>
      <c r="I13" s="0" t="n">
        <f aca="false">I7*Inputs!$B$16</f>
        <v>1138149.39586108</v>
      </c>
      <c r="J13" s="0" t="n">
        <f aca="false">J7*Inputs!$B$16</f>
        <v>1183675.37169552</v>
      </c>
      <c r="K13" s="0" t="n">
        <f aca="false">K7*Inputs!$B$16</f>
        <v>1231022.38656334</v>
      </c>
      <c r="L13" s="0" t="n">
        <f aca="false">L7*Inputs!$B$16</f>
        <v>1280263.28202588</v>
      </c>
    </row>
    <row r="14" customFormat="false" ht="15" hidden="false" customHeight="false" outlineLevel="0" collapsed="false">
      <c r="A14" s="0" t="s">
        <v>37</v>
      </c>
      <c r="B14" s="0" t="n">
        <f aca="false">IF(AND(B$3&gt;=1,B$3&lt;=Inputs!$B$19),Inputs!$B$17*SUM(Levels!$B$2:$B$4),0)</f>
        <v>0</v>
      </c>
      <c r="C14" s="0" t="n">
        <f aca="false">IF(AND(C$3&gt;=1,C$3&lt;=Inputs!$B$19),Inputs!$B$17*SUM(Levels!$B$2:$B$4),0)</f>
        <v>180000</v>
      </c>
      <c r="D14" s="0" t="n">
        <f aca="false">IF(AND(D$3&gt;=1,D$3&lt;=Inputs!$B$19),Inputs!$B$17*SUM(Levels!$B$2:$B$4),0)</f>
        <v>180000</v>
      </c>
      <c r="E14" s="0" t="n">
        <f aca="false">IF(AND(E$3&gt;=1,E$3&lt;=Inputs!$B$19),Inputs!$B$17*SUM(Levels!$B$2:$B$4),0)</f>
        <v>180000</v>
      </c>
      <c r="F14" s="0" t="n">
        <f aca="false">IF(AND(F$3&gt;=1,F$3&lt;=Inputs!$B$19),Inputs!$B$17*SUM(Levels!$B$2:$B$4),0)</f>
        <v>180000</v>
      </c>
      <c r="G14" s="0" t="n">
        <f aca="false">IF(AND(G$3&gt;=1,G$3&lt;=Inputs!$B$19),Inputs!$B$17*SUM(Levels!$B$2:$B$4),0)</f>
        <v>180000</v>
      </c>
      <c r="H14" s="0" t="n">
        <f aca="false">IF(AND(H$3&gt;=1,H$3&lt;=Inputs!$B$19),Inputs!$B$17*SUM(Levels!$B$2:$B$4),0)</f>
        <v>180000</v>
      </c>
      <c r="I14" s="0" t="n">
        <f aca="false">IF(AND(I$3&gt;=1,I$3&lt;=Inputs!$B$19),Inputs!$B$17*SUM(Levels!$B$2:$B$4),0)</f>
        <v>180000</v>
      </c>
      <c r="J14" s="0" t="n">
        <f aca="false">IF(AND(J$3&gt;=1,J$3&lt;=Inputs!$B$19),Inputs!$B$17*SUM(Levels!$B$2:$B$4),0)</f>
        <v>180000</v>
      </c>
      <c r="K14" s="0" t="n">
        <f aca="false">IF(AND(K$3&gt;=1,K$3&lt;=Inputs!$B$19),Inputs!$B$17*SUM(Levels!$B$2:$B$4),0)</f>
        <v>180000</v>
      </c>
      <c r="L14" s="0" t="n">
        <f aca="false">IF(AND(L$3&gt;=1,L$3&lt;=Inputs!$B$19),Inputs!$B$17*SUM(Levels!$B$2:$B$4),0)</f>
        <v>180000</v>
      </c>
    </row>
    <row r="15" customFormat="false" ht="15" hidden="false" customHeight="false" outlineLevel="0" collapsed="false">
      <c r="A15" s="0" t="s">
        <v>38</v>
      </c>
      <c r="B15" s="0" t="n">
        <f aca="false">B7-B11-B12-B13-B14</f>
        <v>0</v>
      </c>
      <c r="C15" s="0" t="n">
        <f aca="false">C7-C11-C12-C13-C14</f>
        <v>1826448.3</v>
      </c>
      <c r="D15" s="0" t="n">
        <f aca="false">D7-D11-D12-D13-D14</f>
        <v>6071013.405</v>
      </c>
      <c r="E15" s="0" t="n">
        <f aca="false">E7-E11-E12-E13-E14</f>
        <v>8541238.8168</v>
      </c>
      <c r="F15" s="0" t="n">
        <f aca="false">F7-F11-F12-F13-F14</f>
        <v>8874854.653896</v>
      </c>
      <c r="G15" s="0" t="n">
        <f aca="false">G7-G11-G12-G13-G14</f>
        <v>9220229.39947464</v>
      </c>
      <c r="H15" s="0" t="n">
        <f aca="false">H7-H11-H12-H13-H14</f>
        <v>9577729.40244849</v>
      </c>
      <c r="I15" s="0" t="n">
        <f aca="false">I7-I11-I12-I13-I14</f>
        <v>9947729.72368</v>
      </c>
      <c r="J15" s="0" t="n">
        <f aca="false">J7-J11-J12-J13-J14</f>
        <v>10330614.1651101</v>
      </c>
      <c r="K15" s="0" t="n">
        <f aca="false">K7-K11-K12-K13-K14</f>
        <v>10726775.2834169</v>
      </c>
      <c r="L15" s="0" t="n">
        <f aca="false">L7-L11-L12-L13-L14</f>
        <v>11136614.3867344</v>
      </c>
    </row>
    <row r="16" customFormat="false" ht="15" hidden="false" customHeight="false" outlineLevel="0" collapsed="false">
      <c r="A16" s="0" t="s">
        <v>39</v>
      </c>
      <c r="B16" s="0" t="n">
        <f aca="false">Inputs!$B$3*Inputs!$B$4</f>
        <v>115500000</v>
      </c>
      <c r="C16" s="5" t="n">
        <f aca="false">IF(C$3&gt;=Inputs!$B$19,0,B16-C18)</f>
        <v>114285983.934786</v>
      </c>
      <c r="D16" s="5" t="n">
        <f aca="false">IF(D$3&gt;=Inputs!$B$19,0,C16-D18)</f>
        <v>113008232.026148</v>
      </c>
      <c r="E16" s="5" t="n">
        <f aca="false">IF(E$3&gt;=Inputs!$B$19,0,D16-E18)</f>
        <v>111663398.142307</v>
      </c>
      <c r="F16" s="5" t="n">
        <f aca="false">IF(F$3&gt;=Inputs!$B$19,0,E16-F18)</f>
        <v>110247960.479564</v>
      </c>
      <c r="G16" s="5" t="n">
        <f aca="false">IF(G$3&gt;=Inputs!$B$19,0,F16-G18)</f>
        <v>108758212.339526</v>
      </c>
      <c r="H16" s="5" t="n">
        <f aca="false">IF(H$3&gt;=Inputs!$B$19,0,G16-H18)</f>
        <v>107190252.422137</v>
      </c>
      <c r="I16" s="5" t="n">
        <f aca="false">IF(I$3&gt;=Inputs!$B$19,0,H16-I18)</f>
        <v>105539974.609085</v>
      </c>
      <c r="J16" s="5" t="n">
        <f aca="false">IF(J$3&gt;=Inputs!$B$19,0,I16-J18)</f>
        <v>103803057.210848</v>
      </c>
      <c r="K16" s="5" t="n">
        <f aca="false">IF(K$3&gt;=Inputs!$B$19,0,J16-K18)</f>
        <v>101974951.649204</v>
      </c>
      <c r="L16" s="0" t="n">
        <f aca="false">IF(L$3&gt;=Inputs!$B$19,0,K16-L18)</f>
        <v>0</v>
      </c>
    </row>
    <row r="17" customFormat="false" ht="15" hidden="false" customHeight="false" outlineLevel="0" collapsed="false">
      <c r="A17" s="0" t="s">
        <v>40</v>
      </c>
      <c r="B17" s="0" t="n">
        <f aca="false">0</f>
        <v>0</v>
      </c>
      <c r="C17" s="0" t="n">
        <f aca="false">IF(AND(C$3&gt;=1,C$3&lt;=Inputs!$B$19),B16*Inputs!$B$5,0)</f>
        <v>6063750</v>
      </c>
      <c r="D17" s="5" t="n">
        <f aca="false">IF(AND(D$3&gt;=1,D$3&lt;=Inputs!$B$19),C16*Inputs!$B$5,0)</f>
        <v>6000014.15657626</v>
      </c>
      <c r="E17" s="5" t="n">
        <f aca="false">IF(AND(E$3&gt;=1,E$3&lt;=Inputs!$B$19),D16*Inputs!$B$5,0)</f>
        <v>5932932.18137277</v>
      </c>
      <c r="F17" s="5" t="n">
        <f aca="false">IF(AND(F$3&gt;=1,F$3&lt;=Inputs!$B$19),E16*Inputs!$B$5,0)</f>
        <v>5862328.40247109</v>
      </c>
      <c r="G17" s="5" t="n">
        <f aca="false">IF(AND(G$3&gt;=1,G$3&lt;=Inputs!$B$19),F16*Inputs!$B$5,0)</f>
        <v>5788017.92517708</v>
      </c>
      <c r="H17" s="5" t="n">
        <f aca="false">IF(AND(H$3&gt;=1,H$3&lt;=Inputs!$B$19),G16*Inputs!$B$5,0)</f>
        <v>5709806.14782514</v>
      </c>
      <c r="I17" s="5" t="n">
        <f aca="false">IF(AND(I$3&gt;=1,I$3&lt;=Inputs!$B$19),H16*Inputs!$B$5,0)</f>
        <v>5627488.25216221</v>
      </c>
      <c r="J17" s="5" t="n">
        <f aca="false">IF(AND(J$3&gt;=1,J$3&lt;=Inputs!$B$19),I16*Inputs!$B$5,0)</f>
        <v>5540848.66697699</v>
      </c>
      <c r="K17" s="5" t="n">
        <f aca="false">IF(AND(K$3&gt;=1,K$3&lt;=Inputs!$B$19),J16*Inputs!$B$5,0)</f>
        <v>5449660.50356954</v>
      </c>
      <c r="L17" s="5" t="n">
        <f aca="false">IF(AND(L$3&gt;=1,L$3&lt;=Inputs!$B$19),K16*Inputs!$B$5,0)</f>
        <v>5353684.96158319</v>
      </c>
    </row>
    <row r="18" customFormat="false" ht="15" hidden="false" customHeight="false" outlineLevel="0" collapsed="false">
      <c r="A18" s="0" t="s">
        <v>41</v>
      </c>
      <c r="B18" s="0" t="n">
        <f aca="false">0</f>
        <v>0</v>
      </c>
      <c r="C18" s="5" t="n">
        <f aca="false">IF(AND(C$3&gt;=1,C$3&lt;=Inputs!$B$19),PMT(Inputs!$B$5,Inputs!$B$6,-Inputs!$B$3*Inputs!$B$4)-C17,0)</f>
        <v>1214016.06521415</v>
      </c>
      <c r="D18" s="5" t="n">
        <f aca="false">IF(AND(D$3&gt;=1,D$3&lt;=Inputs!$B$19),PMT(Inputs!$B$5,Inputs!$B$6,-Inputs!$B$3*Inputs!$B$4)-D17,0)</f>
        <v>1277751.9086379</v>
      </c>
      <c r="E18" s="5" t="n">
        <f aca="false">IF(AND(E$3&gt;=1,E$3&lt;=Inputs!$B$19),PMT(Inputs!$B$5,Inputs!$B$6,-Inputs!$B$3*Inputs!$B$4)-E17,0)</f>
        <v>1344833.88384139</v>
      </c>
      <c r="F18" s="5" t="n">
        <f aca="false">IF(AND(F$3&gt;=1,F$3&lt;=Inputs!$B$19),PMT(Inputs!$B$5,Inputs!$B$6,-Inputs!$B$3*Inputs!$B$4)-F17,0)</f>
        <v>1415437.66274306</v>
      </c>
      <c r="G18" s="5" t="n">
        <f aca="false">IF(AND(G$3&gt;=1,G$3&lt;=Inputs!$B$19),PMT(Inputs!$B$5,Inputs!$B$6,-Inputs!$B$3*Inputs!$B$4)-G17,0)</f>
        <v>1489748.14003707</v>
      </c>
      <c r="H18" s="5" t="n">
        <f aca="false">IF(AND(H$3&gt;=1,H$3&lt;=Inputs!$B$19),PMT(Inputs!$B$5,Inputs!$B$6,-Inputs!$B$3*Inputs!$B$4)-H17,0)</f>
        <v>1567959.91738901</v>
      </c>
      <c r="I18" s="5" t="n">
        <f aca="false">IF(AND(I$3&gt;=1,I$3&lt;=Inputs!$B$19),PMT(Inputs!$B$5,Inputs!$B$6,-Inputs!$B$3*Inputs!$B$4)-I17,0)</f>
        <v>1650277.81305194</v>
      </c>
      <c r="J18" s="5" t="n">
        <f aca="false">IF(AND(J$3&gt;=1,J$3&lt;=Inputs!$B$19),PMT(Inputs!$B$5,Inputs!$B$6,-Inputs!$B$3*Inputs!$B$4)-J17,0)</f>
        <v>1736917.39823717</v>
      </c>
      <c r="K18" s="5" t="n">
        <f aca="false">IF(AND(K$3&gt;=1,K$3&lt;=Inputs!$B$19),PMT(Inputs!$B$5,Inputs!$B$6,-Inputs!$B$3*Inputs!$B$4)-K17,0)</f>
        <v>1828105.56164462</v>
      </c>
      <c r="L18" s="5" t="n">
        <f aca="false">IF(AND(L$3&gt;=1,L$3&lt;=Inputs!$B$19),PMT(Inputs!$B$5,Inputs!$B$6,-Inputs!$B$3*Inputs!$B$4)-L17,0)</f>
        <v>1924081.10363096</v>
      </c>
    </row>
    <row r="19" customFormat="false" ht="15" hidden="false" customHeight="false" outlineLevel="0" collapsed="false">
      <c r="A19" s="0" t="s">
        <v>42</v>
      </c>
      <c r="B19" s="0" t="n">
        <f aca="false">B17+B18</f>
        <v>0</v>
      </c>
      <c r="C19" s="5" t="n">
        <f aca="false">C17+C18</f>
        <v>7277766.06521415</v>
      </c>
      <c r="D19" s="5" t="n">
        <f aca="false">D17+D18</f>
        <v>7277766.06521415</v>
      </c>
      <c r="E19" s="5" t="n">
        <f aca="false">E17+E18</f>
        <v>7277766.06521415</v>
      </c>
      <c r="F19" s="5" t="n">
        <f aca="false">F17+F18</f>
        <v>7277766.06521415</v>
      </c>
      <c r="G19" s="5" t="n">
        <f aca="false">G17+G18</f>
        <v>7277766.06521415</v>
      </c>
      <c r="H19" s="5" t="n">
        <f aca="false">H17+H18</f>
        <v>7277766.06521415</v>
      </c>
      <c r="I19" s="5" t="n">
        <f aca="false">I17+I18</f>
        <v>7277766.06521415</v>
      </c>
      <c r="J19" s="5" t="n">
        <f aca="false">J17+J18</f>
        <v>7277766.06521415</v>
      </c>
      <c r="K19" s="5" t="n">
        <f aca="false">K17+K18</f>
        <v>7277766.06521415</v>
      </c>
      <c r="L19" s="5" t="n">
        <f aca="false">L17+L18</f>
        <v>7277766.06521415</v>
      </c>
    </row>
    <row r="20" customFormat="false" ht="15" hidden="false" customHeight="false" outlineLevel="0" collapsed="false">
      <c r="A20" s="0" t="s">
        <v>43</v>
      </c>
      <c r="B20" s="0" t="n">
        <f aca="false">IF(B19&gt;0,B15/B19,99)</f>
        <v>99</v>
      </c>
      <c r="C20" s="0" t="n">
        <f aca="false">IF(C19&gt;0,C15/C19,99)</f>
        <v>0.250962765721469</v>
      </c>
      <c r="D20" s="0" t="n">
        <f aca="false">IF(D19&gt;0,D15/D19,99)</f>
        <v>0.834186390521383</v>
      </c>
      <c r="E20" s="0" t="n">
        <f aca="false">IF(E19&gt;0,E15/E19,99)</f>
        <v>1.17360722236249</v>
      </c>
      <c r="F20" s="0" t="n">
        <f aca="false">IF(F19&gt;0,F15/F19,99)</f>
        <v>1.21944764016468</v>
      </c>
      <c r="G20" s="0" t="n">
        <f aca="false">IF(G19&gt;0,G15/G19,99)</f>
        <v>1.26690378845027</v>
      </c>
      <c r="H20" s="0" t="n">
        <f aca="false">IF(H19&gt;0,H15/H19,99)</f>
        <v>1.3160260053188</v>
      </c>
      <c r="I20" s="0" t="n">
        <f aca="false">IF(I19&gt;0,I15/I19,99)</f>
        <v>1.36686582593354</v>
      </c>
      <c r="J20" s="0" t="n">
        <f aca="false">IF(J19&gt;0,J15/J19,99)</f>
        <v>1.41947598652391</v>
      </c>
      <c r="K20" s="0" t="n">
        <f aca="false">IF(K19&gt;0,K15/K19,99)</f>
        <v>1.47391042626227</v>
      </c>
      <c r="L20" s="0" t="n">
        <f aca="false">IF(L19&gt;0,L15/L19,99)</f>
        <v>1.53022428681303</v>
      </c>
    </row>
    <row r="21" customFormat="false" ht="15" hidden="false" customHeight="false" outlineLevel="0" collapsed="false">
      <c r="A21" s="0" t="s">
        <v>44</v>
      </c>
      <c r="B21" s="0" t="n">
        <f aca="false">0</f>
        <v>0</v>
      </c>
      <c r="C21" s="0" t="n">
        <f aca="false">IF(C$3=Inputs!$B$19,C15*(1+Inputs!$B$9)/Inputs!$B$18-(B16-C18),0)</f>
        <v>0</v>
      </c>
      <c r="D21" s="0" t="n">
        <f aca="false">IF(D$3=Inputs!$B$19,D15*(1+Inputs!$B$9)/Inputs!$B$18-(C16-D18),0)</f>
        <v>0</v>
      </c>
      <c r="E21" s="0" t="n">
        <f aca="false">IF(E$3=Inputs!$B$19,E15*(1+Inputs!$B$9)/Inputs!$B$18-(D16-E18),0)</f>
        <v>0</v>
      </c>
      <c r="F21" s="0" t="n">
        <f aca="false">IF(F$3=Inputs!$B$19,F15*(1+Inputs!$B$9)/Inputs!$B$18-(E16-F18),0)</f>
        <v>0</v>
      </c>
      <c r="G21" s="0" t="n">
        <f aca="false">IF(G$3=Inputs!$B$19,G15*(1+Inputs!$B$9)/Inputs!$B$18-(F16-G18),0)</f>
        <v>0</v>
      </c>
      <c r="H21" s="0" t="n">
        <f aca="false">IF(H$3=Inputs!$B$19,H15*(1+Inputs!$B$9)/Inputs!$B$18-(G16-H18),0)</f>
        <v>0</v>
      </c>
      <c r="I21" s="0" t="n">
        <f aca="false">IF(I$3=Inputs!$B$19,I15*(1+Inputs!$B$9)/Inputs!$B$18-(H16-I18),0)</f>
        <v>0</v>
      </c>
      <c r="J21" s="0" t="n">
        <f aca="false">IF(J$3=Inputs!$B$19,J15*(1+Inputs!$B$9)/Inputs!$B$18-(I16-J18),0)</f>
        <v>0</v>
      </c>
      <c r="K21" s="0" t="n">
        <f aca="false">IF(K$3=Inputs!$B$19,K15*(1+Inputs!$B$9)/Inputs!$B$18-(J16-K18),0)</f>
        <v>0</v>
      </c>
      <c r="L21" s="5" t="n">
        <f aca="false">IF(L$3=Inputs!$B$19,L15*(1+Inputs!$B$9)/Inputs!$B$18-(K16-L18),0)</f>
        <v>71535484.4500383</v>
      </c>
    </row>
    <row r="22" customFormat="false" ht="15" hidden="false" customHeight="false" outlineLevel="0" collapsed="false">
      <c r="A22" s="0" t="s">
        <v>45</v>
      </c>
      <c r="B22" s="0" t="n">
        <f aca="false">-Inputs!$B$3*(1-Inputs!$B$4)</f>
        <v>-49500000</v>
      </c>
      <c r="C22" s="5" t="n">
        <f aca="false">C15-C19+C21</f>
        <v>-5451317.76521415</v>
      </c>
      <c r="D22" s="5" t="n">
        <f aca="false">D15-D19+D21</f>
        <v>-1206752.66021415</v>
      </c>
      <c r="E22" s="5" t="n">
        <f aca="false">E15-E19+E21</f>
        <v>1263472.75158585</v>
      </c>
      <c r="F22" s="5" t="n">
        <f aca="false">F15-F19+F21</f>
        <v>1597088.58868185</v>
      </c>
      <c r="G22" s="5" t="n">
        <f aca="false">G15-G19+G21</f>
        <v>1942463.33426049</v>
      </c>
      <c r="H22" s="5" t="n">
        <f aca="false">H15-H19+H21</f>
        <v>2299963.33723434</v>
      </c>
      <c r="I22" s="5" t="n">
        <f aca="false">I15-I19+I21</f>
        <v>2669963.65846585</v>
      </c>
      <c r="J22" s="5" t="n">
        <f aca="false">J15-J19+J21</f>
        <v>3052848.09989592</v>
      </c>
      <c r="K22" s="5" t="n">
        <f aca="false">K15-K19+K21</f>
        <v>3449009.21820274</v>
      </c>
      <c r="L22" s="5" t="n">
        <f aca="false">L15-L19+L21</f>
        <v>75394332.7715585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46</v>
      </c>
      <c r="B3" s="2" t="n">
        <f aca="false">IRR('Cash Flow'!B22:L22)</f>
        <v>0.0547119632328983</v>
      </c>
    </row>
    <row r="4" customFormat="false" ht="15" hidden="false" customHeight="false" outlineLevel="0" collapsed="false">
      <c r="A4" s="0" t="s">
        <v>47</v>
      </c>
      <c r="B4" s="6" t="n">
        <f aca="false">SUMIF('Cash Flow'!B22:L22,"&gt;0")/-SUMIF('Cash Flow'!B22:L22,"&lt;0")</f>
        <v>1.63234137258352</v>
      </c>
    </row>
    <row r="5" customFormat="false" ht="15" hidden="false" customHeight="false" outlineLevel="0" collapsed="false">
      <c r="A5" s="0" t="s">
        <v>48</v>
      </c>
      <c r="B5" s="6" t="n">
        <f aca="false">MIN('Cash Flow'!E20:L20)</f>
        <v>1.17360722236249</v>
      </c>
    </row>
    <row r="6" customFormat="false" ht="15" hidden="false" customHeight="false" outlineLevel="0" collapsed="false">
      <c r="A6" s="0" t="s">
        <v>49</v>
      </c>
      <c r="B6" s="1" t="n">
        <f aca="false">'Cash Flow'!G10*Inputs!$B$10*(1+Inputs!$B$14)*(1+Inputs!$B$11)^4</f>
        <v>580868.849484001</v>
      </c>
    </row>
    <row r="7" customFormat="false" ht="15" hidden="false" customHeight="false" outlineLevel="0" collapsed="false">
      <c r="A7" s="0" t="s">
        <v>50</v>
      </c>
      <c r="B7" s="2" t="n">
        <f aca="false">'Cash Flow'!G15/'Cash Flow'!G7</f>
        <v>0.438105935597624</v>
      </c>
    </row>
    <row r="8" customFormat="false" ht="15" hidden="false" customHeight="false" outlineLevel="0" collapsed="false">
      <c r="A8" s="0" t="s">
        <v>51</v>
      </c>
      <c r="B8" s="1" t="n">
        <f aca="false">SUM('Cash Flow'!B22:L22)</f>
        <v>35511071.3344573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2026-10-17T12:36:52Z</dcterms:created>
  <dc:creator>openpyxl</dc:creator>
  <dc:description/>
  <dc:language>en-US</dc:language>
  <cp:lastModifiedBy/>
  <dcterms:modified xsi:type="dcterms:W3CDTF">2026-10-17T12:36:52Z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