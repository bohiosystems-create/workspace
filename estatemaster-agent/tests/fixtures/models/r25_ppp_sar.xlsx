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<sst xmlns="http://schemas.openxmlformats.org/spreadsheetml/2006/main" count="38" uniqueCount="38">
  <si>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AL MURJAN HOSPITAL PPP – AVAILABILITY-BASED (SAR)</t>
  </si>
  <si>
    <t xml:space="preserve">Availability payment, year 1 (SAR)</t>
  </si>
  <si>
    <t xml:space="preserve">Indexation</t>
  </si>
  <si>
    <t xml:space="preserve">KPI deductions share</t>
  </si>
  <si>
    <t xml:space="preserve">Facilities management a year (SAR)</t>
  </si>
  <si>
    <t xml:space="preserve">Lifecycle a year (SAR)</t>
  </si>
  <si>
    <t xml:space="preserve">Construction cost (SAR)</t>
  </si>
  <si>
    <t xml:space="preserve">Gearing</t>
  </si>
  <si>
    <t xml:space="preserve">Senior rate</t>
  </si>
  <si>
    <t xml:space="preserve">Target DSCR</t>
  </si>
  <si>
    <t xml:space="preserve">Debt tenor (years)</t>
  </si>
  <si>
    <t xml:space="preserve">Operating term (years)</t>
  </si>
  <si>
    <t xml:space="preserve">DSRA, months of debt service</t>
  </si>
  <si>
    <t xml:space="preserve">Zakat rate</t>
  </si>
  <si>
    <t xml:space="preserve">Discount rate for LLCR</t>
  </si>
  <si>
    <t xml:space="preserve">Year</t>
  </si>
  <si>
    <t xml:space="preserve">Availability payment</t>
  </si>
  <si>
    <t xml:space="preserve">Deductions</t>
  </si>
  <si>
    <t xml:space="preserve">Revenue</t>
  </si>
  <si>
    <t xml:space="preserve">FM</t>
  </si>
  <si>
    <t xml:space="preserve">Lifecycle</t>
  </si>
  <si>
    <t xml:space="preserve">CFADS</t>
  </si>
  <si>
    <t xml:space="preserve">Opening debt</t>
  </si>
  <si>
    <t xml:space="preserve">Interest</t>
  </si>
  <si>
    <t xml:space="preserve">Repayment</t>
  </si>
  <si>
    <t xml:space="preserve">Closing debt</t>
  </si>
  <si>
    <t xml:space="preserve">DSCR</t>
  </si>
  <si>
    <t xml:space="preserve">DSRA balance</t>
  </si>
  <si>
    <t xml:space="preserve">DSRA movement</t>
  </si>
  <si>
    <t xml:space="preserve">Zakat</t>
  </si>
  <si>
    <t xml:space="preserve">Equity cash flow</t>
  </si>
  <si>
    <t xml:space="preserve">Equity IRR</t>
  </si>
  <si>
    <t xml:space="preserve">Minimum DSCR</t>
  </si>
  <si>
    <t xml:space="preserve">LLCR at financial close</t>
  </si>
  <si>
    <t xml:space="preserve">Peak DSRA (SAR)</t>
  </si>
  <si>
    <t xml:space="preserve">Debt outstanding at maturity (SAR)</t>
  </si>
  <si>
    <t xml:space="preserve">Zakat over the term (SAR)</t>
  </si>
  <si>
    <t xml:space="preserve">Net profit (SAR)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</si>
</sst>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.00\x"/>
    <numFmt numFmtId="168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265000000</v>
      </c>
    </row>
    <row r="4" customFormat="false" ht="15" hidden="false" customHeight="false" outlineLevel="0" collapsed="false">
      <c r="A4" s="0" t="s">
        <v>2</v>
      </c>
      <c r="B4" s="2" t="n">
        <v>0.02</v>
      </c>
    </row>
    <row r="5" customFormat="false" ht="15" hidden="false" customHeight="false" outlineLevel="0" collapsed="false">
      <c r="A5" s="0" t="s">
        <v>3</v>
      </c>
      <c r="B5" s="2" t="n">
        <v>0.015</v>
      </c>
    </row>
    <row r="6" customFormat="false" ht="15" hidden="false" customHeight="false" outlineLevel="0" collapsed="false">
      <c r="A6" s="0" t="s">
        <v>4</v>
      </c>
      <c r="B6" s="1" t="n">
        <v>72000000</v>
      </c>
    </row>
    <row r="7" customFormat="false" ht="15" hidden="false" customHeight="false" outlineLevel="0" collapsed="false">
      <c r="A7" s="0" t="s">
        <v>5</v>
      </c>
      <c r="B7" s="1" t="n">
        <v>18000000</v>
      </c>
    </row>
    <row r="8" customFormat="false" ht="15" hidden="false" customHeight="false" outlineLevel="0" collapsed="false">
      <c r="A8" s="0" t="s">
        <v>6</v>
      </c>
      <c r="B8" s="1" t="n">
        <v>1950000000</v>
      </c>
    </row>
    <row r="9" customFormat="false" ht="15" hidden="false" customHeight="false" outlineLevel="0" collapsed="false">
      <c r="A9" s="0" t="s">
        <v>7</v>
      </c>
      <c r="B9" s="2" t="n">
        <v>0.82</v>
      </c>
    </row>
    <row r="10" customFormat="false" ht="15" hidden="false" customHeight="false" outlineLevel="0" collapsed="false">
      <c r="A10" s="0" t="s">
        <v>8</v>
      </c>
      <c r="B10" s="2" t="n">
        <v>0.055</v>
      </c>
    </row>
    <row r="11" customFormat="false" ht="15" hidden="false" customHeight="false" outlineLevel="0" collapsed="false">
      <c r="A11" s="0" t="s">
        <v>9</v>
      </c>
      <c r="B11" s="3" t="n">
        <v>1.3</v>
      </c>
    </row>
    <row r="12" customFormat="false" ht="15" hidden="false" customHeight="false" outlineLevel="0" collapsed="false">
      <c r="A12" s="0" t="s">
        <v>10</v>
      </c>
      <c r="B12" s="4" t="n">
        <v>22</v>
      </c>
    </row>
    <row r="13" customFormat="false" ht="15" hidden="false" customHeight="false" outlineLevel="0" collapsed="false">
      <c r="A13" s="0" t="s">
        <v>11</v>
      </c>
      <c r="B13" s="4" t="n">
        <v>25</v>
      </c>
    </row>
    <row r="14" customFormat="false" ht="15" hidden="false" customHeight="false" outlineLevel="0" collapsed="false">
      <c r="A14" s="0" t="s">
        <v>12</v>
      </c>
      <c r="B14" s="4" t="n">
        <v>6</v>
      </c>
    </row>
    <row r="15" customFormat="false" ht="15" hidden="false" customHeight="false" outlineLevel="0" collapsed="false">
      <c r="A15" s="0" t="s">
        <v>13</v>
      </c>
      <c r="B15" s="2" t="n">
        <v>0.025</v>
      </c>
    </row>
    <row r="16" customFormat="false" ht="15" hidden="false" customHeight="false" outlineLevel="0" collapsed="false">
      <c r="A16" s="0" t="s">
        <v>14</v>
      </c>
      <c r="B16" s="2" t="n">
        <v>0.055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15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</row>
    <row r="4" customFormat="false" ht="15" hidden="false" customHeight="false" outlineLevel="0" collapsed="false">
      <c r="A4" s="0" t="s">
        <v>16</v>
      </c>
      <c r="B4" s="0" t="n">
        <f aca="false">0</f>
        <v>0</v>
      </c>
      <c r="C4" s="0" t="n">
        <f aca="false">IF(C$3&lt;=Inputs!$B$13,Inputs!$B$3*(1+Inputs!$B$4)^(C$3-1),0)</f>
        <v>265000000</v>
      </c>
      <c r="D4" s="0" t="n">
        <f aca="false">IF(D$3&lt;=Inputs!$B$13,Inputs!$B$3*(1+Inputs!$B$4)^(D$3-1),0)</f>
        <v>270300000</v>
      </c>
      <c r="E4" s="0" t="n">
        <f aca="false">IF(E$3&lt;=Inputs!$B$13,Inputs!$B$3*(1+Inputs!$B$4)^(E$3-1),0)</f>
        <v>275706000</v>
      </c>
      <c r="F4" s="0" t="n">
        <f aca="false">IF(F$3&lt;=Inputs!$B$13,Inputs!$B$3*(1+Inputs!$B$4)^(F$3-1),0)</f>
        <v>281220120</v>
      </c>
      <c r="G4" s="0" t="n">
        <f aca="false">IF(G$3&lt;=Inputs!$B$13,Inputs!$B$3*(1+Inputs!$B$4)^(G$3-1),0)</f>
        <v>286844522.4</v>
      </c>
      <c r="H4" s="0" t="n">
        <f aca="false">IF(H$3&lt;=Inputs!$B$13,Inputs!$B$3*(1+Inputs!$B$4)^(H$3-1),0)</f>
        <v>292581412.848</v>
      </c>
      <c r="I4" s="0" t="n">
        <f aca="false">IF(I$3&lt;=Inputs!$B$13,Inputs!$B$3*(1+Inputs!$B$4)^(I$3-1),0)</f>
        <v>298433041.10496</v>
      </c>
      <c r="J4" s="0" t="n">
        <f aca="false">IF(J$3&lt;=Inputs!$B$13,Inputs!$B$3*(1+Inputs!$B$4)^(J$3-1),0)</f>
        <v>304401701.927059</v>
      </c>
      <c r="K4" s="0" t="n">
        <f aca="false">IF(K$3&lt;=Inputs!$B$13,Inputs!$B$3*(1+Inputs!$B$4)^(K$3-1),0)</f>
        <v>310489735.9656</v>
      </c>
      <c r="L4" s="0" t="n">
        <f aca="false">IF(L$3&lt;=Inputs!$B$13,Inputs!$B$3*(1+Inputs!$B$4)^(L$3-1),0)</f>
        <v>316699530.684912</v>
      </c>
      <c r="M4" s="0" t="n">
        <f aca="false">IF(M$3&lt;=Inputs!$B$13,Inputs!$B$3*(1+Inputs!$B$4)^(M$3-1),0)</f>
        <v>323033521.298611</v>
      </c>
      <c r="N4" s="0" t="n">
        <f aca="false">IF(N$3&lt;=Inputs!$B$13,Inputs!$B$3*(1+Inputs!$B$4)^(N$3-1),0)</f>
        <v>329494191.724583</v>
      </c>
      <c r="O4" s="0" t="n">
        <f aca="false">IF(O$3&lt;=Inputs!$B$13,Inputs!$B$3*(1+Inputs!$B$4)^(O$3-1),0)</f>
        <v>336084075.559075</v>
      </c>
      <c r="P4" s="0" t="n">
        <f aca="false">IF(P$3&lt;=Inputs!$B$13,Inputs!$B$3*(1+Inputs!$B$4)^(P$3-1),0)</f>
        <v>342805757.070256</v>
      </c>
      <c r="Q4" s="0" t="n">
        <f aca="false">IF(Q$3&lt;=Inputs!$B$13,Inputs!$B$3*(1+Inputs!$B$4)^(Q$3-1),0)</f>
        <v>349661872.211661</v>
      </c>
      <c r="R4" s="0" t="n">
        <f aca="false">IF(R$3&lt;=Inputs!$B$13,Inputs!$B$3*(1+Inputs!$B$4)^(R$3-1),0)</f>
        <v>356655109.655894</v>
      </c>
      <c r="S4" s="0" t="n">
        <f aca="false">IF(S$3&lt;=Inputs!$B$13,Inputs!$B$3*(1+Inputs!$B$4)^(S$3-1),0)</f>
        <v>363788211.849012</v>
      </c>
      <c r="T4" s="0" t="n">
        <f aca="false">IF(T$3&lt;=Inputs!$B$13,Inputs!$B$3*(1+Inputs!$B$4)^(T$3-1),0)</f>
        <v>371063976.085993</v>
      </c>
      <c r="U4" s="0" t="n">
        <f aca="false">IF(U$3&lt;=Inputs!$B$13,Inputs!$B$3*(1+Inputs!$B$4)^(U$3-1),0)</f>
        <v>378485255.607712</v>
      </c>
      <c r="V4" s="0" t="n">
        <f aca="false">IF(V$3&lt;=Inputs!$B$13,Inputs!$B$3*(1+Inputs!$B$4)^(V$3-1),0)</f>
        <v>386054960.719867</v>
      </c>
      <c r="W4" s="0" t="n">
        <f aca="false">IF(W$3&lt;=Inputs!$B$13,Inputs!$B$3*(1+Inputs!$B$4)^(W$3-1),0)</f>
        <v>393776059.934264</v>
      </c>
      <c r="X4" s="0" t="n">
        <f aca="false">IF(X$3&lt;=Inputs!$B$13,Inputs!$B$3*(1+Inputs!$B$4)^(X$3-1),0)</f>
        <v>401651581.132949</v>
      </c>
      <c r="Y4" s="0" t="n">
        <f aca="false">IF(Y$3&lt;=Inputs!$B$13,Inputs!$B$3*(1+Inputs!$B$4)^(Y$3-1),0)</f>
        <v>409684612.755608</v>
      </c>
      <c r="Z4" s="0" t="n">
        <f aca="false">IF(Z$3&lt;=Inputs!$B$13,Inputs!$B$3*(1+Inputs!$B$4)^(Z$3-1),0)</f>
        <v>417878305.010721</v>
      </c>
      <c r="AA4" s="0" t="n">
        <f aca="false">IF(AA$3&lt;=Inputs!$B$13,Inputs!$B$3*(1+Inputs!$B$4)^(AA$3-1),0)</f>
        <v>426235871.110935</v>
      </c>
    </row>
    <row r="5" customFormat="false" ht="15" hidden="false" customHeight="false" outlineLevel="0" collapsed="false">
      <c r="A5" s="0" t="s">
        <v>17</v>
      </c>
      <c r="B5" s="0" t="n">
        <f aca="false">B4*Inputs!$B$5</f>
        <v>0</v>
      </c>
      <c r="C5" s="0" t="n">
        <f aca="false">C4*Inputs!$B$5</f>
        <v>3975000</v>
      </c>
      <c r="D5" s="0" t="n">
        <f aca="false">D4*Inputs!$B$5</f>
        <v>4054500</v>
      </c>
      <c r="E5" s="0" t="n">
        <f aca="false">E4*Inputs!$B$5</f>
        <v>4135590</v>
      </c>
      <c r="F5" s="0" t="n">
        <f aca="false">F4*Inputs!$B$5</f>
        <v>4218301.8</v>
      </c>
      <c r="G5" s="0" t="n">
        <f aca="false">G4*Inputs!$B$5</f>
        <v>4302667.836</v>
      </c>
      <c r="H5" s="0" t="n">
        <f aca="false">H4*Inputs!$B$5</f>
        <v>4388721.19272</v>
      </c>
      <c r="I5" s="0" t="n">
        <f aca="false">I4*Inputs!$B$5</f>
        <v>4476495.6165744</v>
      </c>
      <c r="J5" s="0" t="n">
        <f aca="false">J4*Inputs!$B$5</f>
        <v>4566025.52890589</v>
      </c>
      <c r="K5" s="0" t="n">
        <f aca="false">K4*Inputs!$B$5</f>
        <v>4657346.03948401</v>
      </c>
      <c r="L5" s="0" t="n">
        <f aca="false">L4*Inputs!$B$5</f>
        <v>4750492.96027369</v>
      </c>
      <c r="M5" s="0" t="n">
        <f aca="false">M4*Inputs!$B$5</f>
        <v>4845502.81947916</v>
      </c>
      <c r="N5" s="0" t="n">
        <f aca="false">N4*Inputs!$B$5</f>
        <v>4942412.87586874</v>
      </c>
      <c r="O5" s="0" t="n">
        <f aca="false">O4*Inputs!$B$5</f>
        <v>5041261.13338612</v>
      </c>
      <c r="P5" s="0" t="n">
        <f aca="false">P4*Inputs!$B$5</f>
        <v>5142086.35605384</v>
      </c>
      <c r="Q5" s="0" t="n">
        <f aca="false">Q4*Inputs!$B$5</f>
        <v>5244928.08317492</v>
      </c>
      <c r="R5" s="0" t="n">
        <f aca="false">R4*Inputs!$B$5</f>
        <v>5349826.64483842</v>
      </c>
      <c r="S5" s="0" t="n">
        <f aca="false">S4*Inputs!$B$5</f>
        <v>5456823.17773518</v>
      </c>
      <c r="T5" s="0" t="n">
        <f aca="false">T4*Inputs!$B$5</f>
        <v>5565959.64128989</v>
      </c>
      <c r="U5" s="0" t="n">
        <f aca="false">U4*Inputs!$B$5</f>
        <v>5677278.83411569</v>
      </c>
      <c r="V5" s="0" t="n">
        <f aca="false">V4*Inputs!$B$5</f>
        <v>5790824.410798</v>
      </c>
      <c r="W5" s="0" t="n">
        <f aca="false">W4*Inputs!$B$5</f>
        <v>5906640.89901396</v>
      </c>
      <c r="X5" s="0" t="n">
        <f aca="false">X4*Inputs!$B$5</f>
        <v>6024773.71699424</v>
      </c>
      <c r="Y5" s="0" t="n">
        <f aca="false">Y4*Inputs!$B$5</f>
        <v>6145269.19133413</v>
      </c>
      <c r="Z5" s="0" t="n">
        <f aca="false">Z4*Inputs!$B$5</f>
        <v>6268174.57516081</v>
      </c>
      <c r="AA5" s="0" t="n">
        <f aca="false">AA4*Inputs!$B$5</f>
        <v>6393538.06666402</v>
      </c>
    </row>
    <row r="6" customFormat="false" ht="15" hidden="false" customHeight="false" outlineLevel="0" collapsed="false">
      <c r="A6" s="0" t="s">
        <v>18</v>
      </c>
      <c r="B6" s="0" t="n">
        <f aca="false">B4-B5</f>
        <v>0</v>
      </c>
      <c r="C6" s="0" t="n">
        <f aca="false">C4-C5</f>
        <v>261025000</v>
      </c>
      <c r="D6" s="0" t="n">
        <f aca="false">D4-D5</f>
        <v>266245500</v>
      </c>
      <c r="E6" s="0" t="n">
        <f aca="false">E4-E5</f>
        <v>271570410</v>
      </c>
      <c r="F6" s="0" t="n">
        <f aca="false">F4-F5</f>
        <v>277001818.2</v>
      </c>
      <c r="G6" s="0" t="n">
        <f aca="false">G4-G5</f>
        <v>282541854.564</v>
      </c>
      <c r="H6" s="0" t="n">
        <f aca="false">H4-H5</f>
        <v>288192691.65528</v>
      </c>
      <c r="I6" s="0" t="n">
        <f aca="false">I4-I5</f>
        <v>293956545.488386</v>
      </c>
      <c r="J6" s="0" t="n">
        <f aca="false">J4-J5</f>
        <v>299835676.398153</v>
      </c>
      <c r="K6" s="0" t="n">
        <f aca="false">K4-K5</f>
        <v>305832389.926116</v>
      </c>
      <c r="L6" s="0" t="n">
        <f aca="false">L4-L5</f>
        <v>311949037.724639</v>
      </c>
      <c r="M6" s="0" t="n">
        <f aca="false">M4-M5</f>
        <v>318188018.479132</v>
      </c>
      <c r="N6" s="0" t="n">
        <f aca="false">N4-N5</f>
        <v>324551778.848714</v>
      </c>
      <c r="O6" s="0" t="n">
        <f aca="false">O4-O5</f>
        <v>331042814.425688</v>
      </c>
      <c r="P6" s="0" t="n">
        <f aca="false">P4-P5</f>
        <v>337663670.714202</v>
      </c>
      <c r="Q6" s="0" t="n">
        <f aca="false">Q4-Q5</f>
        <v>344416944.128486</v>
      </c>
      <c r="R6" s="0" t="n">
        <f aca="false">R4-R5</f>
        <v>351305283.011056</v>
      </c>
      <c r="S6" s="0" t="n">
        <f aca="false">S4-S5</f>
        <v>358331388.671277</v>
      </c>
      <c r="T6" s="0" t="n">
        <f aca="false">T4-T5</f>
        <v>365498016.444703</v>
      </c>
      <c r="U6" s="0" t="n">
        <f aca="false">U4-U5</f>
        <v>372807976.773597</v>
      </c>
      <c r="V6" s="0" t="n">
        <f aca="false">V4-V5</f>
        <v>380264136.309069</v>
      </c>
      <c r="W6" s="0" t="n">
        <f aca="false">W4-W5</f>
        <v>387869419.03525</v>
      </c>
      <c r="X6" s="0" t="n">
        <f aca="false">X4-X5</f>
        <v>395626807.415955</v>
      </c>
      <c r="Y6" s="0" t="n">
        <f aca="false">Y4-Y5</f>
        <v>403539343.564274</v>
      </c>
      <c r="Z6" s="0" t="n">
        <f aca="false">Z4-Z5</f>
        <v>411610130.43556</v>
      </c>
      <c r="AA6" s="0" t="n">
        <f aca="false">AA4-AA5</f>
        <v>419842333.044271</v>
      </c>
    </row>
    <row r="7" customFormat="false" ht="15" hidden="false" customHeight="false" outlineLevel="0" collapsed="false">
      <c r="A7" s="0" t="s">
        <v>19</v>
      </c>
      <c r="B7" s="0" t="n">
        <f aca="false">0</f>
        <v>0</v>
      </c>
      <c r="C7" s="0" t="n">
        <f aca="false">IF(C$3&lt;=Inputs!$B$13,Inputs!$B$6*(1+Inputs!$B$4)^(C$3-1),0)</f>
        <v>72000000</v>
      </c>
      <c r="D7" s="0" t="n">
        <f aca="false">IF(D$3&lt;=Inputs!$B$13,Inputs!$B$6*(1+Inputs!$B$4)^(D$3-1),0)</f>
        <v>73440000</v>
      </c>
      <c r="E7" s="0" t="n">
        <f aca="false">IF(E$3&lt;=Inputs!$B$13,Inputs!$B$6*(1+Inputs!$B$4)^(E$3-1),0)</f>
        <v>74908800</v>
      </c>
      <c r="F7" s="0" t="n">
        <f aca="false">IF(F$3&lt;=Inputs!$B$13,Inputs!$B$6*(1+Inputs!$B$4)^(F$3-1),0)</f>
        <v>76406976</v>
      </c>
      <c r="G7" s="0" t="n">
        <f aca="false">IF(G$3&lt;=Inputs!$B$13,Inputs!$B$6*(1+Inputs!$B$4)^(G$3-1),0)</f>
        <v>77935115.52</v>
      </c>
      <c r="H7" s="0" t="n">
        <f aca="false">IF(H$3&lt;=Inputs!$B$13,Inputs!$B$6*(1+Inputs!$B$4)^(H$3-1),0)</f>
        <v>79493817.8304</v>
      </c>
      <c r="I7" s="0" t="n">
        <f aca="false">IF(I$3&lt;=Inputs!$B$13,Inputs!$B$6*(1+Inputs!$B$4)^(I$3-1),0)</f>
        <v>81083694.187008</v>
      </c>
      <c r="J7" s="0" t="n">
        <f aca="false">IF(J$3&lt;=Inputs!$B$13,Inputs!$B$6*(1+Inputs!$B$4)^(J$3-1),0)</f>
        <v>82705368.0707482</v>
      </c>
      <c r="K7" s="0" t="n">
        <f aca="false">IF(K$3&lt;=Inputs!$B$13,Inputs!$B$6*(1+Inputs!$B$4)^(K$3-1),0)</f>
        <v>84359475.4321631</v>
      </c>
      <c r="L7" s="0" t="n">
        <f aca="false">IF(L$3&lt;=Inputs!$B$13,Inputs!$B$6*(1+Inputs!$B$4)^(L$3-1),0)</f>
        <v>86046664.9408064</v>
      </c>
      <c r="M7" s="0" t="n">
        <f aca="false">IF(M$3&lt;=Inputs!$B$13,Inputs!$B$6*(1+Inputs!$B$4)^(M$3-1),0)</f>
        <v>87767598.2396225</v>
      </c>
      <c r="N7" s="0" t="n">
        <f aca="false">IF(N$3&lt;=Inputs!$B$13,Inputs!$B$6*(1+Inputs!$B$4)^(N$3-1),0)</f>
        <v>89522950.204415</v>
      </c>
      <c r="O7" s="0" t="n">
        <f aca="false">IF(O$3&lt;=Inputs!$B$13,Inputs!$B$6*(1+Inputs!$B$4)^(O$3-1),0)</f>
        <v>91313409.2085033</v>
      </c>
      <c r="P7" s="0" t="n">
        <f aca="false">IF(P$3&lt;=Inputs!$B$13,Inputs!$B$6*(1+Inputs!$B$4)^(P$3-1),0)</f>
        <v>93139677.3926733</v>
      </c>
      <c r="Q7" s="0" t="n">
        <f aca="false">IF(Q$3&lt;=Inputs!$B$13,Inputs!$B$6*(1+Inputs!$B$4)^(Q$3-1),0)</f>
        <v>95002470.9405268</v>
      </c>
      <c r="R7" s="0" t="n">
        <f aca="false">IF(R$3&lt;=Inputs!$B$13,Inputs!$B$6*(1+Inputs!$B$4)^(R$3-1),0)</f>
        <v>96902520.3593373</v>
      </c>
      <c r="S7" s="0" t="n">
        <f aca="false">IF(S$3&lt;=Inputs!$B$13,Inputs!$B$6*(1+Inputs!$B$4)^(S$3-1),0)</f>
        <v>98840570.7665241</v>
      </c>
      <c r="T7" s="0" t="n">
        <f aca="false">IF(T$3&lt;=Inputs!$B$13,Inputs!$B$6*(1+Inputs!$B$4)^(T$3-1),0)</f>
        <v>100817382.181855</v>
      </c>
      <c r="U7" s="0" t="n">
        <f aca="false">IF(U$3&lt;=Inputs!$B$13,Inputs!$B$6*(1+Inputs!$B$4)^(U$3-1),0)</f>
        <v>102833729.825492</v>
      </c>
      <c r="V7" s="0" t="n">
        <f aca="false">IF(V$3&lt;=Inputs!$B$13,Inputs!$B$6*(1+Inputs!$B$4)^(V$3-1),0)</f>
        <v>104890404.422002</v>
      </c>
      <c r="W7" s="0" t="n">
        <f aca="false">IF(W$3&lt;=Inputs!$B$13,Inputs!$B$6*(1+Inputs!$B$4)^(W$3-1),0)</f>
        <v>106988212.510442</v>
      </c>
      <c r="X7" s="0" t="n">
        <f aca="false">IF(X$3&lt;=Inputs!$B$13,Inputs!$B$6*(1+Inputs!$B$4)^(X$3-1),0)</f>
        <v>109127976.76065</v>
      </c>
      <c r="Y7" s="0" t="n">
        <f aca="false">IF(Y$3&lt;=Inputs!$B$13,Inputs!$B$6*(1+Inputs!$B$4)^(Y$3-1),0)</f>
        <v>111310536.295863</v>
      </c>
      <c r="Z7" s="0" t="n">
        <f aca="false">IF(Z$3&lt;=Inputs!$B$13,Inputs!$B$6*(1+Inputs!$B$4)^(Z$3-1),0)</f>
        <v>113536747.021781</v>
      </c>
      <c r="AA7" s="0" t="n">
        <f aca="false">IF(AA$3&lt;=Inputs!$B$13,Inputs!$B$6*(1+Inputs!$B$4)^(AA$3-1),0)</f>
        <v>115807481.962216</v>
      </c>
    </row>
    <row r="8" customFormat="false" ht="15" hidden="false" customHeight="false" outlineLevel="0" collapsed="false">
      <c r="A8" s="0" t="s">
        <v>20</v>
      </c>
      <c r="B8" s="0" t="n">
        <f aca="false">0</f>
        <v>0</v>
      </c>
      <c r="C8" s="0" t="n">
        <f aca="false">IF(C$3&lt;=Inputs!$B$13,Inputs!$B$7*(1+Inputs!$B$4)^(C$3-1),0)</f>
        <v>18000000</v>
      </c>
      <c r="D8" s="0" t="n">
        <f aca="false">IF(D$3&lt;=Inputs!$B$13,Inputs!$B$7*(1+Inputs!$B$4)^(D$3-1),0)</f>
        <v>18360000</v>
      </c>
      <c r="E8" s="0" t="n">
        <f aca="false">IF(E$3&lt;=Inputs!$B$13,Inputs!$B$7*(1+Inputs!$B$4)^(E$3-1),0)</f>
        <v>18727200</v>
      </c>
      <c r="F8" s="0" t="n">
        <f aca="false">IF(F$3&lt;=Inputs!$B$13,Inputs!$B$7*(1+Inputs!$B$4)^(F$3-1),0)</f>
        <v>19101744</v>
      </c>
      <c r="G8" s="0" t="n">
        <f aca="false">IF(G$3&lt;=Inputs!$B$13,Inputs!$B$7*(1+Inputs!$B$4)^(G$3-1),0)</f>
        <v>19483778.88</v>
      </c>
      <c r="H8" s="0" t="n">
        <f aca="false">IF(H$3&lt;=Inputs!$B$13,Inputs!$B$7*(1+Inputs!$B$4)^(H$3-1),0)</f>
        <v>19873454.4576</v>
      </c>
      <c r="I8" s="0" t="n">
        <f aca="false">IF(I$3&lt;=Inputs!$B$13,Inputs!$B$7*(1+Inputs!$B$4)^(I$3-1),0)</f>
        <v>20270923.546752</v>
      </c>
      <c r="J8" s="0" t="n">
        <f aca="false">IF(J$3&lt;=Inputs!$B$13,Inputs!$B$7*(1+Inputs!$B$4)^(J$3-1),0)</f>
        <v>20676342.017687</v>
      </c>
      <c r="K8" s="0" t="n">
        <f aca="false">IF(K$3&lt;=Inputs!$B$13,Inputs!$B$7*(1+Inputs!$B$4)^(K$3-1),0)</f>
        <v>21089868.8580408</v>
      </c>
      <c r="L8" s="0" t="n">
        <f aca="false">IF(L$3&lt;=Inputs!$B$13,Inputs!$B$7*(1+Inputs!$B$4)^(L$3-1),0)</f>
        <v>21511666.2352016</v>
      </c>
      <c r="M8" s="0" t="n">
        <f aca="false">IF(M$3&lt;=Inputs!$B$13,Inputs!$B$7*(1+Inputs!$B$4)^(M$3-1),0)</f>
        <v>21941899.5599056</v>
      </c>
      <c r="N8" s="0" t="n">
        <f aca="false">IF(N$3&lt;=Inputs!$B$13,Inputs!$B$7*(1+Inputs!$B$4)^(N$3-1),0)</f>
        <v>22380737.5511037</v>
      </c>
      <c r="O8" s="0" t="n">
        <f aca="false">IF(O$3&lt;=Inputs!$B$13,Inputs!$B$7*(1+Inputs!$B$4)^(O$3-1),0)</f>
        <v>22828352.3021258</v>
      </c>
      <c r="P8" s="0" t="n">
        <f aca="false">IF(P$3&lt;=Inputs!$B$13,Inputs!$B$7*(1+Inputs!$B$4)^(P$3-1),0)</f>
        <v>23284919.3481683</v>
      </c>
      <c r="Q8" s="0" t="n">
        <f aca="false">IF(Q$3&lt;=Inputs!$B$13,Inputs!$B$7*(1+Inputs!$B$4)^(Q$3-1),0)</f>
        <v>23750617.7351317</v>
      </c>
      <c r="R8" s="0" t="n">
        <f aca="false">IF(R$3&lt;=Inputs!$B$13,Inputs!$B$7*(1+Inputs!$B$4)^(R$3-1),0)</f>
        <v>24225630.0898343</v>
      </c>
      <c r="S8" s="0" t="n">
        <f aca="false">IF(S$3&lt;=Inputs!$B$13,Inputs!$B$7*(1+Inputs!$B$4)^(S$3-1),0)</f>
        <v>24710142.691631</v>
      </c>
      <c r="T8" s="0" t="n">
        <f aca="false">IF(T$3&lt;=Inputs!$B$13,Inputs!$B$7*(1+Inputs!$B$4)^(T$3-1),0)</f>
        <v>25204345.5454636</v>
      </c>
      <c r="U8" s="0" t="n">
        <f aca="false">IF(U$3&lt;=Inputs!$B$13,Inputs!$B$7*(1+Inputs!$B$4)^(U$3-1),0)</f>
        <v>25708432.4563729</v>
      </c>
      <c r="V8" s="0" t="n">
        <f aca="false">IF(V$3&lt;=Inputs!$B$13,Inputs!$B$7*(1+Inputs!$B$4)^(V$3-1),0)</f>
        <v>26222601.1055004</v>
      </c>
      <c r="W8" s="0" t="n">
        <f aca="false">IF(W$3&lt;=Inputs!$B$13,Inputs!$B$7*(1+Inputs!$B$4)^(W$3-1),0)</f>
        <v>26747053.1276104</v>
      </c>
      <c r="X8" s="0" t="n">
        <f aca="false">IF(X$3&lt;=Inputs!$B$13,Inputs!$B$7*(1+Inputs!$B$4)^(X$3-1),0)</f>
        <v>27281994.1901626</v>
      </c>
      <c r="Y8" s="0" t="n">
        <f aca="false">IF(Y$3&lt;=Inputs!$B$13,Inputs!$B$7*(1+Inputs!$B$4)^(Y$3-1),0)</f>
        <v>27827634.0739658</v>
      </c>
      <c r="Z8" s="0" t="n">
        <f aca="false">IF(Z$3&lt;=Inputs!$B$13,Inputs!$B$7*(1+Inputs!$B$4)^(Z$3-1),0)</f>
        <v>28384186.7554452</v>
      </c>
      <c r="AA8" s="0" t="n">
        <f aca="false">IF(AA$3&lt;=Inputs!$B$13,Inputs!$B$7*(1+Inputs!$B$4)^(AA$3-1),0)</f>
        <v>28951870.4905541</v>
      </c>
    </row>
    <row r="9" customFormat="false" ht="15" hidden="false" customHeight="false" outlineLevel="0" collapsed="false">
      <c r="A9" s="0" t="s">
        <v>21</v>
      </c>
      <c r="B9" s="0" t="n">
        <f aca="false">B6-B7-B8</f>
        <v>0</v>
      </c>
      <c r="C9" s="0" t="n">
        <f aca="false">C6-C7-C8</f>
        <v>171025000</v>
      </c>
      <c r="D9" s="0" t="n">
        <f aca="false">D6-D7-D8</f>
        <v>174445500</v>
      </c>
      <c r="E9" s="0" t="n">
        <f aca="false">E6-E7-E8</f>
        <v>177934410</v>
      </c>
      <c r="F9" s="0" t="n">
        <f aca="false">F6-F7-F8</f>
        <v>181493098.2</v>
      </c>
      <c r="G9" s="0" t="n">
        <f aca="false">G6-G7-G8</f>
        <v>185122960.164</v>
      </c>
      <c r="H9" s="0" t="n">
        <f aca="false">H6-H7-H8</f>
        <v>188825419.36728</v>
      </c>
      <c r="I9" s="0" t="n">
        <f aca="false">I6-I7-I8</f>
        <v>192601927.754626</v>
      </c>
      <c r="J9" s="0" t="n">
        <f aca="false">J6-J7-J8</f>
        <v>196453966.309718</v>
      </c>
      <c r="K9" s="0" t="n">
        <f aca="false">K6-K7-K8</f>
        <v>200383045.635913</v>
      </c>
      <c r="L9" s="0" t="n">
        <f aca="false">L6-L7-L8</f>
        <v>204390706.548631</v>
      </c>
      <c r="M9" s="0" t="n">
        <f aca="false">M6-M7-M8</f>
        <v>208478520.679603</v>
      </c>
      <c r="N9" s="0" t="n">
        <f aca="false">N6-N7-N8</f>
        <v>212648091.093195</v>
      </c>
      <c r="O9" s="0" t="n">
        <f aca="false">O6-O7-O8</f>
        <v>216901052.915059</v>
      </c>
      <c r="P9" s="0" t="n">
        <f aca="false">P6-P7-P8</f>
        <v>221239073.973361</v>
      </c>
      <c r="Q9" s="0" t="n">
        <f aca="false">Q6-Q7-Q8</f>
        <v>225663855.452828</v>
      </c>
      <c r="R9" s="0" t="n">
        <f aca="false">R6-R7-R8</f>
        <v>230177132.561884</v>
      </c>
      <c r="S9" s="0" t="n">
        <f aca="false">S6-S7-S8</f>
        <v>234780675.213122</v>
      </c>
      <c r="T9" s="0" t="n">
        <f aca="false">T6-T7-T8</f>
        <v>239476288.717384</v>
      </c>
      <c r="U9" s="0" t="n">
        <f aca="false">U6-U7-U8</f>
        <v>244265814.491732</v>
      </c>
      <c r="V9" s="0" t="n">
        <f aca="false">V6-V7-V8</f>
        <v>249151130.781567</v>
      </c>
      <c r="W9" s="0" t="n">
        <f aca="false">W6-W7-W8</f>
        <v>254134153.397198</v>
      </c>
      <c r="X9" s="0" t="n">
        <f aca="false">X6-X7-X8</f>
        <v>259216836.465142</v>
      </c>
      <c r="Y9" s="0" t="n">
        <f aca="false">Y6-Y7-Y8</f>
        <v>264401173.194445</v>
      </c>
      <c r="Z9" s="0" t="n">
        <f aca="false">Z6-Z7-Z8</f>
        <v>269689196.658334</v>
      </c>
      <c r="AA9" s="0" t="n">
        <f aca="false">AA6-AA7-AA8</f>
        <v>275082980.591501</v>
      </c>
    </row>
    <row r="10" customFormat="false" ht="15" hidden="false" customHeight="false" outlineLevel="0" collapsed="false">
      <c r="A10" s="0" t="s">
        <v>22</v>
      </c>
      <c r="B10" s="0" t="n">
        <f aca="false">Inputs!$B$8*Inputs!$B$9</f>
        <v>1599000000</v>
      </c>
      <c r="C10" s="0" t="n">
        <f aca="false">B13</f>
        <v>1599000000</v>
      </c>
      <c r="D10" s="0" t="n">
        <f aca="false">C13</f>
        <v>1555387307.69231</v>
      </c>
      <c r="E10" s="0" t="n">
        <f aca="false">D13</f>
        <v>1506744763.46154</v>
      </c>
      <c r="F10" s="0" t="n">
        <f aca="false">E13</f>
        <v>1452743102.375</v>
      </c>
      <c r="G10" s="0" t="n">
        <f aca="false">F13</f>
        <v>1393033897.46716</v>
      </c>
      <c r="H10" s="0" t="n">
        <f aca="false">G13</f>
        <v>1327248484.77863</v>
      </c>
      <c r="I10" s="0" t="n">
        <f aca="false">H13</f>
        <v>1254996828.85124</v>
      </c>
      <c r="J10" s="0" t="n">
        <f aca="false">I13</f>
        <v>1175866325.39603</v>
      </c>
      <c r="K10" s="0" t="n">
        <f aca="false">J13</f>
        <v>1089420537.66996</v>
      </c>
      <c r="L10" s="0" t="n">
        <f aca="false">K13</f>
        <v>995197862.906486</v>
      </c>
      <c r="M10" s="0" t="n">
        <f aca="false">L13</f>
        <v>892710124.944319</v>
      </c>
      <c r="N10" s="0" t="n">
        <f aca="false">M13</f>
        <v>781441088.985792</v>
      </c>
      <c r="O10" s="0" t="n">
        <f aca="false">N13</f>
        <v>660844894.192938</v>
      </c>
      <c r="P10" s="0" t="n">
        <f aca="false">O13</f>
        <v>530344399.592734</v>
      </c>
      <c r="Q10" s="0" t="n">
        <f aca="false">P13</f>
        <v>389329438.513903</v>
      </c>
      <c r="R10" s="0" t="n">
        <f aca="false">Q13</f>
        <v>237154976.514608</v>
      </c>
      <c r="S10" s="0" t="n">
        <f aca="false">R13</f>
        <v>73139167.4830007</v>
      </c>
      <c r="T10" s="0" t="n">
        <f aca="false">S13</f>
        <v>0</v>
      </c>
      <c r="U10" s="0" t="n">
        <f aca="false">T13</f>
        <v>0</v>
      </c>
      <c r="V10" s="0" t="n">
        <f aca="false">U13</f>
        <v>0</v>
      </c>
      <c r="W10" s="0" t="n">
        <f aca="false">V13</f>
        <v>0</v>
      </c>
      <c r="X10" s="0" t="n">
        <f aca="false">W13</f>
        <v>0</v>
      </c>
      <c r="Y10" s="0" t="n">
        <f aca="false">X13</f>
        <v>0</v>
      </c>
      <c r="Z10" s="0" t="n">
        <f aca="false">Y13</f>
        <v>0</v>
      </c>
      <c r="AA10" s="0" t="n">
        <f aca="false">Z13</f>
        <v>0</v>
      </c>
    </row>
    <row r="11" customFormat="false" ht="15" hidden="false" customHeight="false" outlineLevel="0" collapsed="false">
      <c r="A11" s="0" t="s">
        <v>23</v>
      </c>
      <c r="B11" s="0" t="n">
        <f aca="false">0</f>
        <v>0</v>
      </c>
      <c r="C11" s="0" t="n">
        <f aca="false">C10*Inputs!$B$10</f>
        <v>87945000</v>
      </c>
      <c r="D11" s="0" t="n">
        <f aca="false">D10*Inputs!$B$10</f>
        <v>85546301.9230769</v>
      </c>
      <c r="E11" s="0" t="n">
        <f aca="false">E10*Inputs!$B$10</f>
        <v>82870961.9903846</v>
      </c>
      <c r="F11" s="0" t="n">
        <f aca="false">F10*Inputs!$B$10</f>
        <v>79900870.630625</v>
      </c>
      <c r="G11" s="0" t="n">
        <f aca="false">G10*Inputs!$B$10</f>
        <v>76616864.360694</v>
      </c>
      <c r="H11" s="0" t="n">
        <f aca="false">H10*Inputs!$B$10</f>
        <v>72998666.6628245</v>
      </c>
      <c r="I11" s="0" t="n">
        <f aca="false">I10*Inputs!$B$10</f>
        <v>69024825.586818</v>
      </c>
      <c r="J11" s="0" t="n">
        <f aca="false">J10*Inputs!$B$10</f>
        <v>64672647.8967819</v>
      </c>
      <c r="K11" s="0" t="n">
        <f aca="false">K10*Inputs!$B$10</f>
        <v>59918129.5718476</v>
      </c>
      <c r="L11" s="0" t="n">
        <f aca="false">L10*Inputs!$B$10</f>
        <v>54735882.4598567</v>
      </c>
      <c r="M11" s="0" t="n">
        <f aca="false">M10*Inputs!$B$10</f>
        <v>49099056.8719375</v>
      </c>
      <c r="N11" s="0" t="n">
        <f aca="false">N10*Inputs!$B$10</f>
        <v>42979259.8942186</v>
      </c>
      <c r="O11" s="0" t="n">
        <f aca="false">O10*Inputs!$B$10</f>
        <v>36346469.1806116</v>
      </c>
      <c r="P11" s="0" t="n">
        <f aca="false">P10*Inputs!$B$10</f>
        <v>29168941.9776004</v>
      </c>
      <c r="Q11" s="0" t="n">
        <f aca="false">Q10*Inputs!$B$10</f>
        <v>21413119.1182647</v>
      </c>
      <c r="R11" s="0" t="n">
        <f aca="false">R10*Inputs!$B$10</f>
        <v>13043523.7083035</v>
      </c>
      <c r="S11" s="0" t="n">
        <f aca="false">S10*Inputs!$B$10</f>
        <v>4022654.21156504</v>
      </c>
      <c r="T11" s="0" t="n">
        <f aca="false">T10*Inputs!$B$10</f>
        <v>0</v>
      </c>
      <c r="U11" s="0" t="n">
        <f aca="false">U10*Inputs!$B$10</f>
        <v>0</v>
      </c>
      <c r="V11" s="0" t="n">
        <f aca="false">V10*Inputs!$B$10</f>
        <v>0</v>
      </c>
      <c r="W11" s="0" t="n">
        <f aca="false">W10*Inputs!$B$10</f>
        <v>0</v>
      </c>
      <c r="X11" s="0" t="n">
        <f aca="false">X10*Inputs!$B$10</f>
        <v>0</v>
      </c>
      <c r="Y11" s="0" t="n">
        <f aca="false">Y10*Inputs!$B$10</f>
        <v>0</v>
      </c>
      <c r="Z11" s="0" t="n">
        <f aca="false">Z10*Inputs!$B$10</f>
        <v>0</v>
      </c>
      <c r="AA11" s="0" t="n">
        <f aca="false">AA10*Inputs!$B$10</f>
        <v>0</v>
      </c>
    </row>
    <row r="12" customFormat="false" ht="15" hidden="false" customHeight="false" outlineLevel="0" collapsed="false">
      <c r="A12" s="0" t="s">
        <v>24</v>
      </c>
      <c r="B12" s="0" t="n">
        <f aca="false">0</f>
        <v>0</v>
      </c>
      <c r="C12" s="0" t="n">
        <f aca="false">IF(C$3&lt;Inputs!$B$12,MIN(C10,MAX(0,C9/Inputs!$B$11-C11)),IF(C$3=Inputs!$B$12,C10,0))</f>
        <v>43612692.3076923</v>
      </c>
      <c r="D12" s="0" t="n">
        <f aca="false">IF(D$3&lt;Inputs!$B$12,MIN(D10,MAX(0,D9/Inputs!$B$11-D11)),IF(D$3=Inputs!$B$12,D10,0))</f>
        <v>48642544.2307692</v>
      </c>
      <c r="E12" s="0" t="n">
        <f aca="false">IF(E$3&lt;Inputs!$B$12,MIN(E10,MAX(0,E9/Inputs!$B$11-E11)),IF(E$3=Inputs!$B$12,E10,0))</f>
        <v>54001661.0865385</v>
      </c>
      <c r="F12" s="0" t="n">
        <f aca="false">IF(F$3&lt;Inputs!$B$12,MIN(F10,MAX(0,F9/Inputs!$B$11-F11)),IF(F$3=Inputs!$B$12,F10,0))</f>
        <v>59709204.9078366</v>
      </c>
      <c r="G12" s="0" t="n">
        <f aca="false">IF(G$3&lt;Inputs!$B$12,MIN(G10,MAX(0,G9/Inputs!$B$11-G11)),IF(G$3=Inputs!$B$12,G10,0))</f>
        <v>65785412.6885368</v>
      </c>
      <c r="H12" s="0" t="n">
        <f aca="false">IF(H$3&lt;Inputs!$B$12,MIN(H10,MAX(0,H9/Inputs!$B$11-H11)),IF(H$3=Inputs!$B$12,H10,0))</f>
        <v>72251655.9273909</v>
      </c>
      <c r="I12" s="0" t="n">
        <f aca="false">IF(I$3&lt;Inputs!$B$12,MIN(I10,MAX(0,I9/Inputs!$B$11-I11)),IF(I$3=Inputs!$B$12,I10,0))</f>
        <v>79130503.4552017</v>
      </c>
      <c r="J12" s="0" t="n">
        <f aca="false">IF(J$3&lt;Inputs!$B$12,MIN(J10,MAX(0,J9/Inputs!$B$11-J11)),IF(J$3=Inputs!$B$12,J10,0))</f>
        <v>86445787.7260783</v>
      </c>
      <c r="K12" s="0" t="n">
        <f aca="false">IF(K$3&lt;Inputs!$B$12,MIN(K10,MAX(0,K9/Inputs!$B$11-K11)),IF(K$3=Inputs!$B$12,K10,0))</f>
        <v>94222674.7634698</v>
      </c>
      <c r="L12" s="0" t="n">
        <f aca="false">IF(L$3&lt;Inputs!$B$12,MIN(L10,MAX(0,L9/Inputs!$B$11-L11)),IF(L$3=Inputs!$B$12,L10,0))</f>
        <v>102487737.962167</v>
      </c>
      <c r="M12" s="0" t="n">
        <f aca="false">IF(M$3&lt;Inputs!$B$12,MIN(M10,MAX(0,M9/Inputs!$B$11-M11)),IF(M$3=Inputs!$B$12,M10,0))</f>
        <v>111269035.958527</v>
      </c>
      <c r="N12" s="0" t="n">
        <f aca="false">IF(N$3&lt;Inputs!$B$12,MIN(N10,MAX(0,N9/Inputs!$B$11-N11)),IF(N$3=Inputs!$B$12,N10,0))</f>
        <v>120596194.792855</v>
      </c>
      <c r="O12" s="0" t="n">
        <f aca="false">IF(O$3&lt;Inputs!$B$12,MIN(O10,MAX(0,O9/Inputs!$B$11-O11)),IF(O$3=Inputs!$B$12,O10,0))</f>
        <v>130500494.600203</v>
      </c>
      <c r="P12" s="0" t="n">
        <f aca="false">IF(P$3&lt;Inputs!$B$12,MIN(P10,MAX(0,P9/Inputs!$B$11-P11)),IF(P$3=Inputs!$B$12,P10,0))</f>
        <v>141014961.078831</v>
      </c>
      <c r="Q12" s="0" t="n">
        <f aca="false">IF(Q$3&lt;Inputs!$B$12,MIN(Q10,MAX(0,Q9/Inputs!$B$11-Q11)),IF(Q$3=Inputs!$B$12,Q10,0))</f>
        <v>152174461.999295</v>
      </c>
      <c r="R12" s="0" t="n">
        <f aca="false">IF(R$3&lt;Inputs!$B$12,MIN(R10,MAX(0,R9/Inputs!$B$11-R11)),IF(R$3=Inputs!$B$12,R10,0))</f>
        <v>164015809.031608</v>
      </c>
      <c r="S12" s="0" t="n">
        <f aca="false">IF(S$3&lt;Inputs!$B$12,MIN(S10,MAX(0,S9/Inputs!$B$11-S11)),IF(S$3=Inputs!$B$12,S10,0))</f>
        <v>73139167.4830007</v>
      </c>
      <c r="T12" s="0" t="n">
        <f aca="false">IF(T$3&lt;Inputs!$B$12,MIN(T10,MAX(0,T9/Inputs!$B$11-T11)),IF(T$3=Inputs!$B$12,T10,0))</f>
        <v>0</v>
      </c>
      <c r="U12" s="0" t="n">
        <f aca="false">IF(U$3&lt;Inputs!$B$12,MIN(U10,MAX(0,U9/Inputs!$B$11-U11)),IF(U$3=Inputs!$B$12,U10,0))</f>
        <v>0</v>
      </c>
      <c r="V12" s="0" t="n">
        <f aca="false">IF(V$3&lt;Inputs!$B$12,MIN(V10,MAX(0,V9/Inputs!$B$11-V11)),IF(V$3=Inputs!$B$12,V10,0))</f>
        <v>0</v>
      </c>
      <c r="W12" s="0" t="n">
        <f aca="false">IF(W$3&lt;Inputs!$B$12,MIN(W10,MAX(0,W9/Inputs!$B$11-W11)),IF(W$3=Inputs!$B$12,W10,0))</f>
        <v>0</v>
      </c>
      <c r="X12" s="0" t="n">
        <f aca="false">IF(X$3&lt;Inputs!$B$12,MIN(X10,MAX(0,X9/Inputs!$B$11-X11)),IF(X$3=Inputs!$B$12,X10,0))</f>
        <v>0</v>
      </c>
      <c r="Y12" s="0" t="n">
        <f aca="false">IF(Y$3&lt;Inputs!$B$12,MIN(Y10,MAX(0,Y9/Inputs!$B$11-Y11)),IF(Y$3=Inputs!$B$12,Y10,0))</f>
        <v>0</v>
      </c>
      <c r="Z12" s="0" t="n">
        <f aca="false">IF(Z$3&lt;Inputs!$B$12,MIN(Z10,MAX(0,Z9/Inputs!$B$11-Z11)),IF(Z$3=Inputs!$B$12,Z10,0))</f>
        <v>0</v>
      </c>
      <c r="AA12" s="0" t="n">
        <f aca="false">IF(AA$3&lt;Inputs!$B$12,MIN(AA10,MAX(0,AA9/Inputs!$B$11-AA11)),IF(AA$3=Inputs!$B$12,AA10,0))</f>
        <v>0</v>
      </c>
    </row>
    <row r="13" customFormat="false" ht="15" hidden="false" customHeight="false" outlineLevel="0" collapsed="false">
      <c r="A13" s="0" t="s">
        <v>25</v>
      </c>
      <c r="B13" s="0" t="n">
        <f aca="false">B10-B12</f>
        <v>1599000000</v>
      </c>
      <c r="C13" s="0" t="n">
        <f aca="false">C10-C12</f>
        <v>1555387307.69231</v>
      </c>
      <c r="D13" s="0" t="n">
        <f aca="false">D10-D12</f>
        <v>1506744763.46154</v>
      </c>
      <c r="E13" s="0" t="n">
        <f aca="false">E10-E12</f>
        <v>1452743102.375</v>
      </c>
      <c r="F13" s="0" t="n">
        <f aca="false">F10-F12</f>
        <v>1393033897.46716</v>
      </c>
      <c r="G13" s="0" t="n">
        <f aca="false">G10-G12</f>
        <v>1327248484.77863</v>
      </c>
      <c r="H13" s="0" t="n">
        <f aca="false">H10-H12</f>
        <v>1254996828.85124</v>
      </c>
      <c r="I13" s="0" t="n">
        <f aca="false">I10-I12</f>
        <v>1175866325.39603</v>
      </c>
      <c r="J13" s="0" t="n">
        <f aca="false">J10-J12</f>
        <v>1089420537.66996</v>
      </c>
      <c r="K13" s="0" t="n">
        <f aca="false">K10-K12</f>
        <v>995197862.906486</v>
      </c>
      <c r="L13" s="0" t="n">
        <f aca="false">L10-L12</f>
        <v>892710124.944319</v>
      </c>
      <c r="M13" s="0" t="n">
        <f aca="false">M10-M12</f>
        <v>781441088.985792</v>
      </c>
      <c r="N13" s="0" t="n">
        <f aca="false">N10-N12</f>
        <v>660844894.192938</v>
      </c>
      <c r="O13" s="0" t="n">
        <f aca="false">O10-O12</f>
        <v>530344399.592734</v>
      </c>
      <c r="P13" s="0" t="n">
        <f aca="false">P10-P12</f>
        <v>389329438.513903</v>
      </c>
      <c r="Q13" s="0" t="n">
        <f aca="false">Q10-Q12</f>
        <v>237154976.514608</v>
      </c>
      <c r="R13" s="0" t="n">
        <f aca="false">R10-R12</f>
        <v>73139167.4830007</v>
      </c>
      <c r="S13" s="0" t="n">
        <f aca="false">S10-S12</f>
        <v>0</v>
      </c>
      <c r="T13" s="0" t="n">
        <f aca="false">T10-T12</f>
        <v>0</v>
      </c>
      <c r="U13" s="0" t="n">
        <f aca="false">U10-U12</f>
        <v>0</v>
      </c>
      <c r="V13" s="0" t="n">
        <f aca="false">V10-V12</f>
        <v>0</v>
      </c>
      <c r="W13" s="0" t="n">
        <f aca="false">W10-W12</f>
        <v>0</v>
      </c>
      <c r="X13" s="0" t="n">
        <f aca="false">X10-X12</f>
        <v>0</v>
      </c>
      <c r="Y13" s="0" t="n">
        <f aca="false">Y10-Y12</f>
        <v>0</v>
      </c>
      <c r="Z13" s="0" t="n">
        <f aca="false">Z10-Z12</f>
        <v>0</v>
      </c>
      <c r="AA13" s="0" t="n">
        <f aca="false">AA10-AA12</f>
        <v>0</v>
      </c>
    </row>
    <row r="14" customFormat="false" ht="15" hidden="false" customHeight="false" outlineLevel="0" collapsed="false">
      <c r="A14" s="0" t="s">
        <v>26</v>
      </c>
      <c r="B14" s="0" t="n">
        <f aca="false">IF(B11+B12&gt;0,B9/(B11+B12),0)</f>
        <v>0</v>
      </c>
      <c r="C14" s="0" t="n">
        <f aca="false">IF(C11+C12&gt;0,C9/(C11+C12),0)</f>
        <v>1.3</v>
      </c>
      <c r="D14" s="0" t="n">
        <f aca="false">IF(D11+D12&gt;0,D9/(D11+D12),0)</f>
        <v>1.3</v>
      </c>
      <c r="E14" s="0" t="n">
        <f aca="false">IF(E11+E12&gt;0,E9/(E11+E12),0)</f>
        <v>1.3</v>
      </c>
      <c r="F14" s="0" t="n">
        <f aca="false">IF(F11+F12&gt;0,F9/(F11+F12),0)</f>
        <v>1.3</v>
      </c>
      <c r="G14" s="0" t="n">
        <f aca="false">IF(G11+G12&gt;0,G9/(G11+G12),0)</f>
        <v>1.3</v>
      </c>
      <c r="H14" s="0" t="n">
        <f aca="false">IF(H11+H12&gt;0,H9/(H11+H12),0)</f>
        <v>1.3</v>
      </c>
      <c r="I14" s="0" t="n">
        <f aca="false">IF(I11+I12&gt;0,I9/(I11+I12),0)</f>
        <v>1.3</v>
      </c>
      <c r="J14" s="0" t="n">
        <f aca="false">IF(J11+J12&gt;0,J9/(J11+J12),0)</f>
        <v>1.3</v>
      </c>
      <c r="K14" s="0" t="n">
        <f aca="false">IF(K11+K12&gt;0,K9/(K11+K12),0)</f>
        <v>1.3</v>
      </c>
      <c r="L14" s="0" t="n">
        <f aca="false">IF(L11+L12&gt;0,L9/(L11+L12),0)</f>
        <v>1.3</v>
      </c>
      <c r="M14" s="0" t="n">
        <f aca="false">IF(M11+M12&gt;0,M9/(M11+M12),0)</f>
        <v>1.3</v>
      </c>
      <c r="N14" s="0" t="n">
        <f aca="false">IF(N11+N12&gt;0,N9/(N11+N12),0)</f>
        <v>1.3</v>
      </c>
      <c r="O14" s="0" t="n">
        <f aca="false">IF(O11+O12&gt;0,O9/(O11+O12),0)</f>
        <v>1.3</v>
      </c>
      <c r="P14" s="0" t="n">
        <f aca="false">IF(P11+P12&gt;0,P9/(P11+P12),0)</f>
        <v>1.3</v>
      </c>
      <c r="Q14" s="0" t="n">
        <f aca="false">IF(Q11+Q12&gt;0,Q9/(Q11+Q12),0)</f>
        <v>1.3</v>
      </c>
      <c r="R14" s="0" t="n">
        <f aca="false">IF(R11+R12&gt;0,R9/(R11+R12),0)</f>
        <v>1.3</v>
      </c>
      <c r="S14" s="0" t="n">
        <f aca="false">IF(S11+S12&gt;0,S9/(S11+S12),0)</f>
        <v>3.04270518835686</v>
      </c>
      <c r="T14" s="0" t="n">
        <f aca="false">IF(T11+T12&gt;0,T9/(T11+T12),0)</f>
        <v>0</v>
      </c>
      <c r="U14" s="0" t="n">
        <f aca="false">IF(U11+U12&gt;0,U9/(U11+U12),0)</f>
        <v>0</v>
      </c>
      <c r="V14" s="0" t="n">
        <f aca="false">IF(V11+V12&gt;0,V9/(V11+V12),0)</f>
        <v>0</v>
      </c>
      <c r="W14" s="0" t="n">
        <f aca="false">IF(W11+W12&gt;0,W9/(W11+W12),0)</f>
        <v>0</v>
      </c>
      <c r="X14" s="0" t="n">
        <f aca="false">IF(X11+X12&gt;0,X9/(X11+X12),0)</f>
        <v>0</v>
      </c>
      <c r="Y14" s="0" t="n">
        <f aca="false">IF(Y11+Y12&gt;0,Y9/(Y11+Y12),0)</f>
        <v>0</v>
      </c>
      <c r="Z14" s="0" t="n">
        <f aca="false">IF(Z11+Z12&gt;0,Z9/(Z11+Z12),0)</f>
        <v>0</v>
      </c>
      <c r="AA14" s="0" t="n">
        <f aca="false">IF(AA11+AA12&gt;0,AA9/(AA11+AA12),0)</f>
        <v>0</v>
      </c>
    </row>
    <row r="15" customFormat="false" ht="15" hidden="false" customHeight="false" outlineLevel="0" collapsed="false">
      <c r="A15" s="0" t="s">
        <v>27</v>
      </c>
      <c r="B15" s="0" t="n">
        <f aca="false">(C10*Inputs!$B$10+IF(C$3&lt;Inputs!$B$12,MIN(C10,MAX(0,C9/Inputs!$B$11-C10*Inputs!$B$10)),IF(C$3=Inputs!$B$12,C10,0)))*Inputs!$B$14/12</f>
        <v>65778846.1538462</v>
      </c>
      <c r="C15" s="0" t="n">
        <f aca="false">(D10*Inputs!$B$10+IF(D$3&lt;Inputs!$B$12,MIN(D10,MAX(0,D9/Inputs!$B$11-D10*Inputs!$B$10)),IF(D$3=Inputs!$B$12,D10,0)))*Inputs!$B$14/12</f>
        <v>67094423.0769231</v>
      </c>
      <c r="D15" s="0" t="n">
        <f aca="false">(E10*Inputs!$B$10+IF(E$3&lt;Inputs!$B$12,MIN(E10,MAX(0,E9/Inputs!$B$11-E10*Inputs!$B$10)),IF(E$3=Inputs!$B$12,E10,0)))*Inputs!$B$14/12</f>
        <v>68436311.5384615</v>
      </c>
      <c r="E15" s="0" t="n">
        <f aca="false">(F10*Inputs!$B$10+IF(F$3&lt;Inputs!$B$12,MIN(F10,MAX(0,F9/Inputs!$B$11-F10*Inputs!$B$10)),IF(F$3=Inputs!$B$12,F10,0)))*Inputs!$B$14/12</f>
        <v>69805037.7692308</v>
      </c>
      <c r="F15" s="0" t="n">
        <f aca="false">(G10*Inputs!$B$10+IF(G$3&lt;Inputs!$B$12,MIN(G10,MAX(0,G9/Inputs!$B$11-G10*Inputs!$B$10)),IF(G$3=Inputs!$B$12,G10,0)))*Inputs!$B$14/12</f>
        <v>71201138.5246154</v>
      </c>
      <c r="G15" s="0" t="n">
        <f aca="false">(H10*Inputs!$B$10+IF(H$3&lt;Inputs!$B$12,MIN(H10,MAX(0,H9/Inputs!$B$11-H10*Inputs!$B$10)),IF(H$3=Inputs!$B$12,H10,0)))*Inputs!$B$14/12</f>
        <v>72625161.2951077</v>
      </c>
      <c r="H15" s="0" t="n">
        <f aca="false">(I10*Inputs!$B$10+IF(I$3&lt;Inputs!$B$12,MIN(I10,MAX(0,I9/Inputs!$B$11-I10*Inputs!$B$10)),IF(I$3=Inputs!$B$12,I10,0)))*Inputs!$B$14/12</f>
        <v>74077664.5210098</v>
      </c>
      <c r="I15" s="0" t="n">
        <f aca="false">(J10*Inputs!$B$10+IF(J$3&lt;Inputs!$B$12,MIN(J10,MAX(0,J9/Inputs!$B$11-J10*Inputs!$B$10)),IF(J$3=Inputs!$B$12,J10,0)))*Inputs!$B$14/12</f>
        <v>75559217.8114301</v>
      </c>
      <c r="J15" s="0" t="n">
        <f aca="false">(K10*Inputs!$B$10+IF(K$3&lt;Inputs!$B$12,MIN(K10,MAX(0,K9/Inputs!$B$11-K10*Inputs!$B$10)),IF(K$3=Inputs!$B$12,K10,0)))*Inputs!$B$14/12</f>
        <v>77070402.1676587</v>
      </c>
      <c r="K15" s="0" t="n">
        <f aca="false">(L10*Inputs!$B$10+IF(L$3&lt;Inputs!$B$12,MIN(L10,MAX(0,L9/Inputs!$B$11-L10*Inputs!$B$10)),IF(L$3=Inputs!$B$12,L10,0)))*Inputs!$B$14/12</f>
        <v>78611810.2110118</v>
      </c>
      <c r="L15" s="0" t="n">
        <f aca="false">(M10*Inputs!$B$10+IF(M$3&lt;Inputs!$B$12,MIN(M10,MAX(0,M9/Inputs!$B$11-M10*Inputs!$B$10)),IF(M$3=Inputs!$B$12,M10,0)))*Inputs!$B$14/12</f>
        <v>80184046.4152321</v>
      </c>
      <c r="M15" s="0" t="n">
        <f aca="false">(N10*Inputs!$B$10+IF(N$3&lt;Inputs!$B$12,MIN(N10,MAX(0,N9/Inputs!$B$11-N10*Inputs!$B$10)),IF(N$3=Inputs!$B$12,N10,0)))*Inputs!$B$14/12</f>
        <v>81787727.3435367</v>
      </c>
      <c r="N15" s="0" t="n">
        <f aca="false">(O10*Inputs!$B$10+IF(O$3&lt;Inputs!$B$12,MIN(O10,MAX(0,O9/Inputs!$B$11-O10*Inputs!$B$10)),IF(O$3=Inputs!$B$12,O10,0)))*Inputs!$B$14/12</f>
        <v>83423481.8904074</v>
      </c>
      <c r="O15" s="0" t="n">
        <f aca="false">(P10*Inputs!$B$10+IF(P$3&lt;Inputs!$B$12,MIN(P10,MAX(0,P9/Inputs!$B$11-P10*Inputs!$B$10)),IF(P$3=Inputs!$B$12,P10,0)))*Inputs!$B$14/12</f>
        <v>85091951.5282156</v>
      </c>
      <c r="P15" s="0" t="n">
        <f aca="false">(Q10*Inputs!$B$10+IF(Q$3&lt;Inputs!$B$12,MIN(Q10,MAX(0,Q9/Inputs!$B$11-Q10*Inputs!$B$10)),IF(Q$3=Inputs!$B$12,Q10,0)))*Inputs!$B$14/12</f>
        <v>86793790.5587799</v>
      </c>
      <c r="Q15" s="0" t="n">
        <f aca="false">(R10*Inputs!$B$10+IF(R$3&lt;Inputs!$B$12,MIN(R10,MAX(0,R9/Inputs!$B$11-R10*Inputs!$B$10)),IF(R$3=Inputs!$B$12,R10,0)))*Inputs!$B$14/12</f>
        <v>88529666.3699555</v>
      </c>
      <c r="R15" s="0" t="n">
        <f aca="false">(S10*Inputs!$B$10+IF(S$3&lt;Inputs!$B$12,MIN(S10,MAX(0,S9/Inputs!$B$11-S10*Inputs!$B$10)),IF(S$3=Inputs!$B$12,S10,0)))*Inputs!$B$14/12</f>
        <v>38580910.8472829</v>
      </c>
      <c r="S15" s="0" t="n">
        <f aca="false">(T10*Inputs!$B$10+IF(T$3&lt;Inputs!$B$12,MIN(T10,MAX(0,T9/Inputs!$B$11-T10*Inputs!$B$10)),IF(T$3=Inputs!$B$12,T10,0)))*Inputs!$B$14/12</f>
        <v>0</v>
      </c>
      <c r="T15" s="0" t="n">
        <f aca="false">(U10*Inputs!$B$10+IF(U$3&lt;Inputs!$B$12,MIN(U10,MAX(0,U9/Inputs!$B$11-U10*Inputs!$B$10)),IF(U$3=Inputs!$B$12,U10,0)))*Inputs!$B$14/12</f>
        <v>0</v>
      </c>
      <c r="U15" s="0" t="n">
        <f aca="false">(V10*Inputs!$B$10+IF(V$3&lt;Inputs!$B$12,MIN(V10,MAX(0,V9/Inputs!$B$11-V10*Inputs!$B$10)),IF(V$3=Inputs!$B$12,V10,0)))*Inputs!$B$14/12</f>
        <v>0</v>
      </c>
      <c r="V15" s="0" t="n">
        <f aca="false">(W10*Inputs!$B$10+IF(W$3&lt;Inputs!$B$12,MIN(W10,MAX(0,W9/Inputs!$B$11-W10*Inputs!$B$10)),IF(W$3=Inputs!$B$12,W10,0)))*Inputs!$B$14/12</f>
        <v>0</v>
      </c>
      <c r="W15" s="0" t="n">
        <f aca="false">(X10*Inputs!$B$10+IF(X$3&lt;Inputs!$B$12,MIN(X10,MAX(0,X9/Inputs!$B$11-X10*Inputs!$B$10)),IF(X$3=Inputs!$B$12,X10,0)))*Inputs!$B$14/12</f>
        <v>0</v>
      </c>
      <c r="X15" s="0" t="n">
        <f aca="false">(Y10*Inputs!$B$10+IF(Y$3&lt;Inputs!$B$12,MIN(Y10,MAX(0,Y9/Inputs!$B$11-Y10*Inputs!$B$10)),IF(Y$3=Inputs!$B$12,Y10,0)))*Inputs!$B$14/12</f>
        <v>0</v>
      </c>
      <c r="Y15" s="0" t="n">
        <f aca="false">(Z10*Inputs!$B$10+IF(Z$3&lt;Inputs!$B$12,MIN(Z10,MAX(0,Z9/Inputs!$B$11-Z10*Inputs!$B$10)),IF(Z$3=Inputs!$B$12,Z10,0)))*Inputs!$B$14/12</f>
        <v>0</v>
      </c>
      <c r="Z15" s="0" t="n">
        <f aca="false">(AA10*Inputs!$B$10+IF(AA$3&lt;Inputs!$B$12,MIN(AA10,MAX(0,AA9/Inputs!$B$11-AA10*Inputs!$B$10)),IF(AA$3=Inputs!$B$12,AA10,0)))*Inputs!$B$14/12</f>
        <v>0</v>
      </c>
      <c r="AA15" s="0" t="n">
        <f aca="false">0</f>
        <v>0</v>
      </c>
    </row>
    <row r="16" customFormat="false" ht="15" hidden="false" customHeight="false" outlineLevel="0" collapsed="false">
      <c r="A16" s="0" t="s">
        <v>28</v>
      </c>
      <c r="B16" s="0" t="n">
        <f aca="false">B15</f>
        <v>65778846.1538462</v>
      </c>
      <c r="C16" s="0" t="n">
        <f aca="false">C15-B15</f>
        <v>1315576.92307692</v>
      </c>
      <c r="D16" s="0" t="n">
        <f aca="false">D15-C15</f>
        <v>1341888.46153846</v>
      </c>
      <c r="E16" s="0" t="n">
        <f aca="false">E15-D15</f>
        <v>1368726.23076925</v>
      </c>
      <c r="F16" s="0" t="n">
        <f aca="false">F15-E15</f>
        <v>1396100.75538459</v>
      </c>
      <c r="G16" s="0" t="n">
        <f aca="false">G15-F15</f>
        <v>1424022.77049232</v>
      </c>
      <c r="H16" s="0" t="n">
        <f aca="false">H15-G15</f>
        <v>1452503.22590214</v>
      </c>
      <c r="I16" s="0" t="n">
        <f aca="false">I15-H15</f>
        <v>1481553.29042023</v>
      </c>
      <c r="J16" s="0" t="n">
        <f aca="false">J15-I15</f>
        <v>1511184.35622859</v>
      </c>
      <c r="K16" s="0" t="n">
        <f aca="false">K15-J15</f>
        <v>1541408.04335317</v>
      </c>
      <c r="L16" s="0" t="n">
        <f aca="false">L15-K15</f>
        <v>1572236.20422022</v>
      </c>
      <c r="M16" s="0" t="n">
        <f aca="false">M15-L15</f>
        <v>1603680.92830467</v>
      </c>
      <c r="N16" s="0" t="n">
        <f aca="false">N15-M15</f>
        <v>1635754.54687072</v>
      </c>
      <c r="O16" s="0" t="n">
        <f aca="false">O15-N15</f>
        <v>1668469.63780814</v>
      </c>
      <c r="P16" s="0" t="n">
        <f aca="false">P15-O15</f>
        <v>1701839.03056429</v>
      </c>
      <c r="Q16" s="0" t="n">
        <f aca="false">Q15-P15</f>
        <v>1735875.81117563</v>
      </c>
      <c r="R16" s="0" t="n">
        <f aca="false">R15-Q15</f>
        <v>-49948755.5226726</v>
      </c>
      <c r="S16" s="0" t="n">
        <f aca="false">S15-R15</f>
        <v>-38580910.8472829</v>
      </c>
      <c r="T16" s="0" t="n">
        <f aca="false">T15-S15</f>
        <v>0</v>
      </c>
      <c r="U16" s="0" t="n">
        <f aca="false">U15-T15</f>
        <v>0</v>
      </c>
      <c r="V16" s="0" t="n">
        <f aca="false">V15-U15</f>
        <v>0</v>
      </c>
      <c r="W16" s="0" t="n">
        <f aca="false">W15-V15</f>
        <v>0</v>
      </c>
      <c r="X16" s="0" t="n">
        <f aca="false">X15-W15</f>
        <v>0</v>
      </c>
      <c r="Y16" s="0" t="n">
        <f aca="false">Y15-X15</f>
        <v>0</v>
      </c>
      <c r="Z16" s="0" t="n">
        <f aca="false">Z15-Y15</f>
        <v>0</v>
      </c>
      <c r="AA16" s="0" t="n">
        <f aca="false">AA15-Z15</f>
        <v>0</v>
      </c>
    </row>
    <row r="17" customFormat="false" ht="15" hidden="false" customHeight="false" outlineLevel="0" collapsed="false">
      <c r="A17" s="0" t="s">
        <v>29</v>
      </c>
      <c r="B17" s="0" t="n">
        <f aca="false">MAX(0,B9-B11)*Inputs!$B$15</f>
        <v>0</v>
      </c>
      <c r="C17" s="0" t="n">
        <f aca="false">MAX(0,C9-C11)*Inputs!$B$15</f>
        <v>2077000</v>
      </c>
      <c r="D17" s="0" t="n">
        <f aca="false">MAX(0,D9-D11)*Inputs!$B$15</f>
        <v>2222479.95192308</v>
      </c>
      <c r="E17" s="0" t="n">
        <f aca="false">MAX(0,E9-E11)*Inputs!$B$15</f>
        <v>2376586.20024038</v>
      </c>
      <c r="F17" s="0" t="n">
        <f aca="false">MAX(0,F9-F11)*Inputs!$B$15</f>
        <v>2539805.68923438</v>
      </c>
      <c r="G17" s="0" t="n">
        <f aca="false">MAX(0,G9-G11)*Inputs!$B$15</f>
        <v>2712652.39508265</v>
      </c>
      <c r="H17" s="0" t="n">
        <f aca="false">MAX(0,H9-H11)*Inputs!$B$15</f>
        <v>2895668.81761139</v>
      </c>
      <c r="I17" s="0" t="n">
        <f aca="false">MAX(0,I9-I11)*Inputs!$B$15</f>
        <v>3089427.55419519</v>
      </c>
      <c r="J17" s="0" t="n">
        <f aca="false">MAX(0,J9-J11)*Inputs!$B$15</f>
        <v>3294532.96032341</v>
      </c>
      <c r="K17" s="0" t="n">
        <f aca="false">MAX(0,K9-K11)*Inputs!$B$15</f>
        <v>3511622.90160162</v>
      </c>
      <c r="L17" s="0" t="n">
        <f aca="false">MAX(0,L9-L11)*Inputs!$B$15</f>
        <v>3741370.60221935</v>
      </c>
      <c r="M17" s="0" t="n">
        <f aca="false">MAX(0,M9-M11)*Inputs!$B$15</f>
        <v>3984486.59519165</v>
      </c>
      <c r="N17" s="0" t="n">
        <f aca="false">MAX(0,N9-N11)*Inputs!$B$15</f>
        <v>4241720.77997442</v>
      </c>
      <c r="O17" s="0" t="n">
        <f aca="false">MAX(0,O9-O11)*Inputs!$B$15</f>
        <v>4513864.59336119</v>
      </c>
      <c r="P17" s="0" t="n">
        <f aca="false">MAX(0,P9-P11)*Inputs!$B$15</f>
        <v>4801753.299894</v>
      </c>
      <c r="Q17" s="0" t="n">
        <f aca="false">MAX(0,Q9-Q11)*Inputs!$B$15</f>
        <v>5106268.40836408</v>
      </c>
      <c r="R17" s="0" t="n">
        <f aca="false">MAX(0,R9-R11)*Inputs!$B$15</f>
        <v>5428340.22133952</v>
      </c>
      <c r="S17" s="0" t="n">
        <f aca="false">MAX(0,S9-S11)*Inputs!$B$15</f>
        <v>5768950.52503892</v>
      </c>
      <c r="T17" s="0" t="n">
        <f aca="false">MAX(0,T9-T11)*Inputs!$B$15</f>
        <v>5986907.21793461</v>
      </c>
      <c r="U17" s="0" t="n">
        <f aca="false">MAX(0,U9-U11)*Inputs!$B$15</f>
        <v>6106645.36229331</v>
      </c>
      <c r="V17" s="0" t="n">
        <f aca="false">MAX(0,V9-V11)*Inputs!$B$15</f>
        <v>6228778.26953917</v>
      </c>
      <c r="W17" s="0" t="n">
        <f aca="false">MAX(0,W9-W11)*Inputs!$B$15</f>
        <v>6353353.83492996</v>
      </c>
      <c r="X17" s="0" t="n">
        <f aca="false">MAX(0,X9-X11)*Inputs!$B$15</f>
        <v>6480420.91162855</v>
      </c>
      <c r="Y17" s="0" t="n">
        <f aca="false">MAX(0,Y9-Y11)*Inputs!$B$15</f>
        <v>6610029.32986112</v>
      </c>
      <c r="Z17" s="0" t="n">
        <f aca="false">MAX(0,Z9-Z11)*Inputs!$B$15</f>
        <v>6742229.91645835</v>
      </c>
      <c r="AA17" s="0" t="n">
        <f aca="false">MAX(0,AA9-AA11)*Inputs!$B$15</f>
        <v>6877074.51478751</v>
      </c>
    </row>
    <row r="18" customFormat="false" ht="15" hidden="false" customHeight="false" outlineLevel="0" collapsed="false">
      <c r="A18" s="0" t="s">
        <v>30</v>
      </c>
      <c r="B18" s="0" t="n">
        <f aca="false">-Inputs!$B$8*(1-Inputs!$B$9)-B16</f>
        <v>-416778846.153846</v>
      </c>
      <c r="C18" s="0" t="n">
        <f aca="false">C9-C11-C12-C16-C17</f>
        <v>36074730.7692308</v>
      </c>
      <c r="D18" s="0" t="n">
        <f aca="false">D9-D11-D12-D16-D17</f>
        <v>36692285.4326923</v>
      </c>
      <c r="E18" s="0" t="n">
        <f aca="false">E9-E11-E12-E16-E17</f>
        <v>37316474.4920673</v>
      </c>
      <c r="F18" s="0" t="n">
        <f aca="false">F9-F11-F12-F16-F17</f>
        <v>37947116.2169195</v>
      </c>
      <c r="G18" s="0" t="n">
        <f aca="false">G9-G11-G12-G16-G17</f>
        <v>38584007.9491943</v>
      </c>
      <c r="H18" s="0" t="n">
        <f aca="false">H9-H11-H12-H16-H17</f>
        <v>39226924.7335511</v>
      </c>
      <c r="I18" s="0" t="n">
        <f aca="false">I9-I11-I12-I16-I17</f>
        <v>39875617.8679905</v>
      </c>
      <c r="J18" s="0" t="n">
        <f aca="false">J9-J11-J12-J16-J17</f>
        <v>40529813.370306</v>
      </c>
      <c r="K18" s="0" t="n">
        <f aca="false">K9-K11-K12-K16-K17</f>
        <v>41189210.3556404</v>
      </c>
      <c r="L18" s="0" t="n">
        <f aca="false">L9-L11-L12-L16-L17</f>
        <v>41853479.3201676</v>
      </c>
      <c r="M18" s="0" t="n">
        <f aca="false">M9-M11-M12-M16-M17</f>
        <v>42522260.3256429</v>
      </c>
      <c r="N18" s="0" t="n">
        <f aca="false">N9-N11-N12-N16-N17</f>
        <v>43195161.0792769</v>
      </c>
      <c r="O18" s="0" t="n">
        <f aca="false">O9-O11-O12-O16-O17</f>
        <v>43871754.9030751</v>
      </c>
      <c r="P18" s="0" t="n">
        <f aca="false">P9-P11-P12-P16-P17</f>
        <v>44551578.5864711</v>
      </c>
      <c r="Q18" s="0" t="n">
        <f aca="false">Q9-Q11-Q12-Q16-Q17</f>
        <v>45234130.1157282</v>
      </c>
      <c r="R18" s="0" t="n">
        <f aca="false">R9-R11-R12-R16-R17</f>
        <v>97638215.1233064</v>
      </c>
      <c r="S18" s="0" t="n">
        <f aca="false">S9-S11-S12-S16-S17</f>
        <v>190430813.8408</v>
      </c>
      <c r="T18" s="0" t="n">
        <f aca="false">T9-T11-T12-T16-T17</f>
        <v>233489381.49945</v>
      </c>
      <c r="U18" s="0" t="n">
        <f aca="false">U9-U11-U12-U16-U17</f>
        <v>238159169.129439</v>
      </c>
      <c r="V18" s="0" t="n">
        <f aca="false">V9-V11-V12-V16-V17</f>
        <v>242922352.512028</v>
      </c>
      <c r="W18" s="0" t="n">
        <f aca="false">W9-W11-W12-W16-W17</f>
        <v>247780799.562268</v>
      </c>
      <c r="X18" s="0" t="n">
        <f aca="false">X9-X11-X12-X16-X17</f>
        <v>252736415.553514</v>
      </c>
      <c r="Y18" s="0" t="n">
        <f aca="false">Y9-Y11-Y12-Y16-Y17</f>
        <v>257791143.864584</v>
      </c>
      <c r="Z18" s="0" t="n">
        <f aca="false">Z9-Z11-Z12-Z16-Z17</f>
        <v>262946966.741876</v>
      </c>
      <c r="AA18" s="0" t="n">
        <f aca="false">AA9-AA11-AA12-AA16-AA17</f>
        <v>268205906.076713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31</v>
      </c>
      <c r="B3" s="2" t="n">
        <f aca="false">IRR('Cash Flow'!$B$18:$AA$18)</f>
        <v>0.135033546937024</v>
      </c>
    </row>
    <row r="4" customFormat="false" ht="15" hidden="false" customHeight="false" outlineLevel="0" collapsed="false">
      <c r="A4" s="0" t="s">
        <v>32</v>
      </c>
      <c r="B4" s="3" t="n">
        <f aca="false">_xlfn.MINIFS('Cash Flow'!$B$14:$AA$14,'Cash Flow'!$B$14:$AA$14,"&gt;0")</f>
        <v>1.3</v>
      </c>
    </row>
    <row r="5" customFormat="false" ht="15" hidden="false" customHeight="false" outlineLevel="0" collapsed="false">
      <c r="A5" s="0" t="s">
        <v>33</v>
      </c>
      <c r="B5" s="3" t="n">
        <f aca="false">NPV(Inputs!$B$16,'Cash Flow'!$C$9:$X$9)/'Cash Flow'!$B$10</f>
        <v>1.60116310028174</v>
      </c>
    </row>
    <row r="6" customFormat="false" ht="15" hidden="false" customHeight="false" outlineLevel="0" collapsed="false">
      <c r="A6" s="0" t="s">
        <v>34</v>
      </c>
      <c r="B6" s="1" t="n">
        <f aca="false">MAX('Cash Flow'!$B$15:$AA$15)</f>
        <v>88529666.3699555</v>
      </c>
    </row>
    <row r="7" customFormat="false" ht="15" hidden="false" customHeight="false" outlineLevel="0" collapsed="false">
      <c r="A7" s="0" t="s">
        <v>35</v>
      </c>
      <c r="B7" s="1" t="n">
        <f aca="false">INDEX('Cash Flow'!$B$13:$AA$13,Inputs!$B$12+1)</f>
        <v>0</v>
      </c>
    </row>
    <row r="8" customFormat="false" ht="15" hidden="false" customHeight="false" outlineLevel="0" collapsed="false">
      <c r="A8" s="0" t="s">
        <v>36</v>
      </c>
      <c r="B8" s="1" t="n">
        <f aca="false">SUM('Cash Flow'!$B$17:$AA$17)</f>
        <v>113691970.853028</v>
      </c>
    </row>
    <row r="9" customFormat="false" ht="15" hidden="false" customHeight="false" outlineLevel="0" collapsed="false">
      <c r="A9" s="0" t="s">
        <v>37</v>
      </c>
      <c r="B9" s="1" t="n">
        <f aca="false">SUM('Cash Flow'!$B$18:$AA$18)</f>
        <v>2483986863.26809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2026-10-17T22:07:25Z</dcterms:created>
  <dc:creator>openpyxl</dc:creator>
  <dc:description/>
  <dc:language>en-US</dc:language>
  <cp:lastModifiedBy/>
  <dcterms:modified xsi:type="dcterms:W3CDTF">2026-10-17T22:07:25Z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