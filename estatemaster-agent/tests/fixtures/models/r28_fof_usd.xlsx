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Funds" sheetId="2" state="visible" r:id="rId4"/>
    <sheet name="Curves" sheetId="3" state="visible" r:id="rId5"/>
    <sheet name="Cash Flow" sheetId="4" state="visible" r:id="rId6"/>
    <sheet name="Retu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<sst xmlns="http://schemas.openxmlformats.org/spreadsheetml/2006/main" count="32" uniqueCount="31">
  <si>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SUMMIT GLOBAL REAL ESTATE FUND OF FUNDS (USD)</t>
  </si>
  <si>
    <t xml:space="preserve">Fund of funds management fee on commitments</t>
  </si>
  <si>
    <t xml:space="preserve">Fund of funds carry over 8%</t>
  </si>
  <si>
    <t xml:space="preserve">Fund of funds hurdle</t>
  </si>
  <si>
    <t xml:space="preserve">Overcommitment</t>
  </si>
  <si>
    <t xml:space="preserve">Fund of funds size (USD)</t>
  </si>
  <si>
    <t xml:space="preserve">Fund</t>
  </si>
  <si>
    <t xml:space="preserve">Share of commitments</t>
  </si>
  <si>
    <t xml:space="preserve">Net multiple</t>
  </si>
  <si>
    <t xml:space="preserve">Life (years)</t>
  </si>
  <si>
    <t xml:space="preserve">Value-add Europe</t>
  </si>
  <si>
    <t xml:space="preserve">US industrial</t>
  </si>
  <si>
    <t xml:space="preserve">Asia opportunistic</t>
  </si>
  <si>
    <t xml:space="preserve">Core plus US</t>
  </si>
  <si>
    <t xml:space="preserve">GCC development</t>
  </si>
  <si>
    <t xml:space="preserve">Year</t>
  </si>
  <si>
    <t xml:space="preserve">Called (share of commitment)</t>
  </si>
  <si>
    <t xml:space="preserve">Distributed (share of value)</t>
  </si>
  <si>
    <t xml:space="preserve">Calls from funds</t>
  </si>
  <si>
    <t xml:space="preserve">Distributions from funds</t>
  </si>
  <si>
    <t xml:space="preserve">Fund of funds fee</t>
  </si>
  <si>
    <t xml:space="preserve">Net to investors before carry</t>
  </si>
  <si>
    <t xml:space="preserve">Carry</t>
  </si>
  <si>
    <t xml:space="preserve">Net to investors</t>
  </si>
  <si>
    <t xml:space="preserve">Net to investors, cumulative</t>
  </si>
  <si>
    <t xml:space="preserve">Gross cash flow from the funds</t>
  </si>
  <si>
    <t xml:space="preserve">Net IRR to investors</t>
  </si>
  <si>
    <t xml:space="preserve">Gross IRR from the funds</t>
  </si>
  <si>
    <t xml:space="preserve">Net TVPI</t>
  </si>
  <si>
    <t xml:space="preserve">Peak net outflow (USD)</t>
  </si>
  <si>
    <t xml:space="preserve">Fees and carry paid (USD)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</si>
</sst>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\x"/>
    <numFmt numFmtId="167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0.0075</v>
      </c>
    </row>
    <row r="4" customFormat="false" ht="15" hidden="false" customHeight="false" outlineLevel="0" collapsed="false">
      <c r="A4" s="0" t="s">
        <v>2</v>
      </c>
      <c r="B4" s="1" t="n">
        <v>0.05</v>
      </c>
    </row>
    <row r="5" customFormat="false" ht="15" hidden="false" customHeight="false" outlineLevel="0" collapsed="false">
      <c r="A5" s="0" t="s">
        <v>3</v>
      </c>
      <c r="B5" s="1" t="n">
        <v>0.08</v>
      </c>
    </row>
    <row r="6" customFormat="false" ht="15" hidden="false" customHeight="false" outlineLevel="0" collapsed="false">
      <c r="A6" s="0" t="s">
        <v>4</v>
      </c>
      <c r="B6" s="2" t="n">
        <v>1.2</v>
      </c>
    </row>
    <row r="7" customFormat="false" ht="15" hidden="false" customHeight="false" outlineLevel="0" collapsed="false">
      <c r="A7" s="0" t="s">
        <v>5</v>
      </c>
      <c r="B7" s="3" t="n">
        <v>500000000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</row>
    <row r="2" customFormat="false" ht="15" hidden="false" customHeight="false" outlineLevel="0" collapsed="false">
      <c r="A2" s="0" t="s">
        <v>10</v>
      </c>
      <c r="B2" s="1" t="n">
        <v>0.25</v>
      </c>
      <c r="C2" s="2" t="n">
        <v>1.65</v>
      </c>
      <c r="D2" s="0" t="n">
        <v>7</v>
      </c>
    </row>
    <row r="3" customFormat="false" ht="15" hidden="false" customHeight="false" outlineLevel="0" collapsed="false">
      <c r="A3" s="0" t="s">
        <v>11</v>
      </c>
      <c r="B3" s="1" t="n">
        <v>0.2</v>
      </c>
      <c r="C3" s="2" t="n">
        <v>1.8</v>
      </c>
      <c r="D3" s="0" t="n">
        <v>6</v>
      </c>
    </row>
    <row r="4" customFormat="false" ht="15" hidden="false" customHeight="false" outlineLevel="0" collapsed="false">
      <c r="A4" s="0" t="s">
        <v>12</v>
      </c>
      <c r="B4" s="1" t="n">
        <v>0.2</v>
      </c>
      <c r="C4" s="2" t="n">
        <v>1.9</v>
      </c>
      <c r="D4" s="0" t="n">
        <v>8</v>
      </c>
    </row>
    <row r="5" customFormat="false" ht="15" hidden="false" customHeight="false" outlineLevel="0" collapsed="false">
      <c r="A5" s="0" t="s">
        <v>13</v>
      </c>
      <c r="B5" s="1" t="n">
        <v>0.2</v>
      </c>
      <c r="C5" s="2" t="n">
        <v>1.45</v>
      </c>
      <c r="D5" s="0" t="n">
        <v>7</v>
      </c>
    </row>
    <row r="6" customFormat="false" ht="15" hidden="false" customHeight="false" outlineLevel="0" collapsed="false">
      <c r="A6" s="0" t="s">
        <v>14</v>
      </c>
      <c r="B6" s="1" t="n">
        <v>0.15</v>
      </c>
      <c r="C6" s="2" t="n">
        <v>2</v>
      </c>
      <c r="D6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</row>
    <row r="2" customFormat="false" ht="15" hidden="false" customHeight="false" outlineLevel="0" collapsed="false">
      <c r="A2" s="0" t="n">
        <v>1</v>
      </c>
      <c r="B2" s="0" t="n">
        <v>0.25</v>
      </c>
      <c r="C2" s="0" t="n">
        <v>0</v>
      </c>
    </row>
    <row r="3" customFormat="false" ht="15" hidden="false" customHeight="false" outlineLevel="0" collapsed="false">
      <c r="A3" s="0" t="n">
        <v>2</v>
      </c>
      <c r="B3" s="0" t="n">
        <v>0.3</v>
      </c>
      <c r="C3" s="0" t="n">
        <v>0.02</v>
      </c>
    </row>
    <row r="4" customFormat="false" ht="15" hidden="false" customHeight="false" outlineLevel="0" collapsed="false">
      <c r="A4" s="0" t="n">
        <v>3</v>
      </c>
      <c r="B4" s="0" t="n">
        <v>0.25</v>
      </c>
      <c r="C4" s="0" t="n">
        <v>0.06</v>
      </c>
    </row>
    <row r="5" customFormat="false" ht="15" hidden="false" customHeight="false" outlineLevel="0" collapsed="false">
      <c r="A5" s="0" t="n">
        <v>4</v>
      </c>
      <c r="B5" s="0" t="n">
        <v>0.15</v>
      </c>
      <c r="C5" s="0" t="n">
        <v>0.12</v>
      </c>
    </row>
    <row r="6" customFormat="false" ht="15" hidden="false" customHeight="false" outlineLevel="0" collapsed="false">
      <c r="A6" s="0" t="n">
        <v>5</v>
      </c>
      <c r="B6" s="0" t="n">
        <v>0.05</v>
      </c>
      <c r="C6" s="0" t="n">
        <v>0.18</v>
      </c>
    </row>
    <row r="7" customFormat="false" ht="15" hidden="false" customHeight="false" outlineLevel="0" collapsed="false">
      <c r="A7" s="0" t="n">
        <v>6</v>
      </c>
      <c r="B7" s="0" t="n">
        <v>0</v>
      </c>
      <c r="C7" s="0" t="n">
        <v>0.22</v>
      </c>
    </row>
    <row r="8" customFormat="false" ht="15" hidden="false" customHeight="false" outlineLevel="0" collapsed="false">
      <c r="A8" s="0" t="n">
        <v>7</v>
      </c>
      <c r="B8" s="0" t="n">
        <v>0</v>
      </c>
      <c r="C8" s="0" t="n">
        <v>0.2</v>
      </c>
    </row>
    <row r="9" customFormat="false" ht="15" hidden="false" customHeight="false" outlineLevel="0" collapsed="false">
      <c r="A9" s="0" t="n">
        <v>8</v>
      </c>
      <c r="B9" s="0" t="n">
        <v>0</v>
      </c>
      <c r="C9" s="0" t="n">
        <v>0.12</v>
      </c>
    </row>
    <row r="10" customFormat="false" ht="15" hidden="false" customHeight="false" outlineLevel="0" collapsed="false">
      <c r="A10" s="0" t="n">
        <v>9</v>
      </c>
      <c r="B10" s="0" t="n">
        <v>0</v>
      </c>
      <c r="C10" s="0" t="n">
        <v>0.08</v>
      </c>
    </row>
    <row r="11" customFormat="false" ht="15" hidden="false" customHeight="false" outlineLevel="0" collapsed="false">
      <c r="A11" s="0" t="n">
        <v>10</v>
      </c>
      <c r="B11" s="0" t="n">
        <v>0</v>
      </c>
      <c r="C1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15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</row>
    <row r="4" customFormat="false" ht="15" hidden="false" customHeight="false" outlineLevel="0" collapsed="false">
      <c r="A4" s="0" t="s">
        <v>18</v>
      </c>
      <c r="B4" s="0" t="n">
        <f aca="false">0</f>
        <v>0</v>
      </c>
      <c r="C4" s="0" t="n">
        <f aca="false">Inputs!$B$7*Inputs!$B$6*SUMPRODUCT(Funds!$B$2:$B$6)*INDEX(Curves!$B$2:$B$11,C$3)</f>
        <v>150000000</v>
      </c>
      <c r="D4" s="0" t="n">
        <f aca="false">Inputs!$B$7*Inputs!$B$6*SUMPRODUCT(Funds!$B$2:$B$6)*INDEX(Curves!$B$2:$B$11,D$3)</f>
        <v>180000000</v>
      </c>
      <c r="E4" s="0" t="n">
        <f aca="false">Inputs!$B$7*Inputs!$B$6*SUMPRODUCT(Funds!$B$2:$B$6)*INDEX(Curves!$B$2:$B$11,E$3)</f>
        <v>150000000</v>
      </c>
      <c r="F4" s="0" t="n">
        <f aca="false">Inputs!$B$7*Inputs!$B$6*SUMPRODUCT(Funds!$B$2:$B$6)*INDEX(Curves!$B$2:$B$11,F$3)</f>
        <v>90000000</v>
      </c>
      <c r="G4" s="0" t="n">
        <f aca="false">Inputs!$B$7*Inputs!$B$6*SUMPRODUCT(Funds!$B$2:$B$6)*INDEX(Curves!$B$2:$B$11,G$3)</f>
        <v>30000000</v>
      </c>
      <c r="H4" s="0" t="n">
        <f aca="false">Inputs!$B$7*Inputs!$B$6*SUMPRODUCT(Funds!$B$2:$B$6)*INDEX(Curves!$B$2:$B$11,H$3)</f>
        <v>0</v>
      </c>
      <c r="I4" s="0" t="n">
        <f aca="false">Inputs!$B$7*Inputs!$B$6*SUMPRODUCT(Funds!$B$2:$B$6)*INDEX(Curves!$B$2:$B$11,I$3)</f>
        <v>0</v>
      </c>
      <c r="J4" s="0" t="n">
        <f aca="false">Inputs!$B$7*Inputs!$B$6*SUMPRODUCT(Funds!$B$2:$B$6)*INDEX(Curves!$B$2:$B$11,J$3)</f>
        <v>0</v>
      </c>
      <c r="K4" s="0" t="n">
        <f aca="false">Inputs!$B$7*Inputs!$B$6*SUMPRODUCT(Funds!$B$2:$B$6)*INDEX(Curves!$B$2:$B$11,K$3)</f>
        <v>0</v>
      </c>
      <c r="L4" s="0" t="n">
        <f aca="false">Inputs!$B$7*Inputs!$B$6*SUMPRODUCT(Funds!$B$2:$B$6)*INDEX(Curves!$B$2:$B$11,L$3)</f>
        <v>0</v>
      </c>
    </row>
    <row r="5" customFormat="false" ht="15" hidden="false" customHeight="false" outlineLevel="0" collapsed="false">
      <c r="A5" s="0" t="s">
        <v>19</v>
      </c>
      <c r="B5" s="0" t="n">
        <f aca="false">0</f>
        <v>0</v>
      </c>
      <c r="C5" s="0" t="n">
        <f aca="false">Inputs!$B$7*Inputs!$B$6*SUMPRODUCT(Funds!$B$2:$B$6,Funds!$C$2:$C$6)*INDEX(Curves!$C$2:$C$11,C$3)/SUM(Curves!$C$2:$C$11)</f>
        <v>0</v>
      </c>
      <c r="D5" s="0" t="n">
        <f aca="false">Inputs!$B$7*Inputs!$B$6*SUMPRODUCT(Funds!$B$2:$B$6,Funds!$C$2:$C$6)*INDEX(Curves!$C$2:$C$11,D$3)/SUM(Curves!$C$2:$C$11)</f>
        <v>20910000</v>
      </c>
      <c r="E5" s="0" t="n">
        <f aca="false">Inputs!$B$7*Inputs!$B$6*SUMPRODUCT(Funds!$B$2:$B$6,Funds!$C$2:$C$6)*INDEX(Curves!$C$2:$C$11,E$3)/SUM(Curves!$C$2:$C$11)</f>
        <v>62730000</v>
      </c>
      <c r="F5" s="0" t="n">
        <f aca="false">Inputs!$B$7*Inputs!$B$6*SUMPRODUCT(Funds!$B$2:$B$6,Funds!$C$2:$C$6)*INDEX(Curves!$C$2:$C$11,F$3)/SUM(Curves!$C$2:$C$11)</f>
        <v>125460000</v>
      </c>
      <c r="G5" s="0" t="n">
        <f aca="false">Inputs!$B$7*Inputs!$B$6*SUMPRODUCT(Funds!$B$2:$B$6,Funds!$C$2:$C$6)*INDEX(Curves!$C$2:$C$11,G$3)/SUM(Curves!$C$2:$C$11)</f>
        <v>188190000</v>
      </c>
      <c r="H5" s="0" t="n">
        <f aca="false">Inputs!$B$7*Inputs!$B$6*SUMPRODUCT(Funds!$B$2:$B$6,Funds!$C$2:$C$6)*INDEX(Curves!$C$2:$C$11,H$3)/SUM(Curves!$C$2:$C$11)</f>
        <v>230010000</v>
      </c>
      <c r="I5" s="0" t="n">
        <f aca="false">Inputs!$B$7*Inputs!$B$6*SUMPRODUCT(Funds!$B$2:$B$6,Funds!$C$2:$C$6)*INDEX(Curves!$C$2:$C$11,I$3)/SUM(Curves!$C$2:$C$11)</f>
        <v>209100000</v>
      </c>
      <c r="J5" s="0" t="n">
        <f aca="false">Inputs!$B$7*Inputs!$B$6*SUMPRODUCT(Funds!$B$2:$B$6,Funds!$C$2:$C$6)*INDEX(Curves!$C$2:$C$11,J$3)/SUM(Curves!$C$2:$C$11)</f>
        <v>125460000</v>
      </c>
      <c r="K5" s="0" t="n">
        <f aca="false">Inputs!$B$7*Inputs!$B$6*SUMPRODUCT(Funds!$B$2:$B$6,Funds!$C$2:$C$6)*INDEX(Curves!$C$2:$C$11,K$3)/SUM(Curves!$C$2:$C$11)</f>
        <v>83640000</v>
      </c>
      <c r="L5" s="0" t="n">
        <f aca="false">Inputs!$B$7*Inputs!$B$6*SUMPRODUCT(Funds!$B$2:$B$6,Funds!$C$2:$C$6)*INDEX(Curves!$C$2:$C$11,L$3)/SUM(Curves!$C$2:$C$11)</f>
        <v>0</v>
      </c>
    </row>
    <row r="6" customFormat="false" ht="15" hidden="false" customHeight="false" outlineLevel="0" collapsed="false">
      <c r="A6" s="0" t="s">
        <v>20</v>
      </c>
      <c r="B6" s="0" t="n">
        <f aca="false">0</f>
        <v>0</v>
      </c>
      <c r="C6" s="0" t="n">
        <f aca="false">Inputs!$B$7*Inputs!$B$3*IF(C$3&lt;=5,1,0.6)</f>
        <v>3750000</v>
      </c>
      <c r="D6" s="0" t="n">
        <f aca="false">Inputs!$B$7*Inputs!$B$3*IF(D$3&lt;=5,1,0.6)</f>
        <v>3750000</v>
      </c>
      <c r="E6" s="0" t="n">
        <f aca="false">Inputs!$B$7*Inputs!$B$3*IF(E$3&lt;=5,1,0.6)</f>
        <v>3750000</v>
      </c>
      <c r="F6" s="0" t="n">
        <f aca="false">Inputs!$B$7*Inputs!$B$3*IF(F$3&lt;=5,1,0.6)</f>
        <v>3750000</v>
      </c>
      <c r="G6" s="0" t="n">
        <f aca="false">Inputs!$B$7*Inputs!$B$3*IF(G$3&lt;=5,1,0.6)</f>
        <v>3750000</v>
      </c>
      <c r="H6" s="0" t="n">
        <f aca="false">Inputs!$B$7*Inputs!$B$3*IF(H$3&lt;=5,1,0.6)</f>
        <v>2250000</v>
      </c>
      <c r="I6" s="0" t="n">
        <f aca="false">Inputs!$B$7*Inputs!$B$3*IF(I$3&lt;=5,1,0.6)</f>
        <v>2250000</v>
      </c>
      <c r="J6" s="0" t="n">
        <f aca="false">Inputs!$B$7*Inputs!$B$3*IF(J$3&lt;=5,1,0.6)</f>
        <v>2250000</v>
      </c>
      <c r="K6" s="0" t="n">
        <f aca="false">Inputs!$B$7*Inputs!$B$3*IF(K$3&lt;=5,1,0.6)</f>
        <v>2250000</v>
      </c>
      <c r="L6" s="0" t="n">
        <f aca="false">Inputs!$B$7*Inputs!$B$3*IF(L$3&lt;=5,1,0.6)</f>
        <v>2250000</v>
      </c>
    </row>
    <row r="7" customFormat="false" ht="15" hidden="false" customHeight="false" outlineLevel="0" collapsed="false">
      <c r="A7" s="0" t="s">
        <v>21</v>
      </c>
      <c r="B7" s="0" t="n">
        <f aca="false">B5-B4-B6</f>
        <v>0</v>
      </c>
      <c r="C7" s="0" t="n">
        <f aca="false">C5-C4-C6</f>
        <v>-153750000</v>
      </c>
      <c r="D7" s="0" t="n">
        <f aca="false">D5-D4-D6</f>
        <v>-162840000</v>
      </c>
      <c r="E7" s="0" t="n">
        <f aca="false">E5-E4-E6</f>
        <v>-91020000</v>
      </c>
      <c r="F7" s="0" t="n">
        <f aca="false">F5-F4-F6</f>
        <v>31710000</v>
      </c>
      <c r="G7" s="0" t="n">
        <f aca="false">G5-G4-G6</f>
        <v>154440000</v>
      </c>
      <c r="H7" s="0" t="n">
        <f aca="false">H5-H4-H6</f>
        <v>227760000</v>
      </c>
      <c r="I7" s="0" t="n">
        <f aca="false">I5-I4-I6</f>
        <v>206850000</v>
      </c>
      <c r="J7" s="0" t="n">
        <f aca="false">J5-J4-J6</f>
        <v>123210000</v>
      </c>
      <c r="K7" s="0" t="n">
        <f aca="false">K5-K4-K6</f>
        <v>81390000</v>
      </c>
      <c r="L7" s="0" t="n">
        <f aca="false">L5-L4-L6</f>
        <v>-2250000</v>
      </c>
    </row>
    <row r="8" customFormat="false" ht="15" hidden="false" customHeight="false" outlineLevel="0" collapsed="false">
      <c r="A8" s="0" t="s">
        <v>22</v>
      </c>
      <c r="B8" s="0" t="n">
        <f aca="false">IF(B$3=10,MAX(0,SUM($B7:B7)-SUMIF($B7:B7,"&lt;0")*-((1+Inputs!$B$5)^5-1))*Inputs!$B$4,0)</f>
        <v>0</v>
      </c>
      <c r="C8" s="0" t="n">
        <f aca="false">IF(C$3=10,MAX(0,SUM($B7:C7)-SUMIF($B7:C7,"&lt;0")*-((1+Inputs!$B$5)^5-1))*Inputs!$B$4,0)</f>
        <v>0</v>
      </c>
      <c r="D8" s="0" t="n">
        <f aca="false">IF(D$3=10,MAX(0,SUM($B7:D7)-SUMIF($B7:D7,"&lt;0")*-((1+Inputs!$B$5)^5-1))*Inputs!$B$4,0)</f>
        <v>0</v>
      </c>
      <c r="E8" s="0" t="n">
        <f aca="false">IF(E$3=10,MAX(0,SUM($B7:E7)-SUMIF($B7:E7,"&lt;0")*-((1+Inputs!$B$5)^5-1))*Inputs!$B$4,0)</f>
        <v>0</v>
      </c>
      <c r="F8" s="0" t="n">
        <f aca="false">IF(F$3=10,MAX(0,SUM($B7:F7)-SUMIF($B7:F7,"&lt;0")*-((1+Inputs!$B$5)^5-1))*Inputs!$B$4,0)</f>
        <v>0</v>
      </c>
      <c r="G8" s="0" t="n">
        <f aca="false">IF(G$3=10,MAX(0,SUM($B7:G7)-SUMIF($B7:G7,"&lt;0")*-((1+Inputs!$B$5)^5-1))*Inputs!$B$4,0)</f>
        <v>0</v>
      </c>
      <c r="H8" s="0" t="n">
        <f aca="false">IF(H$3=10,MAX(0,SUM($B7:H7)-SUMIF($B7:H7,"&lt;0")*-((1+Inputs!$B$5)^5-1))*Inputs!$B$4,0)</f>
        <v>0</v>
      </c>
      <c r="I8" s="0" t="n">
        <f aca="false">IF(I$3=10,MAX(0,SUM($B7:I7)-SUMIF($B7:I7,"&lt;0")*-((1+Inputs!$B$5)^5-1))*Inputs!$B$4,0)</f>
        <v>0</v>
      </c>
      <c r="J8" s="0" t="n">
        <f aca="false">IF(J$3=10,MAX(0,SUM($B7:J7)-SUMIF($B7:J7,"&lt;0")*-((1+Inputs!$B$5)^5-1))*Inputs!$B$4,0)</f>
        <v>0</v>
      </c>
      <c r="K8" s="0" t="n">
        <f aca="false">IF(K$3=10,MAX(0,SUM($B7:K7)-SUMIF($B7:K7,"&lt;0")*-((1+Inputs!$B$5)^5-1))*Inputs!$B$4,0)</f>
        <v>0</v>
      </c>
      <c r="L8" s="0" t="n">
        <f aca="false">IF(L$3=10,MAX(0,SUM($B7:L7)-SUMIF($B7:L7,"&lt;0")*-((1+Inputs!$B$5)^5-1))*Inputs!$B$4,0)</f>
        <v>11157059.7221376</v>
      </c>
    </row>
    <row r="9" customFormat="false" ht="15" hidden="false" customHeight="false" outlineLevel="0" collapsed="false">
      <c r="A9" s="0" t="s">
        <v>23</v>
      </c>
      <c r="B9" s="0" t="n">
        <f aca="false">B7-B8</f>
        <v>0</v>
      </c>
      <c r="C9" s="0" t="n">
        <f aca="false">C7-C8</f>
        <v>-153750000</v>
      </c>
      <c r="D9" s="0" t="n">
        <f aca="false">D7-D8</f>
        <v>-162840000</v>
      </c>
      <c r="E9" s="0" t="n">
        <f aca="false">E7-E8</f>
        <v>-91020000</v>
      </c>
      <c r="F9" s="0" t="n">
        <f aca="false">F7-F8</f>
        <v>31710000</v>
      </c>
      <c r="G9" s="0" t="n">
        <f aca="false">G7-G8</f>
        <v>154440000</v>
      </c>
      <c r="H9" s="0" t="n">
        <f aca="false">H7-H8</f>
        <v>227760000</v>
      </c>
      <c r="I9" s="0" t="n">
        <f aca="false">I7-I8</f>
        <v>206850000</v>
      </c>
      <c r="J9" s="0" t="n">
        <f aca="false">J7-J8</f>
        <v>123210000</v>
      </c>
      <c r="K9" s="0" t="n">
        <f aca="false">K7-K8</f>
        <v>81390000</v>
      </c>
      <c r="L9" s="0" t="n">
        <f aca="false">L7-L8</f>
        <v>-13407059.7221376</v>
      </c>
    </row>
    <row r="10" customFormat="false" ht="15" hidden="false" customHeight="false" outlineLevel="0" collapsed="false">
      <c r="A10" s="0" t="s">
        <v>24</v>
      </c>
      <c r="B10" s="0" t="n">
        <f aca="false">SUM($B9:B9)</f>
        <v>0</v>
      </c>
      <c r="C10" s="0" t="n">
        <f aca="false">SUM($B9:C9)</f>
        <v>-153750000</v>
      </c>
      <c r="D10" s="0" t="n">
        <f aca="false">SUM($B9:D9)</f>
        <v>-316590000</v>
      </c>
      <c r="E10" s="0" t="n">
        <f aca="false">SUM($B9:E9)</f>
        <v>-407610000</v>
      </c>
      <c r="F10" s="0" t="n">
        <f aca="false">SUM($B9:F9)</f>
        <v>-375900000</v>
      </c>
      <c r="G10" s="0" t="n">
        <f aca="false">SUM($B9:G9)</f>
        <v>-221460000</v>
      </c>
      <c r="H10" s="0" t="n">
        <f aca="false">SUM($B9:H9)</f>
        <v>6300000</v>
      </c>
      <c r="I10" s="0" t="n">
        <f aca="false">SUM($B9:I9)</f>
        <v>213150000</v>
      </c>
      <c r="J10" s="0" t="n">
        <f aca="false">SUM($B9:J9)</f>
        <v>336360000</v>
      </c>
      <c r="K10" s="0" t="n">
        <f aca="false">SUM($B9:K9)</f>
        <v>417750000</v>
      </c>
      <c r="L10" s="0" t="n">
        <f aca="false">SUM($B9:L9)</f>
        <v>404342940.277862</v>
      </c>
    </row>
    <row r="11" customFormat="false" ht="15" hidden="false" customHeight="false" outlineLevel="0" collapsed="false">
      <c r="A11" s="0" t="s">
        <v>25</v>
      </c>
      <c r="B11" s="0" t="n">
        <f aca="false">B5-B4</f>
        <v>0</v>
      </c>
      <c r="C11" s="0" t="n">
        <f aca="false">C5-C4</f>
        <v>-150000000</v>
      </c>
      <c r="D11" s="0" t="n">
        <f aca="false">D5-D4</f>
        <v>-159090000</v>
      </c>
      <c r="E11" s="0" t="n">
        <f aca="false">E5-E4</f>
        <v>-87270000</v>
      </c>
      <c r="F11" s="0" t="n">
        <f aca="false">F5-F4</f>
        <v>35460000</v>
      </c>
      <c r="G11" s="0" t="n">
        <f aca="false">G5-G4</f>
        <v>158190000</v>
      </c>
      <c r="H11" s="0" t="n">
        <f aca="false">H5-H4</f>
        <v>230010000</v>
      </c>
      <c r="I11" s="0" t="n">
        <f aca="false">I5-I4</f>
        <v>209100000</v>
      </c>
      <c r="J11" s="0" t="n">
        <f aca="false">J5-J4</f>
        <v>125460000</v>
      </c>
      <c r="K11" s="0" t="n">
        <f aca="false">K5-K4</f>
        <v>83640000</v>
      </c>
      <c r="L11" s="0" t="n">
        <f aca="false">L5-L4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26</v>
      </c>
      <c r="B3" s="1" t="n">
        <f aca="false">IRR('Cash Flow'!$B$9:$L$9)</f>
        <v>0.161465047104725</v>
      </c>
    </row>
    <row r="4" customFormat="false" ht="15" hidden="false" customHeight="false" outlineLevel="0" collapsed="false">
      <c r="A4" s="0" t="s">
        <v>27</v>
      </c>
      <c r="B4" s="1" t="n">
        <f aca="false">IRR('Cash Flow'!B11:L11)</f>
        <v>0.176473041310529</v>
      </c>
    </row>
    <row r="5" customFormat="false" ht="15" hidden="false" customHeight="false" outlineLevel="0" collapsed="false">
      <c r="A5" s="0" t="s">
        <v>28</v>
      </c>
      <c r="B5" s="2" t="n">
        <f aca="false">(SUM('Cash Flow'!$B$5:$L$5)-SUM('Cash Flow'!$B$8:$L$8))/(SUM('Cash Flow'!$B$4:$L$4)+SUM('Cash Flow'!$B$6:$L$6))</f>
        <v>1.64181419091724</v>
      </c>
    </row>
    <row r="6" customFormat="false" ht="15" hidden="false" customHeight="false" outlineLevel="0" collapsed="false">
      <c r="A6" s="0" t="s">
        <v>29</v>
      </c>
      <c r="B6" s="3" t="n">
        <f aca="false">-MIN('Cash Flow'!B10:L10)</f>
        <v>407610000</v>
      </c>
    </row>
    <row r="7" customFormat="false" ht="15" hidden="false" customHeight="false" outlineLevel="0" collapsed="false">
      <c r="A7" s="0" t="s">
        <v>30</v>
      </c>
      <c r="B7" s="3" t="n">
        <f aca="false">SUM('Cash Flow'!$B$6:$L$6)+SUM('Cash Flow'!$B$8:$L$8)</f>
        <v>41157059.7221376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2026-10-18T01:10:31Z</dcterms:created>
  <dc:creator>openpyxl</dc:creator>
  <dc:description/>
  <dc:language>en-US</dc:language>
  <cp:lastModifiedBy/>
  <dcterms:modified xsi:type="dcterms:W3CDTF">2026-10-18T01:10:31Z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