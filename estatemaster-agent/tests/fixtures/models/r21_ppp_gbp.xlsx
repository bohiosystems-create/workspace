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Lifecycle" sheetId="2" state="visible" r:id="rId4"/>
    <sheet name="Cash Flow" sheetId="3" state="visible" r:id="rId5"/>
    <sheet name="Retur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<sst xmlns="http://schemas.openxmlformats.org/spreadsheetml/2006/main" count="55" uniqueCount="54">
  <si>
    <t xml:space="preserve">RIVERSIDE SCHOOLS PPP – AVAILABILITY PROJECT FINANCE (GBP)</t>
  </si>
  <si>
    <t xml:space="preserve">Case (1 Sponsor, 2 Lenders)</t>
  </si>
  <si>
    <t xml:space="preserve">Financial close</t>
  </si>
  <si>
    <t xml:space="preserve">Construction cost (£)</t>
  </si>
  <si>
    <t xml:space="preserve">Construction (half-years)</t>
  </si>
  <si>
    <t xml:space="preserve">Concession (half-years from completion)</t>
  </si>
  <si>
    <t xml:space="preserve">Unitary payment a year (£)</t>
  </si>
  <si>
    <t xml:space="preserve">RPI indexation</t>
  </si>
  <si>
    <t xml:space="preserve">Operating cost a year (£)</t>
  </si>
  <si>
    <t xml:space="preserve">Target DSCR (sculpting)</t>
  </si>
  <si>
    <t xml:space="preserve">Senior all-in rate</t>
  </si>
  <si>
    <t xml:space="preserve">Debt tenor (half-years)</t>
  </si>
  <si>
    <t xml:space="preserve">DSRA (half-years of debt service)</t>
  </si>
  <si>
    <t xml:space="preserve">MRA funded ahead (half-years)</t>
  </si>
  <si>
    <t xml:space="preserve">Capital allowances rate (reducing balance)</t>
  </si>
  <si>
    <t xml:space="preserve">Corporation tax</t>
  </si>
  <si>
    <t xml:space="preserve">Unavailability deductions (% of UP) · Sponsor</t>
  </si>
  <si>
    <t xml:space="preserve">Unavailability deductions (% of UP) · Lenders</t>
  </si>
  <si>
    <t xml:space="preserve">Operating cost uplift · Lenders case</t>
  </si>
  <si>
    <t xml:space="preserve">Half-year</t>
  </si>
  <si>
    <t xml:space="preserve">Lifecycle cost (£, real)</t>
  </si>
  <si>
    <t xml:space="preserve">Date</t>
  </si>
  <si>
    <t xml:space="preserve">Construction</t>
  </si>
  <si>
    <t xml:space="preserve">Operating</t>
  </si>
  <si>
    <t xml:space="preserve">Unitary payment</t>
  </si>
  <si>
    <t xml:space="preserve">Deductions</t>
  </si>
  <si>
    <t xml:space="preserve">Operating cost</t>
  </si>
  <si>
    <t xml:space="preserve">Lifecycle</t>
  </si>
  <si>
    <t xml:space="preserve">MRA deposit</t>
  </si>
  <si>
    <t xml:space="preserve">MRA release</t>
  </si>
  <si>
    <t xml:space="preserve">CFADS</t>
  </si>
  <si>
    <t xml:space="preserve">Debt service (sculpted)</t>
  </si>
  <si>
    <t xml:space="preserve">Debt balance</t>
  </si>
  <si>
    <t xml:space="preserve">Interest</t>
  </si>
  <si>
    <t xml:space="preserve">Principal</t>
  </si>
  <si>
    <t xml:space="preserve">DSRA balance</t>
  </si>
  <si>
    <t xml:space="preserve">DSRA movement</t>
  </si>
  <si>
    <t xml:space="preserve">Capital allowances pool</t>
  </si>
  <si>
    <t xml:space="preserve">Capital allowances</t>
  </si>
  <si>
    <t xml:space="preserve">Taxable profit</t>
  </si>
  <si>
    <t xml:space="preserve">Tax</t>
  </si>
  <si>
    <t xml:space="preserve">Equity cash flow</t>
  </si>
  <si>
    <t xml:space="preserve">DSCR</t>
  </si>
  <si>
    <t xml:space="preserve">PV of CFADS remaining</t>
  </si>
  <si>
    <t xml:space="preserve">LLCR</t>
  </si>
  <si>
    <t xml:space="preserve">Equity IRR (XIRR)</t>
  </si>
  <si>
    <t xml:space="preserve">Minimum DSCR</t>
  </si>
  <si>
    <t xml:space="preserve">Minimum LLCR</t>
  </si>
  <si>
    <t xml:space="preserve">Senior debt at completion (£)</t>
  </si>
  <si>
    <t xml:space="preserve">Gearing</t>
  </si>
  <si>
    <t xml:space="preserve">Tax paid (£)</t>
  </si>
  <si>
    <t xml:space="preserve">Lifecycle spend (£)</t>
  </si>
  <si>
    <t xml:space="preserve">Net profit to equity (£)</t>
  </si>
  <si>
    <t xml:space="preserve">Case in use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</si>
</sst>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dd\-mmm\-yyyy"/>
    <numFmt numFmtId="167" formatCode="#,##0"/>
    <numFmt numFmtId="168" formatCode="0.00%"/>
    <numFmt numFmtId="169" formatCode="0.00\x"/>
    <numFmt numFmtId="170" formatCode="@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1</v>
      </c>
    </row>
    <row r="4" customFormat="false" ht="15" hidden="false" customHeight="false" outlineLevel="0" collapsed="false">
      <c r="A4" s="0" t="s">
        <v>2</v>
      </c>
      <c r="B4" s="2" t="n">
        <v>46203</v>
      </c>
    </row>
    <row r="5" customFormat="false" ht="15" hidden="false" customHeight="false" outlineLevel="0" collapsed="false">
      <c r="A5" s="0" t="s">
        <v>3</v>
      </c>
      <c r="B5" s="3" t="n">
        <v>148000000</v>
      </c>
    </row>
    <row r="6" customFormat="false" ht="15" hidden="false" customHeight="false" outlineLevel="0" collapsed="false">
      <c r="A6" s="0" t="s">
        <v>4</v>
      </c>
      <c r="B6" s="1" t="n">
        <v>5</v>
      </c>
    </row>
    <row r="7" customFormat="false" ht="15" hidden="false" customHeight="false" outlineLevel="0" collapsed="false">
      <c r="A7" s="0" t="s">
        <v>5</v>
      </c>
      <c r="B7" s="1" t="n">
        <v>50</v>
      </c>
    </row>
    <row r="8" customFormat="false" ht="15" hidden="false" customHeight="false" outlineLevel="0" collapsed="false">
      <c r="A8" s="0" t="s">
        <v>6</v>
      </c>
      <c r="B8" s="3" t="n">
        <v>21500000</v>
      </c>
    </row>
    <row r="9" customFormat="false" ht="15" hidden="false" customHeight="false" outlineLevel="0" collapsed="false">
      <c r="A9" s="0" t="s">
        <v>7</v>
      </c>
      <c r="B9" s="4" t="n">
        <v>0.03</v>
      </c>
    </row>
    <row r="10" customFormat="false" ht="15" hidden="false" customHeight="false" outlineLevel="0" collapsed="false">
      <c r="A10" s="0" t="s">
        <v>8</v>
      </c>
      <c r="B10" s="3" t="n">
        <v>4200000</v>
      </c>
    </row>
    <row r="11" customFormat="false" ht="15" hidden="false" customHeight="false" outlineLevel="0" collapsed="false">
      <c r="A11" s="0" t="s">
        <v>9</v>
      </c>
      <c r="B11" s="5" t="n">
        <v>1.3</v>
      </c>
    </row>
    <row r="12" customFormat="false" ht="15" hidden="false" customHeight="false" outlineLevel="0" collapsed="false">
      <c r="A12" s="0" t="s">
        <v>10</v>
      </c>
      <c r="B12" s="4" t="n">
        <v>0.052</v>
      </c>
    </row>
    <row r="13" customFormat="false" ht="15" hidden="false" customHeight="false" outlineLevel="0" collapsed="false">
      <c r="A13" s="0" t="s">
        <v>11</v>
      </c>
      <c r="B13" s="1" t="n">
        <v>40</v>
      </c>
    </row>
    <row r="14" customFormat="false" ht="15" hidden="false" customHeight="false" outlineLevel="0" collapsed="false">
      <c r="A14" s="0" t="s">
        <v>12</v>
      </c>
      <c r="B14" s="1" t="n">
        <v>1</v>
      </c>
    </row>
    <row r="15" customFormat="false" ht="15" hidden="false" customHeight="false" outlineLevel="0" collapsed="false">
      <c r="A15" s="0" t="s">
        <v>13</v>
      </c>
      <c r="B15" s="1" t="n">
        <v>3</v>
      </c>
    </row>
    <row r="16" customFormat="false" ht="15" hidden="false" customHeight="false" outlineLevel="0" collapsed="false">
      <c r="A16" s="0" t="s">
        <v>14</v>
      </c>
      <c r="B16" s="4" t="n">
        <v>0.06</v>
      </c>
    </row>
    <row r="17" customFormat="false" ht="15" hidden="false" customHeight="false" outlineLevel="0" collapsed="false">
      <c r="A17" s="0" t="s">
        <v>15</v>
      </c>
      <c r="B17" s="4" t="n">
        <v>0.25</v>
      </c>
    </row>
    <row r="18" customFormat="false" ht="15" hidden="false" customHeight="false" outlineLevel="0" collapsed="false">
      <c r="A18" s="0" t="s">
        <v>16</v>
      </c>
      <c r="B18" s="4" t="n">
        <v>0.005</v>
      </c>
    </row>
    <row r="19" customFormat="false" ht="15" hidden="false" customHeight="false" outlineLevel="0" collapsed="false">
      <c r="A19" s="0" t="s">
        <v>17</v>
      </c>
      <c r="B19" s="4" t="n">
        <v>0.02</v>
      </c>
    </row>
    <row r="20" customFormat="false" ht="15" hidden="false" customHeight="false" outlineLevel="0" collapsed="false">
      <c r="A20" s="0" t="s">
        <v>18</v>
      </c>
      <c r="B20" s="4" t="n">
        <v>0.1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19</v>
      </c>
      <c r="B1" s="0" t="s">
        <v>20</v>
      </c>
    </row>
    <row r="2" customFormat="false" ht="15" hidden="false" customHeight="false" outlineLevel="0" collapsed="false">
      <c r="A2" s="0" t="n">
        <v>1</v>
      </c>
      <c r="B2" s="0" t="n">
        <v>0</v>
      </c>
    </row>
    <row r="3" customFormat="false" ht="15" hidden="false" customHeight="false" outlineLevel="0" collapsed="false">
      <c r="A3" s="0" t="n">
        <v>2</v>
      </c>
      <c r="B3" s="0" t="n">
        <v>0</v>
      </c>
    </row>
    <row r="4" customFormat="false" ht="15" hidden="false" customHeight="false" outlineLevel="0" collapsed="false">
      <c r="A4" s="0" t="n">
        <v>3</v>
      </c>
      <c r="B4" s="0" t="n">
        <v>0</v>
      </c>
    </row>
    <row r="5" customFormat="false" ht="15" hidden="false" customHeight="false" outlineLevel="0" collapsed="false">
      <c r="A5" s="0" t="n">
        <v>4</v>
      </c>
      <c r="B5" s="0" t="n">
        <v>900000</v>
      </c>
    </row>
    <row r="6" customFormat="false" ht="15" hidden="false" customHeight="false" outlineLevel="0" collapsed="false">
      <c r="A6" s="0" t="n">
        <v>5</v>
      </c>
      <c r="B6" s="0" t="n">
        <v>0</v>
      </c>
    </row>
    <row r="7" customFormat="false" ht="15" hidden="false" customHeight="false" outlineLevel="0" collapsed="false">
      <c r="A7" s="0" t="n">
        <v>6</v>
      </c>
      <c r="B7" s="0" t="n">
        <v>0</v>
      </c>
    </row>
    <row r="8" customFormat="false" ht="15" hidden="false" customHeight="false" outlineLevel="0" collapsed="false">
      <c r="A8" s="0" t="n">
        <v>7</v>
      </c>
      <c r="B8" s="0" t="n">
        <v>0</v>
      </c>
    </row>
    <row r="9" customFormat="false" ht="15" hidden="false" customHeight="false" outlineLevel="0" collapsed="false">
      <c r="A9" s="0" t="n">
        <v>8</v>
      </c>
      <c r="B9" s="0" t="n">
        <v>900000</v>
      </c>
    </row>
    <row r="10" customFormat="false" ht="15" hidden="false" customHeight="false" outlineLevel="0" collapsed="false">
      <c r="A10" s="0" t="n">
        <v>9</v>
      </c>
      <c r="B10" s="0" t="n">
        <v>0</v>
      </c>
    </row>
    <row r="11" customFormat="false" ht="15" hidden="false" customHeight="false" outlineLevel="0" collapsed="false">
      <c r="A11" s="0" t="n">
        <v>10</v>
      </c>
      <c r="B11" s="0" t="n">
        <v>2600000</v>
      </c>
    </row>
    <row r="12" customFormat="false" ht="15" hidden="false" customHeight="false" outlineLevel="0" collapsed="false">
      <c r="A12" s="0" t="n">
        <v>11</v>
      </c>
      <c r="B12" s="0" t="n">
        <v>0</v>
      </c>
    </row>
    <row r="13" customFormat="false" ht="15" hidden="false" customHeight="false" outlineLevel="0" collapsed="false">
      <c r="A13" s="0" t="n">
        <v>12</v>
      </c>
      <c r="B13" s="0" t="n">
        <v>900000</v>
      </c>
    </row>
    <row r="14" customFormat="false" ht="15" hidden="false" customHeight="false" outlineLevel="0" collapsed="false">
      <c r="A14" s="0" t="n">
        <v>13</v>
      </c>
      <c r="B14" s="0" t="n">
        <v>0</v>
      </c>
    </row>
    <row r="15" customFormat="false" ht="15" hidden="false" customHeight="false" outlineLevel="0" collapsed="false">
      <c r="A15" s="0" t="n">
        <v>14</v>
      </c>
      <c r="B15" s="0" t="n">
        <v>0</v>
      </c>
    </row>
    <row r="16" customFormat="false" ht="15" hidden="false" customHeight="false" outlineLevel="0" collapsed="false">
      <c r="A16" s="0" t="n">
        <v>15</v>
      </c>
      <c r="B16" s="0" t="n">
        <v>0</v>
      </c>
    </row>
    <row r="17" customFormat="false" ht="15" hidden="false" customHeight="false" outlineLevel="0" collapsed="false">
      <c r="A17" s="0" t="n">
        <v>16</v>
      </c>
      <c r="B17" s="0" t="n">
        <v>900000</v>
      </c>
    </row>
    <row r="18" customFormat="false" ht="15" hidden="false" customHeight="false" outlineLevel="0" collapsed="false">
      <c r="A18" s="0" t="n">
        <v>17</v>
      </c>
      <c r="B18" s="0" t="n">
        <v>0</v>
      </c>
    </row>
    <row r="19" customFormat="false" ht="15" hidden="false" customHeight="false" outlineLevel="0" collapsed="false">
      <c r="A19" s="0" t="n">
        <v>18</v>
      </c>
      <c r="B19" s="0" t="n">
        <v>0</v>
      </c>
    </row>
    <row r="20" customFormat="false" ht="15" hidden="false" customHeight="false" outlineLevel="0" collapsed="false">
      <c r="A20" s="0" t="n">
        <v>19</v>
      </c>
      <c r="B20" s="0" t="n">
        <v>0</v>
      </c>
    </row>
    <row r="21" customFormat="false" ht="15" hidden="false" customHeight="false" outlineLevel="0" collapsed="false">
      <c r="A21" s="0" t="n">
        <v>20</v>
      </c>
      <c r="B21" s="0" t="n">
        <v>2600000</v>
      </c>
    </row>
    <row r="22" customFormat="false" ht="15" hidden="false" customHeight="false" outlineLevel="0" collapsed="false">
      <c r="A22" s="0" t="n">
        <v>21</v>
      </c>
      <c r="B22" s="0" t="n">
        <v>0</v>
      </c>
    </row>
    <row r="23" customFormat="false" ht="15" hidden="false" customHeight="false" outlineLevel="0" collapsed="false">
      <c r="A23" s="0" t="n">
        <v>22</v>
      </c>
      <c r="B23" s="0" t="n">
        <v>0</v>
      </c>
    </row>
    <row r="24" customFormat="false" ht="15" hidden="false" customHeight="false" outlineLevel="0" collapsed="false">
      <c r="A24" s="0" t="n">
        <v>23</v>
      </c>
      <c r="B24" s="0" t="n">
        <v>0</v>
      </c>
    </row>
    <row r="25" customFormat="false" ht="15" hidden="false" customHeight="false" outlineLevel="0" collapsed="false">
      <c r="A25" s="0" t="n">
        <v>24</v>
      </c>
      <c r="B25" s="0" t="n">
        <v>900000</v>
      </c>
    </row>
    <row r="26" customFormat="false" ht="15" hidden="false" customHeight="false" outlineLevel="0" collapsed="false">
      <c r="A26" s="0" t="n">
        <v>25</v>
      </c>
      <c r="B26" s="0" t="n">
        <v>0</v>
      </c>
    </row>
    <row r="27" customFormat="false" ht="15" hidden="false" customHeight="false" outlineLevel="0" collapsed="false">
      <c r="A27" s="0" t="n">
        <v>26</v>
      </c>
      <c r="B27" s="0" t="n">
        <v>0</v>
      </c>
    </row>
    <row r="28" customFormat="false" ht="15" hidden="false" customHeight="false" outlineLevel="0" collapsed="false">
      <c r="A28" s="0" t="n">
        <v>27</v>
      </c>
      <c r="B28" s="0" t="n">
        <v>0</v>
      </c>
    </row>
    <row r="29" customFormat="false" ht="15" hidden="false" customHeight="false" outlineLevel="0" collapsed="false">
      <c r="A29" s="0" t="n">
        <v>28</v>
      </c>
      <c r="B29" s="0" t="n">
        <v>900000</v>
      </c>
    </row>
    <row r="30" customFormat="false" ht="15" hidden="false" customHeight="false" outlineLevel="0" collapsed="false">
      <c r="A30" s="0" t="n">
        <v>29</v>
      </c>
      <c r="B30" s="0" t="n">
        <v>0</v>
      </c>
    </row>
    <row r="31" customFormat="false" ht="15" hidden="false" customHeight="false" outlineLevel="0" collapsed="false">
      <c r="A31" s="0" t="n">
        <v>30</v>
      </c>
      <c r="B31" s="0" t="n">
        <v>2600000</v>
      </c>
    </row>
    <row r="32" customFormat="false" ht="15" hidden="false" customHeight="false" outlineLevel="0" collapsed="false">
      <c r="A32" s="0" t="n">
        <v>31</v>
      </c>
      <c r="B32" s="0" t="n">
        <v>0</v>
      </c>
    </row>
    <row r="33" customFormat="false" ht="15" hidden="false" customHeight="false" outlineLevel="0" collapsed="false">
      <c r="A33" s="0" t="n">
        <v>32</v>
      </c>
      <c r="B33" s="0" t="n">
        <v>900000</v>
      </c>
    </row>
    <row r="34" customFormat="false" ht="15" hidden="false" customHeight="false" outlineLevel="0" collapsed="false">
      <c r="A34" s="0" t="n">
        <v>33</v>
      </c>
      <c r="B34" s="0" t="n">
        <v>0</v>
      </c>
    </row>
    <row r="35" customFormat="false" ht="15" hidden="false" customHeight="false" outlineLevel="0" collapsed="false">
      <c r="A35" s="0" t="n">
        <v>34</v>
      </c>
      <c r="B35" s="0" t="n">
        <v>0</v>
      </c>
    </row>
    <row r="36" customFormat="false" ht="15" hidden="false" customHeight="false" outlineLevel="0" collapsed="false">
      <c r="A36" s="0" t="n">
        <v>35</v>
      </c>
      <c r="B36" s="0" t="n">
        <v>0</v>
      </c>
    </row>
    <row r="37" customFormat="false" ht="15" hidden="false" customHeight="false" outlineLevel="0" collapsed="false">
      <c r="A37" s="0" t="n">
        <v>36</v>
      </c>
      <c r="B37" s="0" t="n">
        <v>900000</v>
      </c>
    </row>
    <row r="38" customFormat="false" ht="15" hidden="false" customHeight="false" outlineLevel="0" collapsed="false">
      <c r="A38" s="0" t="n">
        <v>37</v>
      </c>
      <c r="B38" s="0" t="n">
        <v>0</v>
      </c>
    </row>
    <row r="39" customFormat="false" ht="15" hidden="false" customHeight="false" outlineLevel="0" collapsed="false">
      <c r="A39" s="0" t="n">
        <v>38</v>
      </c>
      <c r="B39" s="0" t="n">
        <v>0</v>
      </c>
    </row>
    <row r="40" customFormat="false" ht="15" hidden="false" customHeight="false" outlineLevel="0" collapsed="false">
      <c r="A40" s="0" t="n">
        <v>39</v>
      </c>
      <c r="B40" s="0" t="n">
        <v>0</v>
      </c>
    </row>
    <row r="41" customFormat="false" ht="15" hidden="false" customHeight="false" outlineLevel="0" collapsed="false">
      <c r="A41" s="0" t="n">
        <v>40</v>
      </c>
      <c r="B41" s="0" t="n">
        <v>2600000</v>
      </c>
    </row>
    <row r="42" customFormat="false" ht="15" hidden="false" customHeight="false" outlineLevel="0" collapsed="false">
      <c r="A42" s="0" t="n">
        <v>41</v>
      </c>
      <c r="B42" s="0" t="n">
        <v>0</v>
      </c>
    </row>
    <row r="43" customFormat="false" ht="15" hidden="false" customHeight="false" outlineLevel="0" collapsed="false">
      <c r="A43" s="0" t="n">
        <v>42</v>
      </c>
      <c r="B43" s="0" t="n">
        <v>0</v>
      </c>
    </row>
    <row r="44" customFormat="false" ht="15" hidden="false" customHeight="false" outlineLevel="0" collapsed="false">
      <c r="A44" s="0" t="n">
        <v>43</v>
      </c>
      <c r="B44" s="0" t="n">
        <v>0</v>
      </c>
    </row>
    <row r="45" customFormat="false" ht="15" hidden="false" customHeight="false" outlineLevel="0" collapsed="false">
      <c r="A45" s="0" t="n">
        <v>44</v>
      </c>
      <c r="B45" s="0" t="n">
        <v>900000</v>
      </c>
    </row>
    <row r="46" customFormat="false" ht="15" hidden="false" customHeight="false" outlineLevel="0" collapsed="false">
      <c r="A46" s="0" t="n">
        <v>45</v>
      </c>
      <c r="B46" s="0" t="n">
        <v>0</v>
      </c>
    </row>
    <row r="47" customFormat="false" ht="15" hidden="false" customHeight="false" outlineLevel="0" collapsed="false">
      <c r="A47" s="0" t="n">
        <v>46</v>
      </c>
      <c r="B47" s="0" t="n">
        <v>0</v>
      </c>
    </row>
    <row r="48" customFormat="false" ht="15" hidden="false" customHeight="false" outlineLevel="0" collapsed="false">
      <c r="A48" s="0" t="n">
        <v>47</v>
      </c>
      <c r="B48" s="0" t="n">
        <v>0</v>
      </c>
    </row>
    <row r="49" customFormat="false" ht="15" hidden="false" customHeight="false" outlineLevel="0" collapsed="false">
      <c r="A49" s="0" t="n">
        <v>48</v>
      </c>
      <c r="B49" s="0" t="n">
        <v>900000</v>
      </c>
    </row>
    <row r="50" customFormat="false" ht="15" hidden="false" customHeight="false" outlineLevel="0" collapsed="false">
      <c r="A50" s="0" t="n">
        <v>49</v>
      </c>
      <c r="B50" s="0" t="n">
        <v>0</v>
      </c>
    </row>
    <row r="51" customFormat="false" ht="15" hidden="false" customHeight="false" outlineLevel="0" collapsed="false">
      <c r="A51" s="0" t="n">
        <v>50</v>
      </c>
      <c r="B51" s="0" t="n">
        <v>2600000</v>
      </c>
    </row>
    <row r="52" customFormat="false" ht="15" hidden="false" customHeight="false" outlineLevel="0" collapsed="false">
      <c r="A52" s="0" t="n">
        <v>51</v>
      </c>
      <c r="B52" s="0" t="n">
        <v>0</v>
      </c>
    </row>
    <row r="53" customFormat="false" ht="15" hidden="false" customHeight="false" outlineLevel="0" collapsed="false">
      <c r="A53" s="0" t="n">
        <v>52</v>
      </c>
      <c r="B53" s="0" t="n">
        <v>900000</v>
      </c>
    </row>
    <row r="54" customFormat="false" ht="15" hidden="false" customHeight="false" outlineLevel="0" collapsed="false">
      <c r="A54" s="0" t="n">
        <v>53</v>
      </c>
      <c r="B54" s="0" t="n">
        <v>0</v>
      </c>
    </row>
    <row r="55" customFormat="false" ht="15" hidden="false" customHeight="false" outlineLevel="0" collapsed="false">
      <c r="A55" s="0" t="n">
        <v>54</v>
      </c>
      <c r="B55" s="0" t="n">
        <v>0</v>
      </c>
    </row>
    <row r="56" customFormat="false" ht="15" hidden="false" customHeight="false" outlineLevel="0" collapsed="false">
      <c r="A56" s="0" t="n">
        <v>55</v>
      </c>
      <c r="B56" s="0" t="n">
        <v>0</v>
      </c>
    </row>
    <row r="57" customFormat="false" ht="15" hidden="false" customHeight="false" outlineLevel="0" collapsed="false">
      <c r="A57" s="0" t="n">
        <v>56</v>
      </c>
      <c r="B57" s="0" t="n">
        <v>900000</v>
      </c>
    </row>
    <row r="58" customFormat="false" ht="15" hidden="false" customHeight="false" outlineLevel="0" collapsed="false">
      <c r="A58" s="0" t="n">
        <v>57</v>
      </c>
      <c r="B58" s="0" t="n">
        <v>0</v>
      </c>
    </row>
    <row r="59" customFormat="false" ht="15" hidden="false" customHeight="false" outlineLevel="0" collapsed="false">
      <c r="A59" s="0" t="n">
        <v>58</v>
      </c>
      <c r="B59" s="0" t="n">
        <v>0</v>
      </c>
    </row>
    <row r="60" customFormat="false" ht="15" hidden="false" customHeight="false" outlineLevel="0" collapsed="false">
      <c r="A60" s="0" t="n">
        <v>59</v>
      </c>
      <c r="B60" s="0" t="n">
        <v>0</v>
      </c>
    </row>
    <row r="61" customFormat="false" ht="15" hidden="false" customHeight="false" outlineLevel="0" collapsed="false">
      <c r="A61" s="0" t="n">
        <v>60</v>
      </c>
      <c r="B61" s="0" t="n">
        <v>2600000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19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  <c r="J3" s="0" t="n">
        <v>8</v>
      </c>
      <c r="K3" s="0" t="n">
        <v>9</v>
      </c>
      <c r="L3" s="0" t="n">
        <v>10</v>
      </c>
      <c r="M3" s="0" t="n">
        <v>11</v>
      </c>
      <c r="N3" s="0" t="n">
        <v>12</v>
      </c>
      <c r="O3" s="0" t="n">
        <v>13</v>
      </c>
      <c r="P3" s="0" t="n">
        <v>14</v>
      </c>
      <c r="Q3" s="0" t="n">
        <v>15</v>
      </c>
      <c r="R3" s="0" t="n">
        <v>16</v>
      </c>
      <c r="S3" s="0" t="n">
        <v>17</v>
      </c>
      <c r="T3" s="0" t="n">
        <v>18</v>
      </c>
      <c r="U3" s="0" t="n">
        <v>19</v>
      </c>
      <c r="V3" s="0" t="n">
        <v>20</v>
      </c>
      <c r="W3" s="0" t="n">
        <v>21</v>
      </c>
      <c r="X3" s="0" t="n">
        <v>22</v>
      </c>
      <c r="Y3" s="0" t="n">
        <v>23</v>
      </c>
      <c r="Z3" s="0" t="n">
        <v>24</v>
      </c>
      <c r="AA3" s="0" t="n">
        <v>25</v>
      </c>
      <c r="AB3" s="0" t="n">
        <v>26</v>
      </c>
      <c r="AC3" s="0" t="n">
        <v>27</v>
      </c>
      <c r="AD3" s="0" t="n">
        <v>28</v>
      </c>
      <c r="AE3" s="0" t="n">
        <v>29</v>
      </c>
      <c r="AF3" s="0" t="n">
        <v>30</v>
      </c>
      <c r="AG3" s="0" t="n">
        <v>31</v>
      </c>
      <c r="AH3" s="0" t="n">
        <v>32</v>
      </c>
      <c r="AI3" s="0" t="n">
        <v>33</v>
      </c>
      <c r="AJ3" s="0" t="n">
        <v>34</v>
      </c>
      <c r="AK3" s="0" t="n">
        <v>35</v>
      </c>
      <c r="AL3" s="0" t="n">
        <v>36</v>
      </c>
      <c r="AM3" s="0" t="n">
        <v>37</v>
      </c>
      <c r="AN3" s="0" t="n">
        <v>38</v>
      </c>
      <c r="AO3" s="0" t="n">
        <v>39</v>
      </c>
      <c r="AP3" s="0" t="n">
        <v>40</v>
      </c>
      <c r="AQ3" s="0" t="n">
        <v>41</v>
      </c>
      <c r="AR3" s="0" t="n">
        <v>42</v>
      </c>
      <c r="AS3" s="0" t="n">
        <v>43</v>
      </c>
      <c r="AT3" s="0" t="n">
        <v>44</v>
      </c>
      <c r="AU3" s="0" t="n">
        <v>45</v>
      </c>
      <c r="AV3" s="0" t="n">
        <v>46</v>
      </c>
      <c r="AW3" s="0" t="n">
        <v>47</v>
      </c>
      <c r="AX3" s="0" t="n">
        <v>48</v>
      </c>
      <c r="AY3" s="0" t="n">
        <v>49</v>
      </c>
      <c r="AZ3" s="0" t="n">
        <v>50</v>
      </c>
      <c r="BA3" s="0" t="n">
        <v>51</v>
      </c>
      <c r="BB3" s="0" t="n">
        <v>52</v>
      </c>
      <c r="BC3" s="0" t="n">
        <v>53</v>
      </c>
      <c r="BD3" s="0" t="n">
        <v>54</v>
      </c>
      <c r="BE3" s="0" t="n">
        <v>55</v>
      </c>
    </row>
    <row r="4" customFormat="false" ht="15" hidden="false" customHeight="false" outlineLevel="0" collapsed="false">
      <c r="A4" s="0" t="s">
        <v>21</v>
      </c>
      <c r="B4" s="2" t="n">
        <f aca="false">EDATE(Inputs!$B$4,6*B$3)</f>
        <v>46203</v>
      </c>
      <c r="C4" s="2" t="n">
        <f aca="false">EDATE(Inputs!$B$4,6*C$3)</f>
        <v>46386</v>
      </c>
      <c r="D4" s="2" t="n">
        <f aca="false">EDATE(Inputs!$B$4,6*D$3)</f>
        <v>46568</v>
      </c>
      <c r="E4" s="2" t="n">
        <f aca="false">EDATE(Inputs!$B$4,6*E$3)</f>
        <v>46751</v>
      </c>
      <c r="F4" s="2" t="n">
        <f aca="false">EDATE(Inputs!$B$4,6*F$3)</f>
        <v>46934</v>
      </c>
      <c r="G4" s="2" t="n">
        <f aca="false">EDATE(Inputs!$B$4,6*G$3)</f>
        <v>47117</v>
      </c>
      <c r="H4" s="2" t="n">
        <f aca="false">EDATE(Inputs!$B$4,6*H$3)</f>
        <v>47299</v>
      </c>
      <c r="I4" s="2" t="n">
        <f aca="false">EDATE(Inputs!$B$4,6*I$3)</f>
        <v>47482</v>
      </c>
      <c r="J4" s="2" t="n">
        <f aca="false">EDATE(Inputs!$B$4,6*J$3)</f>
        <v>47664</v>
      </c>
      <c r="K4" s="2" t="n">
        <f aca="false">EDATE(Inputs!$B$4,6*K$3)</f>
        <v>47847</v>
      </c>
      <c r="L4" s="2" t="n">
        <f aca="false">EDATE(Inputs!$B$4,6*L$3)</f>
        <v>48029</v>
      </c>
      <c r="M4" s="2" t="n">
        <f aca="false">EDATE(Inputs!$B$4,6*M$3)</f>
        <v>48212</v>
      </c>
      <c r="N4" s="2" t="n">
        <f aca="false">EDATE(Inputs!$B$4,6*N$3)</f>
        <v>48395</v>
      </c>
      <c r="O4" s="2" t="n">
        <f aca="false">EDATE(Inputs!$B$4,6*O$3)</f>
        <v>48578</v>
      </c>
      <c r="P4" s="2" t="n">
        <f aca="false">EDATE(Inputs!$B$4,6*P$3)</f>
        <v>48760</v>
      </c>
      <c r="Q4" s="2" t="n">
        <f aca="false">EDATE(Inputs!$B$4,6*Q$3)</f>
        <v>48943</v>
      </c>
      <c r="R4" s="2" t="n">
        <f aca="false">EDATE(Inputs!$B$4,6*R$3)</f>
        <v>49125</v>
      </c>
      <c r="S4" s="2" t="n">
        <f aca="false">EDATE(Inputs!$B$4,6*S$3)</f>
        <v>49308</v>
      </c>
      <c r="T4" s="2" t="n">
        <f aca="false">EDATE(Inputs!$B$4,6*T$3)</f>
        <v>49490</v>
      </c>
      <c r="U4" s="2" t="n">
        <f aca="false">EDATE(Inputs!$B$4,6*U$3)</f>
        <v>49673</v>
      </c>
      <c r="V4" s="2" t="n">
        <f aca="false">EDATE(Inputs!$B$4,6*V$3)</f>
        <v>49856</v>
      </c>
      <c r="W4" s="2" t="n">
        <f aca="false">EDATE(Inputs!$B$4,6*W$3)</f>
        <v>50039</v>
      </c>
      <c r="X4" s="2" t="n">
        <f aca="false">EDATE(Inputs!$B$4,6*X$3)</f>
        <v>50221</v>
      </c>
      <c r="Y4" s="2" t="n">
        <f aca="false">EDATE(Inputs!$B$4,6*Y$3)</f>
        <v>50404</v>
      </c>
      <c r="Z4" s="2" t="n">
        <f aca="false">EDATE(Inputs!$B$4,6*Z$3)</f>
        <v>50586</v>
      </c>
      <c r="AA4" s="2" t="n">
        <f aca="false">EDATE(Inputs!$B$4,6*AA$3)</f>
        <v>50769</v>
      </c>
      <c r="AB4" s="2" t="n">
        <f aca="false">EDATE(Inputs!$B$4,6*AB$3)</f>
        <v>50951</v>
      </c>
      <c r="AC4" s="2" t="n">
        <f aca="false">EDATE(Inputs!$B$4,6*AC$3)</f>
        <v>51134</v>
      </c>
      <c r="AD4" s="2" t="n">
        <f aca="false">EDATE(Inputs!$B$4,6*AD$3)</f>
        <v>51317</v>
      </c>
      <c r="AE4" s="2" t="n">
        <f aca="false">EDATE(Inputs!$B$4,6*AE$3)</f>
        <v>51500</v>
      </c>
      <c r="AF4" s="2" t="n">
        <f aca="false">EDATE(Inputs!$B$4,6*AF$3)</f>
        <v>51682</v>
      </c>
      <c r="AG4" s="2" t="n">
        <f aca="false">EDATE(Inputs!$B$4,6*AG$3)</f>
        <v>51865</v>
      </c>
      <c r="AH4" s="2" t="n">
        <f aca="false">EDATE(Inputs!$B$4,6*AH$3)</f>
        <v>52047</v>
      </c>
      <c r="AI4" s="2" t="n">
        <f aca="false">EDATE(Inputs!$B$4,6*AI$3)</f>
        <v>52230</v>
      </c>
      <c r="AJ4" s="2" t="n">
        <f aca="false">EDATE(Inputs!$B$4,6*AJ$3)</f>
        <v>52412</v>
      </c>
      <c r="AK4" s="2" t="n">
        <f aca="false">EDATE(Inputs!$B$4,6*AK$3)</f>
        <v>52595</v>
      </c>
      <c r="AL4" s="2" t="n">
        <f aca="false">EDATE(Inputs!$B$4,6*AL$3)</f>
        <v>52778</v>
      </c>
      <c r="AM4" s="2" t="n">
        <f aca="false">EDATE(Inputs!$B$4,6*AM$3)</f>
        <v>52961</v>
      </c>
      <c r="AN4" s="2" t="n">
        <f aca="false">EDATE(Inputs!$B$4,6*AN$3)</f>
        <v>53143</v>
      </c>
      <c r="AO4" s="2" t="n">
        <f aca="false">EDATE(Inputs!$B$4,6*AO$3)</f>
        <v>53326</v>
      </c>
      <c r="AP4" s="2" t="n">
        <f aca="false">EDATE(Inputs!$B$4,6*AP$3)</f>
        <v>53508</v>
      </c>
      <c r="AQ4" s="2" t="n">
        <f aca="false">EDATE(Inputs!$B$4,6*AQ$3)</f>
        <v>53691</v>
      </c>
      <c r="AR4" s="2" t="n">
        <f aca="false">EDATE(Inputs!$B$4,6*AR$3)</f>
        <v>53873</v>
      </c>
      <c r="AS4" s="2" t="n">
        <f aca="false">EDATE(Inputs!$B$4,6*AS$3)</f>
        <v>54056</v>
      </c>
      <c r="AT4" s="2" t="n">
        <f aca="false">EDATE(Inputs!$B$4,6*AT$3)</f>
        <v>54239</v>
      </c>
      <c r="AU4" s="2" t="n">
        <f aca="false">EDATE(Inputs!$B$4,6*AU$3)</f>
        <v>54422</v>
      </c>
      <c r="AV4" s="2" t="n">
        <f aca="false">EDATE(Inputs!$B$4,6*AV$3)</f>
        <v>54604</v>
      </c>
      <c r="AW4" s="2" t="n">
        <f aca="false">EDATE(Inputs!$B$4,6*AW$3)</f>
        <v>54787</v>
      </c>
      <c r="AX4" s="2" t="n">
        <f aca="false">EDATE(Inputs!$B$4,6*AX$3)</f>
        <v>54969</v>
      </c>
      <c r="AY4" s="2" t="n">
        <f aca="false">EDATE(Inputs!$B$4,6*AY$3)</f>
        <v>55152</v>
      </c>
      <c r="AZ4" s="2" t="n">
        <f aca="false">EDATE(Inputs!$B$4,6*AZ$3)</f>
        <v>55334</v>
      </c>
      <c r="BA4" s="2" t="n">
        <f aca="false">EDATE(Inputs!$B$4,6*BA$3)</f>
        <v>55517</v>
      </c>
      <c r="BB4" s="2" t="n">
        <f aca="false">EDATE(Inputs!$B$4,6*BB$3)</f>
        <v>55700</v>
      </c>
      <c r="BC4" s="2" t="n">
        <f aca="false">EDATE(Inputs!$B$4,6*BC$3)</f>
        <v>55883</v>
      </c>
      <c r="BD4" s="2" t="n">
        <f aca="false">EDATE(Inputs!$B$4,6*BD$3)</f>
        <v>56065</v>
      </c>
      <c r="BE4" s="2" t="n">
        <f aca="false">EDATE(Inputs!$B$4,6*BE$3)</f>
        <v>56248</v>
      </c>
    </row>
    <row r="5" customFormat="false" ht="15" hidden="false" customHeight="false" outlineLevel="0" collapsed="false">
      <c r="A5" s="0" t="s">
        <v>22</v>
      </c>
      <c r="B5" s="0" t="n">
        <f aca="false">IF(AND(B$3&gt;=1,B$3&lt;=Inputs!$B$6),Inputs!$B$5/Inputs!$B$6,0)</f>
        <v>0</v>
      </c>
      <c r="C5" s="0" t="n">
        <f aca="false">IF(AND(C$3&gt;=1,C$3&lt;=Inputs!$B$6),Inputs!$B$5/Inputs!$B$6,0)</f>
        <v>29600000</v>
      </c>
      <c r="D5" s="0" t="n">
        <f aca="false">IF(AND(D$3&gt;=1,D$3&lt;=Inputs!$B$6),Inputs!$B$5/Inputs!$B$6,0)</f>
        <v>29600000</v>
      </c>
      <c r="E5" s="0" t="n">
        <f aca="false">IF(AND(E$3&gt;=1,E$3&lt;=Inputs!$B$6),Inputs!$B$5/Inputs!$B$6,0)</f>
        <v>29600000</v>
      </c>
      <c r="F5" s="0" t="n">
        <f aca="false">IF(AND(F$3&gt;=1,F$3&lt;=Inputs!$B$6),Inputs!$B$5/Inputs!$B$6,0)</f>
        <v>29600000</v>
      </c>
      <c r="G5" s="0" t="n">
        <f aca="false">IF(AND(G$3&gt;=1,G$3&lt;=Inputs!$B$6),Inputs!$B$5/Inputs!$B$6,0)</f>
        <v>29600000</v>
      </c>
      <c r="H5" s="0" t="n">
        <f aca="false">IF(AND(H$3&gt;=1,H$3&lt;=Inputs!$B$6),Inputs!$B$5/Inputs!$B$6,0)</f>
        <v>0</v>
      </c>
      <c r="I5" s="0" t="n">
        <f aca="false">IF(AND(I$3&gt;=1,I$3&lt;=Inputs!$B$6),Inputs!$B$5/Inputs!$B$6,0)</f>
        <v>0</v>
      </c>
      <c r="J5" s="0" t="n">
        <f aca="false">IF(AND(J$3&gt;=1,J$3&lt;=Inputs!$B$6),Inputs!$B$5/Inputs!$B$6,0)</f>
        <v>0</v>
      </c>
      <c r="K5" s="0" t="n">
        <f aca="false">IF(AND(K$3&gt;=1,K$3&lt;=Inputs!$B$6),Inputs!$B$5/Inputs!$B$6,0)</f>
        <v>0</v>
      </c>
      <c r="L5" s="0" t="n">
        <f aca="false">IF(AND(L$3&gt;=1,L$3&lt;=Inputs!$B$6),Inputs!$B$5/Inputs!$B$6,0)</f>
        <v>0</v>
      </c>
      <c r="M5" s="0" t="n">
        <f aca="false">IF(AND(M$3&gt;=1,M$3&lt;=Inputs!$B$6),Inputs!$B$5/Inputs!$B$6,0)</f>
        <v>0</v>
      </c>
      <c r="N5" s="0" t="n">
        <f aca="false">IF(AND(N$3&gt;=1,N$3&lt;=Inputs!$B$6),Inputs!$B$5/Inputs!$B$6,0)</f>
        <v>0</v>
      </c>
      <c r="O5" s="0" t="n">
        <f aca="false">IF(AND(O$3&gt;=1,O$3&lt;=Inputs!$B$6),Inputs!$B$5/Inputs!$B$6,0)</f>
        <v>0</v>
      </c>
      <c r="P5" s="0" t="n">
        <f aca="false">IF(AND(P$3&gt;=1,P$3&lt;=Inputs!$B$6),Inputs!$B$5/Inputs!$B$6,0)</f>
        <v>0</v>
      </c>
      <c r="Q5" s="0" t="n">
        <f aca="false">IF(AND(Q$3&gt;=1,Q$3&lt;=Inputs!$B$6),Inputs!$B$5/Inputs!$B$6,0)</f>
        <v>0</v>
      </c>
      <c r="R5" s="0" t="n">
        <f aca="false">IF(AND(R$3&gt;=1,R$3&lt;=Inputs!$B$6),Inputs!$B$5/Inputs!$B$6,0)</f>
        <v>0</v>
      </c>
      <c r="S5" s="0" t="n">
        <f aca="false">IF(AND(S$3&gt;=1,S$3&lt;=Inputs!$B$6),Inputs!$B$5/Inputs!$B$6,0)</f>
        <v>0</v>
      </c>
      <c r="T5" s="0" t="n">
        <f aca="false">IF(AND(T$3&gt;=1,T$3&lt;=Inputs!$B$6),Inputs!$B$5/Inputs!$B$6,0)</f>
        <v>0</v>
      </c>
      <c r="U5" s="0" t="n">
        <f aca="false">IF(AND(U$3&gt;=1,U$3&lt;=Inputs!$B$6),Inputs!$B$5/Inputs!$B$6,0)</f>
        <v>0</v>
      </c>
      <c r="V5" s="0" t="n">
        <f aca="false">IF(AND(V$3&gt;=1,V$3&lt;=Inputs!$B$6),Inputs!$B$5/Inputs!$B$6,0)</f>
        <v>0</v>
      </c>
      <c r="W5" s="0" t="n">
        <f aca="false">IF(AND(W$3&gt;=1,W$3&lt;=Inputs!$B$6),Inputs!$B$5/Inputs!$B$6,0)</f>
        <v>0</v>
      </c>
      <c r="X5" s="0" t="n">
        <f aca="false">IF(AND(X$3&gt;=1,X$3&lt;=Inputs!$B$6),Inputs!$B$5/Inputs!$B$6,0)</f>
        <v>0</v>
      </c>
      <c r="Y5" s="0" t="n">
        <f aca="false">IF(AND(Y$3&gt;=1,Y$3&lt;=Inputs!$B$6),Inputs!$B$5/Inputs!$B$6,0)</f>
        <v>0</v>
      </c>
      <c r="Z5" s="0" t="n">
        <f aca="false">IF(AND(Z$3&gt;=1,Z$3&lt;=Inputs!$B$6),Inputs!$B$5/Inputs!$B$6,0)</f>
        <v>0</v>
      </c>
      <c r="AA5" s="0" t="n">
        <f aca="false">IF(AND(AA$3&gt;=1,AA$3&lt;=Inputs!$B$6),Inputs!$B$5/Inputs!$B$6,0)</f>
        <v>0</v>
      </c>
      <c r="AB5" s="0" t="n">
        <f aca="false">IF(AND(AB$3&gt;=1,AB$3&lt;=Inputs!$B$6),Inputs!$B$5/Inputs!$B$6,0)</f>
        <v>0</v>
      </c>
      <c r="AC5" s="0" t="n">
        <f aca="false">IF(AND(AC$3&gt;=1,AC$3&lt;=Inputs!$B$6),Inputs!$B$5/Inputs!$B$6,0)</f>
        <v>0</v>
      </c>
      <c r="AD5" s="0" t="n">
        <f aca="false">IF(AND(AD$3&gt;=1,AD$3&lt;=Inputs!$B$6),Inputs!$B$5/Inputs!$B$6,0)</f>
        <v>0</v>
      </c>
      <c r="AE5" s="0" t="n">
        <f aca="false">IF(AND(AE$3&gt;=1,AE$3&lt;=Inputs!$B$6),Inputs!$B$5/Inputs!$B$6,0)</f>
        <v>0</v>
      </c>
      <c r="AF5" s="0" t="n">
        <f aca="false">IF(AND(AF$3&gt;=1,AF$3&lt;=Inputs!$B$6),Inputs!$B$5/Inputs!$B$6,0)</f>
        <v>0</v>
      </c>
      <c r="AG5" s="0" t="n">
        <f aca="false">IF(AND(AG$3&gt;=1,AG$3&lt;=Inputs!$B$6),Inputs!$B$5/Inputs!$B$6,0)</f>
        <v>0</v>
      </c>
      <c r="AH5" s="0" t="n">
        <f aca="false">IF(AND(AH$3&gt;=1,AH$3&lt;=Inputs!$B$6),Inputs!$B$5/Inputs!$B$6,0)</f>
        <v>0</v>
      </c>
      <c r="AI5" s="0" t="n">
        <f aca="false">IF(AND(AI$3&gt;=1,AI$3&lt;=Inputs!$B$6),Inputs!$B$5/Inputs!$B$6,0)</f>
        <v>0</v>
      </c>
      <c r="AJ5" s="0" t="n">
        <f aca="false">IF(AND(AJ$3&gt;=1,AJ$3&lt;=Inputs!$B$6),Inputs!$B$5/Inputs!$B$6,0)</f>
        <v>0</v>
      </c>
      <c r="AK5" s="0" t="n">
        <f aca="false">IF(AND(AK$3&gt;=1,AK$3&lt;=Inputs!$B$6),Inputs!$B$5/Inputs!$B$6,0)</f>
        <v>0</v>
      </c>
      <c r="AL5" s="0" t="n">
        <f aca="false">IF(AND(AL$3&gt;=1,AL$3&lt;=Inputs!$B$6),Inputs!$B$5/Inputs!$B$6,0)</f>
        <v>0</v>
      </c>
      <c r="AM5" s="0" t="n">
        <f aca="false">IF(AND(AM$3&gt;=1,AM$3&lt;=Inputs!$B$6),Inputs!$B$5/Inputs!$B$6,0)</f>
        <v>0</v>
      </c>
      <c r="AN5" s="0" t="n">
        <f aca="false">IF(AND(AN$3&gt;=1,AN$3&lt;=Inputs!$B$6),Inputs!$B$5/Inputs!$B$6,0)</f>
        <v>0</v>
      </c>
      <c r="AO5" s="0" t="n">
        <f aca="false">IF(AND(AO$3&gt;=1,AO$3&lt;=Inputs!$B$6),Inputs!$B$5/Inputs!$B$6,0)</f>
        <v>0</v>
      </c>
      <c r="AP5" s="0" t="n">
        <f aca="false">IF(AND(AP$3&gt;=1,AP$3&lt;=Inputs!$B$6),Inputs!$B$5/Inputs!$B$6,0)</f>
        <v>0</v>
      </c>
      <c r="AQ5" s="0" t="n">
        <f aca="false">IF(AND(AQ$3&gt;=1,AQ$3&lt;=Inputs!$B$6),Inputs!$B$5/Inputs!$B$6,0)</f>
        <v>0</v>
      </c>
      <c r="AR5" s="0" t="n">
        <f aca="false">IF(AND(AR$3&gt;=1,AR$3&lt;=Inputs!$B$6),Inputs!$B$5/Inputs!$B$6,0)</f>
        <v>0</v>
      </c>
      <c r="AS5" s="0" t="n">
        <f aca="false">IF(AND(AS$3&gt;=1,AS$3&lt;=Inputs!$B$6),Inputs!$B$5/Inputs!$B$6,0)</f>
        <v>0</v>
      </c>
      <c r="AT5" s="0" t="n">
        <f aca="false">IF(AND(AT$3&gt;=1,AT$3&lt;=Inputs!$B$6),Inputs!$B$5/Inputs!$B$6,0)</f>
        <v>0</v>
      </c>
      <c r="AU5" s="0" t="n">
        <f aca="false">IF(AND(AU$3&gt;=1,AU$3&lt;=Inputs!$B$6),Inputs!$B$5/Inputs!$B$6,0)</f>
        <v>0</v>
      </c>
      <c r="AV5" s="0" t="n">
        <f aca="false">IF(AND(AV$3&gt;=1,AV$3&lt;=Inputs!$B$6),Inputs!$B$5/Inputs!$B$6,0)</f>
        <v>0</v>
      </c>
      <c r="AW5" s="0" t="n">
        <f aca="false">IF(AND(AW$3&gt;=1,AW$3&lt;=Inputs!$B$6),Inputs!$B$5/Inputs!$B$6,0)</f>
        <v>0</v>
      </c>
      <c r="AX5" s="0" t="n">
        <f aca="false">IF(AND(AX$3&gt;=1,AX$3&lt;=Inputs!$B$6),Inputs!$B$5/Inputs!$B$6,0)</f>
        <v>0</v>
      </c>
      <c r="AY5" s="0" t="n">
        <f aca="false">IF(AND(AY$3&gt;=1,AY$3&lt;=Inputs!$B$6),Inputs!$B$5/Inputs!$B$6,0)</f>
        <v>0</v>
      </c>
      <c r="AZ5" s="0" t="n">
        <f aca="false">IF(AND(AZ$3&gt;=1,AZ$3&lt;=Inputs!$B$6),Inputs!$B$5/Inputs!$B$6,0)</f>
        <v>0</v>
      </c>
      <c r="BA5" s="0" t="n">
        <f aca="false">IF(AND(BA$3&gt;=1,BA$3&lt;=Inputs!$B$6),Inputs!$B$5/Inputs!$B$6,0)</f>
        <v>0</v>
      </c>
      <c r="BB5" s="0" t="n">
        <f aca="false">IF(AND(BB$3&gt;=1,BB$3&lt;=Inputs!$B$6),Inputs!$B$5/Inputs!$B$6,0)</f>
        <v>0</v>
      </c>
      <c r="BC5" s="0" t="n">
        <f aca="false">IF(AND(BC$3&gt;=1,BC$3&lt;=Inputs!$B$6),Inputs!$B$5/Inputs!$B$6,0)</f>
        <v>0</v>
      </c>
      <c r="BD5" s="0" t="n">
        <f aca="false">IF(AND(BD$3&gt;=1,BD$3&lt;=Inputs!$B$6),Inputs!$B$5/Inputs!$B$6,0)</f>
        <v>0</v>
      </c>
      <c r="BE5" s="0" t="n">
        <f aca="false">IF(AND(BE$3&gt;=1,BE$3&lt;=Inputs!$B$6),Inputs!$B$5/Inputs!$B$6,0)</f>
        <v>0</v>
      </c>
    </row>
    <row r="6" customFormat="false" ht="15" hidden="false" customHeight="false" outlineLevel="0" collapsed="false">
      <c r="A6" s="0" t="s">
        <v>23</v>
      </c>
      <c r="B6" s="0" t="n">
        <f aca="false">IF(AND(B$3&gt;Inputs!$B$6,B$3&lt;=Inputs!$B$6+Inputs!$B$7),1,0)</f>
        <v>0</v>
      </c>
      <c r="C6" s="0" t="n">
        <f aca="false">IF(AND(C$3&gt;Inputs!$B$6,C$3&lt;=Inputs!$B$6+Inputs!$B$7),1,0)</f>
        <v>0</v>
      </c>
      <c r="D6" s="0" t="n">
        <f aca="false">IF(AND(D$3&gt;Inputs!$B$6,D$3&lt;=Inputs!$B$6+Inputs!$B$7),1,0)</f>
        <v>0</v>
      </c>
      <c r="E6" s="0" t="n">
        <f aca="false">IF(AND(E$3&gt;Inputs!$B$6,E$3&lt;=Inputs!$B$6+Inputs!$B$7),1,0)</f>
        <v>0</v>
      </c>
      <c r="F6" s="0" t="n">
        <f aca="false">IF(AND(F$3&gt;Inputs!$B$6,F$3&lt;=Inputs!$B$6+Inputs!$B$7),1,0)</f>
        <v>0</v>
      </c>
      <c r="G6" s="0" t="n">
        <f aca="false">IF(AND(G$3&gt;Inputs!$B$6,G$3&lt;=Inputs!$B$6+Inputs!$B$7),1,0)</f>
        <v>0</v>
      </c>
      <c r="H6" s="0" t="n">
        <f aca="false">IF(AND(H$3&gt;Inputs!$B$6,H$3&lt;=Inputs!$B$6+Inputs!$B$7),1,0)</f>
        <v>1</v>
      </c>
      <c r="I6" s="0" t="n">
        <f aca="false">IF(AND(I$3&gt;Inputs!$B$6,I$3&lt;=Inputs!$B$6+Inputs!$B$7),1,0)</f>
        <v>1</v>
      </c>
      <c r="J6" s="0" t="n">
        <f aca="false">IF(AND(J$3&gt;Inputs!$B$6,J$3&lt;=Inputs!$B$6+Inputs!$B$7),1,0)</f>
        <v>1</v>
      </c>
      <c r="K6" s="0" t="n">
        <f aca="false">IF(AND(K$3&gt;Inputs!$B$6,K$3&lt;=Inputs!$B$6+Inputs!$B$7),1,0)</f>
        <v>1</v>
      </c>
      <c r="L6" s="0" t="n">
        <f aca="false">IF(AND(L$3&gt;Inputs!$B$6,L$3&lt;=Inputs!$B$6+Inputs!$B$7),1,0)</f>
        <v>1</v>
      </c>
      <c r="M6" s="0" t="n">
        <f aca="false">IF(AND(M$3&gt;Inputs!$B$6,M$3&lt;=Inputs!$B$6+Inputs!$B$7),1,0)</f>
        <v>1</v>
      </c>
      <c r="N6" s="0" t="n">
        <f aca="false">IF(AND(N$3&gt;Inputs!$B$6,N$3&lt;=Inputs!$B$6+Inputs!$B$7),1,0)</f>
        <v>1</v>
      </c>
      <c r="O6" s="0" t="n">
        <f aca="false">IF(AND(O$3&gt;Inputs!$B$6,O$3&lt;=Inputs!$B$6+Inputs!$B$7),1,0)</f>
        <v>1</v>
      </c>
      <c r="P6" s="0" t="n">
        <f aca="false">IF(AND(P$3&gt;Inputs!$B$6,P$3&lt;=Inputs!$B$6+Inputs!$B$7),1,0)</f>
        <v>1</v>
      </c>
      <c r="Q6" s="0" t="n">
        <f aca="false">IF(AND(Q$3&gt;Inputs!$B$6,Q$3&lt;=Inputs!$B$6+Inputs!$B$7),1,0)</f>
        <v>1</v>
      </c>
      <c r="R6" s="0" t="n">
        <f aca="false">IF(AND(R$3&gt;Inputs!$B$6,R$3&lt;=Inputs!$B$6+Inputs!$B$7),1,0)</f>
        <v>1</v>
      </c>
      <c r="S6" s="0" t="n">
        <f aca="false">IF(AND(S$3&gt;Inputs!$B$6,S$3&lt;=Inputs!$B$6+Inputs!$B$7),1,0)</f>
        <v>1</v>
      </c>
      <c r="T6" s="0" t="n">
        <f aca="false">IF(AND(T$3&gt;Inputs!$B$6,T$3&lt;=Inputs!$B$6+Inputs!$B$7),1,0)</f>
        <v>1</v>
      </c>
      <c r="U6" s="0" t="n">
        <f aca="false">IF(AND(U$3&gt;Inputs!$B$6,U$3&lt;=Inputs!$B$6+Inputs!$B$7),1,0)</f>
        <v>1</v>
      </c>
      <c r="V6" s="0" t="n">
        <f aca="false">IF(AND(V$3&gt;Inputs!$B$6,V$3&lt;=Inputs!$B$6+Inputs!$B$7),1,0)</f>
        <v>1</v>
      </c>
      <c r="W6" s="0" t="n">
        <f aca="false">IF(AND(W$3&gt;Inputs!$B$6,W$3&lt;=Inputs!$B$6+Inputs!$B$7),1,0)</f>
        <v>1</v>
      </c>
      <c r="X6" s="0" t="n">
        <f aca="false">IF(AND(X$3&gt;Inputs!$B$6,X$3&lt;=Inputs!$B$6+Inputs!$B$7),1,0)</f>
        <v>1</v>
      </c>
      <c r="Y6" s="0" t="n">
        <f aca="false">IF(AND(Y$3&gt;Inputs!$B$6,Y$3&lt;=Inputs!$B$6+Inputs!$B$7),1,0)</f>
        <v>1</v>
      </c>
      <c r="Z6" s="0" t="n">
        <f aca="false">IF(AND(Z$3&gt;Inputs!$B$6,Z$3&lt;=Inputs!$B$6+Inputs!$B$7),1,0)</f>
        <v>1</v>
      </c>
      <c r="AA6" s="0" t="n">
        <f aca="false">IF(AND(AA$3&gt;Inputs!$B$6,AA$3&lt;=Inputs!$B$6+Inputs!$B$7),1,0)</f>
        <v>1</v>
      </c>
      <c r="AB6" s="0" t="n">
        <f aca="false">IF(AND(AB$3&gt;Inputs!$B$6,AB$3&lt;=Inputs!$B$6+Inputs!$B$7),1,0)</f>
        <v>1</v>
      </c>
      <c r="AC6" s="0" t="n">
        <f aca="false">IF(AND(AC$3&gt;Inputs!$B$6,AC$3&lt;=Inputs!$B$6+Inputs!$B$7),1,0)</f>
        <v>1</v>
      </c>
      <c r="AD6" s="0" t="n">
        <f aca="false">IF(AND(AD$3&gt;Inputs!$B$6,AD$3&lt;=Inputs!$B$6+Inputs!$B$7),1,0)</f>
        <v>1</v>
      </c>
      <c r="AE6" s="0" t="n">
        <f aca="false">IF(AND(AE$3&gt;Inputs!$B$6,AE$3&lt;=Inputs!$B$6+Inputs!$B$7),1,0)</f>
        <v>1</v>
      </c>
      <c r="AF6" s="0" t="n">
        <f aca="false">IF(AND(AF$3&gt;Inputs!$B$6,AF$3&lt;=Inputs!$B$6+Inputs!$B$7),1,0)</f>
        <v>1</v>
      </c>
      <c r="AG6" s="0" t="n">
        <f aca="false">IF(AND(AG$3&gt;Inputs!$B$6,AG$3&lt;=Inputs!$B$6+Inputs!$B$7),1,0)</f>
        <v>1</v>
      </c>
      <c r="AH6" s="0" t="n">
        <f aca="false">IF(AND(AH$3&gt;Inputs!$B$6,AH$3&lt;=Inputs!$B$6+Inputs!$B$7),1,0)</f>
        <v>1</v>
      </c>
      <c r="AI6" s="0" t="n">
        <f aca="false">IF(AND(AI$3&gt;Inputs!$B$6,AI$3&lt;=Inputs!$B$6+Inputs!$B$7),1,0)</f>
        <v>1</v>
      </c>
      <c r="AJ6" s="0" t="n">
        <f aca="false">IF(AND(AJ$3&gt;Inputs!$B$6,AJ$3&lt;=Inputs!$B$6+Inputs!$B$7),1,0)</f>
        <v>1</v>
      </c>
      <c r="AK6" s="0" t="n">
        <f aca="false">IF(AND(AK$3&gt;Inputs!$B$6,AK$3&lt;=Inputs!$B$6+Inputs!$B$7),1,0)</f>
        <v>1</v>
      </c>
      <c r="AL6" s="0" t="n">
        <f aca="false">IF(AND(AL$3&gt;Inputs!$B$6,AL$3&lt;=Inputs!$B$6+Inputs!$B$7),1,0)</f>
        <v>1</v>
      </c>
      <c r="AM6" s="0" t="n">
        <f aca="false">IF(AND(AM$3&gt;Inputs!$B$6,AM$3&lt;=Inputs!$B$6+Inputs!$B$7),1,0)</f>
        <v>1</v>
      </c>
      <c r="AN6" s="0" t="n">
        <f aca="false">IF(AND(AN$3&gt;Inputs!$B$6,AN$3&lt;=Inputs!$B$6+Inputs!$B$7),1,0)</f>
        <v>1</v>
      </c>
      <c r="AO6" s="0" t="n">
        <f aca="false">IF(AND(AO$3&gt;Inputs!$B$6,AO$3&lt;=Inputs!$B$6+Inputs!$B$7),1,0)</f>
        <v>1</v>
      </c>
      <c r="AP6" s="0" t="n">
        <f aca="false">IF(AND(AP$3&gt;Inputs!$B$6,AP$3&lt;=Inputs!$B$6+Inputs!$B$7),1,0)</f>
        <v>1</v>
      </c>
      <c r="AQ6" s="0" t="n">
        <f aca="false">IF(AND(AQ$3&gt;Inputs!$B$6,AQ$3&lt;=Inputs!$B$6+Inputs!$B$7),1,0)</f>
        <v>1</v>
      </c>
      <c r="AR6" s="0" t="n">
        <f aca="false">IF(AND(AR$3&gt;Inputs!$B$6,AR$3&lt;=Inputs!$B$6+Inputs!$B$7),1,0)</f>
        <v>1</v>
      </c>
      <c r="AS6" s="0" t="n">
        <f aca="false">IF(AND(AS$3&gt;Inputs!$B$6,AS$3&lt;=Inputs!$B$6+Inputs!$B$7),1,0)</f>
        <v>1</v>
      </c>
      <c r="AT6" s="0" t="n">
        <f aca="false">IF(AND(AT$3&gt;Inputs!$B$6,AT$3&lt;=Inputs!$B$6+Inputs!$B$7),1,0)</f>
        <v>1</v>
      </c>
      <c r="AU6" s="0" t="n">
        <f aca="false">IF(AND(AU$3&gt;Inputs!$B$6,AU$3&lt;=Inputs!$B$6+Inputs!$B$7),1,0)</f>
        <v>1</v>
      </c>
      <c r="AV6" s="0" t="n">
        <f aca="false">IF(AND(AV$3&gt;Inputs!$B$6,AV$3&lt;=Inputs!$B$6+Inputs!$B$7),1,0)</f>
        <v>1</v>
      </c>
      <c r="AW6" s="0" t="n">
        <f aca="false">IF(AND(AW$3&gt;Inputs!$B$6,AW$3&lt;=Inputs!$B$6+Inputs!$B$7),1,0)</f>
        <v>1</v>
      </c>
      <c r="AX6" s="0" t="n">
        <f aca="false">IF(AND(AX$3&gt;Inputs!$B$6,AX$3&lt;=Inputs!$B$6+Inputs!$B$7),1,0)</f>
        <v>1</v>
      </c>
      <c r="AY6" s="0" t="n">
        <f aca="false">IF(AND(AY$3&gt;Inputs!$B$6,AY$3&lt;=Inputs!$B$6+Inputs!$B$7),1,0)</f>
        <v>1</v>
      </c>
      <c r="AZ6" s="0" t="n">
        <f aca="false">IF(AND(AZ$3&gt;Inputs!$B$6,AZ$3&lt;=Inputs!$B$6+Inputs!$B$7),1,0)</f>
        <v>1</v>
      </c>
      <c r="BA6" s="0" t="n">
        <f aca="false">IF(AND(BA$3&gt;Inputs!$B$6,BA$3&lt;=Inputs!$B$6+Inputs!$B$7),1,0)</f>
        <v>1</v>
      </c>
      <c r="BB6" s="0" t="n">
        <f aca="false">IF(AND(BB$3&gt;Inputs!$B$6,BB$3&lt;=Inputs!$B$6+Inputs!$B$7),1,0)</f>
        <v>1</v>
      </c>
      <c r="BC6" s="0" t="n">
        <f aca="false">IF(AND(BC$3&gt;Inputs!$B$6,BC$3&lt;=Inputs!$B$6+Inputs!$B$7),1,0)</f>
        <v>1</v>
      </c>
      <c r="BD6" s="0" t="n">
        <f aca="false">IF(AND(BD$3&gt;Inputs!$B$6,BD$3&lt;=Inputs!$B$6+Inputs!$B$7),1,0)</f>
        <v>1</v>
      </c>
      <c r="BE6" s="0" t="n">
        <f aca="false">IF(AND(BE$3&gt;Inputs!$B$6,BE$3&lt;=Inputs!$B$6+Inputs!$B$7),1,0)</f>
        <v>1</v>
      </c>
    </row>
    <row r="7" customFormat="false" ht="15" hidden="false" customHeight="false" outlineLevel="0" collapsed="false">
      <c r="A7" s="0" t="s">
        <v>24</v>
      </c>
      <c r="B7" s="0" t="n">
        <f aca="false">B6*Inputs!$B$8/2*(1+Inputs!$B$9)^INT((B$3-Inputs!$B$6-1)/2)</f>
        <v>0</v>
      </c>
      <c r="C7" s="0" t="n">
        <f aca="false">C6*Inputs!$B$8/2*(1+Inputs!$B$9)^INT((C$3-Inputs!$B$6-1)/2)</f>
        <v>0</v>
      </c>
      <c r="D7" s="0" t="n">
        <f aca="false">D6*Inputs!$B$8/2*(1+Inputs!$B$9)^INT((D$3-Inputs!$B$6-1)/2)</f>
        <v>0</v>
      </c>
      <c r="E7" s="0" t="n">
        <f aca="false">E6*Inputs!$B$8/2*(1+Inputs!$B$9)^INT((E$3-Inputs!$B$6-1)/2)</f>
        <v>0</v>
      </c>
      <c r="F7" s="0" t="n">
        <f aca="false">F6*Inputs!$B$8/2*(1+Inputs!$B$9)^INT((F$3-Inputs!$B$6-1)/2)</f>
        <v>0</v>
      </c>
      <c r="G7" s="0" t="n">
        <f aca="false">G6*Inputs!$B$8/2*(1+Inputs!$B$9)^INT((G$3-Inputs!$B$6-1)/2)</f>
        <v>0</v>
      </c>
      <c r="H7" s="0" t="n">
        <f aca="false">H6*Inputs!$B$8/2*(1+Inputs!$B$9)^INT((H$3-Inputs!$B$6-1)/2)</f>
        <v>10750000</v>
      </c>
      <c r="I7" s="0" t="n">
        <f aca="false">I6*Inputs!$B$8/2*(1+Inputs!$B$9)^INT((I$3-Inputs!$B$6-1)/2)</f>
        <v>10750000</v>
      </c>
      <c r="J7" s="0" t="n">
        <f aca="false">J6*Inputs!$B$8/2*(1+Inputs!$B$9)^INT((J$3-Inputs!$B$6-1)/2)</f>
        <v>11072500</v>
      </c>
      <c r="K7" s="0" t="n">
        <f aca="false">K6*Inputs!$B$8/2*(1+Inputs!$B$9)^INT((K$3-Inputs!$B$6-1)/2)</f>
        <v>11072500</v>
      </c>
      <c r="L7" s="0" t="n">
        <f aca="false">L6*Inputs!$B$8/2*(1+Inputs!$B$9)^INT((L$3-Inputs!$B$6-1)/2)</f>
        <v>11404675</v>
      </c>
      <c r="M7" s="0" t="n">
        <f aca="false">M6*Inputs!$B$8/2*(1+Inputs!$B$9)^INT((M$3-Inputs!$B$6-1)/2)</f>
        <v>11404675</v>
      </c>
      <c r="N7" s="0" t="n">
        <f aca="false">N6*Inputs!$B$8/2*(1+Inputs!$B$9)^INT((N$3-Inputs!$B$6-1)/2)</f>
        <v>11746815.25</v>
      </c>
      <c r="O7" s="0" t="n">
        <f aca="false">O6*Inputs!$B$8/2*(1+Inputs!$B$9)^INT((O$3-Inputs!$B$6-1)/2)</f>
        <v>11746815.25</v>
      </c>
      <c r="P7" s="0" t="n">
        <f aca="false">P6*Inputs!$B$8/2*(1+Inputs!$B$9)^INT((P$3-Inputs!$B$6-1)/2)</f>
        <v>12099219.7075</v>
      </c>
      <c r="Q7" s="0" t="n">
        <f aca="false">Q6*Inputs!$B$8/2*(1+Inputs!$B$9)^INT((Q$3-Inputs!$B$6-1)/2)</f>
        <v>12099219.7075</v>
      </c>
      <c r="R7" s="0" t="n">
        <f aca="false">R6*Inputs!$B$8/2*(1+Inputs!$B$9)^INT((R$3-Inputs!$B$6-1)/2)</f>
        <v>12462196.298725</v>
      </c>
      <c r="S7" s="0" t="n">
        <f aca="false">S6*Inputs!$B$8/2*(1+Inputs!$B$9)^INT((S$3-Inputs!$B$6-1)/2)</f>
        <v>12462196.298725</v>
      </c>
      <c r="T7" s="0" t="n">
        <f aca="false">T6*Inputs!$B$8/2*(1+Inputs!$B$9)^INT((T$3-Inputs!$B$6-1)/2)</f>
        <v>12836062.1876868</v>
      </c>
      <c r="U7" s="0" t="n">
        <f aca="false">U6*Inputs!$B$8/2*(1+Inputs!$B$9)^INT((U$3-Inputs!$B$6-1)/2)</f>
        <v>12836062.1876868</v>
      </c>
      <c r="V7" s="0" t="n">
        <f aca="false">V6*Inputs!$B$8/2*(1+Inputs!$B$9)^INT((V$3-Inputs!$B$6-1)/2)</f>
        <v>13221144.0533174</v>
      </c>
      <c r="W7" s="0" t="n">
        <f aca="false">W6*Inputs!$B$8/2*(1+Inputs!$B$9)^INT((W$3-Inputs!$B$6-1)/2)</f>
        <v>13221144.0533174</v>
      </c>
      <c r="X7" s="0" t="n">
        <f aca="false">X6*Inputs!$B$8/2*(1+Inputs!$B$9)^INT((X$3-Inputs!$B$6-1)/2)</f>
        <v>13617778.3749169</v>
      </c>
      <c r="Y7" s="0" t="n">
        <f aca="false">Y6*Inputs!$B$8/2*(1+Inputs!$B$9)^INT((Y$3-Inputs!$B$6-1)/2)</f>
        <v>13617778.3749169</v>
      </c>
      <c r="Z7" s="0" t="n">
        <f aca="false">Z6*Inputs!$B$8/2*(1+Inputs!$B$9)^INT((Z$3-Inputs!$B$6-1)/2)</f>
        <v>14026311.7261644</v>
      </c>
      <c r="AA7" s="0" t="n">
        <f aca="false">AA6*Inputs!$B$8/2*(1+Inputs!$B$9)^INT((AA$3-Inputs!$B$6-1)/2)</f>
        <v>14026311.7261644</v>
      </c>
      <c r="AB7" s="0" t="n">
        <f aca="false">AB6*Inputs!$B$8/2*(1+Inputs!$B$9)^INT((AB$3-Inputs!$B$6-1)/2)</f>
        <v>14447101.0779493</v>
      </c>
      <c r="AC7" s="0" t="n">
        <f aca="false">AC6*Inputs!$B$8/2*(1+Inputs!$B$9)^INT((AC$3-Inputs!$B$6-1)/2)</f>
        <v>14447101.0779493</v>
      </c>
      <c r="AD7" s="0" t="n">
        <f aca="false">AD6*Inputs!$B$8/2*(1+Inputs!$B$9)^INT((AD$3-Inputs!$B$6-1)/2)</f>
        <v>14880514.1102878</v>
      </c>
      <c r="AE7" s="0" t="n">
        <f aca="false">AE6*Inputs!$B$8/2*(1+Inputs!$B$9)^INT((AE$3-Inputs!$B$6-1)/2)</f>
        <v>14880514.1102878</v>
      </c>
      <c r="AF7" s="0" t="n">
        <f aca="false">AF6*Inputs!$B$8/2*(1+Inputs!$B$9)^INT((AF$3-Inputs!$B$6-1)/2)</f>
        <v>15326929.5335964</v>
      </c>
      <c r="AG7" s="0" t="n">
        <f aca="false">AG6*Inputs!$B$8/2*(1+Inputs!$B$9)^INT((AG$3-Inputs!$B$6-1)/2)</f>
        <v>15326929.5335964</v>
      </c>
      <c r="AH7" s="0" t="n">
        <f aca="false">AH6*Inputs!$B$8/2*(1+Inputs!$B$9)^INT((AH$3-Inputs!$B$6-1)/2)</f>
        <v>15786737.4196043</v>
      </c>
      <c r="AI7" s="0" t="n">
        <f aca="false">AI6*Inputs!$B$8/2*(1+Inputs!$B$9)^INT((AI$3-Inputs!$B$6-1)/2)</f>
        <v>15786737.4196043</v>
      </c>
      <c r="AJ7" s="0" t="n">
        <f aca="false">AJ6*Inputs!$B$8/2*(1+Inputs!$B$9)^INT((AJ$3-Inputs!$B$6-1)/2)</f>
        <v>16260339.5421925</v>
      </c>
      <c r="AK7" s="0" t="n">
        <f aca="false">AK6*Inputs!$B$8/2*(1+Inputs!$B$9)^INT((AK$3-Inputs!$B$6-1)/2)</f>
        <v>16260339.5421925</v>
      </c>
      <c r="AL7" s="0" t="n">
        <f aca="false">AL6*Inputs!$B$8/2*(1+Inputs!$B$9)^INT((AL$3-Inputs!$B$6-1)/2)</f>
        <v>16748149.7284582</v>
      </c>
      <c r="AM7" s="0" t="n">
        <f aca="false">AM6*Inputs!$B$8/2*(1+Inputs!$B$9)^INT((AM$3-Inputs!$B$6-1)/2)</f>
        <v>16748149.7284582</v>
      </c>
      <c r="AN7" s="0" t="n">
        <f aca="false">AN6*Inputs!$B$8/2*(1+Inputs!$B$9)^INT((AN$3-Inputs!$B$6-1)/2)</f>
        <v>17250594.220312</v>
      </c>
      <c r="AO7" s="0" t="n">
        <f aca="false">AO6*Inputs!$B$8/2*(1+Inputs!$B$9)^INT((AO$3-Inputs!$B$6-1)/2)</f>
        <v>17250594.220312</v>
      </c>
      <c r="AP7" s="0" t="n">
        <f aca="false">AP6*Inputs!$B$8/2*(1+Inputs!$B$9)^INT((AP$3-Inputs!$B$6-1)/2)</f>
        <v>17768112.0469213</v>
      </c>
      <c r="AQ7" s="0" t="n">
        <f aca="false">AQ6*Inputs!$B$8/2*(1+Inputs!$B$9)^INT((AQ$3-Inputs!$B$6-1)/2)</f>
        <v>17768112.0469213</v>
      </c>
      <c r="AR7" s="0" t="n">
        <f aca="false">AR6*Inputs!$B$8/2*(1+Inputs!$B$9)^INT((AR$3-Inputs!$B$6-1)/2)</f>
        <v>18301155.408329</v>
      </c>
      <c r="AS7" s="0" t="n">
        <f aca="false">AS6*Inputs!$B$8/2*(1+Inputs!$B$9)^INT((AS$3-Inputs!$B$6-1)/2)</f>
        <v>18301155.408329</v>
      </c>
      <c r="AT7" s="0" t="n">
        <f aca="false">AT6*Inputs!$B$8/2*(1+Inputs!$B$9)^INT((AT$3-Inputs!$B$6-1)/2)</f>
        <v>18850190.0705788</v>
      </c>
      <c r="AU7" s="0" t="n">
        <f aca="false">AU6*Inputs!$B$8/2*(1+Inputs!$B$9)^INT((AU$3-Inputs!$B$6-1)/2)</f>
        <v>18850190.0705788</v>
      </c>
      <c r="AV7" s="0" t="n">
        <f aca="false">AV6*Inputs!$B$8/2*(1+Inputs!$B$9)^INT((AV$3-Inputs!$B$6-1)/2)</f>
        <v>19415695.7726962</v>
      </c>
      <c r="AW7" s="0" t="n">
        <f aca="false">AW6*Inputs!$B$8/2*(1+Inputs!$B$9)^INT((AW$3-Inputs!$B$6-1)/2)</f>
        <v>19415695.7726962</v>
      </c>
      <c r="AX7" s="0" t="n">
        <f aca="false">AX6*Inputs!$B$8/2*(1+Inputs!$B$9)^INT((AX$3-Inputs!$B$6-1)/2)</f>
        <v>19998166.6458771</v>
      </c>
      <c r="AY7" s="0" t="n">
        <f aca="false">AY6*Inputs!$B$8/2*(1+Inputs!$B$9)^INT((AY$3-Inputs!$B$6-1)/2)</f>
        <v>19998166.6458771</v>
      </c>
      <c r="AZ7" s="0" t="n">
        <f aca="false">AZ6*Inputs!$B$8/2*(1+Inputs!$B$9)^INT((AZ$3-Inputs!$B$6-1)/2)</f>
        <v>20598111.6452534</v>
      </c>
      <c r="BA7" s="0" t="n">
        <f aca="false">BA6*Inputs!$B$8/2*(1+Inputs!$B$9)^INT((BA$3-Inputs!$B$6-1)/2)</f>
        <v>20598111.6452534</v>
      </c>
      <c r="BB7" s="0" t="n">
        <f aca="false">BB6*Inputs!$B$8/2*(1+Inputs!$B$9)^INT((BB$3-Inputs!$B$6-1)/2)</f>
        <v>21216054.994611</v>
      </c>
      <c r="BC7" s="0" t="n">
        <f aca="false">BC6*Inputs!$B$8/2*(1+Inputs!$B$9)^INT((BC$3-Inputs!$B$6-1)/2)</f>
        <v>21216054.994611</v>
      </c>
      <c r="BD7" s="0" t="n">
        <f aca="false">BD6*Inputs!$B$8/2*(1+Inputs!$B$9)^INT((BD$3-Inputs!$B$6-1)/2)</f>
        <v>21852536.6444493</v>
      </c>
      <c r="BE7" s="0" t="n">
        <f aca="false">BE6*Inputs!$B$8/2*(1+Inputs!$B$9)^INT((BE$3-Inputs!$B$6-1)/2)</f>
        <v>21852536.6444493</v>
      </c>
    </row>
    <row r="8" customFormat="false" ht="15" hidden="false" customHeight="false" outlineLevel="0" collapsed="false">
      <c r="A8" s="0" t="s">
        <v>25</v>
      </c>
      <c r="B8" s="0" t="n">
        <f aca="false">B7*IF(Inputs!$B$3=1,Inputs!$B$18,Inputs!$B$19)</f>
        <v>0</v>
      </c>
      <c r="C8" s="0" t="n">
        <f aca="false">C7*IF(Inputs!$B$3=1,Inputs!$B$18,Inputs!$B$19)</f>
        <v>0</v>
      </c>
      <c r="D8" s="0" t="n">
        <f aca="false">D7*IF(Inputs!$B$3=1,Inputs!$B$18,Inputs!$B$19)</f>
        <v>0</v>
      </c>
      <c r="E8" s="0" t="n">
        <f aca="false">E7*IF(Inputs!$B$3=1,Inputs!$B$18,Inputs!$B$19)</f>
        <v>0</v>
      </c>
      <c r="F8" s="0" t="n">
        <f aca="false">F7*IF(Inputs!$B$3=1,Inputs!$B$18,Inputs!$B$19)</f>
        <v>0</v>
      </c>
      <c r="G8" s="0" t="n">
        <f aca="false">G7*IF(Inputs!$B$3=1,Inputs!$B$18,Inputs!$B$19)</f>
        <v>0</v>
      </c>
      <c r="H8" s="0" t="n">
        <f aca="false">H7*IF(Inputs!$B$3=1,Inputs!$B$18,Inputs!$B$19)</f>
        <v>53750</v>
      </c>
      <c r="I8" s="0" t="n">
        <f aca="false">I7*IF(Inputs!$B$3=1,Inputs!$B$18,Inputs!$B$19)</f>
        <v>53750</v>
      </c>
      <c r="J8" s="0" t="n">
        <f aca="false">J7*IF(Inputs!$B$3=1,Inputs!$B$18,Inputs!$B$19)</f>
        <v>55362.5</v>
      </c>
      <c r="K8" s="0" t="n">
        <f aca="false">K7*IF(Inputs!$B$3=1,Inputs!$B$18,Inputs!$B$19)</f>
        <v>55362.5</v>
      </c>
      <c r="L8" s="0" t="n">
        <f aca="false">L7*IF(Inputs!$B$3=1,Inputs!$B$18,Inputs!$B$19)</f>
        <v>57023.375</v>
      </c>
      <c r="M8" s="0" t="n">
        <f aca="false">M7*IF(Inputs!$B$3=1,Inputs!$B$18,Inputs!$B$19)</f>
        <v>57023.375</v>
      </c>
      <c r="N8" s="0" t="n">
        <f aca="false">N7*IF(Inputs!$B$3=1,Inputs!$B$18,Inputs!$B$19)</f>
        <v>58734.07625</v>
      </c>
      <c r="O8" s="0" t="n">
        <f aca="false">O7*IF(Inputs!$B$3=1,Inputs!$B$18,Inputs!$B$19)</f>
        <v>58734.07625</v>
      </c>
      <c r="P8" s="0" t="n">
        <f aca="false">P7*IF(Inputs!$B$3=1,Inputs!$B$18,Inputs!$B$19)</f>
        <v>60496.0985375</v>
      </c>
      <c r="Q8" s="0" t="n">
        <f aca="false">Q7*IF(Inputs!$B$3=1,Inputs!$B$18,Inputs!$B$19)</f>
        <v>60496.0985375</v>
      </c>
      <c r="R8" s="0" t="n">
        <f aca="false">R7*IF(Inputs!$B$3=1,Inputs!$B$18,Inputs!$B$19)</f>
        <v>62310.981493625</v>
      </c>
      <c r="S8" s="0" t="n">
        <f aca="false">S7*IF(Inputs!$B$3=1,Inputs!$B$18,Inputs!$B$19)</f>
        <v>62310.981493625</v>
      </c>
      <c r="T8" s="0" t="n">
        <f aca="false">T7*IF(Inputs!$B$3=1,Inputs!$B$18,Inputs!$B$19)</f>
        <v>64180.3109384338</v>
      </c>
      <c r="U8" s="0" t="n">
        <f aca="false">U7*IF(Inputs!$B$3=1,Inputs!$B$18,Inputs!$B$19)</f>
        <v>64180.3109384338</v>
      </c>
      <c r="V8" s="0" t="n">
        <f aca="false">V7*IF(Inputs!$B$3=1,Inputs!$B$18,Inputs!$B$19)</f>
        <v>66105.7202665868</v>
      </c>
      <c r="W8" s="0" t="n">
        <f aca="false">W7*IF(Inputs!$B$3=1,Inputs!$B$18,Inputs!$B$19)</f>
        <v>66105.7202665868</v>
      </c>
      <c r="X8" s="0" t="n">
        <f aca="false">X7*IF(Inputs!$B$3=1,Inputs!$B$18,Inputs!$B$19)</f>
        <v>68088.8918745844</v>
      </c>
      <c r="Y8" s="0" t="n">
        <f aca="false">Y7*IF(Inputs!$B$3=1,Inputs!$B$18,Inputs!$B$19)</f>
        <v>68088.8918745844</v>
      </c>
      <c r="Z8" s="0" t="n">
        <f aca="false">Z7*IF(Inputs!$B$3=1,Inputs!$B$18,Inputs!$B$19)</f>
        <v>70131.5586308219</v>
      </c>
      <c r="AA8" s="0" t="n">
        <f aca="false">AA7*IF(Inputs!$B$3=1,Inputs!$B$18,Inputs!$B$19)</f>
        <v>70131.5586308219</v>
      </c>
      <c r="AB8" s="0" t="n">
        <f aca="false">AB7*IF(Inputs!$B$3=1,Inputs!$B$18,Inputs!$B$19)</f>
        <v>72235.5053897466</v>
      </c>
      <c r="AC8" s="0" t="n">
        <f aca="false">AC7*IF(Inputs!$B$3=1,Inputs!$B$18,Inputs!$B$19)</f>
        <v>72235.5053897466</v>
      </c>
      <c r="AD8" s="0" t="n">
        <f aca="false">AD7*IF(Inputs!$B$3=1,Inputs!$B$18,Inputs!$B$19)</f>
        <v>74402.570551439</v>
      </c>
      <c r="AE8" s="0" t="n">
        <f aca="false">AE7*IF(Inputs!$B$3=1,Inputs!$B$18,Inputs!$B$19)</f>
        <v>74402.570551439</v>
      </c>
      <c r="AF8" s="0" t="n">
        <f aca="false">AF7*IF(Inputs!$B$3=1,Inputs!$B$18,Inputs!$B$19)</f>
        <v>76634.6476679821</v>
      </c>
      <c r="AG8" s="0" t="n">
        <f aca="false">AG7*IF(Inputs!$B$3=1,Inputs!$B$18,Inputs!$B$19)</f>
        <v>76634.6476679821</v>
      </c>
      <c r="AH8" s="0" t="n">
        <f aca="false">AH7*IF(Inputs!$B$3=1,Inputs!$B$18,Inputs!$B$19)</f>
        <v>78933.6870980216</v>
      </c>
      <c r="AI8" s="0" t="n">
        <f aca="false">AI7*IF(Inputs!$B$3=1,Inputs!$B$18,Inputs!$B$19)</f>
        <v>78933.6870980216</v>
      </c>
      <c r="AJ8" s="0" t="n">
        <f aca="false">AJ7*IF(Inputs!$B$3=1,Inputs!$B$18,Inputs!$B$19)</f>
        <v>81301.6977109623</v>
      </c>
      <c r="AK8" s="0" t="n">
        <f aca="false">AK7*IF(Inputs!$B$3=1,Inputs!$B$18,Inputs!$B$19)</f>
        <v>81301.6977109623</v>
      </c>
      <c r="AL8" s="0" t="n">
        <f aca="false">AL7*IF(Inputs!$B$3=1,Inputs!$B$18,Inputs!$B$19)</f>
        <v>83740.7486422911</v>
      </c>
      <c r="AM8" s="0" t="n">
        <f aca="false">AM7*IF(Inputs!$B$3=1,Inputs!$B$18,Inputs!$B$19)</f>
        <v>83740.7486422911</v>
      </c>
      <c r="AN8" s="0" t="n">
        <f aca="false">AN7*IF(Inputs!$B$3=1,Inputs!$B$18,Inputs!$B$19)</f>
        <v>86252.9711015599</v>
      </c>
      <c r="AO8" s="0" t="n">
        <f aca="false">AO7*IF(Inputs!$B$3=1,Inputs!$B$18,Inputs!$B$19)</f>
        <v>86252.9711015599</v>
      </c>
      <c r="AP8" s="0" t="n">
        <f aca="false">AP7*IF(Inputs!$B$3=1,Inputs!$B$18,Inputs!$B$19)</f>
        <v>88840.5602346067</v>
      </c>
      <c r="AQ8" s="0" t="n">
        <f aca="false">AQ7*IF(Inputs!$B$3=1,Inputs!$B$18,Inputs!$B$19)</f>
        <v>88840.5602346067</v>
      </c>
      <c r="AR8" s="0" t="n">
        <f aca="false">AR7*IF(Inputs!$B$3=1,Inputs!$B$18,Inputs!$B$19)</f>
        <v>91505.7770416449</v>
      </c>
      <c r="AS8" s="0" t="n">
        <f aca="false">AS7*IF(Inputs!$B$3=1,Inputs!$B$18,Inputs!$B$19)</f>
        <v>91505.7770416449</v>
      </c>
      <c r="AT8" s="0" t="n">
        <f aca="false">AT7*IF(Inputs!$B$3=1,Inputs!$B$18,Inputs!$B$19)</f>
        <v>94250.9503528942</v>
      </c>
      <c r="AU8" s="0" t="n">
        <f aca="false">AU7*IF(Inputs!$B$3=1,Inputs!$B$18,Inputs!$B$19)</f>
        <v>94250.9503528942</v>
      </c>
      <c r="AV8" s="0" t="n">
        <f aca="false">AV7*IF(Inputs!$B$3=1,Inputs!$B$18,Inputs!$B$19)</f>
        <v>97078.478863481</v>
      </c>
      <c r="AW8" s="0" t="n">
        <f aca="false">AW7*IF(Inputs!$B$3=1,Inputs!$B$18,Inputs!$B$19)</f>
        <v>97078.478863481</v>
      </c>
      <c r="AX8" s="0" t="n">
        <f aca="false">AX7*IF(Inputs!$B$3=1,Inputs!$B$18,Inputs!$B$19)</f>
        <v>99990.8332293855</v>
      </c>
      <c r="AY8" s="0" t="n">
        <f aca="false">AY7*IF(Inputs!$B$3=1,Inputs!$B$18,Inputs!$B$19)</f>
        <v>99990.8332293855</v>
      </c>
      <c r="AZ8" s="0" t="n">
        <f aca="false">AZ7*IF(Inputs!$B$3=1,Inputs!$B$18,Inputs!$B$19)</f>
        <v>102990.558226267</v>
      </c>
      <c r="BA8" s="0" t="n">
        <f aca="false">BA7*IF(Inputs!$B$3=1,Inputs!$B$18,Inputs!$B$19)</f>
        <v>102990.558226267</v>
      </c>
      <c r="BB8" s="0" t="n">
        <f aca="false">BB7*IF(Inputs!$B$3=1,Inputs!$B$18,Inputs!$B$19)</f>
        <v>106080.274973055</v>
      </c>
      <c r="BC8" s="0" t="n">
        <f aca="false">BC7*IF(Inputs!$B$3=1,Inputs!$B$18,Inputs!$B$19)</f>
        <v>106080.274973055</v>
      </c>
      <c r="BD8" s="0" t="n">
        <f aca="false">BD7*IF(Inputs!$B$3=1,Inputs!$B$18,Inputs!$B$19)</f>
        <v>109262.683222247</v>
      </c>
      <c r="BE8" s="0" t="n">
        <f aca="false">BE7*IF(Inputs!$B$3=1,Inputs!$B$18,Inputs!$B$19)</f>
        <v>109262.683222247</v>
      </c>
    </row>
    <row r="9" customFormat="false" ht="15" hidden="false" customHeight="false" outlineLevel="0" collapsed="false">
      <c r="A9" s="0" t="s">
        <v>26</v>
      </c>
      <c r="B9" s="0" t="n">
        <f aca="false">B6*Inputs!$B$10*IF(Inputs!$B$3=1,1,1+Inputs!$B$20)/2*(1+Inputs!$B$9)^INT((B$3-Inputs!$B$6-1)/2)</f>
        <v>0</v>
      </c>
      <c r="C9" s="0" t="n">
        <f aca="false">C6*Inputs!$B$10*IF(Inputs!$B$3=1,1,1+Inputs!$B$20)/2*(1+Inputs!$B$9)^INT((C$3-Inputs!$B$6-1)/2)</f>
        <v>0</v>
      </c>
      <c r="D9" s="0" t="n">
        <f aca="false">D6*Inputs!$B$10*IF(Inputs!$B$3=1,1,1+Inputs!$B$20)/2*(1+Inputs!$B$9)^INT((D$3-Inputs!$B$6-1)/2)</f>
        <v>0</v>
      </c>
      <c r="E9" s="0" t="n">
        <f aca="false">E6*Inputs!$B$10*IF(Inputs!$B$3=1,1,1+Inputs!$B$20)/2*(1+Inputs!$B$9)^INT((E$3-Inputs!$B$6-1)/2)</f>
        <v>0</v>
      </c>
      <c r="F9" s="0" t="n">
        <f aca="false">F6*Inputs!$B$10*IF(Inputs!$B$3=1,1,1+Inputs!$B$20)/2*(1+Inputs!$B$9)^INT((F$3-Inputs!$B$6-1)/2)</f>
        <v>0</v>
      </c>
      <c r="G9" s="0" t="n">
        <f aca="false">G6*Inputs!$B$10*IF(Inputs!$B$3=1,1,1+Inputs!$B$20)/2*(1+Inputs!$B$9)^INT((G$3-Inputs!$B$6-1)/2)</f>
        <v>0</v>
      </c>
      <c r="H9" s="0" t="n">
        <f aca="false">H6*Inputs!$B$10*IF(Inputs!$B$3=1,1,1+Inputs!$B$20)/2*(1+Inputs!$B$9)^INT((H$3-Inputs!$B$6-1)/2)</f>
        <v>2100000</v>
      </c>
      <c r="I9" s="0" t="n">
        <f aca="false">I6*Inputs!$B$10*IF(Inputs!$B$3=1,1,1+Inputs!$B$20)/2*(1+Inputs!$B$9)^INT((I$3-Inputs!$B$6-1)/2)</f>
        <v>2100000</v>
      </c>
      <c r="J9" s="0" t="n">
        <f aca="false">J6*Inputs!$B$10*IF(Inputs!$B$3=1,1,1+Inputs!$B$20)/2*(1+Inputs!$B$9)^INT((J$3-Inputs!$B$6-1)/2)</f>
        <v>2163000</v>
      </c>
      <c r="K9" s="0" t="n">
        <f aca="false">K6*Inputs!$B$10*IF(Inputs!$B$3=1,1,1+Inputs!$B$20)/2*(1+Inputs!$B$9)^INT((K$3-Inputs!$B$6-1)/2)</f>
        <v>2163000</v>
      </c>
      <c r="L9" s="0" t="n">
        <f aca="false">L6*Inputs!$B$10*IF(Inputs!$B$3=1,1,1+Inputs!$B$20)/2*(1+Inputs!$B$9)^INT((L$3-Inputs!$B$6-1)/2)</f>
        <v>2227890</v>
      </c>
      <c r="M9" s="0" t="n">
        <f aca="false">M6*Inputs!$B$10*IF(Inputs!$B$3=1,1,1+Inputs!$B$20)/2*(1+Inputs!$B$9)^INT((M$3-Inputs!$B$6-1)/2)</f>
        <v>2227890</v>
      </c>
      <c r="N9" s="0" t="n">
        <f aca="false">N6*Inputs!$B$10*IF(Inputs!$B$3=1,1,1+Inputs!$B$20)/2*(1+Inputs!$B$9)^INT((N$3-Inputs!$B$6-1)/2)</f>
        <v>2294726.7</v>
      </c>
      <c r="O9" s="0" t="n">
        <f aca="false">O6*Inputs!$B$10*IF(Inputs!$B$3=1,1,1+Inputs!$B$20)/2*(1+Inputs!$B$9)^INT((O$3-Inputs!$B$6-1)/2)</f>
        <v>2294726.7</v>
      </c>
      <c r="P9" s="0" t="n">
        <f aca="false">P6*Inputs!$B$10*IF(Inputs!$B$3=1,1,1+Inputs!$B$20)/2*(1+Inputs!$B$9)^INT((P$3-Inputs!$B$6-1)/2)</f>
        <v>2363568.501</v>
      </c>
      <c r="Q9" s="0" t="n">
        <f aca="false">Q6*Inputs!$B$10*IF(Inputs!$B$3=1,1,1+Inputs!$B$20)/2*(1+Inputs!$B$9)^INT((Q$3-Inputs!$B$6-1)/2)</f>
        <v>2363568.501</v>
      </c>
      <c r="R9" s="0" t="n">
        <f aca="false">R6*Inputs!$B$10*IF(Inputs!$B$3=1,1,1+Inputs!$B$20)/2*(1+Inputs!$B$9)^INT((R$3-Inputs!$B$6-1)/2)</f>
        <v>2434475.55603</v>
      </c>
      <c r="S9" s="0" t="n">
        <f aca="false">S6*Inputs!$B$10*IF(Inputs!$B$3=1,1,1+Inputs!$B$20)/2*(1+Inputs!$B$9)^INT((S$3-Inputs!$B$6-1)/2)</f>
        <v>2434475.55603</v>
      </c>
      <c r="T9" s="0" t="n">
        <f aca="false">T6*Inputs!$B$10*IF(Inputs!$B$3=1,1,1+Inputs!$B$20)/2*(1+Inputs!$B$9)^INT((T$3-Inputs!$B$6-1)/2)</f>
        <v>2507509.8227109</v>
      </c>
      <c r="U9" s="0" t="n">
        <f aca="false">U6*Inputs!$B$10*IF(Inputs!$B$3=1,1,1+Inputs!$B$20)/2*(1+Inputs!$B$9)^INT((U$3-Inputs!$B$6-1)/2)</f>
        <v>2507509.8227109</v>
      </c>
      <c r="V9" s="0" t="n">
        <f aca="false">V6*Inputs!$B$10*IF(Inputs!$B$3=1,1,1+Inputs!$B$20)/2*(1+Inputs!$B$9)^INT((V$3-Inputs!$B$6-1)/2)</f>
        <v>2582735.11739223</v>
      </c>
      <c r="W9" s="0" t="n">
        <f aca="false">W6*Inputs!$B$10*IF(Inputs!$B$3=1,1,1+Inputs!$B$20)/2*(1+Inputs!$B$9)^INT((W$3-Inputs!$B$6-1)/2)</f>
        <v>2582735.11739223</v>
      </c>
      <c r="X9" s="0" t="n">
        <f aca="false">X6*Inputs!$B$10*IF(Inputs!$B$3=1,1,1+Inputs!$B$20)/2*(1+Inputs!$B$9)^INT((X$3-Inputs!$B$6-1)/2)</f>
        <v>2660217.17091399</v>
      </c>
      <c r="Y9" s="0" t="n">
        <f aca="false">Y6*Inputs!$B$10*IF(Inputs!$B$3=1,1,1+Inputs!$B$20)/2*(1+Inputs!$B$9)^INT((Y$3-Inputs!$B$6-1)/2)</f>
        <v>2660217.17091399</v>
      </c>
      <c r="Z9" s="0" t="n">
        <f aca="false">Z6*Inputs!$B$10*IF(Inputs!$B$3=1,1,1+Inputs!$B$20)/2*(1+Inputs!$B$9)^INT((Z$3-Inputs!$B$6-1)/2)</f>
        <v>2740023.68604141</v>
      </c>
      <c r="AA9" s="0" t="n">
        <f aca="false">AA6*Inputs!$B$10*IF(Inputs!$B$3=1,1,1+Inputs!$B$20)/2*(1+Inputs!$B$9)^INT((AA$3-Inputs!$B$6-1)/2)</f>
        <v>2740023.68604141</v>
      </c>
      <c r="AB9" s="0" t="n">
        <f aca="false">AB6*Inputs!$B$10*IF(Inputs!$B$3=1,1,1+Inputs!$B$20)/2*(1+Inputs!$B$9)^INT((AB$3-Inputs!$B$6-1)/2)</f>
        <v>2822224.39662266</v>
      </c>
      <c r="AC9" s="0" t="n">
        <f aca="false">AC6*Inputs!$B$10*IF(Inputs!$B$3=1,1,1+Inputs!$B$20)/2*(1+Inputs!$B$9)^INT((AC$3-Inputs!$B$6-1)/2)</f>
        <v>2822224.39662266</v>
      </c>
      <c r="AD9" s="0" t="n">
        <f aca="false">AD6*Inputs!$B$10*IF(Inputs!$B$3=1,1,1+Inputs!$B$20)/2*(1+Inputs!$B$9)^INT((AD$3-Inputs!$B$6-1)/2)</f>
        <v>2906891.12852134</v>
      </c>
      <c r="AE9" s="0" t="n">
        <f aca="false">AE6*Inputs!$B$10*IF(Inputs!$B$3=1,1,1+Inputs!$B$20)/2*(1+Inputs!$B$9)^INT((AE$3-Inputs!$B$6-1)/2)</f>
        <v>2906891.12852134</v>
      </c>
      <c r="AF9" s="0" t="n">
        <f aca="false">AF6*Inputs!$B$10*IF(Inputs!$B$3=1,1,1+Inputs!$B$20)/2*(1+Inputs!$B$9)^INT((AF$3-Inputs!$B$6-1)/2)</f>
        <v>2994097.86237698</v>
      </c>
      <c r="AG9" s="0" t="n">
        <f aca="false">AG6*Inputs!$B$10*IF(Inputs!$B$3=1,1,1+Inputs!$B$20)/2*(1+Inputs!$B$9)^INT((AG$3-Inputs!$B$6-1)/2)</f>
        <v>2994097.86237698</v>
      </c>
      <c r="AH9" s="0" t="n">
        <f aca="false">AH6*Inputs!$B$10*IF(Inputs!$B$3=1,1,1+Inputs!$B$20)/2*(1+Inputs!$B$9)^INT((AH$3-Inputs!$B$6-1)/2)</f>
        <v>3083920.79824829</v>
      </c>
      <c r="AI9" s="0" t="n">
        <f aca="false">AI6*Inputs!$B$10*IF(Inputs!$B$3=1,1,1+Inputs!$B$20)/2*(1+Inputs!$B$9)^INT((AI$3-Inputs!$B$6-1)/2)</f>
        <v>3083920.79824829</v>
      </c>
      <c r="AJ9" s="0" t="n">
        <f aca="false">AJ6*Inputs!$B$10*IF(Inputs!$B$3=1,1,1+Inputs!$B$20)/2*(1+Inputs!$B$9)^INT((AJ$3-Inputs!$B$6-1)/2)</f>
        <v>3176438.42219574</v>
      </c>
      <c r="AK9" s="0" t="n">
        <f aca="false">AK6*Inputs!$B$10*IF(Inputs!$B$3=1,1,1+Inputs!$B$20)/2*(1+Inputs!$B$9)^INT((AK$3-Inputs!$B$6-1)/2)</f>
        <v>3176438.42219574</v>
      </c>
      <c r="AL9" s="0" t="n">
        <f aca="false">AL6*Inputs!$B$10*IF(Inputs!$B$3=1,1,1+Inputs!$B$20)/2*(1+Inputs!$B$9)^INT((AL$3-Inputs!$B$6-1)/2)</f>
        <v>3271731.57486161</v>
      </c>
      <c r="AM9" s="0" t="n">
        <f aca="false">AM6*Inputs!$B$10*IF(Inputs!$B$3=1,1,1+Inputs!$B$20)/2*(1+Inputs!$B$9)^INT((AM$3-Inputs!$B$6-1)/2)</f>
        <v>3271731.57486161</v>
      </c>
      <c r="AN9" s="0" t="n">
        <f aca="false">AN6*Inputs!$B$10*IF(Inputs!$B$3=1,1,1+Inputs!$B$20)/2*(1+Inputs!$B$9)^INT((AN$3-Inputs!$B$6-1)/2)</f>
        <v>3369883.52210746</v>
      </c>
      <c r="AO9" s="0" t="n">
        <f aca="false">AO6*Inputs!$B$10*IF(Inputs!$B$3=1,1,1+Inputs!$B$20)/2*(1+Inputs!$B$9)^INT((AO$3-Inputs!$B$6-1)/2)</f>
        <v>3369883.52210746</v>
      </c>
      <c r="AP9" s="0" t="n">
        <f aca="false">AP6*Inputs!$B$10*IF(Inputs!$B$3=1,1,1+Inputs!$B$20)/2*(1+Inputs!$B$9)^INT((AP$3-Inputs!$B$6-1)/2)</f>
        <v>3470980.02777068</v>
      </c>
      <c r="AQ9" s="0" t="n">
        <f aca="false">AQ6*Inputs!$B$10*IF(Inputs!$B$3=1,1,1+Inputs!$B$20)/2*(1+Inputs!$B$9)^INT((AQ$3-Inputs!$B$6-1)/2)</f>
        <v>3470980.02777068</v>
      </c>
      <c r="AR9" s="0" t="n">
        <f aca="false">AR6*Inputs!$B$10*IF(Inputs!$B$3=1,1,1+Inputs!$B$20)/2*(1+Inputs!$B$9)^INT((AR$3-Inputs!$B$6-1)/2)</f>
        <v>3575109.4286038</v>
      </c>
      <c r="AS9" s="0" t="n">
        <f aca="false">AS6*Inputs!$B$10*IF(Inputs!$B$3=1,1,1+Inputs!$B$20)/2*(1+Inputs!$B$9)^INT((AS$3-Inputs!$B$6-1)/2)</f>
        <v>3575109.4286038</v>
      </c>
      <c r="AT9" s="0" t="n">
        <f aca="false">AT6*Inputs!$B$10*IF(Inputs!$B$3=1,1,1+Inputs!$B$20)/2*(1+Inputs!$B$9)^INT((AT$3-Inputs!$B$6-1)/2)</f>
        <v>3682362.71146191</v>
      </c>
      <c r="AU9" s="0" t="n">
        <f aca="false">AU6*Inputs!$B$10*IF(Inputs!$B$3=1,1,1+Inputs!$B$20)/2*(1+Inputs!$B$9)^INT((AU$3-Inputs!$B$6-1)/2)</f>
        <v>3682362.71146191</v>
      </c>
      <c r="AV9" s="0" t="n">
        <f aca="false">AV6*Inputs!$B$10*IF(Inputs!$B$3=1,1,1+Inputs!$B$20)/2*(1+Inputs!$B$9)^INT((AV$3-Inputs!$B$6-1)/2)</f>
        <v>3792833.59280577</v>
      </c>
      <c r="AW9" s="0" t="n">
        <f aca="false">AW6*Inputs!$B$10*IF(Inputs!$B$3=1,1,1+Inputs!$B$20)/2*(1+Inputs!$B$9)^INT((AW$3-Inputs!$B$6-1)/2)</f>
        <v>3792833.59280577</v>
      </c>
      <c r="AX9" s="0" t="n">
        <f aca="false">AX6*Inputs!$B$10*IF(Inputs!$B$3=1,1,1+Inputs!$B$20)/2*(1+Inputs!$B$9)^INT((AX$3-Inputs!$B$6-1)/2)</f>
        <v>3906618.60058994</v>
      </c>
      <c r="AY9" s="0" t="n">
        <f aca="false">AY6*Inputs!$B$10*IF(Inputs!$B$3=1,1,1+Inputs!$B$20)/2*(1+Inputs!$B$9)^INT((AY$3-Inputs!$B$6-1)/2)</f>
        <v>3906618.60058994</v>
      </c>
      <c r="AZ9" s="0" t="n">
        <f aca="false">AZ6*Inputs!$B$10*IF(Inputs!$B$3=1,1,1+Inputs!$B$20)/2*(1+Inputs!$B$9)^INT((AZ$3-Inputs!$B$6-1)/2)</f>
        <v>4023817.15860764</v>
      </c>
      <c r="BA9" s="0" t="n">
        <f aca="false">BA6*Inputs!$B$10*IF(Inputs!$B$3=1,1,1+Inputs!$B$20)/2*(1+Inputs!$B$9)^INT((BA$3-Inputs!$B$6-1)/2)</f>
        <v>4023817.15860764</v>
      </c>
      <c r="BB9" s="0" t="n">
        <f aca="false">BB6*Inputs!$B$10*IF(Inputs!$B$3=1,1,1+Inputs!$B$20)/2*(1+Inputs!$B$9)^INT((BB$3-Inputs!$B$6-1)/2)</f>
        <v>4144531.67336587</v>
      </c>
      <c r="BC9" s="0" t="n">
        <f aca="false">BC6*Inputs!$B$10*IF(Inputs!$B$3=1,1,1+Inputs!$B$20)/2*(1+Inputs!$B$9)^INT((BC$3-Inputs!$B$6-1)/2)</f>
        <v>4144531.67336587</v>
      </c>
      <c r="BD9" s="0" t="n">
        <f aca="false">BD6*Inputs!$B$10*IF(Inputs!$B$3=1,1,1+Inputs!$B$20)/2*(1+Inputs!$B$9)^INT((BD$3-Inputs!$B$6-1)/2)</f>
        <v>4268867.62356685</v>
      </c>
      <c r="BE9" s="0" t="n">
        <f aca="false">BE6*Inputs!$B$10*IF(Inputs!$B$3=1,1,1+Inputs!$B$20)/2*(1+Inputs!$B$9)^INT((BE$3-Inputs!$B$6-1)/2)</f>
        <v>4268867.62356685</v>
      </c>
    </row>
    <row r="10" customFormat="false" ht="15" hidden="false" customHeight="false" outlineLevel="0" collapsed="false">
      <c r="A10" s="0" t="s">
        <v>27</v>
      </c>
      <c r="B10" s="0" t="n">
        <f aca="false">B6*IFERROR(INDEX(Lifecycle!$B$2:$B$61,B$3-Inputs!$B$6),0)*(1+Inputs!$B$9)^INT((B$3-Inputs!$B$6-1)/2)</f>
        <v>0</v>
      </c>
      <c r="C10" s="0" t="n">
        <f aca="false">C6*IFERROR(INDEX(Lifecycle!$B$2:$B$61,C$3-Inputs!$B$6),0)*(1+Inputs!$B$9)^INT((C$3-Inputs!$B$6-1)/2)</f>
        <v>0</v>
      </c>
      <c r="D10" s="0" t="n">
        <f aca="false">D6*IFERROR(INDEX(Lifecycle!$B$2:$B$61,D$3-Inputs!$B$6),0)*(1+Inputs!$B$9)^INT((D$3-Inputs!$B$6-1)/2)</f>
        <v>0</v>
      </c>
      <c r="E10" s="0" t="n">
        <f aca="false">E6*IFERROR(INDEX(Lifecycle!$B$2:$B$61,E$3-Inputs!$B$6),0)*(1+Inputs!$B$9)^INT((E$3-Inputs!$B$6-1)/2)</f>
        <v>0</v>
      </c>
      <c r="F10" s="0" t="n">
        <f aca="false">F6*IFERROR(INDEX(Lifecycle!$B$2:$B$61,F$3-Inputs!$B$6),0)*(1+Inputs!$B$9)^INT((F$3-Inputs!$B$6-1)/2)</f>
        <v>0</v>
      </c>
      <c r="G10" s="0" t="n">
        <f aca="false">G6*IFERROR(INDEX(Lifecycle!$B$2:$B$61,G$3-Inputs!$B$6),0)*(1+Inputs!$B$9)^INT((G$3-Inputs!$B$6-1)/2)</f>
        <v>0</v>
      </c>
      <c r="H10" s="0" t="n">
        <f aca="false">H6*IFERROR(INDEX(Lifecycle!$B$2:$B$61,H$3-Inputs!$B$6),0)*(1+Inputs!$B$9)^INT((H$3-Inputs!$B$6-1)/2)</f>
        <v>0</v>
      </c>
      <c r="I10" s="0" t="n">
        <f aca="false">I6*IFERROR(INDEX(Lifecycle!$B$2:$B$61,I$3-Inputs!$B$6),0)*(1+Inputs!$B$9)^INT((I$3-Inputs!$B$6-1)/2)</f>
        <v>0</v>
      </c>
      <c r="J10" s="0" t="n">
        <f aca="false">J6*IFERROR(INDEX(Lifecycle!$B$2:$B$61,J$3-Inputs!$B$6),0)*(1+Inputs!$B$9)^INT((J$3-Inputs!$B$6-1)/2)</f>
        <v>0</v>
      </c>
      <c r="K10" s="0" t="n">
        <f aca="false">K6*IFERROR(INDEX(Lifecycle!$B$2:$B$61,K$3-Inputs!$B$6),0)*(1+Inputs!$B$9)^INT((K$3-Inputs!$B$6-1)/2)</f>
        <v>927000</v>
      </c>
      <c r="L10" s="0" t="n">
        <f aca="false">L6*IFERROR(INDEX(Lifecycle!$B$2:$B$61,L$3-Inputs!$B$6),0)*(1+Inputs!$B$9)^INT((L$3-Inputs!$B$6-1)/2)</f>
        <v>0</v>
      </c>
      <c r="M10" s="0" t="n">
        <f aca="false">M6*IFERROR(INDEX(Lifecycle!$B$2:$B$61,M$3-Inputs!$B$6),0)*(1+Inputs!$B$9)^INT((M$3-Inputs!$B$6-1)/2)</f>
        <v>0</v>
      </c>
      <c r="N10" s="0" t="n">
        <f aca="false">N6*IFERROR(INDEX(Lifecycle!$B$2:$B$61,N$3-Inputs!$B$6),0)*(1+Inputs!$B$9)^INT((N$3-Inputs!$B$6-1)/2)</f>
        <v>0</v>
      </c>
      <c r="O10" s="0" t="n">
        <f aca="false">O6*IFERROR(INDEX(Lifecycle!$B$2:$B$61,O$3-Inputs!$B$6),0)*(1+Inputs!$B$9)^INT((O$3-Inputs!$B$6-1)/2)</f>
        <v>983454.3</v>
      </c>
      <c r="P10" s="0" t="n">
        <f aca="false">P6*IFERROR(INDEX(Lifecycle!$B$2:$B$61,P$3-Inputs!$B$6),0)*(1+Inputs!$B$9)^INT((P$3-Inputs!$B$6-1)/2)</f>
        <v>0</v>
      </c>
      <c r="Q10" s="0" t="n">
        <f aca="false">Q6*IFERROR(INDEX(Lifecycle!$B$2:$B$61,Q$3-Inputs!$B$6),0)*(1+Inputs!$B$9)^INT((Q$3-Inputs!$B$6-1)/2)</f>
        <v>2926322.906</v>
      </c>
      <c r="R10" s="0" t="n">
        <f aca="false">R6*IFERROR(INDEX(Lifecycle!$B$2:$B$61,R$3-Inputs!$B$6),0)*(1+Inputs!$B$9)^INT((R$3-Inputs!$B$6-1)/2)</f>
        <v>0</v>
      </c>
      <c r="S10" s="0" t="n">
        <f aca="false">S6*IFERROR(INDEX(Lifecycle!$B$2:$B$61,S$3-Inputs!$B$6),0)*(1+Inputs!$B$9)^INT((S$3-Inputs!$B$6-1)/2)</f>
        <v>1043346.66687</v>
      </c>
      <c r="T10" s="0" t="n">
        <f aca="false">T6*IFERROR(INDEX(Lifecycle!$B$2:$B$61,T$3-Inputs!$B$6),0)*(1+Inputs!$B$9)^INT((T$3-Inputs!$B$6-1)/2)</f>
        <v>0</v>
      </c>
      <c r="U10" s="0" t="n">
        <f aca="false">U6*IFERROR(INDEX(Lifecycle!$B$2:$B$61,U$3-Inputs!$B$6),0)*(1+Inputs!$B$9)^INT((U$3-Inputs!$B$6-1)/2)</f>
        <v>0</v>
      </c>
      <c r="V10" s="0" t="n">
        <f aca="false">V6*IFERROR(INDEX(Lifecycle!$B$2:$B$61,V$3-Inputs!$B$6),0)*(1+Inputs!$B$9)^INT((V$3-Inputs!$B$6-1)/2)</f>
        <v>0</v>
      </c>
      <c r="W10" s="0" t="n">
        <f aca="false">W6*IFERROR(INDEX(Lifecycle!$B$2:$B$61,W$3-Inputs!$B$6),0)*(1+Inputs!$B$9)^INT((W$3-Inputs!$B$6-1)/2)</f>
        <v>1106886.47888238</v>
      </c>
      <c r="X10" s="0" t="n">
        <f aca="false">X6*IFERROR(INDEX(Lifecycle!$B$2:$B$61,X$3-Inputs!$B$6),0)*(1+Inputs!$B$9)^INT((X$3-Inputs!$B$6-1)/2)</f>
        <v>0</v>
      </c>
      <c r="Y10" s="0" t="n">
        <f aca="false">Y6*IFERROR(INDEX(Lifecycle!$B$2:$B$61,Y$3-Inputs!$B$6),0)*(1+Inputs!$B$9)^INT((Y$3-Inputs!$B$6-1)/2)</f>
        <v>0</v>
      </c>
      <c r="Z10" s="0" t="n">
        <f aca="false">Z6*IFERROR(INDEX(Lifecycle!$B$2:$B$61,Z$3-Inputs!$B$6),0)*(1+Inputs!$B$9)^INT((Z$3-Inputs!$B$6-1)/2)</f>
        <v>0</v>
      </c>
      <c r="AA10" s="0" t="n">
        <f aca="false">AA6*IFERROR(INDEX(Lifecycle!$B$2:$B$61,AA$3-Inputs!$B$6),0)*(1+Inputs!$B$9)^INT((AA$3-Inputs!$B$6-1)/2)</f>
        <v>3392410.27795604</v>
      </c>
      <c r="AB10" s="0" t="n">
        <f aca="false">AB6*IFERROR(INDEX(Lifecycle!$B$2:$B$61,AB$3-Inputs!$B$6),0)*(1+Inputs!$B$9)^INT((AB$3-Inputs!$B$6-1)/2)</f>
        <v>0</v>
      </c>
      <c r="AC10" s="0" t="n">
        <f aca="false">AC6*IFERROR(INDEX(Lifecycle!$B$2:$B$61,AC$3-Inputs!$B$6),0)*(1+Inputs!$B$9)^INT((AC$3-Inputs!$B$6-1)/2)</f>
        <v>0</v>
      </c>
      <c r="AD10" s="0" t="n">
        <f aca="false">AD6*IFERROR(INDEX(Lifecycle!$B$2:$B$61,AD$3-Inputs!$B$6),0)*(1+Inputs!$B$9)^INT((AD$3-Inputs!$B$6-1)/2)</f>
        <v>0</v>
      </c>
      <c r="AE10" s="0" t="n">
        <f aca="false">AE6*IFERROR(INDEX(Lifecycle!$B$2:$B$61,AE$3-Inputs!$B$6),0)*(1+Inputs!$B$9)^INT((AE$3-Inputs!$B$6-1)/2)</f>
        <v>1245810.483652</v>
      </c>
      <c r="AF10" s="0" t="n">
        <f aca="false">AF6*IFERROR(INDEX(Lifecycle!$B$2:$B$61,AF$3-Inputs!$B$6),0)*(1+Inputs!$B$9)^INT((AF$3-Inputs!$B$6-1)/2)</f>
        <v>0</v>
      </c>
      <c r="AG10" s="0" t="n">
        <f aca="false">AG6*IFERROR(INDEX(Lifecycle!$B$2:$B$61,AG$3-Inputs!$B$6),0)*(1+Inputs!$B$9)^INT((AG$3-Inputs!$B$6-1)/2)</f>
        <v>0</v>
      </c>
      <c r="AH10" s="0" t="n">
        <f aca="false">AH6*IFERROR(INDEX(Lifecycle!$B$2:$B$61,AH$3-Inputs!$B$6),0)*(1+Inputs!$B$9)^INT((AH$3-Inputs!$B$6-1)/2)</f>
        <v>0</v>
      </c>
      <c r="AI10" s="0" t="n">
        <f aca="false">AI6*IFERROR(INDEX(Lifecycle!$B$2:$B$61,AI$3-Inputs!$B$6),0)*(1+Inputs!$B$9)^INT((AI$3-Inputs!$B$6-1)/2)</f>
        <v>1321680.34210641</v>
      </c>
      <c r="AJ10" s="0" t="n">
        <f aca="false">AJ6*IFERROR(INDEX(Lifecycle!$B$2:$B$61,AJ$3-Inputs!$B$6),0)*(1+Inputs!$B$9)^INT((AJ$3-Inputs!$B$6-1)/2)</f>
        <v>0</v>
      </c>
      <c r="AK10" s="0" t="n">
        <f aca="false">AK6*IFERROR(INDEX(Lifecycle!$B$2:$B$61,AK$3-Inputs!$B$6),0)*(1+Inputs!$B$9)^INT((AK$3-Inputs!$B$6-1)/2)</f>
        <v>3932733.28462329</v>
      </c>
      <c r="AL10" s="0" t="n">
        <f aca="false">AL6*IFERROR(INDEX(Lifecycle!$B$2:$B$61,AL$3-Inputs!$B$6),0)*(1+Inputs!$B$9)^INT((AL$3-Inputs!$B$6-1)/2)</f>
        <v>0</v>
      </c>
      <c r="AM10" s="0" t="n">
        <f aca="false">AM6*IFERROR(INDEX(Lifecycle!$B$2:$B$61,AM$3-Inputs!$B$6),0)*(1+Inputs!$B$9)^INT((AM$3-Inputs!$B$6-1)/2)</f>
        <v>1402170.67494069</v>
      </c>
      <c r="AN10" s="0" t="n">
        <f aca="false">AN6*IFERROR(INDEX(Lifecycle!$B$2:$B$61,AN$3-Inputs!$B$6),0)*(1+Inputs!$B$9)^INT((AN$3-Inputs!$B$6-1)/2)</f>
        <v>0</v>
      </c>
      <c r="AO10" s="0" t="n">
        <f aca="false">AO6*IFERROR(INDEX(Lifecycle!$B$2:$B$61,AO$3-Inputs!$B$6),0)*(1+Inputs!$B$9)^INT((AO$3-Inputs!$B$6-1)/2)</f>
        <v>0</v>
      </c>
      <c r="AP10" s="0" t="n">
        <f aca="false">AP6*IFERROR(INDEX(Lifecycle!$B$2:$B$61,AP$3-Inputs!$B$6),0)*(1+Inputs!$B$9)^INT((AP$3-Inputs!$B$6-1)/2)</f>
        <v>0</v>
      </c>
      <c r="AQ10" s="0" t="n">
        <f aca="false">AQ6*IFERROR(INDEX(Lifecycle!$B$2:$B$61,AQ$3-Inputs!$B$6),0)*(1+Inputs!$B$9)^INT((AQ$3-Inputs!$B$6-1)/2)</f>
        <v>1487562.86904458</v>
      </c>
      <c r="AR10" s="0" t="n">
        <f aca="false">AR6*IFERROR(INDEX(Lifecycle!$B$2:$B$61,AR$3-Inputs!$B$6),0)*(1+Inputs!$B$9)^INT((AR$3-Inputs!$B$6-1)/2)</f>
        <v>0</v>
      </c>
      <c r="AS10" s="0" t="n">
        <f aca="false">AS6*IFERROR(INDEX(Lifecycle!$B$2:$B$61,AS$3-Inputs!$B$6),0)*(1+Inputs!$B$9)^INT((AS$3-Inputs!$B$6-1)/2)</f>
        <v>0</v>
      </c>
      <c r="AT10" s="0" t="n">
        <f aca="false">AT6*IFERROR(INDEX(Lifecycle!$B$2:$B$61,AT$3-Inputs!$B$6),0)*(1+Inputs!$B$9)^INT((AT$3-Inputs!$B$6-1)/2)</f>
        <v>0</v>
      </c>
      <c r="AU10" s="0" t="n">
        <f aca="false">AU6*IFERROR(INDEX(Lifecycle!$B$2:$B$61,AU$3-Inputs!$B$6),0)*(1+Inputs!$B$9)^INT((AU$3-Inputs!$B$6-1)/2)</f>
        <v>4559115.73800047</v>
      </c>
      <c r="AV10" s="0" t="n">
        <f aca="false">AV6*IFERROR(INDEX(Lifecycle!$B$2:$B$61,AV$3-Inputs!$B$6),0)*(1+Inputs!$B$9)^INT((AV$3-Inputs!$B$6-1)/2)</f>
        <v>0</v>
      </c>
      <c r="AW10" s="0" t="n">
        <f aca="false">AW6*IFERROR(INDEX(Lifecycle!$B$2:$B$61,AW$3-Inputs!$B$6),0)*(1+Inputs!$B$9)^INT((AW$3-Inputs!$B$6-1)/2)</f>
        <v>0</v>
      </c>
      <c r="AX10" s="0" t="n">
        <f aca="false">AX6*IFERROR(INDEX(Lifecycle!$B$2:$B$61,AX$3-Inputs!$B$6),0)*(1+Inputs!$B$9)^INT((AX$3-Inputs!$B$6-1)/2)</f>
        <v>0</v>
      </c>
      <c r="AY10" s="0" t="n">
        <f aca="false">AY6*IFERROR(INDEX(Lifecycle!$B$2:$B$61,AY$3-Inputs!$B$6),0)*(1+Inputs!$B$9)^INT((AY$3-Inputs!$B$6-1)/2)</f>
        <v>1674265.11453855</v>
      </c>
      <c r="AZ10" s="0" t="n">
        <f aca="false">AZ6*IFERROR(INDEX(Lifecycle!$B$2:$B$61,AZ$3-Inputs!$B$6),0)*(1+Inputs!$B$9)^INT((AZ$3-Inputs!$B$6-1)/2)</f>
        <v>0</v>
      </c>
      <c r="BA10" s="0" t="n">
        <f aca="false">BA6*IFERROR(INDEX(Lifecycle!$B$2:$B$61,BA$3-Inputs!$B$6),0)*(1+Inputs!$B$9)^INT((BA$3-Inputs!$B$6-1)/2)</f>
        <v>0</v>
      </c>
      <c r="BB10" s="0" t="n">
        <f aca="false">BB6*IFERROR(INDEX(Lifecycle!$B$2:$B$61,BB$3-Inputs!$B$6),0)*(1+Inputs!$B$9)^INT((BB$3-Inputs!$B$6-1)/2)</f>
        <v>0</v>
      </c>
      <c r="BC10" s="0" t="n">
        <f aca="false">BC6*IFERROR(INDEX(Lifecycle!$B$2:$B$61,BC$3-Inputs!$B$6),0)*(1+Inputs!$B$9)^INT((BC$3-Inputs!$B$6-1)/2)</f>
        <v>1776227.86001395</v>
      </c>
      <c r="BD10" s="0" t="n">
        <f aca="false">BD6*IFERROR(INDEX(Lifecycle!$B$2:$B$61,BD$3-Inputs!$B$6),0)*(1+Inputs!$B$9)^INT((BD$3-Inputs!$B$6-1)/2)</f>
        <v>0</v>
      </c>
      <c r="BE10" s="0" t="n">
        <f aca="false">BE6*IFERROR(INDEX(Lifecycle!$B$2:$B$61,BE$3-Inputs!$B$6),0)*(1+Inputs!$B$9)^INT((BE$3-Inputs!$B$6-1)/2)</f>
        <v>5285264.67679705</v>
      </c>
    </row>
    <row r="11" customFormat="false" ht="15" hidden="false" customHeight="false" outlineLevel="0" collapsed="false">
      <c r="A11" s="0" t="s">
        <v>28</v>
      </c>
      <c r="B11" s="0" t="n">
        <f aca="false">B6*SUMPRODUCT((Lifecycle!$A$2:$A$61&gt;B$3-Inputs!$B$6)*(Lifecycle!$A$2:$A$61&lt;=B$3-Inputs!$B$6+Inputs!$B$15)*Lifecycle!$B$2:$B$61)*(1+Inputs!$B$9)^INT((B$3-Inputs!$B$6-1)/2)/Inputs!$B$15</f>
        <v>0</v>
      </c>
      <c r="C11" s="0" t="n">
        <f aca="false">C6*SUMPRODUCT((Lifecycle!$A$2:$A$61&gt;C$3-Inputs!$B$6)*(Lifecycle!$A$2:$A$61&lt;=C$3-Inputs!$B$6+Inputs!$B$15)*Lifecycle!$B$2:$B$61)*(1+Inputs!$B$9)^INT((C$3-Inputs!$B$6-1)/2)/Inputs!$B$15</f>
        <v>0</v>
      </c>
      <c r="D11" s="0" t="n">
        <f aca="false">D6*SUMPRODUCT((Lifecycle!$A$2:$A$61&gt;D$3-Inputs!$B$6)*(Lifecycle!$A$2:$A$61&lt;=D$3-Inputs!$B$6+Inputs!$B$15)*Lifecycle!$B$2:$B$61)*(1+Inputs!$B$9)^INT((D$3-Inputs!$B$6-1)/2)/Inputs!$B$15</f>
        <v>0</v>
      </c>
      <c r="E11" s="0" t="n">
        <f aca="false">E6*SUMPRODUCT((Lifecycle!$A$2:$A$61&gt;E$3-Inputs!$B$6)*(Lifecycle!$A$2:$A$61&lt;=E$3-Inputs!$B$6+Inputs!$B$15)*Lifecycle!$B$2:$B$61)*(1+Inputs!$B$9)^INT((E$3-Inputs!$B$6-1)/2)/Inputs!$B$15</f>
        <v>0</v>
      </c>
      <c r="F11" s="0" t="n">
        <f aca="false">F6*SUMPRODUCT((Lifecycle!$A$2:$A$61&gt;F$3-Inputs!$B$6)*(Lifecycle!$A$2:$A$61&lt;=F$3-Inputs!$B$6+Inputs!$B$15)*Lifecycle!$B$2:$B$61)*(1+Inputs!$B$9)^INT((F$3-Inputs!$B$6-1)/2)/Inputs!$B$15</f>
        <v>0</v>
      </c>
      <c r="G11" s="0" t="n">
        <f aca="false">G6*SUMPRODUCT((Lifecycle!$A$2:$A$61&gt;G$3-Inputs!$B$6)*(Lifecycle!$A$2:$A$61&lt;=G$3-Inputs!$B$6+Inputs!$B$15)*Lifecycle!$B$2:$B$61)*(1+Inputs!$B$9)^INT((G$3-Inputs!$B$6-1)/2)/Inputs!$B$15</f>
        <v>0</v>
      </c>
      <c r="H11" s="0" t="n">
        <f aca="false">H6*SUMPRODUCT((Lifecycle!$A$2:$A$61&gt;H$3-Inputs!$B$6)*(Lifecycle!$A$2:$A$61&lt;=H$3-Inputs!$B$6+Inputs!$B$15)*Lifecycle!$B$2:$B$61)*(1+Inputs!$B$9)^INT((H$3-Inputs!$B$6-1)/2)/Inputs!$B$15</f>
        <v>300000</v>
      </c>
      <c r="I11" s="0" t="n">
        <f aca="false">I6*SUMPRODUCT((Lifecycle!$A$2:$A$61&gt;I$3-Inputs!$B$6)*(Lifecycle!$A$2:$A$61&lt;=I$3-Inputs!$B$6+Inputs!$B$15)*Lifecycle!$B$2:$B$61)*(1+Inputs!$B$9)^INT((I$3-Inputs!$B$6-1)/2)/Inputs!$B$15</f>
        <v>300000</v>
      </c>
      <c r="J11" s="0" t="n">
        <f aca="false">J6*SUMPRODUCT((Lifecycle!$A$2:$A$61&gt;J$3-Inputs!$B$6)*(Lifecycle!$A$2:$A$61&lt;=J$3-Inputs!$B$6+Inputs!$B$15)*Lifecycle!$B$2:$B$61)*(1+Inputs!$B$9)^INT((J$3-Inputs!$B$6-1)/2)/Inputs!$B$15</f>
        <v>309000</v>
      </c>
      <c r="K11" s="0" t="n">
        <f aca="false">K6*SUMPRODUCT((Lifecycle!$A$2:$A$61&gt;K$3-Inputs!$B$6)*(Lifecycle!$A$2:$A$61&lt;=K$3-Inputs!$B$6+Inputs!$B$15)*Lifecycle!$B$2:$B$61)*(1+Inputs!$B$9)^INT((K$3-Inputs!$B$6-1)/2)/Inputs!$B$15</f>
        <v>0</v>
      </c>
      <c r="L11" s="0" t="n">
        <f aca="false">L6*SUMPRODUCT((Lifecycle!$A$2:$A$61&gt;L$3-Inputs!$B$6)*(Lifecycle!$A$2:$A$61&lt;=L$3-Inputs!$B$6+Inputs!$B$15)*Lifecycle!$B$2:$B$61)*(1+Inputs!$B$9)^INT((L$3-Inputs!$B$6-1)/2)/Inputs!$B$15</f>
        <v>318270</v>
      </c>
      <c r="M11" s="0" t="n">
        <f aca="false">M6*SUMPRODUCT((Lifecycle!$A$2:$A$61&gt;M$3-Inputs!$B$6)*(Lifecycle!$A$2:$A$61&lt;=M$3-Inputs!$B$6+Inputs!$B$15)*Lifecycle!$B$2:$B$61)*(1+Inputs!$B$9)^INT((M$3-Inputs!$B$6-1)/2)/Inputs!$B$15</f>
        <v>318270</v>
      </c>
      <c r="N11" s="0" t="n">
        <f aca="false">N6*SUMPRODUCT((Lifecycle!$A$2:$A$61&gt;N$3-Inputs!$B$6)*(Lifecycle!$A$2:$A$61&lt;=N$3-Inputs!$B$6+Inputs!$B$15)*Lifecycle!$B$2:$B$61)*(1+Inputs!$B$9)^INT((N$3-Inputs!$B$6-1)/2)/Inputs!$B$15</f>
        <v>1274848.16666667</v>
      </c>
      <c r="O11" s="0" t="n">
        <f aca="false">O6*SUMPRODUCT((Lifecycle!$A$2:$A$61&gt;O$3-Inputs!$B$6)*(Lifecycle!$A$2:$A$61&lt;=O$3-Inputs!$B$6+Inputs!$B$15)*Lifecycle!$B$2:$B$61)*(1+Inputs!$B$9)^INT((O$3-Inputs!$B$6-1)/2)/Inputs!$B$15</f>
        <v>947030.066666667</v>
      </c>
      <c r="P11" s="0" t="n">
        <f aca="false">P6*SUMPRODUCT((Lifecycle!$A$2:$A$61&gt;P$3-Inputs!$B$6)*(Lifecycle!$A$2:$A$61&lt;=P$3-Inputs!$B$6+Inputs!$B$15)*Lifecycle!$B$2:$B$61)*(1+Inputs!$B$9)^INT((P$3-Inputs!$B$6-1)/2)/Inputs!$B$15</f>
        <v>1313093.61166667</v>
      </c>
      <c r="Q11" s="0" t="n">
        <f aca="false">Q6*SUMPRODUCT((Lifecycle!$A$2:$A$61&gt;Q$3-Inputs!$B$6)*(Lifecycle!$A$2:$A$61&lt;=Q$3-Inputs!$B$6+Inputs!$B$15)*Lifecycle!$B$2:$B$61)*(1+Inputs!$B$9)^INT((Q$3-Inputs!$B$6-1)/2)/Inputs!$B$15</f>
        <v>337652.643</v>
      </c>
      <c r="R11" s="0" t="n">
        <f aca="false">R6*SUMPRODUCT((Lifecycle!$A$2:$A$61&gt;R$3-Inputs!$B$6)*(Lifecycle!$A$2:$A$61&lt;=R$3-Inputs!$B$6+Inputs!$B$15)*Lifecycle!$B$2:$B$61)*(1+Inputs!$B$9)^INT((R$3-Inputs!$B$6-1)/2)/Inputs!$B$15</f>
        <v>347782.22229</v>
      </c>
      <c r="S11" s="0" t="n">
        <f aca="false">S6*SUMPRODUCT((Lifecycle!$A$2:$A$61&gt;S$3-Inputs!$B$6)*(Lifecycle!$A$2:$A$61&lt;=S$3-Inputs!$B$6+Inputs!$B$15)*Lifecycle!$B$2:$B$61)*(1+Inputs!$B$9)^INT((S$3-Inputs!$B$6-1)/2)/Inputs!$B$15</f>
        <v>0</v>
      </c>
      <c r="T11" s="0" t="n">
        <f aca="false">T6*SUMPRODUCT((Lifecycle!$A$2:$A$61&gt;T$3-Inputs!$B$6)*(Lifecycle!$A$2:$A$61&lt;=T$3-Inputs!$B$6+Inputs!$B$15)*Lifecycle!$B$2:$B$61)*(1+Inputs!$B$9)^INT((T$3-Inputs!$B$6-1)/2)/Inputs!$B$15</f>
        <v>358215.6889587</v>
      </c>
      <c r="U11" s="0" t="n">
        <f aca="false">U6*SUMPRODUCT((Lifecycle!$A$2:$A$61&gt;U$3-Inputs!$B$6)*(Lifecycle!$A$2:$A$61&lt;=U$3-Inputs!$B$6+Inputs!$B$15)*Lifecycle!$B$2:$B$61)*(1+Inputs!$B$9)^INT((U$3-Inputs!$B$6-1)/2)/Inputs!$B$15</f>
        <v>358215.6889587</v>
      </c>
      <c r="V11" s="0" t="n">
        <f aca="false">V6*SUMPRODUCT((Lifecycle!$A$2:$A$61&gt;V$3-Inputs!$B$6)*(Lifecycle!$A$2:$A$61&lt;=V$3-Inputs!$B$6+Inputs!$B$15)*Lifecycle!$B$2:$B$61)*(1+Inputs!$B$9)^INT((V$3-Inputs!$B$6-1)/2)/Inputs!$B$15</f>
        <v>368962.159627461</v>
      </c>
      <c r="W11" s="0" t="n">
        <f aca="false">W6*SUMPRODUCT((Lifecycle!$A$2:$A$61&gt;W$3-Inputs!$B$6)*(Lifecycle!$A$2:$A$61&lt;=W$3-Inputs!$B$6+Inputs!$B$15)*Lifecycle!$B$2:$B$61)*(1+Inputs!$B$9)^INT((W$3-Inputs!$B$6-1)/2)/Inputs!$B$15</f>
        <v>0</v>
      </c>
      <c r="X11" s="0" t="n">
        <f aca="false">X6*SUMPRODUCT((Lifecycle!$A$2:$A$61&gt;X$3-Inputs!$B$6)*(Lifecycle!$A$2:$A$61&lt;=X$3-Inputs!$B$6+Inputs!$B$15)*Lifecycle!$B$2:$B$61)*(1+Inputs!$B$9)^INT((X$3-Inputs!$B$6-1)/2)/Inputs!$B$15</f>
        <v>1097867.40386927</v>
      </c>
      <c r="Y11" s="0" t="n">
        <f aca="false">Y6*SUMPRODUCT((Lifecycle!$A$2:$A$61&gt;Y$3-Inputs!$B$6)*(Lifecycle!$A$2:$A$61&lt;=Y$3-Inputs!$B$6+Inputs!$B$15)*Lifecycle!$B$2:$B$61)*(1+Inputs!$B$9)^INT((Y$3-Inputs!$B$6-1)/2)/Inputs!$B$15</f>
        <v>1097867.40386927</v>
      </c>
      <c r="Z11" s="0" t="n">
        <f aca="false">Z6*SUMPRODUCT((Lifecycle!$A$2:$A$61&gt;Z$3-Inputs!$B$6)*(Lifecycle!$A$2:$A$61&lt;=Z$3-Inputs!$B$6+Inputs!$B$15)*Lifecycle!$B$2:$B$61)*(1+Inputs!$B$9)^INT((Z$3-Inputs!$B$6-1)/2)/Inputs!$B$15</f>
        <v>1130803.42598535</v>
      </c>
      <c r="AA11" s="0" t="n">
        <f aca="false">AA6*SUMPRODUCT((Lifecycle!$A$2:$A$61&gt;AA$3-Inputs!$B$6)*(Lifecycle!$A$2:$A$61&lt;=AA$3-Inputs!$B$6+Inputs!$B$15)*Lifecycle!$B$2:$B$61)*(1+Inputs!$B$9)^INT((AA$3-Inputs!$B$6-1)/2)/Inputs!$B$15</f>
        <v>0</v>
      </c>
      <c r="AB11" s="0" t="n">
        <f aca="false">AB6*SUMPRODUCT((Lifecycle!$A$2:$A$61&gt;AB$3-Inputs!$B$6)*(Lifecycle!$A$2:$A$61&lt;=AB$3-Inputs!$B$6+Inputs!$B$15)*Lifecycle!$B$2:$B$61)*(1+Inputs!$B$9)^INT((AB$3-Inputs!$B$6-1)/2)/Inputs!$B$15</f>
        <v>403174.913803237</v>
      </c>
      <c r="AC11" s="0" t="n">
        <f aca="false">AC6*SUMPRODUCT((Lifecycle!$A$2:$A$61&gt;AC$3-Inputs!$B$6)*(Lifecycle!$A$2:$A$61&lt;=AC$3-Inputs!$B$6+Inputs!$B$15)*Lifecycle!$B$2:$B$61)*(1+Inputs!$B$9)^INT((AC$3-Inputs!$B$6-1)/2)/Inputs!$B$15</f>
        <v>403174.913803237</v>
      </c>
      <c r="AD11" s="0" t="n">
        <f aca="false">AD6*SUMPRODUCT((Lifecycle!$A$2:$A$61&gt;AD$3-Inputs!$B$6)*(Lifecycle!$A$2:$A$61&lt;=AD$3-Inputs!$B$6+Inputs!$B$15)*Lifecycle!$B$2:$B$61)*(1+Inputs!$B$9)^INT((AD$3-Inputs!$B$6-1)/2)/Inputs!$B$15</f>
        <v>415270.161217334</v>
      </c>
      <c r="AE11" s="0" t="n">
        <f aca="false">AE6*SUMPRODUCT((Lifecycle!$A$2:$A$61&gt;AE$3-Inputs!$B$6)*(Lifecycle!$A$2:$A$61&lt;=AE$3-Inputs!$B$6+Inputs!$B$15)*Lifecycle!$B$2:$B$61)*(1+Inputs!$B$9)^INT((AE$3-Inputs!$B$6-1)/2)/Inputs!$B$15</f>
        <v>0</v>
      </c>
      <c r="AF11" s="0" t="n">
        <f aca="false">AF6*SUMPRODUCT((Lifecycle!$A$2:$A$61&gt;AF$3-Inputs!$B$6)*(Lifecycle!$A$2:$A$61&lt;=AF$3-Inputs!$B$6+Inputs!$B$15)*Lifecycle!$B$2:$B$61)*(1+Inputs!$B$9)^INT((AF$3-Inputs!$B$6-1)/2)/Inputs!$B$15</f>
        <v>427728.266053854</v>
      </c>
      <c r="AG11" s="0" t="n">
        <f aca="false">AG6*SUMPRODUCT((Lifecycle!$A$2:$A$61&gt;AG$3-Inputs!$B$6)*(Lifecycle!$A$2:$A$61&lt;=AG$3-Inputs!$B$6+Inputs!$B$15)*Lifecycle!$B$2:$B$61)*(1+Inputs!$B$9)^INT((AG$3-Inputs!$B$6-1)/2)/Inputs!$B$15</f>
        <v>427728.266053854</v>
      </c>
      <c r="AH11" s="0" t="n">
        <f aca="false">AH6*SUMPRODUCT((Lifecycle!$A$2:$A$61&gt;AH$3-Inputs!$B$6)*(Lifecycle!$A$2:$A$61&lt;=AH$3-Inputs!$B$6+Inputs!$B$15)*Lifecycle!$B$2:$B$61)*(1+Inputs!$B$9)^INT((AH$3-Inputs!$B$6-1)/2)/Inputs!$B$15</f>
        <v>1713289.33236016</v>
      </c>
      <c r="AI11" s="0" t="n">
        <f aca="false">AI6*SUMPRODUCT((Lifecycle!$A$2:$A$61&gt;AI$3-Inputs!$B$6)*(Lifecycle!$A$2:$A$61&lt;=AI$3-Inputs!$B$6+Inputs!$B$15)*Lifecycle!$B$2:$B$61)*(1+Inputs!$B$9)^INT((AI$3-Inputs!$B$6-1)/2)/Inputs!$B$15</f>
        <v>1272729.21832469</v>
      </c>
      <c r="AJ11" s="0" t="n">
        <f aca="false">AJ6*SUMPRODUCT((Lifecycle!$A$2:$A$61&gt;AJ$3-Inputs!$B$6)*(Lifecycle!$A$2:$A$61&lt;=AJ$3-Inputs!$B$6+Inputs!$B$15)*Lifecycle!$B$2:$B$61)*(1+Inputs!$B$9)^INT((AJ$3-Inputs!$B$6-1)/2)/Inputs!$B$15</f>
        <v>1764688.01233096</v>
      </c>
      <c r="AK11" s="0" t="n">
        <f aca="false">AK6*SUMPRODUCT((Lifecycle!$A$2:$A$61&gt;AK$3-Inputs!$B$6)*(Lifecycle!$A$2:$A$61&lt;=AK$3-Inputs!$B$6+Inputs!$B$15)*Lifecycle!$B$2:$B$61)*(1+Inputs!$B$9)^INT((AK$3-Inputs!$B$6-1)/2)/Inputs!$B$15</f>
        <v>453776.917456534</v>
      </c>
      <c r="AL11" s="0" t="n">
        <f aca="false">AL6*SUMPRODUCT((Lifecycle!$A$2:$A$61&gt;AL$3-Inputs!$B$6)*(Lifecycle!$A$2:$A$61&lt;=AL$3-Inputs!$B$6+Inputs!$B$15)*Lifecycle!$B$2:$B$61)*(1+Inputs!$B$9)^INT((AL$3-Inputs!$B$6-1)/2)/Inputs!$B$15</f>
        <v>467390.22498023</v>
      </c>
      <c r="AM11" s="0" t="n">
        <f aca="false">AM6*SUMPRODUCT((Lifecycle!$A$2:$A$61&gt;AM$3-Inputs!$B$6)*(Lifecycle!$A$2:$A$61&lt;=AM$3-Inputs!$B$6+Inputs!$B$15)*Lifecycle!$B$2:$B$61)*(1+Inputs!$B$9)^INT((AM$3-Inputs!$B$6-1)/2)/Inputs!$B$15</f>
        <v>0</v>
      </c>
      <c r="AN11" s="0" t="n">
        <f aca="false">AN6*SUMPRODUCT((Lifecycle!$A$2:$A$61&gt;AN$3-Inputs!$B$6)*(Lifecycle!$A$2:$A$61&lt;=AN$3-Inputs!$B$6+Inputs!$B$15)*Lifecycle!$B$2:$B$61)*(1+Inputs!$B$9)^INT((AN$3-Inputs!$B$6-1)/2)/Inputs!$B$15</f>
        <v>481411.931729636</v>
      </c>
      <c r="AO11" s="0" t="n">
        <f aca="false">AO6*SUMPRODUCT((Lifecycle!$A$2:$A$61&gt;AO$3-Inputs!$B$6)*(Lifecycle!$A$2:$A$61&lt;=AO$3-Inputs!$B$6+Inputs!$B$15)*Lifecycle!$B$2:$B$61)*(1+Inputs!$B$9)^INT((AO$3-Inputs!$B$6-1)/2)/Inputs!$B$15</f>
        <v>481411.931729636</v>
      </c>
      <c r="AP11" s="0" t="n">
        <f aca="false">AP6*SUMPRODUCT((Lifecycle!$A$2:$A$61&gt;AP$3-Inputs!$B$6)*(Lifecycle!$A$2:$A$61&lt;=AP$3-Inputs!$B$6+Inputs!$B$15)*Lifecycle!$B$2:$B$61)*(1+Inputs!$B$9)^INT((AP$3-Inputs!$B$6-1)/2)/Inputs!$B$15</f>
        <v>495854.289681526</v>
      </c>
      <c r="AQ11" s="0" t="n">
        <f aca="false">AQ6*SUMPRODUCT((Lifecycle!$A$2:$A$61&gt;AQ$3-Inputs!$B$6)*(Lifecycle!$A$2:$A$61&lt;=AQ$3-Inputs!$B$6+Inputs!$B$15)*Lifecycle!$B$2:$B$61)*(1+Inputs!$B$9)^INT((AQ$3-Inputs!$B$6-1)/2)/Inputs!$B$15</f>
        <v>0</v>
      </c>
      <c r="AR11" s="0" t="n">
        <f aca="false">AR6*SUMPRODUCT((Lifecycle!$A$2:$A$61&gt;AR$3-Inputs!$B$6)*(Lifecycle!$A$2:$A$61&lt;=AR$3-Inputs!$B$6+Inputs!$B$15)*Lifecycle!$B$2:$B$61)*(1+Inputs!$B$9)^INT((AR$3-Inputs!$B$6-1)/2)/Inputs!$B$15</f>
        <v>1475441.98640792</v>
      </c>
      <c r="AS11" s="0" t="n">
        <f aca="false">AS6*SUMPRODUCT((Lifecycle!$A$2:$A$61&gt;AS$3-Inputs!$B$6)*(Lifecycle!$A$2:$A$61&lt;=AS$3-Inputs!$B$6+Inputs!$B$15)*Lifecycle!$B$2:$B$61)*(1+Inputs!$B$9)^INT((AS$3-Inputs!$B$6-1)/2)/Inputs!$B$15</f>
        <v>1475441.98640792</v>
      </c>
      <c r="AT11" s="0" t="n">
        <f aca="false">AT6*SUMPRODUCT((Lifecycle!$A$2:$A$61&gt;AT$3-Inputs!$B$6)*(Lifecycle!$A$2:$A$61&lt;=AT$3-Inputs!$B$6+Inputs!$B$15)*Lifecycle!$B$2:$B$61)*(1+Inputs!$B$9)^INT((AT$3-Inputs!$B$6-1)/2)/Inputs!$B$15</f>
        <v>1519705.24600015</v>
      </c>
      <c r="AU11" s="0" t="n">
        <f aca="false">AU6*SUMPRODUCT((Lifecycle!$A$2:$A$61&gt;AU$3-Inputs!$B$6)*(Lifecycle!$A$2:$A$61&lt;=AU$3-Inputs!$B$6+Inputs!$B$15)*Lifecycle!$B$2:$B$61)*(1+Inputs!$B$9)^INT((AU$3-Inputs!$B$6-1)/2)/Inputs!$B$15</f>
        <v>0</v>
      </c>
      <c r="AV11" s="0" t="n">
        <f aca="false">AV6*SUMPRODUCT((Lifecycle!$A$2:$A$61&gt;AV$3-Inputs!$B$6)*(Lifecycle!$A$2:$A$61&lt;=AV$3-Inputs!$B$6+Inputs!$B$15)*Lifecycle!$B$2:$B$61)*(1+Inputs!$B$9)^INT((AV$3-Inputs!$B$6-1)/2)/Inputs!$B$15</f>
        <v>541833.370400825</v>
      </c>
      <c r="AW11" s="0" t="n">
        <f aca="false">AW6*SUMPRODUCT((Lifecycle!$A$2:$A$61&gt;AW$3-Inputs!$B$6)*(Lifecycle!$A$2:$A$61&lt;=AW$3-Inputs!$B$6+Inputs!$B$15)*Lifecycle!$B$2:$B$61)*(1+Inputs!$B$9)^INT((AW$3-Inputs!$B$6-1)/2)/Inputs!$B$15</f>
        <v>541833.370400825</v>
      </c>
      <c r="AX11" s="0" t="n">
        <f aca="false">AX6*SUMPRODUCT((Lifecycle!$A$2:$A$61&gt;AX$3-Inputs!$B$6)*(Lifecycle!$A$2:$A$61&lt;=AX$3-Inputs!$B$6+Inputs!$B$15)*Lifecycle!$B$2:$B$61)*(1+Inputs!$B$9)^INT((AX$3-Inputs!$B$6-1)/2)/Inputs!$B$15</f>
        <v>558088.371512849</v>
      </c>
      <c r="AY11" s="0" t="n">
        <f aca="false">AY6*SUMPRODUCT((Lifecycle!$A$2:$A$61&gt;AY$3-Inputs!$B$6)*(Lifecycle!$A$2:$A$61&lt;=AY$3-Inputs!$B$6+Inputs!$B$15)*Lifecycle!$B$2:$B$61)*(1+Inputs!$B$9)^INT((AY$3-Inputs!$B$6-1)/2)/Inputs!$B$15</f>
        <v>0</v>
      </c>
      <c r="AZ11" s="0" t="n">
        <f aca="false">AZ6*SUMPRODUCT((Lifecycle!$A$2:$A$61&gt;AZ$3-Inputs!$B$6)*(Lifecycle!$A$2:$A$61&lt;=AZ$3-Inputs!$B$6+Inputs!$B$15)*Lifecycle!$B$2:$B$61)*(1+Inputs!$B$9)^INT((AZ$3-Inputs!$B$6-1)/2)/Inputs!$B$15</f>
        <v>574831.022658235</v>
      </c>
      <c r="BA11" s="0" t="n">
        <f aca="false">BA6*SUMPRODUCT((Lifecycle!$A$2:$A$61&gt;BA$3-Inputs!$B$6)*(Lifecycle!$A$2:$A$61&lt;=BA$3-Inputs!$B$6+Inputs!$B$15)*Lifecycle!$B$2:$B$61)*(1+Inputs!$B$9)^INT((BA$3-Inputs!$B$6-1)/2)/Inputs!$B$15</f>
        <v>574831.022658235</v>
      </c>
      <c r="BB11" s="0" t="n">
        <f aca="false">BB6*SUMPRODUCT((Lifecycle!$A$2:$A$61&gt;BB$3-Inputs!$B$6)*(Lifecycle!$A$2:$A$61&lt;=BB$3-Inputs!$B$6+Inputs!$B$15)*Lifecycle!$B$2:$B$61)*(1+Inputs!$B$9)^INT((BB$3-Inputs!$B$6-1)/2)/Inputs!$B$15</f>
        <v>2302517.59631437</v>
      </c>
      <c r="BC11" s="0" t="n">
        <f aca="false">BC6*SUMPRODUCT((Lifecycle!$A$2:$A$61&gt;BC$3-Inputs!$B$6)*(Lifecycle!$A$2:$A$61&lt;=BC$3-Inputs!$B$6+Inputs!$B$15)*Lifecycle!$B$2:$B$61)*(1+Inputs!$B$9)^INT((BC$3-Inputs!$B$6-1)/2)/Inputs!$B$15</f>
        <v>1710441.64297639</v>
      </c>
      <c r="BD11" s="0" t="n">
        <f aca="false">BD6*SUMPRODUCT((Lifecycle!$A$2:$A$61&gt;BD$3-Inputs!$B$6)*(Lifecycle!$A$2:$A$61&lt;=BD$3-Inputs!$B$6+Inputs!$B$15)*Lifecycle!$B$2:$B$61)*(1+Inputs!$B$9)^INT((BD$3-Inputs!$B$6-1)/2)/Inputs!$B$15</f>
        <v>2371593.1242038</v>
      </c>
      <c r="BE11" s="0" t="n">
        <f aca="false">BE6*SUMPRODUCT((Lifecycle!$A$2:$A$61&gt;BE$3-Inputs!$B$6)*(Lifecycle!$A$2:$A$61&lt;=BE$3-Inputs!$B$6+Inputs!$B$15)*Lifecycle!$B$2:$B$61)*(1+Inputs!$B$9)^INT((BE$3-Inputs!$B$6-1)/2)/Inputs!$B$15</f>
        <v>609838.231938121</v>
      </c>
    </row>
    <row r="12" customFormat="false" ht="15" hidden="false" customHeight="false" outlineLevel="0" collapsed="false">
      <c r="A12" s="0" t="s">
        <v>29</v>
      </c>
      <c r="B12" s="0" t="n">
        <f aca="false">B10</f>
        <v>0</v>
      </c>
      <c r="C12" s="0" t="n">
        <f aca="false">C10</f>
        <v>0</v>
      </c>
      <c r="D12" s="0" t="n">
        <f aca="false">D10</f>
        <v>0</v>
      </c>
      <c r="E12" s="0" t="n">
        <f aca="false">E10</f>
        <v>0</v>
      </c>
      <c r="F12" s="0" t="n">
        <f aca="false">F10</f>
        <v>0</v>
      </c>
      <c r="G12" s="0" t="n">
        <f aca="false">G10</f>
        <v>0</v>
      </c>
      <c r="H12" s="0" t="n">
        <f aca="false">H10</f>
        <v>0</v>
      </c>
      <c r="I12" s="0" t="n">
        <f aca="false">I10</f>
        <v>0</v>
      </c>
      <c r="J12" s="0" t="n">
        <f aca="false">J10</f>
        <v>0</v>
      </c>
      <c r="K12" s="0" t="n">
        <f aca="false">K10</f>
        <v>927000</v>
      </c>
      <c r="L12" s="0" t="n">
        <f aca="false">L10</f>
        <v>0</v>
      </c>
      <c r="M12" s="0" t="n">
        <f aca="false">M10</f>
        <v>0</v>
      </c>
      <c r="N12" s="0" t="n">
        <f aca="false">N10</f>
        <v>0</v>
      </c>
      <c r="O12" s="0" t="n">
        <f aca="false">O10</f>
        <v>983454.3</v>
      </c>
      <c r="P12" s="0" t="n">
        <f aca="false">P10</f>
        <v>0</v>
      </c>
      <c r="Q12" s="0" t="n">
        <f aca="false">Q10</f>
        <v>2926322.906</v>
      </c>
      <c r="R12" s="0" t="n">
        <f aca="false">R10</f>
        <v>0</v>
      </c>
      <c r="S12" s="0" t="n">
        <f aca="false">S10</f>
        <v>1043346.66687</v>
      </c>
      <c r="T12" s="0" t="n">
        <f aca="false">T10</f>
        <v>0</v>
      </c>
      <c r="U12" s="0" t="n">
        <f aca="false">U10</f>
        <v>0</v>
      </c>
      <c r="V12" s="0" t="n">
        <f aca="false">V10</f>
        <v>0</v>
      </c>
      <c r="W12" s="0" t="n">
        <f aca="false">W10</f>
        <v>1106886.47888238</v>
      </c>
      <c r="X12" s="0" t="n">
        <f aca="false">X10</f>
        <v>0</v>
      </c>
      <c r="Y12" s="0" t="n">
        <f aca="false">Y10</f>
        <v>0</v>
      </c>
      <c r="Z12" s="0" t="n">
        <f aca="false">Z10</f>
        <v>0</v>
      </c>
      <c r="AA12" s="0" t="n">
        <f aca="false">AA10</f>
        <v>3392410.27795604</v>
      </c>
      <c r="AB12" s="0" t="n">
        <f aca="false">AB10</f>
        <v>0</v>
      </c>
      <c r="AC12" s="0" t="n">
        <f aca="false">AC10</f>
        <v>0</v>
      </c>
      <c r="AD12" s="0" t="n">
        <f aca="false">AD10</f>
        <v>0</v>
      </c>
      <c r="AE12" s="0" t="n">
        <f aca="false">AE10</f>
        <v>1245810.483652</v>
      </c>
      <c r="AF12" s="0" t="n">
        <f aca="false">AF10</f>
        <v>0</v>
      </c>
      <c r="AG12" s="0" t="n">
        <f aca="false">AG10</f>
        <v>0</v>
      </c>
      <c r="AH12" s="0" t="n">
        <f aca="false">AH10</f>
        <v>0</v>
      </c>
      <c r="AI12" s="0" t="n">
        <f aca="false">AI10</f>
        <v>1321680.34210641</v>
      </c>
      <c r="AJ12" s="0" t="n">
        <f aca="false">AJ10</f>
        <v>0</v>
      </c>
      <c r="AK12" s="0" t="n">
        <f aca="false">AK10</f>
        <v>3932733.28462329</v>
      </c>
      <c r="AL12" s="0" t="n">
        <f aca="false">AL10</f>
        <v>0</v>
      </c>
      <c r="AM12" s="0" t="n">
        <f aca="false">AM10</f>
        <v>1402170.67494069</v>
      </c>
      <c r="AN12" s="0" t="n">
        <f aca="false">AN10</f>
        <v>0</v>
      </c>
      <c r="AO12" s="0" t="n">
        <f aca="false">AO10</f>
        <v>0</v>
      </c>
      <c r="AP12" s="0" t="n">
        <f aca="false">AP10</f>
        <v>0</v>
      </c>
      <c r="AQ12" s="0" t="n">
        <f aca="false">AQ10</f>
        <v>1487562.86904458</v>
      </c>
      <c r="AR12" s="0" t="n">
        <f aca="false">AR10</f>
        <v>0</v>
      </c>
      <c r="AS12" s="0" t="n">
        <f aca="false">AS10</f>
        <v>0</v>
      </c>
      <c r="AT12" s="0" t="n">
        <f aca="false">AT10</f>
        <v>0</v>
      </c>
      <c r="AU12" s="0" t="n">
        <f aca="false">AU10</f>
        <v>4559115.73800047</v>
      </c>
      <c r="AV12" s="0" t="n">
        <f aca="false">AV10</f>
        <v>0</v>
      </c>
      <c r="AW12" s="0" t="n">
        <f aca="false">AW10</f>
        <v>0</v>
      </c>
      <c r="AX12" s="0" t="n">
        <f aca="false">AX10</f>
        <v>0</v>
      </c>
      <c r="AY12" s="0" t="n">
        <f aca="false">AY10</f>
        <v>1674265.11453855</v>
      </c>
      <c r="AZ12" s="0" t="n">
        <f aca="false">AZ10</f>
        <v>0</v>
      </c>
      <c r="BA12" s="0" t="n">
        <f aca="false">BA10</f>
        <v>0</v>
      </c>
      <c r="BB12" s="0" t="n">
        <f aca="false">BB10</f>
        <v>0</v>
      </c>
      <c r="BC12" s="0" t="n">
        <f aca="false">BC10</f>
        <v>1776227.86001395</v>
      </c>
      <c r="BD12" s="0" t="n">
        <f aca="false">BD10</f>
        <v>0</v>
      </c>
      <c r="BE12" s="0" t="n">
        <f aca="false">BE10</f>
        <v>5285264.67679705</v>
      </c>
    </row>
    <row r="13" customFormat="false" ht="15" hidden="false" customHeight="false" outlineLevel="0" collapsed="false">
      <c r="A13" s="0" t="s">
        <v>30</v>
      </c>
      <c r="B13" s="0" t="n">
        <f aca="false">B7-B8-B9-B11</f>
        <v>0</v>
      </c>
      <c r="C13" s="0" t="n">
        <f aca="false">C7-C8-C9-C11</f>
        <v>0</v>
      </c>
      <c r="D13" s="0" t="n">
        <f aca="false">D7-D8-D9-D11</f>
        <v>0</v>
      </c>
      <c r="E13" s="0" t="n">
        <f aca="false">E7-E8-E9-E11</f>
        <v>0</v>
      </c>
      <c r="F13" s="0" t="n">
        <f aca="false">F7-F8-F9-F11</f>
        <v>0</v>
      </c>
      <c r="G13" s="0" t="n">
        <f aca="false">G7-G8-G9-G11</f>
        <v>0</v>
      </c>
      <c r="H13" s="0" t="n">
        <f aca="false">H7-H8-H9-H11</f>
        <v>8296250</v>
      </c>
      <c r="I13" s="0" t="n">
        <f aca="false">I7-I8-I9-I11</f>
        <v>8296250</v>
      </c>
      <c r="J13" s="0" t="n">
        <f aca="false">J7-J8-J9-J11</f>
        <v>8545137.5</v>
      </c>
      <c r="K13" s="0" t="n">
        <f aca="false">K7-K8-K9-K11</f>
        <v>8854137.5</v>
      </c>
      <c r="L13" s="0" t="n">
        <f aca="false">L7-L8-L9-L11</f>
        <v>8801491.625</v>
      </c>
      <c r="M13" s="0" t="n">
        <f aca="false">M7-M8-M9-M11</f>
        <v>8801491.625</v>
      </c>
      <c r="N13" s="0" t="n">
        <f aca="false">N7-N8-N9-N11</f>
        <v>8118506.30708333</v>
      </c>
      <c r="O13" s="0" t="n">
        <f aca="false">O7-O8-O9-O11</f>
        <v>8446324.40708333</v>
      </c>
      <c r="P13" s="0" t="n">
        <f aca="false">P7-P8-P9-P11</f>
        <v>8362061.49629584</v>
      </c>
      <c r="Q13" s="0" t="n">
        <f aca="false">Q7-Q8-Q9-Q11</f>
        <v>9337502.4649625</v>
      </c>
      <c r="R13" s="0" t="n">
        <f aca="false">R7-R8-R9-R11</f>
        <v>9617627.53891138</v>
      </c>
      <c r="S13" s="0" t="n">
        <f aca="false">S7-S8-S9-S11</f>
        <v>9965409.76120138</v>
      </c>
      <c r="T13" s="0" t="n">
        <f aca="false">T7-T8-T9-T11</f>
        <v>9906156.36507872</v>
      </c>
      <c r="U13" s="0" t="n">
        <f aca="false">U7-U8-U9-U11</f>
        <v>9906156.36507872</v>
      </c>
      <c r="V13" s="0" t="n">
        <f aca="false">V7-V8-V9-V11</f>
        <v>10203341.0560311</v>
      </c>
      <c r="W13" s="0" t="n">
        <f aca="false">W7-W8-W9-W11</f>
        <v>10572303.2156585</v>
      </c>
      <c r="X13" s="0" t="n">
        <f aca="false">X7-X8-X9-X11</f>
        <v>9791604.90825903</v>
      </c>
      <c r="Y13" s="0" t="n">
        <f aca="false">Y7-Y8-Y9-Y11</f>
        <v>9791604.90825903</v>
      </c>
      <c r="Z13" s="0" t="n">
        <f aca="false">Z7-Z8-Z9-Z11</f>
        <v>10085353.0555068</v>
      </c>
      <c r="AA13" s="0" t="n">
        <f aca="false">AA7-AA8-AA9-AA11</f>
        <v>11216156.4814921</v>
      </c>
      <c r="AB13" s="0" t="n">
        <f aca="false">AB7-AB8-AB9-AB11</f>
        <v>11149466.2621337</v>
      </c>
      <c r="AC13" s="0" t="n">
        <f aca="false">AC7-AC8-AC9-AC11</f>
        <v>11149466.2621337</v>
      </c>
      <c r="AD13" s="0" t="n">
        <f aca="false">AD7-AD8-AD9-AD11</f>
        <v>11483950.2499977</v>
      </c>
      <c r="AE13" s="0" t="n">
        <f aca="false">AE7-AE8-AE9-AE11</f>
        <v>11899220.411215</v>
      </c>
      <c r="AF13" s="0" t="n">
        <f aca="false">AF7-AF8-AF9-AF11</f>
        <v>11828468.7574976</v>
      </c>
      <c r="AG13" s="0" t="n">
        <f aca="false">AG7-AG8-AG9-AG11</f>
        <v>11828468.7574976</v>
      </c>
      <c r="AH13" s="0" t="n">
        <f aca="false">AH7-AH8-AH9-AH11</f>
        <v>10910593.6018979</v>
      </c>
      <c r="AI13" s="0" t="n">
        <f aca="false">AI7-AI8-AI9-AI11</f>
        <v>11351153.7159333</v>
      </c>
      <c r="AJ13" s="0" t="n">
        <f aca="false">AJ7-AJ8-AJ9-AJ11</f>
        <v>11237911.4099548</v>
      </c>
      <c r="AK13" s="0" t="n">
        <f aca="false">AK7-AK8-AK9-AK11</f>
        <v>12548822.5048292</v>
      </c>
      <c r="AL13" s="0" t="n">
        <f aca="false">AL7-AL8-AL9-AL11</f>
        <v>12925287.1799741</v>
      </c>
      <c r="AM13" s="0" t="n">
        <f aca="false">AM7-AM8-AM9-AM11</f>
        <v>13392677.4049543</v>
      </c>
      <c r="AN13" s="0" t="n">
        <f aca="false">AN7-AN8-AN9-AN11</f>
        <v>13313045.7953733</v>
      </c>
      <c r="AO13" s="0" t="n">
        <f aca="false">AO7-AO8-AO9-AO11</f>
        <v>13313045.7953733</v>
      </c>
      <c r="AP13" s="0" t="n">
        <f aca="false">AP7-AP8-AP9-AP11</f>
        <v>13712437.1692345</v>
      </c>
      <c r="AQ13" s="0" t="n">
        <f aca="false">AQ7-AQ8-AQ9-AQ11</f>
        <v>14208291.458916</v>
      </c>
      <c r="AR13" s="0" t="n">
        <f aca="false">AR7-AR8-AR9-AR11</f>
        <v>13159098.2162756</v>
      </c>
      <c r="AS13" s="0" t="n">
        <f aca="false">AS7-AS8-AS9-AS11</f>
        <v>13159098.2162756</v>
      </c>
      <c r="AT13" s="0" t="n">
        <f aca="false">AT7-AT8-AT9-AT11</f>
        <v>13553871.1627639</v>
      </c>
      <c r="AU13" s="0" t="n">
        <f aca="false">AU7-AU8-AU9-AU11</f>
        <v>15073576.408764</v>
      </c>
      <c r="AV13" s="0" t="n">
        <f aca="false">AV7-AV8-AV9-AV11</f>
        <v>14983950.3306261</v>
      </c>
      <c r="AW13" s="0" t="n">
        <f aca="false">AW7-AW8-AW9-AW11</f>
        <v>14983950.3306261</v>
      </c>
      <c r="AX13" s="0" t="n">
        <f aca="false">AX7-AX8-AX9-AX11</f>
        <v>15433468.8405449</v>
      </c>
      <c r="AY13" s="0" t="n">
        <f aca="false">AY7-AY8-AY9-AY11</f>
        <v>15991557.2120578</v>
      </c>
      <c r="AZ13" s="0" t="n">
        <f aca="false">AZ7-AZ8-AZ9-AZ11</f>
        <v>15896472.9057613</v>
      </c>
      <c r="BA13" s="0" t="n">
        <f aca="false">BA7-BA8-BA9-BA11</f>
        <v>15896472.9057613</v>
      </c>
      <c r="BB13" s="0" t="n">
        <f aca="false">BB7-BB8-BB9-BB11</f>
        <v>14662925.4499577</v>
      </c>
      <c r="BC13" s="0" t="n">
        <f aca="false">BC7-BC8-BC9-BC11</f>
        <v>15255001.4032957</v>
      </c>
      <c r="BD13" s="0" t="n">
        <f aca="false">BD7-BD8-BD9-BD11</f>
        <v>15102813.2134564</v>
      </c>
      <c r="BE13" s="0" t="n">
        <f aca="false">BE7-BE8-BE9-BE11</f>
        <v>16864568.1057221</v>
      </c>
    </row>
    <row r="14" customFormat="false" ht="15" hidden="false" customHeight="false" outlineLevel="0" collapsed="false">
      <c r="A14" s="0" t="s">
        <v>31</v>
      </c>
      <c r="B14" s="0" t="n">
        <f aca="false">IF(AND(B$3&gt;Inputs!$B$6,B$3&lt;=Inputs!$B$6+Inputs!$B$13),B13/Inputs!$B$11,0)</f>
        <v>0</v>
      </c>
      <c r="C14" s="0" t="n">
        <f aca="false">IF(AND(C$3&gt;Inputs!$B$6,C$3&lt;=Inputs!$B$6+Inputs!$B$13),C13/Inputs!$B$11,0)</f>
        <v>0</v>
      </c>
      <c r="D14" s="0" t="n">
        <f aca="false">IF(AND(D$3&gt;Inputs!$B$6,D$3&lt;=Inputs!$B$6+Inputs!$B$13),D13/Inputs!$B$11,0)</f>
        <v>0</v>
      </c>
      <c r="E14" s="0" t="n">
        <f aca="false">IF(AND(E$3&gt;Inputs!$B$6,E$3&lt;=Inputs!$B$6+Inputs!$B$13),E13/Inputs!$B$11,0)</f>
        <v>0</v>
      </c>
      <c r="F14" s="0" t="n">
        <f aca="false">IF(AND(F$3&gt;Inputs!$B$6,F$3&lt;=Inputs!$B$6+Inputs!$B$13),F13/Inputs!$B$11,0)</f>
        <v>0</v>
      </c>
      <c r="G14" s="0" t="n">
        <f aca="false">IF(AND(G$3&gt;Inputs!$B$6,G$3&lt;=Inputs!$B$6+Inputs!$B$13),G13/Inputs!$B$11,0)</f>
        <v>0</v>
      </c>
      <c r="H14" s="0" t="n">
        <f aca="false">IF(AND(H$3&gt;Inputs!$B$6,H$3&lt;=Inputs!$B$6+Inputs!$B$13),H13/Inputs!$B$11,0)</f>
        <v>6381730.76923077</v>
      </c>
      <c r="I14" s="0" t="n">
        <f aca="false">IF(AND(I$3&gt;Inputs!$B$6,I$3&lt;=Inputs!$B$6+Inputs!$B$13),I13/Inputs!$B$11,0)</f>
        <v>6381730.76923077</v>
      </c>
      <c r="J14" s="0" t="n">
        <f aca="false">IF(AND(J$3&gt;Inputs!$B$6,J$3&lt;=Inputs!$B$6+Inputs!$B$13),J13/Inputs!$B$11,0)</f>
        <v>6573182.69230769</v>
      </c>
      <c r="K14" s="0" t="n">
        <f aca="false">IF(AND(K$3&gt;Inputs!$B$6,K$3&lt;=Inputs!$B$6+Inputs!$B$13),K13/Inputs!$B$11,0)</f>
        <v>6810875</v>
      </c>
      <c r="L14" s="0" t="n">
        <f aca="false">IF(AND(L$3&gt;Inputs!$B$6,L$3&lt;=Inputs!$B$6+Inputs!$B$13),L13/Inputs!$B$11,0)</f>
        <v>6770378.17307692</v>
      </c>
      <c r="M14" s="0" t="n">
        <f aca="false">IF(AND(M$3&gt;Inputs!$B$6,M$3&lt;=Inputs!$B$6+Inputs!$B$13),M13/Inputs!$B$11,0)</f>
        <v>6770378.17307692</v>
      </c>
      <c r="N14" s="0" t="n">
        <f aca="false">IF(AND(N$3&gt;Inputs!$B$6,N$3&lt;=Inputs!$B$6+Inputs!$B$13),N13/Inputs!$B$11,0)</f>
        <v>6245004.85160256</v>
      </c>
      <c r="O14" s="0" t="n">
        <f aca="false">IF(AND(O$3&gt;Inputs!$B$6,O$3&lt;=Inputs!$B$6+Inputs!$B$13),O13/Inputs!$B$11,0)</f>
        <v>6497172.62083333</v>
      </c>
      <c r="P14" s="0" t="n">
        <f aca="false">IF(AND(P$3&gt;Inputs!$B$6,P$3&lt;=Inputs!$B$6+Inputs!$B$13),P13/Inputs!$B$11,0)</f>
        <v>6432354.99715064</v>
      </c>
      <c r="Q14" s="0" t="n">
        <f aca="false">IF(AND(Q$3&gt;Inputs!$B$6,Q$3&lt;=Inputs!$B$6+Inputs!$B$13),Q13/Inputs!$B$11,0)</f>
        <v>7182694.20381731</v>
      </c>
      <c r="R14" s="0" t="n">
        <f aca="false">IF(AND(R$3&gt;Inputs!$B$6,R$3&lt;=Inputs!$B$6+Inputs!$B$13),R13/Inputs!$B$11,0)</f>
        <v>7398175.02993183</v>
      </c>
      <c r="S14" s="0" t="n">
        <f aca="false">IF(AND(S$3&gt;Inputs!$B$6,S$3&lt;=Inputs!$B$6+Inputs!$B$13),S13/Inputs!$B$11,0)</f>
        <v>7665699.81630875</v>
      </c>
      <c r="T14" s="0" t="n">
        <f aca="false">IF(AND(T$3&gt;Inputs!$B$6,T$3&lt;=Inputs!$B$6+Inputs!$B$13),T13/Inputs!$B$11,0)</f>
        <v>7620120.28082978</v>
      </c>
      <c r="U14" s="0" t="n">
        <f aca="false">IF(AND(U$3&gt;Inputs!$B$6,U$3&lt;=Inputs!$B$6+Inputs!$B$13),U13/Inputs!$B$11,0)</f>
        <v>7620120.28082978</v>
      </c>
      <c r="V14" s="0" t="n">
        <f aca="false">IF(AND(V$3&gt;Inputs!$B$6,V$3&lt;=Inputs!$B$6+Inputs!$B$13),V13/Inputs!$B$11,0)</f>
        <v>7848723.88925468</v>
      </c>
      <c r="W14" s="0" t="n">
        <f aca="false">IF(AND(W$3&gt;Inputs!$B$6,W$3&lt;=Inputs!$B$6+Inputs!$B$13),W13/Inputs!$B$11,0)</f>
        <v>8132540.93512196</v>
      </c>
      <c r="X14" s="0" t="n">
        <f aca="false">IF(AND(X$3&gt;Inputs!$B$6,X$3&lt;=Inputs!$B$6+Inputs!$B$13),X13/Inputs!$B$11,0)</f>
        <v>7532003.77558387</v>
      </c>
      <c r="Y14" s="0" t="n">
        <f aca="false">IF(AND(Y$3&gt;Inputs!$B$6,Y$3&lt;=Inputs!$B$6+Inputs!$B$13),Y13/Inputs!$B$11,0)</f>
        <v>7532003.77558387</v>
      </c>
      <c r="Z14" s="0" t="n">
        <f aca="false">IF(AND(Z$3&gt;Inputs!$B$6,Z$3&lt;=Inputs!$B$6+Inputs!$B$13),Z13/Inputs!$B$11,0)</f>
        <v>7757963.88885138</v>
      </c>
      <c r="AA14" s="0" t="n">
        <f aca="false">IF(AND(AA$3&gt;Inputs!$B$6,AA$3&lt;=Inputs!$B$6+Inputs!$B$13),AA13/Inputs!$B$11,0)</f>
        <v>8627812.67807088</v>
      </c>
      <c r="AB14" s="0" t="n">
        <f aca="false">IF(AND(AB$3&gt;Inputs!$B$6,AB$3&lt;=Inputs!$B$6+Inputs!$B$13),AB13/Inputs!$B$11,0)</f>
        <v>8576512.5093336</v>
      </c>
      <c r="AC14" s="0" t="n">
        <f aca="false">IF(AND(AC$3&gt;Inputs!$B$6,AC$3&lt;=Inputs!$B$6+Inputs!$B$13),AC13/Inputs!$B$11,0)</f>
        <v>8576512.5093336</v>
      </c>
      <c r="AD14" s="0" t="n">
        <f aca="false">IF(AND(AD$3&gt;Inputs!$B$6,AD$3&lt;=Inputs!$B$6+Inputs!$B$13),AD13/Inputs!$B$11,0)</f>
        <v>8833807.8846136</v>
      </c>
      <c r="AE14" s="0" t="n">
        <f aca="false">IF(AND(AE$3&gt;Inputs!$B$6,AE$3&lt;=Inputs!$B$6+Inputs!$B$13),AE13/Inputs!$B$11,0)</f>
        <v>9153246.4701654</v>
      </c>
      <c r="AF14" s="0" t="n">
        <f aca="false">IF(AND(AF$3&gt;Inputs!$B$6,AF$3&lt;=Inputs!$B$6+Inputs!$B$13),AF13/Inputs!$B$11,0)</f>
        <v>9098822.12115201</v>
      </c>
      <c r="AG14" s="0" t="n">
        <f aca="false">IF(AND(AG$3&gt;Inputs!$B$6,AG$3&lt;=Inputs!$B$6+Inputs!$B$13),AG13/Inputs!$B$11,0)</f>
        <v>9098822.12115201</v>
      </c>
      <c r="AH14" s="0" t="n">
        <f aca="false">IF(AND(AH$3&gt;Inputs!$B$6,AH$3&lt;=Inputs!$B$6+Inputs!$B$13),AH13/Inputs!$B$11,0)</f>
        <v>8392764.3091522</v>
      </c>
      <c r="AI14" s="0" t="n">
        <f aca="false">IF(AND(AI$3&gt;Inputs!$B$6,AI$3&lt;=Inputs!$B$6+Inputs!$B$13),AI13/Inputs!$B$11,0)</f>
        <v>8731656.7045641</v>
      </c>
      <c r="AJ14" s="0" t="n">
        <f aca="false">IF(AND(AJ$3&gt;Inputs!$B$6,AJ$3&lt;=Inputs!$B$6+Inputs!$B$13),AJ13/Inputs!$B$11,0)</f>
        <v>8644547.23842676</v>
      </c>
      <c r="AK14" s="0" t="n">
        <f aca="false">IF(AND(AK$3&gt;Inputs!$B$6,AK$3&lt;=Inputs!$B$6+Inputs!$B$13),AK13/Inputs!$B$11,0)</f>
        <v>9652940.38833017</v>
      </c>
      <c r="AL14" s="0" t="n">
        <f aca="false">IF(AND(AL$3&gt;Inputs!$B$6,AL$3&lt;=Inputs!$B$6+Inputs!$B$13),AL13/Inputs!$B$11,0)</f>
        <v>9942528.59998008</v>
      </c>
      <c r="AM14" s="0" t="n">
        <f aca="false">IF(AND(AM$3&gt;Inputs!$B$6,AM$3&lt;=Inputs!$B$6+Inputs!$B$13),AM13/Inputs!$B$11,0)</f>
        <v>10302059.5422726</v>
      </c>
      <c r="AN14" s="0" t="n">
        <f aca="false">IF(AND(AN$3&gt;Inputs!$B$6,AN$3&lt;=Inputs!$B$6+Inputs!$B$13),AN13/Inputs!$B$11,0)</f>
        <v>10240804.4579795</v>
      </c>
      <c r="AO14" s="0" t="n">
        <f aca="false">IF(AND(AO$3&gt;Inputs!$B$6,AO$3&lt;=Inputs!$B$6+Inputs!$B$13),AO13/Inputs!$B$11,0)</f>
        <v>10240804.4579795</v>
      </c>
      <c r="AP14" s="0" t="n">
        <f aca="false">IF(AND(AP$3&gt;Inputs!$B$6,AP$3&lt;=Inputs!$B$6+Inputs!$B$13),AP13/Inputs!$B$11,0)</f>
        <v>10548028.5917189</v>
      </c>
      <c r="AQ14" s="0" t="n">
        <f aca="false">IF(AND(AQ$3&gt;Inputs!$B$6,AQ$3&lt;=Inputs!$B$6+Inputs!$B$13),AQ13/Inputs!$B$11,0)</f>
        <v>10929454.968397</v>
      </c>
      <c r="AR14" s="0" t="n">
        <f aca="false">IF(AND(AR$3&gt;Inputs!$B$6,AR$3&lt;=Inputs!$B$6+Inputs!$B$13),AR13/Inputs!$B$11,0)</f>
        <v>10122383.2432889</v>
      </c>
      <c r="AS14" s="0" t="n">
        <f aca="false">IF(AND(AS$3&gt;Inputs!$B$6,AS$3&lt;=Inputs!$B$6+Inputs!$B$13),AS13/Inputs!$B$11,0)</f>
        <v>10122383.2432889</v>
      </c>
      <c r="AT14" s="0" t="n">
        <f aca="false">IF(AND(AT$3&gt;Inputs!$B$6,AT$3&lt;=Inputs!$B$6+Inputs!$B$13),AT13/Inputs!$B$11,0)</f>
        <v>10426054.7405876</v>
      </c>
      <c r="AU14" s="0" t="n">
        <f aca="false">IF(AND(AU$3&gt;Inputs!$B$6,AU$3&lt;=Inputs!$B$6+Inputs!$B$13),AU13/Inputs!$B$11,0)</f>
        <v>11595058.7759723</v>
      </c>
      <c r="AV14" s="0" t="n">
        <f aca="false">IF(AND(AV$3&gt;Inputs!$B$6,AV$3&lt;=Inputs!$B$6+Inputs!$B$13),AV13/Inputs!$B$11,0)</f>
        <v>0</v>
      </c>
      <c r="AW14" s="0" t="n">
        <f aca="false">IF(AND(AW$3&gt;Inputs!$B$6,AW$3&lt;=Inputs!$B$6+Inputs!$B$13),AW13/Inputs!$B$11,0)</f>
        <v>0</v>
      </c>
      <c r="AX14" s="0" t="n">
        <f aca="false">IF(AND(AX$3&gt;Inputs!$B$6,AX$3&lt;=Inputs!$B$6+Inputs!$B$13),AX13/Inputs!$B$11,0)</f>
        <v>0</v>
      </c>
      <c r="AY14" s="0" t="n">
        <f aca="false">IF(AND(AY$3&gt;Inputs!$B$6,AY$3&lt;=Inputs!$B$6+Inputs!$B$13),AY13/Inputs!$B$11,0)</f>
        <v>0</v>
      </c>
      <c r="AZ14" s="0" t="n">
        <f aca="false">IF(AND(AZ$3&gt;Inputs!$B$6,AZ$3&lt;=Inputs!$B$6+Inputs!$B$13),AZ13/Inputs!$B$11,0)</f>
        <v>0</v>
      </c>
      <c r="BA14" s="0" t="n">
        <f aca="false">IF(AND(BA$3&gt;Inputs!$B$6,BA$3&lt;=Inputs!$B$6+Inputs!$B$13),BA13/Inputs!$B$11,0)</f>
        <v>0</v>
      </c>
      <c r="BB14" s="0" t="n">
        <f aca="false">IF(AND(BB$3&gt;Inputs!$B$6,BB$3&lt;=Inputs!$B$6+Inputs!$B$13),BB13/Inputs!$B$11,0)</f>
        <v>0</v>
      </c>
      <c r="BC14" s="0" t="n">
        <f aca="false">IF(AND(BC$3&gt;Inputs!$B$6,BC$3&lt;=Inputs!$B$6+Inputs!$B$13),BC13/Inputs!$B$11,0)</f>
        <v>0</v>
      </c>
      <c r="BD14" s="0" t="n">
        <f aca="false">IF(AND(BD$3&gt;Inputs!$B$6,BD$3&lt;=Inputs!$B$6+Inputs!$B$13),BD13/Inputs!$B$11,0)</f>
        <v>0</v>
      </c>
      <c r="BE14" s="0" t="n">
        <f aca="false">IF(AND(BE$3&gt;Inputs!$B$6,BE$3&lt;=Inputs!$B$6+Inputs!$B$13),BE13/Inputs!$B$11,0)</f>
        <v>0</v>
      </c>
    </row>
    <row r="15" customFormat="false" ht="15" hidden="false" customHeight="false" outlineLevel="0" collapsed="false">
      <c r="A15" s="0" t="s">
        <v>32</v>
      </c>
      <c r="B15" s="0" t="n">
        <f aca="false">0</f>
        <v>0</v>
      </c>
      <c r="C15" s="0" t="n">
        <f aca="false">IF(C$3&lt;=Inputs!$B$6,SUM($B$5:C5)*0.85,MAX(0,B15-C17))</f>
        <v>25160000</v>
      </c>
      <c r="D15" s="0" t="n">
        <f aca="false">IF(D$3&lt;=Inputs!$B$6,SUM($B$5:D5)*0.85,MAX(0,C15-D17))</f>
        <v>50320000</v>
      </c>
      <c r="E15" s="0" t="n">
        <f aca="false">IF(E$3&lt;=Inputs!$B$6,SUM($B$5:E5)*0.85,MAX(0,D15-E17))</f>
        <v>75480000</v>
      </c>
      <c r="F15" s="0" t="n">
        <f aca="false">IF(F$3&lt;=Inputs!$B$6,SUM($B$5:F5)*0.85,MAX(0,E15-F17))</f>
        <v>100640000</v>
      </c>
      <c r="G15" s="0" t="n">
        <f aca="false">IF(G$3&lt;=Inputs!$B$6,SUM($B$5:G5)*0.85,MAX(0,F15-G17))</f>
        <v>125800000</v>
      </c>
      <c r="H15" s="0" t="n">
        <f aca="false">IF(H$3&lt;=Inputs!$B$6,SUM($B$5:H5)*0.85,MAX(0,G15-H17))</f>
        <v>122689069.230769</v>
      </c>
      <c r="I15" s="0" t="n">
        <f aca="false">IF(I$3&lt;=Inputs!$B$6,SUM($B$5:I5)*0.85,MAX(0,H15-I17))</f>
        <v>119497254.261538</v>
      </c>
      <c r="J15" s="0" t="n">
        <f aca="false">IF(J$3&lt;=Inputs!$B$6,SUM($B$5:J5)*0.85,MAX(0,I15-J17))</f>
        <v>116031000.180031</v>
      </c>
      <c r="K15" s="0" t="n">
        <f aca="false">IF(K$3&lt;=Inputs!$B$6,SUM($B$5:K5)*0.85,MAX(0,J15-K17))</f>
        <v>112236931.184712</v>
      </c>
      <c r="L15" s="0" t="n">
        <f aca="false">IF(L$3&lt;=Inputs!$B$6,SUM($B$5:L5)*0.85,MAX(0,K15-L17))</f>
        <v>108384713.222437</v>
      </c>
      <c r="M15" s="0" t="n">
        <f aca="false">IF(M$3&lt;=Inputs!$B$6,SUM($B$5:M5)*0.85,MAX(0,L15-M17))</f>
        <v>104432337.593144</v>
      </c>
      <c r="N15" s="0" t="n">
        <f aca="false">IF(N$3&lt;=Inputs!$B$6,SUM($B$5:N5)*0.85,MAX(0,M15-N17))</f>
        <v>100902573.518963</v>
      </c>
      <c r="O15" s="0" t="n">
        <f aca="false">IF(O$3&lt;=Inputs!$B$6,SUM($B$5:O5)*0.85,MAX(0,N15-O17))</f>
        <v>97028867.8096225</v>
      </c>
      <c r="P15" s="0" t="n">
        <f aca="false">IF(P$3&lt;=Inputs!$B$6,SUM($B$5:P5)*0.85,MAX(0,O15-P17))</f>
        <v>93119263.375522</v>
      </c>
      <c r="Q15" s="0" t="n">
        <f aca="false">IF(Q$3&lt;=Inputs!$B$6,SUM($B$5:Q5)*0.85,MAX(0,P15-Q17))</f>
        <v>88357670.0194683</v>
      </c>
      <c r="R15" s="0" t="n">
        <f aca="false">IF(R$3&lt;=Inputs!$B$6,SUM($B$5:R5)*0.85,MAX(0,Q15-R17))</f>
        <v>83256794.4100426</v>
      </c>
      <c r="S15" s="0" t="n">
        <f aca="false">IF(S$3&lt;=Inputs!$B$6,SUM($B$5:S5)*0.85,MAX(0,R15-S17))</f>
        <v>77755771.248395</v>
      </c>
      <c r="T15" s="0" t="n">
        <f aca="false">IF(T$3&lt;=Inputs!$B$6,SUM($B$5:T5)*0.85,MAX(0,S15-T17))</f>
        <v>72157301.0200234</v>
      </c>
      <c r="U15" s="0" t="n">
        <f aca="false">IF(U$3&lt;=Inputs!$B$6,SUM($B$5:U5)*0.85,MAX(0,T15-U17))</f>
        <v>66413270.5657143</v>
      </c>
      <c r="V15" s="0" t="n">
        <f aca="false">IF(V$3&lt;=Inputs!$B$6,SUM($B$5:V5)*0.85,MAX(0,U15-V17))</f>
        <v>60291291.7111682</v>
      </c>
      <c r="W15" s="0" t="n">
        <f aca="false">IF(W$3&lt;=Inputs!$B$6,SUM($B$5:W5)*0.85,MAX(0,V15-W17))</f>
        <v>53726324.3605366</v>
      </c>
      <c r="X15" s="0" t="n">
        <f aca="false">IF(X$3&lt;=Inputs!$B$6,SUM($B$5:X5)*0.85,MAX(0,W15-X17))</f>
        <v>47591205.0183267</v>
      </c>
      <c r="Y15" s="0" t="n">
        <f aca="false">IF(Y$3&lt;=Inputs!$B$6,SUM($B$5:Y5)*0.85,MAX(0,X15-Y17))</f>
        <v>41296572.5732193</v>
      </c>
      <c r="Z15" s="0" t="n">
        <f aca="false">IF(Z$3&lt;=Inputs!$B$6,SUM($B$5:Z5)*0.85,MAX(0,Y15-Z17))</f>
        <v>34612319.5712716</v>
      </c>
      <c r="AA15" s="0" t="n">
        <f aca="false">IF(AA$3&lt;=Inputs!$B$6,SUM($B$5:AA5)*0.85,MAX(0,Z15-AA17))</f>
        <v>26884427.2020538</v>
      </c>
      <c r="AB15" s="0" t="n">
        <f aca="false">IF(AB$3&lt;=Inputs!$B$6,SUM($B$5:AB5)*0.85,MAX(0,AA15-AB17))</f>
        <v>19006909.7999736</v>
      </c>
      <c r="AC15" s="0" t="n">
        <f aca="false">IF(AC$3&lt;=Inputs!$B$6,SUM($B$5:AC5)*0.85,MAX(0,AB15-AC17))</f>
        <v>10924576.9454393</v>
      </c>
      <c r="AD15" s="0" t="n">
        <f aca="false">IF(AD$3&lt;=Inputs!$B$6,SUM($B$5:AD5)*0.85,MAX(0,AC15-AD17))</f>
        <v>2374808.06140712</v>
      </c>
      <c r="AE15" s="0" t="n">
        <f aca="false">IF(AE$3&lt;=Inputs!$B$6,SUM($B$5:AE5)*0.85,MAX(0,AD15-AE17))</f>
        <v>0</v>
      </c>
      <c r="AF15" s="0" t="n">
        <f aca="false">IF(AF$3&lt;=Inputs!$B$6,SUM($B$5:AF5)*0.85,MAX(0,AE15-AF17))</f>
        <v>0</v>
      </c>
      <c r="AG15" s="0" t="n">
        <f aca="false">IF(AG$3&lt;=Inputs!$B$6,SUM($B$5:AG5)*0.85,MAX(0,AF15-AG17))</f>
        <v>0</v>
      </c>
      <c r="AH15" s="0" t="n">
        <f aca="false">IF(AH$3&lt;=Inputs!$B$6,SUM($B$5:AH5)*0.85,MAX(0,AG15-AH17))</f>
        <v>0</v>
      </c>
      <c r="AI15" s="0" t="n">
        <f aca="false">IF(AI$3&lt;=Inputs!$B$6,SUM($B$5:AI5)*0.85,MAX(0,AH15-AI17))</f>
        <v>0</v>
      </c>
      <c r="AJ15" s="0" t="n">
        <f aca="false">IF(AJ$3&lt;=Inputs!$B$6,SUM($B$5:AJ5)*0.85,MAX(0,AI15-AJ17))</f>
        <v>0</v>
      </c>
      <c r="AK15" s="0" t="n">
        <f aca="false">IF(AK$3&lt;=Inputs!$B$6,SUM($B$5:AK5)*0.85,MAX(0,AJ15-AK17))</f>
        <v>0</v>
      </c>
      <c r="AL15" s="0" t="n">
        <f aca="false">IF(AL$3&lt;=Inputs!$B$6,SUM($B$5:AL5)*0.85,MAX(0,AK15-AL17))</f>
        <v>0</v>
      </c>
      <c r="AM15" s="0" t="n">
        <f aca="false">IF(AM$3&lt;=Inputs!$B$6,SUM($B$5:AM5)*0.85,MAX(0,AL15-AM17))</f>
        <v>0</v>
      </c>
      <c r="AN15" s="0" t="n">
        <f aca="false">IF(AN$3&lt;=Inputs!$B$6,SUM($B$5:AN5)*0.85,MAX(0,AM15-AN17))</f>
        <v>0</v>
      </c>
      <c r="AO15" s="0" t="n">
        <f aca="false">IF(AO$3&lt;=Inputs!$B$6,SUM($B$5:AO5)*0.85,MAX(0,AN15-AO17))</f>
        <v>0</v>
      </c>
      <c r="AP15" s="0" t="n">
        <f aca="false">IF(AP$3&lt;=Inputs!$B$6,SUM($B$5:AP5)*0.85,MAX(0,AO15-AP17))</f>
        <v>0</v>
      </c>
      <c r="AQ15" s="0" t="n">
        <f aca="false">IF(AQ$3&lt;=Inputs!$B$6,SUM($B$5:AQ5)*0.85,MAX(0,AP15-AQ17))</f>
        <v>0</v>
      </c>
      <c r="AR15" s="0" t="n">
        <f aca="false">IF(AR$3&lt;=Inputs!$B$6,SUM($B$5:AR5)*0.85,MAX(0,AQ15-AR17))</f>
        <v>0</v>
      </c>
      <c r="AS15" s="0" t="n">
        <f aca="false">IF(AS$3&lt;=Inputs!$B$6,SUM($B$5:AS5)*0.85,MAX(0,AR15-AS17))</f>
        <v>0</v>
      </c>
      <c r="AT15" s="0" t="n">
        <f aca="false">IF(AT$3&lt;=Inputs!$B$6,SUM($B$5:AT5)*0.85,MAX(0,AS15-AT17))</f>
        <v>0</v>
      </c>
      <c r="AU15" s="0" t="n">
        <f aca="false">IF(AU$3&lt;=Inputs!$B$6,SUM($B$5:AU5)*0.85,MAX(0,AT15-AU17))</f>
        <v>0</v>
      </c>
      <c r="AV15" s="0" t="n">
        <f aca="false">IF(AV$3&lt;=Inputs!$B$6,SUM($B$5:AV5)*0.85,MAX(0,AU15-AV17))</f>
        <v>0</v>
      </c>
      <c r="AW15" s="0" t="n">
        <f aca="false">IF(AW$3&lt;=Inputs!$B$6,SUM($B$5:AW5)*0.85,MAX(0,AV15-AW17))</f>
        <v>0</v>
      </c>
      <c r="AX15" s="0" t="n">
        <f aca="false">IF(AX$3&lt;=Inputs!$B$6,SUM($B$5:AX5)*0.85,MAX(0,AW15-AX17))</f>
        <v>0</v>
      </c>
      <c r="AY15" s="0" t="n">
        <f aca="false">IF(AY$3&lt;=Inputs!$B$6,SUM($B$5:AY5)*0.85,MAX(0,AX15-AY17))</f>
        <v>0</v>
      </c>
      <c r="AZ15" s="0" t="n">
        <f aca="false">IF(AZ$3&lt;=Inputs!$B$6,SUM($B$5:AZ5)*0.85,MAX(0,AY15-AZ17))</f>
        <v>0</v>
      </c>
      <c r="BA15" s="0" t="n">
        <f aca="false">IF(BA$3&lt;=Inputs!$B$6,SUM($B$5:BA5)*0.85,MAX(0,AZ15-BA17))</f>
        <v>0</v>
      </c>
      <c r="BB15" s="0" t="n">
        <f aca="false">IF(BB$3&lt;=Inputs!$B$6,SUM($B$5:BB5)*0.85,MAX(0,BA15-BB17))</f>
        <v>0</v>
      </c>
      <c r="BC15" s="0" t="n">
        <f aca="false">IF(BC$3&lt;=Inputs!$B$6,SUM($B$5:BC5)*0.85,MAX(0,BB15-BC17))</f>
        <v>0</v>
      </c>
      <c r="BD15" s="0" t="n">
        <f aca="false">IF(BD$3&lt;=Inputs!$B$6,SUM($B$5:BD5)*0.85,MAX(0,BC15-BD17))</f>
        <v>0</v>
      </c>
      <c r="BE15" s="0" t="n">
        <f aca="false">IF(BE$3&lt;=Inputs!$B$6,SUM($B$5:BE5)*0.85,MAX(0,BD15-BE17))</f>
        <v>0</v>
      </c>
    </row>
    <row r="16" customFormat="false" ht="15" hidden="false" customHeight="false" outlineLevel="0" collapsed="false">
      <c r="A16" s="0" t="s">
        <v>33</v>
      </c>
      <c r="B16" s="0" t="n">
        <f aca="false">0</f>
        <v>0</v>
      </c>
      <c r="C16" s="0" t="n">
        <f aca="false">IF(C$3&gt;Inputs!$B$6,B15*Inputs!$B$12/2,0)</f>
        <v>0</v>
      </c>
      <c r="D16" s="0" t="n">
        <f aca="false">IF(D$3&gt;Inputs!$B$6,C15*Inputs!$B$12/2,0)</f>
        <v>0</v>
      </c>
      <c r="E16" s="0" t="n">
        <f aca="false">IF(E$3&gt;Inputs!$B$6,D15*Inputs!$B$12/2,0)</f>
        <v>0</v>
      </c>
      <c r="F16" s="0" t="n">
        <f aca="false">IF(F$3&gt;Inputs!$B$6,E15*Inputs!$B$12/2,0)</f>
        <v>0</v>
      </c>
      <c r="G16" s="0" t="n">
        <f aca="false">IF(G$3&gt;Inputs!$B$6,F15*Inputs!$B$12/2,0)</f>
        <v>0</v>
      </c>
      <c r="H16" s="0" t="n">
        <f aca="false">IF(H$3&gt;Inputs!$B$6,G15*Inputs!$B$12/2,0)</f>
        <v>3270800</v>
      </c>
      <c r="I16" s="0" t="n">
        <f aca="false">IF(I$3&gt;Inputs!$B$6,H15*Inputs!$B$12/2,0)</f>
        <v>3189915.8</v>
      </c>
      <c r="J16" s="0" t="n">
        <f aca="false">IF(J$3&gt;Inputs!$B$6,I15*Inputs!$B$12/2,0)</f>
        <v>3106928.6108</v>
      </c>
      <c r="K16" s="0" t="n">
        <f aca="false">IF(K$3&gt;Inputs!$B$6,J15*Inputs!$B$12/2,0)</f>
        <v>3016806.0046808</v>
      </c>
      <c r="L16" s="0" t="n">
        <f aca="false">IF(L$3&gt;Inputs!$B$6,K15*Inputs!$B$12/2,0)</f>
        <v>2918160.2108025</v>
      </c>
      <c r="M16" s="0" t="n">
        <f aca="false">IF(M$3&gt;Inputs!$B$6,L15*Inputs!$B$12/2,0)</f>
        <v>2818002.54378337</v>
      </c>
      <c r="N16" s="0" t="n">
        <f aca="false">IF(N$3&gt;Inputs!$B$6,M15*Inputs!$B$12/2,0)</f>
        <v>2715240.77742173</v>
      </c>
      <c r="O16" s="0" t="n">
        <f aca="false">IF(O$3&gt;Inputs!$B$6,N15*Inputs!$B$12/2,0)</f>
        <v>2623466.91149303</v>
      </c>
      <c r="P16" s="0" t="n">
        <f aca="false">IF(P$3&gt;Inputs!$B$6,O15*Inputs!$B$12/2,0)</f>
        <v>2522750.56305018</v>
      </c>
      <c r="Q16" s="0" t="n">
        <f aca="false">IF(Q$3&gt;Inputs!$B$6,P15*Inputs!$B$12/2,0)</f>
        <v>2421100.84776357</v>
      </c>
      <c r="R16" s="0" t="n">
        <f aca="false">IF(R$3&gt;Inputs!$B$6,Q15*Inputs!$B$12/2,0)</f>
        <v>2297299.42050617</v>
      </c>
      <c r="S16" s="0" t="n">
        <f aca="false">IF(S$3&gt;Inputs!$B$6,R15*Inputs!$B$12/2,0)</f>
        <v>2164676.65466111</v>
      </c>
      <c r="T16" s="0" t="n">
        <f aca="false">IF(T$3&gt;Inputs!$B$6,S15*Inputs!$B$12/2,0)</f>
        <v>2021650.05245827</v>
      </c>
      <c r="U16" s="0" t="n">
        <f aca="false">IF(U$3&gt;Inputs!$B$6,T15*Inputs!$B$12/2,0)</f>
        <v>1876089.82652061</v>
      </c>
      <c r="V16" s="0" t="n">
        <f aca="false">IF(V$3&gt;Inputs!$B$6,U15*Inputs!$B$12/2,0)</f>
        <v>1726745.03470857</v>
      </c>
      <c r="W16" s="0" t="n">
        <f aca="false">IF(W$3&gt;Inputs!$B$6,V15*Inputs!$B$12/2,0)</f>
        <v>1567573.58449037</v>
      </c>
      <c r="X16" s="0" t="n">
        <f aca="false">IF(X$3&gt;Inputs!$B$6,W15*Inputs!$B$12/2,0)</f>
        <v>1396884.43337395</v>
      </c>
      <c r="Y16" s="0" t="n">
        <f aca="false">IF(Y$3&gt;Inputs!$B$6,X15*Inputs!$B$12/2,0)</f>
        <v>1237371.33047649</v>
      </c>
      <c r="Z16" s="0" t="n">
        <f aca="false">IF(Z$3&gt;Inputs!$B$6,Y15*Inputs!$B$12/2,0)</f>
        <v>1073710.8869037</v>
      </c>
      <c r="AA16" s="0" t="n">
        <f aca="false">IF(AA$3&gt;Inputs!$B$6,Z15*Inputs!$B$12/2,0)</f>
        <v>899920.308853062</v>
      </c>
      <c r="AB16" s="0" t="n">
        <f aca="false">IF(AB$3&gt;Inputs!$B$6,AA15*Inputs!$B$12/2,0)</f>
        <v>698995.107253398</v>
      </c>
      <c r="AC16" s="0" t="n">
        <f aca="false">IF(AC$3&gt;Inputs!$B$6,AB15*Inputs!$B$12/2,0)</f>
        <v>494179.654799313</v>
      </c>
      <c r="AD16" s="0" t="n">
        <f aca="false">IF(AD$3&gt;Inputs!$B$6,AC15*Inputs!$B$12/2,0)</f>
        <v>284039.000581422</v>
      </c>
      <c r="AE16" s="0" t="n">
        <f aca="false">IF(AE$3&gt;Inputs!$B$6,AD15*Inputs!$B$12/2,0)</f>
        <v>61745.009596585</v>
      </c>
      <c r="AF16" s="0" t="n">
        <f aca="false">IF(AF$3&gt;Inputs!$B$6,AE15*Inputs!$B$12/2,0)</f>
        <v>0</v>
      </c>
      <c r="AG16" s="0" t="n">
        <f aca="false">IF(AG$3&gt;Inputs!$B$6,AF15*Inputs!$B$12/2,0)</f>
        <v>0</v>
      </c>
      <c r="AH16" s="0" t="n">
        <f aca="false">IF(AH$3&gt;Inputs!$B$6,AG15*Inputs!$B$12/2,0)</f>
        <v>0</v>
      </c>
      <c r="AI16" s="0" t="n">
        <f aca="false">IF(AI$3&gt;Inputs!$B$6,AH15*Inputs!$B$12/2,0)</f>
        <v>0</v>
      </c>
      <c r="AJ16" s="0" t="n">
        <f aca="false">IF(AJ$3&gt;Inputs!$B$6,AI15*Inputs!$B$12/2,0)</f>
        <v>0</v>
      </c>
      <c r="AK16" s="0" t="n">
        <f aca="false">IF(AK$3&gt;Inputs!$B$6,AJ15*Inputs!$B$12/2,0)</f>
        <v>0</v>
      </c>
      <c r="AL16" s="0" t="n">
        <f aca="false">IF(AL$3&gt;Inputs!$B$6,AK15*Inputs!$B$12/2,0)</f>
        <v>0</v>
      </c>
      <c r="AM16" s="0" t="n">
        <f aca="false">IF(AM$3&gt;Inputs!$B$6,AL15*Inputs!$B$12/2,0)</f>
        <v>0</v>
      </c>
      <c r="AN16" s="0" t="n">
        <f aca="false">IF(AN$3&gt;Inputs!$B$6,AM15*Inputs!$B$12/2,0)</f>
        <v>0</v>
      </c>
      <c r="AO16" s="0" t="n">
        <f aca="false">IF(AO$3&gt;Inputs!$B$6,AN15*Inputs!$B$12/2,0)</f>
        <v>0</v>
      </c>
      <c r="AP16" s="0" t="n">
        <f aca="false">IF(AP$3&gt;Inputs!$B$6,AO15*Inputs!$B$12/2,0)</f>
        <v>0</v>
      </c>
      <c r="AQ16" s="0" t="n">
        <f aca="false">IF(AQ$3&gt;Inputs!$B$6,AP15*Inputs!$B$12/2,0)</f>
        <v>0</v>
      </c>
      <c r="AR16" s="0" t="n">
        <f aca="false">IF(AR$3&gt;Inputs!$B$6,AQ15*Inputs!$B$12/2,0)</f>
        <v>0</v>
      </c>
      <c r="AS16" s="0" t="n">
        <f aca="false">IF(AS$3&gt;Inputs!$B$6,AR15*Inputs!$B$12/2,0)</f>
        <v>0</v>
      </c>
      <c r="AT16" s="0" t="n">
        <f aca="false">IF(AT$3&gt;Inputs!$B$6,AS15*Inputs!$B$12/2,0)</f>
        <v>0</v>
      </c>
      <c r="AU16" s="0" t="n">
        <f aca="false">IF(AU$3&gt;Inputs!$B$6,AT15*Inputs!$B$12/2,0)</f>
        <v>0</v>
      </c>
      <c r="AV16" s="0" t="n">
        <f aca="false">IF(AV$3&gt;Inputs!$B$6,AU15*Inputs!$B$12/2,0)</f>
        <v>0</v>
      </c>
      <c r="AW16" s="0" t="n">
        <f aca="false">IF(AW$3&gt;Inputs!$B$6,AV15*Inputs!$B$12/2,0)</f>
        <v>0</v>
      </c>
      <c r="AX16" s="0" t="n">
        <f aca="false">IF(AX$3&gt;Inputs!$B$6,AW15*Inputs!$B$12/2,0)</f>
        <v>0</v>
      </c>
      <c r="AY16" s="0" t="n">
        <f aca="false">IF(AY$3&gt;Inputs!$B$6,AX15*Inputs!$B$12/2,0)</f>
        <v>0</v>
      </c>
      <c r="AZ16" s="0" t="n">
        <f aca="false">IF(AZ$3&gt;Inputs!$B$6,AY15*Inputs!$B$12/2,0)</f>
        <v>0</v>
      </c>
      <c r="BA16" s="0" t="n">
        <f aca="false">IF(BA$3&gt;Inputs!$B$6,AZ15*Inputs!$B$12/2,0)</f>
        <v>0</v>
      </c>
      <c r="BB16" s="0" t="n">
        <f aca="false">IF(BB$3&gt;Inputs!$B$6,BA15*Inputs!$B$12/2,0)</f>
        <v>0</v>
      </c>
      <c r="BC16" s="0" t="n">
        <f aca="false">IF(BC$3&gt;Inputs!$B$6,BB15*Inputs!$B$12/2,0)</f>
        <v>0</v>
      </c>
      <c r="BD16" s="0" t="n">
        <f aca="false">IF(BD$3&gt;Inputs!$B$6,BC15*Inputs!$B$12/2,0)</f>
        <v>0</v>
      </c>
      <c r="BE16" s="0" t="n">
        <f aca="false">IF(BE$3&gt;Inputs!$B$6,BD15*Inputs!$B$12/2,0)</f>
        <v>0</v>
      </c>
    </row>
    <row r="17" customFormat="false" ht="15" hidden="false" customHeight="false" outlineLevel="0" collapsed="false">
      <c r="A17" s="0" t="s">
        <v>34</v>
      </c>
      <c r="B17" s="0" t="n">
        <f aca="false">0</f>
        <v>0</v>
      </c>
      <c r="C17" s="0" t="n">
        <f aca="false">IF(AND(C$3&gt;Inputs!$B$6,C$3&lt;=Inputs!$B$6+Inputs!$B$13),MIN(B15,C14-C16),0)</f>
        <v>0</v>
      </c>
      <c r="D17" s="0" t="n">
        <f aca="false">IF(AND(D$3&gt;Inputs!$B$6,D$3&lt;=Inputs!$B$6+Inputs!$B$13),MIN(C15,D14-D16),0)</f>
        <v>0</v>
      </c>
      <c r="E17" s="0" t="n">
        <f aca="false">IF(AND(E$3&gt;Inputs!$B$6,E$3&lt;=Inputs!$B$6+Inputs!$B$13),MIN(D15,E14-E16),0)</f>
        <v>0</v>
      </c>
      <c r="F17" s="0" t="n">
        <f aca="false">IF(AND(F$3&gt;Inputs!$B$6,F$3&lt;=Inputs!$B$6+Inputs!$B$13),MIN(E15,F14-F16),0)</f>
        <v>0</v>
      </c>
      <c r="G17" s="0" t="n">
        <f aca="false">IF(AND(G$3&gt;Inputs!$B$6,G$3&lt;=Inputs!$B$6+Inputs!$B$13),MIN(F15,G14-G16),0)</f>
        <v>0</v>
      </c>
      <c r="H17" s="0" t="n">
        <f aca="false">IF(AND(H$3&gt;Inputs!$B$6,H$3&lt;=Inputs!$B$6+Inputs!$B$13),MIN(G15,H14-H16),0)</f>
        <v>3110930.76923077</v>
      </c>
      <c r="I17" s="0" t="n">
        <f aca="false">IF(AND(I$3&gt;Inputs!$B$6,I$3&lt;=Inputs!$B$6+Inputs!$B$13),MIN(H15,I14-I16),0)</f>
        <v>3191814.96923077</v>
      </c>
      <c r="J17" s="0" t="n">
        <f aca="false">IF(AND(J$3&gt;Inputs!$B$6,J$3&lt;=Inputs!$B$6+Inputs!$B$13),MIN(I15,J14-J16),0)</f>
        <v>3466254.08150769</v>
      </c>
      <c r="K17" s="0" t="n">
        <f aca="false">IF(AND(K$3&gt;Inputs!$B$6,K$3&lt;=Inputs!$B$6+Inputs!$B$13),MIN(J15,K14-K16),0)</f>
        <v>3794068.9953192</v>
      </c>
      <c r="L17" s="0" t="n">
        <f aca="false">IF(AND(L$3&gt;Inputs!$B$6,L$3&lt;=Inputs!$B$6+Inputs!$B$13),MIN(K15,L14-L16),0)</f>
        <v>3852217.96227442</v>
      </c>
      <c r="M17" s="0" t="n">
        <f aca="false">IF(AND(M$3&gt;Inputs!$B$6,M$3&lt;=Inputs!$B$6+Inputs!$B$13),MIN(L15,M14-M16),0)</f>
        <v>3952375.62929356</v>
      </c>
      <c r="N17" s="0" t="n">
        <f aca="false">IF(AND(N$3&gt;Inputs!$B$6,N$3&lt;=Inputs!$B$6+Inputs!$B$13),MIN(M15,N14-N16),0)</f>
        <v>3529764.07418083</v>
      </c>
      <c r="O17" s="0" t="n">
        <f aca="false">IF(AND(O$3&gt;Inputs!$B$6,O$3&lt;=Inputs!$B$6+Inputs!$B$13),MIN(N15,O14-O16),0)</f>
        <v>3873705.7093403</v>
      </c>
      <c r="P17" s="0" t="n">
        <f aca="false">IF(AND(P$3&gt;Inputs!$B$6,P$3&lt;=Inputs!$B$6+Inputs!$B$13),MIN(O15,P14-P16),0)</f>
        <v>3909604.43410046</v>
      </c>
      <c r="Q17" s="0" t="n">
        <f aca="false">IF(AND(Q$3&gt;Inputs!$B$6,Q$3&lt;=Inputs!$B$6+Inputs!$B$13),MIN(P15,Q14-Q16),0)</f>
        <v>4761593.35605374</v>
      </c>
      <c r="R17" s="0" t="n">
        <f aca="false">IF(AND(R$3&gt;Inputs!$B$6,R$3&lt;=Inputs!$B$6+Inputs!$B$13),MIN(Q15,R14-R16),0)</f>
        <v>5100875.60942565</v>
      </c>
      <c r="S17" s="0" t="n">
        <f aca="false">IF(AND(S$3&gt;Inputs!$B$6,S$3&lt;=Inputs!$B$6+Inputs!$B$13),MIN(R15,S14-S16),0)</f>
        <v>5501023.16164764</v>
      </c>
      <c r="T17" s="0" t="n">
        <f aca="false">IF(AND(T$3&gt;Inputs!$B$6,T$3&lt;=Inputs!$B$6+Inputs!$B$13),MIN(S15,T14-T16),0)</f>
        <v>5598470.22837151</v>
      </c>
      <c r="U17" s="0" t="n">
        <f aca="false">IF(AND(U$3&gt;Inputs!$B$6,U$3&lt;=Inputs!$B$6+Inputs!$B$13),MIN(T15,U14-U16),0)</f>
        <v>5744030.45430917</v>
      </c>
      <c r="V17" s="0" t="n">
        <f aca="false">IF(AND(V$3&gt;Inputs!$B$6,V$3&lt;=Inputs!$B$6+Inputs!$B$13),MIN(U15,V14-V16),0)</f>
        <v>6121978.85454611</v>
      </c>
      <c r="W17" s="0" t="n">
        <f aca="false">IF(AND(W$3&gt;Inputs!$B$6,W$3&lt;=Inputs!$B$6+Inputs!$B$13),MIN(V15,W14-W16),0)</f>
        <v>6564967.35063158</v>
      </c>
      <c r="X17" s="0" t="n">
        <f aca="false">IF(AND(X$3&gt;Inputs!$B$6,X$3&lt;=Inputs!$B$6+Inputs!$B$13),MIN(W15,X14-X16),0)</f>
        <v>6135119.34220992</v>
      </c>
      <c r="Y17" s="0" t="n">
        <f aca="false">IF(AND(Y$3&gt;Inputs!$B$6,Y$3&lt;=Inputs!$B$6+Inputs!$B$13),MIN(X15,Y14-Y16),0)</f>
        <v>6294632.44510738</v>
      </c>
      <c r="Z17" s="0" t="n">
        <f aca="false">IF(AND(Z$3&gt;Inputs!$B$6,Z$3&lt;=Inputs!$B$6+Inputs!$B$13),MIN(Y15,Z14-Z16),0)</f>
        <v>6684253.00194768</v>
      </c>
      <c r="AA17" s="0" t="n">
        <f aca="false">IF(AND(AA$3&gt;Inputs!$B$6,AA$3&lt;=Inputs!$B$6+Inputs!$B$13),MIN(Z15,AA14-AA16),0)</f>
        <v>7727892.36921782</v>
      </c>
      <c r="AB17" s="0" t="n">
        <f aca="false">IF(AND(AB$3&gt;Inputs!$B$6,AB$3&lt;=Inputs!$B$6+Inputs!$B$13),MIN(AA15,AB14-AB16),0)</f>
        <v>7877517.4020802</v>
      </c>
      <c r="AC17" s="0" t="n">
        <f aca="false">IF(AND(AC$3&gt;Inputs!$B$6,AC$3&lt;=Inputs!$B$6+Inputs!$B$13),MIN(AB15,AC14-AC16),0)</f>
        <v>8082332.85453428</v>
      </c>
      <c r="AD17" s="0" t="n">
        <f aca="false">IF(AND(AD$3&gt;Inputs!$B$6,AD$3&lt;=Inputs!$B$6+Inputs!$B$13),MIN(AC15,AD14-AD16),0)</f>
        <v>8549768.88403218</v>
      </c>
      <c r="AE17" s="0" t="n">
        <f aca="false">IF(AND(AE$3&gt;Inputs!$B$6,AE$3&lt;=Inputs!$B$6+Inputs!$B$13),MIN(AD15,AE14-AE16),0)</f>
        <v>2374808.06140712</v>
      </c>
      <c r="AF17" s="0" t="n">
        <f aca="false">IF(AND(AF$3&gt;Inputs!$B$6,AF$3&lt;=Inputs!$B$6+Inputs!$B$13),MIN(AE15,AF14-AF16),0)</f>
        <v>0</v>
      </c>
      <c r="AG17" s="0" t="n">
        <f aca="false">IF(AND(AG$3&gt;Inputs!$B$6,AG$3&lt;=Inputs!$B$6+Inputs!$B$13),MIN(AF15,AG14-AG16),0)</f>
        <v>0</v>
      </c>
      <c r="AH17" s="0" t="n">
        <f aca="false">IF(AND(AH$3&gt;Inputs!$B$6,AH$3&lt;=Inputs!$B$6+Inputs!$B$13),MIN(AG15,AH14-AH16),0)</f>
        <v>0</v>
      </c>
      <c r="AI17" s="0" t="n">
        <f aca="false">IF(AND(AI$3&gt;Inputs!$B$6,AI$3&lt;=Inputs!$B$6+Inputs!$B$13),MIN(AH15,AI14-AI16),0)</f>
        <v>0</v>
      </c>
      <c r="AJ17" s="0" t="n">
        <f aca="false">IF(AND(AJ$3&gt;Inputs!$B$6,AJ$3&lt;=Inputs!$B$6+Inputs!$B$13),MIN(AI15,AJ14-AJ16),0)</f>
        <v>0</v>
      </c>
      <c r="AK17" s="0" t="n">
        <f aca="false">IF(AND(AK$3&gt;Inputs!$B$6,AK$3&lt;=Inputs!$B$6+Inputs!$B$13),MIN(AJ15,AK14-AK16),0)</f>
        <v>0</v>
      </c>
      <c r="AL17" s="0" t="n">
        <f aca="false">IF(AND(AL$3&gt;Inputs!$B$6,AL$3&lt;=Inputs!$B$6+Inputs!$B$13),MIN(AK15,AL14-AL16),0)</f>
        <v>0</v>
      </c>
      <c r="AM17" s="0" t="n">
        <f aca="false">IF(AND(AM$3&gt;Inputs!$B$6,AM$3&lt;=Inputs!$B$6+Inputs!$B$13),MIN(AL15,AM14-AM16),0)</f>
        <v>0</v>
      </c>
      <c r="AN17" s="0" t="n">
        <f aca="false">IF(AND(AN$3&gt;Inputs!$B$6,AN$3&lt;=Inputs!$B$6+Inputs!$B$13),MIN(AM15,AN14-AN16),0)</f>
        <v>0</v>
      </c>
      <c r="AO17" s="0" t="n">
        <f aca="false">IF(AND(AO$3&gt;Inputs!$B$6,AO$3&lt;=Inputs!$B$6+Inputs!$B$13),MIN(AN15,AO14-AO16),0)</f>
        <v>0</v>
      </c>
      <c r="AP17" s="0" t="n">
        <f aca="false">IF(AND(AP$3&gt;Inputs!$B$6,AP$3&lt;=Inputs!$B$6+Inputs!$B$13),MIN(AO15,AP14-AP16),0)</f>
        <v>0</v>
      </c>
      <c r="AQ17" s="0" t="n">
        <f aca="false">IF(AND(AQ$3&gt;Inputs!$B$6,AQ$3&lt;=Inputs!$B$6+Inputs!$B$13),MIN(AP15,AQ14-AQ16),0)</f>
        <v>0</v>
      </c>
      <c r="AR17" s="0" t="n">
        <f aca="false">IF(AND(AR$3&gt;Inputs!$B$6,AR$3&lt;=Inputs!$B$6+Inputs!$B$13),MIN(AQ15,AR14-AR16),0)</f>
        <v>0</v>
      </c>
      <c r="AS17" s="0" t="n">
        <f aca="false">IF(AND(AS$3&gt;Inputs!$B$6,AS$3&lt;=Inputs!$B$6+Inputs!$B$13),MIN(AR15,AS14-AS16),0)</f>
        <v>0</v>
      </c>
      <c r="AT17" s="0" t="n">
        <f aca="false">IF(AND(AT$3&gt;Inputs!$B$6,AT$3&lt;=Inputs!$B$6+Inputs!$B$13),MIN(AS15,AT14-AT16),0)</f>
        <v>0</v>
      </c>
      <c r="AU17" s="0" t="n">
        <f aca="false">IF(AND(AU$3&gt;Inputs!$B$6,AU$3&lt;=Inputs!$B$6+Inputs!$B$13),MIN(AT15,AU14-AU16),0)</f>
        <v>0</v>
      </c>
      <c r="AV17" s="0" t="n">
        <f aca="false">IF(AND(AV$3&gt;Inputs!$B$6,AV$3&lt;=Inputs!$B$6+Inputs!$B$13),MIN(AU15,AV14-AV16),0)</f>
        <v>0</v>
      </c>
      <c r="AW17" s="0" t="n">
        <f aca="false">IF(AND(AW$3&gt;Inputs!$B$6,AW$3&lt;=Inputs!$B$6+Inputs!$B$13),MIN(AV15,AW14-AW16),0)</f>
        <v>0</v>
      </c>
      <c r="AX17" s="0" t="n">
        <f aca="false">IF(AND(AX$3&gt;Inputs!$B$6,AX$3&lt;=Inputs!$B$6+Inputs!$B$13),MIN(AW15,AX14-AX16),0)</f>
        <v>0</v>
      </c>
      <c r="AY17" s="0" t="n">
        <f aca="false">IF(AND(AY$3&gt;Inputs!$B$6,AY$3&lt;=Inputs!$B$6+Inputs!$B$13),MIN(AX15,AY14-AY16),0)</f>
        <v>0</v>
      </c>
      <c r="AZ17" s="0" t="n">
        <f aca="false">IF(AND(AZ$3&gt;Inputs!$B$6,AZ$3&lt;=Inputs!$B$6+Inputs!$B$13),MIN(AY15,AZ14-AZ16),0)</f>
        <v>0</v>
      </c>
      <c r="BA17" s="0" t="n">
        <f aca="false">IF(AND(BA$3&gt;Inputs!$B$6,BA$3&lt;=Inputs!$B$6+Inputs!$B$13),MIN(AZ15,BA14-BA16),0)</f>
        <v>0</v>
      </c>
      <c r="BB17" s="0" t="n">
        <f aca="false">IF(AND(BB$3&gt;Inputs!$B$6,BB$3&lt;=Inputs!$B$6+Inputs!$B$13),MIN(BA15,BB14-BB16),0)</f>
        <v>0</v>
      </c>
      <c r="BC17" s="0" t="n">
        <f aca="false">IF(AND(BC$3&gt;Inputs!$B$6,BC$3&lt;=Inputs!$B$6+Inputs!$B$13),MIN(BB15,BC14-BC16),0)</f>
        <v>0</v>
      </c>
      <c r="BD17" s="0" t="n">
        <f aca="false">IF(AND(BD$3&gt;Inputs!$B$6,BD$3&lt;=Inputs!$B$6+Inputs!$B$13),MIN(BC15,BD14-BD16),0)</f>
        <v>0</v>
      </c>
      <c r="BE17" s="0" t="n">
        <f aca="false">IF(AND(BE$3&gt;Inputs!$B$6,BE$3&lt;=Inputs!$B$6+Inputs!$B$13),MIN(BD15,BE14-BE16),0)</f>
        <v>0</v>
      </c>
    </row>
    <row r="18" customFormat="false" ht="15" hidden="false" customHeight="false" outlineLevel="0" collapsed="false">
      <c r="A18" s="0" t="s">
        <v>35</v>
      </c>
      <c r="B18" s="0" t="n">
        <f aca="false">IF(AND(B$3&gt;Inputs!$B$6,B$3&lt;=Inputs!$B$6+Inputs!$B$13),C14*Inputs!$B$14,0)</f>
        <v>0</v>
      </c>
      <c r="C18" s="0" t="n">
        <f aca="false">IF(AND(C$3&gt;Inputs!$B$6,C$3&lt;=Inputs!$B$6+Inputs!$B$13),D14*Inputs!$B$14,0)</f>
        <v>0</v>
      </c>
      <c r="D18" s="0" t="n">
        <f aca="false">IF(AND(D$3&gt;Inputs!$B$6,D$3&lt;=Inputs!$B$6+Inputs!$B$13),E14*Inputs!$B$14,0)</f>
        <v>0</v>
      </c>
      <c r="E18" s="0" t="n">
        <f aca="false">IF(AND(E$3&gt;Inputs!$B$6,E$3&lt;=Inputs!$B$6+Inputs!$B$13),F14*Inputs!$B$14,0)</f>
        <v>0</v>
      </c>
      <c r="F18" s="0" t="n">
        <f aca="false">IF(AND(F$3&gt;Inputs!$B$6,F$3&lt;=Inputs!$B$6+Inputs!$B$13),G14*Inputs!$B$14,0)</f>
        <v>0</v>
      </c>
      <c r="G18" s="0" t="n">
        <f aca="false">IF(AND(G$3&gt;Inputs!$B$6,G$3&lt;=Inputs!$B$6+Inputs!$B$13),H14*Inputs!$B$14,0)</f>
        <v>0</v>
      </c>
      <c r="H18" s="0" t="n">
        <f aca="false">IF(AND(H$3&gt;Inputs!$B$6,H$3&lt;=Inputs!$B$6+Inputs!$B$13),I14*Inputs!$B$14,0)</f>
        <v>6381730.76923077</v>
      </c>
      <c r="I18" s="0" t="n">
        <f aca="false">IF(AND(I$3&gt;Inputs!$B$6,I$3&lt;=Inputs!$B$6+Inputs!$B$13),J14*Inputs!$B$14,0)</f>
        <v>6573182.69230769</v>
      </c>
      <c r="J18" s="0" t="n">
        <f aca="false">IF(AND(J$3&gt;Inputs!$B$6,J$3&lt;=Inputs!$B$6+Inputs!$B$13),K14*Inputs!$B$14,0)</f>
        <v>6810875</v>
      </c>
      <c r="K18" s="0" t="n">
        <f aca="false">IF(AND(K$3&gt;Inputs!$B$6,K$3&lt;=Inputs!$B$6+Inputs!$B$13),L14*Inputs!$B$14,0)</f>
        <v>6770378.17307692</v>
      </c>
      <c r="L18" s="0" t="n">
        <f aca="false">IF(AND(L$3&gt;Inputs!$B$6,L$3&lt;=Inputs!$B$6+Inputs!$B$13),M14*Inputs!$B$14,0)</f>
        <v>6770378.17307692</v>
      </c>
      <c r="M18" s="0" t="n">
        <f aca="false">IF(AND(M$3&gt;Inputs!$B$6,M$3&lt;=Inputs!$B$6+Inputs!$B$13),N14*Inputs!$B$14,0)</f>
        <v>6245004.85160256</v>
      </c>
      <c r="N18" s="0" t="n">
        <f aca="false">IF(AND(N$3&gt;Inputs!$B$6,N$3&lt;=Inputs!$B$6+Inputs!$B$13),O14*Inputs!$B$14,0)</f>
        <v>6497172.62083333</v>
      </c>
      <c r="O18" s="0" t="n">
        <f aca="false">IF(AND(O$3&gt;Inputs!$B$6,O$3&lt;=Inputs!$B$6+Inputs!$B$13),P14*Inputs!$B$14,0)</f>
        <v>6432354.99715064</v>
      </c>
      <c r="P18" s="0" t="n">
        <f aca="false">IF(AND(P$3&gt;Inputs!$B$6,P$3&lt;=Inputs!$B$6+Inputs!$B$13),Q14*Inputs!$B$14,0)</f>
        <v>7182694.20381731</v>
      </c>
      <c r="Q18" s="0" t="n">
        <f aca="false">IF(AND(Q$3&gt;Inputs!$B$6,Q$3&lt;=Inputs!$B$6+Inputs!$B$13),R14*Inputs!$B$14,0)</f>
        <v>7398175.02993183</v>
      </c>
      <c r="R18" s="0" t="n">
        <f aca="false">IF(AND(R$3&gt;Inputs!$B$6,R$3&lt;=Inputs!$B$6+Inputs!$B$13),S14*Inputs!$B$14,0)</f>
        <v>7665699.81630875</v>
      </c>
      <c r="S18" s="0" t="n">
        <f aca="false">IF(AND(S$3&gt;Inputs!$B$6,S$3&lt;=Inputs!$B$6+Inputs!$B$13),T14*Inputs!$B$14,0)</f>
        <v>7620120.28082978</v>
      </c>
      <c r="T18" s="0" t="n">
        <f aca="false">IF(AND(T$3&gt;Inputs!$B$6,T$3&lt;=Inputs!$B$6+Inputs!$B$13),U14*Inputs!$B$14,0)</f>
        <v>7620120.28082978</v>
      </c>
      <c r="U18" s="0" t="n">
        <f aca="false">IF(AND(U$3&gt;Inputs!$B$6,U$3&lt;=Inputs!$B$6+Inputs!$B$13),V14*Inputs!$B$14,0)</f>
        <v>7848723.88925468</v>
      </c>
      <c r="V18" s="0" t="n">
        <f aca="false">IF(AND(V$3&gt;Inputs!$B$6,V$3&lt;=Inputs!$B$6+Inputs!$B$13),W14*Inputs!$B$14,0)</f>
        <v>8132540.93512196</v>
      </c>
      <c r="W18" s="0" t="n">
        <f aca="false">IF(AND(W$3&gt;Inputs!$B$6,W$3&lt;=Inputs!$B$6+Inputs!$B$13),X14*Inputs!$B$14,0)</f>
        <v>7532003.77558387</v>
      </c>
      <c r="X18" s="0" t="n">
        <f aca="false">IF(AND(X$3&gt;Inputs!$B$6,X$3&lt;=Inputs!$B$6+Inputs!$B$13),Y14*Inputs!$B$14,0)</f>
        <v>7532003.77558387</v>
      </c>
      <c r="Y18" s="0" t="n">
        <f aca="false">IF(AND(Y$3&gt;Inputs!$B$6,Y$3&lt;=Inputs!$B$6+Inputs!$B$13),Z14*Inputs!$B$14,0)</f>
        <v>7757963.88885138</v>
      </c>
      <c r="Z18" s="0" t="n">
        <f aca="false">IF(AND(Z$3&gt;Inputs!$B$6,Z$3&lt;=Inputs!$B$6+Inputs!$B$13),AA14*Inputs!$B$14,0)</f>
        <v>8627812.67807088</v>
      </c>
      <c r="AA18" s="0" t="n">
        <f aca="false">IF(AND(AA$3&gt;Inputs!$B$6,AA$3&lt;=Inputs!$B$6+Inputs!$B$13),AB14*Inputs!$B$14,0)</f>
        <v>8576512.5093336</v>
      </c>
      <c r="AB18" s="0" t="n">
        <f aca="false">IF(AND(AB$3&gt;Inputs!$B$6,AB$3&lt;=Inputs!$B$6+Inputs!$B$13),AC14*Inputs!$B$14,0)</f>
        <v>8576512.5093336</v>
      </c>
      <c r="AC18" s="0" t="n">
        <f aca="false">IF(AND(AC$3&gt;Inputs!$B$6,AC$3&lt;=Inputs!$B$6+Inputs!$B$13),AD14*Inputs!$B$14,0)</f>
        <v>8833807.8846136</v>
      </c>
      <c r="AD18" s="0" t="n">
        <f aca="false">IF(AND(AD$3&gt;Inputs!$B$6,AD$3&lt;=Inputs!$B$6+Inputs!$B$13),AE14*Inputs!$B$14,0)</f>
        <v>9153246.4701654</v>
      </c>
      <c r="AE18" s="0" t="n">
        <f aca="false">IF(AND(AE$3&gt;Inputs!$B$6,AE$3&lt;=Inputs!$B$6+Inputs!$B$13),AF14*Inputs!$B$14,0)</f>
        <v>9098822.12115201</v>
      </c>
      <c r="AF18" s="0" t="n">
        <f aca="false">IF(AND(AF$3&gt;Inputs!$B$6,AF$3&lt;=Inputs!$B$6+Inputs!$B$13),AG14*Inputs!$B$14,0)</f>
        <v>9098822.12115201</v>
      </c>
      <c r="AG18" s="0" t="n">
        <f aca="false">IF(AND(AG$3&gt;Inputs!$B$6,AG$3&lt;=Inputs!$B$6+Inputs!$B$13),AH14*Inputs!$B$14,0)</f>
        <v>8392764.3091522</v>
      </c>
      <c r="AH18" s="0" t="n">
        <f aca="false">IF(AND(AH$3&gt;Inputs!$B$6,AH$3&lt;=Inputs!$B$6+Inputs!$B$13),AI14*Inputs!$B$14,0)</f>
        <v>8731656.7045641</v>
      </c>
      <c r="AI18" s="0" t="n">
        <f aca="false">IF(AND(AI$3&gt;Inputs!$B$6,AI$3&lt;=Inputs!$B$6+Inputs!$B$13),AJ14*Inputs!$B$14,0)</f>
        <v>8644547.23842676</v>
      </c>
      <c r="AJ18" s="0" t="n">
        <f aca="false">IF(AND(AJ$3&gt;Inputs!$B$6,AJ$3&lt;=Inputs!$B$6+Inputs!$B$13),AK14*Inputs!$B$14,0)</f>
        <v>9652940.38833017</v>
      </c>
      <c r="AK18" s="0" t="n">
        <f aca="false">IF(AND(AK$3&gt;Inputs!$B$6,AK$3&lt;=Inputs!$B$6+Inputs!$B$13),AL14*Inputs!$B$14,0)</f>
        <v>9942528.59998008</v>
      </c>
      <c r="AL18" s="0" t="n">
        <f aca="false">IF(AND(AL$3&gt;Inputs!$B$6,AL$3&lt;=Inputs!$B$6+Inputs!$B$13),AM14*Inputs!$B$14,0)</f>
        <v>10302059.5422726</v>
      </c>
      <c r="AM18" s="0" t="n">
        <f aca="false">IF(AND(AM$3&gt;Inputs!$B$6,AM$3&lt;=Inputs!$B$6+Inputs!$B$13),AN14*Inputs!$B$14,0)</f>
        <v>10240804.4579795</v>
      </c>
      <c r="AN18" s="0" t="n">
        <f aca="false">IF(AND(AN$3&gt;Inputs!$B$6,AN$3&lt;=Inputs!$B$6+Inputs!$B$13),AO14*Inputs!$B$14,0)</f>
        <v>10240804.4579795</v>
      </c>
      <c r="AO18" s="0" t="n">
        <f aca="false">IF(AND(AO$3&gt;Inputs!$B$6,AO$3&lt;=Inputs!$B$6+Inputs!$B$13),AP14*Inputs!$B$14,0)</f>
        <v>10548028.5917189</v>
      </c>
      <c r="AP18" s="0" t="n">
        <f aca="false">IF(AND(AP$3&gt;Inputs!$B$6,AP$3&lt;=Inputs!$B$6+Inputs!$B$13),AQ14*Inputs!$B$14,0)</f>
        <v>10929454.968397</v>
      </c>
      <c r="AQ18" s="0" t="n">
        <f aca="false">IF(AND(AQ$3&gt;Inputs!$B$6,AQ$3&lt;=Inputs!$B$6+Inputs!$B$13),AR14*Inputs!$B$14,0)</f>
        <v>10122383.2432889</v>
      </c>
      <c r="AR18" s="0" t="n">
        <f aca="false">IF(AND(AR$3&gt;Inputs!$B$6,AR$3&lt;=Inputs!$B$6+Inputs!$B$13),AS14*Inputs!$B$14,0)</f>
        <v>10122383.2432889</v>
      </c>
      <c r="AS18" s="0" t="n">
        <f aca="false">IF(AND(AS$3&gt;Inputs!$B$6,AS$3&lt;=Inputs!$B$6+Inputs!$B$13),AT14*Inputs!$B$14,0)</f>
        <v>10426054.7405876</v>
      </c>
      <c r="AT18" s="0" t="n">
        <f aca="false">IF(AND(AT$3&gt;Inputs!$B$6,AT$3&lt;=Inputs!$B$6+Inputs!$B$13),AU14*Inputs!$B$14,0)</f>
        <v>11595058.7759723</v>
      </c>
      <c r="AU18" s="0" t="n">
        <f aca="false">IF(AND(AU$3&gt;Inputs!$B$6,AU$3&lt;=Inputs!$B$6+Inputs!$B$13),AV14*Inputs!$B$14,0)</f>
        <v>0</v>
      </c>
      <c r="AV18" s="0" t="n">
        <f aca="false">IF(AND(AV$3&gt;Inputs!$B$6,AV$3&lt;=Inputs!$B$6+Inputs!$B$13),AW14*Inputs!$B$14,0)</f>
        <v>0</v>
      </c>
      <c r="AW18" s="0" t="n">
        <f aca="false">IF(AND(AW$3&gt;Inputs!$B$6,AW$3&lt;=Inputs!$B$6+Inputs!$B$13),AX14*Inputs!$B$14,0)</f>
        <v>0</v>
      </c>
      <c r="AX18" s="0" t="n">
        <f aca="false">IF(AND(AX$3&gt;Inputs!$B$6,AX$3&lt;=Inputs!$B$6+Inputs!$B$13),AY14*Inputs!$B$14,0)</f>
        <v>0</v>
      </c>
      <c r="AY18" s="0" t="n">
        <f aca="false">IF(AND(AY$3&gt;Inputs!$B$6,AY$3&lt;=Inputs!$B$6+Inputs!$B$13),AZ14*Inputs!$B$14,0)</f>
        <v>0</v>
      </c>
      <c r="AZ18" s="0" t="n">
        <f aca="false">IF(AND(AZ$3&gt;Inputs!$B$6,AZ$3&lt;=Inputs!$B$6+Inputs!$B$13),BA14*Inputs!$B$14,0)</f>
        <v>0</v>
      </c>
      <c r="BA18" s="0" t="n">
        <f aca="false">IF(AND(BA$3&gt;Inputs!$B$6,BA$3&lt;=Inputs!$B$6+Inputs!$B$13),BB14*Inputs!$B$14,0)</f>
        <v>0</v>
      </c>
      <c r="BB18" s="0" t="n">
        <f aca="false">IF(AND(BB$3&gt;Inputs!$B$6,BB$3&lt;=Inputs!$B$6+Inputs!$B$13),BC14*Inputs!$B$14,0)</f>
        <v>0</v>
      </c>
      <c r="BC18" s="0" t="n">
        <f aca="false">IF(AND(BC$3&gt;Inputs!$B$6,BC$3&lt;=Inputs!$B$6+Inputs!$B$13),BD14*Inputs!$B$14,0)</f>
        <v>0</v>
      </c>
      <c r="BD18" s="0" t="n">
        <f aca="false">IF(AND(BD$3&gt;Inputs!$B$6,BD$3&lt;=Inputs!$B$6+Inputs!$B$13),BE14*Inputs!$B$14,0)</f>
        <v>0</v>
      </c>
      <c r="BE18" s="0" t="n">
        <f aca="false">IF(AND(BE$3&gt;Inputs!$B$6,BE$3&lt;=Inputs!$B$6+Inputs!$B$13),BE14*Inputs!$B$14,0)</f>
        <v>0</v>
      </c>
    </row>
    <row r="19" customFormat="false" ht="15" hidden="false" customHeight="false" outlineLevel="0" collapsed="false">
      <c r="A19" s="0" t="s">
        <v>36</v>
      </c>
      <c r="B19" s="0" t="n">
        <f aca="false">B18</f>
        <v>0</v>
      </c>
      <c r="C19" s="0" t="n">
        <f aca="false">C18-B18</f>
        <v>0</v>
      </c>
      <c r="D19" s="0" t="n">
        <f aca="false">D18-C18</f>
        <v>0</v>
      </c>
      <c r="E19" s="0" t="n">
        <f aca="false">E18-D18</f>
        <v>0</v>
      </c>
      <c r="F19" s="0" t="n">
        <f aca="false">F18-E18</f>
        <v>0</v>
      </c>
      <c r="G19" s="0" t="n">
        <f aca="false">G18-F18</f>
        <v>0</v>
      </c>
      <c r="H19" s="0" t="n">
        <f aca="false">H18-G18</f>
        <v>6381730.76923077</v>
      </c>
      <c r="I19" s="0" t="n">
        <f aca="false">I18-H18</f>
        <v>191451.923076923</v>
      </c>
      <c r="J19" s="0" t="n">
        <f aca="false">J18-I18</f>
        <v>237692.307692308</v>
      </c>
      <c r="K19" s="0" t="n">
        <f aca="false">K18-J18</f>
        <v>-40496.826923077</v>
      </c>
      <c r="L19" s="0" t="n">
        <f aca="false">L18-K18</f>
        <v>0</v>
      </c>
      <c r="M19" s="0" t="n">
        <f aca="false">M18-L18</f>
        <v>-525373.32147436</v>
      </c>
      <c r="N19" s="0" t="n">
        <f aca="false">N18-M18</f>
        <v>252167.76923077</v>
      </c>
      <c r="O19" s="0" t="n">
        <f aca="false">O18-N18</f>
        <v>-64817.6236826899</v>
      </c>
      <c r="P19" s="0" t="n">
        <f aca="false">P18-O18</f>
        <v>750339.206666667</v>
      </c>
      <c r="Q19" s="0" t="n">
        <f aca="false">Q18-P18</f>
        <v>215480.826114518</v>
      </c>
      <c r="R19" s="0" t="n">
        <f aca="false">R18-Q18</f>
        <v>267524.786376923</v>
      </c>
      <c r="S19" s="0" t="n">
        <f aca="false">S18-R18</f>
        <v>-45579.53547897</v>
      </c>
      <c r="T19" s="0" t="n">
        <f aca="false">T18-S18</f>
        <v>0</v>
      </c>
      <c r="U19" s="0" t="n">
        <f aca="false">U18-T18</f>
        <v>228603.608424895</v>
      </c>
      <c r="V19" s="0" t="n">
        <f aca="false">V18-U18</f>
        <v>283817.045867279</v>
      </c>
      <c r="W19" s="0" t="n">
        <f aca="false">W18-V18</f>
        <v>-600537.159538087</v>
      </c>
      <c r="X19" s="0" t="n">
        <f aca="false">X18-W18</f>
        <v>0</v>
      </c>
      <c r="Y19" s="0" t="n">
        <f aca="false">Y18-X18</f>
        <v>225960.113267516</v>
      </c>
      <c r="Z19" s="0" t="n">
        <f aca="false">Z18-Y18</f>
        <v>869848.789219497</v>
      </c>
      <c r="AA19" s="0" t="n">
        <f aca="false">AA18-Z18</f>
        <v>-51300.1687372848</v>
      </c>
      <c r="AB19" s="0" t="n">
        <f aca="false">AB18-AA18</f>
        <v>0</v>
      </c>
      <c r="AC19" s="0" t="n">
        <f aca="false">AC18-AB18</f>
        <v>257295.375280008</v>
      </c>
      <c r="AD19" s="0" t="n">
        <f aca="false">AD18-AC18</f>
        <v>319438.585551795</v>
      </c>
      <c r="AE19" s="0" t="n">
        <f aca="false">AE18-AD18</f>
        <v>-54424.3490133863</v>
      </c>
      <c r="AF19" s="0" t="n">
        <f aca="false">AF18-AE18</f>
        <v>0</v>
      </c>
      <c r="AG19" s="0" t="n">
        <f aca="false">AG18-AF18</f>
        <v>-706057.811999815</v>
      </c>
      <c r="AH19" s="0" t="n">
        <f aca="false">AH18-AG18</f>
        <v>338892.395411899</v>
      </c>
      <c r="AI19" s="0" t="n">
        <f aca="false">AI18-AH18</f>
        <v>-87109.4661373328</v>
      </c>
      <c r="AJ19" s="0" t="n">
        <f aca="false">AJ18-AI18</f>
        <v>1008393.14990341</v>
      </c>
      <c r="AK19" s="0" t="n">
        <f aca="false">AK18-AJ18</f>
        <v>289588.211649904</v>
      </c>
      <c r="AL19" s="0" t="n">
        <f aca="false">AL18-AK18</f>
        <v>359530.942292484</v>
      </c>
      <c r="AM19" s="0" t="n">
        <f aca="false">AM18-AL18</f>
        <v>-61255.0842930805</v>
      </c>
      <c r="AN19" s="0" t="n">
        <f aca="false">AN18-AM18</f>
        <v>0</v>
      </c>
      <c r="AO19" s="0" t="n">
        <f aca="false">AO18-AN18</f>
        <v>307224.133739384</v>
      </c>
      <c r="AP19" s="0" t="n">
        <f aca="false">AP18-AO18</f>
        <v>381426.376678096</v>
      </c>
      <c r="AQ19" s="0" t="n">
        <f aca="false">AQ18-AP18</f>
        <v>-807071.725108026</v>
      </c>
      <c r="AR19" s="0" t="n">
        <f aca="false">AR18-AQ18</f>
        <v>0</v>
      </c>
      <c r="AS19" s="0" t="n">
        <f aca="false">AS18-AR18</f>
        <v>303671.497298667</v>
      </c>
      <c r="AT19" s="0" t="n">
        <f aca="false">AT18-AS18</f>
        <v>1169004.03538474</v>
      </c>
      <c r="AU19" s="0" t="n">
        <f aca="false">AU18-AT18</f>
        <v>-11595058.7759723</v>
      </c>
      <c r="AV19" s="0" t="n">
        <f aca="false">AV18-AU18</f>
        <v>0</v>
      </c>
      <c r="AW19" s="0" t="n">
        <f aca="false">AW18-AV18</f>
        <v>0</v>
      </c>
      <c r="AX19" s="0" t="n">
        <f aca="false">AX18-AW18</f>
        <v>0</v>
      </c>
      <c r="AY19" s="0" t="n">
        <f aca="false">AY18-AX18</f>
        <v>0</v>
      </c>
      <c r="AZ19" s="0" t="n">
        <f aca="false">AZ18-AY18</f>
        <v>0</v>
      </c>
      <c r="BA19" s="0" t="n">
        <f aca="false">BA18-AZ18</f>
        <v>0</v>
      </c>
      <c r="BB19" s="0" t="n">
        <f aca="false">BB18-BA18</f>
        <v>0</v>
      </c>
      <c r="BC19" s="0" t="n">
        <f aca="false">BC18-BB18</f>
        <v>0</v>
      </c>
      <c r="BD19" s="0" t="n">
        <f aca="false">BD18-BC18</f>
        <v>0</v>
      </c>
      <c r="BE19" s="0" t="n">
        <f aca="false">BE18-BD18</f>
        <v>0</v>
      </c>
    </row>
    <row r="20" customFormat="false" ht="15" hidden="false" customHeight="false" outlineLevel="0" collapsed="false">
      <c r="A20" s="0" t="s">
        <v>37</v>
      </c>
      <c r="B20" s="0" t="n">
        <f aca="false">0</f>
        <v>0</v>
      </c>
      <c r="C20" s="0" t="n">
        <f aca="false">IF(C$3&lt;=Inputs!$B$6,SUM($B$5:C5),B20-C21)</f>
        <v>29600000</v>
      </c>
      <c r="D20" s="0" t="n">
        <f aca="false">IF(D$3&lt;=Inputs!$B$6,SUM($B$5:D5),C20-D21)</f>
        <v>59200000</v>
      </c>
      <c r="E20" s="0" t="n">
        <f aca="false">IF(E$3&lt;=Inputs!$B$6,SUM($B$5:E5),D20-E21)</f>
        <v>88800000</v>
      </c>
      <c r="F20" s="0" t="n">
        <f aca="false">IF(F$3&lt;=Inputs!$B$6,SUM($B$5:F5),E20-F21)</f>
        <v>118400000</v>
      </c>
      <c r="G20" s="0" t="n">
        <f aca="false">IF(G$3&lt;=Inputs!$B$6,SUM($B$5:G5),F20-G21)</f>
        <v>148000000</v>
      </c>
      <c r="H20" s="0" t="n">
        <f aca="false">IF(H$3&lt;=Inputs!$B$6,SUM($B$5:H5),G20-H21)</f>
        <v>143560000</v>
      </c>
      <c r="I20" s="0" t="n">
        <f aca="false">IF(I$3&lt;=Inputs!$B$6,SUM($B$5:I5),H20-I21)</f>
        <v>139253200</v>
      </c>
      <c r="J20" s="0" t="n">
        <f aca="false">IF(J$3&lt;=Inputs!$B$6,SUM($B$5:J5),I20-J21)</f>
        <v>135075604</v>
      </c>
      <c r="K20" s="0" t="n">
        <f aca="false">IF(K$3&lt;=Inputs!$B$6,SUM($B$5:K5),J20-K21)</f>
        <v>131023335.88</v>
      </c>
      <c r="L20" s="0" t="n">
        <f aca="false">IF(L$3&lt;=Inputs!$B$6,SUM($B$5:L5),K20-L21)</f>
        <v>127092635.8036</v>
      </c>
      <c r="M20" s="0" t="n">
        <f aca="false">IF(M$3&lt;=Inputs!$B$6,SUM($B$5:M5),L20-M21)</f>
        <v>123279856.729492</v>
      </c>
      <c r="N20" s="0" t="n">
        <f aca="false">IF(N$3&lt;=Inputs!$B$6,SUM($B$5:N5),M20-N21)</f>
        <v>119581461.027607</v>
      </c>
      <c r="O20" s="0" t="n">
        <f aca="false">IF(O$3&lt;=Inputs!$B$6,SUM($B$5:O5),N20-O21)</f>
        <v>115994017.196779</v>
      </c>
      <c r="P20" s="0" t="n">
        <f aca="false">IF(P$3&lt;=Inputs!$B$6,SUM($B$5:P5),O20-P21)</f>
        <v>112514196.680876</v>
      </c>
      <c r="Q20" s="0" t="n">
        <f aca="false">IF(Q$3&lt;=Inputs!$B$6,SUM($B$5:Q5),P20-Q21)</f>
        <v>109138770.780449</v>
      </c>
      <c r="R20" s="0" t="n">
        <f aca="false">IF(R$3&lt;=Inputs!$B$6,SUM($B$5:R5),Q20-R21)</f>
        <v>105864607.657036</v>
      </c>
      <c r="S20" s="0" t="n">
        <f aca="false">IF(S$3&lt;=Inputs!$B$6,SUM($B$5:S5),R20-S21)</f>
        <v>102688669.427325</v>
      </c>
      <c r="T20" s="0" t="n">
        <f aca="false">IF(T$3&lt;=Inputs!$B$6,SUM($B$5:T5),S20-T21)</f>
        <v>99608009.3445051</v>
      </c>
      <c r="U20" s="0" t="n">
        <f aca="false">IF(U$3&lt;=Inputs!$B$6,SUM($B$5:U5),T20-U21)</f>
        <v>96619769.0641699</v>
      </c>
      <c r="V20" s="0" t="n">
        <f aca="false">IF(V$3&lt;=Inputs!$B$6,SUM($B$5:V5),U20-V21)</f>
        <v>93721175.9922448</v>
      </c>
      <c r="W20" s="0" t="n">
        <f aca="false">IF(W$3&lt;=Inputs!$B$6,SUM($B$5:W5),V20-W21)</f>
        <v>90909540.7124775</v>
      </c>
      <c r="X20" s="0" t="n">
        <f aca="false">IF(X$3&lt;=Inputs!$B$6,SUM($B$5:X5),W20-X21)</f>
        <v>88182254.4911031</v>
      </c>
      <c r="Y20" s="0" t="n">
        <f aca="false">IF(Y$3&lt;=Inputs!$B$6,SUM($B$5:Y5),X20-Y21)</f>
        <v>85536786.8563701</v>
      </c>
      <c r="Z20" s="0" t="n">
        <f aca="false">IF(Z$3&lt;=Inputs!$B$6,SUM($B$5:Z5),Y20-Z21)</f>
        <v>82970683.2506789</v>
      </c>
      <c r="AA20" s="0" t="n">
        <f aca="false">IF(AA$3&lt;=Inputs!$B$6,SUM($B$5:AA5),Z20-AA21)</f>
        <v>80481562.7531586</v>
      </c>
      <c r="AB20" s="0" t="n">
        <f aca="false">IF(AB$3&lt;=Inputs!$B$6,SUM($B$5:AB5),AA20-AB21)</f>
        <v>78067115.8705638</v>
      </c>
      <c r="AC20" s="0" t="n">
        <f aca="false">IF(AC$3&lt;=Inputs!$B$6,SUM($B$5:AC5),AB20-AC21)</f>
        <v>75725102.3944469</v>
      </c>
      <c r="AD20" s="0" t="n">
        <f aca="false">IF(AD$3&lt;=Inputs!$B$6,SUM($B$5:AD5),AC20-AD21)</f>
        <v>73453349.3226135</v>
      </c>
      <c r="AE20" s="0" t="n">
        <f aca="false">IF(AE$3&lt;=Inputs!$B$6,SUM($B$5:AE5),AD20-AE21)</f>
        <v>71249748.8429351</v>
      </c>
      <c r="AF20" s="0" t="n">
        <f aca="false">IF(AF$3&lt;=Inputs!$B$6,SUM($B$5:AF5),AE20-AF21)</f>
        <v>69112256.377647</v>
      </c>
      <c r="AG20" s="0" t="n">
        <f aca="false">IF(AG$3&lt;=Inputs!$B$6,SUM($B$5:AG5),AF20-AG21)</f>
        <v>67038888.6863176</v>
      </c>
      <c r="AH20" s="0" t="n">
        <f aca="false">IF(AH$3&lt;=Inputs!$B$6,SUM($B$5:AH5),AG20-AH21)</f>
        <v>65027722.0257281</v>
      </c>
      <c r="AI20" s="0" t="n">
        <f aca="false">IF(AI$3&lt;=Inputs!$B$6,SUM($B$5:AI5),AH20-AI21)</f>
        <v>63076890.3649562</v>
      </c>
      <c r="AJ20" s="0" t="n">
        <f aca="false">IF(AJ$3&lt;=Inputs!$B$6,SUM($B$5:AJ5),AI20-AJ21)</f>
        <v>61184583.6540076</v>
      </c>
      <c r="AK20" s="0" t="n">
        <f aca="false">IF(AK$3&lt;=Inputs!$B$6,SUM($B$5:AK5),AJ20-AK21)</f>
        <v>59349046.1443873</v>
      </c>
      <c r="AL20" s="0" t="n">
        <f aca="false">IF(AL$3&lt;=Inputs!$B$6,SUM($B$5:AL5),AK20-AL21)</f>
        <v>57568574.7600557</v>
      </c>
      <c r="AM20" s="0" t="n">
        <f aca="false">IF(AM$3&lt;=Inputs!$B$6,SUM($B$5:AM5),AL20-AM21)</f>
        <v>55841517.517254</v>
      </c>
      <c r="AN20" s="0" t="n">
        <f aca="false">IF(AN$3&lt;=Inputs!$B$6,SUM($B$5:AN5),AM20-AN21)</f>
        <v>54166271.9917364</v>
      </c>
      <c r="AO20" s="0" t="n">
        <f aca="false">IF(AO$3&lt;=Inputs!$B$6,SUM($B$5:AO5),AN20-AO21)</f>
        <v>52541283.8319843</v>
      </c>
      <c r="AP20" s="0" t="n">
        <f aca="false">IF(AP$3&lt;=Inputs!$B$6,SUM($B$5:AP5),AO20-AP21)</f>
        <v>50965045.3170248</v>
      </c>
      <c r="AQ20" s="0" t="n">
        <f aca="false">IF(AQ$3&lt;=Inputs!$B$6,SUM($B$5:AQ5),AP20-AQ21)</f>
        <v>49436093.9575141</v>
      </c>
      <c r="AR20" s="0" t="n">
        <f aca="false">IF(AR$3&lt;=Inputs!$B$6,SUM($B$5:AR5),AQ20-AR21)</f>
        <v>47953011.1387886</v>
      </c>
      <c r="AS20" s="0" t="n">
        <f aca="false">IF(AS$3&lt;=Inputs!$B$6,SUM($B$5:AS5),AR20-AS21)</f>
        <v>46514420.804625</v>
      </c>
      <c r="AT20" s="0" t="n">
        <f aca="false">IF(AT$3&lt;=Inputs!$B$6,SUM($B$5:AT5),AS20-AT21)</f>
        <v>45118988.1804862</v>
      </c>
      <c r="AU20" s="0" t="n">
        <f aca="false">IF(AU$3&lt;=Inputs!$B$6,SUM($B$5:AU5),AT20-AU21)</f>
        <v>43765418.5350716</v>
      </c>
      <c r="AV20" s="0" t="n">
        <f aca="false">IF(AV$3&lt;=Inputs!$B$6,SUM($B$5:AV5),AU20-AV21)</f>
        <v>42452455.9790195</v>
      </c>
      <c r="AW20" s="0" t="n">
        <f aca="false">IF(AW$3&lt;=Inputs!$B$6,SUM($B$5:AW5),AV20-AW21)</f>
        <v>41178882.2996489</v>
      </c>
      <c r="AX20" s="0" t="n">
        <f aca="false">IF(AX$3&lt;=Inputs!$B$6,SUM($B$5:AX5),AW20-AX21)</f>
        <v>39943515.8306594</v>
      </c>
      <c r="AY20" s="0" t="n">
        <f aca="false">IF(AY$3&lt;=Inputs!$B$6,SUM($B$5:AY5),AX20-AY21)</f>
        <v>38745210.3557397</v>
      </c>
      <c r="AZ20" s="0" t="n">
        <f aca="false">IF(AZ$3&lt;=Inputs!$B$6,SUM($B$5:AZ5),AY20-AZ21)</f>
        <v>37582854.0450675</v>
      </c>
      <c r="BA20" s="0" t="n">
        <f aca="false">IF(BA$3&lt;=Inputs!$B$6,SUM($B$5:BA5),AZ20-BA21)</f>
        <v>36455368.4237154</v>
      </c>
      <c r="BB20" s="0" t="n">
        <f aca="false">IF(BB$3&lt;=Inputs!$B$6,SUM($B$5:BB5),BA20-BB21)</f>
        <v>35361707.371004</v>
      </c>
      <c r="BC20" s="0" t="n">
        <f aca="false">IF(BC$3&lt;=Inputs!$B$6,SUM($B$5:BC5),BB20-BC21)</f>
        <v>34300856.1498739</v>
      </c>
      <c r="BD20" s="0" t="n">
        <f aca="false">IF(BD$3&lt;=Inputs!$B$6,SUM($B$5:BD5),BC20-BD21)</f>
        <v>33271830.4653776</v>
      </c>
      <c r="BE20" s="0" t="n">
        <f aca="false">IF(BE$3&lt;=Inputs!$B$6,SUM($B$5:BE5),BD20-BE21)</f>
        <v>32273675.5514163</v>
      </c>
    </row>
    <row r="21" customFormat="false" ht="15" hidden="false" customHeight="false" outlineLevel="0" collapsed="false">
      <c r="A21" s="0" t="s">
        <v>38</v>
      </c>
      <c r="B21" s="0" t="n">
        <f aca="false">0</f>
        <v>0</v>
      </c>
      <c r="C21" s="0" t="n">
        <f aca="false">IF(C$3&gt;Inputs!$B$6,B20*Inputs!$B$16/2,0)</f>
        <v>0</v>
      </c>
      <c r="D21" s="0" t="n">
        <f aca="false">IF(D$3&gt;Inputs!$B$6,C20*Inputs!$B$16/2,0)</f>
        <v>0</v>
      </c>
      <c r="E21" s="0" t="n">
        <f aca="false">IF(E$3&gt;Inputs!$B$6,D20*Inputs!$B$16/2,0)</f>
        <v>0</v>
      </c>
      <c r="F21" s="0" t="n">
        <f aca="false">IF(F$3&gt;Inputs!$B$6,E20*Inputs!$B$16/2,0)</f>
        <v>0</v>
      </c>
      <c r="G21" s="0" t="n">
        <f aca="false">IF(G$3&gt;Inputs!$B$6,F20*Inputs!$B$16/2,0)</f>
        <v>0</v>
      </c>
      <c r="H21" s="0" t="n">
        <f aca="false">IF(H$3&gt;Inputs!$B$6,G20*Inputs!$B$16/2,0)</f>
        <v>4440000</v>
      </c>
      <c r="I21" s="0" t="n">
        <f aca="false">IF(I$3&gt;Inputs!$B$6,H20*Inputs!$B$16/2,0)</f>
        <v>4306800</v>
      </c>
      <c r="J21" s="0" t="n">
        <f aca="false">IF(J$3&gt;Inputs!$B$6,I20*Inputs!$B$16/2,0)</f>
        <v>4177596</v>
      </c>
      <c r="K21" s="0" t="n">
        <f aca="false">IF(K$3&gt;Inputs!$B$6,J20*Inputs!$B$16/2,0)</f>
        <v>4052268.12</v>
      </c>
      <c r="L21" s="0" t="n">
        <f aca="false">IF(L$3&gt;Inputs!$B$6,K20*Inputs!$B$16/2,0)</f>
        <v>3930700.0764</v>
      </c>
      <c r="M21" s="0" t="n">
        <f aca="false">IF(M$3&gt;Inputs!$B$6,L20*Inputs!$B$16/2,0)</f>
        <v>3812779.074108</v>
      </c>
      <c r="N21" s="0" t="n">
        <f aca="false">IF(N$3&gt;Inputs!$B$6,M20*Inputs!$B$16/2,0)</f>
        <v>3698395.70188476</v>
      </c>
      <c r="O21" s="0" t="n">
        <f aca="false">IF(O$3&gt;Inputs!$B$6,N20*Inputs!$B$16/2,0)</f>
        <v>3587443.83082822</v>
      </c>
      <c r="P21" s="0" t="n">
        <f aca="false">IF(P$3&gt;Inputs!$B$6,O20*Inputs!$B$16/2,0)</f>
        <v>3479820.51590337</v>
      </c>
      <c r="Q21" s="0" t="n">
        <f aca="false">IF(Q$3&gt;Inputs!$B$6,P20*Inputs!$B$16/2,0)</f>
        <v>3375425.90042627</v>
      </c>
      <c r="R21" s="0" t="n">
        <f aca="false">IF(R$3&gt;Inputs!$B$6,Q20*Inputs!$B$16/2,0)</f>
        <v>3274163.12341348</v>
      </c>
      <c r="S21" s="0" t="n">
        <f aca="false">IF(S$3&gt;Inputs!$B$6,R20*Inputs!$B$16/2,0)</f>
        <v>3175938.22971108</v>
      </c>
      <c r="T21" s="0" t="n">
        <f aca="false">IF(T$3&gt;Inputs!$B$6,S20*Inputs!$B$16/2,0)</f>
        <v>3080660.08281974</v>
      </c>
      <c r="U21" s="0" t="n">
        <f aca="false">IF(U$3&gt;Inputs!$B$6,T20*Inputs!$B$16/2,0)</f>
        <v>2988240.28033515</v>
      </c>
      <c r="V21" s="0" t="n">
        <f aca="false">IF(V$3&gt;Inputs!$B$6,U20*Inputs!$B$16/2,0)</f>
        <v>2898593.0719251</v>
      </c>
      <c r="W21" s="0" t="n">
        <f aca="false">IF(W$3&gt;Inputs!$B$6,V20*Inputs!$B$16/2,0)</f>
        <v>2811635.27976734</v>
      </c>
      <c r="X21" s="0" t="n">
        <f aca="false">IF(X$3&gt;Inputs!$B$6,W20*Inputs!$B$16/2,0)</f>
        <v>2727286.22137432</v>
      </c>
      <c r="Y21" s="0" t="n">
        <f aca="false">IF(Y$3&gt;Inputs!$B$6,X20*Inputs!$B$16/2,0)</f>
        <v>2645467.63473309</v>
      </c>
      <c r="Z21" s="0" t="n">
        <f aca="false">IF(Z$3&gt;Inputs!$B$6,Y20*Inputs!$B$16/2,0)</f>
        <v>2566103.6056911</v>
      </c>
      <c r="AA21" s="0" t="n">
        <f aca="false">IF(AA$3&gt;Inputs!$B$6,Z20*Inputs!$B$16/2,0)</f>
        <v>2489120.49752037</v>
      </c>
      <c r="AB21" s="0" t="n">
        <f aca="false">IF(AB$3&gt;Inputs!$B$6,AA20*Inputs!$B$16/2,0)</f>
        <v>2414446.88259476</v>
      </c>
      <c r="AC21" s="0" t="n">
        <f aca="false">IF(AC$3&gt;Inputs!$B$6,AB20*Inputs!$B$16/2,0)</f>
        <v>2342013.47611691</v>
      </c>
      <c r="AD21" s="0" t="n">
        <f aca="false">IF(AD$3&gt;Inputs!$B$6,AC20*Inputs!$B$16/2,0)</f>
        <v>2271753.07183341</v>
      </c>
      <c r="AE21" s="0" t="n">
        <f aca="false">IF(AE$3&gt;Inputs!$B$6,AD20*Inputs!$B$16/2,0)</f>
        <v>2203600.4796784</v>
      </c>
      <c r="AF21" s="0" t="n">
        <f aca="false">IF(AF$3&gt;Inputs!$B$6,AE20*Inputs!$B$16/2,0)</f>
        <v>2137492.46528805</v>
      </c>
      <c r="AG21" s="0" t="n">
        <f aca="false">IF(AG$3&gt;Inputs!$B$6,AF20*Inputs!$B$16/2,0)</f>
        <v>2073367.69132941</v>
      </c>
      <c r="AH21" s="0" t="n">
        <f aca="false">IF(AH$3&gt;Inputs!$B$6,AG20*Inputs!$B$16/2,0)</f>
        <v>2011166.66058953</v>
      </c>
      <c r="AI21" s="0" t="n">
        <f aca="false">IF(AI$3&gt;Inputs!$B$6,AH20*Inputs!$B$16/2,0)</f>
        <v>1950831.66077184</v>
      </c>
      <c r="AJ21" s="0" t="n">
        <f aca="false">IF(AJ$3&gt;Inputs!$B$6,AI20*Inputs!$B$16/2,0)</f>
        <v>1892306.71094869</v>
      </c>
      <c r="AK21" s="0" t="n">
        <f aca="false">IF(AK$3&gt;Inputs!$B$6,AJ20*Inputs!$B$16/2,0)</f>
        <v>1835537.50962023</v>
      </c>
      <c r="AL21" s="0" t="n">
        <f aca="false">IF(AL$3&gt;Inputs!$B$6,AK20*Inputs!$B$16/2,0)</f>
        <v>1780471.38433162</v>
      </c>
      <c r="AM21" s="0" t="n">
        <f aca="false">IF(AM$3&gt;Inputs!$B$6,AL20*Inputs!$B$16/2,0)</f>
        <v>1727057.24280167</v>
      </c>
      <c r="AN21" s="0" t="n">
        <f aca="false">IF(AN$3&gt;Inputs!$B$6,AM20*Inputs!$B$16/2,0)</f>
        <v>1675245.52551762</v>
      </c>
      <c r="AO21" s="0" t="n">
        <f aca="false">IF(AO$3&gt;Inputs!$B$6,AN20*Inputs!$B$16/2,0)</f>
        <v>1624988.15975209</v>
      </c>
      <c r="AP21" s="0" t="n">
        <f aca="false">IF(AP$3&gt;Inputs!$B$6,AO20*Inputs!$B$16/2,0)</f>
        <v>1576238.51495953</v>
      </c>
      <c r="AQ21" s="0" t="n">
        <f aca="false">IF(AQ$3&gt;Inputs!$B$6,AP20*Inputs!$B$16/2,0)</f>
        <v>1528951.35951074</v>
      </c>
      <c r="AR21" s="0" t="n">
        <f aca="false">IF(AR$3&gt;Inputs!$B$6,AQ20*Inputs!$B$16/2,0)</f>
        <v>1483082.81872542</v>
      </c>
      <c r="AS21" s="0" t="n">
        <f aca="false">IF(AS$3&gt;Inputs!$B$6,AR20*Inputs!$B$16/2,0)</f>
        <v>1438590.33416366</v>
      </c>
      <c r="AT21" s="0" t="n">
        <f aca="false">IF(AT$3&gt;Inputs!$B$6,AS20*Inputs!$B$16/2,0)</f>
        <v>1395432.62413875</v>
      </c>
      <c r="AU21" s="0" t="n">
        <f aca="false">IF(AU$3&gt;Inputs!$B$6,AT20*Inputs!$B$16/2,0)</f>
        <v>1353569.64541459</v>
      </c>
      <c r="AV21" s="0" t="n">
        <f aca="false">IF(AV$3&gt;Inputs!$B$6,AU20*Inputs!$B$16/2,0)</f>
        <v>1312962.55605215</v>
      </c>
      <c r="AW21" s="0" t="n">
        <f aca="false">IF(AW$3&gt;Inputs!$B$6,AV20*Inputs!$B$16/2,0)</f>
        <v>1273573.67937058</v>
      </c>
      <c r="AX21" s="0" t="n">
        <f aca="false">IF(AX$3&gt;Inputs!$B$6,AW20*Inputs!$B$16/2,0)</f>
        <v>1235366.46898947</v>
      </c>
      <c r="AY21" s="0" t="n">
        <f aca="false">IF(AY$3&gt;Inputs!$B$6,AX20*Inputs!$B$16/2,0)</f>
        <v>1198305.47491978</v>
      </c>
      <c r="AZ21" s="0" t="n">
        <f aca="false">IF(AZ$3&gt;Inputs!$B$6,AY20*Inputs!$B$16/2,0)</f>
        <v>1162356.31067219</v>
      </c>
      <c r="BA21" s="0" t="n">
        <f aca="false">IF(BA$3&gt;Inputs!$B$6,AZ20*Inputs!$B$16/2,0)</f>
        <v>1127485.62135202</v>
      </c>
      <c r="BB21" s="0" t="n">
        <f aca="false">IF(BB$3&gt;Inputs!$B$6,BA20*Inputs!$B$16/2,0)</f>
        <v>1093661.05271146</v>
      </c>
      <c r="BC21" s="0" t="n">
        <f aca="false">IF(BC$3&gt;Inputs!$B$6,BB20*Inputs!$B$16/2,0)</f>
        <v>1060851.22113012</v>
      </c>
      <c r="BD21" s="0" t="n">
        <f aca="false">IF(BD$3&gt;Inputs!$B$6,BC20*Inputs!$B$16/2,0)</f>
        <v>1029025.68449622</v>
      </c>
      <c r="BE21" s="0" t="n">
        <f aca="false">IF(BE$3&gt;Inputs!$B$6,BD20*Inputs!$B$16/2,0)</f>
        <v>998154.913961329</v>
      </c>
    </row>
    <row r="22" customFormat="false" ht="15" hidden="false" customHeight="false" outlineLevel="0" collapsed="false">
      <c r="A22" s="0" t="s">
        <v>39</v>
      </c>
      <c r="B22" s="0" t="n">
        <f aca="false">B13-B16-B21</f>
        <v>0</v>
      </c>
      <c r="C22" s="0" t="n">
        <f aca="false">C13-C16-C21</f>
        <v>0</v>
      </c>
      <c r="D22" s="0" t="n">
        <f aca="false">D13-D16-D21</f>
        <v>0</v>
      </c>
      <c r="E22" s="0" t="n">
        <f aca="false">E13-E16-E21</f>
        <v>0</v>
      </c>
      <c r="F22" s="0" t="n">
        <f aca="false">F13-F16-F21</f>
        <v>0</v>
      </c>
      <c r="G22" s="0" t="n">
        <f aca="false">G13-G16-G21</f>
        <v>0</v>
      </c>
      <c r="H22" s="0" t="n">
        <f aca="false">H13-H16-H21</f>
        <v>585450</v>
      </c>
      <c r="I22" s="0" t="n">
        <f aca="false">I13-I16-I21</f>
        <v>799534.2</v>
      </c>
      <c r="J22" s="0" t="n">
        <f aca="false">J13-J16-J21</f>
        <v>1260612.8892</v>
      </c>
      <c r="K22" s="0" t="n">
        <f aca="false">K13-K16-K21</f>
        <v>1785063.3753192</v>
      </c>
      <c r="L22" s="0" t="n">
        <f aca="false">L13-L16-L21</f>
        <v>1952631.3377975</v>
      </c>
      <c r="M22" s="0" t="n">
        <f aca="false">M13-M16-M21</f>
        <v>2170710.00710863</v>
      </c>
      <c r="N22" s="0" t="n">
        <f aca="false">N13-N16-N21</f>
        <v>1704869.82777684</v>
      </c>
      <c r="O22" s="0" t="n">
        <f aca="false">O13-O16-O21</f>
        <v>2235413.66476208</v>
      </c>
      <c r="P22" s="0" t="n">
        <f aca="false">P13-P16-P21</f>
        <v>2359490.41734228</v>
      </c>
      <c r="Q22" s="0" t="n">
        <f aca="false">Q13-Q16-Q21</f>
        <v>3540975.71677266</v>
      </c>
      <c r="R22" s="0" t="n">
        <f aca="false">R13-R16-R21</f>
        <v>4046164.99499172</v>
      </c>
      <c r="S22" s="0" t="n">
        <f aca="false">S13-S16-S21</f>
        <v>4624794.87682919</v>
      </c>
      <c r="T22" s="0" t="n">
        <f aca="false">T13-T16-T21</f>
        <v>4803846.2298007</v>
      </c>
      <c r="U22" s="0" t="n">
        <f aca="false">U13-U16-U21</f>
        <v>5041826.25822295</v>
      </c>
      <c r="V22" s="0" t="n">
        <f aca="false">V13-V16-V21</f>
        <v>5578002.94939741</v>
      </c>
      <c r="W22" s="0" t="n">
        <f aca="false">W13-W16-W21</f>
        <v>6193094.35140083</v>
      </c>
      <c r="X22" s="0" t="n">
        <f aca="false">X13-X16-X21</f>
        <v>5667434.25351076</v>
      </c>
      <c r="Y22" s="0" t="n">
        <f aca="false">Y13-Y16-Y21</f>
        <v>5908765.94304944</v>
      </c>
      <c r="Z22" s="0" t="n">
        <f aca="false">Z13-Z16-Z21</f>
        <v>6445538.562912</v>
      </c>
      <c r="AA22" s="0" t="n">
        <f aca="false">AA13-AA16-AA21</f>
        <v>7827115.67511872</v>
      </c>
      <c r="AB22" s="0" t="n">
        <f aca="false">AB13-AB16-AB21</f>
        <v>8036024.27228552</v>
      </c>
      <c r="AC22" s="0" t="n">
        <f aca="false">AC13-AC16-AC21</f>
        <v>8313273.13121745</v>
      </c>
      <c r="AD22" s="0" t="n">
        <f aca="false">AD13-AD16-AD21</f>
        <v>8928158.17758286</v>
      </c>
      <c r="AE22" s="0" t="n">
        <f aca="false">AE13-AE16-AE21</f>
        <v>9633874.92194003</v>
      </c>
      <c r="AF22" s="0" t="n">
        <f aca="false">AF13-AF16-AF21</f>
        <v>9690976.29220956</v>
      </c>
      <c r="AG22" s="0" t="n">
        <f aca="false">AG13-AG16-AG21</f>
        <v>9755101.06616821</v>
      </c>
      <c r="AH22" s="0" t="n">
        <f aca="false">AH13-AH16-AH21</f>
        <v>8899426.94130833</v>
      </c>
      <c r="AI22" s="0" t="n">
        <f aca="false">AI13-AI16-AI21</f>
        <v>9400322.05516148</v>
      </c>
      <c r="AJ22" s="0" t="n">
        <f aca="false">AJ13-AJ16-AJ21</f>
        <v>9345604.69900611</v>
      </c>
      <c r="AK22" s="0" t="n">
        <f aca="false">AK13-AK16-AK21</f>
        <v>10713284.995209</v>
      </c>
      <c r="AL22" s="0" t="n">
        <f aca="false">AL13-AL16-AL21</f>
        <v>11144815.7956425</v>
      </c>
      <c r="AM22" s="0" t="n">
        <f aca="false">AM13-AM16-AM21</f>
        <v>11665620.1621527</v>
      </c>
      <c r="AN22" s="0" t="n">
        <f aca="false">AN13-AN16-AN21</f>
        <v>11637800.2698557</v>
      </c>
      <c r="AO22" s="0" t="n">
        <f aca="false">AO13-AO16-AO21</f>
        <v>11688057.6356212</v>
      </c>
      <c r="AP22" s="0" t="n">
        <f aca="false">AP13-AP16-AP21</f>
        <v>12136198.654275</v>
      </c>
      <c r="AQ22" s="0" t="n">
        <f aca="false">AQ13-AQ16-AQ21</f>
        <v>12679340.0994053</v>
      </c>
      <c r="AR22" s="0" t="n">
        <f aca="false">AR13-AR16-AR21</f>
        <v>11676015.3975502</v>
      </c>
      <c r="AS22" s="0" t="n">
        <f aca="false">AS13-AS16-AS21</f>
        <v>11720507.882112</v>
      </c>
      <c r="AT22" s="0" t="n">
        <f aca="false">AT13-AT16-AT21</f>
        <v>12158438.5386251</v>
      </c>
      <c r="AU22" s="0" t="n">
        <f aca="false">AU13-AU16-AU21</f>
        <v>13720006.7633494</v>
      </c>
      <c r="AV22" s="0" t="n">
        <f aca="false">AV13-AV16-AV21</f>
        <v>13670987.774574</v>
      </c>
      <c r="AW22" s="0" t="n">
        <f aca="false">AW13-AW16-AW21</f>
        <v>13710376.6512555</v>
      </c>
      <c r="AX22" s="0" t="n">
        <f aca="false">AX13-AX16-AX21</f>
        <v>14198102.3715554</v>
      </c>
      <c r="AY22" s="0" t="n">
        <f aca="false">AY13-AY16-AY21</f>
        <v>14793251.737138</v>
      </c>
      <c r="AZ22" s="0" t="n">
        <f aca="false">AZ13-AZ16-AZ21</f>
        <v>14734116.5950891</v>
      </c>
      <c r="BA22" s="0" t="n">
        <f aca="false">BA13-BA16-BA21</f>
        <v>14768987.2844092</v>
      </c>
      <c r="BB22" s="0" t="n">
        <f aca="false">BB13-BB16-BB21</f>
        <v>13569264.3972463</v>
      </c>
      <c r="BC22" s="0" t="n">
        <f aca="false">BC13-BC16-BC21</f>
        <v>14194150.1821656</v>
      </c>
      <c r="BD22" s="0" t="n">
        <f aca="false">BD13-BD16-BD21</f>
        <v>14073787.5289602</v>
      </c>
      <c r="BE22" s="0" t="n">
        <f aca="false">BE13-BE16-BE21</f>
        <v>15866413.1917608</v>
      </c>
    </row>
    <row r="23" customFormat="false" ht="15" hidden="false" customHeight="false" outlineLevel="0" collapsed="false">
      <c r="A23" s="0" t="s">
        <v>40</v>
      </c>
      <c r="B23" s="0" t="n">
        <f aca="false">MAX(0,B22)*Inputs!$B$17</f>
        <v>0</v>
      </c>
      <c r="C23" s="0" t="n">
        <f aca="false">MAX(0,C22)*Inputs!$B$17</f>
        <v>0</v>
      </c>
      <c r="D23" s="0" t="n">
        <f aca="false">MAX(0,D22)*Inputs!$B$17</f>
        <v>0</v>
      </c>
      <c r="E23" s="0" t="n">
        <f aca="false">MAX(0,E22)*Inputs!$B$17</f>
        <v>0</v>
      </c>
      <c r="F23" s="0" t="n">
        <f aca="false">MAX(0,F22)*Inputs!$B$17</f>
        <v>0</v>
      </c>
      <c r="G23" s="0" t="n">
        <f aca="false">MAX(0,G22)*Inputs!$B$17</f>
        <v>0</v>
      </c>
      <c r="H23" s="0" t="n">
        <f aca="false">MAX(0,H22)*Inputs!$B$17</f>
        <v>146362.5</v>
      </c>
      <c r="I23" s="0" t="n">
        <f aca="false">MAX(0,I22)*Inputs!$B$17</f>
        <v>199883.55</v>
      </c>
      <c r="J23" s="0" t="n">
        <f aca="false">MAX(0,J22)*Inputs!$B$17</f>
        <v>315153.2223</v>
      </c>
      <c r="K23" s="0" t="n">
        <f aca="false">MAX(0,K22)*Inputs!$B$17</f>
        <v>446265.8438298</v>
      </c>
      <c r="L23" s="0" t="n">
        <f aca="false">MAX(0,L22)*Inputs!$B$17</f>
        <v>488157.834449375</v>
      </c>
      <c r="M23" s="0" t="n">
        <f aca="false">MAX(0,M22)*Inputs!$B$17</f>
        <v>542677.501777159</v>
      </c>
      <c r="N23" s="0" t="n">
        <f aca="false">MAX(0,N22)*Inputs!$B$17</f>
        <v>426217.45694421</v>
      </c>
      <c r="O23" s="0" t="n">
        <f aca="false">MAX(0,O22)*Inputs!$B$17</f>
        <v>558853.416190521</v>
      </c>
      <c r="P23" s="0" t="n">
        <f aca="false">MAX(0,P22)*Inputs!$B$17</f>
        <v>589872.604335571</v>
      </c>
      <c r="Q23" s="0" t="n">
        <f aca="false">MAX(0,Q22)*Inputs!$B$17</f>
        <v>885243.929193166</v>
      </c>
      <c r="R23" s="0" t="n">
        <f aca="false">MAX(0,R22)*Inputs!$B$17</f>
        <v>1011541.24874793</v>
      </c>
      <c r="S23" s="0" t="n">
        <f aca="false">MAX(0,S22)*Inputs!$B$17</f>
        <v>1156198.7192073</v>
      </c>
      <c r="T23" s="0" t="n">
        <f aca="false">MAX(0,T22)*Inputs!$B$17</f>
        <v>1200961.55745018</v>
      </c>
      <c r="U23" s="0" t="n">
        <f aca="false">MAX(0,U22)*Inputs!$B$17</f>
        <v>1260456.56455574</v>
      </c>
      <c r="V23" s="0" t="n">
        <f aca="false">MAX(0,V22)*Inputs!$B$17</f>
        <v>1394500.73734935</v>
      </c>
      <c r="W23" s="0" t="n">
        <f aca="false">MAX(0,W22)*Inputs!$B$17</f>
        <v>1548273.58785021</v>
      </c>
      <c r="X23" s="0" t="n">
        <f aca="false">MAX(0,X22)*Inputs!$B$17</f>
        <v>1416858.56337769</v>
      </c>
      <c r="Y23" s="0" t="n">
        <f aca="false">MAX(0,Y22)*Inputs!$B$17</f>
        <v>1477191.48576236</v>
      </c>
      <c r="Z23" s="0" t="n">
        <f aca="false">MAX(0,Z22)*Inputs!$B$17</f>
        <v>1611384.640728</v>
      </c>
      <c r="AA23" s="0" t="n">
        <f aca="false">MAX(0,AA22)*Inputs!$B$17</f>
        <v>1956778.91877968</v>
      </c>
      <c r="AB23" s="0" t="n">
        <f aca="false">MAX(0,AB22)*Inputs!$B$17</f>
        <v>2009006.06807138</v>
      </c>
      <c r="AC23" s="0" t="n">
        <f aca="false">MAX(0,AC22)*Inputs!$B$17</f>
        <v>2078318.28280436</v>
      </c>
      <c r="AD23" s="0" t="n">
        <f aca="false">MAX(0,AD22)*Inputs!$B$17</f>
        <v>2232039.54439571</v>
      </c>
      <c r="AE23" s="0" t="n">
        <f aca="false">MAX(0,AE22)*Inputs!$B$17</f>
        <v>2408468.73048501</v>
      </c>
      <c r="AF23" s="0" t="n">
        <f aca="false">MAX(0,AF22)*Inputs!$B$17</f>
        <v>2422744.07305239</v>
      </c>
      <c r="AG23" s="0" t="n">
        <f aca="false">MAX(0,AG22)*Inputs!$B$17</f>
        <v>2438775.26654205</v>
      </c>
      <c r="AH23" s="0" t="n">
        <f aca="false">MAX(0,AH22)*Inputs!$B$17</f>
        <v>2224856.73532708</v>
      </c>
      <c r="AI23" s="0" t="n">
        <f aca="false">MAX(0,AI22)*Inputs!$B$17</f>
        <v>2350080.51379037</v>
      </c>
      <c r="AJ23" s="0" t="n">
        <f aca="false">MAX(0,AJ22)*Inputs!$B$17</f>
        <v>2336401.17475153</v>
      </c>
      <c r="AK23" s="0" t="n">
        <f aca="false">MAX(0,AK22)*Inputs!$B$17</f>
        <v>2678321.24880225</v>
      </c>
      <c r="AL23" s="0" t="n">
        <f aca="false">MAX(0,AL22)*Inputs!$B$17</f>
        <v>2786203.94891062</v>
      </c>
      <c r="AM23" s="0" t="n">
        <f aca="false">MAX(0,AM22)*Inputs!$B$17</f>
        <v>2916405.04053816</v>
      </c>
      <c r="AN23" s="0" t="n">
        <f aca="false">MAX(0,AN22)*Inputs!$B$17</f>
        <v>2909450.06746393</v>
      </c>
      <c r="AO23" s="0" t="n">
        <f aca="false">MAX(0,AO22)*Inputs!$B$17</f>
        <v>2922014.40890531</v>
      </c>
      <c r="AP23" s="0" t="n">
        <f aca="false">MAX(0,AP22)*Inputs!$B$17</f>
        <v>3034049.66356875</v>
      </c>
      <c r="AQ23" s="0" t="n">
        <f aca="false">MAX(0,AQ22)*Inputs!$B$17</f>
        <v>3169835.02485133</v>
      </c>
      <c r="AR23" s="0" t="n">
        <f aca="false">MAX(0,AR22)*Inputs!$B$17</f>
        <v>2919003.84938755</v>
      </c>
      <c r="AS23" s="0" t="n">
        <f aca="false">MAX(0,AS22)*Inputs!$B$17</f>
        <v>2930126.97052799</v>
      </c>
      <c r="AT23" s="0" t="n">
        <f aca="false">MAX(0,AT22)*Inputs!$B$17</f>
        <v>3039609.63465628</v>
      </c>
      <c r="AU23" s="0" t="n">
        <f aca="false">MAX(0,AU22)*Inputs!$B$17</f>
        <v>3430001.69083736</v>
      </c>
      <c r="AV23" s="0" t="n">
        <f aca="false">MAX(0,AV22)*Inputs!$B$17</f>
        <v>3417746.9436435</v>
      </c>
      <c r="AW23" s="0" t="n">
        <f aca="false">MAX(0,AW22)*Inputs!$B$17</f>
        <v>3427594.16281389</v>
      </c>
      <c r="AX23" s="0" t="n">
        <f aca="false">MAX(0,AX22)*Inputs!$B$17</f>
        <v>3549525.59288886</v>
      </c>
      <c r="AY23" s="0" t="n">
        <f aca="false">MAX(0,AY22)*Inputs!$B$17</f>
        <v>3698312.9342845</v>
      </c>
      <c r="AZ23" s="0" t="n">
        <f aca="false">MAX(0,AZ22)*Inputs!$B$17</f>
        <v>3683529.14877227</v>
      </c>
      <c r="BA23" s="0" t="n">
        <f aca="false">MAX(0,BA22)*Inputs!$B$17</f>
        <v>3692246.82110231</v>
      </c>
      <c r="BB23" s="0" t="n">
        <f aca="false">MAX(0,BB22)*Inputs!$B$17</f>
        <v>3392316.09931156</v>
      </c>
      <c r="BC23" s="0" t="n">
        <f aca="false">MAX(0,BC22)*Inputs!$B$17</f>
        <v>3548537.54554139</v>
      </c>
      <c r="BD23" s="0" t="n">
        <f aca="false">MAX(0,BD22)*Inputs!$B$17</f>
        <v>3518446.88224006</v>
      </c>
      <c r="BE23" s="0" t="n">
        <f aca="false">MAX(0,BE22)*Inputs!$B$17</f>
        <v>3966603.2979402</v>
      </c>
    </row>
    <row r="24" customFormat="false" ht="15" hidden="false" customHeight="false" outlineLevel="0" collapsed="false">
      <c r="A24" s="0" t="s">
        <v>41</v>
      </c>
      <c r="B24" s="0" t="n">
        <f aca="false">-B5*0.15</f>
        <v>-0</v>
      </c>
      <c r="C24" s="0" t="n">
        <f aca="false">IF(AND(C$3&gt;=1,C$3&lt;=Inputs!$B$6),-C5*0.15,C13-C14-C19-C23+IF(C$3=Inputs!$B$6+Inputs!$B$7,SUM($B$11:C11)-SUM($B$12:C12),0))</f>
        <v>-4440000</v>
      </c>
      <c r="D24" s="0" t="n">
        <f aca="false">IF(AND(D$3&gt;=1,D$3&lt;=Inputs!$B$6),-D5*0.15,D13-D14-D19-D23+IF(D$3=Inputs!$B$6+Inputs!$B$7,SUM($B$11:D11)-SUM($B$12:D12),0))</f>
        <v>-4440000</v>
      </c>
      <c r="E24" s="0" t="n">
        <f aca="false">IF(AND(E$3&gt;=1,E$3&lt;=Inputs!$B$6),-E5*0.15,E13-E14-E19-E23+IF(E$3=Inputs!$B$6+Inputs!$B$7,SUM($B$11:E11)-SUM($B$12:E12),0))</f>
        <v>-4440000</v>
      </c>
      <c r="F24" s="0" t="n">
        <f aca="false">IF(AND(F$3&gt;=1,F$3&lt;=Inputs!$B$6),-F5*0.15,F13-F14-F19-F23+IF(F$3=Inputs!$B$6+Inputs!$B$7,SUM($B$11:F11)-SUM($B$12:F12),0))</f>
        <v>-4440000</v>
      </c>
      <c r="G24" s="0" t="n">
        <f aca="false">IF(AND(G$3&gt;=1,G$3&lt;=Inputs!$B$6),-G5*0.15,G13-G14-G19-G23+IF(G$3=Inputs!$B$6+Inputs!$B$7,SUM($B$11:G11)-SUM($B$12:G12),0))</f>
        <v>-4440000</v>
      </c>
      <c r="H24" s="0" t="n">
        <f aca="false">IF(AND(H$3&gt;=1,H$3&lt;=Inputs!$B$6),-H5*0.15,H13-H14-H19-H23+IF(H$3=Inputs!$B$6+Inputs!$B$7,SUM($B$11:H11)-SUM($B$12:H12),0))</f>
        <v>-4613574.03846154</v>
      </c>
      <c r="I24" s="0" t="n">
        <f aca="false">IF(AND(I$3&gt;=1,I$3&lt;=Inputs!$B$6),-I5*0.15,I13-I14-I19-I23+IF(I$3=Inputs!$B$6+Inputs!$B$7,SUM($B$11:I11)-SUM($B$12:I12),0))</f>
        <v>1523183.75769231</v>
      </c>
      <c r="J24" s="0" t="n">
        <f aca="false">IF(AND(J$3&gt;=1,J$3&lt;=Inputs!$B$6),-J5*0.15,J13-J14-J19-J23+IF(J$3=Inputs!$B$6+Inputs!$B$7,SUM($B$11:J11)-SUM($B$12:J12),0))</f>
        <v>1419109.2777</v>
      </c>
      <c r="K24" s="0" t="n">
        <f aca="false">IF(AND(K$3&gt;=1,K$3&lt;=Inputs!$B$6),-K5*0.15,K13-K14-K19-K23+IF(K$3=Inputs!$B$6+Inputs!$B$7,SUM($B$11:K11)-SUM($B$12:K12),0))</f>
        <v>1637493.48309328</v>
      </c>
      <c r="L24" s="0" t="n">
        <f aca="false">IF(AND(L$3&gt;=1,L$3&lt;=Inputs!$B$6),-L5*0.15,L13-L14-L19-L23+IF(L$3=Inputs!$B$6+Inputs!$B$7,SUM($B$11:L11)-SUM($B$12:L12),0))</f>
        <v>1542955.6174737</v>
      </c>
      <c r="M24" s="0" t="n">
        <f aca="false">IF(AND(M$3&gt;=1,M$3&lt;=Inputs!$B$6),-M5*0.15,M13-M14-M19-M23+IF(M$3=Inputs!$B$6+Inputs!$B$7,SUM($B$11:M11)-SUM($B$12:M12),0))</f>
        <v>2013809.27162028</v>
      </c>
      <c r="N24" s="0" t="n">
        <f aca="false">IF(AND(N$3&gt;=1,N$3&lt;=Inputs!$B$6),-N5*0.15,N13-N14-N19-N23+IF(N$3=Inputs!$B$6+Inputs!$B$7,SUM($B$11:N11)-SUM($B$12:N12),0))</f>
        <v>1195116.22930579</v>
      </c>
      <c r="O24" s="0" t="n">
        <f aca="false">IF(AND(O$3&gt;=1,O$3&lt;=Inputs!$B$6),-O5*0.15,O13-O14-O19-O23+IF(O$3=Inputs!$B$6+Inputs!$B$7,SUM($B$11:O11)-SUM($B$12:O12),0))</f>
        <v>1455115.99374217</v>
      </c>
      <c r="P24" s="0" t="n">
        <f aca="false">IF(AND(P$3&gt;=1,P$3&lt;=Inputs!$B$6),-P5*0.15,P13-P14-P19-P23+IF(P$3=Inputs!$B$6+Inputs!$B$7,SUM($B$11:P11)-SUM($B$12:P12),0))</f>
        <v>589494.688142956</v>
      </c>
      <c r="Q24" s="0" t="n">
        <f aca="false">IF(AND(Q$3&gt;=1,Q$3&lt;=Inputs!$B$6),-Q5*0.15,Q13-Q14-Q19-Q23+IF(Q$3=Inputs!$B$6+Inputs!$B$7,SUM($B$11:Q11)-SUM($B$12:Q12),0))</f>
        <v>1054083.50583751</v>
      </c>
      <c r="R24" s="0" t="n">
        <f aca="false">IF(AND(R$3&gt;=1,R$3&lt;=Inputs!$B$6),-R5*0.15,R13-R14-R19-R23+IF(R$3=Inputs!$B$6+Inputs!$B$7,SUM($B$11:R11)-SUM($B$12:R12),0))</f>
        <v>940386.473854695</v>
      </c>
      <c r="S24" s="0" t="n">
        <f aca="false">IF(AND(S$3&gt;=1,S$3&lt;=Inputs!$B$6),-S5*0.15,S13-S14-S19-S23+IF(S$3=Inputs!$B$6+Inputs!$B$7,SUM($B$11:S11)-SUM($B$12:S12),0))</f>
        <v>1189090.7611643</v>
      </c>
      <c r="T24" s="0" t="n">
        <f aca="false">IF(AND(T$3&gt;=1,T$3&lt;=Inputs!$B$6),-T5*0.15,T13-T14-T19-T23+IF(T$3=Inputs!$B$6+Inputs!$B$7,SUM($B$11:T11)-SUM($B$12:T12),0))</f>
        <v>1085074.52679876</v>
      </c>
      <c r="U24" s="0" t="n">
        <f aca="false">IF(AND(U$3&gt;=1,U$3&lt;=Inputs!$B$6),-U5*0.15,U13-U14-U19-U23+IF(U$3=Inputs!$B$6+Inputs!$B$7,SUM($B$11:U11)-SUM($B$12:U12),0))</f>
        <v>796975.911268301</v>
      </c>
      <c r="V24" s="0" t="n">
        <f aca="false">IF(AND(V$3&gt;=1,V$3&lt;=Inputs!$B$6),-V5*0.15,V13-V14-V19-V23+IF(V$3=Inputs!$B$6+Inputs!$B$7,SUM($B$11:V11)-SUM($B$12:V12),0))</f>
        <v>676299.383559772</v>
      </c>
      <c r="W24" s="0" t="n">
        <f aca="false">IF(AND(W$3&gt;=1,W$3&lt;=Inputs!$B$6),-W5*0.15,W13-W14-W19-W23+IF(W$3=Inputs!$B$6+Inputs!$B$7,SUM($B$11:W11)-SUM($B$12:W12),0))</f>
        <v>1492025.85222447</v>
      </c>
      <c r="X24" s="0" t="n">
        <f aca="false">IF(AND(X$3&gt;=1,X$3&lt;=Inputs!$B$6),-X5*0.15,X13-X14-X19-X23+IF(X$3=Inputs!$B$6+Inputs!$B$7,SUM($B$11:X11)-SUM($B$12:X12),0))</f>
        <v>842742.569297472</v>
      </c>
      <c r="Y24" s="0" t="n">
        <f aca="false">IF(AND(Y$3&gt;=1,Y$3&lt;=Inputs!$B$6),-Y5*0.15,Y13-Y14-Y19-Y23+IF(Y$3=Inputs!$B$6+Inputs!$B$7,SUM($B$11:Y11)-SUM($B$12:Y12),0))</f>
        <v>556449.533645284</v>
      </c>
      <c r="Z24" s="0" t="n">
        <f aca="false">IF(AND(Z$3&gt;=1,Z$3&lt;=Inputs!$B$6),-Z5*0.15,Z13-Z14-Z19-Z23+IF(Z$3=Inputs!$B$6+Inputs!$B$7,SUM($B$11:Z11)-SUM($B$12:Z12),0))</f>
        <v>-153844.26329208</v>
      </c>
      <c r="AA24" s="0" t="n">
        <f aca="false">IF(AND(AA$3&gt;=1,AA$3&lt;=Inputs!$B$6),-AA5*0.15,AA13-AA14-AA19-AA23+IF(AA$3=Inputs!$B$6+Inputs!$B$7,SUM($B$11:AA11)-SUM($B$12:AA12),0))</f>
        <v>682865.053378871</v>
      </c>
      <c r="AB24" s="0" t="n">
        <f aca="false">IF(AND(AB$3&gt;=1,AB$3&lt;=Inputs!$B$6),-AB5*0.15,AB13-AB14-AB19-AB23+IF(AB$3=Inputs!$B$6+Inputs!$B$7,SUM($B$11:AB11)-SUM($B$12:AB12),0))</f>
        <v>563947.684728699</v>
      </c>
      <c r="AC24" s="0" t="n">
        <f aca="false">IF(AND(AC$3&gt;=1,AC$3&lt;=Inputs!$B$6),-AC5*0.15,AC13-AC14-AC19-AC23+IF(AC$3=Inputs!$B$6+Inputs!$B$7,SUM($B$11:AC11)-SUM($B$12:AC12),0))</f>
        <v>237340.094715709</v>
      </c>
      <c r="AD24" s="0" t="n">
        <f aca="false">IF(AND(AD$3&gt;=1,AD$3&lt;=Inputs!$B$6),-AD5*0.15,AD13-AD14-AD19-AD23+IF(AD$3=Inputs!$B$6+Inputs!$B$7,SUM($B$11:AD11)-SUM($B$12:AD12),0))</f>
        <v>98664.2354365727</v>
      </c>
      <c r="AE24" s="0" t="n">
        <f aca="false">IF(AND(AE$3&gt;=1,AE$3&lt;=Inputs!$B$6),-AE5*0.15,AE13-AE14-AE19-AE23+IF(AE$3=Inputs!$B$6+Inputs!$B$7,SUM($B$11:AE11)-SUM($B$12:AE12),0))</f>
        <v>391929.559578</v>
      </c>
      <c r="AF24" s="0" t="n">
        <f aca="false">IF(AND(AF$3&gt;=1,AF$3&lt;=Inputs!$B$6),-AF5*0.15,AF13-AF14-AF19-AF23+IF(AF$3=Inputs!$B$6+Inputs!$B$7,SUM($B$11:AF11)-SUM($B$12:AF12),0))</f>
        <v>306902.563293214</v>
      </c>
      <c r="AG24" s="0" t="n">
        <f aca="false">IF(AND(AG$3&gt;=1,AG$3&lt;=Inputs!$B$6),-AG5*0.15,AG13-AG14-AG19-AG23+IF(AG$3=Inputs!$B$6+Inputs!$B$7,SUM($B$11:AG11)-SUM($B$12:AG12),0))</f>
        <v>996929.181803368</v>
      </c>
      <c r="AH24" s="0" t="n">
        <f aca="false">IF(AND(AH$3&gt;=1,AH$3&lt;=Inputs!$B$6),-AH5*0.15,AH13-AH14-AH19-AH23+IF(AH$3=Inputs!$B$6+Inputs!$B$7,SUM($B$11:AH11)-SUM($B$12:AH12),0))</f>
        <v>-45919.8379933219</v>
      </c>
      <c r="AI24" s="0" t="n">
        <f aca="false">IF(AND(AI$3&gt;=1,AI$3&lt;=Inputs!$B$6),-AI5*0.15,AI13-AI14-AI19-AI23+IF(AI$3=Inputs!$B$6+Inputs!$B$7,SUM($B$11:AI11)-SUM($B$12:AI12),0))</f>
        <v>356525.963716192</v>
      </c>
      <c r="AJ24" s="0" t="n">
        <f aca="false">IF(AND(AJ$3&gt;=1,AJ$3&lt;=Inputs!$B$6),-AJ5*0.15,AJ13-AJ14-AJ19-AJ23+IF(AJ$3=Inputs!$B$6+Inputs!$B$7,SUM($B$11:AJ11)-SUM($B$12:AJ12),0))</f>
        <v>-751430.153126905</v>
      </c>
      <c r="AK24" s="0" t="n">
        <f aca="false">IF(AND(AK$3&gt;=1,AK$3&lt;=Inputs!$B$6),-AK5*0.15,AK13-AK14-AK19-AK23+IF(AK$3=Inputs!$B$6+Inputs!$B$7,SUM($B$11:AK11)-SUM($B$12:AK12),0))</f>
        <v>-72027.3439531014</v>
      </c>
      <c r="AL24" s="0" t="n">
        <f aca="false">IF(AND(AL$3&gt;=1,AL$3&lt;=Inputs!$B$6),-AL5*0.15,AL13-AL14-AL19-AL23+IF(AL$3=Inputs!$B$6+Inputs!$B$7,SUM($B$11:AL11)-SUM($B$12:AL12),0))</f>
        <v>-162976.31120908</v>
      </c>
      <c r="AM24" s="0" t="n">
        <f aca="false">IF(AND(AM$3&gt;=1,AM$3&lt;=Inputs!$B$6),-AM5*0.15,AM13-AM14-AM19-AM23+IF(AM$3=Inputs!$B$6+Inputs!$B$7,SUM($B$11:AM11)-SUM($B$12:AM12),0))</f>
        <v>235467.906436685</v>
      </c>
      <c r="AN24" s="0" t="n">
        <f aca="false">IF(AND(AN$3&gt;=1,AN$3&lt;=Inputs!$B$6),-AN5*0.15,AN13-AN14-AN19-AN23+IF(AN$3=Inputs!$B$6+Inputs!$B$7,SUM($B$11:AN11)-SUM($B$12:AN12),0))</f>
        <v>162791.269929918</v>
      </c>
      <c r="AO24" s="0" t="n">
        <f aca="false">IF(AND(AO$3&gt;=1,AO$3&lt;=Inputs!$B$6),-AO5*0.15,AO13-AO14-AO19-AO23+IF(AO$3=Inputs!$B$6+Inputs!$B$7,SUM($B$11:AO11)-SUM($B$12:AO12),0))</f>
        <v>-156997.205250848</v>
      </c>
      <c r="AP24" s="0" t="n">
        <f aca="false">IF(AND(AP$3&gt;=1,AP$3&lt;=Inputs!$B$6),-AP5*0.15,AP13-AP14-AP19-AP23+IF(AP$3=Inputs!$B$6+Inputs!$B$7,SUM($B$11:AP11)-SUM($B$12:AP12),0))</f>
        <v>-251067.462731186</v>
      </c>
      <c r="AQ24" s="0" t="n">
        <f aca="false">IF(AND(AQ$3&gt;=1,AQ$3&lt;=Inputs!$B$6),-AQ5*0.15,AQ13-AQ14-AQ19-AQ23+IF(AQ$3=Inputs!$B$6+Inputs!$B$7,SUM($B$11:AQ11)-SUM($B$12:AQ12),0))</f>
        <v>916073.190775788</v>
      </c>
      <c r="AR24" s="0" t="n">
        <f aca="false">IF(AND(AR$3&gt;=1,AR$3&lt;=Inputs!$B$6),-AR5*0.15,AR13-AR14-AR19-AR23+IF(AR$3=Inputs!$B$6+Inputs!$B$7,SUM($B$11:AR11)-SUM($B$12:AR12),0))</f>
        <v>117711.123599132</v>
      </c>
      <c r="AS24" s="0" t="n">
        <f aca="false">IF(AND(AS$3&gt;=1,AS$3&lt;=Inputs!$B$6),-AS5*0.15,AS13-AS14-AS19-AS23+IF(AS$3=Inputs!$B$6+Inputs!$B$7,SUM($B$11:AS11)-SUM($B$12:AS12),0))</f>
        <v>-197083.494839976</v>
      </c>
      <c r="AT24" s="0" t="n">
        <f aca="false">IF(AND(AT$3&gt;=1,AT$3&lt;=Inputs!$B$6),-AT5*0.15,AT13-AT14-AT19-AT23+IF(AT$3=Inputs!$B$6+Inputs!$B$7,SUM($B$11:AT11)-SUM($B$12:AT12),0))</f>
        <v>-1080797.24786474</v>
      </c>
      <c r="AU24" s="0" t="n">
        <f aca="false">IF(AND(AU$3&gt;=1,AU$3&lt;=Inputs!$B$6),-AU5*0.15,AU13-AU14-AU19-AU23+IF(AU$3=Inputs!$B$6+Inputs!$B$7,SUM($B$11:AU11)-SUM($B$12:AU12),0))</f>
        <v>11643574.7179267</v>
      </c>
      <c r="AV24" s="0" t="n">
        <f aca="false">IF(AND(AV$3&gt;=1,AV$3&lt;=Inputs!$B$6),-AV5*0.15,AV13-AV14-AV19-AV23+IF(AV$3=Inputs!$B$6+Inputs!$B$7,SUM($B$11:AV11)-SUM($B$12:AV12),0))</f>
        <v>11566203.3869826</v>
      </c>
      <c r="AW24" s="0" t="n">
        <f aca="false">IF(AND(AW$3&gt;=1,AW$3&lt;=Inputs!$B$6),-AW5*0.15,AW13-AW14-AW19-AW23+IF(AW$3=Inputs!$B$6+Inputs!$B$7,SUM($B$11:AW11)-SUM($B$12:AW12),0))</f>
        <v>11556356.1678122</v>
      </c>
      <c r="AX24" s="0" t="n">
        <f aca="false">IF(AND(AX$3&gt;=1,AX$3&lt;=Inputs!$B$6),-AX5*0.15,AX13-AX14-AX19-AX23+IF(AX$3=Inputs!$B$6+Inputs!$B$7,SUM($B$11:AX11)-SUM($B$12:AX12),0))</f>
        <v>11883943.2476561</v>
      </c>
      <c r="AY24" s="0" t="n">
        <f aca="false">IF(AND(AY$3&gt;=1,AY$3&lt;=Inputs!$B$6),-AY5*0.15,AY13-AY14-AY19-AY23+IF(AY$3=Inputs!$B$6+Inputs!$B$7,SUM($B$11:AY11)-SUM($B$12:AY12),0))</f>
        <v>12293244.2777733</v>
      </c>
      <c r="AZ24" s="0" t="n">
        <f aca="false">IF(AND(AZ$3&gt;=1,AZ$3&lt;=Inputs!$B$6),-AZ5*0.15,AZ13-AZ14-AZ19-AZ23+IF(AZ$3=Inputs!$B$6+Inputs!$B$7,SUM($B$11:AZ11)-SUM($B$12:AZ12),0))</f>
        <v>12212943.756989</v>
      </c>
      <c r="BA24" s="0" t="n">
        <f aca="false">IF(AND(BA$3&gt;=1,BA$3&lt;=Inputs!$B$6),-BA5*0.15,BA13-BA14-BA19-BA23+IF(BA$3=Inputs!$B$6+Inputs!$B$7,SUM($B$11:BA11)-SUM($B$12:BA12),0))</f>
        <v>12204226.084659</v>
      </c>
      <c r="BB24" s="0" t="n">
        <f aca="false">IF(AND(BB$3&gt;=1,BB$3&lt;=Inputs!$B$6),-BB5*0.15,BB13-BB14-BB19-BB23+IF(BB$3=Inputs!$B$6+Inputs!$B$7,SUM($B$11:BB11)-SUM($B$12:BB12),0))</f>
        <v>11270609.3506462</v>
      </c>
      <c r="BC24" s="0" t="n">
        <f aca="false">IF(AND(BC$3&gt;=1,BC$3&lt;=Inputs!$B$6),-BC5*0.15,BC13-BC14-BC19-BC23+IF(BC$3=Inputs!$B$6+Inputs!$B$7,SUM($B$11:BC11)-SUM($B$12:BC12),0))</f>
        <v>11706463.8577543</v>
      </c>
      <c r="BD24" s="0" t="n">
        <f aca="false">IF(AND(BD$3&gt;=1,BD$3&lt;=Inputs!$B$6),-BD5*0.15,BD13-BD14-BD19-BD23+IF(BD$3=Inputs!$B$6+Inputs!$B$7,SUM($B$11:BD11)-SUM($B$12:BD12),0))</f>
        <v>11584366.3312164</v>
      </c>
      <c r="BE24" s="0" t="n">
        <f aca="false">IF(AND(BE$3&gt;=1,BE$3&lt;=Inputs!$B$6),-BE5*0.15,BE13-BE14-BE19-BE23+IF(BE$3=Inputs!$B$6+Inputs!$B$7,SUM($B$11:BE11)-SUM($B$12:BE12),0))</f>
        <v>13475616.9673198</v>
      </c>
    </row>
    <row r="25" customFormat="false" ht="15" hidden="false" customHeight="false" outlineLevel="0" collapsed="false">
      <c r="A25" s="0" t="s">
        <v>42</v>
      </c>
      <c r="B25" s="0" t="n">
        <f aca="false">IF(B14&gt;0,B13/B14,0)</f>
        <v>0</v>
      </c>
      <c r="C25" s="0" t="n">
        <f aca="false">IF(C14&gt;0,C13/C14,0)</f>
        <v>0</v>
      </c>
      <c r="D25" s="0" t="n">
        <f aca="false">IF(D14&gt;0,D13/D14,0)</f>
        <v>0</v>
      </c>
      <c r="E25" s="0" t="n">
        <f aca="false">IF(E14&gt;0,E13/E14,0)</f>
        <v>0</v>
      </c>
      <c r="F25" s="0" t="n">
        <f aca="false">IF(F14&gt;0,F13/F14,0)</f>
        <v>0</v>
      </c>
      <c r="G25" s="0" t="n">
        <f aca="false">IF(G14&gt;0,G13/G14,0)</f>
        <v>0</v>
      </c>
      <c r="H25" s="0" t="n">
        <f aca="false">IF(H14&gt;0,H13/H14,0)</f>
        <v>1.3</v>
      </c>
      <c r="I25" s="0" t="n">
        <f aca="false">IF(I14&gt;0,I13/I14,0)</f>
        <v>1.3</v>
      </c>
      <c r="J25" s="0" t="n">
        <f aca="false">IF(J14&gt;0,J13/J14,0)</f>
        <v>1.3</v>
      </c>
      <c r="K25" s="0" t="n">
        <f aca="false">IF(K14&gt;0,K13/K14,0)</f>
        <v>1.3</v>
      </c>
      <c r="L25" s="0" t="n">
        <f aca="false">IF(L14&gt;0,L13/L14,0)</f>
        <v>1.3</v>
      </c>
      <c r="M25" s="0" t="n">
        <f aca="false">IF(M14&gt;0,M13/M14,0)</f>
        <v>1.3</v>
      </c>
      <c r="N25" s="0" t="n">
        <f aca="false">IF(N14&gt;0,N13/N14,0)</f>
        <v>1.3</v>
      </c>
      <c r="O25" s="0" t="n">
        <f aca="false">IF(O14&gt;0,O13/O14,0)</f>
        <v>1.3</v>
      </c>
      <c r="P25" s="0" t="n">
        <f aca="false">IF(P14&gt;0,P13/P14,0)</f>
        <v>1.3</v>
      </c>
      <c r="Q25" s="0" t="n">
        <f aca="false">IF(Q14&gt;0,Q13/Q14,0)</f>
        <v>1.3</v>
      </c>
      <c r="R25" s="0" t="n">
        <f aca="false">IF(R14&gt;0,R13/R14,0)</f>
        <v>1.3</v>
      </c>
      <c r="S25" s="0" t="n">
        <f aca="false">IF(S14&gt;0,S13/S14,0)</f>
        <v>1.3</v>
      </c>
      <c r="T25" s="0" t="n">
        <f aca="false">IF(T14&gt;0,T13/T14,0)</f>
        <v>1.3</v>
      </c>
      <c r="U25" s="0" t="n">
        <f aca="false">IF(U14&gt;0,U13/U14,0)</f>
        <v>1.3</v>
      </c>
      <c r="V25" s="0" t="n">
        <f aca="false">IF(V14&gt;0,V13/V14,0)</f>
        <v>1.3</v>
      </c>
      <c r="W25" s="0" t="n">
        <f aca="false">IF(W14&gt;0,W13/W14,0)</f>
        <v>1.3</v>
      </c>
      <c r="X25" s="0" t="n">
        <f aca="false">IF(X14&gt;0,X13/X14,0)</f>
        <v>1.3</v>
      </c>
      <c r="Y25" s="0" t="n">
        <f aca="false">IF(Y14&gt;0,Y13/Y14,0)</f>
        <v>1.3</v>
      </c>
      <c r="Z25" s="0" t="n">
        <f aca="false">IF(Z14&gt;0,Z13/Z14,0)</f>
        <v>1.3</v>
      </c>
      <c r="AA25" s="0" t="n">
        <f aca="false">IF(AA14&gt;0,AA13/AA14,0)</f>
        <v>1.3</v>
      </c>
      <c r="AB25" s="0" t="n">
        <f aca="false">IF(AB14&gt;0,AB13/AB14,0)</f>
        <v>1.3</v>
      </c>
      <c r="AC25" s="0" t="n">
        <f aca="false">IF(AC14&gt;0,AC13/AC14,0)</f>
        <v>1.3</v>
      </c>
      <c r="AD25" s="0" t="n">
        <f aca="false">IF(AD14&gt;0,AD13/AD14,0)</f>
        <v>1.3</v>
      </c>
      <c r="AE25" s="0" t="n">
        <f aca="false">IF(AE14&gt;0,AE13/AE14,0)</f>
        <v>1.3</v>
      </c>
      <c r="AF25" s="0" t="n">
        <f aca="false">IF(AF14&gt;0,AF13/AF14,0)</f>
        <v>1.3</v>
      </c>
      <c r="AG25" s="0" t="n">
        <f aca="false">IF(AG14&gt;0,AG13/AG14,0)</f>
        <v>1.3</v>
      </c>
      <c r="AH25" s="0" t="n">
        <f aca="false">IF(AH14&gt;0,AH13/AH14,0)</f>
        <v>1.3</v>
      </c>
      <c r="AI25" s="0" t="n">
        <f aca="false">IF(AI14&gt;0,AI13/AI14,0)</f>
        <v>1.3</v>
      </c>
      <c r="AJ25" s="0" t="n">
        <f aca="false">IF(AJ14&gt;0,AJ13/AJ14,0)</f>
        <v>1.3</v>
      </c>
      <c r="AK25" s="0" t="n">
        <f aca="false">IF(AK14&gt;0,AK13/AK14,0)</f>
        <v>1.3</v>
      </c>
      <c r="AL25" s="0" t="n">
        <f aca="false">IF(AL14&gt;0,AL13/AL14,0)</f>
        <v>1.3</v>
      </c>
      <c r="AM25" s="0" t="n">
        <f aca="false">IF(AM14&gt;0,AM13/AM14,0)</f>
        <v>1.3</v>
      </c>
      <c r="AN25" s="0" t="n">
        <f aca="false">IF(AN14&gt;0,AN13/AN14,0)</f>
        <v>1.3</v>
      </c>
      <c r="AO25" s="0" t="n">
        <f aca="false">IF(AO14&gt;0,AO13/AO14,0)</f>
        <v>1.3</v>
      </c>
      <c r="AP25" s="0" t="n">
        <f aca="false">IF(AP14&gt;0,AP13/AP14,0)</f>
        <v>1.3</v>
      </c>
      <c r="AQ25" s="0" t="n">
        <f aca="false">IF(AQ14&gt;0,AQ13/AQ14,0)</f>
        <v>1.3</v>
      </c>
      <c r="AR25" s="0" t="n">
        <f aca="false">IF(AR14&gt;0,AR13/AR14,0)</f>
        <v>1.3</v>
      </c>
      <c r="AS25" s="0" t="n">
        <f aca="false">IF(AS14&gt;0,AS13/AS14,0)</f>
        <v>1.3</v>
      </c>
      <c r="AT25" s="0" t="n">
        <f aca="false">IF(AT14&gt;0,AT13/AT14,0)</f>
        <v>1.3</v>
      </c>
      <c r="AU25" s="0" t="n">
        <f aca="false">IF(AU14&gt;0,AU13/AU14,0)</f>
        <v>1.3</v>
      </c>
      <c r="AV25" s="0" t="n">
        <f aca="false">IF(AV14&gt;0,AV13/AV14,0)</f>
        <v>0</v>
      </c>
      <c r="AW25" s="0" t="n">
        <f aca="false">IF(AW14&gt;0,AW13/AW14,0)</f>
        <v>0</v>
      </c>
      <c r="AX25" s="0" t="n">
        <f aca="false">IF(AX14&gt;0,AX13/AX14,0)</f>
        <v>0</v>
      </c>
      <c r="AY25" s="0" t="n">
        <f aca="false">IF(AY14&gt;0,AY13/AY14,0)</f>
        <v>0</v>
      </c>
      <c r="AZ25" s="0" t="n">
        <f aca="false">IF(AZ14&gt;0,AZ13/AZ14,0)</f>
        <v>0</v>
      </c>
      <c r="BA25" s="0" t="n">
        <f aca="false">IF(BA14&gt;0,BA13/BA14,0)</f>
        <v>0</v>
      </c>
      <c r="BB25" s="0" t="n">
        <f aca="false">IF(BB14&gt;0,BB13/BB14,0)</f>
        <v>0</v>
      </c>
      <c r="BC25" s="0" t="n">
        <f aca="false">IF(BC14&gt;0,BC13/BC14,0)</f>
        <v>0</v>
      </c>
      <c r="BD25" s="0" t="n">
        <f aca="false">IF(BD14&gt;0,BD13/BD14,0)</f>
        <v>0</v>
      </c>
      <c r="BE25" s="0" t="n">
        <f aca="false">IF(BE14&gt;0,BE13/BE14,0)</f>
        <v>0</v>
      </c>
    </row>
    <row r="26" customFormat="false" ht="15" hidden="false" customHeight="false" outlineLevel="0" collapsed="false">
      <c r="A26" s="0" t="s">
        <v>43</v>
      </c>
      <c r="B26" s="0" t="n">
        <f aca="false">0</f>
        <v>0</v>
      </c>
      <c r="C26" s="0" t="n">
        <f aca="false">IF(AND(C$3&gt;Inputs!$B$6,C$3&lt;=Inputs!$B$6+Inputs!$B$13),SUMPRODUCT((C$3:$BE$3&gt;C$3-1)*(C$3:$BE$3&lt;=Inputs!$B$6+Inputs!$B$13)*C$13:$BE$13/(1+Inputs!$B$12/2)^(C$3:$BE$3-C$3+1)),0)</f>
        <v>0</v>
      </c>
      <c r="D26" s="0" t="n">
        <f aca="false">IF(AND(D$3&gt;Inputs!$B$6,D$3&lt;=Inputs!$B$6+Inputs!$B$13),SUMPRODUCT((D$3:$BE$3&gt;D$3-1)*(D$3:$BE$3&lt;=Inputs!$B$6+Inputs!$B$13)*D$13:$BE$13/(1+Inputs!$B$12/2)^(D$3:$BE$3-D$3+1)),0)</f>
        <v>0</v>
      </c>
      <c r="E26" s="0" t="n">
        <f aca="false">IF(AND(E$3&gt;Inputs!$B$6,E$3&lt;=Inputs!$B$6+Inputs!$B$13),SUMPRODUCT((E$3:$BE$3&gt;E$3-1)*(E$3:$BE$3&lt;=Inputs!$B$6+Inputs!$B$13)*E$13:$BE$13/(1+Inputs!$B$12/2)^(E$3:$BE$3-E$3+1)),0)</f>
        <v>0</v>
      </c>
      <c r="F26" s="0" t="n">
        <f aca="false">IF(AND(F$3&gt;Inputs!$B$6,F$3&lt;=Inputs!$B$6+Inputs!$B$13),SUMPRODUCT((F$3:$BE$3&gt;F$3-1)*(F$3:$BE$3&lt;=Inputs!$B$6+Inputs!$B$13)*F$13:$BE$13/(1+Inputs!$B$12/2)^(F$3:$BE$3-F$3+1)),0)</f>
        <v>0</v>
      </c>
      <c r="G26" s="0" t="n">
        <f aca="false">IF(AND(G$3&gt;Inputs!$B$6,G$3&lt;=Inputs!$B$6+Inputs!$B$13),SUMPRODUCT((G$3:$BE$3&gt;G$3-1)*(G$3:$BE$3&lt;=Inputs!$B$6+Inputs!$B$13)*G$13:$BE$13/(1+Inputs!$B$12/2)^(G$3:$BE$3-G$3+1)),0)</f>
        <v>0</v>
      </c>
      <c r="H26" s="0" t="n">
        <f aca="false">IF(AND(H$3&gt;Inputs!$B$6,H$3&lt;=Inputs!$B$6+Inputs!$B$13),SUMPRODUCT((H$3:$BE$3&gt;H$3-1)*(H$3:$BE$3&lt;=Inputs!$B$6+Inputs!$B$13)*H$13:$BE$13/(1+Inputs!$B$12/2)^(H$3:$BE$3-H$3+1)),0)</f>
        <v>257336732.829984</v>
      </c>
      <c r="I26" s="0" t="n">
        <f aca="false">IF(AND(I$3&gt;Inputs!$B$6,I$3&lt;=Inputs!$B$6+Inputs!$B$13),SUMPRODUCT((I$3:$BE$3&gt;I$3-1)*(I$3:$BE$3&lt;=Inputs!$B$6+Inputs!$B$13)*I$13:$BE$13/(1+Inputs!$B$12/2)^(I$3:$BE$3-I$3+1)),0)</f>
        <v>255731237.883563</v>
      </c>
      <c r="J26" s="0" t="n">
        <f aca="false">IF(AND(J$3&gt;Inputs!$B$6,J$3&lt;=Inputs!$B$6+Inputs!$B$13),SUMPRODUCT((J$3:$BE$3&gt;J$3-1)*(J$3:$BE$3&lt;=Inputs!$B$6+Inputs!$B$13)*J$13:$BE$13/(1+Inputs!$B$12/2)^(J$3:$BE$3-J$3+1)),0)</f>
        <v>254084000.068536</v>
      </c>
      <c r="K26" s="0" t="n">
        <f aca="false">IF(AND(K$3&gt;Inputs!$B$6,K$3&lt;=Inputs!$B$6+Inputs!$B$13),SUMPRODUCT((K$3:$BE$3&gt;K$3-1)*(K$3:$BE$3&lt;=Inputs!$B$6+Inputs!$B$13)*K$13:$BE$13/(1+Inputs!$B$12/2)^(K$3:$BE$3-K$3+1)),0)</f>
        <v>252145046.570318</v>
      </c>
      <c r="L26" s="0" t="n">
        <f aca="false">IF(AND(L$3&gt;Inputs!$B$6,L$3&lt;=Inputs!$B$6+Inputs!$B$13),SUMPRODUCT((L$3:$BE$3&gt;L$3-1)*(L$3:$BE$3&lt;=Inputs!$B$6+Inputs!$B$13)*L$13:$BE$13/(1+Inputs!$B$12/2)^(L$3:$BE$3-L$3+1)),0)</f>
        <v>249846680.281146</v>
      </c>
      <c r="M26" s="0" t="n">
        <f aca="false">IF(AND(M$3&gt;Inputs!$B$6,M$3&lt;=Inputs!$B$6+Inputs!$B$13),SUMPRODUCT((M$3:$BE$3&gt;M$3-1)*(M$3:$BE$3&lt;=Inputs!$B$6+Inputs!$B$13)*M$13:$BE$13/(1+Inputs!$B$12/2)^(M$3:$BE$3-M$3+1)),0)</f>
        <v>247541202.343456</v>
      </c>
      <c r="N26" s="0" t="n">
        <f aca="false">IF(AND(N$3&gt;Inputs!$B$6,N$3&lt;=Inputs!$B$6+Inputs!$B$13),SUMPRODUCT((N$3:$BE$3&gt;N$3-1)*(N$3:$BE$3&lt;=Inputs!$B$6+Inputs!$B$13)*N$13:$BE$13/(1+Inputs!$B$12/2)^(N$3:$BE$3-N$3+1)),0)</f>
        <v>245175781.979386</v>
      </c>
      <c r="O26" s="0" t="n">
        <f aca="false">IF(AND(O$3&gt;Inputs!$B$6,O$3&lt;=Inputs!$B$6+Inputs!$B$13),SUMPRODUCT((O$3:$BE$3&gt;O$3-1)*(O$3:$BE$3&lt;=Inputs!$B$6+Inputs!$B$13)*O$13:$BE$13/(1+Inputs!$B$12/2)^(O$3:$BE$3-O$3+1)),0)</f>
        <v>243431846.003767</v>
      </c>
      <c r="P26" s="0" t="n">
        <f aca="false">IF(AND(P$3&gt;Inputs!$B$6,P$3&lt;=Inputs!$B$6+Inputs!$B$13),SUMPRODUCT((P$3:$BE$3&gt;P$3-1)*(P$3:$BE$3&lt;=Inputs!$B$6+Inputs!$B$13)*P$13:$BE$13/(1+Inputs!$B$12/2)^(P$3:$BE$3-P$3+1)),0)</f>
        <v>241314749.592781</v>
      </c>
      <c r="Q26" s="0" t="n">
        <f aca="false">IF(AND(Q$3&gt;Inputs!$B$6,Q$3&lt;=Inputs!$B$6+Inputs!$B$13),SUMPRODUCT((Q$3:$BE$3&gt;Q$3-1)*(Q$3:$BE$3&lt;=Inputs!$B$6+Inputs!$B$13)*Q$13:$BE$13/(1+Inputs!$B$12/2)^(Q$3:$BE$3-Q$3+1)),0)</f>
        <v>239226871.585898</v>
      </c>
      <c r="R26" s="0" t="n">
        <f aca="false">IF(AND(R$3&gt;Inputs!$B$6,R$3&lt;=Inputs!$B$6+Inputs!$B$13),SUMPRODUCT((R$3:$BE$3&gt;R$3-1)*(R$3:$BE$3&lt;=Inputs!$B$6+Inputs!$B$13)*R$13:$BE$13/(1+Inputs!$B$12/2)^(R$3:$BE$3-R$3+1)),0)</f>
        <v>236109267.782168</v>
      </c>
      <c r="S26" s="0" t="n">
        <f aca="false">IF(AND(S$3&gt;Inputs!$B$6,S$3&lt;=Inputs!$B$6+Inputs!$B$13),SUMPRODUCT((S$3:$BE$3&gt;S$3-1)*(S$3:$BE$3&lt;=Inputs!$B$6+Inputs!$B$13)*S$13:$BE$13/(1+Inputs!$B$12/2)^(S$3:$BE$3-S$3+1)),0)</f>
        <v>232630481.205593</v>
      </c>
      <c r="T26" s="0" t="n">
        <f aca="false">IF(AND(T$3&gt;Inputs!$B$6,T$3&lt;=Inputs!$B$6+Inputs!$B$13),SUMPRODUCT((T$3:$BE$3&gt;T$3-1)*(T$3:$BE$3&lt;=Inputs!$B$6+Inputs!$B$13)*T$13:$BE$13/(1+Inputs!$B$12/2)^(T$3:$BE$3-T$3+1)),0)</f>
        <v>228713463.955738</v>
      </c>
      <c r="U26" s="0" t="n">
        <f aca="false">IF(AND(U$3&gt;Inputs!$B$6,U$3&lt;=Inputs!$B$6+Inputs!$B$13),SUMPRODUCT((U$3:$BE$3&gt;U$3-1)*(U$3:$BE$3&lt;=Inputs!$B$6+Inputs!$B$13)*U$13:$BE$13/(1+Inputs!$B$12/2)^(U$3:$BE$3-U$3+1)),0)</f>
        <v>224753857.653508</v>
      </c>
      <c r="V26" s="0" t="n">
        <f aca="false">IF(AND(V$3&gt;Inputs!$B$6,V$3&lt;=Inputs!$B$6+Inputs!$B$13),SUMPRODUCT((V$3:$BE$3&gt;V$3-1)*(V$3:$BE$3&lt;=Inputs!$B$6+Inputs!$B$13)*V$13:$BE$13/(1+Inputs!$B$12/2)^(V$3:$BE$3-V$3+1)),0)</f>
        <v>220691301.58742</v>
      </c>
      <c r="W26" s="0" t="n">
        <f aca="false">IF(AND(W$3&gt;Inputs!$B$6,W$3&lt;=Inputs!$B$6+Inputs!$B$13),SUMPRODUCT((W$3:$BE$3&gt;W$3-1)*(W$3:$BE$3&lt;=Inputs!$B$6+Inputs!$B$13)*W$13:$BE$13/(1+Inputs!$B$12/2)^(W$3:$BE$3-W$3+1)),0)</f>
        <v>216225934.372662</v>
      </c>
      <c r="X26" s="0" t="n">
        <f aca="false">IF(AND(X$3&gt;Inputs!$B$6,X$3&lt;=Inputs!$B$6+Inputs!$B$13),SUMPRODUCT((X$3:$BE$3&gt;X$3-1)*(X$3:$BE$3&lt;=Inputs!$B$6+Inputs!$B$13)*X$13:$BE$13/(1+Inputs!$B$12/2)^(X$3:$BE$3-X$3+1)),0)</f>
        <v>211275505.450693</v>
      </c>
      <c r="Y26" s="0" t="n">
        <f aca="false">IF(AND(Y$3&gt;Inputs!$B$6,Y$3&lt;=Inputs!$B$6+Inputs!$B$13),SUMPRODUCT((Y$3:$BE$3&gt;Y$3-1)*(Y$3:$BE$3&lt;=Inputs!$B$6+Inputs!$B$13)*Y$13:$BE$13/(1+Inputs!$B$12/2)^(Y$3:$BE$3-Y$3+1)),0)</f>
        <v>206977063.684152</v>
      </c>
      <c r="Z26" s="0" t="n">
        <f aca="false">IF(AND(Z$3&gt;Inputs!$B$6,Z$3&lt;=Inputs!$B$6+Inputs!$B$13),SUMPRODUCT((Z$3:$BE$3&gt;Z$3-1)*(Z$3:$BE$3&lt;=Inputs!$B$6+Inputs!$B$13)*Z$13:$BE$13/(1+Inputs!$B$12/2)^(Z$3:$BE$3-Z$3+1)),0)</f>
        <v>202566862.431681</v>
      </c>
      <c r="AA26" s="0" t="n">
        <f aca="false">IF(AND(AA$3&gt;Inputs!$B$6,AA$3&lt;=Inputs!$B$6+Inputs!$B$13),SUMPRODUCT((AA$3:$BE$3&gt;AA$3-1)*(AA$3:$BE$3&lt;=Inputs!$B$6+Inputs!$B$13)*AA$13:$BE$13/(1+Inputs!$B$12/2)^(AA$3:$BE$3-AA$3+1)),0)</f>
        <v>197748247.799398</v>
      </c>
      <c r="AB26" s="0" t="n">
        <f aca="false">IF(AND(AB$3&gt;Inputs!$B$6,AB$3&lt;=Inputs!$B$6+Inputs!$B$13),SUMPRODUCT((AB$3:$BE$3&gt;AB$3-1)*(AB$3:$BE$3&lt;=Inputs!$B$6+Inputs!$B$13)*AB$13:$BE$13/(1+Inputs!$B$12/2)^(AB$3:$BE$3-AB$3+1)),0)</f>
        <v>191673545.76069</v>
      </c>
      <c r="AC26" s="0" t="n">
        <f aca="false">IF(AND(AC$3&gt;Inputs!$B$6,AC$3&lt;=Inputs!$B$6+Inputs!$B$13),SUMPRODUCT((AC$3:$BE$3&gt;AC$3-1)*(AC$3:$BE$3&lt;=Inputs!$B$6+Inputs!$B$13)*AC$13:$BE$13/(1+Inputs!$B$12/2)^(AC$3:$BE$3-AC$3+1)),0)</f>
        <v>185507591.688334</v>
      </c>
      <c r="AD26" s="0" t="n">
        <f aca="false">IF(AND(AD$3&gt;Inputs!$B$6,AD$3&lt;=Inputs!$B$6+Inputs!$B$13),SUMPRODUCT((AD$3:$BE$3&gt;AD$3-1)*(AD$3:$BE$3&lt;=Inputs!$B$6+Inputs!$B$13)*AD$13:$BE$13/(1+Inputs!$B$12/2)^(AD$3:$BE$3-AD$3+1)),0)</f>
        <v>179181322.810097</v>
      </c>
      <c r="AE26" s="0" t="n">
        <f aca="false">IF(AND(AE$3&gt;Inputs!$B$6,AE$3&lt;=Inputs!$B$6+Inputs!$B$13),SUMPRODUCT((AE$3:$BE$3&gt;AE$3-1)*(AE$3:$BE$3&lt;=Inputs!$B$6+Inputs!$B$13)*AE$13:$BE$13/(1+Inputs!$B$12/2)^(AE$3:$BE$3-AE$3+1)),0)</f>
        <v>172356086.953162</v>
      </c>
      <c r="AF26" s="0" t="n">
        <f aca="false">IF(AND(AF$3&gt;Inputs!$B$6,AF$3&lt;=Inputs!$B$6+Inputs!$B$13),SUMPRODUCT((AF$3:$BE$3&gt;AF$3-1)*(AF$3:$BE$3&lt;=Inputs!$B$6+Inputs!$B$13)*AF$13:$BE$13/(1+Inputs!$B$12/2)^(AF$3:$BE$3-AF$3+1)),0)</f>
        <v>164938124.802729</v>
      </c>
      <c r="AG26" s="0" t="n">
        <f aca="false">IF(AND(AG$3&gt;Inputs!$B$6,AG$3&lt;=Inputs!$B$6+Inputs!$B$13),SUMPRODUCT((AG$3:$BE$3&gt;AG$3-1)*(AG$3:$BE$3&lt;=Inputs!$B$6+Inputs!$B$13)*AG$13:$BE$13/(1+Inputs!$B$12/2)^(AG$3:$BE$3-AG$3+1)),0)</f>
        <v>157398047.290103</v>
      </c>
      <c r="AH26" s="0" t="n">
        <f aca="false">IF(AND(AH$3&gt;Inputs!$B$6,AH$3&lt;=Inputs!$B$6+Inputs!$B$13),SUMPRODUCT((AH$3:$BE$3&gt;AH$3-1)*(AH$3:$BE$3&lt;=Inputs!$B$6+Inputs!$B$13)*AH$13:$BE$13/(1+Inputs!$B$12/2)^(AH$3:$BE$3-AH$3+1)),0)</f>
        <v>149661927.762148</v>
      </c>
      <c r="AI26" s="0" t="n">
        <f aca="false">IF(AND(AI$3&gt;Inputs!$B$6,AI$3&lt;=Inputs!$B$6+Inputs!$B$13),SUMPRODUCT((AI$3:$BE$3&gt;AI$3-1)*(AI$3:$BE$3&lt;=Inputs!$B$6+Inputs!$B$13)*AI$13:$BE$13/(1+Inputs!$B$12/2)^(AI$3:$BE$3-AI$3+1)),0)</f>
        <v>142642544.282066</v>
      </c>
      <c r="AJ26" s="0" t="n">
        <f aca="false">IF(AND(AJ$3&gt;Inputs!$B$6,AJ$3&lt;=Inputs!$B$6+Inputs!$B$13),SUMPRODUCT((AJ$3:$BE$3&gt;AJ$3-1)*(AJ$3:$BE$3&lt;=Inputs!$B$6+Inputs!$B$13)*AJ$13:$BE$13/(1+Inputs!$B$12/2)^(AJ$3:$BE$3-AJ$3+1)),0)</f>
        <v>135000096.717466</v>
      </c>
      <c r="AK26" s="0" t="n">
        <f aca="false">IF(AND(AK$3&gt;Inputs!$B$6,AK$3&lt;=Inputs!$B$6+Inputs!$B$13),SUMPRODUCT((AK$3:$BE$3&gt;AK$3-1)*(AK$3:$BE$3&lt;=Inputs!$B$6+Inputs!$B$13)*AK$13:$BE$13/(1+Inputs!$B$12/2)^(AK$3:$BE$3-AK$3+1)),0)</f>
        <v>127272187.822165</v>
      </c>
      <c r="AL26" s="0" t="n">
        <f aca="false">IF(AND(AL$3&gt;Inputs!$B$6,AL$3&lt;=Inputs!$B$6+Inputs!$B$13),SUMPRODUCT((AL$3:$BE$3&gt;AL$3-1)*(AL$3:$BE$3&lt;=Inputs!$B$6+Inputs!$B$13)*AL$13:$BE$13/(1+Inputs!$B$12/2)^(AL$3:$BE$3-AL$3+1)),0)</f>
        <v>118032442.200713</v>
      </c>
      <c r="AM26" s="0" t="n">
        <f aca="false">IF(AND(AM$3&gt;Inputs!$B$6,AM$3&lt;=Inputs!$B$6+Inputs!$B$13),SUMPRODUCT((AM$3:$BE$3&gt;AM$3-1)*(AM$3:$BE$3&lt;=Inputs!$B$6+Inputs!$B$13)*AM$13:$BE$13/(1+Inputs!$B$12/2)^(AM$3:$BE$3-AM$3+1)),0)</f>
        <v>108175998.517957</v>
      </c>
      <c r="AN26" s="0" t="n">
        <f aca="false">IF(AND(AN$3&gt;Inputs!$B$6,AN$3&lt;=Inputs!$B$6+Inputs!$B$13),SUMPRODUCT((AN$3:$BE$3&gt;AN$3-1)*(AN$3:$BE$3&lt;=Inputs!$B$6+Inputs!$B$13)*AN$13:$BE$13/(1+Inputs!$B$12/2)^(AN$3:$BE$3-AN$3+1)),0)</f>
        <v>97595897.0744696</v>
      </c>
      <c r="AO26" s="0" t="n">
        <f aca="false">IF(AND(AO$3&gt;Inputs!$B$6,AO$3&lt;=Inputs!$B$6+Inputs!$B$13),SUMPRODUCT((AO$3:$BE$3&gt;AO$3-1)*(AO$3:$BE$3&lt;=Inputs!$B$6+Inputs!$B$13)*AO$13:$BE$13/(1+Inputs!$B$12/2)^(AO$3:$BE$3-AO$3+1)),0)</f>
        <v>86820344.6030325</v>
      </c>
      <c r="AP26" s="0" t="n">
        <f aca="false">IF(AND(AP$3&gt;Inputs!$B$6,AP$3&lt;=Inputs!$B$6+Inputs!$B$13),SUMPRODUCT((AP$3:$BE$3&gt;AP$3-1)*(AP$3:$BE$3&lt;=Inputs!$B$6+Inputs!$B$13)*AP$13:$BE$13/(1+Inputs!$B$12/2)^(AP$3:$BE$3-AP$3+1)),0)</f>
        <v>75764627.767338</v>
      </c>
      <c r="AQ26" s="0" t="n">
        <f aca="false">IF(AND(AQ$3&gt;Inputs!$B$6,AQ$3&lt;=Inputs!$B$6+Inputs!$B$13),SUMPRODUCT((AQ$3:$BE$3&gt;AQ$3-1)*(AQ$3:$BE$3&lt;=Inputs!$B$6+Inputs!$B$13)*AQ$13:$BE$13/(1+Inputs!$B$12/2)^(AQ$3:$BE$3-AQ$3+1)),0)</f>
        <v>64022070.9200543</v>
      </c>
      <c r="AR26" s="0" t="n">
        <f aca="false">IF(AND(AR$3&gt;Inputs!$B$6,AR$3&lt;=Inputs!$B$6+Inputs!$B$13),SUMPRODUCT((AR$3:$BE$3&gt;AR$3-1)*(AR$3:$BE$3&lt;=Inputs!$B$6+Inputs!$B$13)*AR$13:$BE$13/(1+Inputs!$B$12/2)^(AR$3:$BE$3-AR$3+1)),0)</f>
        <v>51478353.3050596</v>
      </c>
      <c r="AS26" s="0" t="n">
        <f aca="false">IF(AND(AS$3&gt;Inputs!$B$6,AS$3&lt;=Inputs!$B$6+Inputs!$B$13),SUMPRODUCT((AS$3:$BE$3&gt;AS$3-1)*(AS$3:$BE$3&lt;=Inputs!$B$6+Inputs!$B$13)*AS$13:$BE$13/(1+Inputs!$B$12/2)^(AS$3:$BE$3-AS$3+1)),0)</f>
        <v>39657692.2747156</v>
      </c>
      <c r="AT26" s="0" t="n">
        <f aca="false">IF(AND(AT$3&gt;Inputs!$B$6,AT$3&lt;=Inputs!$B$6+Inputs!$B$13),SUMPRODUCT((AT$3:$BE$3&gt;AT$3-1)*(AT$3:$BE$3&lt;=Inputs!$B$6+Inputs!$B$13)*AT$13:$BE$13/(1+Inputs!$B$12/2)^(AT$3:$BE$3-AT$3+1)),0)</f>
        <v>27529694.0575826</v>
      </c>
      <c r="AU26" s="0" t="n">
        <f aca="false">IF(AND(AU$3&gt;Inputs!$B$6,AU$3&lt;=Inputs!$B$6+Inputs!$B$13),SUMPRODUCT((AU$3:$BE$3&gt;AU$3-1)*(AU$3:$BE$3&lt;=Inputs!$B$6+Inputs!$B$13)*AU$13:$BE$13/(1+Inputs!$B$12/2)^(AU$3:$BE$3-AU$3+1)),0)</f>
        <v>14691594.9403158</v>
      </c>
      <c r="AV26" s="0" t="n">
        <f aca="false">IF(AND(AV$3&gt;Inputs!$B$6,AV$3&lt;=Inputs!$B$6+Inputs!$B$13),SUMPRODUCT((AV$3:$BE$3&gt;AV$3-1)*(AV$3:$BE$3&lt;=Inputs!$B$6+Inputs!$B$13)*AV$13:$BE$13/(1+Inputs!$B$12/2)^(AV$3:$BE$3-AV$3+1)),0)</f>
        <v>0</v>
      </c>
      <c r="AW26" s="0" t="n">
        <f aca="false">IF(AND(AW$3&gt;Inputs!$B$6,AW$3&lt;=Inputs!$B$6+Inputs!$B$13),SUMPRODUCT((AW$3:$BE$3&gt;AW$3-1)*(AW$3:$BE$3&lt;=Inputs!$B$6+Inputs!$B$13)*AW$13:$BE$13/(1+Inputs!$B$12/2)^(AW$3:$BE$3-AW$3+1)),0)</f>
        <v>0</v>
      </c>
      <c r="AX26" s="0" t="n">
        <f aca="false">IF(AND(AX$3&gt;Inputs!$B$6,AX$3&lt;=Inputs!$B$6+Inputs!$B$13),SUMPRODUCT((AX$3:$BE$3&gt;AX$3-1)*(AX$3:$BE$3&lt;=Inputs!$B$6+Inputs!$B$13)*AX$13:$BE$13/(1+Inputs!$B$12/2)^(AX$3:$BE$3-AX$3+1)),0)</f>
        <v>0</v>
      </c>
      <c r="AY26" s="0" t="n">
        <f aca="false">IF(AND(AY$3&gt;Inputs!$B$6,AY$3&lt;=Inputs!$B$6+Inputs!$B$13),SUMPRODUCT((AY$3:$BE$3&gt;AY$3-1)*(AY$3:$BE$3&lt;=Inputs!$B$6+Inputs!$B$13)*AY$13:$BE$13/(1+Inputs!$B$12/2)^(AY$3:$BE$3-AY$3+1)),0)</f>
        <v>0</v>
      </c>
      <c r="AZ26" s="0" t="n">
        <f aca="false">IF(AND(AZ$3&gt;Inputs!$B$6,AZ$3&lt;=Inputs!$B$6+Inputs!$B$13),SUMPRODUCT((AZ$3:$BE$3&gt;AZ$3-1)*(AZ$3:$BE$3&lt;=Inputs!$B$6+Inputs!$B$13)*AZ$13:$BE$13/(1+Inputs!$B$12/2)^(AZ$3:$BE$3-AZ$3+1)),0)</f>
        <v>0</v>
      </c>
      <c r="BA26" s="0" t="n">
        <f aca="false">IF(AND(BA$3&gt;Inputs!$B$6,BA$3&lt;=Inputs!$B$6+Inputs!$B$13),SUMPRODUCT((BA$3:$BE$3&gt;BA$3-1)*(BA$3:$BE$3&lt;=Inputs!$B$6+Inputs!$B$13)*BA$13:$BE$13/(1+Inputs!$B$12/2)^(BA$3:$BE$3-BA$3+1)),0)</f>
        <v>0</v>
      </c>
      <c r="BB26" s="0" t="n">
        <f aca="false">IF(AND(BB$3&gt;Inputs!$B$6,BB$3&lt;=Inputs!$B$6+Inputs!$B$13),SUMPRODUCT((BB$3:$BE$3&gt;BB$3-1)*(BB$3:$BE$3&lt;=Inputs!$B$6+Inputs!$B$13)*BB$13:$BE$13/(1+Inputs!$B$12/2)^(BB$3:$BE$3-BB$3+1)),0)</f>
        <v>0</v>
      </c>
      <c r="BC26" s="0" t="n">
        <f aca="false">IF(AND(BC$3&gt;Inputs!$B$6,BC$3&lt;=Inputs!$B$6+Inputs!$B$13),SUMPRODUCT((BC$3:$BE$3&gt;BC$3-1)*(BC$3:$BE$3&lt;=Inputs!$B$6+Inputs!$B$13)*BC$13:$BE$13/(1+Inputs!$B$12/2)^(BC$3:$BE$3-BC$3+1)),0)</f>
        <v>0</v>
      </c>
      <c r="BD26" s="0" t="n">
        <f aca="false">IF(AND(BD$3&gt;Inputs!$B$6,BD$3&lt;=Inputs!$B$6+Inputs!$B$13),SUMPRODUCT((BD$3:$BE$3&gt;BD$3-1)*(BD$3:$BE$3&lt;=Inputs!$B$6+Inputs!$B$13)*BD$13:$BE$13/(1+Inputs!$B$12/2)^(BD$3:$BE$3-BD$3+1)),0)</f>
        <v>0</v>
      </c>
      <c r="BE26" s="0" t="n">
        <f aca="false">IF(AND(BE$3&gt;Inputs!$B$6,BE$3&lt;=Inputs!$B$6+Inputs!$B$13),SUMPRODUCT((BE$3:$BE$3&gt;BE$3-1)*(BE$3:$BE$3&lt;=Inputs!$B$6+Inputs!$B$13)*BE$13:$BE$13/(1+Inputs!$B$12/2)^(BE$3:$BE$3-BE$3+1)),0)</f>
        <v>0</v>
      </c>
    </row>
    <row r="27" customFormat="false" ht="15" hidden="false" customHeight="false" outlineLevel="0" collapsed="false">
      <c r="A27" s="0" t="s">
        <v>44</v>
      </c>
      <c r="B27" s="0" t="n">
        <f aca="false">0</f>
        <v>0</v>
      </c>
      <c r="C27" s="0" t="n">
        <f aca="false">IF(AND(AND(C$3&gt;Inputs!$B$6,C$3&lt;=Inputs!$B$6+Inputs!$B$13),B15&gt;0),C26/B15,0)</f>
        <v>0</v>
      </c>
      <c r="D27" s="0" t="n">
        <f aca="false">IF(AND(AND(D$3&gt;Inputs!$B$6,D$3&lt;=Inputs!$B$6+Inputs!$B$13),C15&gt;0),D26/C15,0)</f>
        <v>0</v>
      </c>
      <c r="E27" s="0" t="n">
        <f aca="false">IF(AND(AND(E$3&gt;Inputs!$B$6,E$3&lt;=Inputs!$B$6+Inputs!$B$13),D15&gt;0),E26/D15,0)</f>
        <v>0</v>
      </c>
      <c r="F27" s="0" t="n">
        <f aca="false">IF(AND(AND(F$3&gt;Inputs!$B$6,F$3&lt;=Inputs!$B$6+Inputs!$B$13),E15&gt;0),F26/E15,0)</f>
        <v>0</v>
      </c>
      <c r="G27" s="0" t="n">
        <f aca="false">IF(AND(AND(G$3&gt;Inputs!$B$6,G$3&lt;=Inputs!$B$6+Inputs!$B$13),F15&gt;0),G26/F15,0)</f>
        <v>0</v>
      </c>
      <c r="H27" s="0" t="n">
        <f aca="false">IF(AND(AND(H$3&gt;Inputs!$B$6,H$3&lt;=Inputs!$B$6+Inputs!$B$13),G15&gt;0),H26/G15,0)</f>
        <v>2.04560200977729</v>
      </c>
      <c r="I27" s="0" t="n">
        <f aca="false">IF(AND(AND(I$3&gt;Inputs!$B$6,I$3&lt;=Inputs!$B$6+Inputs!$B$13),H15&gt;0),I26/H15,0)</f>
        <v>2.08438485585502</v>
      </c>
      <c r="J27" s="0" t="n">
        <f aca="false">IF(AND(AND(J$3&gt;Inputs!$B$6,J$3&lt;=Inputs!$B$6+Inputs!$B$13),I15&gt;0),J26/I15,0)</f>
        <v>2.12627479718014</v>
      </c>
      <c r="K27" s="0" t="n">
        <f aca="false">IF(AND(AND(K$3&gt;Inputs!$B$6,K$3&lt;=Inputs!$B$6+Inputs!$B$13),J15&gt;0),K26/J15,0)</f>
        <v>2.17308345337967</v>
      </c>
      <c r="L27" s="0" t="n">
        <f aca="false">IF(AND(AND(L$3&gt;Inputs!$B$6,L$3&lt;=Inputs!$B$6+Inputs!$B$13),K15&gt;0),L26/K15,0)</f>
        <v>2.22606478673197</v>
      </c>
      <c r="M27" s="0" t="n">
        <f aca="false">IF(AND(AND(M$3&gt;Inputs!$B$6,M$3&lt;=Inputs!$B$6+Inputs!$B$13),L15&gt;0),M26/L15,0)</f>
        <v>2.28391250928006</v>
      </c>
      <c r="N27" s="0" t="n">
        <f aca="false">IF(AND(AND(N$3&gt;Inputs!$B$6,N$3&lt;=Inputs!$B$6+Inputs!$B$13),M15&gt;0),N26/M15,0)</f>
        <v>2.34769983732972</v>
      </c>
      <c r="O27" s="0" t="n">
        <f aca="false">IF(AND(AND(O$3&gt;Inputs!$B$6,O$3&lt;=Inputs!$B$6+Inputs!$B$13),N15&gt;0),O26/N15,0)</f>
        <v>2.41254348144072</v>
      </c>
      <c r="P27" s="0" t="n">
        <f aca="false">IF(AND(AND(P$3&gt;Inputs!$B$6,P$3&lt;=Inputs!$B$6+Inputs!$B$13),O15&gt;0),P26/O15,0)</f>
        <v>2.48704076467488</v>
      </c>
      <c r="Q27" s="0" t="n">
        <f aca="false">IF(AND(AND(Q$3&gt;Inputs!$B$6,Q$3&lt;=Inputs!$B$6+Inputs!$B$13),P15&gt;0),Q26/P15,0)</f>
        <v>2.56903741410805</v>
      </c>
      <c r="R27" s="0" t="n">
        <f aca="false">IF(AND(AND(R$3&gt;Inputs!$B$6,R$3&lt;=Inputs!$B$6+Inputs!$B$13),Q15&gt;0),R26/Q15,0)</f>
        <v>2.67219889037528</v>
      </c>
      <c r="S27" s="0" t="n">
        <f aca="false">IF(AND(AND(S$3&gt;Inputs!$B$6,S$3&lt;=Inputs!$B$6+Inputs!$B$13),R15&gt;0),S26/R15,0)</f>
        <v>2.79413209281011</v>
      </c>
      <c r="T27" s="0" t="n">
        <f aca="false">IF(AND(AND(T$3&gt;Inputs!$B$6,T$3&lt;=Inputs!$B$6+Inputs!$B$13),S15&gt;0),T26/S15,0)</f>
        <v>2.94143393195986</v>
      </c>
      <c r="U27" s="0" t="n">
        <f aca="false">IF(AND(AND(U$3&gt;Inputs!$B$6,U$3&lt;=Inputs!$B$6+Inputs!$B$13),T15&gt;0),U26/T15,0)</f>
        <v>3.1147763909731</v>
      </c>
      <c r="V27" s="0" t="n">
        <f aca="false">IF(AND(AND(V$3&gt;Inputs!$B$6,V$3&lt;=Inputs!$B$6+Inputs!$B$13),U15&gt;0),V26/U15,0)</f>
        <v>3.32300005266345</v>
      </c>
      <c r="W27" s="0" t="n">
        <f aca="false">IF(AND(AND(W$3&gt;Inputs!$B$6,W$3&lt;=Inputs!$B$6+Inputs!$B$13),V15&gt;0),W26/V15,0)</f>
        <v>3.58635431810809</v>
      </c>
      <c r="X27" s="0" t="n">
        <f aca="false">IF(AND(AND(X$3&gt;Inputs!$B$6,X$3&lt;=Inputs!$B$6+Inputs!$B$13),W15&gt;0),X26/W15,0)</f>
        <v>3.93243922723812</v>
      </c>
      <c r="Y27" s="0" t="n">
        <f aca="false">IF(AND(AND(Y$3&gt;Inputs!$B$6,Y$3&lt;=Inputs!$B$6+Inputs!$B$13),X15&gt;0),Y26/X15,0)</f>
        <v>4.34906121003762</v>
      </c>
      <c r="Z27" s="0" t="n">
        <f aca="false">IF(AND(AND(Z$3&gt;Inputs!$B$6,Z$3&lt;=Inputs!$B$6+Inputs!$B$13),Y15&gt;0),Z26/Y15,0)</f>
        <v>4.90517371804955</v>
      </c>
      <c r="AA27" s="0" t="n">
        <f aca="false">IF(AND(AND(AA$3&gt;Inputs!$B$6,AA$3&lt;=Inputs!$B$6+Inputs!$B$13),Z15&gt;0),AA26/Z15,0)</f>
        <v>5.71323304097567</v>
      </c>
      <c r="AB27" s="0" t="n">
        <f aca="false">IF(AND(AND(AB$3&gt;Inputs!$B$6,AB$3&lt;=Inputs!$B$6+Inputs!$B$13),AA15&gt;0),AB26/AA15,0)</f>
        <v>7.12953801545184</v>
      </c>
      <c r="AC27" s="0" t="n">
        <f aca="false">IF(AND(AND(AC$3&gt;Inputs!$B$6,AC$3&lt;=Inputs!$B$6+Inputs!$B$13),AB15&gt;0),AC26/AB15,0)</f>
        <v>9.76000799922732</v>
      </c>
      <c r="AD27" s="0" t="n">
        <f aca="false">IF(AND(AND(AD$3&gt;Inputs!$B$6,AD$3&lt;=Inputs!$B$6+Inputs!$B$13),AC15&gt;0),AD26/AC15,0)</f>
        <v>16.4016715434368</v>
      </c>
      <c r="AE27" s="0" t="n">
        <f aca="false">IF(AND(AND(AE$3&gt;Inputs!$B$6,AE$3&lt;=Inputs!$B$6+Inputs!$B$13),AD15&gt;0),AE26/AD15,0)</f>
        <v>72.5768493690552</v>
      </c>
      <c r="AF27" s="0" t="n">
        <f aca="false">IF(AND(AND(AF$3&gt;Inputs!$B$6,AF$3&lt;=Inputs!$B$6+Inputs!$B$13),AE15&gt;0),AF26/AE15,0)</f>
        <v>0</v>
      </c>
      <c r="AG27" s="0" t="n">
        <f aca="false">IF(AND(AND(AG$3&gt;Inputs!$B$6,AG$3&lt;=Inputs!$B$6+Inputs!$B$13),AF15&gt;0),AG26/AF15,0)</f>
        <v>0</v>
      </c>
      <c r="AH27" s="0" t="n">
        <f aca="false">IF(AND(AND(AH$3&gt;Inputs!$B$6,AH$3&lt;=Inputs!$B$6+Inputs!$B$13),AG15&gt;0),AH26/AG15,0)</f>
        <v>0</v>
      </c>
      <c r="AI27" s="0" t="n">
        <f aca="false">IF(AND(AND(AI$3&gt;Inputs!$B$6,AI$3&lt;=Inputs!$B$6+Inputs!$B$13),AH15&gt;0),AI26/AH15,0)</f>
        <v>0</v>
      </c>
      <c r="AJ27" s="0" t="n">
        <f aca="false">IF(AND(AND(AJ$3&gt;Inputs!$B$6,AJ$3&lt;=Inputs!$B$6+Inputs!$B$13),AI15&gt;0),AJ26/AI15,0)</f>
        <v>0</v>
      </c>
      <c r="AK27" s="0" t="n">
        <f aca="false">IF(AND(AND(AK$3&gt;Inputs!$B$6,AK$3&lt;=Inputs!$B$6+Inputs!$B$13),AJ15&gt;0),AK26/AJ15,0)</f>
        <v>0</v>
      </c>
      <c r="AL27" s="0" t="n">
        <f aca="false">IF(AND(AND(AL$3&gt;Inputs!$B$6,AL$3&lt;=Inputs!$B$6+Inputs!$B$13),AK15&gt;0),AL26/AK15,0)</f>
        <v>0</v>
      </c>
      <c r="AM27" s="0" t="n">
        <f aca="false">IF(AND(AND(AM$3&gt;Inputs!$B$6,AM$3&lt;=Inputs!$B$6+Inputs!$B$13),AL15&gt;0),AM26/AL15,0)</f>
        <v>0</v>
      </c>
      <c r="AN27" s="0" t="n">
        <f aca="false">IF(AND(AND(AN$3&gt;Inputs!$B$6,AN$3&lt;=Inputs!$B$6+Inputs!$B$13),AM15&gt;0),AN26/AM15,0)</f>
        <v>0</v>
      </c>
      <c r="AO27" s="0" t="n">
        <f aca="false">IF(AND(AND(AO$3&gt;Inputs!$B$6,AO$3&lt;=Inputs!$B$6+Inputs!$B$13),AN15&gt;0),AO26/AN15,0)</f>
        <v>0</v>
      </c>
      <c r="AP27" s="0" t="n">
        <f aca="false">IF(AND(AND(AP$3&gt;Inputs!$B$6,AP$3&lt;=Inputs!$B$6+Inputs!$B$13),AO15&gt;0),AP26/AO15,0)</f>
        <v>0</v>
      </c>
      <c r="AQ27" s="0" t="n">
        <f aca="false">IF(AND(AND(AQ$3&gt;Inputs!$B$6,AQ$3&lt;=Inputs!$B$6+Inputs!$B$13),AP15&gt;0),AQ26/AP15,0)</f>
        <v>0</v>
      </c>
      <c r="AR27" s="0" t="n">
        <f aca="false">IF(AND(AND(AR$3&gt;Inputs!$B$6,AR$3&lt;=Inputs!$B$6+Inputs!$B$13),AQ15&gt;0),AR26/AQ15,0)</f>
        <v>0</v>
      </c>
      <c r="AS27" s="0" t="n">
        <f aca="false">IF(AND(AND(AS$3&gt;Inputs!$B$6,AS$3&lt;=Inputs!$B$6+Inputs!$B$13),AR15&gt;0),AS26/AR15,0)</f>
        <v>0</v>
      </c>
      <c r="AT27" s="0" t="n">
        <f aca="false">IF(AND(AND(AT$3&gt;Inputs!$B$6,AT$3&lt;=Inputs!$B$6+Inputs!$B$13),AS15&gt;0),AT26/AS15,0)</f>
        <v>0</v>
      </c>
      <c r="AU27" s="0" t="n">
        <f aca="false">IF(AND(AND(AU$3&gt;Inputs!$B$6,AU$3&lt;=Inputs!$B$6+Inputs!$B$13),AT15&gt;0),AU26/AT15,0)</f>
        <v>0</v>
      </c>
      <c r="AV27" s="0" t="n">
        <f aca="false">IF(AND(AND(AV$3&gt;Inputs!$B$6,AV$3&lt;=Inputs!$B$6+Inputs!$B$13),AU15&gt;0),AV26/AU15,0)</f>
        <v>0</v>
      </c>
      <c r="AW27" s="0" t="n">
        <f aca="false">IF(AND(AND(AW$3&gt;Inputs!$B$6,AW$3&lt;=Inputs!$B$6+Inputs!$B$13),AV15&gt;0),AW26/AV15,0)</f>
        <v>0</v>
      </c>
      <c r="AX27" s="0" t="n">
        <f aca="false">IF(AND(AND(AX$3&gt;Inputs!$B$6,AX$3&lt;=Inputs!$B$6+Inputs!$B$13),AW15&gt;0),AX26/AW15,0)</f>
        <v>0</v>
      </c>
      <c r="AY27" s="0" t="n">
        <f aca="false">IF(AND(AND(AY$3&gt;Inputs!$B$6,AY$3&lt;=Inputs!$B$6+Inputs!$B$13),AX15&gt;0),AY26/AX15,0)</f>
        <v>0</v>
      </c>
      <c r="AZ27" s="0" t="n">
        <f aca="false">IF(AND(AND(AZ$3&gt;Inputs!$B$6,AZ$3&lt;=Inputs!$B$6+Inputs!$B$13),AY15&gt;0),AZ26/AY15,0)</f>
        <v>0</v>
      </c>
      <c r="BA27" s="0" t="n">
        <f aca="false">IF(AND(AND(BA$3&gt;Inputs!$B$6,BA$3&lt;=Inputs!$B$6+Inputs!$B$13),AZ15&gt;0),BA26/AZ15,0)</f>
        <v>0</v>
      </c>
      <c r="BB27" s="0" t="n">
        <f aca="false">IF(AND(AND(BB$3&gt;Inputs!$B$6,BB$3&lt;=Inputs!$B$6+Inputs!$B$13),BA15&gt;0),BB26/BA15,0)</f>
        <v>0</v>
      </c>
      <c r="BC27" s="0" t="n">
        <f aca="false">IF(AND(AND(BC$3&gt;Inputs!$B$6,BC$3&lt;=Inputs!$B$6+Inputs!$B$13),BB15&gt;0),BC26/BB15,0)</f>
        <v>0</v>
      </c>
      <c r="BD27" s="0" t="n">
        <f aca="false">IF(AND(AND(BD$3&gt;Inputs!$B$6,BD$3&lt;=Inputs!$B$6+Inputs!$B$13),BC15&gt;0),BD26/BC15,0)</f>
        <v>0</v>
      </c>
      <c r="BE27" s="0" t="n">
        <f aca="false">IF(AND(AND(BE$3&gt;Inputs!$B$6,BE$3&lt;=Inputs!$B$6+Inputs!$B$13),BD15&gt;0),BE26/BD15,0)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45</v>
      </c>
      <c r="B3" s="4" t="n">
        <f aca="false">XIRR('Cash Flow'!B24:BE24,'Cash Flow'!B4:BE4)</f>
        <v>0.102404168649373</v>
      </c>
    </row>
    <row r="4" customFormat="false" ht="15" hidden="false" customHeight="false" outlineLevel="0" collapsed="false">
      <c r="A4" s="0" t="s">
        <v>46</v>
      </c>
      <c r="B4" s="5" t="n">
        <f aca="false">_xlfn.MINIFS('Cash Flow'!C25:BE25,'Cash Flow'!C25:BE25,"&gt;0")</f>
        <v>1.3</v>
      </c>
    </row>
    <row r="5" customFormat="false" ht="15" hidden="false" customHeight="false" outlineLevel="0" collapsed="false">
      <c r="A5" s="0" t="s">
        <v>47</v>
      </c>
      <c r="B5" s="5" t="n">
        <f aca="false">_xlfn.MINIFS('Cash Flow'!C27:BE27,'Cash Flow'!C27:BE27,"&gt;0")</f>
        <v>2.04560200977729</v>
      </c>
    </row>
    <row r="6" customFormat="false" ht="15" hidden="false" customHeight="false" outlineLevel="0" collapsed="false">
      <c r="A6" s="0" t="s">
        <v>48</v>
      </c>
      <c r="B6" s="3" t="n">
        <f aca="false">MAX('Cash Flow'!B15:BE15)</f>
        <v>125800000</v>
      </c>
    </row>
    <row r="7" customFormat="false" ht="15" hidden="false" customHeight="false" outlineLevel="0" collapsed="false">
      <c r="A7" s="0" t="s">
        <v>49</v>
      </c>
      <c r="B7" s="4" t="n">
        <f aca="false">B6/Inputs!$B$5</f>
        <v>0.85</v>
      </c>
    </row>
    <row r="8" customFormat="false" ht="15" hidden="false" customHeight="false" outlineLevel="0" collapsed="false">
      <c r="A8" s="0" t="s">
        <v>50</v>
      </c>
      <c r="B8" s="3" t="n">
        <f aca="false">SUM('Cash Flow'!B23:BE23)</f>
        <v>107763405.249036</v>
      </c>
    </row>
    <row r="9" customFormat="false" ht="15" hidden="false" customHeight="false" outlineLevel="0" collapsed="false">
      <c r="A9" s="0" t="s">
        <v>51</v>
      </c>
      <c r="B9" s="3" t="n">
        <f aca="false">SUM('Cash Flow'!B10:BE10)</f>
        <v>33064251.6734254</v>
      </c>
    </row>
    <row r="10" customFormat="false" ht="15" hidden="false" customHeight="false" outlineLevel="0" collapsed="false">
      <c r="A10" s="0" t="s">
        <v>52</v>
      </c>
      <c r="B10" s="3" t="n">
        <f aca="false">SUM('Cash Flow'!B24:BE24)</f>
        <v>126788385.451826</v>
      </c>
    </row>
    <row r="11" customFormat="false" ht="15" hidden="false" customHeight="false" outlineLevel="0" collapsed="false">
      <c r="A11" s="0" t="s">
        <v>53</v>
      </c>
      <c r="B11" s="6" t="str">
        <f aca="false">IF(Inputs!$B$3=1,"Sponsor","Lenders")</f>
        <v>Sponsor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2026-10-17T14:18:32Z</dcterms:created>
  <dc:creator>openpyxl</dc:creator>
  <dc:description/>
  <dc:language>en-US</dc:language>
  <cp:lastModifiedBy/>
  <dcterms:modified xsi:type="dcterms:W3CDTF">2026-10-17T14:18:32Z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