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urve" sheetId="2" state="visible" r:id="rId2"/>
    <sheet name="Cash Flow" sheetId="3" state="visible" r:id="rId3"/>
    <sheet name="Returns" sheetId="4" state="visible" r:id="rId4"/>
  </sheets>
  <definedNames/>
  <calcPr calcId="124519" fullCalcOnLoad="1" iterate="1" iterateCount="1000" iterateDelta="0.00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&quot;x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POINT CONDOMINIUMS – JV DEVELOPMENT (USD)</t>
        </is>
      </c>
    </row>
    <row r="3">
      <c r="A3" t="inlineStr">
        <is>
          <t>Units</t>
        </is>
      </c>
      <c r="B3" s="1" t="n">
        <v>240</v>
      </c>
    </row>
    <row r="4">
      <c r="A4" t="inlineStr">
        <is>
          <t>Average sale price ($ per unit)</t>
        </is>
      </c>
      <c r="B4" s="1" t="n">
        <v>650000</v>
      </c>
    </row>
    <row r="5">
      <c r="A5" t="inlineStr">
        <is>
          <t>Sales start (month)</t>
        </is>
      </c>
      <c r="B5" s="2" t="n">
        <v>24</v>
      </c>
    </row>
    <row r="6">
      <c r="A6" t="inlineStr">
        <is>
          <t>Sales pace (units per month)</t>
        </is>
      </c>
      <c r="B6" s="2" t="n">
        <v>10</v>
      </c>
    </row>
    <row r="7">
      <c r="A7" t="inlineStr">
        <is>
          <t>Selling costs</t>
        </is>
      </c>
      <c r="B7" s="3" t="n">
        <v>0.03</v>
      </c>
    </row>
    <row r="8">
      <c r="A8" t="inlineStr">
        <is>
          <t>Land ($)</t>
        </is>
      </c>
      <c r="B8" s="1" t="n">
        <v>18000000</v>
      </c>
    </row>
    <row r="9">
      <c r="A9" t="inlineStr">
        <is>
          <t>Hard costs ($)</t>
        </is>
      </c>
      <c r="B9" s="1" t="n">
        <v>72000000</v>
      </c>
    </row>
    <row r="10">
      <c r="A10" t="inlineStr">
        <is>
          <t>Construction start (month)</t>
        </is>
      </c>
      <c r="B10" s="2" t="n">
        <v>3</v>
      </c>
    </row>
    <row r="11">
      <c r="A11" t="inlineStr">
        <is>
          <t>Soft costs (% of hard)</t>
        </is>
      </c>
      <c r="B11" s="3" t="n">
        <v>0.12</v>
      </c>
    </row>
    <row r="12">
      <c r="A12" t="inlineStr">
        <is>
          <t>Contingency (% of hard)</t>
        </is>
      </c>
      <c r="B12" s="3" t="n">
        <v>0.05</v>
      </c>
    </row>
    <row r="13">
      <c r="A13" t="inlineStr">
        <is>
          <t>Loan to cost</t>
        </is>
      </c>
      <c r="B13" s="3" t="n">
        <v>0.6</v>
      </c>
    </row>
    <row r="14">
      <c r="A14" t="inlineStr">
        <is>
          <t>Construction loan interest rate</t>
        </is>
      </c>
      <c r="B14" s="3" t="n">
        <v>0.075</v>
      </c>
    </row>
    <row r="15">
      <c r="A15" t="inlineStr">
        <is>
          <t>Arrangement fee (% of facility)</t>
        </is>
      </c>
      <c r="B15" s="3" t="n">
        <v>0.01</v>
      </c>
    </row>
    <row r="16">
      <c r="A16" t="inlineStr">
        <is>
          <t>LP share of equity</t>
        </is>
      </c>
      <c r="B16" s="3" t="n">
        <v>0.9</v>
      </c>
    </row>
    <row r="17">
      <c r="A17" t="inlineStr">
        <is>
          <t>Preferred return (tier 1 hurdle)</t>
        </is>
      </c>
      <c r="B17" s="3" t="n">
        <v>0.08</v>
      </c>
    </row>
    <row r="18">
      <c r="A18" t="inlineStr">
        <is>
          <t>Tier 2 hurdle IRR</t>
        </is>
      </c>
      <c r="B18" s="3" t="n">
        <v>0.15</v>
      </c>
    </row>
    <row r="19">
      <c r="A19" t="inlineStr">
        <is>
          <t>LP share above tier 1</t>
        </is>
      </c>
      <c r="B19" s="3" t="n">
        <v>0.75</v>
      </c>
    </row>
    <row r="20">
      <c r="A20" t="inlineStr">
        <is>
          <t>LP share above tier 2</t>
        </is>
      </c>
      <c r="B20" s="3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of build</t>
        </is>
      </c>
      <c r="B1" t="inlineStr">
        <is>
          <t>Share of hard cost</t>
        </is>
      </c>
    </row>
    <row r="2">
      <c r="A2" t="n">
        <v>1</v>
      </c>
      <c r="B2" s="4" t="n">
        <v>0.00427757</v>
      </c>
    </row>
    <row r="3">
      <c r="A3" t="n">
        <v>2</v>
      </c>
      <c r="B3" s="4" t="n">
        <v>0.01275952</v>
      </c>
    </row>
    <row r="4">
      <c r="A4" t="n">
        <v>3</v>
      </c>
      <c r="B4" s="4" t="n">
        <v>0.02102315</v>
      </c>
    </row>
    <row r="5">
      <c r="A5" t="n">
        <v>4</v>
      </c>
      <c r="B5" s="4" t="n">
        <v>0.02892706</v>
      </c>
    </row>
    <row r="6">
      <c r="A6" t="n">
        <v>5</v>
      </c>
      <c r="B6" s="4" t="n">
        <v>0.03633603</v>
      </c>
    </row>
    <row r="7">
      <c r="A7" t="n">
        <v>6</v>
      </c>
      <c r="B7" s="4" t="n">
        <v>0.04312328</v>
      </c>
    </row>
    <row r="8">
      <c r="A8" t="n">
        <v>7</v>
      </c>
      <c r="B8" s="4" t="n">
        <v>0.04917268</v>
      </c>
    </row>
    <row r="9">
      <c r="A9" t="n">
        <v>8</v>
      </c>
      <c r="B9" s="4" t="n">
        <v>0.05438071</v>
      </c>
    </row>
    <row r="10">
      <c r="A10" t="n">
        <v>9</v>
      </c>
      <c r="B10" s="4" t="n">
        <v>0.05865828</v>
      </c>
    </row>
    <row r="11">
      <c r="A11" t="n">
        <v>10</v>
      </c>
      <c r="B11" s="4" t="n">
        <v>0.06193219</v>
      </c>
    </row>
    <row r="12">
      <c r="A12" t="n">
        <v>11</v>
      </c>
      <c r="B12" s="4" t="n">
        <v>0.06414643</v>
      </c>
    </row>
    <row r="13">
      <c r="A13" t="n">
        <v>12</v>
      </c>
      <c r="B13" s="4" t="n">
        <v>0.0652631</v>
      </c>
    </row>
    <row r="14">
      <c r="A14" t="n">
        <v>13</v>
      </c>
      <c r="B14" s="4" t="n">
        <v>0.0652631</v>
      </c>
    </row>
    <row r="15">
      <c r="A15" t="n">
        <v>14</v>
      </c>
      <c r="B15" s="4" t="n">
        <v>0.06414643</v>
      </c>
    </row>
    <row r="16">
      <c r="A16" t="n">
        <v>15</v>
      </c>
      <c r="B16" s="4" t="n">
        <v>0.06193219</v>
      </c>
    </row>
    <row r="17">
      <c r="A17" t="n">
        <v>16</v>
      </c>
      <c r="B17" s="4" t="n">
        <v>0.05865828</v>
      </c>
    </row>
    <row r="18">
      <c r="A18" t="n">
        <v>17</v>
      </c>
      <c r="B18" s="4" t="n">
        <v>0.05438071</v>
      </c>
    </row>
    <row r="19">
      <c r="A19" t="n">
        <v>18</v>
      </c>
      <c r="B19" s="4" t="n">
        <v>0.04917268</v>
      </c>
    </row>
    <row r="20">
      <c r="A20" t="n">
        <v>19</v>
      </c>
      <c r="B20" s="4" t="n">
        <v>0.04312328</v>
      </c>
    </row>
    <row r="21">
      <c r="A21" t="n">
        <v>20</v>
      </c>
      <c r="B21" s="4" t="n">
        <v>0.03633603</v>
      </c>
    </row>
    <row r="22">
      <c r="A22" t="n">
        <v>21</v>
      </c>
      <c r="B22" s="4" t="n">
        <v>0.02892706</v>
      </c>
    </row>
    <row r="23">
      <c r="A23" t="n">
        <v>22</v>
      </c>
      <c r="B23" s="4" t="n">
        <v>0.02102315</v>
      </c>
    </row>
    <row r="24">
      <c r="A24" t="n">
        <v>23</v>
      </c>
      <c r="B24" s="4" t="n">
        <v>0.01275952</v>
      </c>
    </row>
    <row r="25">
      <c r="A25" t="n">
        <v>24</v>
      </c>
      <c r="B25" s="4" t="n">
        <v>0.00427757</v>
      </c>
    </row>
    <row r="26">
      <c r="A26" t="inlineStr">
        <is>
          <t>Total</t>
        </is>
      </c>
      <c r="B26">
        <f>SUM(B2:B25)</f>
        <v>0.9999999999999999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W35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11</v>
      </c>
      <c r="N3" t="n">
        <v>12</v>
      </c>
      <c r="O3" t="n">
        <v>13</v>
      </c>
      <c r="P3" t="n">
        <v>14</v>
      </c>
      <c r="Q3" t="n">
        <v>15</v>
      </c>
      <c r="R3" t="n">
        <v>16</v>
      </c>
      <c r="S3" t="n">
        <v>17</v>
      </c>
      <c r="T3" t="n">
        <v>18</v>
      </c>
      <c r="U3" t="n">
        <v>19</v>
      </c>
      <c r="V3" t="n">
        <v>20</v>
      </c>
      <c r="W3" t="n">
        <v>21</v>
      </c>
      <c r="X3" t="n">
        <v>22</v>
      </c>
      <c r="Y3" t="n">
        <v>23</v>
      </c>
      <c r="Z3" t="n">
        <v>24</v>
      </c>
      <c r="AA3" t="n">
        <v>25</v>
      </c>
      <c r="AB3" t="n">
        <v>26</v>
      </c>
      <c r="AC3" t="n">
        <v>27</v>
      </c>
      <c r="AD3" t="n">
        <v>28</v>
      </c>
      <c r="AE3" t="n">
        <v>29</v>
      </c>
      <c r="AF3" t="n">
        <v>30</v>
      </c>
      <c r="AG3" t="n">
        <v>31</v>
      </c>
      <c r="AH3" t="n">
        <v>32</v>
      </c>
      <c r="AI3" t="n">
        <v>33</v>
      </c>
      <c r="AJ3" t="n">
        <v>34</v>
      </c>
      <c r="AK3" t="n">
        <v>35</v>
      </c>
      <c r="AL3" t="n">
        <v>36</v>
      </c>
      <c r="AM3" t="n">
        <v>37</v>
      </c>
      <c r="AN3" t="n">
        <v>38</v>
      </c>
      <c r="AO3" t="n">
        <v>39</v>
      </c>
      <c r="AP3" t="n">
        <v>40</v>
      </c>
      <c r="AQ3" t="n">
        <v>41</v>
      </c>
      <c r="AR3" t="n">
        <v>42</v>
      </c>
      <c r="AS3" t="n">
        <v>43</v>
      </c>
      <c r="AT3" t="n">
        <v>44</v>
      </c>
      <c r="AU3" t="n">
        <v>45</v>
      </c>
      <c r="AV3" t="n">
        <v>46</v>
      </c>
      <c r="AW3" t="n">
        <v>47</v>
      </c>
    </row>
    <row r="4">
      <c r="A4" t="inlineStr">
        <is>
          <t>Land</t>
        </is>
      </c>
      <c r="B4">
        <f>IF(B$3=0,Assumptions!$B$8,0)</f>
        <v>18000000.0</v>
      </c>
      <c r="C4">
        <f>IF(C$3=0,Assumptions!$B$8,0)</f>
        <v>0.0</v>
      </c>
      <c r="D4">
        <f>IF(D$3=0,Assumptions!$B$8,0)</f>
        <v>0.0</v>
      </c>
      <c r="E4">
        <f>IF(E$3=0,Assumptions!$B$8,0)</f>
        <v>0.0</v>
      </c>
      <c r="F4">
        <f>IF(F$3=0,Assumptions!$B$8,0)</f>
        <v>0.0</v>
      </c>
      <c r="G4">
        <f>IF(G$3=0,Assumptions!$B$8,0)</f>
        <v>0.0</v>
      </c>
      <c r="H4">
        <f>IF(H$3=0,Assumptions!$B$8,0)</f>
        <v>0.0</v>
      </c>
      <c r="I4">
        <f>IF(I$3=0,Assumptions!$B$8,0)</f>
        <v>0.0</v>
      </c>
      <c r="J4">
        <f>IF(J$3=0,Assumptions!$B$8,0)</f>
        <v>0.0</v>
      </c>
      <c r="K4">
        <f>IF(K$3=0,Assumptions!$B$8,0)</f>
        <v>0.0</v>
      </c>
      <c r="L4">
        <f>IF(L$3=0,Assumptions!$B$8,0)</f>
        <v>0.0</v>
      </c>
      <c r="M4">
        <f>IF(M$3=0,Assumptions!$B$8,0)</f>
        <v>0.0</v>
      </c>
      <c r="N4">
        <f>IF(N$3=0,Assumptions!$B$8,0)</f>
        <v>0.0</v>
      </c>
      <c r="O4">
        <f>IF(O$3=0,Assumptions!$B$8,0)</f>
        <v>0.0</v>
      </c>
      <c r="P4">
        <f>IF(P$3=0,Assumptions!$B$8,0)</f>
        <v>0.0</v>
      </c>
      <c r="Q4">
        <f>IF(Q$3=0,Assumptions!$B$8,0)</f>
        <v>0.0</v>
      </c>
      <c r="R4">
        <f>IF(R$3=0,Assumptions!$B$8,0)</f>
        <v>0.0</v>
      </c>
      <c r="S4">
        <f>IF(S$3=0,Assumptions!$B$8,0)</f>
        <v>0.0</v>
      </c>
      <c r="T4">
        <f>IF(T$3=0,Assumptions!$B$8,0)</f>
        <v>0.0</v>
      </c>
      <c r="U4">
        <f>IF(U$3=0,Assumptions!$B$8,0)</f>
        <v>0.0</v>
      </c>
      <c r="V4">
        <f>IF(V$3=0,Assumptions!$B$8,0)</f>
        <v>0.0</v>
      </c>
      <c r="W4">
        <f>IF(W$3=0,Assumptions!$B$8,0)</f>
        <v>0.0</v>
      </c>
      <c r="X4">
        <f>IF(X$3=0,Assumptions!$B$8,0)</f>
        <v>0.0</v>
      </c>
      <c r="Y4">
        <f>IF(Y$3=0,Assumptions!$B$8,0)</f>
        <v>0.0</v>
      </c>
      <c r="Z4">
        <f>IF(Z$3=0,Assumptions!$B$8,0)</f>
        <v>0.0</v>
      </c>
      <c r="AA4">
        <f>IF(AA$3=0,Assumptions!$B$8,0)</f>
        <v>0.0</v>
      </c>
      <c r="AB4">
        <f>IF(AB$3=0,Assumptions!$B$8,0)</f>
        <v>0.0</v>
      </c>
      <c r="AC4">
        <f>IF(AC$3=0,Assumptions!$B$8,0)</f>
        <v>0.0</v>
      </c>
      <c r="AD4">
        <f>IF(AD$3=0,Assumptions!$B$8,0)</f>
        <v>0.0</v>
      </c>
      <c r="AE4">
        <f>IF(AE$3=0,Assumptions!$B$8,0)</f>
        <v>0.0</v>
      </c>
      <c r="AF4">
        <f>IF(AF$3=0,Assumptions!$B$8,0)</f>
        <v>0.0</v>
      </c>
      <c r="AG4">
        <f>IF(AG$3=0,Assumptions!$B$8,0)</f>
        <v>0.0</v>
      </c>
      <c r="AH4">
        <f>IF(AH$3=0,Assumptions!$B$8,0)</f>
        <v>0.0</v>
      </c>
      <c r="AI4">
        <f>IF(AI$3=0,Assumptions!$B$8,0)</f>
        <v>0.0</v>
      </c>
      <c r="AJ4">
        <f>IF(AJ$3=0,Assumptions!$B$8,0)</f>
        <v>0.0</v>
      </c>
      <c r="AK4">
        <f>IF(AK$3=0,Assumptions!$B$8,0)</f>
        <v>0.0</v>
      </c>
      <c r="AL4">
        <f>IF(AL$3=0,Assumptions!$B$8,0)</f>
        <v>0.0</v>
      </c>
      <c r="AM4">
        <f>IF(AM$3=0,Assumptions!$B$8,0)</f>
        <v>0.0</v>
      </c>
      <c r="AN4">
        <f>IF(AN$3=0,Assumptions!$B$8,0)</f>
        <v>0.0</v>
      </c>
      <c r="AO4">
        <f>IF(AO$3=0,Assumptions!$B$8,0)</f>
        <v>0.0</v>
      </c>
      <c r="AP4">
        <f>IF(AP$3=0,Assumptions!$B$8,0)</f>
        <v>0.0</v>
      </c>
      <c r="AQ4">
        <f>IF(AQ$3=0,Assumptions!$B$8,0)</f>
        <v>0.0</v>
      </c>
      <c r="AR4">
        <f>IF(AR$3=0,Assumptions!$B$8,0)</f>
        <v>0.0</v>
      </c>
      <c r="AS4">
        <f>IF(AS$3=0,Assumptions!$B$8,0)</f>
        <v>0.0</v>
      </c>
      <c r="AT4">
        <f>IF(AT$3=0,Assumptions!$B$8,0)</f>
        <v>0.0</v>
      </c>
      <c r="AU4">
        <f>IF(AU$3=0,Assumptions!$B$8,0)</f>
        <v>0.0</v>
      </c>
      <c r="AV4">
        <f>IF(AV$3=0,Assumptions!$B$8,0)</f>
        <v>0.0</v>
      </c>
      <c r="AW4">
        <f>IF(AW$3=0,Assumptions!$B$8,0)</f>
        <v>0.0</v>
      </c>
    </row>
    <row r="5">
      <c r="A5" t="inlineStr">
        <is>
          <t>Hard costs</t>
        </is>
      </c>
      <c r="B5">
        <f>IF(AND(B$3&gt;=Assumptions!$B$10,B$3&lt;Assumptions!$B$10+24),Assumptions!$B$9*INDEX(Curve!$B$2:$B$25,B$3-Assumptions!$B$10+1),0)</f>
        <v>0.0</v>
      </c>
      <c r="C5">
        <f>IF(AND(C$3&gt;=Assumptions!$B$10,C$3&lt;Assumptions!$B$10+24),Assumptions!$B$9*INDEX(Curve!$B$2:$B$25,C$3-Assumptions!$B$10+1),0)</f>
        <v>0.0</v>
      </c>
      <c r="D5">
        <f>IF(AND(D$3&gt;=Assumptions!$B$10,D$3&lt;Assumptions!$B$10+24),Assumptions!$B$9*INDEX(Curve!$B$2:$B$25,D$3-Assumptions!$B$10+1),0)</f>
        <v>0.0</v>
      </c>
      <c r="E5">
        <f>IF(AND(E$3&gt;=Assumptions!$B$10,E$3&lt;Assumptions!$B$10+24),Assumptions!$B$9*INDEX(Curve!$B$2:$B$25,E$3-Assumptions!$B$10+1),0)</f>
        <v>307985.04</v>
      </c>
      <c r="F5">
        <f>IF(AND(F$3&gt;=Assumptions!$B$10,F$3&lt;Assumptions!$B$10+24),Assumptions!$B$9*INDEX(Curve!$B$2:$B$25,F$3-Assumptions!$B$10+1),0)</f>
        <v>918685.44</v>
      </c>
      <c r="G5">
        <f>IF(AND(G$3&gt;=Assumptions!$B$10,G$3&lt;Assumptions!$B$10+24),Assumptions!$B$9*INDEX(Curve!$B$2:$B$25,G$3-Assumptions!$B$10+1),0)</f>
        <v>1513666.8</v>
      </c>
      <c r="H5">
        <f>IF(AND(H$3&gt;=Assumptions!$B$10,H$3&lt;Assumptions!$B$10+24),Assumptions!$B$9*INDEX(Curve!$B$2:$B$25,H$3-Assumptions!$B$10+1),0)</f>
        <v>2082748.32</v>
      </c>
      <c r="I5">
        <f>IF(AND(I$3&gt;=Assumptions!$B$10,I$3&lt;Assumptions!$B$10+24),Assumptions!$B$9*INDEX(Curve!$B$2:$B$25,I$3-Assumptions!$B$10+1),0)</f>
        <v>2616194.1599999997</v>
      </c>
      <c r="J5">
        <f>IF(AND(J$3&gt;=Assumptions!$B$10,J$3&lt;Assumptions!$B$10+24),Assumptions!$B$9*INDEX(Curve!$B$2:$B$25,J$3-Assumptions!$B$10+1),0)</f>
        <v>3104876.16</v>
      </c>
      <c r="K5">
        <f>IF(AND(K$3&gt;=Assumptions!$B$10,K$3&lt;Assumptions!$B$10+24),Assumptions!$B$9*INDEX(Curve!$B$2:$B$25,K$3-Assumptions!$B$10+1),0)</f>
        <v>3540432.9600000004</v>
      </c>
      <c r="L5">
        <f>IF(AND(L$3&gt;=Assumptions!$B$10,L$3&lt;Assumptions!$B$10+24),Assumptions!$B$9*INDEX(Curve!$B$2:$B$25,L$3-Assumptions!$B$10+1),0)</f>
        <v>3915411.12</v>
      </c>
      <c r="M5">
        <f>IF(AND(M$3&gt;=Assumptions!$B$10,M$3&lt;Assumptions!$B$10+24),Assumptions!$B$9*INDEX(Curve!$B$2:$B$25,M$3-Assumptions!$B$10+1),0)</f>
        <v>4223396.16</v>
      </c>
      <c r="N5">
        <f>IF(AND(N$3&gt;=Assumptions!$B$10,N$3&lt;Assumptions!$B$10+24),Assumptions!$B$9*INDEX(Curve!$B$2:$B$25,N$3-Assumptions!$B$10+1),0)</f>
        <v>4459117.68</v>
      </c>
      <c r="O5">
        <f>IF(AND(O$3&gt;=Assumptions!$B$10,O$3&lt;Assumptions!$B$10+24),Assumptions!$B$9*INDEX(Curve!$B$2:$B$25,O$3-Assumptions!$B$10+1),0)</f>
        <v>4618542.96</v>
      </c>
      <c r="P5">
        <f>IF(AND(P$3&gt;=Assumptions!$B$10,P$3&lt;Assumptions!$B$10+24),Assumptions!$B$9*INDEX(Curve!$B$2:$B$25,P$3-Assumptions!$B$10+1),0)</f>
        <v>4698943.2</v>
      </c>
      <c r="Q5">
        <f>IF(AND(Q$3&gt;=Assumptions!$B$10,Q$3&lt;Assumptions!$B$10+24),Assumptions!$B$9*INDEX(Curve!$B$2:$B$25,Q$3-Assumptions!$B$10+1),0)</f>
        <v>4698943.2</v>
      </c>
      <c r="R5">
        <f>IF(AND(R$3&gt;=Assumptions!$B$10,R$3&lt;Assumptions!$B$10+24),Assumptions!$B$9*INDEX(Curve!$B$2:$B$25,R$3-Assumptions!$B$10+1),0)</f>
        <v>4618542.96</v>
      </c>
      <c r="S5">
        <f>IF(AND(S$3&gt;=Assumptions!$B$10,S$3&lt;Assumptions!$B$10+24),Assumptions!$B$9*INDEX(Curve!$B$2:$B$25,S$3-Assumptions!$B$10+1),0)</f>
        <v>4459117.68</v>
      </c>
      <c r="T5">
        <f>IF(AND(T$3&gt;=Assumptions!$B$10,T$3&lt;Assumptions!$B$10+24),Assumptions!$B$9*INDEX(Curve!$B$2:$B$25,T$3-Assumptions!$B$10+1),0)</f>
        <v>4223396.16</v>
      </c>
      <c r="U5">
        <f>IF(AND(U$3&gt;=Assumptions!$B$10,U$3&lt;Assumptions!$B$10+24),Assumptions!$B$9*INDEX(Curve!$B$2:$B$25,U$3-Assumptions!$B$10+1),0)</f>
        <v>3915411.12</v>
      </c>
      <c r="V5">
        <f>IF(AND(V$3&gt;=Assumptions!$B$10,V$3&lt;Assumptions!$B$10+24),Assumptions!$B$9*INDEX(Curve!$B$2:$B$25,V$3-Assumptions!$B$10+1),0)</f>
        <v>3540432.9600000004</v>
      </c>
      <c r="W5">
        <f>IF(AND(W$3&gt;=Assumptions!$B$10,W$3&lt;Assumptions!$B$10+24),Assumptions!$B$9*INDEX(Curve!$B$2:$B$25,W$3-Assumptions!$B$10+1),0)</f>
        <v>3104876.16</v>
      </c>
      <c r="X5">
        <f>IF(AND(X$3&gt;=Assumptions!$B$10,X$3&lt;Assumptions!$B$10+24),Assumptions!$B$9*INDEX(Curve!$B$2:$B$25,X$3-Assumptions!$B$10+1),0)</f>
        <v>2616194.1599999997</v>
      </c>
      <c r="Y5">
        <f>IF(AND(Y$3&gt;=Assumptions!$B$10,Y$3&lt;Assumptions!$B$10+24),Assumptions!$B$9*INDEX(Curve!$B$2:$B$25,Y$3-Assumptions!$B$10+1),0)</f>
        <v>2082748.32</v>
      </c>
      <c r="Z5">
        <f>IF(AND(Z$3&gt;=Assumptions!$B$10,Z$3&lt;Assumptions!$B$10+24),Assumptions!$B$9*INDEX(Curve!$B$2:$B$25,Z$3-Assumptions!$B$10+1),0)</f>
        <v>1513666.8</v>
      </c>
      <c r="AA5">
        <f>IF(AND(AA$3&gt;=Assumptions!$B$10,AA$3&lt;Assumptions!$B$10+24),Assumptions!$B$9*INDEX(Curve!$B$2:$B$25,AA$3-Assumptions!$B$10+1),0)</f>
        <v>918685.44</v>
      </c>
      <c r="AB5">
        <f>IF(AND(AB$3&gt;=Assumptions!$B$10,AB$3&lt;Assumptions!$B$10+24),Assumptions!$B$9*INDEX(Curve!$B$2:$B$25,AB$3-Assumptions!$B$10+1),0)</f>
        <v>307985.04</v>
      </c>
      <c r="AC5">
        <f>IF(AND(AC$3&gt;=Assumptions!$B$10,AC$3&lt;Assumptions!$B$10+24),Assumptions!$B$9*INDEX(Curve!$B$2:$B$25,AC$3-Assumptions!$B$10+1),0)</f>
        <v>0.0</v>
      </c>
      <c r="AD5">
        <f>IF(AND(AD$3&gt;=Assumptions!$B$10,AD$3&lt;Assumptions!$B$10+24),Assumptions!$B$9*INDEX(Curve!$B$2:$B$25,AD$3-Assumptions!$B$10+1),0)</f>
        <v>0.0</v>
      </c>
      <c r="AE5">
        <f>IF(AND(AE$3&gt;=Assumptions!$B$10,AE$3&lt;Assumptions!$B$10+24),Assumptions!$B$9*INDEX(Curve!$B$2:$B$25,AE$3-Assumptions!$B$10+1),0)</f>
        <v>0.0</v>
      </c>
      <c r="AF5">
        <f>IF(AND(AF$3&gt;=Assumptions!$B$10,AF$3&lt;Assumptions!$B$10+24),Assumptions!$B$9*INDEX(Curve!$B$2:$B$25,AF$3-Assumptions!$B$10+1),0)</f>
        <v>0.0</v>
      </c>
      <c r="AG5">
        <f>IF(AND(AG$3&gt;=Assumptions!$B$10,AG$3&lt;Assumptions!$B$10+24),Assumptions!$B$9*INDEX(Curve!$B$2:$B$25,AG$3-Assumptions!$B$10+1),0)</f>
        <v>0.0</v>
      </c>
      <c r="AH5">
        <f>IF(AND(AH$3&gt;=Assumptions!$B$10,AH$3&lt;Assumptions!$B$10+24),Assumptions!$B$9*INDEX(Curve!$B$2:$B$25,AH$3-Assumptions!$B$10+1),0)</f>
        <v>0.0</v>
      </c>
      <c r="AI5">
        <f>IF(AND(AI$3&gt;=Assumptions!$B$10,AI$3&lt;Assumptions!$B$10+24),Assumptions!$B$9*INDEX(Curve!$B$2:$B$25,AI$3-Assumptions!$B$10+1),0)</f>
        <v>0.0</v>
      </c>
      <c r="AJ5">
        <f>IF(AND(AJ$3&gt;=Assumptions!$B$10,AJ$3&lt;Assumptions!$B$10+24),Assumptions!$B$9*INDEX(Curve!$B$2:$B$25,AJ$3-Assumptions!$B$10+1),0)</f>
        <v>0.0</v>
      </c>
      <c r="AK5">
        <f>IF(AND(AK$3&gt;=Assumptions!$B$10,AK$3&lt;Assumptions!$B$10+24),Assumptions!$B$9*INDEX(Curve!$B$2:$B$25,AK$3-Assumptions!$B$10+1),0)</f>
        <v>0.0</v>
      </c>
      <c r="AL5">
        <f>IF(AND(AL$3&gt;=Assumptions!$B$10,AL$3&lt;Assumptions!$B$10+24),Assumptions!$B$9*INDEX(Curve!$B$2:$B$25,AL$3-Assumptions!$B$10+1),0)</f>
        <v>0.0</v>
      </c>
      <c r="AM5">
        <f>IF(AND(AM$3&gt;=Assumptions!$B$10,AM$3&lt;Assumptions!$B$10+24),Assumptions!$B$9*INDEX(Curve!$B$2:$B$25,AM$3-Assumptions!$B$10+1),0)</f>
        <v>0.0</v>
      </c>
      <c r="AN5">
        <f>IF(AND(AN$3&gt;=Assumptions!$B$10,AN$3&lt;Assumptions!$B$10+24),Assumptions!$B$9*INDEX(Curve!$B$2:$B$25,AN$3-Assumptions!$B$10+1),0)</f>
        <v>0.0</v>
      </c>
      <c r="AO5">
        <f>IF(AND(AO$3&gt;=Assumptions!$B$10,AO$3&lt;Assumptions!$B$10+24),Assumptions!$B$9*INDEX(Curve!$B$2:$B$25,AO$3-Assumptions!$B$10+1),0)</f>
        <v>0.0</v>
      </c>
      <c r="AP5">
        <f>IF(AND(AP$3&gt;=Assumptions!$B$10,AP$3&lt;Assumptions!$B$10+24),Assumptions!$B$9*INDEX(Curve!$B$2:$B$25,AP$3-Assumptions!$B$10+1),0)</f>
        <v>0.0</v>
      </c>
      <c r="AQ5">
        <f>IF(AND(AQ$3&gt;=Assumptions!$B$10,AQ$3&lt;Assumptions!$B$10+24),Assumptions!$B$9*INDEX(Curve!$B$2:$B$25,AQ$3-Assumptions!$B$10+1),0)</f>
        <v>0.0</v>
      </c>
      <c r="AR5">
        <f>IF(AND(AR$3&gt;=Assumptions!$B$10,AR$3&lt;Assumptions!$B$10+24),Assumptions!$B$9*INDEX(Curve!$B$2:$B$25,AR$3-Assumptions!$B$10+1),0)</f>
        <v>0.0</v>
      </c>
      <c r="AS5">
        <f>IF(AND(AS$3&gt;=Assumptions!$B$10,AS$3&lt;Assumptions!$B$10+24),Assumptions!$B$9*INDEX(Curve!$B$2:$B$25,AS$3-Assumptions!$B$10+1),0)</f>
        <v>0.0</v>
      </c>
      <c r="AT5">
        <f>IF(AND(AT$3&gt;=Assumptions!$B$10,AT$3&lt;Assumptions!$B$10+24),Assumptions!$B$9*INDEX(Curve!$B$2:$B$25,AT$3-Assumptions!$B$10+1),0)</f>
        <v>0.0</v>
      </c>
      <c r="AU5">
        <f>IF(AND(AU$3&gt;=Assumptions!$B$10,AU$3&lt;Assumptions!$B$10+24),Assumptions!$B$9*INDEX(Curve!$B$2:$B$25,AU$3-Assumptions!$B$10+1),0)</f>
        <v>0.0</v>
      </c>
      <c r="AV5">
        <f>IF(AND(AV$3&gt;=Assumptions!$B$10,AV$3&lt;Assumptions!$B$10+24),Assumptions!$B$9*INDEX(Curve!$B$2:$B$25,AV$3-Assumptions!$B$10+1),0)</f>
        <v>0.0</v>
      </c>
      <c r="AW5">
        <f>IF(AND(AW$3&gt;=Assumptions!$B$10,AW$3&lt;Assumptions!$B$10+24),Assumptions!$B$9*INDEX(Curve!$B$2:$B$25,AW$3-Assumptions!$B$10+1),0)</f>
        <v>0.0</v>
      </c>
    </row>
    <row r="6">
      <c r="A6" t="inlineStr">
        <is>
          <t>Soft costs</t>
        </is>
      </c>
      <c r="B6">
        <f>B5*Assumptions!$B$11</f>
        <v>0.0</v>
      </c>
      <c r="C6">
        <f>C5*Assumptions!$B$11</f>
        <v>0.0</v>
      </c>
      <c r="D6">
        <f>D5*Assumptions!$B$11</f>
        <v>0.0</v>
      </c>
      <c r="E6">
        <f>E5*Assumptions!$B$11</f>
        <v>36958.2048</v>
      </c>
      <c r="F6">
        <f>F5*Assumptions!$B$11</f>
        <v>110242.25279999999</v>
      </c>
      <c r="G6">
        <f>G5*Assumptions!$B$11</f>
        <v>181640.016</v>
      </c>
      <c r="H6">
        <f>H5*Assumptions!$B$11</f>
        <v>249929.7984</v>
      </c>
      <c r="I6">
        <f>I5*Assumptions!$B$11</f>
        <v>313943.29919999995</v>
      </c>
      <c r="J6">
        <f>J5*Assumptions!$B$11</f>
        <v>372585.1392</v>
      </c>
      <c r="K6">
        <f>K5*Assumptions!$B$11</f>
        <v>424851.9552</v>
      </c>
      <c r="L6">
        <f>L5*Assumptions!$B$11</f>
        <v>469849.3344</v>
      </c>
      <c r="M6">
        <f>M5*Assumptions!$B$11</f>
        <v>506807.5392</v>
      </c>
      <c r="N6">
        <f>N5*Assumptions!$B$11</f>
        <v>535094.1216</v>
      </c>
      <c r="O6">
        <f>O5*Assumptions!$B$11</f>
        <v>554225.1551999999</v>
      </c>
      <c r="P6">
        <f>P5*Assumptions!$B$11</f>
        <v>563873.184</v>
      </c>
      <c r="Q6">
        <f>Q5*Assumptions!$B$11</f>
        <v>563873.184</v>
      </c>
      <c r="R6">
        <f>R5*Assumptions!$B$11</f>
        <v>554225.1551999999</v>
      </c>
      <c r="S6">
        <f>S5*Assumptions!$B$11</f>
        <v>535094.1216</v>
      </c>
      <c r="T6">
        <f>T5*Assumptions!$B$11</f>
        <v>506807.5392</v>
      </c>
      <c r="U6">
        <f>U5*Assumptions!$B$11</f>
        <v>469849.3344</v>
      </c>
      <c r="V6">
        <f>V5*Assumptions!$B$11</f>
        <v>424851.9552</v>
      </c>
      <c r="W6">
        <f>W5*Assumptions!$B$11</f>
        <v>372585.1392</v>
      </c>
      <c r="X6">
        <f>X5*Assumptions!$B$11</f>
        <v>313943.29919999995</v>
      </c>
      <c r="Y6">
        <f>Y5*Assumptions!$B$11</f>
        <v>249929.7984</v>
      </c>
      <c r="Z6">
        <f>Z5*Assumptions!$B$11</f>
        <v>181640.016</v>
      </c>
      <c r="AA6">
        <f>AA5*Assumptions!$B$11</f>
        <v>110242.25279999999</v>
      </c>
      <c r="AB6">
        <f>AB5*Assumptions!$B$11</f>
        <v>36958.2048</v>
      </c>
      <c r="AC6">
        <f>AC5*Assumptions!$B$11</f>
        <v>0.0</v>
      </c>
      <c r="AD6">
        <f>AD5*Assumptions!$B$11</f>
        <v>0.0</v>
      </c>
      <c r="AE6">
        <f>AE5*Assumptions!$B$11</f>
        <v>0.0</v>
      </c>
      <c r="AF6">
        <f>AF5*Assumptions!$B$11</f>
        <v>0.0</v>
      </c>
      <c r="AG6">
        <f>AG5*Assumptions!$B$11</f>
        <v>0.0</v>
      </c>
      <c r="AH6">
        <f>AH5*Assumptions!$B$11</f>
        <v>0.0</v>
      </c>
      <c r="AI6">
        <f>AI5*Assumptions!$B$11</f>
        <v>0.0</v>
      </c>
      <c r="AJ6">
        <f>AJ5*Assumptions!$B$11</f>
        <v>0.0</v>
      </c>
      <c r="AK6">
        <f>AK5*Assumptions!$B$11</f>
        <v>0.0</v>
      </c>
      <c r="AL6">
        <f>AL5*Assumptions!$B$11</f>
        <v>0.0</v>
      </c>
      <c r="AM6">
        <f>AM5*Assumptions!$B$11</f>
        <v>0.0</v>
      </c>
      <c r="AN6">
        <f>AN5*Assumptions!$B$11</f>
        <v>0.0</v>
      </c>
      <c r="AO6">
        <f>AO5*Assumptions!$B$11</f>
        <v>0.0</v>
      </c>
      <c r="AP6">
        <f>AP5*Assumptions!$B$11</f>
        <v>0.0</v>
      </c>
      <c r="AQ6">
        <f>AQ5*Assumptions!$B$11</f>
        <v>0.0</v>
      </c>
      <c r="AR6">
        <f>AR5*Assumptions!$B$11</f>
        <v>0.0</v>
      </c>
      <c r="AS6">
        <f>AS5*Assumptions!$B$11</f>
        <v>0.0</v>
      </c>
      <c r="AT6">
        <f>AT5*Assumptions!$B$11</f>
        <v>0.0</v>
      </c>
      <c r="AU6">
        <f>AU5*Assumptions!$B$11</f>
        <v>0.0</v>
      </c>
      <c r="AV6">
        <f>AV5*Assumptions!$B$11</f>
        <v>0.0</v>
      </c>
      <c r="AW6">
        <f>AW5*Assumptions!$B$11</f>
        <v>0.0</v>
      </c>
    </row>
    <row r="7">
      <c r="A7" t="inlineStr">
        <is>
          <t>Contingency</t>
        </is>
      </c>
      <c r="B7">
        <f>B5*Assumptions!$B$12</f>
        <v>0.0</v>
      </c>
      <c r="C7">
        <f>C5*Assumptions!$B$12</f>
        <v>0.0</v>
      </c>
      <c r="D7">
        <f>D5*Assumptions!$B$12</f>
        <v>0.0</v>
      </c>
      <c r="E7">
        <f>E5*Assumptions!$B$12</f>
        <v>15399.252</v>
      </c>
      <c r="F7">
        <f>F5*Assumptions!$B$12</f>
        <v>45934.272</v>
      </c>
      <c r="G7">
        <f>G5*Assumptions!$B$12</f>
        <v>75683.34000000001</v>
      </c>
      <c r="H7">
        <f>H5*Assumptions!$B$12</f>
        <v>104137.41600000001</v>
      </c>
      <c r="I7">
        <f>I5*Assumptions!$B$12</f>
        <v>130809.70799999998</v>
      </c>
      <c r="J7">
        <f>J5*Assumptions!$B$12</f>
        <v>155243.80800000002</v>
      </c>
      <c r="K7">
        <f>K5*Assumptions!$B$12</f>
        <v>177021.64800000004</v>
      </c>
      <c r="L7">
        <f>L5*Assumptions!$B$12</f>
        <v>195770.556</v>
      </c>
      <c r="M7">
        <f>M5*Assumptions!$B$12</f>
        <v>211169.80800000002</v>
      </c>
      <c r="N7">
        <f>N5*Assumptions!$B$12</f>
        <v>222955.884</v>
      </c>
      <c r="O7">
        <f>O5*Assumptions!$B$12</f>
        <v>230927.14800000002</v>
      </c>
      <c r="P7">
        <f>P5*Assumptions!$B$12</f>
        <v>234947.16000000003</v>
      </c>
      <c r="Q7">
        <f>Q5*Assumptions!$B$12</f>
        <v>234947.16000000003</v>
      </c>
      <c r="R7">
        <f>R5*Assumptions!$B$12</f>
        <v>230927.14800000002</v>
      </c>
      <c r="S7">
        <f>S5*Assumptions!$B$12</f>
        <v>222955.884</v>
      </c>
      <c r="T7">
        <f>T5*Assumptions!$B$12</f>
        <v>211169.80800000002</v>
      </c>
      <c r="U7">
        <f>U5*Assumptions!$B$12</f>
        <v>195770.556</v>
      </c>
      <c r="V7">
        <f>V5*Assumptions!$B$12</f>
        <v>177021.64800000004</v>
      </c>
      <c r="W7">
        <f>W5*Assumptions!$B$12</f>
        <v>155243.80800000002</v>
      </c>
      <c r="X7">
        <f>X5*Assumptions!$B$12</f>
        <v>130809.70799999998</v>
      </c>
      <c r="Y7">
        <f>Y5*Assumptions!$B$12</f>
        <v>104137.41600000001</v>
      </c>
      <c r="Z7">
        <f>Z5*Assumptions!$B$12</f>
        <v>75683.34000000001</v>
      </c>
      <c r="AA7">
        <f>AA5*Assumptions!$B$12</f>
        <v>45934.272</v>
      </c>
      <c r="AB7">
        <f>AB5*Assumptions!$B$12</f>
        <v>15399.252</v>
      </c>
      <c r="AC7">
        <f>AC5*Assumptions!$B$12</f>
        <v>0.0</v>
      </c>
      <c r="AD7">
        <f>AD5*Assumptions!$B$12</f>
        <v>0.0</v>
      </c>
      <c r="AE7">
        <f>AE5*Assumptions!$B$12</f>
        <v>0.0</v>
      </c>
      <c r="AF7">
        <f>AF5*Assumptions!$B$12</f>
        <v>0.0</v>
      </c>
      <c r="AG7">
        <f>AG5*Assumptions!$B$12</f>
        <v>0.0</v>
      </c>
      <c r="AH7">
        <f>AH5*Assumptions!$B$12</f>
        <v>0.0</v>
      </c>
      <c r="AI7">
        <f>AI5*Assumptions!$B$12</f>
        <v>0.0</v>
      </c>
      <c r="AJ7">
        <f>AJ5*Assumptions!$B$12</f>
        <v>0.0</v>
      </c>
      <c r="AK7">
        <f>AK5*Assumptions!$B$12</f>
        <v>0.0</v>
      </c>
      <c r="AL7">
        <f>AL5*Assumptions!$B$12</f>
        <v>0.0</v>
      </c>
      <c r="AM7">
        <f>AM5*Assumptions!$B$12</f>
        <v>0.0</v>
      </c>
      <c r="AN7">
        <f>AN5*Assumptions!$B$12</f>
        <v>0.0</v>
      </c>
      <c r="AO7">
        <f>AO5*Assumptions!$B$12</f>
        <v>0.0</v>
      </c>
      <c r="AP7">
        <f>AP5*Assumptions!$B$12</f>
        <v>0.0</v>
      </c>
      <c r="AQ7">
        <f>AQ5*Assumptions!$B$12</f>
        <v>0.0</v>
      </c>
      <c r="AR7">
        <f>AR5*Assumptions!$B$12</f>
        <v>0.0</v>
      </c>
      <c r="AS7">
        <f>AS5*Assumptions!$B$12</f>
        <v>0.0</v>
      </c>
      <c r="AT7">
        <f>AT5*Assumptions!$B$12</f>
        <v>0.0</v>
      </c>
      <c r="AU7">
        <f>AU5*Assumptions!$B$12</f>
        <v>0.0</v>
      </c>
      <c r="AV7">
        <f>AV5*Assumptions!$B$12</f>
        <v>0.0</v>
      </c>
      <c r="AW7">
        <f>AW5*Assumptions!$B$12</f>
        <v>0.0</v>
      </c>
    </row>
    <row r="8">
      <c r="A8" t="inlineStr">
        <is>
          <t>Arrangement fee</t>
        </is>
      </c>
      <c r="B8">
        <f>IF(B$3=0,Assumptions!$B$15*Assumptions!$B$13*SUM($B$10:$AW$10),0)</f>
        <v>644159.8617814684</v>
      </c>
      <c r="C8">
        <f>IF(C$3=0,Assumptions!$B$15*Assumptions!$B$13*SUM($B$10:$AW$10),0)</f>
        <v>0.0</v>
      </c>
      <c r="D8">
        <f>IF(D$3=0,Assumptions!$B$15*Assumptions!$B$13*SUM($B$10:$AW$10),0)</f>
        <v>0.0</v>
      </c>
      <c r="E8">
        <f>IF(E$3=0,Assumptions!$B$15*Assumptions!$B$13*SUM($B$10:$AW$10),0)</f>
        <v>0.0</v>
      </c>
      <c r="F8">
        <f>IF(F$3=0,Assumptions!$B$15*Assumptions!$B$13*SUM($B$10:$AW$10),0)</f>
        <v>0.0</v>
      </c>
      <c r="G8">
        <f>IF(G$3=0,Assumptions!$B$15*Assumptions!$B$13*SUM($B$10:$AW$10),0)</f>
        <v>0.0</v>
      </c>
      <c r="H8">
        <f>IF(H$3=0,Assumptions!$B$15*Assumptions!$B$13*SUM($B$10:$AW$10),0)</f>
        <v>0.0</v>
      </c>
      <c r="I8">
        <f>IF(I$3=0,Assumptions!$B$15*Assumptions!$B$13*SUM($B$10:$AW$10),0)</f>
        <v>0.0</v>
      </c>
      <c r="J8">
        <f>IF(J$3=0,Assumptions!$B$15*Assumptions!$B$13*SUM($B$10:$AW$10),0)</f>
        <v>0.0</v>
      </c>
      <c r="K8">
        <f>IF(K$3=0,Assumptions!$B$15*Assumptions!$B$13*SUM($B$10:$AW$10),0)</f>
        <v>0.0</v>
      </c>
      <c r="L8">
        <f>IF(L$3=0,Assumptions!$B$15*Assumptions!$B$13*SUM($B$10:$AW$10),0)</f>
        <v>0.0</v>
      </c>
      <c r="M8">
        <f>IF(M$3=0,Assumptions!$B$15*Assumptions!$B$13*SUM($B$10:$AW$10),0)</f>
        <v>0.0</v>
      </c>
      <c r="N8">
        <f>IF(N$3=0,Assumptions!$B$15*Assumptions!$B$13*SUM($B$10:$AW$10),0)</f>
        <v>0.0</v>
      </c>
      <c r="O8">
        <f>IF(O$3=0,Assumptions!$B$15*Assumptions!$B$13*SUM($B$10:$AW$10),0)</f>
        <v>0.0</v>
      </c>
      <c r="P8">
        <f>IF(P$3=0,Assumptions!$B$15*Assumptions!$B$13*SUM($B$10:$AW$10),0)</f>
        <v>0.0</v>
      </c>
      <c r="Q8">
        <f>IF(Q$3=0,Assumptions!$B$15*Assumptions!$B$13*SUM($B$10:$AW$10),0)</f>
        <v>0.0</v>
      </c>
      <c r="R8">
        <f>IF(R$3=0,Assumptions!$B$15*Assumptions!$B$13*SUM($B$10:$AW$10),0)</f>
        <v>0.0</v>
      </c>
      <c r="S8">
        <f>IF(S$3=0,Assumptions!$B$15*Assumptions!$B$13*SUM($B$10:$AW$10),0)</f>
        <v>0.0</v>
      </c>
      <c r="T8">
        <f>IF(T$3=0,Assumptions!$B$15*Assumptions!$B$13*SUM($B$10:$AW$10),0)</f>
        <v>0.0</v>
      </c>
      <c r="U8">
        <f>IF(U$3=0,Assumptions!$B$15*Assumptions!$B$13*SUM($B$10:$AW$10),0)</f>
        <v>0.0</v>
      </c>
      <c r="V8">
        <f>IF(V$3=0,Assumptions!$B$15*Assumptions!$B$13*SUM($B$10:$AW$10),0)</f>
        <v>0.0</v>
      </c>
      <c r="W8">
        <f>IF(W$3=0,Assumptions!$B$15*Assumptions!$B$13*SUM($B$10:$AW$10),0)</f>
        <v>0.0</v>
      </c>
      <c r="X8">
        <f>IF(X$3=0,Assumptions!$B$15*Assumptions!$B$13*SUM($B$10:$AW$10),0)</f>
        <v>0.0</v>
      </c>
      <c r="Y8">
        <f>IF(Y$3=0,Assumptions!$B$15*Assumptions!$B$13*SUM($B$10:$AW$10),0)</f>
        <v>0.0</v>
      </c>
      <c r="Z8">
        <f>IF(Z$3=0,Assumptions!$B$15*Assumptions!$B$13*SUM($B$10:$AW$10),0)</f>
        <v>0.0</v>
      </c>
      <c r="AA8">
        <f>IF(AA$3=0,Assumptions!$B$15*Assumptions!$B$13*SUM($B$10:$AW$10),0)</f>
        <v>0.0</v>
      </c>
      <c r="AB8">
        <f>IF(AB$3=0,Assumptions!$B$15*Assumptions!$B$13*SUM($B$10:$AW$10),0)</f>
        <v>0.0</v>
      </c>
      <c r="AC8">
        <f>IF(AC$3=0,Assumptions!$B$15*Assumptions!$B$13*SUM($B$10:$AW$10),0)</f>
        <v>0.0</v>
      </c>
      <c r="AD8">
        <f>IF(AD$3=0,Assumptions!$B$15*Assumptions!$B$13*SUM($B$10:$AW$10),0)</f>
        <v>0.0</v>
      </c>
      <c r="AE8">
        <f>IF(AE$3=0,Assumptions!$B$15*Assumptions!$B$13*SUM($B$10:$AW$10),0)</f>
        <v>0.0</v>
      </c>
      <c r="AF8">
        <f>IF(AF$3=0,Assumptions!$B$15*Assumptions!$B$13*SUM($B$10:$AW$10),0)</f>
        <v>0.0</v>
      </c>
      <c r="AG8">
        <f>IF(AG$3=0,Assumptions!$B$15*Assumptions!$B$13*SUM($B$10:$AW$10),0)</f>
        <v>0.0</v>
      </c>
      <c r="AH8">
        <f>IF(AH$3=0,Assumptions!$B$15*Assumptions!$B$13*SUM($B$10:$AW$10),0)</f>
        <v>0.0</v>
      </c>
      <c r="AI8">
        <f>IF(AI$3=0,Assumptions!$B$15*Assumptions!$B$13*SUM($B$10:$AW$10),0)</f>
        <v>0.0</v>
      </c>
      <c r="AJ8">
        <f>IF(AJ$3=0,Assumptions!$B$15*Assumptions!$B$13*SUM($B$10:$AW$10),0)</f>
        <v>0.0</v>
      </c>
      <c r="AK8">
        <f>IF(AK$3=0,Assumptions!$B$15*Assumptions!$B$13*SUM($B$10:$AW$10),0)</f>
        <v>0.0</v>
      </c>
      <c r="AL8">
        <f>IF(AL$3=0,Assumptions!$B$15*Assumptions!$B$13*SUM($B$10:$AW$10),0)</f>
        <v>0.0</v>
      </c>
      <c r="AM8">
        <f>IF(AM$3=0,Assumptions!$B$15*Assumptions!$B$13*SUM($B$10:$AW$10),0)</f>
        <v>0.0</v>
      </c>
      <c r="AN8">
        <f>IF(AN$3=0,Assumptions!$B$15*Assumptions!$B$13*SUM($B$10:$AW$10),0)</f>
        <v>0.0</v>
      </c>
      <c r="AO8">
        <f>IF(AO$3=0,Assumptions!$B$15*Assumptions!$B$13*SUM($B$10:$AW$10),0)</f>
        <v>0.0</v>
      </c>
      <c r="AP8">
        <f>IF(AP$3=0,Assumptions!$B$15*Assumptions!$B$13*SUM($B$10:$AW$10),0)</f>
        <v>0.0</v>
      </c>
      <c r="AQ8">
        <f>IF(AQ$3=0,Assumptions!$B$15*Assumptions!$B$13*SUM($B$10:$AW$10),0)</f>
        <v>0.0</v>
      </c>
      <c r="AR8">
        <f>IF(AR$3=0,Assumptions!$B$15*Assumptions!$B$13*SUM($B$10:$AW$10),0)</f>
        <v>0.0</v>
      </c>
      <c r="AS8">
        <f>IF(AS$3=0,Assumptions!$B$15*Assumptions!$B$13*SUM($B$10:$AW$10),0)</f>
        <v>0.0</v>
      </c>
      <c r="AT8">
        <f>IF(AT$3=0,Assumptions!$B$15*Assumptions!$B$13*SUM($B$10:$AW$10),0)</f>
        <v>0.0</v>
      </c>
      <c r="AU8">
        <f>IF(AU$3=0,Assumptions!$B$15*Assumptions!$B$13*SUM($B$10:$AW$10),0)</f>
        <v>0.0</v>
      </c>
      <c r="AV8">
        <f>IF(AV$3=0,Assumptions!$B$15*Assumptions!$B$13*SUM($B$10:$AW$10),0)</f>
        <v>0.0</v>
      </c>
      <c r="AW8">
        <f>IF(AW$3=0,Assumptions!$B$15*Assumptions!$B$13*SUM($B$10:$AW$10),0)</f>
        <v>0.0</v>
      </c>
    </row>
    <row r="9">
      <c r="A9" t="inlineStr">
        <is>
          <t>Interest (capitalised)</t>
        </is>
      </c>
      <c r="B9">
        <f>0</f>
        <v>0.0</v>
      </c>
      <c r="C9">
        <f>B18*Assumptions!$B$14/12</f>
        <v>0.0</v>
      </c>
      <c r="D9">
        <f>C18*Assumptions!$B$14/12</f>
        <v>0.0</v>
      </c>
      <c r="E9">
        <f>D18*Assumptions!$B$14/12</f>
        <v>0.0</v>
      </c>
      <c r="F9">
        <f>E18*Assumptions!$B$14/12</f>
        <v>0.0</v>
      </c>
      <c r="G9">
        <f>F18*Assumptions!$B$14/12</f>
        <v>0.0</v>
      </c>
      <c r="H9">
        <f>G18*Assumptions!$B$14/12</f>
        <v>0.0</v>
      </c>
      <c r="I9">
        <f>H18*Assumptions!$B$14/12</f>
        <v>0.0</v>
      </c>
      <c r="J9">
        <f>I18*Assumptions!$B$14/12</f>
        <v>0.0</v>
      </c>
      <c r="K9">
        <f>J18*Assumptions!$B$14/12</f>
        <v>0.0</v>
      </c>
      <c r="L9">
        <f>K18*Assumptions!$B$14/12</f>
        <v>0.0</v>
      </c>
      <c r="M9">
        <f>L18*Assumptions!$B$14/12</f>
        <v>0.0</v>
      </c>
      <c r="N9">
        <f>M18*Assumptions!$B$14/12</f>
        <v>10634.641147188924</v>
      </c>
      <c r="O9">
        <f>N18*Assumptions!$B$14/12</f>
        <v>43308.40568935885</v>
      </c>
      <c r="P9">
        <f>O18*Assumptions!$B$14/12</f>
        <v>77352.17861991734</v>
      </c>
      <c r="Q9">
        <f>P18*Assumptions!$B$14/12</f>
        <v>112196.65188629182</v>
      </c>
      <c r="R9">
        <f>Q18*Assumptions!$B$14/12</f>
        <v>147258.90311058113</v>
      </c>
      <c r="S9">
        <f>R18*Assumptions!$B$14/12</f>
        <v>181952.3666500223</v>
      </c>
      <c r="T9">
        <f>S18*Assumptions!$B$14/12</f>
        <v>215696.8669765849</v>
      </c>
      <c r="U9">
        <f>T18*Assumptions!$B$14/12</f>
        <v>247928.55681518858</v>
      </c>
      <c r="V9">
        <f>U18*Assumptions!$B$14/12</f>
        <v>278109.5541102835</v>
      </c>
      <c r="W9">
        <f>V18*Assumptions!$B$14/12</f>
        <v>305737.15484347276</v>
      </c>
      <c r="X9">
        <f>W18*Assumptions!$B$14/12</f>
        <v>330352.4189812445</v>
      </c>
      <c r="Y9">
        <f>X18*Assumptions!$B$14/12</f>
        <v>351548.04139487725</v>
      </c>
      <c r="Z9">
        <f>Y18*Assumptions!$B$14/12</f>
        <v>368975.31374359527</v>
      </c>
      <c r="AA9">
        <f>Z18*Assumptions!$B$14/12</f>
        <v>342943.8479294927</v>
      </c>
      <c r="AB9">
        <f>AA18*Assumptions!$B$14/12</f>
        <v>312398.88425905205</v>
      </c>
      <c r="AC9">
        <f>AB18*Assumptions!$B$14/12</f>
        <v>277197.2678906711</v>
      </c>
      <c r="AD9">
        <f>AC18*Assumptions!$B$14/12</f>
        <v>239523.5008149878</v>
      </c>
      <c r="AE9">
        <f>AD18*Assumptions!$B$14/12</f>
        <v>201614.2726950815</v>
      </c>
      <c r="AF9">
        <f>AE18*Assumptions!$B$14/12</f>
        <v>163468.11189942577</v>
      </c>
      <c r="AG9">
        <f>AF18*Assumptions!$B$14/12</f>
        <v>125083.53759879716</v>
      </c>
      <c r="AH9">
        <f>AG18*Assumptions!$B$14/12</f>
        <v>86459.05970878965</v>
      </c>
      <c r="AI9">
        <f>AH18*Assumptions!$B$14/12</f>
        <v>47593.17883196957</v>
      </c>
      <c r="AJ9">
        <f>AI18*Assumptions!$B$14/12</f>
        <v>8484.386199669383</v>
      </c>
      <c r="AK9">
        <f>AJ18*Assumptions!$B$14/12</f>
        <v>0.0</v>
      </c>
      <c r="AL9">
        <f>AK18*Assumptions!$B$14/12</f>
        <v>0.0</v>
      </c>
      <c r="AM9">
        <f>AL18*Assumptions!$B$14/12</f>
        <v>0.0</v>
      </c>
      <c r="AN9">
        <f>AM18*Assumptions!$B$14/12</f>
        <v>0.0</v>
      </c>
      <c r="AO9">
        <f>AN18*Assumptions!$B$14/12</f>
        <v>0.0</v>
      </c>
      <c r="AP9">
        <f>AO18*Assumptions!$B$14/12</f>
        <v>0.0</v>
      </c>
      <c r="AQ9">
        <f>AP18*Assumptions!$B$14/12</f>
        <v>0.0</v>
      </c>
      <c r="AR9">
        <f>AQ18*Assumptions!$B$14/12</f>
        <v>0.0</v>
      </c>
      <c r="AS9">
        <f>AR18*Assumptions!$B$14/12</f>
        <v>0.0</v>
      </c>
      <c r="AT9">
        <f>AS18*Assumptions!$B$14/12</f>
        <v>0.0</v>
      </c>
      <c r="AU9">
        <f>AT18*Assumptions!$B$14/12</f>
        <v>0.0</v>
      </c>
      <c r="AV9">
        <f>AU18*Assumptions!$B$14/12</f>
        <v>0.0</v>
      </c>
      <c r="AW9">
        <f>AV18*Assumptions!$B$14/12</f>
        <v>0.0</v>
      </c>
    </row>
    <row r="10">
      <c r="A10" t="inlineStr">
        <is>
          <t>Total cost</t>
        </is>
      </c>
      <c r="B10">
        <f>SUM(B4:B9)</f>
        <v>18644159.861781467</v>
      </c>
      <c r="C10">
        <f>SUM(C4:C9)</f>
        <v>0.0</v>
      </c>
      <c r="D10">
        <f>SUM(D4:D9)</f>
        <v>0.0</v>
      </c>
      <c r="E10">
        <f>SUM(E4:E9)</f>
        <v>360342.49679999996</v>
      </c>
      <c r="F10">
        <f>SUM(F4:F9)</f>
        <v>1074861.9648</v>
      </c>
      <c r="G10">
        <f>SUM(G4:G9)</f>
        <v>1770990.1560000002</v>
      </c>
      <c r="H10">
        <f>SUM(H4:H9)</f>
        <v>2436815.5344000002</v>
      </c>
      <c r="I10">
        <f>SUM(I4:I9)</f>
        <v>3060947.1671999996</v>
      </c>
      <c r="J10">
        <f>SUM(J4:J9)</f>
        <v>3632705.1072000004</v>
      </c>
      <c r="K10">
        <f>SUM(K4:K9)</f>
        <v>4142306.5632000007</v>
      </c>
      <c r="L10">
        <f>SUM(L4:L9)</f>
        <v>4581031.0104</v>
      </c>
      <c r="M10">
        <f>SUM(M4:M9)</f>
        <v>4941373.507200001</v>
      </c>
      <c r="N10">
        <f>SUM(N4:N9)</f>
        <v>5227802.326747188</v>
      </c>
      <c r="O10">
        <f>SUM(O4:O9)</f>
        <v>5447003.668889359</v>
      </c>
      <c r="P10">
        <f>SUM(P4:P9)</f>
        <v>5575115.722619918</v>
      </c>
      <c r="Q10">
        <f>SUM(Q4:Q9)</f>
        <v>5609960.1958862925</v>
      </c>
      <c r="R10">
        <f>SUM(R4:R9)</f>
        <v>5550954.166310581</v>
      </c>
      <c r="S10">
        <f>SUM(S4:S9)</f>
        <v>5399120.052250022</v>
      </c>
      <c r="T10">
        <f>SUM(T4:T9)</f>
        <v>5157070.374176586</v>
      </c>
      <c r="U10">
        <f>SUM(U4:U9)</f>
        <v>4828959.567215188</v>
      </c>
      <c r="V10">
        <f>SUM(V4:V9)</f>
        <v>4420416.117310284</v>
      </c>
      <c r="W10">
        <f>SUM(W4:W9)</f>
        <v>3938442.2620434733</v>
      </c>
      <c r="X10">
        <f>SUM(X4:X9)</f>
        <v>3391299.586181244</v>
      </c>
      <c r="Y10">
        <f>SUM(Y4:Y9)</f>
        <v>2788363.5757948775</v>
      </c>
      <c r="Z10">
        <f>SUM(Z4:Z9)</f>
        <v>2139965.4697435955</v>
      </c>
      <c r="AA10">
        <f>SUM(AA4:AA9)</f>
        <v>1417805.8127294928</v>
      </c>
      <c r="AB10">
        <f>SUM(AB4:AB9)</f>
        <v>672741.381059052</v>
      </c>
      <c r="AC10">
        <f>SUM(AC4:AC9)</f>
        <v>277197.2678906711</v>
      </c>
      <c r="AD10">
        <f>SUM(AD4:AD9)</f>
        <v>239523.5008149878</v>
      </c>
      <c r="AE10">
        <f>SUM(AE4:AE9)</f>
        <v>201614.2726950815</v>
      </c>
      <c r="AF10">
        <f>SUM(AF4:AF9)</f>
        <v>163468.11189942577</v>
      </c>
      <c r="AG10">
        <f>SUM(AG4:AG9)</f>
        <v>125083.53759879716</v>
      </c>
      <c r="AH10">
        <f>SUM(AH4:AH9)</f>
        <v>86459.05970878965</v>
      </c>
      <c r="AI10">
        <f>SUM(AI4:AI9)</f>
        <v>47593.17883196957</v>
      </c>
      <c r="AJ10">
        <f>SUM(AJ4:AJ9)</f>
        <v>8484.386199669383</v>
      </c>
      <c r="AK10">
        <f>SUM(AK4:AK9)</f>
        <v>0.0</v>
      </c>
      <c r="AL10">
        <f>SUM(AL4:AL9)</f>
        <v>0.0</v>
      </c>
      <c r="AM10">
        <f>SUM(AM4:AM9)</f>
        <v>0.0</v>
      </c>
      <c r="AN10">
        <f>SUM(AN4:AN9)</f>
        <v>0.0</v>
      </c>
      <c r="AO10">
        <f>SUM(AO4:AO9)</f>
        <v>0.0</v>
      </c>
      <c r="AP10">
        <f>SUM(AP4:AP9)</f>
        <v>0.0</v>
      </c>
      <c r="AQ10">
        <f>SUM(AQ4:AQ9)</f>
        <v>0.0</v>
      </c>
      <c r="AR10">
        <f>SUM(AR4:AR9)</f>
        <v>0.0</v>
      </c>
      <c r="AS10">
        <f>SUM(AS4:AS9)</f>
        <v>0.0</v>
      </c>
      <c r="AT10">
        <f>SUM(AT4:AT9)</f>
        <v>0.0</v>
      </c>
      <c r="AU10">
        <f>SUM(AU4:AU9)</f>
        <v>0.0</v>
      </c>
      <c r="AV10">
        <f>SUM(AV4:AV9)</f>
        <v>0.0</v>
      </c>
      <c r="AW10">
        <f>SUM(AW4:AW9)</f>
        <v>0.0</v>
      </c>
    </row>
    <row r="11">
      <c r="A11" t="inlineStr">
        <is>
          <t>Cumulative cost</t>
        </is>
      </c>
      <c r="B11">
        <f>B10</f>
        <v>18644159.861781467</v>
      </c>
      <c r="C11">
        <f>B11+C10</f>
        <v>18644159.861781467</v>
      </c>
      <c r="D11">
        <f>C11+D10</f>
        <v>18644159.861781467</v>
      </c>
      <c r="E11">
        <f>D11+E10</f>
        <v>19004502.35858147</v>
      </c>
      <c r="F11">
        <f>E11+F10</f>
        <v>20079364.32338147</v>
      </c>
      <c r="G11">
        <f>F11+G10</f>
        <v>21850354.47938147</v>
      </c>
      <c r="H11">
        <f>G11+H10</f>
        <v>24287170.01378147</v>
      </c>
      <c r="I11">
        <f>H11+I10</f>
        <v>27348117.18098147</v>
      </c>
      <c r="J11">
        <f>I11+J10</f>
        <v>30980822.28818147</v>
      </c>
      <c r="K11">
        <f>J11+K10</f>
        <v>35123128.851381466</v>
      </c>
      <c r="L11">
        <f>K11+L10</f>
        <v>39704159.86178146</v>
      </c>
      <c r="M11">
        <f>L11+M10</f>
        <v>44645533.368981466</v>
      </c>
      <c r="N11">
        <f>M11+N10</f>
        <v>49873335.69572865</v>
      </c>
      <c r="O11">
        <f>N11+O10</f>
        <v>55320339.36461801</v>
      </c>
      <c r="P11">
        <f>O11+P10</f>
        <v>60895455.08723793</v>
      </c>
      <c r="Q11">
        <f>P11+Q10</f>
        <v>66505415.28312422</v>
      </c>
      <c r="R11">
        <f>Q11+R10</f>
        <v>72056369.4494348</v>
      </c>
      <c r="S11">
        <f>R11+S10</f>
        <v>77455489.50168483</v>
      </c>
      <c r="T11">
        <f>S11+T10</f>
        <v>82612559.87586142</v>
      </c>
      <c r="U11">
        <f>T11+U10</f>
        <v>87441519.44307661</v>
      </c>
      <c r="V11">
        <f>U11+V10</f>
        <v>91861935.5603869</v>
      </c>
      <c r="W11">
        <f>V11+W10</f>
        <v>95800377.82243037</v>
      </c>
      <c r="X11">
        <f>W11+X10</f>
        <v>99191677.40861161</v>
      </c>
      <c r="Y11">
        <f>X11+Y10</f>
        <v>101980040.98440649</v>
      </c>
      <c r="Z11">
        <f>Y11+Z10</f>
        <v>104120006.45415008</v>
      </c>
      <c r="AA11">
        <f>Z11+AA10</f>
        <v>105537812.26687957</v>
      </c>
      <c r="AB11">
        <f>AA11+AB10</f>
        <v>106210553.64793862</v>
      </c>
      <c r="AC11">
        <f>AB11+AC10</f>
        <v>106487750.9158293</v>
      </c>
      <c r="AD11">
        <f>AC11+AD10</f>
        <v>106727274.41664429</v>
      </c>
      <c r="AE11">
        <f>AD11+AE10</f>
        <v>106928888.68933937</v>
      </c>
      <c r="AF11">
        <f>AE11+AF10</f>
        <v>107092356.80123879</v>
      </c>
      <c r="AG11">
        <f>AF11+AG10</f>
        <v>107217440.3388376</v>
      </c>
      <c r="AH11">
        <f>AG11+AH10</f>
        <v>107303899.39854638</v>
      </c>
      <c r="AI11">
        <f>AH11+AI10</f>
        <v>107351492.57737835</v>
      </c>
      <c r="AJ11">
        <f>AI11+AJ10</f>
        <v>107359976.96357802</v>
      </c>
      <c r="AK11">
        <f>AJ11+AK10</f>
        <v>107359976.96357802</v>
      </c>
      <c r="AL11">
        <f>AK11+AL10</f>
        <v>107359976.96357802</v>
      </c>
      <c r="AM11">
        <f>AL11+AM10</f>
        <v>107359976.96357802</v>
      </c>
      <c r="AN11">
        <f>AM11+AN10</f>
        <v>107359976.96357802</v>
      </c>
      <c r="AO11">
        <f>AN11+AO10</f>
        <v>107359976.96357802</v>
      </c>
      <c r="AP11">
        <f>AO11+AP10</f>
        <v>107359976.96357802</v>
      </c>
      <c r="AQ11">
        <f>AP11+AQ10</f>
        <v>107359976.96357802</v>
      </c>
      <c r="AR11">
        <f>AQ11+AR10</f>
        <v>107359976.96357802</v>
      </c>
      <c r="AS11">
        <f>AR11+AS10</f>
        <v>107359976.96357802</v>
      </c>
      <c r="AT11">
        <f>AS11+AT10</f>
        <v>107359976.96357802</v>
      </c>
      <c r="AU11">
        <f>AT11+AU10</f>
        <v>107359976.96357802</v>
      </c>
      <c r="AV11">
        <f>AU11+AV10</f>
        <v>107359976.96357802</v>
      </c>
      <c r="AW11">
        <f>AV11+AW10</f>
        <v>107359976.96357802</v>
      </c>
    </row>
    <row r="12">
      <c r="A12" t="inlineStr">
        <is>
          <t>Equity drawn</t>
        </is>
      </c>
      <c r="B12">
        <f>MIN(B10,MAX(0,(1-Assumptions!$B$13)*SUM($B$10:$AW$10)-0))</f>
        <v>18644159.861781467</v>
      </c>
      <c r="C12">
        <f>MIN(C10,MAX(0,(1-Assumptions!$B$13)*SUM($B$10:$AW$10)-B13))</f>
        <v>0.0</v>
      </c>
      <c r="D12">
        <f>MIN(D10,MAX(0,(1-Assumptions!$B$13)*SUM($B$10:$AW$10)-C13))</f>
        <v>0.0</v>
      </c>
      <c r="E12">
        <f>MIN(E10,MAX(0,(1-Assumptions!$B$13)*SUM($B$10:$AW$10)-D13))</f>
        <v>360342.49679999996</v>
      </c>
      <c r="F12">
        <f>MIN(F10,MAX(0,(1-Assumptions!$B$13)*SUM($B$10:$AW$10)-E13))</f>
        <v>1074861.9648</v>
      </c>
      <c r="G12">
        <f>MIN(G10,MAX(0,(1-Assumptions!$B$13)*SUM($B$10:$AW$10)-F13))</f>
        <v>1770990.1560000002</v>
      </c>
      <c r="H12">
        <f>MIN(H10,MAX(0,(1-Assumptions!$B$13)*SUM($B$10:$AW$10)-G13))</f>
        <v>2436815.5344000002</v>
      </c>
      <c r="I12">
        <f>MIN(I10,MAX(0,(1-Assumptions!$B$13)*SUM($B$10:$AW$10)-H13))</f>
        <v>3060947.1671999996</v>
      </c>
      <c r="J12">
        <f>MIN(J10,MAX(0,(1-Assumptions!$B$13)*SUM($B$10:$AW$10)-I13))</f>
        <v>3632705.1072000004</v>
      </c>
      <c r="K12">
        <f>MIN(K10,MAX(0,(1-Assumptions!$B$13)*SUM($B$10:$AW$10)-J13))</f>
        <v>4142306.5632000007</v>
      </c>
      <c r="L12">
        <f>MIN(L10,MAX(0,(1-Assumptions!$B$13)*SUM($B$10:$AW$10)-K13))</f>
        <v>4581031.0104</v>
      </c>
      <c r="M12">
        <f>MIN(M10,MAX(0,(1-Assumptions!$B$13)*SUM($B$10:$AW$10)-L13))</f>
        <v>3239830.923649773</v>
      </c>
      <c r="N12">
        <f>MIN(N10,MAX(0,(1-Assumptions!$B$13)*SUM($B$10:$AW$10)-M13))</f>
        <v>0.0</v>
      </c>
      <c r="O12">
        <f>MIN(O10,MAX(0,(1-Assumptions!$B$13)*SUM($B$10:$AW$10)-N13))</f>
        <v>0.0</v>
      </c>
      <c r="P12">
        <f>MIN(P10,MAX(0,(1-Assumptions!$B$13)*SUM($B$10:$AW$10)-O13))</f>
        <v>0.0</v>
      </c>
      <c r="Q12">
        <f>MIN(Q10,MAX(0,(1-Assumptions!$B$13)*SUM($B$10:$AW$10)-P13))</f>
        <v>0.0</v>
      </c>
      <c r="R12">
        <f>MIN(R10,MAX(0,(1-Assumptions!$B$13)*SUM($B$10:$AW$10)-Q13))</f>
        <v>0.0</v>
      </c>
      <c r="S12">
        <f>MIN(S10,MAX(0,(1-Assumptions!$B$13)*SUM($B$10:$AW$10)-R13))</f>
        <v>0.0</v>
      </c>
      <c r="T12">
        <f>MIN(T10,MAX(0,(1-Assumptions!$B$13)*SUM($B$10:$AW$10)-S13))</f>
        <v>0.0</v>
      </c>
      <c r="U12">
        <f>MIN(U10,MAX(0,(1-Assumptions!$B$13)*SUM($B$10:$AW$10)-T13))</f>
        <v>0.0</v>
      </c>
      <c r="V12">
        <f>MIN(V10,MAX(0,(1-Assumptions!$B$13)*SUM($B$10:$AW$10)-U13))</f>
        <v>0.0</v>
      </c>
      <c r="W12">
        <f>MIN(W10,MAX(0,(1-Assumptions!$B$13)*SUM($B$10:$AW$10)-V13))</f>
        <v>0.0</v>
      </c>
      <c r="X12">
        <f>MIN(X10,MAX(0,(1-Assumptions!$B$13)*SUM($B$10:$AW$10)-W13))</f>
        <v>0.0</v>
      </c>
      <c r="Y12">
        <f>MIN(Y10,MAX(0,(1-Assumptions!$B$13)*SUM($B$10:$AW$10)-X13))</f>
        <v>0.0</v>
      </c>
      <c r="Z12">
        <f>MIN(Z10,MAX(0,(1-Assumptions!$B$13)*SUM($B$10:$AW$10)-Y13))</f>
        <v>0.0</v>
      </c>
      <c r="AA12">
        <f>MIN(AA10,MAX(0,(1-Assumptions!$B$13)*SUM($B$10:$AW$10)-Z13))</f>
        <v>0.0</v>
      </c>
      <c r="AB12">
        <f>MIN(AB10,MAX(0,(1-Assumptions!$B$13)*SUM($B$10:$AW$10)-AA13))</f>
        <v>0.0</v>
      </c>
      <c r="AC12">
        <f>MIN(AC10,MAX(0,(1-Assumptions!$B$13)*SUM($B$10:$AW$10)-AB13))</f>
        <v>0.0</v>
      </c>
      <c r="AD12">
        <f>MIN(AD10,MAX(0,(1-Assumptions!$B$13)*SUM($B$10:$AW$10)-AC13))</f>
        <v>0.0</v>
      </c>
      <c r="AE12">
        <f>MIN(AE10,MAX(0,(1-Assumptions!$B$13)*SUM($B$10:$AW$10)-AD13))</f>
        <v>0.0</v>
      </c>
      <c r="AF12">
        <f>MIN(AF10,MAX(0,(1-Assumptions!$B$13)*SUM($B$10:$AW$10)-AE13))</f>
        <v>0.0</v>
      </c>
      <c r="AG12">
        <f>MIN(AG10,MAX(0,(1-Assumptions!$B$13)*SUM($B$10:$AW$10)-AF13))</f>
        <v>0.0</v>
      </c>
      <c r="AH12">
        <f>MIN(AH10,MAX(0,(1-Assumptions!$B$13)*SUM($B$10:$AW$10)-AG13))</f>
        <v>0.0</v>
      </c>
      <c r="AI12">
        <f>MIN(AI10,MAX(0,(1-Assumptions!$B$13)*SUM($B$10:$AW$10)-AH13))</f>
        <v>0.0</v>
      </c>
      <c r="AJ12">
        <f>MIN(AJ10,MAX(0,(1-Assumptions!$B$13)*SUM($B$10:$AW$10)-AI13))</f>
        <v>0.0</v>
      </c>
      <c r="AK12">
        <f>MIN(AK10,MAX(0,(1-Assumptions!$B$13)*SUM($B$10:$AW$10)-AJ13))</f>
        <v>0.0</v>
      </c>
      <c r="AL12">
        <f>MIN(AL10,MAX(0,(1-Assumptions!$B$13)*SUM($B$10:$AW$10)-AK13))</f>
        <v>0.0</v>
      </c>
      <c r="AM12">
        <f>MIN(AM10,MAX(0,(1-Assumptions!$B$13)*SUM($B$10:$AW$10)-AL13))</f>
        <v>0.0</v>
      </c>
      <c r="AN12">
        <f>MIN(AN10,MAX(0,(1-Assumptions!$B$13)*SUM($B$10:$AW$10)-AM13))</f>
        <v>0.0</v>
      </c>
      <c r="AO12">
        <f>MIN(AO10,MAX(0,(1-Assumptions!$B$13)*SUM($B$10:$AW$10)-AN13))</f>
        <v>0.0</v>
      </c>
      <c r="AP12">
        <f>MIN(AP10,MAX(0,(1-Assumptions!$B$13)*SUM($B$10:$AW$10)-AO13))</f>
        <v>0.0</v>
      </c>
      <c r="AQ12">
        <f>MIN(AQ10,MAX(0,(1-Assumptions!$B$13)*SUM($B$10:$AW$10)-AP13))</f>
        <v>0.0</v>
      </c>
      <c r="AR12">
        <f>MIN(AR10,MAX(0,(1-Assumptions!$B$13)*SUM($B$10:$AW$10)-AQ13))</f>
        <v>0.0</v>
      </c>
      <c r="AS12">
        <f>MIN(AS10,MAX(0,(1-Assumptions!$B$13)*SUM($B$10:$AW$10)-AR13))</f>
        <v>0.0</v>
      </c>
      <c r="AT12">
        <f>MIN(AT10,MAX(0,(1-Assumptions!$B$13)*SUM($B$10:$AW$10)-AS13))</f>
        <v>0.0</v>
      </c>
      <c r="AU12">
        <f>MIN(AU10,MAX(0,(1-Assumptions!$B$13)*SUM($B$10:$AW$10)-AT13))</f>
        <v>0.0</v>
      </c>
      <c r="AV12">
        <f>MIN(AV10,MAX(0,(1-Assumptions!$B$13)*SUM($B$10:$AW$10)-AU13))</f>
        <v>0.0</v>
      </c>
      <c r="AW12">
        <f>MIN(AW10,MAX(0,(1-Assumptions!$B$13)*SUM($B$10:$AW$10)-AV13))</f>
        <v>0.0</v>
      </c>
    </row>
    <row r="13">
      <c r="A13" t="inlineStr">
        <is>
          <t>Cumulative equity</t>
        </is>
      </c>
      <c r="B13">
        <f>B12</f>
        <v>18644159.861781467</v>
      </c>
      <c r="C13">
        <f>B13+C12</f>
        <v>18644159.861781467</v>
      </c>
      <c r="D13">
        <f>C13+D12</f>
        <v>18644159.861781467</v>
      </c>
      <c r="E13">
        <f>D13+E12</f>
        <v>19004502.35858147</v>
      </c>
      <c r="F13">
        <f>E13+F12</f>
        <v>20079364.32338147</v>
      </c>
      <c r="G13">
        <f>F13+G12</f>
        <v>21850354.47938147</v>
      </c>
      <c r="H13">
        <f>G13+H12</f>
        <v>24287170.01378147</v>
      </c>
      <c r="I13">
        <f>H13+I12</f>
        <v>27348117.18098147</v>
      </c>
      <c r="J13">
        <f>I13+J12</f>
        <v>30980822.28818147</v>
      </c>
      <c r="K13">
        <f>J13+K12</f>
        <v>35123128.851381466</v>
      </c>
      <c r="L13">
        <f>K13+L12</f>
        <v>39704159.86178146</v>
      </c>
      <c r="M13">
        <f>L13+M12</f>
        <v>42943990.785431236</v>
      </c>
      <c r="N13">
        <f>M13+N12</f>
        <v>42943990.785431236</v>
      </c>
      <c r="O13">
        <f>N13+O12</f>
        <v>42943990.785431236</v>
      </c>
      <c r="P13">
        <f>O13+P12</f>
        <v>42943990.785431236</v>
      </c>
      <c r="Q13">
        <f>P13+Q12</f>
        <v>42943990.785431236</v>
      </c>
      <c r="R13">
        <f>Q13+R12</f>
        <v>42943990.785431236</v>
      </c>
      <c r="S13">
        <f>R13+S12</f>
        <v>42943990.785431236</v>
      </c>
      <c r="T13">
        <f>S13+T12</f>
        <v>42943990.785431236</v>
      </c>
      <c r="U13">
        <f>T13+U12</f>
        <v>42943990.785431236</v>
      </c>
      <c r="V13">
        <f>U13+V12</f>
        <v>42943990.785431236</v>
      </c>
      <c r="W13">
        <f>V13+W12</f>
        <v>42943990.785431236</v>
      </c>
      <c r="X13">
        <f>W13+X12</f>
        <v>42943990.785431236</v>
      </c>
      <c r="Y13">
        <f>X13+Y12</f>
        <v>42943990.785431236</v>
      </c>
      <c r="Z13">
        <f>Y13+Z12</f>
        <v>42943990.785431236</v>
      </c>
      <c r="AA13">
        <f>Z13+AA12</f>
        <v>42943990.785431236</v>
      </c>
      <c r="AB13">
        <f>AA13+AB12</f>
        <v>42943990.785431236</v>
      </c>
      <c r="AC13">
        <f>AB13+AC12</f>
        <v>42943990.785431236</v>
      </c>
      <c r="AD13">
        <f>AC13+AD12</f>
        <v>42943990.785431236</v>
      </c>
      <c r="AE13">
        <f>AD13+AE12</f>
        <v>42943990.785431236</v>
      </c>
      <c r="AF13">
        <f>AE13+AF12</f>
        <v>42943990.785431236</v>
      </c>
      <c r="AG13">
        <f>AF13+AG12</f>
        <v>42943990.785431236</v>
      </c>
      <c r="AH13">
        <f>AG13+AH12</f>
        <v>42943990.785431236</v>
      </c>
      <c r="AI13">
        <f>AH13+AI12</f>
        <v>42943990.785431236</v>
      </c>
      <c r="AJ13">
        <f>AI13+AJ12</f>
        <v>42943990.785431236</v>
      </c>
      <c r="AK13">
        <f>AJ13+AK12</f>
        <v>42943990.785431236</v>
      </c>
      <c r="AL13">
        <f>AK13+AL12</f>
        <v>42943990.785431236</v>
      </c>
      <c r="AM13">
        <f>AL13+AM12</f>
        <v>42943990.785431236</v>
      </c>
      <c r="AN13">
        <f>AM13+AN12</f>
        <v>42943990.785431236</v>
      </c>
      <c r="AO13">
        <f>AN13+AO12</f>
        <v>42943990.785431236</v>
      </c>
      <c r="AP13">
        <f>AO13+AP12</f>
        <v>42943990.785431236</v>
      </c>
      <c r="AQ13">
        <f>AP13+AQ12</f>
        <v>42943990.785431236</v>
      </c>
      <c r="AR13">
        <f>AQ13+AR12</f>
        <v>42943990.785431236</v>
      </c>
      <c r="AS13">
        <f>AR13+AS12</f>
        <v>42943990.785431236</v>
      </c>
      <c r="AT13">
        <f>AS13+AT12</f>
        <v>42943990.785431236</v>
      </c>
      <c r="AU13">
        <f>AT13+AU12</f>
        <v>42943990.785431236</v>
      </c>
      <c r="AV13">
        <f>AU13+AV12</f>
        <v>42943990.785431236</v>
      </c>
      <c r="AW13">
        <f>AV13+AW12</f>
        <v>42943990.785431236</v>
      </c>
    </row>
    <row r="14">
      <c r="A14" t="inlineStr">
        <is>
          <t>Debt drawn</t>
        </is>
      </c>
      <c r="B14">
        <f>B10-B12</f>
        <v>0.0</v>
      </c>
      <c r="C14">
        <f>C10-C12</f>
        <v>0.0</v>
      </c>
      <c r="D14">
        <f>D10-D12</f>
        <v>0.0</v>
      </c>
      <c r="E14">
        <f>E10-E12</f>
        <v>0.0</v>
      </c>
      <c r="F14">
        <f>F10-F12</f>
        <v>0.0</v>
      </c>
      <c r="G14">
        <f>G10-G12</f>
        <v>0.0</v>
      </c>
      <c r="H14">
        <f>H10-H12</f>
        <v>0.0</v>
      </c>
      <c r="I14">
        <f>I10-I12</f>
        <v>0.0</v>
      </c>
      <c r="J14">
        <f>J10-J12</f>
        <v>0.0</v>
      </c>
      <c r="K14">
        <f>K10-K12</f>
        <v>0.0</v>
      </c>
      <c r="L14">
        <f>L10-L12</f>
        <v>0.0</v>
      </c>
      <c r="M14">
        <f>M10-M12</f>
        <v>1701542.5835502278</v>
      </c>
      <c r="N14">
        <f>N10-N12</f>
        <v>5227802.326747188</v>
      </c>
      <c r="O14">
        <f>O10-O12</f>
        <v>5447003.668889359</v>
      </c>
      <c r="P14">
        <f>P10-P12</f>
        <v>5575115.722619918</v>
      </c>
      <c r="Q14">
        <f>Q10-Q12</f>
        <v>5609960.1958862925</v>
      </c>
      <c r="R14">
        <f>R10-R12</f>
        <v>5550954.166310581</v>
      </c>
      <c r="S14">
        <f>S10-S12</f>
        <v>5399120.052250022</v>
      </c>
      <c r="T14">
        <f>T10-T12</f>
        <v>5157070.374176586</v>
      </c>
      <c r="U14">
        <f>U10-U12</f>
        <v>4828959.567215188</v>
      </c>
      <c r="V14">
        <f>V10-V12</f>
        <v>4420416.117310284</v>
      </c>
      <c r="W14">
        <f>W10-W12</f>
        <v>3938442.2620434733</v>
      </c>
      <c r="X14">
        <f>X10-X12</f>
        <v>3391299.586181244</v>
      </c>
      <c r="Y14">
        <f>Y10-Y12</f>
        <v>2788363.5757948775</v>
      </c>
      <c r="Z14">
        <f>Z10-Z12</f>
        <v>2139965.4697435955</v>
      </c>
      <c r="AA14">
        <f>AA10-AA12</f>
        <v>1417805.8127294928</v>
      </c>
      <c r="AB14">
        <f>AB10-AB12</f>
        <v>672741.381059052</v>
      </c>
      <c r="AC14">
        <f>AC10-AC12</f>
        <v>277197.2678906711</v>
      </c>
      <c r="AD14">
        <f>AD10-AD12</f>
        <v>239523.5008149878</v>
      </c>
      <c r="AE14">
        <f>AE10-AE12</f>
        <v>201614.2726950815</v>
      </c>
      <c r="AF14">
        <f>AF10-AF12</f>
        <v>163468.11189942577</v>
      </c>
      <c r="AG14">
        <f>AG10-AG12</f>
        <v>125083.53759879716</v>
      </c>
      <c r="AH14">
        <f>AH10-AH12</f>
        <v>86459.05970878965</v>
      </c>
      <c r="AI14">
        <f>AI10-AI12</f>
        <v>47593.17883196957</v>
      </c>
      <c r="AJ14">
        <f>AJ10-AJ12</f>
        <v>8484.386199669383</v>
      </c>
      <c r="AK14">
        <f>AK10-AK12</f>
        <v>0.0</v>
      </c>
      <c r="AL14">
        <f>AL10-AL12</f>
        <v>0.0</v>
      </c>
      <c r="AM14">
        <f>AM10-AM12</f>
        <v>0.0</v>
      </c>
      <c r="AN14">
        <f>AN10-AN12</f>
        <v>0.0</v>
      </c>
      <c r="AO14">
        <f>AO10-AO12</f>
        <v>0.0</v>
      </c>
      <c r="AP14">
        <f>AP10-AP12</f>
        <v>0.0</v>
      </c>
      <c r="AQ14">
        <f>AQ10-AQ12</f>
        <v>0.0</v>
      </c>
      <c r="AR14">
        <f>AR10-AR12</f>
        <v>0.0</v>
      </c>
      <c r="AS14">
        <f>AS10-AS12</f>
        <v>0.0</v>
      </c>
      <c r="AT14">
        <f>AT10-AT12</f>
        <v>0.0</v>
      </c>
      <c r="AU14">
        <f>AU10-AU12</f>
        <v>0.0</v>
      </c>
      <c r="AV14">
        <f>AV10-AV12</f>
        <v>0.0</v>
      </c>
      <c r="AW14">
        <f>AW10-AW12</f>
        <v>0.0</v>
      </c>
    </row>
    <row r="15">
      <c r="A15" t="inlineStr">
        <is>
          <t>Units sold</t>
        </is>
      </c>
      <c r="B15">
        <f>IF(B$3&gt;=Assumptions!$B$5,MIN(Assumptions!$B$6,Assumptions!$B$3-0),0)</f>
        <v>0.0</v>
      </c>
      <c r="C15">
        <f>IF(C$3&gt;=Assumptions!$B$5,MIN(Assumptions!$B$6,Assumptions!$B$3-B35),0)</f>
        <v>0.0</v>
      </c>
      <c r="D15">
        <f>IF(D$3&gt;=Assumptions!$B$5,MIN(Assumptions!$B$6,Assumptions!$B$3-C35),0)</f>
        <v>0.0</v>
      </c>
      <c r="E15">
        <f>IF(E$3&gt;=Assumptions!$B$5,MIN(Assumptions!$B$6,Assumptions!$B$3-D35),0)</f>
        <v>0.0</v>
      </c>
      <c r="F15">
        <f>IF(F$3&gt;=Assumptions!$B$5,MIN(Assumptions!$B$6,Assumptions!$B$3-E35),0)</f>
        <v>0.0</v>
      </c>
      <c r="G15">
        <f>IF(G$3&gt;=Assumptions!$B$5,MIN(Assumptions!$B$6,Assumptions!$B$3-F35),0)</f>
        <v>0.0</v>
      </c>
      <c r="H15">
        <f>IF(H$3&gt;=Assumptions!$B$5,MIN(Assumptions!$B$6,Assumptions!$B$3-G35),0)</f>
        <v>0.0</v>
      </c>
      <c r="I15">
        <f>IF(I$3&gt;=Assumptions!$B$5,MIN(Assumptions!$B$6,Assumptions!$B$3-H35),0)</f>
        <v>0.0</v>
      </c>
      <c r="J15">
        <f>IF(J$3&gt;=Assumptions!$B$5,MIN(Assumptions!$B$6,Assumptions!$B$3-I35),0)</f>
        <v>0.0</v>
      </c>
      <c r="K15">
        <f>IF(K$3&gt;=Assumptions!$B$5,MIN(Assumptions!$B$6,Assumptions!$B$3-J35),0)</f>
        <v>0.0</v>
      </c>
      <c r="L15">
        <f>IF(L$3&gt;=Assumptions!$B$5,MIN(Assumptions!$B$6,Assumptions!$B$3-K35),0)</f>
        <v>0.0</v>
      </c>
      <c r="M15">
        <f>IF(M$3&gt;=Assumptions!$B$5,MIN(Assumptions!$B$6,Assumptions!$B$3-L35),0)</f>
        <v>0.0</v>
      </c>
      <c r="N15">
        <f>IF(N$3&gt;=Assumptions!$B$5,MIN(Assumptions!$B$6,Assumptions!$B$3-M35),0)</f>
        <v>0.0</v>
      </c>
      <c r="O15">
        <f>IF(O$3&gt;=Assumptions!$B$5,MIN(Assumptions!$B$6,Assumptions!$B$3-N35),0)</f>
        <v>0.0</v>
      </c>
      <c r="P15">
        <f>IF(P$3&gt;=Assumptions!$B$5,MIN(Assumptions!$B$6,Assumptions!$B$3-O35),0)</f>
        <v>0.0</v>
      </c>
      <c r="Q15">
        <f>IF(Q$3&gt;=Assumptions!$B$5,MIN(Assumptions!$B$6,Assumptions!$B$3-P35),0)</f>
        <v>0.0</v>
      </c>
      <c r="R15">
        <f>IF(R$3&gt;=Assumptions!$B$5,MIN(Assumptions!$B$6,Assumptions!$B$3-Q35),0)</f>
        <v>0.0</v>
      </c>
      <c r="S15">
        <f>IF(S$3&gt;=Assumptions!$B$5,MIN(Assumptions!$B$6,Assumptions!$B$3-R35),0)</f>
        <v>0.0</v>
      </c>
      <c r="T15">
        <f>IF(T$3&gt;=Assumptions!$B$5,MIN(Assumptions!$B$6,Assumptions!$B$3-S35),0)</f>
        <v>0.0</v>
      </c>
      <c r="U15">
        <f>IF(U$3&gt;=Assumptions!$B$5,MIN(Assumptions!$B$6,Assumptions!$B$3-T35),0)</f>
        <v>0.0</v>
      </c>
      <c r="V15">
        <f>IF(V$3&gt;=Assumptions!$B$5,MIN(Assumptions!$B$6,Assumptions!$B$3-U35),0)</f>
        <v>0.0</v>
      </c>
      <c r="W15">
        <f>IF(W$3&gt;=Assumptions!$B$5,MIN(Assumptions!$B$6,Assumptions!$B$3-V35),0)</f>
        <v>0.0</v>
      </c>
      <c r="X15">
        <f>IF(X$3&gt;=Assumptions!$B$5,MIN(Assumptions!$B$6,Assumptions!$B$3-W35),0)</f>
        <v>0.0</v>
      </c>
      <c r="Y15">
        <f>IF(Y$3&gt;=Assumptions!$B$5,MIN(Assumptions!$B$6,Assumptions!$B$3-X35),0)</f>
        <v>0.0</v>
      </c>
      <c r="Z15">
        <f>IF(Z$3&gt;=Assumptions!$B$5,MIN(Assumptions!$B$6,Assumptions!$B$3-Y35),0)</f>
        <v>10.0</v>
      </c>
      <c r="AA15">
        <f>IF(AA$3&gt;=Assumptions!$B$5,MIN(Assumptions!$B$6,Assumptions!$B$3-Z35),0)</f>
        <v>10.0</v>
      </c>
      <c r="AB15">
        <f>IF(AB$3&gt;=Assumptions!$B$5,MIN(Assumptions!$B$6,Assumptions!$B$3-AA35),0)</f>
        <v>10.0</v>
      </c>
      <c r="AC15">
        <f>IF(AC$3&gt;=Assumptions!$B$5,MIN(Assumptions!$B$6,Assumptions!$B$3-AB35),0)</f>
        <v>10.0</v>
      </c>
      <c r="AD15">
        <f>IF(AD$3&gt;=Assumptions!$B$5,MIN(Assumptions!$B$6,Assumptions!$B$3-AC35),0)</f>
        <v>10.0</v>
      </c>
      <c r="AE15">
        <f>IF(AE$3&gt;=Assumptions!$B$5,MIN(Assumptions!$B$6,Assumptions!$B$3-AD35),0)</f>
        <v>10.0</v>
      </c>
      <c r="AF15">
        <f>IF(AF$3&gt;=Assumptions!$B$5,MIN(Assumptions!$B$6,Assumptions!$B$3-AE35),0)</f>
        <v>10.0</v>
      </c>
      <c r="AG15">
        <f>IF(AG$3&gt;=Assumptions!$B$5,MIN(Assumptions!$B$6,Assumptions!$B$3-AF35),0)</f>
        <v>10.0</v>
      </c>
      <c r="AH15">
        <f>IF(AH$3&gt;=Assumptions!$B$5,MIN(Assumptions!$B$6,Assumptions!$B$3-AG35),0)</f>
        <v>10.0</v>
      </c>
      <c r="AI15">
        <f>IF(AI$3&gt;=Assumptions!$B$5,MIN(Assumptions!$B$6,Assumptions!$B$3-AH35),0)</f>
        <v>10.0</v>
      </c>
      <c r="AJ15">
        <f>IF(AJ$3&gt;=Assumptions!$B$5,MIN(Assumptions!$B$6,Assumptions!$B$3-AI35),0)</f>
        <v>10.0</v>
      </c>
      <c r="AK15">
        <f>IF(AK$3&gt;=Assumptions!$B$5,MIN(Assumptions!$B$6,Assumptions!$B$3-AJ35),0)</f>
        <v>10.0</v>
      </c>
      <c r="AL15">
        <f>IF(AL$3&gt;=Assumptions!$B$5,MIN(Assumptions!$B$6,Assumptions!$B$3-AK35),0)</f>
        <v>10.0</v>
      </c>
      <c r="AM15">
        <f>IF(AM$3&gt;=Assumptions!$B$5,MIN(Assumptions!$B$6,Assumptions!$B$3-AL35),0)</f>
        <v>10.0</v>
      </c>
      <c r="AN15">
        <f>IF(AN$3&gt;=Assumptions!$B$5,MIN(Assumptions!$B$6,Assumptions!$B$3-AM35),0)</f>
        <v>10.0</v>
      </c>
      <c r="AO15">
        <f>IF(AO$3&gt;=Assumptions!$B$5,MIN(Assumptions!$B$6,Assumptions!$B$3-AN35),0)</f>
        <v>10.0</v>
      </c>
      <c r="AP15">
        <f>IF(AP$3&gt;=Assumptions!$B$5,MIN(Assumptions!$B$6,Assumptions!$B$3-AO35),0)</f>
        <v>10.0</v>
      </c>
      <c r="AQ15">
        <f>IF(AQ$3&gt;=Assumptions!$B$5,MIN(Assumptions!$B$6,Assumptions!$B$3-AP35),0)</f>
        <v>10.0</v>
      </c>
      <c r="AR15">
        <f>IF(AR$3&gt;=Assumptions!$B$5,MIN(Assumptions!$B$6,Assumptions!$B$3-AQ35),0)</f>
        <v>10.0</v>
      </c>
      <c r="AS15">
        <f>IF(AS$3&gt;=Assumptions!$B$5,MIN(Assumptions!$B$6,Assumptions!$B$3-AR35),0)</f>
        <v>10.0</v>
      </c>
      <c r="AT15">
        <f>IF(AT$3&gt;=Assumptions!$B$5,MIN(Assumptions!$B$6,Assumptions!$B$3-AS35),0)</f>
        <v>10.0</v>
      </c>
      <c r="AU15">
        <f>IF(AU$3&gt;=Assumptions!$B$5,MIN(Assumptions!$B$6,Assumptions!$B$3-AT35),0)</f>
        <v>10.0</v>
      </c>
      <c r="AV15">
        <f>IF(AV$3&gt;=Assumptions!$B$5,MIN(Assumptions!$B$6,Assumptions!$B$3-AU35),0)</f>
        <v>10.0</v>
      </c>
      <c r="AW15">
        <f>IF(AW$3&gt;=Assumptions!$B$5,MIN(Assumptions!$B$6,Assumptions!$B$3-AV35),0)</f>
        <v>10.0</v>
      </c>
    </row>
    <row r="16">
      <c r="A16" t="inlineStr">
        <is>
          <t>Net sales revenue</t>
        </is>
      </c>
      <c r="B16">
        <f>B15*Assumptions!$B$4*(1-Assumptions!$B$7)</f>
        <v>0.0</v>
      </c>
      <c r="C16">
        <f>C15*Assumptions!$B$4*(1-Assumptions!$B$7)</f>
        <v>0.0</v>
      </c>
      <c r="D16">
        <f>D15*Assumptions!$B$4*(1-Assumptions!$B$7)</f>
        <v>0.0</v>
      </c>
      <c r="E16">
        <f>E15*Assumptions!$B$4*(1-Assumptions!$B$7)</f>
        <v>0.0</v>
      </c>
      <c r="F16">
        <f>F15*Assumptions!$B$4*(1-Assumptions!$B$7)</f>
        <v>0.0</v>
      </c>
      <c r="G16">
        <f>G15*Assumptions!$B$4*(1-Assumptions!$B$7)</f>
        <v>0.0</v>
      </c>
      <c r="H16">
        <f>H15*Assumptions!$B$4*(1-Assumptions!$B$7)</f>
        <v>0.0</v>
      </c>
      <c r="I16">
        <f>I15*Assumptions!$B$4*(1-Assumptions!$B$7)</f>
        <v>0.0</v>
      </c>
      <c r="J16">
        <f>J15*Assumptions!$B$4*(1-Assumptions!$B$7)</f>
        <v>0.0</v>
      </c>
      <c r="K16">
        <f>K15*Assumptions!$B$4*(1-Assumptions!$B$7)</f>
        <v>0.0</v>
      </c>
      <c r="L16">
        <f>L15*Assumptions!$B$4*(1-Assumptions!$B$7)</f>
        <v>0.0</v>
      </c>
      <c r="M16">
        <f>M15*Assumptions!$B$4*(1-Assumptions!$B$7)</f>
        <v>0.0</v>
      </c>
      <c r="N16">
        <f>N15*Assumptions!$B$4*(1-Assumptions!$B$7)</f>
        <v>0.0</v>
      </c>
      <c r="O16">
        <f>O15*Assumptions!$B$4*(1-Assumptions!$B$7)</f>
        <v>0.0</v>
      </c>
      <c r="P16">
        <f>P15*Assumptions!$B$4*(1-Assumptions!$B$7)</f>
        <v>0.0</v>
      </c>
      <c r="Q16">
        <f>Q15*Assumptions!$B$4*(1-Assumptions!$B$7)</f>
        <v>0.0</v>
      </c>
      <c r="R16">
        <f>R15*Assumptions!$B$4*(1-Assumptions!$B$7)</f>
        <v>0.0</v>
      </c>
      <c r="S16">
        <f>S15*Assumptions!$B$4*(1-Assumptions!$B$7)</f>
        <v>0.0</v>
      </c>
      <c r="T16">
        <f>T15*Assumptions!$B$4*(1-Assumptions!$B$7)</f>
        <v>0.0</v>
      </c>
      <c r="U16">
        <f>U15*Assumptions!$B$4*(1-Assumptions!$B$7)</f>
        <v>0.0</v>
      </c>
      <c r="V16">
        <f>V15*Assumptions!$B$4*(1-Assumptions!$B$7)</f>
        <v>0.0</v>
      </c>
      <c r="W16">
        <f>W15*Assumptions!$B$4*(1-Assumptions!$B$7)</f>
        <v>0.0</v>
      </c>
      <c r="X16">
        <f>X15*Assumptions!$B$4*(1-Assumptions!$B$7)</f>
        <v>0.0</v>
      </c>
      <c r="Y16">
        <f>Y15*Assumptions!$B$4*(1-Assumptions!$B$7)</f>
        <v>0.0</v>
      </c>
      <c r="Z16">
        <f>Z15*Assumptions!$B$4*(1-Assumptions!$B$7)</f>
        <v>6305000.0</v>
      </c>
      <c r="AA16">
        <f>AA15*Assumptions!$B$4*(1-Assumptions!$B$7)</f>
        <v>6305000.0</v>
      </c>
      <c r="AB16">
        <f>AB15*Assumptions!$B$4*(1-Assumptions!$B$7)</f>
        <v>6305000.0</v>
      </c>
      <c r="AC16">
        <f>AC15*Assumptions!$B$4*(1-Assumptions!$B$7)</f>
        <v>6305000.0</v>
      </c>
      <c r="AD16">
        <f>AD15*Assumptions!$B$4*(1-Assumptions!$B$7)</f>
        <v>6305000.0</v>
      </c>
      <c r="AE16">
        <f>AE15*Assumptions!$B$4*(1-Assumptions!$B$7)</f>
        <v>6305000.0</v>
      </c>
      <c r="AF16">
        <f>AF15*Assumptions!$B$4*(1-Assumptions!$B$7)</f>
        <v>6305000.0</v>
      </c>
      <c r="AG16">
        <f>AG15*Assumptions!$B$4*(1-Assumptions!$B$7)</f>
        <v>6305000.0</v>
      </c>
      <c r="AH16">
        <f>AH15*Assumptions!$B$4*(1-Assumptions!$B$7)</f>
        <v>6305000.0</v>
      </c>
      <c r="AI16">
        <f>AI15*Assumptions!$B$4*(1-Assumptions!$B$7)</f>
        <v>6305000.0</v>
      </c>
      <c r="AJ16">
        <f>AJ15*Assumptions!$B$4*(1-Assumptions!$B$7)</f>
        <v>6305000.0</v>
      </c>
      <c r="AK16">
        <f>AK15*Assumptions!$B$4*(1-Assumptions!$B$7)</f>
        <v>6305000.0</v>
      </c>
      <c r="AL16">
        <f>AL15*Assumptions!$B$4*(1-Assumptions!$B$7)</f>
        <v>6305000.0</v>
      </c>
      <c r="AM16">
        <f>AM15*Assumptions!$B$4*(1-Assumptions!$B$7)</f>
        <v>6305000.0</v>
      </c>
      <c r="AN16">
        <f>AN15*Assumptions!$B$4*(1-Assumptions!$B$7)</f>
        <v>6305000.0</v>
      </c>
      <c r="AO16">
        <f>AO15*Assumptions!$B$4*(1-Assumptions!$B$7)</f>
        <v>6305000.0</v>
      </c>
      <c r="AP16">
        <f>AP15*Assumptions!$B$4*(1-Assumptions!$B$7)</f>
        <v>6305000.0</v>
      </c>
      <c r="AQ16">
        <f>AQ15*Assumptions!$B$4*(1-Assumptions!$B$7)</f>
        <v>6305000.0</v>
      </c>
      <c r="AR16">
        <f>AR15*Assumptions!$B$4*(1-Assumptions!$B$7)</f>
        <v>6305000.0</v>
      </c>
      <c r="AS16">
        <f>AS15*Assumptions!$B$4*(1-Assumptions!$B$7)</f>
        <v>6305000.0</v>
      </c>
      <c r="AT16">
        <f>AT15*Assumptions!$B$4*(1-Assumptions!$B$7)</f>
        <v>6305000.0</v>
      </c>
      <c r="AU16">
        <f>AU15*Assumptions!$B$4*(1-Assumptions!$B$7)</f>
        <v>6305000.0</v>
      </c>
      <c r="AV16">
        <f>AV15*Assumptions!$B$4*(1-Assumptions!$B$7)</f>
        <v>6305000.0</v>
      </c>
      <c r="AW16">
        <f>AW15*Assumptions!$B$4*(1-Assumptions!$B$7)</f>
        <v>6305000.0</v>
      </c>
    </row>
    <row r="17">
      <c r="A17" t="inlineStr">
        <is>
          <t>Loan repayment</t>
        </is>
      </c>
      <c r="B17">
        <f>MIN(B16,0+B14)</f>
        <v>0.0</v>
      </c>
      <c r="C17">
        <f>MIN(C16,B18+C14)</f>
        <v>0.0</v>
      </c>
      <c r="D17">
        <f>MIN(D16,C18+D14)</f>
        <v>0.0</v>
      </c>
      <c r="E17">
        <f>MIN(E16,D18+E14)</f>
        <v>0.0</v>
      </c>
      <c r="F17">
        <f>MIN(F16,E18+F14)</f>
        <v>0.0</v>
      </c>
      <c r="G17">
        <f>MIN(G16,F18+G14)</f>
        <v>0.0</v>
      </c>
      <c r="H17">
        <f>MIN(H16,G18+H14)</f>
        <v>0.0</v>
      </c>
      <c r="I17">
        <f>MIN(I16,H18+I14)</f>
        <v>0.0</v>
      </c>
      <c r="J17">
        <f>MIN(J16,I18+J14)</f>
        <v>0.0</v>
      </c>
      <c r="K17">
        <f>MIN(K16,J18+K14)</f>
        <v>0.0</v>
      </c>
      <c r="L17">
        <f>MIN(L16,K18+L14)</f>
        <v>0.0</v>
      </c>
      <c r="M17">
        <f>MIN(M16,L18+M14)</f>
        <v>0.0</v>
      </c>
      <c r="N17">
        <f>MIN(N16,M18+N14)</f>
        <v>0.0</v>
      </c>
      <c r="O17">
        <f>MIN(O16,N18+O14)</f>
        <v>0.0</v>
      </c>
      <c r="P17">
        <f>MIN(P16,O18+P14)</f>
        <v>0.0</v>
      </c>
      <c r="Q17">
        <f>MIN(Q16,P18+Q14)</f>
        <v>0.0</v>
      </c>
      <c r="R17">
        <f>MIN(R16,Q18+R14)</f>
        <v>0.0</v>
      </c>
      <c r="S17">
        <f>MIN(S16,R18+S14)</f>
        <v>0.0</v>
      </c>
      <c r="T17">
        <f>MIN(T16,S18+T14)</f>
        <v>0.0</v>
      </c>
      <c r="U17">
        <f>MIN(U16,T18+U14)</f>
        <v>0.0</v>
      </c>
      <c r="V17">
        <f>MIN(V16,U18+V14)</f>
        <v>0.0</v>
      </c>
      <c r="W17">
        <f>MIN(W16,V18+W14)</f>
        <v>0.0</v>
      </c>
      <c r="X17">
        <f>MIN(X16,W18+X14)</f>
        <v>0.0</v>
      </c>
      <c r="Y17">
        <f>MIN(Y16,X18+Y14)</f>
        <v>0.0</v>
      </c>
      <c r="Z17">
        <f>MIN(Z16,Y18+Z14)</f>
        <v>6305000.0</v>
      </c>
      <c r="AA17">
        <f>MIN(AA16,Z18+AA14)</f>
        <v>6305000.0</v>
      </c>
      <c r="AB17">
        <f>MIN(AB16,AA18+AB14)</f>
        <v>6305000.0</v>
      </c>
      <c r="AC17">
        <f>MIN(AC16,AB18+AC14)</f>
        <v>6305000.0</v>
      </c>
      <c r="AD17">
        <f>MIN(AD16,AC18+AD14)</f>
        <v>6305000.0</v>
      </c>
      <c r="AE17">
        <f>MIN(AE16,AD18+AE14)</f>
        <v>6305000.0</v>
      </c>
      <c r="AF17">
        <f>MIN(AF16,AE18+AF14)</f>
        <v>6305000.0</v>
      </c>
      <c r="AG17">
        <f>MIN(AG16,AF18+AG14)</f>
        <v>6305000.0</v>
      </c>
      <c r="AH17">
        <f>MIN(AH16,AG18+AH14)</f>
        <v>6305000.0</v>
      </c>
      <c r="AI17">
        <f>MIN(AI16,AH18+AI14)</f>
        <v>6305000.0</v>
      </c>
      <c r="AJ17">
        <f>MIN(AJ16,AI18+AJ14)</f>
        <v>1365986.1781467707</v>
      </c>
      <c r="AK17">
        <f>MIN(AK16,AJ18+AK14)</f>
        <v>0.0</v>
      </c>
      <c r="AL17">
        <f>MIN(AL16,AK18+AL14)</f>
        <v>0.0</v>
      </c>
      <c r="AM17">
        <f>MIN(AM16,AL18+AM14)</f>
        <v>0.0</v>
      </c>
      <c r="AN17">
        <f>MIN(AN16,AM18+AN14)</f>
        <v>0.0</v>
      </c>
      <c r="AO17">
        <f>MIN(AO16,AN18+AO14)</f>
        <v>0.0</v>
      </c>
      <c r="AP17">
        <f>MIN(AP16,AO18+AP14)</f>
        <v>0.0</v>
      </c>
      <c r="AQ17">
        <f>MIN(AQ16,AP18+AQ14)</f>
        <v>0.0</v>
      </c>
      <c r="AR17">
        <f>MIN(AR16,AQ18+AR14)</f>
        <v>0.0</v>
      </c>
      <c r="AS17">
        <f>MIN(AS16,AR18+AS14)</f>
        <v>0.0</v>
      </c>
      <c r="AT17">
        <f>MIN(AT16,AS18+AT14)</f>
        <v>0.0</v>
      </c>
      <c r="AU17">
        <f>MIN(AU16,AT18+AU14)</f>
        <v>0.0</v>
      </c>
      <c r="AV17">
        <f>MIN(AV16,AU18+AV14)</f>
        <v>0.0</v>
      </c>
      <c r="AW17">
        <f>MIN(AW16,AV18+AW14)</f>
        <v>0.0</v>
      </c>
    </row>
    <row r="18">
      <c r="A18" t="inlineStr">
        <is>
          <t>Loan balance</t>
        </is>
      </c>
      <c r="B18">
        <f>0+B14-B17</f>
        <v>0.0</v>
      </c>
      <c r="C18">
        <f>B18+C14-C17</f>
        <v>0.0</v>
      </c>
      <c r="D18">
        <f>C18+D14-D17</f>
        <v>0.0</v>
      </c>
      <c r="E18">
        <f>D18+E14-E17</f>
        <v>0.0</v>
      </c>
      <c r="F18">
        <f>E18+F14-F17</f>
        <v>0.0</v>
      </c>
      <c r="G18">
        <f>F18+G14-G17</f>
        <v>0.0</v>
      </c>
      <c r="H18">
        <f>G18+H14-H17</f>
        <v>0.0</v>
      </c>
      <c r="I18">
        <f>H18+I14-I17</f>
        <v>0.0</v>
      </c>
      <c r="J18">
        <f>I18+J14-J17</f>
        <v>0.0</v>
      </c>
      <c r="K18">
        <f>J18+K14-K17</f>
        <v>0.0</v>
      </c>
      <c r="L18">
        <f>K18+L14-L17</f>
        <v>0.0</v>
      </c>
      <c r="M18">
        <f>L18+M14-M17</f>
        <v>1701542.5835502278</v>
      </c>
      <c r="N18">
        <f>M18+N14-N17</f>
        <v>6929344.910297416</v>
      </c>
      <c r="O18">
        <f>N18+O14-O17</f>
        <v>12376348.579186775</v>
      </c>
      <c r="P18">
        <f>O18+P14-P17</f>
        <v>17951464.301806692</v>
      </c>
      <c r="Q18">
        <f>P18+Q14-Q17</f>
        <v>23561424.497692984</v>
      </c>
      <c r="R18">
        <f>Q18+R14-R17</f>
        <v>29112378.664003566</v>
      </c>
      <c r="S18">
        <f>R18+S14-S17</f>
        <v>34511498.716253586</v>
      </c>
      <c r="T18">
        <f>S18+T14-T17</f>
        <v>39668569.09043017</v>
      </c>
      <c r="U18">
        <f>T18+U14-U17</f>
        <v>44497528.65764536</v>
      </c>
      <c r="V18">
        <f>U18+V14-V17</f>
        <v>48917944.774955645</v>
      </c>
      <c r="W18">
        <f>V18+W14-W17</f>
        <v>52856387.03699912</v>
      </c>
      <c r="X18">
        <f>W18+X14-X17</f>
        <v>56247686.62318037</v>
      </c>
      <c r="Y18">
        <f>X18+Y14-Y17</f>
        <v>59036050.19897524</v>
      </c>
      <c r="Z18">
        <f>Y18+Z14-Z17</f>
        <v>54871015.66871884</v>
      </c>
      <c r="AA18">
        <f>Z18+AA14-AA17</f>
        <v>49983821.48144833</v>
      </c>
      <c r="AB18">
        <f>AA18+AB14-AB17</f>
        <v>44351562.86250738</v>
      </c>
      <c r="AC18">
        <f>AB18+AC14-AC17</f>
        <v>38323760.13039805</v>
      </c>
      <c r="AD18">
        <f>AC18+AD14-AD17</f>
        <v>32258283.63121304</v>
      </c>
      <c r="AE18">
        <f>AD18+AE14-AE17</f>
        <v>26154897.903908122</v>
      </c>
      <c r="AF18">
        <f>AE18+AF14-AF17</f>
        <v>20013366.015807547</v>
      </c>
      <c r="AG18">
        <f>AF18+AG14-AG17</f>
        <v>13833449.553406343</v>
      </c>
      <c r="AH18">
        <f>AG18+AH14-AH17</f>
        <v>7614908.613115132</v>
      </c>
      <c r="AI18">
        <f>AH18+AI14-AI17</f>
        <v>1357501.7919471012</v>
      </c>
      <c r="AJ18">
        <f>AI18+AJ14-AJ17</f>
        <v>0.0</v>
      </c>
      <c r="AK18">
        <f>AJ18+AK14-AK17</f>
        <v>0.0</v>
      </c>
      <c r="AL18">
        <f>AK18+AL14-AL17</f>
        <v>0.0</v>
      </c>
      <c r="AM18">
        <f>AL18+AM14-AM17</f>
        <v>0.0</v>
      </c>
      <c r="AN18">
        <f>AM18+AN14-AN17</f>
        <v>0.0</v>
      </c>
      <c r="AO18">
        <f>AN18+AO14-AO17</f>
        <v>0.0</v>
      </c>
      <c r="AP18">
        <f>AO18+AP14-AP17</f>
        <v>0.0</v>
      </c>
      <c r="AQ18">
        <f>AP18+AQ14-AQ17</f>
        <v>0.0</v>
      </c>
      <c r="AR18">
        <f>AQ18+AR14-AR17</f>
        <v>0.0</v>
      </c>
      <c r="AS18">
        <f>AR18+AS14-AS17</f>
        <v>0.0</v>
      </c>
      <c r="AT18">
        <f>AS18+AT14-AT17</f>
        <v>0.0</v>
      </c>
      <c r="AU18">
        <f>AT18+AU14-AU17</f>
        <v>0.0</v>
      </c>
      <c r="AV18">
        <f>AU18+AV14-AV17</f>
        <v>0.0</v>
      </c>
      <c r="AW18">
        <f>AV18+AW14-AW17</f>
        <v>0.0</v>
      </c>
    </row>
    <row r="19">
      <c r="A19" t="inlineStr">
        <is>
          <t>Distributions to equity</t>
        </is>
      </c>
      <c r="B19">
        <f>B16-B17</f>
        <v>0.0</v>
      </c>
      <c r="C19">
        <f>C16-C17</f>
        <v>0.0</v>
      </c>
      <c r="D19">
        <f>D16-D17</f>
        <v>0.0</v>
      </c>
      <c r="E19">
        <f>E16-E17</f>
        <v>0.0</v>
      </c>
      <c r="F19">
        <f>F16-F17</f>
        <v>0.0</v>
      </c>
      <c r="G19">
        <f>G16-G17</f>
        <v>0.0</v>
      </c>
      <c r="H19">
        <f>H16-H17</f>
        <v>0.0</v>
      </c>
      <c r="I19">
        <f>I16-I17</f>
        <v>0.0</v>
      </c>
      <c r="J19">
        <f>J16-J17</f>
        <v>0.0</v>
      </c>
      <c r="K19">
        <f>K16-K17</f>
        <v>0.0</v>
      </c>
      <c r="L19">
        <f>L16-L17</f>
        <v>0.0</v>
      </c>
      <c r="M19">
        <f>M16-M17</f>
        <v>0.0</v>
      </c>
      <c r="N19">
        <f>N16-N17</f>
        <v>0.0</v>
      </c>
      <c r="O19">
        <f>O16-O17</f>
        <v>0.0</v>
      </c>
      <c r="P19">
        <f>P16-P17</f>
        <v>0.0</v>
      </c>
      <c r="Q19">
        <f>Q16-Q17</f>
        <v>0.0</v>
      </c>
      <c r="R19">
        <f>R16-R17</f>
        <v>0.0</v>
      </c>
      <c r="S19">
        <f>S16-S17</f>
        <v>0.0</v>
      </c>
      <c r="T19">
        <f>T16-T17</f>
        <v>0.0</v>
      </c>
      <c r="U19">
        <f>U16-U17</f>
        <v>0.0</v>
      </c>
      <c r="V19">
        <f>V16-V17</f>
        <v>0.0</v>
      </c>
      <c r="W19">
        <f>W16-W17</f>
        <v>0.0</v>
      </c>
      <c r="X19">
        <f>X16-X17</f>
        <v>0.0</v>
      </c>
      <c r="Y19">
        <f>Y16-Y17</f>
        <v>0.0</v>
      </c>
      <c r="Z19">
        <f>Z16-Z17</f>
        <v>0.0</v>
      </c>
      <c r="AA19">
        <f>AA16-AA17</f>
        <v>0.0</v>
      </c>
      <c r="AB19">
        <f>AB16-AB17</f>
        <v>0.0</v>
      </c>
      <c r="AC19">
        <f>AC16-AC17</f>
        <v>0.0</v>
      </c>
      <c r="AD19">
        <f>AD16-AD17</f>
        <v>0.0</v>
      </c>
      <c r="AE19">
        <f>AE16-AE17</f>
        <v>0.0</v>
      </c>
      <c r="AF19">
        <f>AF16-AF17</f>
        <v>0.0</v>
      </c>
      <c r="AG19">
        <f>AG16-AG17</f>
        <v>0.0</v>
      </c>
      <c r="AH19">
        <f>AH16-AH17</f>
        <v>0.0</v>
      </c>
      <c r="AI19">
        <f>AI16-AI17</f>
        <v>0.0</v>
      </c>
      <c r="AJ19">
        <f>AJ16-AJ17</f>
        <v>4939013.82185323</v>
      </c>
      <c r="AK19">
        <f>AK16-AK17</f>
        <v>6305000.0</v>
      </c>
      <c r="AL19">
        <f>AL16-AL17</f>
        <v>6305000.0</v>
      </c>
      <c r="AM19">
        <f>AM16-AM17</f>
        <v>6305000.0</v>
      </c>
      <c r="AN19">
        <f>AN16-AN17</f>
        <v>6305000.0</v>
      </c>
      <c r="AO19">
        <f>AO16-AO17</f>
        <v>6305000.0</v>
      </c>
      <c r="AP19">
        <f>AP16-AP17</f>
        <v>6305000.0</v>
      </c>
      <c r="AQ19">
        <f>AQ16-AQ17</f>
        <v>6305000.0</v>
      </c>
      <c r="AR19">
        <f>AR16-AR17</f>
        <v>6305000.0</v>
      </c>
      <c r="AS19">
        <f>AS16-AS17</f>
        <v>6305000.0</v>
      </c>
      <c r="AT19">
        <f>AT16-AT17</f>
        <v>6305000.0</v>
      </c>
      <c r="AU19">
        <f>AU16-AU17</f>
        <v>6305000.0</v>
      </c>
      <c r="AV19">
        <f>AV16-AV17</f>
        <v>6305000.0</v>
      </c>
      <c r="AW19">
        <f>AW16-AW17</f>
        <v>6305000.0</v>
      </c>
    </row>
    <row r="20">
      <c r="A20" t="inlineStr">
        <is>
          <t>Equity cash flow</t>
        </is>
      </c>
      <c r="B20">
        <f>B19-B12</f>
        <v>-18644159.861781467</v>
      </c>
      <c r="C20">
        <f>C19-C12</f>
        <v>0.0</v>
      </c>
      <c r="D20">
        <f>D19-D12</f>
        <v>0.0</v>
      </c>
      <c r="E20">
        <f>E19-E12</f>
        <v>-360342.49679999996</v>
      </c>
      <c r="F20">
        <f>F19-F12</f>
        <v>-1074861.9648</v>
      </c>
      <c r="G20">
        <f>G19-G12</f>
        <v>-1770990.1560000002</v>
      </c>
      <c r="H20">
        <f>H19-H12</f>
        <v>-2436815.5344000002</v>
      </c>
      <c r="I20">
        <f>I19-I12</f>
        <v>-3060947.1671999996</v>
      </c>
      <c r="J20">
        <f>J19-J12</f>
        <v>-3632705.1072000004</v>
      </c>
      <c r="K20">
        <f>K19-K12</f>
        <v>-4142306.5632000007</v>
      </c>
      <c r="L20">
        <f>L19-L12</f>
        <v>-4581031.0104</v>
      </c>
      <c r="M20">
        <f>M19-M12</f>
        <v>-3239830.923649773</v>
      </c>
      <c r="N20">
        <f>N19-N12</f>
        <v>0.0</v>
      </c>
      <c r="O20">
        <f>O19-O12</f>
        <v>0.0</v>
      </c>
      <c r="P20">
        <f>P19-P12</f>
        <v>0.0</v>
      </c>
      <c r="Q20">
        <f>Q19-Q12</f>
        <v>0.0</v>
      </c>
      <c r="R20">
        <f>R19-R12</f>
        <v>0.0</v>
      </c>
      <c r="S20">
        <f>S19-S12</f>
        <v>0.0</v>
      </c>
      <c r="T20">
        <f>T19-T12</f>
        <v>0.0</v>
      </c>
      <c r="U20">
        <f>U19-U12</f>
        <v>0.0</v>
      </c>
      <c r="V20">
        <f>V19-V12</f>
        <v>0.0</v>
      </c>
      <c r="W20">
        <f>W19-W12</f>
        <v>0.0</v>
      </c>
      <c r="X20">
        <f>X19-X12</f>
        <v>0.0</v>
      </c>
      <c r="Y20">
        <f>Y19-Y12</f>
        <v>0.0</v>
      </c>
      <c r="Z20">
        <f>Z19-Z12</f>
        <v>0.0</v>
      </c>
      <c r="AA20">
        <f>AA19-AA12</f>
        <v>0.0</v>
      </c>
      <c r="AB20">
        <f>AB19-AB12</f>
        <v>0.0</v>
      </c>
      <c r="AC20">
        <f>AC19-AC12</f>
        <v>0.0</v>
      </c>
      <c r="AD20">
        <f>AD19-AD12</f>
        <v>0.0</v>
      </c>
      <c r="AE20">
        <f>AE19-AE12</f>
        <v>0.0</v>
      </c>
      <c r="AF20">
        <f>AF19-AF12</f>
        <v>0.0</v>
      </c>
      <c r="AG20">
        <f>AG19-AG12</f>
        <v>0.0</v>
      </c>
      <c r="AH20">
        <f>AH19-AH12</f>
        <v>0.0</v>
      </c>
      <c r="AI20">
        <f>AI19-AI12</f>
        <v>0.0</v>
      </c>
      <c r="AJ20">
        <f>AJ19-AJ12</f>
        <v>4939013.82185323</v>
      </c>
      <c r="AK20">
        <f>AK19-AK12</f>
        <v>6305000.0</v>
      </c>
      <c r="AL20">
        <f>AL19-AL12</f>
        <v>6305000.0</v>
      </c>
      <c r="AM20">
        <f>AM19-AM12</f>
        <v>6305000.0</v>
      </c>
      <c r="AN20">
        <f>AN19-AN12</f>
        <v>6305000.0</v>
      </c>
      <c r="AO20">
        <f>AO19-AO12</f>
        <v>6305000.0</v>
      </c>
      <c r="AP20">
        <f>AP19-AP12</f>
        <v>6305000.0</v>
      </c>
      <c r="AQ20">
        <f>AQ19-AQ12</f>
        <v>6305000.0</v>
      </c>
      <c r="AR20">
        <f>AR19-AR12</f>
        <v>6305000.0</v>
      </c>
      <c r="AS20">
        <f>AS19-AS12</f>
        <v>6305000.0</v>
      </c>
      <c r="AT20">
        <f>AT19-AT12</f>
        <v>6305000.0</v>
      </c>
      <c r="AU20">
        <f>AU19-AU12</f>
        <v>6305000.0</v>
      </c>
      <c r="AV20">
        <f>AV19-AV12</f>
        <v>6305000.0</v>
      </c>
      <c r="AW20">
        <f>AW19-AW12</f>
        <v>6305000.0</v>
      </c>
    </row>
    <row r="21">
      <c r="A21" t="inlineStr">
        <is>
          <t>Unlevered cash flow</t>
        </is>
      </c>
      <c r="B21">
        <f>B16-(B4+B5+B6+B7)</f>
        <v>-18000000.0</v>
      </c>
      <c r="C21">
        <f>C16-(C4+C5+C6+C7)</f>
        <v>0.0</v>
      </c>
      <c r="D21">
        <f>D16-(D4+D5+D6+D7)</f>
        <v>0.0</v>
      </c>
      <c r="E21">
        <f>E16-(E4+E5+E6+E7)</f>
        <v>-360342.49679999996</v>
      </c>
      <c r="F21">
        <f>F16-(F4+F5+F6+F7)</f>
        <v>-1074861.9648</v>
      </c>
      <c r="G21">
        <f>G16-(G4+G5+G6+G7)</f>
        <v>-1770990.1560000002</v>
      </c>
      <c r="H21">
        <f>H16-(H4+H5+H6+H7)</f>
        <v>-2436815.5344000002</v>
      </c>
      <c r="I21">
        <f>I16-(I4+I5+I6+I7)</f>
        <v>-3060947.1671999996</v>
      </c>
      <c r="J21">
        <f>J16-(J4+J5+J6+J7)</f>
        <v>-3632705.1072000004</v>
      </c>
      <c r="K21">
        <f>K16-(K4+K5+K6+K7)</f>
        <v>-4142306.5632000007</v>
      </c>
      <c r="L21">
        <f>L16-(L4+L5+L6+L7)</f>
        <v>-4581031.0104</v>
      </c>
      <c r="M21">
        <f>M16-(M4+M5+M6+M7)</f>
        <v>-4941373.507200001</v>
      </c>
      <c r="N21">
        <f>N16-(N4+N5+N6+N7)</f>
        <v>-5217167.6855999995</v>
      </c>
      <c r="O21">
        <f>O16-(O4+O5+O6+O7)</f>
        <v>-5403695.2632</v>
      </c>
      <c r="P21">
        <f>P16-(P4+P5+P6+P7)</f>
        <v>-5497763.544000001</v>
      </c>
      <c r="Q21">
        <f>Q16-(Q4+Q5+Q6+Q7)</f>
        <v>-5497763.544000001</v>
      </c>
      <c r="R21">
        <f>R16-(R4+R5+R6+R7)</f>
        <v>-5403695.2632</v>
      </c>
      <c r="S21">
        <f>S16-(S4+S5+S6+S7)</f>
        <v>-5217167.6855999995</v>
      </c>
      <c r="T21">
        <f>T16-(T4+T5+T6+T7)</f>
        <v>-4941373.507200001</v>
      </c>
      <c r="U21">
        <f>U16-(U4+U5+U6+U7)</f>
        <v>-4581031.0104</v>
      </c>
      <c r="V21">
        <f>V16-(V4+V5+V6+V7)</f>
        <v>-4142306.5632000007</v>
      </c>
      <c r="W21">
        <f>W16-(W4+W5+W6+W7)</f>
        <v>-3632705.1072000004</v>
      </c>
      <c r="X21">
        <f>X16-(X4+X5+X6+X7)</f>
        <v>-3060947.1671999996</v>
      </c>
      <c r="Y21">
        <f>Y16-(Y4+Y5+Y6+Y7)</f>
        <v>-2436815.5344000002</v>
      </c>
      <c r="Z21">
        <f>Z16-(Z4+Z5+Z6+Z7)</f>
        <v>4534009.844</v>
      </c>
      <c r="AA21">
        <f>AA16-(AA4+AA5+AA6+AA7)</f>
        <v>5230138.0352</v>
      </c>
      <c r="AB21">
        <f>AB16-(AB4+AB5+AB6+AB7)</f>
        <v>5944657.5032</v>
      </c>
      <c r="AC21">
        <f>AC16-(AC4+AC5+AC6+AC7)</f>
        <v>6305000.0</v>
      </c>
      <c r="AD21">
        <f>AD16-(AD4+AD5+AD6+AD7)</f>
        <v>6305000.0</v>
      </c>
      <c r="AE21">
        <f>AE16-(AE4+AE5+AE6+AE7)</f>
        <v>6305000.0</v>
      </c>
      <c r="AF21">
        <f>AF16-(AF4+AF5+AF6+AF7)</f>
        <v>6305000.0</v>
      </c>
      <c r="AG21">
        <f>AG16-(AG4+AG5+AG6+AG7)</f>
        <v>6305000.0</v>
      </c>
      <c r="AH21">
        <f>AH16-(AH4+AH5+AH6+AH7)</f>
        <v>6305000.0</v>
      </c>
      <c r="AI21">
        <f>AI16-(AI4+AI5+AI6+AI7)</f>
        <v>6305000.0</v>
      </c>
      <c r="AJ21">
        <f>AJ16-(AJ4+AJ5+AJ6+AJ7)</f>
        <v>6305000.0</v>
      </c>
      <c r="AK21">
        <f>AK16-(AK4+AK5+AK6+AK7)</f>
        <v>6305000.0</v>
      </c>
      <c r="AL21">
        <f>AL16-(AL4+AL5+AL6+AL7)</f>
        <v>6305000.0</v>
      </c>
      <c r="AM21">
        <f>AM16-(AM4+AM5+AM6+AM7)</f>
        <v>6305000.0</v>
      </c>
      <c r="AN21">
        <f>AN16-(AN4+AN5+AN6+AN7)</f>
        <v>6305000.0</v>
      </c>
      <c r="AO21">
        <f>AO16-(AO4+AO5+AO6+AO7)</f>
        <v>6305000.0</v>
      </c>
      <c r="AP21">
        <f>AP16-(AP4+AP5+AP6+AP7)</f>
        <v>6305000.0</v>
      </c>
      <c r="AQ21">
        <f>AQ16-(AQ4+AQ5+AQ6+AQ7)</f>
        <v>6305000.0</v>
      </c>
      <c r="AR21">
        <f>AR16-(AR4+AR5+AR6+AR7)</f>
        <v>6305000.0</v>
      </c>
      <c r="AS21">
        <f>AS16-(AS4+AS5+AS6+AS7)</f>
        <v>6305000.0</v>
      </c>
      <c r="AT21">
        <f>AT16-(AT4+AT5+AT6+AT7)</f>
        <v>6305000.0</v>
      </c>
      <c r="AU21">
        <f>AU16-(AU4+AU5+AU6+AU7)</f>
        <v>6305000.0</v>
      </c>
      <c r="AV21">
        <f>AV16-(AV4+AV5+AV6+AV7)</f>
        <v>6305000.0</v>
      </c>
      <c r="AW21">
        <f>AW16-(AW4+AW5+AW6+AW7)</f>
        <v>6305000.0</v>
      </c>
    </row>
    <row r="22">
      <c r="A22" t="inlineStr">
        <is>
          <t>LP contribution</t>
        </is>
      </c>
      <c r="B22">
        <f>B12*Assumptions!$B$16</f>
        <v>16779743.875603322</v>
      </c>
      <c r="C22">
        <f>C12*Assumptions!$B$16</f>
        <v>0.0</v>
      </c>
      <c r="D22">
        <f>D12*Assumptions!$B$16</f>
        <v>0.0</v>
      </c>
      <c r="E22">
        <f>E12*Assumptions!$B$16</f>
        <v>324308.24711999996</v>
      </c>
      <c r="F22">
        <f>F12*Assumptions!$B$16</f>
        <v>967375.76832</v>
      </c>
      <c r="G22">
        <f>G12*Assumptions!$B$16</f>
        <v>1593891.1404000001</v>
      </c>
      <c r="H22">
        <f>H12*Assumptions!$B$16</f>
        <v>2193133.9809600003</v>
      </c>
      <c r="I22">
        <f>I12*Assumptions!$B$16</f>
        <v>2754852.4504799997</v>
      </c>
      <c r="J22">
        <f>J12*Assumptions!$B$16</f>
        <v>3269434.5964800003</v>
      </c>
      <c r="K22">
        <f>K12*Assumptions!$B$16</f>
        <v>3728075.9068800006</v>
      </c>
      <c r="L22">
        <f>L12*Assumptions!$B$16</f>
        <v>4122927.90936</v>
      </c>
      <c r="M22">
        <f>M12*Assumptions!$B$16</f>
        <v>2915847.831284796</v>
      </c>
      <c r="N22">
        <f>N12*Assumptions!$B$16</f>
        <v>0.0</v>
      </c>
      <c r="O22">
        <f>O12*Assumptions!$B$16</f>
        <v>0.0</v>
      </c>
      <c r="P22">
        <f>P12*Assumptions!$B$16</f>
        <v>0.0</v>
      </c>
      <c r="Q22">
        <f>Q12*Assumptions!$B$16</f>
        <v>0.0</v>
      </c>
      <c r="R22">
        <f>R12*Assumptions!$B$16</f>
        <v>0.0</v>
      </c>
      <c r="S22">
        <f>S12*Assumptions!$B$16</f>
        <v>0.0</v>
      </c>
      <c r="T22">
        <f>T12*Assumptions!$B$16</f>
        <v>0.0</v>
      </c>
      <c r="U22">
        <f>U12*Assumptions!$B$16</f>
        <v>0.0</v>
      </c>
      <c r="V22">
        <f>V12*Assumptions!$B$16</f>
        <v>0.0</v>
      </c>
      <c r="W22">
        <f>W12*Assumptions!$B$16</f>
        <v>0.0</v>
      </c>
      <c r="X22">
        <f>X12*Assumptions!$B$16</f>
        <v>0.0</v>
      </c>
      <c r="Y22">
        <f>Y12*Assumptions!$B$16</f>
        <v>0.0</v>
      </c>
      <c r="Z22">
        <f>Z12*Assumptions!$B$16</f>
        <v>0.0</v>
      </c>
      <c r="AA22">
        <f>AA12*Assumptions!$B$16</f>
        <v>0.0</v>
      </c>
      <c r="AB22">
        <f>AB12*Assumptions!$B$16</f>
        <v>0.0</v>
      </c>
      <c r="AC22">
        <f>AC12*Assumptions!$B$16</f>
        <v>0.0</v>
      </c>
      <c r="AD22">
        <f>AD12*Assumptions!$B$16</f>
        <v>0.0</v>
      </c>
      <c r="AE22">
        <f>AE12*Assumptions!$B$16</f>
        <v>0.0</v>
      </c>
      <c r="AF22">
        <f>AF12*Assumptions!$B$16</f>
        <v>0.0</v>
      </c>
      <c r="AG22">
        <f>AG12*Assumptions!$B$16</f>
        <v>0.0</v>
      </c>
      <c r="AH22">
        <f>AH12*Assumptions!$B$16</f>
        <v>0.0</v>
      </c>
      <c r="AI22">
        <f>AI12*Assumptions!$B$16</f>
        <v>0.0</v>
      </c>
      <c r="AJ22">
        <f>AJ12*Assumptions!$B$16</f>
        <v>0.0</v>
      </c>
      <c r="AK22">
        <f>AK12*Assumptions!$B$16</f>
        <v>0.0</v>
      </c>
      <c r="AL22">
        <f>AL12*Assumptions!$B$16</f>
        <v>0.0</v>
      </c>
      <c r="AM22">
        <f>AM12*Assumptions!$B$16</f>
        <v>0.0</v>
      </c>
      <c r="AN22">
        <f>AN12*Assumptions!$B$16</f>
        <v>0.0</v>
      </c>
      <c r="AO22">
        <f>AO12*Assumptions!$B$16</f>
        <v>0.0</v>
      </c>
      <c r="AP22">
        <f>AP12*Assumptions!$B$16</f>
        <v>0.0</v>
      </c>
      <c r="AQ22">
        <f>AQ12*Assumptions!$B$16</f>
        <v>0.0</v>
      </c>
      <c r="AR22">
        <f>AR12*Assumptions!$B$16</f>
        <v>0.0</v>
      </c>
      <c r="AS22">
        <f>AS12*Assumptions!$B$16</f>
        <v>0.0</v>
      </c>
      <c r="AT22">
        <f>AT12*Assumptions!$B$16</f>
        <v>0.0</v>
      </c>
      <c r="AU22">
        <f>AU12*Assumptions!$B$16</f>
        <v>0.0</v>
      </c>
      <c r="AV22">
        <f>AV12*Assumptions!$B$16</f>
        <v>0.0</v>
      </c>
      <c r="AW22">
        <f>AW12*Assumptions!$B$16</f>
        <v>0.0</v>
      </c>
    </row>
    <row r="23">
      <c r="A23" t="inlineStr">
        <is>
          <t>Tier 1 account (opening + growth)</t>
        </is>
      </c>
      <c r="B23">
        <f>0*(1+((1+Assumptions!$B$17)^(1/12)-1))+B22</f>
        <v>16779743.875603322</v>
      </c>
      <c r="C23">
        <f>B33*(1+((1+Assumptions!$B$17)^(1/12)-1))+C22</f>
        <v>16887705.2529371</v>
      </c>
      <c r="D23">
        <f>C33*(1+((1+Assumptions!$B$17)^(1/12)-1))+D22</f>
        <v>16996361.25702336</v>
      </c>
      <c r="E23">
        <f>D33*(1+((1+Assumptions!$B$17)^(1/12)-1))+E22</f>
        <v>17430024.604231544</v>
      </c>
      <c r="F23">
        <f>E33*(1+((1+Assumptions!$B$17)^(1/12)-1))+F22</f>
        <v>18509545.675673272</v>
      </c>
      <c r="G23">
        <f>F33*(1+((1+Assumptions!$B$17)^(1/12)-1))+G22</f>
        <v>20222527.790273037</v>
      </c>
      <c r="H23">
        <f>G33*(1+((1+Assumptions!$B$17)^(1/12)-1))+H22</f>
        <v>22545774.123936035</v>
      </c>
      <c r="I23">
        <f>H33*(1+((1+Assumptions!$B$17)^(1/12)-1))+I22</f>
        <v>25445686.763982773</v>
      </c>
      <c r="J23">
        <f>I33*(1+((1+Assumptions!$B$17)^(1/12)-1))+J22</f>
        <v>28878839.675271954</v>
      </c>
      <c r="K23">
        <f>J33*(1+((1+Assumptions!$B$17)^(1/12)-1))+K22</f>
        <v>32792722.906164616</v>
      </c>
      <c r="L23">
        <f>K33*(1+((1+Assumptions!$B$17)^(1/12)-1))+L22</f>
        <v>37126640.18209188</v>
      </c>
      <c r="M23">
        <f>L33*(1+((1+Assumptions!$B$17)^(1/12)-1))+M22</f>
        <v>40281361.93419152</v>
      </c>
      <c r="N23">
        <f>M33*(1+((1+Assumptions!$B$17)^(1/12)-1))+N22</f>
        <v>40540533.42974805</v>
      </c>
      <c r="O23">
        <f>N33*(1+((1+Assumptions!$B$17)^(1/12)-1))+O22</f>
        <v>40801372.44251065</v>
      </c>
      <c r="P23">
        <f>O33*(1+((1+Assumptions!$B$17)^(1/12)-1))+P22</f>
        <v>41063889.70133523</v>
      </c>
      <c r="Q23">
        <f>P33*(1+((1+Assumptions!$B$17)^(1/12)-1))+Q22</f>
        <v>41328096.00410748</v>
      </c>
      <c r="R23">
        <f>Q33*(1+((1+Assumptions!$B$17)^(1/12)-1))+R22</f>
        <v>41594002.21818702</v>
      </c>
      <c r="S23">
        <f>R33*(1+((1+Assumptions!$B$17)^(1/12)-1))+S22</f>
        <v>41861619.28085438</v>
      </c>
      <c r="T23">
        <f>S33*(1+((1+Assumptions!$B$17)^(1/12)-1))+T22</f>
        <v>42130958.1997609</v>
      </c>
      <c r="U23">
        <f>T33*(1+((1+Assumptions!$B$17)^(1/12)-1))+U22</f>
        <v>42402030.05338146</v>
      </c>
      <c r="V23">
        <f>U33*(1+((1+Assumptions!$B$17)^(1/12)-1))+V22</f>
        <v>42674845.99147019</v>
      </c>
      <c r="W23">
        <f>V33*(1+((1+Assumptions!$B$17)^(1/12)-1))+W22</f>
        <v>42949417.23551907</v>
      </c>
      <c r="X23">
        <f>W33*(1+((1+Assumptions!$B$17)^(1/12)-1))+X22</f>
        <v>43225755.0792195</v>
      </c>
      <c r="Y23">
        <f>X33*(1+((1+Assumptions!$B$17)^(1/12)-1))+Y22</f>
        <v>43503870.88892683</v>
      </c>
      <c r="Z23">
        <f>Y33*(1+((1+Assumptions!$B$17)^(1/12)-1))+Z22</f>
        <v>43783776.104127884</v>
      </c>
      <c r="AA23">
        <f>Z33*(1+((1+Assumptions!$B$17)^(1/12)-1))+AA22</f>
        <v>44065482.23791149</v>
      </c>
      <c r="AB23">
        <f>AA33*(1+((1+Assumptions!$B$17)^(1/12)-1))+AB22</f>
        <v>44349000.87744204</v>
      </c>
      <c r="AC23">
        <f>AB33*(1+((1+Assumptions!$B$17)^(1/12)-1))+AC22</f>
        <v>44634343.68443607</v>
      </c>
      <c r="AD23">
        <f>AC33*(1+((1+Assumptions!$B$17)^(1/12)-1))+AD22</f>
        <v>44921522.39564197</v>
      </c>
      <c r="AE23">
        <f>AD33*(1+((1+Assumptions!$B$17)^(1/12)-1))+AE22</f>
        <v>45210548.82332272</v>
      </c>
      <c r="AF23">
        <f>AE33*(1+((1+Assumptions!$B$17)^(1/12)-1))+AF22</f>
        <v>45501434.85574176</v>
      </c>
      <c r="AG23">
        <f>AF33*(1+((1+Assumptions!$B$17)^(1/12)-1))+AG22</f>
        <v>45794192.457651965</v>
      </c>
      <c r="AH23">
        <f>AG33*(1+((1+Assumptions!$B$17)^(1/12)-1))+AH22</f>
        <v>46088833.67078779</v>
      </c>
      <c r="AI23">
        <f>AH33*(1+((1+Assumptions!$B$17)^(1/12)-1))+AI22</f>
        <v>46385370.61436058</v>
      </c>
      <c r="AJ23">
        <f>AI33*(1+((1+Assumptions!$B$17)^(1/12)-1))+AJ22</f>
        <v>46683815.48555704</v>
      </c>
      <c r="AK23">
        <f>AJ33*(1+((1+Assumptions!$B$17)^(1/12)-1))+AK22</f>
        <v>42510468.133093886</v>
      </c>
      <c r="AL23">
        <f>AK33*(1+((1+Assumptions!$B$17)^(1/12)-1))+AL22</f>
        <v>37072971.86119334</v>
      </c>
      <c r="AM23">
        <f>AL33*(1+((1+Assumptions!$B$17)^(1/12)-1))+AM22</f>
        <v>31600490.57455635</v>
      </c>
      <c r="AN23">
        <f>AM33*(1+((1+Assumptions!$B$17)^(1/12)-1))+AN22</f>
        <v>26092799.17854471</v>
      </c>
      <c r="AO23">
        <f>AN33*(1+((1+Assumptions!$B$17)^(1/12)-1))+AO22</f>
        <v>20549671.130254526</v>
      </c>
      <c r="AP23">
        <f>AO33*(1+((1+Assumptions!$B$17)^(1/12)-1))+AP22</f>
        <v>14970878.429198038</v>
      </c>
      <c r="AQ23">
        <f>AP33*(1+((1+Assumptions!$B$17)^(1/12)-1))+AQ22</f>
        <v>9356191.607925484</v>
      </c>
      <c r="AR23">
        <f>AQ33*(1+((1+Assumptions!$B$17)^(1/12)-1))+AR22</f>
        <v>3705379.7225866234</v>
      </c>
      <c r="AS23">
        <f>AR33*(1+((1+Assumptions!$B$17)^(1/12)-1))+AS22</f>
        <v>0.0</v>
      </c>
      <c r="AT23">
        <f>AS33*(1+((1+Assumptions!$B$17)^(1/12)-1))+AT22</f>
        <v>0.0</v>
      </c>
      <c r="AU23">
        <f>AT33*(1+((1+Assumptions!$B$17)^(1/12)-1))+AU22</f>
        <v>0.0</v>
      </c>
      <c r="AV23">
        <f>AU33*(1+((1+Assumptions!$B$17)^(1/12)-1))+AV22</f>
        <v>0.0</v>
      </c>
      <c r="AW23">
        <f>AV33*(1+((1+Assumptions!$B$17)^(1/12)-1))+AW22</f>
        <v>0.0</v>
      </c>
    </row>
    <row r="24">
      <c r="A24" t="inlineStr">
        <is>
          <t>Tier 1 distribution</t>
        </is>
      </c>
      <c r="B24">
        <f>MIN(B19,B23/Assumptions!$B$16)</f>
        <v>0.0</v>
      </c>
      <c r="C24">
        <f>MIN(C19,C23/Assumptions!$B$16)</f>
        <v>0.0</v>
      </c>
      <c r="D24">
        <f>MIN(D19,D23/Assumptions!$B$16)</f>
        <v>0.0</v>
      </c>
      <c r="E24">
        <f>MIN(E19,E23/Assumptions!$B$16)</f>
        <v>0.0</v>
      </c>
      <c r="F24">
        <f>MIN(F19,F23/Assumptions!$B$16)</f>
        <v>0.0</v>
      </c>
      <c r="G24">
        <f>MIN(G19,G23/Assumptions!$B$16)</f>
        <v>0.0</v>
      </c>
      <c r="H24">
        <f>MIN(H19,H23/Assumptions!$B$16)</f>
        <v>0.0</v>
      </c>
      <c r="I24">
        <f>MIN(I19,I23/Assumptions!$B$16)</f>
        <v>0.0</v>
      </c>
      <c r="J24">
        <f>MIN(J19,J23/Assumptions!$B$16)</f>
        <v>0.0</v>
      </c>
      <c r="K24">
        <f>MIN(K19,K23/Assumptions!$B$16)</f>
        <v>0.0</v>
      </c>
      <c r="L24">
        <f>MIN(L19,L23/Assumptions!$B$16)</f>
        <v>0.0</v>
      </c>
      <c r="M24">
        <f>MIN(M19,M23/Assumptions!$B$16)</f>
        <v>0.0</v>
      </c>
      <c r="N24">
        <f>MIN(N19,N23/Assumptions!$B$16)</f>
        <v>0.0</v>
      </c>
      <c r="O24">
        <f>MIN(O19,O23/Assumptions!$B$16)</f>
        <v>0.0</v>
      </c>
      <c r="P24">
        <f>MIN(P19,P23/Assumptions!$B$16)</f>
        <v>0.0</v>
      </c>
      <c r="Q24">
        <f>MIN(Q19,Q23/Assumptions!$B$16)</f>
        <v>0.0</v>
      </c>
      <c r="R24">
        <f>MIN(R19,R23/Assumptions!$B$16)</f>
        <v>0.0</v>
      </c>
      <c r="S24">
        <f>MIN(S19,S23/Assumptions!$B$16)</f>
        <v>0.0</v>
      </c>
      <c r="T24">
        <f>MIN(T19,T23/Assumptions!$B$16)</f>
        <v>0.0</v>
      </c>
      <c r="U24">
        <f>MIN(U19,U23/Assumptions!$B$16)</f>
        <v>0.0</v>
      </c>
      <c r="V24">
        <f>MIN(V19,V23/Assumptions!$B$16)</f>
        <v>0.0</v>
      </c>
      <c r="W24">
        <f>MIN(W19,W23/Assumptions!$B$16)</f>
        <v>0.0</v>
      </c>
      <c r="X24">
        <f>MIN(X19,X23/Assumptions!$B$16)</f>
        <v>0.0</v>
      </c>
      <c r="Y24">
        <f>MIN(Y19,Y23/Assumptions!$B$16)</f>
        <v>0.0</v>
      </c>
      <c r="Z24">
        <f>MIN(Z19,Z23/Assumptions!$B$16)</f>
        <v>0.0</v>
      </c>
      <c r="AA24">
        <f>MIN(AA19,AA23/Assumptions!$B$16)</f>
        <v>0.0</v>
      </c>
      <c r="AB24">
        <f>MIN(AB19,AB23/Assumptions!$B$16)</f>
        <v>0.0</v>
      </c>
      <c r="AC24">
        <f>MIN(AC19,AC23/Assumptions!$B$16)</f>
        <v>0.0</v>
      </c>
      <c r="AD24">
        <f>MIN(AD19,AD23/Assumptions!$B$16)</f>
        <v>0.0</v>
      </c>
      <c r="AE24">
        <f>MIN(AE19,AE23/Assumptions!$B$16)</f>
        <v>0.0</v>
      </c>
      <c r="AF24">
        <f>MIN(AF19,AF23/Assumptions!$B$16)</f>
        <v>0.0</v>
      </c>
      <c r="AG24">
        <f>MIN(AG19,AG23/Assumptions!$B$16)</f>
        <v>0.0</v>
      </c>
      <c r="AH24">
        <f>MIN(AH19,AH23/Assumptions!$B$16)</f>
        <v>0.0</v>
      </c>
      <c r="AI24">
        <f>MIN(AI19,AI23/Assumptions!$B$16)</f>
        <v>0.0</v>
      </c>
      <c r="AJ24">
        <f>MIN(AJ19,AJ23/Assumptions!$B$16)</f>
        <v>4939013.82185323</v>
      </c>
      <c r="AK24">
        <f>MIN(AK19,AK23/Assumptions!$B$16)</f>
        <v>6305000.0</v>
      </c>
      <c r="AL24">
        <f>MIN(AL19,AL23/Assumptions!$B$16)</f>
        <v>6305000.0</v>
      </c>
      <c r="AM24">
        <f>MIN(AM19,AM23/Assumptions!$B$16)</f>
        <v>6305000.0</v>
      </c>
      <c r="AN24">
        <f>MIN(AN19,AN23/Assumptions!$B$16)</f>
        <v>6305000.0</v>
      </c>
      <c r="AO24">
        <f>MIN(AO19,AO23/Assumptions!$B$16)</f>
        <v>6305000.0</v>
      </c>
      <c r="AP24">
        <f>MIN(AP19,AP23/Assumptions!$B$16)</f>
        <v>6305000.0</v>
      </c>
      <c r="AQ24">
        <f>MIN(AQ19,AQ23/Assumptions!$B$16)</f>
        <v>6305000.0</v>
      </c>
      <c r="AR24">
        <f>MIN(AR19,AR23/Assumptions!$B$16)</f>
        <v>4117088.580651804</v>
      </c>
      <c r="AS24">
        <f>MIN(AS19,AS23/Assumptions!$B$16)</f>
        <v>0.0</v>
      </c>
      <c r="AT24">
        <f>MIN(AT19,AT23/Assumptions!$B$16)</f>
        <v>0.0</v>
      </c>
      <c r="AU24">
        <f>MIN(AU19,AU23/Assumptions!$B$16)</f>
        <v>0.0</v>
      </c>
      <c r="AV24">
        <f>MIN(AV19,AV23/Assumptions!$B$16)</f>
        <v>0.0</v>
      </c>
      <c r="AW24">
        <f>MIN(AW19,AW23/Assumptions!$B$16)</f>
        <v>0.0</v>
      </c>
    </row>
    <row r="25">
      <c r="A25" t="inlineStr">
        <is>
          <t>LP tier 1</t>
        </is>
      </c>
      <c r="B25">
        <f>B24*Assumptions!$B$16</f>
        <v>0.0</v>
      </c>
      <c r="C25">
        <f>C24*Assumptions!$B$16</f>
        <v>0.0</v>
      </c>
      <c r="D25">
        <f>D24*Assumptions!$B$16</f>
        <v>0.0</v>
      </c>
      <c r="E25">
        <f>E24*Assumptions!$B$16</f>
        <v>0.0</v>
      </c>
      <c r="F25">
        <f>F24*Assumptions!$B$16</f>
        <v>0.0</v>
      </c>
      <c r="G25">
        <f>G24*Assumptions!$B$16</f>
        <v>0.0</v>
      </c>
      <c r="H25">
        <f>H24*Assumptions!$B$16</f>
        <v>0.0</v>
      </c>
      <c r="I25">
        <f>I24*Assumptions!$B$16</f>
        <v>0.0</v>
      </c>
      <c r="J25">
        <f>J24*Assumptions!$B$16</f>
        <v>0.0</v>
      </c>
      <c r="K25">
        <f>K24*Assumptions!$B$16</f>
        <v>0.0</v>
      </c>
      <c r="L25">
        <f>L24*Assumptions!$B$16</f>
        <v>0.0</v>
      </c>
      <c r="M25">
        <f>M24*Assumptions!$B$16</f>
        <v>0.0</v>
      </c>
      <c r="N25">
        <f>N24*Assumptions!$B$16</f>
        <v>0.0</v>
      </c>
      <c r="O25">
        <f>O24*Assumptions!$B$16</f>
        <v>0.0</v>
      </c>
      <c r="P25">
        <f>P24*Assumptions!$B$16</f>
        <v>0.0</v>
      </c>
      <c r="Q25">
        <f>Q24*Assumptions!$B$16</f>
        <v>0.0</v>
      </c>
      <c r="R25">
        <f>R24*Assumptions!$B$16</f>
        <v>0.0</v>
      </c>
      <c r="S25">
        <f>S24*Assumptions!$B$16</f>
        <v>0.0</v>
      </c>
      <c r="T25">
        <f>T24*Assumptions!$B$16</f>
        <v>0.0</v>
      </c>
      <c r="U25">
        <f>U24*Assumptions!$B$16</f>
        <v>0.0</v>
      </c>
      <c r="V25">
        <f>V24*Assumptions!$B$16</f>
        <v>0.0</v>
      </c>
      <c r="W25">
        <f>W24*Assumptions!$B$16</f>
        <v>0.0</v>
      </c>
      <c r="X25">
        <f>X24*Assumptions!$B$16</f>
        <v>0.0</v>
      </c>
      <c r="Y25">
        <f>Y24*Assumptions!$B$16</f>
        <v>0.0</v>
      </c>
      <c r="Z25">
        <f>Z24*Assumptions!$B$16</f>
        <v>0.0</v>
      </c>
      <c r="AA25">
        <f>AA24*Assumptions!$B$16</f>
        <v>0.0</v>
      </c>
      <c r="AB25">
        <f>AB24*Assumptions!$B$16</f>
        <v>0.0</v>
      </c>
      <c r="AC25">
        <f>AC24*Assumptions!$B$16</f>
        <v>0.0</v>
      </c>
      <c r="AD25">
        <f>AD24*Assumptions!$B$16</f>
        <v>0.0</v>
      </c>
      <c r="AE25">
        <f>AE24*Assumptions!$B$16</f>
        <v>0.0</v>
      </c>
      <c r="AF25">
        <f>AF24*Assumptions!$B$16</f>
        <v>0.0</v>
      </c>
      <c r="AG25">
        <f>AG24*Assumptions!$B$16</f>
        <v>0.0</v>
      </c>
      <c r="AH25">
        <f>AH24*Assumptions!$B$16</f>
        <v>0.0</v>
      </c>
      <c r="AI25">
        <f>AI24*Assumptions!$B$16</f>
        <v>0.0</v>
      </c>
      <c r="AJ25">
        <f>AJ24*Assumptions!$B$16</f>
        <v>4445112.439667907</v>
      </c>
      <c r="AK25">
        <f>AK24*Assumptions!$B$16</f>
        <v>5674500.0</v>
      </c>
      <c r="AL25">
        <f>AL24*Assumptions!$B$16</f>
        <v>5674500.0</v>
      </c>
      <c r="AM25">
        <f>AM24*Assumptions!$B$16</f>
        <v>5674500.0</v>
      </c>
      <c r="AN25">
        <f>AN24*Assumptions!$B$16</f>
        <v>5674500.0</v>
      </c>
      <c r="AO25">
        <f>AO24*Assumptions!$B$16</f>
        <v>5674500.0</v>
      </c>
      <c r="AP25">
        <f>AP24*Assumptions!$B$16</f>
        <v>5674500.0</v>
      </c>
      <c r="AQ25">
        <f>AQ24*Assumptions!$B$16</f>
        <v>5674500.0</v>
      </c>
      <c r="AR25">
        <f>AR24*Assumptions!$B$16</f>
        <v>3705379.7225866234</v>
      </c>
      <c r="AS25">
        <f>AS24*Assumptions!$B$16</f>
        <v>0.0</v>
      </c>
      <c r="AT25">
        <f>AT24*Assumptions!$B$16</f>
        <v>0.0</v>
      </c>
      <c r="AU25">
        <f>AU24*Assumptions!$B$16</f>
        <v>0.0</v>
      </c>
      <c r="AV25">
        <f>AV24*Assumptions!$B$16</f>
        <v>0.0</v>
      </c>
      <c r="AW25">
        <f>AW24*Assumptions!$B$16</f>
        <v>0.0</v>
      </c>
    </row>
    <row r="26">
      <c r="A26" t="inlineStr">
        <is>
          <t>Tier 2 account (opening + growth)</t>
        </is>
      </c>
      <c r="B26">
        <f>0*(1+((1+Assumptions!$B$18)^(1/12)-1))+B22</f>
        <v>16779743.875603322</v>
      </c>
      <c r="C26">
        <f>B34*(1+((1+Assumptions!$B$18)^(1/12)-1))+C22</f>
        <v>16976317.181042433</v>
      </c>
      <c r="D26">
        <f>C34*(1+((1+Assumptions!$B$18)^(1/12)-1))+D22</f>
        <v>17175193.326423425</v>
      </c>
      <c r="E26">
        <f>D34*(1+((1+Assumptions!$B$18)^(1/12)-1))+E22</f>
        <v>17700707.536444895</v>
      </c>
      <c r="F26">
        <f>E34*(1+((1+Assumptions!$B$18)^(1/12)-1))+F22</f>
        <v>18875445.62297697</v>
      </c>
      <c r="G26">
        <f>F34*(1+((1+Assumptions!$B$18)^(1/12)-1))+G22</f>
        <v>20690461.040675357</v>
      </c>
      <c r="H26">
        <f>G34*(1+((1+Assumptions!$B$18)^(1/12)-1))+H22</f>
        <v>23125982.05376033</v>
      </c>
      <c r="I26">
        <f>H34*(1+((1+Assumptions!$B$18)^(1/12)-1))+I22</f>
        <v>26151753.462690152</v>
      </c>
      <c r="J26">
        <f>I34*(1+((1+Assumptions!$B$18)^(1/12)-1))+J22</f>
        <v>29727553.678294055</v>
      </c>
      <c r="K26">
        <f>J34*(1+((1+Assumptions!$B$18)^(1/12)-1))+K22</f>
        <v>33803885.406745754</v>
      </c>
      <c r="L26">
        <f>K34*(1+((1+Assumptions!$B$18)^(1/12)-1))+L22</f>
        <v>38322823.025214024</v>
      </c>
      <c r="M26">
        <f>L34*(1+((1+Assumptions!$B$18)^(1/12)-1))+M22</f>
        <v>41687619.54437345</v>
      </c>
      <c r="N26">
        <f>M34*(1+((1+Assumptions!$B$18)^(1/12)-1))+N22</f>
        <v>42175986.543922246</v>
      </c>
      <c r="O26">
        <f>N34*(1+((1+Assumptions!$B$18)^(1/12)-1))+O22</f>
        <v>42670074.72229715</v>
      </c>
      <c r="P26">
        <f>O34*(1+((1+Assumptions!$B$18)^(1/12)-1))+P22</f>
        <v>43169951.10263279</v>
      </c>
      <c r="Q26">
        <f>P34*(1+((1+Assumptions!$B$18)^(1/12)-1))+Q22</f>
        <v>43675683.49323427</v>
      </c>
      <c r="R26">
        <f>Q34*(1+((1+Assumptions!$B$18)^(1/12)-1))+R22</f>
        <v>44187340.49677532</v>
      </c>
      <c r="S26">
        <f>R34*(1+((1+Assumptions!$B$18)^(1/12)-1))+S22</f>
        <v>44704991.51960432</v>
      </c>
      <c r="T26">
        <f>S34*(1+((1+Assumptions!$B$18)^(1/12)-1))+T22</f>
        <v>45228706.78115923</v>
      </c>
      <c r="U26">
        <f>T34*(1+((1+Assumptions!$B$18)^(1/12)-1))+U22</f>
        <v>45758557.32349292</v>
      </c>
      <c r="V26">
        <f>U34*(1+((1+Assumptions!$B$18)^(1/12)-1))+V22</f>
        <v>46294615.02090999</v>
      </c>
      <c r="W26">
        <f>V34*(1+((1+Assumptions!$B$18)^(1/12)-1))+W22</f>
        <v>46836952.589716546</v>
      </c>
      <c r="X26">
        <f>W34*(1+((1+Assumptions!$B$18)^(1/12)-1))+X22</f>
        <v>47385643.59808419</v>
      </c>
      <c r="Y26">
        <f>X34*(1+((1+Assumptions!$B$18)^(1/12)-1))+Y22</f>
        <v>47940762.47602953</v>
      </c>
      <c r="Z26">
        <f>Y34*(1+((1+Assumptions!$B$18)^(1/12)-1))+Z22</f>
        <v>48502384.52551064</v>
      </c>
      <c r="AA26">
        <f>Z34*(1+((1+Assumptions!$B$18)^(1/12)-1))+AA22</f>
        <v>49070585.93064178</v>
      </c>
      <c r="AB26">
        <f>AA34*(1+((1+Assumptions!$B$18)^(1/12)-1))+AB22</f>
        <v>49645443.768027775</v>
      </c>
      <c r="AC26">
        <f>AB34*(1+((1+Assumptions!$B$18)^(1/12)-1))+AC22</f>
        <v>50227036.01721948</v>
      </c>
      <c r="AD26">
        <f>AC34*(1+((1+Assumptions!$B$18)^(1/12)-1))+AD22</f>
        <v>50815441.571291685</v>
      </c>
      <c r="AE26">
        <f>AD34*(1+((1+Assumptions!$B$18)^(1/12)-1))+AE22</f>
        <v>51410740.24754503</v>
      </c>
      <c r="AF26">
        <f>AE34*(1+((1+Assumptions!$B$18)^(1/12)-1))+AF22</f>
        <v>52013012.79833318</v>
      </c>
      <c r="AG26">
        <f>AF34*(1+((1+Assumptions!$B$18)^(1/12)-1))+AG22</f>
        <v>52622340.922016926</v>
      </c>
      <c r="AH26">
        <f>AG34*(1+((1+Assumptions!$B$18)^(1/12)-1))+AH22</f>
        <v>53238807.274046555</v>
      </c>
      <c r="AI26">
        <f>AH34*(1+((1+Assumptions!$B$18)^(1/12)-1))+AI22</f>
        <v>53862495.4781741</v>
      </c>
      <c r="AJ26">
        <f>AI34*(1+((1+Assumptions!$B$18)^(1/12)-1))+AJ22</f>
        <v>54493490.137796886</v>
      </c>
      <c r="AK26">
        <f>AJ34*(1+((1+Assumptions!$B$18)^(1/12)-1))+AK22</f>
        <v>50634690.28483601</v>
      </c>
      <c r="AL26">
        <f>AK34*(1+((1+Assumptions!$B$18)^(1/12)-1))+AL22</f>
        <v>45486895.17872366</v>
      </c>
      <c r="AM26">
        <f>AL34*(1+((1+Assumptions!$B$18)^(1/12)-1))+AM22</f>
        <v>40278794.080622785</v>
      </c>
      <c r="AN26">
        <f>AM34*(1+((1+Assumptions!$B$18)^(1/12)-1))+AN22</f>
        <v>35009680.51084746</v>
      </c>
      <c r="AO26">
        <f>AN34*(1+((1+Assumptions!$B$18)^(1/12)-1))+AO22</f>
        <v>29678839.713360935</v>
      </c>
      <c r="AP26">
        <f>AO34*(1+((1+Assumptions!$B$18)^(1/12)-1))+AP22</f>
        <v>24285548.558818895</v>
      </c>
      <c r="AQ26">
        <f>AP34*(1+((1+Assumptions!$B$18)^(1/12)-1))+AQ22</f>
        <v>18829075.446476817</v>
      </c>
      <c r="AR26">
        <f>AQ34*(1+((1+Assumptions!$B$18)^(1/12)-1))+AR22</f>
        <v>13308680.204948235</v>
      </c>
      <c r="AS26">
        <f>AR34*(1+((1+Assumptions!$B$18)^(1/12)-1))+AS22</f>
        <v>8055645.384778471</v>
      </c>
      <c r="AT26">
        <f>AS34*(1+((1+Assumptions!$B$18)^(1/12)-1))+AT22</f>
        <v>3365869.687812194</v>
      </c>
      <c r="AU26">
        <f>AT34*(1+((1+Assumptions!$B$18)^(1/12)-1))+AU22</f>
        <v>0.0</v>
      </c>
      <c r="AV26">
        <f>AU34*(1+((1+Assumptions!$B$18)^(1/12)-1))+AV22</f>
        <v>0.0</v>
      </c>
      <c r="AW26">
        <f>AV34*(1+((1+Assumptions!$B$18)^(1/12)-1))+AW22</f>
        <v>0.0</v>
      </c>
    </row>
    <row r="27">
      <c r="A27" t="inlineStr">
        <is>
          <t>Tier 2 distribution</t>
        </is>
      </c>
      <c r="B27">
        <f>MIN(B19-B24,MAX(0,B26-B25)/Assumptions!$B$19)</f>
        <v>0.0</v>
      </c>
      <c r="C27">
        <f>MIN(C19-C24,MAX(0,C26-C25)/Assumptions!$B$19)</f>
        <v>0.0</v>
      </c>
      <c r="D27">
        <f>MIN(D19-D24,MAX(0,D26-D25)/Assumptions!$B$19)</f>
        <v>0.0</v>
      </c>
      <c r="E27">
        <f>MIN(E19-E24,MAX(0,E26-E25)/Assumptions!$B$19)</f>
        <v>0.0</v>
      </c>
      <c r="F27">
        <f>MIN(F19-F24,MAX(0,F26-F25)/Assumptions!$B$19)</f>
        <v>0.0</v>
      </c>
      <c r="G27">
        <f>MIN(G19-G24,MAX(0,G26-G25)/Assumptions!$B$19)</f>
        <v>0.0</v>
      </c>
      <c r="H27">
        <f>MIN(H19-H24,MAX(0,H26-H25)/Assumptions!$B$19)</f>
        <v>0.0</v>
      </c>
      <c r="I27">
        <f>MIN(I19-I24,MAX(0,I26-I25)/Assumptions!$B$19)</f>
        <v>0.0</v>
      </c>
      <c r="J27">
        <f>MIN(J19-J24,MAX(0,J26-J25)/Assumptions!$B$19)</f>
        <v>0.0</v>
      </c>
      <c r="K27">
        <f>MIN(K19-K24,MAX(0,K26-K25)/Assumptions!$B$19)</f>
        <v>0.0</v>
      </c>
      <c r="L27">
        <f>MIN(L19-L24,MAX(0,L26-L25)/Assumptions!$B$19)</f>
        <v>0.0</v>
      </c>
      <c r="M27">
        <f>MIN(M19-M24,MAX(0,M26-M25)/Assumptions!$B$19)</f>
        <v>0.0</v>
      </c>
      <c r="N27">
        <f>MIN(N19-N24,MAX(0,N26-N25)/Assumptions!$B$19)</f>
        <v>0.0</v>
      </c>
      <c r="O27">
        <f>MIN(O19-O24,MAX(0,O26-O25)/Assumptions!$B$19)</f>
        <v>0.0</v>
      </c>
      <c r="P27">
        <f>MIN(P19-P24,MAX(0,P26-P25)/Assumptions!$B$19)</f>
        <v>0.0</v>
      </c>
      <c r="Q27">
        <f>MIN(Q19-Q24,MAX(0,Q26-Q25)/Assumptions!$B$19)</f>
        <v>0.0</v>
      </c>
      <c r="R27">
        <f>MIN(R19-R24,MAX(0,R26-R25)/Assumptions!$B$19)</f>
        <v>0.0</v>
      </c>
      <c r="S27">
        <f>MIN(S19-S24,MAX(0,S26-S25)/Assumptions!$B$19)</f>
        <v>0.0</v>
      </c>
      <c r="T27">
        <f>MIN(T19-T24,MAX(0,T26-T25)/Assumptions!$B$19)</f>
        <v>0.0</v>
      </c>
      <c r="U27">
        <f>MIN(U19-U24,MAX(0,U26-U25)/Assumptions!$B$19)</f>
        <v>0.0</v>
      </c>
      <c r="V27">
        <f>MIN(V19-V24,MAX(0,V26-V25)/Assumptions!$B$19)</f>
        <v>0.0</v>
      </c>
      <c r="W27">
        <f>MIN(W19-W24,MAX(0,W26-W25)/Assumptions!$B$19)</f>
        <v>0.0</v>
      </c>
      <c r="X27">
        <f>MIN(X19-X24,MAX(0,X26-X25)/Assumptions!$B$19)</f>
        <v>0.0</v>
      </c>
      <c r="Y27">
        <f>MIN(Y19-Y24,MAX(0,Y26-Y25)/Assumptions!$B$19)</f>
        <v>0.0</v>
      </c>
      <c r="Z27">
        <f>MIN(Z19-Z24,MAX(0,Z26-Z25)/Assumptions!$B$19)</f>
        <v>0.0</v>
      </c>
      <c r="AA27">
        <f>MIN(AA19-AA24,MAX(0,AA26-AA25)/Assumptions!$B$19)</f>
        <v>0.0</v>
      </c>
      <c r="AB27">
        <f>MIN(AB19-AB24,MAX(0,AB26-AB25)/Assumptions!$B$19)</f>
        <v>0.0</v>
      </c>
      <c r="AC27">
        <f>MIN(AC19-AC24,MAX(0,AC26-AC25)/Assumptions!$B$19)</f>
        <v>0.0</v>
      </c>
      <c r="AD27">
        <f>MIN(AD19-AD24,MAX(0,AD26-AD25)/Assumptions!$B$19)</f>
        <v>0.0</v>
      </c>
      <c r="AE27">
        <f>MIN(AE19-AE24,MAX(0,AE26-AE25)/Assumptions!$B$19)</f>
        <v>0.0</v>
      </c>
      <c r="AF27">
        <f>MIN(AF19-AF24,MAX(0,AF26-AF25)/Assumptions!$B$19)</f>
        <v>0.0</v>
      </c>
      <c r="AG27">
        <f>MIN(AG19-AG24,MAX(0,AG26-AG25)/Assumptions!$B$19)</f>
        <v>0.0</v>
      </c>
      <c r="AH27">
        <f>MIN(AH19-AH24,MAX(0,AH26-AH25)/Assumptions!$B$19)</f>
        <v>0.0</v>
      </c>
      <c r="AI27">
        <f>MIN(AI19-AI24,MAX(0,AI26-AI25)/Assumptions!$B$19)</f>
        <v>0.0</v>
      </c>
      <c r="AJ27">
        <f>MIN(AJ19-AJ24,MAX(0,AJ26-AJ25)/Assumptions!$B$19)</f>
        <v>0.0</v>
      </c>
      <c r="AK27">
        <f>MIN(AK19-AK24,MAX(0,AK26-AK25)/Assumptions!$B$19)</f>
        <v>0.0</v>
      </c>
      <c r="AL27">
        <f>MIN(AL19-AL24,MAX(0,AL26-AL25)/Assumptions!$B$19)</f>
        <v>0.0</v>
      </c>
      <c r="AM27">
        <f>MIN(AM19-AM24,MAX(0,AM26-AM25)/Assumptions!$B$19)</f>
        <v>0.0</v>
      </c>
      <c r="AN27">
        <f>MIN(AN19-AN24,MAX(0,AN26-AN25)/Assumptions!$B$19)</f>
        <v>0.0</v>
      </c>
      <c r="AO27">
        <f>MIN(AO19-AO24,MAX(0,AO26-AO25)/Assumptions!$B$19)</f>
        <v>0.0</v>
      </c>
      <c r="AP27">
        <f>MIN(AP19-AP24,MAX(0,AP26-AP25)/Assumptions!$B$19)</f>
        <v>0.0</v>
      </c>
      <c r="AQ27">
        <f>MIN(AQ19-AQ24,MAX(0,AQ26-AQ25)/Assumptions!$B$19)</f>
        <v>0.0</v>
      </c>
      <c r="AR27">
        <f>MIN(AR19-AR24,MAX(0,AR26-AR25)/Assumptions!$B$19)</f>
        <v>2187911.419348196</v>
      </c>
      <c r="AS27">
        <f>MIN(AS19-AS24,MAX(0,AS26-AS25)/Assumptions!$B$19)</f>
        <v>6305000.0</v>
      </c>
      <c r="AT27">
        <f>MIN(AT19-AT24,MAX(0,AT26-AT25)/Assumptions!$B$19)</f>
        <v>4487826.250416259</v>
      </c>
      <c r="AU27">
        <f>MIN(AU19-AU24,MAX(0,AU26-AU25)/Assumptions!$B$19)</f>
        <v>0.0</v>
      </c>
      <c r="AV27">
        <f>MIN(AV19-AV24,MAX(0,AV26-AV25)/Assumptions!$B$19)</f>
        <v>0.0</v>
      </c>
      <c r="AW27">
        <f>MIN(AW19-AW24,MAX(0,AW26-AW25)/Assumptions!$B$19)</f>
        <v>0.0</v>
      </c>
    </row>
    <row r="28">
      <c r="A28" t="inlineStr">
        <is>
          <t>LP tier 2</t>
        </is>
      </c>
      <c r="B28">
        <f>B27*Assumptions!$B$19</f>
        <v>0.0</v>
      </c>
      <c r="C28">
        <f>C27*Assumptions!$B$19</f>
        <v>0.0</v>
      </c>
      <c r="D28">
        <f>D27*Assumptions!$B$19</f>
        <v>0.0</v>
      </c>
      <c r="E28">
        <f>E27*Assumptions!$B$19</f>
        <v>0.0</v>
      </c>
      <c r="F28">
        <f>F27*Assumptions!$B$19</f>
        <v>0.0</v>
      </c>
      <c r="G28">
        <f>G27*Assumptions!$B$19</f>
        <v>0.0</v>
      </c>
      <c r="H28">
        <f>H27*Assumptions!$B$19</f>
        <v>0.0</v>
      </c>
      <c r="I28">
        <f>I27*Assumptions!$B$19</f>
        <v>0.0</v>
      </c>
      <c r="J28">
        <f>J27*Assumptions!$B$19</f>
        <v>0.0</v>
      </c>
      <c r="K28">
        <f>K27*Assumptions!$B$19</f>
        <v>0.0</v>
      </c>
      <c r="L28">
        <f>L27*Assumptions!$B$19</f>
        <v>0.0</v>
      </c>
      <c r="M28">
        <f>M27*Assumptions!$B$19</f>
        <v>0.0</v>
      </c>
      <c r="N28">
        <f>N27*Assumptions!$B$19</f>
        <v>0.0</v>
      </c>
      <c r="O28">
        <f>O27*Assumptions!$B$19</f>
        <v>0.0</v>
      </c>
      <c r="P28">
        <f>P27*Assumptions!$B$19</f>
        <v>0.0</v>
      </c>
      <c r="Q28">
        <f>Q27*Assumptions!$B$19</f>
        <v>0.0</v>
      </c>
      <c r="R28">
        <f>R27*Assumptions!$B$19</f>
        <v>0.0</v>
      </c>
      <c r="S28">
        <f>S27*Assumptions!$B$19</f>
        <v>0.0</v>
      </c>
      <c r="T28">
        <f>T27*Assumptions!$B$19</f>
        <v>0.0</v>
      </c>
      <c r="U28">
        <f>U27*Assumptions!$B$19</f>
        <v>0.0</v>
      </c>
      <c r="V28">
        <f>V27*Assumptions!$B$19</f>
        <v>0.0</v>
      </c>
      <c r="W28">
        <f>W27*Assumptions!$B$19</f>
        <v>0.0</v>
      </c>
      <c r="X28">
        <f>X27*Assumptions!$B$19</f>
        <v>0.0</v>
      </c>
      <c r="Y28">
        <f>Y27*Assumptions!$B$19</f>
        <v>0.0</v>
      </c>
      <c r="Z28">
        <f>Z27*Assumptions!$B$19</f>
        <v>0.0</v>
      </c>
      <c r="AA28">
        <f>AA27*Assumptions!$B$19</f>
        <v>0.0</v>
      </c>
      <c r="AB28">
        <f>AB27*Assumptions!$B$19</f>
        <v>0.0</v>
      </c>
      <c r="AC28">
        <f>AC27*Assumptions!$B$19</f>
        <v>0.0</v>
      </c>
      <c r="AD28">
        <f>AD27*Assumptions!$B$19</f>
        <v>0.0</v>
      </c>
      <c r="AE28">
        <f>AE27*Assumptions!$B$19</f>
        <v>0.0</v>
      </c>
      <c r="AF28">
        <f>AF27*Assumptions!$B$19</f>
        <v>0.0</v>
      </c>
      <c r="AG28">
        <f>AG27*Assumptions!$B$19</f>
        <v>0.0</v>
      </c>
      <c r="AH28">
        <f>AH27*Assumptions!$B$19</f>
        <v>0.0</v>
      </c>
      <c r="AI28">
        <f>AI27*Assumptions!$B$19</f>
        <v>0.0</v>
      </c>
      <c r="AJ28">
        <f>AJ27*Assumptions!$B$19</f>
        <v>0.0</v>
      </c>
      <c r="AK28">
        <f>AK27*Assumptions!$B$19</f>
        <v>0.0</v>
      </c>
      <c r="AL28">
        <f>AL27*Assumptions!$B$19</f>
        <v>0.0</v>
      </c>
      <c r="AM28">
        <f>AM27*Assumptions!$B$19</f>
        <v>0.0</v>
      </c>
      <c r="AN28">
        <f>AN27*Assumptions!$B$19</f>
        <v>0.0</v>
      </c>
      <c r="AO28">
        <f>AO27*Assumptions!$B$19</f>
        <v>0.0</v>
      </c>
      <c r="AP28">
        <f>AP27*Assumptions!$B$19</f>
        <v>0.0</v>
      </c>
      <c r="AQ28">
        <f>AQ27*Assumptions!$B$19</f>
        <v>0.0</v>
      </c>
      <c r="AR28">
        <f>AR27*Assumptions!$B$19</f>
        <v>1640933.564511147</v>
      </c>
      <c r="AS28">
        <f>AS27*Assumptions!$B$19</f>
        <v>4728750.0</v>
      </c>
      <c r="AT28">
        <f>AT27*Assumptions!$B$19</f>
        <v>3365869.687812194</v>
      </c>
      <c r="AU28">
        <f>AU27*Assumptions!$B$19</f>
        <v>0.0</v>
      </c>
      <c r="AV28">
        <f>AV27*Assumptions!$B$19</f>
        <v>0.0</v>
      </c>
      <c r="AW28">
        <f>AW27*Assumptions!$B$19</f>
        <v>0.0</v>
      </c>
    </row>
    <row r="29">
      <c r="A29" t="inlineStr">
        <is>
          <t>Above tier 2</t>
        </is>
      </c>
      <c r="B29">
        <f>B19-B24-B27</f>
        <v>0.0</v>
      </c>
      <c r="C29">
        <f>C19-C24-C27</f>
        <v>0.0</v>
      </c>
      <c r="D29">
        <f>D19-D24-D27</f>
        <v>0.0</v>
      </c>
      <c r="E29">
        <f>E19-E24-E27</f>
        <v>0.0</v>
      </c>
      <c r="F29">
        <f>F19-F24-F27</f>
        <v>0.0</v>
      </c>
      <c r="G29">
        <f>G19-G24-G27</f>
        <v>0.0</v>
      </c>
      <c r="H29">
        <f>H19-H24-H27</f>
        <v>0.0</v>
      </c>
      <c r="I29">
        <f>I19-I24-I27</f>
        <v>0.0</v>
      </c>
      <c r="J29">
        <f>J19-J24-J27</f>
        <v>0.0</v>
      </c>
      <c r="K29">
        <f>K19-K24-K27</f>
        <v>0.0</v>
      </c>
      <c r="L29">
        <f>L19-L24-L27</f>
        <v>0.0</v>
      </c>
      <c r="M29">
        <f>M19-M24-M27</f>
        <v>0.0</v>
      </c>
      <c r="N29">
        <f>N19-N24-N27</f>
        <v>0.0</v>
      </c>
      <c r="O29">
        <f>O19-O24-O27</f>
        <v>0.0</v>
      </c>
      <c r="P29">
        <f>P19-P24-P27</f>
        <v>0.0</v>
      </c>
      <c r="Q29">
        <f>Q19-Q24-Q27</f>
        <v>0.0</v>
      </c>
      <c r="R29">
        <f>R19-R24-R27</f>
        <v>0.0</v>
      </c>
      <c r="S29">
        <f>S19-S24-S27</f>
        <v>0.0</v>
      </c>
      <c r="T29">
        <f>T19-T24-T27</f>
        <v>0.0</v>
      </c>
      <c r="U29">
        <f>U19-U24-U27</f>
        <v>0.0</v>
      </c>
      <c r="V29">
        <f>V19-V24-V27</f>
        <v>0.0</v>
      </c>
      <c r="W29">
        <f>W19-W24-W27</f>
        <v>0.0</v>
      </c>
      <c r="X29">
        <f>X19-X24-X27</f>
        <v>0.0</v>
      </c>
      <c r="Y29">
        <f>Y19-Y24-Y27</f>
        <v>0.0</v>
      </c>
      <c r="Z29">
        <f>Z19-Z24-Z27</f>
        <v>0.0</v>
      </c>
      <c r="AA29">
        <f>AA19-AA24-AA27</f>
        <v>0.0</v>
      </c>
      <c r="AB29">
        <f>AB19-AB24-AB27</f>
        <v>0.0</v>
      </c>
      <c r="AC29">
        <f>AC19-AC24-AC27</f>
        <v>0.0</v>
      </c>
      <c r="AD29">
        <f>AD19-AD24-AD27</f>
        <v>0.0</v>
      </c>
      <c r="AE29">
        <f>AE19-AE24-AE27</f>
        <v>0.0</v>
      </c>
      <c r="AF29">
        <f>AF19-AF24-AF27</f>
        <v>0.0</v>
      </c>
      <c r="AG29">
        <f>AG19-AG24-AG27</f>
        <v>0.0</v>
      </c>
      <c r="AH29">
        <f>AH19-AH24-AH27</f>
        <v>0.0</v>
      </c>
      <c r="AI29">
        <f>AI19-AI24-AI27</f>
        <v>0.0</v>
      </c>
      <c r="AJ29">
        <f>AJ19-AJ24-AJ27</f>
        <v>0.0</v>
      </c>
      <c r="AK29">
        <f>AK19-AK24-AK27</f>
        <v>0.0</v>
      </c>
      <c r="AL29">
        <f>AL19-AL24-AL27</f>
        <v>0.0</v>
      </c>
      <c r="AM29">
        <f>AM19-AM24-AM27</f>
        <v>0.0</v>
      </c>
      <c r="AN29">
        <f>AN19-AN24-AN27</f>
        <v>0.0</v>
      </c>
      <c r="AO29">
        <f>AO19-AO24-AO27</f>
        <v>0.0</v>
      </c>
      <c r="AP29">
        <f>AP19-AP24-AP27</f>
        <v>0.0</v>
      </c>
      <c r="AQ29">
        <f>AQ19-AQ24-AQ27</f>
        <v>0.0</v>
      </c>
      <c r="AR29">
        <f>AR19-AR24-AR27</f>
        <v>0.0</v>
      </c>
      <c r="AS29">
        <f>AS19-AS24-AS27</f>
        <v>0.0</v>
      </c>
      <c r="AT29">
        <f>AT19-AT24-AT27</f>
        <v>1817173.7495837407</v>
      </c>
      <c r="AU29">
        <f>AU19-AU24-AU27</f>
        <v>6305000.0</v>
      </c>
      <c r="AV29">
        <f>AV19-AV24-AV27</f>
        <v>6305000.0</v>
      </c>
      <c r="AW29">
        <f>AW19-AW24-AW27</f>
        <v>6305000.0</v>
      </c>
    </row>
    <row r="30">
      <c r="A30" t="inlineStr">
        <is>
          <t>LP total</t>
        </is>
      </c>
      <c r="B30">
        <f>B25+B28+B29*Assumptions!$B$20</f>
        <v>0.0</v>
      </c>
      <c r="C30">
        <f>C25+C28+C29*Assumptions!$B$20</f>
        <v>0.0</v>
      </c>
      <c r="D30">
        <f>D25+D28+D29*Assumptions!$B$20</f>
        <v>0.0</v>
      </c>
      <c r="E30">
        <f>E25+E28+E29*Assumptions!$B$20</f>
        <v>0.0</v>
      </c>
      <c r="F30">
        <f>F25+F28+F29*Assumptions!$B$20</f>
        <v>0.0</v>
      </c>
      <c r="G30">
        <f>G25+G28+G29*Assumptions!$B$20</f>
        <v>0.0</v>
      </c>
      <c r="H30">
        <f>H25+H28+H29*Assumptions!$B$20</f>
        <v>0.0</v>
      </c>
      <c r="I30">
        <f>I25+I28+I29*Assumptions!$B$20</f>
        <v>0.0</v>
      </c>
      <c r="J30">
        <f>J25+J28+J29*Assumptions!$B$20</f>
        <v>0.0</v>
      </c>
      <c r="K30">
        <f>K25+K28+K29*Assumptions!$B$20</f>
        <v>0.0</v>
      </c>
      <c r="L30">
        <f>L25+L28+L29*Assumptions!$B$20</f>
        <v>0.0</v>
      </c>
      <c r="M30">
        <f>M25+M28+M29*Assumptions!$B$20</f>
        <v>0.0</v>
      </c>
      <c r="N30">
        <f>N25+N28+N29*Assumptions!$B$20</f>
        <v>0.0</v>
      </c>
      <c r="O30">
        <f>O25+O28+O29*Assumptions!$B$20</f>
        <v>0.0</v>
      </c>
      <c r="P30">
        <f>P25+P28+P29*Assumptions!$B$20</f>
        <v>0.0</v>
      </c>
      <c r="Q30">
        <f>Q25+Q28+Q29*Assumptions!$B$20</f>
        <v>0.0</v>
      </c>
      <c r="R30">
        <f>R25+R28+R29*Assumptions!$B$20</f>
        <v>0.0</v>
      </c>
      <c r="S30">
        <f>S25+S28+S29*Assumptions!$B$20</f>
        <v>0.0</v>
      </c>
      <c r="T30">
        <f>T25+T28+T29*Assumptions!$B$20</f>
        <v>0.0</v>
      </c>
      <c r="U30">
        <f>U25+U28+U29*Assumptions!$B$20</f>
        <v>0.0</v>
      </c>
      <c r="V30">
        <f>V25+V28+V29*Assumptions!$B$20</f>
        <v>0.0</v>
      </c>
      <c r="W30">
        <f>W25+W28+W29*Assumptions!$B$20</f>
        <v>0.0</v>
      </c>
      <c r="X30">
        <f>X25+X28+X29*Assumptions!$B$20</f>
        <v>0.0</v>
      </c>
      <c r="Y30">
        <f>Y25+Y28+Y29*Assumptions!$B$20</f>
        <v>0.0</v>
      </c>
      <c r="Z30">
        <f>Z25+Z28+Z29*Assumptions!$B$20</f>
        <v>0.0</v>
      </c>
      <c r="AA30">
        <f>AA25+AA28+AA29*Assumptions!$B$20</f>
        <v>0.0</v>
      </c>
      <c r="AB30">
        <f>AB25+AB28+AB29*Assumptions!$B$20</f>
        <v>0.0</v>
      </c>
      <c r="AC30">
        <f>AC25+AC28+AC29*Assumptions!$B$20</f>
        <v>0.0</v>
      </c>
      <c r="AD30">
        <f>AD25+AD28+AD29*Assumptions!$B$20</f>
        <v>0.0</v>
      </c>
      <c r="AE30">
        <f>AE25+AE28+AE29*Assumptions!$B$20</f>
        <v>0.0</v>
      </c>
      <c r="AF30">
        <f>AF25+AF28+AF29*Assumptions!$B$20</f>
        <v>0.0</v>
      </c>
      <c r="AG30">
        <f>AG25+AG28+AG29*Assumptions!$B$20</f>
        <v>0.0</v>
      </c>
      <c r="AH30">
        <f>AH25+AH28+AH29*Assumptions!$B$20</f>
        <v>0.0</v>
      </c>
      <c r="AI30">
        <f>AI25+AI28+AI29*Assumptions!$B$20</f>
        <v>0.0</v>
      </c>
      <c r="AJ30">
        <f>AJ25+AJ28+AJ29*Assumptions!$B$20</f>
        <v>4445112.439667907</v>
      </c>
      <c r="AK30">
        <f>AK25+AK28+AK29*Assumptions!$B$20</f>
        <v>5674500.0</v>
      </c>
      <c r="AL30">
        <f>AL25+AL28+AL29*Assumptions!$B$20</f>
        <v>5674500.0</v>
      </c>
      <c r="AM30">
        <f>AM25+AM28+AM29*Assumptions!$B$20</f>
        <v>5674500.0</v>
      </c>
      <c r="AN30">
        <f>AN25+AN28+AN29*Assumptions!$B$20</f>
        <v>5674500.0</v>
      </c>
      <c r="AO30">
        <f>AO25+AO28+AO29*Assumptions!$B$20</f>
        <v>5674500.0</v>
      </c>
      <c r="AP30">
        <f>AP25+AP28+AP29*Assumptions!$B$20</f>
        <v>5674500.0</v>
      </c>
      <c r="AQ30">
        <f>AQ25+AQ28+AQ29*Assumptions!$B$20</f>
        <v>5674500.0</v>
      </c>
      <c r="AR30">
        <f>AR25+AR28+AR29*Assumptions!$B$20</f>
        <v>5346313.287097771</v>
      </c>
      <c r="AS30">
        <f>AS25+AS28+AS29*Assumptions!$B$20</f>
        <v>4728750.0</v>
      </c>
      <c r="AT30">
        <f>AT25+AT28+AT29*Assumptions!$B$20</f>
        <v>4456173.937562439</v>
      </c>
      <c r="AU30">
        <f>AU25+AU28+AU29*Assumptions!$B$20</f>
        <v>3783000.0</v>
      </c>
      <c r="AV30">
        <f>AV25+AV28+AV29*Assumptions!$B$20</f>
        <v>3783000.0</v>
      </c>
      <c r="AW30">
        <f>AW25+AW28+AW29*Assumptions!$B$20</f>
        <v>3783000.0</v>
      </c>
    </row>
    <row r="31">
      <c r="A31" t="inlineStr">
        <is>
          <t>LP cash flow</t>
        </is>
      </c>
      <c r="B31">
        <f>B30-B22</f>
        <v>-16779743.875603322</v>
      </c>
      <c r="C31">
        <f>C30-C22</f>
        <v>0.0</v>
      </c>
      <c r="D31">
        <f>D30-D22</f>
        <v>0.0</v>
      </c>
      <c r="E31">
        <f>E30-E22</f>
        <v>-324308.24711999996</v>
      </c>
      <c r="F31">
        <f>F30-F22</f>
        <v>-967375.76832</v>
      </c>
      <c r="G31">
        <f>G30-G22</f>
        <v>-1593891.1404000001</v>
      </c>
      <c r="H31">
        <f>H30-H22</f>
        <v>-2193133.9809600003</v>
      </c>
      <c r="I31">
        <f>I30-I22</f>
        <v>-2754852.4504799997</v>
      </c>
      <c r="J31">
        <f>J30-J22</f>
        <v>-3269434.5964800003</v>
      </c>
      <c r="K31">
        <f>K30-K22</f>
        <v>-3728075.9068800006</v>
      </c>
      <c r="L31">
        <f>L30-L22</f>
        <v>-4122927.90936</v>
      </c>
      <c r="M31">
        <f>M30-M22</f>
        <v>-2915847.831284796</v>
      </c>
      <c r="N31">
        <f>N30-N22</f>
        <v>0.0</v>
      </c>
      <c r="O31">
        <f>O30-O22</f>
        <v>0.0</v>
      </c>
      <c r="P31">
        <f>P30-P22</f>
        <v>0.0</v>
      </c>
      <c r="Q31">
        <f>Q30-Q22</f>
        <v>0.0</v>
      </c>
      <c r="R31">
        <f>R30-R22</f>
        <v>0.0</v>
      </c>
      <c r="S31">
        <f>S30-S22</f>
        <v>0.0</v>
      </c>
      <c r="T31">
        <f>T30-T22</f>
        <v>0.0</v>
      </c>
      <c r="U31">
        <f>U30-U22</f>
        <v>0.0</v>
      </c>
      <c r="V31">
        <f>V30-V22</f>
        <v>0.0</v>
      </c>
      <c r="W31">
        <f>W30-W22</f>
        <v>0.0</v>
      </c>
      <c r="X31">
        <f>X30-X22</f>
        <v>0.0</v>
      </c>
      <c r="Y31">
        <f>Y30-Y22</f>
        <v>0.0</v>
      </c>
      <c r="Z31">
        <f>Z30-Z22</f>
        <v>0.0</v>
      </c>
      <c r="AA31">
        <f>AA30-AA22</f>
        <v>0.0</v>
      </c>
      <c r="AB31">
        <f>AB30-AB22</f>
        <v>0.0</v>
      </c>
      <c r="AC31">
        <f>AC30-AC22</f>
        <v>0.0</v>
      </c>
      <c r="AD31">
        <f>AD30-AD22</f>
        <v>0.0</v>
      </c>
      <c r="AE31">
        <f>AE30-AE22</f>
        <v>0.0</v>
      </c>
      <c r="AF31">
        <f>AF30-AF22</f>
        <v>0.0</v>
      </c>
      <c r="AG31">
        <f>AG30-AG22</f>
        <v>0.0</v>
      </c>
      <c r="AH31">
        <f>AH30-AH22</f>
        <v>0.0</v>
      </c>
      <c r="AI31">
        <f>AI30-AI22</f>
        <v>0.0</v>
      </c>
      <c r="AJ31">
        <f>AJ30-AJ22</f>
        <v>4445112.439667907</v>
      </c>
      <c r="AK31">
        <f>AK30-AK22</f>
        <v>5674500.0</v>
      </c>
      <c r="AL31">
        <f>AL30-AL22</f>
        <v>5674500.0</v>
      </c>
      <c r="AM31">
        <f>AM30-AM22</f>
        <v>5674500.0</v>
      </c>
      <c r="AN31">
        <f>AN30-AN22</f>
        <v>5674500.0</v>
      </c>
      <c r="AO31">
        <f>AO30-AO22</f>
        <v>5674500.0</v>
      </c>
      <c r="AP31">
        <f>AP30-AP22</f>
        <v>5674500.0</v>
      </c>
      <c r="AQ31">
        <f>AQ30-AQ22</f>
        <v>5674500.0</v>
      </c>
      <c r="AR31">
        <f>AR30-AR22</f>
        <v>5346313.287097771</v>
      </c>
      <c r="AS31">
        <f>AS30-AS22</f>
        <v>4728750.0</v>
      </c>
      <c r="AT31">
        <f>AT30-AT22</f>
        <v>4456173.937562439</v>
      </c>
      <c r="AU31">
        <f>AU30-AU22</f>
        <v>3783000.0</v>
      </c>
      <c r="AV31">
        <f>AV30-AV22</f>
        <v>3783000.0</v>
      </c>
      <c r="AW31">
        <f>AW30-AW22</f>
        <v>3783000.0</v>
      </c>
    </row>
    <row r="32">
      <c r="A32" t="inlineStr">
        <is>
          <t>GP cash flow</t>
        </is>
      </c>
      <c r="B32">
        <f>B20-B31</f>
        <v>-1864415.9861781448</v>
      </c>
      <c r="C32">
        <f>C20-C31</f>
        <v>0.0</v>
      </c>
      <c r="D32">
        <f>D20-D31</f>
        <v>0.0</v>
      </c>
      <c r="E32">
        <f>E20-E31</f>
        <v>-36034.24968000001</v>
      </c>
      <c r="F32">
        <f>F20-F31</f>
        <v>-107486.19647999993</v>
      </c>
      <c r="G32">
        <f>G20-G31</f>
        <v>-177099.01560000004</v>
      </c>
      <c r="H32">
        <f>H20-H31</f>
        <v>-243681.55343999993</v>
      </c>
      <c r="I32">
        <f>I20-I31</f>
        <v>-306094.7167199999</v>
      </c>
      <c r="J32">
        <f>J20-J31</f>
        <v>-363270.51072000014</v>
      </c>
      <c r="K32">
        <f>K20-K31</f>
        <v>-414230.65632000007</v>
      </c>
      <c r="L32">
        <f>L20-L31</f>
        <v>-458103.1010400001</v>
      </c>
      <c r="M32">
        <f>M20-M31</f>
        <v>-323983.0923649771</v>
      </c>
      <c r="N32">
        <f>N20-N31</f>
        <v>0.0</v>
      </c>
      <c r="O32">
        <f>O20-O31</f>
        <v>0.0</v>
      </c>
      <c r="P32">
        <f>P20-P31</f>
        <v>0.0</v>
      </c>
      <c r="Q32">
        <f>Q20-Q31</f>
        <v>0.0</v>
      </c>
      <c r="R32">
        <f>R20-R31</f>
        <v>0.0</v>
      </c>
      <c r="S32">
        <f>S20-S31</f>
        <v>0.0</v>
      </c>
      <c r="T32">
        <f>T20-T31</f>
        <v>0.0</v>
      </c>
      <c r="U32">
        <f>U20-U31</f>
        <v>0.0</v>
      </c>
      <c r="V32">
        <f>V20-V31</f>
        <v>0.0</v>
      </c>
      <c r="W32">
        <f>W20-W31</f>
        <v>0.0</v>
      </c>
      <c r="X32">
        <f>X20-X31</f>
        <v>0.0</v>
      </c>
      <c r="Y32">
        <f>Y20-Y31</f>
        <v>0.0</v>
      </c>
      <c r="Z32">
        <f>Z20-Z31</f>
        <v>0.0</v>
      </c>
      <c r="AA32">
        <f>AA20-AA31</f>
        <v>0.0</v>
      </c>
      <c r="AB32">
        <f>AB20-AB31</f>
        <v>0.0</v>
      </c>
      <c r="AC32">
        <f>AC20-AC31</f>
        <v>0.0</v>
      </c>
      <c r="AD32">
        <f>AD20-AD31</f>
        <v>0.0</v>
      </c>
      <c r="AE32">
        <f>AE20-AE31</f>
        <v>0.0</v>
      </c>
      <c r="AF32">
        <f>AF20-AF31</f>
        <v>0.0</v>
      </c>
      <c r="AG32">
        <f>AG20-AG31</f>
        <v>0.0</v>
      </c>
      <c r="AH32">
        <f>AH20-AH31</f>
        <v>0.0</v>
      </c>
      <c r="AI32">
        <f>AI20-AI31</f>
        <v>0.0</v>
      </c>
      <c r="AJ32">
        <f>AJ20-AJ31</f>
        <v>493901.38218532316</v>
      </c>
      <c r="AK32">
        <f>AK20-AK31</f>
        <v>630500.0</v>
      </c>
      <c r="AL32">
        <f>AL20-AL31</f>
        <v>630500.0</v>
      </c>
      <c r="AM32">
        <f>AM20-AM31</f>
        <v>630500.0</v>
      </c>
      <c r="AN32">
        <f>AN20-AN31</f>
        <v>630500.0</v>
      </c>
      <c r="AO32">
        <f>AO20-AO31</f>
        <v>630500.0</v>
      </c>
      <c r="AP32">
        <f>AP20-AP31</f>
        <v>630500.0</v>
      </c>
      <c r="AQ32">
        <f>AQ20-AQ31</f>
        <v>630500.0</v>
      </c>
      <c r="AR32">
        <f>AR20-AR31</f>
        <v>958686.7129022293</v>
      </c>
      <c r="AS32">
        <f>AS20-AS31</f>
        <v>1576250.0</v>
      </c>
      <c r="AT32">
        <f>AT20-AT31</f>
        <v>1848826.0624375613</v>
      </c>
      <c r="AU32">
        <f>AU20-AU31</f>
        <v>2522000.0</v>
      </c>
      <c r="AV32">
        <f>AV20-AV31</f>
        <v>2522000.0</v>
      </c>
      <c r="AW32">
        <f>AW20-AW31</f>
        <v>2522000.0</v>
      </c>
    </row>
    <row r="33">
      <c r="A33" t="inlineStr">
        <is>
          <t>Tier 1 account (closing)</t>
        </is>
      </c>
      <c r="B33">
        <f>B23-B25</f>
        <v>16779743.875603322</v>
      </c>
      <c r="C33">
        <f>C23-C25</f>
        <v>16887705.2529371</v>
      </c>
      <c r="D33">
        <f>D23-D25</f>
        <v>16996361.25702336</v>
      </c>
      <c r="E33">
        <f>E23-E25</f>
        <v>17430024.604231544</v>
      </c>
      <c r="F33">
        <f>F23-F25</f>
        <v>18509545.675673272</v>
      </c>
      <c r="G33">
        <f>G23-G25</f>
        <v>20222527.790273037</v>
      </c>
      <c r="H33">
        <f>H23-H25</f>
        <v>22545774.123936035</v>
      </c>
      <c r="I33">
        <f>I23-I25</f>
        <v>25445686.763982773</v>
      </c>
      <c r="J33">
        <f>J23-J25</f>
        <v>28878839.675271954</v>
      </c>
      <c r="K33">
        <f>K23-K25</f>
        <v>32792722.906164616</v>
      </c>
      <c r="L33">
        <f>L23-L25</f>
        <v>37126640.18209188</v>
      </c>
      <c r="M33">
        <f>M23-M25</f>
        <v>40281361.93419152</v>
      </c>
      <c r="N33">
        <f>N23-N25</f>
        <v>40540533.42974805</v>
      </c>
      <c r="O33">
        <f>O23-O25</f>
        <v>40801372.44251065</v>
      </c>
      <c r="P33">
        <f>P23-P25</f>
        <v>41063889.70133523</v>
      </c>
      <c r="Q33">
        <f>Q23-Q25</f>
        <v>41328096.00410748</v>
      </c>
      <c r="R33">
        <f>R23-R25</f>
        <v>41594002.21818702</v>
      </c>
      <c r="S33">
        <f>S23-S25</f>
        <v>41861619.28085438</v>
      </c>
      <c r="T33">
        <f>T23-T25</f>
        <v>42130958.1997609</v>
      </c>
      <c r="U33">
        <f>U23-U25</f>
        <v>42402030.05338146</v>
      </c>
      <c r="V33">
        <f>V23-V25</f>
        <v>42674845.99147019</v>
      </c>
      <c r="W33">
        <f>W23-W25</f>
        <v>42949417.23551907</v>
      </c>
      <c r="X33">
        <f>X23-X25</f>
        <v>43225755.0792195</v>
      </c>
      <c r="Y33">
        <f>Y23-Y25</f>
        <v>43503870.88892683</v>
      </c>
      <c r="Z33">
        <f>Z23-Z25</f>
        <v>43783776.104127884</v>
      </c>
      <c r="AA33">
        <f>AA23-AA25</f>
        <v>44065482.23791149</v>
      </c>
      <c r="AB33">
        <f>AB23-AB25</f>
        <v>44349000.87744204</v>
      </c>
      <c r="AC33">
        <f>AC23-AC25</f>
        <v>44634343.68443607</v>
      </c>
      <c r="AD33">
        <f>AD23-AD25</f>
        <v>44921522.39564197</v>
      </c>
      <c r="AE33">
        <f>AE23-AE25</f>
        <v>45210548.82332272</v>
      </c>
      <c r="AF33">
        <f>AF23-AF25</f>
        <v>45501434.85574176</v>
      </c>
      <c r="AG33">
        <f>AG23-AG25</f>
        <v>45794192.457651965</v>
      </c>
      <c r="AH33">
        <f>AH23-AH25</f>
        <v>46088833.67078779</v>
      </c>
      <c r="AI33">
        <f>AI23-AI25</f>
        <v>46385370.61436058</v>
      </c>
      <c r="AJ33">
        <f>AJ23-AJ25</f>
        <v>42238703.04588914</v>
      </c>
      <c r="AK33">
        <f>AK23-AK25</f>
        <v>36835968.133093886</v>
      </c>
      <c r="AL33">
        <f>AL23-AL25</f>
        <v>31398471.861193337</v>
      </c>
      <c r="AM33">
        <f>AM23-AM25</f>
        <v>25925990.57455635</v>
      </c>
      <c r="AN33">
        <f>AN23-AN25</f>
        <v>20418299.17854471</v>
      </c>
      <c r="AO33">
        <f>AO23-AO25</f>
        <v>14875171.130254526</v>
      </c>
      <c r="AP33">
        <f>AP23-AP25</f>
        <v>9296378.429198038</v>
      </c>
      <c r="AQ33">
        <f>AQ23-AQ25</f>
        <v>3681691.607925484</v>
      </c>
      <c r="AR33">
        <f>AR23-AR25</f>
        <v>0.0</v>
      </c>
      <c r="AS33">
        <f>AS23-AS25</f>
        <v>0.0</v>
      </c>
      <c r="AT33">
        <f>AT23-AT25</f>
        <v>0.0</v>
      </c>
      <c r="AU33">
        <f>AU23-AU25</f>
        <v>0.0</v>
      </c>
      <c r="AV33">
        <f>AV23-AV25</f>
        <v>0.0</v>
      </c>
      <c r="AW33">
        <f>AW23-AW25</f>
        <v>0.0</v>
      </c>
    </row>
    <row r="34">
      <c r="A34" t="inlineStr">
        <is>
          <t>Tier 2 account (closing)</t>
        </is>
      </c>
      <c r="B34">
        <f>MAX(0,B26-B25-B28)</f>
        <v>16779743.875603322</v>
      </c>
      <c r="C34">
        <f>MAX(0,C26-C25-C28)</f>
        <v>16976317.181042433</v>
      </c>
      <c r="D34">
        <f>MAX(0,D26-D25-D28)</f>
        <v>17175193.326423425</v>
      </c>
      <c r="E34">
        <f>MAX(0,E26-E25-E28)</f>
        <v>17700707.536444895</v>
      </c>
      <c r="F34">
        <f>MAX(0,F26-F25-F28)</f>
        <v>18875445.62297697</v>
      </c>
      <c r="G34">
        <f>MAX(0,G26-G25-G28)</f>
        <v>20690461.040675357</v>
      </c>
      <c r="H34">
        <f>MAX(0,H26-H25-H28)</f>
        <v>23125982.05376033</v>
      </c>
      <c r="I34">
        <f>MAX(0,I26-I25-I28)</f>
        <v>26151753.462690152</v>
      </c>
      <c r="J34">
        <f>MAX(0,J26-J25-J28)</f>
        <v>29727553.678294055</v>
      </c>
      <c r="K34">
        <f>MAX(0,K26-K25-K28)</f>
        <v>33803885.406745754</v>
      </c>
      <c r="L34">
        <f>MAX(0,L26-L25-L28)</f>
        <v>38322823.025214024</v>
      </c>
      <c r="M34">
        <f>MAX(0,M26-M25-M28)</f>
        <v>41687619.54437345</v>
      </c>
      <c r="N34">
        <f>MAX(0,N26-N25-N28)</f>
        <v>42175986.543922246</v>
      </c>
      <c r="O34">
        <f>MAX(0,O26-O25-O28)</f>
        <v>42670074.72229715</v>
      </c>
      <c r="P34">
        <f>MAX(0,P26-P25-P28)</f>
        <v>43169951.10263279</v>
      </c>
      <c r="Q34">
        <f>MAX(0,Q26-Q25-Q28)</f>
        <v>43675683.49323427</v>
      </c>
      <c r="R34">
        <f>MAX(0,R26-R25-R28)</f>
        <v>44187340.49677532</v>
      </c>
      <c r="S34">
        <f>MAX(0,S26-S25-S28)</f>
        <v>44704991.51960432</v>
      </c>
      <c r="T34">
        <f>MAX(0,T26-T25-T28)</f>
        <v>45228706.78115923</v>
      </c>
      <c r="U34">
        <f>MAX(0,U26-U25-U28)</f>
        <v>45758557.32349292</v>
      </c>
      <c r="V34">
        <f>MAX(0,V26-V25-V28)</f>
        <v>46294615.02090999</v>
      </c>
      <c r="W34">
        <f>MAX(0,W26-W25-W28)</f>
        <v>46836952.589716546</v>
      </c>
      <c r="X34">
        <f>MAX(0,X26-X25-X28)</f>
        <v>47385643.59808419</v>
      </c>
      <c r="Y34">
        <f>MAX(0,Y26-Y25-Y28)</f>
        <v>47940762.47602953</v>
      </c>
      <c r="Z34">
        <f>MAX(0,Z26-Z25-Z28)</f>
        <v>48502384.52551064</v>
      </c>
      <c r="AA34">
        <f>MAX(0,AA26-AA25-AA28)</f>
        <v>49070585.93064178</v>
      </c>
      <c r="AB34">
        <f>MAX(0,AB26-AB25-AB28)</f>
        <v>49645443.768027775</v>
      </c>
      <c r="AC34">
        <f>MAX(0,AC26-AC25-AC28)</f>
        <v>50227036.01721948</v>
      </c>
      <c r="AD34">
        <f>MAX(0,AD26-AD25-AD28)</f>
        <v>50815441.571291685</v>
      </c>
      <c r="AE34">
        <f>MAX(0,AE26-AE25-AE28)</f>
        <v>51410740.24754503</v>
      </c>
      <c r="AF34">
        <f>MAX(0,AF26-AF25-AF28)</f>
        <v>52013012.79833318</v>
      </c>
      <c r="AG34">
        <f>MAX(0,AG26-AG25-AG28)</f>
        <v>52622340.922016926</v>
      </c>
      <c r="AH34">
        <f>MAX(0,AH26-AH25-AH28)</f>
        <v>53238807.274046555</v>
      </c>
      <c r="AI34">
        <f>MAX(0,AI26-AI25-AI28)</f>
        <v>53862495.4781741</v>
      </c>
      <c r="AJ34">
        <f>MAX(0,AJ26-AJ25-AJ28)</f>
        <v>50048377.69812898</v>
      </c>
      <c r="AK34">
        <f>MAX(0,AK26-AK25-AK28)</f>
        <v>44960190.28483601</v>
      </c>
      <c r="AL34">
        <f>MAX(0,AL26-AL25-AL28)</f>
        <v>39812395.17872366</v>
      </c>
      <c r="AM34">
        <f>MAX(0,AM26-AM25-AM28)</f>
        <v>34604294.080622785</v>
      </c>
      <c r="AN34">
        <f>MAX(0,AN26-AN25-AN28)</f>
        <v>29335180.510847457</v>
      </c>
      <c r="AO34">
        <f>MAX(0,AO26-AO25-AO28)</f>
        <v>24004339.713360935</v>
      </c>
      <c r="AP34">
        <f>MAX(0,AP26-AP25-AP28)</f>
        <v>18611048.558818895</v>
      </c>
      <c r="AQ34">
        <f>MAX(0,AQ26-AQ25-AQ28)</f>
        <v>13154575.446476817</v>
      </c>
      <c r="AR34">
        <f>MAX(0,AR26-AR25-AR28)</f>
        <v>7962366.917850464</v>
      </c>
      <c r="AS34">
        <f>MAX(0,AS26-AS25-AS28)</f>
        <v>3326895.3847784707</v>
      </c>
      <c r="AT34">
        <f>MAX(0,AT26-AT25-AT28)</f>
        <v>0.0</v>
      </c>
      <c r="AU34">
        <f>MAX(0,AU26-AU25-AU28)</f>
        <v>0.0</v>
      </c>
      <c r="AV34">
        <f>MAX(0,AV26-AV25-AV28)</f>
        <v>0.0</v>
      </c>
      <c r="AW34">
        <f>MAX(0,AW26-AW25-AW28)</f>
        <v>0.0</v>
      </c>
    </row>
    <row r="35">
      <c r="A35" t="inlineStr">
        <is>
          <t>Cumulative units sold</t>
        </is>
      </c>
      <c r="B35">
        <f>B15</f>
        <v>0.0</v>
      </c>
      <c r="C35">
        <f>B35+C15</f>
        <v>0.0</v>
      </c>
      <c r="D35">
        <f>C35+D15</f>
        <v>0.0</v>
      </c>
      <c r="E35">
        <f>D35+E15</f>
        <v>0.0</v>
      </c>
      <c r="F35">
        <f>E35+F15</f>
        <v>0.0</v>
      </c>
      <c r="G35">
        <f>F35+G15</f>
        <v>0.0</v>
      </c>
      <c r="H35">
        <f>G35+H15</f>
        <v>0.0</v>
      </c>
      <c r="I35">
        <f>H35+I15</f>
        <v>0.0</v>
      </c>
      <c r="J35">
        <f>I35+J15</f>
        <v>0.0</v>
      </c>
      <c r="K35">
        <f>J35+K15</f>
        <v>0.0</v>
      </c>
      <c r="L35">
        <f>K35+L15</f>
        <v>0.0</v>
      </c>
      <c r="M35">
        <f>L35+M15</f>
        <v>0.0</v>
      </c>
      <c r="N35">
        <f>M35+N15</f>
        <v>0.0</v>
      </c>
      <c r="O35">
        <f>N35+O15</f>
        <v>0.0</v>
      </c>
      <c r="P35">
        <f>O35+P15</f>
        <v>0.0</v>
      </c>
      <c r="Q35">
        <f>P35+Q15</f>
        <v>0.0</v>
      </c>
      <c r="R35">
        <f>Q35+R15</f>
        <v>0.0</v>
      </c>
      <c r="S35">
        <f>R35+S15</f>
        <v>0.0</v>
      </c>
      <c r="T35">
        <f>S35+T15</f>
        <v>0.0</v>
      </c>
      <c r="U35">
        <f>T35+U15</f>
        <v>0.0</v>
      </c>
      <c r="V35">
        <f>U35+V15</f>
        <v>0.0</v>
      </c>
      <c r="W35">
        <f>V35+W15</f>
        <v>0.0</v>
      </c>
      <c r="X35">
        <f>W35+X15</f>
        <v>0.0</v>
      </c>
      <c r="Y35">
        <f>X35+Y15</f>
        <v>0.0</v>
      </c>
      <c r="Z35">
        <f>Y35+Z15</f>
        <v>10.0</v>
      </c>
      <c r="AA35">
        <f>Z35+AA15</f>
        <v>20.0</v>
      </c>
      <c r="AB35">
        <f>AA35+AB15</f>
        <v>30.0</v>
      </c>
      <c r="AC35">
        <f>AB35+AC15</f>
        <v>40.0</v>
      </c>
      <c r="AD35">
        <f>AC35+AD15</f>
        <v>50.0</v>
      </c>
      <c r="AE35">
        <f>AD35+AE15</f>
        <v>60.0</v>
      </c>
      <c r="AF35">
        <f>AE35+AF15</f>
        <v>70.0</v>
      </c>
      <c r="AG35">
        <f>AF35+AG15</f>
        <v>80.0</v>
      </c>
      <c r="AH35">
        <f>AG35+AH15</f>
        <v>90.0</v>
      </c>
      <c r="AI35">
        <f>AH35+AI15</f>
        <v>100.0</v>
      </c>
      <c r="AJ35">
        <f>AI35+AJ15</f>
        <v>110.0</v>
      </c>
      <c r="AK35">
        <f>AJ35+AK15</f>
        <v>120.0</v>
      </c>
      <c r="AL35">
        <f>AK35+AL15</f>
        <v>130.0</v>
      </c>
      <c r="AM35">
        <f>AL35+AM15</f>
        <v>140.0</v>
      </c>
      <c r="AN35">
        <f>AM35+AN15</f>
        <v>150.0</v>
      </c>
      <c r="AO35">
        <f>AN35+AO15</f>
        <v>160.0</v>
      </c>
      <c r="AP35">
        <f>AO35+AP15</f>
        <v>170.0</v>
      </c>
      <c r="AQ35">
        <f>AP35+AQ15</f>
        <v>180.0</v>
      </c>
      <c r="AR35">
        <f>AQ35+AR15</f>
        <v>190.0</v>
      </c>
      <c r="AS35">
        <f>AR35+AS15</f>
        <v>200.0</v>
      </c>
      <c r="AT35">
        <f>AS35+AT15</f>
        <v>210.0</v>
      </c>
      <c r="AU35">
        <f>AT35+AU15</f>
        <v>220.0</v>
      </c>
      <c r="AV35">
        <f>AU35+AV15</f>
        <v>230.0</v>
      </c>
      <c r="AW35">
        <f>AV35+AW15</f>
        <v>240.0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12"/>
  <sheetViews>
    <sheetView workbookViewId="0">
      <selection activeCell="A1" sqref="A1"/>
    </sheetView>
  </sheetViews>
  <sheetFormatPr baseColWidth="8" defaultRowHeight="15"/>
  <sheetData>
    <row r="3">
      <c r="A3" t="inlineStr">
        <is>
          <t>Unlevered IRR</t>
        </is>
      </c>
      <c r="B3" s="3">
        <f>(1+IRR('Cash Flow'!B21:AW21,0.01))^12-1</f>
        <v>0.22061411316335988</v>
      </c>
    </row>
    <row r="4">
      <c r="A4" t="inlineStr">
        <is>
          <t>Levered IRR</t>
        </is>
      </c>
      <c r="B4" s="3">
        <f>(1+IRR('Cash Flow'!B20:AW20,0.01))^12-1</f>
        <v>0.2647192796276725</v>
      </c>
    </row>
    <row r="5">
      <c r="A5" t="inlineStr">
        <is>
          <t>LP IRR</t>
        </is>
      </c>
      <c r="B5" s="3">
        <f>(1+IRR('Cash Flow'!B31:AW31,0.01))^12-1</f>
        <v>0.22270285269496282</v>
      </c>
    </row>
    <row r="6">
      <c r="A6" t="inlineStr">
        <is>
          <t>GP IRR</t>
        </is>
      </c>
      <c r="B6" s="3">
        <f>(1+IRR('Cash Flow'!B32:AW32,0.01))^12-1</f>
        <v>0.5352258234373719</v>
      </c>
    </row>
    <row r="7">
      <c r="A7" t="inlineStr">
        <is>
          <t>LP equity multiple</t>
        </is>
      </c>
      <c r="B7" s="5">
        <f>SUMIF('Cash Flow'!B31:AW31,"&gt;0")/-SUMIF('Cash Flow'!B31:AW31,"&lt;0")</f>
        <v>1.8123567823316584</v>
      </c>
    </row>
    <row r="8">
      <c r="A8" t="inlineStr">
        <is>
          <t>Net profit</t>
        </is>
      </c>
      <c r="B8" s="1">
        <f>SUM('Cash Flow'!B20:AW20)</f>
        <v>43960023.03642199</v>
      </c>
    </row>
    <row r="9">
      <c r="A9" t="inlineStr">
        <is>
          <t>Total development cost</t>
        </is>
      </c>
      <c r="B9" s="1">
        <f>SUM('Cash Flow'!B10:AW10)</f>
        <v>107359976.96357802</v>
      </c>
    </row>
    <row r="10">
      <c r="A10" t="inlineStr">
        <is>
          <t>Profit on cost</t>
        </is>
      </c>
      <c r="B10" s="3">
        <f>B8/B9</f>
        <v>0.4094637897634374</v>
      </c>
    </row>
    <row r="11">
      <c r="A11" t="inlineStr">
        <is>
          <t>Peak debt</t>
        </is>
      </c>
      <c r="B11" s="1">
        <f>MAX('Cash Flow'!B18:AW18)</f>
        <v>59036050.19897524</v>
      </c>
    </row>
    <row r="12">
      <c r="A12" t="inlineStr">
        <is>
          <t>GP promote ($)</t>
        </is>
      </c>
      <c r="B12" s="1">
        <f>SUM('Cash Flow'!B32:AW32)-(1-Assumptions!$B$16)*B8</f>
        <v>8166762.775339793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2026-10-17T10:03:10Z</dcterms:created>
  <dcterms:modified xsi:type="dcterms:W3CDTF">2026-10-17T10:03:10Z</dcterms:modified>
</cp:coreProperties>
</file>