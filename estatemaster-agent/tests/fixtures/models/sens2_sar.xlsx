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Cash Flow" sheetId="2" state="visible" r:id="rId4"/>
    <sheet name="Retur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<sst xmlns="http://schemas.openxmlformats.org/spreadsheetml/2006/main" count="46" uniqueCount="45">
  <si>
    <t xml:space="preserve">RIVERSIDE LOGISTICS PARK (SAR)</t>
  </si>
  <si>
    <t xml:space="preserve">Scenario (1 = Base, 2 = Downside)</t>
  </si>
  <si>
    <t xml:space="preserve">Rent per sqm · Base</t>
  </si>
  <si>
    <t xml:space="preserve">Rent per sqm · Downside</t>
  </si>
  <si>
    <t xml:space="preserve">Lettable area (sqm)</t>
  </si>
  <si>
    <t xml:space="preserve">Rent growth</t>
  </si>
  <si>
    <t xml:space="preserve">Operating costs (share of rent)</t>
  </si>
  <si>
    <t xml:space="preserve">Construction cost</t>
  </si>
  <si>
    <t xml:space="preserve">Exit yield</t>
  </si>
  <si>
    <t xml:space="preserve">Exit year</t>
  </si>
  <si>
    <t xml:space="preserve">Interest rate</t>
  </si>
  <si>
    <t xml:space="preserve">Loan to cost</t>
  </si>
  <si>
    <t xml:space="preserve">Debt cap</t>
  </si>
  <si>
    <t xml:space="preserve">Minimum DSCR covenant</t>
  </si>
  <si>
    <t xml:space="preserve">Professional fees</t>
  </si>
  <si>
    <t xml:space="preserve">RIVERSIDE LOGISTICS PARK - CASH FLOW (SAR)</t>
  </si>
  <si>
    <t xml:space="preserve">Year</t>
  </si>
  <si>
    <t xml:space="preserve">Total</t>
  </si>
  <si>
    <t xml:space="preserve">Period</t>
  </si>
  <si>
    <t xml:space="preserve">Occupancy</t>
  </si>
  <si>
    <t xml:space="preserve">Rent</t>
  </si>
  <si>
    <t xml:space="preserve">Operating costs</t>
  </si>
  <si>
    <t xml:space="preserve">Net operating income</t>
  </si>
  <si>
    <t xml:space="preserve">Sale proceeds</t>
  </si>
  <si>
    <t xml:space="preserve">Unlevered cash flow</t>
  </si>
  <si>
    <t xml:space="preserve">Debt drawn</t>
  </si>
  <si>
    <t xml:space="preserve">Opening debt</t>
  </si>
  <si>
    <t xml:space="preserve">Interest</t>
  </si>
  <si>
    <t xml:space="preserve">Loan repayment</t>
  </si>
  <si>
    <t xml:space="preserve">Closing debt</t>
  </si>
  <si>
    <t xml:space="preserve">DSCR</t>
  </si>
  <si>
    <t xml:space="preserve">Cash trapped</t>
  </si>
  <si>
    <t xml:space="preserve">Cash released</t>
  </si>
  <si>
    <t xml:space="preserve">Levered cash flow to equity</t>
  </si>
  <si>
    <t xml:space="preserve">Cumulative equity cash flow</t>
  </si>
  <si>
    <t xml:space="preserve">RETURNS</t>
  </si>
  <si>
    <t xml:space="preserve">Unlevered IRR</t>
  </si>
  <si>
    <t xml:space="preserve">Levered IRR</t>
  </si>
  <si>
    <t xml:space="preserve">Equity multiple</t>
  </si>
  <si>
    <t xml:space="preserve">Net profit</t>
  </si>
  <si>
    <t xml:space="preserve">Peak debt</t>
  </si>
  <si>
    <t xml:space="preserve">Minimum DSCR</t>
  </si>
  <si>
    <t xml:space="preserve">Total development cost</t>
  </si>
  <si>
    <t xml:space="preserve">Profit on cost</t>
  </si>
  <si>
    <t xml:space="preserve">Cash trapped (total)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</si>
</sst>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0%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  <c r="B2" s="0" t="n">
        <v>1</v>
      </c>
    </row>
    <row r="3" customFormat="false" ht="15" hidden="false" customHeight="false" outlineLevel="0" collapsed="false">
      <c r="A3" s="0" t="s">
        <v>2</v>
      </c>
      <c r="B3" s="0" t="n">
        <v>150</v>
      </c>
    </row>
    <row r="4" customFormat="false" ht="15" hidden="false" customHeight="false" outlineLevel="0" collapsed="false">
      <c r="A4" s="0" t="s">
        <v>3</v>
      </c>
      <c r="B4" s="0" t="n">
        <v>120</v>
      </c>
    </row>
    <row r="5" customFormat="false" ht="15" hidden="false" customHeight="false" outlineLevel="0" collapsed="false">
      <c r="A5" s="0" t="s">
        <v>4</v>
      </c>
      <c r="B5" s="0" t="n">
        <v>400000</v>
      </c>
    </row>
    <row r="6" customFormat="false" ht="15" hidden="false" customHeight="false" outlineLevel="0" collapsed="false">
      <c r="A6" s="0" t="s">
        <v>5</v>
      </c>
      <c r="B6" s="1" t="n">
        <v>0.03</v>
      </c>
    </row>
    <row r="7" customFormat="false" ht="15" hidden="false" customHeight="false" outlineLevel="0" collapsed="false">
      <c r="A7" s="0" t="s">
        <v>6</v>
      </c>
      <c r="B7" s="1" t="n">
        <v>0.15</v>
      </c>
    </row>
    <row r="8" customFormat="false" ht="15" hidden="false" customHeight="false" outlineLevel="0" collapsed="false">
      <c r="A8" s="0" t="s">
        <v>7</v>
      </c>
      <c r="B8" s="0" t="n">
        <v>600000000</v>
      </c>
    </row>
    <row r="9" customFormat="false" ht="15" hidden="false" customHeight="false" outlineLevel="0" collapsed="false">
      <c r="A9" s="0" t="s">
        <v>8</v>
      </c>
      <c r="B9" s="1" t="n">
        <v>0.07</v>
      </c>
    </row>
    <row r="10" customFormat="false" ht="15" hidden="false" customHeight="false" outlineLevel="0" collapsed="false">
      <c r="A10" s="0" t="s">
        <v>9</v>
      </c>
      <c r="B10" s="0" t="n">
        <v>8</v>
      </c>
    </row>
    <row r="11" customFormat="false" ht="15" hidden="false" customHeight="false" outlineLevel="0" collapsed="false">
      <c r="A11" s="0" t="s">
        <v>10</v>
      </c>
      <c r="B11" s="1" t="n">
        <v>0.06</v>
      </c>
    </row>
    <row r="12" customFormat="false" ht="15" hidden="false" customHeight="false" outlineLevel="0" collapsed="false">
      <c r="A12" s="0" t="s">
        <v>11</v>
      </c>
      <c r="B12" s="1" t="n">
        <v>0.55</v>
      </c>
    </row>
    <row r="13" customFormat="false" ht="15" hidden="false" customHeight="false" outlineLevel="0" collapsed="false">
      <c r="A13" s="0" t="s">
        <v>12</v>
      </c>
      <c r="B13" s="0" t="n">
        <v>340000000</v>
      </c>
    </row>
    <row r="14" customFormat="false" ht="15" hidden="false" customHeight="false" outlineLevel="0" collapsed="false">
      <c r="A14" s="0" t="s">
        <v>13</v>
      </c>
      <c r="B14" s="0" t="n">
        <v>1.3</v>
      </c>
    </row>
    <row r="15" customFormat="false" ht="15" hidden="false" customHeight="false" outlineLevel="0" collapsed="false">
      <c r="A15" s="0" t="s">
        <v>14</v>
      </c>
      <c r="B15" s="0" t="n">
        <f aca="false">B8*0.08</f>
        <v>48000000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15</v>
      </c>
    </row>
    <row r="3" customFormat="false" ht="15" hidden="false" customHeight="false" outlineLevel="0" collapsed="false">
      <c r="A3" s="0" t="s">
        <v>16</v>
      </c>
      <c r="C3" s="0" t="n">
        <v>2027</v>
      </c>
      <c r="D3" s="0" t="n">
        <v>2028</v>
      </c>
      <c r="E3" s="0" t="n">
        <v>2029</v>
      </c>
      <c r="F3" s="0" t="n">
        <v>2030</v>
      </c>
      <c r="G3" s="0" t="n">
        <v>2031</v>
      </c>
      <c r="H3" s="0" t="n">
        <v>2032</v>
      </c>
      <c r="I3" s="0" t="n">
        <v>2033</v>
      </c>
      <c r="J3" s="0" t="n">
        <v>2034</v>
      </c>
      <c r="K3" s="0" t="n">
        <v>2035</v>
      </c>
      <c r="L3" s="0" t="n">
        <v>2036</v>
      </c>
      <c r="M3" s="0" t="s">
        <v>17</v>
      </c>
    </row>
    <row r="4" customFormat="false" ht="15" hidden="false" customHeight="false" outlineLevel="0" collapsed="false">
      <c r="A4" s="0" t="s">
        <v>18</v>
      </c>
      <c r="C4" s="0" t="n"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6" customFormat="false" ht="15" hidden="false" customHeight="false" outlineLevel="0" collapsed="false">
      <c r="A6" s="0" t="s">
        <v>7</v>
      </c>
      <c r="C6" s="0" t="n">
        <f aca="false">IF(C$4&lt;=2,-(Inputs!$B$8+Inputs!$B$15)/2,0)</f>
        <v>-324000000</v>
      </c>
      <c r="D6" s="0" t="n">
        <f aca="false">IF(D$4&lt;=2,-(Inputs!$B$8+Inputs!$B$15)/2,0)</f>
        <v>-324000000</v>
      </c>
      <c r="E6" s="0" t="n">
        <f aca="false">IF(E$4&lt;=2,-(Inputs!$B$8+Inputs!$B$15)/2,0)</f>
        <v>0</v>
      </c>
      <c r="F6" s="0" t="n">
        <f aca="false">IF(F$4&lt;=2,-(Inputs!$B$8+Inputs!$B$15)/2,0)</f>
        <v>0</v>
      </c>
      <c r="G6" s="0" t="n">
        <f aca="false">IF(G$4&lt;=2,-(Inputs!$B$8+Inputs!$B$15)/2,0)</f>
        <v>0</v>
      </c>
      <c r="H6" s="0" t="n">
        <f aca="false">IF(H$4&lt;=2,-(Inputs!$B$8+Inputs!$B$15)/2,0)</f>
        <v>0</v>
      </c>
      <c r="I6" s="0" t="n">
        <f aca="false">IF(I$4&lt;=2,-(Inputs!$B$8+Inputs!$B$15)/2,0)</f>
        <v>0</v>
      </c>
      <c r="J6" s="0" t="n">
        <f aca="false">IF(J$4&lt;=2,-(Inputs!$B$8+Inputs!$B$15)/2,0)</f>
        <v>0</v>
      </c>
      <c r="K6" s="0" t="n">
        <f aca="false">IF(K$4&lt;=2,-(Inputs!$B$8+Inputs!$B$15)/2,0)</f>
        <v>0</v>
      </c>
      <c r="L6" s="0" t="n">
        <f aca="false">IF(L$4&lt;=2,-(Inputs!$B$8+Inputs!$B$15)/2,0)</f>
        <v>0</v>
      </c>
      <c r="M6" s="0" t="n">
        <f aca="false">SUM(C6:L6)</f>
        <v>-648000000</v>
      </c>
    </row>
    <row r="7" customFormat="false" ht="15" hidden="false" customHeight="false" outlineLevel="0" collapsed="false">
      <c r="A7" s="0" t="s">
        <v>19</v>
      </c>
      <c r="C7" s="2" t="n">
        <v>0</v>
      </c>
      <c r="D7" s="2" t="n">
        <v>0</v>
      </c>
      <c r="E7" s="2" t="n">
        <v>0.6</v>
      </c>
      <c r="F7" s="2" t="n">
        <v>0.85</v>
      </c>
      <c r="G7" s="2" t="n">
        <v>0.95</v>
      </c>
      <c r="H7" s="2" t="n">
        <v>0.95</v>
      </c>
      <c r="I7" s="2" t="n">
        <v>0.95</v>
      </c>
      <c r="J7" s="2" t="n">
        <v>0.95</v>
      </c>
      <c r="K7" s="2" t="n">
        <v>0.95</v>
      </c>
      <c r="L7" s="2" t="n">
        <v>0.95</v>
      </c>
    </row>
    <row r="8" customFormat="false" ht="15" hidden="false" customHeight="false" outlineLevel="0" collapsed="false">
      <c r="A8" s="0" t="s">
        <v>20</v>
      </c>
      <c r="C8" s="0" t="n">
        <f aca="false">IF(C$4&lt;=Inputs!$B$10,Inputs!$B$5*CHOOSE(Inputs!$B$2,Inputs!$B$3,Inputs!$B$4)*C7*(1+Inputs!$B$6)^MAX(0,C$4-3),0)</f>
        <v>0</v>
      </c>
      <c r="D8" s="0" t="n">
        <f aca="false">IF(D$4&lt;=Inputs!$B$10,Inputs!$B$5*CHOOSE(Inputs!$B$2,Inputs!$B$3,Inputs!$B$4)*D7*(1+Inputs!$B$6)^MAX(0,D$4-3),0)</f>
        <v>0</v>
      </c>
      <c r="E8" s="0" t="n">
        <f aca="false">IF(E$4&lt;=Inputs!$B$10,Inputs!$B$5*CHOOSE(Inputs!$B$2,Inputs!$B$3,Inputs!$B$4)*E7*(1+Inputs!$B$6)^MAX(0,E$4-3),0)</f>
        <v>36000000</v>
      </c>
      <c r="F8" s="0" t="n">
        <f aca="false">IF(F$4&lt;=Inputs!$B$10,Inputs!$B$5*CHOOSE(Inputs!$B$2,Inputs!$B$3,Inputs!$B$4)*F7*(1+Inputs!$B$6)^MAX(0,F$4-3),0)</f>
        <v>52530000</v>
      </c>
      <c r="G8" s="0" t="n">
        <f aca="false">IF(G$4&lt;=Inputs!$B$10,Inputs!$B$5*CHOOSE(Inputs!$B$2,Inputs!$B$3,Inputs!$B$4)*G7*(1+Inputs!$B$6)^MAX(0,G$4-3),0)</f>
        <v>60471300</v>
      </c>
      <c r="H8" s="0" t="n">
        <f aca="false">IF(H$4&lt;=Inputs!$B$10,Inputs!$B$5*CHOOSE(Inputs!$B$2,Inputs!$B$3,Inputs!$B$4)*H7*(1+Inputs!$B$6)^MAX(0,H$4-3),0)</f>
        <v>62285439</v>
      </c>
      <c r="I8" s="0" t="n">
        <f aca="false">IF(I$4&lt;=Inputs!$B$10,Inputs!$B$5*CHOOSE(Inputs!$B$2,Inputs!$B$3,Inputs!$B$4)*I7*(1+Inputs!$B$6)^MAX(0,I$4-3),0)</f>
        <v>64154002.17</v>
      </c>
      <c r="J8" s="0" t="n">
        <f aca="false">IF(J$4&lt;=Inputs!$B$10,Inputs!$B$5*CHOOSE(Inputs!$B$2,Inputs!$B$3,Inputs!$B$4)*J7*(1+Inputs!$B$6)^MAX(0,J$4-3),0)</f>
        <v>66078622.2351</v>
      </c>
      <c r="K8" s="0" t="n">
        <f aca="false">IF(K$4&lt;=Inputs!$B$10,Inputs!$B$5*CHOOSE(Inputs!$B$2,Inputs!$B$3,Inputs!$B$4)*K7*(1+Inputs!$B$6)^MAX(0,K$4-3),0)</f>
        <v>0</v>
      </c>
      <c r="L8" s="0" t="n">
        <f aca="false">IF(L$4&lt;=Inputs!$B$10,Inputs!$B$5*CHOOSE(Inputs!$B$2,Inputs!$B$3,Inputs!$B$4)*L7*(1+Inputs!$B$6)^MAX(0,L$4-3),0)</f>
        <v>0</v>
      </c>
      <c r="M8" s="0" t="n">
        <f aca="false">SUM(C8:L8)</f>
        <v>341519363.4051</v>
      </c>
    </row>
    <row r="9" customFormat="false" ht="15" hidden="false" customHeight="false" outlineLevel="0" collapsed="false">
      <c r="A9" s="0" t="s">
        <v>21</v>
      </c>
      <c r="C9" s="0" t="n">
        <f aca="false">-C8*Inputs!$B$7</f>
        <v>-0</v>
      </c>
      <c r="D9" s="0" t="n">
        <f aca="false">-D8*Inputs!$B$7</f>
        <v>-0</v>
      </c>
      <c r="E9" s="0" t="n">
        <f aca="false">-E8*Inputs!$B$7</f>
        <v>-5400000</v>
      </c>
      <c r="F9" s="0" t="n">
        <f aca="false">-F8*Inputs!$B$7</f>
        <v>-7879500</v>
      </c>
      <c r="G9" s="0" t="n">
        <f aca="false">-G8*Inputs!$B$7</f>
        <v>-9070695</v>
      </c>
      <c r="H9" s="0" t="n">
        <f aca="false">-H8*Inputs!$B$7</f>
        <v>-9342815.85</v>
      </c>
      <c r="I9" s="0" t="n">
        <f aca="false">-I8*Inputs!$B$7</f>
        <v>-9623100.3255</v>
      </c>
      <c r="J9" s="0" t="n">
        <f aca="false">-J8*Inputs!$B$7</f>
        <v>-9911793.335265</v>
      </c>
      <c r="K9" s="0" t="n">
        <f aca="false">-K8*Inputs!$B$7</f>
        <v>-0</v>
      </c>
      <c r="L9" s="0" t="n">
        <f aca="false">-L8*Inputs!$B$7</f>
        <v>-0</v>
      </c>
      <c r="M9" s="0" t="n">
        <f aca="false">SUM(C9:L9)</f>
        <v>-51227904.510765</v>
      </c>
    </row>
    <row r="10" customFormat="false" ht="15" hidden="false" customHeight="false" outlineLevel="0" collapsed="false">
      <c r="A10" s="0" t="s">
        <v>22</v>
      </c>
      <c r="C10" s="0" t="n">
        <f aca="false">C8+C9</f>
        <v>0</v>
      </c>
      <c r="D10" s="0" t="n">
        <f aca="false">D8+D9</f>
        <v>0</v>
      </c>
      <c r="E10" s="0" t="n">
        <f aca="false">E8+E9</f>
        <v>30600000</v>
      </c>
      <c r="F10" s="0" t="n">
        <f aca="false">F8+F9</f>
        <v>44650500</v>
      </c>
      <c r="G10" s="0" t="n">
        <f aca="false">G8+G9</f>
        <v>51400605</v>
      </c>
      <c r="H10" s="0" t="n">
        <f aca="false">H8+H9</f>
        <v>52942623.15</v>
      </c>
      <c r="I10" s="0" t="n">
        <f aca="false">I8+I9</f>
        <v>54530901.8445</v>
      </c>
      <c r="J10" s="0" t="n">
        <f aca="false">J8+J9</f>
        <v>56166828.899835</v>
      </c>
      <c r="K10" s="0" t="n">
        <f aca="false">K8+K9</f>
        <v>0</v>
      </c>
      <c r="L10" s="0" t="n">
        <f aca="false">L8+L9</f>
        <v>0</v>
      </c>
      <c r="M10" s="0" t="n">
        <f aca="false">SUM(C10:L10)</f>
        <v>290291458.894335</v>
      </c>
    </row>
    <row r="11" customFormat="false" ht="15" hidden="false" customHeight="false" outlineLevel="0" collapsed="false">
      <c r="A11" s="0" t="s">
        <v>23</v>
      </c>
      <c r="C11" s="0" t="n">
        <f aca="false">IF(C$4=Inputs!$B$10,C10*(1+Inputs!$B$6)/Inputs!$B$9*0.98,0)</f>
        <v>0</v>
      </c>
      <c r="D11" s="0" t="n">
        <f aca="false">IF(D$4=Inputs!$B$10,D10*(1+Inputs!$B$6)/Inputs!$B$9*0.98,0)</f>
        <v>0</v>
      </c>
      <c r="E11" s="0" t="n">
        <f aca="false">IF(E$4=Inputs!$B$10,E10*(1+Inputs!$B$6)/Inputs!$B$9*0.98,0)</f>
        <v>0</v>
      </c>
      <c r="F11" s="0" t="n">
        <f aca="false">IF(F$4=Inputs!$B$10,F10*(1+Inputs!$B$6)/Inputs!$B$9*0.98,0)</f>
        <v>0</v>
      </c>
      <c r="G11" s="0" t="n">
        <f aca="false">IF(G$4=Inputs!$B$10,G10*(1+Inputs!$B$6)/Inputs!$B$9*0.98,0)</f>
        <v>0</v>
      </c>
      <c r="H11" s="0" t="n">
        <f aca="false">IF(H$4=Inputs!$B$10,H10*(1+Inputs!$B$6)/Inputs!$B$9*0.98,0)</f>
        <v>0</v>
      </c>
      <c r="I11" s="0" t="n">
        <f aca="false">IF(I$4=Inputs!$B$10,I10*(1+Inputs!$B$6)/Inputs!$B$9*0.98,0)</f>
        <v>0</v>
      </c>
      <c r="J11" s="0" t="n">
        <f aca="false">IF(J$4=Inputs!$B$10,J10*(1+Inputs!$B$6)/Inputs!$B$9*0.98,0)</f>
        <v>809925672.735621</v>
      </c>
      <c r="K11" s="0" t="n">
        <f aca="false">IF(K$4=Inputs!$B$10,K10*(1+Inputs!$B$6)/Inputs!$B$9*0.98,0)</f>
        <v>0</v>
      </c>
      <c r="L11" s="0" t="n">
        <f aca="false">IF(L$4=Inputs!$B$10,L10*(1+Inputs!$B$6)/Inputs!$B$9*0.98,0)</f>
        <v>0</v>
      </c>
      <c r="M11" s="0" t="n">
        <f aca="false">SUM(C11:L11)</f>
        <v>809925672.735621</v>
      </c>
    </row>
    <row r="12" customFormat="false" ht="15" hidden="false" customHeight="false" outlineLevel="0" collapsed="false">
      <c r="A12" s="0" t="s">
        <v>24</v>
      </c>
      <c r="C12" s="0" t="n">
        <f aca="false">C6+C10+C11</f>
        <v>-324000000</v>
      </c>
      <c r="D12" s="0" t="n">
        <f aca="false">D6+D10+D11</f>
        <v>-324000000</v>
      </c>
      <c r="E12" s="0" t="n">
        <f aca="false">E6+E10+E11</f>
        <v>30600000</v>
      </c>
      <c r="F12" s="0" t="n">
        <f aca="false">F6+F10+F11</f>
        <v>44650500</v>
      </c>
      <c r="G12" s="0" t="n">
        <f aca="false">G6+G10+G11</f>
        <v>51400605</v>
      </c>
      <c r="H12" s="0" t="n">
        <f aca="false">H6+H10+H11</f>
        <v>52942623.15</v>
      </c>
      <c r="I12" s="0" t="n">
        <f aca="false">I6+I10+I11</f>
        <v>54530901.8445</v>
      </c>
      <c r="J12" s="0" t="n">
        <f aca="false">J6+J10+J11</f>
        <v>866092501.635456</v>
      </c>
      <c r="K12" s="0" t="n">
        <f aca="false">K6+K10+K11</f>
        <v>0</v>
      </c>
      <c r="L12" s="0" t="n">
        <f aca="false">L6+L10+L11</f>
        <v>0</v>
      </c>
      <c r="M12" s="0" t="n">
        <f aca="false">SUM(C12:L12)</f>
        <v>452217131.629956</v>
      </c>
    </row>
    <row r="13" customFormat="false" ht="15" hidden="false" customHeight="false" outlineLevel="0" collapsed="false">
      <c r="A13" s="0" t="s">
        <v>25</v>
      </c>
      <c r="C13" s="0" t="n">
        <f aca="false">IF(C$4&lt;=2,MIN(Inputs!$B$12*(Inputs!$B$8+Inputs!$B$15),Inputs!$B$13)/2,0)</f>
        <v>170000000</v>
      </c>
      <c r="D13" s="0" t="n">
        <f aca="false">IF(D$4&lt;=2,MIN(Inputs!$B$12*(Inputs!$B$8+Inputs!$B$15),Inputs!$B$13)/2,0)</f>
        <v>170000000</v>
      </c>
      <c r="E13" s="0" t="n">
        <f aca="false">IF(E$4&lt;=2,MIN(Inputs!$B$12*(Inputs!$B$8+Inputs!$B$15),Inputs!$B$13)/2,0)</f>
        <v>0</v>
      </c>
      <c r="F13" s="0" t="n">
        <f aca="false">IF(F$4&lt;=2,MIN(Inputs!$B$12*(Inputs!$B$8+Inputs!$B$15),Inputs!$B$13)/2,0)</f>
        <v>0</v>
      </c>
      <c r="G13" s="0" t="n">
        <f aca="false">IF(G$4&lt;=2,MIN(Inputs!$B$12*(Inputs!$B$8+Inputs!$B$15),Inputs!$B$13)/2,0)</f>
        <v>0</v>
      </c>
      <c r="H13" s="0" t="n">
        <f aca="false">IF(H$4&lt;=2,MIN(Inputs!$B$12*(Inputs!$B$8+Inputs!$B$15),Inputs!$B$13)/2,0)</f>
        <v>0</v>
      </c>
      <c r="I13" s="0" t="n">
        <f aca="false">IF(I$4&lt;=2,MIN(Inputs!$B$12*(Inputs!$B$8+Inputs!$B$15),Inputs!$B$13)/2,0)</f>
        <v>0</v>
      </c>
      <c r="J13" s="0" t="n">
        <f aca="false">IF(J$4&lt;=2,MIN(Inputs!$B$12*(Inputs!$B$8+Inputs!$B$15),Inputs!$B$13)/2,0)</f>
        <v>0</v>
      </c>
      <c r="K13" s="0" t="n">
        <f aca="false">IF(K$4&lt;=2,MIN(Inputs!$B$12*(Inputs!$B$8+Inputs!$B$15),Inputs!$B$13)/2,0)</f>
        <v>0</v>
      </c>
      <c r="L13" s="0" t="n">
        <f aca="false">IF(L$4&lt;=2,MIN(Inputs!$B$12*(Inputs!$B$8+Inputs!$B$15),Inputs!$B$13)/2,0)</f>
        <v>0</v>
      </c>
      <c r="M13" s="0" t="n">
        <f aca="false">SUM(C13:L13)</f>
        <v>340000000</v>
      </c>
    </row>
    <row r="14" customFormat="false" ht="15" hidden="false" customHeight="false" outlineLevel="0" collapsed="false">
      <c r="A14" s="0" t="s">
        <v>26</v>
      </c>
      <c r="C14" s="0" t="n">
        <f aca="false">0</f>
        <v>0</v>
      </c>
      <c r="D14" s="0" t="n">
        <f aca="false">C17</f>
        <v>170000000</v>
      </c>
      <c r="E14" s="0" t="n">
        <f aca="false">D17</f>
        <v>340000000</v>
      </c>
      <c r="F14" s="0" t="n">
        <f aca="false">E17</f>
        <v>340000000</v>
      </c>
      <c r="G14" s="0" t="n">
        <f aca="false">F17</f>
        <v>340000000</v>
      </c>
      <c r="H14" s="0" t="n">
        <f aca="false">G17</f>
        <v>340000000</v>
      </c>
      <c r="I14" s="0" t="n">
        <f aca="false">H17</f>
        <v>340000000</v>
      </c>
      <c r="J14" s="0" t="n">
        <f aca="false">I17</f>
        <v>340000000</v>
      </c>
      <c r="K14" s="0" t="n">
        <f aca="false">J17</f>
        <v>0</v>
      </c>
      <c r="L14" s="0" t="n">
        <f aca="false">K17</f>
        <v>0</v>
      </c>
    </row>
    <row r="15" customFormat="false" ht="15" hidden="false" customHeight="false" outlineLevel="0" collapsed="false">
      <c r="A15" s="0" t="s">
        <v>27</v>
      </c>
      <c r="C15" s="0" t="n">
        <f aca="false">-C14*Inputs!$B$11</f>
        <v>-0</v>
      </c>
      <c r="D15" s="0" t="n">
        <f aca="false">-D14*Inputs!$B$11</f>
        <v>-10200000</v>
      </c>
      <c r="E15" s="0" t="n">
        <f aca="false">-E14*Inputs!$B$11</f>
        <v>-20400000</v>
      </c>
      <c r="F15" s="0" t="n">
        <f aca="false">-F14*Inputs!$B$11</f>
        <v>-20400000</v>
      </c>
      <c r="G15" s="0" t="n">
        <f aca="false">-G14*Inputs!$B$11</f>
        <v>-20400000</v>
      </c>
      <c r="H15" s="0" t="n">
        <f aca="false">-H14*Inputs!$B$11</f>
        <v>-20400000</v>
      </c>
      <c r="I15" s="0" t="n">
        <f aca="false">-I14*Inputs!$B$11</f>
        <v>-20400000</v>
      </c>
      <c r="J15" s="0" t="n">
        <f aca="false">-J14*Inputs!$B$11</f>
        <v>-20400000</v>
      </c>
      <c r="K15" s="0" t="n">
        <f aca="false">-K14*Inputs!$B$11</f>
        <v>-0</v>
      </c>
      <c r="L15" s="0" t="n">
        <f aca="false">-L14*Inputs!$B$11</f>
        <v>-0</v>
      </c>
      <c r="M15" s="0" t="n">
        <f aca="false">SUM(C15:L15)</f>
        <v>-132600000</v>
      </c>
    </row>
    <row r="16" customFormat="false" ht="15" hidden="false" customHeight="false" outlineLevel="0" collapsed="false">
      <c r="A16" s="0" t="s">
        <v>28</v>
      </c>
      <c r="C16" s="0" t="n">
        <f aca="false">IF(C$4=Inputs!$B$10,-(C14+C13),0)</f>
        <v>0</v>
      </c>
      <c r="D16" s="0" t="n">
        <f aca="false">IF(D$4=Inputs!$B$10,-(D14+D13),0)</f>
        <v>0</v>
      </c>
      <c r="E16" s="0" t="n">
        <f aca="false">IF(E$4=Inputs!$B$10,-(E14+E13),0)</f>
        <v>0</v>
      </c>
      <c r="F16" s="0" t="n">
        <f aca="false">IF(F$4=Inputs!$B$10,-(F14+F13),0)</f>
        <v>0</v>
      </c>
      <c r="G16" s="0" t="n">
        <f aca="false">IF(G$4=Inputs!$B$10,-(G14+G13),0)</f>
        <v>0</v>
      </c>
      <c r="H16" s="0" t="n">
        <f aca="false">IF(H$4=Inputs!$B$10,-(H14+H13),0)</f>
        <v>0</v>
      </c>
      <c r="I16" s="0" t="n">
        <f aca="false">IF(I$4=Inputs!$B$10,-(I14+I13),0)</f>
        <v>0</v>
      </c>
      <c r="J16" s="0" t="n">
        <f aca="false">IF(J$4=Inputs!$B$10,-(J14+J13),0)</f>
        <v>-340000000</v>
      </c>
      <c r="K16" s="0" t="n">
        <f aca="false">IF(K$4=Inputs!$B$10,-(K14+K13),0)</f>
        <v>0</v>
      </c>
      <c r="L16" s="0" t="n">
        <f aca="false">IF(L$4=Inputs!$B$10,-(L14+L13),0)</f>
        <v>0</v>
      </c>
      <c r="M16" s="0" t="n">
        <f aca="false">SUM(C16:L16)</f>
        <v>-340000000</v>
      </c>
    </row>
    <row r="17" customFormat="false" ht="15" hidden="false" customHeight="false" outlineLevel="0" collapsed="false">
      <c r="A17" s="0" t="s">
        <v>29</v>
      </c>
      <c r="C17" s="0" t="n">
        <f aca="false">C14+C13+C16</f>
        <v>170000000</v>
      </c>
      <c r="D17" s="0" t="n">
        <f aca="false">D14+D13+D16</f>
        <v>340000000</v>
      </c>
      <c r="E17" s="0" t="n">
        <f aca="false">E14+E13+E16</f>
        <v>340000000</v>
      </c>
      <c r="F17" s="0" t="n">
        <f aca="false">F14+F13+F16</f>
        <v>340000000</v>
      </c>
      <c r="G17" s="0" t="n">
        <f aca="false">G14+G13+G16</f>
        <v>340000000</v>
      </c>
      <c r="H17" s="0" t="n">
        <f aca="false">H14+H13+H16</f>
        <v>340000000</v>
      </c>
      <c r="I17" s="0" t="n">
        <f aca="false">I14+I13+I16</f>
        <v>340000000</v>
      </c>
      <c r="J17" s="0" t="n">
        <f aca="false">J14+J13+J16</f>
        <v>0</v>
      </c>
      <c r="K17" s="0" t="n">
        <f aca="false">K14+K13+K16</f>
        <v>0</v>
      </c>
      <c r="L17" s="0" t="n">
        <f aca="false">L14+L13+L16</f>
        <v>0</v>
      </c>
    </row>
    <row r="18" customFormat="false" ht="15" hidden="false" customHeight="false" outlineLevel="0" collapsed="false">
      <c r="A18" s="0" t="s">
        <v>30</v>
      </c>
      <c r="C18" s="0" t="str">
        <f aca="false">IF(AND(C10&gt;0,C15&lt;0),C10/-C15,"")</f>
        <v/>
      </c>
      <c r="D18" s="0" t="str">
        <f aca="false">IF(AND(D10&gt;0,D15&lt;0),D10/-D15,"")</f>
        <v/>
      </c>
      <c r="E18" s="0" t="n">
        <f aca="false">IF(AND(E10&gt;0,E15&lt;0),E10/-E15,"")</f>
        <v>1.5</v>
      </c>
      <c r="F18" s="0" t="n">
        <f aca="false">IF(AND(F10&gt;0,F15&lt;0),F10/-F15,"")</f>
        <v>2.18875</v>
      </c>
      <c r="G18" s="0" t="n">
        <f aca="false">IF(AND(G10&gt;0,G15&lt;0),G10/-G15,"")</f>
        <v>2.5196375</v>
      </c>
      <c r="H18" s="0" t="n">
        <f aca="false">IF(AND(H10&gt;0,H15&lt;0),H10/-H15,"")</f>
        <v>2.595226625</v>
      </c>
      <c r="I18" s="0" t="n">
        <f aca="false">IF(AND(I10&gt;0,I15&lt;0),I10/-I15,"")</f>
        <v>2.67308342375</v>
      </c>
      <c r="J18" s="0" t="n">
        <f aca="false">IF(AND(J10&gt;0,J15&lt;0),J10/-J15,"")</f>
        <v>2.7532759264625</v>
      </c>
      <c r="K18" s="0" t="str">
        <f aca="false">IF(AND(K10&gt;0,K15&lt;0),K10/-K15,"")</f>
        <v/>
      </c>
      <c r="L18" s="0" t="str">
        <f aca="false">IF(AND(L10&gt;0,L15&lt;0),L10/-L15,"")</f>
        <v/>
      </c>
    </row>
    <row r="19" customFormat="false" ht="15" hidden="false" customHeight="false" outlineLevel="0" collapsed="false">
      <c r="A19" s="0" t="s">
        <v>31</v>
      </c>
      <c r="C19" s="0" t="n">
        <f aca="false">IF(AND(ISNUMBER(C18),C$4&lt;Inputs!$B$10),IF(C18&lt;Inputs!$B$14,MAX(0,C10+C15),0),0)</f>
        <v>0</v>
      </c>
      <c r="D19" s="0" t="n">
        <f aca="false">IF(AND(ISNUMBER(D18),D$4&lt;Inputs!$B$10),IF(D18&lt;Inputs!$B$14,MAX(0,D10+D15),0),0)</f>
        <v>0</v>
      </c>
      <c r="E19" s="0" t="n">
        <f aca="false">IF(AND(ISNUMBER(E18),E$4&lt;Inputs!$B$10),IF(E18&lt;Inputs!$B$14,MAX(0,E10+E15),0),0)</f>
        <v>0</v>
      </c>
      <c r="F19" s="0" t="n">
        <f aca="false">IF(AND(ISNUMBER(F18),F$4&lt;Inputs!$B$10),IF(F18&lt;Inputs!$B$14,MAX(0,F10+F15),0),0)</f>
        <v>0</v>
      </c>
      <c r="G19" s="0" t="n">
        <f aca="false">IF(AND(ISNUMBER(G18),G$4&lt;Inputs!$B$10),IF(G18&lt;Inputs!$B$14,MAX(0,G10+G15),0),0)</f>
        <v>0</v>
      </c>
      <c r="H19" s="0" t="n">
        <f aca="false">IF(AND(ISNUMBER(H18),H$4&lt;Inputs!$B$10),IF(H18&lt;Inputs!$B$14,MAX(0,H10+H15),0),0)</f>
        <v>0</v>
      </c>
      <c r="I19" s="0" t="n">
        <f aca="false">IF(AND(ISNUMBER(I18),I$4&lt;Inputs!$B$10),IF(I18&lt;Inputs!$B$14,MAX(0,I10+I15),0),0)</f>
        <v>0</v>
      </c>
      <c r="J19" s="0" t="n">
        <f aca="false">IF(AND(ISNUMBER(J18),J$4&lt;Inputs!$B$10),IF(J18&lt;Inputs!$B$14,MAX(0,J10+J15),0),0)</f>
        <v>0</v>
      </c>
      <c r="K19" s="0" t="n">
        <f aca="false">IF(AND(ISNUMBER(K18),K$4&lt;Inputs!$B$10),IF(K18&lt;Inputs!$B$14,MAX(0,K10+K15),0),0)</f>
        <v>0</v>
      </c>
      <c r="L19" s="0" t="n">
        <f aca="false">IF(AND(ISNUMBER(L18),L$4&lt;Inputs!$B$10),IF(L18&lt;Inputs!$B$14,MAX(0,L10+L15),0),0)</f>
        <v>0</v>
      </c>
      <c r="M19" s="0" t="n">
        <f aca="false">SUM(C19:L19)</f>
        <v>0</v>
      </c>
    </row>
    <row r="20" customFormat="false" ht="15" hidden="false" customHeight="false" outlineLevel="0" collapsed="false">
      <c r="A20" s="0" t="s">
        <v>32</v>
      </c>
      <c r="C20" s="0" t="n">
        <f aca="false">IF(C$4=Inputs!$B$10,SUM($C19:C19),0)</f>
        <v>0</v>
      </c>
      <c r="D20" s="0" t="n">
        <f aca="false">IF(D$4=Inputs!$B$10,SUM($C19:D19),0)</f>
        <v>0</v>
      </c>
      <c r="E20" s="0" t="n">
        <f aca="false">IF(E$4=Inputs!$B$10,SUM($C19:E19),0)</f>
        <v>0</v>
      </c>
      <c r="F20" s="0" t="n">
        <f aca="false">IF(F$4=Inputs!$B$10,SUM($C19:F19),0)</f>
        <v>0</v>
      </c>
      <c r="G20" s="0" t="n">
        <f aca="false">IF(G$4=Inputs!$B$10,SUM($C19:G19),0)</f>
        <v>0</v>
      </c>
      <c r="H20" s="0" t="n">
        <f aca="false">IF(H$4=Inputs!$B$10,SUM($C19:H19),0)</f>
        <v>0</v>
      </c>
      <c r="I20" s="0" t="n">
        <f aca="false">IF(I$4=Inputs!$B$10,SUM($C19:I19),0)</f>
        <v>0</v>
      </c>
      <c r="J20" s="0" t="n">
        <f aca="false">IF(J$4=Inputs!$B$10,SUM($C19:J19),0)</f>
        <v>0</v>
      </c>
      <c r="K20" s="0" t="n">
        <f aca="false">IF(K$4=Inputs!$B$10,SUM($C19:K19),0)</f>
        <v>0</v>
      </c>
      <c r="L20" s="0" t="n">
        <f aca="false">IF(L$4=Inputs!$B$10,SUM($C19:L19),0)</f>
        <v>0</v>
      </c>
      <c r="M20" s="0" t="n">
        <f aca="false">SUM(C20:L20)</f>
        <v>0</v>
      </c>
    </row>
    <row r="21" customFormat="false" ht="15" hidden="false" customHeight="false" outlineLevel="0" collapsed="false">
      <c r="A21" s="0" t="s">
        <v>33</v>
      </c>
      <c r="C21" s="0" t="n">
        <f aca="false">C12+C13+C15+C16-C19+C20</f>
        <v>-154000000</v>
      </c>
      <c r="D21" s="0" t="n">
        <f aca="false">D12+D13+D15+D16-D19+D20</f>
        <v>-164200000</v>
      </c>
      <c r="E21" s="0" t="n">
        <f aca="false">E12+E13+E15+E16-E19+E20</f>
        <v>10200000</v>
      </c>
      <c r="F21" s="0" t="n">
        <f aca="false">F12+F13+F15+F16-F19+F20</f>
        <v>24250500</v>
      </c>
      <c r="G21" s="0" t="n">
        <f aca="false">G12+G13+G15+G16-G19+G20</f>
        <v>31000605</v>
      </c>
      <c r="H21" s="0" t="n">
        <f aca="false">H12+H13+H15+H16-H19+H20</f>
        <v>32542623.15</v>
      </c>
      <c r="I21" s="0" t="n">
        <f aca="false">I12+I13+I15+I16-I19+I20</f>
        <v>34130901.8445</v>
      </c>
      <c r="J21" s="0" t="n">
        <f aca="false">J12+J13+J15+J16-J19+J20</f>
        <v>505692501.635456</v>
      </c>
      <c r="K21" s="0" t="n">
        <f aca="false">K12+K13+K15+K16-K19+K20</f>
        <v>0</v>
      </c>
      <c r="L21" s="0" t="n">
        <f aca="false">L12+L13+L15+L16-L19+L20</f>
        <v>0</v>
      </c>
      <c r="M21" s="0" t="n">
        <f aca="false">SUM(C21:L21)</f>
        <v>319617131.629956</v>
      </c>
    </row>
    <row r="22" customFormat="false" ht="15" hidden="false" customHeight="false" outlineLevel="0" collapsed="false">
      <c r="A22" s="0" t="s">
        <v>34</v>
      </c>
      <c r="C22" s="0" t="n">
        <f aca="false">SUM($C21:C21)</f>
        <v>-154000000</v>
      </c>
      <c r="D22" s="0" t="n">
        <f aca="false">SUM($C21:D21)</f>
        <v>-318200000</v>
      </c>
      <c r="E22" s="0" t="n">
        <f aca="false">SUM($C21:E21)</f>
        <v>-308000000</v>
      </c>
      <c r="F22" s="0" t="n">
        <f aca="false">SUM($C21:F21)</f>
        <v>-283749500</v>
      </c>
      <c r="G22" s="0" t="n">
        <f aca="false">SUM($C21:G21)</f>
        <v>-252748895</v>
      </c>
      <c r="H22" s="0" t="n">
        <f aca="false">SUM($C21:H21)</f>
        <v>-220206271.85</v>
      </c>
      <c r="I22" s="0" t="n">
        <f aca="false">SUM($C21:I21)</f>
        <v>-186075370.0055</v>
      </c>
      <c r="J22" s="0" t="n">
        <f aca="false">SUM($C21:J21)</f>
        <v>319617131.629956</v>
      </c>
      <c r="K22" s="0" t="n">
        <f aca="false">SUM($C21:K21)</f>
        <v>319617131.629956</v>
      </c>
      <c r="L22" s="0" t="n">
        <f aca="false">SUM($C21:L21)</f>
        <v>319617131.629956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35</v>
      </c>
    </row>
    <row r="2" customFormat="false" ht="15" hidden="false" customHeight="false" outlineLevel="0" collapsed="false">
      <c r="A2" s="0" t="s">
        <v>36</v>
      </c>
      <c r="B2" s="1" t="n">
        <f aca="false">IRR('Cash Flow'!C12:L12)</f>
        <v>0.0948469720166591</v>
      </c>
    </row>
    <row r="3" customFormat="false" ht="15" hidden="false" customHeight="false" outlineLevel="0" collapsed="false">
      <c r="A3" s="0" t="s">
        <v>37</v>
      </c>
      <c r="B3" s="1" t="n">
        <f aca="false">IFERROR(IRR('Cash Flow'!C21:L21),0)</f>
        <v>0.125719227457168</v>
      </c>
    </row>
    <row r="4" customFormat="false" ht="15" hidden="false" customHeight="false" outlineLevel="0" collapsed="false">
      <c r="A4" s="0" t="s">
        <v>38</v>
      </c>
      <c r="B4" s="0" t="n">
        <f aca="false">SUMIF('Cash Flow'!C21:L21,"&gt;0")/-SUMIF('Cash Flow'!C21:L21,"&lt;0")</f>
        <v>2.00445358777485</v>
      </c>
    </row>
    <row r="5" customFormat="false" ht="15" hidden="false" customHeight="false" outlineLevel="0" collapsed="false">
      <c r="A5" s="0" t="s">
        <v>39</v>
      </c>
      <c r="B5" s="0" t="n">
        <f aca="false">SUM('Cash Flow'!C21:L21)</f>
        <v>319617131.629956</v>
      </c>
    </row>
    <row r="6" customFormat="false" ht="15" hidden="false" customHeight="false" outlineLevel="0" collapsed="false">
      <c r="A6" s="0" t="s">
        <v>40</v>
      </c>
      <c r="B6" s="0" t="n">
        <f aca="false">MAX('Cash Flow'!C17:L17)</f>
        <v>340000000</v>
      </c>
    </row>
    <row r="7" customFormat="false" ht="15" hidden="false" customHeight="false" outlineLevel="0" collapsed="false">
      <c r="A7" s="0" t="s">
        <v>41</v>
      </c>
      <c r="B7" s="0" t="n">
        <f aca="false">MIN('Cash Flow'!C18:L18)</f>
        <v>1.5</v>
      </c>
    </row>
    <row r="8" customFormat="false" ht="15" hidden="false" customHeight="false" outlineLevel="0" collapsed="false">
      <c r="A8" s="0" t="s">
        <v>42</v>
      </c>
      <c r="B8" s="0" t="n">
        <f aca="false">-'Cash Flow'!M6</f>
        <v>648000000</v>
      </c>
    </row>
    <row r="9" customFormat="false" ht="15" hidden="false" customHeight="false" outlineLevel="0" collapsed="false">
      <c r="A9" s="0" t="s">
        <v>43</v>
      </c>
      <c r="B9" s="1" t="n">
        <f aca="false">B5/B8</f>
        <v>0.493236314243759</v>
      </c>
    </row>
    <row r="10" customFormat="false" ht="15" hidden="false" customHeight="false" outlineLevel="0" collapsed="false">
      <c r="A10" s="0" t="s">
        <v>44</v>
      </c>
      <c r="B10" s="0" t="n">
        <f aca="false">'Cash Flow'!M19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2026-10-22T15:09:53Z</dcterms:created>
  <dc:creator>openpyxl</dc:creator>
  <dc:description/>
  <dc:language>en-US</dc:language>
  <cp:lastModifiedBy/>
  <dcterms:modified xsi:type="dcterms:W3CDTF">2026-10-22T15:09:53Z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