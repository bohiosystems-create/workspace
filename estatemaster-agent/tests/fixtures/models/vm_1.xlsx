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in" sheetId="1" state="visible" r:id="rId1"/>
    <sheet name="Thousands" sheetId="2" state="visible" r:id="rId2"/>
    <sheet name="SAR000" sheetId="3" state="visible" r:id="rId3"/>
    <sheet name="InThousands" sheetId="4" state="visible" r:id="rId4"/>
    <sheet name="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RIVERSIDE GARDENS · residential scheme</t>
        </is>
      </c>
    </row>
    <row r="3">
      <c r="A3" t="inlineStr">
        <is>
          <t>Management fee (on commitments)</t>
        </is>
      </c>
      <c r="B3" s="1" t="n">
        <v>0.015</v>
      </c>
    </row>
    <row r="4">
      <c r="A4" t="inlineStr">
        <is>
          <t>Parking spaces</t>
        </is>
      </c>
      <c r="B4" t="n">
        <v>410</v>
      </c>
    </row>
    <row r="5">
      <c r="A5" t="inlineStr">
        <is>
          <t>Equity commitment (USD mn)</t>
        </is>
      </c>
      <c r="B5" s="2" t="n">
        <v>210</v>
      </c>
    </row>
    <row r="6">
      <c r="A6" t="inlineStr">
        <is>
          <t>Construction cost per sqm</t>
        </is>
      </c>
      <c r="B6" t="n">
        <v>7500</v>
      </c>
    </row>
    <row r="7">
      <c r="A7" t="inlineStr">
        <is>
          <t>2-bed · Rent (a Month)</t>
        </is>
      </c>
      <c r="B7" t="n">
        <v>8600</v>
      </c>
    </row>
    <row r="8">
      <c r="A8" t="inlineStr">
        <is>
          <t>Residential NSA (sqm)</t>
        </is>
      </c>
      <c r="B8" t="n">
        <v>30000</v>
      </c>
    </row>
    <row r="9">
      <c r="A9" t="inlineStr">
        <is>
          <t>Exit EBITDA multiple</t>
        </is>
      </c>
      <c r="B9" t="n">
        <v>13.5</v>
      </c>
    </row>
    <row r="10">
      <c r="A10" t="inlineStr">
        <is>
          <t>Sales price (£/sqm)</t>
        </is>
      </c>
      <c r="B10" t="n">
        <v>8500</v>
      </c>
    </row>
    <row r="11">
      <c r="A11" t="inlineStr">
        <is>
          <t>Investment period (years)</t>
        </is>
      </c>
      <c r="B11" t="n">
        <v>4</v>
      </c>
    </row>
    <row r="12">
      <c r="A12" t="inlineStr">
        <is>
          <t>Marketing budget</t>
        </is>
      </c>
      <c r="B12" s="2" t="n">
        <v>1200000</v>
      </c>
    </row>
    <row r="13">
      <c r="A13" t="inlineStr">
        <is>
          <t>Total commitments</t>
        </is>
      </c>
      <c r="B13" s="2" t="n">
        <v>150000000</v>
      </c>
    </row>
    <row r="14">
      <c r="A14" t="inlineStr">
        <is>
          <t>Preferred return</t>
        </is>
      </c>
      <c r="B14" s="1" t="n">
        <v>0.08</v>
      </c>
    </row>
    <row r="16">
      <c r="A16" t="inlineStr">
        <is>
          <t>Item</t>
        </is>
      </c>
      <c r="B16" t="inlineStr">
        <is>
          <t>Amount (SAR '000)</t>
        </is>
      </c>
      <c r="C16" t="inlineStr">
        <is>
          <t>Area (sqm)</t>
        </is>
      </c>
    </row>
    <row r="17">
      <c r="A17" t="inlineStr">
        <is>
          <t>Retail podium</t>
        </is>
      </c>
      <c r="B17" t="n">
        <v>85000</v>
      </c>
      <c r="C17" t="n">
        <v>12000</v>
      </c>
    </row>
    <row r="18">
      <c r="A18" t="inlineStr">
        <is>
          <t>Office tower</t>
        </is>
      </c>
      <c r="B18" t="n">
        <v>240000</v>
      </c>
      <c r="C18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 forma ($000s)</t>
        </is>
      </c>
    </row>
    <row r="3">
      <c r="A3" t="inlineStr">
        <is>
          <t>Sales price (£/sqm)</t>
        </is>
      </c>
      <c r="B3" t="n">
        <v>8500</v>
      </c>
    </row>
    <row r="4">
      <c r="A4" t="inlineStr">
        <is>
          <t>Build cost (£/sqm GIA)</t>
        </is>
      </c>
      <c r="B4" t="n">
        <v>2800</v>
      </c>
    </row>
    <row r="5">
      <c r="A5" t="inlineStr">
        <is>
          <t>Site area (sqm)</t>
        </is>
      </c>
      <c r="B5" t="n">
        <v>6500</v>
      </c>
    </row>
    <row r="6">
      <c r="A6" t="inlineStr">
        <is>
          <t>Exit EBITDA multiple</t>
        </is>
      </c>
      <c r="B6" t="n">
        <v>13.5</v>
      </c>
    </row>
    <row r="7">
      <c r="A7" t="inlineStr">
        <is>
          <t>Parking spaces</t>
        </is>
      </c>
      <c r="B7" t="n">
        <v>410</v>
      </c>
    </row>
    <row r="8">
      <c r="A8" t="inlineStr">
        <is>
          <t>Senior debt facility (SAR '000)</t>
        </is>
      </c>
      <c r="B8" s="2" t="n">
        <v>250</v>
      </c>
    </row>
    <row r="9">
      <c r="A9" t="inlineStr">
        <is>
          <t>Soft costs</t>
        </is>
      </c>
      <c r="B9" s="2" t="n">
        <v>9500000</v>
      </c>
    </row>
    <row r="10">
      <c r="A10" t="inlineStr">
        <is>
          <t>Management fee (on commitments)</t>
        </is>
      </c>
      <c r="B10" s="1" t="n">
        <v>0.015</v>
      </c>
    </row>
    <row r="11">
      <c r="A11" t="inlineStr">
        <is>
          <t>Total commitments</t>
        </is>
      </c>
      <c r="B11" s="2" t="n">
        <v>150000000</v>
      </c>
    </row>
    <row r="12">
      <c r="A12" t="inlineStr">
        <is>
          <t>Exit yield</t>
        </is>
      </c>
      <c r="B12" s="1" t="n">
        <v>0.075</v>
      </c>
    </row>
    <row r="13">
      <c r="A13" t="inlineStr">
        <is>
          <t>Hold (months)</t>
        </is>
      </c>
      <c r="B13" t="n">
        <v>30</v>
      </c>
    </row>
    <row r="14">
      <c r="A14" t="inlineStr">
        <is>
          <t>Construction cost per key</t>
        </is>
      </c>
      <c r="B14" t="n">
        <v>1150000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 BAHR – INPUTS (SAR '000)</t>
        </is>
      </c>
    </row>
    <row r="3">
      <c r="A3" t="inlineStr">
        <is>
          <t>Interest rate</t>
        </is>
      </c>
      <c r="B3" s="1" t="n">
        <v>0.07000000000000001</v>
      </c>
    </row>
    <row r="4">
      <c r="A4" t="inlineStr">
        <is>
          <t>2-bed · Rent (a Month)</t>
        </is>
      </c>
      <c r="B4" t="n">
        <v>8600</v>
      </c>
    </row>
    <row r="5">
      <c r="A5" t="inlineStr">
        <is>
          <t>Investment period (years)</t>
        </is>
      </c>
      <c r="B5" t="n">
        <v>4</v>
      </c>
    </row>
    <row r="6">
      <c r="A6" t="inlineStr">
        <is>
          <t>GP catch-up</t>
        </is>
      </c>
      <c r="B6" s="1" t="n">
        <v>1</v>
      </c>
    </row>
    <row r="7">
      <c r="A7" t="inlineStr">
        <is>
          <t>Studio</t>
        </is>
      </c>
      <c r="B7" t="n">
        <v>60</v>
      </c>
    </row>
    <row r="8">
      <c r="A8" t="inlineStr">
        <is>
          <t>Construction cost</t>
        </is>
      </c>
      <c r="B8" s="2" t="n">
        <v>200000000</v>
      </c>
    </row>
    <row r="9">
      <c r="A9" t="inlineStr">
        <is>
          <t>Sale price ($/sf)</t>
        </is>
      </c>
      <c r="B9" t="n">
        <v>680</v>
      </c>
    </row>
    <row r="10">
      <c r="A10" t="inlineStr">
        <is>
          <t>Retail rent per sqm pa</t>
        </is>
      </c>
      <c r="B10" t="n">
        <v>1200</v>
      </c>
    </row>
    <row r="11">
      <c r="A11" t="inlineStr">
        <is>
          <t>GFA (sqm)</t>
        </is>
      </c>
      <c r="B11" t="n">
        <v>50000</v>
      </c>
    </row>
    <row r="12">
      <c r="A12" t="inlineStr">
        <is>
          <t>Minimum DSCR covenant</t>
        </is>
      </c>
      <c r="B12" t="n">
        <v>1.25</v>
      </c>
    </row>
    <row r="13">
      <c r="A13" t="inlineStr">
        <is>
          <t>Land acquisition ($000s)</t>
        </is>
      </c>
      <c r="B13" s="2" t="n">
        <v>250</v>
      </c>
    </row>
    <row r="14">
      <c r="A14" t="inlineStr">
        <is>
          <t>Contingency amount</t>
        </is>
      </c>
      <c r="B14" s="2" t="n">
        <v>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Assumptions, all amounts in thousands</t>
        </is>
      </c>
    </row>
    <row r="3">
      <c r="A3" t="inlineStr">
        <is>
          <t>Pre-opening and FF&amp;E (total)</t>
        </is>
      </c>
      <c r="B3" s="2" t="n">
        <v>48000000</v>
      </c>
    </row>
    <row r="4">
      <c r="A4" t="inlineStr">
        <is>
          <t>GP catch-up</t>
        </is>
      </c>
      <c r="B4" s="1" t="n">
        <v>1</v>
      </c>
    </row>
    <row r="5">
      <c r="A5" t="inlineStr">
        <is>
          <t>Hold (months)</t>
        </is>
      </c>
      <c r="B5" t="n">
        <v>30</v>
      </c>
    </row>
    <row r="6">
      <c r="A6" t="inlineStr">
        <is>
          <t>Units</t>
        </is>
      </c>
      <c r="B6" t="n">
        <v>240</v>
      </c>
    </row>
    <row r="7">
      <c r="A7" t="inlineStr">
        <is>
          <t>Exit EBITDA multiple</t>
        </is>
      </c>
      <c r="B7" t="n">
        <v>13.5</v>
      </c>
    </row>
    <row r="8">
      <c r="A8" t="inlineStr">
        <is>
          <t>Residential sale price per sqm</t>
        </is>
      </c>
      <c r="B8" t="n">
        <v>12</v>
      </c>
    </row>
    <row r="9">
      <c r="A9" t="inlineStr">
        <is>
          <t>Senior debt facility (SAR '000)</t>
        </is>
      </c>
      <c r="B9" s="2" t="n">
        <v>250</v>
      </c>
    </row>
    <row r="10">
      <c r="A10" t="inlineStr">
        <is>
          <t>إيرادات التأجير السنوية</t>
        </is>
      </c>
      <c r="B10" s="2" t="n">
        <v>18000000</v>
      </c>
    </row>
    <row r="11">
      <c r="A11" t="inlineStr">
        <is>
          <t>Retail rent per sqm pa</t>
        </is>
      </c>
      <c r="B11" t="n">
        <v>1200</v>
      </c>
    </row>
    <row r="12">
      <c r="A12" t="inlineStr">
        <is>
          <t>Unit price</t>
        </is>
      </c>
      <c r="B12" t="n">
        <v>2400000</v>
      </c>
    </row>
    <row r="13">
      <c r="A13" t="inlineStr">
        <is>
          <t>Preferred return</t>
        </is>
      </c>
      <c r="B13" s="1" t="n">
        <v>0.08</v>
      </c>
    </row>
    <row r="14">
      <c r="A14" t="inlineStr">
        <is>
          <t>Site area (sqm)</t>
        </is>
      </c>
      <c r="B14" t="n">
        <v>6500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Returns</t>
        </is>
      </c>
    </row>
    <row r="3">
      <c r="A3" t="inlineStr">
        <is>
          <t>Total cost (all money rows, in units)</t>
        </is>
      </c>
      <c r="B3">
        <f>Plain!B5*1000000+Plain!B12*1+Plain!B13*1+Thousands!B8*1000+Thousands!B9*1000+Thousands!B11*1000+SAR000!B8*1000+SAR000!B13*1000+SAR000!B14*1000+InThousands!B3*1000+InThousands!B9*1000+InThousands!B10*1000</f>
        <v/>
      </c>
    </row>
    <row r="4">
      <c r="A4" t="inlineStr">
        <is>
          <t>Levered IRR</t>
        </is>
      </c>
      <c r="B4" s="1">
        <f>0.1+B3*0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2026-10-24T17:50:50Z</dcterms:created>
  <dcterms:modified xsi:type="dcterms:W3CDTF">2026-10-24T17:50:50Z</dcterms:modified>
</cp:coreProperties>
</file>