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Appraisal" sheetId="1" state="visible" r:id="rId3"/>
    <sheet name="k" sheetId="2" state="hidden" r:id="rId4"/>
    <sheet name="Cash Flow" sheetId="3" state="visible" r:id="rId5"/>
    <sheet name="Return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<sst xmlns="http://schemas.openxmlformats.org/spreadsheetml/2006/main" count="28" uniqueCount="28">
  <si>
    <t xml:space="preserve">14 CLARENDON ROAD – STUDENT HMO CONVERSION (GBP)</t>
  </si>
  <si>
    <t xml:space="preserve">Purchase price (£)</t>
  </si>
  <si>
    <t xml:space="preserve">Bedrooms</t>
  </si>
  <si>
    <t xml:space="preserve">Rent per room a week (£)</t>
  </si>
  <si>
    <t xml:space="preserve">Weeks let a year</t>
  </si>
  <si>
    <t xml:space="preserve">Rent growth a year</t>
  </si>
  <si>
    <t xml:space="preserve">Bills and management (% of rent)</t>
  </si>
  <si>
    <t xml:space="preserve">Conversion cost per room (£)</t>
  </si>
  <si>
    <t xml:space="preserve">1,250</t>
  </si>
  <si>
    <t xml:space="preserve">Main works (£)</t>
  </si>
  <si>
    <t xml:space="preserve">Mortgage LTV</t>
  </si>
  <si>
    <t xml:space="preserve">Mortgage rate</t>
  </si>
  <si>
    <t xml:space="preserve">Exit yield</t>
  </si>
  <si>
    <t xml:space="preserve">Hold (years)</t>
  </si>
  <si>
    <t xml:space="preserve">Stamp duty, higher rate</t>
  </si>
  <si>
    <t xml:space="preserve">Legal and survey (£)</t>
  </si>
  <si>
    <t xml:space="preserve">Year</t>
  </si>
  <si>
    <t xml:space="preserve">Rent</t>
  </si>
  <si>
    <t xml:space="preserve">Bills and management</t>
  </si>
  <si>
    <t xml:space="preserve">Mortgage interest</t>
  </si>
  <si>
    <t xml:space="preserve">Capital costs</t>
  </si>
  <si>
    <t xml:space="preserve">Sale</t>
  </si>
  <si>
    <t xml:space="preserve">Equity cash flow</t>
  </si>
  <si>
    <t xml:space="preserve">Equity IRR</t>
  </si>
  <si>
    <t xml:space="preserve">Gross yield on cost</t>
  </si>
  <si>
    <t xml:space="preserve">Total cost (£)</t>
  </si>
  <si>
    <t xml:space="preserve">Cash on cash, year 1</t>
  </si>
  <si>
    <t xml:space="preserve">Net profit (£)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</si>
</sst>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0"/>
    <numFmt numFmtId="167" formatCode="0.0\%"/>
    <numFmt numFmtId="168" formatCode="0\%"/>
    <numFmt numFmtId="169" formatCode="0.00\%"/>
    <numFmt numFmtId="170" formatCode="0.00%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/>
      <c r="C1" s="1"/>
      <c r="D1" s="1"/>
    </row>
    <row r="3" customFormat="false" ht="15" hidden="false" customHeight="false" outlineLevel="0" collapsed="false">
      <c r="A3" s="0" t="s">
        <v>1</v>
      </c>
      <c r="B3" s="2" t="n">
        <v>465000</v>
      </c>
    </row>
    <row r="4" customFormat="false" ht="15" hidden="false" customHeight="false" outlineLevel="0" collapsed="false">
      <c r="A4" s="0" t="s">
        <v>2</v>
      </c>
      <c r="B4" s="3" t="n">
        <v>9</v>
      </c>
    </row>
    <row r="5" customFormat="false" ht="15" hidden="false" customHeight="false" outlineLevel="0" collapsed="false">
      <c r="A5" s="0" t="s">
        <v>3</v>
      </c>
      <c r="B5" s="2" t="n">
        <v>148</v>
      </c>
    </row>
    <row r="6" customFormat="false" ht="15" hidden="false" customHeight="false" outlineLevel="0" collapsed="false">
      <c r="A6" s="0" t="s">
        <v>4</v>
      </c>
      <c r="B6" s="3" t="n">
        <v>46</v>
      </c>
    </row>
    <row r="7" customFormat="false" ht="15" hidden="false" customHeight="false" outlineLevel="0" collapsed="false">
      <c r="A7" s="0" t="s">
        <v>5</v>
      </c>
      <c r="B7" s="4" t="n">
        <v>4</v>
      </c>
    </row>
    <row r="8" customFormat="false" ht="15" hidden="false" customHeight="false" outlineLevel="0" collapsed="false">
      <c r="A8" s="0" t="s">
        <v>6</v>
      </c>
      <c r="B8" s="4" t="n">
        <v>22</v>
      </c>
    </row>
    <row r="9" customFormat="false" ht="15" hidden="false" customHeight="false" outlineLevel="0" collapsed="false">
      <c r="A9" s="0" t="s">
        <v>7</v>
      </c>
      <c r="B9" s="0" t="s">
        <v>8</v>
      </c>
    </row>
    <row r="10" customFormat="false" ht="15" hidden="false" customHeight="false" outlineLevel="0" collapsed="false">
      <c r="A10" s="0" t="s">
        <v>9</v>
      </c>
      <c r="B10" s="2" t="n">
        <v>138000</v>
      </c>
    </row>
    <row r="11" customFormat="false" ht="15" hidden="false" customHeight="false" outlineLevel="0" collapsed="false">
      <c r="A11" s="0" t="s">
        <v>10</v>
      </c>
      <c r="B11" s="5" t="n">
        <v>75</v>
      </c>
    </row>
    <row r="12" customFormat="false" ht="15" hidden="false" customHeight="false" outlineLevel="0" collapsed="false">
      <c r="A12" s="0" t="s">
        <v>11</v>
      </c>
      <c r="B12" s="6" t="n">
        <v>5.4</v>
      </c>
    </row>
    <row r="13" customFormat="false" ht="15" hidden="false" customHeight="false" outlineLevel="0" collapsed="false">
      <c r="A13" s="0" t="s">
        <v>12</v>
      </c>
      <c r="B13" s="4" t="n">
        <v>6.5</v>
      </c>
    </row>
    <row r="14" customFormat="false" ht="15" hidden="false" customHeight="false" outlineLevel="0" collapsed="false">
      <c r="A14" s="0" t="s">
        <v>13</v>
      </c>
      <c r="B14" s="3" t="n">
        <v>5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14</v>
      </c>
      <c r="B1" s="0" t="n">
        <v>0.05</v>
      </c>
    </row>
    <row r="2" customFormat="false" ht="15" hidden="false" customHeight="false" outlineLevel="0" collapsed="false">
      <c r="A2" s="0" t="s">
        <v>15</v>
      </c>
      <c r="B2" s="0" t="n">
        <v>6500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3" customFormat="false" ht="15" hidden="false" customHeight="false" outlineLevel="0" collapsed="false">
      <c r="A3" s="0" t="s">
        <v>16</v>
      </c>
      <c r="B3" s="0" t="n">
        <v>0</v>
      </c>
      <c r="C3" s="0" t="n">
        <v>1</v>
      </c>
      <c r="D3" s="0" t="n">
        <v>2</v>
      </c>
      <c r="E3" s="0" t="n">
        <v>3</v>
      </c>
      <c r="F3" s="0" t="n">
        <v>4</v>
      </c>
      <c r="G3" s="0" t="n">
        <v>5</v>
      </c>
    </row>
    <row r="4" customFormat="false" ht="15" hidden="false" customHeight="false" outlineLevel="0" collapsed="false">
      <c r="A4" s="0" t="s">
        <v>17</v>
      </c>
      <c r="B4" s="0" t="n">
        <f aca="false">0</f>
        <v>0</v>
      </c>
      <c r="C4" s="0" t="n">
        <f aca="false">IF(C$3&lt;=Appraisal!$B$14,Appraisal!$B$4*Appraisal!$B$5*Appraisal!$B$6*(1+Appraisal!$B$7/100)^(C$3-1),0)</f>
        <v>61272</v>
      </c>
      <c r="D4" s="0" t="n">
        <f aca="false">IF(D$3&lt;=Appraisal!$B$14,Appraisal!$B$4*Appraisal!$B$5*Appraisal!$B$6*(1+Appraisal!$B$7/100)^(D$3-1),0)</f>
        <v>63722.88</v>
      </c>
      <c r="E4" s="0" t="n">
        <f aca="false">IF(E$3&lt;=Appraisal!$B$14,Appraisal!$B$4*Appraisal!$B$5*Appraisal!$B$6*(1+Appraisal!$B$7/100)^(E$3-1),0)</f>
        <v>66271.7952</v>
      </c>
      <c r="F4" s="0" t="n">
        <f aca="false">IF(F$3&lt;=Appraisal!$B$14,Appraisal!$B$4*Appraisal!$B$5*Appraisal!$B$6*(1+Appraisal!$B$7/100)^(F$3-1),0)</f>
        <v>68922.667008</v>
      </c>
      <c r="G4" s="0" t="n">
        <f aca="false">IF(G$3&lt;=Appraisal!$B$14,Appraisal!$B$4*Appraisal!$B$5*Appraisal!$B$6*(1+Appraisal!$B$7/100)^(G$3-1),0)</f>
        <v>71679.57368832</v>
      </c>
    </row>
    <row r="5" customFormat="false" ht="15" hidden="false" customHeight="false" outlineLevel="0" collapsed="false">
      <c r="A5" s="0" t="s">
        <v>18</v>
      </c>
      <c r="B5" s="0" t="n">
        <f aca="false">B4*Appraisal!$B$8/100</f>
        <v>0</v>
      </c>
      <c r="C5" s="0" t="n">
        <f aca="false">C4*Appraisal!$B$8/100</f>
        <v>13479.84</v>
      </c>
      <c r="D5" s="0" t="n">
        <f aca="false">D4*Appraisal!$B$8/100</f>
        <v>14019.0336</v>
      </c>
      <c r="E5" s="0" t="n">
        <f aca="false">E4*Appraisal!$B$8/100</f>
        <v>14579.794944</v>
      </c>
      <c r="F5" s="0" t="n">
        <f aca="false">F4*Appraisal!$B$8/100</f>
        <v>15162.98674176</v>
      </c>
      <c r="G5" s="0" t="n">
        <f aca="false">G4*Appraisal!$B$8/100</f>
        <v>15769.5062114304</v>
      </c>
    </row>
    <row r="6" customFormat="false" ht="15" hidden="false" customHeight="false" outlineLevel="0" collapsed="false">
      <c r="A6" s="0" t="s">
        <v>19</v>
      </c>
      <c r="B6" s="0" t="n">
        <f aca="false">0</f>
        <v>0</v>
      </c>
      <c r="C6" s="0" t="n">
        <f aca="false">IF(C$3&lt;=Appraisal!$B$14,(Appraisal!$B$3+Appraisal!$B$10+VALUE(Appraisal!$B$9)*Appraisal!$B$4)*Appraisal!$B$11/100*Appraisal!$B$12/100,0)</f>
        <v>24877.125</v>
      </c>
      <c r="D6" s="0" t="n">
        <f aca="false">IF(D$3&lt;=Appraisal!$B$14,(Appraisal!$B$3+Appraisal!$B$10+VALUE(Appraisal!$B$9)*Appraisal!$B$4)*Appraisal!$B$11/100*Appraisal!$B$12/100,0)</f>
        <v>24877.125</v>
      </c>
      <c r="E6" s="0" t="n">
        <f aca="false">IF(E$3&lt;=Appraisal!$B$14,(Appraisal!$B$3+Appraisal!$B$10+VALUE(Appraisal!$B$9)*Appraisal!$B$4)*Appraisal!$B$11/100*Appraisal!$B$12/100,0)</f>
        <v>24877.125</v>
      </c>
      <c r="F6" s="0" t="n">
        <f aca="false">IF(F$3&lt;=Appraisal!$B$14,(Appraisal!$B$3+Appraisal!$B$10+VALUE(Appraisal!$B$9)*Appraisal!$B$4)*Appraisal!$B$11/100*Appraisal!$B$12/100,0)</f>
        <v>24877.125</v>
      </c>
      <c r="G6" s="0" t="n">
        <f aca="false">IF(G$3&lt;=Appraisal!$B$14,(Appraisal!$B$3+Appraisal!$B$10+VALUE(Appraisal!$B$9)*Appraisal!$B$4)*Appraisal!$B$11/100*Appraisal!$B$12/100,0)</f>
        <v>24877.125</v>
      </c>
    </row>
    <row r="7" customFormat="false" ht="15" hidden="false" customHeight="false" outlineLevel="0" collapsed="false">
      <c r="A7" s="0" t="s">
        <v>20</v>
      </c>
      <c r="B7" s="0" t="n">
        <f aca="false">Appraisal!$B$3*(1+k!$B$1)+k!$B$2+Appraisal!$B$10+VALUE(Appraisal!$B$9)*Appraisal!$B$4</f>
        <v>644000</v>
      </c>
      <c r="C7" s="0" t="n">
        <f aca="false">0</f>
        <v>0</v>
      </c>
      <c r="D7" s="0" t="n">
        <f aca="false">0</f>
        <v>0</v>
      </c>
      <c r="E7" s="0" t="n">
        <f aca="false">0</f>
        <v>0</v>
      </c>
      <c r="F7" s="0" t="n">
        <f aca="false">0</f>
        <v>0</v>
      </c>
      <c r="G7" s="0" t="n">
        <f aca="false">0</f>
        <v>0</v>
      </c>
    </row>
    <row r="8" customFormat="false" ht="15" hidden="false" customHeight="false" outlineLevel="0" collapsed="false">
      <c r="A8" s="0" t="s">
        <v>21</v>
      </c>
      <c r="B8" s="0" t="n">
        <f aca="false">IF(B$3=Appraisal!$B$14,(B4-B5)*(1+Appraisal!$B$7/100)/(Appraisal!$B$13/100)-(Appraisal!$B$3+Appraisal!$B$10+VALUE(Appraisal!$B$9)*Appraisal!$B$4)*Appraisal!$B$11/100,0)</f>
        <v>0</v>
      </c>
      <c r="C8" s="0" t="n">
        <f aca="false">IF(C$3=Appraisal!$B$14,(C4-C5)*(1+Appraisal!$B$7/100)/(Appraisal!$B$13/100)-(Appraisal!$B$3+Appraisal!$B$10+VALUE(Appraisal!$B$9)*Appraisal!$B$4)*Appraisal!$B$11/100,0)</f>
        <v>0</v>
      </c>
      <c r="D8" s="0" t="n">
        <f aca="false">IF(D$3=Appraisal!$B$14,(D4-D5)*(1+Appraisal!$B$7/100)/(Appraisal!$B$13/100)-(Appraisal!$B$3+Appraisal!$B$10+VALUE(Appraisal!$B$9)*Appraisal!$B$4)*Appraisal!$B$11/100,0)</f>
        <v>0</v>
      </c>
      <c r="E8" s="0" t="n">
        <f aca="false">IF(E$3=Appraisal!$B$14,(E4-E5)*(1+Appraisal!$B$7/100)/(Appraisal!$B$13/100)-(Appraisal!$B$3+Appraisal!$B$10+VALUE(Appraisal!$B$9)*Appraisal!$B$4)*Appraisal!$B$11/100,0)</f>
        <v>0</v>
      </c>
      <c r="F8" s="0" t="n">
        <f aca="false">IF(F$3=Appraisal!$B$14,(F4-F5)*(1+Appraisal!$B$7/100)/(Appraisal!$B$13/100)-(Appraisal!$B$3+Appraisal!$B$10+VALUE(Appraisal!$B$9)*Appraisal!$B$4)*Appraisal!$B$11/100,0)</f>
        <v>0</v>
      </c>
      <c r="G8" s="0" t="n">
        <f aca="false">IF(G$3=Appraisal!$B$14,(G4-G5)*(1+Appraisal!$B$7/100)/(Appraisal!$B$13/100)-(Appraisal!$B$3+Appraisal!$B$10+VALUE(Appraisal!$B$9)*Appraisal!$B$4)*Appraisal!$B$11/100,0)</f>
        <v>433873.579630234</v>
      </c>
    </row>
    <row r="9" customFormat="false" ht="15" hidden="false" customHeight="false" outlineLevel="0" collapsed="false">
      <c r="A9" s="0" t="s">
        <v>22</v>
      </c>
      <c r="B9" s="0" t="n">
        <f aca="false">-B7*(1-Appraisal!$B$11/100)</f>
        <v>-161000</v>
      </c>
      <c r="C9" s="0" t="n">
        <f aca="false">C4-C5-C6+C8</f>
        <v>22915.035</v>
      </c>
      <c r="D9" s="0" t="n">
        <f aca="false">D4-D5-D6+D8</f>
        <v>24826.7214</v>
      </c>
      <c r="E9" s="0" t="n">
        <f aca="false">E4-E5-E6+E8</f>
        <v>26814.875256</v>
      </c>
      <c r="F9" s="0" t="n">
        <f aca="false">F4-F5-F6+F8</f>
        <v>28882.55526624</v>
      </c>
      <c r="G9" s="0" t="n">
        <f aca="false">G4-G5-G6+G8</f>
        <v>464906.522107123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3" customFormat="false" ht="15" hidden="false" customHeight="false" outlineLevel="0" collapsed="false">
      <c r="A3" s="0" t="s">
        <v>23</v>
      </c>
      <c r="B3" s="7" t="n">
        <f aca="false">IRR('Cash Flow'!$B$9:$G$9)</f>
        <v>0.335192925019381</v>
      </c>
    </row>
    <row r="4" customFormat="false" ht="15" hidden="false" customHeight="false" outlineLevel="0" collapsed="false">
      <c r="A4" s="0" t="s">
        <v>24</v>
      </c>
      <c r="B4" s="7" t="n">
        <f aca="false">'Cash Flow'!C4/'Cash Flow'!B7</f>
        <v>0.0951428571428571</v>
      </c>
    </row>
    <row r="5" customFormat="false" ht="15" hidden="false" customHeight="false" outlineLevel="0" collapsed="false">
      <c r="A5" s="0" t="s">
        <v>25</v>
      </c>
      <c r="B5" s="2" t="n">
        <f aca="false">'Cash Flow'!B7</f>
        <v>644000</v>
      </c>
    </row>
    <row r="6" customFormat="false" ht="15" hidden="false" customHeight="false" outlineLevel="0" collapsed="false">
      <c r="A6" s="0" t="s">
        <v>26</v>
      </c>
      <c r="B6" s="7" t="n">
        <f aca="false">('Cash Flow'!C4-'Cash Flow'!C5-'Cash Flow'!C6)/-'Cash Flow'!B9</f>
        <v>0.142329409937888</v>
      </c>
    </row>
    <row r="7" customFormat="false" ht="15" hidden="false" customHeight="false" outlineLevel="0" collapsed="false">
      <c r="A7" s="0" t="s">
        <v>27</v>
      </c>
      <c r="B7" s="2" t="n">
        <f aca="false">SUM('Cash Flow'!$B$9:$G$9)</f>
        <v>407345.709029363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2026-10-17T22:07:25Z</dcterms:created>
  <dc:creator>openpyxl</dc:creator>
  <dc:description/>
  <dc:language>en-US</dc:language>
  <cp:lastModifiedBy/>
  <dcterms:modified xsi:type="dcterms:W3CDTF">2026-10-17T22:07:25Z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