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und" sheetId="1" state="visible" r:id="rId3"/>
    <sheet name="Deal A Logistics" sheetId="2" state="visible" r:id="rId4"/>
    <sheet name="Deal B Resi Dev" sheetId="3" state="visible" r:id="rId5"/>
    <sheet name="Deal C Office" sheetId="4" state="visible" r:id="rId6"/>
    <sheet name="Deal D Hotel" sheetId="5" state="visible" r:id="rId7"/>
    <sheet name="Cash Flow" sheetId="6" state="visible" r:id="rId8"/>
    <sheet name="Returns" sheetId="7" state="visible" r:id="rId9"/>
  </sheets>
  <definedNames>
    <definedName function="false" hidden="false" name="Fund_Case" vbProcedure="false">Fund!$B$3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<sst xmlns="http://schemas.openxmlformats.org/spreadsheetml/2006/main" count="139" uniqueCount="95">
  <si>
    <t xml:space="preserve">ATLAS OPPORTUNITY FUND III – FUND MODEL WITH FOUR DEALS (USD)</t>
  </si>
  <si>
    <t xml:space="preserve">Case (1 Base, 2 Downside, 3 Upside)</t>
  </si>
  <si>
    <t xml:space="preserve">Commitments ($)</t>
  </si>
  <si>
    <t xml:space="preserve">First close</t>
  </si>
  <si>
    <t xml:space="preserve">Management fee on commitments (first 3 years)</t>
  </si>
  <si>
    <t xml:space="preserve">Management fee on invested capital (after)</t>
  </si>
  <si>
    <t xml:space="preserve">Fund facility (% of a call, bridged two quarters)</t>
  </si>
  <si>
    <t xml:space="preserve">Fund facility rate</t>
  </si>
  <si>
    <t xml:space="preserve">Preferred return</t>
  </si>
  <si>
    <t xml:space="preserve">GP catch-up</t>
  </si>
  <si>
    <t xml:space="preserve">Carried interest</t>
  </si>
  <si>
    <t xml:space="preserve">Second hurdle IRR</t>
  </si>
  <si>
    <t xml:space="preserve">Carry above the second hurdle</t>
  </si>
  <si>
    <t xml:space="preserve">DEAL A LOGISTICS</t>
  </si>
  <si>
    <t xml:space="preserve">Equity ($)</t>
  </si>
  <si>
    <t xml:space="preserve">NOI year 1 ($)</t>
  </si>
  <si>
    <t xml:space="preserve">NOI growth</t>
  </si>
  <si>
    <t xml:space="preserve">Loan to value</t>
  </si>
  <si>
    <t xml:space="preserve">Interest rate</t>
  </si>
  <si>
    <t xml:space="preserve">Acquisition quarter</t>
  </si>
  <si>
    <t xml:space="preserve">Hold (quarters)</t>
  </si>
  <si>
    <t xml:space="preserve">Exit cap · Base</t>
  </si>
  <si>
    <t xml:space="preserve">Exit cap · Downside</t>
  </si>
  <si>
    <t xml:space="preserve">Exit cap · Upside</t>
  </si>
  <si>
    <t xml:space="preserve">Exit cap (live case)</t>
  </si>
  <si>
    <t xml:space="preserve">Quarter</t>
  </si>
  <si>
    <t xml:space="preserve">NOI</t>
  </si>
  <si>
    <t xml:space="preserve">Interest</t>
  </si>
  <si>
    <t xml:space="preserve">Purchase</t>
  </si>
  <si>
    <t xml:space="preserve">Sale</t>
  </si>
  <si>
    <t xml:space="preserve">Equity cash flow</t>
  </si>
  <si>
    <t xml:space="preserve">Deal IRR</t>
  </si>
  <si>
    <t xml:space="preserve">Deal equity multiple</t>
  </si>
  <si>
    <t xml:space="preserve">DEAL B RESI DEV</t>
  </si>
  <si>
    <t xml:space="preserve">Development cost ex interest ($)</t>
  </si>
  <si>
    <t xml:space="preserve">Sales revenue ($)</t>
  </si>
  <si>
    <t xml:space="preserve">Loan to cost (ex interest)</t>
  </si>
  <si>
    <t xml:space="preserve">Loan rate</t>
  </si>
  <si>
    <t xml:space="preserve">Start quarter</t>
  </si>
  <si>
    <t xml:space="preserve">Build (quarters)</t>
  </si>
  <si>
    <t xml:space="preserve">Sales period (quarters)</t>
  </si>
  <si>
    <t xml:space="preserve">Cost overrun</t>
  </si>
  <si>
    <t xml:space="preserve">Build cost</t>
  </si>
  <si>
    <t xml:space="preserve">Interest capitalised</t>
  </si>
  <si>
    <t xml:space="preserve">Total cost</t>
  </si>
  <si>
    <t xml:space="preserve">Equity drawn</t>
  </si>
  <si>
    <t xml:space="preserve">Cumulative equity</t>
  </si>
  <si>
    <t xml:space="preserve">Loan drawn</t>
  </si>
  <si>
    <t xml:space="preserve">Revenue</t>
  </si>
  <si>
    <t xml:space="preserve">Repayment</t>
  </si>
  <si>
    <t xml:space="preserve">Loan balance</t>
  </si>
  <si>
    <t xml:space="preserve">DEAL C OFFICE</t>
  </si>
  <si>
    <t xml:space="preserve">DEAL D HOTEL</t>
  </si>
  <si>
    <t xml:space="preserve">Date</t>
  </si>
  <si>
    <t xml:space="preserve">Deal cash flow (equity)</t>
  </si>
  <si>
    <t xml:space="preserve">Deal contributions</t>
  </si>
  <si>
    <t xml:space="preserve">Deal distributions</t>
  </si>
  <si>
    <t xml:space="preserve">Invested capital</t>
  </si>
  <si>
    <t xml:space="preserve">Management fee</t>
  </si>
  <si>
    <t xml:space="preserve">Facility drawn</t>
  </si>
  <si>
    <t xml:space="preserve">Facility repaid</t>
  </si>
  <si>
    <t xml:space="preserve">Facility interest</t>
  </si>
  <si>
    <t xml:space="preserve">Facility balance</t>
  </si>
  <si>
    <t xml:space="preserve">Capital called</t>
  </si>
  <si>
    <t xml:space="preserve">LP contributions</t>
  </si>
  <si>
    <t xml:space="preserve">Distributable</t>
  </si>
  <si>
    <t xml:space="preserve">ROC account</t>
  </si>
  <si>
    <t xml:space="preserve">Return of capital</t>
  </si>
  <si>
    <t xml:space="preserve">Pref account</t>
  </si>
  <si>
    <t xml:space="preserve">Pref paid</t>
  </si>
  <si>
    <t xml:space="preserve">Catch-up account</t>
  </si>
  <si>
    <t xml:space="preserve">Catch-up to GP</t>
  </si>
  <si>
    <t xml:space="preserve">Tier 2 account (15%)</t>
  </si>
  <si>
    <t xml:space="preserve">Tier 2 split LP</t>
  </si>
  <si>
    <t xml:space="preserve">Tier 2 split GP</t>
  </si>
  <si>
    <t xml:space="preserve">Above tier 2 LP</t>
  </si>
  <si>
    <t xml:space="preserve">Above tier 2 GP</t>
  </si>
  <si>
    <t xml:space="preserve">LP distributions</t>
  </si>
  <si>
    <t xml:space="preserve">GP carry</t>
  </si>
  <si>
    <t xml:space="preserve">LP net cash flow</t>
  </si>
  <si>
    <t xml:space="preserve">Cumulative LP distributions</t>
  </si>
  <si>
    <t xml:space="preserve">DPI</t>
  </si>
  <si>
    <t xml:space="preserve">Gross IRR (deals, XIRR)</t>
  </si>
  <si>
    <t xml:space="preserve">LP net IRR (XIRR)</t>
  </si>
  <si>
    <t xml:space="preserve">LP TVPI</t>
  </si>
  <si>
    <t xml:space="preserve">DPI at year 4</t>
  </si>
  <si>
    <t xml:space="preserve">GP carried interest ($)</t>
  </si>
  <si>
    <t xml:space="preserve">Management fees ($)</t>
  </si>
  <si>
    <t xml:space="preserve">Facility interest ($)</t>
  </si>
  <si>
    <t xml:space="preserve">Total called ($)</t>
  </si>
  <si>
    <t xml:space="preserve">Peak facility ($)</t>
  </si>
  <si>
    <t xml:space="preserve">Deal A IRR</t>
  </si>
  <si>
    <t xml:space="preserve">Deal B IRR</t>
  </si>
  <si>
    <t xml:space="preserve">Deal C IRR</t>
  </si>
  <si>
    <t xml:space="preserve">Deal D IRR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</si>
</sst>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"/>
    <numFmt numFmtId="167" formatCode="dd\-mmm\-yyyy"/>
    <numFmt numFmtId="168" formatCode="0.00%"/>
    <numFmt numFmtId="169" formatCode="0.00\x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1</v>
      </c>
    </row>
    <row r="4" customFormat="false" ht="15" hidden="false" customHeight="false" outlineLevel="0" collapsed="false">
      <c r="A4" s="0" t="s">
        <v>2</v>
      </c>
      <c r="B4" s="2" t="n">
        <v>400000000</v>
      </c>
    </row>
    <row r="5" customFormat="false" ht="15" hidden="false" customHeight="false" outlineLevel="0" collapsed="false">
      <c r="A5" s="0" t="s">
        <v>3</v>
      </c>
      <c r="B5" s="3" t="n">
        <v>46112</v>
      </c>
    </row>
    <row r="6" customFormat="false" ht="15" hidden="false" customHeight="false" outlineLevel="0" collapsed="false">
      <c r="A6" s="0" t="s">
        <v>4</v>
      </c>
      <c r="B6" s="4" t="n">
        <v>0.0175</v>
      </c>
    </row>
    <row r="7" customFormat="false" ht="15" hidden="false" customHeight="false" outlineLevel="0" collapsed="false">
      <c r="A7" s="0" t="s">
        <v>5</v>
      </c>
      <c r="B7" s="4" t="n">
        <v>0.0125</v>
      </c>
    </row>
    <row r="8" customFormat="false" ht="15" hidden="false" customHeight="false" outlineLevel="0" collapsed="false">
      <c r="A8" s="0" t="s">
        <v>6</v>
      </c>
      <c r="B8" s="4" t="n">
        <v>1</v>
      </c>
    </row>
    <row r="9" customFormat="false" ht="15" hidden="false" customHeight="false" outlineLevel="0" collapsed="false">
      <c r="A9" s="0" t="s">
        <v>7</v>
      </c>
      <c r="B9" s="4" t="n">
        <v>0.065</v>
      </c>
    </row>
    <row r="10" customFormat="false" ht="15" hidden="false" customHeight="false" outlineLevel="0" collapsed="false">
      <c r="A10" s="0" t="s">
        <v>8</v>
      </c>
      <c r="B10" s="4" t="n">
        <v>0.08</v>
      </c>
    </row>
    <row r="11" customFormat="false" ht="15" hidden="false" customHeight="false" outlineLevel="0" collapsed="false">
      <c r="A11" s="0" t="s">
        <v>9</v>
      </c>
      <c r="B11" s="4" t="n">
        <v>1</v>
      </c>
    </row>
    <row r="12" customFormat="false" ht="15" hidden="false" customHeight="false" outlineLevel="0" collapsed="false">
      <c r="A12" s="0" t="s">
        <v>10</v>
      </c>
      <c r="B12" s="4" t="n">
        <v>0.2</v>
      </c>
    </row>
    <row r="13" customFormat="false" ht="15" hidden="false" customHeight="false" outlineLevel="0" collapsed="false">
      <c r="A13" s="0" t="s">
        <v>11</v>
      </c>
      <c r="B13" s="4" t="n">
        <v>0.15</v>
      </c>
    </row>
    <row r="14" customFormat="false" ht="15" hidden="false" customHeight="false" outlineLevel="0" collapsed="false">
      <c r="A14" s="0" t="s">
        <v>12</v>
      </c>
      <c r="B14" s="4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13</v>
      </c>
    </row>
    <row r="3" customFormat="false" ht="15" hidden="false" customHeight="false" outlineLevel="0" collapsed="false">
      <c r="A3" s="0" t="s">
        <v>14</v>
      </c>
      <c r="B3" s="2" t="n">
        <v>60000000</v>
      </c>
    </row>
    <row r="4" customFormat="false" ht="15" hidden="false" customHeight="false" outlineLevel="0" collapsed="false">
      <c r="A4" s="0" t="s">
        <v>15</v>
      </c>
      <c r="B4" s="2" t="n">
        <v>8600000</v>
      </c>
    </row>
    <row r="5" customFormat="false" ht="15" hidden="false" customHeight="false" outlineLevel="0" collapsed="false">
      <c r="A5" s="0" t="s">
        <v>16</v>
      </c>
      <c r="B5" s="4" t="n">
        <v>0.03</v>
      </c>
    </row>
    <row r="6" customFormat="false" ht="15" hidden="false" customHeight="false" outlineLevel="0" collapsed="false">
      <c r="A6" s="0" t="s">
        <v>17</v>
      </c>
      <c r="B6" s="4" t="n">
        <v>0.55</v>
      </c>
    </row>
    <row r="7" customFormat="false" ht="15" hidden="false" customHeight="false" outlineLevel="0" collapsed="false">
      <c r="A7" s="0" t="s">
        <v>18</v>
      </c>
      <c r="B7" s="4" t="n">
        <v>0.058</v>
      </c>
    </row>
    <row r="8" customFormat="false" ht="15" hidden="false" customHeight="false" outlineLevel="0" collapsed="false">
      <c r="A8" s="0" t="s">
        <v>19</v>
      </c>
      <c r="B8" s="1" t="n">
        <v>1</v>
      </c>
    </row>
    <row r="9" customFormat="false" ht="15" hidden="false" customHeight="false" outlineLevel="0" collapsed="false">
      <c r="A9" s="0" t="s">
        <v>20</v>
      </c>
      <c r="B9" s="1" t="n">
        <v>20</v>
      </c>
    </row>
    <row r="10" customFormat="false" ht="15" hidden="false" customHeight="false" outlineLevel="0" collapsed="false">
      <c r="A10" s="0" t="s">
        <v>21</v>
      </c>
      <c r="B10" s="4" t="n">
        <v>0.0575</v>
      </c>
    </row>
    <row r="11" customFormat="false" ht="15" hidden="false" customHeight="false" outlineLevel="0" collapsed="false">
      <c r="A11" s="0" t="s">
        <v>22</v>
      </c>
      <c r="B11" s="4" t="n">
        <v>0.065</v>
      </c>
    </row>
    <row r="12" customFormat="false" ht="15" hidden="false" customHeight="false" outlineLevel="0" collapsed="false">
      <c r="A12" s="0" t="s">
        <v>23</v>
      </c>
      <c r="B12" s="4" t="n">
        <v>0.0525</v>
      </c>
    </row>
    <row r="14" customFormat="false" ht="15" hidden="false" customHeight="false" outlineLevel="0" collapsed="false">
      <c r="A14" s="0" t="s">
        <v>24</v>
      </c>
      <c r="B14" s="4" t="n">
        <f aca="false">CHOOSE(Fund_Case,'Deal A Logistics'!$B$10,'Deal A Logistics'!$B$11,'Deal A Logistics'!$B$12)</f>
        <v>0.0575</v>
      </c>
    </row>
    <row r="17" customFormat="false" ht="15" hidden="false" customHeight="false" outlineLevel="0" collapsed="false">
      <c r="A17" s="0" t="s">
        <v>25</v>
      </c>
      <c r="B17" s="0" t="n">
        <v>0</v>
      </c>
      <c r="C17" s="0" t="n">
        <v>1</v>
      </c>
      <c r="D17" s="0" t="n">
        <v>2</v>
      </c>
      <c r="E17" s="0" t="n">
        <v>3</v>
      </c>
      <c r="F17" s="0" t="n">
        <v>4</v>
      </c>
      <c r="G17" s="0" t="n">
        <v>5</v>
      </c>
      <c r="H17" s="0" t="n">
        <v>6</v>
      </c>
      <c r="I17" s="0" t="n">
        <v>7</v>
      </c>
      <c r="J17" s="0" t="n">
        <v>8</v>
      </c>
      <c r="K17" s="0" t="n">
        <v>9</v>
      </c>
      <c r="L17" s="0" t="n">
        <v>10</v>
      </c>
      <c r="M17" s="0" t="n">
        <v>11</v>
      </c>
      <c r="N17" s="0" t="n">
        <v>12</v>
      </c>
      <c r="O17" s="0" t="n">
        <v>13</v>
      </c>
      <c r="P17" s="0" t="n">
        <v>14</v>
      </c>
      <c r="Q17" s="0" t="n">
        <v>15</v>
      </c>
      <c r="R17" s="0" t="n">
        <v>16</v>
      </c>
      <c r="S17" s="0" t="n">
        <v>17</v>
      </c>
      <c r="T17" s="0" t="n">
        <v>18</v>
      </c>
      <c r="U17" s="0" t="n">
        <v>19</v>
      </c>
      <c r="V17" s="0" t="n">
        <v>20</v>
      </c>
      <c r="W17" s="0" t="n">
        <v>21</v>
      </c>
      <c r="X17" s="0" t="n">
        <v>22</v>
      </c>
      <c r="Y17" s="0" t="n">
        <v>23</v>
      </c>
      <c r="Z17" s="0" t="n">
        <v>24</v>
      </c>
      <c r="AA17" s="0" t="n">
        <v>25</v>
      </c>
      <c r="AB17" s="0" t="n">
        <v>26</v>
      </c>
      <c r="AC17" s="0" t="n">
        <v>27</v>
      </c>
      <c r="AD17" s="0" t="n">
        <v>28</v>
      </c>
      <c r="AE17" s="0" t="n">
        <v>29</v>
      </c>
      <c r="AF17" s="0" t="n">
        <v>30</v>
      </c>
      <c r="AG17" s="0" t="n">
        <v>31</v>
      </c>
      <c r="AH17" s="0" t="n">
        <v>32</v>
      </c>
    </row>
    <row r="18" customFormat="false" ht="15" hidden="false" customHeight="false" outlineLevel="0" collapsed="false">
      <c r="A18" s="0" t="s">
        <v>26</v>
      </c>
      <c r="B18" s="0" t="n">
        <f aca="false">IF(AND(B$17&gt;'Deal A Logistics'!$B$8,B$17&lt;='Deal A Logistics'!$B$8+'Deal A Logistics'!$B$9),'Deal A Logistics'!$B$4/4*(1+'Deal A Logistics'!$B$5)^((B$17-'Deal A Logistics'!$B$8-1)/4),0)</f>
        <v>0</v>
      </c>
      <c r="C18" s="0" t="n">
        <f aca="false">IF(AND(C$17&gt;'Deal A Logistics'!$B$8,C$17&lt;='Deal A Logistics'!$B$8+'Deal A Logistics'!$B$9),'Deal A Logistics'!$B$4/4*(1+'Deal A Logistics'!$B$5)^((C$17-'Deal A Logistics'!$B$8-1)/4),0)</f>
        <v>0</v>
      </c>
      <c r="D18" s="0" t="n">
        <f aca="false">IF(AND(D$17&gt;'Deal A Logistics'!$B$8,D$17&lt;='Deal A Logistics'!$B$8+'Deal A Logistics'!$B$9),'Deal A Logistics'!$B$4/4*(1+'Deal A Logistics'!$B$5)^((D$17-'Deal A Logistics'!$B$8-1)/4),0)</f>
        <v>2150000</v>
      </c>
      <c r="E18" s="0" t="n">
        <f aca="false">IF(AND(E$17&gt;'Deal A Logistics'!$B$8,E$17&lt;='Deal A Logistics'!$B$8+'Deal A Logistics'!$B$9),'Deal A Logistics'!$B$4/4*(1+'Deal A Logistics'!$B$5)^((E$17-'Deal A Logistics'!$B$8-1)/4),0)</f>
        <v>2165946.70432213</v>
      </c>
      <c r="F18" s="0" t="n">
        <f aca="false">IF(AND(F$17&gt;'Deal A Logistics'!$B$8,F$17&lt;='Deal A Logistics'!$B$8+'Deal A Logistics'!$B$9),'Deal A Logistics'!$B$4/4*(1+'Deal A Logistics'!$B$5)^((F$17-'Deal A Logistics'!$B$8-1)/4),0)</f>
        <v>2182011.68649483</v>
      </c>
      <c r="G18" s="0" t="n">
        <f aca="false">IF(AND(G$17&gt;'Deal A Logistics'!$B$8,G$17&lt;='Deal A Logistics'!$B$8+'Deal A Logistics'!$B$9),'Deal A Logistics'!$B$4/4*(1+'Deal A Logistics'!$B$5)^((G$17-'Deal A Logistics'!$B$8-1)/4),0)</f>
        <v>2198195.82379341</v>
      </c>
      <c r="H18" s="0" t="n">
        <f aca="false">IF(AND(H$17&gt;'Deal A Logistics'!$B$8,H$17&lt;='Deal A Logistics'!$B$8+'Deal A Logistics'!$B$9),'Deal A Logistics'!$B$4/4*(1+'Deal A Logistics'!$B$5)^((H$17-'Deal A Logistics'!$B$8-1)/4),0)</f>
        <v>2214500</v>
      </c>
      <c r="I18" s="0" t="n">
        <f aca="false">IF(AND(I$17&gt;'Deal A Logistics'!$B$8,I$17&lt;='Deal A Logistics'!$B$8+'Deal A Logistics'!$B$9),'Deal A Logistics'!$B$4/4*(1+'Deal A Logistics'!$B$5)^((I$17-'Deal A Logistics'!$B$8-1)/4),0)</f>
        <v>2230925.10545179</v>
      </c>
      <c r="J18" s="0" t="n">
        <f aca="false">IF(AND(J$17&gt;'Deal A Logistics'!$B$8,J$17&lt;='Deal A Logistics'!$B$8+'Deal A Logistics'!$B$9),'Deal A Logistics'!$B$4/4*(1+'Deal A Logistics'!$B$5)^((J$17-'Deal A Logistics'!$B$8-1)/4),0)</f>
        <v>2247472.03708967</v>
      </c>
      <c r="K18" s="0" t="n">
        <f aca="false">IF(AND(K$17&gt;'Deal A Logistics'!$B$8,K$17&lt;='Deal A Logistics'!$B$8+'Deal A Logistics'!$B$9),'Deal A Logistics'!$B$4/4*(1+'Deal A Logistics'!$B$5)^((K$17-'Deal A Logistics'!$B$8-1)/4),0)</f>
        <v>2264141.69850721</v>
      </c>
      <c r="L18" s="0" t="n">
        <f aca="false">IF(AND(L$17&gt;'Deal A Logistics'!$B$8,L$17&lt;='Deal A Logistics'!$B$8+'Deal A Logistics'!$B$9),'Deal A Logistics'!$B$4/4*(1+'Deal A Logistics'!$B$5)^((L$17-'Deal A Logistics'!$B$8-1)/4),0)</f>
        <v>2280935</v>
      </c>
      <c r="M18" s="0" t="n">
        <f aca="false">IF(AND(M$17&gt;'Deal A Logistics'!$B$8,M$17&lt;='Deal A Logistics'!$B$8+'Deal A Logistics'!$B$9),'Deal A Logistics'!$B$4/4*(1+'Deal A Logistics'!$B$5)^((M$17-'Deal A Logistics'!$B$8-1)/4),0)</f>
        <v>2297852.85861534</v>
      </c>
      <c r="N18" s="0" t="n">
        <f aca="false">IF(AND(N$17&gt;'Deal A Logistics'!$B$8,N$17&lt;='Deal A Logistics'!$B$8+'Deal A Logistics'!$B$9),'Deal A Logistics'!$B$4/4*(1+'Deal A Logistics'!$B$5)^((N$17-'Deal A Logistics'!$B$8-1)/4),0)</f>
        <v>2314896.19820236</v>
      </c>
      <c r="O18" s="0" t="n">
        <f aca="false">IF(AND(O$17&gt;'Deal A Logistics'!$B$8,O$17&lt;='Deal A Logistics'!$B$8+'Deal A Logistics'!$B$9),'Deal A Logistics'!$B$4/4*(1+'Deal A Logistics'!$B$5)^((O$17-'Deal A Logistics'!$B$8-1)/4),0)</f>
        <v>2332065.94946243</v>
      </c>
      <c r="P18" s="0" t="n">
        <f aca="false">IF(AND(P$17&gt;'Deal A Logistics'!$B$8,P$17&lt;='Deal A Logistics'!$B$8+'Deal A Logistics'!$B$9),'Deal A Logistics'!$B$4/4*(1+'Deal A Logistics'!$B$5)^((P$17-'Deal A Logistics'!$B$8-1)/4),0)</f>
        <v>2349363.05</v>
      </c>
      <c r="Q18" s="0" t="n">
        <f aca="false">IF(AND(Q$17&gt;'Deal A Logistics'!$B$8,Q$17&lt;='Deal A Logistics'!$B$8+'Deal A Logistics'!$B$9),'Deal A Logistics'!$B$4/4*(1+'Deal A Logistics'!$B$5)^((Q$17-'Deal A Logistics'!$B$8-1)/4),0)</f>
        <v>2366788.4443738</v>
      </c>
      <c r="R18" s="0" t="n">
        <f aca="false">IF(AND(R$17&gt;'Deal A Logistics'!$B$8,R$17&lt;='Deal A Logistics'!$B$8+'Deal A Logistics'!$B$9),'Deal A Logistics'!$B$4/4*(1+'Deal A Logistics'!$B$5)^((R$17-'Deal A Logistics'!$B$8-1)/4),0)</f>
        <v>2384343.08414843</v>
      </c>
      <c r="S18" s="0" t="n">
        <f aca="false">IF(AND(S$17&gt;'Deal A Logistics'!$B$8,S$17&lt;='Deal A Logistics'!$B$8+'Deal A Logistics'!$B$9),'Deal A Logistics'!$B$4/4*(1+'Deal A Logistics'!$B$5)^((S$17-'Deal A Logistics'!$B$8-1)/4),0)</f>
        <v>2402027.9279463</v>
      </c>
      <c r="T18" s="0" t="n">
        <f aca="false">IF(AND(T$17&gt;'Deal A Logistics'!$B$8,T$17&lt;='Deal A Logistics'!$B$8+'Deal A Logistics'!$B$9),'Deal A Logistics'!$B$4/4*(1+'Deal A Logistics'!$B$5)^((T$17-'Deal A Logistics'!$B$8-1)/4),0)</f>
        <v>2419843.9415</v>
      </c>
      <c r="U18" s="0" t="n">
        <f aca="false">IF(AND(U$17&gt;'Deal A Logistics'!$B$8,U$17&lt;='Deal A Logistics'!$B$8+'Deal A Logistics'!$B$9),'Deal A Logistics'!$B$4/4*(1+'Deal A Logistics'!$B$5)^((U$17-'Deal A Logistics'!$B$8-1)/4),0)</f>
        <v>2437792.09770502</v>
      </c>
      <c r="V18" s="0" t="n">
        <f aca="false">IF(AND(V$17&gt;'Deal A Logistics'!$B$8,V$17&lt;='Deal A Logistics'!$B$8+'Deal A Logistics'!$B$9),'Deal A Logistics'!$B$4/4*(1+'Deal A Logistics'!$B$5)^((V$17-'Deal A Logistics'!$B$8-1)/4),0)</f>
        <v>2455873.37667289</v>
      </c>
      <c r="W18" s="0" t="n">
        <f aca="false">IF(AND(W$17&gt;'Deal A Logistics'!$B$8,W$17&lt;='Deal A Logistics'!$B$8+'Deal A Logistics'!$B$9),'Deal A Logistics'!$B$4/4*(1+'Deal A Logistics'!$B$5)^((W$17-'Deal A Logistics'!$B$8-1)/4),0)</f>
        <v>2474088.76578469</v>
      </c>
      <c r="X18" s="0" t="n">
        <f aca="false">IF(AND(X$17&gt;'Deal A Logistics'!$B$8,X$17&lt;='Deal A Logistics'!$B$8+'Deal A Logistics'!$B$9),'Deal A Logistics'!$B$4/4*(1+'Deal A Logistics'!$B$5)^((X$17-'Deal A Logistics'!$B$8-1)/4),0)</f>
        <v>0</v>
      </c>
      <c r="Y18" s="0" t="n">
        <f aca="false">IF(AND(Y$17&gt;'Deal A Logistics'!$B$8,Y$17&lt;='Deal A Logistics'!$B$8+'Deal A Logistics'!$B$9),'Deal A Logistics'!$B$4/4*(1+'Deal A Logistics'!$B$5)^((Y$17-'Deal A Logistics'!$B$8-1)/4),0)</f>
        <v>0</v>
      </c>
      <c r="Z18" s="0" t="n">
        <f aca="false">IF(AND(Z$17&gt;'Deal A Logistics'!$B$8,Z$17&lt;='Deal A Logistics'!$B$8+'Deal A Logistics'!$B$9),'Deal A Logistics'!$B$4/4*(1+'Deal A Logistics'!$B$5)^((Z$17-'Deal A Logistics'!$B$8-1)/4),0)</f>
        <v>0</v>
      </c>
      <c r="AA18" s="0" t="n">
        <f aca="false">IF(AND(AA$17&gt;'Deal A Logistics'!$B$8,AA$17&lt;='Deal A Logistics'!$B$8+'Deal A Logistics'!$B$9),'Deal A Logistics'!$B$4/4*(1+'Deal A Logistics'!$B$5)^((AA$17-'Deal A Logistics'!$B$8-1)/4),0)</f>
        <v>0</v>
      </c>
      <c r="AB18" s="0" t="n">
        <f aca="false">IF(AND(AB$17&gt;'Deal A Logistics'!$B$8,AB$17&lt;='Deal A Logistics'!$B$8+'Deal A Logistics'!$B$9),'Deal A Logistics'!$B$4/4*(1+'Deal A Logistics'!$B$5)^((AB$17-'Deal A Logistics'!$B$8-1)/4),0)</f>
        <v>0</v>
      </c>
      <c r="AC18" s="0" t="n">
        <f aca="false">IF(AND(AC$17&gt;'Deal A Logistics'!$B$8,AC$17&lt;='Deal A Logistics'!$B$8+'Deal A Logistics'!$B$9),'Deal A Logistics'!$B$4/4*(1+'Deal A Logistics'!$B$5)^((AC$17-'Deal A Logistics'!$B$8-1)/4),0)</f>
        <v>0</v>
      </c>
      <c r="AD18" s="0" t="n">
        <f aca="false">IF(AND(AD$17&gt;'Deal A Logistics'!$B$8,AD$17&lt;='Deal A Logistics'!$B$8+'Deal A Logistics'!$B$9),'Deal A Logistics'!$B$4/4*(1+'Deal A Logistics'!$B$5)^((AD$17-'Deal A Logistics'!$B$8-1)/4),0)</f>
        <v>0</v>
      </c>
      <c r="AE18" s="0" t="n">
        <f aca="false">IF(AND(AE$17&gt;'Deal A Logistics'!$B$8,AE$17&lt;='Deal A Logistics'!$B$8+'Deal A Logistics'!$B$9),'Deal A Logistics'!$B$4/4*(1+'Deal A Logistics'!$B$5)^((AE$17-'Deal A Logistics'!$B$8-1)/4),0)</f>
        <v>0</v>
      </c>
      <c r="AF18" s="0" t="n">
        <f aca="false">IF(AND(AF$17&gt;'Deal A Logistics'!$B$8,AF$17&lt;='Deal A Logistics'!$B$8+'Deal A Logistics'!$B$9),'Deal A Logistics'!$B$4/4*(1+'Deal A Logistics'!$B$5)^((AF$17-'Deal A Logistics'!$B$8-1)/4),0)</f>
        <v>0</v>
      </c>
      <c r="AG18" s="0" t="n">
        <f aca="false">IF(AND(AG$17&gt;'Deal A Logistics'!$B$8,AG$17&lt;='Deal A Logistics'!$B$8+'Deal A Logistics'!$B$9),'Deal A Logistics'!$B$4/4*(1+'Deal A Logistics'!$B$5)^((AG$17-'Deal A Logistics'!$B$8-1)/4),0)</f>
        <v>0</v>
      </c>
      <c r="AH18" s="0" t="n">
        <f aca="false">IF(AND(AH$17&gt;'Deal A Logistics'!$B$8,AH$17&lt;='Deal A Logistics'!$B$8+'Deal A Logistics'!$B$9),'Deal A Logistics'!$B$4/4*(1+'Deal A Logistics'!$B$5)^((AH$17-'Deal A Logistics'!$B$8-1)/4),0)</f>
        <v>0</v>
      </c>
    </row>
    <row r="19" customFormat="false" ht="15" hidden="false" customHeight="false" outlineLevel="0" collapsed="false">
      <c r="A19" s="0" t="s">
        <v>27</v>
      </c>
      <c r="B19" s="0" t="n">
        <f aca="false">IF(AND(B$17&gt;'Deal A Logistics'!$B$8,B$17&lt;='Deal A Logistics'!$B$8+'Deal A Logistics'!$B$9),('Deal A Logistics'!$B$3/(1-'Deal A Logistics'!$B$6))*'Deal A Logistics'!$B$6*'Deal A Logistics'!$B$7/4,0)</f>
        <v>0</v>
      </c>
      <c r="C19" s="0" t="n">
        <f aca="false">IF(AND(C$17&gt;'Deal A Logistics'!$B$8,C$17&lt;='Deal A Logistics'!$B$8+'Deal A Logistics'!$B$9),('Deal A Logistics'!$B$3/(1-'Deal A Logistics'!$B$6))*'Deal A Logistics'!$B$6*'Deal A Logistics'!$B$7/4,0)</f>
        <v>0</v>
      </c>
      <c r="D19" s="0" t="n">
        <f aca="false">IF(AND(D$17&gt;'Deal A Logistics'!$B$8,D$17&lt;='Deal A Logistics'!$B$8+'Deal A Logistics'!$B$9),('Deal A Logistics'!$B$3/(1-'Deal A Logistics'!$B$6))*'Deal A Logistics'!$B$6*'Deal A Logistics'!$B$7/4,0)</f>
        <v>1063333.33333333</v>
      </c>
      <c r="E19" s="0" t="n">
        <f aca="false">IF(AND(E$17&gt;'Deal A Logistics'!$B$8,E$17&lt;='Deal A Logistics'!$B$8+'Deal A Logistics'!$B$9),('Deal A Logistics'!$B$3/(1-'Deal A Logistics'!$B$6))*'Deal A Logistics'!$B$6*'Deal A Logistics'!$B$7/4,0)</f>
        <v>1063333.33333333</v>
      </c>
      <c r="F19" s="0" t="n">
        <f aca="false">IF(AND(F$17&gt;'Deal A Logistics'!$B$8,F$17&lt;='Deal A Logistics'!$B$8+'Deal A Logistics'!$B$9),('Deal A Logistics'!$B$3/(1-'Deal A Logistics'!$B$6))*'Deal A Logistics'!$B$6*'Deal A Logistics'!$B$7/4,0)</f>
        <v>1063333.33333333</v>
      </c>
      <c r="G19" s="0" t="n">
        <f aca="false">IF(AND(G$17&gt;'Deal A Logistics'!$B$8,G$17&lt;='Deal A Logistics'!$B$8+'Deal A Logistics'!$B$9),('Deal A Logistics'!$B$3/(1-'Deal A Logistics'!$B$6))*'Deal A Logistics'!$B$6*'Deal A Logistics'!$B$7/4,0)</f>
        <v>1063333.33333333</v>
      </c>
      <c r="H19" s="0" t="n">
        <f aca="false">IF(AND(H$17&gt;'Deal A Logistics'!$B$8,H$17&lt;='Deal A Logistics'!$B$8+'Deal A Logistics'!$B$9),('Deal A Logistics'!$B$3/(1-'Deal A Logistics'!$B$6))*'Deal A Logistics'!$B$6*'Deal A Logistics'!$B$7/4,0)</f>
        <v>1063333.33333333</v>
      </c>
      <c r="I19" s="0" t="n">
        <f aca="false">IF(AND(I$17&gt;'Deal A Logistics'!$B$8,I$17&lt;='Deal A Logistics'!$B$8+'Deal A Logistics'!$B$9),('Deal A Logistics'!$B$3/(1-'Deal A Logistics'!$B$6))*'Deal A Logistics'!$B$6*'Deal A Logistics'!$B$7/4,0)</f>
        <v>1063333.33333333</v>
      </c>
      <c r="J19" s="0" t="n">
        <f aca="false">IF(AND(J$17&gt;'Deal A Logistics'!$B$8,J$17&lt;='Deal A Logistics'!$B$8+'Deal A Logistics'!$B$9),('Deal A Logistics'!$B$3/(1-'Deal A Logistics'!$B$6))*'Deal A Logistics'!$B$6*'Deal A Logistics'!$B$7/4,0)</f>
        <v>1063333.33333333</v>
      </c>
      <c r="K19" s="0" t="n">
        <f aca="false">IF(AND(K$17&gt;'Deal A Logistics'!$B$8,K$17&lt;='Deal A Logistics'!$B$8+'Deal A Logistics'!$B$9),('Deal A Logistics'!$B$3/(1-'Deal A Logistics'!$B$6))*'Deal A Logistics'!$B$6*'Deal A Logistics'!$B$7/4,0)</f>
        <v>1063333.33333333</v>
      </c>
      <c r="L19" s="0" t="n">
        <f aca="false">IF(AND(L$17&gt;'Deal A Logistics'!$B$8,L$17&lt;='Deal A Logistics'!$B$8+'Deal A Logistics'!$B$9),('Deal A Logistics'!$B$3/(1-'Deal A Logistics'!$B$6))*'Deal A Logistics'!$B$6*'Deal A Logistics'!$B$7/4,0)</f>
        <v>1063333.33333333</v>
      </c>
      <c r="M19" s="0" t="n">
        <f aca="false">IF(AND(M$17&gt;'Deal A Logistics'!$B$8,M$17&lt;='Deal A Logistics'!$B$8+'Deal A Logistics'!$B$9),('Deal A Logistics'!$B$3/(1-'Deal A Logistics'!$B$6))*'Deal A Logistics'!$B$6*'Deal A Logistics'!$B$7/4,0)</f>
        <v>1063333.33333333</v>
      </c>
      <c r="N19" s="0" t="n">
        <f aca="false">IF(AND(N$17&gt;'Deal A Logistics'!$B$8,N$17&lt;='Deal A Logistics'!$B$8+'Deal A Logistics'!$B$9),('Deal A Logistics'!$B$3/(1-'Deal A Logistics'!$B$6))*'Deal A Logistics'!$B$6*'Deal A Logistics'!$B$7/4,0)</f>
        <v>1063333.33333333</v>
      </c>
      <c r="O19" s="0" t="n">
        <f aca="false">IF(AND(O$17&gt;'Deal A Logistics'!$B$8,O$17&lt;='Deal A Logistics'!$B$8+'Deal A Logistics'!$B$9),('Deal A Logistics'!$B$3/(1-'Deal A Logistics'!$B$6))*'Deal A Logistics'!$B$6*'Deal A Logistics'!$B$7/4,0)</f>
        <v>1063333.33333333</v>
      </c>
      <c r="P19" s="0" t="n">
        <f aca="false">IF(AND(P$17&gt;'Deal A Logistics'!$B$8,P$17&lt;='Deal A Logistics'!$B$8+'Deal A Logistics'!$B$9),('Deal A Logistics'!$B$3/(1-'Deal A Logistics'!$B$6))*'Deal A Logistics'!$B$6*'Deal A Logistics'!$B$7/4,0)</f>
        <v>1063333.33333333</v>
      </c>
      <c r="Q19" s="0" t="n">
        <f aca="false">IF(AND(Q$17&gt;'Deal A Logistics'!$B$8,Q$17&lt;='Deal A Logistics'!$B$8+'Deal A Logistics'!$B$9),('Deal A Logistics'!$B$3/(1-'Deal A Logistics'!$B$6))*'Deal A Logistics'!$B$6*'Deal A Logistics'!$B$7/4,0)</f>
        <v>1063333.33333333</v>
      </c>
      <c r="R19" s="0" t="n">
        <f aca="false">IF(AND(R$17&gt;'Deal A Logistics'!$B$8,R$17&lt;='Deal A Logistics'!$B$8+'Deal A Logistics'!$B$9),('Deal A Logistics'!$B$3/(1-'Deal A Logistics'!$B$6))*'Deal A Logistics'!$B$6*'Deal A Logistics'!$B$7/4,0)</f>
        <v>1063333.33333333</v>
      </c>
      <c r="S19" s="0" t="n">
        <f aca="false">IF(AND(S$17&gt;'Deal A Logistics'!$B$8,S$17&lt;='Deal A Logistics'!$B$8+'Deal A Logistics'!$B$9),('Deal A Logistics'!$B$3/(1-'Deal A Logistics'!$B$6))*'Deal A Logistics'!$B$6*'Deal A Logistics'!$B$7/4,0)</f>
        <v>1063333.33333333</v>
      </c>
      <c r="T19" s="0" t="n">
        <f aca="false">IF(AND(T$17&gt;'Deal A Logistics'!$B$8,T$17&lt;='Deal A Logistics'!$B$8+'Deal A Logistics'!$B$9),('Deal A Logistics'!$B$3/(1-'Deal A Logistics'!$B$6))*'Deal A Logistics'!$B$6*'Deal A Logistics'!$B$7/4,0)</f>
        <v>1063333.33333333</v>
      </c>
      <c r="U19" s="0" t="n">
        <f aca="false">IF(AND(U$17&gt;'Deal A Logistics'!$B$8,U$17&lt;='Deal A Logistics'!$B$8+'Deal A Logistics'!$B$9),('Deal A Logistics'!$B$3/(1-'Deal A Logistics'!$B$6))*'Deal A Logistics'!$B$6*'Deal A Logistics'!$B$7/4,0)</f>
        <v>1063333.33333333</v>
      </c>
      <c r="V19" s="0" t="n">
        <f aca="false">IF(AND(V$17&gt;'Deal A Logistics'!$B$8,V$17&lt;='Deal A Logistics'!$B$8+'Deal A Logistics'!$B$9),('Deal A Logistics'!$B$3/(1-'Deal A Logistics'!$B$6))*'Deal A Logistics'!$B$6*'Deal A Logistics'!$B$7/4,0)</f>
        <v>1063333.33333333</v>
      </c>
      <c r="W19" s="0" t="n">
        <f aca="false">IF(AND(W$17&gt;'Deal A Logistics'!$B$8,W$17&lt;='Deal A Logistics'!$B$8+'Deal A Logistics'!$B$9),('Deal A Logistics'!$B$3/(1-'Deal A Logistics'!$B$6))*'Deal A Logistics'!$B$6*'Deal A Logistics'!$B$7/4,0)</f>
        <v>1063333.33333333</v>
      </c>
      <c r="X19" s="0" t="n">
        <f aca="false">IF(AND(X$17&gt;'Deal A Logistics'!$B$8,X$17&lt;='Deal A Logistics'!$B$8+'Deal A Logistics'!$B$9),('Deal A Logistics'!$B$3/(1-'Deal A Logistics'!$B$6))*'Deal A Logistics'!$B$6*'Deal A Logistics'!$B$7/4,0)</f>
        <v>0</v>
      </c>
      <c r="Y19" s="0" t="n">
        <f aca="false">IF(AND(Y$17&gt;'Deal A Logistics'!$B$8,Y$17&lt;='Deal A Logistics'!$B$8+'Deal A Logistics'!$B$9),('Deal A Logistics'!$B$3/(1-'Deal A Logistics'!$B$6))*'Deal A Logistics'!$B$6*'Deal A Logistics'!$B$7/4,0)</f>
        <v>0</v>
      </c>
      <c r="Z19" s="0" t="n">
        <f aca="false">IF(AND(Z$17&gt;'Deal A Logistics'!$B$8,Z$17&lt;='Deal A Logistics'!$B$8+'Deal A Logistics'!$B$9),('Deal A Logistics'!$B$3/(1-'Deal A Logistics'!$B$6))*'Deal A Logistics'!$B$6*'Deal A Logistics'!$B$7/4,0)</f>
        <v>0</v>
      </c>
      <c r="AA19" s="0" t="n">
        <f aca="false">IF(AND(AA$17&gt;'Deal A Logistics'!$B$8,AA$17&lt;='Deal A Logistics'!$B$8+'Deal A Logistics'!$B$9),('Deal A Logistics'!$B$3/(1-'Deal A Logistics'!$B$6))*'Deal A Logistics'!$B$6*'Deal A Logistics'!$B$7/4,0)</f>
        <v>0</v>
      </c>
      <c r="AB19" s="0" t="n">
        <f aca="false">IF(AND(AB$17&gt;'Deal A Logistics'!$B$8,AB$17&lt;='Deal A Logistics'!$B$8+'Deal A Logistics'!$B$9),('Deal A Logistics'!$B$3/(1-'Deal A Logistics'!$B$6))*'Deal A Logistics'!$B$6*'Deal A Logistics'!$B$7/4,0)</f>
        <v>0</v>
      </c>
      <c r="AC19" s="0" t="n">
        <f aca="false">IF(AND(AC$17&gt;'Deal A Logistics'!$B$8,AC$17&lt;='Deal A Logistics'!$B$8+'Deal A Logistics'!$B$9),('Deal A Logistics'!$B$3/(1-'Deal A Logistics'!$B$6))*'Deal A Logistics'!$B$6*'Deal A Logistics'!$B$7/4,0)</f>
        <v>0</v>
      </c>
      <c r="AD19" s="0" t="n">
        <f aca="false">IF(AND(AD$17&gt;'Deal A Logistics'!$B$8,AD$17&lt;='Deal A Logistics'!$B$8+'Deal A Logistics'!$B$9),('Deal A Logistics'!$B$3/(1-'Deal A Logistics'!$B$6))*'Deal A Logistics'!$B$6*'Deal A Logistics'!$B$7/4,0)</f>
        <v>0</v>
      </c>
      <c r="AE19" s="0" t="n">
        <f aca="false">IF(AND(AE$17&gt;'Deal A Logistics'!$B$8,AE$17&lt;='Deal A Logistics'!$B$8+'Deal A Logistics'!$B$9),('Deal A Logistics'!$B$3/(1-'Deal A Logistics'!$B$6))*'Deal A Logistics'!$B$6*'Deal A Logistics'!$B$7/4,0)</f>
        <v>0</v>
      </c>
      <c r="AF19" s="0" t="n">
        <f aca="false">IF(AND(AF$17&gt;'Deal A Logistics'!$B$8,AF$17&lt;='Deal A Logistics'!$B$8+'Deal A Logistics'!$B$9),('Deal A Logistics'!$B$3/(1-'Deal A Logistics'!$B$6))*'Deal A Logistics'!$B$6*'Deal A Logistics'!$B$7/4,0)</f>
        <v>0</v>
      </c>
      <c r="AG19" s="0" t="n">
        <f aca="false">IF(AND(AG$17&gt;'Deal A Logistics'!$B$8,AG$17&lt;='Deal A Logistics'!$B$8+'Deal A Logistics'!$B$9),('Deal A Logistics'!$B$3/(1-'Deal A Logistics'!$B$6))*'Deal A Logistics'!$B$6*'Deal A Logistics'!$B$7/4,0)</f>
        <v>0</v>
      </c>
      <c r="AH19" s="0" t="n">
        <f aca="false">IF(AND(AH$17&gt;'Deal A Logistics'!$B$8,AH$17&lt;='Deal A Logistics'!$B$8+'Deal A Logistics'!$B$9),('Deal A Logistics'!$B$3/(1-'Deal A Logistics'!$B$6))*'Deal A Logistics'!$B$6*'Deal A Logistics'!$B$7/4,0)</f>
        <v>0</v>
      </c>
    </row>
    <row r="20" customFormat="false" ht="15" hidden="false" customHeight="false" outlineLevel="0" collapsed="false">
      <c r="A20" s="0" t="s">
        <v>28</v>
      </c>
      <c r="B20" s="0" t="n">
        <f aca="false">IF(B$17='Deal A Logistics'!$B$8,-'Deal A Logistics'!$B$3,0)</f>
        <v>0</v>
      </c>
      <c r="C20" s="0" t="n">
        <f aca="false">IF(C$17='Deal A Logistics'!$B$8,-'Deal A Logistics'!$B$3,0)</f>
        <v>-60000000</v>
      </c>
      <c r="D20" s="0" t="n">
        <f aca="false">IF(D$17='Deal A Logistics'!$B$8,-'Deal A Logistics'!$B$3,0)</f>
        <v>0</v>
      </c>
      <c r="E20" s="0" t="n">
        <f aca="false">IF(E$17='Deal A Logistics'!$B$8,-'Deal A Logistics'!$B$3,0)</f>
        <v>0</v>
      </c>
      <c r="F20" s="0" t="n">
        <f aca="false">IF(F$17='Deal A Logistics'!$B$8,-'Deal A Logistics'!$B$3,0)</f>
        <v>0</v>
      </c>
      <c r="G20" s="0" t="n">
        <f aca="false">IF(G$17='Deal A Logistics'!$B$8,-'Deal A Logistics'!$B$3,0)</f>
        <v>0</v>
      </c>
      <c r="H20" s="0" t="n">
        <f aca="false">IF(H$17='Deal A Logistics'!$B$8,-'Deal A Logistics'!$B$3,0)</f>
        <v>0</v>
      </c>
      <c r="I20" s="0" t="n">
        <f aca="false">IF(I$17='Deal A Logistics'!$B$8,-'Deal A Logistics'!$B$3,0)</f>
        <v>0</v>
      </c>
      <c r="J20" s="0" t="n">
        <f aca="false">IF(J$17='Deal A Logistics'!$B$8,-'Deal A Logistics'!$B$3,0)</f>
        <v>0</v>
      </c>
      <c r="K20" s="0" t="n">
        <f aca="false">IF(K$17='Deal A Logistics'!$B$8,-'Deal A Logistics'!$B$3,0)</f>
        <v>0</v>
      </c>
      <c r="L20" s="0" t="n">
        <f aca="false">IF(L$17='Deal A Logistics'!$B$8,-'Deal A Logistics'!$B$3,0)</f>
        <v>0</v>
      </c>
      <c r="M20" s="0" t="n">
        <f aca="false">IF(M$17='Deal A Logistics'!$B$8,-'Deal A Logistics'!$B$3,0)</f>
        <v>0</v>
      </c>
      <c r="N20" s="0" t="n">
        <f aca="false">IF(N$17='Deal A Logistics'!$B$8,-'Deal A Logistics'!$B$3,0)</f>
        <v>0</v>
      </c>
      <c r="O20" s="0" t="n">
        <f aca="false">IF(O$17='Deal A Logistics'!$B$8,-'Deal A Logistics'!$B$3,0)</f>
        <v>0</v>
      </c>
      <c r="P20" s="0" t="n">
        <f aca="false">IF(P$17='Deal A Logistics'!$B$8,-'Deal A Logistics'!$B$3,0)</f>
        <v>0</v>
      </c>
      <c r="Q20" s="0" t="n">
        <f aca="false">IF(Q$17='Deal A Logistics'!$B$8,-'Deal A Logistics'!$B$3,0)</f>
        <v>0</v>
      </c>
      <c r="R20" s="0" t="n">
        <f aca="false">IF(R$17='Deal A Logistics'!$B$8,-'Deal A Logistics'!$B$3,0)</f>
        <v>0</v>
      </c>
      <c r="S20" s="0" t="n">
        <f aca="false">IF(S$17='Deal A Logistics'!$B$8,-'Deal A Logistics'!$B$3,0)</f>
        <v>0</v>
      </c>
      <c r="T20" s="0" t="n">
        <f aca="false">IF(T$17='Deal A Logistics'!$B$8,-'Deal A Logistics'!$B$3,0)</f>
        <v>0</v>
      </c>
      <c r="U20" s="0" t="n">
        <f aca="false">IF(U$17='Deal A Logistics'!$B$8,-'Deal A Logistics'!$B$3,0)</f>
        <v>0</v>
      </c>
      <c r="V20" s="0" t="n">
        <f aca="false">IF(V$17='Deal A Logistics'!$B$8,-'Deal A Logistics'!$B$3,0)</f>
        <v>0</v>
      </c>
      <c r="W20" s="0" t="n">
        <f aca="false">IF(W$17='Deal A Logistics'!$B$8,-'Deal A Logistics'!$B$3,0)</f>
        <v>0</v>
      </c>
      <c r="X20" s="0" t="n">
        <f aca="false">IF(X$17='Deal A Logistics'!$B$8,-'Deal A Logistics'!$B$3,0)</f>
        <v>0</v>
      </c>
      <c r="Y20" s="0" t="n">
        <f aca="false">IF(Y$17='Deal A Logistics'!$B$8,-'Deal A Logistics'!$B$3,0)</f>
        <v>0</v>
      </c>
      <c r="Z20" s="0" t="n">
        <f aca="false">IF(Z$17='Deal A Logistics'!$B$8,-'Deal A Logistics'!$B$3,0)</f>
        <v>0</v>
      </c>
      <c r="AA20" s="0" t="n">
        <f aca="false">IF(AA$17='Deal A Logistics'!$B$8,-'Deal A Logistics'!$B$3,0)</f>
        <v>0</v>
      </c>
      <c r="AB20" s="0" t="n">
        <f aca="false">IF(AB$17='Deal A Logistics'!$B$8,-'Deal A Logistics'!$B$3,0)</f>
        <v>0</v>
      </c>
      <c r="AC20" s="0" t="n">
        <f aca="false">IF(AC$17='Deal A Logistics'!$B$8,-'Deal A Logistics'!$B$3,0)</f>
        <v>0</v>
      </c>
      <c r="AD20" s="0" t="n">
        <f aca="false">IF(AD$17='Deal A Logistics'!$B$8,-'Deal A Logistics'!$B$3,0)</f>
        <v>0</v>
      </c>
      <c r="AE20" s="0" t="n">
        <f aca="false">IF(AE$17='Deal A Logistics'!$B$8,-'Deal A Logistics'!$B$3,0)</f>
        <v>0</v>
      </c>
      <c r="AF20" s="0" t="n">
        <f aca="false">IF(AF$17='Deal A Logistics'!$B$8,-'Deal A Logistics'!$B$3,0)</f>
        <v>0</v>
      </c>
      <c r="AG20" s="0" t="n">
        <f aca="false">IF(AG$17='Deal A Logistics'!$B$8,-'Deal A Logistics'!$B$3,0)</f>
        <v>0</v>
      </c>
      <c r="AH20" s="0" t="n">
        <f aca="false">IF(AH$17='Deal A Logistics'!$B$8,-'Deal A Logistics'!$B$3,0)</f>
        <v>0</v>
      </c>
    </row>
    <row r="21" customFormat="false" ht="15" hidden="false" customHeight="false" outlineLevel="0" collapsed="false">
      <c r="A21" s="0" t="s">
        <v>29</v>
      </c>
      <c r="B21" s="0" t="n">
        <f aca="false">IF((B$17='Deal A Logistics'!$B$8+'Deal A Logistics'!$B$9),B18*4*(1+'Deal A Logistics'!$B$5)/$B$14-('Deal A Logistics'!$B$3/(1-'Deal A Logistics'!$B$6))*'Deal A Logistics'!$B$6,0)</f>
        <v>0</v>
      </c>
      <c r="C21" s="0" t="n">
        <f aca="false">IF((C$17='Deal A Logistics'!$B$8+'Deal A Logistics'!$B$9),C18*4*(1+'Deal A Logistics'!$B$5)/$B$14-('Deal A Logistics'!$B$3/(1-'Deal A Logistics'!$B$6))*'Deal A Logistics'!$B$6,0)</f>
        <v>0</v>
      </c>
      <c r="D21" s="0" t="n">
        <f aca="false">IF((D$17='Deal A Logistics'!$B$8+'Deal A Logistics'!$B$9),D18*4*(1+'Deal A Logistics'!$B$5)/$B$14-('Deal A Logistics'!$B$3/(1-'Deal A Logistics'!$B$6))*'Deal A Logistics'!$B$6,0)</f>
        <v>0</v>
      </c>
      <c r="E21" s="0" t="n">
        <f aca="false">IF((E$17='Deal A Logistics'!$B$8+'Deal A Logistics'!$B$9),E18*4*(1+'Deal A Logistics'!$B$5)/$B$14-('Deal A Logistics'!$B$3/(1-'Deal A Logistics'!$B$6))*'Deal A Logistics'!$B$6,0)</f>
        <v>0</v>
      </c>
      <c r="F21" s="0" t="n">
        <f aca="false">IF((F$17='Deal A Logistics'!$B$8+'Deal A Logistics'!$B$9),F18*4*(1+'Deal A Logistics'!$B$5)/$B$14-('Deal A Logistics'!$B$3/(1-'Deal A Logistics'!$B$6))*'Deal A Logistics'!$B$6,0)</f>
        <v>0</v>
      </c>
      <c r="G21" s="0" t="n">
        <f aca="false">IF((G$17='Deal A Logistics'!$B$8+'Deal A Logistics'!$B$9),G18*4*(1+'Deal A Logistics'!$B$5)/$B$14-('Deal A Logistics'!$B$3/(1-'Deal A Logistics'!$B$6))*'Deal A Logistics'!$B$6,0)</f>
        <v>0</v>
      </c>
      <c r="H21" s="0" t="n">
        <f aca="false">IF((H$17='Deal A Logistics'!$B$8+'Deal A Logistics'!$B$9),H18*4*(1+'Deal A Logistics'!$B$5)/$B$14-('Deal A Logistics'!$B$3/(1-'Deal A Logistics'!$B$6))*'Deal A Logistics'!$B$6,0)</f>
        <v>0</v>
      </c>
      <c r="I21" s="0" t="n">
        <f aca="false">IF((I$17='Deal A Logistics'!$B$8+'Deal A Logistics'!$B$9),I18*4*(1+'Deal A Logistics'!$B$5)/$B$14-('Deal A Logistics'!$B$3/(1-'Deal A Logistics'!$B$6))*'Deal A Logistics'!$B$6,0)</f>
        <v>0</v>
      </c>
      <c r="J21" s="0" t="n">
        <f aca="false">IF((J$17='Deal A Logistics'!$B$8+'Deal A Logistics'!$B$9),J18*4*(1+'Deal A Logistics'!$B$5)/$B$14-('Deal A Logistics'!$B$3/(1-'Deal A Logistics'!$B$6))*'Deal A Logistics'!$B$6,0)</f>
        <v>0</v>
      </c>
      <c r="K21" s="0" t="n">
        <f aca="false">IF((K$17='Deal A Logistics'!$B$8+'Deal A Logistics'!$B$9),K18*4*(1+'Deal A Logistics'!$B$5)/$B$14-('Deal A Logistics'!$B$3/(1-'Deal A Logistics'!$B$6))*'Deal A Logistics'!$B$6,0)</f>
        <v>0</v>
      </c>
      <c r="L21" s="0" t="n">
        <f aca="false">IF((L$17='Deal A Logistics'!$B$8+'Deal A Logistics'!$B$9),L18*4*(1+'Deal A Logistics'!$B$5)/$B$14-('Deal A Logistics'!$B$3/(1-'Deal A Logistics'!$B$6))*'Deal A Logistics'!$B$6,0)</f>
        <v>0</v>
      </c>
      <c r="M21" s="0" t="n">
        <f aca="false">IF((M$17='Deal A Logistics'!$B$8+'Deal A Logistics'!$B$9),M18*4*(1+'Deal A Logistics'!$B$5)/$B$14-('Deal A Logistics'!$B$3/(1-'Deal A Logistics'!$B$6))*'Deal A Logistics'!$B$6,0)</f>
        <v>0</v>
      </c>
      <c r="N21" s="0" t="n">
        <f aca="false">IF((N$17='Deal A Logistics'!$B$8+'Deal A Logistics'!$B$9),N18*4*(1+'Deal A Logistics'!$B$5)/$B$14-('Deal A Logistics'!$B$3/(1-'Deal A Logistics'!$B$6))*'Deal A Logistics'!$B$6,0)</f>
        <v>0</v>
      </c>
      <c r="O21" s="0" t="n">
        <f aca="false">IF((O$17='Deal A Logistics'!$B$8+'Deal A Logistics'!$B$9),O18*4*(1+'Deal A Logistics'!$B$5)/$B$14-('Deal A Logistics'!$B$3/(1-'Deal A Logistics'!$B$6))*'Deal A Logistics'!$B$6,0)</f>
        <v>0</v>
      </c>
      <c r="P21" s="0" t="n">
        <f aca="false">IF((P$17='Deal A Logistics'!$B$8+'Deal A Logistics'!$B$9),P18*4*(1+'Deal A Logistics'!$B$5)/$B$14-('Deal A Logistics'!$B$3/(1-'Deal A Logistics'!$B$6))*'Deal A Logistics'!$B$6,0)</f>
        <v>0</v>
      </c>
      <c r="Q21" s="0" t="n">
        <f aca="false">IF((Q$17='Deal A Logistics'!$B$8+'Deal A Logistics'!$B$9),Q18*4*(1+'Deal A Logistics'!$B$5)/$B$14-('Deal A Logistics'!$B$3/(1-'Deal A Logistics'!$B$6))*'Deal A Logistics'!$B$6,0)</f>
        <v>0</v>
      </c>
      <c r="R21" s="0" t="n">
        <f aca="false">IF((R$17='Deal A Logistics'!$B$8+'Deal A Logistics'!$B$9),R18*4*(1+'Deal A Logistics'!$B$5)/$B$14-('Deal A Logistics'!$B$3/(1-'Deal A Logistics'!$B$6))*'Deal A Logistics'!$B$6,0)</f>
        <v>0</v>
      </c>
      <c r="S21" s="0" t="n">
        <f aca="false">IF((S$17='Deal A Logistics'!$B$8+'Deal A Logistics'!$B$9),S18*4*(1+'Deal A Logistics'!$B$5)/$B$14-('Deal A Logistics'!$B$3/(1-'Deal A Logistics'!$B$6))*'Deal A Logistics'!$B$6,0)</f>
        <v>0</v>
      </c>
      <c r="T21" s="0" t="n">
        <f aca="false">IF((T$17='Deal A Logistics'!$B$8+'Deal A Logistics'!$B$9),T18*4*(1+'Deal A Logistics'!$B$5)/$B$14-('Deal A Logistics'!$B$3/(1-'Deal A Logistics'!$B$6))*'Deal A Logistics'!$B$6,0)</f>
        <v>0</v>
      </c>
      <c r="U21" s="0" t="n">
        <f aca="false">IF((U$17='Deal A Logistics'!$B$8+'Deal A Logistics'!$B$9),U18*4*(1+'Deal A Logistics'!$B$5)/$B$14-('Deal A Logistics'!$B$3/(1-'Deal A Logistics'!$B$6))*'Deal A Logistics'!$B$6,0)</f>
        <v>0</v>
      </c>
      <c r="V21" s="0" t="n">
        <f aca="false">IF((V$17='Deal A Logistics'!$B$8+'Deal A Logistics'!$B$9),V18*4*(1+'Deal A Logistics'!$B$5)/$B$14-('Deal A Logistics'!$B$3/(1-'Deal A Logistics'!$B$6))*'Deal A Logistics'!$B$6,0)</f>
        <v>0</v>
      </c>
      <c r="W21" s="0" t="n">
        <f aca="false">IF((W$17='Deal A Logistics'!$B$8+'Deal A Logistics'!$B$9),W18*4*(1+'Deal A Logistics'!$B$5)/$B$14-('Deal A Logistics'!$B$3/(1-'Deal A Logistics'!$B$6))*'Deal A Logistics'!$B$6,0)</f>
        <v>103940505.188979</v>
      </c>
      <c r="X21" s="0" t="n">
        <f aca="false">IF((X$17='Deal A Logistics'!$B$8+'Deal A Logistics'!$B$9),X18*4*(1+'Deal A Logistics'!$B$5)/$B$14-('Deal A Logistics'!$B$3/(1-'Deal A Logistics'!$B$6))*'Deal A Logistics'!$B$6,0)</f>
        <v>0</v>
      </c>
      <c r="Y21" s="0" t="n">
        <f aca="false">IF((Y$17='Deal A Logistics'!$B$8+'Deal A Logistics'!$B$9),Y18*4*(1+'Deal A Logistics'!$B$5)/$B$14-('Deal A Logistics'!$B$3/(1-'Deal A Logistics'!$B$6))*'Deal A Logistics'!$B$6,0)</f>
        <v>0</v>
      </c>
      <c r="Z21" s="0" t="n">
        <f aca="false">IF((Z$17='Deal A Logistics'!$B$8+'Deal A Logistics'!$B$9),Z18*4*(1+'Deal A Logistics'!$B$5)/$B$14-('Deal A Logistics'!$B$3/(1-'Deal A Logistics'!$B$6))*'Deal A Logistics'!$B$6,0)</f>
        <v>0</v>
      </c>
      <c r="AA21" s="0" t="n">
        <f aca="false">IF((AA$17='Deal A Logistics'!$B$8+'Deal A Logistics'!$B$9),AA18*4*(1+'Deal A Logistics'!$B$5)/$B$14-('Deal A Logistics'!$B$3/(1-'Deal A Logistics'!$B$6))*'Deal A Logistics'!$B$6,0)</f>
        <v>0</v>
      </c>
      <c r="AB21" s="0" t="n">
        <f aca="false">IF((AB$17='Deal A Logistics'!$B$8+'Deal A Logistics'!$B$9),AB18*4*(1+'Deal A Logistics'!$B$5)/$B$14-('Deal A Logistics'!$B$3/(1-'Deal A Logistics'!$B$6))*'Deal A Logistics'!$B$6,0)</f>
        <v>0</v>
      </c>
      <c r="AC21" s="0" t="n">
        <f aca="false">IF((AC$17='Deal A Logistics'!$B$8+'Deal A Logistics'!$B$9),AC18*4*(1+'Deal A Logistics'!$B$5)/$B$14-('Deal A Logistics'!$B$3/(1-'Deal A Logistics'!$B$6))*'Deal A Logistics'!$B$6,0)</f>
        <v>0</v>
      </c>
      <c r="AD21" s="0" t="n">
        <f aca="false">IF((AD$17='Deal A Logistics'!$B$8+'Deal A Logistics'!$B$9),AD18*4*(1+'Deal A Logistics'!$B$5)/$B$14-('Deal A Logistics'!$B$3/(1-'Deal A Logistics'!$B$6))*'Deal A Logistics'!$B$6,0)</f>
        <v>0</v>
      </c>
      <c r="AE21" s="0" t="n">
        <f aca="false">IF((AE$17='Deal A Logistics'!$B$8+'Deal A Logistics'!$B$9),AE18*4*(1+'Deal A Logistics'!$B$5)/$B$14-('Deal A Logistics'!$B$3/(1-'Deal A Logistics'!$B$6))*'Deal A Logistics'!$B$6,0)</f>
        <v>0</v>
      </c>
      <c r="AF21" s="0" t="n">
        <f aca="false">IF((AF$17='Deal A Logistics'!$B$8+'Deal A Logistics'!$B$9),AF18*4*(1+'Deal A Logistics'!$B$5)/$B$14-('Deal A Logistics'!$B$3/(1-'Deal A Logistics'!$B$6))*'Deal A Logistics'!$B$6,0)</f>
        <v>0</v>
      </c>
      <c r="AG21" s="0" t="n">
        <f aca="false">IF((AG$17='Deal A Logistics'!$B$8+'Deal A Logistics'!$B$9),AG18*4*(1+'Deal A Logistics'!$B$5)/$B$14-('Deal A Logistics'!$B$3/(1-'Deal A Logistics'!$B$6))*'Deal A Logistics'!$B$6,0)</f>
        <v>0</v>
      </c>
      <c r="AH21" s="0" t="n">
        <f aca="false">IF((AH$17='Deal A Logistics'!$B$8+'Deal A Logistics'!$B$9),AH18*4*(1+'Deal A Logistics'!$B$5)/$B$14-('Deal A Logistics'!$B$3/(1-'Deal A Logistics'!$B$6))*'Deal A Logistics'!$B$6,0)</f>
        <v>0</v>
      </c>
    </row>
    <row r="22" customFormat="false" ht="15" hidden="false" customHeight="false" outlineLevel="0" collapsed="false">
      <c r="A22" s="0" t="s">
        <v>30</v>
      </c>
      <c r="B22" s="0" t="n">
        <f aca="false">B20+B18-B19+B21</f>
        <v>0</v>
      </c>
      <c r="C22" s="0" t="n">
        <f aca="false">C20+C18-C19+C21</f>
        <v>-60000000</v>
      </c>
      <c r="D22" s="0" t="n">
        <f aca="false">D20+D18-D19+D21</f>
        <v>1086666.66666667</v>
      </c>
      <c r="E22" s="0" t="n">
        <f aca="false">E20+E18-E19+E21</f>
        <v>1102613.37098879</v>
      </c>
      <c r="F22" s="0" t="n">
        <f aca="false">F20+F18-F19+F21</f>
        <v>1118678.35316149</v>
      </c>
      <c r="G22" s="0" t="n">
        <f aca="false">G20+G18-G19+G21</f>
        <v>1134862.49046008</v>
      </c>
      <c r="H22" s="0" t="n">
        <f aca="false">H20+H18-H19+H21</f>
        <v>1151166.66666667</v>
      </c>
      <c r="I22" s="0" t="n">
        <f aca="false">I20+I18-I19+I21</f>
        <v>1167591.77211846</v>
      </c>
      <c r="J22" s="0" t="n">
        <f aca="false">J20+J18-J19+J21</f>
        <v>1184138.70375634</v>
      </c>
      <c r="K22" s="0" t="n">
        <f aca="false">K20+K18-K19+K21</f>
        <v>1200808.36517388</v>
      </c>
      <c r="L22" s="0" t="n">
        <f aca="false">L20+L18-L19+L21</f>
        <v>1217601.66666667</v>
      </c>
      <c r="M22" s="0" t="n">
        <f aca="false">M20+M18-M19+M21</f>
        <v>1234519.52528201</v>
      </c>
      <c r="N22" s="0" t="n">
        <f aca="false">N20+N18-N19+N21</f>
        <v>1251562.86486903</v>
      </c>
      <c r="O22" s="0" t="n">
        <f aca="false">O20+O18-O19+O21</f>
        <v>1268732.6161291</v>
      </c>
      <c r="P22" s="0" t="n">
        <f aca="false">P20+P18-P19+P21</f>
        <v>1286029.71666667</v>
      </c>
      <c r="Q22" s="0" t="n">
        <f aca="false">Q20+Q18-Q19+Q21</f>
        <v>1303455.11104047</v>
      </c>
      <c r="R22" s="0" t="n">
        <f aca="false">R20+R18-R19+R21</f>
        <v>1321009.7508151</v>
      </c>
      <c r="S22" s="0" t="n">
        <f aca="false">S20+S18-S19+S21</f>
        <v>1338694.59461297</v>
      </c>
      <c r="T22" s="0" t="n">
        <f aca="false">T20+T18-T19+T21</f>
        <v>1356510.60816667</v>
      </c>
      <c r="U22" s="0" t="n">
        <f aca="false">U20+U18-U19+U21</f>
        <v>1374458.76437168</v>
      </c>
      <c r="V22" s="0" t="n">
        <f aca="false">V20+V18-V19+V21</f>
        <v>1392540.04333955</v>
      </c>
      <c r="W22" s="0" t="n">
        <f aca="false">W20+W18-W19+W21</f>
        <v>105351260.62143</v>
      </c>
      <c r="X22" s="0" t="n">
        <f aca="false">X20+X18-X19+X21</f>
        <v>0</v>
      </c>
      <c r="Y22" s="0" t="n">
        <f aca="false">Y20+Y18-Y19+Y21</f>
        <v>0</v>
      </c>
      <c r="Z22" s="0" t="n">
        <f aca="false">Z20+Z18-Z19+Z21</f>
        <v>0</v>
      </c>
      <c r="AA22" s="0" t="n">
        <f aca="false">AA20+AA18-AA19+AA21</f>
        <v>0</v>
      </c>
      <c r="AB22" s="0" t="n">
        <f aca="false">AB20+AB18-AB19+AB21</f>
        <v>0</v>
      </c>
      <c r="AC22" s="0" t="n">
        <f aca="false">AC20+AC18-AC19+AC21</f>
        <v>0</v>
      </c>
      <c r="AD22" s="0" t="n">
        <f aca="false">AD20+AD18-AD19+AD21</f>
        <v>0</v>
      </c>
      <c r="AE22" s="0" t="n">
        <f aca="false">AE20+AE18-AE19+AE21</f>
        <v>0</v>
      </c>
      <c r="AF22" s="0" t="n">
        <f aca="false">AF20+AF18-AF19+AF21</f>
        <v>0</v>
      </c>
      <c r="AG22" s="0" t="n">
        <f aca="false">AG20+AG18-AG19+AG21</f>
        <v>0</v>
      </c>
      <c r="AH22" s="0" t="n">
        <f aca="false">AH20+AH18-AH19+AH21</f>
        <v>0</v>
      </c>
    </row>
    <row r="24" customFormat="false" ht="15" hidden="false" customHeight="false" outlineLevel="0" collapsed="false">
      <c r="A24" s="0" t="s">
        <v>31</v>
      </c>
      <c r="B24" s="4" t="n">
        <f aca="false">(1+IRR(B22:AH22,0.02))^4-1</f>
        <v>0.187745378526679</v>
      </c>
    </row>
    <row r="25" customFormat="false" ht="15" hidden="false" customHeight="false" outlineLevel="0" collapsed="false">
      <c r="A25" s="0" t="s">
        <v>32</v>
      </c>
      <c r="B25" s="5" t="n">
        <f aca="false">SUMIF(B22:AH22,"&gt;0")/-SUMIF(B22:AH22,"&lt;0")</f>
        <v>2.1473817045397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33</v>
      </c>
    </row>
    <row r="3" customFormat="false" ht="15" hidden="false" customHeight="false" outlineLevel="0" collapsed="false">
      <c r="A3" s="0" t="s">
        <v>14</v>
      </c>
      <c r="B3" s="2" t="n">
        <v>70000000</v>
      </c>
    </row>
    <row r="4" customFormat="false" ht="15" hidden="false" customHeight="false" outlineLevel="0" collapsed="false">
      <c r="A4" s="0" t="s">
        <v>34</v>
      </c>
      <c r="B4" s="2" t="n">
        <v>180000000</v>
      </c>
    </row>
    <row r="5" customFormat="false" ht="15" hidden="false" customHeight="false" outlineLevel="0" collapsed="false">
      <c r="A5" s="0" t="s">
        <v>35</v>
      </c>
      <c r="B5" s="2" t="n">
        <v>265000000</v>
      </c>
    </row>
    <row r="6" customFormat="false" ht="15" hidden="false" customHeight="false" outlineLevel="0" collapsed="false">
      <c r="A6" s="0" t="s">
        <v>36</v>
      </c>
      <c r="B6" s="4" t="n">
        <v>0.6</v>
      </c>
    </row>
    <row r="7" customFormat="false" ht="15" hidden="false" customHeight="false" outlineLevel="0" collapsed="false">
      <c r="A7" s="0" t="s">
        <v>37</v>
      </c>
      <c r="B7" s="4" t="n">
        <v>0.075</v>
      </c>
    </row>
    <row r="8" customFormat="false" ht="15" hidden="false" customHeight="false" outlineLevel="0" collapsed="false">
      <c r="A8" s="0" t="s">
        <v>38</v>
      </c>
      <c r="B8" s="1" t="n">
        <v>2</v>
      </c>
    </row>
    <row r="9" customFormat="false" ht="15" hidden="false" customHeight="false" outlineLevel="0" collapsed="false">
      <c r="A9" s="0" t="s">
        <v>39</v>
      </c>
      <c r="B9" s="1" t="n">
        <v>10</v>
      </c>
    </row>
    <row r="10" customFormat="false" ht="15" hidden="false" customHeight="false" outlineLevel="0" collapsed="false">
      <c r="A10" s="0" t="s">
        <v>40</v>
      </c>
      <c r="B10" s="1" t="n">
        <v>6</v>
      </c>
    </row>
    <row r="11" customFormat="false" ht="15" hidden="false" customHeight="false" outlineLevel="0" collapsed="false">
      <c r="A11" s="0" t="s">
        <v>41</v>
      </c>
      <c r="B11" s="4" t="n">
        <v>0</v>
      </c>
    </row>
    <row r="17" customFormat="false" ht="15" hidden="false" customHeight="false" outlineLevel="0" collapsed="false">
      <c r="A17" s="0" t="s">
        <v>25</v>
      </c>
      <c r="B17" s="0" t="n">
        <v>0</v>
      </c>
      <c r="C17" s="0" t="n">
        <v>1</v>
      </c>
      <c r="D17" s="0" t="n">
        <v>2</v>
      </c>
      <c r="E17" s="0" t="n">
        <v>3</v>
      </c>
      <c r="F17" s="0" t="n">
        <v>4</v>
      </c>
      <c r="G17" s="0" t="n">
        <v>5</v>
      </c>
      <c r="H17" s="0" t="n">
        <v>6</v>
      </c>
      <c r="I17" s="0" t="n">
        <v>7</v>
      </c>
      <c r="J17" s="0" t="n">
        <v>8</v>
      </c>
      <c r="K17" s="0" t="n">
        <v>9</v>
      </c>
      <c r="L17" s="0" t="n">
        <v>10</v>
      </c>
      <c r="M17" s="0" t="n">
        <v>11</v>
      </c>
      <c r="N17" s="0" t="n">
        <v>12</v>
      </c>
      <c r="O17" s="0" t="n">
        <v>13</v>
      </c>
      <c r="P17" s="0" t="n">
        <v>14</v>
      </c>
      <c r="Q17" s="0" t="n">
        <v>15</v>
      </c>
      <c r="R17" s="0" t="n">
        <v>16</v>
      </c>
      <c r="S17" s="0" t="n">
        <v>17</v>
      </c>
      <c r="T17" s="0" t="n">
        <v>18</v>
      </c>
      <c r="U17" s="0" t="n">
        <v>19</v>
      </c>
      <c r="V17" s="0" t="n">
        <v>20</v>
      </c>
      <c r="W17" s="0" t="n">
        <v>21</v>
      </c>
      <c r="X17" s="0" t="n">
        <v>22</v>
      </c>
      <c r="Y17" s="0" t="n">
        <v>23</v>
      </c>
      <c r="Z17" s="0" t="n">
        <v>24</v>
      </c>
      <c r="AA17" s="0" t="n">
        <v>25</v>
      </c>
      <c r="AB17" s="0" t="n">
        <v>26</v>
      </c>
      <c r="AC17" s="0" t="n">
        <v>27</v>
      </c>
      <c r="AD17" s="0" t="n">
        <v>28</v>
      </c>
      <c r="AE17" s="0" t="n">
        <v>29</v>
      </c>
      <c r="AF17" s="0" t="n">
        <v>30</v>
      </c>
      <c r="AG17" s="0" t="n">
        <v>31</v>
      </c>
      <c r="AH17" s="0" t="n">
        <v>32</v>
      </c>
    </row>
    <row r="18" customFormat="false" ht="15" hidden="false" customHeight="false" outlineLevel="0" collapsed="false">
      <c r="A18" s="0" t="s">
        <v>42</v>
      </c>
      <c r="B18" s="0" t="n">
        <f aca="false">IF(AND(B$17&gt;='Deal B Resi Dev'!$B$8,B$17&lt;'Deal B Resi Dev'!$B$8+'Deal B Resi Dev'!$B$9),'Deal B Resi Dev'!$B$4*(1+'Deal B Resi Dev'!$B$11)/'Deal B Resi Dev'!$B$9,0)</f>
        <v>0</v>
      </c>
      <c r="C18" s="0" t="n">
        <f aca="false">IF(AND(C$17&gt;='Deal B Resi Dev'!$B$8,C$17&lt;'Deal B Resi Dev'!$B$8+'Deal B Resi Dev'!$B$9),'Deal B Resi Dev'!$B$4*(1+'Deal B Resi Dev'!$B$11)/'Deal B Resi Dev'!$B$9,0)</f>
        <v>0</v>
      </c>
      <c r="D18" s="0" t="n">
        <f aca="false">IF(AND(D$17&gt;='Deal B Resi Dev'!$B$8,D$17&lt;'Deal B Resi Dev'!$B$8+'Deal B Resi Dev'!$B$9),'Deal B Resi Dev'!$B$4*(1+'Deal B Resi Dev'!$B$11)/'Deal B Resi Dev'!$B$9,0)</f>
        <v>18000000</v>
      </c>
      <c r="E18" s="0" t="n">
        <f aca="false">IF(AND(E$17&gt;='Deal B Resi Dev'!$B$8,E$17&lt;'Deal B Resi Dev'!$B$8+'Deal B Resi Dev'!$B$9),'Deal B Resi Dev'!$B$4*(1+'Deal B Resi Dev'!$B$11)/'Deal B Resi Dev'!$B$9,0)</f>
        <v>18000000</v>
      </c>
      <c r="F18" s="0" t="n">
        <f aca="false">IF(AND(F$17&gt;='Deal B Resi Dev'!$B$8,F$17&lt;'Deal B Resi Dev'!$B$8+'Deal B Resi Dev'!$B$9),'Deal B Resi Dev'!$B$4*(1+'Deal B Resi Dev'!$B$11)/'Deal B Resi Dev'!$B$9,0)</f>
        <v>18000000</v>
      </c>
      <c r="G18" s="0" t="n">
        <f aca="false">IF(AND(G$17&gt;='Deal B Resi Dev'!$B$8,G$17&lt;'Deal B Resi Dev'!$B$8+'Deal B Resi Dev'!$B$9),'Deal B Resi Dev'!$B$4*(1+'Deal B Resi Dev'!$B$11)/'Deal B Resi Dev'!$B$9,0)</f>
        <v>18000000</v>
      </c>
      <c r="H18" s="0" t="n">
        <f aca="false">IF(AND(H$17&gt;='Deal B Resi Dev'!$B$8,H$17&lt;'Deal B Resi Dev'!$B$8+'Deal B Resi Dev'!$B$9),'Deal B Resi Dev'!$B$4*(1+'Deal B Resi Dev'!$B$11)/'Deal B Resi Dev'!$B$9,0)</f>
        <v>18000000</v>
      </c>
      <c r="I18" s="0" t="n">
        <f aca="false">IF(AND(I$17&gt;='Deal B Resi Dev'!$B$8,I$17&lt;'Deal B Resi Dev'!$B$8+'Deal B Resi Dev'!$B$9),'Deal B Resi Dev'!$B$4*(1+'Deal B Resi Dev'!$B$11)/'Deal B Resi Dev'!$B$9,0)</f>
        <v>18000000</v>
      </c>
      <c r="J18" s="0" t="n">
        <f aca="false">IF(AND(J$17&gt;='Deal B Resi Dev'!$B$8,J$17&lt;'Deal B Resi Dev'!$B$8+'Deal B Resi Dev'!$B$9),'Deal B Resi Dev'!$B$4*(1+'Deal B Resi Dev'!$B$11)/'Deal B Resi Dev'!$B$9,0)</f>
        <v>18000000</v>
      </c>
      <c r="K18" s="0" t="n">
        <f aca="false">IF(AND(K$17&gt;='Deal B Resi Dev'!$B$8,K$17&lt;'Deal B Resi Dev'!$B$8+'Deal B Resi Dev'!$B$9),'Deal B Resi Dev'!$B$4*(1+'Deal B Resi Dev'!$B$11)/'Deal B Resi Dev'!$B$9,0)</f>
        <v>18000000</v>
      </c>
      <c r="L18" s="0" t="n">
        <f aca="false">IF(AND(L$17&gt;='Deal B Resi Dev'!$B$8,L$17&lt;'Deal B Resi Dev'!$B$8+'Deal B Resi Dev'!$B$9),'Deal B Resi Dev'!$B$4*(1+'Deal B Resi Dev'!$B$11)/'Deal B Resi Dev'!$B$9,0)</f>
        <v>18000000</v>
      </c>
      <c r="M18" s="0" t="n">
        <f aca="false">IF(AND(M$17&gt;='Deal B Resi Dev'!$B$8,M$17&lt;'Deal B Resi Dev'!$B$8+'Deal B Resi Dev'!$B$9),'Deal B Resi Dev'!$B$4*(1+'Deal B Resi Dev'!$B$11)/'Deal B Resi Dev'!$B$9,0)</f>
        <v>18000000</v>
      </c>
      <c r="N18" s="0" t="n">
        <f aca="false">IF(AND(N$17&gt;='Deal B Resi Dev'!$B$8,N$17&lt;'Deal B Resi Dev'!$B$8+'Deal B Resi Dev'!$B$9),'Deal B Resi Dev'!$B$4*(1+'Deal B Resi Dev'!$B$11)/'Deal B Resi Dev'!$B$9,0)</f>
        <v>0</v>
      </c>
      <c r="O18" s="0" t="n">
        <f aca="false">IF(AND(O$17&gt;='Deal B Resi Dev'!$B$8,O$17&lt;'Deal B Resi Dev'!$B$8+'Deal B Resi Dev'!$B$9),'Deal B Resi Dev'!$B$4*(1+'Deal B Resi Dev'!$B$11)/'Deal B Resi Dev'!$B$9,0)</f>
        <v>0</v>
      </c>
      <c r="P18" s="0" t="n">
        <f aca="false">IF(AND(P$17&gt;='Deal B Resi Dev'!$B$8,P$17&lt;'Deal B Resi Dev'!$B$8+'Deal B Resi Dev'!$B$9),'Deal B Resi Dev'!$B$4*(1+'Deal B Resi Dev'!$B$11)/'Deal B Resi Dev'!$B$9,0)</f>
        <v>0</v>
      </c>
      <c r="Q18" s="0" t="n">
        <f aca="false">IF(AND(Q$17&gt;='Deal B Resi Dev'!$B$8,Q$17&lt;'Deal B Resi Dev'!$B$8+'Deal B Resi Dev'!$B$9),'Deal B Resi Dev'!$B$4*(1+'Deal B Resi Dev'!$B$11)/'Deal B Resi Dev'!$B$9,0)</f>
        <v>0</v>
      </c>
      <c r="R18" s="0" t="n">
        <f aca="false">IF(AND(R$17&gt;='Deal B Resi Dev'!$B$8,R$17&lt;'Deal B Resi Dev'!$B$8+'Deal B Resi Dev'!$B$9),'Deal B Resi Dev'!$B$4*(1+'Deal B Resi Dev'!$B$11)/'Deal B Resi Dev'!$B$9,0)</f>
        <v>0</v>
      </c>
      <c r="S18" s="0" t="n">
        <f aca="false">IF(AND(S$17&gt;='Deal B Resi Dev'!$B$8,S$17&lt;'Deal B Resi Dev'!$B$8+'Deal B Resi Dev'!$B$9),'Deal B Resi Dev'!$B$4*(1+'Deal B Resi Dev'!$B$11)/'Deal B Resi Dev'!$B$9,0)</f>
        <v>0</v>
      </c>
      <c r="T18" s="0" t="n">
        <f aca="false">IF(AND(T$17&gt;='Deal B Resi Dev'!$B$8,T$17&lt;'Deal B Resi Dev'!$B$8+'Deal B Resi Dev'!$B$9),'Deal B Resi Dev'!$B$4*(1+'Deal B Resi Dev'!$B$11)/'Deal B Resi Dev'!$B$9,0)</f>
        <v>0</v>
      </c>
      <c r="U18" s="0" t="n">
        <f aca="false">IF(AND(U$17&gt;='Deal B Resi Dev'!$B$8,U$17&lt;'Deal B Resi Dev'!$B$8+'Deal B Resi Dev'!$B$9),'Deal B Resi Dev'!$B$4*(1+'Deal B Resi Dev'!$B$11)/'Deal B Resi Dev'!$B$9,0)</f>
        <v>0</v>
      </c>
      <c r="V18" s="0" t="n">
        <f aca="false">IF(AND(V$17&gt;='Deal B Resi Dev'!$B$8,V$17&lt;'Deal B Resi Dev'!$B$8+'Deal B Resi Dev'!$B$9),'Deal B Resi Dev'!$B$4*(1+'Deal B Resi Dev'!$B$11)/'Deal B Resi Dev'!$B$9,0)</f>
        <v>0</v>
      </c>
      <c r="W18" s="0" t="n">
        <f aca="false">IF(AND(W$17&gt;='Deal B Resi Dev'!$B$8,W$17&lt;'Deal B Resi Dev'!$B$8+'Deal B Resi Dev'!$B$9),'Deal B Resi Dev'!$B$4*(1+'Deal B Resi Dev'!$B$11)/'Deal B Resi Dev'!$B$9,0)</f>
        <v>0</v>
      </c>
      <c r="X18" s="0" t="n">
        <f aca="false">IF(AND(X$17&gt;='Deal B Resi Dev'!$B$8,X$17&lt;'Deal B Resi Dev'!$B$8+'Deal B Resi Dev'!$B$9),'Deal B Resi Dev'!$B$4*(1+'Deal B Resi Dev'!$B$11)/'Deal B Resi Dev'!$B$9,0)</f>
        <v>0</v>
      </c>
      <c r="Y18" s="0" t="n">
        <f aca="false">IF(AND(Y$17&gt;='Deal B Resi Dev'!$B$8,Y$17&lt;'Deal B Resi Dev'!$B$8+'Deal B Resi Dev'!$B$9),'Deal B Resi Dev'!$B$4*(1+'Deal B Resi Dev'!$B$11)/'Deal B Resi Dev'!$B$9,0)</f>
        <v>0</v>
      </c>
      <c r="Z18" s="0" t="n">
        <f aca="false">IF(AND(Z$17&gt;='Deal B Resi Dev'!$B$8,Z$17&lt;'Deal B Resi Dev'!$B$8+'Deal B Resi Dev'!$B$9),'Deal B Resi Dev'!$B$4*(1+'Deal B Resi Dev'!$B$11)/'Deal B Resi Dev'!$B$9,0)</f>
        <v>0</v>
      </c>
      <c r="AA18" s="0" t="n">
        <f aca="false">IF(AND(AA$17&gt;='Deal B Resi Dev'!$B$8,AA$17&lt;'Deal B Resi Dev'!$B$8+'Deal B Resi Dev'!$B$9),'Deal B Resi Dev'!$B$4*(1+'Deal B Resi Dev'!$B$11)/'Deal B Resi Dev'!$B$9,0)</f>
        <v>0</v>
      </c>
      <c r="AB18" s="0" t="n">
        <f aca="false">IF(AND(AB$17&gt;='Deal B Resi Dev'!$B$8,AB$17&lt;'Deal B Resi Dev'!$B$8+'Deal B Resi Dev'!$B$9),'Deal B Resi Dev'!$B$4*(1+'Deal B Resi Dev'!$B$11)/'Deal B Resi Dev'!$B$9,0)</f>
        <v>0</v>
      </c>
      <c r="AC18" s="0" t="n">
        <f aca="false">IF(AND(AC$17&gt;='Deal B Resi Dev'!$B$8,AC$17&lt;'Deal B Resi Dev'!$B$8+'Deal B Resi Dev'!$B$9),'Deal B Resi Dev'!$B$4*(1+'Deal B Resi Dev'!$B$11)/'Deal B Resi Dev'!$B$9,0)</f>
        <v>0</v>
      </c>
      <c r="AD18" s="0" t="n">
        <f aca="false">IF(AND(AD$17&gt;='Deal B Resi Dev'!$B$8,AD$17&lt;'Deal B Resi Dev'!$B$8+'Deal B Resi Dev'!$B$9),'Deal B Resi Dev'!$B$4*(1+'Deal B Resi Dev'!$B$11)/'Deal B Resi Dev'!$B$9,0)</f>
        <v>0</v>
      </c>
      <c r="AE18" s="0" t="n">
        <f aca="false">IF(AND(AE$17&gt;='Deal B Resi Dev'!$B$8,AE$17&lt;'Deal B Resi Dev'!$B$8+'Deal B Resi Dev'!$B$9),'Deal B Resi Dev'!$B$4*(1+'Deal B Resi Dev'!$B$11)/'Deal B Resi Dev'!$B$9,0)</f>
        <v>0</v>
      </c>
      <c r="AF18" s="0" t="n">
        <f aca="false">IF(AND(AF$17&gt;='Deal B Resi Dev'!$B$8,AF$17&lt;'Deal B Resi Dev'!$B$8+'Deal B Resi Dev'!$B$9),'Deal B Resi Dev'!$B$4*(1+'Deal B Resi Dev'!$B$11)/'Deal B Resi Dev'!$B$9,0)</f>
        <v>0</v>
      </c>
      <c r="AG18" s="0" t="n">
        <f aca="false">IF(AND(AG$17&gt;='Deal B Resi Dev'!$B$8,AG$17&lt;'Deal B Resi Dev'!$B$8+'Deal B Resi Dev'!$B$9),'Deal B Resi Dev'!$B$4*(1+'Deal B Resi Dev'!$B$11)/'Deal B Resi Dev'!$B$9,0)</f>
        <v>0</v>
      </c>
      <c r="AH18" s="0" t="n">
        <f aca="false">IF(AND(AH$17&gt;='Deal B Resi Dev'!$B$8,AH$17&lt;'Deal B Resi Dev'!$B$8+'Deal B Resi Dev'!$B$9),'Deal B Resi Dev'!$B$4*(1+'Deal B Resi Dev'!$B$11)/'Deal B Resi Dev'!$B$9,0)</f>
        <v>0</v>
      </c>
    </row>
    <row r="19" customFormat="false" ht="15" hidden="false" customHeight="false" outlineLevel="0" collapsed="false">
      <c r="A19" s="0" t="s">
        <v>43</v>
      </c>
      <c r="B19" s="0" t="n">
        <f aca="false">0</f>
        <v>0</v>
      </c>
      <c r="C19" s="0" t="n">
        <f aca="false">B26*'Deal B Resi Dev'!$B$7/4</f>
        <v>0</v>
      </c>
      <c r="D19" s="0" t="n">
        <f aca="false">C26*'Deal B Resi Dev'!$B$7/4</f>
        <v>0</v>
      </c>
      <c r="E19" s="0" t="n">
        <f aca="false">D26*'Deal B Resi Dev'!$B$7/4</f>
        <v>0</v>
      </c>
      <c r="F19" s="0" t="n">
        <f aca="false">E26*'Deal B Resi Dev'!$B$7/4</f>
        <v>0</v>
      </c>
      <c r="G19" s="0" t="n">
        <f aca="false">F26*'Deal B Resi Dev'!$B$7/4</f>
        <v>0</v>
      </c>
      <c r="H19" s="0" t="n">
        <f aca="false">G26*'Deal B Resi Dev'!$B$7/4</f>
        <v>0</v>
      </c>
      <c r="I19" s="0" t="n">
        <f aca="false">H26*'Deal B Resi Dev'!$B$7/4</f>
        <v>337500</v>
      </c>
      <c r="J19" s="0" t="n">
        <f aca="false">I26*'Deal B Resi Dev'!$B$7/4</f>
        <v>681328.125</v>
      </c>
      <c r="K19" s="0" t="n">
        <f aca="false">J26*'Deal B Resi Dev'!$B$7/4</f>
        <v>1031603.02734375</v>
      </c>
      <c r="L19" s="0" t="n">
        <f aca="false">K26*'Deal B Resi Dev'!$B$7/4</f>
        <v>1388445.58410645</v>
      </c>
      <c r="M19" s="0" t="n">
        <f aca="false">L26*'Deal B Resi Dev'!$B$7/4</f>
        <v>1751978.93880844</v>
      </c>
      <c r="N19" s="0" t="n">
        <f aca="false">M26*'Deal B Resi Dev'!$B$7/4</f>
        <v>2122328.5439111</v>
      </c>
      <c r="O19" s="0" t="n">
        <f aca="false">N26*'Deal B Resi Dev'!$B$7/4</f>
        <v>1333997.20410943</v>
      </c>
      <c r="P19" s="0" t="n">
        <f aca="false">O26*'Deal B Resi Dev'!$B$7/4</f>
        <v>530884.651686485</v>
      </c>
      <c r="Q19" s="0" t="n">
        <f aca="false">P26*'Deal B Resi Dev'!$B$7/4</f>
        <v>0</v>
      </c>
      <c r="R19" s="0" t="n">
        <f aca="false">Q26*'Deal B Resi Dev'!$B$7/4</f>
        <v>0</v>
      </c>
      <c r="S19" s="0" t="n">
        <f aca="false">R26*'Deal B Resi Dev'!$B$7/4</f>
        <v>0</v>
      </c>
      <c r="T19" s="0" t="n">
        <f aca="false">S26*'Deal B Resi Dev'!$B$7/4</f>
        <v>0</v>
      </c>
      <c r="U19" s="0" t="n">
        <f aca="false">T26*'Deal B Resi Dev'!$B$7/4</f>
        <v>0</v>
      </c>
      <c r="V19" s="0" t="n">
        <f aca="false">U26*'Deal B Resi Dev'!$B$7/4</f>
        <v>0</v>
      </c>
      <c r="W19" s="0" t="n">
        <f aca="false">V26*'Deal B Resi Dev'!$B$7/4</f>
        <v>0</v>
      </c>
      <c r="X19" s="0" t="n">
        <f aca="false">W26*'Deal B Resi Dev'!$B$7/4</f>
        <v>0</v>
      </c>
      <c r="Y19" s="0" t="n">
        <f aca="false">X26*'Deal B Resi Dev'!$B$7/4</f>
        <v>0</v>
      </c>
      <c r="Z19" s="0" t="n">
        <f aca="false">Y26*'Deal B Resi Dev'!$B$7/4</f>
        <v>0</v>
      </c>
      <c r="AA19" s="0" t="n">
        <f aca="false">Z26*'Deal B Resi Dev'!$B$7/4</f>
        <v>0</v>
      </c>
      <c r="AB19" s="0" t="n">
        <f aca="false">AA26*'Deal B Resi Dev'!$B$7/4</f>
        <v>0</v>
      </c>
      <c r="AC19" s="0" t="n">
        <f aca="false">AB26*'Deal B Resi Dev'!$B$7/4</f>
        <v>0</v>
      </c>
      <c r="AD19" s="0" t="n">
        <f aca="false">AC26*'Deal B Resi Dev'!$B$7/4</f>
        <v>0</v>
      </c>
      <c r="AE19" s="0" t="n">
        <f aca="false">AD26*'Deal B Resi Dev'!$B$7/4</f>
        <v>0</v>
      </c>
      <c r="AF19" s="0" t="n">
        <f aca="false">AE26*'Deal B Resi Dev'!$B$7/4</f>
        <v>0</v>
      </c>
      <c r="AG19" s="0" t="n">
        <f aca="false">AF26*'Deal B Resi Dev'!$B$7/4</f>
        <v>0</v>
      </c>
      <c r="AH19" s="0" t="n">
        <f aca="false">AG26*'Deal B Resi Dev'!$B$7/4</f>
        <v>0</v>
      </c>
    </row>
    <row r="20" customFormat="false" ht="15" hidden="false" customHeight="false" outlineLevel="0" collapsed="false">
      <c r="A20" s="0" t="s">
        <v>44</v>
      </c>
      <c r="B20" s="0" t="n">
        <f aca="false">B18+B19</f>
        <v>0</v>
      </c>
      <c r="C20" s="0" t="n">
        <f aca="false">C18+C19</f>
        <v>0</v>
      </c>
      <c r="D20" s="0" t="n">
        <f aca="false">D18+D19</f>
        <v>18000000</v>
      </c>
      <c r="E20" s="0" t="n">
        <f aca="false">E18+E19</f>
        <v>18000000</v>
      </c>
      <c r="F20" s="0" t="n">
        <f aca="false">F18+F19</f>
        <v>18000000</v>
      </c>
      <c r="G20" s="0" t="n">
        <f aca="false">G18+G19</f>
        <v>18000000</v>
      </c>
      <c r="H20" s="0" t="n">
        <f aca="false">H18+H19</f>
        <v>18000000</v>
      </c>
      <c r="I20" s="0" t="n">
        <f aca="false">I18+I19</f>
        <v>18337500</v>
      </c>
      <c r="J20" s="0" t="n">
        <f aca="false">J18+J19</f>
        <v>18681328.125</v>
      </c>
      <c r="K20" s="0" t="n">
        <f aca="false">K18+K19</f>
        <v>19031603.0273438</v>
      </c>
      <c r="L20" s="0" t="n">
        <f aca="false">L18+L19</f>
        <v>19388445.5841064</v>
      </c>
      <c r="M20" s="0" t="n">
        <f aca="false">M18+M19</f>
        <v>19751978.9388084</v>
      </c>
      <c r="N20" s="0" t="n">
        <f aca="false">N18+N19</f>
        <v>2122328.5439111</v>
      </c>
      <c r="O20" s="0" t="n">
        <f aca="false">O18+O19</f>
        <v>1333997.20410943</v>
      </c>
      <c r="P20" s="0" t="n">
        <f aca="false">P18+P19</f>
        <v>530884.651686485</v>
      </c>
      <c r="Q20" s="0" t="n">
        <f aca="false">Q18+Q19</f>
        <v>0</v>
      </c>
      <c r="R20" s="0" t="n">
        <f aca="false">R18+R19</f>
        <v>0</v>
      </c>
      <c r="S20" s="0" t="n">
        <f aca="false">S18+S19</f>
        <v>0</v>
      </c>
      <c r="T20" s="0" t="n">
        <f aca="false">T18+T19</f>
        <v>0</v>
      </c>
      <c r="U20" s="0" t="n">
        <f aca="false">U18+U19</f>
        <v>0</v>
      </c>
      <c r="V20" s="0" t="n">
        <f aca="false">V18+V19</f>
        <v>0</v>
      </c>
      <c r="W20" s="0" t="n">
        <f aca="false">W18+W19</f>
        <v>0</v>
      </c>
      <c r="X20" s="0" t="n">
        <f aca="false">X18+X19</f>
        <v>0</v>
      </c>
      <c r="Y20" s="0" t="n">
        <f aca="false">Y18+Y19</f>
        <v>0</v>
      </c>
      <c r="Z20" s="0" t="n">
        <f aca="false">Z18+Z19</f>
        <v>0</v>
      </c>
      <c r="AA20" s="0" t="n">
        <f aca="false">AA18+AA19</f>
        <v>0</v>
      </c>
      <c r="AB20" s="0" t="n">
        <f aca="false">AB18+AB19</f>
        <v>0</v>
      </c>
      <c r="AC20" s="0" t="n">
        <f aca="false">AC18+AC19</f>
        <v>0</v>
      </c>
      <c r="AD20" s="0" t="n">
        <f aca="false">AD18+AD19</f>
        <v>0</v>
      </c>
      <c r="AE20" s="0" t="n">
        <f aca="false">AE18+AE19</f>
        <v>0</v>
      </c>
      <c r="AF20" s="0" t="n">
        <f aca="false">AF18+AF19</f>
        <v>0</v>
      </c>
      <c r="AG20" s="0" t="n">
        <f aca="false">AG18+AG19</f>
        <v>0</v>
      </c>
      <c r="AH20" s="0" t="n">
        <f aca="false">AH18+AH19</f>
        <v>0</v>
      </c>
    </row>
    <row r="21" customFormat="false" ht="15" hidden="false" customHeight="false" outlineLevel="0" collapsed="false">
      <c r="A21" s="0" t="s">
        <v>45</v>
      </c>
      <c r="B21" s="0" t="n">
        <f aca="false">MIN(B20,MAX(0,(1-'Deal B Resi Dev'!$B$6)*'Deal B Resi Dev'!$B$4*(1+'Deal B Resi Dev'!$B$11)-0))</f>
        <v>0</v>
      </c>
      <c r="C21" s="0" t="n">
        <f aca="false">MIN(C20,MAX(0,(1-'Deal B Resi Dev'!$B$6)*'Deal B Resi Dev'!$B$4*(1+'Deal B Resi Dev'!$B$11)-B22))</f>
        <v>0</v>
      </c>
      <c r="D21" s="0" t="n">
        <f aca="false">MIN(D20,MAX(0,(1-'Deal B Resi Dev'!$B$6)*'Deal B Resi Dev'!$B$4*(1+'Deal B Resi Dev'!$B$11)-C22))</f>
        <v>18000000</v>
      </c>
      <c r="E21" s="0" t="n">
        <f aca="false">MIN(E20,MAX(0,(1-'Deal B Resi Dev'!$B$6)*'Deal B Resi Dev'!$B$4*(1+'Deal B Resi Dev'!$B$11)-D22))</f>
        <v>18000000</v>
      </c>
      <c r="F21" s="0" t="n">
        <f aca="false">MIN(F20,MAX(0,(1-'Deal B Resi Dev'!$B$6)*'Deal B Resi Dev'!$B$4*(1+'Deal B Resi Dev'!$B$11)-E22))</f>
        <v>18000000</v>
      </c>
      <c r="G21" s="0" t="n">
        <f aca="false">MIN(G20,MAX(0,(1-'Deal B Resi Dev'!$B$6)*'Deal B Resi Dev'!$B$4*(1+'Deal B Resi Dev'!$B$11)-F22))</f>
        <v>18000000</v>
      </c>
      <c r="H21" s="0" t="n">
        <f aca="false">MIN(H20,MAX(0,(1-'Deal B Resi Dev'!$B$6)*'Deal B Resi Dev'!$B$4*(1+'Deal B Resi Dev'!$B$11)-G22))</f>
        <v>0</v>
      </c>
      <c r="I21" s="0" t="n">
        <f aca="false">MIN(I20,MAX(0,(1-'Deal B Resi Dev'!$B$6)*'Deal B Resi Dev'!$B$4*(1+'Deal B Resi Dev'!$B$11)-H22))</f>
        <v>0</v>
      </c>
      <c r="J21" s="0" t="n">
        <f aca="false">MIN(J20,MAX(0,(1-'Deal B Resi Dev'!$B$6)*'Deal B Resi Dev'!$B$4*(1+'Deal B Resi Dev'!$B$11)-I22))</f>
        <v>0</v>
      </c>
      <c r="K21" s="0" t="n">
        <f aca="false">MIN(K20,MAX(0,(1-'Deal B Resi Dev'!$B$6)*'Deal B Resi Dev'!$B$4*(1+'Deal B Resi Dev'!$B$11)-J22))</f>
        <v>0</v>
      </c>
      <c r="L21" s="0" t="n">
        <f aca="false">MIN(L20,MAX(0,(1-'Deal B Resi Dev'!$B$6)*'Deal B Resi Dev'!$B$4*(1+'Deal B Resi Dev'!$B$11)-K22))</f>
        <v>0</v>
      </c>
      <c r="M21" s="0" t="n">
        <f aca="false">MIN(M20,MAX(0,(1-'Deal B Resi Dev'!$B$6)*'Deal B Resi Dev'!$B$4*(1+'Deal B Resi Dev'!$B$11)-L22))</f>
        <v>0</v>
      </c>
      <c r="N21" s="0" t="n">
        <f aca="false">MIN(N20,MAX(0,(1-'Deal B Resi Dev'!$B$6)*'Deal B Resi Dev'!$B$4*(1+'Deal B Resi Dev'!$B$11)-M22))</f>
        <v>0</v>
      </c>
      <c r="O21" s="0" t="n">
        <f aca="false">MIN(O20,MAX(0,(1-'Deal B Resi Dev'!$B$6)*'Deal B Resi Dev'!$B$4*(1+'Deal B Resi Dev'!$B$11)-N22))</f>
        <v>0</v>
      </c>
      <c r="P21" s="0" t="n">
        <f aca="false">MIN(P20,MAX(0,(1-'Deal B Resi Dev'!$B$6)*'Deal B Resi Dev'!$B$4*(1+'Deal B Resi Dev'!$B$11)-O22))</f>
        <v>0</v>
      </c>
      <c r="Q21" s="0" t="n">
        <f aca="false">MIN(Q20,MAX(0,(1-'Deal B Resi Dev'!$B$6)*'Deal B Resi Dev'!$B$4*(1+'Deal B Resi Dev'!$B$11)-P22))</f>
        <v>0</v>
      </c>
      <c r="R21" s="0" t="n">
        <f aca="false">MIN(R20,MAX(0,(1-'Deal B Resi Dev'!$B$6)*'Deal B Resi Dev'!$B$4*(1+'Deal B Resi Dev'!$B$11)-Q22))</f>
        <v>0</v>
      </c>
      <c r="S21" s="0" t="n">
        <f aca="false">MIN(S20,MAX(0,(1-'Deal B Resi Dev'!$B$6)*'Deal B Resi Dev'!$B$4*(1+'Deal B Resi Dev'!$B$11)-R22))</f>
        <v>0</v>
      </c>
      <c r="T21" s="0" t="n">
        <f aca="false">MIN(T20,MAX(0,(1-'Deal B Resi Dev'!$B$6)*'Deal B Resi Dev'!$B$4*(1+'Deal B Resi Dev'!$B$11)-S22))</f>
        <v>0</v>
      </c>
      <c r="U21" s="0" t="n">
        <f aca="false">MIN(U20,MAX(0,(1-'Deal B Resi Dev'!$B$6)*'Deal B Resi Dev'!$B$4*(1+'Deal B Resi Dev'!$B$11)-T22))</f>
        <v>0</v>
      </c>
      <c r="V21" s="0" t="n">
        <f aca="false">MIN(V20,MAX(0,(1-'Deal B Resi Dev'!$B$6)*'Deal B Resi Dev'!$B$4*(1+'Deal B Resi Dev'!$B$11)-U22))</f>
        <v>0</v>
      </c>
      <c r="W21" s="0" t="n">
        <f aca="false">MIN(W20,MAX(0,(1-'Deal B Resi Dev'!$B$6)*'Deal B Resi Dev'!$B$4*(1+'Deal B Resi Dev'!$B$11)-V22))</f>
        <v>0</v>
      </c>
      <c r="X21" s="0" t="n">
        <f aca="false">MIN(X20,MAX(0,(1-'Deal B Resi Dev'!$B$6)*'Deal B Resi Dev'!$B$4*(1+'Deal B Resi Dev'!$B$11)-W22))</f>
        <v>0</v>
      </c>
      <c r="Y21" s="0" t="n">
        <f aca="false">MIN(Y20,MAX(0,(1-'Deal B Resi Dev'!$B$6)*'Deal B Resi Dev'!$B$4*(1+'Deal B Resi Dev'!$B$11)-X22))</f>
        <v>0</v>
      </c>
      <c r="Z21" s="0" t="n">
        <f aca="false">MIN(Z20,MAX(0,(1-'Deal B Resi Dev'!$B$6)*'Deal B Resi Dev'!$B$4*(1+'Deal B Resi Dev'!$B$11)-Y22))</f>
        <v>0</v>
      </c>
      <c r="AA21" s="0" t="n">
        <f aca="false">MIN(AA20,MAX(0,(1-'Deal B Resi Dev'!$B$6)*'Deal B Resi Dev'!$B$4*(1+'Deal B Resi Dev'!$B$11)-Z22))</f>
        <v>0</v>
      </c>
      <c r="AB21" s="0" t="n">
        <f aca="false">MIN(AB20,MAX(0,(1-'Deal B Resi Dev'!$B$6)*'Deal B Resi Dev'!$B$4*(1+'Deal B Resi Dev'!$B$11)-AA22))</f>
        <v>0</v>
      </c>
      <c r="AC21" s="0" t="n">
        <f aca="false">MIN(AC20,MAX(0,(1-'Deal B Resi Dev'!$B$6)*'Deal B Resi Dev'!$B$4*(1+'Deal B Resi Dev'!$B$11)-AB22))</f>
        <v>0</v>
      </c>
      <c r="AD21" s="0" t="n">
        <f aca="false">MIN(AD20,MAX(0,(1-'Deal B Resi Dev'!$B$6)*'Deal B Resi Dev'!$B$4*(1+'Deal B Resi Dev'!$B$11)-AC22))</f>
        <v>0</v>
      </c>
      <c r="AE21" s="0" t="n">
        <f aca="false">MIN(AE20,MAX(0,(1-'Deal B Resi Dev'!$B$6)*'Deal B Resi Dev'!$B$4*(1+'Deal B Resi Dev'!$B$11)-AD22))</f>
        <v>0</v>
      </c>
      <c r="AF21" s="0" t="n">
        <f aca="false">MIN(AF20,MAX(0,(1-'Deal B Resi Dev'!$B$6)*'Deal B Resi Dev'!$B$4*(1+'Deal B Resi Dev'!$B$11)-AE22))</f>
        <v>0</v>
      </c>
      <c r="AG21" s="0" t="n">
        <f aca="false">MIN(AG20,MAX(0,(1-'Deal B Resi Dev'!$B$6)*'Deal B Resi Dev'!$B$4*(1+'Deal B Resi Dev'!$B$11)-AF22))</f>
        <v>0</v>
      </c>
      <c r="AH21" s="0" t="n">
        <f aca="false">MIN(AH20,MAX(0,(1-'Deal B Resi Dev'!$B$6)*'Deal B Resi Dev'!$B$4*(1+'Deal B Resi Dev'!$B$11)-AG22))</f>
        <v>0</v>
      </c>
    </row>
    <row r="22" customFormat="false" ht="15" hidden="false" customHeight="false" outlineLevel="0" collapsed="false">
      <c r="A22" s="0" t="s">
        <v>46</v>
      </c>
      <c r="B22" s="0" t="n">
        <f aca="false">B21</f>
        <v>0</v>
      </c>
      <c r="C22" s="0" t="n">
        <f aca="false">B22+C21</f>
        <v>0</v>
      </c>
      <c r="D22" s="0" t="n">
        <f aca="false">C22+D21</f>
        <v>18000000</v>
      </c>
      <c r="E22" s="0" t="n">
        <f aca="false">D22+E21</f>
        <v>36000000</v>
      </c>
      <c r="F22" s="0" t="n">
        <f aca="false">E22+F21</f>
        <v>54000000</v>
      </c>
      <c r="G22" s="0" t="n">
        <f aca="false">F22+G21</f>
        <v>72000000</v>
      </c>
      <c r="H22" s="0" t="n">
        <f aca="false">G22+H21</f>
        <v>72000000</v>
      </c>
      <c r="I22" s="0" t="n">
        <f aca="false">H22+I21</f>
        <v>72000000</v>
      </c>
      <c r="J22" s="0" t="n">
        <f aca="false">I22+J21</f>
        <v>72000000</v>
      </c>
      <c r="K22" s="0" t="n">
        <f aca="false">J22+K21</f>
        <v>72000000</v>
      </c>
      <c r="L22" s="0" t="n">
        <f aca="false">K22+L21</f>
        <v>72000000</v>
      </c>
      <c r="M22" s="0" t="n">
        <f aca="false">L22+M21</f>
        <v>72000000</v>
      </c>
      <c r="N22" s="0" t="n">
        <f aca="false">M22+N21</f>
        <v>72000000</v>
      </c>
      <c r="O22" s="0" t="n">
        <f aca="false">N22+O21</f>
        <v>72000000</v>
      </c>
      <c r="P22" s="0" t="n">
        <f aca="false">O22+P21</f>
        <v>72000000</v>
      </c>
      <c r="Q22" s="0" t="n">
        <f aca="false">P22+Q21</f>
        <v>72000000</v>
      </c>
      <c r="R22" s="0" t="n">
        <f aca="false">Q22+R21</f>
        <v>72000000</v>
      </c>
      <c r="S22" s="0" t="n">
        <f aca="false">R22+S21</f>
        <v>72000000</v>
      </c>
      <c r="T22" s="0" t="n">
        <f aca="false">S22+T21</f>
        <v>72000000</v>
      </c>
      <c r="U22" s="0" t="n">
        <f aca="false">T22+U21</f>
        <v>72000000</v>
      </c>
      <c r="V22" s="0" t="n">
        <f aca="false">U22+V21</f>
        <v>72000000</v>
      </c>
      <c r="W22" s="0" t="n">
        <f aca="false">V22+W21</f>
        <v>72000000</v>
      </c>
      <c r="X22" s="0" t="n">
        <f aca="false">W22+X21</f>
        <v>72000000</v>
      </c>
      <c r="Y22" s="0" t="n">
        <f aca="false">X22+Y21</f>
        <v>72000000</v>
      </c>
      <c r="Z22" s="0" t="n">
        <f aca="false">Y22+Z21</f>
        <v>72000000</v>
      </c>
      <c r="AA22" s="0" t="n">
        <f aca="false">Z22+AA21</f>
        <v>72000000</v>
      </c>
      <c r="AB22" s="0" t="n">
        <f aca="false">AA22+AB21</f>
        <v>72000000</v>
      </c>
      <c r="AC22" s="0" t="n">
        <f aca="false">AB22+AC21</f>
        <v>72000000</v>
      </c>
      <c r="AD22" s="0" t="n">
        <f aca="false">AC22+AD21</f>
        <v>72000000</v>
      </c>
      <c r="AE22" s="0" t="n">
        <f aca="false">AD22+AE21</f>
        <v>72000000</v>
      </c>
      <c r="AF22" s="0" t="n">
        <f aca="false">AE22+AF21</f>
        <v>72000000</v>
      </c>
      <c r="AG22" s="0" t="n">
        <f aca="false">AF22+AG21</f>
        <v>72000000</v>
      </c>
      <c r="AH22" s="0" t="n">
        <f aca="false">AG22+AH21</f>
        <v>72000000</v>
      </c>
    </row>
    <row r="23" customFormat="false" ht="15" hidden="false" customHeight="false" outlineLevel="0" collapsed="false">
      <c r="A23" s="0" t="s">
        <v>47</v>
      </c>
      <c r="B23" s="0" t="n">
        <f aca="false">B20-B21</f>
        <v>0</v>
      </c>
      <c r="C23" s="0" t="n">
        <f aca="false">C20-C21</f>
        <v>0</v>
      </c>
      <c r="D23" s="0" t="n">
        <f aca="false">D20-D21</f>
        <v>0</v>
      </c>
      <c r="E23" s="0" t="n">
        <f aca="false">E20-E21</f>
        <v>0</v>
      </c>
      <c r="F23" s="0" t="n">
        <f aca="false">F20-F21</f>
        <v>0</v>
      </c>
      <c r="G23" s="0" t="n">
        <f aca="false">G20-G21</f>
        <v>0</v>
      </c>
      <c r="H23" s="0" t="n">
        <f aca="false">H20-H21</f>
        <v>18000000</v>
      </c>
      <c r="I23" s="0" t="n">
        <f aca="false">I20-I21</f>
        <v>18337500</v>
      </c>
      <c r="J23" s="0" t="n">
        <f aca="false">J20-J21</f>
        <v>18681328.125</v>
      </c>
      <c r="K23" s="0" t="n">
        <f aca="false">K20-K21</f>
        <v>19031603.0273438</v>
      </c>
      <c r="L23" s="0" t="n">
        <f aca="false">L20-L21</f>
        <v>19388445.5841064</v>
      </c>
      <c r="M23" s="0" t="n">
        <f aca="false">M20-M21</f>
        <v>19751978.9388084</v>
      </c>
      <c r="N23" s="0" t="n">
        <f aca="false">N20-N21</f>
        <v>2122328.5439111</v>
      </c>
      <c r="O23" s="0" t="n">
        <f aca="false">O20-O21</f>
        <v>1333997.20410943</v>
      </c>
      <c r="P23" s="0" t="n">
        <f aca="false">P20-P21</f>
        <v>530884.651686485</v>
      </c>
      <c r="Q23" s="0" t="n">
        <f aca="false">Q20-Q21</f>
        <v>0</v>
      </c>
      <c r="R23" s="0" t="n">
        <f aca="false">R20-R21</f>
        <v>0</v>
      </c>
      <c r="S23" s="0" t="n">
        <f aca="false">S20-S21</f>
        <v>0</v>
      </c>
      <c r="T23" s="0" t="n">
        <f aca="false">T20-T21</f>
        <v>0</v>
      </c>
      <c r="U23" s="0" t="n">
        <f aca="false">U20-U21</f>
        <v>0</v>
      </c>
      <c r="V23" s="0" t="n">
        <f aca="false">V20-V21</f>
        <v>0</v>
      </c>
      <c r="W23" s="0" t="n">
        <f aca="false">W20-W21</f>
        <v>0</v>
      </c>
      <c r="X23" s="0" t="n">
        <f aca="false">X20-X21</f>
        <v>0</v>
      </c>
      <c r="Y23" s="0" t="n">
        <f aca="false">Y20-Y21</f>
        <v>0</v>
      </c>
      <c r="Z23" s="0" t="n">
        <f aca="false">Z20-Z21</f>
        <v>0</v>
      </c>
      <c r="AA23" s="0" t="n">
        <f aca="false">AA20-AA21</f>
        <v>0</v>
      </c>
      <c r="AB23" s="0" t="n">
        <f aca="false">AB20-AB21</f>
        <v>0</v>
      </c>
      <c r="AC23" s="0" t="n">
        <f aca="false">AC20-AC21</f>
        <v>0</v>
      </c>
      <c r="AD23" s="0" t="n">
        <f aca="false">AD20-AD21</f>
        <v>0</v>
      </c>
      <c r="AE23" s="0" t="n">
        <f aca="false">AE20-AE21</f>
        <v>0</v>
      </c>
      <c r="AF23" s="0" t="n">
        <f aca="false">AF20-AF21</f>
        <v>0</v>
      </c>
      <c r="AG23" s="0" t="n">
        <f aca="false">AG20-AG21</f>
        <v>0</v>
      </c>
      <c r="AH23" s="0" t="n">
        <f aca="false">AH20-AH21</f>
        <v>0</v>
      </c>
    </row>
    <row r="24" customFormat="false" ht="15" hidden="false" customHeight="false" outlineLevel="0" collapsed="false">
      <c r="A24" s="0" t="s">
        <v>48</v>
      </c>
      <c r="B24" s="0" t="n">
        <f aca="false">IF(AND(B$17&gt;='Deal B Resi Dev'!$B$8+'Deal B Resi Dev'!$B$9,B$17&lt;'Deal B Resi Dev'!$B$8+'Deal B Resi Dev'!$B$9+'Deal B Resi Dev'!$B$10),'Deal B Resi Dev'!$B$5/'Deal B Resi Dev'!$B$10,0)</f>
        <v>0</v>
      </c>
      <c r="C24" s="0" t="n">
        <f aca="false">IF(AND(C$17&gt;='Deal B Resi Dev'!$B$8+'Deal B Resi Dev'!$B$9,C$17&lt;'Deal B Resi Dev'!$B$8+'Deal B Resi Dev'!$B$9+'Deal B Resi Dev'!$B$10),'Deal B Resi Dev'!$B$5/'Deal B Resi Dev'!$B$10,0)</f>
        <v>0</v>
      </c>
      <c r="D24" s="0" t="n">
        <f aca="false">IF(AND(D$17&gt;='Deal B Resi Dev'!$B$8+'Deal B Resi Dev'!$B$9,D$17&lt;'Deal B Resi Dev'!$B$8+'Deal B Resi Dev'!$B$9+'Deal B Resi Dev'!$B$10),'Deal B Resi Dev'!$B$5/'Deal B Resi Dev'!$B$10,0)</f>
        <v>0</v>
      </c>
      <c r="E24" s="0" t="n">
        <f aca="false">IF(AND(E$17&gt;='Deal B Resi Dev'!$B$8+'Deal B Resi Dev'!$B$9,E$17&lt;'Deal B Resi Dev'!$B$8+'Deal B Resi Dev'!$B$9+'Deal B Resi Dev'!$B$10),'Deal B Resi Dev'!$B$5/'Deal B Resi Dev'!$B$10,0)</f>
        <v>0</v>
      </c>
      <c r="F24" s="0" t="n">
        <f aca="false">IF(AND(F$17&gt;='Deal B Resi Dev'!$B$8+'Deal B Resi Dev'!$B$9,F$17&lt;'Deal B Resi Dev'!$B$8+'Deal B Resi Dev'!$B$9+'Deal B Resi Dev'!$B$10),'Deal B Resi Dev'!$B$5/'Deal B Resi Dev'!$B$10,0)</f>
        <v>0</v>
      </c>
      <c r="G24" s="0" t="n">
        <f aca="false">IF(AND(G$17&gt;='Deal B Resi Dev'!$B$8+'Deal B Resi Dev'!$B$9,G$17&lt;'Deal B Resi Dev'!$B$8+'Deal B Resi Dev'!$B$9+'Deal B Resi Dev'!$B$10),'Deal B Resi Dev'!$B$5/'Deal B Resi Dev'!$B$10,0)</f>
        <v>0</v>
      </c>
      <c r="H24" s="0" t="n">
        <f aca="false">IF(AND(H$17&gt;='Deal B Resi Dev'!$B$8+'Deal B Resi Dev'!$B$9,H$17&lt;'Deal B Resi Dev'!$B$8+'Deal B Resi Dev'!$B$9+'Deal B Resi Dev'!$B$10),'Deal B Resi Dev'!$B$5/'Deal B Resi Dev'!$B$10,0)</f>
        <v>0</v>
      </c>
      <c r="I24" s="0" t="n">
        <f aca="false">IF(AND(I$17&gt;='Deal B Resi Dev'!$B$8+'Deal B Resi Dev'!$B$9,I$17&lt;'Deal B Resi Dev'!$B$8+'Deal B Resi Dev'!$B$9+'Deal B Resi Dev'!$B$10),'Deal B Resi Dev'!$B$5/'Deal B Resi Dev'!$B$10,0)</f>
        <v>0</v>
      </c>
      <c r="J24" s="0" t="n">
        <f aca="false">IF(AND(J$17&gt;='Deal B Resi Dev'!$B$8+'Deal B Resi Dev'!$B$9,J$17&lt;'Deal B Resi Dev'!$B$8+'Deal B Resi Dev'!$B$9+'Deal B Resi Dev'!$B$10),'Deal B Resi Dev'!$B$5/'Deal B Resi Dev'!$B$10,0)</f>
        <v>0</v>
      </c>
      <c r="K24" s="0" t="n">
        <f aca="false">IF(AND(K$17&gt;='Deal B Resi Dev'!$B$8+'Deal B Resi Dev'!$B$9,K$17&lt;'Deal B Resi Dev'!$B$8+'Deal B Resi Dev'!$B$9+'Deal B Resi Dev'!$B$10),'Deal B Resi Dev'!$B$5/'Deal B Resi Dev'!$B$10,0)</f>
        <v>0</v>
      </c>
      <c r="L24" s="0" t="n">
        <f aca="false">IF(AND(L$17&gt;='Deal B Resi Dev'!$B$8+'Deal B Resi Dev'!$B$9,L$17&lt;'Deal B Resi Dev'!$B$8+'Deal B Resi Dev'!$B$9+'Deal B Resi Dev'!$B$10),'Deal B Resi Dev'!$B$5/'Deal B Resi Dev'!$B$10,0)</f>
        <v>0</v>
      </c>
      <c r="M24" s="0" t="n">
        <f aca="false">IF(AND(M$17&gt;='Deal B Resi Dev'!$B$8+'Deal B Resi Dev'!$B$9,M$17&lt;'Deal B Resi Dev'!$B$8+'Deal B Resi Dev'!$B$9+'Deal B Resi Dev'!$B$10),'Deal B Resi Dev'!$B$5/'Deal B Resi Dev'!$B$10,0)</f>
        <v>0</v>
      </c>
      <c r="N24" s="0" t="n">
        <f aca="false">IF(AND(N$17&gt;='Deal B Resi Dev'!$B$8+'Deal B Resi Dev'!$B$9,N$17&lt;'Deal B Resi Dev'!$B$8+'Deal B Resi Dev'!$B$9+'Deal B Resi Dev'!$B$10),'Deal B Resi Dev'!$B$5/'Deal B Resi Dev'!$B$10,0)</f>
        <v>44166666.6666667</v>
      </c>
      <c r="O24" s="0" t="n">
        <f aca="false">IF(AND(O$17&gt;='Deal B Resi Dev'!$B$8+'Deal B Resi Dev'!$B$9,O$17&lt;'Deal B Resi Dev'!$B$8+'Deal B Resi Dev'!$B$9+'Deal B Resi Dev'!$B$10),'Deal B Resi Dev'!$B$5/'Deal B Resi Dev'!$B$10,0)</f>
        <v>44166666.6666667</v>
      </c>
      <c r="P24" s="0" t="n">
        <f aca="false">IF(AND(P$17&gt;='Deal B Resi Dev'!$B$8+'Deal B Resi Dev'!$B$9,P$17&lt;'Deal B Resi Dev'!$B$8+'Deal B Resi Dev'!$B$9+'Deal B Resi Dev'!$B$10),'Deal B Resi Dev'!$B$5/'Deal B Resi Dev'!$B$10,0)</f>
        <v>44166666.6666667</v>
      </c>
      <c r="Q24" s="0" t="n">
        <f aca="false">IF(AND(Q$17&gt;='Deal B Resi Dev'!$B$8+'Deal B Resi Dev'!$B$9,Q$17&lt;'Deal B Resi Dev'!$B$8+'Deal B Resi Dev'!$B$9+'Deal B Resi Dev'!$B$10),'Deal B Resi Dev'!$B$5/'Deal B Resi Dev'!$B$10,0)</f>
        <v>44166666.6666667</v>
      </c>
      <c r="R24" s="0" t="n">
        <f aca="false">IF(AND(R$17&gt;='Deal B Resi Dev'!$B$8+'Deal B Resi Dev'!$B$9,R$17&lt;'Deal B Resi Dev'!$B$8+'Deal B Resi Dev'!$B$9+'Deal B Resi Dev'!$B$10),'Deal B Resi Dev'!$B$5/'Deal B Resi Dev'!$B$10,0)</f>
        <v>44166666.6666667</v>
      </c>
      <c r="S24" s="0" t="n">
        <f aca="false">IF(AND(S$17&gt;='Deal B Resi Dev'!$B$8+'Deal B Resi Dev'!$B$9,S$17&lt;'Deal B Resi Dev'!$B$8+'Deal B Resi Dev'!$B$9+'Deal B Resi Dev'!$B$10),'Deal B Resi Dev'!$B$5/'Deal B Resi Dev'!$B$10,0)</f>
        <v>44166666.6666667</v>
      </c>
      <c r="T24" s="0" t="n">
        <f aca="false">IF(AND(T$17&gt;='Deal B Resi Dev'!$B$8+'Deal B Resi Dev'!$B$9,T$17&lt;'Deal B Resi Dev'!$B$8+'Deal B Resi Dev'!$B$9+'Deal B Resi Dev'!$B$10),'Deal B Resi Dev'!$B$5/'Deal B Resi Dev'!$B$10,0)</f>
        <v>0</v>
      </c>
      <c r="U24" s="0" t="n">
        <f aca="false">IF(AND(U$17&gt;='Deal B Resi Dev'!$B$8+'Deal B Resi Dev'!$B$9,U$17&lt;'Deal B Resi Dev'!$B$8+'Deal B Resi Dev'!$B$9+'Deal B Resi Dev'!$B$10),'Deal B Resi Dev'!$B$5/'Deal B Resi Dev'!$B$10,0)</f>
        <v>0</v>
      </c>
      <c r="V24" s="0" t="n">
        <f aca="false">IF(AND(V$17&gt;='Deal B Resi Dev'!$B$8+'Deal B Resi Dev'!$B$9,V$17&lt;'Deal B Resi Dev'!$B$8+'Deal B Resi Dev'!$B$9+'Deal B Resi Dev'!$B$10),'Deal B Resi Dev'!$B$5/'Deal B Resi Dev'!$B$10,0)</f>
        <v>0</v>
      </c>
      <c r="W24" s="0" t="n">
        <f aca="false">IF(AND(W$17&gt;='Deal B Resi Dev'!$B$8+'Deal B Resi Dev'!$B$9,W$17&lt;'Deal B Resi Dev'!$B$8+'Deal B Resi Dev'!$B$9+'Deal B Resi Dev'!$B$10),'Deal B Resi Dev'!$B$5/'Deal B Resi Dev'!$B$10,0)</f>
        <v>0</v>
      </c>
      <c r="X24" s="0" t="n">
        <f aca="false">IF(AND(X$17&gt;='Deal B Resi Dev'!$B$8+'Deal B Resi Dev'!$B$9,X$17&lt;'Deal B Resi Dev'!$B$8+'Deal B Resi Dev'!$B$9+'Deal B Resi Dev'!$B$10),'Deal B Resi Dev'!$B$5/'Deal B Resi Dev'!$B$10,0)</f>
        <v>0</v>
      </c>
      <c r="Y24" s="0" t="n">
        <f aca="false">IF(AND(Y$17&gt;='Deal B Resi Dev'!$B$8+'Deal B Resi Dev'!$B$9,Y$17&lt;'Deal B Resi Dev'!$B$8+'Deal B Resi Dev'!$B$9+'Deal B Resi Dev'!$B$10),'Deal B Resi Dev'!$B$5/'Deal B Resi Dev'!$B$10,0)</f>
        <v>0</v>
      </c>
      <c r="Z24" s="0" t="n">
        <f aca="false">IF(AND(Z$17&gt;='Deal B Resi Dev'!$B$8+'Deal B Resi Dev'!$B$9,Z$17&lt;'Deal B Resi Dev'!$B$8+'Deal B Resi Dev'!$B$9+'Deal B Resi Dev'!$B$10),'Deal B Resi Dev'!$B$5/'Deal B Resi Dev'!$B$10,0)</f>
        <v>0</v>
      </c>
      <c r="AA24" s="0" t="n">
        <f aca="false">IF(AND(AA$17&gt;='Deal B Resi Dev'!$B$8+'Deal B Resi Dev'!$B$9,AA$17&lt;'Deal B Resi Dev'!$B$8+'Deal B Resi Dev'!$B$9+'Deal B Resi Dev'!$B$10),'Deal B Resi Dev'!$B$5/'Deal B Resi Dev'!$B$10,0)</f>
        <v>0</v>
      </c>
      <c r="AB24" s="0" t="n">
        <f aca="false">IF(AND(AB$17&gt;='Deal B Resi Dev'!$B$8+'Deal B Resi Dev'!$B$9,AB$17&lt;'Deal B Resi Dev'!$B$8+'Deal B Resi Dev'!$B$9+'Deal B Resi Dev'!$B$10),'Deal B Resi Dev'!$B$5/'Deal B Resi Dev'!$B$10,0)</f>
        <v>0</v>
      </c>
      <c r="AC24" s="0" t="n">
        <f aca="false">IF(AND(AC$17&gt;='Deal B Resi Dev'!$B$8+'Deal B Resi Dev'!$B$9,AC$17&lt;'Deal B Resi Dev'!$B$8+'Deal B Resi Dev'!$B$9+'Deal B Resi Dev'!$B$10),'Deal B Resi Dev'!$B$5/'Deal B Resi Dev'!$B$10,0)</f>
        <v>0</v>
      </c>
      <c r="AD24" s="0" t="n">
        <f aca="false">IF(AND(AD$17&gt;='Deal B Resi Dev'!$B$8+'Deal B Resi Dev'!$B$9,AD$17&lt;'Deal B Resi Dev'!$B$8+'Deal B Resi Dev'!$B$9+'Deal B Resi Dev'!$B$10),'Deal B Resi Dev'!$B$5/'Deal B Resi Dev'!$B$10,0)</f>
        <v>0</v>
      </c>
      <c r="AE24" s="0" t="n">
        <f aca="false">IF(AND(AE$17&gt;='Deal B Resi Dev'!$B$8+'Deal B Resi Dev'!$B$9,AE$17&lt;'Deal B Resi Dev'!$B$8+'Deal B Resi Dev'!$B$9+'Deal B Resi Dev'!$B$10),'Deal B Resi Dev'!$B$5/'Deal B Resi Dev'!$B$10,0)</f>
        <v>0</v>
      </c>
      <c r="AF24" s="0" t="n">
        <f aca="false">IF(AND(AF$17&gt;='Deal B Resi Dev'!$B$8+'Deal B Resi Dev'!$B$9,AF$17&lt;'Deal B Resi Dev'!$B$8+'Deal B Resi Dev'!$B$9+'Deal B Resi Dev'!$B$10),'Deal B Resi Dev'!$B$5/'Deal B Resi Dev'!$B$10,0)</f>
        <v>0</v>
      </c>
      <c r="AG24" s="0" t="n">
        <f aca="false">IF(AND(AG$17&gt;='Deal B Resi Dev'!$B$8+'Deal B Resi Dev'!$B$9,AG$17&lt;'Deal B Resi Dev'!$B$8+'Deal B Resi Dev'!$B$9+'Deal B Resi Dev'!$B$10),'Deal B Resi Dev'!$B$5/'Deal B Resi Dev'!$B$10,0)</f>
        <v>0</v>
      </c>
      <c r="AH24" s="0" t="n">
        <f aca="false">IF(AND(AH$17&gt;='Deal B Resi Dev'!$B$8+'Deal B Resi Dev'!$B$9,AH$17&lt;'Deal B Resi Dev'!$B$8+'Deal B Resi Dev'!$B$9+'Deal B Resi Dev'!$B$10),'Deal B Resi Dev'!$B$5/'Deal B Resi Dev'!$B$10,0)</f>
        <v>0</v>
      </c>
    </row>
    <row r="25" customFormat="false" ht="15" hidden="false" customHeight="false" outlineLevel="0" collapsed="false">
      <c r="A25" s="0" t="s">
        <v>49</v>
      </c>
      <c r="B25" s="0" t="n">
        <f aca="false">MIN(B24,0+B23)</f>
        <v>0</v>
      </c>
      <c r="C25" s="0" t="n">
        <f aca="false">MIN(C24,B26+C23)</f>
        <v>0</v>
      </c>
      <c r="D25" s="0" t="n">
        <f aca="false">MIN(D24,C26+D23)</f>
        <v>0</v>
      </c>
      <c r="E25" s="0" t="n">
        <f aca="false">MIN(E24,D26+E23)</f>
        <v>0</v>
      </c>
      <c r="F25" s="0" t="n">
        <f aca="false">MIN(F24,E26+F23)</f>
        <v>0</v>
      </c>
      <c r="G25" s="0" t="n">
        <f aca="false">MIN(G24,F26+G23)</f>
        <v>0</v>
      </c>
      <c r="H25" s="0" t="n">
        <f aca="false">MIN(H24,G26+H23)</f>
        <v>0</v>
      </c>
      <c r="I25" s="0" t="n">
        <f aca="false">MIN(I24,H26+I23)</f>
        <v>0</v>
      </c>
      <c r="J25" s="0" t="n">
        <f aca="false">MIN(J24,I26+J23)</f>
        <v>0</v>
      </c>
      <c r="K25" s="0" t="n">
        <f aca="false">MIN(K24,J26+K23)</f>
        <v>0</v>
      </c>
      <c r="L25" s="0" t="n">
        <f aca="false">MIN(L24,K26+L23)</f>
        <v>0</v>
      </c>
      <c r="M25" s="0" t="n">
        <f aca="false">MIN(M24,L26+M23)</f>
        <v>0</v>
      </c>
      <c r="N25" s="0" t="n">
        <f aca="false">MIN(N24,M26+N23)</f>
        <v>44166666.6666667</v>
      </c>
      <c r="O25" s="0" t="n">
        <f aca="false">MIN(O24,N26+O23)</f>
        <v>44166666.6666667</v>
      </c>
      <c r="P25" s="0" t="n">
        <f aca="false">MIN(P24,O26+P23)</f>
        <v>28844732.7416323</v>
      </c>
      <c r="Q25" s="0" t="n">
        <f aca="false">MIN(Q24,P26+Q23)</f>
        <v>0</v>
      </c>
      <c r="R25" s="0" t="n">
        <f aca="false">MIN(R24,Q26+R23)</f>
        <v>0</v>
      </c>
      <c r="S25" s="0" t="n">
        <f aca="false">MIN(S24,R26+S23)</f>
        <v>0</v>
      </c>
      <c r="T25" s="0" t="n">
        <f aca="false">MIN(T24,S26+T23)</f>
        <v>0</v>
      </c>
      <c r="U25" s="0" t="n">
        <f aca="false">MIN(U24,T26+U23)</f>
        <v>0</v>
      </c>
      <c r="V25" s="0" t="n">
        <f aca="false">MIN(V24,U26+V23)</f>
        <v>0</v>
      </c>
      <c r="W25" s="0" t="n">
        <f aca="false">MIN(W24,V26+W23)</f>
        <v>0</v>
      </c>
      <c r="X25" s="0" t="n">
        <f aca="false">MIN(X24,W26+X23)</f>
        <v>0</v>
      </c>
      <c r="Y25" s="0" t="n">
        <f aca="false">MIN(Y24,X26+Y23)</f>
        <v>0</v>
      </c>
      <c r="Z25" s="0" t="n">
        <f aca="false">MIN(Z24,Y26+Z23)</f>
        <v>0</v>
      </c>
      <c r="AA25" s="0" t="n">
        <f aca="false">MIN(AA24,Z26+AA23)</f>
        <v>0</v>
      </c>
      <c r="AB25" s="0" t="n">
        <f aca="false">MIN(AB24,AA26+AB23)</f>
        <v>0</v>
      </c>
      <c r="AC25" s="0" t="n">
        <f aca="false">MIN(AC24,AB26+AC23)</f>
        <v>0</v>
      </c>
      <c r="AD25" s="0" t="n">
        <f aca="false">MIN(AD24,AC26+AD23)</f>
        <v>0</v>
      </c>
      <c r="AE25" s="0" t="n">
        <f aca="false">MIN(AE24,AD26+AE23)</f>
        <v>0</v>
      </c>
      <c r="AF25" s="0" t="n">
        <f aca="false">MIN(AF24,AE26+AF23)</f>
        <v>0</v>
      </c>
      <c r="AG25" s="0" t="n">
        <f aca="false">MIN(AG24,AF26+AG23)</f>
        <v>0</v>
      </c>
      <c r="AH25" s="0" t="n">
        <f aca="false">MIN(AH24,AG26+AH23)</f>
        <v>0</v>
      </c>
    </row>
    <row r="26" customFormat="false" ht="15" hidden="false" customHeight="false" outlineLevel="0" collapsed="false">
      <c r="A26" s="0" t="s">
        <v>50</v>
      </c>
      <c r="B26" s="0" t="n">
        <f aca="false">0+B23-B25</f>
        <v>0</v>
      </c>
      <c r="C26" s="0" t="n">
        <f aca="false">B26+C23-C25</f>
        <v>0</v>
      </c>
      <c r="D26" s="0" t="n">
        <f aca="false">C26+D23-D25</f>
        <v>0</v>
      </c>
      <c r="E26" s="0" t="n">
        <f aca="false">D26+E23-E25</f>
        <v>0</v>
      </c>
      <c r="F26" s="0" t="n">
        <f aca="false">E26+F23-F25</f>
        <v>0</v>
      </c>
      <c r="G26" s="0" t="n">
        <f aca="false">F26+G23-G25</f>
        <v>0</v>
      </c>
      <c r="H26" s="0" t="n">
        <f aca="false">G26+H23-H25</f>
        <v>18000000</v>
      </c>
      <c r="I26" s="0" t="n">
        <f aca="false">H26+I23-I25</f>
        <v>36337500</v>
      </c>
      <c r="J26" s="0" t="n">
        <f aca="false">I26+J23-J25</f>
        <v>55018828.125</v>
      </c>
      <c r="K26" s="0" t="n">
        <f aca="false">J26+K23-K25</f>
        <v>74050431.1523438</v>
      </c>
      <c r="L26" s="0" t="n">
        <f aca="false">K26+L23-L25</f>
        <v>93438876.7364502</v>
      </c>
      <c r="M26" s="0" t="n">
        <f aca="false">L26+M23-M25</f>
        <v>113190855.675259</v>
      </c>
      <c r="N26" s="0" t="n">
        <f aca="false">M26+N23-N25</f>
        <v>71146517.5525031</v>
      </c>
      <c r="O26" s="0" t="n">
        <f aca="false">N26+O23-O25</f>
        <v>28313848.0899458</v>
      </c>
      <c r="P26" s="0" t="n">
        <f aca="false">O26+P23-P25</f>
        <v>0</v>
      </c>
      <c r="Q26" s="0" t="n">
        <f aca="false">P26+Q23-Q25</f>
        <v>0</v>
      </c>
      <c r="R26" s="0" t="n">
        <f aca="false">Q26+R23-R25</f>
        <v>0</v>
      </c>
      <c r="S26" s="0" t="n">
        <f aca="false">R26+S23-S25</f>
        <v>0</v>
      </c>
      <c r="T26" s="0" t="n">
        <f aca="false">S26+T23-T25</f>
        <v>0</v>
      </c>
      <c r="U26" s="0" t="n">
        <f aca="false">T26+U23-U25</f>
        <v>0</v>
      </c>
      <c r="V26" s="0" t="n">
        <f aca="false">U26+V23-V25</f>
        <v>0</v>
      </c>
      <c r="W26" s="0" t="n">
        <f aca="false">V26+W23-W25</f>
        <v>0</v>
      </c>
      <c r="X26" s="0" t="n">
        <f aca="false">W26+X23-X25</f>
        <v>0</v>
      </c>
      <c r="Y26" s="0" t="n">
        <f aca="false">X26+Y23-Y25</f>
        <v>0</v>
      </c>
      <c r="Z26" s="0" t="n">
        <f aca="false">Y26+Z23-Z25</f>
        <v>0</v>
      </c>
      <c r="AA26" s="0" t="n">
        <f aca="false">Z26+AA23-AA25</f>
        <v>0</v>
      </c>
      <c r="AB26" s="0" t="n">
        <f aca="false">AA26+AB23-AB25</f>
        <v>0</v>
      </c>
      <c r="AC26" s="0" t="n">
        <f aca="false">AB26+AC23-AC25</f>
        <v>0</v>
      </c>
      <c r="AD26" s="0" t="n">
        <f aca="false">AC26+AD23-AD25</f>
        <v>0</v>
      </c>
      <c r="AE26" s="0" t="n">
        <f aca="false">AD26+AE23-AE25</f>
        <v>0</v>
      </c>
      <c r="AF26" s="0" t="n">
        <f aca="false">AE26+AF23-AF25</f>
        <v>0</v>
      </c>
      <c r="AG26" s="0" t="n">
        <f aca="false">AF26+AG23-AG25</f>
        <v>0</v>
      </c>
      <c r="AH26" s="0" t="n">
        <f aca="false">AG26+AH23-AH25</f>
        <v>0</v>
      </c>
    </row>
    <row r="27" customFormat="false" ht="15" hidden="false" customHeight="false" outlineLevel="0" collapsed="false">
      <c r="A27" s="0" t="s">
        <v>30</v>
      </c>
      <c r="B27" s="0" t="n">
        <f aca="false">B24-B25-B21</f>
        <v>0</v>
      </c>
      <c r="C27" s="0" t="n">
        <f aca="false">C24-C25-C21</f>
        <v>0</v>
      </c>
      <c r="D27" s="0" t="n">
        <f aca="false">D24-D25-D21</f>
        <v>-18000000</v>
      </c>
      <c r="E27" s="0" t="n">
        <f aca="false">E24-E25-E21</f>
        <v>-18000000</v>
      </c>
      <c r="F27" s="0" t="n">
        <f aca="false">F24-F25-F21</f>
        <v>-18000000</v>
      </c>
      <c r="G27" s="0" t="n">
        <f aca="false">G24-G25-G21</f>
        <v>-18000000</v>
      </c>
      <c r="H27" s="0" t="n">
        <f aca="false">H24-H25-H21</f>
        <v>0</v>
      </c>
      <c r="I27" s="0" t="n">
        <f aca="false">I24-I25-I21</f>
        <v>0</v>
      </c>
      <c r="J27" s="0" t="n">
        <f aca="false">J24-J25-J21</f>
        <v>0</v>
      </c>
      <c r="K27" s="0" t="n">
        <f aca="false">K24-K25-K21</f>
        <v>0</v>
      </c>
      <c r="L27" s="0" t="n">
        <f aca="false">L24-L25-L21</f>
        <v>0</v>
      </c>
      <c r="M27" s="0" t="n">
        <f aca="false">M24-M25-M21</f>
        <v>0</v>
      </c>
      <c r="N27" s="0" t="n">
        <f aca="false">N24-N25-N21</f>
        <v>0</v>
      </c>
      <c r="O27" s="0" t="n">
        <f aca="false">O24-O25-O21</f>
        <v>0</v>
      </c>
      <c r="P27" s="0" t="n">
        <f aca="false">P24-P25-P21</f>
        <v>15321933.9250343</v>
      </c>
      <c r="Q27" s="0" t="n">
        <f aca="false">Q24-Q25-Q21</f>
        <v>44166666.6666667</v>
      </c>
      <c r="R27" s="0" t="n">
        <f aca="false">R24-R25-R21</f>
        <v>44166666.6666667</v>
      </c>
      <c r="S27" s="0" t="n">
        <f aca="false">S24-S25-S21</f>
        <v>44166666.6666667</v>
      </c>
      <c r="T27" s="0" t="n">
        <f aca="false">T24-T25-T21</f>
        <v>0</v>
      </c>
      <c r="U27" s="0" t="n">
        <f aca="false">U24-U25-U21</f>
        <v>0</v>
      </c>
      <c r="V27" s="0" t="n">
        <f aca="false">V24-V25-V21</f>
        <v>0</v>
      </c>
      <c r="W27" s="0" t="n">
        <f aca="false">W24-W25-W21</f>
        <v>0</v>
      </c>
      <c r="X27" s="0" t="n">
        <f aca="false">X24-X25-X21</f>
        <v>0</v>
      </c>
      <c r="Y27" s="0" t="n">
        <f aca="false">Y24-Y25-Y21</f>
        <v>0</v>
      </c>
      <c r="Z27" s="0" t="n">
        <f aca="false">Z24-Z25-Z21</f>
        <v>0</v>
      </c>
      <c r="AA27" s="0" t="n">
        <f aca="false">AA24-AA25-AA21</f>
        <v>0</v>
      </c>
      <c r="AB27" s="0" t="n">
        <f aca="false">AB24-AB25-AB21</f>
        <v>0</v>
      </c>
      <c r="AC27" s="0" t="n">
        <f aca="false">AC24-AC25-AC21</f>
        <v>0</v>
      </c>
      <c r="AD27" s="0" t="n">
        <f aca="false">AD24-AD25-AD21</f>
        <v>0</v>
      </c>
      <c r="AE27" s="0" t="n">
        <f aca="false">AE24-AE25-AE21</f>
        <v>0</v>
      </c>
      <c r="AF27" s="0" t="n">
        <f aca="false">AF24-AF25-AF21</f>
        <v>0</v>
      </c>
      <c r="AG27" s="0" t="n">
        <f aca="false">AG24-AG25-AG21</f>
        <v>0</v>
      </c>
      <c r="AH27" s="0" t="n">
        <f aca="false">AH24-AH25-AH21</f>
        <v>0</v>
      </c>
    </row>
    <row r="29" customFormat="false" ht="15" hidden="false" customHeight="false" outlineLevel="0" collapsed="false">
      <c r="A29" s="0" t="s">
        <v>31</v>
      </c>
      <c r="B29" s="4" t="n">
        <f aca="false">(1+IRR(B27:AH27,0.02))^4-1</f>
        <v>0.263540518788753</v>
      </c>
    </row>
    <row r="30" customFormat="false" ht="15" hidden="false" customHeight="false" outlineLevel="0" collapsed="false">
      <c r="A30" s="0" t="s">
        <v>32</v>
      </c>
      <c r="B30" s="5" t="n">
        <f aca="false">SUMIF(B27:AH27,"&gt;0")/-SUMIF(B27:AH27,"&lt;0")</f>
        <v>2.05308241562548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51</v>
      </c>
    </row>
    <row r="3" customFormat="false" ht="15" hidden="false" customHeight="false" outlineLevel="0" collapsed="false">
      <c r="A3" s="0" t="s">
        <v>14</v>
      </c>
      <c r="B3" s="2" t="n">
        <v>55000000</v>
      </c>
    </row>
    <row r="4" customFormat="false" ht="15" hidden="false" customHeight="false" outlineLevel="0" collapsed="false">
      <c r="A4" s="0" t="s">
        <v>15</v>
      </c>
      <c r="B4" s="2" t="n">
        <v>9400000</v>
      </c>
    </row>
    <row r="5" customFormat="false" ht="15" hidden="false" customHeight="false" outlineLevel="0" collapsed="false">
      <c r="A5" s="0" t="s">
        <v>16</v>
      </c>
      <c r="B5" s="4" t="n">
        <v>0.02</v>
      </c>
    </row>
    <row r="6" customFormat="false" ht="15" hidden="false" customHeight="false" outlineLevel="0" collapsed="false">
      <c r="A6" s="0" t="s">
        <v>17</v>
      </c>
      <c r="B6" s="4" t="n">
        <v>0.6</v>
      </c>
    </row>
    <row r="7" customFormat="false" ht="15" hidden="false" customHeight="false" outlineLevel="0" collapsed="false">
      <c r="A7" s="0" t="s">
        <v>18</v>
      </c>
      <c r="B7" s="4" t="n">
        <v>0.061</v>
      </c>
    </row>
    <row r="8" customFormat="false" ht="15" hidden="false" customHeight="false" outlineLevel="0" collapsed="false">
      <c r="A8" s="0" t="s">
        <v>19</v>
      </c>
      <c r="B8" s="1" t="n">
        <v>3</v>
      </c>
    </row>
    <row r="9" customFormat="false" ht="15" hidden="false" customHeight="false" outlineLevel="0" collapsed="false">
      <c r="A9" s="0" t="s">
        <v>20</v>
      </c>
      <c r="B9" s="1" t="n">
        <v>24</v>
      </c>
    </row>
    <row r="10" customFormat="false" ht="15" hidden="false" customHeight="false" outlineLevel="0" collapsed="false">
      <c r="A10" s="0" t="s">
        <v>21</v>
      </c>
      <c r="B10" s="4" t="n">
        <v>0.07</v>
      </c>
    </row>
    <row r="11" customFormat="false" ht="15" hidden="false" customHeight="false" outlineLevel="0" collapsed="false">
      <c r="A11" s="0" t="s">
        <v>22</v>
      </c>
      <c r="B11" s="4" t="n">
        <v>0.08</v>
      </c>
    </row>
    <row r="12" customFormat="false" ht="15" hidden="false" customHeight="false" outlineLevel="0" collapsed="false">
      <c r="A12" s="0" t="s">
        <v>23</v>
      </c>
      <c r="B12" s="4" t="n">
        <v>0.0625</v>
      </c>
    </row>
    <row r="14" customFormat="false" ht="15" hidden="false" customHeight="false" outlineLevel="0" collapsed="false">
      <c r="A14" s="0" t="s">
        <v>24</v>
      </c>
      <c r="B14" s="4" t="n">
        <f aca="false">CHOOSE(Fund_Case,'Deal C Office'!$B$10,'Deal C Office'!$B$11,'Deal C Office'!$B$12)</f>
        <v>0.07</v>
      </c>
    </row>
    <row r="17" customFormat="false" ht="15" hidden="false" customHeight="false" outlineLevel="0" collapsed="false">
      <c r="A17" s="0" t="s">
        <v>25</v>
      </c>
      <c r="B17" s="0" t="n">
        <v>0</v>
      </c>
      <c r="C17" s="0" t="n">
        <v>1</v>
      </c>
      <c r="D17" s="0" t="n">
        <v>2</v>
      </c>
      <c r="E17" s="0" t="n">
        <v>3</v>
      </c>
      <c r="F17" s="0" t="n">
        <v>4</v>
      </c>
      <c r="G17" s="0" t="n">
        <v>5</v>
      </c>
      <c r="H17" s="0" t="n">
        <v>6</v>
      </c>
      <c r="I17" s="0" t="n">
        <v>7</v>
      </c>
      <c r="J17" s="0" t="n">
        <v>8</v>
      </c>
      <c r="K17" s="0" t="n">
        <v>9</v>
      </c>
      <c r="L17" s="0" t="n">
        <v>10</v>
      </c>
      <c r="M17" s="0" t="n">
        <v>11</v>
      </c>
      <c r="N17" s="0" t="n">
        <v>12</v>
      </c>
      <c r="O17" s="0" t="n">
        <v>13</v>
      </c>
      <c r="P17" s="0" t="n">
        <v>14</v>
      </c>
      <c r="Q17" s="0" t="n">
        <v>15</v>
      </c>
      <c r="R17" s="0" t="n">
        <v>16</v>
      </c>
      <c r="S17" s="0" t="n">
        <v>17</v>
      </c>
      <c r="T17" s="0" t="n">
        <v>18</v>
      </c>
      <c r="U17" s="0" t="n">
        <v>19</v>
      </c>
      <c r="V17" s="0" t="n">
        <v>20</v>
      </c>
      <c r="W17" s="0" t="n">
        <v>21</v>
      </c>
      <c r="X17" s="0" t="n">
        <v>22</v>
      </c>
      <c r="Y17" s="0" t="n">
        <v>23</v>
      </c>
      <c r="Z17" s="0" t="n">
        <v>24</v>
      </c>
      <c r="AA17" s="0" t="n">
        <v>25</v>
      </c>
      <c r="AB17" s="0" t="n">
        <v>26</v>
      </c>
      <c r="AC17" s="0" t="n">
        <v>27</v>
      </c>
      <c r="AD17" s="0" t="n">
        <v>28</v>
      </c>
      <c r="AE17" s="0" t="n">
        <v>29</v>
      </c>
      <c r="AF17" s="0" t="n">
        <v>30</v>
      </c>
      <c r="AG17" s="0" t="n">
        <v>31</v>
      </c>
      <c r="AH17" s="0" t="n">
        <v>32</v>
      </c>
    </row>
    <row r="18" customFormat="false" ht="15" hidden="false" customHeight="false" outlineLevel="0" collapsed="false">
      <c r="A18" s="0" t="s">
        <v>26</v>
      </c>
      <c r="B18" s="0" t="n">
        <f aca="false">IF(AND(B$17&gt;'Deal C Office'!$B$8,B$17&lt;='Deal C Office'!$B$8+'Deal C Office'!$B$9),'Deal C Office'!$B$4/4*(1+'Deal C Office'!$B$5)^((B$17-'Deal C Office'!$B$8-1)/4),0)</f>
        <v>0</v>
      </c>
      <c r="C18" s="0" t="n">
        <f aca="false">IF(AND(C$17&gt;'Deal C Office'!$B$8,C$17&lt;='Deal C Office'!$B$8+'Deal C Office'!$B$9),'Deal C Office'!$B$4/4*(1+'Deal C Office'!$B$5)^((C$17-'Deal C Office'!$B$8-1)/4),0)</f>
        <v>0</v>
      </c>
      <c r="D18" s="0" t="n">
        <f aca="false">IF(AND(D$17&gt;'Deal C Office'!$B$8,D$17&lt;='Deal C Office'!$B$8+'Deal C Office'!$B$9),'Deal C Office'!$B$4/4*(1+'Deal C Office'!$B$5)^((D$17-'Deal C Office'!$B$8-1)/4),0)</f>
        <v>0</v>
      </c>
      <c r="E18" s="0" t="n">
        <f aca="false">IF(AND(E$17&gt;'Deal C Office'!$B$8,E$17&lt;='Deal C Office'!$B$8+'Deal C Office'!$B$9),'Deal C Office'!$B$4/4*(1+'Deal C Office'!$B$5)^((E$17-'Deal C Office'!$B$8-1)/4),0)</f>
        <v>0</v>
      </c>
      <c r="F18" s="0" t="n">
        <f aca="false">IF(AND(F$17&gt;'Deal C Office'!$B$8,F$17&lt;='Deal C Office'!$B$8+'Deal C Office'!$B$9),'Deal C Office'!$B$4/4*(1+'Deal C Office'!$B$5)^((F$17-'Deal C Office'!$B$8-1)/4),0)</f>
        <v>2350000</v>
      </c>
      <c r="G18" s="0" t="n">
        <f aca="false">IF(AND(G$17&gt;'Deal C Office'!$B$8,G$17&lt;='Deal C Office'!$B$8+'Deal C Office'!$B$9),'Deal C Office'!$B$4/4*(1+'Deal C Office'!$B$5)^((G$17-'Deal C Office'!$B$8-1)/4),0)</f>
        <v>2361662.88919703</v>
      </c>
      <c r="H18" s="0" t="n">
        <f aca="false">IF(AND(H$17&gt;'Deal C Office'!$B$8,H$17&lt;='Deal C Office'!$B$8+'Deal C Office'!$B$9),'Deal C Office'!$B$4/4*(1+'Deal C Office'!$B$5)^((H$17-'Deal C Office'!$B$8-1)/4),0)</f>
        <v>2373383.66051509</v>
      </c>
      <c r="I18" s="0" t="n">
        <f aca="false">IF(AND(I$17&gt;'Deal C Office'!$B$8,I$17&lt;='Deal C Office'!$B$8+'Deal C Office'!$B$9),'Deal C Office'!$B$4/4*(1+'Deal C Office'!$B$5)^((I$17-'Deal C Office'!$B$8-1)/4),0)</f>
        <v>2385162.60121918</v>
      </c>
      <c r="J18" s="0" t="n">
        <f aca="false">IF(AND(J$17&gt;'Deal C Office'!$B$8,J$17&lt;='Deal C Office'!$B$8+'Deal C Office'!$B$9),'Deal C Office'!$B$4/4*(1+'Deal C Office'!$B$5)^((J$17-'Deal C Office'!$B$8-1)/4),0)</f>
        <v>2397000</v>
      </c>
      <c r="K18" s="0" t="n">
        <f aca="false">IF(AND(K$17&gt;'Deal C Office'!$B$8,K$17&lt;='Deal C Office'!$B$8+'Deal C Office'!$B$9),'Deal C Office'!$B$4/4*(1+'Deal C Office'!$B$5)^((K$17-'Deal C Office'!$B$8-1)/4),0)</f>
        <v>2408896.14698097</v>
      </c>
      <c r="L18" s="0" t="n">
        <f aca="false">IF(AND(L$17&gt;'Deal C Office'!$B$8,L$17&lt;='Deal C Office'!$B$8+'Deal C Office'!$B$9),'Deal C Office'!$B$4/4*(1+'Deal C Office'!$B$5)^((L$17-'Deal C Office'!$B$8-1)/4),0)</f>
        <v>2420851.33372539</v>
      </c>
      <c r="M18" s="0" t="n">
        <f aca="false">IF(AND(M$17&gt;'Deal C Office'!$B$8,M$17&lt;='Deal C Office'!$B$8+'Deal C Office'!$B$9),'Deal C Office'!$B$4/4*(1+'Deal C Office'!$B$5)^((M$17-'Deal C Office'!$B$8-1)/4),0)</f>
        <v>2432865.85324357</v>
      </c>
      <c r="N18" s="0" t="n">
        <f aca="false">IF(AND(N$17&gt;'Deal C Office'!$B$8,N$17&lt;='Deal C Office'!$B$8+'Deal C Office'!$B$9),'Deal C Office'!$B$4/4*(1+'Deal C Office'!$B$5)^((N$17-'Deal C Office'!$B$8-1)/4),0)</f>
        <v>2444940</v>
      </c>
      <c r="O18" s="0" t="n">
        <f aca="false">IF(AND(O$17&gt;'Deal C Office'!$B$8,O$17&lt;='Deal C Office'!$B$8+'Deal C Office'!$B$9),'Deal C Office'!$B$4/4*(1+'Deal C Office'!$B$5)^((O$17-'Deal C Office'!$B$8-1)/4),0)</f>
        <v>2457074.06992059</v>
      </c>
      <c r="P18" s="0" t="n">
        <f aca="false">IF(AND(P$17&gt;'Deal C Office'!$B$8,P$17&lt;='Deal C Office'!$B$8+'Deal C Office'!$B$9),'Deal C Office'!$B$4/4*(1+'Deal C Office'!$B$5)^((P$17-'Deal C Office'!$B$8-1)/4),0)</f>
        <v>2469268.3603999</v>
      </c>
      <c r="Q18" s="0" t="n">
        <f aca="false">IF(AND(Q$17&gt;'Deal C Office'!$B$8,Q$17&lt;='Deal C Office'!$B$8+'Deal C Office'!$B$9),'Deal C Office'!$B$4/4*(1+'Deal C Office'!$B$5)^((Q$17-'Deal C Office'!$B$8-1)/4),0)</f>
        <v>2481523.17030844</v>
      </c>
      <c r="R18" s="0" t="n">
        <f aca="false">IF(AND(R$17&gt;'Deal C Office'!$B$8,R$17&lt;='Deal C Office'!$B$8+'Deal C Office'!$B$9),'Deal C Office'!$B$4/4*(1+'Deal C Office'!$B$5)^((R$17-'Deal C Office'!$B$8-1)/4),0)</f>
        <v>2493838.8</v>
      </c>
      <c r="S18" s="0" t="n">
        <f aca="false">IF(AND(S$17&gt;'Deal C Office'!$B$8,S$17&lt;='Deal C Office'!$B$8+'Deal C Office'!$B$9),'Deal C Office'!$B$4/4*(1+'Deal C Office'!$B$5)^((S$17-'Deal C Office'!$B$8-1)/4),0)</f>
        <v>2506215.551319</v>
      </c>
      <c r="T18" s="0" t="n">
        <f aca="false">IF(AND(T$17&gt;'Deal C Office'!$B$8,T$17&lt;='Deal C Office'!$B$8+'Deal C Office'!$B$9),'Deal C Office'!$B$4/4*(1+'Deal C Office'!$B$5)^((T$17-'Deal C Office'!$B$8-1)/4),0)</f>
        <v>2518653.7276079</v>
      </c>
      <c r="U18" s="0" t="n">
        <f aca="false">IF(AND(U$17&gt;'Deal C Office'!$B$8,U$17&lt;='Deal C Office'!$B$8+'Deal C Office'!$B$9),'Deal C Office'!$B$4/4*(1+'Deal C Office'!$B$5)^((U$17-'Deal C Office'!$B$8-1)/4),0)</f>
        <v>2531153.63371461</v>
      </c>
      <c r="V18" s="0" t="n">
        <f aca="false">IF(AND(V$17&gt;'Deal C Office'!$B$8,V$17&lt;='Deal C Office'!$B$8+'Deal C Office'!$B$9),'Deal C Office'!$B$4/4*(1+'Deal C Office'!$B$5)^((V$17-'Deal C Office'!$B$8-1)/4),0)</f>
        <v>2543715.576</v>
      </c>
      <c r="W18" s="0" t="n">
        <f aca="false">IF(AND(W$17&gt;'Deal C Office'!$B$8,W$17&lt;='Deal C Office'!$B$8+'Deal C Office'!$B$9),'Deal C Office'!$B$4/4*(1+'Deal C Office'!$B$5)^((W$17-'Deal C Office'!$B$8-1)/4),0)</f>
        <v>2556339.86234538</v>
      </c>
      <c r="X18" s="0" t="n">
        <f aca="false">IF(AND(X$17&gt;'Deal C Office'!$B$8,X$17&lt;='Deal C Office'!$B$8+'Deal C Office'!$B$9),'Deal C Office'!$B$4/4*(1+'Deal C Office'!$B$5)^((X$17-'Deal C Office'!$B$8-1)/4),0)</f>
        <v>2569026.80216005</v>
      </c>
      <c r="Y18" s="0" t="n">
        <f aca="false">IF(AND(Y$17&gt;'Deal C Office'!$B$8,Y$17&lt;='Deal C Office'!$B$8+'Deal C Office'!$B$9),'Deal C Office'!$B$4/4*(1+'Deal C Office'!$B$5)^((Y$17-'Deal C Office'!$B$8-1)/4),0)</f>
        <v>2581776.7063889</v>
      </c>
      <c r="Z18" s="0" t="n">
        <f aca="false">IF(AND(Z$17&gt;'Deal C Office'!$B$8,Z$17&lt;='Deal C Office'!$B$8+'Deal C Office'!$B$9),'Deal C Office'!$B$4/4*(1+'Deal C Office'!$B$5)^((Z$17-'Deal C Office'!$B$8-1)/4),0)</f>
        <v>2594589.88752</v>
      </c>
      <c r="AA18" s="0" t="n">
        <f aca="false">IF(AND(AA$17&gt;'Deal C Office'!$B$8,AA$17&lt;='Deal C Office'!$B$8+'Deal C Office'!$B$9),'Deal C Office'!$B$4/4*(1+'Deal C Office'!$B$5)^((AA$17-'Deal C Office'!$B$8-1)/4),0)</f>
        <v>2607466.65959229</v>
      </c>
      <c r="AB18" s="0" t="n">
        <f aca="false">IF(AND(AB$17&gt;'Deal C Office'!$B$8,AB$17&lt;='Deal C Office'!$B$8+'Deal C Office'!$B$9),'Deal C Office'!$B$4/4*(1+'Deal C Office'!$B$5)^((AB$17-'Deal C Office'!$B$8-1)/4),0)</f>
        <v>2620407.33820326</v>
      </c>
      <c r="AC18" s="0" t="n">
        <f aca="false">IF(AND(AC$17&gt;'Deal C Office'!$B$8,AC$17&lt;='Deal C Office'!$B$8+'Deal C Office'!$B$9),'Deal C Office'!$B$4/4*(1+'Deal C Office'!$B$5)^((AC$17-'Deal C Office'!$B$8-1)/4),0)</f>
        <v>2633412.24051668</v>
      </c>
      <c r="AD18" s="0" t="n">
        <f aca="false">IF(AND(AD$17&gt;'Deal C Office'!$B$8,AD$17&lt;='Deal C Office'!$B$8+'Deal C Office'!$B$9),'Deal C Office'!$B$4/4*(1+'Deal C Office'!$B$5)^((AD$17-'Deal C Office'!$B$8-1)/4),0)</f>
        <v>0</v>
      </c>
      <c r="AE18" s="0" t="n">
        <f aca="false">IF(AND(AE$17&gt;'Deal C Office'!$B$8,AE$17&lt;='Deal C Office'!$B$8+'Deal C Office'!$B$9),'Deal C Office'!$B$4/4*(1+'Deal C Office'!$B$5)^((AE$17-'Deal C Office'!$B$8-1)/4),0)</f>
        <v>0</v>
      </c>
      <c r="AF18" s="0" t="n">
        <f aca="false">IF(AND(AF$17&gt;'Deal C Office'!$B$8,AF$17&lt;='Deal C Office'!$B$8+'Deal C Office'!$B$9),'Deal C Office'!$B$4/4*(1+'Deal C Office'!$B$5)^((AF$17-'Deal C Office'!$B$8-1)/4),0)</f>
        <v>0</v>
      </c>
      <c r="AG18" s="0" t="n">
        <f aca="false">IF(AND(AG$17&gt;'Deal C Office'!$B$8,AG$17&lt;='Deal C Office'!$B$8+'Deal C Office'!$B$9),'Deal C Office'!$B$4/4*(1+'Deal C Office'!$B$5)^((AG$17-'Deal C Office'!$B$8-1)/4),0)</f>
        <v>0</v>
      </c>
      <c r="AH18" s="0" t="n">
        <f aca="false">IF(AND(AH$17&gt;'Deal C Office'!$B$8,AH$17&lt;='Deal C Office'!$B$8+'Deal C Office'!$B$9),'Deal C Office'!$B$4/4*(1+'Deal C Office'!$B$5)^((AH$17-'Deal C Office'!$B$8-1)/4),0)</f>
        <v>0</v>
      </c>
    </row>
    <row r="19" customFormat="false" ht="15" hidden="false" customHeight="false" outlineLevel="0" collapsed="false">
      <c r="A19" s="0" t="s">
        <v>27</v>
      </c>
      <c r="B19" s="0" t="n">
        <f aca="false">IF(AND(B$17&gt;'Deal C Office'!$B$8,B$17&lt;='Deal C Office'!$B$8+'Deal C Office'!$B$9),('Deal C Office'!$B$3/(1-'Deal C Office'!$B$6))*'Deal C Office'!$B$6*'Deal C Office'!$B$7/4,0)</f>
        <v>0</v>
      </c>
      <c r="C19" s="0" t="n">
        <f aca="false">IF(AND(C$17&gt;'Deal C Office'!$B$8,C$17&lt;='Deal C Office'!$B$8+'Deal C Office'!$B$9),('Deal C Office'!$B$3/(1-'Deal C Office'!$B$6))*'Deal C Office'!$B$6*'Deal C Office'!$B$7/4,0)</f>
        <v>0</v>
      </c>
      <c r="D19" s="0" t="n">
        <f aca="false">IF(AND(D$17&gt;'Deal C Office'!$B$8,D$17&lt;='Deal C Office'!$B$8+'Deal C Office'!$B$9),('Deal C Office'!$B$3/(1-'Deal C Office'!$B$6))*'Deal C Office'!$B$6*'Deal C Office'!$B$7/4,0)</f>
        <v>0</v>
      </c>
      <c r="E19" s="0" t="n">
        <f aca="false">IF(AND(E$17&gt;'Deal C Office'!$B$8,E$17&lt;='Deal C Office'!$B$8+'Deal C Office'!$B$9),('Deal C Office'!$B$3/(1-'Deal C Office'!$B$6))*'Deal C Office'!$B$6*'Deal C Office'!$B$7/4,0)</f>
        <v>0</v>
      </c>
      <c r="F19" s="0" t="n">
        <f aca="false">IF(AND(F$17&gt;'Deal C Office'!$B$8,F$17&lt;='Deal C Office'!$B$8+'Deal C Office'!$B$9),('Deal C Office'!$B$3/(1-'Deal C Office'!$B$6))*'Deal C Office'!$B$6*'Deal C Office'!$B$7/4,0)</f>
        <v>1258125</v>
      </c>
      <c r="G19" s="0" t="n">
        <f aca="false">IF(AND(G$17&gt;'Deal C Office'!$B$8,G$17&lt;='Deal C Office'!$B$8+'Deal C Office'!$B$9),('Deal C Office'!$B$3/(1-'Deal C Office'!$B$6))*'Deal C Office'!$B$6*'Deal C Office'!$B$7/4,0)</f>
        <v>1258125</v>
      </c>
      <c r="H19" s="0" t="n">
        <f aca="false">IF(AND(H$17&gt;'Deal C Office'!$B$8,H$17&lt;='Deal C Office'!$B$8+'Deal C Office'!$B$9),('Deal C Office'!$B$3/(1-'Deal C Office'!$B$6))*'Deal C Office'!$B$6*'Deal C Office'!$B$7/4,0)</f>
        <v>1258125</v>
      </c>
      <c r="I19" s="0" t="n">
        <f aca="false">IF(AND(I$17&gt;'Deal C Office'!$B$8,I$17&lt;='Deal C Office'!$B$8+'Deal C Office'!$B$9),('Deal C Office'!$B$3/(1-'Deal C Office'!$B$6))*'Deal C Office'!$B$6*'Deal C Office'!$B$7/4,0)</f>
        <v>1258125</v>
      </c>
      <c r="J19" s="0" t="n">
        <f aca="false">IF(AND(J$17&gt;'Deal C Office'!$B$8,J$17&lt;='Deal C Office'!$B$8+'Deal C Office'!$B$9),('Deal C Office'!$B$3/(1-'Deal C Office'!$B$6))*'Deal C Office'!$B$6*'Deal C Office'!$B$7/4,0)</f>
        <v>1258125</v>
      </c>
      <c r="K19" s="0" t="n">
        <f aca="false">IF(AND(K$17&gt;'Deal C Office'!$B$8,K$17&lt;='Deal C Office'!$B$8+'Deal C Office'!$B$9),('Deal C Office'!$B$3/(1-'Deal C Office'!$B$6))*'Deal C Office'!$B$6*'Deal C Office'!$B$7/4,0)</f>
        <v>1258125</v>
      </c>
      <c r="L19" s="0" t="n">
        <f aca="false">IF(AND(L$17&gt;'Deal C Office'!$B$8,L$17&lt;='Deal C Office'!$B$8+'Deal C Office'!$B$9),('Deal C Office'!$B$3/(1-'Deal C Office'!$B$6))*'Deal C Office'!$B$6*'Deal C Office'!$B$7/4,0)</f>
        <v>1258125</v>
      </c>
      <c r="M19" s="0" t="n">
        <f aca="false">IF(AND(M$17&gt;'Deal C Office'!$B$8,M$17&lt;='Deal C Office'!$B$8+'Deal C Office'!$B$9),('Deal C Office'!$B$3/(1-'Deal C Office'!$B$6))*'Deal C Office'!$B$6*'Deal C Office'!$B$7/4,0)</f>
        <v>1258125</v>
      </c>
      <c r="N19" s="0" t="n">
        <f aca="false">IF(AND(N$17&gt;'Deal C Office'!$B$8,N$17&lt;='Deal C Office'!$B$8+'Deal C Office'!$B$9),('Deal C Office'!$B$3/(1-'Deal C Office'!$B$6))*'Deal C Office'!$B$6*'Deal C Office'!$B$7/4,0)</f>
        <v>1258125</v>
      </c>
      <c r="O19" s="0" t="n">
        <f aca="false">IF(AND(O$17&gt;'Deal C Office'!$B$8,O$17&lt;='Deal C Office'!$B$8+'Deal C Office'!$B$9),('Deal C Office'!$B$3/(1-'Deal C Office'!$B$6))*'Deal C Office'!$B$6*'Deal C Office'!$B$7/4,0)</f>
        <v>1258125</v>
      </c>
      <c r="P19" s="0" t="n">
        <f aca="false">IF(AND(P$17&gt;'Deal C Office'!$B$8,P$17&lt;='Deal C Office'!$B$8+'Deal C Office'!$B$9),('Deal C Office'!$B$3/(1-'Deal C Office'!$B$6))*'Deal C Office'!$B$6*'Deal C Office'!$B$7/4,0)</f>
        <v>1258125</v>
      </c>
      <c r="Q19" s="0" t="n">
        <f aca="false">IF(AND(Q$17&gt;'Deal C Office'!$B$8,Q$17&lt;='Deal C Office'!$B$8+'Deal C Office'!$B$9),('Deal C Office'!$B$3/(1-'Deal C Office'!$B$6))*'Deal C Office'!$B$6*'Deal C Office'!$B$7/4,0)</f>
        <v>1258125</v>
      </c>
      <c r="R19" s="0" t="n">
        <f aca="false">IF(AND(R$17&gt;'Deal C Office'!$B$8,R$17&lt;='Deal C Office'!$B$8+'Deal C Office'!$B$9),('Deal C Office'!$B$3/(1-'Deal C Office'!$B$6))*'Deal C Office'!$B$6*'Deal C Office'!$B$7/4,0)</f>
        <v>1258125</v>
      </c>
      <c r="S19" s="0" t="n">
        <f aca="false">IF(AND(S$17&gt;'Deal C Office'!$B$8,S$17&lt;='Deal C Office'!$B$8+'Deal C Office'!$B$9),('Deal C Office'!$B$3/(1-'Deal C Office'!$B$6))*'Deal C Office'!$B$6*'Deal C Office'!$B$7/4,0)</f>
        <v>1258125</v>
      </c>
      <c r="T19" s="0" t="n">
        <f aca="false">IF(AND(T$17&gt;'Deal C Office'!$B$8,T$17&lt;='Deal C Office'!$B$8+'Deal C Office'!$B$9),('Deal C Office'!$B$3/(1-'Deal C Office'!$B$6))*'Deal C Office'!$B$6*'Deal C Office'!$B$7/4,0)</f>
        <v>1258125</v>
      </c>
      <c r="U19" s="0" t="n">
        <f aca="false">IF(AND(U$17&gt;'Deal C Office'!$B$8,U$17&lt;='Deal C Office'!$B$8+'Deal C Office'!$B$9),('Deal C Office'!$B$3/(1-'Deal C Office'!$B$6))*'Deal C Office'!$B$6*'Deal C Office'!$B$7/4,0)</f>
        <v>1258125</v>
      </c>
      <c r="V19" s="0" t="n">
        <f aca="false">IF(AND(V$17&gt;'Deal C Office'!$B$8,V$17&lt;='Deal C Office'!$B$8+'Deal C Office'!$B$9),('Deal C Office'!$B$3/(1-'Deal C Office'!$B$6))*'Deal C Office'!$B$6*'Deal C Office'!$B$7/4,0)</f>
        <v>1258125</v>
      </c>
      <c r="W19" s="0" t="n">
        <f aca="false">IF(AND(W$17&gt;'Deal C Office'!$B$8,W$17&lt;='Deal C Office'!$B$8+'Deal C Office'!$B$9),('Deal C Office'!$B$3/(1-'Deal C Office'!$B$6))*'Deal C Office'!$B$6*'Deal C Office'!$B$7/4,0)</f>
        <v>1258125</v>
      </c>
      <c r="X19" s="0" t="n">
        <f aca="false">IF(AND(X$17&gt;'Deal C Office'!$B$8,X$17&lt;='Deal C Office'!$B$8+'Deal C Office'!$B$9),('Deal C Office'!$B$3/(1-'Deal C Office'!$B$6))*'Deal C Office'!$B$6*'Deal C Office'!$B$7/4,0)</f>
        <v>1258125</v>
      </c>
      <c r="Y19" s="0" t="n">
        <f aca="false">IF(AND(Y$17&gt;'Deal C Office'!$B$8,Y$17&lt;='Deal C Office'!$B$8+'Deal C Office'!$B$9),('Deal C Office'!$B$3/(1-'Deal C Office'!$B$6))*'Deal C Office'!$B$6*'Deal C Office'!$B$7/4,0)</f>
        <v>1258125</v>
      </c>
      <c r="Z19" s="0" t="n">
        <f aca="false">IF(AND(Z$17&gt;'Deal C Office'!$B$8,Z$17&lt;='Deal C Office'!$B$8+'Deal C Office'!$B$9),('Deal C Office'!$B$3/(1-'Deal C Office'!$B$6))*'Deal C Office'!$B$6*'Deal C Office'!$B$7/4,0)</f>
        <v>1258125</v>
      </c>
      <c r="AA19" s="0" t="n">
        <f aca="false">IF(AND(AA$17&gt;'Deal C Office'!$B$8,AA$17&lt;='Deal C Office'!$B$8+'Deal C Office'!$B$9),('Deal C Office'!$B$3/(1-'Deal C Office'!$B$6))*'Deal C Office'!$B$6*'Deal C Office'!$B$7/4,0)</f>
        <v>1258125</v>
      </c>
      <c r="AB19" s="0" t="n">
        <f aca="false">IF(AND(AB$17&gt;'Deal C Office'!$B$8,AB$17&lt;='Deal C Office'!$B$8+'Deal C Office'!$B$9),('Deal C Office'!$B$3/(1-'Deal C Office'!$B$6))*'Deal C Office'!$B$6*'Deal C Office'!$B$7/4,0)</f>
        <v>1258125</v>
      </c>
      <c r="AC19" s="0" t="n">
        <f aca="false">IF(AND(AC$17&gt;'Deal C Office'!$B$8,AC$17&lt;='Deal C Office'!$B$8+'Deal C Office'!$B$9),('Deal C Office'!$B$3/(1-'Deal C Office'!$B$6))*'Deal C Office'!$B$6*'Deal C Office'!$B$7/4,0)</f>
        <v>1258125</v>
      </c>
      <c r="AD19" s="0" t="n">
        <f aca="false">IF(AND(AD$17&gt;'Deal C Office'!$B$8,AD$17&lt;='Deal C Office'!$B$8+'Deal C Office'!$B$9),('Deal C Office'!$B$3/(1-'Deal C Office'!$B$6))*'Deal C Office'!$B$6*'Deal C Office'!$B$7/4,0)</f>
        <v>0</v>
      </c>
      <c r="AE19" s="0" t="n">
        <f aca="false">IF(AND(AE$17&gt;'Deal C Office'!$B$8,AE$17&lt;='Deal C Office'!$B$8+'Deal C Office'!$B$9),('Deal C Office'!$B$3/(1-'Deal C Office'!$B$6))*'Deal C Office'!$B$6*'Deal C Office'!$B$7/4,0)</f>
        <v>0</v>
      </c>
      <c r="AF19" s="0" t="n">
        <f aca="false">IF(AND(AF$17&gt;'Deal C Office'!$B$8,AF$17&lt;='Deal C Office'!$B$8+'Deal C Office'!$B$9),('Deal C Office'!$B$3/(1-'Deal C Office'!$B$6))*'Deal C Office'!$B$6*'Deal C Office'!$B$7/4,0)</f>
        <v>0</v>
      </c>
      <c r="AG19" s="0" t="n">
        <f aca="false">IF(AND(AG$17&gt;'Deal C Office'!$B$8,AG$17&lt;='Deal C Office'!$B$8+'Deal C Office'!$B$9),('Deal C Office'!$B$3/(1-'Deal C Office'!$B$6))*'Deal C Office'!$B$6*'Deal C Office'!$B$7/4,0)</f>
        <v>0</v>
      </c>
      <c r="AH19" s="0" t="n">
        <f aca="false">IF(AND(AH$17&gt;'Deal C Office'!$B$8,AH$17&lt;='Deal C Office'!$B$8+'Deal C Office'!$B$9),('Deal C Office'!$B$3/(1-'Deal C Office'!$B$6))*'Deal C Office'!$B$6*'Deal C Office'!$B$7/4,0)</f>
        <v>0</v>
      </c>
    </row>
    <row r="20" customFormat="false" ht="15" hidden="false" customHeight="false" outlineLevel="0" collapsed="false">
      <c r="A20" s="0" t="s">
        <v>28</v>
      </c>
      <c r="B20" s="0" t="n">
        <f aca="false">IF(B$17='Deal C Office'!$B$8,-'Deal C Office'!$B$3,0)</f>
        <v>0</v>
      </c>
      <c r="C20" s="0" t="n">
        <f aca="false">IF(C$17='Deal C Office'!$B$8,-'Deal C Office'!$B$3,0)</f>
        <v>0</v>
      </c>
      <c r="D20" s="0" t="n">
        <f aca="false">IF(D$17='Deal C Office'!$B$8,-'Deal C Office'!$B$3,0)</f>
        <v>0</v>
      </c>
      <c r="E20" s="0" t="n">
        <f aca="false">IF(E$17='Deal C Office'!$B$8,-'Deal C Office'!$B$3,0)</f>
        <v>-55000000</v>
      </c>
      <c r="F20" s="0" t="n">
        <f aca="false">IF(F$17='Deal C Office'!$B$8,-'Deal C Office'!$B$3,0)</f>
        <v>0</v>
      </c>
      <c r="G20" s="0" t="n">
        <f aca="false">IF(G$17='Deal C Office'!$B$8,-'Deal C Office'!$B$3,0)</f>
        <v>0</v>
      </c>
      <c r="H20" s="0" t="n">
        <f aca="false">IF(H$17='Deal C Office'!$B$8,-'Deal C Office'!$B$3,0)</f>
        <v>0</v>
      </c>
      <c r="I20" s="0" t="n">
        <f aca="false">IF(I$17='Deal C Office'!$B$8,-'Deal C Office'!$B$3,0)</f>
        <v>0</v>
      </c>
      <c r="J20" s="0" t="n">
        <f aca="false">IF(J$17='Deal C Office'!$B$8,-'Deal C Office'!$B$3,0)</f>
        <v>0</v>
      </c>
      <c r="K20" s="0" t="n">
        <f aca="false">IF(K$17='Deal C Office'!$B$8,-'Deal C Office'!$B$3,0)</f>
        <v>0</v>
      </c>
      <c r="L20" s="0" t="n">
        <f aca="false">IF(L$17='Deal C Office'!$B$8,-'Deal C Office'!$B$3,0)</f>
        <v>0</v>
      </c>
      <c r="M20" s="0" t="n">
        <f aca="false">IF(M$17='Deal C Office'!$B$8,-'Deal C Office'!$B$3,0)</f>
        <v>0</v>
      </c>
      <c r="N20" s="0" t="n">
        <f aca="false">IF(N$17='Deal C Office'!$B$8,-'Deal C Office'!$B$3,0)</f>
        <v>0</v>
      </c>
      <c r="O20" s="0" t="n">
        <f aca="false">IF(O$17='Deal C Office'!$B$8,-'Deal C Office'!$B$3,0)</f>
        <v>0</v>
      </c>
      <c r="P20" s="0" t="n">
        <f aca="false">IF(P$17='Deal C Office'!$B$8,-'Deal C Office'!$B$3,0)</f>
        <v>0</v>
      </c>
      <c r="Q20" s="0" t="n">
        <f aca="false">IF(Q$17='Deal C Office'!$B$8,-'Deal C Office'!$B$3,0)</f>
        <v>0</v>
      </c>
      <c r="R20" s="0" t="n">
        <f aca="false">IF(R$17='Deal C Office'!$B$8,-'Deal C Office'!$B$3,0)</f>
        <v>0</v>
      </c>
      <c r="S20" s="0" t="n">
        <f aca="false">IF(S$17='Deal C Office'!$B$8,-'Deal C Office'!$B$3,0)</f>
        <v>0</v>
      </c>
      <c r="T20" s="0" t="n">
        <f aca="false">IF(T$17='Deal C Office'!$B$8,-'Deal C Office'!$B$3,0)</f>
        <v>0</v>
      </c>
      <c r="U20" s="0" t="n">
        <f aca="false">IF(U$17='Deal C Office'!$B$8,-'Deal C Office'!$B$3,0)</f>
        <v>0</v>
      </c>
      <c r="V20" s="0" t="n">
        <f aca="false">IF(V$17='Deal C Office'!$B$8,-'Deal C Office'!$B$3,0)</f>
        <v>0</v>
      </c>
      <c r="W20" s="0" t="n">
        <f aca="false">IF(W$17='Deal C Office'!$B$8,-'Deal C Office'!$B$3,0)</f>
        <v>0</v>
      </c>
      <c r="X20" s="0" t="n">
        <f aca="false">IF(X$17='Deal C Office'!$B$8,-'Deal C Office'!$B$3,0)</f>
        <v>0</v>
      </c>
      <c r="Y20" s="0" t="n">
        <f aca="false">IF(Y$17='Deal C Office'!$B$8,-'Deal C Office'!$B$3,0)</f>
        <v>0</v>
      </c>
      <c r="Z20" s="0" t="n">
        <f aca="false">IF(Z$17='Deal C Office'!$B$8,-'Deal C Office'!$B$3,0)</f>
        <v>0</v>
      </c>
      <c r="AA20" s="0" t="n">
        <f aca="false">IF(AA$17='Deal C Office'!$B$8,-'Deal C Office'!$B$3,0)</f>
        <v>0</v>
      </c>
      <c r="AB20" s="0" t="n">
        <f aca="false">IF(AB$17='Deal C Office'!$B$8,-'Deal C Office'!$B$3,0)</f>
        <v>0</v>
      </c>
      <c r="AC20" s="0" t="n">
        <f aca="false">IF(AC$17='Deal C Office'!$B$8,-'Deal C Office'!$B$3,0)</f>
        <v>0</v>
      </c>
      <c r="AD20" s="0" t="n">
        <f aca="false">IF(AD$17='Deal C Office'!$B$8,-'Deal C Office'!$B$3,0)</f>
        <v>0</v>
      </c>
      <c r="AE20" s="0" t="n">
        <f aca="false">IF(AE$17='Deal C Office'!$B$8,-'Deal C Office'!$B$3,0)</f>
        <v>0</v>
      </c>
      <c r="AF20" s="0" t="n">
        <f aca="false">IF(AF$17='Deal C Office'!$B$8,-'Deal C Office'!$B$3,0)</f>
        <v>0</v>
      </c>
      <c r="AG20" s="0" t="n">
        <f aca="false">IF(AG$17='Deal C Office'!$B$8,-'Deal C Office'!$B$3,0)</f>
        <v>0</v>
      </c>
      <c r="AH20" s="0" t="n">
        <f aca="false">IF(AH$17='Deal C Office'!$B$8,-'Deal C Office'!$B$3,0)</f>
        <v>0</v>
      </c>
    </row>
    <row r="21" customFormat="false" ht="15" hidden="false" customHeight="false" outlineLevel="0" collapsed="false">
      <c r="A21" s="0" t="s">
        <v>29</v>
      </c>
      <c r="B21" s="0" t="n">
        <f aca="false">IF((B$17='Deal C Office'!$B$8+'Deal C Office'!$B$9),B18*4*(1+'Deal C Office'!$B$5)/$B$14-('Deal C Office'!$B$3/(1-'Deal C Office'!$B$6))*'Deal C Office'!$B$6,0)</f>
        <v>0</v>
      </c>
      <c r="C21" s="0" t="n">
        <f aca="false">IF((C$17='Deal C Office'!$B$8+'Deal C Office'!$B$9),C18*4*(1+'Deal C Office'!$B$5)/$B$14-('Deal C Office'!$B$3/(1-'Deal C Office'!$B$6))*'Deal C Office'!$B$6,0)</f>
        <v>0</v>
      </c>
      <c r="D21" s="0" t="n">
        <f aca="false">IF((D$17='Deal C Office'!$B$8+'Deal C Office'!$B$9),D18*4*(1+'Deal C Office'!$B$5)/$B$14-('Deal C Office'!$B$3/(1-'Deal C Office'!$B$6))*'Deal C Office'!$B$6,0)</f>
        <v>0</v>
      </c>
      <c r="E21" s="0" t="n">
        <f aca="false">IF((E$17='Deal C Office'!$B$8+'Deal C Office'!$B$9),E18*4*(1+'Deal C Office'!$B$5)/$B$14-('Deal C Office'!$B$3/(1-'Deal C Office'!$B$6))*'Deal C Office'!$B$6,0)</f>
        <v>0</v>
      </c>
      <c r="F21" s="0" t="n">
        <f aca="false">IF((F$17='Deal C Office'!$B$8+'Deal C Office'!$B$9),F18*4*(1+'Deal C Office'!$B$5)/$B$14-('Deal C Office'!$B$3/(1-'Deal C Office'!$B$6))*'Deal C Office'!$B$6,0)</f>
        <v>0</v>
      </c>
      <c r="G21" s="0" t="n">
        <f aca="false">IF((G$17='Deal C Office'!$B$8+'Deal C Office'!$B$9),G18*4*(1+'Deal C Office'!$B$5)/$B$14-('Deal C Office'!$B$3/(1-'Deal C Office'!$B$6))*'Deal C Office'!$B$6,0)</f>
        <v>0</v>
      </c>
      <c r="H21" s="0" t="n">
        <f aca="false">IF((H$17='Deal C Office'!$B$8+'Deal C Office'!$B$9),H18*4*(1+'Deal C Office'!$B$5)/$B$14-('Deal C Office'!$B$3/(1-'Deal C Office'!$B$6))*'Deal C Office'!$B$6,0)</f>
        <v>0</v>
      </c>
      <c r="I21" s="0" t="n">
        <f aca="false">IF((I$17='Deal C Office'!$B$8+'Deal C Office'!$B$9),I18*4*(1+'Deal C Office'!$B$5)/$B$14-('Deal C Office'!$B$3/(1-'Deal C Office'!$B$6))*'Deal C Office'!$B$6,0)</f>
        <v>0</v>
      </c>
      <c r="J21" s="0" t="n">
        <f aca="false">IF((J$17='Deal C Office'!$B$8+'Deal C Office'!$B$9),J18*4*(1+'Deal C Office'!$B$5)/$B$14-('Deal C Office'!$B$3/(1-'Deal C Office'!$B$6))*'Deal C Office'!$B$6,0)</f>
        <v>0</v>
      </c>
      <c r="K21" s="0" t="n">
        <f aca="false">IF((K$17='Deal C Office'!$B$8+'Deal C Office'!$B$9),K18*4*(1+'Deal C Office'!$B$5)/$B$14-('Deal C Office'!$B$3/(1-'Deal C Office'!$B$6))*'Deal C Office'!$B$6,0)</f>
        <v>0</v>
      </c>
      <c r="L21" s="0" t="n">
        <f aca="false">IF((L$17='Deal C Office'!$B$8+'Deal C Office'!$B$9),L18*4*(1+'Deal C Office'!$B$5)/$B$14-('Deal C Office'!$B$3/(1-'Deal C Office'!$B$6))*'Deal C Office'!$B$6,0)</f>
        <v>0</v>
      </c>
      <c r="M21" s="0" t="n">
        <f aca="false">IF((M$17='Deal C Office'!$B$8+'Deal C Office'!$B$9),M18*4*(1+'Deal C Office'!$B$5)/$B$14-('Deal C Office'!$B$3/(1-'Deal C Office'!$B$6))*'Deal C Office'!$B$6,0)</f>
        <v>0</v>
      </c>
      <c r="N21" s="0" t="n">
        <f aca="false">IF((N$17='Deal C Office'!$B$8+'Deal C Office'!$B$9),N18*4*(1+'Deal C Office'!$B$5)/$B$14-('Deal C Office'!$B$3/(1-'Deal C Office'!$B$6))*'Deal C Office'!$B$6,0)</f>
        <v>0</v>
      </c>
      <c r="O21" s="0" t="n">
        <f aca="false">IF((O$17='Deal C Office'!$B$8+'Deal C Office'!$B$9),O18*4*(1+'Deal C Office'!$B$5)/$B$14-('Deal C Office'!$B$3/(1-'Deal C Office'!$B$6))*'Deal C Office'!$B$6,0)</f>
        <v>0</v>
      </c>
      <c r="P21" s="0" t="n">
        <f aca="false">IF((P$17='Deal C Office'!$B$8+'Deal C Office'!$B$9),P18*4*(1+'Deal C Office'!$B$5)/$B$14-('Deal C Office'!$B$3/(1-'Deal C Office'!$B$6))*'Deal C Office'!$B$6,0)</f>
        <v>0</v>
      </c>
      <c r="Q21" s="0" t="n">
        <f aca="false">IF((Q$17='Deal C Office'!$B$8+'Deal C Office'!$B$9),Q18*4*(1+'Deal C Office'!$B$5)/$B$14-('Deal C Office'!$B$3/(1-'Deal C Office'!$B$6))*'Deal C Office'!$B$6,0)</f>
        <v>0</v>
      </c>
      <c r="R21" s="0" t="n">
        <f aca="false">IF((R$17='Deal C Office'!$B$8+'Deal C Office'!$B$9),R18*4*(1+'Deal C Office'!$B$5)/$B$14-('Deal C Office'!$B$3/(1-'Deal C Office'!$B$6))*'Deal C Office'!$B$6,0)</f>
        <v>0</v>
      </c>
      <c r="S21" s="0" t="n">
        <f aca="false">IF((S$17='Deal C Office'!$B$8+'Deal C Office'!$B$9),S18*4*(1+'Deal C Office'!$B$5)/$B$14-('Deal C Office'!$B$3/(1-'Deal C Office'!$B$6))*'Deal C Office'!$B$6,0)</f>
        <v>0</v>
      </c>
      <c r="T21" s="0" t="n">
        <f aca="false">IF((T$17='Deal C Office'!$B$8+'Deal C Office'!$B$9),T18*4*(1+'Deal C Office'!$B$5)/$B$14-('Deal C Office'!$B$3/(1-'Deal C Office'!$B$6))*'Deal C Office'!$B$6,0)</f>
        <v>0</v>
      </c>
      <c r="U21" s="0" t="n">
        <f aca="false">IF((U$17='Deal C Office'!$B$8+'Deal C Office'!$B$9),U18*4*(1+'Deal C Office'!$B$5)/$B$14-('Deal C Office'!$B$3/(1-'Deal C Office'!$B$6))*'Deal C Office'!$B$6,0)</f>
        <v>0</v>
      </c>
      <c r="V21" s="0" t="n">
        <f aca="false">IF((V$17='Deal C Office'!$B$8+'Deal C Office'!$B$9),V18*4*(1+'Deal C Office'!$B$5)/$B$14-('Deal C Office'!$B$3/(1-'Deal C Office'!$B$6))*'Deal C Office'!$B$6,0)</f>
        <v>0</v>
      </c>
      <c r="W21" s="0" t="n">
        <f aca="false">IF((W$17='Deal C Office'!$B$8+'Deal C Office'!$B$9),W18*4*(1+'Deal C Office'!$B$5)/$B$14-('Deal C Office'!$B$3/(1-'Deal C Office'!$B$6))*'Deal C Office'!$B$6,0)</f>
        <v>0</v>
      </c>
      <c r="X21" s="0" t="n">
        <f aca="false">IF((X$17='Deal C Office'!$B$8+'Deal C Office'!$B$9),X18*4*(1+'Deal C Office'!$B$5)/$B$14-('Deal C Office'!$B$3/(1-'Deal C Office'!$B$6))*'Deal C Office'!$B$6,0)</f>
        <v>0</v>
      </c>
      <c r="Y21" s="0" t="n">
        <f aca="false">IF((Y$17='Deal C Office'!$B$8+'Deal C Office'!$B$9),Y18*4*(1+'Deal C Office'!$B$5)/$B$14-('Deal C Office'!$B$3/(1-'Deal C Office'!$B$6))*'Deal C Office'!$B$6,0)</f>
        <v>0</v>
      </c>
      <c r="Z21" s="0" t="n">
        <f aca="false">IF((Z$17='Deal C Office'!$B$8+'Deal C Office'!$B$9),Z18*4*(1+'Deal C Office'!$B$5)/$B$14-('Deal C Office'!$B$3/(1-'Deal C Office'!$B$6))*'Deal C Office'!$B$6,0)</f>
        <v>0</v>
      </c>
      <c r="AA21" s="0" t="n">
        <f aca="false">IF((AA$17='Deal C Office'!$B$8+'Deal C Office'!$B$9),AA18*4*(1+'Deal C Office'!$B$5)/$B$14-('Deal C Office'!$B$3/(1-'Deal C Office'!$B$6))*'Deal C Office'!$B$6,0)</f>
        <v>0</v>
      </c>
      <c r="AB21" s="0" t="n">
        <f aca="false">IF((AB$17='Deal C Office'!$B$8+'Deal C Office'!$B$9),AB18*4*(1+'Deal C Office'!$B$5)/$B$14-('Deal C Office'!$B$3/(1-'Deal C Office'!$B$6))*'Deal C Office'!$B$6,0)</f>
        <v>0</v>
      </c>
      <c r="AC21" s="0" t="n">
        <f aca="false">IF((AC$17='Deal C Office'!$B$8+'Deal C Office'!$B$9),AC18*4*(1+'Deal C Office'!$B$5)/$B$14-('Deal C Office'!$B$3/(1-'Deal C Office'!$B$6))*'Deal C Office'!$B$6,0)</f>
        <v>70990313.4472579</v>
      </c>
      <c r="AD21" s="0" t="n">
        <f aca="false">IF((AD$17='Deal C Office'!$B$8+'Deal C Office'!$B$9),AD18*4*(1+'Deal C Office'!$B$5)/$B$14-('Deal C Office'!$B$3/(1-'Deal C Office'!$B$6))*'Deal C Office'!$B$6,0)</f>
        <v>0</v>
      </c>
      <c r="AE21" s="0" t="n">
        <f aca="false">IF((AE$17='Deal C Office'!$B$8+'Deal C Office'!$B$9),AE18*4*(1+'Deal C Office'!$B$5)/$B$14-('Deal C Office'!$B$3/(1-'Deal C Office'!$B$6))*'Deal C Office'!$B$6,0)</f>
        <v>0</v>
      </c>
      <c r="AF21" s="0" t="n">
        <f aca="false">IF((AF$17='Deal C Office'!$B$8+'Deal C Office'!$B$9),AF18*4*(1+'Deal C Office'!$B$5)/$B$14-('Deal C Office'!$B$3/(1-'Deal C Office'!$B$6))*'Deal C Office'!$B$6,0)</f>
        <v>0</v>
      </c>
      <c r="AG21" s="0" t="n">
        <f aca="false">IF((AG$17='Deal C Office'!$B$8+'Deal C Office'!$B$9),AG18*4*(1+'Deal C Office'!$B$5)/$B$14-('Deal C Office'!$B$3/(1-'Deal C Office'!$B$6))*'Deal C Office'!$B$6,0)</f>
        <v>0</v>
      </c>
      <c r="AH21" s="0" t="n">
        <f aca="false">IF((AH$17='Deal C Office'!$B$8+'Deal C Office'!$B$9),AH18*4*(1+'Deal C Office'!$B$5)/$B$14-('Deal C Office'!$B$3/(1-'Deal C Office'!$B$6))*'Deal C Office'!$B$6,0)</f>
        <v>0</v>
      </c>
    </row>
    <row r="22" customFormat="false" ht="15" hidden="false" customHeight="false" outlineLevel="0" collapsed="false">
      <c r="A22" s="0" t="s">
        <v>30</v>
      </c>
      <c r="B22" s="0" t="n">
        <f aca="false">B20+B18-B19+B21</f>
        <v>0</v>
      </c>
      <c r="C22" s="0" t="n">
        <f aca="false">C20+C18-C19+C21</f>
        <v>0</v>
      </c>
      <c r="D22" s="0" t="n">
        <f aca="false">D20+D18-D19+D21</f>
        <v>0</v>
      </c>
      <c r="E22" s="0" t="n">
        <f aca="false">E20+E18-E19+E21</f>
        <v>-55000000</v>
      </c>
      <c r="F22" s="0" t="n">
        <f aca="false">F20+F18-F19+F21</f>
        <v>1091875</v>
      </c>
      <c r="G22" s="0" t="n">
        <f aca="false">G20+G18-G19+G21</f>
        <v>1103537.88919703</v>
      </c>
      <c r="H22" s="0" t="n">
        <f aca="false">H20+H18-H19+H21</f>
        <v>1115258.66051509</v>
      </c>
      <c r="I22" s="0" t="n">
        <f aca="false">I20+I18-I19+I21</f>
        <v>1127037.60121918</v>
      </c>
      <c r="J22" s="0" t="n">
        <f aca="false">J20+J18-J19+J21</f>
        <v>1138875</v>
      </c>
      <c r="K22" s="0" t="n">
        <f aca="false">K20+K18-K19+K21</f>
        <v>1150771.14698097</v>
      </c>
      <c r="L22" s="0" t="n">
        <f aca="false">L20+L18-L19+L21</f>
        <v>1162726.33372539</v>
      </c>
      <c r="M22" s="0" t="n">
        <f aca="false">M20+M18-M19+M21</f>
        <v>1174740.85324357</v>
      </c>
      <c r="N22" s="0" t="n">
        <f aca="false">N20+N18-N19+N21</f>
        <v>1186815</v>
      </c>
      <c r="O22" s="0" t="n">
        <f aca="false">O20+O18-O19+O21</f>
        <v>1198949.06992059</v>
      </c>
      <c r="P22" s="0" t="n">
        <f aca="false">P20+P18-P19+P21</f>
        <v>1211143.3603999</v>
      </c>
      <c r="Q22" s="0" t="n">
        <f aca="false">Q20+Q18-Q19+Q21</f>
        <v>1223398.17030844</v>
      </c>
      <c r="R22" s="0" t="n">
        <f aca="false">R20+R18-R19+R21</f>
        <v>1235713.8</v>
      </c>
      <c r="S22" s="0" t="n">
        <f aca="false">S20+S18-S19+S21</f>
        <v>1248090.551319</v>
      </c>
      <c r="T22" s="0" t="n">
        <f aca="false">T20+T18-T19+T21</f>
        <v>1260528.7276079</v>
      </c>
      <c r="U22" s="0" t="n">
        <f aca="false">U20+U18-U19+U21</f>
        <v>1273028.63371461</v>
      </c>
      <c r="V22" s="0" t="n">
        <f aca="false">V20+V18-V19+V21</f>
        <v>1285590.576</v>
      </c>
      <c r="W22" s="0" t="n">
        <f aca="false">W20+W18-W19+W21</f>
        <v>1298214.86234538</v>
      </c>
      <c r="X22" s="0" t="n">
        <f aca="false">X20+X18-X19+X21</f>
        <v>1310901.80216005</v>
      </c>
      <c r="Y22" s="0" t="n">
        <f aca="false">Y20+Y18-Y19+Y21</f>
        <v>1323651.7063889</v>
      </c>
      <c r="Z22" s="0" t="n">
        <f aca="false">Z20+Z18-Z19+Z21</f>
        <v>1336464.88752</v>
      </c>
      <c r="AA22" s="0" t="n">
        <f aca="false">AA20+AA18-AA19+AA21</f>
        <v>1349341.65959229</v>
      </c>
      <c r="AB22" s="0" t="n">
        <f aca="false">AB20+AB18-AB19+AB21</f>
        <v>1362282.33820326</v>
      </c>
      <c r="AC22" s="0" t="n">
        <f aca="false">AC20+AC18-AC19+AC21</f>
        <v>72365600.6877745</v>
      </c>
      <c r="AD22" s="0" t="n">
        <f aca="false">AD20+AD18-AD19+AD21</f>
        <v>0</v>
      </c>
      <c r="AE22" s="0" t="n">
        <f aca="false">AE20+AE18-AE19+AE21</f>
        <v>0</v>
      </c>
      <c r="AF22" s="0" t="n">
        <f aca="false">AF20+AF18-AF19+AF21</f>
        <v>0</v>
      </c>
      <c r="AG22" s="0" t="n">
        <f aca="false">AG20+AG18-AG19+AG21</f>
        <v>0</v>
      </c>
      <c r="AH22" s="0" t="n">
        <f aca="false">AH20+AH18-AH19+AH21</f>
        <v>0</v>
      </c>
    </row>
    <row r="24" customFormat="false" ht="15" hidden="false" customHeight="false" outlineLevel="0" collapsed="false">
      <c r="A24" s="0" t="s">
        <v>31</v>
      </c>
      <c r="B24" s="4" t="n">
        <f aca="false">(1+IRR(B22:AH22,0.02))^4-1</f>
        <v>0.127519284696769</v>
      </c>
    </row>
    <row r="25" customFormat="false" ht="15" hidden="false" customHeight="false" outlineLevel="0" collapsed="false">
      <c r="A25" s="0" t="s">
        <v>32</v>
      </c>
      <c r="B25" s="5" t="n">
        <f aca="false">SUMIF(B22:AH22,"&gt;0")/-SUMIF(B22:AH22,"&lt;0")</f>
        <v>1.82790069669338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52</v>
      </c>
    </row>
    <row r="3" customFormat="false" ht="15" hidden="false" customHeight="false" outlineLevel="0" collapsed="false">
      <c r="A3" s="0" t="s">
        <v>14</v>
      </c>
      <c r="B3" s="2" t="n">
        <v>45000000</v>
      </c>
    </row>
    <row r="4" customFormat="false" ht="15" hidden="false" customHeight="false" outlineLevel="0" collapsed="false">
      <c r="A4" s="0" t="s">
        <v>15</v>
      </c>
      <c r="B4" s="2" t="n">
        <v>6900000</v>
      </c>
    </row>
    <row r="5" customFormat="false" ht="15" hidden="false" customHeight="false" outlineLevel="0" collapsed="false">
      <c r="A5" s="0" t="s">
        <v>16</v>
      </c>
      <c r="B5" s="4" t="n">
        <v>0.04</v>
      </c>
    </row>
    <row r="6" customFormat="false" ht="15" hidden="false" customHeight="false" outlineLevel="0" collapsed="false">
      <c r="A6" s="0" t="s">
        <v>17</v>
      </c>
      <c r="B6" s="4" t="n">
        <v>0.5</v>
      </c>
    </row>
    <row r="7" customFormat="false" ht="15" hidden="false" customHeight="false" outlineLevel="0" collapsed="false">
      <c r="A7" s="0" t="s">
        <v>18</v>
      </c>
      <c r="B7" s="4" t="n">
        <v>0.07</v>
      </c>
    </row>
    <row r="8" customFormat="false" ht="15" hidden="false" customHeight="false" outlineLevel="0" collapsed="false">
      <c r="A8" s="0" t="s">
        <v>19</v>
      </c>
      <c r="B8" s="1" t="n">
        <v>5</v>
      </c>
    </row>
    <row r="9" customFormat="false" ht="15" hidden="false" customHeight="false" outlineLevel="0" collapsed="false">
      <c r="A9" s="0" t="s">
        <v>20</v>
      </c>
      <c r="B9" s="1" t="n">
        <v>22</v>
      </c>
    </row>
    <row r="10" customFormat="false" ht="15" hidden="false" customHeight="false" outlineLevel="0" collapsed="false">
      <c r="A10" s="0" t="s">
        <v>21</v>
      </c>
      <c r="B10" s="4" t="n">
        <v>0.075</v>
      </c>
    </row>
    <row r="11" customFormat="false" ht="15" hidden="false" customHeight="false" outlineLevel="0" collapsed="false">
      <c r="A11" s="0" t="s">
        <v>22</v>
      </c>
      <c r="B11" s="4" t="n">
        <v>0.0875</v>
      </c>
    </row>
    <row r="12" customFormat="false" ht="15" hidden="false" customHeight="false" outlineLevel="0" collapsed="false">
      <c r="A12" s="0" t="s">
        <v>23</v>
      </c>
      <c r="B12" s="4" t="n">
        <v>0.0675</v>
      </c>
    </row>
    <row r="14" customFormat="false" ht="15" hidden="false" customHeight="false" outlineLevel="0" collapsed="false">
      <c r="A14" s="0" t="s">
        <v>24</v>
      </c>
      <c r="B14" s="4" t="n">
        <f aca="false">CHOOSE(Fund_Case,'Deal D Hotel'!$B$10,'Deal D Hotel'!$B$11,'Deal D Hotel'!$B$12)</f>
        <v>0.075</v>
      </c>
    </row>
    <row r="17" customFormat="false" ht="15" hidden="false" customHeight="false" outlineLevel="0" collapsed="false">
      <c r="A17" s="0" t="s">
        <v>25</v>
      </c>
      <c r="B17" s="0" t="n">
        <v>0</v>
      </c>
      <c r="C17" s="0" t="n">
        <v>1</v>
      </c>
      <c r="D17" s="0" t="n">
        <v>2</v>
      </c>
      <c r="E17" s="0" t="n">
        <v>3</v>
      </c>
      <c r="F17" s="0" t="n">
        <v>4</v>
      </c>
      <c r="G17" s="0" t="n">
        <v>5</v>
      </c>
      <c r="H17" s="0" t="n">
        <v>6</v>
      </c>
      <c r="I17" s="0" t="n">
        <v>7</v>
      </c>
      <c r="J17" s="0" t="n">
        <v>8</v>
      </c>
      <c r="K17" s="0" t="n">
        <v>9</v>
      </c>
      <c r="L17" s="0" t="n">
        <v>10</v>
      </c>
      <c r="M17" s="0" t="n">
        <v>11</v>
      </c>
      <c r="N17" s="0" t="n">
        <v>12</v>
      </c>
      <c r="O17" s="0" t="n">
        <v>13</v>
      </c>
      <c r="P17" s="0" t="n">
        <v>14</v>
      </c>
      <c r="Q17" s="0" t="n">
        <v>15</v>
      </c>
      <c r="R17" s="0" t="n">
        <v>16</v>
      </c>
      <c r="S17" s="0" t="n">
        <v>17</v>
      </c>
      <c r="T17" s="0" t="n">
        <v>18</v>
      </c>
      <c r="U17" s="0" t="n">
        <v>19</v>
      </c>
      <c r="V17" s="0" t="n">
        <v>20</v>
      </c>
      <c r="W17" s="0" t="n">
        <v>21</v>
      </c>
      <c r="X17" s="0" t="n">
        <v>22</v>
      </c>
      <c r="Y17" s="0" t="n">
        <v>23</v>
      </c>
      <c r="Z17" s="0" t="n">
        <v>24</v>
      </c>
      <c r="AA17" s="0" t="n">
        <v>25</v>
      </c>
      <c r="AB17" s="0" t="n">
        <v>26</v>
      </c>
      <c r="AC17" s="0" t="n">
        <v>27</v>
      </c>
      <c r="AD17" s="0" t="n">
        <v>28</v>
      </c>
      <c r="AE17" s="0" t="n">
        <v>29</v>
      </c>
      <c r="AF17" s="0" t="n">
        <v>30</v>
      </c>
      <c r="AG17" s="0" t="n">
        <v>31</v>
      </c>
      <c r="AH17" s="0" t="n">
        <v>32</v>
      </c>
    </row>
    <row r="18" customFormat="false" ht="15" hidden="false" customHeight="false" outlineLevel="0" collapsed="false">
      <c r="A18" s="0" t="s">
        <v>26</v>
      </c>
      <c r="B18" s="0" t="n">
        <f aca="false">IF(AND(B$17&gt;'Deal D Hotel'!$B$8,B$17&lt;='Deal D Hotel'!$B$8+'Deal D Hotel'!$B$9),'Deal D Hotel'!$B$4/4*(1+'Deal D Hotel'!$B$5)^((B$17-'Deal D Hotel'!$B$8-1)/4),0)</f>
        <v>0</v>
      </c>
      <c r="C18" s="0" t="n">
        <f aca="false">IF(AND(C$17&gt;'Deal D Hotel'!$B$8,C$17&lt;='Deal D Hotel'!$B$8+'Deal D Hotel'!$B$9),'Deal D Hotel'!$B$4/4*(1+'Deal D Hotel'!$B$5)^((C$17-'Deal D Hotel'!$B$8-1)/4),0)</f>
        <v>0</v>
      </c>
      <c r="D18" s="0" t="n">
        <f aca="false">IF(AND(D$17&gt;'Deal D Hotel'!$B$8,D$17&lt;='Deal D Hotel'!$B$8+'Deal D Hotel'!$B$9),'Deal D Hotel'!$B$4/4*(1+'Deal D Hotel'!$B$5)^((D$17-'Deal D Hotel'!$B$8-1)/4),0)</f>
        <v>0</v>
      </c>
      <c r="E18" s="0" t="n">
        <f aca="false">IF(AND(E$17&gt;'Deal D Hotel'!$B$8,E$17&lt;='Deal D Hotel'!$B$8+'Deal D Hotel'!$B$9),'Deal D Hotel'!$B$4/4*(1+'Deal D Hotel'!$B$5)^((E$17-'Deal D Hotel'!$B$8-1)/4),0)</f>
        <v>0</v>
      </c>
      <c r="F18" s="0" t="n">
        <f aca="false">IF(AND(F$17&gt;'Deal D Hotel'!$B$8,F$17&lt;='Deal D Hotel'!$B$8+'Deal D Hotel'!$B$9),'Deal D Hotel'!$B$4/4*(1+'Deal D Hotel'!$B$5)^((F$17-'Deal D Hotel'!$B$8-1)/4),0)</f>
        <v>0</v>
      </c>
      <c r="G18" s="0" t="n">
        <f aca="false">IF(AND(G$17&gt;'Deal D Hotel'!$B$8,G$17&lt;='Deal D Hotel'!$B$8+'Deal D Hotel'!$B$9),'Deal D Hotel'!$B$4/4*(1+'Deal D Hotel'!$B$5)^((G$17-'Deal D Hotel'!$B$8-1)/4),0)</f>
        <v>0</v>
      </c>
      <c r="H18" s="0" t="n">
        <f aca="false">IF(AND(H$17&gt;'Deal D Hotel'!$B$8,H$17&lt;='Deal D Hotel'!$B$8+'Deal D Hotel'!$B$9),'Deal D Hotel'!$B$4/4*(1+'Deal D Hotel'!$B$5)^((H$17-'Deal D Hotel'!$B$8-1)/4),0)</f>
        <v>1725000</v>
      </c>
      <c r="I18" s="0" t="n">
        <f aca="false">IF(AND(I$17&gt;'Deal D Hotel'!$B$8,I$17&lt;='Deal D Hotel'!$B$8+'Deal D Hotel'!$B$9),'Deal D Hotel'!$B$4/4*(1+'Deal D Hotel'!$B$5)^((I$17-'Deal D Hotel'!$B$8-1)/4),0)</f>
        <v>1741997.12629697</v>
      </c>
      <c r="J18" s="0" t="n">
        <f aca="false">IF(AND(J$17&gt;'Deal D Hotel'!$B$8,J$17&lt;='Deal D Hotel'!$B$8+'Deal D Hotel'!$B$9),'Deal D Hotel'!$B$4/4*(1+'Deal D Hotel'!$B$5)^((J$17-'Deal D Hotel'!$B$8-1)/4),0)</f>
        <v>1759161.73218951</v>
      </c>
      <c r="K18" s="0" t="n">
        <f aca="false">IF(AND(K$17&gt;'Deal D Hotel'!$B$8,K$17&lt;='Deal D Hotel'!$B$8+'Deal D Hotel'!$B$9),'Deal D Hotel'!$B$4/4*(1+'Deal D Hotel'!$B$5)^((K$17-'Deal D Hotel'!$B$8-1)/4),0)</f>
        <v>1776495.46792216</v>
      </c>
      <c r="L18" s="0" t="n">
        <f aca="false">IF(AND(L$17&gt;'Deal D Hotel'!$B$8,L$17&lt;='Deal D Hotel'!$B$8+'Deal D Hotel'!$B$9),'Deal D Hotel'!$B$4/4*(1+'Deal D Hotel'!$B$5)^((L$17-'Deal D Hotel'!$B$8-1)/4),0)</f>
        <v>1794000</v>
      </c>
      <c r="M18" s="0" t="n">
        <f aca="false">IF(AND(M$17&gt;'Deal D Hotel'!$B$8,M$17&lt;='Deal D Hotel'!$B$8+'Deal D Hotel'!$B$9),'Deal D Hotel'!$B$4/4*(1+'Deal D Hotel'!$B$5)^((M$17-'Deal D Hotel'!$B$8-1)/4),0)</f>
        <v>1811677.01134885</v>
      </c>
      <c r="N18" s="0" t="n">
        <f aca="false">IF(AND(N$17&gt;'Deal D Hotel'!$B$8,N$17&lt;='Deal D Hotel'!$B$8+'Deal D Hotel'!$B$9),'Deal D Hotel'!$B$4/4*(1+'Deal D Hotel'!$B$5)^((N$17-'Deal D Hotel'!$B$8-1)/4),0)</f>
        <v>1829528.20147709</v>
      </c>
      <c r="O18" s="0" t="n">
        <f aca="false">IF(AND(O$17&gt;'Deal D Hotel'!$B$8,O$17&lt;='Deal D Hotel'!$B$8+'Deal D Hotel'!$B$9),'Deal D Hotel'!$B$4/4*(1+'Deal D Hotel'!$B$5)^((O$17-'Deal D Hotel'!$B$8-1)/4),0)</f>
        <v>1847555.28663905</v>
      </c>
      <c r="P18" s="0" t="n">
        <f aca="false">IF(AND(P$17&gt;'Deal D Hotel'!$B$8,P$17&lt;='Deal D Hotel'!$B$8+'Deal D Hotel'!$B$9),'Deal D Hotel'!$B$4/4*(1+'Deal D Hotel'!$B$5)^((P$17-'Deal D Hotel'!$B$8-1)/4),0)</f>
        <v>1865760</v>
      </c>
      <c r="Q18" s="0" t="n">
        <f aca="false">IF(AND(Q$17&gt;'Deal D Hotel'!$B$8,Q$17&lt;='Deal D Hotel'!$B$8+'Deal D Hotel'!$B$9),'Deal D Hotel'!$B$4/4*(1+'Deal D Hotel'!$B$5)^((Q$17-'Deal D Hotel'!$B$8-1)/4),0)</f>
        <v>1884144.0918028</v>
      </c>
      <c r="R18" s="0" t="n">
        <f aca="false">IF(AND(R$17&gt;'Deal D Hotel'!$B$8,R$17&lt;='Deal D Hotel'!$B$8+'Deal D Hotel'!$B$9),'Deal D Hotel'!$B$4/4*(1+'Deal D Hotel'!$B$5)^((R$17-'Deal D Hotel'!$B$8-1)/4),0)</f>
        <v>1902709.32953618</v>
      </c>
      <c r="S18" s="0" t="n">
        <f aca="false">IF(AND(S$17&gt;'Deal D Hotel'!$B$8,S$17&lt;='Deal D Hotel'!$B$8+'Deal D Hotel'!$B$9),'Deal D Hotel'!$B$4/4*(1+'Deal D Hotel'!$B$5)^((S$17-'Deal D Hotel'!$B$8-1)/4),0)</f>
        <v>1921457.49810461</v>
      </c>
      <c r="T18" s="0" t="n">
        <f aca="false">IF(AND(T$17&gt;'Deal D Hotel'!$B$8,T$17&lt;='Deal D Hotel'!$B$8+'Deal D Hotel'!$B$9),'Deal D Hotel'!$B$4/4*(1+'Deal D Hotel'!$B$5)^((T$17-'Deal D Hotel'!$B$8-1)/4),0)</f>
        <v>1940390.4</v>
      </c>
      <c r="U18" s="0" t="n">
        <f aca="false">IF(AND(U$17&gt;'Deal D Hotel'!$B$8,U$17&lt;='Deal D Hotel'!$B$8+'Deal D Hotel'!$B$9),'Deal D Hotel'!$B$4/4*(1+'Deal D Hotel'!$B$5)^((U$17-'Deal D Hotel'!$B$8-1)/4),0)</f>
        <v>1959509.85547492</v>
      </c>
      <c r="V18" s="0" t="n">
        <f aca="false">IF(AND(V$17&gt;'Deal D Hotel'!$B$8,V$17&lt;='Deal D Hotel'!$B$8+'Deal D Hotel'!$B$9),'Deal D Hotel'!$B$4/4*(1+'Deal D Hotel'!$B$5)^((V$17-'Deal D Hotel'!$B$8-1)/4),0)</f>
        <v>1978817.70271762</v>
      </c>
      <c r="W18" s="0" t="n">
        <f aca="false">IF(AND(W$17&gt;'Deal D Hotel'!$B$8,W$17&lt;='Deal D Hotel'!$B$8+'Deal D Hotel'!$B$9),'Deal D Hotel'!$B$4/4*(1+'Deal D Hotel'!$B$5)^((W$17-'Deal D Hotel'!$B$8-1)/4),0)</f>
        <v>1998315.7980288</v>
      </c>
      <c r="X18" s="0" t="n">
        <f aca="false">IF(AND(X$17&gt;'Deal D Hotel'!$B$8,X$17&lt;='Deal D Hotel'!$B$8+'Deal D Hotel'!$B$9),'Deal D Hotel'!$B$4/4*(1+'Deal D Hotel'!$B$5)^((X$17-'Deal D Hotel'!$B$8-1)/4),0)</f>
        <v>2018006.016</v>
      </c>
      <c r="Y18" s="0" t="n">
        <f aca="false">IF(AND(Y$17&gt;'Deal D Hotel'!$B$8,Y$17&lt;='Deal D Hotel'!$B$8+'Deal D Hotel'!$B$9),'Deal D Hotel'!$B$4/4*(1+'Deal D Hotel'!$B$5)^((Y$17-'Deal D Hotel'!$B$8-1)/4),0)</f>
        <v>2037890.24969391</v>
      </c>
      <c r="Z18" s="0" t="n">
        <f aca="false">IF(AND(Z$17&gt;'Deal D Hotel'!$B$8,Z$17&lt;='Deal D Hotel'!$B$8+'Deal D Hotel'!$B$9),'Deal D Hotel'!$B$4/4*(1+'Deal D Hotel'!$B$5)^((Z$17-'Deal D Hotel'!$B$8-1)/4),0)</f>
        <v>2057970.41082633</v>
      </c>
      <c r="AA18" s="0" t="n">
        <f aca="false">IF(AND(AA$17&gt;'Deal D Hotel'!$B$8,AA$17&lt;='Deal D Hotel'!$B$8+'Deal D Hotel'!$B$9),'Deal D Hotel'!$B$4/4*(1+'Deal D Hotel'!$B$5)^((AA$17-'Deal D Hotel'!$B$8-1)/4),0)</f>
        <v>2078248.42994995</v>
      </c>
      <c r="AB18" s="0" t="n">
        <f aca="false">IF(AND(AB$17&gt;'Deal D Hotel'!$B$8,AB$17&lt;='Deal D Hotel'!$B$8+'Deal D Hotel'!$B$9),'Deal D Hotel'!$B$4/4*(1+'Deal D Hotel'!$B$5)^((AB$17-'Deal D Hotel'!$B$8-1)/4),0)</f>
        <v>2098726.25664</v>
      </c>
      <c r="AC18" s="0" t="n">
        <f aca="false">IF(AND(AC$17&gt;'Deal D Hotel'!$B$8,AC$17&lt;='Deal D Hotel'!$B$8+'Deal D Hotel'!$B$9),'Deal D Hotel'!$B$4/4*(1+'Deal D Hotel'!$B$5)^((AC$17-'Deal D Hotel'!$B$8-1)/4),0)</f>
        <v>2119405.85968167</v>
      </c>
      <c r="AD18" s="0" t="n">
        <f aca="false">IF(AND(AD$17&gt;'Deal D Hotel'!$B$8,AD$17&lt;='Deal D Hotel'!$B$8+'Deal D Hotel'!$B$9),'Deal D Hotel'!$B$4/4*(1+'Deal D Hotel'!$B$5)^((AD$17-'Deal D Hotel'!$B$8-1)/4),0)</f>
        <v>0</v>
      </c>
      <c r="AE18" s="0" t="n">
        <f aca="false">IF(AND(AE$17&gt;'Deal D Hotel'!$B$8,AE$17&lt;='Deal D Hotel'!$B$8+'Deal D Hotel'!$B$9),'Deal D Hotel'!$B$4/4*(1+'Deal D Hotel'!$B$5)^((AE$17-'Deal D Hotel'!$B$8-1)/4),0)</f>
        <v>0</v>
      </c>
      <c r="AF18" s="0" t="n">
        <f aca="false">IF(AND(AF$17&gt;'Deal D Hotel'!$B$8,AF$17&lt;='Deal D Hotel'!$B$8+'Deal D Hotel'!$B$9),'Deal D Hotel'!$B$4/4*(1+'Deal D Hotel'!$B$5)^((AF$17-'Deal D Hotel'!$B$8-1)/4),0)</f>
        <v>0</v>
      </c>
      <c r="AG18" s="0" t="n">
        <f aca="false">IF(AND(AG$17&gt;'Deal D Hotel'!$B$8,AG$17&lt;='Deal D Hotel'!$B$8+'Deal D Hotel'!$B$9),'Deal D Hotel'!$B$4/4*(1+'Deal D Hotel'!$B$5)^((AG$17-'Deal D Hotel'!$B$8-1)/4),0)</f>
        <v>0</v>
      </c>
      <c r="AH18" s="0" t="n">
        <f aca="false">IF(AND(AH$17&gt;'Deal D Hotel'!$B$8,AH$17&lt;='Deal D Hotel'!$B$8+'Deal D Hotel'!$B$9),'Deal D Hotel'!$B$4/4*(1+'Deal D Hotel'!$B$5)^((AH$17-'Deal D Hotel'!$B$8-1)/4),0)</f>
        <v>0</v>
      </c>
    </row>
    <row r="19" customFormat="false" ht="15" hidden="false" customHeight="false" outlineLevel="0" collapsed="false">
      <c r="A19" s="0" t="s">
        <v>27</v>
      </c>
      <c r="B19" s="0" t="n">
        <f aca="false">IF(AND(B$17&gt;'Deal D Hotel'!$B$8,B$17&lt;='Deal D Hotel'!$B$8+'Deal D Hotel'!$B$9),('Deal D Hotel'!$B$3/(1-'Deal D Hotel'!$B$6))*'Deal D Hotel'!$B$6*'Deal D Hotel'!$B$7/4,0)</f>
        <v>0</v>
      </c>
      <c r="C19" s="0" t="n">
        <f aca="false">IF(AND(C$17&gt;'Deal D Hotel'!$B$8,C$17&lt;='Deal D Hotel'!$B$8+'Deal D Hotel'!$B$9),('Deal D Hotel'!$B$3/(1-'Deal D Hotel'!$B$6))*'Deal D Hotel'!$B$6*'Deal D Hotel'!$B$7/4,0)</f>
        <v>0</v>
      </c>
      <c r="D19" s="0" t="n">
        <f aca="false">IF(AND(D$17&gt;'Deal D Hotel'!$B$8,D$17&lt;='Deal D Hotel'!$B$8+'Deal D Hotel'!$B$9),('Deal D Hotel'!$B$3/(1-'Deal D Hotel'!$B$6))*'Deal D Hotel'!$B$6*'Deal D Hotel'!$B$7/4,0)</f>
        <v>0</v>
      </c>
      <c r="E19" s="0" t="n">
        <f aca="false">IF(AND(E$17&gt;'Deal D Hotel'!$B$8,E$17&lt;='Deal D Hotel'!$B$8+'Deal D Hotel'!$B$9),('Deal D Hotel'!$B$3/(1-'Deal D Hotel'!$B$6))*'Deal D Hotel'!$B$6*'Deal D Hotel'!$B$7/4,0)</f>
        <v>0</v>
      </c>
      <c r="F19" s="0" t="n">
        <f aca="false">IF(AND(F$17&gt;'Deal D Hotel'!$B$8,F$17&lt;='Deal D Hotel'!$B$8+'Deal D Hotel'!$B$9),('Deal D Hotel'!$B$3/(1-'Deal D Hotel'!$B$6))*'Deal D Hotel'!$B$6*'Deal D Hotel'!$B$7/4,0)</f>
        <v>0</v>
      </c>
      <c r="G19" s="0" t="n">
        <f aca="false">IF(AND(G$17&gt;'Deal D Hotel'!$B$8,G$17&lt;='Deal D Hotel'!$B$8+'Deal D Hotel'!$B$9),('Deal D Hotel'!$B$3/(1-'Deal D Hotel'!$B$6))*'Deal D Hotel'!$B$6*'Deal D Hotel'!$B$7/4,0)</f>
        <v>0</v>
      </c>
      <c r="H19" s="0" t="n">
        <f aca="false">IF(AND(H$17&gt;'Deal D Hotel'!$B$8,H$17&lt;='Deal D Hotel'!$B$8+'Deal D Hotel'!$B$9),('Deal D Hotel'!$B$3/(1-'Deal D Hotel'!$B$6))*'Deal D Hotel'!$B$6*'Deal D Hotel'!$B$7/4,0)</f>
        <v>787500</v>
      </c>
      <c r="I19" s="0" t="n">
        <f aca="false">IF(AND(I$17&gt;'Deal D Hotel'!$B$8,I$17&lt;='Deal D Hotel'!$B$8+'Deal D Hotel'!$B$9),('Deal D Hotel'!$B$3/(1-'Deal D Hotel'!$B$6))*'Deal D Hotel'!$B$6*'Deal D Hotel'!$B$7/4,0)</f>
        <v>787500</v>
      </c>
      <c r="J19" s="0" t="n">
        <f aca="false">IF(AND(J$17&gt;'Deal D Hotel'!$B$8,J$17&lt;='Deal D Hotel'!$B$8+'Deal D Hotel'!$B$9),('Deal D Hotel'!$B$3/(1-'Deal D Hotel'!$B$6))*'Deal D Hotel'!$B$6*'Deal D Hotel'!$B$7/4,0)</f>
        <v>787500</v>
      </c>
      <c r="K19" s="0" t="n">
        <f aca="false">IF(AND(K$17&gt;'Deal D Hotel'!$B$8,K$17&lt;='Deal D Hotel'!$B$8+'Deal D Hotel'!$B$9),('Deal D Hotel'!$B$3/(1-'Deal D Hotel'!$B$6))*'Deal D Hotel'!$B$6*'Deal D Hotel'!$B$7/4,0)</f>
        <v>787500</v>
      </c>
      <c r="L19" s="0" t="n">
        <f aca="false">IF(AND(L$17&gt;'Deal D Hotel'!$B$8,L$17&lt;='Deal D Hotel'!$B$8+'Deal D Hotel'!$B$9),('Deal D Hotel'!$B$3/(1-'Deal D Hotel'!$B$6))*'Deal D Hotel'!$B$6*'Deal D Hotel'!$B$7/4,0)</f>
        <v>787500</v>
      </c>
      <c r="M19" s="0" t="n">
        <f aca="false">IF(AND(M$17&gt;'Deal D Hotel'!$B$8,M$17&lt;='Deal D Hotel'!$B$8+'Deal D Hotel'!$B$9),('Deal D Hotel'!$B$3/(1-'Deal D Hotel'!$B$6))*'Deal D Hotel'!$B$6*'Deal D Hotel'!$B$7/4,0)</f>
        <v>787500</v>
      </c>
      <c r="N19" s="0" t="n">
        <f aca="false">IF(AND(N$17&gt;'Deal D Hotel'!$B$8,N$17&lt;='Deal D Hotel'!$B$8+'Deal D Hotel'!$B$9),('Deal D Hotel'!$B$3/(1-'Deal D Hotel'!$B$6))*'Deal D Hotel'!$B$6*'Deal D Hotel'!$B$7/4,0)</f>
        <v>787500</v>
      </c>
      <c r="O19" s="0" t="n">
        <f aca="false">IF(AND(O$17&gt;'Deal D Hotel'!$B$8,O$17&lt;='Deal D Hotel'!$B$8+'Deal D Hotel'!$B$9),('Deal D Hotel'!$B$3/(1-'Deal D Hotel'!$B$6))*'Deal D Hotel'!$B$6*'Deal D Hotel'!$B$7/4,0)</f>
        <v>787500</v>
      </c>
      <c r="P19" s="0" t="n">
        <f aca="false">IF(AND(P$17&gt;'Deal D Hotel'!$B$8,P$17&lt;='Deal D Hotel'!$B$8+'Deal D Hotel'!$B$9),('Deal D Hotel'!$B$3/(1-'Deal D Hotel'!$B$6))*'Deal D Hotel'!$B$6*'Deal D Hotel'!$B$7/4,0)</f>
        <v>787500</v>
      </c>
      <c r="Q19" s="0" t="n">
        <f aca="false">IF(AND(Q$17&gt;'Deal D Hotel'!$B$8,Q$17&lt;='Deal D Hotel'!$B$8+'Deal D Hotel'!$B$9),('Deal D Hotel'!$B$3/(1-'Deal D Hotel'!$B$6))*'Deal D Hotel'!$B$6*'Deal D Hotel'!$B$7/4,0)</f>
        <v>787500</v>
      </c>
      <c r="R19" s="0" t="n">
        <f aca="false">IF(AND(R$17&gt;'Deal D Hotel'!$B$8,R$17&lt;='Deal D Hotel'!$B$8+'Deal D Hotel'!$B$9),('Deal D Hotel'!$B$3/(1-'Deal D Hotel'!$B$6))*'Deal D Hotel'!$B$6*'Deal D Hotel'!$B$7/4,0)</f>
        <v>787500</v>
      </c>
      <c r="S19" s="0" t="n">
        <f aca="false">IF(AND(S$17&gt;'Deal D Hotel'!$B$8,S$17&lt;='Deal D Hotel'!$B$8+'Deal D Hotel'!$B$9),('Deal D Hotel'!$B$3/(1-'Deal D Hotel'!$B$6))*'Deal D Hotel'!$B$6*'Deal D Hotel'!$B$7/4,0)</f>
        <v>787500</v>
      </c>
      <c r="T19" s="0" t="n">
        <f aca="false">IF(AND(T$17&gt;'Deal D Hotel'!$B$8,T$17&lt;='Deal D Hotel'!$B$8+'Deal D Hotel'!$B$9),('Deal D Hotel'!$B$3/(1-'Deal D Hotel'!$B$6))*'Deal D Hotel'!$B$6*'Deal D Hotel'!$B$7/4,0)</f>
        <v>787500</v>
      </c>
      <c r="U19" s="0" t="n">
        <f aca="false">IF(AND(U$17&gt;'Deal D Hotel'!$B$8,U$17&lt;='Deal D Hotel'!$B$8+'Deal D Hotel'!$B$9),('Deal D Hotel'!$B$3/(1-'Deal D Hotel'!$B$6))*'Deal D Hotel'!$B$6*'Deal D Hotel'!$B$7/4,0)</f>
        <v>787500</v>
      </c>
      <c r="V19" s="0" t="n">
        <f aca="false">IF(AND(V$17&gt;'Deal D Hotel'!$B$8,V$17&lt;='Deal D Hotel'!$B$8+'Deal D Hotel'!$B$9),('Deal D Hotel'!$B$3/(1-'Deal D Hotel'!$B$6))*'Deal D Hotel'!$B$6*'Deal D Hotel'!$B$7/4,0)</f>
        <v>787500</v>
      </c>
      <c r="W19" s="0" t="n">
        <f aca="false">IF(AND(W$17&gt;'Deal D Hotel'!$B$8,W$17&lt;='Deal D Hotel'!$B$8+'Deal D Hotel'!$B$9),('Deal D Hotel'!$B$3/(1-'Deal D Hotel'!$B$6))*'Deal D Hotel'!$B$6*'Deal D Hotel'!$B$7/4,0)</f>
        <v>787500</v>
      </c>
      <c r="X19" s="0" t="n">
        <f aca="false">IF(AND(X$17&gt;'Deal D Hotel'!$B$8,X$17&lt;='Deal D Hotel'!$B$8+'Deal D Hotel'!$B$9),('Deal D Hotel'!$B$3/(1-'Deal D Hotel'!$B$6))*'Deal D Hotel'!$B$6*'Deal D Hotel'!$B$7/4,0)</f>
        <v>787500</v>
      </c>
      <c r="Y19" s="0" t="n">
        <f aca="false">IF(AND(Y$17&gt;'Deal D Hotel'!$B$8,Y$17&lt;='Deal D Hotel'!$B$8+'Deal D Hotel'!$B$9),('Deal D Hotel'!$B$3/(1-'Deal D Hotel'!$B$6))*'Deal D Hotel'!$B$6*'Deal D Hotel'!$B$7/4,0)</f>
        <v>787500</v>
      </c>
      <c r="Z19" s="0" t="n">
        <f aca="false">IF(AND(Z$17&gt;'Deal D Hotel'!$B$8,Z$17&lt;='Deal D Hotel'!$B$8+'Deal D Hotel'!$B$9),('Deal D Hotel'!$B$3/(1-'Deal D Hotel'!$B$6))*'Deal D Hotel'!$B$6*'Deal D Hotel'!$B$7/4,0)</f>
        <v>787500</v>
      </c>
      <c r="AA19" s="0" t="n">
        <f aca="false">IF(AND(AA$17&gt;'Deal D Hotel'!$B$8,AA$17&lt;='Deal D Hotel'!$B$8+'Deal D Hotel'!$B$9),('Deal D Hotel'!$B$3/(1-'Deal D Hotel'!$B$6))*'Deal D Hotel'!$B$6*'Deal D Hotel'!$B$7/4,0)</f>
        <v>787500</v>
      </c>
      <c r="AB19" s="0" t="n">
        <f aca="false">IF(AND(AB$17&gt;'Deal D Hotel'!$B$8,AB$17&lt;='Deal D Hotel'!$B$8+'Deal D Hotel'!$B$9),('Deal D Hotel'!$B$3/(1-'Deal D Hotel'!$B$6))*'Deal D Hotel'!$B$6*'Deal D Hotel'!$B$7/4,0)</f>
        <v>787500</v>
      </c>
      <c r="AC19" s="0" t="n">
        <f aca="false">IF(AND(AC$17&gt;'Deal D Hotel'!$B$8,AC$17&lt;='Deal D Hotel'!$B$8+'Deal D Hotel'!$B$9),('Deal D Hotel'!$B$3/(1-'Deal D Hotel'!$B$6))*'Deal D Hotel'!$B$6*'Deal D Hotel'!$B$7/4,0)</f>
        <v>787500</v>
      </c>
      <c r="AD19" s="0" t="n">
        <f aca="false">IF(AND(AD$17&gt;'Deal D Hotel'!$B$8,AD$17&lt;='Deal D Hotel'!$B$8+'Deal D Hotel'!$B$9),('Deal D Hotel'!$B$3/(1-'Deal D Hotel'!$B$6))*'Deal D Hotel'!$B$6*'Deal D Hotel'!$B$7/4,0)</f>
        <v>0</v>
      </c>
      <c r="AE19" s="0" t="n">
        <f aca="false">IF(AND(AE$17&gt;'Deal D Hotel'!$B$8,AE$17&lt;='Deal D Hotel'!$B$8+'Deal D Hotel'!$B$9),('Deal D Hotel'!$B$3/(1-'Deal D Hotel'!$B$6))*'Deal D Hotel'!$B$6*'Deal D Hotel'!$B$7/4,0)</f>
        <v>0</v>
      </c>
      <c r="AF19" s="0" t="n">
        <f aca="false">IF(AND(AF$17&gt;'Deal D Hotel'!$B$8,AF$17&lt;='Deal D Hotel'!$B$8+'Deal D Hotel'!$B$9),('Deal D Hotel'!$B$3/(1-'Deal D Hotel'!$B$6))*'Deal D Hotel'!$B$6*'Deal D Hotel'!$B$7/4,0)</f>
        <v>0</v>
      </c>
      <c r="AG19" s="0" t="n">
        <f aca="false">IF(AND(AG$17&gt;'Deal D Hotel'!$B$8,AG$17&lt;='Deal D Hotel'!$B$8+'Deal D Hotel'!$B$9),('Deal D Hotel'!$B$3/(1-'Deal D Hotel'!$B$6))*'Deal D Hotel'!$B$6*'Deal D Hotel'!$B$7/4,0)</f>
        <v>0</v>
      </c>
      <c r="AH19" s="0" t="n">
        <f aca="false">IF(AND(AH$17&gt;'Deal D Hotel'!$B$8,AH$17&lt;='Deal D Hotel'!$B$8+'Deal D Hotel'!$B$9),('Deal D Hotel'!$B$3/(1-'Deal D Hotel'!$B$6))*'Deal D Hotel'!$B$6*'Deal D Hotel'!$B$7/4,0)</f>
        <v>0</v>
      </c>
    </row>
    <row r="20" customFormat="false" ht="15" hidden="false" customHeight="false" outlineLevel="0" collapsed="false">
      <c r="A20" s="0" t="s">
        <v>28</v>
      </c>
      <c r="B20" s="0" t="n">
        <f aca="false">IF(B$17='Deal D Hotel'!$B$8,-'Deal D Hotel'!$B$3,0)</f>
        <v>0</v>
      </c>
      <c r="C20" s="0" t="n">
        <f aca="false">IF(C$17='Deal D Hotel'!$B$8,-'Deal D Hotel'!$B$3,0)</f>
        <v>0</v>
      </c>
      <c r="D20" s="0" t="n">
        <f aca="false">IF(D$17='Deal D Hotel'!$B$8,-'Deal D Hotel'!$B$3,0)</f>
        <v>0</v>
      </c>
      <c r="E20" s="0" t="n">
        <f aca="false">IF(E$17='Deal D Hotel'!$B$8,-'Deal D Hotel'!$B$3,0)</f>
        <v>0</v>
      </c>
      <c r="F20" s="0" t="n">
        <f aca="false">IF(F$17='Deal D Hotel'!$B$8,-'Deal D Hotel'!$B$3,0)</f>
        <v>0</v>
      </c>
      <c r="G20" s="0" t="n">
        <f aca="false">IF(G$17='Deal D Hotel'!$B$8,-'Deal D Hotel'!$B$3,0)</f>
        <v>-45000000</v>
      </c>
      <c r="H20" s="0" t="n">
        <f aca="false">IF(H$17='Deal D Hotel'!$B$8,-'Deal D Hotel'!$B$3,0)</f>
        <v>0</v>
      </c>
      <c r="I20" s="0" t="n">
        <f aca="false">IF(I$17='Deal D Hotel'!$B$8,-'Deal D Hotel'!$B$3,0)</f>
        <v>0</v>
      </c>
      <c r="J20" s="0" t="n">
        <f aca="false">IF(J$17='Deal D Hotel'!$B$8,-'Deal D Hotel'!$B$3,0)</f>
        <v>0</v>
      </c>
      <c r="K20" s="0" t="n">
        <f aca="false">IF(K$17='Deal D Hotel'!$B$8,-'Deal D Hotel'!$B$3,0)</f>
        <v>0</v>
      </c>
      <c r="L20" s="0" t="n">
        <f aca="false">IF(L$17='Deal D Hotel'!$B$8,-'Deal D Hotel'!$B$3,0)</f>
        <v>0</v>
      </c>
      <c r="M20" s="0" t="n">
        <f aca="false">IF(M$17='Deal D Hotel'!$B$8,-'Deal D Hotel'!$B$3,0)</f>
        <v>0</v>
      </c>
      <c r="N20" s="0" t="n">
        <f aca="false">IF(N$17='Deal D Hotel'!$B$8,-'Deal D Hotel'!$B$3,0)</f>
        <v>0</v>
      </c>
      <c r="O20" s="0" t="n">
        <f aca="false">IF(O$17='Deal D Hotel'!$B$8,-'Deal D Hotel'!$B$3,0)</f>
        <v>0</v>
      </c>
      <c r="P20" s="0" t="n">
        <f aca="false">IF(P$17='Deal D Hotel'!$B$8,-'Deal D Hotel'!$B$3,0)</f>
        <v>0</v>
      </c>
      <c r="Q20" s="0" t="n">
        <f aca="false">IF(Q$17='Deal D Hotel'!$B$8,-'Deal D Hotel'!$B$3,0)</f>
        <v>0</v>
      </c>
      <c r="R20" s="0" t="n">
        <f aca="false">IF(R$17='Deal D Hotel'!$B$8,-'Deal D Hotel'!$B$3,0)</f>
        <v>0</v>
      </c>
      <c r="S20" s="0" t="n">
        <f aca="false">IF(S$17='Deal D Hotel'!$B$8,-'Deal D Hotel'!$B$3,0)</f>
        <v>0</v>
      </c>
      <c r="T20" s="0" t="n">
        <f aca="false">IF(T$17='Deal D Hotel'!$B$8,-'Deal D Hotel'!$B$3,0)</f>
        <v>0</v>
      </c>
      <c r="U20" s="0" t="n">
        <f aca="false">IF(U$17='Deal D Hotel'!$B$8,-'Deal D Hotel'!$B$3,0)</f>
        <v>0</v>
      </c>
      <c r="V20" s="0" t="n">
        <f aca="false">IF(V$17='Deal D Hotel'!$B$8,-'Deal D Hotel'!$B$3,0)</f>
        <v>0</v>
      </c>
      <c r="W20" s="0" t="n">
        <f aca="false">IF(W$17='Deal D Hotel'!$B$8,-'Deal D Hotel'!$B$3,0)</f>
        <v>0</v>
      </c>
      <c r="X20" s="0" t="n">
        <f aca="false">IF(X$17='Deal D Hotel'!$B$8,-'Deal D Hotel'!$B$3,0)</f>
        <v>0</v>
      </c>
      <c r="Y20" s="0" t="n">
        <f aca="false">IF(Y$17='Deal D Hotel'!$B$8,-'Deal D Hotel'!$B$3,0)</f>
        <v>0</v>
      </c>
      <c r="Z20" s="0" t="n">
        <f aca="false">IF(Z$17='Deal D Hotel'!$B$8,-'Deal D Hotel'!$B$3,0)</f>
        <v>0</v>
      </c>
      <c r="AA20" s="0" t="n">
        <f aca="false">IF(AA$17='Deal D Hotel'!$B$8,-'Deal D Hotel'!$B$3,0)</f>
        <v>0</v>
      </c>
      <c r="AB20" s="0" t="n">
        <f aca="false">IF(AB$17='Deal D Hotel'!$B$8,-'Deal D Hotel'!$B$3,0)</f>
        <v>0</v>
      </c>
      <c r="AC20" s="0" t="n">
        <f aca="false">IF(AC$17='Deal D Hotel'!$B$8,-'Deal D Hotel'!$B$3,0)</f>
        <v>0</v>
      </c>
      <c r="AD20" s="0" t="n">
        <f aca="false">IF(AD$17='Deal D Hotel'!$B$8,-'Deal D Hotel'!$B$3,0)</f>
        <v>0</v>
      </c>
      <c r="AE20" s="0" t="n">
        <f aca="false">IF(AE$17='Deal D Hotel'!$B$8,-'Deal D Hotel'!$B$3,0)</f>
        <v>0</v>
      </c>
      <c r="AF20" s="0" t="n">
        <f aca="false">IF(AF$17='Deal D Hotel'!$B$8,-'Deal D Hotel'!$B$3,0)</f>
        <v>0</v>
      </c>
      <c r="AG20" s="0" t="n">
        <f aca="false">IF(AG$17='Deal D Hotel'!$B$8,-'Deal D Hotel'!$B$3,0)</f>
        <v>0</v>
      </c>
      <c r="AH20" s="0" t="n">
        <f aca="false">IF(AH$17='Deal D Hotel'!$B$8,-'Deal D Hotel'!$B$3,0)</f>
        <v>0</v>
      </c>
    </row>
    <row r="21" customFormat="false" ht="15" hidden="false" customHeight="false" outlineLevel="0" collapsed="false">
      <c r="A21" s="0" t="s">
        <v>29</v>
      </c>
      <c r="B21" s="0" t="n">
        <f aca="false">IF((B$17='Deal D Hotel'!$B$8+'Deal D Hotel'!$B$9),B18*4*(1+'Deal D Hotel'!$B$5)/$B$14-('Deal D Hotel'!$B$3/(1-'Deal D Hotel'!$B$6))*'Deal D Hotel'!$B$6,0)</f>
        <v>0</v>
      </c>
      <c r="C21" s="0" t="n">
        <f aca="false">IF((C$17='Deal D Hotel'!$B$8+'Deal D Hotel'!$B$9),C18*4*(1+'Deal D Hotel'!$B$5)/$B$14-('Deal D Hotel'!$B$3/(1-'Deal D Hotel'!$B$6))*'Deal D Hotel'!$B$6,0)</f>
        <v>0</v>
      </c>
      <c r="D21" s="0" t="n">
        <f aca="false">IF((D$17='Deal D Hotel'!$B$8+'Deal D Hotel'!$B$9),D18*4*(1+'Deal D Hotel'!$B$5)/$B$14-('Deal D Hotel'!$B$3/(1-'Deal D Hotel'!$B$6))*'Deal D Hotel'!$B$6,0)</f>
        <v>0</v>
      </c>
      <c r="E21" s="0" t="n">
        <f aca="false">IF((E$17='Deal D Hotel'!$B$8+'Deal D Hotel'!$B$9),E18*4*(1+'Deal D Hotel'!$B$5)/$B$14-('Deal D Hotel'!$B$3/(1-'Deal D Hotel'!$B$6))*'Deal D Hotel'!$B$6,0)</f>
        <v>0</v>
      </c>
      <c r="F21" s="0" t="n">
        <f aca="false">IF((F$17='Deal D Hotel'!$B$8+'Deal D Hotel'!$B$9),F18*4*(1+'Deal D Hotel'!$B$5)/$B$14-('Deal D Hotel'!$B$3/(1-'Deal D Hotel'!$B$6))*'Deal D Hotel'!$B$6,0)</f>
        <v>0</v>
      </c>
      <c r="G21" s="0" t="n">
        <f aca="false">IF((G$17='Deal D Hotel'!$B$8+'Deal D Hotel'!$B$9),G18*4*(1+'Deal D Hotel'!$B$5)/$B$14-('Deal D Hotel'!$B$3/(1-'Deal D Hotel'!$B$6))*'Deal D Hotel'!$B$6,0)</f>
        <v>0</v>
      </c>
      <c r="H21" s="0" t="n">
        <f aca="false">IF((H$17='Deal D Hotel'!$B$8+'Deal D Hotel'!$B$9),H18*4*(1+'Deal D Hotel'!$B$5)/$B$14-('Deal D Hotel'!$B$3/(1-'Deal D Hotel'!$B$6))*'Deal D Hotel'!$B$6,0)</f>
        <v>0</v>
      </c>
      <c r="I21" s="0" t="n">
        <f aca="false">IF((I$17='Deal D Hotel'!$B$8+'Deal D Hotel'!$B$9),I18*4*(1+'Deal D Hotel'!$B$5)/$B$14-('Deal D Hotel'!$B$3/(1-'Deal D Hotel'!$B$6))*'Deal D Hotel'!$B$6,0)</f>
        <v>0</v>
      </c>
      <c r="J21" s="0" t="n">
        <f aca="false">IF((J$17='Deal D Hotel'!$B$8+'Deal D Hotel'!$B$9),J18*4*(1+'Deal D Hotel'!$B$5)/$B$14-('Deal D Hotel'!$B$3/(1-'Deal D Hotel'!$B$6))*'Deal D Hotel'!$B$6,0)</f>
        <v>0</v>
      </c>
      <c r="K21" s="0" t="n">
        <f aca="false">IF((K$17='Deal D Hotel'!$B$8+'Deal D Hotel'!$B$9),K18*4*(1+'Deal D Hotel'!$B$5)/$B$14-('Deal D Hotel'!$B$3/(1-'Deal D Hotel'!$B$6))*'Deal D Hotel'!$B$6,0)</f>
        <v>0</v>
      </c>
      <c r="L21" s="0" t="n">
        <f aca="false">IF((L$17='Deal D Hotel'!$B$8+'Deal D Hotel'!$B$9),L18*4*(1+'Deal D Hotel'!$B$5)/$B$14-('Deal D Hotel'!$B$3/(1-'Deal D Hotel'!$B$6))*'Deal D Hotel'!$B$6,0)</f>
        <v>0</v>
      </c>
      <c r="M21" s="0" t="n">
        <f aca="false">IF((M$17='Deal D Hotel'!$B$8+'Deal D Hotel'!$B$9),M18*4*(1+'Deal D Hotel'!$B$5)/$B$14-('Deal D Hotel'!$B$3/(1-'Deal D Hotel'!$B$6))*'Deal D Hotel'!$B$6,0)</f>
        <v>0</v>
      </c>
      <c r="N21" s="0" t="n">
        <f aca="false">IF((N$17='Deal D Hotel'!$B$8+'Deal D Hotel'!$B$9),N18*4*(1+'Deal D Hotel'!$B$5)/$B$14-('Deal D Hotel'!$B$3/(1-'Deal D Hotel'!$B$6))*'Deal D Hotel'!$B$6,0)</f>
        <v>0</v>
      </c>
      <c r="O21" s="0" t="n">
        <f aca="false">IF((O$17='Deal D Hotel'!$B$8+'Deal D Hotel'!$B$9),O18*4*(1+'Deal D Hotel'!$B$5)/$B$14-('Deal D Hotel'!$B$3/(1-'Deal D Hotel'!$B$6))*'Deal D Hotel'!$B$6,0)</f>
        <v>0</v>
      </c>
      <c r="P21" s="0" t="n">
        <f aca="false">IF((P$17='Deal D Hotel'!$B$8+'Deal D Hotel'!$B$9),P18*4*(1+'Deal D Hotel'!$B$5)/$B$14-('Deal D Hotel'!$B$3/(1-'Deal D Hotel'!$B$6))*'Deal D Hotel'!$B$6,0)</f>
        <v>0</v>
      </c>
      <c r="Q21" s="0" t="n">
        <f aca="false">IF((Q$17='Deal D Hotel'!$B$8+'Deal D Hotel'!$B$9),Q18*4*(1+'Deal D Hotel'!$B$5)/$B$14-('Deal D Hotel'!$B$3/(1-'Deal D Hotel'!$B$6))*'Deal D Hotel'!$B$6,0)</f>
        <v>0</v>
      </c>
      <c r="R21" s="0" t="n">
        <f aca="false">IF((R$17='Deal D Hotel'!$B$8+'Deal D Hotel'!$B$9),R18*4*(1+'Deal D Hotel'!$B$5)/$B$14-('Deal D Hotel'!$B$3/(1-'Deal D Hotel'!$B$6))*'Deal D Hotel'!$B$6,0)</f>
        <v>0</v>
      </c>
      <c r="S21" s="0" t="n">
        <f aca="false">IF((S$17='Deal D Hotel'!$B$8+'Deal D Hotel'!$B$9),S18*4*(1+'Deal D Hotel'!$B$5)/$B$14-('Deal D Hotel'!$B$3/(1-'Deal D Hotel'!$B$6))*'Deal D Hotel'!$B$6,0)</f>
        <v>0</v>
      </c>
      <c r="T21" s="0" t="n">
        <f aca="false">IF((T$17='Deal D Hotel'!$B$8+'Deal D Hotel'!$B$9),T18*4*(1+'Deal D Hotel'!$B$5)/$B$14-('Deal D Hotel'!$B$3/(1-'Deal D Hotel'!$B$6))*'Deal D Hotel'!$B$6,0)</f>
        <v>0</v>
      </c>
      <c r="U21" s="0" t="n">
        <f aca="false">IF((U$17='Deal D Hotel'!$B$8+'Deal D Hotel'!$B$9),U18*4*(1+'Deal D Hotel'!$B$5)/$B$14-('Deal D Hotel'!$B$3/(1-'Deal D Hotel'!$B$6))*'Deal D Hotel'!$B$6,0)</f>
        <v>0</v>
      </c>
      <c r="V21" s="0" t="n">
        <f aca="false">IF((V$17='Deal D Hotel'!$B$8+'Deal D Hotel'!$B$9),V18*4*(1+'Deal D Hotel'!$B$5)/$B$14-('Deal D Hotel'!$B$3/(1-'Deal D Hotel'!$B$6))*'Deal D Hotel'!$B$6,0)</f>
        <v>0</v>
      </c>
      <c r="W21" s="0" t="n">
        <f aca="false">IF((W$17='Deal D Hotel'!$B$8+'Deal D Hotel'!$B$9),W18*4*(1+'Deal D Hotel'!$B$5)/$B$14-('Deal D Hotel'!$B$3/(1-'Deal D Hotel'!$B$6))*'Deal D Hotel'!$B$6,0)</f>
        <v>0</v>
      </c>
      <c r="X21" s="0" t="n">
        <f aca="false">IF((X$17='Deal D Hotel'!$B$8+'Deal D Hotel'!$B$9),X18*4*(1+'Deal D Hotel'!$B$5)/$B$14-('Deal D Hotel'!$B$3/(1-'Deal D Hotel'!$B$6))*'Deal D Hotel'!$B$6,0)</f>
        <v>0</v>
      </c>
      <c r="Y21" s="0" t="n">
        <f aca="false">IF((Y$17='Deal D Hotel'!$B$8+'Deal D Hotel'!$B$9),Y18*4*(1+'Deal D Hotel'!$B$5)/$B$14-('Deal D Hotel'!$B$3/(1-'Deal D Hotel'!$B$6))*'Deal D Hotel'!$B$6,0)</f>
        <v>0</v>
      </c>
      <c r="Z21" s="0" t="n">
        <f aca="false">IF((Z$17='Deal D Hotel'!$B$8+'Deal D Hotel'!$B$9),Z18*4*(1+'Deal D Hotel'!$B$5)/$B$14-('Deal D Hotel'!$B$3/(1-'Deal D Hotel'!$B$6))*'Deal D Hotel'!$B$6,0)</f>
        <v>0</v>
      </c>
      <c r="AA21" s="0" t="n">
        <f aca="false">IF((AA$17='Deal D Hotel'!$B$8+'Deal D Hotel'!$B$9),AA18*4*(1+'Deal D Hotel'!$B$5)/$B$14-('Deal D Hotel'!$B$3/(1-'Deal D Hotel'!$B$6))*'Deal D Hotel'!$B$6,0)</f>
        <v>0</v>
      </c>
      <c r="AB21" s="0" t="n">
        <f aca="false">IF((AB$17='Deal D Hotel'!$B$8+'Deal D Hotel'!$B$9),AB18*4*(1+'Deal D Hotel'!$B$5)/$B$14-('Deal D Hotel'!$B$3/(1-'Deal D Hotel'!$B$6))*'Deal D Hotel'!$B$6,0)</f>
        <v>0</v>
      </c>
      <c r="AC21" s="0" t="n">
        <f aca="false">IF((AC$17='Deal D Hotel'!$B$8+'Deal D Hotel'!$B$9),AC18*4*(1+'Deal D Hotel'!$B$5)/$B$14-('Deal D Hotel'!$B$3/(1-'Deal D Hotel'!$B$6))*'Deal D Hotel'!$B$6,0)</f>
        <v>72556378.3503433</v>
      </c>
      <c r="AD21" s="0" t="n">
        <f aca="false">IF((AD$17='Deal D Hotel'!$B$8+'Deal D Hotel'!$B$9),AD18*4*(1+'Deal D Hotel'!$B$5)/$B$14-('Deal D Hotel'!$B$3/(1-'Deal D Hotel'!$B$6))*'Deal D Hotel'!$B$6,0)</f>
        <v>0</v>
      </c>
      <c r="AE21" s="0" t="n">
        <f aca="false">IF((AE$17='Deal D Hotel'!$B$8+'Deal D Hotel'!$B$9),AE18*4*(1+'Deal D Hotel'!$B$5)/$B$14-('Deal D Hotel'!$B$3/(1-'Deal D Hotel'!$B$6))*'Deal D Hotel'!$B$6,0)</f>
        <v>0</v>
      </c>
      <c r="AF21" s="0" t="n">
        <f aca="false">IF((AF$17='Deal D Hotel'!$B$8+'Deal D Hotel'!$B$9),AF18*4*(1+'Deal D Hotel'!$B$5)/$B$14-('Deal D Hotel'!$B$3/(1-'Deal D Hotel'!$B$6))*'Deal D Hotel'!$B$6,0)</f>
        <v>0</v>
      </c>
      <c r="AG21" s="0" t="n">
        <f aca="false">IF((AG$17='Deal D Hotel'!$B$8+'Deal D Hotel'!$B$9),AG18*4*(1+'Deal D Hotel'!$B$5)/$B$14-('Deal D Hotel'!$B$3/(1-'Deal D Hotel'!$B$6))*'Deal D Hotel'!$B$6,0)</f>
        <v>0</v>
      </c>
      <c r="AH21" s="0" t="n">
        <f aca="false">IF((AH$17='Deal D Hotel'!$B$8+'Deal D Hotel'!$B$9),AH18*4*(1+'Deal D Hotel'!$B$5)/$B$14-('Deal D Hotel'!$B$3/(1-'Deal D Hotel'!$B$6))*'Deal D Hotel'!$B$6,0)</f>
        <v>0</v>
      </c>
    </row>
    <row r="22" customFormat="false" ht="15" hidden="false" customHeight="false" outlineLevel="0" collapsed="false">
      <c r="A22" s="0" t="s">
        <v>30</v>
      </c>
      <c r="B22" s="0" t="n">
        <f aca="false">B20+B18-B19+B21</f>
        <v>0</v>
      </c>
      <c r="C22" s="0" t="n">
        <f aca="false">C20+C18-C19+C21</f>
        <v>0</v>
      </c>
      <c r="D22" s="0" t="n">
        <f aca="false">D20+D18-D19+D21</f>
        <v>0</v>
      </c>
      <c r="E22" s="0" t="n">
        <f aca="false">E20+E18-E19+E21</f>
        <v>0</v>
      </c>
      <c r="F22" s="0" t="n">
        <f aca="false">F20+F18-F19+F21</f>
        <v>0</v>
      </c>
      <c r="G22" s="0" t="n">
        <f aca="false">G20+G18-G19+G21</f>
        <v>-45000000</v>
      </c>
      <c r="H22" s="0" t="n">
        <f aca="false">H20+H18-H19+H21</f>
        <v>937500</v>
      </c>
      <c r="I22" s="0" t="n">
        <f aca="false">I20+I18-I19+I21</f>
        <v>954497.126296971</v>
      </c>
      <c r="J22" s="0" t="n">
        <f aca="false">J20+J18-J19+J21</f>
        <v>971661.732189511</v>
      </c>
      <c r="K22" s="0" t="n">
        <f aca="false">K20+K18-K19+K21</f>
        <v>988995.467922162</v>
      </c>
      <c r="L22" s="0" t="n">
        <f aca="false">L20+L18-L19+L21</f>
        <v>1006500</v>
      </c>
      <c r="M22" s="0" t="n">
        <f aca="false">M20+M18-M19+M21</f>
        <v>1024177.01134885</v>
      </c>
      <c r="N22" s="0" t="n">
        <f aca="false">N20+N18-N19+N21</f>
        <v>1042028.20147709</v>
      </c>
      <c r="O22" s="0" t="n">
        <f aca="false">O20+O18-O19+O21</f>
        <v>1060055.28663905</v>
      </c>
      <c r="P22" s="0" t="n">
        <f aca="false">P20+P18-P19+P21</f>
        <v>1078260</v>
      </c>
      <c r="Q22" s="0" t="n">
        <f aca="false">Q20+Q18-Q19+Q21</f>
        <v>1096644.0918028</v>
      </c>
      <c r="R22" s="0" t="n">
        <f aca="false">R20+R18-R19+R21</f>
        <v>1115209.32953618</v>
      </c>
      <c r="S22" s="0" t="n">
        <f aca="false">S20+S18-S19+S21</f>
        <v>1133957.49810461</v>
      </c>
      <c r="T22" s="0" t="n">
        <f aca="false">T20+T18-T19+T21</f>
        <v>1152890.4</v>
      </c>
      <c r="U22" s="0" t="n">
        <f aca="false">U20+U18-U19+U21</f>
        <v>1172009.85547492</v>
      </c>
      <c r="V22" s="0" t="n">
        <f aca="false">V20+V18-V19+V21</f>
        <v>1191317.70271762</v>
      </c>
      <c r="W22" s="0" t="n">
        <f aca="false">W20+W18-W19+W21</f>
        <v>1210815.7980288</v>
      </c>
      <c r="X22" s="0" t="n">
        <f aca="false">X20+X18-X19+X21</f>
        <v>1230506.016</v>
      </c>
      <c r="Y22" s="0" t="n">
        <f aca="false">Y20+Y18-Y19+Y21</f>
        <v>1250390.24969391</v>
      </c>
      <c r="Z22" s="0" t="n">
        <f aca="false">Z20+Z18-Z19+Z21</f>
        <v>1270470.41082633</v>
      </c>
      <c r="AA22" s="0" t="n">
        <f aca="false">AA20+AA18-AA19+AA21</f>
        <v>1290748.42994995</v>
      </c>
      <c r="AB22" s="0" t="n">
        <f aca="false">AB20+AB18-AB19+AB21</f>
        <v>1311226.25664</v>
      </c>
      <c r="AC22" s="0" t="n">
        <f aca="false">AC20+AC18-AC19+AC21</f>
        <v>73888284.210025</v>
      </c>
      <c r="AD22" s="0" t="n">
        <f aca="false">AD20+AD18-AD19+AD21</f>
        <v>0</v>
      </c>
      <c r="AE22" s="0" t="n">
        <f aca="false">AE20+AE18-AE19+AE21</f>
        <v>0</v>
      </c>
      <c r="AF22" s="0" t="n">
        <f aca="false">AF20+AF18-AF19+AF21</f>
        <v>0</v>
      </c>
      <c r="AG22" s="0" t="n">
        <f aca="false">AG20+AG18-AG19+AG21</f>
        <v>0</v>
      </c>
      <c r="AH22" s="0" t="n">
        <f aca="false">AH20+AH18-AH19+AH21</f>
        <v>0</v>
      </c>
    </row>
    <row r="24" customFormat="false" ht="15" hidden="false" customHeight="false" outlineLevel="0" collapsed="false">
      <c r="A24" s="0" t="s">
        <v>31</v>
      </c>
      <c r="B24" s="4" t="n">
        <f aca="false">(1+IRR(B22:AH22,0.02))^4-1</f>
        <v>0.17837408241077</v>
      </c>
    </row>
    <row r="25" customFormat="false" ht="15" hidden="false" customHeight="false" outlineLevel="0" collapsed="false">
      <c r="A25" s="0" t="s">
        <v>32</v>
      </c>
      <c r="B25" s="5" t="n">
        <f aca="false">SUMIF(B22:AH22,"&gt;0")/-SUMIF(B22:AH22,"&lt;0")</f>
        <v>2.16395877943719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25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  <c r="AA3" s="0" t="n">
        <v>25</v>
      </c>
      <c r="AB3" s="0" t="n">
        <v>26</v>
      </c>
      <c r="AC3" s="0" t="n">
        <v>27</v>
      </c>
      <c r="AD3" s="0" t="n">
        <v>28</v>
      </c>
      <c r="AE3" s="0" t="n">
        <v>29</v>
      </c>
      <c r="AF3" s="0" t="n">
        <v>30</v>
      </c>
      <c r="AG3" s="0" t="n">
        <v>31</v>
      </c>
      <c r="AH3" s="0" t="n">
        <v>32</v>
      </c>
    </row>
    <row r="4" customFormat="false" ht="15" hidden="false" customHeight="false" outlineLevel="0" collapsed="false">
      <c r="A4" s="0" t="s">
        <v>53</v>
      </c>
      <c r="B4" s="3" t="n">
        <f aca="false">EOMONTH(Fund!$B$5,3*B$3)</f>
        <v>46112</v>
      </c>
      <c r="C4" s="3" t="n">
        <f aca="false">EOMONTH(Fund!$B$5,3*C$3)</f>
        <v>46203</v>
      </c>
      <c r="D4" s="3" t="n">
        <f aca="false">EOMONTH(Fund!$B$5,3*D$3)</f>
        <v>46295</v>
      </c>
      <c r="E4" s="3" t="n">
        <f aca="false">EOMONTH(Fund!$B$5,3*E$3)</f>
        <v>46387</v>
      </c>
      <c r="F4" s="3" t="n">
        <f aca="false">EOMONTH(Fund!$B$5,3*F$3)</f>
        <v>46477</v>
      </c>
      <c r="G4" s="3" t="n">
        <f aca="false">EOMONTH(Fund!$B$5,3*G$3)</f>
        <v>46568</v>
      </c>
      <c r="H4" s="3" t="n">
        <f aca="false">EOMONTH(Fund!$B$5,3*H$3)</f>
        <v>46660</v>
      </c>
      <c r="I4" s="3" t="n">
        <f aca="false">EOMONTH(Fund!$B$5,3*I$3)</f>
        <v>46752</v>
      </c>
      <c r="J4" s="3" t="n">
        <f aca="false">EOMONTH(Fund!$B$5,3*J$3)</f>
        <v>46843</v>
      </c>
      <c r="K4" s="3" t="n">
        <f aca="false">EOMONTH(Fund!$B$5,3*K$3)</f>
        <v>46934</v>
      </c>
      <c r="L4" s="3" t="n">
        <f aca="false">EOMONTH(Fund!$B$5,3*L$3)</f>
        <v>47026</v>
      </c>
      <c r="M4" s="3" t="n">
        <f aca="false">EOMONTH(Fund!$B$5,3*M$3)</f>
        <v>47118</v>
      </c>
      <c r="N4" s="3" t="n">
        <f aca="false">EOMONTH(Fund!$B$5,3*N$3)</f>
        <v>47208</v>
      </c>
      <c r="O4" s="3" t="n">
        <f aca="false">EOMONTH(Fund!$B$5,3*O$3)</f>
        <v>47299</v>
      </c>
      <c r="P4" s="3" t="n">
        <f aca="false">EOMONTH(Fund!$B$5,3*P$3)</f>
        <v>47391</v>
      </c>
      <c r="Q4" s="3" t="n">
        <f aca="false">EOMONTH(Fund!$B$5,3*Q$3)</f>
        <v>47483</v>
      </c>
      <c r="R4" s="3" t="n">
        <f aca="false">EOMONTH(Fund!$B$5,3*R$3)</f>
        <v>47573</v>
      </c>
      <c r="S4" s="3" t="n">
        <f aca="false">EOMONTH(Fund!$B$5,3*S$3)</f>
        <v>47664</v>
      </c>
      <c r="T4" s="3" t="n">
        <f aca="false">EOMONTH(Fund!$B$5,3*T$3)</f>
        <v>47756</v>
      </c>
      <c r="U4" s="3" t="n">
        <f aca="false">EOMONTH(Fund!$B$5,3*U$3)</f>
        <v>47848</v>
      </c>
      <c r="V4" s="3" t="n">
        <f aca="false">EOMONTH(Fund!$B$5,3*V$3)</f>
        <v>47938</v>
      </c>
      <c r="W4" s="3" t="n">
        <f aca="false">EOMONTH(Fund!$B$5,3*W$3)</f>
        <v>48029</v>
      </c>
      <c r="X4" s="3" t="n">
        <f aca="false">EOMONTH(Fund!$B$5,3*X$3)</f>
        <v>48121</v>
      </c>
      <c r="Y4" s="3" t="n">
        <f aca="false">EOMONTH(Fund!$B$5,3*Y$3)</f>
        <v>48213</v>
      </c>
      <c r="Z4" s="3" t="n">
        <f aca="false">EOMONTH(Fund!$B$5,3*Z$3)</f>
        <v>48304</v>
      </c>
      <c r="AA4" s="3" t="n">
        <f aca="false">EOMONTH(Fund!$B$5,3*AA$3)</f>
        <v>48395</v>
      </c>
      <c r="AB4" s="3" t="n">
        <f aca="false">EOMONTH(Fund!$B$5,3*AB$3)</f>
        <v>48487</v>
      </c>
      <c r="AC4" s="3" t="n">
        <f aca="false">EOMONTH(Fund!$B$5,3*AC$3)</f>
        <v>48579</v>
      </c>
      <c r="AD4" s="3" t="n">
        <f aca="false">EOMONTH(Fund!$B$5,3*AD$3)</f>
        <v>48669</v>
      </c>
      <c r="AE4" s="3" t="n">
        <f aca="false">EOMONTH(Fund!$B$5,3*AE$3)</f>
        <v>48760</v>
      </c>
      <c r="AF4" s="3" t="n">
        <f aca="false">EOMONTH(Fund!$B$5,3*AF$3)</f>
        <v>48852</v>
      </c>
      <c r="AG4" s="3" t="n">
        <f aca="false">EOMONTH(Fund!$B$5,3*AG$3)</f>
        <v>48944</v>
      </c>
      <c r="AH4" s="3" t="n">
        <f aca="false">EOMONTH(Fund!$B$5,3*AH$3)</f>
        <v>49034</v>
      </c>
    </row>
    <row r="5" customFormat="false" ht="15" hidden="false" customHeight="false" outlineLevel="0" collapsed="false">
      <c r="A5" s="0" t="s">
        <v>54</v>
      </c>
      <c r="B5" s="0" t="n">
        <f aca="false">'Deal A Logistics'!B22+'Deal B Resi Dev'!B27+'Deal C Office'!B22+'Deal D Hotel'!B22</f>
        <v>0</v>
      </c>
      <c r="C5" s="0" t="n">
        <f aca="false">'Deal A Logistics'!C22+'Deal B Resi Dev'!C27+'Deal C Office'!C22+'Deal D Hotel'!C22</f>
        <v>-60000000</v>
      </c>
      <c r="D5" s="0" t="n">
        <f aca="false">'Deal A Logistics'!D22+'Deal B Resi Dev'!D27+'Deal C Office'!D22+'Deal D Hotel'!D22</f>
        <v>-16913333.3333333</v>
      </c>
      <c r="E5" s="0" t="n">
        <f aca="false">'Deal A Logistics'!E22+'Deal B Resi Dev'!E27+'Deal C Office'!E22+'Deal D Hotel'!E22</f>
        <v>-71897386.6290112</v>
      </c>
      <c r="F5" s="0" t="n">
        <f aca="false">'Deal A Logistics'!F22+'Deal B Resi Dev'!F27+'Deal C Office'!F22+'Deal D Hotel'!F22</f>
        <v>-15789446.6468385</v>
      </c>
      <c r="G5" s="0" t="n">
        <f aca="false">'Deal A Logistics'!G22+'Deal B Resi Dev'!G27+'Deal C Office'!G22+'Deal D Hotel'!G22</f>
        <v>-60761599.6203429</v>
      </c>
      <c r="H5" s="0" t="n">
        <f aca="false">'Deal A Logistics'!H22+'Deal B Resi Dev'!H27+'Deal C Office'!H22+'Deal D Hotel'!H22</f>
        <v>3203925.32718176</v>
      </c>
      <c r="I5" s="0" t="n">
        <f aca="false">'Deal A Logistics'!I22+'Deal B Resi Dev'!I27+'Deal C Office'!I22+'Deal D Hotel'!I22</f>
        <v>3249126.49963461</v>
      </c>
      <c r="J5" s="0" t="n">
        <f aca="false">'Deal A Logistics'!J22+'Deal B Resi Dev'!J27+'Deal C Office'!J22+'Deal D Hotel'!J22</f>
        <v>3294675.43594585</v>
      </c>
      <c r="K5" s="0" t="n">
        <f aca="false">'Deal A Logistics'!K22+'Deal B Resi Dev'!K27+'Deal C Office'!K22+'Deal D Hotel'!K22</f>
        <v>3340574.98007701</v>
      </c>
      <c r="L5" s="0" t="n">
        <f aca="false">'Deal A Logistics'!L22+'Deal B Resi Dev'!L27+'Deal C Office'!L22+'Deal D Hotel'!L22</f>
        <v>3386828.00039206</v>
      </c>
      <c r="M5" s="0" t="n">
        <f aca="false">'Deal A Logistics'!M22+'Deal B Resi Dev'!M27+'Deal C Office'!M22+'Deal D Hotel'!M22</f>
        <v>3433437.38987443</v>
      </c>
      <c r="N5" s="0" t="n">
        <f aca="false">'Deal A Logistics'!N22+'Deal B Resi Dev'!N27+'Deal C Office'!N22+'Deal D Hotel'!N22</f>
        <v>3480406.06634612</v>
      </c>
      <c r="O5" s="0" t="n">
        <f aca="false">'Deal A Logistics'!O22+'Deal B Resi Dev'!O27+'Deal C Office'!O22+'Deal D Hotel'!O22</f>
        <v>3527736.97268873</v>
      </c>
      <c r="P5" s="0" t="n">
        <f aca="false">'Deal A Logistics'!P22+'Deal B Resi Dev'!P27+'Deal C Office'!P22+'Deal D Hotel'!P22</f>
        <v>18897367.0021009</v>
      </c>
      <c r="Q5" s="0" t="n">
        <f aca="false">'Deal A Logistics'!Q22+'Deal B Resi Dev'!Q27+'Deal C Office'!Q22+'Deal D Hotel'!Q22</f>
        <v>47790164.0398184</v>
      </c>
      <c r="R5" s="0" t="n">
        <f aca="false">'Deal A Logistics'!R22+'Deal B Resi Dev'!R27+'Deal C Office'!R22+'Deal D Hotel'!R22</f>
        <v>47838599.5470179</v>
      </c>
      <c r="S5" s="0" t="n">
        <f aca="false">'Deal A Logistics'!S22+'Deal B Resi Dev'!S27+'Deal C Office'!S22+'Deal D Hotel'!S22</f>
        <v>47887409.3107033</v>
      </c>
      <c r="T5" s="0" t="n">
        <f aca="false">'Deal A Logistics'!T22+'Deal B Resi Dev'!T27+'Deal C Office'!T22+'Deal D Hotel'!T22</f>
        <v>3769929.73577456</v>
      </c>
      <c r="U5" s="0" t="n">
        <f aca="false">'Deal A Logistics'!U22+'Deal B Resi Dev'!U27+'Deal C Office'!U22+'Deal D Hotel'!U22</f>
        <v>3819497.25356121</v>
      </c>
      <c r="V5" s="0" t="n">
        <f aca="false">'Deal A Logistics'!V22+'Deal B Resi Dev'!V27+'Deal C Office'!V22+'Deal D Hotel'!V22</f>
        <v>3869448.32205717</v>
      </c>
      <c r="W5" s="0" t="n">
        <f aca="false">'Deal A Logistics'!W22+'Deal B Resi Dev'!W27+'Deal C Office'!W22+'Deal D Hotel'!W22</f>
        <v>107860291.281804</v>
      </c>
      <c r="X5" s="0" t="n">
        <f aca="false">'Deal A Logistics'!X22+'Deal B Resi Dev'!X27+'Deal C Office'!X22+'Deal D Hotel'!X22</f>
        <v>2541407.81816005</v>
      </c>
      <c r="Y5" s="0" t="n">
        <f aca="false">'Deal A Logistics'!Y22+'Deal B Resi Dev'!Y27+'Deal C Office'!Y22+'Deal D Hotel'!Y22</f>
        <v>2574041.95608281</v>
      </c>
      <c r="Z5" s="0" t="n">
        <f aca="false">'Deal A Logistics'!Z22+'Deal B Resi Dev'!Z27+'Deal C Office'!Z22+'Deal D Hotel'!Z22</f>
        <v>2606935.29834633</v>
      </c>
      <c r="AA5" s="0" t="n">
        <f aca="false">'Deal A Logistics'!AA22+'Deal B Resi Dev'!AA27+'Deal C Office'!AA22+'Deal D Hotel'!AA22</f>
        <v>2640090.08954224</v>
      </c>
      <c r="AB5" s="0" t="n">
        <f aca="false">'Deal A Logistics'!AB22+'Deal B Resi Dev'!AB27+'Deal C Office'!AB22+'Deal D Hotel'!AB22</f>
        <v>2673508.59484326</v>
      </c>
      <c r="AC5" s="0" t="n">
        <f aca="false">'Deal A Logistics'!AC22+'Deal B Resi Dev'!AC27+'Deal C Office'!AC22+'Deal D Hotel'!AC22</f>
        <v>146253884.8978</v>
      </c>
      <c r="AD5" s="0" t="n">
        <f aca="false">'Deal A Logistics'!AD22+'Deal B Resi Dev'!AD27+'Deal C Office'!AD22+'Deal D Hotel'!AD22</f>
        <v>0</v>
      </c>
      <c r="AE5" s="0" t="n">
        <f aca="false">'Deal A Logistics'!AE22+'Deal B Resi Dev'!AE27+'Deal C Office'!AE22+'Deal D Hotel'!AE22</f>
        <v>0</v>
      </c>
      <c r="AF5" s="0" t="n">
        <f aca="false">'Deal A Logistics'!AF22+'Deal B Resi Dev'!AF27+'Deal C Office'!AF22+'Deal D Hotel'!AF22</f>
        <v>0</v>
      </c>
      <c r="AG5" s="0" t="n">
        <f aca="false">'Deal A Logistics'!AG22+'Deal B Resi Dev'!AG27+'Deal C Office'!AG22+'Deal D Hotel'!AG22</f>
        <v>0</v>
      </c>
      <c r="AH5" s="0" t="n">
        <f aca="false">'Deal A Logistics'!AH22+'Deal B Resi Dev'!AH27+'Deal C Office'!AH22+'Deal D Hotel'!AH22</f>
        <v>0</v>
      </c>
    </row>
    <row r="6" customFormat="false" ht="15" hidden="false" customHeight="false" outlineLevel="0" collapsed="false">
      <c r="A6" s="0" t="s">
        <v>55</v>
      </c>
      <c r="B6" s="0" t="n">
        <f aca="false">MAX(0,-B5)</f>
        <v>-0</v>
      </c>
      <c r="C6" s="0" t="n">
        <f aca="false">MAX(0,-C5)</f>
        <v>60000000</v>
      </c>
      <c r="D6" s="0" t="n">
        <f aca="false">MAX(0,-D5)</f>
        <v>16913333.3333333</v>
      </c>
      <c r="E6" s="0" t="n">
        <f aca="false">MAX(0,-E5)</f>
        <v>71897386.6290112</v>
      </c>
      <c r="F6" s="0" t="n">
        <f aca="false">MAX(0,-F5)</f>
        <v>15789446.6468385</v>
      </c>
      <c r="G6" s="0" t="n">
        <f aca="false">MAX(0,-G5)</f>
        <v>60761599.6203429</v>
      </c>
      <c r="H6" s="0" t="n">
        <f aca="false">MAX(0,-H5)</f>
        <v>0</v>
      </c>
      <c r="I6" s="0" t="n">
        <f aca="false">MAX(0,-I5)</f>
        <v>0</v>
      </c>
      <c r="J6" s="0" t="n">
        <f aca="false">MAX(0,-J5)</f>
        <v>0</v>
      </c>
      <c r="K6" s="0" t="n">
        <f aca="false">MAX(0,-K5)</f>
        <v>0</v>
      </c>
      <c r="L6" s="0" t="n">
        <f aca="false">MAX(0,-L5)</f>
        <v>0</v>
      </c>
      <c r="M6" s="0" t="n">
        <f aca="false">MAX(0,-M5)</f>
        <v>0</v>
      </c>
      <c r="N6" s="0" t="n">
        <f aca="false">MAX(0,-N5)</f>
        <v>0</v>
      </c>
      <c r="O6" s="0" t="n">
        <f aca="false">MAX(0,-O5)</f>
        <v>0</v>
      </c>
      <c r="P6" s="0" t="n">
        <f aca="false">MAX(0,-P5)</f>
        <v>0</v>
      </c>
      <c r="Q6" s="0" t="n">
        <f aca="false">MAX(0,-Q5)</f>
        <v>0</v>
      </c>
      <c r="R6" s="0" t="n">
        <f aca="false">MAX(0,-R5)</f>
        <v>0</v>
      </c>
      <c r="S6" s="0" t="n">
        <f aca="false">MAX(0,-S5)</f>
        <v>0</v>
      </c>
      <c r="T6" s="0" t="n">
        <f aca="false">MAX(0,-T5)</f>
        <v>0</v>
      </c>
      <c r="U6" s="0" t="n">
        <f aca="false">MAX(0,-U5)</f>
        <v>0</v>
      </c>
      <c r="V6" s="0" t="n">
        <f aca="false">MAX(0,-V5)</f>
        <v>0</v>
      </c>
      <c r="W6" s="0" t="n">
        <f aca="false">MAX(0,-W5)</f>
        <v>0</v>
      </c>
      <c r="X6" s="0" t="n">
        <f aca="false">MAX(0,-X5)</f>
        <v>0</v>
      </c>
      <c r="Y6" s="0" t="n">
        <f aca="false">MAX(0,-Y5)</f>
        <v>0</v>
      </c>
      <c r="Z6" s="0" t="n">
        <f aca="false">MAX(0,-Z5)</f>
        <v>0</v>
      </c>
      <c r="AA6" s="0" t="n">
        <f aca="false">MAX(0,-AA5)</f>
        <v>0</v>
      </c>
      <c r="AB6" s="0" t="n">
        <f aca="false">MAX(0,-AB5)</f>
        <v>0</v>
      </c>
      <c r="AC6" s="0" t="n">
        <f aca="false">MAX(0,-AC5)</f>
        <v>0</v>
      </c>
      <c r="AD6" s="0" t="n">
        <f aca="false">MAX(0,-AD5)</f>
        <v>-0</v>
      </c>
      <c r="AE6" s="0" t="n">
        <f aca="false">MAX(0,-AE5)</f>
        <v>-0</v>
      </c>
      <c r="AF6" s="0" t="n">
        <f aca="false">MAX(0,-AF5)</f>
        <v>-0</v>
      </c>
      <c r="AG6" s="0" t="n">
        <f aca="false">MAX(0,-AG5)</f>
        <v>-0</v>
      </c>
      <c r="AH6" s="0" t="n">
        <f aca="false">MAX(0,-AH5)</f>
        <v>-0</v>
      </c>
    </row>
    <row r="7" customFormat="false" ht="15" hidden="false" customHeight="false" outlineLevel="0" collapsed="false">
      <c r="A7" s="0" t="s">
        <v>56</v>
      </c>
      <c r="B7" s="0" t="n">
        <f aca="false">MAX(0,B5)</f>
        <v>0</v>
      </c>
      <c r="C7" s="0" t="n">
        <f aca="false">MAX(0,C5)</f>
        <v>0</v>
      </c>
      <c r="D7" s="0" t="n">
        <f aca="false">MAX(0,D5)</f>
        <v>0</v>
      </c>
      <c r="E7" s="0" t="n">
        <f aca="false">MAX(0,E5)</f>
        <v>0</v>
      </c>
      <c r="F7" s="0" t="n">
        <f aca="false">MAX(0,F5)</f>
        <v>0</v>
      </c>
      <c r="G7" s="0" t="n">
        <f aca="false">MAX(0,G5)</f>
        <v>0</v>
      </c>
      <c r="H7" s="0" t="n">
        <f aca="false">MAX(0,H5)</f>
        <v>3203925.32718176</v>
      </c>
      <c r="I7" s="0" t="n">
        <f aca="false">MAX(0,I5)</f>
        <v>3249126.49963461</v>
      </c>
      <c r="J7" s="0" t="n">
        <f aca="false">MAX(0,J5)</f>
        <v>3294675.43594585</v>
      </c>
      <c r="K7" s="0" t="n">
        <f aca="false">MAX(0,K5)</f>
        <v>3340574.98007701</v>
      </c>
      <c r="L7" s="0" t="n">
        <f aca="false">MAX(0,L5)</f>
        <v>3386828.00039206</v>
      </c>
      <c r="M7" s="0" t="n">
        <f aca="false">MAX(0,M5)</f>
        <v>3433437.38987443</v>
      </c>
      <c r="N7" s="0" t="n">
        <f aca="false">MAX(0,N5)</f>
        <v>3480406.06634612</v>
      </c>
      <c r="O7" s="0" t="n">
        <f aca="false">MAX(0,O5)</f>
        <v>3527736.97268873</v>
      </c>
      <c r="P7" s="0" t="n">
        <f aca="false">MAX(0,P5)</f>
        <v>18897367.0021009</v>
      </c>
      <c r="Q7" s="0" t="n">
        <f aca="false">MAX(0,Q5)</f>
        <v>47790164.0398184</v>
      </c>
      <c r="R7" s="0" t="n">
        <f aca="false">MAX(0,R5)</f>
        <v>47838599.5470179</v>
      </c>
      <c r="S7" s="0" t="n">
        <f aca="false">MAX(0,S5)</f>
        <v>47887409.3107033</v>
      </c>
      <c r="T7" s="0" t="n">
        <f aca="false">MAX(0,T5)</f>
        <v>3769929.73577456</v>
      </c>
      <c r="U7" s="0" t="n">
        <f aca="false">MAX(0,U5)</f>
        <v>3819497.25356121</v>
      </c>
      <c r="V7" s="0" t="n">
        <f aca="false">MAX(0,V5)</f>
        <v>3869448.32205717</v>
      </c>
      <c r="W7" s="0" t="n">
        <f aca="false">MAX(0,W5)</f>
        <v>107860291.281804</v>
      </c>
      <c r="X7" s="0" t="n">
        <f aca="false">MAX(0,X5)</f>
        <v>2541407.81816005</v>
      </c>
      <c r="Y7" s="0" t="n">
        <f aca="false">MAX(0,Y5)</f>
        <v>2574041.95608281</v>
      </c>
      <c r="Z7" s="0" t="n">
        <f aca="false">MAX(0,Z5)</f>
        <v>2606935.29834633</v>
      </c>
      <c r="AA7" s="0" t="n">
        <f aca="false">MAX(0,AA5)</f>
        <v>2640090.08954224</v>
      </c>
      <c r="AB7" s="0" t="n">
        <f aca="false">MAX(0,AB5)</f>
        <v>2673508.59484326</v>
      </c>
      <c r="AC7" s="0" t="n">
        <f aca="false">MAX(0,AC5)</f>
        <v>146253884.8978</v>
      </c>
      <c r="AD7" s="0" t="n">
        <f aca="false">MAX(0,AD5)</f>
        <v>0</v>
      </c>
      <c r="AE7" s="0" t="n">
        <f aca="false">MAX(0,AE5)</f>
        <v>0</v>
      </c>
      <c r="AF7" s="0" t="n">
        <f aca="false">MAX(0,AF5)</f>
        <v>0</v>
      </c>
      <c r="AG7" s="0" t="n">
        <f aca="false">MAX(0,AG5)</f>
        <v>0</v>
      </c>
      <c r="AH7" s="0" t="n">
        <f aca="false">MAX(0,AH5)</f>
        <v>0</v>
      </c>
    </row>
    <row r="8" customFormat="false" ht="15" hidden="false" customHeight="false" outlineLevel="0" collapsed="false">
      <c r="A8" s="0" t="s">
        <v>57</v>
      </c>
      <c r="B8" s="0" t="n">
        <f aca="false">B6</f>
        <v>-0</v>
      </c>
      <c r="C8" s="0" t="n">
        <f aca="false">B8+C6-MIN(C7,B8)</f>
        <v>60000000</v>
      </c>
      <c r="D8" s="0" t="n">
        <f aca="false">C8+D6-MIN(D7,C8)</f>
        <v>76913333.3333333</v>
      </c>
      <c r="E8" s="0" t="n">
        <f aca="false">D8+E6-MIN(E7,D8)</f>
        <v>148810719.962345</v>
      </c>
      <c r="F8" s="0" t="n">
        <f aca="false">E8+F6-MIN(F7,E8)</f>
        <v>164600166.609183</v>
      </c>
      <c r="G8" s="0" t="n">
        <f aca="false">F8+G6-MIN(G7,F8)</f>
        <v>225361766.229526</v>
      </c>
      <c r="H8" s="0" t="n">
        <f aca="false">G8+H6-MIN(H7,G8)</f>
        <v>222157840.902344</v>
      </c>
      <c r="I8" s="0" t="n">
        <f aca="false">H8+I6-MIN(I7,H8)</f>
        <v>218908714.40271</v>
      </c>
      <c r="J8" s="0" t="n">
        <f aca="false">I8+J6-MIN(J7,I8)</f>
        <v>215614038.966764</v>
      </c>
      <c r="K8" s="0" t="n">
        <f aca="false">J8+K6-MIN(K7,J8)</f>
        <v>212273463.986687</v>
      </c>
      <c r="L8" s="0" t="n">
        <f aca="false">K8+L6-MIN(L7,K8)</f>
        <v>208886635.986295</v>
      </c>
      <c r="M8" s="0" t="n">
        <f aca="false">L8+M6-MIN(M7,L8)</f>
        <v>205453198.59642</v>
      </c>
      <c r="N8" s="0" t="n">
        <f aca="false">M8+N6-MIN(N7,M8)</f>
        <v>201972792.530074</v>
      </c>
      <c r="O8" s="0" t="n">
        <f aca="false">N8+O6-MIN(O7,N8)</f>
        <v>198445055.557385</v>
      </c>
      <c r="P8" s="0" t="n">
        <f aca="false">O8+P6-MIN(P7,O8)</f>
        <v>179547688.555285</v>
      </c>
      <c r="Q8" s="0" t="n">
        <f aca="false">P8+Q6-MIN(Q7,P8)</f>
        <v>131757524.515466</v>
      </c>
      <c r="R8" s="0" t="n">
        <f aca="false">Q8+R6-MIN(R7,Q8)</f>
        <v>83918924.9684482</v>
      </c>
      <c r="S8" s="0" t="n">
        <f aca="false">R8+S6-MIN(S7,R8)</f>
        <v>36031515.6577449</v>
      </c>
      <c r="T8" s="0" t="n">
        <f aca="false">S8+T6-MIN(T7,S8)</f>
        <v>32261585.9219704</v>
      </c>
      <c r="U8" s="0" t="n">
        <f aca="false">T8+U6-MIN(U7,T8)</f>
        <v>28442088.6684092</v>
      </c>
      <c r="V8" s="0" t="n">
        <f aca="false">U8+V6-MIN(V7,U8)</f>
        <v>24572640.346352</v>
      </c>
      <c r="W8" s="0" t="n">
        <f aca="false">V8+W6-MIN(W7,V8)</f>
        <v>0</v>
      </c>
      <c r="X8" s="0" t="n">
        <f aca="false">W8+X6-MIN(X7,W8)</f>
        <v>0</v>
      </c>
      <c r="Y8" s="0" t="n">
        <f aca="false">X8+Y6-MIN(Y7,X8)</f>
        <v>0</v>
      </c>
      <c r="Z8" s="0" t="n">
        <f aca="false">Y8+Z6-MIN(Z7,Y8)</f>
        <v>0</v>
      </c>
      <c r="AA8" s="0" t="n">
        <f aca="false">Z8+AA6-MIN(AA7,Z8)</f>
        <v>0</v>
      </c>
      <c r="AB8" s="0" t="n">
        <f aca="false">AA8+AB6-MIN(AB7,AA8)</f>
        <v>0</v>
      </c>
      <c r="AC8" s="0" t="n">
        <f aca="false">AB8+AC6-MIN(AC7,AB8)</f>
        <v>0</v>
      </c>
      <c r="AD8" s="0" t="n">
        <f aca="false">AC8+AD6-MIN(AD7,AC8)</f>
        <v>0</v>
      </c>
      <c r="AE8" s="0" t="n">
        <f aca="false">AD8+AE6-MIN(AE7,AD8)</f>
        <v>0</v>
      </c>
      <c r="AF8" s="0" t="n">
        <f aca="false">AE8+AF6-MIN(AF7,AE8)</f>
        <v>0</v>
      </c>
      <c r="AG8" s="0" t="n">
        <f aca="false">AF8+AG6-MIN(AG7,AF8)</f>
        <v>0</v>
      </c>
      <c r="AH8" s="0" t="n">
        <f aca="false">AG8+AH6-MIN(AH7,AG8)</f>
        <v>0</v>
      </c>
    </row>
    <row r="9" customFormat="false" ht="15" hidden="false" customHeight="false" outlineLevel="0" collapsed="false">
      <c r="A9" s="0" t="s">
        <v>58</v>
      </c>
      <c r="B9" s="0" t="n">
        <f aca="false">IF(B$3&lt;12,Fund!$B$4*Fund!$B$6,B8*Fund!$B$7)/4</f>
        <v>1750000</v>
      </c>
      <c r="C9" s="0" t="n">
        <f aca="false">IF(C$3&lt;12,Fund!$B$4*Fund!$B$6,C8*Fund!$B$7)/4</f>
        <v>1750000</v>
      </c>
      <c r="D9" s="0" t="n">
        <f aca="false">IF(D$3&lt;12,Fund!$B$4*Fund!$B$6,D8*Fund!$B$7)/4</f>
        <v>1750000</v>
      </c>
      <c r="E9" s="0" t="n">
        <f aca="false">IF(E$3&lt;12,Fund!$B$4*Fund!$B$6,E8*Fund!$B$7)/4</f>
        <v>1750000</v>
      </c>
      <c r="F9" s="0" t="n">
        <f aca="false">IF(F$3&lt;12,Fund!$B$4*Fund!$B$6,F8*Fund!$B$7)/4</f>
        <v>1750000</v>
      </c>
      <c r="G9" s="0" t="n">
        <f aca="false">IF(G$3&lt;12,Fund!$B$4*Fund!$B$6,G8*Fund!$B$7)/4</f>
        <v>1750000</v>
      </c>
      <c r="H9" s="0" t="n">
        <f aca="false">IF(H$3&lt;12,Fund!$B$4*Fund!$B$6,H8*Fund!$B$7)/4</f>
        <v>1750000</v>
      </c>
      <c r="I9" s="0" t="n">
        <f aca="false">IF(I$3&lt;12,Fund!$B$4*Fund!$B$6,I8*Fund!$B$7)/4</f>
        <v>1750000</v>
      </c>
      <c r="J9" s="0" t="n">
        <f aca="false">IF(J$3&lt;12,Fund!$B$4*Fund!$B$6,J8*Fund!$B$7)/4</f>
        <v>1750000</v>
      </c>
      <c r="K9" s="0" t="n">
        <f aca="false">IF(K$3&lt;12,Fund!$B$4*Fund!$B$6,K8*Fund!$B$7)/4</f>
        <v>1750000</v>
      </c>
      <c r="L9" s="0" t="n">
        <f aca="false">IF(L$3&lt;12,Fund!$B$4*Fund!$B$6,L8*Fund!$B$7)/4</f>
        <v>1750000</v>
      </c>
      <c r="M9" s="0" t="n">
        <f aca="false">IF(M$3&lt;12,Fund!$B$4*Fund!$B$6,M8*Fund!$B$7)/4</f>
        <v>1750000</v>
      </c>
      <c r="N9" s="0" t="n">
        <f aca="false">IF(N$3&lt;12,Fund!$B$4*Fund!$B$6,N8*Fund!$B$7)/4</f>
        <v>631164.976656482</v>
      </c>
      <c r="O9" s="0" t="n">
        <f aca="false">IF(O$3&lt;12,Fund!$B$4*Fund!$B$6,O8*Fund!$B$7)/4</f>
        <v>620140.798616829</v>
      </c>
      <c r="P9" s="0" t="n">
        <f aca="false">IF(P$3&lt;12,Fund!$B$4*Fund!$B$6,P8*Fund!$B$7)/4</f>
        <v>561086.526735264</v>
      </c>
      <c r="Q9" s="0" t="n">
        <f aca="false">IF(Q$3&lt;12,Fund!$B$4*Fund!$B$6,Q8*Fund!$B$7)/4</f>
        <v>411742.264110832</v>
      </c>
      <c r="R9" s="0" t="n">
        <f aca="false">IF(R$3&lt;12,Fund!$B$4*Fund!$B$6,R8*Fund!$B$7)/4</f>
        <v>262246.640526401</v>
      </c>
      <c r="S9" s="0" t="n">
        <f aca="false">IF(S$3&lt;12,Fund!$B$4*Fund!$B$6,S8*Fund!$B$7)/4</f>
        <v>112598.486430453</v>
      </c>
      <c r="T9" s="0" t="n">
        <f aca="false">IF(T$3&lt;12,Fund!$B$4*Fund!$B$6,T8*Fund!$B$7)/4</f>
        <v>100817.456006157</v>
      </c>
      <c r="U9" s="0" t="n">
        <f aca="false">IF(U$3&lt;12,Fund!$B$4*Fund!$B$6,U8*Fund!$B$7)/4</f>
        <v>88881.5270887787</v>
      </c>
      <c r="V9" s="0" t="n">
        <f aca="false">IF(V$3&lt;12,Fund!$B$4*Fund!$B$6,V8*Fund!$B$7)/4</f>
        <v>76789.50108235</v>
      </c>
      <c r="W9" s="0" t="n">
        <f aca="false">IF(W$3&lt;12,Fund!$B$4*Fund!$B$6,W8*Fund!$B$7)/4</f>
        <v>0</v>
      </c>
      <c r="X9" s="0" t="n">
        <f aca="false">IF(X$3&lt;12,Fund!$B$4*Fund!$B$6,X8*Fund!$B$7)/4</f>
        <v>0</v>
      </c>
      <c r="Y9" s="0" t="n">
        <f aca="false">IF(Y$3&lt;12,Fund!$B$4*Fund!$B$6,Y8*Fund!$B$7)/4</f>
        <v>0</v>
      </c>
      <c r="Z9" s="0" t="n">
        <f aca="false">IF(Z$3&lt;12,Fund!$B$4*Fund!$B$6,Z8*Fund!$B$7)/4</f>
        <v>0</v>
      </c>
      <c r="AA9" s="0" t="n">
        <f aca="false">IF(AA$3&lt;12,Fund!$B$4*Fund!$B$6,AA8*Fund!$B$7)/4</f>
        <v>0</v>
      </c>
      <c r="AB9" s="0" t="n">
        <f aca="false">IF(AB$3&lt;12,Fund!$B$4*Fund!$B$6,AB8*Fund!$B$7)/4</f>
        <v>0</v>
      </c>
      <c r="AC9" s="0" t="n">
        <f aca="false">IF(AC$3&lt;12,Fund!$B$4*Fund!$B$6,AC8*Fund!$B$7)/4</f>
        <v>0</v>
      </c>
      <c r="AD9" s="0" t="n">
        <f aca="false">IF(AD$3&lt;12,Fund!$B$4*Fund!$B$6,AD8*Fund!$B$7)/4</f>
        <v>0</v>
      </c>
      <c r="AE9" s="0" t="n">
        <f aca="false">IF(AE$3&lt;12,Fund!$B$4*Fund!$B$6,AE8*Fund!$B$7)/4</f>
        <v>0</v>
      </c>
      <c r="AF9" s="0" t="n">
        <f aca="false">IF(AF$3&lt;12,Fund!$B$4*Fund!$B$6,AF8*Fund!$B$7)/4</f>
        <v>0</v>
      </c>
      <c r="AG9" s="0" t="n">
        <f aca="false">IF(AG$3&lt;12,Fund!$B$4*Fund!$B$6,AG8*Fund!$B$7)/4</f>
        <v>0</v>
      </c>
      <c r="AH9" s="0" t="n">
        <f aca="false">IF(AH$3&lt;12,Fund!$B$4*Fund!$B$6,AH8*Fund!$B$7)/4</f>
        <v>0</v>
      </c>
    </row>
    <row r="10" customFormat="false" ht="15" hidden="false" customHeight="false" outlineLevel="0" collapsed="false">
      <c r="A10" s="0" t="s">
        <v>59</v>
      </c>
      <c r="B10" s="0" t="n">
        <f aca="false">B6*Fund!$B$8</f>
        <v>-0</v>
      </c>
      <c r="C10" s="0" t="n">
        <f aca="false">C6*Fund!$B$8</f>
        <v>60000000</v>
      </c>
      <c r="D10" s="0" t="n">
        <f aca="false">D6*Fund!$B$8</f>
        <v>16913333.3333333</v>
      </c>
      <c r="E10" s="0" t="n">
        <f aca="false">E6*Fund!$B$8</f>
        <v>71897386.6290112</v>
      </c>
      <c r="F10" s="0" t="n">
        <f aca="false">F6*Fund!$B$8</f>
        <v>15789446.6468385</v>
      </c>
      <c r="G10" s="0" t="n">
        <f aca="false">G6*Fund!$B$8</f>
        <v>60761599.6203429</v>
      </c>
      <c r="H10" s="0" t="n">
        <f aca="false">H6*Fund!$B$8</f>
        <v>0</v>
      </c>
      <c r="I10" s="0" t="n">
        <f aca="false">I6*Fund!$B$8</f>
        <v>0</v>
      </c>
      <c r="J10" s="0" t="n">
        <f aca="false">J6*Fund!$B$8</f>
        <v>0</v>
      </c>
      <c r="K10" s="0" t="n">
        <f aca="false">K6*Fund!$B$8</f>
        <v>0</v>
      </c>
      <c r="L10" s="0" t="n">
        <f aca="false">L6*Fund!$B$8</f>
        <v>0</v>
      </c>
      <c r="M10" s="0" t="n">
        <f aca="false">M6*Fund!$B$8</f>
        <v>0</v>
      </c>
      <c r="N10" s="0" t="n">
        <f aca="false">N6*Fund!$B$8</f>
        <v>0</v>
      </c>
      <c r="O10" s="0" t="n">
        <f aca="false">O6*Fund!$B$8</f>
        <v>0</v>
      </c>
      <c r="P10" s="0" t="n">
        <f aca="false">P6*Fund!$B$8</f>
        <v>0</v>
      </c>
      <c r="Q10" s="0" t="n">
        <f aca="false">Q6*Fund!$B$8</f>
        <v>0</v>
      </c>
      <c r="R10" s="0" t="n">
        <f aca="false">R6*Fund!$B$8</f>
        <v>0</v>
      </c>
      <c r="S10" s="0" t="n">
        <f aca="false">S6*Fund!$B$8</f>
        <v>0</v>
      </c>
      <c r="T10" s="0" t="n">
        <f aca="false">T6*Fund!$B$8</f>
        <v>0</v>
      </c>
      <c r="U10" s="0" t="n">
        <f aca="false">U6*Fund!$B$8</f>
        <v>0</v>
      </c>
      <c r="V10" s="0" t="n">
        <f aca="false">V6*Fund!$B$8</f>
        <v>0</v>
      </c>
      <c r="W10" s="0" t="n">
        <f aca="false">W6*Fund!$B$8</f>
        <v>0</v>
      </c>
      <c r="X10" s="0" t="n">
        <f aca="false">X6*Fund!$B$8</f>
        <v>0</v>
      </c>
      <c r="Y10" s="0" t="n">
        <f aca="false">Y6*Fund!$B$8</f>
        <v>0</v>
      </c>
      <c r="Z10" s="0" t="n">
        <f aca="false">Z6*Fund!$B$8</f>
        <v>0</v>
      </c>
      <c r="AA10" s="0" t="n">
        <f aca="false">AA6*Fund!$B$8</f>
        <v>0</v>
      </c>
      <c r="AB10" s="0" t="n">
        <f aca="false">AB6*Fund!$B$8</f>
        <v>0</v>
      </c>
      <c r="AC10" s="0" t="n">
        <f aca="false">AC6*Fund!$B$8</f>
        <v>0</v>
      </c>
      <c r="AD10" s="0" t="n">
        <f aca="false">AD6*Fund!$B$8</f>
        <v>-0</v>
      </c>
      <c r="AE10" s="0" t="n">
        <f aca="false">AE6*Fund!$B$8</f>
        <v>-0</v>
      </c>
      <c r="AF10" s="0" t="n">
        <f aca="false">AF6*Fund!$B$8</f>
        <v>-0</v>
      </c>
      <c r="AG10" s="0" t="n">
        <f aca="false">AG6*Fund!$B$8</f>
        <v>-0</v>
      </c>
      <c r="AH10" s="0" t="n">
        <f aca="false">AH6*Fund!$B$8</f>
        <v>-0</v>
      </c>
    </row>
    <row r="11" customFormat="false" ht="15" hidden="false" customHeight="false" outlineLevel="0" collapsed="false">
      <c r="A11" s="0" t="s">
        <v>60</v>
      </c>
      <c r="B11" s="0" t="n">
        <f aca="false">0</f>
        <v>0</v>
      </c>
      <c r="C11" s="0" t="n">
        <f aca="false">0</f>
        <v>0</v>
      </c>
      <c r="D11" s="0" t="n">
        <f aca="false">B10</f>
        <v>-0</v>
      </c>
      <c r="E11" s="0" t="n">
        <f aca="false">C10</f>
        <v>60000000</v>
      </c>
      <c r="F11" s="0" t="n">
        <f aca="false">D10</f>
        <v>16913333.3333333</v>
      </c>
      <c r="G11" s="0" t="n">
        <f aca="false">E10</f>
        <v>71897386.6290112</v>
      </c>
      <c r="H11" s="0" t="n">
        <f aca="false">F10</f>
        <v>15789446.6468385</v>
      </c>
      <c r="I11" s="0" t="n">
        <f aca="false">G10</f>
        <v>60761599.6203429</v>
      </c>
      <c r="J11" s="0" t="n">
        <f aca="false">H10</f>
        <v>0</v>
      </c>
      <c r="K11" s="0" t="n">
        <f aca="false">I10</f>
        <v>0</v>
      </c>
      <c r="L11" s="0" t="n">
        <f aca="false">J10</f>
        <v>0</v>
      </c>
      <c r="M11" s="0" t="n">
        <f aca="false">K10</f>
        <v>0</v>
      </c>
      <c r="N11" s="0" t="n">
        <f aca="false">L10</f>
        <v>0</v>
      </c>
      <c r="O11" s="0" t="n">
        <f aca="false">M10</f>
        <v>0</v>
      </c>
      <c r="P11" s="0" t="n">
        <f aca="false">N10</f>
        <v>0</v>
      </c>
      <c r="Q11" s="0" t="n">
        <f aca="false">O10</f>
        <v>0</v>
      </c>
      <c r="R11" s="0" t="n">
        <f aca="false">P10</f>
        <v>0</v>
      </c>
      <c r="S11" s="0" t="n">
        <f aca="false">Q10</f>
        <v>0</v>
      </c>
      <c r="T11" s="0" t="n">
        <f aca="false">R10</f>
        <v>0</v>
      </c>
      <c r="U11" s="0" t="n">
        <f aca="false">S10</f>
        <v>0</v>
      </c>
      <c r="V11" s="0" t="n">
        <f aca="false">T10</f>
        <v>0</v>
      </c>
      <c r="W11" s="0" t="n">
        <f aca="false">U10</f>
        <v>0</v>
      </c>
      <c r="X11" s="0" t="n">
        <f aca="false">V10</f>
        <v>0</v>
      </c>
      <c r="Y11" s="0" t="n">
        <f aca="false">W10</f>
        <v>0</v>
      </c>
      <c r="Z11" s="0" t="n">
        <f aca="false">X10</f>
        <v>0</v>
      </c>
      <c r="AA11" s="0" t="n">
        <f aca="false">Y10</f>
        <v>0</v>
      </c>
      <c r="AB11" s="0" t="n">
        <f aca="false">Z10</f>
        <v>0</v>
      </c>
      <c r="AC11" s="0" t="n">
        <f aca="false">AA10</f>
        <v>0</v>
      </c>
      <c r="AD11" s="0" t="n">
        <f aca="false">AB10</f>
        <v>0</v>
      </c>
      <c r="AE11" s="0" t="n">
        <f aca="false">AC10</f>
        <v>0</v>
      </c>
      <c r="AF11" s="0" t="n">
        <f aca="false">AD10</f>
        <v>-0</v>
      </c>
      <c r="AG11" s="0" t="n">
        <f aca="false">AE10</f>
        <v>-0</v>
      </c>
      <c r="AH11" s="0" t="n">
        <f aca="false">AF10</f>
        <v>-0</v>
      </c>
    </row>
    <row r="12" customFormat="false" ht="15" hidden="false" customHeight="false" outlineLevel="0" collapsed="false">
      <c r="A12" s="0" t="s">
        <v>61</v>
      </c>
      <c r="B12" s="0" t="n">
        <f aca="false">0</f>
        <v>0</v>
      </c>
      <c r="C12" s="0" t="n">
        <f aca="false">B13*Fund!$B$9/4</f>
        <v>-0</v>
      </c>
      <c r="D12" s="0" t="n">
        <f aca="false">C13*Fund!$B$9/4</f>
        <v>975000</v>
      </c>
      <c r="E12" s="0" t="n">
        <f aca="false">D13*Fund!$B$9/4</f>
        <v>1249841.66666667</v>
      </c>
      <c r="F12" s="0" t="n">
        <f aca="false">E13*Fund!$B$9/4</f>
        <v>1443174.1993881</v>
      </c>
      <c r="G12" s="0" t="n">
        <f aca="false">F13*Fund!$B$9/4</f>
        <v>1424911.04073256</v>
      </c>
      <c r="H12" s="0" t="n">
        <f aca="false">G13*Fund!$B$9/4</f>
        <v>1243954.5018417</v>
      </c>
      <c r="I12" s="0" t="n">
        <f aca="false">H13*Fund!$B$9/4</f>
        <v>987375.993830572</v>
      </c>
      <c r="J12" s="0" t="n">
        <f aca="false">I13*Fund!$B$9/4</f>
        <v>0</v>
      </c>
      <c r="K12" s="0" t="n">
        <f aca="false">J13*Fund!$B$9/4</f>
        <v>0</v>
      </c>
      <c r="L12" s="0" t="n">
        <f aca="false">K13*Fund!$B$9/4</f>
        <v>0</v>
      </c>
      <c r="M12" s="0" t="n">
        <f aca="false">L13*Fund!$B$9/4</f>
        <v>0</v>
      </c>
      <c r="N12" s="0" t="n">
        <f aca="false">M13*Fund!$B$9/4</f>
        <v>0</v>
      </c>
      <c r="O12" s="0" t="n">
        <f aca="false">N13*Fund!$B$9/4</f>
        <v>0</v>
      </c>
      <c r="P12" s="0" t="n">
        <f aca="false">O13*Fund!$B$9/4</f>
        <v>0</v>
      </c>
      <c r="Q12" s="0" t="n">
        <f aca="false">P13*Fund!$B$9/4</f>
        <v>0</v>
      </c>
      <c r="R12" s="0" t="n">
        <f aca="false">Q13*Fund!$B$9/4</f>
        <v>0</v>
      </c>
      <c r="S12" s="0" t="n">
        <f aca="false">R13*Fund!$B$9/4</f>
        <v>0</v>
      </c>
      <c r="T12" s="0" t="n">
        <f aca="false">S13*Fund!$B$9/4</f>
        <v>0</v>
      </c>
      <c r="U12" s="0" t="n">
        <f aca="false">T13*Fund!$B$9/4</f>
        <v>0</v>
      </c>
      <c r="V12" s="0" t="n">
        <f aca="false">U13*Fund!$B$9/4</f>
        <v>0</v>
      </c>
      <c r="W12" s="0" t="n">
        <f aca="false">V13*Fund!$B$9/4</f>
        <v>0</v>
      </c>
      <c r="X12" s="0" t="n">
        <f aca="false">W13*Fund!$B$9/4</f>
        <v>0</v>
      </c>
      <c r="Y12" s="0" t="n">
        <f aca="false">X13*Fund!$B$9/4</f>
        <v>0</v>
      </c>
      <c r="Z12" s="0" t="n">
        <f aca="false">Y13*Fund!$B$9/4</f>
        <v>0</v>
      </c>
      <c r="AA12" s="0" t="n">
        <f aca="false">Z13*Fund!$B$9/4</f>
        <v>0</v>
      </c>
      <c r="AB12" s="0" t="n">
        <f aca="false">AA13*Fund!$B$9/4</f>
        <v>0</v>
      </c>
      <c r="AC12" s="0" t="n">
        <f aca="false">AB13*Fund!$B$9/4</f>
        <v>0</v>
      </c>
      <c r="AD12" s="0" t="n">
        <f aca="false">AC13*Fund!$B$9/4</f>
        <v>0</v>
      </c>
      <c r="AE12" s="0" t="n">
        <f aca="false">AD13*Fund!$B$9/4</f>
        <v>0</v>
      </c>
      <c r="AF12" s="0" t="n">
        <f aca="false">AE13*Fund!$B$9/4</f>
        <v>0</v>
      </c>
      <c r="AG12" s="0" t="n">
        <f aca="false">AF13*Fund!$B$9/4</f>
        <v>0</v>
      </c>
      <c r="AH12" s="0" t="n">
        <f aca="false">AG13*Fund!$B$9/4</f>
        <v>0</v>
      </c>
    </row>
    <row r="13" customFormat="false" ht="15" hidden="false" customHeight="false" outlineLevel="0" collapsed="false">
      <c r="A13" s="0" t="s">
        <v>62</v>
      </c>
      <c r="B13" s="0" t="n">
        <f aca="false">B10-B11</f>
        <v>-0</v>
      </c>
      <c r="C13" s="0" t="n">
        <f aca="false">B13+C10-C11</f>
        <v>60000000</v>
      </c>
      <c r="D13" s="0" t="n">
        <f aca="false">C13+D10-D11</f>
        <v>76913333.3333333</v>
      </c>
      <c r="E13" s="0" t="n">
        <f aca="false">D13+E10-E11</f>
        <v>88810719.9623445</v>
      </c>
      <c r="F13" s="0" t="n">
        <f aca="false">E13+F10-F11</f>
        <v>87686833.2758497</v>
      </c>
      <c r="G13" s="0" t="n">
        <f aca="false">F13+G10-G11</f>
        <v>76551046.2671814</v>
      </c>
      <c r="H13" s="0" t="n">
        <f aca="false">G13+H10-H11</f>
        <v>60761599.6203429</v>
      </c>
      <c r="I13" s="0" t="n">
        <f aca="false">H13+I10-I11</f>
        <v>0</v>
      </c>
      <c r="J13" s="0" t="n">
        <f aca="false">I13+J10-J11</f>
        <v>0</v>
      </c>
      <c r="K13" s="0" t="n">
        <f aca="false">J13+K10-K11</f>
        <v>0</v>
      </c>
      <c r="L13" s="0" t="n">
        <f aca="false">K13+L10-L11</f>
        <v>0</v>
      </c>
      <c r="M13" s="0" t="n">
        <f aca="false">L13+M10-M11</f>
        <v>0</v>
      </c>
      <c r="N13" s="0" t="n">
        <f aca="false">M13+N10-N11</f>
        <v>0</v>
      </c>
      <c r="O13" s="0" t="n">
        <f aca="false">N13+O10-O11</f>
        <v>0</v>
      </c>
      <c r="P13" s="0" t="n">
        <f aca="false">O13+P10-P11</f>
        <v>0</v>
      </c>
      <c r="Q13" s="0" t="n">
        <f aca="false">P13+Q10-Q11</f>
        <v>0</v>
      </c>
      <c r="R13" s="0" t="n">
        <f aca="false">Q13+R10-R11</f>
        <v>0</v>
      </c>
      <c r="S13" s="0" t="n">
        <f aca="false">R13+S10-S11</f>
        <v>0</v>
      </c>
      <c r="T13" s="0" t="n">
        <f aca="false">S13+T10-T11</f>
        <v>0</v>
      </c>
      <c r="U13" s="0" t="n">
        <f aca="false">T13+U10-U11</f>
        <v>0</v>
      </c>
      <c r="V13" s="0" t="n">
        <f aca="false">U13+V10-V11</f>
        <v>0</v>
      </c>
      <c r="W13" s="0" t="n">
        <f aca="false">V13+W10-W11</f>
        <v>0</v>
      </c>
      <c r="X13" s="0" t="n">
        <f aca="false">W13+X10-X11</f>
        <v>0</v>
      </c>
      <c r="Y13" s="0" t="n">
        <f aca="false">X13+Y10-Y11</f>
        <v>0</v>
      </c>
      <c r="Z13" s="0" t="n">
        <f aca="false">Y13+Z10-Z11</f>
        <v>0</v>
      </c>
      <c r="AA13" s="0" t="n">
        <f aca="false">Z13+AA10-AA11</f>
        <v>0</v>
      </c>
      <c r="AB13" s="0" t="n">
        <f aca="false">AA13+AB10-AB11</f>
        <v>0</v>
      </c>
      <c r="AC13" s="0" t="n">
        <f aca="false">AB13+AC10-AC11</f>
        <v>0</v>
      </c>
      <c r="AD13" s="0" t="n">
        <f aca="false">AC13+AD10-AD11</f>
        <v>0</v>
      </c>
      <c r="AE13" s="0" t="n">
        <f aca="false">AD13+AE10-AE11</f>
        <v>0</v>
      </c>
      <c r="AF13" s="0" t="n">
        <f aca="false">AE13+AF10-AF11</f>
        <v>0</v>
      </c>
      <c r="AG13" s="0" t="n">
        <f aca="false">AF13+AG10-AG11</f>
        <v>0</v>
      </c>
      <c r="AH13" s="0" t="n">
        <f aca="false">AG13+AH10-AH11</f>
        <v>0</v>
      </c>
    </row>
    <row r="14" customFormat="false" ht="15" hidden="false" customHeight="false" outlineLevel="0" collapsed="false">
      <c r="A14" s="0" t="s">
        <v>63</v>
      </c>
      <c r="B14" s="0" t="n">
        <f aca="false">B6-B10+B11+B9+B12</f>
        <v>1750000</v>
      </c>
      <c r="C14" s="0" t="n">
        <f aca="false">C6-C10+C11+C9+C12</f>
        <v>1750000</v>
      </c>
      <c r="D14" s="0" t="n">
        <f aca="false">D6-D10+D11+D9+D12</f>
        <v>2725000</v>
      </c>
      <c r="E14" s="0" t="n">
        <f aca="false">E6-E10+E11+E9+E12</f>
        <v>62999841.6666667</v>
      </c>
      <c r="F14" s="0" t="n">
        <f aca="false">F6-F10+F11+F9+F12</f>
        <v>20106507.5327214</v>
      </c>
      <c r="G14" s="0" t="n">
        <f aca="false">G6-G10+G11+G9+G12</f>
        <v>75072297.6697438</v>
      </c>
      <c r="H14" s="0" t="n">
        <f aca="false">H6-H10+H11+H9+H12</f>
        <v>18783401.1486802</v>
      </c>
      <c r="I14" s="0" t="n">
        <f aca="false">I6-I10+I11+I9+I12</f>
        <v>63498975.6141735</v>
      </c>
      <c r="J14" s="0" t="n">
        <f aca="false">J6-J10+J11+J9+J12</f>
        <v>1750000</v>
      </c>
      <c r="K14" s="0" t="n">
        <f aca="false">K6-K10+K11+K9+K12</f>
        <v>1750000</v>
      </c>
      <c r="L14" s="0" t="n">
        <f aca="false">L6-L10+L11+L9+L12</f>
        <v>1750000</v>
      </c>
      <c r="M14" s="0" t="n">
        <f aca="false">M6-M10+M11+M9+M12</f>
        <v>1750000</v>
      </c>
      <c r="N14" s="0" t="n">
        <f aca="false">N6-N10+N11+N9+N12</f>
        <v>631164.976656482</v>
      </c>
      <c r="O14" s="0" t="n">
        <f aca="false">O6-O10+O11+O9+O12</f>
        <v>620140.798616829</v>
      </c>
      <c r="P14" s="0" t="n">
        <f aca="false">P6-P10+P11+P9+P12</f>
        <v>561086.526735264</v>
      </c>
      <c r="Q14" s="0" t="n">
        <f aca="false">Q6-Q10+Q11+Q9+Q12</f>
        <v>411742.264110832</v>
      </c>
      <c r="R14" s="0" t="n">
        <f aca="false">R6-R10+R11+R9+R12</f>
        <v>262246.640526401</v>
      </c>
      <c r="S14" s="0" t="n">
        <f aca="false">S6-S10+S11+S9+S12</f>
        <v>112598.486430453</v>
      </c>
      <c r="T14" s="0" t="n">
        <f aca="false">T6-T10+T11+T9+T12</f>
        <v>100817.456006157</v>
      </c>
      <c r="U14" s="0" t="n">
        <f aca="false">U6-U10+U11+U9+U12</f>
        <v>88881.5270887787</v>
      </c>
      <c r="V14" s="0" t="n">
        <f aca="false">V6-V10+V11+V9+V12</f>
        <v>76789.50108235</v>
      </c>
      <c r="W14" s="0" t="n">
        <f aca="false">W6-W10+W11+W9+W12</f>
        <v>0</v>
      </c>
      <c r="X14" s="0" t="n">
        <f aca="false">X6-X10+X11+X9+X12</f>
        <v>0</v>
      </c>
      <c r="Y14" s="0" t="n">
        <f aca="false">Y6-Y10+Y11+Y9+Y12</f>
        <v>0</v>
      </c>
      <c r="Z14" s="0" t="n">
        <f aca="false">Z6-Z10+Z11+Z9+Z12</f>
        <v>0</v>
      </c>
      <c r="AA14" s="0" t="n">
        <f aca="false">AA6-AA10+AA11+AA9+AA12</f>
        <v>0</v>
      </c>
      <c r="AB14" s="0" t="n">
        <f aca="false">AB6-AB10+AB11+AB9+AB12</f>
        <v>0</v>
      </c>
      <c r="AC14" s="0" t="n">
        <f aca="false">AC6-AC10+AC11+AC9+AC12</f>
        <v>0</v>
      </c>
      <c r="AD14" s="0" t="n">
        <f aca="false">AD6-AD10+AD11+AD9+AD12</f>
        <v>0</v>
      </c>
      <c r="AE14" s="0" t="n">
        <f aca="false">AE6-AE10+AE11+AE9+AE12</f>
        <v>0</v>
      </c>
      <c r="AF14" s="0" t="n">
        <f aca="false">AF6-AF10+AF11+AF9+AF12</f>
        <v>0</v>
      </c>
      <c r="AG14" s="0" t="n">
        <f aca="false">AG6-AG10+AG11+AG9+AG12</f>
        <v>0</v>
      </c>
      <c r="AH14" s="0" t="n">
        <f aca="false">AH6-AH10+AH11+AH9+AH12</f>
        <v>0</v>
      </c>
    </row>
    <row r="15" customFormat="false" ht="15" hidden="false" customHeight="false" outlineLevel="0" collapsed="false">
      <c r="A15" s="0" t="s">
        <v>64</v>
      </c>
      <c r="B15" s="0" t="n">
        <f aca="false">B14</f>
        <v>1750000</v>
      </c>
      <c r="C15" s="0" t="n">
        <f aca="false">C14</f>
        <v>1750000</v>
      </c>
      <c r="D15" s="0" t="n">
        <f aca="false">D14</f>
        <v>2725000</v>
      </c>
      <c r="E15" s="0" t="n">
        <f aca="false">E14</f>
        <v>62999841.6666667</v>
      </c>
      <c r="F15" s="0" t="n">
        <f aca="false">F14</f>
        <v>20106507.5327214</v>
      </c>
      <c r="G15" s="0" t="n">
        <f aca="false">G14</f>
        <v>75072297.6697438</v>
      </c>
      <c r="H15" s="0" t="n">
        <f aca="false">H14</f>
        <v>18783401.1486802</v>
      </c>
      <c r="I15" s="0" t="n">
        <f aca="false">I14</f>
        <v>63498975.6141735</v>
      </c>
      <c r="J15" s="0" t="n">
        <f aca="false">J14</f>
        <v>1750000</v>
      </c>
      <c r="K15" s="0" t="n">
        <f aca="false">K14</f>
        <v>1750000</v>
      </c>
      <c r="L15" s="0" t="n">
        <f aca="false">L14</f>
        <v>1750000</v>
      </c>
      <c r="M15" s="0" t="n">
        <f aca="false">M14</f>
        <v>1750000</v>
      </c>
      <c r="N15" s="0" t="n">
        <f aca="false">N14</f>
        <v>631164.976656482</v>
      </c>
      <c r="O15" s="0" t="n">
        <f aca="false">O14</f>
        <v>620140.798616829</v>
      </c>
      <c r="P15" s="0" t="n">
        <f aca="false">P14</f>
        <v>561086.526735264</v>
      </c>
      <c r="Q15" s="0" t="n">
        <f aca="false">Q14</f>
        <v>411742.264110832</v>
      </c>
      <c r="R15" s="0" t="n">
        <f aca="false">R14</f>
        <v>262246.640526401</v>
      </c>
      <c r="S15" s="0" t="n">
        <f aca="false">S14</f>
        <v>112598.486430453</v>
      </c>
      <c r="T15" s="0" t="n">
        <f aca="false">T14</f>
        <v>100817.456006157</v>
      </c>
      <c r="U15" s="0" t="n">
        <f aca="false">U14</f>
        <v>88881.5270887787</v>
      </c>
      <c r="V15" s="0" t="n">
        <f aca="false">V14</f>
        <v>76789.50108235</v>
      </c>
      <c r="W15" s="0" t="n">
        <f aca="false">W14</f>
        <v>0</v>
      </c>
      <c r="X15" s="0" t="n">
        <f aca="false">X14</f>
        <v>0</v>
      </c>
      <c r="Y15" s="0" t="n">
        <f aca="false">Y14</f>
        <v>0</v>
      </c>
      <c r="Z15" s="0" t="n">
        <f aca="false">Z14</f>
        <v>0</v>
      </c>
      <c r="AA15" s="0" t="n">
        <f aca="false">AA14</f>
        <v>0</v>
      </c>
      <c r="AB15" s="0" t="n">
        <f aca="false">AB14</f>
        <v>0</v>
      </c>
      <c r="AC15" s="0" t="n">
        <f aca="false">AC14</f>
        <v>0</v>
      </c>
      <c r="AD15" s="0" t="n">
        <f aca="false">AD14</f>
        <v>0</v>
      </c>
      <c r="AE15" s="0" t="n">
        <f aca="false">AE14</f>
        <v>0</v>
      </c>
      <c r="AF15" s="0" t="n">
        <f aca="false">AF14</f>
        <v>0</v>
      </c>
      <c r="AG15" s="0" t="n">
        <f aca="false">AG14</f>
        <v>0</v>
      </c>
      <c r="AH15" s="0" t="n">
        <f aca="false">AH14</f>
        <v>0</v>
      </c>
    </row>
    <row r="16" customFormat="false" ht="15" hidden="false" customHeight="false" outlineLevel="0" collapsed="false">
      <c r="A16" s="0" t="s">
        <v>65</v>
      </c>
      <c r="B16" s="0" t="n">
        <f aca="false">B7</f>
        <v>0</v>
      </c>
      <c r="C16" s="0" t="n">
        <f aca="false">C7</f>
        <v>0</v>
      </c>
      <c r="D16" s="0" t="n">
        <f aca="false">D7</f>
        <v>0</v>
      </c>
      <c r="E16" s="0" t="n">
        <f aca="false">E7</f>
        <v>0</v>
      </c>
      <c r="F16" s="0" t="n">
        <f aca="false">F7</f>
        <v>0</v>
      </c>
      <c r="G16" s="0" t="n">
        <f aca="false">G7</f>
        <v>0</v>
      </c>
      <c r="H16" s="0" t="n">
        <f aca="false">H7</f>
        <v>3203925.32718176</v>
      </c>
      <c r="I16" s="0" t="n">
        <f aca="false">I7</f>
        <v>3249126.49963461</v>
      </c>
      <c r="J16" s="0" t="n">
        <f aca="false">J7</f>
        <v>3294675.43594585</v>
      </c>
      <c r="K16" s="0" t="n">
        <f aca="false">K7</f>
        <v>3340574.98007701</v>
      </c>
      <c r="L16" s="0" t="n">
        <f aca="false">L7</f>
        <v>3386828.00039206</v>
      </c>
      <c r="M16" s="0" t="n">
        <f aca="false">M7</f>
        <v>3433437.38987443</v>
      </c>
      <c r="N16" s="0" t="n">
        <f aca="false">N7</f>
        <v>3480406.06634612</v>
      </c>
      <c r="O16" s="0" t="n">
        <f aca="false">O7</f>
        <v>3527736.97268873</v>
      </c>
      <c r="P16" s="0" t="n">
        <f aca="false">P7</f>
        <v>18897367.0021009</v>
      </c>
      <c r="Q16" s="0" t="n">
        <f aca="false">Q7</f>
        <v>47790164.0398184</v>
      </c>
      <c r="R16" s="0" t="n">
        <f aca="false">R7</f>
        <v>47838599.5470179</v>
      </c>
      <c r="S16" s="0" t="n">
        <f aca="false">S7</f>
        <v>47887409.3107033</v>
      </c>
      <c r="T16" s="0" t="n">
        <f aca="false">T7</f>
        <v>3769929.73577456</v>
      </c>
      <c r="U16" s="0" t="n">
        <f aca="false">U7</f>
        <v>3819497.25356121</v>
      </c>
      <c r="V16" s="0" t="n">
        <f aca="false">V7</f>
        <v>3869448.32205717</v>
      </c>
      <c r="W16" s="0" t="n">
        <f aca="false">W7</f>
        <v>107860291.281804</v>
      </c>
      <c r="X16" s="0" t="n">
        <f aca="false">X7</f>
        <v>2541407.81816005</v>
      </c>
      <c r="Y16" s="0" t="n">
        <f aca="false">Y7</f>
        <v>2574041.95608281</v>
      </c>
      <c r="Z16" s="0" t="n">
        <f aca="false">Z7</f>
        <v>2606935.29834633</v>
      </c>
      <c r="AA16" s="0" t="n">
        <f aca="false">AA7</f>
        <v>2640090.08954224</v>
      </c>
      <c r="AB16" s="0" t="n">
        <f aca="false">AB7</f>
        <v>2673508.59484326</v>
      </c>
      <c r="AC16" s="0" t="n">
        <f aca="false">AC7</f>
        <v>146253884.8978</v>
      </c>
      <c r="AD16" s="0" t="n">
        <f aca="false">AD7</f>
        <v>0</v>
      </c>
      <c r="AE16" s="0" t="n">
        <f aca="false">AE7</f>
        <v>0</v>
      </c>
      <c r="AF16" s="0" t="n">
        <f aca="false">AF7</f>
        <v>0</v>
      </c>
      <c r="AG16" s="0" t="n">
        <f aca="false">AG7</f>
        <v>0</v>
      </c>
      <c r="AH16" s="0" t="n">
        <f aca="false">AH7</f>
        <v>0</v>
      </c>
    </row>
    <row r="17" customFormat="false" ht="15" hidden="false" customHeight="false" outlineLevel="0" collapsed="false">
      <c r="A17" s="0" t="s">
        <v>66</v>
      </c>
      <c r="B17" s="0" t="n">
        <f aca="false">B15</f>
        <v>1750000</v>
      </c>
      <c r="C17" s="0" t="n">
        <f aca="false">B17-B18+C15</f>
        <v>3500000</v>
      </c>
      <c r="D17" s="0" t="n">
        <f aca="false">C17-C18+D15</f>
        <v>6225000</v>
      </c>
      <c r="E17" s="0" t="n">
        <f aca="false">D17-D18+E15</f>
        <v>69224841.6666667</v>
      </c>
      <c r="F17" s="0" t="n">
        <f aca="false">E17-E18+F15</f>
        <v>89331349.1993881</v>
      </c>
      <c r="G17" s="0" t="n">
        <f aca="false">F17-F18+G15</f>
        <v>164403646.869132</v>
      </c>
      <c r="H17" s="0" t="n">
        <f aca="false">G17-G18+H15</f>
        <v>183187048.017812</v>
      </c>
      <c r="I17" s="0" t="n">
        <f aca="false">H17-H18+I15</f>
        <v>243482098.304804</v>
      </c>
      <c r="J17" s="0" t="n">
        <f aca="false">I17-I18+J15</f>
        <v>241982971.805169</v>
      </c>
      <c r="K17" s="0" t="n">
        <f aca="false">J17-J18+K15</f>
        <v>240438296.369223</v>
      </c>
      <c r="L17" s="0" t="n">
        <f aca="false">K17-K18+L15</f>
        <v>238847721.389146</v>
      </c>
      <c r="M17" s="0" t="n">
        <f aca="false">L17-L18+M15</f>
        <v>237210893.388754</v>
      </c>
      <c r="N17" s="0" t="n">
        <f aca="false">M17-M18+N15</f>
        <v>234408620.975536</v>
      </c>
      <c r="O17" s="0" t="n">
        <f aca="false">N17-N18+O15</f>
        <v>231548355.707807</v>
      </c>
      <c r="P17" s="0" t="n">
        <f aca="false">O17-O18+P15</f>
        <v>228581705.261854</v>
      </c>
      <c r="Q17" s="0" t="n">
        <f aca="false">P17-P18+Q15</f>
        <v>210096080.523864</v>
      </c>
      <c r="R17" s="0" t="n">
        <f aca="false">Q17-Q18+R15</f>
        <v>162568163.124572</v>
      </c>
      <c r="S17" s="0" t="n">
        <f aca="false">R17-R18+S15</f>
        <v>114842162.063984</v>
      </c>
      <c r="T17" s="0" t="n">
        <f aca="false">S17-S18+T15</f>
        <v>67055570.209287</v>
      </c>
      <c r="U17" s="0" t="n">
        <f aca="false">T17-T18+U15</f>
        <v>63374522.0006012</v>
      </c>
      <c r="V17" s="0" t="n">
        <f aca="false">U17-U18+V15</f>
        <v>59631814.2481224</v>
      </c>
      <c r="W17" s="0" t="n">
        <f aca="false">V17-V18+W15</f>
        <v>55762365.9260652</v>
      </c>
      <c r="X17" s="0" t="n">
        <f aca="false">W17-W18+X15</f>
        <v>0</v>
      </c>
      <c r="Y17" s="0" t="n">
        <f aca="false">X17-X18+Y15</f>
        <v>0</v>
      </c>
      <c r="Z17" s="0" t="n">
        <f aca="false">Y17-Y18+Z15</f>
        <v>0</v>
      </c>
      <c r="AA17" s="0" t="n">
        <f aca="false">Z17-Z18+AA15</f>
        <v>0</v>
      </c>
      <c r="AB17" s="0" t="n">
        <f aca="false">AA17-AA18+AB15</f>
        <v>0</v>
      </c>
      <c r="AC17" s="0" t="n">
        <f aca="false">AB17-AB18+AC15</f>
        <v>0</v>
      </c>
      <c r="AD17" s="0" t="n">
        <f aca="false">AC17-AC18+AD15</f>
        <v>0</v>
      </c>
      <c r="AE17" s="0" t="n">
        <f aca="false">AD17-AD18+AE15</f>
        <v>0</v>
      </c>
      <c r="AF17" s="0" t="n">
        <f aca="false">AE17-AE18+AF15</f>
        <v>0</v>
      </c>
      <c r="AG17" s="0" t="n">
        <f aca="false">AF17-AF18+AG15</f>
        <v>0</v>
      </c>
      <c r="AH17" s="0" t="n">
        <f aca="false">AG17-AG18+AH15</f>
        <v>0</v>
      </c>
    </row>
    <row r="18" customFormat="false" ht="15" hidden="false" customHeight="false" outlineLevel="0" collapsed="false">
      <c r="A18" s="0" t="s">
        <v>67</v>
      </c>
      <c r="B18" s="0" t="n">
        <f aca="false">MIN(B16,B17)</f>
        <v>0</v>
      </c>
      <c r="C18" s="0" t="n">
        <f aca="false">MIN(C16,C17)</f>
        <v>0</v>
      </c>
      <c r="D18" s="0" t="n">
        <f aca="false">MIN(D16,D17)</f>
        <v>0</v>
      </c>
      <c r="E18" s="0" t="n">
        <f aca="false">MIN(E16,E17)</f>
        <v>0</v>
      </c>
      <c r="F18" s="0" t="n">
        <f aca="false">MIN(F16,F17)</f>
        <v>0</v>
      </c>
      <c r="G18" s="0" t="n">
        <f aca="false">MIN(G16,G17)</f>
        <v>0</v>
      </c>
      <c r="H18" s="0" t="n">
        <f aca="false">MIN(H16,H17)</f>
        <v>3203925.32718176</v>
      </c>
      <c r="I18" s="0" t="n">
        <f aca="false">MIN(I16,I17)</f>
        <v>3249126.49963461</v>
      </c>
      <c r="J18" s="0" t="n">
        <f aca="false">MIN(J16,J17)</f>
        <v>3294675.43594585</v>
      </c>
      <c r="K18" s="0" t="n">
        <f aca="false">MIN(K16,K17)</f>
        <v>3340574.98007701</v>
      </c>
      <c r="L18" s="0" t="n">
        <f aca="false">MIN(L16,L17)</f>
        <v>3386828.00039206</v>
      </c>
      <c r="M18" s="0" t="n">
        <f aca="false">MIN(M16,M17)</f>
        <v>3433437.38987443</v>
      </c>
      <c r="N18" s="0" t="n">
        <f aca="false">MIN(N16,N17)</f>
        <v>3480406.06634612</v>
      </c>
      <c r="O18" s="0" t="n">
        <f aca="false">MIN(O16,O17)</f>
        <v>3527736.97268873</v>
      </c>
      <c r="P18" s="0" t="n">
        <f aca="false">MIN(P16,P17)</f>
        <v>18897367.0021009</v>
      </c>
      <c r="Q18" s="0" t="n">
        <f aca="false">MIN(Q16,Q17)</f>
        <v>47790164.0398184</v>
      </c>
      <c r="R18" s="0" t="n">
        <f aca="false">MIN(R16,R17)</f>
        <v>47838599.5470179</v>
      </c>
      <c r="S18" s="0" t="n">
        <f aca="false">MIN(S16,S17)</f>
        <v>47887409.3107033</v>
      </c>
      <c r="T18" s="0" t="n">
        <f aca="false">MIN(T16,T17)</f>
        <v>3769929.73577456</v>
      </c>
      <c r="U18" s="0" t="n">
        <f aca="false">MIN(U16,U17)</f>
        <v>3819497.25356121</v>
      </c>
      <c r="V18" s="0" t="n">
        <f aca="false">MIN(V16,V17)</f>
        <v>3869448.32205717</v>
      </c>
      <c r="W18" s="0" t="n">
        <f aca="false">MIN(W16,W17)</f>
        <v>55762365.9260652</v>
      </c>
      <c r="X18" s="0" t="n">
        <f aca="false">MIN(X16,X17)</f>
        <v>0</v>
      </c>
      <c r="Y18" s="0" t="n">
        <f aca="false">MIN(Y16,Y17)</f>
        <v>0</v>
      </c>
      <c r="Z18" s="0" t="n">
        <f aca="false">MIN(Z16,Z17)</f>
        <v>0</v>
      </c>
      <c r="AA18" s="0" t="n">
        <f aca="false">MIN(AA16,AA17)</f>
        <v>0</v>
      </c>
      <c r="AB18" s="0" t="n">
        <f aca="false">MIN(AB16,AB17)</f>
        <v>0</v>
      </c>
      <c r="AC18" s="0" t="n">
        <f aca="false">MIN(AC16,AC17)</f>
        <v>0</v>
      </c>
      <c r="AD18" s="0" t="n">
        <f aca="false">MIN(AD16,AD17)</f>
        <v>0</v>
      </c>
      <c r="AE18" s="0" t="n">
        <f aca="false">MIN(AE16,AE17)</f>
        <v>0</v>
      </c>
      <c r="AF18" s="0" t="n">
        <f aca="false">MIN(AF16,AF17)</f>
        <v>0</v>
      </c>
      <c r="AG18" s="0" t="n">
        <f aca="false">MIN(AG16,AG17)</f>
        <v>0</v>
      </c>
      <c r="AH18" s="0" t="n">
        <f aca="false">MIN(AH16,AH17)</f>
        <v>0</v>
      </c>
    </row>
    <row r="19" customFormat="false" ht="15" hidden="false" customHeight="false" outlineLevel="0" collapsed="false">
      <c r="A19" s="0" t="s">
        <v>68</v>
      </c>
      <c r="B19" s="0" t="n">
        <f aca="false">0</f>
        <v>0</v>
      </c>
      <c r="C19" s="0" t="n">
        <f aca="false">(B19-B20)*(1+Fund!$B$10)^0.25+(B17-B18)*((1+Fund!$B$10)^0.25-1)</f>
        <v>33996.4570894786</v>
      </c>
      <c r="D19" s="0" t="n">
        <f aca="false">(C19-C20)*(1+Fund!$B$10)^0.25+(C17-C18)*((1+Fund!$B$10)^0.25-1)</f>
        <v>102649.8050368</v>
      </c>
      <c r="E19" s="0" t="n">
        <f aca="false">(D19-D20)*(1+Fund!$B$10)^0.25+(D17-D18)*((1+Fund!$B$10)^0.25-1)</f>
        <v>225574.190793475</v>
      </c>
      <c r="F19" s="0" t="n">
        <f aca="false">(E19-E20)*(1+Fund!$B$10)^0.25+(E17-E18)*((1+Fund!$B$10)^0.25-1)</f>
        <v>1574755.95224753</v>
      </c>
      <c r="G19" s="0" t="n">
        <f aca="false">(F19-F20)*(1+Fund!$B$10)^0.25+(F17-F18)*((1+Fund!$B$10)^0.25-1)</f>
        <v>3340747.66822422</v>
      </c>
      <c r="H19" s="0" t="n">
        <f aca="false">(G19-G20)*(1+Fund!$B$10)^0.25+(G17-G18)*((1+Fund!$B$10)^0.25-1)</f>
        <v>6599442.0173041</v>
      </c>
      <c r="I19" s="0" t="n">
        <f aca="false">(H19-H20)*(1+Fund!$B$10)^0.25+(H17-H18)*((1+Fund!$B$10)^0.25-1)</f>
        <v>10224096.9628688</v>
      </c>
      <c r="J19" s="0" t="n">
        <f aca="false">(I19-I20)*(1+Fund!$B$10)^0.25+(I17-I18)*((1+Fund!$B$10)^0.25-1)</f>
        <v>15089612.9577997</v>
      </c>
      <c r="K19" s="0" t="n">
        <f aca="false">(J19-J20)*(1+Fund!$B$10)^0.25+(J17-J18)*((1+Fund!$B$10)^0.25-1)</f>
        <v>20019641.4176247</v>
      </c>
      <c r="L19" s="0" t="n">
        <f aca="false">(K19-K20)*(1+Fund!$B$10)^0.25+(K17-K18)*((1+Fund!$B$10)^0.25-1)</f>
        <v>25014543.9271221</v>
      </c>
      <c r="M19" s="0" t="n">
        <f aca="false">(L19-L20)*(1+Fund!$B$10)^0.25+(L17-L18)*((1+Fund!$B$10)^0.25-1)</f>
        <v>30074682.228592</v>
      </c>
      <c r="N19" s="0" t="n">
        <f aca="false">(M19-M20)*(1+Fund!$B$10)^0.25+(M17-M18)*((1+Fund!$B$10)^0.25-1)</f>
        <v>35200418.1687162</v>
      </c>
      <c r="O19" s="0" t="n">
        <f aca="false">(N19-N20)*(1+Fund!$B$10)^0.25+(N17-N18)*((1+Fund!$B$10)^0.25-1)</f>
        <v>40370378.5428389</v>
      </c>
      <c r="P19" s="0" t="n">
        <f aca="false">(O19-O20)*(1+Fund!$B$10)^0.25+(O17-O18)*((1+Fund!$B$10)^0.25-1)</f>
        <v>45584288.8412174</v>
      </c>
      <c r="Q19" s="0" t="n">
        <f aca="false">(P19-P20)*(1+Fund!$B$10)^0.25+(P17-P18)*((1+Fund!$B$10)^0.25-1)</f>
        <v>50543276.799805</v>
      </c>
      <c r="R19" s="0" t="n">
        <f aca="false">(Q19-Q20)*(1+Fund!$B$10)^0.25+(Q17-Q18)*((1+Fund!$B$10)^0.25-1)</f>
        <v>54678201.6375219</v>
      </c>
      <c r="S19" s="0" t="n">
        <f aca="false">(R19-R20)*(1+Fund!$B$10)^0.25+(R17-R18)*((1+Fund!$B$10)^0.25-1)</f>
        <v>57969209.5350983</v>
      </c>
      <c r="T19" s="0" t="n">
        <f aca="false">(S19-S20)*(1+Fund!$B$10)^0.25+(S17-S18)*((1+Fund!$B$10)^0.25-1)</f>
        <v>60396050.7484609</v>
      </c>
      <c r="U19" s="0" t="n">
        <f aca="false">(T19-T20)*(1+Fund!$B$10)^0.25+(T17-T18)*((1+Fund!$B$10)^0.25-1)</f>
        <v>62798758.9246792</v>
      </c>
      <c r="V19" s="0" t="n">
        <f aca="false">(U19-U20)*(1+Fund!$B$10)^0.25+(U17-U18)*((1+Fund!$B$10)^0.25-1)</f>
        <v>65175670.4425826</v>
      </c>
      <c r="W19" s="0" t="n">
        <f aca="false">(V19-V20)*(1+Fund!$B$10)^0.25+(V17-V18)*((1+Fund!$B$10)^0.25-1)</f>
        <v>67525078.8790926</v>
      </c>
      <c r="X19" s="0" t="n">
        <f aca="false">(W19-W20)*(1+Fund!$B$10)^0.25+(W17-W18)*((1+Fund!$B$10)^0.25-1)</f>
        <v>15726849.8449363</v>
      </c>
      <c r="Y19" s="0" t="n">
        <f aca="false">(X19-X20)*(1+Fund!$B$10)^0.25+(X17-X18)*((1+Fund!$B$10)^0.25-1)</f>
        <v>13441589.6348157</v>
      </c>
      <c r="Z19" s="0" t="n">
        <f aca="false">(Y19-Y20)*(1+Fund!$B$10)^0.25+(Y17-Y18)*((1+Fund!$B$10)^0.25-1)</f>
        <v>11078666.6034917</v>
      </c>
      <c r="AA19" s="0" t="n">
        <f aca="false">(Z19-Z20)*(1+Fund!$B$10)^0.25+(Z17-Z18)*((1+Fund!$B$10)^0.25-1)</f>
        <v>8636307.79073909</v>
      </c>
      <c r="AB19" s="0" t="n">
        <f aca="false">(AA19-AA20)*(1+Fund!$B$10)^0.25+(AA17-AA18)*((1+Fund!$B$10)^0.25-1)</f>
        <v>6112703.50564137</v>
      </c>
      <c r="AC19" s="0" t="n">
        <f aca="false">(AB19-AB20)*(1+Fund!$B$10)^0.25+(AB17-AB18)*((1+Fund!$B$10)^0.25-1)</f>
        <v>3506006.59205943</v>
      </c>
      <c r="AD19" s="0" t="n">
        <f aca="false">(AC19-AC20)*(1+Fund!$B$10)^0.25+(AC17-AC18)*((1+Fund!$B$10)^0.25-1)</f>
        <v>0</v>
      </c>
      <c r="AE19" s="0" t="n">
        <f aca="false">(AD19-AD20)*(1+Fund!$B$10)^0.25+(AD17-AD18)*((1+Fund!$B$10)^0.25-1)</f>
        <v>0</v>
      </c>
      <c r="AF19" s="0" t="n">
        <f aca="false">(AE19-AE20)*(1+Fund!$B$10)^0.25+(AE17-AE18)*((1+Fund!$B$10)^0.25-1)</f>
        <v>0</v>
      </c>
      <c r="AG19" s="0" t="n">
        <f aca="false">(AF19-AF20)*(1+Fund!$B$10)^0.25+(AF17-AF18)*((1+Fund!$B$10)^0.25-1)</f>
        <v>0</v>
      </c>
      <c r="AH19" s="0" t="n">
        <f aca="false">(AG19-AG20)*(1+Fund!$B$10)^0.25+(AG17-AG18)*((1+Fund!$B$10)^0.25-1)</f>
        <v>0</v>
      </c>
    </row>
    <row r="20" customFormat="false" ht="15" hidden="false" customHeight="false" outlineLevel="0" collapsed="false">
      <c r="A20" s="0" t="s">
        <v>69</v>
      </c>
      <c r="B20" s="0" t="n">
        <f aca="false">MIN(B16-B18,B19)</f>
        <v>0</v>
      </c>
      <c r="C20" s="0" t="n">
        <f aca="false">MIN(C16-C18,C19)</f>
        <v>0</v>
      </c>
      <c r="D20" s="0" t="n">
        <f aca="false">MIN(D16-D18,D19)</f>
        <v>0</v>
      </c>
      <c r="E20" s="0" t="n">
        <f aca="false">MIN(E16-E18,E19)</f>
        <v>0</v>
      </c>
      <c r="F20" s="0" t="n">
        <f aca="false">MIN(F16-F18,F19)</f>
        <v>0</v>
      </c>
      <c r="G20" s="0" t="n">
        <f aca="false">MIN(G16-G18,G19)</f>
        <v>0</v>
      </c>
      <c r="H20" s="0" t="n">
        <f aca="false">MIN(H16-H18,H19)</f>
        <v>0</v>
      </c>
      <c r="I20" s="0" t="n">
        <f aca="false">MIN(I16-I18,I19)</f>
        <v>0</v>
      </c>
      <c r="J20" s="0" t="n">
        <f aca="false">MIN(J16-J18,J19)</f>
        <v>0</v>
      </c>
      <c r="K20" s="0" t="n">
        <f aca="false">MIN(K16-K18,K19)</f>
        <v>0</v>
      </c>
      <c r="L20" s="0" t="n">
        <f aca="false">MIN(L16-L18,L19)</f>
        <v>0</v>
      </c>
      <c r="M20" s="0" t="n">
        <f aca="false">MIN(M16-M18,M19)</f>
        <v>0</v>
      </c>
      <c r="N20" s="0" t="n">
        <f aca="false">MIN(N16-N18,N19)</f>
        <v>0</v>
      </c>
      <c r="O20" s="0" t="n">
        <f aca="false">MIN(O16-O18,O19)</f>
        <v>0</v>
      </c>
      <c r="P20" s="0" t="n">
        <f aca="false">MIN(P16-P18,P19)</f>
        <v>0</v>
      </c>
      <c r="Q20" s="0" t="n">
        <f aca="false">MIN(Q16-Q18,Q19)</f>
        <v>0</v>
      </c>
      <c r="R20" s="0" t="n">
        <f aca="false">MIN(R16-R18,R19)</f>
        <v>0</v>
      </c>
      <c r="S20" s="0" t="n">
        <f aca="false">MIN(S16-S18,S19)</f>
        <v>0</v>
      </c>
      <c r="T20" s="0" t="n">
        <f aca="false">MIN(T16-T18,T19)</f>
        <v>0</v>
      </c>
      <c r="U20" s="0" t="n">
        <f aca="false">MIN(U16-U18,U19)</f>
        <v>0</v>
      </c>
      <c r="V20" s="0" t="n">
        <f aca="false">MIN(V16-V18,V19)</f>
        <v>0</v>
      </c>
      <c r="W20" s="0" t="n">
        <f aca="false">MIN(W16-W18,W19)</f>
        <v>52097925.3557389</v>
      </c>
      <c r="X20" s="0" t="n">
        <f aca="false">MIN(X16-X18,X19)</f>
        <v>2541407.81816005</v>
      </c>
      <c r="Y20" s="0" t="n">
        <f aca="false">MIN(Y16-Y18,Y19)</f>
        <v>2574041.95608281</v>
      </c>
      <c r="Z20" s="0" t="n">
        <f aca="false">MIN(Z16-Z18,Z19)</f>
        <v>2606935.29834633</v>
      </c>
      <c r="AA20" s="0" t="n">
        <f aca="false">MIN(AA16-AA18,AA19)</f>
        <v>2640090.08954224</v>
      </c>
      <c r="AB20" s="0" t="n">
        <f aca="false">MIN(AB16-AB18,AB19)</f>
        <v>2673508.59484326</v>
      </c>
      <c r="AC20" s="0" t="n">
        <f aca="false">MIN(AC16-AC18,AC19)</f>
        <v>3506006.59205943</v>
      </c>
      <c r="AD20" s="0" t="n">
        <f aca="false">MIN(AD16-AD18,AD19)</f>
        <v>0</v>
      </c>
      <c r="AE20" s="0" t="n">
        <f aca="false">MIN(AE16-AE18,AE19)</f>
        <v>0</v>
      </c>
      <c r="AF20" s="0" t="n">
        <f aca="false">MIN(AF16-AF18,AF19)</f>
        <v>0</v>
      </c>
      <c r="AG20" s="0" t="n">
        <f aca="false">MIN(AG16-AG18,AG19)</f>
        <v>0</v>
      </c>
      <c r="AH20" s="0" t="n">
        <f aca="false">MIN(AH16-AH18,AH19)</f>
        <v>0</v>
      </c>
    </row>
    <row r="21" customFormat="false" ht="15" hidden="false" customHeight="false" outlineLevel="0" collapsed="false">
      <c r="A21" s="0" t="s">
        <v>70</v>
      </c>
      <c r="B21" s="0" t="n">
        <f aca="false">B20*Fund!$B$12/(1-Fund!$B$12)</f>
        <v>0</v>
      </c>
      <c r="C21" s="0" t="n">
        <f aca="false">B21-B22+C20*Fund!$B$12/(1-Fund!$B$12)</f>
        <v>0</v>
      </c>
      <c r="D21" s="0" t="n">
        <f aca="false">C21-C22+D20*Fund!$B$12/(1-Fund!$B$12)</f>
        <v>0</v>
      </c>
      <c r="E21" s="0" t="n">
        <f aca="false">D21-D22+E20*Fund!$B$12/(1-Fund!$B$12)</f>
        <v>0</v>
      </c>
      <c r="F21" s="0" t="n">
        <f aca="false">E21-E22+F20*Fund!$B$12/(1-Fund!$B$12)</f>
        <v>0</v>
      </c>
      <c r="G21" s="0" t="n">
        <f aca="false">F21-F22+G20*Fund!$B$12/(1-Fund!$B$12)</f>
        <v>0</v>
      </c>
      <c r="H21" s="0" t="n">
        <f aca="false">G21-G22+H20*Fund!$B$12/(1-Fund!$B$12)</f>
        <v>0</v>
      </c>
      <c r="I21" s="0" t="n">
        <f aca="false">H21-H22+I20*Fund!$B$12/(1-Fund!$B$12)</f>
        <v>0</v>
      </c>
      <c r="J21" s="0" t="n">
        <f aca="false">I21-I22+J20*Fund!$B$12/(1-Fund!$B$12)</f>
        <v>0</v>
      </c>
      <c r="K21" s="0" t="n">
        <f aca="false">J21-J22+K20*Fund!$B$12/(1-Fund!$B$12)</f>
        <v>0</v>
      </c>
      <c r="L21" s="0" t="n">
        <f aca="false">K21-K22+L20*Fund!$B$12/(1-Fund!$B$12)</f>
        <v>0</v>
      </c>
      <c r="M21" s="0" t="n">
        <f aca="false">L21-L22+M20*Fund!$B$12/(1-Fund!$B$12)</f>
        <v>0</v>
      </c>
      <c r="N21" s="0" t="n">
        <f aca="false">M21-M22+N20*Fund!$B$12/(1-Fund!$B$12)</f>
        <v>0</v>
      </c>
      <c r="O21" s="0" t="n">
        <f aca="false">N21-N22+O20*Fund!$B$12/(1-Fund!$B$12)</f>
        <v>0</v>
      </c>
      <c r="P21" s="0" t="n">
        <f aca="false">O21-O22+P20*Fund!$B$12/(1-Fund!$B$12)</f>
        <v>0</v>
      </c>
      <c r="Q21" s="0" t="n">
        <f aca="false">P21-P22+Q20*Fund!$B$12/(1-Fund!$B$12)</f>
        <v>0</v>
      </c>
      <c r="R21" s="0" t="n">
        <f aca="false">Q21-Q22+R20*Fund!$B$12/(1-Fund!$B$12)</f>
        <v>0</v>
      </c>
      <c r="S21" s="0" t="n">
        <f aca="false">R21-R22+S20*Fund!$B$12/(1-Fund!$B$12)</f>
        <v>0</v>
      </c>
      <c r="T21" s="0" t="n">
        <f aca="false">S21-S22+T20*Fund!$B$12/(1-Fund!$B$12)</f>
        <v>0</v>
      </c>
      <c r="U21" s="0" t="n">
        <f aca="false">T21-T22+U20*Fund!$B$12/(1-Fund!$B$12)</f>
        <v>0</v>
      </c>
      <c r="V21" s="0" t="n">
        <f aca="false">U21-U22+V20*Fund!$B$12/(1-Fund!$B$12)</f>
        <v>0</v>
      </c>
      <c r="W21" s="0" t="n">
        <f aca="false">V21-V22+W20*Fund!$B$12/(1-Fund!$B$12)</f>
        <v>13024481.3389347</v>
      </c>
      <c r="X21" s="0" t="n">
        <f aca="false">W21-W22+X20*Fund!$B$12/(1-Fund!$B$12)</f>
        <v>13659833.2934747</v>
      </c>
      <c r="Y21" s="0" t="n">
        <f aca="false">X21-X22+Y20*Fund!$B$12/(1-Fund!$B$12)</f>
        <v>14303343.7824954</v>
      </c>
      <c r="Z21" s="0" t="n">
        <f aca="false">Y21-Y22+Z20*Fund!$B$12/(1-Fund!$B$12)</f>
        <v>14955077.607082</v>
      </c>
      <c r="AA21" s="0" t="n">
        <f aca="false">Z21-Z22+AA20*Fund!$B$12/(1-Fund!$B$12)</f>
        <v>15615100.1294676</v>
      </c>
      <c r="AB21" s="0" t="n">
        <f aca="false">AA21-AA22+AB20*Fund!$B$12/(1-Fund!$B$12)</f>
        <v>16283477.2781784</v>
      </c>
      <c r="AC21" s="0" t="n">
        <f aca="false">AB21-AB22+AC20*Fund!$B$12/(1-Fund!$B$12)</f>
        <v>17159978.9261933</v>
      </c>
      <c r="AD21" s="0" t="n">
        <f aca="false">AC21-AC22+AD20*Fund!$B$12/(1-Fund!$B$12)</f>
        <v>0</v>
      </c>
      <c r="AE21" s="0" t="n">
        <f aca="false">AD21-AD22+AE20*Fund!$B$12/(1-Fund!$B$12)</f>
        <v>0</v>
      </c>
      <c r="AF21" s="0" t="n">
        <f aca="false">AE21-AE22+AF20*Fund!$B$12/(1-Fund!$B$12)</f>
        <v>0</v>
      </c>
      <c r="AG21" s="0" t="n">
        <f aca="false">AF21-AF22+AG20*Fund!$B$12/(1-Fund!$B$12)</f>
        <v>0</v>
      </c>
      <c r="AH21" s="0" t="n">
        <f aca="false">AG21-AG22+AH20*Fund!$B$12/(1-Fund!$B$12)</f>
        <v>0</v>
      </c>
    </row>
    <row r="22" customFormat="false" ht="15" hidden="false" customHeight="false" outlineLevel="0" collapsed="false">
      <c r="A22" s="0" t="s">
        <v>71</v>
      </c>
      <c r="B22" s="0" t="n">
        <f aca="false">MIN((B16-B18-B20)*Fund!$B$11,B21)</f>
        <v>0</v>
      </c>
      <c r="C22" s="0" t="n">
        <f aca="false">MIN((C16-C18-C20)*Fund!$B$11,C21)</f>
        <v>0</v>
      </c>
      <c r="D22" s="0" t="n">
        <f aca="false">MIN((D16-D18-D20)*Fund!$B$11,D21)</f>
        <v>0</v>
      </c>
      <c r="E22" s="0" t="n">
        <f aca="false">MIN((E16-E18-E20)*Fund!$B$11,E21)</f>
        <v>0</v>
      </c>
      <c r="F22" s="0" t="n">
        <f aca="false">MIN((F16-F18-F20)*Fund!$B$11,F21)</f>
        <v>0</v>
      </c>
      <c r="G22" s="0" t="n">
        <f aca="false">MIN((G16-G18-G20)*Fund!$B$11,G21)</f>
        <v>0</v>
      </c>
      <c r="H22" s="0" t="n">
        <f aca="false">MIN((H16-H18-H20)*Fund!$B$11,H21)</f>
        <v>0</v>
      </c>
      <c r="I22" s="0" t="n">
        <f aca="false">MIN((I16-I18-I20)*Fund!$B$11,I21)</f>
        <v>0</v>
      </c>
      <c r="J22" s="0" t="n">
        <f aca="false">MIN((J16-J18-J20)*Fund!$B$11,J21)</f>
        <v>0</v>
      </c>
      <c r="K22" s="0" t="n">
        <f aca="false">MIN((K16-K18-K20)*Fund!$B$11,K21)</f>
        <v>0</v>
      </c>
      <c r="L22" s="0" t="n">
        <f aca="false">MIN((L16-L18-L20)*Fund!$B$11,L21)</f>
        <v>0</v>
      </c>
      <c r="M22" s="0" t="n">
        <f aca="false">MIN((M16-M18-M20)*Fund!$B$11,M21)</f>
        <v>0</v>
      </c>
      <c r="N22" s="0" t="n">
        <f aca="false">MIN((N16-N18-N20)*Fund!$B$11,N21)</f>
        <v>0</v>
      </c>
      <c r="O22" s="0" t="n">
        <f aca="false">MIN((O16-O18-O20)*Fund!$B$11,O21)</f>
        <v>0</v>
      </c>
      <c r="P22" s="0" t="n">
        <f aca="false">MIN((P16-P18-P20)*Fund!$B$11,P21)</f>
        <v>0</v>
      </c>
      <c r="Q22" s="0" t="n">
        <f aca="false">MIN((Q16-Q18-Q20)*Fund!$B$11,Q21)</f>
        <v>0</v>
      </c>
      <c r="R22" s="0" t="n">
        <f aca="false">MIN((R16-R18-R20)*Fund!$B$11,R21)</f>
        <v>0</v>
      </c>
      <c r="S22" s="0" t="n">
        <f aca="false">MIN((S16-S18-S20)*Fund!$B$11,S21)</f>
        <v>0</v>
      </c>
      <c r="T22" s="0" t="n">
        <f aca="false">MIN((T16-T18-T20)*Fund!$B$11,T21)</f>
        <v>0</v>
      </c>
      <c r="U22" s="0" t="n">
        <f aca="false">MIN((U16-U18-U20)*Fund!$B$11,U21)</f>
        <v>0</v>
      </c>
      <c r="V22" s="0" t="n">
        <f aca="false">MIN((V16-V18-V20)*Fund!$B$11,V21)</f>
        <v>0</v>
      </c>
      <c r="W22" s="0" t="n">
        <f aca="false">MIN((W16-W18-W20)*Fund!$B$11,W21)</f>
        <v>0</v>
      </c>
      <c r="X22" s="0" t="n">
        <f aca="false">MIN((X16-X18-X20)*Fund!$B$11,X21)</f>
        <v>0</v>
      </c>
      <c r="Y22" s="0" t="n">
        <f aca="false">MIN((Y16-Y18-Y20)*Fund!$B$11,Y21)</f>
        <v>0</v>
      </c>
      <c r="Z22" s="0" t="n">
        <f aca="false">MIN((Z16-Z18-Z20)*Fund!$B$11,Z21)</f>
        <v>0</v>
      </c>
      <c r="AA22" s="0" t="n">
        <f aca="false">MIN((AA16-AA18-AA20)*Fund!$B$11,AA21)</f>
        <v>0</v>
      </c>
      <c r="AB22" s="0" t="n">
        <f aca="false">MIN((AB16-AB18-AB20)*Fund!$B$11,AB21)</f>
        <v>0</v>
      </c>
      <c r="AC22" s="0" t="n">
        <f aca="false">MIN((AC16-AC18-AC20)*Fund!$B$11,AC21)</f>
        <v>17159978.9261933</v>
      </c>
      <c r="AD22" s="0" t="n">
        <f aca="false">MIN((AD16-AD18-AD20)*Fund!$B$11,AD21)</f>
        <v>0</v>
      </c>
      <c r="AE22" s="0" t="n">
        <f aca="false">MIN((AE16-AE18-AE20)*Fund!$B$11,AE21)</f>
        <v>0</v>
      </c>
      <c r="AF22" s="0" t="n">
        <f aca="false">MIN((AF16-AF18-AF20)*Fund!$B$11,AF21)</f>
        <v>0</v>
      </c>
      <c r="AG22" s="0" t="n">
        <f aca="false">MIN((AG16-AG18-AG20)*Fund!$B$11,AG21)</f>
        <v>0</v>
      </c>
      <c r="AH22" s="0" t="n">
        <f aca="false">MIN((AH16-AH18-AH20)*Fund!$B$11,AH21)</f>
        <v>0</v>
      </c>
    </row>
    <row r="23" customFormat="false" ht="15" hidden="false" customHeight="false" outlineLevel="0" collapsed="false">
      <c r="A23" s="0" t="s">
        <v>72</v>
      </c>
      <c r="B23" s="0" t="n">
        <f aca="false">0</f>
        <v>0</v>
      </c>
      <c r="C23" s="0" t="n">
        <f aca="false">MAX(0,(B23+B15)*(1+Fund!$B$13)^0.25-B28)</f>
        <v>1812226.63359784</v>
      </c>
      <c r="D23" s="0" t="n">
        <f aca="false">MAX(0,(C23+C15)*(1+Fund!$B$13)^0.25-C28)</f>
        <v>3688892.56018147</v>
      </c>
      <c r="E23" s="0" t="n">
        <f aca="false">MAX(0,(D23+D15)*(1+Fund!$B$13)^0.25-D28)</f>
        <v>6641958.24148337</v>
      </c>
      <c r="F23" s="0" t="n">
        <f aca="false">MAX(0,(E23+E15)*(1+Fund!$B$13)^0.25-E28)</f>
        <v>72118128.345852</v>
      </c>
      <c r="G23" s="0" t="n">
        <f aca="false">MAX(0,(F23+F15)*(1+Fund!$B$13)^0.25-F28)</f>
        <v>95503966.5217221</v>
      </c>
      <c r="H23" s="0" t="n">
        <f aca="false">MAX(0,(G23+G15)*(1+Fund!$B$13)^0.25-G28)</f>
        <v>176641628.015655</v>
      </c>
      <c r="I23" s="0" t="n">
        <f aca="false">MAX(0,(H23+H15)*(1+Fund!$B$13)^0.25-H28)</f>
        <v>199170041.943242</v>
      </c>
      <c r="J23" s="0" t="n">
        <f aca="false">MAX(0,(I23+I15)*(1+Fund!$B$13)^0.25-I28)</f>
        <v>268759896.036667</v>
      </c>
      <c r="K23" s="0" t="n">
        <f aca="false">MAX(0,(J23+J15)*(1+Fund!$B$13)^0.25-J28)</f>
        <v>276834032.135157</v>
      </c>
      <c r="L23" s="0" t="n">
        <f aca="false">MAX(0,(K23+K15)*(1+Fund!$B$13)^0.25-K28)</f>
        <v>285149369.437299</v>
      </c>
      <c r="M23" s="0" t="n">
        <f aca="false">MAX(0,(L23+L15)*(1+Fund!$B$13)^0.25-L28)</f>
        <v>293714131.117721</v>
      </c>
      <c r="N23" s="0" t="n">
        <f aca="false">MAX(0,(M23+M15)*(1+Fund!$B$13)^0.25-M28)</f>
        <v>302536829.858342</v>
      </c>
      <c r="O23" s="0" t="n">
        <f aca="false">MAX(0,(N23+N15)*(1+Fund!$B$13)^0.25-N28)</f>
        <v>310467659.473331</v>
      </c>
      <c r="P23" s="0" t="n">
        <f aca="false">MAX(0,(O23+O15)*(1+Fund!$B$13)^0.25-O28)</f>
        <v>318621747.050277</v>
      </c>
      <c r="Q23" s="0" t="n">
        <f aca="false">MAX(0,(P23+P15)*(1+Fund!$B$13)^0.25-P28)</f>
        <v>311634994.138178</v>
      </c>
      <c r="R23" s="0" t="n">
        <f aca="false">MAX(0,(Q23+Q15)*(1+Fund!$B$13)^0.25-Q28)</f>
        <v>275352354.037617</v>
      </c>
      <c r="S23" s="0" t="n">
        <f aca="false">MAX(0,(R23+R15)*(1+Fund!$B$13)^0.25-R28)</f>
        <v>237576326.142904</v>
      </c>
      <c r="T23" s="0" t="n">
        <f aca="false">MAX(0,(S23+S15)*(1+Fund!$B$13)^0.25-S28)</f>
        <v>198253276.24616</v>
      </c>
      <c r="U23" s="0" t="n">
        <f aca="false">MAX(0,(T23+T15)*(1+Fund!$B$13)^0.25-T28)</f>
        <v>201637253.972926</v>
      </c>
      <c r="V23" s="0" t="n">
        <f aca="false">MAX(0,(U23+U15)*(1+Fund!$B$13)^0.25-U28)</f>
        <v>205079631.572664</v>
      </c>
      <c r="W23" s="0" t="n">
        <f aca="false">MAX(0,(V23+V15)*(1+Fund!$B$13)^0.25-V28)</f>
        <v>208581940.434203</v>
      </c>
      <c r="X23" s="0" t="n">
        <f aca="false">MAX(0,(W23+W15)*(1+Fund!$B$13)^0.25-W28)</f>
        <v>108138421.713842</v>
      </c>
      <c r="Y23" s="0" t="n">
        <f aca="false">MAX(0,(X23+X15)*(1+Fund!$B$13)^0.25-X28)</f>
        <v>109442208.150445</v>
      </c>
      <c r="Z23" s="0" t="n">
        <f aca="false">MAX(0,(Y23+Y15)*(1+Fund!$B$13)^0.25-Y28)</f>
        <v>110759720.586772</v>
      </c>
      <c r="AA23" s="0" t="n">
        <f aca="false">MAX(0,(Z23+Z15)*(1+Fund!$B$13)^0.25-Z28)</f>
        <v>112091187.888626</v>
      </c>
      <c r="AB23" s="0" t="n">
        <f aca="false">MAX(0,(AA23+AA15)*(1+Fund!$B$13)^0.25-AA28)</f>
        <v>113436844.815251</v>
      </c>
      <c r="AC23" s="0" t="n">
        <f aca="false">MAX(0,(AB23+AB15)*(1+Fund!$B$13)^0.25-AB28)</f>
        <v>114796932.208301</v>
      </c>
      <c r="AD23" s="0" t="n">
        <f aca="false">MAX(0,(AC23+AC15)*(1+Fund!$B$13)^0.25-AC28)</f>
        <v>14902564.1918511</v>
      </c>
      <c r="AE23" s="0" t="n">
        <f aca="false">MAX(0,(AD23+AD15)*(1+Fund!$B$13)^0.25-AD28)</f>
        <v>15432470.7070709</v>
      </c>
      <c r="AF23" s="0" t="n">
        <f aca="false">MAX(0,(AE23+AE15)*(1+Fund!$B$13)^0.25-AE28)</f>
        <v>15981219.6786128</v>
      </c>
      <c r="AG23" s="0" t="n">
        <f aca="false">MAX(0,(AF23+AF15)*(1+Fund!$B$13)^0.25-AF28)</f>
        <v>16549481.1079771</v>
      </c>
      <c r="AH23" s="0" t="n">
        <f aca="false">MAX(0,(AG23+AG15)*(1+Fund!$B$13)^0.25-AG28)</f>
        <v>17137948.8206288</v>
      </c>
    </row>
    <row r="24" customFormat="false" ht="15" hidden="false" customHeight="false" outlineLevel="0" collapsed="false">
      <c r="A24" s="0" t="s">
        <v>73</v>
      </c>
      <c r="B24" s="0" t="n">
        <f aca="false">MIN(B16-B18-B20-B22,MAX(0,B23-B18-B20)/(1-Fund!$B$12))*(1-Fund!$B$12)</f>
        <v>0</v>
      </c>
      <c r="C24" s="0" t="n">
        <f aca="false">MIN(C16-C18-C20-C22,MAX(0,C23-C18-C20)/(1-Fund!$B$12))*(1-Fund!$B$12)</f>
        <v>0</v>
      </c>
      <c r="D24" s="0" t="n">
        <f aca="false">MIN(D16-D18-D20-D22,MAX(0,D23-D18-D20)/(1-Fund!$B$12))*(1-Fund!$B$12)</f>
        <v>0</v>
      </c>
      <c r="E24" s="0" t="n">
        <f aca="false">MIN(E16-E18-E20-E22,MAX(0,E23-E18-E20)/(1-Fund!$B$12))*(1-Fund!$B$12)</f>
        <v>0</v>
      </c>
      <c r="F24" s="0" t="n">
        <f aca="false">MIN(F16-F18-F20-F22,MAX(0,F23-F18-F20)/(1-Fund!$B$12))*(1-Fund!$B$12)</f>
        <v>0</v>
      </c>
      <c r="G24" s="0" t="n">
        <f aca="false">MIN(G16-G18-G20-G22,MAX(0,G23-G18-G20)/(1-Fund!$B$12))*(1-Fund!$B$12)</f>
        <v>0</v>
      </c>
      <c r="H24" s="0" t="n">
        <f aca="false">MIN(H16-H18-H20-H22,MAX(0,H23-H18-H20)/(1-Fund!$B$12))*(1-Fund!$B$12)</f>
        <v>0</v>
      </c>
      <c r="I24" s="0" t="n">
        <f aca="false">MIN(I16-I18-I20-I22,MAX(0,I23-I18-I20)/(1-Fund!$B$12))*(1-Fund!$B$12)</f>
        <v>0</v>
      </c>
      <c r="J24" s="0" t="n">
        <f aca="false">MIN(J16-J18-J20-J22,MAX(0,J23-J18-J20)/(1-Fund!$B$12))*(1-Fund!$B$12)</f>
        <v>0</v>
      </c>
      <c r="K24" s="0" t="n">
        <f aca="false">MIN(K16-K18-K20-K22,MAX(0,K23-K18-K20)/(1-Fund!$B$12))*(1-Fund!$B$12)</f>
        <v>0</v>
      </c>
      <c r="L24" s="0" t="n">
        <f aca="false">MIN(L16-L18-L20-L22,MAX(0,L23-L18-L20)/(1-Fund!$B$12))*(1-Fund!$B$12)</f>
        <v>0</v>
      </c>
      <c r="M24" s="0" t="n">
        <f aca="false">MIN(M16-M18-M20-M22,MAX(0,M23-M18-M20)/(1-Fund!$B$12))*(1-Fund!$B$12)</f>
        <v>0</v>
      </c>
      <c r="N24" s="0" t="n">
        <f aca="false">MIN(N16-N18-N20-N22,MAX(0,N23-N18-N20)/(1-Fund!$B$12))*(1-Fund!$B$12)</f>
        <v>0</v>
      </c>
      <c r="O24" s="0" t="n">
        <f aca="false">MIN(O16-O18-O20-O22,MAX(0,O23-O18-O20)/(1-Fund!$B$12))*(1-Fund!$B$12)</f>
        <v>0</v>
      </c>
      <c r="P24" s="0" t="n">
        <f aca="false">MIN(P16-P18-P20-P22,MAX(0,P23-P18-P20)/(1-Fund!$B$12))*(1-Fund!$B$12)</f>
        <v>0</v>
      </c>
      <c r="Q24" s="0" t="n">
        <f aca="false">MIN(Q16-Q18-Q20-Q22,MAX(0,Q23-Q18-Q20)/(1-Fund!$B$12))*(1-Fund!$B$12)</f>
        <v>0</v>
      </c>
      <c r="R24" s="0" t="n">
        <f aca="false">MIN(R16-R18-R20-R22,MAX(0,R23-R18-R20)/(1-Fund!$B$12))*(1-Fund!$B$12)</f>
        <v>0</v>
      </c>
      <c r="S24" s="0" t="n">
        <f aca="false">MIN(S16-S18-S20-S22,MAX(0,S23-S18-S20)/(1-Fund!$B$12))*(1-Fund!$B$12)</f>
        <v>0</v>
      </c>
      <c r="T24" s="0" t="n">
        <f aca="false">MIN(T16-T18-T20-T22,MAX(0,T23-T18-T20)/(1-Fund!$B$12))*(1-Fund!$B$12)</f>
        <v>0</v>
      </c>
      <c r="U24" s="0" t="n">
        <f aca="false">MIN(U16-U18-U20-U22,MAX(0,U23-U18-U20)/(1-Fund!$B$12))*(1-Fund!$B$12)</f>
        <v>0</v>
      </c>
      <c r="V24" s="0" t="n">
        <f aca="false">MIN(V16-V18-V20-V22,MAX(0,V23-V18-V20)/(1-Fund!$B$12))*(1-Fund!$B$12)</f>
        <v>0</v>
      </c>
      <c r="W24" s="0" t="n">
        <f aca="false">MIN(W16-W18-W20-W22,MAX(0,W23-W18-W20)/(1-Fund!$B$12))*(1-Fund!$B$12)</f>
        <v>0</v>
      </c>
      <c r="X24" s="0" t="n">
        <f aca="false">MIN(X16-X18-X20-X22,MAX(0,X23-X18-X20)/(1-Fund!$B$12))*(1-Fund!$B$12)</f>
        <v>0</v>
      </c>
      <c r="Y24" s="0" t="n">
        <f aca="false">MIN(Y16-Y18-Y20-Y22,MAX(0,Y23-Y18-Y20)/(1-Fund!$B$12))*(1-Fund!$B$12)</f>
        <v>0</v>
      </c>
      <c r="Z24" s="0" t="n">
        <f aca="false">MIN(Z16-Z18-Z20-Z22,MAX(0,Z23-Z18-Z20)/(1-Fund!$B$12))*(1-Fund!$B$12)</f>
        <v>0</v>
      </c>
      <c r="AA24" s="0" t="n">
        <f aca="false">MIN(AA16-AA18-AA20-AA22,MAX(0,AA23-AA18-AA20)/(1-Fund!$B$12))*(1-Fund!$B$12)</f>
        <v>0</v>
      </c>
      <c r="AB24" s="0" t="n">
        <f aca="false">MIN(AB16-AB18-AB20-AB22,MAX(0,AB23-AB18-AB20)/(1-Fund!$B$12))*(1-Fund!$B$12)</f>
        <v>0</v>
      </c>
      <c r="AC24" s="0" t="n">
        <f aca="false">MIN(AC16-AC18-AC20-AC22,MAX(0,AC23-AC18-AC20)/(1-Fund!$B$12))*(1-Fund!$B$12)</f>
        <v>100470319.503637</v>
      </c>
      <c r="AD24" s="0" t="n">
        <f aca="false">MIN(AD16-AD18-AD20-AD22,MAX(0,AD23-AD18-AD20)/(1-Fund!$B$12))*(1-Fund!$B$12)</f>
        <v>0</v>
      </c>
      <c r="AE24" s="0" t="n">
        <f aca="false">MIN(AE16-AE18-AE20-AE22,MAX(0,AE23-AE18-AE20)/(1-Fund!$B$12))*(1-Fund!$B$12)</f>
        <v>0</v>
      </c>
      <c r="AF24" s="0" t="n">
        <f aca="false">MIN(AF16-AF18-AF20-AF22,MAX(0,AF23-AF18-AF20)/(1-Fund!$B$12))*(1-Fund!$B$12)</f>
        <v>0</v>
      </c>
      <c r="AG24" s="0" t="n">
        <f aca="false">MIN(AG16-AG18-AG20-AG22,MAX(0,AG23-AG18-AG20)/(1-Fund!$B$12))*(1-Fund!$B$12)</f>
        <v>0</v>
      </c>
      <c r="AH24" s="0" t="n">
        <f aca="false">MIN(AH16-AH18-AH20-AH22,MAX(0,AH23-AH18-AH20)/(1-Fund!$B$12))*(1-Fund!$B$12)</f>
        <v>0</v>
      </c>
    </row>
    <row r="25" customFormat="false" ht="15" hidden="false" customHeight="false" outlineLevel="0" collapsed="false">
      <c r="A25" s="0" t="s">
        <v>74</v>
      </c>
      <c r="B25" s="0" t="n">
        <f aca="false">B24*Fund!$B$12/(1-Fund!$B$12)</f>
        <v>0</v>
      </c>
      <c r="C25" s="0" t="n">
        <f aca="false">C24*Fund!$B$12/(1-Fund!$B$12)</f>
        <v>0</v>
      </c>
      <c r="D25" s="0" t="n">
        <f aca="false">D24*Fund!$B$12/(1-Fund!$B$12)</f>
        <v>0</v>
      </c>
      <c r="E25" s="0" t="n">
        <f aca="false">E24*Fund!$B$12/(1-Fund!$B$12)</f>
        <v>0</v>
      </c>
      <c r="F25" s="0" t="n">
        <f aca="false">F24*Fund!$B$12/(1-Fund!$B$12)</f>
        <v>0</v>
      </c>
      <c r="G25" s="0" t="n">
        <f aca="false">G24*Fund!$B$12/(1-Fund!$B$12)</f>
        <v>0</v>
      </c>
      <c r="H25" s="0" t="n">
        <f aca="false">H24*Fund!$B$12/(1-Fund!$B$12)</f>
        <v>0</v>
      </c>
      <c r="I25" s="0" t="n">
        <f aca="false">I24*Fund!$B$12/(1-Fund!$B$12)</f>
        <v>0</v>
      </c>
      <c r="J25" s="0" t="n">
        <f aca="false">J24*Fund!$B$12/(1-Fund!$B$12)</f>
        <v>0</v>
      </c>
      <c r="K25" s="0" t="n">
        <f aca="false">K24*Fund!$B$12/(1-Fund!$B$12)</f>
        <v>0</v>
      </c>
      <c r="L25" s="0" t="n">
        <f aca="false">L24*Fund!$B$12/(1-Fund!$B$12)</f>
        <v>0</v>
      </c>
      <c r="M25" s="0" t="n">
        <f aca="false">M24*Fund!$B$12/(1-Fund!$B$12)</f>
        <v>0</v>
      </c>
      <c r="N25" s="0" t="n">
        <f aca="false">N24*Fund!$B$12/(1-Fund!$B$12)</f>
        <v>0</v>
      </c>
      <c r="O25" s="0" t="n">
        <f aca="false">O24*Fund!$B$12/(1-Fund!$B$12)</f>
        <v>0</v>
      </c>
      <c r="P25" s="0" t="n">
        <f aca="false">P24*Fund!$B$12/(1-Fund!$B$12)</f>
        <v>0</v>
      </c>
      <c r="Q25" s="0" t="n">
        <f aca="false">Q24*Fund!$B$12/(1-Fund!$B$12)</f>
        <v>0</v>
      </c>
      <c r="R25" s="0" t="n">
        <f aca="false">R24*Fund!$B$12/(1-Fund!$B$12)</f>
        <v>0</v>
      </c>
      <c r="S25" s="0" t="n">
        <f aca="false">S24*Fund!$B$12/(1-Fund!$B$12)</f>
        <v>0</v>
      </c>
      <c r="T25" s="0" t="n">
        <f aca="false">T24*Fund!$B$12/(1-Fund!$B$12)</f>
        <v>0</v>
      </c>
      <c r="U25" s="0" t="n">
        <f aca="false">U24*Fund!$B$12/(1-Fund!$B$12)</f>
        <v>0</v>
      </c>
      <c r="V25" s="0" t="n">
        <f aca="false">V24*Fund!$B$12/(1-Fund!$B$12)</f>
        <v>0</v>
      </c>
      <c r="W25" s="0" t="n">
        <f aca="false">W24*Fund!$B$12/(1-Fund!$B$12)</f>
        <v>0</v>
      </c>
      <c r="X25" s="0" t="n">
        <f aca="false">X24*Fund!$B$12/(1-Fund!$B$12)</f>
        <v>0</v>
      </c>
      <c r="Y25" s="0" t="n">
        <f aca="false">Y24*Fund!$B$12/(1-Fund!$B$12)</f>
        <v>0</v>
      </c>
      <c r="Z25" s="0" t="n">
        <f aca="false">Z24*Fund!$B$12/(1-Fund!$B$12)</f>
        <v>0</v>
      </c>
      <c r="AA25" s="0" t="n">
        <f aca="false">AA24*Fund!$B$12/(1-Fund!$B$12)</f>
        <v>0</v>
      </c>
      <c r="AB25" s="0" t="n">
        <f aca="false">AB24*Fund!$B$12/(1-Fund!$B$12)</f>
        <v>0</v>
      </c>
      <c r="AC25" s="0" t="n">
        <f aca="false">AC24*Fund!$B$12/(1-Fund!$B$12)</f>
        <v>25117579.8759094</v>
      </c>
      <c r="AD25" s="0" t="n">
        <f aca="false">AD24*Fund!$B$12/(1-Fund!$B$12)</f>
        <v>0</v>
      </c>
      <c r="AE25" s="0" t="n">
        <f aca="false">AE24*Fund!$B$12/(1-Fund!$B$12)</f>
        <v>0</v>
      </c>
      <c r="AF25" s="0" t="n">
        <f aca="false">AF24*Fund!$B$12/(1-Fund!$B$12)</f>
        <v>0</v>
      </c>
      <c r="AG25" s="0" t="n">
        <f aca="false">AG24*Fund!$B$12/(1-Fund!$B$12)</f>
        <v>0</v>
      </c>
      <c r="AH25" s="0" t="n">
        <f aca="false">AH24*Fund!$B$12/(1-Fund!$B$12)</f>
        <v>0</v>
      </c>
    </row>
    <row r="26" customFormat="false" ht="15" hidden="false" customHeight="false" outlineLevel="0" collapsed="false">
      <c r="A26" s="0" t="s">
        <v>75</v>
      </c>
      <c r="B26" s="0" t="n">
        <f aca="false">(B16-B18-B20-B22-B24-B25)*(1-Fund!$B$14)</f>
        <v>0</v>
      </c>
      <c r="C26" s="0" t="n">
        <f aca="false">(C16-C18-C20-C22-C24-C25)*(1-Fund!$B$14)</f>
        <v>0</v>
      </c>
      <c r="D26" s="0" t="n">
        <f aca="false">(D16-D18-D20-D22-D24-D25)*(1-Fund!$B$14)</f>
        <v>0</v>
      </c>
      <c r="E26" s="0" t="n">
        <f aca="false">(E16-E18-E20-E22-E24-E25)*(1-Fund!$B$14)</f>
        <v>0</v>
      </c>
      <c r="F26" s="0" t="n">
        <f aca="false">(F16-F18-F20-F22-F24-F25)*(1-Fund!$B$14)</f>
        <v>0</v>
      </c>
      <c r="G26" s="0" t="n">
        <f aca="false">(G16-G18-G20-G22-G24-G25)*(1-Fund!$B$14)</f>
        <v>0</v>
      </c>
      <c r="H26" s="0" t="n">
        <f aca="false">(H16-H18-H20-H22-H24-H25)*(1-Fund!$B$14)</f>
        <v>0</v>
      </c>
      <c r="I26" s="0" t="n">
        <f aca="false">(I16-I18-I20-I22-I24-I25)*(1-Fund!$B$14)</f>
        <v>0</v>
      </c>
      <c r="J26" s="0" t="n">
        <f aca="false">(J16-J18-J20-J22-J24-J25)*(1-Fund!$B$14)</f>
        <v>0</v>
      </c>
      <c r="K26" s="0" t="n">
        <f aca="false">(K16-K18-K20-K22-K24-K25)*(1-Fund!$B$14)</f>
        <v>0</v>
      </c>
      <c r="L26" s="0" t="n">
        <f aca="false">(L16-L18-L20-L22-L24-L25)*(1-Fund!$B$14)</f>
        <v>0</v>
      </c>
      <c r="M26" s="0" t="n">
        <f aca="false">(M16-M18-M20-M22-M24-M25)*(1-Fund!$B$14)</f>
        <v>0</v>
      </c>
      <c r="N26" s="0" t="n">
        <f aca="false">(N16-N18-N20-N22-N24-N25)*(1-Fund!$B$14)</f>
        <v>0</v>
      </c>
      <c r="O26" s="0" t="n">
        <f aca="false">(O16-O18-O20-O22-O24-O25)*(1-Fund!$B$14)</f>
        <v>0</v>
      </c>
      <c r="P26" s="0" t="n">
        <f aca="false">(P16-P18-P20-P22-P24-P25)*(1-Fund!$B$14)</f>
        <v>0</v>
      </c>
      <c r="Q26" s="0" t="n">
        <f aca="false">(Q16-Q18-Q20-Q22-Q24-Q25)*(1-Fund!$B$14)</f>
        <v>0</v>
      </c>
      <c r="R26" s="0" t="n">
        <f aca="false">(R16-R18-R20-R22-R24-R25)*(1-Fund!$B$14)</f>
        <v>0</v>
      </c>
      <c r="S26" s="0" t="n">
        <f aca="false">(S16-S18-S20-S22-S24-S25)*(1-Fund!$B$14)</f>
        <v>0</v>
      </c>
      <c r="T26" s="0" t="n">
        <f aca="false">(T16-T18-T20-T22-T24-T25)*(1-Fund!$B$14)</f>
        <v>0</v>
      </c>
      <c r="U26" s="0" t="n">
        <f aca="false">(U16-U18-U20-U22-U24-U25)*(1-Fund!$B$14)</f>
        <v>0</v>
      </c>
      <c r="V26" s="0" t="n">
        <f aca="false">(V16-V18-V20-V22-V24-V25)*(1-Fund!$B$14)</f>
        <v>0</v>
      </c>
      <c r="W26" s="0" t="n">
        <f aca="false">(W16-W18-W20-W22-W24-W25)*(1-Fund!$B$14)</f>
        <v>0</v>
      </c>
      <c r="X26" s="0" t="n">
        <f aca="false">(X16-X18-X20-X22-X24-X25)*(1-Fund!$B$14)</f>
        <v>0</v>
      </c>
      <c r="Y26" s="0" t="n">
        <f aca="false">(Y16-Y18-Y20-Y22-Y24-Y25)*(1-Fund!$B$14)</f>
        <v>0</v>
      </c>
      <c r="Z26" s="0" t="n">
        <f aca="false">(Z16-Z18-Z20-Z22-Z24-Z25)*(1-Fund!$B$14)</f>
        <v>0</v>
      </c>
      <c r="AA26" s="0" t="n">
        <f aca="false">(AA16-AA18-AA20-AA22-AA24-AA25)*(1-Fund!$B$14)</f>
        <v>0</v>
      </c>
      <c r="AB26" s="0" t="n">
        <f aca="false">(AB16-AB18-AB20-AB22-AB24-AB25)*(1-Fund!$B$14)</f>
        <v>0</v>
      </c>
      <c r="AC26" s="0" t="n">
        <f aca="false">(AC16-AC18-AC20-AC22-AC24-AC25)*(1-Fund!$B$14)</f>
        <v>0</v>
      </c>
      <c r="AD26" s="0" t="n">
        <f aca="false">(AD16-AD18-AD20-AD22-AD24-AD25)*(1-Fund!$B$14)</f>
        <v>0</v>
      </c>
      <c r="AE26" s="0" t="n">
        <f aca="false">(AE16-AE18-AE20-AE22-AE24-AE25)*(1-Fund!$B$14)</f>
        <v>0</v>
      </c>
      <c r="AF26" s="0" t="n">
        <f aca="false">(AF16-AF18-AF20-AF22-AF24-AF25)*(1-Fund!$B$14)</f>
        <v>0</v>
      </c>
      <c r="AG26" s="0" t="n">
        <f aca="false">(AG16-AG18-AG20-AG22-AG24-AG25)*(1-Fund!$B$14)</f>
        <v>0</v>
      </c>
      <c r="AH26" s="0" t="n">
        <f aca="false">(AH16-AH18-AH20-AH22-AH24-AH25)*(1-Fund!$B$14)</f>
        <v>0</v>
      </c>
    </row>
    <row r="27" customFormat="false" ht="15" hidden="false" customHeight="false" outlineLevel="0" collapsed="false">
      <c r="A27" s="0" t="s">
        <v>76</v>
      </c>
      <c r="B27" s="0" t="n">
        <f aca="false">(B16-B18-B20-B22-B24-B25)*Fund!$B$14</f>
        <v>0</v>
      </c>
      <c r="C27" s="0" t="n">
        <f aca="false">(C16-C18-C20-C22-C24-C25)*Fund!$B$14</f>
        <v>0</v>
      </c>
      <c r="D27" s="0" t="n">
        <f aca="false">(D16-D18-D20-D22-D24-D25)*Fund!$B$14</f>
        <v>0</v>
      </c>
      <c r="E27" s="0" t="n">
        <f aca="false">(E16-E18-E20-E22-E24-E25)*Fund!$B$14</f>
        <v>0</v>
      </c>
      <c r="F27" s="0" t="n">
        <f aca="false">(F16-F18-F20-F22-F24-F25)*Fund!$B$14</f>
        <v>0</v>
      </c>
      <c r="G27" s="0" t="n">
        <f aca="false">(G16-G18-G20-G22-G24-G25)*Fund!$B$14</f>
        <v>0</v>
      </c>
      <c r="H27" s="0" t="n">
        <f aca="false">(H16-H18-H20-H22-H24-H25)*Fund!$B$14</f>
        <v>0</v>
      </c>
      <c r="I27" s="0" t="n">
        <f aca="false">(I16-I18-I20-I22-I24-I25)*Fund!$B$14</f>
        <v>0</v>
      </c>
      <c r="J27" s="0" t="n">
        <f aca="false">(J16-J18-J20-J22-J24-J25)*Fund!$B$14</f>
        <v>0</v>
      </c>
      <c r="K27" s="0" t="n">
        <f aca="false">(K16-K18-K20-K22-K24-K25)*Fund!$B$14</f>
        <v>0</v>
      </c>
      <c r="L27" s="0" t="n">
        <f aca="false">(L16-L18-L20-L22-L24-L25)*Fund!$B$14</f>
        <v>0</v>
      </c>
      <c r="M27" s="0" t="n">
        <f aca="false">(M16-M18-M20-M22-M24-M25)*Fund!$B$14</f>
        <v>0</v>
      </c>
      <c r="N27" s="0" t="n">
        <f aca="false">(N16-N18-N20-N22-N24-N25)*Fund!$B$14</f>
        <v>0</v>
      </c>
      <c r="O27" s="0" t="n">
        <f aca="false">(O16-O18-O20-O22-O24-O25)*Fund!$B$14</f>
        <v>0</v>
      </c>
      <c r="P27" s="0" t="n">
        <f aca="false">(P16-P18-P20-P22-P24-P25)*Fund!$B$14</f>
        <v>0</v>
      </c>
      <c r="Q27" s="0" t="n">
        <f aca="false">(Q16-Q18-Q20-Q22-Q24-Q25)*Fund!$B$14</f>
        <v>0</v>
      </c>
      <c r="R27" s="0" t="n">
        <f aca="false">(R16-R18-R20-R22-R24-R25)*Fund!$B$14</f>
        <v>0</v>
      </c>
      <c r="S27" s="0" t="n">
        <f aca="false">(S16-S18-S20-S22-S24-S25)*Fund!$B$14</f>
        <v>0</v>
      </c>
      <c r="T27" s="0" t="n">
        <f aca="false">(T16-T18-T20-T22-T24-T25)*Fund!$B$14</f>
        <v>0</v>
      </c>
      <c r="U27" s="0" t="n">
        <f aca="false">(U16-U18-U20-U22-U24-U25)*Fund!$B$14</f>
        <v>0</v>
      </c>
      <c r="V27" s="0" t="n">
        <f aca="false">(V16-V18-V20-V22-V24-V25)*Fund!$B$14</f>
        <v>0</v>
      </c>
      <c r="W27" s="0" t="n">
        <f aca="false">(W16-W18-W20-W22-W24-W25)*Fund!$B$14</f>
        <v>0</v>
      </c>
      <c r="X27" s="0" t="n">
        <f aca="false">(X16-X18-X20-X22-X24-X25)*Fund!$B$14</f>
        <v>0</v>
      </c>
      <c r="Y27" s="0" t="n">
        <f aca="false">(Y16-Y18-Y20-Y22-Y24-Y25)*Fund!$B$14</f>
        <v>0</v>
      </c>
      <c r="Z27" s="0" t="n">
        <f aca="false">(Z16-Z18-Z20-Z22-Z24-Z25)*Fund!$B$14</f>
        <v>0</v>
      </c>
      <c r="AA27" s="0" t="n">
        <f aca="false">(AA16-AA18-AA20-AA22-AA24-AA25)*Fund!$B$14</f>
        <v>0</v>
      </c>
      <c r="AB27" s="0" t="n">
        <f aca="false">(AB16-AB18-AB20-AB22-AB24-AB25)*Fund!$B$14</f>
        <v>0</v>
      </c>
      <c r="AC27" s="0" t="n">
        <f aca="false">(AC16-AC18-AC20-AC22-AC24-AC25)*Fund!$B$14</f>
        <v>0</v>
      </c>
      <c r="AD27" s="0" t="n">
        <f aca="false">(AD16-AD18-AD20-AD22-AD24-AD25)*Fund!$B$14</f>
        <v>0</v>
      </c>
      <c r="AE27" s="0" t="n">
        <f aca="false">(AE16-AE18-AE20-AE22-AE24-AE25)*Fund!$B$14</f>
        <v>0</v>
      </c>
      <c r="AF27" s="0" t="n">
        <f aca="false">(AF16-AF18-AF20-AF22-AF24-AF25)*Fund!$B$14</f>
        <v>0</v>
      </c>
      <c r="AG27" s="0" t="n">
        <f aca="false">(AG16-AG18-AG20-AG22-AG24-AG25)*Fund!$B$14</f>
        <v>0</v>
      </c>
      <c r="AH27" s="0" t="n">
        <f aca="false">(AH16-AH18-AH20-AH22-AH24-AH25)*Fund!$B$14</f>
        <v>0</v>
      </c>
    </row>
    <row r="28" customFormat="false" ht="15" hidden="false" customHeight="false" outlineLevel="0" collapsed="false">
      <c r="A28" s="0" t="s">
        <v>77</v>
      </c>
      <c r="B28" s="0" t="n">
        <f aca="false">B18+B20+B24+B26</f>
        <v>0</v>
      </c>
      <c r="C28" s="0" t="n">
        <f aca="false">C18+C20+C24+C26</f>
        <v>0</v>
      </c>
      <c r="D28" s="0" t="n">
        <f aca="false">D18+D20+D24+D26</f>
        <v>0</v>
      </c>
      <c r="E28" s="0" t="n">
        <f aca="false">E18+E20+E24+E26</f>
        <v>0</v>
      </c>
      <c r="F28" s="0" t="n">
        <f aca="false">F18+F20+F24+F26</f>
        <v>0</v>
      </c>
      <c r="G28" s="0" t="n">
        <f aca="false">G18+G20+G24+G26</f>
        <v>0</v>
      </c>
      <c r="H28" s="0" t="n">
        <f aca="false">H18+H20+H24+H26</f>
        <v>3203925.32718176</v>
      </c>
      <c r="I28" s="0" t="n">
        <f aca="false">I18+I20+I24+I26</f>
        <v>3249126.49963461</v>
      </c>
      <c r="J28" s="0" t="n">
        <f aca="false">J18+J20+J24+J26</f>
        <v>3294675.43594585</v>
      </c>
      <c r="K28" s="0" t="n">
        <f aca="false">K18+K20+K24+K26</f>
        <v>3340574.98007701</v>
      </c>
      <c r="L28" s="0" t="n">
        <f aca="false">L18+L20+L24+L26</f>
        <v>3386828.00039206</v>
      </c>
      <c r="M28" s="0" t="n">
        <f aca="false">M18+M20+M24+M26</f>
        <v>3433437.38987443</v>
      </c>
      <c r="N28" s="0" t="n">
        <f aca="false">N18+N20+N24+N26</f>
        <v>3480406.06634612</v>
      </c>
      <c r="O28" s="0" t="n">
        <f aca="false">O18+O20+O24+O26</f>
        <v>3527736.97268873</v>
      </c>
      <c r="P28" s="0" t="n">
        <f aca="false">P18+P20+P24+P26</f>
        <v>18897367.0021009</v>
      </c>
      <c r="Q28" s="0" t="n">
        <f aca="false">Q18+Q20+Q24+Q26</f>
        <v>47790164.0398184</v>
      </c>
      <c r="R28" s="0" t="n">
        <f aca="false">R18+R20+R24+R26</f>
        <v>47838599.5470179</v>
      </c>
      <c r="S28" s="0" t="n">
        <f aca="false">S18+S20+S24+S26</f>
        <v>47887409.3107033</v>
      </c>
      <c r="T28" s="0" t="n">
        <f aca="false">T18+T20+T24+T26</f>
        <v>3769929.73577456</v>
      </c>
      <c r="U28" s="0" t="n">
        <f aca="false">U18+U20+U24+U26</f>
        <v>3819497.25356121</v>
      </c>
      <c r="V28" s="0" t="n">
        <f aca="false">V18+V20+V24+V26</f>
        <v>3869448.32205717</v>
      </c>
      <c r="W28" s="0" t="n">
        <f aca="false">W18+W20+W24+W26</f>
        <v>107860291.281804</v>
      </c>
      <c r="X28" s="0" t="n">
        <f aca="false">X18+X20+X24+X26</f>
        <v>2541407.81816005</v>
      </c>
      <c r="Y28" s="0" t="n">
        <f aca="false">Y18+Y20+Y24+Y26</f>
        <v>2574041.95608281</v>
      </c>
      <c r="Z28" s="0" t="n">
        <f aca="false">Z18+Z20+Z24+Z26</f>
        <v>2606935.29834633</v>
      </c>
      <c r="AA28" s="0" t="n">
        <f aca="false">AA18+AA20+AA24+AA26</f>
        <v>2640090.08954224</v>
      </c>
      <c r="AB28" s="0" t="n">
        <f aca="false">AB18+AB20+AB24+AB26</f>
        <v>2673508.59484326</v>
      </c>
      <c r="AC28" s="0" t="n">
        <f aca="false">AC18+AC20+AC24+AC26</f>
        <v>103976326.095697</v>
      </c>
      <c r="AD28" s="0" t="n">
        <f aca="false">AD18+AD20+AD24+AD26</f>
        <v>0</v>
      </c>
      <c r="AE28" s="0" t="n">
        <f aca="false">AE18+AE20+AE24+AE26</f>
        <v>0</v>
      </c>
      <c r="AF28" s="0" t="n">
        <f aca="false">AF18+AF20+AF24+AF26</f>
        <v>0</v>
      </c>
      <c r="AG28" s="0" t="n">
        <f aca="false">AG18+AG20+AG24+AG26</f>
        <v>0</v>
      </c>
      <c r="AH28" s="0" t="n">
        <f aca="false">AH18+AH20+AH24+AH26</f>
        <v>0</v>
      </c>
    </row>
    <row r="29" customFormat="false" ht="15" hidden="false" customHeight="false" outlineLevel="0" collapsed="false">
      <c r="A29" s="0" t="s">
        <v>78</v>
      </c>
      <c r="B29" s="0" t="n">
        <f aca="false">B22+B25+B27</f>
        <v>0</v>
      </c>
      <c r="C29" s="0" t="n">
        <f aca="false">C22+C25+C27</f>
        <v>0</v>
      </c>
      <c r="D29" s="0" t="n">
        <f aca="false">D22+D25+D27</f>
        <v>0</v>
      </c>
      <c r="E29" s="0" t="n">
        <f aca="false">E22+E25+E27</f>
        <v>0</v>
      </c>
      <c r="F29" s="0" t="n">
        <f aca="false">F22+F25+F27</f>
        <v>0</v>
      </c>
      <c r="G29" s="0" t="n">
        <f aca="false">G22+G25+G27</f>
        <v>0</v>
      </c>
      <c r="H29" s="0" t="n">
        <f aca="false">H22+H25+H27</f>
        <v>0</v>
      </c>
      <c r="I29" s="0" t="n">
        <f aca="false">I22+I25+I27</f>
        <v>0</v>
      </c>
      <c r="J29" s="0" t="n">
        <f aca="false">J22+J25+J27</f>
        <v>0</v>
      </c>
      <c r="K29" s="0" t="n">
        <f aca="false">K22+K25+K27</f>
        <v>0</v>
      </c>
      <c r="L29" s="0" t="n">
        <f aca="false">L22+L25+L27</f>
        <v>0</v>
      </c>
      <c r="M29" s="0" t="n">
        <f aca="false">M22+M25+M27</f>
        <v>0</v>
      </c>
      <c r="N29" s="0" t="n">
        <f aca="false">N22+N25+N27</f>
        <v>0</v>
      </c>
      <c r="O29" s="0" t="n">
        <f aca="false">O22+O25+O27</f>
        <v>0</v>
      </c>
      <c r="P29" s="0" t="n">
        <f aca="false">P22+P25+P27</f>
        <v>0</v>
      </c>
      <c r="Q29" s="0" t="n">
        <f aca="false">Q22+Q25+Q27</f>
        <v>0</v>
      </c>
      <c r="R29" s="0" t="n">
        <f aca="false">R22+R25+R27</f>
        <v>0</v>
      </c>
      <c r="S29" s="0" t="n">
        <f aca="false">S22+S25+S27</f>
        <v>0</v>
      </c>
      <c r="T29" s="0" t="n">
        <f aca="false">T22+T25+T27</f>
        <v>0</v>
      </c>
      <c r="U29" s="0" t="n">
        <f aca="false">U22+U25+U27</f>
        <v>0</v>
      </c>
      <c r="V29" s="0" t="n">
        <f aca="false">V22+V25+V27</f>
        <v>0</v>
      </c>
      <c r="W29" s="0" t="n">
        <f aca="false">W22+W25+W27</f>
        <v>0</v>
      </c>
      <c r="X29" s="0" t="n">
        <f aca="false">X22+X25+X27</f>
        <v>0</v>
      </c>
      <c r="Y29" s="0" t="n">
        <f aca="false">Y22+Y25+Y27</f>
        <v>0</v>
      </c>
      <c r="Z29" s="0" t="n">
        <f aca="false">Z22+Z25+Z27</f>
        <v>0</v>
      </c>
      <c r="AA29" s="0" t="n">
        <f aca="false">AA22+AA25+AA27</f>
        <v>0</v>
      </c>
      <c r="AB29" s="0" t="n">
        <f aca="false">AB22+AB25+AB27</f>
        <v>0</v>
      </c>
      <c r="AC29" s="0" t="n">
        <f aca="false">AC22+AC25+AC27</f>
        <v>42277558.8021026</v>
      </c>
      <c r="AD29" s="0" t="n">
        <f aca="false">AD22+AD25+AD27</f>
        <v>0</v>
      </c>
      <c r="AE29" s="0" t="n">
        <f aca="false">AE22+AE25+AE27</f>
        <v>0</v>
      </c>
      <c r="AF29" s="0" t="n">
        <f aca="false">AF22+AF25+AF27</f>
        <v>0</v>
      </c>
      <c r="AG29" s="0" t="n">
        <f aca="false">AG22+AG25+AG27</f>
        <v>0</v>
      </c>
      <c r="AH29" s="0" t="n">
        <f aca="false">AH22+AH25+AH27</f>
        <v>0</v>
      </c>
    </row>
    <row r="30" customFormat="false" ht="15" hidden="false" customHeight="false" outlineLevel="0" collapsed="false">
      <c r="A30" s="0" t="s">
        <v>79</v>
      </c>
      <c r="B30" s="0" t="n">
        <f aca="false">B28-B15</f>
        <v>-1750000</v>
      </c>
      <c r="C30" s="0" t="n">
        <f aca="false">C28-C15</f>
        <v>-1750000</v>
      </c>
      <c r="D30" s="0" t="n">
        <f aca="false">D28-D15</f>
        <v>-2725000</v>
      </c>
      <c r="E30" s="0" t="n">
        <f aca="false">E28-E15</f>
        <v>-62999841.6666667</v>
      </c>
      <c r="F30" s="0" t="n">
        <f aca="false">F28-F15</f>
        <v>-20106507.5327214</v>
      </c>
      <c r="G30" s="0" t="n">
        <f aca="false">G28-G15</f>
        <v>-75072297.6697438</v>
      </c>
      <c r="H30" s="0" t="n">
        <f aca="false">H28-H15</f>
        <v>-15579475.8214984</v>
      </c>
      <c r="I30" s="0" t="n">
        <f aca="false">I28-I15</f>
        <v>-60249849.1145389</v>
      </c>
      <c r="J30" s="0" t="n">
        <f aca="false">J28-J15</f>
        <v>1544675.43594585</v>
      </c>
      <c r="K30" s="0" t="n">
        <f aca="false">K28-K15</f>
        <v>1590574.98007701</v>
      </c>
      <c r="L30" s="0" t="n">
        <f aca="false">L28-L15</f>
        <v>1636828.00039206</v>
      </c>
      <c r="M30" s="0" t="n">
        <f aca="false">M28-M15</f>
        <v>1683437.38987443</v>
      </c>
      <c r="N30" s="0" t="n">
        <f aca="false">N28-N15</f>
        <v>2849241.08968964</v>
      </c>
      <c r="O30" s="0" t="n">
        <f aca="false">O28-O15</f>
        <v>2907596.1740719</v>
      </c>
      <c r="P30" s="0" t="n">
        <f aca="false">P28-P15</f>
        <v>18336280.4753656</v>
      </c>
      <c r="Q30" s="0" t="n">
        <f aca="false">Q28-Q15</f>
        <v>47378421.7757076</v>
      </c>
      <c r="R30" s="0" t="n">
        <f aca="false">R28-R15</f>
        <v>47576352.9064915</v>
      </c>
      <c r="S30" s="0" t="n">
        <f aca="false">S28-S15</f>
        <v>47774810.8242728</v>
      </c>
      <c r="T30" s="0" t="n">
        <f aca="false">T28-T15</f>
        <v>3669112.2797684</v>
      </c>
      <c r="U30" s="0" t="n">
        <f aca="false">U28-U15</f>
        <v>3730615.72647243</v>
      </c>
      <c r="V30" s="0" t="n">
        <f aca="false">V28-V15</f>
        <v>3792658.82097482</v>
      </c>
      <c r="W30" s="0" t="n">
        <f aca="false">W28-W15</f>
        <v>107860291.281804</v>
      </c>
      <c r="X30" s="0" t="n">
        <f aca="false">X28-X15</f>
        <v>2541407.81816005</v>
      </c>
      <c r="Y30" s="0" t="n">
        <f aca="false">Y28-Y15</f>
        <v>2574041.95608281</v>
      </c>
      <c r="Z30" s="0" t="n">
        <f aca="false">Z28-Z15</f>
        <v>2606935.29834633</v>
      </c>
      <c r="AA30" s="0" t="n">
        <f aca="false">AA28-AA15</f>
        <v>2640090.08954224</v>
      </c>
      <c r="AB30" s="0" t="n">
        <f aca="false">AB28-AB15</f>
        <v>2673508.59484326</v>
      </c>
      <c r="AC30" s="0" t="n">
        <f aca="false">AC28-AC15</f>
        <v>103976326.095697</v>
      </c>
      <c r="AD30" s="0" t="n">
        <f aca="false">AD28-AD15</f>
        <v>0</v>
      </c>
      <c r="AE30" s="0" t="n">
        <f aca="false">AE28-AE15</f>
        <v>0</v>
      </c>
      <c r="AF30" s="0" t="n">
        <f aca="false">AF28-AF15</f>
        <v>0</v>
      </c>
      <c r="AG30" s="0" t="n">
        <f aca="false">AG28-AG15</f>
        <v>0</v>
      </c>
      <c r="AH30" s="0" t="n">
        <f aca="false">AH28-AH15</f>
        <v>0</v>
      </c>
    </row>
    <row r="31" customFormat="false" ht="15" hidden="false" customHeight="false" outlineLevel="0" collapsed="false">
      <c r="A31" s="0" t="s">
        <v>80</v>
      </c>
      <c r="B31" s="0" t="n">
        <f aca="false">B28</f>
        <v>0</v>
      </c>
      <c r="C31" s="0" t="n">
        <f aca="false">B31+C28</f>
        <v>0</v>
      </c>
      <c r="D31" s="0" t="n">
        <f aca="false">C31+D28</f>
        <v>0</v>
      </c>
      <c r="E31" s="0" t="n">
        <f aca="false">D31+E28</f>
        <v>0</v>
      </c>
      <c r="F31" s="0" t="n">
        <f aca="false">E31+F28</f>
        <v>0</v>
      </c>
      <c r="G31" s="0" t="n">
        <f aca="false">F31+G28</f>
        <v>0</v>
      </c>
      <c r="H31" s="0" t="n">
        <f aca="false">G31+H28</f>
        <v>3203925.32718176</v>
      </c>
      <c r="I31" s="0" t="n">
        <f aca="false">H31+I28</f>
        <v>6453051.82681637</v>
      </c>
      <c r="J31" s="0" t="n">
        <f aca="false">I31+J28</f>
        <v>9747727.26276222</v>
      </c>
      <c r="K31" s="0" t="n">
        <f aca="false">J31+K28</f>
        <v>13088302.2428392</v>
      </c>
      <c r="L31" s="0" t="n">
        <f aca="false">K31+L28</f>
        <v>16475130.2432313</v>
      </c>
      <c r="M31" s="0" t="n">
        <f aca="false">L31+M28</f>
        <v>19908567.6331057</v>
      </c>
      <c r="N31" s="0" t="n">
        <f aca="false">M31+N28</f>
        <v>23388973.6994518</v>
      </c>
      <c r="O31" s="0" t="n">
        <f aca="false">N31+O28</f>
        <v>26916710.6721406</v>
      </c>
      <c r="P31" s="0" t="n">
        <f aca="false">O31+P28</f>
        <v>45814077.6742415</v>
      </c>
      <c r="Q31" s="0" t="n">
        <f aca="false">P31+Q28</f>
        <v>93604241.7140599</v>
      </c>
      <c r="R31" s="0" t="n">
        <f aca="false">Q31+R28</f>
        <v>141442841.261078</v>
      </c>
      <c r="S31" s="0" t="n">
        <f aca="false">R31+S28</f>
        <v>189330250.571781</v>
      </c>
      <c r="T31" s="0" t="n">
        <f aca="false">S31+T28</f>
        <v>193100180.307556</v>
      </c>
      <c r="U31" s="0" t="n">
        <f aca="false">T31+U28</f>
        <v>196919677.561117</v>
      </c>
      <c r="V31" s="0" t="n">
        <f aca="false">U31+V28</f>
        <v>200789125.883174</v>
      </c>
      <c r="W31" s="0" t="n">
        <f aca="false">V31+W28</f>
        <v>308649417.164978</v>
      </c>
      <c r="X31" s="0" t="n">
        <f aca="false">W31+X28</f>
        <v>311190824.983138</v>
      </c>
      <c r="Y31" s="0" t="n">
        <f aca="false">X31+Y28</f>
        <v>313764866.939221</v>
      </c>
      <c r="Z31" s="0" t="n">
        <f aca="false">Y31+Z28</f>
        <v>316371802.237567</v>
      </c>
      <c r="AA31" s="0" t="n">
        <f aca="false">Z31+AA28</f>
        <v>319011892.327109</v>
      </c>
      <c r="AB31" s="0" t="n">
        <f aca="false">AA31+AB28</f>
        <v>321685400.921953</v>
      </c>
      <c r="AC31" s="0" t="n">
        <f aca="false">AB31+AC28</f>
        <v>425661727.01765</v>
      </c>
      <c r="AD31" s="0" t="n">
        <f aca="false">AC31+AD28</f>
        <v>425661727.01765</v>
      </c>
      <c r="AE31" s="0" t="n">
        <f aca="false">AD31+AE28</f>
        <v>425661727.01765</v>
      </c>
      <c r="AF31" s="0" t="n">
        <f aca="false">AE31+AF28</f>
        <v>425661727.01765</v>
      </c>
      <c r="AG31" s="0" t="n">
        <f aca="false">AF31+AG28</f>
        <v>425661727.01765</v>
      </c>
      <c r="AH31" s="0" t="n">
        <f aca="false">AG31+AH28</f>
        <v>425661727.01765</v>
      </c>
    </row>
    <row r="32" customFormat="false" ht="15" hidden="false" customHeight="false" outlineLevel="0" collapsed="false">
      <c r="A32" s="0" t="s">
        <v>81</v>
      </c>
      <c r="B32" s="0" t="n">
        <f aca="false">IF(SUM($B$15:B15)&gt;0,B31/SUM($B$15:B15),0)</f>
        <v>0</v>
      </c>
      <c r="C32" s="0" t="n">
        <f aca="false">IF(SUM($B$15:C15)&gt;0,C31/SUM($B$15:C15),0)</f>
        <v>0</v>
      </c>
      <c r="D32" s="0" t="n">
        <f aca="false">IF(SUM($B$15:D15)&gt;0,D31/SUM($B$15:D15),0)</f>
        <v>0</v>
      </c>
      <c r="E32" s="0" t="n">
        <f aca="false">IF(SUM($B$15:E15)&gt;0,E31/SUM($B$15:E15),0)</f>
        <v>0</v>
      </c>
      <c r="F32" s="0" t="n">
        <f aca="false">IF(SUM($B$15:F15)&gt;0,F31/SUM($B$15:F15),0)</f>
        <v>0</v>
      </c>
      <c r="G32" s="0" t="n">
        <f aca="false">IF(SUM($B$15:G15)&gt;0,G31/SUM($B$15:G15),0)</f>
        <v>0</v>
      </c>
      <c r="H32" s="0" t="n">
        <f aca="false">IF(SUM($B$15:H15)&gt;0,H31/SUM($B$15:H15),0)</f>
        <v>0.0174899118788694</v>
      </c>
      <c r="I32" s="0" t="n">
        <f aca="false">IF(SUM($B$15:I15)&gt;0,I31/SUM($B$15:I15),0)</f>
        <v>0.0261589681158558</v>
      </c>
      <c r="J32" s="0" t="n">
        <f aca="false">IF(SUM($B$15:J15)&gt;0,J31/SUM($B$15:J15),0)</f>
        <v>0.0392363680607035</v>
      </c>
      <c r="K32" s="0" t="n">
        <f aca="false">IF(SUM($B$15:K15)&gt;0,K31/SUM($B$15:K15),0)</f>
        <v>0.0523142822002385</v>
      </c>
      <c r="L32" s="0" t="n">
        <f aca="false">IF(SUM($B$15:L15)&gt;0,L31/SUM($B$15:L15),0)</f>
        <v>0.0653941028588165</v>
      </c>
      <c r="M32" s="0" t="n">
        <f aca="false">IF(SUM($B$15:M15)&gt;0,M31/SUM($B$15:M15),0)</f>
        <v>0.0784771953459543</v>
      </c>
      <c r="N32" s="0" t="n">
        <f aca="false">IF(SUM($B$15:N15)&gt;0,N31/SUM($B$15:N15),0)</f>
        <v>0.091967726709358</v>
      </c>
      <c r="O32" s="0" t="n">
        <f aca="false">IF(SUM($B$15:O15)&gt;0,O31/SUM($B$15:O15),0)</f>
        <v>0.105581676621165</v>
      </c>
      <c r="P32" s="0" t="n">
        <f aca="false">IF(SUM($B$15:P15)&gt;0,P31/SUM($B$15:P15),0)</f>
        <v>0.179312570321677</v>
      </c>
      <c r="Q32" s="0" t="n">
        <f aca="false">IF(SUM($B$15:Q15)&gt;0,Q31/SUM($B$15:Q15),0)</f>
        <v>0.365769934156342</v>
      </c>
      <c r="R32" s="0" t="n">
        <f aca="false">IF(SUM($B$15:R15)&gt;0,R31/SUM($B$15:R15),0)</f>
        <v>0.552139256959296</v>
      </c>
      <c r="S32" s="0" t="n">
        <f aca="false">IF(SUM($B$15:S15)&gt;0,S31/SUM($B$15:S15),0)</f>
        <v>0.738748846461539</v>
      </c>
      <c r="T32" s="0" t="n">
        <f aca="false">IF(SUM($B$15:T15)&gt;0,T31/SUM($B$15:T15),0)</f>
        <v>0.753162478795764</v>
      </c>
      <c r="U32" s="0" t="n">
        <f aca="false">IF(SUM($B$15:U15)&gt;0,U31/SUM($B$15:U15),0)</f>
        <v>0.76779376596962</v>
      </c>
      <c r="V32" s="0" t="n">
        <f aca="false">IF(SUM($B$15:V15)&gt;0,V31/SUM($B$15:V15),0)</f>
        <v>0.782646495123374</v>
      </c>
      <c r="W32" s="0" t="n">
        <f aca="false">IF(SUM($B$15:W15)&gt;0,W31/SUM($B$15:W15),0)</f>
        <v>1.20307005423487</v>
      </c>
      <c r="X32" s="0" t="n">
        <f aca="false">IF(SUM($B$15:X15)&gt;0,X31/SUM($B$15:X15),0)</f>
        <v>1.21297608830327</v>
      </c>
      <c r="Y32" s="0" t="n">
        <f aca="false">IF(SUM($B$15:Y15)&gt;0,Y31/SUM($B$15:Y15),0)</f>
        <v>1.22300932544381</v>
      </c>
      <c r="Z32" s="0" t="n">
        <f aca="false">IF(SUM($B$15:Z15)&gt;0,Z31/SUM($B$15:Z15),0)</f>
        <v>1.23317077599692</v>
      </c>
      <c r="AA32" s="0" t="n">
        <f aca="false">IF(SUM($B$15:AA15)&gt;0,AA31/SUM($B$15:AA15),0)</f>
        <v>1.2434614590521</v>
      </c>
      <c r="AB32" s="0" t="n">
        <f aca="false">IF(SUM($B$15:AB15)&gt;0,AB31/SUM($B$15:AB15),0)</f>
        <v>1.25388240252816</v>
      </c>
      <c r="AC32" s="0" t="n">
        <f aca="false">IF(SUM($B$15:AC15)&gt;0,AC31/SUM($B$15:AC15),0)</f>
        <v>1.65916683631742</v>
      </c>
      <c r="AD32" s="0" t="n">
        <f aca="false">IF(SUM($B$15:AD15)&gt;0,AD31/SUM($B$15:AD15),0)</f>
        <v>1.65916683631742</v>
      </c>
      <c r="AE32" s="0" t="n">
        <f aca="false">IF(SUM($B$15:AE15)&gt;0,AE31/SUM($B$15:AE15),0)</f>
        <v>1.65916683631742</v>
      </c>
      <c r="AF32" s="0" t="n">
        <f aca="false">IF(SUM($B$15:AF15)&gt;0,AF31/SUM($B$15:AF15),0)</f>
        <v>1.65916683631742</v>
      </c>
      <c r="AG32" s="0" t="n">
        <f aca="false">IF(SUM($B$15:AG15)&gt;0,AG31/SUM($B$15:AG15),0)</f>
        <v>1.65916683631742</v>
      </c>
      <c r="AH32" s="0" t="n">
        <f aca="false">IF(SUM($B$15:AH15)&gt;0,AH31/SUM($B$15:AH15),0)</f>
        <v>1.65916683631742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82</v>
      </c>
      <c r="B3" s="4" t="n">
        <f aca="false">XIRR('Cash Flow'!B5:AH5,'Cash Flow'!B4:AH4)</f>
        <v>0.18923186919678</v>
      </c>
    </row>
    <row r="4" customFormat="false" ht="15" hidden="false" customHeight="false" outlineLevel="0" collapsed="false">
      <c r="A4" s="0" t="s">
        <v>83</v>
      </c>
      <c r="B4" s="4" t="n">
        <f aca="false">XIRR('Cash Flow'!B30:AH30,'Cash Flow'!B4:AH4)</f>
        <v>0.152718969102711</v>
      </c>
    </row>
    <row r="5" customFormat="false" ht="15" hidden="false" customHeight="false" outlineLevel="0" collapsed="false">
      <c r="A5" s="0" t="s">
        <v>84</v>
      </c>
      <c r="B5" s="5" t="n">
        <f aca="false">SUM('Cash Flow'!B28:AH28)/SUM('Cash Flow'!B15:AH15)</f>
        <v>1.65916683631742</v>
      </c>
    </row>
    <row r="6" customFormat="false" ht="15" hidden="false" customHeight="false" outlineLevel="0" collapsed="false">
      <c r="A6" s="0" t="s">
        <v>85</v>
      </c>
      <c r="B6" s="5" t="n">
        <f aca="false">'Cash Flow'!R32</f>
        <v>0.552139256959296</v>
      </c>
    </row>
    <row r="7" customFormat="false" ht="15" hidden="false" customHeight="false" outlineLevel="0" collapsed="false">
      <c r="A7" s="0" t="s">
        <v>86</v>
      </c>
      <c r="B7" s="2" t="n">
        <f aca="false">SUM('Cash Flow'!B29:AH29)</f>
        <v>42277558.8021026</v>
      </c>
    </row>
    <row r="8" customFormat="false" ht="15" hidden="false" customHeight="false" outlineLevel="0" collapsed="false">
      <c r="A8" s="0" t="s">
        <v>87</v>
      </c>
      <c r="B8" s="2" t="n">
        <f aca="false">SUM('Cash Flow'!B9:AH9)</f>
        <v>23865468.1772535</v>
      </c>
    </row>
    <row r="9" customFormat="false" ht="15" hidden="false" customHeight="false" outlineLevel="0" collapsed="false">
      <c r="A9" s="0" t="s">
        <v>88</v>
      </c>
      <c r="B9" s="2" t="n">
        <f aca="false">SUM('Cash Flow'!B12:AH12)</f>
        <v>7324257.40245959</v>
      </c>
    </row>
    <row r="10" customFormat="false" ht="15" hidden="false" customHeight="false" outlineLevel="0" collapsed="false">
      <c r="A10" s="0" t="s">
        <v>89</v>
      </c>
      <c r="B10" s="2" t="n">
        <f aca="false">SUM('Cash Flow'!B15:AH15)</f>
        <v>256551491.809239</v>
      </c>
    </row>
    <row r="11" customFormat="false" ht="15" hidden="false" customHeight="false" outlineLevel="0" collapsed="false">
      <c r="A11" s="0" t="s">
        <v>90</v>
      </c>
      <c r="B11" s="2" t="n">
        <f aca="false">MAX('Cash Flow'!B13:AH13)</f>
        <v>88810719.9623445</v>
      </c>
    </row>
    <row r="12" customFormat="false" ht="15" hidden="false" customHeight="false" outlineLevel="0" collapsed="false">
      <c r="A12" s="0" t="s">
        <v>91</v>
      </c>
      <c r="B12" s="4" t="n">
        <f aca="false">'Deal A Logistics'!B24</f>
        <v>0.187745378526679</v>
      </c>
    </row>
    <row r="13" customFormat="false" ht="15" hidden="false" customHeight="false" outlineLevel="0" collapsed="false">
      <c r="A13" s="0" t="s">
        <v>92</v>
      </c>
      <c r="B13" s="4" t="n">
        <f aca="false">'Deal B Resi Dev'!B29</f>
        <v>0.263540518788753</v>
      </c>
    </row>
    <row r="14" customFormat="false" ht="15" hidden="false" customHeight="false" outlineLevel="0" collapsed="false">
      <c r="A14" s="0" t="s">
        <v>93</v>
      </c>
      <c r="B14" s="4" t="n">
        <f aca="false">'Deal C Office'!B24</f>
        <v>0.127519284696769</v>
      </c>
    </row>
    <row r="15" customFormat="false" ht="15" hidden="false" customHeight="false" outlineLevel="0" collapsed="false">
      <c r="A15" s="0" t="s">
        <v>94</v>
      </c>
      <c r="B15" s="4" t="n">
        <f aca="false">'Deal D Hotel'!B24</f>
        <v>0.17837408241077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2026-10-17T14:21:15Z</dcterms:created>
  <dc:creator>openpyxl</dc:creator>
  <dc:description/>
  <dc:language>en-US</dc:language>
  <cp:lastModifiedBy/>
  <dcterms:modified xsi:type="dcterms:W3CDTF">2026-10-17T14:21:15Z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