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Cash Flow" sheetId="2" state="visible" r:id="rId4"/>
    <sheet name="Retur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<sst xmlns="http://schemas.openxmlformats.org/spreadsheetml/2006/main" count="21" uniqueCount="21">
  <si>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SEEFELD BÜROHAUS – OFFICE, ZURICH (kCHF)</t>
  </si>
  <si>
    <t xml:space="preserve">Purchase price (kCHF)</t>
  </si>
  <si>
    <t xml:space="preserve">Rent a year (kCHF)</t>
  </si>
  <si>
    <t xml:space="preserve">CPI indexation</t>
  </si>
  <si>
    <t xml:space="preserve">SARON</t>
  </si>
  <si>
    <t xml:space="preserve">Loan margin</t>
  </si>
  <si>
    <t xml:space="preserve">LTV</t>
  </si>
  <si>
    <t xml:space="preserve">Exit yield</t>
  </si>
  <si>
    <t xml:space="preserve">Operating costs (kCHF a year)</t>
  </si>
  <si>
    <t xml:space="preserve">Year</t>
  </si>
  <si>
    <t xml:space="preserve">Rent</t>
  </si>
  <si>
    <t xml:space="preserve">Costs</t>
  </si>
  <si>
    <t xml:space="preserve">Interest</t>
  </si>
  <si>
    <t xml:space="preserve">Loan</t>
  </si>
  <si>
    <t xml:space="preserve">Exit</t>
  </si>
  <si>
    <t xml:space="preserve">Cash flow</t>
  </si>
  <si>
    <t xml:space="preserve">Levered IRR</t>
  </si>
  <si>
    <t xml:space="preserve">All-in loan rate</t>
  </si>
  <si>
    <t xml:space="preserve">Exit value (kCHF)</t>
  </si>
  <si>
    <t xml:space="preserve">Net profit (kCHF)</t>
  </si>
  <si>
    <t xml:space="preserve">Cash-on-cash, year 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</si>
</sst>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\'##0"/>
    <numFmt numFmtId="166" formatCode="0.00%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v>68500</v>
      </c>
    </row>
    <row r="4" customFormat="false" ht="15" hidden="false" customHeight="false" outlineLevel="0" collapsed="false">
      <c r="A4" s="0" t="s">
        <v>2</v>
      </c>
      <c r="B4" s="1" t="n">
        <v>2950</v>
      </c>
    </row>
    <row r="5" customFormat="false" ht="15" hidden="false" customHeight="false" outlineLevel="0" collapsed="false">
      <c r="A5" s="0" t="s">
        <v>3</v>
      </c>
      <c r="B5" s="2" t="n">
        <v>0.009</v>
      </c>
    </row>
    <row r="6" customFormat="false" ht="15" hidden="false" customHeight="false" outlineLevel="0" collapsed="false">
      <c r="A6" s="0" t="s">
        <v>4</v>
      </c>
      <c r="B6" s="2" t="n">
        <v>-0.0025</v>
      </c>
    </row>
    <row r="7" customFormat="false" ht="15" hidden="false" customHeight="false" outlineLevel="0" collapsed="false">
      <c r="A7" s="0" t="s">
        <v>5</v>
      </c>
      <c r="B7" s="2" t="n">
        <v>0.0095</v>
      </c>
    </row>
    <row r="8" customFormat="false" ht="15" hidden="false" customHeight="false" outlineLevel="0" collapsed="false">
      <c r="A8" s="0" t="s">
        <v>6</v>
      </c>
      <c r="B8" s="2" t="n">
        <v>0.55</v>
      </c>
    </row>
    <row r="9" customFormat="false" ht="15" hidden="false" customHeight="false" outlineLevel="0" collapsed="false">
      <c r="A9" s="0" t="s">
        <v>7</v>
      </c>
      <c r="B9" s="2" t="n">
        <v>0.0385</v>
      </c>
    </row>
    <row r="10" customFormat="false" ht="15" hidden="false" customHeight="false" outlineLevel="0" collapsed="false">
      <c r="A10" s="0" t="s">
        <v>8</v>
      </c>
      <c r="B10" s="1" t="n">
        <v>410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9</v>
      </c>
      <c r="B3" s="0" t="n">
        <v>0</v>
      </c>
      <c r="C3" s="0" t="n">
        <v>1</v>
      </c>
      <c r="D3" s="0" t="n">
        <v>2</v>
      </c>
      <c r="E3" s="0" t="n">
        <v>3</v>
      </c>
      <c r="F3" s="0" t="n">
        <v>4</v>
      </c>
      <c r="G3" s="0" t="n">
        <v>5</v>
      </c>
      <c r="H3" s="0" t="n">
        <v>6</v>
      </c>
      <c r="I3" s="0" t="n">
        <v>7</v>
      </c>
      <c r="J3" s="0" t="n">
        <v>8</v>
      </c>
      <c r="K3" s="0" t="n">
        <v>9</v>
      </c>
      <c r="L3" s="0" t="n">
        <v>10</v>
      </c>
    </row>
    <row r="4" customFormat="false" ht="15" hidden="false" customHeight="false" outlineLevel="0" collapsed="false">
      <c r="A4" s="0" t="s">
        <v>10</v>
      </c>
      <c r="B4" s="1" t="n">
        <f aca="false">0</f>
        <v>0</v>
      </c>
      <c r="C4" s="1" t="n">
        <f aca="false">Inputs!$B$4*(1+Inputs!$B$5)^(C$3-1)</f>
        <v>2950</v>
      </c>
      <c r="D4" s="1" t="n">
        <f aca="false">Inputs!$B$4*(1+Inputs!$B$5)^(D$3-1)</f>
        <v>2976.55</v>
      </c>
      <c r="E4" s="1" t="n">
        <f aca="false">Inputs!$B$4*(1+Inputs!$B$5)^(E$3-1)</f>
        <v>3003.33895</v>
      </c>
      <c r="F4" s="1" t="n">
        <f aca="false">Inputs!$B$4*(1+Inputs!$B$5)^(F$3-1)</f>
        <v>3030.36900055</v>
      </c>
      <c r="G4" s="1" t="n">
        <f aca="false">Inputs!$B$4*(1+Inputs!$B$5)^(G$3-1)</f>
        <v>3057.64232155495</v>
      </c>
      <c r="H4" s="1" t="n">
        <f aca="false">Inputs!$B$4*(1+Inputs!$B$5)^(H$3-1)</f>
        <v>3085.16110244894</v>
      </c>
      <c r="I4" s="1" t="n">
        <f aca="false">Inputs!$B$4*(1+Inputs!$B$5)^(I$3-1)</f>
        <v>3112.92755237098</v>
      </c>
      <c r="J4" s="1" t="n">
        <f aca="false">Inputs!$B$4*(1+Inputs!$B$5)^(J$3-1)</f>
        <v>3140.94390034232</v>
      </c>
      <c r="K4" s="1" t="n">
        <f aca="false">Inputs!$B$4*(1+Inputs!$B$5)^(K$3-1)</f>
        <v>3169.2123954454</v>
      </c>
      <c r="L4" s="1" t="n">
        <f aca="false">Inputs!$B$4*(1+Inputs!$B$5)^(L$3-1)</f>
        <v>3197.73530700441</v>
      </c>
    </row>
    <row r="5" customFormat="false" ht="15" hidden="false" customHeight="false" outlineLevel="0" collapsed="false">
      <c r="A5" s="0" t="s">
        <v>11</v>
      </c>
      <c r="B5" s="1" t="n">
        <f aca="false">0</f>
        <v>0</v>
      </c>
      <c r="C5" s="1" t="n">
        <f aca="false">Inputs!$B$10*(1.01)^(C$3-1)</f>
        <v>410</v>
      </c>
      <c r="D5" s="1" t="n">
        <f aca="false">Inputs!$B$10*(1.01)^(D$3-1)</f>
        <v>414.1</v>
      </c>
      <c r="E5" s="1" t="n">
        <f aca="false">Inputs!$B$10*(1.01)^(E$3-1)</f>
        <v>418.241</v>
      </c>
      <c r="F5" s="1" t="n">
        <f aca="false">Inputs!$B$10*(1.01)^(F$3-1)</f>
        <v>422.42341</v>
      </c>
      <c r="G5" s="1" t="n">
        <f aca="false">Inputs!$B$10*(1.01)^(G$3-1)</f>
        <v>426.6476441</v>
      </c>
      <c r="H5" s="1" t="n">
        <f aca="false">Inputs!$B$10*(1.01)^(H$3-1)</f>
        <v>430.914120541</v>
      </c>
      <c r="I5" s="1" t="n">
        <f aca="false">Inputs!$B$10*(1.01)^(I$3-1)</f>
        <v>435.22326174641</v>
      </c>
      <c r="J5" s="1" t="n">
        <f aca="false">Inputs!$B$10*(1.01)^(J$3-1)</f>
        <v>439.575494363874</v>
      </c>
      <c r="K5" s="1" t="n">
        <f aca="false">Inputs!$B$10*(1.01)^(K$3-1)</f>
        <v>443.971249307513</v>
      </c>
      <c r="L5" s="1" t="n">
        <f aca="false">Inputs!$B$10*(1.01)^(L$3-1)</f>
        <v>448.410961800588</v>
      </c>
    </row>
    <row r="6" customFormat="false" ht="15" hidden="false" customHeight="false" outlineLevel="0" collapsed="false">
      <c r="A6" s="0" t="s">
        <v>12</v>
      </c>
      <c r="B6" s="1" t="n">
        <f aca="false">0</f>
        <v>0</v>
      </c>
      <c r="C6" s="1" t="n">
        <f aca="false">Inputs!$B$3*Inputs!$B$8*(MAX(0,Inputs!$B$6)+Inputs!$B$7)</f>
        <v>357.9125</v>
      </c>
      <c r="D6" s="1" t="n">
        <f aca="false">Inputs!$B$3*Inputs!$B$8*(MAX(0,Inputs!$B$6)+Inputs!$B$7)</f>
        <v>357.9125</v>
      </c>
      <c r="E6" s="1" t="n">
        <f aca="false">Inputs!$B$3*Inputs!$B$8*(MAX(0,Inputs!$B$6)+Inputs!$B$7)</f>
        <v>357.9125</v>
      </c>
      <c r="F6" s="1" t="n">
        <f aca="false">Inputs!$B$3*Inputs!$B$8*(MAX(0,Inputs!$B$6)+Inputs!$B$7)</f>
        <v>357.9125</v>
      </c>
      <c r="G6" s="1" t="n">
        <f aca="false">Inputs!$B$3*Inputs!$B$8*(MAX(0,Inputs!$B$6)+Inputs!$B$7)</f>
        <v>357.9125</v>
      </c>
      <c r="H6" s="1" t="n">
        <f aca="false">Inputs!$B$3*Inputs!$B$8*(MAX(0,Inputs!$B$6)+Inputs!$B$7)</f>
        <v>357.9125</v>
      </c>
      <c r="I6" s="1" t="n">
        <f aca="false">Inputs!$B$3*Inputs!$B$8*(MAX(0,Inputs!$B$6)+Inputs!$B$7)</f>
        <v>357.9125</v>
      </c>
      <c r="J6" s="1" t="n">
        <f aca="false">Inputs!$B$3*Inputs!$B$8*(MAX(0,Inputs!$B$6)+Inputs!$B$7)</f>
        <v>357.9125</v>
      </c>
      <c r="K6" s="1" t="n">
        <f aca="false">Inputs!$B$3*Inputs!$B$8*(MAX(0,Inputs!$B$6)+Inputs!$B$7)</f>
        <v>357.9125</v>
      </c>
      <c r="L6" s="1" t="n">
        <f aca="false">Inputs!$B$3*Inputs!$B$8*(MAX(0,Inputs!$B$6)+Inputs!$B$7)</f>
        <v>357.9125</v>
      </c>
    </row>
    <row r="7" customFormat="false" ht="15" hidden="false" customHeight="false" outlineLevel="0" collapsed="false">
      <c r="A7" s="0" t="s">
        <v>13</v>
      </c>
      <c r="B7" s="1" t="n">
        <f aca="false">IF(B$3=0,Inputs!$B$3*Inputs!$B$8,IF(B$3=10,-Inputs!$B$3*Inputs!$B$8,0))</f>
        <v>37675</v>
      </c>
      <c r="C7" s="1" t="n">
        <f aca="false">IF(C$3=0,Inputs!$B$3*Inputs!$B$8,IF(C$3=10,-Inputs!$B$3*Inputs!$B$8,0))</f>
        <v>0</v>
      </c>
      <c r="D7" s="1" t="n">
        <f aca="false">IF(D$3=0,Inputs!$B$3*Inputs!$B$8,IF(D$3=10,-Inputs!$B$3*Inputs!$B$8,0))</f>
        <v>0</v>
      </c>
      <c r="E7" s="1" t="n">
        <f aca="false">IF(E$3=0,Inputs!$B$3*Inputs!$B$8,IF(E$3=10,-Inputs!$B$3*Inputs!$B$8,0))</f>
        <v>0</v>
      </c>
      <c r="F7" s="1" t="n">
        <f aca="false">IF(F$3=0,Inputs!$B$3*Inputs!$B$8,IF(F$3=10,-Inputs!$B$3*Inputs!$B$8,0))</f>
        <v>0</v>
      </c>
      <c r="G7" s="1" t="n">
        <f aca="false">IF(G$3=0,Inputs!$B$3*Inputs!$B$8,IF(G$3=10,-Inputs!$B$3*Inputs!$B$8,0))</f>
        <v>0</v>
      </c>
      <c r="H7" s="1" t="n">
        <f aca="false">IF(H$3=0,Inputs!$B$3*Inputs!$B$8,IF(H$3=10,-Inputs!$B$3*Inputs!$B$8,0))</f>
        <v>0</v>
      </c>
      <c r="I7" s="1" t="n">
        <f aca="false">IF(I$3=0,Inputs!$B$3*Inputs!$B$8,IF(I$3=10,-Inputs!$B$3*Inputs!$B$8,0))</f>
        <v>0</v>
      </c>
      <c r="J7" s="1" t="n">
        <f aca="false">IF(J$3=0,Inputs!$B$3*Inputs!$B$8,IF(J$3=10,-Inputs!$B$3*Inputs!$B$8,0))</f>
        <v>0</v>
      </c>
      <c r="K7" s="1" t="n">
        <f aca="false">IF(K$3=0,Inputs!$B$3*Inputs!$B$8,IF(K$3=10,-Inputs!$B$3*Inputs!$B$8,0))</f>
        <v>0</v>
      </c>
      <c r="L7" s="1" t="n">
        <f aca="false">IF(L$3=0,Inputs!$B$3*Inputs!$B$8,IF(L$3=10,-Inputs!$B$3*Inputs!$B$8,0))</f>
        <v>-37675</v>
      </c>
    </row>
    <row r="8" customFormat="false" ht="15" hidden="false" customHeight="false" outlineLevel="0" collapsed="false">
      <c r="A8" s="0" t="s">
        <v>14</v>
      </c>
      <c r="B8" s="1" t="n">
        <f aca="false">IF(B$3=10,B4*(1+Inputs!$B$5)/Inputs!$B$9,0)</f>
        <v>0</v>
      </c>
      <c r="C8" s="1" t="n">
        <f aca="false">IF(C$3=10,C4*(1+Inputs!$B$5)/Inputs!$B$9,0)</f>
        <v>0</v>
      </c>
      <c r="D8" s="1" t="n">
        <f aca="false">IF(D$3=10,D4*(1+Inputs!$B$5)/Inputs!$B$9,0)</f>
        <v>0</v>
      </c>
      <c r="E8" s="1" t="n">
        <f aca="false">IF(E$3=10,E4*(1+Inputs!$B$5)/Inputs!$B$9,0)</f>
        <v>0</v>
      </c>
      <c r="F8" s="1" t="n">
        <f aca="false">IF(F$3=10,F4*(1+Inputs!$B$5)/Inputs!$B$9,0)</f>
        <v>0</v>
      </c>
      <c r="G8" s="1" t="n">
        <f aca="false">IF(G$3=10,G4*(1+Inputs!$B$5)/Inputs!$B$9,0)</f>
        <v>0</v>
      </c>
      <c r="H8" s="1" t="n">
        <f aca="false">IF(H$3=10,H4*(1+Inputs!$B$5)/Inputs!$B$9,0)</f>
        <v>0</v>
      </c>
      <c r="I8" s="1" t="n">
        <f aca="false">IF(I$3=10,I4*(1+Inputs!$B$5)/Inputs!$B$9,0)</f>
        <v>0</v>
      </c>
      <c r="J8" s="1" t="n">
        <f aca="false">IF(J$3=10,J4*(1+Inputs!$B$5)/Inputs!$B$9,0)</f>
        <v>0</v>
      </c>
      <c r="K8" s="1" t="n">
        <f aca="false">IF(K$3=10,K4*(1+Inputs!$B$5)/Inputs!$B$9,0)</f>
        <v>0</v>
      </c>
      <c r="L8" s="1" t="n">
        <f aca="false">IF(L$3=10,L4*(1+Inputs!$B$5)/Inputs!$B$9,0)</f>
        <v>83805.5824614922</v>
      </c>
    </row>
    <row r="9" customFormat="false" ht="15" hidden="false" customHeight="false" outlineLevel="0" collapsed="false">
      <c r="A9" s="0" t="s">
        <v>15</v>
      </c>
      <c r="B9" s="1" t="n">
        <f aca="false">-Inputs!$B$3+B7</f>
        <v>-30825</v>
      </c>
      <c r="C9" s="1" t="n">
        <f aca="false">C4-C5-C6+C7+C8</f>
        <v>2182.0875</v>
      </c>
      <c r="D9" s="1" t="n">
        <f aca="false">D4-D5-D6+D7+D8</f>
        <v>2204.5375</v>
      </c>
      <c r="E9" s="1" t="n">
        <f aca="false">E4-E5-E6+E7+E8</f>
        <v>2227.18545</v>
      </c>
      <c r="F9" s="1" t="n">
        <f aca="false">F4-F5-F6+F7+F8</f>
        <v>2250.03309055</v>
      </c>
      <c r="G9" s="1" t="n">
        <f aca="false">G4-G5-G6+G7+G8</f>
        <v>2273.08217745495</v>
      </c>
      <c r="H9" s="1" t="n">
        <f aca="false">H4-H5-H6+H7+H8</f>
        <v>2296.33448190794</v>
      </c>
      <c r="I9" s="1" t="n">
        <f aca="false">I4-I5-I6+I7+I8</f>
        <v>2319.79179062457</v>
      </c>
      <c r="J9" s="1" t="n">
        <f aca="false">J4-J5-J6+J7+J8</f>
        <v>2343.45590597845</v>
      </c>
      <c r="K9" s="1" t="n">
        <f aca="false">K4-K5-K6+K7+K8</f>
        <v>2367.32864613789</v>
      </c>
      <c r="L9" s="1" t="n">
        <f aca="false">L4-L5-L6+L7+L8</f>
        <v>48521.994306696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16</v>
      </c>
      <c r="B3" s="2" t="n">
        <f aca="false">IRR('Cash Flow'!$B$9:$L$9)</f>
        <v>0.104089188194113</v>
      </c>
    </row>
    <row r="4" customFormat="false" ht="15" hidden="false" customHeight="false" outlineLevel="0" collapsed="false">
      <c r="A4" s="0" t="s">
        <v>17</v>
      </c>
      <c r="B4" s="2" t="n">
        <f aca="false">MAX(0,Inputs!$B$6)+Inputs!$B$7</f>
        <v>0.0095</v>
      </c>
    </row>
    <row r="5" customFormat="false" ht="15" hidden="false" customHeight="false" outlineLevel="0" collapsed="false">
      <c r="A5" s="0" t="s">
        <v>18</v>
      </c>
      <c r="B5" s="1" t="n">
        <f aca="false">SUM('Cash Flow'!$B$8:$L$8)</f>
        <v>83805.5824614922</v>
      </c>
    </row>
    <row r="6" customFormat="false" ht="15" hidden="false" customHeight="false" outlineLevel="0" collapsed="false">
      <c r="A6" s="0" t="s">
        <v>19</v>
      </c>
      <c r="B6" s="1" t="n">
        <f aca="false">SUM('Cash Flow'!$B$9:$L$9)</f>
        <v>38160.8308493498</v>
      </c>
    </row>
    <row r="7" customFormat="false" ht="15" hidden="false" customHeight="false" outlineLevel="0" collapsed="false">
      <c r="A7" s="0" t="s">
        <v>20</v>
      </c>
      <c r="B7" s="2" t="n">
        <f aca="false">('Cash Flow'!C4-'Cash Flow'!C5-'Cash Flow'!C6)/-'Cash Flow'!B9</f>
        <v>0.0707895377128954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2026-10-18T00:22:16Z</dcterms:created>
  <dc:creator>openpyxl</dc:creator>
  <dc:description/>
  <dc:language>en-US</dc:language>
  <cp:lastModifiedBy/>
  <dcterms:modified xsi:type="dcterms:W3CDTF">2026-10-18T00:22:16Z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