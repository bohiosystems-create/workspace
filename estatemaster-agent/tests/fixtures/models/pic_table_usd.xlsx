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Leases" sheetId="2" state="visible" r:id="rId2"/>
    <sheet name="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Leases" displayName="Leases" ref="A1:C5" headerRowCount="1">
  <autoFilter ref="A1:C5"/>
  <tableColumns count="3">
    <tableColumn id="1" name="Tenant"/>
    <tableColumn id="2" name="Area"/>
    <tableColumn id="3" name="Rent psm"/>
  </tableColumns>
  <tableStyleInfo name="TableStyleMedium2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– LEASE SCHEDULE (USD)</t>
        </is>
      </c>
    </row>
    <row r="2">
      <c r="A2" t="inlineStr">
        <is>
          <t>Rent growth</t>
        </is>
      </c>
      <c r="B2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Area</t>
        </is>
      </c>
      <c r="C1" t="inlineStr">
        <is>
          <t>Rent psm</t>
        </is>
      </c>
    </row>
    <row r="2">
      <c r="A2" t="inlineStr">
        <is>
          <t>Anchor</t>
        </is>
      </c>
      <c r="B2" t="n">
        <v>12000</v>
      </c>
      <c r="C2" t="n">
        <v>180</v>
      </c>
    </row>
    <row r="3">
      <c r="A3" t="inlineStr">
        <is>
          <t>Gym</t>
        </is>
      </c>
      <c r="B3" t="n">
        <v>3000</v>
      </c>
      <c r="C3" t="n">
        <v>150</v>
      </c>
    </row>
    <row r="4">
      <c r="A4" t="inlineStr">
        <is>
          <t>Anchor</t>
        </is>
      </c>
      <c r="B4" t="n">
        <v>4000</v>
      </c>
      <c r="C4" t="n">
        <v>175</v>
      </c>
    </row>
    <row r="5">
      <c r="A5" t="inlineStr">
        <is>
          <t>Cafe</t>
        </is>
      </c>
      <c r="B5" t="n">
        <v>800</v>
      </c>
      <c r="C5" t="n">
        <v>320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rent</t>
        </is>
      </c>
      <c r="B1">
        <f>SUMPRODUCT(Leases[Area],Leases[Rent psm])</f>
        <v/>
      </c>
    </row>
    <row r="2">
      <c r="A2" t="inlineStr">
        <is>
          <t>Total area</t>
        </is>
      </c>
      <c r="B2">
        <f>SUM(Leases[Area])</f>
        <v/>
      </c>
    </row>
    <row r="3">
      <c r="A3" t="inlineStr">
        <is>
          <t>Rent next year</t>
        </is>
      </c>
      <c r="B3">
        <f>SUMPRODUCT(Leases[Area],Leases[Rent psm])*(1+Inputs!B2)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2026-10-24T09:23:51Z</dcterms:created>
  <dcterms:modified xsi:type="dcterms:W3CDTF">2026-10-24T09:23:51Z</dcterms:modified>
</cp:coreProperties>
</file>