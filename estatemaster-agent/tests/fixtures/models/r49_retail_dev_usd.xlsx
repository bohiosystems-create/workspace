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Underwrit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<sst xmlns="http://schemas.openxmlformats.org/spreadsheetml/2006/main" count="136" uniqueCount="102">
  <si>
    <t xml:space="preserve">INVESTMENT DESCRIPTION</t>
  </si>
  <si>
    <t xml:space="preserve">Net Rentable Area (SF)</t>
  </si>
  <si>
    <t xml:space="preserve">Sale Month</t>
  </si>
  <si>
    <t xml:space="preserve">PARTNERSHIP RETURNS</t>
  </si>
  <si>
    <t xml:space="preserve">ROI</t>
  </si>
  <si>
    <t xml:space="preserve">EMx </t>
  </si>
  <si>
    <t xml:space="preserve">IRR</t>
  </si>
  <si>
    <t xml:space="preserve">LP</t>
  </si>
  <si>
    <t xml:space="preserve">GP</t>
  </si>
  <si>
    <t xml:space="preserve">PROPERTY RETURNS</t>
  </si>
  <si>
    <t xml:space="preserve">Unlevered</t>
  </si>
  <si>
    <t xml:space="preserve">Levered</t>
  </si>
  <si>
    <t xml:space="preserve">DEVELOPMENT RETURNS</t>
  </si>
  <si>
    <t xml:space="preserve">Yield-on-Cost</t>
  </si>
  <si>
    <t xml:space="preserve">Market Cap Rate</t>
  </si>
  <si>
    <t xml:space="preserve">Development Spread</t>
  </si>
  <si>
    <t xml:space="preserve">USES</t>
  </si>
  <si>
    <t xml:space="preserve">Amount</t>
  </si>
  <si>
    <t xml:space="preserve">Total Project Cost</t>
  </si>
  <si>
    <t xml:space="preserve">RETAIL DEVELOPMENT MODEL</t>
  </si>
  <si>
    <t xml:space="preserve">Analysis Month</t>
  </si>
  <si>
    <t xml:space="preserve">Levered IRR</t>
  </si>
  <si>
    <t xml:space="preserve">Levered EMx:</t>
  </si>
  <si>
    <t xml:space="preserve">Development Spread (Untrended)</t>
  </si>
  <si>
    <t xml:space="preserve">Analysis Begin Date</t>
  </si>
  <si>
    <t xml:space="preserve">Land Area (SF)</t>
  </si>
  <si>
    <t xml:space="preserve">Analysis Date</t>
  </si>
  <si>
    <t xml:space="preserve">START</t>
  </si>
  <si>
    <t xml:space="preserve">END</t>
  </si>
  <si>
    <t xml:space="preserve">METHOD</t>
  </si>
  <si>
    <t xml:space="preserve">/RENTABLE SF</t>
  </si>
  <si>
    <t xml:space="preserve">AMOUNT</t>
  </si>
  <si>
    <t xml:space="preserve">Land Purchase Price</t>
  </si>
  <si>
    <t xml:space="preserve">Straight-Line</t>
  </si>
  <si>
    <t xml:space="preserve">Closing / Legal Costs</t>
  </si>
  <si>
    <t xml:space="preserve">Site Work</t>
  </si>
  <si>
    <t xml:space="preserve">Building Shell</t>
  </si>
  <si>
    <t xml:space="preserve">S-Curve</t>
  </si>
  <si>
    <t xml:space="preserve">Tenant Improvements</t>
  </si>
  <si>
    <t xml:space="preserve">Soft Costs</t>
  </si>
  <si>
    <t xml:space="preserve">Developer Fee</t>
  </si>
  <si>
    <t xml:space="preserve">Contingency</t>
  </si>
  <si>
    <t xml:space="preserve">Construction Loan to Cost</t>
  </si>
  <si>
    <t xml:space="preserve">Construction Loan Rate</t>
  </si>
  <si>
    <t xml:space="preserve">Permanent Loan LTV</t>
  </si>
  <si>
    <t xml:space="preserve">Permanent Loan Rate</t>
  </si>
  <si>
    <t xml:space="preserve">Permanent Loan Month</t>
  </si>
  <si>
    <t xml:space="preserve">RETAIL BASE RENTAL INCOME</t>
  </si>
  <si>
    <t xml:space="preserve">SUITE</t>
  </si>
  <si>
    <t xml:space="preserve">TENANT</t>
  </si>
  <si>
    <t xml:space="preserve">LEASE START</t>
  </si>
  <si>
    <t xml:space="preserve">SF</t>
  </si>
  <si>
    <t xml:space="preserve">RENT START</t>
  </si>
  <si>
    <t xml:space="preserve">RENT GROWTH %</t>
  </si>
  <si>
    <t xml:space="preserve">RENT/SF/YR</t>
  </si>
  <si>
    <t xml:space="preserve">ANNUAL RENT</t>
  </si>
  <si>
    <t xml:space="preserve">STEP</t>
  </si>
  <si>
    <t xml:space="preserve">Anchor-1</t>
  </si>
  <si>
    <t xml:space="preserve">Greenfield Grocers</t>
  </si>
  <si>
    <t xml:space="preserve">Every 5 Years</t>
  </si>
  <si>
    <t xml:space="preserve">101</t>
  </si>
  <si>
    <t xml:space="preserve">Spec</t>
  </si>
  <si>
    <t xml:space="preserve">Annual</t>
  </si>
  <si>
    <t xml:space="preserve">102</t>
  </si>
  <si>
    <t xml:space="preserve">103</t>
  </si>
  <si>
    <t xml:space="preserve">104</t>
  </si>
  <si>
    <t xml:space="preserve">201</t>
  </si>
  <si>
    <t xml:space="preserve">202</t>
  </si>
  <si>
    <t xml:space="preserve">Outparcel-1</t>
  </si>
  <si>
    <t xml:space="preserve">Burger Drive-Thru</t>
  </si>
  <si>
    <t xml:space="preserve">Outparcel-2</t>
  </si>
  <si>
    <t xml:space="preserve">Corner Coffee</t>
  </si>
  <si>
    <t xml:space="preserve">TOTAL RENTAL INCOME</t>
  </si>
  <si>
    <t xml:space="preserve">Operating Expenses / SF / Yr</t>
  </si>
  <si>
    <t xml:space="preserve">Expense Growth</t>
  </si>
  <si>
    <t xml:space="preserve">Recovery %</t>
  </si>
  <si>
    <t xml:space="preserve">General Vacancy</t>
  </si>
  <si>
    <t xml:space="preserve">Exit Cap Rate</t>
  </si>
  <si>
    <t xml:space="preserve">Selling Costs</t>
  </si>
  <si>
    <t xml:space="preserve">LP Share of Equity</t>
  </si>
  <si>
    <t xml:space="preserve">Preferred Return (simple, a year)</t>
  </si>
  <si>
    <t xml:space="preserve">GP Promote above the Pref</t>
  </si>
  <si>
    <t xml:space="preserve">Rental Income</t>
  </si>
  <si>
    <t xml:space="preserve">Recovery Income</t>
  </si>
  <si>
    <t xml:space="preserve">Effective Gross Revenue</t>
  </si>
  <si>
    <t xml:space="preserve">Operating Expenses</t>
  </si>
  <si>
    <t xml:space="preserve">Net Operating Income</t>
  </si>
  <si>
    <t xml:space="preserve">Development Cost</t>
  </si>
  <si>
    <t xml:space="preserve">Construction Loan Draw</t>
  </si>
  <si>
    <t xml:space="preserve">Construction Interest</t>
  </si>
  <si>
    <t xml:space="preserve">Construction Loan Balance</t>
  </si>
  <si>
    <t xml:space="preserve">Construction Loan Payoff</t>
  </si>
  <si>
    <t xml:space="preserve">Permanent Loan Funding</t>
  </si>
  <si>
    <t xml:space="preserve">Permanent Loan Debt Service</t>
  </si>
  <si>
    <t xml:space="preserve">Permanent Loan Payoff</t>
  </si>
  <si>
    <t xml:space="preserve">Gross Sale Price</t>
  </si>
  <si>
    <t xml:space="preserve">EMx</t>
  </si>
  <si>
    <t xml:space="preserve">Profit</t>
  </si>
  <si>
    <t xml:space="preserve">Net Unlevered Cash Flow</t>
  </si>
  <si>
    <t xml:space="preserve">Net Levered Cash Flow</t>
  </si>
  <si>
    <t xml:space="preserve">Equity Contributed</t>
  </si>
  <si>
    <t xml:space="preserve">GP Promote at Sale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</si>
</sst>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\x"/>
    <numFmt numFmtId="167" formatCode="0&quot; bps&quot;"/>
    <numFmt numFmtId="168" formatCode="#,##0"/>
    <numFmt numFmtId="169" formatCode="mmm\-yy"/>
    <numFmt numFmtId="170" formatCode="#,##0;\(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tr">
        <f aca="false">Underwriting!B2</f>
        <v>RETAIL DEVELOPMENT MODEL</v>
      </c>
    </row>
    <row r="4" customFormat="false" ht="15" hidden="false" customHeight="false" outlineLevel="0" collapsed="false">
      <c r="B4" s="0" t="s">
        <v>0</v>
      </c>
    </row>
    <row r="6" customFormat="false" ht="15" hidden="false" customHeight="false" outlineLevel="0" collapsed="false">
      <c r="B6" s="0" t="s">
        <v>1</v>
      </c>
      <c r="F6" s="0" t="n">
        <f aca="false">Underwriting!E18</f>
        <v>83000</v>
      </c>
    </row>
    <row r="11" customFormat="false" ht="15" hidden="false" customHeight="false" outlineLevel="0" collapsed="false">
      <c r="B11" s="0" t="s">
        <v>2</v>
      </c>
      <c r="F11" s="0" t="n">
        <f aca="false">Underwriting!I15</f>
        <v>96</v>
      </c>
    </row>
    <row r="20" customFormat="false" ht="15" hidden="false" customHeight="false" outlineLevel="0" collapsed="false">
      <c r="N20" s="0" t="s">
        <v>3</v>
      </c>
      <c r="Q20" s="0" t="s">
        <v>4</v>
      </c>
      <c r="R20" s="0" t="s">
        <v>5</v>
      </c>
      <c r="S20" s="0" t="s">
        <v>6</v>
      </c>
    </row>
    <row r="21" customFormat="false" ht="15" hidden="false" customHeight="false" outlineLevel="0" collapsed="false">
      <c r="N21" s="0" t="s">
        <v>7</v>
      </c>
      <c r="Q21" s="1" t="n">
        <f aca="false">Underwriting!I229/-SUMIF(Underwriting!L229:DP229,"&lt;0")</f>
        <v>1.48338801129135</v>
      </c>
      <c r="R21" s="2" t="n">
        <f aca="false">Underwriting!G229</f>
        <v>2.48338801129135</v>
      </c>
      <c r="S21" s="1" t="n">
        <f aca="false">Underwriting!H229</f>
        <v>0.158012180497076</v>
      </c>
    </row>
    <row r="22" customFormat="false" ht="15" hidden="false" customHeight="false" outlineLevel="0" collapsed="false">
      <c r="N22" s="0" t="s">
        <v>8</v>
      </c>
      <c r="Q22" s="1" t="n">
        <f aca="false">Underwriting!I228/-SUMIF(Underwriting!L228:DP228,"&lt;0")</f>
        <v>3.89306804355237</v>
      </c>
      <c r="R22" s="2" t="n">
        <f aca="false">Underwriting!G228</f>
        <v>4.89306804355237</v>
      </c>
      <c r="S22" s="1" t="n">
        <f aca="false">Underwriting!H228</f>
        <v>0.270626344736293</v>
      </c>
    </row>
    <row r="24" customFormat="false" ht="15" hidden="false" customHeight="false" outlineLevel="0" collapsed="false">
      <c r="N24" s="0" t="s">
        <v>9</v>
      </c>
      <c r="Q24" s="0" t="s">
        <v>4</v>
      </c>
      <c r="R24" s="0" t="s">
        <v>5</v>
      </c>
      <c r="S24" s="0" t="s">
        <v>6</v>
      </c>
    </row>
    <row r="25" customFormat="false" ht="15" hidden="false" customHeight="false" outlineLevel="0" collapsed="false">
      <c r="N25" s="0" t="s">
        <v>10</v>
      </c>
      <c r="Q25" s="1" t="n">
        <f aca="false">Underwriting!I211/Underwriting!I36</f>
        <v>1.10467451636395</v>
      </c>
      <c r="R25" s="2" t="n">
        <f aca="false">Underwriting!G211</f>
        <v>2.10175492337102</v>
      </c>
      <c r="S25" s="1" t="n">
        <f aca="false">Underwriting!H211</f>
        <v>0.119153377692772</v>
      </c>
    </row>
    <row r="26" customFormat="false" ht="15" hidden="false" customHeight="false" outlineLevel="0" collapsed="false">
      <c r="N26" s="0" t="s">
        <v>11</v>
      </c>
      <c r="Q26" s="1" t="n">
        <f aca="false">Underwriting!I212/Underwriting!I232</f>
        <v>1.72435601451745</v>
      </c>
      <c r="R26" s="2" t="n">
        <f aca="false">Underwriting!G212</f>
        <v>2.72435601451745</v>
      </c>
      <c r="S26" s="1" t="n">
        <f aca="false">Underwriting!H212</f>
        <v>0.173267630543599</v>
      </c>
    </row>
    <row r="27" customFormat="false" ht="15" hidden="false" customHeight="false" outlineLevel="0" collapsed="false">
      <c r="N27" s="0" t="s">
        <v>12</v>
      </c>
    </row>
    <row r="28" customFormat="false" ht="15" hidden="false" customHeight="false" outlineLevel="0" collapsed="false">
      <c r="N28" s="0" t="s">
        <v>13</v>
      </c>
      <c r="S28" s="1" t="n">
        <f aca="false">Underwriting!H215</f>
        <v>0.0762032114805382</v>
      </c>
    </row>
    <row r="29" customFormat="false" ht="15" hidden="false" customHeight="false" outlineLevel="0" collapsed="false">
      <c r="N29" s="0" t="s">
        <v>14</v>
      </c>
      <c r="S29" s="1" t="n">
        <f aca="false">Underwriting!H216</f>
        <v>0.0675</v>
      </c>
    </row>
    <row r="30" customFormat="false" ht="15" hidden="false" customHeight="false" outlineLevel="0" collapsed="false">
      <c r="N30" s="0" t="s">
        <v>15</v>
      </c>
      <c r="S30" s="3" t="n">
        <f aca="false">Underwriting!H217</f>
        <v>87.0321148053822</v>
      </c>
    </row>
    <row r="31" customFormat="false" ht="15" hidden="false" customHeight="false" outlineLevel="0" collapsed="false">
      <c r="H31" s="0" t="s">
        <v>16</v>
      </c>
      <c r="M31" s="0" t="s">
        <v>17</v>
      </c>
    </row>
    <row r="32" customFormat="false" ht="15" hidden="false" customHeight="false" outlineLevel="0" collapsed="false">
      <c r="H32" s="0" t="s">
        <v>18</v>
      </c>
      <c r="M32" s="4" t="n">
        <f aca="false">Underwriting!I36</f>
        <v>27387471.2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P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19</v>
      </c>
    </row>
    <row r="3" customFormat="false" ht="15" hidden="false" customHeight="false" outlineLevel="0" collapsed="false">
      <c r="B3" s="0" t="s">
        <v>20</v>
      </c>
      <c r="L3" s="0" t="n">
        <v>0</v>
      </c>
      <c r="M3" s="0" t="n">
        <v>1</v>
      </c>
      <c r="N3" s="0" t="n">
        <v>2</v>
      </c>
      <c r="O3" s="0" t="n">
        <v>3</v>
      </c>
      <c r="P3" s="0" t="n">
        <v>4</v>
      </c>
      <c r="Q3" s="0" t="n">
        <v>5</v>
      </c>
      <c r="R3" s="0" t="n">
        <v>6</v>
      </c>
      <c r="S3" s="0" t="n">
        <v>7</v>
      </c>
      <c r="T3" s="0" t="n">
        <v>8</v>
      </c>
      <c r="U3" s="0" t="n">
        <v>9</v>
      </c>
      <c r="V3" s="0" t="n">
        <v>10</v>
      </c>
      <c r="W3" s="0" t="n">
        <v>11</v>
      </c>
      <c r="X3" s="0" t="n">
        <v>12</v>
      </c>
      <c r="Y3" s="0" t="n">
        <v>13</v>
      </c>
      <c r="Z3" s="0" t="n">
        <v>14</v>
      </c>
      <c r="AA3" s="0" t="n">
        <v>15</v>
      </c>
      <c r="AB3" s="0" t="n">
        <v>16</v>
      </c>
      <c r="AC3" s="0" t="n">
        <v>17</v>
      </c>
      <c r="AD3" s="0" t="n">
        <v>18</v>
      </c>
      <c r="AE3" s="0" t="n">
        <v>19</v>
      </c>
      <c r="AF3" s="0" t="n">
        <v>20</v>
      </c>
      <c r="AG3" s="0" t="n">
        <v>21</v>
      </c>
      <c r="AH3" s="0" t="n">
        <v>22</v>
      </c>
      <c r="AI3" s="0" t="n">
        <v>23</v>
      </c>
      <c r="AJ3" s="0" t="n">
        <v>24</v>
      </c>
      <c r="AK3" s="0" t="n">
        <v>25</v>
      </c>
      <c r="AL3" s="0" t="n">
        <v>26</v>
      </c>
      <c r="AM3" s="0" t="n">
        <v>27</v>
      </c>
      <c r="AN3" s="0" t="n">
        <v>28</v>
      </c>
      <c r="AO3" s="0" t="n">
        <v>29</v>
      </c>
      <c r="AP3" s="0" t="n">
        <v>30</v>
      </c>
      <c r="AQ3" s="0" t="n">
        <v>31</v>
      </c>
      <c r="AR3" s="0" t="n">
        <v>32</v>
      </c>
      <c r="AS3" s="0" t="n">
        <v>33</v>
      </c>
      <c r="AT3" s="0" t="n">
        <v>34</v>
      </c>
      <c r="AU3" s="0" t="n">
        <v>35</v>
      </c>
      <c r="AV3" s="0" t="n">
        <v>36</v>
      </c>
      <c r="AW3" s="0" t="n">
        <v>37</v>
      </c>
      <c r="AX3" s="0" t="n">
        <v>38</v>
      </c>
      <c r="AY3" s="0" t="n">
        <v>39</v>
      </c>
      <c r="AZ3" s="0" t="n">
        <v>40</v>
      </c>
      <c r="BA3" s="0" t="n">
        <v>41</v>
      </c>
      <c r="BB3" s="0" t="n">
        <v>42</v>
      </c>
      <c r="BC3" s="0" t="n">
        <v>43</v>
      </c>
      <c r="BD3" s="0" t="n">
        <v>44</v>
      </c>
      <c r="BE3" s="0" t="n">
        <v>45</v>
      </c>
      <c r="BF3" s="0" t="n">
        <v>46</v>
      </c>
      <c r="BG3" s="0" t="n">
        <v>47</v>
      </c>
      <c r="BH3" s="0" t="n">
        <v>48</v>
      </c>
      <c r="BI3" s="0" t="n">
        <v>49</v>
      </c>
      <c r="BJ3" s="0" t="n">
        <v>50</v>
      </c>
      <c r="BK3" s="0" t="n">
        <v>51</v>
      </c>
      <c r="BL3" s="0" t="n">
        <v>52</v>
      </c>
      <c r="BM3" s="0" t="n">
        <v>53</v>
      </c>
      <c r="BN3" s="0" t="n">
        <v>54</v>
      </c>
      <c r="BO3" s="0" t="n">
        <v>55</v>
      </c>
      <c r="BP3" s="0" t="n">
        <v>56</v>
      </c>
      <c r="BQ3" s="0" t="n">
        <v>57</v>
      </c>
      <c r="BR3" s="0" t="n">
        <v>58</v>
      </c>
      <c r="BS3" s="0" t="n">
        <v>59</v>
      </c>
      <c r="BT3" s="0" t="n">
        <v>60</v>
      </c>
      <c r="BU3" s="0" t="n">
        <v>61</v>
      </c>
      <c r="BV3" s="0" t="n">
        <v>62</v>
      </c>
      <c r="BW3" s="0" t="n">
        <v>63</v>
      </c>
      <c r="BX3" s="0" t="n">
        <v>64</v>
      </c>
      <c r="BY3" s="0" t="n">
        <v>65</v>
      </c>
      <c r="BZ3" s="0" t="n">
        <v>66</v>
      </c>
      <c r="CA3" s="0" t="n">
        <v>67</v>
      </c>
      <c r="CB3" s="0" t="n">
        <v>68</v>
      </c>
      <c r="CC3" s="0" t="n">
        <v>69</v>
      </c>
      <c r="CD3" s="0" t="n">
        <v>70</v>
      </c>
      <c r="CE3" s="0" t="n">
        <v>71</v>
      </c>
      <c r="CF3" s="0" t="n">
        <v>72</v>
      </c>
      <c r="CG3" s="0" t="n">
        <v>73</v>
      </c>
      <c r="CH3" s="0" t="n">
        <v>74</v>
      </c>
      <c r="CI3" s="0" t="n">
        <v>75</v>
      </c>
      <c r="CJ3" s="0" t="n">
        <v>76</v>
      </c>
      <c r="CK3" s="0" t="n">
        <v>77</v>
      </c>
      <c r="CL3" s="0" t="n">
        <v>78</v>
      </c>
      <c r="CM3" s="0" t="n">
        <v>79</v>
      </c>
      <c r="CN3" s="0" t="n">
        <v>80</v>
      </c>
      <c r="CO3" s="0" t="n">
        <v>81</v>
      </c>
      <c r="CP3" s="0" t="n">
        <v>82</v>
      </c>
      <c r="CQ3" s="0" t="n">
        <v>83</v>
      </c>
      <c r="CR3" s="0" t="n">
        <v>84</v>
      </c>
      <c r="CS3" s="0" t="n">
        <v>85</v>
      </c>
      <c r="CT3" s="0" t="n">
        <v>86</v>
      </c>
      <c r="CU3" s="0" t="n">
        <v>87</v>
      </c>
      <c r="CV3" s="0" t="n">
        <v>88</v>
      </c>
      <c r="CW3" s="0" t="n">
        <v>89</v>
      </c>
      <c r="CX3" s="0" t="n">
        <v>90</v>
      </c>
      <c r="CY3" s="0" t="n">
        <v>91</v>
      </c>
      <c r="CZ3" s="0" t="n">
        <v>92</v>
      </c>
      <c r="DA3" s="0" t="n">
        <v>93</v>
      </c>
      <c r="DB3" s="0" t="n">
        <v>94</v>
      </c>
      <c r="DC3" s="0" t="n">
        <v>95</v>
      </c>
      <c r="DD3" s="0" t="n">
        <v>96</v>
      </c>
      <c r="DE3" s="0" t="n">
        <v>97</v>
      </c>
      <c r="DF3" s="0" t="n">
        <v>98</v>
      </c>
      <c r="DG3" s="0" t="n">
        <v>99</v>
      </c>
      <c r="DH3" s="0" t="n">
        <v>100</v>
      </c>
      <c r="DI3" s="0" t="n">
        <v>101</v>
      </c>
      <c r="DJ3" s="0" t="n">
        <v>102</v>
      </c>
      <c r="DK3" s="0" t="n">
        <v>103</v>
      </c>
      <c r="DL3" s="0" t="n">
        <v>104</v>
      </c>
      <c r="DM3" s="0" t="n">
        <v>105</v>
      </c>
      <c r="DN3" s="0" t="n">
        <v>106</v>
      </c>
      <c r="DO3" s="0" t="n">
        <v>107</v>
      </c>
      <c r="DP3" s="0" t="n">
        <v>108</v>
      </c>
    </row>
    <row r="5" customFormat="false" ht="15" hidden="false" customHeight="false" outlineLevel="0" collapsed="false">
      <c r="B5" s="0" t="s">
        <v>21</v>
      </c>
      <c r="C5" s="1" t="n">
        <f aca="false">H212</f>
        <v>0.173267630543599</v>
      </c>
      <c r="D5" s="5" t="s">
        <v>22</v>
      </c>
      <c r="E5" s="2" t="n">
        <f aca="false">G212</f>
        <v>2.72435601451745</v>
      </c>
      <c r="H5" s="5" t="s">
        <v>23</v>
      </c>
      <c r="I5" s="3" t="n">
        <f aca="false">H217</f>
        <v>87.0321148053822</v>
      </c>
    </row>
    <row r="13" customFormat="false" ht="15" hidden="false" customHeight="false" outlineLevel="0" collapsed="false">
      <c r="B13" s="0" t="s">
        <v>24</v>
      </c>
      <c r="E13" s="6" t="n">
        <v>46447</v>
      </c>
    </row>
    <row r="15" customFormat="false" ht="15" hidden="false" customHeight="false" outlineLevel="0" collapsed="false">
      <c r="F15" s="0" t="s">
        <v>2</v>
      </c>
      <c r="I15" s="0" t="n">
        <v>96</v>
      </c>
    </row>
    <row r="17" customFormat="false" ht="15" hidden="false" customHeight="false" outlineLevel="0" collapsed="false">
      <c r="B17" s="0" t="s">
        <v>25</v>
      </c>
      <c r="E17" s="0" t="n">
        <v>520000</v>
      </c>
    </row>
    <row r="18" customFormat="false" ht="15" hidden="false" customHeight="false" outlineLevel="0" collapsed="false">
      <c r="B18" s="0" t="s">
        <v>1</v>
      </c>
      <c r="E18" s="0" t="n">
        <f aca="false">E105</f>
        <v>83000</v>
      </c>
    </row>
    <row r="24" customFormat="false" ht="15" hidden="false" customHeight="false" outlineLevel="0" collapsed="false">
      <c r="B24" s="0" t="s">
        <v>26</v>
      </c>
      <c r="L24" s="6" t="n">
        <f aca="false">EOMONTH($E$13,L3-1)</f>
        <v>46446</v>
      </c>
      <c r="M24" s="6" t="n">
        <f aca="false">EOMONTH($E$13,M3-1)</f>
        <v>46477</v>
      </c>
      <c r="N24" s="6" t="n">
        <f aca="false">EOMONTH($E$13,N3-1)</f>
        <v>46507</v>
      </c>
      <c r="O24" s="6" t="n">
        <f aca="false">EOMONTH($E$13,O3-1)</f>
        <v>46538</v>
      </c>
      <c r="P24" s="6" t="n">
        <f aca="false">EOMONTH($E$13,P3-1)</f>
        <v>46568</v>
      </c>
      <c r="Q24" s="6" t="n">
        <f aca="false">EOMONTH($E$13,Q3-1)</f>
        <v>46599</v>
      </c>
      <c r="R24" s="6" t="n">
        <f aca="false">EOMONTH($E$13,R3-1)</f>
        <v>46630</v>
      </c>
      <c r="S24" s="6" t="n">
        <f aca="false">EOMONTH($E$13,S3-1)</f>
        <v>46660</v>
      </c>
      <c r="T24" s="6" t="n">
        <f aca="false">EOMONTH($E$13,T3-1)</f>
        <v>46691</v>
      </c>
      <c r="U24" s="6" t="n">
        <f aca="false">EOMONTH($E$13,U3-1)</f>
        <v>46721</v>
      </c>
      <c r="V24" s="6" t="n">
        <f aca="false">EOMONTH($E$13,V3-1)</f>
        <v>46752</v>
      </c>
      <c r="W24" s="6" t="n">
        <f aca="false">EOMONTH($E$13,W3-1)</f>
        <v>46783</v>
      </c>
      <c r="X24" s="6" t="n">
        <f aca="false">EOMONTH($E$13,X3-1)</f>
        <v>46812</v>
      </c>
      <c r="Y24" s="6" t="n">
        <f aca="false">EOMONTH($E$13,Y3-1)</f>
        <v>46843</v>
      </c>
      <c r="Z24" s="6" t="n">
        <f aca="false">EOMONTH($E$13,Z3-1)</f>
        <v>46873</v>
      </c>
      <c r="AA24" s="6" t="n">
        <f aca="false">EOMONTH($E$13,AA3-1)</f>
        <v>46904</v>
      </c>
      <c r="AB24" s="6" t="n">
        <f aca="false">EOMONTH($E$13,AB3-1)</f>
        <v>46934</v>
      </c>
      <c r="AC24" s="6" t="n">
        <f aca="false">EOMONTH($E$13,AC3-1)</f>
        <v>46965</v>
      </c>
      <c r="AD24" s="6" t="n">
        <f aca="false">EOMONTH($E$13,AD3-1)</f>
        <v>46996</v>
      </c>
      <c r="AE24" s="6" t="n">
        <f aca="false">EOMONTH($E$13,AE3-1)</f>
        <v>47026</v>
      </c>
      <c r="AF24" s="6" t="n">
        <f aca="false">EOMONTH($E$13,AF3-1)</f>
        <v>47057</v>
      </c>
      <c r="AG24" s="6" t="n">
        <f aca="false">EOMONTH($E$13,AG3-1)</f>
        <v>47087</v>
      </c>
      <c r="AH24" s="6" t="n">
        <f aca="false">EOMONTH($E$13,AH3-1)</f>
        <v>47118</v>
      </c>
      <c r="AI24" s="6" t="n">
        <f aca="false">EOMONTH($E$13,AI3-1)</f>
        <v>47149</v>
      </c>
      <c r="AJ24" s="6" t="n">
        <f aca="false">EOMONTH($E$13,AJ3-1)</f>
        <v>47177</v>
      </c>
      <c r="AK24" s="6" t="n">
        <f aca="false">EOMONTH($E$13,AK3-1)</f>
        <v>47208</v>
      </c>
      <c r="AL24" s="6" t="n">
        <f aca="false">EOMONTH($E$13,AL3-1)</f>
        <v>47238</v>
      </c>
      <c r="AM24" s="6" t="n">
        <f aca="false">EOMONTH($E$13,AM3-1)</f>
        <v>47269</v>
      </c>
      <c r="AN24" s="6" t="n">
        <f aca="false">EOMONTH($E$13,AN3-1)</f>
        <v>47299</v>
      </c>
      <c r="AO24" s="6" t="n">
        <f aca="false">EOMONTH($E$13,AO3-1)</f>
        <v>47330</v>
      </c>
      <c r="AP24" s="6" t="n">
        <f aca="false">EOMONTH($E$13,AP3-1)</f>
        <v>47361</v>
      </c>
      <c r="AQ24" s="6" t="n">
        <f aca="false">EOMONTH($E$13,AQ3-1)</f>
        <v>47391</v>
      </c>
      <c r="AR24" s="6" t="n">
        <f aca="false">EOMONTH($E$13,AR3-1)</f>
        <v>47422</v>
      </c>
      <c r="AS24" s="6" t="n">
        <f aca="false">EOMONTH($E$13,AS3-1)</f>
        <v>47452</v>
      </c>
      <c r="AT24" s="6" t="n">
        <f aca="false">EOMONTH($E$13,AT3-1)</f>
        <v>47483</v>
      </c>
      <c r="AU24" s="6" t="n">
        <f aca="false">EOMONTH($E$13,AU3-1)</f>
        <v>47514</v>
      </c>
      <c r="AV24" s="6" t="n">
        <f aca="false">EOMONTH($E$13,AV3-1)</f>
        <v>47542</v>
      </c>
      <c r="AW24" s="6" t="n">
        <f aca="false">EOMONTH($E$13,AW3-1)</f>
        <v>47573</v>
      </c>
      <c r="AX24" s="6" t="n">
        <f aca="false">EOMONTH($E$13,AX3-1)</f>
        <v>47603</v>
      </c>
      <c r="AY24" s="6" t="n">
        <f aca="false">EOMONTH($E$13,AY3-1)</f>
        <v>47634</v>
      </c>
      <c r="AZ24" s="6" t="n">
        <f aca="false">EOMONTH($E$13,AZ3-1)</f>
        <v>47664</v>
      </c>
      <c r="BA24" s="6" t="n">
        <f aca="false">EOMONTH($E$13,BA3-1)</f>
        <v>47695</v>
      </c>
      <c r="BB24" s="6" t="n">
        <f aca="false">EOMONTH($E$13,BB3-1)</f>
        <v>47726</v>
      </c>
      <c r="BC24" s="6" t="n">
        <f aca="false">EOMONTH($E$13,BC3-1)</f>
        <v>47756</v>
      </c>
      <c r="BD24" s="6" t="n">
        <f aca="false">EOMONTH($E$13,BD3-1)</f>
        <v>47787</v>
      </c>
      <c r="BE24" s="6" t="n">
        <f aca="false">EOMONTH($E$13,BE3-1)</f>
        <v>47817</v>
      </c>
      <c r="BF24" s="6" t="n">
        <f aca="false">EOMONTH($E$13,BF3-1)</f>
        <v>47848</v>
      </c>
      <c r="BG24" s="6" t="n">
        <f aca="false">EOMONTH($E$13,BG3-1)</f>
        <v>47879</v>
      </c>
      <c r="BH24" s="6" t="n">
        <f aca="false">EOMONTH($E$13,BH3-1)</f>
        <v>47907</v>
      </c>
      <c r="BI24" s="6" t="n">
        <f aca="false">EOMONTH($E$13,BI3-1)</f>
        <v>47938</v>
      </c>
      <c r="BJ24" s="6" t="n">
        <f aca="false">EOMONTH($E$13,BJ3-1)</f>
        <v>47968</v>
      </c>
      <c r="BK24" s="6" t="n">
        <f aca="false">EOMONTH($E$13,BK3-1)</f>
        <v>47999</v>
      </c>
      <c r="BL24" s="6" t="n">
        <f aca="false">EOMONTH($E$13,BL3-1)</f>
        <v>48029</v>
      </c>
      <c r="BM24" s="6" t="n">
        <f aca="false">EOMONTH($E$13,BM3-1)</f>
        <v>48060</v>
      </c>
      <c r="BN24" s="6" t="n">
        <f aca="false">EOMONTH($E$13,BN3-1)</f>
        <v>48091</v>
      </c>
      <c r="BO24" s="6" t="n">
        <f aca="false">EOMONTH($E$13,BO3-1)</f>
        <v>48121</v>
      </c>
      <c r="BP24" s="6" t="n">
        <f aca="false">EOMONTH($E$13,BP3-1)</f>
        <v>48152</v>
      </c>
      <c r="BQ24" s="6" t="n">
        <f aca="false">EOMONTH($E$13,BQ3-1)</f>
        <v>48182</v>
      </c>
      <c r="BR24" s="6" t="n">
        <f aca="false">EOMONTH($E$13,BR3-1)</f>
        <v>48213</v>
      </c>
      <c r="BS24" s="6" t="n">
        <f aca="false">EOMONTH($E$13,BS3-1)</f>
        <v>48244</v>
      </c>
      <c r="BT24" s="6" t="n">
        <f aca="false">EOMONTH($E$13,BT3-1)</f>
        <v>48273</v>
      </c>
      <c r="BU24" s="6" t="n">
        <f aca="false">EOMONTH($E$13,BU3-1)</f>
        <v>48304</v>
      </c>
      <c r="BV24" s="6" t="n">
        <f aca="false">EOMONTH($E$13,BV3-1)</f>
        <v>48334</v>
      </c>
      <c r="BW24" s="6" t="n">
        <f aca="false">EOMONTH($E$13,BW3-1)</f>
        <v>48365</v>
      </c>
      <c r="BX24" s="6" t="n">
        <f aca="false">EOMONTH($E$13,BX3-1)</f>
        <v>48395</v>
      </c>
      <c r="BY24" s="6" t="n">
        <f aca="false">EOMONTH($E$13,BY3-1)</f>
        <v>48426</v>
      </c>
      <c r="BZ24" s="6" t="n">
        <f aca="false">EOMONTH($E$13,BZ3-1)</f>
        <v>48457</v>
      </c>
      <c r="CA24" s="6" t="n">
        <f aca="false">EOMONTH($E$13,CA3-1)</f>
        <v>48487</v>
      </c>
      <c r="CB24" s="6" t="n">
        <f aca="false">EOMONTH($E$13,CB3-1)</f>
        <v>48518</v>
      </c>
      <c r="CC24" s="6" t="n">
        <f aca="false">EOMONTH($E$13,CC3-1)</f>
        <v>48548</v>
      </c>
      <c r="CD24" s="6" t="n">
        <f aca="false">EOMONTH($E$13,CD3-1)</f>
        <v>48579</v>
      </c>
      <c r="CE24" s="6" t="n">
        <f aca="false">EOMONTH($E$13,CE3-1)</f>
        <v>48610</v>
      </c>
      <c r="CF24" s="6" t="n">
        <f aca="false">EOMONTH($E$13,CF3-1)</f>
        <v>48638</v>
      </c>
      <c r="CG24" s="6" t="n">
        <f aca="false">EOMONTH($E$13,CG3-1)</f>
        <v>48669</v>
      </c>
      <c r="CH24" s="6" t="n">
        <f aca="false">EOMONTH($E$13,CH3-1)</f>
        <v>48699</v>
      </c>
      <c r="CI24" s="6" t="n">
        <f aca="false">EOMONTH($E$13,CI3-1)</f>
        <v>48730</v>
      </c>
      <c r="CJ24" s="6" t="n">
        <f aca="false">EOMONTH($E$13,CJ3-1)</f>
        <v>48760</v>
      </c>
      <c r="CK24" s="6" t="n">
        <f aca="false">EOMONTH($E$13,CK3-1)</f>
        <v>48791</v>
      </c>
      <c r="CL24" s="6" t="n">
        <f aca="false">EOMONTH($E$13,CL3-1)</f>
        <v>48822</v>
      </c>
      <c r="CM24" s="6" t="n">
        <f aca="false">EOMONTH($E$13,CM3-1)</f>
        <v>48852</v>
      </c>
      <c r="CN24" s="6" t="n">
        <f aca="false">EOMONTH($E$13,CN3-1)</f>
        <v>48883</v>
      </c>
      <c r="CO24" s="6" t="n">
        <f aca="false">EOMONTH($E$13,CO3-1)</f>
        <v>48913</v>
      </c>
      <c r="CP24" s="6" t="n">
        <f aca="false">EOMONTH($E$13,CP3-1)</f>
        <v>48944</v>
      </c>
      <c r="CQ24" s="6" t="n">
        <f aca="false">EOMONTH($E$13,CQ3-1)</f>
        <v>48975</v>
      </c>
      <c r="CR24" s="6" t="n">
        <f aca="false">EOMONTH($E$13,CR3-1)</f>
        <v>49003</v>
      </c>
      <c r="CS24" s="6" t="n">
        <f aca="false">EOMONTH($E$13,CS3-1)</f>
        <v>49034</v>
      </c>
      <c r="CT24" s="6" t="n">
        <f aca="false">EOMONTH($E$13,CT3-1)</f>
        <v>49064</v>
      </c>
      <c r="CU24" s="6" t="n">
        <f aca="false">EOMONTH($E$13,CU3-1)</f>
        <v>49095</v>
      </c>
      <c r="CV24" s="6" t="n">
        <f aca="false">EOMONTH($E$13,CV3-1)</f>
        <v>49125</v>
      </c>
      <c r="CW24" s="6" t="n">
        <f aca="false">EOMONTH($E$13,CW3-1)</f>
        <v>49156</v>
      </c>
      <c r="CX24" s="6" t="n">
        <f aca="false">EOMONTH($E$13,CX3-1)</f>
        <v>49187</v>
      </c>
      <c r="CY24" s="6" t="n">
        <f aca="false">EOMONTH($E$13,CY3-1)</f>
        <v>49217</v>
      </c>
      <c r="CZ24" s="6" t="n">
        <f aca="false">EOMONTH($E$13,CZ3-1)</f>
        <v>49248</v>
      </c>
      <c r="DA24" s="6" t="n">
        <f aca="false">EOMONTH($E$13,DA3-1)</f>
        <v>49278</v>
      </c>
      <c r="DB24" s="6" t="n">
        <f aca="false">EOMONTH($E$13,DB3-1)</f>
        <v>49309</v>
      </c>
      <c r="DC24" s="6" t="n">
        <f aca="false">EOMONTH($E$13,DC3-1)</f>
        <v>49340</v>
      </c>
      <c r="DD24" s="6" t="n">
        <f aca="false">EOMONTH($E$13,DD3-1)</f>
        <v>49368</v>
      </c>
      <c r="DE24" s="6" t="n">
        <f aca="false">EOMONTH($E$13,DE3-1)</f>
        <v>49399</v>
      </c>
      <c r="DF24" s="6" t="n">
        <f aca="false">EOMONTH($E$13,DF3-1)</f>
        <v>49429</v>
      </c>
      <c r="DG24" s="6" t="n">
        <f aca="false">EOMONTH($E$13,DG3-1)</f>
        <v>49460</v>
      </c>
      <c r="DH24" s="6" t="n">
        <f aca="false">EOMONTH($E$13,DH3-1)</f>
        <v>49490</v>
      </c>
      <c r="DI24" s="6" t="n">
        <f aca="false">EOMONTH($E$13,DI3-1)</f>
        <v>49521</v>
      </c>
      <c r="DJ24" s="6" t="n">
        <f aca="false">EOMONTH($E$13,DJ3-1)</f>
        <v>49552</v>
      </c>
      <c r="DK24" s="6" t="n">
        <f aca="false">EOMONTH($E$13,DK3-1)</f>
        <v>49582</v>
      </c>
      <c r="DL24" s="6" t="n">
        <f aca="false">EOMONTH($E$13,DL3-1)</f>
        <v>49613</v>
      </c>
      <c r="DM24" s="6" t="n">
        <f aca="false">EOMONTH($E$13,DM3-1)</f>
        <v>49643</v>
      </c>
      <c r="DN24" s="6" t="n">
        <f aca="false">EOMONTH($E$13,DN3-1)</f>
        <v>49674</v>
      </c>
      <c r="DO24" s="6" t="n">
        <f aca="false">EOMONTH($E$13,DO3-1)</f>
        <v>49705</v>
      </c>
      <c r="DP24" s="6" t="n">
        <f aca="false">EOMONTH($E$13,DP3-1)</f>
        <v>49734</v>
      </c>
    </row>
    <row r="25" customFormat="false" ht="15" hidden="false" customHeight="false" outlineLevel="0" collapsed="false">
      <c r="B25" s="0" t="s">
        <v>16</v>
      </c>
      <c r="D25" s="0" t="s">
        <v>27</v>
      </c>
      <c r="E25" s="0" t="s">
        <v>28</v>
      </c>
      <c r="F25" s="0" t="s">
        <v>29</v>
      </c>
      <c r="H25" s="0" t="s">
        <v>30</v>
      </c>
      <c r="I25" s="0" t="s">
        <v>31</v>
      </c>
    </row>
    <row r="27" customFormat="false" ht="15" hidden="false" customHeight="false" outlineLevel="0" collapsed="false">
      <c r="B27" s="0" t="s">
        <v>32</v>
      </c>
      <c r="D27" s="0" t="n">
        <v>0</v>
      </c>
      <c r="E27" s="0" t="n">
        <v>0</v>
      </c>
      <c r="F27" s="0" t="s">
        <v>33</v>
      </c>
      <c r="H27" s="0" t="n">
        <f aca="false">I27/$E$18</f>
        <v>118.072289156627</v>
      </c>
      <c r="I27" s="4" t="n">
        <v>9800000</v>
      </c>
    </row>
    <row r="28" customFormat="false" ht="15" hidden="false" customHeight="false" outlineLevel="0" collapsed="false">
      <c r="B28" s="0" t="s">
        <v>34</v>
      </c>
      <c r="D28" s="0" t="n">
        <v>0</v>
      </c>
      <c r="E28" s="0" t="n">
        <v>0</v>
      </c>
      <c r="F28" s="0" t="s">
        <v>33</v>
      </c>
      <c r="H28" s="0" t="n">
        <f aca="false">I28/$E$18</f>
        <v>1.18072289156627</v>
      </c>
      <c r="I28" s="4" t="n">
        <f aca="false">I27*0.01</f>
        <v>98000</v>
      </c>
    </row>
    <row r="30" customFormat="false" ht="15" hidden="false" customHeight="false" outlineLevel="0" collapsed="false">
      <c r="B30" s="0" t="s">
        <v>35</v>
      </c>
      <c r="D30" s="0" t="n">
        <v>2</v>
      </c>
      <c r="E30" s="0" t="n">
        <v>8</v>
      </c>
      <c r="F30" s="0" t="s">
        <v>33</v>
      </c>
      <c r="H30" s="0" t="n">
        <v>14</v>
      </c>
      <c r="I30" s="4" t="n">
        <f aca="false">H30*E18</f>
        <v>1162000</v>
      </c>
    </row>
    <row r="31" customFormat="false" ht="15" hidden="false" customHeight="false" outlineLevel="0" collapsed="false">
      <c r="B31" s="0" t="s">
        <v>36</v>
      </c>
      <c r="D31" s="0" t="n">
        <v>4</v>
      </c>
      <c r="E31" s="0" t="n">
        <v>16</v>
      </c>
      <c r="F31" s="0" t="s">
        <v>37</v>
      </c>
      <c r="H31" s="0" t="n">
        <v>118</v>
      </c>
      <c r="I31" s="4" t="n">
        <f aca="false">H31*E18</f>
        <v>9794000</v>
      </c>
    </row>
    <row r="32" customFormat="false" ht="15" hidden="false" customHeight="false" outlineLevel="0" collapsed="false">
      <c r="B32" s="0" t="s">
        <v>38</v>
      </c>
      <c r="D32" s="0" t="n">
        <v>12</v>
      </c>
      <c r="E32" s="0" t="n">
        <v>20</v>
      </c>
      <c r="F32" s="0" t="s">
        <v>37</v>
      </c>
      <c r="H32" s="0" t="n">
        <v>42</v>
      </c>
      <c r="I32" s="4" t="n">
        <f aca="false">H32*E18</f>
        <v>3486000</v>
      </c>
    </row>
    <row r="33" customFormat="false" ht="15" hidden="false" customHeight="false" outlineLevel="0" collapsed="false">
      <c r="B33" s="0" t="s">
        <v>39</v>
      </c>
      <c r="D33" s="0" t="n">
        <v>1</v>
      </c>
      <c r="E33" s="0" t="n">
        <v>20</v>
      </c>
      <c r="F33" s="0" t="s">
        <v>33</v>
      </c>
      <c r="H33" s="0" t="n">
        <f aca="false">I33/$E$18</f>
        <v>15.66</v>
      </c>
      <c r="I33" s="4" t="n">
        <f aca="false">0.09*SUM(I30:I32)</f>
        <v>1299780</v>
      </c>
    </row>
    <row r="34" customFormat="false" ht="15" hidden="false" customHeight="false" outlineLevel="0" collapsed="false">
      <c r="B34" s="0" t="s">
        <v>40</v>
      </c>
      <c r="D34" s="0" t="n">
        <v>1</v>
      </c>
      <c r="E34" s="0" t="n">
        <v>20</v>
      </c>
      <c r="F34" s="0" t="s">
        <v>33</v>
      </c>
      <c r="H34" s="0" t="n">
        <f aca="false">I34/$E$18</f>
        <v>12.3565204819277</v>
      </c>
      <c r="I34" s="4" t="n">
        <f aca="false">0.04*SUM(I27:I33)</f>
        <v>1025591.2</v>
      </c>
    </row>
    <row r="35" customFormat="false" ht="15" hidden="false" customHeight="false" outlineLevel="0" collapsed="false">
      <c r="B35" s="0" t="s">
        <v>41</v>
      </c>
      <c r="D35" s="0" t="n">
        <v>4</v>
      </c>
      <c r="E35" s="0" t="n">
        <v>20</v>
      </c>
      <c r="F35" s="0" t="s">
        <v>37</v>
      </c>
      <c r="H35" s="0" t="n">
        <f aca="false">I35/$E$18</f>
        <v>8.7</v>
      </c>
      <c r="I35" s="4" t="n">
        <f aca="false">0.05*SUM(I30:I32)</f>
        <v>722100</v>
      </c>
    </row>
    <row r="36" customFormat="false" ht="15" hidden="false" customHeight="false" outlineLevel="0" collapsed="false">
      <c r="B36" s="0" t="s">
        <v>18</v>
      </c>
      <c r="I36" s="4" t="n">
        <f aca="false">SUM(I27:I35)</f>
        <v>27387471.2</v>
      </c>
    </row>
    <row r="40" customFormat="false" ht="15" hidden="false" customHeight="false" outlineLevel="0" collapsed="false">
      <c r="B40" s="0" t="s">
        <v>42</v>
      </c>
      <c r="E40" s="1" t="n">
        <v>0.6</v>
      </c>
    </row>
    <row r="41" customFormat="false" ht="15" hidden="false" customHeight="false" outlineLevel="0" collapsed="false">
      <c r="B41" s="0" t="s">
        <v>43</v>
      </c>
      <c r="E41" s="1" t="n">
        <v>0.0775</v>
      </c>
    </row>
    <row r="42" customFormat="false" ht="15" hidden="false" customHeight="false" outlineLevel="0" collapsed="false">
      <c r="B42" s="0" t="s">
        <v>44</v>
      </c>
      <c r="E42" s="1" t="n">
        <v>0.6</v>
      </c>
    </row>
    <row r="43" customFormat="false" ht="15" hidden="false" customHeight="false" outlineLevel="0" collapsed="false">
      <c r="B43" s="0" t="s">
        <v>45</v>
      </c>
      <c r="E43" s="1" t="n">
        <v>0.0625</v>
      </c>
    </row>
    <row r="44" customFormat="false" ht="15" hidden="false" customHeight="false" outlineLevel="0" collapsed="false">
      <c r="B44" s="0" t="s">
        <v>46</v>
      </c>
      <c r="E44" s="0" t="n">
        <v>30</v>
      </c>
    </row>
    <row r="91" customFormat="false" ht="15" hidden="false" customHeight="false" outlineLevel="0" collapsed="false">
      <c r="B91" s="0" t="s">
        <v>47</v>
      </c>
    </row>
    <row r="92" customFormat="false" ht="15" hidden="false" customHeight="false" outlineLevel="0" collapsed="false">
      <c r="B92" s="0" t="s">
        <v>48</v>
      </c>
      <c r="C92" s="0" t="s">
        <v>49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54</v>
      </c>
      <c r="I92" s="0" t="s">
        <v>55</v>
      </c>
      <c r="K92" s="0" t="s">
        <v>56</v>
      </c>
    </row>
    <row r="93" customFormat="false" ht="15" hidden="false" customHeight="false" outlineLevel="0" collapsed="false">
      <c r="B93" s="0" t="s">
        <v>57</v>
      </c>
      <c r="C93" s="0" t="s">
        <v>58</v>
      </c>
      <c r="D93" s="0" t="n">
        <v>18</v>
      </c>
      <c r="E93" s="4" t="n">
        <v>52000</v>
      </c>
      <c r="F93" s="5" t="n">
        <f aca="false">D93+3</f>
        <v>21</v>
      </c>
      <c r="G93" s="1" t="n">
        <v>0.1</v>
      </c>
      <c r="H93" s="0" t="n">
        <v>21</v>
      </c>
      <c r="I93" s="4" t="n">
        <f aca="false">H93*E93</f>
        <v>1092000</v>
      </c>
      <c r="K93" s="5" t="s">
        <v>59</v>
      </c>
    </row>
    <row r="94" customFormat="false" ht="15" hidden="false" customHeight="false" outlineLevel="0" collapsed="false">
      <c r="B94" s="0" t="s">
        <v>60</v>
      </c>
      <c r="C94" s="0" t="s">
        <v>61</v>
      </c>
      <c r="D94" s="0" t="n">
        <v>20</v>
      </c>
      <c r="E94" s="4" t="n">
        <v>4200</v>
      </c>
      <c r="F94" s="5" t="n">
        <f aca="false">D94+3</f>
        <v>23</v>
      </c>
      <c r="G94" s="1" t="n">
        <v>0.03</v>
      </c>
      <c r="H94" s="0" t="n">
        <v>35</v>
      </c>
      <c r="I94" s="4" t="n">
        <f aca="false">H94*E94</f>
        <v>147000</v>
      </c>
      <c r="K94" s="5" t="s">
        <v>62</v>
      </c>
    </row>
    <row r="95" customFormat="false" ht="15" hidden="false" customHeight="false" outlineLevel="0" collapsed="false">
      <c r="B95" s="0" t="s">
        <v>63</v>
      </c>
      <c r="C95" s="0" t="s">
        <v>61</v>
      </c>
      <c r="D95" s="0" t="n">
        <v>22</v>
      </c>
      <c r="E95" s="4" t="n">
        <v>3600</v>
      </c>
      <c r="F95" s="5" t="n">
        <f aca="false">D95+3</f>
        <v>25</v>
      </c>
      <c r="G95" s="1" t="n">
        <v>0.03</v>
      </c>
      <c r="H95" s="0" t="n">
        <v>35</v>
      </c>
      <c r="I95" s="4" t="n">
        <f aca="false">H95*E95</f>
        <v>126000</v>
      </c>
      <c r="K95" s="5" t="s">
        <v>62</v>
      </c>
    </row>
    <row r="96" customFormat="false" ht="15" hidden="false" customHeight="false" outlineLevel="0" collapsed="false">
      <c r="B96" s="0" t="s">
        <v>64</v>
      </c>
      <c r="C96" s="0" t="s">
        <v>61</v>
      </c>
      <c r="D96" s="0" t="n">
        <v>24</v>
      </c>
      <c r="E96" s="4" t="n">
        <v>3600</v>
      </c>
      <c r="F96" s="5" t="n">
        <f aca="false">D96+3</f>
        <v>27</v>
      </c>
      <c r="G96" s="1" t="n">
        <v>0.03</v>
      </c>
      <c r="H96" s="0" t="n">
        <v>34</v>
      </c>
      <c r="I96" s="4" t="n">
        <f aca="false">H96*E96</f>
        <v>122400</v>
      </c>
      <c r="K96" s="5" t="s">
        <v>62</v>
      </c>
    </row>
    <row r="97" customFormat="false" ht="15" hidden="false" customHeight="false" outlineLevel="0" collapsed="false">
      <c r="B97" s="0" t="s">
        <v>65</v>
      </c>
      <c r="C97" s="0" t="s">
        <v>61</v>
      </c>
      <c r="D97" s="0" t="n">
        <v>26</v>
      </c>
      <c r="E97" s="4" t="n">
        <v>2800</v>
      </c>
      <c r="F97" s="5" t="n">
        <f aca="false">D97+3</f>
        <v>29</v>
      </c>
      <c r="G97" s="1" t="n">
        <v>0.03</v>
      </c>
      <c r="H97" s="0" t="n">
        <v>37</v>
      </c>
      <c r="I97" s="4" t="n">
        <f aca="false">H97*E97</f>
        <v>103600</v>
      </c>
      <c r="K97" s="5" t="s">
        <v>62</v>
      </c>
    </row>
    <row r="98" customFormat="false" ht="15" hidden="false" customHeight="false" outlineLevel="0" collapsed="false">
      <c r="B98" s="0" t="s">
        <v>66</v>
      </c>
      <c r="C98" s="0" t="s">
        <v>61</v>
      </c>
      <c r="D98" s="0" t="n">
        <v>22</v>
      </c>
      <c r="E98" s="4" t="n">
        <v>6000</v>
      </c>
      <c r="F98" s="5" t="n">
        <f aca="false">D98+3</f>
        <v>25</v>
      </c>
      <c r="G98" s="1" t="n">
        <v>0.03</v>
      </c>
      <c r="H98" s="0" t="n">
        <v>32</v>
      </c>
      <c r="I98" s="4" t="n">
        <f aca="false">H98*E98</f>
        <v>192000</v>
      </c>
      <c r="K98" s="5" t="s">
        <v>62</v>
      </c>
    </row>
    <row r="99" customFormat="false" ht="15" hidden="false" customHeight="false" outlineLevel="0" collapsed="false">
      <c r="B99" s="0" t="s">
        <v>67</v>
      </c>
      <c r="C99" s="0" t="s">
        <v>61</v>
      </c>
      <c r="D99" s="0" t="n">
        <v>28</v>
      </c>
      <c r="E99" s="4" t="n">
        <v>5200</v>
      </c>
      <c r="F99" s="5" t="n">
        <f aca="false">D99+3</f>
        <v>31</v>
      </c>
      <c r="G99" s="1" t="n">
        <v>0.03</v>
      </c>
      <c r="H99" s="0" t="n">
        <v>32</v>
      </c>
      <c r="I99" s="4" t="n">
        <f aca="false">H99*E99</f>
        <v>166400</v>
      </c>
      <c r="K99" s="5" t="s">
        <v>62</v>
      </c>
    </row>
    <row r="100" customFormat="false" ht="15" hidden="false" customHeight="false" outlineLevel="0" collapsed="false">
      <c r="B100" s="0" t="s">
        <v>68</v>
      </c>
      <c r="C100" s="0" t="s">
        <v>69</v>
      </c>
      <c r="D100" s="0" t="n">
        <v>16</v>
      </c>
      <c r="E100" s="4" t="n">
        <v>3200</v>
      </c>
      <c r="F100" s="5" t="n">
        <f aca="false">D100+3</f>
        <v>19</v>
      </c>
      <c r="G100" s="1" t="n">
        <v>0.1</v>
      </c>
      <c r="H100" s="0" t="n">
        <v>58</v>
      </c>
      <c r="I100" s="4" t="n">
        <f aca="false">H100*E100</f>
        <v>185600</v>
      </c>
      <c r="K100" s="5" t="s">
        <v>59</v>
      </c>
    </row>
    <row r="101" customFormat="false" ht="15" hidden="false" customHeight="false" outlineLevel="0" collapsed="false">
      <c r="B101" s="0" t="s">
        <v>70</v>
      </c>
      <c r="C101" s="0" t="s">
        <v>71</v>
      </c>
      <c r="D101" s="0" t="n">
        <v>18</v>
      </c>
      <c r="E101" s="4" t="n">
        <v>2400</v>
      </c>
      <c r="F101" s="5" t="n">
        <f aca="false">D101+3</f>
        <v>21</v>
      </c>
      <c r="G101" s="1" t="n">
        <v>0.1</v>
      </c>
      <c r="H101" s="0" t="n">
        <v>64</v>
      </c>
      <c r="I101" s="4" t="n">
        <f aca="false">H101*E101</f>
        <v>153600</v>
      </c>
      <c r="K101" s="5" t="s">
        <v>59</v>
      </c>
    </row>
    <row r="105" customFormat="false" ht="15" hidden="false" customHeight="false" outlineLevel="0" collapsed="false">
      <c r="B105" s="0" t="s">
        <v>72</v>
      </c>
      <c r="E105" s="0" t="n">
        <f aca="false">SUM(E93:E101)</f>
        <v>83000</v>
      </c>
      <c r="H105" s="0" t="n">
        <f aca="false">I105/E105</f>
        <v>27.5734939759036</v>
      </c>
      <c r="I105" s="0" t="n">
        <f aca="false">SUM(I93:I101)</f>
        <v>2288600</v>
      </c>
    </row>
    <row r="120" customFormat="false" ht="15" hidden="false" customHeight="false" outlineLevel="0" collapsed="false">
      <c r="B120" s="0" t="s">
        <v>73</v>
      </c>
      <c r="E120" s="0" t="n">
        <v>7.4</v>
      </c>
    </row>
    <row r="121" customFormat="false" ht="15" hidden="false" customHeight="false" outlineLevel="0" collapsed="false">
      <c r="B121" s="0" t="s">
        <v>74</v>
      </c>
      <c r="E121" s="1" t="n">
        <v>0.03</v>
      </c>
    </row>
    <row r="122" customFormat="false" ht="15" hidden="false" customHeight="false" outlineLevel="0" collapsed="false">
      <c r="B122" s="0" t="s">
        <v>75</v>
      </c>
      <c r="E122" s="1" t="n">
        <v>0.9</v>
      </c>
    </row>
    <row r="123" customFormat="false" ht="15" hidden="false" customHeight="false" outlineLevel="0" collapsed="false">
      <c r="B123" s="0" t="s">
        <v>76</v>
      </c>
      <c r="E123" s="1" t="n">
        <v>0.05</v>
      </c>
    </row>
    <row r="124" customFormat="false" ht="15" hidden="false" customHeight="false" outlineLevel="0" collapsed="false">
      <c r="B124" s="0" t="s">
        <v>77</v>
      </c>
      <c r="E124" s="1" t="n">
        <v>0.07</v>
      </c>
    </row>
    <row r="125" customFormat="false" ht="15" hidden="false" customHeight="false" outlineLevel="0" collapsed="false">
      <c r="B125" s="0" t="s">
        <v>78</v>
      </c>
      <c r="E125" s="1" t="n">
        <v>0.02</v>
      </c>
    </row>
    <row r="126" customFormat="false" ht="15" hidden="false" customHeight="false" outlineLevel="0" collapsed="false">
      <c r="B126" s="0" t="s">
        <v>14</v>
      </c>
      <c r="E126" s="1" t="n">
        <v>0.0675</v>
      </c>
    </row>
    <row r="130" customFormat="false" ht="15" hidden="false" customHeight="false" outlineLevel="0" collapsed="false">
      <c r="B130" s="0" t="s">
        <v>79</v>
      </c>
      <c r="E130" s="1" t="n">
        <v>0.9</v>
      </c>
    </row>
    <row r="131" customFormat="false" ht="15" hidden="false" customHeight="false" outlineLevel="0" collapsed="false">
      <c r="B131" s="0" t="s">
        <v>80</v>
      </c>
      <c r="E131" s="1" t="n">
        <v>0.08</v>
      </c>
    </row>
    <row r="132" customFormat="false" ht="15" hidden="false" customHeight="false" outlineLevel="0" collapsed="false">
      <c r="B132" s="0" t="s">
        <v>81</v>
      </c>
      <c r="E132" s="1" t="n">
        <v>0.2</v>
      </c>
    </row>
    <row r="140" customFormat="false" ht="15" hidden="false" customHeight="false" outlineLevel="0" collapsed="false">
      <c r="B140" s="0" t="s">
        <v>82</v>
      </c>
      <c r="L140" s="7" t="n">
        <f aca="false">(L$3&lt;=$I$15)*(((L$3&gt;=$F$93)*$I$93/12*(1+$G$93)^IF($K$93="Annual",INT(MAX(0,L$3-$F$93)/12),5*INT(MAX(0,L$3-$F$93)/60)))+((L$3&gt;=$F$94)*$I$94/12*(1+$G$94)^IF($K$94="Annual",INT(MAX(0,L$3-$F$94)/12),5*INT(MAX(0,L$3-$F$94)/60)))+((L$3&gt;=$F$95)*$I$95/12*(1+$G$95)^IF($K$95="Annual",INT(MAX(0,L$3-$F$95)/12),5*INT(MAX(0,L$3-$F$95)/60)))+((L$3&gt;=$F$96)*$I$96/12*(1+$G$96)^IF($K$96="Annual",INT(MAX(0,L$3-$F$96)/12),5*INT(MAX(0,L$3-$F$96)/60)))+((L$3&gt;=$F$97)*$I$97/12*(1+$G$97)^IF($K$97="Annual",INT(MAX(0,L$3-$F$97)/12),5*INT(MAX(0,L$3-$F$97)/60)))+((L$3&gt;=$F$98)*$I$98/12*(1+$G$98)^IF($K$98="Annual",INT(MAX(0,L$3-$F$98)/12),5*INT(MAX(0,L$3-$F$98)/60)))+((L$3&gt;=$F$99)*$I$99/12*(1+$G$99)^IF($K$99="Annual",INT(MAX(0,L$3-$F$99)/12),5*INT(MAX(0,L$3-$F$99)/60)))+((L$3&gt;=$F$100)*$I$100/12*(1+$G$100)^IF($K$100="Annual",INT(MAX(0,L$3-$F$100)/12),5*INT(MAX(0,L$3-$F$100)/60)))+((L$3&gt;=$F$101)*$I$101/12*(1+$G$101)^IF($K$101="Annual",INT(MAX(0,L$3-$F$101)/12),5*INT(MAX(0,L$3-$F$101)/60))))</f>
        <v>0</v>
      </c>
      <c r="M140" s="7" t="n">
        <f aca="false">(M$3&lt;=$I$15)*(((M$3&gt;=$F$93)*$I$93/12*(1+$G$93)^IF($K$93="Annual",INT(MAX(0,M$3-$F$93)/12),5*INT(MAX(0,M$3-$F$93)/60)))+((M$3&gt;=$F$94)*$I$94/12*(1+$G$94)^IF($K$94="Annual",INT(MAX(0,M$3-$F$94)/12),5*INT(MAX(0,M$3-$F$94)/60)))+((M$3&gt;=$F$95)*$I$95/12*(1+$G$95)^IF($K$95="Annual",INT(MAX(0,M$3-$F$95)/12),5*INT(MAX(0,M$3-$F$95)/60)))+((M$3&gt;=$F$96)*$I$96/12*(1+$G$96)^IF($K$96="Annual",INT(MAX(0,M$3-$F$96)/12),5*INT(MAX(0,M$3-$F$96)/60)))+((M$3&gt;=$F$97)*$I$97/12*(1+$G$97)^IF($K$97="Annual",INT(MAX(0,M$3-$F$97)/12),5*INT(MAX(0,M$3-$F$97)/60)))+((M$3&gt;=$F$98)*$I$98/12*(1+$G$98)^IF($K$98="Annual",INT(MAX(0,M$3-$F$98)/12),5*INT(MAX(0,M$3-$F$98)/60)))+((M$3&gt;=$F$99)*$I$99/12*(1+$G$99)^IF($K$99="Annual",INT(MAX(0,M$3-$F$99)/12),5*INT(MAX(0,M$3-$F$99)/60)))+((M$3&gt;=$F$100)*$I$100/12*(1+$G$100)^IF($K$100="Annual",INT(MAX(0,M$3-$F$100)/12),5*INT(MAX(0,M$3-$F$100)/60)))+((M$3&gt;=$F$101)*$I$101/12*(1+$G$101)^IF($K$101="Annual",INT(MAX(0,M$3-$F$101)/12),5*INT(MAX(0,M$3-$F$101)/60))))</f>
        <v>0</v>
      </c>
      <c r="N140" s="7" t="n">
        <f aca="false">(N$3&lt;=$I$15)*(((N$3&gt;=$F$93)*$I$93/12*(1+$G$93)^IF($K$93="Annual",INT(MAX(0,N$3-$F$93)/12),5*INT(MAX(0,N$3-$F$93)/60)))+((N$3&gt;=$F$94)*$I$94/12*(1+$G$94)^IF($K$94="Annual",INT(MAX(0,N$3-$F$94)/12),5*INT(MAX(0,N$3-$F$94)/60)))+((N$3&gt;=$F$95)*$I$95/12*(1+$G$95)^IF($K$95="Annual",INT(MAX(0,N$3-$F$95)/12),5*INT(MAX(0,N$3-$F$95)/60)))+((N$3&gt;=$F$96)*$I$96/12*(1+$G$96)^IF($K$96="Annual",INT(MAX(0,N$3-$F$96)/12),5*INT(MAX(0,N$3-$F$96)/60)))+((N$3&gt;=$F$97)*$I$97/12*(1+$G$97)^IF($K$97="Annual",INT(MAX(0,N$3-$F$97)/12),5*INT(MAX(0,N$3-$F$97)/60)))+((N$3&gt;=$F$98)*$I$98/12*(1+$G$98)^IF($K$98="Annual",INT(MAX(0,N$3-$F$98)/12),5*INT(MAX(0,N$3-$F$98)/60)))+((N$3&gt;=$F$99)*$I$99/12*(1+$G$99)^IF($K$99="Annual",INT(MAX(0,N$3-$F$99)/12),5*INT(MAX(0,N$3-$F$99)/60)))+((N$3&gt;=$F$100)*$I$100/12*(1+$G$100)^IF($K$100="Annual",INT(MAX(0,N$3-$F$100)/12),5*INT(MAX(0,N$3-$F$100)/60)))+((N$3&gt;=$F$101)*$I$101/12*(1+$G$101)^IF($K$101="Annual",INT(MAX(0,N$3-$F$101)/12),5*INT(MAX(0,N$3-$F$101)/60))))</f>
        <v>0</v>
      </c>
      <c r="O140" s="7" t="n">
        <f aca="false">(O$3&lt;=$I$15)*(((O$3&gt;=$F$93)*$I$93/12*(1+$G$93)^IF($K$93="Annual",INT(MAX(0,O$3-$F$93)/12),5*INT(MAX(0,O$3-$F$93)/60)))+((O$3&gt;=$F$94)*$I$94/12*(1+$G$94)^IF($K$94="Annual",INT(MAX(0,O$3-$F$94)/12),5*INT(MAX(0,O$3-$F$94)/60)))+((O$3&gt;=$F$95)*$I$95/12*(1+$G$95)^IF($K$95="Annual",INT(MAX(0,O$3-$F$95)/12),5*INT(MAX(0,O$3-$F$95)/60)))+((O$3&gt;=$F$96)*$I$96/12*(1+$G$96)^IF($K$96="Annual",INT(MAX(0,O$3-$F$96)/12),5*INT(MAX(0,O$3-$F$96)/60)))+((O$3&gt;=$F$97)*$I$97/12*(1+$G$97)^IF($K$97="Annual",INT(MAX(0,O$3-$F$97)/12),5*INT(MAX(0,O$3-$F$97)/60)))+((O$3&gt;=$F$98)*$I$98/12*(1+$G$98)^IF($K$98="Annual",INT(MAX(0,O$3-$F$98)/12),5*INT(MAX(0,O$3-$F$98)/60)))+((O$3&gt;=$F$99)*$I$99/12*(1+$G$99)^IF($K$99="Annual",INT(MAX(0,O$3-$F$99)/12),5*INT(MAX(0,O$3-$F$99)/60)))+((O$3&gt;=$F$100)*$I$100/12*(1+$G$100)^IF($K$100="Annual",INT(MAX(0,O$3-$F$100)/12),5*INT(MAX(0,O$3-$F$100)/60)))+((O$3&gt;=$F$101)*$I$101/12*(1+$G$101)^IF($K$101="Annual",INT(MAX(0,O$3-$F$101)/12),5*INT(MAX(0,O$3-$F$101)/60))))</f>
        <v>0</v>
      </c>
      <c r="P140" s="7" t="n">
        <f aca="false">(P$3&lt;=$I$15)*(((P$3&gt;=$F$93)*$I$93/12*(1+$G$93)^IF($K$93="Annual",INT(MAX(0,P$3-$F$93)/12),5*INT(MAX(0,P$3-$F$93)/60)))+((P$3&gt;=$F$94)*$I$94/12*(1+$G$94)^IF($K$94="Annual",INT(MAX(0,P$3-$F$94)/12),5*INT(MAX(0,P$3-$F$94)/60)))+((P$3&gt;=$F$95)*$I$95/12*(1+$G$95)^IF($K$95="Annual",INT(MAX(0,P$3-$F$95)/12),5*INT(MAX(0,P$3-$F$95)/60)))+((P$3&gt;=$F$96)*$I$96/12*(1+$G$96)^IF($K$96="Annual",INT(MAX(0,P$3-$F$96)/12),5*INT(MAX(0,P$3-$F$96)/60)))+((P$3&gt;=$F$97)*$I$97/12*(1+$G$97)^IF($K$97="Annual",INT(MAX(0,P$3-$F$97)/12),5*INT(MAX(0,P$3-$F$97)/60)))+((P$3&gt;=$F$98)*$I$98/12*(1+$G$98)^IF($K$98="Annual",INT(MAX(0,P$3-$F$98)/12),5*INT(MAX(0,P$3-$F$98)/60)))+((P$3&gt;=$F$99)*$I$99/12*(1+$G$99)^IF($K$99="Annual",INT(MAX(0,P$3-$F$99)/12),5*INT(MAX(0,P$3-$F$99)/60)))+((P$3&gt;=$F$100)*$I$100/12*(1+$G$100)^IF($K$100="Annual",INT(MAX(0,P$3-$F$100)/12),5*INT(MAX(0,P$3-$F$100)/60)))+((P$3&gt;=$F$101)*$I$101/12*(1+$G$101)^IF($K$101="Annual",INT(MAX(0,P$3-$F$101)/12),5*INT(MAX(0,P$3-$F$101)/60))))</f>
        <v>0</v>
      </c>
      <c r="Q140" s="7" t="n">
        <f aca="false">(Q$3&lt;=$I$15)*(((Q$3&gt;=$F$93)*$I$93/12*(1+$G$93)^IF($K$93="Annual",INT(MAX(0,Q$3-$F$93)/12),5*INT(MAX(0,Q$3-$F$93)/60)))+((Q$3&gt;=$F$94)*$I$94/12*(1+$G$94)^IF($K$94="Annual",INT(MAX(0,Q$3-$F$94)/12),5*INT(MAX(0,Q$3-$F$94)/60)))+((Q$3&gt;=$F$95)*$I$95/12*(1+$G$95)^IF($K$95="Annual",INT(MAX(0,Q$3-$F$95)/12),5*INT(MAX(0,Q$3-$F$95)/60)))+((Q$3&gt;=$F$96)*$I$96/12*(1+$G$96)^IF($K$96="Annual",INT(MAX(0,Q$3-$F$96)/12),5*INT(MAX(0,Q$3-$F$96)/60)))+((Q$3&gt;=$F$97)*$I$97/12*(1+$G$97)^IF($K$97="Annual",INT(MAX(0,Q$3-$F$97)/12),5*INT(MAX(0,Q$3-$F$97)/60)))+((Q$3&gt;=$F$98)*$I$98/12*(1+$G$98)^IF($K$98="Annual",INT(MAX(0,Q$3-$F$98)/12),5*INT(MAX(0,Q$3-$F$98)/60)))+((Q$3&gt;=$F$99)*$I$99/12*(1+$G$99)^IF($K$99="Annual",INT(MAX(0,Q$3-$F$99)/12),5*INT(MAX(0,Q$3-$F$99)/60)))+((Q$3&gt;=$F$100)*$I$100/12*(1+$G$100)^IF($K$100="Annual",INT(MAX(0,Q$3-$F$100)/12),5*INT(MAX(0,Q$3-$F$100)/60)))+((Q$3&gt;=$F$101)*$I$101/12*(1+$G$101)^IF($K$101="Annual",INT(MAX(0,Q$3-$F$101)/12),5*INT(MAX(0,Q$3-$F$101)/60))))</f>
        <v>0</v>
      </c>
      <c r="R140" s="7" t="n">
        <f aca="false">(R$3&lt;=$I$15)*(((R$3&gt;=$F$93)*$I$93/12*(1+$G$93)^IF($K$93="Annual",INT(MAX(0,R$3-$F$93)/12),5*INT(MAX(0,R$3-$F$93)/60)))+((R$3&gt;=$F$94)*$I$94/12*(1+$G$94)^IF($K$94="Annual",INT(MAX(0,R$3-$F$94)/12),5*INT(MAX(0,R$3-$F$94)/60)))+((R$3&gt;=$F$95)*$I$95/12*(1+$G$95)^IF($K$95="Annual",INT(MAX(0,R$3-$F$95)/12),5*INT(MAX(0,R$3-$F$95)/60)))+((R$3&gt;=$F$96)*$I$96/12*(1+$G$96)^IF($K$96="Annual",INT(MAX(0,R$3-$F$96)/12),5*INT(MAX(0,R$3-$F$96)/60)))+((R$3&gt;=$F$97)*$I$97/12*(1+$G$97)^IF($K$97="Annual",INT(MAX(0,R$3-$F$97)/12),5*INT(MAX(0,R$3-$F$97)/60)))+((R$3&gt;=$F$98)*$I$98/12*(1+$G$98)^IF($K$98="Annual",INT(MAX(0,R$3-$F$98)/12),5*INT(MAX(0,R$3-$F$98)/60)))+((R$3&gt;=$F$99)*$I$99/12*(1+$G$99)^IF($K$99="Annual",INT(MAX(0,R$3-$F$99)/12),5*INT(MAX(0,R$3-$F$99)/60)))+((R$3&gt;=$F$100)*$I$100/12*(1+$G$100)^IF($K$100="Annual",INT(MAX(0,R$3-$F$100)/12),5*INT(MAX(0,R$3-$F$100)/60)))+((R$3&gt;=$F$101)*$I$101/12*(1+$G$101)^IF($K$101="Annual",INT(MAX(0,R$3-$F$101)/12),5*INT(MAX(0,R$3-$F$101)/60))))</f>
        <v>0</v>
      </c>
      <c r="S140" s="7" t="n">
        <f aca="false">(S$3&lt;=$I$15)*(((S$3&gt;=$F$93)*$I$93/12*(1+$G$93)^IF($K$93="Annual",INT(MAX(0,S$3-$F$93)/12),5*INT(MAX(0,S$3-$F$93)/60)))+((S$3&gt;=$F$94)*$I$94/12*(1+$G$94)^IF($K$94="Annual",INT(MAX(0,S$3-$F$94)/12),5*INT(MAX(0,S$3-$F$94)/60)))+((S$3&gt;=$F$95)*$I$95/12*(1+$G$95)^IF($K$95="Annual",INT(MAX(0,S$3-$F$95)/12),5*INT(MAX(0,S$3-$F$95)/60)))+((S$3&gt;=$F$96)*$I$96/12*(1+$G$96)^IF($K$96="Annual",INT(MAX(0,S$3-$F$96)/12),5*INT(MAX(0,S$3-$F$96)/60)))+((S$3&gt;=$F$97)*$I$97/12*(1+$G$97)^IF($K$97="Annual",INT(MAX(0,S$3-$F$97)/12),5*INT(MAX(0,S$3-$F$97)/60)))+((S$3&gt;=$F$98)*$I$98/12*(1+$G$98)^IF($K$98="Annual",INT(MAX(0,S$3-$F$98)/12),5*INT(MAX(0,S$3-$F$98)/60)))+((S$3&gt;=$F$99)*$I$99/12*(1+$G$99)^IF($K$99="Annual",INT(MAX(0,S$3-$F$99)/12),5*INT(MAX(0,S$3-$F$99)/60)))+((S$3&gt;=$F$100)*$I$100/12*(1+$G$100)^IF($K$100="Annual",INT(MAX(0,S$3-$F$100)/12),5*INT(MAX(0,S$3-$F$100)/60)))+((S$3&gt;=$F$101)*$I$101/12*(1+$G$101)^IF($K$101="Annual",INT(MAX(0,S$3-$F$101)/12),5*INT(MAX(0,S$3-$F$101)/60))))</f>
        <v>0</v>
      </c>
      <c r="T140" s="7" t="n">
        <f aca="false">(T$3&lt;=$I$15)*(((T$3&gt;=$F$93)*$I$93/12*(1+$G$93)^IF($K$93="Annual",INT(MAX(0,T$3-$F$93)/12),5*INT(MAX(0,T$3-$F$93)/60)))+((T$3&gt;=$F$94)*$I$94/12*(1+$G$94)^IF($K$94="Annual",INT(MAX(0,T$3-$F$94)/12),5*INT(MAX(0,T$3-$F$94)/60)))+((T$3&gt;=$F$95)*$I$95/12*(1+$G$95)^IF($K$95="Annual",INT(MAX(0,T$3-$F$95)/12),5*INT(MAX(0,T$3-$F$95)/60)))+((T$3&gt;=$F$96)*$I$96/12*(1+$G$96)^IF($K$96="Annual",INT(MAX(0,T$3-$F$96)/12),5*INT(MAX(0,T$3-$F$96)/60)))+((T$3&gt;=$F$97)*$I$97/12*(1+$G$97)^IF($K$97="Annual",INT(MAX(0,T$3-$F$97)/12),5*INT(MAX(0,T$3-$F$97)/60)))+((T$3&gt;=$F$98)*$I$98/12*(1+$G$98)^IF($K$98="Annual",INT(MAX(0,T$3-$F$98)/12),5*INT(MAX(0,T$3-$F$98)/60)))+((T$3&gt;=$F$99)*$I$99/12*(1+$G$99)^IF($K$99="Annual",INT(MAX(0,T$3-$F$99)/12),5*INT(MAX(0,T$3-$F$99)/60)))+((T$3&gt;=$F$100)*$I$100/12*(1+$G$100)^IF($K$100="Annual",INT(MAX(0,T$3-$F$100)/12),5*INT(MAX(0,T$3-$F$100)/60)))+((T$3&gt;=$F$101)*$I$101/12*(1+$G$101)^IF($K$101="Annual",INT(MAX(0,T$3-$F$101)/12),5*INT(MAX(0,T$3-$F$101)/60))))</f>
        <v>0</v>
      </c>
      <c r="U140" s="7" t="n">
        <f aca="false">(U$3&lt;=$I$15)*(((U$3&gt;=$F$93)*$I$93/12*(1+$G$93)^IF($K$93="Annual",INT(MAX(0,U$3-$F$93)/12),5*INT(MAX(0,U$3-$F$93)/60)))+((U$3&gt;=$F$94)*$I$94/12*(1+$G$94)^IF($K$94="Annual",INT(MAX(0,U$3-$F$94)/12),5*INT(MAX(0,U$3-$F$94)/60)))+((U$3&gt;=$F$95)*$I$95/12*(1+$G$95)^IF($K$95="Annual",INT(MAX(0,U$3-$F$95)/12),5*INT(MAX(0,U$3-$F$95)/60)))+((U$3&gt;=$F$96)*$I$96/12*(1+$G$96)^IF($K$96="Annual",INT(MAX(0,U$3-$F$96)/12),5*INT(MAX(0,U$3-$F$96)/60)))+((U$3&gt;=$F$97)*$I$97/12*(1+$G$97)^IF($K$97="Annual",INT(MAX(0,U$3-$F$97)/12),5*INT(MAX(0,U$3-$F$97)/60)))+((U$3&gt;=$F$98)*$I$98/12*(1+$G$98)^IF($K$98="Annual",INT(MAX(0,U$3-$F$98)/12),5*INT(MAX(0,U$3-$F$98)/60)))+((U$3&gt;=$F$99)*$I$99/12*(1+$G$99)^IF($K$99="Annual",INT(MAX(0,U$3-$F$99)/12),5*INT(MAX(0,U$3-$F$99)/60)))+((U$3&gt;=$F$100)*$I$100/12*(1+$G$100)^IF($K$100="Annual",INT(MAX(0,U$3-$F$100)/12),5*INT(MAX(0,U$3-$F$100)/60)))+((U$3&gt;=$F$101)*$I$101/12*(1+$G$101)^IF($K$101="Annual",INT(MAX(0,U$3-$F$101)/12),5*INT(MAX(0,U$3-$F$101)/60))))</f>
        <v>0</v>
      </c>
      <c r="V140" s="7" t="n">
        <f aca="false">(V$3&lt;=$I$15)*(((V$3&gt;=$F$93)*$I$93/12*(1+$G$93)^IF($K$93="Annual",INT(MAX(0,V$3-$F$93)/12),5*INT(MAX(0,V$3-$F$93)/60)))+((V$3&gt;=$F$94)*$I$94/12*(1+$G$94)^IF($K$94="Annual",INT(MAX(0,V$3-$F$94)/12),5*INT(MAX(0,V$3-$F$94)/60)))+((V$3&gt;=$F$95)*$I$95/12*(1+$G$95)^IF($K$95="Annual",INT(MAX(0,V$3-$F$95)/12),5*INT(MAX(0,V$3-$F$95)/60)))+((V$3&gt;=$F$96)*$I$96/12*(1+$G$96)^IF($K$96="Annual",INT(MAX(0,V$3-$F$96)/12),5*INT(MAX(0,V$3-$F$96)/60)))+((V$3&gt;=$F$97)*$I$97/12*(1+$G$97)^IF($K$97="Annual",INT(MAX(0,V$3-$F$97)/12),5*INT(MAX(0,V$3-$F$97)/60)))+((V$3&gt;=$F$98)*$I$98/12*(1+$G$98)^IF($K$98="Annual",INT(MAX(0,V$3-$F$98)/12),5*INT(MAX(0,V$3-$F$98)/60)))+((V$3&gt;=$F$99)*$I$99/12*(1+$G$99)^IF($K$99="Annual",INT(MAX(0,V$3-$F$99)/12),5*INT(MAX(0,V$3-$F$99)/60)))+((V$3&gt;=$F$100)*$I$100/12*(1+$G$100)^IF($K$100="Annual",INT(MAX(0,V$3-$F$100)/12),5*INT(MAX(0,V$3-$F$100)/60)))+((V$3&gt;=$F$101)*$I$101/12*(1+$G$101)^IF($K$101="Annual",INT(MAX(0,V$3-$F$101)/12),5*INT(MAX(0,V$3-$F$101)/60))))</f>
        <v>0</v>
      </c>
      <c r="W140" s="7" t="n">
        <f aca="false">(W$3&lt;=$I$15)*(((W$3&gt;=$F$93)*$I$93/12*(1+$G$93)^IF($K$93="Annual",INT(MAX(0,W$3-$F$93)/12),5*INT(MAX(0,W$3-$F$93)/60)))+((W$3&gt;=$F$94)*$I$94/12*(1+$G$94)^IF($K$94="Annual",INT(MAX(0,W$3-$F$94)/12),5*INT(MAX(0,W$3-$F$94)/60)))+((W$3&gt;=$F$95)*$I$95/12*(1+$G$95)^IF($K$95="Annual",INT(MAX(0,W$3-$F$95)/12),5*INT(MAX(0,W$3-$F$95)/60)))+((W$3&gt;=$F$96)*$I$96/12*(1+$G$96)^IF($K$96="Annual",INT(MAX(0,W$3-$F$96)/12),5*INT(MAX(0,W$3-$F$96)/60)))+((W$3&gt;=$F$97)*$I$97/12*(1+$G$97)^IF($K$97="Annual",INT(MAX(0,W$3-$F$97)/12),5*INT(MAX(0,W$3-$F$97)/60)))+((W$3&gt;=$F$98)*$I$98/12*(1+$G$98)^IF($K$98="Annual",INT(MAX(0,W$3-$F$98)/12),5*INT(MAX(0,W$3-$F$98)/60)))+((W$3&gt;=$F$99)*$I$99/12*(1+$G$99)^IF($K$99="Annual",INT(MAX(0,W$3-$F$99)/12),5*INT(MAX(0,W$3-$F$99)/60)))+((W$3&gt;=$F$100)*$I$100/12*(1+$G$100)^IF($K$100="Annual",INT(MAX(0,W$3-$F$100)/12),5*INT(MAX(0,W$3-$F$100)/60)))+((W$3&gt;=$F$101)*$I$101/12*(1+$G$101)^IF($K$101="Annual",INT(MAX(0,W$3-$F$101)/12),5*INT(MAX(0,W$3-$F$101)/60))))</f>
        <v>0</v>
      </c>
      <c r="X140" s="7" t="n">
        <f aca="false">(X$3&lt;=$I$15)*(((X$3&gt;=$F$93)*$I$93/12*(1+$G$93)^IF($K$93="Annual",INT(MAX(0,X$3-$F$93)/12),5*INT(MAX(0,X$3-$F$93)/60)))+((X$3&gt;=$F$94)*$I$94/12*(1+$G$94)^IF($K$94="Annual",INT(MAX(0,X$3-$F$94)/12),5*INT(MAX(0,X$3-$F$94)/60)))+((X$3&gt;=$F$95)*$I$95/12*(1+$G$95)^IF($K$95="Annual",INT(MAX(0,X$3-$F$95)/12),5*INT(MAX(0,X$3-$F$95)/60)))+((X$3&gt;=$F$96)*$I$96/12*(1+$G$96)^IF($K$96="Annual",INT(MAX(0,X$3-$F$96)/12),5*INT(MAX(0,X$3-$F$96)/60)))+((X$3&gt;=$F$97)*$I$97/12*(1+$G$97)^IF($K$97="Annual",INT(MAX(0,X$3-$F$97)/12),5*INT(MAX(0,X$3-$F$97)/60)))+((X$3&gt;=$F$98)*$I$98/12*(1+$G$98)^IF($K$98="Annual",INT(MAX(0,X$3-$F$98)/12),5*INT(MAX(0,X$3-$F$98)/60)))+((X$3&gt;=$F$99)*$I$99/12*(1+$G$99)^IF($K$99="Annual",INT(MAX(0,X$3-$F$99)/12),5*INT(MAX(0,X$3-$F$99)/60)))+((X$3&gt;=$F$100)*$I$100/12*(1+$G$100)^IF($K$100="Annual",INT(MAX(0,X$3-$F$100)/12),5*INT(MAX(0,X$3-$F$100)/60)))+((X$3&gt;=$F$101)*$I$101/12*(1+$G$101)^IF($K$101="Annual",INT(MAX(0,X$3-$F$101)/12),5*INT(MAX(0,X$3-$F$101)/60))))</f>
        <v>0</v>
      </c>
      <c r="Y140" s="7" t="n">
        <f aca="false">(Y$3&lt;=$I$15)*(((Y$3&gt;=$F$93)*$I$93/12*(1+$G$93)^IF($K$93="Annual",INT(MAX(0,Y$3-$F$93)/12),5*INT(MAX(0,Y$3-$F$93)/60)))+((Y$3&gt;=$F$94)*$I$94/12*(1+$G$94)^IF($K$94="Annual",INT(MAX(0,Y$3-$F$94)/12),5*INT(MAX(0,Y$3-$F$94)/60)))+((Y$3&gt;=$F$95)*$I$95/12*(1+$G$95)^IF($K$95="Annual",INT(MAX(0,Y$3-$F$95)/12),5*INT(MAX(0,Y$3-$F$95)/60)))+((Y$3&gt;=$F$96)*$I$96/12*(1+$G$96)^IF($K$96="Annual",INT(MAX(0,Y$3-$F$96)/12),5*INT(MAX(0,Y$3-$F$96)/60)))+((Y$3&gt;=$F$97)*$I$97/12*(1+$G$97)^IF($K$97="Annual",INT(MAX(0,Y$3-$F$97)/12),5*INT(MAX(0,Y$3-$F$97)/60)))+((Y$3&gt;=$F$98)*$I$98/12*(1+$G$98)^IF($K$98="Annual",INT(MAX(0,Y$3-$F$98)/12),5*INT(MAX(0,Y$3-$F$98)/60)))+((Y$3&gt;=$F$99)*$I$99/12*(1+$G$99)^IF($K$99="Annual",INT(MAX(0,Y$3-$F$99)/12),5*INT(MAX(0,Y$3-$F$99)/60)))+((Y$3&gt;=$F$100)*$I$100/12*(1+$G$100)^IF($K$100="Annual",INT(MAX(0,Y$3-$F$100)/12),5*INT(MAX(0,Y$3-$F$100)/60)))+((Y$3&gt;=$F$101)*$I$101/12*(1+$G$101)^IF($K$101="Annual",INT(MAX(0,Y$3-$F$101)/12),5*INT(MAX(0,Y$3-$F$101)/60))))</f>
        <v>0</v>
      </c>
      <c r="Z140" s="7" t="n">
        <f aca="false">(Z$3&lt;=$I$15)*(((Z$3&gt;=$F$93)*$I$93/12*(1+$G$93)^IF($K$93="Annual",INT(MAX(0,Z$3-$F$93)/12),5*INT(MAX(0,Z$3-$F$93)/60)))+((Z$3&gt;=$F$94)*$I$94/12*(1+$G$94)^IF($K$94="Annual",INT(MAX(0,Z$3-$F$94)/12),5*INT(MAX(0,Z$3-$F$94)/60)))+((Z$3&gt;=$F$95)*$I$95/12*(1+$G$95)^IF($K$95="Annual",INT(MAX(0,Z$3-$F$95)/12),5*INT(MAX(0,Z$3-$F$95)/60)))+((Z$3&gt;=$F$96)*$I$96/12*(1+$G$96)^IF($K$96="Annual",INT(MAX(0,Z$3-$F$96)/12),5*INT(MAX(0,Z$3-$F$96)/60)))+((Z$3&gt;=$F$97)*$I$97/12*(1+$G$97)^IF($K$97="Annual",INT(MAX(0,Z$3-$F$97)/12),5*INT(MAX(0,Z$3-$F$97)/60)))+((Z$3&gt;=$F$98)*$I$98/12*(1+$G$98)^IF($K$98="Annual",INT(MAX(0,Z$3-$F$98)/12),5*INT(MAX(0,Z$3-$F$98)/60)))+((Z$3&gt;=$F$99)*$I$99/12*(1+$G$99)^IF($K$99="Annual",INT(MAX(0,Z$3-$F$99)/12),5*INT(MAX(0,Z$3-$F$99)/60)))+((Z$3&gt;=$F$100)*$I$100/12*(1+$G$100)^IF($K$100="Annual",INT(MAX(0,Z$3-$F$100)/12),5*INT(MAX(0,Z$3-$F$100)/60)))+((Z$3&gt;=$F$101)*$I$101/12*(1+$G$101)^IF($K$101="Annual",INT(MAX(0,Z$3-$F$101)/12),5*INT(MAX(0,Z$3-$F$101)/60))))</f>
        <v>0</v>
      </c>
      <c r="AA140" s="7" t="n">
        <f aca="false">(AA$3&lt;=$I$15)*(((AA$3&gt;=$F$93)*$I$93/12*(1+$G$93)^IF($K$93="Annual",INT(MAX(0,AA$3-$F$93)/12),5*INT(MAX(0,AA$3-$F$93)/60)))+((AA$3&gt;=$F$94)*$I$94/12*(1+$G$94)^IF($K$94="Annual",INT(MAX(0,AA$3-$F$94)/12),5*INT(MAX(0,AA$3-$F$94)/60)))+((AA$3&gt;=$F$95)*$I$95/12*(1+$G$95)^IF($K$95="Annual",INT(MAX(0,AA$3-$F$95)/12),5*INT(MAX(0,AA$3-$F$95)/60)))+((AA$3&gt;=$F$96)*$I$96/12*(1+$G$96)^IF($K$96="Annual",INT(MAX(0,AA$3-$F$96)/12),5*INT(MAX(0,AA$3-$F$96)/60)))+((AA$3&gt;=$F$97)*$I$97/12*(1+$G$97)^IF($K$97="Annual",INT(MAX(0,AA$3-$F$97)/12),5*INT(MAX(0,AA$3-$F$97)/60)))+((AA$3&gt;=$F$98)*$I$98/12*(1+$G$98)^IF($K$98="Annual",INT(MAX(0,AA$3-$F$98)/12),5*INT(MAX(0,AA$3-$F$98)/60)))+((AA$3&gt;=$F$99)*$I$99/12*(1+$G$99)^IF($K$99="Annual",INT(MAX(0,AA$3-$F$99)/12),5*INT(MAX(0,AA$3-$F$99)/60)))+((AA$3&gt;=$F$100)*$I$100/12*(1+$G$100)^IF($K$100="Annual",INT(MAX(0,AA$3-$F$100)/12),5*INT(MAX(0,AA$3-$F$100)/60)))+((AA$3&gt;=$F$101)*$I$101/12*(1+$G$101)^IF($K$101="Annual",INT(MAX(0,AA$3-$F$101)/12),5*INT(MAX(0,AA$3-$F$101)/60))))</f>
        <v>0</v>
      </c>
      <c r="AB140" s="7" t="n">
        <f aca="false">(AB$3&lt;=$I$15)*(((AB$3&gt;=$F$93)*$I$93/12*(1+$G$93)^IF($K$93="Annual",INT(MAX(0,AB$3-$F$93)/12),5*INT(MAX(0,AB$3-$F$93)/60)))+((AB$3&gt;=$F$94)*$I$94/12*(1+$G$94)^IF($K$94="Annual",INT(MAX(0,AB$3-$F$94)/12),5*INT(MAX(0,AB$3-$F$94)/60)))+((AB$3&gt;=$F$95)*$I$95/12*(1+$G$95)^IF($K$95="Annual",INT(MAX(0,AB$3-$F$95)/12),5*INT(MAX(0,AB$3-$F$95)/60)))+((AB$3&gt;=$F$96)*$I$96/12*(1+$G$96)^IF($K$96="Annual",INT(MAX(0,AB$3-$F$96)/12),5*INT(MAX(0,AB$3-$F$96)/60)))+((AB$3&gt;=$F$97)*$I$97/12*(1+$G$97)^IF($K$97="Annual",INT(MAX(0,AB$3-$F$97)/12),5*INT(MAX(0,AB$3-$F$97)/60)))+((AB$3&gt;=$F$98)*$I$98/12*(1+$G$98)^IF($K$98="Annual",INT(MAX(0,AB$3-$F$98)/12),5*INT(MAX(0,AB$3-$F$98)/60)))+((AB$3&gt;=$F$99)*$I$99/12*(1+$G$99)^IF($K$99="Annual",INT(MAX(0,AB$3-$F$99)/12),5*INT(MAX(0,AB$3-$F$99)/60)))+((AB$3&gt;=$F$100)*$I$100/12*(1+$G$100)^IF($K$100="Annual",INT(MAX(0,AB$3-$F$100)/12),5*INT(MAX(0,AB$3-$F$100)/60)))+((AB$3&gt;=$F$101)*$I$101/12*(1+$G$101)^IF($K$101="Annual",INT(MAX(0,AB$3-$F$101)/12),5*INT(MAX(0,AB$3-$F$101)/60))))</f>
        <v>0</v>
      </c>
      <c r="AC140" s="7" t="n">
        <f aca="false">(AC$3&lt;=$I$15)*(((AC$3&gt;=$F$93)*$I$93/12*(1+$G$93)^IF($K$93="Annual",INT(MAX(0,AC$3-$F$93)/12),5*INT(MAX(0,AC$3-$F$93)/60)))+((AC$3&gt;=$F$94)*$I$94/12*(1+$G$94)^IF($K$94="Annual",INT(MAX(0,AC$3-$F$94)/12),5*INT(MAX(0,AC$3-$F$94)/60)))+((AC$3&gt;=$F$95)*$I$95/12*(1+$G$95)^IF($K$95="Annual",INT(MAX(0,AC$3-$F$95)/12),5*INT(MAX(0,AC$3-$F$95)/60)))+((AC$3&gt;=$F$96)*$I$96/12*(1+$G$96)^IF($K$96="Annual",INT(MAX(0,AC$3-$F$96)/12),5*INT(MAX(0,AC$3-$F$96)/60)))+((AC$3&gt;=$F$97)*$I$97/12*(1+$G$97)^IF($K$97="Annual",INT(MAX(0,AC$3-$F$97)/12),5*INT(MAX(0,AC$3-$F$97)/60)))+((AC$3&gt;=$F$98)*$I$98/12*(1+$G$98)^IF($K$98="Annual",INT(MAX(0,AC$3-$F$98)/12),5*INT(MAX(0,AC$3-$F$98)/60)))+((AC$3&gt;=$F$99)*$I$99/12*(1+$G$99)^IF($K$99="Annual",INT(MAX(0,AC$3-$F$99)/12),5*INT(MAX(0,AC$3-$F$99)/60)))+((AC$3&gt;=$F$100)*$I$100/12*(1+$G$100)^IF($K$100="Annual",INT(MAX(0,AC$3-$F$100)/12),5*INT(MAX(0,AC$3-$F$100)/60)))+((AC$3&gt;=$F$101)*$I$101/12*(1+$G$101)^IF($K$101="Annual",INT(MAX(0,AC$3-$F$101)/12),5*INT(MAX(0,AC$3-$F$101)/60))))</f>
        <v>0</v>
      </c>
      <c r="AD140" s="7" t="n">
        <f aca="false">(AD$3&lt;=$I$15)*(((AD$3&gt;=$F$93)*$I$93/12*(1+$G$93)^IF($K$93="Annual",INT(MAX(0,AD$3-$F$93)/12),5*INT(MAX(0,AD$3-$F$93)/60)))+((AD$3&gt;=$F$94)*$I$94/12*(1+$G$94)^IF($K$94="Annual",INT(MAX(0,AD$3-$F$94)/12),5*INT(MAX(0,AD$3-$F$94)/60)))+((AD$3&gt;=$F$95)*$I$95/12*(1+$G$95)^IF($K$95="Annual",INT(MAX(0,AD$3-$F$95)/12),5*INT(MAX(0,AD$3-$F$95)/60)))+((AD$3&gt;=$F$96)*$I$96/12*(1+$G$96)^IF($K$96="Annual",INT(MAX(0,AD$3-$F$96)/12),5*INT(MAX(0,AD$3-$F$96)/60)))+((AD$3&gt;=$F$97)*$I$97/12*(1+$G$97)^IF($K$97="Annual",INT(MAX(0,AD$3-$F$97)/12),5*INT(MAX(0,AD$3-$F$97)/60)))+((AD$3&gt;=$F$98)*$I$98/12*(1+$G$98)^IF($K$98="Annual",INT(MAX(0,AD$3-$F$98)/12),5*INT(MAX(0,AD$3-$F$98)/60)))+((AD$3&gt;=$F$99)*$I$99/12*(1+$G$99)^IF($K$99="Annual",INT(MAX(0,AD$3-$F$99)/12),5*INT(MAX(0,AD$3-$F$99)/60)))+((AD$3&gt;=$F$100)*$I$100/12*(1+$G$100)^IF($K$100="Annual",INT(MAX(0,AD$3-$F$100)/12),5*INT(MAX(0,AD$3-$F$100)/60)))+((AD$3&gt;=$F$101)*$I$101/12*(1+$G$101)^IF($K$101="Annual",INT(MAX(0,AD$3-$F$101)/12),5*INT(MAX(0,AD$3-$F$101)/60))))</f>
        <v>0</v>
      </c>
      <c r="AE140" s="7" t="n">
        <f aca="false">(AE$3&lt;=$I$15)*(((AE$3&gt;=$F$93)*$I$93/12*(1+$G$93)^IF($K$93="Annual",INT(MAX(0,AE$3-$F$93)/12),5*INT(MAX(0,AE$3-$F$93)/60)))+((AE$3&gt;=$F$94)*$I$94/12*(1+$G$94)^IF($K$94="Annual",INT(MAX(0,AE$3-$F$94)/12),5*INT(MAX(0,AE$3-$F$94)/60)))+((AE$3&gt;=$F$95)*$I$95/12*(1+$G$95)^IF($K$95="Annual",INT(MAX(0,AE$3-$F$95)/12),5*INT(MAX(0,AE$3-$F$95)/60)))+((AE$3&gt;=$F$96)*$I$96/12*(1+$G$96)^IF($K$96="Annual",INT(MAX(0,AE$3-$F$96)/12),5*INT(MAX(0,AE$3-$F$96)/60)))+((AE$3&gt;=$F$97)*$I$97/12*(1+$G$97)^IF($K$97="Annual",INT(MAX(0,AE$3-$F$97)/12),5*INT(MAX(0,AE$3-$F$97)/60)))+((AE$3&gt;=$F$98)*$I$98/12*(1+$G$98)^IF($K$98="Annual",INT(MAX(0,AE$3-$F$98)/12),5*INT(MAX(0,AE$3-$F$98)/60)))+((AE$3&gt;=$F$99)*$I$99/12*(1+$G$99)^IF($K$99="Annual",INT(MAX(0,AE$3-$F$99)/12),5*INT(MAX(0,AE$3-$F$99)/60)))+((AE$3&gt;=$F$100)*$I$100/12*(1+$G$100)^IF($K$100="Annual",INT(MAX(0,AE$3-$F$100)/12),5*INT(MAX(0,AE$3-$F$100)/60)))+((AE$3&gt;=$F$101)*$I$101/12*(1+$G$101)^IF($K$101="Annual",INT(MAX(0,AE$3-$F$101)/12),5*INT(MAX(0,AE$3-$F$101)/60))))</f>
        <v>15466.6666666667</v>
      </c>
      <c r="AF140" s="7" t="n">
        <f aca="false">(AF$3&lt;=$I$15)*(((AF$3&gt;=$F$93)*$I$93/12*(1+$G$93)^IF($K$93="Annual",INT(MAX(0,AF$3-$F$93)/12),5*INT(MAX(0,AF$3-$F$93)/60)))+((AF$3&gt;=$F$94)*$I$94/12*(1+$G$94)^IF($K$94="Annual",INT(MAX(0,AF$3-$F$94)/12),5*INT(MAX(0,AF$3-$F$94)/60)))+((AF$3&gt;=$F$95)*$I$95/12*(1+$G$95)^IF($K$95="Annual",INT(MAX(0,AF$3-$F$95)/12),5*INT(MAX(0,AF$3-$F$95)/60)))+((AF$3&gt;=$F$96)*$I$96/12*(1+$G$96)^IF($K$96="Annual",INT(MAX(0,AF$3-$F$96)/12),5*INT(MAX(0,AF$3-$F$96)/60)))+((AF$3&gt;=$F$97)*$I$97/12*(1+$G$97)^IF($K$97="Annual",INT(MAX(0,AF$3-$F$97)/12),5*INT(MAX(0,AF$3-$F$97)/60)))+((AF$3&gt;=$F$98)*$I$98/12*(1+$G$98)^IF($K$98="Annual",INT(MAX(0,AF$3-$F$98)/12),5*INT(MAX(0,AF$3-$F$98)/60)))+((AF$3&gt;=$F$99)*$I$99/12*(1+$G$99)^IF($K$99="Annual",INT(MAX(0,AF$3-$F$99)/12),5*INT(MAX(0,AF$3-$F$99)/60)))+((AF$3&gt;=$F$100)*$I$100/12*(1+$G$100)^IF($K$100="Annual",INT(MAX(0,AF$3-$F$100)/12),5*INT(MAX(0,AF$3-$F$100)/60)))+((AF$3&gt;=$F$101)*$I$101/12*(1+$G$101)^IF($K$101="Annual",INT(MAX(0,AF$3-$F$101)/12),5*INT(MAX(0,AF$3-$F$101)/60))))</f>
        <v>15466.6666666667</v>
      </c>
      <c r="AG140" s="7" t="n">
        <f aca="false">(AG$3&lt;=$I$15)*(((AG$3&gt;=$F$93)*$I$93/12*(1+$G$93)^IF($K$93="Annual",INT(MAX(0,AG$3-$F$93)/12),5*INT(MAX(0,AG$3-$F$93)/60)))+((AG$3&gt;=$F$94)*$I$94/12*(1+$G$94)^IF($K$94="Annual",INT(MAX(0,AG$3-$F$94)/12),5*INT(MAX(0,AG$3-$F$94)/60)))+((AG$3&gt;=$F$95)*$I$95/12*(1+$G$95)^IF($K$95="Annual",INT(MAX(0,AG$3-$F$95)/12),5*INT(MAX(0,AG$3-$F$95)/60)))+((AG$3&gt;=$F$96)*$I$96/12*(1+$G$96)^IF($K$96="Annual",INT(MAX(0,AG$3-$F$96)/12),5*INT(MAX(0,AG$3-$F$96)/60)))+((AG$3&gt;=$F$97)*$I$97/12*(1+$G$97)^IF($K$97="Annual",INT(MAX(0,AG$3-$F$97)/12),5*INT(MAX(0,AG$3-$F$97)/60)))+((AG$3&gt;=$F$98)*$I$98/12*(1+$G$98)^IF($K$98="Annual",INT(MAX(0,AG$3-$F$98)/12),5*INT(MAX(0,AG$3-$F$98)/60)))+((AG$3&gt;=$F$99)*$I$99/12*(1+$G$99)^IF($K$99="Annual",INT(MAX(0,AG$3-$F$99)/12),5*INT(MAX(0,AG$3-$F$99)/60)))+((AG$3&gt;=$F$100)*$I$100/12*(1+$G$100)^IF($K$100="Annual",INT(MAX(0,AG$3-$F$100)/12),5*INT(MAX(0,AG$3-$F$100)/60)))+((AG$3&gt;=$F$101)*$I$101/12*(1+$G$101)^IF($K$101="Annual",INT(MAX(0,AG$3-$F$101)/12),5*INT(MAX(0,AG$3-$F$101)/60))))</f>
        <v>119266.666666667</v>
      </c>
      <c r="AH140" s="7" t="n">
        <f aca="false">(AH$3&lt;=$I$15)*(((AH$3&gt;=$F$93)*$I$93/12*(1+$G$93)^IF($K$93="Annual",INT(MAX(0,AH$3-$F$93)/12),5*INT(MAX(0,AH$3-$F$93)/60)))+((AH$3&gt;=$F$94)*$I$94/12*(1+$G$94)^IF($K$94="Annual",INT(MAX(0,AH$3-$F$94)/12),5*INT(MAX(0,AH$3-$F$94)/60)))+((AH$3&gt;=$F$95)*$I$95/12*(1+$G$95)^IF($K$95="Annual",INT(MAX(0,AH$3-$F$95)/12),5*INT(MAX(0,AH$3-$F$95)/60)))+((AH$3&gt;=$F$96)*$I$96/12*(1+$G$96)^IF($K$96="Annual",INT(MAX(0,AH$3-$F$96)/12),5*INT(MAX(0,AH$3-$F$96)/60)))+((AH$3&gt;=$F$97)*$I$97/12*(1+$G$97)^IF($K$97="Annual",INT(MAX(0,AH$3-$F$97)/12),5*INT(MAX(0,AH$3-$F$97)/60)))+((AH$3&gt;=$F$98)*$I$98/12*(1+$G$98)^IF($K$98="Annual",INT(MAX(0,AH$3-$F$98)/12),5*INT(MAX(0,AH$3-$F$98)/60)))+((AH$3&gt;=$F$99)*$I$99/12*(1+$G$99)^IF($K$99="Annual",INT(MAX(0,AH$3-$F$99)/12),5*INT(MAX(0,AH$3-$F$99)/60)))+((AH$3&gt;=$F$100)*$I$100/12*(1+$G$100)^IF($K$100="Annual",INT(MAX(0,AH$3-$F$100)/12),5*INT(MAX(0,AH$3-$F$100)/60)))+((AH$3&gt;=$F$101)*$I$101/12*(1+$G$101)^IF($K$101="Annual",INT(MAX(0,AH$3-$F$101)/12),5*INT(MAX(0,AH$3-$F$101)/60))))</f>
        <v>119266.666666667</v>
      </c>
      <c r="AI140" s="7" t="n">
        <f aca="false">(AI$3&lt;=$I$15)*(((AI$3&gt;=$F$93)*$I$93/12*(1+$G$93)^IF($K$93="Annual",INT(MAX(0,AI$3-$F$93)/12),5*INT(MAX(0,AI$3-$F$93)/60)))+((AI$3&gt;=$F$94)*$I$94/12*(1+$G$94)^IF($K$94="Annual",INT(MAX(0,AI$3-$F$94)/12),5*INT(MAX(0,AI$3-$F$94)/60)))+((AI$3&gt;=$F$95)*$I$95/12*(1+$G$95)^IF($K$95="Annual",INT(MAX(0,AI$3-$F$95)/12),5*INT(MAX(0,AI$3-$F$95)/60)))+((AI$3&gt;=$F$96)*$I$96/12*(1+$G$96)^IF($K$96="Annual",INT(MAX(0,AI$3-$F$96)/12),5*INT(MAX(0,AI$3-$F$96)/60)))+((AI$3&gt;=$F$97)*$I$97/12*(1+$G$97)^IF($K$97="Annual",INT(MAX(0,AI$3-$F$97)/12),5*INT(MAX(0,AI$3-$F$97)/60)))+((AI$3&gt;=$F$98)*$I$98/12*(1+$G$98)^IF($K$98="Annual",INT(MAX(0,AI$3-$F$98)/12),5*INT(MAX(0,AI$3-$F$98)/60)))+((AI$3&gt;=$F$99)*$I$99/12*(1+$G$99)^IF($K$99="Annual",INT(MAX(0,AI$3-$F$99)/12),5*INT(MAX(0,AI$3-$F$99)/60)))+((AI$3&gt;=$F$100)*$I$100/12*(1+$G$100)^IF($K$100="Annual",INT(MAX(0,AI$3-$F$100)/12),5*INT(MAX(0,AI$3-$F$100)/60)))+((AI$3&gt;=$F$101)*$I$101/12*(1+$G$101)^IF($K$101="Annual",INT(MAX(0,AI$3-$F$101)/12),5*INT(MAX(0,AI$3-$F$101)/60))))</f>
        <v>131516.666666667</v>
      </c>
      <c r="AJ140" s="7" t="n">
        <f aca="false">(AJ$3&lt;=$I$15)*(((AJ$3&gt;=$F$93)*$I$93/12*(1+$G$93)^IF($K$93="Annual",INT(MAX(0,AJ$3-$F$93)/12),5*INT(MAX(0,AJ$3-$F$93)/60)))+((AJ$3&gt;=$F$94)*$I$94/12*(1+$G$94)^IF($K$94="Annual",INT(MAX(0,AJ$3-$F$94)/12),5*INT(MAX(0,AJ$3-$F$94)/60)))+((AJ$3&gt;=$F$95)*$I$95/12*(1+$G$95)^IF($K$95="Annual",INT(MAX(0,AJ$3-$F$95)/12),5*INT(MAX(0,AJ$3-$F$95)/60)))+((AJ$3&gt;=$F$96)*$I$96/12*(1+$G$96)^IF($K$96="Annual",INT(MAX(0,AJ$3-$F$96)/12),5*INT(MAX(0,AJ$3-$F$96)/60)))+((AJ$3&gt;=$F$97)*$I$97/12*(1+$G$97)^IF($K$97="Annual",INT(MAX(0,AJ$3-$F$97)/12),5*INT(MAX(0,AJ$3-$F$97)/60)))+((AJ$3&gt;=$F$98)*$I$98/12*(1+$G$98)^IF($K$98="Annual",INT(MAX(0,AJ$3-$F$98)/12),5*INT(MAX(0,AJ$3-$F$98)/60)))+((AJ$3&gt;=$F$99)*$I$99/12*(1+$G$99)^IF($K$99="Annual",INT(MAX(0,AJ$3-$F$99)/12),5*INT(MAX(0,AJ$3-$F$99)/60)))+((AJ$3&gt;=$F$100)*$I$100/12*(1+$G$100)^IF($K$100="Annual",INT(MAX(0,AJ$3-$F$100)/12),5*INT(MAX(0,AJ$3-$F$100)/60)))+((AJ$3&gt;=$F$101)*$I$101/12*(1+$G$101)^IF($K$101="Annual",INT(MAX(0,AJ$3-$F$101)/12),5*INT(MAX(0,AJ$3-$F$101)/60))))</f>
        <v>131516.666666667</v>
      </c>
      <c r="AK140" s="7" t="n">
        <f aca="false">(AK$3&lt;=$I$15)*(((AK$3&gt;=$F$93)*$I$93/12*(1+$G$93)^IF($K$93="Annual",INT(MAX(0,AK$3-$F$93)/12),5*INT(MAX(0,AK$3-$F$93)/60)))+((AK$3&gt;=$F$94)*$I$94/12*(1+$G$94)^IF($K$94="Annual",INT(MAX(0,AK$3-$F$94)/12),5*INT(MAX(0,AK$3-$F$94)/60)))+((AK$3&gt;=$F$95)*$I$95/12*(1+$G$95)^IF($K$95="Annual",INT(MAX(0,AK$3-$F$95)/12),5*INT(MAX(0,AK$3-$F$95)/60)))+((AK$3&gt;=$F$96)*$I$96/12*(1+$G$96)^IF($K$96="Annual",INT(MAX(0,AK$3-$F$96)/12),5*INT(MAX(0,AK$3-$F$96)/60)))+((AK$3&gt;=$F$97)*$I$97/12*(1+$G$97)^IF($K$97="Annual",INT(MAX(0,AK$3-$F$97)/12),5*INT(MAX(0,AK$3-$F$97)/60)))+((AK$3&gt;=$F$98)*$I$98/12*(1+$G$98)^IF($K$98="Annual",INT(MAX(0,AK$3-$F$98)/12),5*INT(MAX(0,AK$3-$F$98)/60)))+((AK$3&gt;=$F$99)*$I$99/12*(1+$G$99)^IF($K$99="Annual",INT(MAX(0,AK$3-$F$99)/12),5*INT(MAX(0,AK$3-$F$99)/60)))+((AK$3&gt;=$F$100)*$I$100/12*(1+$G$100)^IF($K$100="Annual",INT(MAX(0,AK$3-$F$100)/12),5*INT(MAX(0,AK$3-$F$100)/60)))+((AK$3&gt;=$F$101)*$I$101/12*(1+$G$101)^IF($K$101="Annual",INT(MAX(0,AK$3-$F$101)/12),5*INT(MAX(0,AK$3-$F$101)/60))))</f>
        <v>158016.666666667</v>
      </c>
      <c r="AL140" s="7" t="n">
        <f aca="false">(AL$3&lt;=$I$15)*(((AL$3&gt;=$F$93)*$I$93/12*(1+$G$93)^IF($K$93="Annual",INT(MAX(0,AL$3-$F$93)/12),5*INT(MAX(0,AL$3-$F$93)/60)))+((AL$3&gt;=$F$94)*$I$94/12*(1+$G$94)^IF($K$94="Annual",INT(MAX(0,AL$3-$F$94)/12),5*INT(MAX(0,AL$3-$F$94)/60)))+((AL$3&gt;=$F$95)*$I$95/12*(1+$G$95)^IF($K$95="Annual",INT(MAX(0,AL$3-$F$95)/12),5*INT(MAX(0,AL$3-$F$95)/60)))+((AL$3&gt;=$F$96)*$I$96/12*(1+$G$96)^IF($K$96="Annual",INT(MAX(0,AL$3-$F$96)/12),5*INT(MAX(0,AL$3-$F$96)/60)))+((AL$3&gt;=$F$97)*$I$97/12*(1+$G$97)^IF($K$97="Annual",INT(MAX(0,AL$3-$F$97)/12),5*INT(MAX(0,AL$3-$F$97)/60)))+((AL$3&gt;=$F$98)*$I$98/12*(1+$G$98)^IF($K$98="Annual",INT(MAX(0,AL$3-$F$98)/12),5*INT(MAX(0,AL$3-$F$98)/60)))+((AL$3&gt;=$F$99)*$I$99/12*(1+$G$99)^IF($K$99="Annual",INT(MAX(0,AL$3-$F$99)/12),5*INT(MAX(0,AL$3-$F$99)/60)))+((AL$3&gt;=$F$100)*$I$100/12*(1+$G$100)^IF($K$100="Annual",INT(MAX(0,AL$3-$F$100)/12),5*INT(MAX(0,AL$3-$F$100)/60)))+((AL$3&gt;=$F$101)*$I$101/12*(1+$G$101)^IF($K$101="Annual",INT(MAX(0,AL$3-$F$101)/12),5*INT(MAX(0,AL$3-$F$101)/60))))</f>
        <v>158016.666666667</v>
      </c>
      <c r="AM140" s="7" t="n">
        <f aca="false">(AM$3&lt;=$I$15)*(((AM$3&gt;=$F$93)*$I$93/12*(1+$G$93)^IF($K$93="Annual",INT(MAX(0,AM$3-$F$93)/12),5*INT(MAX(0,AM$3-$F$93)/60)))+((AM$3&gt;=$F$94)*$I$94/12*(1+$G$94)^IF($K$94="Annual",INT(MAX(0,AM$3-$F$94)/12),5*INT(MAX(0,AM$3-$F$94)/60)))+((AM$3&gt;=$F$95)*$I$95/12*(1+$G$95)^IF($K$95="Annual",INT(MAX(0,AM$3-$F$95)/12),5*INT(MAX(0,AM$3-$F$95)/60)))+((AM$3&gt;=$F$96)*$I$96/12*(1+$G$96)^IF($K$96="Annual",INT(MAX(0,AM$3-$F$96)/12),5*INT(MAX(0,AM$3-$F$96)/60)))+((AM$3&gt;=$F$97)*$I$97/12*(1+$G$97)^IF($K$97="Annual",INT(MAX(0,AM$3-$F$97)/12),5*INT(MAX(0,AM$3-$F$97)/60)))+((AM$3&gt;=$F$98)*$I$98/12*(1+$G$98)^IF($K$98="Annual",INT(MAX(0,AM$3-$F$98)/12),5*INT(MAX(0,AM$3-$F$98)/60)))+((AM$3&gt;=$F$99)*$I$99/12*(1+$G$99)^IF($K$99="Annual",INT(MAX(0,AM$3-$F$99)/12),5*INT(MAX(0,AM$3-$F$99)/60)))+((AM$3&gt;=$F$100)*$I$100/12*(1+$G$100)^IF($K$100="Annual",INT(MAX(0,AM$3-$F$100)/12),5*INT(MAX(0,AM$3-$F$100)/60)))+((AM$3&gt;=$F$101)*$I$101/12*(1+$G$101)^IF($K$101="Annual",INT(MAX(0,AM$3-$F$101)/12),5*INT(MAX(0,AM$3-$F$101)/60))))</f>
        <v>168216.666666667</v>
      </c>
      <c r="AN140" s="7" t="n">
        <f aca="false">(AN$3&lt;=$I$15)*(((AN$3&gt;=$F$93)*$I$93/12*(1+$G$93)^IF($K$93="Annual",INT(MAX(0,AN$3-$F$93)/12),5*INT(MAX(0,AN$3-$F$93)/60)))+((AN$3&gt;=$F$94)*$I$94/12*(1+$G$94)^IF($K$94="Annual",INT(MAX(0,AN$3-$F$94)/12),5*INT(MAX(0,AN$3-$F$94)/60)))+((AN$3&gt;=$F$95)*$I$95/12*(1+$G$95)^IF($K$95="Annual",INT(MAX(0,AN$3-$F$95)/12),5*INT(MAX(0,AN$3-$F$95)/60)))+((AN$3&gt;=$F$96)*$I$96/12*(1+$G$96)^IF($K$96="Annual",INT(MAX(0,AN$3-$F$96)/12),5*INT(MAX(0,AN$3-$F$96)/60)))+((AN$3&gt;=$F$97)*$I$97/12*(1+$G$97)^IF($K$97="Annual",INT(MAX(0,AN$3-$F$97)/12),5*INT(MAX(0,AN$3-$F$97)/60)))+((AN$3&gt;=$F$98)*$I$98/12*(1+$G$98)^IF($K$98="Annual",INT(MAX(0,AN$3-$F$98)/12),5*INT(MAX(0,AN$3-$F$98)/60)))+((AN$3&gt;=$F$99)*$I$99/12*(1+$G$99)^IF($K$99="Annual",INT(MAX(0,AN$3-$F$99)/12),5*INT(MAX(0,AN$3-$F$99)/60)))+((AN$3&gt;=$F$100)*$I$100/12*(1+$G$100)^IF($K$100="Annual",INT(MAX(0,AN$3-$F$100)/12),5*INT(MAX(0,AN$3-$F$100)/60)))+((AN$3&gt;=$F$101)*$I$101/12*(1+$G$101)^IF($K$101="Annual",INT(MAX(0,AN$3-$F$101)/12),5*INT(MAX(0,AN$3-$F$101)/60))))</f>
        <v>168216.666666667</v>
      </c>
      <c r="AO140" s="7" t="n">
        <f aca="false">(AO$3&lt;=$I$15)*(((AO$3&gt;=$F$93)*$I$93/12*(1+$G$93)^IF($K$93="Annual",INT(MAX(0,AO$3-$F$93)/12),5*INT(MAX(0,AO$3-$F$93)/60)))+((AO$3&gt;=$F$94)*$I$94/12*(1+$G$94)^IF($K$94="Annual",INT(MAX(0,AO$3-$F$94)/12),5*INT(MAX(0,AO$3-$F$94)/60)))+((AO$3&gt;=$F$95)*$I$95/12*(1+$G$95)^IF($K$95="Annual",INT(MAX(0,AO$3-$F$95)/12),5*INT(MAX(0,AO$3-$F$95)/60)))+((AO$3&gt;=$F$96)*$I$96/12*(1+$G$96)^IF($K$96="Annual",INT(MAX(0,AO$3-$F$96)/12),5*INT(MAX(0,AO$3-$F$96)/60)))+((AO$3&gt;=$F$97)*$I$97/12*(1+$G$97)^IF($K$97="Annual",INT(MAX(0,AO$3-$F$97)/12),5*INT(MAX(0,AO$3-$F$97)/60)))+((AO$3&gt;=$F$98)*$I$98/12*(1+$G$98)^IF($K$98="Annual",INT(MAX(0,AO$3-$F$98)/12),5*INT(MAX(0,AO$3-$F$98)/60)))+((AO$3&gt;=$F$99)*$I$99/12*(1+$G$99)^IF($K$99="Annual",INT(MAX(0,AO$3-$F$99)/12),5*INT(MAX(0,AO$3-$F$99)/60)))+((AO$3&gt;=$F$100)*$I$100/12*(1+$G$100)^IF($K$100="Annual",INT(MAX(0,AO$3-$F$100)/12),5*INT(MAX(0,AO$3-$F$100)/60)))+((AO$3&gt;=$F$101)*$I$101/12*(1+$G$101)^IF($K$101="Annual",INT(MAX(0,AO$3-$F$101)/12),5*INT(MAX(0,AO$3-$F$101)/60))))</f>
        <v>176850</v>
      </c>
      <c r="AP140" s="7" t="n">
        <f aca="false">(AP$3&lt;=$I$15)*(((AP$3&gt;=$F$93)*$I$93/12*(1+$G$93)^IF($K$93="Annual",INT(MAX(0,AP$3-$F$93)/12),5*INT(MAX(0,AP$3-$F$93)/60)))+((AP$3&gt;=$F$94)*$I$94/12*(1+$G$94)^IF($K$94="Annual",INT(MAX(0,AP$3-$F$94)/12),5*INT(MAX(0,AP$3-$F$94)/60)))+((AP$3&gt;=$F$95)*$I$95/12*(1+$G$95)^IF($K$95="Annual",INT(MAX(0,AP$3-$F$95)/12),5*INT(MAX(0,AP$3-$F$95)/60)))+((AP$3&gt;=$F$96)*$I$96/12*(1+$G$96)^IF($K$96="Annual",INT(MAX(0,AP$3-$F$96)/12),5*INT(MAX(0,AP$3-$F$96)/60)))+((AP$3&gt;=$F$97)*$I$97/12*(1+$G$97)^IF($K$97="Annual",INT(MAX(0,AP$3-$F$97)/12),5*INT(MAX(0,AP$3-$F$97)/60)))+((AP$3&gt;=$F$98)*$I$98/12*(1+$G$98)^IF($K$98="Annual",INT(MAX(0,AP$3-$F$98)/12),5*INT(MAX(0,AP$3-$F$98)/60)))+((AP$3&gt;=$F$99)*$I$99/12*(1+$G$99)^IF($K$99="Annual",INT(MAX(0,AP$3-$F$99)/12),5*INT(MAX(0,AP$3-$F$99)/60)))+((AP$3&gt;=$F$100)*$I$100/12*(1+$G$100)^IF($K$100="Annual",INT(MAX(0,AP$3-$F$100)/12),5*INT(MAX(0,AP$3-$F$100)/60)))+((AP$3&gt;=$F$101)*$I$101/12*(1+$G$101)^IF($K$101="Annual",INT(MAX(0,AP$3-$F$101)/12),5*INT(MAX(0,AP$3-$F$101)/60))))</f>
        <v>176850</v>
      </c>
      <c r="AQ140" s="7" t="n">
        <f aca="false">(AQ$3&lt;=$I$15)*(((AQ$3&gt;=$F$93)*$I$93/12*(1+$G$93)^IF($K$93="Annual",INT(MAX(0,AQ$3-$F$93)/12),5*INT(MAX(0,AQ$3-$F$93)/60)))+((AQ$3&gt;=$F$94)*$I$94/12*(1+$G$94)^IF($K$94="Annual",INT(MAX(0,AQ$3-$F$94)/12),5*INT(MAX(0,AQ$3-$F$94)/60)))+((AQ$3&gt;=$F$95)*$I$95/12*(1+$G$95)^IF($K$95="Annual",INT(MAX(0,AQ$3-$F$95)/12),5*INT(MAX(0,AQ$3-$F$95)/60)))+((AQ$3&gt;=$F$96)*$I$96/12*(1+$G$96)^IF($K$96="Annual",INT(MAX(0,AQ$3-$F$96)/12),5*INT(MAX(0,AQ$3-$F$96)/60)))+((AQ$3&gt;=$F$97)*$I$97/12*(1+$G$97)^IF($K$97="Annual",INT(MAX(0,AQ$3-$F$97)/12),5*INT(MAX(0,AQ$3-$F$97)/60)))+((AQ$3&gt;=$F$98)*$I$98/12*(1+$G$98)^IF($K$98="Annual",INT(MAX(0,AQ$3-$F$98)/12),5*INT(MAX(0,AQ$3-$F$98)/60)))+((AQ$3&gt;=$F$99)*$I$99/12*(1+$G$99)^IF($K$99="Annual",INT(MAX(0,AQ$3-$F$99)/12),5*INT(MAX(0,AQ$3-$F$99)/60)))+((AQ$3&gt;=$F$100)*$I$100/12*(1+$G$100)^IF($K$100="Annual",INT(MAX(0,AQ$3-$F$100)/12),5*INT(MAX(0,AQ$3-$F$100)/60)))+((AQ$3&gt;=$F$101)*$I$101/12*(1+$G$101)^IF($K$101="Annual",INT(MAX(0,AQ$3-$F$101)/12),5*INT(MAX(0,AQ$3-$F$101)/60))))</f>
        <v>190716.666666667</v>
      </c>
      <c r="AR140" s="7" t="n">
        <f aca="false">(AR$3&lt;=$I$15)*(((AR$3&gt;=$F$93)*$I$93/12*(1+$G$93)^IF($K$93="Annual",INT(MAX(0,AR$3-$F$93)/12),5*INT(MAX(0,AR$3-$F$93)/60)))+((AR$3&gt;=$F$94)*$I$94/12*(1+$G$94)^IF($K$94="Annual",INT(MAX(0,AR$3-$F$94)/12),5*INT(MAX(0,AR$3-$F$94)/60)))+((AR$3&gt;=$F$95)*$I$95/12*(1+$G$95)^IF($K$95="Annual",INT(MAX(0,AR$3-$F$95)/12),5*INT(MAX(0,AR$3-$F$95)/60)))+((AR$3&gt;=$F$96)*$I$96/12*(1+$G$96)^IF($K$96="Annual",INT(MAX(0,AR$3-$F$96)/12),5*INT(MAX(0,AR$3-$F$96)/60)))+((AR$3&gt;=$F$97)*$I$97/12*(1+$G$97)^IF($K$97="Annual",INT(MAX(0,AR$3-$F$97)/12),5*INT(MAX(0,AR$3-$F$97)/60)))+((AR$3&gt;=$F$98)*$I$98/12*(1+$G$98)^IF($K$98="Annual",INT(MAX(0,AR$3-$F$98)/12),5*INT(MAX(0,AR$3-$F$98)/60)))+((AR$3&gt;=$F$99)*$I$99/12*(1+$G$99)^IF($K$99="Annual",INT(MAX(0,AR$3-$F$99)/12),5*INT(MAX(0,AR$3-$F$99)/60)))+((AR$3&gt;=$F$100)*$I$100/12*(1+$G$100)^IF($K$100="Annual",INT(MAX(0,AR$3-$F$100)/12),5*INT(MAX(0,AR$3-$F$100)/60)))+((AR$3&gt;=$F$101)*$I$101/12*(1+$G$101)^IF($K$101="Annual",INT(MAX(0,AR$3-$F$101)/12),5*INT(MAX(0,AR$3-$F$101)/60))))</f>
        <v>190716.666666667</v>
      </c>
      <c r="AS140" s="7" t="n">
        <f aca="false">(AS$3&lt;=$I$15)*(((AS$3&gt;=$F$93)*$I$93/12*(1+$G$93)^IF($K$93="Annual",INT(MAX(0,AS$3-$F$93)/12),5*INT(MAX(0,AS$3-$F$93)/60)))+((AS$3&gt;=$F$94)*$I$94/12*(1+$G$94)^IF($K$94="Annual",INT(MAX(0,AS$3-$F$94)/12),5*INT(MAX(0,AS$3-$F$94)/60)))+((AS$3&gt;=$F$95)*$I$95/12*(1+$G$95)^IF($K$95="Annual",INT(MAX(0,AS$3-$F$95)/12),5*INT(MAX(0,AS$3-$F$95)/60)))+((AS$3&gt;=$F$96)*$I$96/12*(1+$G$96)^IF($K$96="Annual",INT(MAX(0,AS$3-$F$96)/12),5*INT(MAX(0,AS$3-$F$96)/60)))+((AS$3&gt;=$F$97)*$I$97/12*(1+$G$97)^IF($K$97="Annual",INT(MAX(0,AS$3-$F$97)/12),5*INT(MAX(0,AS$3-$F$97)/60)))+((AS$3&gt;=$F$98)*$I$98/12*(1+$G$98)^IF($K$98="Annual",INT(MAX(0,AS$3-$F$98)/12),5*INT(MAX(0,AS$3-$F$98)/60)))+((AS$3&gt;=$F$99)*$I$99/12*(1+$G$99)^IF($K$99="Annual",INT(MAX(0,AS$3-$F$99)/12),5*INT(MAX(0,AS$3-$F$99)/60)))+((AS$3&gt;=$F$100)*$I$100/12*(1+$G$100)^IF($K$100="Annual",INT(MAX(0,AS$3-$F$100)/12),5*INT(MAX(0,AS$3-$F$100)/60)))+((AS$3&gt;=$F$101)*$I$101/12*(1+$G$101)^IF($K$101="Annual",INT(MAX(0,AS$3-$F$101)/12),5*INT(MAX(0,AS$3-$F$101)/60))))</f>
        <v>190716.666666667</v>
      </c>
      <c r="AT140" s="7" t="n">
        <f aca="false">(AT$3&lt;=$I$15)*(((AT$3&gt;=$F$93)*$I$93/12*(1+$G$93)^IF($K$93="Annual",INT(MAX(0,AT$3-$F$93)/12),5*INT(MAX(0,AT$3-$F$93)/60)))+((AT$3&gt;=$F$94)*$I$94/12*(1+$G$94)^IF($K$94="Annual",INT(MAX(0,AT$3-$F$94)/12),5*INT(MAX(0,AT$3-$F$94)/60)))+((AT$3&gt;=$F$95)*$I$95/12*(1+$G$95)^IF($K$95="Annual",INT(MAX(0,AT$3-$F$95)/12),5*INT(MAX(0,AT$3-$F$95)/60)))+((AT$3&gt;=$F$96)*$I$96/12*(1+$G$96)^IF($K$96="Annual",INT(MAX(0,AT$3-$F$96)/12),5*INT(MAX(0,AT$3-$F$96)/60)))+((AT$3&gt;=$F$97)*$I$97/12*(1+$G$97)^IF($K$97="Annual",INT(MAX(0,AT$3-$F$97)/12),5*INT(MAX(0,AT$3-$F$97)/60)))+((AT$3&gt;=$F$98)*$I$98/12*(1+$G$98)^IF($K$98="Annual",INT(MAX(0,AT$3-$F$98)/12),5*INT(MAX(0,AT$3-$F$98)/60)))+((AT$3&gt;=$F$99)*$I$99/12*(1+$G$99)^IF($K$99="Annual",INT(MAX(0,AT$3-$F$99)/12),5*INT(MAX(0,AT$3-$F$99)/60)))+((AT$3&gt;=$F$100)*$I$100/12*(1+$G$100)^IF($K$100="Annual",INT(MAX(0,AT$3-$F$100)/12),5*INT(MAX(0,AT$3-$F$100)/60)))+((AT$3&gt;=$F$101)*$I$101/12*(1+$G$101)^IF($K$101="Annual",INT(MAX(0,AT$3-$F$101)/12),5*INT(MAX(0,AT$3-$F$101)/60))))</f>
        <v>190716.666666667</v>
      </c>
      <c r="AU140" s="7" t="n">
        <f aca="false">(AU$3&lt;=$I$15)*(((AU$3&gt;=$F$93)*$I$93/12*(1+$G$93)^IF($K$93="Annual",INT(MAX(0,AU$3-$F$93)/12),5*INT(MAX(0,AU$3-$F$93)/60)))+((AU$3&gt;=$F$94)*$I$94/12*(1+$G$94)^IF($K$94="Annual",INT(MAX(0,AU$3-$F$94)/12),5*INT(MAX(0,AU$3-$F$94)/60)))+((AU$3&gt;=$F$95)*$I$95/12*(1+$G$95)^IF($K$95="Annual",INT(MAX(0,AU$3-$F$95)/12),5*INT(MAX(0,AU$3-$F$95)/60)))+((AU$3&gt;=$F$96)*$I$96/12*(1+$G$96)^IF($K$96="Annual",INT(MAX(0,AU$3-$F$96)/12),5*INT(MAX(0,AU$3-$F$96)/60)))+((AU$3&gt;=$F$97)*$I$97/12*(1+$G$97)^IF($K$97="Annual",INT(MAX(0,AU$3-$F$97)/12),5*INT(MAX(0,AU$3-$F$97)/60)))+((AU$3&gt;=$F$98)*$I$98/12*(1+$G$98)^IF($K$98="Annual",INT(MAX(0,AU$3-$F$98)/12),5*INT(MAX(0,AU$3-$F$98)/60)))+((AU$3&gt;=$F$99)*$I$99/12*(1+$G$99)^IF($K$99="Annual",INT(MAX(0,AU$3-$F$99)/12),5*INT(MAX(0,AU$3-$F$99)/60)))+((AU$3&gt;=$F$100)*$I$100/12*(1+$G$100)^IF($K$100="Annual",INT(MAX(0,AU$3-$F$100)/12),5*INT(MAX(0,AU$3-$F$100)/60)))+((AU$3&gt;=$F$101)*$I$101/12*(1+$G$101)^IF($K$101="Annual",INT(MAX(0,AU$3-$F$101)/12),5*INT(MAX(0,AU$3-$F$101)/60))))</f>
        <v>191084.166666667</v>
      </c>
      <c r="AV140" s="7" t="n">
        <f aca="false">(AV$3&lt;=$I$15)*(((AV$3&gt;=$F$93)*$I$93/12*(1+$G$93)^IF($K$93="Annual",INT(MAX(0,AV$3-$F$93)/12),5*INT(MAX(0,AV$3-$F$93)/60)))+((AV$3&gt;=$F$94)*$I$94/12*(1+$G$94)^IF($K$94="Annual",INT(MAX(0,AV$3-$F$94)/12),5*INT(MAX(0,AV$3-$F$94)/60)))+((AV$3&gt;=$F$95)*$I$95/12*(1+$G$95)^IF($K$95="Annual",INT(MAX(0,AV$3-$F$95)/12),5*INT(MAX(0,AV$3-$F$95)/60)))+((AV$3&gt;=$F$96)*$I$96/12*(1+$G$96)^IF($K$96="Annual",INT(MAX(0,AV$3-$F$96)/12),5*INT(MAX(0,AV$3-$F$96)/60)))+((AV$3&gt;=$F$97)*$I$97/12*(1+$G$97)^IF($K$97="Annual",INT(MAX(0,AV$3-$F$97)/12),5*INT(MAX(0,AV$3-$F$97)/60)))+((AV$3&gt;=$F$98)*$I$98/12*(1+$G$98)^IF($K$98="Annual",INT(MAX(0,AV$3-$F$98)/12),5*INT(MAX(0,AV$3-$F$98)/60)))+((AV$3&gt;=$F$99)*$I$99/12*(1+$G$99)^IF($K$99="Annual",INT(MAX(0,AV$3-$F$99)/12),5*INT(MAX(0,AV$3-$F$99)/60)))+((AV$3&gt;=$F$100)*$I$100/12*(1+$G$100)^IF($K$100="Annual",INT(MAX(0,AV$3-$F$100)/12),5*INT(MAX(0,AV$3-$F$100)/60)))+((AV$3&gt;=$F$101)*$I$101/12*(1+$G$101)^IF($K$101="Annual",INT(MAX(0,AV$3-$F$101)/12),5*INT(MAX(0,AV$3-$F$101)/60))))</f>
        <v>191084.166666667</v>
      </c>
      <c r="AW140" s="7" t="n">
        <f aca="false">(AW$3&lt;=$I$15)*(((AW$3&gt;=$F$93)*$I$93/12*(1+$G$93)^IF($K$93="Annual",INT(MAX(0,AW$3-$F$93)/12),5*INT(MAX(0,AW$3-$F$93)/60)))+((AW$3&gt;=$F$94)*$I$94/12*(1+$G$94)^IF($K$94="Annual",INT(MAX(0,AW$3-$F$94)/12),5*INT(MAX(0,AW$3-$F$94)/60)))+((AW$3&gt;=$F$95)*$I$95/12*(1+$G$95)^IF($K$95="Annual",INT(MAX(0,AW$3-$F$95)/12),5*INT(MAX(0,AW$3-$F$95)/60)))+((AW$3&gt;=$F$96)*$I$96/12*(1+$G$96)^IF($K$96="Annual",INT(MAX(0,AW$3-$F$96)/12),5*INT(MAX(0,AW$3-$F$96)/60)))+((AW$3&gt;=$F$97)*$I$97/12*(1+$G$97)^IF($K$97="Annual",INT(MAX(0,AW$3-$F$97)/12),5*INT(MAX(0,AW$3-$F$97)/60)))+((AW$3&gt;=$F$98)*$I$98/12*(1+$G$98)^IF($K$98="Annual",INT(MAX(0,AW$3-$F$98)/12),5*INT(MAX(0,AW$3-$F$98)/60)))+((AW$3&gt;=$F$99)*$I$99/12*(1+$G$99)^IF($K$99="Annual",INT(MAX(0,AW$3-$F$99)/12),5*INT(MAX(0,AW$3-$F$99)/60)))+((AW$3&gt;=$F$100)*$I$100/12*(1+$G$100)^IF($K$100="Annual",INT(MAX(0,AW$3-$F$100)/12),5*INT(MAX(0,AW$3-$F$100)/60)))+((AW$3&gt;=$F$101)*$I$101/12*(1+$G$101)^IF($K$101="Annual",INT(MAX(0,AW$3-$F$101)/12),5*INT(MAX(0,AW$3-$F$101)/60))))</f>
        <v>191879.166666667</v>
      </c>
      <c r="AX140" s="7" t="n">
        <f aca="false">(AX$3&lt;=$I$15)*(((AX$3&gt;=$F$93)*$I$93/12*(1+$G$93)^IF($K$93="Annual",INT(MAX(0,AX$3-$F$93)/12),5*INT(MAX(0,AX$3-$F$93)/60)))+((AX$3&gt;=$F$94)*$I$94/12*(1+$G$94)^IF($K$94="Annual",INT(MAX(0,AX$3-$F$94)/12),5*INT(MAX(0,AX$3-$F$94)/60)))+((AX$3&gt;=$F$95)*$I$95/12*(1+$G$95)^IF($K$95="Annual",INT(MAX(0,AX$3-$F$95)/12),5*INT(MAX(0,AX$3-$F$95)/60)))+((AX$3&gt;=$F$96)*$I$96/12*(1+$G$96)^IF($K$96="Annual",INT(MAX(0,AX$3-$F$96)/12),5*INT(MAX(0,AX$3-$F$96)/60)))+((AX$3&gt;=$F$97)*$I$97/12*(1+$G$97)^IF($K$97="Annual",INT(MAX(0,AX$3-$F$97)/12),5*INT(MAX(0,AX$3-$F$97)/60)))+((AX$3&gt;=$F$98)*$I$98/12*(1+$G$98)^IF($K$98="Annual",INT(MAX(0,AX$3-$F$98)/12),5*INT(MAX(0,AX$3-$F$98)/60)))+((AX$3&gt;=$F$99)*$I$99/12*(1+$G$99)^IF($K$99="Annual",INT(MAX(0,AX$3-$F$99)/12),5*INT(MAX(0,AX$3-$F$99)/60)))+((AX$3&gt;=$F$100)*$I$100/12*(1+$G$100)^IF($K$100="Annual",INT(MAX(0,AX$3-$F$100)/12),5*INT(MAX(0,AX$3-$F$100)/60)))+((AX$3&gt;=$F$101)*$I$101/12*(1+$G$101)^IF($K$101="Annual",INT(MAX(0,AX$3-$F$101)/12),5*INT(MAX(0,AX$3-$F$101)/60))))</f>
        <v>191879.166666667</v>
      </c>
      <c r="AY140" s="7" t="n">
        <f aca="false">(AY$3&lt;=$I$15)*(((AY$3&gt;=$F$93)*$I$93/12*(1+$G$93)^IF($K$93="Annual",INT(MAX(0,AY$3-$F$93)/12),5*INT(MAX(0,AY$3-$F$93)/60)))+((AY$3&gt;=$F$94)*$I$94/12*(1+$G$94)^IF($K$94="Annual",INT(MAX(0,AY$3-$F$94)/12),5*INT(MAX(0,AY$3-$F$94)/60)))+((AY$3&gt;=$F$95)*$I$95/12*(1+$G$95)^IF($K$95="Annual",INT(MAX(0,AY$3-$F$95)/12),5*INT(MAX(0,AY$3-$F$95)/60)))+((AY$3&gt;=$F$96)*$I$96/12*(1+$G$96)^IF($K$96="Annual",INT(MAX(0,AY$3-$F$96)/12),5*INT(MAX(0,AY$3-$F$96)/60)))+((AY$3&gt;=$F$97)*$I$97/12*(1+$G$97)^IF($K$97="Annual",INT(MAX(0,AY$3-$F$97)/12),5*INT(MAX(0,AY$3-$F$97)/60)))+((AY$3&gt;=$F$98)*$I$98/12*(1+$G$98)^IF($K$98="Annual",INT(MAX(0,AY$3-$F$98)/12),5*INT(MAX(0,AY$3-$F$98)/60)))+((AY$3&gt;=$F$99)*$I$99/12*(1+$G$99)^IF($K$99="Annual",INT(MAX(0,AY$3-$F$99)/12),5*INT(MAX(0,AY$3-$F$99)/60)))+((AY$3&gt;=$F$100)*$I$100/12*(1+$G$100)^IF($K$100="Annual",INT(MAX(0,AY$3-$F$100)/12),5*INT(MAX(0,AY$3-$F$100)/60)))+((AY$3&gt;=$F$101)*$I$101/12*(1+$G$101)^IF($K$101="Annual",INT(MAX(0,AY$3-$F$101)/12),5*INT(MAX(0,AY$3-$F$101)/60))))</f>
        <v>192185.166666667</v>
      </c>
      <c r="AZ140" s="7" t="n">
        <f aca="false">(AZ$3&lt;=$I$15)*(((AZ$3&gt;=$F$93)*$I$93/12*(1+$G$93)^IF($K$93="Annual",INT(MAX(0,AZ$3-$F$93)/12),5*INT(MAX(0,AZ$3-$F$93)/60)))+((AZ$3&gt;=$F$94)*$I$94/12*(1+$G$94)^IF($K$94="Annual",INT(MAX(0,AZ$3-$F$94)/12),5*INT(MAX(0,AZ$3-$F$94)/60)))+((AZ$3&gt;=$F$95)*$I$95/12*(1+$G$95)^IF($K$95="Annual",INT(MAX(0,AZ$3-$F$95)/12),5*INT(MAX(0,AZ$3-$F$95)/60)))+((AZ$3&gt;=$F$96)*$I$96/12*(1+$G$96)^IF($K$96="Annual",INT(MAX(0,AZ$3-$F$96)/12),5*INT(MAX(0,AZ$3-$F$96)/60)))+((AZ$3&gt;=$F$97)*$I$97/12*(1+$G$97)^IF($K$97="Annual",INT(MAX(0,AZ$3-$F$97)/12),5*INT(MAX(0,AZ$3-$F$97)/60)))+((AZ$3&gt;=$F$98)*$I$98/12*(1+$G$98)^IF($K$98="Annual",INT(MAX(0,AZ$3-$F$98)/12),5*INT(MAX(0,AZ$3-$F$98)/60)))+((AZ$3&gt;=$F$99)*$I$99/12*(1+$G$99)^IF($K$99="Annual",INT(MAX(0,AZ$3-$F$99)/12),5*INT(MAX(0,AZ$3-$F$99)/60)))+((AZ$3&gt;=$F$100)*$I$100/12*(1+$G$100)^IF($K$100="Annual",INT(MAX(0,AZ$3-$F$100)/12),5*INT(MAX(0,AZ$3-$F$100)/60)))+((AZ$3&gt;=$F$101)*$I$101/12*(1+$G$101)^IF($K$101="Annual",INT(MAX(0,AZ$3-$F$101)/12),5*INT(MAX(0,AZ$3-$F$101)/60))))</f>
        <v>192185.166666667</v>
      </c>
      <c r="BA140" s="7" t="n">
        <f aca="false">(BA$3&lt;=$I$15)*(((BA$3&gt;=$F$93)*$I$93/12*(1+$G$93)^IF($K$93="Annual",INT(MAX(0,BA$3-$F$93)/12),5*INT(MAX(0,BA$3-$F$93)/60)))+((BA$3&gt;=$F$94)*$I$94/12*(1+$G$94)^IF($K$94="Annual",INT(MAX(0,BA$3-$F$94)/12),5*INT(MAX(0,BA$3-$F$94)/60)))+((BA$3&gt;=$F$95)*$I$95/12*(1+$G$95)^IF($K$95="Annual",INT(MAX(0,BA$3-$F$95)/12),5*INT(MAX(0,BA$3-$F$95)/60)))+((BA$3&gt;=$F$96)*$I$96/12*(1+$G$96)^IF($K$96="Annual",INT(MAX(0,BA$3-$F$96)/12),5*INT(MAX(0,BA$3-$F$96)/60)))+((BA$3&gt;=$F$97)*$I$97/12*(1+$G$97)^IF($K$97="Annual",INT(MAX(0,BA$3-$F$97)/12),5*INT(MAX(0,BA$3-$F$97)/60)))+((BA$3&gt;=$F$98)*$I$98/12*(1+$G$98)^IF($K$98="Annual",INT(MAX(0,BA$3-$F$98)/12),5*INT(MAX(0,BA$3-$F$98)/60)))+((BA$3&gt;=$F$99)*$I$99/12*(1+$G$99)^IF($K$99="Annual",INT(MAX(0,BA$3-$F$99)/12),5*INT(MAX(0,BA$3-$F$99)/60)))+((BA$3&gt;=$F$100)*$I$100/12*(1+$G$100)^IF($K$100="Annual",INT(MAX(0,BA$3-$F$100)/12),5*INT(MAX(0,BA$3-$F$100)/60)))+((BA$3&gt;=$F$101)*$I$101/12*(1+$G$101)^IF($K$101="Annual",INT(MAX(0,BA$3-$F$101)/12),5*INT(MAX(0,BA$3-$F$101)/60))))</f>
        <v>192444.166666667</v>
      </c>
      <c r="BB140" s="7" t="n">
        <f aca="false">(BB$3&lt;=$I$15)*(((BB$3&gt;=$F$93)*$I$93/12*(1+$G$93)^IF($K$93="Annual",INT(MAX(0,BB$3-$F$93)/12),5*INT(MAX(0,BB$3-$F$93)/60)))+((BB$3&gt;=$F$94)*$I$94/12*(1+$G$94)^IF($K$94="Annual",INT(MAX(0,BB$3-$F$94)/12),5*INT(MAX(0,BB$3-$F$94)/60)))+((BB$3&gt;=$F$95)*$I$95/12*(1+$G$95)^IF($K$95="Annual",INT(MAX(0,BB$3-$F$95)/12),5*INT(MAX(0,BB$3-$F$95)/60)))+((BB$3&gt;=$F$96)*$I$96/12*(1+$G$96)^IF($K$96="Annual",INT(MAX(0,BB$3-$F$96)/12),5*INT(MAX(0,BB$3-$F$96)/60)))+((BB$3&gt;=$F$97)*$I$97/12*(1+$G$97)^IF($K$97="Annual",INT(MAX(0,BB$3-$F$97)/12),5*INT(MAX(0,BB$3-$F$97)/60)))+((BB$3&gt;=$F$98)*$I$98/12*(1+$G$98)^IF($K$98="Annual",INT(MAX(0,BB$3-$F$98)/12),5*INT(MAX(0,BB$3-$F$98)/60)))+((BB$3&gt;=$F$99)*$I$99/12*(1+$G$99)^IF($K$99="Annual",INT(MAX(0,BB$3-$F$99)/12),5*INT(MAX(0,BB$3-$F$99)/60)))+((BB$3&gt;=$F$100)*$I$100/12*(1+$G$100)^IF($K$100="Annual",INT(MAX(0,BB$3-$F$100)/12),5*INT(MAX(0,BB$3-$F$100)/60)))+((BB$3&gt;=$F$101)*$I$101/12*(1+$G$101)^IF($K$101="Annual",INT(MAX(0,BB$3-$F$101)/12),5*INT(MAX(0,BB$3-$F$101)/60))))</f>
        <v>192444.166666667</v>
      </c>
      <c r="BC140" s="7" t="n">
        <f aca="false">(BC$3&lt;=$I$15)*(((BC$3&gt;=$F$93)*$I$93/12*(1+$G$93)^IF($K$93="Annual",INT(MAX(0,BC$3-$F$93)/12),5*INT(MAX(0,BC$3-$F$93)/60)))+((BC$3&gt;=$F$94)*$I$94/12*(1+$G$94)^IF($K$94="Annual",INT(MAX(0,BC$3-$F$94)/12),5*INT(MAX(0,BC$3-$F$94)/60)))+((BC$3&gt;=$F$95)*$I$95/12*(1+$G$95)^IF($K$95="Annual",INT(MAX(0,BC$3-$F$95)/12),5*INT(MAX(0,BC$3-$F$95)/60)))+((BC$3&gt;=$F$96)*$I$96/12*(1+$G$96)^IF($K$96="Annual",INT(MAX(0,BC$3-$F$96)/12),5*INT(MAX(0,BC$3-$F$96)/60)))+((BC$3&gt;=$F$97)*$I$97/12*(1+$G$97)^IF($K$97="Annual",INT(MAX(0,BC$3-$F$97)/12),5*INT(MAX(0,BC$3-$F$97)/60)))+((BC$3&gt;=$F$98)*$I$98/12*(1+$G$98)^IF($K$98="Annual",INT(MAX(0,BC$3-$F$98)/12),5*INT(MAX(0,BC$3-$F$98)/60)))+((BC$3&gt;=$F$99)*$I$99/12*(1+$G$99)^IF($K$99="Annual",INT(MAX(0,BC$3-$F$99)/12),5*INT(MAX(0,BC$3-$F$99)/60)))+((BC$3&gt;=$F$100)*$I$100/12*(1+$G$100)^IF($K$100="Annual",INT(MAX(0,BC$3-$F$100)/12),5*INT(MAX(0,BC$3-$F$100)/60)))+((BC$3&gt;=$F$101)*$I$101/12*(1+$G$101)^IF($K$101="Annual",INT(MAX(0,BC$3-$F$101)/12),5*INT(MAX(0,BC$3-$F$101)/60))))</f>
        <v>192860.166666667</v>
      </c>
      <c r="BD140" s="7" t="n">
        <f aca="false">(BD$3&lt;=$I$15)*(((BD$3&gt;=$F$93)*$I$93/12*(1+$G$93)^IF($K$93="Annual",INT(MAX(0,BD$3-$F$93)/12),5*INT(MAX(0,BD$3-$F$93)/60)))+((BD$3&gt;=$F$94)*$I$94/12*(1+$G$94)^IF($K$94="Annual",INT(MAX(0,BD$3-$F$94)/12),5*INT(MAX(0,BD$3-$F$94)/60)))+((BD$3&gt;=$F$95)*$I$95/12*(1+$G$95)^IF($K$95="Annual",INT(MAX(0,BD$3-$F$95)/12),5*INT(MAX(0,BD$3-$F$95)/60)))+((BD$3&gt;=$F$96)*$I$96/12*(1+$G$96)^IF($K$96="Annual",INT(MAX(0,BD$3-$F$96)/12),5*INT(MAX(0,BD$3-$F$96)/60)))+((BD$3&gt;=$F$97)*$I$97/12*(1+$G$97)^IF($K$97="Annual",INT(MAX(0,BD$3-$F$97)/12),5*INT(MAX(0,BD$3-$F$97)/60)))+((BD$3&gt;=$F$98)*$I$98/12*(1+$G$98)^IF($K$98="Annual",INT(MAX(0,BD$3-$F$98)/12),5*INT(MAX(0,BD$3-$F$98)/60)))+((BD$3&gt;=$F$99)*$I$99/12*(1+$G$99)^IF($K$99="Annual",INT(MAX(0,BD$3-$F$99)/12),5*INT(MAX(0,BD$3-$F$99)/60)))+((BD$3&gt;=$F$100)*$I$100/12*(1+$G$100)^IF($K$100="Annual",INT(MAX(0,BD$3-$F$100)/12),5*INT(MAX(0,BD$3-$F$100)/60)))+((BD$3&gt;=$F$101)*$I$101/12*(1+$G$101)^IF($K$101="Annual",INT(MAX(0,BD$3-$F$101)/12),5*INT(MAX(0,BD$3-$F$101)/60))))</f>
        <v>192860.166666667</v>
      </c>
      <c r="BE140" s="7" t="n">
        <f aca="false">(BE$3&lt;=$I$15)*(((BE$3&gt;=$F$93)*$I$93/12*(1+$G$93)^IF($K$93="Annual",INT(MAX(0,BE$3-$F$93)/12),5*INT(MAX(0,BE$3-$F$93)/60)))+((BE$3&gt;=$F$94)*$I$94/12*(1+$G$94)^IF($K$94="Annual",INT(MAX(0,BE$3-$F$94)/12),5*INT(MAX(0,BE$3-$F$94)/60)))+((BE$3&gt;=$F$95)*$I$95/12*(1+$G$95)^IF($K$95="Annual",INT(MAX(0,BE$3-$F$95)/12),5*INT(MAX(0,BE$3-$F$95)/60)))+((BE$3&gt;=$F$96)*$I$96/12*(1+$G$96)^IF($K$96="Annual",INT(MAX(0,BE$3-$F$96)/12),5*INT(MAX(0,BE$3-$F$96)/60)))+((BE$3&gt;=$F$97)*$I$97/12*(1+$G$97)^IF($K$97="Annual",INT(MAX(0,BE$3-$F$97)/12),5*INT(MAX(0,BE$3-$F$97)/60)))+((BE$3&gt;=$F$98)*$I$98/12*(1+$G$98)^IF($K$98="Annual",INT(MAX(0,BE$3-$F$98)/12),5*INT(MAX(0,BE$3-$F$98)/60)))+((BE$3&gt;=$F$99)*$I$99/12*(1+$G$99)^IF($K$99="Annual",INT(MAX(0,BE$3-$F$99)/12),5*INT(MAX(0,BE$3-$F$99)/60)))+((BE$3&gt;=$F$100)*$I$100/12*(1+$G$100)^IF($K$100="Annual",INT(MAX(0,BE$3-$F$100)/12),5*INT(MAX(0,BE$3-$F$100)/60)))+((BE$3&gt;=$F$101)*$I$101/12*(1+$G$101)^IF($K$101="Annual",INT(MAX(0,BE$3-$F$101)/12),5*INT(MAX(0,BE$3-$F$101)/60))))</f>
        <v>192860.166666667</v>
      </c>
      <c r="BF140" s="7" t="n">
        <f aca="false">(BF$3&lt;=$I$15)*(((BF$3&gt;=$F$93)*$I$93/12*(1+$G$93)^IF($K$93="Annual",INT(MAX(0,BF$3-$F$93)/12),5*INT(MAX(0,BF$3-$F$93)/60)))+((BF$3&gt;=$F$94)*$I$94/12*(1+$G$94)^IF($K$94="Annual",INT(MAX(0,BF$3-$F$94)/12),5*INT(MAX(0,BF$3-$F$94)/60)))+((BF$3&gt;=$F$95)*$I$95/12*(1+$G$95)^IF($K$95="Annual",INT(MAX(0,BF$3-$F$95)/12),5*INT(MAX(0,BF$3-$F$95)/60)))+((BF$3&gt;=$F$96)*$I$96/12*(1+$G$96)^IF($K$96="Annual",INT(MAX(0,BF$3-$F$96)/12),5*INT(MAX(0,BF$3-$F$96)/60)))+((BF$3&gt;=$F$97)*$I$97/12*(1+$G$97)^IF($K$97="Annual",INT(MAX(0,BF$3-$F$97)/12),5*INT(MAX(0,BF$3-$F$97)/60)))+((BF$3&gt;=$F$98)*$I$98/12*(1+$G$98)^IF($K$98="Annual",INT(MAX(0,BF$3-$F$98)/12),5*INT(MAX(0,BF$3-$F$98)/60)))+((BF$3&gt;=$F$99)*$I$99/12*(1+$G$99)^IF($K$99="Annual",INT(MAX(0,BF$3-$F$99)/12),5*INT(MAX(0,BF$3-$F$99)/60)))+((BF$3&gt;=$F$100)*$I$100/12*(1+$G$100)^IF($K$100="Annual",INT(MAX(0,BF$3-$F$100)/12),5*INT(MAX(0,BF$3-$F$100)/60)))+((BF$3&gt;=$F$101)*$I$101/12*(1+$G$101)^IF($K$101="Annual",INT(MAX(0,BF$3-$F$101)/12),5*INT(MAX(0,BF$3-$F$101)/60))))</f>
        <v>192860.166666667</v>
      </c>
      <c r="BG140" s="7" t="n">
        <f aca="false">(BG$3&lt;=$I$15)*(((BG$3&gt;=$F$93)*$I$93/12*(1+$G$93)^IF($K$93="Annual",INT(MAX(0,BG$3-$F$93)/12),5*INT(MAX(0,BG$3-$F$93)/60)))+((BG$3&gt;=$F$94)*$I$94/12*(1+$G$94)^IF($K$94="Annual",INT(MAX(0,BG$3-$F$94)/12),5*INT(MAX(0,BG$3-$F$94)/60)))+((BG$3&gt;=$F$95)*$I$95/12*(1+$G$95)^IF($K$95="Annual",INT(MAX(0,BG$3-$F$95)/12),5*INT(MAX(0,BG$3-$F$95)/60)))+((BG$3&gt;=$F$96)*$I$96/12*(1+$G$96)^IF($K$96="Annual",INT(MAX(0,BG$3-$F$96)/12),5*INT(MAX(0,BG$3-$F$96)/60)))+((BG$3&gt;=$F$97)*$I$97/12*(1+$G$97)^IF($K$97="Annual",INT(MAX(0,BG$3-$F$97)/12),5*INT(MAX(0,BG$3-$F$97)/60)))+((BG$3&gt;=$F$98)*$I$98/12*(1+$G$98)^IF($K$98="Annual",INT(MAX(0,BG$3-$F$98)/12),5*INT(MAX(0,BG$3-$F$98)/60)))+((BG$3&gt;=$F$99)*$I$99/12*(1+$G$99)^IF($K$99="Annual",INT(MAX(0,BG$3-$F$99)/12),5*INT(MAX(0,BG$3-$F$99)/60)))+((BG$3&gt;=$F$100)*$I$100/12*(1+$G$100)^IF($K$100="Annual",INT(MAX(0,BG$3-$F$100)/12),5*INT(MAX(0,BG$3-$F$100)/60)))+((BG$3&gt;=$F$101)*$I$101/12*(1+$G$101)^IF($K$101="Annual",INT(MAX(0,BG$3-$F$101)/12),5*INT(MAX(0,BG$3-$F$101)/60))))</f>
        <v>193238.691666667</v>
      </c>
      <c r="BH140" s="7" t="n">
        <f aca="false">(BH$3&lt;=$I$15)*(((BH$3&gt;=$F$93)*$I$93/12*(1+$G$93)^IF($K$93="Annual",INT(MAX(0,BH$3-$F$93)/12),5*INT(MAX(0,BH$3-$F$93)/60)))+((BH$3&gt;=$F$94)*$I$94/12*(1+$G$94)^IF($K$94="Annual",INT(MAX(0,BH$3-$F$94)/12),5*INT(MAX(0,BH$3-$F$94)/60)))+((BH$3&gt;=$F$95)*$I$95/12*(1+$G$95)^IF($K$95="Annual",INT(MAX(0,BH$3-$F$95)/12),5*INT(MAX(0,BH$3-$F$95)/60)))+((BH$3&gt;=$F$96)*$I$96/12*(1+$G$96)^IF($K$96="Annual",INT(MAX(0,BH$3-$F$96)/12),5*INT(MAX(0,BH$3-$F$96)/60)))+((BH$3&gt;=$F$97)*$I$97/12*(1+$G$97)^IF($K$97="Annual",INT(MAX(0,BH$3-$F$97)/12),5*INT(MAX(0,BH$3-$F$97)/60)))+((BH$3&gt;=$F$98)*$I$98/12*(1+$G$98)^IF($K$98="Annual",INT(MAX(0,BH$3-$F$98)/12),5*INT(MAX(0,BH$3-$F$98)/60)))+((BH$3&gt;=$F$99)*$I$99/12*(1+$G$99)^IF($K$99="Annual",INT(MAX(0,BH$3-$F$99)/12),5*INT(MAX(0,BH$3-$F$99)/60)))+((BH$3&gt;=$F$100)*$I$100/12*(1+$G$100)^IF($K$100="Annual",INT(MAX(0,BH$3-$F$100)/12),5*INT(MAX(0,BH$3-$F$100)/60)))+((BH$3&gt;=$F$101)*$I$101/12*(1+$G$101)^IF($K$101="Annual",INT(MAX(0,BH$3-$F$101)/12),5*INT(MAX(0,BH$3-$F$101)/60))))</f>
        <v>193238.691666667</v>
      </c>
      <c r="BI140" s="7" t="n">
        <f aca="false">(BI$3&lt;=$I$15)*(((BI$3&gt;=$F$93)*$I$93/12*(1+$G$93)^IF($K$93="Annual",INT(MAX(0,BI$3-$F$93)/12),5*INT(MAX(0,BI$3-$F$93)/60)))+((BI$3&gt;=$F$94)*$I$94/12*(1+$G$94)^IF($K$94="Annual",INT(MAX(0,BI$3-$F$94)/12),5*INT(MAX(0,BI$3-$F$94)/60)))+((BI$3&gt;=$F$95)*$I$95/12*(1+$G$95)^IF($K$95="Annual",INT(MAX(0,BI$3-$F$95)/12),5*INT(MAX(0,BI$3-$F$95)/60)))+((BI$3&gt;=$F$96)*$I$96/12*(1+$G$96)^IF($K$96="Annual",INT(MAX(0,BI$3-$F$96)/12),5*INT(MAX(0,BI$3-$F$96)/60)))+((BI$3&gt;=$F$97)*$I$97/12*(1+$G$97)^IF($K$97="Annual",INT(MAX(0,BI$3-$F$97)/12),5*INT(MAX(0,BI$3-$F$97)/60)))+((BI$3&gt;=$F$98)*$I$98/12*(1+$G$98)^IF($K$98="Annual",INT(MAX(0,BI$3-$F$98)/12),5*INT(MAX(0,BI$3-$F$98)/60)))+((BI$3&gt;=$F$99)*$I$99/12*(1+$G$99)^IF($K$99="Annual",INT(MAX(0,BI$3-$F$99)/12),5*INT(MAX(0,BI$3-$F$99)/60)))+((BI$3&gt;=$F$100)*$I$100/12*(1+$G$100)^IF($K$100="Annual",INT(MAX(0,BI$3-$F$100)/12),5*INT(MAX(0,BI$3-$F$100)/60)))+((BI$3&gt;=$F$101)*$I$101/12*(1+$G$101)^IF($K$101="Annual",INT(MAX(0,BI$3-$F$101)/12),5*INT(MAX(0,BI$3-$F$101)/60))))</f>
        <v>194057.541666667</v>
      </c>
      <c r="BJ140" s="7" t="n">
        <f aca="false">(BJ$3&lt;=$I$15)*(((BJ$3&gt;=$F$93)*$I$93/12*(1+$G$93)^IF($K$93="Annual",INT(MAX(0,BJ$3-$F$93)/12),5*INT(MAX(0,BJ$3-$F$93)/60)))+((BJ$3&gt;=$F$94)*$I$94/12*(1+$G$94)^IF($K$94="Annual",INT(MAX(0,BJ$3-$F$94)/12),5*INT(MAX(0,BJ$3-$F$94)/60)))+((BJ$3&gt;=$F$95)*$I$95/12*(1+$G$95)^IF($K$95="Annual",INT(MAX(0,BJ$3-$F$95)/12),5*INT(MAX(0,BJ$3-$F$95)/60)))+((BJ$3&gt;=$F$96)*$I$96/12*(1+$G$96)^IF($K$96="Annual",INT(MAX(0,BJ$3-$F$96)/12),5*INT(MAX(0,BJ$3-$F$96)/60)))+((BJ$3&gt;=$F$97)*$I$97/12*(1+$G$97)^IF($K$97="Annual",INT(MAX(0,BJ$3-$F$97)/12),5*INT(MAX(0,BJ$3-$F$97)/60)))+((BJ$3&gt;=$F$98)*$I$98/12*(1+$G$98)^IF($K$98="Annual",INT(MAX(0,BJ$3-$F$98)/12),5*INT(MAX(0,BJ$3-$F$98)/60)))+((BJ$3&gt;=$F$99)*$I$99/12*(1+$G$99)^IF($K$99="Annual",INT(MAX(0,BJ$3-$F$99)/12),5*INT(MAX(0,BJ$3-$F$99)/60)))+((BJ$3&gt;=$F$100)*$I$100/12*(1+$G$100)^IF($K$100="Annual",INT(MAX(0,BJ$3-$F$100)/12),5*INT(MAX(0,BJ$3-$F$100)/60)))+((BJ$3&gt;=$F$101)*$I$101/12*(1+$G$101)^IF($K$101="Annual",INT(MAX(0,BJ$3-$F$101)/12),5*INT(MAX(0,BJ$3-$F$101)/60))))</f>
        <v>194057.541666667</v>
      </c>
      <c r="BK140" s="7" t="n">
        <f aca="false">(BK$3&lt;=$I$15)*(((BK$3&gt;=$F$93)*$I$93/12*(1+$G$93)^IF($K$93="Annual",INT(MAX(0,BK$3-$F$93)/12),5*INT(MAX(0,BK$3-$F$93)/60)))+((BK$3&gt;=$F$94)*$I$94/12*(1+$G$94)^IF($K$94="Annual",INT(MAX(0,BK$3-$F$94)/12),5*INT(MAX(0,BK$3-$F$94)/60)))+((BK$3&gt;=$F$95)*$I$95/12*(1+$G$95)^IF($K$95="Annual",INT(MAX(0,BK$3-$F$95)/12),5*INT(MAX(0,BK$3-$F$95)/60)))+((BK$3&gt;=$F$96)*$I$96/12*(1+$G$96)^IF($K$96="Annual",INT(MAX(0,BK$3-$F$96)/12),5*INT(MAX(0,BK$3-$F$96)/60)))+((BK$3&gt;=$F$97)*$I$97/12*(1+$G$97)^IF($K$97="Annual",INT(MAX(0,BK$3-$F$97)/12),5*INT(MAX(0,BK$3-$F$97)/60)))+((BK$3&gt;=$F$98)*$I$98/12*(1+$G$98)^IF($K$98="Annual",INT(MAX(0,BK$3-$F$98)/12),5*INT(MAX(0,BK$3-$F$98)/60)))+((BK$3&gt;=$F$99)*$I$99/12*(1+$G$99)^IF($K$99="Annual",INT(MAX(0,BK$3-$F$99)/12),5*INT(MAX(0,BK$3-$F$99)/60)))+((BK$3&gt;=$F$100)*$I$100/12*(1+$G$100)^IF($K$100="Annual",INT(MAX(0,BK$3-$F$100)/12),5*INT(MAX(0,BK$3-$F$100)/60)))+((BK$3&gt;=$F$101)*$I$101/12*(1+$G$101)^IF($K$101="Annual",INT(MAX(0,BK$3-$F$101)/12),5*INT(MAX(0,BK$3-$F$101)/60))))</f>
        <v>194372.721666667</v>
      </c>
      <c r="BL140" s="7" t="n">
        <f aca="false">(BL$3&lt;=$I$15)*(((BL$3&gt;=$F$93)*$I$93/12*(1+$G$93)^IF($K$93="Annual",INT(MAX(0,BL$3-$F$93)/12),5*INT(MAX(0,BL$3-$F$93)/60)))+((BL$3&gt;=$F$94)*$I$94/12*(1+$G$94)^IF($K$94="Annual",INT(MAX(0,BL$3-$F$94)/12),5*INT(MAX(0,BL$3-$F$94)/60)))+((BL$3&gt;=$F$95)*$I$95/12*(1+$G$95)^IF($K$95="Annual",INT(MAX(0,BL$3-$F$95)/12),5*INT(MAX(0,BL$3-$F$95)/60)))+((BL$3&gt;=$F$96)*$I$96/12*(1+$G$96)^IF($K$96="Annual",INT(MAX(0,BL$3-$F$96)/12),5*INT(MAX(0,BL$3-$F$96)/60)))+((BL$3&gt;=$F$97)*$I$97/12*(1+$G$97)^IF($K$97="Annual",INT(MAX(0,BL$3-$F$97)/12),5*INT(MAX(0,BL$3-$F$97)/60)))+((BL$3&gt;=$F$98)*$I$98/12*(1+$G$98)^IF($K$98="Annual",INT(MAX(0,BL$3-$F$98)/12),5*INT(MAX(0,BL$3-$F$98)/60)))+((BL$3&gt;=$F$99)*$I$99/12*(1+$G$99)^IF($K$99="Annual",INT(MAX(0,BL$3-$F$99)/12),5*INT(MAX(0,BL$3-$F$99)/60)))+((BL$3&gt;=$F$100)*$I$100/12*(1+$G$100)^IF($K$100="Annual",INT(MAX(0,BL$3-$F$100)/12),5*INT(MAX(0,BL$3-$F$100)/60)))+((BL$3&gt;=$F$101)*$I$101/12*(1+$G$101)^IF($K$101="Annual",INT(MAX(0,BL$3-$F$101)/12),5*INT(MAX(0,BL$3-$F$101)/60))))</f>
        <v>194372.721666667</v>
      </c>
      <c r="BM140" s="7" t="n">
        <f aca="false">(BM$3&lt;=$I$15)*(((BM$3&gt;=$F$93)*$I$93/12*(1+$G$93)^IF($K$93="Annual",INT(MAX(0,BM$3-$F$93)/12),5*INT(MAX(0,BM$3-$F$93)/60)))+((BM$3&gt;=$F$94)*$I$94/12*(1+$G$94)^IF($K$94="Annual",INT(MAX(0,BM$3-$F$94)/12),5*INT(MAX(0,BM$3-$F$94)/60)))+((BM$3&gt;=$F$95)*$I$95/12*(1+$G$95)^IF($K$95="Annual",INT(MAX(0,BM$3-$F$95)/12),5*INT(MAX(0,BM$3-$F$95)/60)))+((BM$3&gt;=$F$96)*$I$96/12*(1+$G$96)^IF($K$96="Annual",INT(MAX(0,BM$3-$F$96)/12),5*INT(MAX(0,BM$3-$F$96)/60)))+((BM$3&gt;=$F$97)*$I$97/12*(1+$G$97)^IF($K$97="Annual",INT(MAX(0,BM$3-$F$97)/12),5*INT(MAX(0,BM$3-$F$97)/60)))+((BM$3&gt;=$F$98)*$I$98/12*(1+$G$98)^IF($K$98="Annual",INT(MAX(0,BM$3-$F$98)/12),5*INT(MAX(0,BM$3-$F$98)/60)))+((BM$3&gt;=$F$99)*$I$99/12*(1+$G$99)^IF($K$99="Annual",INT(MAX(0,BM$3-$F$99)/12),5*INT(MAX(0,BM$3-$F$99)/60)))+((BM$3&gt;=$F$100)*$I$100/12*(1+$G$100)^IF($K$100="Annual",INT(MAX(0,BM$3-$F$100)/12),5*INT(MAX(0,BM$3-$F$100)/60)))+((BM$3&gt;=$F$101)*$I$101/12*(1+$G$101)^IF($K$101="Annual",INT(MAX(0,BM$3-$F$101)/12),5*INT(MAX(0,BM$3-$F$101)/60))))</f>
        <v>194639.491666667</v>
      </c>
      <c r="BN140" s="7" t="n">
        <f aca="false">(BN$3&lt;=$I$15)*(((BN$3&gt;=$F$93)*$I$93/12*(1+$G$93)^IF($K$93="Annual",INT(MAX(0,BN$3-$F$93)/12),5*INT(MAX(0,BN$3-$F$93)/60)))+((BN$3&gt;=$F$94)*$I$94/12*(1+$G$94)^IF($K$94="Annual",INT(MAX(0,BN$3-$F$94)/12),5*INT(MAX(0,BN$3-$F$94)/60)))+((BN$3&gt;=$F$95)*$I$95/12*(1+$G$95)^IF($K$95="Annual",INT(MAX(0,BN$3-$F$95)/12),5*INT(MAX(0,BN$3-$F$95)/60)))+((BN$3&gt;=$F$96)*$I$96/12*(1+$G$96)^IF($K$96="Annual",INT(MAX(0,BN$3-$F$96)/12),5*INT(MAX(0,BN$3-$F$96)/60)))+((BN$3&gt;=$F$97)*$I$97/12*(1+$G$97)^IF($K$97="Annual",INT(MAX(0,BN$3-$F$97)/12),5*INT(MAX(0,BN$3-$F$97)/60)))+((BN$3&gt;=$F$98)*$I$98/12*(1+$G$98)^IF($K$98="Annual",INT(MAX(0,BN$3-$F$98)/12),5*INT(MAX(0,BN$3-$F$98)/60)))+((BN$3&gt;=$F$99)*$I$99/12*(1+$G$99)^IF($K$99="Annual",INT(MAX(0,BN$3-$F$99)/12),5*INT(MAX(0,BN$3-$F$99)/60)))+((BN$3&gt;=$F$100)*$I$100/12*(1+$G$100)^IF($K$100="Annual",INT(MAX(0,BN$3-$F$100)/12),5*INT(MAX(0,BN$3-$F$100)/60)))+((BN$3&gt;=$F$101)*$I$101/12*(1+$G$101)^IF($K$101="Annual",INT(MAX(0,BN$3-$F$101)/12),5*INT(MAX(0,BN$3-$F$101)/60))))</f>
        <v>194639.491666667</v>
      </c>
      <c r="BO140" s="7" t="n">
        <f aca="false">(BO$3&lt;=$I$15)*(((BO$3&gt;=$F$93)*$I$93/12*(1+$G$93)^IF($K$93="Annual",INT(MAX(0,BO$3-$F$93)/12),5*INT(MAX(0,BO$3-$F$93)/60)))+((BO$3&gt;=$F$94)*$I$94/12*(1+$G$94)^IF($K$94="Annual",INT(MAX(0,BO$3-$F$94)/12),5*INT(MAX(0,BO$3-$F$94)/60)))+((BO$3&gt;=$F$95)*$I$95/12*(1+$G$95)^IF($K$95="Annual",INT(MAX(0,BO$3-$F$95)/12),5*INT(MAX(0,BO$3-$F$95)/60)))+((BO$3&gt;=$F$96)*$I$96/12*(1+$G$96)^IF($K$96="Annual",INT(MAX(0,BO$3-$F$96)/12),5*INT(MAX(0,BO$3-$F$96)/60)))+((BO$3&gt;=$F$97)*$I$97/12*(1+$G$97)^IF($K$97="Annual",INT(MAX(0,BO$3-$F$97)/12),5*INT(MAX(0,BO$3-$F$97)/60)))+((BO$3&gt;=$F$98)*$I$98/12*(1+$G$98)^IF($K$98="Annual",INT(MAX(0,BO$3-$F$98)/12),5*INT(MAX(0,BO$3-$F$98)/60)))+((BO$3&gt;=$F$99)*$I$99/12*(1+$G$99)^IF($K$99="Annual",INT(MAX(0,BO$3-$F$99)/12),5*INT(MAX(0,BO$3-$F$99)/60)))+((BO$3&gt;=$F$100)*$I$100/12*(1+$G$100)^IF($K$100="Annual",INT(MAX(0,BO$3-$F$100)/12),5*INT(MAX(0,BO$3-$F$100)/60)))+((BO$3&gt;=$F$101)*$I$101/12*(1+$G$101)^IF($K$101="Annual",INT(MAX(0,BO$3-$F$101)/12),5*INT(MAX(0,BO$3-$F$101)/60))))</f>
        <v>195067.971666667</v>
      </c>
      <c r="BP140" s="7" t="n">
        <f aca="false">(BP$3&lt;=$I$15)*(((BP$3&gt;=$F$93)*$I$93/12*(1+$G$93)^IF($K$93="Annual",INT(MAX(0,BP$3-$F$93)/12),5*INT(MAX(0,BP$3-$F$93)/60)))+((BP$3&gt;=$F$94)*$I$94/12*(1+$G$94)^IF($K$94="Annual",INT(MAX(0,BP$3-$F$94)/12),5*INT(MAX(0,BP$3-$F$94)/60)))+((BP$3&gt;=$F$95)*$I$95/12*(1+$G$95)^IF($K$95="Annual",INT(MAX(0,BP$3-$F$95)/12),5*INT(MAX(0,BP$3-$F$95)/60)))+((BP$3&gt;=$F$96)*$I$96/12*(1+$G$96)^IF($K$96="Annual",INT(MAX(0,BP$3-$F$96)/12),5*INT(MAX(0,BP$3-$F$96)/60)))+((BP$3&gt;=$F$97)*$I$97/12*(1+$G$97)^IF($K$97="Annual",INT(MAX(0,BP$3-$F$97)/12),5*INT(MAX(0,BP$3-$F$97)/60)))+((BP$3&gt;=$F$98)*$I$98/12*(1+$G$98)^IF($K$98="Annual",INT(MAX(0,BP$3-$F$98)/12),5*INT(MAX(0,BP$3-$F$98)/60)))+((BP$3&gt;=$F$99)*$I$99/12*(1+$G$99)^IF($K$99="Annual",INT(MAX(0,BP$3-$F$99)/12),5*INT(MAX(0,BP$3-$F$99)/60)))+((BP$3&gt;=$F$100)*$I$100/12*(1+$G$100)^IF($K$100="Annual",INT(MAX(0,BP$3-$F$100)/12),5*INT(MAX(0,BP$3-$F$100)/60)))+((BP$3&gt;=$F$101)*$I$101/12*(1+$G$101)^IF($K$101="Annual",INT(MAX(0,BP$3-$F$101)/12),5*INT(MAX(0,BP$3-$F$101)/60))))</f>
        <v>195067.971666667</v>
      </c>
      <c r="BQ140" s="7" t="n">
        <f aca="false">(BQ$3&lt;=$I$15)*(((BQ$3&gt;=$F$93)*$I$93/12*(1+$G$93)^IF($K$93="Annual",INT(MAX(0,BQ$3-$F$93)/12),5*INT(MAX(0,BQ$3-$F$93)/60)))+((BQ$3&gt;=$F$94)*$I$94/12*(1+$G$94)^IF($K$94="Annual",INT(MAX(0,BQ$3-$F$94)/12),5*INT(MAX(0,BQ$3-$F$94)/60)))+((BQ$3&gt;=$F$95)*$I$95/12*(1+$G$95)^IF($K$95="Annual",INT(MAX(0,BQ$3-$F$95)/12),5*INT(MAX(0,BQ$3-$F$95)/60)))+((BQ$3&gt;=$F$96)*$I$96/12*(1+$G$96)^IF($K$96="Annual",INT(MAX(0,BQ$3-$F$96)/12),5*INT(MAX(0,BQ$3-$F$96)/60)))+((BQ$3&gt;=$F$97)*$I$97/12*(1+$G$97)^IF($K$97="Annual",INT(MAX(0,BQ$3-$F$97)/12),5*INT(MAX(0,BQ$3-$F$97)/60)))+((BQ$3&gt;=$F$98)*$I$98/12*(1+$G$98)^IF($K$98="Annual",INT(MAX(0,BQ$3-$F$98)/12),5*INT(MAX(0,BQ$3-$F$98)/60)))+((BQ$3&gt;=$F$99)*$I$99/12*(1+$G$99)^IF($K$99="Annual",INT(MAX(0,BQ$3-$F$99)/12),5*INT(MAX(0,BQ$3-$F$99)/60)))+((BQ$3&gt;=$F$100)*$I$100/12*(1+$G$100)^IF($K$100="Annual",INT(MAX(0,BQ$3-$F$100)/12),5*INT(MAX(0,BQ$3-$F$100)/60)))+((BQ$3&gt;=$F$101)*$I$101/12*(1+$G$101)^IF($K$101="Annual",INT(MAX(0,BQ$3-$F$101)/12),5*INT(MAX(0,BQ$3-$F$101)/60))))</f>
        <v>195067.971666667</v>
      </c>
      <c r="BR140" s="7" t="n">
        <f aca="false">(BR$3&lt;=$I$15)*(((BR$3&gt;=$F$93)*$I$93/12*(1+$G$93)^IF($K$93="Annual",INT(MAX(0,BR$3-$F$93)/12),5*INT(MAX(0,BR$3-$F$93)/60)))+((BR$3&gt;=$F$94)*$I$94/12*(1+$G$94)^IF($K$94="Annual",INT(MAX(0,BR$3-$F$94)/12),5*INT(MAX(0,BR$3-$F$94)/60)))+((BR$3&gt;=$F$95)*$I$95/12*(1+$G$95)^IF($K$95="Annual",INT(MAX(0,BR$3-$F$95)/12),5*INT(MAX(0,BR$3-$F$95)/60)))+((BR$3&gt;=$F$96)*$I$96/12*(1+$G$96)^IF($K$96="Annual",INT(MAX(0,BR$3-$F$96)/12),5*INT(MAX(0,BR$3-$F$96)/60)))+((BR$3&gt;=$F$97)*$I$97/12*(1+$G$97)^IF($K$97="Annual",INT(MAX(0,BR$3-$F$97)/12),5*INT(MAX(0,BR$3-$F$97)/60)))+((BR$3&gt;=$F$98)*$I$98/12*(1+$G$98)^IF($K$98="Annual",INT(MAX(0,BR$3-$F$98)/12),5*INT(MAX(0,BR$3-$F$98)/60)))+((BR$3&gt;=$F$99)*$I$99/12*(1+$G$99)^IF($K$99="Annual",INT(MAX(0,BR$3-$F$99)/12),5*INT(MAX(0,BR$3-$F$99)/60)))+((BR$3&gt;=$F$100)*$I$100/12*(1+$G$100)^IF($K$100="Annual",INT(MAX(0,BR$3-$F$100)/12),5*INT(MAX(0,BR$3-$F$100)/60)))+((BR$3&gt;=$F$101)*$I$101/12*(1+$G$101)^IF($K$101="Annual",INT(MAX(0,BR$3-$F$101)/12),5*INT(MAX(0,BR$3-$F$101)/60))))</f>
        <v>195067.971666667</v>
      </c>
      <c r="BS140" s="7" t="n">
        <f aca="false">(BS$3&lt;=$I$15)*(((BS$3&gt;=$F$93)*$I$93/12*(1+$G$93)^IF($K$93="Annual",INT(MAX(0,BS$3-$F$93)/12),5*INT(MAX(0,BS$3-$F$93)/60)))+((BS$3&gt;=$F$94)*$I$94/12*(1+$G$94)^IF($K$94="Annual",INT(MAX(0,BS$3-$F$94)/12),5*INT(MAX(0,BS$3-$F$94)/60)))+((BS$3&gt;=$F$95)*$I$95/12*(1+$G$95)^IF($K$95="Annual",INT(MAX(0,BS$3-$F$95)/12),5*INT(MAX(0,BS$3-$F$95)/60)))+((BS$3&gt;=$F$96)*$I$96/12*(1+$G$96)^IF($K$96="Annual",INT(MAX(0,BS$3-$F$96)/12),5*INT(MAX(0,BS$3-$F$96)/60)))+((BS$3&gt;=$F$97)*$I$97/12*(1+$G$97)^IF($K$97="Annual",INT(MAX(0,BS$3-$F$97)/12),5*INT(MAX(0,BS$3-$F$97)/60)))+((BS$3&gt;=$F$98)*$I$98/12*(1+$G$98)^IF($K$98="Annual",INT(MAX(0,BS$3-$F$98)/12),5*INT(MAX(0,BS$3-$F$98)/60)))+((BS$3&gt;=$F$99)*$I$99/12*(1+$G$99)^IF($K$99="Annual",INT(MAX(0,BS$3-$F$99)/12),5*INT(MAX(0,BS$3-$F$99)/60)))+((BS$3&gt;=$F$100)*$I$100/12*(1+$G$100)^IF($K$100="Annual",INT(MAX(0,BS$3-$F$100)/12),5*INT(MAX(0,BS$3-$F$100)/60)))+((BS$3&gt;=$F$101)*$I$101/12*(1+$G$101)^IF($K$101="Annual",INT(MAX(0,BS$3-$F$101)/12),5*INT(MAX(0,BS$3-$F$101)/60))))</f>
        <v>195457.852416667</v>
      </c>
      <c r="BT140" s="7" t="n">
        <f aca="false">(BT$3&lt;=$I$15)*(((BT$3&gt;=$F$93)*$I$93/12*(1+$G$93)^IF($K$93="Annual",INT(MAX(0,BT$3-$F$93)/12),5*INT(MAX(0,BT$3-$F$93)/60)))+((BT$3&gt;=$F$94)*$I$94/12*(1+$G$94)^IF($K$94="Annual",INT(MAX(0,BT$3-$F$94)/12),5*INT(MAX(0,BT$3-$F$94)/60)))+((BT$3&gt;=$F$95)*$I$95/12*(1+$G$95)^IF($K$95="Annual",INT(MAX(0,BT$3-$F$95)/12),5*INT(MAX(0,BT$3-$F$95)/60)))+((BT$3&gt;=$F$96)*$I$96/12*(1+$G$96)^IF($K$96="Annual",INT(MAX(0,BT$3-$F$96)/12),5*INT(MAX(0,BT$3-$F$96)/60)))+((BT$3&gt;=$F$97)*$I$97/12*(1+$G$97)^IF($K$97="Annual",INT(MAX(0,BT$3-$F$97)/12),5*INT(MAX(0,BT$3-$F$97)/60)))+((BT$3&gt;=$F$98)*$I$98/12*(1+$G$98)^IF($K$98="Annual",INT(MAX(0,BT$3-$F$98)/12),5*INT(MAX(0,BT$3-$F$98)/60)))+((BT$3&gt;=$F$99)*$I$99/12*(1+$G$99)^IF($K$99="Annual",INT(MAX(0,BT$3-$F$99)/12),5*INT(MAX(0,BT$3-$F$99)/60)))+((BT$3&gt;=$F$100)*$I$100/12*(1+$G$100)^IF($K$100="Annual",INT(MAX(0,BT$3-$F$100)/12),5*INT(MAX(0,BT$3-$F$100)/60)))+((BT$3&gt;=$F$101)*$I$101/12*(1+$G$101)^IF($K$101="Annual",INT(MAX(0,BT$3-$F$101)/12),5*INT(MAX(0,BT$3-$F$101)/60))))</f>
        <v>195457.852416667</v>
      </c>
      <c r="BU140" s="7" t="n">
        <f aca="false">(BU$3&lt;=$I$15)*(((BU$3&gt;=$F$93)*$I$93/12*(1+$G$93)^IF($K$93="Annual",INT(MAX(0,BU$3-$F$93)/12),5*INT(MAX(0,BU$3-$F$93)/60)))+((BU$3&gt;=$F$94)*$I$94/12*(1+$G$94)^IF($K$94="Annual",INT(MAX(0,BU$3-$F$94)/12),5*INT(MAX(0,BU$3-$F$94)/60)))+((BU$3&gt;=$F$95)*$I$95/12*(1+$G$95)^IF($K$95="Annual",INT(MAX(0,BU$3-$F$95)/12),5*INT(MAX(0,BU$3-$F$95)/60)))+((BU$3&gt;=$F$96)*$I$96/12*(1+$G$96)^IF($K$96="Annual",INT(MAX(0,BU$3-$F$96)/12),5*INT(MAX(0,BU$3-$F$96)/60)))+((BU$3&gt;=$F$97)*$I$97/12*(1+$G$97)^IF($K$97="Annual",INT(MAX(0,BU$3-$F$97)/12),5*INT(MAX(0,BU$3-$F$97)/60)))+((BU$3&gt;=$F$98)*$I$98/12*(1+$G$98)^IF($K$98="Annual",INT(MAX(0,BU$3-$F$98)/12),5*INT(MAX(0,BU$3-$F$98)/60)))+((BU$3&gt;=$F$99)*$I$99/12*(1+$G$99)^IF($K$99="Annual",INT(MAX(0,BU$3-$F$99)/12),5*INT(MAX(0,BU$3-$F$99)/60)))+((BU$3&gt;=$F$100)*$I$100/12*(1+$G$100)^IF($K$100="Annual",INT(MAX(0,BU$3-$F$100)/12),5*INT(MAX(0,BU$3-$F$100)/60)))+((BU$3&gt;=$F$101)*$I$101/12*(1+$G$101)^IF($K$101="Annual",INT(MAX(0,BU$3-$F$101)/12),5*INT(MAX(0,BU$3-$F$101)/60))))</f>
        <v>196301.267916667</v>
      </c>
      <c r="BV140" s="7" t="n">
        <f aca="false">(BV$3&lt;=$I$15)*(((BV$3&gt;=$F$93)*$I$93/12*(1+$G$93)^IF($K$93="Annual",INT(MAX(0,BV$3-$F$93)/12),5*INT(MAX(0,BV$3-$F$93)/60)))+((BV$3&gt;=$F$94)*$I$94/12*(1+$G$94)^IF($K$94="Annual",INT(MAX(0,BV$3-$F$94)/12),5*INT(MAX(0,BV$3-$F$94)/60)))+((BV$3&gt;=$F$95)*$I$95/12*(1+$G$95)^IF($K$95="Annual",INT(MAX(0,BV$3-$F$95)/12),5*INT(MAX(0,BV$3-$F$95)/60)))+((BV$3&gt;=$F$96)*$I$96/12*(1+$G$96)^IF($K$96="Annual",INT(MAX(0,BV$3-$F$96)/12),5*INT(MAX(0,BV$3-$F$96)/60)))+((BV$3&gt;=$F$97)*$I$97/12*(1+$G$97)^IF($K$97="Annual",INT(MAX(0,BV$3-$F$97)/12),5*INT(MAX(0,BV$3-$F$97)/60)))+((BV$3&gt;=$F$98)*$I$98/12*(1+$G$98)^IF($K$98="Annual",INT(MAX(0,BV$3-$F$98)/12),5*INT(MAX(0,BV$3-$F$98)/60)))+((BV$3&gt;=$F$99)*$I$99/12*(1+$G$99)^IF($K$99="Annual",INT(MAX(0,BV$3-$F$99)/12),5*INT(MAX(0,BV$3-$F$99)/60)))+((BV$3&gt;=$F$100)*$I$100/12*(1+$G$100)^IF($K$100="Annual",INT(MAX(0,BV$3-$F$100)/12),5*INT(MAX(0,BV$3-$F$100)/60)))+((BV$3&gt;=$F$101)*$I$101/12*(1+$G$101)^IF($K$101="Annual",INT(MAX(0,BV$3-$F$101)/12),5*INT(MAX(0,BV$3-$F$101)/60))))</f>
        <v>196301.267916667</v>
      </c>
      <c r="BW140" s="7" t="n">
        <f aca="false">(BW$3&lt;=$I$15)*(((BW$3&gt;=$F$93)*$I$93/12*(1+$G$93)^IF($K$93="Annual",INT(MAX(0,BW$3-$F$93)/12),5*INT(MAX(0,BW$3-$F$93)/60)))+((BW$3&gt;=$F$94)*$I$94/12*(1+$G$94)^IF($K$94="Annual",INT(MAX(0,BW$3-$F$94)/12),5*INT(MAX(0,BW$3-$F$94)/60)))+((BW$3&gt;=$F$95)*$I$95/12*(1+$G$95)^IF($K$95="Annual",INT(MAX(0,BW$3-$F$95)/12),5*INT(MAX(0,BW$3-$F$95)/60)))+((BW$3&gt;=$F$96)*$I$96/12*(1+$G$96)^IF($K$96="Annual",INT(MAX(0,BW$3-$F$96)/12),5*INT(MAX(0,BW$3-$F$96)/60)))+((BW$3&gt;=$F$97)*$I$97/12*(1+$G$97)^IF($K$97="Annual",INT(MAX(0,BW$3-$F$97)/12),5*INT(MAX(0,BW$3-$F$97)/60)))+((BW$3&gt;=$F$98)*$I$98/12*(1+$G$98)^IF($K$98="Annual",INT(MAX(0,BW$3-$F$98)/12),5*INT(MAX(0,BW$3-$F$98)/60)))+((BW$3&gt;=$F$99)*$I$99/12*(1+$G$99)^IF($K$99="Annual",INT(MAX(0,BW$3-$F$99)/12),5*INT(MAX(0,BW$3-$F$99)/60)))+((BW$3&gt;=$F$100)*$I$100/12*(1+$G$100)^IF($K$100="Annual",INT(MAX(0,BW$3-$F$100)/12),5*INT(MAX(0,BW$3-$F$100)/60)))+((BW$3&gt;=$F$101)*$I$101/12*(1+$G$101)^IF($K$101="Annual",INT(MAX(0,BW$3-$F$101)/12),5*INT(MAX(0,BW$3-$F$101)/60))))</f>
        <v>196625.903316667</v>
      </c>
      <c r="BX140" s="7" t="n">
        <f aca="false">(BX$3&lt;=$I$15)*(((BX$3&gt;=$F$93)*$I$93/12*(1+$G$93)^IF($K$93="Annual",INT(MAX(0,BX$3-$F$93)/12),5*INT(MAX(0,BX$3-$F$93)/60)))+((BX$3&gt;=$F$94)*$I$94/12*(1+$G$94)^IF($K$94="Annual",INT(MAX(0,BX$3-$F$94)/12),5*INT(MAX(0,BX$3-$F$94)/60)))+((BX$3&gt;=$F$95)*$I$95/12*(1+$G$95)^IF($K$95="Annual",INT(MAX(0,BX$3-$F$95)/12),5*INT(MAX(0,BX$3-$F$95)/60)))+((BX$3&gt;=$F$96)*$I$96/12*(1+$G$96)^IF($K$96="Annual",INT(MAX(0,BX$3-$F$96)/12),5*INT(MAX(0,BX$3-$F$96)/60)))+((BX$3&gt;=$F$97)*$I$97/12*(1+$G$97)^IF($K$97="Annual",INT(MAX(0,BX$3-$F$97)/12),5*INT(MAX(0,BX$3-$F$97)/60)))+((BX$3&gt;=$F$98)*$I$98/12*(1+$G$98)^IF($K$98="Annual",INT(MAX(0,BX$3-$F$98)/12),5*INT(MAX(0,BX$3-$F$98)/60)))+((BX$3&gt;=$F$99)*$I$99/12*(1+$G$99)^IF($K$99="Annual",INT(MAX(0,BX$3-$F$99)/12),5*INT(MAX(0,BX$3-$F$99)/60)))+((BX$3&gt;=$F$100)*$I$100/12*(1+$G$100)^IF($K$100="Annual",INT(MAX(0,BX$3-$F$100)/12),5*INT(MAX(0,BX$3-$F$100)/60)))+((BX$3&gt;=$F$101)*$I$101/12*(1+$G$101)^IF($K$101="Annual",INT(MAX(0,BX$3-$F$101)/12),5*INT(MAX(0,BX$3-$F$101)/60))))</f>
        <v>196625.903316667</v>
      </c>
      <c r="BY140" s="7" t="n">
        <f aca="false">(BY$3&lt;=$I$15)*(((BY$3&gt;=$F$93)*$I$93/12*(1+$G$93)^IF($K$93="Annual",INT(MAX(0,BY$3-$F$93)/12),5*INT(MAX(0,BY$3-$F$93)/60)))+((BY$3&gt;=$F$94)*$I$94/12*(1+$G$94)^IF($K$94="Annual",INT(MAX(0,BY$3-$F$94)/12),5*INT(MAX(0,BY$3-$F$94)/60)))+((BY$3&gt;=$F$95)*$I$95/12*(1+$G$95)^IF($K$95="Annual",INT(MAX(0,BY$3-$F$95)/12),5*INT(MAX(0,BY$3-$F$95)/60)))+((BY$3&gt;=$F$96)*$I$96/12*(1+$G$96)^IF($K$96="Annual",INT(MAX(0,BY$3-$F$96)/12),5*INT(MAX(0,BY$3-$F$96)/60)))+((BY$3&gt;=$F$97)*$I$97/12*(1+$G$97)^IF($K$97="Annual",INT(MAX(0,BY$3-$F$97)/12),5*INT(MAX(0,BY$3-$F$97)/60)))+((BY$3&gt;=$F$98)*$I$98/12*(1+$G$98)^IF($K$98="Annual",INT(MAX(0,BY$3-$F$98)/12),5*INT(MAX(0,BY$3-$F$98)/60)))+((BY$3&gt;=$F$99)*$I$99/12*(1+$G$99)^IF($K$99="Annual",INT(MAX(0,BY$3-$F$99)/12),5*INT(MAX(0,BY$3-$F$99)/60)))+((BY$3&gt;=$F$100)*$I$100/12*(1+$G$100)^IF($K$100="Annual",INT(MAX(0,BY$3-$F$100)/12),5*INT(MAX(0,BY$3-$F$100)/60)))+((BY$3&gt;=$F$101)*$I$101/12*(1+$G$101)^IF($K$101="Annual",INT(MAX(0,BY$3-$F$101)/12),5*INT(MAX(0,BY$3-$F$101)/60))))</f>
        <v>196900.676416667</v>
      </c>
      <c r="BZ140" s="7" t="n">
        <f aca="false">(BZ$3&lt;=$I$15)*(((BZ$3&gt;=$F$93)*$I$93/12*(1+$G$93)^IF($K$93="Annual",INT(MAX(0,BZ$3-$F$93)/12),5*INT(MAX(0,BZ$3-$F$93)/60)))+((BZ$3&gt;=$F$94)*$I$94/12*(1+$G$94)^IF($K$94="Annual",INT(MAX(0,BZ$3-$F$94)/12),5*INT(MAX(0,BZ$3-$F$94)/60)))+((BZ$3&gt;=$F$95)*$I$95/12*(1+$G$95)^IF($K$95="Annual",INT(MAX(0,BZ$3-$F$95)/12),5*INT(MAX(0,BZ$3-$F$95)/60)))+((BZ$3&gt;=$F$96)*$I$96/12*(1+$G$96)^IF($K$96="Annual",INT(MAX(0,BZ$3-$F$96)/12),5*INT(MAX(0,BZ$3-$F$96)/60)))+((BZ$3&gt;=$F$97)*$I$97/12*(1+$G$97)^IF($K$97="Annual",INT(MAX(0,BZ$3-$F$97)/12),5*INT(MAX(0,BZ$3-$F$97)/60)))+((BZ$3&gt;=$F$98)*$I$98/12*(1+$G$98)^IF($K$98="Annual",INT(MAX(0,BZ$3-$F$98)/12),5*INT(MAX(0,BZ$3-$F$98)/60)))+((BZ$3&gt;=$F$99)*$I$99/12*(1+$G$99)^IF($K$99="Annual",INT(MAX(0,BZ$3-$F$99)/12),5*INT(MAX(0,BZ$3-$F$99)/60)))+((BZ$3&gt;=$F$100)*$I$100/12*(1+$G$100)^IF($K$100="Annual",INT(MAX(0,BZ$3-$F$100)/12),5*INT(MAX(0,BZ$3-$F$100)/60)))+((BZ$3&gt;=$F$101)*$I$101/12*(1+$G$101)^IF($K$101="Annual",INT(MAX(0,BZ$3-$F$101)/12),5*INT(MAX(0,BZ$3-$F$101)/60))))</f>
        <v>196900.676416667</v>
      </c>
      <c r="CA140" s="7" t="n">
        <f aca="false">(CA$3&lt;=$I$15)*(((CA$3&gt;=$F$93)*$I$93/12*(1+$G$93)^IF($K$93="Annual",INT(MAX(0,CA$3-$F$93)/12),5*INT(MAX(0,CA$3-$F$93)/60)))+((CA$3&gt;=$F$94)*$I$94/12*(1+$G$94)^IF($K$94="Annual",INT(MAX(0,CA$3-$F$94)/12),5*INT(MAX(0,CA$3-$F$94)/60)))+((CA$3&gt;=$F$95)*$I$95/12*(1+$G$95)^IF($K$95="Annual",INT(MAX(0,CA$3-$F$95)/12),5*INT(MAX(0,CA$3-$F$95)/60)))+((CA$3&gt;=$F$96)*$I$96/12*(1+$G$96)^IF($K$96="Annual",INT(MAX(0,CA$3-$F$96)/12),5*INT(MAX(0,CA$3-$F$96)/60)))+((CA$3&gt;=$F$97)*$I$97/12*(1+$G$97)^IF($K$97="Annual",INT(MAX(0,CA$3-$F$97)/12),5*INT(MAX(0,CA$3-$F$97)/60)))+((CA$3&gt;=$F$98)*$I$98/12*(1+$G$98)^IF($K$98="Annual",INT(MAX(0,CA$3-$F$98)/12),5*INT(MAX(0,CA$3-$F$98)/60)))+((CA$3&gt;=$F$99)*$I$99/12*(1+$G$99)^IF($K$99="Annual",INT(MAX(0,CA$3-$F$99)/12),5*INT(MAX(0,CA$3-$F$99)/60)))+((CA$3&gt;=$F$100)*$I$100/12*(1+$G$100)^IF($K$100="Annual",INT(MAX(0,CA$3-$F$100)/12),5*INT(MAX(0,CA$3-$F$100)/60)))+((CA$3&gt;=$F$101)*$I$101/12*(1+$G$101)^IF($K$101="Annual",INT(MAX(0,CA$3-$F$101)/12),5*INT(MAX(0,CA$3-$F$101)/60))))</f>
        <v>197342.010816667</v>
      </c>
      <c r="CB140" s="7" t="n">
        <f aca="false">(CB$3&lt;=$I$15)*(((CB$3&gt;=$F$93)*$I$93/12*(1+$G$93)^IF($K$93="Annual",INT(MAX(0,CB$3-$F$93)/12),5*INT(MAX(0,CB$3-$F$93)/60)))+((CB$3&gt;=$F$94)*$I$94/12*(1+$G$94)^IF($K$94="Annual",INT(MAX(0,CB$3-$F$94)/12),5*INT(MAX(0,CB$3-$F$94)/60)))+((CB$3&gt;=$F$95)*$I$95/12*(1+$G$95)^IF($K$95="Annual",INT(MAX(0,CB$3-$F$95)/12),5*INT(MAX(0,CB$3-$F$95)/60)))+((CB$3&gt;=$F$96)*$I$96/12*(1+$G$96)^IF($K$96="Annual",INT(MAX(0,CB$3-$F$96)/12),5*INT(MAX(0,CB$3-$F$96)/60)))+((CB$3&gt;=$F$97)*$I$97/12*(1+$G$97)^IF($K$97="Annual",INT(MAX(0,CB$3-$F$97)/12),5*INT(MAX(0,CB$3-$F$97)/60)))+((CB$3&gt;=$F$98)*$I$98/12*(1+$G$98)^IF($K$98="Annual",INT(MAX(0,CB$3-$F$98)/12),5*INT(MAX(0,CB$3-$F$98)/60)))+((CB$3&gt;=$F$99)*$I$99/12*(1+$G$99)^IF($K$99="Annual",INT(MAX(0,CB$3-$F$99)/12),5*INT(MAX(0,CB$3-$F$99)/60)))+((CB$3&gt;=$F$100)*$I$100/12*(1+$G$100)^IF($K$100="Annual",INT(MAX(0,CB$3-$F$100)/12),5*INT(MAX(0,CB$3-$F$100)/60)))+((CB$3&gt;=$F$101)*$I$101/12*(1+$G$101)^IF($K$101="Annual",INT(MAX(0,CB$3-$F$101)/12),5*INT(MAX(0,CB$3-$F$101)/60))))</f>
        <v>197342.010816667</v>
      </c>
      <c r="CC140" s="7" t="n">
        <f aca="false">(CC$3&lt;=$I$15)*(((CC$3&gt;=$F$93)*$I$93/12*(1+$G$93)^IF($K$93="Annual",INT(MAX(0,CC$3-$F$93)/12),5*INT(MAX(0,CC$3-$F$93)/60)))+((CC$3&gt;=$F$94)*$I$94/12*(1+$G$94)^IF($K$94="Annual",INT(MAX(0,CC$3-$F$94)/12),5*INT(MAX(0,CC$3-$F$94)/60)))+((CC$3&gt;=$F$95)*$I$95/12*(1+$G$95)^IF($K$95="Annual",INT(MAX(0,CC$3-$F$95)/12),5*INT(MAX(0,CC$3-$F$95)/60)))+((CC$3&gt;=$F$96)*$I$96/12*(1+$G$96)^IF($K$96="Annual",INT(MAX(0,CC$3-$F$96)/12),5*INT(MAX(0,CC$3-$F$96)/60)))+((CC$3&gt;=$F$97)*$I$97/12*(1+$G$97)^IF($K$97="Annual",INT(MAX(0,CC$3-$F$97)/12),5*INT(MAX(0,CC$3-$F$97)/60)))+((CC$3&gt;=$F$98)*$I$98/12*(1+$G$98)^IF($K$98="Annual",INT(MAX(0,CC$3-$F$98)/12),5*INT(MAX(0,CC$3-$F$98)/60)))+((CC$3&gt;=$F$99)*$I$99/12*(1+$G$99)^IF($K$99="Annual",INT(MAX(0,CC$3-$F$99)/12),5*INT(MAX(0,CC$3-$F$99)/60)))+((CC$3&gt;=$F$100)*$I$100/12*(1+$G$100)^IF($K$100="Annual",INT(MAX(0,CC$3-$F$100)/12),5*INT(MAX(0,CC$3-$F$100)/60)))+((CC$3&gt;=$F$101)*$I$101/12*(1+$G$101)^IF($K$101="Annual",INT(MAX(0,CC$3-$F$101)/12),5*INT(MAX(0,CC$3-$F$101)/60))))</f>
        <v>197342.010816667</v>
      </c>
      <c r="CD140" s="7" t="n">
        <f aca="false">(CD$3&lt;=$I$15)*(((CD$3&gt;=$F$93)*$I$93/12*(1+$G$93)^IF($K$93="Annual",INT(MAX(0,CD$3-$F$93)/12),5*INT(MAX(0,CD$3-$F$93)/60)))+((CD$3&gt;=$F$94)*$I$94/12*(1+$G$94)^IF($K$94="Annual",INT(MAX(0,CD$3-$F$94)/12),5*INT(MAX(0,CD$3-$F$94)/60)))+((CD$3&gt;=$F$95)*$I$95/12*(1+$G$95)^IF($K$95="Annual",INT(MAX(0,CD$3-$F$95)/12),5*INT(MAX(0,CD$3-$F$95)/60)))+((CD$3&gt;=$F$96)*$I$96/12*(1+$G$96)^IF($K$96="Annual",INT(MAX(0,CD$3-$F$96)/12),5*INT(MAX(0,CD$3-$F$96)/60)))+((CD$3&gt;=$F$97)*$I$97/12*(1+$G$97)^IF($K$97="Annual",INT(MAX(0,CD$3-$F$97)/12),5*INT(MAX(0,CD$3-$F$97)/60)))+((CD$3&gt;=$F$98)*$I$98/12*(1+$G$98)^IF($K$98="Annual",INT(MAX(0,CD$3-$F$98)/12),5*INT(MAX(0,CD$3-$F$98)/60)))+((CD$3&gt;=$F$99)*$I$99/12*(1+$G$99)^IF($K$99="Annual",INT(MAX(0,CD$3-$F$99)/12),5*INT(MAX(0,CD$3-$F$99)/60)))+((CD$3&gt;=$F$100)*$I$100/12*(1+$G$100)^IF($K$100="Annual",INT(MAX(0,CD$3-$F$100)/12),5*INT(MAX(0,CD$3-$F$100)/60)))+((CD$3&gt;=$F$101)*$I$101/12*(1+$G$101)^IF($K$101="Annual",INT(MAX(0,CD$3-$F$101)/12),5*INT(MAX(0,CD$3-$F$101)/60))))</f>
        <v>197342.010816667</v>
      </c>
      <c r="CE140" s="7" t="n">
        <f aca="false">(CE$3&lt;=$I$15)*(((CE$3&gt;=$F$93)*$I$93/12*(1+$G$93)^IF($K$93="Annual",INT(MAX(0,CE$3-$F$93)/12),5*INT(MAX(0,CE$3-$F$93)/60)))+((CE$3&gt;=$F$94)*$I$94/12*(1+$G$94)^IF($K$94="Annual",INT(MAX(0,CE$3-$F$94)/12),5*INT(MAX(0,CE$3-$F$94)/60)))+((CE$3&gt;=$F$95)*$I$95/12*(1+$G$95)^IF($K$95="Annual",INT(MAX(0,CE$3-$F$95)/12),5*INT(MAX(0,CE$3-$F$95)/60)))+((CE$3&gt;=$F$96)*$I$96/12*(1+$G$96)^IF($K$96="Annual",INT(MAX(0,CE$3-$F$96)/12),5*INT(MAX(0,CE$3-$F$96)/60)))+((CE$3&gt;=$F$97)*$I$97/12*(1+$G$97)^IF($K$97="Annual",INT(MAX(0,CE$3-$F$97)/12),5*INT(MAX(0,CE$3-$F$97)/60)))+((CE$3&gt;=$F$98)*$I$98/12*(1+$G$98)^IF($K$98="Annual",INT(MAX(0,CE$3-$F$98)/12),5*INT(MAX(0,CE$3-$F$98)/60)))+((CE$3&gt;=$F$99)*$I$99/12*(1+$G$99)^IF($K$99="Annual",INT(MAX(0,CE$3-$F$99)/12),5*INT(MAX(0,CE$3-$F$99)/60)))+((CE$3&gt;=$F$100)*$I$100/12*(1+$G$100)^IF($K$100="Annual",INT(MAX(0,CE$3-$F$100)/12),5*INT(MAX(0,CE$3-$F$100)/60)))+((CE$3&gt;=$F$101)*$I$101/12*(1+$G$101)^IF($K$101="Annual",INT(MAX(0,CE$3-$F$101)/12),5*INT(MAX(0,CE$3-$F$101)/60))))</f>
        <v>197743.587989167</v>
      </c>
      <c r="CF140" s="7" t="n">
        <f aca="false">(CF$3&lt;=$I$15)*(((CF$3&gt;=$F$93)*$I$93/12*(1+$G$93)^IF($K$93="Annual",INT(MAX(0,CF$3-$F$93)/12),5*INT(MAX(0,CF$3-$F$93)/60)))+((CF$3&gt;=$F$94)*$I$94/12*(1+$G$94)^IF($K$94="Annual",INT(MAX(0,CF$3-$F$94)/12),5*INT(MAX(0,CF$3-$F$94)/60)))+((CF$3&gt;=$F$95)*$I$95/12*(1+$G$95)^IF($K$95="Annual",INT(MAX(0,CF$3-$F$95)/12),5*INT(MAX(0,CF$3-$F$95)/60)))+((CF$3&gt;=$F$96)*$I$96/12*(1+$G$96)^IF($K$96="Annual",INT(MAX(0,CF$3-$F$96)/12),5*INT(MAX(0,CF$3-$F$96)/60)))+((CF$3&gt;=$F$97)*$I$97/12*(1+$G$97)^IF($K$97="Annual",INT(MAX(0,CF$3-$F$97)/12),5*INT(MAX(0,CF$3-$F$97)/60)))+((CF$3&gt;=$F$98)*$I$98/12*(1+$G$98)^IF($K$98="Annual",INT(MAX(0,CF$3-$F$98)/12),5*INT(MAX(0,CF$3-$F$98)/60)))+((CF$3&gt;=$F$99)*$I$99/12*(1+$G$99)^IF($K$99="Annual",INT(MAX(0,CF$3-$F$99)/12),5*INT(MAX(0,CF$3-$F$99)/60)))+((CF$3&gt;=$F$100)*$I$100/12*(1+$G$100)^IF($K$100="Annual",INT(MAX(0,CF$3-$F$100)/12),5*INT(MAX(0,CF$3-$F$100)/60)))+((CF$3&gt;=$F$101)*$I$101/12*(1+$G$101)^IF($K$101="Annual",INT(MAX(0,CF$3-$F$101)/12),5*INT(MAX(0,CF$3-$F$101)/60))))</f>
        <v>197743.587989167</v>
      </c>
      <c r="CG140" s="7" t="n">
        <f aca="false">(CG$3&lt;=$I$15)*(((CG$3&gt;=$F$93)*$I$93/12*(1+$G$93)^IF($K$93="Annual",INT(MAX(0,CG$3-$F$93)/12),5*INT(MAX(0,CG$3-$F$93)/60)))+((CG$3&gt;=$F$94)*$I$94/12*(1+$G$94)^IF($K$94="Annual",INT(MAX(0,CG$3-$F$94)/12),5*INT(MAX(0,CG$3-$F$94)/60)))+((CG$3&gt;=$F$95)*$I$95/12*(1+$G$95)^IF($K$95="Annual",INT(MAX(0,CG$3-$F$95)/12),5*INT(MAX(0,CG$3-$F$95)/60)))+((CG$3&gt;=$F$96)*$I$96/12*(1+$G$96)^IF($K$96="Annual",INT(MAX(0,CG$3-$F$96)/12),5*INT(MAX(0,CG$3-$F$96)/60)))+((CG$3&gt;=$F$97)*$I$97/12*(1+$G$97)^IF($K$97="Annual",INT(MAX(0,CG$3-$F$97)/12),5*INT(MAX(0,CG$3-$F$97)/60)))+((CG$3&gt;=$F$98)*$I$98/12*(1+$G$98)^IF($K$98="Annual",INT(MAX(0,CG$3-$F$98)/12),5*INT(MAX(0,CG$3-$F$98)/60)))+((CG$3&gt;=$F$99)*$I$99/12*(1+$G$99)^IF($K$99="Annual",INT(MAX(0,CG$3-$F$99)/12),5*INT(MAX(0,CG$3-$F$99)/60)))+((CG$3&gt;=$F$100)*$I$100/12*(1+$G$100)^IF($K$100="Annual",INT(MAX(0,CG$3-$F$100)/12),5*INT(MAX(0,CG$3-$F$100)/60)))+((CG$3&gt;=$F$101)*$I$101/12*(1+$G$101)^IF($K$101="Annual",INT(MAX(0,CG$3-$F$101)/12),5*INT(MAX(0,CG$3-$F$101)/60))))</f>
        <v>198612.305954167</v>
      </c>
      <c r="CH140" s="7" t="n">
        <f aca="false">(CH$3&lt;=$I$15)*(((CH$3&gt;=$F$93)*$I$93/12*(1+$G$93)^IF($K$93="Annual",INT(MAX(0,CH$3-$F$93)/12),5*INT(MAX(0,CH$3-$F$93)/60)))+((CH$3&gt;=$F$94)*$I$94/12*(1+$G$94)^IF($K$94="Annual",INT(MAX(0,CH$3-$F$94)/12),5*INT(MAX(0,CH$3-$F$94)/60)))+((CH$3&gt;=$F$95)*$I$95/12*(1+$G$95)^IF($K$95="Annual",INT(MAX(0,CH$3-$F$95)/12),5*INT(MAX(0,CH$3-$F$95)/60)))+((CH$3&gt;=$F$96)*$I$96/12*(1+$G$96)^IF($K$96="Annual",INT(MAX(0,CH$3-$F$96)/12),5*INT(MAX(0,CH$3-$F$96)/60)))+((CH$3&gt;=$F$97)*$I$97/12*(1+$G$97)^IF($K$97="Annual",INT(MAX(0,CH$3-$F$97)/12),5*INT(MAX(0,CH$3-$F$97)/60)))+((CH$3&gt;=$F$98)*$I$98/12*(1+$G$98)^IF($K$98="Annual",INT(MAX(0,CH$3-$F$98)/12),5*INT(MAX(0,CH$3-$F$98)/60)))+((CH$3&gt;=$F$99)*$I$99/12*(1+$G$99)^IF($K$99="Annual",INT(MAX(0,CH$3-$F$99)/12),5*INT(MAX(0,CH$3-$F$99)/60)))+((CH$3&gt;=$F$100)*$I$100/12*(1+$G$100)^IF($K$100="Annual",INT(MAX(0,CH$3-$F$100)/12),5*INT(MAX(0,CH$3-$F$100)/60)))+((CH$3&gt;=$F$101)*$I$101/12*(1+$G$101)^IF($K$101="Annual",INT(MAX(0,CH$3-$F$101)/12),5*INT(MAX(0,CH$3-$F$101)/60))))</f>
        <v>198612.305954167</v>
      </c>
      <c r="CI140" s="7" t="n">
        <f aca="false">(CI$3&lt;=$I$15)*(((CI$3&gt;=$F$93)*$I$93/12*(1+$G$93)^IF($K$93="Annual",INT(MAX(0,CI$3-$F$93)/12),5*INT(MAX(0,CI$3-$F$93)/60)))+((CI$3&gt;=$F$94)*$I$94/12*(1+$G$94)^IF($K$94="Annual",INT(MAX(0,CI$3-$F$94)/12),5*INT(MAX(0,CI$3-$F$94)/60)))+((CI$3&gt;=$F$95)*$I$95/12*(1+$G$95)^IF($K$95="Annual",INT(MAX(0,CI$3-$F$95)/12),5*INT(MAX(0,CI$3-$F$95)/60)))+((CI$3&gt;=$F$96)*$I$96/12*(1+$G$96)^IF($K$96="Annual",INT(MAX(0,CI$3-$F$96)/12),5*INT(MAX(0,CI$3-$F$96)/60)))+((CI$3&gt;=$F$97)*$I$97/12*(1+$G$97)^IF($K$97="Annual",INT(MAX(0,CI$3-$F$97)/12),5*INT(MAX(0,CI$3-$F$97)/60)))+((CI$3&gt;=$F$98)*$I$98/12*(1+$G$98)^IF($K$98="Annual",INT(MAX(0,CI$3-$F$98)/12),5*INT(MAX(0,CI$3-$F$98)/60)))+((CI$3&gt;=$F$99)*$I$99/12*(1+$G$99)^IF($K$99="Annual",INT(MAX(0,CI$3-$F$99)/12),5*INT(MAX(0,CI$3-$F$99)/60)))+((CI$3&gt;=$F$100)*$I$100/12*(1+$G$100)^IF($K$100="Annual",INT(MAX(0,CI$3-$F$100)/12),5*INT(MAX(0,CI$3-$F$100)/60)))+((CI$3&gt;=$F$101)*$I$101/12*(1+$G$101)^IF($K$101="Annual",INT(MAX(0,CI$3-$F$101)/12),5*INT(MAX(0,CI$3-$F$101)/60))))</f>
        <v>198946.680416167</v>
      </c>
      <c r="CJ140" s="7" t="n">
        <f aca="false">(CJ$3&lt;=$I$15)*(((CJ$3&gt;=$F$93)*$I$93/12*(1+$G$93)^IF($K$93="Annual",INT(MAX(0,CJ$3-$F$93)/12),5*INT(MAX(0,CJ$3-$F$93)/60)))+((CJ$3&gt;=$F$94)*$I$94/12*(1+$G$94)^IF($K$94="Annual",INT(MAX(0,CJ$3-$F$94)/12),5*INT(MAX(0,CJ$3-$F$94)/60)))+((CJ$3&gt;=$F$95)*$I$95/12*(1+$G$95)^IF($K$95="Annual",INT(MAX(0,CJ$3-$F$95)/12),5*INT(MAX(0,CJ$3-$F$95)/60)))+((CJ$3&gt;=$F$96)*$I$96/12*(1+$G$96)^IF($K$96="Annual",INT(MAX(0,CJ$3-$F$96)/12),5*INT(MAX(0,CJ$3-$F$96)/60)))+((CJ$3&gt;=$F$97)*$I$97/12*(1+$G$97)^IF($K$97="Annual",INT(MAX(0,CJ$3-$F$97)/12),5*INT(MAX(0,CJ$3-$F$97)/60)))+((CJ$3&gt;=$F$98)*$I$98/12*(1+$G$98)^IF($K$98="Annual",INT(MAX(0,CJ$3-$F$98)/12),5*INT(MAX(0,CJ$3-$F$98)/60)))+((CJ$3&gt;=$F$99)*$I$99/12*(1+$G$99)^IF($K$99="Annual",INT(MAX(0,CJ$3-$F$99)/12),5*INT(MAX(0,CJ$3-$F$99)/60)))+((CJ$3&gt;=$F$100)*$I$100/12*(1+$G$100)^IF($K$100="Annual",INT(MAX(0,CJ$3-$F$100)/12),5*INT(MAX(0,CJ$3-$F$100)/60)))+((CJ$3&gt;=$F$101)*$I$101/12*(1+$G$101)^IF($K$101="Annual",INT(MAX(0,CJ$3-$F$101)/12),5*INT(MAX(0,CJ$3-$F$101)/60))))</f>
        <v>198946.680416167</v>
      </c>
      <c r="CK140" s="7" t="n">
        <f aca="false">(CK$3&lt;=$I$15)*(((CK$3&gt;=$F$93)*$I$93/12*(1+$G$93)^IF($K$93="Annual",INT(MAX(0,CK$3-$F$93)/12),5*INT(MAX(0,CK$3-$F$93)/60)))+((CK$3&gt;=$F$94)*$I$94/12*(1+$G$94)^IF($K$94="Annual",INT(MAX(0,CK$3-$F$94)/12),5*INT(MAX(0,CK$3-$F$94)/60)))+((CK$3&gt;=$F$95)*$I$95/12*(1+$G$95)^IF($K$95="Annual",INT(MAX(0,CK$3-$F$95)/12),5*INT(MAX(0,CK$3-$F$95)/60)))+((CK$3&gt;=$F$96)*$I$96/12*(1+$G$96)^IF($K$96="Annual",INT(MAX(0,CK$3-$F$96)/12),5*INT(MAX(0,CK$3-$F$96)/60)))+((CK$3&gt;=$F$97)*$I$97/12*(1+$G$97)^IF($K$97="Annual",INT(MAX(0,CK$3-$F$97)/12),5*INT(MAX(0,CK$3-$F$97)/60)))+((CK$3&gt;=$F$98)*$I$98/12*(1+$G$98)^IF($K$98="Annual",INT(MAX(0,CK$3-$F$98)/12),5*INT(MAX(0,CK$3-$F$98)/60)))+((CK$3&gt;=$F$99)*$I$99/12*(1+$G$99)^IF($K$99="Annual",INT(MAX(0,CK$3-$F$99)/12),5*INT(MAX(0,CK$3-$F$99)/60)))+((CK$3&gt;=$F$100)*$I$100/12*(1+$G$100)^IF($K$100="Annual",INT(MAX(0,CK$3-$F$100)/12),5*INT(MAX(0,CK$3-$F$100)/60)))+((CK$3&gt;=$F$101)*$I$101/12*(1+$G$101)^IF($K$101="Annual",INT(MAX(0,CK$3-$F$101)/12),5*INT(MAX(0,CK$3-$F$101)/60))))</f>
        <v>199229.696709167</v>
      </c>
      <c r="CL140" s="7" t="n">
        <f aca="false">(CL$3&lt;=$I$15)*(((CL$3&gt;=$F$93)*$I$93/12*(1+$G$93)^IF($K$93="Annual",INT(MAX(0,CL$3-$F$93)/12),5*INT(MAX(0,CL$3-$F$93)/60)))+((CL$3&gt;=$F$94)*$I$94/12*(1+$G$94)^IF($K$94="Annual",INT(MAX(0,CL$3-$F$94)/12),5*INT(MAX(0,CL$3-$F$94)/60)))+((CL$3&gt;=$F$95)*$I$95/12*(1+$G$95)^IF($K$95="Annual",INT(MAX(0,CL$3-$F$95)/12),5*INT(MAX(0,CL$3-$F$95)/60)))+((CL$3&gt;=$F$96)*$I$96/12*(1+$G$96)^IF($K$96="Annual",INT(MAX(0,CL$3-$F$96)/12),5*INT(MAX(0,CL$3-$F$96)/60)))+((CL$3&gt;=$F$97)*$I$97/12*(1+$G$97)^IF($K$97="Annual",INT(MAX(0,CL$3-$F$97)/12),5*INT(MAX(0,CL$3-$F$97)/60)))+((CL$3&gt;=$F$98)*$I$98/12*(1+$G$98)^IF($K$98="Annual",INT(MAX(0,CL$3-$F$98)/12),5*INT(MAX(0,CL$3-$F$98)/60)))+((CL$3&gt;=$F$99)*$I$99/12*(1+$G$99)^IF($K$99="Annual",INT(MAX(0,CL$3-$F$99)/12),5*INT(MAX(0,CL$3-$F$99)/60)))+((CL$3&gt;=$F$100)*$I$100/12*(1+$G$100)^IF($K$100="Annual",INT(MAX(0,CL$3-$F$100)/12),5*INT(MAX(0,CL$3-$F$100)/60)))+((CL$3&gt;=$F$101)*$I$101/12*(1+$G$101)^IF($K$101="Annual",INT(MAX(0,CL$3-$F$101)/12),5*INT(MAX(0,CL$3-$F$101)/60))))</f>
        <v>199229.696709167</v>
      </c>
      <c r="CM140" s="7" t="n">
        <f aca="false">(CM$3&lt;=$I$15)*(((CM$3&gt;=$F$93)*$I$93/12*(1+$G$93)^IF($K$93="Annual",INT(MAX(0,CM$3-$F$93)/12),5*INT(MAX(0,CM$3-$F$93)/60)))+((CM$3&gt;=$F$94)*$I$94/12*(1+$G$94)^IF($K$94="Annual",INT(MAX(0,CM$3-$F$94)/12),5*INT(MAX(0,CM$3-$F$94)/60)))+((CM$3&gt;=$F$95)*$I$95/12*(1+$G$95)^IF($K$95="Annual",INT(MAX(0,CM$3-$F$95)/12),5*INT(MAX(0,CM$3-$F$95)/60)))+((CM$3&gt;=$F$96)*$I$96/12*(1+$G$96)^IF($K$96="Annual",INT(MAX(0,CM$3-$F$96)/12),5*INT(MAX(0,CM$3-$F$96)/60)))+((CM$3&gt;=$F$97)*$I$97/12*(1+$G$97)^IF($K$97="Annual",INT(MAX(0,CM$3-$F$97)/12),5*INT(MAX(0,CM$3-$F$97)/60)))+((CM$3&gt;=$F$98)*$I$98/12*(1+$G$98)^IF($K$98="Annual",INT(MAX(0,CM$3-$F$98)/12),5*INT(MAX(0,CM$3-$F$98)/60)))+((CM$3&gt;=$F$99)*$I$99/12*(1+$G$99)^IF($K$99="Annual",INT(MAX(0,CM$3-$F$99)/12),5*INT(MAX(0,CM$3-$F$99)/60)))+((CM$3&gt;=$F$100)*$I$100/12*(1+$G$100)^IF($K$100="Annual",INT(MAX(0,CM$3-$F$100)/12),5*INT(MAX(0,CM$3-$F$100)/60)))+((CM$3&gt;=$F$101)*$I$101/12*(1+$G$101)^IF($K$101="Annual",INT(MAX(0,CM$3-$F$101)/12),5*INT(MAX(0,CM$3-$F$101)/60))))</f>
        <v>209126.825807833</v>
      </c>
      <c r="CN140" s="7" t="n">
        <f aca="false">(CN$3&lt;=$I$15)*(((CN$3&gt;=$F$93)*$I$93/12*(1+$G$93)^IF($K$93="Annual",INT(MAX(0,CN$3-$F$93)/12),5*INT(MAX(0,CN$3-$F$93)/60)))+((CN$3&gt;=$F$94)*$I$94/12*(1+$G$94)^IF($K$94="Annual",INT(MAX(0,CN$3-$F$94)/12),5*INT(MAX(0,CN$3-$F$94)/60)))+((CN$3&gt;=$F$95)*$I$95/12*(1+$G$95)^IF($K$95="Annual",INT(MAX(0,CN$3-$F$95)/12),5*INT(MAX(0,CN$3-$F$95)/60)))+((CN$3&gt;=$F$96)*$I$96/12*(1+$G$96)^IF($K$96="Annual",INT(MAX(0,CN$3-$F$96)/12),5*INT(MAX(0,CN$3-$F$96)/60)))+((CN$3&gt;=$F$97)*$I$97/12*(1+$G$97)^IF($K$97="Annual",INT(MAX(0,CN$3-$F$97)/12),5*INT(MAX(0,CN$3-$F$97)/60)))+((CN$3&gt;=$F$98)*$I$98/12*(1+$G$98)^IF($K$98="Annual",INT(MAX(0,CN$3-$F$98)/12),5*INT(MAX(0,CN$3-$F$98)/60)))+((CN$3&gt;=$F$99)*$I$99/12*(1+$G$99)^IF($K$99="Annual",INT(MAX(0,CN$3-$F$99)/12),5*INT(MAX(0,CN$3-$F$99)/60)))+((CN$3&gt;=$F$100)*$I$100/12*(1+$G$100)^IF($K$100="Annual",INT(MAX(0,CN$3-$F$100)/12),5*INT(MAX(0,CN$3-$F$100)/60)))+((CN$3&gt;=$F$101)*$I$101/12*(1+$G$101)^IF($K$101="Annual",INT(MAX(0,CN$3-$F$101)/12),5*INT(MAX(0,CN$3-$F$101)/60))))</f>
        <v>209126.825807833</v>
      </c>
      <c r="CO140" s="7" t="n">
        <f aca="false">(CO$3&lt;=$I$15)*(((CO$3&gt;=$F$93)*$I$93/12*(1+$G$93)^IF($K$93="Annual",INT(MAX(0,CO$3-$F$93)/12),5*INT(MAX(0,CO$3-$F$93)/60)))+((CO$3&gt;=$F$94)*$I$94/12*(1+$G$94)^IF($K$94="Annual",INT(MAX(0,CO$3-$F$94)/12),5*INT(MAX(0,CO$3-$F$94)/60)))+((CO$3&gt;=$F$95)*$I$95/12*(1+$G$95)^IF($K$95="Annual",INT(MAX(0,CO$3-$F$95)/12),5*INT(MAX(0,CO$3-$F$95)/60)))+((CO$3&gt;=$F$96)*$I$96/12*(1+$G$96)^IF($K$96="Annual",INT(MAX(0,CO$3-$F$96)/12),5*INT(MAX(0,CO$3-$F$96)/60)))+((CO$3&gt;=$F$97)*$I$97/12*(1+$G$97)^IF($K$97="Annual",INT(MAX(0,CO$3-$F$97)/12),5*INT(MAX(0,CO$3-$F$97)/60)))+((CO$3&gt;=$F$98)*$I$98/12*(1+$G$98)^IF($K$98="Annual",INT(MAX(0,CO$3-$F$98)/12),5*INT(MAX(0,CO$3-$F$98)/60)))+((CO$3&gt;=$F$99)*$I$99/12*(1+$G$99)^IF($K$99="Annual",INT(MAX(0,CO$3-$F$99)/12),5*INT(MAX(0,CO$3-$F$99)/60)))+((CO$3&gt;=$F$100)*$I$100/12*(1+$G$100)^IF($K$100="Annual",INT(MAX(0,CO$3-$F$100)/12),5*INT(MAX(0,CO$3-$F$100)/60)))+((CO$3&gt;=$F$101)*$I$101/12*(1+$G$101)^IF($K$101="Annual",INT(MAX(0,CO$3-$F$101)/12),5*INT(MAX(0,CO$3-$F$101)/60))))</f>
        <v>272497.763807833</v>
      </c>
      <c r="CP140" s="7" t="n">
        <f aca="false">(CP$3&lt;=$I$15)*(((CP$3&gt;=$F$93)*$I$93/12*(1+$G$93)^IF($K$93="Annual",INT(MAX(0,CP$3-$F$93)/12),5*INT(MAX(0,CP$3-$F$93)/60)))+((CP$3&gt;=$F$94)*$I$94/12*(1+$G$94)^IF($K$94="Annual",INT(MAX(0,CP$3-$F$94)/12),5*INT(MAX(0,CP$3-$F$94)/60)))+((CP$3&gt;=$F$95)*$I$95/12*(1+$G$95)^IF($K$95="Annual",INT(MAX(0,CP$3-$F$95)/12),5*INT(MAX(0,CP$3-$F$95)/60)))+((CP$3&gt;=$F$96)*$I$96/12*(1+$G$96)^IF($K$96="Annual",INT(MAX(0,CP$3-$F$96)/12),5*INT(MAX(0,CP$3-$F$96)/60)))+((CP$3&gt;=$F$97)*$I$97/12*(1+$G$97)^IF($K$97="Annual",INT(MAX(0,CP$3-$F$97)/12),5*INT(MAX(0,CP$3-$F$97)/60)))+((CP$3&gt;=$F$98)*$I$98/12*(1+$G$98)^IF($K$98="Annual",INT(MAX(0,CP$3-$F$98)/12),5*INT(MAX(0,CP$3-$F$98)/60)))+((CP$3&gt;=$F$99)*$I$99/12*(1+$G$99)^IF($K$99="Annual",INT(MAX(0,CP$3-$F$99)/12),5*INT(MAX(0,CP$3-$F$99)/60)))+((CP$3&gt;=$F$100)*$I$100/12*(1+$G$100)^IF($K$100="Annual",INT(MAX(0,CP$3-$F$100)/12),5*INT(MAX(0,CP$3-$F$100)/60)))+((CP$3&gt;=$F$101)*$I$101/12*(1+$G$101)^IF($K$101="Annual",INT(MAX(0,CP$3-$F$101)/12),5*INT(MAX(0,CP$3-$F$101)/60))))</f>
        <v>272497.763807833</v>
      </c>
      <c r="CQ140" s="7" t="n">
        <f aca="false">(CQ$3&lt;=$I$15)*(((CQ$3&gt;=$F$93)*$I$93/12*(1+$G$93)^IF($K$93="Annual",INT(MAX(0,CQ$3-$F$93)/12),5*INT(MAX(0,CQ$3-$F$93)/60)))+((CQ$3&gt;=$F$94)*$I$94/12*(1+$G$94)^IF($K$94="Annual",INT(MAX(0,CQ$3-$F$94)/12),5*INT(MAX(0,CQ$3-$F$94)/60)))+((CQ$3&gt;=$F$95)*$I$95/12*(1+$G$95)^IF($K$95="Annual",INT(MAX(0,CQ$3-$F$95)/12),5*INT(MAX(0,CQ$3-$F$95)/60)))+((CQ$3&gt;=$F$96)*$I$96/12*(1+$G$96)^IF($K$96="Annual",INT(MAX(0,CQ$3-$F$96)/12),5*INT(MAX(0,CQ$3-$F$96)/60)))+((CQ$3&gt;=$F$97)*$I$97/12*(1+$G$97)^IF($K$97="Annual",INT(MAX(0,CQ$3-$F$97)/12),5*INT(MAX(0,CQ$3-$F$97)/60)))+((CQ$3&gt;=$F$98)*$I$98/12*(1+$G$98)^IF($K$98="Annual",INT(MAX(0,CQ$3-$F$98)/12),5*INT(MAX(0,CQ$3-$F$98)/60)))+((CQ$3&gt;=$F$99)*$I$99/12*(1+$G$99)^IF($K$99="Annual",INT(MAX(0,CQ$3-$F$99)/12),5*INT(MAX(0,CQ$3-$F$99)/60)))+((CQ$3&gt;=$F$100)*$I$100/12*(1+$G$100)^IF($K$100="Annual",INT(MAX(0,CQ$3-$F$100)/12),5*INT(MAX(0,CQ$3-$F$100)/60)))+((CQ$3&gt;=$F$101)*$I$101/12*(1+$G$101)^IF($K$101="Annual",INT(MAX(0,CQ$3-$F$101)/12),5*INT(MAX(0,CQ$3-$F$101)/60))))</f>
        <v>272911.388295508</v>
      </c>
      <c r="CR140" s="7" t="n">
        <f aca="false">(CR$3&lt;=$I$15)*(((CR$3&gt;=$F$93)*$I$93/12*(1+$G$93)^IF($K$93="Annual",INT(MAX(0,CR$3-$F$93)/12),5*INT(MAX(0,CR$3-$F$93)/60)))+((CR$3&gt;=$F$94)*$I$94/12*(1+$G$94)^IF($K$94="Annual",INT(MAX(0,CR$3-$F$94)/12),5*INT(MAX(0,CR$3-$F$94)/60)))+((CR$3&gt;=$F$95)*$I$95/12*(1+$G$95)^IF($K$95="Annual",INT(MAX(0,CR$3-$F$95)/12),5*INT(MAX(0,CR$3-$F$95)/60)))+((CR$3&gt;=$F$96)*$I$96/12*(1+$G$96)^IF($K$96="Annual",INT(MAX(0,CR$3-$F$96)/12),5*INT(MAX(0,CR$3-$F$96)/60)))+((CR$3&gt;=$F$97)*$I$97/12*(1+$G$97)^IF($K$97="Annual",INT(MAX(0,CR$3-$F$97)/12),5*INT(MAX(0,CR$3-$F$97)/60)))+((CR$3&gt;=$F$98)*$I$98/12*(1+$G$98)^IF($K$98="Annual",INT(MAX(0,CR$3-$F$98)/12),5*INT(MAX(0,CR$3-$F$98)/60)))+((CR$3&gt;=$F$99)*$I$99/12*(1+$G$99)^IF($K$99="Annual",INT(MAX(0,CR$3-$F$99)/12),5*INT(MAX(0,CR$3-$F$99)/60)))+((CR$3&gt;=$F$100)*$I$100/12*(1+$G$100)^IF($K$100="Annual",INT(MAX(0,CR$3-$F$100)/12),5*INT(MAX(0,CR$3-$F$100)/60)))+((CR$3&gt;=$F$101)*$I$101/12*(1+$G$101)^IF($K$101="Annual",INT(MAX(0,CR$3-$F$101)/12),5*INT(MAX(0,CR$3-$F$101)/60))))</f>
        <v>272911.388295508</v>
      </c>
      <c r="CS140" s="7" t="n">
        <f aca="false">(CS$3&lt;=$I$15)*(((CS$3&gt;=$F$93)*$I$93/12*(1+$G$93)^IF($K$93="Annual",INT(MAX(0,CS$3-$F$93)/12),5*INT(MAX(0,CS$3-$F$93)/60)))+((CS$3&gt;=$F$94)*$I$94/12*(1+$G$94)^IF($K$94="Annual",INT(MAX(0,CS$3-$F$94)/12),5*INT(MAX(0,CS$3-$F$94)/60)))+((CS$3&gt;=$F$95)*$I$95/12*(1+$G$95)^IF($K$95="Annual",INT(MAX(0,CS$3-$F$95)/12),5*INT(MAX(0,CS$3-$F$95)/60)))+((CS$3&gt;=$F$96)*$I$96/12*(1+$G$96)^IF($K$96="Annual",INT(MAX(0,CS$3-$F$96)/12),5*INT(MAX(0,CS$3-$F$96)/60)))+((CS$3&gt;=$F$97)*$I$97/12*(1+$G$97)^IF($K$97="Annual",INT(MAX(0,CS$3-$F$97)/12),5*INT(MAX(0,CS$3-$F$97)/60)))+((CS$3&gt;=$F$98)*$I$98/12*(1+$G$98)^IF($K$98="Annual",INT(MAX(0,CS$3-$F$98)/12),5*INT(MAX(0,CS$3-$F$98)/60)))+((CS$3&gt;=$F$99)*$I$99/12*(1+$G$99)^IF($K$99="Annual",INT(MAX(0,CS$3-$F$99)/12),5*INT(MAX(0,CS$3-$F$99)/60)))+((CS$3&gt;=$F$100)*$I$100/12*(1+$G$100)^IF($K$100="Annual",INT(MAX(0,CS$3-$F$100)/12),5*INT(MAX(0,CS$3-$F$100)/60)))+((CS$3&gt;=$F$101)*$I$101/12*(1+$G$101)^IF($K$101="Annual",INT(MAX(0,CS$3-$F$101)/12),5*INT(MAX(0,CS$3-$F$101)/60))))</f>
        <v>273806.167799458</v>
      </c>
      <c r="CT140" s="7" t="n">
        <f aca="false">(CT$3&lt;=$I$15)*(((CT$3&gt;=$F$93)*$I$93/12*(1+$G$93)^IF($K$93="Annual",INT(MAX(0,CT$3-$F$93)/12),5*INT(MAX(0,CT$3-$F$93)/60)))+((CT$3&gt;=$F$94)*$I$94/12*(1+$G$94)^IF($K$94="Annual",INT(MAX(0,CT$3-$F$94)/12),5*INT(MAX(0,CT$3-$F$94)/60)))+((CT$3&gt;=$F$95)*$I$95/12*(1+$G$95)^IF($K$95="Annual",INT(MAX(0,CT$3-$F$95)/12),5*INT(MAX(0,CT$3-$F$95)/60)))+((CT$3&gt;=$F$96)*$I$96/12*(1+$G$96)^IF($K$96="Annual",INT(MAX(0,CT$3-$F$96)/12),5*INT(MAX(0,CT$3-$F$96)/60)))+((CT$3&gt;=$F$97)*$I$97/12*(1+$G$97)^IF($K$97="Annual",INT(MAX(0,CT$3-$F$97)/12),5*INT(MAX(0,CT$3-$F$97)/60)))+((CT$3&gt;=$F$98)*$I$98/12*(1+$G$98)^IF($K$98="Annual",INT(MAX(0,CT$3-$F$98)/12),5*INT(MAX(0,CT$3-$F$98)/60)))+((CT$3&gt;=$F$99)*$I$99/12*(1+$G$99)^IF($K$99="Annual",INT(MAX(0,CT$3-$F$99)/12),5*INT(MAX(0,CT$3-$F$99)/60)))+((CT$3&gt;=$F$100)*$I$100/12*(1+$G$100)^IF($K$100="Annual",INT(MAX(0,CT$3-$F$100)/12),5*INT(MAX(0,CT$3-$F$100)/60)))+((CT$3&gt;=$F$101)*$I$101/12*(1+$G$101)^IF($K$101="Annual",INT(MAX(0,CT$3-$F$101)/12),5*INT(MAX(0,CT$3-$F$101)/60))))</f>
        <v>273806.167799458</v>
      </c>
      <c r="CU140" s="7" t="n">
        <f aca="false">(CU$3&lt;=$I$15)*(((CU$3&gt;=$F$93)*$I$93/12*(1+$G$93)^IF($K$93="Annual",INT(MAX(0,CU$3-$F$93)/12),5*INT(MAX(0,CU$3-$F$93)/60)))+((CU$3&gt;=$F$94)*$I$94/12*(1+$G$94)^IF($K$94="Annual",INT(MAX(0,CU$3-$F$94)/12),5*INT(MAX(0,CU$3-$F$94)/60)))+((CU$3&gt;=$F$95)*$I$95/12*(1+$G$95)^IF($K$95="Annual",INT(MAX(0,CU$3-$F$95)/12),5*INT(MAX(0,CU$3-$F$95)/60)))+((CU$3&gt;=$F$96)*$I$96/12*(1+$G$96)^IF($K$96="Annual",INT(MAX(0,CU$3-$F$96)/12),5*INT(MAX(0,CU$3-$F$96)/60)))+((CU$3&gt;=$F$97)*$I$97/12*(1+$G$97)^IF($K$97="Annual",INT(MAX(0,CU$3-$F$97)/12),5*INT(MAX(0,CU$3-$F$97)/60)))+((CU$3&gt;=$F$98)*$I$98/12*(1+$G$98)^IF($K$98="Annual",INT(MAX(0,CU$3-$F$98)/12),5*INT(MAX(0,CU$3-$F$98)/60)))+((CU$3&gt;=$F$99)*$I$99/12*(1+$G$99)^IF($K$99="Annual",INT(MAX(0,CU$3-$F$99)/12),5*INT(MAX(0,CU$3-$F$99)/60)))+((CU$3&gt;=$F$100)*$I$100/12*(1+$G$100)^IF($K$100="Annual",INT(MAX(0,CU$3-$F$100)/12),5*INT(MAX(0,CU$3-$F$100)/60)))+((CU$3&gt;=$F$101)*$I$101/12*(1+$G$101)^IF($K$101="Annual",INT(MAX(0,CU$3-$F$101)/12),5*INT(MAX(0,CU$3-$F$101)/60))))</f>
        <v>274150.573495318</v>
      </c>
      <c r="CV140" s="7" t="n">
        <f aca="false">(CV$3&lt;=$I$15)*(((CV$3&gt;=$F$93)*$I$93/12*(1+$G$93)^IF($K$93="Annual",INT(MAX(0,CV$3-$F$93)/12),5*INT(MAX(0,CV$3-$F$93)/60)))+((CV$3&gt;=$F$94)*$I$94/12*(1+$G$94)^IF($K$94="Annual",INT(MAX(0,CV$3-$F$94)/12),5*INT(MAX(0,CV$3-$F$94)/60)))+((CV$3&gt;=$F$95)*$I$95/12*(1+$G$95)^IF($K$95="Annual",INT(MAX(0,CV$3-$F$95)/12),5*INT(MAX(0,CV$3-$F$95)/60)))+((CV$3&gt;=$F$96)*$I$96/12*(1+$G$96)^IF($K$96="Annual",INT(MAX(0,CV$3-$F$96)/12),5*INT(MAX(0,CV$3-$F$96)/60)))+((CV$3&gt;=$F$97)*$I$97/12*(1+$G$97)^IF($K$97="Annual",INT(MAX(0,CV$3-$F$97)/12),5*INT(MAX(0,CV$3-$F$97)/60)))+((CV$3&gt;=$F$98)*$I$98/12*(1+$G$98)^IF($K$98="Annual",INT(MAX(0,CV$3-$F$98)/12),5*INT(MAX(0,CV$3-$F$98)/60)))+((CV$3&gt;=$F$99)*$I$99/12*(1+$G$99)^IF($K$99="Annual",INT(MAX(0,CV$3-$F$99)/12),5*INT(MAX(0,CV$3-$F$99)/60)))+((CV$3&gt;=$F$100)*$I$100/12*(1+$G$100)^IF($K$100="Annual",INT(MAX(0,CV$3-$F$100)/12),5*INT(MAX(0,CV$3-$F$100)/60)))+((CV$3&gt;=$F$101)*$I$101/12*(1+$G$101)^IF($K$101="Annual",INT(MAX(0,CV$3-$F$101)/12),5*INT(MAX(0,CV$3-$F$101)/60))))</f>
        <v>274150.573495318</v>
      </c>
      <c r="CW140" s="7" t="n">
        <f aca="false">(CW$3&lt;=$I$15)*(((CW$3&gt;=$F$93)*$I$93/12*(1+$G$93)^IF($K$93="Annual",INT(MAX(0,CW$3-$F$93)/12),5*INT(MAX(0,CW$3-$F$93)/60)))+((CW$3&gt;=$F$94)*$I$94/12*(1+$G$94)^IF($K$94="Annual",INT(MAX(0,CW$3-$F$94)/12),5*INT(MAX(0,CW$3-$F$94)/60)))+((CW$3&gt;=$F$95)*$I$95/12*(1+$G$95)^IF($K$95="Annual",INT(MAX(0,CW$3-$F$95)/12),5*INT(MAX(0,CW$3-$F$95)/60)))+((CW$3&gt;=$F$96)*$I$96/12*(1+$G$96)^IF($K$96="Annual",INT(MAX(0,CW$3-$F$96)/12),5*INT(MAX(0,CW$3-$F$96)/60)))+((CW$3&gt;=$F$97)*$I$97/12*(1+$G$97)^IF($K$97="Annual",INT(MAX(0,CW$3-$F$97)/12),5*INT(MAX(0,CW$3-$F$97)/60)))+((CW$3&gt;=$F$98)*$I$98/12*(1+$G$98)^IF($K$98="Annual",INT(MAX(0,CW$3-$F$98)/12),5*INT(MAX(0,CW$3-$F$98)/60)))+((CW$3&gt;=$F$99)*$I$99/12*(1+$G$99)^IF($K$99="Annual",INT(MAX(0,CW$3-$F$99)/12),5*INT(MAX(0,CW$3-$F$99)/60)))+((CW$3&gt;=$F$100)*$I$100/12*(1+$G$100)^IF($K$100="Annual",INT(MAX(0,CW$3-$F$100)/12),5*INT(MAX(0,CW$3-$F$100)/60)))+((CW$3&gt;=$F$101)*$I$101/12*(1+$G$101)^IF($K$101="Annual",INT(MAX(0,CW$3-$F$101)/12),5*INT(MAX(0,CW$3-$F$101)/60))))</f>
        <v>274442.080277108</v>
      </c>
      <c r="CX140" s="7" t="n">
        <f aca="false">(CX$3&lt;=$I$15)*(((CX$3&gt;=$F$93)*$I$93/12*(1+$G$93)^IF($K$93="Annual",INT(MAX(0,CX$3-$F$93)/12),5*INT(MAX(0,CX$3-$F$93)/60)))+((CX$3&gt;=$F$94)*$I$94/12*(1+$G$94)^IF($K$94="Annual",INT(MAX(0,CX$3-$F$94)/12),5*INT(MAX(0,CX$3-$F$94)/60)))+((CX$3&gt;=$F$95)*$I$95/12*(1+$G$95)^IF($K$95="Annual",INT(MAX(0,CX$3-$F$95)/12),5*INT(MAX(0,CX$3-$F$95)/60)))+((CX$3&gt;=$F$96)*$I$96/12*(1+$G$96)^IF($K$96="Annual",INT(MAX(0,CX$3-$F$96)/12),5*INT(MAX(0,CX$3-$F$96)/60)))+((CX$3&gt;=$F$97)*$I$97/12*(1+$G$97)^IF($K$97="Annual",INT(MAX(0,CX$3-$F$97)/12),5*INT(MAX(0,CX$3-$F$97)/60)))+((CX$3&gt;=$F$98)*$I$98/12*(1+$G$98)^IF($K$98="Annual",INT(MAX(0,CX$3-$F$98)/12),5*INT(MAX(0,CX$3-$F$98)/60)))+((CX$3&gt;=$F$99)*$I$99/12*(1+$G$99)^IF($K$99="Annual",INT(MAX(0,CX$3-$F$99)/12),5*INT(MAX(0,CX$3-$F$99)/60)))+((CX$3&gt;=$F$100)*$I$100/12*(1+$G$100)^IF($K$100="Annual",INT(MAX(0,CX$3-$F$100)/12),5*INT(MAX(0,CX$3-$F$100)/60)))+((CX$3&gt;=$F$101)*$I$101/12*(1+$G$101)^IF($K$101="Annual",INT(MAX(0,CX$3-$F$101)/12),5*INT(MAX(0,CX$3-$F$101)/60))))</f>
        <v>274442.080277108</v>
      </c>
      <c r="CY140" s="7" t="n">
        <f aca="false">(CY$3&lt;=$I$15)*(((CY$3&gt;=$F$93)*$I$93/12*(1+$G$93)^IF($K$93="Annual",INT(MAX(0,CY$3-$F$93)/12),5*INT(MAX(0,CY$3-$F$93)/60)))+((CY$3&gt;=$F$94)*$I$94/12*(1+$G$94)^IF($K$94="Annual",INT(MAX(0,CY$3-$F$94)/12),5*INT(MAX(0,CY$3-$F$94)/60)))+((CY$3&gt;=$F$95)*$I$95/12*(1+$G$95)^IF($K$95="Annual",INT(MAX(0,CY$3-$F$95)/12),5*INT(MAX(0,CY$3-$F$95)/60)))+((CY$3&gt;=$F$96)*$I$96/12*(1+$G$96)^IF($K$96="Annual",INT(MAX(0,CY$3-$F$96)/12),5*INT(MAX(0,CY$3-$F$96)/60)))+((CY$3&gt;=$F$97)*$I$97/12*(1+$G$97)^IF($K$97="Annual",INT(MAX(0,CY$3-$F$97)/12),5*INT(MAX(0,CY$3-$F$97)/60)))+((CY$3&gt;=$F$98)*$I$98/12*(1+$G$98)^IF($K$98="Annual",INT(MAX(0,CY$3-$F$98)/12),5*INT(MAX(0,CY$3-$F$98)/60)))+((CY$3&gt;=$F$99)*$I$99/12*(1+$G$99)^IF($K$99="Annual",INT(MAX(0,CY$3-$F$99)/12),5*INT(MAX(0,CY$3-$F$99)/60)))+((CY$3&gt;=$F$100)*$I$100/12*(1+$G$100)^IF($K$100="Annual",INT(MAX(0,CY$3-$F$100)/12),5*INT(MAX(0,CY$3-$F$100)/60)))+((CY$3&gt;=$F$101)*$I$101/12*(1+$G$101)^IF($K$101="Annual",INT(MAX(0,CY$3-$F$101)/12),5*INT(MAX(0,CY$3-$F$101)/60))))</f>
        <v>274910.291942068</v>
      </c>
      <c r="CZ140" s="7" t="n">
        <f aca="false">(CZ$3&lt;=$I$15)*(((CZ$3&gt;=$F$93)*$I$93/12*(1+$G$93)^IF($K$93="Annual",INT(MAX(0,CZ$3-$F$93)/12),5*INT(MAX(0,CZ$3-$F$93)/60)))+((CZ$3&gt;=$F$94)*$I$94/12*(1+$G$94)^IF($K$94="Annual",INT(MAX(0,CZ$3-$F$94)/12),5*INT(MAX(0,CZ$3-$F$94)/60)))+((CZ$3&gt;=$F$95)*$I$95/12*(1+$G$95)^IF($K$95="Annual",INT(MAX(0,CZ$3-$F$95)/12),5*INT(MAX(0,CZ$3-$F$95)/60)))+((CZ$3&gt;=$F$96)*$I$96/12*(1+$G$96)^IF($K$96="Annual",INT(MAX(0,CZ$3-$F$96)/12),5*INT(MAX(0,CZ$3-$F$96)/60)))+((CZ$3&gt;=$F$97)*$I$97/12*(1+$G$97)^IF($K$97="Annual",INT(MAX(0,CZ$3-$F$97)/12),5*INT(MAX(0,CZ$3-$F$97)/60)))+((CZ$3&gt;=$F$98)*$I$98/12*(1+$G$98)^IF($K$98="Annual",INT(MAX(0,CZ$3-$F$98)/12),5*INT(MAX(0,CZ$3-$F$98)/60)))+((CZ$3&gt;=$F$99)*$I$99/12*(1+$G$99)^IF($K$99="Annual",INT(MAX(0,CZ$3-$F$99)/12),5*INT(MAX(0,CZ$3-$F$99)/60)))+((CZ$3&gt;=$F$100)*$I$100/12*(1+$G$100)^IF($K$100="Annual",INT(MAX(0,CZ$3-$F$100)/12),5*INT(MAX(0,CZ$3-$F$100)/60)))+((CZ$3&gt;=$F$101)*$I$101/12*(1+$G$101)^IF($K$101="Annual",INT(MAX(0,CZ$3-$F$101)/12),5*INT(MAX(0,CZ$3-$F$101)/60))))</f>
        <v>274910.291942068</v>
      </c>
      <c r="DA140" s="7" t="n">
        <f aca="false">(DA$3&lt;=$I$15)*(((DA$3&gt;=$F$93)*$I$93/12*(1+$G$93)^IF($K$93="Annual",INT(MAX(0,DA$3-$F$93)/12),5*INT(MAX(0,DA$3-$F$93)/60)))+((DA$3&gt;=$F$94)*$I$94/12*(1+$G$94)^IF($K$94="Annual",INT(MAX(0,DA$3-$F$94)/12),5*INT(MAX(0,DA$3-$F$94)/60)))+((DA$3&gt;=$F$95)*$I$95/12*(1+$G$95)^IF($K$95="Annual",INT(MAX(0,DA$3-$F$95)/12),5*INT(MAX(0,DA$3-$F$95)/60)))+((DA$3&gt;=$F$96)*$I$96/12*(1+$G$96)^IF($K$96="Annual",INT(MAX(0,DA$3-$F$96)/12),5*INT(MAX(0,DA$3-$F$96)/60)))+((DA$3&gt;=$F$97)*$I$97/12*(1+$G$97)^IF($K$97="Annual",INT(MAX(0,DA$3-$F$97)/12),5*INT(MAX(0,DA$3-$F$97)/60)))+((DA$3&gt;=$F$98)*$I$98/12*(1+$G$98)^IF($K$98="Annual",INT(MAX(0,DA$3-$F$98)/12),5*INT(MAX(0,DA$3-$F$98)/60)))+((DA$3&gt;=$F$99)*$I$99/12*(1+$G$99)^IF($K$99="Annual",INT(MAX(0,DA$3-$F$99)/12),5*INT(MAX(0,DA$3-$F$99)/60)))+((DA$3&gt;=$F$100)*$I$100/12*(1+$G$100)^IF($K$100="Annual",INT(MAX(0,DA$3-$F$100)/12),5*INT(MAX(0,DA$3-$F$100)/60)))+((DA$3&gt;=$F$101)*$I$101/12*(1+$G$101)^IF($K$101="Annual",INT(MAX(0,DA$3-$F$101)/12),5*INT(MAX(0,DA$3-$F$101)/60))))</f>
        <v>274910.291942068</v>
      </c>
      <c r="DB140" s="7" t="n">
        <f aca="false">(DB$3&lt;=$I$15)*(((DB$3&gt;=$F$93)*$I$93/12*(1+$G$93)^IF($K$93="Annual",INT(MAX(0,DB$3-$F$93)/12),5*INT(MAX(0,DB$3-$F$93)/60)))+((DB$3&gt;=$F$94)*$I$94/12*(1+$G$94)^IF($K$94="Annual",INT(MAX(0,DB$3-$F$94)/12),5*INT(MAX(0,DB$3-$F$94)/60)))+((DB$3&gt;=$F$95)*$I$95/12*(1+$G$95)^IF($K$95="Annual",INT(MAX(0,DB$3-$F$95)/12),5*INT(MAX(0,DB$3-$F$95)/60)))+((DB$3&gt;=$F$96)*$I$96/12*(1+$G$96)^IF($K$96="Annual",INT(MAX(0,DB$3-$F$96)/12),5*INT(MAX(0,DB$3-$F$96)/60)))+((DB$3&gt;=$F$97)*$I$97/12*(1+$G$97)^IF($K$97="Annual",INT(MAX(0,DB$3-$F$97)/12),5*INT(MAX(0,DB$3-$F$97)/60)))+((DB$3&gt;=$F$98)*$I$98/12*(1+$G$98)^IF($K$98="Annual",INT(MAX(0,DB$3-$F$98)/12),5*INT(MAX(0,DB$3-$F$98)/60)))+((DB$3&gt;=$F$99)*$I$99/12*(1+$G$99)^IF($K$99="Annual",INT(MAX(0,DB$3-$F$99)/12),5*INT(MAX(0,DB$3-$F$99)/60)))+((DB$3&gt;=$F$100)*$I$100/12*(1+$G$100)^IF($K$100="Annual",INT(MAX(0,DB$3-$F$100)/12),5*INT(MAX(0,DB$3-$F$100)/60)))+((DB$3&gt;=$F$101)*$I$101/12*(1+$G$101)^IF($K$101="Annual",INT(MAX(0,DB$3-$F$101)/12),5*INT(MAX(0,DB$3-$F$101)/60))))</f>
        <v>274910.291942068</v>
      </c>
      <c r="DC140" s="7" t="n">
        <f aca="false">(DC$3&lt;=$I$15)*(((DC$3&gt;=$F$93)*$I$93/12*(1+$G$93)^IF($K$93="Annual",INT(MAX(0,DC$3-$F$93)/12),5*INT(MAX(0,DC$3-$F$93)/60)))+((DC$3&gt;=$F$94)*$I$94/12*(1+$G$94)^IF($K$94="Annual",INT(MAX(0,DC$3-$F$94)/12),5*INT(MAX(0,DC$3-$F$94)/60)))+((DC$3&gt;=$F$95)*$I$95/12*(1+$G$95)^IF($K$95="Annual",INT(MAX(0,DC$3-$F$95)/12),5*INT(MAX(0,DC$3-$F$95)/60)))+((DC$3&gt;=$F$96)*$I$96/12*(1+$G$96)^IF($K$96="Annual",INT(MAX(0,DC$3-$F$96)/12),5*INT(MAX(0,DC$3-$F$96)/60)))+((DC$3&gt;=$F$97)*$I$97/12*(1+$G$97)^IF($K$97="Annual",INT(MAX(0,DC$3-$F$97)/12),5*INT(MAX(0,DC$3-$F$97)/60)))+((DC$3&gt;=$F$98)*$I$98/12*(1+$G$98)^IF($K$98="Annual",INT(MAX(0,DC$3-$F$98)/12),5*INT(MAX(0,DC$3-$F$98)/60)))+((DC$3&gt;=$F$99)*$I$99/12*(1+$G$99)^IF($K$99="Annual",INT(MAX(0,DC$3-$F$99)/12),5*INT(MAX(0,DC$3-$F$99)/60)))+((DC$3&gt;=$F$100)*$I$100/12*(1+$G$100)^IF($K$100="Annual",INT(MAX(0,DC$3-$F$100)/12),5*INT(MAX(0,DC$3-$F$100)/60)))+((DC$3&gt;=$F$101)*$I$101/12*(1+$G$101)^IF($K$101="Annual",INT(MAX(0,DC$3-$F$101)/12),5*INT(MAX(0,DC$3-$F$101)/60))))</f>
        <v>275336.325164374</v>
      </c>
      <c r="DD140" s="7" t="n">
        <f aca="false">(DD$3&lt;=$I$15)*(((DD$3&gt;=$F$93)*$I$93/12*(1+$G$93)^IF($K$93="Annual",INT(MAX(0,DD$3-$F$93)/12),5*INT(MAX(0,DD$3-$F$93)/60)))+((DD$3&gt;=$F$94)*$I$94/12*(1+$G$94)^IF($K$94="Annual",INT(MAX(0,DD$3-$F$94)/12),5*INT(MAX(0,DD$3-$F$94)/60)))+((DD$3&gt;=$F$95)*$I$95/12*(1+$G$95)^IF($K$95="Annual",INT(MAX(0,DD$3-$F$95)/12),5*INT(MAX(0,DD$3-$F$95)/60)))+((DD$3&gt;=$F$96)*$I$96/12*(1+$G$96)^IF($K$96="Annual",INT(MAX(0,DD$3-$F$96)/12),5*INT(MAX(0,DD$3-$F$96)/60)))+((DD$3&gt;=$F$97)*$I$97/12*(1+$G$97)^IF($K$97="Annual",INT(MAX(0,DD$3-$F$97)/12),5*INT(MAX(0,DD$3-$F$97)/60)))+((DD$3&gt;=$F$98)*$I$98/12*(1+$G$98)^IF($K$98="Annual",INT(MAX(0,DD$3-$F$98)/12),5*INT(MAX(0,DD$3-$F$98)/60)))+((DD$3&gt;=$F$99)*$I$99/12*(1+$G$99)^IF($K$99="Annual",INT(MAX(0,DD$3-$F$99)/12),5*INT(MAX(0,DD$3-$F$99)/60)))+((DD$3&gt;=$F$100)*$I$100/12*(1+$G$100)^IF($K$100="Annual",INT(MAX(0,DD$3-$F$100)/12),5*INT(MAX(0,DD$3-$F$100)/60)))+((DD$3&gt;=$F$101)*$I$101/12*(1+$G$101)^IF($K$101="Annual",INT(MAX(0,DD$3-$F$101)/12),5*INT(MAX(0,DD$3-$F$101)/60))))</f>
        <v>275336.325164374</v>
      </c>
      <c r="DE140" s="7" t="n">
        <f aca="false">(DE$3&lt;=$I$15)*(((DE$3&gt;=$F$93)*$I$93/12*(1+$G$93)^IF($K$93="Annual",INT(MAX(0,DE$3-$F$93)/12),5*INT(MAX(0,DE$3-$F$93)/60)))+((DE$3&gt;=$F$94)*$I$94/12*(1+$G$94)^IF($K$94="Annual",INT(MAX(0,DE$3-$F$94)/12),5*INT(MAX(0,DE$3-$F$94)/60)))+((DE$3&gt;=$F$95)*$I$95/12*(1+$G$95)^IF($K$95="Annual",INT(MAX(0,DE$3-$F$95)/12),5*INT(MAX(0,DE$3-$F$95)/60)))+((DE$3&gt;=$F$96)*$I$96/12*(1+$G$96)^IF($K$96="Annual",INT(MAX(0,DE$3-$F$96)/12),5*INT(MAX(0,DE$3-$F$96)/60)))+((DE$3&gt;=$F$97)*$I$97/12*(1+$G$97)^IF($K$97="Annual",INT(MAX(0,DE$3-$F$97)/12),5*INT(MAX(0,DE$3-$F$97)/60)))+((DE$3&gt;=$F$98)*$I$98/12*(1+$G$98)^IF($K$98="Annual",INT(MAX(0,DE$3-$F$98)/12),5*INT(MAX(0,DE$3-$F$98)/60)))+((DE$3&gt;=$F$99)*$I$99/12*(1+$G$99)^IF($K$99="Annual",INT(MAX(0,DE$3-$F$99)/12),5*INT(MAX(0,DE$3-$F$99)/60)))+((DE$3&gt;=$F$100)*$I$100/12*(1+$G$100)^IF($K$100="Annual",INT(MAX(0,DE$3-$F$100)/12),5*INT(MAX(0,DE$3-$F$100)/60)))+((DE$3&gt;=$F$101)*$I$101/12*(1+$G$101)^IF($K$101="Annual",INT(MAX(0,DE$3-$F$101)/12),5*INT(MAX(0,DE$3-$F$101)/60))))</f>
        <v>0</v>
      </c>
      <c r="DF140" s="7" t="n">
        <f aca="false">(DF$3&lt;=$I$15)*(((DF$3&gt;=$F$93)*$I$93/12*(1+$G$93)^IF($K$93="Annual",INT(MAX(0,DF$3-$F$93)/12),5*INT(MAX(0,DF$3-$F$93)/60)))+((DF$3&gt;=$F$94)*$I$94/12*(1+$G$94)^IF($K$94="Annual",INT(MAX(0,DF$3-$F$94)/12),5*INT(MAX(0,DF$3-$F$94)/60)))+((DF$3&gt;=$F$95)*$I$95/12*(1+$G$95)^IF($K$95="Annual",INT(MAX(0,DF$3-$F$95)/12),5*INT(MAX(0,DF$3-$F$95)/60)))+((DF$3&gt;=$F$96)*$I$96/12*(1+$G$96)^IF($K$96="Annual",INT(MAX(0,DF$3-$F$96)/12),5*INT(MAX(0,DF$3-$F$96)/60)))+((DF$3&gt;=$F$97)*$I$97/12*(1+$G$97)^IF($K$97="Annual",INT(MAX(0,DF$3-$F$97)/12),5*INT(MAX(0,DF$3-$F$97)/60)))+((DF$3&gt;=$F$98)*$I$98/12*(1+$G$98)^IF($K$98="Annual",INT(MAX(0,DF$3-$F$98)/12),5*INT(MAX(0,DF$3-$F$98)/60)))+((DF$3&gt;=$F$99)*$I$99/12*(1+$G$99)^IF($K$99="Annual",INT(MAX(0,DF$3-$F$99)/12),5*INT(MAX(0,DF$3-$F$99)/60)))+((DF$3&gt;=$F$100)*$I$100/12*(1+$G$100)^IF($K$100="Annual",INT(MAX(0,DF$3-$F$100)/12),5*INT(MAX(0,DF$3-$F$100)/60)))+((DF$3&gt;=$F$101)*$I$101/12*(1+$G$101)^IF($K$101="Annual",INT(MAX(0,DF$3-$F$101)/12),5*INT(MAX(0,DF$3-$F$101)/60))))</f>
        <v>0</v>
      </c>
      <c r="DG140" s="7" t="n">
        <f aca="false">(DG$3&lt;=$I$15)*(((DG$3&gt;=$F$93)*$I$93/12*(1+$G$93)^IF($K$93="Annual",INT(MAX(0,DG$3-$F$93)/12),5*INT(MAX(0,DG$3-$F$93)/60)))+((DG$3&gt;=$F$94)*$I$94/12*(1+$G$94)^IF($K$94="Annual",INT(MAX(0,DG$3-$F$94)/12),5*INT(MAX(0,DG$3-$F$94)/60)))+((DG$3&gt;=$F$95)*$I$95/12*(1+$G$95)^IF($K$95="Annual",INT(MAX(0,DG$3-$F$95)/12),5*INT(MAX(0,DG$3-$F$95)/60)))+((DG$3&gt;=$F$96)*$I$96/12*(1+$G$96)^IF($K$96="Annual",INT(MAX(0,DG$3-$F$96)/12),5*INT(MAX(0,DG$3-$F$96)/60)))+((DG$3&gt;=$F$97)*$I$97/12*(1+$G$97)^IF($K$97="Annual",INT(MAX(0,DG$3-$F$97)/12),5*INT(MAX(0,DG$3-$F$97)/60)))+((DG$3&gt;=$F$98)*$I$98/12*(1+$G$98)^IF($K$98="Annual",INT(MAX(0,DG$3-$F$98)/12),5*INT(MAX(0,DG$3-$F$98)/60)))+((DG$3&gt;=$F$99)*$I$99/12*(1+$G$99)^IF($K$99="Annual",INT(MAX(0,DG$3-$F$99)/12),5*INT(MAX(0,DG$3-$F$99)/60)))+((DG$3&gt;=$F$100)*$I$100/12*(1+$G$100)^IF($K$100="Annual",INT(MAX(0,DG$3-$F$100)/12),5*INT(MAX(0,DG$3-$F$100)/60)))+((DG$3&gt;=$F$101)*$I$101/12*(1+$G$101)^IF($K$101="Annual",INT(MAX(0,DG$3-$F$101)/12),5*INT(MAX(0,DG$3-$F$101)/60))))</f>
        <v>0</v>
      </c>
      <c r="DH140" s="7" t="n">
        <f aca="false">(DH$3&lt;=$I$15)*(((DH$3&gt;=$F$93)*$I$93/12*(1+$G$93)^IF($K$93="Annual",INT(MAX(0,DH$3-$F$93)/12),5*INT(MAX(0,DH$3-$F$93)/60)))+((DH$3&gt;=$F$94)*$I$94/12*(1+$G$94)^IF($K$94="Annual",INT(MAX(0,DH$3-$F$94)/12),5*INT(MAX(0,DH$3-$F$94)/60)))+((DH$3&gt;=$F$95)*$I$95/12*(1+$G$95)^IF($K$95="Annual",INT(MAX(0,DH$3-$F$95)/12),5*INT(MAX(0,DH$3-$F$95)/60)))+((DH$3&gt;=$F$96)*$I$96/12*(1+$G$96)^IF($K$96="Annual",INT(MAX(0,DH$3-$F$96)/12),5*INT(MAX(0,DH$3-$F$96)/60)))+((DH$3&gt;=$F$97)*$I$97/12*(1+$G$97)^IF($K$97="Annual",INT(MAX(0,DH$3-$F$97)/12),5*INT(MAX(0,DH$3-$F$97)/60)))+((DH$3&gt;=$F$98)*$I$98/12*(1+$G$98)^IF($K$98="Annual",INT(MAX(0,DH$3-$F$98)/12),5*INT(MAX(0,DH$3-$F$98)/60)))+((DH$3&gt;=$F$99)*$I$99/12*(1+$G$99)^IF($K$99="Annual",INT(MAX(0,DH$3-$F$99)/12),5*INT(MAX(0,DH$3-$F$99)/60)))+((DH$3&gt;=$F$100)*$I$100/12*(1+$G$100)^IF($K$100="Annual",INT(MAX(0,DH$3-$F$100)/12),5*INT(MAX(0,DH$3-$F$100)/60)))+((DH$3&gt;=$F$101)*$I$101/12*(1+$G$101)^IF($K$101="Annual",INT(MAX(0,DH$3-$F$101)/12),5*INT(MAX(0,DH$3-$F$101)/60))))</f>
        <v>0</v>
      </c>
      <c r="DI140" s="7" t="n">
        <f aca="false">(DI$3&lt;=$I$15)*(((DI$3&gt;=$F$93)*$I$93/12*(1+$G$93)^IF($K$93="Annual",INT(MAX(0,DI$3-$F$93)/12),5*INT(MAX(0,DI$3-$F$93)/60)))+((DI$3&gt;=$F$94)*$I$94/12*(1+$G$94)^IF($K$94="Annual",INT(MAX(0,DI$3-$F$94)/12),5*INT(MAX(0,DI$3-$F$94)/60)))+((DI$3&gt;=$F$95)*$I$95/12*(1+$G$95)^IF($K$95="Annual",INT(MAX(0,DI$3-$F$95)/12),5*INT(MAX(0,DI$3-$F$95)/60)))+((DI$3&gt;=$F$96)*$I$96/12*(1+$G$96)^IF($K$96="Annual",INT(MAX(0,DI$3-$F$96)/12),5*INT(MAX(0,DI$3-$F$96)/60)))+((DI$3&gt;=$F$97)*$I$97/12*(1+$G$97)^IF($K$97="Annual",INT(MAX(0,DI$3-$F$97)/12),5*INT(MAX(0,DI$3-$F$97)/60)))+((DI$3&gt;=$F$98)*$I$98/12*(1+$G$98)^IF($K$98="Annual",INT(MAX(0,DI$3-$F$98)/12),5*INT(MAX(0,DI$3-$F$98)/60)))+((DI$3&gt;=$F$99)*$I$99/12*(1+$G$99)^IF($K$99="Annual",INT(MAX(0,DI$3-$F$99)/12),5*INT(MAX(0,DI$3-$F$99)/60)))+((DI$3&gt;=$F$100)*$I$100/12*(1+$G$100)^IF($K$100="Annual",INT(MAX(0,DI$3-$F$100)/12),5*INT(MAX(0,DI$3-$F$100)/60)))+((DI$3&gt;=$F$101)*$I$101/12*(1+$G$101)^IF($K$101="Annual",INT(MAX(0,DI$3-$F$101)/12),5*INT(MAX(0,DI$3-$F$101)/60))))</f>
        <v>0</v>
      </c>
      <c r="DJ140" s="7" t="n">
        <f aca="false">(DJ$3&lt;=$I$15)*(((DJ$3&gt;=$F$93)*$I$93/12*(1+$G$93)^IF($K$93="Annual",INT(MAX(0,DJ$3-$F$93)/12),5*INT(MAX(0,DJ$3-$F$93)/60)))+((DJ$3&gt;=$F$94)*$I$94/12*(1+$G$94)^IF($K$94="Annual",INT(MAX(0,DJ$3-$F$94)/12),5*INT(MAX(0,DJ$3-$F$94)/60)))+((DJ$3&gt;=$F$95)*$I$95/12*(1+$G$95)^IF($K$95="Annual",INT(MAX(0,DJ$3-$F$95)/12),5*INT(MAX(0,DJ$3-$F$95)/60)))+((DJ$3&gt;=$F$96)*$I$96/12*(1+$G$96)^IF($K$96="Annual",INT(MAX(0,DJ$3-$F$96)/12),5*INT(MAX(0,DJ$3-$F$96)/60)))+((DJ$3&gt;=$F$97)*$I$97/12*(1+$G$97)^IF($K$97="Annual",INT(MAX(0,DJ$3-$F$97)/12),5*INT(MAX(0,DJ$3-$F$97)/60)))+((DJ$3&gt;=$F$98)*$I$98/12*(1+$G$98)^IF($K$98="Annual",INT(MAX(0,DJ$3-$F$98)/12),5*INT(MAX(0,DJ$3-$F$98)/60)))+((DJ$3&gt;=$F$99)*$I$99/12*(1+$G$99)^IF($K$99="Annual",INT(MAX(0,DJ$3-$F$99)/12),5*INT(MAX(0,DJ$3-$F$99)/60)))+((DJ$3&gt;=$F$100)*$I$100/12*(1+$G$100)^IF($K$100="Annual",INT(MAX(0,DJ$3-$F$100)/12),5*INT(MAX(0,DJ$3-$F$100)/60)))+((DJ$3&gt;=$F$101)*$I$101/12*(1+$G$101)^IF($K$101="Annual",INT(MAX(0,DJ$3-$F$101)/12),5*INT(MAX(0,DJ$3-$F$101)/60))))</f>
        <v>0</v>
      </c>
      <c r="DK140" s="7" t="n">
        <f aca="false">(DK$3&lt;=$I$15)*(((DK$3&gt;=$F$93)*$I$93/12*(1+$G$93)^IF($K$93="Annual",INT(MAX(0,DK$3-$F$93)/12),5*INT(MAX(0,DK$3-$F$93)/60)))+((DK$3&gt;=$F$94)*$I$94/12*(1+$G$94)^IF($K$94="Annual",INT(MAX(0,DK$3-$F$94)/12),5*INT(MAX(0,DK$3-$F$94)/60)))+((DK$3&gt;=$F$95)*$I$95/12*(1+$G$95)^IF($K$95="Annual",INT(MAX(0,DK$3-$F$95)/12),5*INT(MAX(0,DK$3-$F$95)/60)))+((DK$3&gt;=$F$96)*$I$96/12*(1+$G$96)^IF($K$96="Annual",INT(MAX(0,DK$3-$F$96)/12),5*INT(MAX(0,DK$3-$F$96)/60)))+((DK$3&gt;=$F$97)*$I$97/12*(1+$G$97)^IF($K$97="Annual",INT(MAX(0,DK$3-$F$97)/12),5*INT(MAX(0,DK$3-$F$97)/60)))+((DK$3&gt;=$F$98)*$I$98/12*(1+$G$98)^IF($K$98="Annual",INT(MAX(0,DK$3-$F$98)/12),5*INT(MAX(0,DK$3-$F$98)/60)))+((DK$3&gt;=$F$99)*$I$99/12*(1+$G$99)^IF($K$99="Annual",INT(MAX(0,DK$3-$F$99)/12),5*INT(MAX(0,DK$3-$F$99)/60)))+((DK$3&gt;=$F$100)*$I$100/12*(1+$G$100)^IF($K$100="Annual",INT(MAX(0,DK$3-$F$100)/12),5*INT(MAX(0,DK$3-$F$100)/60)))+((DK$3&gt;=$F$101)*$I$101/12*(1+$G$101)^IF($K$101="Annual",INT(MAX(0,DK$3-$F$101)/12),5*INT(MAX(0,DK$3-$F$101)/60))))</f>
        <v>0</v>
      </c>
      <c r="DL140" s="7" t="n">
        <f aca="false">(DL$3&lt;=$I$15)*(((DL$3&gt;=$F$93)*$I$93/12*(1+$G$93)^IF($K$93="Annual",INT(MAX(0,DL$3-$F$93)/12),5*INT(MAX(0,DL$3-$F$93)/60)))+((DL$3&gt;=$F$94)*$I$94/12*(1+$G$94)^IF($K$94="Annual",INT(MAX(0,DL$3-$F$94)/12),5*INT(MAX(0,DL$3-$F$94)/60)))+((DL$3&gt;=$F$95)*$I$95/12*(1+$G$95)^IF($K$95="Annual",INT(MAX(0,DL$3-$F$95)/12),5*INT(MAX(0,DL$3-$F$95)/60)))+((DL$3&gt;=$F$96)*$I$96/12*(1+$G$96)^IF($K$96="Annual",INT(MAX(0,DL$3-$F$96)/12),5*INT(MAX(0,DL$3-$F$96)/60)))+((DL$3&gt;=$F$97)*$I$97/12*(1+$G$97)^IF($K$97="Annual",INT(MAX(0,DL$3-$F$97)/12),5*INT(MAX(0,DL$3-$F$97)/60)))+((DL$3&gt;=$F$98)*$I$98/12*(1+$G$98)^IF($K$98="Annual",INT(MAX(0,DL$3-$F$98)/12),5*INT(MAX(0,DL$3-$F$98)/60)))+((DL$3&gt;=$F$99)*$I$99/12*(1+$G$99)^IF($K$99="Annual",INT(MAX(0,DL$3-$F$99)/12),5*INT(MAX(0,DL$3-$F$99)/60)))+((DL$3&gt;=$F$100)*$I$100/12*(1+$G$100)^IF($K$100="Annual",INT(MAX(0,DL$3-$F$100)/12),5*INT(MAX(0,DL$3-$F$100)/60)))+((DL$3&gt;=$F$101)*$I$101/12*(1+$G$101)^IF($K$101="Annual",INT(MAX(0,DL$3-$F$101)/12),5*INT(MAX(0,DL$3-$F$101)/60))))</f>
        <v>0</v>
      </c>
      <c r="DM140" s="7" t="n">
        <f aca="false">(DM$3&lt;=$I$15)*(((DM$3&gt;=$F$93)*$I$93/12*(1+$G$93)^IF($K$93="Annual",INT(MAX(0,DM$3-$F$93)/12),5*INT(MAX(0,DM$3-$F$93)/60)))+((DM$3&gt;=$F$94)*$I$94/12*(1+$G$94)^IF($K$94="Annual",INT(MAX(0,DM$3-$F$94)/12),5*INT(MAX(0,DM$3-$F$94)/60)))+((DM$3&gt;=$F$95)*$I$95/12*(1+$G$95)^IF($K$95="Annual",INT(MAX(0,DM$3-$F$95)/12),5*INT(MAX(0,DM$3-$F$95)/60)))+((DM$3&gt;=$F$96)*$I$96/12*(1+$G$96)^IF($K$96="Annual",INT(MAX(0,DM$3-$F$96)/12),5*INT(MAX(0,DM$3-$F$96)/60)))+((DM$3&gt;=$F$97)*$I$97/12*(1+$G$97)^IF($K$97="Annual",INT(MAX(0,DM$3-$F$97)/12),5*INT(MAX(0,DM$3-$F$97)/60)))+((DM$3&gt;=$F$98)*$I$98/12*(1+$G$98)^IF($K$98="Annual",INT(MAX(0,DM$3-$F$98)/12),5*INT(MAX(0,DM$3-$F$98)/60)))+((DM$3&gt;=$F$99)*$I$99/12*(1+$G$99)^IF($K$99="Annual",INT(MAX(0,DM$3-$F$99)/12),5*INT(MAX(0,DM$3-$F$99)/60)))+((DM$3&gt;=$F$100)*$I$100/12*(1+$G$100)^IF($K$100="Annual",INT(MAX(0,DM$3-$F$100)/12),5*INT(MAX(0,DM$3-$F$100)/60)))+((DM$3&gt;=$F$101)*$I$101/12*(1+$G$101)^IF($K$101="Annual",INT(MAX(0,DM$3-$F$101)/12),5*INT(MAX(0,DM$3-$F$101)/60))))</f>
        <v>0</v>
      </c>
      <c r="DN140" s="7" t="n">
        <f aca="false">(DN$3&lt;=$I$15)*(((DN$3&gt;=$F$93)*$I$93/12*(1+$G$93)^IF($K$93="Annual",INT(MAX(0,DN$3-$F$93)/12),5*INT(MAX(0,DN$3-$F$93)/60)))+((DN$3&gt;=$F$94)*$I$94/12*(1+$G$94)^IF($K$94="Annual",INT(MAX(0,DN$3-$F$94)/12),5*INT(MAX(0,DN$3-$F$94)/60)))+((DN$3&gt;=$F$95)*$I$95/12*(1+$G$95)^IF($K$95="Annual",INT(MAX(0,DN$3-$F$95)/12),5*INT(MAX(0,DN$3-$F$95)/60)))+((DN$3&gt;=$F$96)*$I$96/12*(1+$G$96)^IF($K$96="Annual",INT(MAX(0,DN$3-$F$96)/12),5*INT(MAX(0,DN$3-$F$96)/60)))+((DN$3&gt;=$F$97)*$I$97/12*(1+$G$97)^IF($K$97="Annual",INT(MAX(0,DN$3-$F$97)/12),5*INT(MAX(0,DN$3-$F$97)/60)))+((DN$3&gt;=$F$98)*$I$98/12*(1+$G$98)^IF($K$98="Annual",INT(MAX(0,DN$3-$F$98)/12),5*INT(MAX(0,DN$3-$F$98)/60)))+((DN$3&gt;=$F$99)*$I$99/12*(1+$G$99)^IF($K$99="Annual",INT(MAX(0,DN$3-$F$99)/12),5*INT(MAX(0,DN$3-$F$99)/60)))+((DN$3&gt;=$F$100)*$I$100/12*(1+$G$100)^IF($K$100="Annual",INT(MAX(0,DN$3-$F$100)/12),5*INT(MAX(0,DN$3-$F$100)/60)))+((DN$3&gt;=$F$101)*$I$101/12*(1+$G$101)^IF($K$101="Annual",INT(MAX(0,DN$3-$F$101)/12),5*INT(MAX(0,DN$3-$F$101)/60))))</f>
        <v>0</v>
      </c>
      <c r="DO140" s="7" t="n">
        <f aca="false">(DO$3&lt;=$I$15)*(((DO$3&gt;=$F$93)*$I$93/12*(1+$G$93)^IF($K$93="Annual",INT(MAX(0,DO$3-$F$93)/12),5*INT(MAX(0,DO$3-$F$93)/60)))+((DO$3&gt;=$F$94)*$I$94/12*(1+$G$94)^IF($K$94="Annual",INT(MAX(0,DO$3-$F$94)/12),5*INT(MAX(0,DO$3-$F$94)/60)))+((DO$3&gt;=$F$95)*$I$95/12*(1+$G$95)^IF($K$95="Annual",INT(MAX(0,DO$3-$F$95)/12),5*INT(MAX(0,DO$3-$F$95)/60)))+((DO$3&gt;=$F$96)*$I$96/12*(1+$G$96)^IF($K$96="Annual",INT(MAX(0,DO$3-$F$96)/12),5*INT(MAX(0,DO$3-$F$96)/60)))+((DO$3&gt;=$F$97)*$I$97/12*(1+$G$97)^IF($K$97="Annual",INT(MAX(0,DO$3-$F$97)/12),5*INT(MAX(0,DO$3-$F$97)/60)))+((DO$3&gt;=$F$98)*$I$98/12*(1+$G$98)^IF($K$98="Annual",INT(MAX(0,DO$3-$F$98)/12),5*INT(MAX(0,DO$3-$F$98)/60)))+((DO$3&gt;=$F$99)*$I$99/12*(1+$G$99)^IF($K$99="Annual",INT(MAX(0,DO$3-$F$99)/12),5*INT(MAX(0,DO$3-$F$99)/60)))+((DO$3&gt;=$F$100)*$I$100/12*(1+$G$100)^IF($K$100="Annual",INT(MAX(0,DO$3-$F$100)/12),5*INT(MAX(0,DO$3-$F$100)/60)))+((DO$3&gt;=$F$101)*$I$101/12*(1+$G$101)^IF($K$101="Annual",INT(MAX(0,DO$3-$F$101)/12),5*INT(MAX(0,DO$3-$F$101)/60))))</f>
        <v>0</v>
      </c>
      <c r="DP140" s="7" t="n">
        <f aca="false">(DP$3&lt;=$I$15)*(((DP$3&gt;=$F$93)*$I$93/12*(1+$G$93)^IF($K$93="Annual",INT(MAX(0,DP$3-$F$93)/12),5*INT(MAX(0,DP$3-$F$93)/60)))+((DP$3&gt;=$F$94)*$I$94/12*(1+$G$94)^IF($K$94="Annual",INT(MAX(0,DP$3-$F$94)/12),5*INT(MAX(0,DP$3-$F$94)/60)))+((DP$3&gt;=$F$95)*$I$95/12*(1+$G$95)^IF($K$95="Annual",INT(MAX(0,DP$3-$F$95)/12),5*INT(MAX(0,DP$3-$F$95)/60)))+((DP$3&gt;=$F$96)*$I$96/12*(1+$G$96)^IF($K$96="Annual",INT(MAX(0,DP$3-$F$96)/12),5*INT(MAX(0,DP$3-$F$96)/60)))+((DP$3&gt;=$F$97)*$I$97/12*(1+$G$97)^IF($K$97="Annual",INT(MAX(0,DP$3-$F$97)/12),5*INT(MAX(0,DP$3-$F$97)/60)))+((DP$3&gt;=$F$98)*$I$98/12*(1+$G$98)^IF($K$98="Annual",INT(MAX(0,DP$3-$F$98)/12),5*INT(MAX(0,DP$3-$F$98)/60)))+((DP$3&gt;=$F$99)*$I$99/12*(1+$G$99)^IF($K$99="Annual",INT(MAX(0,DP$3-$F$99)/12),5*INT(MAX(0,DP$3-$F$99)/60)))+((DP$3&gt;=$F$100)*$I$100/12*(1+$G$100)^IF($K$100="Annual",INT(MAX(0,DP$3-$F$100)/12),5*INT(MAX(0,DP$3-$F$100)/60)))+((DP$3&gt;=$F$101)*$I$101/12*(1+$G$101)^IF($K$101="Annual",INT(MAX(0,DP$3-$F$101)/12),5*INT(MAX(0,DP$3-$F$101)/60))))</f>
        <v>0</v>
      </c>
    </row>
    <row r="141" customFormat="false" ht="15" hidden="false" customHeight="false" outlineLevel="0" collapsed="false">
      <c r="B141" s="0" t="s">
        <v>83</v>
      </c>
      <c r="L141" s="7" t="n">
        <f aca="false">L144*$E$122*((L$3&gt;=$F$93)*$E$93+(L$3&gt;=$F$94)*$E$94+(L$3&gt;=$F$95)*$E$95+(L$3&gt;=$F$96)*$E$96+(L$3&gt;=$F$97)*$E$97+(L$3&gt;=$F$98)*$E$98+(L$3&gt;=$F$99)*$E$99+(L$3&gt;=$F$100)*$E$100+(L$3&gt;=$F$101)*$E$101)/$E$105</f>
        <v>0</v>
      </c>
      <c r="M141" s="7" t="n">
        <f aca="false">M144*$E$122*((M$3&gt;=$F$93)*$E$93+(M$3&gt;=$F$94)*$E$94+(M$3&gt;=$F$95)*$E$95+(M$3&gt;=$F$96)*$E$96+(M$3&gt;=$F$97)*$E$97+(M$3&gt;=$F$98)*$E$98+(M$3&gt;=$F$99)*$E$99+(M$3&gt;=$F$100)*$E$100+(M$3&gt;=$F$101)*$E$101)/$E$105</f>
        <v>0</v>
      </c>
      <c r="N141" s="7" t="n">
        <f aca="false">N144*$E$122*((N$3&gt;=$F$93)*$E$93+(N$3&gt;=$F$94)*$E$94+(N$3&gt;=$F$95)*$E$95+(N$3&gt;=$F$96)*$E$96+(N$3&gt;=$F$97)*$E$97+(N$3&gt;=$F$98)*$E$98+(N$3&gt;=$F$99)*$E$99+(N$3&gt;=$F$100)*$E$100+(N$3&gt;=$F$101)*$E$101)/$E$105</f>
        <v>0</v>
      </c>
      <c r="O141" s="7" t="n">
        <f aca="false">O144*$E$122*((O$3&gt;=$F$93)*$E$93+(O$3&gt;=$F$94)*$E$94+(O$3&gt;=$F$95)*$E$95+(O$3&gt;=$F$96)*$E$96+(O$3&gt;=$F$97)*$E$97+(O$3&gt;=$F$98)*$E$98+(O$3&gt;=$F$99)*$E$99+(O$3&gt;=$F$100)*$E$100+(O$3&gt;=$F$101)*$E$101)/$E$105</f>
        <v>0</v>
      </c>
      <c r="P141" s="7" t="n">
        <f aca="false">P144*$E$122*((P$3&gt;=$F$93)*$E$93+(P$3&gt;=$F$94)*$E$94+(P$3&gt;=$F$95)*$E$95+(P$3&gt;=$F$96)*$E$96+(P$3&gt;=$F$97)*$E$97+(P$3&gt;=$F$98)*$E$98+(P$3&gt;=$F$99)*$E$99+(P$3&gt;=$F$100)*$E$100+(P$3&gt;=$F$101)*$E$101)/$E$105</f>
        <v>0</v>
      </c>
      <c r="Q141" s="7" t="n">
        <f aca="false">Q144*$E$122*((Q$3&gt;=$F$93)*$E$93+(Q$3&gt;=$F$94)*$E$94+(Q$3&gt;=$F$95)*$E$95+(Q$3&gt;=$F$96)*$E$96+(Q$3&gt;=$F$97)*$E$97+(Q$3&gt;=$F$98)*$E$98+(Q$3&gt;=$F$99)*$E$99+(Q$3&gt;=$F$100)*$E$100+(Q$3&gt;=$F$101)*$E$101)/$E$105</f>
        <v>0</v>
      </c>
      <c r="R141" s="7" t="n">
        <f aca="false">R144*$E$122*((R$3&gt;=$F$93)*$E$93+(R$3&gt;=$F$94)*$E$94+(R$3&gt;=$F$95)*$E$95+(R$3&gt;=$F$96)*$E$96+(R$3&gt;=$F$97)*$E$97+(R$3&gt;=$F$98)*$E$98+(R$3&gt;=$F$99)*$E$99+(R$3&gt;=$F$100)*$E$100+(R$3&gt;=$F$101)*$E$101)/$E$105</f>
        <v>0</v>
      </c>
      <c r="S141" s="7" t="n">
        <f aca="false">S144*$E$122*((S$3&gt;=$F$93)*$E$93+(S$3&gt;=$F$94)*$E$94+(S$3&gt;=$F$95)*$E$95+(S$3&gt;=$F$96)*$E$96+(S$3&gt;=$F$97)*$E$97+(S$3&gt;=$F$98)*$E$98+(S$3&gt;=$F$99)*$E$99+(S$3&gt;=$F$100)*$E$100+(S$3&gt;=$F$101)*$E$101)/$E$105</f>
        <v>0</v>
      </c>
      <c r="T141" s="7" t="n">
        <f aca="false">T144*$E$122*((T$3&gt;=$F$93)*$E$93+(T$3&gt;=$F$94)*$E$94+(T$3&gt;=$F$95)*$E$95+(T$3&gt;=$F$96)*$E$96+(T$3&gt;=$F$97)*$E$97+(T$3&gt;=$F$98)*$E$98+(T$3&gt;=$F$99)*$E$99+(T$3&gt;=$F$100)*$E$100+(T$3&gt;=$F$101)*$E$101)/$E$105</f>
        <v>0</v>
      </c>
      <c r="U141" s="7" t="n">
        <f aca="false">U144*$E$122*((U$3&gt;=$F$93)*$E$93+(U$3&gt;=$F$94)*$E$94+(U$3&gt;=$F$95)*$E$95+(U$3&gt;=$F$96)*$E$96+(U$3&gt;=$F$97)*$E$97+(U$3&gt;=$F$98)*$E$98+(U$3&gt;=$F$99)*$E$99+(U$3&gt;=$F$100)*$E$100+(U$3&gt;=$F$101)*$E$101)/$E$105</f>
        <v>0</v>
      </c>
      <c r="V141" s="7" t="n">
        <f aca="false">V144*$E$122*((V$3&gt;=$F$93)*$E$93+(V$3&gt;=$F$94)*$E$94+(V$3&gt;=$F$95)*$E$95+(V$3&gt;=$F$96)*$E$96+(V$3&gt;=$F$97)*$E$97+(V$3&gt;=$F$98)*$E$98+(V$3&gt;=$F$99)*$E$99+(V$3&gt;=$F$100)*$E$100+(V$3&gt;=$F$101)*$E$101)/$E$105</f>
        <v>0</v>
      </c>
      <c r="W141" s="7" t="n">
        <f aca="false">W144*$E$122*((W$3&gt;=$F$93)*$E$93+(W$3&gt;=$F$94)*$E$94+(W$3&gt;=$F$95)*$E$95+(W$3&gt;=$F$96)*$E$96+(W$3&gt;=$F$97)*$E$97+(W$3&gt;=$F$98)*$E$98+(W$3&gt;=$F$99)*$E$99+(W$3&gt;=$F$100)*$E$100+(W$3&gt;=$F$101)*$E$101)/$E$105</f>
        <v>0</v>
      </c>
      <c r="X141" s="7" t="n">
        <f aca="false">X144*$E$122*((X$3&gt;=$F$93)*$E$93+(X$3&gt;=$F$94)*$E$94+(X$3&gt;=$F$95)*$E$95+(X$3&gt;=$F$96)*$E$96+(X$3&gt;=$F$97)*$E$97+(X$3&gt;=$F$98)*$E$98+(X$3&gt;=$F$99)*$E$99+(X$3&gt;=$F$100)*$E$100+(X$3&gt;=$F$101)*$E$101)/$E$105</f>
        <v>0</v>
      </c>
      <c r="Y141" s="7" t="n">
        <f aca="false">Y144*$E$122*((Y$3&gt;=$F$93)*$E$93+(Y$3&gt;=$F$94)*$E$94+(Y$3&gt;=$F$95)*$E$95+(Y$3&gt;=$F$96)*$E$96+(Y$3&gt;=$F$97)*$E$97+(Y$3&gt;=$F$98)*$E$98+(Y$3&gt;=$F$99)*$E$99+(Y$3&gt;=$F$100)*$E$100+(Y$3&gt;=$F$101)*$E$101)/$E$105</f>
        <v>0</v>
      </c>
      <c r="Z141" s="7" t="n">
        <f aca="false">Z144*$E$122*((Z$3&gt;=$F$93)*$E$93+(Z$3&gt;=$F$94)*$E$94+(Z$3&gt;=$F$95)*$E$95+(Z$3&gt;=$F$96)*$E$96+(Z$3&gt;=$F$97)*$E$97+(Z$3&gt;=$F$98)*$E$98+(Z$3&gt;=$F$99)*$E$99+(Z$3&gt;=$F$100)*$E$100+(Z$3&gt;=$F$101)*$E$101)/$E$105</f>
        <v>0</v>
      </c>
      <c r="AA141" s="7" t="n">
        <f aca="false">AA144*$E$122*((AA$3&gt;=$F$93)*$E$93+(AA$3&gt;=$F$94)*$E$94+(AA$3&gt;=$F$95)*$E$95+(AA$3&gt;=$F$96)*$E$96+(AA$3&gt;=$F$97)*$E$97+(AA$3&gt;=$F$98)*$E$98+(AA$3&gt;=$F$99)*$E$99+(AA$3&gt;=$F$100)*$E$100+(AA$3&gt;=$F$101)*$E$101)/$E$105</f>
        <v>0</v>
      </c>
      <c r="AB141" s="7" t="n">
        <f aca="false">AB144*$E$122*((AB$3&gt;=$F$93)*$E$93+(AB$3&gt;=$F$94)*$E$94+(AB$3&gt;=$F$95)*$E$95+(AB$3&gt;=$F$96)*$E$96+(AB$3&gt;=$F$97)*$E$97+(AB$3&gt;=$F$98)*$E$98+(AB$3&gt;=$F$99)*$E$99+(AB$3&gt;=$F$100)*$E$100+(AB$3&gt;=$F$101)*$E$101)/$E$105</f>
        <v>0</v>
      </c>
      <c r="AC141" s="7" t="n">
        <f aca="false">AC144*$E$122*((AC$3&gt;=$F$93)*$E$93+(AC$3&gt;=$F$94)*$E$94+(AC$3&gt;=$F$95)*$E$95+(AC$3&gt;=$F$96)*$E$96+(AC$3&gt;=$F$97)*$E$97+(AC$3&gt;=$F$98)*$E$98+(AC$3&gt;=$F$99)*$E$99+(AC$3&gt;=$F$100)*$E$100+(AC$3&gt;=$F$101)*$E$101)/$E$105</f>
        <v>0</v>
      </c>
      <c r="AD141" s="7" t="n">
        <f aca="false">AD144*$E$122*((AD$3&gt;=$F$93)*$E$93+(AD$3&gt;=$F$94)*$E$94+(AD$3&gt;=$F$95)*$E$95+(AD$3&gt;=$F$96)*$E$96+(AD$3&gt;=$F$97)*$E$97+(AD$3&gt;=$F$98)*$E$98+(AD$3&gt;=$F$99)*$E$99+(AD$3&gt;=$F$100)*$E$100+(AD$3&gt;=$F$101)*$E$101)/$E$105</f>
        <v>0</v>
      </c>
      <c r="AE141" s="7" t="n">
        <f aca="false">AE144*$E$122*((AE$3&gt;=$F$93)*$E$93+(AE$3&gt;=$F$94)*$E$94+(AE$3&gt;=$F$95)*$E$95+(AE$3&gt;=$F$96)*$E$96+(AE$3&gt;=$F$97)*$E$97+(AE$3&gt;=$F$98)*$E$98+(AE$3&gt;=$F$99)*$E$99+(AE$3&gt;=$F$100)*$E$100+(AE$3&gt;=$F$101)*$E$101)/$E$105</f>
        <v>1829.28</v>
      </c>
      <c r="AF141" s="7" t="n">
        <f aca="false">AF144*$E$122*((AF$3&gt;=$F$93)*$E$93+(AF$3&gt;=$F$94)*$E$94+(AF$3&gt;=$F$95)*$E$95+(AF$3&gt;=$F$96)*$E$96+(AF$3&gt;=$F$97)*$E$97+(AF$3&gt;=$F$98)*$E$98+(AF$3&gt;=$F$99)*$E$99+(AF$3&gt;=$F$100)*$E$100+(AF$3&gt;=$F$101)*$E$101)/$E$105</f>
        <v>1829.28</v>
      </c>
      <c r="AG141" s="7" t="n">
        <f aca="false">AG144*$E$122*((AG$3&gt;=$F$93)*$E$93+(AG$3&gt;=$F$94)*$E$94+(AG$3&gt;=$F$95)*$E$95+(AG$3&gt;=$F$96)*$E$96+(AG$3&gt;=$F$97)*$E$97+(AG$3&gt;=$F$98)*$E$98+(AG$3&gt;=$F$99)*$E$99+(AG$3&gt;=$F$100)*$E$100+(AG$3&gt;=$F$101)*$E$101)/$E$105</f>
        <v>32927.04</v>
      </c>
      <c r="AH141" s="7" t="n">
        <f aca="false">AH144*$E$122*((AH$3&gt;=$F$93)*$E$93+(AH$3&gt;=$F$94)*$E$94+(AH$3&gt;=$F$95)*$E$95+(AH$3&gt;=$F$96)*$E$96+(AH$3&gt;=$F$97)*$E$97+(AH$3&gt;=$F$98)*$E$98+(AH$3&gt;=$F$99)*$E$99+(AH$3&gt;=$F$100)*$E$100+(AH$3&gt;=$F$101)*$E$101)/$E$105</f>
        <v>32927.04</v>
      </c>
      <c r="AI141" s="7" t="n">
        <f aca="false">AI144*$E$122*((AI$3&gt;=$F$93)*$E$93+(AI$3&gt;=$F$94)*$E$94+(AI$3&gt;=$F$95)*$E$95+(AI$3&gt;=$F$96)*$E$96+(AI$3&gt;=$F$97)*$E$97+(AI$3&gt;=$F$98)*$E$98+(AI$3&gt;=$F$99)*$E$99+(AI$3&gt;=$F$100)*$E$100+(AI$3&gt;=$F$101)*$E$101)/$E$105</f>
        <v>35327.97</v>
      </c>
      <c r="AJ141" s="7" t="n">
        <f aca="false">AJ144*$E$122*((AJ$3&gt;=$F$93)*$E$93+(AJ$3&gt;=$F$94)*$E$94+(AJ$3&gt;=$F$95)*$E$95+(AJ$3&gt;=$F$96)*$E$96+(AJ$3&gt;=$F$97)*$E$97+(AJ$3&gt;=$F$98)*$E$98+(AJ$3&gt;=$F$99)*$E$99+(AJ$3&gt;=$F$100)*$E$100+(AJ$3&gt;=$F$101)*$E$101)/$E$105</f>
        <v>36387.8091</v>
      </c>
      <c r="AK141" s="7" t="n">
        <f aca="false">AK144*$E$122*((AK$3&gt;=$F$93)*$E$93+(AK$3&gt;=$F$94)*$E$94+(AK$3&gt;=$F$95)*$E$95+(AK$3&gt;=$F$96)*$E$96+(AK$3&gt;=$F$97)*$E$97+(AK$3&gt;=$F$98)*$E$98+(AK$3&gt;=$F$99)*$E$99+(AK$3&gt;=$F$100)*$E$100+(AK$3&gt;=$F$101)*$E$101)/$E$105</f>
        <v>42040.2843</v>
      </c>
      <c r="AL141" s="7" t="n">
        <f aca="false">AL144*$E$122*((AL$3&gt;=$F$93)*$E$93+(AL$3&gt;=$F$94)*$E$94+(AL$3&gt;=$F$95)*$E$95+(AL$3&gt;=$F$96)*$E$96+(AL$3&gt;=$F$97)*$E$97+(AL$3&gt;=$F$98)*$E$98+(AL$3&gt;=$F$99)*$E$99+(AL$3&gt;=$F$100)*$E$100+(AL$3&gt;=$F$101)*$E$101)/$E$105</f>
        <v>42040.2843</v>
      </c>
      <c r="AM141" s="7" t="n">
        <f aca="false">AM144*$E$122*((AM$3&gt;=$F$93)*$E$93+(AM$3&gt;=$F$94)*$E$94+(AM$3&gt;=$F$95)*$E$95+(AM$3&gt;=$F$96)*$E$96+(AM$3&gt;=$F$97)*$E$97+(AM$3&gt;=$F$98)*$E$98+(AM$3&gt;=$F$99)*$E$99+(AM$3&gt;=$F$100)*$E$100+(AM$3&gt;=$F$101)*$E$101)/$E$105</f>
        <v>44159.9625</v>
      </c>
      <c r="AN141" s="7" t="n">
        <f aca="false">AN144*$E$122*((AN$3&gt;=$F$93)*$E$93+(AN$3&gt;=$F$94)*$E$94+(AN$3&gt;=$F$95)*$E$95+(AN$3&gt;=$F$96)*$E$96+(AN$3&gt;=$F$97)*$E$97+(AN$3&gt;=$F$98)*$E$98+(AN$3&gt;=$F$99)*$E$99+(AN$3&gt;=$F$100)*$E$100+(AN$3&gt;=$F$101)*$E$101)/$E$105</f>
        <v>44159.9625</v>
      </c>
      <c r="AO141" s="7" t="n">
        <f aca="false">AO144*$E$122*((AO$3&gt;=$F$93)*$E$93+(AO$3&gt;=$F$94)*$E$94+(AO$3&gt;=$F$95)*$E$95+(AO$3&gt;=$F$96)*$E$96+(AO$3&gt;=$F$97)*$E$97+(AO$3&gt;=$F$98)*$E$98+(AO$3&gt;=$F$99)*$E$99+(AO$3&gt;=$F$100)*$E$100+(AO$3&gt;=$F$101)*$E$101)/$E$105</f>
        <v>45808.6011</v>
      </c>
      <c r="AP141" s="7" t="n">
        <f aca="false">AP144*$E$122*((AP$3&gt;=$F$93)*$E$93+(AP$3&gt;=$F$94)*$E$94+(AP$3&gt;=$F$95)*$E$95+(AP$3&gt;=$F$96)*$E$96+(AP$3&gt;=$F$97)*$E$97+(AP$3&gt;=$F$98)*$E$98+(AP$3&gt;=$F$99)*$E$99+(AP$3&gt;=$F$100)*$E$100+(AP$3&gt;=$F$101)*$E$101)/$E$105</f>
        <v>45808.6011</v>
      </c>
      <c r="AQ141" s="7" t="n">
        <f aca="false">AQ144*$E$122*((AQ$3&gt;=$F$93)*$E$93+(AQ$3&gt;=$F$94)*$E$94+(AQ$3&gt;=$F$95)*$E$95+(AQ$3&gt;=$F$96)*$E$96+(AQ$3&gt;=$F$97)*$E$97+(AQ$3&gt;=$F$98)*$E$98+(AQ$3&gt;=$F$99)*$E$99+(AQ$3&gt;=$F$100)*$E$100+(AQ$3&gt;=$F$101)*$E$101)/$E$105</f>
        <v>48870.3585</v>
      </c>
      <c r="AR141" s="7" t="n">
        <f aca="false">AR144*$E$122*((AR$3&gt;=$F$93)*$E$93+(AR$3&gt;=$F$94)*$E$94+(AR$3&gt;=$F$95)*$E$95+(AR$3&gt;=$F$96)*$E$96+(AR$3&gt;=$F$97)*$E$97+(AR$3&gt;=$F$98)*$E$98+(AR$3&gt;=$F$99)*$E$99+(AR$3&gt;=$F$100)*$E$100+(AR$3&gt;=$F$101)*$E$101)/$E$105</f>
        <v>48870.3585</v>
      </c>
      <c r="AS141" s="7" t="n">
        <f aca="false">AS144*$E$122*((AS$3&gt;=$F$93)*$E$93+(AS$3&gt;=$F$94)*$E$94+(AS$3&gt;=$F$95)*$E$95+(AS$3&gt;=$F$96)*$E$96+(AS$3&gt;=$F$97)*$E$97+(AS$3&gt;=$F$98)*$E$98+(AS$3&gt;=$F$99)*$E$99+(AS$3&gt;=$F$100)*$E$100+(AS$3&gt;=$F$101)*$E$101)/$E$105</f>
        <v>48870.3585</v>
      </c>
      <c r="AT141" s="7" t="n">
        <f aca="false">AT144*$E$122*((AT$3&gt;=$F$93)*$E$93+(AT$3&gt;=$F$94)*$E$94+(AT$3&gt;=$F$95)*$E$95+(AT$3&gt;=$F$96)*$E$96+(AT$3&gt;=$F$97)*$E$97+(AT$3&gt;=$F$98)*$E$98+(AT$3&gt;=$F$99)*$E$99+(AT$3&gt;=$F$100)*$E$100+(AT$3&gt;=$F$101)*$E$101)/$E$105</f>
        <v>48870.3585</v>
      </c>
      <c r="AU141" s="7" t="n">
        <f aca="false">AU144*$E$122*((AU$3&gt;=$F$93)*$E$93+(AU$3&gt;=$F$94)*$E$94+(AU$3&gt;=$F$95)*$E$95+(AU$3&gt;=$F$96)*$E$96+(AU$3&gt;=$F$97)*$E$97+(AU$3&gt;=$F$98)*$E$98+(AU$3&gt;=$F$99)*$E$99+(AU$3&gt;=$F$100)*$E$100+(AU$3&gt;=$F$101)*$E$101)/$E$105</f>
        <v>48870.3585</v>
      </c>
      <c r="AV141" s="7" t="n">
        <f aca="false">AV144*$E$122*((AV$3&gt;=$F$93)*$E$93+(AV$3&gt;=$F$94)*$E$94+(AV$3&gt;=$F$95)*$E$95+(AV$3&gt;=$F$96)*$E$96+(AV$3&gt;=$F$97)*$E$97+(AV$3&gt;=$F$98)*$E$98+(AV$3&gt;=$F$99)*$E$99+(AV$3&gt;=$F$100)*$E$100+(AV$3&gt;=$F$101)*$E$101)/$E$105</f>
        <v>50336.469255</v>
      </c>
      <c r="AW141" s="7" t="n">
        <f aca="false">AW144*$E$122*((AW$3&gt;=$F$93)*$E$93+(AW$3&gt;=$F$94)*$E$94+(AW$3&gt;=$F$95)*$E$95+(AW$3&gt;=$F$96)*$E$96+(AW$3&gt;=$F$97)*$E$97+(AW$3&gt;=$F$98)*$E$98+(AW$3&gt;=$F$99)*$E$99+(AW$3&gt;=$F$100)*$E$100+(AW$3&gt;=$F$101)*$E$101)/$E$105</f>
        <v>50336.469255</v>
      </c>
      <c r="AX141" s="7" t="n">
        <f aca="false">AX144*$E$122*((AX$3&gt;=$F$93)*$E$93+(AX$3&gt;=$F$94)*$E$94+(AX$3&gt;=$F$95)*$E$95+(AX$3&gt;=$F$96)*$E$96+(AX$3&gt;=$F$97)*$E$97+(AX$3&gt;=$F$98)*$E$98+(AX$3&gt;=$F$99)*$E$99+(AX$3&gt;=$F$100)*$E$100+(AX$3&gt;=$F$101)*$E$101)/$E$105</f>
        <v>50336.469255</v>
      </c>
      <c r="AY141" s="7" t="n">
        <f aca="false">AY144*$E$122*((AY$3&gt;=$F$93)*$E$93+(AY$3&gt;=$F$94)*$E$94+(AY$3&gt;=$F$95)*$E$95+(AY$3&gt;=$F$96)*$E$96+(AY$3&gt;=$F$97)*$E$97+(AY$3&gt;=$F$98)*$E$98+(AY$3&gt;=$F$99)*$E$99+(AY$3&gt;=$F$100)*$E$100+(AY$3&gt;=$F$101)*$E$101)/$E$105</f>
        <v>50336.469255</v>
      </c>
      <c r="AZ141" s="7" t="n">
        <f aca="false">AZ144*$E$122*((AZ$3&gt;=$F$93)*$E$93+(AZ$3&gt;=$F$94)*$E$94+(AZ$3&gt;=$F$95)*$E$95+(AZ$3&gt;=$F$96)*$E$96+(AZ$3&gt;=$F$97)*$E$97+(AZ$3&gt;=$F$98)*$E$98+(AZ$3&gt;=$F$99)*$E$99+(AZ$3&gt;=$F$100)*$E$100+(AZ$3&gt;=$F$101)*$E$101)/$E$105</f>
        <v>50336.469255</v>
      </c>
      <c r="BA141" s="7" t="n">
        <f aca="false">BA144*$E$122*((BA$3&gt;=$F$93)*$E$93+(BA$3&gt;=$F$94)*$E$94+(BA$3&gt;=$F$95)*$E$95+(BA$3&gt;=$F$96)*$E$96+(BA$3&gt;=$F$97)*$E$97+(BA$3&gt;=$F$98)*$E$98+(BA$3&gt;=$F$99)*$E$99+(BA$3&gt;=$F$100)*$E$100+(BA$3&gt;=$F$101)*$E$101)/$E$105</f>
        <v>50336.469255</v>
      </c>
      <c r="BB141" s="7" t="n">
        <f aca="false">BB144*$E$122*((BB$3&gt;=$F$93)*$E$93+(BB$3&gt;=$F$94)*$E$94+(BB$3&gt;=$F$95)*$E$95+(BB$3&gt;=$F$96)*$E$96+(BB$3&gt;=$F$97)*$E$97+(BB$3&gt;=$F$98)*$E$98+(BB$3&gt;=$F$99)*$E$99+(BB$3&gt;=$F$100)*$E$100+(BB$3&gt;=$F$101)*$E$101)/$E$105</f>
        <v>50336.469255</v>
      </c>
      <c r="BC141" s="7" t="n">
        <f aca="false">BC144*$E$122*((BC$3&gt;=$F$93)*$E$93+(BC$3&gt;=$F$94)*$E$94+(BC$3&gt;=$F$95)*$E$95+(BC$3&gt;=$F$96)*$E$96+(BC$3&gt;=$F$97)*$E$97+(BC$3&gt;=$F$98)*$E$98+(BC$3&gt;=$F$99)*$E$99+(BC$3&gt;=$F$100)*$E$100+(BC$3&gt;=$F$101)*$E$101)/$E$105</f>
        <v>50336.469255</v>
      </c>
      <c r="BD141" s="7" t="n">
        <f aca="false">BD144*$E$122*((BD$3&gt;=$F$93)*$E$93+(BD$3&gt;=$F$94)*$E$94+(BD$3&gt;=$F$95)*$E$95+(BD$3&gt;=$F$96)*$E$96+(BD$3&gt;=$F$97)*$E$97+(BD$3&gt;=$F$98)*$E$98+(BD$3&gt;=$F$99)*$E$99+(BD$3&gt;=$F$100)*$E$100+(BD$3&gt;=$F$101)*$E$101)/$E$105</f>
        <v>50336.469255</v>
      </c>
      <c r="BE141" s="7" t="n">
        <f aca="false">BE144*$E$122*((BE$3&gt;=$F$93)*$E$93+(BE$3&gt;=$F$94)*$E$94+(BE$3&gt;=$F$95)*$E$95+(BE$3&gt;=$F$96)*$E$96+(BE$3&gt;=$F$97)*$E$97+(BE$3&gt;=$F$98)*$E$98+(BE$3&gt;=$F$99)*$E$99+(BE$3&gt;=$F$100)*$E$100+(BE$3&gt;=$F$101)*$E$101)/$E$105</f>
        <v>50336.469255</v>
      </c>
      <c r="BF141" s="7" t="n">
        <f aca="false">BF144*$E$122*((BF$3&gt;=$F$93)*$E$93+(BF$3&gt;=$F$94)*$E$94+(BF$3&gt;=$F$95)*$E$95+(BF$3&gt;=$F$96)*$E$96+(BF$3&gt;=$F$97)*$E$97+(BF$3&gt;=$F$98)*$E$98+(BF$3&gt;=$F$99)*$E$99+(BF$3&gt;=$F$100)*$E$100+(BF$3&gt;=$F$101)*$E$101)/$E$105</f>
        <v>50336.469255</v>
      </c>
      <c r="BG141" s="7" t="n">
        <f aca="false">BG144*$E$122*((BG$3&gt;=$F$93)*$E$93+(BG$3&gt;=$F$94)*$E$94+(BG$3&gt;=$F$95)*$E$95+(BG$3&gt;=$F$96)*$E$96+(BG$3&gt;=$F$97)*$E$97+(BG$3&gt;=$F$98)*$E$98+(BG$3&gt;=$F$99)*$E$99+(BG$3&gt;=$F$100)*$E$100+(BG$3&gt;=$F$101)*$E$101)/$E$105</f>
        <v>50336.469255</v>
      </c>
      <c r="BH141" s="7" t="n">
        <f aca="false">BH144*$E$122*((BH$3&gt;=$F$93)*$E$93+(BH$3&gt;=$F$94)*$E$94+(BH$3&gt;=$F$95)*$E$95+(BH$3&gt;=$F$96)*$E$96+(BH$3&gt;=$F$97)*$E$97+(BH$3&gt;=$F$98)*$E$98+(BH$3&gt;=$F$99)*$E$99+(BH$3&gt;=$F$100)*$E$100+(BH$3&gt;=$F$101)*$E$101)/$E$105</f>
        <v>51846.56333265</v>
      </c>
      <c r="BI141" s="7" t="n">
        <f aca="false">BI144*$E$122*((BI$3&gt;=$F$93)*$E$93+(BI$3&gt;=$F$94)*$E$94+(BI$3&gt;=$F$95)*$E$95+(BI$3&gt;=$F$96)*$E$96+(BI$3&gt;=$F$97)*$E$97+(BI$3&gt;=$F$98)*$E$98+(BI$3&gt;=$F$99)*$E$99+(BI$3&gt;=$F$100)*$E$100+(BI$3&gt;=$F$101)*$E$101)/$E$105</f>
        <v>51846.56333265</v>
      </c>
      <c r="BJ141" s="7" t="n">
        <f aca="false">BJ144*$E$122*((BJ$3&gt;=$F$93)*$E$93+(BJ$3&gt;=$F$94)*$E$94+(BJ$3&gt;=$F$95)*$E$95+(BJ$3&gt;=$F$96)*$E$96+(BJ$3&gt;=$F$97)*$E$97+(BJ$3&gt;=$F$98)*$E$98+(BJ$3&gt;=$F$99)*$E$99+(BJ$3&gt;=$F$100)*$E$100+(BJ$3&gt;=$F$101)*$E$101)/$E$105</f>
        <v>51846.56333265</v>
      </c>
      <c r="BK141" s="7" t="n">
        <f aca="false">BK144*$E$122*((BK$3&gt;=$F$93)*$E$93+(BK$3&gt;=$F$94)*$E$94+(BK$3&gt;=$F$95)*$E$95+(BK$3&gt;=$F$96)*$E$96+(BK$3&gt;=$F$97)*$E$97+(BK$3&gt;=$F$98)*$E$98+(BK$3&gt;=$F$99)*$E$99+(BK$3&gt;=$F$100)*$E$100+(BK$3&gt;=$F$101)*$E$101)/$E$105</f>
        <v>51846.56333265</v>
      </c>
      <c r="BL141" s="7" t="n">
        <f aca="false">BL144*$E$122*((BL$3&gt;=$F$93)*$E$93+(BL$3&gt;=$F$94)*$E$94+(BL$3&gt;=$F$95)*$E$95+(BL$3&gt;=$F$96)*$E$96+(BL$3&gt;=$F$97)*$E$97+(BL$3&gt;=$F$98)*$E$98+(BL$3&gt;=$F$99)*$E$99+(BL$3&gt;=$F$100)*$E$100+(BL$3&gt;=$F$101)*$E$101)/$E$105</f>
        <v>51846.56333265</v>
      </c>
      <c r="BM141" s="7" t="n">
        <f aca="false">BM144*$E$122*((BM$3&gt;=$F$93)*$E$93+(BM$3&gt;=$F$94)*$E$94+(BM$3&gt;=$F$95)*$E$95+(BM$3&gt;=$F$96)*$E$96+(BM$3&gt;=$F$97)*$E$97+(BM$3&gt;=$F$98)*$E$98+(BM$3&gt;=$F$99)*$E$99+(BM$3&gt;=$F$100)*$E$100+(BM$3&gt;=$F$101)*$E$101)/$E$105</f>
        <v>51846.56333265</v>
      </c>
      <c r="BN141" s="7" t="n">
        <f aca="false">BN144*$E$122*((BN$3&gt;=$F$93)*$E$93+(BN$3&gt;=$F$94)*$E$94+(BN$3&gt;=$F$95)*$E$95+(BN$3&gt;=$F$96)*$E$96+(BN$3&gt;=$F$97)*$E$97+(BN$3&gt;=$F$98)*$E$98+(BN$3&gt;=$F$99)*$E$99+(BN$3&gt;=$F$100)*$E$100+(BN$3&gt;=$F$101)*$E$101)/$E$105</f>
        <v>51846.56333265</v>
      </c>
      <c r="BO141" s="7" t="n">
        <f aca="false">BO144*$E$122*((BO$3&gt;=$F$93)*$E$93+(BO$3&gt;=$F$94)*$E$94+(BO$3&gt;=$F$95)*$E$95+(BO$3&gt;=$F$96)*$E$96+(BO$3&gt;=$F$97)*$E$97+(BO$3&gt;=$F$98)*$E$98+(BO$3&gt;=$F$99)*$E$99+(BO$3&gt;=$F$100)*$E$100+(BO$3&gt;=$F$101)*$E$101)/$E$105</f>
        <v>51846.56333265</v>
      </c>
      <c r="BP141" s="7" t="n">
        <f aca="false">BP144*$E$122*((BP$3&gt;=$F$93)*$E$93+(BP$3&gt;=$F$94)*$E$94+(BP$3&gt;=$F$95)*$E$95+(BP$3&gt;=$F$96)*$E$96+(BP$3&gt;=$F$97)*$E$97+(BP$3&gt;=$F$98)*$E$98+(BP$3&gt;=$F$99)*$E$99+(BP$3&gt;=$F$100)*$E$100+(BP$3&gt;=$F$101)*$E$101)/$E$105</f>
        <v>51846.56333265</v>
      </c>
      <c r="BQ141" s="7" t="n">
        <f aca="false">BQ144*$E$122*((BQ$3&gt;=$F$93)*$E$93+(BQ$3&gt;=$F$94)*$E$94+(BQ$3&gt;=$F$95)*$E$95+(BQ$3&gt;=$F$96)*$E$96+(BQ$3&gt;=$F$97)*$E$97+(BQ$3&gt;=$F$98)*$E$98+(BQ$3&gt;=$F$99)*$E$99+(BQ$3&gt;=$F$100)*$E$100+(BQ$3&gt;=$F$101)*$E$101)/$E$105</f>
        <v>51846.56333265</v>
      </c>
      <c r="BR141" s="7" t="n">
        <f aca="false">BR144*$E$122*((BR$3&gt;=$F$93)*$E$93+(BR$3&gt;=$F$94)*$E$94+(BR$3&gt;=$F$95)*$E$95+(BR$3&gt;=$F$96)*$E$96+(BR$3&gt;=$F$97)*$E$97+(BR$3&gt;=$F$98)*$E$98+(BR$3&gt;=$F$99)*$E$99+(BR$3&gt;=$F$100)*$E$100+(BR$3&gt;=$F$101)*$E$101)/$E$105</f>
        <v>51846.56333265</v>
      </c>
      <c r="BS141" s="7" t="n">
        <f aca="false">BS144*$E$122*((BS$3&gt;=$F$93)*$E$93+(BS$3&gt;=$F$94)*$E$94+(BS$3&gt;=$F$95)*$E$95+(BS$3&gt;=$F$96)*$E$96+(BS$3&gt;=$F$97)*$E$97+(BS$3&gt;=$F$98)*$E$98+(BS$3&gt;=$F$99)*$E$99+(BS$3&gt;=$F$100)*$E$100+(BS$3&gt;=$F$101)*$E$101)/$E$105</f>
        <v>51846.56333265</v>
      </c>
      <c r="BT141" s="7" t="n">
        <f aca="false">BT144*$E$122*((BT$3&gt;=$F$93)*$E$93+(BT$3&gt;=$F$94)*$E$94+(BT$3&gt;=$F$95)*$E$95+(BT$3&gt;=$F$96)*$E$96+(BT$3&gt;=$F$97)*$E$97+(BT$3&gt;=$F$98)*$E$98+(BT$3&gt;=$F$99)*$E$99+(BT$3&gt;=$F$100)*$E$100+(BT$3&gt;=$F$101)*$E$101)/$E$105</f>
        <v>53401.9602326295</v>
      </c>
      <c r="BU141" s="7" t="n">
        <f aca="false">BU144*$E$122*((BU$3&gt;=$F$93)*$E$93+(BU$3&gt;=$F$94)*$E$94+(BU$3&gt;=$F$95)*$E$95+(BU$3&gt;=$F$96)*$E$96+(BU$3&gt;=$F$97)*$E$97+(BU$3&gt;=$F$98)*$E$98+(BU$3&gt;=$F$99)*$E$99+(BU$3&gt;=$F$100)*$E$100+(BU$3&gt;=$F$101)*$E$101)/$E$105</f>
        <v>53401.9602326295</v>
      </c>
      <c r="BV141" s="7" t="n">
        <f aca="false">BV144*$E$122*((BV$3&gt;=$F$93)*$E$93+(BV$3&gt;=$F$94)*$E$94+(BV$3&gt;=$F$95)*$E$95+(BV$3&gt;=$F$96)*$E$96+(BV$3&gt;=$F$97)*$E$97+(BV$3&gt;=$F$98)*$E$98+(BV$3&gt;=$F$99)*$E$99+(BV$3&gt;=$F$100)*$E$100+(BV$3&gt;=$F$101)*$E$101)/$E$105</f>
        <v>53401.9602326295</v>
      </c>
      <c r="BW141" s="7" t="n">
        <f aca="false">BW144*$E$122*((BW$3&gt;=$F$93)*$E$93+(BW$3&gt;=$F$94)*$E$94+(BW$3&gt;=$F$95)*$E$95+(BW$3&gt;=$F$96)*$E$96+(BW$3&gt;=$F$97)*$E$97+(BW$3&gt;=$F$98)*$E$98+(BW$3&gt;=$F$99)*$E$99+(BW$3&gt;=$F$100)*$E$100+(BW$3&gt;=$F$101)*$E$101)/$E$105</f>
        <v>53401.9602326295</v>
      </c>
      <c r="BX141" s="7" t="n">
        <f aca="false">BX144*$E$122*((BX$3&gt;=$F$93)*$E$93+(BX$3&gt;=$F$94)*$E$94+(BX$3&gt;=$F$95)*$E$95+(BX$3&gt;=$F$96)*$E$96+(BX$3&gt;=$F$97)*$E$97+(BX$3&gt;=$F$98)*$E$98+(BX$3&gt;=$F$99)*$E$99+(BX$3&gt;=$F$100)*$E$100+(BX$3&gt;=$F$101)*$E$101)/$E$105</f>
        <v>53401.9602326295</v>
      </c>
      <c r="BY141" s="7" t="n">
        <f aca="false">BY144*$E$122*((BY$3&gt;=$F$93)*$E$93+(BY$3&gt;=$F$94)*$E$94+(BY$3&gt;=$F$95)*$E$95+(BY$3&gt;=$F$96)*$E$96+(BY$3&gt;=$F$97)*$E$97+(BY$3&gt;=$F$98)*$E$98+(BY$3&gt;=$F$99)*$E$99+(BY$3&gt;=$F$100)*$E$100+(BY$3&gt;=$F$101)*$E$101)/$E$105</f>
        <v>53401.9602326295</v>
      </c>
      <c r="BZ141" s="7" t="n">
        <f aca="false">BZ144*$E$122*((BZ$3&gt;=$F$93)*$E$93+(BZ$3&gt;=$F$94)*$E$94+(BZ$3&gt;=$F$95)*$E$95+(BZ$3&gt;=$F$96)*$E$96+(BZ$3&gt;=$F$97)*$E$97+(BZ$3&gt;=$F$98)*$E$98+(BZ$3&gt;=$F$99)*$E$99+(BZ$3&gt;=$F$100)*$E$100+(BZ$3&gt;=$F$101)*$E$101)/$E$105</f>
        <v>53401.9602326295</v>
      </c>
      <c r="CA141" s="7" t="n">
        <f aca="false">CA144*$E$122*((CA$3&gt;=$F$93)*$E$93+(CA$3&gt;=$F$94)*$E$94+(CA$3&gt;=$F$95)*$E$95+(CA$3&gt;=$F$96)*$E$96+(CA$3&gt;=$F$97)*$E$97+(CA$3&gt;=$F$98)*$E$98+(CA$3&gt;=$F$99)*$E$99+(CA$3&gt;=$F$100)*$E$100+(CA$3&gt;=$F$101)*$E$101)/$E$105</f>
        <v>53401.9602326295</v>
      </c>
      <c r="CB141" s="7" t="n">
        <f aca="false">CB144*$E$122*((CB$3&gt;=$F$93)*$E$93+(CB$3&gt;=$F$94)*$E$94+(CB$3&gt;=$F$95)*$E$95+(CB$3&gt;=$F$96)*$E$96+(CB$3&gt;=$F$97)*$E$97+(CB$3&gt;=$F$98)*$E$98+(CB$3&gt;=$F$99)*$E$99+(CB$3&gt;=$F$100)*$E$100+(CB$3&gt;=$F$101)*$E$101)/$E$105</f>
        <v>53401.9602326295</v>
      </c>
      <c r="CC141" s="7" t="n">
        <f aca="false">CC144*$E$122*((CC$3&gt;=$F$93)*$E$93+(CC$3&gt;=$F$94)*$E$94+(CC$3&gt;=$F$95)*$E$95+(CC$3&gt;=$F$96)*$E$96+(CC$3&gt;=$F$97)*$E$97+(CC$3&gt;=$F$98)*$E$98+(CC$3&gt;=$F$99)*$E$99+(CC$3&gt;=$F$100)*$E$100+(CC$3&gt;=$F$101)*$E$101)/$E$105</f>
        <v>53401.9602326295</v>
      </c>
      <c r="CD141" s="7" t="n">
        <f aca="false">CD144*$E$122*((CD$3&gt;=$F$93)*$E$93+(CD$3&gt;=$F$94)*$E$94+(CD$3&gt;=$F$95)*$E$95+(CD$3&gt;=$F$96)*$E$96+(CD$3&gt;=$F$97)*$E$97+(CD$3&gt;=$F$98)*$E$98+(CD$3&gt;=$F$99)*$E$99+(CD$3&gt;=$F$100)*$E$100+(CD$3&gt;=$F$101)*$E$101)/$E$105</f>
        <v>53401.9602326295</v>
      </c>
      <c r="CE141" s="7" t="n">
        <f aca="false">CE144*$E$122*((CE$3&gt;=$F$93)*$E$93+(CE$3&gt;=$F$94)*$E$94+(CE$3&gt;=$F$95)*$E$95+(CE$3&gt;=$F$96)*$E$96+(CE$3&gt;=$F$97)*$E$97+(CE$3&gt;=$F$98)*$E$98+(CE$3&gt;=$F$99)*$E$99+(CE$3&gt;=$F$100)*$E$100+(CE$3&gt;=$F$101)*$E$101)/$E$105</f>
        <v>53401.9602326295</v>
      </c>
      <c r="CF141" s="7" t="n">
        <f aca="false">CF144*$E$122*((CF$3&gt;=$F$93)*$E$93+(CF$3&gt;=$F$94)*$E$94+(CF$3&gt;=$F$95)*$E$95+(CF$3&gt;=$F$96)*$E$96+(CF$3&gt;=$F$97)*$E$97+(CF$3&gt;=$F$98)*$E$98+(CF$3&gt;=$F$99)*$E$99+(CF$3&gt;=$F$100)*$E$100+(CF$3&gt;=$F$101)*$E$101)/$E$105</f>
        <v>55004.0190396084</v>
      </c>
      <c r="CG141" s="7" t="n">
        <f aca="false">CG144*$E$122*((CG$3&gt;=$F$93)*$E$93+(CG$3&gt;=$F$94)*$E$94+(CG$3&gt;=$F$95)*$E$95+(CG$3&gt;=$F$96)*$E$96+(CG$3&gt;=$F$97)*$E$97+(CG$3&gt;=$F$98)*$E$98+(CG$3&gt;=$F$99)*$E$99+(CG$3&gt;=$F$100)*$E$100+(CG$3&gt;=$F$101)*$E$101)/$E$105</f>
        <v>55004.0190396084</v>
      </c>
      <c r="CH141" s="7" t="n">
        <f aca="false">CH144*$E$122*((CH$3&gt;=$F$93)*$E$93+(CH$3&gt;=$F$94)*$E$94+(CH$3&gt;=$F$95)*$E$95+(CH$3&gt;=$F$96)*$E$96+(CH$3&gt;=$F$97)*$E$97+(CH$3&gt;=$F$98)*$E$98+(CH$3&gt;=$F$99)*$E$99+(CH$3&gt;=$F$100)*$E$100+(CH$3&gt;=$F$101)*$E$101)/$E$105</f>
        <v>55004.0190396084</v>
      </c>
      <c r="CI141" s="7" t="n">
        <f aca="false">CI144*$E$122*((CI$3&gt;=$F$93)*$E$93+(CI$3&gt;=$F$94)*$E$94+(CI$3&gt;=$F$95)*$E$95+(CI$3&gt;=$F$96)*$E$96+(CI$3&gt;=$F$97)*$E$97+(CI$3&gt;=$F$98)*$E$98+(CI$3&gt;=$F$99)*$E$99+(CI$3&gt;=$F$100)*$E$100+(CI$3&gt;=$F$101)*$E$101)/$E$105</f>
        <v>55004.0190396084</v>
      </c>
      <c r="CJ141" s="7" t="n">
        <f aca="false">CJ144*$E$122*((CJ$3&gt;=$F$93)*$E$93+(CJ$3&gt;=$F$94)*$E$94+(CJ$3&gt;=$F$95)*$E$95+(CJ$3&gt;=$F$96)*$E$96+(CJ$3&gt;=$F$97)*$E$97+(CJ$3&gt;=$F$98)*$E$98+(CJ$3&gt;=$F$99)*$E$99+(CJ$3&gt;=$F$100)*$E$100+(CJ$3&gt;=$F$101)*$E$101)/$E$105</f>
        <v>55004.0190396084</v>
      </c>
      <c r="CK141" s="7" t="n">
        <f aca="false">CK144*$E$122*((CK$3&gt;=$F$93)*$E$93+(CK$3&gt;=$F$94)*$E$94+(CK$3&gt;=$F$95)*$E$95+(CK$3&gt;=$F$96)*$E$96+(CK$3&gt;=$F$97)*$E$97+(CK$3&gt;=$F$98)*$E$98+(CK$3&gt;=$F$99)*$E$99+(CK$3&gt;=$F$100)*$E$100+(CK$3&gt;=$F$101)*$E$101)/$E$105</f>
        <v>55004.0190396084</v>
      </c>
      <c r="CL141" s="7" t="n">
        <f aca="false">CL144*$E$122*((CL$3&gt;=$F$93)*$E$93+(CL$3&gt;=$F$94)*$E$94+(CL$3&gt;=$F$95)*$E$95+(CL$3&gt;=$F$96)*$E$96+(CL$3&gt;=$F$97)*$E$97+(CL$3&gt;=$F$98)*$E$98+(CL$3&gt;=$F$99)*$E$99+(CL$3&gt;=$F$100)*$E$100+(CL$3&gt;=$F$101)*$E$101)/$E$105</f>
        <v>55004.0190396084</v>
      </c>
      <c r="CM141" s="7" t="n">
        <f aca="false">CM144*$E$122*((CM$3&gt;=$F$93)*$E$93+(CM$3&gt;=$F$94)*$E$94+(CM$3&gt;=$F$95)*$E$95+(CM$3&gt;=$F$96)*$E$96+(CM$3&gt;=$F$97)*$E$97+(CM$3&gt;=$F$98)*$E$98+(CM$3&gt;=$F$99)*$E$99+(CM$3&gt;=$F$100)*$E$100+(CM$3&gt;=$F$101)*$E$101)/$E$105</f>
        <v>55004.0190396084</v>
      </c>
      <c r="CN141" s="7" t="n">
        <f aca="false">CN144*$E$122*((CN$3&gt;=$F$93)*$E$93+(CN$3&gt;=$F$94)*$E$94+(CN$3&gt;=$F$95)*$E$95+(CN$3&gt;=$F$96)*$E$96+(CN$3&gt;=$F$97)*$E$97+(CN$3&gt;=$F$98)*$E$98+(CN$3&gt;=$F$99)*$E$99+(CN$3&gt;=$F$100)*$E$100+(CN$3&gt;=$F$101)*$E$101)/$E$105</f>
        <v>55004.0190396084</v>
      </c>
      <c r="CO141" s="7" t="n">
        <f aca="false">CO144*$E$122*((CO$3&gt;=$F$93)*$E$93+(CO$3&gt;=$F$94)*$E$94+(CO$3&gt;=$F$95)*$E$95+(CO$3&gt;=$F$96)*$E$96+(CO$3&gt;=$F$97)*$E$97+(CO$3&gt;=$F$98)*$E$98+(CO$3&gt;=$F$99)*$E$99+(CO$3&gt;=$F$100)*$E$100+(CO$3&gt;=$F$101)*$E$101)/$E$105</f>
        <v>55004.0190396084</v>
      </c>
      <c r="CP141" s="7" t="n">
        <f aca="false">CP144*$E$122*((CP$3&gt;=$F$93)*$E$93+(CP$3&gt;=$F$94)*$E$94+(CP$3&gt;=$F$95)*$E$95+(CP$3&gt;=$F$96)*$E$96+(CP$3&gt;=$F$97)*$E$97+(CP$3&gt;=$F$98)*$E$98+(CP$3&gt;=$F$99)*$E$99+(CP$3&gt;=$F$100)*$E$100+(CP$3&gt;=$F$101)*$E$101)/$E$105</f>
        <v>55004.0190396084</v>
      </c>
      <c r="CQ141" s="7" t="n">
        <f aca="false">CQ144*$E$122*((CQ$3&gt;=$F$93)*$E$93+(CQ$3&gt;=$F$94)*$E$94+(CQ$3&gt;=$F$95)*$E$95+(CQ$3&gt;=$F$96)*$E$96+(CQ$3&gt;=$F$97)*$E$97+(CQ$3&gt;=$F$98)*$E$98+(CQ$3&gt;=$F$99)*$E$99+(CQ$3&gt;=$F$100)*$E$100+(CQ$3&gt;=$F$101)*$E$101)/$E$105</f>
        <v>55004.0190396084</v>
      </c>
      <c r="CR141" s="7" t="n">
        <f aca="false">CR144*$E$122*((CR$3&gt;=$F$93)*$E$93+(CR$3&gt;=$F$94)*$E$94+(CR$3&gt;=$F$95)*$E$95+(CR$3&gt;=$F$96)*$E$96+(CR$3&gt;=$F$97)*$E$97+(CR$3&gt;=$F$98)*$E$98+(CR$3&gt;=$F$99)*$E$99+(CR$3&gt;=$F$100)*$E$100+(CR$3&gt;=$F$101)*$E$101)/$E$105</f>
        <v>56654.1396107967</v>
      </c>
      <c r="CS141" s="7" t="n">
        <f aca="false">CS144*$E$122*((CS$3&gt;=$F$93)*$E$93+(CS$3&gt;=$F$94)*$E$94+(CS$3&gt;=$F$95)*$E$95+(CS$3&gt;=$F$96)*$E$96+(CS$3&gt;=$F$97)*$E$97+(CS$3&gt;=$F$98)*$E$98+(CS$3&gt;=$F$99)*$E$99+(CS$3&gt;=$F$100)*$E$100+(CS$3&gt;=$F$101)*$E$101)/$E$105</f>
        <v>56654.1396107967</v>
      </c>
      <c r="CT141" s="7" t="n">
        <f aca="false">CT144*$E$122*((CT$3&gt;=$F$93)*$E$93+(CT$3&gt;=$F$94)*$E$94+(CT$3&gt;=$F$95)*$E$95+(CT$3&gt;=$F$96)*$E$96+(CT$3&gt;=$F$97)*$E$97+(CT$3&gt;=$F$98)*$E$98+(CT$3&gt;=$F$99)*$E$99+(CT$3&gt;=$F$100)*$E$100+(CT$3&gt;=$F$101)*$E$101)/$E$105</f>
        <v>56654.1396107967</v>
      </c>
      <c r="CU141" s="7" t="n">
        <f aca="false">CU144*$E$122*((CU$3&gt;=$F$93)*$E$93+(CU$3&gt;=$F$94)*$E$94+(CU$3&gt;=$F$95)*$E$95+(CU$3&gt;=$F$96)*$E$96+(CU$3&gt;=$F$97)*$E$97+(CU$3&gt;=$F$98)*$E$98+(CU$3&gt;=$F$99)*$E$99+(CU$3&gt;=$F$100)*$E$100+(CU$3&gt;=$F$101)*$E$101)/$E$105</f>
        <v>56654.1396107967</v>
      </c>
      <c r="CV141" s="7" t="n">
        <f aca="false">CV144*$E$122*((CV$3&gt;=$F$93)*$E$93+(CV$3&gt;=$F$94)*$E$94+(CV$3&gt;=$F$95)*$E$95+(CV$3&gt;=$F$96)*$E$96+(CV$3&gt;=$F$97)*$E$97+(CV$3&gt;=$F$98)*$E$98+(CV$3&gt;=$F$99)*$E$99+(CV$3&gt;=$F$100)*$E$100+(CV$3&gt;=$F$101)*$E$101)/$E$105</f>
        <v>56654.1396107967</v>
      </c>
      <c r="CW141" s="7" t="n">
        <f aca="false">CW144*$E$122*((CW$3&gt;=$F$93)*$E$93+(CW$3&gt;=$F$94)*$E$94+(CW$3&gt;=$F$95)*$E$95+(CW$3&gt;=$F$96)*$E$96+(CW$3&gt;=$F$97)*$E$97+(CW$3&gt;=$F$98)*$E$98+(CW$3&gt;=$F$99)*$E$99+(CW$3&gt;=$F$100)*$E$100+(CW$3&gt;=$F$101)*$E$101)/$E$105</f>
        <v>56654.1396107967</v>
      </c>
      <c r="CX141" s="7" t="n">
        <f aca="false">CX144*$E$122*((CX$3&gt;=$F$93)*$E$93+(CX$3&gt;=$F$94)*$E$94+(CX$3&gt;=$F$95)*$E$95+(CX$3&gt;=$F$96)*$E$96+(CX$3&gt;=$F$97)*$E$97+(CX$3&gt;=$F$98)*$E$98+(CX$3&gt;=$F$99)*$E$99+(CX$3&gt;=$F$100)*$E$100+(CX$3&gt;=$F$101)*$E$101)/$E$105</f>
        <v>56654.1396107967</v>
      </c>
      <c r="CY141" s="7" t="n">
        <f aca="false">CY144*$E$122*((CY$3&gt;=$F$93)*$E$93+(CY$3&gt;=$F$94)*$E$94+(CY$3&gt;=$F$95)*$E$95+(CY$3&gt;=$F$96)*$E$96+(CY$3&gt;=$F$97)*$E$97+(CY$3&gt;=$F$98)*$E$98+(CY$3&gt;=$F$99)*$E$99+(CY$3&gt;=$F$100)*$E$100+(CY$3&gt;=$F$101)*$E$101)/$E$105</f>
        <v>56654.1396107967</v>
      </c>
      <c r="CZ141" s="7" t="n">
        <f aca="false">CZ144*$E$122*((CZ$3&gt;=$F$93)*$E$93+(CZ$3&gt;=$F$94)*$E$94+(CZ$3&gt;=$F$95)*$E$95+(CZ$3&gt;=$F$96)*$E$96+(CZ$3&gt;=$F$97)*$E$97+(CZ$3&gt;=$F$98)*$E$98+(CZ$3&gt;=$F$99)*$E$99+(CZ$3&gt;=$F$100)*$E$100+(CZ$3&gt;=$F$101)*$E$101)/$E$105</f>
        <v>56654.1396107967</v>
      </c>
      <c r="DA141" s="7" t="n">
        <f aca="false">DA144*$E$122*((DA$3&gt;=$F$93)*$E$93+(DA$3&gt;=$F$94)*$E$94+(DA$3&gt;=$F$95)*$E$95+(DA$3&gt;=$F$96)*$E$96+(DA$3&gt;=$F$97)*$E$97+(DA$3&gt;=$F$98)*$E$98+(DA$3&gt;=$F$99)*$E$99+(DA$3&gt;=$F$100)*$E$100+(DA$3&gt;=$F$101)*$E$101)/$E$105</f>
        <v>56654.1396107967</v>
      </c>
      <c r="DB141" s="7" t="n">
        <f aca="false">DB144*$E$122*((DB$3&gt;=$F$93)*$E$93+(DB$3&gt;=$F$94)*$E$94+(DB$3&gt;=$F$95)*$E$95+(DB$3&gt;=$F$96)*$E$96+(DB$3&gt;=$F$97)*$E$97+(DB$3&gt;=$F$98)*$E$98+(DB$3&gt;=$F$99)*$E$99+(DB$3&gt;=$F$100)*$E$100+(DB$3&gt;=$F$101)*$E$101)/$E$105</f>
        <v>56654.1396107967</v>
      </c>
      <c r="DC141" s="7" t="n">
        <f aca="false">DC144*$E$122*((DC$3&gt;=$F$93)*$E$93+(DC$3&gt;=$F$94)*$E$94+(DC$3&gt;=$F$95)*$E$95+(DC$3&gt;=$F$96)*$E$96+(DC$3&gt;=$F$97)*$E$97+(DC$3&gt;=$F$98)*$E$98+(DC$3&gt;=$F$99)*$E$99+(DC$3&gt;=$F$100)*$E$100+(DC$3&gt;=$F$101)*$E$101)/$E$105</f>
        <v>56654.1396107967</v>
      </c>
      <c r="DD141" s="7" t="n">
        <f aca="false">DD144*$E$122*((DD$3&gt;=$F$93)*$E$93+(DD$3&gt;=$F$94)*$E$94+(DD$3&gt;=$F$95)*$E$95+(DD$3&gt;=$F$96)*$E$96+(DD$3&gt;=$F$97)*$E$97+(DD$3&gt;=$F$98)*$E$98+(DD$3&gt;=$F$99)*$E$99+(DD$3&gt;=$F$100)*$E$100+(DD$3&gt;=$F$101)*$E$101)/$E$105</f>
        <v>58353.7637991206</v>
      </c>
      <c r="DE141" s="7" t="n">
        <f aca="false">DE144*$E$122*((DE$3&gt;=$F$93)*$E$93+(DE$3&gt;=$F$94)*$E$94+(DE$3&gt;=$F$95)*$E$95+(DE$3&gt;=$F$96)*$E$96+(DE$3&gt;=$F$97)*$E$97+(DE$3&gt;=$F$98)*$E$98+(DE$3&gt;=$F$99)*$E$99+(DE$3&gt;=$F$100)*$E$100+(DE$3&gt;=$F$101)*$E$101)/$E$105</f>
        <v>0</v>
      </c>
      <c r="DF141" s="7" t="n">
        <f aca="false">DF144*$E$122*((DF$3&gt;=$F$93)*$E$93+(DF$3&gt;=$F$94)*$E$94+(DF$3&gt;=$F$95)*$E$95+(DF$3&gt;=$F$96)*$E$96+(DF$3&gt;=$F$97)*$E$97+(DF$3&gt;=$F$98)*$E$98+(DF$3&gt;=$F$99)*$E$99+(DF$3&gt;=$F$100)*$E$100+(DF$3&gt;=$F$101)*$E$101)/$E$105</f>
        <v>0</v>
      </c>
      <c r="DG141" s="7" t="n">
        <f aca="false">DG144*$E$122*((DG$3&gt;=$F$93)*$E$93+(DG$3&gt;=$F$94)*$E$94+(DG$3&gt;=$F$95)*$E$95+(DG$3&gt;=$F$96)*$E$96+(DG$3&gt;=$F$97)*$E$97+(DG$3&gt;=$F$98)*$E$98+(DG$3&gt;=$F$99)*$E$99+(DG$3&gt;=$F$100)*$E$100+(DG$3&gt;=$F$101)*$E$101)/$E$105</f>
        <v>0</v>
      </c>
      <c r="DH141" s="7" t="n">
        <f aca="false">DH144*$E$122*((DH$3&gt;=$F$93)*$E$93+(DH$3&gt;=$F$94)*$E$94+(DH$3&gt;=$F$95)*$E$95+(DH$3&gt;=$F$96)*$E$96+(DH$3&gt;=$F$97)*$E$97+(DH$3&gt;=$F$98)*$E$98+(DH$3&gt;=$F$99)*$E$99+(DH$3&gt;=$F$100)*$E$100+(DH$3&gt;=$F$101)*$E$101)/$E$105</f>
        <v>0</v>
      </c>
      <c r="DI141" s="7" t="n">
        <f aca="false">DI144*$E$122*((DI$3&gt;=$F$93)*$E$93+(DI$3&gt;=$F$94)*$E$94+(DI$3&gt;=$F$95)*$E$95+(DI$3&gt;=$F$96)*$E$96+(DI$3&gt;=$F$97)*$E$97+(DI$3&gt;=$F$98)*$E$98+(DI$3&gt;=$F$99)*$E$99+(DI$3&gt;=$F$100)*$E$100+(DI$3&gt;=$F$101)*$E$101)/$E$105</f>
        <v>0</v>
      </c>
      <c r="DJ141" s="7" t="n">
        <f aca="false">DJ144*$E$122*((DJ$3&gt;=$F$93)*$E$93+(DJ$3&gt;=$F$94)*$E$94+(DJ$3&gt;=$F$95)*$E$95+(DJ$3&gt;=$F$96)*$E$96+(DJ$3&gt;=$F$97)*$E$97+(DJ$3&gt;=$F$98)*$E$98+(DJ$3&gt;=$F$99)*$E$99+(DJ$3&gt;=$F$100)*$E$100+(DJ$3&gt;=$F$101)*$E$101)/$E$105</f>
        <v>0</v>
      </c>
      <c r="DK141" s="7" t="n">
        <f aca="false">DK144*$E$122*((DK$3&gt;=$F$93)*$E$93+(DK$3&gt;=$F$94)*$E$94+(DK$3&gt;=$F$95)*$E$95+(DK$3&gt;=$F$96)*$E$96+(DK$3&gt;=$F$97)*$E$97+(DK$3&gt;=$F$98)*$E$98+(DK$3&gt;=$F$99)*$E$99+(DK$3&gt;=$F$100)*$E$100+(DK$3&gt;=$F$101)*$E$101)/$E$105</f>
        <v>0</v>
      </c>
      <c r="DL141" s="7" t="n">
        <f aca="false">DL144*$E$122*((DL$3&gt;=$F$93)*$E$93+(DL$3&gt;=$F$94)*$E$94+(DL$3&gt;=$F$95)*$E$95+(DL$3&gt;=$F$96)*$E$96+(DL$3&gt;=$F$97)*$E$97+(DL$3&gt;=$F$98)*$E$98+(DL$3&gt;=$F$99)*$E$99+(DL$3&gt;=$F$100)*$E$100+(DL$3&gt;=$F$101)*$E$101)/$E$105</f>
        <v>0</v>
      </c>
      <c r="DM141" s="7" t="n">
        <f aca="false">DM144*$E$122*((DM$3&gt;=$F$93)*$E$93+(DM$3&gt;=$F$94)*$E$94+(DM$3&gt;=$F$95)*$E$95+(DM$3&gt;=$F$96)*$E$96+(DM$3&gt;=$F$97)*$E$97+(DM$3&gt;=$F$98)*$E$98+(DM$3&gt;=$F$99)*$E$99+(DM$3&gt;=$F$100)*$E$100+(DM$3&gt;=$F$101)*$E$101)/$E$105</f>
        <v>0</v>
      </c>
      <c r="DN141" s="7" t="n">
        <f aca="false">DN144*$E$122*((DN$3&gt;=$F$93)*$E$93+(DN$3&gt;=$F$94)*$E$94+(DN$3&gt;=$F$95)*$E$95+(DN$3&gt;=$F$96)*$E$96+(DN$3&gt;=$F$97)*$E$97+(DN$3&gt;=$F$98)*$E$98+(DN$3&gt;=$F$99)*$E$99+(DN$3&gt;=$F$100)*$E$100+(DN$3&gt;=$F$101)*$E$101)/$E$105</f>
        <v>0</v>
      </c>
      <c r="DO141" s="7" t="n">
        <f aca="false">DO144*$E$122*((DO$3&gt;=$F$93)*$E$93+(DO$3&gt;=$F$94)*$E$94+(DO$3&gt;=$F$95)*$E$95+(DO$3&gt;=$F$96)*$E$96+(DO$3&gt;=$F$97)*$E$97+(DO$3&gt;=$F$98)*$E$98+(DO$3&gt;=$F$99)*$E$99+(DO$3&gt;=$F$100)*$E$100+(DO$3&gt;=$F$101)*$E$101)/$E$105</f>
        <v>0</v>
      </c>
      <c r="DP141" s="7" t="n">
        <f aca="false">DP144*$E$122*((DP$3&gt;=$F$93)*$E$93+(DP$3&gt;=$F$94)*$E$94+(DP$3&gt;=$F$95)*$E$95+(DP$3&gt;=$F$96)*$E$96+(DP$3&gt;=$F$97)*$E$97+(DP$3&gt;=$F$98)*$E$98+(DP$3&gt;=$F$99)*$E$99+(DP$3&gt;=$F$100)*$E$100+(DP$3&gt;=$F$101)*$E$101)/$E$105</f>
        <v>0</v>
      </c>
    </row>
    <row r="142" customFormat="false" ht="15" hidden="false" customHeight="false" outlineLevel="0" collapsed="false">
      <c r="B142" s="0" t="s">
        <v>76</v>
      </c>
      <c r="L142" s="7" t="n">
        <f aca="false">-$E$123*(L140+L141)</f>
        <v>-0</v>
      </c>
      <c r="M142" s="7" t="n">
        <f aca="false">-$E$123*(M140+M141)</f>
        <v>-0</v>
      </c>
      <c r="N142" s="7" t="n">
        <f aca="false">-$E$123*(N140+N141)</f>
        <v>-0</v>
      </c>
      <c r="O142" s="7" t="n">
        <f aca="false">-$E$123*(O140+O141)</f>
        <v>-0</v>
      </c>
      <c r="P142" s="7" t="n">
        <f aca="false">-$E$123*(P140+P141)</f>
        <v>-0</v>
      </c>
      <c r="Q142" s="7" t="n">
        <f aca="false">-$E$123*(Q140+Q141)</f>
        <v>-0</v>
      </c>
      <c r="R142" s="7" t="n">
        <f aca="false">-$E$123*(R140+R141)</f>
        <v>-0</v>
      </c>
      <c r="S142" s="7" t="n">
        <f aca="false">-$E$123*(S140+S141)</f>
        <v>-0</v>
      </c>
      <c r="T142" s="7" t="n">
        <f aca="false">-$E$123*(T140+T141)</f>
        <v>-0</v>
      </c>
      <c r="U142" s="7" t="n">
        <f aca="false">-$E$123*(U140+U141)</f>
        <v>-0</v>
      </c>
      <c r="V142" s="7" t="n">
        <f aca="false">-$E$123*(V140+V141)</f>
        <v>-0</v>
      </c>
      <c r="W142" s="7" t="n">
        <f aca="false">-$E$123*(W140+W141)</f>
        <v>-0</v>
      </c>
      <c r="X142" s="7" t="n">
        <f aca="false">-$E$123*(X140+X141)</f>
        <v>-0</v>
      </c>
      <c r="Y142" s="7" t="n">
        <f aca="false">-$E$123*(Y140+Y141)</f>
        <v>-0</v>
      </c>
      <c r="Z142" s="7" t="n">
        <f aca="false">-$E$123*(Z140+Z141)</f>
        <v>-0</v>
      </c>
      <c r="AA142" s="7" t="n">
        <f aca="false">-$E$123*(AA140+AA141)</f>
        <v>-0</v>
      </c>
      <c r="AB142" s="7" t="n">
        <f aca="false">-$E$123*(AB140+AB141)</f>
        <v>-0</v>
      </c>
      <c r="AC142" s="7" t="n">
        <f aca="false">-$E$123*(AC140+AC141)</f>
        <v>-0</v>
      </c>
      <c r="AD142" s="7" t="n">
        <f aca="false">-$E$123*(AD140+AD141)</f>
        <v>-0</v>
      </c>
      <c r="AE142" s="7" t="n">
        <f aca="false">-$E$123*(AE140+AE141)</f>
        <v>-864.797333333333</v>
      </c>
      <c r="AF142" s="7" t="n">
        <f aca="false">-$E$123*(AF140+AF141)</f>
        <v>-864.797333333333</v>
      </c>
      <c r="AG142" s="7" t="n">
        <f aca="false">-$E$123*(AG140+AG141)</f>
        <v>-7609.68533333333</v>
      </c>
      <c r="AH142" s="7" t="n">
        <f aca="false">-$E$123*(AH140+AH141)</f>
        <v>-7609.68533333333</v>
      </c>
      <c r="AI142" s="7" t="n">
        <f aca="false">-$E$123*(AI140+AI141)</f>
        <v>-8342.23183333334</v>
      </c>
      <c r="AJ142" s="7" t="n">
        <f aca="false">-$E$123*(AJ140+AJ141)</f>
        <v>-8395.22378833334</v>
      </c>
      <c r="AK142" s="7" t="n">
        <f aca="false">-$E$123*(AK140+AK141)</f>
        <v>-10002.8475483333</v>
      </c>
      <c r="AL142" s="7" t="n">
        <f aca="false">-$E$123*(AL140+AL141)</f>
        <v>-10002.8475483333</v>
      </c>
      <c r="AM142" s="7" t="n">
        <f aca="false">-$E$123*(AM140+AM141)</f>
        <v>-10618.8314583333</v>
      </c>
      <c r="AN142" s="7" t="n">
        <f aca="false">-$E$123*(AN140+AN141)</f>
        <v>-10618.8314583333</v>
      </c>
      <c r="AO142" s="7" t="n">
        <f aca="false">-$E$123*(AO140+AO141)</f>
        <v>-11132.930055</v>
      </c>
      <c r="AP142" s="7" t="n">
        <f aca="false">-$E$123*(AP140+AP141)</f>
        <v>-11132.930055</v>
      </c>
      <c r="AQ142" s="7" t="n">
        <f aca="false">-$E$123*(AQ140+AQ141)</f>
        <v>-11979.3512583333</v>
      </c>
      <c r="AR142" s="7" t="n">
        <f aca="false">-$E$123*(AR140+AR141)</f>
        <v>-11979.3512583333</v>
      </c>
      <c r="AS142" s="7" t="n">
        <f aca="false">-$E$123*(AS140+AS141)</f>
        <v>-11979.3512583333</v>
      </c>
      <c r="AT142" s="7" t="n">
        <f aca="false">-$E$123*(AT140+AT141)</f>
        <v>-11979.3512583333</v>
      </c>
      <c r="AU142" s="7" t="n">
        <f aca="false">-$E$123*(AU140+AU141)</f>
        <v>-11997.7262583333</v>
      </c>
      <c r="AV142" s="7" t="n">
        <f aca="false">-$E$123*(AV140+AV141)</f>
        <v>-12071.0317960833</v>
      </c>
      <c r="AW142" s="7" t="n">
        <f aca="false">-$E$123*(AW140+AW141)</f>
        <v>-12110.7817960833</v>
      </c>
      <c r="AX142" s="7" t="n">
        <f aca="false">-$E$123*(AX140+AX141)</f>
        <v>-12110.7817960833</v>
      </c>
      <c r="AY142" s="7" t="n">
        <f aca="false">-$E$123*(AY140+AY141)</f>
        <v>-12126.0817960833</v>
      </c>
      <c r="AZ142" s="7" t="n">
        <f aca="false">-$E$123*(AZ140+AZ141)</f>
        <v>-12126.0817960833</v>
      </c>
      <c r="BA142" s="7" t="n">
        <f aca="false">-$E$123*(BA140+BA141)</f>
        <v>-12139.0317960833</v>
      </c>
      <c r="BB142" s="7" t="n">
        <f aca="false">-$E$123*(BB140+BB141)</f>
        <v>-12139.0317960833</v>
      </c>
      <c r="BC142" s="7" t="n">
        <f aca="false">-$E$123*(BC140+BC141)</f>
        <v>-12159.8317960833</v>
      </c>
      <c r="BD142" s="7" t="n">
        <f aca="false">-$E$123*(BD140+BD141)</f>
        <v>-12159.8317960833</v>
      </c>
      <c r="BE142" s="7" t="n">
        <f aca="false">-$E$123*(BE140+BE141)</f>
        <v>-12159.8317960833</v>
      </c>
      <c r="BF142" s="7" t="n">
        <f aca="false">-$E$123*(BF140+BF141)</f>
        <v>-12159.8317960833</v>
      </c>
      <c r="BG142" s="7" t="n">
        <f aca="false">-$E$123*(BG140+BG141)</f>
        <v>-12178.7580460833</v>
      </c>
      <c r="BH142" s="7" t="n">
        <f aca="false">-$E$123*(BH140+BH141)</f>
        <v>-12254.2627499658</v>
      </c>
      <c r="BI142" s="7" t="n">
        <f aca="false">-$E$123*(BI140+BI141)</f>
        <v>-12295.2052499658</v>
      </c>
      <c r="BJ142" s="7" t="n">
        <f aca="false">-$E$123*(BJ140+BJ141)</f>
        <v>-12295.2052499658</v>
      </c>
      <c r="BK142" s="7" t="n">
        <f aca="false">-$E$123*(BK140+BK141)</f>
        <v>-12310.9642499658</v>
      </c>
      <c r="BL142" s="7" t="n">
        <f aca="false">-$E$123*(BL140+BL141)</f>
        <v>-12310.9642499658</v>
      </c>
      <c r="BM142" s="7" t="n">
        <f aca="false">-$E$123*(BM140+BM141)</f>
        <v>-12324.3027499658</v>
      </c>
      <c r="BN142" s="7" t="n">
        <f aca="false">-$E$123*(BN140+BN141)</f>
        <v>-12324.3027499658</v>
      </c>
      <c r="BO142" s="7" t="n">
        <f aca="false">-$E$123*(BO140+BO141)</f>
        <v>-12345.7267499658</v>
      </c>
      <c r="BP142" s="7" t="n">
        <f aca="false">-$E$123*(BP140+BP141)</f>
        <v>-12345.7267499658</v>
      </c>
      <c r="BQ142" s="7" t="n">
        <f aca="false">-$E$123*(BQ140+BQ141)</f>
        <v>-12345.7267499658</v>
      </c>
      <c r="BR142" s="7" t="n">
        <f aca="false">-$E$123*(BR140+BR141)</f>
        <v>-12345.7267499658</v>
      </c>
      <c r="BS142" s="7" t="n">
        <f aca="false">-$E$123*(BS140+BS141)</f>
        <v>-12365.2207874658</v>
      </c>
      <c r="BT142" s="7" t="n">
        <f aca="false">-$E$123*(BT140+BT141)</f>
        <v>-12442.9906324648</v>
      </c>
      <c r="BU142" s="7" t="n">
        <f aca="false">-$E$123*(BU140+BU141)</f>
        <v>-12485.1614074648</v>
      </c>
      <c r="BV142" s="7" t="n">
        <f aca="false">-$E$123*(BV140+BV141)</f>
        <v>-12485.1614074648</v>
      </c>
      <c r="BW142" s="7" t="n">
        <f aca="false">-$E$123*(BW140+BW141)</f>
        <v>-12501.3931774648</v>
      </c>
      <c r="BX142" s="7" t="n">
        <f aca="false">-$E$123*(BX140+BX141)</f>
        <v>-12501.3931774648</v>
      </c>
      <c r="BY142" s="7" t="n">
        <f aca="false">-$E$123*(BY140+BY141)</f>
        <v>-12515.1318324648</v>
      </c>
      <c r="BZ142" s="7" t="n">
        <f aca="false">-$E$123*(BZ140+BZ141)</f>
        <v>-12515.1318324648</v>
      </c>
      <c r="CA142" s="7" t="n">
        <f aca="false">-$E$123*(CA140+CA141)</f>
        <v>-12537.1985524648</v>
      </c>
      <c r="CB142" s="7" t="n">
        <f aca="false">-$E$123*(CB140+CB141)</f>
        <v>-12537.1985524648</v>
      </c>
      <c r="CC142" s="7" t="n">
        <f aca="false">-$E$123*(CC140+CC141)</f>
        <v>-12537.1985524648</v>
      </c>
      <c r="CD142" s="7" t="n">
        <f aca="false">-$E$123*(CD140+CD141)</f>
        <v>-12537.1985524648</v>
      </c>
      <c r="CE142" s="7" t="n">
        <f aca="false">-$E$123*(CE140+CE141)</f>
        <v>-12557.2774110898</v>
      </c>
      <c r="CF142" s="7" t="n">
        <f aca="false">-$E$123*(CF140+CF141)</f>
        <v>-12637.3803514388</v>
      </c>
      <c r="CG142" s="7" t="n">
        <f aca="false">-$E$123*(CG140+CG141)</f>
        <v>-12680.8162496888</v>
      </c>
      <c r="CH142" s="7" t="n">
        <f aca="false">-$E$123*(CH140+CH141)</f>
        <v>-12680.8162496888</v>
      </c>
      <c r="CI142" s="7" t="n">
        <f aca="false">-$E$123*(CI140+CI141)</f>
        <v>-12697.5349727888</v>
      </c>
      <c r="CJ142" s="7" t="n">
        <f aca="false">-$E$123*(CJ140+CJ141)</f>
        <v>-12697.5349727888</v>
      </c>
      <c r="CK142" s="7" t="n">
        <f aca="false">-$E$123*(CK140+CK141)</f>
        <v>-12711.6857874388</v>
      </c>
      <c r="CL142" s="7" t="n">
        <f aca="false">-$E$123*(CL140+CL141)</f>
        <v>-12711.6857874388</v>
      </c>
      <c r="CM142" s="7" t="n">
        <f aca="false">-$E$123*(CM140+CM141)</f>
        <v>-13206.5422423721</v>
      </c>
      <c r="CN142" s="7" t="n">
        <f aca="false">-$E$123*(CN140+CN141)</f>
        <v>-13206.5422423721</v>
      </c>
      <c r="CO142" s="7" t="n">
        <f aca="false">-$E$123*(CO140+CO141)</f>
        <v>-16375.0891423721</v>
      </c>
      <c r="CP142" s="7" t="n">
        <f aca="false">-$E$123*(CP140+CP141)</f>
        <v>-16375.0891423721</v>
      </c>
      <c r="CQ142" s="7" t="n">
        <f aca="false">-$E$123*(CQ140+CQ141)</f>
        <v>-16395.7703667558</v>
      </c>
      <c r="CR142" s="7" t="n">
        <f aca="false">-$E$123*(CR140+CR141)</f>
        <v>-16478.2763953153</v>
      </c>
      <c r="CS142" s="7" t="n">
        <f aca="false">-$E$123*(CS140+CS141)</f>
        <v>-16523.0153705128</v>
      </c>
      <c r="CT142" s="7" t="n">
        <f aca="false">-$E$123*(CT140+CT141)</f>
        <v>-16523.0153705128</v>
      </c>
      <c r="CU142" s="7" t="n">
        <f aca="false">-$E$123*(CU140+CU141)</f>
        <v>-16540.2356553058</v>
      </c>
      <c r="CV142" s="7" t="n">
        <f aca="false">-$E$123*(CV140+CV141)</f>
        <v>-16540.2356553058</v>
      </c>
      <c r="CW142" s="7" t="n">
        <f aca="false">-$E$123*(CW140+CW141)</f>
        <v>-16554.8109943953</v>
      </c>
      <c r="CX142" s="7" t="n">
        <f aca="false">-$E$123*(CX140+CX141)</f>
        <v>-16554.8109943953</v>
      </c>
      <c r="CY142" s="7" t="n">
        <f aca="false">-$E$123*(CY140+CY141)</f>
        <v>-16578.2215776433</v>
      </c>
      <c r="CZ142" s="7" t="n">
        <f aca="false">-$E$123*(CZ140+CZ141)</f>
        <v>-16578.2215776433</v>
      </c>
      <c r="DA142" s="7" t="n">
        <f aca="false">-$E$123*(DA140+DA141)</f>
        <v>-16578.2215776433</v>
      </c>
      <c r="DB142" s="7" t="n">
        <f aca="false">-$E$123*(DB140+DB141)</f>
        <v>-16578.2215776433</v>
      </c>
      <c r="DC142" s="7" t="n">
        <f aca="false">-$E$123*(DC140+DC141)</f>
        <v>-16599.5232387585</v>
      </c>
      <c r="DD142" s="7" t="n">
        <f aca="false">-$E$123*(DD140+DD141)</f>
        <v>-16684.5044481747</v>
      </c>
      <c r="DE142" s="7" t="n">
        <f aca="false">-$E$123*(DE140+DE141)</f>
        <v>-0</v>
      </c>
      <c r="DF142" s="7" t="n">
        <f aca="false">-$E$123*(DF140+DF141)</f>
        <v>-0</v>
      </c>
      <c r="DG142" s="7" t="n">
        <f aca="false">-$E$123*(DG140+DG141)</f>
        <v>-0</v>
      </c>
      <c r="DH142" s="7" t="n">
        <f aca="false">-$E$123*(DH140+DH141)</f>
        <v>-0</v>
      </c>
      <c r="DI142" s="7" t="n">
        <f aca="false">-$E$123*(DI140+DI141)</f>
        <v>-0</v>
      </c>
      <c r="DJ142" s="7" t="n">
        <f aca="false">-$E$123*(DJ140+DJ141)</f>
        <v>-0</v>
      </c>
      <c r="DK142" s="7" t="n">
        <f aca="false">-$E$123*(DK140+DK141)</f>
        <v>-0</v>
      </c>
      <c r="DL142" s="7" t="n">
        <f aca="false">-$E$123*(DL140+DL141)</f>
        <v>-0</v>
      </c>
      <c r="DM142" s="7" t="n">
        <f aca="false">-$E$123*(DM140+DM141)</f>
        <v>-0</v>
      </c>
      <c r="DN142" s="7" t="n">
        <f aca="false">-$E$123*(DN140+DN141)</f>
        <v>-0</v>
      </c>
      <c r="DO142" s="7" t="n">
        <f aca="false">-$E$123*(DO140+DO141)</f>
        <v>-0</v>
      </c>
      <c r="DP142" s="7" t="n">
        <f aca="false">-$E$123*(DP140+DP141)</f>
        <v>-0</v>
      </c>
    </row>
    <row r="143" customFormat="false" ht="15" hidden="false" customHeight="false" outlineLevel="0" collapsed="false">
      <c r="B143" s="0" t="s">
        <v>84</v>
      </c>
      <c r="L143" s="7" t="n">
        <f aca="false">SUM(L140:L142)</f>
        <v>0</v>
      </c>
      <c r="M143" s="7" t="n">
        <f aca="false">SUM(M140:M142)</f>
        <v>0</v>
      </c>
      <c r="N143" s="7" t="n">
        <f aca="false">SUM(N140:N142)</f>
        <v>0</v>
      </c>
      <c r="O143" s="7" t="n">
        <f aca="false">SUM(O140:O142)</f>
        <v>0</v>
      </c>
      <c r="P143" s="7" t="n">
        <f aca="false">SUM(P140:P142)</f>
        <v>0</v>
      </c>
      <c r="Q143" s="7" t="n">
        <f aca="false">SUM(Q140:Q142)</f>
        <v>0</v>
      </c>
      <c r="R143" s="7" t="n">
        <f aca="false">SUM(R140:R142)</f>
        <v>0</v>
      </c>
      <c r="S143" s="7" t="n">
        <f aca="false">SUM(S140:S142)</f>
        <v>0</v>
      </c>
      <c r="T143" s="7" t="n">
        <f aca="false">SUM(T140:T142)</f>
        <v>0</v>
      </c>
      <c r="U143" s="7" t="n">
        <f aca="false">SUM(U140:U142)</f>
        <v>0</v>
      </c>
      <c r="V143" s="7" t="n">
        <f aca="false">SUM(V140:V142)</f>
        <v>0</v>
      </c>
      <c r="W143" s="7" t="n">
        <f aca="false">SUM(W140:W142)</f>
        <v>0</v>
      </c>
      <c r="X143" s="7" t="n">
        <f aca="false">SUM(X140:X142)</f>
        <v>0</v>
      </c>
      <c r="Y143" s="7" t="n">
        <f aca="false">SUM(Y140:Y142)</f>
        <v>0</v>
      </c>
      <c r="Z143" s="7" t="n">
        <f aca="false">SUM(Z140:Z142)</f>
        <v>0</v>
      </c>
      <c r="AA143" s="7" t="n">
        <f aca="false">SUM(AA140:AA142)</f>
        <v>0</v>
      </c>
      <c r="AB143" s="7" t="n">
        <f aca="false">SUM(AB140:AB142)</f>
        <v>0</v>
      </c>
      <c r="AC143" s="7" t="n">
        <f aca="false">SUM(AC140:AC142)</f>
        <v>0</v>
      </c>
      <c r="AD143" s="7" t="n">
        <f aca="false">SUM(AD140:AD142)</f>
        <v>0</v>
      </c>
      <c r="AE143" s="7" t="n">
        <f aca="false">SUM(AE140:AE142)</f>
        <v>16431.1493333333</v>
      </c>
      <c r="AF143" s="7" t="n">
        <f aca="false">SUM(AF140:AF142)</f>
        <v>16431.1493333333</v>
      </c>
      <c r="AG143" s="7" t="n">
        <f aca="false">SUM(AG140:AG142)</f>
        <v>144584.021333333</v>
      </c>
      <c r="AH143" s="7" t="n">
        <f aca="false">SUM(AH140:AH142)</f>
        <v>144584.021333333</v>
      </c>
      <c r="AI143" s="7" t="n">
        <f aca="false">SUM(AI140:AI142)</f>
        <v>158502.404833333</v>
      </c>
      <c r="AJ143" s="7" t="n">
        <f aca="false">SUM(AJ140:AJ142)</f>
        <v>159509.251978333</v>
      </c>
      <c r="AK143" s="7" t="n">
        <f aca="false">SUM(AK140:AK142)</f>
        <v>190054.103418333</v>
      </c>
      <c r="AL143" s="7" t="n">
        <f aca="false">SUM(AL140:AL142)</f>
        <v>190054.103418333</v>
      </c>
      <c r="AM143" s="7" t="n">
        <f aca="false">SUM(AM140:AM142)</f>
        <v>201757.797708333</v>
      </c>
      <c r="AN143" s="7" t="n">
        <f aca="false">SUM(AN140:AN142)</f>
        <v>201757.797708333</v>
      </c>
      <c r="AO143" s="7" t="n">
        <f aca="false">SUM(AO140:AO142)</f>
        <v>211525.671045</v>
      </c>
      <c r="AP143" s="7" t="n">
        <f aca="false">SUM(AP140:AP142)</f>
        <v>211525.671045</v>
      </c>
      <c r="AQ143" s="7" t="n">
        <f aca="false">SUM(AQ140:AQ142)</f>
        <v>227607.673908333</v>
      </c>
      <c r="AR143" s="7" t="n">
        <f aca="false">SUM(AR140:AR142)</f>
        <v>227607.673908333</v>
      </c>
      <c r="AS143" s="7" t="n">
        <f aca="false">SUM(AS140:AS142)</f>
        <v>227607.673908333</v>
      </c>
      <c r="AT143" s="7" t="n">
        <f aca="false">SUM(AT140:AT142)</f>
        <v>227607.673908333</v>
      </c>
      <c r="AU143" s="7" t="n">
        <f aca="false">SUM(AU140:AU142)</f>
        <v>227956.798908333</v>
      </c>
      <c r="AV143" s="7" t="n">
        <f aca="false">SUM(AV140:AV142)</f>
        <v>229349.604125583</v>
      </c>
      <c r="AW143" s="7" t="n">
        <f aca="false">SUM(AW140:AW142)</f>
        <v>230104.854125583</v>
      </c>
      <c r="AX143" s="7" t="n">
        <f aca="false">SUM(AX140:AX142)</f>
        <v>230104.854125583</v>
      </c>
      <c r="AY143" s="7" t="n">
        <f aca="false">SUM(AY140:AY142)</f>
        <v>230395.554125583</v>
      </c>
      <c r="AZ143" s="7" t="n">
        <f aca="false">SUM(AZ140:AZ142)</f>
        <v>230395.554125583</v>
      </c>
      <c r="BA143" s="7" t="n">
        <f aca="false">SUM(BA140:BA142)</f>
        <v>230641.604125583</v>
      </c>
      <c r="BB143" s="7" t="n">
        <f aca="false">SUM(BB140:BB142)</f>
        <v>230641.604125583</v>
      </c>
      <c r="BC143" s="7" t="n">
        <f aca="false">SUM(BC140:BC142)</f>
        <v>231036.804125583</v>
      </c>
      <c r="BD143" s="7" t="n">
        <f aca="false">SUM(BD140:BD142)</f>
        <v>231036.804125583</v>
      </c>
      <c r="BE143" s="7" t="n">
        <f aca="false">SUM(BE140:BE142)</f>
        <v>231036.804125583</v>
      </c>
      <c r="BF143" s="7" t="n">
        <f aca="false">SUM(BF140:BF142)</f>
        <v>231036.804125583</v>
      </c>
      <c r="BG143" s="7" t="n">
        <f aca="false">SUM(BG140:BG142)</f>
        <v>231396.402875583</v>
      </c>
      <c r="BH143" s="7" t="n">
        <f aca="false">SUM(BH140:BH142)</f>
        <v>232830.992249351</v>
      </c>
      <c r="BI143" s="7" t="n">
        <f aca="false">SUM(BI140:BI142)</f>
        <v>233608.899749351</v>
      </c>
      <c r="BJ143" s="7" t="n">
        <f aca="false">SUM(BJ140:BJ142)</f>
        <v>233608.899749351</v>
      </c>
      <c r="BK143" s="7" t="n">
        <f aca="false">SUM(BK140:BK142)</f>
        <v>233908.320749351</v>
      </c>
      <c r="BL143" s="7" t="n">
        <f aca="false">SUM(BL140:BL142)</f>
        <v>233908.320749351</v>
      </c>
      <c r="BM143" s="7" t="n">
        <f aca="false">SUM(BM140:BM142)</f>
        <v>234161.752249351</v>
      </c>
      <c r="BN143" s="7" t="n">
        <f aca="false">SUM(BN140:BN142)</f>
        <v>234161.752249351</v>
      </c>
      <c r="BO143" s="7" t="n">
        <f aca="false">SUM(BO140:BO142)</f>
        <v>234568.808249351</v>
      </c>
      <c r="BP143" s="7" t="n">
        <f aca="false">SUM(BP140:BP142)</f>
        <v>234568.808249351</v>
      </c>
      <c r="BQ143" s="7" t="n">
        <f aca="false">SUM(BQ140:BQ142)</f>
        <v>234568.808249351</v>
      </c>
      <c r="BR143" s="7" t="n">
        <f aca="false">SUM(BR140:BR142)</f>
        <v>234568.808249351</v>
      </c>
      <c r="BS143" s="7" t="n">
        <f aca="false">SUM(BS140:BS142)</f>
        <v>234939.194961851</v>
      </c>
      <c r="BT143" s="7" t="n">
        <f aca="false">SUM(BT140:BT142)</f>
        <v>236416.822016831</v>
      </c>
      <c r="BU143" s="7" t="n">
        <f aca="false">SUM(BU140:BU142)</f>
        <v>237218.066741831</v>
      </c>
      <c r="BV143" s="7" t="n">
        <f aca="false">SUM(BV140:BV142)</f>
        <v>237218.066741831</v>
      </c>
      <c r="BW143" s="7" t="n">
        <f aca="false">SUM(BW140:BW142)</f>
        <v>237526.470371831</v>
      </c>
      <c r="BX143" s="7" t="n">
        <f aca="false">SUM(BX140:BX142)</f>
        <v>237526.470371831</v>
      </c>
      <c r="BY143" s="7" t="n">
        <f aca="false">SUM(BY140:BY142)</f>
        <v>237787.504816831</v>
      </c>
      <c r="BZ143" s="7" t="n">
        <f aca="false">SUM(BZ140:BZ142)</f>
        <v>237787.504816831</v>
      </c>
      <c r="CA143" s="7" t="n">
        <f aca="false">SUM(CA140:CA142)</f>
        <v>238206.772496831</v>
      </c>
      <c r="CB143" s="7" t="n">
        <f aca="false">SUM(CB140:CB142)</f>
        <v>238206.772496831</v>
      </c>
      <c r="CC143" s="7" t="n">
        <f aca="false">SUM(CC140:CC142)</f>
        <v>238206.772496831</v>
      </c>
      <c r="CD143" s="7" t="n">
        <f aca="false">SUM(CD140:CD142)</f>
        <v>238206.772496831</v>
      </c>
      <c r="CE143" s="7" t="n">
        <f aca="false">SUM(CE140:CE142)</f>
        <v>238588.270810706</v>
      </c>
      <c r="CF143" s="7" t="n">
        <f aca="false">SUM(CF140:CF142)</f>
        <v>240110.226677336</v>
      </c>
      <c r="CG143" s="7" t="n">
        <f aca="false">SUM(CG140:CG142)</f>
        <v>240935.508744086</v>
      </c>
      <c r="CH143" s="7" t="n">
        <f aca="false">SUM(CH140:CH142)</f>
        <v>240935.508744086</v>
      </c>
      <c r="CI143" s="7" t="n">
        <f aca="false">SUM(CI140:CI142)</f>
        <v>241253.164482986</v>
      </c>
      <c r="CJ143" s="7" t="n">
        <f aca="false">SUM(CJ140:CJ142)</f>
        <v>241253.164482986</v>
      </c>
      <c r="CK143" s="7" t="n">
        <f aca="false">SUM(CK140:CK142)</f>
        <v>241522.029961336</v>
      </c>
      <c r="CL143" s="7" t="n">
        <f aca="false">SUM(CL140:CL142)</f>
        <v>241522.029961336</v>
      </c>
      <c r="CM143" s="7" t="n">
        <f aca="false">SUM(CM140:CM142)</f>
        <v>250924.30260507</v>
      </c>
      <c r="CN143" s="7" t="n">
        <f aca="false">SUM(CN140:CN142)</f>
        <v>250924.30260507</v>
      </c>
      <c r="CO143" s="7" t="n">
        <f aca="false">SUM(CO140:CO142)</f>
        <v>311126.69370507</v>
      </c>
      <c r="CP143" s="7" t="n">
        <f aca="false">SUM(CP140:CP142)</f>
        <v>311126.69370507</v>
      </c>
      <c r="CQ143" s="7" t="n">
        <f aca="false">SUM(CQ140:CQ142)</f>
        <v>311519.636968361</v>
      </c>
      <c r="CR143" s="7" t="n">
        <f aca="false">SUM(CR140:CR142)</f>
        <v>313087.25151099</v>
      </c>
      <c r="CS143" s="7" t="n">
        <f aca="false">SUM(CS140:CS142)</f>
        <v>313937.292039742</v>
      </c>
      <c r="CT143" s="7" t="n">
        <f aca="false">SUM(CT140:CT142)</f>
        <v>313937.292039742</v>
      </c>
      <c r="CU143" s="7" t="n">
        <f aca="false">SUM(CU140:CU142)</f>
        <v>314264.477450809</v>
      </c>
      <c r="CV143" s="7" t="n">
        <f aca="false">SUM(CV140:CV142)</f>
        <v>314264.477450809</v>
      </c>
      <c r="CW143" s="7" t="n">
        <f aca="false">SUM(CW140:CW142)</f>
        <v>314541.40889351</v>
      </c>
      <c r="CX143" s="7" t="n">
        <f aca="false">SUM(CX140:CX142)</f>
        <v>314541.40889351</v>
      </c>
      <c r="CY143" s="7" t="n">
        <f aca="false">SUM(CY140:CY142)</f>
        <v>314986.209975222</v>
      </c>
      <c r="CZ143" s="7" t="n">
        <f aca="false">SUM(CZ140:CZ142)</f>
        <v>314986.209975222</v>
      </c>
      <c r="DA143" s="7" t="n">
        <f aca="false">SUM(DA140:DA142)</f>
        <v>314986.209975222</v>
      </c>
      <c r="DB143" s="7" t="n">
        <f aca="false">SUM(DB140:DB142)</f>
        <v>314986.209975222</v>
      </c>
      <c r="DC143" s="7" t="n">
        <f aca="false">SUM(DC140:DC142)</f>
        <v>315390.941536412</v>
      </c>
      <c r="DD143" s="7" t="n">
        <f aca="false">SUM(DD140:DD142)</f>
        <v>317005.58451532</v>
      </c>
      <c r="DE143" s="7" t="n">
        <f aca="false">SUM(DE140:DE142)</f>
        <v>0</v>
      </c>
      <c r="DF143" s="7" t="n">
        <f aca="false">SUM(DF140:DF142)</f>
        <v>0</v>
      </c>
      <c r="DG143" s="7" t="n">
        <f aca="false">SUM(DG140:DG142)</f>
        <v>0</v>
      </c>
      <c r="DH143" s="7" t="n">
        <f aca="false">SUM(DH140:DH142)</f>
        <v>0</v>
      </c>
      <c r="DI143" s="7" t="n">
        <f aca="false">SUM(DI140:DI142)</f>
        <v>0</v>
      </c>
      <c r="DJ143" s="7" t="n">
        <f aca="false">SUM(DJ140:DJ142)</f>
        <v>0</v>
      </c>
      <c r="DK143" s="7" t="n">
        <f aca="false">SUM(DK140:DK142)</f>
        <v>0</v>
      </c>
      <c r="DL143" s="7" t="n">
        <f aca="false">SUM(DL140:DL142)</f>
        <v>0</v>
      </c>
      <c r="DM143" s="7" t="n">
        <f aca="false">SUM(DM140:DM142)</f>
        <v>0</v>
      </c>
      <c r="DN143" s="7" t="n">
        <f aca="false">SUM(DN140:DN142)</f>
        <v>0</v>
      </c>
      <c r="DO143" s="7" t="n">
        <f aca="false">SUM(DO140:DO142)</f>
        <v>0</v>
      </c>
      <c r="DP143" s="7" t="n">
        <f aca="false">SUM(DP140:DP142)</f>
        <v>0</v>
      </c>
    </row>
    <row r="144" customFormat="false" ht="15" hidden="false" customHeight="false" outlineLevel="0" collapsed="false">
      <c r="B144" s="0" t="s">
        <v>85</v>
      </c>
      <c r="L144" s="7" t="n">
        <f aca="false">(L$3&lt;=$I$15)*(L$3&gt;=MIN($F$93:$F$101))*$E$120*$E$105/12*(1+$E$121)^INT(L$3/12)</f>
        <v>0</v>
      </c>
      <c r="M144" s="7" t="n">
        <f aca="false">(M$3&lt;=$I$15)*(M$3&gt;=MIN($F$93:$F$101))*$E$120*$E$105/12*(1+$E$121)^INT(M$3/12)</f>
        <v>0</v>
      </c>
      <c r="N144" s="7" t="n">
        <f aca="false">(N$3&lt;=$I$15)*(N$3&gt;=MIN($F$93:$F$101))*$E$120*$E$105/12*(1+$E$121)^INT(N$3/12)</f>
        <v>0</v>
      </c>
      <c r="O144" s="7" t="n">
        <f aca="false">(O$3&lt;=$I$15)*(O$3&gt;=MIN($F$93:$F$101))*$E$120*$E$105/12*(1+$E$121)^INT(O$3/12)</f>
        <v>0</v>
      </c>
      <c r="P144" s="7" t="n">
        <f aca="false">(P$3&lt;=$I$15)*(P$3&gt;=MIN($F$93:$F$101))*$E$120*$E$105/12*(1+$E$121)^INT(P$3/12)</f>
        <v>0</v>
      </c>
      <c r="Q144" s="7" t="n">
        <f aca="false">(Q$3&lt;=$I$15)*(Q$3&gt;=MIN($F$93:$F$101))*$E$120*$E$105/12*(1+$E$121)^INT(Q$3/12)</f>
        <v>0</v>
      </c>
      <c r="R144" s="7" t="n">
        <f aca="false">(R$3&lt;=$I$15)*(R$3&gt;=MIN($F$93:$F$101))*$E$120*$E$105/12*(1+$E$121)^INT(R$3/12)</f>
        <v>0</v>
      </c>
      <c r="S144" s="7" t="n">
        <f aca="false">(S$3&lt;=$I$15)*(S$3&gt;=MIN($F$93:$F$101))*$E$120*$E$105/12*(1+$E$121)^INT(S$3/12)</f>
        <v>0</v>
      </c>
      <c r="T144" s="7" t="n">
        <f aca="false">(T$3&lt;=$I$15)*(T$3&gt;=MIN($F$93:$F$101))*$E$120*$E$105/12*(1+$E$121)^INT(T$3/12)</f>
        <v>0</v>
      </c>
      <c r="U144" s="7" t="n">
        <f aca="false">(U$3&lt;=$I$15)*(U$3&gt;=MIN($F$93:$F$101))*$E$120*$E$105/12*(1+$E$121)^INT(U$3/12)</f>
        <v>0</v>
      </c>
      <c r="V144" s="7" t="n">
        <f aca="false">(V$3&lt;=$I$15)*(V$3&gt;=MIN($F$93:$F$101))*$E$120*$E$105/12*(1+$E$121)^INT(V$3/12)</f>
        <v>0</v>
      </c>
      <c r="W144" s="7" t="n">
        <f aca="false">(W$3&lt;=$I$15)*(W$3&gt;=MIN($F$93:$F$101))*$E$120*$E$105/12*(1+$E$121)^INT(W$3/12)</f>
        <v>0</v>
      </c>
      <c r="X144" s="7" t="n">
        <f aca="false">(X$3&lt;=$I$15)*(X$3&gt;=MIN($F$93:$F$101))*$E$120*$E$105/12*(1+$E$121)^INT(X$3/12)</f>
        <v>0</v>
      </c>
      <c r="Y144" s="7" t="n">
        <f aca="false">(Y$3&lt;=$I$15)*(Y$3&gt;=MIN($F$93:$F$101))*$E$120*$E$105/12*(1+$E$121)^INT(Y$3/12)</f>
        <v>0</v>
      </c>
      <c r="Z144" s="7" t="n">
        <f aca="false">(Z$3&lt;=$I$15)*(Z$3&gt;=MIN($F$93:$F$101))*$E$120*$E$105/12*(1+$E$121)^INT(Z$3/12)</f>
        <v>0</v>
      </c>
      <c r="AA144" s="7" t="n">
        <f aca="false">(AA$3&lt;=$I$15)*(AA$3&gt;=MIN($F$93:$F$101))*$E$120*$E$105/12*(1+$E$121)^INT(AA$3/12)</f>
        <v>0</v>
      </c>
      <c r="AB144" s="7" t="n">
        <f aca="false">(AB$3&lt;=$I$15)*(AB$3&gt;=MIN($F$93:$F$101))*$E$120*$E$105/12*(1+$E$121)^INT(AB$3/12)</f>
        <v>0</v>
      </c>
      <c r="AC144" s="7" t="n">
        <f aca="false">(AC$3&lt;=$I$15)*(AC$3&gt;=MIN($F$93:$F$101))*$E$120*$E$105/12*(1+$E$121)^INT(AC$3/12)</f>
        <v>0</v>
      </c>
      <c r="AD144" s="7" t="n">
        <f aca="false">(AD$3&lt;=$I$15)*(AD$3&gt;=MIN($F$93:$F$101))*$E$120*$E$105/12*(1+$E$121)^INT(AD$3/12)</f>
        <v>0</v>
      </c>
      <c r="AE144" s="7" t="n">
        <f aca="false">(AE$3&lt;=$I$15)*(AE$3&gt;=MIN($F$93:$F$101))*$E$120*$E$105/12*(1+$E$121)^INT(AE$3/12)</f>
        <v>52718.8333333333</v>
      </c>
      <c r="AF144" s="7" t="n">
        <f aca="false">(AF$3&lt;=$I$15)*(AF$3&gt;=MIN($F$93:$F$101))*$E$120*$E$105/12*(1+$E$121)^INT(AF$3/12)</f>
        <v>52718.8333333333</v>
      </c>
      <c r="AG144" s="7" t="n">
        <f aca="false">(AG$3&lt;=$I$15)*(AG$3&gt;=MIN($F$93:$F$101))*$E$120*$E$105/12*(1+$E$121)^INT(AG$3/12)</f>
        <v>52718.8333333333</v>
      </c>
      <c r="AH144" s="7" t="n">
        <f aca="false">(AH$3&lt;=$I$15)*(AH$3&gt;=MIN($F$93:$F$101))*$E$120*$E$105/12*(1+$E$121)^INT(AH$3/12)</f>
        <v>52718.8333333333</v>
      </c>
      <c r="AI144" s="7" t="n">
        <f aca="false">(AI$3&lt;=$I$15)*(AI$3&gt;=MIN($F$93:$F$101))*$E$120*$E$105/12*(1+$E$121)^INT(AI$3/12)</f>
        <v>52718.8333333333</v>
      </c>
      <c r="AJ144" s="7" t="n">
        <f aca="false">(AJ$3&lt;=$I$15)*(AJ$3&gt;=MIN($F$93:$F$101))*$E$120*$E$105/12*(1+$E$121)^INT(AJ$3/12)</f>
        <v>54300.3983333333</v>
      </c>
      <c r="AK144" s="7" t="n">
        <f aca="false">(AK$3&lt;=$I$15)*(AK$3&gt;=MIN($F$93:$F$101))*$E$120*$E$105/12*(1+$E$121)^INT(AK$3/12)</f>
        <v>54300.3983333333</v>
      </c>
      <c r="AL144" s="7" t="n">
        <f aca="false">(AL$3&lt;=$I$15)*(AL$3&gt;=MIN($F$93:$F$101))*$E$120*$E$105/12*(1+$E$121)^INT(AL$3/12)</f>
        <v>54300.3983333333</v>
      </c>
      <c r="AM144" s="7" t="n">
        <f aca="false">(AM$3&lt;=$I$15)*(AM$3&gt;=MIN($F$93:$F$101))*$E$120*$E$105/12*(1+$E$121)^INT(AM$3/12)</f>
        <v>54300.3983333333</v>
      </c>
      <c r="AN144" s="7" t="n">
        <f aca="false">(AN$3&lt;=$I$15)*(AN$3&gt;=MIN($F$93:$F$101))*$E$120*$E$105/12*(1+$E$121)^INT(AN$3/12)</f>
        <v>54300.3983333333</v>
      </c>
      <c r="AO144" s="7" t="n">
        <f aca="false">(AO$3&lt;=$I$15)*(AO$3&gt;=MIN($F$93:$F$101))*$E$120*$E$105/12*(1+$E$121)^INT(AO$3/12)</f>
        <v>54300.3983333333</v>
      </c>
      <c r="AP144" s="7" t="n">
        <f aca="false">(AP$3&lt;=$I$15)*(AP$3&gt;=MIN($F$93:$F$101))*$E$120*$E$105/12*(1+$E$121)^INT(AP$3/12)</f>
        <v>54300.3983333333</v>
      </c>
      <c r="AQ144" s="7" t="n">
        <f aca="false">(AQ$3&lt;=$I$15)*(AQ$3&gt;=MIN($F$93:$F$101))*$E$120*$E$105/12*(1+$E$121)^INT(AQ$3/12)</f>
        <v>54300.3983333333</v>
      </c>
      <c r="AR144" s="7" t="n">
        <f aca="false">(AR$3&lt;=$I$15)*(AR$3&gt;=MIN($F$93:$F$101))*$E$120*$E$105/12*(1+$E$121)^INT(AR$3/12)</f>
        <v>54300.3983333333</v>
      </c>
      <c r="AS144" s="7" t="n">
        <f aca="false">(AS$3&lt;=$I$15)*(AS$3&gt;=MIN($F$93:$F$101))*$E$120*$E$105/12*(1+$E$121)^INT(AS$3/12)</f>
        <v>54300.3983333333</v>
      </c>
      <c r="AT144" s="7" t="n">
        <f aca="false">(AT$3&lt;=$I$15)*(AT$3&gt;=MIN($F$93:$F$101))*$E$120*$E$105/12*(1+$E$121)^INT(AT$3/12)</f>
        <v>54300.3983333333</v>
      </c>
      <c r="AU144" s="7" t="n">
        <f aca="false">(AU$3&lt;=$I$15)*(AU$3&gt;=MIN($F$93:$F$101))*$E$120*$E$105/12*(1+$E$121)^INT(AU$3/12)</f>
        <v>54300.3983333333</v>
      </c>
      <c r="AV144" s="7" t="n">
        <f aca="false">(AV$3&lt;=$I$15)*(AV$3&gt;=MIN($F$93:$F$101))*$E$120*$E$105/12*(1+$E$121)^INT(AV$3/12)</f>
        <v>55929.4102833333</v>
      </c>
      <c r="AW144" s="7" t="n">
        <f aca="false">(AW$3&lt;=$I$15)*(AW$3&gt;=MIN($F$93:$F$101))*$E$120*$E$105/12*(1+$E$121)^INT(AW$3/12)</f>
        <v>55929.4102833333</v>
      </c>
      <c r="AX144" s="7" t="n">
        <f aca="false">(AX$3&lt;=$I$15)*(AX$3&gt;=MIN($F$93:$F$101))*$E$120*$E$105/12*(1+$E$121)^INT(AX$3/12)</f>
        <v>55929.4102833333</v>
      </c>
      <c r="AY144" s="7" t="n">
        <f aca="false">(AY$3&lt;=$I$15)*(AY$3&gt;=MIN($F$93:$F$101))*$E$120*$E$105/12*(1+$E$121)^INT(AY$3/12)</f>
        <v>55929.4102833333</v>
      </c>
      <c r="AZ144" s="7" t="n">
        <f aca="false">(AZ$3&lt;=$I$15)*(AZ$3&gt;=MIN($F$93:$F$101))*$E$120*$E$105/12*(1+$E$121)^INT(AZ$3/12)</f>
        <v>55929.4102833333</v>
      </c>
      <c r="BA144" s="7" t="n">
        <f aca="false">(BA$3&lt;=$I$15)*(BA$3&gt;=MIN($F$93:$F$101))*$E$120*$E$105/12*(1+$E$121)^INT(BA$3/12)</f>
        <v>55929.4102833333</v>
      </c>
      <c r="BB144" s="7" t="n">
        <f aca="false">(BB$3&lt;=$I$15)*(BB$3&gt;=MIN($F$93:$F$101))*$E$120*$E$105/12*(1+$E$121)^INT(BB$3/12)</f>
        <v>55929.4102833333</v>
      </c>
      <c r="BC144" s="7" t="n">
        <f aca="false">(BC$3&lt;=$I$15)*(BC$3&gt;=MIN($F$93:$F$101))*$E$120*$E$105/12*(1+$E$121)^INT(BC$3/12)</f>
        <v>55929.4102833333</v>
      </c>
      <c r="BD144" s="7" t="n">
        <f aca="false">(BD$3&lt;=$I$15)*(BD$3&gt;=MIN($F$93:$F$101))*$E$120*$E$105/12*(1+$E$121)^INT(BD$3/12)</f>
        <v>55929.4102833333</v>
      </c>
      <c r="BE144" s="7" t="n">
        <f aca="false">(BE$3&lt;=$I$15)*(BE$3&gt;=MIN($F$93:$F$101))*$E$120*$E$105/12*(1+$E$121)^INT(BE$3/12)</f>
        <v>55929.4102833333</v>
      </c>
      <c r="BF144" s="7" t="n">
        <f aca="false">(BF$3&lt;=$I$15)*(BF$3&gt;=MIN($F$93:$F$101))*$E$120*$E$105/12*(1+$E$121)^INT(BF$3/12)</f>
        <v>55929.4102833333</v>
      </c>
      <c r="BG144" s="7" t="n">
        <f aca="false">(BG$3&lt;=$I$15)*(BG$3&gt;=MIN($F$93:$F$101))*$E$120*$E$105/12*(1+$E$121)^INT(BG$3/12)</f>
        <v>55929.4102833333</v>
      </c>
      <c r="BH144" s="7" t="n">
        <f aca="false">(BH$3&lt;=$I$15)*(BH$3&gt;=MIN($F$93:$F$101))*$E$120*$E$105/12*(1+$E$121)^INT(BH$3/12)</f>
        <v>57607.2925918333</v>
      </c>
      <c r="BI144" s="7" t="n">
        <f aca="false">(BI$3&lt;=$I$15)*(BI$3&gt;=MIN($F$93:$F$101))*$E$120*$E$105/12*(1+$E$121)^INT(BI$3/12)</f>
        <v>57607.2925918333</v>
      </c>
      <c r="BJ144" s="7" t="n">
        <f aca="false">(BJ$3&lt;=$I$15)*(BJ$3&gt;=MIN($F$93:$F$101))*$E$120*$E$105/12*(1+$E$121)^INT(BJ$3/12)</f>
        <v>57607.2925918333</v>
      </c>
      <c r="BK144" s="7" t="n">
        <f aca="false">(BK$3&lt;=$I$15)*(BK$3&gt;=MIN($F$93:$F$101))*$E$120*$E$105/12*(1+$E$121)^INT(BK$3/12)</f>
        <v>57607.2925918333</v>
      </c>
      <c r="BL144" s="7" t="n">
        <f aca="false">(BL$3&lt;=$I$15)*(BL$3&gt;=MIN($F$93:$F$101))*$E$120*$E$105/12*(1+$E$121)^INT(BL$3/12)</f>
        <v>57607.2925918333</v>
      </c>
      <c r="BM144" s="7" t="n">
        <f aca="false">(BM$3&lt;=$I$15)*(BM$3&gt;=MIN($F$93:$F$101))*$E$120*$E$105/12*(1+$E$121)^INT(BM$3/12)</f>
        <v>57607.2925918333</v>
      </c>
      <c r="BN144" s="7" t="n">
        <f aca="false">(BN$3&lt;=$I$15)*(BN$3&gt;=MIN($F$93:$F$101))*$E$120*$E$105/12*(1+$E$121)^INT(BN$3/12)</f>
        <v>57607.2925918333</v>
      </c>
      <c r="BO144" s="7" t="n">
        <f aca="false">(BO$3&lt;=$I$15)*(BO$3&gt;=MIN($F$93:$F$101))*$E$120*$E$105/12*(1+$E$121)^INT(BO$3/12)</f>
        <v>57607.2925918333</v>
      </c>
      <c r="BP144" s="7" t="n">
        <f aca="false">(BP$3&lt;=$I$15)*(BP$3&gt;=MIN($F$93:$F$101))*$E$120*$E$105/12*(1+$E$121)^INT(BP$3/12)</f>
        <v>57607.2925918333</v>
      </c>
      <c r="BQ144" s="7" t="n">
        <f aca="false">(BQ$3&lt;=$I$15)*(BQ$3&gt;=MIN($F$93:$F$101))*$E$120*$E$105/12*(1+$E$121)^INT(BQ$3/12)</f>
        <v>57607.2925918333</v>
      </c>
      <c r="BR144" s="7" t="n">
        <f aca="false">(BR$3&lt;=$I$15)*(BR$3&gt;=MIN($F$93:$F$101))*$E$120*$E$105/12*(1+$E$121)^INT(BR$3/12)</f>
        <v>57607.2925918333</v>
      </c>
      <c r="BS144" s="7" t="n">
        <f aca="false">(BS$3&lt;=$I$15)*(BS$3&gt;=MIN($F$93:$F$101))*$E$120*$E$105/12*(1+$E$121)^INT(BS$3/12)</f>
        <v>57607.2925918333</v>
      </c>
      <c r="BT144" s="7" t="n">
        <f aca="false">(BT$3&lt;=$I$15)*(BT$3&gt;=MIN($F$93:$F$101))*$E$120*$E$105/12*(1+$E$121)^INT(BT$3/12)</f>
        <v>59335.5113695883</v>
      </c>
      <c r="BU144" s="7" t="n">
        <f aca="false">(BU$3&lt;=$I$15)*(BU$3&gt;=MIN($F$93:$F$101))*$E$120*$E$105/12*(1+$E$121)^INT(BU$3/12)</f>
        <v>59335.5113695883</v>
      </c>
      <c r="BV144" s="7" t="n">
        <f aca="false">(BV$3&lt;=$I$15)*(BV$3&gt;=MIN($F$93:$F$101))*$E$120*$E$105/12*(1+$E$121)^INT(BV$3/12)</f>
        <v>59335.5113695883</v>
      </c>
      <c r="BW144" s="7" t="n">
        <f aca="false">(BW$3&lt;=$I$15)*(BW$3&gt;=MIN($F$93:$F$101))*$E$120*$E$105/12*(1+$E$121)^INT(BW$3/12)</f>
        <v>59335.5113695883</v>
      </c>
      <c r="BX144" s="7" t="n">
        <f aca="false">(BX$3&lt;=$I$15)*(BX$3&gt;=MIN($F$93:$F$101))*$E$120*$E$105/12*(1+$E$121)^INT(BX$3/12)</f>
        <v>59335.5113695883</v>
      </c>
      <c r="BY144" s="7" t="n">
        <f aca="false">(BY$3&lt;=$I$15)*(BY$3&gt;=MIN($F$93:$F$101))*$E$120*$E$105/12*(1+$E$121)^INT(BY$3/12)</f>
        <v>59335.5113695883</v>
      </c>
      <c r="BZ144" s="7" t="n">
        <f aca="false">(BZ$3&lt;=$I$15)*(BZ$3&gt;=MIN($F$93:$F$101))*$E$120*$E$105/12*(1+$E$121)^INT(BZ$3/12)</f>
        <v>59335.5113695883</v>
      </c>
      <c r="CA144" s="7" t="n">
        <f aca="false">(CA$3&lt;=$I$15)*(CA$3&gt;=MIN($F$93:$F$101))*$E$120*$E$105/12*(1+$E$121)^INT(CA$3/12)</f>
        <v>59335.5113695883</v>
      </c>
      <c r="CB144" s="7" t="n">
        <f aca="false">(CB$3&lt;=$I$15)*(CB$3&gt;=MIN($F$93:$F$101))*$E$120*$E$105/12*(1+$E$121)^INT(CB$3/12)</f>
        <v>59335.5113695883</v>
      </c>
      <c r="CC144" s="7" t="n">
        <f aca="false">(CC$3&lt;=$I$15)*(CC$3&gt;=MIN($F$93:$F$101))*$E$120*$E$105/12*(1+$E$121)^INT(CC$3/12)</f>
        <v>59335.5113695883</v>
      </c>
      <c r="CD144" s="7" t="n">
        <f aca="false">(CD$3&lt;=$I$15)*(CD$3&gt;=MIN($F$93:$F$101))*$E$120*$E$105/12*(1+$E$121)^INT(CD$3/12)</f>
        <v>59335.5113695883</v>
      </c>
      <c r="CE144" s="7" t="n">
        <f aca="false">(CE$3&lt;=$I$15)*(CE$3&gt;=MIN($F$93:$F$101))*$E$120*$E$105/12*(1+$E$121)^INT(CE$3/12)</f>
        <v>59335.5113695883</v>
      </c>
      <c r="CF144" s="7" t="n">
        <f aca="false">(CF$3&lt;=$I$15)*(CF$3&gt;=MIN($F$93:$F$101))*$E$120*$E$105/12*(1+$E$121)^INT(CF$3/12)</f>
        <v>61115.576710676</v>
      </c>
      <c r="CG144" s="7" t="n">
        <f aca="false">(CG$3&lt;=$I$15)*(CG$3&gt;=MIN($F$93:$F$101))*$E$120*$E$105/12*(1+$E$121)^INT(CG$3/12)</f>
        <v>61115.576710676</v>
      </c>
      <c r="CH144" s="7" t="n">
        <f aca="false">(CH$3&lt;=$I$15)*(CH$3&gt;=MIN($F$93:$F$101))*$E$120*$E$105/12*(1+$E$121)^INT(CH$3/12)</f>
        <v>61115.576710676</v>
      </c>
      <c r="CI144" s="7" t="n">
        <f aca="false">(CI$3&lt;=$I$15)*(CI$3&gt;=MIN($F$93:$F$101))*$E$120*$E$105/12*(1+$E$121)^INT(CI$3/12)</f>
        <v>61115.576710676</v>
      </c>
      <c r="CJ144" s="7" t="n">
        <f aca="false">(CJ$3&lt;=$I$15)*(CJ$3&gt;=MIN($F$93:$F$101))*$E$120*$E$105/12*(1+$E$121)^INT(CJ$3/12)</f>
        <v>61115.576710676</v>
      </c>
      <c r="CK144" s="7" t="n">
        <f aca="false">(CK$3&lt;=$I$15)*(CK$3&gt;=MIN($F$93:$F$101))*$E$120*$E$105/12*(1+$E$121)^INT(CK$3/12)</f>
        <v>61115.576710676</v>
      </c>
      <c r="CL144" s="7" t="n">
        <f aca="false">(CL$3&lt;=$I$15)*(CL$3&gt;=MIN($F$93:$F$101))*$E$120*$E$105/12*(1+$E$121)^INT(CL$3/12)</f>
        <v>61115.576710676</v>
      </c>
      <c r="CM144" s="7" t="n">
        <f aca="false">(CM$3&lt;=$I$15)*(CM$3&gt;=MIN($F$93:$F$101))*$E$120*$E$105/12*(1+$E$121)^INT(CM$3/12)</f>
        <v>61115.576710676</v>
      </c>
      <c r="CN144" s="7" t="n">
        <f aca="false">(CN$3&lt;=$I$15)*(CN$3&gt;=MIN($F$93:$F$101))*$E$120*$E$105/12*(1+$E$121)^INT(CN$3/12)</f>
        <v>61115.576710676</v>
      </c>
      <c r="CO144" s="7" t="n">
        <f aca="false">(CO$3&lt;=$I$15)*(CO$3&gt;=MIN($F$93:$F$101))*$E$120*$E$105/12*(1+$E$121)^INT(CO$3/12)</f>
        <v>61115.576710676</v>
      </c>
      <c r="CP144" s="7" t="n">
        <f aca="false">(CP$3&lt;=$I$15)*(CP$3&gt;=MIN($F$93:$F$101))*$E$120*$E$105/12*(1+$E$121)^INT(CP$3/12)</f>
        <v>61115.576710676</v>
      </c>
      <c r="CQ144" s="7" t="n">
        <f aca="false">(CQ$3&lt;=$I$15)*(CQ$3&gt;=MIN($F$93:$F$101))*$E$120*$E$105/12*(1+$E$121)^INT(CQ$3/12)</f>
        <v>61115.576710676</v>
      </c>
      <c r="CR144" s="7" t="n">
        <f aca="false">(CR$3&lt;=$I$15)*(CR$3&gt;=MIN($F$93:$F$101))*$E$120*$E$105/12*(1+$E$121)^INT(CR$3/12)</f>
        <v>62949.0440119963</v>
      </c>
      <c r="CS144" s="7" t="n">
        <f aca="false">(CS$3&lt;=$I$15)*(CS$3&gt;=MIN($F$93:$F$101))*$E$120*$E$105/12*(1+$E$121)^INT(CS$3/12)</f>
        <v>62949.0440119963</v>
      </c>
      <c r="CT144" s="7" t="n">
        <f aca="false">(CT$3&lt;=$I$15)*(CT$3&gt;=MIN($F$93:$F$101))*$E$120*$E$105/12*(1+$E$121)^INT(CT$3/12)</f>
        <v>62949.0440119963</v>
      </c>
      <c r="CU144" s="7" t="n">
        <f aca="false">(CU$3&lt;=$I$15)*(CU$3&gt;=MIN($F$93:$F$101))*$E$120*$E$105/12*(1+$E$121)^INT(CU$3/12)</f>
        <v>62949.0440119963</v>
      </c>
      <c r="CV144" s="7" t="n">
        <f aca="false">(CV$3&lt;=$I$15)*(CV$3&gt;=MIN($F$93:$F$101))*$E$120*$E$105/12*(1+$E$121)^INT(CV$3/12)</f>
        <v>62949.0440119963</v>
      </c>
      <c r="CW144" s="7" t="n">
        <f aca="false">(CW$3&lt;=$I$15)*(CW$3&gt;=MIN($F$93:$F$101))*$E$120*$E$105/12*(1+$E$121)^INT(CW$3/12)</f>
        <v>62949.0440119963</v>
      </c>
      <c r="CX144" s="7" t="n">
        <f aca="false">(CX$3&lt;=$I$15)*(CX$3&gt;=MIN($F$93:$F$101))*$E$120*$E$105/12*(1+$E$121)^INT(CX$3/12)</f>
        <v>62949.0440119963</v>
      </c>
      <c r="CY144" s="7" t="n">
        <f aca="false">(CY$3&lt;=$I$15)*(CY$3&gt;=MIN($F$93:$F$101))*$E$120*$E$105/12*(1+$E$121)^INT(CY$3/12)</f>
        <v>62949.0440119963</v>
      </c>
      <c r="CZ144" s="7" t="n">
        <f aca="false">(CZ$3&lt;=$I$15)*(CZ$3&gt;=MIN($F$93:$F$101))*$E$120*$E$105/12*(1+$E$121)^INT(CZ$3/12)</f>
        <v>62949.0440119963</v>
      </c>
      <c r="DA144" s="7" t="n">
        <f aca="false">(DA$3&lt;=$I$15)*(DA$3&gt;=MIN($F$93:$F$101))*$E$120*$E$105/12*(1+$E$121)^INT(DA$3/12)</f>
        <v>62949.0440119963</v>
      </c>
      <c r="DB144" s="7" t="n">
        <f aca="false">(DB$3&lt;=$I$15)*(DB$3&gt;=MIN($F$93:$F$101))*$E$120*$E$105/12*(1+$E$121)^INT(DB$3/12)</f>
        <v>62949.0440119963</v>
      </c>
      <c r="DC144" s="7" t="n">
        <f aca="false">(DC$3&lt;=$I$15)*(DC$3&gt;=MIN($F$93:$F$101))*$E$120*$E$105/12*(1+$E$121)^INT(DC$3/12)</f>
        <v>62949.0440119963</v>
      </c>
      <c r="DD144" s="7" t="n">
        <f aca="false">(DD$3&lt;=$I$15)*(DD$3&gt;=MIN($F$93:$F$101))*$E$120*$E$105/12*(1+$E$121)^INT(DD$3/12)</f>
        <v>64837.5153323562</v>
      </c>
      <c r="DE144" s="7" t="n">
        <f aca="false">(DE$3&lt;=$I$15)*(DE$3&gt;=MIN($F$93:$F$101))*$E$120*$E$105/12*(1+$E$121)^INT(DE$3/12)</f>
        <v>0</v>
      </c>
      <c r="DF144" s="7" t="n">
        <f aca="false">(DF$3&lt;=$I$15)*(DF$3&gt;=MIN($F$93:$F$101))*$E$120*$E$105/12*(1+$E$121)^INT(DF$3/12)</f>
        <v>0</v>
      </c>
      <c r="DG144" s="7" t="n">
        <f aca="false">(DG$3&lt;=$I$15)*(DG$3&gt;=MIN($F$93:$F$101))*$E$120*$E$105/12*(1+$E$121)^INT(DG$3/12)</f>
        <v>0</v>
      </c>
      <c r="DH144" s="7" t="n">
        <f aca="false">(DH$3&lt;=$I$15)*(DH$3&gt;=MIN($F$93:$F$101))*$E$120*$E$105/12*(1+$E$121)^INT(DH$3/12)</f>
        <v>0</v>
      </c>
      <c r="DI144" s="7" t="n">
        <f aca="false">(DI$3&lt;=$I$15)*(DI$3&gt;=MIN($F$93:$F$101))*$E$120*$E$105/12*(1+$E$121)^INT(DI$3/12)</f>
        <v>0</v>
      </c>
      <c r="DJ144" s="7" t="n">
        <f aca="false">(DJ$3&lt;=$I$15)*(DJ$3&gt;=MIN($F$93:$F$101))*$E$120*$E$105/12*(1+$E$121)^INT(DJ$3/12)</f>
        <v>0</v>
      </c>
      <c r="DK144" s="7" t="n">
        <f aca="false">(DK$3&lt;=$I$15)*(DK$3&gt;=MIN($F$93:$F$101))*$E$120*$E$105/12*(1+$E$121)^INT(DK$3/12)</f>
        <v>0</v>
      </c>
      <c r="DL144" s="7" t="n">
        <f aca="false">(DL$3&lt;=$I$15)*(DL$3&gt;=MIN($F$93:$F$101))*$E$120*$E$105/12*(1+$E$121)^INT(DL$3/12)</f>
        <v>0</v>
      </c>
      <c r="DM144" s="7" t="n">
        <f aca="false">(DM$3&lt;=$I$15)*(DM$3&gt;=MIN($F$93:$F$101))*$E$120*$E$105/12*(1+$E$121)^INT(DM$3/12)</f>
        <v>0</v>
      </c>
      <c r="DN144" s="7" t="n">
        <f aca="false">(DN$3&lt;=$I$15)*(DN$3&gt;=MIN($F$93:$F$101))*$E$120*$E$105/12*(1+$E$121)^INT(DN$3/12)</f>
        <v>0</v>
      </c>
      <c r="DO144" s="7" t="n">
        <f aca="false">(DO$3&lt;=$I$15)*(DO$3&gt;=MIN($F$93:$F$101))*$E$120*$E$105/12*(1+$E$121)^INT(DO$3/12)</f>
        <v>0</v>
      </c>
      <c r="DP144" s="7" t="n">
        <f aca="false">(DP$3&lt;=$I$15)*(DP$3&gt;=MIN($F$93:$F$101))*$E$120*$E$105/12*(1+$E$121)^INT(DP$3/12)</f>
        <v>0</v>
      </c>
    </row>
    <row r="145" customFormat="false" ht="15" hidden="false" customHeight="false" outlineLevel="0" collapsed="false">
      <c r="B145" s="0" t="s">
        <v>86</v>
      </c>
      <c r="L145" s="7" t="n">
        <f aca="false">L143-L144</f>
        <v>0</v>
      </c>
      <c r="M145" s="7" t="n">
        <f aca="false">M143-M144</f>
        <v>0</v>
      </c>
      <c r="N145" s="7" t="n">
        <f aca="false">N143-N144</f>
        <v>0</v>
      </c>
      <c r="O145" s="7" t="n">
        <f aca="false">O143-O144</f>
        <v>0</v>
      </c>
      <c r="P145" s="7" t="n">
        <f aca="false">P143-P144</f>
        <v>0</v>
      </c>
      <c r="Q145" s="7" t="n">
        <f aca="false">Q143-Q144</f>
        <v>0</v>
      </c>
      <c r="R145" s="7" t="n">
        <f aca="false">R143-R144</f>
        <v>0</v>
      </c>
      <c r="S145" s="7" t="n">
        <f aca="false">S143-S144</f>
        <v>0</v>
      </c>
      <c r="T145" s="7" t="n">
        <f aca="false">T143-T144</f>
        <v>0</v>
      </c>
      <c r="U145" s="7" t="n">
        <f aca="false">U143-U144</f>
        <v>0</v>
      </c>
      <c r="V145" s="7" t="n">
        <f aca="false">V143-V144</f>
        <v>0</v>
      </c>
      <c r="W145" s="7" t="n">
        <f aca="false">W143-W144</f>
        <v>0</v>
      </c>
      <c r="X145" s="7" t="n">
        <f aca="false">X143-X144</f>
        <v>0</v>
      </c>
      <c r="Y145" s="7" t="n">
        <f aca="false">Y143-Y144</f>
        <v>0</v>
      </c>
      <c r="Z145" s="7" t="n">
        <f aca="false">Z143-Z144</f>
        <v>0</v>
      </c>
      <c r="AA145" s="7" t="n">
        <f aca="false">AA143-AA144</f>
        <v>0</v>
      </c>
      <c r="AB145" s="7" t="n">
        <f aca="false">AB143-AB144</f>
        <v>0</v>
      </c>
      <c r="AC145" s="7" t="n">
        <f aca="false">AC143-AC144</f>
        <v>0</v>
      </c>
      <c r="AD145" s="7" t="n">
        <f aca="false">AD143-AD144</f>
        <v>0</v>
      </c>
      <c r="AE145" s="7" t="n">
        <f aca="false">AE143-AE144</f>
        <v>-36287.684</v>
      </c>
      <c r="AF145" s="7" t="n">
        <f aca="false">AF143-AF144</f>
        <v>-36287.684</v>
      </c>
      <c r="AG145" s="7" t="n">
        <f aca="false">AG143-AG144</f>
        <v>91865.188</v>
      </c>
      <c r="AH145" s="7" t="n">
        <f aca="false">AH143-AH144</f>
        <v>91865.188</v>
      </c>
      <c r="AI145" s="7" t="n">
        <f aca="false">AI143-AI144</f>
        <v>105783.5715</v>
      </c>
      <c r="AJ145" s="7" t="n">
        <f aca="false">AJ143-AJ144</f>
        <v>105208.853645</v>
      </c>
      <c r="AK145" s="7" t="n">
        <f aca="false">AK143-AK144</f>
        <v>135753.705085</v>
      </c>
      <c r="AL145" s="7" t="n">
        <f aca="false">AL143-AL144</f>
        <v>135753.705085</v>
      </c>
      <c r="AM145" s="7" t="n">
        <f aca="false">AM143-AM144</f>
        <v>147457.399375</v>
      </c>
      <c r="AN145" s="7" t="n">
        <f aca="false">AN143-AN144</f>
        <v>147457.399375</v>
      </c>
      <c r="AO145" s="7" t="n">
        <f aca="false">AO143-AO144</f>
        <v>157225.272711667</v>
      </c>
      <c r="AP145" s="7" t="n">
        <f aca="false">AP143-AP144</f>
        <v>157225.272711667</v>
      </c>
      <c r="AQ145" s="7" t="n">
        <f aca="false">AQ143-AQ144</f>
        <v>173307.275575</v>
      </c>
      <c r="AR145" s="7" t="n">
        <f aca="false">AR143-AR144</f>
        <v>173307.275575</v>
      </c>
      <c r="AS145" s="7" t="n">
        <f aca="false">AS143-AS144</f>
        <v>173307.275575</v>
      </c>
      <c r="AT145" s="7" t="n">
        <f aca="false">AT143-AT144</f>
        <v>173307.275575</v>
      </c>
      <c r="AU145" s="7" t="n">
        <f aca="false">AU143-AU144</f>
        <v>173656.400575</v>
      </c>
      <c r="AV145" s="7" t="n">
        <f aca="false">AV143-AV144</f>
        <v>173420.19384225</v>
      </c>
      <c r="AW145" s="7" t="n">
        <f aca="false">AW143-AW144</f>
        <v>174175.44384225</v>
      </c>
      <c r="AX145" s="7" t="n">
        <f aca="false">AX143-AX144</f>
        <v>174175.44384225</v>
      </c>
      <c r="AY145" s="7" t="n">
        <f aca="false">AY143-AY144</f>
        <v>174466.14384225</v>
      </c>
      <c r="AZ145" s="7" t="n">
        <f aca="false">AZ143-AZ144</f>
        <v>174466.14384225</v>
      </c>
      <c r="BA145" s="7" t="n">
        <f aca="false">BA143-BA144</f>
        <v>174712.19384225</v>
      </c>
      <c r="BB145" s="7" t="n">
        <f aca="false">BB143-BB144</f>
        <v>174712.19384225</v>
      </c>
      <c r="BC145" s="7" t="n">
        <f aca="false">BC143-BC144</f>
        <v>175107.39384225</v>
      </c>
      <c r="BD145" s="7" t="n">
        <f aca="false">BD143-BD144</f>
        <v>175107.39384225</v>
      </c>
      <c r="BE145" s="7" t="n">
        <f aca="false">BE143-BE144</f>
        <v>175107.39384225</v>
      </c>
      <c r="BF145" s="7" t="n">
        <f aca="false">BF143-BF144</f>
        <v>175107.39384225</v>
      </c>
      <c r="BG145" s="7" t="n">
        <f aca="false">BG143-BG144</f>
        <v>175466.99259225</v>
      </c>
      <c r="BH145" s="7" t="n">
        <f aca="false">BH143-BH144</f>
        <v>175223.699657517</v>
      </c>
      <c r="BI145" s="7" t="n">
        <f aca="false">BI143-BI144</f>
        <v>176001.607157517</v>
      </c>
      <c r="BJ145" s="7" t="n">
        <f aca="false">BJ143-BJ144</f>
        <v>176001.607157517</v>
      </c>
      <c r="BK145" s="7" t="n">
        <f aca="false">BK143-BK144</f>
        <v>176301.028157518</v>
      </c>
      <c r="BL145" s="7" t="n">
        <f aca="false">BL143-BL144</f>
        <v>176301.028157518</v>
      </c>
      <c r="BM145" s="7" t="n">
        <f aca="false">BM143-BM144</f>
        <v>176554.459657517</v>
      </c>
      <c r="BN145" s="7" t="n">
        <f aca="false">BN143-BN144</f>
        <v>176554.459657517</v>
      </c>
      <c r="BO145" s="7" t="n">
        <f aca="false">BO143-BO144</f>
        <v>176961.515657518</v>
      </c>
      <c r="BP145" s="7" t="n">
        <f aca="false">BP143-BP144</f>
        <v>176961.515657518</v>
      </c>
      <c r="BQ145" s="7" t="n">
        <f aca="false">BQ143-BQ144</f>
        <v>176961.515657518</v>
      </c>
      <c r="BR145" s="7" t="n">
        <f aca="false">BR143-BR144</f>
        <v>176961.515657518</v>
      </c>
      <c r="BS145" s="7" t="n">
        <f aca="false">BS143-BS144</f>
        <v>177331.902370018</v>
      </c>
      <c r="BT145" s="7" t="n">
        <f aca="false">BT143-BT144</f>
        <v>177081.310647243</v>
      </c>
      <c r="BU145" s="7" t="n">
        <f aca="false">BU143-BU144</f>
        <v>177882.555372243</v>
      </c>
      <c r="BV145" s="7" t="n">
        <f aca="false">BV143-BV144</f>
        <v>177882.555372243</v>
      </c>
      <c r="BW145" s="7" t="n">
        <f aca="false">BW143-BW144</f>
        <v>178190.959002243</v>
      </c>
      <c r="BX145" s="7" t="n">
        <f aca="false">BX143-BX144</f>
        <v>178190.959002243</v>
      </c>
      <c r="BY145" s="7" t="n">
        <f aca="false">BY143-BY144</f>
        <v>178451.993447243</v>
      </c>
      <c r="BZ145" s="7" t="n">
        <f aca="false">BZ143-BZ144</f>
        <v>178451.993447243</v>
      </c>
      <c r="CA145" s="7" t="n">
        <f aca="false">CA143-CA144</f>
        <v>178871.261127243</v>
      </c>
      <c r="CB145" s="7" t="n">
        <f aca="false">CB143-CB144</f>
        <v>178871.261127243</v>
      </c>
      <c r="CC145" s="7" t="n">
        <f aca="false">CC143-CC144</f>
        <v>178871.261127243</v>
      </c>
      <c r="CD145" s="7" t="n">
        <f aca="false">CD143-CD144</f>
        <v>178871.261127243</v>
      </c>
      <c r="CE145" s="7" t="n">
        <f aca="false">CE143-CE144</f>
        <v>179252.759441118</v>
      </c>
      <c r="CF145" s="7" t="n">
        <f aca="false">CF143-CF144</f>
        <v>178994.64996666</v>
      </c>
      <c r="CG145" s="7" t="n">
        <f aca="false">CG143-CG144</f>
        <v>179819.93203341</v>
      </c>
      <c r="CH145" s="7" t="n">
        <f aca="false">CH143-CH144</f>
        <v>179819.93203341</v>
      </c>
      <c r="CI145" s="7" t="n">
        <f aca="false">CI143-CI144</f>
        <v>180137.58777231</v>
      </c>
      <c r="CJ145" s="7" t="n">
        <f aca="false">CJ143-CJ144</f>
        <v>180137.58777231</v>
      </c>
      <c r="CK145" s="7" t="n">
        <f aca="false">CK143-CK144</f>
        <v>180406.45325066</v>
      </c>
      <c r="CL145" s="7" t="n">
        <f aca="false">CL143-CL144</f>
        <v>180406.45325066</v>
      </c>
      <c r="CM145" s="7" t="n">
        <f aca="false">CM143-CM144</f>
        <v>189808.725894394</v>
      </c>
      <c r="CN145" s="7" t="n">
        <f aca="false">CN143-CN144</f>
        <v>189808.725894394</v>
      </c>
      <c r="CO145" s="7" t="n">
        <f aca="false">CO143-CO144</f>
        <v>250011.116994394</v>
      </c>
      <c r="CP145" s="7" t="n">
        <f aca="false">CP143-CP144</f>
        <v>250011.116994394</v>
      </c>
      <c r="CQ145" s="7" t="n">
        <f aca="false">CQ143-CQ144</f>
        <v>250404.060257685</v>
      </c>
      <c r="CR145" s="7" t="n">
        <f aca="false">CR143-CR144</f>
        <v>250138.207498994</v>
      </c>
      <c r="CS145" s="7" t="n">
        <f aca="false">CS143-CS144</f>
        <v>250988.248027746</v>
      </c>
      <c r="CT145" s="7" t="n">
        <f aca="false">CT143-CT144</f>
        <v>250988.248027746</v>
      </c>
      <c r="CU145" s="7" t="n">
        <f aca="false">CU143-CU144</f>
        <v>251315.433438813</v>
      </c>
      <c r="CV145" s="7" t="n">
        <f aca="false">CV143-CV144</f>
        <v>251315.433438813</v>
      </c>
      <c r="CW145" s="7" t="n">
        <f aca="false">CW143-CW144</f>
        <v>251592.364881514</v>
      </c>
      <c r="CX145" s="7" t="n">
        <f aca="false">CX143-CX144</f>
        <v>251592.364881514</v>
      </c>
      <c r="CY145" s="7" t="n">
        <f aca="false">CY143-CY144</f>
        <v>252037.165963226</v>
      </c>
      <c r="CZ145" s="7" t="n">
        <f aca="false">CZ143-CZ144</f>
        <v>252037.165963226</v>
      </c>
      <c r="DA145" s="7" t="n">
        <f aca="false">DA143-DA144</f>
        <v>252037.165963226</v>
      </c>
      <c r="DB145" s="7" t="n">
        <f aca="false">DB143-DB144</f>
        <v>252037.165963226</v>
      </c>
      <c r="DC145" s="7" t="n">
        <f aca="false">DC143-DC144</f>
        <v>252441.897524416</v>
      </c>
      <c r="DD145" s="7" t="n">
        <f aca="false">DD143-DD144</f>
        <v>252168.069182963</v>
      </c>
      <c r="DE145" s="7" t="n">
        <f aca="false">DE143-DE144</f>
        <v>0</v>
      </c>
      <c r="DF145" s="7" t="n">
        <f aca="false">DF143-DF144</f>
        <v>0</v>
      </c>
      <c r="DG145" s="7" t="n">
        <f aca="false">DG143-DG144</f>
        <v>0</v>
      </c>
      <c r="DH145" s="7" t="n">
        <f aca="false">DH143-DH144</f>
        <v>0</v>
      </c>
      <c r="DI145" s="7" t="n">
        <f aca="false">DI143-DI144</f>
        <v>0</v>
      </c>
      <c r="DJ145" s="7" t="n">
        <f aca="false">DJ143-DJ144</f>
        <v>0</v>
      </c>
      <c r="DK145" s="7" t="n">
        <f aca="false">DK143-DK144</f>
        <v>0</v>
      </c>
      <c r="DL145" s="7" t="n">
        <f aca="false">DL143-DL144</f>
        <v>0</v>
      </c>
      <c r="DM145" s="7" t="n">
        <f aca="false">DM143-DM144</f>
        <v>0</v>
      </c>
      <c r="DN145" s="7" t="n">
        <f aca="false">DN143-DN144</f>
        <v>0</v>
      </c>
      <c r="DO145" s="7" t="n">
        <f aca="false">DO143-DO144</f>
        <v>0</v>
      </c>
      <c r="DP145" s="7" t="n">
        <f aca="false">DP143-DP144</f>
        <v>0</v>
      </c>
    </row>
    <row r="150" customFormat="false" ht="15" hidden="false" customHeight="false" outlineLevel="0" collapsed="false">
      <c r="B150" s="0" t="s">
        <v>87</v>
      </c>
      <c r="L150" s="7" t="n">
        <f aca="false">IF(AND(L$3&gt;=$D$27,L$3&lt;=$E$27),$I$27*IF($F$27="S-Curve",(COS(PI()*(L$3-$D$27)/($E$27-$D$27+1))-COS(PI()*(L$3-$D$27+1)/($E$27-$D$27+1)))/2,1/($E$27-$D$27+1)),0)+IF(AND(L$3&gt;=$D$28,L$3&lt;=$E$28),$I$28*IF($F$28="S-Curve",(COS(PI()*(L$3-$D$28)/($E$28-$D$28+1))-COS(PI()*(L$3-$D$28+1)/($E$28-$D$28+1)))/2,1/($E$28-$D$28+1)),0)+IF(AND(L$3&gt;=$D$30,L$3&lt;=$E$30),$I$30*IF($F$30="S-Curve",(COS(PI()*(L$3-$D$30)/($E$30-$D$30+1))-COS(PI()*(L$3-$D$30+1)/($E$30-$D$30+1)))/2,1/($E$30-$D$30+1)),0)+IF(AND(L$3&gt;=$D$31,L$3&lt;=$E$31),$I$31*IF($F$31="S-Curve",(COS(PI()*(L$3-$D$31)/($E$31-$D$31+1))-COS(PI()*(L$3-$D$31+1)/($E$31-$D$31+1)))/2,1/($E$31-$D$31+1)),0)+IF(AND(L$3&gt;=$D$32,L$3&lt;=$E$32),$I$32*IF($F$32="S-Curve",(COS(PI()*(L$3-$D$32)/($E$32-$D$32+1))-COS(PI()*(L$3-$D$32+1)/($E$32-$D$32+1)))/2,1/($E$32-$D$32+1)),0)+IF(AND(L$3&gt;=$D$33,L$3&lt;=$E$33),$I$33*IF($F$33="S-Curve",(COS(PI()*(L$3-$D$33)/($E$33-$D$33+1))-COS(PI()*(L$3-$D$33+1)/($E$33-$D$33+1)))/2,1/($E$33-$D$33+1)),0)+IF(AND(L$3&gt;=$D$34,L$3&lt;=$E$34),$I$34*IF($F$34="S-Curve",(COS(PI()*(L$3-$D$34)/($E$34-$D$34+1))-COS(PI()*(L$3-$D$34+1)/($E$34-$D$34+1)))/2,1/($E$34-$D$34+1)),0)+IF(AND(L$3&gt;=$D$35,L$3&lt;=$E$35),$I$35*IF($F$35="S-Curve",(COS(PI()*(L$3-$D$35)/($E$35-$D$35+1))-COS(PI()*(L$3-$D$35+1)/($E$35-$D$35+1)))/2,1/($E$35-$D$35+1)),0)</f>
        <v>9898000</v>
      </c>
      <c r="M150" s="7" t="n">
        <f aca="false">IF(AND(M$3&gt;=$D$27,M$3&lt;=$E$27),$I$27*IF($F$27="S-Curve",(COS(PI()*(M$3-$D$27)/($E$27-$D$27+1))-COS(PI()*(M$3-$D$27+1)/($E$27-$D$27+1)))/2,1/($E$27-$D$27+1)),0)+IF(AND(M$3&gt;=$D$28,M$3&lt;=$E$28),$I$28*IF($F$28="S-Curve",(COS(PI()*(M$3-$D$28)/($E$28-$D$28+1))-COS(PI()*(M$3-$D$28+1)/($E$28-$D$28+1)))/2,1/($E$28-$D$28+1)),0)+IF(AND(M$3&gt;=$D$30,M$3&lt;=$E$30),$I$30*IF($F$30="S-Curve",(COS(PI()*(M$3-$D$30)/($E$30-$D$30+1))-COS(PI()*(M$3-$D$30+1)/($E$30-$D$30+1)))/2,1/($E$30-$D$30+1)),0)+IF(AND(M$3&gt;=$D$31,M$3&lt;=$E$31),$I$31*IF($F$31="S-Curve",(COS(PI()*(M$3-$D$31)/($E$31-$D$31+1))-COS(PI()*(M$3-$D$31+1)/($E$31-$D$31+1)))/2,1/($E$31-$D$31+1)),0)+IF(AND(M$3&gt;=$D$32,M$3&lt;=$E$32),$I$32*IF($F$32="S-Curve",(COS(PI()*(M$3-$D$32)/($E$32-$D$32+1))-COS(PI()*(M$3-$D$32+1)/($E$32-$D$32+1)))/2,1/($E$32-$D$32+1)),0)+IF(AND(M$3&gt;=$D$33,M$3&lt;=$E$33),$I$33*IF($F$33="S-Curve",(COS(PI()*(M$3-$D$33)/($E$33-$D$33+1))-COS(PI()*(M$3-$D$33+1)/($E$33-$D$33+1)))/2,1/($E$33-$D$33+1)),0)+IF(AND(M$3&gt;=$D$34,M$3&lt;=$E$34),$I$34*IF($F$34="S-Curve",(COS(PI()*(M$3-$D$34)/($E$34-$D$34+1))-COS(PI()*(M$3-$D$34+1)/($E$34-$D$34+1)))/2,1/($E$34-$D$34+1)),0)+IF(AND(M$3&gt;=$D$35,M$3&lt;=$E$35),$I$35*IF($F$35="S-Curve",(COS(PI()*(M$3-$D$35)/($E$35-$D$35+1))-COS(PI()*(M$3-$D$35+1)/($E$35-$D$35+1)))/2,1/($E$35-$D$35+1)),0)</f>
        <v>116268.56</v>
      </c>
      <c r="N150" s="7" t="n">
        <f aca="false">IF(AND(N$3&gt;=$D$27,N$3&lt;=$E$27),$I$27*IF($F$27="S-Curve",(COS(PI()*(N$3-$D$27)/($E$27-$D$27+1))-COS(PI()*(N$3-$D$27+1)/($E$27-$D$27+1)))/2,1/($E$27-$D$27+1)),0)+IF(AND(N$3&gt;=$D$28,N$3&lt;=$E$28),$I$28*IF($F$28="S-Curve",(COS(PI()*(N$3-$D$28)/($E$28-$D$28+1))-COS(PI()*(N$3-$D$28+1)/($E$28-$D$28+1)))/2,1/($E$28-$D$28+1)),0)+IF(AND(N$3&gt;=$D$30,N$3&lt;=$E$30),$I$30*IF($F$30="S-Curve",(COS(PI()*(N$3-$D$30)/($E$30-$D$30+1))-COS(PI()*(N$3-$D$30+1)/($E$30-$D$30+1)))/2,1/($E$30-$D$30+1)),0)+IF(AND(N$3&gt;=$D$31,N$3&lt;=$E$31),$I$31*IF($F$31="S-Curve",(COS(PI()*(N$3-$D$31)/($E$31-$D$31+1))-COS(PI()*(N$3-$D$31+1)/($E$31-$D$31+1)))/2,1/($E$31-$D$31+1)),0)+IF(AND(N$3&gt;=$D$32,N$3&lt;=$E$32),$I$32*IF($F$32="S-Curve",(COS(PI()*(N$3-$D$32)/($E$32-$D$32+1))-COS(PI()*(N$3-$D$32+1)/($E$32-$D$32+1)))/2,1/($E$32-$D$32+1)),0)+IF(AND(N$3&gt;=$D$33,N$3&lt;=$E$33),$I$33*IF($F$33="S-Curve",(COS(PI()*(N$3-$D$33)/($E$33-$D$33+1))-COS(PI()*(N$3-$D$33+1)/($E$33-$D$33+1)))/2,1/($E$33-$D$33+1)),0)+IF(AND(N$3&gt;=$D$34,N$3&lt;=$E$34),$I$34*IF($F$34="S-Curve",(COS(PI()*(N$3-$D$34)/($E$34-$D$34+1))-COS(PI()*(N$3-$D$34+1)/($E$34-$D$34+1)))/2,1/($E$34-$D$34+1)),0)+IF(AND(N$3&gt;=$D$35,N$3&lt;=$E$35),$I$35*IF($F$35="S-Curve",(COS(PI()*(N$3-$D$35)/($E$35-$D$35+1))-COS(PI()*(N$3-$D$35+1)/($E$35-$D$35+1)))/2,1/($E$35-$D$35+1)),0)</f>
        <v>282268.56</v>
      </c>
      <c r="O150" s="7" t="n">
        <f aca="false">IF(AND(O$3&gt;=$D$27,O$3&lt;=$E$27),$I$27*IF($F$27="S-Curve",(COS(PI()*(O$3-$D$27)/($E$27-$D$27+1))-COS(PI()*(O$3-$D$27+1)/($E$27-$D$27+1)))/2,1/($E$27-$D$27+1)),0)+IF(AND(O$3&gt;=$D$28,O$3&lt;=$E$28),$I$28*IF($F$28="S-Curve",(COS(PI()*(O$3-$D$28)/($E$28-$D$28+1))-COS(PI()*(O$3-$D$28+1)/($E$28-$D$28+1)))/2,1/($E$28-$D$28+1)),0)+IF(AND(O$3&gt;=$D$30,O$3&lt;=$E$30),$I$30*IF($F$30="S-Curve",(COS(PI()*(O$3-$D$30)/($E$30-$D$30+1))-COS(PI()*(O$3-$D$30+1)/($E$30-$D$30+1)))/2,1/($E$30-$D$30+1)),0)+IF(AND(O$3&gt;=$D$31,O$3&lt;=$E$31),$I$31*IF($F$31="S-Curve",(COS(PI()*(O$3-$D$31)/($E$31-$D$31+1))-COS(PI()*(O$3-$D$31+1)/($E$31-$D$31+1)))/2,1/($E$31-$D$31+1)),0)+IF(AND(O$3&gt;=$D$32,O$3&lt;=$E$32),$I$32*IF($F$32="S-Curve",(COS(PI()*(O$3-$D$32)/($E$32-$D$32+1))-COS(PI()*(O$3-$D$32+1)/($E$32-$D$32+1)))/2,1/($E$32-$D$32+1)),0)+IF(AND(O$3&gt;=$D$33,O$3&lt;=$E$33),$I$33*IF($F$33="S-Curve",(COS(PI()*(O$3-$D$33)/($E$33-$D$33+1))-COS(PI()*(O$3-$D$33+1)/($E$33-$D$33+1)))/2,1/($E$33-$D$33+1)),0)+IF(AND(O$3&gt;=$D$34,O$3&lt;=$E$34),$I$34*IF($F$34="S-Curve",(COS(PI()*(O$3-$D$34)/($E$34-$D$34+1))-COS(PI()*(O$3-$D$34+1)/($E$34-$D$34+1)))/2,1/($E$34-$D$34+1)),0)+IF(AND(O$3&gt;=$D$35,O$3&lt;=$E$35),$I$35*IF($F$35="S-Curve",(COS(PI()*(O$3-$D$35)/($E$35-$D$35+1))-COS(PI()*(O$3-$D$35+1)/($E$35-$D$35+1)))/2,1/($E$35-$D$35+1)),0)</f>
        <v>282268.56</v>
      </c>
      <c r="P150" s="7" t="n">
        <f aca="false">IF(AND(P$3&gt;=$D$27,P$3&lt;=$E$27),$I$27*IF($F$27="S-Curve",(COS(PI()*(P$3-$D$27)/($E$27-$D$27+1))-COS(PI()*(P$3-$D$27+1)/($E$27-$D$27+1)))/2,1/($E$27-$D$27+1)),0)+IF(AND(P$3&gt;=$D$28,P$3&lt;=$E$28),$I$28*IF($F$28="S-Curve",(COS(PI()*(P$3-$D$28)/($E$28-$D$28+1))-COS(PI()*(P$3-$D$28+1)/($E$28-$D$28+1)))/2,1/($E$28-$D$28+1)),0)+IF(AND(P$3&gt;=$D$30,P$3&lt;=$E$30),$I$30*IF($F$30="S-Curve",(COS(PI()*(P$3-$D$30)/($E$30-$D$30+1))-COS(PI()*(P$3-$D$30+1)/($E$30-$D$30+1)))/2,1/($E$30-$D$30+1)),0)+IF(AND(P$3&gt;=$D$31,P$3&lt;=$E$31),$I$31*IF($F$31="S-Curve",(COS(PI()*(P$3-$D$31)/($E$31-$D$31+1))-COS(PI()*(P$3-$D$31+1)/($E$31-$D$31+1)))/2,1/($E$31-$D$31+1)),0)+IF(AND(P$3&gt;=$D$32,P$3&lt;=$E$32),$I$32*IF($F$32="S-Curve",(COS(PI()*(P$3-$D$32)/($E$32-$D$32+1))-COS(PI()*(P$3-$D$32+1)/($E$32-$D$32+1)))/2,1/($E$32-$D$32+1)),0)+IF(AND(P$3&gt;=$D$33,P$3&lt;=$E$33),$I$33*IF($F$33="S-Curve",(COS(PI()*(P$3-$D$33)/($E$33-$D$33+1))-COS(PI()*(P$3-$D$33+1)/($E$33-$D$33+1)))/2,1/($E$33-$D$33+1)),0)+IF(AND(P$3&gt;=$D$34,P$3&lt;=$E$34),$I$34*IF($F$34="S-Curve",(COS(PI()*(P$3-$D$34)/($E$34-$D$34+1))-COS(PI()*(P$3-$D$34+1)/($E$34-$D$34+1)))/2,1/($E$34-$D$34+1)),0)+IF(AND(P$3&gt;=$D$35,P$3&lt;=$E$35),$I$35*IF($F$35="S-Curve",(COS(PI()*(P$3-$D$35)/($E$35-$D$35+1))-COS(PI()*(P$3-$D$35+1)/($E$35-$D$35+1)))/2,1/($E$35-$D$35+1)),0)</f>
        <v>430714.042423751</v>
      </c>
      <c r="Q150" s="7" t="n">
        <f aca="false">IF(AND(Q$3&gt;=$D$27,Q$3&lt;=$E$27),$I$27*IF($F$27="S-Curve",(COS(PI()*(Q$3-$D$27)/($E$27-$D$27+1))-COS(PI()*(Q$3-$D$27+1)/($E$27-$D$27+1)))/2,1/($E$27-$D$27+1)),0)+IF(AND(Q$3&gt;=$D$28,Q$3&lt;=$E$28),$I$28*IF($F$28="S-Curve",(COS(PI()*(Q$3-$D$28)/($E$28-$D$28+1))-COS(PI()*(Q$3-$D$28+1)/($E$28-$D$28+1)))/2,1/($E$28-$D$28+1)),0)+IF(AND(Q$3&gt;=$D$30,Q$3&lt;=$E$30),$I$30*IF($F$30="S-Curve",(COS(PI()*(Q$3-$D$30)/($E$30-$D$30+1))-COS(PI()*(Q$3-$D$30+1)/($E$30-$D$30+1)))/2,1/($E$30-$D$30+1)),0)+IF(AND(Q$3&gt;=$D$31,Q$3&lt;=$E$31),$I$31*IF($F$31="S-Curve",(COS(PI()*(Q$3-$D$31)/($E$31-$D$31+1))-COS(PI()*(Q$3-$D$31+1)/($E$31-$D$31+1)))/2,1/($E$31-$D$31+1)),0)+IF(AND(Q$3&gt;=$D$32,Q$3&lt;=$E$32),$I$32*IF($F$32="S-Curve",(COS(PI()*(Q$3-$D$32)/($E$32-$D$32+1))-COS(PI()*(Q$3-$D$32+1)/($E$32-$D$32+1)))/2,1/($E$32-$D$32+1)),0)+IF(AND(Q$3&gt;=$D$33,Q$3&lt;=$E$33),$I$33*IF($F$33="S-Curve",(COS(PI()*(Q$3-$D$33)/($E$33-$D$33+1))-COS(PI()*(Q$3-$D$33+1)/($E$33-$D$33+1)))/2,1/($E$33-$D$33+1)),0)+IF(AND(Q$3&gt;=$D$34,Q$3&lt;=$E$34),$I$34*IF($F$34="S-Curve",(COS(PI()*(Q$3-$D$34)/($E$34-$D$34+1))-COS(PI()*(Q$3-$D$34+1)/($E$34-$D$34+1)))/2,1/($E$34-$D$34+1)),0)+IF(AND(Q$3&gt;=$D$35,Q$3&lt;=$E$35),$I$35*IF($F$35="S-Curve",(COS(PI()*(Q$3-$D$35)/($E$35-$D$35+1))-COS(PI()*(Q$3-$D$35+1)/($E$35-$D$35+1)))/2,1/($E$35-$D$35+1)),0)</f>
        <v>719125.821526038</v>
      </c>
      <c r="R150" s="7" t="n">
        <f aca="false">IF(AND(R$3&gt;=$D$27,R$3&lt;=$E$27),$I$27*IF($F$27="S-Curve",(COS(PI()*(R$3-$D$27)/($E$27-$D$27+1))-COS(PI()*(R$3-$D$27+1)/($E$27-$D$27+1)))/2,1/($E$27-$D$27+1)),0)+IF(AND(R$3&gt;=$D$28,R$3&lt;=$E$28),$I$28*IF($F$28="S-Curve",(COS(PI()*(R$3-$D$28)/($E$28-$D$28+1))-COS(PI()*(R$3-$D$28+1)/($E$28-$D$28+1)))/2,1/($E$28-$D$28+1)),0)+IF(AND(R$3&gt;=$D$30,R$3&lt;=$E$30),$I$30*IF($F$30="S-Curve",(COS(PI()*(R$3-$D$30)/($E$30-$D$30+1))-COS(PI()*(R$3-$D$30+1)/($E$30-$D$30+1)))/2,1/($E$30-$D$30+1)),0)+IF(AND(R$3&gt;=$D$31,R$3&lt;=$E$31),$I$31*IF($F$31="S-Curve",(COS(PI()*(R$3-$D$31)/($E$31-$D$31+1))-COS(PI()*(R$3-$D$31+1)/($E$31-$D$31+1)))/2,1/($E$31-$D$31+1)),0)+IF(AND(R$3&gt;=$D$32,R$3&lt;=$E$32),$I$32*IF($F$32="S-Curve",(COS(PI()*(R$3-$D$32)/($E$32-$D$32+1))-COS(PI()*(R$3-$D$32+1)/($E$32-$D$32+1)))/2,1/($E$32-$D$32+1)),0)+IF(AND(R$3&gt;=$D$33,R$3&lt;=$E$33),$I$33*IF($F$33="S-Curve",(COS(PI()*(R$3-$D$33)/($E$33-$D$33+1))-COS(PI()*(R$3-$D$33+1)/($E$33-$D$33+1)))/2,1/($E$33-$D$33+1)),0)+IF(AND(R$3&gt;=$D$34,R$3&lt;=$E$34),$I$34*IF($F$34="S-Curve",(COS(PI()*(R$3-$D$34)/($E$34-$D$34+1))-COS(PI()*(R$3-$D$34+1)/($E$34-$D$34+1)))/2,1/($E$34-$D$34+1)),0)+IF(AND(R$3&gt;=$D$35,R$3&lt;=$E$35),$I$35*IF($F$35="S-Curve",(COS(PI()*(R$3-$D$35)/($E$35-$D$35+1))-COS(PI()*(R$3-$D$35+1)/($E$35-$D$35+1)))/2,1/($E$35-$D$35+1)),0)</f>
        <v>982587.785401152</v>
      </c>
      <c r="S150" s="7" t="n">
        <f aca="false">IF(AND(S$3&gt;=$D$27,S$3&lt;=$E$27),$I$27*IF($F$27="S-Curve",(COS(PI()*(S$3-$D$27)/($E$27-$D$27+1))-COS(PI()*(S$3-$D$27+1)/($E$27-$D$27+1)))/2,1/($E$27-$D$27+1)),0)+IF(AND(S$3&gt;=$D$28,S$3&lt;=$E$28),$I$28*IF($F$28="S-Curve",(COS(PI()*(S$3-$D$28)/($E$28-$D$28+1))-COS(PI()*(S$3-$D$28+1)/($E$28-$D$28+1)))/2,1/($E$28-$D$28+1)),0)+IF(AND(S$3&gt;=$D$30,S$3&lt;=$E$30),$I$30*IF($F$30="S-Curve",(COS(PI()*(S$3-$D$30)/($E$30-$D$30+1))-COS(PI()*(S$3-$D$30+1)/($E$30-$D$30+1)))/2,1/($E$30-$D$30+1)),0)+IF(AND(S$3&gt;=$D$31,S$3&lt;=$E$31),$I$31*IF($F$31="S-Curve",(COS(PI()*(S$3-$D$31)/($E$31-$D$31+1))-COS(PI()*(S$3-$D$31+1)/($E$31-$D$31+1)))/2,1/($E$31-$D$31+1)),0)+IF(AND(S$3&gt;=$D$32,S$3&lt;=$E$32),$I$32*IF($F$32="S-Curve",(COS(PI()*(S$3-$D$32)/($E$32-$D$32+1))-COS(PI()*(S$3-$D$32+1)/($E$32-$D$32+1)))/2,1/($E$32-$D$32+1)),0)+IF(AND(S$3&gt;=$D$33,S$3&lt;=$E$33),$I$33*IF($F$33="S-Curve",(COS(PI()*(S$3-$D$33)/($E$33-$D$33+1))-COS(PI()*(S$3-$D$33+1)/($E$33-$D$33+1)))/2,1/($E$33-$D$33+1)),0)+IF(AND(S$3&gt;=$D$34,S$3&lt;=$E$34),$I$34*IF($F$34="S-Curve",(COS(PI()*(S$3-$D$34)/($E$34-$D$34+1))-COS(PI()*(S$3-$D$34+1)/($E$34-$D$34+1)))/2,1/($E$34-$D$34+1)),0)+IF(AND(S$3&gt;=$D$35,S$3&lt;=$E$35),$I$35*IF($F$35="S-Curve",(COS(PI()*(S$3-$D$35)/($E$35-$D$35+1))-COS(PI()*(S$3-$D$35+1)/($E$35-$D$35+1)))/2,1/($E$35-$D$35+1)),0)</f>
        <v>1206064.35634407</v>
      </c>
      <c r="T150" s="7" t="n">
        <f aca="false">IF(AND(T$3&gt;=$D$27,T$3&lt;=$E$27),$I$27*IF($F$27="S-Curve",(COS(PI()*(T$3-$D$27)/($E$27-$D$27+1))-COS(PI()*(T$3-$D$27+1)/($E$27-$D$27+1)))/2,1/($E$27-$D$27+1)),0)+IF(AND(T$3&gt;=$D$28,T$3&lt;=$E$28),$I$28*IF($F$28="S-Curve",(COS(PI()*(T$3-$D$28)/($E$28-$D$28+1))-COS(PI()*(T$3-$D$28+1)/($E$28-$D$28+1)))/2,1/($E$28-$D$28+1)),0)+IF(AND(T$3&gt;=$D$30,T$3&lt;=$E$30),$I$30*IF($F$30="S-Curve",(COS(PI()*(T$3-$D$30)/($E$30-$D$30+1))-COS(PI()*(T$3-$D$30+1)/($E$30-$D$30+1)))/2,1/($E$30-$D$30+1)),0)+IF(AND(T$3&gt;=$D$31,T$3&lt;=$E$31),$I$31*IF($F$31="S-Curve",(COS(PI()*(T$3-$D$31)/($E$31-$D$31+1))-COS(PI()*(T$3-$D$31+1)/($E$31-$D$31+1)))/2,1/($E$31-$D$31+1)),0)+IF(AND(T$3&gt;=$D$32,T$3&lt;=$E$32),$I$32*IF($F$32="S-Curve",(COS(PI()*(T$3-$D$32)/($E$32-$D$32+1))-COS(PI()*(T$3-$D$32+1)/($E$32-$D$32+1)))/2,1/($E$32-$D$32+1)),0)+IF(AND(T$3&gt;=$D$33,T$3&lt;=$E$33),$I$33*IF($F$33="S-Curve",(COS(PI()*(T$3-$D$33)/($E$33-$D$33+1))-COS(PI()*(T$3-$D$33+1)/($E$33-$D$33+1)))/2,1/($E$33-$D$33+1)),0)+IF(AND(T$3&gt;=$D$34,T$3&lt;=$E$34),$I$34*IF($F$34="S-Curve",(COS(PI()*(T$3-$D$34)/($E$34-$D$34+1))-COS(PI()*(T$3-$D$34+1)/($E$34-$D$34+1)))/2,1/($E$34-$D$34+1)),0)+IF(AND(T$3&gt;=$D$35,T$3&lt;=$E$35),$I$35*IF($F$35="S-Curve",(COS(PI()*(T$3-$D$35)/($E$35-$D$35+1))-COS(PI()*(T$3-$D$35+1)/($E$35-$D$35+1)))/2,1/($E$35-$D$35+1)),0)</f>
        <v>1376819.42699296</v>
      </c>
      <c r="U150" s="7" t="n">
        <f aca="false">IF(AND(U$3&gt;=$D$27,U$3&lt;=$E$27),$I$27*IF($F$27="S-Curve",(COS(PI()*(U$3-$D$27)/($E$27-$D$27+1))-COS(PI()*(U$3-$D$27+1)/($E$27-$D$27+1)))/2,1/($E$27-$D$27+1)),0)+IF(AND(U$3&gt;=$D$28,U$3&lt;=$E$28),$I$28*IF($F$28="S-Curve",(COS(PI()*(U$3-$D$28)/($E$28-$D$28+1))-COS(PI()*(U$3-$D$28+1)/($E$28-$D$28+1)))/2,1/($E$28-$D$28+1)),0)+IF(AND(U$3&gt;=$D$30,U$3&lt;=$E$30),$I$30*IF($F$30="S-Curve",(COS(PI()*(U$3-$D$30)/($E$30-$D$30+1))-COS(PI()*(U$3-$D$30+1)/($E$30-$D$30+1)))/2,1/($E$30-$D$30+1)),0)+IF(AND(U$3&gt;=$D$31,U$3&lt;=$E$31),$I$31*IF($F$31="S-Curve",(COS(PI()*(U$3-$D$31)/($E$31-$D$31+1))-COS(PI()*(U$3-$D$31+1)/($E$31-$D$31+1)))/2,1/($E$31-$D$31+1)),0)+IF(AND(U$3&gt;=$D$32,U$3&lt;=$E$32),$I$32*IF($F$32="S-Curve",(COS(PI()*(U$3-$D$32)/($E$32-$D$32+1))-COS(PI()*(U$3-$D$32+1)/($E$32-$D$32+1)))/2,1/($E$32-$D$32+1)),0)+IF(AND(U$3&gt;=$D$33,U$3&lt;=$E$33),$I$33*IF($F$33="S-Curve",(COS(PI()*(U$3-$D$33)/($E$33-$D$33+1))-COS(PI()*(U$3-$D$33+1)/($E$33-$D$33+1)))/2,1/($E$33-$D$33+1)),0)+IF(AND(U$3&gt;=$D$34,U$3&lt;=$E$34),$I$34*IF($F$34="S-Curve",(COS(PI()*(U$3-$D$34)/($E$34-$D$34+1))-COS(PI()*(U$3-$D$34+1)/($E$34-$D$34+1)))/2,1/($E$34-$D$34+1)),0)+IF(AND(U$3&gt;=$D$35,U$3&lt;=$E$35),$I$35*IF($F$35="S-Curve",(COS(PI()*(U$3-$D$35)/($E$35-$D$35+1))-COS(PI()*(U$3-$D$35+1)/($E$35-$D$35+1)))/2,1/($E$35-$D$35+1)),0)</f>
        <v>1319147.97074859</v>
      </c>
      <c r="V150" s="7" t="n">
        <f aca="false">IF(AND(V$3&gt;=$D$27,V$3&lt;=$E$27),$I$27*IF($F$27="S-Curve",(COS(PI()*(V$3-$D$27)/($E$27-$D$27+1))-COS(PI()*(V$3-$D$27+1)/($E$27-$D$27+1)))/2,1/($E$27-$D$27+1)),0)+IF(AND(V$3&gt;=$D$28,V$3&lt;=$E$28),$I$28*IF($F$28="S-Curve",(COS(PI()*(V$3-$D$28)/($E$28-$D$28+1))-COS(PI()*(V$3-$D$28+1)/($E$28-$D$28+1)))/2,1/($E$28-$D$28+1)),0)+IF(AND(V$3&gt;=$D$30,V$3&lt;=$E$30),$I$30*IF($F$30="S-Curve",(COS(PI()*(V$3-$D$30)/($E$30-$D$30+1))-COS(PI()*(V$3-$D$30+1)/($E$30-$D$30+1)))/2,1/($E$30-$D$30+1)),0)+IF(AND(V$3&gt;=$D$31,V$3&lt;=$E$31),$I$31*IF($F$31="S-Curve",(COS(PI()*(V$3-$D$31)/($E$31-$D$31+1))-COS(PI()*(V$3-$D$31+1)/($E$31-$D$31+1)))/2,1/($E$31-$D$31+1)),0)+IF(AND(V$3&gt;=$D$32,V$3&lt;=$E$32),$I$32*IF($F$32="S-Curve",(COS(PI()*(V$3-$D$32)/($E$32-$D$32+1))-COS(PI()*(V$3-$D$32+1)/($E$32-$D$32+1)))/2,1/($E$32-$D$32+1)),0)+IF(AND(V$3&gt;=$D$33,V$3&lt;=$E$33),$I$33*IF($F$33="S-Curve",(COS(PI()*(V$3-$D$33)/($E$33-$D$33+1))-COS(PI()*(V$3-$D$33+1)/($E$33-$D$33+1)))/2,1/($E$33-$D$33+1)),0)+IF(AND(V$3&gt;=$D$34,V$3&lt;=$E$34),$I$34*IF($F$34="S-Curve",(COS(PI()*(V$3-$D$34)/($E$34-$D$34+1))-COS(PI()*(V$3-$D$34+1)/($E$34-$D$34+1)))/2,1/($E$34-$D$34+1)),0)+IF(AND(V$3&gt;=$D$35,V$3&lt;=$E$35),$I$35*IF($F$35="S-Curve",(COS(PI()*(V$3-$D$35)/($E$35-$D$35+1))-COS(PI()*(V$3-$D$35+1)/($E$35-$D$35+1)))/2,1/($E$35-$D$35+1)),0)</f>
        <v>1358932.61720823</v>
      </c>
      <c r="W150" s="7" t="n">
        <f aca="false">IF(AND(W$3&gt;=$D$27,W$3&lt;=$E$27),$I$27*IF($F$27="S-Curve",(COS(PI()*(W$3-$D$27)/($E$27-$D$27+1))-COS(PI()*(W$3-$D$27+1)/($E$27-$D$27+1)))/2,1/($E$27-$D$27+1)),0)+IF(AND(W$3&gt;=$D$28,W$3&lt;=$E$28),$I$28*IF($F$28="S-Curve",(COS(PI()*(W$3-$D$28)/($E$28-$D$28+1))-COS(PI()*(W$3-$D$28+1)/($E$28-$D$28+1)))/2,1/($E$28-$D$28+1)),0)+IF(AND(W$3&gt;=$D$30,W$3&lt;=$E$30),$I$30*IF($F$30="S-Curve",(COS(PI()*(W$3-$D$30)/($E$30-$D$30+1))-COS(PI()*(W$3-$D$30+1)/($E$30-$D$30+1)))/2,1/($E$30-$D$30+1)),0)+IF(AND(W$3&gt;=$D$31,W$3&lt;=$E$31),$I$31*IF($F$31="S-Curve",(COS(PI()*(W$3-$D$31)/($E$31-$D$31+1))-COS(PI()*(W$3-$D$31+1)/($E$31-$D$31+1)))/2,1/($E$31-$D$31+1)),0)+IF(AND(W$3&gt;=$D$32,W$3&lt;=$E$32),$I$32*IF($F$32="S-Curve",(COS(PI()*(W$3-$D$32)/($E$32-$D$32+1))-COS(PI()*(W$3-$D$32+1)/($E$32-$D$32+1)))/2,1/($E$32-$D$32+1)),0)+IF(AND(W$3&gt;=$D$33,W$3&lt;=$E$33),$I$33*IF($F$33="S-Curve",(COS(PI()*(W$3-$D$33)/($E$33-$D$33+1))-COS(PI()*(W$3-$D$33+1)/($E$33-$D$33+1)))/2,1/($E$33-$D$33+1)),0)+IF(AND(W$3&gt;=$D$34,W$3&lt;=$E$34),$I$34*IF($F$34="S-Curve",(COS(PI()*(W$3-$D$34)/($E$34-$D$34+1))-COS(PI()*(W$3-$D$34+1)/($E$34-$D$34+1)))/2,1/($E$34-$D$34+1)),0)+IF(AND(W$3&gt;=$D$35,W$3&lt;=$E$35),$I$35*IF($F$35="S-Curve",(COS(PI()*(W$3-$D$35)/($E$35-$D$35+1))-COS(PI()*(W$3-$D$35+1)/($E$35-$D$35+1)))/2,1/($E$35-$D$35+1)),0)</f>
        <v>1327993.10001828</v>
      </c>
      <c r="X150" s="7" t="n">
        <f aca="false">IF(AND(X$3&gt;=$D$27,X$3&lt;=$E$27),$I$27*IF($F$27="S-Curve",(COS(PI()*(X$3-$D$27)/($E$27-$D$27+1))-COS(PI()*(X$3-$D$27+1)/($E$27-$D$27+1)))/2,1/($E$27-$D$27+1)),0)+IF(AND(X$3&gt;=$D$28,X$3&lt;=$E$28),$I$28*IF($F$28="S-Curve",(COS(PI()*(X$3-$D$28)/($E$28-$D$28+1))-COS(PI()*(X$3-$D$28+1)/($E$28-$D$28+1)))/2,1/($E$28-$D$28+1)),0)+IF(AND(X$3&gt;=$D$30,X$3&lt;=$E$30),$I$30*IF($F$30="S-Curve",(COS(PI()*(X$3-$D$30)/($E$30-$D$30+1))-COS(PI()*(X$3-$D$30+1)/($E$30-$D$30+1)))/2,1/($E$30-$D$30+1)),0)+IF(AND(X$3&gt;=$D$31,X$3&lt;=$E$31),$I$31*IF($F$31="S-Curve",(COS(PI()*(X$3-$D$31)/($E$31-$D$31+1))-COS(PI()*(X$3-$D$31+1)/($E$31-$D$31+1)))/2,1/($E$31-$D$31+1)),0)+IF(AND(X$3&gt;=$D$32,X$3&lt;=$E$32),$I$32*IF($F$32="S-Curve",(COS(PI()*(X$3-$D$32)/($E$32-$D$32+1))-COS(PI()*(X$3-$D$32+1)/($E$32-$D$32+1)))/2,1/($E$32-$D$32+1)),0)+IF(AND(X$3&gt;=$D$33,X$3&lt;=$E$33),$I$33*IF($F$33="S-Curve",(COS(PI()*(X$3-$D$33)/($E$33-$D$33+1))-COS(PI()*(X$3-$D$33+1)/($E$33-$D$33+1)))/2,1/($E$33-$D$33+1)),0)+IF(AND(X$3&gt;=$D$34,X$3&lt;=$E$34),$I$34*IF($F$34="S-Curve",(COS(PI()*(X$3-$D$34)/($E$34-$D$34+1))-COS(PI()*(X$3-$D$34+1)/($E$34-$D$34+1)))/2,1/($E$34-$D$34+1)),0)+IF(AND(X$3&gt;=$D$35,X$3&lt;=$E$35),$I$35*IF($F$35="S-Curve",(COS(PI()*(X$3-$D$35)/($E$35-$D$35+1))-COS(PI()*(X$3-$D$35+1)/($E$35-$D$35+1)))/2,1/($E$35-$D$35+1)),0)</f>
        <v>1333324.23723379</v>
      </c>
      <c r="Y150" s="7" t="n">
        <f aca="false">IF(AND(Y$3&gt;=$D$27,Y$3&lt;=$E$27),$I$27*IF($F$27="S-Curve",(COS(PI()*(Y$3-$D$27)/($E$27-$D$27+1))-COS(PI()*(Y$3-$D$27+1)/($E$27-$D$27+1)))/2,1/($E$27-$D$27+1)),0)+IF(AND(Y$3&gt;=$D$28,Y$3&lt;=$E$28),$I$28*IF($F$28="S-Curve",(COS(PI()*(Y$3-$D$28)/($E$28-$D$28+1))-COS(PI()*(Y$3-$D$28+1)/($E$28-$D$28+1)))/2,1/($E$28-$D$28+1)),0)+IF(AND(Y$3&gt;=$D$30,Y$3&lt;=$E$30),$I$30*IF($F$30="S-Curve",(COS(PI()*(Y$3-$D$30)/($E$30-$D$30+1))-COS(PI()*(Y$3-$D$30+1)/($E$30-$D$30+1)))/2,1/($E$30-$D$30+1)),0)+IF(AND(Y$3&gt;=$D$31,Y$3&lt;=$E$31),$I$31*IF($F$31="S-Curve",(COS(PI()*(Y$3-$D$31)/($E$31-$D$31+1))-COS(PI()*(Y$3-$D$31+1)/($E$31-$D$31+1)))/2,1/($E$31-$D$31+1)),0)+IF(AND(Y$3&gt;=$D$32,Y$3&lt;=$E$32),$I$32*IF($F$32="S-Curve",(COS(PI()*(Y$3-$D$32)/($E$32-$D$32+1))-COS(PI()*(Y$3-$D$32+1)/($E$32-$D$32+1)))/2,1/($E$32-$D$32+1)),0)+IF(AND(Y$3&gt;=$D$33,Y$3&lt;=$E$33),$I$33*IF($F$33="S-Curve",(COS(PI()*(Y$3-$D$33)/($E$33-$D$33+1))-COS(PI()*(Y$3-$D$33+1)/($E$33-$D$33+1)))/2,1/($E$33-$D$33+1)),0)+IF(AND(Y$3&gt;=$D$34,Y$3&lt;=$E$34),$I$34*IF($F$34="S-Curve",(COS(PI()*(Y$3-$D$34)/($E$34-$D$34+1))-COS(PI()*(Y$3-$D$34+1)/($E$34-$D$34+1)))/2,1/($E$34-$D$34+1)),0)+IF(AND(Y$3&gt;=$D$35,Y$3&lt;=$E$35),$I$35*IF($F$35="S-Curve",(COS(PI()*(Y$3-$D$35)/($E$35-$D$35+1))-COS(PI()*(Y$3-$D$35+1)/($E$35-$D$35+1)))/2,1/($E$35-$D$35+1)),0)</f>
        <v>1368073.93410617</v>
      </c>
      <c r="Z150" s="7" t="n">
        <f aca="false">IF(AND(Z$3&gt;=$D$27,Z$3&lt;=$E$27),$I$27*IF($F$27="S-Curve",(COS(PI()*(Z$3-$D$27)/($E$27-$D$27+1))-COS(PI()*(Z$3-$D$27+1)/($E$27-$D$27+1)))/2,1/($E$27-$D$27+1)),0)+IF(AND(Z$3&gt;=$D$28,Z$3&lt;=$E$28),$I$28*IF($F$28="S-Curve",(COS(PI()*(Z$3-$D$28)/($E$28-$D$28+1))-COS(PI()*(Z$3-$D$28+1)/($E$28-$D$28+1)))/2,1/($E$28-$D$28+1)),0)+IF(AND(Z$3&gt;=$D$30,Z$3&lt;=$E$30),$I$30*IF($F$30="S-Curve",(COS(PI()*(Z$3-$D$30)/($E$30-$D$30+1))-COS(PI()*(Z$3-$D$30+1)/($E$30-$D$30+1)))/2,1/($E$30-$D$30+1)),0)+IF(AND(Z$3&gt;=$D$31,Z$3&lt;=$E$31),$I$31*IF($F$31="S-Curve",(COS(PI()*(Z$3-$D$31)/($E$31-$D$31+1))-COS(PI()*(Z$3-$D$31+1)/($E$31-$D$31+1)))/2,1/($E$31-$D$31+1)),0)+IF(AND(Z$3&gt;=$D$32,Z$3&lt;=$E$32),$I$32*IF($F$32="S-Curve",(COS(PI()*(Z$3-$D$32)/($E$32-$D$32+1))-COS(PI()*(Z$3-$D$32+1)/($E$32-$D$32+1)))/2,1/($E$32-$D$32+1)),0)+IF(AND(Z$3&gt;=$D$33,Z$3&lt;=$E$33),$I$33*IF($F$33="S-Curve",(COS(PI()*(Z$3-$D$33)/($E$33-$D$33+1))-COS(PI()*(Z$3-$D$33+1)/($E$33-$D$33+1)))/2,1/($E$33-$D$33+1)),0)+IF(AND(Z$3&gt;=$D$34,Z$3&lt;=$E$34),$I$34*IF($F$34="S-Curve",(COS(PI()*(Z$3-$D$34)/($E$34-$D$34+1))-COS(PI()*(Z$3-$D$34+1)/($E$34-$D$34+1)))/2,1/($E$34-$D$34+1)),0)+IF(AND(Z$3&gt;=$D$35,Z$3&lt;=$E$35),$I$35*IF($F$35="S-Curve",(COS(PI()*(Z$3-$D$35)/($E$35-$D$35+1))-COS(PI()*(Z$3-$D$35+1)/($E$35-$D$35+1)))/2,1/($E$35-$D$35+1)),0)</f>
        <v>1312732.85897386</v>
      </c>
      <c r="AA150" s="7" t="n">
        <f aca="false">IF(AND(AA$3&gt;=$D$27,AA$3&lt;=$E$27),$I$27*IF($F$27="S-Curve",(COS(PI()*(AA$3-$D$27)/($E$27-$D$27+1))-COS(PI()*(AA$3-$D$27+1)/($E$27-$D$27+1)))/2,1/($E$27-$D$27+1)),0)+IF(AND(AA$3&gt;=$D$28,AA$3&lt;=$E$28),$I$28*IF($F$28="S-Curve",(COS(PI()*(AA$3-$D$28)/($E$28-$D$28+1))-COS(PI()*(AA$3-$D$28+1)/($E$28-$D$28+1)))/2,1/($E$28-$D$28+1)),0)+IF(AND(AA$3&gt;=$D$30,AA$3&lt;=$E$30),$I$30*IF($F$30="S-Curve",(COS(PI()*(AA$3-$D$30)/($E$30-$D$30+1))-COS(PI()*(AA$3-$D$30+1)/($E$30-$D$30+1)))/2,1/($E$30-$D$30+1)),0)+IF(AND(AA$3&gt;=$D$31,AA$3&lt;=$E$31),$I$31*IF($F$31="S-Curve",(COS(PI()*(AA$3-$D$31)/($E$31-$D$31+1))-COS(PI()*(AA$3-$D$31+1)/($E$31-$D$31+1)))/2,1/($E$31-$D$31+1)),0)+IF(AND(AA$3&gt;=$D$32,AA$3&lt;=$E$32),$I$32*IF($F$32="S-Curve",(COS(PI()*(AA$3-$D$32)/($E$32-$D$32+1))-COS(PI()*(AA$3-$D$32+1)/($E$32-$D$32+1)))/2,1/($E$32-$D$32+1)),0)+IF(AND(AA$3&gt;=$D$33,AA$3&lt;=$E$33),$I$33*IF($F$33="S-Curve",(COS(PI()*(AA$3-$D$33)/($E$33-$D$33+1))-COS(PI()*(AA$3-$D$33+1)/($E$33-$D$33+1)))/2,1/($E$33-$D$33+1)),0)+IF(AND(AA$3&gt;=$D$34,AA$3&lt;=$E$34),$I$34*IF($F$34="S-Curve",(COS(PI()*(AA$3-$D$34)/($E$34-$D$34+1))-COS(PI()*(AA$3-$D$34+1)/($E$34-$D$34+1)))/2,1/($E$34-$D$34+1)),0)+IF(AND(AA$3&gt;=$D$35,AA$3&lt;=$E$35),$I$35*IF($F$35="S-Curve",(COS(PI()*(AA$3-$D$35)/($E$35-$D$35+1))-COS(PI()*(AA$3-$D$35+1)/($E$35-$D$35+1)))/2,1/($E$35-$D$35+1)),0)</f>
        <v>1160371.11074976</v>
      </c>
      <c r="AB150" s="7" t="n">
        <f aca="false">IF(AND(AB$3&gt;=$D$27,AB$3&lt;=$E$27),$I$27*IF($F$27="S-Curve",(COS(PI()*(AB$3-$D$27)/($E$27-$D$27+1))-COS(PI()*(AB$3-$D$27+1)/($E$27-$D$27+1)))/2,1/($E$27-$D$27+1)),0)+IF(AND(AB$3&gt;=$D$28,AB$3&lt;=$E$28),$I$28*IF($F$28="S-Curve",(COS(PI()*(AB$3-$D$28)/($E$28-$D$28+1))-COS(PI()*(AB$3-$D$28+1)/($E$28-$D$28+1)))/2,1/($E$28-$D$28+1)),0)+IF(AND(AB$3&gt;=$D$30,AB$3&lt;=$E$30),$I$30*IF($F$30="S-Curve",(COS(PI()*(AB$3-$D$30)/($E$30-$D$30+1))-COS(PI()*(AB$3-$D$30+1)/($E$30-$D$30+1)))/2,1/($E$30-$D$30+1)),0)+IF(AND(AB$3&gt;=$D$31,AB$3&lt;=$E$31),$I$31*IF($F$31="S-Curve",(COS(PI()*(AB$3-$D$31)/($E$31-$D$31+1))-COS(PI()*(AB$3-$D$31+1)/($E$31-$D$31+1)))/2,1/($E$31-$D$31+1)),0)+IF(AND(AB$3&gt;=$D$32,AB$3&lt;=$E$32),$I$32*IF($F$32="S-Curve",(COS(PI()*(AB$3-$D$32)/($E$32-$D$32+1))-COS(PI()*(AB$3-$D$32+1)/($E$32-$D$32+1)))/2,1/($E$32-$D$32+1)),0)+IF(AND(AB$3&gt;=$D$33,AB$3&lt;=$E$33),$I$33*IF($F$33="S-Curve",(COS(PI()*(AB$3-$D$33)/($E$33-$D$33+1))-COS(PI()*(AB$3-$D$33+1)/($E$33-$D$33+1)))/2,1/($E$33-$D$33+1)),0)+IF(AND(AB$3&gt;=$D$34,AB$3&lt;=$E$34),$I$34*IF($F$34="S-Curve",(COS(PI()*(AB$3-$D$34)/($E$34-$D$34+1))-COS(PI()*(AB$3-$D$34+1)/($E$34-$D$34+1)))/2,1/($E$34-$D$34+1)),0)+IF(AND(AB$3&gt;=$D$35,AB$3&lt;=$E$35),$I$35*IF($F$35="S-Curve",(COS(PI()*(AB$3-$D$35)/($E$35-$D$35+1))-COS(PI()*(AB$3-$D$35+1)/($E$35-$D$35+1)))/2,1/($E$35-$D$35+1)),0)</f>
        <v>913141.961509331</v>
      </c>
      <c r="AC150" s="7" t="n">
        <f aca="false">IF(AND(AC$3&gt;=$D$27,AC$3&lt;=$E$27),$I$27*IF($F$27="S-Curve",(COS(PI()*(AC$3-$D$27)/($E$27-$D$27+1))-COS(PI()*(AC$3-$D$27+1)/($E$27-$D$27+1)))/2,1/($E$27-$D$27+1)),0)+IF(AND(AC$3&gt;=$D$28,AC$3&lt;=$E$28),$I$28*IF($F$28="S-Curve",(COS(PI()*(AC$3-$D$28)/($E$28-$D$28+1))-COS(PI()*(AC$3-$D$28+1)/($E$28-$D$28+1)))/2,1/($E$28-$D$28+1)),0)+IF(AND(AC$3&gt;=$D$30,AC$3&lt;=$E$30),$I$30*IF($F$30="S-Curve",(COS(PI()*(AC$3-$D$30)/($E$30-$D$30+1))-COS(PI()*(AC$3-$D$30+1)/($E$30-$D$30+1)))/2,1/($E$30-$D$30+1)),0)+IF(AND(AC$3&gt;=$D$31,AC$3&lt;=$E$31),$I$31*IF($F$31="S-Curve",(COS(PI()*(AC$3-$D$31)/($E$31-$D$31+1))-COS(PI()*(AC$3-$D$31+1)/($E$31-$D$31+1)))/2,1/($E$31-$D$31+1)),0)+IF(AND(AC$3&gt;=$D$32,AC$3&lt;=$E$32),$I$32*IF($F$32="S-Curve",(COS(PI()*(AC$3-$D$32)/($E$32-$D$32+1))-COS(PI()*(AC$3-$D$32+1)/($E$32-$D$32+1)))/2,1/($E$32-$D$32+1)),0)+IF(AND(AC$3&gt;=$D$33,AC$3&lt;=$E$33),$I$33*IF($F$33="S-Curve",(COS(PI()*(AC$3-$D$33)/($E$33-$D$33+1))-COS(PI()*(AC$3-$D$33+1)/($E$33-$D$33+1)))/2,1/($E$33-$D$33+1)),0)+IF(AND(AC$3&gt;=$D$34,AC$3&lt;=$E$34),$I$34*IF($F$34="S-Curve",(COS(PI()*(AC$3-$D$34)/($E$34-$D$34+1))-COS(PI()*(AC$3-$D$34+1)/($E$34-$D$34+1)))/2,1/($E$34-$D$34+1)),0)+IF(AND(AC$3&gt;=$D$35,AC$3&lt;=$E$35),$I$35*IF($F$35="S-Curve",(COS(PI()*(AC$3-$D$35)/($E$35-$D$35+1))-COS(PI()*(AC$3-$D$35+1)/($E$35-$D$35+1)))/2,1/($E$35-$D$35+1)),0)</f>
        <v>725251.513619198</v>
      </c>
      <c r="AD150" s="7" t="n">
        <f aca="false">IF(AND(AD$3&gt;=$D$27,AD$3&lt;=$E$27),$I$27*IF($F$27="S-Curve",(COS(PI()*(AD$3-$D$27)/($E$27-$D$27+1))-COS(PI()*(AD$3-$D$27+1)/($E$27-$D$27+1)))/2,1/($E$27-$D$27+1)),0)+IF(AND(AD$3&gt;=$D$28,AD$3&lt;=$E$28),$I$28*IF($F$28="S-Curve",(COS(PI()*(AD$3-$D$28)/($E$28-$D$28+1))-COS(PI()*(AD$3-$D$28+1)/($E$28-$D$28+1)))/2,1/($E$28-$D$28+1)),0)+IF(AND(AD$3&gt;=$D$30,AD$3&lt;=$E$30),$I$30*IF($F$30="S-Curve",(COS(PI()*(AD$3-$D$30)/($E$30-$D$30+1))-COS(PI()*(AD$3-$D$30+1)/($E$30-$D$30+1)))/2,1/($E$30-$D$30+1)),0)+IF(AND(AD$3&gt;=$D$31,AD$3&lt;=$E$31),$I$31*IF($F$31="S-Curve",(COS(PI()*(AD$3-$D$31)/($E$31-$D$31+1))-COS(PI()*(AD$3-$D$31+1)/($E$31-$D$31+1)))/2,1/($E$31-$D$31+1)),0)+IF(AND(AD$3&gt;=$D$32,AD$3&lt;=$E$32),$I$32*IF($F$32="S-Curve",(COS(PI()*(AD$3-$D$32)/($E$32-$D$32+1))-COS(PI()*(AD$3-$D$32+1)/($E$32-$D$32+1)))/2,1/($E$32-$D$32+1)),0)+IF(AND(AD$3&gt;=$D$33,AD$3&lt;=$E$33),$I$33*IF($F$33="S-Curve",(COS(PI()*(AD$3-$D$33)/($E$33-$D$33+1))-COS(PI()*(AD$3-$D$33+1)/($E$33-$D$33+1)))/2,1/($E$33-$D$33+1)),0)+IF(AND(AD$3&gt;=$D$34,AD$3&lt;=$E$34),$I$34*IF($F$34="S-Curve",(COS(PI()*(AD$3-$D$34)/($E$34-$D$34+1))-COS(PI()*(AD$3-$D$34+1)/($E$34-$D$34+1)))/2,1/($E$34-$D$34+1)),0)+IF(AND(AD$3&gt;=$D$35,AD$3&lt;=$E$35),$I$35*IF($F$35="S-Curve",(COS(PI()*(AD$3-$D$35)/($E$35-$D$35+1))-COS(PI()*(AD$3-$D$35+1)/($E$35-$D$35+1)))/2,1/($E$35-$D$35+1)),0)</f>
        <v>609682.225927644</v>
      </c>
      <c r="AE150" s="7" t="n">
        <f aca="false">IF(AND(AE$3&gt;=$D$27,AE$3&lt;=$E$27),$I$27*IF($F$27="S-Curve",(COS(PI()*(AE$3-$D$27)/($E$27-$D$27+1))-COS(PI()*(AE$3-$D$27+1)/($E$27-$D$27+1)))/2,1/($E$27-$D$27+1)),0)+IF(AND(AE$3&gt;=$D$28,AE$3&lt;=$E$28),$I$28*IF($F$28="S-Curve",(COS(PI()*(AE$3-$D$28)/($E$28-$D$28+1))-COS(PI()*(AE$3-$D$28+1)/($E$28-$D$28+1)))/2,1/($E$28-$D$28+1)),0)+IF(AND(AE$3&gt;=$D$30,AE$3&lt;=$E$30),$I$30*IF($F$30="S-Curve",(COS(PI()*(AE$3-$D$30)/($E$30-$D$30+1))-COS(PI()*(AE$3-$D$30+1)/($E$30-$D$30+1)))/2,1/($E$30-$D$30+1)),0)+IF(AND(AE$3&gt;=$D$31,AE$3&lt;=$E$31),$I$31*IF($F$31="S-Curve",(COS(PI()*(AE$3-$D$31)/($E$31-$D$31+1))-COS(PI()*(AE$3-$D$31+1)/($E$31-$D$31+1)))/2,1/($E$31-$D$31+1)),0)+IF(AND(AE$3&gt;=$D$32,AE$3&lt;=$E$32),$I$32*IF($F$32="S-Curve",(COS(PI()*(AE$3-$D$32)/($E$32-$D$32+1))-COS(PI()*(AE$3-$D$32+1)/($E$32-$D$32+1)))/2,1/($E$32-$D$32+1)),0)+IF(AND(AE$3&gt;=$D$33,AE$3&lt;=$E$33),$I$33*IF($F$33="S-Curve",(COS(PI()*(AE$3-$D$33)/($E$33-$D$33+1))-COS(PI()*(AE$3-$D$33+1)/($E$33-$D$33+1)))/2,1/($E$33-$D$33+1)),0)+IF(AND(AE$3&gt;=$D$34,AE$3&lt;=$E$34),$I$34*IF($F$34="S-Curve",(COS(PI()*(AE$3-$D$34)/($E$34-$D$34+1))-COS(PI()*(AE$3-$D$34+1)/($E$34-$D$34+1)))/2,1/($E$34-$D$34+1)),0)+IF(AND(AE$3&gt;=$D$35,AE$3&lt;=$E$35),$I$35*IF($F$35="S-Curve",(COS(PI()*(AE$3-$D$35)/($E$35-$D$35+1))-COS(PI()*(AE$3-$D$35+1)/($E$35-$D$35+1)))/2,1/($E$35-$D$35+1)),0)</f>
        <v>437170.67288789</v>
      </c>
      <c r="AF150" s="7" t="n">
        <f aca="false">IF(AND(AF$3&gt;=$D$27,AF$3&lt;=$E$27),$I$27*IF($F$27="S-Curve",(COS(PI()*(AF$3-$D$27)/($E$27-$D$27+1))-COS(PI()*(AF$3-$D$27+1)/($E$27-$D$27+1)))/2,1/($E$27-$D$27+1)),0)+IF(AND(AF$3&gt;=$D$28,AF$3&lt;=$E$28),$I$28*IF($F$28="S-Curve",(COS(PI()*(AF$3-$D$28)/($E$28-$D$28+1))-COS(PI()*(AF$3-$D$28+1)/($E$28-$D$28+1)))/2,1/($E$28-$D$28+1)),0)+IF(AND(AF$3&gt;=$D$30,AF$3&lt;=$E$30),$I$30*IF($F$30="S-Curve",(COS(PI()*(AF$3-$D$30)/($E$30-$D$30+1))-COS(PI()*(AF$3-$D$30+1)/($E$30-$D$30+1)))/2,1/($E$30-$D$30+1)),0)+IF(AND(AF$3&gt;=$D$31,AF$3&lt;=$E$31),$I$31*IF($F$31="S-Curve",(COS(PI()*(AF$3-$D$31)/($E$31-$D$31+1))-COS(PI()*(AF$3-$D$31+1)/($E$31-$D$31+1)))/2,1/($E$31-$D$31+1)),0)+IF(AND(AF$3&gt;=$D$32,AF$3&lt;=$E$32),$I$32*IF($F$32="S-Curve",(COS(PI()*(AF$3-$D$32)/($E$32-$D$32+1))-COS(PI()*(AF$3-$D$32+1)/($E$32-$D$32+1)))/2,1/($E$32-$D$32+1)),0)+IF(AND(AF$3&gt;=$D$33,AF$3&lt;=$E$33),$I$33*IF($F$33="S-Curve",(COS(PI()*(AF$3-$D$33)/($E$33-$D$33+1))-COS(PI()*(AF$3-$D$33+1)/($E$33-$D$33+1)))/2,1/($E$33-$D$33+1)),0)+IF(AND(AF$3&gt;=$D$34,AF$3&lt;=$E$34),$I$34*IF($F$34="S-Curve",(COS(PI()*(AF$3-$D$34)/($E$34-$D$34+1))-COS(PI()*(AF$3-$D$34+1)/($E$34-$D$34+1)))/2,1/($E$34-$D$34+1)),0)+IF(AND(AF$3&gt;=$D$35,AF$3&lt;=$E$35),$I$35*IF($F$35="S-Curve",(COS(PI()*(AF$3-$D$35)/($E$35-$D$35+1))-COS(PI()*(AF$3-$D$35+1)/($E$35-$D$35+1)))/2,1/($E$35-$D$35+1)),0)</f>
        <v>227531.884329289</v>
      </c>
      <c r="AG150" s="7" t="n">
        <f aca="false">IF(AND(AG$3&gt;=$D$27,AG$3&lt;=$E$27),$I$27*IF($F$27="S-Curve",(COS(PI()*(AG$3-$D$27)/($E$27-$D$27+1))-COS(PI()*(AG$3-$D$27+1)/($E$27-$D$27+1)))/2,1/($E$27-$D$27+1)),0)+IF(AND(AG$3&gt;=$D$28,AG$3&lt;=$E$28),$I$28*IF($F$28="S-Curve",(COS(PI()*(AG$3-$D$28)/($E$28-$D$28+1))-COS(PI()*(AG$3-$D$28+1)/($E$28-$D$28+1)))/2,1/($E$28-$D$28+1)),0)+IF(AND(AG$3&gt;=$D$30,AG$3&lt;=$E$30),$I$30*IF($F$30="S-Curve",(COS(PI()*(AG$3-$D$30)/($E$30-$D$30+1))-COS(PI()*(AG$3-$D$30+1)/($E$30-$D$30+1)))/2,1/($E$30-$D$30+1)),0)+IF(AND(AG$3&gt;=$D$31,AG$3&lt;=$E$31),$I$31*IF($F$31="S-Curve",(COS(PI()*(AG$3-$D$31)/($E$31-$D$31+1))-COS(PI()*(AG$3-$D$31+1)/($E$31-$D$31+1)))/2,1/($E$31-$D$31+1)),0)+IF(AND(AG$3&gt;=$D$32,AG$3&lt;=$E$32),$I$32*IF($F$32="S-Curve",(COS(PI()*(AG$3-$D$32)/($E$32-$D$32+1))-COS(PI()*(AG$3-$D$32+1)/($E$32-$D$32+1)))/2,1/($E$32-$D$32+1)),0)+IF(AND(AG$3&gt;=$D$33,AG$3&lt;=$E$33),$I$33*IF($F$33="S-Curve",(COS(PI()*(AG$3-$D$33)/($E$33-$D$33+1))-COS(PI()*(AG$3-$D$33+1)/($E$33-$D$33+1)))/2,1/($E$33-$D$33+1)),0)+IF(AND(AG$3&gt;=$D$34,AG$3&lt;=$E$34),$I$34*IF($F$34="S-Curve",(COS(PI()*(AG$3-$D$34)/($E$34-$D$34+1))-COS(PI()*(AG$3-$D$34+1)/($E$34-$D$34+1)))/2,1/($E$34-$D$34+1)),0)+IF(AND(AG$3&gt;=$D$35,AG$3&lt;=$E$35),$I$35*IF($F$35="S-Curve",(COS(PI()*(AG$3-$D$35)/($E$35-$D$35+1))-COS(PI()*(AG$3-$D$35+1)/($E$35-$D$35+1)))/2,1/($E$35-$D$35+1)),0)</f>
        <v>0</v>
      </c>
      <c r="AH150" s="7" t="n">
        <f aca="false">IF(AND(AH$3&gt;=$D$27,AH$3&lt;=$E$27),$I$27*IF($F$27="S-Curve",(COS(PI()*(AH$3-$D$27)/($E$27-$D$27+1))-COS(PI()*(AH$3-$D$27+1)/($E$27-$D$27+1)))/2,1/($E$27-$D$27+1)),0)+IF(AND(AH$3&gt;=$D$28,AH$3&lt;=$E$28),$I$28*IF($F$28="S-Curve",(COS(PI()*(AH$3-$D$28)/($E$28-$D$28+1))-COS(PI()*(AH$3-$D$28+1)/($E$28-$D$28+1)))/2,1/($E$28-$D$28+1)),0)+IF(AND(AH$3&gt;=$D$30,AH$3&lt;=$E$30),$I$30*IF($F$30="S-Curve",(COS(PI()*(AH$3-$D$30)/($E$30-$D$30+1))-COS(PI()*(AH$3-$D$30+1)/($E$30-$D$30+1)))/2,1/($E$30-$D$30+1)),0)+IF(AND(AH$3&gt;=$D$31,AH$3&lt;=$E$31),$I$31*IF($F$31="S-Curve",(COS(PI()*(AH$3-$D$31)/($E$31-$D$31+1))-COS(PI()*(AH$3-$D$31+1)/($E$31-$D$31+1)))/2,1/($E$31-$D$31+1)),0)+IF(AND(AH$3&gt;=$D$32,AH$3&lt;=$E$32),$I$32*IF($F$32="S-Curve",(COS(PI()*(AH$3-$D$32)/($E$32-$D$32+1))-COS(PI()*(AH$3-$D$32+1)/($E$32-$D$32+1)))/2,1/($E$32-$D$32+1)),0)+IF(AND(AH$3&gt;=$D$33,AH$3&lt;=$E$33),$I$33*IF($F$33="S-Curve",(COS(PI()*(AH$3-$D$33)/($E$33-$D$33+1))-COS(PI()*(AH$3-$D$33+1)/($E$33-$D$33+1)))/2,1/($E$33-$D$33+1)),0)+IF(AND(AH$3&gt;=$D$34,AH$3&lt;=$E$34),$I$34*IF($F$34="S-Curve",(COS(PI()*(AH$3-$D$34)/($E$34-$D$34+1))-COS(PI()*(AH$3-$D$34+1)/($E$34-$D$34+1)))/2,1/($E$34-$D$34+1)),0)+IF(AND(AH$3&gt;=$D$35,AH$3&lt;=$E$35),$I$35*IF($F$35="S-Curve",(COS(PI()*(AH$3-$D$35)/($E$35-$D$35+1))-COS(PI()*(AH$3-$D$35+1)/($E$35-$D$35+1)))/2,1/($E$35-$D$35+1)),0)</f>
        <v>0</v>
      </c>
      <c r="AI150" s="7" t="n">
        <f aca="false">IF(AND(AI$3&gt;=$D$27,AI$3&lt;=$E$27),$I$27*IF($F$27="S-Curve",(COS(PI()*(AI$3-$D$27)/($E$27-$D$27+1))-COS(PI()*(AI$3-$D$27+1)/($E$27-$D$27+1)))/2,1/($E$27-$D$27+1)),0)+IF(AND(AI$3&gt;=$D$28,AI$3&lt;=$E$28),$I$28*IF($F$28="S-Curve",(COS(PI()*(AI$3-$D$28)/($E$28-$D$28+1))-COS(PI()*(AI$3-$D$28+1)/($E$28-$D$28+1)))/2,1/($E$28-$D$28+1)),0)+IF(AND(AI$3&gt;=$D$30,AI$3&lt;=$E$30),$I$30*IF($F$30="S-Curve",(COS(PI()*(AI$3-$D$30)/($E$30-$D$30+1))-COS(PI()*(AI$3-$D$30+1)/($E$30-$D$30+1)))/2,1/($E$30-$D$30+1)),0)+IF(AND(AI$3&gt;=$D$31,AI$3&lt;=$E$31),$I$31*IF($F$31="S-Curve",(COS(PI()*(AI$3-$D$31)/($E$31-$D$31+1))-COS(PI()*(AI$3-$D$31+1)/($E$31-$D$31+1)))/2,1/($E$31-$D$31+1)),0)+IF(AND(AI$3&gt;=$D$32,AI$3&lt;=$E$32),$I$32*IF($F$32="S-Curve",(COS(PI()*(AI$3-$D$32)/($E$32-$D$32+1))-COS(PI()*(AI$3-$D$32+1)/($E$32-$D$32+1)))/2,1/($E$32-$D$32+1)),0)+IF(AND(AI$3&gt;=$D$33,AI$3&lt;=$E$33),$I$33*IF($F$33="S-Curve",(COS(PI()*(AI$3-$D$33)/($E$33-$D$33+1))-COS(PI()*(AI$3-$D$33+1)/($E$33-$D$33+1)))/2,1/($E$33-$D$33+1)),0)+IF(AND(AI$3&gt;=$D$34,AI$3&lt;=$E$34),$I$34*IF($F$34="S-Curve",(COS(PI()*(AI$3-$D$34)/($E$34-$D$34+1))-COS(PI()*(AI$3-$D$34+1)/($E$34-$D$34+1)))/2,1/($E$34-$D$34+1)),0)+IF(AND(AI$3&gt;=$D$35,AI$3&lt;=$E$35),$I$35*IF($F$35="S-Curve",(COS(PI()*(AI$3-$D$35)/($E$35-$D$35+1))-COS(PI()*(AI$3-$D$35+1)/($E$35-$D$35+1)))/2,1/($E$35-$D$35+1)),0)</f>
        <v>0</v>
      </c>
      <c r="AJ150" s="7" t="n">
        <f aca="false">IF(AND(AJ$3&gt;=$D$27,AJ$3&lt;=$E$27),$I$27*IF($F$27="S-Curve",(COS(PI()*(AJ$3-$D$27)/($E$27-$D$27+1))-COS(PI()*(AJ$3-$D$27+1)/($E$27-$D$27+1)))/2,1/($E$27-$D$27+1)),0)+IF(AND(AJ$3&gt;=$D$28,AJ$3&lt;=$E$28),$I$28*IF($F$28="S-Curve",(COS(PI()*(AJ$3-$D$28)/($E$28-$D$28+1))-COS(PI()*(AJ$3-$D$28+1)/($E$28-$D$28+1)))/2,1/($E$28-$D$28+1)),0)+IF(AND(AJ$3&gt;=$D$30,AJ$3&lt;=$E$30),$I$30*IF($F$30="S-Curve",(COS(PI()*(AJ$3-$D$30)/($E$30-$D$30+1))-COS(PI()*(AJ$3-$D$30+1)/($E$30-$D$30+1)))/2,1/($E$30-$D$30+1)),0)+IF(AND(AJ$3&gt;=$D$31,AJ$3&lt;=$E$31),$I$31*IF($F$31="S-Curve",(COS(PI()*(AJ$3-$D$31)/($E$31-$D$31+1))-COS(PI()*(AJ$3-$D$31+1)/($E$31-$D$31+1)))/2,1/($E$31-$D$31+1)),0)+IF(AND(AJ$3&gt;=$D$32,AJ$3&lt;=$E$32),$I$32*IF($F$32="S-Curve",(COS(PI()*(AJ$3-$D$32)/($E$32-$D$32+1))-COS(PI()*(AJ$3-$D$32+1)/($E$32-$D$32+1)))/2,1/($E$32-$D$32+1)),0)+IF(AND(AJ$3&gt;=$D$33,AJ$3&lt;=$E$33),$I$33*IF($F$33="S-Curve",(COS(PI()*(AJ$3-$D$33)/($E$33-$D$33+1))-COS(PI()*(AJ$3-$D$33+1)/($E$33-$D$33+1)))/2,1/($E$33-$D$33+1)),0)+IF(AND(AJ$3&gt;=$D$34,AJ$3&lt;=$E$34),$I$34*IF($F$34="S-Curve",(COS(PI()*(AJ$3-$D$34)/($E$34-$D$34+1))-COS(PI()*(AJ$3-$D$34+1)/($E$34-$D$34+1)))/2,1/($E$34-$D$34+1)),0)+IF(AND(AJ$3&gt;=$D$35,AJ$3&lt;=$E$35),$I$35*IF($F$35="S-Curve",(COS(PI()*(AJ$3-$D$35)/($E$35-$D$35+1))-COS(PI()*(AJ$3-$D$35+1)/($E$35-$D$35+1)))/2,1/($E$35-$D$35+1)),0)</f>
        <v>0</v>
      </c>
      <c r="AK150" s="7" t="n">
        <f aca="false">IF(AND(AK$3&gt;=$D$27,AK$3&lt;=$E$27),$I$27*IF($F$27="S-Curve",(COS(PI()*(AK$3-$D$27)/($E$27-$D$27+1))-COS(PI()*(AK$3-$D$27+1)/($E$27-$D$27+1)))/2,1/($E$27-$D$27+1)),0)+IF(AND(AK$3&gt;=$D$28,AK$3&lt;=$E$28),$I$28*IF($F$28="S-Curve",(COS(PI()*(AK$3-$D$28)/($E$28-$D$28+1))-COS(PI()*(AK$3-$D$28+1)/($E$28-$D$28+1)))/2,1/($E$28-$D$28+1)),0)+IF(AND(AK$3&gt;=$D$30,AK$3&lt;=$E$30),$I$30*IF($F$30="S-Curve",(COS(PI()*(AK$3-$D$30)/($E$30-$D$30+1))-COS(PI()*(AK$3-$D$30+1)/($E$30-$D$30+1)))/2,1/($E$30-$D$30+1)),0)+IF(AND(AK$3&gt;=$D$31,AK$3&lt;=$E$31),$I$31*IF($F$31="S-Curve",(COS(PI()*(AK$3-$D$31)/($E$31-$D$31+1))-COS(PI()*(AK$3-$D$31+1)/($E$31-$D$31+1)))/2,1/($E$31-$D$31+1)),0)+IF(AND(AK$3&gt;=$D$32,AK$3&lt;=$E$32),$I$32*IF($F$32="S-Curve",(COS(PI()*(AK$3-$D$32)/($E$32-$D$32+1))-COS(PI()*(AK$3-$D$32+1)/($E$32-$D$32+1)))/2,1/($E$32-$D$32+1)),0)+IF(AND(AK$3&gt;=$D$33,AK$3&lt;=$E$33),$I$33*IF($F$33="S-Curve",(COS(PI()*(AK$3-$D$33)/($E$33-$D$33+1))-COS(PI()*(AK$3-$D$33+1)/($E$33-$D$33+1)))/2,1/($E$33-$D$33+1)),0)+IF(AND(AK$3&gt;=$D$34,AK$3&lt;=$E$34),$I$34*IF($F$34="S-Curve",(COS(PI()*(AK$3-$D$34)/($E$34-$D$34+1))-COS(PI()*(AK$3-$D$34+1)/($E$34-$D$34+1)))/2,1/($E$34-$D$34+1)),0)+IF(AND(AK$3&gt;=$D$35,AK$3&lt;=$E$35),$I$35*IF($F$35="S-Curve",(COS(PI()*(AK$3-$D$35)/($E$35-$D$35+1))-COS(PI()*(AK$3-$D$35+1)/($E$35-$D$35+1)))/2,1/($E$35-$D$35+1)),0)</f>
        <v>0</v>
      </c>
      <c r="AL150" s="7" t="n">
        <f aca="false">IF(AND(AL$3&gt;=$D$27,AL$3&lt;=$E$27),$I$27*IF($F$27="S-Curve",(COS(PI()*(AL$3-$D$27)/($E$27-$D$27+1))-COS(PI()*(AL$3-$D$27+1)/($E$27-$D$27+1)))/2,1/($E$27-$D$27+1)),0)+IF(AND(AL$3&gt;=$D$28,AL$3&lt;=$E$28),$I$28*IF($F$28="S-Curve",(COS(PI()*(AL$3-$D$28)/($E$28-$D$28+1))-COS(PI()*(AL$3-$D$28+1)/($E$28-$D$28+1)))/2,1/($E$28-$D$28+1)),0)+IF(AND(AL$3&gt;=$D$30,AL$3&lt;=$E$30),$I$30*IF($F$30="S-Curve",(COS(PI()*(AL$3-$D$30)/($E$30-$D$30+1))-COS(PI()*(AL$3-$D$30+1)/($E$30-$D$30+1)))/2,1/($E$30-$D$30+1)),0)+IF(AND(AL$3&gt;=$D$31,AL$3&lt;=$E$31),$I$31*IF($F$31="S-Curve",(COS(PI()*(AL$3-$D$31)/($E$31-$D$31+1))-COS(PI()*(AL$3-$D$31+1)/($E$31-$D$31+1)))/2,1/($E$31-$D$31+1)),0)+IF(AND(AL$3&gt;=$D$32,AL$3&lt;=$E$32),$I$32*IF($F$32="S-Curve",(COS(PI()*(AL$3-$D$32)/($E$32-$D$32+1))-COS(PI()*(AL$3-$D$32+1)/($E$32-$D$32+1)))/2,1/($E$32-$D$32+1)),0)+IF(AND(AL$3&gt;=$D$33,AL$3&lt;=$E$33),$I$33*IF($F$33="S-Curve",(COS(PI()*(AL$3-$D$33)/($E$33-$D$33+1))-COS(PI()*(AL$3-$D$33+1)/($E$33-$D$33+1)))/2,1/($E$33-$D$33+1)),0)+IF(AND(AL$3&gt;=$D$34,AL$3&lt;=$E$34),$I$34*IF($F$34="S-Curve",(COS(PI()*(AL$3-$D$34)/($E$34-$D$34+1))-COS(PI()*(AL$3-$D$34+1)/($E$34-$D$34+1)))/2,1/($E$34-$D$34+1)),0)+IF(AND(AL$3&gt;=$D$35,AL$3&lt;=$E$35),$I$35*IF($F$35="S-Curve",(COS(PI()*(AL$3-$D$35)/($E$35-$D$35+1))-COS(PI()*(AL$3-$D$35+1)/($E$35-$D$35+1)))/2,1/($E$35-$D$35+1)),0)</f>
        <v>0</v>
      </c>
      <c r="AM150" s="7" t="n">
        <f aca="false">IF(AND(AM$3&gt;=$D$27,AM$3&lt;=$E$27),$I$27*IF($F$27="S-Curve",(COS(PI()*(AM$3-$D$27)/($E$27-$D$27+1))-COS(PI()*(AM$3-$D$27+1)/($E$27-$D$27+1)))/2,1/($E$27-$D$27+1)),0)+IF(AND(AM$3&gt;=$D$28,AM$3&lt;=$E$28),$I$28*IF($F$28="S-Curve",(COS(PI()*(AM$3-$D$28)/($E$28-$D$28+1))-COS(PI()*(AM$3-$D$28+1)/($E$28-$D$28+1)))/2,1/($E$28-$D$28+1)),0)+IF(AND(AM$3&gt;=$D$30,AM$3&lt;=$E$30),$I$30*IF($F$30="S-Curve",(COS(PI()*(AM$3-$D$30)/($E$30-$D$30+1))-COS(PI()*(AM$3-$D$30+1)/($E$30-$D$30+1)))/2,1/($E$30-$D$30+1)),0)+IF(AND(AM$3&gt;=$D$31,AM$3&lt;=$E$31),$I$31*IF($F$31="S-Curve",(COS(PI()*(AM$3-$D$31)/($E$31-$D$31+1))-COS(PI()*(AM$3-$D$31+1)/($E$31-$D$31+1)))/2,1/($E$31-$D$31+1)),0)+IF(AND(AM$3&gt;=$D$32,AM$3&lt;=$E$32),$I$32*IF($F$32="S-Curve",(COS(PI()*(AM$3-$D$32)/($E$32-$D$32+1))-COS(PI()*(AM$3-$D$32+1)/($E$32-$D$32+1)))/2,1/($E$32-$D$32+1)),0)+IF(AND(AM$3&gt;=$D$33,AM$3&lt;=$E$33),$I$33*IF($F$33="S-Curve",(COS(PI()*(AM$3-$D$33)/($E$33-$D$33+1))-COS(PI()*(AM$3-$D$33+1)/($E$33-$D$33+1)))/2,1/($E$33-$D$33+1)),0)+IF(AND(AM$3&gt;=$D$34,AM$3&lt;=$E$34),$I$34*IF($F$34="S-Curve",(COS(PI()*(AM$3-$D$34)/($E$34-$D$34+1))-COS(PI()*(AM$3-$D$34+1)/($E$34-$D$34+1)))/2,1/($E$34-$D$34+1)),0)+IF(AND(AM$3&gt;=$D$35,AM$3&lt;=$E$35),$I$35*IF($F$35="S-Curve",(COS(PI()*(AM$3-$D$35)/($E$35-$D$35+1))-COS(PI()*(AM$3-$D$35+1)/($E$35-$D$35+1)))/2,1/($E$35-$D$35+1)),0)</f>
        <v>0</v>
      </c>
      <c r="AN150" s="7" t="n">
        <f aca="false">IF(AND(AN$3&gt;=$D$27,AN$3&lt;=$E$27),$I$27*IF($F$27="S-Curve",(COS(PI()*(AN$3-$D$27)/($E$27-$D$27+1))-COS(PI()*(AN$3-$D$27+1)/($E$27-$D$27+1)))/2,1/($E$27-$D$27+1)),0)+IF(AND(AN$3&gt;=$D$28,AN$3&lt;=$E$28),$I$28*IF($F$28="S-Curve",(COS(PI()*(AN$3-$D$28)/($E$28-$D$28+1))-COS(PI()*(AN$3-$D$28+1)/($E$28-$D$28+1)))/2,1/($E$28-$D$28+1)),0)+IF(AND(AN$3&gt;=$D$30,AN$3&lt;=$E$30),$I$30*IF($F$30="S-Curve",(COS(PI()*(AN$3-$D$30)/($E$30-$D$30+1))-COS(PI()*(AN$3-$D$30+1)/($E$30-$D$30+1)))/2,1/($E$30-$D$30+1)),0)+IF(AND(AN$3&gt;=$D$31,AN$3&lt;=$E$31),$I$31*IF($F$31="S-Curve",(COS(PI()*(AN$3-$D$31)/($E$31-$D$31+1))-COS(PI()*(AN$3-$D$31+1)/($E$31-$D$31+1)))/2,1/($E$31-$D$31+1)),0)+IF(AND(AN$3&gt;=$D$32,AN$3&lt;=$E$32),$I$32*IF($F$32="S-Curve",(COS(PI()*(AN$3-$D$32)/($E$32-$D$32+1))-COS(PI()*(AN$3-$D$32+1)/($E$32-$D$32+1)))/2,1/($E$32-$D$32+1)),0)+IF(AND(AN$3&gt;=$D$33,AN$3&lt;=$E$33),$I$33*IF($F$33="S-Curve",(COS(PI()*(AN$3-$D$33)/($E$33-$D$33+1))-COS(PI()*(AN$3-$D$33+1)/($E$33-$D$33+1)))/2,1/($E$33-$D$33+1)),0)+IF(AND(AN$3&gt;=$D$34,AN$3&lt;=$E$34),$I$34*IF($F$34="S-Curve",(COS(PI()*(AN$3-$D$34)/($E$34-$D$34+1))-COS(PI()*(AN$3-$D$34+1)/($E$34-$D$34+1)))/2,1/($E$34-$D$34+1)),0)+IF(AND(AN$3&gt;=$D$35,AN$3&lt;=$E$35),$I$35*IF($F$35="S-Curve",(COS(PI()*(AN$3-$D$35)/($E$35-$D$35+1))-COS(PI()*(AN$3-$D$35+1)/($E$35-$D$35+1)))/2,1/($E$35-$D$35+1)),0)</f>
        <v>0</v>
      </c>
      <c r="AO150" s="7" t="n">
        <f aca="false">IF(AND(AO$3&gt;=$D$27,AO$3&lt;=$E$27),$I$27*IF($F$27="S-Curve",(COS(PI()*(AO$3-$D$27)/($E$27-$D$27+1))-COS(PI()*(AO$3-$D$27+1)/($E$27-$D$27+1)))/2,1/($E$27-$D$27+1)),0)+IF(AND(AO$3&gt;=$D$28,AO$3&lt;=$E$28),$I$28*IF($F$28="S-Curve",(COS(PI()*(AO$3-$D$28)/($E$28-$D$28+1))-COS(PI()*(AO$3-$D$28+1)/($E$28-$D$28+1)))/2,1/($E$28-$D$28+1)),0)+IF(AND(AO$3&gt;=$D$30,AO$3&lt;=$E$30),$I$30*IF($F$30="S-Curve",(COS(PI()*(AO$3-$D$30)/($E$30-$D$30+1))-COS(PI()*(AO$3-$D$30+1)/($E$30-$D$30+1)))/2,1/($E$30-$D$30+1)),0)+IF(AND(AO$3&gt;=$D$31,AO$3&lt;=$E$31),$I$31*IF($F$31="S-Curve",(COS(PI()*(AO$3-$D$31)/($E$31-$D$31+1))-COS(PI()*(AO$3-$D$31+1)/($E$31-$D$31+1)))/2,1/($E$31-$D$31+1)),0)+IF(AND(AO$3&gt;=$D$32,AO$3&lt;=$E$32),$I$32*IF($F$32="S-Curve",(COS(PI()*(AO$3-$D$32)/($E$32-$D$32+1))-COS(PI()*(AO$3-$D$32+1)/($E$32-$D$32+1)))/2,1/($E$32-$D$32+1)),0)+IF(AND(AO$3&gt;=$D$33,AO$3&lt;=$E$33),$I$33*IF($F$33="S-Curve",(COS(PI()*(AO$3-$D$33)/($E$33-$D$33+1))-COS(PI()*(AO$3-$D$33+1)/($E$33-$D$33+1)))/2,1/($E$33-$D$33+1)),0)+IF(AND(AO$3&gt;=$D$34,AO$3&lt;=$E$34),$I$34*IF($F$34="S-Curve",(COS(PI()*(AO$3-$D$34)/($E$34-$D$34+1))-COS(PI()*(AO$3-$D$34+1)/($E$34-$D$34+1)))/2,1/($E$34-$D$34+1)),0)+IF(AND(AO$3&gt;=$D$35,AO$3&lt;=$E$35),$I$35*IF($F$35="S-Curve",(COS(PI()*(AO$3-$D$35)/($E$35-$D$35+1))-COS(PI()*(AO$3-$D$35+1)/($E$35-$D$35+1)))/2,1/($E$35-$D$35+1)),0)</f>
        <v>0</v>
      </c>
      <c r="AP150" s="7" t="n">
        <f aca="false">IF(AND(AP$3&gt;=$D$27,AP$3&lt;=$E$27),$I$27*IF($F$27="S-Curve",(COS(PI()*(AP$3-$D$27)/($E$27-$D$27+1))-COS(PI()*(AP$3-$D$27+1)/($E$27-$D$27+1)))/2,1/($E$27-$D$27+1)),0)+IF(AND(AP$3&gt;=$D$28,AP$3&lt;=$E$28),$I$28*IF($F$28="S-Curve",(COS(PI()*(AP$3-$D$28)/($E$28-$D$28+1))-COS(PI()*(AP$3-$D$28+1)/($E$28-$D$28+1)))/2,1/($E$28-$D$28+1)),0)+IF(AND(AP$3&gt;=$D$30,AP$3&lt;=$E$30),$I$30*IF($F$30="S-Curve",(COS(PI()*(AP$3-$D$30)/($E$30-$D$30+1))-COS(PI()*(AP$3-$D$30+1)/($E$30-$D$30+1)))/2,1/($E$30-$D$30+1)),0)+IF(AND(AP$3&gt;=$D$31,AP$3&lt;=$E$31),$I$31*IF($F$31="S-Curve",(COS(PI()*(AP$3-$D$31)/($E$31-$D$31+1))-COS(PI()*(AP$3-$D$31+1)/($E$31-$D$31+1)))/2,1/($E$31-$D$31+1)),0)+IF(AND(AP$3&gt;=$D$32,AP$3&lt;=$E$32),$I$32*IF($F$32="S-Curve",(COS(PI()*(AP$3-$D$32)/($E$32-$D$32+1))-COS(PI()*(AP$3-$D$32+1)/($E$32-$D$32+1)))/2,1/($E$32-$D$32+1)),0)+IF(AND(AP$3&gt;=$D$33,AP$3&lt;=$E$33),$I$33*IF($F$33="S-Curve",(COS(PI()*(AP$3-$D$33)/($E$33-$D$33+1))-COS(PI()*(AP$3-$D$33+1)/($E$33-$D$33+1)))/2,1/($E$33-$D$33+1)),0)+IF(AND(AP$3&gt;=$D$34,AP$3&lt;=$E$34),$I$34*IF($F$34="S-Curve",(COS(PI()*(AP$3-$D$34)/($E$34-$D$34+1))-COS(PI()*(AP$3-$D$34+1)/($E$34-$D$34+1)))/2,1/($E$34-$D$34+1)),0)+IF(AND(AP$3&gt;=$D$35,AP$3&lt;=$E$35),$I$35*IF($F$35="S-Curve",(COS(PI()*(AP$3-$D$35)/($E$35-$D$35+1))-COS(PI()*(AP$3-$D$35+1)/($E$35-$D$35+1)))/2,1/($E$35-$D$35+1)),0)</f>
        <v>0</v>
      </c>
      <c r="AQ150" s="7" t="n">
        <f aca="false">IF(AND(AQ$3&gt;=$D$27,AQ$3&lt;=$E$27),$I$27*IF($F$27="S-Curve",(COS(PI()*(AQ$3-$D$27)/($E$27-$D$27+1))-COS(PI()*(AQ$3-$D$27+1)/($E$27-$D$27+1)))/2,1/($E$27-$D$27+1)),0)+IF(AND(AQ$3&gt;=$D$28,AQ$3&lt;=$E$28),$I$28*IF($F$28="S-Curve",(COS(PI()*(AQ$3-$D$28)/($E$28-$D$28+1))-COS(PI()*(AQ$3-$D$28+1)/($E$28-$D$28+1)))/2,1/($E$28-$D$28+1)),0)+IF(AND(AQ$3&gt;=$D$30,AQ$3&lt;=$E$30),$I$30*IF($F$30="S-Curve",(COS(PI()*(AQ$3-$D$30)/($E$30-$D$30+1))-COS(PI()*(AQ$3-$D$30+1)/($E$30-$D$30+1)))/2,1/($E$30-$D$30+1)),0)+IF(AND(AQ$3&gt;=$D$31,AQ$3&lt;=$E$31),$I$31*IF($F$31="S-Curve",(COS(PI()*(AQ$3-$D$31)/($E$31-$D$31+1))-COS(PI()*(AQ$3-$D$31+1)/($E$31-$D$31+1)))/2,1/($E$31-$D$31+1)),0)+IF(AND(AQ$3&gt;=$D$32,AQ$3&lt;=$E$32),$I$32*IF($F$32="S-Curve",(COS(PI()*(AQ$3-$D$32)/($E$32-$D$32+1))-COS(PI()*(AQ$3-$D$32+1)/($E$32-$D$32+1)))/2,1/($E$32-$D$32+1)),0)+IF(AND(AQ$3&gt;=$D$33,AQ$3&lt;=$E$33),$I$33*IF($F$33="S-Curve",(COS(PI()*(AQ$3-$D$33)/($E$33-$D$33+1))-COS(PI()*(AQ$3-$D$33+1)/($E$33-$D$33+1)))/2,1/($E$33-$D$33+1)),0)+IF(AND(AQ$3&gt;=$D$34,AQ$3&lt;=$E$34),$I$34*IF($F$34="S-Curve",(COS(PI()*(AQ$3-$D$34)/($E$34-$D$34+1))-COS(PI()*(AQ$3-$D$34+1)/($E$34-$D$34+1)))/2,1/($E$34-$D$34+1)),0)+IF(AND(AQ$3&gt;=$D$35,AQ$3&lt;=$E$35),$I$35*IF($F$35="S-Curve",(COS(PI()*(AQ$3-$D$35)/($E$35-$D$35+1))-COS(PI()*(AQ$3-$D$35+1)/($E$35-$D$35+1)))/2,1/($E$35-$D$35+1)),0)</f>
        <v>0</v>
      </c>
      <c r="AR150" s="7" t="n">
        <f aca="false">IF(AND(AR$3&gt;=$D$27,AR$3&lt;=$E$27),$I$27*IF($F$27="S-Curve",(COS(PI()*(AR$3-$D$27)/($E$27-$D$27+1))-COS(PI()*(AR$3-$D$27+1)/($E$27-$D$27+1)))/2,1/($E$27-$D$27+1)),0)+IF(AND(AR$3&gt;=$D$28,AR$3&lt;=$E$28),$I$28*IF($F$28="S-Curve",(COS(PI()*(AR$3-$D$28)/($E$28-$D$28+1))-COS(PI()*(AR$3-$D$28+1)/($E$28-$D$28+1)))/2,1/($E$28-$D$28+1)),0)+IF(AND(AR$3&gt;=$D$30,AR$3&lt;=$E$30),$I$30*IF($F$30="S-Curve",(COS(PI()*(AR$3-$D$30)/($E$30-$D$30+1))-COS(PI()*(AR$3-$D$30+1)/($E$30-$D$30+1)))/2,1/($E$30-$D$30+1)),0)+IF(AND(AR$3&gt;=$D$31,AR$3&lt;=$E$31),$I$31*IF($F$31="S-Curve",(COS(PI()*(AR$3-$D$31)/($E$31-$D$31+1))-COS(PI()*(AR$3-$D$31+1)/($E$31-$D$31+1)))/2,1/($E$31-$D$31+1)),0)+IF(AND(AR$3&gt;=$D$32,AR$3&lt;=$E$32),$I$32*IF($F$32="S-Curve",(COS(PI()*(AR$3-$D$32)/($E$32-$D$32+1))-COS(PI()*(AR$3-$D$32+1)/($E$32-$D$32+1)))/2,1/($E$32-$D$32+1)),0)+IF(AND(AR$3&gt;=$D$33,AR$3&lt;=$E$33),$I$33*IF($F$33="S-Curve",(COS(PI()*(AR$3-$D$33)/($E$33-$D$33+1))-COS(PI()*(AR$3-$D$33+1)/($E$33-$D$33+1)))/2,1/($E$33-$D$33+1)),0)+IF(AND(AR$3&gt;=$D$34,AR$3&lt;=$E$34),$I$34*IF($F$34="S-Curve",(COS(PI()*(AR$3-$D$34)/($E$34-$D$34+1))-COS(PI()*(AR$3-$D$34+1)/($E$34-$D$34+1)))/2,1/($E$34-$D$34+1)),0)+IF(AND(AR$3&gt;=$D$35,AR$3&lt;=$E$35),$I$35*IF($F$35="S-Curve",(COS(PI()*(AR$3-$D$35)/($E$35-$D$35+1))-COS(PI()*(AR$3-$D$35+1)/($E$35-$D$35+1)))/2,1/($E$35-$D$35+1)),0)</f>
        <v>0</v>
      </c>
      <c r="AS150" s="7" t="n">
        <f aca="false">IF(AND(AS$3&gt;=$D$27,AS$3&lt;=$E$27),$I$27*IF($F$27="S-Curve",(COS(PI()*(AS$3-$D$27)/($E$27-$D$27+1))-COS(PI()*(AS$3-$D$27+1)/($E$27-$D$27+1)))/2,1/($E$27-$D$27+1)),0)+IF(AND(AS$3&gt;=$D$28,AS$3&lt;=$E$28),$I$28*IF($F$28="S-Curve",(COS(PI()*(AS$3-$D$28)/($E$28-$D$28+1))-COS(PI()*(AS$3-$D$28+1)/($E$28-$D$28+1)))/2,1/($E$28-$D$28+1)),0)+IF(AND(AS$3&gt;=$D$30,AS$3&lt;=$E$30),$I$30*IF($F$30="S-Curve",(COS(PI()*(AS$3-$D$30)/($E$30-$D$30+1))-COS(PI()*(AS$3-$D$30+1)/($E$30-$D$30+1)))/2,1/($E$30-$D$30+1)),0)+IF(AND(AS$3&gt;=$D$31,AS$3&lt;=$E$31),$I$31*IF($F$31="S-Curve",(COS(PI()*(AS$3-$D$31)/($E$31-$D$31+1))-COS(PI()*(AS$3-$D$31+1)/($E$31-$D$31+1)))/2,1/($E$31-$D$31+1)),0)+IF(AND(AS$3&gt;=$D$32,AS$3&lt;=$E$32),$I$32*IF($F$32="S-Curve",(COS(PI()*(AS$3-$D$32)/($E$32-$D$32+1))-COS(PI()*(AS$3-$D$32+1)/($E$32-$D$32+1)))/2,1/($E$32-$D$32+1)),0)+IF(AND(AS$3&gt;=$D$33,AS$3&lt;=$E$33),$I$33*IF($F$33="S-Curve",(COS(PI()*(AS$3-$D$33)/($E$33-$D$33+1))-COS(PI()*(AS$3-$D$33+1)/($E$33-$D$33+1)))/2,1/($E$33-$D$33+1)),0)+IF(AND(AS$3&gt;=$D$34,AS$3&lt;=$E$34),$I$34*IF($F$34="S-Curve",(COS(PI()*(AS$3-$D$34)/($E$34-$D$34+1))-COS(PI()*(AS$3-$D$34+1)/($E$34-$D$34+1)))/2,1/($E$34-$D$34+1)),0)+IF(AND(AS$3&gt;=$D$35,AS$3&lt;=$E$35),$I$35*IF($F$35="S-Curve",(COS(PI()*(AS$3-$D$35)/($E$35-$D$35+1))-COS(PI()*(AS$3-$D$35+1)/($E$35-$D$35+1)))/2,1/($E$35-$D$35+1)),0)</f>
        <v>0</v>
      </c>
      <c r="AT150" s="7" t="n">
        <f aca="false">IF(AND(AT$3&gt;=$D$27,AT$3&lt;=$E$27),$I$27*IF($F$27="S-Curve",(COS(PI()*(AT$3-$D$27)/($E$27-$D$27+1))-COS(PI()*(AT$3-$D$27+1)/($E$27-$D$27+1)))/2,1/($E$27-$D$27+1)),0)+IF(AND(AT$3&gt;=$D$28,AT$3&lt;=$E$28),$I$28*IF($F$28="S-Curve",(COS(PI()*(AT$3-$D$28)/($E$28-$D$28+1))-COS(PI()*(AT$3-$D$28+1)/($E$28-$D$28+1)))/2,1/($E$28-$D$28+1)),0)+IF(AND(AT$3&gt;=$D$30,AT$3&lt;=$E$30),$I$30*IF($F$30="S-Curve",(COS(PI()*(AT$3-$D$30)/($E$30-$D$30+1))-COS(PI()*(AT$3-$D$30+1)/($E$30-$D$30+1)))/2,1/($E$30-$D$30+1)),0)+IF(AND(AT$3&gt;=$D$31,AT$3&lt;=$E$31),$I$31*IF($F$31="S-Curve",(COS(PI()*(AT$3-$D$31)/($E$31-$D$31+1))-COS(PI()*(AT$3-$D$31+1)/($E$31-$D$31+1)))/2,1/($E$31-$D$31+1)),0)+IF(AND(AT$3&gt;=$D$32,AT$3&lt;=$E$32),$I$32*IF($F$32="S-Curve",(COS(PI()*(AT$3-$D$32)/($E$32-$D$32+1))-COS(PI()*(AT$3-$D$32+1)/($E$32-$D$32+1)))/2,1/($E$32-$D$32+1)),0)+IF(AND(AT$3&gt;=$D$33,AT$3&lt;=$E$33),$I$33*IF($F$33="S-Curve",(COS(PI()*(AT$3-$D$33)/($E$33-$D$33+1))-COS(PI()*(AT$3-$D$33+1)/($E$33-$D$33+1)))/2,1/($E$33-$D$33+1)),0)+IF(AND(AT$3&gt;=$D$34,AT$3&lt;=$E$34),$I$34*IF($F$34="S-Curve",(COS(PI()*(AT$3-$D$34)/($E$34-$D$34+1))-COS(PI()*(AT$3-$D$34+1)/($E$34-$D$34+1)))/2,1/($E$34-$D$34+1)),0)+IF(AND(AT$3&gt;=$D$35,AT$3&lt;=$E$35),$I$35*IF($F$35="S-Curve",(COS(PI()*(AT$3-$D$35)/($E$35-$D$35+1))-COS(PI()*(AT$3-$D$35+1)/($E$35-$D$35+1)))/2,1/($E$35-$D$35+1)),0)</f>
        <v>0</v>
      </c>
      <c r="AU150" s="7" t="n">
        <f aca="false">IF(AND(AU$3&gt;=$D$27,AU$3&lt;=$E$27),$I$27*IF($F$27="S-Curve",(COS(PI()*(AU$3-$D$27)/($E$27-$D$27+1))-COS(PI()*(AU$3-$D$27+1)/($E$27-$D$27+1)))/2,1/($E$27-$D$27+1)),0)+IF(AND(AU$3&gt;=$D$28,AU$3&lt;=$E$28),$I$28*IF($F$28="S-Curve",(COS(PI()*(AU$3-$D$28)/($E$28-$D$28+1))-COS(PI()*(AU$3-$D$28+1)/($E$28-$D$28+1)))/2,1/($E$28-$D$28+1)),0)+IF(AND(AU$3&gt;=$D$30,AU$3&lt;=$E$30),$I$30*IF($F$30="S-Curve",(COS(PI()*(AU$3-$D$30)/($E$30-$D$30+1))-COS(PI()*(AU$3-$D$30+1)/($E$30-$D$30+1)))/2,1/($E$30-$D$30+1)),0)+IF(AND(AU$3&gt;=$D$31,AU$3&lt;=$E$31),$I$31*IF($F$31="S-Curve",(COS(PI()*(AU$3-$D$31)/($E$31-$D$31+1))-COS(PI()*(AU$3-$D$31+1)/($E$31-$D$31+1)))/2,1/($E$31-$D$31+1)),0)+IF(AND(AU$3&gt;=$D$32,AU$3&lt;=$E$32),$I$32*IF($F$32="S-Curve",(COS(PI()*(AU$3-$D$32)/($E$32-$D$32+1))-COS(PI()*(AU$3-$D$32+1)/($E$32-$D$32+1)))/2,1/($E$32-$D$32+1)),0)+IF(AND(AU$3&gt;=$D$33,AU$3&lt;=$E$33),$I$33*IF($F$33="S-Curve",(COS(PI()*(AU$3-$D$33)/($E$33-$D$33+1))-COS(PI()*(AU$3-$D$33+1)/($E$33-$D$33+1)))/2,1/($E$33-$D$33+1)),0)+IF(AND(AU$3&gt;=$D$34,AU$3&lt;=$E$34),$I$34*IF($F$34="S-Curve",(COS(PI()*(AU$3-$D$34)/($E$34-$D$34+1))-COS(PI()*(AU$3-$D$34+1)/($E$34-$D$34+1)))/2,1/($E$34-$D$34+1)),0)+IF(AND(AU$3&gt;=$D$35,AU$3&lt;=$E$35),$I$35*IF($F$35="S-Curve",(COS(PI()*(AU$3-$D$35)/($E$35-$D$35+1))-COS(PI()*(AU$3-$D$35+1)/($E$35-$D$35+1)))/2,1/($E$35-$D$35+1)),0)</f>
        <v>0</v>
      </c>
      <c r="AV150" s="7" t="n">
        <f aca="false">IF(AND(AV$3&gt;=$D$27,AV$3&lt;=$E$27),$I$27*IF($F$27="S-Curve",(COS(PI()*(AV$3-$D$27)/($E$27-$D$27+1))-COS(PI()*(AV$3-$D$27+1)/($E$27-$D$27+1)))/2,1/($E$27-$D$27+1)),0)+IF(AND(AV$3&gt;=$D$28,AV$3&lt;=$E$28),$I$28*IF($F$28="S-Curve",(COS(PI()*(AV$3-$D$28)/($E$28-$D$28+1))-COS(PI()*(AV$3-$D$28+1)/($E$28-$D$28+1)))/2,1/($E$28-$D$28+1)),0)+IF(AND(AV$3&gt;=$D$30,AV$3&lt;=$E$30),$I$30*IF($F$30="S-Curve",(COS(PI()*(AV$3-$D$30)/($E$30-$D$30+1))-COS(PI()*(AV$3-$D$30+1)/($E$30-$D$30+1)))/2,1/($E$30-$D$30+1)),0)+IF(AND(AV$3&gt;=$D$31,AV$3&lt;=$E$31),$I$31*IF($F$31="S-Curve",(COS(PI()*(AV$3-$D$31)/($E$31-$D$31+1))-COS(PI()*(AV$3-$D$31+1)/($E$31-$D$31+1)))/2,1/($E$31-$D$31+1)),0)+IF(AND(AV$3&gt;=$D$32,AV$3&lt;=$E$32),$I$32*IF($F$32="S-Curve",(COS(PI()*(AV$3-$D$32)/($E$32-$D$32+1))-COS(PI()*(AV$3-$D$32+1)/($E$32-$D$32+1)))/2,1/($E$32-$D$32+1)),0)+IF(AND(AV$3&gt;=$D$33,AV$3&lt;=$E$33),$I$33*IF($F$33="S-Curve",(COS(PI()*(AV$3-$D$33)/($E$33-$D$33+1))-COS(PI()*(AV$3-$D$33+1)/($E$33-$D$33+1)))/2,1/($E$33-$D$33+1)),0)+IF(AND(AV$3&gt;=$D$34,AV$3&lt;=$E$34),$I$34*IF($F$34="S-Curve",(COS(PI()*(AV$3-$D$34)/($E$34-$D$34+1))-COS(PI()*(AV$3-$D$34+1)/($E$34-$D$34+1)))/2,1/($E$34-$D$34+1)),0)+IF(AND(AV$3&gt;=$D$35,AV$3&lt;=$E$35),$I$35*IF($F$35="S-Curve",(COS(PI()*(AV$3-$D$35)/($E$35-$D$35+1))-COS(PI()*(AV$3-$D$35+1)/($E$35-$D$35+1)))/2,1/($E$35-$D$35+1)),0)</f>
        <v>0</v>
      </c>
      <c r="AW150" s="7" t="n">
        <f aca="false">IF(AND(AW$3&gt;=$D$27,AW$3&lt;=$E$27),$I$27*IF($F$27="S-Curve",(COS(PI()*(AW$3-$D$27)/($E$27-$D$27+1))-COS(PI()*(AW$3-$D$27+1)/($E$27-$D$27+1)))/2,1/($E$27-$D$27+1)),0)+IF(AND(AW$3&gt;=$D$28,AW$3&lt;=$E$28),$I$28*IF($F$28="S-Curve",(COS(PI()*(AW$3-$D$28)/($E$28-$D$28+1))-COS(PI()*(AW$3-$D$28+1)/($E$28-$D$28+1)))/2,1/($E$28-$D$28+1)),0)+IF(AND(AW$3&gt;=$D$30,AW$3&lt;=$E$30),$I$30*IF($F$30="S-Curve",(COS(PI()*(AW$3-$D$30)/($E$30-$D$30+1))-COS(PI()*(AW$3-$D$30+1)/($E$30-$D$30+1)))/2,1/($E$30-$D$30+1)),0)+IF(AND(AW$3&gt;=$D$31,AW$3&lt;=$E$31),$I$31*IF($F$31="S-Curve",(COS(PI()*(AW$3-$D$31)/($E$31-$D$31+1))-COS(PI()*(AW$3-$D$31+1)/($E$31-$D$31+1)))/2,1/($E$31-$D$31+1)),0)+IF(AND(AW$3&gt;=$D$32,AW$3&lt;=$E$32),$I$32*IF($F$32="S-Curve",(COS(PI()*(AW$3-$D$32)/($E$32-$D$32+1))-COS(PI()*(AW$3-$D$32+1)/($E$32-$D$32+1)))/2,1/($E$32-$D$32+1)),0)+IF(AND(AW$3&gt;=$D$33,AW$3&lt;=$E$33),$I$33*IF($F$33="S-Curve",(COS(PI()*(AW$3-$D$33)/($E$33-$D$33+1))-COS(PI()*(AW$3-$D$33+1)/($E$33-$D$33+1)))/2,1/($E$33-$D$33+1)),0)+IF(AND(AW$3&gt;=$D$34,AW$3&lt;=$E$34),$I$34*IF($F$34="S-Curve",(COS(PI()*(AW$3-$D$34)/($E$34-$D$34+1))-COS(PI()*(AW$3-$D$34+1)/($E$34-$D$34+1)))/2,1/($E$34-$D$34+1)),0)+IF(AND(AW$3&gt;=$D$35,AW$3&lt;=$E$35),$I$35*IF($F$35="S-Curve",(COS(PI()*(AW$3-$D$35)/($E$35-$D$35+1))-COS(PI()*(AW$3-$D$35+1)/($E$35-$D$35+1)))/2,1/($E$35-$D$35+1)),0)</f>
        <v>0</v>
      </c>
      <c r="AX150" s="7" t="n">
        <f aca="false">IF(AND(AX$3&gt;=$D$27,AX$3&lt;=$E$27),$I$27*IF($F$27="S-Curve",(COS(PI()*(AX$3-$D$27)/($E$27-$D$27+1))-COS(PI()*(AX$3-$D$27+1)/($E$27-$D$27+1)))/2,1/($E$27-$D$27+1)),0)+IF(AND(AX$3&gt;=$D$28,AX$3&lt;=$E$28),$I$28*IF($F$28="S-Curve",(COS(PI()*(AX$3-$D$28)/($E$28-$D$28+1))-COS(PI()*(AX$3-$D$28+1)/($E$28-$D$28+1)))/2,1/($E$28-$D$28+1)),0)+IF(AND(AX$3&gt;=$D$30,AX$3&lt;=$E$30),$I$30*IF($F$30="S-Curve",(COS(PI()*(AX$3-$D$30)/($E$30-$D$30+1))-COS(PI()*(AX$3-$D$30+1)/($E$30-$D$30+1)))/2,1/($E$30-$D$30+1)),0)+IF(AND(AX$3&gt;=$D$31,AX$3&lt;=$E$31),$I$31*IF($F$31="S-Curve",(COS(PI()*(AX$3-$D$31)/($E$31-$D$31+1))-COS(PI()*(AX$3-$D$31+1)/($E$31-$D$31+1)))/2,1/($E$31-$D$31+1)),0)+IF(AND(AX$3&gt;=$D$32,AX$3&lt;=$E$32),$I$32*IF($F$32="S-Curve",(COS(PI()*(AX$3-$D$32)/($E$32-$D$32+1))-COS(PI()*(AX$3-$D$32+1)/($E$32-$D$32+1)))/2,1/($E$32-$D$32+1)),0)+IF(AND(AX$3&gt;=$D$33,AX$3&lt;=$E$33),$I$33*IF($F$33="S-Curve",(COS(PI()*(AX$3-$D$33)/($E$33-$D$33+1))-COS(PI()*(AX$3-$D$33+1)/($E$33-$D$33+1)))/2,1/($E$33-$D$33+1)),0)+IF(AND(AX$3&gt;=$D$34,AX$3&lt;=$E$34),$I$34*IF($F$34="S-Curve",(COS(PI()*(AX$3-$D$34)/($E$34-$D$34+1))-COS(PI()*(AX$3-$D$34+1)/($E$34-$D$34+1)))/2,1/($E$34-$D$34+1)),0)+IF(AND(AX$3&gt;=$D$35,AX$3&lt;=$E$35),$I$35*IF($F$35="S-Curve",(COS(PI()*(AX$3-$D$35)/($E$35-$D$35+1))-COS(PI()*(AX$3-$D$35+1)/($E$35-$D$35+1)))/2,1/($E$35-$D$35+1)),0)</f>
        <v>0</v>
      </c>
      <c r="AY150" s="7" t="n">
        <f aca="false">IF(AND(AY$3&gt;=$D$27,AY$3&lt;=$E$27),$I$27*IF($F$27="S-Curve",(COS(PI()*(AY$3-$D$27)/($E$27-$D$27+1))-COS(PI()*(AY$3-$D$27+1)/($E$27-$D$27+1)))/2,1/($E$27-$D$27+1)),0)+IF(AND(AY$3&gt;=$D$28,AY$3&lt;=$E$28),$I$28*IF($F$28="S-Curve",(COS(PI()*(AY$3-$D$28)/($E$28-$D$28+1))-COS(PI()*(AY$3-$D$28+1)/($E$28-$D$28+1)))/2,1/($E$28-$D$28+1)),0)+IF(AND(AY$3&gt;=$D$30,AY$3&lt;=$E$30),$I$30*IF($F$30="S-Curve",(COS(PI()*(AY$3-$D$30)/($E$30-$D$30+1))-COS(PI()*(AY$3-$D$30+1)/($E$30-$D$30+1)))/2,1/($E$30-$D$30+1)),0)+IF(AND(AY$3&gt;=$D$31,AY$3&lt;=$E$31),$I$31*IF($F$31="S-Curve",(COS(PI()*(AY$3-$D$31)/($E$31-$D$31+1))-COS(PI()*(AY$3-$D$31+1)/($E$31-$D$31+1)))/2,1/($E$31-$D$31+1)),0)+IF(AND(AY$3&gt;=$D$32,AY$3&lt;=$E$32),$I$32*IF($F$32="S-Curve",(COS(PI()*(AY$3-$D$32)/($E$32-$D$32+1))-COS(PI()*(AY$3-$D$32+1)/($E$32-$D$32+1)))/2,1/($E$32-$D$32+1)),0)+IF(AND(AY$3&gt;=$D$33,AY$3&lt;=$E$33),$I$33*IF($F$33="S-Curve",(COS(PI()*(AY$3-$D$33)/($E$33-$D$33+1))-COS(PI()*(AY$3-$D$33+1)/($E$33-$D$33+1)))/2,1/($E$33-$D$33+1)),0)+IF(AND(AY$3&gt;=$D$34,AY$3&lt;=$E$34),$I$34*IF($F$34="S-Curve",(COS(PI()*(AY$3-$D$34)/($E$34-$D$34+1))-COS(PI()*(AY$3-$D$34+1)/($E$34-$D$34+1)))/2,1/($E$34-$D$34+1)),0)+IF(AND(AY$3&gt;=$D$35,AY$3&lt;=$E$35),$I$35*IF($F$35="S-Curve",(COS(PI()*(AY$3-$D$35)/($E$35-$D$35+1))-COS(PI()*(AY$3-$D$35+1)/($E$35-$D$35+1)))/2,1/($E$35-$D$35+1)),0)</f>
        <v>0</v>
      </c>
      <c r="AZ150" s="7" t="n">
        <f aca="false">IF(AND(AZ$3&gt;=$D$27,AZ$3&lt;=$E$27),$I$27*IF($F$27="S-Curve",(COS(PI()*(AZ$3-$D$27)/($E$27-$D$27+1))-COS(PI()*(AZ$3-$D$27+1)/($E$27-$D$27+1)))/2,1/($E$27-$D$27+1)),0)+IF(AND(AZ$3&gt;=$D$28,AZ$3&lt;=$E$28),$I$28*IF($F$28="S-Curve",(COS(PI()*(AZ$3-$D$28)/($E$28-$D$28+1))-COS(PI()*(AZ$3-$D$28+1)/($E$28-$D$28+1)))/2,1/($E$28-$D$28+1)),0)+IF(AND(AZ$3&gt;=$D$30,AZ$3&lt;=$E$30),$I$30*IF($F$30="S-Curve",(COS(PI()*(AZ$3-$D$30)/($E$30-$D$30+1))-COS(PI()*(AZ$3-$D$30+1)/($E$30-$D$30+1)))/2,1/($E$30-$D$30+1)),0)+IF(AND(AZ$3&gt;=$D$31,AZ$3&lt;=$E$31),$I$31*IF($F$31="S-Curve",(COS(PI()*(AZ$3-$D$31)/($E$31-$D$31+1))-COS(PI()*(AZ$3-$D$31+1)/($E$31-$D$31+1)))/2,1/($E$31-$D$31+1)),0)+IF(AND(AZ$3&gt;=$D$32,AZ$3&lt;=$E$32),$I$32*IF($F$32="S-Curve",(COS(PI()*(AZ$3-$D$32)/($E$32-$D$32+1))-COS(PI()*(AZ$3-$D$32+1)/($E$32-$D$32+1)))/2,1/($E$32-$D$32+1)),0)+IF(AND(AZ$3&gt;=$D$33,AZ$3&lt;=$E$33),$I$33*IF($F$33="S-Curve",(COS(PI()*(AZ$3-$D$33)/($E$33-$D$33+1))-COS(PI()*(AZ$3-$D$33+1)/($E$33-$D$33+1)))/2,1/($E$33-$D$33+1)),0)+IF(AND(AZ$3&gt;=$D$34,AZ$3&lt;=$E$34),$I$34*IF($F$34="S-Curve",(COS(PI()*(AZ$3-$D$34)/($E$34-$D$34+1))-COS(PI()*(AZ$3-$D$34+1)/($E$34-$D$34+1)))/2,1/($E$34-$D$34+1)),0)+IF(AND(AZ$3&gt;=$D$35,AZ$3&lt;=$E$35),$I$35*IF($F$35="S-Curve",(COS(PI()*(AZ$3-$D$35)/($E$35-$D$35+1))-COS(PI()*(AZ$3-$D$35+1)/($E$35-$D$35+1)))/2,1/($E$35-$D$35+1)),0)</f>
        <v>0</v>
      </c>
      <c r="BA150" s="7" t="n">
        <f aca="false">IF(AND(BA$3&gt;=$D$27,BA$3&lt;=$E$27),$I$27*IF($F$27="S-Curve",(COS(PI()*(BA$3-$D$27)/($E$27-$D$27+1))-COS(PI()*(BA$3-$D$27+1)/($E$27-$D$27+1)))/2,1/($E$27-$D$27+1)),0)+IF(AND(BA$3&gt;=$D$28,BA$3&lt;=$E$28),$I$28*IF($F$28="S-Curve",(COS(PI()*(BA$3-$D$28)/($E$28-$D$28+1))-COS(PI()*(BA$3-$D$28+1)/($E$28-$D$28+1)))/2,1/($E$28-$D$28+1)),0)+IF(AND(BA$3&gt;=$D$30,BA$3&lt;=$E$30),$I$30*IF($F$30="S-Curve",(COS(PI()*(BA$3-$D$30)/($E$30-$D$30+1))-COS(PI()*(BA$3-$D$30+1)/($E$30-$D$30+1)))/2,1/($E$30-$D$30+1)),0)+IF(AND(BA$3&gt;=$D$31,BA$3&lt;=$E$31),$I$31*IF($F$31="S-Curve",(COS(PI()*(BA$3-$D$31)/($E$31-$D$31+1))-COS(PI()*(BA$3-$D$31+1)/($E$31-$D$31+1)))/2,1/($E$31-$D$31+1)),0)+IF(AND(BA$3&gt;=$D$32,BA$3&lt;=$E$32),$I$32*IF($F$32="S-Curve",(COS(PI()*(BA$3-$D$32)/($E$32-$D$32+1))-COS(PI()*(BA$3-$D$32+1)/($E$32-$D$32+1)))/2,1/($E$32-$D$32+1)),0)+IF(AND(BA$3&gt;=$D$33,BA$3&lt;=$E$33),$I$33*IF($F$33="S-Curve",(COS(PI()*(BA$3-$D$33)/($E$33-$D$33+1))-COS(PI()*(BA$3-$D$33+1)/($E$33-$D$33+1)))/2,1/($E$33-$D$33+1)),0)+IF(AND(BA$3&gt;=$D$34,BA$3&lt;=$E$34),$I$34*IF($F$34="S-Curve",(COS(PI()*(BA$3-$D$34)/($E$34-$D$34+1))-COS(PI()*(BA$3-$D$34+1)/($E$34-$D$34+1)))/2,1/($E$34-$D$34+1)),0)+IF(AND(BA$3&gt;=$D$35,BA$3&lt;=$E$35),$I$35*IF($F$35="S-Curve",(COS(PI()*(BA$3-$D$35)/($E$35-$D$35+1))-COS(PI()*(BA$3-$D$35+1)/($E$35-$D$35+1)))/2,1/($E$35-$D$35+1)),0)</f>
        <v>0</v>
      </c>
      <c r="BB150" s="7" t="n">
        <f aca="false">IF(AND(BB$3&gt;=$D$27,BB$3&lt;=$E$27),$I$27*IF($F$27="S-Curve",(COS(PI()*(BB$3-$D$27)/($E$27-$D$27+1))-COS(PI()*(BB$3-$D$27+1)/($E$27-$D$27+1)))/2,1/($E$27-$D$27+1)),0)+IF(AND(BB$3&gt;=$D$28,BB$3&lt;=$E$28),$I$28*IF($F$28="S-Curve",(COS(PI()*(BB$3-$D$28)/($E$28-$D$28+1))-COS(PI()*(BB$3-$D$28+1)/($E$28-$D$28+1)))/2,1/($E$28-$D$28+1)),0)+IF(AND(BB$3&gt;=$D$30,BB$3&lt;=$E$30),$I$30*IF($F$30="S-Curve",(COS(PI()*(BB$3-$D$30)/($E$30-$D$30+1))-COS(PI()*(BB$3-$D$30+1)/($E$30-$D$30+1)))/2,1/($E$30-$D$30+1)),0)+IF(AND(BB$3&gt;=$D$31,BB$3&lt;=$E$31),$I$31*IF($F$31="S-Curve",(COS(PI()*(BB$3-$D$31)/($E$31-$D$31+1))-COS(PI()*(BB$3-$D$31+1)/($E$31-$D$31+1)))/2,1/($E$31-$D$31+1)),0)+IF(AND(BB$3&gt;=$D$32,BB$3&lt;=$E$32),$I$32*IF($F$32="S-Curve",(COS(PI()*(BB$3-$D$32)/($E$32-$D$32+1))-COS(PI()*(BB$3-$D$32+1)/($E$32-$D$32+1)))/2,1/($E$32-$D$32+1)),0)+IF(AND(BB$3&gt;=$D$33,BB$3&lt;=$E$33),$I$33*IF($F$33="S-Curve",(COS(PI()*(BB$3-$D$33)/($E$33-$D$33+1))-COS(PI()*(BB$3-$D$33+1)/($E$33-$D$33+1)))/2,1/($E$33-$D$33+1)),0)+IF(AND(BB$3&gt;=$D$34,BB$3&lt;=$E$34),$I$34*IF($F$34="S-Curve",(COS(PI()*(BB$3-$D$34)/($E$34-$D$34+1))-COS(PI()*(BB$3-$D$34+1)/($E$34-$D$34+1)))/2,1/($E$34-$D$34+1)),0)+IF(AND(BB$3&gt;=$D$35,BB$3&lt;=$E$35),$I$35*IF($F$35="S-Curve",(COS(PI()*(BB$3-$D$35)/($E$35-$D$35+1))-COS(PI()*(BB$3-$D$35+1)/($E$35-$D$35+1)))/2,1/($E$35-$D$35+1)),0)</f>
        <v>0</v>
      </c>
      <c r="BC150" s="7" t="n">
        <f aca="false">IF(AND(BC$3&gt;=$D$27,BC$3&lt;=$E$27),$I$27*IF($F$27="S-Curve",(COS(PI()*(BC$3-$D$27)/($E$27-$D$27+1))-COS(PI()*(BC$3-$D$27+1)/($E$27-$D$27+1)))/2,1/($E$27-$D$27+1)),0)+IF(AND(BC$3&gt;=$D$28,BC$3&lt;=$E$28),$I$28*IF($F$28="S-Curve",(COS(PI()*(BC$3-$D$28)/($E$28-$D$28+1))-COS(PI()*(BC$3-$D$28+1)/($E$28-$D$28+1)))/2,1/($E$28-$D$28+1)),0)+IF(AND(BC$3&gt;=$D$30,BC$3&lt;=$E$30),$I$30*IF($F$30="S-Curve",(COS(PI()*(BC$3-$D$30)/($E$30-$D$30+1))-COS(PI()*(BC$3-$D$30+1)/($E$30-$D$30+1)))/2,1/($E$30-$D$30+1)),0)+IF(AND(BC$3&gt;=$D$31,BC$3&lt;=$E$31),$I$31*IF($F$31="S-Curve",(COS(PI()*(BC$3-$D$31)/($E$31-$D$31+1))-COS(PI()*(BC$3-$D$31+1)/($E$31-$D$31+1)))/2,1/($E$31-$D$31+1)),0)+IF(AND(BC$3&gt;=$D$32,BC$3&lt;=$E$32),$I$32*IF($F$32="S-Curve",(COS(PI()*(BC$3-$D$32)/($E$32-$D$32+1))-COS(PI()*(BC$3-$D$32+1)/($E$32-$D$32+1)))/2,1/($E$32-$D$32+1)),0)+IF(AND(BC$3&gt;=$D$33,BC$3&lt;=$E$33),$I$33*IF($F$33="S-Curve",(COS(PI()*(BC$3-$D$33)/($E$33-$D$33+1))-COS(PI()*(BC$3-$D$33+1)/($E$33-$D$33+1)))/2,1/($E$33-$D$33+1)),0)+IF(AND(BC$3&gt;=$D$34,BC$3&lt;=$E$34),$I$34*IF($F$34="S-Curve",(COS(PI()*(BC$3-$D$34)/($E$34-$D$34+1))-COS(PI()*(BC$3-$D$34+1)/($E$34-$D$34+1)))/2,1/($E$34-$D$34+1)),0)+IF(AND(BC$3&gt;=$D$35,BC$3&lt;=$E$35),$I$35*IF($F$35="S-Curve",(COS(PI()*(BC$3-$D$35)/($E$35-$D$35+1))-COS(PI()*(BC$3-$D$35+1)/($E$35-$D$35+1)))/2,1/($E$35-$D$35+1)),0)</f>
        <v>0</v>
      </c>
      <c r="BD150" s="7" t="n">
        <f aca="false">IF(AND(BD$3&gt;=$D$27,BD$3&lt;=$E$27),$I$27*IF($F$27="S-Curve",(COS(PI()*(BD$3-$D$27)/($E$27-$D$27+1))-COS(PI()*(BD$3-$D$27+1)/($E$27-$D$27+1)))/2,1/($E$27-$D$27+1)),0)+IF(AND(BD$3&gt;=$D$28,BD$3&lt;=$E$28),$I$28*IF($F$28="S-Curve",(COS(PI()*(BD$3-$D$28)/($E$28-$D$28+1))-COS(PI()*(BD$3-$D$28+1)/($E$28-$D$28+1)))/2,1/($E$28-$D$28+1)),0)+IF(AND(BD$3&gt;=$D$30,BD$3&lt;=$E$30),$I$30*IF($F$30="S-Curve",(COS(PI()*(BD$3-$D$30)/($E$30-$D$30+1))-COS(PI()*(BD$3-$D$30+1)/($E$30-$D$30+1)))/2,1/($E$30-$D$30+1)),0)+IF(AND(BD$3&gt;=$D$31,BD$3&lt;=$E$31),$I$31*IF($F$31="S-Curve",(COS(PI()*(BD$3-$D$31)/($E$31-$D$31+1))-COS(PI()*(BD$3-$D$31+1)/($E$31-$D$31+1)))/2,1/($E$31-$D$31+1)),0)+IF(AND(BD$3&gt;=$D$32,BD$3&lt;=$E$32),$I$32*IF($F$32="S-Curve",(COS(PI()*(BD$3-$D$32)/($E$32-$D$32+1))-COS(PI()*(BD$3-$D$32+1)/($E$32-$D$32+1)))/2,1/($E$32-$D$32+1)),0)+IF(AND(BD$3&gt;=$D$33,BD$3&lt;=$E$33),$I$33*IF($F$33="S-Curve",(COS(PI()*(BD$3-$D$33)/($E$33-$D$33+1))-COS(PI()*(BD$3-$D$33+1)/($E$33-$D$33+1)))/2,1/($E$33-$D$33+1)),0)+IF(AND(BD$3&gt;=$D$34,BD$3&lt;=$E$34),$I$34*IF($F$34="S-Curve",(COS(PI()*(BD$3-$D$34)/($E$34-$D$34+1))-COS(PI()*(BD$3-$D$34+1)/($E$34-$D$34+1)))/2,1/($E$34-$D$34+1)),0)+IF(AND(BD$3&gt;=$D$35,BD$3&lt;=$E$35),$I$35*IF($F$35="S-Curve",(COS(PI()*(BD$3-$D$35)/($E$35-$D$35+1))-COS(PI()*(BD$3-$D$35+1)/($E$35-$D$35+1)))/2,1/($E$35-$D$35+1)),0)</f>
        <v>0</v>
      </c>
      <c r="BE150" s="7" t="n">
        <f aca="false">IF(AND(BE$3&gt;=$D$27,BE$3&lt;=$E$27),$I$27*IF($F$27="S-Curve",(COS(PI()*(BE$3-$D$27)/($E$27-$D$27+1))-COS(PI()*(BE$3-$D$27+1)/($E$27-$D$27+1)))/2,1/($E$27-$D$27+1)),0)+IF(AND(BE$3&gt;=$D$28,BE$3&lt;=$E$28),$I$28*IF($F$28="S-Curve",(COS(PI()*(BE$3-$D$28)/($E$28-$D$28+1))-COS(PI()*(BE$3-$D$28+1)/($E$28-$D$28+1)))/2,1/($E$28-$D$28+1)),0)+IF(AND(BE$3&gt;=$D$30,BE$3&lt;=$E$30),$I$30*IF($F$30="S-Curve",(COS(PI()*(BE$3-$D$30)/($E$30-$D$30+1))-COS(PI()*(BE$3-$D$30+1)/($E$30-$D$30+1)))/2,1/($E$30-$D$30+1)),0)+IF(AND(BE$3&gt;=$D$31,BE$3&lt;=$E$31),$I$31*IF($F$31="S-Curve",(COS(PI()*(BE$3-$D$31)/($E$31-$D$31+1))-COS(PI()*(BE$3-$D$31+1)/($E$31-$D$31+1)))/2,1/($E$31-$D$31+1)),0)+IF(AND(BE$3&gt;=$D$32,BE$3&lt;=$E$32),$I$32*IF($F$32="S-Curve",(COS(PI()*(BE$3-$D$32)/($E$32-$D$32+1))-COS(PI()*(BE$3-$D$32+1)/($E$32-$D$32+1)))/2,1/($E$32-$D$32+1)),0)+IF(AND(BE$3&gt;=$D$33,BE$3&lt;=$E$33),$I$33*IF($F$33="S-Curve",(COS(PI()*(BE$3-$D$33)/($E$33-$D$33+1))-COS(PI()*(BE$3-$D$33+1)/($E$33-$D$33+1)))/2,1/($E$33-$D$33+1)),0)+IF(AND(BE$3&gt;=$D$34,BE$3&lt;=$E$34),$I$34*IF($F$34="S-Curve",(COS(PI()*(BE$3-$D$34)/($E$34-$D$34+1))-COS(PI()*(BE$3-$D$34+1)/($E$34-$D$34+1)))/2,1/($E$34-$D$34+1)),0)+IF(AND(BE$3&gt;=$D$35,BE$3&lt;=$E$35),$I$35*IF($F$35="S-Curve",(COS(PI()*(BE$3-$D$35)/($E$35-$D$35+1))-COS(PI()*(BE$3-$D$35+1)/($E$35-$D$35+1)))/2,1/($E$35-$D$35+1)),0)</f>
        <v>0</v>
      </c>
      <c r="BF150" s="7" t="n">
        <f aca="false">IF(AND(BF$3&gt;=$D$27,BF$3&lt;=$E$27),$I$27*IF($F$27="S-Curve",(COS(PI()*(BF$3-$D$27)/($E$27-$D$27+1))-COS(PI()*(BF$3-$D$27+1)/($E$27-$D$27+1)))/2,1/($E$27-$D$27+1)),0)+IF(AND(BF$3&gt;=$D$28,BF$3&lt;=$E$28),$I$28*IF($F$28="S-Curve",(COS(PI()*(BF$3-$D$28)/($E$28-$D$28+1))-COS(PI()*(BF$3-$D$28+1)/($E$28-$D$28+1)))/2,1/($E$28-$D$28+1)),0)+IF(AND(BF$3&gt;=$D$30,BF$3&lt;=$E$30),$I$30*IF($F$30="S-Curve",(COS(PI()*(BF$3-$D$30)/($E$30-$D$30+1))-COS(PI()*(BF$3-$D$30+1)/($E$30-$D$30+1)))/2,1/($E$30-$D$30+1)),0)+IF(AND(BF$3&gt;=$D$31,BF$3&lt;=$E$31),$I$31*IF($F$31="S-Curve",(COS(PI()*(BF$3-$D$31)/($E$31-$D$31+1))-COS(PI()*(BF$3-$D$31+1)/($E$31-$D$31+1)))/2,1/($E$31-$D$31+1)),0)+IF(AND(BF$3&gt;=$D$32,BF$3&lt;=$E$32),$I$32*IF($F$32="S-Curve",(COS(PI()*(BF$3-$D$32)/($E$32-$D$32+1))-COS(PI()*(BF$3-$D$32+1)/($E$32-$D$32+1)))/2,1/($E$32-$D$32+1)),0)+IF(AND(BF$3&gt;=$D$33,BF$3&lt;=$E$33),$I$33*IF($F$33="S-Curve",(COS(PI()*(BF$3-$D$33)/($E$33-$D$33+1))-COS(PI()*(BF$3-$D$33+1)/($E$33-$D$33+1)))/2,1/($E$33-$D$33+1)),0)+IF(AND(BF$3&gt;=$D$34,BF$3&lt;=$E$34),$I$34*IF($F$34="S-Curve",(COS(PI()*(BF$3-$D$34)/($E$34-$D$34+1))-COS(PI()*(BF$3-$D$34+1)/($E$34-$D$34+1)))/2,1/($E$34-$D$34+1)),0)+IF(AND(BF$3&gt;=$D$35,BF$3&lt;=$E$35),$I$35*IF($F$35="S-Curve",(COS(PI()*(BF$3-$D$35)/($E$35-$D$35+1))-COS(PI()*(BF$3-$D$35+1)/($E$35-$D$35+1)))/2,1/($E$35-$D$35+1)),0)</f>
        <v>0</v>
      </c>
      <c r="BG150" s="7" t="n">
        <f aca="false">IF(AND(BG$3&gt;=$D$27,BG$3&lt;=$E$27),$I$27*IF($F$27="S-Curve",(COS(PI()*(BG$3-$D$27)/($E$27-$D$27+1))-COS(PI()*(BG$3-$D$27+1)/($E$27-$D$27+1)))/2,1/($E$27-$D$27+1)),0)+IF(AND(BG$3&gt;=$D$28,BG$3&lt;=$E$28),$I$28*IF($F$28="S-Curve",(COS(PI()*(BG$3-$D$28)/($E$28-$D$28+1))-COS(PI()*(BG$3-$D$28+1)/($E$28-$D$28+1)))/2,1/($E$28-$D$28+1)),0)+IF(AND(BG$3&gt;=$D$30,BG$3&lt;=$E$30),$I$30*IF($F$30="S-Curve",(COS(PI()*(BG$3-$D$30)/($E$30-$D$30+1))-COS(PI()*(BG$3-$D$30+1)/($E$30-$D$30+1)))/2,1/($E$30-$D$30+1)),0)+IF(AND(BG$3&gt;=$D$31,BG$3&lt;=$E$31),$I$31*IF($F$31="S-Curve",(COS(PI()*(BG$3-$D$31)/($E$31-$D$31+1))-COS(PI()*(BG$3-$D$31+1)/($E$31-$D$31+1)))/2,1/($E$31-$D$31+1)),0)+IF(AND(BG$3&gt;=$D$32,BG$3&lt;=$E$32),$I$32*IF($F$32="S-Curve",(COS(PI()*(BG$3-$D$32)/($E$32-$D$32+1))-COS(PI()*(BG$3-$D$32+1)/($E$32-$D$32+1)))/2,1/($E$32-$D$32+1)),0)+IF(AND(BG$3&gt;=$D$33,BG$3&lt;=$E$33),$I$33*IF($F$33="S-Curve",(COS(PI()*(BG$3-$D$33)/($E$33-$D$33+1))-COS(PI()*(BG$3-$D$33+1)/($E$33-$D$33+1)))/2,1/($E$33-$D$33+1)),0)+IF(AND(BG$3&gt;=$D$34,BG$3&lt;=$E$34),$I$34*IF($F$34="S-Curve",(COS(PI()*(BG$3-$D$34)/($E$34-$D$34+1))-COS(PI()*(BG$3-$D$34+1)/($E$34-$D$34+1)))/2,1/($E$34-$D$34+1)),0)+IF(AND(BG$3&gt;=$D$35,BG$3&lt;=$E$35),$I$35*IF($F$35="S-Curve",(COS(PI()*(BG$3-$D$35)/($E$35-$D$35+1))-COS(PI()*(BG$3-$D$35+1)/($E$35-$D$35+1)))/2,1/($E$35-$D$35+1)),0)</f>
        <v>0</v>
      </c>
      <c r="BH150" s="7" t="n">
        <f aca="false">IF(AND(BH$3&gt;=$D$27,BH$3&lt;=$E$27),$I$27*IF($F$27="S-Curve",(COS(PI()*(BH$3-$D$27)/($E$27-$D$27+1))-COS(PI()*(BH$3-$D$27+1)/($E$27-$D$27+1)))/2,1/($E$27-$D$27+1)),0)+IF(AND(BH$3&gt;=$D$28,BH$3&lt;=$E$28),$I$28*IF($F$28="S-Curve",(COS(PI()*(BH$3-$D$28)/($E$28-$D$28+1))-COS(PI()*(BH$3-$D$28+1)/($E$28-$D$28+1)))/2,1/($E$28-$D$28+1)),0)+IF(AND(BH$3&gt;=$D$30,BH$3&lt;=$E$30),$I$30*IF($F$30="S-Curve",(COS(PI()*(BH$3-$D$30)/($E$30-$D$30+1))-COS(PI()*(BH$3-$D$30+1)/($E$30-$D$30+1)))/2,1/($E$30-$D$30+1)),0)+IF(AND(BH$3&gt;=$D$31,BH$3&lt;=$E$31),$I$31*IF($F$31="S-Curve",(COS(PI()*(BH$3-$D$31)/($E$31-$D$31+1))-COS(PI()*(BH$3-$D$31+1)/($E$31-$D$31+1)))/2,1/($E$31-$D$31+1)),0)+IF(AND(BH$3&gt;=$D$32,BH$3&lt;=$E$32),$I$32*IF($F$32="S-Curve",(COS(PI()*(BH$3-$D$32)/($E$32-$D$32+1))-COS(PI()*(BH$3-$D$32+1)/($E$32-$D$32+1)))/2,1/($E$32-$D$32+1)),0)+IF(AND(BH$3&gt;=$D$33,BH$3&lt;=$E$33),$I$33*IF($F$33="S-Curve",(COS(PI()*(BH$3-$D$33)/($E$33-$D$33+1))-COS(PI()*(BH$3-$D$33+1)/($E$33-$D$33+1)))/2,1/($E$33-$D$33+1)),0)+IF(AND(BH$3&gt;=$D$34,BH$3&lt;=$E$34),$I$34*IF($F$34="S-Curve",(COS(PI()*(BH$3-$D$34)/($E$34-$D$34+1))-COS(PI()*(BH$3-$D$34+1)/($E$34-$D$34+1)))/2,1/($E$34-$D$34+1)),0)+IF(AND(BH$3&gt;=$D$35,BH$3&lt;=$E$35),$I$35*IF($F$35="S-Curve",(COS(PI()*(BH$3-$D$35)/($E$35-$D$35+1))-COS(PI()*(BH$3-$D$35+1)/($E$35-$D$35+1)))/2,1/($E$35-$D$35+1)),0)</f>
        <v>0</v>
      </c>
      <c r="BI150" s="7" t="n">
        <f aca="false">IF(AND(BI$3&gt;=$D$27,BI$3&lt;=$E$27),$I$27*IF($F$27="S-Curve",(COS(PI()*(BI$3-$D$27)/($E$27-$D$27+1))-COS(PI()*(BI$3-$D$27+1)/($E$27-$D$27+1)))/2,1/($E$27-$D$27+1)),0)+IF(AND(BI$3&gt;=$D$28,BI$3&lt;=$E$28),$I$28*IF($F$28="S-Curve",(COS(PI()*(BI$3-$D$28)/($E$28-$D$28+1))-COS(PI()*(BI$3-$D$28+1)/($E$28-$D$28+1)))/2,1/($E$28-$D$28+1)),0)+IF(AND(BI$3&gt;=$D$30,BI$3&lt;=$E$30),$I$30*IF($F$30="S-Curve",(COS(PI()*(BI$3-$D$30)/($E$30-$D$30+1))-COS(PI()*(BI$3-$D$30+1)/($E$30-$D$30+1)))/2,1/($E$30-$D$30+1)),0)+IF(AND(BI$3&gt;=$D$31,BI$3&lt;=$E$31),$I$31*IF($F$31="S-Curve",(COS(PI()*(BI$3-$D$31)/($E$31-$D$31+1))-COS(PI()*(BI$3-$D$31+1)/($E$31-$D$31+1)))/2,1/($E$31-$D$31+1)),0)+IF(AND(BI$3&gt;=$D$32,BI$3&lt;=$E$32),$I$32*IF($F$32="S-Curve",(COS(PI()*(BI$3-$D$32)/($E$32-$D$32+1))-COS(PI()*(BI$3-$D$32+1)/($E$32-$D$32+1)))/2,1/($E$32-$D$32+1)),0)+IF(AND(BI$3&gt;=$D$33,BI$3&lt;=$E$33),$I$33*IF($F$33="S-Curve",(COS(PI()*(BI$3-$D$33)/($E$33-$D$33+1))-COS(PI()*(BI$3-$D$33+1)/($E$33-$D$33+1)))/2,1/($E$33-$D$33+1)),0)+IF(AND(BI$3&gt;=$D$34,BI$3&lt;=$E$34),$I$34*IF($F$34="S-Curve",(COS(PI()*(BI$3-$D$34)/($E$34-$D$34+1))-COS(PI()*(BI$3-$D$34+1)/($E$34-$D$34+1)))/2,1/($E$34-$D$34+1)),0)+IF(AND(BI$3&gt;=$D$35,BI$3&lt;=$E$35),$I$35*IF($F$35="S-Curve",(COS(PI()*(BI$3-$D$35)/($E$35-$D$35+1))-COS(PI()*(BI$3-$D$35+1)/($E$35-$D$35+1)))/2,1/($E$35-$D$35+1)),0)</f>
        <v>0</v>
      </c>
      <c r="BJ150" s="7" t="n">
        <f aca="false">IF(AND(BJ$3&gt;=$D$27,BJ$3&lt;=$E$27),$I$27*IF($F$27="S-Curve",(COS(PI()*(BJ$3-$D$27)/($E$27-$D$27+1))-COS(PI()*(BJ$3-$D$27+1)/($E$27-$D$27+1)))/2,1/($E$27-$D$27+1)),0)+IF(AND(BJ$3&gt;=$D$28,BJ$3&lt;=$E$28),$I$28*IF($F$28="S-Curve",(COS(PI()*(BJ$3-$D$28)/($E$28-$D$28+1))-COS(PI()*(BJ$3-$D$28+1)/($E$28-$D$28+1)))/2,1/($E$28-$D$28+1)),0)+IF(AND(BJ$3&gt;=$D$30,BJ$3&lt;=$E$30),$I$30*IF($F$30="S-Curve",(COS(PI()*(BJ$3-$D$30)/($E$30-$D$30+1))-COS(PI()*(BJ$3-$D$30+1)/($E$30-$D$30+1)))/2,1/($E$30-$D$30+1)),0)+IF(AND(BJ$3&gt;=$D$31,BJ$3&lt;=$E$31),$I$31*IF($F$31="S-Curve",(COS(PI()*(BJ$3-$D$31)/($E$31-$D$31+1))-COS(PI()*(BJ$3-$D$31+1)/($E$31-$D$31+1)))/2,1/($E$31-$D$31+1)),0)+IF(AND(BJ$3&gt;=$D$32,BJ$3&lt;=$E$32),$I$32*IF($F$32="S-Curve",(COS(PI()*(BJ$3-$D$32)/($E$32-$D$32+1))-COS(PI()*(BJ$3-$D$32+1)/($E$32-$D$32+1)))/2,1/($E$32-$D$32+1)),0)+IF(AND(BJ$3&gt;=$D$33,BJ$3&lt;=$E$33),$I$33*IF($F$33="S-Curve",(COS(PI()*(BJ$3-$D$33)/($E$33-$D$33+1))-COS(PI()*(BJ$3-$D$33+1)/($E$33-$D$33+1)))/2,1/($E$33-$D$33+1)),0)+IF(AND(BJ$3&gt;=$D$34,BJ$3&lt;=$E$34),$I$34*IF($F$34="S-Curve",(COS(PI()*(BJ$3-$D$34)/($E$34-$D$34+1))-COS(PI()*(BJ$3-$D$34+1)/($E$34-$D$34+1)))/2,1/($E$34-$D$34+1)),0)+IF(AND(BJ$3&gt;=$D$35,BJ$3&lt;=$E$35),$I$35*IF($F$35="S-Curve",(COS(PI()*(BJ$3-$D$35)/($E$35-$D$35+1))-COS(PI()*(BJ$3-$D$35+1)/($E$35-$D$35+1)))/2,1/($E$35-$D$35+1)),0)</f>
        <v>0</v>
      </c>
      <c r="BK150" s="7" t="n">
        <f aca="false">IF(AND(BK$3&gt;=$D$27,BK$3&lt;=$E$27),$I$27*IF($F$27="S-Curve",(COS(PI()*(BK$3-$D$27)/($E$27-$D$27+1))-COS(PI()*(BK$3-$D$27+1)/($E$27-$D$27+1)))/2,1/($E$27-$D$27+1)),0)+IF(AND(BK$3&gt;=$D$28,BK$3&lt;=$E$28),$I$28*IF($F$28="S-Curve",(COS(PI()*(BK$3-$D$28)/($E$28-$D$28+1))-COS(PI()*(BK$3-$D$28+1)/($E$28-$D$28+1)))/2,1/($E$28-$D$28+1)),0)+IF(AND(BK$3&gt;=$D$30,BK$3&lt;=$E$30),$I$30*IF($F$30="S-Curve",(COS(PI()*(BK$3-$D$30)/($E$30-$D$30+1))-COS(PI()*(BK$3-$D$30+1)/($E$30-$D$30+1)))/2,1/($E$30-$D$30+1)),0)+IF(AND(BK$3&gt;=$D$31,BK$3&lt;=$E$31),$I$31*IF($F$31="S-Curve",(COS(PI()*(BK$3-$D$31)/($E$31-$D$31+1))-COS(PI()*(BK$3-$D$31+1)/($E$31-$D$31+1)))/2,1/($E$31-$D$31+1)),0)+IF(AND(BK$3&gt;=$D$32,BK$3&lt;=$E$32),$I$32*IF($F$32="S-Curve",(COS(PI()*(BK$3-$D$32)/($E$32-$D$32+1))-COS(PI()*(BK$3-$D$32+1)/($E$32-$D$32+1)))/2,1/($E$32-$D$32+1)),0)+IF(AND(BK$3&gt;=$D$33,BK$3&lt;=$E$33),$I$33*IF($F$33="S-Curve",(COS(PI()*(BK$3-$D$33)/($E$33-$D$33+1))-COS(PI()*(BK$3-$D$33+1)/($E$33-$D$33+1)))/2,1/($E$33-$D$33+1)),0)+IF(AND(BK$3&gt;=$D$34,BK$3&lt;=$E$34),$I$34*IF($F$34="S-Curve",(COS(PI()*(BK$3-$D$34)/($E$34-$D$34+1))-COS(PI()*(BK$3-$D$34+1)/($E$34-$D$34+1)))/2,1/($E$34-$D$34+1)),0)+IF(AND(BK$3&gt;=$D$35,BK$3&lt;=$E$35),$I$35*IF($F$35="S-Curve",(COS(PI()*(BK$3-$D$35)/($E$35-$D$35+1))-COS(PI()*(BK$3-$D$35+1)/($E$35-$D$35+1)))/2,1/($E$35-$D$35+1)),0)</f>
        <v>0</v>
      </c>
      <c r="BL150" s="7" t="n">
        <f aca="false">IF(AND(BL$3&gt;=$D$27,BL$3&lt;=$E$27),$I$27*IF($F$27="S-Curve",(COS(PI()*(BL$3-$D$27)/($E$27-$D$27+1))-COS(PI()*(BL$3-$D$27+1)/($E$27-$D$27+1)))/2,1/($E$27-$D$27+1)),0)+IF(AND(BL$3&gt;=$D$28,BL$3&lt;=$E$28),$I$28*IF($F$28="S-Curve",(COS(PI()*(BL$3-$D$28)/($E$28-$D$28+1))-COS(PI()*(BL$3-$D$28+1)/($E$28-$D$28+1)))/2,1/($E$28-$D$28+1)),0)+IF(AND(BL$3&gt;=$D$30,BL$3&lt;=$E$30),$I$30*IF($F$30="S-Curve",(COS(PI()*(BL$3-$D$30)/($E$30-$D$30+1))-COS(PI()*(BL$3-$D$30+1)/($E$30-$D$30+1)))/2,1/($E$30-$D$30+1)),0)+IF(AND(BL$3&gt;=$D$31,BL$3&lt;=$E$31),$I$31*IF($F$31="S-Curve",(COS(PI()*(BL$3-$D$31)/($E$31-$D$31+1))-COS(PI()*(BL$3-$D$31+1)/($E$31-$D$31+1)))/2,1/($E$31-$D$31+1)),0)+IF(AND(BL$3&gt;=$D$32,BL$3&lt;=$E$32),$I$32*IF($F$32="S-Curve",(COS(PI()*(BL$3-$D$32)/($E$32-$D$32+1))-COS(PI()*(BL$3-$D$32+1)/($E$32-$D$32+1)))/2,1/($E$32-$D$32+1)),0)+IF(AND(BL$3&gt;=$D$33,BL$3&lt;=$E$33),$I$33*IF($F$33="S-Curve",(COS(PI()*(BL$3-$D$33)/($E$33-$D$33+1))-COS(PI()*(BL$3-$D$33+1)/($E$33-$D$33+1)))/2,1/($E$33-$D$33+1)),0)+IF(AND(BL$3&gt;=$D$34,BL$3&lt;=$E$34),$I$34*IF($F$34="S-Curve",(COS(PI()*(BL$3-$D$34)/($E$34-$D$34+1))-COS(PI()*(BL$3-$D$34+1)/($E$34-$D$34+1)))/2,1/($E$34-$D$34+1)),0)+IF(AND(BL$3&gt;=$D$35,BL$3&lt;=$E$35),$I$35*IF($F$35="S-Curve",(COS(PI()*(BL$3-$D$35)/($E$35-$D$35+1))-COS(PI()*(BL$3-$D$35+1)/($E$35-$D$35+1)))/2,1/($E$35-$D$35+1)),0)</f>
        <v>0</v>
      </c>
      <c r="BM150" s="7" t="n">
        <f aca="false">IF(AND(BM$3&gt;=$D$27,BM$3&lt;=$E$27),$I$27*IF($F$27="S-Curve",(COS(PI()*(BM$3-$D$27)/($E$27-$D$27+1))-COS(PI()*(BM$3-$D$27+1)/($E$27-$D$27+1)))/2,1/($E$27-$D$27+1)),0)+IF(AND(BM$3&gt;=$D$28,BM$3&lt;=$E$28),$I$28*IF($F$28="S-Curve",(COS(PI()*(BM$3-$D$28)/($E$28-$D$28+1))-COS(PI()*(BM$3-$D$28+1)/($E$28-$D$28+1)))/2,1/($E$28-$D$28+1)),0)+IF(AND(BM$3&gt;=$D$30,BM$3&lt;=$E$30),$I$30*IF($F$30="S-Curve",(COS(PI()*(BM$3-$D$30)/($E$30-$D$30+1))-COS(PI()*(BM$3-$D$30+1)/($E$30-$D$30+1)))/2,1/($E$30-$D$30+1)),0)+IF(AND(BM$3&gt;=$D$31,BM$3&lt;=$E$31),$I$31*IF($F$31="S-Curve",(COS(PI()*(BM$3-$D$31)/($E$31-$D$31+1))-COS(PI()*(BM$3-$D$31+1)/($E$31-$D$31+1)))/2,1/($E$31-$D$31+1)),0)+IF(AND(BM$3&gt;=$D$32,BM$3&lt;=$E$32),$I$32*IF($F$32="S-Curve",(COS(PI()*(BM$3-$D$32)/($E$32-$D$32+1))-COS(PI()*(BM$3-$D$32+1)/($E$32-$D$32+1)))/2,1/($E$32-$D$32+1)),0)+IF(AND(BM$3&gt;=$D$33,BM$3&lt;=$E$33),$I$33*IF($F$33="S-Curve",(COS(PI()*(BM$3-$D$33)/($E$33-$D$33+1))-COS(PI()*(BM$3-$D$33+1)/($E$33-$D$33+1)))/2,1/($E$33-$D$33+1)),0)+IF(AND(BM$3&gt;=$D$34,BM$3&lt;=$E$34),$I$34*IF($F$34="S-Curve",(COS(PI()*(BM$3-$D$34)/($E$34-$D$34+1))-COS(PI()*(BM$3-$D$34+1)/($E$34-$D$34+1)))/2,1/($E$34-$D$34+1)),0)+IF(AND(BM$3&gt;=$D$35,BM$3&lt;=$E$35),$I$35*IF($F$35="S-Curve",(COS(PI()*(BM$3-$D$35)/($E$35-$D$35+1))-COS(PI()*(BM$3-$D$35+1)/($E$35-$D$35+1)))/2,1/($E$35-$D$35+1)),0)</f>
        <v>0</v>
      </c>
      <c r="BN150" s="7" t="n">
        <f aca="false">IF(AND(BN$3&gt;=$D$27,BN$3&lt;=$E$27),$I$27*IF($F$27="S-Curve",(COS(PI()*(BN$3-$D$27)/($E$27-$D$27+1))-COS(PI()*(BN$3-$D$27+1)/($E$27-$D$27+1)))/2,1/($E$27-$D$27+1)),0)+IF(AND(BN$3&gt;=$D$28,BN$3&lt;=$E$28),$I$28*IF($F$28="S-Curve",(COS(PI()*(BN$3-$D$28)/($E$28-$D$28+1))-COS(PI()*(BN$3-$D$28+1)/($E$28-$D$28+1)))/2,1/($E$28-$D$28+1)),0)+IF(AND(BN$3&gt;=$D$30,BN$3&lt;=$E$30),$I$30*IF($F$30="S-Curve",(COS(PI()*(BN$3-$D$30)/($E$30-$D$30+1))-COS(PI()*(BN$3-$D$30+1)/($E$30-$D$30+1)))/2,1/($E$30-$D$30+1)),0)+IF(AND(BN$3&gt;=$D$31,BN$3&lt;=$E$31),$I$31*IF($F$31="S-Curve",(COS(PI()*(BN$3-$D$31)/($E$31-$D$31+1))-COS(PI()*(BN$3-$D$31+1)/($E$31-$D$31+1)))/2,1/($E$31-$D$31+1)),0)+IF(AND(BN$3&gt;=$D$32,BN$3&lt;=$E$32),$I$32*IF($F$32="S-Curve",(COS(PI()*(BN$3-$D$32)/($E$32-$D$32+1))-COS(PI()*(BN$3-$D$32+1)/($E$32-$D$32+1)))/2,1/($E$32-$D$32+1)),0)+IF(AND(BN$3&gt;=$D$33,BN$3&lt;=$E$33),$I$33*IF($F$33="S-Curve",(COS(PI()*(BN$3-$D$33)/($E$33-$D$33+1))-COS(PI()*(BN$3-$D$33+1)/($E$33-$D$33+1)))/2,1/($E$33-$D$33+1)),0)+IF(AND(BN$3&gt;=$D$34,BN$3&lt;=$E$34),$I$34*IF($F$34="S-Curve",(COS(PI()*(BN$3-$D$34)/($E$34-$D$34+1))-COS(PI()*(BN$3-$D$34+1)/($E$34-$D$34+1)))/2,1/($E$34-$D$34+1)),0)+IF(AND(BN$3&gt;=$D$35,BN$3&lt;=$E$35),$I$35*IF($F$35="S-Curve",(COS(PI()*(BN$3-$D$35)/($E$35-$D$35+1))-COS(PI()*(BN$3-$D$35+1)/($E$35-$D$35+1)))/2,1/($E$35-$D$35+1)),0)</f>
        <v>0</v>
      </c>
      <c r="BO150" s="7" t="n">
        <f aca="false">IF(AND(BO$3&gt;=$D$27,BO$3&lt;=$E$27),$I$27*IF($F$27="S-Curve",(COS(PI()*(BO$3-$D$27)/($E$27-$D$27+1))-COS(PI()*(BO$3-$D$27+1)/($E$27-$D$27+1)))/2,1/($E$27-$D$27+1)),0)+IF(AND(BO$3&gt;=$D$28,BO$3&lt;=$E$28),$I$28*IF($F$28="S-Curve",(COS(PI()*(BO$3-$D$28)/($E$28-$D$28+1))-COS(PI()*(BO$3-$D$28+1)/($E$28-$D$28+1)))/2,1/($E$28-$D$28+1)),0)+IF(AND(BO$3&gt;=$D$30,BO$3&lt;=$E$30),$I$30*IF($F$30="S-Curve",(COS(PI()*(BO$3-$D$30)/($E$30-$D$30+1))-COS(PI()*(BO$3-$D$30+1)/($E$30-$D$30+1)))/2,1/($E$30-$D$30+1)),0)+IF(AND(BO$3&gt;=$D$31,BO$3&lt;=$E$31),$I$31*IF($F$31="S-Curve",(COS(PI()*(BO$3-$D$31)/($E$31-$D$31+1))-COS(PI()*(BO$3-$D$31+1)/($E$31-$D$31+1)))/2,1/($E$31-$D$31+1)),0)+IF(AND(BO$3&gt;=$D$32,BO$3&lt;=$E$32),$I$32*IF($F$32="S-Curve",(COS(PI()*(BO$3-$D$32)/($E$32-$D$32+1))-COS(PI()*(BO$3-$D$32+1)/($E$32-$D$32+1)))/2,1/($E$32-$D$32+1)),0)+IF(AND(BO$3&gt;=$D$33,BO$3&lt;=$E$33),$I$33*IF($F$33="S-Curve",(COS(PI()*(BO$3-$D$33)/($E$33-$D$33+1))-COS(PI()*(BO$3-$D$33+1)/($E$33-$D$33+1)))/2,1/($E$33-$D$33+1)),0)+IF(AND(BO$3&gt;=$D$34,BO$3&lt;=$E$34),$I$34*IF($F$34="S-Curve",(COS(PI()*(BO$3-$D$34)/($E$34-$D$34+1))-COS(PI()*(BO$3-$D$34+1)/($E$34-$D$34+1)))/2,1/($E$34-$D$34+1)),0)+IF(AND(BO$3&gt;=$D$35,BO$3&lt;=$E$35),$I$35*IF($F$35="S-Curve",(COS(PI()*(BO$3-$D$35)/($E$35-$D$35+1))-COS(PI()*(BO$3-$D$35+1)/($E$35-$D$35+1)))/2,1/($E$35-$D$35+1)),0)</f>
        <v>0</v>
      </c>
      <c r="BP150" s="7" t="n">
        <f aca="false">IF(AND(BP$3&gt;=$D$27,BP$3&lt;=$E$27),$I$27*IF($F$27="S-Curve",(COS(PI()*(BP$3-$D$27)/($E$27-$D$27+1))-COS(PI()*(BP$3-$D$27+1)/($E$27-$D$27+1)))/2,1/($E$27-$D$27+1)),0)+IF(AND(BP$3&gt;=$D$28,BP$3&lt;=$E$28),$I$28*IF($F$28="S-Curve",(COS(PI()*(BP$3-$D$28)/($E$28-$D$28+1))-COS(PI()*(BP$3-$D$28+1)/($E$28-$D$28+1)))/2,1/($E$28-$D$28+1)),0)+IF(AND(BP$3&gt;=$D$30,BP$3&lt;=$E$30),$I$30*IF($F$30="S-Curve",(COS(PI()*(BP$3-$D$30)/($E$30-$D$30+1))-COS(PI()*(BP$3-$D$30+1)/($E$30-$D$30+1)))/2,1/($E$30-$D$30+1)),0)+IF(AND(BP$3&gt;=$D$31,BP$3&lt;=$E$31),$I$31*IF($F$31="S-Curve",(COS(PI()*(BP$3-$D$31)/($E$31-$D$31+1))-COS(PI()*(BP$3-$D$31+1)/($E$31-$D$31+1)))/2,1/($E$31-$D$31+1)),0)+IF(AND(BP$3&gt;=$D$32,BP$3&lt;=$E$32),$I$32*IF($F$32="S-Curve",(COS(PI()*(BP$3-$D$32)/($E$32-$D$32+1))-COS(PI()*(BP$3-$D$32+1)/($E$32-$D$32+1)))/2,1/($E$32-$D$32+1)),0)+IF(AND(BP$3&gt;=$D$33,BP$3&lt;=$E$33),$I$33*IF($F$33="S-Curve",(COS(PI()*(BP$3-$D$33)/($E$33-$D$33+1))-COS(PI()*(BP$3-$D$33+1)/($E$33-$D$33+1)))/2,1/($E$33-$D$33+1)),0)+IF(AND(BP$3&gt;=$D$34,BP$3&lt;=$E$34),$I$34*IF($F$34="S-Curve",(COS(PI()*(BP$3-$D$34)/($E$34-$D$34+1))-COS(PI()*(BP$3-$D$34+1)/($E$34-$D$34+1)))/2,1/($E$34-$D$34+1)),0)+IF(AND(BP$3&gt;=$D$35,BP$3&lt;=$E$35),$I$35*IF($F$35="S-Curve",(COS(PI()*(BP$3-$D$35)/($E$35-$D$35+1))-COS(PI()*(BP$3-$D$35+1)/($E$35-$D$35+1)))/2,1/($E$35-$D$35+1)),0)</f>
        <v>0</v>
      </c>
      <c r="BQ150" s="7" t="n">
        <f aca="false">IF(AND(BQ$3&gt;=$D$27,BQ$3&lt;=$E$27),$I$27*IF($F$27="S-Curve",(COS(PI()*(BQ$3-$D$27)/($E$27-$D$27+1))-COS(PI()*(BQ$3-$D$27+1)/($E$27-$D$27+1)))/2,1/($E$27-$D$27+1)),0)+IF(AND(BQ$3&gt;=$D$28,BQ$3&lt;=$E$28),$I$28*IF($F$28="S-Curve",(COS(PI()*(BQ$3-$D$28)/($E$28-$D$28+1))-COS(PI()*(BQ$3-$D$28+1)/($E$28-$D$28+1)))/2,1/($E$28-$D$28+1)),0)+IF(AND(BQ$3&gt;=$D$30,BQ$3&lt;=$E$30),$I$30*IF($F$30="S-Curve",(COS(PI()*(BQ$3-$D$30)/($E$30-$D$30+1))-COS(PI()*(BQ$3-$D$30+1)/($E$30-$D$30+1)))/2,1/($E$30-$D$30+1)),0)+IF(AND(BQ$3&gt;=$D$31,BQ$3&lt;=$E$31),$I$31*IF($F$31="S-Curve",(COS(PI()*(BQ$3-$D$31)/($E$31-$D$31+1))-COS(PI()*(BQ$3-$D$31+1)/($E$31-$D$31+1)))/2,1/($E$31-$D$31+1)),0)+IF(AND(BQ$3&gt;=$D$32,BQ$3&lt;=$E$32),$I$32*IF($F$32="S-Curve",(COS(PI()*(BQ$3-$D$32)/($E$32-$D$32+1))-COS(PI()*(BQ$3-$D$32+1)/($E$32-$D$32+1)))/2,1/($E$32-$D$32+1)),0)+IF(AND(BQ$3&gt;=$D$33,BQ$3&lt;=$E$33),$I$33*IF($F$33="S-Curve",(COS(PI()*(BQ$3-$D$33)/($E$33-$D$33+1))-COS(PI()*(BQ$3-$D$33+1)/($E$33-$D$33+1)))/2,1/($E$33-$D$33+1)),0)+IF(AND(BQ$3&gt;=$D$34,BQ$3&lt;=$E$34),$I$34*IF($F$34="S-Curve",(COS(PI()*(BQ$3-$D$34)/($E$34-$D$34+1))-COS(PI()*(BQ$3-$D$34+1)/($E$34-$D$34+1)))/2,1/($E$34-$D$34+1)),0)+IF(AND(BQ$3&gt;=$D$35,BQ$3&lt;=$E$35),$I$35*IF($F$35="S-Curve",(COS(PI()*(BQ$3-$D$35)/($E$35-$D$35+1))-COS(PI()*(BQ$3-$D$35+1)/($E$35-$D$35+1)))/2,1/($E$35-$D$35+1)),0)</f>
        <v>0</v>
      </c>
      <c r="BR150" s="7" t="n">
        <f aca="false">IF(AND(BR$3&gt;=$D$27,BR$3&lt;=$E$27),$I$27*IF($F$27="S-Curve",(COS(PI()*(BR$3-$D$27)/($E$27-$D$27+1))-COS(PI()*(BR$3-$D$27+1)/($E$27-$D$27+1)))/2,1/($E$27-$D$27+1)),0)+IF(AND(BR$3&gt;=$D$28,BR$3&lt;=$E$28),$I$28*IF($F$28="S-Curve",(COS(PI()*(BR$3-$D$28)/($E$28-$D$28+1))-COS(PI()*(BR$3-$D$28+1)/($E$28-$D$28+1)))/2,1/($E$28-$D$28+1)),0)+IF(AND(BR$3&gt;=$D$30,BR$3&lt;=$E$30),$I$30*IF($F$30="S-Curve",(COS(PI()*(BR$3-$D$30)/($E$30-$D$30+1))-COS(PI()*(BR$3-$D$30+1)/($E$30-$D$30+1)))/2,1/($E$30-$D$30+1)),0)+IF(AND(BR$3&gt;=$D$31,BR$3&lt;=$E$31),$I$31*IF($F$31="S-Curve",(COS(PI()*(BR$3-$D$31)/($E$31-$D$31+1))-COS(PI()*(BR$3-$D$31+1)/($E$31-$D$31+1)))/2,1/($E$31-$D$31+1)),0)+IF(AND(BR$3&gt;=$D$32,BR$3&lt;=$E$32),$I$32*IF($F$32="S-Curve",(COS(PI()*(BR$3-$D$32)/($E$32-$D$32+1))-COS(PI()*(BR$3-$D$32+1)/($E$32-$D$32+1)))/2,1/($E$32-$D$32+1)),0)+IF(AND(BR$3&gt;=$D$33,BR$3&lt;=$E$33),$I$33*IF($F$33="S-Curve",(COS(PI()*(BR$3-$D$33)/($E$33-$D$33+1))-COS(PI()*(BR$3-$D$33+1)/($E$33-$D$33+1)))/2,1/($E$33-$D$33+1)),0)+IF(AND(BR$3&gt;=$D$34,BR$3&lt;=$E$34),$I$34*IF($F$34="S-Curve",(COS(PI()*(BR$3-$D$34)/($E$34-$D$34+1))-COS(PI()*(BR$3-$D$34+1)/($E$34-$D$34+1)))/2,1/($E$34-$D$34+1)),0)+IF(AND(BR$3&gt;=$D$35,BR$3&lt;=$E$35),$I$35*IF($F$35="S-Curve",(COS(PI()*(BR$3-$D$35)/($E$35-$D$35+1))-COS(PI()*(BR$3-$D$35+1)/($E$35-$D$35+1)))/2,1/($E$35-$D$35+1)),0)</f>
        <v>0</v>
      </c>
      <c r="BS150" s="7" t="n">
        <f aca="false">IF(AND(BS$3&gt;=$D$27,BS$3&lt;=$E$27),$I$27*IF($F$27="S-Curve",(COS(PI()*(BS$3-$D$27)/($E$27-$D$27+1))-COS(PI()*(BS$3-$D$27+1)/($E$27-$D$27+1)))/2,1/($E$27-$D$27+1)),0)+IF(AND(BS$3&gt;=$D$28,BS$3&lt;=$E$28),$I$28*IF($F$28="S-Curve",(COS(PI()*(BS$3-$D$28)/($E$28-$D$28+1))-COS(PI()*(BS$3-$D$28+1)/($E$28-$D$28+1)))/2,1/($E$28-$D$28+1)),0)+IF(AND(BS$3&gt;=$D$30,BS$3&lt;=$E$30),$I$30*IF($F$30="S-Curve",(COS(PI()*(BS$3-$D$30)/($E$30-$D$30+1))-COS(PI()*(BS$3-$D$30+1)/($E$30-$D$30+1)))/2,1/($E$30-$D$30+1)),0)+IF(AND(BS$3&gt;=$D$31,BS$3&lt;=$E$31),$I$31*IF($F$31="S-Curve",(COS(PI()*(BS$3-$D$31)/($E$31-$D$31+1))-COS(PI()*(BS$3-$D$31+1)/($E$31-$D$31+1)))/2,1/($E$31-$D$31+1)),0)+IF(AND(BS$3&gt;=$D$32,BS$3&lt;=$E$32),$I$32*IF($F$32="S-Curve",(COS(PI()*(BS$3-$D$32)/($E$32-$D$32+1))-COS(PI()*(BS$3-$D$32+1)/($E$32-$D$32+1)))/2,1/($E$32-$D$32+1)),0)+IF(AND(BS$3&gt;=$D$33,BS$3&lt;=$E$33),$I$33*IF($F$33="S-Curve",(COS(PI()*(BS$3-$D$33)/($E$33-$D$33+1))-COS(PI()*(BS$3-$D$33+1)/($E$33-$D$33+1)))/2,1/($E$33-$D$33+1)),0)+IF(AND(BS$3&gt;=$D$34,BS$3&lt;=$E$34),$I$34*IF($F$34="S-Curve",(COS(PI()*(BS$3-$D$34)/($E$34-$D$34+1))-COS(PI()*(BS$3-$D$34+1)/($E$34-$D$34+1)))/2,1/($E$34-$D$34+1)),0)+IF(AND(BS$3&gt;=$D$35,BS$3&lt;=$E$35),$I$35*IF($F$35="S-Curve",(COS(PI()*(BS$3-$D$35)/($E$35-$D$35+1))-COS(PI()*(BS$3-$D$35+1)/($E$35-$D$35+1)))/2,1/($E$35-$D$35+1)),0)</f>
        <v>0</v>
      </c>
      <c r="BT150" s="7" t="n">
        <f aca="false">IF(AND(BT$3&gt;=$D$27,BT$3&lt;=$E$27),$I$27*IF($F$27="S-Curve",(COS(PI()*(BT$3-$D$27)/($E$27-$D$27+1))-COS(PI()*(BT$3-$D$27+1)/($E$27-$D$27+1)))/2,1/($E$27-$D$27+1)),0)+IF(AND(BT$3&gt;=$D$28,BT$3&lt;=$E$28),$I$28*IF($F$28="S-Curve",(COS(PI()*(BT$3-$D$28)/($E$28-$D$28+1))-COS(PI()*(BT$3-$D$28+1)/($E$28-$D$28+1)))/2,1/($E$28-$D$28+1)),0)+IF(AND(BT$3&gt;=$D$30,BT$3&lt;=$E$30),$I$30*IF($F$30="S-Curve",(COS(PI()*(BT$3-$D$30)/($E$30-$D$30+1))-COS(PI()*(BT$3-$D$30+1)/($E$30-$D$30+1)))/2,1/($E$30-$D$30+1)),0)+IF(AND(BT$3&gt;=$D$31,BT$3&lt;=$E$31),$I$31*IF($F$31="S-Curve",(COS(PI()*(BT$3-$D$31)/($E$31-$D$31+1))-COS(PI()*(BT$3-$D$31+1)/($E$31-$D$31+1)))/2,1/($E$31-$D$31+1)),0)+IF(AND(BT$3&gt;=$D$32,BT$3&lt;=$E$32),$I$32*IF($F$32="S-Curve",(COS(PI()*(BT$3-$D$32)/($E$32-$D$32+1))-COS(PI()*(BT$3-$D$32+1)/($E$32-$D$32+1)))/2,1/($E$32-$D$32+1)),0)+IF(AND(BT$3&gt;=$D$33,BT$3&lt;=$E$33),$I$33*IF($F$33="S-Curve",(COS(PI()*(BT$3-$D$33)/($E$33-$D$33+1))-COS(PI()*(BT$3-$D$33+1)/($E$33-$D$33+1)))/2,1/($E$33-$D$33+1)),0)+IF(AND(BT$3&gt;=$D$34,BT$3&lt;=$E$34),$I$34*IF($F$34="S-Curve",(COS(PI()*(BT$3-$D$34)/($E$34-$D$34+1))-COS(PI()*(BT$3-$D$34+1)/($E$34-$D$34+1)))/2,1/($E$34-$D$34+1)),0)+IF(AND(BT$3&gt;=$D$35,BT$3&lt;=$E$35),$I$35*IF($F$35="S-Curve",(COS(PI()*(BT$3-$D$35)/($E$35-$D$35+1))-COS(PI()*(BT$3-$D$35+1)/($E$35-$D$35+1)))/2,1/($E$35-$D$35+1)),0)</f>
        <v>0</v>
      </c>
      <c r="BU150" s="7" t="n">
        <f aca="false">IF(AND(BU$3&gt;=$D$27,BU$3&lt;=$E$27),$I$27*IF($F$27="S-Curve",(COS(PI()*(BU$3-$D$27)/($E$27-$D$27+1))-COS(PI()*(BU$3-$D$27+1)/($E$27-$D$27+1)))/2,1/($E$27-$D$27+1)),0)+IF(AND(BU$3&gt;=$D$28,BU$3&lt;=$E$28),$I$28*IF($F$28="S-Curve",(COS(PI()*(BU$3-$D$28)/($E$28-$D$28+1))-COS(PI()*(BU$3-$D$28+1)/($E$28-$D$28+1)))/2,1/($E$28-$D$28+1)),0)+IF(AND(BU$3&gt;=$D$30,BU$3&lt;=$E$30),$I$30*IF($F$30="S-Curve",(COS(PI()*(BU$3-$D$30)/($E$30-$D$30+1))-COS(PI()*(BU$3-$D$30+1)/($E$30-$D$30+1)))/2,1/($E$30-$D$30+1)),0)+IF(AND(BU$3&gt;=$D$31,BU$3&lt;=$E$31),$I$31*IF($F$31="S-Curve",(COS(PI()*(BU$3-$D$31)/($E$31-$D$31+1))-COS(PI()*(BU$3-$D$31+1)/($E$31-$D$31+1)))/2,1/($E$31-$D$31+1)),0)+IF(AND(BU$3&gt;=$D$32,BU$3&lt;=$E$32),$I$32*IF($F$32="S-Curve",(COS(PI()*(BU$3-$D$32)/($E$32-$D$32+1))-COS(PI()*(BU$3-$D$32+1)/($E$32-$D$32+1)))/2,1/($E$32-$D$32+1)),0)+IF(AND(BU$3&gt;=$D$33,BU$3&lt;=$E$33),$I$33*IF($F$33="S-Curve",(COS(PI()*(BU$3-$D$33)/($E$33-$D$33+1))-COS(PI()*(BU$3-$D$33+1)/($E$33-$D$33+1)))/2,1/($E$33-$D$33+1)),0)+IF(AND(BU$3&gt;=$D$34,BU$3&lt;=$E$34),$I$34*IF($F$34="S-Curve",(COS(PI()*(BU$3-$D$34)/($E$34-$D$34+1))-COS(PI()*(BU$3-$D$34+1)/($E$34-$D$34+1)))/2,1/($E$34-$D$34+1)),0)+IF(AND(BU$3&gt;=$D$35,BU$3&lt;=$E$35),$I$35*IF($F$35="S-Curve",(COS(PI()*(BU$3-$D$35)/($E$35-$D$35+1))-COS(PI()*(BU$3-$D$35+1)/($E$35-$D$35+1)))/2,1/($E$35-$D$35+1)),0)</f>
        <v>0</v>
      </c>
      <c r="BV150" s="7" t="n">
        <f aca="false">IF(AND(BV$3&gt;=$D$27,BV$3&lt;=$E$27),$I$27*IF($F$27="S-Curve",(COS(PI()*(BV$3-$D$27)/($E$27-$D$27+1))-COS(PI()*(BV$3-$D$27+1)/($E$27-$D$27+1)))/2,1/($E$27-$D$27+1)),0)+IF(AND(BV$3&gt;=$D$28,BV$3&lt;=$E$28),$I$28*IF($F$28="S-Curve",(COS(PI()*(BV$3-$D$28)/($E$28-$D$28+1))-COS(PI()*(BV$3-$D$28+1)/($E$28-$D$28+1)))/2,1/($E$28-$D$28+1)),0)+IF(AND(BV$3&gt;=$D$30,BV$3&lt;=$E$30),$I$30*IF($F$30="S-Curve",(COS(PI()*(BV$3-$D$30)/($E$30-$D$30+1))-COS(PI()*(BV$3-$D$30+1)/($E$30-$D$30+1)))/2,1/($E$30-$D$30+1)),0)+IF(AND(BV$3&gt;=$D$31,BV$3&lt;=$E$31),$I$31*IF($F$31="S-Curve",(COS(PI()*(BV$3-$D$31)/($E$31-$D$31+1))-COS(PI()*(BV$3-$D$31+1)/($E$31-$D$31+1)))/2,1/($E$31-$D$31+1)),0)+IF(AND(BV$3&gt;=$D$32,BV$3&lt;=$E$32),$I$32*IF($F$32="S-Curve",(COS(PI()*(BV$3-$D$32)/($E$32-$D$32+1))-COS(PI()*(BV$3-$D$32+1)/($E$32-$D$32+1)))/2,1/($E$32-$D$32+1)),0)+IF(AND(BV$3&gt;=$D$33,BV$3&lt;=$E$33),$I$33*IF($F$33="S-Curve",(COS(PI()*(BV$3-$D$33)/($E$33-$D$33+1))-COS(PI()*(BV$3-$D$33+1)/($E$33-$D$33+1)))/2,1/($E$33-$D$33+1)),0)+IF(AND(BV$3&gt;=$D$34,BV$3&lt;=$E$34),$I$34*IF($F$34="S-Curve",(COS(PI()*(BV$3-$D$34)/($E$34-$D$34+1))-COS(PI()*(BV$3-$D$34+1)/($E$34-$D$34+1)))/2,1/($E$34-$D$34+1)),0)+IF(AND(BV$3&gt;=$D$35,BV$3&lt;=$E$35),$I$35*IF($F$35="S-Curve",(COS(PI()*(BV$3-$D$35)/($E$35-$D$35+1))-COS(PI()*(BV$3-$D$35+1)/($E$35-$D$35+1)))/2,1/($E$35-$D$35+1)),0)</f>
        <v>0</v>
      </c>
      <c r="BW150" s="7" t="n">
        <f aca="false">IF(AND(BW$3&gt;=$D$27,BW$3&lt;=$E$27),$I$27*IF($F$27="S-Curve",(COS(PI()*(BW$3-$D$27)/($E$27-$D$27+1))-COS(PI()*(BW$3-$D$27+1)/($E$27-$D$27+1)))/2,1/($E$27-$D$27+1)),0)+IF(AND(BW$3&gt;=$D$28,BW$3&lt;=$E$28),$I$28*IF($F$28="S-Curve",(COS(PI()*(BW$3-$D$28)/($E$28-$D$28+1))-COS(PI()*(BW$3-$D$28+1)/($E$28-$D$28+1)))/2,1/($E$28-$D$28+1)),0)+IF(AND(BW$3&gt;=$D$30,BW$3&lt;=$E$30),$I$30*IF($F$30="S-Curve",(COS(PI()*(BW$3-$D$30)/($E$30-$D$30+1))-COS(PI()*(BW$3-$D$30+1)/($E$30-$D$30+1)))/2,1/($E$30-$D$30+1)),0)+IF(AND(BW$3&gt;=$D$31,BW$3&lt;=$E$31),$I$31*IF($F$31="S-Curve",(COS(PI()*(BW$3-$D$31)/($E$31-$D$31+1))-COS(PI()*(BW$3-$D$31+1)/($E$31-$D$31+1)))/2,1/($E$31-$D$31+1)),0)+IF(AND(BW$3&gt;=$D$32,BW$3&lt;=$E$32),$I$32*IF($F$32="S-Curve",(COS(PI()*(BW$3-$D$32)/($E$32-$D$32+1))-COS(PI()*(BW$3-$D$32+1)/($E$32-$D$32+1)))/2,1/($E$32-$D$32+1)),0)+IF(AND(BW$3&gt;=$D$33,BW$3&lt;=$E$33),$I$33*IF($F$33="S-Curve",(COS(PI()*(BW$3-$D$33)/($E$33-$D$33+1))-COS(PI()*(BW$3-$D$33+1)/($E$33-$D$33+1)))/2,1/($E$33-$D$33+1)),0)+IF(AND(BW$3&gt;=$D$34,BW$3&lt;=$E$34),$I$34*IF($F$34="S-Curve",(COS(PI()*(BW$3-$D$34)/($E$34-$D$34+1))-COS(PI()*(BW$3-$D$34+1)/($E$34-$D$34+1)))/2,1/($E$34-$D$34+1)),0)+IF(AND(BW$3&gt;=$D$35,BW$3&lt;=$E$35),$I$35*IF($F$35="S-Curve",(COS(PI()*(BW$3-$D$35)/($E$35-$D$35+1))-COS(PI()*(BW$3-$D$35+1)/($E$35-$D$35+1)))/2,1/($E$35-$D$35+1)),0)</f>
        <v>0</v>
      </c>
      <c r="BX150" s="7" t="n">
        <f aca="false">IF(AND(BX$3&gt;=$D$27,BX$3&lt;=$E$27),$I$27*IF($F$27="S-Curve",(COS(PI()*(BX$3-$D$27)/($E$27-$D$27+1))-COS(PI()*(BX$3-$D$27+1)/($E$27-$D$27+1)))/2,1/($E$27-$D$27+1)),0)+IF(AND(BX$3&gt;=$D$28,BX$3&lt;=$E$28),$I$28*IF($F$28="S-Curve",(COS(PI()*(BX$3-$D$28)/($E$28-$D$28+1))-COS(PI()*(BX$3-$D$28+1)/($E$28-$D$28+1)))/2,1/($E$28-$D$28+1)),0)+IF(AND(BX$3&gt;=$D$30,BX$3&lt;=$E$30),$I$30*IF($F$30="S-Curve",(COS(PI()*(BX$3-$D$30)/($E$30-$D$30+1))-COS(PI()*(BX$3-$D$30+1)/($E$30-$D$30+1)))/2,1/($E$30-$D$30+1)),0)+IF(AND(BX$3&gt;=$D$31,BX$3&lt;=$E$31),$I$31*IF($F$31="S-Curve",(COS(PI()*(BX$3-$D$31)/($E$31-$D$31+1))-COS(PI()*(BX$3-$D$31+1)/($E$31-$D$31+1)))/2,1/($E$31-$D$31+1)),0)+IF(AND(BX$3&gt;=$D$32,BX$3&lt;=$E$32),$I$32*IF($F$32="S-Curve",(COS(PI()*(BX$3-$D$32)/($E$32-$D$32+1))-COS(PI()*(BX$3-$D$32+1)/($E$32-$D$32+1)))/2,1/($E$32-$D$32+1)),0)+IF(AND(BX$3&gt;=$D$33,BX$3&lt;=$E$33),$I$33*IF($F$33="S-Curve",(COS(PI()*(BX$3-$D$33)/($E$33-$D$33+1))-COS(PI()*(BX$3-$D$33+1)/($E$33-$D$33+1)))/2,1/($E$33-$D$33+1)),0)+IF(AND(BX$3&gt;=$D$34,BX$3&lt;=$E$34),$I$34*IF($F$34="S-Curve",(COS(PI()*(BX$3-$D$34)/($E$34-$D$34+1))-COS(PI()*(BX$3-$D$34+1)/($E$34-$D$34+1)))/2,1/($E$34-$D$34+1)),0)+IF(AND(BX$3&gt;=$D$35,BX$3&lt;=$E$35),$I$35*IF($F$35="S-Curve",(COS(PI()*(BX$3-$D$35)/($E$35-$D$35+1))-COS(PI()*(BX$3-$D$35+1)/($E$35-$D$35+1)))/2,1/($E$35-$D$35+1)),0)</f>
        <v>0</v>
      </c>
      <c r="BY150" s="7" t="n">
        <f aca="false">IF(AND(BY$3&gt;=$D$27,BY$3&lt;=$E$27),$I$27*IF($F$27="S-Curve",(COS(PI()*(BY$3-$D$27)/($E$27-$D$27+1))-COS(PI()*(BY$3-$D$27+1)/($E$27-$D$27+1)))/2,1/($E$27-$D$27+1)),0)+IF(AND(BY$3&gt;=$D$28,BY$3&lt;=$E$28),$I$28*IF($F$28="S-Curve",(COS(PI()*(BY$3-$D$28)/($E$28-$D$28+1))-COS(PI()*(BY$3-$D$28+1)/($E$28-$D$28+1)))/2,1/($E$28-$D$28+1)),0)+IF(AND(BY$3&gt;=$D$30,BY$3&lt;=$E$30),$I$30*IF($F$30="S-Curve",(COS(PI()*(BY$3-$D$30)/($E$30-$D$30+1))-COS(PI()*(BY$3-$D$30+1)/($E$30-$D$30+1)))/2,1/($E$30-$D$30+1)),0)+IF(AND(BY$3&gt;=$D$31,BY$3&lt;=$E$31),$I$31*IF($F$31="S-Curve",(COS(PI()*(BY$3-$D$31)/($E$31-$D$31+1))-COS(PI()*(BY$3-$D$31+1)/($E$31-$D$31+1)))/2,1/($E$31-$D$31+1)),0)+IF(AND(BY$3&gt;=$D$32,BY$3&lt;=$E$32),$I$32*IF($F$32="S-Curve",(COS(PI()*(BY$3-$D$32)/($E$32-$D$32+1))-COS(PI()*(BY$3-$D$32+1)/($E$32-$D$32+1)))/2,1/($E$32-$D$32+1)),0)+IF(AND(BY$3&gt;=$D$33,BY$3&lt;=$E$33),$I$33*IF($F$33="S-Curve",(COS(PI()*(BY$3-$D$33)/($E$33-$D$33+1))-COS(PI()*(BY$3-$D$33+1)/($E$33-$D$33+1)))/2,1/($E$33-$D$33+1)),0)+IF(AND(BY$3&gt;=$D$34,BY$3&lt;=$E$34),$I$34*IF($F$34="S-Curve",(COS(PI()*(BY$3-$D$34)/($E$34-$D$34+1))-COS(PI()*(BY$3-$D$34+1)/($E$34-$D$34+1)))/2,1/($E$34-$D$34+1)),0)+IF(AND(BY$3&gt;=$D$35,BY$3&lt;=$E$35),$I$35*IF($F$35="S-Curve",(COS(PI()*(BY$3-$D$35)/($E$35-$D$35+1))-COS(PI()*(BY$3-$D$35+1)/($E$35-$D$35+1)))/2,1/($E$35-$D$35+1)),0)</f>
        <v>0</v>
      </c>
      <c r="BZ150" s="7" t="n">
        <f aca="false">IF(AND(BZ$3&gt;=$D$27,BZ$3&lt;=$E$27),$I$27*IF($F$27="S-Curve",(COS(PI()*(BZ$3-$D$27)/($E$27-$D$27+1))-COS(PI()*(BZ$3-$D$27+1)/($E$27-$D$27+1)))/2,1/($E$27-$D$27+1)),0)+IF(AND(BZ$3&gt;=$D$28,BZ$3&lt;=$E$28),$I$28*IF($F$28="S-Curve",(COS(PI()*(BZ$3-$D$28)/($E$28-$D$28+1))-COS(PI()*(BZ$3-$D$28+1)/($E$28-$D$28+1)))/2,1/($E$28-$D$28+1)),0)+IF(AND(BZ$3&gt;=$D$30,BZ$3&lt;=$E$30),$I$30*IF($F$30="S-Curve",(COS(PI()*(BZ$3-$D$30)/($E$30-$D$30+1))-COS(PI()*(BZ$3-$D$30+1)/($E$30-$D$30+1)))/2,1/($E$30-$D$30+1)),0)+IF(AND(BZ$3&gt;=$D$31,BZ$3&lt;=$E$31),$I$31*IF($F$31="S-Curve",(COS(PI()*(BZ$3-$D$31)/($E$31-$D$31+1))-COS(PI()*(BZ$3-$D$31+1)/($E$31-$D$31+1)))/2,1/($E$31-$D$31+1)),0)+IF(AND(BZ$3&gt;=$D$32,BZ$3&lt;=$E$32),$I$32*IF($F$32="S-Curve",(COS(PI()*(BZ$3-$D$32)/($E$32-$D$32+1))-COS(PI()*(BZ$3-$D$32+1)/($E$32-$D$32+1)))/2,1/($E$32-$D$32+1)),0)+IF(AND(BZ$3&gt;=$D$33,BZ$3&lt;=$E$33),$I$33*IF($F$33="S-Curve",(COS(PI()*(BZ$3-$D$33)/($E$33-$D$33+1))-COS(PI()*(BZ$3-$D$33+1)/($E$33-$D$33+1)))/2,1/($E$33-$D$33+1)),0)+IF(AND(BZ$3&gt;=$D$34,BZ$3&lt;=$E$34),$I$34*IF($F$34="S-Curve",(COS(PI()*(BZ$3-$D$34)/($E$34-$D$34+1))-COS(PI()*(BZ$3-$D$34+1)/($E$34-$D$34+1)))/2,1/($E$34-$D$34+1)),0)+IF(AND(BZ$3&gt;=$D$35,BZ$3&lt;=$E$35),$I$35*IF($F$35="S-Curve",(COS(PI()*(BZ$3-$D$35)/($E$35-$D$35+1))-COS(PI()*(BZ$3-$D$35+1)/($E$35-$D$35+1)))/2,1/($E$35-$D$35+1)),0)</f>
        <v>0</v>
      </c>
      <c r="CA150" s="7" t="n">
        <f aca="false">IF(AND(CA$3&gt;=$D$27,CA$3&lt;=$E$27),$I$27*IF($F$27="S-Curve",(COS(PI()*(CA$3-$D$27)/($E$27-$D$27+1))-COS(PI()*(CA$3-$D$27+1)/($E$27-$D$27+1)))/2,1/($E$27-$D$27+1)),0)+IF(AND(CA$3&gt;=$D$28,CA$3&lt;=$E$28),$I$28*IF($F$28="S-Curve",(COS(PI()*(CA$3-$D$28)/($E$28-$D$28+1))-COS(PI()*(CA$3-$D$28+1)/($E$28-$D$28+1)))/2,1/($E$28-$D$28+1)),0)+IF(AND(CA$3&gt;=$D$30,CA$3&lt;=$E$30),$I$30*IF($F$30="S-Curve",(COS(PI()*(CA$3-$D$30)/($E$30-$D$30+1))-COS(PI()*(CA$3-$D$30+1)/($E$30-$D$30+1)))/2,1/($E$30-$D$30+1)),0)+IF(AND(CA$3&gt;=$D$31,CA$3&lt;=$E$31),$I$31*IF($F$31="S-Curve",(COS(PI()*(CA$3-$D$31)/($E$31-$D$31+1))-COS(PI()*(CA$3-$D$31+1)/($E$31-$D$31+1)))/2,1/($E$31-$D$31+1)),0)+IF(AND(CA$3&gt;=$D$32,CA$3&lt;=$E$32),$I$32*IF($F$32="S-Curve",(COS(PI()*(CA$3-$D$32)/($E$32-$D$32+1))-COS(PI()*(CA$3-$D$32+1)/($E$32-$D$32+1)))/2,1/($E$32-$D$32+1)),0)+IF(AND(CA$3&gt;=$D$33,CA$3&lt;=$E$33),$I$33*IF($F$33="S-Curve",(COS(PI()*(CA$3-$D$33)/($E$33-$D$33+1))-COS(PI()*(CA$3-$D$33+1)/($E$33-$D$33+1)))/2,1/($E$33-$D$33+1)),0)+IF(AND(CA$3&gt;=$D$34,CA$3&lt;=$E$34),$I$34*IF($F$34="S-Curve",(COS(PI()*(CA$3-$D$34)/($E$34-$D$34+1))-COS(PI()*(CA$3-$D$34+1)/($E$34-$D$34+1)))/2,1/($E$34-$D$34+1)),0)+IF(AND(CA$3&gt;=$D$35,CA$3&lt;=$E$35),$I$35*IF($F$35="S-Curve",(COS(PI()*(CA$3-$D$35)/($E$35-$D$35+1))-COS(PI()*(CA$3-$D$35+1)/($E$35-$D$35+1)))/2,1/($E$35-$D$35+1)),0)</f>
        <v>0</v>
      </c>
      <c r="CB150" s="7" t="n">
        <f aca="false">IF(AND(CB$3&gt;=$D$27,CB$3&lt;=$E$27),$I$27*IF($F$27="S-Curve",(COS(PI()*(CB$3-$D$27)/($E$27-$D$27+1))-COS(PI()*(CB$3-$D$27+1)/($E$27-$D$27+1)))/2,1/($E$27-$D$27+1)),0)+IF(AND(CB$3&gt;=$D$28,CB$3&lt;=$E$28),$I$28*IF($F$28="S-Curve",(COS(PI()*(CB$3-$D$28)/($E$28-$D$28+1))-COS(PI()*(CB$3-$D$28+1)/($E$28-$D$28+1)))/2,1/($E$28-$D$28+1)),0)+IF(AND(CB$3&gt;=$D$30,CB$3&lt;=$E$30),$I$30*IF($F$30="S-Curve",(COS(PI()*(CB$3-$D$30)/($E$30-$D$30+1))-COS(PI()*(CB$3-$D$30+1)/($E$30-$D$30+1)))/2,1/($E$30-$D$30+1)),0)+IF(AND(CB$3&gt;=$D$31,CB$3&lt;=$E$31),$I$31*IF($F$31="S-Curve",(COS(PI()*(CB$3-$D$31)/($E$31-$D$31+1))-COS(PI()*(CB$3-$D$31+1)/($E$31-$D$31+1)))/2,1/($E$31-$D$31+1)),0)+IF(AND(CB$3&gt;=$D$32,CB$3&lt;=$E$32),$I$32*IF($F$32="S-Curve",(COS(PI()*(CB$3-$D$32)/($E$32-$D$32+1))-COS(PI()*(CB$3-$D$32+1)/($E$32-$D$32+1)))/2,1/($E$32-$D$32+1)),0)+IF(AND(CB$3&gt;=$D$33,CB$3&lt;=$E$33),$I$33*IF($F$33="S-Curve",(COS(PI()*(CB$3-$D$33)/($E$33-$D$33+1))-COS(PI()*(CB$3-$D$33+1)/($E$33-$D$33+1)))/2,1/($E$33-$D$33+1)),0)+IF(AND(CB$3&gt;=$D$34,CB$3&lt;=$E$34),$I$34*IF($F$34="S-Curve",(COS(PI()*(CB$3-$D$34)/($E$34-$D$34+1))-COS(PI()*(CB$3-$D$34+1)/($E$34-$D$34+1)))/2,1/($E$34-$D$34+1)),0)+IF(AND(CB$3&gt;=$D$35,CB$3&lt;=$E$35),$I$35*IF($F$35="S-Curve",(COS(PI()*(CB$3-$D$35)/($E$35-$D$35+1))-COS(PI()*(CB$3-$D$35+1)/($E$35-$D$35+1)))/2,1/($E$35-$D$35+1)),0)</f>
        <v>0</v>
      </c>
      <c r="CC150" s="7" t="n">
        <f aca="false">IF(AND(CC$3&gt;=$D$27,CC$3&lt;=$E$27),$I$27*IF($F$27="S-Curve",(COS(PI()*(CC$3-$D$27)/($E$27-$D$27+1))-COS(PI()*(CC$3-$D$27+1)/($E$27-$D$27+1)))/2,1/($E$27-$D$27+1)),0)+IF(AND(CC$3&gt;=$D$28,CC$3&lt;=$E$28),$I$28*IF($F$28="S-Curve",(COS(PI()*(CC$3-$D$28)/($E$28-$D$28+1))-COS(PI()*(CC$3-$D$28+1)/($E$28-$D$28+1)))/2,1/($E$28-$D$28+1)),0)+IF(AND(CC$3&gt;=$D$30,CC$3&lt;=$E$30),$I$30*IF($F$30="S-Curve",(COS(PI()*(CC$3-$D$30)/($E$30-$D$30+1))-COS(PI()*(CC$3-$D$30+1)/($E$30-$D$30+1)))/2,1/($E$30-$D$30+1)),0)+IF(AND(CC$3&gt;=$D$31,CC$3&lt;=$E$31),$I$31*IF($F$31="S-Curve",(COS(PI()*(CC$3-$D$31)/($E$31-$D$31+1))-COS(PI()*(CC$3-$D$31+1)/($E$31-$D$31+1)))/2,1/($E$31-$D$31+1)),0)+IF(AND(CC$3&gt;=$D$32,CC$3&lt;=$E$32),$I$32*IF($F$32="S-Curve",(COS(PI()*(CC$3-$D$32)/($E$32-$D$32+1))-COS(PI()*(CC$3-$D$32+1)/($E$32-$D$32+1)))/2,1/($E$32-$D$32+1)),0)+IF(AND(CC$3&gt;=$D$33,CC$3&lt;=$E$33),$I$33*IF($F$33="S-Curve",(COS(PI()*(CC$3-$D$33)/($E$33-$D$33+1))-COS(PI()*(CC$3-$D$33+1)/($E$33-$D$33+1)))/2,1/($E$33-$D$33+1)),0)+IF(AND(CC$3&gt;=$D$34,CC$3&lt;=$E$34),$I$34*IF($F$34="S-Curve",(COS(PI()*(CC$3-$D$34)/($E$34-$D$34+1))-COS(PI()*(CC$3-$D$34+1)/($E$34-$D$34+1)))/2,1/($E$34-$D$34+1)),0)+IF(AND(CC$3&gt;=$D$35,CC$3&lt;=$E$35),$I$35*IF($F$35="S-Curve",(COS(PI()*(CC$3-$D$35)/($E$35-$D$35+1))-COS(PI()*(CC$3-$D$35+1)/($E$35-$D$35+1)))/2,1/($E$35-$D$35+1)),0)</f>
        <v>0</v>
      </c>
      <c r="CD150" s="7" t="n">
        <f aca="false">IF(AND(CD$3&gt;=$D$27,CD$3&lt;=$E$27),$I$27*IF($F$27="S-Curve",(COS(PI()*(CD$3-$D$27)/($E$27-$D$27+1))-COS(PI()*(CD$3-$D$27+1)/($E$27-$D$27+1)))/2,1/($E$27-$D$27+1)),0)+IF(AND(CD$3&gt;=$D$28,CD$3&lt;=$E$28),$I$28*IF($F$28="S-Curve",(COS(PI()*(CD$3-$D$28)/($E$28-$D$28+1))-COS(PI()*(CD$3-$D$28+1)/($E$28-$D$28+1)))/2,1/($E$28-$D$28+1)),0)+IF(AND(CD$3&gt;=$D$30,CD$3&lt;=$E$30),$I$30*IF($F$30="S-Curve",(COS(PI()*(CD$3-$D$30)/($E$30-$D$30+1))-COS(PI()*(CD$3-$D$30+1)/($E$30-$D$30+1)))/2,1/($E$30-$D$30+1)),0)+IF(AND(CD$3&gt;=$D$31,CD$3&lt;=$E$31),$I$31*IF($F$31="S-Curve",(COS(PI()*(CD$3-$D$31)/($E$31-$D$31+1))-COS(PI()*(CD$3-$D$31+1)/($E$31-$D$31+1)))/2,1/($E$31-$D$31+1)),0)+IF(AND(CD$3&gt;=$D$32,CD$3&lt;=$E$32),$I$32*IF($F$32="S-Curve",(COS(PI()*(CD$3-$D$32)/($E$32-$D$32+1))-COS(PI()*(CD$3-$D$32+1)/($E$32-$D$32+1)))/2,1/($E$32-$D$32+1)),0)+IF(AND(CD$3&gt;=$D$33,CD$3&lt;=$E$33),$I$33*IF($F$33="S-Curve",(COS(PI()*(CD$3-$D$33)/($E$33-$D$33+1))-COS(PI()*(CD$3-$D$33+1)/($E$33-$D$33+1)))/2,1/($E$33-$D$33+1)),0)+IF(AND(CD$3&gt;=$D$34,CD$3&lt;=$E$34),$I$34*IF($F$34="S-Curve",(COS(PI()*(CD$3-$D$34)/($E$34-$D$34+1))-COS(PI()*(CD$3-$D$34+1)/($E$34-$D$34+1)))/2,1/($E$34-$D$34+1)),0)+IF(AND(CD$3&gt;=$D$35,CD$3&lt;=$E$35),$I$35*IF($F$35="S-Curve",(COS(PI()*(CD$3-$D$35)/($E$35-$D$35+1))-COS(PI()*(CD$3-$D$35+1)/($E$35-$D$35+1)))/2,1/($E$35-$D$35+1)),0)</f>
        <v>0</v>
      </c>
      <c r="CE150" s="7" t="n">
        <f aca="false">IF(AND(CE$3&gt;=$D$27,CE$3&lt;=$E$27),$I$27*IF($F$27="S-Curve",(COS(PI()*(CE$3-$D$27)/($E$27-$D$27+1))-COS(PI()*(CE$3-$D$27+1)/($E$27-$D$27+1)))/2,1/($E$27-$D$27+1)),0)+IF(AND(CE$3&gt;=$D$28,CE$3&lt;=$E$28),$I$28*IF($F$28="S-Curve",(COS(PI()*(CE$3-$D$28)/($E$28-$D$28+1))-COS(PI()*(CE$3-$D$28+1)/($E$28-$D$28+1)))/2,1/($E$28-$D$28+1)),0)+IF(AND(CE$3&gt;=$D$30,CE$3&lt;=$E$30),$I$30*IF($F$30="S-Curve",(COS(PI()*(CE$3-$D$30)/($E$30-$D$30+1))-COS(PI()*(CE$3-$D$30+1)/($E$30-$D$30+1)))/2,1/($E$30-$D$30+1)),0)+IF(AND(CE$3&gt;=$D$31,CE$3&lt;=$E$31),$I$31*IF($F$31="S-Curve",(COS(PI()*(CE$3-$D$31)/($E$31-$D$31+1))-COS(PI()*(CE$3-$D$31+1)/($E$31-$D$31+1)))/2,1/($E$31-$D$31+1)),0)+IF(AND(CE$3&gt;=$D$32,CE$3&lt;=$E$32),$I$32*IF($F$32="S-Curve",(COS(PI()*(CE$3-$D$32)/($E$32-$D$32+1))-COS(PI()*(CE$3-$D$32+1)/($E$32-$D$32+1)))/2,1/($E$32-$D$32+1)),0)+IF(AND(CE$3&gt;=$D$33,CE$3&lt;=$E$33),$I$33*IF($F$33="S-Curve",(COS(PI()*(CE$3-$D$33)/($E$33-$D$33+1))-COS(PI()*(CE$3-$D$33+1)/($E$33-$D$33+1)))/2,1/($E$33-$D$33+1)),0)+IF(AND(CE$3&gt;=$D$34,CE$3&lt;=$E$34),$I$34*IF($F$34="S-Curve",(COS(PI()*(CE$3-$D$34)/($E$34-$D$34+1))-COS(PI()*(CE$3-$D$34+1)/($E$34-$D$34+1)))/2,1/($E$34-$D$34+1)),0)+IF(AND(CE$3&gt;=$D$35,CE$3&lt;=$E$35),$I$35*IF($F$35="S-Curve",(COS(PI()*(CE$3-$D$35)/($E$35-$D$35+1))-COS(PI()*(CE$3-$D$35+1)/($E$35-$D$35+1)))/2,1/($E$35-$D$35+1)),0)</f>
        <v>0</v>
      </c>
      <c r="CF150" s="7" t="n">
        <f aca="false">IF(AND(CF$3&gt;=$D$27,CF$3&lt;=$E$27),$I$27*IF($F$27="S-Curve",(COS(PI()*(CF$3-$D$27)/($E$27-$D$27+1))-COS(PI()*(CF$3-$D$27+1)/($E$27-$D$27+1)))/2,1/($E$27-$D$27+1)),0)+IF(AND(CF$3&gt;=$D$28,CF$3&lt;=$E$28),$I$28*IF($F$28="S-Curve",(COS(PI()*(CF$3-$D$28)/($E$28-$D$28+1))-COS(PI()*(CF$3-$D$28+1)/($E$28-$D$28+1)))/2,1/($E$28-$D$28+1)),0)+IF(AND(CF$3&gt;=$D$30,CF$3&lt;=$E$30),$I$30*IF($F$30="S-Curve",(COS(PI()*(CF$3-$D$30)/($E$30-$D$30+1))-COS(PI()*(CF$3-$D$30+1)/($E$30-$D$30+1)))/2,1/($E$30-$D$30+1)),0)+IF(AND(CF$3&gt;=$D$31,CF$3&lt;=$E$31),$I$31*IF($F$31="S-Curve",(COS(PI()*(CF$3-$D$31)/($E$31-$D$31+1))-COS(PI()*(CF$3-$D$31+1)/($E$31-$D$31+1)))/2,1/($E$31-$D$31+1)),0)+IF(AND(CF$3&gt;=$D$32,CF$3&lt;=$E$32),$I$32*IF($F$32="S-Curve",(COS(PI()*(CF$3-$D$32)/($E$32-$D$32+1))-COS(PI()*(CF$3-$D$32+1)/($E$32-$D$32+1)))/2,1/($E$32-$D$32+1)),0)+IF(AND(CF$3&gt;=$D$33,CF$3&lt;=$E$33),$I$33*IF($F$33="S-Curve",(COS(PI()*(CF$3-$D$33)/($E$33-$D$33+1))-COS(PI()*(CF$3-$D$33+1)/($E$33-$D$33+1)))/2,1/($E$33-$D$33+1)),0)+IF(AND(CF$3&gt;=$D$34,CF$3&lt;=$E$34),$I$34*IF($F$34="S-Curve",(COS(PI()*(CF$3-$D$34)/($E$34-$D$34+1))-COS(PI()*(CF$3-$D$34+1)/($E$34-$D$34+1)))/2,1/($E$34-$D$34+1)),0)+IF(AND(CF$3&gt;=$D$35,CF$3&lt;=$E$35),$I$35*IF($F$35="S-Curve",(COS(PI()*(CF$3-$D$35)/($E$35-$D$35+1))-COS(PI()*(CF$3-$D$35+1)/($E$35-$D$35+1)))/2,1/($E$35-$D$35+1)),0)</f>
        <v>0</v>
      </c>
      <c r="CG150" s="7" t="n">
        <f aca="false">IF(AND(CG$3&gt;=$D$27,CG$3&lt;=$E$27),$I$27*IF($F$27="S-Curve",(COS(PI()*(CG$3-$D$27)/($E$27-$D$27+1))-COS(PI()*(CG$3-$D$27+1)/($E$27-$D$27+1)))/2,1/($E$27-$D$27+1)),0)+IF(AND(CG$3&gt;=$D$28,CG$3&lt;=$E$28),$I$28*IF($F$28="S-Curve",(COS(PI()*(CG$3-$D$28)/($E$28-$D$28+1))-COS(PI()*(CG$3-$D$28+1)/($E$28-$D$28+1)))/2,1/($E$28-$D$28+1)),0)+IF(AND(CG$3&gt;=$D$30,CG$3&lt;=$E$30),$I$30*IF($F$30="S-Curve",(COS(PI()*(CG$3-$D$30)/($E$30-$D$30+1))-COS(PI()*(CG$3-$D$30+1)/($E$30-$D$30+1)))/2,1/($E$30-$D$30+1)),0)+IF(AND(CG$3&gt;=$D$31,CG$3&lt;=$E$31),$I$31*IF($F$31="S-Curve",(COS(PI()*(CG$3-$D$31)/($E$31-$D$31+1))-COS(PI()*(CG$3-$D$31+1)/($E$31-$D$31+1)))/2,1/($E$31-$D$31+1)),0)+IF(AND(CG$3&gt;=$D$32,CG$3&lt;=$E$32),$I$32*IF($F$32="S-Curve",(COS(PI()*(CG$3-$D$32)/($E$32-$D$32+1))-COS(PI()*(CG$3-$D$32+1)/($E$32-$D$32+1)))/2,1/($E$32-$D$32+1)),0)+IF(AND(CG$3&gt;=$D$33,CG$3&lt;=$E$33),$I$33*IF($F$33="S-Curve",(COS(PI()*(CG$3-$D$33)/($E$33-$D$33+1))-COS(PI()*(CG$3-$D$33+1)/($E$33-$D$33+1)))/2,1/($E$33-$D$33+1)),0)+IF(AND(CG$3&gt;=$D$34,CG$3&lt;=$E$34),$I$34*IF($F$34="S-Curve",(COS(PI()*(CG$3-$D$34)/($E$34-$D$34+1))-COS(PI()*(CG$3-$D$34+1)/($E$34-$D$34+1)))/2,1/($E$34-$D$34+1)),0)+IF(AND(CG$3&gt;=$D$35,CG$3&lt;=$E$35),$I$35*IF($F$35="S-Curve",(COS(PI()*(CG$3-$D$35)/($E$35-$D$35+1))-COS(PI()*(CG$3-$D$35+1)/($E$35-$D$35+1)))/2,1/($E$35-$D$35+1)),0)</f>
        <v>0</v>
      </c>
      <c r="CH150" s="7" t="n">
        <f aca="false">IF(AND(CH$3&gt;=$D$27,CH$3&lt;=$E$27),$I$27*IF($F$27="S-Curve",(COS(PI()*(CH$3-$D$27)/($E$27-$D$27+1))-COS(PI()*(CH$3-$D$27+1)/($E$27-$D$27+1)))/2,1/($E$27-$D$27+1)),0)+IF(AND(CH$3&gt;=$D$28,CH$3&lt;=$E$28),$I$28*IF($F$28="S-Curve",(COS(PI()*(CH$3-$D$28)/($E$28-$D$28+1))-COS(PI()*(CH$3-$D$28+1)/($E$28-$D$28+1)))/2,1/($E$28-$D$28+1)),0)+IF(AND(CH$3&gt;=$D$30,CH$3&lt;=$E$30),$I$30*IF($F$30="S-Curve",(COS(PI()*(CH$3-$D$30)/($E$30-$D$30+1))-COS(PI()*(CH$3-$D$30+1)/($E$30-$D$30+1)))/2,1/($E$30-$D$30+1)),0)+IF(AND(CH$3&gt;=$D$31,CH$3&lt;=$E$31),$I$31*IF($F$31="S-Curve",(COS(PI()*(CH$3-$D$31)/($E$31-$D$31+1))-COS(PI()*(CH$3-$D$31+1)/($E$31-$D$31+1)))/2,1/($E$31-$D$31+1)),0)+IF(AND(CH$3&gt;=$D$32,CH$3&lt;=$E$32),$I$32*IF($F$32="S-Curve",(COS(PI()*(CH$3-$D$32)/($E$32-$D$32+1))-COS(PI()*(CH$3-$D$32+1)/($E$32-$D$32+1)))/2,1/($E$32-$D$32+1)),0)+IF(AND(CH$3&gt;=$D$33,CH$3&lt;=$E$33),$I$33*IF($F$33="S-Curve",(COS(PI()*(CH$3-$D$33)/($E$33-$D$33+1))-COS(PI()*(CH$3-$D$33+1)/($E$33-$D$33+1)))/2,1/($E$33-$D$33+1)),0)+IF(AND(CH$3&gt;=$D$34,CH$3&lt;=$E$34),$I$34*IF($F$34="S-Curve",(COS(PI()*(CH$3-$D$34)/($E$34-$D$34+1))-COS(PI()*(CH$3-$D$34+1)/($E$34-$D$34+1)))/2,1/($E$34-$D$34+1)),0)+IF(AND(CH$3&gt;=$D$35,CH$3&lt;=$E$35),$I$35*IF($F$35="S-Curve",(COS(PI()*(CH$3-$D$35)/($E$35-$D$35+1))-COS(PI()*(CH$3-$D$35+1)/($E$35-$D$35+1)))/2,1/($E$35-$D$35+1)),0)</f>
        <v>0</v>
      </c>
      <c r="CI150" s="7" t="n">
        <f aca="false">IF(AND(CI$3&gt;=$D$27,CI$3&lt;=$E$27),$I$27*IF($F$27="S-Curve",(COS(PI()*(CI$3-$D$27)/($E$27-$D$27+1))-COS(PI()*(CI$3-$D$27+1)/($E$27-$D$27+1)))/2,1/($E$27-$D$27+1)),0)+IF(AND(CI$3&gt;=$D$28,CI$3&lt;=$E$28),$I$28*IF($F$28="S-Curve",(COS(PI()*(CI$3-$D$28)/($E$28-$D$28+1))-COS(PI()*(CI$3-$D$28+1)/($E$28-$D$28+1)))/2,1/($E$28-$D$28+1)),0)+IF(AND(CI$3&gt;=$D$30,CI$3&lt;=$E$30),$I$30*IF($F$30="S-Curve",(COS(PI()*(CI$3-$D$30)/($E$30-$D$30+1))-COS(PI()*(CI$3-$D$30+1)/($E$30-$D$30+1)))/2,1/($E$30-$D$30+1)),0)+IF(AND(CI$3&gt;=$D$31,CI$3&lt;=$E$31),$I$31*IF($F$31="S-Curve",(COS(PI()*(CI$3-$D$31)/($E$31-$D$31+1))-COS(PI()*(CI$3-$D$31+1)/($E$31-$D$31+1)))/2,1/($E$31-$D$31+1)),0)+IF(AND(CI$3&gt;=$D$32,CI$3&lt;=$E$32),$I$32*IF($F$32="S-Curve",(COS(PI()*(CI$3-$D$32)/($E$32-$D$32+1))-COS(PI()*(CI$3-$D$32+1)/($E$32-$D$32+1)))/2,1/($E$32-$D$32+1)),0)+IF(AND(CI$3&gt;=$D$33,CI$3&lt;=$E$33),$I$33*IF($F$33="S-Curve",(COS(PI()*(CI$3-$D$33)/($E$33-$D$33+1))-COS(PI()*(CI$3-$D$33+1)/($E$33-$D$33+1)))/2,1/($E$33-$D$33+1)),0)+IF(AND(CI$3&gt;=$D$34,CI$3&lt;=$E$34),$I$34*IF($F$34="S-Curve",(COS(PI()*(CI$3-$D$34)/($E$34-$D$34+1))-COS(PI()*(CI$3-$D$34+1)/($E$34-$D$34+1)))/2,1/($E$34-$D$34+1)),0)+IF(AND(CI$3&gt;=$D$35,CI$3&lt;=$E$35),$I$35*IF($F$35="S-Curve",(COS(PI()*(CI$3-$D$35)/($E$35-$D$35+1))-COS(PI()*(CI$3-$D$35+1)/($E$35-$D$35+1)))/2,1/($E$35-$D$35+1)),0)</f>
        <v>0</v>
      </c>
      <c r="CJ150" s="7" t="n">
        <f aca="false">IF(AND(CJ$3&gt;=$D$27,CJ$3&lt;=$E$27),$I$27*IF($F$27="S-Curve",(COS(PI()*(CJ$3-$D$27)/($E$27-$D$27+1))-COS(PI()*(CJ$3-$D$27+1)/($E$27-$D$27+1)))/2,1/($E$27-$D$27+1)),0)+IF(AND(CJ$3&gt;=$D$28,CJ$3&lt;=$E$28),$I$28*IF($F$28="S-Curve",(COS(PI()*(CJ$3-$D$28)/($E$28-$D$28+1))-COS(PI()*(CJ$3-$D$28+1)/($E$28-$D$28+1)))/2,1/($E$28-$D$28+1)),0)+IF(AND(CJ$3&gt;=$D$30,CJ$3&lt;=$E$30),$I$30*IF($F$30="S-Curve",(COS(PI()*(CJ$3-$D$30)/($E$30-$D$30+1))-COS(PI()*(CJ$3-$D$30+1)/($E$30-$D$30+1)))/2,1/($E$30-$D$30+1)),0)+IF(AND(CJ$3&gt;=$D$31,CJ$3&lt;=$E$31),$I$31*IF($F$31="S-Curve",(COS(PI()*(CJ$3-$D$31)/($E$31-$D$31+1))-COS(PI()*(CJ$3-$D$31+1)/($E$31-$D$31+1)))/2,1/($E$31-$D$31+1)),0)+IF(AND(CJ$3&gt;=$D$32,CJ$3&lt;=$E$32),$I$32*IF($F$32="S-Curve",(COS(PI()*(CJ$3-$D$32)/($E$32-$D$32+1))-COS(PI()*(CJ$3-$D$32+1)/($E$32-$D$32+1)))/2,1/($E$32-$D$32+1)),0)+IF(AND(CJ$3&gt;=$D$33,CJ$3&lt;=$E$33),$I$33*IF($F$33="S-Curve",(COS(PI()*(CJ$3-$D$33)/($E$33-$D$33+1))-COS(PI()*(CJ$3-$D$33+1)/($E$33-$D$33+1)))/2,1/($E$33-$D$33+1)),0)+IF(AND(CJ$3&gt;=$D$34,CJ$3&lt;=$E$34),$I$34*IF($F$34="S-Curve",(COS(PI()*(CJ$3-$D$34)/($E$34-$D$34+1))-COS(PI()*(CJ$3-$D$34+1)/($E$34-$D$34+1)))/2,1/($E$34-$D$34+1)),0)+IF(AND(CJ$3&gt;=$D$35,CJ$3&lt;=$E$35),$I$35*IF($F$35="S-Curve",(COS(PI()*(CJ$3-$D$35)/($E$35-$D$35+1))-COS(PI()*(CJ$3-$D$35+1)/($E$35-$D$35+1)))/2,1/($E$35-$D$35+1)),0)</f>
        <v>0</v>
      </c>
      <c r="CK150" s="7" t="n">
        <f aca="false">IF(AND(CK$3&gt;=$D$27,CK$3&lt;=$E$27),$I$27*IF($F$27="S-Curve",(COS(PI()*(CK$3-$D$27)/($E$27-$D$27+1))-COS(PI()*(CK$3-$D$27+1)/($E$27-$D$27+1)))/2,1/($E$27-$D$27+1)),0)+IF(AND(CK$3&gt;=$D$28,CK$3&lt;=$E$28),$I$28*IF($F$28="S-Curve",(COS(PI()*(CK$3-$D$28)/($E$28-$D$28+1))-COS(PI()*(CK$3-$D$28+1)/($E$28-$D$28+1)))/2,1/($E$28-$D$28+1)),0)+IF(AND(CK$3&gt;=$D$30,CK$3&lt;=$E$30),$I$30*IF($F$30="S-Curve",(COS(PI()*(CK$3-$D$30)/($E$30-$D$30+1))-COS(PI()*(CK$3-$D$30+1)/($E$30-$D$30+1)))/2,1/($E$30-$D$30+1)),0)+IF(AND(CK$3&gt;=$D$31,CK$3&lt;=$E$31),$I$31*IF($F$31="S-Curve",(COS(PI()*(CK$3-$D$31)/($E$31-$D$31+1))-COS(PI()*(CK$3-$D$31+1)/($E$31-$D$31+1)))/2,1/($E$31-$D$31+1)),0)+IF(AND(CK$3&gt;=$D$32,CK$3&lt;=$E$32),$I$32*IF($F$32="S-Curve",(COS(PI()*(CK$3-$D$32)/($E$32-$D$32+1))-COS(PI()*(CK$3-$D$32+1)/($E$32-$D$32+1)))/2,1/($E$32-$D$32+1)),0)+IF(AND(CK$3&gt;=$D$33,CK$3&lt;=$E$33),$I$33*IF($F$33="S-Curve",(COS(PI()*(CK$3-$D$33)/($E$33-$D$33+1))-COS(PI()*(CK$3-$D$33+1)/($E$33-$D$33+1)))/2,1/($E$33-$D$33+1)),0)+IF(AND(CK$3&gt;=$D$34,CK$3&lt;=$E$34),$I$34*IF($F$34="S-Curve",(COS(PI()*(CK$3-$D$34)/($E$34-$D$34+1))-COS(PI()*(CK$3-$D$34+1)/($E$34-$D$34+1)))/2,1/($E$34-$D$34+1)),0)+IF(AND(CK$3&gt;=$D$35,CK$3&lt;=$E$35),$I$35*IF($F$35="S-Curve",(COS(PI()*(CK$3-$D$35)/($E$35-$D$35+1))-COS(PI()*(CK$3-$D$35+1)/($E$35-$D$35+1)))/2,1/($E$35-$D$35+1)),0)</f>
        <v>0</v>
      </c>
      <c r="CL150" s="7" t="n">
        <f aca="false">IF(AND(CL$3&gt;=$D$27,CL$3&lt;=$E$27),$I$27*IF($F$27="S-Curve",(COS(PI()*(CL$3-$D$27)/($E$27-$D$27+1))-COS(PI()*(CL$3-$D$27+1)/($E$27-$D$27+1)))/2,1/($E$27-$D$27+1)),0)+IF(AND(CL$3&gt;=$D$28,CL$3&lt;=$E$28),$I$28*IF($F$28="S-Curve",(COS(PI()*(CL$3-$D$28)/($E$28-$D$28+1))-COS(PI()*(CL$3-$D$28+1)/($E$28-$D$28+1)))/2,1/($E$28-$D$28+1)),0)+IF(AND(CL$3&gt;=$D$30,CL$3&lt;=$E$30),$I$30*IF($F$30="S-Curve",(COS(PI()*(CL$3-$D$30)/($E$30-$D$30+1))-COS(PI()*(CL$3-$D$30+1)/($E$30-$D$30+1)))/2,1/($E$30-$D$30+1)),0)+IF(AND(CL$3&gt;=$D$31,CL$3&lt;=$E$31),$I$31*IF($F$31="S-Curve",(COS(PI()*(CL$3-$D$31)/($E$31-$D$31+1))-COS(PI()*(CL$3-$D$31+1)/($E$31-$D$31+1)))/2,1/($E$31-$D$31+1)),0)+IF(AND(CL$3&gt;=$D$32,CL$3&lt;=$E$32),$I$32*IF($F$32="S-Curve",(COS(PI()*(CL$3-$D$32)/($E$32-$D$32+1))-COS(PI()*(CL$3-$D$32+1)/($E$32-$D$32+1)))/2,1/($E$32-$D$32+1)),0)+IF(AND(CL$3&gt;=$D$33,CL$3&lt;=$E$33),$I$33*IF($F$33="S-Curve",(COS(PI()*(CL$3-$D$33)/($E$33-$D$33+1))-COS(PI()*(CL$3-$D$33+1)/($E$33-$D$33+1)))/2,1/($E$33-$D$33+1)),0)+IF(AND(CL$3&gt;=$D$34,CL$3&lt;=$E$34),$I$34*IF($F$34="S-Curve",(COS(PI()*(CL$3-$D$34)/($E$34-$D$34+1))-COS(PI()*(CL$3-$D$34+1)/($E$34-$D$34+1)))/2,1/($E$34-$D$34+1)),0)+IF(AND(CL$3&gt;=$D$35,CL$3&lt;=$E$35),$I$35*IF($F$35="S-Curve",(COS(PI()*(CL$3-$D$35)/($E$35-$D$35+1))-COS(PI()*(CL$3-$D$35+1)/($E$35-$D$35+1)))/2,1/($E$35-$D$35+1)),0)</f>
        <v>0</v>
      </c>
      <c r="CM150" s="7" t="n">
        <f aca="false">IF(AND(CM$3&gt;=$D$27,CM$3&lt;=$E$27),$I$27*IF($F$27="S-Curve",(COS(PI()*(CM$3-$D$27)/($E$27-$D$27+1))-COS(PI()*(CM$3-$D$27+1)/($E$27-$D$27+1)))/2,1/($E$27-$D$27+1)),0)+IF(AND(CM$3&gt;=$D$28,CM$3&lt;=$E$28),$I$28*IF($F$28="S-Curve",(COS(PI()*(CM$3-$D$28)/($E$28-$D$28+1))-COS(PI()*(CM$3-$D$28+1)/($E$28-$D$28+1)))/2,1/($E$28-$D$28+1)),0)+IF(AND(CM$3&gt;=$D$30,CM$3&lt;=$E$30),$I$30*IF($F$30="S-Curve",(COS(PI()*(CM$3-$D$30)/($E$30-$D$30+1))-COS(PI()*(CM$3-$D$30+1)/($E$30-$D$30+1)))/2,1/($E$30-$D$30+1)),0)+IF(AND(CM$3&gt;=$D$31,CM$3&lt;=$E$31),$I$31*IF($F$31="S-Curve",(COS(PI()*(CM$3-$D$31)/($E$31-$D$31+1))-COS(PI()*(CM$3-$D$31+1)/($E$31-$D$31+1)))/2,1/($E$31-$D$31+1)),0)+IF(AND(CM$3&gt;=$D$32,CM$3&lt;=$E$32),$I$32*IF($F$32="S-Curve",(COS(PI()*(CM$3-$D$32)/($E$32-$D$32+1))-COS(PI()*(CM$3-$D$32+1)/($E$32-$D$32+1)))/2,1/($E$32-$D$32+1)),0)+IF(AND(CM$3&gt;=$D$33,CM$3&lt;=$E$33),$I$33*IF($F$33="S-Curve",(COS(PI()*(CM$3-$D$33)/($E$33-$D$33+1))-COS(PI()*(CM$3-$D$33+1)/($E$33-$D$33+1)))/2,1/($E$33-$D$33+1)),0)+IF(AND(CM$3&gt;=$D$34,CM$3&lt;=$E$34),$I$34*IF($F$34="S-Curve",(COS(PI()*(CM$3-$D$34)/($E$34-$D$34+1))-COS(PI()*(CM$3-$D$34+1)/($E$34-$D$34+1)))/2,1/($E$34-$D$34+1)),0)+IF(AND(CM$3&gt;=$D$35,CM$3&lt;=$E$35),$I$35*IF($F$35="S-Curve",(COS(PI()*(CM$3-$D$35)/($E$35-$D$35+1))-COS(PI()*(CM$3-$D$35+1)/($E$35-$D$35+1)))/2,1/($E$35-$D$35+1)),0)</f>
        <v>0</v>
      </c>
      <c r="CN150" s="7" t="n">
        <f aca="false">IF(AND(CN$3&gt;=$D$27,CN$3&lt;=$E$27),$I$27*IF($F$27="S-Curve",(COS(PI()*(CN$3-$D$27)/($E$27-$D$27+1))-COS(PI()*(CN$3-$D$27+1)/($E$27-$D$27+1)))/2,1/($E$27-$D$27+1)),0)+IF(AND(CN$3&gt;=$D$28,CN$3&lt;=$E$28),$I$28*IF($F$28="S-Curve",(COS(PI()*(CN$3-$D$28)/($E$28-$D$28+1))-COS(PI()*(CN$3-$D$28+1)/($E$28-$D$28+1)))/2,1/($E$28-$D$28+1)),0)+IF(AND(CN$3&gt;=$D$30,CN$3&lt;=$E$30),$I$30*IF($F$30="S-Curve",(COS(PI()*(CN$3-$D$30)/($E$30-$D$30+1))-COS(PI()*(CN$3-$D$30+1)/($E$30-$D$30+1)))/2,1/($E$30-$D$30+1)),0)+IF(AND(CN$3&gt;=$D$31,CN$3&lt;=$E$31),$I$31*IF($F$31="S-Curve",(COS(PI()*(CN$3-$D$31)/($E$31-$D$31+1))-COS(PI()*(CN$3-$D$31+1)/($E$31-$D$31+1)))/2,1/($E$31-$D$31+1)),0)+IF(AND(CN$3&gt;=$D$32,CN$3&lt;=$E$32),$I$32*IF($F$32="S-Curve",(COS(PI()*(CN$3-$D$32)/($E$32-$D$32+1))-COS(PI()*(CN$3-$D$32+1)/($E$32-$D$32+1)))/2,1/($E$32-$D$32+1)),0)+IF(AND(CN$3&gt;=$D$33,CN$3&lt;=$E$33),$I$33*IF($F$33="S-Curve",(COS(PI()*(CN$3-$D$33)/($E$33-$D$33+1))-COS(PI()*(CN$3-$D$33+1)/($E$33-$D$33+1)))/2,1/($E$33-$D$33+1)),0)+IF(AND(CN$3&gt;=$D$34,CN$3&lt;=$E$34),$I$34*IF($F$34="S-Curve",(COS(PI()*(CN$3-$D$34)/($E$34-$D$34+1))-COS(PI()*(CN$3-$D$34+1)/($E$34-$D$34+1)))/2,1/($E$34-$D$34+1)),0)+IF(AND(CN$3&gt;=$D$35,CN$3&lt;=$E$35),$I$35*IF($F$35="S-Curve",(COS(PI()*(CN$3-$D$35)/($E$35-$D$35+1))-COS(PI()*(CN$3-$D$35+1)/($E$35-$D$35+1)))/2,1/($E$35-$D$35+1)),0)</f>
        <v>0</v>
      </c>
      <c r="CO150" s="7" t="n">
        <f aca="false">IF(AND(CO$3&gt;=$D$27,CO$3&lt;=$E$27),$I$27*IF($F$27="S-Curve",(COS(PI()*(CO$3-$D$27)/($E$27-$D$27+1))-COS(PI()*(CO$3-$D$27+1)/($E$27-$D$27+1)))/2,1/($E$27-$D$27+1)),0)+IF(AND(CO$3&gt;=$D$28,CO$3&lt;=$E$28),$I$28*IF($F$28="S-Curve",(COS(PI()*(CO$3-$D$28)/($E$28-$D$28+1))-COS(PI()*(CO$3-$D$28+1)/($E$28-$D$28+1)))/2,1/($E$28-$D$28+1)),0)+IF(AND(CO$3&gt;=$D$30,CO$3&lt;=$E$30),$I$30*IF($F$30="S-Curve",(COS(PI()*(CO$3-$D$30)/($E$30-$D$30+1))-COS(PI()*(CO$3-$D$30+1)/($E$30-$D$30+1)))/2,1/($E$30-$D$30+1)),0)+IF(AND(CO$3&gt;=$D$31,CO$3&lt;=$E$31),$I$31*IF($F$31="S-Curve",(COS(PI()*(CO$3-$D$31)/($E$31-$D$31+1))-COS(PI()*(CO$3-$D$31+1)/($E$31-$D$31+1)))/2,1/($E$31-$D$31+1)),0)+IF(AND(CO$3&gt;=$D$32,CO$3&lt;=$E$32),$I$32*IF($F$32="S-Curve",(COS(PI()*(CO$3-$D$32)/($E$32-$D$32+1))-COS(PI()*(CO$3-$D$32+1)/($E$32-$D$32+1)))/2,1/($E$32-$D$32+1)),0)+IF(AND(CO$3&gt;=$D$33,CO$3&lt;=$E$33),$I$33*IF($F$33="S-Curve",(COS(PI()*(CO$3-$D$33)/($E$33-$D$33+1))-COS(PI()*(CO$3-$D$33+1)/($E$33-$D$33+1)))/2,1/($E$33-$D$33+1)),0)+IF(AND(CO$3&gt;=$D$34,CO$3&lt;=$E$34),$I$34*IF($F$34="S-Curve",(COS(PI()*(CO$3-$D$34)/($E$34-$D$34+1))-COS(PI()*(CO$3-$D$34+1)/($E$34-$D$34+1)))/2,1/($E$34-$D$34+1)),0)+IF(AND(CO$3&gt;=$D$35,CO$3&lt;=$E$35),$I$35*IF($F$35="S-Curve",(COS(PI()*(CO$3-$D$35)/($E$35-$D$35+1))-COS(PI()*(CO$3-$D$35+1)/($E$35-$D$35+1)))/2,1/($E$35-$D$35+1)),0)</f>
        <v>0</v>
      </c>
      <c r="CP150" s="7" t="n">
        <f aca="false">IF(AND(CP$3&gt;=$D$27,CP$3&lt;=$E$27),$I$27*IF($F$27="S-Curve",(COS(PI()*(CP$3-$D$27)/($E$27-$D$27+1))-COS(PI()*(CP$3-$D$27+1)/($E$27-$D$27+1)))/2,1/($E$27-$D$27+1)),0)+IF(AND(CP$3&gt;=$D$28,CP$3&lt;=$E$28),$I$28*IF($F$28="S-Curve",(COS(PI()*(CP$3-$D$28)/($E$28-$D$28+1))-COS(PI()*(CP$3-$D$28+1)/($E$28-$D$28+1)))/2,1/($E$28-$D$28+1)),0)+IF(AND(CP$3&gt;=$D$30,CP$3&lt;=$E$30),$I$30*IF($F$30="S-Curve",(COS(PI()*(CP$3-$D$30)/($E$30-$D$30+1))-COS(PI()*(CP$3-$D$30+1)/($E$30-$D$30+1)))/2,1/($E$30-$D$30+1)),0)+IF(AND(CP$3&gt;=$D$31,CP$3&lt;=$E$31),$I$31*IF($F$31="S-Curve",(COS(PI()*(CP$3-$D$31)/($E$31-$D$31+1))-COS(PI()*(CP$3-$D$31+1)/($E$31-$D$31+1)))/2,1/($E$31-$D$31+1)),0)+IF(AND(CP$3&gt;=$D$32,CP$3&lt;=$E$32),$I$32*IF($F$32="S-Curve",(COS(PI()*(CP$3-$D$32)/($E$32-$D$32+1))-COS(PI()*(CP$3-$D$32+1)/($E$32-$D$32+1)))/2,1/($E$32-$D$32+1)),0)+IF(AND(CP$3&gt;=$D$33,CP$3&lt;=$E$33),$I$33*IF($F$33="S-Curve",(COS(PI()*(CP$3-$D$33)/($E$33-$D$33+1))-COS(PI()*(CP$3-$D$33+1)/($E$33-$D$33+1)))/2,1/($E$33-$D$33+1)),0)+IF(AND(CP$3&gt;=$D$34,CP$3&lt;=$E$34),$I$34*IF($F$34="S-Curve",(COS(PI()*(CP$3-$D$34)/($E$34-$D$34+1))-COS(PI()*(CP$3-$D$34+1)/($E$34-$D$34+1)))/2,1/($E$34-$D$34+1)),0)+IF(AND(CP$3&gt;=$D$35,CP$3&lt;=$E$35),$I$35*IF($F$35="S-Curve",(COS(PI()*(CP$3-$D$35)/($E$35-$D$35+1))-COS(PI()*(CP$3-$D$35+1)/($E$35-$D$35+1)))/2,1/($E$35-$D$35+1)),0)</f>
        <v>0</v>
      </c>
      <c r="CQ150" s="7" t="n">
        <f aca="false">IF(AND(CQ$3&gt;=$D$27,CQ$3&lt;=$E$27),$I$27*IF($F$27="S-Curve",(COS(PI()*(CQ$3-$D$27)/($E$27-$D$27+1))-COS(PI()*(CQ$3-$D$27+1)/($E$27-$D$27+1)))/2,1/($E$27-$D$27+1)),0)+IF(AND(CQ$3&gt;=$D$28,CQ$3&lt;=$E$28),$I$28*IF($F$28="S-Curve",(COS(PI()*(CQ$3-$D$28)/($E$28-$D$28+1))-COS(PI()*(CQ$3-$D$28+1)/($E$28-$D$28+1)))/2,1/($E$28-$D$28+1)),0)+IF(AND(CQ$3&gt;=$D$30,CQ$3&lt;=$E$30),$I$30*IF($F$30="S-Curve",(COS(PI()*(CQ$3-$D$30)/($E$30-$D$30+1))-COS(PI()*(CQ$3-$D$30+1)/($E$30-$D$30+1)))/2,1/($E$30-$D$30+1)),0)+IF(AND(CQ$3&gt;=$D$31,CQ$3&lt;=$E$31),$I$31*IF($F$31="S-Curve",(COS(PI()*(CQ$3-$D$31)/($E$31-$D$31+1))-COS(PI()*(CQ$3-$D$31+1)/($E$31-$D$31+1)))/2,1/($E$31-$D$31+1)),0)+IF(AND(CQ$3&gt;=$D$32,CQ$3&lt;=$E$32),$I$32*IF($F$32="S-Curve",(COS(PI()*(CQ$3-$D$32)/($E$32-$D$32+1))-COS(PI()*(CQ$3-$D$32+1)/($E$32-$D$32+1)))/2,1/($E$32-$D$32+1)),0)+IF(AND(CQ$3&gt;=$D$33,CQ$3&lt;=$E$33),$I$33*IF($F$33="S-Curve",(COS(PI()*(CQ$3-$D$33)/($E$33-$D$33+1))-COS(PI()*(CQ$3-$D$33+1)/($E$33-$D$33+1)))/2,1/($E$33-$D$33+1)),0)+IF(AND(CQ$3&gt;=$D$34,CQ$3&lt;=$E$34),$I$34*IF($F$34="S-Curve",(COS(PI()*(CQ$3-$D$34)/($E$34-$D$34+1))-COS(PI()*(CQ$3-$D$34+1)/($E$34-$D$34+1)))/2,1/($E$34-$D$34+1)),0)+IF(AND(CQ$3&gt;=$D$35,CQ$3&lt;=$E$35),$I$35*IF($F$35="S-Curve",(COS(PI()*(CQ$3-$D$35)/($E$35-$D$35+1))-COS(PI()*(CQ$3-$D$35+1)/($E$35-$D$35+1)))/2,1/($E$35-$D$35+1)),0)</f>
        <v>0</v>
      </c>
      <c r="CR150" s="7" t="n">
        <f aca="false">IF(AND(CR$3&gt;=$D$27,CR$3&lt;=$E$27),$I$27*IF($F$27="S-Curve",(COS(PI()*(CR$3-$D$27)/($E$27-$D$27+1))-COS(PI()*(CR$3-$D$27+1)/($E$27-$D$27+1)))/2,1/($E$27-$D$27+1)),0)+IF(AND(CR$3&gt;=$D$28,CR$3&lt;=$E$28),$I$28*IF($F$28="S-Curve",(COS(PI()*(CR$3-$D$28)/($E$28-$D$28+1))-COS(PI()*(CR$3-$D$28+1)/($E$28-$D$28+1)))/2,1/($E$28-$D$28+1)),0)+IF(AND(CR$3&gt;=$D$30,CR$3&lt;=$E$30),$I$30*IF($F$30="S-Curve",(COS(PI()*(CR$3-$D$30)/($E$30-$D$30+1))-COS(PI()*(CR$3-$D$30+1)/($E$30-$D$30+1)))/2,1/($E$30-$D$30+1)),0)+IF(AND(CR$3&gt;=$D$31,CR$3&lt;=$E$31),$I$31*IF($F$31="S-Curve",(COS(PI()*(CR$3-$D$31)/($E$31-$D$31+1))-COS(PI()*(CR$3-$D$31+1)/($E$31-$D$31+1)))/2,1/($E$31-$D$31+1)),0)+IF(AND(CR$3&gt;=$D$32,CR$3&lt;=$E$32),$I$32*IF($F$32="S-Curve",(COS(PI()*(CR$3-$D$32)/($E$32-$D$32+1))-COS(PI()*(CR$3-$D$32+1)/($E$32-$D$32+1)))/2,1/($E$32-$D$32+1)),0)+IF(AND(CR$3&gt;=$D$33,CR$3&lt;=$E$33),$I$33*IF($F$33="S-Curve",(COS(PI()*(CR$3-$D$33)/($E$33-$D$33+1))-COS(PI()*(CR$3-$D$33+1)/($E$33-$D$33+1)))/2,1/($E$33-$D$33+1)),0)+IF(AND(CR$3&gt;=$D$34,CR$3&lt;=$E$34),$I$34*IF($F$34="S-Curve",(COS(PI()*(CR$3-$D$34)/($E$34-$D$34+1))-COS(PI()*(CR$3-$D$34+1)/($E$34-$D$34+1)))/2,1/($E$34-$D$34+1)),0)+IF(AND(CR$3&gt;=$D$35,CR$3&lt;=$E$35),$I$35*IF($F$35="S-Curve",(COS(PI()*(CR$3-$D$35)/($E$35-$D$35+1))-COS(PI()*(CR$3-$D$35+1)/($E$35-$D$35+1)))/2,1/($E$35-$D$35+1)),0)</f>
        <v>0</v>
      </c>
      <c r="CS150" s="7" t="n">
        <f aca="false">IF(AND(CS$3&gt;=$D$27,CS$3&lt;=$E$27),$I$27*IF($F$27="S-Curve",(COS(PI()*(CS$3-$D$27)/($E$27-$D$27+1))-COS(PI()*(CS$3-$D$27+1)/($E$27-$D$27+1)))/2,1/($E$27-$D$27+1)),0)+IF(AND(CS$3&gt;=$D$28,CS$3&lt;=$E$28),$I$28*IF($F$28="S-Curve",(COS(PI()*(CS$3-$D$28)/($E$28-$D$28+1))-COS(PI()*(CS$3-$D$28+1)/($E$28-$D$28+1)))/2,1/($E$28-$D$28+1)),0)+IF(AND(CS$3&gt;=$D$30,CS$3&lt;=$E$30),$I$30*IF($F$30="S-Curve",(COS(PI()*(CS$3-$D$30)/($E$30-$D$30+1))-COS(PI()*(CS$3-$D$30+1)/($E$30-$D$30+1)))/2,1/($E$30-$D$30+1)),0)+IF(AND(CS$3&gt;=$D$31,CS$3&lt;=$E$31),$I$31*IF($F$31="S-Curve",(COS(PI()*(CS$3-$D$31)/($E$31-$D$31+1))-COS(PI()*(CS$3-$D$31+1)/($E$31-$D$31+1)))/2,1/($E$31-$D$31+1)),0)+IF(AND(CS$3&gt;=$D$32,CS$3&lt;=$E$32),$I$32*IF($F$32="S-Curve",(COS(PI()*(CS$3-$D$32)/($E$32-$D$32+1))-COS(PI()*(CS$3-$D$32+1)/($E$32-$D$32+1)))/2,1/($E$32-$D$32+1)),0)+IF(AND(CS$3&gt;=$D$33,CS$3&lt;=$E$33),$I$33*IF($F$33="S-Curve",(COS(PI()*(CS$3-$D$33)/($E$33-$D$33+1))-COS(PI()*(CS$3-$D$33+1)/($E$33-$D$33+1)))/2,1/($E$33-$D$33+1)),0)+IF(AND(CS$3&gt;=$D$34,CS$3&lt;=$E$34),$I$34*IF($F$34="S-Curve",(COS(PI()*(CS$3-$D$34)/($E$34-$D$34+1))-COS(PI()*(CS$3-$D$34+1)/($E$34-$D$34+1)))/2,1/($E$34-$D$34+1)),0)+IF(AND(CS$3&gt;=$D$35,CS$3&lt;=$E$35),$I$35*IF($F$35="S-Curve",(COS(PI()*(CS$3-$D$35)/($E$35-$D$35+1))-COS(PI()*(CS$3-$D$35+1)/($E$35-$D$35+1)))/2,1/($E$35-$D$35+1)),0)</f>
        <v>0</v>
      </c>
      <c r="CT150" s="7" t="n">
        <f aca="false">IF(AND(CT$3&gt;=$D$27,CT$3&lt;=$E$27),$I$27*IF($F$27="S-Curve",(COS(PI()*(CT$3-$D$27)/($E$27-$D$27+1))-COS(PI()*(CT$3-$D$27+1)/($E$27-$D$27+1)))/2,1/($E$27-$D$27+1)),0)+IF(AND(CT$3&gt;=$D$28,CT$3&lt;=$E$28),$I$28*IF($F$28="S-Curve",(COS(PI()*(CT$3-$D$28)/($E$28-$D$28+1))-COS(PI()*(CT$3-$D$28+1)/($E$28-$D$28+1)))/2,1/($E$28-$D$28+1)),0)+IF(AND(CT$3&gt;=$D$30,CT$3&lt;=$E$30),$I$30*IF($F$30="S-Curve",(COS(PI()*(CT$3-$D$30)/($E$30-$D$30+1))-COS(PI()*(CT$3-$D$30+1)/($E$30-$D$30+1)))/2,1/($E$30-$D$30+1)),0)+IF(AND(CT$3&gt;=$D$31,CT$3&lt;=$E$31),$I$31*IF($F$31="S-Curve",(COS(PI()*(CT$3-$D$31)/($E$31-$D$31+1))-COS(PI()*(CT$3-$D$31+1)/($E$31-$D$31+1)))/2,1/($E$31-$D$31+1)),0)+IF(AND(CT$3&gt;=$D$32,CT$3&lt;=$E$32),$I$32*IF($F$32="S-Curve",(COS(PI()*(CT$3-$D$32)/($E$32-$D$32+1))-COS(PI()*(CT$3-$D$32+1)/($E$32-$D$32+1)))/2,1/($E$32-$D$32+1)),0)+IF(AND(CT$3&gt;=$D$33,CT$3&lt;=$E$33),$I$33*IF($F$33="S-Curve",(COS(PI()*(CT$3-$D$33)/($E$33-$D$33+1))-COS(PI()*(CT$3-$D$33+1)/($E$33-$D$33+1)))/2,1/($E$33-$D$33+1)),0)+IF(AND(CT$3&gt;=$D$34,CT$3&lt;=$E$34),$I$34*IF($F$34="S-Curve",(COS(PI()*(CT$3-$D$34)/($E$34-$D$34+1))-COS(PI()*(CT$3-$D$34+1)/($E$34-$D$34+1)))/2,1/($E$34-$D$34+1)),0)+IF(AND(CT$3&gt;=$D$35,CT$3&lt;=$E$35),$I$35*IF($F$35="S-Curve",(COS(PI()*(CT$3-$D$35)/($E$35-$D$35+1))-COS(PI()*(CT$3-$D$35+1)/($E$35-$D$35+1)))/2,1/($E$35-$D$35+1)),0)</f>
        <v>0</v>
      </c>
      <c r="CU150" s="7" t="n">
        <f aca="false">IF(AND(CU$3&gt;=$D$27,CU$3&lt;=$E$27),$I$27*IF($F$27="S-Curve",(COS(PI()*(CU$3-$D$27)/($E$27-$D$27+1))-COS(PI()*(CU$3-$D$27+1)/($E$27-$D$27+1)))/2,1/($E$27-$D$27+1)),0)+IF(AND(CU$3&gt;=$D$28,CU$3&lt;=$E$28),$I$28*IF($F$28="S-Curve",(COS(PI()*(CU$3-$D$28)/($E$28-$D$28+1))-COS(PI()*(CU$3-$D$28+1)/($E$28-$D$28+1)))/2,1/($E$28-$D$28+1)),0)+IF(AND(CU$3&gt;=$D$30,CU$3&lt;=$E$30),$I$30*IF($F$30="S-Curve",(COS(PI()*(CU$3-$D$30)/($E$30-$D$30+1))-COS(PI()*(CU$3-$D$30+1)/($E$30-$D$30+1)))/2,1/($E$30-$D$30+1)),0)+IF(AND(CU$3&gt;=$D$31,CU$3&lt;=$E$31),$I$31*IF($F$31="S-Curve",(COS(PI()*(CU$3-$D$31)/($E$31-$D$31+1))-COS(PI()*(CU$3-$D$31+1)/($E$31-$D$31+1)))/2,1/($E$31-$D$31+1)),0)+IF(AND(CU$3&gt;=$D$32,CU$3&lt;=$E$32),$I$32*IF($F$32="S-Curve",(COS(PI()*(CU$3-$D$32)/($E$32-$D$32+1))-COS(PI()*(CU$3-$D$32+1)/($E$32-$D$32+1)))/2,1/($E$32-$D$32+1)),0)+IF(AND(CU$3&gt;=$D$33,CU$3&lt;=$E$33),$I$33*IF($F$33="S-Curve",(COS(PI()*(CU$3-$D$33)/($E$33-$D$33+1))-COS(PI()*(CU$3-$D$33+1)/($E$33-$D$33+1)))/2,1/($E$33-$D$33+1)),0)+IF(AND(CU$3&gt;=$D$34,CU$3&lt;=$E$34),$I$34*IF($F$34="S-Curve",(COS(PI()*(CU$3-$D$34)/($E$34-$D$34+1))-COS(PI()*(CU$3-$D$34+1)/($E$34-$D$34+1)))/2,1/($E$34-$D$34+1)),0)+IF(AND(CU$3&gt;=$D$35,CU$3&lt;=$E$35),$I$35*IF($F$35="S-Curve",(COS(PI()*(CU$3-$D$35)/($E$35-$D$35+1))-COS(PI()*(CU$3-$D$35+1)/($E$35-$D$35+1)))/2,1/($E$35-$D$35+1)),0)</f>
        <v>0</v>
      </c>
      <c r="CV150" s="7" t="n">
        <f aca="false">IF(AND(CV$3&gt;=$D$27,CV$3&lt;=$E$27),$I$27*IF($F$27="S-Curve",(COS(PI()*(CV$3-$D$27)/($E$27-$D$27+1))-COS(PI()*(CV$3-$D$27+1)/($E$27-$D$27+1)))/2,1/($E$27-$D$27+1)),0)+IF(AND(CV$3&gt;=$D$28,CV$3&lt;=$E$28),$I$28*IF($F$28="S-Curve",(COS(PI()*(CV$3-$D$28)/($E$28-$D$28+1))-COS(PI()*(CV$3-$D$28+1)/($E$28-$D$28+1)))/2,1/($E$28-$D$28+1)),0)+IF(AND(CV$3&gt;=$D$30,CV$3&lt;=$E$30),$I$30*IF($F$30="S-Curve",(COS(PI()*(CV$3-$D$30)/($E$30-$D$30+1))-COS(PI()*(CV$3-$D$30+1)/($E$30-$D$30+1)))/2,1/($E$30-$D$30+1)),0)+IF(AND(CV$3&gt;=$D$31,CV$3&lt;=$E$31),$I$31*IF($F$31="S-Curve",(COS(PI()*(CV$3-$D$31)/($E$31-$D$31+1))-COS(PI()*(CV$3-$D$31+1)/($E$31-$D$31+1)))/2,1/($E$31-$D$31+1)),0)+IF(AND(CV$3&gt;=$D$32,CV$3&lt;=$E$32),$I$32*IF($F$32="S-Curve",(COS(PI()*(CV$3-$D$32)/($E$32-$D$32+1))-COS(PI()*(CV$3-$D$32+1)/($E$32-$D$32+1)))/2,1/($E$32-$D$32+1)),0)+IF(AND(CV$3&gt;=$D$33,CV$3&lt;=$E$33),$I$33*IF($F$33="S-Curve",(COS(PI()*(CV$3-$D$33)/($E$33-$D$33+1))-COS(PI()*(CV$3-$D$33+1)/($E$33-$D$33+1)))/2,1/($E$33-$D$33+1)),0)+IF(AND(CV$3&gt;=$D$34,CV$3&lt;=$E$34),$I$34*IF($F$34="S-Curve",(COS(PI()*(CV$3-$D$34)/($E$34-$D$34+1))-COS(PI()*(CV$3-$D$34+1)/($E$34-$D$34+1)))/2,1/($E$34-$D$34+1)),0)+IF(AND(CV$3&gt;=$D$35,CV$3&lt;=$E$35),$I$35*IF($F$35="S-Curve",(COS(PI()*(CV$3-$D$35)/($E$35-$D$35+1))-COS(PI()*(CV$3-$D$35+1)/($E$35-$D$35+1)))/2,1/($E$35-$D$35+1)),0)</f>
        <v>0</v>
      </c>
      <c r="CW150" s="7" t="n">
        <f aca="false">IF(AND(CW$3&gt;=$D$27,CW$3&lt;=$E$27),$I$27*IF($F$27="S-Curve",(COS(PI()*(CW$3-$D$27)/($E$27-$D$27+1))-COS(PI()*(CW$3-$D$27+1)/($E$27-$D$27+1)))/2,1/($E$27-$D$27+1)),0)+IF(AND(CW$3&gt;=$D$28,CW$3&lt;=$E$28),$I$28*IF($F$28="S-Curve",(COS(PI()*(CW$3-$D$28)/($E$28-$D$28+1))-COS(PI()*(CW$3-$D$28+1)/($E$28-$D$28+1)))/2,1/($E$28-$D$28+1)),0)+IF(AND(CW$3&gt;=$D$30,CW$3&lt;=$E$30),$I$30*IF($F$30="S-Curve",(COS(PI()*(CW$3-$D$30)/($E$30-$D$30+1))-COS(PI()*(CW$3-$D$30+1)/($E$30-$D$30+1)))/2,1/($E$30-$D$30+1)),0)+IF(AND(CW$3&gt;=$D$31,CW$3&lt;=$E$31),$I$31*IF($F$31="S-Curve",(COS(PI()*(CW$3-$D$31)/($E$31-$D$31+1))-COS(PI()*(CW$3-$D$31+1)/($E$31-$D$31+1)))/2,1/($E$31-$D$31+1)),0)+IF(AND(CW$3&gt;=$D$32,CW$3&lt;=$E$32),$I$32*IF($F$32="S-Curve",(COS(PI()*(CW$3-$D$32)/($E$32-$D$32+1))-COS(PI()*(CW$3-$D$32+1)/($E$32-$D$32+1)))/2,1/($E$32-$D$32+1)),0)+IF(AND(CW$3&gt;=$D$33,CW$3&lt;=$E$33),$I$33*IF($F$33="S-Curve",(COS(PI()*(CW$3-$D$33)/($E$33-$D$33+1))-COS(PI()*(CW$3-$D$33+1)/($E$33-$D$33+1)))/2,1/($E$33-$D$33+1)),0)+IF(AND(CW$3&gt;=$D$34,CW$3&lt;=$E$34),$I$34*IF($F$34="S-Curve",(COS(PI()*(CW$3-$D$34)/($E$34-$D$34+1))-COS(PI()*(CW$3-$D$34+1)/($E$34-$D$34+1)))/2,1/($E$34-$D$34+1)),0)+IF(AND(CW$3&gt;=$D$35,CW$3&lt;=$E$35),$I$35*IF($F$35="S-Curve",(COS(PI()*(CW$3-$D$35)/($E$35-$D$35+1))-COS(PI()*(CW$3-$D$35+1)/($E$35-$D$35+1)))/2,1/($E$35-$D$35+1)),0)</f>
        <v>0</v>
      </c>
      <c r="CX150" s="7" t="n">
        <f aca="false">IF(AND(CX$3&gt;=$D$27,CX$3&lt;=$E$27),$I$27*IF($F$27="S-Curve",(COS(PI()*(CX$3-$D$27)/($E$27-$D$27+1))-COS(PI()*(CX$3-$D$27+1)/($E$27-$D$27+1)))/2,1/($E$27-$D$27+1)),0)+IF(AND(CX$3&gt;=$D$28,CX$3&lt;=$E$28),$I$28*IF($F$28="S-Curve",(COS(PI()*(CX$3-$D$28)/($E$28-$D$28+1))-COS(PI()*(CX$3-$D$28+1)/($E$28-$D$28+1)))/2,1/($E$28-$D$28+1)),0)+IF(AND(CX$3&gt;=$D$30,CX$3&lt;=$E$30),$I$30*IF($F$30="S-Curve",(COS(PI()*(CX$3-$D$30)/($E$30-$D$30+1))-COS(PI()*(CX$3-$D$30+1)/($E$30-$D$30+1)))/2,1/($E$30-$D$30+1)),0)+IF(AND(CX$3&gt;=$D$31,CX$3&lt;=$E$31),$I$31*IF($F$31="S-Curve",(COS(PI()*(CX$3-$D$31)/($E$31-$D$31+1))-COS(PI()*(CX$3-$D$31+1)/($E$31-$D$31+1)))/2,1/($E$31-$D$31+1)),0)+IF(AND(CX$3&gt;=$D$32,CX$3&lt;=$E$32),$I$32*IF($F$32="S-Curve",(COS(PI()*(CX$3-$D$32)/($E$32-$D$32+1))-COS(PI()*(CX$3-$D$32+1)/($E$32-$D$32+1)))/2,1/($E$32-$D$32+1)),0)+IF(AND(CX$3&gt;=$D$33,CX$3&lt;=$E$33),$I$33*IF($F$33="S-Curve",(COS(PI()*(CX$3-$D$33)/($E$33-$D$33+1))-COS(PI()*(CX$3-$D$33+1)/($E$33-$D$33+1)))/2,1/($E$33-$D$33+1)),0)+IF(AND(CX$3&gt;=$D$34,CX$3&lt;=$E$34),$I$34*IF($F$34="S-Curve",(COS(PI()*(CX$3-$D$34)/($E$34-$D$34+1))-COS(PI()*(CX$3-$D$34+1)/($E$34-$D$34+1)))/2,1/($E$34-$D$34+1)),0)+IF(AND(CX$3&gt;=$D$35,CX$3&lt;=$E$35),$I$35*IF($F$35="S-Curve",(COS(PI()*(CX$3-$D$35)/($E$35-$D$35+1))-COS(PI()*(CX$3-$D$35+1)/($E$35-$D$35+1)))/2,1/($E$35-$D$35+1)),0)</f>
        <v>0</v>
      </c>
      <c r="CY150" s="7" t="n">
        <f aca="false">IF(AND(CY$3&gt;=$D$27,CY$3&lt;=$E$27),$I$27*IF($F$27="S-Curve",(COS(PI()*(CY$3-$D$27)/($E$27-$D$27+1))-COS(PI()*(CY$3-$D$27+1)/($E$27-$D$27+1)))/2,1/($E$27-$D$27+1)),0)+IF(AND(CY$3&gt;=$D$28,CY$3&lt;=$E$28),$I$28*IF($F$28="S-Curve",(COS(PI()*(CY$3-$D$28)/($E$28-$D$28+1))-COS(PI()*(CY$3-$D$28+1)/($E$28-$D$28+1)))/2,1/($E$28-$D$28+1)),0)+IF(AND(CY$3&gt;=$D$30,CY$3&lt;=$E$30),$I$30*IF($F$30="S-Curve",(COS(PI()*(CY$3-$D$30)/($E$30-$D$30+1))-COS(PI()*(CY$3-$D$30+1)/($E$30-$D$30+1)))/2,1/($E$30-$D$30+1)),0)+IF(AND(CY$3&gt;=$D$31,CY$3&lt;=$E$31),$I$31*IF($F$31="S-Curve",(COS(PI()*(CY$3-$D$31)/($E$31-$D$31+1))-COS(PI()*(CY$3-$D$31+1)/($E$31-$D$31+1)))/2,1/($E$31-$D$31+1)),0)+IF(AND(CY$3&gt;=$D$32,CY$3&lt;=$E$32),$I$32*IF($F$32="S-Curve",(COS(PI()*(CY$3-$D$32)/($E$32-$D$32+1))-COS(PI()*(CY$3-$D$32+1)/($E$32-$D$32+1)))/2,1/($E$32-$D$32+1)),0)+IF(AND(CY$3&gt;=$D$33,CY$3&lt;=$E$33),$I$33*IF($F$33="S-Curve",(COS(PI()*(CY$3-$D$33)/($E$33-$D$33+1))-COS(PI()*(CY$3-$D$33+1)/($E$33-$D$33+1)))/2,1/($E$33-$D$33+1)),0)+IF(AND(CY$3&gt;=$D$34,CY$3&lt;=$E$34),$I$34*IF($F$34="S-Curve",(COS(PI()*(CY$3-$D$34)/($E$34-$D$34+1))-COS(PI()*(CY$3-$D$34+1)/($E$34-$D$34+1)))/2,1/($E$34-$D$34+1)),0)+IF(AND(CY$3&gt;=$D$35,CY$3&lt;=$E$35),$I$35*IF($F$35="S-Curve",(COS(PI()*(CY$3-$D$35)/($E$35-$D$35+1))-COS(PI()*(CY$3-$D$35+1)/($E$35-$D$35+1)))/2,1/($E$35-$D$35+1)),0)</f>
        <v>0</v>
      </c>
      <c r="CZ150" s="7" t="n">
        <f aca="false">IF(AND(CZ$3&gt;=$D$27,CZ$3&lt;=$E$27),$I$27*IF($F$27="S-Curve",(COS(PI()*(CZ$3-$D$27)/($E$27-$D$27+1))-COS(PI()*(CZ$3-$D$27+1)/($E$27-$D$27+1)))/2,1/($E$27-$D$27+1)),0)+IF(AND(CZ$3&gt;=$D$28,CZ$3&lt;=$E$28),$I$28*IF($F$28="S-Curve",(COS(PI()*(CZ$3-$D$28)/($E$28-$D$28+1))-COS(PI()*(CZ$3-$D$28+1)/($E$28-$D$28+1)))/2,1/($E$28-$D$28+1)),0)+IF(AND(CZ$3&gt;=$D$30,CZ$3&lt;=$E$30),$I$30*IF($F$30="S-Curve",(COS(PI()*(CZ$3-$D$30)/($E$30-$D$30+1))-COS(PI()*(CZ$3-$D$30+1)/($E$30-$D$30+1)))/2,1/($E$30-$D$30+1)),0)+IF(AND(CZ$3&gt;=$D$31,CZ$3&lt;=$E$31),$I$31*IF($F$31="S-Curve",(COS(PI()*(CZ$3-$D$31)/($E$31-$D$31+1))-COS(PI()*(CZ$3-$D$31+1)/($E$31-$D$31+1)))/2,1/($E$31-$D$31+1)),0)+IF(AND(CZ$3&gt;=$D$32,CZ$3&lt;=$E$32),$I$32*IF($F$32="S-Curve",(COS(PI()*(CZ$3-$D$32)/($E$32-$D$32+1))-COS(PI()*(CZ$3-$D$32+1)/($E$32-$D$32+1)))/2,1/($E$32-$D$32+1)),0)+IF(AND(CZ$3&gt;=$D$33,CZ$3&lt;=$E$33),$I$33*IF($F$33="S-Curve",(COS(PI()*(CZ$3-$D$33)/($E$33-$D$33+1))-COS(PI()*(CZ$3-$D$33+1)/($E$33-$D$33+1)))/2,1/($E$33-$D$33+1)),0)+IF(AND(CZ$3&gt;=$D$34,CZ$3&lt;=$E$34),$I$34*IF($F$34="S-Curve",(COS(PI()*(CZ$3-$D$34)/($E$34-$D$34+1))-COS(PI()*(CZ$3-$D$34+1)/($E$34-$D$34+1)))/2,1/($E$34-$D$34+1)),0)+IF(AND(CZ$3&gt;=$D$35,CZ$3&lt;=$E$35),$I$35*IF($F$35="S-Curve",(COS(PI()*(CZ$3-$D$35)/($E$35-$D$35+1))-COS(PI()*(CZ$3-$D$35+1)/($E$35-$D$35+1)))/2,1/($E$35-$D$35+1)),0)</f>
        <v>0</v>
      </c>
      <c r="DA150" s="7" t="n">
        <f aca="false">IF(AND(DA$3&gt;=$D$27,DA$3&lt;=$E$27),$I$27*IF($F$27="S-Curve",(COS(PI()*(DA$3-$D$27)/($E$27-$D$27+1))-COS(PI()*(DA$3-$D$27+1)/($E$27-$D$27+1)))/2,1/($E$27-$D$27+1)),0)+IF(AND(DA$3&gt;=$D$28,DA$3&lt;=$E$28),$I$28*IF($F$28="S-Curve",(COS(PI()*(DA$3-$D$28)/($E$28-$D$28+1))-COS(PI()*(DA$3-$D$28+1)/($E$28-$D$28+1)))/2,1/($E$28-$D$28+1)),0)+IF(AND(DA$3&gt;=$D$30,DA$3&lt;=$E$30),$I$30*IF($F$30="S-Curve",(COS(PI()*(DA$3-$D$30)/($E$30-$D$30+1))-COS(PI()*(DA$3-$D$30+1)/($E$30-$D$30+1)))/2,1/($E$30-$D$30+1)),0)+IF(AND(DA$3&gt;=$D$31,DA$3&lt;=$E$31),$I$31*IF($F$31="S-Curve",(COS(PI()*(DA$3-$D$31)/($E$31-$D$31+1))-COS(PI()*(DA$3-$D$31+1)/($E$31-$D$31+1)))/2,1/($E$31-$D$31+1)),0)+IF(AND(DA$3&gt;=$D$32,DA$3&lt;=$E$32),$I$32*IF($F$32="S-Curve",(COS(PI()*(DA$3-$D$32)/($E$32-$D$32+1))-COS(PI()*(DA$3-$D$32+1)/($E$32-$D$32+1)))/2,1/($E$32-$D$32+1)),0)+IF(AND(DA$3&gt;=$D$33,DA$3&lt;=$E$33),$I$33*IF($F$33="S-Curve",(COS(PI()*(DA$3-$D$33)/($E$33-$D$33+1))-COS(PI()*(DA$3-$D$33+1)/($E$33-$D$33+1)))/2,1/($E$33-$D$33+1)),0)+IF(AND(DA$3&gt;=$D$34,DA$3&lt;=$E$34),$I$34*IF($F$34="S-Curve",(COS(PI()*(DA$3-$D$34)/($E$34-$D$34+1))-COS(PI()*(DA$3-$D$34+1)/($E$34-$D$34+1)))/2,1/($E$34-$D$34+1)),0)+IF(AND(DA$3&gt;=$D$35,DA$3&lt;=$E$35),$I$35*IF($F$35="S-Curve",(COS(PI()*(DA$3-$D$35)/($E$35-$D$35+1))-COS(PI()*(DA$3-$D$35+1)/($E$35-$D$35+1)))/2,1/($E$35-$D$35+1)),0)</f>
        <v>0</v>
      </c>
      <c r="DB150" s="7" t="n">
        <f aca="false">IF(AND(DB$3&gt;=$D$27,DB$3&lt;=$E$27),$I$27*IF($F$27="S-Curve",(COS(PI()*(DB$3-$D$27)/($E$27-$D$27+1))-COS(PI()*(DB$3-$D$27+1)/($E$27-$D$27+1)))/2,1/($E$27-$D$27+1)),0)+IF(AND(DB$3&gt;=$D$28,DB$3&lt;=$E$28),$I$28*IF($F$28="S-Curve",(COS(PI()*(DB$3-$D$28)/($E$28-$D$28+1))-COS(PI()*(DB$3-$D$28+1)/($E$28-$D$28+1)))/2,1/($E$28-$D$28+1)),0)+IF(AND(DB$3&gt;=$D$30,DB$3&lt;=$E$30),$I$30*IF($F$30="S-Curve",(COS(PI()*(DB$3-$D$30)/($E$30-$D$30+1))-COS(PI()*(DB$3-$D$30+1)/($E$30-$D$30+1)))/2,1/($E$30-$D$30+1)),0)+IF(AND(DB$3&gt;=$D$31,DB$3&lt;=$E$31),$I$31*IF($F$31="S-Curve",(COS(PI()*(DB$3-$D$31)/($E$31-$D$31+1))-COS(PI()*(DB$3-$D$31+1)/($E$31-$D$31+1)))/2,1/($E$31-$D$31+1)),0)+IF(AND(DB$3&gt;=$D$32,DB$3&lt;=$E$32),$I$32*IF($F$32="S-Curve",(COS(PI()*(DB$3-$D$32)/($E$32-$D$32+1))-COS(PI()*(DB$3-$D$32+1)/($E$32-$D$32+1)))/2,1/($E$32-$D$32+1)),0)+IF(AND(DB$3&gt;=$D$33,DB$3&lt;=$E$33),$I$33*IF($F$33="S-Curve",(COS(PI()*(DB$3-$D$33)/($E$33-$D$33+1))-COS(PI()*(DB$3-$D$33+1)/($E$33-$D$33+1)))/2,1/($E$33-$D$33+1)),0)+IF(AND(DB$3&gt;=$D$34,DB$3&lt;=$E$34),$I$34*IF($F$34="S-Curve",(COS(PI()*(DB$3-$D$34)/($E$34-$D$34+1))-COS(PI()*(DB$3-$D$34+1)/($E$34-$D$34+1)))/2,1/($E$34-$D$34+1)),0)+IF(AND(DB$3&gt;=$D$35,DB$3&lt;=$E$35),$I$35*IF($F$35="S-Curve",(COS(PI()*(DB$3-$D$35)/($E$35-$D$35+1))-COS(PI()*(DB$3-$D$35+1)/($E$35-$D$35+1)))/2,1/($E$35-$D$35+1)),0)</f>
        <v>0</v>
      </c>
      <c r="DC150" s="7" t="n">
        <f aca="false">IF(AND(DC$3&gt;=$D$27,DC$3&lt;=$E$27),$I$27*IF($F$27="S-Curve",(COS(PI()*(DC$3-$D$27)/($E$27-$D$27+1))-COS(PI()*(DC$3-$D$27+1)/($E$27-$D$27+1)))/2,1/($E$27-$D$27+1)),0)+IF(AND(DC$3&gt;=$D$28,DC$3&lt;=$E$28),$I$28*IF($F$28="S-Curve",(COS(PI()*(DC$3-$D$28)/($E$28-$D$28+1))-COS(PI()*(DC$3-$D$28+1)/($E$28-$D$28+1)))/2,1/($E$28-$D$28+1)),0)+IF(AND(DC$3&gt;=$D$30,DC$3&lt;=$E$30),$I$30*IF($F$30="S-Curve",(COS(PI()*(DC$3-$D$30)/($E$30-$D$30+1))-COS(PI()*(DC$3-$D$30+1)/($E$30-$D$30+1)))/2,1/($E$30-$D$30+1)),0)+IF(AND(DC$3&gt;=$D$31,DC$3&lt;=$E$31),$I$31*IF($F$31="S-Curve",(COS(PI()*(DC$3-$D$31)/($E$31-$D$31+1))-COS(PI()*(DC$3-$D$31+1)/($E$31-$D$31+1)))/2,1/($E$31-$D$31+1)),0)+IF(AND(DC$3&gt;=$D$32,DC$3&lt;=$E$32),$I$32*IF($F$32="S-Curve",(COS(PI()*(DC$3-$D$32)/($E$32-$D$32+1))-COS(PI()*(DC$3-$D$32+1)/($E$32-$D$32+1)))/2,1/($E$32-$D$32+1)),0)+IF(AND(DC$3&gt;=$D$33,DC$3&lt;=$E$33),$I$33*IF($F$33="S-Curve",(COS(PI()*(DC$3-$D$33)/($E$33-$D$33+1))-COS(PI()*(DC$3-$D$33+1)/($E$33-$D$33+1)))/2,1/($E$33-$D$33+1)),0)+IF(AND(DC$3&gt;=$D$34,DC$3&lt;=$E$34),$I$34*IF($F$34="S-Curve",(COS(PI()*(DC$3-$D$34)/($E$34-$D$34+1))-COS(PI()*(DC$3-$D$34+1)/($E$34-$D$34+1)))/2,1/($E$34-$D$34+1)),0)+IF(AND(DC$3&gt;=$D$35,DC$3&lt;=$E$35),$I$35*IF($F$35="S-Curve",(COS(PI()*(DC$3-$D$35)/($E$35-$D$35+1))-COS(PI()*(DC$3-$D$35+1)/($E$35-$D$35+1)))/2,1/($E$35-$D$35+1)),0)</f>
        <v>0</v>
      </c>
      <c r="DD150" s="7" t="n">
        <f aca="false">IF(AND(DD$3&gt;=$D$27,DD$3&lt;=$E$27),$I$27*IF($F$27="S-Curve",(COS(PI()*(DD$3-$D$27)/($E$27-$D$27+1))-COS(PI()*(DD$3-$D$27+1)/($E$27-$D$27+1)))/2,1/($E$27-$D$27+1)),0)+IF(AND(DD$3&gt;=$D$28,DD$3&lt;=$E$28),$I$28*IF($F$28="S-Curve",(COS(PI()*(DD$3-$D$28)/($E$28-$D$28+1))-COS(PI()*(DD$3-$D$28+1)/($E$28-$D$28+1)))/2,1/($E$28-$D$28+1)),0)+IF(AND(DD$3&gt;=$D$30,DD$3&lt;=$E$30),$I$30*IF($F$30="S-Curve",(COS(PI()*(DD$3-$D$30)/($E$30-$D$30+1))-COS(PI()*(DD$3-$D$30+1)/($E$30-$D$30+1)))/2,1/($E$30-$D$30+1)),0)+IF(AND(DD$3&gt;=$D$31,DD$3&lt;=$E$31),$I$31*IF($F$31="S-Curve",(COS(PI()*(DD$3-$D$31)/($E$31-$D$31+1))-COS(PI()*(DD$3-$D$31+1)/($E$31-$D$31+1)))/2,1/($E$31-$D$31+1)),0)+IF(AND(DD$3&gt;=$D$32,DD$3&lt;=$E$32),$I$32*IF($F$32="S-Curve",(COS(PI()*(DD$3-$D$32)/($E$32-$D$32+1))-COS(PI()*(DD$3-$D$32+1)/($E$32-$D$32+1)))/2,1/($E$32-$D$32+1)),0)+IF(AND(DD$3&gt;=$D$33,DD$3&lt;=$E$33),$I$33*IF($F$33="S-Curve",(COS(PI()*(DD$3-$D$33)/($E$33-$D$33+1))-COS(PI()*(DD$3-$D$33+1)/($E$33-$D$33+1)))/2,1/($E$33-$D$33+1)),0)+IF(AND(DD$3&gt;=$D$34,DD$3&lt;=$E$34),$I$34*IF($F$34="S-Curve",(COS(PI()*(DD$3-$D$34)/($E$34-$D$34+1))-COS(PI()*(DD$3-$D$34+1)/($E$34-$D$34+1)))/2,1/($E$34-$D$34+1)),0)+IF(AND(DD$3&gt;=$D$35,DD$3&lt;=$E$35),$I$35*IF($F$35="S-Curve",(COS(PI()*(DD$3-$D$35)/($E$35-$D$35+1))-COS(PI()*(DD$3-$D$35+1)/($E$35-$D$35+1)))/2,1/($E$35-$D$35+1)),0)</f>
        <v>0</v>
      </c>
      <c r="DE150" s="7" t="n">
        <f aca="false">IF(AND(DE$3&gt;=$D$27,DE$3&lt;=$E$27),$I$27*IF($F$27="S-Curve",(COS(PI()*(DE$3-$D$27)/($E$27-$D$27+1))-COS(PI()*(DE$3-$D$27+1)/($E$27-$D$27+1)))/2,1/($E$27-$D$27+1)),0)+IF(AND(DE$3&gt;=$D$28,DE$3&lt;=$E$28),$I$28*IF($F$28="S-Curve",(COS(PI()*(DE$3-$D$28)/($E$28-$D$28+1))-COS(PI()*(DE$3-$D$28+1)/($E$28-$D$28+1)))/2,1/($E$28-$D$28+1)),0)+IF(AND(DE$3&gt;=$D$30,DE$3&lt;=$E$30),$I$30*IF($F$30="S-Curve",(COS(PI()*(DE$3-$D$30)/($E$30-$D$30+1))-COS(PI()*(DE$3-$D$30+1)/($E$30-$D$30+1)))/2,1/($E$30-$D$30+1)),0)+IF(AND(DE$3&gt;=$D$31,DE$3&lt;=$E$31),$I$31*IF($F$31="S-Curve",(COS(PI()*(DE$3-$D$31)/($E$31-$D$31+1))-COS(PI()*(DE$3-$D$31+1)/($E$31-$D$31+1)))/2,1/($E$31-$D$31+1)),0)+IF(AND(DE$3&gt;=$D$32,DE$3&lt;=$E$32),$I$32*IF($F$32="S-Curve",(COS(PI()*(DE$3-$D$32)/($E$32-$D$32+1))-COS(PI()*(DE$3-$D$32+1)/($E$32-$D$32+1)))/2,1/($E$32-$D$32+1)),0)+IF(AND(DE$3&gt;=$D$33,DE$3&lt;=$E$33),$I$33*IF($F$33="S-Curve",(COS(PI()*(DE$3-$D$33)/($E$33-$D$33+1))-COS(PI()*(DE$3-$D$33+1)/($E$33-$D$33+1)))/2,1/($E$33-$D$33+1)),0)+IF(AND(DE$3&gt;=$D$34,DE$3&lt;=$E$34),$I$34*IF($F$34="S-Curve",(COS(PI()*(DE$3-$D$34)/($E$34-$D$34+1))-COS(PI()*(DE$3-$D$34+1)/($E$34-$D$34+1)))/2,1/($E$34-$D$34+1)),0)+IF(AND(DE$3&gt;=$D$35,DE$3&lt;=$E$35),$I$35*IF($F$35="S-Curve",(COS(PI()*(DE$3-$D$35)/($E$35-$D$35+1))-COS(PI()*(DE$3-$D$35+1)/($E$35-$D$35+1)))/2,1/($E$35-$D$35+1)),0)</f>
        <v>0</v>
      </c>
      <c r="DF150" s="7" t="n">
        <f aca="false">IF(AND(DF$3&gt;=$D$27,DF$3&lt;=$E$27),$I$27*IF($F$27="S-Curve",(COS(PI()*(DF$3-$D$27)/($E$27-$D$27+1))-COS(PI()*(DF$3-$D$27+1)/($E$27-$D$27+1)))/2,1/($E$27-$D$27+1)),0)+IF(AND(DF$3&gt;=$D$28,DF$3&lt;=$E$28),$I$28*IF($F$28="S-Curve",(COS(PI()*(DF$3-$D$28)/($E$28-$D$28+1))-COS(PI()*(DF$3-$D$28+1)/($E$28-$D$28+1)))/2,1/($E$28-$D$28+1)),0)+IF(AND(DF$3&gt;=$D$30,DF$3&lt;=$E$30),$I$30*IF($F$30="S-Curve",(COS(PI()*(DF$3-$D$30)/($E$30-$D$30+1))-COS(PI()*(DF$3-$D$30+1)/($E$30-$D$30+1)))/2,1/($E$30-$D$30+1)),0)+IF(AND(DF$3&gt;=$D$31,DF$3&lt;=$E$31),$I$31*IF($F$31="S-Curve",(COS(PI()*(DF$3-$D$31)/($E$31-$D$31+1))-COS(PI()*(DF$3-$D$31+1)/($E$31-$D$31+1)))/2,1/($E$31-$D$31+1)),0)+IF(AND(DF$3&gt;=$D$32,DF$3&lt;=$E$32),$I$32*IF($F$32="S-Curve",(COS(PI()*(DF$3-$D$32)/($E$32-$D$32+1))-COS(PI()*(DF$3-$D$32+1)/($E$32-$D$32+1)))/2,1/($E$32-$D$32+1)),0)+IF(AND(DF$3&gt;=$D$33,DF$3&lt;=$E$33),$I$33*IF($F$33="S-Curve",(COS(PI()*(DF$3-$D$33)/($E$33-$D$33+1))-COS(PI()*(DF$3-$D$33+1)/($E$33-$D$33+1)))/2,1/($E$33-$D$33+1)),0)+IF(AND(DF$3&gt;=$D$34,DF$3&lt;=$E$34),$I$34*IF($F$34="S-Curve",(COS(PI()*(DF$3-$D$34)/($E$34-$D$34+1))-COS(PI()*(DF$3-$D$34+1)/($E$34-$D$34+1)))/2,1/($E$34-$D$34+1)),0)+IF(AND(DF$3&gt;=$D$35,DF$3&lt;=$E$35),$I$35*IF($F$35="S-Curve",(COS(PI()*(DF$3-$D$35)/($E$35-$D$35+1))-COS(PI()*(DF$3-$D$35+1)/($E$35-$D$35+1)))/2,1/($E$35-$D$35+1)),0)</f>
        <v>0</v>
      </c>
      <c r="DG150" s="7" t="n">
        <f aca="false">IF(AND(DG$3&gt;=$D$27,DG$3&lt;=$E$27),$I$27*IF($F$27="S-Curve",(COS(PI()*(DG$3-$D$27)/($E$27-$D$27+1))-COS(PI()*(DG$3-$D$27+1)/($E$27-$D$27+1)))/2,1/($E$27-$D$27+1)),0)+IF(AND(DG$3&gt;=$D$28,DG$3&lt;=$E$28),$I$28*IF($F$28="S-Curve",(COS(PI()*(DG$3-$D$28)/($E$28-$D$28+1))-COS(PI()*(DG$3-$D$28+1)/($E$28-$D$28+1)))/2,1/($E$28-$D$28+1)),0)+IF(AND(DG$3&gt;=$D$30,DG$3&lt;=$E$30),$I$30*IF($F$30="S-Curve",(COS(PI()*(DG$3-$D$30)/($E$30-$D$30+1))-COS(PI()*(DG$3-$D$30+1)/($E$30-$D$30+1)))/2,1/($E$30-$D$30+1)),0)+IF(AND(DG$3&gt;=$D$31,DG$3&lt;=$E$31),$I$31*IF($F$31="S-Curve",(COS(PI()*(DG$3-$D$31)/($E$31-$D$31+1))-COS(PI()*(DG$3-$D$31+1)/($E$31-$D$31+1)))/2,1/($E$31-$D$31+1)),0)+IF(AND(DG$3&gt;=$D$32,DG$3&lt;=$E$32),$I$32*IF($F$32="S-Curve",(COS(PI()*(DG$3-$D$32)/($E$32-$D$32+1))-COS(PI()*(DG$3-$D$32+1)/($E$32-$D$32+1)))/2,1/($E$32-$D$32+1)),0)+IF(AND(DG$3&gt;=$D$33,DG$3&lt;=$E$33),$I$33*IF($F$33="S-Curve",(COS(PI()*(DG$3-$D$33)/($E$33-$D$33+1))-COS(PI()*(DG$3-$D$33+1)/($E$33-$D$33+1)))/2,1/($E$33-$D$33+1)),0)+IF(AND(DG$3&gt;=$D$34,DG$3&lt;=$E$34),$I$34*IF($F$34="S-Curve",(COS(PI()*(DG$3-$D$34)/($E$34-$D$34+1))-COS(PI()*(DG$3-$D$34+1)/($E$34-$D$34+1)))/2,1/($E$34-$D$34+1)),0)+IF(AND(DG$3&gt;=$D$35,DG$3&lt;=$E$35),$I$35*IF($F$35="S-Curve",(COS(PI()*(DG$3-$D$35)/($E$35-$D$35+1))-COS(PI()*(DG$3-$D$35+1)/($E$35-$D$35+1)))/2,1/($E$35-$D$35+1)),0)</f>
        <v>0</v>
      </c>
      <c r="DH150" s="7" t="n">
        <f aca="false">IF(AND(DH$3&gt;=$D$27,DH$3&lt;=$E$27),$I$27*IF($F$27="S-Curve",(COS(PI()*(DH$3-$D$27)/($E$27-$D$27+1))-COS(PI()*(DH$3-$D$27+1)/($E$27-$D$27+1)))/2,1/($E$27-$D$27+1)),0)+IF(AND(DH$3&gt;=$D$28,DH$3&lt;=$E$28),$I$28*IF($F$28="S-Curve",(COS(PI()*(DH$3-$D$28)/($E$28-$D$28+1))-COS(PI()*(DH$3-$D$28+1)/($E$28-$D$28+1)))/2,1/($E$28-$D$28+1)),0)+IF(AND(DH$3&gt;=$D$30,DH$3&lt;=$E$30),$I$30*IF($F$30="S-Curve",(COS(PI()*(DH$3-$D$30)/($E$30-$D$30+1))-COS(PI()*(DH$3-$D$30+1)/($E$30-$D$30+1)))/2,1/($E$30-$D$30+1)),0)+IF(AND(DH$3&gt;=$D$31,DH$3&lt;=$E$31),$I$31*IF($F$31="S-Curve",(COS(PI()*(DH$3-$D$31)/($E$31-$D$31+1))-COS(PI()*(DH$3-$D$31+1)/($E$31-$D$31+1)))/2,1/($E$31-$D$31+1)),0)+IF(AND(DH$3&gt;=$D$32,DH$3&lt;=$E$32),$I$32*IF($F$32="S-Curve",(COS(PI()*(DH$3-$D$32)/($E$32-$D$32+1))-COS(PI()*(DH$3-$D$32+1)/($E$32-$D$32+1)))/2,1/($E$32-$D$32+1)),0)+IF(AND(DH$3&gt;=$D$33,DH$3&lt;=$E$33),$I$33*IF($F$33="S-Curve",(COS(PI()*(DH$3-$D$33)/($E$33-$D$33+1))-COS(PI()*(DH$3-$D$33+1)/($E$33-$D$33+1)))/2,1/($E$33-$D$33+1)),0)+IF(AND(DH$3&gt;=$D$34,DH$3&lt;=$E$34),$I$34*IF($F$34="S-Curve",(COS(PI()*(DH$3-$D$34)/($E$34-$D$34+1))-COS(PI()*(DH$3-$D$34+1)/($E$34-$D$34+1)))/2,1/($E$34-$D$34+1)),0)+IF(AND(DH$3&gt;=$D$35,DH$3&lt;=$E$35),$I$35*IF($F$35="S-Curve",(COS(PI()*(DH$3-$D$35)/($E$35-$D$35+1))-COS(PI()*(DH$3-$D$35+1)/($E$35-$D$35+1)))/2,1/($E$35-$D$35+1)),0)</f>
        <v>0</v>
      </c>
      <c r="DI150" s="7" t="n">
        <f aca="false">IF(AND(DI$3&gt;=$D$27,DI$3&lt;=$E$27),$I$27*IF($F$27="S-Curve",(COS(PI()*(DI$3-$D$27)/($E$27-$D$27+1))-COS(PI()*(DI$3-$D$27+1)/($E$27-$D$27+1)))/2,1/($E$27-$D$27+1)),0)+IF(AND(DI$3&gt;=$D$28,DI$3&lt;=$E$28),$I$28*IF($F$28="S-Curve",(COS(PI()*(DI$3-$D$28)/($E$28-$D$28+1))-COS(PI()*(DI$3-$D$28+1)/($E$28-$D$28+1)))/2,1/($E$28-$D$28+1)),0)+IF(AND(DI$3&gt;=$D$30,DI$3&lt;=$E$30),$I$30*IF($F$30="S-Curve",(COS(PI()*(DI$3-$D$30)/($E$30-$D$30+1))-COS(PI()*(DI$3-$D$30+1)/($E$30-$D$30+1)))/2,1/($E$30-$D$30+1)),0)+IF(AND(DI$3&gt;=$D$31,DI$3&lt;=$E$31),$I$31*IF($F$31="S-Curve",(COS(PI()*(DI$3-$D$31)/($E$31-$D$31+1))-COS(PI()*(DI$3-$D$31+1)/($E$31-$D$31+1)))/2,1/($E$31-$D$31+1)),0)+IF(AND(DI$3&gt;=$D$32,DI$3&lt;=$E$32),$I$32*IF($F$32="S-Curve",(COS(PI()*(DI$3-$D$32)/($E$32-$D$32+1))-COS(PI()*(DI$3-$D$32+1)/($E$32-$D$32+1)))/2,1/($E$32-$D$32+1)),0)+IF(AND(DI$3&gt;=$D$33,DI$3&lt;=$E$33),$I$33*IF($F$33="S-Curve",(COS(PI()*(DI$3-$D$33)/($E$33-$D$33+1))-COS(PI()*(DI$3-$D$33+1)/($E$33-$D$33+1)))/2,1/($E$33-$D$33+1)),0)+IF(AND(DI$3&gt;=$D$34,DI$3&lt;=$E$34),$I$34*IF($F$34="S-Curve",(COS(PI()*(DI$3-$D$34)/($E$34-$D$34+1))-COS(PI()*(DI$3-$D$34+1)/($E$34-$D$34+1)))/2,1/($E$34-$D$34+1)),0)+IF(AND(DI$3&gt;=$D$35,DI$3&lt;=$E$35),$I$35*IF($F$35="S-Curve",(COS(PI()*(DI$3-$D$35)/($E$35-$D$35+1))-COS(PI()*(DI$3-$D$35+1)/($E$35-$D$35+1)))/2,1/($E$35-$D$35+1)),0)</f>
        <v>0</v>
      </c>
      <c r="DJ150" s="7" t="n">
        <f aca="false">IF(AND(DJ$3&gt;=$D$27,DJ$3&lt;=$E$27),$I$27*IF($F$27="S-Curve",(COS(PI()*(DJ$3-$D$27)/($E$27-$D$27+1))-COS(PI()*(DJ$3-$D$27+1)/($E$27-$D$27+1)))/2,1/($E$27-$D$27+1)),0)+IF(AND(DJ$3&gt;=$D$28,DJ$3&lt;=$E$28),$I$28*IF($F$28="S-Curve",(COS(PI()*(DJ$3-$D$28)/($E$28-$D$28+1))-COS(PI()*(DJ$3-$D$28+1)/($E$28-$D$28+1)))/2,1/($E$28-$D$28+1)),0)+IF(AND(DJ$3&gt;=$D$30,DJ$3&lt;=$E$30),$I$30*IF($F$30="S-Curve",(COS(PI()*(DJ$3-$D$30)/($E$30-$D$30+1))-COS(PI()*(DJ$3-$D$30+1)/($E$30-$D$30+1)))/2,1/($E$30-$D$30+1)),0)+IF(AND(DJ$3&gt;=$D$31,DJ$3&lt;=$E$31),$I$31*IF($F$31="S-Curve",(COS(PI()*(DJ$3-$D$31)/($E$31-$D$31+1))-COS(PI()*(DJ$3-$D$31+1)/($E$31-$D$31+1)))/2,1/($E$31-$D$31+1)),0)+IF(AND(DJ$3&gt;=$D$32,DJ$3&lt;=$E$32),$I$32*IF($F$32="S-Curve",(COS(PI()*(DJ$3-$D$32)/($E$32-$D$32+1))-COS(PI()*(DJ$3-$D$32+1)/($E$32-$D$32+1)))/2,1/($E$32-$D$32+1)),0)+IF(AND(DJ$3&gt;=$D$33,DJ$3&lt;=$E$33),$I$33*IF($F$33="S-Curve",(COS(PI()*(DJ$3-$D$33)/($E$33-$D$33+1))-COS(PI()*(DJ$3-$D$33+1)/($E$33-$D$33+1)))/2,1/($E$33-$D$33+1)),0)+IF(AND(DJ$3&gt;=$D$34,DJ$3&lt;=$E$34),$I$34*IF($F$34="S-Curve",(COS(PI()*(DJ$3-$D$34)/($E$34-$D$34+1))-COS(PI()*(DJ$3-$D$34+1)/($E$34-$D$34+1)))/2,1/($E$34-$D$34+1)),0)+IF(AND(DJ$3&gt;=$D$35,DJ$3&lt;=$E$35),$I$35*IF($F$35="S-Curve",(COS(PI()*(DJ$3-$D$35)/($E$35-$D$35+1))-COS(PI()*(DJ$3-$D$35+1)/($E$35-$D$35+1)))/2,1/($E$35-$D$35+1)),0)</f>
        <v>0</v>
      </c>
      <c r="DK150" s="7" t="n">
        <f aca="false">IF(AND(DK$3&gt;=$D$27,DK$3&lt;=$E$27),$I$27*IF($F$27="S-Curve",(COS(PI()*(DK$3-$D$27)/($E$27-$D$27+1))-COS(PI()*(DK$3-$D$27+1)/($E$27-$D$27+1)))/2,1/($E$27-$D$27+1)),0)+IF(AND(DK$3&gt;=$D$28,DK$3&lt;=$E$28),$I$28*IF($F$28="S-Curve",(COS(PI()*(DK$3-$D$28)/($E$28-$D$28+1))-COS(PI()*(DK$3-$D$28+1)/($E$28-$D$28+1)))/2,1/($E$28-$D$28+1)),0)+IF(AND(DK$3&gt;=$D$30,DK$3&lt;=$E$30),$I$30*IF($F$30="S-Curve",(COS(PI()*(DK$3-$D$30)/($E$30-$D$30+1))-COS(PI()*(DK$3-$D$30+1)/($E$30-$D$30+1)))/2,1/($E$30-$D$30+1)),0)+IF(AND(DK$3&gt;=$D$31,DK$3&lt;=$E$31),$I$31*IF($F$31="S-Curve",(COS(PI()*(DK$3-$D$31)/($E$31-$D$31+1))-COS(PI()*(DK$3-$D$31+1)/($E$31-$D$31+1)))/2,1/($E$31-$D$31+1)),0)+IF(AND(DK$3&gt;=$D$32,DK$3&lt;=$E$32),$I$32*IF($F$32="S-Curve",(COS(PI()*(DK$3-$D$32)/($E$32-$D$32+1))-COS(PI()*(DK$3-$D$32+1)/($E$32-$D$32+1)))/2,1/($E$32-$D$32+1)),0)+IF(AND(DK$3&gt;=$D$33,DK$3&lt;=$E$33),$I$33*IF($F$33="S-Curve",(COS(PI()*(DK$3-$D$33)/($E$33-$D$33+1))-COS(PI()*(DK$3-$D$33+1)/($E$33-$D$33+1)))/2,1/($E$33-$D$33+1)),0)+IF(AND(DK$3&gt;=$D$34,DK$3&lt;=$E$34),$I$34*IF($F$34="S-Curve",(COS(PI()*(DK$3-$D$34)/($E$34-$D$34+1))-COS(PI()*(DK$3-$D$34+1)/($E$34-$D$34+1)))/2,1/($E$34-$D$34+1)),0)+IF(AND(DK$3&gt;=$D$35,DK$3&lt;=$E$35),$I$35*IF($F$35="S-Curve",(COS(PI()*(DK$3-$D$35)/($E$35-$D$35+1))-COS(PI()*(DK$3-$D$35+1)/($E$35-$D$35+1)))/2,1/($E$35-$D$35+1)),0)</f>
        <v>0</v>
      </c>
      <c r="DL150" s="7" t="n">
        <f aca="false">IF(AND(DL$3&gt;=$D$27,DL$3&lt;=$E$27),$I$27*IF($F$27="S-Curve",(COS(PI()*(DL$3-$D$27)/($E$27-$D$27+1))-COS(PI()*(DL$3-$D$27+1)/($E$27-$D$27+1)))/2,1/($E$27-$D$27+1)),0)+IF(AND(DL$3&gt;=$D$28,DL$3&lt;=$E$28),$I$28*IF($F$28="S-Curve",(COS(PI()*(DL$3-$D$28)/($E$28-$D$28+1))-COS(PI()*(DL$3-$D$28+1)/($E$28-$D$28+1)))/2,1/($E$28-$D$28+1)),0)+IF(AND(DL$3&gt;=$D$30,DL$3&lt;=$E$30),$I$30*IF($F$30="S-Curve",(COS(PI()*(DL$3-$D$30)/($E$30-$D$30+1))-COS(PI()*(DL$3-$D$30+1)/($E$30-$D$30+1)))/2,1/($E$30-$D$30+1)),0)+IF(AND(DL$3&gt;=$D$31,DL$3&lt;=$E$31),$I$31*IF($F$31="S-Curve",(COS(PI()*(DL$3-$D$31)/($E$31-$D$31+1))-COS(PI()*(DL$3-$D$31+1)/($E$31-$D$31+1)))/2,1/($E$31-$D$31+1)),0)+IF(AND(DL$3&gt;=$D$32,DL$3&lt;=$E$32),$I$32*IF($F$32="S-Curve",(COS(PI()*(DL$3-$D$32)/($E$32-$D$32+1))-COS(PI()*(DL$3-$D$32+1)/($E$32-$D$32+1)))/2,1/($E$32-$D$32+1)),0)+IF(AND(DL$3&gt;=$D$33,DL$3&lt;=$E$33),$I$33*IF($F$33="S-Curve",(COS(PI()*(DL$3-$D$33)/($E$33-$D$33+1))-COS(PI()*(DL$3-$D$33+1)/($E$33-$D$33+1)))/2,1/($E$33-$D$33+1)),0)+IF(AND(DL$3&gt;=$D$34,DL$3&lt;=$E$34),$I$34*IF($F$34="S-Curve",(COS(PI()*(DL$3-$D$34)/($E$34-$D$34+1))-COS(PI()*(DL$3-$D$34+1)/($E$34-$D$34+1)))/2,1/($E$34-$D$34+1)),0)+IF(AND(DL$3&gt;=$D$35,DL$3&lt;=$E$35),$I$35*IF($F$35="S-Curve",(COS(PI()*(DL$3-$D$35)/($E$35-$D$35+1))-COS(PI()*(DL$3-$D$35+1)/($E$35-$D$35+1)))/2,1/($E$35-$D$35+1)),0)</f>
        <v>0</v>
      </c>
      <c r="DM150" s="7" t="n">
        <f aca="false">IF(AND(DM$3&gt;=$D$27,DM$3&lt;=$E$27),$I$27*IF($F$27="S-Curve",(COS(PI()*(DM$3-$D$27)/($E$27-$D$27+1))-COS(PI()*(DM$3-$D$27+1)/($E$27-$D$27+1)))/2,1/($E$27-$D$27+1)),0)+IF(AND(DM$3&gt;=$D$28,DM$3&lt;=$E$28),$I$28*IF($F$28="S-Curve",(COS(PI()*(DM$3-$D$28)/($E$28-$D$28+1))-COS(PI()*(DM$3-$D$28+1)/($E$28-$D$28+1)))/2,1/($E$28-$D$28+1)),0)+IF(AND(DM$3&gt;=$D$30,DM$3&lt;=$E$30),$I$30*IF($F$30="S-Curve",(COS(PI()*(DM$3-$D$30)/($E$30-$D$30+1))-COS(PI()*(DM$3-$D$30+1)/($E$30-$D$30+1)))/2,1/($E$30-$D$30+1)),0)+IF(AND(DM$3&gt;=$D$31,DM$3&lt;=$E$31),$I$31*IF($F$31="S-Curve",(COS(PI()*(DM$3-$D$31)/($E$31-$D$31+1))-COS(PI()*(DM$3-$D$31+1)/($E$31-$D$31+1)))/2,1/($E$31-$D$31+1)),0)+IF(AND(DM$3&gt;=$D$32,DM$3&lt;=$E$32),$I$32*IF($F$32="S-Curve",(COS(PI()*(DM$3-$D$32)/($E$32-$D$32+1))-COS(PI()*(DM$3-$D$32+1)/($E$32-$D$32+1)))/2,1/($E$32-$D$32+1)),0)+IF(AND(DM$3&gt;=$D$33,DM$3&lt;=$E$33),$I$33*IF($F$33="S-Curve",(COS(PI()*(DM$3-$D$33)/($E$33-$D$33+1))-COS(PI()*(DM$3-$D$33+1)/($E$33-$D$33+1)))/2,1/($E$33-$D$33+1)),0)+IF(AND(DM$3&gt;=$D$34,DM$3&lt;=$E$34),$I$34*IF($F$34="S-Curve",(COS(PI()*(DM$3-$D$34)/($E$34-$D$34+1))-COS(PI()*(DM$3-$D$34+1)/($E$34-$D$34+1)))/2,1/($E$34-$D$34+1)),0)+IF(AND(DM$3&gt;=$D$35,DM$3&lt;=$E$35),$I$35*IF($F$35="S-Curve",(COS(PI()*(DM$3-$D$35)/($E$35-$D$35+1))-COS(PI()*(DM$3-$D$35+1)/($E$35-$D$35+1)))/2,1/($E$35-$D$35+1)),0)</f>
        <v>0</v>
      </c>
      <c r="DN150" s="7" t="n">
        <f aca="false">IF(AND(DN$3&gt;=$D$27,DN$3&lt;=$E$27),$I$27*IF($F$27="S-Curve",(COS(PI()*(DN$3-$D$27)/($E$27-$D$27+1))-COS(PI()*(DN$3-$D$27+1)/($E$27-$D$27+1)))/2,1/($E$27-$D$27+1)),0)+IF(AND(DN$3&gt;=$D$28,DN$3&lt;=$E$28),$I$28*IF($F$28="S-Curve",(COS(PI()*(DN$3-$D$28)/($E$28-$D$28+1))-COS(PI()*(DN$3-$D$28+1)/($E$28-$D$28+1)))/2,1/($E$28-$D$28+1)),0)+IF(AND(DN$3&gt;=$D$30,DN$3&lt;=$E$30),$I$30*IF($F$30="S-Curve",(COS(PI()*(DN$3-$D$30)/($E$30-$D$30+1))-COS(PI()*(DN$3-$D$30+1)/($E$30-$D$30+1)))/2,1/($E$30-$D$30+1)),0)+IF(AND(DN$3&gt;=$D$31,DN$3&lt;=$E$31),$I$31*IF($F$31="S-Curve",(COS(PI()*(DN$3-$D$31)/($E$31-$D$31+1))-COS(PI()*(DN$3-$D$31+1)/($E$31-$D$31+1)))/2,1/($E$31-$D$31+1)),0)+IF(AND(DN$3&gt;=$D$32,DN$3&lt;=$E$32),$I$32*IF($F$32="S-Curve",(COS(PI()*(DN$3-$D$32)/($E$32-$D$32+1))-COS(PI()*(DN$3-$D$32+1)/($E$32-$D$32+1)))/2,1/($E$32-$D$32+1)),0)+IF(AND(DN$3&gt;=$D$33,DN$3&lt;=$E$33),$I$33*IF($F$33="S-Curve",(COS(PI()*(DN$3-$D$33)/($E$33-$D$33+1))-COS(PI()*(DN$3-$D$33+1)/($E$33-$D$33+1)))/2,1/($E$33-$D$33+1)),0)+IF(AND(DN$3&gt;=$D$34,DN$3&lt;=$E$34),$I$34*IF($F$34="S-Curve",(COS(PI()*(DN$3-$D$34)/($E$34-$D$34+1))-COS(PI()*(DN$3-$D$34+1)/($E$34-$D$34+1)))/2,1/($E$34-$D$34+1)),0)+IF(AND(DN$3&gt;=$D$35,DN$3&lt;=$E$35),$I$35*IF($F$35="S-Curve",(COS(PI()*(DN$3-$D$35)/($E$35-$D$35+1))-COS(PI()*(DN$3-$D$35+1)/($E$35-$D$35+1)))/2,1/($E$35-$D$35+1)),0)</f>
        <v>0</v>
      </c>
      <c r="DO150" s="7" t="n">
        <f aca="false">IF(AND(DO$3&gt;=$D$27,DO$3&lt;=$E$27),$I$27*IF($F$27="S-Curve",(COS(PI()*(DO$3-$D$27)/($E$27-$D$27+1))-COS(PI()*(DO$3-$D$27+1)/($E$27-$D$27+1)))/2,1/($E$27-$D$27+1)),0)+IF(AND(DO$3&gt;=$D$28,DO$3&lt;=$E$28),$I$28*IF($F$28="S-Curve",(COS(PI()*(DO$3-$D$28)/($E$28-$D$28+1))-COS(PI()*(DO$3-$D$28+1)/($E$28-$D$28+1)))/2,1/($E$28-$D$28+1)),0)+IF(AND(DO$3&gt;=$D$30,DO$3&lt;=$E$30),$I$30*IF($F$30="S-Curve",(COS(PI()*(DO$3-$D$30)/($E$30-$D$30+1))-COS(PI()*(DO$3-$D$30+1)/($E$30-$D$30+1)))/2,1/($E$30-$D$30+1)),0)+IF(AND(DO$3&gt;=$D$31,DO$3&lt;=$E$31),$I$31*IF($F$31="S-Curve",(COS(PI()*(DO$3-$D$31)/($E$31-$D$31+1))-COS(PI()*(DO$3-$D$31+1)/($E$31-$D$31+1)))/2,1/($E$31-$D$31+1)),0)+IF(AND(DO$3&gt;=$D$32,DO$3&lt;=$E$32),$I$32*IF($F$32="S-Curve",(COS(PI()*(DO$3-$D$32)/($E$32-$D$32+1))-COS(PI()*(DO$3-$D$32+1)/($E$32-$D$32+1)))/2,1/($E$32-$D$32+1)),0)+IF(AND(DO$3&gt;=$D$33,DO$3&lt;=$E$33),$I$33*IF($F$33="S-Curve",(COS(PI()*(DO$3-$D$33)/($E$33-$D$33+1))-COS(PI()*(DO$3-$D$33+1)/($E$33-$D$33+1)))/2,1/($E$33-$D$33+1)),0)+IF(AND(DO$3&gt;=$D$34,DO$3&lt;=$E$34),$I$34*IF($F$34="S-Curve",(COS(PI()*(DO$3-$D$34)/($E$34-$D$34+1))-COS(PI()*(DO$3-$D$34+1)/($E$34-$D$34+1)))/2,1/($E$34-$D$34+1)),0)+IF(AND(DO$3&gt;=$D$35,DO$3&lt;=$E$35),$I$35*IF($F$35="S-Curve",(COS(PI()*(DO$3-$D$35)/($E$35-$D$35+1))-COS(PI()*(DO$3-$D$35+1)/($E$35-$D$35+1)))/2,1/($E$35-$D$35+1)),0)</f>
        <v>0</v>
      </c>
      <c r="DP150" s="7" t="n">
        <f aca="false">IF(AND(DP$3&gt;=$D$27,DP$3&lt;=$E$27),$I$27*IF($F$27="S-Curve",(COS(PI()*(DP$3-$D$27)/($E$27-$D$27+1))-COS(PI()*(DP$3-$D$27+1)/($E$27-$D$27+1)))/2,1/($E$27-$D$27+1)),0)+IF(AND(DP$3&gt;=$D$28,DP$3&lt;=$E$28),$I$28*IF($F$28="S-Curve",(COS(PI()*(DP$3-$D$28)/($E$28-$D$28+1))-COS(PI()*(DP$3-$D$28+1)/($E$28-$D$28+1)))/2,1/($E$28-$D$28+1)),0)+IF(AND(DP$3&gt;=$D$30,DP$3&lt;=$E$30),$I$30*IF($F$30="S-Curve",(COS(PI()*(DP$3-$D$30)/($E$30-$D$30+1))-COS(PI()*(DP$3-$D$30+1)/($E$30-$D$30+1)))/2,1/($E$30-$D$30+1)),0)+IF(AND(DP$3&gt;=$D$31,DP$3&lt;=$E$31),$I$31*IF($F$31="S-Curve",(COS(PI()*(DP$3-$D$31)/($E$31-$D$31+1))-COS(PI()*(DP$3-$D$31+1)/($E$31-$D$31+1)))/2,1/($E$31-$D$31+1)),0)+IF(AND(DP$3&gt;=$D$32,DP$3&lt;=$E$32),$I$32*IF($F$32="S-Curve",(COS(PI()*(DP$3-$D$32)/($E$32-$D$32+1))-COS(PI()*(DP$3-$D$32+1)/($E$32-$D$32+1)))/2,1/($E$32-$D$32+1)),0)+IF(AND(DP$3&gt;=$D$33,DP$3&lt;=$E$33),$I$33*IF($F$33="S-Curve",(COS(PI()*(DP$3-$D$33)/($E$33-$D$33+1))-COS(PI()*(DP$3-$D$33+1)/($E$33-$D$33+1)))/2,1/($E$33-$D$33+1)),0)+IF(AND(DP$3&gt;=$D$34,DP$3&lt;=$E$34),$I$34*IF($F$34="S-Curve",(COS(PI()*(DP$3-$D$34)/($E$34-$D$34+1))-COS(PI()*(DP$3-$D$34+1)/($E$34-$D$34+1)))/2,1/($E$34-$D$34+1)),0)+IF(AND(DP$3&gt;=$D$35,DP$3&lt;=$E$35),$I$35*IF($F$35="S-Curve",(COS(PI()*(DP$3-$D$35)/($E$35-$D$35+1))-COS(PI()*(DP$3-$D$35+1)/($E$35-$D$35+1)))/2,1/($E$35-$D$35+1)),0)</f>
        <v>0</v>
      </c>
    </row>
    <row r="151" customFormat="false" ht="15" hidden="false" customHeight="false" outlineLevel="0" collapsed="false">
      <c r="B151" s="0" t="s">
        <v>88</v>
      </c>
      <c r="L151" s="7" t="n">
        <f aca="false">L150*$E$40</f>
        <v>5938800</v>
      </c>
      <c r="M151" s="7" t="n">
        <f aca="false">M150*$E$40</f>
        <v>69761.136</v>
      </c>
      <c r="N151" s="7" t="n">
        <f aca="false">N150*$E$40</f>
        <v>169361.136</v>
      </c>
      <c r="O151" s="7" t="n">
        <f aca="false">O150*$E$40</f>
        <v>169361.136</v>
      </c>
      <c r="P151" s="7" t="n">
        <f aca="false">P150*$E$40</f>
        <v>258428.42545425</v>
      </c>
      <c r="Q151" s="7" t="n">
        <f aca="false">Q150*$E$40</f>
        <v>431475.492915623</v>
      </c>
      <c r="R151" s="7" t="n">
        <f aca="false">R150*$E$40</f>
        <v>589552.671240691</v>
      </c>
      <c r="S151" s="7" t="n">
        <f aca="false">S150*$E$40</f>
        <v>723638.613806442</v>
      </c>
      <c r="T151" s="7" t="n">
        <f aca="false">T150*$E$40</f>
        <v>826091.656195777</v>
      </c>
      <c r="U151" s="7" t="n">
        <f aca="false">U150*$E$40</f>
        <v>791488.782449155</v>
      </c>
      <c r="V151" s="7" t="n">
        <f aca="false">V150*$E$40</f>
        <v>815359.570324936</v>
      </c>
      <c r="W151" s="7" t="n">
        <f aca="false">W150*$E$40</f>
        <v>796795.860010968</v>
      </c>
      <c r="X151" s="7" t="n">
        <f aca="false">X150*$E$40</f>
        <v>799994.542340271</v>
      </c>
      <c r="Y151" s="7" t="n">
        <f aca="false">Y150*$E$40</f>
        <v>820844.360463704</v>
      </c>
      <c r="Z151" s="7" t="n">
        <f aca="false">Z150*$E$40</f>
        <v>787639.715384314</v>
      </c>
      <c r="AA151" s="7" t="n">
        <f aca="false">AA150*$E$40</f>
        <v>696222.666449857</v>
      </c>
      <c r="AB151" s="7" t="n">
        <f aca="false">AB150*$E$40</f>
        <v>547885.176905599</v>
      </c>
      <c r="AC151" s="7" t="n">
        <f aca="false">AC150*$E$40</f>
        <v>435150.908171519</v>
      </c>
      <c r="AD151" s="7" t="n">
        <f aca="false">AD150*$E$40</f>
        <v>365809.335556587</v>
      </c>
      <c r="AE151" s="7" t="n">
        <f aca="false">AE150*$E$40</f>
        <v>262302.403732734</v>
      </c>
      <c r="AF151" s="7" t="n">
        <f aca="false">AF150*$E$40</f>
        <v>136519.130597573</v>
      </c>
      <c r="AG151" s="7" t="n">
        <f aca="false">AG150*$E$40</f>
        <v>0</v>
      </c>
      <c r="AH151" s="7" t="n">
        <f aca="false">AH150*$E$40</f>
        <v>0</v>
      </c>
      <c r="AI151" s="7" t="n">
        <f aca="false">AI150*$E$40</f>
        <v>0</v>
      </c>
      <c r="AJ151" s="7" t="n">
        <f aca="false">AJ150*$E$40</f>
        <v>0</v>
      </c>
      <c r="AK151" s="7" t="n">
        <f aca="false">AK150*$E$40</f>
        <v>0</v>
      </c>
      <c r="AL151" s="7" t="n">
        <f aca="false">AL150*$E$40</f>
        <v>0</v>
      </c>
      <c r="AM151" s="7" t="n">
        <f aca="false">AM150*$E$40</f>
        <v>0</v>
      </c>
      <c r="AN151" s="7" t="n">
        <f aca="false">AN150*$E$40</f>
        <v>0</v>
      </c>
      <c r="AO151" s="7" t="n">
        <f aca="false">AO150*$E$40</f>
        <v>0</v>
      </c>
      <c r="AP151" s="7" t="n">
        <f aca="false">AP150*$E$40</f>
        <v>0</v>
      </c>
      <c r="AQ151" s="7" t="n">
        <f aca="false">AQ150*$E$40</f>
        <v>0</v>
      </c>
      <c r="AR151" s="7" t="n">
        <f aca="false">AR150*$E$40</f>
        <v>0</v>
      </c>
      <c r="AS151" s="7" t="n">
        <f aca="false">AS150*$E$40</f>
        <v>0</v>
      </c>
      <c r="AT151" s="7" t="n">
        <f aca="false">AT150*$E$40</f>
        <v>0</v>
      </c>
      <c r="AU151" s="7" t="n">
        <f aca="false">AU150*$E$40</f>
        <v>0</v>
      </c>
      <c r="AV151" s="7" t="n">
        <f aca="false">AV150*$E$40</f>
        <v>0</v>
      </c>
      <c r="AW151" s="7" t="n">
        <f aca="false">AW150*$E$40</f>
        <v>0</v>
      </c>
      <c r="AX151" s="7" t="n">
        <f aca="false">AX150*$E$40</f>
        <v>0</v>
      </c>
      <c r="AY151" s="7" t="n">
        <f aca="false">AY150*$E$40</f>
        <v>0</v>
      </c>
      <c r="AZ151" s="7" t="n">
        <f aca="false">AZ150*$E$40</f>
        <v>0</v>
      </c>
      <c r="BA151" s="7" t="n">
        <f aca="false">BA150*$E$40</f>
        <v>0</v>
      </c>
      <c r="BB151" s="7" t="n">
        <f aca="false">BB150*$E$40</f>
        <v>0</v>
      </c>
      <c r="BC151" s="7" t="n">
        <f aca="false">BC150*$E$40</f>
        <v>0</v>
      </c>
      <c r="BD151" s="7" t="n">
        <f aca="false">BD150*$E$40</f>
        <v>0</v>
      </c>
      <c r="BE151" s="7" t="n">
        <f aca="false">BE150*$E$40</f>
        <v>0</v>
      </c>
      <c r="BF151" s="7" t="n">
        <f aca="false">BF150*$E$40</f>
        <v>0</v>
      </c>
      <c r="BG151" s="7" t="n">
        <f aca="false">BG150*$E$40</f>
        <v>0</v>
      </c>
      <c r="BH151" s="7" t="n">
        <f aca="false">BH150*$E$40</f>
        <v>0</v>
      </c>
      <c r="BI151" s="7" t="n">
        <f aca="false">BI150*$E$40</f>
        <v>0</v>
      </c>
      <c r="BJ151" s="7" t="n">
        <f aca="false">BJ150*$E$40</f>
        <v>0</v>
      </c>
      <c r="BK151" s="7" t="n">
        <f aca="false">BK150*$E$40</f>
        <v>0</v>
      </c>
      <c r="BL151" s="7" t="n">
        <f aca="false">BL150*$E$40</f>
        <v>0</v>
      </c>
      <c r="BM151" s="7" t="n">
        <f aca="false">BM150*$E$40</f>
        <v>0</v>
      </c>
      <c r="BN151" s="7" t="n">
        <f aca="false">BN150*$E$40</f>
        <v>0</v>
      </c>
      <c r="BO151" s="7" t="n">
        <f aca="false">BO150*$E$40</f>
        <v>0</v>
      </c>
      <c r="BP151" s="7" t="n">
        <f aca="false">BP150*$E$40</f>
        <v>0</v>
      </c>
      <c r="BQ151" s="7" t="n">
        <f aca="false">BQ150*$E$40</f>
        <v>0</v>
      </c>
      <c r="BR151" s="7" t="n">
        <f aca="false">BR150*$E$40</f>
        <v>0</v>
      </c>
      <c r="BS151" s="7" t="n">
        <f aca="false">BS150*$E$40</f>
        <v>0</v>
      </c>
      <c r="BT151" s="7" t="n">
        <f aca="false">BT150*$E$40</f>
        <v>0</v>
      </c>
      <c r="BU151" s="7" t="n">
        <f aca="false">BU150*$E$40</f>
        <v>0</v>
      </c>
      <c r="BV151" s="7" t="n">
        <f aca="false">BV150*$E$40</f>
        <v>0</v>
      </c>
      <c r="BW151" s="7" t="n">
        <f aca="false">BW150*$E$40</f>
        <v>0</v>
      </c>
      <c r="BX151" s="7" t="n">
        <f aca="false">BX150*$E$40</f>
        <v>0</v>
      </c>
      <c r="BY151" s="7" t="n">
        <f aca="false">BY150*$E$40</f>
        <v>0</v>
      </c>
      <c r="BZ151" s="7" t="n">
        <f aca="false">BZ150*$E$40</f>
        <v>0</v>
      </c>
      <c r="CA151" s="7" t="n">
        <f aca="false">CA150*$E$40</f>
        <v>0</v>
      </c>
      <c r="CB151" s="7" t="n">
        <f aca="false">CB150*$E$40</f>
        <v>0</v>
      </c>
      <c r="CC151" s="7" t="n">
        <f aca="false">CC150*$E$40</f>
        <v>0</v>
      </c>
      <c r="CD151" s="7" t="n">
        <f aca="false">CD150*$E$40</f>
        <v>0</v>
      </c>
      <c r="CE151" s="7" t="n">
        <f aca="false">CE150*$E$40</f>
        <v>0</v>
      </c>
      <c r="CF151" s="7" t="n">
        <f aca="false">CF150*$E$40</f>
        <v>0</v>
      </c>
      <c r="CG151" s="7" t="n">
        <f aca="false">CG150*$E$40</f>
        <v>0</v>
      </c>
      <c r="CH151" s="7" t="n">
        <f aca="false">CH150*$E$40</f>
        <v>0</v>
      </c>
      <c r="CI151" s="7" t="n">
        <f aca="false">CI150*$E$40</f>
        <v>0</v>
      </c>
      <c r="CJ151" s="7" t="n">
        <f aca="false">CJ150*$E$40</f>
        <v>0</v>
      </c>
      <c r="CK151" s="7" t="n">
        <f aca="false">CK150*$E$40</f>
        <v>0</v>
      </c>
      <c r="CL151" s="7" t="n">
        <f aca="false">CL150*$E$40</f>
        <v>0</v>
      </c>
      <c r="CM151" s="7" t="n">
        <f aca="false">CM150*$E$40</f>
        <v>0</v>
      </c>
      <c r="CN151" s="7" t="n">
        <f aca="false">CN150*$E$40</f>
        <v>0</v>
      </c>
      <c r="CO151" s="7" t="n">
        <f aca="false">CO150*$E$40</f>
        <v>0</v>
      </c>
      <c r="CP151" s="7" t="n">
        <f aca="false">CP150*$E$40</f>
        <v>0</v>
      </c>
      <c r="CQ151" s="7" t="n">
        <f aca="false">CQ150*$E$40</f>
        <v>0</v>
      </c>
      <c r="CR151" s="7" t="n">
        <f aca="false">CR150*$E$40</f>
        <v>0</v>
      </c>
      <c r="CS151" s="7" t="n">
        <f aca="false">CS150*$E$40</f>
        <v>0</v>
      </c>
      <c r="CT151" s="7" t="n">
        <f aca="false">CT150*$E$40</f>
        <v>0</v>
      </c>
      <c r="CU151" s="7" t="n">
        <f aca="false">CU150*$E$40</f>
        <v>0</v>
      </c>
      <c r="CV151" s="7" t="n">
        <f aca="false">CV150*$E$40</f>
        <v>0</v>
      </c>
      <c r="CW151" s="7" t="n">
        <f aca="false">CW150*$E$40</f>
        <v>0</v>
      </c>
      <c r="CX151" s="7" t="n">
        <f aca="false">CX150*$E$40</f>
        <v>0</v>
      </c>
      <c r="CY151" s="7" t="n">
        <f aca="false">CY150*$E$40</f>
        <v>0</v>
      </c>
      <c r="CZ151" s="7" t="n">
        <f aca="false">CZ150*$E$40</f>
        <v>0</v>
      </c>
      <c r="DA151" s="7" t="n">
        <f aca="false">DA150*$E$40</f>
        <v>0</v>
      </c>
      <c r="DB151" s="7" t="n">
        <f aca="false">DB150*$E$40</f>
        <v>0</v>
      </c>
      <c r="DC151" s="7" t="n">
        <f aca="false">DC150*$E$40</f>
        <v>0</v>
      </c>
      <c r="DD151" s="7" t="n">
        <f aca="false">DD150*$E$40</f>
        <v>0</v>
      </c>
      <c r="DE151" s="7" t="n">
        <f aca="false">DE150*$E$40</f>
        <v>0</v>
      </c>
      <c r="DF151" s="7" t="n">
        <f aca="false">DF150*$E$40</f>
        <v>0</v>
      </c>
      <c r="DG151" s="7" t="n">
        <f aca="false">DG150*$E$40</f>
        <v>0</v>
      </c>
      <c r="DH151" s="7" t="n">
        <f aca="false">DH150*$E$40</f>
        <v>0</v>
      </c>
      <c r="DI151" s="7" t="n">
        <f aca="false">DI150*$E$40</f>
        <v>0</v>
      </c>
      <c r="DJ151" s="7" t="n">
        <f aca="false">DJ150*$E$40</f>
        <v>0</v>
      </c>
      <c r="DK151" s="7" t="n">
        <f aca="false">DK150*$E$40</f>
        <v>0</v>
      </c>
      <c r="DL151" s="7" t="n">
        <f aca="false">DL150*$E$40</f>
        <v>0</v>
      </c>
      <c r="DM151" s="7" t="n">
        <f aca="false">DM150*$E$40</f>
        <v>0</v>
      </c>
      <c r="DN151" s="7" t="n">
        <f aca="false">DN150*$E$40</f>
        <v>0</v>
      </c>
      <c r="DO151" s="7" t="n">
        <f aca="false">DO150*$E$40</f>
        <v>0</v>
      </c>
      <c r="DP151" s="7" t="n">
        <f aca="false">DP150*$E$40</f>
        <v>0</v>
      </c>
    </row>
    <row r="152" customFormat="false" ht="15" hidden="false" customHeight="false" outlineLevel="0" collapsed="false">
      <c r="B152" s="0" t="s">
        <v>89</v>
      </c>
      <c r="L152" s="7" t="n">
        <f aca="false">0</f>
        <v>0</v>
      </c>
      <c r="M152" s="7" t="n">
        <f aca="false">IF(M$3&lt;=$E$44,L153*$E$41/12,0)</f>
        <v>38354.75</v>
      </c>
      <c r="N152" s="7" t="n">
        <f aca="false">IF(N$3&lt;=$E$44,M153*$E$41/12,0)</f>
        <v>38805.29067</v>
      </c>
      <c r="O152" s="7" t="n">
        <f aca="false">IF(O$3&lt;=$E$44,N153*$E$41/12,0)</f>
        <v>39899.08134</v>
      </c>
      <c r="P152" s="7" t="n">
        <f aca="false">IF(P$3&lt;=$E$44,O153*$E$41/12,0)</f>
        <v>40992.87201</v>
      </c>
      <c r="Q152" s="7" t="n">
        <f aca="false">IF(Q$3&lt;=$E$44,P153*$E$41/12,0)</f>
        <v>42661.888924392</v>
      </c>
      <c r="R152" s="7" t="n">
        <f aca="false">IF(R$3&lt;=$E$44,Q153*$E$41/12,0)</f>
        <v>45448.5014828054</v>
      </c>
      <c r="S152" s="7" t="n">
        <f aca="false">IF(S$3&lt;=$E$44,R153*$E$41/12,0)</f>
        <v>49256.0291512349</v>
      </c>
      <c r="T152" s="7" t="n">
        <f aca="false">IF(T$3&lt;=$E$44,S153*$E$41/12,0)</f>
        <v>53929.5285320682</v>
      </c>
      <c r="U152" s="7" t="n">
        <f aca="false">IF(U$3&lt;=$E$44,T153*$E$41/12,0)</f>
        <v>59264.7038116659</v>
      </c>
      <c r="V152" s="7" t="n">
        <f aca="false">IF(V$3&lt;=$E$44,U153*$E$41/12,0)</f>
        <v>64376.4021983167</v>
      </c>
      <c r="W152" s="7" t="n">
        <f aca="false">IF(W$3&lt;=$E$44,V153*$E$41/12,0)</f>
        <v>69642.2660899986</v>
      </c>
      <c r="X152" s="7" t="n">
        <f aca="false">IF(X$3&lt;=$E$44,W153*$E$41/12,0)</f>
        <v>74788.2393525694</v>
      </c>
      <c r="Y152" s="7" t="n">
        <f aca="false">IF(Y$3&lt;=$E$44,X153*$E$41/12,0)</f>
        <v>79954.8707718503</v>
      </c>
      <c r="Z152" s="7" t="n">
        <f aca="false">IF(Z$3&lt;=$E$44,Y153*$E$41/12,0)</f>
        <v>85256.1572665117</v>
      </c>
      <c r="AA152" s="7" t="n">
        <f aca="false">IF(AA$3&lt;=$E$44,Z153*$E$41/12,0)</f>
        <v>90342.9970950354</v>
      </c>
      <c r="AB152" s="7" t="n">
        <f aca="false">IF(AB$3&lt;=$E$44,AA153*$E$41/12,0)</f>
        <v>94839.4351491907</v>
      </c>
      <c r="AC152" s="7" t="n">
        <f aca="false">IF(AC$3&lt;=$E$44,AB153*$E$41/12,0)</f>
        <v>98377.8602500394</v>
      </c>
      <c r="AD152" s="7" t="n">
        <f aca="false">IF(AD$3&lt;=$E$44,AC153*$E$41/12,0)</f>
        <v>101188.209865314</v>
      </c>
      <c r="AE152" s="7" t="n">
        <f aca="false">IF(AE$3&lt;=$E$44,AD153*$E$41/12,0)</f>
        <v>103550.728490783</v>
      </c>
      <c r="AF152" s="7" t="n">
        <f aca="false">IF(AF$3&lt;=$E$44,AE153*$E$41/12,0)</f>
        <v>105244.764848224</v>
      </c>
      <c r="AG152" s="7" t="n">
        <f aca="false">IF(AG$3&lt;=$E$44,AF153*$E$41/12,0)</f>
        <v>106126.4509</v>
      </c>
      <c r="AH152" s="7" t="n">
        <f aca="false">IF(AH$3&lt;=$E$44,AG153*$E$41/12,0)</f>
        <v>106126.4509</v>
      </c>
      <c r="AI152" s="7" t="n">
        <f aca="false">IF(AI$3&lt;=$E$44,AH153*$E$41/12,0)</f>
        <v>106126.4509</v>
      </c>
      <c r="AJ152" s="7" t="n">
        <f aca="false">IF(AJ$3&lt;=$E$44,AI153*$E$41/12,0)</f>
        <v>106126.4509</v>
      </c>
      <c r="AK152" s="7" t="n">
        <f aca="false">IF(AK$3&lt;=$E$44,AJ153*$E$41/12,0)</f>
        <v>106126.4509</v>
      </c>
      <c r="AL152" s="7" t="n">
        <f aca="false">IF(AL$3&lt;=$E$44,AK153*$E$41/12,0)</f>
        <v>106126.4509</v>
      </c>
      <c r="AM152" s="7" t="n">
        <f aca="false">IF(AM$3&lt;=$E$44,AL153*$E$41/12,0)</f>
        <v>106126.4509</v>
      </c>
      <c r="AN152" s="7" t="n">
        <f aca="false">IF(AN$3&lt;=$E$44,AM153*$E$41/12,0)</f>
        <v>106126.4509</v>
      </c>
      <c r="AO152" s="7" t="n">
        <f aca="false">IF(AO$3&lt;=$E$44,AN153*$E$41/12,0)</f>
        <v>106126.4509</v>
      </c>
      <c r="AP152" s="7" t="n">
        <f aca="false">IF(AP$3&lt;=$E$44,AO153*$E$41/12,0)</f>
        <v>106126.4509</v>
      </c>
      <c r="AQ152" s="7" t="n">
        <f aca="false">IF(AQ$3&lt;=$E$44,AP153*$E$41/12,0)</f>
        <v>0</v>
      </c>
      <c r="AR152" s="7" t="n">
        <f aca="false">IF(AR$3&lt;=$E$44,AQ153*$E$41/12,0)</f>
        <v>0</v>
      </c>
      <c r="AS152" s="7" t="n">
        <f aca="false">IF(AS$3&lt;=$E$44,AR153*$E$41/12,0)</f>
        <v>0</v>
      </c>
      <c r="AT152" s="7" t="n">
        <f aca="false">IF(AT$3&lt;=$E$44,AS153*$E$41/12,0)</f>
        <v>0</v>
      </c>
      <c r="AU152" s="7" t="n">
        <f aca="false">IF(AU$3&lt;=$E$44,AT153*$E$41/12,0)</f>
        <v>0</v>
      </c>
      <c r="AV152" s="7" t="n">
        <f aca="false">IF(AV$3&lt;=$E$44,AU153*$E$41/12,0)</f>
        <v>0</v>
      </c>
      <c r="AW152" s="7" t="n">
        <f aca="false">IF(AW$3&lt;=$E$44,AV153*$E$41/12,0)</f>
        <v>0</v>
      </c>
      <c r="AX152" s="7" t="n">
        <f aca="false">IF(AX$3&lt;=$E$44,AW153*$E$41/12,0)</f>
        <v>0</v>
      </c>
      <c r="AY152" s="7" t="n">
        <f aca="false">IF(AY$3&lt;=$E$44,AX153*$E$41/12,0)</f>
        <v>0</v>
      </c>
      <c r="AZ152" s="7" t="n">
        <f aca="false">IF(AZ$3&lt;=$E$44,AY153*$E$41/12,0)</f>
        <v>0</v>
      </c>
      <c r="BA152" s="7" t="n">
        <f aca="false">IF(BA$3&lt;=$E$44,AZ153*$E$41/12,0)</f>
        <v>0</v>
      </c>
      <c r="BB152" s="7" t="n">
        <f aca="false">IF(BB$3&lt;=$E$44,BA153*$E$41/12,0)</f>
        <v>0</v>
      </c>
      <c r="BC152" s="7" t="n">
        <f aca="false">IF(BC$3&lt;=$E$44,BB153*$E$41/12,0)</f>
        <v>0</v>
      </c>
      <c r="BD152" s="7" t="n">
        <f aca="false">IF(BD$3&lt;=$E$44,BC153*$E$41/12,0)</f>
        <v>0</v>
      </c>
      <c r="BE152" s="7" t="n">
        <f aca="false">IF(BE$3&lt;=$E$44,BD153*$E$41/12,0)</f>
        <v>0</v>
      </c>
      <c r="BF152" s="7" t="n">
        <f aca="false">IF(BF$3&lt;=$E$44,BE153*$E$41/12,0)</f>
        <v>0</v>
      </c>
      <c r="BG152" s="7" t="n">
        <f aca="false">IF(BG$3&lt;=$E$44,BF153*$E$41/12,0)</f>
        <v>0</v>
      </c>
      <c r="BH152" s="7" t="n">
        <f aca="false">IF(BH$3&lt;=$E$44,BG153*$E$41/12,0)</f>
        <v>0</v>
      </c>
      <c r="BI152" s="7" t="n">
        <f aca="false">IF(BI$3&lt;=$E$44,BH153*$E$41/12,0)</f>
        <v>0</v>
      </c>
      <c r="BJ152" s="7" t="n">
        <f aca="false">IF(BJ$3&lt;=$E$44,BI153*$E$41/12,0)</f>
        <v>0</v>
      </c>
      <c r="BK152" s="7" t="n">
        <f aca="false">IF(BK$3&lt;=$E$44,BJ153*$E$41/12,0)</f>
        <v>0</v>
      </c>
      <c r="BL152" s="7" t="n">
        <f aca="false">IF(BL$3&lt;=$E$44,BK153*$E$41/12,0)</f>
        <v>0</v>
      </c>
      <c r="BM152" s="7" t="n">
        <f aca="false">IF(BM$3&lt;=$E$44,BL153*$E$41/12,0)</f>
        <v>0</v>
      </c>
      <c r="BN152" s="7" t="n">
        <f aca="false">IF(BN$3&lt;=$E$44,BM153*$E$41/12,0)</f>
        <v>0</v>
      </c>
      <c r="BO152" s="7" t="n">
        <f aca="false">IF(BO$3&lt;=$E$44,BN153*$E$41/12,0)</f>
        <v>0</v>
      </c>
      <c r="BP152" s="7" t="n">
        <f aca="false">IF(BP$3&lt;=$E$44,BO153*$E$41/12,0)</f>
        <v>0</v>
      </c>
      <c r="BQ152" s="7" t="n">
        <f aca="false">IF(BQ$3&lt;=$E$44,BP153*$E$41/12,0)</f>
        <v>0</v>
      </c>
      <c r="BR152" s="7" t="n">
        <f aca="false">IF(BR$3&lt;=$E$44,BQ153*$E$41/12,0)</f>
        <v>0</v>
      </c>
      <c r="BS152" s="7" t="n">
        <f aca="false">IF(BS$3&lt;=$E$44,BR153*$E$41/12,0)</f>
        <v>0</v>
      </c>
      <c r="BT152" s="7" t="n">
        <f aca="false">IF(BT$3&lt;=$E$44,BS153*$E$41/12,0)</f>
        <v>0</v>
      </c>
      <c r="BU152" s="7" t="n">
        <f aca="false">IF(BU$3&lt;=$E$44,BT153*$E$41/12,0)</f>
        <v>0</v>
      </c>
      <c r="BV152" s="7" t="n">
        <f aca="false">IF(BV$3&lt;=$E$44,BU153*$E$41/12,0)</f>
        <v>0</v>
      </c>
      <c r="BW152" s="7" t="n">
        <f aca="false">IF(BW$3&lt;=$E$44,BV153*$E$41/12,0)</f>
        <v>0</v>
      </c>
      <c r="BX152" s="7" t="n">
        <f aca="false">IF(BX$3&lt;=$E$44,BW153*$E$41/12,0)</f>
        <v>0</v>
      </c>
      <c r="BY152" s="7" t="n">
        <f aca="false">IF(BY$3&lt;=$E$44,BX153*$E$41/12,0)</f>
        <v>0</v>
      </c>
      <c r="BZ152" s="7" t="n">
        <f aca="false">IF(BZ$3&lt;=$E$44,BY153*$E$41/12,0)</f>
        <v>0</v>
      </c>
      <c r="CA152" s="7" t="n">
        <f aca="false">IF(CA$3&lt;=$E$44,BZ153*$E$41/12,0)</f>
        <v>0</v>
      </c>
      <c r="CB152" s="7" t="n">
        <f aca="false">IF(CB$3&lt;=$E$44,CA153*$E$41/12,0)</f>
        <v>0</v>
      </c>
      <c r="CC152" s="7" t="n">
        <f aca="false">IF(CC$3&lt;=$E$44,CB153*$E$41/12,0)</f>
        <v>0</v>
      </c>
      <c r="CD152" s="7" t="n">
        <f aca="false">IF(CD$3&lt;=$E$44,CC153*$E$41/12,0)</f>
        <v>0</v>
      </c>
      <c r="CE152" s="7" t="n">
        <f aca="false">IF(CE$3&lt;=$E$44,CD153*$E$41/12,0)</f>
        <v>0</v>
      </c>
      <c r="CF152" s="7" t="n">
        <f aca="false">IF(CF$3&lt;=$E$44,CE153*$E$41/12,0)</f>
        <v>0</v>
      </c>
      <c r="CG152" s="7" t="n">
        <f aca="false">IF(CG$3&lt;=$E$44,CF153*$E$41/12,0)</f>
        <v>0</v>
      </c>
      <c r="CH152" s="7" t="n">
        <f aca="false">IF(CH$3&lt;=$E$44,CG153*$E$41/12,0)</f>
        <v>0</v>
      </c>
      <c r="CI152" s="7" t="n">
        <f aca="false">IF(CI$3&lt;=$E$44,CH153*$E$41/12,0)</f>
        <v>0</v>
      </c>
      <c r="CJ152" s="7" t="n">
        <f aca="false">IF(CJ$3&lt;=$E$44,CI153*$E$41/12,0)</f>
        <v>0</v>
      </c>
      <c r="CK152" s="7" t="n">
        <f aca="false">IF(CK$3&lt;=$E$44,CJ153*$E$41/12,0)</f>
        <v>0</v>
      </c>
      <c r="CL152" s="7" t="n">
        <f aca="false">IF(CL$3&lt;=$E$44,CK153*$E$41/12,0)</f>
        <v>0</v>
      </c>
      <c r="CM152" s="7" t="n">
        <f aca="false">IF(CM$3&lt;=$E$44,CL153*$E$41/12,0)</f>
        <v>0</v>
      </c>
      <c r="CN152" s="7" t="n">
        <f aca="false">IF(CN$3&lt;=$E$44,CM153*$E$41/12,0)</f>
        <v>0</v>
      </c>
      <c r="CO152" s="7" t="n">
        <f aca="false">IF(CO$3&lt;=$E$44,CN153*$E$41/12,0)</f>
        <v>0</v>
      </c>
      <c r="CP152" s="7" t="n">
        <f aca="false">IF(CP$3&lt;=$E$44,CO153*$E$41/12,0)</f>
        <v>0</v>
      </c>
      <c r="CQ152" s="7" t="n">
        <f aca="false">IF(CQ$3&lt;=$E$44,CP153*$E$41/12,0)</f>
        <v>0</v>
      </c>
      <c r="CR152" s="7" t="n">
        <f aca="false">IF(CR$3&lt;=$E$44,CQ153*$E$41/12,0)</f>
        <v>0</v>
      </c>
      <c r="CS152" s="7" t="n">
        <f aca="false">IF(CS$3&lt;=$E$44,CR153*$E$41/12,0)</f>
        <v>0</v>
      </c>
      <c r="CT152" s="7" t="n">
        <f aca="false">IF(CT$3&lt;=$E$44,CS153*$E$41/12,0)</f>
        <v>0</v>
      </c>
      <c r="CU152" s="7" t="n">
        <f aca="false">IF(CU$3&lt;=$E$44,CT153*$E$41/12,0)</f>
        <v>0</v>
      </c>
      <c r="CV152" s="7" t="n">
        <f aca="false">IF(CV$3&lt;=$E$44,CU153*$E$41/12,0)</f>
        <v>0</v>
      </c>
      <c r="CW152" s="7" t="n">
        <f aca="false">IF(CW$3&lt;=$E$44,CV153*$E$41/12,0)</f>
        <v>0</v>
      </c>
      <c r="CX152" s="7" t="n">
        <f aca="false">IF(CX$3&lt;=$E$44,CW153*$E$41/12,0)</f>
        <v>0</v>
      </c>
      <c r="CY152" s="7" t="n">
        <f aca="false">IF(CY$3&lt;=$E$44,CX153*$E$41/12,0)</f>
        <v>0</v>
      </c>
      <c r="CZ152" s="7" t="n">
        <f aca="false">IF(CZ$3&lt;=$E$44,CY153*$E$41/12,0)</f>
        <v>0</v>
      </c>
      <c r="DA152" s="7" t="n">
        <f aca="false">IF(DA$3&lt;=$E$44,CZ153*$E$41/12,0)</f>
        <v>0</v>
      </c>
      <c r="DB152" s="7" t="n">
        <f aca="false">IF(DB$3&lt;=$E$44,DA153*$E$41/12,0)</f>
        <v>0</v>
      </c>
      <c r="DC152" s="7" t="n">
        <f aca="false">IF(DC$3&lt;=$E$44,DB153*$E$41/12,0)</f>
        <v>0</v>
      </c>
      <c r="DD152" s="7" t="n">
        <f aca="false">IF(DD$3&lt;=$E$44,DC153*$E$41/12,0)</f>
        <v>0</v>
      </c>
      <c r="DE152" s="7" t="n">
        <f aca="false">IF(DE$3&lt;=$E$44,DD153*$E$41/12,0)</f>
        <v>0</v>
      </c>
      <c r="DF152" s="7" t="n">
        <f aca="false">IF(DF$3&lt;=$E$44,DE153*$E$41/12,0)</f>
        <v>0</v>
      </c>
      <c r="DG152" s="7" t="n">
        <f aca="false">IF(DG$3&lt;=$E$44,DF153*$E$41/12,0)</f>
        <v>0</v>
      </c>
      <c r="DH152" s="7" t="n">
        <f aca="false">IF(DH$3&lt;=$E$44,DG153*$E$41/12,0)</f>
        <v>0</v>
      </c>
      <c r="DI152" s="7" t="n">
        <f aca="false">IF(DI$3&lt;=$E$44,DH153*$E$41/12,0)</f>
        <v>0</v>
      </c>
      <c r="DJ152" s="7" t="n">
        <f aca="false">IF(DJ$3&lt;=$E$44,DI153*$E$41/12,0)</f>
        <v>0</v>
      </c>
      <c r="DK152" s="7" t="n">
        <f aca="false">IF(DK$3&lt;=$E$44,DJ153*$E$41/12,0)</f>
        <v>0</v>
      </c>
      <c r="DL152" s="7" t="n">
        <f aca="false">IF(DL$3&lt;=$E$44,DK153*$E$41/12,0)</f>
        <v>0</v>
      </c>
      <c r="DM152" s="7" t="n">
        <f aca="false">IF(DM$3&lt;=$E$44,DL153*$E$41/12,0)</f>
        <v>0</v>
      </c>
      <c r="DN152" s="7" t="n">
        <f aca="false">IF(DN$3&lt;=$E$44,DM153*$E$41/12,0)</f>
        <v>0</v>
      </c>
      <c r="DO152" s="7" t="n">
        <f aca="false">IF(DO$3&lt;=$E$44,DN153*$E$41/12,0)</f>
        <v>0</v>
      </c>
      <c r="DP152" s="7" t="n">
        <f aca="false">IF(DP$3&lt;=$E$44,DO153*$E$41/12,0)</f>
        <v>0</v>
      </c>
    </row>
    <row r="153" customFormat="false" ht="15" hidden="false" customHeight="false" outlineLevel="0" collapsed="false">
      <c r="B153" s="0" t="s">
        <v>90</v>
      </c>
      <c r="L153" s="7" t="n">
        <f aca="false">0+L151-L154</f>
        <v>5938800</v>
      </c>
      <c r="M153" s="7" t="n">
        <f aca="false">L153+M151-M154</f>
        <v>6008561.136</v>
      </c>
      <c r="N153" s="7" t="n">
        <f aca="false">M153+N151-N154</f>
        <v>6177922.272</v>
      </c>
      <c r="O153" s="7" t="n">
        <f aca="false">N153+O151-O154</f>
        <v>6347283.408</v>
      </c>
      <c r="P153" s="7" t="n">
        <f aca="false">O153+P151-P154</f>
        <v>6605711.83345425</v>
      </c>
      <c r="Q153" s="7" t="n">
        <f aca="false">P153+Q151-Q154</f>
        <v>7037187.32636987</v>
      </c>
      <c r="R153" s="7" t="n">
        <f aca="false">Q153+R151-R154</f>
        <v>7626739.99761056</v>
      </c>
      <c r="S153" s="7" t="n">
        <f aca="false">R153+S151-S154</f>
        <v>8350378.61141701</v>
      </c>
      <c r="T153" s="7" t="n">
        <f aca="false">S153+T151-T154</f>
        <v>9176470.26761278</v>
      </c>
      <c r="U153" s="7" t="n">
        <f aca="false">T153+U151-U154</f>
        <v>9967959.05006194</v>
      </c>
      <c r="V153" s="7" t="n">
        <f aca="false">U153+V151-V154</f>
        <v>10783318.6203869</v>
      </c>
      <c r="W153" s="7" t="n">
        <f aca="false">V153+W151-W154</f>
        <v>11580114.4803978</v>
      </c>
      <c r="X153" s="7" t="n">
        <f aca="false">W153+X151-X154</f>
        <v>12380109.0227381</v>
      </c>
      <c r="Y153" s="7" t="n">
        <f aca="false">X153+Y151-Y154</f>
        <v>13200953.3832018</v>
      </c>
      <c r="Z153" s="7" t="n">
        <f aca="false">Y153+Z151-Z154</f>
        <v>13988593.0985861</v>
      </c>
      <c r="AA153" s="7" t="n">
        <f aca="false">Z153+AA151-AA154</f>
        <v>14684815.765036</v>
      </c>
      <c r="AB153" s="7" t="n">
        <f aca="false">AA153+AB151-AB154</f>
        <v>15232700.9419416</v>
      </c>
      <c r="AC153" s="7" t="n">
        <f aca="false">AB153+AC151-AC154</f>
        <v>15667851.8501131</v>
      </c>
      <c r="AD153" s="7" t="n">
        <f aca="false">AC153+AD151-AD154</f>
        <v>16033661.1856697</v>
      </c>
      <c r="AE153" s="7" t="n">
        <f aca="false">AD153+AE151-AE154</f>
        <v>16295963.5894024</v>
      </c>
      <c r="AF153" s="7" t="n">
        <f aca="false">AE153+AF151-AF154</f>
        <v>16432482.72</v>
      </c>
      <c r="AG153" s="7" t="n">
        <f aca="false">AF153+AG151-AG154</f>
        <v>16432482.72</v>
      </c>
      <c r="AH153" s="7" t="n">
        <f aca="false">AG153+AH151-AH154</f>
        <v>16432482.72</v>
      </c>
      <c r="AI153" s="7" t="n">
        <f aca="false">AH153+AI151-AI154</f>
        <v>16432482.72</v>
      </c>
      <c r="AJ153" s="7" t="n">
        <f aca="false">AI153+AJ151-AJ154</f>
        <v>16432482.72</v>
      </c>
      <c r="AK153" s="7" t="n">
        <f aca="false">AJ153+AK151-AK154</f>
        <v>16432482.72</v>
      </c>
      <c r="AL153" s="7" t="n">
        <f aca="false">AK153+AL151-AL154</f>
        <v>16432482.72</v>
      </c>
      <c r="AM153" s="7" t="n">
        <f aca="false">AL153+AM151-AM154</f>
        <v>16432482.72</v>
      </c>
      <c r="AN153" s="7" t="n">
        <f aca="false">AM153+AN151-AN154</f>
        <v>16432482.72</v>
      </c>
      <c r="AO153" s="7" t="n">
        <f aca="false">AN153+AO151-AO154</f>
        <v>16432482.72</v>
      </c>
      <c r="AP153" s="7" t="n">
        <f aca="false">AO153+AP151-AP154</f>
        <v>0</v>
      </c>
      <c r="AQ153" s="7" t="n">
        <f aca="false">AP153+AQ151-AQ154</f>
        <v>0</v>
      </c>
      <c r="AR153" s="7" t="n">
        <f aca="false">AQ153+AR151-AR154</f>
        <v>0</v>
      </c>
      <c r="AS153" s="7" t="n">
        <f aca="false">AR153+AS151-AS154</f>
        <v>0</v>
      </c>
      <c r="AT153" s="7" t="n">
        <f aca="false">AS153+AT151-AT154</f>
        <v>0</v>
      </c>
      <c r="AU153" s="7" t="n">
        <f aca="false">AT153+AU151-AU154</f>
        <v>0</v>
      </c>
      <c r="AV153" s="7" t="n">
        <f aca="false">AU153+AV151-AV154</f>
        <v>0</v>
      </c>
      <c r="AW153" s="7" t="n">
        <f aca="false">AV153+AW151-AW154</f>
        <v>0</v>
      </c>
      <c r="AX153" s="7" t="n">
        <f aca="false">AW153+AX151-AX154</f>
        <v>0</v>
      </c>
      <c r="AY153" s="7" t="n">
        <f aca="false">AX153+AY151-AY154</f>
        <v>0</v>
      </c>
      <c r="AZ153" s="7" t="n">
        <f aca="false">AY153+AZ151-AZ154</f>
        <v>0</v>
      </c>
      <c r="BA153" s="7" t="n">
        <f aca="false">AZ153+BA151-BA154</f>
        <v>0</v>
      </c>
      <c r="BB153" s="7" t="n">
        <f aca="false">BA153+BB151-BB154</f>
        <v>0</v>
      </c>
      <c r="BC153" s="7" t="n">
        <f aca="false">BB153+BC151-BC154</f>
        <v>0</v>
      </c>
      <c r="BD153" s="7" t="n">
        <f aca="false">BC153+BD151-BD154</f>
        <v>0</v>
      </c>
      <c r="BE153" s="7" t="n">
        <f aca="false">BD153+BE151-BE154</f>
        <v>0</v>
      </c>
      <c r="BF153" s="7" t="n">
        <f aca="false">BE153+BF151-BF154</f>
        <v>0</v>
      </c>
      <c r="BG153" s="7" t="n">
        <f aca="false">BF153+BG151-BG154</f>
        <v>0</v>
      </c>
      <c r="BH153" s="7" t="n">
        <f aca="false">BG153+BH151-BH154</f>
        <v>0</v>
      </c>
      <c r="BI153" s="7" t="n">
        <f aca="false">BH153+BI151-BI154</f>
        <v>0</v>
      </c>
      <c r="BJ153" s="7" t="n">
        <f aca="false">BI153+BJ151-BJ154</f>
        <v>0</v>
      </c>
      <c r="BK153" s="7" t="n">
        <f aca="false">BJ153+BK151-BK154</f>
        <v>0</v>
      </c>
      <c r="BL153" s="7" t="n">
        <f aca="false">BK153+BL151-BL154</f>
        <v>0</v>
      </c>
      <c r="BM153" s="7" t="n">
        <f aca="false">BL153+BM151-BM154</f>
        <v>0</v>
      </c>
      <c r="BN153" s="7" t="n">
        <f aca="false">BM153+BN151-BN154</f>
        <v>0</v>
      </c>
      <c r="BO153" s="7" t="n">
        <f aca="false">BN153+BO151-BO154</f>
        <v>0</v>
      </c>
      <c r="BP153" s="7" t="n">
        <f aca="false">BO153+BP151-BP154</f>
        <v>0</v>
      </c>
      <c r="BQ153" s="7" t="n">
        <f aca="false">BP153+BQ151-BQ154</f>
        <v>0</v>
      </c>
      <c r="BR153" s="7" t="n">
        <f aca="false">BQ153+BR151-BR154</f>
        <v>0</v>
      </c>
      <c r="BS153" s="7" t="n">
        <f aca="false">BR153+BS151-BS154</f>
        <v>0</v>
      </c>
      <c r="BT153" s="7" t="n">
        <f aca="false">BS153+BT151-BT154</f>
        <v>0</v>
      </c>
      <c r="BU153" s="7" t="n">
        <f aca="false">BT153+BU151-BU154</f>
        <v>0</v>
      </c>
      <c r="BV153" s="7" t="n">
        <f aca="false">BU153+BV151-BV154</f>
        <v>0</v>
      </c>
      <c r="BW153" s="7" t="n">
        <f aca="false">BV153+BW151-BW154</f>
        <v>0</v>
      </c>
      <c r="BX153" s="7" t="n">
        <f aca="false">BW153+BX151-BX154</f>
        <v>0</v>
      </c>
      <c r="BY153" s="7" t="n">
        <f aca="false">BX153+BY151-BY154</f>
        <v>0</v>
      </c>
      <c r="BZ153" s="7" t="n">
        <f aca="false">BY153+BZ151-BZ154</f>
        <v>0</v>
      </c>
      <c r="CA153" s="7" t="n">
        <f aca="false">BZ153+CA151-CA154</f>
        <v>0</v>
      </c>
      <c r="CB153" s="7" t="n">
        <f aca="false">CA153+CB151-CB154</f>
        <v>0</v>
      </c>
      <c r="CC153" s="7" t="n">
        <f aca="false">CB153+CC151-CC154</f>
        <v>0</v>
      </c>
      <c r="CD153" s="7" t="n">
        <f aca="false">CC153+CD151-CD154</f>
        <v>0</v>
      </c>
      <c r="CE153" s="7" t="n">
        <f aca="false">CD153+CE151-CE154</f>
        <v>0</v>
      </c>
      <c r="CF153" s="7" t="n">
        <f aca="false">CE153+CF151-CF154</f>
        <v>0</v>
      </c>
      <c r="CG153" s="7" t="n">
        <f aca="false">CF153+CG151-CG154</f>
        <v>0</v>
      </c>
      <c r="CH153" s="7" t="n">
        <f aca="false">CG153+CH151-CH154</f>
        <v>0</v>
      </c>
      <c r="CI153" s="7" t="n">
        <f aca="false">CH153+CI151-CI154</f>
        <v>0</v>
      </c>
      <c r="CJ153" s="7" t="n">
        <f aca="false">CI153+CJ151-CJ154</f>
        <v>0</v>
      </c>
      <c r="CK153" s="7" t="n">
        <f aca="false">CJ153+CK151-CK154</f>
        <v>0</v>
      </c>
      <c r="CL153" s="7" t="n">
        <f aca="false">CK153+CL151-CL154</f>
        <v>0</v>
      </c>
      <c r="CM153" s="7" t="n">
        <f aca="false">CL153+CM151-CM154</f>
        <v>0</v>
      </c>
      <c r="CN153" s="7" t="n">
        <f aca="false">CM153+CN151-CN154</f>
        <v>0</v>
      </c>
      <c r="CO153" s="7" t="n">
        <f aca="false">CN153+CO151-CO154</f>
        <v>0</v>
      </c>
      <c r="CP153" s="7" t="n">
        <f aca="false">CO153+CP151-CP154</f>
        <v>0</v>
      </c>
      <c r="CQ153" s="7" t="n">
        <f aca="false">CP153+CQ151-CQ154</f>
        <v>0</v>
      </c>
      <c r="CR153" s="7" t="n">
        <f aca="false">CQ153+CR151-CR154</f>
        <v>0</v>
      </c>
      <c r="CS153" s="7" t="n">
        <f aca="false">CR153+CS151-CS154</f>
        <v>0</v>
      </c>
      <c r="CT153" s="7" t="n">
        <f aca="false">CS153+CT151-CT154</f>
        <v>0</v>
      </c>
      <c r="CU153" s="7" t="n">
        <f aca="false">CT153+CU151-CU154</f>
        <v>0</v>
      </c>
      <c r="CV153" s="7" t="n">
        <f aca="false">CU153+CV151-CV154</f>
        <v>0</v>
      </c>
      <c r="CW153" s="7" t="n">
        <f aca="false">CV153+CW151-CW154</f>
        <v>0</v>
      </c>
      <c r="CX153" s="7" t="n">
        <f aca="false">CW153+CX151-CX154</f>
        <v>0</v>
      </c>
      <c r="CY153" s="7" t="n">
        <f aca="false">CX153+CY151-CY154</f>
        <v>0</v>
      </c>
      <c r="CZ153" s="7" t="n">
        <f aca="false">CY153+CZ151-CZ154</f>
        <v>0</v>
      </c>
      <c r="DA153" s="7" t="n">
        <f aca="false">CZ153+DA151-DA154</f>
        <v>0</v>
      </c>
      <c r="DB153" s="7" t="n">
        <f aca="false">DA153+DB151-DB154</f>
        <v>0</v>
      </c>
      <c r="DC153" s="7" t="n">
        <f aca="false">DB153+DC151-DC154</f>
        <v>0</v>
      </c>
      <c r="DD153" s="7" t="n">
        <f aca="false">DC153+DD151-DD154</f>
        <v>0</v>
      </c>
      <c r="DE153" s="7" t="n">
        <f aca="false">DD153+DE151-DE154</f>
        <v>0</v>
      </c>
      <c r="DF153" s="7" t="n">
        <f aca="false">DE153+DF151-DF154</f>
        <v>0</v>
      </c>
      <c r="DG153" s="7" t="n">
        <f aca="false">DF153+DG151-DG154</f>
        <v>0</v>
      </c>
      <c r="DH153" s="7" t="n">
        <f aca="false">DG153+DH151-DH154</f>
        <v>0</v>
      </c>
      <c r="DI153" s="7" t="n">
        <f aca="false">DH153+DI151-DI154</f>
        <v>0</v>
      </c>
      <c r="DJ153" s="7" t="n">
        <f aca="false">DI153+DJ151-DJ154</f>
        <v>0</v>
      </c>
      <c r="DK153" s="7" t="n">
        <f aca="false">DJ153+DK151-DK154</f>
        <v>0</v>
      </c>
      <c r="DL153" s="7" t="n">
        <f aca="false">DK153+DL151-DL154</f>
        <v>0</v>
      </c>
      <c r="DM153" s="7" t="n">
        <f aca="false">DL153+DM151-DM154</f>
        <v>0</v>
      </c>
      <c r="DN153" s="7" t="n">
        <f aca="false">DM153+DN151-DN154</f>
        <v>0</v>
      </c>
      <c r="DO153" s="7" t="n">
        <f aca="false">DN153+DO151-DO154</f>
        <v>0</v>
      </c>
      <c r="DP153" s="7" t="n">
        <f aca="false">DO153+DP151-DP154</f>
        <v>0</v>
      </c>
    </row>
    <row r="154" customFormat="false" ht="15" hidden="false" customHeight="false" outlineLevel="0" collapsed="false">
      <c r="B154" s="0" t="s">
        <v>91</v>
      </c>
      <c r="L154" s="7" t="n">
        <f aca="false">IF(L$3=$E$44,0+L151,0)</f>
        <v>0</v>
      </c>
      <c r="M154" s="7" t="n">
        <f aca="false">IF(M$3=$E$44,L153+M151,0)</f>
        <v>0</v>
      </c>
      <c r="N154" s="7" t="n">
        <f aca="false">IF(N$3=$E$44,M153+N151,0)</f>
        <v>0</v>
      </c>
      <c r="O154" s="7" t="n">
        <f aca="false">IF(O$3=$E$44,N153+O151,0)</f>
        <v>0</v>
      </c>
      <c r="P154" s="7" t="n">
        <f aca="false">IF(P$3=$E$44,O153+P151,0)</f>
        <v>0</v>
      </c>
      <c r="Q154" s="7" t="n">
        <f aca="false">IF(Q$3=$E$44,P153+Q151,0)</f>
        <v>0</v>
      </c>
      <c r="R154" s="7" t="n">
        <f aca="false">IF(R$3=$E$44,Q153+R151,0)</f>
        <v>0</v>
      </c>
      <c r="S154" s="7" t="n">
        <f aca="false">IF(S$3=$E$44,R153+S151,0)</f>
        <v>0</v>
      </c>
      <c r="T154" s="7" t="n">
        <f aca="false">IF(T$3=$E$44,S153+T151,0)</f>
        <v>0</v>
      </c>
      <c r="U154" s="7" t="n">
        <f aca="false">IF(U$3=$E$44,T153+U151,0)</f>
        <v>0</v>
      </c>
      <c r="V154" s="7" t="n">
        <f aca="false">IF(V$3=$E$44,U153+V151,0)</f>
        <v>0</v>
      </c>
      <c r="W154" s="7" t="n">
        <f aca="false">IF(W$3=$E$44,V153+W151,0)</f>
        <v>0</v>
      </c>
      <c r="X154" s="7" t="n">
        <f aca="false">IF(X$3=$E$44,W153+X151,0)</f>
        <v>0</v>
      </c>
      <c r="Y154" s="7" t="n">
        <f aca="false">IF(Y$3=$E$44,X153+Y151,0)</f>
        <v>0</v>
      </c>
      <c r="Z154" s="7" t="n">
        <f aca="false">IF(Z$3=$E$44,Y153+Z151,0)</f>
        <v>0</v>
      </c>
      <c r="AA154" s="7" t="n">
        <f aca="false">IF(AA$3=$E$44,Z153+AA151,0)</f>
        <v>0</v>
      </c>
      <c r="AB154" s="7" t="n">
        <f aca="false">IF(AB$3=$E$44,AA153+AB151,0)</f>
        <v>0</v>
      </c>
      <c r="AC154" s="7" t="n">
        <f aca="false">IF(AC$3=$E$44,AB153+AC151,0)</f>
        <v>0</v>
      </c>
      <c r="AD154" s="7" t="n">
        <f aca="false">IF(AD$3=$E$44,AC153+AD151,0)</f>
        <v>0</v>
      </c>
      <c r="AE154" s="7" t="n">
        <f aca="false">IF(AE$3=$E$44,AD153+AE151,0)</f>
        <v>0</v>
      </c>
      <c r="AF154" s="7" t="n">
        <f aca="false">IF(AF$3=$E$44,AE153+AF151,0)</f>
        <v>0</v>
      </c>
      <c r="AG154" s="7" t="n">
        <f aca="false">IF(AG$3=$E$44,AF153+AG151,0)</f>
        <v>0</v>
      </c>
      <c r="AH154" s="7" t="n">
        <f aca="false">IF(AH$3=$E$44,AG153+AH151,0)</f>
        <v>0</v>
      </c>
      <c r="AI154" s="7" t="n">
        <f aca="false">IF(AI$3=$E$44,AH153+AI151,0)</f>
        <v>0</v>
      </c>
      <c r="AJ154" s="7" t="n">
        <f aca="false">IF(AJ$3=$E$44,AI153+AJ151,0)</f>
        <v>0</v>
      </c>
      <c r="AK154" s="7" t="n">
        <f aca="false">IF(AK$3=$E$44,AJ153+AK151,0)</f>
        <v>0</v>
      </c>
      <c r="AL154" s="7" t="n">
        <f aca="false">IF(AL$3=$E$44,AK153+AL151,0)</f>
        <v>0</v>
      </c>
      <c r="AM154" s="7" t="n">
        <f aca="false">IF(AM$3=$E$44,AL153+AM151,0)</f>
        <v>0</v>
      </c>
      <c r="AN154" s="7" t="n">
        <f aca="false">IF(AN$3=$E$44,AM153+AN151,0)</f>
        <v>0</v>
      </c>
      <c r="AO154" s="7" t="n">
        <f aca="false">IF(AO$3=$E$44,AN153+AO151,0)</f>
        <v>0</v>
      </c>
      <c r="AP154" s="7" t="n">
        <f aca="false">IF(AP$3=$E$44,AO153+AP151,0)</f>
        <v>16432482.72</v>
      </c>
      <c r="AQ154" s="7" t="n">
        <f aca="false">IF(AQ$3=$E$44,AP153+AQ151,0)</f>
        <v>0</v>
      </c>
      <c r="AR154" s="7" t="n">
        <f aca="false">IF(AR$3=$E$44,AQ153+AR151,0)</f>
        <v>0</v>
      </c>
      <c r="AS154" s="7" t="n">
        <f aca="false">IF(AS$3=$E$44,AR153+AS151,0)</f>
        <v>0</v>
      </c>
      <c r="AT154" s="7" t="n">
        <f aca="false">IF(AT$3=$E$44,AS153+AT151,0)</f>
        <v>0</v>
      </c>
      <c r="AU154" s="7" t="n">
        <f aca="false">IF(AU$3=$E$44,AT153+AU151,0)</f>
        <v>0</v>
      </c>
      <c r="AV154" s="7" t="n">
        <f aca="false">IF(AV$3=$E$44,AU153+AV151,0)</f>
        <v>0</v>
      </c>
      <c r="AW154" s="7" t="n">
        <f aca="false">IF(AW$3=$E$44,AV153+AW151,0)</f>
        <v>0</v>
      </c>
      <c r="AX154" s="7" t="n">
        <f aca="false">IF(AX$3=$E$44,AW153+AX151,0)</f>
        <v>0</v>
      </c>
      <c r="AY154" s="7" t="n">
        <f aca="false">IF(AY$3=$E$44,AX153+AY151,0)</f>
        <v>0</v>
      </c>
      <c r="AZ154" s="7" t="n">
        <f aca="false">IF(AZ$3=$E$44,AY153+AZ151,0)</f>
        <v>0</v>
      </c>
      <c r="BA154" s="7" t="n">
        <f aca="false">IF(BA$3=$E$44,AZ153+BA151,0)</f>
        <v>0</v>
      </c>
      <c r="BB154" s="7" t="n">
        <f aca="false">IF(BB$3=$E$44,BA153+BB151,0)</f>
        <v>0</v>
      </c>
      <c r="BC154" s="7" t="n">
        <f aca="false">IF(BC$3=$E$44,BB153+BC151,0)</f>
        <v>0</v>
      </c>
      <c r="BD154" s="7" t="n">
        <f aca="false">IF(BD$3=$E$44,BC153+BD151,0)</f>
        <v>0</v>
      </c>
      <c r="BE154" s="7" t="n">
        <f aca="false">IF(BE$3=$E$44,BD153+BE151,0)</f>
        <v>0</v>
      </c>
      <c r="BF154" s="7" t="n">
        <f aca="false">IF(BF$3=$E$44,BE153+BF151,0)</f>
        <v>0</v>
      </c>
      <c r="BG154" s="7" t="n">
        <f aca="false">IF(BG$3=$E$44,BF153+BG151,0)</f>
        <v>0</v>
      </c>
      <c r="BH154" s="7" t="n">
        <f aca="false">IF(BH$3=$E$44,BG153+BH151,0)</f>
        <v>0</v>
      </c>
      <c r="BI154" s="7" t="n">
        <f aca="false">IF(BI$3=$E$44,BH153+BI151,0)</f>
        <v>0</v>
      </c>
      <c r="BJ154" s="7" t="n">
        <f aca="false">IF(BJ$3=$E$44,BI153+BJ151,0)</f>
        <v>0</v>
      </c>
      <c r="BK154" s="7" t="n">
        <f aca="false">IF(BK$3=$E$44,BJ153+BK151,0)</f>
        <v>0</v>
      </c>
      <c r="BL154" s="7" t="n">
        <f aca="false">IF(BL$3=$E$44,BK153+BL151,0)</f>
        <v>0</v>
      </c>
      <c r="BM154" s="7" t="n">
        <f aca="false">IF(BM$3=$E$44,BL153+BM151,0)</f>
        <v>0</v>
      </c>
      <c r="BN154" s="7" t="n">
        <f aca="false">IF(BN$3=$E$44,BM153+BN151,0)</f>
        <v>0</v>
      </c>
      <c r="BO154" s="7" t="n">
        <f aca="false">IF(BO$3=$E$44,BN153+BO151,0)</f>
        <v>0</v>
      </c>
      <c r="BP154" s="7" t="n">
        <f aca="false">IF(BP$3=$E$44,BO153+BP151,0)</f>
        <v>0</v>
      </c>
      <c r="BQ154" s="7" t="n">
        <f aca="false">IF(BQ$3=$E$44,BP153+BQ151,0)</f>
        <v>0</v>
      </c>
      <c r="BR154" s="7" t="n">
        <f aca="false">IF(BR$3=$E$44,BQ153+BR151,0)</f>
        <v>0</v>
      </c>
      <c r="BS154" s="7" t="n">
        <f aca="false">IF(BS$3=$E$44,BR153+BS151,0)</f>
        <v>0</v>
      </c>
      <c r="BT154" s="7" t="n">
        <f aca="false">IF(BT$3=$E$44,BS153+BT151,0)</f>
        <v>0</v>
      </c>
      <c r="BU154" s="7" t="n">
        <f aca="false">IF(BU$3=$E$44,BT153+BU151,0)</f>
        <v>0</v>
      </c>
      <c r="BV154" s="7" t="n">
        <f aca="false">IF(BV$3=$E$44,BU153+BV151,0)</f>
        <v>0</v>
      </c>
      <c r="BW154" s="7" t="n">
        <f aca="false">IF(BW$3=$E$44,BV153+BW151,0)</f>
        <v>0</v>
      </c>
      <c r="BX154" s="7" t="n">
        <f aca="false">IF(BX$3=$E$44,BW153+BX151,0)</f>
        <v>0</v>
      </c>
      <c r="BY154" s="7" t="n">
        <f aca="false">IF(BY$3=$E$44,BX153+BY151,0)</f>
        <v>0</v>
      </c>
      <c r="BZ154" s="7" t="n">
        <f aca="false">IF(BZ$3=$E$44,BY153+BZ151,0)</f>
        <v>0</v>
      </c>
      <c r="CA154" s="7" t="n">
        <f aca="false">IF(CA$3=$E$44,BZ153+CA151,0)</f>
        <v>0</v>
      </c>
      <c r="CB154" s="7" t="n">
        <f aca="false">IF(CB$3=$E$44,CA153+CB151,0)</f>
        <v>0</v>
      </c>
      <c r="CC154" s="7" t="n">
        <f aca="false">IF(CC$3=$E$44,CB153+CC151,0)</f>
        <v>0</v>
      </c>
      <c r="CD154" s="7" t="n">
        <f aca="false">IF(CD$3=$E$44,CC153+CD151,0)</f>
        <v>0</v>
      </c>
      <c r="CE154" s="7" t="n">
        <f aca="false">IF(CE$3=$E$44,CD153+CE151,0)</f>
        <v>0</v>
      </c>
      <c r="CF154" s="7" t="n">
        <f aca="false">IF(CF$3=$E$44,CE153+CF151,0)</f>
        <v>0</v>
      </c>
      <c r="CG154" s="7" t="n">
        <f aca="false">IF(CG$3=$E$44,CF153+CG151,0)</f>
        <v>0</v>
      </c>
      <c r="CH154" s="7" t="n">
        <f aca="false">IF(CH$3=$E$44,CG153+CH151,0)</f>
        <v>0</v>
      </c>
      <c r="CI154" s="7" t="n">
        <f aca="false">IF(CI$3=$E$44,CH153+CI151,0)</f>
        <v>0</v>
      </c>
      <c r="CJ154" s="7" t="n">
        <f aca="false">IF(CJ$3=$E$44,CI153+CJ151,0)</f>
        <v>0</v>
      </c>
      <c r="CK154" s="7" t="n">
        <f aca="false">IF(CK$3=$E$44,CJ153+CK151,0)</f>
        <v>0</v>
      </c>
      <c r="CL154" s="7" t="n">
        <f aca="false">IF(CL$3=$E$44,CK153+CL151,0)</f>
        <v>0</v>
      </c>
      <c r="CM154" s="7" t="n">
        <f aca="false">IF(CM$3=$E$44,CL153+CM151,0)</f>
        <v>0</v>
      </c>
      <c r="CN154" s="7" t="n">
        <f aca="false">IF(CN$3=$E$44,CM153+CN151,0)</f>
        <v>0</v>
      </c>
      <c r="CO154" s="7" t="n">
        <f aca="false">IF(CO$3=$E$44,CN153+CO151,0)</f>
        <v>0</v>
      </c>
      <c r="CP154" s="7" t="n">
        <f aca="false">IF(CP$3=$E$44,CO153+CP151,0)</f>
        <v>0</v>
      </c>
      <c r="CQ154" s="7" t="n">
        <f aca="false">IF(CQ$3=$E$44,CP153+CQ151,0)</f>
        <v>0</v>
      </c>
      <c r="CR154" s="7" t="n">
        <f aca="false">IF(CR$3=$E$44,CQ153+CR151,0)</f>
        <v>0</v>
      </c>
      <c r="CS154" s="7" t="n">
        <f aca="false">IF(CS$3=$E$44,CR153+CS151,0)</f>
        <v>0</v>
      </c>
      <c r="CT154" s="7" t="n">
        <f aca="false">IF(CT$3=$E$44,CS153+CT151,0)</f>
        <v>0</v>
      </c>
      <c r="CU154" s="7" t="n">
        <f aca="false">IF(CU$3=$E$44,CT153+CU151,0)</f>
        <v>0</v>
      </c>
      <c r="CV154" s="7" t="n">
        <f aca="false">IF(CV$3=$E$44,CU153+CV151,0)</f>
        <v>0</v>
      </c>
      <c r="CW154" s="7" t="n">
        <f aca="false">IF(CW$3=$E$44,CV153+CW151,0)</f>
        <v>0</v>
      </c>
      <c r="CX154" s="7" t="n">
        <f aca="false">IF(CX$3=$E$44,CW153+CX151,0)</f>
        <v>0</v>
      </c>
      <c r="CY154" s="7" t="n">
        <f aca="false">IF(CY$3=$E$44,CX153+CY151,0)</f>
        <v>0</v>
      </c>
      <c r="CZ154" s="7" t="n">
        <f aca="false">IF(CZ$3=$E$44,CY153+CZ151,0)</f>
        <v>0</v>
      </c>
      <c r="DA154" s="7" t="n">
        <f aca="false">IF(DA$3=$E$44,CZ153+DA151,0)</f>
        <v>0</v>
      </c>
      <c r="DB154" s="7" t="n">
        <f aca="false">IF(DB$3=$E$44,DA153+DB151,0)</f>
        <v>0</v>
      </c>
      <c r="DC154" s="7" t="n">
        <f aca="false">IF(DC$3=$E$44,DB153+DC151,0)</f>
        <v>0</v>
      </c>
      <c r="DD154" s="7" t="n">
        <f aca="false">IF(DD$3=$E$44,DC153+DD151,0)</f>
        <v>0</v>
      </c>
      <c r="DE154" s="7" t="n">
        <f aca="false">IF(DE$3=$E$44,DD153+DE151,0)</f>
        <v>0</v>
      </c>
      <c r="DF154" s="7" t="n">
        <f aca="false">IF(DF$3=$E$44,DE153+DF151,0)</f>
        <v>0</v>
      </c>
      <c r="DG154" s="7" t="n">
        <f aca="false">IF(DG$3=$E$44,DF153+DG151,0)</f>
        <v>0</v>
      </c>
      <c r="DH154" s="7" t="n">
        <f aca="false">IF(DH$3=$E$44,DG153+DH151,0)</f>
        <v>0</v>
      </c>
      <c r="DI154" s="7" t="n">
        <f aca="false">IF(DI$3=$E$44,DH153+DI151,0)</f>
        <v>0</v>
      </c>
      <c r="DJ154" s="7" t="n">
        <f aca="false">IF(DJ$3=$E$44,DI153+DJ151,0)</f>
        <v>0</v>
      </c>
      <c r="DK154" s="7" t="n">
        <f aca="false">IF(DK$3=$E$44,DJ153+DK151,0)</f>
        <v>0</v>
      </c>
      <c r="DL154" s="7" t="n">
        <f aca="false">IF(DL$3=$E$44,DK153+DL151,0)</f>
        <v>0</v>
      </c>
      <c r="DM154" s="7" t="n">
        <f aca="false">IF(DM$3=$E$44,DL153+DM151,0)</f>
        <v>0</v>
      </c>
      <c r="DN154" s="7" t="n">
        <f aca="false">IF(DN$3=$E$44,DM153+DN151,0)</f>
        <v>0</v>
      </c>
      <c r="DO154" s="7" t="n">
        <f aca="false">IF(DO$3=$E$44,DN153+DO151,0)</f>
        <v>0</v>
      </c>
      <c r="DP154" s="7" t="n">
        <f aca="false">IF(DP$3=$E$44,DO153+DP151,0)</f>
        <v>0</v>
      </c>
    </row>
    <row r="155" customFormat="false" ht="15" hidden="false" customHeight="false" outlineLevel="0" collapsed="false">
      <c r="B155" s="0" t="s">
        <v>92</v>
      </c>
      <c r="L155" s="7" t="n">
        <f aca="false">IF(L$3=$E$44,$E$42*12*SUMPRODUCT(($L$3:$DP$3&gt;$E$44)*($L$3:$DP$3&lt;=$E$44+12)*$L$145:$DP$145)/12/$E$126,0)</f>
        <v>0</v>
      </c>
      <c r="M155" s="7" t="n">
        <f aca="false">IF(M$3=$E$44,$E$42*12*SUMPRODUCT(($L$3:$DP$3&gt;$E$44)*($L$3:$DP$3&lt;=$E$44+12)*$L$145:$DP$145)/12/$E$126,0)</f>
        <v>0</v>
      </c>
      <c r="N155" s="7" t="n">
        <f aca="false">IF(N$3=$E$44,$E$42*12*SUMPRODUCT(($L$3:$DP$3&gt;$E$44)*($L$3:$DP$3&lt;=$E$44+12)*$L$145:$DP$145)/12/$E$126,0)</f>
        <v>0</v>
      </c>
      <c r="O155" s="7" t="n">
        <f aca="false">IF(O$3=$E$44,$E$42*12*SUMPRODUCT(($L$3:$DP$3&gt;$E$44)*($L$3:$DP$3&lt;=$E$44+12)*$L$145:$DP$145)/12/$E$126,0)</f>
        <v>0</v>
      </c>
      <c r="P155" s="7" t="n">
        <f aca="false">IF(P$3=$E$44,$E$42*12*SUMPRODUCT(($L$3:$DP$3&gt;$E$44)*($L$3:$DP$3&lt;=$E$44+12)*$L$145:$DP$145)/12/$E$126,0)</f>
        <v>0</v>
      </c>
      <c r="Q155" s="7" t="n">
        <f aca="false">IF(Q$3=$E$44,$E$42*12*SUMPRODUCT(($L$3:$DP$3&gt;$E$44)*($L$3:$DP$3&lt;=$E$44+12)*$L$145:$DP$145)/12/$E$126,0)</f>
        <v>0</v>
      </c>
      <c r="R155" s="7" t="n">
        <f aca="false">IF(R$3=$E$44,$E$42*12*SUMPRODUCT(($L$3:$DP$3&gt;$E$44)*($L$3:$DP$3&lt;=$E$44+12)*$L$145:$DP$145)/12/$E$126,0)</f>
        <v>0</v>
      </c>
      <c r="S155" s="7" t="n">
        <f aca="false">IF(S$3=$E$44,$E$42*12*SUMPRODUCT(($L$3:$DP$3&gt;$E$44)*($L$3:$DP$3&lt;=$E$44+12)*$L$145:$DP$145)/12/$E$126,0)</f>
        <v>0</v>
      </c>
      <c r="T155" s="7" t="n">
        <f aca="false">IF(T$3=$E$44,$E$42*12*SUMPRODUCT(($L$3:$DP$3&gt;$E$44)*($L$3:$DP$3&lt;=$E$44+12)*$L$145:$DP$145)/12/$E$126,0)</f>
        <v>0</v>
      </c>
      <c r="U155" s="7" t="n">
        <f aca="false">IF(U$3=$E$44,$E$42*12*SUMPRODUCT(($L$3:$DP$3&gt;$E$44)*($L$3:$DP$3&lt;=$E$44+12)*$L$145:$DP$145)/12/$E$126,0)</f>
        <v>0</v>
      </c>
      <c r="V155" s="7" t="n">
        <f aca="false">IF(V$3=$E$44,$E$42*12*SUMPRODUCT(($L$3:$DP$3&gt;$E$44)*($L$3:$DP$3&lt;=$E$44+12)*$L$145:$DP$145)/12/$E$126,0)</f>
        <v>0</v>
      </c>
      <c r="W155" s="7" t="n">
        <f aca="false">IF(W$3=$E$44,$E$42*12*SUMPRODUCT(($L$3:$DP$3&gt;$E$44)*($L$3:$DP$3&lt;=$E$44+12)*$L$145:$DP$145)/12/$E$126,0)</f>
        <v>0</v>
      </c>
      <c r="X155" s="7" t="n">
        <f aca="false">IF(X$3=$E$44,$E$42*12*SUMPRODUCT(($L$3:$DP$3&gt;$E$44)*($L$3:$DP$3&lt;=$E$44+12)*$L$145:$DP$145)/12/$E$126,0)</f>
        <v>0</v>
      </c>
      <c r="Y155" s="7" t="n">
        <f aca="false">IF(Y$3=$E$44,$E$42*12*SUMPRODUCT(($L$3:$DP$3&gt;$E$44)*($L$3:$DP$3&lt;=$E$44+12)*$L$145:$DP$145)/12/$E$126,0)</f>
        <v>0</v>
      </c>
      <c r="Z155" s="7" t="n">
        <f aca="false">IF(Z$3=$E$44,$E$42*12*SUMPRODUCT(($L$3:$DP$3&gt;$E$44)*($L$3:$DP$3&lt;=$E$44+12)*$L$145:$DP$145)/12/$E$126,0)</f>
        <v>0</v>
      </c>
      <c r="AA155" s="7" t="n">
        <f aca="false">IF(AA$3=$E$44,$E$42*12*SUMPRODUCT(($L$3:$DP$3&gt;$E$44)*($L$3:$DP$3&lt;=$E$44+12)*$L$145:$DP$145)/12/$E$126,0)</f>
        <v>0</v>
      </c>
      <c r="AB155" s="7" t="n">
        <f aca="false">IF(AB$3=$E$44,$E$42*12*SUMPRODUCT(($L$3:$DP$3&gt;$E$44)*($L$3:$DP$3&lt;=$E$44+12)*$L$145:$DP$145)/12/$E$126,0)</f>
        <v>0</v>
      </c>
      <c r="AC155" s="7" t="n">
        <f aca="false">IF(AC$3=$E$44,$E$42*12*SUMPRODUCT(($L$3:$DP$3&gt;$E$44)*($L$3:$DP$3&lt;=$E$44+12)*$L$145:$DP$145)/12/$E$126,0)</f>
        <v>0</v>
      </c>
      <c r="AD155" s="7" t="n">
        <f aca="false">IF(AD$3=$E$44,$E$42*12*SUMPRODUCT(($L$3:$DP$3&gt;$E$44)*($L$3:$DP$3&lt;=$E$44+12)*$L$145:$DP$145)/12/$E$126,0)</f>
        <v>0</v>
      </c>
      <c r="AE155" s="7" t="n">
        <f aca="false">IF(AE$3=$E$44,$E$42*12*SUMPRODUCT(($L$3:$DP$3&gt;$E$44)*($L$3:$DP$3&lt;=$E$44+12)*$L$145:$DP$145)/12/$E$126,0)</f>
        <v>0</v>
      </c>
      <c r="AF155" s="7" t="n">
        <f aca="false">IF(AF$3=$E$44,$E$42*12*SUMPRODUCT(($L$3:$DP$3&gt;$E$44)*($L$3:$DP$3&lt;=$E$44+12)*$L$145:$DP$145)/12/$E$126,0)</f>
        <v>0</v>
      </c>
      <c r="AG155" s="7" t="n">
        <f aca="false">IF(AG$3=$E$44,$E$42*12*SUMPRODUCT(($L$3:$DP$3&gt;$E$44)*($L$3:$DP$3&lt;=$E$44+12)*$L$145:$DP$145)/12/$E$126,0)</f>
        <v>0</v>
      </c>
      <c r="AH155" s="7" t="n">
        <f aca="false">IF(AH$3=$E$44,$E$42*12*SUMPRODUCT(($L$3:$DP$3&gt;$E$44)*($L$3:$DP$3&lt;=$E$44+12)*$L$145:$DP$145)/12/$E$126,0)</f>
        <v>0</v>
      </c>
      <c r="AI155" s="7" t="n">
        <f aca="false">IF(AI$3=$E$44,$E$42*12*SUMPRODUCT(($L$3:$DP$3&gt;$E$44)*($L$3:$DP$3&lt;=$E$44+12)*$L$145:$DP$145)/12/$E$126,0)</f>
        <v>0</v>
      </c>
      <c r="AJ155" s="7" t="n">
        <f aca="false">IF(AJ$3=$E$44,$E$42*12*SUMPRODUCT(($L$3:$DP$3&gt;$E$44)*($L$3:$DP$3&lt;=$E$44+12)*$L$145:$DP$145)/12/$E$126,0)</f>
        <v>0</v>
      </c>
      <c r="AK155" s="7" t="n">
        <f aca="false">IF(AK$3=$E$44,$E$42*12*SUMPRODUCT(($L$3:$DP$3&gt;$E$44)*($L$3:$DP$3&lt;=$E$44+12)*$L$145:$DP$145)/12/$E$126,0)</f>
        <v>0</v>
      </c>
      <c r="AL155" s="7" t="n">
        <f aca="false">IF(AL$3=$E$44,$E$42*12*SUMPRODUCT(($L$3:$DP$3&gt;$E$44)*($L$3:$DP$3&lt;=$E$44+12)*$L$145:$DP$145)/12/$E$126,0)</f>
        <v>0</v>
      </c>
      <c r="AM155" s="7" t="n">
        <f aca="false">IF(AM$3=$E$44,$E$42*12*SUMPRODUCT(($L$3:$DP$3&gt;$E$44)*($L$3:$DP$3&lt;=$E$44+12)*$L$145:$DP$145)/12/$E$126,0)</f>
        <v>0</v>
      </c>
      <c r="AN155" s="7" t="n">
        <f aca="false">IF(AN$3=$E$44,$E$42*12*SUMPRODUCT(($L$3:$DP$3&gt;$E$44)*($L$3:$DP$3&lt;=$E$44+12)*$L$145:$DP$145)/12/$E$126,0)</f>
        <v>0</v>
      </c>
      <c r="AO155" s="7" t="n">
        <f aca="false">IF(AO$3=$E$44,$E$42*12*SUMPRODUCT(($L$3:$DP$3&gt;$E$44)*($L$3:$DP$3&lt;=$E$44+12)*$L$145:$DP$145)/12/$E$126,0)</f>
        <v>0</v>
      </c>
      <c r="AP155" s="7" t="n">
        <f aca="false">IF(AP$3=$E$44,$E$42*12*SUMPRODUCT(($L$3:$DP$3&gt;$E$44)*($L$3:$DP$3&lt;=$E$44+12)*$L$145:$DP$145)/12/$E$126,0)</f>
        <v>18551228.97574</v>
      </c>
      <c r="AQ155" s="7" t="n">
        <f aca="false">IF(AQ$3=$E$44,$E$42*12*SUMPRODUCT(($L$3:$DP$3&gt;$E$44)*($L$3:$DP$3&lt;=$E$44+12)*$L$145:$DP$145)/12/$E$126,0)</f>
        <v>0</v>
      </c>
      <c r="AR155" s="7" t="n">
        <f aca="false">IF(AR$3=$E$44,$E$42*12*SUMPRODUCT(($L$3:$DP$3&gt;$E$44)*($L$3:$DP$3&lt;=$E$44+12)*$L$145:$DP$145)/12/$E$126,0)</f>
        <v>0</v>
      </c>
      <c r="AS155" s="7" t="n">
        <f aca="false">IF(AS$3=$E$44,$E$42*12*SUMPRODUCT(($L$3:$DP$3&gt;$E$44)*($L$3:$DP$3&lt;=$E$44+12)*$L$145:$DP$145)/12/$E$126,0)</f>
        <v>0</v>
      </c>
      <c r="AT155" s="7" t="n">
        <f aca="false">IF(AT$3=$E$44,$E$42*12*SUMPRODUCT(($L$3:$DP$3&gt;$E$44)*($L$3:$DP$3&lt;=$E$44+12)*$L$145:$DP$145)/12/$E$126,0)</f>
        <v>0</v>
      </c>
      <c r="AU155" s="7" t="n">
        <f aca="false">IF(AU$3=$E$44,$E$42*12*SUMPRODUCT(($L$3:$DP$3&gt;$E$44)*($L$3:$DP$3&lt;=$E$44+12)*$L$145:$DP$145)/12/$E$126,0)</f>
        <v>0</v>
      </c>
      <c r="AV155" s="7" t="n">
        <f aca="false">IF(AV$3=$E$44,$E$42*12*SUMPRODUCT(($L$3:$DP$3&gt;$E$44)*($L$3:$DP$3&lt;=$E$44+12)*$L$145:$DP$145)/12/$E$126,0)</f>
        <v>0</v>
      </c>
      <c r="AW155" s="7" t="n">
        <f aca="false">IF(AW$3=$E$44,$E$42*12*SUMPRODUCT(($L$3:$DP$3&gt;$E$44)*($L$3:$DP$3&lt;=$E$44+12)*$L$145:$DP$145)/12/$E$126,0)</f>
        <v>0</v>
      </c>
      <c r="AX155" s="7" t="n">
        <f aca="false">IF(AX$3=$E$44,$E$42*12*SUMPRODUCT(($L$3:$DP$3&gt;$E$44)*($L$3:$DP$3&lt;=$E$44+12)*$L$145:$DP$145)/12/$E$126,0)</f>
        <v>0</v>
      </c>
      <c r="AY155" s="7" t="n">
        <f aca="false">IF(AY$3=$E$44,$E$42*12*SUMPRODUCT(($L$3:$DP$3&gt;$E$44)*($L$3:$DP$3&lt;=$E$44+12)*$L$145:$DP$145)/12/$E$126,0)</f>
        <v>0</v>
      </c>
      <c r="AZ155" s="7" t="n">
        <f aca="false">IF(AZ$3=$E$44,$E$42*12*SUMPRODUCT(($L$3:$DP$3&gt;$E$44)*($L$3:$DP$3&lt;=$E$44+12)*$L$145:$DP$145)/12/$E$126,0)</f>
        <v>0</v>
      </c>
      <c r="BA155" s="7" t="n">
        <f aca="false">IF(BA$3=$E$44,$E$42*12*SUMPRODUCT(($L$3:$DP$3&gt;$E$44)*($L$3:$DP$3&lt;=$E$44+12)*$L$145:$DP$145)/12/$E$126,0)</f>
        <v>0</v>
      </c>
      <c r="BB155" s="7" t="n">
        <f aca="false">IF(BB$3=$E$44,$E$42*12*SUMPRODUCT(($L$3:$DP$3&gt;$E$44)*($L$3:$DP$3&lt;=$E$44+12)*$L$145:$DP$145)/12/$E$126,0)</f>
        <v>0</v>
      </c>
      <c r="BC155" s="7" t="n">
        <f aca="false">IF(BC$3=$E$44,$E$42*12*SUMPRODUCT(($L$3:$DP$3&gt;$E$44)*($L$3:$DP$3&lt;=$E$44+12)*$L$145:$DP$145)/12/$E$126,0)</f>
        <v>0</v>
      </c>
      <c r="BD155" s="7" t="n">
        <f aca="false">IF(BD$3=$E$44,$E$42*12*SUMPRODUCT(($L$3:$DP$3&gt;$E$44)*($L$3:$DP$3&lt;=$E$44+12)*$L$145:$DP$145)/12/$E$126,0)</f>
        <v>0</v>
      </c>
      <c r="BE155" s="7" t="n">
        <f aca="false">IF(BE$3=$E$44,$E$42*12*SUMPRODUCT(($L$3:$DP$3&gt;$E$44)*($L$3:$DP$3&lt;=$E$44+12)*$L$145:$DP$145)/12/$E$126,0)</f>
        <v>0</v>
      </c>
      <c r="BF155" s="7" t="n">
        <f aca="false">IF(BF$3=$E$44,$E$42*12*SUMPRODUCT(($L$3:$DP$3&gt;$E$44)*($L$3:$DP$3&lt;=$E$44+12)*$L$145:$DP$145)/12/$E$126,0)</f>
        <v>0</v>
      </c>
      <c r="BG155" s="7" t="n">
        <f aca="false">IF(BG$3=$E$44,$E$42*12*SUMPRODUCT(($L$3:$DP$3&gt;$E$44)*($L$3:$DP$3&lt;=$E$44+12)*$L$145:$DP$145)/12/$E$126,0)</f>
        <v>0</v>
      </c>
      <c r="BH155" s="7" t="n">
        <f aca="false">IF(BH$3=$E$44,$E$42*12*SUMPRODUCT(($L$3:$DP$3&gt;$E$44)*($L$3:$DP$3&lt;=$E$44+12)*$L$145:$DP$145)/12/$E$126,0)</f>
        <v>0</v>
      </c>
      <c r="BI155" s="7" t="n">
        <f aca="false">IF(BI$3=$E$44,$E$42*12*SUMPRODUCT(($L$3:$DP$3&gt;$E$44)*($L$3:$DP$3&lt;=$E$44+12)*$L$145:$DP$145)/12/$E$126,0)</f>
        <v>0</v>
      </c>
      <c r="BJ155" s="7" t="n">
        <f aca="false">IF(BJ$3=$E$44,$E$42*12*SUMPRODUCT(($L$3:$DP$3&gt;$E$44)*($L$3:$DP$3&lt;=$E$44+12)*$L$145:$DP$145)/12/$E$126,0)</f>
        <v>0</v>
      </c>
      <c r="BK155" s="7" t="n">
        <f aca="false">IF(BK$3=$E$44,$E$42*12*SUMPRODUCT(($L$3:$DP$3&gt;$E$44)*($L$3:$DP$3&lt;=$E$44+12)*$L$145:$DP$145)/12/$E$126,0)</f>
        <v>0</v>
      </c>
      <c r="BL155" s="7" t="n">
        <f aca="false">IF(BL$3=$E$44,$E$42*12*SUMPRODUCT(($L$3:$DP$3&gt;$E$44)*($L$3:$DP$3&lt;=$E$44+12)*$L$145:$DP$145)/12/$E$126,0)</f>
        <v>0</v>
      </c>
      <c r="BM155" s="7" t="n">
        <f aca="false">IF(BM$3=$E$44,$E$42*12*SUMPRODUCT(($L$3:$DP$3&gt;$E$44)*($L$3:$DP$3&lt;=$E$44+12)*$L$145:$DP$145)/12/$E$126,0)</f>
        <v>0</v>
      </c>
      <c r="BN155" s="7" t="n">
        <f aca="false">IF(BN$3=$E$44,$E$42*12*SUMPRODUCT(($L$3:$DP$3&gt;$E$44)*($L$3:$DP$3&lt;=$E$44+12)*$L$145:$DP$145)/12/$E$126,0)</f>
        <v>0</v>
      </c>
      <c r="BO155" s="7" t="n">
        <f aca="false">IF(BO$3=$E$44,$E$42*12*SUMPRODUCT(($L$3:$DP$3&gt;$E$44)*($L$3:$DP$3&lt;=$E$44+12)*$L$145:$DP$145)/12/$E$126,0)</f>
        <v>0</v>
      </c>
      <c r="BP155" s="7" t="n">
        <f aca="false">IF(BP$3=$E$44,$E$42*12*SUMPRODUCT(($L$3:$DP$3&gt;$E$44)*($L$3:$DP$3&lt;=$E$44+12)*$L$145:$DP$145)/12/$E$126,0)</f>
        <v>0</v>
      </c>
      <c r="BQ155" s="7" t="n">
        <f aca="false">IF(BQ$3=$E$44,$E$42*12*SUMPRODUCT(($L$3:$DP$3&gt;$E$44)*($L$3:$DP$3&lt;=$E$44+12)*$L$145:$DP$145)/12/$E$126,0)</f>
        <v>0</v>
      </c>
      <c r="BR155" s="7" t="n">
        <f aca="false">IF(BR$3=$E$44,$E$42*12*SUMPRODUCT(($L$3:$DP$3&gt;$E$44)*($L$3:$DP$3&lt;=$E$44+12)*$L$145:$DP$145)/12/$E$126,0)</f>
        <v>0</v>
      </c>
      <c r="BS155" s="7" t="n">
        <f aca="false">IF(BS$3=$E$44,$E$42*12*SUMPRODUCT(($L$3:$DP$3&gt;$E$44)*($L$3:$DP$3&lt;=$E$44+12)*$L$145:$DP$145)/12/$E$126,0)</f>
        <v>0</v>
      </c>
      <c r="BT155" s="7" t="n">
        <f aca="false">IF(BT$3=$E$44,$E$42*12*SUMPRODUCT(($L$3:$DP$3&gt;$E$44)*($L$3:$DP$3&lt;=$E$44+12)*$L$145:$DP$145)/12/$E$126,0)</f>
        <v>0</v>
      </c>
      <c r="BU155" s="7" t="n">
        <f aca="false">IF(BU$3=$E$44,$E$42*12*SUMPRODUCT(($L$3:$DP$3&gt;$E$44)*($L$3:$DP$3&lt;=$E$44+12)*$L$145:$DP$145)/12/$E$126,0)</f>
        <v>0</v>
      </c>
      <c r="BV155" s="7" t="n">
        <f aca="false">IF(BV$3=$E$44,$E$42*12*SUMPRODUCT(($L$3:$DP$3&gt;$E$44)*($L$3:$DP$3&lt;=$E$44+12)*$L$145:$DP$145)/12/$E$126,0)</f>
        <v>0</v>
      </c>
      <c r="BW155" s="7" t="n">
        <f aca="false">IF(BW$3=$E$44,$E$42*12*SUMPRODUCT(($L$3:$DP$3&gt;$E$44)*($L$3:$DP$3&lt;=$E$44+12)*$L$145:$DP$145)/12/$E$126,0)</f>
        <v>0</v>
      </c>
      <c r="BX155" s="7" t="n">
        <f aca="false">IF(BX$3=$E$44,$E$42*12*SUMPRODUCT(($L$3:$DP$3&gt;$E$44)*($L$3:$DP$3&lt;=$E$44+12)*$L$145:$DP$145)/12/$E$126,0)</f>
        <v>0</v>
      </c>
      <c r="BY155" s="7" t="n">
        <f aca="false">IF(BY$3=$E$44,$E$42*12*SUMPRODUCT(($L$3:$DP$3&gt;$E$44)*($L$3:$DP$3&lt;=$E$44+12)*$L$145:$DP$145)/12/$E$126,0)</f>
        <v>0</v>
      </c>
      <c r="BZ155" s="7" t="n">
        <f aca="false">IF(BZ$3=$E$44,$E$42*12*SUMPRODUCT(($L$3:$DP$3&gt;$E$44)*($L$3:$DP$3&lt;=$E$44+12)*$L$145:$DP$145)/12/$E$126,0)</f>
        <v>0</v>
      </c>
      <c r="CA155" s="7" t="n">
        <f aca="false">IF(CA$3=$E$44,$E$42*12*SUMPRODUCT(($L$3:$DP$3&gt;$E$44)*($L$3:$DP$3&lt;=$E$44+12)*$L$145:$DP$145)/12/$E$126,0)</f>
        <v>0</v>
      </c>
      <c r="CB155" s="7" t="n">
        <f aca="false">IF(CB$3=$E$44,$E$42*12*SUMPRODUCT(($L$3:$DP$3&gt;$E$44)*($L$3:$DP$3&lt;=$E$44+12)*$L$145:$DP$145)/12/$E$126,0)</f>
        <v>0</v>
      </c>
      <c r="CC155" s="7" t="n">
        <f aca="false">IF(CC$3=$E$44,$E$42*12*SUMPRODUCT(($L$3:$DP$3&gt;$E$44)*($L$3:$DP$3&lt;=$E$44+12)*$L$145:$DP$145)/12/$E$126,0)</f>
        <v>0</v>
      </c>
      <c r="CD155" s="7" t="n">
        <f aca="false">IF(CD$3=$E$44,$E$42*12*SUMPRODUCT(($L$3:$DP$3&gt;$E$44)*($L$3:$DP$3&lt;=$E$44+12)*$L$145:$DP$145)/12/$E$126,0)</f>
        <v>0</v>
      </c>
      <c r="CE155" s="7" t="n">
        <f aca="false">IF(CE$3=$E$44,$E$42*12*SUMPRODUCT(($L$3:$DP$3&gt;$E$44)*($L$3:$DP$3&lt;=$E$44+12)*$L$145:$DP$145)/12/$E$126,0)</f>
        <v>0</v>
      </c>
      <c r="CF155" s="7" t="n">
        <f aca="false">IF(CF$3=$E$44,$E$42*12*SUMPRODUCT(($L$3:$DP$3&gt;$E$44)*($L$3:$DP$3&lt;=$E$44+12)*$L$145:$DP$145)/12/$E$126,0)</f>
        <v>0</v>
      </c>
      <c r="CG155" s="7" t="n">
        <f aca="false">IF(CG$3=$E$44,$E$42*12*SUMPRODUCT(($L$3:$DP$3&gt;$E$44)*($L$3:$DP$3&lt;=$E$44+12)*$L$145:$DP$145)/12/$E$126,0)</f>
        <v>0</v>
      </c>
      <c r="CH155" s="7" t="n">
        <f aca="false">IF(CH$3=$E$44,$E$42*12*SUMPRODUCT(($L$3:$DP$3&gt;$E$44)*($L$3:$DP$3&lt;=$E$44+12)*$L$145:$DP$145)/12/$E$126,0)</f>
        <v>0</v>
      </c>
      <c r="CI155" s="7" t="n">
        <f aca="false">IF(CI$3=$E$44,$E$42*12*SUMPRODUCT(($L$3:$DP$3&gt;$E$44)*($L$3:$DP$3&lt;=$E$44+12)*$L$145:$DP$145)/12/$E$126,0)</f>
        <v>0</v>
      </c>
      <c r="CJ155" s="7" t="n">
        <f aca="false">IF(CJ$3=$E$44,$E$42*12*SUMPRODUCT(($L$3:$DP$3&gt;$E$44)*($L$3:$DP$3&lt;=$E$44+12)*$L$145:$DP$145)/12/$E$126,0)</f>
        <v>0</v>
      </c>
      <c r="CK155" s="7" t="n">
        <f aca="false">IF(CK$3=$E$44,$E$42*12*SUMPRODUCT(($L$3:$DP$3&gt;$E$44)*($L$3:$DP$3&lt;=$E$44+12)*$L$145:$DP$145)/12/$E$126,0)</f>
        <v>0</v>
      </c>
      <c r="CL155" s="7" t="n">
        <f aca="false">IF(CL$3=$E$44,$E$42*12*SUMPRODUCT(($L$3:$DP$3&gt;$E$44)*($L$3:$DP$3&lt;=$E$44+12)*$L$145:$DP$145)/12/$E$126,0)</f>
        <v>0</v>
      </c>
      <c r="CM155" s="7" t="n">
        <f aca="false">IF(CM$3=$E$44,$E$42*12*SUMPRODUCT(($L$3:$DP$3&gt;$E$44)*($L$3:$DP$3&lt;=$E$44+12)*$L$145:$DP$145)/12/$E$126,0)</f>
        <v>0</v>
      </c>
      <c r="CN155" s="7" t="n">
        <f aca="false">IF(CN$3=$E$44,$E$42*12*SUMPRODUCT(($L$3:$DP$3&gt;$E$44)*($L$3:$DP$3&lt;=$E$44+12)*$L$145:$DP$145)/12/$E$126,0)</f>
        <v>0</v>
      </c>
      <c r="CO155" s="7" t="n">
        <f aca="false">IF(CO$3=$E$44,$E$42*12*SUMPRODUCT(($L$3:$DP$3&gt;$E$44)*($L$3:$DP$3&lt;=$E$44+12)*$L$145:$DP$145)/12/$E$126,0)</f>
        <v>0</v>
      </c>
      <c r="CP155" s="7" t="n">
        <f aca="false">IF(CP$3=$E$44,$E$42*12*SUMPRODUCT(($L$3:$DP$3&gt;$E$44)*($L$3:$DP$3&lt;=$E$44+12)*$L$145:$DP$145)/12/$E$126,0)</f>
        <v>0</v>
      </c>
      <c r="CQ155" s="7" t="n">
        <f aca="false">IF(CQ$3=$E$44,$E$42*12*SUMPRODUCT(($L$3:$DP$3&gt;$E$44)*($L$3:$DP$3&lt;=$E$44+12)*$L$145:$DP$145)/12/$E$126,0)</f>
        <v>0</v>
      </c>
      <c r="CR155" s="7" t="n">
        <f aca="false">IF(CR$3=$E$44,$E$42*12*SUMPRODUCT(($L$3:$DP$3&gt;$E$44)*($L$3:$DP$3&lt;=$E$44+12)*$L$145:$DP$145)/12/$E$126,0)</f>
        <v>0</v>
      </c>
      <c r="CS155" s="7" t="n">
        <f aca="false">IF(CS$3=$E$44,$E$42*12*SUMPRODUCT(($L$3:$DP$3&gt;$E$44)*($L$3:$DP$3&lt;=$E$44+12)*$L$145:$DP$145)/12/$E$126,0)</f>
        <v>0</v>
      </c>
      <c r="CT155" s="7" t="n">
        <f aca="false">IF(CT$3=$E$44,$E$42*12*SUMPRODUCT(($L$3:$DP$3&gt;$E$44)*($L$3:$DP$3&lt;=$E$44+12)*$L$145:$DP$145)/12/$E$126,0)</f>
        <v>0</v>
      </c>
      <c r="CU155" s="7" t="n">
        <f aca="false">IF(CU$3=$E$44,$E$42*12*SUMPRODUCT(($L$3:$DP$3&gt;$E$44)*($L$3:$DP$3&lt;=$E$44+12)*$L$145:$DP$145)/12/$E$126,0)</f>
        <v>0</v>
      </c>
      <c r="CV155" s="7" t="n">
        <f aca="false">IF(CV$3=$E$44,$E$42*12*SUMPRODUCT(($L$3:$DP$3&gt;$E$44)*($L$3:$DP$3&lt;=$E$44+12)*$L$145:$DP$145)/12/$E$126,0)</f>
        <v>0</v>
      </c>
      <c r="CW155" s="7" t="n">
        <f aca="false">IF(CW$3=$E$44,$E$42*12*SUMPRODUCT(($L$3:$DP$3&gt;$E$44)*($L$3:$DP$3&lt;=$E$44+12)*$L$145:$DP$145)/12/$E$126,0)</f>
        <v>0</v>
      </c>
      <c r="CX155" s="7" t="n">
        <f aca="false">IF(CX$3=$E$44,$E$42*12*SUMPRODUCT(($L$3:$DP$3&gt;$E$44)*($L$3:$DP$3&lt;=$E$44+12)*$L$145:$DP$145)/12/$E$126,0)</f>
        <v>0</v>
      </c>
      <c r="CY155" s="7" t="n">
        <f aca="false">IF(CY$3=$E$44,$E$42*12*SUMPRODUCT(($L$3:$DP$3&gt;$E$44)*($L$3:$DP$3&lt;=$E$44+12)*$L$145:$DP$145)/12/$E$126,0)</f>
        <v>0</v>
      </c>
      <c r="CZ155" s="7" t="n">
        <f aca="false">IF(CZ$3=$E$44,$E$42*12*SUMPRODUCT(($L$3:$DP$3&gt;$E$44)*($L$3:$DP$3&lt;=$E$44+12)*$L$145:$DP$145)/12/$E$126,0)</f>
        <v>0</v>
      </c>
      <c r="DA155" s="7" t="n">
        <f aca="false">IF(DA$3=$E$44,$E$42*12*SUMPRODUCT(($L$3:$DP$3&gt;$E$44)*($L$3:$DP$3&lt;=$E$44+12)*$L$145:$DP$145)/12/$E$126,0)</f>
        <v>0</v>
      </c>
      <c r="DB155" s="7" t="n">
        <f aca="false">IF(DB$3=$E$44,$E$42*12*SUMPRODUCT(($L$3:$DP$3&gt;$E$44)*($L$3:$DP$3&lt;=$E$44+12)*$L$145:$DP$145)/12/$E$126,0)</f>
        <v>0</v>
      </c>
      <c r="DC155" s="7" t="n">
        <f aca="false">IF(DC$3=$E$44,$E$42*12*SUMPRODUCT(($L$3:$DP$3&gt;$E$44)*($L$3:$DP$3&lt;=$E$44+12)*$L$145:$DP$145)/12/$E$126,0)</f>
        <v>0</v>
      </c>
      <c r="DD155" s="7" t="n">
        <f aca="false">IF(DD$3=$E$44,$E$42*12*SUMPRODUCT(($L$3:$DP$3&gt;$E$44)*($L$3:$DP$3&lt;=$E$44+12)*$L$145:$DP$145)/12/$E$126,0)</f>
        <v>0</v>
      </c>
      <c r="DE155" s="7" t="n">
        <f aca="false">IF(DE$3=$E$44,$E$42*12*SUMPRODUCT(($L$3:$DP$3&gt;$E$44)*($L$3:$DP$3&lt;=$E$44+12)*$L$145:$DP$145)/12/$E$126,0)</f>
        <v>0</v>
      </c>
      <c r="DF155" s="7" t="n">
        <f aca="false">IF(DF$3=$E$44,$E$42*12*SUMPRODUCT(($L$3:$DP$3&gt;$E$44)*($L$3:$DP$3&lt;=$E$44+12)*$L$145:$DP$145)/12/$E$126,0)</f>
        <v>0</v>
      </c>
      <c r="DG155" s="7" t="n">
        <f aca="false">IF(DG$3=$E$44,$E$42*12*SUMPRODUCT(($L$3:$DP$3&gt;$E$44)*($L$3:$DP$3&lt;=$E$44+12)*$L$145:$DP$145)/12/$E$126,0)</f>
        <v>0</v>
      </c>
      <c r="DH155" s="7" t="n">
        <f aca="false">IF(DH$3=$E$44,$E$42*12*SUMPRODUCT(($L$3:$DP$3&gt;$E$44)*($L$3:$DP$3&lt;=$E$44+12)*$L$145:$DP$145)/12/$E$126,0)</f>
        <v>0</v>
      </c>
      <c r="DI155" s="7" t="n">
        <f aca="false">IF(DI$3=$E$44,$E$42*12*SUMPRODUCT(($L$3:$DP$3&gt;$E$44)*($L$3:$DP$3&lt;=$E$44+12)*$L$145:$DP$145)/12/$E$126,0)</f>
        <v>0</v>
      </c>
      <c r="DJ155" s="7" t="n">
        <f aca="false">IF(DJ$3=$E$44,$E$42*12*SUMPRODUCT(($L$3:$DP$3&gt;$E$44)*($L$3:$DP$3&lt;=$E$44+12)*$L$145:$DP$145)/12/$E$126,0)</f>
        <v>0</v>
      </c>
      <c r="DK155" s="7" t="n">
        <f aca="false">IF(DK$3=$E$44,$E$42*12*SUMPRODUCT(($L$3:$DP$3&gt;$E$44)*($L$3:$DP$3&lt;=$E$44+12)*$L$145:$DP$145)/12/$E$126,0)</f>
        <v>0</v>
      </c>
      <c r="DL155" s="7" t="n">
        <f aca="false">IF(DL$3=$E$44,$E$42*12*SUMPRODUCT(($L$3:$DP$3&gt;$E$44)*($L$3:$DP$3&lt;=$E$44+12)*$L$145:$DP$145)/12/$E$126,0)</f>
        <v>0</v>
      </c>
      <c r="DM155" s="7" t="n">
        <f aca="false">IF(DM$3=$E$44,$E$42*12*SUMPRODUCT(($L$3:$DP$3&gt;$E$44)*($L$3:$DP$3&lt;=$E$44+12)*$L$145:$DP$145)/12/$E$126,0)</f>
        <v>0</v>
      </c>
      <c r="DN155" s="7" t="n">
        <f aca="false">IF(DN$3=$E$44,$E$42*12*SUMPRODUCT(($L$3:$DP$3&gt;$E$44)*($L$3:$DP$3&lt;=$E$44+12)*$L$145:$DP$145)/12/$E$126,0)</f>
        <v>0</v>
      </c>
      <c r="DO155" s="7" t="n">
        <f aca="false">IF(DO$3=$E$44,$E$42*12*SUMPRODUCT(($L$3:$DP$3&gt;$E$44)*($L$3:$DP$3&lt;=$E$44+12)*$L$145:$DP$145)/12/$E$126,0)</f>
        <v>0</v>
      </c>
      <c r="DP155" s="7" t="n">
        <f aca="false">IF(DP$3=$E$44,$E$42*12*SUMPRODUCT(($L$3:$DP$3&gt;$E$44)*($L$3:$DP$3&lt;=$E$44+12)*$L$145:$DP$145)/12/$E$126,0)</f>
        <v>0</v>
      </c>
    </row>
    <row r="156" customFormat="false" ht="15" hidden="false" customHeight="false" outlineLevel="0" collapsed="false">
      <c r="B156" s="0" t="s">
        <v>93</v>
      </c>
      <c r="L156" s="7" t="n">
        <f aca="false">IF(AND(L$3&gt;$E$44,(L$3&lt;=$I$15)),SUM($L$155:$DP$155)*$E$43/12,0)</f>
        <v>0</v>
      </c>
      <c r="M156" s="7" t="n">
        <f aca="false">IF(AND(M$3&gt;$E$44,(M$3&lt;=$I$15)),SUM($L$155:$DP$155)*$E$43/12,0)</f>
        <v>0</v>
      </c>
      <c r="N156" s="7" t="n">
        <f aca="false">IF(AND(N$3&gt;$E$44,(N$3&lt;=$I$15)),SUM($L$155:$DP$155)*$E$43/12,0)</f>
        <v>0</v>
      </c>
      <c r="O156" s="7" t="n">
        <f aca="false">IF(AND(O$3&gt;$E$44,(O$3&lt;=$I$15)),SUM($L$155:$DP$155)*$E$43/12,0)</f>
        <v>0</v>
      </c>
      <c r="P156" s="7" t="n">
        <f aca="false">IF(AND(P$3&gt;$E$44,(P$3&lt;=$I$15)),SUM($L$155:$DP$155)*$E$43/12,0)</f>
        <v>0</v>
      </c>
      <c r="Q156" s="7" t="n">
        <f aca="false">IF(AND(Q$3&gt;$E$44,(Q$3&lt;=$I$15)),SUM($L$155:$DP$155)*$E$43/12,0)</f>
        <v>0</v>
      </c>
      <c r="R156" s="7" t="n">
        <f aca="false">IF(AND(R$3&gt;$E$44,(R$3&lt;=$I$15)),SUM($L$155:$DP$155)*$E$43/12,0)</f>
        <v>0</v>
      </c>
      <c r="S156" s="7" t="n">
        <f aca="false">IF(AND(S$3&gt;$E$44,(S$3&lt;=$I$15)),SUM($L$155:$DP$155)*$E$43/12,0)</f>
        <v>0</v>
      </c>
      <c r="T156" s="7" t="n">
        <f aca="false">IF(AND(T$3&gt;$E$44,(T$3&lt;=$I$15)),SUM($L$155:$DP$155)*$E$43/12,0)</f>
        <v>0</v>
      </c>
      <c r="U156" s="7" t="n">
        <f aca="false">IF(AND(U$3&gt;$E$44,(U$3&lt;=$I$15)),SUM($L$155:$DP$155)*$E$43/12,0)</f>
        <v>0</v>
      </c>
      <c r="V156" s="7" t="n">
        <f aca="false">IF(AND(V$3&gt;$E$44,(V$3&lt;=$I$15)),SUM($L$155:$DP$155)*$E$43/12,0)</f>
        <v>0</v>
      </c>
      <c r="W156" s="7" t="n">
        <f aca="false">IF(AND(W$3&gt;$E$44,(W$3&lt;=$I$15)),SUM($L$155:$DP$155)*$E$43/12,0)</f>
        <v>0</v>
      </c>
      <c r="X156" s="7" t="n">
        <f aca="false">IF(AND(X$3&gt;$E$44,(X$3&lt;=$I$15)),SUM($L$155:$DP$155)*$E$43/12,0)</f>
        <v>0</v>
      </c>
      <c r="Y156" s="7" t="n">
        <f aca="false">IF(AND(Y$3&gt;$E$44,(Y$3&lt;=$I$15)),SUM($L$155:$DP$155)*$E$43/12,0)</f>
        <v>0</v>
      </c>
      <c r="Z156" s="7" t="n">
        <f aca="false">IF(AND(Z$3&gt;$E$44,(Z$3&lt;=$I$15)),SUM($L$155:$DP$155)*$E$43/12,0)</f>
        <v>0</v>
      </c>
      <c r="AA156" s="7" t="n">
        <f aca="false">IF(AND(AA$3&gt;$E$44,(AA$3&lt;=$I$15)),SUM($L$155:$DP$155)*$E$43/12,0)</f>
        <v>0</v>
      </c>
      <c r="AB156" s="7" t="n">
        <f aca="false">IF(AND(AB$3&gt;$E$44,(AB$3&lt;=$I$15)),SUM($L$155:$DP$155)*$E$43/12,0)</f>
        <v>0</v>
      </c>
      <c r="AC156" s="7" t="n">
        <f aca="false">IF(AND(AC$3&gt;$E$44,(AC$3&lt;=$I$15)),SUM($L$155:$DP$155)*$E$43/12,0)</f>
        <v>0</v>
      </c>
      <c r="AD156" s="7" t="n">
        <f aca="false">IF(AND(AD$3&gt;$E$44,(AD$3&lt;=$I$15)),SUM($L$155:$DP$155)*$E$43/12,0)</f>
        <v>0</v>
      </c>
      <c r="AE156" s="7" t="n">
        <f aca="false">IF(AND(AE$3&gt;$E$44,(AE$3&lt;=$I$15)),SUM($L$155:$DP$155)*$E$43/12,0)</f>
        <v>0</v>
      </c>
      <c r="AF156" s="7" t="n">
        <f aca="false">IF(AND(AF$3&gt;$E$44,(AF$3&lt;=$I$15)),SUM($L$155:$DP$155)*$E$43/12,0)</f>
        <v>0</v>
      </c>
      <c r="AG156" s="7" t="n">
        <f aca="false">IF(AND(AG$3&gt;$E$44,(AG$3&lt;=$I$15)),SUM($L$155:$DP$155)*$E$43/12,0)</f>
        <v>0</v>
      </c>
      <c r="AH156" s="7" t="n">
        <f aca="false">IF(AND(AH$3&gt;$E$44,(AH$3&lt;=$I$15)),SUM($L$155:$DP$155)*$E$43/12,0)</f>
        <v>0</v>
      </c>
      <c r="AI156" s="7" t="n">
        <f aca="false">IF(AND(AI$3&gt;$E$44,(AI$3&lt;=$I$15)),SUM($L$155:$DP$155)*$E$43/12,0)</f>
        <v>0</v>
      </c>
      <c r="AJ156" s="7" t="n">
        <f aca="false">IF(AND(AJ$3&gt;$E$44,(AJ$3&lt;=$I$15)),SUM($L$155:$DP$155)*$E$43/12,0)</f>
        <v>0</v>
      </c>
      <c r="AK156" s="7" t="n">
        <f aca="false">IF(AND(AK$3&gt;$E$44,(AK$3&lt;=$I$15)),SUM($L$155:$DP$155)*$E$43/12,0)</f>
        <v>0</v>
      </c>
      <c r="AL156" s="7" t="n">
        <f aca="false">IF(AND(AL$3&gt;$E$44,(AL$3&lt;=$I$15)),SUM($L$155:$DP$155)*$E$43/12,0)</f>
        <v>0</v>
      </c>
      <c r="AM156" s="7" t="n">
        <f aca="false">IF(AND(AM$3&gt;$E$44,(AM$3&lt;=$I$15)),SUM($L$155:$DP$155)*$E$43/12,0)</f>
        <v>0</v>
      </c>
      <c r="AN156" s="7" t="n">
        <f aca="false">IF(AND(AN$3&gt;$E$44,(AN$3&lt;=$I$15)),SUM($L$155:$DP$155)*$E$43/12,0)</f>
        <v>0</v>
      </c>
      <c r="AO156" s="7" t="n">
        <f aca="false">IF(AND(AO$3&gt;$E$44,(AO$3&lt;=$I$15)),SUM($L$155:$DP$155)*$E$43/12,0)</f>
        <v>0</v>
      </c>
      <c r="AP156" s="7" t="n">
        <f aca="false">IF(AND(AP$3&gt;$E$44,(AP$3&lt;=$I$15)),SUM($L$155:$DP$155)*$E$43/12,0)</f>
        <v>0</v>
      </c>
      <c r="AQ156" s="7" t="n">
        <f aca="false">IF(AND(AQ$3&gt;$E$44,(AQ$3&lt;=$I$15)),SUM($L$155:$DP$155)*$E$43/12,0)</f>
        <v>96620.9842486458</v>
      </c>
      <c r="AR156" s="7" t="n">
        <f aca="false">IF(AND(AR$3&gt;$E$44,(AR$3&lt;=$I$15)),SUM($L$155:$DP$155)*$E$43/12,0)</f>
        <v>96620.9842486458</v>
      </c>
      <c r="AS156" s="7" t="n">
        <f aca="false">IF(AND(AS$3&gt;$E$44,(AS$3&lt;=$I$15)),SUM($L$155:$DP$155)*$E$43/12,0)</f>
        <v>96620.9842486458</v>
      </c>
      <c r="AT156" s="7" t="n">
        <f aca="false">IF(AND(AT$3&gt;$E$44,(AT$3&lt;=$I$15)),SUM($L$155:$DP$155)*$E$43/12,0)</f>
        <v>96620.9842486458</v>
      </c>
      <c r="AU156" s="7" t="n">
        <f aca="false">IF(AND(AU$3&gt;$E$44,(AU$3&lt;=$I$15)),SUM($L$155:$DP$155)*$E$43/12,0)</f>
        <v>96620.9842486458</v>
      </c>
      <c r="AV156" s="7" t="n">
        <f aca="false">IF(AND(AV$3&gt;$E$44,(AV$3&lt;=$I$15)),SUM($L$155:$DP$155)*$E$43/12,0)</f>
        <v>96620.9842486458</v>
      </c>
      <c r="AW156" s="7" t="n">
        <f aca="false">IF(AND(AW$3&gt;$E$44,(AW$3&lt;=$I$15)),SUM($L$155:$DP$155)*$E$43/12,0)</f>
        <v>96620.9842486458</v>
      </c>
      <c r="AX156" s="7" t="n">
        <f aca="false">IF(AND(AX$3&gt;$E$44,(AX$3&lt;=$I$15)),SUM($L$155:$DP$155)*$E$43/12,0)</f>
        <v>96620.9842486458</v>
      </c>
      <c r="AY156" s="7" t="n">
        <f aca="false">IF(AND(AY$3&gt;$E$44,(AY$3&lt;=$I$15)),SUM($L$155:$DP$155)*$E$43/12,0)</f>
        <v>96620.9842486458</v>
      </c>
      <c r="AZ156" s="7" t="n">
        <f aca="false">IF(AND(AZ$3&gt;$E$44,(AZ$3&lt;=$I$15)),SUM($L$155:$DP$155)*$E$43/12,0)</f>
        <v>96620.9842486458</v>
      </c>
      <c r="BA156" s="7" t="n">
        <f aca="false">IF(AND(BA$3&gt;$E$44,(BA$3&lt;=$I$15)),SUM($L$155:$DP$155)*$E$43/12,0)</f>
        <v>96620.9842486458</v>
      </c>
      <c r="BB156" s="7" t="n">
        <f aca="false">IF(AND(BB$3&gt;$E$44,(BB$3&lt;=$I$15)),SUM($L$155:$DP$155)*$E$43/12,0)</f>
        <v>96620.9842486458</v>
      </c>
      <c r="BC156" s="7" t="n">
        <f aca="false">IF(AND(BC$3&gt;$E$44,(BC$3&lt;=$I$15)),SUM($L$155:$DP$155)*$E$43/12,0)</f>
        <v>96620.9842486458</v>
      </c>
      <c r="BD156" s="7" t="n">
        <f aca="false">IF(AND(BD$3&gt;$E$44,(BD$3&lt;=$I$15)),SUM($L$155:$DP$155)*$E$43/12,0)</f>
        <v>96620.9842486458</v>
      </c>
      <c r="BE156" s="7" t="n">
        <f aca="false">IF(AND(BE$3&gt;$E$44,(BE$3&lt;=$I$15)),SUM($L$155:$DP$155)*$E$43/12,0)</f>
        <v>96620.9842486458</v>
      </c>
      <c r="BF156" s="7" t="n">
        <f aca="false">IF(AND(BF$3&gt;$E$44,(BF$3&lt;=$I$15)),SUM($L$155:$DP$155)*$E$43/12,0)</f>
        <v>96620.9842486458</v>
      </c>
      <c r="BG156" s="7" t="n">
        <f aca="false">IF(AND(BG$3&gt;$E$44,(BG$3&lt;=$I$15)),SUM($L$155:$DP$155)*$E$43/12,0)</f>
        <v>96620.9842486458</v>
      </c>
      <c r="BH156" s="7" t="n">
        <f aca="false">IF(AND(BH$3&gt;$E$44,(BH$3&lt;=$I$15)),SUM($L$155:$DP$155)*$E$43/12,0)</f>
        <v>96620.9842486458</v>
      </c>
      <c r="BI156" s="7" t="n">
        <f aca="false">IF(AND(BI$3&gt;$E$44,(BI$3&lt;=$I$15)),SUM($L$155:$DP$155)*$E$43/12,0)</f>
        <v>96620.9842486458</v>
      </c>
      <c r="BJ156" s="7" t="n">
        <f aca="false">IF(AND(BJ$3&gt;$E$44,(BJ$3&lt;=$I$15)),SUM($L$155:$DP$155)*$E$43/12,0)</f>
        <v>96620.9842486458</v>
      </c>
      <c r="BK156" s="7" t="n">
        <f aca="false">IF(AND(BK$3&gt;$E$44,(BK$3&lt;=$I$15)),SUM($L$155:$DP$155)*$E$43/12,0)</f>
        <v>96620.9842486458</v>
      </c>
      <c r="BL156" s="7" t="n">
        <f aca="false">IF(AND(BL$3&gt;$E$44,(BL$3&lt;=$I$15)),SUM($L$155:$DP$155)*$E$43/12,0)</f>
        <v>96620.9842486458</v>
      </c>
      <c r="BM156" s="7" t="n">
        <f aca="false">IF(AND(BM$3&gt;$E$44,(BM$3&lt;=$I$15)),SUM($L$155:$DP$155)*$E$43/12,0)</f>
        <v>96620.9842486458</v>
      </c>
      <c r="BN156" s="7" t="n">
        <f aca="false">IF(AND(BN$3&gt;$E$44,(BN$3&lt;=$I$15)),SUM($L$155:$DP$155)*$E$43/12,0)</f>
        <v>96620.9842486458</v>
      </c>
      <c r="BO156" s="7" t="n">
        <f aca="false">IF(AND(BO$3&gt;$E$44,(BO$3&lt;=$I$15)),SUM($L$155:$DP$155)*$E$43/12,0)</f>
        <v>96620.9842486458</v>
      </c>
      <c r="BP156" s="7" t="n">
        <f aca="false">IF(AND(BP$3&gt;$E$44,(BP$3&lt;=$I$15)),SUM($L$155:$DP$155)*$E$43/12,0)</f>
        <v>96620.9842486458</v>
      </c>
      <c r="BQ156" s="7" t="n">
        <f aca="false">IF(AND(BQ$3&gt;$E$44,(BQ$3&lt;=$I$15)),SUM($L$155:$DP$155)*$E$43/12,0)</f>
        <v>96620.9842486458</v>
      </c>
      <c r="BR156" s="7" t="n">
        <f aca="false">IF(AND(BR$3&gt;$E$44,(BR$3&lt;=$I$15)),SUM($L$155:$DP$155)*$E$43/12,0)</f>
        <v>96620.9842486458</v>
      </c>
      <c r="BS156" s="7" t="n">
        <f aca="false">IF(AND(BS$3&gt;$E$44,(BS$3&lt;=$I$15)),SUM($L$155:$DP$155)*$E$43/12,0)</f>
        <v>96620.9842486458</v>
      </c>
      <c r="BT156" s="7" t="n">
        <f aca="false">IF(AND(BT$3&gt;$E$44,(BT$3&lt;=$I$15)),SUM($L$155:$DP$155)*$E$43/12,0)</f>
        <v>96620.9842486458</v>
      </c>
      <c r="BU156" s="7" t="n">
        <f aca="false">IF(AND(BU$3&gt;$E$44,(BU$3&lt;=$I$15)),SUM($L$155:$DP$155)*$E$43/12,0)</f>
        <v>96620.9842486458</v>
      </c>
      <c r="BV156" s="7" t="n">
        <f aca="false">IF(AND(BV$3&gt;$E$44,(BV$3&lt;=$I$15)),SUM($L$155:$DP$155)*$E$43/12,0)</f>
        <v>96620.9842486458</v>
      </c>
      <c r="BW156" s="7" t="n">
        <f aca="false">IF(AND(BW$3&gt;$E$44,(BW$3&lt;=$I$15)),SUM($L$155:$DP$155)*$E$43/12,0)</f>
        <v>96620.9842486458</v>
      </c>
      <c r="BX156" s="7" t="n">
        <f aca="false">IF(AND(BX$3&gt;$E$44,(BX$3&lt;=$I$15)),SUM($L$155:$DP$155)*$E$43/12,0)</f>
        <v>96620.9842486458</v>
      </c>
      <c r="BY156" s="7" t="n">
        <f aca="false">IF(AND(BY$3&gt;$E$44,(BY$3&lt;=$I$15)),SUM($L$155:$DP$155)*$E$43/12,0)</f>
        <v>96620.9842486458</v>
      </c>
      <c r="BZ156" s="7" t="n">
        <f aca="false">IF(AND(BZ$3&gt;$E$44,(BZ$3&lt;=$I$15)),SUM($L$155:$DP$155)*$E$43/12,0)</f>
        <v>96620.9842486458</v>
      </c>
      <c r="CA156" s="7" t="n">
        <f aca="false">IF(AND(CA$3&gt;$E$44,(CA$3&lt;=$I$15)),SUM($L$155:$DP$155)*$E$43/12,0)</f>
        <v>96620.9842486458</v>
      </c>
      <c r="CB156" s="7" t="n">
        <f aca="false">IF(AND(CB$3&gt;$E$44,(CB$3&lt;=$I$15)),SUM($L$155:$DP$155)*$E$43/12,0)</f>
        <v>96620.9842486458</v>
      </c>
      <c r="CC156" s="7" t="n">
        <f aca="false">IF(AND(CC$3&gt;$E$44,(CC$3&lt;=$I$15)),SUM($L$155:$DP$155)*$E$43/12,0)</f>
        <v>96620.9842486458</v>
      </c>
      <c r="CD156" s="7" t="n">
        <f aca="false">IF(AND(CD$3&gt;$E$44,(CD$3&lt;=$I$15)),SUM($L$155:$DP$155)*$E$43/12,0)</f>
        <v>96620.9842486458</v>
      </c>
      <c r="CE156" s="7" t="n">
        <f aca="false">IF(AND(CE$3&gt;$E$44,(CE$3&lt;=$I$15)),SUM($L$155:$DP$155)*$E$43/12,0)</f>
        <v>96620.9842486458</v>
      </c>
      <c r="CF156" s="7" t="n">
        <f aca="false">IF(AND(CF$3&gt;$E$44,(CF$3&lt;=$I$15)),SUM($L$155:$DP$155)*$E$43/12,0)</f>
        <v>96620.9842486458</v>
      </c>
      <c r="CG156" s="7" t="n">
        <f aca="false">IF(AND(CG$3&gt;$E$44,(CG$3&lt;=$I$15)),SUM($L$155:$DP$155)*$E$43/12,0)</f>
        <v>96620.9842486458</v>
      </c>
      <c r="CH156" s="7" t="n">
        <f aca="false">IF(AND(CH$3&gt;$E$44,(CH$3&lt;=$I$15)),SUM($L$155:$DP$155)*$E$43/12,0)</f>
        <v>96620.9842486458</v>
      </c>
      <c r="CI156" s="7" t="n">
        <f aca="false">IF(AND(CI$3&gt;$E$44,(CI$3&lt;=$I$15)),SUM($L$155:$DP$155)*$E$43/12,0)</f>
        <v>96620.9842486458</v>
      </c>
      <c r="CJ156" s="7" t="n">
        <f aca="false">IF(AND(CJ$3&gt;$E$44,(CJ$3&lt;=$I$15)),SUM($L$155:$DP$155)*$E$43/12,0)</f>
        <v>96620.9842486458</v>
      </c>
      <c r="CK156" s="7" t="n">
        <f aca="false">IF(AND(CK$3&gt;$E$44,(CK$3&lt;=$I$15)),SUM($L$155:$DP$155)*$E$43/12,0)</f>
        <v>96620.9842486458</v>
      </c>
      <c r="CL156" s="7" t="n">
        <f aca="false">IF(AND(CL$3&gt;$E$44,(CL$3&lt;=$I$15)),SUM($L$155:$DP$155)*$E$43/12,0)</f>
        <v>96620.9842486458</v>
      </c>
      <c r="CM156" s="7" t="n">
        <f aca="false">IF(AND(CM$3&gt;$E$44,(CM$3&lt;=$I$15)),SUM($L$155:$DP$155)*$E$43/12,0)</f>
        <v>96620.9842486458</v>
      </c>
      <c r="CN156" s="7" t="n">
        <f aca="false">IF(AND(CN$3&gt;$E$44,(CN$3&lt;=$I$15)),SUM($L$155:$DP$155)*$E$43/12,0)</f>
        <v>96620.9842486458</v>
      </c>
      <c r="CO156" s="7" t="n">
        <f aca="false">IF(AND(CO$3&gt;$E$44,(CO$3&lt;=$I$15)),SUM($L$155:$DP$155)*$E$43/12,0)</f>
        <v>96620.9842486458</v>
      </c>
      <c r="CP156" s="7" t="n">
        <f aca="false">IF(AND(CP$3&gt;$E$44,(CP$3&lt;=$I$15)),SUM($L$155:$DP$155)*$E$43/12,0)</f>
        <v>96620.9842486458</v>
      </c>
      <c r="CQ156" s="7" t="n">
        <f aca="false">IF(AND(CQ$3&gt;$E$44,(CQ$3&lt;=$I$15)),SUM($L$155:$DP$155)*$E$43/12,0)</f>
        <v>96620.9842486458</v>
      </c>
      <c r="CR156" s="7" t="n">
        <f aca="false">IF(AND(CR$3&gt;$E$44,(CR$3&lt;=$I$15)),SUM($L$155:$DP$155)*$E$43/12,0)</f>
        <v>96620.9842486458</v>
      </c>
      <c r="CS156" s="7" t="n">
        <f aca="false">IF(AND(CS$3&gt;$E$44,(CS$3&lt;=$I$15)),SUM($L$155:$DP$155)*$E$43/12,0)</f>
        <v>96620.9842486458</v>
      </c>
      <c r="CT156" s="7" t="n">
        <f aca="false">IF(AND(CT$3&gt;$E$44,(CT$3&lt;=$I$15)),SUM($L$155:$DP$155)*$E$43/12,0)</f>
        <v>96620.9842486458</v>
      </c>
      <c r="CU156" s="7" t="n">
        <f aca="false">IF(AND(CU$3&gt;$E$44,(CU$3&lt;=$I$15)),SUM($L$155:$DP$155)*$E$43/12,0)</f>
        <v>96620.9842486458</v>
      </c>
      <c r="CV156" s="7" t="n">
        <f aca="false">IF(AND(CV$3&gt;$E$44,(CV$3&lt;=$I$15)),SUM($L$155:$DP$155)*$E$43/12,0)</f>
        <v>96620.9842486458</v>
      </c>
      <c r="CW156" s="7" t="n">
        <f aca="false">IF(AND(CW$3&gt;$E$44,(CW$3&lt;=$I$15)),SUM($L$155:$DP$155)*$E$43/12,0)</f>
        <v>96620.9842486458</v>
      </c>
      <c r="CX156" s="7" t="n">
        <f aca="false">IF(AND(CX$3&gt;$E$44,(CX$3&lt;=$I$15)),SUM($L$155:$DP$155)*$E$43/12,0)</f>
        <v>96620.9842486458</v>
      </c>
      <c r="CY156" s="7" t="n">
        <f aca="false">IF(AND(CY$3&gt;$E$44,(CY$3&lt;=$I$15)),SUM($L$155:$DP$155)*$E$43/12,0)</f>
        <v>96620.9842486458</v>
      </c>
      <c r="CZ156" s="7" t="n">
        <f aca="false">IF(AND(CZ$3&gt;$E$44,(CZ$3&lt;=$I$15)),SUM($L$155:$DP$155)*$E$43/12,0)</f>
        <v>96620.9842486458</v>
      </c>
      <c r="DA156" s="7" t="n">
        <f aca="false">IF(AND(DA$3&gt;$E$44,(DA$3&lt;=$I$15)),SUM($L$155:$DP$155)*$E$43/12,0)</f>
        <v>96620.9842486458</v>
      </c>
      <c r="DB156" s="7" t="n">
        <f aca="false">IF(AND(DB$3&gt;$E$44,(DB$3&lt;=$I$15)),SUM($L$155:$DP$155)*$E$43/12,0)</f>
        <v>96620.9842486458</v>
      </c>
      <c r="DC156" s="7" t="n">
        <f aca="false">IF(AND(DC$3&gt;$E$44,(DC$3&lt;=$I$15)),SUM($L$155:$DP$155)*$E$43/12,0)</f>
        <v>96620.9842486458</v>
      </c>
      <c r="DD156" s="7" t="n">
        <f aca="false">IF(AND(DD$3&gt;$E$44,(DD$3&lt;=$I$15)),SUM($L$155:$DP$155)*$E$43/12,0)</f>
        <v>96620.9842486458</v>
      </c>
      <c r="DE156" s="7" t="n">
        <f aca="false">IF(AND(DE$3&gt;$E$44,(DE$3&lt;=$I$15)),SUM($L$155:$DP$155)*$E$43/12,0)</f>
        <v>0</v>
      </c>
      <c r="DF156" s="7" t="n">
        <f aca="false">IF(AND(DF$3&gt;$E$44,(DF$3&lt;=$I$15)),SUM($L$155:$DP$155)*$E$43/12,0)</f>
        <v>0</v>
      </c>
      <c r="DG156" s="7" t="n">
        <f aca="false">IF(AND(DG$3&gt;$E$44,(DG$3&lt;=$I$15)),SUM($L$155:$DP$155)*$E$43/12,0)</f>
        <v>0</v>
      </c>
      <c r="DH156" s="7" t="n">
        <f aca="false">IF(AND(DH$3&gt;$E$44,(DH$3&lt;=$I$15)),SUM($L$155:$DP$155)*$E$43/12,0)</f>
        <v>0</v>
      </c>
      <c r="DI156" s="7" t="n">
        <f aca="false">IF(AND(DI$3&gt;$E$44,(DI$3&lt;=$I$15)),SUM($L$155:$DP$155)*$E$43/12,0)</f>
        <v>0</v>
      </c>
      <c r="DJ156" s="7" t="n">
        <f aca="false">IF(AND(DJ$3&gt;$E$44,(DJ$3&lt;=$I$15)),SUM($L$155:$DP$155)*$E$43/12,0)</f>
        <v>0</v>
      </c>
      <c r="DK156" s="7" t="n">
        <f aca="false">IF(AND(DK$3&gt;$E$44,(DK$3&lt;=$I$15)),SUM($L$155:$DP$155)*$E$43/12,0)</f>
        <v>0</v>
      </c>
      <c r="DL156" s="7" t="n">
        <f aca="false">IF(AND(DL$3&gt;$E$44,(DL$3&lt;=$I$15)),SUM($L$155:$DP$155)*$E$43/12,0)</f>
        <v>0</v>
      </c>
      <c r="DM156" s="7" t="n">
        <f aca="false">IF(AND(DM$3&gt;$E$44,(DM$3&lt;=$I$15)),SUM($L$155:$DP$155)*$E$43/12,0)</f>
        <v>0</v>
      </c>
      <c r="DN156" s="7" t="n">
        <f aca="false">IF(AND(DN$3&gt;$E$44,(DN$3&lt;=$I$15)),SUM($L$155:$DP$155)*$E$43/12,0)</f>
        <v>0</v>
      </c>
      <c r="DO156" s="7" t="n">
        <f aca="false">IF(AND(DO$3&gt;$E$44,(DO$3&lt;=$I$15)),SUM($L$155:$DP$155)*$E$43/12,0)</f>
        <v>0</v>
      </c>
      <c r="DP156" s="7" t="n">
        <f aca="false">IF(AND(DP$3&gt;$E$44,(DP$3&lt;=$I$15)),SUM($L$155:$DP$155)*$E$43/12,0)</f>
        <v>0</v>
      </c>
    </row>
    <row r="157" customFormat="false" ht="15" hidden="false" customHeight="false" outlineLevel="0" collapsed="false">
      <c r="B157" s="0" t="s">
        <v>94</v>
      </c>
      <c r="L157" s="7" t="n">
        <f aca="false">IF(L$3=$I$15,SUM($L$155:$DP$155),0)</f>
        <v>0</v>
      </c>
      <c r="M157" s="7" t="n">
        <f aca="false">IF(M$3=$I$15,SUM($L$155:$DP$155),0)</f>
        <v>0</v>
      </c>
      <c r="N157" s="7" t="n">
        <f aca="false">IF(N$3=$I$15,SUM($L$155:$DP$155),0)</f>
        <v>0</v>
      </c>
      <c r="O157" s="7" t="n">
        <f aca="false">IF(O$3=$I$15,SUM($L$155:$DP$155),0)</f>
        <v>0</v>
      </c>
      <c r="P157" s="7" t="n">
        <f aca="false">IF(P$3=$I$15,SUM($L$155:$DP$155),0)</f>
        <v>0</v>
      </c>
      <c r="Q157" s="7" t="n">
        <f aca="false">IF(Q$3=$I$15,SUM($L$155:$DP$155),0)</f>
        <v>0</v>
      </c>
      <c r="R157" s="7" t="n">
        <f aca="false">IF(R$3=$I$15,SUM($L$155:$DP$155),0)</f>
        <v>0</v>
      </c>
      <c r="S157" s="7" t="n">
        <f aca="false">IF(S$3=$I$15,SUM($L$155:$DP$155),0)</f>
        <v>0</v>
      </c>
      <c r="T157" s="7" t="n">
        <f aca="false">IF(T$3=$I$15,SUM($L$155:$DP$155),0)</f>
        <v>0</v>
      </c>
      <c r="U157" s="7" t="n">
        <f aca="false">IF(U$3=$I$15,SUM($L$155:$DP$155),0)</f>
        <v>0</v>
      </c>
      <c r="V157" s="7" t="n">
        <f aca="false">IF(V$3=$I$15,SUM($L$155:$DP$155),0)</f>
        <v>0</v>
      </c>
      <c r="W157" s="7" t="n">
        <f aca="false">IF(W$3=$I$15,SUM($L$155:$DP$155),0)</f>
        <v>0</v>
      </c>
      <c r="X157" s="7" t="n">
        <f aca="false">IF(X$3=$I$15,SUM($L$155:$DP$155),0)</f>
        <v>0</v>
      </c>
      <c r="Y157" s="7" t="n">
        <f aca="false">IF(Y$3=$I$15,SUM($L$155:$DP$155),0)</f>
        <v>0</v>
      </c>
      <c r="Z157" s="7" t="n">
        <f aca="false">IF(Z$3=$I$15,SUM($L$155:$DP$155),0)</f>
        <v>0</v>
      </c>
      <c r="AA157" s="7" t="n">
        <f aca="false">IF(AA$3=$I$15,SUM($L$155:$DP$155),0)</f>
        <v>0</v>
      </c>
      <c r="AB157" s="7" t="n">
        <f aca="false">IF(AB$3=$I$15,SUM($L$155:$DP$155),0)</f>
        <v>0</v>
      </c>
      <c r="AC157" s="7" t="n">
        <f aca="false">IF(AC$3=$I$15,SUM($L$155:$DP$155),0)</f>
        <v>0</v>
      </c>
      <c r="AD157" s="7" t="n">
        <f aca="false">IF(AD$3=$I$15,SUM($L$155:$DP$155),0)</f>
        <v>0</v>
      </c>
      <c r="AE157" s="7" t="n">
        <f aca="false">IF(AE$3=$I$15,SUM($L$155:$DP$155),0)</f>
        <v>0</v>
      </c>
      <c r="AF157" s="7" t="n">
        <f aca="false">IF(AF$3=$I$15,SUM($L$155:$DP$155),0)</f>
        <v>0</v>
      </c>
      <c r="AG157" s="7" t="n">
        <f aca="false">IF(AG$3=$I$15,SUM($L$155:$DP$155),0)</f>
        <v>0</v>
      </c>
      <c r="AH157" s="7" t="n">
        <f aca="false">IF(AH$3=$I$15,SUM($L$155:$DP$155),0)</f>
        <v>0</v>
      </c>
      <c r="AI157" s="7" t="n">
        <f aca="false">IF(AI$3=$I$15,SUM($L$155:$DP$155),0)</f>
        <v>0</v>
      </c>
      <c r="AJ157" s="7" t="n">
        <f aca="false">IF(AJ$3=$I$15,SUM($L$155:$DP$155),0)</f>
        <v>0</v>
      </c>
      <c r="AK157" s="7" t="n">
        <f aca="false">IF(AK$3=$I$15,SUM($L$155:$DP$155),0)</f>
        <v>0</v>
      </c>
      <c r="AL157" s="7" t="n">
        <f aca="false">IF(AL$3=$I$15,SUM($L$155:$DP$155),0)</f>
        <v>0</v>
      </c>
      <c r="AM157" s="7" t="n">
        <f aca="false">IF(AM$3=$I$15,SUM($L$155:$DP$155),0)</f>
        <v>0</v>
      </c>
      <c r="AN157" s="7" t="n">
        <f aca="false">IF(AN$3=$I$15,SUM($L$155:$DP$155),0)</f>
        <v>0</v>
      </c>
      <c r="AO157" s="7" t="n">
        <f aca="false">IF(AO$3=$I$15,SUM($L$155:$DP$155),0)</f>
        <v>0</v>
      </c>
      <c r="AP157" s="7" t="n">
        <f aca="false">IF(AP$3=$I$15,SUM($L$155:$DP$155),0)</f>
        <v>0</v>
      </c>
      <c r="AQ157" s="7" t="n">
        <f aca="false">IF(AQ$3=$I$15,SUM($L$155:$DP$155),0)</f>
        <v>0</v>
      </c>
      <c r="AR157" s="7" t="n">
        <f aca="false">IF(AR$3=$I$15,SUM($L$155:$DP$155),0)</f>
        <v>0</v>
      </c>
      <c r="AS157" s="7" t="n">
        <f aca="false">IF(AS$3=$I$15,SUM($L$155:$DP$155),0)</f>
        <v>0</v>
      </c>
      <c r="AT157" s="7" t="n">
        <f aca="false">IF(AT$3=$I$15,SUM($L$155:$DP$155),0)</f>
        <v>0</v>
      </c>
      <c r="AU157" s="7" t="n">
        <f aca="false">IF(AU$3=$I$15,SUM($L$155:$DP$155),0)</f>
        <v>0</v>
      </c>
      <c r="AV157" s="7" t="n">
        <f aca="false">IF(AV$3=$I$15,SUM($L$155:$DP$155),0)</f>
        <v>0</v>
      </c>
      <c r="AW157" s="7" t="n">
        <f aca="false">IF(AW$3=$I$15,SUM($L$155:$DP$155),0)</f>
        <v>0</v>
      </c>
      <c r="AX157" s="7" t="n">
        <f aca="false">IF(AX$3=$I$15,SUM($L$155:$DP$155),0)</f>
        <v>0</v>
      </c>
      <c r="AY157" s="7" t="n">
        <f aca="false">IF(AY$3=$I$15,SUM($L$155:$DP$155),0)</f>
        <v>0</v>
      </c>
      <c r="AZ157" s="7" t="n">
        <f aca="false">IF(AZ$3=$I$15,SUM($L$155:$DP$155),0)</f>
        <v>0</v>
      </c>
      <c r="BA157" s="7" t="n">
        <f aca="false">IF(BA$3=$I$15,SUM($L$155:$DP$155),0)</f>
        <v>0</v>
      </c>
      <c r="BB157" s="7" t="n">
        <f aca="false">IF(BB$3=$I$15,SUM($L$155:$DP$155),0)</f>
        <v>0</v>
      </c>
      <c r="BC157" s="7" t="n">
        <f aca="false">IF(BC$3=$I$15,SUM($L$155:$DP$155),0)</f>
        <v>0</v>
      </c>
      <c r="BD157" s="7" t="n">
        <f aca="false">IF(BD$3=$I$15,SUM($L$155:$DP$155),0)</f>
        <v>0</v>
      </c>
      <c r="BE157" s="7" t="n">
        <f aca="false">IF(BE$3=$I$15,SUM($L$155:$DP$155),0)</f>
        <v>0</v>
      </c>
      <c r="BF157" s="7" t="n">
        <f aca="false">IF(BF$3=$I$15,SUM($L$155:$DP$155),0)</f>
        <v>0</v>
      </c>
      <c r="BG157" s="7" t="n">
        <f aca="false">IF(BG$3=$I$15,SUM($L$155:$DP$155),0)</f>
        <v>0</v>
      </c>
      <c r="BH157" s="7" t="n">
        <f aca="false">IF(BH$3=$I$15,SUM($L$155:$DP$155),0)</f>
        <v>0</v>
      </c>
      <c r="BI157" s="7" t="n">
        <f aca="false">IF(BI$3=$I$15,SUM($L$155:$DP$155),0)</f>
        <v>0</v>
      </c>
      <c r="BJ157" s="7" t="n">
        <f aca="false">IF(BJ$3=$I$15,SUM($L$155:$DP$155),0)</f>
        <v>0</v>
      </c>
      <c r="BK157" s="7" t="n">
        <f aca="false">IF(BK$3=$I$15,SUM($L$155:$DP$155),0)</f>
        <v>0</v>
      </c>
      <c r="BL157" s="7" t="n">
        <f aca="false">IF(BL$3=$I$15,SUM($L$155:$DP$155),0)</f>
        <v>0</v>
      </c>
      <c r="BM157" s="7" t="n">
        <f aca="false">IF(BM$3=$I$15,SUM($L$155:$DP$155),0)</f>
        <v>0</v>
      </c>
      <c r="BN157" s="7" t="n">
        <f aca="false">IF(BN$3=$I$15,SUM($L$155:$DP$155),0)</f>
        <v>0</v>
      </c>
      <c r="BO157" s="7" t="n">
        <f aca="false">IF(BO$3=$I$15,SUM($L$155:$DP$155),0)</f>
        <v>0</v>
      </c>
      <c r="BP157" s="7" t="n">
        <f aca="false">IF(BP$3=$I$15,SUM($L$155:$DP$155),0)</f>
        <v>0</v>
      </c>
      <c r="BQ157" s="7" t="n">
        <f aca="false">IF(BQ$3=$I$15,SUM($L$155:$DP$155),0)</f>
        <v>0</v>
      </c>
      <c r="BR157" s="7" t="n">
        <f aca="false">IF(BR$3=$I$15,SUM($L$155:$DP$155),0)</f>
        <v>0</v>
      </c>
      <c r="BS157" s="7" t="n">
        <f aca="false">IF(BS$3=$I$15,SUM($L$155:$DP$155),0)</f>
        <v>0</v>
      </c>
      <c r="BT157" s="7" t="n">
        <f aca="false">IF(BT$3=$I$15,SUM($L$155:$DP$155),0)</f>
        <v>0</v>
      </c>
      <c r="BU157" s="7" t="n">
        <f aca="false">IF(BU$3=$I$15,SUM($L$155:$DP$155),0)</f>
        <v>0</v>
      </c>
      <c r="BV157" s="7" t="n">
        <f aca="false">IF(BV$3=$I$15,SUM($L$155:$DP$155),0)</f>
        <v>0</v>
      </c>
      <c r="BW157" s="7" t="n">
        <f aca="false">IF(BW$3=$I$15,SUM($L$155:$DP$155),0)</f>
        <v>0</v>
      </c>
      <c r="BX157" s="7" t="n">
        <f aca="false">IF(BX$3=$I$15,SUM($L$155:$DP$155),0)</f>
        <v>0</v>
      </c>
      <c r="BY157" s="7" t="n">
        <f aca="false">IF(BY$3=$I$15,SUM($L$155:$DP$155),0)</f>
        <v>0</v>
      </c>
      <c r="BZ157" s="7" t="n">
        <f aca="false">IF(BZ$3=$I$15,SUM($L$155:$DP$155),0)</f>
        <v>0</v>
      </c>
      <c r="CA157" s="7" t="n">
        <f aca="false">IF(CA$3=$I$15,SUM($L$155:$DP$155),0)</f>
        <v>0</v>
      </c>
      <c r="CB157" s="7" t="n">
        <f aca="false">IF(CB$3=$I$15,SUM($L$155:$DP$155),0)</f>
        <v>0</v>
      </c>
      <c r="CC157" s="7" t="n">
        <f aca="false">IF(CC$3=$I$15,SUM($L$155:$DP$155),0)</f>
        <v>0</v>
      </c>
      <c r="CD157" s="7" t="n">
        <f aca="false">IF(CD$3=$I$15,SUM($L$155:$DP$155),0)</f>
        <v>0</v>
      </c>
      <c r="CE157" s="7" t="n">
        <f aca="false">IF(CE$3=$I$15,SUM($L$155:$DP$155),0)</f>
        <v>0</v>
      </c>
      <c r="CF157" s="7" t="n">
        <f aca="false">IF(CF$3=$I$15,SUM($L$155:$DP$155),0)</f>
        <v>0</v>
      </c>
      <c r="CG157" s="7" t="n">
        <f aca="false">IF(CG$3=$I$15,SUM($L$155:$DP$155),0)</f>
        <v>0</v>
      </c>
      <c r="CH157" s="7" t="n">
        <f aca="false">IF(CH$3=$I$15,SUM($L$155:$DP$155),0)</f>
        <v>0</v>
      </c>
      <c r="CI157" s="7" t="n">
        <f aca="false">IF(CI$3=$I$15,SUM($L$155:$DP$155),0)</f>
        <v>0</v>
      </c>
      <c r="CJ157" s="7" t="n">
        <f aca="false">IF(CJ$3=$I$15,SUM($L$155:$DP$155),0)</f>
        <v>0</v>
      </c>
      <c r="CK157" s="7" t="n">
        <f aca="false">IF(CK$3=$I$15,SUM($L$155:$DP$155),0)</f>
        <v>0</v>
      </c>
      <c r="CL157" s="7" t="n">
        <f aca="false">IF(CL$3=$I$15,SUM($L$155:$DP$155),0)</f>
        <v>0</v>
      </c>
      <c r="CM157" s="7" t="n">
        <f aca="false">IF(CM$3=$I$15,SUM($L$155:$DP$155),0)</f>
        <v>0</v>
      </c>
      <c r="CN157" s="7" t="n">
        <f aca="false">IF(CN$3=$I$15,SUM($L$155:$DP$155),0)</f>
        <v>0</v>
      </c>
      <c r="CO157" s="7" t="n">
        <f aca="false">IF(CO$3=$I$15,SUM($L$155:$DP$155),0)</f>
        <v>0</v>
      </c>
      <c r="CP157" s="7" t="n">
        <f aca="false">IF(CP$3=$I$15,SUM($L$155:$DP$155),0)</f>
        <v>0</v>
      </c>
      <c r="CQ157" s="7" t="n">
        <f aca="false">IF(CQ$3=$I$15,SUM($L$155:$DP$155),0)</f>
        <v>0</v>
      </c>
      <c r="CR157" s="7" t="n">
        <f aca="false">IF(CR$3=$I$15,SUM($L$155:$DP$155),0)</f>
        <v>0</v>
      </c>
      <c r="CS157" s="7" t="n">
        <f aca="false">IF(CS$3=$I$15,SUM($L$155:$DP$155),0)</f>
        <v>0</v>
      </c>
      <c r="CT157" s="7" t="n">
        <f aca="false">IF(CT$3=$I$15,SUM($L$155:$DP$155),0)</f>
        <v>0</v>
      </c>
      <c r="CU157" s="7" t="n">
        <f aca="false">IF(CU$3=$I$15,SUM($L$155:$DP$155),0)</f>
        <v>0</v>
      </c>
      <c r="CV157" s="7" t="n">
        <f aca="false">IF(CV$3=$I$15,SUM($L$155:$DP$155),0)</f>
        <v>0</v>
      </c>
      <c r="CW157" s="7" t="n">
        <f aca="false">IF(CW$3=$I$15,SUM($L$155:$DP$155),0)</f>
        <v>0</v>
      </c>
      <c r="CX157" s="7" t="n">
        <f aca="false">IF(CX$3=$I$15,SUM($L$155:$DP$155),0)</f>
        <v>0</v>
      </c>
      <c r="CY157" s="7" t="n">
        <f aca="false">IF(CY$3=$I$15,SUM($L$155:$DP$155),0)</f>
        <v>0</v>
      </c>
      <c r="CZ157" s="7" t="n">
        <f aca="false">IF(CZ$3=$I$15,SUM($L$155:$DP$155),0)</f>
        <v>0</v>
      </c>
      <c r="DA157" s="7" t="n">
        <f aca="false">IF(DA$3=$I$15,SUM($L$155:$DP$155),0)</f>
        <v>0</v>
      </c>
      <c r="DB157" s="7" t="n">
        <f aca="false">IF(DB$3=$I$15,SUM($L$155:$DP$155),0)</f>
        <v>0</v>
      </c>
      <c r="DC157" s="7" t="n">
        <f aca="false">IF(DC$3=$I$15,SUM($L$155:$DP$155),0)</f>
        <v>0</v>
      </c>
      <c r="DD157" s="7" t="n">
        <f aca="false">IF(DD$3=$I$15,SUM($L$155:$DP$155),0)</f>
        <v>18551228.97574</v>
      </c>
      <c r="DE157" s="7" t="n">
        <f aca="false">IF(DE$3=$I$15,SUM($L$155:$DP$155),0)</f>
        <v>0</v>
      </c>
      <c r="DF157" s="7" t="n">
        <f aca="false">IF(DF$3=$I$15,SUM($L$155:$DP$155),0)</f>
        <v>0</v>
      </c>
      <c r="DG157" s="7" t="n">
        <f aca="false">IF(DG$3=$I$15,SUM($L$155:$DP$155),0)</f>
        <v>0</v>
      </c>
      <c r="DH157" s="7" t="n">
        <f aca="false">IF(DH$3=$I$15,SUM($L$155:$DP$155),0)</f>
        <v>0</v>
      </c>
      <c r="DI157" s="7" t="n">
        <f aca="false">IF(DI$3=$I$15,SUM($L$155:$DP$155),0)</f>
        <v>0</v>
      </c>
      <c r="DJ157" s="7" t="n">
        <f aca="false">IF(DJ$3=$I$15,SUM($L$155:$DP$155),0)</f>
        <v>0</v>
      </c>
      <c r="DK157" s="7" t="n">
        <f aca="false">IF(DK$3=$I$15,SUM($L$155:$DP$155),0)</f>
        <v>0</v>
      </c>
      <c r="DL157" s="7" t="n">
        <f aca="false">IF(DL$3=$I$15,SUM($L$155:$DP$155),0)</f>
        <v>0</v>
      </c>
      <c r="DM157" s="7" t="n">
        <f aca="false">IF(DM$3=$I$15,SUM($L$155:$DP$155),0)</f>
        <v>0</v>
      </c>
      <c r="DN157" s="7" t="n">
        <f aca="false">IF(DN$3=$I$15,SUM($L$155:$DP$155),0)</f>
        <v>0</v>
      </c>
      <c r="DO157" s="7" t="n">
        <f aca="false">IF(DO$3=$I$15,SUM($L$155:$DP$155),0)</f>
        <v>0</v>
      </c>
      <c r="DP157" s="7" t="n">
        <f aca="false">IF(DP$3=$I$15,SUM($L$155:$DP$155),0)</f>
        <v>0</v>
      </c>
    </row>
    <row r="160" customFormat="false" ht="15" hidden="false" customHeight="false" outlineLevel="0" collapsed="false">
      <c r="B160" s="0" t="s">
        <v>95</v>
      </c>
      <c r="L160" s="7" t="n">
        <f aca="false">IF(L$3=$I$15,SUMPRODUCT(($L$3:$DP$3&gt;$I$15-12)*($L$3:$DP$3&lt;=$I$15)*$L$145:$DP$145)*(1+$E$121)/$E$124,0)</f>
        <v>0</v>
      </c>
      <c r="M160" s="7" t="n">
        <f aca="false">IF(M$3=$I$15,SUMPRODUCT(($L$3:$DP$3&gt;$I$15-12)*($L$3:$DP$3&lt;=$I$15)*$L$145:$DP$145)*(1+$E$121)/$E$124,0)</f>
        <v>0</v>
      </c>
      <c r="N160" s="7" t="n">
        <f aca="false">IF(N$3=$I$15,SUMPRODUCT(($L$3:$DP$3&gt;$I$15-12)*($L$3:$DP$3&lt;=$I$15)*$L$145:$DP$145)*(1+$E$121)/$E$124,0)</f>
        <v>0</v>
      </c>
      <c r="O160" s="7" t="n">
        <f aca="false">IF(O$3=$I$15,SUMPRODUCT(($L$3:$DP$3&gt;$I$15-12)*($L$3:$DP$3&lt;=$I$15)*$L$145:$DP$145)*(1+$E$121)/$E$124,0)</f>
        <v>0</v>
      </c>
      <c r="P160" s="7" t="n">
        <f aca="false">IF(P$3=$I$15,SUMPRODUCT(($L$3:$DP$3&gt;$I$15-12)*($L$3:$DP$3&lt;=$I$15)*$L$145:$DP$145)*(1+$E$121)/$E$124,0)</f>
        <v>0</v>
      </c>
      <c r="Q160" s="7" t="n">
        <f aca="false">IF(Q$3=$I$15,SUMPRODUCT(($L$3:$DP$3&gt;$I$15-12)*($L$3:$DP$3&lt;=$I$15)*$L$145:$DP$145)*(1+$E$121)/$E$124,0)</f>
        <v>0</v>
      </c>
      <c r="R160" s="7" t="n">
        <f aca="false">IF(R$3=$I$15,SUMPRODUCT(($L$3:$DP$3&gt;$I$15-12)*($L$3:$DP$3&lt;=$I$15)*$L$145:$DP$145)*(1+$E$121)/$E$124,0)</f>
        <v>0</v>
      </c>
      <c r="S160" s="7" t="n">
        <f aca="false">IF(S$3=$I$15,SUMPRODUCT(($L$3:$DP$3&gt;$I$15-12)*($L$3:$DP$3&lt;=$I$15)*$L$145:$DP$145)*(1+$E$121)/$E$124,0)</f>
        <v>0</v>
      </c>
      <c r="T160" s="7" t="n">
        <f aca="false">IF(T$3=$I$15,SUMPRODUCT(($L$3:$DP$3&gt;$I$15-12)*($L$3:$DP$3&lt;=$I$15)*$L$145:$DP$145)*(1+$E$121)/$E$124,0)</f>
        <v>0</v>
      </c>
      <c r="U160" s="7" t="n">
        <f aca="false">IF(U$3=$I$15,SUMPRODUCT(($L$3:$DP$3&gt;$I$15-12)*($L$3:$DP$3&lt;=$I$15)*$L$145:$DP$145)*(1+$E$121)/$E$124,0)</f>
        <v>0</v>
      </c>
      <c r="V160" s="7" t="n">
        <f aca="false">IF(V$3=$I$15,SUMPRODUCT(($L$3:$DP$3&gt;$I$15-12)*($L$3:$DP$3&lt;=$I$15)*$L$145:$DP$145)*(1+$E$121)/$E$124,0)</f>
        <v>0</v>
      </c>
      <c r="W160" s="7" t="n">
        <f aca="false">IF(W$3=$I$15,SUMPRODUCT(($L$3:$DP$3&gt;$I$15-12)*($L$3:$DP$3&lt;=$I$15)*$L$145:$DP$145)*(1+$E$121)/$E$124,0)</f>
        <v>0</v>
      </c>
      <c r="X160" s="7" t="n">
        <f aca="false">IF(X$3=$I$15,SUMPRODUCT(($L$3:$DP$3&gt;$I$15-12)*($L$3:$DP$3&lt;=$I$15)*$L$145:$DP$145)*(1+$E$121)/$E$124,0)</f>
        <v>0</v>
      </c>
      <c r="Y160" s="7" t="n">
        <f aca="false">IF(Y$3=$I$15,SUMPRODUCT(($L$3:$DP$3&gt;$I$15-12)*($L$3:$DP$3&lt;=$I$15)*$L$145:$DP$145)*(1+$E$121)/$E$124,0)</f>
        <v>0</v>
      </c>
      <c r="Z160" s="7" t="n">
        <f aca="false">IF(Z$3=$I$15,SUMPRODUCT(($L$3:$DP$3&gt;$I$15-12)*($L$3:$DP$3&lt;=$I$15)*$L$145:$DP$145)*(1+$E$121)/$E$124,0)</f>
        <v>0</v>
      </c>
      <c r="AA160" s="7" t="n">
        <f aca="false">IF(AA$3=$I$15,SUMPRODUCT(($L$3:$DP$3&gt;$I$15-12)*($L$3:$DP$3&lt;=$I$15)*$L$145:$DP$145)*(1+$E$121)/$E$124,0)</f>
        <v>0</v>
      </c>
      <c r="AB160" s="7" t="n">
        <f aca="false">IF(AB$3=$I$15,SUMPRODUCT(($L$3:$DP$3&gt;$I$15-12)*($L$3:$DP$3&lt;=$I$15)*$L$145:$DP$145)*(1+$E$121)/$E$124,0)</f>
        <v>0</v>
      </c>
      <c r="AC160" s="7" t="n">
        <f aca="false">IF(AC$3=$I$15,SUMPRODUCT(($L$3:$DP$3&gt;$I$15-12)*($L$3:$DP$3&lt;=$I$15)*$L$145:$DP$145)*(1+$E$121)/$E$124,0)</f>
        <v>0</v>
      </c>
      <c r="AD160" s="7" t="n">
        <f aca="false">IF(AD$3=$I$15,SUMPRODUCT(($L$3:$DP$3&gt;$I$15-12)*($L$3:$DP$3&lt;=$I$15)*$L$145:$DP$145)*(1+$E$121)/$E$124,0)</f>
        <v>0</v>
      </c>
      <c r="AE160" s="7" t="n">
        <f aca="false">IF(AE$3=$I$15,SUMPRODUCT(($L$3:$DP$3&gt;$I$15-12)*($L$3:$DP$3&lt;=$I$15)*$L$145:$DP$145)*(1+$E$121)/$E$124,0)</f>
        <v>0</v>
      </c>
      <c r="AF160" s="7" t="n">
        <f aca="false">IF(AF$3=$I$15,SUMPRODUCT(($L$3:$DP$3&gt;$I$15-12)*($L$3:$DP$3&lt;=$I$15)*$L$145:$DP$145)*(1+$E$121)/$E$124,0)</f>
        <v>0</v>
      </c>
      <c r="AG160" s="7" t="n">
        <f aca="false">IF(AG$3=$I$15,SUMPRODUCT(($L$3:$DP$3&gt;$I$15-12)*($L$3:$DP$3&lt;=$I$15)*$L$145:$DP$145)*(1+$E$121)/$E$124,0)</f>
        <v>0</v>
      </c>
      <c r="AH160" s="7" t="n">
        <f aca="false">IF(AH$3=$I$15,SUMPRODUCT(($L$3:$DP$3&gt;$I$15-12)*($L$3:$DP$3&lt;=$I$15)*$L$145:$DP$145)*(1+$E$121)/$E$124,0)</f>
        <v>0</v>
      </c>
      <c r="AI160" s="7" t="n">
        <f aca="false">IF(AI$3=$I$15,SUMPRODUCT(($L$3:$DP$3&gt;$I$15-12)*($L$3:$DP$3&lt;=$I$15)*$L$145:$DP$145)*(1+$E$121)/$E$124,0)</f>
        <v>0</v>
      </c>
      <c r="AJ160" s="7" t="n">
        <f aca="false">IF(AJ$3=$I$15,SUMPRODUCT(($L$3:$DP$3&gt;$I$15-12)*($L$3:$DP$3&lt;=$I$15)*$L$145:$DP$145)*(1+$E$121)/$E$124,0)</f>
        <v>0</v>
      </c>
      <c r="AK160" s="7" t="n">
        <f aca="false">IF(AK$3=$I$15,SUMPRODUCT(($L$3:$DP$3&gt;$I$15-12)*($L$3:$DP$3&lt;=$I$15)*$L$145:$DP$145)*(1+$E$121)/$E$124,0)</f>
        <v>0</v>
      </c>
      <c r="AL160" s="7" t="n">
        <f aca="false">IF(AL$3=$I$15,SUMPRODUCT(($L$3:$DP$3&gt;$I$15-12)*($L$3:$DP$3&lt;=$I$15)*$L$145:$DP$145)*(1+$E$121)/$E$124,0)</f>
        <v>0</v>
      </c>
      <c r="AM160" s="7" t="n">
        <f aca="false">IF(AM$3=$I$15,SUMPRODUCT(($L$3:$DP$3&gt;$I$15-12)*($L$3:$DP$3&lt;=$I$15)*$L$145:$DP$145)*(1+$E$121)/$E$124,0)</f>
        <v>0</v>
      </c>
      <c r="AN160" s="7" t="n">
        <f aca="false">IF(AN$3=$I$15,SUMPRODUCT(($L$3:$DP$3&gt;$I$15-12)*($L$3:$DP$3&lt;=$I$15)*$L$145:$DP$145)*(1+$E$121)/$E$124,0)</f>
        <v>0</v>
      </c>
      <c r="AO160" s="7" t="n">
        <f aca="false">IF(AO$3=$I$15,SUMPRODUCT(($L$3:$DP$3&gt;$I$15-12)*($L$3:$DP$3&lt;=$I$15)*$L$145:$DP$145)*(1+$E$121)/$E$124,0)</f>
        <v>0</v>
      </c>
      <c r="AP160" s="7" t="n">
        <f aca="false">IF(AP$3=$I$15,SUMPRODUCT(($L$3:$DP$3&gt;$I$15-12)*($L$3:$DP$3&lt;=$I$15)*$L$145:$DP$145)*(1+$E$121)/$E$124,0)</f>
        <v>0</v>
      </c>
      <c r="AQ160" s="7" t="n">
        <f aca="false">IF(AQ$3=$I$15,SUMPRODUCT(($L$3:$DP$3&gt;$I$15-12)*($L$3:$DP$3&lt;=$I$15)*$L$145:$DP$145)*(1+$E$121)/$E$124,0)</f>
        <v>0</v>
      </c>
      <c r="AR160" s="7" t="n">
        <f aca="false">IF(AR$3=$I$15,SUMPRODUCT(($L$3:$DP$3&gt;$I$15-12)*($L$3:$DP$3&lt;=$I$15)*$L$145:$DP$145)*(1+$E$121)/$E$124,0)</f>
        <v>0</v>
      </c>
      <c r="AS160" s="7" t="n">
        <f aca="false">IF(AS$3=$I$15,SUMPRODUCT(($L$3:$DP$3&gt;$I$15-12)*($L$3:$DP$3&lt;=$I$15)*$L$145:$DP$145)*(1+$E$121)/$E$124,0)</f>
        <v>0</v>
      </c>
      <c r="AT160" s="7" t="n">
        <f aca="false">IF(AT$3=$I$15,SUMPRODUCT(($L$3:$DP$3&gt;$I$15-12)*($L$3:$DP$3&lt;=$I$15)*$L$145:$DP$145)*(1+$E$121)/$E$124,0)</f>
        <v>0</v>
      </c>
      <c r="AU160" s="7" t="n">
        <f aca="false">IF(AU$3=$I$15,SUMPRODUCT(($L$3:$DP$3&gt;$I$15-12)*($L$3:$DP$3&lt;=$I$15)*$L$145:$DP$145)*(1+$E$121)/$E$124,0)</f>
        <v>0</v>
      </c>
      <c r="AV160" s="7" t="n">
        <f aca="false">IF(AV$3=$I$15,SUMPRODUCT(($L$3:$DP$3&gt;$I$15-12)*($L$3:$DP$3&lt;=$I$15)*$L$145:$DP$145)*(1+$E$121)/$E$124,0)</f>
        <v>0</v>
      </c>
      <c r="AW160" s="7" t="n">
        <f aca="false">IF(AW$3=$I$15,SUMPRODUCT(($L$3:$DP$3&gt;$I$15-12)*($L$3:$DP$3&lt;=$I$15)*$L$145:$DP$145)*(1+$E$121)/$E$124,0)</f>
        <v>0</v>
      </c>
      <c r="AX160" s="7" t="n">
        <f aca="false">IF(AX$3=$I$15,SUMPRODUCT(($L$3:$DP$3&gt;$I$15-12)*($L$3:$DP$3&lt;=$I$15)*$L$145:$DP$145)*(1+$E$121)/$E$124,0)</f>
        <v>0</v>
      </c>
      <c r="AY160" s="7" t="n">
        <f aca="false">IF(AY$3=$I$15,SUMPRODUCT(($L$3:$DP$3&gt;$I$15-12)*($L$3:$DP$3&lt;=$I$15)*$L$145:$DP$145)*(1+$E$121)/$E$124,0)</f>
        <v>0</v>
      </c>
      <c r="AZ160" s="7" t="n">
        <f aca="false">IF(AZ$3=$I$15,SUMPRODUCT(($L$3:$DP$3&gt;$I$15-12)*($L$3:$DP$3&lt;=$I$15)*$L$145:$DP$145)*(1+$E$121)/$E$124,0)</f>
        <v>0</v>
      </c>
      <c r="BA160" s="7" t="n">
        <f aca="false">IF(BA$3=$I$15,SUMPRODUCT(($L$3:$DP$3&gt;$I$15-12)*($L$3:$DP$3&lt;=$I$15)*$L$145:$DP$145)*(1+$E$121)/$E$124,0)</f>
        <v>0</v>
      </c>
      <c r="BB160" s="7" t="n">
        <f aca="false">IF(BB$3=$I$15,SUMPRODUCT(($L$3:$DP$3&gt;$I$15-12)*($L$3:$DP$3&lt;=$I$15)*$L$145:$DP$145)*(1+$E$121)/$E$124,0)</f>
        <v>0</v>
      </c>
      <c r="BC160" s="7" t="n">
        <f aca="false">IF(BC$3=$I$15,SUMPRODUCT(($L$3:$DP$3&gt;$I$15-12)*($L$3:$DP$3&lt;=$I$15)*$L$145:$DP$145)*(1+$E$121)/$E$124,0)</f>
        <v>0</v>
      </c>
      <c r="BD160" s="7" t="n">
        <f aca="false">IF(BD$3=$I$15,SUMPRODUCT(($L$3:$DP$3&gt;$I$15-12)*($L$3:$DP$3&lt;=$I$15)*$L$145:$DP$145)*(1+$E$121)/$E$124,0)</f>
        <v>0</v>
      </c>
      <c r="BE160" s="7" t="n">
        <f aca="false">IF(BE$3=$I$15,SUMPRODUCT(($L$3:$DP$3&gt;$I$15-12)*($L$3:$DP$3&lt;=$I$15)*$L$145:$DP$145)*(1+$E$121)/$E$124,0)</f>
        <v>0</v>
      </c>
      <c r="BF160" s="7" t="n">
        <f aca="false">IF(BF$3=$I$15,SUMPRODUCT(($L$3:$DP$3&gt;$I$15-12)*($L$3:$DP$3&lt;=$I$15)*$L$145:$DP$145)*(1+$E$121)/$E$124,0)</f>
        <v>0</v>
      </c>
      <c r="BG160" s="7" t="n">
        <f aca="false">IF(BG$3=$I$15,SUMPRODUCT(($L$3:$DP$3&gt;$I$15-12)*($L$3:$DP$3&lt;=$I$15)*$L$145:$DP$145)*(1+$E$121)/$E$124,0)</f>
        <v>0</v>
      </c>
      <c r="BH160" s="7" t="n">
        <f aca="false">IF(BH$3=$I$15,SUMPRODUCT(($L$3:$DP$3&gt;$I$15-12)*($L$3:$DP$3&lt;=$I$15)*$L$145:$DP$145)*(1+$E$121)/$E$124,0)</f>
        <v>0</v>
      </c>
      <c r="BI160" s="7" t="n">
        <f aca="false">IF(BI$3=$I$15,SUMPRODUCT(($L$3:$DP$3&gt;$I$15-12)*($L$3:$DP$3&lt;=$I$15)*$L$145:$DP$145)*(1+$E$121)/$E$124,0)</f>
        <v>0</v>
      </c>
      <c r="BJ160" s="7" t="n">
        <f aca="false">IF(BJ$3=$I$15,SUMPRODUCT(($L$3:$DP$3&gt;$I$15-12)*($L$3:$DP$3&lt;=$I$15)*$L$145:$DP$145)*(1+$E$121)/$E$124,0)</f>
        <v>0</v>
      </c>
      <c r="BK160" s="7" t="n">
        <f aca="false">IF(BK$3=$I$15,SUMPRODUCT(($L$3:$DP$3&gt;$I$15-12)*($L$3:$DP$3&lt;=$I$15)*$L$145:$DP$145)*(1+$E$121)/$E$124,0)</f>
        <v>0</v>
      </c>
      <c r="BL160" s="7" t="n">
        <f aca="false">IF(BL$3=$I$15,SUMPRODUCT(($L$3:$DP$3&gt;$I$15-12)*($L$3:$DP$3&lt;=$I$15)*$L$145:$DP$145)*(1+$E$121)/$E$124,0)</f>
        <v>0</v>
      </c>
      <c r="BM160" s="7" t="n">
        <f aca="false">IF(BM$3=$I$15,SUMPRODUCT(($L$3:$DP$3&gt;$I$15-12)*($L$3:$DP$3&lt;=$I$15)*$L$145:$DP$145)*(1+$E$121)/$E$124,0)</f>
        <v>0</v>
      </c>
      <c r="BN160" s="7" t="n">
        <f aca="false">IF(BN$3=$I$15,SUMPRODUCT(($L$3:$DP$3&gt;$I$15-12)*($L$3:$DP$3&lt;=$I$15)*$L$145:$DP$145)*(1+$E$121)/$E$124,0)</f>
        <v>0</v>
      </c>
      <c r="BO160" s="7" t="n">
        <f aca="false">IF(BO$3=$I$15,SUMPRODUCT(($L$3:$DP$3&gt;$I$15-12)*($L$3:$DP$3&lt;=$I$15)*$L$145:$DP$145)*(1+$E$121)/$E$124,0)</f>
        <v>0</v>
      </c>
      <c r="BP160" s="7" t="n">
        <f aca="false">IF(BP$3=$I$15,SUMPRODUCT(($L$3:$DP$3&gt;$I$15-12)*($L$3:$DP$3&lt;=$I$15)*$L$145:$DP$145)*(1+$E$121)/$E$124,0)</f>
        <v>0</v>
      </c>
      <c r="BQ160" s="7" t="n">
        <f aca="false">IF(BQ$3=$I$15,SUMPRODUCT(($L$3:$DP$3&gt;$I$15-12)*($L$3:$DP$3&lt;=$I$15)*$L$145:$DP$145)*(1+$E$121)/$E$124,0)</f>
        <v>0</v>
      </c>
      <c r="BR160" s="7" t="n">
        <f aca="false">IF(BR$3=$I$15,SUMPRODUCT(($L$3:$DP$3&gt;$I$15-12)*($L$3:$DP$3&lt;=$I$15)*$L$145:$DP$145)*(1+$E$121)/$E$124,0)</f>
        <v>0</v>
      </c>
      <c r="BS160" s="7" t="n">
        <f aca="false">IF(BS$3=$I$15,SUMPRODUCT(($L$3:$DP$3&gt;$I$15-12)*($L$3:$DP$3&lt;=$I$15)*$L$145:$DP$145)*(1+$E$121)/$E$124,0)</f>
        <v>0</v>
      </c>
      <c r="BT160" s="7" t="n">
        <f aca="false">IF(BT$3=$I$15,SUMPRODUCT(($L$3:$DP$3&gt;$I$15-12)*($L$3:$DP$3&lt;=$I$15)*$L$145:$DP$145)*(1+$E$121)/$E$124,0)</f>
        <v>0</v>
      </c>
      <c r="BU160" s="7" t="n">
        <f aca="false">IF(BU$3=$I$15,SUMPRODUCT(($L$3:$DP$3&gt;$I$15-12)*($L$3:$DP$3&lt;=$I$15)*$L$145:$DP$145)*(1+$E$121)/$E$124,0)</f>
        <v>0</v>
      </c>
      <c r="BV160" s="7" t="n">
        <f aca="false">IF(BV$3=$I$15,SUMPRODUCT(($L$3:$DP$3&gt;$I$15-12)*($L$3:$DP$3&lt;=$I$15)*$L$145:$DP$145)*(1+$E$121)/$E$124,0)</f>
        <v>0</v>
      </c>
      <c r="BW160" s="7" t="n">
        <f aca="false">IF(BW$3=$I$15,SUMPRODUCT(($L$3:$DP$3&gt;$I$15-12)*($L$3:$DP$3&lt;=$I$15)*$L$145:$DP$145)*(1+$E$121)/$E$124,0)</f>
        <v>0</v>
      </c>
      <c r="BX160" s="7" t="n">
        <f aca="false">IF(BX$3=$I$15,SUMPRODUCT(($L$3:$DP$3&gt;$I$15-12)*($L$3:$DP$3&lt;=$I$15)*$L$145:$DP$145)*(1+$E$121)/$E$124,0)</f>
        <v>0</v>
      </c>
      <c r="BY160" s="7" t="n">
        <f aca="false">IF(BY$3=$I$15,SUMPRODUCT(($L$3:$DP$3&gt;$I$15-12)*($L$3:$DP$3&lt;=$I$15)*$L$145:$DP$145)*(1+$E$121)/$E$124,0)</f>
        <v>0</v>
      </c>
      <c r="BZ160" s="7" t="n">
        <f aca="false">IF(BZ$3=$I$15,SUMPRODUCT(($L$3:$DP$3&gt;$I$15-12)*($L$3:$DP$3&lt;=$I$15)*$L$145:$DP$145)*(1+$E$121)/$E$124,0)</f>
        <v>0</v>
      </c>
      <c r="CA160" s="7" t="n">
        <f aca="false">IF(CA$3=$I$15,SUMPRODUCT(($L$3:$DP$3&gt;$I$15-12)*($L$3:$DP$3&lt;=$I$15)*$L$145:$DP$145)*(1+$E$121)/$E$124,0)</f>
        <v>0</v>
      </c>
      <c r="CB160" s="7" t="n">
        <f aca="false">IF(CB$3=$I$15,SUMPRODUCT(($L$3:$DP$3&gt;$I$15-12)*($L$3:$DP$3&lt;=$I$15)*$L$145:$DP$145)*(1+$E$121)/$E$124,0)</f>
        <v>0</v>
      </c>
      <c r="CC160" s="7" t="n">
        <f aca="false">IF(CC$3=$I$15,SUMPRODUCT(($L$3:$DP$3&gt;$I$15-12)*($L$3:$DP$3&lt;=$I$15)*$L$145:$DP$145)*(1+$E$121)/$E$124,0)</f>
        <v>0</v>
      </c>
      <c r="CD160" s="7" t="n">
        <f aca="false">IF(CD$3=$I$15,SUMPRODUCT(($L$3:$DP$3&gt;$I$15-12)*($L$3:$DP$3&lt;=$I$15)*$L$145:$DP$145)*(1+$E$121)/$E$124,0)</f>
        <v>0</v>
      </c>
      <c r="CE160" s="7" t="n">
        <f aca="false">IF(CE$3=$I$15,SUMPRODUCT(($L$3:$DP$3&gt;$I$15-12)*($L$3:$DP$3&lt;=$I$15)*$L$145:$DP$145)*(1+$E$121)/$E$124,0)</f>
        <v>0</v>
      </c>
      <c r="CF160" s="7" t="n">
        <f aca="false">IF(CF$3=$I$15,SUMPRODUCT(($L$3:$DP$3&gt;$I$15-12)*($L$3:$DP$3&lt;=$I$15)*$L$145:$DP$145)*(1+$E$121)/$E$124,0)</f>
        <v>0</v>
      </c>
      <c r="CG160" s="7" t="n">
        <f aca="false">IF(CG$3=$I$15,SUMPRODUCT(($L$3:$DP$3&gt;$I$15-12)*($L$3:$DP$3&lt;=$I$15)*$L$145:$DP$145)*(1+$E$121)/$E$124,0)</f>
        <v>0</v>
      </c>
      <c r="CH160" s="7" t="n">
        <f aca="false">IF(CH$3=$I$15,SUMPRODUCT(($L$3:$DP$3&gt;$I$15-12)*($L$3:$DP$3&lt;=$I$15)*$L$145:$DP$145)*(1+$E$121)/$E$124,0)</f>
        <v>0</v>
      </c>
      <c r="CI160" s="7" t="n">
        <f aca="false">IF(CI$3=$I$15,SUMPRODUCT(($L$3:$DP$3&gt;$I$15-12)*($L$3:$DP$3&lt;=$I$15)*$L$145:$DP$145)*(1+$E$121)/$E$124,0)</f>
        <v>0</v>
      </c>
      <c r="CJ160" s="7" t="n">
        <f aca="false">IF(CJ$3=$I$15,SUMPRODUCT(($L$3:$DP$3&gt;$I$15-12)*($L$3:$DP$3&lt;=$I$15)*$L$145:$DP$145)*(1+$E$121)/$E$124,0)</f>
        <v>0</v>
      </c>
      <c r="CK160" s="7" t="n">
        <f aca="false">IF(CK$3=$I$15,SUMPRODUCT(($L$3:$DP$3&gt;$I$15-12)*($L$3:$DP$3&lt;=$I$15)*$L$145:$DP$145)*(1+$E$121)/$E$124,0)</f>
        <v>0</v>
      </c>
      <c r="CL160" s="7" t="n">
        <f aca="false">IF(CL$3=$I$15,SUMPRODUCT(($L$3:$DP$3&gt;$I$15-12)*($L$3:$DP$3&lt;=$I$15)*$L$145:$DP$145)*(1+$E$121)/$E$124,0)</f>
        <v>0</v>
      </c>
      <c r="CM160" s="7" t="n">
        <f aca="false">IF(CM$3=$I$15,SUMPRODUCT(($L$3:$DP$3&gt;$I$15-12)*($L$3:$DP$3&lt;=$I$15)*$L$145:$DP$145)*(1+$E$121)/$E$124,0)</f>
        <v>0</v>
      </c>
      <c r="CN160" s="7" t="n">
        <f aca="false">IF(CN$3=$I$15,SUMPRODUCT(($L$3:$DP$3&gt;$I$15-12)*($L$3:$DP$3&lt;=$I$15)*$L$145:$DP$145)*(1+$E$121)/$E$124,0)</f>
        <v>0</v>
      </c>
      <c r="CO160" s="7" t="n">
        <f aca="false">IF(CO$3=$I$15,SUMPRODUCT(($L$3:$DP$3&gt;$I$15-12)*($L$3:$DP$3&lt;=$I$15)*$L$145:$DP$145)*(1+$E$121)/$E$124,0)</f>
        <v>0</v>
      </c>
      <c r="CP160" s="7" t="n">
        <f aca="false">IF(CP$3=$I$15,SUMPRODUCT(($L$3:$DP$3&gt;$I$15-12)*($L$3:$DP$3&lt;=$I$15)*$L$145:$DP$145)*(1+$E$121)/$E$124,0)</f>
        <v>0</v>
      </c>
      <c r="CQ160" s="7" t="n">
        <f aca="false">IF(CQ$3=$I$15,SUMPRODUCT(($L$3:$DP$3&gt;$I$15-12)*($L$3:$DP$3&lt;=$I$15)*$L$145:$DP$145)*(1+$E$121)/$E$124,0)</f>
        <v>0</v>
      </c>
      <c r="CR160" s="7" t="n">
        <f aca="false">IF(CR$3=$I$15,SUMPRODUCT(($L$3:$DP$3&gt;$I$15-12)*($L$3:$DP$3&lt;=$I$15)*$L$145:$DP$145)*(1+$E$121)/$E$124,0)</f>
        <v>0</v>
      </c>
      <c r="CS160" s="7" t="n">
        <f aca="false">IF(CS$3=$I$15,SUMPRODUCT(($L$3:$DP$3&gt;$I$15-12)*($L$3:$DP$3&lt;=$I$15)*$L$145:$DP$145)*(1+$E$121)/$E$124,0)</f>
        <v>0</v>
      </c>
      <c r="CT160" s="7" t="n">
        <f aca="false">IF(CT$3=$I$15,SUMPRODUCT(($L$3:$DP$3&gt;$I$15-12)*($L$3:$DP$3&lt;=$I$15)*$L$145:$DP$145)*(1+$E$121)/$E$124,0)</f>
        <v>0</v>
      </c>
      <c r="CU160" s="7" t="n">
        <f aca="false">IF(CU$3=$I$15,SUMPRODUCT(($L$3:$DP$3&gt;$I$15-12)*($L$3:$DP$3&lt;=$I$15)*$L$145:$DP$145)*(1+$E$121)/$E$124,0)</f>
        <v>0</v>
      </c>
      <c r="CV160" s="7" t="n">
        <f aca="false">IF(CV$3=$I$15,SUMPRODUCT(($L$3:$DP$3&gt;$I$15-12)*($L$3:$DP$3&lt;=$I$15)*$L$145:$DP$145)*(1+$E$121)/$E$124,0)</f>
        <v>0</v>
      </c>
      <c r="CW160" s="7" t="n">
        <f aca="false">IF(CW$3=$I$15,SUMPRODUCT(($L$3:$DP$3&gt;$I$15-12)*($L$3:$DP$3&lt;=$I$15)*$L$145:$DP$145)*(1+$E$121)/$E$124,0)</f>
        <v>0</v>
      </c>
      <c r="CX160" s="7" t="n">
        <f aca="false">IF(CX$3=$I$15,SUMPRODUCT(($L$3:$DP$3&gt;$I$15-12)*($L$3:$DP$3&lt;=$I$15)*$L$145:$DP$145)*(1+$E$121)/$E$124,0)</f>
        <v>0</v>
      </c>
      <c r="CY160" s="7" t="n">
        <f aca="false">IF(CY$3=$I$15,SUMPRODUCT(($L$3:$DP$3&gt;$I$15-12)*($L$3:$DP$3&lt;=$I$15)*$L$145:$DP$145)*(1+$E$121)/$E$124,0)</f>
        <v>0</v>
      </c>
      <c r="CZ160" s="7" t="n">
        <f aca="false">IF(CZ$3=$I$15,SUMPRODUCT(($L$3:$DP$3&gt;$I$15-12)*($L$3:$DP$3&lt;=$I$15)*$L$145:$DP$145)*(1+$E$121)/$E$124,0)</f>
        <v>0</v>
      </c>
      <c r="DA160" s="7" t="n">
        <f aca="false">IF(DA$3=$I$15,SUMPRODUCT(($L$3:$DP$3&gt;$I$15-12)*($L$3:$DP$3&lt;=$I$15)*$L$145:$DP$145)*(1+$E$121)/$E$124,0)</f>
        <v>0</v>
      </c>
      <c r="DB160" s="7" t="n">
        <f aca="false">IF(DB$3=$I$15,SUMPRODUCT(($L$3:$DP$3&gt;$I$15-12)*($L$3:$DP$3&lt;=$I$15)*$L$145:$DP$145)*(1+$E$121)/$E$124,0)</f>
        <v>0</v>
      </c>
      <c r="DC160" s="7" t="n">
        <f aca="false">IF(DC$3=$I$15,SUMPRODUCT(($L$3:$DP$3&gt;$I$15-12)*($L$3:$DP$3&lt;=$I$15)*$L$145:$DP$145)*(1+$E$121)/$E$124,0)</f>
        <v>0</v>
      </c>
      <c r="DD160" s="7" t="n">
        <f aca="false">IF(DD$3=$I$15,SUMPRODUCT(($L$3:$DP$3&gt;$I$15-12)*($L$3:$DP$3&lt;=$I$15)*$L$145:$DP$145)*(1+$E$121)/$E$124,0)</f>
        <v>44445246.3564874</v>
      </c>
      <c r="DE160" s="7" t="n">
        <f aca="false">IF(DE$3=$I$15,SUMPRODUCT(($L$3:$DP$3&gt;$I$15-12)*($L$3:$DP$3&lt;=$I$15)*$L$145:$DP$145)*(1+$E$121)/$E$124,0)</f>
        <v>0</v>
      </c>
      <c r="DF160" s="7" t="n">
        <f aca="false">IF(DF$3=$I$15,SUMPRODUCT(($L$3:$DP$3&gt;$I$15-12)*($L$3:$DP$3&lt;=$I$15)*$L$145:$DP$145)*(1+$E$121)/$E$124,0)</f>
        <v>0</v>
      </c>
      <c r="DG160" s="7" t="n">
        <f aca="false">IF(DG$3=$I$15,SUMPRODUCT(($L$3:$DP$3&gt;$I$15-12)*($L$3:$DP$3&lt;=$I$15)*$L$145:$DP$145)*(1+$E$121)/$E$124,0)</f>
        <v>0</v>
      </c>
      <c r="DH160" s="7" t="n">
        <f aca="false">IF(DH$3=$I$15,SUMPRODUCT(($L$3:$DP$3&gt;$I$15-12)*($L$3:$DP$3&lt;=$I$15)*$L$145:$DP$145)*(1+$E$121)/$E$124,0)</f>
        <v>0</v>
      </c>
      <c r="DI160" s="7" t="n">
        <f aca="false">IF(DI$3=$I$15,SUMPRODUCT(($L$3:$DP$3&gt;$I$15-12)*($L$3:$DP$3&lt;=$I$15)*$L$145:$DP$145)*(1+$E$121)/$E$124,0)</f>
        <v>0</v>
      </c>
      <c r="DJ160" s="7" t="n">
        <f aca="false">IF(DJ$3=$I$15,SUMPRODUCT(($L$3:$DP$3&gt;$I$15-12)*($L$3:$DP$3&lt;=$I$15)*$L$145:$DP$145)*(1+$E$121)/$E$124,0)</f>
        <v>0</v>
      </c>
      <c r="DK160" s="7" t="n">
        <f aca="false">IF(DK$3=$I$15,SUMPRODUCT(($L$3:$DP$3&gt;$I$15-12)*($L$3:$DP$3&lt;=$I$15)*$L$145:$DP$145)*(1+$E$121)/$E$124,0)</f>
        <v>0</v>
      </c>
      <c r="DL160" s="7" t="n">
        <f aca="false">IF(DL$3=$I$15,SUMPRODUCT(($L$3:$DP$3&gt;$I$15-12)*($L$3:$DP$3&lt;=$I$15)*$L$145:$DP$145)*(1+$E$121)/$E$124,0)</f>
        <v>0</v>
      </c>
      <c r="DM160" s="7" t="n">
        <f aca="false">IF(DM$3=$I$15,SUMPRODUCT(($L$3:$DP$3&gt;$I$15-12)*($L$3:$DP$3&lt;=$I$15)*$L$145:$DP$145)*(1+$E$121)/$E$124,0)</f>
        <v>0</v>
      </c>
      <c r="DN160" s="7" t="n">
        <f aca="false">IF(DN$3=$I$15,SUMPRODUCT(($L$3:$DP$3&gt;$I$15-12)*($L$3:$DP$3&lt;=$I$15)*$L$145:$DP$145)*(1+$E$121)/$E$124,0)</f>
        <v>0</v>
      </c>
      <c r="DO160" s="7" t="n">
        <f aca="false">IF(DO$3=$I$15,SUMPRODUCT(($L$3:$DP$3&gt;$I$15-12)*($L$3:$DP$3&lt;=$I$15)*$L$145:$DP$145)*(1+$E$121)/$E$124,0)</f>
        <v>0</v>
      </c>
      <c r="DP160" s="7" t="n">
        <f aca="false">IF(DP$3=$I$15,SUMPRODUCT(($L$3:$DP$3&gt;$I$15-12)*($L$3:$DP$3&lt;=$I$15)*$L$145:$DP$145)*(1+$E$121)/$E$124,0)</f>
        <v>0</v>
      </c>
    </row>
    <row r="161" customFormat="false" ht="15" hidden="false" customHeight="false" outlineLevel="0" collapsed="false">
      <c r="B161" s="0" t="s">
        <v>78</v>
      </c>
      <c r="L161" s="7" t="n">
        <f aca="false">-L160*$E$125</f>
        <v>-0</v>
      </c>
      <c r="M161" s="7" t="n">
        <f aca="false">-M160*$E$125</f>
        <v>-0</v>
      </c>
      <c r="N161" s="7" t="n">
        <f aca="false">-N160*$E$125</f>
        <v>-0</v>
      </c>
      <c r="O161" s="7" t="n">
        <f aca="false">-O160*$E$125</f>
        <v>-0</v>
      </c>
      <c r="P161" s="7" t="n">
        <f aca="false">-P160*$E$125</f>
        <v>-0</v>
      </c>
      <c r="Q161" s="7" t="n">
        <f aca="false">-Q160*$E$125</f>
        <v>-0</v>
      </c>
      <c r="R161" s="7" t="n">
        <f aca="false">-R160*$E$125</f>
        <v>-0</v>
      </c>
      <c r="S161" s="7" t="n">
        <f aca="false">-S160*$E$125</f>
        <v>-0</v>
      </c>
      <c r="T161" s="7" t="n">
        <f aca="false">-T160*$E$125</f>
        <v>-0</v>
      </c>
      <c r="U161" s="7" t="n">
        <f aca="false">-U160*$E$125</f>
        <v>-0</v>
      </c>
      <c r="V161" s="7" t="n">
        <f aca="false">-V160*$E$125</f>
        <v>-0</v>
      </c>
      <c r="W161" s="7" t="n">
        <f aca="false">-W160*$E$125</f>
        <v>-0</v>
      </c>
      <c r="X161" s="7" t="n">
        <f aca="false">-X160*$E$125</f>
        <v>-0</v>
      </c>
      <c r="Y161" s="7" t="n">
        <f aca="false">-Y160*$E$125</f>
        <v>-0</v>
      </c>
      <c r="Z161" s="7" t="n">
        <f aca="false">-Z160*$E$125</f>
        <v>-0</v>
      </c>
      <c r="AA161" s="7" t="n">
        <f aca="false">-AA160*$E$125</f>
        <v>-0</v>
      </c>
      <c r="AB161" s="7" t="n">
        <f aca="false">-AB160*$E$125</f>
        <v>-0</v>
      </c>
      <c r="AC161" s="7" t="n">
        <f aca="false">-AC160*$E$125</f>
        <v>-0</v>
      </c>
      <c r="AD161" s="7" t="n">
        <f aca="false">-AD160*$E$125</f>
        <v>-0</v>
      </c>
      <c r="AE161" s="7" t="n">
        <f aca="false">-AE160*$E$125</f>
        <v>-0</v>
      </c>
      <c r="AF161" s="7" t="n">
        <f aca="false">-AF160*$E$125</f>
        <v>-0</v>
      </c>
      <c r="AG161" s="7" t="n">
        <f aca="false">-AG160*$E$125</f>
        <v>-0</v>
      </c>
      <c r="AH161" s="7" t="n">
        <f aca="false">-AH160*$E$125</f>
        <v>-0</v>
      </c>
      <c r="AI161" s="7" t="n">
        <f aca="false">-AI160*$E$125</f>
        <v>-0</v>
      </c>
      <c r="AJ161" s="7" t="n">
        <f aca="false">-AJ160*$E$125</f>
        <v>-0</v>
      </c>
      <c r="AK161" s="7" t="n">
        <f aca="false">-AK160*$E$125</f>
        <v>-0</v>
      </c>
      <c r="AL161" s="7" t="n">
        <f aca="false">-AL160*$E$125</f>
        <v>-0</v>
      </c>
      <c r="AM161" s="7" t="n">
        <f aca="false">-AM160*$E$125</f>
        <v>-0</v>
      </c>
      <c r="AN161" s="7" t="n">
        <f aca="false">-AN160*$E$125</f>
        <v>-0</v>
      </c>
      <c r="AO161" s="7" t="n">
        <f aca="false">-AO160*$E$125</f>
        <v>-0</v>
      </c>
      <c r="AP161" s="7" t="n">
        <f aca="false">-AP160*$E$125</f>
        <v>-0</v>
      </c>
      <c r="AQ161" s="7" t="n">
        <f aca="false">-AQ160*$E$125</f>
        <v>-0</v>
      </c>
      <c r="AR161" s="7" t="n">
        <f aca="false">-AR160*$E$125</f>
        <v>-0</v>
      </c>
      <c r="AS161" s="7" t="n">
        <f aca="false">-AS160*$E$125</f>
        <v>-0</v>
      </c>
      <c r="AT161" s="7" t="n">
        <f aca="false">-AT160*$E$125</f>
        <v>-0</v>
      </c>
      <c r="AU161" s="7" t="n">
        <f aca="false">-AU160*$E$125</f>
        <v>-0</v>
      </c>
      <c r="AV161" s="7" t="n">
        <f aca="false">-AV160*$E$125</f>
        <v>-0</v>
      </c>
      <c r="AW161" s="7" t="n">
        <f aca="false">-AW160*$E$125</f>
        <v>-0</v>
      </c>
      <c r="AX161" s="7" t="n">
        <f aca="false">-AX160*$E$125</f>
        <v>-0</v>
      </c>
      <c r="AY161" s="7" t="n">
        <f aca="false">-AY160*$E$125</f>
        <v>-0</v>
      </c>
      <c r="AZ161" s="7" t="n">
        <f aca="false">-AZ160*$E$125</f>
        <v>-0</v>
      </c>
      <c r="BA161" s="7" t="n">
        <f aca="false">-BA160*$E$125</f>
        <v>-0</v>
      </c>
      <c r="BB161" s="7" t="n">
        <f aca="false">-BB160*$E$125</f>
        <v>-0</v>
      </c>
      <c r="BC161" s="7" t="n">
        <f aca="false">-BC160*$E$125</f>
        <v>-0</v>
      </c>
      <c r="BD161" s="7" t="n">
        <f aca="false">-BD160*$E$125</f>
        <v>-0</v>
      </c>
      <c r="BE161" s="7" t="n">
        <f aca="false">-BE160*$E$125</f>
        <v>-0</v>
      </c>
      <c r="BF161" s="7" t="n">
        <f aca="false">-BF160*$E$125</f>
        <v>-0</v>
      </c>
      <c r="BG161" s="7" t="n">
        <f aca="false">-BG160*$E$125</f>
        <v>-0</v>
      </c>
      <c r="BH161" s="7" t="n">
        <f aca="false">-BH160*$E$125</f>
        <v>-0</v>
      </c>
      <c r="BI161" s="7" t="n">
        <f aca="false">-BI160*$E$125</f>
        <v>-0</v>
      </c>
      <c r="BJ161" s="7" t="n">
        <f aca="false">-BJ160*$E$125</f>
        <v>-0</v>
      </c>
      <c r="BK161" s="7" t="n">
        <f aca="false">-BK160*$E$125</f>
        <v>-0</v>
      </c>
      <c r="BL161" s="7" t="n">
        <f aca="false">-BL160*$E$125</f>
        <v>-0</v>
      </c>
      <c r="BM161" s="7" t="n">
        <f aca="false">-BM160*$E$125</f>
        <v>-0</v>
      </c>
      <c r="BN161" s="7" t="n">
        <f aca="false">-BN160*$E$125</f>
        <v>-0</v>
      </c>
      <c r="BO161" s="7" t="n">
        <f aca="false">-BO160*$E$125</f>
        <v>-0</v>
      </c>
      <c r="BP161" s="7" t="n">
        <f aca="false">-BP160*$E$125</f>
        <v>-0</v>
      </c>
      <c r="BQ161" s="7" t="n">
        <f aca="false">-BQ160*$E$125</f>
        <v>-0</v>
      </c>
      <c r="BR161" s="7" t="n">
        <f aca="false">-BR160*$E$125</f>
        <v>-0</v>
      </c>
      <c r="BS161" s="7" t="n">
        <f aca="false">-BS160*$E$125</f>
        <v>-0</v>
      </c>
      <c r="BT161" s="7" t="n">
        <f aca="false">-BT160*$E$125</f>
        <v>-0</v>
      </c>
      <c r="BU161" s="7" t="n">
        <f aca="false">-BU160*$E$125</f>
        <v>-0</v>
      </c>
      <c r="BV161" s="7" t="n">
        <f aca="false">-BV160*$E$125</f>
        <v>-0</v>
      </c>
      <c r="BW161" s="7" t="n">
        <f aca="false">-BW160*$E$125</f>
        <v>-0</v>
      </c>
      <c r="BX161" s="7" t="n">
        <f aca="false">-BX160*$E$125</f>
        <v>-0</v>
      </c>
      <c r="BY161" s="7" t="n">
        <f aca="false">-BY160*$E$125</f>
        <v>-0</v>
      </c>
      <c r="BZ161" s="7" t="n">
        <f aca="false">-BZ160*$E$125</f>
        <v>-0</v>
      </c>
      <c r="CA161" s="7" t="n">
        <f aca="false">-CA160*$E$125</f>
        <v>-0</v>
      </c>
      <c r="CB161" s="7" t="n">
        <f aca="false">-CB160*$E$125</f>
        <v>-0</v>
      </c>
      <c r="CC161" s="7" t="n">
        <f aca="false">-CC160*$E$125</f>
        <v>-0</v>
      </c>
      <c r="CD161" s="7" t="n">
        <f aca="false">-CD160*$E$125</f>
        <v>-0</v>
      </c>
      <c r="CE161" s="7" t="n">
        <f aca="false">-CE160*$E$125</f>
        <v>-0</v>
      </c>
      <c r="CF161" s="7" t="n">
        <f aca="false">-CF160*$E$125</f>
        <v>-0</v>
      </c>
      <c r="CG161" s="7" t="n">
        <f aca="false">-CG160*$E$125</f>
        <v>-0</v>
      </c>
      <c r="CH161" s="7" t="n">
        <f aca="false">-CH160*$E$125</f>
        <v>-0</v>
      </c>
      <c r="CI161" s="7" t="n">
        <f aca="false">-CI160*$E$125</f>
        <v>-0</v>
      </c>
      <c r="CJ161" s="7" t="n">
        <f aca="false">-CJ160*$E$125</f>
        <v>-0</v>
      </c>
      <c r="CK161" s="7" t="n">
        <f aca="false">-CK160*$E$125</f>
        <v>-0</v>
      </c>
      <c r="CL161" s="7" t="n">
        <f aca="false">-CL160*$E$125</f>
        <v>-0</v>
      </c>
      <c r="CM161" s="7" t="n">
        <f aca="false">-CM160*$E$125</f>
        <v>-0</v>
      </c>
      <c r="CN161" s="7" t="n">
        <f aca="false">-CN160*$E$125</f>
        <v>-0</v>
      </c>
      <c r="CO161" s="7" t="n">
        <f aca="false">-CO160*$E$125</f>
        <v>-0</v>
      </c>
      <c r="CP161" s="7" t="n">
        <f aca="false">-CP160*$E$125</f>
        <v>-0</v>
      </c>
      <c r="CQ161" s="7" t="n">
        <f aca="false">-CQ160*$E$125</f>
        <v>-0</v>
      </c>
      <c r="CR161" s="7" t="n">
        <f aca="false">-CR160*$E$125</f>
        <v>-0</v>
      </c>
      <c r="CS161" s="7" t="n">
        <f aca="false">-CS160*$E$125</f>
        <v>-0</v>
      </c>
      <c r="CT161" s="7" t="n">
        <f aca="false">-CT160*$E$125</f>
        <v>-0</v>
      </c>
      <c r="CU161" s="7" t="n">
        <f aca="false">-CU160*$E$125</f>
        <v>-0</v>
      </c>
      <c r="CV161" s="7" t="n">
        <f aca="false">-CV160*$E$125</f>
        <v>-0</v>
      </c>
      <c r="CW161" s="7" t="n">
        <f aca="false">-CW160*$E$125</f>
        <v>-0</v>
      </c>
      <c r="CX161" s="7" t="n">
        <f aca="false">-CX160*$E$125</f>
        <v>-0</v>
      </c>
      <c r="CY161" s="7" t="n">
        <f aca="false">-CY160*$E$125</f>
        <v>-0</v>
      </c>
      <c r="CZ161" s="7" t="n">
        <f aca="false">-CZ160*$E$125</f>
        <v>-0</v>
      </c>
      <c r="DA161" s="7" t="n">
        <f aca="false">-DA160*$E$125</f>
        <v>-0</v>
      </c>
      <c r="DB161" s="7" t="n">
        <f aca="false">-DB160*$E$125</f>
        <v>-0</v>
      </c>
      <c r="DC161" s="7" t="n">
        <f aca="false">-DC160*$E$125</f>
        <v>-0</v>
      </c>
      <c r="DD161" s="7" t="n">
        <f aca="false">-DD160*$E$125</f>
        <v>-888904.927129748</v>
      </c>
      <c r="DE161" s="7" t="n">
        <f aca="false">-DE160*$E$125</f>
        <v>-0</v>
      </c>
      <c r="DF161" s="7" t="n">
        <f aca="false">-DF160*$E$125</f>
        <v>-0</v>
      </c>
      <c r="DG161" s="7" t="n">
        <f aca="false">-DG160*$E$125</f>
        <v>-0</v>
      </c>
      <c r="DH161" s="7" t="n">
        <f aca="false">-DH160*$E$125</f>
        <v>-0</v>
      </c>
      <c r="DI161" s="7" t="n">
        <f aca="false">-DI160*$E$125</f>
        <v>-0</v>
      </c>
      <c r="DJ161" s="7" t="n">
        <f aca="false">-DJ160*$E$125</f>
        <v>-0</v>
      </c>
      <c r="DK161" s="7" t="n">
        <f aca="false">-DK160*$E$125</f>
        <v>-0</v>
      </c>
      <c r="DL161" s="7" t="n">
        <f aca="false">-DL160*$E$125</f>
        <v>-0</v>
      </c>
      <c r="DM161" s="7" t="n">
        <f aca="false">-DM160*$E$125</f>
        <v>-0</v>
      </c>
      <c r="DN161" s="7" t="n">
        <f aca="false">-DN160*$E$125</f>
        <v>-0</v>
      </c>
      <c r="DO161" s="7" t="n">
        <f aca="false">-DO160*$E$125</f>
        <v>-0</v>
      </c>
      <c r="DP161" s="7" t="n">
        <f aca="false">-DP160*$E$125</f>
        <v>-0</v>
      </c>
    </row>
    <row r="210" customFormat="false" ht="15" hidden="false" customHeight="false" outlineLevel="0" collapsed="false">
      <c r="G210" s="0" t="s">
        <v>96</v>
      </c>
      <c r="H210" s="0" t="s">
        <v>6</v>
      </c>
      <c r="I210" s="0" t="s">
        <v>97</v>
      </c>
    </row>
    <row r="211" customFormat="false" ht="15" hidden="false" customHeight="false" outlineLevel="0" collapsed="false">
      <c r="B211" s="0" t="s">
        <v>98</v>
      </c>
      <c r="G211" s="2" t="n">
        <f aca="false">SUMIF($L$211:$DP$211,"&gt;0")/-SUMIF($L$211:$DP$211,"&lt;0")</f>
        <v>2.10175492337102</v>
      </c>
      <c r="H211" s="1" t="n">
        <f aca="true">XIRR(OFFSET($L$211,0,0,1,$I$15+1),OFFSET($L$24,0,0,1,$I$15+1))</f>
        <v>0.119153377692772</v>
      </c>
      <c r="I211" s="4" t="n">
        <f aca="false">SUM($L$211:$DP$211)</f>
        <v>30254241.5022916</v>
      </c>
      <c r="L211" s="7" t="n">
        <f aca="false">(L$3&lt;=$I$15)*(-L150+L145+L160+L161)</f>
        <v>-9898000</v>
      </c>
      <c r="M211" s="7" t="n">
        <f aca="false">(M$3&lt;=$I$15)*(-M150+M145+M160+M161)</f>
        <v>-116268.56</v>
      </c>
      <c r="N211" s="7" t="n">
        <f aca="false">(N$3&lt;=$I$15)*(-N150+N145+N160+N161)</f>
        <v>-282268.56</v>
      </c>
      <c r="O211" s="7" t="n">
        <f aca="false">(O$3&lt;=$I$15)*(-O150+O145+O160+O161)</f>
        <v>-282268.56</v>
      </c>
      <c r="P211" s="7" t="n">
        <f aca="false">(P$3&lt;=$I$15)*(-P150+P145+P160+P161)</f>
        <v>-430714.042423751</v>
      </c>
      <c r="Q211" s="7" t="n">
        <f aca="false">(Q$3&lt;=$I$15)*(-Q150+Q145+Q160+Q161)</f>
        <v>-719125.821526038</v>
      </c>
      <c r="R211" s="7" t="n">
        <f aca="false">(R$3&lt;=$I$15)*(-R150+R145+R160+R161)</f>
        <v>-982587.785401152</v>
      </c>
      <c r="S211" s="7" t="n">
        <f aca="false">(S$3&lt;=$I$15)*(-S150+S145+S160+S161)</f>
        <v>-1206064.35634407</v>
      </c>
      <c r="T211" s="7" t="n">
        <f aca="false">(T$3&lt;=$I$15)*(-T150+T145+T160+T161)</f>
        <v>-1376819.42699296</v>
      </c>
      <c r="U211" s="7" t="n">
        <f aca="false">(U$3&lt;=$I$15)*(-U150+U145+U160+U161)</f>
        <v>-1319147.97074859</v>
      </c>
      <c r="V211" s="7" t="n">
        <f aca="false">(V$3&lt;=$I$15)*(-V150+V145+V160+V161)</f>
        <v>-1358932.61720823</v>
      </c>
      <c r="W211" s="7" t="n">
        <f aca="false">(W$3&lt;=$I$15)*(-W150+W145+W160+W161)</f>
        <v>-1327993.10001828</v>
      </c>
      <c r="X211" s="7" t="n">
        <f aca="false">(X$3&lt;=$I$15)*(-X150+X145+X160+X161)</f>
        <v>-1333324.23723379</v>
      </c>
      <c r="Y211" s="7" t="n">
        <f aca="false">(Y$3&lt;=$I$15)*(-Y150+Y145+Y160+Y161)</f>
        <v>-1368073.93410617</v>
      </c>
      <c r="Z211" s="7" t="n">
        <f aca="false">(Z$3&lt;=$I$15)*(-Z150+Z145+Z160+Z161)</f>
        <v>-1312732.85897386</v>
      </c>
      <c r="AA211" s="7" t="n">
        <f aca="false">(AA$3&lt;=$I$15)*(-AA150+AA145+AA160+AA161)</f>
        <v>-1160371.11074976</v>
      </c>
      <c r="AB211" s="7" t="n">
        <f aca="false">(AB$3&lt;=$I$15)*(-AB150+AB145+AB160+AB161)</f>
        <v>-913141.961509331</v>
      </c>
      <c r="AC211" s="7" t="n">
        <f aca="false">(AC$3&lt;=$I$15)*(-AC150+AC145+AC160+AC161)</f>
        <v>-725251.513619198</v>
      </c>
      <c r="AD211" s="7" t="n">
        <f aca="false">(AD$3&lt;=$I$15)*(-AD150+AD145+AD160+AD161)</f>
        <v>-609682.225927644</v>
      </c>
      <c r="AE211" s="7" t="n">
        <f aca="false">(AE$3&lt;=$I$15)*(-AE150+AE145+AE160+AE161)</f>
        <v>-473458.35688789</v>
      </c>
      <c r="AF211" s="7" t="n">
        <f aca="false">(AF$3&lt;=$I$15)*(-AF150+AF145+AF160+AF161)</f>
        <v>-263819.568329289</v>
      </c>
      <c r="AG211" s="7" t="n">
        <f aca="false">(AG$3&lt;=$I$15)*(-AG150+AG145+AG160+AG161)</f>
        <v>91865.188</v>
      </c>
      <c r="AH211" s="7" t="n">
        <f aca="false">(AH$3&lt;=$I$15)*(-AH150+AH145+AH160+AH161)</f>
        <v>91865.188</v>
      </c>
      <c r="AI211" s="7" t="n">
        <f aca="false">(AI$3&lt;=$I$15)*(-AI150+AI145+AI160+AI161)</f>
        <v>105783.5715</v>
      </c>
      <c r="AJ211" s="7" t="n">
        <f aca="false">(AJ$3&lt;=$I$15)*(-AJ150+AJ145+AJ160+AJ161)</f>
        <v>105208.853645</v>
      </c>
      <c r="AK211" s="7" t="n">
        <f aca="false">(AK$3&lt;=$I$15)*(-AK150+AK145+AK160+AK161)</f>
        <v>135753.705085</v>
      </c>
      <c r="AL211" s="7" t="n">
        <f aca="false">(AL$3&lt;=$I$15)*(-AL150+AL145+AL160+AL161)</f>
        <v>135753.705085</v>
      </c>
      <c r="AM211" s="7" t="n">
        <f aca="false">(AM$3&lt;=$I$15)*(-AM150+AM145+AM160+AM161)</f>
        <v>147457.399375</v>
      </c>
      <c r="AN211" s="7" t="n">
        <f aca="false">(AN$3&lt;=$I$15)*(-AN150+AN145+AN160+AN161)</f>
        <v>147457.399375</v>
      </c>
      <c r="AO211" s="7" t="n">
        <f aca="false">(AO$3&lt;=$I$15)*(-AO150+AO145+AO160+AO161)</f>
        <v>157225.272711667</v>
      </c>
      <c r="AP211" s="7" t="n">
        <f aca="false">(AP$3&lt;=$I$15)*(-AP150+AP145+AP160+AP161)</f>
        <v>157225.272711667</v>
      </c>
      <c r="AQ211" s="7" t="n">
        <f aca="false">(AQ$3&lt;=$I$15)*(-AQ150+AQ145+AQ160+AQ161)</f>
        <v>173307.275575</v>
      </c>
      <c r="AR211" s="7" t="n">
        <f aca="false">(AR$3&lt;=$I$15)*(-AR150+AR145+AR160+AR161)</f>
        <v>173307.275575</v>
      </c>
      <c r="AS211" s="7" t="n">
        <f aca="false">(AS$3&lt;=$I$15)*(-AS150+AS145+AS160+AS161)</f>
        <v>173307.275575</v>
      </c>
      <c r="AT211" s="7" t="n">
        <f aca="false">(AT$3&lt;=$I$15)*(-AT150+AT145+AT160+AT161)</f>
        <v>173307.275575</v>
      </c>
      <c r="AU211" s="7" t="n">
        <f aca="false">(AU$3&lt;=$I$15)*(-AU150+AU145+AU160+AU161)</f>
        <v>173656.400575</v>
      </c>
      <c r="AV211" s="7" t="n">
        <f aca="false">(AV$3&lt;=$I$15)*(-AV150+AV145+AV160+AV161)</f>
        <v>173420.19384225</v>
      </c>
      <c r="AW211" s="7" t="n">
        <f aca="false">(AW$3&lt;=$I$15)*(-AW150+AW145+AW160+AW161)</f>
        <v>174175.44384225</v>
      </c>
      <c r="AX211" s="7" t="n">
        <f aca="false">(AX$3&lt;=$I$15)*(-AX150+AX145+AX160+AX161)</f>
        <v>174175.44384225</v>
      </c>
      <c r="AY211" s="7" t="n">
        <f aca="false">(AY$3&lt;=$I$15)*(-AY150+AY145+AY160+AY161)</f>
        <v>174466.14384225</v>
      </c>
      <c r="AZ211" s="7" t="n">
        <f aca="false">(AZ$3&lt;=$I$15)*(-AZ150+AZ145+AZ160+AZ161)</f>
        <v>174466.14384225</v>
      </c>
      <c r="BA211" s="7" t="n">
        <f aca="false">(BA$3&lt;=$I$15)*(-BA150+BA145+BA160+BA161)</f>
        <v>174712.19384225</v>
      </c>
      <c r="BB211" s="7" t="n">
        <f aca="false">(BB$3&lt;=$I$15)*(-BB150+BB145+BB160+BB161)</f>
        <v>174712.19384225</v>
      </c>
      <c r="BC211" s="7" t="n">
        <f aca="false">(BC$3&lt;=$I$15)*(-BC150+BC145+BC160+BC161)</f>
        <v>175107.39384225</v>
      </c>
      <c r="BD211" s="7" t="n">
        <f aca="false">(BD$3&lt;=$I$15)*(-BD150+BD145+BD160+BD161)</f>
        <v>175107.39384225</v>
      </c>
      <c r="BE211" s="7" t="n">
        <f aca="false">(BE$3&lt;=$I$15)*(-BE150+BE145+BE160+BE161)</f>
        <v>175107.39384225</v>
      </c>
      <c r="BF211" s="7" t="n">
        <f aca="false">(BF$3&lt;=$I$15)*(-BF150+BF145+BF160+BF161)</f>
        <v>175107.39384225</v>
      </c>
      <c r="BG211" s="7" t="n">
        <f aca="false">(BG$3&lt;=$I$15)*(-BG150+BG145+BG160+BG161)</f>
        <v>175466.99259225</v>
      </c>
      <c r="BH211" s="7" t="n">
        <f aca="false">(BH$3&lt;=$I$15)*(-BH150+BH145+BH160+BH161)</f>
        <v>175223.699657517</v>
      </c>
      <c r="BI211" s="7" t="n">
        <f aca="false">(BI$3&lt;=$I$15)*(-BI150+BI145+BI160+BI161)</f>
        <v>176001.607157517</v>
      </c>
      <c r="BJ211" s="7" t="n">
        <f aca="false">(BJ$3&lt;=$I$15)*(-BJ150+BJ145+BJ160+BJ161)</f>
        <v>176001.607157517</v>
      </c>
      <c r="BK211" s="7" t="n">
        <f aca="false">(BK$3&lt;=$I$15)*(-BK150+BK145+BK160+BK161)</f>
        <v>176301.028157518</v>
      </c>
      <c r="BL211" s="7" t="n">
        <f aca="false">(BL$3&lt;=$I$15)*(-BL150+BL145+BL160+BL161)</f>
        <v>176301.028157518</v>
      </c>
      <c r="BM211" s="7" t="n">
        <f aca="false">(BM$3&lt;=$I$15)*(-BM150+BM145+BM160+BM161)</f>
        <v>176554.459657517</v>
      </c>
      <c r="BN211" s="7" t="n">
        <f aca="false">(BN$3&lt;=$I$15)*(-BN150+BN145+BN160+BN161)</f>
        <v>176554.459657517</v>
      </c>
      <c r="BO211" s="7" t="n">
        <f aca="false">(BO$3&lt;=$I$15)*(-BO150+BO145+BO160+BO161)</f>
        <v>176961.515657518</v>
      </c>
      <c r="BP211" s="7" t="n">
        <f aca="false">(BP$3&lt;=$I$15)*(-BP150+BP145+BP160+BP161)</f>
        <v>176961.515657518</v>
      </c>
      <c r="BQ211" s="7" t="n">
        <f aca="false">(BQ$3&lt;=$I$15)*(-BQ150+BQ145+BQ160+BQ161)</f>
        <v>176961.515657518</v>
      </c>
      <c r="BR211" s="7" t="n">
        <f aca="false">(BR$3&lt;=$I$15)*(-BR150+BR145+BR160+BR161)</f>
        <v>176961.515657518</v>
      </c>
      <c r="BS211" s="7" t="n">
        <f aca="false">(BS$3&lt;=$I$15)*(-BS150+BS145+BS160+BS161)</f>
        <v>177331.902370018</v>
      </c>
      <c r="BT211" s="7" t="n">
        <f aca="false">(BT$3&lt;=$I$15)*(-BT150+BT145+BT160+BT161)</f>
        <v>177081.310647243</v>
      </c>
      <c r="BU211" s="7" t="n">
        <f aca="false">(BU$3&lt;=$I$15)*(-BU150+BU145+BU160+BU161)</f>
        <v>177882.555372243</v>
      </c>
      <c r="BV211" s="7" t="n">
        <f aca="false">(BV$3&lt;=$I$15)*(-BV150+BV145+BV160+BV161)</f>
        <v>177882.555372243</v>
      </c>
      <c r="BW211" s="7" t="n">
        <f aca="false">(BW$3&lt;=$I$15)*(-BW150+BW145+BW160+BW161)</f>
        <v>178190.959002243</v>
      </c>
      <c r="BX211" s="7" t="n">
        <f aca="false">(BX$3&lt;=$I$15)*(-BX150+BX145+BX160+BX161)</f>
        <v>178190.959002243</v>
      </c>
      <c r="BY211" s="7" t="n">
        <f aca="false">(BY$3&lt;=$I$15)*(-BY150+BY145+BY160+BY161)</f>
        <v>178451.993447243</v>
      </c>
      <c r="BZ211" s="7" t="n">
        <f aca="false">(BZ$3&lt;=$I$15)*(-BZ150+BZ145+BZ160+BZ161)</f>
        <v>178451.993447243</v>
      </c>
      <c r="CA211" s="7" t="n">
        <f aca="false">(CA$3&lt;=$I$15)*(-CA150+CA145+CA160+CA161)</f>
        <v>178871.261127243</v>
      </c>
      <c r="CB211" s="7" t="n">
        <f aca="false">(CB$3&lt;=$I$15)*(-CB150+CB145+CB160+CB161)</f>
        <v>178871.261127243</v>
      </c>
      <c r="CC211" s="7" t="n">
        <f aca="false">(CC$3&lt;=$I$15)*(-CC150+CC145+CC160+CC161)</f>
        <v>178871.261127243</v>
      </c>
      <c r="CD211" s="7" t="n">
        <f aca="false">(CD$3&lt;=$I$15)*(-CD150+CD145+CD160+CD161)</f>
        <v>178871.261127243</v>
      </c>
      <c r="CE211" s="7" t="n">
        <f aca="false">(CE$3&lt;=$I$15)*(-CE150+CE145+CE160+CE161)</f>
        <v>179252.759441118</v>
      </c>
      <c r="CF211" s="7" t="n">
        <f aca="false">(CF$3&lt;=$I$15)*(-CF150+CF145+CF160+CF161)</f>
        <v>178994.64996666</v>
      </c>
      <c r="CG211" s="7" t="n">
        <f aca="false">(CG$3&lt;=$I$15)*(-CG150+CG145+CG160+CG161)</f>
        <v>179819.93203341</v>
      </c>
      <c r="CH211" s="7" t="n">
        <f aca="false">(CH$3&lt;=$I$15)*(-CH150+CH145+CH160+CH161)</f>
        <v>179819.93203341</v>
      </c>
      <c r="CI211" s="7" t="n">
        <f aca="false">(CI$3&lt;=$I$15)*(-CI150+CI145+CI160+CI161)</f>
        <v>180137.58777231</v>
      </c>
      <c r="CJ211" s="7" t="n">
        <f aca="false">(CJ$3&lt;=$I$15)*(-CJ150+CJ145+CJ160+CJ161)</f>
        <v>180137.58777231</v>
      </c>
      <c r="CK211" s="7" t="n">
        <f aca="false">(CK$3&lt;=$I$15)*(-CK150+CK145+CK160+CK161)</f>
        <v>180406.45325066</v>
      </c>
      <c r="CL211" s="7" t="n">
        <f aca="false">(CL$3&lt;=$I$15)*(-CL150+CL145+CL160+CL161)</f>
        <v>180406.45325066</v>
      </c>
      <c r="CM211" s="7" t="n">
        <f aca="false">(CM$3&lt;=$I$15)*(-CM150+CM145+CM160+CM161)</f>
        <v>189808.725894394</v>
      </c>
      <c r="CN211" s="7" t="n">
        <f aca="false">(CN$3&lt;=$I$15)*(-CN150+CN145+CN160+CN161)</f>
        <v>189808.725894394</v>
      </c>
      <c r="CO211" s="7" t="n">
        <f aca="false">(CO$3&lt;=$I$15)*(-CO150+CO145+CO160+CO161)</f>
        <v>250011.116994394</v>
      </c>
      <c r="CP211" s="7" t="n">
        <f aca="false">(CP$3&lt;=$I$15)*(-CP150+CP145+CP160+CP161)</f>
        <v>250011.116994394</v>
      </c>
      <c r="CQ211" s="7" t="n">
        <f aca="false">(CQ$3&lt;=$I$15)*(-CQ150+CQ145+CQ160+CQ161)</f>
        <v>250404.060257685</v>
      </c>
      <c r="CR211" s="7" t="n">
        <f aca="false">(CR$3&lt;=$I$15)*(-CR150+CR145+CR160+CR161)</f>
        <v>250138.207498994</v>
      </c>
      <c r="CS211" s="7" t="n">
        <f aca="false">(CS$3&lt;=$I$15)*(-CS150+CS145+CS160+CS161)</f>
        <v>250988.248027746</v>
      </c>
      <c r="CT211" s="7" t="n">
        <f aca="false">(CT$3&lt;=$I$15)*(-CT150+CT145+CT160+CT161)</f>
        <v>250988.248027746</v>
      </c>
      <c r="CU211" s="7" t="n">
        <f aca="false">(CU$3&lt;=$I$15)*(-CU150+CU145+CU160+CU161)</f>
        <v>251315.433438813</v>
      </c>
      <c r="CV211" s="7" t="n">
        <f aca="false">(CV$3&lt;=$I$15)*(-CV150+CV145+CV160+CV161)</f>
        <v>251315.433438813</v>
      </c>
      <c r="CW211" s="7" t="n">
        <f aca="false">(CW$3&lt;=$I$15)*(-CW150+CW145+CW160+CW161)</f>
        <v>251592.364881514</v>
      </c>
      <c r="CX211" s="7" t="n">
        <f aca="false">(CX$3&lt;=$I$15)*(-CX150+CX145+CX160+CX161)</f>
        <v>251592.364881514</v>
      </c>
      <c r="CY211" s="7" t="n">
        <f aca="false">(CY$3&lt;=$I$15)*(-CY150+CY145+CY160+CY161)</f>
        <v>252037.165963226</v>
      </c>
      <c r="CZ211" s="7" t="n">
        <f aca="false">(CZ$3&lt;=$I$15)*(-CZ150+CZ145+CZ160+CZ161)</f>
        <v>252037.165963226</v>
      </c>
      <c r="DA211" s="7" t="n">
        <f aca="false">(DA$3&lt;=$I$15)*(-DA150+DA145+DA160+DA161)</f>
        <v>252037.165963226</v>
      </c>
      <c r="DB211" s="7" t="n">
        <f aca="false">(DB$3&lt;=$I$15)*(-DB150+DB145+DB160+DB161)</f>
        <v>252037.165963226</v>
      </c>
      <c r="DC211" s="7" t="n">
        <f aca="false">(DC$3&lt;=$I$15)*(-DC150+DC145+DC160+DC161)</f>
        <v>252441.897524416</v>
      </c>
      <c r="DD211" s="7" t="n">
        <f aca="false">(DD$3&lt;=$I$15)*(-DD150+DD145+DD160+DD161)</f>
        <v>43808509.4985406</v>
      </c>
      <c r="DE211" s="7" t="n">
        <f aca="false">(DE$3&lt;=$I$15)*(-DE150+DE145+DE160+DE161)</f>
        <v>0</v>
      </c>
      <c r="DF211" s="7" t="n">
        <f aca="false">(DF$3&lt;=$I$15)*(-DF150+DF145+DF160+DF161)</f>
        <v>0</v>
      </c>
      <c r="DG211" s="7" t="n">
        <f aca="false">(DG$3&lt;=$I$15)*(-DG150+DG145+DG160+DG161)</f>
        <v>0</v>
      </c>
      <c r="DH211" s="7" t="n">
        <f aca="false">(DH$3&lt;=$I$15)*(-DH150+DH145+DH160+DH161)</f>
        <v>0</v>
      </c>
      <c r="DI211" s="7" t="n">
        <f aca="false">(DI$3&lt;=$I$15)*(-DI150+DI145+DI160+DI161)</f>
        <v>0</v>
      </c>
      <c r="DJ211" s="7" t="n">
        <f aca="false">(DJ$3&lt;=$I$15)*(-DJ150+DJ145+DJ160+DJ161)</f>
        <v>0</v>
      </c>
      <c r="DK211" s="7" t="n">
        <f aca="false">(DK$3&lt;=$I$15)*(-DK150+DK145+DK160+DK161)</f>
        <v>0</v>
      </c>
      <c r="DL211" s="7" t="n">
        <f aca="false">(DL$3&lt;=$I$15)*(-DL150+DL145+DL160+DL161)</f>
        <v>0</v>
      </c>
      <c r="DM211" s="7" t="n">
        <f aca="false">(DM$3&lt;=$I$15)*(-DM150+DM145+DM160+DM161)</f>
        <v>0</v>
      </c>
      <c r="DN211" s="7" t="n">
        <f aca="false">(DN$3&lt;=$I$15)*(-DN150+DN145+DN160+DN161)</f>
        <v>0</v>
      </c>
      <c r="DO211" s="7" t="n">
        <f aca="false">(DO$3&lt;=$I$15)*(-DO150+DO145+DO160+DO161)</f>
        <v>0</v>
      </c>
      <c r="DP211" s="7" t="n">
        <f aca="false">(DP$3&lt;=$I$15)*(-DP150+DP145+DP160+DP161)</f>
        <v>0</v>
      </c>
    </row>
    <row r="212" customFormat="false" ht="15" hidden="false" customHeight="false" outlineLevel="0" collapsed="false">
      <c r="B212" s="0" t="s">
        <v>99</v>
      </c>
      <c r="G212" s="2" t="n">
        <f aca="false">SUMIF($L$212:$DP$212,"&gt;0")/-SUMIF($L$212:$DP$212,"&lt;0")</f>
        <v>2.72435601451745</v>
      </c>
      <c r="H212" s="1" t="n">
        <f aca="true">XIRR(OFFSET($L$212,0,0,1,$I$15+1),OFFSET($L$24,0,0,1,$I$15+1))</f>
        <v>0.173267630543599</v>
      </c>
      <c r="I212" s="4" t="n">
        <f aca="false">SUM($L$212:$DP$212)</f>
        <v>21439817.455581</v>
      </c>
      <c r="L212" s="7" t="n">
        <f aca="false">(L$3&lt;=$I$15)*(L211+L151-L152-L154+L155-L156-L157)</f>
        <v>-3959200</v>
      </c>
      <c r="M212" s="7" t="n">
        <f aca="false">(M$3&lt;=$I$15)*(M211+M151-M152-M154+M155-M156-M157)</f>
        <v>-84862.174</v>
      </c>
      <c r="N212" s="7" t="n">
        <f aca="false">(N$3&lt;=$I$15)*(N211+N151-N152-N154+N155-N156-N157)</f>
        <v>-151712.71467</v>
      </c>
      <c r="O212" s="7" t="n">
        <f aca="false">(O$3&lt;=$I$15)*(O211+O151-O152-O154+O155-O156-O157)</f>
        <v>-152806.50534</v>
      </c>
      <c r="P212" s="7" t="n">
        <f aca="false">(P$3&lt;=$I$15)*(P211+P151-P152-P154+P155-P156-P157)</f>
        <v>-213278.4889795</v>
      </c>
      <c r="Q212" s="7" t="n">
        <f aca="false">(Q$3&lt;=$I$15)*(Q211+Q151-Q152-Q154+Q155-Q156-Q157)</f>
        <v>-330312.217534807</v>
      </c>
      <c r="R212" s="7" t="n">
        <f aca="false">(R$3&lt;=$I$15)*(R211+R151-R152-R154+R155-R156-R157)</f>
        <v>-438483.615643266</v>
      </c>
      <c r="S212" s="7" t="n">
        <f aca="false">(S$3&lt;=$I$15)*(S211+S151-S152-S154+S155-S156-S157)</f>
        <v>-531681.771688863</v>
      </c>
      <c r="T212" s="7" t="n">
        <f aca="false">(T$3&lt;=$I$15)*(T211+T151-T152-T154+T155-T156-T157)</f>
        <v>-604657.299329253</v>
      </c>
      <c r="U212" s="7" t="n">
        <f aca="false">(U$3&lt;=$I$15)*(U211+U151-U152-U154+U155-U156-U157)</f>
        <v>-586923.892111103</v>
      </c>
      <c r="V212" s="7" t="n">
        <f aca="false">(V$3&lt;=$I$15)*(V211+V151-V152-V154+V155-V156-V157)</f>
        <v>-607949.449081607</v>
      </c>
      <c r="W212" s="7" t="n">
        <f aca="false">(W$3&lt;=$I$15)*(W211+W151-W152-W154+W155-W156-W157)</f>
        <v>-600839.506097311</v>
      </c>
      <c r="X212" s="7" t="n">
        <f aca="false">(X$3&lt;=$I$15)*(X211+X151-X152-X154+X155-X156-X157)</f>
        <v>-608117.934246084</v>
      </c>
      <c r="Y212" s="7" t="n">
        <f aca="false">(Y$3&lt;=$I$15)*(Y211+Y151-Y152-Y154+Y155-Y156-Y157)</f>
        <v>-627184.44441432</v>
      </c>
      <c r="Z212" s="7" t="n">
        <f aca="false">(Z$3&lt;=$I$15)*(Z211+Z151-Z152-Z154+Z155-Z156-Z157)</f>
        <v>-610349.300856054</v>
      </c>
      <c r="AA212" s="7" t="n">
        <f aca="false">(AA$3&lt;=$I$15)*(AA211+AA151-AA152-AA154+AA155-AA156-AA157)</f>
        <v>-554491.44139494</v>
      </c>
      <c r="AB212" s="7" t="n">
        <f aca="false">(AB$3&lt;=$I$15)*(AB211+AB151-AB152-AB154+AB155-AB156-AB157)</f>
        <v>-460096.219752923</v>
      </c>
      <c r="AC212" s="7" t="n">
        <f aca="false">(AC$3&lt;=$I$15)*(AC211+AC151-AC152-AC154+AC155-AC156-AC157)</f>
        <v>-388478.465697719</v>
      </c>
      <c r="AD212" s="7" t="n">
        <f aca="false">(AD$3&lt;=$I$15)*(AD211+AD151-AD152-AD154+AD155-AD156-AD157)</f>
        <v>-345061.100236372</v>
      </c>
      <c r="AE212" s="7" t="n">
        <f aca="false">(AE$3&lt;=$I$15)*(AE211+AE151-AE152-AE154+AE155-AE156-AE157)</f>
        <v>-314706.681645939</v>
      </c>
      <c r="AF212" s="7" t="n">
        <f aca="false">(AF$3&lt;=$I$15)*(AF211+AF151-AF152-AF154+AF155-AF156-AF157)</f>
        <v>-232545.20257994</v>
      </c>
      <c r="AG212" s="7" t="n">
        <f aca="false">(AG$3&lt;=$I$15)*(AG211+AG151-AG152-AG154+AG155-AG156-AG157)</f>
        <v>-14261.2629</v>
      </c>
      <c r="AH212" s="7" t="n">
        <f aca="false">(AH$3&lt;=$I$15)*(AH211+AH151-AH152-AH154+AH155-AH156-AH157)</f>
        <v>-14261.2629</v>
      </c>
      <c r="AI212" s="7" t="n">
        <f aca="false">(AI$3&lt;=$I$15)*(AI211+AI151-AI152-AI154+AI155-AI156-AI157)</f>
        <v>-342.879399999962</v>
      </c>
      <c r="AJ212" s="7" t="n">
        <f aca="false">(AJ$3&lt;=$I$15)*(AJ211+AJ151-AJ152-AJ154+AJ155-AJ156-AJ157)</f>
        <v>-917.597254999942</v>
      </c>
      <c r="AK212" s="7" t="n">
        <f aca="false">(AK$3&lt;=$I$15)*(AK211+AK151-AK152-AK154+AK155-AK156-AK157)</f>
        <v>29627.254185</v>
      </c>
      <c r="AL212" s="7" t="n">
        <f aca="false">(AL$3&lt;=$I$15)*(AL211+AL151-AL152-AL154+AL155-AL156-AL157)</f>
        <v>29627.254185</v>
      </c>
      <c r="AM212" s="7" t="n">
        <f aca="false">(AM$3&lt;=$I$15)*(AM211+AM151-AM152-AM154+AM155-AM156-AM157)</f>
        <v>41330.948475</v>
      </c>
      <c r="AN212" s="7" t="n">
        <f aca="false">(AN$3&lt;=$I$15)*(AN211+AN151-AN152-AN154+AN155-AN156-AN157)</f>
        <v>41330.948475</v>
      </c>
      <c r="AO212" s="7" t="n">
        <f aca="false">(AO$3&lt;=$I$15)*(AO211+AO151-AO152-AO154+AO155-AO156-AO157)</f>
        <v>51098.8218116667</v>
      </c>
      <c r="AP212" s="7" t="n">
        <f aca="false">(AP$3&lt;=$I$15)*(AP211+AP151-AP152-AP154+AP155-AP156-AP157)</f>
        <v>2169845.07755166</v>
      </c>
      <c r="AQ212" s="7" t="n">
        <f aca="false">(AQ$3&lt;=$I$15)*(AQ211+AQ151-AQ152-AQ154+AQ155-AQ156-AQ157)</f>
        <v>76686.2913263542</v>
      </c>
      <c r="AR212" s="7" t="n">
        <f aca="false">(AR$3&lt;=$I$15)*(AR211+AR151-AR152-AR154+AR155-AR156-AR157)</f>
        <v>76686.2913263542</v>
      </c>
      <c r="AS212" s="7" t="n">
        <f aca="false">(AS$3&lt;=$I$15)*(AS211+AS151-AS152-AS154+AS155-AS156-AS157)</f>
        <v>76686.2913263542</v>
      </c>
      <c r="AT212" s="7" t="n">
        <f aca="false">(AT$3&lt;=$I$15)*(AT211+AT151-AT152-AT154+AT155-AT156-AT157)</f>
        <v>76686.2913263542</v>
      </c>
      <c r="AU212" s="7" t="n">
        <f aca="false">(AU$3&lt;=$I$15)*(AU211+AU151-AU152-AU154+AU155-AU156-AU157)</f>
        <v>77035.4163263542</v>
      </c>
      <c r="AV212" s="7" t="n">
        <f aca="false">(AV$3&lt;=$I$15)*(AV211+AV151-AV152-AV154+AV155-AV156-AV157)</f>
        <v>76799.2095936042</v>
      </c>
      <c r="AW212" s="7" t="n">
        <f aca="false">(AW$3&lt;=$I$15)*(AW211+AW151-AW152-AW154+AW155-AW156-AW157)</f>
        <v>77554.4595936042</v>
      </c>
      <c r="AX212" s="7" t="n">
        <f aca="false">(AX$3&lt;=$I$15)*(AX211+AX151-AX152-AX154+AX155-AX156-AX157)</f>
        <v>77554.4595936042</v>
      </c>
      <c r="AY212" s="7" t="n">
        <f aca="false">(AY$3&lt;=$I$15)*(AY211+AY151-AY152-AY154+AY155-AY156-AY157)</f>
        <v>77845.1595936042</v>
      </c>
      <c r="AZ212" s="7" t="n">
        <f aca="false">(AZ$3&lt;=$I$15)*(AZ211+AZ151-AZ152-AZ154+AZ155-AZ156-AZ157)</f>
        <v>77845.1595936042</v>
      </c>
      <c r="BA212" s="7" t="n">
        <f aca="false">(BA$3&lt;=$I$15)*(BA211+BA151-BA152-BA154+BA155-BA156-BA157)</f>
        <v>78091.2095936042</v>
      </c>
      <c r="BB212" s="7" t="n">
        <f aca="false">(BB$3&lt;=$I$15)*(BB211+BB151-BB152-BB154+BB155-BB156-BB157)</f>
        <v>78091.2095936042</v>
      </c>
      <c r="BC212" s="7" t="n">
        <f aca="false">(BC$3&lt;=$I$15)*(BC211+BC151-BC152-BC154+BC155-BC156-BC157)</f>
        <v>78486.4095936042</v>
      </c>
      <c r="BD212" s="7" t="n">
        <f aca="false">(BD$3&lt;=$I$15)*(BD211+BD151-BD152-BD154+BD155-BD156-BD157)</f>
        <v>78486.4095936042</v>
      </c>
      <c r="BE212" s="7" t="n">
        <f aca="false">(BE$3&lt;=$I$15)*(BE211+BE151-BE152-BE154+BE155-BE156-BE157)</f>
        <v>78486.4095936042</v>
      </c>
      <c r="BF212" s="7" t="n">
        <f aca="false">(BF$3&lt;=$I$15)*(BF211+BF151-BF152-BF154+BF155-BF156-BF157)</f>
        <v>78486.4095936042</v>
      </c>
      <c r="BG212" s="7" t="n">
        <f aca="false">(BG$3&lt;=$I$15)*(BG211+BG151-BG152-BG154+BG155-BG156-BG157)</f>
        <v>78846.0083436042</v>
      </c>
      <c r="BH212" s="7" t="n">
        <f aca="false">(BH$3&lt;=$I$15)*(BH211+BH151-BH152-BH154+BH155-BH156-BH157)</f>
        <v>78602.7154088717</v>
      </c>
      <c r="BI212" s="7" t="n">
        <f aca="false">(BI$3&lt;=$I$15)*(BI211+BI151-BI152-BI154+BI155-BI156-BI157)</f>
        <v>79380.6229088717</v>
      </c>
      <c r="BJ212" s="7" t="n">
        <f aca="false">(BJ$3&lt;=$I$15)*(BJ211+BJ151-BJ152-BJ154+BJ155-BJ156-BJ157)</f>
        <v>79380.6229088717</v>
      </c>
      <c r="BK212" s="7" t="n">
        <f aca="false">(BK$3&lt;=$I$15)*(BK211+BK151-BK152-BK154+BK155-BK156-BK157)</f>
        <v>79680.0439088717</v>
      </c>
      <c r="BL212" s="7" t="n">
        <f aca="false">(BL$3&lt;=$I$15)*(BL211+BL151-BL152-BL154+BL155-BL156-BL157)</f>
        <v>79680.0439088717</v>
      </c>
      <c r="BM212" s="7" t="n">
        <f aca="false">(BM$3&lt;=$I$15)*(BM211+BM151-BM152-BM154+BM155-BM156-BM157)</f>
        <v>79933.4754088717</v>
      </c>
      <c r="BN212" s="7" t="n">
        <f aca="false">(BN$3&lt;=$I$15)*(BN211+BN151-BN152-BN154+BN155-BN156-BN157)</f>
        <v>79933.4754088717</v>
      </c>
      <c r="BO212" s="7" t="n">
        <f aca="false">(BO$3&lt;=$I$15)*(BO211+BO151-BO152-BO154+BO155-BO156-BO157)</f>
        <v>80340.5314088717</v>
      </c>
      <c r="BP212" s="7" t="n">
        <f aca="false">(BP$3&lt;=$I$15)*(BP211+BP151-BP152-BP154+BP155-BP156-BP157)</f>
        <v>80340.5314088717</v>
      </c>
      <c r="BQ212" s="7" t="n">
        <f aca="false">(BQ$3&lt;=$I$15)*(BQ211+BQ151-BQ152-BQ154+BQ155-BQ156-BQ157)</f>
        <v>80340.5314088717</v>
      </c>
      <c r="BR212" s="7" t="n">
        <f aca="false">(BR$3&lt;=$I$15)*(BR211+BR151-BR152-BR154+BR155-BR156-BR157)</f>
        <v>80340.5314088717</v>
      </c>
      <c r="BS212" s="7" t="n">
        <f aca="false">(BS$3&lt;=$I$15)*(BS211+BS151-BS152-BS154+BS155-BS156-BS157)</f>
        <v>80710.9181213717</v>
      </c>
      <c r="BT212" s="7" t="n">
        <f aca="false">(BT$3&lt;=$I$15)*(BT211+BT151-BT152-BT154+BT155-BT156-BT157)</f>
        <v>80460.3263985972</v>
      </c>
      <c r="BU212" s="7" t="n">
        <f aca="false">(BU$3&lt;=$I$15)*(BU211+BU151-BU152-BU154+BU155-BU156-BU157)</f>
        <v>81261.5711235972</v>
      </c>
      <c r="BV212" s="7" t="n">
        <f aca="false">(BV$3&lt;=$I$15)*(BV211+BV151-BV152-BV154+BV155-BV156-BV157)</f>
        <v>81261.5711235972</v>
      </c>
      <c r="BW212" s="7" t="n">
        <f aca="false">(BW$3&lt;=$I$15)*(BW211+BW151-BW152-BW154+BW155-BW156-BW157)</f>
        <v>81569.9747535972</v>
      </c>
      <c r="BX212" s="7" t="n">
        <f aca="false">(BX$3&lt;=$I$15)*(BX211+BX151-BX152-BX154+BX155-BX156-BX157)</f>
        <v>81569.9747535972</v>
      </c>
      <c r="BY212" s="7" t="n">
        <f aca="false">(BY$3&lt;=$I$15)*(BY211+BY151-BY152-BY154+BY155-BY156-BY157)</f>
        <v>81831.0091985972</v>
      </c>
      <c r="BZ212" s="7" t="n">
        <f aca="false">(BZ$3&lt;=$I$15)*(BZ211+BZ151-BZ152-BZ154+BZ155-BZ156-BZ157)</f>
        <v>81831.0091985972</v>
      </c>
      <c r="CA212" s="7" t="n">
        <f aca="false">(CA$3&lt;=$I$15)*(CA211+CA151-CA152-CA154+CA155-CA156-CA157)</f>
        <v>82250.2768785972</v>
      </c>
      <c r="CB212" s="7" t="n">
        <f aca="false">(CB$3&lt;=$I$15)*(CB211+CB151-CB152-CB154+CB155-CB156-CB157)</f>
        <v>82250.2768785972</v>
      </c>
      <c r="CC212" s="7" t="n">
        <f aca="false">(CC$3&lt;=$I$15)*(CC211+CC151-CC152-CC154+CC155-CC156-CC157)</f>
        <v>82250.2768785972</v>
      </c>
      <c r="CD212" s="7" t="n">
        <f aca="false">(CD$3&lt;=$I$15)*(CD211+CD151-CD152-CD154+CD155-CD156-CD157)</f>
        <v>82250.2768785972</v>
      </c>
      <c r="CE212" s="7" t="n">
        <f aca="false">(CE$3&lt;=$I$15)*(CE211+CE151-CE152-CE154+CE155-CE156-CE157)</f>
        <v>82631.7751924722</v>
      </c>
      <c r="CF212" s="7" t="n">
        <f aca="false">(CF$3&lt;=$I$15)*(CF211+CF151-CF152-CF154+CF155-CF156-CF157)</f>
        <v>82373.6657180145</v>
      </c>
      <c r="CG212" s="7" t="n">
        <f aca="false">(CG$3&lt;=$I$15)*(CG211+CG151-CG152-CG154+CG155-CG156-CG157)</f>
        <v>83198.9477847645</v>
      </c>
      <c r="CH212" s="7" t="n">
        <f aca="false">(CH$3&lt;=$I$15)*(CH211+CH151-CH152-CH154+CH155-CH156-CH157)</f>
        <v>83198.9477847645</v>
      </c>
      <c r="CI212" s="7" t="n">
        <f aca="false">(CI$3&lt;=$I$15)*(CI211+CI151-CI152-CI154+CI155-CI156-CI157)</f>
        <v>83516.6035236645</v>
      </c>
      <c r="CJ212" s="7" t="n">
        <f aca="false">(CJ$3&lt;=$I$15)*(CJ211+CJ151-CJ152-CJ154+CJ155-CJ156-CJ157)</f>
        <v>83516.6035236645</v>
      </c>
      <c r="CK212" s="7" t="n">
        <f aca="false">(CK$3&lt;=$I$15)*(CK211+CK151-CK152-CK154+CK155-CK156-CK157)</f>
        <v>83785.4690020145</v>
      </c>
      <c r="CL212" s="7" t="n">
        <f aca="false">(CL$3&lt;=$I$15)*(CL211+CL151-CL152-CL154+CL155-CL156-CL157)</f>
        <v>83785.4690020145</v>
      </c>
      <c r="CM212" s="7" t="n">
        <f aca="false">(CM$3&lt;=$I$15)*(CM211+CM151-CM152-CM154+CM155-CM156-CM157)</f>
        <v>93187.7416457479</v>
      </c>
      <c r="CN212" s="7" t="n">
        <f aca="false">(CN$3&lt;=$I$15)*(CN211+CN151-CN152-CN154+CN155-CN156-CN157)</f>
        <v>93187.7416457479</v>
      </c>
      <c r="CO212" s="7" t="n">
        <f aca="false">(CO$3&lt;=$I$15)*(CO211+CO151-CO152-CO154+CO155-CO156-CO157)</f>
        <v>153390.132745748</v>
      </c>
      <c r="CP212" s="7" t="n">
        <f aca="false">(CP$3&lt;=$I$15)*(CP211+CP151-CP152-CP154+CP155-CP156-CP157)</f>
        <v>153390.132745748</v>
      </c>
      <c r="CQ212" s="7" t="n">
        <f aca="false">(CQ$3&lt;=$I$15)*(CQ211+CQ151-CQ152-CQ154+CQ155-CQ156-CQ157)</f>
        <v>153783.076009039</v>
      </c>
      <c r="CR212" s="7" t="n">
        <f aca="false">(CR$3&lt;=$I$15)*(CR211+CR151-CR152-CR154+CR155-CR156-CR157)</f>
        <v>153517.223250348</v>
      </c>
      <c r="CS212" s="7" t="n">
        <f aca="false">(CS$3&lt;=$I$15)*(CS211+CS151-CS152-CS154+CS155-CS156-CS157)</f>
        <v>154367.2637791</v>
      </c>
      <c r="CT212" s="7" t="n">
        <f aca="false">(CT$3&lt;=$I$15)*(CT211+CT151-CT152-CT154+CT155-CT156-CT157)</f>
        <v>154367.2637791</v>
      </c>
      <c r="CU212" s="7" t="n">
        <f aca="false">(CU$3&lt;=$I$15)*(CU211+CU151-CU152-CU154+CU155-CU156-CU157)</f>
        <v>154694.449190167</v>
      </c>
      <c r="CV212" s="7" t="n">
        <f aca="false">(CV$3&lt;=$I$15)*(CV211+CV151-CV152-CV154+CV155-CV156-CV157)</f>
        <v>154694.449190167</v>
      </c>
      <c r="CW212" s="7" t="n">
        <f aca="false">(CW$3&lt;=$I$15)*(CW211+CW151-CW152-CW154+CW155-CW156-CW157)</f>
        <v>154971.380632868</v>
      </c>
      <c r="CX212" s="7" t="n">
        <f aca="false">(CX$3&lt;=$I$15)*(CX211+CX151-CX152-CX154+CX155-CX156-CX157)</f>
        <v>154971.380632868</v>
      </c>
      <c r="CY212" s="7" t="n">
        <f aca="false">(CY$3&lt;=$I$15)*(CY211+CY151-CY152-CY154+CY155-CY156-CY157)</f>
        <v>155416.18171458</v>
      </c>
      <c r="CZ212" s="7" t="n">
        <f aca="false">(CZ$3&lt;=$I$15)*(CZ211+CZ151-CZ152-CZ154+CZ155-CZ156-CZ157)</f>
        <v>155416.18171458</v>
      </c>
      <c r="DA212" s="7" t="n">
        <f aca="false">(DA$3&lt;=$I$15)*(DA211+DA151-DA152-DA154+DA155-DA156-DA157)</f>
        <v>155416.18171458</v>
      </c>
      <c r="DB212" s="7" t="n">
        <f aca="false">(DB$3&lt;=$I$15)*(DB211+DB151-DB152-DB154+DB155-DB156-DB157)</f>
        <v>155416.18171458</v>
      </c>
      <c r="DC212" s="7" t="n">
        <f aca="false">(DC$3&lt;=$I$15)*(DC211+DC151-DC152-DC154+DC155-DC156-DC157)</f>
        <v>155820.91327577</v>
      </c>
      <c r="DD212" s="7" t="n">
        <f aca="false">(DD$3&lt;=$I$15)*(DD211+DD151-DD152-DD154+DD155-DD156-DD157)</f>
        <v>25160659.538552</v>
      </c>
      <c r="DE212" s="7" t="n">
        <f aca="false">(DE$3&lt;=$I$15)*(DE211+DE151-DE152-DE154+DE155-DE156-DE157)</f>
        <v>0</v>
      </c>
      <c r="DF212" s="7" t="n">
        <f aca="false">(DF$3&lt;=$I$15)*(DF211+DF151-DF152-DF154+DF155-DF156-DF157)</f>
        <v>0</v>
      </c>
      <c r="DG212" s="7" t="n">
        <f aca="false">(DG$3&lt;=$I$15)*(DG211+DG151-DG152-DG154+DG155-DG156-DG157)</f>
        <v>0</v>
      </c>
      <c r="DH212" s="7" t="n">
        <f aca="false">(DH$3&lt;=$I$15)*(DH211+DH151-DH152-DH154+DH155-DH156-DH157)</f>
        <v>0</v>
      </c>
      <c r="DI212" s="7" t="n">
        <f aca="false">(DI$3&lt;=$I$15)*(DI211+DI151-DI152-DI154+DI155-DI156-DI157)</f>
        <v>0</v>
      </c>
      <c r="DJ212" s="7" t="n">
        <f aca="false">(DJ$3&lt;=$I$15)*(DJ211+DJ151-DJ152-DJ154+DJ155-DJ156-DJ157)</f>
        <v>0</v>
      </c>
      <c r="DK212" s="7" t="n">
        <f aca="false">(DK$3&lt;=$I$15)*(DK211+DK151-DK152-DK154+DK155-DK156-DK157)</f>
        <v>0</v>
      </c>
      <c r="DL212" s="7" t="n">
        <f aca="false">(DL$3&lt;=$I$15)*(DL211+DL151-DL152-DL154+DL155-DL156-DL157)</f>
        <v>0</v>
      </c>
      <c r="DM212" s="7" t="n">
        <f aca="false">(DM$3&lt;=$I$15)*(DM211+DM151-DM152-DM154+DM155-DM156-DM157)</f>
        <v>0</v>
      </c>
      <c r="DN212" s="7" t="n">
        <f aca="false">(DN$3&lt;=$I$15)*(DN211+DN151-DN152-DN154+DN155-DN156-DN157)</f>
        <v>0</v>
      </c>
      <c r="DO212" s="7" t="n">
        <f aca="false">(DO$3&lt;=$I$15)*(DO211+DO151-DO152-DO154+DO155-DO156-DO157)</f>
        <v>0</v>
      </c>
      <c r="DP212" s="7" t="n">
        <f aca="false">(DP$3&lt;=$I$15)*(DP211+DP151-DP152-DP154+DP155-DP156-DP157)</f>
        <v>0</v>
      </c>
    </row>
    <row r="215" customFormat="false" ht="15" hidden="false" customHeight="false" outlineLevel="0" collapsed="false">
      <c r="B215" s="0" t="s">
        <v>13</v>
      </c>
      <c r="H215" s="1" t="n">
        <f aca="false">SUMPRODUCT(($L$3:$DP$3&gt;$E$44)*($L$3:$DP$3&lt;=$E$44+12)*$L$145:$DP$145)/I36</f>
        <v>0.0762032114805382</v>
      </c>
    </row>
    <row r="216" customFormat="false" ht="15" hidden="false" customHeight="false" outlineLevel="0" collapsed="false">
      <c r="B216" s="0" t="s">
        <v>14</v>
      </c>
      <c r="H216" s="1" t="n">
        <f aca="false">E126</f>
        <v>0.0675</v>
      </c>
    </row>
    <row r="217" customFormat="false" ht="15" hidden="false" customHeight="false" outlineLevel="0" collapsed="false">
      <c r="B217" s="0" t="s">
        <v>15</v>
      </c>
      <c r="H217" s="0" t="n">
        <f aca="false">(H215-H216)*10000</f>
        <v>87.0321148053822</v>
      </c>
    </row>
    <row r="228" customFormat="false" ht="15" hidden="false" customHeight="false" outlineLevel="0" collapsed="false">
      <c r="B228" s="0" t="s">
        <v>8</v>
      </c>
      <c r="G228" s="2" t="n">
        <f aca="false">SUMIF($L$228:$DP$228,"&gt;0")/-SUMIF($L$228:$DP$228,"&lt;0")</f>
        <v>4.89306804355237</v>
      </c>
      <c r="H228" s="1" t="n">
        <f aca="true">XIRR(OFFSET($L$228,0,0,1,$I$15+1),OFFSET($L$24,0,0,1,$I$15+1))</f>
        <v>0.270626344736293</v>
      </c>
      <c r="I228" s="4" t="n">
        <f aca="false">SUM($L$228:$DP$228)</f>
        <v>4840454.49392166</v>
      </c>
      <c r="L228" s="7" t="n">
        <f aca="false">L212*(1-$E$130)+IF(L$3=$I$15,$I$233,0)</f>
        <v>-395920</v>
      </c>
      <c r="M228" s="7" t="n">
        <f aca="false">M212*(1-$E$130)+IF(M$3=$I$15,$I$233,0)</f>
        <v>-8486.2174</v>
      </c>
      <c r="N228" s="7" t="n">
        <f aca="false">N212*(1-$E$130)+IF(N$3=$I$15,$I$233,0)</f>
        <v>-15171.271467</v>
      </c>
      <c r="O228" s="7" t="n">
        <f aca="false">O212*(1-$E$130)+IF(O$3=$I$15,$I$233,0)</f>
        <v>-15280.650534</v>
      </c>
      <c r="P228" s="7" t="n">
        <f aca="false">P212*(1-$E$130)+IF(P$3=$I$15,$I$233,0)</f>
        <v>-21327.84889795</v>
      </c>
      <c r="Q228" s="7" t="n">
        <f aca="false">Q212*(1-$E$130)+IF(Q$3=$I$15,$I$233,0)</f>
        <v>-33031.2217534807</v>
      </c>
      <c r="R228" s="7" t="n">
        <f aca="false">R212*(1-$E$130)+IF(R$3=$I$15,$I$233,0)</f>
        <v>-43848.3615643266</v>
      </c>
      <c r="S228" s="7" t="n">
        <f aca="false">S212*(1-$E$130)+IF(S$3=$I$15,$I$233,0)</f>
        <v>-53168.1771688863</v>
      </c>
      <c r="T228" s="7" t="n">
        <f aca="false">T212*(1-$E$130)+IF(T$3=$I$15,$I$233,0)</f>
        <v>-60465.7299329253</v>
      </c>
      <c r="U228" s="7" t="n">
        <f aca="false">U212*(1-$E$130)+IF(U$3=$I$15,$I$233,0)</f>
        <v>-58692.3892111102</v>
      </c>
      <c r="V228" s="7" t="n">
        <f aca="false">V212*(1-$E$130)+IF(V$3=$I$15,$I$233,0)</f>
        <v>-60794.9449081607</v>
      </c>
      <c r="W228" s="7" t="n">
        <f aca="false">W212*(1-$E$130)+IF(W$3=$I$15,$I$233,0)</f>
        <v>-60083.9506097311</v>
      </c>
      <c r="X228" s="7" t="n">
        <f aca="false">X212*(1-$E$130)+IF(X$3=$I$15,$I$233,0)</f>
        <v>-60811.7934246083</v>
      </c>
      <c r="Y228" s="7" t="n">
        <f aca="false">Y212*(1-$E$130)+IF(Y$3=$I$15,$I$233,0)</f>
        <v>-62718.444441432</v>
      </c>
      <c r="Z228" s="7" t="n">
        <f aca="false">Z212*(1-$E$130)+IF(Z$3=$I$15,$I$233,0)</f>
        <v>-61034.9300856054</v>
      </c>
      <c r="AA228" s="7" t="n">
        <f aca="false">AA212*(1-$E$130)+IF(AA$3=$I$15,$I$233,0)</f>
        <v>-55449.144139494</v>
      </c>
      <c r="AB228" s="7" t="n">
        <f aca="false">AB212*(1-$E$130)+IF(AB$3=$I$15,$I$233,0)</f>
        <v>-46009.6219752923</v>
      </c>
      <c r="AC228" s="7" t="n">
        <f aca="false">AC212*(1-$E$130)+IF(AC$3=$I$15,$I$233,0)</f>
        <v>-38847.8465697719</v>
      </c>
      <c r="AD228" s="7" t="n">
        <f aca="false">AD212*(1-$E$130)+IF(AD$3=$I$15,$I$233,0)</f>
        <v>-34506.1100236372</v>
      </c>
      <c r="AE228" s="7" t="n">
        <f aca="false">AE212*(1-$E$130)+IF(AE$3=$I$15,$I$233,0)</f>
        <v>-31470.6681645939</v>
      </c>
      <c r="AF228" s="7" t="n">
        <f aca="false">AF212*(1-$E$130)+IF(AF$3=$I$15,$I$233,0)</f>
        <v>-23254.520257994</v>
      </c>
      <c r="AG228" s="7" t="n">
        <f aca="false">AG212*(1-$E$130)+IF(AG$3=$I$15,$I$233,0)</f>
        <v>-1426.12629</v>
      </c>
      <c r="AH228" s="7" t="n">
        <f aca="false">AH212*(1-$E$130)+IF(AH$3=$I$15,$I$233,0)</f>
        <v>-1426.12629</v>
      </c>
      <c r="AI228" s="7" t="n">
        <f aca="false">AI212*(1-$E$130)+IF(AI$3=$I$15,$I$233,0)</f>
        <v>-34.2879399999962</v>
      </c>
      <c r="AJ228" s="7" t="n">
        <f aca="false">AJ212*(1-$E$130)+IF(AJ$3=$I$15,$I$233,0)</f>
        <v>-91.7597254999942</v>
      </c>
      <c r="AK228" s="7" t="n">
        <f aca="false">AK212*(1-$E$130)+IF(AK$3=$I$15,$I$233,0)</f>
        <v>2962.7254185</v>
      </c>
      <c r="AL228" s="7" t="n">
        <f aca="false">AL212*(1-$E$130)+IF(AL$3=$I$15,$I$233,0)</f>
        <v>2962.7254185</v>
      </c>
      <c r="AM228" s="7" t="n">
        <f aca="false">AM212*(1-$E$130)+IF(AM$3=$I$15,$I$233,0)</f>
        <v>4133.0948475</v>
      </c>
      <c r="AN228" s="7" t="n">
        <f aca="false">AN212*(1-$E$130)+IF(AN$3=$I$15,$I$233,0)</f>
        <v>4133.0948475</v>
      </c>
      <c r="AO228" s="7" t="n">
        <f aca="false">AO212*(1-$E$130)+IF(AO$3=$I$15,$I$233,0)</f>
        <v>5109.88218116667</v>
      </c>
      <c r="AP228" s="7" t="n">
        <f aca="false">AP212*(1-$E$130)+IF(AP$3=$I$15,$I$233,0)</f>
        <v>216984.507755166</v>
      </c>
      <c r="AQ228" s="7" t="n">
        <f aca="false">AQ212*(1-$E$130)+IF(AQ$3=$I$15,$I$233,0)</f>
        <v>7668.62913263542</v>
      </c>
      <c r="AR228" s="7" t="n">
        <f aca="false">AR212*(1-$E$130)+IF(AR$3=$I$15,$I$233,0)</f>
        <v>7668.62913263542</v>
      </c>
      <c r="AS228" s="7" t="n">
        <f aca="false">AS212*(1-$E$130)+IF(AS$3=$I$15,$I$233,0)</f>
        <v>7668.62913263542</v>
      </c>
      <c r="AT228" s="7" t="n">
        <f aca="false">AT212*(1-$E$130)+IF(AT$3=$I$15,$I$233,0)</f>
        <v>7668.62913263542</v>
      </c>
      <c r="AU228" s="7" t="n">
        <f aca="false">AU212*(1-$E$130)+IF(AU$3=$I$15,$I$233,0)</f>
        <v>7703.54163263542</v>
      </c>
      <c r="AV228" s="7" t="n">
        <f aca="false">AV212*(1-$E$130)+IF(AV$3=$I$15,$I$233,0)</f>
        <v>7679.92095936042</v>
      </c>
      <c r="AW228" s="7" t="n">
        <f aca="false">AW212*(1-$E$130)+IF(AW$3=$I$15,$I$233,0)</f>
        <v>7755.44595936042</v>
      </c>
      <c r="AX228" s="7" t="n">
        <f aca="false">AX212*(1-$E$130)+IF(AX$3=$I$15,$I$233,0)</f>
        <v>7755.44595936042</v>
      </c>
      <c r="AY228" s="7" t="n">
        <f aca="false">AY212*(1-$E$130)+IF(AY$3=$I$15,$I$233,0)</f>
        <v>7784.51595936042</v>
      </c>
      <c r="AZ228" s="7" t="n">
        <f aca="false">AZ212*(1-$E$130)+IF(AZ$3=$I$15,$I$233,0)</f>
        <v>7784.51595936042</v>
      </c>
      <c r="BA228" s="7" t="n">
        <f aca="false">BA212*(1-$E$130)+IF(BA$3=$I$15,$I$233,0)</f>
        <v>7809.12095936042</v>
      </c>
      <c r="BB228" s="7" t="n">
        <f aca="false">BB212*(1-$E$130)+IF(BB$3=$I$15,$I$233,0)</f>
        <v>7809.12095936042</v>
      </c>
      <c r="BC228" s="7" t="n">
        <f aca="false">BC212*(1-$E$130)+IF(BC$3=$I$15,$I$233,0)</f>
        <v>7848.64095936042</v>
      </c>
      <c r="BD228" s="7" t="n">
        <f aca="false">BD212*(1-$E$130)+IF(BD$3=$I$15,$I$233,0)</f>
        <v>7848.64095936042</v>
      </c>
      <c r="BE228" s="7" t="n">
        <f aca="false">BE212*(1-$E$130)+IF(BE$3=$I$15,$I$233,0)</f>
        <v>7848.64095936042</v>
      </c>
      <c r="BF228" s="7" t="n">
        <f aca="false">BF212*(1-$E$130)+IF(BF$3=$I$15,$I$233,0)</f>
        <v>7848.64095936042</v>
      </c>
      <c r="BG228" s="7" t="n">
        <f aca="false">BG212*(1-$E$130)+IF(BG$3=$I$15,$I$233,0)</f>
        <v>7884.60083436042</v>
      </c>
      <c r="BH228" s="7" t="n">
        <f aca="false">BH212*(1-$E$130)+IF(BH$3=$I$15,$I$233,0)</f>
        <v>7860.27154088717</v>
      </c>
      <c r="BI228" s="7" t="n">
        <f aca="false">BI212*(1-$E$130)+IF(BI$3=$I$15,$I$233,0)</f>
        <v>7938.06229088717</v>
      </c>
      <c r="BJ228" s="7" t="n">
        <f aca="false">BJ212*(1-$E$130)+IF(BJ$3=$I$15,$I$233,0)</f>
        <v>7938.06229088717</v>
      </c>
      <c r="BK228" s="7" t="n">
        <f aca="false">BK212*(1-$E$130)+IF(BK$3=$I$15,$I$233,0)</f>
        <v>7968.00439088717</v>
      </c>
      <c r="BL228" s="7" t="n">
        <f aca="false">BL212*(1-$E$130)+IF(BL$3=$I$15,$I$233,0)</f>
        <v>7968.00439088717</v>
      </c>
      <c r="BM228" s="7" t="n">
        <f aca="false">BM212*(1-$E$130)+IF(BM$3=$I$15,$I$233,0)</f>
        <v>7993.34754088717</v>
      </c>
      <c r="BN228" s="7" t="n">
        <f aca="false">BN212*(1-$E$130)+IF(BN$3=$I$15,$I$233,0)</f>
        <v>7993.34754088717</v>
      </c>
      <c r="BO228" s="7" t="n">
        <f aca="false">BO212*(1-$E$130)+IF(BO$3=$I$15,$I$233,0)</f>
        <v>8034.05314088717</v>
      </c>
      <c r="BP228" s="7" t="n">
        <f aca="false">BP212*(1-$E$130)+IF(BP$3=$I$15,$I$233,0)</f>
        <v>8034.05314088717</v>
      </c>
      <c r="BQ228" s="7" t="n">
        <f aca="false">BQ212*(1-$E$130)+IF(BQ$3=$I$15,$I$233,0)</f>
        <v>8034.05314088717</v>
      </c>
      <c r="BR228" s="7" t="n">
        <f aca="false">BR212*(1-$E$130)+IF(BR$3=$I$15,$I$233,0)</f>
        <v>8034.05314088717</v>
      </c>
      <c r="BS228" s="7" t="n">
        <f aca="false">BS212*(1-$E$130)+IF(BS$3=$I$15,$I$233,0)</f>
        <v>8071.09181213717</v>
      </c>
      <c r="BT228" s="7" t="n">
        <f aca="false">BT212*(1-$E$130)+IF(BT$3=$I$15,$I$233,0)</f>
        <v>8046.03263985972</v>
      </c>
      <c r="BU228" s="7" t="n">
        <f aca="false">BU212*(1-$E$130)+IF(BU$3=$I$15,$I$233,0)</f>
        <v>8126.15711235972</v>
      </c>
      <c r="BV228" s="7" t="n">
        <f aca="false">BV212*(1-$E$130)+IF(BV$3=$I$15,$I$233,0)</f>
        <v>8126.15711235972</v>
      </c>
      <c r="BW228" s="7" t="n">
        <f aca="false">BW212*(1-$E$130)+IF(BW$3=$I$15,$I$233,0)</f>
        <v>8156.99747535972</v>
      </c>
      <c r="BX228" s="7" t="n">
        <f aca="false">BX212*(1-$E$130)+IF(BX$3=$I$15,$I$233,0)</f>
        <v>8156.99747535972</v>
      </c>
      <c r="BY228" s="7" t="n">
        <f aca="false">BY212*(1-$E$130)+IF(BY$3=$I$15,$I$233,0)</f>
        <v>8183.10091985972</v>
      </c>
      <c r="BZ228" s="7" t="n">
        <f aca="false">BZ212*(1-$E$130)+IF(BZ$3=$I$15,$I$233,0)</f>
        <v>8183.10091985972</v>
      </c>
      <c r="CA228" s="7" t="n">
        <f aca="false">CA212*(1-$E$130)+IF(CA$3=$I$15,$I$233,0)</f>
        <v>8225.02768785972</v>
      </c>
      <c r="CB228" s="7" t="n">
        <f aca="false">CB212*(1-$E$130)+IF(CB$3=$I$15,$I$233,0)</f>
        <v>8225.02768785972</v>
      </c>
      <c r="CC228" s="7" t="n">
        <f aca="false">CC212*(1-$E$130)+IF(CC$3=$I$15,$I$233,0)</f>
        <v>8225.02768785972</v>
      </c>
      <c r="CD228" s="7" t="n">
        <f aca="false">CD212*(1-$E$130)+IF(CD$3=$I$15,$I$233,0)</f>
        <v>8225.02768785972</v>
      </c>
      <c r="CE228" s="7" t="n">
        <f aca="false">CE212*(1-$E$130)+IF(CE$3=$I$15,$I$233,0)</f>
        <v>8263.17751924722</v>
      </c>
      <c r="CF228" s="7" t="n">
        <f aca="false">CF212*(1-$E$130)+IF(CF$3=$I$15,$I$233,0)</f>
        <v>8237.36657180145</v>
      </c>
      <c r="CG228" s="7" t="n">
        <f aca="false">CG212*(1-$E$130)+IF(CG$3=$I$15,$I$233,0)</f>
        <v>8319.89477847645</v>
      </c>
      <c r="CH228" s="7" t="n">
        <f aca="false">CH212*(1-$E$130)+IF(CH$3=$I$15,$I$233,0)</f>
        <v>8319.89477847645</v>
      </c>
      <c r="CI228" s="7" t="n">
        <f aca="false">CI212*(1-$E$130)+IF(CI$3=$I$15,$I$233,0)</f>
        <v>8351.66035236645</v>
      </c>
      <c r="CJ228" s="7" t="n">
        <f aca="false">CJ212*(1-$E$130)+IF(CJ$3=$I$15,$I$233,0)</f>
        <v>8351.66035236645</v>
      </c>
      <c r="CK228" s="7" t="n">
        <f aca="false">CK212*(1-$E$130)+IF(CK$3=$I$15,$I$233,0)</f>
        <v>8378.54690020145</v>
      </c>
      <c r="CL228" s="7" t="n">
        <f aca="false">CL212*(1-$E$130)+IF(CL$3=$I$15,$I$233,0)</f>
        <v>8378.54690020145</v>
      </c>
      <c r="CM228" s="7" t="n">
        <f aca="false">CM212*(1-$E$130)+IF(CM$3=$I$15,$I$233,0)</f>
        <v>9318.77416457479</v>
      </c>
      <c r="CN228" s="7" t="n">
        <f aca="false">CN212*(1-$E$130)+IF(CN$3=$I$15,$I$233,0)</f>
        <v>9318.77416457479</v>
      </c>
      <c r="CO228" s="7" t="n">
        <f aca="false">CO212*(1-$E$130)+IF(CO$3=$I$15,$I$233,0)</f>
        <v>15339.0132745748</v>
      </c>
      <c r="CP228" s="7" t="n">
        <f aca="false">CP212*(1-$E$130)+IF(CP$3=$I$15,$I$233,0)</f>
        <v>15339.0132745748</v>
      </c>
      <c r="CQ228" s="7" t="n">
        <f aca="false">CQ212*(1-$E$130)+IF(CQ$3=$I$15,$I$233,0)</f>
        <v>15378.3076009039</v>
      </c>
      <c r="CR228" s="7" t="n">
        <f aca="false">CR212*(1-$E$130)+IF(CR$3=$I$15,$I$233,0)</f>
        <v>15351.7223250348</v>
      </c>
      <c r="CS228" s="7" t="n">
        <f aca="false">CS212*(1-$E$130)+IF(CS$3=$I$15,$I$233,0)</f>
        <v>15436.72637791</v>
      </c>
      <c r="CT228" s="7" t="n">
        <f aca="false">CT212*(1-$E$130)+IF(CT$3=$I$15,$I$233,0)</f>
        <v>15436.72637791</v>
      </c>
      <c r="CU228" s="7" t="n">
        <f aca="false">CU212*(1-$E$130)+IF(CU$3=$I$15,$I$233,0)</f>
        <v>15469.4449190167</v>
      </c>
      <c r="CV228" s="7" t="n">
        <f aca="false">CV212*(1-$E$130)+IF(CV$3=$I$15,$I$233,0)</f>
        <v>15469.4449190167</v>
      </c>
      <c r="CW228" s="7" t="n">
        <f aca="false">CW212*(1-$E$130)+IF(CW$3=$I$15,$I$233,0)</f>
        <v>15497.1380632868</v>
      </c>
      <c r="CX228" s="7" t="n">
        <f aca="false">CX212*(1-$E$130)+IF(CX$3=$I$15,$I$233,0)</f>
        <v>15497.1380632868</v>
      </c>
      <c r="CY228" s="7" t="n">
        <f aca="false">CY212*(1-$E$130)+IF(CY$3=$I$15,$I$233,0)</f>
        <v>15541.618171458</v>
      </c>
      <c r="CZ228" s="7" t="n">
        <f aca="false">CZ212*(1-$E$130)+IF(CZ$3=$I$15,$I$233,0)</f>
        <v>15541.618171458</v>
      </c>
      <c r="DA228" s="7" t="n">
        <f aca="false">DA212*(1-$E$130)+IF(DA$3=$I$15,$I$233,0)</f>
        <v>15541.618171458</v>
      </c>
      <c r="DB228" s="7" t="n">
        <f aca="false">DB212*(1-$E$130)+IF(DB$3=$I$15,$I$233,0)</f>
        <v>15541.618171458</v>
      </c>
      <c r="DC228" s="7" t="n">
        <f aca="false">DC212*(1-$E$130)+IF(DC$3=$I$15,$I$233,0)</f>
        <v>15582.091327577</v>
      </c>
      <c r="DD228" s="7" t="n">
        <f aca="false">DD212*(1-$E$130)+IF(DD$3=$I$15,$I$233,0)</f>
        <v>5212538.70221876</v>
      </c>
      <c r="DE228" s="7" t="n">
        <f aca="false">DE212*(1-$E$130)+IF(DE$3=$I$15,$I$233,0)</f>
        <v>0</v>
      </c>
      <c r="DF228" s="7" t="n">
        <f aca="false">DF212*(1-$E$130)+IF(DF$3=$I$15,$I$233,0)</f>
        <v>0</v>
      </c>
      <c r="DG228" s="7" t="n">
        <f aca="false">DG212*(1-$E$130)+IF(DG$3=$I$15,$I$233,0)</f>
        <v>0</v>
      </c>
      <c r="DH228" s="7" t="n">
        <f aca="false">DH212*(1-$E$130)+IF(DH$3=$I$15,$I$233,0)</f>
        <v>0</v>
      </c>
      <c r="DI228" s="7" t="n">
        <f aca="false">DI212*(1-$E$130)+IF(DI$3=$I$15,$I$233,0)</f>
        <v>0</v>
      </c>
      <c r="DJ228" s="7" t="n">
        <f aca="false">DJ212*(1-$E$130)+IF(DJ$3=$I$15,$I$233,0)</f>
        <v>0</v>
      </c>
      <c r="DK228" s="7" t="n">
        <f aca="false">DK212*(1-$E$130)+IF(DK$3=$I$15,$I$233,0)</f>
        <v>0</v>
      </c>
      <c r="DL228" s="7" t="n">
        <f aca="false">DL212*(1-$E$130)+IF(DL$3=$I$15,$I$233,0)</f>
        <v>0</v>
      </c>
      <c r="DM228" s="7" t="n">
        <f aca="false">DM212*(1-$E$130)+IF(DM$3=$I$15,$I$233,0)</f>
        <v>0</v>
      </c>
      <c r="DN228" s="7" t="n">
        <f aca="false">DN212*(1-$E$130)+IF(DN$3=$I$15,$I$233,0)</f>
        <v>0</v>
      </c>
      <c r="DO228" s="7" t="n">
        <f aca="false">DO212*(1-$E$130)+IF(DO$3=$I$15,$I$233,0)</f>
        <v>0</v>
      </c>
      <c r="DP228" s="7" t="n">
        <f aca="false">DP212*(1-$E$130)+IF(DP$3=$I$15,$I$233,0)</f>
        <v>0</v>
      </c>
    </row>
    <row r="229" customFormat="false" ht="15" hidden="false" customHeight="false" outlineLevel="0" collapsed="false">
      <c r="B229" s="0" t="s">
        <v>7</v>
      </c>
      <c r="G229" s="2" t="n">
        <f aca="false">SUMIF($L$229:$DP$229,"&gt;0")/-SUMIF($L$229:$DP$229,"&lt;0")</f>
        <v>2.48338801129135</v>
      </c>
      <c r="H229" s="1" t="n">
        <f aca="true">XIRR(OFFSET($L$229,0,0,1,$I$15+1),OFFSET($L$24,0,0,1,$I$15+1))</f>
        <v>0.158012180497076</v>
      </c>
      <c r="I229" s="4" t="n">
        <f aca="false">SUM($L$229:$DP$229)</f>
        <v>16599362.9616593</v>
      </c>
      <c r="L229" s="7" t="n">
        <f aca="false">L212*$E$130-IF(L$3=$I$15,$I$233,0)</f>
        <v>-3563280</v>
      </c>
      <c r="M229" s="7" t="n">
        <f aca="false">M212*$E$130-IF(M$3=$I$15,$I$233,0)</f>
        <v>-76375.9566</v>
      </c>
      <c r="N229" s="7" t="n">
        <f aca="false">N212*$E$130-IF(N$3=$I$15,$I$233,0)</f>
        <v>-136541.443203</v>
      </c>
      <c r="O229" s="7" t="n">
        <f aca="false">O212*$E$130-IF(O$3=$I$15,$I$233,0)</f>
        <v>-137525.854806</v>
      </c>
      <c r="P229" s="7" t="n">
        <f aca="false">P212*$E$130-IF(P$3=$I$15,$I$233,0)</f>
        <v>-191950.64008155</v>
      </c>
      <c r="Q229" s="7" t="n">
        <f aca="false">Q212*$E$130-IF(Q$3=$I$15,$I$233,0)</f>
        <v>-297280.995781327</v>
      </c>
      <c r="R229" s="7" t="n">
        <f aca="false">R212*$E$130-IF(R$3=$I$15,$I$233,0)</f>
        <v>-394635.25407894</v>
      </c>
      <c r="S229" s="7" t="n">
        <f aca="false">S212*$E$130-IF(S$3=$I$15,$I$233,0)</f>
        <v>-478513.594519977</v>
      </c>
      <c r="T229" s="7" t="n">
        <f aca="false">T212*$E$130-IF(T$3=$I$15,$I$233,0)</f>
        <v>-544191.569396328</v>
      </c>
      <c r="U229" s="7" t="n">
        <f aca="false">U212*$E$130-IF(U$3=$I$15,$I$233,0)</f>
        <v>-528231.502899992</v>
      </c>
      <c r="V229" s="7" t="n">
        <f aca="false">V212*$E$130-IF(V$3=$I$15,$I$233,0)</f>
        <v>-547154.504173446</v>
      </c>
      <c r="W229" s="7" t="n">
        <f aca="false">W212*$E$130-IF(W$3=$I$15,$I$233,0)</f>
        <v>-540755.55548758</v>
      </c>
      <c r="X229" s="7" t="n">
        <f aca="false">X212*$E$130-IF(X$3=$I$15,$I$233,0)</f>
        <v>-547306.140821475</v>
      </c>
      <c r="Y229" s="7" t="n">
        <f aca="false">Y212*$E$130-IF(Y$3=$I$15,$I$233,0)</f>
        <v>-564465.999972888</v>
      </c>
      <c r="Z229" s="7" t="n">
        <f aca="false">Z212*$E$130-IF(Z$3=$I$15,$I$233,0)</f>
        <v>-549314.370770449</v>
      </c>
      <c r="AA229" s="7" t="n">
        <f aca="false">AA212*$E$130-IF(AA$3=$I$15,$I$233,0)</f>
        <v>-499042.297255446</v>
      </c>
      <c r="AB229" s="7" t="n">
        <f aca="false">AB212*$E$130-IF(AB$3=$I$15,$I$233,0)</f>
        <v>-414086.597777631</v>
      </c>
      <c r="AC229" s="7" t="n">
        <f aca="false">AC212*$E$130-IF(AC$3=$I$15,$I$233,0)</f>
        <v>-349630.619127947</v>
      </c>
      <c r="AD229" s="7" t="n">
        <f aca="false">AD212*$E$130-IF(AD$3=$I$15,$I$233,0)</f>
        <v>-310554.990212734</v>
      </c>
      <c r="AE229" s="7" t="n">
        <f aca="false">AE212*$E$130-IF(AE$3=$I$15,$I$233,0)</f>
        <v>-283236.013481345</v>
      </c>
      <c r="AF229" s="7" t="n">
        <f aca="false">AF212*$E$130-IF(AF$3=$I$15,$I$233,0)</f>
        <v>-209290.682321946</v>
      </c>
      <c r="AG229" s="7" t="n">
        <f aca="false">AG212*$E$130-IF(AG$3=$I$15,$I$233,0)</f>
        <v>-12835.13661</v>
      </c>
      <c r="AH229" s="7" t="n">
        <f aca="false">AH212*$E$130-IF(AH$3=$I$15,$I$233,0)</f>
        <v>-12835.13661</v>
      </c>
      <c r="AI229" s="7" t="n">
        <f aca="false">AI212*$E$130-IF(AI$3=$I$15,$I$233,0)</f>
        <v>-308.591459999966</v>
      </c>
      <c r="AJ229" s="7" t="n">
        <f aca="false">AJ212*$E$130-IF(AJ$3=$I$15,$I$233,0)</f>
        <v>-825.837529499948</v>
      </c>
      <c r="AK229" s="7" t="n">
        <f aca="false">AK212*$E$130-IF(AK$3=$I$15,$I$233,0)</f>
        <v>26664.5287665</v>
      </c>
      <c r="AL229" s="7" t="n">
        <f aca="false">AL212*$E$130-IF(AL$3=$I$15,$I$233,0)</f>
        <v>26664.5287665</v>
      </c>
      <c r="AM229" s="7" t="n">
        <f aca="false">AM212*$E$130-IF(AM$3=$I$15,$I$233,0)</f>
        <v>37197.8536275</v>
      </c>
      <c r="AN229" s="7" t="n">
        <f aca="false">AN212*$E$130-IF(AN$3=$I$15,$I$233,0)</f>
        <v>37197.8536275</v>
      </c>
      <c r="AO229" s="7" t="n">
        <f aca="false">AO212*$E$130-IF(AO$3=$I$15,$I$233,0)</f>
        <v>45988.9396305</v>
      </c>
      <c r="AP229" s="7" t="n">
        <f aca="false">AP212*$E$130-IF(AP$3=$I$15,$I$233,0)</f>
        <v>1952860.5697965</v>
      </c>
      <c r="AQ229" s="7" t="n">
        <f aca="false">AQ212*$E$130-IF(AQ$3=$I$15,$I$233,0)</f>
        <v>69017.6621937188</v>
      </c>
      <c r="AR229" s="7" t="n">
        <f aca="false">AR212*$E$130-IF(AR$3=$I$15,$I$233,0)</f>
        <v>69017.6621937188</v>
      </c>
      <c r="AS229" s="7" t="n">
        <f aca="false">AS212*$E$130-IF(AS$3=$I$15,$I$233,0)</f>
        <v>69017.6621937188</v>
      </c>
      <c r="AT229" s="7" t="n">
        <f aca="false">AT212*$E$130-IF(AT$3=$I$15,$I$233,0)</f>
        <v>69017.6621937188</v>
      </c>
      <c r="AU229" s="7" t="n">
        <f aca="false">AU212*$E$130-IF(AU$3=$I$15,$I$233,0)</f>
        <v>69331.8746937188</v>
      </c>
      <c r="AV229" s="7" t="n">
        <f aca="false">AV212*$E$130-IF(AV$3=$I$15,$I$233,0)</f>
        <v>69119.2886342438</v>
      </c>
      <c r="AW229" s="7" t="n">
        <f aca="false">AW212*$E$130-IF(AW$3=$I$15,$I$233,0)</f>
        <v>69799.0136342438</v>
      </c>
      <c r="AX229" s="7" t="n">
        <f aca="false">AX212*$E$130-IF(AX$3=$I$15,$I$233,0)</f>
        <v>69799.0136342438</v>
      </c>
      <c r="AY229" s="7" t="n">
        <f aca="false">AY212*$E$130-IF(AY$3=$I$15,$I$233,0)</f>
        <v>70060.6436342438</v>
      </c>
      <c r="AZ229" s="7" t="n">
        <f aca="false">AZ212*$E$130-IF(AZ$3=$I$15,$I$233,0)</f>
        <v>70060.6436342438</v>
      </c>
      <c r="BA229" s="7" t="n">
        <f aca="false">BA212*$E$130-IF(BA$3=$I$15,$I$233,0)</f>
        <v>70282.0886342438</v>
      </c>
      <c r="BB229" s="7" t="n">
        <f aca="false">BB212*$E$130-IF(BB$3=$I$15,$I$233,0)</f>
        <v>70282.0886342438</v>
      </c>
      <c r="BC229" s="7" t="n">
        <f aca="false">BC212*$E$130-IF(BC$3=$I$15,$I$233,0)</f>
        <v>70637.7686342438</v>
      </c>
      <c r="BD229" s="7" t="n">
        <f aca="false">BD212*$E$130-IF(BD$3=$I$15,$I$233,0)</f>
        <v>70637.7686342438</v>
      </c>
      <c r="BE229" s="7" t="n">
        <f aca="false">BE212*$E$130-IF(BE$3=$I$15,$I$233,0)</f>
        <v>70637.7686342438</v>
      </c>
      <c r="BF229" s="7" t="n">
        <f aca="false">BF212*$E$130-IF(BF$3=$I$15,$I$233,0)</f>
        <v>70637.7686342438</v>
      </c>
      <c r="BG229" s="7" t="n">
        <f aca="false">BG212*$E$130-IF(BG$3=$I$15,$I$233,0)</f>
        <v>70961.4075092438</v>
      </c>
      <c r="BH229" s="7" t="n">
        <f aca="false">BH212*$E$130-IF(BH$3=$I$15,$I$233,0)</f>
        <v>70742.4438679845</v>
      </c>
      <c r="BI229" s="7" t="n">
        <f aca="false">BI212*$E$130-IF(BI$3=$I$15,$I$233,0)</f>
        <v>71442.5606179845</v>
      </c>
      <c r="BJ229" s="7" t="n">
        <f aca="false">BJ212*$E$130-IF(BJ$3=$I$15,$I$233,0)</f>
        <v>71442.5606179845</v>
      </c>
      <c r="BK229" s="7" t="n">
        <f aca="false">BK212*$E$130-IF(BK$3=$I$15,$I$233,0)</f>
        <v>71712.0395179846</v>
      </c>
      <c r="BL229" s="7" t="n">
        <f aca="false">BL212*$E$130-IF(BL$3=$I$15,$I$233,0)</f>
        <v>71712.0395179846</v>
      </c>
      <c r="BM229" s="7" t="n">
        <f aca="false">BM212*$E$130-IF(BM$3=$I$15,$I$233,0)</f>
        <v>71940.1278679845</v>
      </c>
      <c r="BN229" s="7" t="n">
        <f aca="false">BN212*$E$130-IF(BN$3=$I$15,$I$233,0)</f>
        <v>71940.1278679845</v>
      </c>
      <c r="BO229" s="7" t="n">
        <f aca="false">BO212*$E$130-IF(BO$3=$I$15,$I$233,0)</f>
        <v>72306.4782679845</v>
      </c>
      <c r="BP229" s="7" t="n">
        <f aca="false">BP212*$E$130-IF(BP$3=$I$15,$I$233,0)</f>
        <v>72306.4782679845</v>
      </c>
      <c r="BQ229" s="7" t="n">
        <f aca="false">BQ212*$E$130-IF(BQ$3=$I$15,$I$233,0)</f>
        <v>72306.4782679845</v>
      </c>
      <c r="BR229" s="7" t="n">
        <f aca="false">BR212*$E$130-IF(BR$3=$I$15,$I$233,0)</f>
        <v>72306.4782679845</v>
      </c>
      <c r="BS229" s="7" t="n">
        <f aca="false">BS212*$E$130-IF(BS$3=$I$15,$I$233,0)</f>
        <v>72639.8263092346</v>
      </c>
      <c r="BT229" s="7" t="n">
        <f aca="false">BT212*$E$130-IF(BT$3=$I$15,$I$233,0)</f>
        <v>72414.2937587375</v>
      </c>
      <c r="BU229" s="7" t="n">
        <f aca="false">BU212*$E$130-IF(BU$3=$I$15,$I$233,0)</f>
        <v>73135.4140112375</v>
      </c>
      <c r="BV229" s="7" t="n">
        <f aca="false">BV212*$E$130-IF(BV$3=$I$15,$I$233,0)</f>
        <v>73135.4140112375</v>
      </c>
      <c r="BW229" s="7" t="n">
        <f aca="false">BW212*$E$130-IF(BW$3=$I$15,$I$233,0)</f>
        <v>73412.9772782375</v>
      </c>
      <c r="BX229" s="7" t="n">
        <f aca="false">BX212*$E$130-IF(BX$3=$I$15,$I$233,0)</f>
        <v>73412.9772782375</v>
      </c>
      <c r="BY229" s="7" t="n">
        <f aca="false">BY212*$E$130-IF(BY$3=$I$15,$I$233,0)</f>
        <v>73647.9082787375</v>
      </c>
      <c r="BZ229" s="7" t="n">
        <f aca="false">BZ212*$E$130-IF(BZ$3=$I$15,$I$233,0)</f>
        <v>73647.9082787375</v>
      </c>
      <c r="CA229" s="7" t="n">
        <f aca="false">CA212*$E$130-IF(CA$3=$I$15,$I$233,0)</f>
        <v>74025.2491907375</v>
      </c>
      <c r="CB229" s="7" t="n">
        <f aca="false">CB212*$E$130-IF(CB$3=$I$15,$I$233,0)</f>
        <v>74025.2491907375</v>
      </c>
      <c r="CC229" s="7" t="n">
        <f aca="false">CC212*$E$130-IF(CC$3=$I$15,$I$233,0)</f>
        <v>74025.2491907375</v>
      </c>
      <c r="CD229" s="7" t="n">
        <f aca="false">CD212*$E$130-IF(CD$3=$I$15,$I$233,0)</f>
        <v>74025.2491907375</v>
      </c>
      <c r="CE229" s="7" t="n">
        <f aca="false">CE212*$E$130-IF(CE$3=$I$15,$I$233,0)</f>
        <v>74368.597673225</v>
      </c>
      <c r="CF229" s="7" t="n">
        <f aca="false">CF212*$E$130-IF(CF$3=$I$15,$I$233,0)</f>
        <v>74136.2991462131</v>
      </c>
      <c r="CG229" s="7" t="n">
        <f aca="false">CG212*$E$130-IF(CG$3=$I$15,$I$233,0)</f>
        <v>74879.0530062881</v>
      </c>
      <c r="CH229" s="7" t="n">
        <f aca="false">CH212*$E$130-IF(CH$3=$I$15,$I$233,0)</f>
        <v>74879.0530062881</v>
      </c>
      <c r="CI229" s="7" t="n">
        <f aca="false">CI212*$E$130-IF(CI$3=$I$15,$I$233,0)</f>
        <v>75164.943171298</v>
      </c>
      <c r="CJ229" s="7" t="n">
        <f aca="false">CJ212*$E$130-IF(CJ$3=$I$15,$I$233,0)</f>
        <v>75164.943171298</v>
      </c>
      <c r="CK229" s="7" t="n">
        <f aca="false">CK212*$E$130-IF(CK$3=$I$15,$I$233,0)</f>
        <v>75406.9221018131</v>
      </c>
      <c r="CL229" s="7" t="n">
        <f aca="false">CL212*$E$130-IF(CL$3=$I$15,$I$233,0)</f>
        <v>75406.9221018131</v>
      </c>
      <c r="CM229" s="7" t="n">
        <f aca="false">CM212*$E$130-IF(CM$3=$I$15,$I$233,0)</f>
        <v>83868.9674811731</v>
      </c>
      <c r="CN229" s="7" t="n">
        <f aca="false">CN212*$E$130-IF(CN$3=$I$15,$I$233,0)</f>
        <v>83868.9674811731</v>
      </c>
      <c r="CO229" s="7" t="n">
        <f aca="false">CO212*$E$130-IF(CO$3=$I$15,$I$233,0)</f>
        <v>138051.119471173</v>
      </c>
      <c r="CP229" s="7" t="n">
        <f aca="false">CP212*$E$130-IF(CP$3=$I$15,$I$233,0)</f>
        <v>138051.119471173</v>
      </c>
      <c r="CQ229" s="7" t="n">
        <f aca="false">CQ212*$E$130-IF(CQ$3=$I$15,$I$233,0)</f>
        <v>138404.768408135</v>
      </c>
      <c r="CR229" s="7" t="n">
        <f aca="false">CR212*$E$130-IF(CR$3=$I$15,$I$233,0)</f>
        <v>138165.500925313</v>
      </c>
      <c r="CS229" s="7" t="n">
        <f aca="false">CS212*$E$130-IF(CS$3=$I$15,$I$233,0)</f>
        <v>138930.53740119</v>
      </c>
      <c r="CT229" s="7" t="n">
        <f aca="false">CT212*$E$130-IF(CT$3=$I$15,$I$233,0)</f>
        <v>138930.53740119</v>
      </c>
      <c r="CU229" s="7" t="n">
        <f aca="false">CU212*$E$130-IF(CU$3=$I$15,$I$233,0)</f>
        <v>139225.004271151</v>
      </c>
      <c r="CV229" s="7" t="n">
        <f aca="false">CV212*$E$130-IF(CV$3=$I$15,$I$233,0)</f>
        <v>139225.004271151</v>
      </c>
      <c r="CW229" s="7" t="n">
        <f aca="false">CW212*$E$130-IF(CW$3=$I$15,$I$233,0)</f>
        <v>139474.242569581</v>
      </c>
      <c r="CX229" s="7" t="n">
        <f aca="false">CX212*$E$130-IF(CX$3=$I$15,$I$233,0)</f>
        <v>139474.242569581</v>
      </c>
      <c r="CY229" s="7" t="n">
        <f aca="false">CY212*$E$130-IF(CY$3=$I$15,$I$233,0)</f>
        <v>139874.563543122</v>
      </c>
      <c r="CZ229" s="7" t="n">
        <f aca="false">CZ212*$E$130-IF(CZ$3=$I$15,$I$233,0)</f>
        <v>139874.563543122</v>
      </c>
      <c r="DA229" s="7" t="n">
        <f aca="false">DA212*$E$130-IF(DA$3=$I$15,$I$233,0)</f>
        <v>139874.563543122</v>
      </c>
      <c r="DB229" s="7" t="n">
        <f aca="false">DB212*$E$130-IF(DB$3=$I$15,$I$233,0)</f>
        <v>139874.563543122</v>
      </c>
      <c r="DC229" s="7" t="n">
        <f aca="false">DC212*$E$130-IF(DC$3=$I$15,$I$233,0)</f>
        <v>140238.821948193</v>
      </c>
      <c r="DD229" s="7" t="n">
        <f aca="false">DD212*$E$130-IF(DD$3=$I$15,$I$233,0)</f>
        <v>19948120.8363332</v>
      </c>
      <c r="DE229" s="7" t="n">
        <f aca="false">DE212*$E$130-IF(DE$3=$I$15,$I$233,0)</f>
        <v>0</v>
      </c>
      <c r="DF229" s="7" t="n">
        <f aca="false">DF212*$E$130-IF(DF$3=$I$15,$I$233,0)</f>
        <v>0</v>
      </c>
      <c r="DG229" s="7" t="n">
        <f aca="false">DG212*$E$130-IF(DG$3=$I$15,$I$233,0)</f>
        <v>0</v>
      </c>
      <c r="DH229" s="7" t="n">
        <f aca="false">DH212*$E$130-IF(DH$3=$I$15,$I$233,0)</f>
        <v>0</v>
      </c>
      <c r="DI229" s="7" t="n">
        <f aca="false">DI212*$E$130-IF(DI$3=$I$15,$I$233,0)</f>
        <v>0</v>
      </c>
      <c r="DJ229" s="7" t="n">
        <f aca="false">DJ212*$E$130-IF(DJ$3=$I$15,$I$233,0)</f>
        <v>0</v>
      </c>
      <c r="DK229" s="7" t="n">
        <f aca="false">DK212*$E$130-IF(DK$3=$I$15,$I$233,0)</f>
        <v>0</v>
      </c>
      <c r="DL229" s="7" t="n">
        <f aca="false">DL212*$E$130-IF(DL$3=$I$15,$I$233,0)</f>
        <v>0</v>
      </c>
      <c r="DM229" s="7" t="n">
        <f aca="false">DM212*$E$130-IF(DM$3=$I$15,$I$233,0)</f>
        <v>0</v>
      </c>
      <c r="DN229" s="7" t="n">
        <f aca="false">DN212*$E$130-IF(DN$3=$I$15,$I$233,0)</f>
        <v>0</v>
      </c>
      <c r="DO229" s="7" t="n">
        <f aca="false">DO212*$E$130-IF(DO$3=$I$15,$I$233,0)</f>
        <v>0</v>
      </c>
      <c r="DP229" s="7" t="n">
        <f aca="false">DP212*$E$130-IF(DP$3=$I$15,$I$233,0)</f>
        <v>0</v>
      </c>
    </row>
    <row r="232" customFormat="false" ht="15" hidden="false" customHeight="false" outlineLevel="0" collapsed="false">
      <c r="B232" s="0" t="s">
        <v>100</v>
      </c>
      <c r="I232" s="4" t="n">
        <f aca="false">-SUMIF($L$212:$DP$212,"&lt;0")</f>
        <v>12433521.427755</v>
      </c>
    </row>
    <row r="233" customFormat="false" ht="15" hidden="false" customHeight="false" outlineLevel="0" collapsed="false">
      <c r="B233" s="0" t="s">
        <v>101</v>
      </c>
      <c r="I233" s="4" t="n">
        <f aca="false">MAX(0,$E$132*($I$212-$E$131*$I$232*$I$15/12))</f>
        <v>2696472.74836356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2026-10-20T13:44:46Z</dcterms:created>
  <dc:creator>openpyxl</dc:creator>
  <dc:description/>
  <dc:language>en-US</dc:language>
  <cp:lastModifiedBy/>
  <dcterms:modified xsi:type="dcterms:W3CDTF">2026-10-20T13:44:46Z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