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Cash Flow" sheetId="2" state="visible" r:id="rId4"/>
    <sheet name="Return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<sst xmlns="http://schemas.openxmlformats.org/spreadsheetml/2006/main" count="21" uniqueCount="21">
  <si>
    <t xml:space="preserve">KOWLOON TONG STUDENT RESIDENCE (HKD)</t>
  </si>
  <si>
    <t xml:space="preserve">Beds</t>
  </si>
  <si>
    <t xml:space="preserve">Purchase price (HK$)</t>
  </si>
  <si>
    <t xml:space="preserve">Nomination agreement share</t>
  </si>
  <si>
    <t xml:space="preserve">Nomination rate (HK$/bed/month)</t>
  </si>
  <si>
    <t xml:space="preserve">Direct-let rate (HK$/bed/month)</t>
  </si>
  <si>
    <t xml:space="preserve">Direct-let occupancy</t>
  </si>
  <si>
    <t xml:space="preserve">Academic months let</t>
  </si>
  <si>
    <t xml:space="preserve">Summer income (HK$)</t>
  </si>
  <si>
    <t xml:space="preserve">Opex ratio</t>
  </si>
  <si>
    <t xml:space="preserve">Exit yield</t>
  </si>
  <si>
    <t xml:space="preserve">Hold (years)</t>
  </si>
  <si>
    <t xml:space="preserve">Year</t>
  </si>
  <si>
    <t xml:space="preserve">NOI</t>
  </si>
  <si>
    <t xml:space="preserve">Sale</t>
  </si>
  <si>
    <t xml:space="preserve">Purchase</t>
  </si>
  <si>
    <t xml:space="preserve">Net cash flow</t>
  </si>
  <si>
    <t xml:space="preserve">Unlevered IRR</t>
  </si>
  <si>
    <t xml:space="preserve">Net profit</t>
  </si>
  <si>
    <t xml:space="preserve">Going-in yield</t>
  </si>
  <si>
    <t xml:space="preserve">Income secured by nominations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</si>
</sst>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0%"/>
    <numFmt numFmtId="167" formatCode="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  <row r="3" customFormat="false" ht="15" hidden="false" customHeight="false" outlineLevel="0" collapsed="false">
      <c r="A3" s="0" t="s">
        <v>1</v>
      </c>
      <c r="B3" s="1" t="n">
        <v>820</v>
      </c>
    </row>
    <row r="4" customFormat="false" ht="15" hidden="false" customHeight="false" outlineLevel="0" collapsed="false">
      <c r="A4" s="0" t="s">
        <v>2</v>
      </c>
      <c r="B4" s="1" t="n">
        <v>1450000000</v>
      </c>
    </row>
    <row r="5" customFormat="false" ht="15" hidden="false" customHeight="false" outlineLevel="0" collapsed="false">
      <c r="A5" s="0" t="s">
        <v>3</v>
      </c>
      <c r="B5" s="2" t="n">
        <v>0.6</v>
      </c>
    </row>
    <row r="6" customFormat="false" ht="15" hidden="false" customHeight="false" outlineLevel="0" collapsed="false">
      <c r="A6" s="0" t="s">
        <v>4</v>
      </c>
      <c r="B6" s="1" t="n">
        <v>7800</v>
      </c>
    </row>
    <row r="7" customFormat="false" ht="15" hidden="false" customHeight="false" outlineLevel="0" collapsed="false">
      <c r="A7" s="0" t="s">
        <v>5</v>
      </c>
      <c r="B7" s="1" t="n">
        <v>9200</v>
      </c>
    </row>
    <row r="8" customFormat="false" ht="15" hidden="false" customHeight="false" outlineLevel="0" collapsed="false">
      <c r="A8" s="0" t="s">
        <v>6</v>
      </c>
      <c r="B8" s="2" t="n">
        <v>0.88</v>
      </c>
    </row>
    <row r="9" customFormat="false" ht="15" hidden="false" customHeight="false" outlineLevel="0" collapsed="false">
      <c r="A9" s="0" t="s">
        <v>7</v>
      </c>
      <c r="B9" s="3" t="n">
        <v>10</v>
      </c>
    </row>
    <row r="10" customFormat="false" ht="15" hidden="false" customHeight="false" outlineLevel="0" collapsed="false">
      <c r="A10" s="0" t="s">
        <v>8</v>
      </c>
      <c r="B10" s="1" t="n">
        <v>9000000</v>
      </c>
    </row>
    <row r="11" customFormat="false" ht="15" hidden="false" customHeight="false" outlineLevel="0" collapsed="false">
      <c r="A11" s="0" t="s">
        <v>9</v>
      </c>
      <c r="B11" s="2" t="n">
        <v>0.3</v>
      </c>
    </row>
    <row r="12" customFormat="false" ht="15" hidden="false" customHeight="false" outlineLevel="0" collapsed="false">
      <c r="A12" s="0" t="s">
        <v>10</v>
      </c>
      <c r="B12" s="2" t="n">
        <v>0.04</v>
      </c>
    </row>
    <row r="13" customFormat="false" ht="15" hidden="false" customHeight="false" outlineLevel="0" collapsed="false">
      <c r="A13" s="0" t="s">
        <v>11</v>
      </c>
      <c r="B13" s="3" t="n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K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3" customFormat="false" ht="15" hidden="false" customHeight="false" outlineLevel="0" collapsed="false">
      <c r="A3" s="0" t="s">
        <v>12</v>
      </c>
      <c r="B3" s="0" t="n">
        <v>0</v>
      </c>
      <c r="C3" s="0" t="n">
        <v>1</v>
      </c>
      <c r="D3" s="0" t="n">
        <v>2</v>
      </c>
      <c r="E3" s="0" t="n">
        <v>3</v>
      </c>
      <c r="F3" s="0" t="n">
        <v>4</v>
      </c>
      <c r="G3" s="0" t="n">
        <v>5</v>
      </c>
      <c r="H3" s="0" t="n">
        <v>6</v>
      </c>
      <c r="I3" s="0" t="n">
        <v>7</v>
      </c>
      <c r="J3" s="0" t="n">
        <v>8</v>
      </c>
      <c r="K3" s="0" t="n">
        <v>9</v>
      </c>
    </row>
    <row r="4" customFormat="false" ht="15" hidden="false" customHeight="false" outlineLevel="0" collapsed="false">
      <c r="A4" s="0" t="s">
        <v>13</v>
      </c>
      <c r="B4" s="0" t="n">
        <f aca="false">(B$3&gt;=1)*(B$3&lt;=Inputs!$B$13)*((Inputs!$B$3*(Inputs!$B$5*Inputs!$B$6+(1-Inputs!$B$5)*Inputs!$B$7*Inputs!$B$8)*Inputs!$B$9+Inputs!$B$10)*(1-Inputs!$B$11))*1.025^MAX(0,B$3-1)</f>
        <v>0</v>
      </c>
      <c r="C4" s="0" t="n">
        <f aca="false">(C$3&gt;=1)*(C$3&lt;=Inputs!$B$13)*((Inputs!$B$3*(Inputs!$B$5*Inputs!$B$6+(1-Inputs!$B$5)*Inputs!$B$7*Inputs!$B$8)*Inputs!$B$9+Inputs!$B$10)*(1-Inputs!$B$11))*1.025^MAX(0,C$3-1)</f>
        <v>51751616</v>
      </c>
      <c r="D4" s="0" t="n">
        <f aca="false">(D$3&gt;=1)*(D$3&lt;=Inputs!$B$13)*((Inputs!$B$3*(Inputs!$B$5*Inputs!$B$6+(1-Inputs!$B$5)*Inputs!$B$7*Inputs!$B$8)*Inputs!$B$9+Inputs!$B$10)*(1-Inputs!$B$11))*1.025^MAX(0,D$3-1)</f>
        <v>53045406.4</v>
      </c>
      <c r="E4" s="0" t="n">
        <f aca="false">(E$3&gt;=1)*(E$3&lt;=Inputs!$B$13)*((Inputs!$B$3*(Inputs!$B$5*Inputs!$B$6+(1-Inputs!$B$5)*Inputs!$B$7*Inputs!$B$8)*Inputs!$B$9+Inputs!$B$10)*(1-Inputs!$B$11))*1.025^MAX(0,E$3-1)</f>
        <v>54371541.56</v>
      </c>
      <c r="F4" s="0" t="n">
        <f aca="false">(F$3&gt;=1)*(F$3&lt;=Inputs!$B$13)*((Inputs!$B$3*(Inputs!$B$5*Inputs!$B$6+(1-Inputs!$B$5)*Inputs!$B$7*Inputs!$B$8)*Inputs!$B$9+Inputs!$B$10)*(1-Inputs!$B$11))*1.025^MAX(0,F$3-1)</f>
        <v>55730830.099</v>
      </c>
      <c r="G4" s="0" t="n">
        <f aca="false">(G$3&gt;=1)*(G$3&lt;=Inputs!$B$13)*((Inputs!$B$3*(Inputs!$B$5*Inputs!$B$6+(1-Inputs!$B$5)*Inputs!$B$7*Inputs!$B$8)*Inputs!$B$9+Inputs!$B$10)*(1-Inputs!$B$11))*1.025^MAX(0,G$3-1)</f>
        <v>57124100.851475</v>
      </c>
      <c r="H4" s="0" t="n">
        <f aca="false">(H$3&gt;=1)*(H$3&lt;=Inputs!$B$13)*((Inputs!$B$3*(Inputs!$B$5*Inputs!$B$6+(1-Inputs!$B$5)*Inputs!$B$7*Inputs!$B$8)*Inputs!$B$9+Inputs!$B$10)*(1-Inputs!$B$11))*1.025^MAX(0,H$3-1)</f>
        <v>58552203.3727618</v>
      </c>
      <c r="I4" s="0" t="n">
        <f aca="false">(I$3&gt;=1)*(I$3&lt;=Inputs!$B$13)*((Inputs!$B$3*(Inputs!$B$5*Inputs!$B$6+(1-Inputs!$B$5)*Inputs!$B$7*Inputs!$B$8)*Inputs!$B$9+Inputs!$B$10)*(1-Inputs!$B$11))*1.025^MAX(0,I$3-1)</f>
        <v>60016008.4570809</v>
      </c>
      <c r="J4" s="0" t="n">
        <f aca="false">(J$3&gt;=1)*(J$3&lt;=Inputs!$B$13)*((Inputs!$B$3*(Inputs!$B$5*Inputs!$B$6+(1-Inputs!$B$5)*Inputs!$B$7*Inputs!$B$8)*Inputs!$B$9+Inputs!$B$10)*(1-Inputs!$B$11))*1.025^MAX(0,J$3-1)</f>
        <v>0</v>
      </c>
      <c r="K4" s="0" t="n">
        <f aca="false">(K$3&gt;=1)*(K$3&lt;=Inputs!$B$13)*((Inputs!$B$3*(Inputs!$B$5*Inputs!$B$6+(1-Inputs!$B$5)*Inputs!$B$7*Inputs!$B$8)*Inputs!$B$9+Inputs!$B$10)*(1-Inputs!$B$11))*1.025^MAX(0,K$3-1)</f>
        <v>0</v>
      </c>
    </row>
    <row r="5" customFormat="false" ht="15" hidden="false" customHeight="false" outlineLevel="0" collapsed="false">
      <c r="A5" s="0" t="s">
        <v>14</v>
      </c>
      <c r="B5" s="0" t="n">
        <f aca="false">IF(B$3=Inputs!$B$13,B4*1.025/Inputs!$B$12,0)</f>
        <v>0</v>
      </c>
      <c r="C5" s="0" t="n">
        <f aca="false">IF(C$3=Inputs!$B$13,C4*1.025/Inputs!$B$12,0)</f>
        <v>0</v>
      </c>
      <c r="D5" s="0" t="n">
        <f aca="false">IF(D$3=Inputs!$B$13,D4*1.025/Inputs!$B$12,0)</f>
        <v>0</v>
      </c>
      <c r="E5" s="0" t="n">
        <f aca="false">IF(E$3=Inputs!$B$13,E4*1.025/Inputs!$B$12,0)</f>
        <v>0</v>
      </c>
      <c r="F5" s="0" t="n">
        <f aca="false">IF(F$3=Inputs!$B$13,F4*1.025/Inputs!$B$12,0)</f>
        <v>0</v>
      </c>
      <c r="G5" s="0" t="n">
        <f aca="false">IF(G$3=Inputs!$B$13,G4*1.025/Inputs!$B$12,0)</f>
        <v>0</v>
      </c>
      <c r="H5" s="0" t="n">
        <f aca="false">IF(H$3=Inputs!$B$13,H4*1.025/Inputs!$B$12,0)</f>
        <v>0</v>
      </c>
      <c r="I5" s="0" t="n">
        <f aca="false">IF(I$3=Inputs!$B$13,I4*1.025/Inputs!$B$12,0)</f>
        <v>1537910216.7127</v>
      </c>
      <c r="J5" s="0" t="n">
        <f aca="false">IF(J$3=Inputs!$B$13,J4*1.025/Inputs!$B$12,0)</f>
        <v>0</v>
      </c>
      <c r="K5" s="0" t="n">
        <f aca="false">IF(K$3=Inputs!$B$13,K4*1.025/Inputs!$B$12,0)</f>
        <v>0</v>
      </c>
    </row>
    <row r="6" customFormat="false" ht="15" hidden="false" customHeight="false" outlineLevel="0" collapsed="false">
      <c r="A6" s="0" t="s">
        <v>15</v>
      </c>
      <c r="B6" s="0" t="n">
        <f aca="false">IF(B$3=0,-Inputs!$B$4,0)</f>
        <v>-1450000000</v>
      </c>
      <c r="C6" s="0" t="n">
        <f aca="false">IF(C$3=0,-Inputs!$B$4,0)</f>
        <v>0</v>
      </c>
      <c r="D6" s="0" t="n">
        <f aca="false">IF(D$3=0,-Inputs!$B$4,0)</f>
        <v>0</v>
      </c>
      <c r="E6" s="0" t="n">
        <f aca="false">IF(E$3=0,-Inputs!$B$4,0)</f>
        <v>0</v>
      </c>
      <c r="F6" s="0" t="n">
        <f aca="false">IF(F$3=0,-Inputs!$B$4,0)</f>
        <v>0</v>
      </c>
      <c r="G6" s="0" t="n">
        <f aca="false">IF(G$3=0,-Inputs!$B$4,0)</f>
        <v>0</v>
      </c>
      <c r="H6" s="0" t="n">
        <f aca="false">IF(H$3=0,-Inputs!$B$4,0)</f>
        <v>0</v>
      </c>
      <c r="I6" s="0" t="n">
        <f aca="false">IF(I$3=0,-Inputs!$B$4,0)</f>
        <v>0</v>
      </c>
      <c r="J6" s="0" t="n">
        <f aca="false">IF(J$3=0,-Inputs!$B$4,0)</f>
        <v>0</v>
      </c>
      <c r="K6" s="0" t="n">
        <f aca="false">IF(K$3=0,-Inputs!$B$4,0)</f>
        <v>0</v>
      </c>
    </row>
    <row r="7" customFormat="false" ht="15" hidden="false" customHeight="false" outlineLevel="0" collapsed="false">
      <c r="A7" s="0" t="s">
        <v>16</v>
      </c>
      <c r="B7" s="0" t="n">
        <f aca="false">SUM(B4:B6)</f>
        <v>-1450000000</v>
      </c>
      <c r="C7" s="0" t="n">
        <f aca="false">SUM(C4:C6)</f>
        <v>51751616</v>
      </c>
      <c r="D7" s="0" t="n">
        <f aca="false">SUM(D4:D6)</f>
        <v>53045406.4</v>
      </c>
      <c r="E7" s="0" t="n">
        <f aca="false">SUM(E4:E6)</f>
        <v>54371541.56</v>
      </c>
      <c r="F7" s="0" t="n">
        <f aca="false">SUM(F4:F6)</f>
        <v>55730830.099</v>
      </c>
      <c r="G7" s="0" t="n">
        <f aca="false">SUM(G4:G6)</f>
        <v>57124100.851475</v>
      </c>
      <c r="H7" s="0" t="n">
        <f aca="false">SUM(H4:H6)</f>
        <v>58552203.3727618</v>
      </c>
      <c r="I7" s="0" t="n">
        <f aca="false">SUM(I4:I6)</f>
        <v>1597926225.16978</v>
      </c>
      <c r="J7" s="0" t="n">
        <f aca="false">SUM(J4:J6)</f>
        <v>0</v>
      </c>
      <c r="K7" s="0" t="n">
        <f aca="false">SUM(K4:K6)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3" customFormat="false" ht="15" hidden="false" customHeight="false" outlineLevel="0" collapsed="false">
      <c r="A3" s="0" t="s">
        <v>17</v>
      </c>
      <c r="B3" s="2" t="n">
        <f aca="false">IRR('Cash Flow'!B7:K7)</f>
        <v>0.0458528459832964</v>
      </c>
    </row>
    <row r="4" customFormat="false" ht="15" hidden="false" customHeight="false" outlineLevel="0" collapsed="false">
      <c r="A4" s="0" t="s">
        <v>18</v>
      </c>
      <c r="B4" s="1" t="n">
        <f aca="false">SUM('Cash Flow'!B7:K7)</f>
        <v>478501923.453015</v>
      </c>
    </row>
    <row r="5" customFormat="false" ht="15" hidden="false" customHeight="false" outlineLevel="0" collapsed="false">
      <c r="A5" s="0" t="s">
        <v>19</v>
      </c>
      <c r="B5" s="2" t="n">
        <f aca="false">'Cash Flow'!C4/Inputs!$B$4</f>
        <v>0.0356907696551724</v>
      </c>
    </row>
    <row r="6" customFormat="false" ht="15" hidden="false" customHeight="false" outlineLevel="0" collapsed="false">
      <c r="A6" s="0" t="s">
        <v>20</v>
      </c>
      <c r="B6" s="2" t="n">
        <f aca="false">Inputs!$B$5*Inputs!$B$6/(Inputs!$B$5*Inputs!$B$6+(1-Inputs!$B$5)*Inputs!$B$7*Inputs!$B$8)</f>
        <v>0.591028490604163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2026-10-17T06:38:39Z</dcterms:created>
  <dc:creator>openpyxl</dc:creator>
  <dc:description/>
  <dc:language>en-US</dc:language>
  <cp:lastModifiedBy/>
  <dcterms:modified xsi:type="dcterms:W3CDTF">2026-10-17T06:38:39Z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