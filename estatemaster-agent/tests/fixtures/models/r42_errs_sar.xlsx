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Lookup" sheetId="2" state="visible" r:id="rId2"/>
    <sheet name="Calc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NAKHEEL PLAZA – ERRORS TO TRACE (SAR)</t>
        </is>
      </c>
    </row>
    <row r="2">
      <c r="A2" t="inlineStr">
        <is>
          <t>Rent per sqm</t>
        </is>
      </c>
      <c r="B2" t="inlineStr">
        <is>
          <t>1,200 SAR</t>
        </is>
      </c>
    </row>
    <row r="3">
      <c r="A3" t="inlineStr">
        <is>
          <t>NLA</t>
        </is>
      </c>
      <c r="B3" t="n">
        <v>10000</v>
      </c>
    </row>
    <row r="4">
      <c r="A4" t="inlineStr">
        <is>
          <t>Units</t>
        </is>
      </c>
      <c r="B4" t="n">
        <v>0</v>
      </c>
    </row>
    <row r="5">
      <c r="A5" t="inlineStr">
        <is>
          <t>Total fit-out</t>
        </is>
      </c>
      <c r="B5" t="n">
        <v>5000000</v>
      </c>
    </row>
    <row r="6">
      <c r="A6" t="inlineStr">
        <is>
          <t>Phase</t>
        </is>
      </c>
      <c r="B6" t="inlineStr">
        <is>
          <t xml:space="preserve">phase 2 </t>
        </is>
      </c>
    </row>
    <row r="7">
      <c r="A7" t="inlineStr">
        <is>
          <t>Purchase price</t>
        </is>
      </c>
      <c r="B7" t="n">
        <v>30000000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Price uplift</t>
        </is>
      </c>
    </row>
    <row r="2">
      <c r="A2" t="inlineStr">
        <is>
          <t>Phase 1</t>
        </is>
      </c>
      <c r="B2" t="n">
        <v>1</v>
      </c>
    </row>
    <row r="3">
      <c r="A3" t="inlineStr">
        <is>
          <t>Phase 2</t>
        </is>
      </c>
      <c r="B3" t="n">
        <v>1.05</v>
      </c>
    </row>
    <row r="4">
      <c r="A4" t="inlineStr">
        <is>
          <t>Phase 3</t>
        </is>
      </c>
      <c r="B4" t="n">
        <v>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a year</t>
        </is>
      </c>
      <c r="B1">
        <f>Inputs!B2*Inputs!B3</f>
        <v/>
      </c>
    </row>
    <row r="2">
      <c r="A2" t="inlineStr">
        <is>
          <t>Rent net of costs</t>
        </is>
      </c>
      <c r="B2">
        <f>B1*0.9</f>
        <v/>
      </c>
    </row>
    <row r="3">
      <c r="A3" t="inlineStr">
        <is>
          <t>Fit-out per unit</t>
        </is>
      </c>
      <c r="B3">
        <f>Inputs!B5/Inputs!B4</f>
        <v/>
      </c>
    </row>
    <row r="4">
      <c r="A4" t="inlineStr">
        <is>
          <t>Phase uplift</t>
        </is>
      </c>
      <c r="B4">
        <f>VLOOKUP(Inputs!B6,Lookup!A2:B4,2,FALSE)</f>
        <v/>
      </c>
    </row>
    <row r="5">
      <c r="A5" t="inlineStr">
        <is>
          <t>Check total</t>
        </is>
      </c>
      <c r="B5">
        <f>SUMM(B1:B2)</f>
        <v/>
      </c>
    </row>
    <row r="10">
      <c r="A10" t="inlineStr">
        <is>
          <t>Year</t>
        </is>
      </c>
      <c r="B10" t="n">
        <v>1</v>
      </c>
      <c r="C10" t="n">
        <v>2</v>
      </c>
      <c r="D10" t="n">
        <v>3</v>
      </c>
      <c r="E10" t="n">
        <v>4</v>
      </c>
    </row>
    <row r="11">
      <c r="A11" t="inlineStr">
        <is>
          <t>Index</t>
        </is>
      </c>
      <c r="B11">
        <f>B10*Inputs!$B$3</f>
        <v/>
      </c>
      <c r="C11">
        <f>#REF!*Inputs!$B$3</f>
        <v/>
      </c>
      <c r="D11">
        <f>D10*Inputs!$B$3</f>
        <v/>
      </c>
      <c r="E11">
        <f>E10*Inputs!$B$3</f>
        <v/>
      </c>
    </row>
    <row r="20">
      <c r="A20" t="inlineStr">
        <is>
          <t>Cash flow</t>
        </is>
      </c>
      <c r="B20">
        <f>-Inputs!B7</f>
        <v/>
      </c>
      <c r="C20">
        <f>$B$2</f>
        <v/>
      </c>
      <c r="D20">
        <f>$B$2</f>
        <v/>
      </c>
      <c r="E20">
        <f>$B$2+$B$2/0.07</f>
        <v/>
      </c>
    </row>
    <row r="21">
      <c r="A21" t="inlineStr">
        <is>
          <t>Fee stream</t>
        </is>
      </c>
      <c r="B21" t="n">
        <v>-100000</v>
      </c>
      <c r="C21" t="n">
        <v>-100000</v>
      </c>
      <c r="D21" t="n">
        <v>-100000</v>
      </c>
      <c r="E21" t="n">
        <v>-100000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Levered IRR</t>
        </is>
      </c>
      <c r="B1">
        <f>IRR(Calc!B20:E20)</f>
        <v/>
      </c>
    </row>
    <row r="2">
      <c r="A2" t="inlineStr">
        <is>
          <t>Unlevered IRR</t>
        </is>
      </c>
      <c r="B2">
        <f>IRR(Calc!B21:E21)</f>
        <v/>
      </c>
    </row>
    <row r="3">
      <c r="A3" t="inlineStr">
        <is>
          <t>Net profit</t>
        </is>
      </c>
      <c r="B3">
        <f>SUM(Calc!B20:E20)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2026-10-24T07:34:29Z</dcterms:created>
  <dcterms:modified xsi:type="dcterms:W3CDTF">2026-10-24T07:34:29Z</dcterms:modified>
</cp:coreProperties>
</file>