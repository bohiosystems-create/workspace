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ash Flow" sheetId="2" state="visible" r:id="rId4"/>
    <sheet name="Returns" sheetId="3" state="visible" r:id="rId5"/>
  </sheets>
  <definedNames>
    <definedName function="false" hidden="false" name="Build_Cost" vbProcedure="false">Inputs!$B$3</definedName>
    <definedName function="false" hidden="false" name="Build_Months" vbProcedure="false">Inputs!$B$4</definedName>
    <definedName function="false" hidden="false" name="Exit_Month" vbProcedure="false">Returns!$B$1</definedName>
    <definedName function="false" hidden="false" name="Exit_Value" vbProcedure="false">Inputs!$B$7</definedName>
    <definedName function="false" hidden="false" name="Hold_Months" vbProcedure="false">Inputs!$B$6</definedName>
    <definedName function="false" hidden="false" name="Land_Cost" vbProcedure="false">Inputs!$B$2</definedName>
    <definedName function="false" hidden="false" name="Rent" vbProcedure="false">Inputs!$B$5</definedName>
    <definedName function="false" hidden="false" name="Show?" vbProcedure="false">Returns!$B$6</definedName>
    <definedName function="false" hidden="false" localSheetId="0" name="EqShare" vbProcedure="false">Inputs!$B$8</definedName>
    <definedName function="false" hidden="false" localSheetId="1" name="EqShare" vbProcedure="false">Inputs!$B$8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<sst xmlns="http://schemas.openxmlformats.org/spreadsheetml/2006/main" count="18" uniqueCount="18">
  <si>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Land cost</t>
  </si>
  <si>
    <t xml:space="preserve">Build cost</t>
  </si>
  <si>
    <t xml:space="preserve">Build months</t>
  </si>
  <si>
    <t xml:space="preserve">Rent per month</t>
  </si>
  <si>
    <t xml:space="preserve">Hold months</t>
  </si>
  <si>
    <t xml:space="preserve">Exit value</t>
  </si>
  <si>
    <t xml:space="preserve">Equity share</t>
  </si>
  <si>
    <t xml:space="preserve">Month</t>
  </si>
  <si>
    <t xml:space="preserve">Date</t>
  </si>
  <si>
    <t xml:space="preserve">Net cash flow</t>
  </si>
  <si>
    <t xml:space="preserve">Equity cash flow</t>
  </si>
  <si>
    <t xml:space="preserve">Exit month</t>
  </si>
  <si>
    <t xml:space="preserve">Project IRR</t>
  </si>
  <si>
    <t xml:space="preserve">Equity IRR</t>
  </si>
  <si>
    <t xml:space="preserve">Net profit</t>
  </si>
  <si>
    <t xml:space="preserve">Rent in hold</t>
  </si>
  <si>
    <t xml:space="preserve">Show?</t>
  </si>
  <si>
    <t xml:space="preserve">Check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</si>
</sst>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0</v>
      </c>
      <c r="B2" s="0" t="n">
        <v>2000000</v>
      </c>
    </row>
    <row r="3" customFormat="false" ht="15" hidden="false" customHeight="false" outlineLevel="0" collapsed="false">
      <c r="A3" s="0" t="s">
        <v>1</v>
      </c>
      <c r="B3" s="0" t="n">
        <v>6000000</v>
      </c>
    </row>
    <row r="4" customFormat="false" ht="15" hidden="false" customHeight="false" outlineLevel="0" collapsed="false">
      <c r="A4" s="0" t="s">
        <v>2</v>
      </c>
      <c r="B4" s="0" t="n">
        <v>4</v>
      </c>
    </row>
    <row r="5" customFormat="false" ht="15" hidden="false" customHeight="false" outlineLevel="0" collapsed="false">
      <c r="A5" s="0" t="s">
        <v>3</v>
      </c>
      <c r="B5" s="0" t="n">
        <v>120000</v>
      </c>
    </row>
    <row r="6" customFormat="false" ht="15" hidden="false" customHeight="false" outlineLevel="0" collapsed="false">
      <c r="A6" s="0" t="s">
        <v>4</v>
      </c>
      <c r="B6" s="0" t="n">
        <v>8</v>
      </c>
    </row>
    <row r="7" customFormat="false" ht="15" hidden="false" customHeight="false" outlineLevel="0" collapsed="false">
      <c r="A7" s="0" t="s">
        <v>5</v>
      </c>
      <c r="B7" s="0" t="n">
        <v>9500000</v>
      </c>
    </row>
    <row r="8" customFormat="false" ht="15" hidden="false" customHeight="false" outlineLevel="0" collapsed="false">
      <c r="A8" s="0" t="s">
        <v>6</v>
      </c>
      <c r="B8" s="0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B1" s="0" t="n">
        <v>0</v>
      </c>
      <c r="C1" s="0" t="n">
        <v>1</v>
      </c>
      <c r="D1" s="0" t="n">
        <v>2</v>
      </c>
      <c r="E1" s="0" t="n">
        <v>3</v>
      </c>
      <c r="F1" s="0" t="n">
        <v>4</v>
      </c>
      <c r="G1" s="0" t="n">
        <v>5</v>
      </c>
      <c r="H1" s="0" t="n">
        <v>6</v>
      </c>
      <c r="I1" s="0" t="n">
        <v>7</v>
      </c>
      <c r="J1" s="0" t="n">
        <v>8</v>
      </c>
      <c r="K1" s="0" t="n">
        <v>9</v>
      </c>
      <c r="L1" s="0" t="n">
        <v>10</v>
      </c>
      <c r="M1" s="0" t="n">
        <v>11</v>
      </c>
      <c r="N1" s="0" t="n">
        <v>12</v>
      </c>
      <c r="O1" s="0" t="n">
        <v>13</v>
      </c>
      <c r="P1" s="0" t="n">
        <v>14</v>
      </c>
      <c r="Q1" s="0" t="n">
        <v>15</v>
      </c>
      <c r="R1" s="0" t="n">
        <v>16</v>
      </c>
      <c r="S1" s="0" t="n">
        <v>17</v>
      </c>
      <c r="T1" s="0" t="n">
        <v>18</v>
      </c>
      <c r="U1" s="0" t="n">
        <v>19</v>
      </c>
      <c r="V1" s="0" t="n">
        <v>20</v>
      </c>
      <c r="W1" s="0" t="n">
        <v>21</v>
      </c>
      <c r="X1" s="0" t="n">
        <v>22</v>
      </c>
      <c r="Y1" s="0" t="n">
        <v>23</v>
      </c>
    </row>
    <row r="2" customFormat="false" ht="15" hidden="false" customHeight="false" outlineLevel="0" collapsed="false">
      <c r="A2" s="0" t="s">
        <v>8</v>
      </c>
      <c r="B2" s="1" t="n">
        <f aca="false">DATE(2025,1,1)+30*B1</f>
        <v>45658</v>
      </c>
      <c r="C2" s="1" t="n">
        <f aca="false">DATE(2025,1,1)+30*C1</f>
        <v>45688</v>
      </c>
      <c r="D2" s="1" t="n">
        <f aca="false">DATE(2025,1,1)+30*D1</f>
        <v>45718</v>
      </c>
      <c r="E2" s="1" t="n">
        <f aca="false">DATE(2025,1,1)+30*E1</f>
        <v>45748</v>
      </c>
      <c r="F2" s="1" t="n">
        <f aca="false">DATE(2025,1,1)+30*F1</f>
        <v>45778</v>
      </c>
      <c r="G2" s="1" t="n">
        <f aca="false">DATE(2025,1,1)+30*G1</f>
        <v>45808</v>
      </c>
      <c r="H2" s="1" t="n">
        <f aca="false">DATE(2025,1,1)+30*H1</f>
        <v>45838</v>
      </c>
      <c r="I2" s="1" t="n">
        <f aca="false">DATE(2025,1,1)+30*I1</f>
        <v>45868</v>
      </c>
      <c r="J2" s="1" t="n">
        <f aca="false">DATE(2025,1,1)+30*J1</f>
        <v>45898</v>
      </c>
      <c r="K2" s="1" t="n">
        <f aca="false">DATE(2025,1,1)+30*K1</f>
        <v>45928</v>
      </c>
      <c r="L2" s="1" t="n">
        <f aca="false">DATE(2025,1,1)+30*L1</f>
        <v>45958</v>
      </c>
      <c r="M2" s="1" t="n">
        <f aca="false">DATE(2025,1,1)+30*M1</f>
        <v>45988</v>
      </c>
      <c r="N2" s="1" t="n">
        <f aca="false">DATE(2025,1,1)+30*N1</f>
        <v>46018</v>
      </c>
      <c r="O2" s="1" t="n">
        <f aca="false">DATE(2025,1,1)+30*O1</f>
        <v>46048</v>
      </c>
      <c r="P2" s="1" t="n">
        <f aca="false">DATE(2025,1,1)+30*P1</f>
        <v>46078</v>
      </c>
      <c r="Q2" s="1" t="n">
        <f aca="false">DATE(2025,1,1)+30*Q1</f>
        <v>46108</v>
      </c>
      <c r="R2" s="1" t="n">
        <f aca="false">DATE(2025,1,1)+30*R1</f>
        <v>46138</v>
      </c>
      <c r="S2" s="1" t="n">
        <f aca="false">DATE(2025,1,1)+30*S1</f>
        <v>46168</v>
      </c>
      <c r="T2" s="1" t="n">
        <f aca="false">DATE(2025,1,1)+30*T1</f>
        <v>46198</v>
      </c>
      <c r="U2" s="1" t="n">
        <f aca="false">DATE(2025,1,1)+30*U1</f>
        <v>46228</v>
      </c>
      <c r="V2" s="1" t="n">
        <f aca="false">DATE(2025,1,1)+30*V1</f>
        <v>46258</v>
      </c>
      <c r="W2" s="1" t="n">
        <f aca="false">DATE(2025,1,1)+30*W1</f>
        <v>46288</v>
      </c>
      <c r="X2" s="1" t="n">
        <f aca="false">DATE(2025,1,1)+30*X1</f>
        <v>46318</v>
      </c>
      <c r="Y2" s="1" t="n">
        <f aca="false">DATE(2025,1,1)+30*Y1</f>
        <v>46348</v>
      </c>
    </row>
    <row r="3" customFormat="false" ht="15" hidden="false" customHeight="false" outlineLevel="0" collapsed="false">
      <c r="A3" s="0" t="s">
        <v>9</v>
      </c>
      <c r="B3" s="0" t="n">
        <f aca="false">IF(B1=0,-Land_Cost,0)-IF(AND(B1&gt;=1,B1&lt;=Build_Months),Build_Cost/Build_Months,0)+IF(AND(B1&gt;Build_Months,B1&lt;=Build_Months+Hold_Months),Rent,0)+IF(B1=Build_Months+Hold_Months,Exit_Value,0)</f>
        <v>-2000000</v>
      </c>
      <c r="C3" s="0" t="n">
        <f aca="false">IF(C1=0,-Land_Cost,0)-IF(AND(C1&gt;=1,C1&lt;=Build_Months),Build_Cost/Build_Months,0)+IF(AND(C1&gt;Build_Months,C1&lt;=Build_Months+Hold_Months),Rent,0)+IF(C1=Build_Months+Hold_Months,Exit_Value,0)</f>
        <v>-1500000</v>
      </c>
      <c r="D3" s="0" t="n">
        <f aca="false">IF(D1=0,-Land_Cost,0)-IF(AND(D1&gt;=1,D1&lt;=Build_Months),Build_Cost/Build_Months,0)+IF(AND(D1&gt;Build_Months,D1&lt;=Build_Months+Hold_Months),Rent,0)+IF(D1=Build_Months+Hold_Months,Exit_Value,0)</f>
        <v>-1500000</v>
      </c>
      <c r="E3" s="0" t="n">
        <f aca="false">IF(E1=0,-Land_Cost,0)-IF(AND(E1&gt;=1,E1&lt;=Build_Months),Build_Cost/Build_Months,0)+IF(AND(E1&gt;Build_Months,E1&lt;=Build_Months+Hold_Months),Rent,0)+IF(E1=Build_Months+Hold_Months,Exit_Value,0)</f>
        <v>-1500000</v>
      </c>
      <c r="F3" s="0" t="n">
        <f aca="false">IF(F1=0,-Land_Cost,0)-IF(AND(F1&gt;=1,F1&lt;=Build_Months),Build_Cost/Build_Months,0)+IF(AND(F1&gt;Build_Months,F1&lt;=Build_Months+Hold_Months),Rent,0)+IF(F1=Build_Months+Hold_Months,Exit_Value,0)</f>
        <v>-1500000</v>
      </c>
      <c r="G3" s="0" t="n">
        <f aca="false">IF(G1=0,-Land_Cost,0)-IF(AND(G1&gt;=1,G1&lt;=Build_Months),Build_Cost/Build_Months,0)+IF(AND(G1&gt;Build_Months,G1&lt;=Build_Months+Hold_Months),Rent,0)+IF(G1=Build_Months+Hold_Months,Exit_Value,0)</f>
        <v>120000</v>
      </c>
      <c r="H3" s="0" t="n">
        <f aca="false">IF(H1=0,-Land_Cost,0)-IF(AND(H1&gt;=1,H1&lt;=Build_Months),Build_Cost/Build_Months,0)+IF(AND(H1&gt;Build_Months,H1&lt;=Build_Months+Hold_Months),Rent,0)+IF(H1=Build_Months+Hold_Months,Exit_Value,0)</f>
        <v>120000</v>
      </c>
      <c r="I3" s="0" t="n">
        <f aca="false">IF(I1=0,-Land_Cost,0)-IF(AND(I1&gt;=1,I1&lt;=Build_Months),Build_Cost/Build_Months,0)+IF(AND(I1&gt;Build_Months,I1&lt;=Build_Months+Hold_Months),Rent,0)+IF(I1=Build_Months+Hold_Months,Exit_Value,0)</f>
        <v>120000</v>
      </c>
      <c r="J3" s="0" t="n">
        <f aca="false">IF(J1=0,-Land_Cost,0)-IF(AND(J1&gt;=1,J1&lt;=Build_Months),Build_Cost/Build_Months,0)+IF(AND(J1&gt;Build_Months,J1&lt;=Build_Months+Hold_Months),Rent,0)+IF(J1=Build_Months+Hold_Months,Exit_Value,0)</f>
        <v>120000</v>
      </c>
      <c r="K3" s="0" t="n">
        <f aca="false">IF(K1=0,-Land_Cost,0)-IF(AND(K1&gt;=1,K1&lt;=Build_Months),Build_Cost/Build_Months,0)+IF(AND(K1&gt;Build_Months,K1&lt;=Build_Months+Hold_Months),Rent,0)+IF(K1=Build_Months+Hold_Months,Exit_Value,0)</f>
        <v>120000</v>
      </c>
      <c r="L3" s="0" t="n">
        <f aca="false">IF(L1=0,-Land_Cost,0)-IF(AND(L1&gt;=1,L1&lt;=Build_Months),Build_Cost/Build_Months,0)+IF(AND(L1&gt;Build_Months,L1&lt;=Build_Months+Hold_Months),Rent,0)+IF(L1=Build_Months+Hold_Months,Exit_Value,0)</f>
        <v>120000</v>
      </c>
      <c r="M3" s="0" t="n">
        <f aca="false">IF(M1=0,-Land_Cost,0)-IF(AND(M1&gt;=1,M1&lt;=Build_Months),Build_Cost/Build_Months,0)+IF(AND(M1&gt;Build_Months,M1&lt;=Build_Months+Hold_Months),Rent,0)+IF(M1=Build_Months+Hold_Months,Exit_Value,0)</f>
        <v>120000</v>
      </c>
      <c r="N3" s="0" t="n">
        <f aca="false">IF(N1=0,-Land_Cost,0)-IF(AND(N1&gt;=1,N1&lt;=Build_Months),Build_Cost/Build_Months,0)+IF(AND(N1&gt;Build_Months,N1&lt;=Build_Months+Hold_Months),Rent,0)+IF(N1=Build_Months+Hold_Months,Exit_Value,0)</f>
        <v>9620000</v>
      </c>
      <c r="O3" s="0" t="n">
        <f aca="false">IF(O1=0,-Land_Cost,0)-IF(AND(O1&gt;=1,O1&lt;=Build_Months),Build_Cost/Build_Months,0)+IF(AND(O1&gt;Build_Months,O1&lt;=Build_Months+Hold_Months),Rent,0)+IF(O1=Build_Months+Hold_Months,Exit_Value,0)</f>
        <v>0</v>
      </c>
      <c r="P3" s="0" t="n">
        <f aca="false">IF(P1=0,-Land_Cost,0)-IF(AND(P1&gt;=1,P1&lt;=Build_Months),Build_Cost/Build_Months,0)+IF(AND(P1&gt;Build_Months,P1&lt;=Build_Months+Hold_Months),Rent,0)+IF(P1=Build_Months+Hold_Months,Exit_Value,0)</f>
        <v>0</v>
      </c>
      <c r="Q3" s="0" t="n">
        <f aca="false">IF(Q1=0,-Land_Cost,0)-IF(AND(Q1&gt;=1,Q1&lt;=Build_Months),Build_Cost/Build_Months,0)+IF(AND(Q1&gt;Build_Months,Q1&lt;=Build_Months+Hold_Months),Rent,0)+IF(Q1=Build_Months+Hold_Months,Exit_Value,0)</f>
        <v>0</v>
      </c>
      <c r="R3" s="0" t="n">
        <f aca="false">IF(R1=0,-Land_Cost,0)-IF(AND(R1&gt;=1,R1&lt;=Build_Months),Build_Cost/Build_Months,0)+IF(AND(R1&gt;Build_Months,R1&lt;=Build_Months+Hold_Months),Rent,0)+IF(R1=Build_Months+Hold_Months,Exit_Value,0)</f>
        <v>0</v>
      </c>
      <c r="S3" s="0" t="n">
        <f aca="false">IF(S1=0,-Land_Cost,0)-IF(AND(S1&gt;=1,S1&lt;=Build_Months),Build_Cost/Build_Months,0)+IF(AND(S1&gt;Build_Months,S1&lt;=Build_Months+Hold_Months),Rent,0)+IF(S1=Build_Months+Hold_Months,Exit_Value,0)</f>
        <v>0</v>
      </c>
      <c r="T3" s="0" t="n">
        <f aca="false">IF(T1=0,-Land_Cost,0)-IF(AND(T1&gt;=1,T1&lt;=Build_Months),Build_Cost/Build_Months,0)+IF(AND(T1&gt;Build_Months,T1&lt;=Build_Months+Hold_Months),Rent,0)+IF(T1=Build_Months+Hold_Months,Exit_Value,0)</f>
        <v>0</v>
      </c>
      <c r="U3" s="0" t="n">
        <f aca="false">IF(U1=0,-Land_Cost,0)-IF(AND(U1&gt;=1,U1&lt;=Build_Months),Build_Cost/Build_Months,0)+IF(AND(U1&gt;Build_Months,U1&lt;=Build_Months+Hold_Months),Rent,0)+IF(U1=Build_Months+Hold_Months,Exit_Value,0)</f>
        <v>0</v>
      </c>
      <c r="V3" s="0" t="n">
        <f aca="false">IF(V1=0,-Land_Cost,0)-IF(AND(V1&gt;=1,V1&lt;=Build_Months),Build_Cost/Build_Months,0)+IF(AND(V1&gt;Build_Months,V1&lt;=Build_Months+Hold_Months),Rent,0)+IF(V1=Build_Months+Hold_Months,Exit_Value,0)</f>
        <v>0</v>
      </c>
      <c r="W3" s="0" t="n">
        <f aca="false">IF(W1=0,-Land_Cost,0)-IF(AND(W1&gt;=1,W1&lt;=Build_Months),Build_Cost/Build_Months,0)+IF(AND(W1&gt;Build_Months,W1&lt;=Build_Months+Hold_Months),Rent,0)+IF(W1=Build_Months+Hold_Months,Exit_Value,0)</f>
        <v>0</v>
      </c>
      <c r="X3" s="0" t="n">
        <f aca="false">IF(X1=0,-Land_Cost,0)-IF(AND(X1&gt;=1,X1&lt;=Build_Months),Build_Cost/Build_Months,0)+IF(AND(X1&gt;Build_Months,X1&lt;=Build_Months+Hold_Months),Rent,0)+IF(X1=Build_Months+Hold_Months,Exit_Value,0)</f>
        <v>0</v>
      </c>
      <c r="Y3" s="0" t="n">
        <f aca="false">IF(Y1=0,-Land_Cost,0)-IF(AND(Y1&gt;=1,Y1&lt;=Build_Months),Build_Cost/Build_Months,0)+IF(AND(Y1&gt;Build_Months,Y1&lt;=Build_Months+Hold_Months),Rent,0)+IF(Y1=Build_Months+Hold_Months,Exit_Value,0)</f>
        <v>0</v>
      </c>
    </row>
    <row r="4" customFormat="false" ht="15" hidden="false" customHeight="false" outlineLevel="0" collapsed="false">
      <c r="A4" s="0" t="s">
        <v>10</v>
      </c>
      <c r="B4" s="0" t="n">
        <f aca="false">B3*EqShare</f>
        <v>-800000</v>
      </c>
      <c r="C4" s="0" t="n">
        <f aca="false">C3*EqShare</f>
        <v>-600000</v>
      </c>
      <c r="D4" s="0" t="n">
        <f aca="false">D3*EqShare</f>
        <v>-600000</v>
      </c>
      <c r="E4" s="0" t="n">
        <f aca="false">E3*EqShare</f>
        <v>-600000</v>
      </c>
      <c r="F4" s="0" t="n">
        <f aca="false">F3*EqShare</f>
        <v>-600000</v>
      </c>
      <c r="G4" s="0" t="n">
        <f aca="false">G3*EqShare</f>
        <v>48000</v>
      </c>
      <c r="H4" s="0" t="n">
        <f aca="false">H3*EqShare</f>
        <v>48000</v>
      </c>
      <c r="I4" s="0" t="n">
        <f aca="false">I3*EqShare</f>
        <v>48000</v>
      </c>
      <c r="J4" s="0" t="n">
        <f aca="false">J3*EqShare</f>
        <v>48000</v>
      </c>
      <c r="K4" s="0" t="n">
        <f aca="false">K3*EqShare</f>
        <v>48000</v>
      </c>
      <c r="L4" s="0" t="n">
        <f aca="false">L3*EqShare</f>
        <v>48000</v>
      </c>
      <c r="M4" s="0" t="n">
        <f aca="false">M3*EqShare</f>
        <v>48000</v>
      </c>
      <c r="N4" s="0" t="n">
        <f aca="false">N3*EqShare</f>
        <v>3848000</v>
      </c>
      <c r="O4" s="0" t="n">
        <f aca="false">O3*EqShare</f>
        <v>0</v>
      </c>
      <c r="P4" s="0" t="n">
        <f aca="false">P3*EqShare</f>
        <v>0</v>
      </c>
      <c r="Q4" s="0" t="n">
        <f aca="false">Q3*EqShare</f>
        <v>0</v>
      </c>
      <c r="R4" s="0" t="n">
        <f aca="false">R3*EqShare</f>
        <v>0</v>
      </c>
      <c r="S4" s="0" t="n">
        <f aca="false">S3*EqShare</f>
        <v>0</v>
      </c>
      <c r="T4" s="0" t="n">
        <f aca="false">T3*EqShare</f>
        <v>0</v>
      </c>
      <c r="U4" s="0" t="n">
        <f aca="false">U3*EqShare</f>
        <v>0</v>
      </c>
      <c r="V4" s="0" t="n">
        <f aca="false">V3*EqShare</f>
        <v>0</v>
      </c>
      <c r="W4" s="0" t="n">
        <f aca="false">W3*EqShare</f>
        <v>0</v>
      </c>
      <c r="X4" s="0" t="n">
        <f aca="false">X3*EqShare</f>
        <v>0</v>
      </c>
      <c r="Y4" s="0" t="n">
        <f aca="false">Y3*EqShare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n">
        <f aca="false">Build_Months+Hold_Months</f>
        <v>12</v>
      </c>
    </row>
    <row r="2" customFormat="false" ht="15" hidden="false" customHeight="false" outlineLevel="0" collapsed="false">
      <c r="A2" s="0" t="s">
        <v>12</v>
      </c>
      <c r="B2" s="0" t="n">
        <f aca="true">XIRR(OFFSET('Cash Flow'!B3,0,0,1,Exit_Month+1),OFFSET('Cash Flow'!B2,0,0,1,Exit_Month+1))</f>
        <v>0.394437609243083</v>
      </c>
    </row>
    <row r="3" customFormat="false" ht="15" hidden="false" customHeight="false" outlineLevel="0" collapsed="false">
      <c r="A3" s="0" t="s">
        <v>13</v>
      </c>
      <c r="B3" s="0" t="n">
        <f aca="true">XIRR(OFFSET('Cash Flow'!B4,,,1,Exit_Month+1),OFFSET('Cash Flow'!$B$2,,,1,Exit_Month+1))</f>
        <v>0.394437609243082</v>
      </c>
    </row>
    <row r="4" customFormat="false" ht="15" hidden="false" customHeight="false" outlineLevel="0" collapsed="false">
      <c r="A4" s="0" t="s">
        <v>14</v>
      </c>
      <c r="B4" s="0" t="n">
        <f aca="true">SUM(OFFSET('Cash Flow'!B3,0,0,1,Exit_Month+1))</f>
        <v>2460000</v>
      </c>
    </row>
    <row r="5" customFormat="false" ht="15" hidden="false" customHeight="false" outlineLevel="0" collapsed="false">
      <c r="A5" s="0" t="s">
        <v>15</v>
      </c>
      <c r="B5" s="0" t="n">
        <f aca="true">SUM(OFFSET(INDEX('Cash Flow'!$B$3:$Y$3,1,Build_Months+2),0,0,1,Hold_Months-1))</f>
        <v>840000</v>
      </c>
    </row>
    <row r="6" customFormat="false" ht="15" hidden="false" customHeight="false" outlineLevel="0" collapsed="false">
      <c r="A6" s="0" t="s">
        <v>16</v>
      </c>
      <c r="B6" s="0" t="n">
        <v>1</v>
      </c>
    </row>
    <row r="7" customFormat="false" ht="15" hidden="false" customHeight="false" outlineLevel="0" collapsed="false">
      <c r="A7" s="0" t="s">
        <v>17</v>
      </c>
      <c r="B7" s="0" t="n">
        <f aca="false">IF(Show?=1,B4,0)</f>
        <v>2460000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2026-10-16T10:26:30Z</dcterms:created>
  <dc:creator>openpyxl</dc:creator>
  <dc:description/>
  <dc:language>en-US</dc:language>
  <cp:lastModifiedBy/>
  <dcterms:modified xsi:type="dcterms:W3CDTF">2026-10-16T10:26:30Z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