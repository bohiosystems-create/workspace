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1" sheetId="2" state="visible" r:id="rId2"/>
    <sheet name="S2" sheetId="3" state="visible" r:id="rId3"/>
    <sheet name="S3" sheetId="4" state="visible" r:id="rId4"/>
    <sheet name="Units" sheetId="5" state="visible" r:id="rId5"/>
    <sheet name="F" sheetId="6" state="visible" r:id="rId6"/>
  </sheets>
  <definedNames>
    <definedName name="Rate">Data!$G$2</definedName>
    <definedName name="CFs">Data!$B$2:$B$13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UnitTbl" displayName="UnitTbl" ref="A1:C4" headerRowCount="1">
  <autoFilter ref="A1:C4"/>
  <tableColumns count="3">
    <tableColumn id="1" name="Unit"/>
    <tableColumn id="2" name="Area"/>
    <tableColumn id="3" name="Pric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CF</t>
        </is>
      </c>
      <c r="C1" t="inlineStr">
        <is>
          <t>Date</t>
        </is>
      </c>
      <c r="D1" t="inlineStr">
        <is>
          <t>Cat</t>
        </is>
      </c>
      <c r="E1" t="inlineStr">
        <is>
          <t>Rent</t>
        </is>
      </c>
      <c r="G1" t="inlineStr">
        <is>
          <t>Rate</t>
        </is>
      </c>
      <c r="H1" t="inlineStr">
        <is>
          <t>Len</t>
        </is>
      </c>
      <c r="I1" t="inlineStr">
        <is>
          <t>Txt</t>
        </is>
      </c>
    </row>
    <row r="2">
      <c r="A2" t="n">
        <v>1</v>
      </c>
      <c r="B2" t="n">
        <v>-1000</v>
      </c>
      <c r="C2" s="1" t="n">
        <v>46053</v>
      </c>
      <c r="D2" t="inlineStr">
        <is>
          <t>Retail</t>
        </is>
      </c>
      <c r="E2" t="n">
        <v>100</v>
      </c>
      <c r="G2" t="n">
        <v>0.08</v>
      </c>
      <c r="H2" t="n">
        <v>6</v>
      </c>
      <c r="I2" t="inlineStr">
        <is>
          <t>5</t>
        </is>
      </c>
      <c r="J2" t="b">
        <v>1</v>
      </c>
    </row>
    <row r="3">
      <c r="A3" t="n">
        <v>2</v>
      </c>
      <c r="B3" t="n">
        <v>50</v>
      </c>
      <c r="C3" s="1">
        <f>EOMONTH(DATE(2026,1,31),1)</f>
        <v>46081</v>
      </c>
      <c r="D3" t="inlineStr">
        <is>
          <t>Office</t>
        </is>
      </c>
      <c r="E3" t="n">
        <v>107</v>
      </c>
      <c r="I3" t="str">
        <f>""</f>
        <v/>
      </c>
    </row>
    <row r="4">
      <c r="A4" t="n">
        <v>3</v>
      </c>
      <c r="B4" t="n">
        <v>60</v>
      </c>
      <c r="C4" s="1">
        <f>EOMONTH(DATE(2026,1,31),2)</f>
        <v>46112</v>
      </c>
      <c r="D4" t="inlineStr">
        <is>
          <t>Retail</t>
        </is>
      </c>
      <c r="E4" t="n">
        <v>114</v>
      </c>
      <c r="I4" t="inlineStr">
        <is>
          <t>abc</t>
        </is>
      </c>
    </row>
    <row r="5">
      <c r="A5" t="n">
        <v>4</v>
      </c>
      <c r="B5" t="n">
        <v>70</v>
      </c>
      <c r="C5" s="1">
        <f>EOMONTH(DATE(2026,1,31),3)</f>
        <v>46142</v>
      </c>
      <c r="D5" t="inlineStr">
        <is>
          <t>Hotel</t>
        </is>
      </c>
      <c r="E5" t="n">
        <v>121</v>
      </c>
    </row>
    <row r="6">
      <c r="A6" t="n">
        <v>5</v>
      </c>
      <c r="B6" t="n">
        <v>80</v>
      </c>
      <c r="C6" s="1">
        <f>EOMONTH(DATE(2026,1,31),4)</f>
        <v>46173</v>
      </c>
      <c r="D6" t="inlineStr">
        <is>
          <t>Office</t>
        </is>
      </c>
      <c r="E6" t="n">
        <v>128</v>
      </c>
    </row>
    <row r="7">
      <c r="A7" t="n">
        <v>6</v>
      </c>
      <c r="B7" t="n">
        <v>90</v>
      </c>
      <c r="C7" s="1">
        <f>EOMONTH(DATE(2026,1,31),5)</f>
        <v>46203</v>
      </c>
      <c r="D7" t="inlineStr">
        <is>
          <t>Retail</t>
        </is>
      </c>
      <c r="E7" t="n">
        <v>135</v>
      </c>
    </row>
    <row r="8">
      <c r="A8" t="n">
        <v>7</v>
      </c>
      <c r="B8" t="n">
        <v>100</v>
      </c>
      <c r="C8" s="1">
        <f>EOMONTH(DATE(2026,1,31),6)</f>
        <v>46234</v>
      </c>
      <c r="D8" t="inlineStr">
        <is>
          <t>Hotel</t>
        </is>
      </c>
      <c r="E8" t="n">
        <v>142</v>
      </c>
    </row>
    <row r="9">
      <c r="A9" t="n">
        <v>8</v>
      </c>
      <c r="B9" t="n">
        <v>110</v>
      </c>
      <c r="C9" s="1">
        <f>EOMONTH(DATE(2026,1,31),7)</f>
        <v>46265</v>
      </c>
      <c r="D9" t="inlineStr">
        <is>
          <t>Office</t>
        </is>
      </c>
      <c r="E9" t="n">
        <v>149</v>
      </c>
    </row>
    <row r="10">
      <c r="A10" t="n">
        <v>9</v>
      </c>
      <c r="B10" t="n">
        <v>120</v>
      </c>
      <c r="C10" s="1">
        <f>EOMONTH(DATE(2026,1,31),8)</f>
        <v>46295</v>
      </c>
      <c r="D10" t="inlineStr">
        <is>
          <t>Retail</t>
        </is>
      </c>
      <c r="E10" t="n">
        <v>156</v>
      </c>
    </row>
    <row r="11">
      <c r="A11" t="n">
        <v>10</v>
      </c>
      <c r="B11" t="n">
        <v>130</v>
      </c>
      <c r="C11" s="1">
        <f>EOMONTH(DATE(2026,1,31),9)</f>
        <v>46326</v>
      </c>
      <c r="D11" t="inlineStr">
        <is>
          <t>Hotel</t>
        </is>
      </c>
      <c r="E11" t="n">
        <v>163</v>
      </c>
    </row>
    <row r="12">
      <c r="A12" t="n">
        <v>11</v>
      </c>
      <c r="B12" t="n">
        <v>140</v>
      </c>
      <c r="C12" s="1">
        <f>EOMONTH(DATE(2026,1,31),10)</f>
        <v>46356</v>
      </c>
      <c r="D12" t="inlineStr">
        <is>
          <t>Office</t>
        </is>
      </c>
      <c r="E12" t="n">
        <v>170</v>
      </c>
    </row>
    <row r="13">
      <c r="A13" t="n">
        <v>12</v>
      </c>
      <c r="B13" t="n">
        <v>1200</v>
      </c>
      <c r="C13" s="1">
        <f>EOMONTH(DATE(2026,1,31),11)</f>
        <v>46387</v>
      </c>
      <c r="D13" t="inlineStr">
        <is>
          <t>Retail</t>
        </is>
      </c>
      <c r="E13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Area</t>
        </is>
      </c>
      <c r="C1" t="inlineStr">
        <is>
          <t>Price</t>
        </is>
      </c>
    </row>
    <row r="2">
      <c r="A2" t="inlineStr">
        <is>
          <t>A</t>
        </is>
      </c>
      <c r="B2" t="n">
        <v>100</v>
      </c>
      <c r="C2" t="n">
        <v>1.5</v>
      </c>
    </row>
    <row r="3">
      <c r="A3" t="inlineStr">
        <is>
          <t>B</t>
        </is>
      </c>
      <c r="B3" t="n">
        <v>120</v>
      </c>
      <c r="C3" t="n">
        <v>1.6</v>
      </c>
    </row>
    <row r="4">
      <c r="A4" t="inlineStr">
        <is>
          <t>C</t>
        </is>
      </c>
      <c r="B4" t="n">
        <v>90</v>
      </c>
      <c r="C4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Formula</t>
        </is>
      </c>
      <c r="C1" t="inlineStr">
        <is>
          <t>Excel expected</t>
        </is>
      </c>
    </row>
    <row r="2">
      <c r="A2" t="inlineStr">
        <is>
          <t>NPV</t>
        </is>
      </c>
      <c r="B2">
        <f>NPV(0.08,Data!B3:B13)+Data!B2</f>
        <v>109.931815914101</v>
      </c>
    </row>
    <row r="3">
      <c r="A3" t="inlineStr">
        <is>
          <t>IRR</t>
        </is>
      </c>
      <c r="B3">
        <f>IRR(Data!B2:B13)</f>
        <v>0.0939517505164185</v>
      </c>
    </row>
    <row r="4">
      <c r="A4" t="inlineStr">
        <is>
          <t>IRR guess</t>
        </is>
      </c>
      <c r="B4">
        <f>IRR(Data!B2:B13,0.2)</f>
        <v>0.0939517505164186</v>
      </c>
    </row>
    <row r="5">
      <c r="A5" t="inlineStr">
        <is>
          <t>XNPV</t>
        </is>
      </c>
      <c r="B5">
        <f>XNPV(0.08,Data!B2:B13,Data!C2:C13)</f>
        <v>1030.80003900677</v>
      </c>
    </row>
    <row r="6">
      <c r="A6" t="inlineStr">
        <is>
          <t>XIRR</t>
        </is>
      </c>
      <c r="B6">
        <f>XIRR(Data!B2:B13,Data!C2:C13)</f>
        <v>1.9521700309642</v>
      </c>
    </row>
    <row r="7">
      <c r="A7" t="inlineStr">
        <is>
          <t>MIRR</t>
        </is>
      </c>
      <c r="B7">
        <f>MIRR(Data!B2:B13,0.06,0.1)</f>
        <v>0.095585939925861</v>
      </c>
    </row>
    <row r="8">
      <c r="A8" t="inlineStr">
        <is>
          <t>PMT</t>
        </is>
      </c>
      <c r="B8">
        <f>PMT(0.07/12,240,-1000000)</f>
        <v>7752.98935618875</v>
      </c>
    </row>
    <row r="9">
      <c r="A9" t="inlineStr">
        <is>
          <t>IPMT</t>
        </is>
      </c>
      <c r="B9">
        <f>IPMT(0.07/12,5,240,-1000000)</f>
        <v>5788.14790330129</v>
      </c>
    </row>
    <row r="10">
      <c r="A10" t="inlineStr">
        <is>
          <t>PPMT</t>
        </is>
      </c>
      <c r="B10">
        <f>PPMT(0.07/12,5,240,-1000000)</f>
        <v>1964.84145288745</v>
      </c>
    </row>
    <row r="11">
      <c r="A11" t="inlineStr">
        <is>
          <t>PV</t>
        </is>
      </c>
      <c r="B11">
        <f>PV(0.06,10,-50000,0)</f>
        <v>368004.352570735</v>
      </c>
    </row>
    <row r="12">
      <c r="A12" t="inlineStr">
        <is>
          <t>FV</t>
        </is>
      </c>
      <c r="B12">
        <f>FV(0.05/12,120,-1000)</f>
        <v>155282.279445667</v>
      </c>
    </row>
    <row r="13">
      <c r="A13" t="inlineStr">
        <is>
          <t>NPER</t>
        </is>
      </c>
      <c r="B13">
        <f>NPER(0.06/12,-2000,200000)</f>
        <v>138.975721610694</v>
      </c>
    </row>
    <row r="14">
      <c r="A14" t="inlineStr">
        <is>
          <t>RATE</t>
        </is>
      </c>
      <c r="B14">
        <f>RATE(240,-7752.99,1000000)</f>
        <v>0.00583333422713951</v>
      </c>
    </row>
    <row r="15">
      <c r="A15" t="inlineStr">
        <is>
          <t>CUMIPMT</t>
        </is>
      </c>
      <c r="B15">
        <f>CUMIPMT(0.07/12,240,1000000,1,12,0)</f>
        <v>-69246.3712842574</v>
      </c>
    </row>
    <row r="16">
      <c r="A16" t="inlineStr">
        <is>
          <t>CUMPRINC</t>
        </is>
      </c>
      <c r="B16">
        <f>CUMPRINC(0.07/12,240,1000000,1,12,0)</f>
        <v>-23789.5009900076</v>
      </c>
    </row>
    <row r="17">
      <c r="A17" t="inlineStr">
        <is>
          <t>EFFECT</t>
        </is>
      </c>
      <c r="B17">
        <f>EFFECT(0.06,12)</f>
        <v>0.0616778118644983</v>
      </c>
    </row>
    <row r="18">
      <c r="A18" t="inlineStr">
        <is>
          <t>NOMINAL</t>
        </is>
      </c>
      <c r="B18">
        <f>NOMINAL(0.0617,12)</f>
        <v>0.0600210034177344</v>
      </c>
    </row>
    <row r="19">
      <c r="A19" t="inlineStr">
        <is>
          <t>SLN</t>
        </is>
      </c>
      <c r="B19">
        <f>SLN(100000,10000,10)</f>
        <v>9000</v>
      </c>
    </row>
    <row r="20">
      <c r="A20" t="inlineStr">
        <is>
          <t>DB</t>
        </is>
      </c>
      <c r="B20">
        <f>DB(100000,10000,10,1)</f>
        <v>20600</v>
      </c>
    </row>
    <row r="21">
      <c r="A21" t="inlineStr">
        <is>
          <t>DDB</t>
        </is>
      </c>
      <c r="B21">
        <f>DDB(100000,10000,10,1)</f>
        <v>20000</v>
      </c>
    </row>
    <row r="22">
      <c r="A22" t="inlineStr">
        <is>
          <t>Named range NPV</t>
        </is>
      </c>
      <c r="B22">
        <f>NPV(Rate,CFs)</f>
        <v>101.788718438983</v>
      </c>
    </row>
    <row r="23">
      <c r="A23" t="inlineStr">
        <is>
          <t>DATE</t>
        </is>
      </c>
      <c r="B23">
        <f>DATE(2026,2,30)</f>
        <v>46083</v>
      </c>
      <c r="C23" t="n">
        <v>46083</v>
      </c>
    </row>
    <row r="24">
      <c r="A24" t="inlineStr">
        <is>
          <t>EDATE end-month</t>
        </is>
      </c>
      <c r="B24">
        <f>EDATE(DATE(2026,1,31),1)</f>
        <v>46081</v>
      </c>
      <c r="C24" t="n">
        <v>46081</v>
      </c>
    </row>
    <row r="25">
      <c r="A25" t="inlineStr">
        <is>
          <t>EOMONTH negative</t>
        </is>
      </c>
      <c r="B25">
        <f>EOMONTH(DATE(2026,3,15),-1)</f>
        <v>46081</v>
      </c>
      <c r="C25" t="n">
        <v>46081</v>
      </c>
    </row>
    <row r="26">
      <c r="A26" t="inlineStr">
        <is>
          <t>YEARFRAC basis 0</t>
        </is>
      </c>
      <c r="B26">
        <f>YEARFRAC(DATE(2026,1,31),DATE(2026,3,31),0)</f>
        <v>0.166666666666667</v>
      </c>
    </row>
    <row r="27">
      <c r="A27" t="inlineStr">
        <is>
          <t>YEARFRAC basis 1</t>
        </is>
      </c>
      <c r="B27">
        <f>YEARFRAC(DATE(2026,1,1),DATE(2027,7,1),1)</f>
        <v>1.4958904109589</v>
      </c>
    </row>
    <row r="28">
      <c r="A28" t="inlineStr">
        <is>
          <t>YEARFRAC basis 3</t>
        </is>
      </c>
      <c r="B28">
        <f>YEARFRAC(DATE(2026,1,1),DATE(2027,7,1),3)</f>
        <v>1.4958904109589</v>
      </c>
    </row>
    <row r="29">
      <c r="A29" t="inlineStr">
        <is>
          <t>DAYS360</t>
        </is>
      </c>
      <c r="B29">
        <f>DAYS360(DATE(2026,1,31),DATE(2026,3,31))</f>
        <v>60</v>
      </c>
      <c r="C29" t="n">
        <v>60</v>
      </c>
    </row>
    <row r="30">
      <c r="A30" t="inlineStr">
        <is>
          <t>DAYS</t>
        </is>
      </c>
      <c r="B30">
        <f>_xlfn.DAYS(DATE(2026,12,31),DATE(2026,1,1))</f>
        <v>364</v>
      </c>
      <c r="C30" t="n">
        <v>364</v>
      </c>
    </row>
    <row r="31">
      <c r="A31" t="inlineStr">
        <is>
          <t>DATEDIF m</t>
        </is>
      </c>
      <c r="B31">
        <f>DATEDIF(DATE(2026,1,31),DATE(2026,7,30),"m")</f>
        <v>5</v>
      </c>
      <c r="C31" t="n">
        <v>5</v>
      </c>
    </row>
    <row r="32">
      <c r="A32" t="inlineStr">
        <is>
          <t>DATEDIF y</t>
        </is>
      </c>
      <c r="B32">
        <f>DATEDIF(DATE(2020,2,29),DATE(2026,2,28),"y")</f>
        <v>5</v>
      </c>
      <c r="C32" t="n">
        <v>5</v>
      </c>
    </row>
    <row r="33">
      <c r="A33" t="inlineStr">
        <is>
          <t>NETWORKDAYS</t>
        </is>
      </c>
      <c r="B33">
        <f>NETWORKDAYS(DATE(2026,1,1),DATE(2026,1,31))</f>
        <v>22</v>
      </c>
      <c r="C33" t="n">
        <v>22</v>
      </c>
    </row>
    <row r="34">
      <c r="A34" t="inlineStr">
        <is>
          <t>WORKDAY</t>
        </is>
      </c>
      <c r="B34">
        <f>WORKDAY(DATE(2026,1,1),10)</f>
        <v>46037</v>
      </c>
      <c r="C34" t="n">
        <v>46037</v>
      </c>
    </row>
    <row r="35">
      <c r="A35" t="inlineStr">
        <is>
          <t>WEEKDAY 2</t>
        </is>
      </c>
      <c r="B35">
        <f>WEEKDAY(DATE(2026,1,1),2)</f>
        <v>4</v>
      </c>
      <c r="C35" t="n">
        <v>4</v>
      </c>
    </row>
    <row r="36">
      <c r="A36" t="inlineStr">
        <is>
          <t>YEAR of text date</t>
        </is>
      </c>
      <c r="B36">
        <f>YEAR("2026-03-15")</f>
        <v>2026</v>
      </c>
      <c r="C36" t="n">
        <v>2026</v>
      </c>
    </row>
    <row r="37">
      <c r="A37" t="inlineStr">
        <is>
          <t>1900 leap serial</t>
        </is>
      </c>
      <c r="B37">
        <f>DATE(1900,3,1)</f>
        <v>61</v>
      </c>
      <c r="C37" t="n">
        <v>61</v>
      </c>
    </row>
    <row r="38">
      <c r="A38" t="inlineStr">
        <is>
          <t>Month count from dates</t>
        </is>
      </c>
      <c r="B38">
        <f>(YEAR(Data!C13)-YEAR(Data!C2))*12+MONTH(Data!C13)-MONTH(Data!C2)</f>
        <v>11</v>
      </c>
      <c r="C38" t="n">
        <v>11</v>
      </c>
    </row>
    <row r="39">
      <c r="A39" t="inlineStr">
        <is>
          <t>INDEX/MATCH exact</t>
        </is>
      </c>
      <c r="B39">
        <f>INDEX(Data!E2:E13,MATCH("Hotel",Data!D2:D13,0))</f>
        <v>121</v>
      </c>
      <c r="C39" t="n">
        <v>121</v>
      </c>
    </row>
    <row r="40">
      <c r="A40" t="inlineStr">
        <is>
          <t>MATCH approx</t>
        </is>
      </c>
      <c r="B40">
        <f>MATCH(105,Data!E2:E13,1)</f>
        <v>1</v>
      </c>
      <c r="C40" t="n">
        <v>1</v>
      </c>
    </row>
    <row r="41">
      <c r="A41" t="inlineStr">
        <is>
          <t>MATCH descending</t>
        </is>
      </c>
      <c r="B41">
        <f>MATCH(25,{50,40,30,20,10},-1)</f>
        <v>3</v>
      </c>
      <c r="C41" t="n">
        <v>3</v>
      </c>
    </row>
    <row r="42">
      <c r="A42" t="inlineStr">
        <is>
          <t>VLOOKUP exact</t>
        </is>
      </c>
      <c r="B42">
        <f>VLOOKUP(5,Data!A2:E13,5,FALSE)</f>
        <v>128</v>
      </c>
      <c r="C42" t="n">
        <v>128</v>
      </c>
    </row>
    <row r="43">
      <c r="A43" t="inlineStr">
        <is>
          <t>VLOOKUP approx</t>
        </is>
      </c>
      <c r="B43">
        <f>VLOOKUP(5.5,Data!A2:E13,2,TRUE)</f>
        <v>80</v>
      </c>
      <c r="C43" t="n">
        <v>80</v>
      </c>
    </row>
    <row r="44">
      <c r="A44" t="inlineStr">
        <is>
          <t>HLOOKUP</t>
        </is>
      </c>
      <c r="B44">
        <f>HLOOKUP("b",{"a","b";1,2},2,FALSE)</f>
        <v>2</v>
      </c>
      <c r="C44" t="n">
        <v>2</v>
      </c>
    </row>
    <row r="45">
      <c r="A45" t="inlineStr">
        <is>
          <t>LOOKUP</t>
        </is>
      </c>
      <c r="B45">
        <f>LOOKUP(2,1/(Data!D2:D13="Office"),Data!E2:E13)</f>
        <v>170</v>
      </c>
      <c r="C45" t="n">
        <v>170</v>
      </c>
    </row>
    <row r="46">
      <c r="A46" t="inlineStr">
        <is>
          <t>OFFSET variable width</t>
        </is>
      </c>
      <c r="B46">
        <f>SUM(OFFSET(Data!B2,0,0,Data!H2,1))</f>
        <v>-650</v>
      </c>
      <c r="C46" t="n">
        <v>-650</v>
      </c>
    </row>
    <row r="47">
      <c r="A47" t="inlineStr">
        <is>
          <t>OFFSET in NPV</t>
        </is>
      </c>
      <c r="B47">
        <f>NPV(0.08,OFFSET(Data!B3,0,0,Data!H2-1,1))</f>
        <v>273.359758342569</v>
      </c>
    </row>
    <row r="48">
      <c r="A48" t="inlineStr">
        <is>
          <t>INDIRECT text</t>
        </is>
      </c>
      <c r="B48">
        <f>INDIRECT("Data!B"&amp;(1+Data!H2))</f>
        <v>90</v>
      </c>
      <c r="C48" t="n">
        <v>90</v>
      </c>
    </row>
    <row r="49">
      <c r="A49" t="inlineStr">
        <is>
          <t>INDIRECT sheet name</t>
        </is>
      </c>
      <c r="B49">
        <f>INDIRECT("'S2'!A1")</f>
        <v>20</v>
      </c>
      <c r="C49" t="n">
        <v>20</v>
      </c>
    </row>
    <row r="50">
      <c r="A50" t="inlineStr">
        <is>
          <t>CHOOSE</t>
        </is>
      </c>
      <c r="B50" t="str">
        <f>CHOOSE(2,"Base","Upside","Downside")</f>
        <v>Upside</v>
      </c>
      <c r="C50" t="inlineStr">
        <is>
          <t>Upside</t>
        </is>
      </c>
    </row>
    <row r="51">
      <c r="A51" t="inlineStr">
        <is>
          <t>XLOOKUP</t>
        </is>
      </c>
      <c r="B51">
        <f>_xlfn.XLOOKUP("Hotel",Data!D2:D13,Data!E2:E13)</f>
        <v>121</v>
      </c>
      <c r="C51" t="n">
        <v>121</v>
      </c>
    </row>
    <row r="52">
      <c r="A52" t="inlineStr">
        <is>
          <t>XLOOKUP not found</t>
        </is>
      </c>
      <c r="B52" t="str">
        <f>_xlfn.XLOOKUP("Spa",Data!D2:D13,Data!E2:E13,"none")</f>
        <v>none</v>
      </c>
      <c r="C52" t="inlineStr">
        <is>
          <t>none</t>
        </is>
      </c>
    </row>
    <row r="53">
      <c r="A53" t="inlineStr">
        <is>
          <t>XMATCH</t>
        </is>
      </c>
      <c r="B53">
        <f>_xlfn.XMATCH("Office",Data!D2:D13)</f>
        <v>2</v>
      </c>
      <c r="C53" t="n">
        <v>2</v>
      </c>
    </row>
    <row r="54">
      <c r="A54" t="inlineStr">
        <is>
          <t>ROWS/COLUMNS</t>
        </is>
      </c>
      <c r="B54">
        <f>ROWS(Data!A2:E13)*COLUMNS(Data!A2:E13)</f>
        <v>60</v>
      </c>
      <c r="C54" t="n">
        <v>60</v>
      </c>
    </row>
    <row r="55">
      <c r="A55" t="inlineStr">
        <is>
          <t>Structured ref sum</t>
        </is>
      </c>
      <c r="B55">
        <f>SUM(UnitTbl[Area])</f>
        <v>310</v>
      </c>
      <c r="C55" t="n">
        <v>310</v>
      </c>
    </row>
    <row r="56">
      <c r="A56" t="inlineStr">
        <is>
          <t>Structured ref sumproduct</t>
        </is>
      </c>
      <c r="B56">
        <f>SUMPRODUCT(UnitTbl[Area],UnitTbl[Price])</f>
        <v>468</v>
      </c>
      <c r="C56" t="n">
        <v>468</v>
      </c>
    </row>
    <row r="57">
      <c r="A57" t="inlineStr">
        <is>
          <t>3D sum</t>
        </is>
      </c>
      <c r="B57">
        <f>SUM(S1:S3!A1)</f>
        <v>60</v>
      </c>
      <c r="C57" t="n">
        <v>60</v>
      </c>
    </row>
    <row r="58">
      <c r="A58" t="inlineStr">
        <is>
          <t>Whole column sum</t>
        </is>
      </c>
      <c r="B58">
        <f>SUM(Data!E:E)</f>
        <v>1662</v>
      </c>
      <c r="C58" t="n">
        <v>1662</v>
      </c>
    </row>
    <row r="59">
      <c r="A59" t="inlineStr">
        <is>
          <t>SUMIF</t>
        </is>
      </c>
      <c r="B59">
        <f>SUMIF(Data!D2:D13,"Retail",Data!B2:B13)</f>
        <v>470</v>
      </c>
      <c r="C59" t="n">
        <v>470</v>
      </c>
    </row>
    <row r="60">
      <c r="A60" t="inlineStr">
        <is>
          <t>SUMIFS two</t>
        </is>
      </c>
      <c r="B60">
        <f>SUMIFS(Data!B2:B13,Data!D2:D13,"Office",Data!A2:A13,"&gt;4")</f>
        <v>330</v>
      </c>
      <c r="C60" t="n">
        <v>330</v>
      </c>
    </row>
    <row r="61">
      <c r="A61" t="inlineStr">
        <is>
          <t>SUMIFS wildcard</t>
        </is>
      </c>
      <c r="B61">
        <f>SUMIFS(Data!E2:E13,Data!D2:D13,"Ho*")</f>
        <v>426</v>
      </c>
      <c r="C61" t="n">
        <v>426</v>
      </c>
    </row>
    <row r="62">
      <c r="A62" t="inlineStr">
        <is>
          <t>COUNTIFS</t>
        </is>
      </c>
      <c r="B62">
        <f>COUNTIFS(Data!D2:D13,"&lt;&gt;Retail",Data!E2:E13,"&gt;=120")</f>
        <v>6</v>
      </c>
      <c r="C62" t="n">
        <v>6</v>
      </c>
    </row>
    <row r="63">
      <c r="A63" t="inlineStr">
        <is>
          <t>AVERAGEIFS</t>
        </is>
      </c>
      <c r="B63">
        <f>AVERAGEIFS(Data!E2:E13,Data!D2:D13,"Retail")</f>
        <v>136.4</v>
      </c>
      <c r="C63" t="n">
        <v>136.4</v>
      </c>
    </row>
    <row r="64">
      <c r="A64" t="inlineStr">
        <is>
          <t>MAXIFS</t>
        </is>
      </c>
      <c r="B64">
        <f>_xlfn.MAXIFS(Data!E2:E13,Data!D2:D13,"Office")</f>
        <v>170</v>
      </c>
      <c r="C64" t="n">
        <v>170</v>
      </c>
    </row>
    <row r="65">
      <c r="A65" t="inlineStr">
        <is>
          <t>MINIFS</t>
        </is>
      </c>
      <c r="B65">
        <f>_xlfn.MINIFS(Data!E2:E13,Data!D2:D13,"Hotel")</f>
        <v>121</v>
      </c>
      <c r="C65" t="n">
        <v>121</v>
      </c>
    </row>
    <row r="66">
      <c r="A66" t="inlineStr">
        <is>
          <t>SUMPRODUCT condition</t>
        </is>
      </c>
      <c r="B66">
        <f>SUMPRODUCT((Data!D2:D13="Retail")*Data!E2:E13)</f>
        <v>682</v>
      </c>
      <c r="C66" t="n">
        <v>682</v>
      </c>
    </row>
    <row r="67">
      <c r="A67" t="inlineStr">
        <is>
          <t>SUMPRODUCT --</t>
        </is>
      </c>
      <c r="B67">
        <f>SUMPRODUCT(--(Data!A2:A13&gt;6),Data!B2:B13)</f>
        <v>1800</v>
      </c>
      <c r="C67" t="n">
        <v>1800</v>
      </c>
    </row>
    <row r="68">
      <c r="A68" t="inlineStr">
        <is>
          <t>COUNTA</t>
        </is>
      </c>
      <c r="B68">
        <f>COUNTA(Data!D2:D13)</f>
        <v>12</v>
      </c>
      <c r="C68" t="n">
        <v>12</v>
      </c>
    </row>
    <row r="69">
      <c r="A69" t="inlineStr">
        <is>
          <t>COUNTBLANK</t>
        </is>
      </c>
      <c r="B69">
        <f>COUNTBLANK(Data!I2:I5)</f>
        <v>2</v>
      </c>
      <c r="C69" t="n">
        <v>2</v>
      </c>
    </row>
    <row r="70">
      <c r="A70" t="inlineStr">
        <is>
          <t>ROUND half</t>
        </is>
      </c>
      <c r="B70">
        <f>ROUND(2.5,0)</f>
        <v>3</v>
      </c>
      <c r="C70" t="n">
        <v>3</v>
      </c>
    </row>
    <row r="71">
      <c r="A71" t="inlineStr">
        <is>
          <t>ROUND negative half</t>
        </is>
      </c>
      <c r="B71">
        <f>ROUND(-2.5,0)</f>
        <v>-3</v>
      </c>
      <c r="C71" t="n">
        <v>-3</v>
      </c>
    </row>
    <row r="72">
      <c r="A72" t="inlineStr">
        <is>
          <t>ROUND float</t>
        </is>
      </c>
      <c r="B72">
        <f>ROUND(1.005,2)</f>
        <v>1.01</v>
      </c>
      <c r="C72" t="n">
        <v>1.01</v>
      </c>
    </row>
    <row r="73">
      <c r="A73" t="inlineStr">
        <is>
          <t>ROUNDUP</t>
        </is>
      </c>
      <c r="B73">
        <f>ROUNDUP(3.14159,3)</f>
        <v>3.142</v>
      </c>
      <c r="C73" t="n">
        <v>3.142</v>
      </c>
    </row>
    <row r="74">
      <c r="A74" t="inlineStr">
        <is>
          <t>ROUNDDOWN</t>
        </is>
      </c>
      <c r="B74">
        <f>ROUNDDOWN(-3.14159,2)</f>
        <v>-3.14</v>
      </c>
      <c r="C74" t="n">
        <v>-3.14</v>
      </c>
    </row>
    <row r="75">
      <c r="A75" t="inlineStr">
        <is>
          <t>MROUND</t>
        </is>
      </c>
      <c r="B75">
        <f>MROUND(17,5)</f>
        <v>15</v>
      </c>
      <c r="C75" t="n">
        <v>15</v>
      </c>
    </row>
    <row r="76">
      <c r="A76" t="inlineStr">
        <is>
          <t>CEILING</t>
        </is>
      </c>
      <c r="B76">
        <f>CEILING(4.3,0.5)</f>
        <v>4.5</v>
      </c>
      <c r="C76" t="n">
        <v>4.5</v>
      </c>
    </row>
    <row r="77">
      <c r="A77" t="inlineStr">
        <is>
          <t>CEILING.MATH negative</t>
        </is>
      </c>
      <c r="B77">
        <f>_xlfn.CEILING.MATH(-4.3,1)</f>
        <v>-4</v>
      </c>
      <c r="C77" t="n">
        <v>-4</v>
      </c>
    </row>
    <row r="78">
      <c r="A78" t="inlineStr">
        <is>
          <t>FLOOR.MATH</t>
        </is>
      </c>
      <c r="B78">
        <f>_xlfn.FLOOR.MATH(4.7,2)</f>
        <v>4</v>
      </c>
      <c r="C78" t="n">
        <v>4</v>
      </c>
    </row>
    <row r="79">
      <c r="A79" t="inlineStr">
        <is>
          <t>INT negative</t>
        </is>
      </c>
      <c r="B79">
        <f>INT(-1.25)</f>
        <v>-2</v>
      </c>
      <c r="C79" t="n">
        <v>-2</v>
      </c>
    </row>
    <row r="80">
      <c r="A80" t="inlineStr">
        <is>
          <t>TRUNC</t>
        </is>
      </c>
      <c r="B80">
        <f>TRUNC(-1.25)</f>
        <v>-1</v>
      </c>
      <c r="C80" t="n">
        <v>-1</v>
      </c>
    </row>
    <row r="81">
      <c r="A81" t="inlineStr">
        <is>
          <t>MOD negative</t>
        </is>
      </c>
      <c r="B81">
        <f>MOD(-7,3)</f>
        <v>2</v>
      </c>
      <c r="C81" t="n">
        <v>2</v>
      </c>
    </row>
    <row r="82">
      <c r="A82" t="inlineStr">
        <is>
          <t>QUOTIENT</t>
        </is>
      </c>
      <c r="B82">
        <f>QUOTIENT(-7,3)</f>
        <v>-2</v>
      </c>
      <c r="C82" t="n">
        <v>-2</v>
      </c>
    </row>
    <row r="83">
      <c r="A83" t="inlineStr">
        <is>
          <t>POWER fraction</t>
        </is>
      </c>
      <c r="B83">
        <f>POWER(1.08,1/12)</f>
        <v>1.00643403011</v>
      </c>
    </row>
    <row r="84">
      <c r="A84" t="inlineStr">
        <is>
          <t>SQRT</t>
        </is>
      </c>
      <c r="B84">
        <f>SQRT(2)</f>
        <v>1.4142135623731</v>
      </c>
    </row>
    <row r="85">
      <c r="A85" t="inlineStr">
        <is>
          <t>LN</t>
        </is>
      </c>
      <c r="B85">
        <f>LN(10)</f>
        <v>2.30258509299405</v>
      </c>
    </row>
    <row r="86">
      <c r="A86" t="inlineStr">
        <is>
          <t>PRODUCT growth</t>
        </is>
      </c>
      <c r="B86">
        <f>PRODUCT(1.03,1.03,1.03)</f>
        <v>1.092727</v>
      </c>
      <c r="C86" t="n">
        <v>1.092727</v>
      </c>
    </row>
    <row r="87">
      <c r="A87" t="inlineStr">
        <is>
          <t>IFS</t>
        </is>
      </c>
      <c r="B87" t="str">
        <f>_xlfn.IFS(5&gt;6,"a",5&gt;4,"b",TRUE,"c")</f>
        <v>b</v>
      </c>
      <c r="C87" t="inlineStr">
        <is>
          <t>b</t>
        </is>
      </c>
    </row>
    <row r="88">
      <c r="A88" t="inlineStr">
        <is>
          <t>SWITCH</t>
        </is>
      </c>
      <c r="B88" t="str">
        <f>_xlfn.SWITCH(2,1,"one",2,"two","other")</f>
        <v>two</v>
      </c>
      <c r="C88" t="inlineStr">
        <is>
          <t>two</t>
        </is>
      </c>
    </row>
    <row r="89">
      <c r="A89" t="inlineStr">
        <is>
          <t>IFERROR div0</t>
        </is>
      </c>
      <c r="B89">
        <f>IFERROR(1/0,0)</f>
        <v>0</v>
      </c>
      <c r="C89" t="n">
        <v>0</v>
      </c>
    </row>
    <row r="90">
      <c r="A90" t="inlineStr">
        <is>
          <t>IFNA</t>
        </is>
      </c>
      <c r="B90">
        <f>_xlfn.IFNA(MATCH("x",{"a","b"},0),-1)</f>
        <v>-1</v>
      </c>
      <c r="C90" t="n">
        <v>-1</v>
      </c>
    </row>
    <row r="91">
      <c r="A91" t="inlineStr">
        <is>
          <t>XOR</t>
        </is>
      </c>
      <c r="B91" t="b">
        <f>_xlfn.XOR(TRUE,FALSE)</f>
        <v>1</v>
      </c>
      <c r="C91" t="b">
        <v>1</v>
      </c>
    </row>
    <row r="92">
      <c r="A92" t="inlineStr">
        <is>
          <t>AND with range</t>
        </is>
      </c>
      <c r="B92" t="b">
        <f>AND(Data!E2:E13&gt;0)</f>
        <v>1</v>
      </c>
      <c r="C92" t="b">
        <v>1</v>
      </c>
    </row>
    <row r="93">
      <c r="A93" t="inlineStr">
        <is>
          <t>Empty cell arithmetic</t>
        </is>
      </c>
      <c r="B93">
        <f>Data!I5+1</f>
        <v>1</v>
      </c>
      <c r="C93" t="n">
        <v>1</v>
      </c>
    </row>
    <row r="94">
      <c r="A94" t="inlineStr">
        <is>
          <t>Empty string arithmetic</t>
        </is>
      </c>
      <c r="B94" t="e">
        <f>Data!I3+1</f>
        <v>#VALUE!</v>
      </c>
      <c r="C94" t="e">
        <v>#VALUE!</v>
      </c>
    </row>
    <row r="95">
      <c r="A95" t="inlineStr">
        <is>
          <t>Text number arithmetic</t>
        </is>
      </c>
      <c r="B95">
        <f>Data!I2+1</f>
        <v>6</v>
      </c>
      <c r="C95" t="n">
        <v>6</v>
      </c>
    </row>
    <row r="96">
      <c r="A96" t="inlineStr">
        <is>
          <t>Boolean arithmetic</t>
        </is>
      </c>
      <c r="B96">
        <f>Data!J2+1</f>
        <v>2</v>
      </c>
      <c r="C96" t="n">
        <v>2</v>
      </c>
    </row>
    <row r="97">
      <c r="A97" t="inlineStr">
        <is>
          <t>Text compare case</t>
        </is>
      </c>
      <c r="B97">
        <f>IF("abc"="ABC",1,0)</f>
        <v>1</v>
      </c>
      <c r="C97" t="n">
        <v>1</v>
      </c>
    </row>
    <row r="98">
      <c r="A98" t="inlineStr">
        <is>
          <t>Error propagation in SUM</t>
        </is>
      </c>
      <c r="B98">
        <f>IFERROR(SUM(Data!B2,1/0),-1)</f>
        <v>-1</v>
      </c>
      <c r="C98" t="n">
        <v>-1</v>
      </c>
    </row>
    <row r="99">
      <c r="A99" t="inlineStr">
        <is>
          <t>TEXT percent</t>
        </is>
      </c>
      <c r="B99" t="str">
        <f>TEXT(0.1234,"0.0%")</f>
        <v>12.3%</v>
      </c>
      <c r="C99" t="inlineStr">
        <is>
          <t>12.3%</t>
        </is>
      </c>
    </row>
    <row r="100">
      <c r="A100" t="inlineStr">
        <is>
          <t>TEXT thousands</t>
        </is>
      </c>
      <c r="B100" t="str">
        <f>TEXT(1234567.891,"#,##0.00")</f>
        <v>1,234,567.89</v>
      </c>
      <c r="C100" t="inlineStr">
        <is>
          <t>1,234,567.89</t>
        </is>
      </c>
    </row>
    <row r="101">
      <c r="A101" t="inlineStr">
        <is>
          <t>TEXT date</t>
        </is>
      </c>
      <c r="B101" t="str">
        <f>TEXT(DATE(2026,3,1),"mmm-yy")</f>
        <v>Mar-26</v>
      </c>
      <c r="C101" t="inlineStr">
        <is>
          <t>Mar-26</t>
        </is>
      </c>
    </row>
    <row r="102">
      <c r="A102" t="inlineStr">
        <is>
          <t>TEXT millions</t>
        </is>
      </c>
      <c r="B102" t="str">
        <f>TEXT(1234567,"#,##0.0,,\M")</f>
        <v>1.2M</v>
      </c>
      <c r="C102" t="inlineStr">
        <is>
          <t>1.2M</t>
        </is>
      </c>
    </row>
    <row r="103">
      <c r="A103" t="inlineStr">
        <is>
          <t>CONCAT</t>
        </is>
      </c>
      <c r="B103" t="str">
        <f>_xlfn.CONCAT("Case ","Base")</f>
        <v>Case Base</v>
      </c>
      <c r="C103" t="inlineStr">
        <is>
          <t>Case Base</t>
        </is>
      </c>
    </row>
    <row r="104">
      <c r="A104" t="inlineStr">
        <is>
          <t>TEXTJOIN</t>
        </is>
      </c>
      <c r="B104" t="str">
        <f>_xlfn.TEXTJOIN(", ",TRUE,"a","","b")</f>
        <v>a, b</v>
      </c>
      <c r="C104" t="inlineStr">
        <is>
          <t>a, b</t>
        </is>
      </c>
    </row>
    <row r="105">
      <c r="A105" t="inlineStr">
        <is>
          <t>ampersand number</t>
        </is>
      </c>
      <c r="B105" t="str">
        <f>"IRR "&amp;ROUND(0.12345*100,1)&amp;"%"</f>
        <v>IRR 12.3%</v>
      </c>
      <c r="C105" t="inlineStr">
        <is>
          <t>IRR 12.3%</t>
        </is>
      </c>
    </row>
    <row r="106">
      <c r="A106" t="inlineStr">
        <is>
          <t>VALUE</t>
        </is>
      </c>
      <c r="B106">
        <f>VALUE("1,234.5")</f>
        <v>1234.5</v>
      </c>
      <c r="C106" t="n">
        <v>1234.5</v>
      </c>
    </row>
    <row r="107">
      <c r="A107" t="inlineStr">
        <is>
          <t>NUMBERVALUE</t>
        </is>
      </c>
      <c r="B107">
        <f>_xlfn.NUMBERVALUE("1.234,5",",",".")</f>
        <v>1234.5</v>
      </c>
      <c r="C107" t="n">
        <v>1234.5</v>
      </c>
    </row>
    <row r="108">
      <c r="A108" t="inlineStr">
        <is>
          <t>SUBSTITUTE</t>
        </is>
      </c>
      <c r="B108" t="str">
        <f>SUBSTITUTE("SAR 1,000",",","")</f>
        <v>SAR 1000</v>
      </c>
      <c r="C108" t="inlineStr">
        <is>
          <t>SAR 1000</t>
        </is>
      </c>
    </row>
    <row r="109">
      <c r="A109" t="inlineStr">
        <is>
          <t>FIND/MID</t>
        </is>
      </c>
      <c r="B109" t="str">
        <f>MID("Riyadh-North",FIND("-","Riyadh-North")+1,5)</f>
        <v>North</v>
      </c>
      <c r="C109" t="inlineStr">
        <is>
          <t>North</t>
        </is>
      </c>
    </row>
    <row r="110">
      <c r="A110" t="inlineStr">
        <is>
          <t>PROPER</t>
        </is>
      </c>
      <c r="B110" t="str">
        <f>PROPER("al waha park")</f>
        <v>Al Waha Park</v>
      </c>
      <c r="C110" t="inlineStr">
        <is>
          <t>Al Waha Park</t>
        </is>
      </c>
    </row>
    <row r="111">
      <c r="A111" t="inlineStr">
        <is>
          <t>FIXED</t>
        </is>
      </c>
      <c r="B111" t="str">
        <f>FIXED(1234.567,1)</f>
        <v>1,234.6</v>
      </c>
      <c r="C111" t="inlineStr">
        <is>
          <t>1,234.6</t>
        </is>
      </c>
    </row>
    <row r="112">
      <c r="A112" t="inlineStr">
        <is>
          <t>LEFT number</t>
        </is>
      </c>
      <c r="B112" t="str">
        <f>LEFT(2026,2)</f>
        <v>20</v>
      </c>
      <c r="C112" t="inlineStr">
        <is>
          <t>20</t>
        </is>
      </c>
    </row>
    <row r="113">
      <c r="A113" t="inlineStr">
        <is>
          <t>MEDIAN</t>
        </is>
      </c>
      <c r="B113">
        <f>MEDIAN(Data!E2:E13)</f>
        <v>138.5</v>
      </c>
      <c r="C113" t="n">
        <v>138.5</v>
      </c>
    </row>
    <row r="114">
      <c r="A114" t="inlineStr">
        <is>
          <t>STDEV.S</t>
        </is>
      </c>
      <c r="B114">
        <f>_xlfn.STDEV.S(Data!E2:E13)</f>
        <v>25.2388589282479</v>
      </c>
    </row>
    <row r="115">
      <c r="A115" t="inlineStr">
        <is>
          <t>PERCENTILE.INC</t>
        </is>
      </c>
      <c r="B115">
        <f>_xlfn.PERCENTILE.INC(Data!E2:E13,0.9)</f>
        <v>169.3</v>
      </c>
    </row>
    <row r="116">
      <c r="A116" t="inlineStr">
        <is>
          <t>QUARTILE</t>
        </is>
      </c>
      <c r="B116">
        <f>QUARTILE(Data!E2:E13,1)</f>
        <v>119.25</v>
      </c>
    </row>
    <row r="117">
      <c r="A117" t="inlineStr">
        <is>
          <t>LARGE</t>
        </is>
      </c>
      <c r="B117">
        <f>LARGE(Data!E2:E13,2)</f>
        <v>170</v>
      </c>
      <c r="C117" t="n">
        <v>170</v>
      </c>
    </row>
    <row r="118">
      <c r="A118" t="inlineStr">
        <is>
          <t>RANK.EQ</t>
        </is>
      </c>
      <c r="B118">
        <f>_xlfn.RANK.EQ(121,Data!E2:E13)</f>
        <v>9</v>
      </c>
      <c r="C118" t="n">
        <v>9</v>
      </c>
    </row>
    <row r="119">
      <c r="A119" t="inlineStr">
        <is>
          <t>CORREL</t>
        </is>
      </c>
      <c r="B119">
        <f>CORREL(Data!A2:A13,Data!E2:E13)</f>
        <v>1</v>
      </c>
      <c r="C119" t="n">
        <v>1</v>
      </c>
    </row>
    <row r="120">
      <c r="A120" t="inlineStr">
        <is>
          <t>FORECAST.LINEAR</t>
        </is>
      </c>
      <c r="B120">
        <f>_xlfn.FORECAST.LINEAR(13,Data!E2:E13,Data!A2:A13)</f>
        <v>184</v>
      </c>
      <c r="C120" t="n">
        <v>184</v>
      </c>
    </row>
    <row r="121">
      <c r="A121" t="inlineStr">
        <is>
          <t>NORM.INV</t>
        </is>
      </c>
      <c r="B121">
        <f>_xlfn.NORM.INV(0.95,0,1)</f>
        <v>1.64485362695147</v>
      </c>
    </row>
    <row r="122">
      <c r="A122" t="inlineStr">
        <is>
          <t>NORM.S.DIST</t>
        </is>
      </c>
      <c r="B122">
        <f>_xlfn.NORM.S.DIST(1.645,TRUE)</f>
        <v>0.950015094460879</v>
      </c>
    </row>
    <row r="123">
      <c r="A123" t="inlineStr">
        <is>
          <t>NORM.DIST</t>
        </is>
      </c>
      <c r="B123">
        <f>_xlfn.NORM.DIST(1,0,1,TRUE)</f>
        <v>0.841344746068543</v>
      </c>
    </row>
    <row r="124">
      <c r="A124" t="inlineStr">
        <is>
          <t>LOGNORM.INV</t>
        </is>
      </c>
      <c r="B124">
        <f>_xlfn.LOGNORM.INV(0.5,0,1)</f>
        <v>1</v>
      </c>
      <c r="C124" t="n">
        <v>1</v>
      </c>
    </row>
    <row r="125">
      <c r="A125" t="inlineStr">
        <is>
          <t>MMULT</t>
        </is>
      </c>
      <c r="B125">
        <f>SUMPRODUCT(MMULT({1,2;3,4},{1;1}))</f>
        <v>10</v>
      </c>
      <c r="C125" t="n">
        <v>10</v>
      </c>
    </row>
    <row r="126">
      <c r="A126" t="inlineStr">
        <is>
          <t>FREQUENCY first</t>
        </is>
      </c>
      <c r="B126">
        <f>INDEX(FREQUENCY(Data!E2:E13,{120,150}),1)</f>
        <v>3</v>
      </c>
      <c r="C126" t="n">
        <v>3</v>
      </c>
    </row>
    <row r="127">
      <c r="A127" t="inlineStr">
        <is>
          <t>LET</t>
        </is>
      </c>
      <c r="B127">
        <f>_xlfn.LET(x,2,y,3,x*y+1)</f>
        <v>7</v>
      </c>
      <c r="C127" t="n">
        <v>7</v>
      </c>
    </row>
    <row r="128">
      <c r="A128" t="inlineStr">
        <is>
          <t>SUM of SEQUENCE</t>
        </is>
      </c>
      <c r="B128">
        <f>SUM(_xlfn.SEQUENCE(10))</f>
        <v>55</v>
      </c>
      <c r="C128" t="n">
        <v>55</v>
      </c>
    </row>
    <row r="129">
      <c r="A129" t="inlineStr">
        <is>
          <t>SUM of FILTER</t>
        </is>
      </c>
      <c r="B129">
        <f>SUM(_xlfn._xlws.FILTER(Data!E2:E13,Data!D2:D13="Hotel"))</f>
        <v>426</v>
      </c>
      <c r="C129" t="n">
        <v>426</v>
      </c>
    </row>
    <row r="130">
      <c r="A130" t="inlineStr">
        <is>
          <t>COUNT of UNIQUE</t>
        </is>
      </c>
      <c r="B130">
        <f>COUNTA(_xlfn.UNIQUE(Data!D2:D13))</f>
        <v>3</v>
      </c>
      <c r="C130" t="n">
        <v>3</v>
      </c>
    </row>
    <row r="131">
      <c r="A131" t="inlineStr">
        <is>
          <t>MAX of SORT</t>
        </is>
      </c>
      <c r="B131">
        <f>INDEX(_xlfn._xlws.SORT(Data!E2:E13,1,-1),1)</f>
        <v>177</v>
      </c>
      <c r="C131" t="n">
        <v>177</v>
      </c>
    </row>
    <row r="132">
      <c r="A132" t="inlineStr">
        <is>
          <t>LAMBDA</t>
        </is>
      </c>
      <c r="B132">
        <f>_xlfn.LAMBDA(x,x*2)(21)</f>
        <v>42</v>
      </c>
      <c r="C132" t="n">
        <v>42</v>
      </c>
    </row>
    <row r="133">
      <c r="A133" t="inlineStr">
        <is>
          <t>REGEXTEST</t>
        </is>
      </c>
      <c r="B133" t="b">
        <f>_xlfn.REGEXTEST("Unit A-102","^Unit [A-Z]-\d{3}$")</f>
        <v>1</v>
      </c>
      <c r="C133" t="b">
        <v>1</v>
      </c>
    </row>
    <row r="134">
      <c r="A134" t="inlineStr">
        <is>
          <t>REGEXEXTRACT</t>
        </is>
      </c>
      <c r="B134" t="str">
        <f>_xlfn.REGEXEXTRACT("Lease 2026-03-15 signed","\d{4}-\d{2}-\d{2}")</f>
        <v>2026-03-15</v>
      </c>
      <c r="C134" t="inlineStr">
        <is>
          <t>2026-03-15</t>
        </is>
      </c>
    </row>
    <row r="135">
      <c r="A135" t="inlineStr">
        <is>
          <t>REGEXEXTRACT group</t>
        </is>
      </c>
      <c r="B135" t="str">
        <f>_xlfn.REGEXEXTRACT("Tenant: Northstar LLC","Tenant: (\w+)",2)</f>
        <v>Northstar</v>
      </c>
      <c r="C135" t="inlineStr">
        <is>
          <t>Northstar</t>
        </is>
      </c>
    </row>
    <row r="136">
      <c r="A136" t="inlineStr">
        <is>
          <t>REGEXREPLACE</t>
        </is>
      </c>
      <c r="B136" t="str">
        <f>_xlfn.REGEXREPLACE("SAR 1,250,000","[^0-9]","")</f>
        <v>1250000</v>
      </c>
      <c r="C136" t="inlineStr">
        <is>
          <t>1250000</t>
        </is>
      </c>
    </row>
    <row r="137">
      <c r="A137" t="inlineStr">
        <is>
          <t>REGEXREPLACE nth</t>
        </is>
      </c>
      <c r="B137" t="str">
        <f>_xlfn.REGEXREPLACE("a-b-c","-","+",2)</f>
        <v>a-b+c</v>
      </c>
      <c r="C137" t="inlineStr">
        <is>
          <t>a-b+c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2026-10-22T09:32:48Z</dcterms:created>
  <dcterms:modified xsi:type="dcterms:W3CDTF">2026-10-22T09:32:48Z</dcterms:modified>
</cp:coreProperties>
</file>