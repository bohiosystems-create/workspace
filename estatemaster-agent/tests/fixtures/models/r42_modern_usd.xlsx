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Prices" sheetId="2" state="visible" r:id="rId2"/>
    <sheet name="Cash Flow" sheetId="3" state="visible" r:id="rId3"/>
    <sheet name="Retur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MODERN TOWER – NEW FUNCTIONS (USD)</t>
        </is>
      </c>
    </row>
    <row r="2">
      <c r="A2" t="inlineStr">
        <is>
          <t>Scenario</t>
        </is>
      </c>
      <c r="B2" t="inlineStr">
        <is>
          <t>Base</t>
        </is>
      </c>
    </row>
    <row r="3">
      <c r="A3" t="inlineStr">
        <is>
          <t>Units</t>
        </is>
      </c>
      <c r="B3" t="n">
        <v>150</v>
      </c>
    </row>
    <row r="4">
      <c r="A4" t="inlineStr">
        <is>
          <t>Cost per unit</t>
        </is>
      </c>
      <c r="B4" t="n">
        <v>400000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Price per unit</t>
        </is>
      </c>
    </row>
    <row r="2">
      <c r="A2" t="inlineStr">
        <is>
          <t>Base</t>
        </is>
      </c>
      <c r="B2" t="n">
        <v>600000</v>
      </c>
    </row>
    <row r="3">
      <c r="A3" t="inlineStr">
        <is>
          <t>Low</t>
        </is>
      </c>
      <c r="B3" t="n">
        <v>520000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0</v>
      </c>
      <c r="C1" t="n">
        <v>1</v>
      </c>
      <c r="D1" t="n">
        <v>2</v>
      </c>
    </row>
    <row r="2">
      <c r="A2" t="inlineStr">
        <is>
          <t>Revenue</t>
        </is>
      </c>
      <c r="B2" t="n">
        <v>0</v>
      </c>
      <c r="C2">
        <f>_xlfn.LET(p,_xlfn.XLOOKUP(Inputs!B2,Prices!A2:A3,Prices!B2:B3),u,Inputs!B3,p*u/2)</f>
        <v/>
      </c>
      <c r="D2">
        <f>C2</f>
        <v/>
      </c>
    </row>
    <row r="3">
      <c r="A3" t="inlineStr">
        <is>
          <t>Cost</t>
        </is>
      </c>
      <c r="B3">
        <f>-SUMPRODUCT(Inputs!B3,Inputs!B4)</f>
        <v/>
      </c>
      <c r="C3" t="n">
        <v>0</v>
      </c>
      <c r="D3" t="n">
        <v>0</v>
      </c>
    </row>
    <row r="4">
      <c r="A4" t="inlineStr">
        <is>
          <t>Net</t>
        </is>
      </c>
      <c r="B4">
        <f>B2+B3</f>
        <v/>
      </c>
      <c r="C4">
        <f>C2+C3</f>
        <v/>
      </c>
      <c r="D4">
        <f>D2+D3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Unlevered IRR</t>
        </is>
      </c>
      <c r="B1">
        <f>IRR('Cash Flow'!B4:D4)</f>
        <v/>
      </c>
    </row>
    <row r="2">
      <c r="A2" t="inlineStr">
        <is>
          <t>Net profit</t>
        </is>
      </c>
      <c r="B2">
        <f>SUM('Cash Flow'!B4:D4)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2026-10-23T16:34:12Z</dcterms:created>
  <dcterms:modified xsi:type="dcterms:W3CDTF">2026-10-23T16:34:12Z</dcterms:modified>
</cp:coreProperties>
</file>