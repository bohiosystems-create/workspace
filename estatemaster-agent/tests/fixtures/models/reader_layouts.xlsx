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U" sheetId="2" state="visible" r:id="rId4"/>
    <sheet name="Waterfa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<sst xmlns="http://schemas.openxmlformats.org/spreadsheetml/2006/main" count="53" uniqueCount="47">
  <si>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[INVESTMENT NAME]</t>
  </si>
  <si>
    <t xml:space="preserve">[City], [State]</t>
  </si>
  <si>
    <t xml:space="preserve">PRO FORMA</t>
  </si>
  <si>
    <t xml:space="preserve">STABILIZED (UNTRENDED)</t>
  </si>
  <si>
    <t xml:space="preserve">Effective Gross Revenue</t>
  </si>
  <si>
    <t xml:space="preserve">PROPERTY RETURNS</t>
  </si>
  <si>
    <t xml:space="preserve">ROI</t>
  </si>
  <si>
    <t xml:space="preserve">EMx </t>
  </si>
  <si>
    <t xml:space="preserve">IRR</t>
  </si>
  <si>
    <t xml:space="preserve">Unlevered</t>
  </si>
  <si>
    <t xml:space="preserve">Levered</t>
  </si>
  <si>
    <t xml:space="preserve">USES</t>
  </si>
  <si>
    <t xml:space="preserve">%</t>
  </si>
  <si>
    <t xml:space="preserve">/Buildable SF</t>
  </si>
  <si>
    <t xml:space="preserve">Amount</t>
  </si>
  <si>
    <t xml:space="preserve">Land Costs</t>
  </si>
  <si>
    <t xml:space="preserve">Hard Costs</t>
  </si>
  <si>
    <t xml:space="preserve">Total Uses</t>
  </si>
  <si>
    <t xml:space="preserve">START</t>
  </si>
  <si>
    <t xml:space="preserve">END</t>
  </si>
  <si>
    <t xml:space="preserve">METHOD</t>
  </si>
  <si>
    <t xml:space="preserve">/RENTABLE SF</t>
  </si>
  <si>
    <t xml:space="preserve">AMOUNT</t>
  </si>
  <si>
    <t xml:space="preserve">Straight-Line</t>
  </si>
  <si>
    <t xml:space="preserve">Construction Costs</t>
  </si>
  <si>
    <t xml:space="preserve">S-Curve</t>
  </si>
  <si>
    <t xml:space="preserve">Marketing</t>
  </si>
  <si>
    <t xml:space="preserve">EQUITY MULTIPLE</t>
  </si>
  <si>
    <t xml:space="preserve">NET PROFIT</t>
  </si>
  <si>
    <t xml:space="preserve">Net Unlevered Cash Flow</t>
  </si>
  <si>
    <t xml:space="preserve">Net Levered Cash Flow</t>
  </si>
  <si>
    <t xml:space="preserve">Analysis Year</t>
  </si>
  <si>
    <t xml:space="preserve">TOTAL PROJECT COST BEFORE FINANCING</t>
  </si>
  <si>
    <t xml:space="preserve">SUITE</t>
  </si>
  <si>
    <t xml:space="preserve">TENANT</t>
  </si>
  <si>
    <t xml:space="preserve">SF</t>
  </si>
  <si>
    <t xml:space="preserve">RENT GROWTH %</t>
  </si>
  <si>
    <t xml:space="preserve">RENT/SF/YR</t>
  </si>
  <si>
    <t xml:space="preserve">ANNUAL RENT</t>
  </si>
  <si>
    <t xml:space="preserve">100-1</t>
  </si>
  <si>
    <t xml:space="preserve">Acme Ltd</t>
  </si>
  <si>
    <t xml:space="preserve">100-2</t>
  </si>
  <si>
    <t xml:space="preserve">Beta LLP</t>
  </si>
  <si>
    <t xml:space="preserve">Tier 1 (Pref + Return of Capital)</t>
  </si>
  <si>
    <t xml:space="preserve">Equity Multiple</t>
  </si>
  <si>
    <t xml:space="preserve">Tier 2 (Promote)</t>
  </si>
  <si>
    <t xml:space="preserve">LP Equity Multiple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</si>
</sst>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3" customFormat="false" ht="15" hidden="false" customHeight="false" outlineLevel="0" collapsed="false">
      <c r="B3" s="0" t="s">
        <v>1</v>
      </c>
    </row>
    <row r="20" customFormat="false" ht="15" hidden="false" customHeight="false" outlineLevel="0" collapsed="false">
      <c r="G20" s="0" t="s">
        <v>2</v>
      </c>
      <c r="J20" s="0" t="s">
        <v>3</v>
      </c>
    </row>
    <row r="21" customFormat="false" ht="15" hidden="false" customHeight="false" outlineLevel="0" collapsed="false">
      <c r="G21" s="0" t="s">
        <v>4</v>
      </c>
      <c r="J21" s="0" t="e">
        <f aca="false">U!C30*0.9</f>
        <v>#VALUE!</v>
      </c>
    </row>
    <row r="24" customFormat="false" ht="15" hidden="false" customHeight="false" outlineLevel="0" collapsed="false">
      <c r="L24" s="0" t="s">
        <v>5</v>
      </c>
      <c r="N24" s="0" t="s">
        <v>6</v>
      </c>
      <c r="O24" s="0" t="s">
        <v>7</v>
      </c>
      <c r="P24" s="0" t="s">
        <v>8</v>
      </c>
    </row>
    <row r="25" customFormat="false" ht="15" hidden="false" customHeight="false" outlineLevel="0" collapsed="false">
      <c r="L25" s="0" t="s">
        <v>9</v>
      </c>
      <c r="N25" s="0" t="n">
        <f aca="false">U!I12/U!I20</f>
        <v>0.653521126760563</v>
      </c>
      <c r="O25" s="0" t="n">
        <f aca="false">U!G12</f>
        <v>1.56</v>
      </c>
      <c r="P25" s="0" t="n">
        <f aca="false">U!H12</f>
        <v>0.1849</v>
      </c>
    </row>
    <row r="26" customFormat="false" ht="15" hidden="false" customHeight="false" outlineLevel="0" collapsed="false">
      <c r="L26" s="0" t="s">
        <v>10</v>
      </c>
      <c r="N26" s="0" t="n">
        <f aca="false">U!I13/U!I21</f>
        <v>0.990909090909091</v>
      </c>
      <c r="O26" s="0" t="n">
        <f aca="false">U!G13</f>
        <v>1.99</v>
      </c>
      <c r="P26" s="0" t="n">
        <f aca="false">U!H13</f>
        <v>0.2533</v>
      </c>
    </row>
    <row r="31" customFormat="false" ht="15" hidden="false" customHeight="false" outlineLevel="0" collapsed="false">
      <c r="G31" s="0" t="s">
        <v>11</v>
      </c>
      <c r="I31" s="0" t="s">
        <v>12</v>
      </c>
      <c r="J31" s="0" t="s">
        <v>13</v>
      </c>
      <c r="K31" s="0" t="s">
        <v>14</v>
      </c>
    </row>
    <row r="32" customFormat="false" ht="15" hidden="false" customHeight="false" outlineLevel="0" collapsed="false">
      <c r="G32" s="0" t="s">
        <v>15</v>
      </c>
      <c r="I32" s="0" t="n">
        <f aca="false">K32/K36</f>
        <v>0.181818181818182</v>
      </c>
      <c r="J32" s="0" t="n">
        <f aca="false">K32/37500</f>
        <v>42.6666666666667</v>
      </c>
      <c r="K32" s="0" t="n">
        <f aca="false">U!I3</f>
        <v>1600000</v>
      </c>
    </row>
    <row r="33" customFormat="false" ht="15" hidden="false" customHeight="false" outlineLevel="0" collapsed="false">
      <c r="G33" s="0" t="s">
        <v>16</v>
      </c>
      <c r="I33" s="0" t="n">
        <f aca="false">K33/K36</f>
        <v>0.818181818181818</v>
      </c>
      <c r="J33" s="0" t="n">
        <f aca="false">K33/37500</f>
        <v>192</v>
      </c>
      <c r="K33" s="0" t="n">
        <f aca="false">U!I4</f>
        <v>7200000</v>
      </c>
    </row>
    <row r="36" customFormat="false" ht="15" hidden="false" customHeight="false" outlineLevel="0" collapsed="false">
      <c r="G36" s="0" t="s">
        <v>17</v>
      </c>
      <c r="I36" s="0" t="n">
        <f aca="false">SUM(I32:I33)</f>
        <v>1</v>
      </c>
      <c r="J36" s="0" t="n">
        <f aca="false">K36/37500</f>
        <v>234.666666666667</v>
      </c>
      <c r="K36" s="0" t="n">
        <f aca="false">SUM(K32:K33)</f>
        <v>8800000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11</v>
      </c>
      <c r="D1" s="0" t="s">
        <v>18</v>
      </c>
      <c r="E1" s="0" t="s">
        <v>19</v>
      </c>
      <c r="F1" s="0" t="s">
        <v>20</v>
      </c>
      <c r="H1" s="0" t="s">
        <v>21</v>
      </c>
      <c r="I1" s="0" t="s">
        <v>22</v>
      </c>
    </row>
    <row r="2" customFormat="false" ht="15" hidden="false" customHeight="false" outlineLevel="0" collapsed="false">
      <c r="B2" s="0" t="s">
        <v>15</v>
      </c>
    </row>
    <row r="3" customFormat="false" ht="15" hidden="false" customHeight="false" outlineLevel="0" collapsed="false">
      <c r="B3" s="0" t="s">
        <v>15</v>
      </c>
      <c r="D3" s="0" t="n">
        <v>0</v>
      </c>
      <c r="E3" s="0" t="n">
        <v>0</v>
      </c>
      <c r="F3" s="0" t="s">
        <v>23</v>
      </c>
      <c r="H3" s="0" t="n">
        <f aca="false">I3/37500</f>
        <v>42.6666666666667</v>
      </c>
      <c r="I3" s="0" t="n">
        <v>1600000</v>
      </c>
    </row>
    <row r="4" customFormat="false" ht="15" hidden="false" customHeight="false" outlineLevel="0" collapsed="false">
      <c r="B4" s="0" t="s">
        <v>24</v>
      </c>
      <c r="D4" s="0" t="n">
        <v>1</v>
      </c>
      <c r="E4" s="0" t="n">
        <v>18</v>
      </c>
      <c r="F4" s="0" t="s">
        <v>25</v>
      </c>
      <c r="H4" s="0" t="n">
        <f aca="false">I4/37500</f>
        <v>192</v>
      </c>
      <c r="I4" s="0" t="n">
        <v>7200000</v>
      </c>
    </row>
    <row r="5" customFormat="false" ht="15" hidden="false" customHeight="false" outlineLevel="0" collapsed="false">
      <c r="B5" s="0" t="s">
        <v>26</v>
      </c>
      <c r="D5" s="0" t="n">
        <v>1</v>
      </c>
      <c r="E5" s="0" t="n">
        <v>18</v>
      </c>
      <c r="F5" s="0" t="s">
        <v>23</v>
      </c>
      <c r="H5" s="0" t="n">
        <f aca="false">I5/37500</f>
        <v>2</v>
      </c>
      <c r="I5" s="0" t="n">
        <v>75000</v>
      </c>
    </row>
    <row r="11" customFormat="false" ht="15" hidden="false" customHeight="false" outlineLevel="0" collapsed="false">
      <c r="G11" s="0" t="s">
        <v>27</v>
      </c>
      <c r="H11" s="0" t="s">
        <v>8</v>
      </c>
      <c r="I11" s="0" t="s">
        <v>28</v>
      </c>
    </row>
    <row r="12" customFormat="false" ht="15" hidden="false" customHeight="false" outlineLevel="0" collapsed="false">
      <c r="B12" s="0" t="s">
        <v>29</v>
      </c>
      <c r="G12" s="0" t="n">
        <v>1.56</v>
      </c>
      <c r="H12" s="0" t="n">
        <v>0.1849</v>
      </c>
      <c r="I12" s="0" t="n">
        <v>5800000</v>
      </c>
    </row>
    <row r="13" customFormat="false" ht="15" hidden="false" customHeight="false" outlineLevel="0" collapsed="false">
      <c r="B13" s="0" t="s">
        <v>30</v>
      </c>
      <c r="G13" s="0" t="n">
        <v>1.99</v>
      </c>
      <c r="H13" s="0" t="n">
        <v>0.2533</v>
      </c>
      <c r="I13" s="0" t="n">
        <v>4360000</v>
      </c>
    </row>
    <row r="15" customFormat="false" ht="15" hidden="false" customHeight="false" outlineLevel="0" collapsed="false">
      <c r="F15" s="0" t="s">
        <v>31</v>
      </c>
      <c r="G15" s="0" t="n">
        <v>0</v>
      </c>
      <c r="H15" s="0" t="n">
        <v>1</v>
      </c>
      <c r="I15" s="0" t="n">
        <v>2</v>
      </c>
      <c r="J15" s="0" t="n">
        <v>3</v>
      </c>
      <c r="K15" s="0" t="n">
        <v>4</v>
      </c>
    </row>
    <row r="16" customFormat="false" ht="15" hidden="false" customHeight="false" outlineLevel="0" collapsed="false">
      <c r="B16" s="0" t="s">
        <v>32</v>
      </c>
      <c r="G16" s="0" t="n">
        <f aca="false">I3</f>
        <v>1600000</v>
      </c>
      <c r="H16" s="0" t="n">
        <f aca="false">I4*0.8</f>
        <v>5760000</v>
      </c>
      <c r="I16" s="0" t="n">
        <f aca="false">I4*0.2</f>
        <v>1440000</v>
      </c>
      <c r="J16" s="0" t="n">
        <v>0</v>
      </c>
      <c r="K16" s="0" t="n">
        <v>0</v>
      </c>
    </row>
    <row r="20" customFormat="false" ht="15" hidden="false" customHeight="false" outlineLevel="0" collapsed="false">
      <c r="I20" s="0" t="n">
        <f aca="false">I3+I4+I5</f>
        <v>8875000</v>
      </c>
    </row>
    <row r="21" customFormat="false" ht="15" hidden="false" customHeight="false" outlineLevel="0" collapsed="false">
      <c r="I21" s="0" t="n">
        <v>4400000</v>
      </c>
    </row>
    <row r="29" customFormat="false" ht="15" hidden="false" customHeight="false" outlineLevel="0" collapsed="false">
      <c r="B29" s="0" t="s">
        <v>33</v>
      </c>
      <c r="C29" s="0" t="s">
        <v>34</v>
      </c>
      <c r="E29" s="0" t="s">
        <v>35</v>
      </c>
      <c r="G29" s="0" t="s">
        <v>36</v>
      </c>
      <c r="H29" s="0" t="s">
        <v>37</v>
      </c>
      <c r="I29" s="0" t="s">
        <v>38</v>
      </c>
    </row>
    <row r="30" customFormat="false" ht="15" hidden="false" customHeight="false" outlineLevel="0" collapsed="false">
      <c r="B30" s="0" t="s">
        <v>39</v>
      </c>
      <c r="C30" s="0" t="s">
        <v>40</v>
      </c>
      <c r="E30" s="0" t="n">
        <v>25000</v>
      </c>
      <c r="G30" s="0" t="n">
        <v>0.02</v>
      </c>
      <c r="H30" s="0" t="n">
        <v>34</v>
      </c>
      <c r="I30" s="0" t="n">
        <f aca="false">E30*H30</f>
        <v>850000</v>
      </c>
    </row>
    <row r="31" customFormat="false" ht="15" hidden="false" customHeight="false" outlineLevel="0" collapsed="false">
      <c r="B31" s="0" t="s">
        <v>41</v>
      </c>
      <c r="C31" s="0" t="s">
        <v>42</v>
      </c>
      <c r="E31" s="0" t="n">
        <v>12500</v>
      </c>
      <c r="G31" s="0" t="n">
        <v>0.02</v>
      </c>
      <c r="H31" s="0" t="n">
        <v>32</v>
      </c>
      <c r="I31" s="0" t="n">
        <f aca="false">E31*H31</f>
        <v>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5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5" customFormat="false" ht="15" hidden="false" customHeight="false" outlineLevel="0" collapsed="false">
      <c r="B15" s="0" t="s">
        <v>43</v>
      </c>
      <c r="C15" s="0" t="s">
        <v>44</v>
      </c>
      <c r="D15" s="0" t="s">
        <v>8</v>
      </c>
      <c r="E15" s="0" t="n">
        <v>0.1</v>
      </c>
    </row>
    <row r="16" customFormat="false" ht="15" hidden="false" customHeight="false" outlineLevel="0" collapsed="false">
      <c r="B16" s="0" t="s">
        <v>45</v>
      </c>
      <c r="C16" s="0" t="n">
        <v>1.5</v>
      </c>
      <c r="D16" s="0" t="n">
        <v>0.1</v>
      </c>
      <c r="F16" s="0" t="n">
        <v>0.15</v>
      </c>
    </row>
    <row r="30" customFormat="false" ht="15" hidden="false" customHeight="false" outlineLevel="0" collapsed="false">
      <c r="B30" s="0" t="s">
        <v>46</v>
      </c>
      <c r="D30" s="0" t="n">
        <v>4.64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2026-10-16T11:23:42Z</dcterms:created>
  <dc:creator>openpyxl</dc:creator>
  <dc:description/>
  <dc:language>en-US</dc:language>
  <cp:lastModifiedBy/>
  <dcterms:modified xsi:type="dcterms:W3CDTF">2026-10-16T11:23:42Z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