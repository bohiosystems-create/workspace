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Lease-Up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<sst xmlns="http://schemas.openxmlformats.org/spreadsheetml/2006/main" count="39" uniqueCount="39">
  <si>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KENDALL WORKS – OFFICE TO LAB CONVERSION (USD)</t>
  </si>
  <si>
    <t xml:space="preserve">Acquisition price</t>
  </si>
  <si>
    <t xml:space="preserve">Conversion cost ($/rsf)</t>
  </si>
  <si>
    <t xml:space="preserve">Closing costs</t>
  </si>
  <si>
    <t xml:space="preserve">Exit cap rate</t>
  </si>
  <si>
    <t xml:space="preserve">Non-recoverable opex ($/rsf)</t>
  </si>
  <si>
    <t xml:space="preserve">Rent bumps (annual)</t>
  </si>
  <si>
    <t xml:space="preserve">Loan to cost</t>
  </si>
  <si>
    <t xml:space="preserve">Loan rate (SOFR + spread)</t>
  </si>
  <si>
    <t xml:space="preserve">Hold (years)</t>
  </si>
  <si>
    <t xml:space="preserve">Suite</t>
  </si>
  <si>
    <t xml:space="preserve">RSF</t>
  </si>
  <si>
    <t xml:space="preserve">Base rent ($/rsf NNN)</t>
  </si>
  <si>
    <t xml:space="preserve">Lease start (year)</t>
  </si>
  <si>
    <t xml:space="preserve">Free rent (months)</t>
  </si>
  <si>
    <t xml:space="preserve">TI allowance ($/rsf)</t>
  </si>
  <si>
    <t xml:space="preserve">Term (years)</t>
  </si>
  <si>
    <t xml:space="preserve">Suite 100</t>
  </si>
  <si>
    <t xml:space="preserve">Suite 200</t>
  </si>
  <si>
    <t xml:space="preserve">Suite 300</t>
  </si>
  <si>
    <t xml:space="preserve">Suite 400</t>
  </si>
  <si>
    <t xml:space="preserve">Year</t>
  </si>
  <si>
    <t xml:space="preserve">Rental income</t>
  </si>
  <si>
    <t xml:space="preserve">Free rent</t>
  </si>
  <si>
    <t xml:space="preserve">Opex</t>
  </si>
  <si>
    <t xml:space="preserve">TI</t>
  </si>
  <si>
    <t xml:space="preserve">Conversion</t>
  </si>
  <si>
    <t xml:space="preserve">Acquisition</t>
  </si>
  <si>
    <t xml:space="preserve">Sale</t>
  </si>
  <si>
    <t xml:space="preserve">Unlevered cash flow</t>
  </si>
  <si>
    <t xml:space="preserve">Loan draw / (repay)</t>
  </si>
  <si>
    <t xml:space="preserve">Interest</t>
  </si>
  <si>
    <t xml:space="preserve">Levered cash flow</t>
  </si>
  <si>
    <t xml:space="preserve">Unlevered IRR</t>
  </si>
  <si>
    <t xml:space="preserve">Levered IRR</t>
  </si>
  <si>
    <t xml:space="preserve">Equity multiple</t>
  </si>
  <si>
    <t xml:space="preserve">Total cost</t>
  </si>
  <si>
    <t xml:space="preserve">Net profit</t>
  </si>
  <si>
    <t xml:space="preserve">Yield on cost (stabilised)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</si>
</sst>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#,##0.00"/>
    <numFmt numFmtId="168" formatCode="0"/>
    <numFmt numFmtId="169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182000000</v>
      </c>
    </row>
    <row r="4" customFormat="false" ht="15" hidden="false" customHeight="false" outlineLevel="0" collapsed="false">
      <c r="A4" s="0" t="s">
        <v>2</v>
      </c>
      <c r="B4" s="1" t="n">
        <v>310</v>
      </c>
    </row>
    <row r="5" customFormat="false" ht="15" hidden="false" customHeight="false" outlineLevel="0" collapsed="false">
      <c r="A5" s="0" t="s">
        <v>3</v>
      </c>
      <c r="B5" s="2" t="n">
        <v>0.02</v>
      </c>
    </row>
    <row r="6" customFormat="false" ht="15" hidden="false" customHeight="false" outlineLevel="0" collapsed="false">
      <c r="A6" s="0" t="s">
        <v>4</v>
      </c>
      <c r="B6" s="2" t="n">
        <v>0.0575</v>
      </c>
    </row>
    <row r="7" customFormat="false" ht="15" hidden="false" customHeight="false" outlineLevel="0" collapsed="false">
      <c r="A7" s="0" t="s">
        <v>5</v>
      </c>
      <c r="B7" s="3" t="n">
        <v>4.5</v>
      </c>
    </row>
    <row r="8" customFormat="false" ht="15" hidden="false" customHeight="false" outlineLevel="0" collapsed="false">
      <c r="A8" s="0" t="s">
        <v>6</v>
      </c>
      <c r="B8" s="2" t="n">
        <v>0.03</v>
      </c>
    </row>
    <row r="9" customFormat="false" ht="15" hidden="false" customHeight="false" outlineLevel="0" collapsed="false">
      <c r="A9" s="0" t="s">
        <v>7</v>
      </c>
      <c r="B9" s="2" t="n">
        <v>0.55</v>
      </c>
    </row>
    <row r="10" customFormat="false" ht="15" hidden="false" customHeight="false" outlineLevel="0" collapsed="false">
      <c r="A10" s="0" t="s">
        <v>8</v>
      </c>
      <c r="B10" s="2" t="n">
        <v>0.0725</v>
      </c>
    </row>
    <row r="11" customFormat="false" ht="15" hidden="false" customHeight="false" outlineLevel="0" collapsed="false">
      <c r="A11" s="0" t="s">
        <v>9</v>
      </c>
      <c r="B11" s="4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</row>
    <row r="2" customFormat="false" ht="15" hidden="false" customHeight="false" outlineLevel="0" collapsed="false">
      <c r="A2" s="0" t="s">
        <v>17</v>
      </c>
      <c r="B2" s="0" t="n">
        <v>62000</v>
      </c>
      <c r="C2" s="0" t="n">
        <v>98</v>
      </c>
      <c r="D2" s="0" t="n">
        <v>1</v>
      </c>
      <c r="E2" s="0" t="n">
        <v>10</v>
      </c>
      <c r="F2" s="0" t="n">
        <v>185</v>
      </c>
      <c r="G2" s="0" t="n">
        <v>10</v>
      </c>
    </row>
    <row r="3" customFormat="false" ht="15" hidden="false" customHeight="false" outlineLevel="0" collapsed="false">
      <c r="A3" s="0" t="s">
        <v>18</v>
      </c>
      <c r="B3" s="0" t="n">
        <v>58000</v>
      </c>
      <c r="C3" s="0" t="n">
        <v>96</v>
      </c>
      <c r="D3" s="0" t="n">
        <v>2</v>
      </c>
      <c r="E3" s="0" t="n">
        <v>9</v>
      </c>
      <c r="F3" s="0" t="n">
        <v>175</v>
      </c>
      <c r="G3" s="0" t="n">
        <v>10</v>
      </c>
    </row>
    <row r="4" customFormat="false" ht="15" hidden="false" customHeight="false" outlineLevel="0" collapsed="false">
      <c r="A4" s="0" t="s">
        <v>19</v>
      </c>
      <c r="B4" s="0" t="n">
        <v>71000</v>
      </c>
      <c r="C4" s="0" t="n">
        <v>94</v>
      </c>
      <c r="D4" s="0" t="n">
        <v>2</v>
      </c>
      <c r="E4" s="0" t="n">
        <v>12</v>
      </c>
      <c r="F4" s="0" t="n">
        <v>190</v>
      </c>
      <c r="G4" s="0" t="n">
        <v>12</v>
      </c>
    </row>
    <row r="5" customFormat="false" ht="15" hidden="false" customHeight="false" outlineLevel="0" collapsed="false">
      <c r="A5" s="0" t="s">
        <v>20</v>
      </c>
      <c r="B5" s="0" t="n">
        <v>45000</v>
      </c>
      <c r="C5" s="0" t="n">
        <v>99</v>
      </c>
      <c r="D5" s="0" t="n">
        <v>3</v>
      </c>
      <c r="E5" s="0" t="n">
        <v>8</v>
      </c>
      <c r="F5" s="0" t="n">
        <v>160</v>
      </c>
      <c r="G5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21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</row>
    <row r="4" customFormat="false" ht="15" hidden="false" customHeight="false" outlineLevel="0" collapsed="false">
      <c r="A4" s="0" t="s">
        <v>22</v>
      </c>
      <c r="B4" s="0" t="n">
        <f aca="false">SUMPRODUCT('Lease-Up'!$B$2:$B$5,'Lease-Up'!$C$2:$C$5,('Lease-Up'!$D$2:$D$5&lt;=B$3)*(1+Inputs!$B$8)^(B$3-'Lease-Up'!$D$2:$D$5))*(B$3&lt;=Inputs!$B$11)</f>
        <v>0</v>
      </c>
      <c r="C4" s="0" t="n">
        <f aca="false">SUMPRODUCT('Lease-Up'!$B$2:$B$5,'Lease-Up'!$C$2:$C$5,('Lease-Up'!$D$2:$D$5&lt;=C$3)*(1+Inputs!$B$8)^(C$3-'Lease-Up'!$D$2:$D$5))*(C$3&lt;=Inputs!$B$11)</f>
        <v>6076000</v>
      </c>
      <c r="D4" s="0" t="n">
        <f aca="false">SUMPRODUCT('Lease-Up'!$B$2:$B$5,'Lease-Up'!$C$2:$C$5,('Lease-Up'!$D$2:$D$5&lt;=D$3)*(1+Inputs!$B$8)^(D$3-'Lease-Up'!$D$2:$D$5))*(D$3&lt;=Inputs!$B$11)</f>
        <v>18500280</v>
      </c>
      <c r="E4" s="0" t="n">
        <f aca="false">SUMPRODUCT('Lease-Up'!$B$2:$B$5,'Lease-Up'!$C$2:$C$5,('Lease-Up'!$D$2:$D$5&lt;=E$3)*(1+Inputs!$B$8)^(E$3-'Lease-Up'!$D$2:$D$5))*(E$3&lt;=Inputs!$B$11)</f>
        <v>23510288.4</v>
      </c>
      <c r="F4" s="0" t="n">
        <f aca="false">SUMPRODUCT('Lease-Up'!$B$2:$B$5,'Lease-Up'!$C$2:$C$5,('Lease-Up'!$D$2:$D$5&lt;=F$3)*(1+Inputs!$B$8)^(F$3-'Lease-Up'!$D$2:$D$5))*(F$3&lt;=Inputs!$B$11)</f>
        <v>24215597.052</v>
      </c>
      <c r="G4" s="0" t="n">
        <f aca="false">SUMPRODUCT('Lease-Up'!$B$2:$B$5,'Lease-Up'!$C$2:$C$5,('Lease-Up'!$D$2:$D$5&lt;=G$3)*(1+Inputs!$B$8)^(G$3-'Lease-Up'!$D$2:$D$5))*(G$3&lt;=Inputs!$B$11)</f>
        <v>24942064.96356</v>
      </c>
      <c r="H4" s="0" t="n">
        <f aca="false">SUMPRODUCT('Lease-Up'!$B$2:$B$5,'Lease-Up'!$C$2:$C$5,('Lease-Up'!$D$2:$D$5&lt;=H$3)*(1+Inputs!$B$8)^(H$3-'Lease-Up'!$D$2:$D$5))*(H$3&lt;=Inputs!$B$11)</f>
        <v>25690326.9124668</v>
      </c>
      <c r="I4" s="0" t="n">
        <f aca="false">SUMPRODUCT('Lease-Up'!$B$2:$B$5,'Lease-Up'!$C$2:$C$5,('Lease-Up'!$D$2:$D$5&lt;=I$3)*(1+Inputs!$B$8)^(I$3-'Lease-Up'!$D$2:$D$5))*(I$3&lt;=Inputs!$B$11)</f>
        <v>0</v>
      </c>
    </row>
    <row r="5" customFormat="false" ht="15" hidden="false" customHeight="false" outlineLevel="0" collapsed="false">
      <c r="A5" s="0" t="s">
        <v>23</v>
      </c>
      <c r="B5" s="0" t="n">
        <f aca="false">-SUMPRODUCT('Lease-Up'!$B$2:$B$5,'Lease-Up'!$C$2:$C$5,('Lease-Up'!$D$2:$D$5=B$3)*'Lease-Up'!$E$2:$E$5/12)</f>
        <v>-0</v>
      </c>
      <c r="C5" s="0" t="n">
        <f aca="false">-SUMPRODUCT('Lease-Up'!$B$2:$B$5,'Lease-Up'!$C$2:$C$5,('Lease-Up'!$D$2:$D$5=C$3)*'Lease-Up'!$E$2:$E$5/12)</f>
        <v>-5063333.33333333</v>
      </c>
      <c r="D5" s="0" t="n">
        <f aca="false">-SUMPRODUCT('Lease-Up'!$B$2:$B$5,'Lease-Up'!$C$2:$C$5,('Lease-Up'!$D$2:$D$5=D$3)*'Lease-Up'!$E$2:$E$5/12)</f>
        <v>-10850000</v>
      </c>
      <c r="E5" s="0" t="n">
        <f aca="false">-SUMPRODUCT('Lease-Up'!$B$2:$B$5,'Lease-Up'!$C$2:$C$5,('Lease-Up'!$D$2:$D$5=E$3)*'Lease-Up'!$E$2:$E$5/12)</f>
        <v>-2970000</v>
      </c>
      <c r="F5" s="0" t="n">
        <f aca="false">-SUMPRODUCT('Lease-Up'!$B$2:$B$5,'Lease-Up'!$C$2:$C$5,('Lease-Up'!$D$2:$D$5=F$3)*'Lease-Up'!$E$2:$E$5/12)</f>
        <v>-0</v>
      </c>
      <c r="G5" s="0" t="n">
        <f aca="false">-SUMPRODUCT('Lease-Up'!$B$2:$B$5,'Lease-Up'!$C$2:$C$5,('Lease-Up'!$D$2:$D$5=G$3)*'Lease-Up'!$E$2:$E$5/12)</f>
        <v>-0</v>
      </c>
      <c r="H5" s="0" t="n">
        <f aca="false">-SUMPRODUCT('Lease-Up'!$B$2:$B$5,'Lease-Up'!$C$2:$C$5,('Lease-Up'!$D$2:$D$5=H$3)*'Lease-Up'!$E$2:$E$5/12)</f>
        <v>-0</v>
      </c>
      <c r="I5" s="0" t="n">
        <f aca="false">-SUMPRODUCT('Lease-Up'!$B$2:$B$5,'Lease-Up'!$C$2:$C$5,('Lease-Up'!$D$2:$D$5=I$3)*'Lease-Up'!$E$2:$E$5/12)</f>
        <v>-0</v>
      </c>
    </row>
    <row r="6" customFormat="false" ht="15" hidden="false" customHeight="false" outlineLevel="0" collapsed="false">
      <c r="A6" s="0" t="s">
        <v>24</v>
      </c>
      <c r="B6" s="0" t="n">
        <f aca="false">-SUM('Lease-Up'!$B$2:$B$5)*Inputs!$B$7*(B$3&gt;=1)*(B$3&lt;=Inputs!$B$11)</f>
        <v>-0</v>
      </c>
      <c r="C6" s="0" t="n">
        <f aca="false">-SUM('Lease-Up'!$B$2:$B$5)*Inputs!$B$7*(C$3&gt;=1)*(C$3&lt;=Inputs!$B$11)</f>
        <v>-1062000</v>
      </c>
      <c r="D6" s="0" t="n">
        <f aca="false">-SUM('Lease-Up'!$B$2:$B$5)*Inputs!$B$7*(D$3&gt;=1)*(D$3&lt;=Inputs!$B$11)</f>
        <v>-1062000</v>
      </c>
      <c r="E6" s="0" t="n">
        <f aca="false">-SUM('Lease-Up'!$B$2:$B$5)*Inputs!$B$7*(E$3&gt;=1)*(E$3&lt;=Inputs!$B$11)</f>
        <v>-1062000</v>
      </c>
      <c r="F6" s="0" t="n">
        <f aca="false">-SUM('Lease-Up'!$B$2:$B$5)*Inputs!$B$7*(F$3&gt;=1)*(F$3&lt;=Inputs!$B$11)</f>
        <v>-1062000</v>
      </c>
      <c r="G6" s="0" t="n">
        <f aca="false">-SUM('Lease-Up'!$B$2:$B$5)*Inputs!$B$7*(G$3&gt;=1)*(G$3&lt;=Inputs!$B$11)</f>
        <v>-1062000</v>
      </c>
      <c r="H6" s="0" t="n">
        <f aca="false">-SUM('Lease-Up'!$B$2:$B$5)*Inputs!$B$7*(H$3&gt;=1)*(H$3&lt;=Inputs!$B$11)</f>
        <v>-1062000</v>
      </c>
      <c r="I6" s="0" t="n">
        <f aca="false">-SUM('Lease-Up'!$B$2:$B$5)*Inputs!$B$7*(I$3&gt;=1)*(I$3&lt;=Inputs!$B$11)</f>
        <v>-0</v>
      </c>
    </row>
    <row r="7" customFormat="false" ht="15" hidden="false" customHeight="false" outlineLevel="0" collapsed="false">
      <c r="A7" s="0" t="s">
        <v>25</v>
      </c>
      <c r="B7" s="0" t="n">
        <f aca="false">-SUMPRODUCT('Lease-Up'!$B$2:$B$5,'Lease-Up'!$F$2:$F$5,--('Lease-Up'!$D$2:$D$5=B$3))</f>
        <v>-0</v>
      </c>
      <c r="C7" s="0" t="n">
        <f aca="false">-SUMPRODUCT('Lease-Up'!$B$2:$B$5,'Lease-Up'!$F$2:$F$5,--('Lease-Up'!$D$2:$D$5=C$3))</f>
        <v>-11470000</v>
      </c>
      <c r="D7" s="0" t="n">
        <f aca="false">-SUMPRODUCT('Lease-Up'!$B$2:$B$5,'Lease-Up'!$F$2:$F$5,--('Lease-Up'!$D$2:$D$5=D$3))</f>
        <v>-23640000</v>
      </c>
      <c r="E7" s="0" t="n">
        <f aca="false">-SUMPRODUCT('Lease-Up'!$B$2:$B$5,'Lease-Up'!$F$2:$F$5,--('Lease-Up'!$D$2:$D$5=E$3))</f>
        <v>-7200000</v>
      </c>
      <c r="F7" s="0" t="n">
        <f aca="false">-SUMPRODUCT('Lease-Up'!$B$2:$B$5,'Lease-Up'!$F$2:$F$5,--('Lease-Up'!$D$2:$D$5=F$3))</f>
        <v>-0</v>
      </c>
      <c r="G7" s="0" t="n">
        <f aca="false">-SUMPRODUCT('Lease-Up'!$B$2:$B$5,'Lease-Up'!$F$2:$F$5,--('Lease-Up'!$D$2:$D$5=G$3))</f>
        <v>-0</v>
      </c>
      <c r="H7" s="0" t="n">
        <f aca="false">-SUMPRODUCT('Lease-Up'!$B$2:$B$5,'Lease-Up'!$F$2:$F$5,--('Lease-Up'!$D$2:$D$5=H$3))</f>
        <v>-0</v>
      </c>
      <c r="I7" s="0" t="n">
        <f aca="false">-SUMPRODUCT('Lease-Up'!$B$2:$B$5,'Lease-Up'!$F$2:$F$5,--('Lease-Up'!$D$2:$D$5=I$3))</f>
        <v>-0</v>
      </c>
    </row>
    <row r="8" customFormat="false" ht="15" hidden="false" customHeight="false" outlineLevel="0" collapsed="false">
      <c r="A8" s="0" t="s">
        <v>26</v>
      </c>
      <c r="B8" s="0" t="n">
        <f aca="false">-SUM('Lease-Up'!$B$2:$B$5)*Inputs!$B$4*IF(B$3=0,0.6,IF(B$3=1,0.4,0))</f>
        <v>-43896000</v>
      </c>
      <c r="C8" s="0" t="n">
        <f aca="false">-SUM('Lease-Up'!$B$2:$B$5)*Inputs!$B$4*IF(C$3=0,0.6,IF(C$3=1,0.4,0))</f>
        <v>-29264000</v>
      </c>
      <c r="D8" s="0" t="n">
        <f aca="false">-SUM('Lease-Up'!$B$2:$B$5)*Inputs!$B$4*IF(D$3=0,0.6,IF(D$3=1,0.4,0))</f>
        <v>-0</v>
      </c>
      <c r="E8" s="0" t="n">
        <f aca="false">-SUM('Lease-Up'!$B$2:$B$5)*Inputs!$B$4*IF(E$3=0,0.6,IF(E$3=1,0.4,0))</f>
        <v>-0</v>
      </c>
      <c r="F8" s="0" t="n">
        <f aca="false">-SUM('Lease-Up'!$B$2:$B$5)*Inputs!$B$4*IF(F$3=0,0.6,IF(F$3=1,0.4,0))</f>
        <v>-0</v>
      </c>
      <c r="G8" s="0" t="n">
        <f aca="false">-SUM('Lease-Up'!$B$2:$B$5)*Inputs!$B$4*IF(G$3=0,0.6,IF(G$3=1,0.4,0))</f>
        <v>-0</v>
      </c>
      <c r="H8" s="0" t="n">
        <f aca="false">-SUM('Lease-Up'!$B$2:$B$5)*Inputs!$B$4*IF(H$3=0,0.6,IF(H$3=1,0.4,0))</f>
        <v>-0</v>
      </c>
      <c r="I8" s="0" t="n">
        <f aca="false">-SUM('Lease-Up'!$B$2:$B$5)*Inputs!$B$4*IF(I$3=0,0.6,IF(I$3=1,0.4,0))</f>
        <v>-0</v>
      </c>
    </row>
    <row r="9" customFormat="false" ht="15" hidden="false" customHeight="false" outlineLevel="0" collapsed="false">
      <c r="A9" s="0" t="s">
        <v>27</v>
      </c>
      <c r="B9" s="0" t="n">
        <f aca="false">IF(B$3=0,-Inputs!$B$3*(1+Inputs!$B$5),0)</f>
        <v>-185640000</v>
      </c>
      <c r="C9" s="0" t="n">
        <f aca="false">IF(C$3=0,-Inputs!$B$3*(1+Inputs!$B$5),0)</f>
        <v>0</v>
      </c>
      <c r="D9" s="0" t="n">
        <f aca="false">IF(D$3=0,-Inputs!$B$3*(1+Inputs!$B$5),0)</f>
        <v>0</v>
      </c>
      <c r="E9" s="0" t="n">
        <f aca="false">IF(E$3=0,-Inputs!$B$3*(1+Inputs!$B$5),0)</f>
        <v>0</v>
      </c>
      <c r="F9" s="0" t="n">
        <f aca="false">IF(F$3=0,-Inputs!$B$3*(1+Inputs!$B$5),0)</f>
        <v>0</v>
      </c>
      <c r="G9" s="0" t="n">
        <f aca="false">IF(G$3=0,-Inputs!$B$3*(1+Inputs!$B$5),0)</f>
        <v>0</v>
      </c>
      <c r="H9" s="0" t="n">
        <f aca="false">IF(H$3=0,-Inputs!$B$3*(1+Inputs!$B$5),0)</f>
        <v>0</v>
      </c>
      <c r="I9" s="0" t="n">
        <f aca="false">IF(I$3=0,-Inputs!$B$3*(1+Inputs!$B$5),0)</f>
        <v>0</v>
      </c>
    </row>
    <row r="10" customFormat="false" ht="15" hidden="false" customHeight="false" outlineLevel="0" collapsed="false">
      <c r="A10" s="0" t="s">
        <v>28</v>
      </c>
      <c r="B10" s="0" t="n">
        <f aca="false">IF(B$3=Inputs!$B$11,SUMPRODUCT('Lease-Up'!$B$2:$B$5,'Lease-Up'!$C$2:$C$5,(1+Inputs!$B$8)^(B$3+1-'Lease-Up'!$D$2:$D$5))/Inputs!$B$6*0.98,0)</f>
        <v>0</v>
      </c>
      <c r="C10" s="0" t="n">
        <f aca="false">IF(C$3=Inputs!$B$11,SUMPRODUCT('Lease-Up'!$B$2:$B$5,'Lease-Up'!$C$2:$C$5,(1+Inputs!$B$8)^(C$3+1-'Lease-Up'!$D$2:$D$5))/Inputs!$B$6*0.98,0)</f>
        <v>0</v>
      </c>
      <c r="D10" s="0" t="n">
        <f aca="false">IF(D$3=Inputs!$B$11,SUMPRODUCT('Lease-Up'!$B$2:$B$5,'Lease-Up'!$C$2:$C$5,(1+Inputs!$B$8)^(D$3+1-'Lease-Up'!$D$2:$D$5))/Inputs!$B$6*0.98,0)</f>
        <v>0</v>
      </c>
      <c r="E10" s="0" t="n">
        <f aca="false">IF(E$3=Inputs!$B$11,SUMPRODUCT('Lease-Up'!$B$2:$B$5,'Lease-Up'!$C$2:$C$5,(1+Inputs!$B$8)^(E$3+1-'Lease-Up'!$D$2:$D$5))/Inputs!$B$6*0.98,0)</f>
        <v>0</v>
      </c>
      <c r="F10" s="0" t="n">
        <f aca="false">IF(F$3=Inputs!$B$11,SUMPRODUCT('Lease-Up'!$B$2:$B$5,'Lease-Up'!$C$2:$C$5,(1+Inputs!$B$8)^(F$3+1-'Lease-Up'!$D$2:$D$5))/Inputs!$B$6*0.98,0)</f>
        <v>0</v>
      </c>
      <c r="G10" s="0" t="n">
        <f aca="false">IF(G$3=Inputs!$B$11,SUMPRODUCT('Lease-Up'!$B$2:$B$5,'Lease-Up'!$C$2:$C$5,(1+Inputs!$B$8)^(G$3+1-'Lease-Up'!$D$2:$D$5))/Inputs!$B$6*0.98,0)</f>
        <v>0</v>
      </c>
      <c r="H10" s="0" t="n">
        <f aca="false">IF(H$3=Inputs!$B$11,SUMPRODUCT('Lease-Up'!$B$2:$B$5,'Lease-Up'!$C$2:$C$5,(1+Inputs!$B$8)^(H$3+1-'Lease-Up'!$D$2:$D$5))/Inputs!$B$6*0.98,0)</f>
        <v>450988104.094678</v>
      </c>
      <c r="I10" s="0" t="n">
        <f aca="false">IF(I$3=Inputs!$B$11,SUMPRODUCT('Lease-Up'!$B$2:$B$5,'Lease-Up'!$C$2:$C$5,(1+Inputs!$B$8)^(I$3+1-'Lease-Up'!$D$2:$D$5))/Inputs!$B$6*0.98,0)</f>
        <v>0</v>
      </c>
    </row>
    <row r="11" customFormat="false" ht="15" hidden="false" customHeight="false" outlineLevel="0" collapsed="false">
      <c r="A11" s="0" t="s">
        <v>29</v>
      </c>
      <c r="B11" s="0" t="n">
        <f aca="false">SUM(B4:B10)</f>
        <v>-229536000</v>
      </c>
      <c r="C11" s="0" t="n">
        <f aca="false">SUM(C4:C10)</f>
        <v>-40783333.3333333</v>
      </c>
      <c r="D11" s="0" t="n">
        <f aca="false">SUM(D4:D10)</f>
        <v>-17051720</v>
      </c>
      <c r="E11" s="0" t="n">
        <f aca="false">SUM(E4:E10)</f>
        <v>12278288.4</v>
      </c>
      <c r="F11" s="0" t="n">
        <f aca="false">SUM(F4:F10)</f>
        <v>23153597.052</v>
      </c>
      <c r="G11" s="0" t="n">
        <f aca="false">SUM(G4:G10)</f>
        <v>23880064.96356</v>
      </c>
      <c r="H11" s="0" t="n">
        <f aca="false">SUM(H4:H10)</f>
        <v>475616431.007145</v>
      </c>
      <c r="I11" s="0" t="n">
        <f aca="false">SUM(I4:I10)</f>
        <v>0</v>
      </c>
    </row>
    <row r="12" customFormat="false" ht="15" hidden="false" customHeight="false" outlineLevel="0" collapsed="false">
      <c r="A12" s="0" t="s">
        <v>30</v>
      </c>
      <c r="B12" s="0" t="n">
        <f aca="false">IF(B$3=0,(Inputs!$B$3*(1+Inputs!$B$5)+SUM('Lease-Up'!$B$2:$B$5)*Inputs!$B$4+SUMPRODUCT('Lease-Up'!$B$2:$B$5,'Lease-Up'!$F$2:$F$5))*Inputs!$B$9,IF(B$3=Inputs!$B$11,-(Inputs!$B$3*(1+Inputs!$B$5)+SUM('Lease-Up'!$B$2:$B$5)*Inputs!$B$4+SUMPRODUCT('Lease-Up'!$B$2:$B$5,'Lease-Up'!$F$2:$F$5))*Inputs!$B$9,0))</f>
        <v>165610500</v>
      </c>
      <c r="C12" s="0" t="n">
        <f aca="false">IF(C$3=0,(Inputs!$B$3*(1+Inputs!$B$5)+SUM('Lease-Up'!$B$2:$B$5)*Inputs!$B$4+SUMPRODUCT('Lease-Up'!$B$2:$B$5,'Lease-Up'!$F$2:$F$5))*Inputs!$B$9,IF(C$3=Inputs!$B$11,-(Inputs!$B$3*(1+Inputs!$B$5)+SUM('Lease-Up'!$B$2:$B$5)*Inputs!$B$4+SUMPRODUCT('Lease-Up'!$B$2:$B$5,'Lease-Up'!$F$2:$F$5))*Inputs!$B$9,0))</f>
        <v>0</v>
      </c>
      <c r="D12" s="0" t="n">
        <f aca="false">IF(D$3=0,(Inputs!$B$3*(1+Inputs!$B$5)+SUM('Lease-Up'!$B$2:$B$5)*Inputs!$B$4+SUMPRODUCT('Lease-Up'!$B$2:$B$5,'Lease-Up'!$F$2:$F$5))*Inputs!$B$9,IF(D$3=Inputs!$B$11,-(Inputs!$B$3*(1+Inputs!$B$5)+SUM('Lease-Up'!$B$2:$B$5)*Inputs!$B$4+SUMPRODUCT('Lease-Up'!$B$2:$B$5,'Lease-Up'!$F$2:$F$5))*Inputs!$B$9,0))</f>
        <v>0</v>
      </c>
      <c r="E12" s="0" t="n">
        <f aca="false">IF(E$3=0,(Inputs!$B$3*(1+Inputs!$B$5)+SUM('Lease-Up'!$B$2:$B$5)*Inputs!$B$4+SUMPRODUCT('Lease-Up'!$B$2:$B$5,'Lease-Up'!$F$2:$F$5))*Inputs!$B$9,IF(E$3=Inputs!$B$11,-(Inputs!$B$3*(1+Inputs!$B$5)+SUM('Lease-Up'!$B$2:$B$5)*Inputs!$B$4+SUMPRODUCT('Lease-Up'!$B$2:$B$5,'Lease-Up'!$F$2:$F$5))*Inputs!$B$9,0))</f>
        <v>0</v>
      </c>
      <c r="F12" s="0" t="n">
        <f aca="false">IF(F$3=0,(Inputs!$B$3*(1+Inputs!$B$5)+SUM('Lease-Up'!$B$2:$B$5)*Inputs!$B$4+SUMPRODUCT('Lease-Up'!$B$2:$B$5,'Lease-Up'!$F$2:$F$5))*Inputs!$B$9,IF(F$3=Inputs!$B$11,-(Inputs!$B$3*(1+Inputs!$B$5)+SUM('Lease-Up'!$B$2:$B$5)*Inputs!$B$4+SUMPRODUCT('Lease-Up'!$B$2:$B$5,'Lease-Up'!$F$2:$F$5))*Inputs!$B$9,0))</f>
        <v>0</v>
      </c>
      <c r="G12" s="0" t="n">
        <f aca="false">IF(G$3=0,(Inputs!$B$3*(1+Inputs!$B$5)+SUM('Lease-Up'!$B$2:$B$5)*Inputs!$B$4+SUMPRODUCT('Lease-Up'!$B$2:$B$5,'Lease-Up'!$F$2:$F$5))*Inputs!$B$9,IF(G$3=Inputs!$B$11,-(Inputs!$B$3*(1+Inputs!$B$5)+SUM('Lease-Up'!$B$2:$B$5)*Inputs!$B$4+SUMPRODUCT('Lease-Up'!$B$2:$B$5,'Lease-Up'!$F$2:$F$5))*Inputs!$B$9,0))</f>
        <v>0</v>
      </c>
      <c r="H12" s="0" t="n">
        <f aca="false">IF(H$3=0,(Inputs!$B$3*(1+Inputs!$B$5)+SUM('Lease-Up'!$B$2:$B$5)*Inputs!$B$4+SUMPRODUCT('Lease-Up'!$B$2:$B$5,'Lease-Up'!$F$2:$F$5))*Inputs!$B$9,IF(H$3=Inputs!$B$11,-(Inputs!$B$3*(1+Inputs!$B$5)+SUM('Lease-Up'!$B$2:$B$5)*Inputs!$B$4+SUMPRODUCT('Lease-Up'!$B$2:$B$5,'Lease-Up'!$F$2:$F$5))*Inputs!$B$9,0))</f>
        <v>-165610500</v>
      </c>
      <c r="I12" s="0" t="n">
        <f aca="false">IF(I$3=0,(Inputs!$B$3*(1+Inputs!$B$5)+SUM('Lease-Up'!$B$2:$B$5)*Inputs!$B$4+SUMPRODUCT('Lease-Up'!$B$2:$B$5,'Lease-Up'!$F$2:$F$5))*Inputs!$B$9,IF(I$3=Inputs!$B$11,-(Inputs!$B$3*(1+Inputs!$B$5)+SUM('Lease-Up'!$B$2:$B$5)*Inputs!$B$4+SUMPRODUCT('Lease-Up'!$B$2:$B$5,'Lease-Up'!$F$2:$F$5))*Inputs!$B$9,0))</f>
        <v>0</v>
      </c>
    </row>
    <row r="13" customFormat="false" ht="15" hidden="false" customHeight="false" outlineLevel="0" collapsed="false">
      <c r="A13" s="0" t="s">
        <v>31</v>
      </c>
      <c r="B13" s="0" t="n">
        <f aca="false">-(Inputs!$B$3*(1+Inputs!$B$5)+SUM('Lease-Up'!$B$2:$B$5)*Inputs!$B$4+SUMPRODUCT('Lease-Up'!$B$2:$B$5,'Lease-Up'!$F$2:$F$5))*Inputs!$B$9*Inputs!$B$10*(B$3&gt;=1)*(B$3&lt;=Inputs!$B$11)</f>
        <v>-0</v>
      </c>
      <c r="C13" s="0" t="n">
        <f aca="false">-(Inputs!$B$3*(1+Inputs!$B$5)+SUM('Lease-Up'!$B$2:$B$5)*Inputs!$B$4+SUMPRODUCT('Lease-Up'!$B$2:$B$5,'Lease-Up'!$F$2:$F$5))*Inputs!$B$9*Inputs!$B$10*(C$3&gt;=1)*(C$3&lt;=Inputs!$B$11)</f>
        <v>-12006761.25</v>
      </c>
      <c r="D13" s="0" t="n">
        <f aca="false">-(Inputs!$B$3*(1+Inputs!$B$5)+SUM('Lease-Up'!$B$2:$B$5)*Inputs!$B$4+SUMPRODUCT('Lease-Up'!$B$2:$B$5,'Lease-Up'!$F$2:$F$5))*Inputs!$B$9*Inputs!$B$10*(D$3&gt;=1)*(D$3&lt;=Inputs!$B$11)</f>
        <v>-12006761.25</v>
      </c>
      <c r="E13" s="0" t="n">
        <f aca="false">-(Inputs!$B$3*(1+Inputs!$B$5)+SUM('Lease-Up'!$B$2:$B$5)*Inputs!$B$4+SUMPRODUCT('Lease-Up'!$B$2:$B$5,'Lease-Up'!$F$2:$F$5))*Inputs!$B$9*Inputs!$B$10*(E$3&gt;=1)*(E$3&lt;=Inputs!$B$11)</f>
        <v>-12006761.25</v>
      </c>
      <c r="F13" s="0" t="n">
        <f aca="false">-(Inputs!$B$3*(1+Inputs!$B$5)+SUM('Lease-Up'!$B$2:$B$5)*Inputs!$B$4+SUMPRODUCT('Lease-Up'!$B$2:$B$5,'Lease-Up'!$F$2:$F$5))*Inputs!$B$9*Inputs!$B$10*(F$3&gt;=1)*(F$3&lt;=Inputs!$B$11)</f>
        <v>-12006761.25</v>
      </c>
      <c r="G13" s="0" t="n">
        <f aca="false">-(Inputs!$B$3*(1+Inputs!$B$5)+SUM('Lease-Up'!$B$2:$B$5)*Inputs!$B$4+SUMPRODUCT('Lease-Up'!$B$2:$B$5,'Lease-Up'!$F$2:$F$5))*Inputs!$B$9*Inputs!$B$10*(G$3&gt;=1)*(G$3&lt;=Inputs!$B$11)</f>
        <v>-12006761.25</v>
      </c>
      <c r="H13" s="0" t="n">
        <f aca="false">-(Inputs!$B$3*(1+Inputs!$B$5)+SUM('Lease-Up'!$B$2:$B$5)*Inputs!$B$4+SUMPRODUCT('Lease-Up'!$B$2:$B$5,'Lease-Up'!$F$2:$F$5))*Inputs!$B$9*Inputs!$B$10*(H$3&gt;=1)*(H$3&lt;=Inputs!$B$11)</f>
        <v>-12006761.25</v>
      </c>
      <c r="I13" s="0" t="n">
        <f aca="false">-(Inputs!$B$3*(1+Inputs!$B$5)+SUM('Lease-Up'!$B$2:$B$5)*Inputs!$B$4+SUMPRODUCT('Lease-Up'!$B$2:$B$5,'Lease-Up'!$F$2:$F$5))*Inputs!$B$9*Inputs!$B$10*(I$3&gt;=1)*(I$3&lt;=Inputs!$B$11)</f>
        <v>-0</v>
      </c>
    </row>
    <row r="14" customFormat="false" ht="15" hidden="false" customHeight="false" outlineLevel="0" collapsed="false">
      <c r="A14" s="0" t="s">
        <v>32</v>
      </c>
      <c r="B14" s="0" t="n">
        <f aca="false">B11+B12+B13</f>
        <v>-63925500</v>
      </c>
      <c r="C14" s="0" t="n">
        <f aca="false">C11+C12+C13</f>
        <v>-52790094.5833333</v>
      </c>
      <c r="D14" s="0" t="n">
        <f aca="false">D11+D12+D13</f>
        <v>-29058481.25</v>
      </c>
      <c r="E14" s="0" t="n">
        <f aca="false">E11+E12+E13</f>
        <v>271527.149999999</v>
      </c>
      <c r="F14" s="0" t="n">
        <f aca="false">F11+F12+F13</f>
        <v>11146835.802</v>
      </c>
      <c r="G14" s="0" t="n">
        <f aca="false">G11+G12+G13</f>
        <v>11873303.71356</v>
      </c>
      <c r="H14" s="0" t="n">
        <f aca="false">H11+H12+H13</f>
        <v>297999169.757145</v>
      </c>
      <c r="I14" s="0" t="n">
        <f aca="false">I11+I12+I13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33</v>
      </c>
      <c r="B3" s="2" t="n">
        <f aca="false">IRR('Cash Flow'!B11:I11)</f>
        <v>0.118853506283511</v>
      </c>
    </row>
    <row r="4" customFormat="false" ht="15" hidden="false" customHeight="false" outlineLevel="0" collapsed="false">
      <c r="A4" s="0" t="s">
        <v>34</v>
      </c>
      <c r="B4" s="2" t="n">
        <f aca="false">IRR('Cash Flow'!B14:I14)</f>
        <v>0.165518828512476</v>
      </c>
    </row>
    <row r="5" customFormat="false" ht="15" hidden="false" customHeight="false" outlineLevel="0" collapsed="false">
      <c r="A5" s="0" t="s">
        <v>35</v>
      </c>
      <c r="B5" s="5" t="n">
        <f aca="false">SUMIF('Cash Flow'!B14:I14,"&gt;0")/-SUMIF('Cash Flow'!B14:I14,"&lt;0")</f>
        <v>2.20403274440953</v>
      </c>
    </row>
    <row r="6" customFormat="false" ht="15" hidden="false" customHeight="false" outlineLevel="0" collapsed="false">
      <c r="A6" s="0" t="s">
        <v>36</v>
      </c>
      <c r="B6" s="1" t="n">
        <f aca="false">-SUM('Cash Flow'!B7:I9)</f>
        <v>301110000</v>
      </c>
    </row>
    <row r="7" customFormat="false" ht="15" hidden="false" customHeight="false" outlineLevel="0" collapsed="false">
      <c r="A7" s="0" t="s">
        <v>37</v>
      </c>
      <c r="B7" s="1" t="n">
        <f aca="false">SUM('Cash Flow'!B11:I11)</f>
        <v>247557328.089372</v>
      </c>
    </row>
    <row r="8" customFormat="false" ht="15" hidden="false" customHeight="false" outlineLevel="0" collapsed="false">
      <c r="A8" s="0" t="s">
        <v>38</v>
      </c>
      <c r="B8" s="2" t="n">
        <f aca="false">SUMPRODUCT('Lease-Up'!B2:B5,'Lease-Up'!C2:C5)/B6</f>
        <v>0.0756301683770051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2026-10-16T17:29:18Z</dcterms:created>
  <dc:creator>openpyxl</dc:creator>
  <dc:description/>
  <dc:language>en-US</dc:language>
  <cp:lastModifiedBy/>
  <dcterms:modified xsi:type="dcterms:W3CDTF">2026-10-16T17:29:18Z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