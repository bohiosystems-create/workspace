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Blocks" sheetId="2" state="visible" r:id="rId4"/>
    <sheet name="Yield" sheetId="3" state="visible" r:id="rId5"/>
    <sheet name="Cash Flow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<sst xmlns="http://schemas.openxmlformats.org/spreadsheetml/2006/main" count="43" uniqueCount="43">
  <si>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WADI AL NAKHEEL – DATE PALM PLANTATION (SAR)</t>
  </si>
  <si>
    <t xml:space="preserve">Price per tonne, premium grade (SAR)</t>
  </si>
  <si>
    <t xml:space="preserve">Standard grade discount</t>
  </si>
  <si>
    <t xml:space="preserve">Premium share of the crop</t>
  </si>
  <si>
    <t xml:space="preserve">Price growth a year</t>
  </si>
  <si>
    <t xml:space="preserve">Water and power per tree a year (SAR)</t>
  </si>
  <si>
    <t xml:space="preserve">Labour per tree a year (SAR)</t>
  </si>
  <si>
    <t xml:space="preserve">Cost growth a year</t>
  </si>
  <si>
    <t xml:space="preserve">Irrigation capex per tree (SAR)</t>
  </si>
  <si>
    <t xml:space="preserve">Irrigation life (years)</t>
  </si>
  <si>
    <t xml:space="preserve">Subsidy per tree, first 5 years (SAR)</t>
  </si>
  <si>
    <t xml:space="preserve">Land and planting (SAR)</t>
  </si>
  <si>
    <t xml:space="preserve">Discount rate</t>
  </si>
  <si>
    <t xml:space="preserve">Block</t>
  </si>
  <si>
    <t xml:space="preserve">Trees</t>
  </si>
  <si>
    <t xml:space="preserve">Planted in year</t>
  </si>
  <si>
    <t xml:space="preserve">Block A</t>
  </si>
  <si>
    <t xml:space="preserve">Block B</t>
  </si>
  <si>
    <t xml:space="preserve">Block C</t>
  </si>
  <si>
    <t xml:space="preserve">Block D</t>
  </si>
  <si>
    <t xml:space="preserve">Tree age from (years)</t>
  </si>
  <si>
    <t xml:space="preserve">Kg per tree</t>
  </si>
  <si>
    <t xml:space="preserve">Year</t>
  </si>
  <si>
    <t xml:space="preserve">Block A kg</t>
  </si>
  <si>
    <t xml:space="preserve">Block B kg</t>
  </si>
  <si>
    <t xml:space="preserve">Block C kg</t>
  </si>
  <si>
    <t xml:space="preserve">Block D kg</t>
  </si>
  <si>
    <t xml:space="preserve">Trees bearing</t>
  </si>
  <si>
    <t xml:space="preserve">Crop (tonnes)</t>
  </si>
  <si>
    <t xml:space="preserve">Price index</t>
  </si>
  <si>
    <t xml:space="preserve">Revenue</t>
  </si>
  <si>
    <t xml:space="preserve">Operating cost</t>
  </si>
  <si>
    <t xml:space="preserve">Irrigation</t>
  </si>
  <si>
    <t xml:space="preserve">Subsidy</t>
  </si>
  <si>
    <t xml:space="preserve">Land and planting</t>
  </si>
  <si>
    <t xml:space="preserve">Net cash flow</t>
  </si>
  <si>
    <t xml:space="preserve">Cumulative cash</t>
  </si>
  <si>
    <t xml:space="preserve">Project IRR</t>
  </si>
  <si>
    <t xml:space="preserve">NPV at the discount rate (SAR)</t>
  </si>
  <si>
    <t xml:space="preserve">Peak crop (tonnes)</t>
  </si>
  <si>
    <t xml:space="preserve">Payback year</t>
  </si>
  <si>
    <t xml:space="preserve">Revenue over 30 years (SAR)</t>
  </si>
  <si>
    <t xml:space="preserve">Net profit (SAR)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</si>
</sst>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14500</v>
      </c>
    </row>
    <row r="4" customFormat="false" ht="15" hidden="false" customHeight="false" outlineLevel="0" collapsed="false">
      <c r="A4" s="0" t="s">
        <v>2</v>
      </c>
      <c r="B4" s="2" t="n">
        <v>0.35</v>
      </c>
    </row>
    <row r="5" customFormat="false" ht="15" hidden="false" customHeight="false" outlineLevel="0" collapsed="false">
      <c r="A5" s="0" t="s">
        <v>3</v>
      </c>
      <c r="B5" s="2" t="n">
        <v>0.55</v>
      </c>
    </row>
    <row r="6" customFormat="false" ht="15" hidden="false" customHeight="false" outlineLevel="0" collapsed="false">
      <c r="A6" s="0" t="s">
        <v>4</v>
      </c>
      <c r="B6" s="2" t="n">
        <v>0.02</v>
      </c>
    </row>
    <row r="7" customFormat="false" ht="15" hidden="false" customHeight="false" outlineLevel="0" collapsed="false">
      <c r="A7" s="0" t="s">
        <v>5</v>
      </c>
      <c r="B7" s="1" t="n">
        <v>95</v>
      </c>
    </row>
    <row r="8" customFormat="false" ht="15" hidden="false" customHeight="false" outlineLevel="0" collapsed="false">
      <c r="A8" s="0" t="s">
        <v>6</v>
      </c>
      <c r="B8" s="1" t="n">
        <v>140</v>
      </c>
    </row>
    <row r="9" customFormat="false" ht="15" hidden="false" customHeight="false" outlineLevel="0" collapsed="false">
      <c r="A9" s="0" t="s">
        <v>7</v>
      </c>
      <c r="B9" s="2" t="n">
        <v>0.03</v>
      </c>
    </row>
    <row r="10" customFormat="false" ht="15" hidden="false" customHeight="false" outlineLevel="0" collapsed="false">
      <c r="A10" s="0" t="s">
        <v>8</v>
      </c>
      <c r="B10" s="1" t="n">
        <v>260</v>
      </c>
    </row>
    <row r="11" customFormat="false" ht="15" hidden="false" customHeight="false" outlineLevel="0" collapsed="false">
      <c r="A11" s="0" t="s">
        <v>9</v>
      </c>
      <c r="B11" s="3" t="n">
        <v>12</v>
      </c>
    </row>
    <row r="12" customFormat="false" ht="15" hidden="false" customHeight="false" outlineLevel="0" collapsed="false">
      <c r="A12" s="0" t="s">
        <v>10</v>
      </c>
      <c r="B12" s="1" t="n">
        <v>60</v>
      </c>
    </row>
    <row r="13" customFormat="false" ht="15" hidden="false" customHeight="false" outlineLevel="0" collapsed="false">
      <c r="A13" s="0" t="s">
        <v>11</v>
      </c>
      <c r="B13" s="1" t="n">
        <v>185000000</v>
      </c>
    </row>
    <row r="14" customFormat="false" ht="15" hidden="false" customHeight="false" outlineLevel="0" collapsed="false">
      <c r="A14" s="0" t="s">
        <v>12</v>
      </c>
      <c r="B14" s="2" t="n">
        <v>0.09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  <c r="C1" s="0" t="s">
        <v>15</v>
      </c>
    </row>
    <row r="2" customFormat="false" ht="15" hidden="false" customHeight="false" outlineLevel="0" collapsed="false">
      <c r="A2" s="0" t="s">
        <v>16</v>
      </c>
      <c r="B2" s="0" t="n">
        <v>42000</v>
      </c>
      <c r="C2" s="0" t="n">
        <v>0</v>
      </c>
    </row>
    <row r="3" customFormat="false" ht="15" hidden="false" customHeight="false" outlineLevel="0" collapsed="false">
      <c r="A3" s="0" t="s">
        <v>17</v>
      </c>
      <c r="B3" s="0" t="n">
        <v>38000</v>
      </c>
      <c r="C3" s="0" t="n">
        <v>2</v>
      </c>
    </row>
    <row r="4" customFormat="false" ht="15" hidden="false" customHeight="false" outlineLevel="0" collapsed="false">
      <c r="A4" s="0" t="s">
        <v>18</v>
      </c>
      <c r="B4" s="0" t="n">
        <v>51000</v>
      </c>
      <c r="C4" s="0" t="n">
        <v>4</v>
      </c>
    </row>
    <row r="5" customFormat="false" ht="15" hidden="false" customHeight="false" outlineLevel="0" collapsed="false">
      <c r="A5" s="0" t="s">
        <v>19</v>
      </c>
      <c r="B5" s="0" t="n">
        <v>29000</v>
      </c>
      <c r="C5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</row>
    <row r="2" customFormat="false" ht="15" hidden="false" customHeight="false" outlineLevel="0" collapsed="false">
      <c r="A2" s="0" t="n">
        <v>0</v>
      </c>
      <c r="B2" s="0" t="n">
        <v>0</v>
      </c>
    </row>
    <row r="3" customFormat="false" ht="15" hidden="false" customHeight="false" outlineLevel="0" collapsed="false">
      <c r="A3" s="0" t="n">
        <v>4</v>
      </c>
      <c r="B3" s="0" t="n">
        <v>8</v>
      </c>
    </row>
    <row r="4" customFormat="false" ht="15" hidden="false" customHeight="false" outlineLevel="0" collapsed="false">
      <c r="A4" s="0" t="n">
        <v>6</v>
      </c>
      <c r="B4" s="0" t="n">
        <v>25</v>
      </c>
    </row>
    <row r="5" customFormat="false" ht="15" hidden="false" customHeight="false" outlineLevel="0" collapsed="false">
      <c r="A5" s="0" t="n">
        <v>8</v>
      </c>
      <c r="B5" s="0" t="n">
        <v>45</v>
      </c>
    </row>
    <row r="6" customFormat="false" ht="15" hidden="false" customHeight="false" outlineLevel="0" collapsed="false">
      <c r="A6" s="0" t="n">
        <v>10</v>
      </c>
      <c r="B6" s="0" t="n">
        <v>70</v>
      </c>
    </row>
    <row r="7" customFormat="false" ht="15" hidden="false" customHeight="false" outlineLevel="0" collapsed="false">
      <c r="A7" s="0" t="n">
        <v>15</v>
      </c>
      <c r="B7" s="0" t="n">
        <v>85</v>
      </c>
    </row>
    <row r="8" customFormat="false" ht="15" hidden="false" customHeight="false" outlineLevel="0" collapsed="false">
      <c r="A8" s="0" t="n">
        <v>25</v>
      </c>
      <c r="B8" s="0" t="n">
        <v>75</v>
      </c>
    </row>
    <row r="9" customFormat="false" ht="15" hidden="false" customHeight="false" outlineLevel="0" collapsed="false">
      <c r="A9" s="0" t="n">
        <v>35</v>
      </c>
      <c r="B9" s="0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22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</row>
    <row r="4" customFormat="false" ht="15" hidden="false" customHeight="false" outlineLevel="0" collapsed="false">
      <c r="A4" s="0" t="s">
        <v>23</v>
      </c>
      <c r="B4" s="0" t="n">
        <f aca="false">IF(B$3&gt;=Blocks!$C$2,Blocks!$B$2*LOOKUP(B$3-Blocks!$C$2,Yield!$A$2:$A$9,Yield!$B$2:$B$9),0)</f>
        <v>0</v>
      </c>
      <c r="C4" s="0" t="n">
        <f aca="false">IF(C$3&gt;=Blocks!$C$2,Blocks!$B$2*LOOKUP(C$3-Blocks!$C$2,Yield!$A$2:$A$9,Yield!$B$2:$B$9),0)</f>
        <v>0</v>
      </c>
      <c r="D4" s="0" t="n">
        <f aca="false">IF(D$3&gt;=Blocks!$C$2,Blocks!$B$2*LOOKUP(D$3-Blocks!$C$2,Yield!$A$2:$A$9,Yield!$B$2:$B$9),0)</f>
        <v>0</v>
      </c>
      <c r="E4" s="0" t="n">
        <f aca="false">IF(E$3&gt;=Blocks!$C$2,Blocks!$B$2*LOOKUP(E$3-Blocks!$C$2,Yield!$A$2:$A$9,Yield!$B$2:$B$9),0)</f>
        <v>0</v>
      </c>
      <c r="F4" s="0" t="n">
        <f aca="false">IF(F$3&gt;=Blocks!$C$2,Blocks!$B$2*LOOKUP(F$3-Blocks!$C$2,Yield!$A$2:$A$9,Yield!$B$2:$B$9),0)</f>
        <v>336000</v>
      </c>
      <c r="G4" s="0" t="n">
        <f aca="false">IF(G$3&gt;=Blocks!$C$2,Blocks!$B$2*LOOKUP(G$3-Blocks!$C$2,Yield!$A$2:$A$9,Yield!$B$2:$B$9),0)</f>
        <v>336000</v>
      </c>
      <c r="H4" s="0" t="n">
        <f aca="false">IF(H$3&gt;=Blocks!$C$2,Blocks!$B$2*LOOKUP(H$3-Blocks!$C$2,Yield!$A$2:$A$9,Yield!$B$2:$B$9),0)</f>
        <v>1050000</v>
      </c>
      <c r="I4" s="0" t="n">
        <f aca="false">IF(I$3&gt;=Blocks!$C$2,Blocks!$B$2*LOOKUP(I$3-Blocks!$C$2,Yield!$A$2:$A$9,Yield!$B$2:$B$9),0)</f>
        <v>1050000</v>
      </c>
      <c r="J4" s="0" t="n">
        <f aca="false">IF(J$3&gt;=Blocks!$C$2,Blocks!$B$2*LOOKUP(J$3-Blocks!$C$2,Yield!$A$2:$A$9,Yield!$B$2:$B$9),0)</f>
        <v>1890000</v>
      </c>
      <c r="K4" s="0" t="n">
        <f aca="false">IF(K$3&gt;=Blocks!$C$2,Blocks!$B$2*LOOKUP(K$3-Blocks!$C$2,Yield!$A$2:$A$9,Yield!$B$2:$B$9),0)</f>
        <v>1890000</v>
      </c>
      <c r="L4" s="0" t="n">
        <f aca="false">IF(L$3&gt;=Blocks!$C$2,Blocks!$B$2*LOOKUP(L$3-Blocks!$C$2,Yield!$A$2:$A$9,Yield!$B$2:$B$9),0)</f>
        <v>2940000</v>
      </c>
      <c r="M4" s="0" t="n">
        <f aca="false">IF(M$3&gt;=Blocks!$C$2,Blocks!$B$2*LOOKUP(M$3-Blocks!$C$2,Yield!$A$2:$A$9,Yield!$B$2:$B$9),0)</f>
        <v>2940000</v>
      </c>
      <c r="N4" s="0" t="n">
        <f aca="false">IF(N$3&gt;=Blocks!$C$2,Blocks!$B$2*LOOKUP(N$3-Blocks!$C$2,Yield!$A$2:$A$9,Yield!$B$2:$B$9),0)</f>
        <v>2940000</v>
      </c>
      <c r="O4" s="0" t="n">
        <f aca="false">IF(O$3&gt;=Blocks!$C$2,Blocks!$B$2*LOOKUP(O$3-Blocks!$C$2,Yield!$A$2:$A$9,Yield!$B$2:$B$9),0)</f>
        <v>2940000</v>
      </c>
      <c r="P4" s="0" t="n">
        <f aca="false">IF(P$3&gt;=Blocks!$C$2,Blocks!$B$2*LOOKUP(P$3-Blocks!$C$2,Yield!$A$2:$A$9,Yield!$B$2:$B$9),0)</f>
        <v>2940000</v>
      </c>
      <c r="Q4" s="0" t="n">
        <f aca="false">IF(Q$3&gt;=Blocks!$C$2,Blocks!$B$2*LOOKUP(Q$3-Blocks!$C$2,Yield!$A$2:$A$9,Yield!$B$2:$B$9),0)</f>
        <v>3570000</v>
      </c>
      <c r="R4" s="0" t="n">
        <f aca="false">IF(R$3&gt;=Blocks!$C$2,Blocks!$B$2*LOOKUP(R$3-Blocks!$C$2,Yield!$A$2:$A$9,Yield!$B$2:$B$9),0)</f>
        <v>3570000</v>
      </c>
      <c r="S4" s="0" t="n">
        <f aca="false">IF(S$3&gt;=Blocks!$C$2,Blocks!$B$2*LOOKUP(S$3-Blocks!$C$2,Yield!$A$2:$A$9,Yield!$B$2:$B$9),0)</f>
        <v>3570000</v>
      </c>
      <c r="T4" s="0" t="n">
        <f aca="false">IF(T$3&gt;=Blocks!$C$2,Blocks!$B$2*LOOKUP(T$3-Blocks!$C$2,Yield!$A$2:$A$9,Yield!$B$2:$B$9),0)</f>
        <v>3570000</v>
      </c>
      <c r="U4" s="0" t="n">
        <f aca="false">IF(U$3&gt;=Blocks!$C$2,Blocks!$B$2*LOOKUP(U$3-Blocks!$C$2,Yield!$A$2:$A$9,Yield!$B$2:$B$9),0)</f>
        <v>3570000</v>
      </c>
      <c r="V4" s="0" t="n">
        <f aca="false">IF(V$3&gt;=Blocks!$C$2,Blocks!$B$2*LOOKUP(V$3-Blocks!$C$2,Yield!$A$2:$A$9,Yield!$B$2:$B$9),0)</f>
        <v>3570000</v>
      </c>
      <c r="W4" s="0" t="n">
        <f aca="false">IF(W$3&gt;=Blocks!$C$2,Blocks!$B$2*LOOKUP(W$3-Blocks!$C$2,Yield!$A$2:$A$9,Yield!$B$2:$B$9),0)</f>
        <v>3570000</v>
      </c>
      <c r="X4" s="0" t="n">
        <f aca="false">IF(X$3&gt;=Blocks!$C$2,Blocks!$B$2*LOOKUP(X$3-Blocks!$C$2,Yield!$A$2:$A$9,Yield!$B$2:$B$9),0)</f>
        <v>3570000</v>
      </c>
      <c r="Y4" s="0" t="n">
        <f aca="false">IF(Y$3&gt;=Blocks!$C$2,Blocks!$B$2*LOOKUP(Y$3-Blocks!$C$2,Yield!$A$2:$A$9,Yield!$B$2:$B$9),0)</f>
        <v>3570000</v>
      </c>
      <c r="Z4" s="0" t="n">
        <f aca="false">IF(Z$3&gt;=Blocks!$C$2,Blocks!$B$2*LOOKUP(Z$3-Blocks!$C$2,Yield!$A$2:$A$9,Yield!$B$2:$B$9),0)</f>
        <v>3570000</v>
      </c>
      <c r="AA4" s="0" t="n">
        <f aca="false">IF(AA$3&gt;=Blocks!$C$2,Blocks!$B$2*LOOKUP(AA$3-Blocks!$C$2,Yield!$A$2:$A$9,Yield!$B$2:$B$9),0)</f>
        <v>3150000</v>
      </c>
      <c r="AB4" s="0" t="n">
        <f aca="false">IF(AB$3&gt;=Blocks!$C$2,Blocks!$B$2*LOOKUP(AB$3-Blocks!$C$2,Yield!$A$2:$A$9,Yield!$B$2:$B$9),0)</f>
        <v>3150000</v>
      </c>
      <c r="AC4" s="0" t="n">
        <f aca="false">IF(AC$3&gt;=Blocks!$C$2,Blocks!$B$2*LOOKUP(AC$3-Blocks!$C$2,Yield!$A$2:$A$9,Yield!$B$2:$B$9),0)</f>
        <v>3150000</v>
      </c>
      <c r="AD4" s="0" t="n">
        <f aca="false">IF(AD$3&gt;=Blocks!$C$2,Blocks!$B$2*LOOKUP(AD$3-Blocks!$C$2,Yield!$A$2:$A$9,Yield!$B$2:$B$9),0)</f>
        <v>3150000</v>
      </c>
      <c r="AE4" s="0" t="n">
        <f aca="false">IF(AE$3&gt;=Blocks!$C$2,Blocks!$B$2*LOOKUP(AE$3-Blocks!$C$2,Yield!$A$2:$A$9,Yield!$B$2:$B$9),0)</f>
        <v>3150000</v>
      </c>
      <c r="AF4" s="0" t="n">
        <f aca="false">IF(AF$3&gt;=Blocks!$C$2,Blocks!$B$2*LOOKUP(AF$3-Blocks!$C$2,Yield!$A$2:$A$9,Yield!$B$2:$B$9),0)</f>
        <v>3150000</v>
      </c>
    </row>
    <row r="5" customFormat="false" ht="15" hidden="false" customHeight="false" outlineLevel="0" collapsed="false">
      <c r="A5" s="0" t="s">
        <v>24</v>
      </c>
      <c r="B5" s="0" t="n">
        <f aca="false">IF(B$3&gt;=Blocks!$C$3,Blocks!$B$3*LOOKUP(B$3-Blocks!$C$3,Yield!$A$2:$A$9,Yield!$B$2:$B$9),0)</f>
        <v>0</v>
      </c>
      <c r="C5" s="0" t="n">
        <f aca="false">IF(C$3&gt;=Blocks!$C$3,Blocks!$B$3*LOOKUP(C$3-Blocks!$C$3,Yield!$A$2:$A$9,Yield!$B$2:$B$9),0)</f>
        <v>0</v>
      </c>
      <c r="D5" s="0" t="n">
        <f aca="false">IF(D$3&gt;=Blocks!$C$3,Blocks!$B$3*LOOKUP(D$3-Blocks!$C$3,Yield!$A$2:$A$9,Yield!$B$2:$B$9),0)</f>
        <v>0</v>
      </c>
      <c r="E5" s="0" t="n">
        <f aca="false">IF(E$3&gt;=Blocks!$C$3,Blocks!$B$3*LOOKUP(E$3-Blocks!$C$3,Yield!$A$2:$A$9,Yield!$B$2:$B$9),0)</f>
        <v>0</v>
      </c>
      <c r="F5" s="0" t="n">
        <f aca="false">IF(F$3&gt;=Blocks!$C$3,Blocks!$B$3*LOOKUP(F$3-Blocks!$C$3,Yield!$A$2:$A$9,Yield!$B$2:$B$9),0)</f>
        <v>0</v>
      </c>
      <c r="G5" s="0" t="n">
        <f aca="false">IF(G$3&gt;=Blocks!$C$3,Blocks!$B$3*LOOKUP(G$3-Blocks!$C$3,Yield!$A$2:$A$9,Yield!$B$2:$B$9),0)</f>
        <v>0</v>
      </c>
      <c r="H5" s="0" t="n">
        <f aca="false">IF(H$3&gt;=Blocks!$C$3,Blocks!$B$3*LOOKUP(H$3-Blocks!$C$3,Yield!$A$2:$A$9,Yield!$B$2:$B$9),0)</f>
        <v>304000</v>
      </c>
      <c r="I5" s="0" t="n">
        <f aca="false">IF(I$3&gt;=Blocks!$C$3,Blocks!$B$3*LOOKUP(I$3-Blocks!$C$3,Yield!$A$2:$A$9,Yield!$B$2:$B$9),0)</f>
        <v>304000</v>
      </c>
      <c r="J5" s="0" t="n">
        <f aca="false">IF(J$3&gt;=Blocks!$C$3,Blocks!$B$3*LOOKUP(J$3-Blocks!$C$3,Yield!$A$2:$A$9,Yield!$B$2:$B$9),0)</f>
        <v>950000</v>
      </c>
      <c r="K5" s="0" t="n">
        <f aca="false">IF(K$3&gt;=Blocks!$C$3,Blocks!$B$3*LOOKUP(K$3-Blocks!$C$3,Yield!$A$2:$A$9,Yield!$B$2:$B$9),0)</f>
        <v>950000</v>
      </c>
      <c r="L5" s="0" t="n">
        <f aca="false">IF(L$3&gt;=Blocks!$C$3,Blocks!$B$3*LOOKUP(L$3-Blocks!$C$3,Yield!$A$2:$A$9,Yield!$B$2:$B$9),0)</f>
        <v>1710000</v>
      </c>
      <c r="M5" s="0" t="n">
        <f aca="false">IF(M$3&gt;=Blocks!$C$3,Blocks!$B$3*LOOKUP(M$3-Blocks!$C$3,Yield!$A$2:$A$9,Yield!$B$2:$B$9),0)</f>
        <v>1710000</v>
      </c>
      <c r="N5" s="0" t="n">
        <f aca="false">IF(N$3&gt;=Blocks!$C$3,Blocks!$B$3*LOOKUP(N$3-Blocks!$C$3,Yield!$A$2:$A$9,Yield!$B$2:$B$9),0)</f>
        <v>2660000</v>
      </c>
      <c r="O5" s="0" t="n">
        <f aca="false">IF(O$3&gt;=Blocks!$C$3,Blocks!$B$3*LOOKUP(O$3-Blocks!$C$3,Yield!$A$2:$A$9,Yield!$B$2:$B$9),0)</f>
        <v>2660000</v>
      </c>
      <c r="P5" s="0" t="n">
        <f aca="false">IF(P$3&gt;=Blocks!$C$3,Blocks!$B$3*LOOKUP(P$3-Blocks!$C$3,Yield!$A$2:$A$9,Yield!$B$2:$B$9),0)</f>
        <v>2660000</v>
      </c>
      <c r="Q5" s="0" t="n">
        <f aca="false">IF(Q$3&gt;=Blocks!$C$3,Blocks!$B$3*LOOKUP(Q$3-Blocks!$C$3,Yield!$A$2:$A$9,Yield!$B$2:$B$9),0)</f>
        <v>2660000</v>
      </c>
      <c r="R5" s="0" t="n">
        <f aca="false">IF(R$3&gt;=Blocks!$C$3,Blocks!$B$3*LOOKUP(R$3-Blocks!$C$3,Yield!$A$2:$A$9,Yield!$B$2:$B$9),0)</f>
        <v>2660000</v>
      </c>
      <c r="S5" s="0" t="n">
        <f aca="false">IF(S$3&gt;=Blocks!$C$3,Blocks!$B$3*LOOKUP(S$3-Blocks!$C$3,Yield!$A$2:$A$9,Yield!$B$2:$B$9),0)</f>
        <v>3230000</v>
      </c>
      <c r="T5" s="0" t="n">
        <f aca="false">IF(T$3&gt;=Blocks!$C$3,Blocks!$B$3*LOOKUP(T$3-Blocks!$C$3,Yield!$A$2:$A$9,Yield!$B$2:$B$9),0)</f>
        <v>3230000</v>
      </c>
      <c r="U5" s="0" t="n">
        <f aca="false">IF(U$3&gt;=Blocks!$C$3,Blocks!$B$3*LOOKUP(U$3-Blocks!$C$3,Yield!$A$2:$A$9,Yield!$B$2:$B$9),0)</f>
        <v>3230000</v>
      </c>
      <c r="V5" s="0" t="n">
        <f aca="false">IF(V$3&gt;=Blocks!$C$3,Blocks!$B$3*LOOKUP(V$3-Blocks!$C$3,Yield!$A$2:$A$9,Yield!$B$2:$B$9),0)</f>
        <v>3230000</v>
      </c>
      <c r="W5" s="0" t="n">
        <f aca="false">IF(W$3&gt;=Blocks!$C$3,Blocks!$B$3*LOOKUP(W$3-Blocks!$C$3,Yield!$A$2:$A$9,Yield!$B$2:$B$9),0)</f>
        <v>3230000</v>
      </c>
      <c r="X5" s="0" t="n">
        <f aca="false">IF(X$3&gt;=Blocks!$C$3,Blocks!$B$3*LOOKUP(X$3-Blocks!$C$3,Yield!$A$2:$A$9,Yield!$B$2:$B$9),0)</f>
        <v>3230000</v>
      </c>
      <c r="Y5" s="0" t="n">
        <f aca="false">IF(Y$3&gt;=Blocks!$C$3,Blocks!$B$3*LOOKUP(Y$3-Blocks!$C$3,Yield!$A$2:$A$9,Yield!$B$2:$B$9),0)</f>
        <v>3230000</v>
      </c>
      <c r="Z5" s="0" t="n">
        <f aca="false">IF(Z$3&gt;=Blocks!$C$3,Blocks!$B$3*LOOKUP(Z$3-Blocks!$C$3,Yield!$A$2:$A$9,Yield!$B$2:$B$9),0)</f>
        <v>3230000</v>
      </c>
      <c r="AA5" s="0" t="n">
        <f aca="false">IF(AA$3&gt;=Blocks!$C$3,Blocks!$B$3*LOOKUP(AA$3-Blocks!$C$3,Yield!$A$2:$A$9,Yield!$B$2:$B$9),0)</f>
        <v>3230000</v>
      </c>
      <c r="AB5" s="0" t="n">
        <f aca="false">IF(AB$3&gt;=Blocks!$C$3,Blocks!$B$3*LOOKUP(AB$3-Blocks!$C$3,Yield!$A$2:$A$9,Yield!$B$2:$B$9),0)</f>
        <v>3230000</v>
      </c>
      <c r="AC5" s="0" t="n">
        <f aca="false">IF(AC$3&gt;=Blocks!$C$3,Blocks!$B$3*LOOKUP(AC$3-Blocks!$C$3,Yield!$A$2:$A$9,Yield!$B$2:$B$9),0)</f>
        <v>2850000</v>
      </c>
      <c r="AD5" s="0" t="n">
        <f aca="false">IF(AD$3&gt;=Blocks!$C$3,Blocks!$B$3*LOOKUP(AD$3-Blocks!$C$3,Yield!$A$2:$A$9,Yield!$B$2:$B$9),0)</f>
        <v>2850000</v>
      </c>
      <c r="AE5" s="0" t="n">
        <f aca="false">IF(AE$3&gt;=Blocks!$C$3,Blocks!$B$3*LOOKUP(AE$3-Blocks!$C$3,Yield!$A$2:$A$9,Yield!$B$2:$B$9),0)</f>
        <v>2850000</v>
      </c>
      <c r="AF5" s="0" t="n">
        <f aca="false">IF(AF$3&gt;=Blocks!$C$3,Blocks!$B$3*LOOKUP(AF$3-Blocks!$C$3,Yield!$A$2:$A$9,Yield!$B$2:$B$9),0)</f>
        <v>2850000</v>
      </c>
    </row>
    <row r="6" customFormat="false" ht="15" hidden="false" customHeight="false" outlineLevel="0" collapsed="false">
      <c r="A6" s="0" t="s">
        <v>25</v>
      </c>
      <c r="B6" s="0" t="n">
        <f aca="false">IF(B$3&gt;=Blocks!$C$4,Blocks!$B$4*LOOKUP(B$3-Blocks!$C$4,Yield!$A$2:$A$9,Yield!$B$2:$B$9),0)</f>
        <v>0</v>
      </c>
      <c r="C6" s="0" t="n">
        <f aca="false">IF(C$3&gt;=Blocks!$C$4,Blocks!$B$4*LOOKUP(C$3-Blocks!$C$4,Yield!$A$2:$A$9,Yield!$B$2:$B$9),0)</f>
        <v>0</v>
      </c>
      <c r="D6" s="0" t="n">
        <f aca="false">IF(D$3&gt;=Blocks!$C$4,Blocks!$B$4*LOOKUP(D$3-Blocks!$C$4,Yield!$A$2:$A$9,Yield!$B$2:$B$9),0)</f>
        <v>0</v>
      </c>
      <c r="E6" s="0" t="n">
        <f aca="false">IF(E$3&gt;=Blocks!$C$4,Blocks!$B$4*LOOKUP(E$3-Blocks!$C$4,Yield!$A$2:$A$9,Yield!$B$2:$B$9),0)</f>
        <v>0</v>
      </c>
      <c r="F6" s="0" t="n">
        <f aca="false">IF(F$3&gt;=Blocks!$C$4,Blocks!$B$4*LOOKUP(F$3-Blocks!$C$4,Yield!$A$2:$A$9,Yield!$B$2:$B$9),0)</f>
        <v>0</v>
      </c>
      <c r="G6" s="0" t="n">
        <f aca="false">IF(G$3&gt;=Blocks!$C$4,Blocks!$B$4*LOOKUP(G$3-Blocks!$C$4,Yield!$A$2:$A$9,Yield!$B$2:$B$9),0)</f>
        <v>0</v>
      </c>
      <c r="H6" s="0" t="n">
        <f aca="false">IF(H$3&gt;=Blocks!$C$4,Blocks!$B$4*LOOKUP(H$3-Blocks!$C$4,Yield!$A$2:$A$9,Yield!$B$2:$B$9),0)</f>
        <v>0</v>
      </c>
      <c r="I6" s="0" t="n">
        <f aca="false">IF(I$3&gt;=Blocks!$C$4,Blocks!$B$4*LOOKUP(I$3-Blocks!$C$4,Yield!$A$2:$A$9,Yield!$B$2:$B$9),0)</f>
        <v>0</v>
      </c>
      <c r="J6" s="0" t="n">
        <f aca="false">IF(J$3&gt;=Blocks!$C$4,Blocks!$B$4*LOOKUP(J$3-Blocks!$C$4,Yield!$A$2:$A$9,Yield!$B$2:$B$9),0)</f>
        <v>408000</v>
      </c>
      <c r="K6" s="0" t="n">
        <f aca="false">IF(K$3&gt;=Blocks!$C$4,Blocks!$B$4*LOOKUP(K$3-Blocks!$C$4,Yield!$A$2:$A$9,Yield!$B$2:$B$9),0)</f>
        <v>408000</v>
      </c>
      <c r="L6" s="0" t="n">
        <f aca="false">IF(L$3&gt;=Blocks!$C$4,Blocks!$B$4*LOOKUP(L$3-Blocks!$C$4,Yield!$A$2:$A$9,Yield!$B$2:$B$9),0)</f>
        <v>1275000</v>
      </c>
      <c r="M6" s="0" t="n">
        <f aca="false">IF(M$3&gt;=Blocks!$C$4,Blocks!$B$4*LOOKUP(M$3-Blocks!$C$4,Yield!$A$2:$A$9,Yield!$B$2:$B$9),0)</f>
        <v>1275000</v>
      </c>
      <c r="N6" s="0" t="n">
        <f aca="false">IF(N$3&gt;=Blocks!$C$4,Blocks!$B$4*LOOKUP(N$3-Blocks!$C$4,Yield!$A$2:$A$9,Yield!$B$2:$B$9),0)</f>
        <v>2295000</v>
      </c>
      <c r="O6" s="0" t="n">
        <f aca="false">IF(O$3&gt;=Blocks!$C$4,Blocks!$B$4*LOOKUP(O$3-Blocks!$C$4,Yield!$A$2:$A$9,Yield!$B$2:$B$9),0)</f>
        <v>2295000</v>
      </c>
      <c r="P6" s="0" t="n">
        <f aca="false">IF(P$3&gt;=Blocks!$C$4,Blocks!$B$4*LOOKUP(P$3-Blocks!$C$4,Yield!$A$2:$A$9,Yield!$B$2:$B$9),0)</f>
        <v>3570000</v>
      </c>
      <c r="Q6" s="0" t="n">
        <f aca="false">IF(Q$3&gt;=Blocks!$C$4,Blocks!$B$4*LOOKUP(Q$3-Blocks!$C$4,Yield!$A$2:$A$9,Yield!$B$2:$B$9),0)</f>
        <v>3570000</v>
      </c>
      <c r="R6" s="0" t="n">
        <f aca="false">IF(R$3&gt;=Blocks!$C$4,Blocks!$B$4*LOOKUP(R$3-Blocks!$C$4,Yield!$A$2:$A$9,Yield!$B$2:$B$9),0)</f>
        <v>3570000</v>
      </c>
      <c r="S6" s="0" t="n">
        <f aca="false">IF(S$3&gt;=Blocks!$C$4,Blocks!$B$4*LOOKUP(S$3-Blocks!$C$4,Yield!$A$2:$A$9,Yield!$B$2:$B$9),0)</f>
        <v>3570000</v>
      </c>
      <c r="T6" s="0" t="n">
        <f aca="false">IF(T$3&gt;=Blocks!$C$4,Blocks!$B$4*LOOKUP(T$3-Blocks!$C$4,Yield!$A$2:$A$9,Yield!$B$2:$B$9),0)</f>
        <v>3570000</v>
      </c>
      <c r="U6" s="0" t="n">
        <f aca="false">IF(U$3&gt;=Blocks!$C$4,Blocks!$B$4*LOOKUP(U$3-Blocks!$C$4,Yield!$A$2:$A$9,Yield!$B$2:$B$9),0)</f>
        <v>4335000</v>
      </c>
      <c r="V6" s="0" t="n">
        <f aca="false">IF(V$3&gt;=Blocks!$C$4,Blocks!$B$4*LOOKUP(V$3-Blocks!$C$4,Yield!$A$2:$A$9,Yield!$B$2:$B$9),0)</f>
        <v>4335000</v>
      </c>
      <c r="W6" s="0" t="n">
        <f aca="false">IF(W$3&gt;=Blocks!$C$4,Blocks!$B$4*LOOKUP(W$3-Blocks!$C$4,Yield!$A$2:$A$9,Yield!$B$2:$B$9),0)</f>
        <v>4335000</v>
      </c>
      <c r="X6" s="0" t="n">
        <f aca="false">IF(X$3&gt;=Blocks!$C$4,Blocks!$B$4*LOOKUP(X$3-Blocks!$C$4,Yield!$A$2:$A$9,Yield!$B$2:$B$9),0)</f>
        <v>4335000</v>
      </c>
      <c r="Y6" s="0" t="n">
        <f aca="false">IF(Y$3&gt;=Blocks!$C$4,Blocks!$B$4*LOOKUP(Y$3-Blocks!$C$4,Yield!$A$2:$A$9,Yield!$B$2:$B$9),0)</f>
        <v>4335000</v>
      </c>
      <c r="Z6" s="0" t="n">
        <f aca="false">IF(Z$3&gt;=Blocks!$C$4,Blocks!$B$4*LOOKUP(Z$3-Blocks!$C$4,Yield!$A$2:$A$9,Yield!$B$2:$B$9),0)</f>
        <v>4335000</v>
      </c>
      <c r="AA6" s="0" t="n">
        <f aca="false">IF(AA$3&gt;=Blocks!$C$4,Blocks!$B$4*LOOKUP(AA$3-Blocks!$C$4,Yield!$A$2:$A$9,Yield!$B$2:$B$9),0)</f>
        <v>4335000</v>
      </c>
      <c r="AB6" s="0" t="n">
        <f aca="false">IF(AB$3&gt;=Blocks!$C$4,Blocks!$B$4*LOOKUP(AB$3-Blocks!$C$4,Yield!$A$2:$A$9,Yield!$B$2:$B$9),0)</f>
        <v>4335000</v>
      </c>
      <c r="AC6" s="0" t="n">
        <f aca="false">IF(AC$3&gt;=Blocks!$C$4,Blocks!$B$4*LOOKUP(AC$3-Blocks!$C$4,Yield!$A$2:$A$9,Yield!$B$2:$B$9),0)</f>
        <v>4335000</v>
      </c>
      <c r="AD6" s="0" t="n">
        <f aca="false">IF(AD$3&gt;=Blocks!$C$4,Blocks!$B$4*LOOKUP(AD$3-Blocks!$C$4,Yield!$A$2:$A$9,Yield!$B$2:$B$9),0)</f>
        <v>4335000</v>
      </c>
      <c r="AE6" s="0" t="n">
        <f aca="false">IF(AE$3&gt;=Blocks!$C$4,Blocks!$B$4*LOOKUP(AE$3-Blocks!$C$4,Yield!$A$2:$A$9,Yield!$B$2:$B$9),0)</f>
        <v>3825000</v>
      </c>
      <c r="AF6" s="0" t="n">
        <f aca="false">IF(AF$3&gt;=Blocks!$C$4,Blocks!$B$4*LOOKUP(AF$3-Blocks!$C$4,Yield!$A$2:$A$9,Yield!$B$2:$B$9),0)</f>
        <v>3825000</v>
      </c>
    </row>
    <row r="7" customFormat="false" ht="15" hidden="false" customHeight="false" outlineLevel="0" collapsed="false">
      <c r="A7" s="0" t="s">
        <v>26</v>
      </c>
      <c r="B7" s="0" t="n">
        <f aca="false">IF(B$3&gt;=Blocks!$C$5,Blocks!$B$5*LOOKUP(B$3-Blocks!$C$5,Yield!$A$2:$A$9,Yield!$B$2:$B$9),0)</f>
        <v>0</v>
      </c>
      <c r="C7" s="0" t="n">
        <f aca="false">IF(C$3&gt;=Blocks!$C$5,Blocks!$B$5*LOOKUP(C$3-Blocks!$C$5,Yield!$A$2:$A$9,Yield!$B$2:$B$9),0)</f>
        <v>0</v>
      </c>
      <c r="D7" s="0" t="n">
        <f aca="false">IF(D$3&gt;=Blocks!$C$5,Blocks!$B$5*LOOKUP(D$3-Blocks!$C$5,Yield!$A$2:$A$9,Yield!$B$2:$B$9),0)</f>
        <v>0</v>
      </c>
      <c r="E7" s="0" t="n">
        <f aca="false">IF(E$3&gt;=Blocks!$C$5,Blocks!$B$5*LOOKUP(E$3-Blocks!$C$5,Yield!$A$2:$A$9,Yield!$B$2:$B$9),0)</f>
        <v>0</v>
      </c>
      <c r="F7" s="0" t="n">
        <f aca="false">IF(F$3&gt;=Blocks!$C$5,Blocks!$B$5*LOOKUP(F$3-Blocks!$C$5,Yield!$A$2:$A$9,Yield!$B$2:$B$9),0)</f>
        <v>0</v>
      </c>
      <c r="G7" s="0" t="n">
        <f aca="false">IF(G$3&gt;=Blocks!$C$5,Blocks!$B$5*LOOKUP(G$3-Blocks!$C$5,Yield!$A$2:$A$9,Yield!$B$2:$B$9),0)</f>
        <v>0</v>
      </c>
      <c r="H7" s="0" t="n">
        <f aca="false">IF(H$3&gt;=Blocks!$C$5,Blocks!$B$5*LOOKUP(H$3-Blocks!$C$5,Yield!$A$2:$A$9,Yield!$B$2:$B$9),0)</f>
        <v>0</v>
      </c>
      <c r="I7" s="0" t="n">
        <f aca="false">IF(I$3&gt;=Blocks!$C$5,Blocks!$B$5*LOOKUP(I$3-Blocks!$C$5,Yield!$A$2:$A$9,Yield!$B$2:$B$9),0)</f>
        <v>0</v>
      </c>
      <c r="J7" s="0" t="n">
        <f aca="false">IF(J$3&gt;=Blocks!$C$5,Blocks!$B$5*LOOKUP(J$3-Blocks!$C$5,Yield!$A$2:$A$9,Yield!$B$2:$B$9),0)</f>
        <v>0</v>
      </c>
      <c r="K7" s="0" t="n">
        <f aca="false">IF(K$3&gt;=Blocks!$C$5,Blocks!$B$5*LOOKUP(K$3-Blocks!$C$5,Yield!$A$2:$A$9,Yield!$B$2:$B$9),0)</f>
        <v>0</v>
      </c>
      <c r="L7" s="0" t="n">
        <f aca="false">IF(L$3&gt;=Blocks!$C$5,Blocks!$B$5*LOOKUP(L$3-Blocks!$C$5,Yield!$A$2:$A$9,Yield!$B$2:$B$9),0)</f>
        <v>0</v>
      </c>
      <c r="M7" s="0" t="n">
        <f aca="false">IF(M$3&gt;=Blocks!$C$5,Blocks!$B$5*LOOKUP(M$3-Blocks!$C$5,Yield!$A$2:$A$9,Yield!$B$2:$B$9),0)</f>
        <v>232000</v>
      </c>
      <c r="N7" s="0" t="n">
        <f aca="false">IF(N$3&gt;=Blocks!$C$5,Blocks!$B$5*LOOKUP(N$3-Blocks!$C$5,Yield!$A$2:$A$9,Yield!$B$2:$B$9),0)</f>
        <v>232000</v>
      </c>
      <c r="O7" s="0" t="n">
        <f aca="false">IF(O$3&gt;=Blocks!$C$5,Blocks!$B$5*LOOKUP(O$3-Blocks!$C$5,Yield!$A$2:$A$9,Yield!$B$2:$B$9),0)</f>
        <v>725000</v>
      </c>
      <c r="P7" s="0" t="n">
        <f aca="false">IF(P$3&gt;=Blocks!$C$5,Blocks!$B$5*LOOKUP(P$3-Blocks!$C$5,Yield!$A$2:$A$9,Yield!$B$2:$B$9),0)</f>
        <v>725000</v>
      </c>
      <c r="Q7" s="0" t="n">
        <f aca="false">IF(Q$3&gt;=Blocks!$C$5,Blocks!$B$5*LOOKUP(Q$3-Blocks!$C$5,Yield!$A$2:$A$9,Yield!$B$2:$B$9),0)</f>
        <v>1305000</v>
      </c>
      <c r="R7" s="0" t="n">
        <f aca="false">IF(R$3&gt;=Blocks!$C$5,Blocks!$B$5*LOOKUP(R$3-Blocks!$C$5,Yield!$A$2:$A$9,Yield!$B$2:$B$9),0)</f>
        <v>1305000</v>
      </c>
      <c r="S7" s="0" t="n">
        <f aca="false">IF(S$3&gt;=Blocks!$C$5,Blocks!$B$5*LOOKUP(S$3-Blocks!$C$5,Yield!$A$2:$A$9,Yield!$B$2:$B$9),0)</f>
        <v>2030000</v>
      </c>
      <c r="T7" s="0" t="n">
        <f aca="false">IF(T$3&gt;=Blocks!$C$5,Blocks!$B$5*LOOKUP(T$3-Blocks!$C$5,Yield!$A$2:$A$9,Yield!$B$2:$B$9),0)</f>
        <v>2030000</v>
      </c>
      <c r="U7" s="0" t="n">
        <f aca="false">IF(U$3&gt;=Blocks!$C$5,Blocks!$B$5*LOOKUP(U$3-Blocks!$C$5,Yield!$A$2:$A$9,Yield!$B$2:$B$9),0)</f>
        <v>2030000</v>
      </c>
      <c r="V7" s="0" t="n">
        <f aca="false">IF(V$3&gt;=Blocks!$C$5,Blocks!$B$5*LOOKUP(V$3-Blocks!$C$5,Yield!$A$2:$A$9,Yield!$B$2:$B$9),0)</f>
        <v>2030000</v>
      </c>
      <c r="W7" s="0" t="n">
        <f aca="false">IF(W$3&gt;=Blocks!$C$5,Blocks!$B$5*LOOKUP(W$3-Blocks!$C$5,Yield!$A$2:$A$9,Yield!$B$2:$B$9),0)</f>
        <v>2030000</v>
      </c>
      <c r="X7" s="0" t="n">
        <f aca="false">IF(X$3&gt;=Blocks!$C$5,Blocks!$B$5*LOOKUP(X$3-Blocks!$C$5,Yield!$A$2:$A$9,Yield!$B$2:$B$9),0)</f>
        <v>2465000</v>
      </c>
      <c r="Y7" s="0" t="n">
        <f aca="false">IF(Y$3&gt;=Blocks!$C$5,Blocks!$B$5*LOOKUP(Y$3-Blocks!$C$5,Yield!$A$2:$A$9,Yield!$B$2:$B$9),0)</f>
        <v>2465000</v>
      </c>
      <c r="Z7" s="0" t="n">
        <f aca="false">IF(Z$3&gt;=Blocks!$C$5,Blocks!$B$5*LOOKUP(Z$3-Blocks!$C$5,Yield!$A$2:$A$9,Yield!$B$2:$B$9),0)</f>
        <v>2465000</v>
      </c>
      <c r="AA7" s="0" t="n">
        <f aca="false">IF(AA$3&gt;=Blocks!$C$5,Blocks!$B$5*LOOKUP(AA$3-Blocks!$C$5,Yield!$A$2:$A$9,Yield!$B$2:$B$9),0)</f>
        <v>2465000</v>
      </c>
      <c r="AB7" s="0" t="n">
        <f aca="false">IF(AB$3&gt;=Blocks!$C$5,Blocks!$B$5*LOOKUP(AB$3-Blocks!$C$5,Yield!$A$2:$A$9,Yield!$B$2:$B$9),0)</f>
        <v>2465000</v>
      </c>
      <c r="AC7" s="0" t="n">
        <f aca="false">IF(AC$3&gt;=Blocks!$C$5,Blocks!$B$5*LOOKUP(AC$3-Blocks!$C$5,Yield!$A$2:$A$9,Yield!$B$2:$B$9),0)</f>
        <v>2465000</v>
      </c>
      <c r="AD7" s="0" t="n">
        <f aca="false">IF(AD$3&gt;=Blocks!$C$5,Blocks!$B$5*LOOKUP(AD$3-Blocks!$C$5,Yield!$A$2:$A$9,Yield!$B$2:$B$9),0)</f>
        <v>2465000</v>
      </c>
      <c r="AE7" s="0" t="n">
        <f aca="false">IF(AE$3&gt;=Blocks!$C$5,Blocks!$B$5*LOOKUP(AE$3-Blocks!$C$5,Yield!$A$2:$A$9,Yield!$B$2:$B$9),0)</f>
        <v>2465000</v>
      </c>
      <c r="AF7" s="0" t="n">
        <f aca="false">IF(AF$3&gt;=Blocks!$C$5,Blocks!$B$5*LOOKUP(AF$3-Blocks!$C$5,Yield!$A$2:$A$9,Yield!$B$2:$B$9),0)</f>
        <v>2465000</v>
      </c>
    </row>
    <row r="8" customFormat="false" ht="15" hidden="false" customHeight="false" outlineLevel="0" collapsed="false">
      <c r="A8" s="0" t="s">
        <v>27</v>
      </c>
      <c r="B8" s="0" t="n">
        <f aca="false">IF(B$3&gt;=Blocks!$C$2,Blocks!$B$2,0)+IF(B$3&gt;=Blocks!$C$3,Blocks!$B$3,0)+IF(B$3&gt;=Blocks!$C$4,Blocks!$B$4,0)+IF(B$3&gt;=Blocks!$C$5,Blocks!$B$5,0)</f>
        <v>42000</v>
      </c>
      <c r="C8" s="0" t="n">
        <f aca="false">IF(C$3&gt;=Blocks!$C$2,Blocks!$B$2,0)+IF(C$3&gt;=Blocks!$C$3,Blocks!$B$3,0)+IF(C$3&gt;=Blocks!$C$4,Blocks!$B$4,0)+IF(C$3&gt;=Blocks!$C$5,Blocks!$B$5,0)</f>
        <v>42000</v>
      </c>
      <c r="D8" s="0" t="n">
        <f aca="false">IF(D$3&gt;=Blocks!$C$2,Blocks!$B$2,0)+IF(D$3&gt;=Blocks!$C$3,Blocks!$B$3,0)+IF(D$3&gt;=Blocks!$C$4,Blocks!$B$4,0)+IF(D$3&gt;=Blocks!$C$5,Blocks!$B$5,0)</f>
        <v>80000</v>
      </c>
      <c r="E8" s="0" t="n">
        <f aca="false">IF(E$3&gt;=Blocks!$C$2,Blocks!$B$2,0)+IF(E$3&gt;=Blocks!$C$3,Blocks!$B$3,0)+IF(E$3&gt;=Blocks!$C$4,Blocks!$B$4,0)+IF(E$3&gt;=Blocks!$C$5,Blocks!$B$5,0)</f>
        <v>80000</v>
      </c>
      <c r="F8" s="0" t="n">
        <f aca="false">IF(F$3&gt;=Blocks!$C$2,Blocks!$B$2,0)+IF(F$3&gt;=Blocks!$C$3,Blocks!$B$3,0)+IF(F$3&gt;=Blocks!$C$4,Blocks!$B$4,0)+IF(F$3&gt;=Blocks!$C$5,Blocks!$B$5,0)</f>
        <v>131000</v>
      </c>
      <c r="G8" s="0" t="n">
        <f aca="false">IF(G$3&gt;=Blocks!$C$2,Blocks!$B$2,0)+IF(G$3&gt;=Blocks!$C$3,Blocks!$B$3,0)+IF(G$3&gt;=Blocks!$C$4,Blocks!$B$4,0)+IF(G$3&gt;=Blocks!$C$5,Blocks!$B$5,0)</f>
        <v>131000</v>
      </c>
      <c r="H8" s="0" t="n">
        <f aca="false">IF(H$3&gt;=Blocks!$C$2,Blocks!$B$2,0)+IF(H$3&gt;=Blocks!$C$3,Blocks!$B$3,0)+IF(H$3&gt;=Blocks!$C$4,Blocks!$B$4,0)+IF(H$3&gt;=Blocks!$C$5,Blocks!$B$5,0)</f>
        <v>131000</v>
      </c>
      <c r="I8" s="0" t="n">
        <f aca="false">IF(I$3&gt;=Blocks!$C$2,Blocks!$B$2,0)+IF(I$3&gt;=Blocks!$C$3,Blocks!$B$3,0)+IF(I$3&gt;=Blocks!$C$4,Blocks!$B$4,0)+IF(I$3&gt;=Blocks!$C$5,Blocks!$B$5,0)</f>
        <v>160000</v>
      </c>
      <c r="J8" s="0" t="n">
        <f aca="false">IF(J$3&gt;=Blocks!$C$2,Blocks!$B$2,0)+IF(J$3&gt;=Blocks!$C$3,Blocks!$B$3,0)+IF(J$3&gt;=Blocks!$C$4,Blocks!$B$4,0)+IF(J$3&gt;=Blocks!$C$5,Blocks!$B$5,0)</f>
        <v>160000</v>
      </c>
      <c r="K8" s="0" t="n">
        <f aca="false">IF(K$3&gt;=Blocks!$C$2,Blocks!$B$2,0)+IF(K$3&gt;=Blocks!$C$3,Blocks!$B$3,0)+IF(K$3&gt;=Blocks!$C$4,Blocks!$B$4,0)+IF(K$3&gt;=Blocks!$C$5,Blocks!$B$5,0)</f>
        <v>160000</v>
      </c>
      <c r="L8" s="0" t="n">
        <f aca="false">IF(L$3&gt;=Blocks!$C$2,Blocks!$B$2,0)+IF(L$3&gt;=Blocks!$C$3,Blocks!$B$3,0)+IF(L$3&gt;=Blocks!$C$4,Blocks!$B$4,0)+IF(L$3&gt;=Blocks!$C$5,Blocks!$B$5,0)</f>
        <v>160000</v>
      </c>
      <c r="M8" s="0" t="n">
        <f aca="false">IF(M$3&gt;=Blocks!$C$2,Blocks!$B$2,0)+IF(M$3&gt;=Blocks!$C$3,Blocks!$B$3,0)+IF(M$3&gt;=Blocks!$C$4,Blocks!$B$4,0)+IF(M$3&gt;=Blocks!$C$5,Blocks!$B$5,0)</f>
        <v>160000</v>
      </c>
      <c r="N8" s="0" t="n">
        <f aca="false">IF(N$3&gt;=Blocks!$C$2,Blocks!$B$2,0)+IF(N$3&gt;=Blocks!$C$3,Blocks!$B$3,0)+IF(N$3&gt;=Blocks!$C$4,Blocks!$B$4,0)+IF(N$3&gt;=Blocks!$C$5,Blocks!$B$5,0)</f>
        <v>160000</v>
      </c>
      <c r="O8" s="0" t="n">
        <f aca="false">IF(O$3&gt;=Blocks!$C$2,Blocks!$B$2,0)+IF(O$3&gt;=Blocks!$C$3,Blocks!$B$3,0)+IF(O$3&gt;=Blocks!$C$4,Blocks!$B$4,0)+IF(O$3&gt;=Blocks!$C$5,Blocks!$B$5,0)</f>
        <v>160000</v>
      </c>
      <c r="P8" s="0" t="n">
        <f aca="false">IF(P$3&gt;=Blocks!$C$2,Blocks!$B$2,0)+IF(P$3&gt;=Blocks!$C$3,Blocks!$B$3,0)+IF(P$3&gt;=Blocks!$C$4,Blocks!$B$4,0)+IF(P$3&gt;=Blocks!$C$5,Blocks!$B$5,0)</f>
        <v>160000</v>
      </c>
      <c r="Q8" s="0" t="n">
        <f aca="false">IF(Q$3&gt;=Blocks!$C$2,Blocks!$B$2,0)+IF(Q$3&gt;=Blocks!$C$3,Blocks!$B$3,0)+IF(Q$3&gt;=Blocks!$C$4,Blocks!$B$4,0)+IF(Q$3&gt;=Blocks!$C$5,Blocks!$B$5,0)</f>
        <v>160000</v>
      </c>
      <c r="R8" s="0" t="n">
        <f aca="false">IF(R$3&gt;=Blocks!$C$2,Blocks!$B$2,0)+IF(R$3&gt;=Blocks!$C$3,Blocks!$B$3,0)+IF(R$3&gt;=Blocks!$C$4,Blocks!$B$4,0)+IF(R$3&gt;=Blocks!$C$5,Blocks!$B$5,0)</f>
        <v>160000</v>
      </c>
      <c r="S8" s="0" t="n">
        <f aca="false">IF(S$3&gt;=Blocks!$C$2,Blocks!$B$2,0)+IF(S$3&gt;=Blocks!$C$3,Blocks!$B$3,0)+IF(S$3&gt;=Blocks!$C$4,Blocks!$B$4,0)+IF(S$3&gt;=Blocks!$C$5,Blocks!$B$5,0)</f>
        <v>160000</v>
      </c>
      <c r="T8" s="0" t="n">
        <f aca="false">IF(T$3&gt;=Blocks!$C$2,Blocks!$B$2,0)+IF(T$3&gt;=Blocks!$C$3,Blocks!$B$3,0)+IF(T$3&gt;=Blocks!$C$4,Blocks!$B$4,0)+IF(T$3&gt;=Blocks!$C$5,Blocks!$B$5,0)</f>
        <v>160000</v>
      </c>
      <c r="U8" s="0" t="n">
        <f aca="false">IF(U$3&gt;=Blocks!$C$2,Blocks!$B$2,0)+IF(U$3&gt;=Blocks!$C$3,Blocks!$B$3,0)+IF(U$3&gt;=Blocks!$C$4,Blocks!$B$4,0)+IF(U$3&gt;=Blocks!$C$5,Blocks!$B$5,0)</f>
        <v>160000</v>
      </c>
      <c r="V8" s="0" t="n">
        <f aca="false">IF(V$3&gt;=Blocks!$C$2,Blocks!$B$2,0)+IF(V$3&gt;=Blocks!$C$3,Blocks!$B$3,0)+IF(V$3&gt;=Blocks!$C$4,Blocks!$B$4,0)+IF(V$3&gt;=Blocks!$C$5,Blocks!$B$5,0)</f>
        <v>160000</v>
      </c>
      <c r="W8" s="0" t="n">
        <f aca="false">IF(W$3&gt;=Blocks!$C$2,Blocks!$B$2,0)+IF(W$3&gt;=Blocks!$C$3,Blocks!$B$3,0)+IF(W$3&gt;=Blocks!$C$4,Blocks!$B$4,0)+IF(W$3&gt;=Blocks!$C$5,Blocks!$B$5,0)</f>
        <v>160000</v>
      </c>
      <c r="X8" s="0" t="n">
        <f aca="false">IF(X$3&gt;=Blocks!$C$2,Blocks!$B$2,0)+IF(X$3&gt;=Blocks!$C$3,Blocks!$B$3,0)+IF(X$3&gt;=Blocks!$C$4,Blocks!$B$4,0)+IF(X$3&gt;=Blocks!$C$5,Blocks!$B$5,0)</f>
        <v>160000</v>
      </c>
      <c r="Y8" s="0" t="n">
        <f aca="false">IF(Y$3&gt;=Blocks!$C$2,Blocks!$B$2,0)+IF(Y$3&gt;=Blocks!$C$3,Blocks!$B$3,0)+IF(Y$3&gt;=Blocks!$C$4,Blocks!$B$4,0)+IF(Y$3&gt;=Blocks!$C$5,Blocks!$B$5,0)</f>
        <v>160000</v>
      </c>
      <c r="Z8" s="0" t="n">
        <f aca="false">IF(Z$3&gt;=Blocks!$C$2,Blocks!$B$2,0)+IF(Z$3&gt;=Blocks!$C$3,Blocks!$B$3,0)+IF(Z$3&gt;=Blocks!$C$4,Blocks!$B$4,0)+IF(Z$3&gt;=Blocks!$C$5,Blocks!$B$5,0)</f>
        <v>160000</v>
      </c>
      <c r="AA8" s="0" t="n">
        <f aca="false">IF(AA$3&gt;=Blocks!$C$2,Blocks!$B$2,0)+IF(AA$3&gt;=Blocks!$C$3,Blocks!$B$3,0)+IF(AA$3&gt;=Blocks!$C$4,Blocks!$B$4,0)+IF(AA$3&gt;=Blocks!$C$5,Blocks!$B$5,0)</f>
        <v>160000</v>
      </c>
      <c r="AB8" s="0" t="n">
        <f aca="false">IF(AB$3&gt;=Blocks!$C$2,Blocks!$B$2,0)+IF(AB$3&gt;=Blocks!$C$3,Blocks!$B$3,0)+IF(AB$3&gt;=Blocks!$C$4,Blocks!$B$4,0)+IF(AB$3&gt;=Blocks!$C$5,Blocks!$B$5,0)</f>
        <v>160000</v>
      </c>
      <c r="AC8" s="0" t="n">
        <f aca="false">IF(AC$3&gt;=Blocks!$C$2,Blocks!$B$2,0)+IF(AC$3&gt;=Blocks!$C$3,Blocks!$B$3,0)+IF(AC$3&gt;=Blocks!$C$4,Blocks!$B$4,0)+IF(AC$3&gt;=Blocks!$C$5,Blocks!$B$5,0)</f>
        <v>160000</v>
      </c>
      <c r="AD8" s="0" t="n">
        <f aca="false">IF(AD$3&gt;=Blocks!$C$2,Blocks!$B$2,0)+IF(AD$3&gt;=Blocks!$C$3,Blocks!$B$3,0)+IF(AD$3&gt;=Blocks!$C$4,Blocks!$B$4,0)+IF(AD$3&gt;=Blocks!$C$5,Blocks!$B$5,0)</f>
        <v>160000</v>
      </c>
      <c r="AE8" s="0" t="n">
        <f aca="false">IF(AE$3&gt;=Blocks!$C$2,Blocks!$B$2,0)+IF(AE$3&gt;=Blocks!$C$3,Blocks!$B$3,0)+IF(AE$3&gt;=Blocks!$C$4,Blocks!$B$4,0)+IF(AE$3&gt;=Blocks!$C$5,Blocks!$B$5,0)</f>
        <v>160000</v>
      </c>
      <c r="AF8" s="0" t="n">
        <f aca="false">IF(AF$3&gt;=Blocks!$C$2,Blocks!$B$2,0)+IF(AF$3&gt;=Blocks!$C$3,Blocks!$B$3,0)+IF(AF$3&gt;=Blocks!$C$4,Blocks!$B$4,0)+IF(AF$3&gt;=Blocks!$C$5,Blocks!$B$5,0)</f>
        <v>160000</v>
      </c>
    </row>
    <row r="9" customFormat="false" ht="15" hidden="false" customHeight="false" outlineLevel="0" collapsed="false">
      <c r="A9" s="0" t="s">
        <v>28</v>
      </c>
      <c r="B9" s="0" t="n">
        <f aca="false">(B4+B5+B6+B7)/1000</f>
        <v>0</v>
      </c>
      <c r="C9" s="0" t="n">
        <f aca="false">(C4+C5+C6+C7)/1000</f>
        <v>0</v>
      </c>
      <c r="D9" s="0" t="n">
        <f aca="false">(D4+D5+D6+D7)/1000</f>
        <v>0</v>
      </c>
      <c r="E9" s="0" t="n">
        <f aca="false">(E4+E5+E6+E7)/1000</f>
        <v>0</v>
      </c>
      <c r="F9" s="0" t="n">
        <f aca="false">(F4+F5+F6+F7)/1000</f>
        <v>336</v>
      </c>
      <c r="G9" s="0" t="n">
        <f aca="false">(G4+G5+G6+G7)/1000</f>
        <v>336</v>
      </c>
      <c r="H9" s="0" t="n">
        <f aca="false">(H4+H5+H6+H7)/1000</f>
        <v>1354</v>
      </c>
      <c r="I9" s="0" t="n">
        <f aca="false">(I4+I5+I6+I7)/1000</f>
        <v>1354</v>
      </c>
      <c r="J9" s="0" t="n">
        <f aca="false">(J4+J5+J6+J7)/1000</f>
        <v>3248</v>
      </c>
      <c r="K9" s="0" t="n">
        <f aca="false">(K4+K5+K6+K7)/1000</f>
        <v>3248</v>
      </c>
      <c r="L9" s="0" t="n">
        <f aca="false">(L4+L5+L6+L7)/1000</f>
        <v>5925</v>
      </c>
      <c r="M9" s="0" t="n">
        <f aca="false">(M4+M5+M6+M7)/1000</f>
        <v>6157</v>
      </c>
      <c r="N9" s="0" t="n">
        <f aca="false">(N4+N5+N6+N7)/1000</f>
        <v>8127</v>
      </c>
      <c r="O9" s="0" t="n">
        <f aca="false">(O4+O5+O6+O7)/1000</f>
        <v>8620</v>
      </c>
      <c r="P9" s="0" t="n">
        <f aca="false">(P4+P5+P6+P7)/1000</f>
        <v>9895</v>
      </c>
      <c r="Q9" s="0" t="n">
        <f aca="false">(Q4+Q5+Q6+Q7)/1000</f>
        <v>11105</v>
      </c>
      <c r="R9" s="0" t="n">
        <f aca="false">(R4+R5+R6+R7)/1000</f>
        <v>11105</v>
      </c>
      <c r="S9" s="0" t="n">
        <f aca="false">(S4+S5+S6+S7)/1000</f>
        <v>12400</v>
      </c>
      <c r="T9" s="0" t="n">
        <f aca="false">(T4+T5+T6+T7)/1000</f>
        <v>12400</v>
      </c>
      <c r="U9" s="0" t="n">
        <f aca="false">(U4+U5+U6+U7)/1000</f>
        <v>13165</v>
      </c>
      <c r="V9" s="0" t="n">
        <f aca="false">(V4+V5+V6+V7)/1000</f>
        <v>13165</v>
      </c>
      <c r="W9" s="0" t="n">
        <f aca="false">(W4+W5+W6+W7)/1000</f>
        <v>13165</v>
      </c>
      <c r="X9" s="0" t="n">
        <f aca="false">(X4+X5+X6+X7)/1000</f>
        <v>13600</v>
      </c>
      <c r="Y9" s="0" t="n">
        <f aca="false">(Y4+Y5+Y6+Y7)/1000</f>
        <v>13600</v>
      </c>
      <c r="Z9" s="0" t="n">
        <f aca="false">(Z4+Z5+Z6+Z7)/1000</f>
        <v>13600</v>
      </c>
      <c r="AA9" s="0" t="n">
        <f aca="false">(AA4+AA5+AA6+AA7)/1000</f>
        <v>13180</v>
      </c>
      <c r="AB9" s="0" t="n">
        <f aca="false">(AB4+AB5+AB6+AB7)/1000</f>
        <v>13180</v>
      </c>
      <c r="AC9" s="0" t="n">
        <f aca="false">(AC4+AC5+AC6+AC7)/1000</f>
        <v>12800</v>
      </c>
      <c r="AD9" s="0" t="n">
        <f aca="false">(AD4+AD5+AD6+AD7)/1000</f>
        <v>12800</v>
      </c>
      <c r="AE9" s="0" t="n">
        <f aca="false">(AE4+AE5+AE6+AE7)/1000</f>
        <v>12290</v>
      </c>
      <c r="AF9" s="0" t="n">
        <f aca="false">(AF4+AF5+AF6+AF7)/1000</f>
        <v>12290</v>
      </c>
    </row>
    <row r="10" customFormat="false" ht="15" hidden="false" customHeight="false" outlineLevel="0" collapsed="false">
      <c r="A10" s="0" t="s">
        <v>29</v>
      </c>
      <c r="B10" s="0" t="n">
        <f aca="false">(1+Inputs!$B$6)^B$3</f>
        <v>1</v>
      </c>
      <c r="C10" s="0" t="n">
        <f aca="false">(1+Inputs!$B$6)^C$3</f>
        <v>1.02</v>
      </c>
      <c r="D10" s="0" t="n">
        <f aca="false">(1+Inputs!$B$6)^D$3</f>
        <v>1.0404</v>
      </c>
      <c r="E10" s="0" t="n">
        <f aca="false">(1+Inputs!$B$6)^E$3</f>
        <v>1.061208</v>
      </c>
      <c r="F10" s="0" t="n">
        <f aca="false">(1+Inputs!$B$6)^F$3</f>
        <v>1.08243216</v>
      </c>
      <c r="G10" s="0" t="n">
        <f aca="false">(1+Inputs!$B$6)^G$3</f>
        <v>1.1040808032</v>
      </c>
      <c r="H10" s="0" t="n">
        <f aca="false">(1+Inputs!$B$6)^H$3</f>
        <v>1.126162419264</v>
      </c>
      <c r="I10" s="0" t="n">
        <f aca="false">(1+Inputs!$B$6)^I$3</f>
        <v>1.14868566764928</v>
      </c>
      <c r="J10" s="0" t="n">
        <f aca="false">(1+Inputs!$B$6)^J$3</f>
        <v>1.17165938100227</v>
      </c>
      <c r="K10" s="0" t="n">
        <f aca="false">(1+Inputs!$B$6)^K$3</f>
        <v>1.19509256862231</v>
      </c>
      <c r="L10" s="0" t="n">
        <f aca="false">(1+Inputs!$B$6)^L$3</f>
        <v>1.21899441999476</v>
      </c>
      <c r="M10" s="0" t="n">
        <f aca="false">(1+Inputs!$B$6)^M$3</f>
        <v>1.24337430839465</v>
      </c>
      <c r="N10" s="0" t="n">
        <f aca="false">(1+Inputs!$B$6)^N$3</f>
        <v>1.26824179456255</v>
      </c>
      <c r="O10" s="0" t="n">
        <f aca="false">(1+Inputs!$B$6)^O$3</f>
        <v>1.2936066304538</v>
      </c>
      <c r="P10" s="0" t="n">
        <f aca="false">(1+Inputs!$B$6)^P$3</f>
        <v>1.31947876306287</v>
      </c>
      <c r="Q10" s="0" t="n">
        <f aca="false">(1+Inputs!$B$6)^Q$3</f>
        <v>1.34586833832413</v>
      </c>
      <c r="R10" s="0" t="n">
        <f aca="false">(1+Inputs!$B$6)^R$3</f>
        <v>1.37278570509061</v>
      </c>
      <c r="S10" s="0" t="n">
        <f aca="false">(1+Inputs!$B$6)^S$3</f>
        <v>1.40024141919242</v>
      </c>
      <c r="T10" s="0" t="n">
        <f aca="false">(1+Inputs!$B$6)^T$3</f>
        <v>1.42824624757627</v>
      </c>
      <c r="U10" s="0" t="n">
        <f aca="false">(1+Inputs!$B$6)^U$3</f>
        <v>1.4568111725278</v>
      </c>
      <c r="V10" s="0" t="n">
        <f aca="false">(1+Inputs!$B$6)^V$3</f>
        <v>1.48594739597836</v>
      </c>
      <c r="W10" s="0" t="n">
        <f aca="false">(1+Inputs!$B$6)^W$3</f>
        <v>1.51566634389792</v>
      </c>
      <c r="X10" s="0" t="n">
        <f aca="false">(1+Inputs!$B$6)^X$3</f>
        <v>1.54597967077588</v>
      </c>
      <c r="Y10" s="0" t="n">
        <f aca="false">(1+Inputs!$B$6)^Y$3</f>
        <v>1.5768992641914</v>
      </c>
      <c r="Z10" s="0" t="n">
        <f aca="false">(1+Inputs!$B$6)^Z$3</f>
        <v>1.60843724947523</v>
      </c>
      <c r="AA10" s="0" t="n">
        <f aca="false">(1+Inputs!$B$6)^AA$3</f>
        <v>1.64060599446473</v>
      </c>
      <c r="AB10" s="0" t="n">
        <f aca="false">(1+Inputs!$B$6)^AB$3</f>
        <v>1.67341811435403</v>
      </c>
      <c r="AC10" s="0" t="n">
        <f aca="false">(1+Inputs!$B$6)^AC$3</f>
        <v>1.70688647664111</v>
      </c>
      <c r="AD10" s="0" t="n">
        <f aca="false">(1+Inputs!$B$6)^AD$3</f>
        <v>1.74102420617393</v>
      </c>
      <c r="AE10" s="0" t="n">
        <f aca="false">(1+Inputs!$B$6)^AE$3</f>
        <v>1.77584469029741</v>
      </c>
      <c r="AF10" s="0" t="n">
        <f aca="false">(1+Inputs!$B$6)^AF$3</f>
        <v>1.81136158410335</v>
      </c>
    </row>
    <row r="11" customFormat="false" ht="15" hidden="false" customHeight="false" outlineLevel="0" collapsed="false">
      <c r="A11" s="0" t="s">
        <v>30</v>
      </c>
      <c r="B11" s="0" t="n">
        <f aca="false">B9*Inputs!$B$3*B10*(Inputs!$B$5+(1-Inputs!$B$5)*(1-Inputs!$B$4))</f>
        <v>0</v>
      </c>
      <c r="C11" s="0" t="n">
        <f aca="false">C9*Inputs!$B$3*C10*(Inputs!$B$5+(1-Inputs!$B$5)*(1-Inputs!$B$4))</f>
        <v>0</v>
      </c>
      <c r="D11" s="0" t="n">
        <f aca="false">D9*Inputs!$B$3*D10*(Inputs!$B$5+(1-Inputs!$B$5)*(1-Inputs!$B$4))</f>
        <v>0</v>
      </c>
      <c r="E11" s="0" t="n">
        <f aca="false">E9*Inputs!$B$3*E10*(Inputs!$B$5+(1-Inputs!$B$5)*(1-Inputs!$B$4))</f>
        <v>0</v>
      </c>
      <c r="F11" s="0" t="n">
        <f aca="false">F9*Inputs!$B$3*F10*(Inputs!$B$5+(1-Inputs!$B$5)*(1-Inputs!$B$4))</f>
        <v>4443015.9898656</v>
      </c>
      <c r="G11" s="0" t="n">
        <f aca="false">G9*Inputs!$B$3*G10*(Inputs!$B$5+(1-Inputs!$B$5)*(1-Inputs!$B$4))</f>
        <v>4531876.30966291</v>
      </c>
      <c r="H11" s="0" t="n">
        <f aca="false">H9*Inputs!$B$3*H10*(Inputs!$B$5+(1-Inputs!$B$5)*(1-Inputs!$B$4))</f>
        <v>18627630.159968</v>
      </c>
      <c r="I11" s="0" t="n">
        <f aca="false">I9*Inputs!$B$3*I10*(Inputs!$B$5+(1-Inputs!$B$5)*(1-Inputs!$B$4))</f>
        <v>19000182.7631674</v>
      </c>
      <c r="J11" s="0" t="n">
        <f aca="false">J9*Inputs!$B$3*J10*(Inputs!$B$5+(1-Inputs!$B$5)*(1-Inputs!$B$4))</f>
        <v>46489546.1499727</v>
      </c>
      <c r="K11" s="0" t="n">
        <f aca="false">K9*Inputs!$B$3*K10*(Inputs!$B$5+(1-Inputs!$B$5)*(1-Inputs!$B$4))</f>
        <v>47419337.0729721</v>
      </c>
      <c r="L11" s="0" t="n">
        <f aca="false">L9*Inputs!$B$3*L10*(Inputs!$B$5+(1-Inputs!$B$5)*(1-Inputs!$B$4))</f>
        <v>88232377.9558212</v>
      </c>
      <c r="M11" s="0" t="n">
        <f aca="false">M9*Inputs!$B$3*M10*(Inputs!$B$5+(1-Inputs!$B$5)*(1-Inputs!$B$4))</f>
        <v>93520959.6785605</v>
      </c>
      <c r="N11" s="0" t="n">
        <f aca="false">N9*Inputs!$B$3*N10*(Inputs!$B$5+(1-Inputs!$B$5)*(1-Inputs!$B$4))</f>
        <v>125912901.753096</v>
      </c>
      <c r="O11" s="0" t="n">
        <f aca="false">O9*Inputs!$B$3*O10*(Inputs!$B$5+(1-Inputs!$B$5)*(1-Inputs!$B$4))</f>
        <v>136222049.633804</v>
      </c>
      <c r="P11" s="0" t="n">
        <f aca="false">P9*Inputs!$B$3*P10*(Inputs!$B$5+(1-Inputs!$B$5)*(1-Inputs!$B$4))</f>
        <v>159498320.736545</v>
      </c>
      <c r="Q11" s="0" t="n">
        <f aca="false">Q9*Inputs!$B$3*Q10*(Inputs!$B$5+(1-Inputs!$B$5)*(1-Inputs!$B$4))</f>
        <v>182582458.697819</v>
      </c>
      <c r="R11" s="0" t="n">
        <f aca="false">R9*Inputs!$B$3*R10*(Inputs!$B$5+(1-Inputs!$B$5)*(1-Inputs!$B$4))</f>
        <v>186234107.871776</v>
      </c>
      <c r="S11" s="0" t="n">
        <f aca="false">S9*Inputs!$B$3*S10*(Inputs!$B$5+(1-Inputs!$B$5)*(1-Inputs!$B$4))</f>
        <v>212110670.541397</v>
      </c>
      <c r="T11" s="0" t="n">
        <f aca="false">T9*Inputs!$B$3*T10*(Inputs!$B$5+(1-Inputs!$B$5)*(1-Inputs!$B$4))</f>
        <v>216352883.952225</v>
      </c>
      <c r="U11" s="0" t="n">
        <f aca="false">U9*Inputs!$B$3*U10*(Inputs!$B$5+(1-Inputs!$B$5)*(1-Inputs!$B$4))</f>
        <v>234294470.28836</v>
      </c>
      <c r="V11" s="0" t="n">
        <f aca="false">V9*Inputs!$B$3*V10*(Inputs!$B$5+(1-Inputs!$B$5)*(1-Inputs!$B$4))</f>
        <v>238980359.694127</v>
      </c>
      <c r="W11" s="0" t="n">
        <f aca="false">W9*Inputs!$B$3*W10*(Inputs!$B$5+(1-Inputs!$B$5)*(1-Inputs!$B$4))</f>
        <v>243759966.88801</v>
      </c>
      <c r="X11" s="0" t="n">
        <f aca="false">X9*Inputs!$B$3*X10*(Inputs!$B$5+(1-Inputs!$B$5)*(1-Inputs!$B$4))</f>
        <v>256850608.482376</v>
      </c>
      <c r="Y11" s="0" t="n">
        <f aca="false">Y9*Inputs!$B$3*Y10*(Inputs!$B$5+(1-Inputs!$B$5)*(1-Inputs!$B$4))</f>
        <v>261987620.652023</v>
      </c>
      <c r="Z11" s="0" t="n">
        <f aca="false">Z9*Inputs!$B$3*Z10*(Inputs!$B$5+(1-Inputs!$B$5)*(1-Inputs!$B$4))</f>
        <v>267227373.065064</v>
      </c>
      <c r="AA11" s="0" t="n">
        <f aca="false">AA9*Inputs!$B$3*AA10*(Inputs!$B$5+(1-Inputs!$B$5)*(1-Inputs!$B$4))</f>
        <v>264154258.274815</v>
      </c>
      <c r="AB11" s="0" t="n">
        <f aca="false">AB9*Inputs!$B$3*AB10*(Inputs!$B$5+(1-Inputs!$B$5)*(1-Inputs!$B$4))</f>
        <v>269437343.440312</v>
      </c>
      <c r="AC11" s="0" t="n">
        <f aca="false">AC9*Inputs!$B$3*AC10*(Inputs!$B$5+(1-Inputs!$B$5)*(1-Inputs!$B$4))</f>
        <v>266902424.579416</v>
      </c>
      <c r="AD11" s="0" t="n">
        <f aca="false">AD9*Inputs!$B$3*AD10*(Inputs!$B$5+(1-Inputs!$B$5)*(1-Inputs!$B$4))</f>
        <v>272240473.071005</v>
      </c>
      <c r="AE11" s="0" t="n">
        <f aca="false">AE9*Inputs!$B$3*AE10*(Inputs!$B$5+(1-Inputs!$B$5)*(1-Inputs!$B$4))</f>
        <v>266621259.556524</v>
      </c>
      <c r="AF11" s="0" t="n">
        <f aca="false">AF9*Inputs!$B$3*AF10*(Inputs!$B$5+(1-Inputs!$B$5)*(1-Inputs!$B$4))</f>
        <v>271953684.747654</v>
      </c>
    </row>
    <row r="12" customFormat="false" ht="15" hidden="false" customHeight="false" outlineLevel="0" collapsed="false">
      <c r="A12" s="0" t="s">
        <v>31</v>
      </c>
      <c r="B12" s="0" t="n">
        <f aca="false">B8*(Inputs!$B$7+Inputs!$B$8)*(1+Inputs!$B$9)^B$3</f>
        <v>9870000</v>
      </c>
      <c r="C12" s="0" t="n">
        <f aca="false">C8*(Inputs!$B$7+Inputs!$B$8)*(1+Inputs!$B$9)^C$3</f>
        <v>10166100</v>
      </c>
      <c r="D12" s="0" t="n">
        <f aca="false">D8*(Inputs!$B$7+Inputs!$B$8)*(1+Inputs!$B$9)^D$3</f>
        <v>19944920</v>
      </c>
      <c r="E12" s="0" t="n">
        <f aca="false">E8*(Inputs!$B$7+Inputs!$B$8)*(1+Inputs!$B$9)^E$3</f>
        <v>20543267.6</v>
      </c>
      <c r="F12" s="0" t="n">
        <f aca="false">F8*(Inputs!$B$7+Inputs!$B$8)*(1+Inputs!$B$9)^F$3</f>
        <v>34648788.71585</v>
      </c>
      <c r="G12" s="0" t="n">
        <f aca="false">G8*(Inputs!$B$7+Inputs!$B$8)*(1+Inputs!$B$9)^G$3</f>
        <v>35688252.3773255</v>
      </c>
      <c r="H12" s="0" t="n">
        <f aca="false">H8*(Inputs!$B$7+Inputs!$B$8)*(1+Inputs!$B$9)^H$3</f>
        <v>36758899.9486453</v>
      </c>
      <c r="I12" s="0" t="n">
        <f aca="false">I8*(Inputs!$B$7+Inputs!$B$8)*(1+Inputs!$B$9)^I$3</f>
        <v>46243257.3399751</v>
      </c>
      <c r="J12" s="0" t="n">
        <f aca="false">J8*(Inputs!$B$7+Inputs!$B$8)*(1+Inputs!$B$9)^J$3</f>
        <v>47630555.0601744</v>
      </c>
      <c r="K12" s="0" t="n">
        <f aca="false">K8*(Inputs!$B$7+Inputs!$B$8)*(1+Inputs!$B$9)^K$3</f>
        <v>49059471.7119796</v>
      </c>
      <c r="L12" s="0" t="n">
        <f aca="false">L8*(Inputs!$B$7+Inputs!$B$8)*(1+Inputs!$B$9)^L$3</f>
        <v>50531255.863339</v>
      </c>
      <c r="M12" s="0" t="n">
        <f aca="false">M8*(Inputs!$B$7+Inputs!$B$8)*(1+Inputs!$B$9)^M$3</f>
        <v>52047193.5392392</v>
      </c>
      <c r="N12" s="0" t="n">
        <f aca="false">N8*(Inputs!$B$7+Inputs!$B$8)*(1+Inputs!$B$9)^N$3</f>
        <v>53608609.3454163</v>
      </c>
      <c r="O12" s="0" t="n">
        <f aca="false">O8*(Inputs!$B$7+Inputs!$B$8)*(1+Inputs!$B$9)^O$3</f>
        <v>55216867.6257788</v>
      </c>
      <c r="P12" s="0" t="n">
        <f aca="false">P8*(Inputs!$B$7+Inputs!$B$8)*(1+Inputs!$B$9)^P$3</f>
        <v>56873373.6545522</v>
      </c>
      <c r="Q12" s="0" t="n">
        <f aca="false">Q8*(Inputs!$B$7+Inputs!$B$8)*(1+Inputs!$B$9)^Q$3</f>
        <v>58579574.8641888</v>
      </c>
      <c r="R12" s="0" t="n">
        <f aca="false">R8*(Inputs!$B$7+Inputs!$B$8)*(1+Inputs!$B$9)^R$3</f>
        <v>60336962.1101144</v>
      </c>
      <c r="S12" s="0" t="n">
        <f aca="false">S8*(Inputs!$B$7+Inputs!$B$8)*(1+Inputs!$B$9)^S$3</f>
        <v>62147070.9734179</v>
      </c>
      <c r="T12" s="0" t="n">
        <f aca="false">T8*(Inputs!$B$7+Inputs!$B$8)*(1+Inputs!$B$9)^T$3</f>
        <v>64011483.1026204</v>
      </c>
      <c r="U12" s="0" t="n">
        <f aca="false">U8*(Inputs!$B$7+Inputs!$B$8)*(1+Inputs!$B$9)^U$3</f>
        <v>65931827.595699</v>
      </c>
      <c r="V12" s="0" t="n">
        <f aca="false">V8*(Inputs!$B$7+Inputs!$B$8)*(1+Inputs!$B$9)^V$3</f>
        <v>67909782.42357</v>
      </c>
      <c r="W12" s="0" t="n">
        <f aca="false">W8*(Inputs!$B$7+Inputs!$B$8)*(1+Inputs!$B$9)^W$3</f>
        <v>69947075.8962771</v>
      </c>
      <c r="X12" s="0" t="n">
        <f aca="false">X8*(Inputs!$B$7+Inputs!$B$8)*(1+Inputs!$B$9)^X$3</f>
        <v>72045488.1731654</v>
      </c>
      <c r="Y12" s="0" t="n">
        <f aca="false">Y8*(Inputs!$B$7+Inputs!$B$8)*(1+Inputs!$B$9)^Y$3</f>
        <v>74206852.8183604</v>
      </c>
      <c r="Z12" s="0" t="n">
        <f aca="false">Z8*(Inputs!$B$7+Inputs!$B$8)*(1+Inputs!$B$9)^Z$3</f>
        <v>76433058.4029112</v>
      </c>
      <c r="AA12" s="0" t="n">
        <f aca="false">AA8*(Inputs!$B$7+Inputs!$B$8)*(1+Inputs!$B$9)^AA$3</f>
        <v>78726050.1549985</v>
      </c>
      <c r="AB12" s="0" t="n">
        <f aca="false">AB8*(Inputs!$B$7+Inputs!$B$8)*(1+Inputs!$B$9)^AB$3</f>
        <v>81087831.6596485</v>
      </c>
      <c r="AC12" s="0" t="n">
        <f aca="false">AC8*(Inputs!$B$7+Inputs!$B$8)*(1+Inputs!$B$9)^AC$3</f>
        <v>83520466.6094379</v>
      </c>
      <c r="AD12" s="0" t="n">
        <f aca="false">AD8*(Inputs!$B$7+Inputs!$B$8)*(1+Inputs!$B$9)^AD$3</f>
        <v>86026080.6077211</v>
      </c>
      <c r="AE12" s="0" t="n">
        <f aca="false">AE8*(Inputs!$B$7+Inputs!$B$8)*(1+Inputs!$B$9)^AE$3</f>
        <v>88606863.0259527</v>
      </c>
      <c r="AF12" s="0" t="n">
        <f aca="false">AF8*(Inputs!$B$7+Inputs!$B$8)*(1+Inputs!$B$9)^AF$3</f>
        <v>91265068.9167313</v>
      </c>
    </row>
    <row r="13" customFormat="false" ht="15" hidden="false" customHeight="false" outlineLevel="0" collapsed="false">
      <c r="A13" s="0" t="s">
        <v>32</v>
      </c>
      <c r="B13" s="0" t="n">
        <f aca="false">IF(AND(B$3&gt;=Blocks!$C$2,MOD(B$3-Blocks!$C$2,Inputs!$B$11)=0),Blocks!$B$2*Inputs!$B$10*(1+Inputs!$B$9)^B$3,0)+IF(AND(B$3&gt;=Blocks!$C$3,MOD(B$3-Blocks!$C$3,Inputs!$B$11)=0),Blocks!$B$3*Inputs!$B$10*(1+Inputs!$B$9)^B$3,0)+IF(AND(B$3&gt;=Blocks!$C$4,MOD(B$3-Blocks!$C$4,Inputs!$B$11)=0),Blocks!$B$4*Inputs!$B$10*(1+Inputs!$B$9)^B$3,0)+IF(AND(B$3&gt;=Blocks!$C$5,MOD(B$3-Blocks!$C$5,Inputs!$B$11)=0),Blocks!$B$5*Inputs!$B$10*(1+Inputs!$B$9)^B$3,0)</f>
        <v>10920000</v>
      </c>
      <c r="C13" s="0" t="n">
        <f aca="false">IF(AND(C$3&gt;=Blocks!$C$2,MOD(C$3-Blocks!$C$2,Inputs!$B$11)=0),Blocks!$B$2*Inputs!$B$10*(1+Inputs!$B$9)^C$3,0)+IF(AND(C$3&gt;=Blocks!$C$3,MOD(C$3-Blocks!$C$3,Inputs!$B$11)=0),Blocks!$B$3*Inputs!$B$10*(1+Inputs!$B$9)^C$3,0)+IF(AND(C$3&gt;=Blocks!$C$4,MOD(C$3-Blocks!$C$4,Inputs!$B$11)=0),Blocks!$B$4*Inputs!$B$10*(1+Inputs!$B$9)^C$3,0)+IF(AND(C$3&gt;=Blocks!$C$5,MOD(C$3-Blocks!$C$5,Inputs!$B$11)=0),Blocks!$B$5*Inputs!$B$10*(1+Inputs!$B$9)^C$3,0)</f>
        <v>0</v>
      </c>
      <c r="D13" s="0" t="n">
        <f aca="false">IF(AND(D$3&gt;=Blocks!$C$2,MOD(D$3-Blocks!$C$2,Inputs!$B$11)=0),Blocks!$B$2*Inputs!$B$10*(1+Inputs!$B$9)^D$3,0)+IF(AND(D$3&gt;=Blocks!$C$3,MOD(D$3-Blocks!$C$3,Inputs!$B$11)=0),Blocks!$B$3*Inputs!$B$10*(1+Inputs!$B$9)^D$3,0)+IF(AND(D$3&gt;=Blocks!$C$4,MOD(D$3-Blocks!$C$4,Inputs!$B$11)=0),Blocks!$B$4*Inputs!$B$10*(1+Inputs!$B$9)^D$3,0)+IF(AND(D$3&gt;=Blocks!$C$5,MOD(D$3-Blocks!$C$5,Inputs!$B$11)=0),Blocks!$B$5*Inputs!$B$10*(1+Inputs!$B$9)^D$3,0)</f>
        <v>10481692</v>
      </c>
      <c r="E13" s="0" t="n">
        <f aca="false">IF(AND(E$3&gt;=Blocks!$C$2,MOD(E$3-Blocks!$C$2,Inputs!$B$11)=0),Blocks!$B$2*Inputs!$B$10*(1+Inputs!$B$9)^E$3,0)+IF(AND(E$3&gt;=Blocks!$C$3,MOD(E$3-Blocks!$C$3,Inputs!$B$11)=0),Blocks!$B$3*Inputs!$B$10*(1+Inputs!$B$9)^E$3,0)+IF(AND(E$3&gt;=Blocks!$C$4,MOD(E$3-Blocks!$C$4,Inputs!$B$11)=0),Blocks!$B$4*Inputs!$B$10*(1+Inputs!$B$9)^E$3,0)+IF(AND(E$3&gt;=Blocks!$C$5,MOD(E$3-Blocks!$C$5,Inputs!$B$11)=0),Blocks!$B$5*Inputs!$B$10*(1+Inputs!$B$9)^E$3,0)</f>
        <v>0</v>
      </c>
      <c r="F13" s="0" t="n">
        <f aca="false">IF(AND(F$3&gt;=Blocks!$C$2,MOD(F$3-Blocks!$C$2,Inputs!$B$11)=0),Blocks!$B$2*Inputs!$B$10*(1+Inputs!$B$9)^F$3,0)+IF(AND(F$3&gt;=Blocks!$C$3,MOD(F$3-Blocks!$C$3,Inputs!$B$11)=0),Blocks!$B$3*Inputs!$B$10*(1+Inputs!$B$9)^F$3,0)+IF(AND(F$3&gt;=Blocks!$C$4,MOD(F$3-Blocks!$C$4,Inputs!$B$11)=0),Blocks!$B$4*Inputs!$B$10*(1+Inputs!$B$9)^F$3,0)+IF(AND(F$3&gt;=Blocks!$C$5,MOD(F$3-Blocks!$C$5,Inputs!$B$11)=0),Blocks!$B$5*Inputs!$B$10*(1+Inputs!$B$9)^F$3,0)</f>
        <v>14924246.8206</v>
      </c>
      <c r="G13" s="0" t="n">
        <f aca="false">IF(AND(G$3&gt;=Blocks!$C$2,MOD(G$3-Blocks!$C$2,Inputs!$B$11)=0),Blocks!$B$2*Inputs!$B$10*(1+Inputs!$B$9)^G$3,0)+IF(AND(G$3&gt;=Blocks!$C$3,MOD(G$3-Blocks!$C$3,Inputs!$B$11)=0),Blocks!$B$3*Inputs!$B$10*(1+Inputs!$B$9)^G$3,0)+IF(AND(G$3&gt;=Blocks!$C$4,MOD(G$3-Blocks!$C$4,Inputs!$B$11)=0),Blocks!$B$4*Inputs!$B$10*(1+Inputs!$B$9)^G$3,0)+IF(AND(G$3&gt;=Blocks!$C$5,MOD(G$3-Blocks!$C$5,Inputs!$B$11)=0),Blocks!$B$5*Inputs!$B$10*(1+Inputs!$B$9)^G$3,0)</f>
        <v>0</v>
      </c>
      <c r="H13" s="0" t="n">
        <f aca="false">IF(AND(H$3&gt;=Blocks!$C$2,MOD(H$3-Blocks!$C$2,Inputs!$B$11)=0),Blocks!$B$2*Inputs!$B$10*(1+Inputs!$B$9)^H$3,0)+IF(AND(H$3&gt;=Blocks!$C$3,MOD(H$3-Blocks!$C$3,Inputs!$B$11)=0),Blocks!$B$3*Inputs!$B$10*(1+Inputs!$B$9)^H$3,0)+IF(AND(H$3&gt;=Blocks!$C$4,MOD(H$3-Blocks!$C$4,Inputs!$B$11)=0),Blocks!$B$4*Inputs!$B$10*(1+Inputs!$B$9)^H$3,0)+IF(AND(H$3&gt;=Blocks!$C$5,MOD(H$3-Blocks!$C$5,Inputs!$B$11)=0),Blocks!$B$5*Inputs!$B$10*(1+Inputs!$B$9)^H$3,0)</f>
        <v>0</v>
      </c>
      <c r="I13" s="0" t="n">
        <f aca="false">IF(AND(I$3&gt;=Blocks!$C$2,MOD(I$3-Blocks!$C$2,Inputs!$B$11)=0),Blocks!$B$2*Inputs!$B$10*(1+Inputs!$B$9)^I$3,0)+IF(AND(I$3&gt;=Blocks!$C$3,MOD(I$3-Blocks!$C$3,Inputs!$B$11)=0),Blocks!$B$3*Inputs!$B$10*(1+Inputs!$B$9)^I$3,0)+IF(AND(I$3&gt;=Blocks!$C$4,MOD(I$3-Blocks!$C$4,Inputs!$B$11)=0),Blocks!$B$4*Inputs!$B$10*(1+Inputs!$B$9)^I$3,0)+IF(AND(I$3&gt;=Blocks!$C$5,MOD(I$3-Blocks!$C$5,Inputs!$B$11)=0),Blocks!$B$5*Inputs!$B$10*(1+Inputs!$B$9)^I$3,0)</f>
        <v>9273248.94530352</v>
      </c>
      <c r="J13" s="0" t="n">
        <f aca="false">IF(AND(J$3&gt;=Blocks!$C$2,MOD(J$3-Blocks!$C$2,Inputs!$B$11)=0),Blocks!$B$2*Inputs!$B$10*(1+Inputs!$B$9)^J$3,0)+IF(AND(J$3&gt;=Blocks!$C$3,MOD(J$3-Blocks!$C$3,Inputs!$B$11)=0),Blocks!$B$3*Inputs!$B$10*(1+Inputs!$B$9)^J$3,0)+IF(AND(J$3&gt;=Blocks!$C$4,MOD(J$3-Blocks!$C$4,Inputs!$B$11)=0),Blocks!$B$4*Inputs!$B$10*(1+Inputs!$B$9)^J$3,0)+IF(AND(J$3&gt;=Blocks!$C$5,MOD(J$3-Blocks!$C$5,Inputs!$B$11)=0),Blocks!$B$5*Inputs!$B$10*(1+Inputs!$B$9)^J$3,0)</f>
        <v>0</v>
      </c>
      <c r="K13" s="0" t="n">
        <f aca="false">IF(AND(K$3&gt;=Blocks!$C$2,MOD(K$3-Blocks!$C$2,Inputs!$B$11)=0),Blocks!$B$2*Inputs!$B$10*(1+Inputs!$B$9)^K$3,0)+IF(AND(K$3&gt;=Blocks!$C$3,MOD(K$3-Blocks!$C$3,Inputs!$B$11)=0),Blocks!$B$3*Inputs!$B$10*(1+Inputs!$B$9)^K$3,0)+IF(AND(K$3&gt;=Blocks!$C$4,MOD(K$3-Blocks!$C$4,Inputs!$B$11)=0),Blocks!$B$4*Inputs!$B$10*(1+Inputs!$B$9)^K$3,0)+IF(AND(K$3&gt;=Blocks!$C$5,MOD(K$3-Blocks!$C$5,Inputs!$B$11)=0),Blocks!$B$5*Inputs!$B$10*(1+Inputs!$B$9)^K$3,0)</f>
        <v>0</v>
      </c>
      <c r="L13" s="0" t="n">
        <f aca="false">IF(AND(L$3&gt;=Blocks!$C$2,MOD(L$3-Blocks!$C$2,Inputs!$B$11)=0),Blocks!$B$2*Inputs!$B$10*(1+Inputs!$B$9)^L$3,0)+IF(AND(L$3&gt;=Blocks!$C$3,MOD(L$3-Blocks!$C$3,Inputs!$B$11)=0),Blocks!$B$3*Inputs!$B$10*(1+Inputs!$B$9)^L$3,0)+IF(AND(L$3&gt;=Blocks!$C$4,MOD(L$3-Blocks!$C$4,Inputs!$B$11)=0),Blocks!$B$4*Inputs!$B$10*(1+Inputs!$B$9)^L$3,0)+IF(AND(L$3&gt;=Blocks!$C$5,MOD(L$3-Blocks!$C$5,Inputs!$B$11)=0),Blocks!$B$5*Inputs!$B$10*(1+Inputs!$B$9)^L$3,0)</f>
        <v>0</v>
      </c>
      <c r="M13" s="0" t="n">
        <f aca="false">IF(AND(M$3&gt;=Blocks!$C$2,MOD(M$3-Blocks!$C$2,Inputs!$B$11)=0),Blocks!$B$2*Inputs!$B$10*(1+Inputs!$B$9)^M$3,0)+IF(AND(M$3&gt;=Blocks!$C$3,MOD(M$3-Blocks!$C$3,Inputs!$B$11)=0),Blocks!$B$3*Inputs!$B$10*(1+Inputs!$B$9)^M$3,0)+IF(AND(M$3&gt;=Blocks!$C$4,MOD(M$3-Blocks!$C$4,Inputs!$B$11)=0),Blocks!$B$4*Inputs!$B$10*(1+Inputs!$B$9)^M$3,0)+IF(AND(M$3&gt;=Blocks!$C$5,MOD(M$3-Blocks!$C$5,Inputs!$B$11)=0),Blocks!$B$5*Inputs!$B$10*(1+Inputs!$B$9)^M$3,0)</f>
        <v>0</v>
      </c>
      <c r="N13" s="0" t="n">
        <f aca="false">IF(AND(N$3&gt;=Blocks!$C$2,MOD(N$3-Blocks!$C$2,Inputs!$B$11)=0),Blocks!$B$2*Inputs!$B$10*(1+Inputs!$B$9)^N$3,0)+IF(AND(N$3&gt;=Blocks!$C$3,MOD(N$3-Blocks!$C$3,Inputs!$B$11)=0),Blocks!$B$3*Inputs!$B$10*(1+Inputs!$B$9)^N$3,0)+IF(AND(N$3&gt;=Blocks!$C$4,MOD(N$3-Blocks!$C$4,Inputs!$B$11)=0),Blocks!$B$4*Inputs!$B$10*(1+Inputs!$B$9)^N$3,0)+IF(AND(N$3&gt;=Blocks!$C$5,MOD(N$3-Blocks!$C$5,Inputs!$B$11)=0),Blocks!$B$5*Inputs!$B$10*(1+Inputs!$B$9)^N$3,0)</f>
        <v>15569308.8843603</v>
      </c>
      <c r="O13" s="0" t="n">
        <f aca="false">IF(AND(O$3&gt;=Blocks!$C$2,MOD(O$3-Blocks!$C$2,Inputs!$B$11)=0),Blocks!$B$2*Inputs!$B$10*(1+Inputs!$B$9)^O$3,0)+IF(AND(O$3&gt;=Blocks!$C$3,MOD(O$3-Blocks!$C$3,Inputs!$B$11)=0),Blocks!$B$3*Inputs!$B$10*(1+Inputs!$B$9)^O$3,0)+IF(AND(O$3&gt;=Blocks!$C$4,MOD(O$3-Blocks!$C$4,Inputs!$B$11)=0),Blocks!$B$4*Inputs!$B$10*(1+Inputs!$B$9)^O$3,0)+IF(AND(O$3&gt;=Blocks!$C$5,MOD(O$3-Blocks!$C$5,Inputs!$B$11)=0),Blocks!$B$5*Inputs!$B$10*(1+Inputs!$B$9)^O$3,0)</f>
        <v>0</v>
      </c>
      <c r="P13" s="0" t="n">
        <f aca="false">IF(AND(P$3&gt;=Blocks!$C$2,MOD(P$3-Blocks!$C$2,Inputs!$B$11)=0),Blocks!$B$2*Inputs!$B$10*(1+Inputs!$B$9)^P$3,0)+IF(AND(P$3&gt;=Blocks!$C$3,MOD(P$3-Blocks!$C$3,Inputs!$B$11)=0),Blocks!$B$3*Inputs!$B$10*(1+Inputs!$B$9)^P$3,0)+IF(AND(P$3&gt;=Blocks!$C$4,MOD(P$3-Blocks!$C$4,Inputs!$B$11)=0),Blocks!$B$4*Inputs!$B$10*(1+Inputs!$B$9)^P$3,0)+IF(AND(P$3&gt;=Blocks!$C$5,MOD(P$3-Blocks!$C$5,Inputs!$B$11)=0),Blocks!$B$5*Inputs!$B$10*(1+Inputs!$B$9)^P$3,0)</f>
        <v>14944386.4815685</v>
      </c>
      <c r="Q13" s="0" t="n">
        <f aca="false">IF(AND(Q$3&gt;=Blocks!$C$2,MOD(Q$3-Blocks!$C$2,Inputs!$B$11)=0),Blocks!$B$2*Inputs!$B$10*(1+Inputs!$B$9)^Q$3,0)+IF(AND(Q$3&gt;=Blocks!$C$3,MOD(Q$3-Blocks!$C$3,Inputs!$B$11)=0),Blocks!$B$3*Inputs!$B$10*(1+Inputs!$B$9)^Q$3,0)+IF(AND(Q$3&gt;=Blocks!$C$4,MOD(Q$3-Blocks!$C$4,Inputs!$B$11)=0),Blocks!$B$4*Inputs!$B$10*(1+Inputs!$B$9)^Q$3,0)+IF(AND(Q$3&gt;=Blocks!$C$5,MOD(Q$3-Blocks!$C$5,Inputs!$B$11)=0),Blocks!$B$5*Inputs!$B$10*(1+Inputs!$B$9)^Q$3,0)</f>
        <v>0</v>
      </c>
      <c r="R13" s="0" t="n">
        <f aca="false">IF(AND(R$3&gt;=Blocks!$C$2,MOD(R$3-Blocks!$C$2,Inputs!$B$11)=0),Blocks!$B$2*Inputs!$B$10*(1+Inputs!$B$9)^R$3,0)+IF(AND(R$3&gt;=Blocks!$C$3,MOD(R$3-Blocks!$C$3,Inputs!$B$11)=0),Blocks!$B$3*Inputs!$B$10*(1+Inputs!$B$9)^R$3,0)+IF(AND(R$3&gt;=Blocks!$C$4,MOD(R$3-Blocks!$C$4,Inputs!$B$11)=0),Blocks!$B$4*Inputs!$B$10*(1+Inputs!$B$9)^R$3,0)+IF(AND(R$3&gt;=Blocks!$C$5,MOD(R$3-Blocks!$C$5,Inputs!$B$11)=0),Blocks!$B$5*Inputs!$B$10*(1+Inputs!$B$9)^R$3,0)</f>
        <v>21278407.3824499</v>
      </c>
      <c r="S13" s="0" t="n">
        <f aca="false">IF(AND(S$3&gt;=Blocks!$C$2,MOD(S$3-Blocks!$C$2,Inputs!$B$11)=0),Blocks!$B$2*Inputs!$B$10*(1+Inputs!$B$9)^S$3,0)+IF(AND(S$3&gt;=Blocks!$C$3,MOD(S$3-Blocks!$C$3,Inputs!$B$11)=0),Blocks!$B$3*Inputs!$B$10*(1+Inputs!$B$9)^S$3,0)+IF(AND(S$3&gt;=Blocks!$C$4,MOD(S$3-Blocks!$C$4,Inputs!$B$11)=0),Blocks!$B$4*Inputs!$B$10*(1+Inputs!$B$9)^S$3,0)+IF(AND(S$3&gt;=Blocks!$C$5,MOD(S$3-Blocks!$C$5,Inputs!$B$11)=0),Blocks!$B$5*Inputs!$B$10*(1+Inputs!$B$9)^S$3,0)</f>
        <v>0</v>
      </c>
      <c r="T13" s="0" t="n">
        <f aca="false">IF(AND(T$3&gt;=Blocks!$C$2,MOD(T$3-Blocks!$C$2,Inputs!$B$11)=0),Blocks!$B$2*Inputs!$B$10*(1+Inputs!$B$9)^T$3,0)+IF(AND(T$3&gt;=Blocks!$C$3,MOD(T$3-Blocks!$C$3,Inputs!$B$11)=0),Blocks!$B$3*Inputs!$B$10*(1+Inputs!$B$9)^T$3,0)+IF(AND(T$3&gt;=Blocks!$C$4,MOD(T$3-Blocks!$C$4,Inputs!$B$11)=0),Blocks!$B$4*Inputs!$B$10*(1+Inputs!$B$9)^T$3,0)+IF(AND(T$3&gt;=Blocks!$C$5,MOD(T$3-Blocks!$C$5,Inputs!$B$11)=0),Blocks!$B$5*Inputs!$B$10*(1+Inputs!$B$9)^T$3,0)</f>
        <v>0</v>
      </c>
      <c r="U13" s="0" t="n">
        <f aca="false">IF(AND(U$3&gt;=Blocks!$C$2,MOD(U$3-Blocks!$C$2,Inputs!$B$11)=0),Blocks!$B$2*Inputs!$B$10*(1+Inputs!$B$9)^U$3,0)+IF(AND(U$3&gt;=Blocks!$C$3,MOD(U$3-Blocks!$C$3,Inputs!$B$11)=0),Blocks!$B$3*Inputs!$B$10*(1+Inputs!$B$9)^U$3,0)+IF(AND(U$3&gt;=Blocks!$C$4,MOD(U$3-Blocks!$C$4,Inputs!$B$11)=0),Blocks!$B$4*Inputs!$B$10*(1+Inputs!$B$9)^U$3,0)+IF(AND(U$3&gt;=Blocks!$C$5,MOD(U$3-Blocks!$C$5,Inputs!$B$11)=0),Blocks!$B$5*Inputs!$B$10*(1+Inputs!$B$9)^U$3,0)</f>
        <v>13221435.6402013</v>
      </c>
      <c r="V13" s="0" t="n">
        <f aca="false">IF(AND(V$3&gt;=Blocks!$C$2,MOD(V$3-Blocks!$C$2,Inputs!$B$11)=0),Blocks!$B$2*Inputs!$B$10*(1+Inputs!$B$9)^V$3,0)+IF(AND(V$3&gt;=Blocks!$C$3,MOD(V$3-Blocks!$C$3,Inputs!$B$11)=0),Blocks!$B$3*Inputs!$B$10*(1+Inputs!$B$9)^V$3,0)+IF(AND(V$3&gt;=Blocks!$C$4,MOD(V$3-Blocks!$C$4,Inputs!$B$11)=0),Blocks!$B$4*Inputs!$B$10*(1+Inputs!$B$9)^V$3,0)+IF(AND(V$3&gt;=Blocks!$C$5,MOD(V$3-Blocks!$C$5,Inputs!$B$11)=0),Blocks!$B$5*Inputs!$B$10*(1+Inputs!$B$9)^V$3,0)</f>
        <v>0</v>
      </c>
      <c r="W13" s="0" t="n">
        <f aca="false">IF(AND(W$3&gt;=Blocks!$C$2,MOD(W$3-Blocks!$C$2,Inputs!$B$11)=0),Blocks!$B$2*Inputs!$B$10*(1+Inputs!$B$9)^W$3,0)+IF(AND(W$3&gt;=Blocks!$C$3,MOD(W$3-Blocks!$C$3,Inputs!$B$11)=0),Blocks!$B$3*Inputs!$B$10*(1+Inputs!$B$9)^W$3,0)+IF(AND(W$3&gt;=Blocks!$C$4,MOD(W$3-Blocks!$C$4,Inputs!$B$11)=0),Blocks!$B$4*Inputs!$B$10*(1+Inputs!$B$9)^W$3,0)+IF(AND(W$3&gt;=Blocks!$C$5,MOD(W$3-Blocks!$C$5,Inputs!$B$11)=0),Blocks!$B$5*Inputs!$B$10*(1+Inputs!$B$9)^W$3,0)</f>
        <v>0</v>
      </c>
      <c r="X13" s="0" t="n">
        <f aca="false">IF(AND(X$3&gt;=Blocks!$C$2,MOD(X$3-Blocks!$C$2,Inputs!$B$11)=0),Blocks!$B$2*Inputs!$B$10*(1+Inputs!$B$9)^X$3,0)+IF(AND(X$3&gt;=Blocks!$C$3,MOD(X$3-Blocks!$C$3,Inputs!$B$11)=0),Blocks!$B$3*Inputs!$B$10*(1+Inputs!$B$9)^X$3,0)+IF(AND(X$3&gt;=Blocks!$C$4,MOD(X$3-Blocks!$C$4,Inputs!$B$11)=0),Blocks!$B$4*Inputs!$B$10*(1+Inputs!$B$9)^X$3,0)+IF(AND(X$3&gt;=Blocks!$C$5,MOD(X$3-Blocks!$C$5,Inputs!$B$11)=0),Blocks!$B$5*Inputs!$B$10*(1+Inputs!$B$9)^X$3,0)</f>
        <v>0</v>
      </c>
      <c r="Y13" s="0" t="n">
        <f aca="false">IF(AND(Y$3&gt;=Blocks!$C$2,MOD(Y$3-Blocks!$C$2,Inputs!$B$11)=0),Blocks!$B$2*Inputs!$B$10*(1+Inputs!$B$9)^Y$3,0)+IF(AND(Y$3&gt;=Blocks!$C$3,MOD(Y$3-Blocks!$C$3,Inputs!$B$11)=0),Blocks!$B$3*Inputs!$B$10*(1+Inputs!$B$9)^Y$3,0)+IF(AND(Y$3&gt;=Blocks!$C$4,MOD(Y$3-Blocks!$C$4,Inputs!$B$11)=0),Blocks!$B$4*Inputs!$B$10*(1+Inputs!$B$9)^Y$3,0)+IF(AND(Y$3&gt;=Blocks!$C$5,MOD(Y$3-Blocks!$C$5,Inputs!$B$11)=0),Blocks!$B$5*Inputs!$B$10*(1+Inputs!$B$9)^Y$3,0)</f>
        <v>0</v>
      </c>
      <c r="Z13" s="0" t="n">
        <f aca="false">IF(AND(Z$3&gt;=Blocks!$C$2,MOD(Z$3-Blocks!$C$2,Inputs!$B$11)=0),Blocks!$B$2*Inputs!$B$10*(1+Inputs!$B$9)^Z$3,0)+IF(AND(Z$3&gt;=Blocks!$C$3,MOD(Z$3-Blocks!$C$3,Inputs!$B$11)=0),Blocks!$B$3*Inputs!$B$10*(1+Inputs!$B$9)^Z$3,0)+IF(AND(Z$3&gt;=Blocks!$C$4,MOD(Z$3-Blocks!$C$4,Inputs!$B$11)=0),Blocks!$B$4*Inputs!$B$10*(1+Inputs!$B$9)^Z$3,0)+IF(AND(Z$3&gt;=Blocks!$C$5,MOD(Z$3-Blocks!$C$5,Inputs!$B$11)=0),Blocks!$B$5*Inputs!$B$10*(1+Inputs!$B$9)^Z$3,0)</f>
        <v>22198111.6425476</v>
      </c>
      <c r="AA13" s="0" t="n">
        <f aca="false">IF(AND(AA$3&gt;=Blocks!$C$2,MOD(AA$3-Blocks!$C$2,Inputs!$B$11)=0),Blocks!$B$2*Inputs!$B$10*(1+Inputs!$B$9)^AA$3,0)+IF(AND(AA$3&gt;=Blocks!$C$3,MOD(AA$3-Blocks!$C$3,Inputs!$B$11)=0),Blocks!$B$3*Inputs!$B$10*(1+Inputs!$B$9)^AA$3,0)+IF(AND(AA$3&gt;=Blocks!$C$4,MOD(AA$3-Blocks!$C$4,Inputs!$B$11)=0),Blocks!$B$4*Inputs!$B$10*(1+Inputs!$B$9)^AA$3,0)+IF(AND(AA$3&gt;=Blocks!$C$5,MOD(AA$3-Blocks!$C$5,Inputs!$B$11)=0),Blocks!$B$5*Inputs!$B$10*(1+Inputs!$B$9)^AA$3,0)</f>
        <v>0</v>
      </c>
      <c r="AB13" s="0" t="n">
        <f aca="false">IF(AND(AB$3&gt;=Blocks!$C$2,MOD(AB$3-Blocks!$C$2,Inputs!$B$11)=0),Blocks!$B$2*Inputs!$B$10*(1+Inputs!$B$9)^AB$3,0)+IF(AND(AB$3&gt;=Blocks!$C$3,MOD(AB$3-Blocks!$C$3,Inputs!$B$11)=0),Blocks!$B$3*Inputs!$B$10*(1+Inputs!$B$9)^AB$3,0)+IF(AND(AB$3&gt;=Blocks!$C$4,MOD(AB$3-Blocks!$C$4,Inputs!$B$11)=0),Blocks!$B$4*Inputs!$B$10*(1+Inputs!$B$9)^AB$3,0)+IF(AND(AB$3&gt;=Blocks!$C$5,MOD(AB$3-Blocks!$C$5,Inputs!$B$11)=0),Blocks!$B$5*Inputs!$B$10*(1+Inputs!$B$9)^AB$3,0)</f>
        <v>21307121.7233332</v>
      </c>
      <c r="AC13" s="0" t="n">
        <f aca="false">IF(AND(AC$3&gt;=Blocks!$C$2,MOD(AC$3-Blocks!$C$2,Inputs!$B$11)=0),Blocks!$B$2*Inputs!$B$10*(1+Inputs!$B$9)^AC$3,0)+IF(AND(AC$3&gt;=Blocks!$C$3,MOD(AC$3-Blocks!$C$3,Inputs!$B$11)=0),Blocks!$B$3*Inputs!$B$10*(1+Inputs!$B$9)^AC$3,0)+IF(AND(AC$3&gt;=Blocks!$C$4,MOD(AC$3-Blocks!$C$4,Inputs!$B$11)=0),Blocks!$B$4*Inputs!$B$10*(1+Inputs!$B$9)^AC$3,0)+IF(AND(AC$3&gt;=Blocks!$C$5,MOD(AC$3-Blocks!$C$5,Inputs!$B$11)=0),Blocks!$B$5*Inputs!$B$10*(1+Inputs!$B$9)^AC$3,0)</f>
        <v>0</v>
      </c>
      <c r="AD13" s="0" t="n">
        <f aca="false">IF(AND(AD$3&gt;=Blocks!$C$2,MOD(AD$3-Blocks!$C$2,Inputs!$B$11)=0),Blocks!$B$2*Inputs!$B$10*(1+Inputs!$B$9)^AD$3,0)+IF(AND(AD$3&gt;=Blocks!$C$3,MOD(AD$3-Blocks!$C$3,Inputs!$B$11)=0),Blocks!$B$3*Inputs!$B$10*(1+Inputs!$B$9)^AD$3,0)+IF(AND(AD$3&gt;=Blocks!$C$4,MOD(AD$3-Blocks!$C$4,Inputs!$B$11)=0),Blocks!$B$4*Inputs!$B$10*(1+Inputs!$B$9)^AD$3,0)+IF(AND(AD$3&gt;=Blocks!$C$5,MOD(AD$3-Blocks!$C$5,Inputs!$B$11)=0),Blocks!$B$5*Inputs!$B$10*(1+Inputs!$B$9)^AD$3,0)</f>
        <v>30337920.9802761</v>
      </c>
      <c r="AE13" s="0" t="n">
        <f aca="false">IF(AND(AE$3&gt;=Blocks!$C$2,MOD(AE$3-Blocks!$C$2,Inputs!$B$11)=0),Blocks!$B$2*Inputs!$B$10*(1+Inputs!$B$9)^AE$3,0)+IF(AND(AE$3&gt;=Blocks!$C$3,MOD(AE$3-Blocks!$C$3,Inputs!$B$11)=0),Blocks!$B$3*Inputs!$B$10*(1+Inputs!$B$9)^AE$3,0)+IF(AND(AE$3&gt;=Blocks!$C$4,MOD(AE$3-Blocks!$C$4,Inputs!$B$11)=0),Blocks!$B$4*Inputs!$B$10*(1+Inputs!$B$9)^AE$3,0)+IF(AND(AE$3&gt;=Blocks!$C$5,MOD(AE$3-Blocks!$C$5,Inputs!$B$11)=0),Blocks!$B$5*Inputs!$B$10*(1+Inputs!$B$9)^AE$3,0)</f>
        <v>0</v>
      </c>
      <c r="AF13" s="0" t="n">
        <f aca="false">IF(AND(AF$3&gt;=Blocks!$C$2,MOD(AF$3-Blocks!$C$2,Inputs!$B$11)=0),Blocks!$B$2*Inputs!$B$10*(1+Inputs!$B$9)^AF$3,0)+IF(AND(AF$3&gt;=Blocks!$C$3,MOD(AF$3-Blocks!$C$3,Inputs!$B$11)=0),Blocks!$B$3*Inputs!$B$10*(1+Inputs!$B$9)^AF$3,0)+IF(AND(AF$3&gt;=Blocks!$C$4,MOD(AF$3-Blocks!$C$4,Inputs!$B$11)=0),Blocks!$B$4*Inputs!$B$10*(1+Inputs!$B$9)^AF$3,0)+IF(AND(AF$3&gt;=Blocks!$C$5,MOD(AF$3-Blocks!$C$5,Inputs!$B$11)=0),Blocks!$B$5*Inputs!$B$10*(1+Inputs!$B$9)^AF$3,0)</f>
        <v>0</v>
      </c>
    </row>
    <row r="14" customFormat="false" ht="15" hidden="false" customHeight="false" outlineLevel="0" collapsed="false">
      <c r="A14" s="0" t="s">
        <v>33</v>
      </c>
      <c r="B14" s="0" t="n">
        <f aca="false">IF(AND(B$3&gt;=Blocks!$C$2,B$3&lt;Blocks!$C$2+5),Blocks!$B$2*Inputs!$B$12,0)+IF(AND(B$3&gt;=Blocks!$C$3,B$3&lt;Blocks!$C$3+5),Blocks!$B$3*Inputs!$B$12,0)+IF(AND(B$3&gt;=Blocks!$C$4,B$3&lt;Blocks!$C$4+5),Blocks!$B$4*Inputs!$B$12,0)+IF(AND(B$3&gt;=Blocks!$C$5,B$3&lt;Blocks!$C$5+5),Blocks!$B$5*Inputs!$B$12,0)</f>
        <v>2520000</v>
      </c>
      <c r="C14" s="0" t="n">
        <f aca="false">IF(AND(C$3&gt;=Blocks!$C$2,C$3&lt;Blocks!$C$2+5),Blocks!$B$2*Inputs!$B$12,0)+IF(AND(C$3&gt;=Blocks!$C$3,C$3&lt;Blocks!$C$3+5),Blocks!$B$3*Inputs!$B$12,0)+IF(AND(C$3&gt;=Blocks!$C$4,C$3&lt;Blocks!$C$4+5),Blocks!$B$4*Inputs!$B$12,0)+IF(AND(C$3&gt;=Blocks!$C$5,C$3&lt;Blocks!$C$5+5),Blocks!$B$5*Inputs!$B$12,0)</f>
        <v>2520000</v>
      </c>
      <c r="D14" s="0" t="n">
        <f aca="false">IF(AND(D$3&gt;=Blocks!$C$2,D$3&lt;Blocks!$C$2+5),Blocks!$B$2*Inputs!$B$12,0)+IF(AND(D$3&gt;=Blocks!$C$3,D$3&lt;Blocks!$C$3+5),Blocks!$B$3*Inputs!$B$12,0)+IF(AND(D$3&gt;=Blocks!$C$4,D$3&lt;Blocks!$C$4+5),Blocks!$B$4*Inputs!$B$12,0)+IF(AND(D$3&gt;=Blocks!$C$5,D$3&lt;Blocks!$C$5+5),Blocks!$B$5*Inputs!$B$12,0)</f>
        <v>4800000</v>
      </c>
      <c r="E14" s="0" t="n">
        <f aca="false">IF(AND(E$3&gt;=Blocks!$C$2,E$3&lt;Blocks!$C$2+5),Blocks!$B$2*Inputs!$B$12,0)+IF(AND(E$3&gt;=Blocks!$C$3,E$3&lt;Blocks!$C$3+5),Blocks!$B$3*Inputs!$B$12,0)+IF(AND(E$3&gt;=Blocks!$C$4,E$3&lt;Blocks!$C$4+5),Blocks!$B$4*Inputs!$B$12,0)+IF(AND(E$3&gt;=Blocks!$C$5,E$3&lt;Blocks!$C$5+5),Blocks!$B$5*Inputs!$B$12,0)</f>
        <v>4800000</v>
      </c>
      <c r="F14" s="0" t="n">
        <f aca="false">IF(AND(F$3&gt;=Blocks!$C$2,F$3&lt;Blocks!$C$2+5),Blocks!$B$2*Inputs!$B$12,0)+IF(AND(F$3&gt;=Blocks!$C$3,F$3&lt;Blocks!$C$3+5),Blocks!$B$3*Inputs!$B$12,0)+IF(AND(F$3&gt;=Blocks!$C$4,F$3&lt;Blocks!$C$4+5),Blocks!$B$4*Inputs!$B$12,0)+IF(AND(F$3&gt;=Blocks!$C$5,F$3&lt;Blocks!$C$5+5),Blocks!$B$5*Inputs!$B$12,0)</f>
        <v>7860000</v>
      </c>
      <c r="G14" s="0" t="n">
        <f aca="false">IF(AND(G$3&gt;=Blocks!$C$2,G$3&lt;Blocks!$C$2+5),Blocks!$B$2*Inputs!$B$12,0)+IF(AND(G$3&gt;=Blocks!$C$3,G$3&lt;Blocks!$C$3+5),Blocks!$B$3*Inputs!$B$12,0)+IF(AND(G$3&gt;=Blocks!$C$4,G$3&lt;Blocks!$C$4+5),Blocks!$B$4*Inputs!$B$12,0)+IF(AND(G$3&gt;=Blocks!$C$5,G$3&lt;Blocks!$C$5+5),Blocks!$B$5*Inputs!$B$12,0)</f>
        <v>5340000</v>
      </c>
      <c r="H14" s="0" t="n">
        <f aca="false">IF(AND(H$3&gt;=Blocks!$C$2,H$3&lt;Blocks!$C$2+5),Blocks!$B$2*Inputs!$B$12,0)+IF(AND(H$3&gt;=Blocks!$C$3,H$3&lt;Blocks!$C$3+5),Blocks!$B$3*Inputs!$B$12,0)+IF(AND(H$3&gt;=Blocks!$C$4,H$3&lt;Blocks!$C$4+5),Blocks!$B$4*Inputs!$B$12,0)+IF(AND(H$3&gt;=Blocks!$C$5,H$3&lt;Blocks!$C$5+5),Blocks!$B$5*Inputs!$B$12,0)</f>
        <v>5340000</v>
      </c>
      <c r="I14" s="0" t="n">
        <f aca="false">IF(AND(I$3&gt;=Blocks!$C$2,I$3&lt;Blocks!$C$2+5),Blocks!$B$2*Inputs!$B$12,0)+IF(AND(I$3&gt;=Blocks!$C$3,I$3&lt;Blocks!$C$3+5),Blocks!$B$3*Inputs!$B$12,0)+IF(AND(I$3&gt;=Blocks!$C$4,I$3&lt;Blocks!$C$4+5),Blocks!$B$4*Inputs!$B$12,0)+IF(AND(I$3&gt;=Blocks!$C$5,I$3&lt;Blocks!$C$5+5),Blocks!$B$5*Inputs!$B$12,0)</f>
        <v>4800000</v>
      </c>
      <c r="J14" s="0" t="n">
        <f aca="false">IF(AND(J$3&gt;=Blocks!$C$2,J$3&lt;Blocks!$C$2+5),Blocks!$B$2*Inputs!$B$12,0)+IF(AND(J$3&gt;=Blocks!$C$3,J$3&lt;Blocks!$C$3+5),Blocks!$B$3*Inputs!$B$12,0)+IF(AND(J$3&gt;=Blocks!$C$4,J$3&lt;Blocks!$C$4+5),Blocks!$B$4*Inputs!$B$12,0)+IF(AND(J$3&gt;=Blocks!$C$5,J$3&lt;Blocks!$C$5+5),Blocks!$B$5*Inputs!$B$12,0)</f>
        <v>4800000</v>
      </c>
      <c r="K14" s="0" t="n">
        <f aca="false">IF(AND(K$3&gt;=Blocks!$C$2,K$3&lt;Blocks!$C$2+5),Blocks!$B$2*Inputs!$B$12,0)+IF(AND(K$3&gt;=Blocks!$C$3,K$3&lt;Blocks!$C$3+5),Blocks!$B$3*Inputs!$B$12,0)+IF(AND(K$3&gt;=Blocks!$C$4,K$3&lt;Blocks!$C$4+5),Blocks!$B$4*Inputs!$B$12,0)+IF(AND(K$3&gt;=Blocks!$C$5,K$3&lt;Blocks!$C$5+5),Blocks!$B$5*Inputs!$B$12,0)</f>
        <v>1740000</v>
      </c>
      <c r="L14" s="0" t="n">
        <f aca="false">IF(AND(L$3&gt;=Blocks!$C$2,L$3&lt;Blocks!$C$2+5),Blocks!$B$2*Inputs!$B$12,0)+IF(AND(L$3&gt;=Blocks!$C$3,L$3&lt;Blocks!$C$3+5),Blocks!$B$3*Inputs!$B$12,0)+IF(AND(L$3&gt;=Blocks!$C$4,L$3&lt;Blocks!$C$4+5),Blocks!$B$4*Inputs!$B$12,0)+IF(AND(L$3&gt;=Blocks!$C$5,L$3&lt;Blocks!$C$5+5),Blocks!$B$5*Inputs!$B$12,0)</f>
        <v>1740000</v>
      </c>
      <c r="M14" s="0" t="n">
        <f aca="false">IF(AND(M$3&gt;=Blocks!$C$2,M$3&lt;Blocks!$C$2+5),Blocks!$B$2*Inputs!$B$12,0)+IF(AND(M$3&gt;=Blocks!$C$3,M$3&lt;Blocks!$C$3+5),Blocks!$B$3*Inputs!$B$12,0)+IF(AND(M$3&gt;=Blocks!$C$4,M$3&lt;Blocks!$C$4+5),Blocks!$B$4*Inputs!$B$12,0)+IF(AND(M$3&gt;=Blocks!$C$5,M$3&lt;Blocks!$C$5+5),Blocks!$B$5*Inputs!$B$12,0)</f>
        <v>1740000</v>
      </c>
      <c r="N14" s="0" t="n">
        <f aca="false">IF(AND(N$3&gt;=Blocks!$C$2,N$3&lt;Blocks!$C$2+5),Blocks!$B$2*Inputs!$B$12,0)+IF(AND(N$3&gt;=Blocks!$C$3,N$3&lt;Blocks!$C$3+5),Blocks!$B$3*Inputs!$B$12,0)+IF(AND(N$3&gt;=Blocks!$C$4,N$3&lt;Blocks!$C$4+5),Blocks!$B$4*Inputs!$B$12,0)+IF(AND(N$3&gt;=Blocks!$C$5,N$3&lt;Blocks!$C$5+5),Blocks!$B$5*Inputs!$B$12,0)</f>
        <v>0</v>
      </c>
      <c r="O14" s="0" t="n">
        <f aca="false">IF(AND(O$3&gt;=Blocks!$C$2,O$3&lt;Blocks!$C$2+5),Blocks!$B$2*Inputs!$B$12,0)+IF(AND(O$3&gt;=Blocks!$C$3,O$3&lt;Blocks!$C$3+5),Blocks!$B$3*Inputs!$B$12,0)+IF(AND(O$3&gt;=Blocks!$C$4,O$3&lt;Blocks!$C$4+5),Blocks!$B$4*Inputs!$B$12,0)+IF(AND(O$3&gt;=Blocks!$C$5,O$3&lt;Blocks!$C$5+5),Blocks!$B$5*Inputs!$B$12,0)</f>
        <v>0</v>
      </c>
      <c r="P14" s="0" t="n">
        <f aca="false">IF(AND(P$3&gt;=Blocks!$C$2,P$3&lt;Blocks!$C$2+5),Blocks!$B$2*Inputs!$B$12,0)+IF(AND(P$3&gt;=Blocks!$C$3,P$3&lt;Blocks!$C$3+5),Blocks!$B$3*Inputs!$B$12,0)+IF(AND(P$3&gt;=Blocks!$C$4,P$3&lt;Blocks!$C$4+5),Blocks!$B$4*Inputs!$B$12,0)+IF(AND(P$3&gt;=Blocks!$C$5,P$3&lt;Blocks!$C$5+5),Blocks!$B$5*Inputs!$B$12,0)</f>
        <v>0</v>
      </c>
      <c r="Q14" s="0" t="n">
        <f aca="false">IF(AND(Q$3&gt;=Blocks!$C$2,Q$3&lt;Blocks!$C$2+5),Blocks!$B$2*Inputs!$B$12,0)+IF(AND(Q$3&gt;=Blocks!$C$3,Q$3&lt;Blocks!$C$3+5),Blocks!$B$3*Inputs!$B$12,0)+IF(AND(Q$3&gt;=Blocks!$C$4,Q$3&lt;Blocks!$C$4+5),Blocks!$B$4*Inputs!$B$12,0)+IF(AND(Q$3&gt;=Blocks!$C$5,Q$3&lt;Blocks!$C$5+5),Blocks!$B$5*Inputs!$B$12,0)</f>
        <v>0</v>
      </c>
      <c r="R14" s="0" t="n">
        <f aca="false">IF(AND(R$3&gt;=Blocks!$C$2,R$3&lt;Blocks!$C$2+5),Blocks!$B$2*Inputs!$B$12,0)+IF(AND(R$3&gt;=Blocks!$C$3,R$3&lt;Blocks!$C$3+5),Blocks!$B$3*Inputs!$B$12,0)+IF(AND(R$3&gt;=Blocks!$C$4,R$3&lt;Blocks!$C$4+5),Blocks!$B$4*Inputs!$B$12,0)+IF(AND(R$3&gt;=Blocks!$C$5,R$3&lt;Blocks!$C$5+5),Blocks!$B$5*Inputs!$B$12,0)</f>
        <v>0</v>
      </c>
      <c r="S14" s="0" t="n">
        <f aca="false">IF(AND(S$3&gt;=Blocks!$C$2,S$3&lt;Blocks!$C$2+5),Blocks!$B$2*Inputs!$B$12,0)+IF(AND(S$3&gt;=Blocks!$C$3,S$3&lt;Blocks!$C$3+5),Blocks!$B$3*Inputs!$B$12,0)+IF(AND(S$3&gt;=Blocks!$C$4,S$3&lt;Blocks!$C$4+5),Blocks!$B$4*Inputs!$B$12,0)+IF(AND(S$3&gt;=Blocks!$C$5,S$3&lt;Blocks!$C$5+5),Blocks!$B$5*Inputs!$B$12,0)</f>
        <v>0</v>
      </c>
      <c r="T14" s="0" t="n">
        <f aca="false">IF(AND(T$3&gt;=Blocks!$C$2,T$3&lt;Blocks!$C$2+5),Blocks!$B$2*Inputs!$B$12,0)+IF(AND(T$3&gt;=Blocks!$C$3,T$3&lt;Blocks!$C$3+5),Blocks!$B$3*Inputs!$B$12,0)+IF(AND(T$3&gt;=Blocks!$C$4,T$3&lt;Blocks!$C$4+5),Blocks!$B$4*Inputs!$B$12,0)+IF(AND(T$3&gt;=Blocks!$C$5,T$3&lt;Blocks!$C$5+5),Blocks!$B$5*Inputs!$B$12,0)</f>
        <v>0</v>
      </c>
      <c r="U14" s="0" t="n">
        <f aca="false">IF(AND(U$3&gt;=Blocks!$C$2,U$3&lt;Blocks!$C$2+5),Blocks!$B$2*Inputs!$B$12,0)+IF(AND(U$3&gt;=Blocks!$C$3,U$3&lt;Blocks!$C$3+5),Blocks!$B$3*Inputs!$B$12,0)+IF(AND(U$3&gt;=Blocks!$C$4,U$3&lt;Blocks!$C$4+5),Blocks!$B$4*Inputs!$B$12,0)+IF(AND(U$3&gt;=Blocks!$C$5,U$3&lt;Blocks!$C$5+5),Blocks!$B$5*Inputs!$B$12,0)</f>
        <v>0</v>
      </c>
      <c r="V14" s="0" t="n">
        <f aca="false">IF(AND(V$3&gt;=Blocks!$C$2,V$3&lt;Blocks!$C$2+5),Blocks!$B$2*Inputs!$B$12,0)+IF(AND(V$3&gt;=Blocks!$C$3,V$3&lt;Blocks!$C$3+5),Blocks!$B$3*Inputs!$B$12,0)+IF(AND(V$3&gt;=Blocks!$C$4,V$3&lt;Blocks!$C$4+5),Blocks!$B$4*Inputs!$B$12,0)+IF(AND(V$3&gt;=Blocks!$C$5,V$3&lt;Blocks!$C$5+5),Blocks!$B$5*Inputs!$B$12,0)</f>
        <v>0</v>
      </c>
      <c r="W14" s="0" t="n">
        <f aca="false">IF(AND(W$3&gt;=Blocks!$C$2,W$3&lt;Blocks!$C$2+5),Blocks!$B$2*Inputs!$B$12,0)+IF(AND(W$3&gt;=Blocks!$C$3,W$3&lt;Blocks!$C$3+5),Blocks!$B$3*Inputs!$B$12,0)+IF(AND(W$3&gt;=Blocks!$C$4,W$3&lt;Blocks!$C$4+5),Blocks!$B$4*Inputs!$B$12,0)+IF(AND(W$3&gt;=Blocks!$C$5,W$3&lt;Blocks!$C$5+5),Blocks!$B$5*Inputs!$B$12,0)</f>
        <v>0</v>
      </c>
      <c r="X14" s="0" t="n">
        <f aca="false">IF(AND(X$3&gt;=Blocks!$C$2,X$3&lt;Blocks!$C$2+5),Blocks!$B$2*Inputs!$B$12,0)+IF(AND(X$3&gt;=Blocks!$C$3,X$3&lt;Blocks!$C$3+5),Blocks!$B$3*Inputs!$B$12,0)+IF(AND(X$3&gt;=Blocks!$C$4,X$3&lt;Blocks!$C$4+5),Blocks!$B$4*Inputs!$B$12,0)+IF(AND(X$3&gt;=Blocks!$C$5,X$3&lt;Blocks!$C$5+5),Blocks!$B$5*Inputs!$B$12,0)</f>
        <v>0</v>
      </c>
      <c r="Y14" s="0" t="n">
        <f aca="false">IF(AND(Y$3&gt;=Blocks!$C$2,Y$3&lt;Blocks!$C$2+5),Blocks!$B$2*Inputs!$B$12,0)+IF(AND(Y$3&gt;=Blocks!$C$3,Y$3&lt;Blocks!$C$3+5),Blocks!$B$3*Inputs!$B$12,0)+IF(AND(Y$3&gt;=Blocks!$C$4,Y$3&lt;Blocks!$C$4+5),Blocks!$B$4*Inputs!$B$12,0)+IF(AND(Y$3&gt;=Blocks!$C$5,Y$3&lt;Blocks!$C$5+5),Blocks!$B$5*Inputs!$B$12,0)</f>
        <v>0</v>
      </c>
      <c r="Z14" s="0" t="n">
        <f aca="false">IF(AND(Z$3&gt;=Blocks!$C$2,Z$3&lt;Blocks!$C$2+5),Blocks!$B$2*Inputs!$B$12,0)+IF(AND(Z$3&gt;=Blocks!$C$3,Z$3&lt;Blocks!$C$3+5),Blocks!$B$3*Inputs!$B$12,0)+IF(AND(Z$3&gt;=Blocks!$C$4,Z$3&lt;Blocks!$C$4+5),Blocks!$B$4*Inputs!$B$12,0)+IF(AND(Z$3&gt;=Blocks!$C$5,Z$3&lt;Blocks!$C$5+5),Blocks!$B$5*Inputs!$B$12,0)</f>
        <v>0</v>
      </c>
      <c r="AA14" s="0" t="n">
        <f aca="false">IF(AND(AA$3&gt;=Blocks!$C$2,AA$3&lt;Blocks!$C$2+5),Blocks!$B$2*Inputs!$B$12,0)+IF(AND(AA$3&gt;=Blocks!$C$3,AA$3&lt;Blocks!$C$3+5),Blocks!$B$3*Inputs!$B$12,0)+IF(AND(AA$3&gt;=Blocks!$C$4,AA$3&lt;Blocks!$C$4+5),Blocks!$B$4*Inputs!$B$12,0)+IF(AND(AA$3&gt;=Blocks!$C$5,AA$3&lt;Blocks!$C$5+5),Blocks!$B$5*Inputs!$B$12,0)</f>
        <v>0</v>
      </c>
      <c r="AB14" s="0" t="n">
        <f aca="false">IF(AND(AB$3&gt;=Blocks!$C$2,AB$3&lt;Blocks!$C$2+5),Blocks!$B$2*Inputs!$B$12,0)+IF(AND(AB$3&gt;=Blocks!$C$3,AB$3&lt;Blocks!$C$3+5),Blocks!$B$3*Inputs!$B$12,0)+IF(AND(AB$3&gt;=Blocks!$C$4,AB$3&lt;Blocks!$C$4+5),Blocks!$B$4*Inputs!$B$12,0)+IF(AND(AB$3&gt;=Blocks!$C$5,AB$3&lt;Blocks!$C$5+5),Blocks!$B$5*Inputs!$B$12,0)</f>
        <v>0</v>
      </c>
      <c r="AC14" s="0" t="n">
        <f aca="false">IF(AND(AC$3&gt;=Blocks!$C$2,AC$3&lt;Blocks!$C$2+5),Blocks!$B$2*Inputs!$B$12,0)+IF(AND(AC$3&gt;=Blocks!$C$3,AC$3&lt;Blocks!$C$3+5),Blocks!$B$3*Inputs!$B$12,0)+IF(AND(AC$3&gt;=Blocks!$C$4,AC$3&lt;Blocks!$C$4+5),Blocks!$B$4*Inputs!$B$12,0)+IF(AND(AC$3&gt;=Blocks!$C$5,AC$3&lt;Blocks!$C$5+5),Blocks!$B$5*Inputs!$B$12,0)</f>
        <v>0</v>
      </c>
      <c r="AD14" s="0" t="n">
        <f aca="false">IF(AND(AD$3&gt;=Blocks!$C$2,AD$3&lt;Blocks!$C$2+5),Blocks!$B$2*Inputs!$B$12,0)+IF(AND(AD$3&gt;=Blocks!$C$3,AD$3&lt;Blocks!$C$3+5),Blocks!$B$3*Inputs!$B$12,0)+IF(AND(AD$3&gt;=Blocks!$C$4,AD$3&lt;Blocks!$C$4+5),Blocks!$B$4*Inputs!$B$12,0)+IF(AND(AD$3&gt;=Blocks!$C$5,AD$3&lt;Blocks!$C$5+5),Blocks!$B$5*Inputs!$B$12,0)</f>
        <v>0</v>
      </c>
      <c r="AE14" s="0" t="n">
        <f aca="false">IF(AND(AE$3&gt;=Blocks!$C$2,AE$3&lt;Blocks!$C$2+5),Blocks!$B$2*Inputs!$B$12,0)+IF(AND(AE$3&gt;=Blocks!$C$3,AE$3&lt;Blocks!$C$3+5),Blocks!$B$3*Inputs!$B$12,0)+IF(AND(AE$3&gt;=Blocks!$C$4,AE$3&lt;Blocks!$C$4+5),Blocks!$B$4*Inputs!$B$12,0)+IF(AND(AE$3&gt;=Blocks!$C$5,AE$3&lt;Blocks!$C$5+5),Blocks!$B$5*Inputs!$B$12,0)</f>
        <v>0</v>
      </c>
      <c r="AF14" s="0" t="n">
        <f aca="false">IF(AND(AF$3&gt;=Blocks!$C$2,AF$3&lt;Blocks!$C$2+5),Blocks!$B$2*Inputs!$B$12,0)+IF(AND(AF$3&gt;=Blocks!$C$3,AF$3&lt;Blocks!$C$3+5),Blocks!$B$3*Inputs!$B$12,0)+IF(AND(AF$3&gt;=Blocks!$C$4,AF$3&lt;Blocks!$C$4+5),Blocks!$B$4*Inputs!$B$12,0)+IF(AND(AF$3&gt;=Blocks!$C$5,AF$3&lt;Blocks!$C$5+5),Blocks!$B$5*Inputs!$B$12,0)</f>
        <v>0</v>
      </c>
    </row>
    <row r="15" customFormat="false" ht="15" hidden="false" customHeight="false" outlineLevel="0" collapsed="false">
      <c r="A15" s="0" t="s">
        <v>34</v>
      </c>
      <c r="B15" s="1" t="n">
        <f aca="false">IF(B$3=0,Inputs!$B$13,0)</f>
        <v>185000000</v>
      </c>
      <c r="C15" s="0" t="n">
        <f aca="false">IF(C$3=0,Inputs!$B$13,0)</f>
        <v>0</v>
      </c>
      <c r="D15" s="0" t="n">
        <f aca="false">IF(D$3=0,Inputs!$B$13,0)</f>
        <v>0</v>
      </c>
      <c r="E15" s="0" t="n">
        <f aca="false">IF(E$3=0,Inputs!$B$13,0)</f>
        <v>0</v>
      </c>
      <c r="F15" s="0" t="n">
        <f aca="false">IF(F$3=0,Inputs!$B$13,0)</f>
        <v>0</v>
      </c>
      <c r="G15" s="0" t="n">
        <f aca="false">IF(G$3=0,Inputs!$B$13,0)</f>
        <v>0</v>
      </c>
      <c r="H15" s="0" t="n">
        <f aca="false">IF(H$3=0,Inputs!$B$13,0)</f>
        <v>0</v>
      </c>
      <c r="I15" s="0" t="n">
        <f aca="false">IF(I$3=0,Inputs!$B$13,0)</f>
        <v>0</v>
      </c>
      <c r="J15" s="0" t="n">
        <f aca="false">IF(J$3=0,Inputs!$B$13,0)</f>
        <v>0</v>
      </c>
      <c r="K15" s="0" t="n">
        <f aca="false">IF(K$3=0,Inputs!$B$13,0)</f>
        <v>0</v>
      </c>
      <c r="L15" s="0" t="n">
        <f aca="false">IF(L$3=0,Inputs!$B$13,0)</f>
        <v>0</v>
      </c>
      <c r="M15" s="0" t="n">
        <f aca="false">IF(M$3=0,Inputs!$B$13,0)</f>
        <v>0</v>
      </c>
      <c r="N15" s="0" t="n">
        <f aca="false">IF(N$3=0,Inputs!$B$13,0)</f>
        <v>0</v>
      </c>
      <c r="O15" s="0" t="n">
        <f aca="false">IF(O$3=0,Inputs!$B$13,0)</f>
        <v>0</v>
      </c>
      <c r="P15" s="0" t="n">
        <f aca="false">IF(P$3=0,Inputs!$B$13,0)</f>
        <v>0</v>
      </c>
      <c r="Q15" s="0" t="n">
        <f aca="false">IF(Q$3=0,Inputs!$B$13,0)</f>
        <v>0</v>
      </c>
      <c r="R15" s="0" t="n">
        <f aca="false">IF(R$3=0,Inputs!$B$13,0)</f>
        <v>0</v>
      </c>
      <c r="S15" s="0" t="n">
        <f aca="false">IF(S$3=0,Inputs!$B$13,0)</f>
        <v>0</v>
      </c>
      <c r="T15" s="0" t="n">
        <f aca="false">IF(T$3=0,Inputs!$B$13,0)</f>
        <v>0</v>
      </c>
      <c r="U15" s="0" t="n">
        <f aca="false">IF(U$3=0,Inputs!$B$13,0)</f>
        <v>0</v>
      </c>
      <c r="V15" s="0" t="n">
        <f aca="false">IF(V$3=0,Inputs!$B$13,0)</f>
        <v>0</v>
      </c>
      <c r="W15" s="0" t="n">
        <f aca="false">IF(W$3=0,Inputs!$B$13,0)</f>
        <v>0</v>
      </c>
      <c r="X15" s="0" t="n">
        <f aca="false">IF(X$3=0,Inputs!$B$13,0)</f>
        <v>0</v>
      </c>
      <c r="Y15" s="0" t="n">
        <f aca="false">IF(Y$3=0,Inputs!$B$13,0)</f>
        <v>0</v>
      </c>
      <c r="Z15" s="0" t="n">
        <f aca="false">IF(Z$3=0,Inputs!$B$13,0)</f>
        <v>0</v>
      </c>
      <c r="AA15" s="0" t="n">
        <f aca="false">IF(AA$3=0,Inputs!$B$13,0)</f>
        <v>0</v>
      </c>
      <c r="AB15" s="0" t="n">
        <f aca="false">IF(AB$3=0,Inputs!$B$13,0)</f>
        <v>0</v>
      </c>
      <c r="AC15" s="0" t="n">
        <f aca="false">IF(AC$3=0,Inputs!$B$13,0)</f>
        <v>0</v>
      </c>
      <c r="AD15" s="0" t="n">
        <f aca="false">IF(AD$3=0,Inputs!$B$13,0)</f>
        <v>0</v>
      </c>
      <c r="AE15" s="0" t="n">
        <f aca="false">IF(AE$3=0,Inputs!$B$13,0)</f>
        <v>0</v>
      </c>
      <c r="AF15" s="0" t="n">
        <f aca="false">IF(AF$3=0,Inputs!$B$13,0)</f>
        <v>0</v>
      </c>
    </row>
    <row r="16" customFormat="false" ht="15" hidden="false" customHeight="false" outlineLevel="0" collapsed="false">
      <c r="A16" s="0" t="s">
        <v>35</v>
      </c>
      <c r="B16" s="0" t="n">
        <f aca="false">B11-B12-B13+B14-B15</f>
        <v>-203270000</v>
      </c>
      <c r="C16" s="0" t="n">
        <f aca="false">C11-C12-C13+C14-C15</f>
        <v>-7646100</v>
      </c>
      <c r="D16" s="0" t="n">
        <f aca="false">D11-D12-D13+D14-D15</f>
        <v>-25626612</v>
      </c>
      <c r="E16" s="0" t="n">
        <f aca="false">E11-E12-E13+E14-E15</f>
        <v>-15743267.6</v>
      </c>
      <c r="F16" s="0" t="n">
        <f aca="false">F11-F12-F13+F14-F15</f>
        <v>-37270019.5465844</v>
      </c>
      <c r="G16" s="0" t="n">
        <f aca="false">G11-G12-G13+G14-G15</f>
        <v>-25816376.0676626</v>
      </c>
      <c r="H16" s="0" t="n">
        <f aca="false">H11-H12-H13+H14-H15</f>
        <v>-12791269.7886773</v>
      </c>
      <c r="I16" s="0" t="n">
        <f aca="false">I11-I12-I13+I14-I15</f>
        <v>-31716323.5221113</v>
      </c>
      <c r="J16" s="0" t="n">
        <f aca="false">J11-J12-J13+J14-J15</f>
        <v>3658991.08979831</v>
      </c>
      <c r="K16" s="0" t="n">
        <f aca="false">K11-K12-K13+K14-K15</f>
        <v>99865.3609925285</v>
      </c>
      <c r="L16" s="0" t="n">
        <f aca="false">L11-L12-L13+L14-L15</f>
        <v>39441122.0924822</v>
      </c>
      <c r="M16" s="0" t="n">
        <f aca="false">M11-M12-M13+M14-M15</f>
        <v>43213766.1393213</v>
      </c>
      <c r="N16" s="0" t="n">
        <f aca="false">N11-N12-N13+N14-N15</f>
        <v>56734983.5233197</v>
      </c>
      <c r="O16" s="0" t="n">
        <f aca="false">O11-O12-O13+O14-O15</f>
        <v>81005182.0080251</v>
      </c>
      <c r="P16" s="0" t="n">
        <f aca="false">P11-P12-P13+P14-P15</f>
        <v>87680560.6004244</v>
      </c>
      <c r="Q16" s="0" t="n">
        <f aca="false">Q11-Q12-Q13+Q14-Q15</f>
        <v>124002883.83363</v>
      </c>
      <c r="R16" s="0" t="n">
        <f aca="false">R11-R12-R13+R14-R15</f>
        <v>104618738.379211</v>
      </c>
      <c r="S16" s="0" t="n">
        <f aca="false">S11-S12-S13+S14-S15</f>
        <v>149963599.567979</v>
      </c>
      <c r="T16" s="0" t="n">
        <f aca="false">T11-T12-T13+T14-T15</f>
        <v>152341400.849605</v>
      </c>
      <c r="U16" s="0" t="n">
        <f aca="false">U11-U12-U13+U14-U15</f>
        <v>155141207.05246</v>
      </c>
      <c r="V16" s="0" t="n">
        <f aca="false">V11-V12-V13+V14-V15</f>
        <v>171070577.270557</v>
      </c>
      <c r="W16" s="0" t="n">
        <f aca="false">W11-W12-W13+W14-W15</f>
        <v>173812890.991733</v>
      </c>
      <c r="X16" s="0" t="n">
        <f aca="false">X11-X12-X13+X14-X15</f>
        <v>184805120.30921</v>
      </c>
      <c r="Y16" s="0" t="n">
        <f aca="false">Y11-Y12-Y13+Y14-Y15</f>
        <v>187780767.833663</v>
      </c>
      <c r="Z16" s="0" t="n">
        <f aca="false">Z11-Z12-Z13+Z14-Z15</f>
        <v>168596203.019605</v>
      </c>
      <c r="AA16" s="0" t="n">
        <f aca="false">AA11-AA12-AA13+AA14-AA15</f>
        <v>185428208.119817</v>
      </c>
      <c r="AB16" s="0" t="n">
        <f aca="false">AB11-AB12-AB13+AB14-AB15</f>
        <v>167042390.05733</v>
      </c>
      <c r="AC16" s="0" t="n">
        <f aca="false">AC11-AC12-AC13+AC14-AC15</f>
        <v>183381957.969979</v>
      </c>
      <c r="AD16" s="0" t="n">
        <f aca="false">AD11-AD12-AD13+AD14-AD15</f>
        <v>155876471.483008</v>
      </c>
      <c r="AE16" s="0" t="n">
        <f aca="false">AE11-AE12-AE13+AE14-AE15</f>
        <v>178014396.530571</v>
      </c>
      <c r="AF16" s="0" t="n">
        <f aca="false">AF11-AF12-AF13+AF14-AF15</f>
        <v>180688615.830923</v>
      </c>
    </row>
    <row r="17" customFormat="false" ht="15" hidden="false" customHeight="false" outlineLevel="0" collapsed="false">
      <c r="A17" s="0" t="s">
        <v>36</v>
      </c>
      <c r="B17" s="0" t="n">
        <f aca="false">SUM($B$16:B16)</f>
        <v>-203270000</v>
      </c>
      <c r="C17" s="0" t="n">
        <f aca="false">SUM($B$16:C16)</f>
        <v>-210916100</v>
      </c>
      <c r="D17" s="0" t="n">
        <f aca="false">SUM($B$16:D16)</f>
        <v>-236542712</v>
      </c>
      <c r="E17" s="0" t="n">
        <f aca="false">SUM($B$16:E16)</f>
        <v>-252285979.6</v>
      </c>
      <c r="F17" s="0" t="n">
        <f aca="false">SUM($B$16:F16)</f>
        <v>-289555999.146584</v>
      </c>
      <c r="G17" s="0" t="n">
        <f aca="false">SUM($B$16:G16)</f>
        <v>-315372375.214247</v>
      </c>
      <c r="H17" s="0" t="n">
        <f aca="false">SUM($B$16:H16)</f>
        <v>-328163645.002924</v>
      </c>
      <c r="I17" s="0" t="n">
        <f aca="false">SUM($B$16:I16)</f>
        <v>-359879968.525036</v>
      </c>
      <c r="J17" s="0" t="n">
        <f aca="false">SUM($B$16:J16)</f>
        <v>-356220977.435237</v>
      </c>
      <c r="K17" s="0" t="n">
        <f aca="false">SUM($B$16:K16)</f>
        <v>-356121112.074245</v>
      </c>
      <c r="L17" s="0" t="n">
        <f aca="false">SUM($B$16:L16)</f>
        <v>-316679989.981763</v>
      </c>
      <c r="M17" s="0" t="n">
        <f aca="false">SUM($B$16:M16)</f>
        <v>-273466223.842441</v>
      </c>
      <c r="N17" s="0" t="n">
        <f aca="false">SUM($B$16:N16)</f>
        <v>-216731240.319122</v>
      </c>
      <c r="O17" s="0" t="n">
        <f aca="false">SUM($B$16:O16)</f>
        <v>-135726058.311097</v>
      </c>
      <c r="P17" s="0" t="n">
        <f aca="false">SUM($B$16:P16)</f>
        <v>-48045497.710672</v>
      </c>
      <c r="Q17" s="0" t="n">
        <f aca="false">SUM($B$16:Q16)</f>
        <v>75957386.1229584</v>
      </c>
      <c r="R17" s="0" t="n">
        <f aca="false">SUM($B$16:R16)</f>
        <v>180576124.50217</v>
      </c>
      <c r="S17" s="0" t="n">
        <f aca="false">SUM($B$16:S16)</f>
        <v>330539724.070149</v>
      </c>
      <c r="T17" s="0" t="n">
        <f aca="false">SUM($B$16:T16)</f>
        <v>482881124.919754</v>
      </c>
      <c r="U17" s="0" t="n">
        <f aca="false">SUM($B$16:U16)</f>
        <v>638022331.972214</v>
      </c>
      <c r="V17" s="0" t="n">
        <f aca="false">SUM($B$16:V16)</f>
        <v>809092909.242771</v>
      </c>
      <c r="W17" s="0" t="n">
        <f aca="false">SUM($B$16:W16)</f>
        <v>982905800.234504</v>
      </c>
      <c r="X17" s="0" t="n">
        <f aca="false">SUM($B$16:X16)</f>
        <v>1167710920.54371</v>
      </c>
      <c r="Y17" s="0" t="n">
        <f aca="false">SUM($B$16:Y16)</f>
        <v>1355491688.37738</v>
      </c>
      <c r="Z17" s="0" t="n">
        <f aca="false">SUM($B$16:Z16)</f>
        <v>1524087891.39698</v>
      </c>
      <c r="AA17" s="0" t="n">
        <f aca="false">SUM($B$16:AA16)</f>
        <v>1709516099.5168</v>
      </c>
      <c r="AB17" s="0" t="n">
        <f aca="false">SUM($B$16:AB16)</f>
        <v>1876558489.57413</v>
      </c>
      <c r="AC17" s="0" t="n">
        <f aca="false">SUM($B$16:AC16)</f>
        <v>2059940447.54411</v>
      </c>
      <c r="AD17" s="0" t="n">
        <f aca="false">SUM($B$16:AD16)</f>
        <v>2215816919.02711</v>
      </c>
      <c r="AE17" s="0" t="n">
        <f aca="false">SUM($B$16:AE16)</f>
        <v>2393831315.55769</v>
      </c>
      <c r="AF17" s="0" t="n">
        <f aca="false">SUM($B$16:AF16)</f>
        <v>2574519931.38861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37</v>
      </c>
      <c r="B3" s="2" t="n">
        <f aca="false">IRR('Cash Flow'!$B$16:$AF$16)</f>
        <v>0.119511261631415</v>
      </c>
    </row>
    <row r="4" customFormat="false" ht="15" hidden="false" customHeight="false" outlineLevel="0" collapsed="false">
      <c r="A4" s="0" t="s">
        <v>38</v>
      </c>
      <c r="B4" s="1" t="n">
        <f aca="false">'Cash Flow'!$B$16+NPV(Inputs!$B$14,'Cash Flow'!$C$16:$AF$16)</f>
        <v>186759108.686567</v>
      </c>
    </row>
    <row r="5" customFormat="false" ht="15" hidden="false" customHeight="false" outlineLevel="0" collapsed="false">
      <c r="A5" s="0" t="s">
        <v>39</v>
      </c>
      <c r="B5" s="1" t="n">
        <f aca="false">MAX('Cash Flow'!$B$9:$AF$9)</f>
        <v>13600</v>
      </c>
    </row>
    <row r="6" customFormat="false" ht="15" hidden="false" customHeight="false" outlineLevel="0" collapsed="false">
      <c r="A6" s="0" t="s">
        <v>40</v>
      </c>
      <c r="B6" s="3" t="n">
        <f aca="false">IF(INDEX('Cash Flow'!$B$17:$AF$17,30+1)&gt;0,COUNTIF('Cash Flow'!$B$17:$AF$17,"&lt;=0"),"not reached")</f>
        <v>15</v>
      </c>
    </row>
    <row r="7" customFormat="false" ht="15" hidden="false" customHeight="false" outlineLevel="0" collapsed="false">
      <c r="A7" s="0" t="s">
        <v>41</v>
      </c>
      <c r="B7" s="1" t="n">
        <f aca="false">SUM('Cash Flow'!$B$11:$AF$11)</f>
        <v>4655588162.00634</v>
      </c>
    </row>
    <row r="8" customFormat="false" ht="15" hidden="false" customHeight="false" outlineLevel="0" collapsed="false">
      <c r="A8" s="0" t="s">
        <v>42</v>
      </c>
      <c r="B8" s="1" t="n">
        <f aca="false">SUM('Cash Flow'!$B$16:$AF$16)</f>
        <v>2574519931.38861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2026-10-17T21:43:14Z</dcterms:created>
  <dc:creator>openpyxl</dc:creator>
  <dc:description/>
  <dc:language>en-US</dc:language>
  <cp:lastModifiedBy/>
  <dcterms:modified xsi:type="dcterms:W3CDTF">2026-10-17T21:43:14Z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