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Flow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<sst xmlns="http://schemas.openxmlformats.org/spreadsheetml/2006/main" count="57" uniqueCount="48">
  <si>
    <t xml:space="preserve">AL WAHA MIXED-USE · inputs</t>
  </si>
  <si>
    <t xml:space="preserve">General</t>
  </si>
  <si>
    <t xml:space="preserve">Project start date</t>
  </si>
  <si>
    <t xml:space="preserve">date</t>
  </si>
  <si>
    <t xml:space="preserve">Land</t>
  </si>
  <si>
    <t xml:space="preserve">SAR</t>
  </si>
  <si>
    <t xml:space="preserve">Build period</t>
  </si>
  <si>
    <t xml:space="preserve">years</t>
  </si>
  <si>
    <t xml:space="preserve">Hold after completion</t>
  </si>
  <si>
    <t xml:space="preserve">Phase 1 · Residential</t>
  </si>
  <si>
    <t xml:space="preserve">Residential GLA</t>
  </si>
  <si>
    <t xml:space="preserve">sqm</t>
  </si>
  <si>
    <t xml:space="preserve">Residential rent</t>
  </si>
  <si>
    <t xml:space="preserve">SAR/sqm/yr</t>
  </si>
  <si>
    <t xml:space="preserve">Construction cost</t>
  </si>
  <si>
    <t xml:space="preserve">SAR/sqm</t>
  </si>
  <si>
    <t xml:space="preserve">Phase 2 · Retail</t>
  </si>
  <si>
    <t xml:space="preserve">Retail GLA</t>
  </si>
  <si>
    <t xml:space="preserve">Retail rent</t>
  </si>
  <si>
    <t xml:space="preserve">Operations</t>
  </si>
  <si>
    <t xml:space="preserve">Vacancy</t>
  </si>
  <si>
    <t xml:space="preserve">%</t>
  </si>
  <si>
    <t xml:space="preserve">Operating costs</t>
  </si>
  <si>
    <t xml:space="preserve">% of rent</t>
  </si>
  <si>
    <t xml:space="preserve">Rent growth</t>
  </si>
  <si>
    <t xml:space="preserve">% p.a.</t>
  </si>
  <si>
    <t xml:space="preserve">Exit yield</t>
  </si>
  <si>
    <t xml:space="preserve">Funding</t>
  </si>
  <si>
    <t xml:space="preserve">Debt (loan to cost)</t>
  </si>
  <si>
    <t xml:space="preserve">Interest rate</t>
  </si>
  <si>
    <t xml:space="preserve">Annual cash flow (SAR)</t>
  </si>
  <si>
    <t xml:space="preserve">Year</t>
  </si>
  <si>
    <t xml:space="preserve">Date</t>
  </si>
  <si>
    <t xml:space="preserve">Construction</t>
  </si>
  <si>
    <t xml:space="preserve">Rent (net)</t>
  </si>
  <si>
    <t xml:space="preserve">Exit value</t>
  </si>
  <si>
    <t xml:space="preserve">Unlevered cash flow</t>
  </si>
  <si>
    <t xml:space="preserve">Debt draw</t>
  </si>
  <si>
    <t xml:space="preserve">Interest</t>
  </si>
  <si>
    <t xml:space="preserve">Debt repayment</t>
  </si>
  <si>
    <t xml:space="preserve">Levered cash flow</t>
  </si>
  <si>
    <t xml:space="preserve">AL WAHA MIXED-USE</t>
  </si>
  <si>
    <t xml:space="preserve">Total development cost</t>
  </si>
  <si>
    <t xml:space="preserve">Net profit</t>
  </si>
  <si>
    <t xml:space="preserve">Profit on cost</t>
  </si>
  <si>
    <t xml:space="preserve">Project IRR (unlevered)</t>
  </si>
  <si>
    <t xml:space="preserve">Equity IRR (levered)</t>
  </si>
  <si>
    <t xml:space="preserve">Peak debt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</si>
</sst>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0.0"/>
    <numFmt numFmtId="168" formatCode="0.0%"/>
    <numFmt numFmtId="169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2" t="n">
        <v>46023</v>
      </c>
    </row>
    <row r="5" customFormat="false" ht="15" hidden="false" customHeight="false" outlineLevel="0" collapsed="false">
      <c r="A5" s="0" t="s">
        <v>4</v>
      </c>
      <c r="B5" s="0" t="s">
        <v>5</v>
      </c>
      <c r="C5" s="3" t="n">
        <v>60000000</v>
      </c>
    </row>
    <row r="6" customFormat="false" ht="15" hidden="false" customHeight="false" outlineLevel="0" collapsed="false">
      <c r="A6" s="0" t="s">
        <v>6</v>
      </c>
      <c r="B6" s="0" t="s">
        <v>7</v>
      </c>
      <c r="C6" s="3" t="n">
        <v>2</v>
      </c>
    </row>
    <row r="7" customFormat="false" ht="15" hidden="false" customHeight="false" outlineLevel="0" collapsed="false">
      <c r="A7" s="0" t="s">
        <v>8</v>
      </c>
      <c r="B7" s="0" t="s">
        <v>7</v>
      </c>
      <c r="C7" s="3" t="n">
        <v>5</v>
      </c>
    </row>
    <row r="8" customFormat="false" ht="15" hidden="false" customHeight="false" outlineLevel="0" collapsed="false">
      <c r="A8" s="1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  <c r="C9" s="3" t="n">
        <v>24000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3" t="n">
        <v>1100</v>
      </c>
    </row>
    <row r="11" customFormat="false" ht="15" hidden="false" customHeight="false" outlineLevel="0" collapsed="false">
      <c r="A11" s="0" t="s">
        <v>14</v>
      </c>
      <c r="B11" s="0" t="s">
        <v>15</v>
      </c>
      <c r="C11" s="3" t="n">
        <v>4200</v>
      </c>
    </row>
    <row r="12" customFormat="false" ht="15" hidden="false" customHeight="false" outlineLevel="0" collapsed="false">
      <c r="A12" s="1" t="s">
        <v>16</v>
      </c>
    </row>
    <row r="13" customFormat="false" ht="15" hidden="false" customHeight="false" outlineLevel="0" collapsed="false">
      <c r="A13" s="0" t="s">
        <v>17</v>
      </c>
      <c r="B13" s="0" t="s">
        <v>11</v>
      </c>
      <c r="C13" s="3" t="n">
        <v>9000</v>
      </c>
    </row>
    <row r="14" customFormat="false" ht="15" hidden="false" customHeight="false" outlineLevel="0" collapsed="false">
      <c r="A14" s="0" t="s">
        <v>18</v>
      </c>
      <c r="B14" s="0" t="s">
        <v>13</v>
      </c>
      <c r="C14" s="3" t="n">
        <v>1800</v>
      </c>
    </row>
    <row r="15" customFormat="false" ht="15" hidden="false" customHeight="false" outlineLevel="0" collapsed="false">
      <c r="A15" s="0" t="s">
        <v>14</v>
      </c>
      <c r="B15" s="0" t="s">
        <v>15</v>
      </c>
      <c r="C15" s="3" t="n">
        <v>5000</v>
      </c>
    </row>
    <row r="16" customFormat="false" ht="15" hidden="false" customHeight="false" outlineLevel="0" collapsed="false">
      <c r="A16" s="1" t="s">
        <v>19</v>
      </c>
    </row>
    <row r="17" customFormat="false" ht="15" hidden="false" customHeight="false" outlineLevel="0" collapsed="false">
      <c r="A17" s="0" t="s">
        <v>20</v>
      </c>
      <c r="B17" s="0" t="s">
        <v>21</v>
      </c>
      <c r="C17" s="4" t="n">
        <v>5</v>
      </c>
    </row>
    <row r="18" customFormat="false" ht="15" hidden="false" customHeight="false" outlineLevel="0" collapsed="false">
      <c r="A18" s="0" t="s">
        <v>22</v>
      </c>
      <c r="B18" s="0" t="s">
        <v>23</v>
      </c>
      <c r="C18" s="4" t="n">
        <v>20</v>
      </c>
    </row>
    <row r="19" customFormat="false" ht="15" hidden="false" customHeight="false" outlineLevel="0" collapsed="false">
      <c r="A19" s="0" t="s">
        <v>24</v>
      </c>
      <c r="B19" s="0" t="s">
        <v>25</v>
      </c>
      <c r="C19" s="4" t="n">
        <v>3</v>
      </c>
    </row>
    <row r="20" customFormat="false" ht="15" hidden="false" customHeight="false" outlineLevel="0" collapsed="false">
      <c r="A20" s="0" t="s">
        <v>26</v>
      </c>
      <c r="B20" s="0" t="s">
        <v>21</v>
      </c>
      <c r="C20" s="4" t="n">
        <v>7.5</v>
      </c>
    </row>
    <row r="21" customFormat="false" ht="15" hidden="false" customHeight="false" outlineLevel="0" collapsed="false">
      <c r="A21" s="1" t="s">
        <v>27</v>
      </c>
    </row>
    <row r="22" customFormat="false" ht="15" hidden="false" customHeight="false" outlineLevel="0" collapsed="false">
      <c r="A22" s="0" t="s">
        <v>28</v>
      </c>
      <c r="B22" s="0" t="s">
        <v>21</v>
      </c>
      <c r="C22" s="4" t="n">
        <v>50</v>
      </c>
    </row>
    <row r="23" customFormat="false" ht="15" hidden="false" customHeight="false" outlineLevel="0" collapsed="false">
      <c r="A23" s="0" t="s">
        <v>29</v>
      </c>
      <c r="B23" s="0" t="s">
        <v>21</v>
      </c>
      <c r="C23" s="4" t="n">
        <v>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30</v>
      </c>
    </row>
    <row r="3" customFormat="false" ht="15" hidden="false" customHeight="false" outlineLevel="0" collapsed="false">
      <c r="A3" s="0" t="s">
        <v>31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</row>
    <row r="4" customFormat="false" ht="15" hidden="false" customHeight="false" outlineLevel="0" collapsed="false">
      <c r="A4" s="0" t="s">
        <v>32</v>
      </c>
      <c r="B4" s="2" t="n">
        <f aca="false">EDATE(Inputs!$C$4,12*B3)</f>
        <v>46023</v>
      </c>
      <c r="C4" s="2" t="n">
        <f aca="false">EDATE(Inputs!$C$4,12*C3)</f>
        <v>46388</v>
      </c>
      <c r="D4" s="2" t="n">
        <f aca="false">EDATE(Inputs!$C$4,12*D3)</f>
        <v>46753</v>
      </c>
      <c r="E4" s="2" t="n">
        <f aca="false">EDATE(Inputs!$C$4,12*E3)</f>
        <v>47119</v>
      </c>
      <c r="F4" s="2" t="n">
        <f aca="false">EDATE(Inputs!$C$4,12*F3)</f>
        <v>47484</v>
      </c>
      <c r="G4" s="2" t="n">
        <f aca="false">EDATE(Inputs!$C$4,12*G3)</f>
        <v>47849</v>
      </c>
      <c r="H4" s="2" t="n">
        <f aca="false">EDATE(Inputs!$C$4,12*H3)</f>
        <v>48214</v>
      </c>
      <c r="I4" s="2" t="n">
        <f aca="false">EDATE(Inputs!$C$4,12*I3)</f>
        <v>48580</v>
      </c>
      <c r="J4" s="2" t="n">
        <f aca="false">EDATE(Inputs!$C$4,12*J3)</f>
        <v>48945</v>
      </c>
      <c r="K4" s="2" t="n">
        <f aca="false">EDATE(Inputs!$C$4,12*K3)</f>
        <v>49310</v>
      </c>
    </row>
    <row r="5" customFormat="false" ht="15" hidden="false" customHeight="false" outlineLevel="0" collapsed="false">
      <c r="A5" s="0" t="s">
        <v>4</v>
      </c>
      <c r="B5" s="0" t="n">
        <f aca="false">IF(B3=0,-Inputs!$C$5,0)</f>
        <v>-60000000</v>
      </c>
      <c r="C5" s="0" t="n">
        <f aca="false">IF(C3=0,-Inputs!$C$5,0)</f>
        <v>0</v>
      </c>
      <c r="D5" s="0" t="n">
        <f aca="false">IF(D3=0,-Inputs!$C$5,0)</f>
        <v>0</v>
      </c>
      <c r="E5" s="0" t="n">
        <f aca="false">IF(E3=0,-Inputs!$C$5,0)</f>
        <v>0</v>
      </c>
      <c r="F5" s="0" t="n">
        <f aca="false">IF(F3=0,-Inputs!$C$5,0)</f>
        <v>0</v>
      </c>
      <c r="G5" s="0" t="n">
        <f aca="false">IF(G3=0,-Inputs!$C$5,0)</f>
        <v>0</v>
      </c>
      <c r="H5" s="0" t="n">
        <f aca="false">IF(H3=0,-Inputs!$C$5,0)</f>
        <v>0</v>
      </c>
      <c r="I5" s="0" t="n">
        <f aca="false">IF(I3=0,-Inputs!$C$5,0)</f>
        <v>0</v>
      </c>
      <c r="J5" s="0" t="n">
        <f aca="false">IF(J3=0,-Inputs!$C$5,0)</f>
        <v>0</v>
      </c>
      <c r="K5" s="0" t="n">
        <f aca="false">IF(K3=0,-Inputs!$C$5,0)</f>
        <v>0</v>
      </c>
    </row>
    <row r="6" customFormat="false" ht="15" hidden="false" customHeight="false" outlineLevel="0" collapsed="false">
      <c r="A6" s="0" t="s">
        <v>33</v>
      </c>
      <c r="B6" s="0" t="n">
        <f aca="false">IF(B3&lt;Inputs!$C$6,-(Inputs!$C$9*Inputs!$C$11+Inputs!$C$13*Inputs!$C$15)/Inputs!$C$6,0)</f>
        <v>-72900000</v>
      </c>
      <c r="C6" s="0" t="n">
        <f aca="false">IF(C3&lt;Inputs!$C$6,-(Inputs!$C$9*Inputs!$C$11+Inputs!$C$13*Inputs!$C$15)/Inputs!$C$6,0)</f>
        <v>-72900000</v>
      </c>
      <c r="D6" s="0" t="n">
        <f aca="false">IF(D3&lt;Inputs!$C$6,-(Inputs!$C$9*Inputs!$C$11+Inputs!$C$13*Inputs!$C$15)/Inputs!$C$6,0)</f>
        <v>0</v>
      </c>
      <c r="E6" s="0" t="n">
        <f aca="false">IF(E3&lt;Inputs!$C$6,-(Inputs!$C$9*Inputs!$C$11+Inputs!$C$13*Inputs!$C$15)/Inputs!$C$6,0)</f>
        <v>0</v>
      </c>
      <c r="F6" s="0" t="n">
        <f aca="false">IF(F3&lt;Inputs!$C$6,-(Inputs!$C$9*Inputs!$C$11+Inputs!$C$13*Inputs!$C$15)/Inputs!$C$6,0)</f>
        <v>0</v>
      </c>
      <c r="G6" s="0" t="n">
        <f aca="false">IF(G3&lt;Inputs!$C$6,-(Inputs!$C$9*Inputs!$C$11+Inputs!$C$13*Inputs!$C$15)/Inputs!$C$6,0)</f>
        <v>0</v>
      </c>
      <c r="H6" s="0" t="n">
        <f aca="false">IF(H3&lt;Inputs!$C$6,-(Inputs!$C$9*Inputs!$C$11+Inputs!$C$13*Inputs!$C$15)/Inputs!$C$6,0)</f>
        <v>0</v>
      </c>
      <c r="I6" s="0" t="n">
        <f aca="false">IF(I3&lt;Inputs!$C$6,-(Inputs!$C$9*Inputs!$C$11+Inputs!$C$13*Inputs!$C$15)/Inputs!$C$6,0)</f>
        <v>0</v>
      </c>
      <c r="J6" s="0" t="n">
        <f aca="false">IF(J3&lt;Inputs!$C$6,-(Inputs!$C$9*Inputs!$C$11+Inputs!$C$13*Inputs!$C$15)/Inputs!$C$6,0)</f>
        <v>0</v>
      </c>
      <c r="K6" s="0" t="n">
        <f aca="false">IF(K3&lt;Inputs!$C$6,-(Inputs!$C$9*Inputs!$C$11+Inputs!$C$13*Inputs!$C$15)/Inputs!$C$6,0)</f>
        <v>0</v>
      </c>
    </row>
    <row r="7" customFormat="false" ht="15" hidden="false" customHeight="false" outlineLevel="0" collapsed="false">
      <c r="A7" s="0" t="s">
        <v>34</v>
      </c>
      <c r="B7" s="0" t="n">
        <f aca="false">IF(AND(B3&gt;=Inputs!$C$6,B3&lt;Inputs!$C$6+Inputs!$C$7),(Inputs!$C$9*Inputs!$C$10+Inputs!$C$13*Inputs!$C$14)*(1-Inputs!$C$17/100)*(1-Inputs!$C$18/100)*(1+Inputs!$C$19/100)^(B3-Inputs!$C$6),0)</f>
        <v>0</v>
      </c>
      <c r="C7" s="0" t="n">
        <f aca="false">IF(AND(C3&gt;=Inputs!$C$6,C3&lt;Inputs!$C$6+Inputs!$C$7),(Inputs!$C$9*Inputs!$C$10+Inputs!$C$13*Inputs!$C$14)*(1-Inputs!$C$17/100)*(1-Inputs!$C$18/100)*(1+Inputs!$C$19/100)^(C3-Inputs!$C$6),0)</f>
        <v>0</v>
      </c>
      <c r="D7" s="0" t="n">
        <f aca="false">IF(AND(D3&gt;=Inputs!$C$6,D3&lt;Inputs!$C$6+Inputs!$C$7),(Inputs!$C$9*Inputs!$C$10+Inputs!$C$13*Inputs!$C$14)*(1-Inputs!$C$17/100)*(1-Inputs!$C$18/100)*(1+Inputs!$C$19/100)^(D3-Inputs!$C$6),0)</f>
        <v>32376000</v>
      </c>
      <c r="E7" s="0" t="n">
        <f aca="false">IF(AND(E3&gt;=Inputs!$C$6,E3&lt;Inputs!$C$6+Inputs!$C$7),(Inputs!$C$9*Inputs!$C$10+Inputs!$C$13*Inputs!$C$14)*(1-Inputs!$C$17/100)*(1-Inputs!$C$18/100)*(1+Inputs!$C$19/100)^(E3-Inputs!$C$6),0)</f>
        <v>33347280</v>
      </c>
      <c r="F7" s="0" t="n">
        <f aca="false">IF(AND(F3&gt;=Inputs!$C$6,F3&lt;Inputs!$C$6+Inputs!$C$7),(Inputs!$C$9*Inputs!$C$10+Inputs!$C$13*Inputs!$C$14)*(1-Inputs!$C$17/100)*(1-Inputs!$C$18/100)*(1+Inputs!$C$19/100)^(F3-Inputs!$C$6),0)</f>
        <v>34347698.4</v>
      </c>
      <c r="G7" s="0" t="n">
        <f aca="false">IF(AND(G3&gt;=Inputs!$C$6,G3&lt;Inputs!$C$6+Inputs!$C$7),(Inputs!$C$9*Inputs!$C$10+Inputs!$C$13*Inputs!$C$14)*(1-Inputs!$C$17/100)*(1-Inputs!$C$18/100)*(1+Inputs!$C$19/100)^(G3-Inputs!$C$6),0)</f>
        <v>35378129.352</v>
      </c>
      <c r="H7" s="0" t="n">
        <f aca="false">IF(AND(H3&gt;=Inputs!$C$6,H3&lt;Inputs!$C$6+Inputs!$C$7),(Inputs!$C$9*Inputs!$C$10+Inputs!$C$13*Inputs!$C$14)*(1-Inputs!$C$17/100)*(1-Inputs!$C$18/100)*(1+Inputs!$C$19/100)^(H3-Inputs!$C$6),0)</f>
        <v>36439473.23256</v>
      </c>
      <c r="I7" s="0" t="n">
        <f aca="false">IF(AND(I3&gt;=Inputs!$C$6,I3&lt;Inputs!$C$6+Inputs!$C$7),(Inputs!$C$9*Inputs!$C$10+Inputs!$C$13*Inputs!$C$14)*(1-Inputs!$C$17/100)*(1-Inputs!$C$18/100)*(1+Inputs!$C$19/100)^(I3-Inputs!$C$6),0)</f>
        <v>0</v>
      </c>
      <c r="J7" s="0" t="n">
        <f aca="false">IF(AND(J3&gt;=Inputs!$C$6,J3&lt;Inputs!$C$6+Inputs!$C$7),(Inputs!$C$9*Inputs!$C$10+Inputs!$C$13*Inputs!$C$14)*(1-Inputs!$C$17/100)*(1-Inputs!$C$18/100)*(1+Inputs!$C$19/100)^(J3-Inputs!$C$6),0)</f>
        <v>0</v>
      </c>
      <c r="K7" s="0" t="n">
        <f aca="false">IF(AND(K3&gt;=Inputs!$C$6,K3&lt;Inputs!$C$6+Inputs!$C$7),(Inputs!$C$9*Inputs!$C$10+Inputs!$C$13*Inputs!$C$14)*(1-Inputs!$C$17/100)*(1-Inputs!$C$18/100)*(1+Inputs!$C$19/100)^(K3-Inputs!$C$6),0)</f>
        <v>0</v>
      </c>
    </row>
    <row r="8" customFormat="false" ht="15" hidden="false" customHeight="false" outlineLevel="0" collapsed="false">
      <c r="A8" s="0" t="s">
        <v>35</v>
      </c>
      <c r="B8" s="0" t="n">
        <f aca="false">IF(B3=Inputs!$C$6+Inputs!$C$7-1,(Inputs!$C$9*Inputs!$C$10+Inputs!$C$13*Inputs!$C$14)*(1-Inputs!$C$17/100)*(1-Inputs!$C$18/100)*(1+Inputs!$C$19/100)^(B3-Inputs!$C$6+1)/(Inputs!$C$20/100),0)</f>
        <v>0</v>
      </c>
      <c r="C8" s="0" t="n">
        <f aca="false">IF(C3=Inputs!$C$6+Inputs!$C$7-1,(Inputs!$C$9*Inputs!$C$10+Inputs!$C$13*Inputs!$C$14)*(1-Inputs!$C$17/100)*(1-Inputs!$C$18/100)*(1+Inputs!$C$19/100)^(C3-Inputs!$C$6+1)/(Inputs!$C$20/100),0)</f>
        <v>0</v>
      </c>
      <c r="D8" s="0" t="n">
        <f aca="false">IF(D3=Inputs!$C$6+Inputs!$C$7-1,(Inputs!$C$9*Inputs!$C$10+Inputs!$C$13*Inputs!$C$14)*(1-Inputs!$C$17/100)*(1-Inputs!$C$18/100)*(1+Inputs!$C$19/100)^(D3-Inputs!$C$6+1)/(Inputs!$C$20/100),0)</f>
        <v>0</v>
      </c>
      <c r="E8" s="0" t="n">
        <f aca="false">IF(E3=Inputs!$C$6+Inputs!$C$7-1,(Inputs!$C$9*Inputs!$C$10+Inputs!$C$13*Inputs!$C$14)*(1-Inputs!$C$17/100)*(1-Inputs!$C$18/100)*(1+Inputs!$C$19/100)^(E3-Inputs!$C$6+1)/(Inputs!$C$20/100),0)</f>
        <v>0</v>
      </c>
      <c r="F8" s="0" t="n">
        <f aca="false">IF(F3=Inputs!$C$6+Inputs!$C$7-1,(Inputs!$C$9*Inputs!$C$10+Inputs!$C$13*Inputs!$C$14)*(1-Inputs!$C$17/100)*(1-Inputs!$C$18/100)*(1+Inputs!$C$19/100)^(F3-Inputs!$C$6+1)/(Inputs!$C$20/100),0)</f>
        <v>0</v>
      </c>
      <c r="G8" s="0" t="n">
        <f aca="false">IF(G3=Inputs!$C$6+Inputs!$C$7-1,(Inputs!$C$9*Inputs!$C$10+Inputs!$C$13*Inputs!$C$14)*(1-Inputs!$C$17/100)*(1-Inputs!$C$18/100)*(1+Inputs!$C$19/100)^(G3-Inputs!$C$6+1)/(Inputs!$C$20/100),0)</f>
        <v>0</v>
      </c>
      <c r="H8" s="0" t="n">
        <f aca="false">IF(H3=Inputs!$C$6+Inputs!$C$7-1,(Inputs!$C$9*Inputs!$C$10+Inputs!$C$13*Inputs!$C$14)*(1-Inputs!$C$17/100)*(1-Inputs!$C$18/100)*(1+Inputs!$C$19/100)^(H3-Inputs!$C$6+1)/(Inputs!$C$20/100),0)</f>
        <v>500435432.393824</v>
      </c>
      <c r="I8" s="0" t="n">
        <f aca="false">IF(I3=Inputs!$C$6+Inputs!$C$7-1,(Inputs!$C$9*Inputs!$C$10+Inputs!$C$13*Inputs!$C$14)*(1-Inputs!$C$17/100)*(1-Inputs!$C$18/100)*(1+Inputs!$C$19/100)^(I3-Inputs!$C$6+1)/(Inputs!$C$20/100),0)</f>
        <v>0</v>
      </c>
      <c r="J8" s="0" t="n">
        <f aca="false">IF(J3=Inputs!$C$6+Inputs!$C$7-1,(Inputs!$C$9*Inputs!$C$10+Inputs!$C$13*Inputs!$C$14)*(1-Inputs!$C$17/100)*(1-Inputs!$C$18/100)*(1+Inputs!$C$19/100)^(J3-Inputs!$C$6+1)/(Inputs!$C$20/100),0)</f>
        <v>0</v>
      </c>
      <c r="K8" s="0" t="n">
        <f aca="false">IF(K3=Inputs!$C$6+Inputs!$C$7-1,(Inputs!$C$9*Inputs!$C$10+Inputs!$C$13*Inputs!$C$14)*(1-Inputs!$C$17/100)*(1-Inputs!$C$18/100)*(1+Inputs!$C$19/100)^(K3-Inputs!$C$6+1)/(Inputs!$C$20/100),0)</f>
        <v>0</v>
      </c>
    </row>
    <row r="9" customFormat="false" ht="15" hidden="false" customHeight="false" outlineLevel="0" collapsed="false">
      <c r="A9" s="0" t="s">
        <v>36</v>
      </c>
      <c r="B9" s="0" t="n">
        <f aca="false">SUM(B5:B8)</f>
        <v>-132900000</v>
      </c>
      <c r="C9" s="0" t="n">
        <f aca="false">SUM(C5:C8)</f>
        <v>-72900000</v>
      </c>
      <c r="D9" s="0" t="n">
        <f aca="false">SUM(D5:D8)</f>
        <v>32376000</v>
      </c>
      <c r="E9" s="0" t="n">
        <f aca="false">SUM(E5:E8)</f>
        <v>33347280</v>
      </c>
      <c r="F9" s="0" t="n">
        <f aca="false">SUM(F5:F8)</f>
        <v>34347698.4</v>
      </c>
      <c r="G9" s="0" t="n">
        <f aca="false">SUM(G5:G8)</f>
        <v>35378129.352</v>
      </c>
      <c r="H9" s="0" t="n">
        <f aca="false">SUM(H5:H8)</f>
        <v>536874905.626384</v>
      </c>
      <c r="I9" s="0" t="n">
        <f aca="false">SUM(I5:I8)</f>
        <v>0</v>
      </c>
      <c r="J9" s="0" t="n">
        <f aca="false">SUM(J5:J8)</f>
        <v>0</v>
      </c>
      <c r="K9" s="0" t="n">
        <f aca="false">SUM(K5:K8)</f>
        <v>0</v>
      </c>
    </row>
    <row r="10" customFormat="false" ht="15" hidden="false" customHeight="false" outlineLevel="0" collapsed="false">
      <c r="A10" s="0" t="s">
        <v>37</v>
      </c>
      <c r="B10" s="0" t="n">
        <f aca="false">IF(B3&lt;Inputs!$C$6,-B6*Inputs!$C$22/100,0)</f>
        <v>36450000</v>
      </c>
      <c r="C10" s="0" t="n">
        <f aca="false">IF(C3&lt;Inputs!$C$6,-C6*Inputs!$C$22/100,0)</f>
        <v>36450000</v>
      </c>
      <c r="D10" s="0" t="n">
        <f aca="false">IF(D3&lt;Inputs!$C$6,-D6*Inputs!$C$22/100,0)</f>
        <v>0</v>
      </c>
      <c r="E10" s="0" t="n">
        <f aca="false">IF(E3&lt;Inputs!$C$6,-E6*Inputs!$C$22/100,0)</f>
        <v>0</v>
      </c>
      <c r="F10" s="0" t="n">
        <f aca="false">IF(F3&lt;Inputs!$C$6,-F6*Inputs!$C$22/100,0)</f>
        <v>0</v>
      </c>
      <c r="G10" s="0" t="n">
        <f aca="false">IF(G3&lt;Inputs!$C$6,-G6*Inputs!$C$22/100,0)</f>
        <v>0</v>
      </c>
      <c r="H10" s="0" t="n">
        <f aca="false">IF(H3&lt;Inputs!$C$6,-H6*Inputs!$C$22/100,0)</f>
        <v>0</v>
      </c>
      <c r="I10" s="0" t="n">
        <f aca="false">IF(I3&lt;Inputs!$C$6,-I6*Inputs!$C$22/100,0)</f>
        <v>0</v>
      </c>
      <c r="J10" s="0" t="n">
        <f aca="false">IF(J3&lt;Inputs!$C$6,-J6*Inputs!$C$22/100,0)</f>
        <v>0</v>
      </c>
      <c r="K10" s="0" t="n">
        <f aca="false">IF(K3&lt;Inputs!$C$6,-K6*Inputs!$C$22/100,0)</f>
        <v>0</v>
      </c>
    </row>
    <row r="11" customFormat="false" ht="15" hidden="false" customHeight="false" outlineLevel="0" collapsed="false">
      <c r="A11" s="0" t="s">
        <v>38</v>
      </c>
      <c r="B11" s="0" t="n">
        <f aca="false">-(0)*Inputs!$C$23/100</f>
        <v>-0</v>
      </c>
      <c r="C11" s="0" t="n">
        <f aca="false">-(SUM($B$10:B10)-SUM($B$12:B12))*Inputs!$C$23/100</f>
        <v>-2369250</v>
      </c>
      <c r="D11" s="0" t="n">
        <f aca="false">-(SUM($B$10:C10)-SUM($B$12:C12))*Inputs!$C$23/100</f>
        <v>-4738500</v>
      </c>
      <c r="E11" s="0" t="n">
        <f aca="false">-(SUM($B$10:D10)-SUM($B$12:D12))*Inputs!$C$23/100</f>
        <v>-4738500</v>
      </c>
      <c r="F11" s="0" t="n">
        <f aca="false">-(SUM($B$10:E10)-SUM($B$12:E12))*Inputs!$C$23/100</f>
        <v>-4738500</v>
      </c>
      <c r="G11" s="0" t="n">
        <f aca="false">-(SUM($B$10:F10)-SUM($B$12:F12))*Inputs!$C$23/100</f>
        <v>-4738500</v>
      </c>
      <c r="H11" s="0" t="n">
        <f aca="false">-(SUM($B$10:G10)-SUM($B$12:G12))*Inputs!$C$23/100</f>
        <v>-4738500</v>
      </c>
      <c r="I11" s="0" t="n">
        <f aca="false">-(SUM($B$10:H10)-SUM($B$12:H12))*Inputs!$C$23/100</f>
        <v>-0</v>
      </c>
      <c r="J11" s="0" t="n">
        <f aca="false">-(SUM($B$10:I10)-SUM($B$12:I12))*Inputs!$C$23/100</f>
        <v>-0</v>
      </c>
      <c r="K11" s="0" t="n">
        <f aca="false">-(SUM($B$10:J10)-SUM($B$12:J12))*Inputs!$C$23/100</f>
        <v>-0</v>
      </c>
    </row>
    <row r="12" customFormat="false" ht="15" hidden="false" customHeight="false" outlineLevel="0" collapsed="false">
      <c r="A12" s="0" t="s">
        <v>39</v>
      </c>
      <c r="B12" s="0" t="n">
        <f aca="false">IF(B3=Inputs!$C$6+Inputs!$C$7-1,SUM($B$10:B10)-0,0)</f>
        <v>0</v>
      </c>
      <c r="C12" s="0" t="n">
        <f aca="false">IF(C3=Inputs!$C$6+Inputs!$C$7-1,SUM($B$10:C10)-SUM($B$12:B12),0)</f>
        <v>0</v>
      </c>
      <c r="D12" s="0" t="n">
        <f aca="false">IF(D3=Inputs!$C$6+Inputs!$C$7-1,SUM($B$10:D10)-SUM($B$12:C12),0)</f>
        <v>0</v>
      </c>
      <c r="E12" s="0" t="n">
        <f aca="false">IF(E3=Inputs!$C$6+Inputs!$C$7-1,SUM($B$10:E10)-SUM($B$12:D12),0)</f>
        <v>0</v>
      </c>
      <c r="F12" s="0" t="n">
        <f aca="false">IF(F3=Inputs!$C$6+Inputs!$C$7-1,SUM($B$10:F10)-SUM($B$12:E12),0)</f>
        <v>0</v>
      </c>
      <c r="G12" s="0" t="n">
        <f aca="false">IF(G3=Inputs!$C$6+Inputs!$C$7-1,SUM($B$10:G10)-SUM($B$12:F12),0)</f>
        <v>0</v>
      </c>
      <c r="H12" s="0" t="n">
        <f aca="false">IF(H3=Inputs!$C$6+Inputs!$C$7-1,SUM($B$10:H10)-SUM($B$12:G12),0)</f>
        <v>72900000</v>
      </c>
      <c r="I12" s="0" t="n">
        <f aca="false">IF(I3=Inputs!$C$6+Inputs!$C$7-1,SUM($B$10:I10)-SUM($B$12:H12),0)</f>
        <v>0</v>
      </c>
      <c r="J12" s="0" t="n">
        <f aca="false">IF(J3=Inputs!$C$6+Inputs!$C$7-1,SUM($B$10:J10)-SUM($B$12:I12),0)</f>
        <v>0</v>
      </c>
      <c r="K12" s="0" t="n">
        <f aca="false">IF(K3=Inputs!$C$6+Inputs!$C$7-1,SUM($B$10:K10)-SUM($B$12:J12),0)</f>
        <v>0</v>
      </c>
    </row>
    <row r="13" customFormat="false" ht="15" hidden="false" customHeight="false" outlineLevel="0" collapsed="false">
      <c r="A13" s="0" t="s">
        <v>40</v>
      </c>
      <c r="B13" s="0" t="n">
        <f aca="false">B9+B10+B11-B12</f>
        <v>-96450000</v>
      </c>
      <c r="C13" s="0" t="n">
        <f aca="false">C9+C10+C11-C12</f>
        <v>-38819250</v>
      </c>
      <c r="D13" s="0" t="n">
        <f aca="false">D9+D10+D11-D12</f>
        <v>27637500</v>
      </c>
      <c r="E13" s="0" t="n">
        <f aca="false">E9+E10+E11-E12</f>
        <v>28608780</v>
      </c>
      <c r="F13" s="0" t="n">
        <f aca="false">F9+F10+F11-F12</f>
        <v>29609198.4</v>
      </c>
      <c r="G13" s="0" t="n">
        <f aca="false">G9+G10+G11-G12</f>
        <v>30639629.352</v>
      </c>
      <c r="H13" s="0" t="n">
        <f aca="false">H9+H10+H11-H12</f>
        <v>459236405.626384</v>
      </c>
      <c r="I13" s="0" t="n">
        <f aca="false">I9+I10+I11-I12</f>
        <v>0</v>
      </c>
      <c r="J13" s="0" t="n">
        <f aca="false">J9+J10+J11-J12</f>
        <v>0</v>
      </c>
      <c r="K13" s="0" t="n">
        <f aca="false">K9+K10+K11-K12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0" t="s">
        <v>42</v>
      </c>
      <c r="B3" s="3" t="n">
        <f aca="false">-SUM(CashFlow!B5:K6)</f>
        <v>205800000</v>
      </c>
    </row>
    <row r="4" customFormat="false" ht="15" hidden="false" customHeight="false" outlineLevel="0" collapsed="false">
      <c r="A4" s="0" t="s">
        <v>43</v>
      </c>
      <c r="B4" s="3" t="n">
        <f aca="false">SUM(CashFlow!B13:K13)</f>
        <v>440462263.378384</v>
      </c>
    </row>
    <row r="5" customFormat="false" ht="15" hidden="false" customHeight="false" outlineLevel="0" collapsed="false">
      <c r="A5" s="0" t="s">
        <v>44</v>
      </c>
      <c r="B5" s="5" t="n">
        <f aca="false">B4/B3</f>
        <v>2.14024423410294</v>
      </c>
    </row>
    <row r="6" customFormat="false" ht="15" hidden="false" customHeight="false" outlineLevel="0" collapsed="false">
      <c r="A6" s="0" t="s">
        <v>45</v>
      </c>
      <c r="B6" s="6" t="n">
        <f aca="false">XIRR(CashFlow!B9:K9,CashFlow!B4:K4)</f>
        <v>0.266947863895069</v>
      </c>
    </row>
    <row r="7" customFormat="false" ht="15" hidden="false" customHeight="false" outlineLevel="0" collapsed="false">
      <c r="A7" s="0" t="s">
        <v>46</v>
      </c>
      <c r="B7" s="6" t="n">
        <f aca="false">XIRR(CashFlow!B13:K13,CashFlow!B4:K4)</f>
        <v>0.334082263032861</v>
      </c>
    </row>
    <row r="8" customFormat="false" ht="15" hidden="false" customHeight="false" outlineLevel="0" collapsed="false">
      <c r="A8" s="0" t="s">
        <v>47</v>
      </c>
      <c r="B8" s="3" t="n">
        <f aca="false">SUM(CashFlow!B10:K10)</f>
        <v>72900000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2026-10-15T20:45:16Z</dcterms:created>
  <dc:creator>openpyxl</dc:creator>
  <dc:description/>
  <dc:language>en-US</dc:language>
  <cp:lastModifiedBy/>
  <dcterms:modified xsi:type="dcterms:W3CDTF">2026-10-15T20:45:16Z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