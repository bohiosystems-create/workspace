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Cash Flow" sheetId="2" state="visible" r:id="rId4"/>
    <sheet name="Retur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<sst xmlns="http://schemas.openxmlformats.org/spreadsheetml/2006/main" count="20" uniqueCount="19">
  <si>
    <t xml:space="preserve">RIVERSIDE GREENS, PUNE – BUILD TO SELL (₹ crore)</t>
  </si>
  <si>
    <t xml:space="preserve">Apartments</t>
  </si>
  <si>
    <t xml:space="preserve">Saleable area per apartment (sq ft)</t>
  </si>
  <si>
    <t xml:space="preserve">Sale rate (₹ per sq ft)</t>
  </si>
  <si>
    <t xml:space="preserve">Construction cost (₹ crore)</t>
  </si>
  <si>
    <t xml:space="preserve">Land (₹ crore)</t>
  </si>
  <si>
    <t xml:space="preserve">GST on sales</t>
  </si>
  <si>
    <t xml:space="preserve">Sales period (quarters)</t>
  </si>
  <si>
    <t xml:space="preserve">Discount rate</t>
  </si>
  <si>
    <t xml:space="preserve">Quarter</t>
  </si>
  <si>
    <t xml:space="preserve">Sales (₹ crore)</t>
  </si>
  <si>
    <t xml:space="preserve">GST (₹ crore)</t>
  </si>
  <si>
    <t xml:space="preserve">Construction (₹ crore)</t>
  </si>
  <si>
    <t xml:space="preserve">Cash flow (₹ crore)</t>
  </si>
  <si>
    <t xml:space="preserve">Project IRR</t>
  </si>
  <si>
    <t xml:space="preserve">Revenue (₹ crore)</t>
  </si>
  <si>
    <t xml:space="preserve">Net profit (₹ crore)</t>
  </si>
  <si>
    <t xml:space="preserve">Profit margin</t>
  </si>
  <si>
    <t xml:space="preserve">Revenue per apartment (₹)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</si>
</sst>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[&gt;=10000000]##\,##\,##\,##0;[&gt;=100000]##\,##\,##0;##,##0"/>
    <numFmt numFmtId="167" formatCode="0.00"/>
    <numFmt numFmtId="168" formatCode="0.00%"/>
    <numFmt numFmtId="169" formatCode="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1" t="n">
        <v>820</v>
      </c>
    </row>
    <row r="4" customFormat="false" ht="15" hidden="false" customHeight="false" outlineLevel="0" collapsed="false">
      <c r="A4" s="0" t="s">
        <v>2</v>
      </c>
      <c r="B4" s="1" t="n">
        <v>1150</v>
      </c>
    </row>
    <row r="5" customFormat="false" ht="15" hidden="false" customHeight="false" outlineLevel="0" collapsed="false">
      <c r="A5" s="0" t="s">
        <v>3</v>
      </c>
      <c r="B5" s="2" t="n">
        <v>8200</v>
      </c>
    </row>
    <row r="6" customFormat="false" ht="15" hidden="false" customHeight="false" outlineLevel="0" collapsed="false">
      <c r="A6" s="0" t="s">
        <v>4</v>
      </c>
      <c r="B6" s="3" t="n">
        <v>412</v>
      </c>
    </row>
    <row r="7" customFormat="false" ht="15" hidden="false" customHeight="false" outlineLevel="0" collapsed="false">
      <c r="A7" s="0" t="s">
        <v>5</v>
      </c>
      <c r="B7" s="3" t="n">
        <v>165</v>
      </c>
    </row>
    <row r="8" customFormat="false" ht="15" hidden="false" customHeight="false" outlineLevel="0" collapsed="false">
      <c r="A8" s="0" t="s">
        <v>6</v>
      </c>
      <c r="B8" s="4" t="n">
        <v>0.05</v>
      </c>
    </row>
    <row r="9" customFormat="false" ht="15" hidden="false" customHeight="false" outlineLevel="0" collapsed="false">
      <c r="A9" s="0" t="s">
        <v>7</v>
      </c>
      <c r="B9" s="5" t="n">
        <v>10</v>
      </c>
    </row>
    <row r="10" customFormat="false" ht="15" hidden="false" customHeight="false" outlineLevel="0" collapsed="false">
      <c r="A10" s="0" t="s">
        <v>8</v>
      </c>
      <c r="B10" s="4" t="n">
        <v>0.14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P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9</v>
      </c>
      <c r="B3" s="0" t="n">
        <v>0</v>
      </c>
      <c r="C3" s="0" t="n">
        <v>1</v>
      </c>
      <c r="D3" s="0" t="n">
        <v>2</v>
      </c>
      <c r="E3" s="0" t="n">
        <v>3</v>
      </c>
      <c r="F3" s="0" t="n">
        <v>4</v>
      </c>
      <c r="G3" s="0" t="n">
        <v>5</v>
      </c>
      <c r="H3" s="0" t="n">
        <v>6</v>
      </c>
      <c r="I3" s="0" t="n">
        <v>7</v>
      </c>
      <c r="J3" s="0" t="n">
        <v>8</v>
      </c>
      <c r="K3" s="0" t="n">
        <v>9</v>
      </c>
      <c r="L3" s="0" t="n">
        <v>10</v>
      </c>
      <c r="M3" s="0" t="n">
        <v>11</v>
      </c>
      <c r="N3" s="0" t="n">
        <v>12</v>
      </c>
      <c r="O3" s="0" t="n">
        <v>13</v>
      </c>
      <c r="P3" s="0" t="n">
        <v>14</v>
      </c>
    </row>
    <row r="4" customFormat="false" ht="15" hidden="false" customHeight="false" outlineLevel="0" collapsed="false">
      <c r="A4" s="0" t="s">
        <v>10</v>
      </c>
      <c r="B4" s="0" t="n">
        <f aca="false">IF(AND(B$3&gt;=2,B$3&lt;2+Inputs!$B$9),Inputs!$B$3*Inputs!$B$4*Inputs!$B$5*1.01^B$3/Inputs!$B$9/10000000,0)</f>
        <v>0</v>
      </c>
      <c r="C4" s="0" t="n">
        <f aca="false">IF(AND(C$3&gt;=2,C$3&lt;2+Inputs!$B$9),Inputs!$B$3*Inputs!$B$4*Inputs!$B$5*1.01^C$3/Inputs!$B$9/10000000,0)</f>
        <v>0</v>
      </c>
      <c r="D4" s="0" t="n">
        <f aca="false">IF(AND(D$3&gt;=2,D$3&lt;2+Inputs!$B$9),Inputs!$B$3*Inputs!$B$4*Inputs!$B$5*1.01^D$3/Inputs!$B$9/10000000,0)</f>
        <v>78.8802526</v>
      </c>
      <c r="E4" s="0" t="n">
        <f aca="false">IF(AND(E$3&gt;=2,E$3&lt;2+Inputs!$B$9),Inputs!$B$3*Inputs!$B$4*Inputs!$B$5*1.01^E$3/Inputs!$B$9/10000000,0)</f>
        <v>79.669055126</v>
      </c>
      <c r="F4" s="0" t="n">
        <f aca="false">IF(AND(F$3&gt;=2,F$3&lt;2+Inputs!$B$9),Inputs!$B$3*Inputs!$B$4*Inputs!$B$5*1.01^F$3/Inputs!$B$9/10000000,0)</f>
        <v>80.46574567726</v>
      </c>
      <c r="G4" s="0" t="n">
        <f aca="false">IF(AND(G$3&gt;=2,G$3&lt;2+Inputs!$B$9),Inputs!$B$3*Inputs!$B$4*Inputs!$B$5*1.01^G$3/Inputs!$B$9/10000000,0)</f>
        <v>81.2704031340326</v>
      </c>
      <c r="H4" s="0" t="n">
        <f aca="false">IF(AND(H$3&gt;=2,H$3&lt;2+Inputs!$B$9),Inputs!$B$3*Inputs!$B$4*Inputs!$B$5*1.01^H$3/Inputs!$B$9/10000000,0)</f>
        <v>82.0831071653729</v>
      </c>
      <c r="I4" s="0" t="n">
        <f aca="false">IF(AND(I$3&gt;=2,I$3&lt;2+Inputs!$B$9),Inputs!$B$3*Inputs!$B$4*Inputs!$B$5*1.01^I$3/Inputs!$B$9/10000000,0)</f>
        <v>82.9039382370267</v>
      </c>
      <c r="J4" s="0" t="n">
        <f aca="false">IF(AND(J$3&gt;=2,J$3&lt;2+Inputs!$B$9),Inputs!$B$3*Inputs!$B$4*Inputs!$B$5*1.01^J$3/Inputs!$B$9/10000000,0)</f>
        <v>83.7329776193969</v>
      </c>
      <c r="K4" s="0" t="n">
        <f aca="false">IF(AND(K$3&gt;=2,K$3&lt;2+Inputs!$B$9),Inputs!$B$3*Inputs!$B$4*Inputs!$B$5*1.01^K$3/Inputs!$B$9/10000000,0)</f>
        <v>84.5703073955909</v>
      </c>
      <c r="L4" s="0" t="n">
        <f aca="false">IF(AND(L$3&gt;=2,L$3&lt;2+Inputs!$B$9),Inputs!$B$3*Inputs!$B$4*Inputs!$B$5*1.01^L$3/Inputs!$B$9/10000000,0)</f>
        <v>85.4160104695468</v>
      </c>
      <c r="M4" s="0" t="n">
        <f aca="false">IF(AND(M$3&gt;=2,M$3&lt;2+Inputs!$B$9),Inputs!$B$3*Inputs!$B$4*Inputs!$B$5*1.01^M$3/Inputs!$B$9/10000000,0)</f>
        <v>86.2701705742423</v>
      </c>
      <c r="N4" s="0" t="n">
        <f aca="false">IF(AND(N$3&gt;=2,N$3&lt;2+Inputs!$B$9),Inputs!$B$3*Inputs!$B$4*Inputs!$B$5*1.01^N$3/Inputs!$B$9/10000000,0)</f>
        <v>0</v>
      </c>
      <c r="O4" s="0" t="n">
        <f aca="false">IF(AND(O$3&gt;=2,O$3&lt;2+Inputs!$B$9),Inputs!$B$3*Inputs!$B$4*Inputs!$B$5*1.01^O$3/Inputs!$B$9/10000000,0)</f>
        <v>0</v>
      </c>
      <c r="P4" s="0" t="n">
        <f aca="false">IF(AND(P$3&gt;=2,P$3&lt;2+Inputs!$B$9),Inputs!$B$3*Inputs!$B$4*Inputs!$B$5*1.01^P$3/Inputs!$B$9/10000000,0)</f>
        <v>0</v>
      </c>
    </row>
    <row r="5" customFormat="false" ht="15" hidden="false" customHeight="false" outlineLevel="0" collapsed="false">
      <c r="A5" s="0" t="s">
        <v>11</v>
      </c>
      <c r="B5" s="0" t="n">
        <f aca="false">B4*Inputs!$B$8/(1+Inputs!$B$8)</f>
        <v>0</v>
      </c>
      <c r="C5" s="0" t="n">
        <f aca="false">C4*Inputs!$B$8/(1+Inputs!$B$8)</f>
        <v>0</v>
      </c>
      <c r="D5" s="0" t="n">
        <f aca="false">D4*Inputs!$B$8/(1+Inputs!$B$8)</f>
        <v>3.75620250476191</v>
      </c>
      <c r="E5" s="0" t="n">
        <f aca="false">E4*Inputs!$B$8/(1+Inputs!$B$8)</f>
        <v>3.79376452980952</v>
      </c>
      <c r="F5" s="0" t="n">
        <f aca="false">F4*Inputs!$B$8/(1+Inputs!$B$8)</f>
        <v>3.83170217510762</v>
      </c>
      <c r="G5" s="0" t="n">
        <f aca="false">G4*Inputs!$B$8/(1+Inputs!$B$8)</f>
        <v>3.8700191968587</v>
      </c>
      <c r="H5" s="0" t="n">
        <f aca="false">H4*Inputs!$B$8/(1+Inputs!$B$8)</f>
        <v>3.90871938882728</v>
      </c>
      <c r="I5" s="0" t="n">
        <f aca="false">I4*Inputs!$B$8/(1+Inputs!$B$8)</f>
        <v>3.94780658271556</v>
      </c>
      <c r="J5" s="0" t="n">
        <f aca="false">J4*Inputs!$B$8/(1+Inputs!$B$8)</f>
        <v>3.98728464854271</v>
      </c>
      <c r="K5" s="0" t="n">
        <f aca="false">K4*Inputs!$B$8/(1+Inputs!$B$8)</f>
        <v>4.02715749502814</v>
      </c>
      <c r="L5" s="0" t="n">
        <f aca="false">L4*Inputs!$B$8/(1+Inputs!$B$8)</f>
        <v>4.06742906997842</v>
      </c>
      <c r="M5" s="0" t="n">
        <f aca="false">M4*Inputs!$B$8/(1+Inputs!$B$8)</f>
        <v>4.1081033606782</v>
      </c>
      <c r="N5" s="0" t="n">
        <f aca="false">N4*Inputs!$B$8/(1+Inputs!$B$8)</f>
        <v>0</v>
      </c>
      <c r="O5" s="0" t="n">
        <f aca="false">O4*Inputs!$B$8/(1+Inputs!$B$8)</f>
        <v>0</v>
      </c>
      <c r="P5" s="0" t="n">
        <f aca="false">P4*Inputs!$B$8/(1+Inputs!$B$8)</f>
        <v>0</v>
      </c>
    </row>
    <row r="6" customFormat="false" ht="15" hidden="false" customHeight="false" outlineLevel="0" collapsed="false">
      <c r="A6" s="0" t="s">
        <v>12</v>
      </c>
      <c r="B6" s="0" t="n">
        <f aca="false">IF(AND(B$3&gt;=1,B$3&lt;=10),Inputs!$B$6/10,0)</f>
        <v>0</v>
      </c>
      <c r="C6" s="0" t="n">
        <f aca="false">IF(AND(C$3&gt;=1,C$3&lt;=10),Inputs!$B$6/10,0)</f>
        <v>41.2</v>
      </c>
      <c r="D6" s="0" t="n">
        <f aca="false">IF(AND(D$3&gt;=1,D$3&lt;=10),Inputs!$B$6/10,0)</f>
        <v>41.2</v>
      </c>
      <c r="E6" s="0" t="n">
        <f aca="false">IF(AND(E$3&gt;=1,E$3&lt;=10),Inputs!$B$6/10,0)</f>
        <v>41.2</v>
      </c>
      <c r="F6" s="0" t="n">
        <f aca="false">IF(AND(F$3&gt;=1,F$3&lt;=10),Inputs!$B$6/10,0)</f>
        <v>41.2</v>
      </c>
      <c r="G6" s="0" t="n">
        <f aca="false">IF(AND(G$3&gt;=1,G$3&lt;=10),Inputs!$B$6/10,0)</f>
        <v>41.2</v>
      </c>
      <c r="H6" s="0" t="n">
        <f aca="false">IF(AND(H$3&gt;=1,H$3&lt;=10),Inputs!$B$6/10,0)</f>
        <v>41.2</v>
      </c>
      <c r="I6" s="0" t="n">
        <f aca="false">IF(AND(I$3&gt;=1,I$3&lt;=10),Inputs!$B$6/10,0)</f>
        <v>41.2</v>
      </c>
      <c r="J6" s="0" t="n">
        <f aca="false">IF(AND(J$3&gt;=1,J$3&lt;=10),Inputs!$B$6/10,0)</f>
        <v>41.2</v>
      </c>
      <c r="K6" s="0" t="n">
        <f aca="false">IF(AND(K$3&gt;=1,K$3&lt;=10),Inputs!$B$6/10,0)</f>
        <v>41.2</v>
      </c>
      <c r="L6" s="0" t="n">
        <f aca="false">IF(AND(L$3&gt;=1,L$3&lt;=10),Inputs!$B$6/10,0)</f>
        <v>41.2</v>
      </c>
      <c r="M6" s="0" t="n">
        <f aca="false">IF(AND(M$3&gt;=1,M$3&lt;=10),Inputs!$B$6/10,0)</f>
        <v>0</v>
      </c>
      <c r="N6" s="0" t="n">
        <f aca="false">IF(AND(N$3&gt;=1,N$3&lt;=10),Inputs!$B$6/10,0)</f>
        <v>0</v>
      </c>
      <c r="O6" s="0" t="n">
        <f aca="false">IF(AND(O$3&gt;=1,O$3&lt;=10),Inputs!$B$6/10,0)</f>
        <v>0</v>
      </c>
      <c r="P6" s="0" t="n">
        <f aca="false">IF(AND(P$3&gt;=1,P$3&lt;=10),Inputs!$B$6/10,0)</f>
        <v>0</v>
      </c>
    </row>
    <row r="7" customFormat="false" ht="15" hidden="false" customHeight="false" outlineLevel="0" collapsed="false">
      <c r="A7" s="0" t="s">
        <v>5</v>
      </c>
      <c r="B7" s="3" t="n">
        <f aca="false">IF(B$3=0,Inputs!$B$7,0)</f>
        <v>165</v>
      </c>
      <c r="C7" s="0" t="n">
        <f aca="false">IF(C$3=0,Inputs!$B$7,0)</f>
        <v>0</v>
      </c>
      <c r="D7" s="0" t="n">
        <f aca="false">IF(D$3=0,Inputs!$B$7,0)</f>
        <v>0</v>
      </c>
      <c r="E7" s="0" t="n">
        <f aca="false">IF(E$3=0,Inputs!$B$7,0)</f>
        <v>0</v>
      </c>
      <c r="F7" s="0" t="n">
        <f aca="false">IF(F$3=0,Inputs!$B$7,0)</f>
        <v>0</v>
      </c>
      <c r="G7" s="0" t="n">
        <f aca="false">IF(G$3=0,Inputs!$B$7,0)</f>
        <v>0</v>
      </c>
      <c r="H7" s="0" t="n">
        <f aca="false">IF(H$3=0,Inputs!$B$7,0)</f>
        <v>0</v>
      </c>
      <c r="I7" s="0" t="n">
        <f aca="false">IF(I$3=0,Inputs!$B$7,0)</f>
        <v>0</v>
      </c>
      <c r="J7" s="0" t="n">
        <f aca="false">IF(J$3=0,Inputs!$B$7,0)</f>
        <v>0</v>
      </c>
      <c r="K7" s="0" t="n">
        <f aca="false">IF(K$3=0,Inputs!$B$7,0)</f>
        <v>0</v>
      </c>
      <c r="L7" s="0" t="n">
        <f aca="false">IF(L$3=0,Inputs!$B$7,0)</f>
        <v>0</v>
      </c>
      <c r="M7" s="0" t="n">
        <f aca="false">IF(M$3=0,Inputs!$B$7,0)</f>
        <v>0</v>
      </c>
      <c r="N7" s="0" t="n">
        <f aca="false">IF(N$3=0,Inputs!$B$7,0)</f>
        <v>0</v>
      </c>
      <c r="O7" s="0" t="n">
        <f aca="false">IF(O$3=0,Inputs!$B$7,0)</f>
        <v>0</v>
      </c>
      <c r="P7" s="0" t="n">
        <f aca="false">IF(P$3=0,Inputs!$B$7,0)</f>
        <v>0</v>
      </c>
    </row>
    <row r="8" customFormat="false" ht="15" hidden="false" customHeight="false" outlineLevel="0" collapsed="false">
      <c r="A8" s="0" t="s">
        <v>13</v>
      </c>
      <c r="B8" s="0" t="n">
        <f aca="false">B4-B5-B6-B7</f>
        <v>-165</v>
      </c>
      <c r="C8" s="0" t="n">
        <f aca="false">C4-C5-C6-C7</f>
        <v>-41.2</v>
      </c>
      <c r="D8" s="0" t="n">
        <f aca="false">D4-D5-D6-D7</f>
        <v>33.9240500952381</v>
      </c>
      <c r="E8" s="0" t="n">
        <f aca="false">E4-E5-E6-E7</f>
        <v>34.6752905961905</v>
      </c>
      <c r="F8" s="0" t="n">
        <f aca="false">F4-F5-F6-F7</f>
        <v>35.4340435021524</v>
      </c>
      <c r="G8" s="0" t="n">
        <f aca="false">G4-G5-G6-G7</f>
        <v>36.2003839371739</v>
      </c>
      <c r="H8" s="0" t="n">
        <f aca="false">H4-H5-H6-H7</f>
        <v>36.9743877765457</v>
      </c>
      <c r="I8" s="0" t="n">
        <f aca="false">I4-I5-I6-I7</f>
        <v>37.7561316543111</v>
      </c>
      <c r="J8" s="0" t="n">
        <f aca="false">J4-J5-J6-J7</f>
        <v>38.5456929708542</v>
      </c>
      <c r="K8" s="0" t="n">
        <f aca="false">K4-K5-K6-K7</f>
        <v>39.3431499005628</v>
      </c>
      <c r="L8" s="0" t="n">
        <f aca="false">L4-L5-L6-L7</f>
        <v>40.1485813995684</v>
      </c>
      <c r="M8" s="0" t="n">
        <f aca="false">M4-M5-M6-M7</f>
        <v>82.1620672135641</v>
      </c>
      <c r="N8" s="0" t="n">
        <f aca="false">N4-N5-N6-N7</f>
        <v>0</v>
      </c>
      <c r="O8" s="0" t="n">
        <f aca="false">O4-O5-O6-O7</f>
        <v>0</v>
      </c>
      <c r="P8" s="0" t="n">
        <f aca="false">P4-P5-P6-P7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14</v>
      </c>
      <c r="B3" s="4" t="n">
        <f aca="false">(1+IRR('Cash Flow'!$B$8:$P$8))^4-1</f>
        <v>0.547584344215192</v>
      </c>
    </row>
    <row r="4" customFormat="false" ht="15" hidden="false" customHeight="false" outlineLevel="0" collapsed="false">
      <c r="A4" s="0" t="s">
        <v>15</v>
      </c>
      <c r="B4" s="3" t="n">
        <f aca="false">SUM('Cash Flow'!$B$4:$P$4)</f>
        <v>825.261967998469</v>
      </c>
    </row>
    <row r="5" customFormat="false" ht="15" hidden="false" customHeight="false" outlineLevel="0" collapsed="false">
      <c r="A5" s="0" t="s">
        <v>16</v>
      </c>
      <c r="B5" s="3" t="n">
        <f aca="false">SUM('Cash Flow'!$B$8:$P$8)</f>
        <v>208.963779046161</v>
      </c>
    </row>
    <row r="6" customFormat="false" ht="15" hidden="false" customHeight="false" outlineLevel="0" collapsed="false">
      <c r="A6" s="0" t="s">
        <v>17</v>
      </c>
      <c r="B6" s="4" t="n">
        <f aca="false">B5/B4</f>
        <v>0.253209025920541</v>
      </c>
    </row>
    <row r="7" customFormat="false" ht="15" hidden="false" customHeight="false" outlineLevel="0" collapsed="false">
      <c r="A7" s="0" t="s">
        <v>18</v>
      </c>
      <c r="B7" s="2" t="n">
        <f aca="false">B4*10000000/Inputs!$B$3</f>
        <v>10064170.3414447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2026-10-18T00:22:16Z</dcterms:created>
  <dc:creator>openpyxl</dc:creator>
  <dc:description/>
  <dc:language>en-US</dc:language>
  <cp:lastModifiedBy/>
  <dcterms:modified xsi:type="dcterms:W3CDTF">2026-10-18T00:22:16Z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