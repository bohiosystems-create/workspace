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Base" sheetId="2" state="visible" r:id="rId4"/>
    <sheet name="Downside" sheetId="3" state="visible" r:id="rId5"/>
    <sheet name="Cash Flow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<sst xmlns="http://schemas.openxmlformats.org/spreadsheetml/2006/main" count="31" uniqueCount="27">
  <si>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HARBORVIEW SELF STORAGE – LEASE-UP, MONTHLY (USD)</t>
  </si>
  <si>
    <t xml:space="preserve">Scenario sheet</t>
  </si>
  <si>
    <t xml:space="preserve">Base</t>
  </si>
  <si>
    <t xml:space="preserve">Units</t>
  </si>
  <si>
    <t xml:space="preserve">Rentable sq ft</t>
  </si>
  <si>
    <t xml:space="preserve">Purchase price (USD)</t>
  </si>
  <si>
    <t xml:space="preserve">Exit cap rate</t>
  </si>
  <si>
    <t xml:space="preserve">Operating cost share of revenue</t>
  </si>
  <si>
    <t xml:space="preserve">Base case</t>
  </si>
  <si>
    <t xml:space="preserve">Street rate per sq ft a month (USD)</t>
  </si>
  <si>
    <t xml:space="preserve">Stabilised occupancy</t>
  </si>
  <si>
    <t xml:space="preserve">Lease-up speed</t>
  </si>
  <si>
    <t xml:space="preserve">Existing-customer rate increase</t>
  </si>
  <si>
    <t xml:space="preserve">Downside case</t>
  </si>
  <si>
    <t xml:space="preserve">Month</t>
  </si>
  <si>
    <t xml:space="preserve">Occupancy</t>
  </si>
  <si>
    <t xml:space="preserve">Street rate</t>
  </si>
  <si>
    <t xml:space="preserve">In-place rate</t>
  </si>
  <si>
    <t xml:space="preserve">Revenue</t>
  </si>
  <si>
    <t xml:space="preserve">Operating costs</t>
  </si>
  <si>
    <t xml:space="preserve">NOI</t>
  </si>
  <si>
    <t xml:space="preserve">Cash flow</t>
  </si>
  <si>
    <t xml:space="preserve">Unlevered IRR</t>
  </si>
  <si>
    <t xml:space="preserve">Stabilised NOI, year 5 (USD)</t>
  </si>
  <si>
    <t xml:space="preserve">Occupancy at month 24</t>
  </si>
  <si>
    <t xml:space="preserve">Months to 85% occupancy</t>
  </si>
  <si>
    <t xml:space="preserve">Net profit (USD)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</si>
</sst>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0.00%"/>
    <numFmt numFmtId="168" formatCode="0.00"/>
    <numFmt numFmtId="169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s">
        <v>2</v>
      </c>
    </row>
    <row r="4" customFormat="false" ht="15" hidden="false" customHeight="false" outlineLevel="0" collapsed="false">
      <c r="A4" s="0" t="s">
        <v>3</v>
      </c>
      <c r="B4" s="2" t="n">
        <v>820</v>
      </c>
    </row>
    <row r="5" customFormat="false" ht="15" hidden="false" customHeight="false" outlineLevel="0" collapsed="false">
      <c r="A5" s="0" t="s">
        <v>4</v>
      </c>
      <c r="B5" s="2" t="n">
        <v>71500</v>
      </c>
    </row>
    <row r="6" customFormat="false" ht="15" hidden="false" customHeight="false" outlineLevel="0" collapsed="false">
      <c r="A6" s="0" t="s">
        <v>5</v>
      </c>
      <c r="B6" s="2" t="n">
        <v>14800000</v>
      </c>
    </row>
    <row r="7" customFormat="false" ht="15" hidden="false" customHeight="false" outlineLevel="0" collapsed="false">
      <c r="A7" s="0" t="s">
        <v>6</v>
      </c>
      <c r="B7" s="3" t="n">
        <v>0.0575</v>
      </c>
    </row>
    <row r="8" customFormat="false" ht="15" hidden="false" customHeight="false" outlineLevel="0" collapsed="false">
      <c r="A8" s="0" t="s">
        <v>7</v>
      </c>
      <c r="B8" s="3" t="n">
        <v>0.36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</row>
    <row r="3" customFormat="false" ht="15" hidden="false" customHeight="false" outlineLevel="0" collapsed="false">
      <c r="A3" s="0" t="s">
        <v>9</v>
      </c>
      <c r="B3" s="4" t="n">
        <v>1.62</v>
      </c>
    </row>
    <row r="4" customFormat="false" ht="15" hidden="false" customHeight="false" outlineLevel="0" collapsed="false">
      <c r="A4" s="0" t="s">
        <v>10</v>
      </c>
      <c r="B4" s="3" t="n">
        <v>0.91</v>
      </c>
    </row>
    <row r="5" customFormat="false" ht="15" hidden="false" customHeight="false" outlineLevel="0" collapsed="false">
      <c r="A5" s="0" t="s">
        <v>11</v>
      </c>
      <c r="B5" s="4" t="n">
        <v>0.22</v>
      </c>
    </row>
    <row r="6" customFormat="false" ht="15" hidden="false" customHeight="false" outlineLevel="0" collapsed="false">
      <c r="A6" s="0" t="s">
        <v>12</v>
      </c>
      <c r="B6" s="3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</row>
    <row r="3" customFormat="false" ht="15" hidden="false" customHeight="false" outlineLevel="0" collapsed="false">
      <c r="A3" s="0" t="s">
        <v>9</v>
      </c>
      <c r="B3" s="4" t="n">
        <v>1.48</v>
      </c>
    </row>
    <row r="4" customFormat="false" ht="15" hidden="false" customHeight="false" outlineLevel="0" collapsed="false">
      <c r="A4" s="0" t="s">
        <v>10</v>
      </c>
      <c r="B4" s="3" t="n">
        <v>0.85</v>
      </c>
    </row>
    <row r="5" customFormat="false" ht="15" hidden="false" customHeight="false" outlineLevel="0" collapsed="false">
      <c r="A5" s="0" t="s">
        <v>11</v>
      </c>
      <c r="B5" s="4" t="n">
        <v>0.15</v>
      </c>
    </row>
    <row r="6" customFormat="false" ht="15" hidden="false" customHeight="false" outlineLevel="0" collapsed="false">
      <c r="A6" s="0" t="s">
        <v>12</v>
      </c>
      <c r="B6" s="3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  <c r="BF3" s="0" t="n">
        <v>56</v>
      </c>
      <c r="BG3" s="0" t="n">
        <v>57</v>
      </c>
      <c r="BH3" s="0" t="n">
        <v>58</v>
      </c>
      <c r="BI3" s="0" t="n">
        <v>59</v>
      </c>
      <c r="BJ3" s="0" t="n">
        <v>60</v>
      </c>
      <c r="BK3" s="0" t="n">
        <v>61</v>
      </c>
      <c r="BL3" s="0" t="n">
        <v>62</v>
      </c>
      <c r="BM3" s="0" t="n">
        <v>63</v>
      </c>
      <c r="BN3" s="0" t="n">
        <v>64</v>
      </c>
      <c r="BO3" s="0" t="n">
        <v>65</v>
      </c>
      <c r="BP3" s="0" t="n">
        <v>66</v>
      </c>
      <c r="BQ3" s="0" t="n">
        <v>67</v>
      </c>
      <c r="BR3" s="0" t="n">
        <v>68</v>
      </c>
      <c r="BS3" s="0" t="n">
        <v>69</v>
      </c>
      <c r="BT3" s="0" t="n">
        <v>70</v>
      </c>
      <c r="BU3" s="0" t="n">
        <v>71</v>
      </c>
      <c r="BV3" s="0" t="n">
        <v>72</v>
      </c>
      <c r="BW3" s="0" t="n">
        <v>73</v>
      </c>
      <c r="BX3" s="0" t="n">
        <v>74</v>
      </c>
      <c r="BY3" s="0" t="n">
        <v>75</v>
      </c>
      <c r="BZ3" s="0" t="n">
        <v>76</v>
      </c>
      <c r="CA3" s="0" t="n">
        <v>77</v>
      </c>
      <c r="CB3" s="0" t="n">
        <v>78</v>
      </c>
      <c r="CC3" s="0" t="n">
        <v>79</v>
      </c>
      <c r="CD3" s="0" t="n">
        <v>80</v>
      </c>
      <c r="CE3" s="0" t="n">
        <v>81</v>
      </c>
      <c r="CF3" s="0" t="n">
        <v>82</v>
      </c>
      <c r="CG3" s="0" t="n">
        <v>83</v>
      </c>
      <c r="CH3" s="0" t="n">
        <v>84</v>
      </c>
      <c r="CI3" s="0" t="n">
        <v>85</v>
      </c>
      <c r="CJ3" s="0" t="n">
        <v>86</v>
      </c>
      <c r="CK3" s="0" t="n">
        <v>87</v>
      </c>
      <c r="CL3" s="0" t="n">
        <v>88</v>
      </c>
      <c r="CM3" s="0" t="n">
        <v>89</v>
      </c>
      <c r="CN3" s="0" t="n">
        <v>90</v>
      </c>
      <c r="CO3" s="0" t="n">
        <v>91</v>
      </c>
      <c r="CP3" s="0" t="n">
        <v>92</v>
      </c>
      <c r="CQ3" s="0" t="n">
        <v>93</v>
      </c>
      <c r="CR3" s="0" t="n">
        <v>94</v>
      </c>
      <c r="CS3" s="0" t="n">
        <v>95</v>
      </c>
      <c r="CT3" s="0" t="n">
        <v>96</v>
      </c>
      <c r="CU3" s="0" t="n">
        <v>97</v>
      </c>
      <c r="CV3" s="0" t="n">
        <v>98</v>
      </c>
      <c r="CW3" s="0" t="n">
        <v>99</v>
      </c>
      <c r="CX3" s="0" t="n">
        <v>100</v>
      </c>
      <c r="CY3" s="0" t="n">
        <v>101</v>
      </c>
      <c r="CZ3" s="0" t="n">
        <v>102</v>
      </c>
      <c r="DA3" s="0" t="n">
        <v>103</v>
      </c>
      <c r="DB3" s="0" t="n">
        <v>104</v>
      </c>
      <c r="DC3" s="0" t="n">
        <v>105</v>
      </c>
      <c r="DD3" s="0" t="n">
        <v>106</v>
      </c>
      <c r="DE3" s="0" t="n">
        <v>107</v>
      </c>
      <c r="DF3" s="0" t="n">
        <v>108</v>
      </c>
      <c r="DG3" s="0" t="n">
        <v>109</v>
      </c>
      <c r="DH3" s="0" t="n">
        <v>110</v>
      </c>
      <c r="DI3" s="0" t="n">
        <v>111</v>
      </c>
      <c r="DJ3" s="0" t="n">
        <v>112</v>
      </c>
      <c r="DK3" s="0" t="n">
        <v>113</v>
      </c>
      <c r="DL3" s="0" t="n">
        <v>114</v>
      </c>
      <c r="DM3" s="0" t="n">
        <v>115</v>
      </c>
      <c r="DN3" s="0" t="n">
        <v>116</v>
      </c>
      <c r="DO3" s="0" t="n">
        <v>117</v>
      </c>
      <c r="DP3" s="0" t="n">
        <v>118</v>
      </c>
      <c r="DQ3" s="0" t="n">
        <v>119</v>
      </c>
      <c r="DR3" s="0" t="n">
        <v>120</v>
      </c>
    </row>
    <row r="4" customFormat="false" ht="15" hidden="false" customHeight="false" outlineLevel="0" collapsed="false">
      <c r="A4" s="0" t="s">
        <v>15</v>
      </c>
      <c r="B4" s="0" t="n">
        <f aca="false">0</f>
        <v>0</v>
      </c>
      <c r="C4" s="0" t="n">
        <f aca="true">INDIRECT(Inputs!$B$3&amp;"!B4")/(1+EXP(-INDIRECT(Inputs!$B$3&amp;"!B5")*(C$3-18)))</f>
        <v>0.0211146737125361</v>
      </c>
      <c r="D4" s="0" t="n">
        <f aca="true">INDIRECT(Inputs!$B$3&amp;"!B4")/(1+EXP(-INDIRECT(Inputs!$B$3&amp;"!B5")*(D$3-18)))</f>
        <v>0.0261611312931514</v>
      </c>
      <c r="E4" s="0" t="n">
        <f aca="true">INDIRECT(Inputs!$B$3&amp;"!B4")/(1+EXP(-INDIRECT(Inputs!$B$3&amp;"!B5")*(E$3-18)))</f>
        <v>0.0323697822380989</v>
      </c>
      <c r="F4" s="0" t="n">
        <f aca="true">INDIRECT(Inputs!$B$3&amp;"!B4")/(1+EXP(-INDIRECT(Inputs!$B$3&amp;"!B5")*(F$3-18)))</f>
        <v>0.0399852320104886</v>
      </c>
      <c r="G4" s="0" t="n">
        <f aca="true">INDIRECT(Inputs!$B$3&amp;"!B4")/(1+EXP(-INDIRECT(Inputs!$B$3&amp;"!B5")*(G$3-18)))</f>
        <v>0.0492916974379248</v>
      </c>
      <c r="H4" s="0" t="n">
        <f aca="true">INDIRECT(Inputs!$B$3&amp;"!B4")/(1+EXP(-INDIRECT(Inputs!$B$3&amp;"!B5")*(H$3-18)))</f>
        <v>0.0606133123733325</v>
      </c>
      <c r="I4" s="0" t="n">
        <f aca="true">INDIRECT(Inputs!$B$3&amp;"!B4")/(1+EXP(-INDIRECT(Inputs!$B$3&amp;"!B5")*(I$3-18)))</f>
        <v>0.0743108324700511</v>
      </c>
      <c r="J4" s="0" t="n">
        <f aca="true">INDIRECT(Inputs!$B$3&amp;"!B4")/(1+EXP(-INDIRECT(Inputs!$B$3&amp;"!B5")*(J$3-18)))</f>
        <v>0.0907729450989135</v>
      </c>
      <c r="K4" s="0" t="n">
        <f aca="true">INDIRECT(Inputs!$B$3&amp;"!B4")/(1+EXP(-INDIRECT(Inputs!$B$3&amp;"!B5")*(K$3-18)))</f>
        <v>0.110400142481481</v>
      </c>
      <c r="L4" s="0" t="n">
        <f aca="true">INDIRECT(Inputs!$B$3&amp;"!B4")/(1+EXP(-INDIRECT(Inputs!$B$3&amp;"!B5")*(L$3-18)))</f>
        <v>0.133579209219258</v>
      </c>
      <c r="M4" s="0" t="n">
        <f aca="true">INDIRECT(Inputs!$B$3&amp;"!B4")/(1+EXP(-INDIRECT(Inputs!$B$3&amp;"!B5")*(M$3-18)))</f>
        <v>0.160647100048996</v>
      </c>
      <c r="N4" s="0" t="n">
        <f aca="true">INDIRECT(Inputs!$B$3&amp;"!B4")/(1+EXP(-INDIRECT(Inputs!$B$3&amp;"!B5")*(N$3-18)))</f>
        <v>0.19184464706475</v>
      </c>
      <c r="O4" s="0" t="n">
        <f aca="true">INDIRECT(Inputs!$B$3&amp;"!B4")/(1+EXP(-INDIRECT(Inputs!$B$3&amp;"!B5")*(O$3-18)))</f>
        <v>0.227263303908443</v>
      </c>
      <c r="P4" s="0" t="n">
        <f aca="true">INDIRECT(Inputs!$B$3&amp;"!B4")/(1+EXP(-INDIRECT(Inputs!$B$3&amp;"!B5")*(P$3-18)))</f>
        <v>0.266791778804854</v>
      </c>
      <c r="Q4" s="0" t="n">
        <f aca="true">INDIRECT(Inputs!$B$3&amp;"!B4")/(1+EXP(-INDIRECT(Inputs!$B$3&amp;"!B5")*(Q$3-18)))</f>
        <v>0.310073046509239</v>
      </c>
      <c r="R4" s="0" t="n">
        <f aca="true">INDIRECT(Inputs!$B$3&amp;"!B4")/(1+EXP(-INDIRECT(Inputs!$B$3&amp;"!B5")*(R$3-18)))</f>
        <v>0.356484282020672</v>
      </c>
      <c r="S4" s="0" t="n">
        <f aca="true">INDIRECT(Inputs!$B$3&amp;"!B4")/(1+EXP(-INDIRECT(Inputs!$B$3&amp;"!B5")*(S$3-18)))</f>
        <v>0.405150896052435</v>
      </c>
      <c r="T4" s="0" t="n">
        <f aca="true">INDIRECT(Inputs!$B$3&amp;"!B4")/(1+EXP(-INDIRECT(Inputs!$B$3&amp;"!B5")*(T$3-18)))</f>
        <v>0.455</v>
      </c>
      <c r="U4" s="0" t="n">
        <f aca="true">INDIRECT(Inputs!$B$3&amp;"!B4")/(1+EXP(-INDIRECT(Inputs!$B$3&amp;"!B5")*(U$3-18)))</f>
        <v>0.504849103947565</v>
      </c>
      <c r="V4" s="0" t="n">
        <f aca="true">INDIRECT(Inputs!$B$3&amp;"!B4")/(1+EXP(-INDIRECT(Inputs!$B$3&amp;"!B5")*(V$3-18)))</f>
        <v>0.553515717979328</v>
      </c>
      <c r="W4" s="0" t="n">
        <f aca="true">INDIRECT(Inputs!$B$3&amp;"!B4")/(1+EXP(-INDIRECT(Inputs!$B$3&amp;"!B5")*(W$3-18)))</f>
        <v>0.599926953490761</v>
      </c>
      <c r="X4" s="0" t="n">
        <f aca="true">INDIRECT(Inputs!$B$3&amp;"!B4")/(1+EXP(-INDIRECT(Inputs!$B$3&amp;"!B5")*(X$3-18)))</f>
        <v>0.643208221195147</v>
      </c>
      <c r="Y4" s="0" t="n">
        <f aca="true">INDIRECT(Inputs!$B$3&amp;"!B4")/(1+EXP(-INDIRECT(Inputs!$B$3&amp;"!B5")*(Y$3-18)))</f>
        <v>0.682736696091557</v>
      </c>
      <c r="Z4" s="0" t="n">
        <f aca="true">INDIRECT(Inputs!$B$3&amp;"!B4")/(1+EXP(-INDIRECT(Inputs!$B$3&amp;"!B5")*(Z$3-18)))</f>
        <v>0.71815535293525</v>
      </c>
      <c r="AA4" s="0" t="n">
        <f aca="true">INDIRECT(Inputs!$B$3&amp;"!B4")/(1+EXP(-INDIRECT(Inputs!$B$3&amp;"!B5")*(AA$3-18)))</f>
        <v>0.749352899951004</v>
      </c>
      <c r="AB4" s="0" t="n">
        <f aca="true">INDIRECT(Inputs!$B$3&amp;"!B4")/(1+EXP(-INDIRECT(Inputs!$B$3&amp;"!B5")*(AB$3-18)))</f>
        <v>0.776420790780742</v>
      </c>
      <c r="AC4" s="0" t="n">
        <f aca="true">INDIRECT(Inputs!$B$3&amp;"!B4")/(1+EXP(-INDIRECT(Inputs!$B$3&amp;"!B5")*(AC$3-18)))</f>
        <v>0.799599857518519</v>
      </c>
      <c r="AD4" s="0" t="n">
        <f aca="true">INDIRECT(Inputs!$B$3&amp;"!B4")/(1+EXP(-INDIRECT(Inputs!$B$3&amp;"!B5")*(AD$3-18)))</f>
        <v>0.819227054901087</v>
      </c>
      <c r="AE4" s="0" t="n">
        <f aca="true">INDIRECT(Inputs!$B$3&amp;"!B4")/(1+EXP(-INDIRECT(Inputs!$B$3&amp;"!B5")*(AE$3-18)))</f>
        <v>0.835689167529949</v>
      </c>
      <c r="AF4" s="0" t="n">
        <f aca="true">INDIRECT(Inputs!$B$3&amp;"!B4")/(1+EXP(-INDIRECT(Inputs!$B$3&amp;"!B5")*(AF$3-18)))</f>
        <v>0.849386687626668</v>
      </c>
      <c r="AG4" s="0" t="n">
        <f aca="true">INDIRECT(Inputs!$B$3&amp;"!B4")/(1+EXP(-INDIRECT(Inputs!$B$3&amp;"!B5")*(AG$3-18)))</f>
        <v>0.860708302562075</v>
      </c>
      <c r="AH4" s="0" t="n">
        <f aca="true">INDIRECT(Inputs!$B$3&amp;"!B4")/(1+EXP(-INDIRECT(Inputs!$B$3&amp;"!B5")*(AH$3-18)))</f>
        <v>0.870014767989512</v>
      </c>
      <c r="AI4" s="0" t="n">
        <f aca="true">INDIRECT(Inputs!$B$3&amp;"!B4")/(1+EXP(-INDIRECT(Inputs!$B$3&amp;"!B5")*(AI$3-18)))</f>
        <v>0.877630217761901</v>
      </c>
      <c r="AJ4" s="0" t="n">
        <f aca="true">INDIRECT(Inputs!$B$3&amp;"!B4")/(1+EXP(-INDIRECT(Inputs!$B$3&amp;"!B5")*(AJ$3-18)))</f>
        <v>0.883838868706849</v>
      </c>
      <c r="AK4" s="0" t="n">
        <f aca="true">INDIRECT(Inputs!$B$3&amp;"!B4")/(1+EXP(-INDIRECT(Inputs!$B$3&amp;"!B5")*(AK$3-18)))</f>
        <v>0.888885326287464</v>
      </c>
      <c r="AL4" s="0" t="n">
        <f aca="true">INDIRECT(Inputs!$B$3&amp;"!B4")/(1+EXP(-INDIRECT(Inputs!$B$3&amp;"!B5")*(AL$3-18)))</f>
        <v>0.892977075941537</v>
      </c>
      <c r="AM4" s="0" t="n">
        <f aca="true">INDIRECT(Inputs!$B$3&amp;"!B4")/(1+EXP(-INDIRECT(Inputs!$B$3&amp;"!B5")*(AM$3-18)))</f>
        <v>0.896288129272361</v>
      </c>
      <c r="AN4" s="0" t="n">
        <f aca="true">INDIRECT(Inputs!$B$3&amp;"!B4")/(1+EXP(-INDIRECT(Inputs!$B$3&amp;"!B5")*(AN$3-18)))</f>
        <v>0.898963124164311</v>
      </c>
      <c r="AO4" s="0" t="n">
        <f aca="true">INDIRECT(Inputs!$B$3&amp;"!B4")/(1+EXP(-INDIRECT(Inputs!$B$3&amp;"!B5")*(AO$3-18)))</f>
        <v>0.901121434281658</v>
      </c>
      <c r="AP4" s="0" t="n">
        <f aca="true">INDIRECT(Inputs!$B$3&amp;"!B4")/(1+EXP(-INDIRECT(Inputs!$B$3&amp;"!B5")*(AP$3-18)))</f>
        <v>0.902861029042285</v>
      </c>
      <c r="AQ4" s="0" t="n">
        <f aca="true">INDIRECT(Inputs!$B$3&amp;"!B4")/(1+EXP(-INDIRECT(Inputs!$B$3&amp;"!B5")*(AQ$3-18)))</f>
        <v>0.904261951968524</v>
      </c>
      <c r="AR4" s="0" t="n">
        <f aca="true">INDIRECT(Inputs!$B$3&amp;"!B4")/(1+EXP(-INDIRECT(Inputs!$B$3&amp;"!B5")*(AR$3-18)))</f>
        <v>0.905389367306546</v>
      </c>
      <c r="AS4" s="0" t="n">
        <f aca="true">INDIRECT(Inputs!$B$3&amp;"!B4")/(1+EXP(-INDIRECT(Inputs!$B$3&amp;"!B5")*(AS$3-18)))</f>
        <v>0.906296174678535</v>
      </c>
      <c r="AT4" s="0" t="n">
        <f aca="true">INDIRECT(Inputs!$B$3&amp;"!B4")/(1+EXP(-INDIRECT(Inputs!$B$3&amp;"!B5")*(AT$3-18)))</f>
        <v>0.907025219498909</v>
      </c>
      <c r="AU4" s="0" t="n">
        <f aca="true">INDIRECT(Inputs!$B$3&amp;"!B4")/(1+EXP(-INDIRECT(Inputs!$B$3&amp;"!B5")*(AU$3-18)))</f>
        <v>0.907611140566439</v>
      </c>
      <c r="AV4" s="0" t="n">
        <f aca="true">INDIRECT(Inputs!$B$3&amp;"!B4")/(1+EXP(-INDIRECT(Inputs!$B$3&amp;"!B5")*(AV$3-18)))</f>
        <v>0.908081901033541</v>
      </c>
      <c r="AW4" s="0" t="n">
        <f aca="true">INDIRECT(Inputs!$B$3&amp;"!B4")/(1+EXP(-INDIRECT(Inputs!$B$3&amp;"!B5")*(AW$3-18)))</f>
        <v>0.908460048516585</v>
      </c>
      <c r="AX4" s="0" t="n">
        <f aca="true">INDIRECT(Inputs!$B$3&amp;"!B4")/(1+EXP(-INDIRECT(Inputs!$B$3&amp;"!B5")*(AX$3-18)))</f>
        <v>0.90876374684511</v>
      </c>
      <c r="AY4" s="0" t="n">
        <f aca="true">INDIRECT(Inputs!$B$3&amp;"!B4")/(1+EXP(-INDIRECT(Inputs!$B$3&amp;"!B5")*(AY$3-18)))</f>
        <v>0.90900761736561</v>
      </c>
      <c r="AZ4" s="0" t="n">
        <f aca="true">INDIRECT(Inputs!$B$3&amp;"!B4")/(1+EXP(-INDIRECT(Inputs!$B$3&amp;"!B5")*(AZ$3-18)))</f>
        <v>0.909203422730849</v>
      </c>
      <c r="BA4" s="0" t="n">
        <f aca="true">INDIRECT(Inputs!$B$3&amp;"!B4")/(1+EXP(-INDIRECT(Inputs!$B$3&amp;"!B5")*(BA$3-18)))</f>
        <v>0.909360621239942</v>
      </c>
      <c r="BB4" s="0" t="n">
        <f aca="true">INDIRECT(Inputs!$B$3&amp;"!B4")/(1+EXP(-INDIRECT(Inputs!$B$3&amp;"!B5")*(BB$3-18)))</f>
        <v>0.90948681532009</v>
      </c>
      <c r="BC4" s="0" t="n">
        <f aca="true">INDIRECT(Inputs!$B$3&amp;"!B4")/(1+EXP(-INDIRECT(Inputs!$B$3&amp;"!B5")*(BC$3-18)))</f>
        <v>0.909588113776851</v>
      </c>
      <c r="BD4" s="0" t="n">
        <f aca="true">INDIRECT(Inputs!$B$3&amp;"!B4")/(1+EXP(-INDIRECT(Inputs!$B$3&amp;"!B5")*(BD$3-18)))</f>
        <v>0.909669424014972</v>
      </c>
      <c r="BE4" s="0" t="n">
        <f aca="true">INDIRECT(Inputs!$B$3&amp;"!B4")/(1+EXP(-INDIRECT(Inputs!$B$3&amp;"!B5")*(BE$3-18)))</f>
        <v>0.909734687524593</v>
      </c>
      <c r="BF4" s="0" t="n">
        <f aca="true">INDIRECT(Inputs!$B$3&amp;"!B4")/(1+EXP(-INDIRECT(Inputs!$B$3&amp;"!B5")*(BF$3-18)))</f>
        <v>0.909787069491449</v>
      </c>
      <c r="BG4" s="0" t="n">
        <f aca="true">INDIRECT(Inputs!$B$3&amp;"!B4")/(1+EXP(-INDIRECT(Inputs!$B$3&amp;"!B5")*(BG$3-18)))</f>
        <v>0.909829111367714</v>
      </c>
      <c r="BH4" s="0" t="n">
        <f aca="true">INDIRECT(Inputs!$B$3&amp;"!B4")/(1+EXP(-INDIRECT(Inputs!$B$3&amp;"!B5")*(BH$3-18)))</f>
        <v>0.909862853574166</v>
      </c>
      <c r="BI4" s="0" t="n">
        <f aca="true">INDIRECT(Inputs!$B$3&amp;"!B4")/(1+EXP(-INDIRECT(Inputs!$B$3&amp;"!B5")*(BI$3-18)))</f>
        <v>0.909889934139363</v>
      </c>
      <c r="BJ4" s="0" t="n">
        <f aca="true">INDIRECT(Inputs!$B$3&amp;"!B4")/(1+EXP(-INDIRECT(Inputs!$B$3&amp;"!B5")*(BJ$3-18)))</f>
        <v>0.909911667967958</v>
      </c>
      <c r="BK4" s="0" t="n">
        <f aca="true">INDIRECT(Inputs!$B$3&amp;"!B4")/(1+EXP(-INDIRECT(Inputs!$B$3&amp;"!B5")*(BK$3-18)))</f>
        <v>0.909929110524934</v>
      </c>
      <c r="BL4" s="0" t="n">
        <f aca="true">INDIRECT(Inputs!$B$3&amp;"!B4")/(1+EXP(-INDIRECT(Inputs!$B$3&amp;"!B5")*(BL$3-18)))</f>
        <v>0.909943108988477</v>
      </c>
      <c r="BM4" s="0" t="n">
        <f aca="true">INDIRECT(Inputs!$B$3&amp;"!B4")/(1+EXP(-INDIRECT(Inputs!$B$3&amp;"!B5")*(BM$3-18)))</f>
        <v>0.909954343330138</v>
      </c>
      <c r="BN4" s="0" t="n">
        <f aca="true">INDIRECT(Inputs!$B$3&amp;"!B4")/(1+EXP(-INDIRECT(Inputs!$B$3&amp;"!B5")*(BN$3-18)))</f>
        <v>0.909963359301145</v>
      </c>
      <c r="BO4" s="0" t="n">
        <f aca="true">INDIRECT(Inputs!$B$3&amp;"!B4")/(1+EXP(-INDIRECT(Inputs!$B$3&amp;"!B5")*(BO$3-18)))</f>
        <v>0.909970594916585</v>
      </c>
      <c r="BP4" s="0" t="n">
        <f aca="true">INDIRECT(Inputs!$B$3&amp;"!B4")/(1+EXP(-INDIRECT(Inputs!$B$3&amp;"!B5")*(BP$3-18)))</f>
        <v>0.909976401717216</v>
      </c>
      <c r="BQ4" s="0" t="n">
        <f aca="true">INDIRECT(Inputs!$B$3&amp;"!B4")/(1+EXP(-INDIRECT(Inputs!$B$3&amp;"!B5")*(BQ$3-18)))</f>
        <v>0.909981061837482</v>
      </c>
      <c r="BR4" s="0" t="n">
        <f aca="true">INDIRECT(Inputs!$B$3&amp;"!B4")/(1+EXP(-INDIRECT(Inputs!$B$3&amp;"!B5")*(BR$3-18)))</f>
        <v>0.909984801706118</v>
      </c>
      <c r="BS4" s="0" t="n">
        <f aca="true">INDIRECT(Inputs!$B$3&amp;"!B4")/(1+EXP(-INDIRECT(Inputs!$B$3&amp;"!B5")*(BS$3-18)))</f>
        <v>0.909987803043235</v>
      </c>
      <c r="BT4" s="0" t="n">
        <f aca="true">INDIRECT(Inputs!$B$3&amp;"!B4")/(1+EXP(-INDIRECT(Inputs!$B$3&amp;"!B5")*(BT$3-18)))</f>
        <v>0.909990211687009</v>
      </c>
      <c r="BU4" s="0" t="n">
        <f aca="true">INDIRECT(Inputs!$B$3&amp;"!B4")/(1+EXP(-INDIRECT(Inputs!$B$3&amp;"!B5")*(BU$3-18)))</f>
        <v>0.909992144678139</v>
      </c>
      <c r="BV4" s="0" t="n">
        <f aca="true">INDIRECT(Inputs!$B$3&amp;"!B4")/(1+EXP(-INDIRECT(Inputs!$B$3&amp;"!B5")*(BV$3-18)))</f>
        <v>0.909993695945796</v>
      </c>
      <c r="BW4" s="0" t="n">
        <f aca="true">INDIRECT(Inputs!$B$3&amp;"!B4")/(1+EXP(-INDIRECT(Inputs!$B$3&amp;"!B5")*(BW$3-18)))</f>
        <v>0.909994940871077</v>
      </c>
      <c r="BX4" s="0" t="n">
        <f aca="true">INDIRECT(Inputs!$B$3&amp;"!B4")/(1+EXP(-INDIRECT(Inputs!$B$3&amp;"!B5")*(BX$3-18)))</f>
        <v>0.90999593994948</v>
      </c>
      <c r="BY4" s="0" t="n">
        <f aca="true">INDIRECT(Inputs!$B$3&amp;"!B4")/(1+EXP(-INDIRECT(Inputs!$B$3&amp;"!B5")*(BY$3-18)))</f>
        <v>0.909996741730266</v>
      </c>
      <c r="BZ4" s="0" t="n">
        <f aca="true">INDIRECT(Inputs!$B$3&amp;"!B4")/(1+EXP(-INDIRECT(Inputs!$B$3&amp;"!B5")*(BZ$3-18)))</f>
        <v>0.909997385175441</v>
      </c>
      <c r="CA4" s="0" t="n">
        <f aca="true">INDIRECT(Inputs!$B$3&amp;"!B4")/(1+EXP(-INDIRECT(Inputs!$B$3&amp;"!B5")*(CA$3-18)))</f>
        <v>0.909997901552947</v>
      </c>
      <c r="CB4" s="0" t="n">
        <f aca="true">INDIRECT(Inputs!$B$3&amp;"!B4")/(1+EXP(-INDIRECT(Inputs!$B$3&amp;"!B5")*(CB$3-18)))</f>
        <v>0.909998315956027</v>
      </c>
      <c r="CC4" s="0" t="n">
        <f aca="true">INDIRECT(Inputs!$B$3&amp;"!B4")/(1+EXP(-INDIRECT(Inputs!$B$3&amp;"!B5")*(CC$3-18)))</f>
        <v>0.909998648522561</v>
      </c>
      <c r="CD4" s="0" t="n">
        <f aca="true">INDIRECT(Inputs!$B$3&amp;"!B4")/(1+EXP(-INDIRECT(Inputs!$B$3&amp;"!B5")*(CD$3-18)))</f>
        <v>0.909998915413632</v>
      </c>
      <c r="CE4" s="0" t="n">
        <f aca="true">INDIRECT(Inputs!$B$3&amp;"!B4")/(1+EXP(-INDIRECT(Inputs!$B$3&amp;"!B5")*(CE$3-18)))</f>
        <v>0.909999129598847</v>
      </c>
      <c r="CF4" s="0" t="n">
        <f aca="true">INDIRECT(Inputs!$B$3&amp;"!B4")/(1+EXP(-INDIRECT(Inputs!$B$3&amp;"!B5")*(CF$3-18)))</f>
        <v>0.909999301486581</v>
      </c>
      <c r="CG4" s="0" t="n">
        <f aca="true">INDIRECT(Inputs!$B$3&amp;"!B4")/(1+EXP(-INDIRECT(Inputs!$B$3&amp;"!B5")*(CG$3-18)))</f>
        <v>0.909999439429766</v>
      </c>
      <c r="CH4" s="0" t="n">
        <f aca="true">INDIRECT(Inputs!$B$3&amp;"!B4")/(1+EXP(-INDIRECT(Inputs!$B$3&amp;"!B5")*(CH$3-18)))</f>
        <v>0.909999550131795</v>
      </c>
      <c r="CI4" s="0" t="n">
        <f aca="true">INDIRECT(Inputs!$B$3&amp;"!B4")/(1+EXP(-INDIRECT(Inputs!$B$3&amp;"!B5")*(CI$3-18)))</f>
        <v>0.909999638972273</v>
      </c>
      <c r="CJ4" s="0" t="n">
        <f aca="true">INDIRECT(Inputs!$B$3&amp;"!B4")/(1+EXP(-INDIRECT(Inputs!$B$3&amp;"!B5")*(CJ$3-18)))</f>
        <v>0.90999971026844</v>
      </c>
      <c r="CK4" s="0" t="n">
        <f aca="true">INDIRECT(Inputs!$B$3&amp;"!B4")/(1+EXP(-INDIRECT(Inputs!$B$3&amp;"!B5")*(CK$3-18)))</f>
        <v>0.909999767484962</v>
      </c>
      <c r="CL4" s="0" t="n">
        <f aca="true">INDIRECT(Inputs!$B$3&amp;"!B4")/(1+EXP(-INDIRECT(Inputs!$B$3&amp;"!B5")*(CL$3-18)))</f>
        <v>0.909999813402302</v>
      </c>
      <c r="CM4" s="0" t="n">
        <f aca="true">INDIRECT(Inputs!$B$3&amp;"!B4")/(1+EXP(-INDIRECT(Inputs!$B$3&amp;"!B5")*(CM$3-18)))</f>
        <v>0.909999850251834</v>
      </c>
      <c r="CN4" s="0" t="n">
        <f aca="true">INDIRECT(Inputs!$B$3&amp;"!B4")/(1+EXP(-INDIRECT(Inputs!$B$3&amp;"!B5")*(CN$3-18)))</f>
        <v>0.909999879824278</v>
      </c>
      <c r="CO4" s="0" t="n">
        <f aca="true">INDIRECT(Inputs!$B$3&amp;"!B4")/(1+EXP(-INDIRECT(Inputs!$B$3&amp;"!B5")*(CO$3-18)))</f>
        <v>0.909999903556721</v>
      </c>
      <c r="CP4" s="0" t="n">
        <f aca="true">INDIRECT(Inputs!$B$3&amp;"!B4")/(1+EXP(-INDIRECT(Inputs!$B$3&amp;"!B5")*(CP$3-18)))</f>
        <v>0.909999922602454</v>
      </c>
      <c r="CQ4" s="0" t="n">
        <f aca="true">INDIRECT(Inputs!$B$3&amp;"!B4")/(1+EXP(-INDIRECT(Inputs!$B$3&amp;"!B5")*(CQ$3-18)))</f>
        <v>0.909999937887014</v>
      </c>
      <c r="CR4" s="0" t="n">
        <f aca="true">INDIRECT(Inputs!$B$3&amp;"!B4")/(1+EXP(-INDIRECT(Inputs!$B$3&amp;"!B5")*(CR$3-18)))</f>
        <v>0.90999995015316</v>
      </c>
      <c r="CS4" s="0" t="n">
        <f aca="true">INDIRECT(Inputs!$B$3&amp;"!B4")/(1+EXP(-INDIRECT(Inputs!$B$3&amp;"!B5")*(CS$3-18)))</f>
        <v>0.909999959996974</v>
      </c>
      <c r="CT4" s="0" t="n">
        <f aca="true">INDIRECT(Inputs!$B$3&amp;"!B4")/(1+EXP(-INDIRECT(Inputs!$B$3&amp;"!B5")*(CT$3-18)))</f>
        <v>0.909999967896819</v>
      </c>
      <c r="CU4" s="0" t="n">
        <f aca="true">INDIRECT(Inputs!$B$3&amp;"!B4")/(1+EXP(-INDIRECT(Inputs!$B$3&amp;"!B5")*(CU$3-18)))</f>
        <v>0.909999974236594</v>
      </c>
      <c r="CV4" s="0" t="n">
        <f aca="true">INDIRECT(Inputs!$B$3&amp;"!B4")/(1+EXP(-INDIRECT(Inputs!$B$3&amp;"!B5")*(CV$3-18)))</f>
        <v>0.909999979324382</v>
      </c>
      <c r="CW4" s="0" t="n">
        <f aca="true">INDIRECT(Inputs!$B$3&amp;"!B4")/(1+EXP(-INDIRECT(Inputs!$B$3&amp;"!B5")*(CW$3-18)))</f>
        <v>0.909999983407428</v>
      </c>
      <c r="CX4" s="0" t="n">
        <f aca="true">INDIRECT(Inputs!$B$3&amp;"!B4")/(1+EXP(-INDIRECT(Inputs!$B$3&amp;"!B5")*(CX$3-18)))</f>
        <v>0.909999986684149</v>
      </c>
      <c r="CY4" s="0" t="n">
        <f aca="true">INDIRECT(Inputs!$B$3&amp;"!B4")/(1+EXP(-INDIRECT(Inputs!$B$3&amp;"!B5")*(CY$3-18)))</f>
        <v>0.909999989313779</v>
      </c>
      <c r="CZ4" s="0" t="n">
        <f aca="true">INDIRECT(Inputs!$B$3&amp;"!B4")/(1+EXP(-INDIRECT(Inputs!$B$3&amp;"!B5")*(CZ$3-18)))</f>
        <v>0.909999991424107</v>
      </c>
      <c r="DA4" s="0" t="n">
        <f aca="true">INDIRECT(Inputs!$B$3&amp;"!B4")/(1+EXP(-INDIRECT(Inputs!$B$3&amp;"!B5")*(DA$3-18)))</f>
        <v>0.909999993117685</v>
      </c>
      <c r="DB4" s="0" t="n">
        <f aca="true">INDIRECT(Inputs!$B$3&amp;"!B4")/(1+EXP(-INDIRECT(Inputs!$B$3&amp;"!B5")*(DB$3-18)))</f>
        <v>0.909999994476813</v>
      </c>
      <c r="DC4" s="0" t="n">
        <f aca="true">INDIRECT(Inputs!$B$3&amp;"!B4")/(1+EXP(-INDIRECT(Inputs!$B$3&amp;"!B5")*(DC$3-18)))</f>
        <v>0.909999995567538</v>
      </c>
      <c r="DD4" s="0" t="n">
        <f aca="true">INDIRECT(Inputs!$B$3&amp;"!B4")/(1+EXP(-INDIRECT(Inputs!$B$3&amp;"!B5")*(DD$3-18)))</f>
        <v>0.909999996442866</v>
      </c>
      <c r="DE4" s="0" t="n">
        <f aca="true">INDIRECT(Inputs!$B$3&amp;"!B4")/(1+EXP(-INDIRECT(Inputs!$B$3&amp;"!B5")*(DE$3-18)))</f>
        <v>0.909999997145333</v>
      </c>
      <c r="DF4" s="0" t="n">
        <f aca="true">INDIRECT(Inputs!$B$3&amp;"!B4")/(1+EXP(-INDIRECT(Inputs!$B$3&amp;"!B5")*(DF$3-18)))</f>
        <v>0.909999997709076</v>
      </c>
      <c r="DG4" s="0" t="n">
        <f aca="true">INDIRECT(Inputs!$B$3&amp;"!B4")/(1+EXP(-INDIRECT(Inputs!$B$3&amp;"!B5")*(DG$3-18)))</f>
        <v>0.909999998161491</v>
      </c>
      <c r="DH4" s="0" t="n">
        <f aca="true">INDIRECT(Inputs!$B$3&amp;"!B4")/(1+EXP(-INDIRECT(Inputs!$B$3&amp;"!B5")*(DH$3-18)))</f>
        <v>0.909999998524562</v>
      </c>
      <c r="DI4" s="0" t="n">
        <f aca="true">INDIRECT(Inputs!$B$3&amp;"!B4")/(1+EXP(-INDIRECT(Inputs!$B$3&amp;"!B5")*(DI$3-18)))</f>
        <v>0.909999998815933</v>
      </c>
      <c r="DJ4" s="0" t="n">
        <f aca="true">INDIRECT(Inputs!$B$3&amp;"!B4")/(1+EXP(-INDIRECT(Inputs!$B$3&amp;"!B5")*(DJ$3-18)))</f>
        <v>0.909999999049764</v>
      </c>
      <c r="DK4" s="0" t="n">
        <f aca="true">INDIRECT(Inputs!$B$3&amp;"!B4")/(1+EXP(-INDIRECT(Inputs!$B$3&amp;"!B5")*(DK$3-18)))</f>
        <v>0.909999999237418</v>
      </c>
      <c r="DL4" s="0" t="n">
        <f aca="true">INDIRECT(Inputs!$B$3&amp;"!B4")/(1+EXP(-INDIRECT(Inputs!$B$3&amp;"!B5")*(DL$3-18)))</f>
        <v>0.909999999388014</v>
      </c>
      <c r="DM4" s="0" t="n">
        <f aca="true">INDIRECT(Inputs!$B$3&amp;"!B4")/(1+EXP(-INDIRECT(Inputs!$B$3&amp;"!B5")*(DM$3-18)))</f>
        <v>0.909999999508869</v>
      </c>
      <c r="DN4" s="0" t="n">
        <f aca="true">INDIRECT(Inputs!$B$3&amp;"!B4")/(1+EXP(-INDIRECT(Inputs!$B$3&amp;"!B5")*(DN$3-18)))</f>
        <v>0.909999999605858</v>
      </c>
      <c r="DO4" s="0" t="n">
        <f aca="true">INDIRECT(Inputs!$B$3&amp;"!B4")/(1+EXP(-INDIRECT(Inputs!$B$3&amp;"!B5")*(DO$3-18)))</f>
        <v>0.909999999683694</v>
      </c>
      <c r="DP4" s="0" t="n">
        <f aca="true">INDIRECT(Inputs!$B$3&amp;"!B4")/(1+EXP(-INDIRECT(Inputs!$B$3&amp;"!B5")*(DP$3-18)))</f>
        <v>0.909999999746158</v>
      </c>
      <c r="DQ4" s="0" t="n">
        <f aca="true">INDIRECT(Inputs!$B$3&amp;"!B4")/(1+EXP(-INDIRECT(Inputs!$B$3&amp;"!B5")*(DQ$3-18)))</f>
        <v>0.909999999796287</v>
      </c>
      <c r="DR4" s="0" t="n">
        <f aca="true">INDIRECT(Inputs!$B$3&amp;"!B4")/(1+EXP(-INDIRECT(Inputs!$B$3&amp;"!B5")*(DR$3-18)))</f>
        <v>0.909999999836517</v>
      </c>
    </row>
    <row r="5" customFormat="false" ht="15" hidden="false" customHeight="false" outlineLevel="0" collapsed="false">
      <c r="A5" s="0" t="s">
        <v>16</v>
      </c>
      <c r="B5" s="0" t="n">
        <f aca="true">INDIRECT(Inputs!$B$3&amp;"!B3")*(1+0.03)^INT(B$3/12)</f>
        <v>1.62</v>
      </c>
      <c r="C5" s="0" t="n">
        <f aca="true">INDIRECT(Inputs!$B$3&amp;"!B3")*(1+0.03)^INT(C$3/12)</f>
        <v>1.62</v>
      </c>
      <c r="D5" s="0" t="n">
        <f aca="true">INDIRECT(Inputs!$B$3&amp;"!B3")*(1+0.03)^INT(D$3/12)</f>
        <v>1.62</v>
      </c>
      <c r="E5" s="0" t="n">
        <f aca="true">INDIRECT(Inputs!$B$3&amp;"!B3")*(1+0.03)^INT(E$3/12)</f>
        <v>1.62</v>
      </c>
      <c r="F5" s="0" t="n">
        <f aca="true">INDIRECT(Inputs!$B$3&amp;"!B3")*(1+0.03)^INT(F$3/12)</f>
        <v>1.62</v>
      </c>
      <c r="G5" s="0" t="n">
        <f aca="true">INDIRECT(Inputs!$B$3&amp;"!B3")*(1+0.03)^INT(G$3/12)</f>
        <v>1.62</v>
      </c>
      <c r="H5" s="0" t="n">
        <f aca="true">INDIRECT(Inputs!$B$3&amp;"!B3")*(1+0.03)^INT(H$3/12)</f>
        <v>1.62</v>
      </c>
      <c r="I5" s="0" t="n">
        <f aca="true">INDIRECT(Inputs!$B$3&amp;"!B3")*(1+0.03)^INT(I$3/12)</f>
        <v>1.62</v>
      </c>
      <c r="J5" s="0" t="n">
        <f aca="true">INDIRECT(Inputs!$B$3&amp;"!B3")*(1+0.03)^INT(J$3/12)</f>
        <v>1.62</v>
      </c>
      <c r="K5" s="0" t="n">
        <f aca="true">INDIRECT(Inputs!$B$3&amp;"!B3")*(1+0.03)^INT(K$3/12)</f>
        <v>1.62</v>
      </c>
      <c r="L5" s="0" t="n">
        <f aca="true">INDIRECT(Inputs!$B$3&amp;"!B3")*(1+0.03)^INT(L$3/12)</f>
        <v>1.62</v>
      </c>
      <c r="M5" s="0" t="n">
        <f aca="true">INDIRECT(Inputs!$B$3&amp;"!B3")*(1+0.03)^INT(M$3/12)</f>
        <v>1.62</v>
      </c>
      <c r="N5" s="0" t="n">
        <f aca="true">INDIRECT(Inputs!$B$3&amp;"!B3")*(1+0.03)^INT(N$3/12)</f>
        <v>1.6686</v>
      </c>
      <c r="O5" s="0" t="n">
        <f aca="true">INDIRECT(Inputs!$B$3&amp;"!B3")*(1+0.03)^INT(O$3/12)</f>
        <v>1.6686</v>
      </c>
      <c r="P5" s="0" t="n">
        <f aca="true">INDIRECT(Inputs!$B$3&amp;"!B3")*(1+0.03)^INT(P$3/12)</f>
        <v>1.6686</v>
      </c>
      <c r="Q5" s="0" t="n">
        <f aca="true">INDIRECT(Inputs!$B$3&amp;"!B3")*(1+0.03)^INT(Q$3/12)</f>
        <v>1.6686</v>
      </c>
      <c r="R5" s="0" t="n">
        <f aca="true">INDIRECT(Inputs!$B$3&amp;"!B3")*(1+0.03)^INT(R$3/12)</f>
        <v>1.6686</v>
      </c>
      <c r="S5" s="0" t="n">
        <f aca="true">INDIRECT(Inputs!$B$3&amp;"!B3")*(1+0.03)^INT(S$3/12)</f>
        <v>1.6686</v>
      </c>
      <c r="T5" s="0" t="n">
        <f aca="true">INDIRECT(Inputs!$B$3&amp;"!B3")*(1+0.03)^INT(T$3/12)</f>
        <v>1.6686</v>
      </c>
      <c r="U5" s="0" t="n">
        <f aca="true">INDIRECT(Inputs!$B$3&amp;"!B3")*(1+0.03)^INT(U$3/12)</f>
        <v>1.6686</v>
      </c>
      <c r="V5" s="0" t="n">
        <f aca="true">INDIRECT(Inputs!$B$3&amp;"!B3")*(1+0.03)^INT(V$3/12)</f>
        <v>1.6686</v>
      </c>
      <c r="W5" s="0" t="n">
        <f aca="true">INDIRECT(Inputs!$B$3&amp;"!B3")*(1+0.03)^INT(W$3/12)</f>
        <v>1.6686</v>
      </c>
      <c r="X5" s="0" t="n">
        <f aca="true">INDIRECT(Inputs!$B$3&amp;"!B3")*(1+0.03)^INT(X$3/12)</f>
        <v>1.6686</v>
      </c>
      <c r="Y5" s="0" t="n">
        <f aca="true">INDIRECT(Inputs!$B$3&amp;"!B3")*(1+0.03)^INT(Y$3/12)</f>
        <v>1.6686</v>
      </c>
      <c r="Z5" s="0" t="n">
        <f aca="true">INDIRECT(Inputs!$B$3&amp;"!B3")*(1+0.03)^INT(Z$3/12)</f>
        <v>1.718658</v>
      </c>
      <c r="AA5" s="0" t="n">
        <f aca="true">INDIRECT(Inputs!$B$3&amp;"!B3")*(1+0.03)^INT(AA$3/12)</f>
        <v>1.718658</v>
      </c>
      <c r="AB5" s="0" t="n">
        <f aca="true">INDIRECT(Inputs!$B$3&amp;"!B3")*(1+0.03)^INT(AB$3/12)</f>
        <v>1.718658</v>
      </c>
      <c r="AC5" s="0" t="n">
        <f aca="true">INDIRECT(Inputs!$B$3&amp;"!B3")*(1+0.03)^INT(AC$3/12)</f>
        <v>1.718658</v>
      </c>
      <c r="AD5" s="0" t="n">
        <f aca="true">INDIRECT(Inputs!$B$3&amp;"!B3")*(1+0.03)^INT(AD$3/12)</f>
        <v>1.718658</v>
      </c>
      <c r="AE5" s="0" t="n">
        <f aca="true">INDIRECT(Inputs!$B$3&amp;"!B3")*(1+0.03)^INT(AE$3/12)</f>
        <v>1.718658</v>
      </c>
      <c r="AF5" s="0" t="n">
        <f aca="true">INDIRECT(Inputs!$B$3&amp;"!B3")*(1+0.03)^INT(AF$3/12)</f>
        <v>1.718658</v>
      </c>
      <c r="AG5" s="0" t="n">
        <f aca="true">INDIRECT(Inputs!$B$3&amp;"!B3")*(1+0.03)^INT(AG$3/12)</f>
        <v>1.718658</v>
      </c>
      <c r="AH5" s="0" t="n">
        <f aca="true">INDIRECT(Inputs!$B$3&amp;"!B3")*(1+0.03)^INT(AH$3/12)</f>
        <v>1.718658</v>
      </c>
      <c r="AI5" s="0" t="n">
        <f aca="true">INDIRECT(Inputs!$B$3&amp;"!B3")*(1+0.03)^INT(AI$3/12)</f>
        <v>1.718658</v>
      </c>
      <c r="AJ5" s="0" t="n">
        <f aca="true">INDIRECT(Inputs!$B$3&amp;"!B3")*(1+0.03)^INT(AJ$3/12)</f>
        <v>1.718658</v>
      </c>
      <c r="AK5" s="0" t="n">
        <f aca="true">INDIRECT(Inputs!$B$3&amp;"!B3")*(1+0.03)^INT(AK$3/12)</f>
        <v>1.718658</v>
      </c>
      <c r="AL5" s="0" t="n">
        <f aca="true">INDIRECT(Inputs!$B$3&amp;"!B3")*(1+0.03)^INT(AL$3/12)</f>
        <v>1.77021774</v>
      </c>
      <c r="AM5" s="0" t="n">
        <f aca="true">INDIRECT(Inputs!$B$3&amp;"!B3")*(1+0.03)^INT(AM$3/12)</f>
        <v>1.77021774</v>
      </c>
      <c r="AN5" s="0" t="n">
        <f aca="true">INDIRECT(Inputs!$B$3&amp;"!B3")*(1+0.03)^INT(AN$3/12)</f>
        <v>1.77021774</v>
      </c>
      <c r="AO5" s="0" t="n">
        <f aca="true">INDIRECT(Inputs!$B$3&amp;"!B3")*(1+0.03)^INT(AO$3/12)</f>
        <v>1.77021774</v>
      </c>
      <c r="AP5" s="0" t="n">
        <f aca="true">INDIRECT(Inputs!$B$3&amp;"!B3")*(1+0.03)^INT(AP$3/12)</f>
        <v>1.77021774</v>
      </c>
      <c r="AQ5" s="0" t="n">
        <f aca="true">INDIRECT(Inputs!$B$3&amp;"!B3")*(1+0.03)^INT(AQ$3/12)</f>
        <v>1.77021774</v>
      </c>
      <c r="AR5" s="0" t="n">
        <f aca="true">INDIRECT(Inputs!$B$3&amp;"!B3")*(1+0.03)^INT(AR$3/12)</f>
        <v>1.77021774</v>
      </c>
      <c r="AS5" s="0" t="n">
        <f aca="true">INDIRECT(Inputs!$B$3&amp;"!B3")*(1+0.03)^INT(AS$3/12)</f>
        <v>1.77021774</v>
      </c>
      <c r="AT5" s="0" t="n">
        <f aca="true">INDIRECT(Inputs!$B$3&amp;"!B3")*(1+0.03)^INT(AT$3/12)</f>
        <v>1.77021774</v>
      </c>
      <c r="AU5" s="0" t="n">
        <f aca="true">INDIRECT(Inputs!$B$3&amp;"!B3")*(1+0.03)^INT(AU$3/12)</f>
        <v>1.77021774</v>
      </c>
      <c r="AV5" s="0" t="n">
        <f aca="true">INDIRECT(Inputs!$B$3&amp;"!B3")*(1+0.03)^INT(AV$3/12)</f>
        <v>1.77021774</v>
      </c>
      <c r="AW5" s="0" t="n">
        <f aca="true">INDIRECT(Inputs!$B$3&amp;"!B3")*(1+0.03)^INT(AW$3/12)</f>
        <v>1.77021774</v>
      </c>
      <c r="AX5" s="0" t="n">
        <f aca="true">INDIRECT(Inputs!$B$3&amp;"!B3")*(1+0.03)^INT(AX$3/12)</f>
        <v>1.8233242722</v>
      </c>
      <c r="AY5" s="0" t="n">
        <f aca="true">INDIRECT(Inputs!$B$3&amp;"!B3")*(1+0.03)^INT(AY$3/12)</f>
        <v>1.8233242722</v>
      </c>
      <c r="AZ5" s="0" t="n">
        <f aca="true">INDIRECT(Inputs!$B$3&amp;"!B3")*(1+0.03)^INT(AZ$3/12)</f>
        <v>1.8233242722</v>
      </c>
      <c r="BA5" s="0" t="n">
        <f aca="true">INDIRECT(Inputs!$B$3&amp;"!B3")*(1+0.03)^INT(BA$3/12)</f>
        <v>1.8233242722</v>
      </c>
      <c r="BB5" s="0" t="n">
        <f aca="true">INDIRECT(Inputs!$B$3&amp;"!B3")*(1+0.03)^INT(BB$3/12)</f>
        <v>1.8233242722</v>
      </c>
      <c r="BC5" s="0" t="n">
        <f aca="true">INDIRECT(Inputs!$B$3&amp;"!B3")*(1+0.03)^INT(BC$3/12)</f>
        <v>1.8233242722</v>
      </c>
      <c r="BD5" s="0" t="n">
        <f aca="true">INDIRECT(Inputs!$B$3&amp;"!B3")*(1+0.03)^INT(BD$3/12)</f>
        <v>1.8233242722</v>
      </c>
      <c r="BE5" s="0" t="n">
        <f aca="true">INDIRECT(Inputs!$B$3&amp;"!B3")*(1+0.03)^INT(BE$3/12)</f>
        <v>1.8233242722</v>
      </c>
      <c r="BF5" s="0" t="n">
        <f aca="true">INDIRECT(Inputs!$B$3&amp;"!B3")*(1+0.03)^INT(BF$3/12)</f>
        <v>1.8233242722</v>
      </c>
      <c r="BG5" s="0" t="n">
        <f aca="true">INDIRECT(Inputs!$B$3&amp;"!B3")*(1+0.03)^INT(BG$3/12)</f>
        <v>1.8233242722</v>
      </c>
      <c r="BH5" s="0" t="n">
        <f aca="true">INDIRECT(Inputs!$B$3&amp;"!B3")*(1+0.03)^INT(BH$3/12)</f>
        <v>1.8233242722</v>
      </c>
      <c r="BI5" s="0" t="n">
        <f aca="true">INDIRECT(Inputs!$B$3&amp;"!B3")*(1+0.03)^INT(BI$3/12)</f>
        <v>1.8233242722</v>
      </c>
      <c r="BJ5" s="0" t="n">
        <f aca="true">INDIRECT(Inputs!$B$3&amp;"!B3")*(1+0.03)^INT(BJ$3/12)</f>
        <v>1.878024000366</v>
      </c>
      <c r="BK5" s="0" t="n">
        <f aca="true">INDIRECT(Inputs!$B$3&amp;"!B3")*(1+0.03)^INT(BK$3/12)</f>
        <v>1.878024000366</v>
      </c>
      <c r="BL5" s="0" t="n">
        <f aca="true">INDIRECT(Inputs!$B$3&amp;"!B3")*(1+0.03)^INT(BL$3/12)</f>
        <v>1.878024000366</v>
      </c>
      <c r="BM5" s="0" t="n">
        <f aca="true">INDIRECT(Inputs!$B$3&amp;"!B3")*(1+0.03)^INT(BM$3/12)</f>
        <v>1.878024000366</v>
      </c>
      <c r="BN5" s="0" t="n">
        <f aca="true">INDIRECT(Inputs!$B$3&amp;"!B3")*(1+0.03)^INT(BN$3/12)</f>
        <v>1.878024000366</v>
      </c>
      <c r="BO5" s="0" t="n">
        <f aca="true">INDIRECT(Inputs!$B$3&amp;"!B3")*(1+0.03)^INT(BO$3/12)</f>
        <v>1.878024000366</v>
      </c>
      <c r="BP5" s="0" t="n">
        <f aca="true">INDIRECT(Inputs!$B$3&amp;"!B3")*(1+0.03)^INT(BP$3/12)</f>
        <v>1.878024000366</v>
      </c>
      <c r="BQ5" s="0" t="n">
        <f aca="true">INDIRECT(Inputs!$B$3&amp;"!B3")*(1+0.03)^INT(BQ$3/12)</f>
        <v>1.878024000366</v>
      </c>
      <c r="BR5" s="0" t="n">
        <f aca="true">INDIRECT(Inputs!$B$3&amp;"!B3")*(1+0.03)^INT(BR$3/12)</f>
        <v>1.878024000366</v>
      </c>
      <c r="BS5" s="0" t="n">
        <f aca="true">INDIRECT(Inputs!$B$3&amp;"!B3")*(1+0.03)^INT(BS$3/12)</f>
        <v>1.878024000366</v>
      </c>
      <c r="BT5" s="0" t="n">
        <f aca="true">INDIRECT(Inputs!$B$3&amp;"!B3")*(1+0.03)^INT(BT$3/12)</f>
        <v>1.878024000366</v>
      </c>
      <c r="BU5" s="0" t="n">
        <f aca="true">INDIRECT(Inputs!$B$3&amp;"!B3")*(1+0.03)^INT(BU$3/12)</f>
        <v>1.878024000366</v>
      </c>
      <c r="BV5" s="0" t="n">
        <f aca="true">INDIRECT(Inputs!$B$3&amp;"!B3")*(1+0.03)^INT(BV$3/12)</f>
        <v>1.93436472037698</v>
      </c>
      <c r="BW5" s="0" t="n">
        <f aca="true">INDIRECT(Inputs!$B$3&amp;"!B3")*(1+0.03)^INT(BW$3/12)</f>
        <v>1.93436472037698</v>
      </c>
      <c r="BX5" s="0" t="n">
        <f aca="true">INDIRECT(Inputs!$B$3&amp;"!B3")*(1+0.03)^INT(BX$3/12)</f>
        <v>1.93436472037698</v>
      </c>
      <c r="BY5" s="0" t="n">
        <f aca="true">INDIRECT(Inputs!$B$3&amp;"!B3")*(1+0.03)^INT(BY$3/12)</f>
        <v>1.93436472037698</v>
      </c>
      <c r="BZ5" s="0" t="n">
        <f aca="true">INDIRECT(Inputs!$B$3&amp;"!B3")*(1+0.03)^INT(BZ$3/12)</f>
        <v>1.93436472037698</v>
      </c>
      <c r="CA5" s="0" t="n">
        <f aca="true">INDIRECT(Inputs!$B$3&amp;"!B3")*(1+0.03)^INT(CA$3/12)</f>
        <v>1.93436472037698</v>
      </c>
      <c r="CB5" s="0" t="n">
        <f aca="true">INDIRECT(Inputs!$B$3&amp;"!B3")*(1+0.03)^INT(CB$3/12)</f>
        <v>1.93436472037698</v>
      </c>
      <c r="CC5" s="0" t="n">
        <f aca="true">INDIRECT(Inputs!$B$3&amp;"!B3")*(1+0.03)^INT(CC$3/12)</f>
        <v>1.93436472037698</v>
      </c>
      <c r="CD5" s="0" t="n">
        <f aca="true">INDIRECT(Inputs!$B$3&amp;"!B3")*(1+0.03)^INT(CD$3/12)</f>
        <v>1.93436472037698</v>
      </c>
      <c r="CE5" s="0" t="n">
        <f aca="true">INDIRECT(Inputs!$B$3&amp;"!B3")*(1+0.03)^INT(CE$3/12)</f>
        <v>1.93436472037698</v>
      </c>
      <c r="CF5" s="0" t="n">
        <f aca="true">INDIRECT(Inputs!$B$3&amp;"!B3")*(1+0.03)^INT(CF$3/12)</f>
        <v>1.93436472037698</v>
      </c>
      <c r="CG5" s="0" t="n">
        <f aca="true">INDIRECT(Inputs!$B$3&amp;"!B3")*(1+0.03)^INT(CG$3/12)</f>
        <v>1.93436472037698</v>
      </c>
      <c r="CH5" s="0" t="n">
        <f aca="true">INDIRECT(Inputs!$B$3&amp;"!B3")*(1+0.03)^INT(CH$3/12)</f>
        <v>1.99239566198829</v>
      </c>
      <c r="CI5" s="0" t="n">
        <f aca="true">INDIRECT(Inputs!$B$3&amp;"!B3")*(1+0.03)^INT(CI$3/12)</f>
        <v>1.99239566198829</v>
      </c>
      <c r="CJ5" s="0" t="n">
        <f aca="true">INDIRECT(Inputs!$B$3&amp;"!B3")*(1+0.03)^INT(CJ$3/12)</f>
        <v>1.99239566198829</v>
      </c>
      <c r="CK5" s="0" t="n">
        <f aca="true">INDIRECT(Inputs!$B$3&amp;"!B3")*(1+0.03)^INT(CK$3/12)</f>
        <v>1.99239566198829</v>
      </c>
      <c r="CL5" s="0" t="n">
        <f aca="true">INDIRECT(Inputs!$B$3&amp;"!B3")*(1+0.03)^INT(CL$3/12)</f>
        <v>1.99239566198829</v>
      </c>
      <c r="CM5" s="0" t="n">
        <f aca="true">INDIRECT(Inputs!$B$3&amp;"!B3")*(1+0.03)^INT(CM$3/12)</f>
        <v>1.99239566198829</v>
      </c>
      <c r="CN5" s="0" t="n">
        <f aca="true">INDIRECT(Inputs!$B$3&amp;"!B3")*(1+0.03)^INT(CN$3/12)</f>
        <v>1.99239566198829</v>
      </c>
      <c r="CO5" s="0" t="n">
        <f aca="true">INDIRECT(Inputs!$B$3&amp;"!B3")*(1+0.03)^INT(CO$3/12)</f>
        <v>1.99239566198829</v>
      </c>
      <c r="CP5" s="0" t="n">
        <f aca="true">INDIRECT(Inputs!$B$3&amp;"!B3")*(1+0.03)^INT(CP$3/12)</f>
        <v>1.99239566198829</v>
      </c>
      <c r="CQ5" s="0" t="n">
        <f aca="true">INDIRECT(Inputs!$B$3&amp;"!B3")*(1+0.03)^INT(CQ$3/12)</f>
        <v>1.99239566198829</v>
      </c>
      <c r="CR5" s="0" t="n">
        <f aca="true">INDIRECT(Inputs!$B$3&amp;"!B3")*(1+0.03)^INT(CR$3/12)</f>
        <v>1.99239566198829</v>
      </c>
      <c r="CS5" s="0" t="n">
        <f aca="true">INDIRECT(Inputs!$B$3&amp;"!B3")*(1+0.03)^INT(CS$3/12)</f>
        <v>1.99239566198829</v>
      </c>
      <c r="CT5" s="0" t="n">
        <f aca="true">INDIRECT(Inputs!$B$3&amp;"!B3")*(1+0.03)^INT(CT$3/12)</f>
        <v>2.05216753184794</v>
      </c>
      <c r="CU5" s="0" t="n">
        <f aca="true">INDIRECT(Inputs!$B$3&amp;"!B3")*(1+0.03)^INT(CU$3/12)</f>
        <v>2.05216753184794</v>
      </c>
      <c r="CV5" s="0" t="n">
        <f aca="true">INDIRECT(Inputs!$B$3&amp;"!B3")*(1+0.03)^INT(CV$3/12)</f>
        <v>2.05216753184794</v>
      </c>
      <c r="CW5" s="0" t="n">
        <f aca="true">INDIRECT(Inputs!$B$3&amp;"!B3")*(1+0.03)^INT(CW$3/12)</f>
        <v>2.05216753184794</v>
      </c>
      <c r="CX5" s="0" t="n">
        <f aca="true">INDIRECT(Inputs!$B$3&amp;"!B3")*(1+0.03)^INT(CX$3/12)</f>
        <v>2.05216753184794</v>
      </c>
      <c r="CY5" s="0" t="n">
        <f aca="true">INDIRECT(Inputs!$B$3&amp;"!B3")*(1+0.03)^INT(CY$3/12)</f>
        <v>2.05216753184794</v>
      </c>
      <c r="CZ5" s="0" t="n">
        <f aca="true">INDIRECT(Inputs!$B$3&amp;"!B3")*(1+0.03)^INT(CZ$3/12)</f>
        <v>2.05216753184794</v>
      </c>
      <c r="DA5" s="0" t="n">
        <f aca="true">INDIRECT(Inputs!$B$3&amp;"!B3")*(1+0.03)^INT(DA$3/12)</f>
        <v>2.05216753184794</v>
      </c>
      <c r="DB5" s="0" t="n">
        <f aca="true">INDIRECT(Inputs!$B$3&amp;"!B3")*(1+0.03)^INT(DB$3/12)</f>
        <v>2.05216753184794</v>
      </c>
      <c r="DC5" s="0" t="n">
        <f aca="true">INDIRECT(Inputs!$B$3&amp;"!B3")*(1+0.03)^INT(DC$3/12)</f>
        <v>2.05216753184794</v>
      </c>
      <c r="DD5" s="0" t="n">
        <f aca="true">INDIRECT(Inputs!$B$3&amp;"!B3")*(1+0.03)^INT(DD$3/12)</f>
        <v>2.05216753184794</v>
      </c>
      <c r="DE5" s="0" t="n">
        <f aca="true">INDIRECT(Inputs!$B$3&amp;"!B3")*(1+0.03)^INT(DE$3/12)</f>
        <v>2.05216753184794</v>
      </c>
      <c r="DF5" s="0" t="n">
        <f aca="true">INDIRECT(Inputs!$B$3&amp;"!B3")*(1+0.03)^INT(DF$3/12)</f>
        <v>2.11373255780338</v>
      </c>
      <c r="DG5" s="0" t="n">
        <f aca="true">INDIRECT(Inputs!$B$3&amp;"!B3")*(1+0.03)^INT(DG$3/12)</f>
        <v>2.11373255780338</v>
      </c>
      <c r="DH5" s="0" t="n">
        <f aca="true">INDIRECT(Inputs!$B$3&amp;"!B3")*(1+0.03)^INT(DH$3/12)</f>
        <v>2.11373255780338</v>
      </c>
      <c r="DI5" s="0" t="n">
        <f aca="true">INDIRECT(Inputs!$B$3&amp;"!B3")*(1+0.03)^INT(DI$3/12)</f>
        <v>2.11373255780338</v>
      </c>
      <c r="DJ5" s="0" t="n">
        <f aca="true">INDIRECT(Inputs!$B$3&amp;"!B3")*(1+0.03)^INT(DJ$3/12)</f>
        <v>2.11373255780338</v>
      </c>
      <c r="DK5" s="0" t="n">
        <f aca="true">INDIRECT(Inputs!$B$3&amp;"!B3")*(1+0.03)^INT(DK$3/12)</f>
        <v>2.11373255780338</v>
      </c>
      <c r="DL5" s="0" t="n">
        <f aca="true">INDIRECT(Inputs!$B$3&amp;"!B3")*(1+0.03)^INT(DL$3/12)</f>
        <v>2.11373255780338</v>
      </c>
      <c r="DM5" s="0" t="n">
        <f aca="true">INDIRECT(Inputs!$B$3&amp;"!B3")*(1+0.03)^INT(DM$3/12)</f>
        <v>2.11373255780338</v>
      </c>
      <c r="DN5" s="0" t="n">
        <f aca="true">INDIRECT(Inputs!$B$3&amp;"!B3")*(1+0.03)^INT(DN$3/12)</f>
        <v>2.11373255780338</v>
      </c>
      <c r="DO5" s="0" t="n">
        <f aca="true">INDIRECT(Inputs!$B$3&amp;"!B3")*(1+0.03)^INT(DO$3/12)</f>
        <v>2.11373255780338</v>
      </c>
      <c r="DP5" s="0" t="n">
        <f aca="true">INDIRECT(Inputs!$B$3&amp;"!B3")*(1+0.03)^INT(DP$3/12)</f>
        <v>2.11373255780338</v>
      </c>
      <c r="DQ5" s="0" t="n">
        <f aca="true">INDIRECT(Inputs!$B$3&amp;"!B3")*(1+0.03)^INT(DQ$3/12)</f>
        <v>2.11373255780338</v>
      </c>
      <c r="DR5" s="0" t="n">
        <f aca="true">INDIRECT(Inputs!$B$3&amp;"!B3")*(1+0.03)^INT(DR$3/12)</f>
        <v>2.17714453453748</v>
      </c>
    </row>
    <row r="6" customFormat="false" ht="15" hidden="false" customHeight="false" outlineLevel="0" collapsed="false">
      <c r="A6" s="0" t="s">
        <v>17</v>
      </c>
      <c r="B6" s="0" t="n">
        <f aca="false">B5</f>
        <v>1.62</v>
      </c>
      <c r="C6" s="0" t="n">
        <f aca="true">MAX(C5,B6*IF(MOD(C$3,12)=0,1+INDIRECT(Inputs!$B$3&amp;"!B6"),1))</f>
        <v>1.62</v>
      </c>
      <c r="D6" s="0" t="n">
        <f aca="true">MAX(D5,C6*IF(MOD(D$3,12)=0,1+INDIRECT(Inputs!$B$3&amp;"!B6"),1))</f>
        <v>1.62</v>
      </c>
      <c r="E6" s="0" t="n">
        <f aca="true">MAX(E5,D6*IF(MOD(E$3,12)=0,1+INDIRECT(Inputs!$B$3&amp;"!B6"),1))</f>
        <v>1.62</v>
      </c>
      <c r="F6" s="0" t="n">
        <f aca="true">MAX(F5,E6*IF(MOD(F$3,12)=0,1+INDIRECT(Inputs!$B$3&amp;"!B6"),1))</f>
        <v>1.62</v>
      </c>
      <c r="G6" s="0" t="n">
        <f aca="true">MAX(G5,F6*IF(MOD(G$3,12)=0,1+INDIRECT(Inputs!$B$3&amp;"!B6"),1))</f>
        <v>1.62</v>
      </c>
      <c r="H6" s="0" t="n">
        <f aca="true">MAX(H5,G6*IF(MOD(H$3,12)=0,1+INDIRECT(Inputs!$B$3&amp;"!B6"),1))</f>
        <v>1.62</v>
      </c>
      <c r="I6" s="0" t="n">
        <f aca="true">MAX(I5,H6*IF(MOD(I$3,12)=0,1+INDIRECT(Inputs!$B$3&amp;"!B6"),1))</f>
        <v>1.62</v>
      </c>
      <c r="J6" s="0" t="n">
        <f aca="true">MAX(J5,I6*IF(MOD(J$3,12)=0,1+INDIRECT(Inputs!$B$3&amp;"!B6"),1))</f>
        <v>1.62</v>
      </c>
      <c r="K6" s="0" t="n">
        <f aca="true">MAX(K5,J6*IF(MOD(K$3,12)=0,1+INDIRECT(Inputs!$B$3&amp;"!B6"),1))</f>
        <v>1.62</v>
      </c>
      <c r="L6" s="0" t="n">
        <f aca="true">MAX(L5,K6*IF(MOD(L$3,12)=0,1+INDIRECT(Inputs!$B$3&amp;"!B6"),1))</f>
        <v>1.62</v>
      </c>
      <c r="M6" s="0" t="n">
        <f aca="true">MAX(M5,L6*IF(MOD(M$3,12)=0,1+INDIRECT(Inputs!$B$3&amp;"!B6"),1))</f>
        <v>1.62</v>
      </c>
      <c r="N6" s="0" t="n">
        <f aca="true">MAX(N5,M6*IF(MOD(N$3,12)=0,1+INDIRECT(Inputs!$B$3&amp;"!B6"),1))</f>
        <v>1.7496</v>
      </c>
      <c r="O6" s="0" t="n">
        <f aca="true">MAX(O5,N6*IF(MOD(O$3,12)=0,1+INDIRECT(Inputs!$B$3&amp;"!B6"),1))</f>
        <v>1.7496</v>
      </c>
      <c r="P6" s="0" t="n">
        <f aca="true">MAX(P5,O6*IF(MOD(P$3,12)=0,1+INDIRECT(Inputs!$B$3&amp;"!B6"),1))</f>
        <v>1.7496</v>
      </c>
      <c r="Q6" s="0" t="n">
        <f aca="true">MAX(Q5,P6*IF(MOD(Q$3,12)=0,1+INDIRECT(Inputs!$B$3&amp;"!B6"),1))</f>
        <v>1.7496</v>
      </c>
      <c r="R6" s="0" t="n">
        <f aca="true">MAX(R5,Q6*IF(MOD(R$3,12)=0,1+INDIRECT(Inputs!$B$3&amp;"!B6"),1))</f>
        <v>1.7496</v>
      </c>
      <c r="S6" s="0" t="n">
        <f aca="true">MAX(S5,R6*IF(MOD(S$3,12)=0,1+INDIRECT(Inputs!$B$3&amp;"!B6"),1))</f>
        <v>1.7496</v>
      </c>
      <c r="T6" s="0" t="n">
        <f aca="true">MAX(T5,S6*IF(MOD(T$3,12)=0,1+INDIRECT(Inputs!$B$3&amp;"!B6"),1))</f>
        <v>1.7496</v>
      </c>
      <c r="U6" s="0" t="n">
        <f aca="true">MAX(U5,T6*IF(MOD(U$3,12)=0,1+INDIRECT(Inputs!$B$3&amp;"!B6"),1))</f>
        <v>1.7496</v>
      </c>
      <c r="V6" s="0" t="n">
        <f aca="true">MAX(V5,U6*IF(MOD(V$3,12)=0,1+INDIRECT(Inputs!$B$3&amp;"!B6"),1))</f>
        <v>1.7496</v>
      </c>
      <c r="W6" s="0" t="n">
        <f aca="true">MAX(W5,V6*IF(MOD(W$3,12)=0,1+INDIRECT(Inputs!$B$3&amp;"!B6"),1))</f>
        <v>1.7496</v>
      </c>
      <c r="X6" s="0" t="n">
        <f aca="true">MAX(X5,W6*IF(MOD(X$3,12)=0,1+INDIRECT(Inputs!$B$3&amp;"!B6"),1))</f>
        <v>1.7496</v>
      </c>
      <c r="Y6" s="0" t="n">
        <f aca="true">MAX(Y5,X6*IF(MOD(Y$3,12)=0,1+INDIRECT(Inputs!$B$3&amp;"!B6"),1))</f>
        <v>1.7496</v>
      </c>
      <c r="Z6" s="0" t="n">
        <f aca="true">MAX(Z5,Y6*IF(MOD(Z$3,12)=0,1+INDIRECT(Inputs!$B$3&amp;"!B6"),1))</f>
        <v>1.889568</v>
      </c>
      <c r="AA6" s="0" t="n">
        <f aca="true">MAX(AA5,Z6*IF(MOD(AA$3,12)=0,1+INDIRECT(Inputs!$B$3&amp;"!B6"),1))</f>
        <v>1.889568</v>
      </c>
      <c r="AB6" s="0" t="n">
        <f aca="true">MAX(AB5,AA6*IF(MOD(AB$3,12)=0,1+INDIRECT(Inputs!$B$3&amp;"!B6"),1))</f>
        <v>1.889568</v>
      </c>
      <c r="AC6" s="0" t="n">
        <f aca="true">MAX(AC5,AB6*IF(MOD(AC$3,12)=0,1+INDIRECT(Inputs!$B$3&amp;"!B6"),1))</f>
        <v>1.889568</v>
      </c>
      <c r="AD6" s="0" t="n">
        <f aca="true">MAX(AD5,AC6*IF(MOD(AD$3,12)=0,1+INDIRECT(Inputs!$B$3&amp;"!B6"),1))</f>
        <v>1.889568</v>
      </c>
      <c r="AE6" s="0" t="n">
        <f aca="true">MAX(AE5,AD6*IF(MOD(AE$3,12)=0,1+INDIRECT(Inputs!$B$3&amp;"!B6"),1))</f>
        <v>1.889568</v>
      </c>
      <c r="AF6" s="0" t="n">
        <f aca="true">MAX(AF5,AE6*IF(MOD(AF$3,12)=0,1+INDIRECT(Inputs!$B$3&amp;"!B6"),1))</f>
        <v>1.889568</v>
      </c>
      <c r="AG6" s="0" t="n">
        <f aca="true">MAX(AG5,AF6*IF(MOD(AG$3,12)=0,1+INDIRECT(Inputs!$B$3&amp;"!B6"),1))</f>
        <v>1.889568</v>
      </c>
      <c r="AH6" s="0" t="n">
        <f aca="true">MAX(AH5,AG6*IF(MOD(AH$3,12)=0,1+INDIRECT(Inputs!$B$3&amp;"!B6"),1))</f>
        <v>1.889568</v>
      </c>
      <c r="AI6" s="0" t="n">
        <f aca="true">MAX(AI5,AH6*IF(MOD(AI$3,12)=0,1+INDIRECT(Inputs!$B$3&amp;"!B6"),1))</f>
        <v>1.889568</v>
      </c>
      <c r="AJ6" s="0" t="n">
        <f aca="true">MAX(AJ5,AI6*IF(MOD(AJ$3,12)=0,1+INDIRECT(Inputs!$B$3&amp;"!B6"),1))</f>
        <v>1.889568</v>
      </c>
      <c r="AK6" s="0" t="n">
        <f aca="true">MAX(AK5,AJ6*IF(MOD(AK$3,12)=0,1+INDIRECT(Inputs!$B$3&amp;"!B6"),1))</f>
        <v>1.889568</v>
      </c>
      <c r="AL6" s="0" t="n">
        <f aca="true">MAX(AL5,AK6*IF(MOD(AL$3,12)=0,1+INDIRECT(Inputs!$B$3&amp;"!B6"),1))</f>
        <v>2.04073344</v>
      </c>
      <c r="AM6" s="0" t="n">
        <f aca="true">MAX(AM5,AL6*IF(MOD(AM$3,12)=0,1+INDIRECT(Inputs!$B$3&amp;"!B6"),1))</f>
        <v>2.04073344</v>
      </c>
      <c r="AN6" s="0" t="n">
        <f aca="true">MAX(AN5,AM6*IF(MOD(AN$3,12)=0,1+INDIRECT(Inputs!$B$3&amp;"!B6"),1))</f>
        <v>2.04073344</v>
      </c>
      <c r="AO6" s="0" t="n">
        <f aca="true">MAX(AO5,AN6*IF(MOD(AO$3,12)=0,1+INDIRECT(Inputs!$B$3&amp;"!B6"),1))</f>
        <v>2.04073344</v>
      </c>
      <c r="AP6" s="0" t="n">
        <f aca="true">MAX(AP5,AO6*IF(MOD(AP$3,12)=0,1+INDIRECT(Inputs!$B$3&amp;"!B6"),1))</f>
        <v>2.04073344</v>
      </c>
      <c r="AQ6" s="0" t="n">
        <f aca="true">MAX(AQ5,AP6*IF(MOD(AQ$3,12)=0,1+INDIRECT(Inputs!$B$3&amp;"!B6"),1))</f>
        <v>2.04073344</v>
      </c>
      <c r="AR6" s="0" t="n">
        <f aca="true">MAX(AR5,AQ6*IF(MOD(AR$3,12)=0,1+INDIRECT(Inputs!$B$3&amp;"!B6"),1))</f>
        <v>2.04073344</v>
      </c>
      <c r="AS6" s="0" t="n">
        <f aca="true">MAX(AS5,AR6*IF(MOD(AS$3,12)=0,1+INDIRECT(Inputs!$B$3&amp;"!B6"),1))</f>
        <v>2.04073344</v>
      </c>
      <c r="AT6" s="0" t="n">
        <f aca="true">MAX(AT5,AS6*IF(MOD(AT$3,12)=0,1+INDIRECT(Inputs!$B$3&amp;"!B6"),1))</f>
        <v>2.04073344</v>
      </c>
      <c r="AU6" s="0" t="n">
        <f aca="true">MAX(AU5,AT6*IF(MOD(AU$3,12)=0,1+INDIRECT(Inputs!$B$3&amp;"!B6"),1))</f>
        <v>2.04073344</v>
      </c>
      <c r="AV6" s="0" t="n">
        <f aca="true">MAX(AV5,AU6*IF(MOD(AV$3,12)=0,1+INDIRECT(Inputs!$B$3&amp;"!B6"),1))</f>
        <v>2.04073344</v>
      </c>
      <c r="AW6" s="0" t="n">
        <f aca="true">MAX(AW5,AV6*IF(MOD(AW$3,12)=0,1+INDIRECT(Inputs!$B$3&amp;"!B6"),1))</f>
        <v>2.04073344</v>
      </c>
      <c r="AX6" s="0" t="n">
        <f aca="true">MAX(AX5,AW6*IF(MOD(AX$3,12)=0,1+INDIRECT(Inputs!$B$3&amp;"!B6"),1))</f>
        <v>2.2039921152</v>
      </c>
      <c r="AY6" s="0" t="n">
        <f aca="true">MAX(AY5,AX6*IF(MOD(AY$3,12)=0,1+INDIRECT(Inputs!$B$3&amp;"!B6"),1))</f>
        <v>2.2039921152</v>
      </c>
      <c r="AZ6" s="0" t="n">
        <f aca="true">MAX(AZ5,AY6*IF(MOD(AZ$3,12)=0,1+INDIRECT(Inputs!$B$3&amp;"!B6"),1))</f>
        <v>2.2039921152</v>
      </c>
      <c r="BA6" s="0" t="n">
        <f aca="true">MAX(BA5,AZ6*IF(MOD(BA$3,12)=0,1+INDIRECT(Inputs!$B$3&amp;"!B6"),1))</f>
        <v>2.2039921152</v>
      </c>
      <c r="BB6" s="0" t="n">
        <f aca="true">MAX(BB5,BA6*IF(MOD(BB$3,12)=0,1+INDIRECT(Inputs!$B$3&amp;"!B6"),1))</f>
        <v>2.2039921152</v>
      </c>
      <c r="BC6" s="0" t="n">
        <f aca="true">MAX(BC5,BB6*IF(MOD(BC$3,12)=0,1+INDIRECT(Inputs!$B$3&amp;"!B6"),1))</f>
        <v>2.2039921152</v>
      </c>
      <c r="BD6" s="0" t="n">
        <f aca="true">MAX(BD5,BC6*IF(MOD(BD$3,12)=0,1+INDIRECT(Inputs!$B$3&amp;"!B6"),1))</f>
        <v>2.2039921152</v>
      </c>
      <c r="BE6" s="0" t="n">
        <f aca="true">MAX(BE5,BD6*IF(MOD(BE$3,12)=0,1+INDIRECT(Inputs!$B$3&amp;"!B6"),1))</f>
        <v>2.2039921152</v>
      </c>
      <c r="BF6" s="0" t="n">
        <f aca="true">MAX(BF5,BE6*IF(MOD(BF$3,12)=0,1+INDIRECT(Inputs!$B$3&amp;"!B6"),1))</f>
        <v>2.2039921152</v>
      </c>
      <c r="BG6" s="0" t="n">
        <f aca="true">MAX(BG5,BF6*IF(MOD(BG$3,12)=0,1+INDIRECT(Inputs!$B$3&amp;"!B6"),1))</f>
        <v>2.2039921152</v>
      </c>
      <c r="BH6" s="0" t="n">
        <f aca="true">MAX(BH5,BG6*IF(MOD(BH$3,12)=0,1+INDIRECT(Inputs!$B$3&amp;"!B6"),1))</f>
        <v>2.2039921152</v>
      </c>
      <c r="BI6" s="0" t="n">
        <f aca="true">MAX(BI5,BH6*IF(MOD(BI$3,12)=0,1+INDIRECT(Inputs!$B$3&amp;"!B6"),1))</f>
        <v>2.2039921152</v>
      </c>
      <c r="BJ6" s="0" t="n">
        <f aca="true">MAX(BJ5,BI6*IF(MOD(BJ$3,12)=0,1+INDIRECT(Inputs!$B$3&amp;"!B6"),1))</f>
        <v>2.380311484416</v>
      </c>
      <c r="BK6" s="0" t="n">
        <f aca="true">MAX(BK5,BJ6*IF(MOD(BK$3,12)=0,1+INDIRECT(Inputs!$B$3&amp;"!B6"),1))</f>
        <v>2.380311484416</v>
      </c>
      <c r="BL6" s="0" t="n">
        <f aca="true">MAX(BL5,BK6*IF(MOD(BL$3,12)=0,1+INDIRECT(Inputs!$B$3&amp;"!B6"),1))</f>
        <v>2.380311484416</v>
      </c>
      <c r="BM6" s="0" t="n">
        <f aca="true">MAX(BM5,BL6*IF(MOD(BM$3,12)=0,1+INDIRECT(Inputs!$B$3&amp;"!B6"),1))</f>
        <v>2.380311484416</v>
      </c>
      <c r="BN6" s="0" t="n">
        <f aca="true">MAX(BN5,BM6*IF(MOD(BN$3,12)=0,1+INDIRECT(Inputs!$B$3&amp;"!B6"),1))</f>
        <v>2.380311484416</v>
      </c>
      <c r="BO6" s="0" t="n">
        <f aca="true">MAX(BO5,BN6*IF(MOD(BO$3,12)=0,1+INDIRECT(Inputs!$B$3&amp;"!B6"),1))</f>
        <v>2.380311484416</v>
      </c>
      <c r="BP6" s="0" t="n">
        <f aca="true">MAX(BP5,BO6*IF(MOD(BP$3,12)=0,1+INDIRECT(Inputs!$B$3&amp;"!B6"),1))</f>
        <v>2.380311484416</v>
      </c>
      <c r="BQ6" s="0" t="n">
        <f aca="true">MAX(BQ5,BP6*IF(MOD(BQ$3,12)=0,1+INDIRECT(Inputs!$B$3&amp;"!B6"),1))</f>
        <v>2.380311484416</v>
      </c>
      <c r="BR6" s="0" t="n">
        <f aca="true">MAX(BR5,BQ6*IF(MOD(BR$3,12)=0,1+INDIRECT(Inputs!$B$3&amp;"!B6"),1))</f>
        <v>2.380311484416</v>
      </c>
      <c r="BS6" s="0" t="n">
        <f aca="true">MAX(BS5,BR6*IF(MOD(BS$3,12)=0,1+INDIRECT(Inputs!$B$3&amp;"!B6"),1))</f>
        <v>2.380311484416</v>
      </c>
      <c r="BT6" s="0" t="n">
        <f aca="true">MAX(BT5,BS6*IF(MOD(BT$3,12)=0,1+INDIRECT(Inputs!$B$3&amp;"!B6"),1))</f>
        <v>2.380311484416</v>
      </c>
      <c r="BU6" s="0" t="n">
        <f aca="true">MAX(BU5,BT6*IF(MOD(BU$3,12)=0,1+INDIRECT(Inputs!$B$3&amp;"!B6"),1))</f>
        <v>2.380311484416</v>
      </c>
      <c r="BV6" s="0" t="n">
        <f aca="true">MAX(BV5,BU6*IF(MOD(BV$3,12)=0,1+INDIRECT(Inputs!$B$3&amp;"!B6"),1))</f>
        <v>2.57073640316928</v>
      </c>
      <c r="BW6" s="0" t="n">
        <f aca="true">MAX(BW5,BV6*IF(MOD(BW$3,12)=0,1+INDIRECT(Inputs!$B$3&amp;"!B6"),1))</f>
        <v>2.57073640316928</v>
      </c>
      <c r="BX6" s="0" t="n">
        <f aca="true">MAX(BX5,BW6*IF(MOD(BX$3,12)=0,1+INDIRECT(Inputs!$B$3&amp;"!B6"),1))</f>
        <v>2.57073640316928</v>
      </c>
      <c r="BY6" s="0" t="n">
        <f aca="true">MAX(BY5,BX6*IF(MOD(BY$3,12)=0,1+INDIRECT(Inputs!$B$3&amp;"!B6"),1))</f>
        <v>2.57073640316928</v>
      </c>
      <c r="BZ6" s="0" t="n">
        <f aca="true">MAX(BZ5,BY6*IF(MOD(BZ$3,12)=0,1+INDIRECT(Inputs!$B$3&amp;"!B6"),1))</f>
        <v>2.57073640316928</v>
      </c>
      <c r="CA6" s="0" t="n">
        <f aca="true">MAX(CA5,BZ6*IF(MOD(CA$3,12)=0,1+INDIRECT(Inputs!$B$3&amp;"!B6"),1))</f>
        <v>2.57073640316928</v>
      </c>
      <c r="CB6" s="0" t="n">
        <f aca="true">MAX(CB5,CA6*IF(MOD(CB$3,12)=0,1+INDIRECT(Inputs!$B$3&amp;"!B6"),1))</f>
        <v>2.57073640316928</v>
      </c>
      <c r="CC6" s="0" t="n">
        <f aca="true">MAX(CC5,CB6*IF(MOD(CC$3,12)=0,1+INDIRECT(Inputs!$B$3&amp;"!B6"),1))</f>
        <v>2.57073640316928</v>
      </c>
      <c r="CD6" s="0" t="n">
        <f aca="true">MAX(CD5,CC6*IF(MOD(CD$3,12)=0,1+INDIRECT(Inputs!$B$3&amp;"!B6"),1))</f>
        <v>2.57073640316928</v>
      </c>
      <c r="CE6" s="0" t="n">
        <f aca="true">MAX(CE5,CD6*IF(MOD(CE$3,12)=0,1+INDIRECT(Inputs!$B$3&amp;"!B6"),1))</f>
        <v>2.57073640316928</v>
      </c>
      <c r="CF6" s="0" t="n">
        <f aca="true">MAX(CF5,CE6*IF(MOD(CF$3,12)=0,1+INDIRECT(Inputs!$B$3&amp;"!B6"),1))</f>
        <v>2.57073640316928</v>
      </c>
      <c r="CG6" s="0" t="n">
        <f aca="true">MAX(CG5,CF6*IF(MOD(CG$3,12)=0,1+INDIRECT(Inputs!$B$3&amp;"!B6"),1))</f>
        <v>2.57073640316928</v>
      </c>
      <c r="CH6" s="0" t="n">
        <f aca="true">MAX(CH5,CG6*IF(MOD(CH$3,12)=0,1+INDIRECT(Inputs!$B$3&amp;"!B6"),1))</f>
        <v>2.77639531542282</v>
      </c>
      <c r="CI6" s="0" t="n">
        <f aca="true">MAX(CI5,CH6*IF(MOD(CI$3,12)=0,1+INDIRECT(Inputs!$B$3&amp;"!B6"),1))</f>
        <v>2.77639531542282</v>
      </c>
      <c r="CJ6" s="0" t="n">
        <f aca="true">MAX(CJ5,CI6*IF(MOD(CJ$3,12)=0,1+INDIRECT(Inputs!$B$3&amp;"!B6"),1))</f>
        <v>2.77639531542282</v>
      </c>
      <c r="CK6" s="0" t="n">
        <f aca="true">MAX(CK5,CJ6*IF(MOD(CK$3,12)=0,1+INDIRECT(Inputs!$B$3&amp;"!B6"),1))</f>
        <v>2.77639531542282</v>
      </c>
      <c r="CL6" s="0" t="n">
        <f aca="true">MAX(CL5,CK6*IF(MOD(CL$3,12)=0,1+INDIRECT(Inputs!$B$3&amp;"!B6"),1))</f>
        <v>2.77639531542282</v>
      </c>
      <c r="CM6" s="0" t="n">
        <f aca="true">MAX(CM5,CL6*IF(MOD(CM$3,12)=0,1+INDIRECT(Inputs!$B$3&amp;"!B6"),1))</f>
        <v>2.77639531542282</v>
      </c>
      <c r="CN6" s="0" t="n">
        <f aca="true">MAX(CN5,CM6*IF(MOD(CN$3,12)=0,1+INDIRECT(Inputs!$B$3&amp;"!B6"),1))</f>
        <v>2.77639531542282</v>
      </c>
      <c r="CO6" s="0" t="n">
        <f aca="true">MAX(CO5,CN6*IF(MOD(CO$3,12)=0,1+INDIRECT(Inputs!$B$3&amp;"!B6"),1))</f>
        <v>2.77639531542282</v>
      </c>
      <c r="CP6" s="0" t="n">
        <f aca="true">MAX(CP5,CO6*IF(MOD(CP$3,12)=0,1+INDIRECT(Inputs!$B$3&amp;"!B6"),1))</f>
        <v>2.77639531542282</v>
      </c>
      <c r="CQ6" s="0" t="n">
        <f aca="true">MAX(CQ5,CP6*IF(MOD(CQ$3,12)=0,1+INDIRECT(Inputs!$B$3&amp;"!B6"),1))</f>
        <v>2.77639531542282</v>
      </c>
      <c r="CR6" s="0" t="n">
        <f aca="true">MAX(CR5,CQ6*IF(MOD(CR$3,12)=0,1+INDIRECT(Inputs!$B$3&amp;"!B6"),1))</f>
        <v>2.77639531542282</v>
      </c>
      <c r="CS6" s="0" t="n">
        <f aca="true">MAX(CS5,CR6*IF(MOD(CS$3,12)=0,1+INDIRECT(Inputs!$B$3&amp;"!B6"),1))</f>
        <v>2.77639531542282</v>
      </c>
      <c r="CT6" s="0" t="n">
        <f aca="true">MAX(CT5,CS6*IF(MOD(CT$3,12)=0,1+INDIRECT(Inputs!$B$3&amp;"!B6"),1))</f>
        <v>2.99850694065665</v>
      </c>
      <c r="CU6" s="0" t="n">
        <f aca="true">MAX(CU5,CT6*IF(MOD(CU$3,12)=0,1+INDIRECT(Inputs!$B$3&amp;"!B6"),1))</f>
        <v>2.99850694065665</v>
      </c>
      <c r="CV6" s="0" t="n">
        <f aca="true">MAX(CV5,CU6*IF(MOD(CV$3,12)=0,1+INDIRECT(Inputs!$B$3&amp;"!B6"),1))</f>
        <v>2.99850694065665</v>
      </c>
      <c r="CW6" s="0" t="n">
        <f aca="true">MAX(CW5,CV6*IF(MOD(CW$3,12)=0,1+INDIRECT(Inputs!$B$3&amp;"!B6"),1))</f>
        <v>2.99850694065665</v>
      </c>
      <c r="CX6" s="0" t="n">
        <f aca="true">MAX(CX5,CW6*IF(MOD(CX$3,12)=0,1+INDIRECT(Inputs!$B$3&amp;"!B6"),1))</f>
        <v>2.99850694065665</v>
      </c>
      <c r="CY6" s="0" t="n">
        <f aca="true">MAX(CY5,CX6*IF(MOD(CY$3,12)=0,1+INDIRECT(Inputs!$B$3&amp;"!B6"),1))</f>
        <v>2.99850694065665</v>
      </c>
      <c r="CZ6" s="0" t="n">
        <f aca="true">MAX(CZ5,CY6*IF(MOD(CZ$3,12)=0,1+INDIRECT(Inputs!$B$3&amp;"!B6"),1))</f>
        <v>2.99850694065665</v>
      </c>
      <c r="DA6" s="0" t="n">
        <f aca="true">MAX(DA5,CZ6*IF(MOD(DA$3,12)=0,1+INDIRECT(Inputs!$B$3&amp;"!B6"),1))</f>
        <v>2.99850694065665</v>
      </c>
      <c r="DB6" s="0" t="n">
        <f aca="true">MAX(DB5,DA6*IF(MOD(DB$3,12)=0,1+INDIRECT(Inputs!$B$3&amp;"!B6"),1))</f>
        <v>2.99850694065665</v>
      </c>
      <c r="DC6" s="0" t="n">
        <f aca="true">MAX(DC5,DB6*IF(MOD(DC$3,12)=0,1+INDIRECT(Inputs!$B$3&amp;"!B6"),1))</f>
        <v>2.99850694065665</v>
      </c>
      <c r="DD6" s="0" t="n">
        <f aca="true">MAX(DD5,DC6*IF(MOD(DD$3,12)=0,1+INDIRECT(Inputs!$B$3&amp;"!B6"),1))</f>
        <v>2.99850694065665</v>
      </c>
      <c r="DE6" s="0" t="n">
        <f aca="true">MAX(DE5,DD6*IF(MOD(DE$3,12)=0,1+INDIRECT(Inputs!$B$3&amp;"!B6"),1))</f>
        <v>2.99850694065665</v>
      </c>
      <c r="DF6" s="0" t="n">
        <f aca="true">MAX(DF5,DE6*IF(MOD(DF$3,12)=0,1+INDIRECT(Inputs!$B$3&amp;"!B6"),1))</f>
        <v>3.23838749590918</v>
      </c>
      <c r="DG6" s="0" t="n">
        <f aca="true">MAX(DG5,DF6*IF(MOD(DG$3,12)=0,1+INDIRECT(Inputs!$B$3&amp;"!B6"),1))</f>
        <v>3.23838749590918</v>
      </c>
      <c r="DH6" s="0" t="n">
        <f aca="true">MAX(DH5,DG6*IF(MOD(DH$3,12)=0,1+INDIRECT(Inputs!$B$3&amp;"!B6"),1))</f>
        <v>3.23838749590918</v>
      </c>
      <c r="DI6" s="0" t="n">
        <f aca="true">MAX(DI5,DH6*IF(MOD(DI$3,12)=0,1+INDIRECT(Inputs!$B$3&amp;"!B6"),1))</f>
        <v>3.23838749590918</v>
      </c>
      <c r="DJ6" s="0" t="n">
        <f aca="true">MAX(DJ5,DI6*IF(MOD(DJ$3,12)=0,1+INDIRECT(Inputs!$B$3&amp;"!B6"),1))</f>
        <v>3.23838749590918</v>
      </c>
      <c r="DK6" s="0" t="n">
        <f aca="true">MAX(DK5,DJ6*IF(MOD(DK$3,12)=0,1+INDIRECT(Inputs!$B$3&amp;"!B6"),1))</f>
        <v>3.23838749590918</v>
      </c>
      <c r="DL6" s="0" t="n">
        <f aca="true">MAX(DL5,DK6*IF(MOD(DL$3,12)=0,1+INDIRECT(Inputs!$B$3&amp;"!B6"),1))</f>
        <v>3.23838749590918</v>
      </c>
      <c r="DM6" s="0" t="n">
        <f aca="true">MAX(DM5,DL6*IF(MOD(DM$3,12)=0,1+INDIRECT(Inputs!$B$3&amp;"!B6"),1))</f>
        <v>3.23838749590918</v>
      </c>
      <c r="DN6" s="0" t="n">
        <f aca="true">MAX(DN5,DM6*IF(MOD(DN$3,12)=0,1+INDIRECT(Inputs!$B$3&amp;"!B6"),1))</f>
        <v>3.23838749590918</v>
      </c>
      <c r="DO6" s="0" t="n">
        <f aca="true">MAX(DO5,DN6*IF(MOD(DO$3,12)=0,1+INDIRECT(Inputs!$B$3&amp;"!B6"),1))</f>
        <v>3.23838749590918</v>
      </c>
      <c r="DP6" s="0" t="n">
        <f aca="true">MAX(DP5,DO6*IF(MOD(DP$3,12)=0,1+INDIRECT(Inputs!$B$3&amp;"!B6"),1))</f>
        <v>3.23838749590918</v>
      </c>
      <c r="DQ6" s="0" t="n">
        <f aca="true">MAX(DQ5,DP6*IF(MOD(DQ$3,12)=0,1+INDIRECT(Inputs!$B$3&amp;"!B6"),1))</f>
        <v>3.23838749590918</v>
      </c>
      <c r="DR6" s="0" t="n">
        <f aca="true">MAX(DR5,DQ6*IF(MOD(DR$3,12)=0,1+INDIRECT(Inputs!$B$3&amp;"!B6"),1))</f>
        <v>3.49745849558192</v>
      </c>
    </row>
    <row r="7" customFormat="false" ht="15" hidden="false" customHeight="false" outlineLevel="0" collapsed="false">
      <c r="A7" s="0" t="s">
        <v>18</v>
      </c>
      <c r="B7" s="0" t="n">
        <f aca="false">Inputs!$B$5*B4*B6</f>
        <v>0</v>
      </c>
      <c r="C7" s="0" t="n">
        <f aca="false">Inputs!$B$5*C4*C6</f>
        <v>2445.71265612306</v>
      </c>
      <c r="D7" s="0" t="n">
        <f aca="false">Inputs!$B$5*D4*D6</f>
        <v>3030.24383768572</v>
      </c>
      <c r="E7" s="0" t="n">
        <f aca="false">Inputs!$B$5*E4*E6</f>
        <v>3749.391876639</v>
      </c>
      <c r="F7" s="0" t="n">
        <f aca="false">Inputs!$B$5*F4*F6</f>
        <v>4631.4894237749</v>
      </c>
      <c r="G7" s="0" t="n">
        <f aca="false">Inputs!$B$5*G4*G6</f>
        <v>5709.45731423483</v>
      </c>
      <c r="H7" s="0" t="n">
        <f aca="false">Inputs!$B$5*H4*H6</f>
        <v>7020.8399722031</v>
      </c>
      <c r="I7" s="0" t="n">
        <f aca="false">Inputs!$B$5*I4*I6</f>
        <v>8607.42372500603</v>
      </c>
      <c r="J7" s="0" t="n">
        <f aca="false">Inputs!$B$5*J4*J6</f>
        <v>10514.2302308072</v>
      </c>
      <c r="K7" s="0" t="n">
        <f aca="false">Inputs!$B$5*K4*K6</f>
        <v>12787.6485036299</v>
      </c>
      <c r="L7" s="0" t="n">
        <f aca="false">Inputs!$B$5*L4*L6</f>
        <v>15472.4798038667</v>
      </c>
      <c r="M7" s="0" t="n">
        <f aca="false">Inputs!$B$5*M4*M6</f>
        <v>18607.7535986752</v>
      </c>
      <c r="N7" s="0" t="n">
        <f aca="false">Inputs!$B$5*N4*N6</f>
        <v>23999.0747070708</v>
      </c>
      <c r="O7" s="0" t="n">
        <f aca="false">Inputs!$B$5*O4*O6</f>
        <v>28429.8211710521</v>
      </c>
      <c r="P7" s="0" t="n">
        <f aca="false">Inputs!$B$5*P4*P6</f>
        <v>33374.6910780835</v>
      </c>
      <c r="Q7" s="0" t="n">
        <f aca="false">Inputs!$B$5*Q4*Q6</f>
        <v>38789.0218553384</v>
      </c>
      <c r="R7" s="0" t="n">
        <f aca="false">Inputs!$B$5*R4*R6</f>
        <v>44594.9003373708</v>
      </c>
      <c r="S7" s="0" t="n">
        <f aca="false">Inputs!$B$5*S4*S6</f>
        <v>50682.9185529338</v>
      </c>
      <c r="T7" s="0" t="n">
        <f aca="false">Inputs!$B$5*T4*T6</f>
        <v>56918.862</v>
      </c>
      <c r="U7" s="0" t="n">
        <f aca="false">Inputs!$B$5*U4*U6</f>
        <v>63154.8054470662</v>
      </c>
      <c r="V7" s="0" t="n">
        <f aca="false">Inputs!$B$5*V4*V6</f>
        <v>69242.8236626292</v>
      </c>
      <c r="W7" s="0" t="n">
        <f aca="false">Inputs!$B$5*W4*W6</f>
        <v>75048.7021446616</v>
      </c>
      <c r="X7" s="0" t="n">
        <f aca="false">Inputs!$B$5*X4*X6</f>
        <v>80463.0329219165</v>
      </c>
      <c r="Y7" s="0" t="n">
        <f aca="false">Inputs!$B$5*Y4*Y6</f>
        <v>85407.9028289479</v>
      </c>
      <c r="Z7" s="0" t="n">
        <f aca="false">Inputs!$B$5*Z4*Z6</f>
        <v>97025.7412363636</v>
      </c>
      <c r="AA7" s="0" t="n">
        <f aca="false">Inputs!$B$5*AA4*AA6</f>
        <v>101240.658122505</v>
      </c>
      <c r="AB7" s="0" t="n">
        <f aca="false">Inputs!$B$5*AB4*AB6</f>
        <v>104897.64147677</v>
      </c>
      <c r="AC7" s="0" t="n">
        <f aca="false">Inputs!$B$5*AC4*AC6</f>
        <v>108029.228705366</v>
      </c>
      <c r="AD7" s="0" t="n">
        <f aca="false">Inputs!$B$5*AD4*AD6</f>
        <v>110680.943778787</v>
      </c>
      <c r="AE7" s="0" t="n">
        <f aca="false">Inputs!$B$5*AE4*AE6</f>
        <v>112905.042887153</v>
      </c>
      <c r="AF7" s="0" t="n">
        <f aca="false">Inputs!$B$5*AF4*AF6</f>
        <v>114755.634176422</v>
      </c>
      <c r="AG7" s="0" t="n">
        <f aca="false">Inputs!$B$5*AG4*AG6</f>
        <v>116285.230908677</v>
      </c>
      <c r="AH7" s="0" t="n">
        <f aca="false">Inputs!$B$5*AH4*AH6</f>
        <v>117542.572656109</v>
      </c>
      <c r="AI7" s="0" t="n">
        <f aca="false">Inputs!$B$5*AI4*AI6</f>
        <v>118571.451235088</v>
      </c>
      <c r="AJ7" s="0" t="n">
        <f aca="false">Inputs!$B$5*AJ4*AJ6</f>
        <v>119410.265507723</v>
      </c>
      <c r="AK7" s="0" t="n">
        <f aca="false">Inputs!$B$5*AK4*AK6</f>
        <v>120092.062677898</v>
      </c>
      <c r="AL7" s="0" t="n">
        <f aca="false">Inputs!$B$5*AL4*AL6</f>
        <v>130296.464871953</v>
      </c>
      <c r="AM7" s="0" t="n">
        <f aca="false">Inputs!$B$5*AM4*AM6</f>
        <v>130779.588745602</v>
      </c>
      <c r="AN7" s="0" t="n">
        <f aca="false">Inputs!$B$5*AN4*AN6</f>
        <v>131169.903779842</v>
      </c>
      <c r="AO7" s="0" t="n">
        <f aca="false">Inputs!$B$5*AO4*AO6</f>
        <v>131484.828077413</v>
      </c>
      <c r="AP7" s="0" t="n">
        <f aca="false">Inputs!$B$5*AP4*AP6</f>
        <v>131738.656595217</v>
      </c>
      <c r="AQ7" s="0" t="n">
        <f aca="false">Inputs!$B$5*AQ4*AQ6</f>
        <v>131943.068678982</v>
      </c>
      <c r="AR7" s="0" t="n">
        <f aca="false">Inputs!$B$5*AR4*AR6</f>
        <v>132107.572602928</v>
      </c>
      <c r="AS7" s="0" t="n">
        <f aca="false">Inputs!$B$5*AS4*AS6</f>
        <v>132239.887080056</v>
      </c>
      <c r="AT7" s="0" t="n">
        <f aca="false">Inputs!$B$5*AT4*AT6</f>
        <v>132346.263789366</v>
      </c>
      <c r="AU7" s="0" t="n">
        <f aca="false">Inputs!$B$5*AU4*AU6</f>
        <v>132431.756962539</v>
      </c>
      <c r="AV7" s="0" t="n">
        <f aca="false">Inputs!$B$5*AV4*AV6</f>
        <v>132500.446771401</v>
      </c>
      <c r="AW7" s="0" t="n">
        <f aca="false">Inputs!$B$5*AW4*AW6</f>
        <v>132555.623193695</v>
      </c>
      <c r="AX7" s="0" t="n">
        <f aca="false">Inputs!$B$5*AX4*AX6</f>
        <v>143207.931482776</v>
      </c>
      <c r="AY7" s="0" t="n">
        <f aca="false">Inputs!$B$5*AY4*AY6</f>
        <v>143246.361925134</v>
      </c>
      <c r="AZ7" s="0" t="n">
        <f aca="false">Inputs!$B$5*AZ4*AZ6</f>
        <v>143277.217999033</v>
      </c>
      <c r="BA7" s="0" t="n">
        <f aca="false">Inputs!$B$5*BA4*BA6</f>
        <v>143301.990194664</v>
      </c>
      <c r="BB7" s="0" t="n">
        <f aca="false">Inputs!$B$5*BB4*BB6</f>
        <v>143321.876543834</v>
      </c>
      <c r="BC7" s="0" t="n">
        <f aca="false">Inputs!$B$5*BC4*BC6</f>
        <v>143337.839705333</v>
      </c>
      <c r="BD7" s="0" t="n">
        <f aca="false">Inputs!$B$5*BD4*BD6</f>
        <v>143350.653014678</v>
      </c>
      <c r="BE7" s="0" t="n">
        <f aca="false">Inputs!$B$5*BE4*BE6</f>
        <v>143360.937593312</v>
      </c>
      <c r="BF7" s="0" t="n">
        <f aca="false">Inputs!$B$5*BF4*BF6</f>
        <v>143369.19222841</v>
      </c>
      <c r="BG7" s="0" t="n">
        <f aca="false">Inputs!$B$5*BG4*BG6</f>
        <v>143375.817415821</v>
      </c>
      <c r="BH7" s="0" t="n">
        <f aca="false">Inputs!$B$5*BH4*BH6</f>
        <v>143381.134696145</v>
      </c>
      <c r="BI7" s="0" t="n">
        <f aca="false">Inputs!$B$5*BI4*BI6</f>
        <v>143385.402198825</v>
      </c>
      <c r="BJ7" s="0" t="n">
        <f aca="false">Inputs!$B$5*BJ4*BJ6</f>
        <v>154859.93330438</v>
      </c>
      <c r="BK7" s="0" t="n">
        <f aca="false">Inputs!$B$5*BK4*BK6</f>
        <v>154862.901892766</v>
      </c>
      <c r="BL7" s="0" t="n">
        <f aca="false">Inputs!$B$5*BL4*BL6</f>
        <v>154865.284323069</v>
      </c>
      <c r="BM7" s="0" t="n">
        <f aca="false">Inputs!$B$5*BM4*BM6</f>
        <v>154867.196321191</v>
      </c>
      <c r="BN7" s="0" t="n">
        <f aca="false">Inputs!$B$5*BN4*BN6</f>
        <v>154868.730769773</v>
      </c>
      <c r="BO7" s="0" t="n">
        <f aca="false">Inputs!$B$5*BO4*BO6</f>
        <v>154869.962215598</v>
      </c>
      <c r="BP7" s="0" t="n">
        <f aca="false">Inputs!$B$5*BP4*BP6</f>
        <v>154870.950488185</v>
      </c>
      <c r="BQ7" s="0" t="n">
        <f aca="false">Inputs!$B$5*BQ4*BQ6</f>
        <v>154871.743604637</v>
      </c>
      <c r="BR7" s="0" t="n">
        <f aca="false">Inputs!$B$5*BR4*BR6</f>
        <v>154872.380101374</v>
      </c>
      <c r="BS7" s="0" t="n">
        <f aca="false">Inputs!$B$5*BS4*BS6</f>
        <v>154872.890905754</v>
      </c>
      <c r="BT7" s="0" t="n">
        <f aca="false">Inputs!$B$5*BT4*BT6</f>
        <v>154873.300838309</v>
      </c>
      <c r="BU7" s="0" t="n">
        <f aca="false">Inputs!$B$5*BU4*BU6</f>
        <v>154873.629818459</v>
      </c>
      <c r="BV7" s="0" t="n">
        <f aca="false">Inputs!$B$5*BV4*BV6</f>
        <v>167263.805338803</v>
      </c>
      <c r="BW7" s="0" t="n">
        <f aca="false">Inputs!$B$5*BW4*BW6</f>
        <v>167264.034165597</v>
      </c>
      <c r="BX7" s="0" t="n">
        <f aca="false">Inputs!$B$5*BX4*BX6</f>
        <v>167264.217803853</v>
      </c>
      <c r="BY7" s="0" t="n">
        <f aca="false">Inputs!$B$5*BY4*BY6</f>
        <v>167264.365177297</v>
      </c>
      <c r="BZ7" s="0" t="n">
        <f aca="false">Inputs!$B$5*BZ4*BZ6</f>
        <v>167264.483447445</v>
      </c>
      <c r="CA7" s="0" t="n">
        <f aca="false">Inputs!$B$5*CA4*CA6</f>
        <v>167264.578361582</v>
      </c>
      <c r="CB7" s="0" t="n">
        <f aca="false">Inputs!$B$5*CB4*CB6</f>
        <v>167264.654532039</v>
      </c>
      <c r="CC7" s="0" t="n">
        <f aca="false">Inputs!$B$5*CC4*CC6</f>
        <v>167264.715660313</v>
      </c>
      <c r="CD7" s="0" t="n">
        <f aca="false">Inputs!$B$5*CD4*CD6</f>
        <v>167264.764716935</v>
      </c>
      <c r="CE7" s="0" t="n">
        <f aca="false">Inputs!$B$5*CE4*CE6</f>
        <v>167264.804085816</v>
      </c>
      <c r="CF7" s="0" t="n">
        <f aca="false">Inputs!$B$5*CF4*CF6</f>
        <v>167264.835680097</v>
      </c>
      <c r="CG7" s="0" t="n">
        <f aca="false">Inputs!$B$5*CG4*CG6</f>
        <v>167264.86103511</v>
      </c>
      <c r="CH7" s="0" t="n">
        <f aca="false">Inputs!$B$5*CH4*CH6</f>
        <v>180646.07189363</v>
      </c>
      <c r="CI7" s="0" t="n">
        <f aca="false">Inputs!$B$5*CI4*CI6</f>
        <v>180646.089529554</v>
      </c>
      <c r="CJ7" s="0" t="n">
        <f aca="false">Inputs!$B$5*CJ4*CJ6</f>
        <v>180646.103682718</v>
      </c>
      <c r="CK7" s="0" t="n">
        <f aca="false">Inputs!$B$5*CK4*CK6</f>
        <v>180646.115040899</v>
      </c>
      <c r="CL7" s="0" t="n">
        <f aca="false">Inputs!$B$5*CL4*CL6</f>
        <v>180646.124156054</v>
      </c>
      <c r="CM7" s="0" t="n">
        <f aca="false">Inputs!$B$5*CM4*CM6</f>
        <v>180646.131471138</v>
      </c>
      <c r="CN7" s="0" t="n">
        <f aca="false">Inputs!$B$5*CN4*CN6</f>
        <v>180646.137341631</v>
      </c>
      <c r="CO7" s="0" t="n">
        <f aca="false">Inputs!$B$5*CO4*CO6</f>
        <v>180646.142052812</v>
      </c>
      <c r="CP7" s="0" t="n">
        <f aca="false">Inputs!$B$5*CP4*CP6</f>
        <v>180646.145833624</v>
      </c>
      <c r="CQ7" s="0" t="n">
        <f aca="false">Inputs!$B$5*CQ4*CQ6</f>
        <v>180646.148867796</v>
      </c>
      <c r="CR7" s="0" t="n">
        <f aca="false">Inputs!$B$5*CR4*CR6</f>
        <v>180646.151302777</v>
      </c>
      <c r="CS7" s="0" t="n">
        <f aca="false">Inputs!$B$5*CS4*CS6</f>
        <v>180646.153256895</v>
      </c>
      <c r="CT7" s="0" t="n">
        <f aca="false">Inputs!$B$5*CT4*CT6</f>
        <v>195097.84721112</v>
      </c>
      <c r="CU7" s="0" t="n">
        <f aca="false">Inputs!$B$5*CU4*CU6</f>
        <v>195097.848570325</v>
      </c>
      <c r="CV7" s="0" t="n">
        <f aca="false">Inputs!$B$5*CV4*CV6</f>
        <v>195097.849661112</v>
      </c>
      <c r="CW7" s="0" t="n">
        <f aca="false">Inputs!$B$5*CW4*CW6</f>
        <v>195097.85053649</v>
      </c>
      <c r="CX7" s="0" t="n">
        <f aca="false">Inputs!$B$5*CX4*CX6</f>
        <v>195097.851238996</v>
      </c>
      <c r="CY7" s="0" t="n">
        <f aca="false">Inputs!$B$5*CY4*CY6</f>
        <v>195097.851802771</v>
      </c>
      <c r="CZ7" s="0" t="n">
        <f aca="false">Inputs!$B$5*CZ4*CZ6</f>
        <v>195097.852255211</v>
      </c>
      <c r="DA7" s="0" t="n">
        <f aca="false">Inputs!$B$5*DA4*DA6</f>
        <v>195097.852618303</v>
      </c>
      <c r="DB7" s="0" t="n">
        <f aca="false">Inputs!$B$5*DB4*DB6</f>
        <v>195097.852909691</v>
      </c>
      <c r="DC7" s="0" t="n">
        <f aca="false">Inputs!$B$5*DC4*DC6</f>
        <v>195097.853143535</v>
      </c>
      <c r="DD7" s="0" t="n">
        <f aca="false">Inputs!$B$5*DD4*DD6</f>
        <v>195097.853331199</v>
      </c>
      <c r="DE7" s="0" t="n">
        <f aca="false">Inputs!$B$5*DE4*DE6</f>
        <v>195097.853481804</v>
      </c>
      <c r="DF7" s="0" t="n">
        <f aca="false">Inputs!$B$5*DF4*DF6</f>
        <v>210705.68189088</v>
      </c>
      <c r="DG7" s="0" t="n">
        <f aca="false">Inputs!$B$5*DG4*DG6</f>
        <v>210705.681995634</v>
      </c>
      <c r="DH7" s="0" t="n">
        <f aca="false">Inputs!$B$5*DH4*DH6</f>
        <v>210705.682079701</v>
      </c>
      <c r="DI7" s="0" t="n">
        <f aca="false">Inputs!$B$5*DI4*DI6</f>
        <v>210705.682147167</v>
      </c>
      <c r="DJ7" s="0" t="n">
        <f aca="false">Inputs!$B$5*DJ4*DJ6</f>
        <v>210705.682201309</v>
      </c>
      <c r="DK7" s="0" t="n">
        <f aca="false">Inputs!$B$5*DK4*DK6</f>
        <v>210705.682244759</v>
      </c>
      <c r="DL7" s="0" t="n">
        <f aca="false">Inputs!$B$5*DL4*DL6</f>
        <v>210705.682279629</v>
      </c>
      <c r="DM7" s="0" t="n">
        <f aca="false">Inputs!$B$5*DM4*DM6</f>
        <v>210705.682307612</v>
      </c>
      <c r="DN7" s="0" t="n">
        <f aca="false">Inputs!$B$5*DN4*DN6</f>
        <v>210705.68233007</v>
      </c>
      <c r="DO7" s="0" t="n">
        <f aca="false">Inputs!$B$5*DO4*DO6</f>
        <v>210705.682348092</v>
      </c>
      <c r="DP7" s="0" t="n">
        <f aca="false">Inputs!$B$5*DP4*DP6</f>
        <v>210705.682362555</v>
      </c>
      <c r="DQ7" s="0" t="n">
        <f aca="false">Inputs!$B$5*DQ4*DQ6</f>
        <v>210705.682374162</v>
      </c>
      <c r="DR7" s="0" t="n">
        <f aca="false">Inputs!$B$5*DR4*DR6</f>
        <v>227562.136974155</v>
      </c>
    </row>
    <row r="8" customFormat="false" ht="15" hidden="false" customHeight="false" outlineLevel="0" collapsed="false">
      <c r="A8" s="0" t="s">
        <v>19</v>
      </c>
      <c r="B8" s="0" t="n">
        <f aca="false">B7*Inputs!$B$8+IF(B$3&gt;0,Inputs!$B$4*2.5,0)</f>
        <v>0</v>
      </c>
      <c r="C8" s="0" t="n">
        <f aca="false">C7*Inputs!$B$8+IF(C$3&gt;0,Inputs!$B$4*2.5,0)</f>
        <v>2930.4565562043</v>
      </c>
      <c r="D8" s="0" t="n">
        <f aca="false">D7*Inputs!$B$8+IF(D$3&gt;0,Inputs!$B$4*2.5,0)</f>
        <v>3140.88778156686</v>
      </c>
      <c r="E8" s="0" t="n">
        <f aca="false">E7*Inputs!$B$8+IF(E$3&gt;0,Inputs!$B$4*2.5,0)</f>
        <v>3399.78107559004</v>
      </c>
      <c r="F8" s="0" t="n">
        <f aca="false">F7*Inputs!$B$8+IF(F$3&gt;0,Inputs!$B$4*2.5,0)</f>
        <v>3717.33619255896</v>
      </c>
      <c r="G8" s="0" t="n">
        <f aca="false">G7*Inputs!$B$8+IF(G$3&gt;0,Inputs!$B$4*2.5,0)</f>
        <v>4105.40463312454</v>
      </c>
      <c r="H8" s="0" t="n">
        <f aca="false">H7*Inputs!$B$8+IF(H$3&gt;0,Inputs!$B$4*2.5,0)</f>
        <v>4577.50238999312</v>
      </c>
      <c r="I8" s="0" t="n">
        <f aca="false">I7*Inputs!$B$8+IF(I$3&gt;0,Inputs!$B$4*2.5,0)</f>
        <v>5148.67254100217</v>
      </c>
      <c r="J8" s="0" t="n">
        <f aca="false">J7*Inputs!$B$8+IF(J$3&gt;0,Inputs!$B$4*2.5,0)</f>
        <v>5835.12288309057</v>
      </c>
      <c r="K8" s="0" t="n">
        <f aca="false">K7*Inputs!$B$8+IF(K$3&gt;0,Inputs!$B$4*2.5,0)</f>
        <v>6653.55346130676</v>
      </c>
      <c r="L8" s="0" t="n">
        <f aca="false">L7*Inputs!$B$8+IF(L$3&gt;0,Inputs!$B$4*2.5,0)</f>
        <v>7620.092729392</v>
      </c>
      <c r="M8" s="0" t="n">
        <f aca="false">M7*Inputs!$B$8+IF(M$3&gt;0,Inputs!$B$4*2.5,0)</f>
        <v>8748.79129552308</v>
      </c>
      <c r="N8" s="0" t="n">
        <f aca="false">N7*Inputs!$B$8+IF(N$3&gt;0,Inputs!$B$4*2.5,0)</f>
        <v>10689.6668945455</v>
      </c>
      <c r="O8" s="0" t="n">
        <f aca="false">O7*Inputs!$B$8+IF(O$3&gt;0,Inputs!$B$4*2.5,0)</f>
        <v>12284.7356215788</v>
      </c>
      <c r="P8" s="0" t="n">
        <f aca="false">P7*Inputs!$B$8+IF(P$3&gt;0,Inputs!$B$4*2.5,0)</f>
        <v>14064.8887881101</v>
      </c>
      <c r="Q8" s="0" t="n">
        <f aca="false">Q7*Inputs!$B$8+IF(Q$3&gt;0,Inputs!$B$4*2.5,0)</f>
        <v>16014.0478679218</v>
      </c>
      <c r="R8" s="0" t="n">
        <f aca="false">R7*Inputs!$B$8+IF(R$3&gt;0,Inputs!$B$4*2.5,0)</f>
        <v>18104.1641214535</v>
      </c>
      <c r="S8" s="0" t="n">
        <f aca="false">S7*Inputs!$B$8+IF(S$3&gt;0,Inputs!$B$4*2.5,0)</f>
        <v>20295.8506790562</v>
      </c>
      <c r="T8" s="0" t="n">
        <f aca="false">T7*Inputs!$B$8+IF(T$3&gt;0,Inputs!$B$4*2.5,0)</f>
        <v>22540.79032</v>
      </c>
      <c r="U8" s="0" t="n">
        <f aca="false">U7*Inputs!$B$8+IF(U$3&gt;0,Inputs!$B$4*2.5,0)</f>
        <v>24785.7299609438</v>
      </c>
      <c r="V8" s="0" t="n">
        <f aca="false">V7*Inputs!$B$8+IF(V$3&gt;0,Inputs!$B$4*2.5,0)</f>
        <v>26977.4165185465</v>
      </c>
      <c r="W8" s="0" t="n">
        <f aca="false">W7*Inputs!$B$8+IF(W$3&gt;0,Inputs!$B$4*2.5,0)</f>
        <v>29067.5327720782</v>
      </c>
      <c r="X8" s="0" t="n">
        <f aca="false">X7*Inputs!$B$8+IF(X$3&gt;0,Inputs!$B$4*2.5,0)</f>
        <v>31016.69185189</v>
      </c>
      <c r="Y8" s="0" t="n">
        <f aca="false">Y7*Inputs!$B$8+IF(Y$3&gt;0,Inputs!$B$4*2.5,0)</f>
        <v>32796.8450184212</v>
      </c>
      <c r="Z8" s="0" t="n">
        <f aca="false">Z7*Inputs!$B$8+IF(Z$3&gt;0,Inputs!$B$4*2.5,0)</f>
        <v>36979.2668450909</v>
      </c>
      <c r="AA8" s="0" t="n">
        <f aca="false">AA7*Inputs!$B$8+IF(AA$3&gt;0,Inputs!$B$4*2.5,0)</f>
        <v>38496.6369241019</v>
      </c>
      <c r="AB8" s="0" t="n">
        <f aca="false">AB7*Inputs!$B$8+IF(AB$3&gt;0,Inputs!$B$4*2.5,0)</f>
        <v>39813.1509316372</v>
      </c>
      <c r="AC8" s="0" t="n">
        <f aca="false">AC7*Inputs!$B$8+IF(AC$3&gt;0,Inputs!$B$4*2.5,0)</f>
        <v>40940.5223339318</v>
      </c>
      <c r="AD8" s="0" t="n">
        <f aca="false">AD7*Inputs!$B$8+IF(AD$3&gt;0,Inputs!$B$4*2.5,0)</f>
        <v>41895.1397603632</v>
      </c>
      <c r="AE8" s="0" t="n">
        <f aca="false">AE7*Inputs!$B$8+IF(AE$3&gt;0,Inputs!$B$4*2.5,0)</f>
        <v>42695.8154393751</v>
      </c>
      <c r="AF8" s="0" t="n">
        <f aca="false">AF7*Inputs!$B$8+IF(AF$3&gt;0,Inputs!$B$4*2.5,0)</f>
        <v>43362.028303512</v>
      </c>
      <c r="AG8" s="0" t="n">
        <f aca="false">AG7*Inputs!$B$8+IF(AG$3&gt;0,Inputs!$B$4*2.5,0)</f>
        <v>43912.6831271235</v>
      </c>
      <c r="AH8" s="0" t="n">
        <f aca="false">AH7*Inputs!$B$8+IF(AH$3&gt;0,Inputs!$B$4*2.5,0)</f>
        <v>44365.3261561992</v>
      </c>
      <c r="AI8" s="0" t="n">
        <f aca="false">AI7*Inputs!$B$8+IF(AI$3&gt;0,Inputs!$B$4*2.5,0)</f>
        <v>44735.7224446318</v>
      </c>
      <c r="AJ8" s="0" t="n">
        <f aca="false">AJ7*Inputs!$B$8+IF(AJ$3&gt;0,Inputs!$B$4*2.5,0)</f>
        <v>45037.6955827804</v>
      </c>
      <c r="AK8" s="0" t="n">
        <f aca="false">AK7*Inputs!$B$8+IF(AK$3&gt;0,Inputs!$B$4*2.5,0)</f>
        <v>45283.1425640433</v>
      </c>
      <c r="AL8" s="0" t="n">
        <f aca="false">AL7*Inputs!$B$8+IF(AL$3&gt;0,Inputs!$B$4*2.5,0)</f>
        <v>48956.7273539031</v>
      </c>
      <c r="AM8" s="0" t="n">
        <f aca="false">AM7*Inputs!$B$8+IF(AM$3&gt;0,Inputs!$B$4*2.5,0)</f>
        <v>49130.6519484168</v>
      </c>
      <c r="AN8" s="0" t="n">
        <f aca="false">AN7*Inputs!$B$8+IF(AN$3&gt;0,Inputs!$B$4*2.5,0)</f>
        <v>49271.1653607432</v>
      </c>
      <c r="AO8" s="0" t="n">
        <f aca="false">AO7*Inputs!$B$8+IF(AO$3&gt;0,Inputs!$B$4*2.5,0)</f>
        <v>49384.5381078687</v>
      </c>
      <c r="AP8" s="0" t="n">
        <f aca="false">AP7*Inputs!$B$8+IF(AP$3&gt;0,Inputs!$B$4*2.5,0)</f>
        <v>49475.9163742782</v>
      </c>
      <c r="AQ8" s="0" t="n">
        <f aca="false">AQ7*Inputs!$B$8+IF(AQ$3&gt;0,Inputs!$B$4*2.5,0)</f>
        <v>49549.5047244334</v>
      </c>
      <c r="AR8" s="0" t="n">
        <f aca="false">AR7*Inputs!$B$8+IF(AR$3&gt;0,Inputs!$B$4*2.5,0)</f>
        <v>49608.7261370541</v>
      </c>
      <c r="AS8" s="0" t="n">
        <f aca="false">AS7*Inputs!$B$8+IF(AS$3&gt;0,Inputs!$B$4*2.5,0)</f>
        <v>49656.35934882</v>
      </c>
      <c r="AT8" s="0" t="n">
        <f aca="false">AT7*Inputs!$B$8+IF(AT$3&gt;0,Inputs!$B$4*2.5,0)</f>
        <v>49694.6549641716</v>
      </c>
      <c r="AU8" s="0" t="n">
        <f aca="false">AU7*Inputs!$B$8+IF(AU$3&gt;0,Inputs!$B$4*2.5,0)</f>
        <v>49725.432506514</v>
      </c>
      <c r="AV8" s="0" t="n">
        <f aca="false">AV7*Inputs!$B$8+IF(AV$3&gt;0,Inputs!$B$4*2.5,0)</f>
        <v>49750.1608377044</v>
      </c>
      <c r="AW8" s="0" t="n">
        <f aca="false">AW7*Inputs!$B$8+IF(AW$3&gt;0,Inputs!$B$4*2.5,0)</f>
        <v>49770.0243497302</v>
      </c>
      <c r="AX8" s="0" t="n">
        <f aca="false">AX7*Inputs!$B$8+IF(AX$3&gt;0,Inputs!$B$4*2.5,0)</f>
        <v>53604.8553337992</v>
      </c>
      <c r="AY8" s="0" t="n">
        <f aca="false">AY7*Inputs!$B$8+IF(AY$3&gt;0,Inputs!$B$4*2.5,0)</f>
        <v>53618.6902930482</v>
      </c>
      <c r="AZ8" s="0" t="n">
        <f aca="false">AZ7*Inputs!$B$8+IF(AZ$3&gt;0,Inputs!$B$4*2.5,0)</f>
        <v>53629.7984796517</v>
      </c>
      <c r="BA8" s="0" t="n">
        <f aca="false">BA7*Inputs!$B$8+IF(BA$3&gt;0,Inputs!$B$4*2.5,0)</f>
        <v>53638.716470079</v>
      </c>
      <c r="BB8" s="0" t="n">
        <f aca="false">BB7*Inputs!$B$8+IF(BB$3&gt;0,Inputs!$B$4*2.5,0)</f>
        <v>53645.8755557804</v>
      </c>
      <c r="BC8" s="0" t="n">
        <f aca="false">BC7*Inputs!$B$8+IF(BC$3&gt;0,Inputs!$B$4*2.5,0)</f>
        <v>53651.62229392</v>
      </c>
      <c r="BD8" s="0" t="n">
        <f aca="false">BD7*Inputs!$B$8+IF(BD$3&gt;0,Inputs!$B$4*2.5,0)</f>
        <v>53656.2350852841</v>
      </c>
      <c r="BE8" s="0" t="n">
        <f aca="false">BE7*Inputs!$B$8+IF(BE$3&gt;0,Inputs!$B$4*2.5,0)</f>
        <v>53659.9375335923</v>
      </c>
      <c r="BF8" s="0" t="n">
        <f aca="false">BF7*Inputs!$B$8+IF(BF$3&gt;0,Inputs!$B$4*2.5,0)</f>
        <v>53662.9092022276</v>
      </c>
      <c r="BG8" s="0" t="n">
        <f aca="false">BG7*Inputs!$B$8+IF(BG$3&gt;0,Inputs!$B$4*2.5,0)</f>
        <v>53665.2942696957</v>
      </c>
      <c r="BH8" s="0" t="n">
        <f aca="false">BH7*Inputs!$B$8+IF(BH$3&gt;0,Inputs!$B$4*2.5,0)</f>
        <v>53667.2084906121</v>
      </c>
      <c r="BI8" s="0" t="n">
        <f aca="false">BI7*Inputs!$B$8+IF(BI$3&gt;0,Inputs!$B$4*2.5,0)</f>
        <v>53668.7447915769</v>
      </c>
      <c r="BJ8" s="0" t="n">
        <f aca="false">BJ7*Inputs!$B$8+IF(BJ$3&gt;0,Inputs!$B$4*2.5,0)</f>
        <v>57799.5759895767</v>
      </c>
      <c r="BK8" s="0" t="n">
        <f aca="false">BK7*Inputs!$B$8+IF(BK$3&gt;0,Inputs!$B$4*2.5,0)</f>
        <v>57800.6446813957</v>
      </c>
      <c r="BL8" s="0" t="n">
        <f aca="false">BL7*Inputs!$B$8+IF(BL$3&gt;0,Inputs!$B$4*2.5,0)</f>
        <v>57801.5023563047</v>
      </c>
      <c r="BM8" s="0" t="n">
        <f aca="false">BM7*Inputs!$B$8+IF(BM$3&gt;0,Inputs!$B$4*2.5,0)</f>
        <v>57802.1906756287</v>
      </c>
      <c r="BN8" s="0" t="n">
        <f aca="false">BN7*Inputs!$B$8+IF(BN$3&gt;0,Inputs!$B$4*2.5,0)</f>
        <v>57802.7430771183</v>
      </c>
      <c r="BO8" s="0" t="n">
        <f aca="false">BO7*Inputs!$B$8+IF(BO$3&gt;0,Inputs!$B$4*2.5,0)</f>
        <v>57803.1863976152</v>
      </c>
      <c r="BP8" s="0" t="n">
        <f aca="false">BP7*Inputs!$B$8+IF(BP$3&gt;0,Inputs!$B$4*2.5,0)</f>
        <v>57803.5421757467</v>
      </c>
      <c r="BQ8" s="0" t="n">
        <f aca="false">BQ7*Inputs!$B$8+IF(BQ$3&gt;0,Inputs!$B$4*2.5,0)</f>
        <v>57803.8276976693</v>
      </c>
      <c r="BR8" s="0" t="n">
        <f aca="false">BR7*Inputs!$B$8+IF(BR$3&gt;0,Inputs!$B$4*2.5,0)</f>
        <v>57804.0568364946</v>
      </c>
      <c r="BS8" s="0" t="n">
        <f aca="false">BS7*Inputs!$B$8+IF(BS$3&gt;0,Inputs!$B$4*2.5,0)</f>
        <v>57804.2407260715</v>
      </c>
      <c r="BT8" s="0" t="n">
        <f aca="false">BT7*Inputs!$B$8+IF(BT$3&gt;0,Inputs!$B$4*2.5,0)</f>
        <v>57804.3883017911</v>
      </c>
      <c r="BU8" s="0" t="n">
        <f aca="false">BU7*Inputs!$B$8+IF(BU$3&gt;0,Inputs!$B$4*2.5,0)</f>
        <v>57804.5067346452</v>
      </c>
      <c r="BV8" s="0" t="n">
        <f aca="false">BV7*Inputs!$B$8+IF(BV$3&gt;0,Inputs!$B$4*2.5,0)</f>
        <v>62264.969921969</v>
      </c>
      <c r="BW8" s="0" t="n">
        <f aca="false">BW7*Inputs!$B$8+IF(BW$3&gt;0,Inputs!$B$4*2.5,0)</f>
        <v>62265.0522996147</v>
      </c>
      <c r="BX8" s="0" t="n">
        <f aca="false">BX7*Inputs!$B$8+IF(BX$3&gt;0,Inputs!$B$4*2.5,0)</f>
        <v>62265.118409387</v>
      </c>
      <c r="BY8" s="0" t="n">
        <f aca="false">BY7*Inputs!$B$8+IF(BY$3&gt;0,Inputs!$B$4*2.5,0)</f>
        <v>62265.171463827</v>
      </c>
      <c r="BZ8" s="0" t="n">
        <f aca="false">BZ7*Inputs!$B$8+IF(BZ$3&gt;0,Inputs!$B$4*2.5,0)</f>
        <v>62265.21404108</v>
      </c>
      <c r="CA8" s="0" t="n">
        <f aca="false">CA7*Inputs!$B$8+IF(CA$3&gt;0,Inputs!$B$4*2.5,0)</f>
        <v>62265.2482101695</v>
      </c>
      <c r="CB8" s="0" t="n">
        <f aca="false">CB7*Inputs!$B$8+IF(CB$3&gt;0,Inputs!$B$4*2.5,0)</f>
        <v>62265.2756315341</v>
      </c>
      <c r="CC8" s="0" t="n">
        <f aca="false">CC7*Inputs!$B$8+IF(CC$3&gt;0,Inputs!$B$4*2.5,0)</f>
        <v>62265.2976377128</v>
      </c>
      <c r="CD8" s="0" t="n">
        <f aca="false">CD7*Inputs!$B$8+IF(CD$3&gt;0,Inputs!$B$4*2.5,0)</f>
        <v>62265.3152980965</v>
      </c>
      <c r="CE8" s="0" t="n">
        <f aca="false">CE7*Inputs!$B$8+IF(CE$3&gt;0,Inputs!$B$4*2.5,0)</f>
        <v>62265.3294708939</v>
      </c>
      <c r="CF8" s="0" t="n">
        <f aca="false">CF7*Inputs!$B$8+IF(CF$3&gt;0,Inputs!$B$4*2.5,0)</f>
        <v>62265.340844835</v>
      </c>
      <c r="CG8" s="0" t="n">
        <f aca="false">CG7*Inputs!$B$8+IF(CG$3&gt;0,Inputs!$B$4*2.5,0)</f>
        <v>62265.3499726397</v>
      </c>
      <c r="CH8" s="0" t="n">
        <f aca="false">CH7*Inputs!$B$8+IF(CH$3&gt;0,Inputs!$B$4*2.5,0)</f>
        <v>67082.5858817067</v>
      </c>
      <c r="CI8" s="0" t="n">
        <f aca="false">CI7*Inputs!$B$8+IF(CI$3&gt;0,Inputs!$B$4*2.5,0)</f>
        <v>67082.5922306395</v>
      </c>
      <c r="CJ8" s="0" t="n">
        <f aca="false">CJ7*Inputs!$B$8+IF(CJ$3&gt;0,Inputs!$B$4*2.5,0)</f>
        <v>67082.5973257784</v>
      </c>
      <c r="CK8" s="0" t="n">
        <f aca="false">CK7*Inputs!$B$8+IF(CK$3&gt;0,Inputs!$B$4*2.5,0)</f>
        <v>67082.6014147237</v>
      </c>
      <c r="CL8" s="0" t="n">
        <f aca="false">CL7*Inputs!$B$8+IF(CL$3&gt;0,Inputs!$B$4*2.5,0)</f>
        <v>67082.6046961796</v>
      </c>
      <c r="CM8" s="0" t="n">
        <f aca="false">CM7*Inputs!$B$8+IF(CM$3&gt;0,Inputs!$B$4*2.5,0)</f>
        <v>67082.6073296098</v>
      </c>
      <c r="CN8" s="0" t="n">
        <f aca="false">CN7*Inputs!$B$8+IF(CN$3&gt;0,Inputs!$B$4*2.5,0)</f>
        <v>67082.6094429872</v>
      </c>
      <c r="CO8" s="0" t="n">
        <f aca="false">CO7*Inputs!$B$8+IF(CO$3&gt;0,Inputs!$B$4*2.5,0)</f>
        <v>67082.6111390124</v>
      </c>
      <c r="CP8" s="0" t="n">
        <f aca="false">CP7*Inputs!$B$8+IF(CP$3&gt;0,Inputs!$B$4*2.5,0)</f>
        <v>67082.6125001046</v>
      </c>
      <c r="CQ8" s="0" t="n">
        <f aca="false">CQ7*Inputs!$B$8+IF(CQ$3&gt;0,Inputs!$B$4*2.5,0)</f>
        <v>67082.6135924067</v>
      </c>
      <c r="CR8" s="0" t="n">
        <f aca="false">CR7*Inputs!$B$8+IF(CR$3&gt;0,Inputs!$B$4*2.5,0)</f>
        <v>67082.6144689997</v>
      </c>
      <c r="CS8" s="0" t="n">
        <f aca="false">CS7*Inputs!$B$8+IF(CS$3&gt;0,Inputs!$B$4*2.5,0)</f>
        <v>67082.6151724821</v>
      </c>
      <c r="CT8" s="0" t="n">
        <f aca="false">CT7*Inputs!$B$8+IF(CT$3&gt;0,Inputs!$B$4*2.5,0)</f>
        <v>72285.2249960031</v>
      </c>
      <c r="CU8" s="0" t="n">
        <f aca="false">CU7*Inputs!$B$8+IF(CU$3&gt;0,Inputs!$B$4*2.5,0)</f>
        <v>72285.2254853168</v>
      </c>
      <c r="CV8" s="0" t="n">
        <f aca="false">CV7*Inputs!$B$8+IF(CV$3&gt;0,Inputs!$B$4*2.5,0)</f>
        <v>72285.2258780003</v>
      </c>
      <c r="CW8" s="0" t="n">
        <f aca="false">CW7*Inputs!$B$8+IF(CW$3&gt;0,Inputs!$B$4*2.5,0)</f>
        <v>72285.2261931362</v>
      </c>
      <c r="CX8" s="0" t="n">
        <f aca="false">CX7*Inputs!$B$8+IF(CX$3&gt;0,Inputs!$B$4*2.5,0)</f>
        <v>72285.2264460387</v>
      </c>
      <c r="CY8" s="0" t="n">
        <f aca="false">CY7*Inputs!$B$8+IF(CY$3&gt;0,Inputs!$B$4*2.5,0)</f>
        <v>72285.2266489977</v>
      </c>
      <c r="CZ8" s="0" t="n">
        <f aca="false">CZ7*Inputs!$B$8+IF(CZ$3&gt;0,Inputs!$B$4*2.5,0)</f>
        <v>72285.2268118761</v>
      </c>
      <c r="DA8" s="0" t="n">
        <f aca="false">DA7*Inputs!$B$8+IF(DA$3&gt;0,Inputs!$B$4*2.5,0)</f>
        <v>72285.2269425891</v>
      </c>
      <c r="DB8" s="0" t="n">
        <f aca="false">DB7*Inputs!$B$8+IF(DB$3&gt;0,Inputs!$B$4*2.5,0)</f>
        <v>72285.2270474887</v>
      </c>
      <c r="DC8" s="0" t="n">
        <f aca="false">DC7*Inputs!$B$8+IF(DC$3&gt;0,Inputs!$B$4*2.5,0)</f>
        <v>72285.2271316726</v>
      </c>
      <c r="DD8" s="0" t="n">
        <f aca="false">DD7*Inputs!$B$8+IF(DD$3&gt;0,Inputs!$B$4*2.5,0)</f>
        <v>72285.2271992318</v>
      </c>
      <c r="DE8" s="0" t="n">
        <f aca="false">DE7*Inputs!$B$8+IF(DE$3&gt;0,Inputs!$B$4*2.5,0)</f>
        <v>72285.2272534493</v>
      </c>
      <c r="DF8" s="0" t="n">
        <f aca="false">DF7*Inputs!$B$8+IF(DF$3&gt;0,Inputs!$B$4*2.5,0)</f>
        <v>77904.0454807167</v>
      </c>
      <c r="DG8" s="0" t="n">
        <f aca="false">DG7*Inputs!$B$8+IF(DG$3&gt;0,Inputs!$B$4*2.5,0)</f>
        <v>77904.0455184282</v>
      </c>
      <c r="DH8" s="0" t="n">
        <f aca="false">DH7*Inputs!$B$8+IF(DH$3&gt;0,Inputs!$B$4*2.5,0)</f>
        <v>77904.0455486924</v>
      </c>
      <c r="DI8" s="0" t="n">
        <f aca="false">DI7*Inputs!$B$8+IF(DI$3&gt;0,Inputs!$B$4*2.5,0)</f>
        <v>77904.0455729799</v>
      </c>
      <c r="DJ8" s="0" t="n">
        <f aca="false">DJ7*Inputs!$B$8+IF(DJ$3&gt;0,Inputs!$B$4*2.5,0)</f>
        <v>77904.0455924712</v>
      </c>
      <c r="DK8" s="0" t="n">
        <f aca="false">DK7*Inputs!$B$8+IF(DK$3&gt;0,Inputs!$B$4*2.5,0)</f>
        <v>77904.0456081132</v>
      </c>
      <c r="DL8" s="0" t="n">
        <f aca="false">DL7*Inputs!$B$8+IF(DL$3&gt;0,Inputs!$B$4*2.5,0)</f>
        <v>77904.0456206663</v>
      </c>
      <c r="DM8" s="0" t="n">
        <f aca="false">DM7*Inputs!$B$8+IF(DM$3&gt;0,Inputs!$B$4*2.5,0)</f>
        <v>77904.0456307404</v>
      </c>
      <c r="DN8" s="0" t="n">
        <f aca="false">DN7*Inputs!$B$8+IF(DN$3&gt;0,Inputs!$B$4*2.5,0)</f>
        <v>77904.045638825</v>
      </c>
      <c r="DO8" s="0" t="n">
        <f aca="false">DO7*Inputs!$B$8+IF(DO$3&gt;0,Inputs!$B$4*2.5,0)</f>
        <v>77904.0456453131</v>
      </c>
      <c r="DP8" s="0" t="n">
        <f aca="false">DP7*Inputs!$B$8+IF(DP$3&gt;0,Inputs!$B$4*2.5,0)</f>
        <v>77904.0456505199</v>
      </c>
      <c r="DQ8" s="0" t="n">
        <f aca="false">DQ7*Inputs!$B$8+IF(DQ$3&gt;0,Inputs!$B$4*2.5,0)</f>
        <v>77904.0456546985</v>
      </c>
      <c r="DR8" s="0" t="n">
        <f aca="false">DR7*Inputs!$B$8+IF(DR$3&gt;0,Inputs!$B$4*2.5,0)</f>
        <v>83972.369310696</v>
      </c>
    </row>
    <row r="9" customFormat="false" ht="15" hidden="false" customHeight="false" outlineLevel="0" collapsed="false">
      <c r="A9" s="0" t="s">
        <v>20</v>
      </c>
      <c r="B9" s="0" t="n">
        <f aca="false">B7-B8</f>
        <v>0</v>
      </c>
      <c r="C9" s="0" t="n">
        <f aca="false">C7-C8</f>
        <v>-484.743900081243</v>
      </c>
      <c r="D9" s="0" t="n">
        <f aca="false">D7-D8</f>
        <v>-110.643943881137</v>
      </c>
      <c r="E9" s="0" t="n">
        <f aca="false">E7-E8</f>
        <v>349.610801048959</v>
      </c>
      <c r="F9" s="0" t="n">
        <f aca="false">F7-F8</f>
        <v>914.153231215933</v>
      </c>
      <c r="G9" s="0" t="n">
        <f aca="false">G7-G8</f>
        <v>1604.05268111029</v>
      </c>
      <c r="H9" s="0" t="n">
        <f aca="false">H7-H8</f>
        <v>2443.33758220999</v>
      </c>
      <c r="I9" s="0" t="n">
        <f aca="false">I7-I8</f>
        <v>3458.75118400386</v>
      </c>
      <c r="J9" s="0" t="n">
        <f aca="false">J7-J8</f>
        <v>4679.10734771658</v>
      </c>
      <c r="K9" s="0" t="n">
        <f aca="false">K7-K8</f>
        <v>6134.09504232313</v>
      </c>
      <c r="L9" s="0" t="n">
        <f aca="false">L7-L8</f>
        <v>7852.38707447466</v>
      </c>
      <c r="M9" s="0" t="n">
        <f aca="false">M7-M8</f>
        <v>9858.96230315215</v>
      </c>
      <c r="N9" s="0" t="n">
        <f aca="false">N7-N8</f>
        <v>13309.4078125253</v>
      </c>
      <c r="O9" s="0" t="n">
        <f aca="false">O7-O8</f>
        <v>16145.0855494734</v>
      </c>
      <c r="P9" s="0" t="n">
        <f aca="false">P7-P8</f>
        <v>19309.8022899734</v>
      </c>
      <c r="Q9" s="0" t="n">
        <f aca="false">Q7-Q8</f>
        <v>22774.9739874166</v>
      </c>
      <c r="R9" s="0" t="n">
        <f aca="false">R7-R8</f>
        <v>26490.7362159173</v>
      </c>
      <c r="S9" s="0" t="n">
        <f aca="false">S7-S8</f>
        <v>30387.0678738776</v>
      </c>
      <c r="T9" s="0" t="n">
        <f aca="false">T7-T8</f>
        <v>34378.07168</v>
      </c>
      <c r="U9" s="0" t="n">
        <f aca="false">U7-U8</f>
        <v>38369.0754861224</v>
      </c>
      <c r="V9" s="0" t="n">
        <f aca="false">V7-V8</f>
        <v>42265.4071440827</v>
      </c>
      <c r="W9" s="0" t="n">
        <f aca="false">W7-W8</f>
        <v>45981.1693725834</v>
      </c>
      <c r="X9" s="0" t="n">
        <f aca="false">X7-X8</f>
        <v>49446.3410700266</v>
      </c>
      <c r="Y9" s="0" t="n">
        <f aca="false">Y7-Y8</f>
        <v>52611.0578105266</v>
      </c>
      <c r="Z9" s="0" t="n">
        <f aca="false">Z7-Z8</f>
        <v>60046.4743912727</v>
      </c>
      <c r="AA9" s="0" t="n">
        <f aca="false">AA7-AA8</f>
        <v>62744.0211984034</v>
      </c>
      <c r="AB9" s="0" t="n">
        <f aca="false">AB7-AB8</f>
        <v>65084.4905451328</v>
      </c>
      <c r="AC9" s="0" t="n">
        <f aca="false">AC7-AC8</f>
        <v>67088.7063714343</v>
      </c>
      <c r="AD9" s="0" t="n">
        <f aca="false">AD7-AD8</f>
        <v>68785.8040184234</v>
      </c>
      <c r="AE9" s="0" t="n">
        <f aca="false">AE7-AE8</f>
        <v>70209.2274477779</v>
      </c>
      <c r="AF9" s="0" t="n">
        <f aca="false">AF7-AF8</f>
        <v>71393.6058729103</v>
      </c>
      <c r="AG9" s="0" t="n">
        <f aca="false">AG7-AG8</f>
        <v>72372.547781553</v>
      </c>
      <c r="AH9" s="0" t="n">
        <f aca="false">AH7-AH8</f>
        <v>73177.2464999098</v>
      </c>
      <c r="AI9" s="0" t="n">
        <f aca="false">AI7-AI8</f>
        <v>73835.7287904565</v>
      </c>
      <c r="AJ9" s="0" t="n">
        <f aca="false">AJ7-AJ8</f>
        <v>74372.569924943</v>
      </c>
      <c r="AK9" s="0" t="n">
        <f aca="false">AK7-AK8</f>
        <v>74808.9201138548</v>
      </c>
      <c r="AL9" s="0" t="n">
        <f aca="false">AL7-AL8</f>
        <v>81339.73751805</v>
      </c>
      <c r="AM9" s="0" t="n">
        <f aca="false">AM7-AM8</f>
        <v>81648.9367971854</v>
      </c>
      <c r="AN9" s="0" t="n">
        <f aca="false">AN7-AN8</f>
        <v>81898.738419099</v>
      </c>
      <c r="AO9" s="0" t="n">
        <f aca="false">AO7-AO8</f>
        <v>82100.2899695443</v>
      </c>
      <c r="AP9" s="0" t="n">
        <f aca="false">AP7-AP8</f>
        <v>82262.7402209391</v>
      </c>
      <c r="AQ9" s="0" t="n">
        <f aca="false">AQ7-AQ8</f>
        <v>82393.5639545483</v>
      </c>
      <c r="AR9" s="0" t="n">
        <f aca="false">AR7-AR8</f>
        <v>82498.846465874</v>
      </c>
      <c r="AS9" s="0" t="n">
        <f aca="false">AS7-AS8</f>
        <v>82583.5277312356</v>
      </c>
      <c r="AT9" s="0" t="n">
        <f aca="false">AT7-AT8</f>
        <v>82651.608825194</v>
      </c>
      <c r="AU9" s="0" t="n">
        <f aca="false">AU7-AU8</f>
        <v>82706.3244560249</v>
      </c>
      <c r="AV9" s="0" t="n">
        <f aca="false">AV7-AV8</f>
        <v>82750.2859336967</v>
      </c>
      <c r="AW9" s="0" t="n">
        <f aca="false">AW7-AW8</f>
        <v>82785.5988439647</v>
      </c>
      <c r="AX9" s="0" t="n">
        <f aca="false">AX7-AX8</f>
        <v>89603.0761489764</v>
      </c>
      <c r="AY9" s="0" t="n">
        <f aca="false">AY7-AY8</f>
        <v>89627.6716320857</v>
      </c>
      <c r="AZ9" s="0" t="n">
        <f aca="false">AZ7-AZ8</f>
        <v>89647.4195193809</v>
      </c>
      <c r="BA9" s="0" t="n">
        <f aca="false">BA7-BA8</f>
        <v>89663.2737245848</v>
      </c>
      <c r="BB9" s="0" t="n">
        <f aca="false">BB7-BB8</f>
        <v>89676.000988054</v>
      </c>
      <c r="BC9" s="0" t="n">
        <f aca="false">BC7-BC8</f>
        <v>89686.2174114133</v>
      </c>
      <c r="BD9" s="0" t="n">
        <f aca="false">BD7-BD8</f>
        <v>89694.4179293939</v>
      </c>
      <c r="BE9" s="0" t="n">
        <f aca="false">BE7-BE8</f>
        <v>89701.0000597196</v>
      </c>
      <c r="BF9" s="0" t="n">
        <f aca="false">BF7-BF8</f>
        <v>89706.2830261824</v>
      </c>
      <c r="BG9" s="0" t="n">
        <f aca="false">BG7-BG8</f>
        <v>89710.5231461256</v>
      </c>
      <c r="BH9" s="0" t="n">
        <f aca="false">BH7-BH8</f>
        <v>89713.9262055326</v>
      </c>
      <c r="BI9" s="0" t="n">
        <f aca="false">BI7-BI8</f>
        <v>89716.6574072479</v>
      </c>
      <c r="BJ9" s="0" t="n">
        <f aca="false">BJ7-BJ8</f>
        <v>97060.357314803</v>
      </c>
      <c r="BK9" s="0" t="n">
        <f aca="false">BK7-BK8</f>
        <v>97062.2572113702</v>
      </c>
      <c r="BL9" s="0" t="n">
        <f aca="false">BL7-BL8</f>
        <v>97063.781966764</v>
      </c>
      <c r="BM9" s="0" t="n">
        <f aca="false">BM7-BM8</f>
        <v>97065.0056455621</v>
      </c>
      <c r="BN9" s="0" t="n">
        <f aca="false">BN7-BN8</f>
        <v>97065.9876926547</v>
      </c>
      <c r="BO9" s="0" t="n">
        <f aca="false">BO7-BO8</f>
        <v>97066.7758179825</v>
      </c>
      <c r="BP9" s="0" t="n">
        <f aca="false">BP7-BP8</f>
        <v>97067.4083124386</v>
      </c>
      <c r="BQ9" s="0" t="n">
        <f aca="false">BQ7-BQ8</f>
        <v>97067.9159069677</v>
      </c>
      <c r="BR9" s="0" t="n">
        <f aca="false">BR7-BR8</f>
        <v>97068.3232648794</v>
      </c>
      <c r="BS9" s="0" t="n">
        <f aca="false">BS7-BS8</f>
        <v>97068.6501796827</v>
      </c>
      <c r="BT9" s="0" t="n">
        <f aca="false">BT7-BT8</f>
        <v>97068.9125365175</v>
      </c>
      <c r="BU9" s="0" t="n">
        <f aca="false">BU7-BU8</f>
        <v>97069.1230838138</v>
      </c>
      <c r="BV9" s="0" t="n">
        <f aca="false">BV7-BV8</f>
        <v>104998.835416834</v>
      </c>
      <c r="BW9" s="0" t="n">
        <f aca="false">BW7-BW8</f>
        <v>104998.981865982</v>
      </c>
      <c r="BX9" s="0" t="n">
        <f aca="false">BX7-BX8</f>
        <v>104999.099394466</v>
      </c>
      <c r="BY9" s="0" t="n">
        <f aca="false">BY7-BY8</f>
        <v>104999.19371347</v>
      </c>
      <c r="BZ9" s="0" t="n">
        <f aca="false">BZ7-BZ8</f>
        <v>104999.269406365</v>
      </c>
      <c r="CA9" s="0" t="n">
        <f aca="false">CA7-CA8</f>
        <v>104999.330151412</v>
      </c>
      <c r="CB9" s="0" t="n">
        <f aca="false">CB7-CB8</f>
        <v>104999.378900505</v>
      </c>
      <c r="CC9" s="0" t="n">
        <f aca="false">CC7-CC8</f>
        <v>104999.418022601</v>
      </c>
      <c r="CD9" s="0" t="n">
        <f aca="false">CD7-CD8</f>
        <v>104999.449418838</v>
      </c>
      <c r="CE9" s="0" t="n">
        <f aca="false">CE7-CE8</f>
        <v>104999.474614922</v>
      </c>
      <c r="CF9" s="0" t="n">
        <f aca="false">CF7-CF8</f>
        <v>104999.494835262</v>
      </c>
      <c r="CG9" s="0" t="n">
        <f aca="false">CG7-CG8</f>
        <v>104999.511062471</v>
      </c>
      <c r="CH9" s="0" t="n">
        <f aca="false">CH7-CH8</f>
        <v>113563.486011923</v>
      </c>
      <c r="CI9" s="0" t="n">
        <f aca="false">CI7-CI8</f>
        <v>113563.497298915</v>
      </c>
      <c r="CJ9" s="0" t="n">
        <f aca="false">CJ7-CJ8</f>
        <v>113563.506356939</v>
      </c>
      <c r="CK9" s="0" t="n">
        <f aca="false">CK7-CK8</f>
        <v>113563.513626176</v>
      </c>
      <c r="CL9" s="0" t="n">
        <f aca="false">CL7-CL8</f>
        <v>113563.519459875</v>
      </c>
      <c r="CM9" s="0" t="n">
        <f aca="false">CM7-CM8</f>
        <v>113563.524141529</v>
      </c>
      <c r="CN9" s="0" t="n">
        <f aca="false">CN7-CN8</f>
        <v>113563.527898644</v>
      </c>
      <c r="CO9" s="0" t="n">
        <f aca="false">CO7-CO8</f>
        <v>113563.5309138</v>
      </c>
      <c r="CP9" s="0" t="n">
        <f aca="false">CP7-CP8</f>
        <v>113563.533333519</v>
      </c>
      <c r="CQ9" s="0" t="n">
        <f aca="false">CQ7-CQ8</f>
        <v>113563.53527539</v>
      </c>
      <c r="CR9" s="0" t="n">
        <f aca="false">CR7-CR8</f>
        <v>113563.536833777</v>
      </c>
      <c r="CS9" s="0" t="n">
        <f aca="false">CS7-CS8</f>
        <v>113563.538084413</v>
      </c>
      <c r="CT9" s="0" t="n">
        <f aca="false">CT7-CT8</f>
        <v>122812.622215117</v>
      </c>
      <c r="CU9" s="0" t="n">
        <f aca="false">CU7-CU8</f>
        <v>122812.623085008</v>
      </c>
      <c r="CV9" s="0" t="n">
        <f aca="false">CV7-CV8</f>
        <v>122812.623783112</v>
      </c>
      <c r="CW9" s="0" t="n">
        <f aca="false">CW7-CW8</f>
        <v>122812.624343353</v>
      </c>
      <c r="CX9" s="0" t="n">
        <f aca="false">CX7-CX8</f>
        <v>122812.624792958</v>
      </c>
      <c r="CY9" s="0" t="n">
        <f aca="false">CY7-CY8</f>
        <v>122812.625153774</v>
      </c>
      <c r="CZ9" s="0" t="n">
        <f aca="false">CZ7-CZ8</f>
        <v>122812.625443335</v>
      </c>
      <c r="DA9" s="0" t="n">
        <f aca="false">DA7-DA8</f>
        <v>122812.625675714</v>
      </c>
      <c r="DB9" s="0" t="n">
        <f aca="false">DB7-DB8</f>
        <v>122812.625862202</v>
      </c>
      <c r="DC9" s="0" t="n">
        <f aca="false">DC7-DC8</f>
        <v>122812.626011862</v>
      </c>
      <c r="DD9" s="0" t="n">
        <f aca="false">DD7-DD8</f>
        <v>122812.626131968</v>
      </c>
      <c r="DE9" s="0" t="n">
        <f aca="false">DE7-DE8</f>
        <v>122812.626228354</v>
      </c>
      <c r="DF9" s="0" t="n">
        <f aca="false">DF7-DF8</f>
        <v>132801.636410163</v>
      </c>
      <c r="DG9" s="0" t="n">
        <f aca="false">DG7-DG8</f>
        <v>132801.636477206</v>
      </c>
      <c r="DH9" s="0" t="n">
        <f aca="false">DH7-DH8</f>
        <v>132801.636531009</v>
      </c>
      <c r="DI9" s="0" t="n">
        <f aca="false">DI7-DI8</f>
        <v>132801.636574187</v>
      </c>
      <c r="DJ9" s="0" t="n">
        <f aca="false">DJ7-DJ8</f>
        <v>132801.636608838</v>
      </c>
      <c r="DK9" s="0" t="n">
        <f aca="false">DK7-DK8</f>
        <v>132801.636636646</v>
      </c>
      <c r="DL9" s="0" t="n">
        <f aca="false">DL7-DL8</f>
        <v>132801.636658962</v>
      </c>
      <c r="DM9" s="0" t="n">
        <f aca="false">DM7-DM8</f>
        <v>132801.636676872</v>
      </c>
      <c r="DN9" s="0" t="n">
        <f aca="false">DN7-DN8</f>
        <v>132801.636691245</v>
      </c>
      <c r="DO9" s="0" t="n">
        <f aca="false">DO7-DO8</f>
        <v>132801.636702779</v>
      </c>
      <c r="DP9" s="0" t="n">
        <f aca="false">DP7-DP8</f>
        <v>132801.636712035</v>
      </c>
      <c r="DQ9" s="0" t="n">
        <f aca="false">DQ7-DQ8</f>
        <v>132801.636719464</v>
      </c>
      <c r="DR9" s="0" t="n">
        <f aca="false">DR7-DR8</f>
        <v>143589.767663459</v>
      </c>
    </row>
    <row r="10" customFormat="false" ht="15" hidden="false" customHeight="false" outlineLevel="0" collapsed="false">
      <c r="A10" s="0" t="s">
        <v>21</v>
      </c>
      <c r="B10" s="0" t="n">
        <f aca="false">-Inputs!$B$6</f>
        <v>-14800000</v>
      </c>
      <c r="C10" s="0" t="n">
        <f aca="false">C9+IF(C$3=120,SUM(B9:C9)/Inputs!$B$7,0)</f>
        <v>-484.743900081243</v>
      </c>
      <c r="D10" s="0" t="n">
        <f aca="false">D9+IF(D$3=120,SUM(B9:D9)/Inputs!$B$7,0)</f>
        <v>-110.643943881137</v>
      </c>
      <c r="E10" s="0" t="n">
        <f aca="false">E9+IF(E$3=120,SUM(B9:E9)/Inputs!$B$7,0)</f>
        <v>349.610801048959</v>
      </c>
      <c r="F10" s="0" t="n">
        <f aca="false">F9+IF(F$3=120,SUM(B9:F9)/Inputs!$B$7,0)</f>
        <v>914.153231215933</v>
      </c>
      <c r="G10" s="0" t="n">
        <f aca="false">G9+IF(G$3=120,SUM(B9:G9)/Inputs!$B$7,0)</f>
        <v>1604.05268111029</v>
      </c>
      <c r="H10" s="0" t="n">
        <f aca="false">H9+IF(H$3=120,SUM(B9:H9)/Inputs!$B$7,0)</f>
        <v>2443.33758220999</v>
      </c>
      <c r="I10" s="0" t="n">
        <f aca="false">I9+IF(I$3=120,SUM(B9:I9)/Inputs!$B$7,0)</f>
        <v>3458.75118400386</v>
      </c>
      <c r="J10" s="0" t="n">
        <f aca="false">J9+IF(J$3=120,SUM(B9:J9)/Inputs!$B$7,0)</f>
        <v>4679.10734771658</v>
      </c>
      <c r="K10" s="0" t="n">
        <f aca="false">K9+IF(K$3=120,SUM(B9:K9)/Inputs!$B$7,0)</f>
        <v>6134.09504232313</v>
      </c>
      <c r="L10" s="0" t="n">
        <f aca="false">L9+IF(L$3=120,SUM(B9:L9)/Inputs!$B$7,0)</f>
        <v>7852.38707447466</v>
      </c>
      <c r="M10" s="0" t="n">
        <f aca="false">M9+IF(M$3=120,SUM(B9:M9)/Inputs!$B$7,0)</f>
        <v>9858.96230315215</v>
      </c>
      <c r="N10" s="0" t="n">
        <f aca="false">N9+IF(N$3=120,SUM(C9:N9)/Inputs!$B$7,0)</f>
        <v>13309.4078125253</v>
      </c>
      <c r="O10" s="0" t="n">
        <f aca="false">O9+IF(O$3=120,SUM(D9:O9)/Inputs!$B$7,0)</f>
        <v>16145.0855494734</v>
      </c>
      <c r="P10" s="0" t="n">
        <f aca="false">P9+IF(P$3=120,SUM(E9:P9)/Inputs!$B$7,0)</f>
        <v>19309.8022899734</v>
      </c>
      <c r="Q10" s="0" t="n">
        <f aca="false">Q9+IF(Q$3=120,SUM(F9:Q9)/Inputs!$B$7,0)</f>
        <v>22774.9739874166</v>
      </c>
      <c r="R10" s="0" t="n">
        <f aca="false">R9+IF(R$3=120,SUM(G9:R9)/Inputs!$B$7,0)</f>
        <v>26490.7362159173</v>
      </c>
      <c r="S10" s="0" t="n">
        <f aca="false">S9+IF(S$3=120,SUM(H9:S9)/Inputs!$B$7,0)</f>
        <v>30387.0678738776</v>
      </c>
      <c r="T10" s="0" t="n">
        <f aca="false">T9+IF(T$3=120,SUM(I9:T9)/Inputs!$B$7,0)</f>
        <v>34378.07168</v>
      </c>
      <c r="U10" s="0" t="n">
        <f aca="false">U9+IF(U$3=120,SUM(J9:U9)/Inputs!$B$7,0)</f>
        <v>38369.0754861224</v>
      </c>
      <c r="V10" s="0" t="n">
        <f aca="false">V9+IF(V$3=120,SUM(K9:V9)/Inputs!$B$7,0)</f>
        <v>42265.4071440827</v>
      </c>
      <c r="W10" s="0" t="n">
        <f aca="false">W9+IF(W$3=120,SUM(L9:W9)/Inputs!$B$7,0)</f>
        <v>45981.1693725834</v>
      </c>
      <c r="X10" s="0" t="n">
        <f aca="false">X9+IF(X$3=120,SUM(M9:X9)/Inputs!$B$7,0)</f>
        <v>49446.3410700266</v>
      </c>
      <c r="Y10" s="0" t="n">
        <f aca="false">Y9+IF(Y$3=120,SUM(N9:Y9)/Inputs!$B$7,0)</f>
        <v>52611.0578105266</v>
      </c>
      <c r="Z10" s="0" t="n">
        <f aca="false">Z9+IF(Z$3=120,SUM(O9:Z9)/Inputs!$B$7,0)</f>
        <v>60046.4743912727</v>
      </c>
      <c r="AA10" s="0" t="n">
        <f aca="false">AA9+IF(AA$3=120,SUM(P9:AA9)/Inputs!$B$7,0)</f>
        <v>62744.0211984034</v>
      </c>
      <c r="AB10" s="0" t="n">
        <f aca="false">AB9+IF(AB$3=120,SUM(Q9:AB9)/Inputs!$B$7,0)</f>
        <v>65084.4905451328</v>
      </c>
      <c r="AC10" s="0" t="n">
        <f aca="false">AC9+IF(AC$3=120,SUM(R9:AC9)/Inputs!$B$7,0)</f>
        <v>67088.7063714343</v>
      </c>
      <c r="AD10" s="0" t="n">
        <f aca="false">AD9+IF(AD$3=120,SUM(S9:AD9)/Inputs!$B$7,0)</f>
        <v>68785.8040184234</v>
      </c>
      <c r="AE10" s="0" t="n">
        <f aca="false">AE9+IF(AE$3=120,SUM(T9:AE9)/Inputs!$B$7,0)</f>
        <v>70209.2274477779</v>
      </c>
      <c r="AF10" s="0" t="n">
        <f aca="false">AF9+IF(AF$3=120,SUM(U9:AF9)/Inputs!$B$7,0)</f>
        <v>71393.6058729103</v>
      </c>
      <c r="AG10" s="0" t="n">
        <f aca="false">AG9+IF(AG$3=120,SUM(V9:AG9)/Inputs!$B$7,0)</f>
        <v>72372.547781553</v>
      </c>
      <c r="AH10" s="0" t="n">
        <f aca="false">AH9+IF(AH$3=120,SUM(W9:AH9)/Inputs!$B$7,0)</f>
        <v>73177.2464999098</v>
      </c>
      <c r="AI10" s="0" t="n">
        <f aca="false">AI9+IF(AI$3=120,SUM(X9:AI9)/Inputs!$B$7,0)</f>
        <v>73835.7287904565</v>
      </c>
      <c r="AJ10" s="0" t="n">
        <f aca="false">AJ9+IF(AJ$3=120,SUM(Y9:AJ9)/Inputs!$B$7,0)</f>
        <v>74372.569924943</v>
      </c>
      <c r="AK10" s="0" t="n">
        <f aca="false">AK9+IF(AK$3=120,SUM(Z9:AK9)/Inputs!$B$7,0)</f>
        <v>74808.9201138548</v>
      </c>
      <c r="AL10" s="0" t="n">
        <f aca="false">AL9+IF(AL$3=120,SUM(AA9:AL9)/Inputs!$B$7,0)</f>
        <v>81339.73751805</v>
      </c>
      <c r="AM10" s="0" t="n">
        <f aca="false">AM9+IF(AM$3=120,SUM(AB9:AM9)/Inputs!$B$7,0)</f>
        <v>81648.9367971854</v>
      </c>
      <c r="AN10" s="0" t="n">
        <f aca="false">AN9+IF(AN$3=120,SUM(AC9:AN9)/Inputs!$B$7,0)</f>
        <v>81898.738419099</v>
      </c>
      <c r="AO10" s="0" t="n">
        <f aca="false">AO9+IF(AO$3=120,SUM(AD9:AO9)/Inputs!$B$7,0)</f>
        <v>82100.2899695443</v>
      </c>
      <c r="AP10" s="0" t="n">
        <f aca="false">AP9+IF(AP$3=120,SUM(AE9:AP9)/Inputs!$B$7,0)</f>
        <v>82262.7402209391</v>
      </c>
      <c r="AQ10" s="0" t="n">
        <f aca="false">AQ9+IF(AQ$3=120,SUM(AF9:AQ9)/Inputs!$B$7,0)</f>
        <v>82393.5639545483</v>
      </c>
      <c r="AR10" s="0" t="n">
        <f aca="false">AR9+IF(AR$3=120,SUM(AG9:AR9)/Inputs!$B$7,0)</f>
        <v>82498.846465874</v>
      </c>
      <c r="AS10" s="0" t="n">
        <f aca="false">AS9+IF(AS$3=120,SUM(AH9:AS9)/Inputs!$B$7,0)</f>
        <v>82583.5277312356</v>
      </c>
      <c r="AT10" s="0" t="n">
        <f aca="false">AT9+IF(AT$3=120,SUM(AI9:AT9)/Inputs!$B$7,0)</f>
        <v>82651.608825194</v>
      </c>
      <c r="AU10" s="0" t="n">
        <f aca="false">AU9+IF(AU$3=120,SUM(AJ9:AU9)/Inputs!$B$7,0)</f>
        <v>82706.3244560249</v>
      </c>
      <c r="AV10" s="0" t="n">
        <f aca="false">AV9+IF(AV$3=120,SUM(AK9:AV9)/Inputs!$B$7,0)</f>
        <v>82750.2859336967</v>
      </c>
      <c r="AW10" s="0" t="n">
        <f aca="false">AW9+IF(AW$3=120,SUM(AL9:AW9)/Inputs!$B$7,0)</f>
        <v>82785.5988439647</v>
      </c>
      <c r="AX10" s="0" t="n">
        <f aca="false">AX9+IF(AX$3=120,SUM(AM9:AX9)/Inputs!$B$7,0)</f>
        <v>89603.0761489764</v>
      </c>
      <c r="AY10" s="0" t="n">
        <f aca="false">AY9+IF(AY$3=120,SUM(AN9:AY9)/Inputs!$B$7,0)</f>
        <v>89627.6716320857</v>
      </c>
      <c r="AZ10" s="0" t="n">
        <f aca="false">AZ9+IF(AZ$3=120,SUM(AO9:AZ9)/Inputs!$B$7,0)</f>
        <v>89647.4195193809</v>
      </c>
      <c r="BA10" s="0" t="n">
        <f aca="false">BA9+IF(BA$3=120,SUM(AP9:BA9)/Inputs!$B$7,0)</f>
        <v>89663.2737245848</v>
      </c>
      <c r="BB10" s="0" t="n">
        <f aca="false">BB9+IF(BB$3=120,SUM(AQ9:BB9)/Inputs!$B$7,0)</f>
        <v>89676.000988054</v>
      </c>
      <c r="BC10" s="0" t="n">
        <f aca="false">BC9+IF(BC$3=120,SUM(AR9:BC9)/Inputs!$B$7,0)</f>
        <v>89686.2174114133</v>
      </c>
      <c r="BD10" s="0" t="n">
        <f aca="false">BD9+IF(BD$3=120,SUM(AS9:BD9)/Inputs!$B$7,0)</f>
        <v>89694.4179293939</v>
      </c>
      <c r="BE10" s="0" t="n">
        <f aca="false">BE9+IF(BE$3=120,SUM(AT9:BE9)/Inputs!$B$7,0)</f>
        <v>89701.0000597196</v>
      </c>
      <c r="BF10" s="0" t="n">
        <f aca="false">BF9+IF(BF$3=120,SUM(AU9:BF9)/Inputs!$B$7,0)</f>
        <v>89706.2830261824</v>
      </c>
      <c r="BG10" s="0" t="n">
        <f aca="false">BG9+IF(BG$3=120,SUM(AV9:BG9)/Inputs!$B$7,0)</f>
        <v>89710.5231461256</v>
      </c>
      <c r="BH10" s="0" t="n">
        <f aca="false">BH9+IF(BH$3=120,SUM(AW9:BH9)/Inputs!$B$7,0)</f>
        <v>89713.9262055326</v>
      </c>
      <c r="BI10" s="0" t="n">
        <f aca="false">BI9+IF(BI$3=120,SUM(AX9:BI9)/Inputs!$B$7,0)</f>
        <v>89716.6574072479</v>
      </c>
      <c r="BJ10" s="0" t="n">
        <f aca="false">BJ9+IF(BJ$3=120,SUM(AY9:BJ9)/Inputs!$B$7,0)</f>
        <v>97060.357314803</v>
      </c>
      <c r="BK10" s="0" t="n">
        <f aca="false">BK9+IF(BK$3=120,SUM(AZ9:BK9)/Inputs!$B$7,0)</f>
        <v>97062.2572113702</v>
      </c>
      <c r="BL10" s="0" t="n">
        <f aca="false">BL9+IF(BL$3=120,SUM(BA9:BL9)/Inputs!$B$7,0)</f>
        <v>97063.781966764</v>
      </c>
      <c r="BM10" s="0" t="n">
        <f aca="false">BM9+IF(BM$3=120,SUM(BB9:BM9)/Inputs!$B$7,0)</f>
        <v>97065.0056455621</v>
      </c>
      <c r="BN10" s="0" t="n">
        <f aca="false">BN9+IF(BN$3=120,SUM(BC9:BN9)/Inputs!$B$7,0)</f>
        <v>97065.9876926547</v>
      </c>
      <c r="BO10" s="0" t="n">
        <f aca="false">BO9+IF(BO$3=120,SUM(BD9:BO9)/Inputs!$B$7,0)</f>
        <v>97066.7758179825</v>
      </c>
      <c r="BP10" s="0" t="n">
        <f aca="false">BP9+IF(BP$3=120,SUM(BE9:BP9)/Inputs!$B$7,0)</f>
        <v>97067.4083124386</v>
      </c>
      <c r="BQ10" s="0" t="n">
        <f aca="false">BQ9+IF(BQ$3=120,SUM(BF9:BQ9)/Inputs!$B$7,0)</f>
        <v>97067.9159069677</v>
      </c>
      <c r="BR10" s="0" t="n">
        <f aca="false">BR9+IF(BR$3=120,SUM(BG9:BR9)/Inputs!$B$7,0)</f>
        <v>97068.3232648794</v>
      </c>
      <c r="BS10" s="0" t="n">
        <f aca="false">BS9+IF(BS$3=120,SUM(BH9:BS9)/Inputs!$B$7,0)</f>
        <v>97068.6501796827</v>
      </c>
      <c r="BT10" s="0" t="n">
        <f aca="false">BT9+IF(BT$3=120,SUM(BI9:BT9)/Inputs!$B$7,0)</f>
        <v>97068.9125365175</v>
      </c>
      <c r="BU10" s="0" t="n">
        <f aca="false">BU9+IF(BU$3=120,SUM(BJ9:BU9)/Inputs!$B$7,0)</f>
        <v>97069.1230838138</v>
      </c>
      <c r="BV10" s="0" t="n">
        <f aca="false">BV9+IF(BV$3=120,SUM(BK9:BV9)/Inputs!$B$7,0)</f>
        <v>104998.835416834</v>
      </c>
      <c r="BW10" s="0" t="n">
        <f aca="false">BW9+IF(BW$3=120,SUM(BL9:BW9)/Inputs!$B$7,0)</f>
        <v>104998.981865982</v>
      </c>
      <c r="BX10" s="0" t="n">
        <f aca="false">BX9+IF(BX$3=120,SUM(BM9:BX9)/Inputs!$B$7,0)</f>
        <v>104999.099394466</v>
      </c>
      <c r="BY10" s="0" t="n">
        <f aca="false">BY9+IF(BY$3=120,SUM(BN9:BY9)/Inputs!$B$7,0)</f>
        <v>104999.19371347</v>
      </c>
      <c r="BZ10" s="0" t="n">
        <f aca="false">BZ9+IF(BZ$3=120,SUM(BO9:BZ9)/Inputs!$B$7,0)</f>
        <v>104999.269406365</v>
      </c>
      <c r="CA10" s="0" t="n">
        <f aca="false">CA9+IF(CA$3=120,SUM(BP9:CA9)/Inputs!$B$7,0)</f>
        <v>104999.330151412</v>
      </c>
      <c r="CB10" s="0" t="n">
        <f aca="false">CB9+IF(CB$3=120,SUM(BQ9:CB9)/Inputs!$B$7,0)</f>
        <v>104999.378900505</v>
      </c>
      <c r="CC10" s="0" t="n">
        <f aca="false">CC9+IF(CC$3=120,SUM(BR9:CC9)/Inputs!$B$7,0)</f>
        <v>104999.418022601</v>
      </c>
      <c r="CD10" s="0" t="n">
        <f aca="false">CD9+IF(CD$3=120,SUM(BS9:CD9)/Inputs!$B$7,0)</f>
        <v>104999.449418838</v>
      </c>
      <c r="CE10" s="0" t="n">
        <f aca="false">CE9+IF(CE$3=120,SUM(BT9:CE9)/Inputs!$B$7,0)</f>
        <v>104999.474614922</v>
      </c>
      <c r="CF10" s="0" t="n">
        <f aca="false">CF9+IF(CF$3=120,SUM(BU9:CF9)/Inputs!$B$7,0)</f>
        <v>104999.494835262</v>
      </c>
      <c r="CG10" s="0" t="n">
        <f aca="false">CG9+IF(CG$3=120,SUM(BV9:CG9)/Inputs!$B$7,0)</f>
        <v>104999.511062471</v>
      </c>
      <c r="CH10" s="0" t="n">
        <f aca="false">CH9+IF(CH$3=120,SUM(BW9:CH9)/Inputs!$B$7,0)</f>
        <v>113563.486011923</v>
      </c>
      <c r="CI10" s="0" t="n">
        <f aca="false">CI9+IF(CI$3=120,SUM(BX9:CI9)/Inputs!$B$7,0)</f>
        <v>113563.497298915</v>
      </c>
      <c r="CJ10" s="0" t="n">
        <f aca="false">CJ9+IF(CJ$3=120,SUM(BY9:CJ9)/Inputs!$B$7,0)</f>
        <v>113563.506356939</v>
      </c>
      <c r="CK10" s="0" t="n">
        <f aca="false">CK9+IF(CK$3=120,SUM(BZ9:CK9)/Inputs!$B$7,0)</f>
        <v>113563.513626176</v>
      </c>
      <c r="CL10" s="0" t="n">
        <f aca="false">CL9+IF(CL$3=120,SUM(CA9:CL9)/Inputs!$B$7,0)</f>
        <v>113563.519459875</v>
      </c>
      <c r="CM10" s="0" t="n">
        <f aca="false">CM9+IF(CM$3=120,SUM(CB9:CM9)/Inputs!$B$7,0)</f>
        <v>113563.524141529</v>
      </c>
      <c r="CN10" s="0" t="n">
        <f aca="false">CN9+IF(CN$3=120,SUM(CC9:CN9)/Inputs!$B$7,0)</f>
        <v>113563.527898644</v>
      </c>
      <c r="CO10" s="0" t="n">
        <f aca="false">CO9+IF(CO$3=120,SUM(CD9:CO9)/Inputs!$B$7,0)</f>
        <v>113563.5309138</v>
      </c>
      <c r="CP10" s="0" t="n">
        <f aca="false">CP9+IF(CP$3=120,SUM(CE9:CP9)/Inputs!$B$7,0)</f>
        <v>113563.533333519</v>
      </c>
      <c r="CQ10" s="0" t="n">
        <f aca="false">CQ9+IF(CQ$3=120,SUM(CF9:CQ9)/Inputs!$B$7,0)</f>
        <v>113563.53527539</v>
      </c>
      <c r="CR10" s="0" t="n">
        <f aca="false">CR9+IF(CR$3=120,SUM(CG9:CR9)/Inputs!$B$7,0)</f>
        <v>113563.536833777</v>
      </c>
      <c r="CS10" s="0" t="n">
        <f aca="false">CS9+IF(CS$3=120,SUM(CH9:CS9)/Inputs!$B$7,0)</f>
        <v>113563.538084413</v>
      </c>
      <c r="CT10" s="0" t="n">
        <f aca="false">CT9+IF(CT$3=120,SUM(CI9:CT9)/Inputs!$B$7,0)</f>
        <v>122812.622215117</v>
      </c>
      <c r="CU10" s="0" t="n">
        <f aca="false">CU9+IF(CU$3=120,SUM(CJ9:CU9)/Inputs!$B$7,0)</f>
        <v>122812.623085008</v>
      </c>
      <c r="CV10" s="0" t="n">
        <f aca="false">CV9+IF(CV$3=120,SUM(CK9:CV9)/Inputs!$B$7,0)</f>
        <v>122812.623783112</v>
      </c>
      <c r="CW10" s="0" t="n">
        <f aca="false">CW9+IF(CW$3=120,SUM(CL9:CW9)/Inputs!$B$7,0)</f>
        <v>122812.624343353</v>
      </c>
      <c r="CX10" s="0" t="n">
        <f aca="false">CX9+IF(CX$3=120,SUM(CM9:CX9)/Inputs!$B$7,0)</f>
        <v>122812.624792958</v>
      </c>
      <c r="CY10" s="0" t="n">
        <f aca="false">CY9+IF(CY$3=120,SUM(CN9:CY9)/Inputs!$B$7,0)</f>
        <v>122812.625153774</v>
      </c>
      <c r="CZ10" s="0" t="n">
        <f aca="false">CZ9+IF(CZ$3=120,SUM(CO9:CZ9)/Inputs!$B$7,0)</f>
        <v>122812.625443335</v>
      </c>
      <c r="DA10" s="0" t="n">
        <f aca="false">DA9+IF(DA$3=120,SUM(CP9:DA9)/Inputs!$B$7,0)</f>
        <v>122812.625675714</v>
      </c>
      <c r="DB10" s="0" t="n">
        <f aca="false">DB9+IF(DB$3=120,SUM(CQ9:DB9)/Inputs!$B$7,0)</f>
        <v>122812.625862202</v>
      </c>
      <c r="DC10" s="0" t="n">
        <f aca="false">DC9+IF(DC$3=120,SUM(CR9:DC9)/Inputs!$B$7,0)</f>
        <v>122812.626011862</v>
      </c>
      <c r="DD10" s="0" t="n">
        <f aca="false">DD9+IF(DD$3=120,SUM(CS9:DD9)/Inputs!$B$7,0)</f>
        <v>122812.626131968</v>
      </c>
      <c r="DE10" s="0" t="n">
        <f aca="false">DE9+IF(DE$3=120,SUM(CT9:DE9)/Inputs!$B$7,0)</f>
        <v>122812.626228354</v>
      </c>
      <c r="DF10" s="0" t="n">
        <f aca="false">DF9+IF(DF$3=120,SUM(CU9:DF9)/Inputs!$B$7,0)</f>
        <v>132801.636410163</v>
      </c>
      <c r="DG10" s="0" t="n">
        <f aca="false">DG9+IF(DG$3=120,SUM(CV9:DG9)/Inputs!$B$7,0)</f>
        <v>132801.636477206</v>
      </c>
      <c r="DH10" s="0" t="n">
        <f aca="false">DH9+IF(DH$3=120,SUM(CW9:DH9)/Inputs!$B$7,0)</f>
        <v>132801.636531009</v>
      </c>
      <c r="DI10" s="0" t="n">
        <f aca="false">DI9+IF(DI$3=120,SUM(CX9:DI9)/Inputs!$B$7,0)</f>
        <v>132801.636574187</v>
      </c>
      <c r="DJ10" s="0" t="n">
        <f aca="false">DJ9+IF(DJ$3=120,SUM(CY9:DJ9)/Inputs!$B$7,0)</f>
        <v>132801.636608838</v>
      </c>
      <c r="DK10" s="0" t="n">
        <f aca="false">DK9+IF(DK$3=120,SUM(CZ9:DK9)/Inputs!$B$7,0)</f>
        <v>132801.636636646</v>
      </c>
      <c r="DL10" s="0" t="n">
        <f aca="false">DL9+IF(DL$3=120,SUM(DA9:DL9)/Inputs!$B$7,0)</f>
        <v>132801.636658962</v>
      </c>
      <c r="DM10" s="0" t="n">
        <f aca="false">DM9+IF(DM$3=120,SUM(DB9:DM9)/Inputs!$B$7,0)</f>
        <v>132801.636676872</v>
      </c>
      <c r="DN10" s="0" t="n">
        <f aca="false">DN9+IF(DN$3=120,SUM(DC9:DN9)/Inputs!$B$7,0)</f>
        <v>132801.636691245</v>
      </c>
      <c r="DO10" s="0" t="n">
        <f aca="false">DO9+IF(DO$3=120,SUM(DD9:DO9)/Inputs!$B$7,0)</f>
        <v>132801.636702779</v>
      </c>
      <c r="DP10" s="0" t="n">
        <f aca="false">DP9+IF(DP$3=120,SUM(DE9:DP9)/Inputs!$B$7,0)</f>
        <v>132801.636712035</v>
      </c>
      <c r="DQ10" s="0" t="n">
        <f aca="false">DQ9+IF(DQ$3=120,SUM(DF9:DQ9)/Inputs!$B$7,0)</f>
        <v>132801.636719464</v>
      </c>
      <c r="DR10" s="0" t="n">
        <f aca="false">DR9+IF(DR$3=120,SUM(DG9:DR9)/Inputs!$B$7,0)</f>
        <v>28046333.6051017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22</v>
      </c>
      <c r="B3" s="3" t="n">
        <f aca="false">(1+IRR('Cash Flow'!$B$10:$DR$10,0.01))^12-1</f>
        <v>0.115131078246277</v>
      </c>
    </row>
    <row r="4" customFormat="false" ht="15" hidden="false" customHeight="false" outlineLevel="0" collapsed="false">
      <c r="A4" s="0" t="s">
        <v>23</v>
      </c>
      <c r="B4" s="2" t="n">
        <f aca="false">SUM('Cash Flow'!$AY$9:$BJ$9)</f>
        <v>1083603.74836452</v>
      </c>
    </row>
    <row r="5" customFormat="false" ht="15" hidden="false" customHeight="false" outlineLevel="0" collapsed="false">
      <c r="A5" s="0" t="s">
        <v>24</v>
      </c>
      <c r="B5" s="3" t="n">
        <f aca="false">'Cash Flow'!$AA$4</f>
        <v>0.749352899951004</v>
      </c>
    </row>
    <row r="6" customFormat="false" ht="15" hidden="false" customHeight="false" outlineLevel="0" collapsed="false">
      <c r="A6" s="0" t="s">
        <v>25</v>
      </c>
      <c r="B6" s="5" t="n">
        <f aca="false">IFERROR(MATCH(TRUE(),INDEX('Cash Flow'!$B$4:$DR$4&gt;=0.85,0),0)-1,"not reached")</f>
        <v>31</v>
      </c>
    </row>
    <row r="7" customFormat="false" ht="15" hidden="false" customHeight="false" outlineLevel="0" collapsed="false">
      <c r="A7" s="0" t="s">
        <v>26</v>
      </c>
      <c r="B7" s="2" t="n">
        <f aca="false">SUM('Cash Flow'!$B$10:$DR$10)</f>
        <v>23427106.2031853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2026-10-17T22:22:00Z</dcterms:created>
  <dc:creator>openpyxl</dc:creator>
  <dc:description/>
  <dc:language>en-US</dc:language>
  <cp:lastModifiedBy/>
  <dcterms:modified xsi:type="dcterms:W3CDTF">2026-10-17T22:22:00Z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