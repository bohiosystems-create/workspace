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lc" sheetId="2" state="visible" r:id="rId4"/>
    <sheet name="Tab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<sst xmlns="http://schemas.openxmlformats.org/spreadsheetml/2006/main" count="197" uniqueCount="197">
  <si>
    <t xml:space="preserve">Negative fraction</t>
  </si>
  <si>
    <t xml:space="preserve">Fraction</t>
  </si>
  <si>
    <t xml:space="preserve">Months fraction</t>
  </si>
  <si>
    <t xml:space="preserve">Start date</t>
  </si>
  <si>
    <t xml:space="preserve">Rate</t>
  </si>
  <si>
    <t xml:space="preserve">Periods</t>
  </si>
  <si>
    <t xml:space="preserve">Amount</t>
  </si>
  <si>
    <t xml:space="preserve">Small</t>
  </si>
  <si>
    <t xml:space="preserve">Half</t>
  </si>
  <si>
    <t xml:space="preserve">Neg half</t>
  </si>
  <si>
    <t xml:space="preserve">Count</t>
  </si>
  <si>
    <t xml:space="preserve">Zero</t>
  </si>
  <si>
    <t xml:space="preserve">Big</t>
  </si>
  <si>
    <t xml:space="preserve">Date 2</t>
  </si>
  <si>
    <t xml:space="preserve">Pct</t>
  </si>
  <si>
    <t xml:space="preserve">Leap year end</t>
  </si>
  <si>
    <t xml:space="preserve">Lag</t>
  </si>
  <si>
    <t xml:space="preserve">INT neg</t>
  </si>
  <si>
    <t xml:space="preserve">INT neg half</t>
  </si>
  <si>
    <t xml:space="preserve">INT frac</t>
  </si>
  <si>
    <t xml:space="preserve">INT expr</t>
  </si>
  <si>
    <t xml:space="preserve">TRUNC</t>
  </si>
  <si>
    <t xml:space="preserve">CHOOSE frac</t>
  </si>
  <si>
    <t xml:space="preserve">ROUND half</t>
  </si>
  <si>
    <t xml:space="preserve">ROUND neg half</t>
  </si>
  <si>
    <t xml:space="preserve">ROUND -2</t>
  </si>
  <si>
    <t xml:space="preserve">ROUNDUP neg</t>
  </si>
  <si>
    <t xml:space="preserve">ROUNDDOWN neg</t>
  </si>
  <si>
    <t xml:space="preserve">CEILING</t>
  </si>
  <si>
    <t xml:space="preserve">FLOOR</t>
  </si>
  <si>
    <t xml:space="preserve">MROUND</t>
  </si>
  <si>
    <t xml:space="preserve">MOD neg</t>
  </si>
  <si>
    <t xml:space="preserve">MOD neg div</t>
  </si>
  <si>
    <t xml:space="preserve">QUOTIENT</t>
  </si>
  <si>
    <t xml:space="preserve">EDATE frac</t>
  </si>
  <si>
    <t xml:space="preserve">EDATE neg frac</t>
  </si>
  <si>
    <t xml:space="preserve">EOMONTH frac</t>
  </si>
  <si>
    <t xml:space="preserve">EOMONTH neg</t>
  </si>
  <si>
    <t xml:space="preserve">DATE frac month</t>
  </si>
  <si>
    <t xml:space="preserve">DATE month 13</t>
  </si>
  <si>
    <t xml:space="preserve">DATE day 0</t>
  </si>
  <si>
    <t xml:space="preserve">YEAR</t>
  </si>
  <si>
    <t xml:space="preserve">MONTH</t>
  </si>
  <si>
    <t xml:space="preserve">DAY</t>
  </si>
  <si>
    <t xml:space="preserve">YEARFRAC0</t>
  </si>
  <si>
    <t xml:space="preserve">YEARFRAC1</t>
  </si>
  <si>
    <t xml:space="preserve">YEARFRAC3</t>
  </si>
  <si>
    <t xml:space="preserve">DAYS360</t>
  </si>
  <si>
    <t xml:space="preserve">DATEDIF m</t>
  </si>
  <si>
    <t xml:space="preserve">DATEDIF y</t>
  </si>
  <si>
    <t xml:space="preserve">DATEDIF d</t>
  </si>
  <si>
    <t xml:space="preserve">EOMONTH 0</t>
  </si>
  <si>
    <t xml:space="preserve">WEEKDAY</t>
  </si>
  <si>
    <t xml:space="preserve">NETWORKDAYS</t>
  </si>
  <si>
    <t xml:space="preserve">WORKDAY</t>
  </si>
  <si>
    <t xml:space="preserve">PMT</t>
  </si>
  <si>
    <t xml:space="preserve">PMT type1</t>
  </si>
  <si>
    <t xml:space="preserve">FV frac</t>
  </si>
  <si>
    <t xml:space="preserve">PV</t>
  </si>
  <si>
    <t xml:space="preserve">NPER</t>
  </si>
  <si>
    <t xml:space="preserve">RATE</t>
  </si>
  <si>
    <t xml:space="preserve">IPMT</t>
  </si>
  <si>
    <t xml:space="preserve">PPMT</t>
  </si>
  <si>
    <t xml:space="preserve">CUMIPMT</t>
  </si>
  <si>
    <t xml:space="preserve">NPV</t>
  </si>
  <si>
    <t xml:space="preserve">IRR</t>
  </si>
  <si>
    <t xml:space="preserve">XNPV</t>
  </si>
  <si>
    <t xml:space="preserve">XIRR</t>
  </si>
  <si>
    <t xml:space="preserve">VLOOKUP approx</t>
  </si>
  <si>
    <t xml:space="preserve">VLOOKUP col frac</t>
  </si>
  <si>
    <t xml:space="preserve">VLOOKUP exact</t>
  </si>
  <si>
    <t xml:space="preserve">HLOOKUP</t>
  </si>
  <si>
    <t xml:space="preserve">INDEX frac</t>
  </si>
  <si>
    <t xml:space="preserve">INDEX 2d frac</t>
  </si>
  <si>
    <t xml:space="preserve">MATCH approx</t>
  </si>
  <si>
    <t xml:space="preserve">MATCH exact</t>
  </si>
  <si>
    <t xml:space="preserve">MATCH desc</t>
  </si>
  <si>
    <t xml:space="preserve">LOOKUP</t>
  </si>
  <si>
    <t xml:space="preserve">OFFSET frac</t>
  </si>
  <si>
    <t xml:space="preserve">SUMIF</t>
  </si>
  <si>
    <t xml:space="preserve">SUMIFS</t>
  </si>
  <si>
    <t xml:space="preserve">COUNTIF</t>
  </si>
  <si>
    <t xml:space="preserve">AVERAGEIF</t>
  </si>
  <si>
    <t xml:space="preserve">SUMPRODUCT bool</t>
  </si>
  <si>
    <t xml:space="preserve">MIN neg</t>
  </si>
  <si>
    <t xml:space="preserve">MAX</t>
  </si>
  <si>
    <t xml:space="preserve">MEDIAN</t>
  </si>
  <si>
    <t xml:space="preserve">PERCENTILE</t>
  </si>
  <si>
    <t xml:space="preserve">STDEV</t>
  </si>
  <si>
    <t xml:space="preserve">POWER neg</t>
  </si>
  <si>
    <t xml:space="preserve">POWER frac</t>
  </si>
  <si>
    <t xml:space="preserve">neg sq</t>
  </si>
  <si>
    <t xml:space="preserve">ABS</t>
  </si>
  <si>
    <t xml:space="preserve">SIGN</t>
  </si>
  <si>
    <t xml:space="preserve">LN</t>
  </si>
  <si>
    <t xml:space="preserve">EXP</t>
  </si>
  <si>
    <t xml:space="preserve">SQRT</t>
  </si>
  <si>
    <t xml:space="preserve">IFERROR div0</t>
  </si>
  <si>
    <t xml:space="preserve">AND</t>
  </si>
  <si>
    <t xml:space="preserve">OR</t>
  </si>
  <si>
    <t xml:space="preserve">IF text</t>
  </si>
  <si>
    <t xml:space="preserve">TEXT</t>
  </si>
  <si>
    <t xml:space="preserve">LEFT frac</t>
  </si>
  <si>
    <t xml:space="preserve">MID frac</t>
  </si>
  <si>
    <t xml:space="preserve">LEN</t>
  </si>
  <si>
    <t xml:space="preserve">VALUE</t>
  </si>
  <si>
    <t xml:space="preserve">CONCAT</t>
  </si>
  <si>
    <t xml:space="preserve">ROUND pct</t>
  </si>
  <si>
    <t xml:space="preserve">SUM bool</t>
  </si>
  <si>
    <t xml:space="preserve">Fraction compare</t>
  </si>
  <si>
    <t xml:space="preserve">ODD</t>
  </si>
  <si>
    <t xml:space="preserve">EVEN</t>
  </si>
  <si>
    <t xml:space="preserve">FACT frac</t>
  </si>
  <si>
    <t xml:space="preserve">COMBIN</t>
  </si>
  <si>
    <t xml:space="preserve">NORM.DIST</t>
  </si>
  <si>
    <t xml:space="preserve">MAXIFS</t>
  </si>
  <si>
    <t xml:space="preserve">MINIFS</t>
  </si>
  <si>
    <t xml:space="preserve">COUNTA</t>
  </si>
  <si>
    <t xml:space="preserve">COUNT</t>
  </si>
  <si>
    <t xml:space="preserve">ISNUMBER</t>
  </si>
  <si>
    <t xml:space="preserve">ISBLANK</t>
  </si>
  <si>
    <t xml:space="preserve">N text</t>
  </si>
  <si>
    <t xml:space="preserve">AVERAGE text</t>
  </si>
  <si>
    <t xml:space="preserve">IRR guess</t>
  </si>
  <si>
    <t xml:space="preserve">NPV neg rate</t>
  </si>
  <si>
    <t xml:space="preserve">DB</t>
  </si>
  <si>
    <t xml:space="preserve">SLN</t>
  </si>
  <si>
    <t xml:space="preserve">EFFECT</t>
  </si>
  <si>
    <t xml:space="preserve">NOMINAL</t>
  </si>
  <si>
    <t xml:space="preserve">ROUND neg digits frac</t>
  </si>
  <si>
    <t xml:space="preserve">TRUNC digits</t>
  </si>
  <si>
    <t xml:space="preserve">INT big neg</t>
  </si>
  <si>
    <t xml:space="preserve">MOD frac</t>
  </si>
  <si>
    <t xml:space="preserve">EOMONTH chain</t>
  </si>
  <si>
    <t xml:space="preserve">CHOOSE month</t>
  </si>
  <si>
    <t xml:space="preserve">ROW</t>
  </si>
  <si>
    <t xml:space="preserve">COLUMN</t>
  </si>
  <si>
    <t xml:space="preserve">ROWS</t>
  </si>
  <si>
    <t xml:space="preserve">COLUMNS</t>
  </si>
  <si>
    <t xml:space="preserve">COUNTIFS</t>
  </si>
  <si>
    <t xml:space="preserve">ISERROR</t>
  </si>
  <si>
    <t xml:space="preserve">IFNA</t>
  </si>
  <si>
    <t xml:space="preserve">ISNA</t>
  </si>
  <si>
    <t xml:space="preserve">NOT</t>
  </si>
  <si>
    <t xml:space="preserve">LARGE</t>
  </si>
  <si>
    <t xml:space="preserve">SMALL</t>
  </si>
  <si>
    <t xml:space="preserve">RANK.EQ</t>
  </si>
  <si>
    <t xml:space="preserve">SWITCH</t>
  </si>
  <si>
    <t xml:space="preserve">ISTEXT</t>
  </si>
  <si>
    <t xml:space="preserve">UPPER</t>
  </si>
  <si>
    <t xml:space="preserve">LOWER</t>
  </si>
  <si>
    <t xml:space="preserve">TRIM</t>
  </si>
  <si>
    <t xml:space="preserve">FIND</t>
  </si>
  <si>
    <t xml:space="preserve">SEARCH</t>
  </si>
  <si>
    <t xml:space="preserve">RIGHT</t>
  </si>
  <si>
    <t xml:space="preserve">REPLACE</t>
  </si>
  <si>
    <t xml:space="preserve">CEILING.MATH</t>
  </si>
  <si>
    <t xml:space="preserve">FLOOR.MATH</t>
  </si>
  <si>
    <t xml:space="preserve">PRODUCT</t>
  </si>
  <si>
    <t xml:space="preserve">SUMSQ</t>
  </si>
  <si>
    <t xml:space="preserve">COUNTBLANK</t>
  </si>
  <si>
    <t xml:space="preserve">MIRR</t>
  </si>
  <si>
    <t xml:space="preserve">DATEVALUE</t>
  </si>
  <si>
    <t xml:space="preserve">AVERAGEIFS</t>
  </si>
  <si>
    <t xml:space="preserve">SUMIF text crit</t>
  </si>
  <si>
    <t xml:space="preserve">COUNTIF wildcard</t>
  </si>
  <si>
    <t xml:space="preserve">ROUND neg half up</t>
  </si>
  <si>
    <t xml:space="preserve">MOD big</t>
  </si>
  <si>
    <t xml:space="preserve">IRR monthly</t>
  </si>
  <si>
    <t xml:space="preserve">XIRR guess</t>
  </si>
  <si>
    <t xml:space="preserve">EOMONTH neg big</t>
  </si>
  <si>
    <t xml:space="preserve">EDATE neg</t>
  </si>
  <si>
    <t xml:space="preserve">DATE neg month</t>
  </si>
  <si>
    <t xml:space="preserve">YEARFRAC 4</t>
  </si>
  <si>
    <t xml:space="preserve">TEXT date</t>
  </si>
  <si>
    <t xml:space="preserve">TEXT thousands</t>
  </si>
  <si>
    <t xml:space="preserve">TEXT pct0</t>
  </si>
  <si>
    <t xml:space="preserve">YEAR leap end</t>
  </si>
  <si>
    <t xml:space="preserve">MONTH leap end</t>
  </si>
  <si>
    <t xml:space="preserve">DAY leap end</t>
  </si>
  <si>
    <t xml:space="preserve">EOMONTH leap end</t>
  </si>
  <si>
    <t xml:space="preserve">DAYS360 leap end</t>
  </si>
  <si>
    <t xml:space="preserve">DATEDIF leap end</t>
  </si>
  <si>
    <t xml:space="preserve">OFFSET frac lag</t>
  </si>
  <si>
    <t xml:space="preserve">OFFSET frac lag col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</si>
  <si>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</si>
  <si>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</si>
  <si>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</si>
  <si>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</si>
  <si>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</si>
  <si>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</si>
  <si>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k7</t>
  </si>
  <si>
    <t xml:space="preserve">k8</t>
  </si>
  <si>
    <t xml:space="preserve">k9</t>
  </si>
  <si>
    <t xml:space="preserve">k10</t>
  </si>
  <si>
    <t xml:space="preserve">k11</t>
  </si>
  <si>
    <t xml:space="preserve">k12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</si>
</sst>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[$$-409]#,##0.00;[RED]\-[$$-409]#,##0.00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-1.25</v>
      </c>
    </row>
    <row r="2" customFormat="false" ht="15" hidden="false" customHeight="false" outlineLevel="0" collapsed="false">
      <c r="A2" s="0" t="s">
        <v>1</v>
      </c>
      <c r="B2" s="0" t="n">
        <v>2.9</v>
      </c>
    </row>
    <row r="3" customFormat="false" ht="15" hidden="false" customHeight="false" outlineLevel="0" collapsed="false">
      <c r="A3" s="0" t="s">
        <v>2</v>
      </c>
      <c r="B3" s="0" t="n">
        <v>1.9</v>
      </c>
    </row>
    <row r="4" customFormat="false" ht="15" hidden="false" customHeight="false" outlineLevel="0" collapsed="false">
      <c r="A4" s="0" t="s">
        <v>3</v>
      </c>
      <c r="B4" s="0" t="n">
        <v>45322</v>
      </c>
    </row>
    <row r="5" customFormat="false" ht="15" hidden="false" customHeight="false" outlineLevel="0" collapsed="false">
      <c r="A5" s="0" t="s">
        <v>4</v>
      </c>
      <c r="B5" s="0" t="n">
        <v>0.05</v>
      </c>
    </row>
    <row r="6" customFormat="false" ht="15" hidden="false" customHeight="false" outlineLevel="0" collapsed="false">
      <c r="A6" s="0" t="s">
        <v>5</v>
      </c>
      <c r="B6" s="0" t="n">
        <v>10</v>
      </c>
    </row>
    <row r="7" customFormat="false" ht="15" hidden="false" customHeight="false" outlineLevel="0" collapsed="false">
      <c r="A7" s="0" t="s">
        <v>6</v>
      </c>
      <c r="B7" s="0" t="n">
        <v>-1000</v>
      </c>
    </row>
    <row r="8" customFormat="false" ht="15" hidden="false" customHeight="false" outlineLevel="0" collapsed="false">
      <c r="A8" s="0" t="s">
        <v>7</v>
      </c>
      <c r="B8" s="0" t="n">
        <v>0.004</v>
      </c>
    </row>
    <row r="9" customFormat="false" ht="15" hidden="false" customHeight="false" outlineLevel="0" collapsed="false">
      <c r="A9" s="0" t="s">
        <v>8</v>
      </c>
      <c r="B9" s="0" t="n">
        <v>2.5</v>
      </c>
    </row>
    <row r="10" customFormat="false" ht="15" hidden="false" customHeight="false" outlineLevel="0" collapsed="false">
      <c r="A10" s="0" t="s">
        <v>9</v>
      </c>
      <c r="B10" s="0" t="n">
        <v>-2.5</v>
      </c>
    </row>
    <row r="11" customFormat="false" ht="15" hidden="false" customHeight="false" outlineLevel="0" collapsed="false">
      <c r="A11" s="0" t="s">
        <v>10</v>
      </c>
      <c r="B11" s="0" t="n">
        <v>3</v>
      </c>
    </row>
    <row r="12" customFormat="false" ht="15" hidden="false" customHeight="false" outlineLevel="0" collapsed="false">
      <c r="A12" s="0" t="s">
        <v>11</v>
      </c>
      <c r="B12" s="0" t="n">
        <v>0</v>
      </c>
    </row>
    <row r="13" customFormat="false" ht="15" hidden="false" customHeight="false" outlineLevel="0" collapsed="false">
      <c r="A13" s="0" t="s">
        <v>12</v>
      </c>
      <c r="B13" s="0" t="n">
        <v>1234.5678</v>
      </c>
    </row>
    <row r="14" customFormat="false" ht="15" hidden="false" customHeight="false" outlineLevel="0" collapsed="false">
      <c r="A14" s="0" t="s">
        <v>13</v>
      </c>
      <c r="B14" s="0" t="n">
        <v>45500</v>
      </c>
    </row>
    <row r="15" customFormat="false" ht="15" hidden="false" customHeight="false" outlineLevel="0" collapsed="false">
      <c r="A15" s="0" t="s">
        <v>14</v>
      </c>
      <c r="B15" s="0" t="n">
        <v>0.075</v>
      </c>
    </row>
    <row r="16" customFormat="false" ht="15" hidden="false" customHeight="false" outlineLevel="0" collapsed="false">
      <c r="A16" s="0" t="s">
        <v>15</v>
      </c>
      <c r="B16" s="0" t="n">
        <v>50040</v>
      </c>
    </row>
    <row r="17" customFormat="false" ht="15" hidden="false" customHeight="false" outlineLevel="0" collapsed="false">
      <c r="A17" s="0" t="s">
        <v>16</v>
      </c>
      <c r="B17" s="0" t="n">
        <v>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17</v>
      </c>
      <c r="B1" s="0" t="n">
        <f aca="false">INT(Inputs!$B$1)</f>
        <v>-2</v>
      </c>
    </row>
    <row r="2" customFormat="false" ht="15" hidden="false" customHeight="false" outlineLevel="0" collapsed="false">
      <c r="A2" s="0" t="s">
        <v>18</v>
      </c>
      <c r="B2" s="0" t="n">
        <f aca="false">INT(Inputs!$B$10)</f>
        <v>-3</v>
      </c>
    </row>
    <row r="3" customFormat="false" ht="15" hidden="false" customHeight="false" outlineLevel="0" collapsed="false">
      <c r="A3" s="0" t="s">
        <v>19</v>
      </c>
      <c r="B3" s="0" t="n">
        <f aca="false">INT(Inputs!$B$2)</f>
        <v>2</v>
      </c>
    </row>
    <row r="4" customFormat="false" ht="15" hidden="false" customHeight="false" outlineLevel="0" collapsed="false">
      <c r="A4" s="0" t="s">
        <v>20</v>
      </c>
      <c r="B4" s="0" t="n">
        <f aca="false">INT((Inputs!$B$11-Inputs!$B$6-1)/2)</f>
        <v>-4</v>
      </c>
    </row>
    <row r="5" customFormat="false" ht="15" hidden="false" customHeight="false" outlineLevel="0" collapsed="false">
      <c r="A5" s="0" t="s">
        <v>21</v>
      </c>
      <c r="B5" s="0" t="n">
        <f aca="false">TRUNC(Inputs!$B$1)</f>
        <v>-1</v>
      </c>
    </row>
    <row r="6" customFormat="false" ht="15" hidden="false" customHeight="false" outlineLevel="0" collapsed="false">
      <c r="A6" s="0" t="s">
        <v>22</v>
      </c>
      <c r="B6" s="0" t="n">
        <f aca="false">CHOOSE(Inputs!$B$2,10,20,30)</f>
        <v>20</v>
      </c>
    </row>
    <row r="7" customFormat="false" ht="15" hidden="false" customHeight="false" outlineLevel="0" collapsed="false">
      <c r="A7" s="0" t="s">
        <v>23</v>
      </c>
      <c r="B7" s="0" t="n">
        <f aca="false">ROUND(Inputs!$B$9,0)</f>
        <v>3</v>
      </c>
    </row>
    <row r="8" customFormat="false" ht="15" hidden="false" customHeight="false" outlineLevel="0" collapsed="false">
      <c r="A8" s="0" t="s">
        <v>24</v>
      </c>
      <c r="B8" s="0" t="n">
        <f aca="false">ROUND(Inputs!$B$10,0)</f>
        <v>-3</v>
      </c>
    </row>
    <row r="9" customFormat="false" ht="15" hidden="false" customHeight="false" outlineLevel="0" collapsed="false">
      <c r="A9" s="0" t="s">
        <v>25</v>
      </c>
      <c r="B9" s="0" t="n">
        <f aca="false">ROUND(Inputs!$B$13,-2)</f>
        <v>1200</v>
      </c>
    </row>
    <row r="10" customFormat="false" ht="15" hidden="false" customHeight="false" outlineLevel="0" collapsed="false">
      <c r="A10" s="0" t="s">
        <v>26</v>
      </c>
      <c r="B10" s="0" t="n">
        <f aca="false">ROUNDUP(Inputs!$B$1,0)</f>
        <v>-2</v>
      </c>
    </row>
    <row r="11" customFormat="false" ht="15" hidden="false" customHeight="false" outlineLevel="0" collapsed="false">
      <c r="A11" s="0" t="s">
        <v>27</v>
      </c>
      <c r="B11" s="0" t="n">
        <f aca="false">ROUNDDOWN(Inputs!$B$1,0)</f>
        <v>-1</v>
      </c>
    </row>
    <row r="12" customFormat="false" ht="15" hidden="false" customHeight="false" outlineLevel="0" collapsed="false">
      <c r="A12" s="0" t="s">
        <v>28</v>
      </c>
      <c r="B12" s="0" t="n">
        <f aca="false">CEILING(Inputs!$B$2,1)</f>
        <v>3</v>
      </c>
    </row>
    <row r="13" customFormat="false" ht="15" hidden="false" customHeight="false" outlineLevel="0" collapsed="false">
      <c r="A13" s="0" t="s">
        <v>29</v>
      </c>
      <c r="B13" s="0" t="n">
        <f aca="false">FLOOR(Inputs!$B$2,1)</f>
        <v>2</v>
      </c>
    </row>
    <row r="14" customFormat="false" ht="15" hidden="false" customHeight="false" outlineLevel="0" collapsed="false">
      <c r="A14" s="0" t="s">
        <v>30</v>
      </c>
      <c r="B14" s="0" t="n">
        <f aca="false">MROUND(Inputs!$B$13,5)</f>
        <v>1235</v>
      </c>
    </row>
    <row r="15" customFormat="false" ht="15" hidden="false" customHeight="false" outlineLevel="0" collapsed="false">
      <c r="A15" s="0" t="s">
        <v>31</v>
      </c>
      <c r="B15" s="0" t="n">
        <f aca="false">MOD(Inputs!$B$1,2)</f>
        <v>0.75</v>
      </c>
    </row>
    <row r="16" customFormat="false" ht="15" hidden="false" customHeight="false" outlineLevel="0" collapsed="false">
      <c r="A16" s="0" t="s">
        <v>32</v>
      </c>
      <c r="B16" s="0" t="n">
        <f aca="false">MOD(Inputs!$B$2,-2)</f>
        <v>-1.1</v>
      </c>
    </row>
    <row r="17" customFormat="false" ht="15" hidden="false" customHeight="false" outlineLevel="0" collapsed="false">
      <c r="A17" s="0" t="s">
        <v>33</v>
      </c>
      <c r="B17" s="0" t="n">
        <f aca="false">QUOTIENT(Inputs!$B$1*10,4)</f>
        <v>-3</v>
      </c>
    </row>
    <row r="18" customFormat="false" ht="15" hidden="false" customHeight="false" outlineLevel="0" collapsed="false">
      <c r="A18" s="0" t="s">
        <v>34</v>
      </c>
      <c r="B18" s="0" t="n">
        <f aca="false">EDATE(Inputs!$B$4,Inputs!$B$3)</f>
        <v>45351</v>
      </c>
    </row>
    <row r="19" customFormat="false" ht="15" hidden="false" customHeight="false" outlineLevel="0" collapsed="false">
      <c r="A19" s="0" t="s">
        <v>35</v>
      </c>
      <c r="B19" s="0" t="n">
        <f aca="false">EDATE(Inputs!$B$4,-Inputs!$B$3)</f>
        <v>45291</v>
      </c>
    </row>
    <row r="20" customFormat="false" ht="15" hidden="false" customHeight="false" outlineLevel="0" collapsed="false">
      <c r="A20" s="0" t="s">
        <v>36</v>
      </c>
      <c r="B20" s="0" t="n">
        <f aca="false">EOMONTH(Inputs!$B$4,Inputs!$B$3)</f>
        <v>45351</v>
      </c>
    </row>
    <row r="21" customFormat="false" ht="15" hidden="false" customHeight="false" outlineLevel="0" collapsed="false">
      <c r="A21" s="0" t="s">
        <v>37</v>
      </c>
      <c r="B21" s="0" t="n">
        <f aca="false">EOMONTH(Inputs!$B$4,-Inputs!$B$3)</f>
        <v>45291</v>
      </c>
    </row>
    <row r="22" customFormat="false" ht="15" hidden="false" customHeight="false" outlineLevel="0" collapsed="false">
      <c r="A22" s="0" t="s">
        <v>38</v>
      </c>
      <c r="B22" s="1" t="n">
        <f aca="false">DATE(2024,Inputs!$B$3,1)</f>
        <v>45292</v>
      </c>
    </row>
    <row r="23" customFormat="false" ht="15" hidden="false" customHeight="false" outlineLevel="0" collapsed="false">
      <c r="A23" s="0" t="s">
        <v>39</v>
      </c>
      <c r="B23" s="1" t="n">
        <f aca="false">DATE(2024,12+Inputs!$B$11,1)</f>
        <v>45717</v>
      </c>
    </row>
    <row r="24" customFormat="false" ht="15" hidden="false" customHeight="false" outlineLevel="0" collapsed="false">
      <c r="A24" s="0" t="s">
        <v>40</v>
      </c>
      <c r="B24" s="1" t="n">
        <f aca="false">DATE(2024,3,Inputs!$B$12)</f>
        <v>45351</v>
      </c>
    </row>
    <row r="25" customFormat="false" ht="15" hidden="false" customHeight="false" outlineLevel="0" collapsed="false">
      <c r="A25" s="0" t="s">
        <v>41</v>
      </c>
      <c r="B25" s="0" t="n">
        <f aca="false">YEAR(Inputs!$B$4)</f>
        <v>2024</v>
      </c>
    </row>
    <row r="26" customFormat="false" ht="15" hidden="false" customHeight="false" outlineLevel="0" collapsed="false">
      <c r="A26" s="0" t="s">
        <v>42</v>
      </c>
      <c r="B26" s="0" t="n">
        <f aca="false">MONTH(Inputs!$B$4+Inputs!$B$2)</f>
        <v>2</v>
      </c>
    </row>
    <row r="27" customFormat="false" ht="15" hidden="false" customHeight="false" outlineLevel="0" collapsed="false">
      <c r="A27" s="0" t="s">
        <v>43</v>
      </c>
      <c r="B27" s="0" t="n">
        <f aca="false">DAY(Inputs!$B$14)</f>
        <v>27</v>
      </c>
    </row>
    <row r="28" customFormat="false" ht="15" hidden="false" customHeight="false" outlineLevel="0" collapsed="false">
      <c r="A28" s="0" t="s">
        <v>44</v>
      </c>
      <c r="B28" s="0" t="n">
        <f aca="false">YEARFRAC(Inputs!$B$4,Inputs!$B$14)</f>
        <v>0.491666666666667</v>
      </c>
    </row>
    <row r="29" customFormat="false" ht="15" hidden="false" customHeight="false" outlineLevel="0" collapsed="false">
      <c r="A29" s="0" t="s">
        <v>45</v>
      </c>
      <c r="B29" s="0" t="n">
        <f aca="false">YEARFRAC(Inputs!$B$4,Inputs!$B$14,1)</f>
        <v>0.486338797814208</v>
      </c>
    </row>
    <row r="30" customFormat="false" ht="15" hidden="false" customHeight="false" outlineLevel="0" collapsed="false">
      <c r="A30" s="0" t="s">
        <v>46</v>
      </c>
      <c r="B30" s="0" t="n">
        <f aca="false">YEARFRAC(Inputs!$B$4,Inputs!$B$14,3)</f>
        <v>0.487671232876712</v>
      </c>
    </row>
    <row r="31" customFormat="false" ht="15" hidden="false" customHeight="false" outlineLevel="0" collapsed="false">
      <c r="A31" s="0" t="s">
        <v>47</v>
      </c>
      <c r="B31" s="0" t="n">
        <f aca="false">DAYS360(Inputs!$B$4,Inputs!$B$14)</f>
        <v>177</v>
      </c>
    </row>
    <row r="32" customFormat="false" ht="15" hidden="false" customHeight="false" outlineLevel="0" collapsed="false">
      <c r="A32" s="0" t="s">
        <v>48</v>
      </c>
      <c r="B32" s="0" t="n">
        <f aca="false">DATEDIF(Inputs!$B$4,Inputs!$B$14,"m")</f>
        <v>5</v>
      </c>
    </row>
    <row r="33" customFormat="false" ht="15" hidden="false" customHeight="false" outlineLevel="0" collapsed="false">
      <c r="A33" s="0" t="s">
        <v>49</v>
      </c>
      <c r="B33" s="0" t="n">
        <f aca="false">DATEDIF(Inputs!$B$4,Inputs!$B$14,"y")</f>
        <v>0</v>
      </c>
    </row>
    <row r="34" customFormat="false" ht="15" hidden="false" customHeight="false" outlineLevel="0" collapsed="false">
      <c r="A34" s="0" t="s">
        <v>50</v>
      </c>
      <c r="B34" s="0" t="n">
        <f aca="false">DATEDIF(Inputs!$B$4,Inputs!$B$14,"d")</f>
        <v>178</v>
      </c>
    </row>
    <row r="35" customFormat="false" ht="15" hidden="false" customHeight="false" outlineLevel="0" collapsed="false">
      <c r="A35" s="0" t="s">
        <v>51</v>
      </c>
      <c r="B35" s="0" t="n">
        <f aca="false">EOMONTH(Inputs!$B$14,0)</f>
        <v>45504</v>
      </c>
    </row>
    <row r="36" customFormat="false" ht="15" hidden="false" customHeight="false" outlineLevel="0" collapsed="false">
      <c r="A36" s="0" t="s">
        <v>52</v>
      </c>
      <c r="B36" s="0" t="n">
        <f aca="false">WEEKDAY(Inputs!$B$14)</f>
        <v>7</v>
      </c>
    </row>
    <row r="37" customFormat="false" ht="15" hidden="false" customHeight="false" outlineLevel="0" collapsed="false">
      <c r="A37" s="0" t="s">
        <v>53</v>
      </c>
      <c r="B37" s="0" t="n">
        <f aca="false">NETWORKDAYS(Inputs!$B$4,Inputs!$B$14)</f>
        <v>128</v>
      </c>
    </row>
    <row r="38" customFormat="false" ht="15" hidden="false" customHeight="false" outlineLevel="0" collapsed="false">
      <c r="A38" s="0" t="s">
        <v>54</v>
      </c>
      <c r="B38" s="0" t="n">
        <f aca="false">WORKDAY(Inputs!$B$4,Inputs!$B$11*Inputs!$B$2)</f>
        <v>45334</v>
      </c>
    </row>
    <row r="39" customFormat="false" ht="15" hidden="false" customHeight="false" outlineLevel="0" collapsed="false">
      <c r="A39" s="0" t="s">
        <v>55</v>
      </c>
      <c r="B39" s="2" t="n">
        <f aca="false">PMT(Inputs!$B$5/12,Inputs!$B$6*12,Inputs!$B$7)</f>
        <v>10.6065515239075</v>
      </c>
    </row>
    <row r="40" customFormat="false" ht="15" hidden="false" customHeight="false" outlineLevel="0" collapsed="false">
      <c r="A40" s="0" t="s">
        <v>56</v>
      </c>
      <c r="B40" s="2" t="n">
        <f aca="false">PMT(Inputs!$B$5,Inputs!$B$6,Inputs!$B$7,0,1)</f>
        <v>123.337690443292</v>
      </c>
    </row>
    <row r="41" customFormat="false" ht="15" hidden="false" customHeight="false" outlineLevel="0" collapsed="false">
      <c r="A41" s="0" t="s">
        <v>57</v>
      </c>
      <c r="B41" s="2" t="n">
        <f aca="false">FV(Inputs!$B$5,Inputs!$B$6+0.5,Inputs!$B$7)</f>
        <v>13382.4060870492</v>
      </c>
    </row>
    <row r="42" customFormat="false" ht="15" hidden="false" customHeight="false" outlineLevel="0" collapsed="false">
      <c r="A42" s="0" t="s">
        <v>58</v>
      </c>
      <c r="B42" s="2" t="n">
        <f aca="false">PV(Inputs!$B$5,Inputs!$B$6,Inputs!$B$7)</f>
        <v>7721.73492918482</v>
      </c>
    </row>
    <row r="43" customFormat="false" ht="15" hidden="false" customHeight="false" outlineLevel="0" collapsed="false">
      <c r="A43" s="0" t="s">
        <v>59</v>
      </c>
      <c r="B43" s="0" t="n">
        <f aca="false">NPER(Inputs!$B$5,Inputs!$B$7/10,-Inputs!$B$7)</f>
        <v>14.2066990828905</v>
      </c>
    </row>
    <row r="44" customFormat="false" ht="15" hidden="false" customHeight="false" outlineLevel="0" collapsed="false">
      <c r="A44" s="0" t="s">
        <v>60</v>
      </c>
      <c r="B44" s="3" t="n">
        <f aca="false">RATE(Inputs!$B$6,Inputs!$B$7/10,-Inputs!$B$7*0.8)</f>
        <v>0.0427749780351118</v>
      </c>
    </row>
    <row r="45" customFormat="false" ht="15" hidden="false" customHeight="false" outlineLevel="0" collapsed="false">
      <c r="A45" s="0" t="s">
        <v>61</v>
      </c>
      <c r="B45" s="2" t="n">
        <f aca="false">IPMT(Inputs!$B$5,1,Inputs!$B$6,Inputs!$B$7)</f>
        <v>50</v>
      </c>
    </row>
    <row r="46" customFormat="false" ht="15" hidden="false" customHeight="false" outlineLevel="0" collapsed="false">
      <c r="A46" s="0" t="s">
        <v>62</v>
      </c>
      <c r="B46" s="2" t="n">
        <f aca="false">PPMT(Inputs!$B$5,2,Inputs!$B$6,Inputs!$B$7)</f>
        <v>83.4798037137295</v>
      </c>
    </row>
    <row r="47" customFormat="false" ht="15" hidden="false" customHeight="false" outlineLevel="0" collapsed="false">
      <c r="A47" s="0" t="s">
        <v>63</v>
      </c>
      <c r="B47" s="2" t="n">
        <f aca="false">CUMIPMT(Inputs!$B$5/12,Inputs!$B$6*12,-Inputs!$B$7,1,12,0)</f>
        <v>-48.2042027421839</v>
      </c>
    </row>
    <row r="48" customFormat="false" ht="15" hidden="false" customHeight="false" outlineLevel="0" collapsed="false">
      <c r="A48" s="0" t="s">
        <v>64</v>
      </c>
      <c r="B48" s="2" t="n">
        <f aca="false">NPV(Inputs!$B$5,Table!B1:B12)</f>
        <v>524.873040028107</v>
      </c>
    </row>
    <row r="49" customFormat="false" ht="15" hidden="false" customHeight="false" outlineLevel="0" collapsed="false">
      <c r="A49" s="0" t="s">
        <v>65</v>
      </c>
      <c r="B49" s="3" t="n">
        <f aca="false">IRR(Table!E1:E12)</f>
        <v>-6.19855342107652E-017</v>
      </c>
    </row>
    <row r="50" customFormat="false" ht="15" hidden="false" customHeight="false" outlineLevel="0" collapsed="false">
      <c r="A50" s="0" t="s">
        <v>66</v>
      </c>
      <c r="B50" s="0" t="n">
        <f aca="false">XNPV(Inputs!$B$5,Table!E1:E12,Table!C1:C12)</f>
        <v>0.011674735059515</v>
      </c>
    </row>
    <row r="51" customFormat="false" ht="15" hidden="false" customHeight="false" outlineLevel="0" collapsed="false">
      <c r="A51" s="0" t="s">
        <v>67</v>
      </c>
      <c r="B51" s="0" t="n">
        <f aca="false">XIRR(Table!E1:E12,Table!C1:C12)</f>
        <v>-9.98085794458215E-016</v>
      </c>
    </row>
    <row r="52" customFormat="false" ht="15" hidden="false" customHeight="false" outlineLevel="0" collapsed="false">
      <c r="A52" s="0" t="s">
        <v>68</v>
      </c>
      <c r="B52" s="0" t="n">
        <f aca="false">VLOOKUP(Inputs!$B$2,Table!A1:B12,2)</f>
        <v>20</v>
      </c>
    </row>
    <row r="53" customFormat="false" ht="15" hidden="false" customHeight="false" outlineLevel="0" collapsed="false">
      <c r="A53" s="0" t="s">
        <v>69</v>
      </c>
      <c r="B53" s="0" t="n">
        <f aca="false">VLOOKUP(Inputs!$B$11,Table!A1:B12,Inputs!$B$2)</f>
        <v>30</v>
      </c>
    </row>
    <row r="54" customFormat="false" ht="15" hidden="false" customHeight="false" outlineLevel="0" collapsed="false">
      <c r="A54" s="0" t="s">
        <v>70</v>
      </c>
      <c r="B54" s="0" t="n">
        <f aca="false">VLOOKUP(Inputs!$B$11,Table!A1:B12,2,FALSE())</f>
        <v>30</v>
      </c>
    </row>
    <row r="55" customFormat="false" ht="15" hidden="false" customHeight="false" outlineLevel="0" collapsed="false">
      <c r="A55" s="0" t="s">
        <v>71</v>
      </c>
      <c r="B55" s="0" t="n">
        <f aca="false">HLOOKUP(2,Table!A1:B12,Inputs!$B$11)</f>
        <v>3</v>
      </c>
    </row>
    <row r="56" customFormat="false" ht="15" hidden="false" customHeight="false" outlineLevel="0" collapsed="false">
      <c r="A56" s="0" t="s">
        <v>72</v>
      </c>
      <c r="B56" s="0" t="n">
        <f aca="false">INDEX(Table!B1:B12,Inputs!$B$2)</f>
        <v>20</v>
      </c>
    </row>
    <row r="57" customFormat="false" ht="15" hidden="false" customHeight="false" outlineLevel="0" collapsed="false">
      <c r="A57" s="0" t="s">
        <v>73</v>
      </c>
      <c r="B57" s="0" t="n">
        <f aca="false">INDEX(Table!A1:B12,Inputs!$B$2,Inputs!$B$2-0.5)</f>
        <v>20</v>
      </c>
    </row>
    <row r="58" customFormat="false" ht="15" hidden="false" customHeight="false" outlineLevel="0" collapsed="false">
      <c r="A58" s="0" t="s">
        <v>74</v>
      </c>
      <c r="B58" s="0" t="n">
        <f aca="false">MATCH(Inputs!$B$9,Table!A1:A12)</f>
        <v>2</v>
      </c>
    </row>
    <row r="59" customFormat="false" ht="15" hidden="false" customHeight="false" outlineLevel="0" collapsed="false">
      <c r="A59" s="0" t="s">
        <v>75</v>
      </c>
      <c r="B59" s="0" t="n">
        <f aca="false">MATCH(Inputs!$B$11,Table!A1:A12,0)</f>
        <v>3</v>
      </c>
    </row>
    <row r="60" customFormat="false" ht="15" hidden="false" customHeight="false" outlineLevel="0" collapsed="false">
      <c r="A60" s="0" t="s">
        <v>76</v>
      </c>
      <c r="B60" s="0" t="n">
        <f aca="false">MATCH(Inputs!$B$11*10,Table!B1:B12,1)</f>
        <v>3</v>
      </c>
    </row>
    <row r="61" customFormat="false" ht="15" hidden="false" customHeight="false" outlineLevel="0" collapsed="false">
      <c r="A61" s="0" t="s">
        <v>77</v>
      </c>
      <c r="B61" s="0" t="n">
        <f aca="false">LOOKUP(Inputs!$B$9,Table!A1:A12,Table!B1:B12)</f>
        <v>20</v>
      </c>
    </row>
    <row r="62" customFormat="false" ht="15" hidden="false" customHeight="false" outlineLevel="0" collapsed="false">
      <c r="A62" s="0" t="s">
        <v>78</v>
      </c>
      <c r="B62" s="0" t="n">
        <f aca="true">SUM(OFFSET(Table!B1,Inputs!$B$2,0,Inputs!$B$2,1))</f>
        <v>70</v>
      </c>
    </row>
    <row r="63" customFormat="false" ht="15" hidden="false" customHeight="false" outlineLevel="0" collapsed="false">
      <c r="A63" s="0" t="s">
        <v>79</v>
      </c>
      <c r="B63" s="0" t="n">
        <f aca="false">SUMIF(Table!A1:A12,"&gt;"&amp;Inputs!$B$9,Table!B1:B12)</f>
        <v>750</v>
      </c>
    </row>
    <row r="64" customFormat="false" ht="15" hidden="false" customHeight="false" outlineLevel="0" collapsed="false">
      <c r="A64" s="0" t="s">
        <v>80</v>
      </c>
      <c r="B64" s="0" t="n">
        <f aca="false">SUMIFS(Table!B1:B12,Table!A1:A12,"&gt;="&amp;Inputs!$B$11,Table!E1:E12,"&lt;0")</f>
        <v>380</v>
      </c>
    </row>
    <row r="65" customFormat="false" ht="15" hidden="false" customHeight="false" outlineLevel="0" collapsed="false">
      <c r="A65" s="0" t="s">
        <v>81</v>
      </c>
      <c r="B65" s="0" t="n">
        <f aca="false">COUNTIF(Table!E1:E12,"&lt;"&amp;Inputs!$B$12)</f>
        <v>6</v>
      </c>
    </row>
    <row r="66" customFormat="false" ht="15" hidden="false" customHeight="false" outlineLevel="0" collapsed="false">
      <c r="A66" s="0" t="s">
        <v>82</v>
      </c>
      <c r="B66" s="0" t="n">
        <f aca="false">AVERAGEIF(Table!A1:A12,"&gt;"&amp;Inputs!$B$2,Table!B1:B12)</f>
        <v>75</v>
      </c>
    </row>
    <row r="67" customFormat="false" ht="15" hidden="false" customHeight="false" outlineLevel="0" collapsed="false">
      <c r="A67" s="0" t="s">
        <v>83</v>
      </c>
      <c r="B67" s="0" t="n">
        <f aca="false">SUMPRODUCT((Table!A1:A12&gt;Inputs!$B$2)*(Table!A1:A12&lt;=Inputs!$B$2+Inputs!$B$11)*Table!B1:B12)</f>
        <v>120</v>
      </c>
    </row>
    <row r="68" customFormat="false" ht="15" hidden="false" customHeight="false" outlineLevel="0" collapsed="false">
      <c r="A68" s="0" t="s">
        <v>84</v>
      </c>
      <c r="B68" s="0" t="n">
        <f aca="false">MIN(Table!E1:E12)</f>
        <v>-1.5</v>
      </c>
    </row>
    <row r="69" customFormat="false" ht="15" hidden="false" customHeight="false" outlineLevel="0" collapsed="false">
      <c r="A69" s="0" t="s">
        <v>85</v>
      </c>
      <c r="B69" s="0" t="n">
        <f aca="false">MAX(Table!E1:E12,Inputs!$B$1)</f>
        <v>1.5</v>
      </c>
    </row>
    <row r="70" customFormat="false" ht="15" hidden="false" customHeight="false" outlineLevel="0" collapsed="false">
      <c r="A70" s="0" t="s">
        <v>86</v>
      </c>
      <c r="B70" s="0" t="n">
        <f aca="false">MEDIAN(Table!E1:E12)</f>
        <v>0</v>
      </c>
    </row>
    <row r="71" customFormat="false" ht="15" hidden="false" customHeight="false" outlineLevel="0" collapsed="false">
      <c r="A71" s="0" t="s">
        <v>87</v>
      </c>
      <c r="B71" s="0" t="n">
        <f aca="false">PERCENTILE(Table!B1:B12,Inputs!$B$15)</f>
        <v>18.25</v>
      </c>
    </row>
    <row r="72" customFormat="false" ht="15" hidden="false" customHeight="false" outlineLevel="0" collapsed="false">
      <c r="A72" s="0" t="s">
        <v>88</v>
      </c>
      <c r="B72" s="0" t="n">
        <f aca="false">STDEV(Table!B1:B12)</f>
        <v>36.0555127546399</v>
      </c>
    </row>
    <row r="73" customFormat="false" ht="15" hidden="false" customHeight="false" outlineLevel="0" collapsed="false">
      <c r="A73" s="0" t="s">
        <v>89</v>
      </c>
      <c r="B73" s="0" t="n">
        <f aca="false">(1+Inputs!$B$5)^-Inputs!$B$2</f>
        <v>0.868062574839444</v>
      </c>
    </row>
    <row r="74" customFormat="false" ht="15" hidden="false" customHeight="false" outlineLevel="0" collapsed="false">
      <c r="A74" s="0" t="s">
        <v>90</v>
      </c>
      <c r="B74" s="0" t="n">
        <f aca="false">(1+Inputs!$B$5)^(Inputs!$B$6/4)</f>
        <v>1.12972632194705</v>
      </c>
    </row>
    <row r="75" customFormat="false" ht="15" hidden="false" customHeight="false" outlineLevel="0" collapsed="false">
      <c r="A75" s="0" t="s">
        <v>91</v>
      </c>
      <c r="B75" s="0" t="n">
        <f aca="false">-Inputs!$B$11^2</f>
        <v>9</v>
      </c>
    </row>
    <row r="76" customFormat="false" ht="15" hidden="false" customHeight="false" outlineLevel="0" collapsed="false">
      <c r="A76" s="0" t="s">
        <v>92</v>
      </c>
      <c r="B76" s="0" t="n">
        <f aca="false">ABS(Inputs!$B$1)</f>
        <v>1.25</v>
      </c>
    </row>
    <row r="77" customFormat="false" ht="15" hidden="false" customHeight="false" outlineLevel="0" collapsed="false">
      <c r="A77" s="0" t="s">
        <v>93</v>
      </c>
      <c r="B77" s="0" t="n">
        <f aca="false">SIGN(Inputs!$B$1)</f>
        <v>-1</v>
      </c>
    </row>
    <row r="78" customFormat="false" ht="15" hidden="false" customHeight="false" outlineLevel="0" collapsed="false">
      <c r="A78" s="0" t="s">
        <v>94</v>
      </c>
      <c r="B78" s="0" t="n">
        <f aca="false">LN(1+Inputs!$B$5)</f>
        <v>0.0487901641694321</v>
      </c>
    </row>
    <row r="79" customFormat="false" ht="15" hidden="false" customHeight="false" outlineLevel="0" collapsed="false">
      <c r="A79" s="0" t="s">
        <v>95</v>
      </c>
      <c r="B79" s="0" t="n">
        <f aca="false">EXP(Inputs!$B$5)</f>
        <v>1.05127109637602</v>
      </c>
    </row>
    <row r="80" customFormat="false" ht="15" hidden="false" customHeight="false" outlineLevel="0" collapsed="false">
      <c r="A80" s="0" t="s">
        <v>96</v>
      </c>
      <c r="B80" s="0" t="n">
        <f aca="false">SQRT(Inputs!$B$9)</f>
        <v>1.58113883008419</v>
      </c>
    </row>
    <row r="81" customFormat="false" ht="15" hidden="false" customHeight="false" outlineLevel="0" collapsed="false">
      <c r="A81" s="0" t="s">
        <v>97</v>
      </c>
      <c r="B81" s="0" t="n">
        <f aca="false">IFERROR(1/Inputs!$B$12,-1)</f>
        <v>-1</v>
      </c>
    </row>
    <row r="82" customFormat="false" ht="15" hidden="false" customHeight="false" outlineLevel="0" collapsed="false">
      <c r="A82" s="0" t="s">
        <v>98</v>
      </c>
      <c r="B82" s="0" t="n">
        <f aca="false">IF(AND(Inputs!$B$2&gt;2,Inputs!$B$1&lt;0),1,0)</f>
        <v>1</v>
      </c>
    </row>
    <row r="83" customFormat="false" ht="15" hidden="false" customHeight="false" outlineLevel="0" collapsed="false">
      <c r="A83" s="0" t="s">
        <v>99</v>
      </c>
      <c r="B83" s="0" t="n">
        <f aca="false">IF(OR(Inputs!$B$2&gt;3,Inputs!$B$1&lt;0),1,0)</f>
        <v>1</v>
      </c>
    </row>
    <row r="84" customFormat="false" ht="15" hidden="false" customHeight="false" outlineLevel="0" collapsed="false">
      <c r="A84" s="0" t="s">
        <v>100</v>
      </c>
      <c r="B84" s="0" t="str">
        <f aca="false">IF(Inputs!$B$2&gt;2,"yes","no")</f>
        <v>yes</v>
      </c>
    </row>
    <row r="85" customFormat="false" ht="15" hidden="false" customHeight="false" outlineLevel="0" collapsed="false">
      <c r="A85" s="0" t="s">
        <v>101</v>
      </c>
      <c r="B85" s="0" t="str">
        <f aca="false">TEXT(Inputs!$B$5,"0.0%")</f>
        <v>5.0%</v>
      </c>
    </row>
    <row r="86" customFormat="false" ht="15" hidden="false" customHeight="false" outlineLevel="0" collapsed="false">
      <c r="A86" s="0" t="s">
        <v>102</v>
      </c>
      <c r="B86" s="0" t="str">
        <f aca="false">LEFT("abcdef",Inputs!$B$2)</f>
        <v>ab</v>
      </c>
    </row>
    <row r="87" customFormat="false" ht="15" hidden="false" customHeight="false" outlineLevel="0" collapsed="false">
      <c r="A87" s="0" t="s">
        <v>103</v>
      </c>
      <c r="B87" s="0" t="str">
        <f aca="false">MID("abcdef",Inputs!$B$2,2)</f>
        <v>bc</v>
      </c>
    </row>
    <row r="88" customFormat="false" ht="15" hidden="false" customHeight="false" outlineLevel="0" collapsed="false">
      <c r="A88" s="0" t="s">
        <v>104</v>
      </c>
      <c r="B88" s="0" t="n">
        <f aca="false">LEN("abc"&amp;Inputs!$B$11)</f>
        <v>4</v>
      </c>
    </row>
    <row r="89" customFormat="false" ht="15" hidden="false" customHeight="false" outlineLevel="0" collapsed="false">
      <c r="A89" s="0" t="s">
        <v>105</v>
      </c>
      <c r="B89" s="0" t="n">
        <f aca="false">VALUE("1.5")*Inputs!$B$11</f>
        <v>4.5</v>
      </c>
    </row>
    <row r="90" customFormat="false" ht="15" hidden="false" customHeight="false" outlineLevel="0" collapsed="false">
      <c r="A90" s="0" t="s">
        <v>106</v>
      </c>
      <c r="B90" s="0" t="str">
        <f aca="false">CONCATENATE("Q",Inputs!$B$11)</f>
        <v>Q3</v>
      </c>
    </row>
    <row r="91" customFormat="false" ht="15" hidden="false" customHeight="false" outlineLevel="0" collapsed="false">
      <c r="A91" s="0" t="s">
        <v>107</v>
      </c>
      <c r="B91" s="0" t="n">
        <f aca="false">ROUND(Inputs!$B$15*100,1)</f>
        <v>7.5</v>
      </c>
    </row>
    <row r="92" customFormat="false" ht="15" hidden="false" customHeight="false" outlineLevel="0" collapsed="false">
      <c r="A92" s="0" t="s">
        <v>108</v>
      </c>
      <c r="B92" s="0" t="n">
        <f aca="false">SUM((Inputs!$B$2&gt;2)*Inputs!$B$11)</f>
        <v>3</v>
      </c>
    </row>
    <row r="93" customFormat="false" ht="15" hidden="false" customHeight="false" outlineLevel="0" collapsed="false">
      <c r="A93" s="0" t="s">
        <v>109</v>
      </c>
      <c r="B93" s="0" t="n">
        <f aca="false">IF(0.1+0.2=0.3,1,0)</f>
        <v>1</v>
      </c>
    </row>
    <row r="94" customFormat="false" ht="15" hidden="false" customHeight="false" outlineLevel="0" collapsed="false">
      <c r="A94" s="0" t="s">
        <v>110</v>
      </c>
      <c r="B94" s="0" t="n">
        <f aca="false">ODD(Inputs!$B$1)</f>
        <v>-3</v>
      </c>
    </row>
    <row r="95" customFormat="false" ht="15" hidden="false" customHeight="false" outlineLevel="0" collapsed="false">
      <c r="A95" s="0" t="s">
        <v>111</v>
      </c>
      <c r="B95" s="0" t="n">
        <f aca="false">EVEN(Inputs!$B$2)</f>
        <v>4</v>
      </c>
    </row>
    <row r="96" customFormat="false" ht="15" hidden="false" customHeight="false" outlineLevel="0" collapsed="false">
      <c r="A96" s="0" t="s">
        <v>112</v>
      </c>
      <c r="B96" s="0" t="n">
        <f aca="false">FACT(Inputs!$B$2)</f>
        <v>2</v>
      </c>
    </row>
    <row r="97" customFormat="false" ht="15" hidden="false" customHeight="false" outlineLevel="0" collapsed="false">
      <c r="A97" s="0" t="s">
        <v>113</v>
      </c>
      <c r="B97" s="0" t="n">
        <f aca="false">COMBIN(5,Inputs!$B$2)</f>
        <v>10</v>
      </c>
    </row>
    <row r="98" customFormat="false" ht="15" hidden="false" customHeight="false" outlineLevel="0" collapsed="false">
      <c r="A98" s="0" t="s">
        <v>114</v>
      </c>
      <c r="B98" s="0" t="n">
        <f aca="false">_xlfn.NORM.DIST(Inputs!$B$2,2,1,TRUE())</f>
        <v>0.815939874653241</v>
      </c>
    </row>
    <row r="99" customFormat="false" ht="15" hidden="false" customHeight="false" outlineLevel="0" collapsed="false">
      <c r="A99" s="0" t="s">
        <v>115</v>
      </c>
      <c r="B99" s="0" t="n">
        <f aca="false">_xlfn.MAXIFS(Table!B1:B12,Table!E1:E12,"&lt;0")</f>
        <v>120</v>
      </c>
    </row>
    <row r="100" customFormat="false" ht="15" hidden="false" customHeight="false" outlineLevel="0" collapsed="false">
      <c r="A100" s="0" t="s">
        <v>116</v>
      </c>
      <c r="B100" s="0" t="n">
        <f aca="false">_xlfn.MINIFS(Table!B1:B12,Table!E1:E12,"&gt;0")</f>
        <v>20</v>
      </c>
    </row>
    <row r="101" customFormat="false" ht="15" hidden="false" customHeight="false" outlineLevel="0" collapsed="false">
      <c r="A101" s="0" t="s">
        <v>117</v>
      </c>
      <c r="B101" s="0" t="n">
        <f aca="false">COUNTA(Table!D1:D12)</f>
        <v>12</v>
      </c>
    </row>
    <row r="102" customFormat="false" ht="15" hidden="false" customHeight="false" outlineLevel="0" collapsed="false">
      <c r="A102" s="0" t="s">
        <v>118</v>
      </c>
      <c r="B102" s="0" t="n">
        <f aca="false">COUNT(Table!A1:D12)</f>
        <v>36</v>
      </c>
    </row>
    <row r="103" customFormat="false" ht="15" hidden="false" customHeight="false" outlineLevel="0" collapsed="false">
      <c r="A103" s="0" t="s">
        <v>119</v>
      </c>
      <c r="B103" s="0" t="n">
        <f aca="false">IF(ISNUMBER(Table!D1),1,0)</f>
        <v>0</v>
      </c>
    </row>
    <row r="104" customFormat="false" ht="15" hidden="false" customHeight="false" outlineLevel="0" collapsed="false">
      <c r="A104" s="0" t="s">
        <v>120</v>
      </c>
      <c r="B104" s="0" t="n">
        <f aca="false">IF(ISBLANK(Table!F1),1,0)</f>
        <v>1</v>
      </c>
    </row>
    <row r="105" customFormat="false" ht="15" hidden="false" customHeight="false" outlineLevel="0" collapsed="false">
      <c r="A105" s="0" t="s">
        <v>121</v>
      </c>
      <c r="B105" s="0" t="n">
        <f aca="false">SUM(Table!D1:D12)</f>
        <v>0</v>
      </c>
    </row>
    <row r="106" customFormat="false" ht="15" hidden="false" customHeight="false" outlineLevel="0" collapsed="false">
      <c r="A106" s="0" t="s">
        <v>122</v>
      </c>
      <c r="B106" s="0" t="n">
        <f aca="false">AVERAGE(Table!C1:D12)</f>
        <v>45195</v>
      </c>
    </row>
    <row r="107" customFormat="false" ht="15" hidden="false" customHeight="false" outlineLevel="0" collapsed="false">
      <c r="A107" s="0" t="s">
        <v>123</v>
      </c>
      <c r="B107" s="3" t="n">
        <f aca="false">IRR(Table!E1:E12,-0.5)</f>
        <v>8.26639111431223E-017</v>
      </c>
    </row>
    <row r="108" customFormat="false" ht="15" hidden="false" customHeight="false" outlineLevel="0" collapsed="false">
      <c r="A108" s="0" t="s">
        <v>124</v>
      </c>
      <c r="B108" s="2" t="n">
        <f aca="false">NPV(-Inputs!$B$5,Table!E1:E12)</f>
        <v>-0.240462394090103</v>
      </c>
    </row>
    <row r="109" customFormat="false" ht="15" hidden="false" customHeight="false" outlineLevel="0" collapsed="false">
      <c r="A109" s="0" t="s">
        <v>125</v>
      </c>
      <c r="B109" s="2" t="n">
        <f aca="false">DB(1000,100,Inputs!$B$6,1)</f>
        <v>206</v>
      </c>
    </row>
    <row r="110" customFormat="false" ht="15" hidden="false" customHeight="false" outlineLevel="0" collapsed="false">
      <c r="A110" s="0" t="s">
        <v>126</v>
      </c>
      <c r="B110" s="2" t="n">
        <f aca="false">SLN(1000,100,Inputs!$B$6)</f>
        <v>90</v>
      </c>
    </row>
    <row r="111" customFormat="false" ht="15" hidden="false" customHeight="false" outlineLevel="0" collapsed="false">
      <c r="A111" s="0" t="s">
        <v>127</v>
      </c>
      <c r="B111" s="3" t="n">
        <f aca="false">EFFECT(Inputs!$B$5,12)</f>
        <v>0.051161897881733</v>
      </c>
    </row>
    <row r="112" customFormat="false" ht="15" hidden="false" customHeight="false" outlineLevel="0" collapsed="false">
      <c r="A112" s="0" t="s">
        <v>128</v>
      </c>
      <c r="B112" s="3" t="n">
        <f aca="false">NOMINAL(Inputs!$B$5,12)</f>
        <v>0.0488894854037802</v>
      </c>
    </row>
    <row r="113" customFormat="false" ht="15" hidden="false" customHeight="false" outlineLevel="0" collapsed="false">
      <c r="A113" s="0" t="s">
        <v>129</v>
      </c>
      <c r="B113" s="0" t="n">
        <f aca="false">ROUND(Inputs!$B$13,Inputs!$B$1)</f>
        <v>1230</v>
      </c>
    </row>
    <row r="114" customFormat="false" ht="15" hidden="false" customHeight="false" outlineLevel="0" collapsed="false">
      <c r="A114" s="0" t="s">
        <v>130</v>
      </c>
      <c r="B114" s="0" t="n">
        <f aca="false">TRUNC(Inputs!$B$13,1)</f>
        <v>1234.5</v>
      </c>
    </row>
    <row r="115" customFormat="false" ht="15" hidden="false" customHeight="false" outlineLevel="0" collapsed="false">
      <c r="A115" s="0" t="s">
        <v>131</v>
      </c>
      <c r="B115" s="0" t="n">
        <f aca="false">INT(-Inputs!$B$13)</f>
        <v>-1235</v>
      </c>
    </row>
    <row r="116" customFormat="false" ht="15" hidden="false" customHeight="false" outlineLevel="0" collapsed="false">
      <c r="A116" s="0" t="s">
        <v>132</v>
      </c>
      <c r="B116" s="0" t="n">
        <f aca="false">MOD(Inputs!$B$13,Inputs!$B$2)</f>
        <v>2.06780000000003</v>
      </c>
    </row>
    <row r="117" customFormat="false" ht="15" hidden="false" customHeight="false" outlineLevel="0" collapsed="false">
      <c r="A117" s="0" t="s">
        <v>133</v>
      </c>
      <c r="B117" s="0" t="n">
        <f aca="false">EOMONTH(EDATE(Inputs!$B$4,Inputs!$B$11),-1)+1</f>
        <v>45383</v>
      </c>
    </row>
    <row r="118" customFormat="false" ht="15" hidden="false" customHeight="false" outlineLevel="0" collapsed="false">
      <c r="A118" s="0" t="s">
        <v>134</v>
      </c>
      <c r="B118" s="0" t="str">
        <f aca="false">CHOOSE(MONTH(Inputs!$B$4),"J","F","M","A","M","J","J","A","S","O","N","D")</f>
        <v>J</v>
      </c>
    </row>
    <row r="119" customFormat="false" ht="15" hidden="false" customHeight="false" outlineLevel="0" collapsed="false">
      <c r="A119" s="0" t="s">
        <v>135</v>
      </c>
      <c r="B119" s="0" t="n">
        <f aca="false">ROW(Table!B5)+Inputs!$B$11</f>
        <v>8</v>
      </c>
    </row>
    <row r="120" customFormat="false" ht="15" hidden="false" customHeight="false" outlineLevel="0" collapsed="false">
      <c r="A120" s="0" t="s">
        <v>136</v>
      </c>
      <c r="B120" s="0" t="n">
        <f aca="false">COLUMN(Table!C5)*Inputs!$B$11</f>
        <v>9</v>
      </c>
    </row>
    <row r="121" customFormat="false" ht="15" hidden="false" customHeight="false" outlineLevel="0" collapsed="false">
      <c r="A121" s="0" t="s">
        <v>137</v>
      </c>
      <c r="B121" s="0" t="n">
        <f aca="false">ROWS(Table!A1:A12)</f>
        <v>12</v>
      </c>
    </row>
    <row r="122" customFormat="false" ht="15" hidden="false" customHeight="false" outlineLevel="0" collapsed="false">
      <c r="A122" s="0" t="s">
        <v>138</v>
      </c>
      <c r="B122" s="0" t="n">
        <f aca="false">COLUMNS(Table!A1:E1)</f>
        <v>5</v>
      </c>
    </row>
    <row r="123" customFormat="false" ht="15" hidden="false" customHeight="false" outlineLevel="0" collapsed="false">
      <c r="A123" s="0" t="s">
        <v>139</v>
      </c>
      <c r="B123" s="0" t="n">
        <f aca="false">COUNTIFS(Table!A1:A12,"&gt;"&amp;Inputs!$B$2,Table!E1:E12,"&lt;0")</f>
        <v>5</v>
      </c>
    </row>
    <row r="124" customFormat="false" ht="15" hidden="false" customHeight="false" outlineLevel="0" collapsed="false">
      <c r="A124" s="0" t="s">
        <v>140</v>
      </c>
      <c r="B124" s="0" t="n">
        <f aca="false">IF(ISERROR(1/Inputs!$B$12),1,0)</f>
        <v>1</v>
      </c>
    </row>
    <row r="125" customFormat="false" ht="15" hidden="false" customHeight="false" outlineLevel="0" collapsed="false">
      <c r="A125" s="0" t="s">
        <v>141</v>
      </c>
      <c r="B125" s="0" t="n">
        <f aca="false">_xlfn.IFNA(MATCH(99,Table!A1:A12,0),-1)</f>
        <v>-1</v>
      </c>
    </row>
    <row r="126" customFormat="false" ht="15" hidden="false" customHeight="false" outlineLevel="0" collapsed="false">
      <c r="A126" s="0" t="s">
        <v>142</v>
      </c>
      <c r="B126" s="0" t="n">
        <f aca="false">IF(ISNA(MATCH(99,Table!A1:A12,0)),1,0)</f>
        <v>1</v>
      </c>
    </row>
    <row r="127" customFormat="false" ht="15" hidden="false" customHeight="false" outlineLevel="0" collapsed="false">
      <c r="A127" s="0" t="s">
        <v>143</v>
      </c>
      <c r="B127" s="0" t="n">
        <f aca="false">IF(NOT(Inputs!$B$2&gt;3),1,0)</f>
        <v>1</v>
      </c>
    </row>
    <row r="128" customFormat="false" ht="15" hidden="false" customHeight="false" outlineLevel="0" collapsed="false">
      <c r="A128" s="0" t="s">
        <v>144</v>
      </c>
      <c r="B128" s="0" t="n">
        <f aca="false">LARGE(Table!B1:B12,Inputs!$B$11)</f>
        <v>100</v>
      </c>
    </row>
    <row r="129" customFormat="false" ht="15" hidden="false" customHeight="false" outlineLevel="0" collapsed="false">
      <c r="A129" s="0" t="s">
        <v>145</v>
      </c>
      <c r="B129" s="0" t="n">
        <f aca="false">SMALL(Table!E1:E12,Inputs!$B$11)</f>
        <v>-1.5</v>
      </c>
    </row>
    <row r="130" customFormat="false" ht="15" hidden="false" customHeight="false" outlineLevel="0" collapsed="false">
      <c r="A130" s="0" t="s">
        <v>146</v>
      </c>
      <c r="B130" s="0" t="n">
        <f aca="false">_xlfn.RANK.EQ(Table!B4,Table!B1:B12)</f>
        <v>9</v>
      </c>
    </row>
    <row r="131" customFormat="false" ht="15" hidden="false" customHeight="false" outlineLevel="0" collapsed="false">
      <c r="A131" s="0" t="s">
        <v>147</v>
      </c>
      <c r="B131" s="0" t="str">
        <f aca="false">_xlfn.SWITCH(Inputs!$B$11,1,"a",3,"c","z")</f>
        <v>c</v>
      </c>
    </row>
    <row r="132" customFormat="false" ht="15" hidden="false" customHeight="false" outlineLevel="0" collapsed="false">
      <c r="A132" s="0" t="s">
        <v>148</v>
      </c>
      <c r="B132" s="0" t="n">
        <f aca="false">IF(ISTEXT(Table!D1),1,0)</f>
        <v>1</v>
      </c>
    </row>
    <row r="133" customFormat="false" ht="15" hidden="false" customHeight="false" outlineLevel="0" collapsed="false">
      <c r="A133" s="0" t="s">
        <v>149</v>
      </c>
      <c r="B133" s="0" t="str">
        <f aca="false">UPPER(Table!D2)</f>
        <v>K2</v>
      </c>
    </row>
    <row r="134" customFormat="false" ht="15" hidden="false" customHeight="false" outlineLevel="0" collapsed="false">
      <c r="A134" s="0" t="s">
        <v>150</v>
      </c>
      <c r="B134" s="0" t="str">
        <f aca="false">LOWER("AB"&amp;Inputs!$B$11)</f>
        <v>ab3</v>
      </c>
    </row>
    <row r="135" customFormat="false" ht="15" hidden="false" customHeight="false" outlineLevel="0" collapsed="false">
      <c r="A135" s="0" t="s">
        <v>151</v>
      </c>
      <c r="B135" s="0" t="str">
        <f aca="false">TRIM("  a  b ")</f>
        <v>a b</v>
      </c>
    </row>
    <row r="136" customFormat="false" ht="15" hidden="false" customHeight="false" outlineLevel="0" collapsed="false">
      <c r="A136" s="0" t="s">
        <v>152</v>
      </c>
      <c r="B136" s="0" t="n">
        <f aca="false">FIND("c","abcabc",Inputs!$B$2)</f>
        <v>3</v>
      </c>
    </row>
    <row r="137" customFormat="false" ht="15" hidden="false" customHeight="false" outlineLevel="0" collapsed="false">
      <c r="A137" s="0" t="s">
        <v>153</v>
      </c>
      <c r="B137" s="0" t="n">
        <f aca="false">SEARCH("C","abcabc")</f>
        <v>3</v>
      </c>
    </row>
    <row r="138" customFormat="false" ht="15" hidden="false" customHeight="false" outlineLevel="0" collapsed="false">
      <c r="A138" s="0" t="s">
        <v>154</v>
      </c>
      <c r="B138" s="0" t="str">
        <f aca="false">RIGHT("abcdef",Inputs!$B$2)</f>
        <v>ef</v>
      </c>
    </row>
    <row r="139" customFormat="false" ht="15" hidden="false" customHeight="false" outlineLevel="0" collapsed="false">
      <c r="A139" s="0" t="s">
        <v>155</v>
      </c>
      <c r="B139" s="0" t="str">
        <f aca="false">REPLACE("abcdef",2,Inputs!$B$2,"X")</f>
        <v>aXdef</v>
      </c>
    </row>
    <row r="140" customFormat="false" ht="15" hidden="false" customHeight="false" outlineLevel="0" collapsed="false">
      <c r="A140" s="0" t="s">
        <v>156</v>
      </c>
      <c r="B140" s="0" t="n">
        <f aca="false">_xlfn.CEILING.MATH(Inputs!$B$1)</f>
        <v>-1</v>
      </c>
    </row>
    <row r="141" customFormat="false" ht="15" hidden="false" customHeight="false" outlineLevel="0" collapsed="false">
      <c r="A141" s="0" t="s">
        <v>157</v>
      </c>
      <c r="B141" s="0" t="n">
        <f aca="false">_xlfn.FLOOR.MATH(Inputs!$B$1)</f>
        <v>-2</v>
      </c>
    </row>
    <row r="142" customFormat="false" ht="15" hidden="false" customHeight="false" outlineLevel="0" collapsed="false">
      <c r="A142" s="0" t="s">
        <v>158</v>
      </c>
      <c r="B142" s="0" t="n">
        <f aca="false">PRODUCT(Inputs!$B$2,Inputs!$B$11,Inputs!$B$1)</f>
        <v>-10.875</v>
      </c>
    </row>
    <row r="143" customFormat="false" ht="15" hidden="false" customHeight="false" outlineLevel="0" collapsed="false">
      <c r="A143" s="0" t="s">
        <v>159</v>
      </c>
      <c r="B143" s="0" t="n">
        <f aca="false">SUMSQ(Inputs!$B$2,Inputs!$B$11)</f>
        <v>17.41</v>
      </c>
    </row>
    <row r="144" customFormat="false" ht="15" hidden="false" customHeight="false" outlineLevel="0" collapsed="false">
      <c r="A144" s="0" t="s">
        <v>160</v>
      </c>
      <c r="B144" s="0" t="n">
        <f aca="false">COUNTBLANK(Table!F1:F12)</f>
        <v>12</v>
      </c>
    </row>
    <row r="145" customFormat="false" ht="15" hidden="false" customHeight="false" outlineLevel="0" collapsed="false">
      <c r="A145" s="0" t="s">
        <v>161</v>
      </c>
      <c r="B145" s="3" t="n">
        <f aca="false">MIRR(Table!E1:E12,Inputs!$B$5,Inputs!$B$15)</f>
        <v>0.0655215131498195</v>
      </c>
    </row>
    <row r="146" customFormat="false" ht="15" hidden="false" customHeight="false" outlineLevel="0" collapsed="false">
      <c r="A146" s="0" t="s">
        <v>162</v>
      </c>
      <c r="B146" s="0" t="n">
        <f aca="false">DATEVALUE("2024-03-15")</f>
        <v>45366</v>
      </c>
    </row>
    <row r="147" customFormat="false" ht="15" hidden="false" customHeight="false" outlineLevel="0" collapsed="false">
      <c r="A147" s="0" t="s">
        <v>163</v>
      </c>
      <c r="B147" s="0" t="n">
        <f aca="false">AVERAGEIFS(Table!B1:B12,Table!A1:A12,"&gt;"&amp;Inputs!$B$2)</f>
        <v>75</v>
      </c>
    </row>
    <row r="148" customFormat="false" ht="15" hidden="false" customHeight="false" outlineLevel="0" collapsed="false">
      <c r="A148" s="0" t="s">
        <v>164</v>
      </c>
      <c r="B148" s="0" t="n">
        <f aca="false">SUMIF(Table!D1:D12,"k1*",Table!B1:B12)</f>
        <v>340</v>
      </c>
    </row>
    <row r="149" customFormat="false" ht="15" hidden="false" customHeight="false" outlineLevel="0" collapsed="false">
      <c r="A149" s="0" t="s">
        <v>165</v>
      </c>
      <c r="B149" s="0" t="n">
        <f aca="false">COUNTIF(Table!D1:D12,"k?")</f>
        <v>9</v>
      </c>
    </row>
    <row r="150" customFormat="false" ht="15" hidden="false" customHeight="false" outlineLevel="0" collapsed="false">
      <c r="A150" s="0" t="s">
        <v>166</v>
      </c>
      <c r="B150" s="0" t="n">
        <f aca="false">ROUND(-0.5,0)</f>
        <v>-1</v>
      </c>
    </row>
    <row r="151" customFormat="false" ht="15" hidden="false" customHeight="false" outlineLevel="0" collapsed="false">
      <c r="A151" s="0" t="s">
        <v>167</v>
      </c>
      <c r="B151" s="0" t="n">
        <f aca="false">MOD(Inputs!$B$13*1000,7)</f>
        <v>5.80000000004657</v>
      </c>
    </row>
    <row r="152" customFormat="false" ht="15" hidden="false" customHeight="false" outlineLevel="0" collapsed="false">
      <c r="A152" s="0" t="s">
        <v>168</v>
      </c>
      <c r="B152" s="0" t="n">
        <f aca="false">(1+IRR(Table!E1:E12))^12-1</f>
        <v>0</v>
      </c>
    </row>
    <row r="153" customFormat="false" ht="15" hidden="false" customHeight="false" outlineLevel="0" collapsed="false">
      <c r="A153" s="0" t="s">
        <v>169</v>
      </c>
      <c r="B153" s="0" t="n">
        <f aca="false">XIRR(Table!E1:E12,Table!C1:C12,0.1)</f>
        <v>-9.98085794458215E-016</v>
      </c>
    </row>
    <row r="154" customFormat="false" ht="15" hidden="false" customHeight="false" outlineLevel="0" collapsed="false">
      <c r="A154" s="0" t="s">
        <v>170</v>
      </c>
      <c r="B154" s="0" t="n">
        <f aca="false">EOMONTH(Inputs!$B$4,-13)</f>
        <v>44926</v>
      </c>
    </row>
    <row r="155" customFormat="false" ht="15" hidden="false" customHeight="false" outlineLevel="0" collapsed="false">
      <c r="A155" s="0" t="s">
        <v>171</v>
      </c>
      <c r="B155" s="0" t="n">
        <f aca="false">EDATE(Inputs!$B$4,-Inputs!$B$11)</f>
        <v>45230</v>
      </c>
    </row>
    <row r="156" customFormat="false" ht="15" hidden="false" customHeight="false" outlineLevel="0" collapsed="false">
      <c r="A156" s="0" t="s">
        <v>172</v>
      </c>
      <c r="B156" s="1" t="n">
        <f aca="false">DATE(2024,-Inputs!$B$11,15)</f>
        <v>45184</v>
      </c>
    </row>
    <row r="157" customFormat="false" ht="15" hidden="false" customHeight="false" outlineLevel="0" collapsed="false">
      <c r="A157" s="0" t="s">
        <v>173</v>
      </c>
      <c r="B157" s="0" t="n">
        <f aca="false">YEARFRAC(Inputs!$B$4,Inputs!$B$14,4)</f>
        <v>0.491666666666667</v>
      </c>
    </row>
    <row r="158" customFormat="false" ht="15" hidden="false" customHeight="false" outlineLevel="0" collapsed="false">
      <c r="A158" s="0" t="s">
        <v>174</v>
      </c>
      <c r="B158" s="0" t="str">
        <f aca="false">TEXT(Inputs!$B$4,"mmm-yy")</f>
        <v>Jan-24</v>
      </c>
    </row>
    <row r="159" customFormat="false" ht="15" hidden="false" customHeight="false" outlineLevel="0" collapsed="false">
      <c r="A159" s="0" t="s">
        <v>175</v>
      </c>
      <c r="B159" s="0" t="str">
        <f aca="false">TEXT(Inputs!$B$13*1000,"#,##0")</f>
        <v>1,234,568</v>
      </c>
    </row>
    <row r="160" customFormat="false" ht="15" hidden="false" customHeight="false" outlineLevel="0" collapsed="false">
      <c r="A160" s="0" t="s">
        <v>176</v>
      </c>
      <c r="B160" s="0" t="str">
        <f aca="false">TEXT(Inputs!$B$15,"0%")</f>
        <v>8%</v>
      </c>
    </row>
    <row r="161" customFormat="false" ht="15" hidden="false" customHeight="false" outlineLevel="0" collapsed="false">
      <c r="A161" s="0" t="s">
        <v>177</v>
      </c>
      <c r="B161" s="0" t="n">
        <f aca="false">YEAR(Inputs!$B$16)</f>
        <v>2036</v>
      </c>
    </row>
    <row r="162" customFormat="false" ht="15" hidden="false" customHeight="false" outlineLevel="0" collapsed="false">
      <c r="A162" s="0" t="s">
        <v>178</v>
      </c>
      <c r="B162" s="0" t="n">
        <f aca="false">MONTH(Inputs!$B$16)</f>
        <v>12</v>
      </c>
    </row>
    <row r="163" customFormat="false" ht="15" hidden="false" customHeight="false" outlineLevel="0" collapsed="false">
      <c r="A163" s="0" t="s">
        <v>179</v>
      </c>
      <c r="B163" s="0" t="n">
        <f aca="false">DAY(Inputs!$B$16)</f>
        <v>31</v>
      </c>
    </row>
    <row r="164" customFormat="false" ht="15" hidden="false" customHeight="false" outlineLevel="0" collapsed="false">
      <c r="A164" s="0" t="s">
        <v>180</v>
      </c>
      <c r="B164" s="0" t="n">
        <f aca="false">EOMONTH(Inputs!$B$16,0)</f>
        <v>50040</v>
      </c>
    </row>
    <row r="165" customFormat="false" ht="15" hidden="false" customHeight="false" outlineLevel="0" collapsed="false">
      <c r="A165" s="0" t="s">
        <v>181</v>
      </c>
      <c r="B165" s="0" t="n">
        <f aca="false">DAYS360(Inputs!$B$16-30,Inputs!$B$16)</f>
        <v>30</v>
      </c>
    </row>
    <row r="166" customFormat="false" ht="15" hidden="false" customHeight="false" outlineLevel="0" collapsed="false">
      <c r="A166" s="0" t="s">
        <v>182</v>
      </c>
      <c r="B166" s="0" t="n">
        <f aca="false">DATEDIF(Inputs!$B$16-365*33,Inputs!$B$16,"y")</f>
        <v>32</v>
      </c>
    </row>
    <row r="167" customFormat="false" ht="15" hidden="false" customHeight="false" outlineLevel="0" collapsed="false">
      <c r="A167" s="0" t="s">
        <v>183</v>
      </c>
      <c r="B167" s="0" t="n">
        <f aca="true">SUM(OFFSET(Table!B12,-Inputs!$B$17,0,1,1))</f>
        <v>100</v>
      </c>
    </row>
    <row r="168" customFormat="false" ht="15" hidden="false" customHeight="false" outlineLevel="0" collapsed="false">
      <c r="A168" s="0" t="s">
        <v>184</v>
      </c>
      <c r="B168" s="0" t="n">
        <f aca="true">OFFSET(Table!E1,0,-Inputs!$B$17)</f>
        <v>45030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10</v>
      </c>
      <c r="C1" s="0" t="n">
        <v>45030</v>
      </c>
      <c r="D1" s="0" t="s">
        <v>185</v>
      </c>
      <c r="E1" s="0" t="n">
        <v>-0.5</v>
      </c>
    </row>
    <row r="2" customFormat="false" ht="15" hidden="false" customHeight="false" outlineLevel="0" collapsed="false">
      <c r="A2" s="0" t="n">
        <v>2</v>
      </c>
      <c r="B2" s="0" t="n">
        <v>20</v>
      </c>
      <c r="C2" s="0" t="n">
        <v>45060</v>
      </c>
      <c r="D2" s="0" t="s">
        <v>186</v>
      </c>
      <c r="E2" s="0" t="n">
        <v>0.5</v>
      </c>
    </row>
    <row r="3" customFormat="false" ht="15" hidden="false" customHeight="false" outlineLevel="0" collapsed="false">
      <c r="A3" s="0" t="n">
        <v>3</v>
      </c>
      <c r="B3" s="0" t="n">
        <v>30</v>
      </c>
      <c r="C3" s="0" t="n">
        <v>45090</v>
      </c>
      <c r="D3" s="0" t="s">
        <v>187</v>
      </c>
      <c r="E3" s="0" t="n">
        <v>1.5</v>
      </c>
    </row>
    <row r="4" customFormat="false" ht="15" hidden="false" customHeight="false" outlineLevel="0" collapsed="false">
      <c r="A4" s="0" t="n">
        <v>4</v>
      </c>
      <c r="B4" s="0" t="n">
        <v>40</v>
      </c>
      <c r="C4" s="0" t="n">
        <v>45120</v>
      </c>
      <c r="D4" s="0" t="s">
        <v>188</v>
      </c>
      <c r="E4" s="0" t="n">
        <v>-1.5</v>
      </c>
    </row>
    <row r="5" customFormat="false" ht="15" hidden="false" customHeight="false" outlineLevel="0" collapsed="false">
      <c r="A5" s="0" t="n">
        <v>5</v>
      </c>
      <c r="B5" s="0" t="n">
        <v>50</v>
      </c>
      <c r="C5" s="0" t="n">
        <v>45150</v>
      </c>
      <c r="D5" s="0" t="s">
        <v>189</v>
      </c>
      <c r="E5" s="0" t="n">
        <v>-0.5</v>
      </c>
    </row>
    <row r="6" customFormat="false" ht="15" hidden="false" customHeight="false" outlineLevel="0" collapsed="false">
      <c r="A6" s="0" t="n">
        <v>6</v>
      </c>
      <c r="B6" s="0" t="n">
        <v>60</v>
      </c>
      <c r="C6" s="0" t="n">
        <v>45180</v>
      </c>
      <c r="D6" s="0" t="s">
        <v>190</v>
      </c>
      <c r="E6" s="0" t="n">
        <v>0.5</v>
      </c>
    </row>
    <row r="7" customFormat="false" ht="15" hidden="false" customHeight="false" outlineLevel="0" collapsed="false">
      <c r="A7" s="0" t="n">
        <v>7</v>
      </c>
      <c r="B7" s="0" t="n">
        <v>70</v>
      </c>
      <c r="C7" s="0" t="n">
        <v>45210</v>
      </c>
      <c r="D7" s="0" t="s">
        <v>191</v>
      </c>
      <c r="E7" s="0" t="n">
        <v>1.5</v>
      </c>
    </row>
    <row r="8" customFormat="false" ht="15" hidden="false" customHeight="false" outlineLevel="0" collapsed="false">
      <c r="A8" s="0" t="n">
        <v>8</v>
      </c>
      <c r="B8" s="0" t="n">
        <v>80</v>
      </c>
      <c r="C8" s="0" t="n">
        <v>45240</v>
      </c>
      <c r="D8" s="0" t="s">
        <v>192</v>
      </c>
      <c r="E8" s="0" t="n">
        <v>-1.5</v>
      </c>
    </row>
    <row r="9" customFormat="false" ht="15" hidden="false" customHeight="false" outlineLevel="0" collapsed="false">
      <c r="A9" s="0" t="n">
        <v>9</v>
      </c>
      <c r="B9" s="0" t="n">
        <v>90</v>
      </c>
      <c r="C9" s="0" t="n">
        <v>45270</v>
      </c>
      <c r="D9" s="0" t="s">
        <v>193</v>
      </c>
      <c r="E9" s="0" t="n">
        <v>-0.5</v>
      </c>
    </row>
    <row r="10" customFormat="false" ht="15" hidden="false" customHeight="false" outlineLevel="0" collapsed="false">
      <c r="A10" s="0" t="n">
        <v>10</v>
      </c>
      <c r="B10" s="0" t="n">
        <v>100</v>
      </c>
      <c r="C10" s="0" t="n">
        <v>45300</v>
      </c>
      <c r="D10" s="0" t="s">
        <v>194</v>
      </c>
      <c r="E10" s="0" t="n">
        <v>0.5</v>
      </c>
    </row>
    <row r="11" customFormat="false" ht="15" hidden="false" customHeight="false" outlineLevel="0" collapsed="false">
      <c r="A11" s="0" t="n">
        <v>11</v>
      </c>
      <c r="B11" s="0" t="n">
        <v>110</v>
      </c>
      <c r="C11" s="0" t="n">
        <v>45330</v>
      </c>
      <c r="D11" s="0" t="s">
        <v>195</v>
      </c>
      <c r="E11" s="0" t="n">
        <v>1.5</v>
      </c>
    </row>
    <row r="12" customFormat="false" ht="15" hidden="false" customHeight="false" outlineLevel="0" collapsed="false">
      <c r="A12" s="0" t="n">
        <v>12</v>
      </c>
      <c r="B12" s="0" t="n">
        <v>120</v>
      </c>
      <c r="C12" s="0" t="n">
        <v>45360</v>
      </c>
      <c r="D12" s="0" t="s">
        <v>196</v>
      </c>
      <c r="E12" s="0" t="n">
        <v>-1.5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2026-10-17T19:20:06Z</dcterms:created>
  <dc:creator>openpyxl</dc:creator>
  <dc:description/>
  <dc:language>en-US</dc:language>
  <cp:lastModifiedBy/>
  <dcterms:modified xsi:type="dcterms:W3CDTF">2026-10-17T19:20:06Z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