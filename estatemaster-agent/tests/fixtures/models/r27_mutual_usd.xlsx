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NAV" sheetId="2" state="visible" r:id="rId4"/>
    <sheet name="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<sst xmlns="http://schemas.openxmlformats.org/spreadsheetml/2006/main" count="30" uniqueCount="29">
  <si>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GULF INCOME &amp; GROWTH FUND – OPEN-ENDED MUTUAL FUND (USD)</t>
  </si>
  <si>
    <t xml:space="preserve">Opening NAV (USD)</t>
  </si>
  <si>
    <t xml:space="preserve">Units outstanding</t>
  </si>
  <si>
    <t xml:space="preserve">Gross return a month</t>
  </si>
  <si>
    <t xml:space="preserve">Return swing (+/-) every other month</t>
  </si>
  <si>
    <t xml:space="preserve">Management fee a year</t>
  </si>
  <si>
    <t xml:space="preserve">Performance fee over the high-water mark</t>
  </si>
  <si>
    <t xml:space="preserve">Other expenses a year</t>
  </si>
  <si>
    <t xml:space="preserve">Subscriptions a month (USD)</t>
  </si>
  <si>
    <t xml:space="preserve">Redemptions a month (USD)</t>
  </si>
  <si>
    <t xml:space="preserve">Month</t>
  </si>
  <si>
    <t xml:space="preserve">Gross return</t>
  </si>
  <si>
    <t xml:space="preserve">NAV before fees</t>
  </si>
  <si>
    <t xml:space="preserve">Management fee</t>
  </si>
  <si>
    <t xml:space="preserve">Other expenses</t>
  </si>
  <si>
    <t xml:space="preserve">NAV per unit before performance fee</t>
  </si>
  <si>
    <t xml:space="preserve">High-water mark</t>
  </si>
  <si>
    <t xml:space="preserve">Performance fee</t>
  </si>
  <si>
    <t xml:space="preserve">NAV after fees</t>
  </si>
  <si>
    <t xml:space="preserve">NAV per unit</t>
  </si>
  <si>
    <t xml:space="preserve">Units subscribed</t>
  </si>
  <si>
    <t xml:space="preserve">Units redeemed</t>
  </si>
  <si>
    <t xml:space="preserve">NAV (USD)</t>
  </si>
  <si>
    <t xml:space="preserve">Net return a year (NAV per unit)</t>
  </si>
  <si>
    <t xml:space="preserve">NAV at month 24 (USD)</t>
  </si>
  <si>
    <t xml:space="preserve">NAV per unit at month 24 (USD)</t>
  </si>
  <si>
    <t xml:space="preserve">Total expense ratio</t>
  </si>
  <si>
    <t xml:space="preserve">Performance fees paid (USD)</t>
  </si>
  <si>
    <t xml:space="preserve">Net flows (USD)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</si>
</sst>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.0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250000000</v>
      </c>
    </row>
    <row r="4" customFormat="false" ht="15" hidden="false" customHeight="false" outlineLevel="0" collapsed="false">
      <c r="A4" s="0" t="s">
        <v>2</v>
      </c>
      <c r="B4" s="1" t="n">
        <v>25000000</v>
      </c>
    </row>
    <row r="5" customFormat="false" ht="15" hidden="false" customHeight="false" outlineLevel="0" collapsed="false">
      <c r="A5" s="0" t="s">
        <v>3</v>
      </c>
      <c r="B5" s="2" t="n">
        <v>0.0065</v>
      </c>
    </row>
    <row r="6" customFormat="false" ht="15" hidden="false" customHeight="false" outlineLevel="0" collapsed="false">
      <c r="A6" s="0" t="s">
        <v>4</v>
      </c>
      <c r="B6" s="2" t="n">
        <v>0.012</v>
      </c>
    </row>
    <row r="7" customFormat="false" ht="15" hidden="false" customHeight="false" outlineLevel="0" collapsed="false">
      <c r="A7" s="0" t="s">
        <v>5</v>
      </c>
      <c r="B7" s="2" t="n">
        <v>0.0125</v>
      </c>
    </row>
    <row r="8" customFormat="false" ht="15" hidden="false" customHeight="false" outlineLevel="0" collapsed="false">
      <c r="A8" s="0" t="s">
        <v>6</v>
      </c>
      <c r="B8" s="2" t="n">
        <v>0.15</v>
      </c>
    </row>
    <row r="9" customFormat="false" ht="15" hidden="false" customHeight="false" outlineLevel="0" collapsed="false">
      <c r="A9" s="0" t="s">
        <v>7</v>
      </c>
      <c r="B9" s="2" t="n">
        <v>0.0035</v>
      </c>
    </row>
    <row r="10" customFormat="false" ht="15" hidden="false" customHeight="false" outlineLevel="0" collapsed="false">
      <c r="A10" s="0" t="s">
        <v>8</v>
      </c>
      <c r="B10" s="1" t="n">
        <v>4500000</v>
      </c>
    </row>
    <row r="11" customFormat="false" ht="15" hidden="false" customHeight="false" outlineLevel="0" collapsed="false">
      <c r="A11" s="0" t="s">
        <v>9</v>
      </c>
      <c r="B11" s="1" t="n">
        <v>3200000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10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</row>
    <row r="4" customFormat="false" ht="15" hidden="false" customHeight="false" outlineLevel="0" collapsed="false">
      <c r="A4" s="0" t="s">
        <v>11</v>
      </c>
      <c r="B4" s="0" t="n">
        <f aca="false">0</f>
        <v>0</v>
      </c>
      <c r="C4" s="2" t="n">
        <f aca="false">Inputs!$B$5+IF(MOD(C$3,2)=0,Inputs!$B$6,-Inputs!$B$6)</f>
        <v>-0.0055</v>
      </c>
      <c r="D4" s="2" t="n">
        <f aca="false">Inputs!$B$5+IF(MOD(D$3,2)=0,Inputs!$B$6,-Inputs!$B$6)</f>
        <v>0.0185</v>
      </c>
      <c r="E4" s="2" t="n">
        <f aca="false">Inputs!$B$5+IF(MOD(E$3,2)=0,Inputs!$B$6,-Inputs!$B$6)</f>
        <v>-0.0055</v>
      </c>
      <c r="F4" s="2" t="n">
        <f aca="false">Inputs!$B$5+IF(MOD(F$3,2)=0,Inputs!$B$6,-Inputs!$B$6)</f>
        <v>0.0185</v>
      </c>
      <c r="G4" s="2" t="n">
        <f aca="false">Inputs!$B$5+IF(MOD(G$3,2)=0,Inputs!$B$6,-Inputs!$B$6)</f>
        <v>-0.0055</v>
      </c>
      <c r="H4" s="2" t="n">
        <f aca="false">Inputs!$B$5+IF(MOD(H$3,2)=0,Inputs!$B$6,-Inputs!$B$6)</f>
        <v>0.0185</v>
      </c>
      <c r="I4" s="2" t="n">
        <f aca="false">Inputs!$B$5+IF(MOD(I$3,2)=0,Inputs!$B$6,-Inputs!$B$6)</f>
        <v>-0.0055</v>
      </c>
      <c r="J4" s="2" t="n">
        <f aca="false">Inputs!$B$5+IF(MOD(J$3,2)=0,Inputs!$B$6,-Inputs!$B$6)</f>
        <v>0.0185</v>
      </c>
      <c r="K4" s="2" t="n">
        <f aca="false">Inputs!$B$5+IF(MOD(K$3,2)=0,Inputs!$B$6,-Inputs!$B$6)</f>
        <v>-0.0055</v>
      </c>
      <c r="L4" s="2" t="n">
        <f aca="false">Inputs!$B$5+IF(MOD(L$3,2)=0,Inputs!$B$6,-Inputs!$B$6)</f>
        <v>0.0185</v>
      </c>
      <c r="M4" s="2" t="n">
        <f aca="false">Inputs!$B$5+IF(MOD(M$3,2)=0,Inputs!$B$6,-Inputs!$B$6)</f>
        <v>-0.0055</v>
      </c>
      <c r="N4" s="2" t="n">
        <f aca="false">Inputs!$B$5+IF(MOD(N$3,2)=0,Inputs!$B$6,-Inputs!$B$6)</f>
        <v>0.0185</v>
      </c>
      <c r="O4" s="2" t="n">
        <f aca="false">Inputs!$B$5+IF(MOD(O$3,2)=0,Inputs!$B$6,-Inputs!$B$6)</f>
        <v>-0.0055</v>
      </c>
      <c r="P4" s="2" t="n">
        <f aca="false">Inputs!$B$5+IF(MOD(P$3,2)=0,Inputs!$B$6,-Inputs!$B$6)</f>
        <v>0.0185</v>
      </c>
      <c r="Q4" s="2" t="n">
        <f aca="false">Inputs!$B$5+IF(MOD(Q$3,2)=0,Inputs!$B$6,-Inputs!$B$6)</f>
        <v>-0.0055</v>
      </c>
      <c r="R4" s="2" t="n">
        <f aca="false">Inputs!$B$5+IF(MOD(R$3,2)=0,Inputs!$B$6,-Inputs!$B$6)</f>
        <v>0.0185</v>
      </c>
      <c r="S4" s="2" t="n">
        <f aca="false">Inputs!$B$5+IF(MOD(S$3,2)=0,Inputs!$B$6,-Inputs!$B$6)</f>
        <v>-0.0055</v>
      </c>
      <c r="T4" s="2" t="n">
        <f aca="false">Inputs!$B$5+IF(MOD(T$3,2)=0,Inputs!$B$6,-Inputs!$B$6)</f>
        <v>0.0185</v>
      </c>
      <c r="U4" s="2" t="n">
        <f aca="false">Inputs!$B$5+IF(MOD(U$3,2)=0,Inputs!$B$6,-Inputs!$B$6)</f>
        <v>-0.0055</v>
      </c>
      <c r="V4" s="2" t="n">
        <f aca="false">Inputs!$B$5+IF(MOD(V$3,2)=0,Inputs!$B$6,-Inputs!$B$6)</f>
        <v>0.0185</v>
      </c>
      <c r="W4" s="2" t="n">
        <f aca="false">Inputs!$B$5+IF(MOD(W$3,2)=0,Inputs!$B$6,-Inputs!$B$6)</f>
        <v>-0.0055</v>
      </c>
      <c r="X4" s="2" t="n">
        <f aca="false">Inputs!$B$5+IF(MOD(X$3,2)=0,Inputs!$B$6,-Inputs!$B$6)</f>
        <v>0.0185</v>
      </c>
      <c r="Y4" s="2" t="n">
        <f aca="false">Inputs!$B$5+IF(MOD(Y$3,2)=0,Inputs!$B$6,-Inputs!$B$6)</f>
        <v>-0.0055</v>
      </c>
      <c r="Z4" s="2" t="n">
        <f aca="false">Inputs!$B$5+IF(MOD(Z$3,2)=0,Inputs!$B$6,-Inputs!$B$6)</f>
        <v>0.0185</v>
      </c>
    </row>
    <row r="5" customFormat="false" ht="15" hidden="false" customHeight="false" outlineLevel="0" collapsed="false">
      <c r="A5" s="0" t="s">
        <v>12</v>
      </c>
      <c r="B5" s="1" t="n">
        <f aca="false">Inputs!$B$3</f>
        <v>250000000</v>
      </c>
      <c r="C5" s="0" t="n">
        <f aca="false">B16*(1+C4)</f>
        <v>248625000</v>
      </c>
      <c r="D5" s="0" t="n">
        <f aca="false">C16*(1+D4)</f>
        <v>254210979.75</v>
      </c>
      <c r="E5" s="0" t="n">
        <f aca="false">D16*(1+E4)</f>
        <v>253386235.609022</v>
      </c>
      <c r="F5" s="0" t="n">
        <f aca="false">E16*(1+F4)</f>
        <v>259053832.459832</v>
      </c>
      <c r="G5" s="0" t="n">
        <f aca="false">F16*(1+G4)</f>
        <v>258188747.038025</v>
      </c>
      <c r="H5" s="0" t="n">
        <f aca="false">G16*(1+H4)</f>
        <v>263938668.539751</v>
      </c>
      <c r="I5" s="0" t="n">
        <f aca="false">H16*(1+I4)</f>
        <v>263032892.112887</v>
      </c>
      <c r="J5" s="0" t="n">
        <f aca="false">I16*(1+J4)</f>
        <v>268865851.949486</v>
      </c>
      <c r="K5" s="0" t="n">
        <f aca="false">J16*(1+K4)</f>
        <v>267919031.761529</v>
      </c>
      <c r="L5" s="0" t="n">
        <f aca="false">K16*(1+L4)</f>
        <v>273835749.803985</v>
      </c>
      <c r="M5" s="0" t="n">
        <f aca="false">L16*(1+M4)</f>
        <v>272847530.040809</v>
      </c>
      <c r="N5" s="0" t="n">
        <f aca="false">M16*(1+N4)</f>
        <v>278848732.400768</v>
      </c>
      <c r="O5" s="0" t="n">
        <f aca="false">N16*(1+O4)</f>
        <v>277818754.163641</v>
      </c>
      <c r="P5" s="0" t="n">
        <f aca="false">O16*(1+P4)</f>
        <v>283905173.247515</v>
      </c>
      <c r="Q5" s="0" t="n">
        <f aca="false">P16*(1+Q4)</f>
        <v>282833074.526364</v>
      </c>
      <c r="R5" s="0" t="n">
        <f aca="false">Q16*(1+R4)</f>
        <v>289005449.089895</v>
      </c>
      <c r="S5" s="0" t="n">
        <f aca="false">R16*(1+S4)</f>
        <v>287890864.73633</v>
      </c>
      <c r="T5" s="0" t="n">
        <f aca="false">S16*(1+T4)</f>
        <v>294149939.93964</v>
      </c>
      <c r="U5" s="0" t="n">
        <f aca="false">T16*(1+U4)</f>
        <v>292992501.639749</v>
      </c>
      <c r="V5" s="0" t="n">
        <f aca="false">U16*(1+V4)</f>
        <v>299339029.102858</v>
      </c>
      <c r="W5" s="0" t="n">
        <f aca="false">V16*(1+W4)</f>
        <v>298138365.349764</v>
      </c>
      <c r="X5" s="0" t="n">
        <f aca="false">W16*(1+X4)</f>
        <v>304573103.208589</v>
      </c>
      <c r="Y5" s="0" t="n">
        <f aca="false">X16*(1+Y4)</f>
        <v>303328839.274768</v>
      </c>
      <c r="Z5" s="0" t="n">
        <f aca="false">Y16*(1+Z4)</f>
        <v>309852552.237616</v>
      </c>
    </row>
    <row r="6" customFormat="false" ht="15" hidden="false" customHeight="false" outlineLevel="0" collapsed="false">
      <c r="A6" s="0" t="s">
        <v>13</v>
      </c>
      <c r="B6" s="0" t="n">
        <f aca="false">0</f>
        <v>0</v>
      </c>
      <c r="C6" s="0" t="n">
        <f aca="false">C5*Inputs!$B$7/12</f>
        <v>258984.375</v>
      </c>
      <c r="D6" s="0" t="n">
        <f aca="false">D5*Inputs!$B$7/12</f>
        <v>264803.10390625</v>
      </c>
      <c r="E6" s="0" t="n">
        <f aca="false">E5*Inputs!$B$7/12</f>
        <v>263943.995426065</v>
      </c>
      <c r="F6" s="0" t="n">
        <f aca="false">F5*Inputs!$B$7/12</f>
        <v>269847.742145658</v>
      </c>
      <c r="G6" s="0" t="n">
        <f aca="false">G5*Inputs!$B$7/12</f>
        <v>268946.611497942</v>
      </c>
      <c r="H6" s="0" t="n">
        <f aca="false">H5*Inputs!$B$7/12</f>
        <v>274936.11306224</v>
      </c>
      <c r="I6" s="0" t="n">
        <f aca="false">I5*Inputs!$B$7/12</f>
        <v>273992.595950924</v>
      </c>
      <c r="J6" s="0" t="n">
        <f aca="false">J5*Inputs!$B$7/12</f>
        <v>280068.595780714</v>
      </c>
      <c r="K6" s="0" t="n">
        <f aca="false">K5*Inputs!$B$7/12</f>
        <v>279082.324751593</v>
      </c>
      <c r="L6" s="0" t="n">
        <f aca="false">L5*Inputs!$B$7/12</f>
        <v>285245.572712485</v>
      </c>
      <c r="M6" s="0" t="n">
        <f aca="false">M5*Inputs!$B$7/12</f>
        <v>284216.177125843</v>
      </c>
      <c r="N6" s="0" t="n">
        <f aca="false">N5*Inputs!$B$7/12</f>
        <v>290467.429584134</v>
      </c>
      <c r="O6" s="0" t="n">
        <f aca="false">O5*Inputs!$B$7/12</f>
        <v>289394.535587127</v>
      </c>
      <c r="P6" s="0" t="n">
        <f aca="false">P5*Inputs!$B$7/12</f>
        <v>295734.555466161</v>
      </c>
      <c r="Q6" s="0" t="n">
        <f aca="false">Q5*Inputs!$B$7/12</f>
        <v>294617.785964962</v>
      </c>
      <c r="R6" s="0" t="n">
        <f aca="false">R5*Inputs!$B$7/12</f>
        <v>301047.342801974</v>
      </c>
      <c r="S6" s="0" t="n">
        <f aca="false">S5*Inputs!$B$7/12</f>
        <v>299886.317433677</v>
      </c>
      <c r="T6" s="0" t="n">
        <f aca="false">T5*Inputs!$B$7/12</f>
        <v>306406.187437125</v>
      </c>
      <c r="U6" s="0" t="n">
        <f aca="false">U5*Inputs!$B$7/12</f>
        <v>305200.522541406</v>
      </c>
      <c r="V6" s="0" t="n">
        <f aca="false">V5*Inputs!$B$7/12</f>
        <v>311811.48864881</v>
      </c>
      <c r="W6" s="0" t="n">
        <f aca="false">W5*Inputs!$B$7/12</f>
        <v>310560.797239337</v>
      </c>
      <c r="X6" s="0" t="n">
        <f aca="false">X5*Inputs!$B$7/12</f>
        <v>317263.649175614</v>
      </c>
      <c r="Y6" s="0" t="n">
        <f aca="false">Y5*Inputs!$B$7/12</f>
        <v>315967.540911217</v>
      </c>
      <c r="Z6" s="0" t="n">
        <f aca="false">Z5*Inputs!$B$7/12</f>
        <v>322763.075247517</v>
      </c>
    </row>
    <row r="7" customFormat="false" ht="15" hidden="false" customHeight="false" outlineLevel="0" collapsed="false">
      <c r="A7" s="0" t="s">
        <v>14</v>
      </c>
      <c r="B7" s="0" t="n">
        <f aca="false">0</f>
        <v>0</v>
      </c>
      <c r="C7" s="0" t="n">
        <f aca="false">C5*Inputs!$B$9/12</f>
        <v>72515.625</v>
      </c>
      <c r="D7" s="0" t="n">
        <f aca="false">D5*Inputs!$B$9/12</f>
        <v>74144.86909375</v>
      </c>
      <c r="E7" s="0" t="n">
        <f aca="false">E5*Inputs!$B$9/12</f>
        <v>73904.3187192981</v>
      </c>
      <c r="F7" s="0" t="n">
        <f aca="false">F5*Inputs!$B$9/12</f>
        <v>75557.3678007843</v>
      </c>
      <c r="G7" s="0" t="n">
        <f aca="false">G5*Inputs!$B$9/12</f>
        <v>75305.0512194239</v>
      </c>
      <c r="H7" s="0" t="n">
        <f aca="false">H5*Inputs!$B$9/12</f>
        <v>76982.1116574272</v>
      </c>
      <c r="I7" s="0" t="n">
        <f aca="false">I5*Inputs!$B$9/12</f>
        <v>76717.9268662586</v>
      </c>
      <c r="J7" s="0" t="n">
        <f aca="false">J5*Inputs!$B$9/12</f>
        <v>78419.2068186</v>
      </c>
      <c r="K7" s="0" t="n">
        <f aca="false">K5*Inputs!$B$9/12</f>
        <v>78143.050930446</v>
      </c>
      <c r="L7" s="0" t="n">
        <f aca="false">L5*Inputs!$B$9/12</f>
        <v>79868.7603594958</v>
      </c>
      <c r="M7" s="0" t="n">
        <f aca="false">M5*Inputs!$B$9/12</f>
        <v>79580.5295952359</v>
      </c>
      <c r="N7" s="0" t="n">
        <f aca="false">N5*Inputs!$B$9/12</f>
        <v>81330.8802835575</v>
      </c>
      <c r="O7" s="0" t="n">
        <f aca="false">O5*Inputs!$B$9/12</f>
        <v>81030.4699643954</v>
      </c>
      <c r="P7" s="0" t="n">
        <f aca="false">P5*Inputs!$B$9/12</f>
        <v>82805.6755305251</v>
      </c>
      <c r="Q7" s="0" t="n">
        <f aca="false">Q5*Inputs!$B$9/12</f>
        <v>82492.9800701894</v>
      </c>
      <c r="R7" s="0" t="n">
        <f aca="false">R5*Inputs!$B$9/12</f>
        <v>84293.2559845526</v>
      </c>
      <c r="S7" s="0" t="n">
        <f aca="false">S5*Inputs!$B$9/12</f>
        <v>83968.1688814296</v>
      </c>
      <c r="T7" s="0" t="n">
        <f aca="false">T5*Inputs!$B$9/12</f>
        <v>85793.7324823951</v>
      </c>
      <c r="U7" s="0" t="n">
        <f aca="false">U5*Inputs!$B$9/12</f>
        <v>85456.1463115936</v>
      </c>
      <c r="V7" s="0" t="n">
        <f aca="false">V5*Inputs!$B$9/12</f>
        <v>87307.2168216669</v>
      </c>
      <c r="W7" s="0" t="n">
        <f aca="false">W5*Inputs!$B$9/12</f>
        <v>86957.0232270144</v>
      </c>
      <c r="X7" s="0" t="n">
        <f aca="false">X5*Inputs!$B$9/12</f>
        <v>88833.8217691719</v>
      </c>
      <c r="Y7" s="0" t="n">
        <f aca="false">Y5*Inputs!$B$9/12</f>
        <v>88470.9114551408</v>
      </c>
      <c r="Z7" s="0" t="n">
        <f aca="false">Z5*Inputs!$B$9/12</f>
        <v>90373.6610693048</v>
      </c>
    </row>
    <row r="8" customFormat="false" ht="15" hidden="false" customHeight="false" outlineLevel="0" collapsed="false">
      <c r="A8" s="0" t="s">
        <v>15</v>
      </c>
      <c r="B8" s="0" t="n">
        <f aca="false">Inputs!$B$3/Inputs!$B$4</f>
        <v>10</v>
      </c>
      <c r="C8" s="0" t="n">
        <f aca="false">(C5-C6-C7)/B15</f>
        <v>9.93174</v>
      </c>
      <c r="D8" s="0" t="n">
        <f aca="false">(D5-D6-D7)/C15</f>
        <v>10.10198988708</v>
      </c>
      <c r="E8" s="0" t="n">
        <f aca="false">(E5-E6-E7)/D15</f>
        <v>10.0178396484942</v>
      </c>
      <c r="F8" s="0" t="n">
        <f aca="false">(F5-F6-F7)/E15</f>
        <v>10.1895654557487</v>
      </c>
      <c r="G8" s="0" t="n">
        <f aca="false">(G5-G6-G7)/F15</f>
        <v>10.1046857069297</v>
      </c>
      <c r="H8" s="0" t="n">
        <f aca="false">(H5-H6-H7)/G15</f>
        <v>10.2779002293179</v>
      </c>
      <c r="I8" s="0" t="n">
        <f aca="false">(I5-I6-I7)/H15</f>
        <v>10.1922846460391</v>
      </c>
      <c r="J8" s="0" t="n">
        <f aca="false">(J5-J6-J7)/I15</f>
        <v>10.3670007894415</v>
      </c>
      <c r="K8" s="0" t="n">
        <f aca="false">(K5-K6-K7)/J15</f>
        <v>10.2806429926507</v>
      </c>
      <c r="L8" s="0" t="n">
        <f aca="false">(L5-L6-L7)/K15</f>
        <v>10.4568737748308</v>
      </c>
      <c r="M8" s="0" t="n">
        <f aca="false">(M5-M6-M7)/L15</f>
        <v>10.3697673301748</v>
      </c>
      <c r="N8" s="0" t="n">
        <f aca="false">(N5-N6-N7)/M15</f>
        <v>10.5475258817487</v>
      </c>
      <c r="O8" s="0" t="n">
        <f aca="false">(O5-O6-O7)/N15</f>
        <v>10.4596642990941</v>
      </c>
      <c r="P8" s="0" t="n">
        <f aca="false">(P5-P6-P7)/O15</f>
        <v>10.6389638645092</v>
      </c>
      <c r="Q8" s="0" t="n">
        <f aca="false">(Q5-Q6-Q7)/P15</f>
        <v>10.5503405974586</v>
      </c>
      <c r="R8" s="0" t="n">
        <f aca="false">(R5-R6-R7)/Q15</f>
        <v>10.7311945359803</v>
      </c>
      <c r="S8" s="0" t="n">
        <f aca="false">(S5-S6-S7)/R15</f>
        <v>10.6418029813848</v>
      </c>
      <c r="T8" s="0" t="n">
        <f aca="false">(T5-T6-T7)/S15</f>
        <v>10.8242247680917</v>
      </c>
      <c r="U8" s="0" t="n">
        <f aca="false">(U5-U6-U7)/T15</f>
        <v>10.7340582655587</v>
      </c>
      <c r="V8" s="0" t="n">
        <f aca="false">(V5-V6-V7)/U15</f>
        <v>10.9180614923469</v>
      </c>
      <c r="W8" s="0" t="n">
        <f aca="false">(W5-W6-W7)/V15</f>
        <v>10.827113323744</v>
      </c>
      <c r="X8" s="0" t="n">
        <f aca="false">(X5-X6-X7)/W15</f>
        <v>11.0127117003396</v>
      </c>
      <c r="Y8" s="0" t="n">
        <f aca="false">(Y5-Y6-Y7)/X15</f>
        <v>10.9209750892937</v>
      </c>
      <c r="Z8" s="0" t="n">
        <f aca="false">(Z5-Z6-Z7)/Y15</f>
        <v>11.1081824442744</v>
      </c>
    </row>
    <row r="9" customFormat="false" ht="15" hidden="false" customHeight="false" outlineLevel="0" collapsed="false">
      <c r="A9" s="0" t="s">
        <v>16</v>
      </c>
      <c r="B9" s="0" t="n">
        <f aca="false">Inputs!$B$3/Inputs!$B$4</f>
        <v>10</v>
      </c>
      <c r="C9" s="0" t="n">
        <f aca="false">MAX(B9,C8-C10/B15)</f>
        <v>10</v>
      </c>
      <c r="D9" s="0" t="n">
        <f aca="false">MAX(C9,D8-D10/C15)</f>
        <v>10.086691404018</v>
      </c>
      <c r="E9" s="0" t="n">
        <f aca="false">MAX(D9,E8-E10/D15)</f>
        <v>10.086691404018</v>
      </c>
      <c r="F9" s="0" t="n">
        <f aca="false">MAX(E9,F8-F10/E15)</f>
        <v>10.1741343479891</v>
      </c>
      <c r="G9" s="0" t="n">
        <f aca="false">MAX(F9,G8-G10/F15)</f>
        <v>10.1741343479891</v>
      </c>
      <c r="H9" s="0" t="n">
        <f aca="false">MAX(G9,H8-H10/G15)</f>
        <v>10.2623353471186</v>
      </c>
      <c r="I9" s="0" t="n">
        <f aca="false">MAX(H9,I8-I10/H15)</f>
        <v>10.2623353471186</v>
      </c>
      <c r="J9" s="0" t="n">
        <f aca="false">MAX(I9,J8-J10/I15)</f>
        <v>10.3513009730931</v>
      </c>
      <c r="K9" s="0" t="n">
        <f aca="false">MAX(J9,K8-K10/J15)</f>
        <v>10.3513009730931</v>
      </c>
      <c r="L9" s="0" t="n">
        <f aca="false">MAX(K9,L8-L10/K15)</f>
        <v>10.4410378545701</v>
      </c>
      <c r="M9" s="0" t="n">
        <f aca="false">MAX(L9,M8-M10/L15)</f>
        <v>10.4410378545701</v>
      </c>
      <c r="N9" s="0" t="n">
        <f aca="false">MAX(M9,N8-N10/M15)</f>
        <v>10.5315526776719</v>
      </c>
      <c r="O9" s="0" t="n">
        <f aca="false">MAX(N9,O8-O10/N15)</f>
        <v>10.5315526776719</v>
      </c>
      <c r="P9" s="0" t="n">
        <f aca="false">MAX(O9,P8-P10/O15)</f>
        <v>10.6228521864836</v>
      </c>
      <c r="Q9" s="0" t="n">
        <f aca="false">MAX(P9,Q8-Q10/P15)</f>
        <v>10.6228521864836</v>
      </c>
      <c r="R9" s="0" t="n">
        <f aca="false">MAX(Q9,R8-R10/Q15)</f>
        <v>10.7149431835558</v>
      </c>
      <c r="S9" s="0" t="n">
        <f aca="false">MAX(R9,S8-S10/R15)</f>
        <v>10.7149431835558</v>
      </c>
      <c r="T9" s="0" t="n">
        <f aca="false">MAX(S9,T8-T10/S15)</f>
        <v>10.8078325304113</v>
      </c>
      <c r="U9" s="0" t="n">
        <f aca="false">MAX(T9,U8-U10/T15)</f>
        <v>10.8078325304113</v>
      </c>
      <c r="V9" s="0" t="n">
        <f aca="false">MAX(U9,V8-V10/U15)</f>
        <v>10.9015271480566</v>
      </c>
      <c r="W9" s="0" t="n">
        <f aca="false">MAX(V9,W8-W10/V15)</f>
        <v>10.9015271480566</v>
      </c>
      <c r="X9" s="0" t="n">
        <f aca="false">MAX(W9,X8-X10/W15)</f>
        <v>10.9960340174971</v>
      </c>
      <c r="Y9" s="0" t="n">
        <f aca="false">MAX(X9,Y8-Y10/X15)</f>
        <v>10.9960340174971</v>
      </c>
      <c r="Z9" s="0" t="n">
        <f aca="false">MAX(Y9,Z8-Z10/Y15)</f>
        <v>11.0913601802578</v>
      </c>
    </row>
    <row r="10" customFormat="false" ht="15" hidden="false" customHeight="false" outlineLevel="0" collapsed="false">
      <c r="A10" s="0" t="s">
        <v>17</v>
      </c>
      <c r="B10" s="0" t="n">
        <f aca="false">0</f>
        <v>0</v>
      </c>
      <c r="C10" s="0" t="n">
        <f aca="false">MAX(0,C8-B9)*Inputs!$B$8*B15</f>
        <v>0</v>
      </c>
      <c r="D10" s="0" t="n">
        <f aca="false">MAX(0,D8-C9)*Inputs!$B$8*C15</f>
        <v>384464.548219678</v>
      </c>
      <c r="E10" s="0" t="n">
        <f aca="false">MAX(0,E8-D9)*Inputs!$B$8*D15</f>
        <v>0</v>
      </c>
      <c r="F10" s="0" t="n">
        <f aca="false">MAX(0,F8-E9)*Inputs!$B$8*E15</f>
        <v>391788.799835447</v>
      </c>
      <c r="G10" s="0" t="n">
        <f aca="false">MAX(0,G8-F9)*Inputs!$B$8*F15</f>
        <v>0</v>
      </c>
      <c r="H10" s="0" t="n">
        <f aca="false">MAX(0,H8-G9)*Inputs!$B$8*G15</f>
        <v>399176.546416802</v>
      </c>
      <c r="I10" s="0" t="n">
        <f aca="false">MAX(0,I8-H9)*Inputs!$B$8*H15</f>
        <v>0</v>
      </c>
      <c r="J10" s="0" t="n">
        <f aca="false">MAX(0,J8-I9)*Inputs!$B$8*I15</f>
        <v>406628.338410548</v>
      </c>
      <c r="K10" s="0" t="n">
        <f aca="false">MAX(0,K8-J9)*Inputs!$B$8*J15</f>
        <v>0</v>
      </c>
      <c r="L10" s="0" t="n">
        <f aca="false">MAX(0,L8-K9)*Inputs!$B$8*K15</f>
        <v>414144.731035311</v>
      </c>
      <c r="M10" s="0" t="n">
        <f aca="false">MAX(0,M8-L9)*Inputs!$B$8*L15</f>
        <v>0</v>
      </c>
      <c r="N10" s="0" t="n">
        <f aca="false">MAX(0,N8-M9)*Inputs!$B$8*M15</f>
        <v>421726.284323053</v>
      </c>
      <c r="O10" s="0" t="n">
        <f aca="false">MAX(0,O8-N9)*Inputs!$B$8*N15</f>
        <v>0</v>
      </c>
      <c r="P10" s="0" t="n">
        <f aca="false">MAX(0,P8-O9)*Inputs!$B$8*O15</f>
        <v>429373.563160711</v>
      </c>
      <c r="Q10" s="0" t="n">
        <f aca="false">MAX(0,Q8-P9)*Inputs!$B$8*P15</f>
        <v>0</v>
      </c>
      <c r="R10" s="0" t="n">
        <f aca="false">MAX(0,R8-Q9)*Inputs!$B$8*Q15</f>
        <v>437087.137332323</v>
      </c>
      <c r="S10" s="0" t="n">
        <f aca="false">MAX(0,S8-R9)*Inputs!$B$8*R15</f>
        <v>0</v>
      </c>
      <c r="T10" s="0" t="n">
        <f aca="false">MAX(0,T8-S9)*Inputs!$B$8*S15</f>
        <v>444867.581561421</v>
      </c>
      <c r="U10" s="0" t="n">
        <f aca="false">MAX(0,U8-T9)*Inputs!$B$8*T15</f>
        <v>0</v>
      </c>
      <c r="V10" s="0" t="n">
        <f aca="false">MAX(0,V8-U9)*Inputs!$B$8*U15</f>
        <v>452715.475553898</v>
      </c>
      <c r="W10" s="0" t="n">
        <f aca="false">MAX(0,W8-V9)*Inputs!$B$8*V15</f>
        <v>0</v>
      </c>
      <c r="X10" s="0" t="n">
        <f aca="false">MAX(0,X8-W9)*Inputs!$B$8*W15</f>
        <v>460631.404041296</v>
      </c>
      <c r="Y10" s="0" t="n">
        <f aca="false">MAX(0,Y8-X9)*Inputs!$B$8*X15</f>
        <v>0</v>
      </c>
      <c r="Z10" s="0" t="n">
        <f aca="false">MAX(0,Z8-Y9)*Inputs!$B$8*Y15</f>
        <v>468615.956824135</v>
      </c>
    </row>
    <row r="11" customFormat="false" ht="15" hidden="false" customHeight="false" outlineLevel="0" collapsed="false">
      <c r="A11" s="0" t="s">
        <v>18</v>
      </c>
      <c r="B11" s="1" t="n">
        <f aca="false">Inputs!$B$3</f>
        <v>250000000</v>
      </c>
      <c r="C11" s="0" t="n">
        <f aca="false">C5-C6-C7-C10</f>
        <v>248293500</v>
      </c>
      <c r="D11" s="0" t="n">
        <f aca="false">D5-D6-D7-D10</f>
        <v>253487567.22878</v>
      </c>
      <c r="E11" s="0" t="n">
        <f aca="false">E5-E6-E7-E10</f>
        <v>253048387.294877</v>
      </c>
      <c r="F11" s="0" t="n">
        <f aca="false">F5-F6-F7-F10</f>
        <v>258316638.55005</v>
      </c>
      <c r="G11" s="0" t="n">
        <f aca="false">G5-G6-G7-G10</f>
        <v>257844495.375307</v>
      </c>
      <c r="H11" s="0" t="n">
        <f aca="false">H5-H6-H7-H10</f>
        <v>263187573.768614</v>
      </c>
      <c r="I11" s="0" t="n">
        <f aca="false">I5-I6-I7-I10</f>
        <v>262682181.59007</v>
      </c>
      <c r="J11" s="0" t="n">
        <f aca="false">J5-J6-J7-J10</f>
        <v>268100735.808476</v>
      </c>
      <c r="K11" s="0" t="n">
        <f aca="false">K5-K6-K7-K10</f>
        <v>267561806.385847</v>
      </c>
      <c r="L11" s="0" t="n">
        <f aca="false">L5-L6-L7-L10</f>
        <v>273056490.739878</v>
      </c>
      <c r="M11" s="0" t="n">
        <f aca="false">M5-M6-M7-M10</f>
        <v>272483733.334088</v>
      </c>
      <c r="N11" s="0" t="n">
        <f aca="false">N5-N6-N7-N10</f>
        <v>278055207.806578</v>
      </c>
      <c r="O11" s="0" t="n">
        <f aca="false">O5-O6-O7-O10</f>
        <v>277448329.15809</v>
      </c>
      <c r="P11" s="0" t="n">
        <f aca="false">P5-P6-P7-P10</f>
        <v>283097259.453357</v>
      </c>
      <c r="Q11" s="0" t="n">
        <f aca="false">Q5-Q6-Q7-Q10</f>
        <v>282455963.760329</v>
      </c>
      <c r="R11" s="0" t="n">
        <f aca="false">R5-R6-R7-R10</f>
        <v>288183021.353776</v>
      </c>
      <c r="S11" s="0" t="n">
        <f aca="false">S5-S6-S7-S10</f>
        <v>287507010.250015</v>
      </c>
      <c r="T11" s="0" t="n">
        <f aca="false">T5-T6-T7-T10</f>
        <v>293312872.438159</v>
      </c>
      <c r="U11" s="0" t="n">
        <f aca="false">U5-U6-U7-U10</f>
        <v>292601844.970897</v>
      </c>
      <c r="V11" s="0" t="n">
        <f aca="false">V5-V6-V7-V10</f>
        <v>298487194.921834</v>
      </c>
      <c r="W11" s="0" t="n">
        <f aca="false">W5-W6-W7-W10</f>
        <v>297740847.529297</v>
      </c>
      <c r="X11" s="0" t="n">
        <f aca="false">X5-X6-X7-X10</f>
        <v>303706374.333603</v>
      </c>
      <c r="Y11" s="0" t="n">
        <f aca="false">Y5-Y6-Y7-Y10</f>
        <v>302924400.822402</v>
      </c>
      <c r="Z11" s="0" t="n">
        <f aca="false">Z5-Z6-Z7-Z10</f>
        <v>308970799.544475</v>
      </c>
    </row>
    <row r="12" customFormat="false" ht="15" hidden="false" customHeight="false" outlineLevel="0" collapsed="false">
      <c r="A12" s="0" t="s">
        <v>19</v>
      </c>
      <c r="B12" s="0" t="n">
        <f aca="false">Inputs!$B$3/Inputs!$B$4</f>
        <v>10</v>
      </c>
      <c r="C12" s="0" t="n">
        <f aca="false">C11/B15</f>
        <v>9.93174</v>
      </c>
      <c r="D12" s="0" t="n">
        <f aca="false">D11/C15</f>
        <v>10.086691404018</v>
      </c>
      <c r="E12" s="0" t="n">
        <f aca="false">E11/D15</f>
        <v>10.0178396484942</v>
      </c>
      <c r="F12" s="0" t="n">
        <f aca="false">F11/E15</f>
        <v>10.1741343479891</v>
      </c>
      <c r="G12" s="0" t="n">
        <f aca="false">G11/F15</f>
        <v>10.1046857069297</v>
      </c>
      <c r="H12" s="0" t="n">
        <f aca="false">H11/G15</f>
        <v>10.2623353471186</v>
      </c>
      <c r="I12" s="0" t="n">
        <f aca="false">I11/H15</f>
        <v>10.1922846460391</v>
      </c>
      <c r="J12" s="0" t="n">
        <f aca="false">J11/I15</f>
        <v>10.3513009730931</v>
      </c>
      <c r="K12" s="0" t="n">
        <f aca="false">K11/J15</f>
        <v>10.2806429926507</v>
      </c>
      <c r="L12" s="0" t="n">
        <f aca="false">L11/K15</f>
        <v>10.4410378545701</v>
      </c>
      <c r="M12" s="0" t="n">
        <f aca="false">M11/L15</f>
        <v>10.3697673301748</v>
      </c>
      <c r="N12" s="0" t="n">
        <f aca="false">N11/M15</f>
        <v>10.5315526776719</v>
      </c>
      <c r="O12" s="0" t="n">
        <f aca="false">O11/N15</f>
        <v>10.4596642990941</v>
      </c>
      <c r="P12" s="0" t="n">
        <f aca="false">P11/O15</f>
        <v>10.6228521864836</v>
      </c>
      <c r="Q12" s="0" t="n">
        <f aca="false">Q11/P15</f>
        <v>10.5503405974586</v>
      </c>
      <c r="R12" s="0" t="n">
        <f aca="false">R11/Q15</f>
        <v>10.7149431835558</v>
      </c>
      <c r="S12" s="0" t="n">
        <f aca="false">S11/R15</f>
        <v>10.6418029813848</v>
      </c>
      <c r="T12" s="0" t="n">
        <f aca="false">T11/S15</f>
        <v>10.8078325304113</v>
      </c>
      <c r="U12" s="0" t="n">
        <f aca="false">U11/T15</f>
        <v>10.7340582655587</v>
      </c>
      <c r="V12" s="0" t="n">
        <f aca="false">V11/U15</f>
        <v>10.9015271480566</v>
      </c>
      <c r="W12" s="0" t="n">
        <f aca="false">W11/V15</f>
        <v>10.827113323744</v>
      </c>
      <c r="X12" s="0" t="n">
        <f aca="false">X11/W15</f>
        <v>10.9960340174971</v>
      </c>
      <c r="Y12" s="0" t="n">
        <f aca="false">Y11/X15</f>
        <v>10.9209750892937</v>
      </c>
      <c r="Z12" s="0" t="n">
        <f aca="false">Z11/Y15</f>
        <v>11.0913601802578</v>
      </c>
    </row>
    <row r="13" customFormat="false" ht="15" hidden="false" customHeight="false" outlineLevel="0" collapsed="false">
      <c r="A13" s="0" t="s">
        <v>20</v>
      </c>
      <c r="B13" s="0" t="n">
        <f aca="false">0</f>
        <v>0</v>
      </c>
      <c r="C13" s="0" t="n">
        <f aca="false">Inputs!$B$10/C12</f>
        <v>453092.811531514</v>
      </c>
      <c r="D13" s="0" t="n">
        <f aca="false">Inputs!$B$10/D12</f>
        <v>446132.415452647</v>
      </c>
      <c r="E13" s="0" t="n">
        <f aca="false">Inputs!$B$10/E12</f>
        <v>449198.64540619</v>
      </c>
      <c r="F13" s="0" t="n">
        <f aca="false">Inputs!$B$10/F12</f>
        <v>442298.071372474</v>
      </c>
      <c r="G13" s="0" t="n">
        <f aca="false">Inputs!$B$10/G12</f>
        <v>445337.948206934</v>
      </c>
      <c r="H13" s="0" t="n">
        <f aca="false">Inputs!$B$10/H12</f>
        <v>438496.682069886</v>
      </c>
      <c r="I13" s="0" t="n">
        <f aca="false">Inputs!$B$10/I12</f>
        <v>441510.432280634</v>
      </c>
      <c r="J13" s="0" t="n">
        <f aca="false">Inputs!$B$10/J12</f>
        <v>434727.964310688</v>
      </c>
      <c r="K13" s="0" t="n">
        <f aca="false">Inputs!$B$10/K12</f>
        <v>437715.812446448</v>
      </c>
      <c r="L13" s="0" t="n">
        <f aca="false">Inputs!$B$10/L12</f>
        <v>430991.637294976</v>
      </c>
      <c r="M13" s="0" t="n">
        <f aca="false">Inputs!$B$10/M12</f>
        <v>433953.805974559</v>
      </c>
      <c r="N13" s="0" t="n">
        <f aca="false">Inputs!$B$10/N12</f>
        <v>427287.42263622</v>
      </c>
      <c r="O13" s="0" t="n">
        <f aca="false">Inputs!$B$10/O12</f>
        <v>430224.132565109</v>
      </c>
      <c r="P13" s="0" t="n">
        <f aca="false">Inputs!$B$10/P12</f>
        <v>423615.044340517</v>
      </c>
      <c r="Q13" s="0" t="n">
        <f aca="false">Inputs!$B$10/Q12</f>
        <v>426526.514327315</v>
      </c>
      <c r="R13" s="0" t="n">
        <f aca="false">Inputs!$B$10/R12</f>
        <v>419974.228786033</v>
      </c>
      <c r="S13" s="0" t="n">
        <f aca="false">Inputs!$B$10/S12</f>
        <v>422860.675758763</v>
      </c>
      <c r="T13" s="0" t="n">
        <f aca="false">Inputs!$B$10/T12</f>
        <v>416364.704702612</v>
      </c>
      <c r="U13" s="0" t="n">
        <f aca="false">Inputs!$B$10/U12</f>
        <v>419226.343724878</v>
      </c>
      <c r="V13" s="0" t="n">
        <f aca="false">Inputs!$B$10/V12</f>
        <v>412786.203151566</v>
      </c>
      <c r="W13" s="0" t="n">
        <f aca="false">Inputs!$B$10/W12</f>
        <v>415623.247438581</v>
      </c>
      <c r="X13" s="0" t="n">
        <f aca="false">Inputs!$B$10/X12</f>
        <v>409238.457505633</v>
      </c>
      <c r="Y13" s="0" t="n">
        <f aca="false">Inputs!$B$10/Y12</f>
        <v>412051.118440105</v>
      </c>
      <c r="Z13" s="0" t="n">
        <f aca="false">Inputs!$B$10/Z12</f>
        <v>405721.203429119</v>
      </c>
    </row>
    <row r="14" customFormat="false" ht="15" hidden="false" customHeight="false" outlineLevel="0" collapsed="false">
      <c r="A14" s="0" t="s">
        <v>21</v>
      </c>
      <c r="B14" s="0" t="n">
        <f aca="false">0</f>
        <v>0</v>
      </c>
      <c r="C14" s="0" t="n">
        <f aca="false">MIN(Inputs!$B$11/C12,B15)</f>
        <v>322199.332644632</v>
      </c>
      <c r="D14" s="0" t="n">
        <f aca="false">MIN(Inputs!$B$11/D12,C15)</f>
        <v>317249.717655216</v>
      </c>
      <c r="E14" s="0" t="n">
        <f aca="false">MIN(Inputs!$B$11/E12,D15)</f>
        <v>319430.147844401</v>
      </c>
      <c r="F14" s="0" t="n">
        <f aca="false">MIN(Inputs!$B$11/F12,E15)</f>
        <v>314523.072975981</v>
      </c>
      <c r="G14" s="0" t="n">
        <f aca="false">MIN(Inputs!$B$11/G12,F15)</f>
        <v>316684.763169375</v>
      </c>
      <c r="H14" s="0" t="n">
        <f aca="false">MIN(Inputs!$B$11/H12,G15)</f>
        <v>311819.862805253</v>
      </c>
      <c r="I14" s="0" t="n">
        <f aca="false">MIN(Inputs!$B$11/I12,H15)</f>
        <v>313962.974066229</v>
      </c>
      <c r="J14" s="0" t="n">
        <f aca="false">MIN(Inputs!$B$11/J12,I15)</f>
        <v>309139.885732045</v>
      </c>
      <c r="K14" s="0" t="n">
        <f aca="false">MIN(Inputs!$B$11/K12,J15)</f>
        <v>311264.577739696</v>
      </c>
      <c r="L14" s="0" t="n">
        <f aca="false">MIN(Inputs!$B$11/L12,K15)</f>
        <v>306482.942076428</v>
      </c>
      <c r="M14" s="0" t="n">
        <f aca="false">MIN(Inputs!$B$11/M12,L15)</f>
        <v>308589.373137464</v>
      </c>
      <c r="N14" s="0" t="n">
        <f aca="false">MIN(Inputs!$B$11/N12,M15)</f>
        <v>303848.833874645</v>
      </c>
      <c r="O14" s="0" t="n">
        <f aca="false">MIN(Inputs!$B$11/O12,N15)</f>
        <v>305937.160935189</v>
      </c>
      <c r="P14" s="0" t="n">
        <f aca="false">MIN(Inputs!$B$11/P12,O15)</f>
        <v>301237.364864368</v>
      </c>
      <c r="Q14" s="0" t="n">
        <f aca="false">MIN(Inputs!$B$11/Q12,P15)</f>
        <v>303307.743521647</v>
      </c>
      <c r="R14" s="0" t="n">
        <f aca="false">MIN(Inputs!$B$11/R12,Q15)</f>
        <v>298648.340470068</v>
      </c>
      <c r="S14" s="0" t="n">
        <f aca="false">MIN(Inputs!$B$11/S12,R15)</f>
        <v>300700.924984009</v>
      </c>
      <c r="T14" s="0" t="n">
        <f aca="false">MIN(Inputs!$B$11/T12,S15)</f>
        <v>296081.567788524</v>
      </c>
      <c r="U14" s="0" t="n">
        <f aca="false">MIN(Inputs!$B$11/U12,T15)</f>
        <v>298116.511093247</v>
      </c>
      <c r="V14" s="0" t="n">
        <f aca="false">MIN(Inputs!$B$11/V12,U15)</f>
        <v>293536.855574447</v>
      </c>
      <c r="W14" s="0" t="n">
        <f aca="false">MIN(Inputs!$B$11/W12,V15)</f>
        <v>295554.309289658</v>
      </c>
      <c r="X14" s="0" t="n">
        <f aca="false">MIN(Inputs!$B$11/X12,W15)</f>
        <v>291014.014226228</v>
      </c>
      <c r="Y14" s="0" t="n">
        <f aca="false">MIN(Inputs!$B$11/Y12,X15)</f>
        <v>293014.128668519</v>
      </c>
      <c r="Z14" s="0" t="n">
        <f aca="false">MIN(Inputs!$B$11/Z12,Y15)</f>
        <v>288512.855771818</v>
      </c>
    </row>
    <row r="15" customFormat="false" ht="15" hidden="false" customHeight="false" outlineLevel="0" collapsed="false">
      <c r="A15" s="0" t="s">
        <v>2</v>
      </c>
      <c r="B15" s="1" t="n">
        <f aca="false">Inputs!$B$4</f>
        <v>25000000</v>
      </c>
      <c r="C15" s="0" t="n">
        <f aca="false">B15+C13-C14</f>
        <v>25130893.4788869</v>
      </c>
      <c r="D15" s="0" t="n">
        <f aca="false">C15+D13-D14</f>
        <v>25259776.1766843</v>
      </c>
      <c r="E15" s="0" t="n">
        <f aca="false">D15+E13-E14</f>
        <v>25389544.6742461</v>
      </c>
      <c r="F15" s="0" t="n">
        <f aca="false">E15+F13-F14</f>
        <v>25517319.6726426</v>
      </c>
      <c r="G15" s="0" t="n">
        <f aca="false">F15+G13-G14</f>
        <v>25645972.8576802</v>
      </c>
      <c r="H15" s="0" t="n">
        <f aca="false">G15+H13-H14</f>
        <v>25772649.6769448</v>
      </c>
      <c r="I15" s="0" t="n">
        <f aca="false">H15+I13-I14</f>
        <v>25900197.1351592</v>
      </c>
      <c r="J15" s="0" t="n">
        <f aca="false">I15+J13-J14</f>
        <v>26025785.2137378</v>
      </c>
      <c r="K15" s="0" t="n">
        <f aca="false">J15+K13-K14</f>
        <v>26152236.4484446</v>
      </c>
      <c r="L15" s="0" t="n">
        <f aca="false">K15+L13-L14</f>
        <v>26276745.1436631</v>
      </c>
      <c r="M15" s="0" t="n">
        <f aca="false">L15+M13-M14</f>
        <v>26402109.5765002</v>
      </c>
      <c r="N15" s="0" t="n">
        <f aca="false">M15+N13-N14</f>
        <v>26525548.1652618</v>
      </c>
      <c r="O15" s="0" t="n">
        <f aca="false">N15+O13-O14</f>
        <v>26649835.1368917</v>
      </c>
      <c r="P15" s="0" t="n">
        <f aca="false">O15+P13-P14</f>
        <v>26772212.8163679</v>
      </c>
      <c r="Q15" s="0" t="n">
        <f aca="false">P15+Q13-Q14</f>
        <v>26895431.5871735</v>
      </c>
      <c r="R15" s="0" t="n">
        <f aca="false">Q15+R13-R14</f>
        <v>27016757.4754895</v>
      </c>
      <c r="S15" s="0" t="n">
        <f aca="false">R15+S13-S14</f>
        <v>27138917.2262643</v>
      </c>
      <c r="T15" s="0" t="n">
        <f aca="false">S15+T13-T14</f>
        <v>27259200.3631784</v>
      </c>
      <c r="U15" s="0" t="n">
        <f aca="false">T15+U13-U14</f>
        <v>27380310.19581</v>
      </c>
      <c r="V15" s="0" t="n">
        <f aca="false">U15+V13-V14</f>
        <v>27499559.5433871</v>
      </c>
      <c r="W15" s="0" t="n">
        <f aca="false">V15+W13-W14</f>
        <v>27619628.481536</v>
      </c>
      <c r="X15" s="0" t="n">
        <f aca="false">W15+X13-X14</f>
        <v>27737852.9248154</v>
      </c>
      <c r="Y15" s="0" t="n">
        <f aca="false">X15+Y13-Y14</f>
        <v>27856889.914587</v>
      </c>
      <c r="Z15" s="0" t="n">
        <f aca="false">Y15+Z13-Z14</f>
        <v>27974098.2622443</v>
      </c>
    </row>
    <row r="16" customFormat="false" ht="15" hidden="false" customHeight="false" outlineLevel="0" collapsed="false">
      <c r="A16" s="0" t="s">
        <v>22</v>
      </c>
      <c r="B16" s="1" t="n">
        <f aca="false">Inputs!$B$3</f>
        <v>250000000</v>
      </c>
      <c r="C16" s="0" t="n">
        <f aca="false">C15*C12</f>
        <v>249593500</v>
      </c>
      <c r="D16" s="0" t="n">
        <f aca="false">D15*D12</f>
        <v>254787567.22878</v>
      </c>
      <c r="E16" s="0" t="n">
        <f aca="false">E15*E12</f>
        <v>254348387.294877</v>
      </c>
      <c r="F16" s="0" t="n">
        <f aca="false">F15*F12</f>
        <v>259616638.55005</v>
      </c>
      <c r="G16" s="0" t="n">
        <f aca="false">G15*G12</f>
        <v>259144495.375307</v>
      </c>
      <c r="H16" s="0" t="n">
        <f aca="false">H15*H12</f>
        <v>264487573.768614</v>
      </c>
      <c r="I16" s="0" t="n">
        <f aca="false">I15*I12</f>
        <v>263982181.59007</v>
      </c>
      <c r="J16" s="0" t="n">
        <f aca="false">J15*J12</f>
        <v>269400735.808476</v>
      </c>
      <c r="K16" s="0" t="n">
        <f aca="false">K15*K12</f>
        <v>268861806.385847</v>
      </c>
      <c r="L16" s="0" t="n">
        <f aca="false">L15*L12</f>
        <v>274356490.739878</v>
      </c>
      <c r="M16" s="0" t="n">
        <f aca="false">M15*M12</f>
        <v>273783733.334088</v>
      </c>
      <c r="N16" s="0" t="n">
        <f aca="false">N15*N12</f>
        <v>279355207.806578</v>
      </c>
      <c r="O16" s="0" t="n">
        <f aca="false">O15*O12</f>
        <v>278748329.15809</v>
      </c>
      <c r="P16" s="0" t="n">
        <f aca="false">P15*P12</f>
        <v>284397259.453357</v>
      </c>
      <c r="Q16" s="0" t="n">
        <f aca="false">Q15*Q12</f>
        <v>283755963.760329</v>
      </c>
      <c r="R16" s="0" t="n">
        <f aca="false">R15*R12</f>
        <v>289483021.353776</v>
      </c>
      <c r="S16" s="0" t="n">
        <f aca="false">S15*S12</f>
        <v>288807010.250015</v>
      </c>
      <c r="T16" s="0" t="n">
        <f aca="false">T15*T12</f>
        <v>294612872.438159</v>
      </c>
      <c r="U16" s="0" t="n">
        <f aca="false">U15*U12</f>
        <v>293901844.970896</v>
      </c>
      <c r="V16" s="0" t="n">
        <f aca="false">V15*V12</f>
        <v>299787194.921834</v>
      </c>
      <c r="W16" s="0" t="n">
        <f aca="false">W15*W12</f>
        <v>299040847.529297</v>
      </c>
      <c r="X16" s="0" t="n">
        <f aca="false">X15*X12</f>
        <v>305006374.333603</v>
      </c>
      <c r="Y16" s="0" t="n">
        <f aca="false">Y15*Y12</f>
        <v>304224400.822402</v>
      </c>
      <c r="Z16" s="0" t="n">
        <f aca="false">Z15*Z12</f>
        <v>310270799.544475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2" t="n">
        <f aca="false">(NAV!Z12/NAV!B12)^(12/24)-1</f>
        <v>0.0531552677671889</v>
      </c>
    </row>
    <row r="4" customFormat="false" ht="15" hidden="false" customHeight="false" outlineLevel="0" collapsed="false">
      <c r="A4" s="0" t="s">
        <v>24</v>
      </c>
      <c r="B4" s="1" t="n">
        <f aca="false">NAV!Z16</f>
        <v>310270799.544475</v>
      </c>
    </row>
    <row r="5" customFormat="false" ht="15" hidden="false" customHeight="false" outlineLevel="0" collapsed="false">
      <c r="A5" s="0" t="s">
        <v>25</v>
      </c>
      <c r="B5" s="3" t="n">
        <f aca="false">NAV!Z12</f>
        <v>11.0913601802578</v>
      </c>
    </row>
    <row r="6" customFormat="false" ht="15" hidden="false" customHeight="false" outlineLevel="0" collapsed="false">
      <c r="A6" s="0" t="s">
        <v>26</v>
      </c>
      <c r="B6" s="2" t="n">
        <f aca="false">(SUM(NAV!$B$6:$Z$6)+SUM(NAV!$B$7:$Z$7))/AVERAGE(NAV!$B$16:$Z$16)*12/24</f>
        <v>0.0160263091241737</v>
      </c>
    </row>
    <row r="7" customFormat="false" ht="15" hidden="false" customHeight="false" outlineLevel="0" collapsed="false">
      <c r="A7" s="0" t="s">
        <v>27</v>
      </c>
      <c r="B7" s="1" t="n">
        <f aca="false">SUM(NAV!$B$10:$Z$10)</f>
        <v>5111220.36671462</v>
      </c>
    </row>
    <row r="8" customFormat="false" ht="15" hidden="false" customHeight="false" outlineLevel="0" collapsed="false">
      <c r="A8" s="0" t="s">
        <v>28</v>
      </c>
      <c r="B8" s="1" t="n">
        <f aca="false">(Inputs!$B$10-Inputs!$B$11)*24</f>
        <v>31200000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