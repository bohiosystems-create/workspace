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al" sheetId="1" state="visible" r:id="rId3"/>
    <sheet name="Apprais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<sst xmlns="http://schemas.openxmlformats.org/spreadsheetml/2006/main" count="30" uniqueCount="28">
  <si>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JÖNKÖPING LOGISTIK – FORWARD FUNDING (SEK)</t>
  </si>
  <si>
    <t xml:space="preserve">Kommentar</t>
  </si>
  <si>
    <t xml:space="preserve">GLA (sqm)</t>
  </si>
  <si>
    <t xml:space="preserve">ERV (SEK/sqm/yr)</t>
  </si>
  <si>
    <t xml:space="preserve">agent view 1 150</t>
  </si>
  <si>
    <t xml:space="preserve">Rent free (months)</t>
  </si>
  <si>
    <t xml:space="preserve">Purchaser net initial yield</t>
  </si>
  <si>
    <t xml:space="preserve">fund bid</t>
  </si>
  <si>
    <t xml:space="preserve">Purchaser costs</t>
  </si>
  <si>
    <t xml:space="preserve">stamp duty 4.25 + fees</t>
  </si>
  <si>
    <t xml:space="preserve">Build cost (SEK/sqm)</t>
  </si>
  <si>
    <t xml:space="preserve">Land (SEK)</t>
  </si>
  <si>
    <t xml:space="preserve">Contingency</t>
  </si>
  <si>
    <t xml:space="preserve">Coupon on funded costs</t>
  </si>
  <si>
    <t xml:space="preserve">Programme (months)</t>
  </si>
  <si>
    <t xml:space="preserve">Professional fees</t>
  </si>
  <si>
    <t xml:space="preserve">Contracted rent (SEK/yr)</t>
  </si>
  <si>
    <t xml:space="preserve">Gross value</t>
  </si>
  <si>
    <t xml:space="preserve">Less purchaser costs</t>
  </si>
  <si>
    <t xml:space="preserve">Less rent-free top-up</t>
  </si>
  <si>
    <t xml:space="preserve">Net value at practical completion</t>
  </si>
  <si>
    <t xml:space="preserve">Build cost</t>
  </si>
  <si>
    <t xml:space="preserve">Land</t>
  </si>
  <si>
    <t xml:space="preserve">Coupon (funded costs)</t>
  </si>
  <si>
    <t xml:space="preserve">Total funded cost</t>
  </si>
  <si>
    <t xml:space="preserve">Developer profit</t>
  </si>
  <si>
    <t xml:space="preserve">Profit on cost</t>
  </si>
  <si>
    <t xml:space="preserve">Fund yield on total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</si>
</sst>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C2" s="0" t="s">
        <v>1</v>
      </c>
    </row>
    <row r="3" customFormat="false" ht="15" hidden="false" customHeight="false" outlineLevel="0" collapsed="false">
      <c r="A3" s="0" t="s">
        <v>2</v>
      </c>
      <c r="B3" s="1" t="n">
        <v>42000</v>
      </c>
    </row>
    <row r="4" customFormat="false" ht="15" hidden="false" customHeight="false" outlineLevel="0" collapsed="false">
      <c r="A4" s="0" t="s">
        <v>3</v>
      </c>
      <c r="B4" s="1" t="n">
        <v>1150</v>
      </c>
      <c r="D4" s="2" t="s">
        <v>4</v>
      </c>
    </row>
    <row r="5" customFormat="false" ht="15" hidden="false" customHeight="false" outlineLevel="0" collapsed="false">
      <c r="A5" s="0" t="s">
        <v>5</v>
      </c>
      <c r="B5" s="3" t="n">
        <v>6</v>
      </c>
    </row>
    <row r="6" customFormat="false" ht="15" hidden="false" customHeight="false" outlineLevel="0" collapsed="false">
      <c r="A6" s="0" t="s">
        <v>6</v>
      </c>
      <c r="B6" s="4" t="n">
        <v>0.0525</v>
      </c>
      <c r="D6" s="2" t="s">
        <v>7</v>
      </c>
    </row>
    <row r="7" customFormat="false" ht="15" hidden="false" customHeight="false" outlineLevel="0" collapsed="false">
      <c r="A7" s="0" t="s">
        <v>8</v>
      </c>
      <c r="B7" s="4" t="n">
        <v>0.045</v>
      </c>
      <c r="D7" s="2" t="s">
        <v>9</v>
      </c>
    </row>
    <row r="8" customFormat="false" ht="15" hidden="false" customHeight="false" outlineLevel="0" collapsed="false">
      <c r="A8" s="0" t="s">
        <v>10</v>
      </c>
      <c r="B8" s="1" t="n">
        <v>9400</v>
      </c>
    </row>
    <row r="9" customFormat="false" ht="15" hidden="false" customHeight="false" outlineLevel="0" collapsed="false">
      <c r="A9" s="0" t="s">
        <v>11</v>
      </c>
      <c r="B9" s="1" t="n">
        <v>38000000</v>
      </c>
    </row>
    <row r="10" customFormat="false" ht="15" hidden="false" customHeight="false" outlineLevel="0" collapsed="false">
      <c r="A10" s="0" t="s">
        <v>12</v>
      </c>
      <c r="B10" s="4" t="n">
        <v>0.05</v>
      </c>
    </row>
    <row r="11" customFormat="false" ht="15" hidden="false" customHeight="false" outlineLevel="0" collapsed="false">
      <c r="A11" s="0" t="s">
        <v>13</v>
      </c>
      <c r="B11" s="4" t="n">
        <v>0.065</v>
      </c>
    </row>
    <row r="12" customFormat="false" ht="15" hidden="false" customHeight="false" outlineLevel="0" collapsed="false">
      <c r="A12" s="0" t="s">
        <v>14</v>
      </c>
      <c r="B12" s="3" t="n">
        <v>16</v>
      </c>
    </row>
    <row r="13" customFormat="false" ht="15" hidden="false" customHeight="false" outlineLevel="0" collapsed="false">
      <c r="A13" s="0" t="s">
        <v>15</v>
      </c>
      <c r="B13" s="4" t="n"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16</v>
      </c>
      <c r="B3" s="1" t="n">
        <f aca="false">Deal!$B$3*Deal!$B$4</f>
        <v>48300000</v>
      </c>
    </row>
    <row r="4" customFormat="false" ht="15" hidden="false" customHeight="false" outlineLevel="0" collapsed="false">
      <c r="A4" s="0" t="s">
        <v>17</v>
      </c>
      <c r="B4" s="1" t="n">
        <f aca="false">B3/Deal!$B$6</f>
        <v>920000000</v>
      </c>
    </row>
    <row r="5" customFormat="false" ht="15" hidden="false" customHeight="false" outlineLevel="0" collapsed="false">
      <c r="A5" s="0" t="s">
        <v>18</v>
      </c>
      <c r="B5" s="1" t="n">
        <f aca="false">-B4*Deal!$B$7/(1+Deal!$B$7)</f>
        <v>-39617224.8803828</v>
      </c>
    </row>
    <row r="6" customFormat="false" ht="15" hidden="false" customHeight="false" outlineLevel="0" collapsed="false">
      <c r="A6" s="0" t="s">
        <v>19</v>
      </c>
      <c r="B6" s="1" t="n">
        <f aca="false">-B3*Deal!$B$5/12</f>
        <v>-24150000</v>
      </c>
    </row>
    <row r="7" customFormat="false" ht="15" hidden="false" customHeight="false" outlineLevel="0" collapsed="false">
      <c r="A7" s="0" t="s">
        <v>20</v>
      </c>
      <c r="B7" s="1" t="n">
        <f aca="false">B4+B5+B6</f>
        <v>856232775.119617</v>
      </c>
    </row>
    <row r="8" customFormat="false" ht="15" hidden="false" customHeight="false" outlineLevel="0" collapsed="false">
      <c r="A8" s="0" t="s">
        <v>21</v>
      </c>
      <c r="B8" s="1" t="n">
        <f aca="false">Deal!$B$3*Deal!$B$8</f>
        <v>394800000</v>
      </c>
    </row>
    <row r="9" customFormat="false" ht="15" hidden="false" customHeight="false" outlineLevel="0" collapsed="false">
      <c r="A9" s="0" t="s">
        <v>12</v>
      </c>
      <c r="B9" s="1" t="n">
        <f aca="false">B8*Deal!$B$10</f>
        <v>19740000</v>
      </c>
    </row>
    <row r="10" customFormat="false" ht="15" hidden="false" customHeight="false" outlineLevel="0" collapsed="false">
      <c r="A10" s="0" t="s">
        <v>15</v>
      </c>
      <c r="B10" s="1" t="n">
        <f aca="false">B8*Deal!$B$13</f>
        <v>31584000</v>
      </c>
    </row>
    <row r="11" customFormat="false" ht="15" hidden="false" customHeight="false" outlineLevel="0" collapsed="false">
      <c r="A11" s="0" t="s">
        <v>22</v>
      </c>
      <c r="B11" s="1" t="n">
        <f aca="false">Deal!$B$9</f>
        <v>38000000</v>
      </c>
    </row>
    <row r="12" customFormat="false" ht="15" hidden="false" customHeight="false" outlineLevel="0" collapsed="false">
      <c r="A12" s="0" t="s">
        <v>23</v>
      </c>
      <c r="B12" s="1" t="n">
        <f aca="false">(Deal!$B$9+(B8+B9+B10)*0.5)*Deal!$B$11*Deal!$B$12/12</f>
        <v>22625373.3333333</v>
      </c>
    </row>
    <row r="13" customFormat="false" ht="15" hidden="false" customHeight="false" outlineLevel="0" collapsed="false">
      <c r="A13" s="0" t="s">
        <v>24</v>
      </c>
      <c r="B13" s="1" t="n">
        <f aca="false">SUM(B8:B12)</f>
        <v>506749373.333333</v>
      </c>
    </row>
    <row r="14" customFormat="false" ht="15" hidden="false" customHeight="false" outlineLevel="0" collapsed="false">
      <c r="A14" s="0" t="s">
        <v>25</v>
      </c>
      <c r="B14" s="1" t="n">
        <f aca="false">B7-B13</f>
        <v>349483401.786284</v>
      </c>
    </row>
    <row r="15" customFormat="false" ht="15" hidden="false" customHeight="false" outlineLevel="0" collapsed="false">
      <c r="A15" s="0" t="s">
        <v>26</v>
      </c>
      <c r="B15" s="4" t="n">
        <f aca="false">B14/B13</f>
        <v>0.689657294467729</v>
      </c>
    </row>
    <row r="16" customFormat="false" ht="15" hidden="false" customHeight="false" outlineLevel="0" collapsed="false">
      <c r="A16" s="0" t="s">
        <v>27</v>
      </c>
      <c r="B16" s="4" t="n">
        <f aca="false">B3/(B13+B14)</f>
        <v>0.056409893902102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2026-10-16T17:29:18Z</dcterms:created>
  <dc:creator>openpyxl</dc:creator>
  <dc:description/>
  <dc:language>en-US</dc:language>
  <cp:lastModifiedBy/>
  <dcterms:modified xsi:type="dcterms:W3CDTF">2026-10-16T17:29:18Z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