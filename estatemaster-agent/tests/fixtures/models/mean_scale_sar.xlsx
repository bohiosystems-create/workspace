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 RAWDA – DEVELOPMENT (SAR '000)</t>
        </is>
      </c>
    </row>
    <row r="2">
      <c r="A2" t="inlineStr">
        <is>
          <t>Land</t>
        </is>
      </c>
      <c r="B2" t="n">
        <v>40000</v>
      </c>
    </row>
    <row r="3">
      <c r="A3" t="inlineStr">
        <is>
          <t>Construction</t>
        </is>
      </c>
      <c r="B3" t="n">
        <v>120000</v>
      </c>
    </row>
    <row r="4">
      <c r="A4" t="inlineStr">
        <is>
          <t>Sales</t>
        </is>
      </c>
      <c r="B4" t="n">
        <v>210000</v>
      </c>
    </row>
    <row r="5">
      <c r="A5" t="inlineStr">
        <is>
          <t>Loan to cost</t>
        </is>
      </c>
      <c r="B5" s="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(SAR '000)</t>
        </is>
      </c>
    </row>
    <row r="2">
      <c r="A2" t="inlineStr">
        <is>
          <t>Year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Cost</t>
        </is>
      </c>
      <c r="B3">
        <f>-(Inputs!$B$2*1+Inputs!$B$3*0.6)</f>
        <v/>
      </c>
      <c r="C3">
        <f>-(Inputs!$B$2*0+Inputs!$B$3*0.4)</f>
        <v/>
      </c>
      <c r="D3">
        <f>-(Inputs!$B$2*0+Inputs!$B$3*0)</f>
        <v/>
      </c>
      <c r="E3">
        <f>-(Inputs!$B$2*0+Inputs!$B$3*0)</f>
        <v/>
      </c>
      <c r="F3">
        <f>-(Inputs!$B$2*0+Inputs!$B$3*0)</f>
        <v/>
      </c>
    </row>
    <row r="4">
      <c r="A4" t="inlineStr">
        <is>
          <t>Sales</t>
        </is>
      </c>
      <c r="B4">
        <f>Inputs!$B$4*0</f>
        <v/>
      </c>
      <c r="C4">
        <f>Inputs!$B$4*0.4</f>
        <v/>
      </c>
      <c r="D4">
        <f>Inputs!$B$4*0.6</f>
        <v/>
      </c>
      <c r="E4">
        <f>Inputs!$B$4*0</f>
        <v/>
      </c>
      <c r="F4">
        <f>Inputs!$B$4*0</f>
        <v/>
      </c>
    </row>
    <row r="5">
      <c r="A5" t="inlineStr">
        <is>
          <t>Loan balance</t>
        </is>
      </c>
      <c r="B5">
        <f>-SUM($B$3:B3)*Inputs!$B$5*0.5</f>
        <v/>
      </c>
      <c r="C5">
        <f>-SUM($B$3:C3)*Inputs!$B$5*1.0</f>
        <v/>
      </c>
      <c r="D5">
        <f>-SUM($B$3:D3)*Inputs!$B$5*0</f>
        <v/>
      </c>
      <c r="E5">
        <f>-SUM($B$3:E3)*Inputs!$B$5*0</f>
        <v/>
      </c>
      <c r="F5">
        <f>-SUM($B$3:F3)*Inputs!$B$5*0</f>
        <v/>
      </c>
    </row>
    <row r="6">
      <c r="A6" t="inlineStr">
        <is>
          <t>Equity cash flow</t>
        </is>
      </c>
      <c r="B6">
        <f>B3+B4+(B5-0)</f>
        <v/>
      </c>
      <c r="C6">
        <f>C3+C4+(C5-B5)</f>
        <v/>
      </c>
      <c r="D6">
        <f>D3+D4+(D5-C5)</f>
        <v/>
      </c>
      <c r="E6">
        <f>E3+E4+(E5-D5)</f>
        <v/>
      </c>
      <c r="F6">
        <f>F3+F4+(F5-E5)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(SAR '000)</t>
        </is>
      </c>
    </row>
    <row r="2">
      <c r="A2" t="inlineStr">
        <is>
          <t>Net profit</t>
        </is>
      </c>
      <c r="B2">
        <f>SUM('Cash Flow'!B3:F4)</f>
        <v/>
      </c>
    </row>
    <row r="3">
      <c r="A3" t="inlineStr">
        <is>
          <t>Peak debt</t>
        </is>
      </c>
      <c r="B3">
        <f>MAX('Cash Flow'!B5:F5)</f>
        <v/>
      </c>
    </row>
    <row r="4">
      <c r="A4" t="inlineStr">
        <is>
          <t>Levered IRR</t>
        </is>
      </c>
      <c r="B4" s="1">
        <f>IRR('Cash Flow'!B6:F6)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2026-10-24T11:34:00Z</dcterms:created>
  <dcterms:modified xsi:type="dcterms:W3CDTF">2026-10-24T11:34:00Z</dcterms:modified>
</cp:coreProperties>
</file>