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al Summary" sheetId="1" state="visible" r:id="rId3"/>
    <sheet name="Assumptions" sheetId="2" state="visible" r:id="rId4"/>
    <sheet name="Lease C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<sst xmlns="http://schemas.openxmlformats.org/spreadsheetml/2006/main" count="44" uniqueCount="44">
  <si>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NET LEASE ACQUISITION | DEAL SUMMARY</t>
  </si>
  <si>
    <t xml:space="preserve">Tenant</t>
  </si>
  <si>
    <t xml:space="preserve">Drive-thru restaurant (corporate guarantee)</t>
  </si>
  <si>
    <t xml:space="preserve">Location</t>
  </si>
  <si>
    <t xml:space="preserve">Dubai, Al Barsha</t>
  </si>
  <si>
    <t xml:space="preserve">Going-in cap rate</t>
  </si>
  <si>
    <t xml:space="preserve">Year-1 cash-on-cash</t>
  </si>
  <si>
    <t xml:space="preserve">Unleveraged IRR</t>
  </si>
  <si>
    <t xml:space="preserve">Leveraged IRR</t>
  </si>
  <si>
    <t xml:space="preserve">Equity multiple</t>
  </si>
  <si>
    <t xml:space="preserve">Net profit (leveraged)</t>
  </si>
  <si>
    <t xml:space="preserve">ASSUMPTIONS (AED)</t>
  </si>
  <si>
    <t xml:space="preserve">Purchase price</t>
  </si>
  <si>
    <t xml:space="preserve">Closing costs (% of price)</t>
  </si>
  <si>
    <t xml:space="preserve">Year-1 base rent</t>
  </si>
  <si>
    <t xml:space="preserve">Rent step every 5 lease years</t>
  </si>
  <si>
    <t xml:space="preserve">Lease years remaining</t>
  </si>
  <si>
    <t xml:space="preserve">Vacancy before re-letting (years)</t>
  </si>
  <si>
    <t xml:space="preserve">Market rent at re-letting (% of last rent)</t>
  </si>
  <si>
    <t xml:space="preserve">Market rent growth a year</t>
  </si>
  <si>
    <t xml:space="preserve">Non-recoverable costs (% of rent)</t>
  </si>
  <si>
    <t xml:space="preserve">Hold period (years)</t>
  </si>
  <si>
    <t xml:space="preserve">Exit cap rate</t>
  </si>
  <si>
    <t xml:space="preserve">Selling costs</t>
  </si>
  <si>
    <t xml:space="preserve">Loan to value</t>
  </si>
  <si>
    <t xml:space="preserve">Interest rate</t>
  </si>
  <si>
    <t xml:space="preserve">Interest-only years</t>
  </si>
  <si>
    <t xml:space="preserve">Amortisation (years)</t>
  </si>
  <si>
    <t xml:space="preserve">Lease years elapsed at purchase</t>
  </si>
  <si>
    <t xml:space="preserve">Loan amount</t>
  </si>
  <si>
    <t xml:space="preserve">Annual debt service (amortising)</t>
  </si>
  <si>
    <t xml:space="preserve">LEASE CASH FLOW (AED)</t>
  </si>
  <si>
    <t xml:space="preserve">Year</t>
  </si>
  <si>
    <t xml:space="preserve">Lease year</t>
  </si>
  <si>
    <t xml:space="preserve">Base rent</t>
  </si>
  <si>
    <t xml:space="preserve">Non-recoverable costs</t>
  </si>
  <si>
    <t xml:space="preserve">Net operating income</t>
  </si>
  <si>
    <t xml:space="preserve">Interest</t>
  </si>
  <si>
    <t xml:space="preserve">Principal</t>
  </si>
  <si>
    <t xml:space="preserve">Debt service</t>
  </si>
  <si>
    <t xml:space="preserve">Sale proceeds</t>
  </si>
  <si>
    <t xml:space="preserve">Loan payoff</t>
  </si>
  <si>
    <t xml:space="preserve">Unleveraged cash flow</t>
  </si>
  <si>
    <t xml:space="preserve">Leveraged cash flow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</si>
</sst>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\x"/>
    <numFmt numFmtId="167" formatCode="#,##0"/>
    <numFmt numFmtId="168" formatCode="0"/>
    <numFmt numFmtId="169" formatCode="#,##0;\(#,##0\)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0" t="s">
        <v>3</v>
      </c>
      <c r="B4" s="0" t="s">
        <v>4</v>
      </c>
    </row>
    <row r="6" customFormat="false" ht="15" hidden="false" customHeight="false" outlineLevel="0" collapsed="false">
      <c r="A6" s="0" t="s">
        <v>5</v>
      </c>
      <c r="B6" s="1" t="n">
        <f aca="false">'Lease CF'!E7/Assumptions!B3</f>
        <v>0.0700598591549296</v>
      </c>
    </row>
    <row r="7" customFormat="false" ht="15" hidden="false" customHeight="false" outlineLevel="0" collapsed="false">
      <c r="A7" s="0" t="s">
        <v>6</v>
      </c>
      <c r="B7" s="1" t="n">
        <f aca="false">'Lease CF'!L7/-'Lease CF'!L6</f>
        <v>0.0808467274233637</v>
      </c>
    </row>
    <row r="9" customFormat="false" ht="15" hidden="false" customHeight="false" outlineLevel="0" collapsed="false">
      <c r="A9" s="0" t="s">
        <v>7</v>
      </c>
      <c r="B9" s="1" t="n">
        <f aca="false">IRR('Lease CF'!K6:K22)</f>
        <v>0.0657162729316601</v>
      </c>
    </row>
    <row r="10" customFormat="false" ht="15" hidden="false" customHeight="false" outlineLevel="0" collapsed="false">
      <c r="A10" s="0" t="s">
        <v>8</v>
      </c>
      <c r="B10" s="1" t="n">
        <f aca="false">IRR('Lease CF'!L6:L22)</f>
        <v>0.0741874751804883</v>
      </c>
    </row>
    <row r="11" customFormat="false" ht="15" hidden="false" customHeight="false" outlineLevel="0" collapsed="false">
      <c r="A11" s="0" t="s">
        <v>9</v>
      </c>
      <c r="B11" s="2" t="n">
        <f aca="false">SUM('Lease CF'!L7:L22)/-'Lease CF'!L6</f>
        <v>1.74471937796153</v>
      </c>
    </row>
    <row r="12" customFormat="false" ht="15" hidden="false" customHeight="false" outlineLevel="0" collapsed="false">
      <c r="A12" s="0" t="s">
        <v>10</v>
      </c>
      <c r="B12" s="3" t="n">
        <f aca="false">SUM('Lease CF'!L6:L22)</f>
        <v>4494381.44599781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11</v>
      </c>
    </row>
    <row r="3" customFormat="false" ht="15" hidden="false" customHeight="false" outlineLevel="0" collapsed="false">
      <c r="A3" s="0" t="s">
        <v>12</v>
      </c>
      <c r="B3" s="3" t="n">
        <v>14200000</v>
      </c>
    </row>
    <row r="4" customFormat="false" ht="15" hidden="false" customHeight="false" outlineLevel="0" collapsed="false">
      <c r="A4" s="0" t="s">
        <v>13</v>
      </c>
      <c r="B4" s="1" t="n">
        <v>0.025</v>
      </c>
    </row>
    <row r="5" customFormat="false" ht="15" hidden="false" customHeight="false" outlineLevel="0" collapsed="false">
      <c r="A5" s="0" t="s">
        <v>14</v>
      </c>
      <c r="B5" s="3" t="n">
        <v>1010000</v>
      </c>
    </row>
    <row r="6" customFormat="false" ht="15" hidden="false" customHeight="false" outlineLevel="0" collapsed="false">
      <c r="A6" s="0" t="s">
        <v>15</v>
      </c>
      <c r="B6" s="1" t="n">
        <v>0.1</v>
      </c>
    </row>
    <row r="7" customFormat="false" ht="15" hidden="false" customHeight="false" outlineLevel="0" collapsed="false">
      <c r="A7" s="0" t="s">
        <v>16</v>
      </c>
      <c r="B7" s="4" t="n">
        <v>8</v>
      </c>
    </row>
    <row r="8" customFormat="false" ht="15" hidden="false" customHeight="false" outlineLevel="0" collapsed="false">
      <c r="A8" s="0" t="s">
        <v>17</v>
      </c>
      <c r="B8" s="4" t="n">
        <v>1</v>
      </c>
    </row>
    <row r="9" customFormat="false" ht="15" hidden="false" customHeight="false" outlineLevel="0" collapsed="false">
      <c r="A9" s="0" t="s">
        <v>18</v>
      </c>
      <c r="B9" s="1" t="n">
        <v>0.95</v>
      </c>
    </row>
    <row r="10" customFormat="false" ht="15" hidden="false" customHeight="false" outlineLevel="0" collapsed="false">
      <c r="A10" s="0" t="s">
        <v>19</v>
      </c>
      <c r="B10" s="1" t="n">
        <v>0.02</v>
      </c>
    </row>
    <row r="11" customFormat="false" ht="15" hidden="false" customHeight="false" outlineLevel="0" collapsed="false">
      <c r="A11" s="0" t="s">
        <v>20</v>
      </c>
      <c r="B11" s="1" t="n">
        <v>0.015</v>
      </c>
    </row>
    <row r="12" customFormat="false" ht="15" hidden="false" customHeight="false" outlineLevel="0" collapsed="false">
      <c r="A12" s="0" t="s">
        <v>21</v>
      </c>
      <c r="B12" s="4" t="n">
        <v>10</v>
      </c>
    </row>
    <row r="13" customFormat="false" ht="15" hidden="false" customHeight="false" outlineLevel="0" collapsed="false">
      <c r="A13" s="0" t="s">
        <v>22</v>
      </c>
      <c r="B13" s="1" t="n">
        <v>0.0725</v>
      </c>
    </row>
    <row r="14" customFormat="false" ht="15" hidden="false" customHeight="false" outlineLevel="0" collapsed="false">
      <c r="A14" s="0" t="s">
        <v>23</v>
      </c>
      <c r="B14" s="1" t="n">
        <v>0.015</v>
      </c>
    </row>
    <row r="16" customFormat="false" ht="15" hidden="false" customHeight="false" outlineLevel="0" collapsed="false">
      <c r="A16" s="0" t="s">
        <v>24</v>
      </c>
      <c r="B16" s="1" t="n">
        <v>0.6</v>
      </c>
    </row>
    <row r="17" customFormat="false" ht="15" hidden="false" customHeight="false" outlineLevel="0" collapsed="false">
      <c r="A17" s="0" t="s">
        <v>25</v>
      </c>
      <c r="B17" s="1" t="n">
        <v>0.0595</v>
      </c>
    </row>
    <row r="18" customFormat="false" ht="15" hidden="false" customHeight="false" outlineLevel="0" collapsed="false">
      <c r="A18" s="0" t="s">
        <v>26</v>
      </c>
      <c r="B18" s="4" t="n">
        <v>3</v>
      </c>
    </row>
    <row r="19" customFormat="false" ht="15" hidden="false" customHeight="false" outlineLevel="0" collapsed="false">
      <c r="A19" s="0" t="s">
        <v>27</v>
      </c>
      <c r="B19" s="4" t="n">
        <v>25</v>
      </c>
    </row>
    <row r="20" customFormat="false" ht="15" hidden="false" customHeight="false" outlineLevel="0" collapsed="false">
      <c r="A20" s="0" t="s">
        <v>28</v>
      </c>
      <c r="B20" s="4" t="n">
        <v>7</v>
      </c>
    </row>
    <row r="22" customFormat="false" ht="15" hidden="false" customHeight="false" outlineLevel="0" collapsed="false">
      <c r="A22" s="0" t="s">
        <v>29</v>
      </c>
      <c r="B22" s="3" t="n">
        <f aca="false">B3*B16</f>
        <v>8520000</v>
      </c>
    </row>
    <row r="23" customFormat="false" ht="15" hidden="false" customHeight="false" outlineLevel="0" collapsed="false">
      <c r="A23" s="0" t="s">
        <v>30</v>
      </c>
      <c r="B23" s="3" t="n">
        <f aca="false">PMT(B17,B19,-B22)</f>
        <v>663328.413734752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31</v>
      </c>
    </row>
    <row r="5" customFormat="false" ht="15" hidden="false" customHeight="false" outlineLevel="0" collapsed="false">
      <c r="A5" s="0" t="s">
        <v>32</v>
      </c>
      <c r="B5" s="0" t="s">
        <v>33</v>
      </c>
      <c r="C5" s="0" t="s">
        <v>34</v>
      </c>
      <c r="D5" s="0" t="s">
        <v>35</v>
      </c>
      <c r="E5" s="0" t="s">
        <v>36</v>
      </c>
      <c r="F5" s="0" t="s">
        <v>37</v>
      </c>
      <c r="G5" s="0" t="s">
        <v>38</v>
      </c>
      <c r="H5" s="0" t="s">
        <v>39</v>
      </c>
      <c r="I5" s="0" t="s">
        <v>40</v>
      </c>
      <c r="J5" s="0" t="s">
        <v>41</v>
      </c>
      <c r="K5" s="0" t="s">
        <v>42</v>
      </c>
      <c r="L5" s="0" t="s">
        <v>43</v>
      </c>
    </row>
    <row r="6" customFormat="false" ht="15" hidden="false" customHeight="false" outlineLevel="0" collapsed="false">
      <c r="A6" s="0" t="n">
        <v>0</v>
      </c>
      <c r="B6" s="0" t="n">
        <f aca="false">Assumptions!$B$20+A6</f>
        <v>7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f aca="false">-Assumptions!B3*(1+Assumptions!B4)</f>
        <v>-14555000</v>
      </c>
      <c r="L6" s="5" t="n">
        <f aca="false">K6+Assumptions!B22</f>
        <v>-6035000</v>
      </c>
    </row>
    <row r="7" customFormat="false" ht="15" hidden="false" customHeight="false" outlineLevel="0" collapsed="false">
      <c r="A7" s="0" t="n">
        <v>1</v>
      </c>
      <c r="B7" s="0" t="n">
        <f aca="false">Assumptions!$B$20+A7</f>
        <v>8</v>
      </c>
      <c r="C7" s="5" t="n">
        <f aca="false">IF(A7&lt;=Assumptions!$B$7,Assumptions!$B$5*(1+Assumptions!$B$6)^(INT((B7-1)/5)-INT(Assumptions!$B$20/5)),IF(A7&lt;=Assumptions!$B$7+Assumptions!$B$8,0,Assumptions!$B$5*(1+Assumptions!$B$6)^(INT((Assumptions!$B$20+Assumptions!$B$7-1)/5)-INT(Assumptions!$B$20/5))*Assumptions!$B$9*(1+Assumptions!$B$10)^(A7-Assumptions!$B$7-Assumptions!$B$8-1)))</f>
        <v>1010000</v>
      </c>
      <c r="D7" s="5" t="n">
        <f aca="false">-C7*Assumptions!$B$11</f>
        <v>-15150</v>
      </c>
      <c r="E7" s="5" t="n">
        <f aca="false">C7+D7</f>
        <v>994850</v>
      </c>
      <c r="F7" s="5" t="n">
        <f aca="false">IF(A7&lt;=Assumptions!$B$18,Assumptions!$B$22*Assumptions!$B$17,-CUMIPMT(Assumptions!$B$17,Assumptions!$B$19,Assumptions!$B$22,A7-Assumptions!$B$18,A7-Assumptions!$B$18,0))</f>
        <v>506940</v>
      </c>
      <c r="G7" s="5" t="n">
        <f aca="false">IF(A7&lt;=Assumptions!$B$18,0,-CUMPRINC(Assumptions!$B$17,Assumptions!$B$19,Assumptions!$B$22,A7-Assumptions!$B$18,A7-Assumptions!$B$18,0))</f>
        <v>0</v>
      </c>
      <c r="H7" s="5" t="n">
        <f aca="false">F7+G7</f>
        <v>506940</v>
      </c>
      <c r="I7" s="5" t="n">
        <f aca="false">IF(A7=Assumptions!$B$12,E8/Assumptions!$B$13*(1-Assumptions!$B$14),0)</f>
        <v>0</v>
      </c>
      <c r="J7" s="5" t="n">
        <f aca="false">IF(A7=Assumptions!$B$12,Assumptions!$B$22+IF(A7&lt;=Assumptions!$B$18,0,CUMPRINC(Assumptions!$B$17,Assumptions!$B$19,Assumptions!$B$22,1,A7-Assumptions!$B$18,0)),0)</f>
        <v>0</v>
      </c>
      <c r="K7" s="5" t="n">
        <f aca="false">(A7&lt;=Assumptions!$B$12)*(E7+I7)</f>
        <v>994850</v>
      </c>
      <c r="L7" s="5" t="n">
        <f aca="false">(A7&lt;=Assumptions!$B$12)*(E7-H7+I7-J7)</f>
        <v>487910</v>
      </c>
    </row>
    <row r="8" customFormat="false" ht="15" hidden="false" customHeight="false" outlineLevel="0" collapsed="false">
      <c r="A8" s="0" t="n">
        <v>2</v>
      </c>
      <c r="B8" s="0" t="n">
        <f aca="false">Assumptions!$B$20+A8</f>
        <v>9</v>
      </c>
      <c r="C8" s="5" t="n">
        <f aca="false">IF(A8&lt;=Assumptions!$B$7,Assumptions!$B$5*(1+Assumptions!$B$6)^(INT((B8-1)/5)-INT(Assumptions!$B$20/5)),IF(A8&lt;=Assumptions!$B$7+Assumptions!$B$8,0,Assumptions!$B$5*(1+Assumptions!$B$6)^(INT((Assumptions!$B$20+Assumptions!$B$7-1)/5)-INT(Assumptions!$B$20/5))*Assumptions!$B$9*(1+Assumptions!$B$10)^(A8-Assumptions!$B$7-Assumptions!$B$8-1)))</f>
        <v>1010000</v>
      </c>
      <c r="D8" s="5" t="n">
        <f aca="false">-C8*Assumptions!$B$11</f>
        <v>-15150</v>
      </c>
      <c r="E8" s="5" t="n">
        <f aca="false">C8+D8</f>
        <v>994850</v>
      </c>
      <c r="F8" s="5" t="n">
        <f aca="false">IF(A8&lt;=Assumptions!$B$18,Assumptions!$B$22*Assumptions!$B$17,-CUMIPMT(Assumptions!$B$17,Assumptions!$B$19,Assumptions!$B$22,A8-Assumptions!$B$18,A8-Assumptions!$B$18,0))</f>
        <v>506940</v>
      </c>
      <c r="G8" s="5" t="n">
        <f aca="false">IF(A8&lt;=Assumptions!$B$18,0,-CUMPRINC(Assumptions!$B$17,Assumptions!$B$19,Assumptions!$B$22,A8-Assumptions!$B$18,A8-Assumptions!$B$18,0))</f>
        <v>0</v>
      </c>
      <c r="H8" s="5" t="n">
        <f aca="false">F8+G8</f>
        <v>506940</v>
      </c>
      <c r="I8" s="5" t="n">
        <f aca="false">IF(A8=Assumptions!$B$12,E9/Assumptions!$B$13*(1-Assumptions!$B$14),0)</f>
        <v>0</v>
      </c>
      <c r="J8" s="5" t="n">
        <f aca="false">IF(A8=Assumptions!$B$12,Assumptions!$B$22+IF(A8&lt;=Assumptions!$B$18,0,CUMPRINC(Assumptions!$B$17,Assumptions!$B$19,Assumptions!$B$22,1,A8-Assumptions!$B$18,0)),0)</f>
        <v>0</v>
      </c>
      <c r="K8" s="5" t="n">
        <f aca="false">(A8&lt;=Assumptions!$B$12)*(E8+I8)</f>
        <v>994850</v>
      </c>
      <c r="L8" s="5" t="n">
        <f aca="false">(A8&lt;=Assumptions!$B$12)*(E8-H8+I8-J8)</f>
        <v>487910</v>
      </c>
    </row>
    <row r="9" customFormat="false" ht="15" hidden="false" customHeight="false" outlineLevel="0" collapsed="false">
      <c r="A9" s="0" t="n">
        <v>3</v>
      </c>
      <c r="B9" s="0" t="n">
        <f aca="false">Assumptions!$B$20+A9</f>
        <v>10</v>
      </c>
      <c r="C9" s="5" t="n">
        <f aca="false">IF(A9&lt;=Assumptions!$B$7,Assumptions!$B$5*(1+Assumptions!$B$6)^(INT((B9-1)/5)-INT(Assumptions!$B$20/5)),IF(A9&lt;=Assumptions!$B$7+Assumptions!$B$8,0,Assumptions!$B$5*(1+Assumptions!$B$6)^(INT((Assumptions!$B$20+Assumptions!$B$7-1)/5)-INT(Assumptions!$B$20/5))*Assumptions!$B$9*(1+Assumptions!$B$10)^(A9-Assumptions!$B$7-Assumptions!$B$8-1)))</f>
        <v>1010000</v>
      </c>
      <c r="D9" s="5" t="n">
        <f aca="false">-C9*Assumptions!$B$11</f>
        <v>-15150</v>
      </c>
      <c r="E9" s="5" t="n">
        <f aca="false">C9+D9</f>
        <v>994850</v>
      </c>
      <c r="F9" s="5" t="n">
        <f aca="false">IF(A9&lt;=Assumptions!$B$18,Assumptions!$B$22*Assumptions!$B$17,-CUMIPMT(Assumptions!$B$17,Assumptions!$B$19,Assumptions!$B$22,A9-Assumptions!$B$18,A9-Assumptions!$B$18,0))</f>
        <v>506940</v>
      </c>
      <c r="G9" s="5" t="n">
        <f aca="false">IF(A9&lt;=Assumptions!$B$18,0,-CUMPRINC(Assumptions!$B$17,Assumptions!$B$19,Assumptions!$B$22,A9-Assumptions!$B$18,A9-Assumptions!$B$18,0))</f>
        <v>0</v>
      </c>
      <c r="H9" s="5" t="n">
        <f aca="false">F9+G9</f>
        <v>506940</v>
      </c>
      <c r="I9" s="5" t="n">
        <f aca="false">IF(A9=Assumptions!$B$12,E10/Assumptions!$B$13*(1-Assumptions!$B$14),0)</f>
        <v>0</v>
      </c>
      <c r="J9" s="5" t="n">
        <f aca="false">IF(A9=Assumptions!$B$12,Assumptions!$B$22+IF(A9&lt;=Assumptions!$B$18,0,CUMPRINC(Assumptions!$B$17,Assumptions!$B$19,Assumptions!$B$22,1,A9-Assumptions!$B$18,0)),0)</f>
        <v>0</v>
      </c>
      <c r="K9" s="5" t="n">
        <f aca="false">(A9&lt;=Assumptions!$B$12)*(E9+I9)</f>
        <v>994850</v>
      </c>
      <c r="L9" s="5" t="n">
        <f aca="false">(A9&lt;=Assumptions!$B$12)*(E9-H9+I9-J9)</f>
        <v>487910</v>
      </c>
    </row>
    <row r="10" customFormat="false" ht="15" hidden="false" customHeight="false" outlineLevel="0" collapsed="false">
      <c r="A10" s="0" t="n">
        <v>4</v>
      </c>
      <c r="B10" s="0" t="n">
        <f aca="false">Assumptions!$B$20+A10</f>
        <v>11</v>
      </c>
      <c r="C10" s="5" t="n">
        <f aca="false">IF(A10&lt;=Assumptions!$B$7,Assumptions!$B$5*(1+Assumptions!$B$6)^(INT((B10-1)/5)-INT(Assumptions!$B$20/5)),IF(A10&lt;=Assumptions!$B$7+Assumptions!$B$8,0,Assumptions!$B$5*(1+Assumptions!$B$6)^(INT((Assumptions!$B$20+Assumptions!$B$7-1)/5)-INT(Assumptions!$B$20/5))*Assumptions!$B$9*(1+Assumptions!$B$10)^(A10-Assumptions!$B$7-Assumptions!$B$8-1)))</f>
        <v>1111000</v>
      </c>
      <c r="D10" s="5" t="n">
        <f aca="false">-C10*Assumptions!$B$11</f>
        <v>-16665</v>
      </c>
      <c r="E10" s="5" t="n">
        <f aca="false">C10+D10</f>
        <v>1094335</v>
      </c>
      <c r="F10" s="5" t="n">
        <f aca="false">IF(A10&lt;=Assumptions!$B$18,Assumptions!$B$22*Assumptions!$B$17,-CUMIPMT(Assumptions!$B$17,Assumptions!$B$19,Assumptions!$B$22,A10-Assumptions!$B$18,A10-Assumptions!$B$18,0))</f>
        <v>506940</v>
      </c>
      <c r="G10" s="5" t="n">
        <f aca="false">IF(A10&lt;=Assumptions!$B$18,0,-CUMPRINC(Assumptions!$B$17,Assumptions!$B$19,Assumptions!$B$22,A10-Assumptions!$B$18,A10-Assumptions!$B$18,0))</f>
        <v>156388.413734752</v>
      </c>
      <c r="H10" s="5" t="n">
        <f aca="false">F10+G10</f>
        <v>663328.413734752</v>
      </c>
      <c r="I10" s="5" t="n">
        <f aca="false">IF(A10=Assumptions!$B$12,E11/Assumptions!$B$13*(1-Assumptions!$B$14),0)</f>
        <v>0</v>
      </c>
      <c r="J10" s="5" t="n">
        <f aca="false">IF(A10=Assumptions!$B$12,Assumptions!$B$22+IF(A10&lt;=Assumptions!$B$18,0,CUMPRINC(Assumptions!$B$17,Assumptions!$B$19,Assumptions!$B$22,1,A10-Assumptions!$B$18,0)),0)</f>
        <v>0</v>
      </c>
      <c r="K10" s="5" t="n">
        <f aca="false">(A10&lt;=Assumptions!$B$12)*(E10+I10)</f>
        <v>1094335</v>
      </c>
      <c r="L10" s="5" t="n">
        <f aca="false">(A10&lt;=Assumptions!$B$12)*(E10-H10+I10-J10)</f>
        <v>431006.586265248</v>
      </c>
    </row>
    <row r="11" customFormat="false" ht="15" hidden="false" customHeight="false" outlineLevel="0" collapsed="false">
      <c r="A11" s="0" t="n">
        <v>5</v>
      </c>
      <c r="B11" s="0" t="n">
        <f aca="false">Assumptions!$B$20+A11</f>
        <v>12</v>
      </c>
      <c r="C11" s="5" t="n">
        <f aca="false">IF(A11&lt;=Assumptions!$B$7,Assumptions!$B$5*(1+Assumptions!$B$6)^(INT((B11-1)/5)-INT(Assumptions!$B$20/5)),IF(A11&lt;=Assumptions!$B$7+Assumptions!$B$8,0,Assumptions!$B$5*(1+Assumptions!$B$6)^(INT((Assumptions!$B$20+Assumptions!$B$7-1)/5)-INT(Assumptions!$B$20/5))*Assumptions!$B$9*(1+Assumptions!$B$10)^(A11-Assumptions!$B$7-Assumptions!$B$8-1)))</f>
        <v>1111000</v>
      </c>
      <c r="D11" s="5" t="n">
        <f aca="false">-C11*Assumptions!$B$11</f>
        <v>-16665</v>
      </c>
      <c r="E11" s="5" t="n">
        <f aca="false">C11+D11</f>
        <v>1094335</v>
      </c>
      <c r="F11" s="5" t="n">
        <f aca="false">IF(A11&lt;=Assumptions!$B$18,Assumptions!$B$22*Assumptions!$B$17,-CUMIPMT(Assumptions!$B$17,Assumptions!$B$19,Assumptions!$B$22,A11-Assumptions!$B$18,A11-Assumptions!$B$18,0))</f>
        <v>497634.889382782</v>
      </c>
      <c r="G11" s="5" t="n">
        <f aca="false">IF(A11&lt;=Assumptions!$B$18,0,-CUMPRINC(Assumptions!$B$17,Assumptions!$B$19,Assumptions!$B$22,A11-Assumptions!$B$18,A11-Assumptions!$B$18,0))</f>
        <v>165693.52435197</v>
      </c>
      <c r="H11" s="5" t="n">
        <f aca="false">F11+G11</f>
        <v>663328.413734752</v>
      </c>
      <c r="I11" s="5" t="n">
        <f aca="false">IF(A11=Assumptions!$B$12,E12/Assumptions!$B$13*(1-Assumptions!$B$14),0)</f>
        <v>0</v>
      </c>
      <c r="J11" s="5" t="n">
        <f aca="false">IF(A11=Assumptions!$B$12,Assumptions!$B$22+IF(A11&lt;=Assumptions!$B$18,0,CUMPRINC(Assumptions!$B$17,Assumptions!$B$19,Assumptions!$B$22,1,A11-Assumptions!$B$18,0)),0)</f>
        <v>0</v>
      </c>
      <c r="K11" s="5" t="n">
        <f aca="false">(A11&lt;=Assumptions!$B$12)*(E11+I11)</f>
        <v>1094335</v>
      </c>
      <c r="L11" s="5" t="n">
        <f aca="false">(A11&lt;=Assumptions!$B$12)*(E11-H11+I11-J11)</f>
        <v>431006.586265248</v>
      </c>
    </row>
    <row r="12" customFormat="false" ht="15" hidden="false" customHeight="false" outlineLevel="0" collapsed="false">
      <c r="A12" s="0" t="n">
        <v>6</v>
      </c>
      <c r="B12" s="0" t="n">
        <f aca="false">Assumptions!$B$20+A12</f>
        <v>13</v>
      </c>
      <c r="C12" s="5" t="n">
        <f aca="false">IF(A12&lt;=Assumptions!$B$7,Assumptions!$B$5*(1+Assumptions!$B$6)^(INT((B12-1)/5)-INT(Assumptions!$B$20/5)),IF(A12&lt;=Assumptions!$B$7+Assumptions!$B$8,0,Assumptions!$B$5*(1+Assumptions!$B$6)^(INT((Assumptions!$B$20+Assumptions!$B$7-1)/5)-INT(Assumptions!$B$20/5))*Assumptions!$B$9*(1+Assumptions!$B$10)^(A12-Assumptions!$B$7-Assumptions!$B$8-1)))</f>
        <v>1111000</v>
      </c>
      <c r="D12" s="5" t="n">
        <f aca="false">-C12*Assumptions!$B$11</f>
        <v>-16665</v>
      </c>
      <c r="E12" s="5" t="n">
        <f aca="false">C12+D12</f>
        <v>1094335</v>
      </c>
      <c r="F12" s="5" t="n">
        <f aca="false">IF(A12&lt;=Assumptions!$B$18,Assumptions!$B$22*Assumptions!$B$17,-CUMIPMT(Assumptions!$B$17,Assumptions!$B$19,Assumptions!$B$22,A12-Assumptions!$B$18,A12-Assumptions!$B$18,0))</f>
        <v>487776.12468384</v>
      </c>
      <c r="G12" s="5" t="n">
        <f aca="false">IF(A12&lt;=Assumptions!$B$18,0,-CUMPRINC(Assumptions!$B$17,Assumptions!$B$19,Assumptions!$B$22,A12-Assumptions!$B$18,A12-Assumptions!$B$18,0))</f>
        <v>175552.289050912</v>
      </c>
      <c r="H12" s="5" t="n">
        <f aca="false">F12+G12</f>
        <v>663328.413734752</v>
      </c>
      <c r="I12" s="5" t="n">
        <f aca="false">IF(A12=Assumptions!$B$12,E13/Assumptions!$B$13*(1-Assumptions!$B$14),0)</f>
        <v>0</v>
      </c>
      <c r="J12" s="5" t="n">
        <f aca="false">IF(A12=Assumptions!$B$12,Assumptions!$B$22+IF(A12&lt;=Assumptions!$B$18,0,CUMPRINC(Assumptions!$B$17,Assumptions!$B$19,Assumptions!$B$22,1,A12-Assumptions!$B$18,0)),0)</f>
        <v>0</v>
      </c>
      <c r="K12" s="5" t="n">
        <f aca="false">(A12&lt;=Assumptions!$B$12)*(E12+I12)</f>
        <v>1094335</v>
      </c>
      <c r="L12" s="5" t="n">
        <f aca="false">(A12&lt;=Assumptions!$B$12)*(E12-H12+I12-J12)</f>
        <v>431006.586265248</v>
      </c>
    </row>
    <row r="13" customFormat="false" ht="15" hidden="false" customHeight="false" outlineLevel="0" collapsed="false">
      <c r="A13" s="0" t="n">
        <v>7</v>
      </c>
      <c r="B13" s="0" t="n">
        <f aca="false">Assumptions!$B$20+A13</f>
        <v>14</v>
      </c>
      <c r="C13" s="5" t="n">
        <f aca="false">IF(A13&lt;=Assumptions!$B$7,Assumptions!$B$5*(1+Assumptions!$B$6)^(INT((B13-1)/5)-INT(Assumptions!$B$20/5)),IF(A13&lt;=Assumptions!$B$7+Assumptions!$B$8,0,Assumptions!$B$5*(1+Assumptions!$B$6)^(INT((Assumptions!$B$20+Assumptions!$B$7-1)/5)-INT(Assumptions!$B$20/5))*Assumptions!$B$9*(1+Assumptions!$B$10)^(A13-Assumptions!$B$7-Assumptions!$B$8-1)))</f>
        <v>1111000</v>
      </c>
      <c r="D13" s="5" t="n">
        <f aca="false">-C13*Assumptions!$B$11</f>
        <v>-16665</v>
      </c>
      <c r="E13" s="5" t="n">
        <f aca="false">C13+D13</f>
        <v>1094335</v>
      </c>
      <c r="F13" s="5" t="n">
        <f aca="false">IF(A13&lt;=Assumptions!$B$18,Assumptions!$B$22*Assumptions!$B$17,-CUMIPMT(Assumptions!$B$17,Assumptions!$B$19,Assumptions!$B$22,A13-Assumptions!$B$18,A13-Assumptions!$B$18,0))</f>
        <v>477330.763485311</v>
      </c>
      <c r="G13" s="5" t="n">
        <f aca="false">IF(A13&lt;=Assumptions!$B$18,0,-CUMPRINC(Assumptions!$B$17,Assumptions!$B$19,Assumptions!$B$22,A13-Assumptions!$B$18,A13-Assumptions!$B$18,0))</f>
        <v>185997.650249442</v>
      </c>
      <c r="H13" s="5" t="n">
        <f aca="false">F13+G13</f>
        <v>663328.413734752</v>
      </c>
      <c r="I13" s="5" t="n">
        <f aca="false">IF(A13=Assumptions!$B$12,E14/Assumptions!$B$13*(1-Assumptions!$B$14),0)</f>
        <v>0</v>
      </c>
      <c r="J13" s="5" t="n">
        <f aca="false">IF(A13=Assumptions!$B$12,Assumptions!$B$22+IF(A13&lt;=Assumptions!$B$18,0,CUMPRINC(Assumptions!$B$17,Assumptions!$B$19,Assumptions!$B$22,1,A13-Assumptions!$B$18,0)),0)</f>
        <v>0</v>
      </c>
      <c r="K13" s="5" t="n">
        <f aca="false">(A13&lt;=Assumptions!$B$12)*(E13+I13)</f>
        <v>1094335</v>
      </c>
      <c r="L13" s="5" t="n">
        <f aca="false">(A13&lt;=Assumptions!$B$12)*(E13-H13+I13-J13)</f>
        <v>431006.586265248</v>
      </c>
    </row>
    <row r="14" customFormat="false" ht="15" hidden="false" customHeight="false" outlineLevel="0" collapsed="false">
      <c r="A14" s="0" t="n">
        <v>8</v>
      </c>
      <c r="B14" s="0" t="n">
        <f aca="false">Assumptions!$B$20+A14</f>
        <v>15</v>
      </c>
      <c r="C14" s="5" t="n">
        <f aca="false">IF(A14&lt;=Assumptions!$B$7,Assumptions!$B$5*(1+Assumptions!$B$6)^(INT((B14-1)/5)-INT(Assumptions!$B$20/5)),IF(A14&lt;=Assumptions!$B$7+Assumptions!$B$8,0,Assumptions!$B$5*(1+Assumptions!$B$6)^(INT((Assumptions!$B$20+Assumptions!$B$7-1)/5)-INT(Assumptions!$B$20/5))*Assumptions!$B$9*(1+Assumptions!$B$10)^(A14-Assumptions!$B$7-Assumptions!$B$8-1)))</f>
        <v>1111000</v>
      </c>
      <c r="D14" s="5" t="n">
        <f aca="false">-C14*Assumptions!$B$11</f>
        <v>-16665</v>
      </c>
      <c r="E14" s="5" t="n">
        <f aca="false">C14+D14</f>
        <v>1094335</v>
      </c>
      <c r="F14" s="5" t="n">
        <f aca="false">IF(A14&lt;=Assumptions!$B$18,Assumptions!$B$22*Assumptions!$B$17,-CUMIPMT(Assumptions!$B$17,Assumptions!$B$19,Assumptions!$B$22,A14-Assumptions!$B$18,A14-Assumptions!$B$18,0))</f>
        <v>466263.903295469</v>
      </c>
      <c r="G14" s="5" t="n">
        <f aca="false">IF(A14&lt;=Assumptions!$B$18,0,-CUMPRINC(Assumptions!$B$17,Assumptions!$B$19,Assumptions!$B$22,A14-Assumptions!$B$18,A14-Assumptions!$B$18,0))</f>
        <v>197064.510439283</v>
      </c>
      <c r="H14" s="5" t="n">
        <f aca="false">F14+G14</f>
        <v>663328.413734752</v>
      </c>
      <c r="I14" s="5" t="n">
        <f aca="false">IF(A14=Assumptions!$B$12,E15/Assumptions!$B$13*(1-Assumptions!$B$14),0)</f>
        <v>0</v>
      </c>
      <c r="J14" s="5" t="n">
        <f aca="false">IF(A14=Assumptions!$B$12,Assumptions!$B$22+IF(A14&lt;=Assumptions!$B$18,0,CUMPRINC(Assumptions!$B$17,Assumptions!$B$19,Assumptions!$B$22,1,A14-Assumptions!$B$18,0)),0)</f>
        <v>0</v>
      </c>
      <c r="K14" s="5" t="n">
        <f aca="false">(A14&lt;=Assumptions!$B$12)*(E14+I14)</f>
        <v>1094335</v>
      </c>
      <c r="L14" s="5" t="n">
        <f aca="false">(A14&lt;=Assumptions!$B$12)*(E14-H14+I14-J14)</f>
        <v>431006.586265248</v>
      </c>
    </row>
    <row r="15" customFormat="false" ht="15" hidden="false" customHeight="false" outlineLevel="0" collapsed="false">
      <c r="A15" s="0" t="n">
        <v>9</v>
      </c>
      <c r="B15" s="0" t="n">
        <f aca="false">Assumptions!$B$20+A15</f>
        <v>16</v>
      </c>
      <c r="C15" s="5" t="n">
        <f aca="false">IF(A15&lt;=Assumptions!$B$7,Assumptions!$B$5*(1+Assumptions!$B$6)^(INT((B15-1)/5)-INT(Assumptions!$B$20/5)),IF(A15&lt;=Assumptions!$B$7+Assumptions!$B$8,0,Assumptions!$B$5*(1+Assumptions!$B$6)^(INT((Assumptions!$B$20+Assumptions!$B$7-1)/5)-INT(Assumptions!$B$20/5))*Assumptions!$B$9*(1+Assumptions!$B$10)^(A15-Assumptions!$B$7-Assumptions!$B$8-1)))</f>
        <v>0</v>
      </c>
      <c r="D15" s="5" t="n">
        <f aca="false">-C15*Assumptions!$B$11</f>
        <v>-0</v>
      </c>
      <c r="E15" s="5" t="n">
        <f aca="false">C15+D15</f>
        <v>0</v>
      </c>
      <c r="F15" s="5" t="n">
        <f aca="false">IF(A15&lt;=Assumptions!$B$18,Assumptions!$B$22*Assumptions!$B$17,-CUMIPMT(Assumptions!$B$17,Assumptions!$B$19,Assumptions!$B$22,A15-Assumptions!$B$18,A15-Assumptions!$B$18,0))</f>
        <v>454538.564924332</v>
      </c>
      <c r="G15" s="5" t="n">
        <f aca="false">IF(A15&lt;=Assumptions!$B$18,0,-CUMPRINC(Assumptions!$B$17,Assumptions!$B$19,Assumptions!$B$22,A15-Assumptions!$B$18,A15-Assumptions!$B$18,0))</f>
        <v>208789.848810421</v>
      </c>
      <c r="H15" s="5" t="n">
        <f aca="false">F15+G15</f>
        <v>663328.413734752</v>
      </c>
      <c r="I15" s="5" t="n">
        <f aca="false">IF(A15=Assumptions!$B$12,E16/Assumptions!$B$13*(1-Assumptions!$B$14),0)</f>
        <v>0</v>
      </c>
      <c r="J15" s="5" t="n">
        <f aca="false">IF(A15=Assumptions!$B$12,Assumptions!$B$22+IF(A15&lt;=Assumptions!$B$18,0,CUMPRINC(Assumptions!$B$17,Assumptions!$B$19,Assumptions!$B$22,1,A15-Assumptions!$B$18,0)),0)</f>
        <v>0</v>
      </c>
      <c r="K15" s="5" t="n">
        <f aca="false">(A15&lt;=Assumptions!$B$12)*(E15+I15)</f>
        <v>0</v>
      </c>
      <c r="L15" s="5" t="n">
        <f aca="false">(A15&lt;=Assumptions!$B$12)*(E15-H15+I15-J15)</f>
        <v>-663328.413734752</v>
      </c>
    </row>
    <row r="16" customFormat="false" ht="15" hidden="false" customHeight="false" outlineLevel="0" collapsed="false">
      <c r="A16" s="0" t="n">
        <v>10</v>
      </c>
      <c r="B16" s="0" t="n">
        <f aca="false">Assumptions!$B$20+A16</f>
        <v>17</v>
      </c>
      <c r="C16" s="5" t="n">
        <f aca="false">IF(A16&lt;=Assumptions!$B$7,Assumptions!$B$5*(1+Assumptions!$B$6)^(INT((B16-1)/5)-INT(Assumptions!$B$20/5)),IF(A16&lt;=Assumptions!$B$7+Assumptions!$B$8,0,Assumptions!$B$5*(1+Assumptions!$B$6)^(INT((Assumptions!$B$20+Assumptions!$B$7-1)/5)-INT(Assumptions!$B$20/5))*Assumptions!$B$9*(1+Assumptions!$B$10)^(A16-Assumptions!$B$7-Assumptions!$B$8-1)))</f>
        <v>1055450</v>
      </c>
      <c r="D16" s="5" t="n">
        <f aca="false">-C16*Assumptions!$B$11</f>
        <v>-15831.75</v>
      </c>
      <c r="E16" s="5" t="n">
        <f aca="false">C16+D16</f>
        <v>1039618.25</v>
      </c>
      <c r="F16" s="5" t="n">
        <f aca="false">IF(A16&lt;=Assumptions!$B$18,Assumptions!$B$22*Assumptions!$B$17,-CUMIPMT(Assumptions!$B$17,Assumptions!$B$19,Assumptions!$B$22,A16-Assumptions!$B$18,A16-Assumptions!$B$18,0))</f>
        <v>442115.568920112</v>
      </c>
      <c r="G16" s="5" t="n">
        <f aca="false">IF(A16&lt;=Assumptions!$B$18,0,-CUMPRINC(Assumptions!$B$17,Assumptions!$B$19,Assumptions!$B$22,A16-Assumptions!$B$18,A16-Assumptions!$B$18,0))</f>
        <v>221212.844814641</v>
      </c>
      <c r="H16" s="5" t="n">
        <f aca="false">F16+G16</f>
        <v>663328.413734752</v>
      </c>
      <c r="I16" s="5" t="n">
        <f aca="false">IF(A16=Assumptions!$B$12,E17/Assumptions!$B$13*(1-Assumptions!$B$14),0)</f>
        <v>14406958.0106897</v>
      </c>
      <c r="J16" s="5" t="n">
        <f aca="false">IF(A16=Assumptions!$B$12,Assumptions!$B$22+IF(A16&lt;=Assumptions!$B$18,0,CUMPRINC(Assumptions!$B$17,Assumptions!$B$19,Assumptions!$B$22,1,A16-Assumptions!$B$18,0)),0)</f>
        <v>7209300.91854858</v>
      </c>
      <c r="K16" s="5" t="n">
        <f aca="false">(A16&lt;=Assumptions!$B$12)*(E16+I16)</f>
        <v>15446576.2606897</v>
      </c>
      <c r="L16" s="5" t="n">
        <f aca="false">(A16&lt;=Assumptions!$B$12)*(E16-H16+I16-J16)</f>
        <v>7573946.92840632</v>
      </c>
    </row>
    <row r="17" customFormat="false" ht="15" hidden="false" customHeight="false" outlineLevel="0" collapsed="false">
      <c r="A17" s="0" t="n">
        <v>11</v>
      </c>
      <c r="B17" s="0" t="n">
        <f aca="false">Assumptions!$B$20+A17</f>
        <v>18</v>
      </c>
      <c r="C17" s="5" t="n">
        <f aca="false">IF(A17&lt;=Assumptions!$B$7,Assumptions!$B$5*(1+Assumptions!$B$6)^(INT((B17-1)/5)-INT(Assumptions!$B$20/5)),IF(A17&lt;=Assumptions!$B$7+Assumptions!$B$8,0,Assumptions!$B$5*(1+Assumptions!$B$6)^(INT((Assumptions!$B$20+Assumptions!$B$7-1)/5)-INT(Assumptions!$B$20/5))*Assumptions!$B$9*(1+Assumptions!$B$10)^(A17-Assumptions!$B$7-Assumptions!$B$8-1)))</f>
        <v>1076559</v>
      </c>
      <c r="D17" s="5" t="n">
        <f aca="false">-C17*Assumptions!$B$11</f>
        <v>-16148.385</v>
      </c>
      <c r="E17" s="5" t="n">
        <f aca="false">C17+D17</f>
        <v>1060410.615</v>
      </c>
      <c r="F17" s="5" t="n">
        <f aca="false">IF(A17&lt;=Assumptions!$B$18,Assumptions!$B$22*Assumptions!$B$17,-CUMIPMT(Assumptions!$B$17,Assumptions!$B$19,Assumptions!$B$22,A17-Assumptions!$B$18,A17-Assumptions!$B$18,0))</f>
        <v>428953.404653641</v>
      </c>
      <c r="G17" s="5" t="n">
        <f aca="false">IF(A17&lt;=Assumptions!$B$18,0,-CUMPRINC(Assumptions!$B$17,Assumptions!$B$19,Assumptions!$B$22,A17-Assumptions!$B$18,A17-Assumptions!$B$18,0))</f>
        <v>234375.009081112</v>
      </c>
      <c r="H17" s="5" t="n">
        <f aca="false">F17+G17</f>
        <v>663328.413734752</v>
      </c>
      <c r="I17" s="5" t="n">
        <f aca="false">IF(A17=Assumptions!$B$12,E18/Assumptions!$B$13*(1-Assumptions!$B$14),0)</f>
        <v>0</v>
      </c>
      <c r="J17" s="5" t="n">
        <f aca="false">IF(A17=Assumptions!$B$12,Assumptions!$B$22+IF(A17&lt;=Assumptions!$B$18,0,CUMPRINC(Assumptions!$B$17,Assumptions!$B$19,Assumptions!$B$22,1,A17-Assumptions!$B$18,0)),0)</f>
        <v>0</v>
      </c>
      <c r="K17" s="5" t="n">
        <f aca="false">(A17&lt;=Assumptions!$B$12)*(E17+I17)</f>
        <v>0</v>
      </c>
      <c r="L17" s="5" t="n">
        <f aca="false">(A17&lt;=Assumptions!$B$12)*(E17-H17+I17-J17)</f>
        <v>0</v>
      </c>
    </row>
    <row r="18" customFormat="false" ht="15" hidden="false" customHeight="false" outlineLevel="0" collapsed="false">
      <c r="A18" s="0" t="n">
        <v>12</v>
      </c>
      <c r="B18" s="0" t="n">
        <f aca="false">Assumptions!$B$20+A18</f>
        <v>19</v>
      </c>
      <c r="C18" s="5" t="n">
        <f aca="false">IF(A18&lt;=Assumptions!$B$7,Assumptions!$B$5*(1+Assumptions!$B$6)^(INT((B18-1)/5)-INT(Assumptions!$B$20/5)),IF(A18&lt;=Assumptions!$B$7+Assumptions!$B$8,0,Assumptions!$B$5*(1+Assumptions!$B$6)^(INT((Assumptions!$B$20+Assumptions!$B$7-1)/5)-INT(Assumptions!$B$20/5))*Assumptions!$B$9*(1+Assumptions!$B$10)^(A18-Assumptions!$B$7-Assumptions!$B$8-1)))</f>
        <v>1098090.18</v>
      </c>
      <c r="D18" s="5" t="n">
        <f aca="false">-C18*Assumptions!$B$11</f>
        <v>-16471.3527</v>
      </c>
      <c r="E18" s="5" t="n">
        <f aca="false">C18+D18</f>
        <v>1081618.8273</v>
      </c>
      <c r="F18" s="5" t="n">
        <f aca="false">IF(A18&lt;=Assumptions!$B$18,Assumptions!$B$22*Assumptions!$B$17,-CUMIPMT(Assumptions!$B$17,Assumptions!$B$19,Assumptions!$B$22,A18-Assumptions!$B$18,A18-Assumptions!$B$18,0))</f>
        <v>415008.091613314</v>
      </c>
      <c r="G18" s="5" t="n">
        <f aca="false">IF(A18&lt;=Assumptions!$B$18,0,-CUMPRINC(Assumptions!$B$17,Assumptions!$B$19,Assumptions!$B$22,A18-Assumptions!$B$18,A18-Assumptions!$B$18,0))</f>
        <v>248320.322121438</v>
      </c>
      <c r="H18" s="5" t="n">
        <f aca="false">F18+G18</f>
        <v>663328.413734752</v>
      </c>
      <c r="I18" s="5" t="n">
        <f aca="false">IF(A18=Assumptions!$B$12,E19/Assumptions!$B$13*(1-Assumptions!$B$14),0)</f>
        <v>0</v>
      </c>
      <c r="J18" s="5" t="n">
        <f aca="false">IF(A18=Assumptions!$B$12,Assumptions!$B$22+IF(A18&lt;=Assumptions!$B$18,0,CUMPRINC(Assumptions!$B$17,Assumptions!$B$19,Assumptions!$B$22,1,A18-Assumptions!$B$18,0)),0)</f>
        <v>0</v>
      </c>
      <c r="K18" s="5" t="n">
        <f aca="false">(A18&lt;=Assumptions!$B$12)*(E18+I18)</f>
        <v>0</v>
      </c>
      <c r="L18" s="5" t="n">
        <f aca="false">(A18&lt;=Assumptions!$B$12)*(E18-H18+I18-J18)</f>
        <v>0</v>
      </c>
    </row>
    <row r="19" customFormat="false" ht="15" hidden="false" customHeight="false" outlineLevel="0" collapsed="false">
      <c r="A19" s="0" t="n">
        <v>13</v>
      </c>
      <c r="B19" s="0" t="n">
        <f aca="false">Assumptions!$B$20+A19</f>
        <v>20</v>
      </c>
      <c r="C19" s="5" t="n">
        <f aca="false">IF(A19&lt;=Assumptions!$B$7,Assumptions!$B$5*(1+Assumptions!$B$6)^(INT((B19-1)/5)-INT(Assumptions!$B$20/5)),IF(A19&lt;=Assumptions!$B$7+Assumptions!$B$8,0,Assumptions!$B$5*(1+Assumptions!$B$6)^(INT((Assumptions!$B$20+Assumptions!$B$7-1)/5)-INT(Assumptions!$B$20/5))*Assumptions!$B$9*(1+Assumptions!$B$10)^(A19-Assumptions!$B$7-Assumptions!$B$8-1)))</f>
        <v>1120051.9836</v>
      </c>
      <c r="D19" s="5" t="n">
        <f aca="false">-C19*Assumptions!$B$11</f>
        <v>-16800.779754</v>
      </c>
      <c r="E19" s="5" t="n">
        <f aca="false">C19+D19</f>
        <v>1103251.203846</v>
      </c>
      <c r="F19" s="5" t="n">
        <f aca="false">IF(A19&lt;=Assumptions!$B$18,Assumptions!$B$22*Assumptions!$B$17,-CUMIPMT(Assumptions!$B$17,Assumptions!$B$19,Assumptions!$B$22,A19-Assumptions!$B$18,A19-Assumptions!$B$18,0))</f>
        <v>400233.032447089</v>
      </c>
      <c r="G19" s="5" t="n">
        <f aca="false">IF(A19&lt;=Assumptions!$B$18,0,-CUMPRINC(Assumptions!$B$17,Assumptions!$B$19,Assumptions!$B$22,A19-Assumptions!$B$18,A19-Assumptions!$B$18,0))</f>
        <v>263095.381287663</v>
      </c>
      <c r="H19" s="5" t="n">
        <f aca="false">F19+G19</f>
        <v>663328.413734752</v>
      </c>
      <c r="I19" s="5" t="n">
        <f aca="false">IF(A19=Assumptions!$B$12,E20/Assumptions!$B$13*(1-Assumptions!$B$14),0)</f>
        <v>0</v>
      </c>
      <c r="J19" s="5" t="n">
        <f aca="false">IF(A19=Assumptions!$B$12,Assumptions!$B$22+IF(A19&lt;=Assumptions!$B$18,0,CUMPRINC(Assumptions!$B$17,Assumptions!$B$19,Assumptions!$B$22,1,A19-Assumptions!$B$18,0)),0)</f>
        <v>0</v>
      </c>
      <c r="K19" s="5" t="n">
        <f aca="false">(A19&lt;=Assumptions!$B$12)*(E19+I19)</f>
        <v>0</v>
      </c>
      <c r="L19" s="5" t="n">
        <f aca="false">(A19&lt;=Assumptions!$B$12)*(E19-H19+I19-J19)</f>
        <v>0</v>
      </c>
    </row>
    <row r="20" customFormat="false" ht="15" hidden="false" customHeight="false" outlineLevel="0" collapsed="false">
      <c r="A20" s="0" t="n">
        <v>14</v>
      </c>
      <c r="B20" s="0" t="n">
        <f aca="false">Assumptions!$B$20+A20</f>
        <v>21</v>
      </c>
      <c r="C20" s="5" t="n">
        <f aca="false">IF(A20&lt;=Assumptions!$B$7,Assumptions!$B$5*(1+Assumptions!$B$6)^(INT((B20-1)/5)-INT(Assumptions!$B$20/5)),IF(A20&lt;=Assumptions!$B$7+Assumptions!$B$8,0,Assumptions!$B$5*(1+Assumptions!$B$6)^(INT((Assumptions!$B$20+Assumptions!$B$7-1)/5)-INT(Assumptions!$B$20/5))*Assumptions!$B$9*(1+Assumptions!$B$10)^(A20-Assumptions!$B$7-Assumptions!$B$8-1)))</f>
        <v>1142453.023272</v>
      </c>
      <c r="D20" s="5" t="n">
        <f aca="false">-C20*Assumptions!$B$11</f>
        <v>-17136.79534908</v>
      </c>
      <c r="E20" s="5" t="n">
        <f aca="false">C20+D20</f>
        <v>1125316.22792292</v>
      </c>
      <c r="F20" s="5" t="n">
        <f aca="false">IF(A20&lt;=Assumptions!$B$18,Assumptions!$B$22*Assumptions!$B$17,-CUMIPMT(Assumptions!$B$17,Assumptions!$B$19,Assumptions!$B$22,A20-Assumptions!$B$18,A20-Assumptions!$B$18,0))</f>
        <v>384578.857260473</v>
      </c>
      <c r="G20" s="5" t="n">
        <f aca="false">IF(A20&lt;=Assumptions!$B$18,0,-CUMPRINC(Assumptions!$B$17,Assumptions!$B$19,Assumptions!$B$22,A20-Assumptions!$B$18,A20-Assumptions!$B$18,0))</f>
        <v>278749.556474279</v>
      </c>
      <c r="H20" s="5" t="n">
        <f aca="false">F20+G20</f>
        <v>663328.413734752</v>
      </c>
      <c r="I20" s="5" t="n">
        <f aca="false">IF(A20=Assumptions!$B$12,E21/Assumptions!$B$13*(1-Assumptions!$B$14),0)</f>
        <v>0</v>
      </c>
      <c r="J20" s="5" t="n">
        <f aca="false">IF(A20=Assumptions!$B$12,Assumptions!$B$22+IF(A20&lt;=Assumptions!$B$18,0,CUMPRINC(Assumptions!$B$17,Assumptions!$B$19,Assumptions!$B$22,1,A20-Assumptions!$B$18,0)),0)</f>
        <v>0</v>
      </c>
      <c r="K20" s="5" t="n">
        <f aca="false">(A20&lt;=Assumptions!$B$12)*(E20+I20)</f>
        <v>0</v>
      </c>
      <c r="L20" s="5" t="n">
        <f aca="false">(A20&lt;=Assumptions!$B$12)*(E20-H20+I20-J20)</f>
        <v>0</v>
      </c>
    </row>
    <row r="21" customFormat="false" ht="15" hidden="false" customHeight="false" outlineLevel="0" collapsed="false">
      <c r="A21" s="0" t="n">
        <v>15</v>
      </c>
      <c r="B21" s="0" t="n">
        <f aca="false">Assumptions!$B$20+A21</f>
        <v>22</v>
      </c>
      <c r="C21" s="5" t="n">
        <f aca="false">IF(A21&lt;=Assumptions!$B$7,Assumptions!$B$5*(1+Assumptions!$B$6)^(INT((B21-1)/5)-INT(Assumptions!$B$20/5)),IF(A21&lt;=Assumptions!$B$7+Assumptions!$B$8,0,Assumptions!$B$5*(1+Assumptions!$B$6)^(INT((Assumptions!$B$20+Assumptions!$B$7-1)/5)-INT(Assumptions!$B$20/5))*Assumptions!$B$9*(1+Assumptions!$B$10)^(A21-Assumptions!$B$7-Assumptions!$B$8-1)))</f>
        <v>1165302.08373744</v>
      </c>
      <c r="D21" s="5" t="n">
        <f aca="false">-C21*Assumptions!$B$11</f>
        <v>-17479.5312560616</v>
      </c>
      <c r="E21" s="5" t="n">
        <f aca="false">C21+D21</f>
        <v>1147822.55248138</v>
      </c>
      <c r="F21" s="5" t="n">
        <f aca="false">IF(A21&lt;=Assumptions!$B$18,Assumptions!$B$22*Assumptions!$B$17,-CUMIPMT(Assumptions!$B$17,Assumptions!$B$19,Assumptions!$B$22,A21-Assumptions!$B$18,A21-Assumptions!$B$18,0))</f>
        <v>367993.258650253</v>
      </c>
      <c r="G21" s="5" t="n">
        <f aca="false">IF(A21&lt;=Assumptions!$B$18,0,-CUMPRINC(Assumptions!$B$17,Assumptions!$B$19,Assumptions!$B$22,A21-Assumptions!$B$18,A21-Assumptions!$B$18,0))</f>
        <v>295335.155084499</v>
      </c>
      <c r="H21" s="5" t="n">
        <f aca="false">F21+G21</f>
        <v>663328.413734752</v>
      </c>
      <c r="I21" s="5" t="n">
        <f aca="false">IF(A21=Assumptions!$B$12,E22/Assumptions!$B$13*(1-Assumptions!$B$14),0)</f>
        <v>0</v>
      </c>
      <c r="J21" s="5" t="n">
        <f aca="false">IF(A21=Assumptions!$B$12,Assumptions!$B$22+IF(A21&lt;=Assumptions!$B$18,0,CUMPRINC(Assumptions!$B$17,Assumptions!$B$19,Assumptions!$B$22,1,A21-Assumptions!$B$18,0)),0)</f>
        <v>0</v>
      </c>
      <c r="K21" s="5" t="n">
        <f aca="false">(A21&lt;=Assumptions!$B$12)*(E21+I21)</f>
        <v>0</v>
      </c>
      <c r="L21" s="5" t="n">
        <f aca="false">(A21&lt;=Assumptions!$B$12)*(E21-H21+I21-J21)</f>
        <v>0</v>
      </c>
    </row>
    <row r="22" customFormat="false" ht="15" hidden="false" customHeight="false" outlineLevel="0" collapsed="false">
      <c r="A22" s="0" t="n">
        <v>16</v>
      </c>
      <c r="B22" s="0" t="n">
        <f aca="false">Assumptions!$B$20+A22</f>
        <v>23</v>
      </c>
      <c r="C22" s="5" t="n">
        <f aca="false">IF(A22&lt;=Assumptions!$B$7,Assumptions!$B$5*(1+Assumptions!$B$6)^(INT((B22-1)/5)-INT(Assumptions!$B$20/5)),IF(A22&lt;=Assumptions!$B$7+Assumptions!$B$8,0,Assumptions!$B$5*(1+Assumptions!$B$6)^(INT((Assumptions!$B$20+Assumptions!$B$7-1)/5)-INT(Assumptions!$B$20/5))*Assumptions!$B$9*(1+Assumptions!$B$10)^(A22-Assumptions!$B$7-Assumptions!$B$8-1)))</f>
        <v>1188608.12541219</v>
      </c>
      <c r="D22" s="5" t="n">
        <f aca="false">-C22*Assumptions!$B$11</f>
        <v>-17829.1218811828</v>
      </c>
      <c r="E22" s="5" t="n">
        <f aca="false">C22+D22</f>
        <v>1170779.00353101</v>
      </c>
      <c r="F22" s="5" t="n">
        <f aca="false">IF(A22&lt;=Assumptions!$B$18,Assumptions!$B$22*Assumptions!$B$17,-CUMIPMT(Assumptions!$B$17,Assumptions!$B$19,Assumptions!$B$22,A22-Assumptions!$B$18,A22-Assumptions!$B$18,0))</f>
        <v>350420.816922726</v>
      </c>
      <c r="G22" s="5" t="n">
        <f aca="false">IF(A22&lt;=Assumptions!$B$18,0,-CUMPRINC(Assumptions!$B$17,Assumptions!$B$19,Assumptions!$B$22,A22-Assumptions!$B$18,A22-Assumptions!$B$18,0))</f>
        <v>312907.596812027</v>
      </c>
      <c r="H22" s="5" t="n">
        <f aca="false">F22+G22</f>
        <v>663328.413734752</v>
      </c>
      <c r="I22" s="5" t="n">
        <f aca="false">IF(A22=Assumptions!$B$12,E22*(1+Assumptions!$B$10)/Assumptions!$B$13*(1-Assumptions!$B$14),0)</f>
        <v>0</v>
      </c>
      <c r="J22" s="5" t="n">
        <f aca="false">IF(A22=Assumptions!$B$12,Assumptions!$B$22+IF(A22&lt;=Assumptions!$B$18,0,CUMPRINC(Assumptions!$B$17,Assumptions!$B$19,Assumptions!$B$22,1,A22-Assumptions!$B$18,0)),0)</f>
        <v>0</v>
      </c>
      <c r="K22" s="5" t="n">
        <f aca="false">(A22&lt;=Assumptions!$B$12)*(E22+I22)</f>
        <v>0</v>
      </c>
      <c r="L22" s="5" t="n">
        <f aca="false">(A22&lt;=Assumptions!$B$12)*(E22-H22+I22-J22)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2026-10-19T19:13:19Z</dcterms:created>
  <dc:creator>openpyxl</dc:creator>
  <dc:description/>
  <dc:language>en-US</dc:language>
  <cp:lastModifiedBy/>
  <dcterms:modified xsi:type="dcterms:W3CDTF">2026-10-19T19:13:19Z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