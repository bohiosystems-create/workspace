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Waterfall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<sst xmlns="http://schemas.openxmlformats.org/spreadsheetml/2006/main" count="27" uniqueCount="27">
  <si>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HAFENCITY JV – RESIDENTIAL DEVELOPMENT (EUR)</t>
  </si>
  <si>
    <t xml:space="preserve">Development cost (EUR)</t>
  </si>
  <si>
    <t xml:space="preserve">Sales (EUR)</t>
  </si>
  <si>
    <t xml:space="preserve">Operating partner equity share</t>
  </si>
  <si>
    <t xml:space="preserve">Preferred return</t>
  </si>
  <si>
    <t xml:space="preserve">Catch-up to the operating partner</t>
  </si>
  <si>
    <t xml:space="preserve">Promote above the catch-up</t>
  </si>
  <si>
    <t xml:space="preserve">Years to sell out</t>
  </si>
  <si>
    <t xml:space="preserve">Year</t>
  </si>
  <si>
    <t xml:space="preserve">Project cash flow</t>
  </si>
  <si>
    <t xml:space="preserve">Capital partner</t>
  </si>
  <si>
    <t xml:space="preserve">Operating partner</t>
  </si>
  <si>
    <t xml:space="preserve">Distributable</t>
  </si>
  <si>
    <t xml:space="preserve">Equity in</t>
  </si>
  <si>
    <t xml:space="preserve">Pref to all</t>
  </si>
  <si>
    <t xml:space="preserve">Return of equity</t>
  </si>
  <si>
    <t xml:space="preserve">Catch-up</t>
  </si>
  <si>
    <t xml:space="preserve">Remaining</t>
  </si>
  <si>
    <t xml:space="preserve">Operating partner total</t>
  </si>
  <si>
    <t xml:space="preserve">Capital partner total</t>
  </si>
  <si>
    <t xml:space="preserve">HAFENCITY JV – DASHBOARD</t>
  </si>
  <si>
    <t xml:space="preserve">Returns</t>
  </si>
  <si>
    <t xml:space="preserve">Capital partner multiple</t>
  </si>
  <si>
    <t xml:space="preserve">Operating partner multiple</t>
  </si>
  <si>
    <t xml:space="preserve">Net profit (EUR)</t>
  </si>
  <si>
    <t xml:space="preserve">Project return a year</t>
  </si>
  <si>
    <t xml:space="preserve">Promote paid (EUR)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</si>
</sst>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148000000</v>
      </c>
    </row>
    <row r="4" customFormat="false" ht="15" hidden="false" customHeight="false" outlineLevel="0" collapsed="false">
      <c r="A4" s="0" t="s">
        <v>2</v>
      </c>
      <c r="B4" s="1" t="n">
        <v>196000000</v>
      </c>
    </row>
    <row r="5" customFormat="false" ht="15" hidden="false" customHeight="false" outlineLevel="0" collapsed="false">
      <c r="A5" s="0" t="s">
        <v>3</v>
      </c>
      <c r="B5" s="2" t="n">
        <v>0.1</v>
      </c>
    </row>
    <row r="6" customFormat="false" ht="15" hidden="false" customHeight="false" outlineLevel="0" collapsed="false">
      <c r="A6" s="0" t="s">
        <v>4</v>
      </c>
      <c r="B6" s="2" t="n">
        <v>0.06</v>
      </c>
    </row>
    <row r="7" customFormat="false" ht="15" hidden="false" customHeight="false" outlineLevel="0" collapsed="false">
      <c r="A7" s="0" t="s">
        <v>5</v>
      </c>
      <c r="B7" s="2" t="n">
        <v>0.5</v>
      </c>
    </row>
    <row r="8" customFormat="false" ht="15" hidden="false" customHeight="false" outlineLevel="0" collapsed="false">
      <c r="A8" s="0" t="s">
        <v>6</v>
      </c>
      <c r="B8" s="2" t="n">
        <v>0.25</v>
      </c>
    </row>
    <row r="9" customFormat="false" ht="15" hidden="false" customHeight="false" outlineLevel="0" collapsed="false">
      <c r="A9" s="0" t="s">
        <v>7</v>
      </c>
      <c r="B9" s="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8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</row>
    <row r="4" customFormat="false" ht="15" hidden="false" customHeight="false" outlineLevel="0" collapsed="false">
      <c r="A4" s="0" t="s">
        <v>9</v>
      </c>
      <c r="B4" s="0" t="n">
        <f aca="false">-Inputs!$B$3</f>
        <v>-148000000</v>
      </c>
      <c r="C4" s="0" t="n">
        <f aca="false">Inputs!$B$4/Inputs!$B$9</f>
        <v>49000000</v>
      </c>
      <c r="D4" s="0" t="n">
        <f aca="false">Inputs!$B$4/Inputs!$B$9</f>
        <v>49000000</v>
      </c>
      <c r="E4" s="0" t="n">
        <f aca="false">Inputs!$B$4/Inputs!$B$9</f>
        <v>49000000</v>
      </c>
      <c r="F4" s="0" t="n">
        <f aca="false">Inputs!$B$4/Inputs!$B$9</f>
        <v>49000000</v>
      </c>
    </row>
    <row r="5" customFormat="false" ht="15" hidden="false" customHeight="false" outlineLevel="0" collapsed="false">
      <c r="A5" s="0" t="s">
        <v>10</v>
      </c>
      <c r="B5" s="0" t="n">
        <f aca="false">B4*(1-Inputs!$B$5)</f>
        <v>-133200000</v>
      </c>
      <c r="C5" s="0" t="n">
        <f aca="false">0</f>
        <v>0</v>
      </c>
      <c r="D5" s="0" t="n">
        <f aca="false">0</f>
        <v>0</v>
      </c>
      <c r="E5" s="0" t="n">
        <f aca="false">0</f>
        <v>0</v>
      </c>
      <c r="F5" s="0" t="n">
        <f aca="false">0</f>
        <v>0</v>
      </c>
    </row>
    <row r="6" customFormat="false" ht="15" hidden="false" customHeight="false" outlineLevel="0" collapsed="false">
      <c r="A6" s="0" t="s">
        <v>11</v>
      </c>
      <c r="B6" s="0" t="n">
        <f aca="false">B4*Inputs!$B$5</f>
        <v>-14800000</v>
      </c>
      <c r="C6" s="0" t="n">
        <f aca="false">0</f>
        <v>0</v>
      </c>
      <c r="D6" s="0" t="n">
        <f aca="false">0</f>
        <v>0</v>
      </c>
      <c r="E6" s="0" t="n">
        <f aca="false">0</f>
        <v>0</v>
      </c>
      <c r="F6" s="0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1" t="n">
        <f aca="false">SUMIF('Cash Flow'!C4:F4,"&gt;0")</f>
        <v>196000000</v>
      </c>
    </row>
    <row r="4" customFormat="false" ht="15" hidden="false" customHeight="false" outlineLevel="0" collapsed="false">
      <c r="A4" s="0" t="s">
        <v>13</v>
      </c>
      <c r="B4" s="1" t="n">
        <f aca="false">Inputs!$B$3</f>
        <v>148000000</v>
      </c>
    </row>
    <row r="5" customFormat="false" ht="15" hidden="false" customHeight="false" outlineLevel="0" collapsed="false">
      <c r="A5" s="0" t="s">
        <v>14</v>
      </c>
      <c r="B5" s="1" t="n">
        <f aca="false">MIN(B3,B4*((1+Inputs!$B$6)^Inputs!$B$9-1))</f>
        <v>38846590.08</v>
      </c>
    </row>
    <row r="6" customFormat="false" ht="15" hidden="false" customHeight="false" outlineLevel="0" collapsed="false">
      <c r="A6" s="0" t="s">
        <v>15</v>
      </c>
      <c r="B6" s="1" t="n">
        <f aca="false">MIN(B3-B5,B4)</f>
        <v>148000000</v>
      </c>
    </row>
    <row r="7" customFormat="false" ht="15" hidden="false" customHeight="false" outlineLevel="0" collapsed="false">
      <c r="A7" s="0" t="s">
        <v>16</v>
      </c>
      <c r="B7" s="1" t="n">
        <f aca="false">MIN(B3-B5-B6,B5*Inputs!$B$7/(1-Inputs!$B$7)*Inputs!$B$8/Inputs!$B$7)</f>
        <v>9153409.91999996</v>
      </c>
    </row>
    <row r="8" customFormat="false" ht="15" hidden="false" customHeight="false" outlineLevel="0" collapsed="false">
      <c r="A8" s="0" t="s">
        <v>17</v>
      </c>
      <c r="B8" s="1" t="n">
        <f aca="false">B3-B5-B6-B7</f>
        <v>0</v>
      </c>
    </row>
    <row r="9" customFormat="false" ht="15" hidden="false" customHeight="false" outlineLevel="0" collapsed="false">
      <c r="A9" s="0" t="s">
        <v>18</v>
      </c>
      <c r="B9" s="1" t="n">
        <f aca="false">(B5+B6)*Inputs!$B$5+B7+B8*Inputs!$B$8+B8*(1-Inputs!$B$8)*Inputs!$B$5</f>
        <v>27838068.928</v>
      </c>
    </row>
    <row r="10" customFormat="false" ht="15" hidden="false" customHeight="false" outlineLevel="0" collapsed="false">
      <c r="A10" s="0" t="s">
        <v>19</v>
      </c>
      <c r="B10" s="1" t="n">
        <f aca="false">B3-B9</f>
        <v>168161931.072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20</v>
      </c>
      <c r="B1" s="4"/>
      <c r="C1" s="4"/>
      <c r="D1" s="4"/>
    </row>
    <row r="3" customFormat="false" ht="15" hidden="false" customHeight="false" outlineLevel="0" collapsed="false">
      <c r="A3" s="4" t="s">
        <v>21</v>
      </c>
      <c r="B3" s="4"/>
    </row>
    <row r="4" customFormat="false" ht="15" hidden="false" customHeight="false" outlineLevel="0" collapsed="false">
      <c r="A4" s="5" t="n">
        <f aca="false">Waterfall!B10/(Inputs!B3*(1-Inputs!B5))</f>
        <v>1.26247696</v>
      </c>
      <c r="B4" s="6" t="s">
        <v>22</v>
      </c>
    </row>
    <row r="5" customFormat="false" ht="15" hidden="false" customHeight="false" outlineLevel="0" collapsed="false">
      <c r="A5" s="5" t="n">
        <f aca="false">Waterfall!B9/(Inputs!B3*Inputs!B5)</f>
        <v>1.88095060324324</v>
      </c>
      <c r="B5" s="6" t="s">
        <v>23</v>
      </c>
    </row>
    <row r="6" customFormat="false" ht="15" hidden="false" customHeight="false" outlineLevel="0" collapsed="false">
      <c r="A6" s="1" t="n">
        <f aca="false">Waterfall!B3-Inputs!B3</f>
        <v>48000000</v>
      </c>
      <c r="B6" s="6" t="s">
        <v>24</v>
      </c>
    </row>
    <row r="7" customFormat="false" ht="15" hidden="false" customHeight="false" outlineLevel="0" collapsed="false">
      <c r="A7" s="2" t="n">
        <f aca="false">(Waterfall!B3/Inputs!B3)^(1/Inputs!B9)-1</f>
        <v>0.072750162497075</v>
      </c>
      <c r="B7" s="6" t="s">
        <v>25</v>
      </c>
    </row>
    <row r="8" customFormat="false" ht="15" hidden="false" customHeight="false" outlineLevel="0" collapsed="false">
      <c r="A8" s="1" t="n">
        <f aca="false">Waterfall!B7+Waterfall!B8*Inputs!B8</f>
        <v>9153409.91999996</v>
      </c>
      <c r="B8" s="6" t="s">
        <v>26</v>
      </c>
    </row>
  </sheetData>
  <mergeCells count="2">
    <mergeCell ref="A1:D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