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und" sheetId="1" state="visible" r:id="rId1"/>
    <sheet name="Inputs" sheetId="2" state="visible" r:id="rId2"/>
    <sheet name="FX" sheetId="3" state="visible" r:id="rId3"/>
    <sheet name="Riyadh Office" sheetId="4" state="visible" r:id="rId4"/>
    <sheet name="Jeddah Logistics" sheetId="5" state="visible" r:id="rId5"/>
    <sheet name="Dubai Residential" sheetId="6" state="visible" r:id="rId6"/>
    <sheet name="Returns" sheetId="7" state="visible" r:id="rId7"/>
    <sheet name="Checks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dd/mm/yyyy"/>
    <numFmt numFmtId="165" formatCode="yyyy-mm-dd"/>
    <numFmt numFmtId="166" formatCode="#,##0.0"/>
    <numFmt numFmtId="167" formatCode="0.00&quot;x&quot;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164" fontId="0" fillId="0" borderId="0" pivotButton="0" quotePrefix="0" xfId="0"/>
    <xf numFmtId="166" fontId="0" fillId="0" borderId="0" pivotButton="0" quotePrefix="0" xfId="0"/>
    <xf numFmtId="10" fontId="0" fillId="0" borderId="0" pivotButton="0" quotePrefix="0" xfId="0"/>
    <xf numFmtId="167" fontId="0" fillId="0" borderId="0" pivotButton="0" quotePrefix="0" xfId="0"/>
    <xf numFmtId="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GULF VALUE-ADD FUND II (USD m)</t>
        </is>
      </c>
    </row>
    <row r="2">
      <c r="A2" t="inlineStr">
        <is>
          <t>Quarter</t>
        </is>
      </c>
      <c r="C2" t="n">
        <v>1</v>
      </c>
      <c r="D2" t="n">
        <v>2</v>
      </c>
      <c r="E2" t="n">
        <v>3</v>
      </c>
      <c r="F2" t="n">
        <v>4</v>
      </c>
      <c r="G2" t="n">
        <v>5</v>
      </c>
      <c r="H2" t="n">
        <v>6</v>
      </c>
      <c r="I2" t="n">
        <v>7</v>
      </c>
      <c r="J2" t="n">
        <v>8</v>
      </c>
      <c r="K2" t="n">
        <v>9</v>
      </c>
      <c r="L2" t="n">
        <v>10</v>
      </c>
      <c r="M2" t="n">
        <v>11</v>
      </c>
      <c r="N2" t="n">
        <v>12</v>
      </c>
      <c r="O2" t="n">
        <v>13</v>
      </c>
      <c r="P2" t="n">
        <v>14</v>
      </c>
      <c r="Q2" t="n">
        <v>15</v>
      </c>
      <c r="R2" t="n">
        <v>16</v>
      </c>
    </row>
    <row r="3">
      <c r="A3" t="inlineStr">
        <is>
          <t>Date</t>
        </is>
      </c>
      <c r="C3" s="1">
        <f>EDATE(Inputs!$B$2,3*(C2-1))</f>
        <v/>
      </c>
      <c r="D3" s="1">
        <f>EDATE(Inputs!$B$2,3*(D2-1))</f>
        <v/>
      </c>
      <c r="E3" s="1">
        <f>EDATE(Inputs!$B$2,3*(E2-1))</f>
        <v/>
      </c>
      <c r="F3" s="1">
        <f>EDATE(Inputs!$B$2,3*(F2-1))</f>
        <v/>
      </c>
      <c r="G3" s="1">
        <f>EDATE(Inputs!$B$2,3*(G2-1))</f>
        <v/>
      </c>
      <c r="H3" s="1">
        <f>EDATE(Inputs!$B$2,3*(H2-1))</f>
        <v/>
      </c>
      <c r="I3" s="1">
        <f>EDATE(Inputs!$B$2,3*(I2-1))</f>
        <v/>
      </c>
      <c r="J3" s="1">
        <f>EDATE(Inputs!$B$2,3*(J2-1))</f>
        <v/>
      </c>
      <c r="K3" s="1">
        <f>EDATE(Inputs!$B$2,3*(K2-1))</f>
        <v/>
      </c>
      <c r="L3" s="1">
        <f>EDATE(Inputs!$B$2,3*(L2-1))</f>
        <v/>
      </c>
      <c r="M3" s="1">
        <f>EDATE(Inputs!$B$2,3*(M2-1))</f>
        <v/>
      </c>
      <c r="N3" s="1">
        <f>EDATE(Inputs!$B$2,3*(N2-1))</f>
        <v/>
      </c>
      <c r="O3" s="1">
        <f>EDATE(Inputs!$B$2,3*(O2-1))</f>
        <v/>
      </c>
      <c r="P3" s="1">
        <f>EDATE(Inputs!$B$2,3*(P2-1))</f>
        <v/>
      </c>
      <c r="Q3" s="1">
        <f>EDATE(Inputs!$B$2,3*(Q2-1))</f>
        <v/>
      </c>
      <c r="R3" s="1">
        <f>EDATE(Inputs!$B$2,3*(R2-1))</f>
        <v/>
      </c>
    </row>
    <row r="5">
      <c r="A5" t="inlineStr">
        <is>
          <t>Deal</t>
        </is>
      </c>
      <c r="B5" t="inlineStr">
        <is>
          <t>Currency</t>
        </is>
      </c>
    </row>
    <row r="6">
      <c r="A6" t="inlineStr">
        <is>
          <t>Riyadh Office</t>
        </is>
      </c>
      <c r="B6">
        <f>INDIRECT("'"&amp;$A6&amp;"'!$B$3")</f>
        <v/>
      </c>
      <c r="C6">
        <f>INDEX(INDIRECT("'"&amp;$A6&amp;"'!$C$22:$R$22"),1,C$2)</f>
        <v/>
      </c>
      <c r="D6">
        <f>INDEX(INDIRECT("'"&amp;$A6&amp;"'!$C$22:$R$22"),1,D$2)</f>
        <v/>
      </c>
      <c r="E6">
        <f>INDEX(INDIRECT("'"&amp;$A6&amp;"'!$C$22:$R$22"),1,E$2)</f>
        <v/>
      </c>
      <c r="F6">
        <f>INDEX(INDIRECT("'"&amp;$A6&amp;"'!$C$22:$R$22"),1,F$2)</f>
        <v/>
      </c>
      <c r="G6">
        <f>INDEX(INDIRECT("'"&amp;$A6&amp;"'!$C$22:$R$22"),1,G$2)</f>
        <v/>
      </c>
      <c r="H6">
        <f>INDEX(INDIRECT("'"&amp;$A6&amp;"'!$C$22:$R$22"),1,H$2)</f>
        <v/>
      </c>
      <c r="I6">
        <f>INDEX(INDIRECT("'"&amp;$A6&amp;"'!$C$22:$R$22"),1,I$2)</f>
        <v/>
      </c>
      <c r="J6">
        <f>INDEX(INDIRECT("'"&amp;$A6&amp;"'!$C$22:$R$22"),1,J$2)</f>
        <v/>
      </c>
      <c r="K6">
        <f>INDEX(INDIRECT("'"&amp;$A6&amp;"'!$C$22:$R$22"),1,K$2)</f>
        <v/>
      </c>
      <c r="L6">
        <f>INDEX(INDIRECT("'"&amp;$A6&amp;"'!$C$22:$R$22"),1,L$2)</f>
        <v/>
      </c>
      <c r="M6">
        <f>INDEX(INDIRECT("'"&amp;$A6&amp;"'!$C$22:$R$22"),1,M$2)</f>
        <v/>
      </c>
      <c r="N6">
        <f>INDEX(INDIRECT("'"&amp;$A6&amp;"'!$C$22:$R$22"),1,N$2)</f>
        <v/>
      </c>
      <c r="O6">
        <f>INDEX(INDIRECT("'"&amp;$A6&amp;"'!$C$22:$R$22"),1,O$2)</f>
        <v/>
      </c>
      <c r="P6">
        <f>INDEX(INDIRECT("'"&amp;$A6&amp;"'!$C$22:$R$22"),1,P$2)</f>
        <v/>
      </c>
      <c r="Q6">
        <f>INDEX(INDIRECT("'"&amp;$A6&amp;"'!$C$22:$R$22"),1,Q$2)</f>
        <v/>
      </c>
      <c r="R6">
        <f>INDEX(INDIRECT("'"&amp;$A6&amp;"'!$C$22:$R$22"),1,R$2)</f>
        <v/>
      </c>
    </row>
    <row r="7">
      <c r="A7" t="inlineStr">
        <is>
          <t>Jeddah Logistics</t>
        </is>
      </c>
      <c r="B7">
        <f>INDIRECT("'"&amp;$A7&amp;"'!$B$3")</f>
        <v/>
      </c>
      <c r="C7">
        <f>INDEX(INDIRECT("'"&amp;$A7&amp;"'!$C$22:$R$22"),1,C$2)</f>
        <v/>
      </c>
      <c r="D7">
        <f>INDEX(INDIRECT("'"&amp;$A7&amp;"'!$C$22:$R$22"),1,D$2)</f>
        <v/>
      </c>
      <c r="E7">
        <f>INDEX(INDIRECT("'"&amp;$A7&amp;"'!$C$22:$R$22"),1,E$2)</f>
        <v/>
      </c>
      <c r="F7">
        <f>INDEX(INDIRECT("'"&amp;$A7&amp;"'!$C$22:$R$22"),1,F$2)</f>
        <v/>
      </c>
      <c r="G7">
        <f>INDEX(INDIRECT("'"&amp;$A7&amp;"'!$C$22:$R$22"),1,G$2)</f>
        <v/>
      </c>
      <c r="H7">
        <f>INDEX(INDIRECT("'"&amp;$A7&amp;"'!$C$22:$R$22"),1,H$2)</f>
        <v/>
      </c>
      <c r="I7">
        <f>INDEX(INDIRECT("'"&amp;$A7&amp;"'!$C$22:$R$22"),1,I$2)</f>
        <v/>
      </c>
      <c r="J7">
        <f>INDEX(INDIRECT("'"&amp;$A7&amp;"'!$C$22:$R$22"),1,J$2)</f>
        <v/>
      </c>
      <c r="K7">
        <f>INDEX(INDIRECT("'"&amp;$A7&amp;"'!$C$22:$R$22"),1,K$2)</f>
        <v/>
      </c>
      <c r="L7">
        <f>INDEX(INDIRECT("'"&amp;$A7&amp;"'!$C$22:$R$22"),1,L$2)</f>
        <v/>
      </c>
      <c r="M7">
        <f>INDEX(INDIRECT("'"&amp;$A7&amp;"'!$C$22:$R$22"),1,M$2)</f>
        <v/>
      </c>
      <c r="N7">
        <f>INDEX(INDIRECT("'"&amp;$A7&amp;"'!$C$22:$R$22"),1,N$2)</f>
        <v/>
      </c>
      <c r="O7">
        <f>INDEX(INDIRECT("'"&amp;$A7&amp;"'!$C$22:$R$22"),1,O$2)</f>
        <v/>
      </c>
      <c r="P7">
        <f>INDEX(INDIRECT("'"&amp;$A7&amp;"'!$C$22:$R$22"),1,P$2)</f>
        <v/>
      </c>
      <c r="Q7">
        <f>INDEX(INDIRECT("'"&amp;$A7&amp;"'!$C$22:$R$22"),1,Q$2)</f>
        <v/>
      </c>
      <c r="R7">
        <f>INDEX(INDIRECT("'"&amp;$A7&amp;"'!$C$22:$R$22"),1,R$2)</f>
        <v/>
      </c>
    </row>
    <row r="8">
      <c r="A8" t="inlineStr">
        <is>
          <t>Dubai Residential</t>
        </is>
      </c>
      <c r="B8">
        <f>INDIRECT("'"&amp;$A8&amp;"'!$B$3")</f>
        <v/>
      </c>
      <c r="C8">
        <f>INDEX(INDIRECT("'"&amp;$A8&amp;"'!$C$22:$R$22"),1,C$2)</f>
        <v/>
      </c>
      <c r="D8">
        <f>INDEX(INDIRECT("'"&amp;$A8&amp;"'!$C$22:$R$22"),1,D$2)</f>
        <v/>
      </c>
      <c r="E8">
        <f>INDEX(INDIRECT("'"&amp;$A8&amp;"'!$C$22:$R$22"),1,E$2)</f>
        <v/>
      </c>
      <c r="F8">
        <f>INDEX(INDIRECT("'"&amp;$A8&amp;"'!$C$22:$R$22"),1,F$2)</f>
        <v/>
      </c>
      <c r="G8">
        <f>INDEX(INDIRECT("'"&amp;$A8&amp;"'!$C$22:$R$22"),1,G$2)</f>
        <v/>
      </c>
      <c r="H8">
        <f>INDEX(INDIRECT("'"&amp;$A8&amp;"'!$C$22:$R$22"),1,H$2)</f>
        <v/>
      </c>
      <c r="I8">
        <f>INDEX(INDIRECT("'"&amp;$A8&amp;"'!$C$22:$R$22"),1,I$2)</f>
        <v/>
      </c>
      <c r="J8">
        <f>INDEX(INDIRECT("'"&amp;$A8&amp;"'!$C$22:$R$22"),1,J$2)</f>
        <v/>
      </c>
      <c r="K8">
        <f>INDEX(INDIRECT("'"&amp;$A8&amp;"'!$C$22:$R$22"),1,K$2)</f>
        <v/>
      </c>
      <c r="L8">
        <f>INDEX(INDIRECT("'"&amp;$A8&amp;"'!$C$22:$R$22"),1,L$2)</f>
        <v/>
      </c>
      <c r="M8">
        <f>INDEX(INDIRECT("'"&amp;$A8&amp;"'!$C$22:$R$22"),1,M$2)</f>
        <v/>
      </c>
      <c r="N8">
        <f>INDEX(INDIRECT("'"&amp;$A8&amp;"'!$C$22:$R$22"),1,N$2)</f>
        <v/>
      </c>
      <c r="O8">
        <f>INDEX(INDIRECT("'"&amp;$A8&amp;"'!$C$22:$R$22"),1,O$2)</f>
        <v/>
      </c>
      <c r="P8">
        <f>INDEX(INDIRECT("'"&amp;$A8&amp;"'!$C$22:$R$22"),1,P$2)</f>
        <v/>
      </c>
      <c r="Q8">
        <f>INDEX(INDIRECT("'"&amp;$A8&amp;"'!$C$22:$R$22"),1,Q$2)</f>
        <v/>
      </c>
      <c r="R8">
        <f>INDEX(INDIRECT("'"&amp;$A8&amp;"'!$C$22:$R$22"),1,R$2)</f>
        <v/>
      </c>
    </row>
    <row r="10">
      <c r="A10" t="inlineStr">
        <is>
          <t>Gross cash flow (USD m)</t>
        </is>
      </c>
      <c r="C10">
        <f>SUM(C6:C8)</f>
        <v/>
      </c>
      <c r="D10">
        <f>SUM(D6:D8)</f>
        <v/>
      </c>
      <c r="E10">
        <f>SUM(E6:E8)</f>
        <v/>
      </c>
      <c r="F10">
        <f>SUM(F6:F8)</f>
        <v/>
      </c>
      <c r="G10">
        <f>SUM(G6:G8)</f>
        <v/>
      </c>
      <c r="H10">
        <f>SUM(H6:H8)</f>
        <v/>
      </c>
      <c r="I10">
        <f>SUM(I6:I8)</f>
        <v/>
      </c>
      <c r="J10">
        <f>SUM(J6:J8)</f>
        <v/>
      </c>
      <c r="K10">
        <f>SUM(K6:K8)</f>
        <v/>
      </c>
      <c r="L10">
        <f>SUM(L6:L8)</f>
        <v/>
      </c>
      <c r="M10">
        <f>SUM(M6:M8)</f>
        <v/>
      </c>
      <c r="N10">
        <f>SUM(N6:N8)</f>
        <v/>
      </c>
      <c r="O10">
        <f>SUM(O6:O8)</f>
        <v/>
      </c>
      <c r="P10">
        <f>SUM(P6:P8)</f>
        <v/>
      </c>
      <c r="Q10">
        <f>SUM(Q6:Q8)</f>
        <v/>
      </c>
      <c r="R10">
        <f>SUM(R6:R8)</f>
        <v/>
      </c>
    </row>
    <row r="11">
      <c r="A11" t="inlineStr">
        <is>
          <t>Management fee</t>
        </is>
      </c>
      <c r="C11">
        <f>Inputs!$B$3*Inputs!$B$4/4</f>
        <v/>
      </c>
      <c r="D11">
        <f>Inputs!$B$3*Inputs!$B$4/4</f>
        <v/>
      </c>
      <c r="E11">
        <f>Inputs!$B$3*Inputs!$B$4/4</f>
        <v/>
      </c>
      <c r="F11">
        <f>Inputs!$B$3*Inputs!$B$4/4</f>
        <v/>
      </c>
      <c r="G11">
        <f>Inputs!$B$3*Inputs!$B$4/4</f>
        <v/>
      </c>
      <c r="H11">
        <f>Inputs!$B$3*Inputs!$B$4/4</f>
        <v/>
      </c>
      <c r="I11">
        <f>Inputs!$B$3*Inputs!$B$4/4</f>
        <v/>
      </c>
      <c r="J11">
        <f>Inputs!$B$3*Inputs!$B$4/4</f>
        <v/>
      </c>
      <c r="K11">
        <f>Inputs!$B$3*Inputs!$B$4/4</f>
        <v/>
      </c>
      <c r="L11">
        <f>Inputs!$B$3*Inputs!$B$4/4</f>
        <v/>
      </c>
      <c r="M11">
        <f>Inputs!$B$3*Inputs!$B$4/4</f>
        <v/>
      </c>
      <c r="N11">
        <f>Inputs!$B$3*Inputs!$B$4/4</f>
        <v/>
      </c>
      <c r="O11">
        <f>Inputs!$B$3*Inputs!$B$4/4</f>
        <v/>
      </c>
      <c r="P11">
        <f>Inputs!$B$3*Inputs!$B$4/4</f>
        <v/>
      </c>
      <c r="Q11">
        <f>Inputs!$B$3*Inputs!$B$4/4</f>
        <v/>
      </c>
      <c r="R11">
        <f>Inputs!$B$3*Inputs!$B$4/4</f>
        <v/>
      </c>
    </row>
    <row r="12">
      <c r="A12" t="inlineStr">
        <is>
          <t>Net cash flow</t>
        </is>
      </c>
      <c r="C12">
        <f>C10-C11</f>
        <v/>
      </c>
      <c r="D12">
        <f>D10-D11</f>
        <v/>
      </c>
      <c r="E12">
        <f>E10-E11</f>
        <v/>
      </c>
      <c r="F12">
        <f>F10-F11</f>
        <v/>
      </c>
      <c r="G12">
        <f>G10-G11</f>
        <v/>
      </c>
      <c r="H12">
        <f>H10-H11</f>
        <v/>
      </c>
      <c r="I12">
        <f>I10-I11</f>
        <v/>
      </c>
      <c r="J12">
        <f>J10-J11</f>
        <v/>
      </c>
      <c r="K12">
        <f>K10-K11</f>
        <v/>
      </c>
      <c r="L12">
        <f>L10-L11</f>
        <v/>
      </c>
      <c r="M12">
        <f>M10-M11</f>
        <v/>
      </c>
      <c r="N12">
        <f>N10-N11</f>
        <v/>
      </c>
      <c r="O12">
        <f>O10-O11</f>
        <v/>
      </c>
      <c r="P12">
        <f>P10-P11</f>
        <v/>
      </c>
      <c r="Q12">
        <f>Q10-Q11</f>
        <v/>
      </c>
      <c r="R12">
        <f>R10-R11</f>
        <v/>
      </c>
    </row>
    <row r="13">
      <c r="A13" t="inlineStr">
        <is>
          <t>LP contribution</t>
        </is>
      </c>
      <c r="C13">
        <f>MAX(0,-C12)</f>
        <v/>
      </c>
      <c r="D13">
        <f>MAX(0,-D12)</f>
        <v/>
      </c>
      <c r="E13">
        <f>MAX(0,-E12)</f>
        <v/>
      </c>
      <c r="F13">
        <f>MAX(0,-F12)</f>
        <v/>
      </c>
      <c r="G13">
        <f>MAX(0,-G12)</f>
        <v/>
      </c>
      <c r="H13">
        <f>MAX(0,-H12)</f>
        <v/>
      </c>
      <c r="I13">
        <f>MAX(0,-I12)</f>
        <v/>
      </c>
      <c r="J13">
        <f>MAX(0,-J12)</f>
        <v/>
      </c>
      <c r="K13">
        <f>MAX(0,-K12)</f>
        <v/>
      </c>
      <c r="L13">
        <f>MAX(0,-L12)</f>
        <v/>
      </c>
      <c r="M13">
        <f>MAX(0,-M12)</f>
        <v/>
      </c>
      <c r="N13">
        <f>MAX(0,-N12)</f>
        <v/>
      </c>
      <c r="O13">
        <f>MAX(0,-O12)</f>
        <v/>
      </c>
      <c r="P13">
        <f>MAX(0,-P12)</f>
        <v/>
      </c>
      <c r="Q13">
        <f>MAX(0,-Q12)</f>
        <v/>
      </c>
      <c r="R13">
        <f>MAX(0,-R12)</f>
        <v/>
      </c>
    </row>
    <row r="14">
      <c r="A14" t="inlineStr">
        <is>
          <t>Distributable</t>
        </is>
      </c>
      <c r="C14">
        <f>MAX(0,C12)</f>
        <v/>
      </c>
      <c r="D14">
        <f>MAX(0,D12)</f>
        <v/>
      </c>
      <c r="E14">
        <f>MAX(0,E12)</f>
        <v/>
      </c>
      <c r="F14">
        <f>MAX(0,F12)</f>
        <v/>
      </c>
      <c r="G14">
        <f>MAX(0,G12)</f>
        <v/>
      </c>
      <c r="H14">
        <f>MAX(0,H12)</f>
        <v/>
      </c>
      <c r="I14">
        <f>MAX(0,I12)</f>
        <v/>
      </c>
      <c r="J14">
        <f>MAX(0,J12)</f>
        <v/>
      </c>
      <c r="K14">
        <f>MAX(0,K12)</f>
        <v/>
      </c>
      <c r="L14">
        <f>MAX(0,L12)</f>
        <v/>
      </c>
      <c r="M14">
        <f>MAX(0,M12)</f>
        <v/>
      </c>
      <c r="N14">
        <f>MAX(0,N12)</f>
        <v/>
      </c>
      <c r="O14">
        <f>MAX(0,O12)</f>
        <v/>
      </c>
      <c r="P14">
        <f>MAX(0,P12)</f>
        <v/>
      </c>
      <c r="Q14">
        <f>MAX(0,Q12)</f>
        <v/>
      </c>
      <c r="R14">
        <f>MAX(0,R12)</f>
        <v/>
      </c>
    </row>
    <row r="15">
      <c r="A15" t="inlineStr">
        <is>
          <t>Hurdle balance</t>
        </is>
      </c>
      <c r="C15">
        <f>0*(1+Inputs!$B$5)^(1/4)+C13-C16</f>
        <v/>
      </c>
      <c r="D15">
        <f>C15*(1+Inputs!$B$5)^(1/4)+D13-D16</f>
        <v/>
      </c>
      <c r="E15">
        <f>D15*(1+Inputs!$B$5)^(1/4)+E13-E16</f>
        <v/>
      </c>
      <c r="F15">
        <f>E15*(1+Inputs!$B$5)^(1/4)+F13-F16</f>
        <v/>
      </c>
      <c r="G15">
        <f>F15*(1+Inputs!$B$5)^(1/4)+G13-G16</f>
        <v/>
      </c>
      <c r="H15">
        <f>G15*(1+Inputs!$B$5)^(1/4)+H13-H16</f>
        <v/>
      </c>
      <c r="I15">
        <f>H15*(1+Inputs!$B$5)^(1/4)+I13-I16</f>
        <v/>
      </c>
      <c r="J15">
        <f>I15*(1+Inputs!$B$5)^(1/4)+J13-J16</f>
        <v/>
      </c>
      <c r="K15">
        <f>J15*(1+Inputs!$B$5)^(1/4)+K13-K16</f>
        <v/>
      </c>
      <c r="L15">
        <f>K15*(1+Inputs!$B$5)^(1/4)+L13-L16</f>
        <v/>
      </c>
      <c r="M15">
        <f>L15*(1+Inputs!$B$5)^(1/4)+M13-M16</f>
        <v/>
      </c>
      <c r="N15">
        <f>M15*(1+Inputs!$B$5)^(1/4)+N13-N16</f>
        <v/>
      </c>
      <c r="O15">
        <f>N15*(1+Inputs!$B$5)^(1/4)+O13-O16</f>
        <v/>
      </c>
      <c r="P15">
        <f>O15*(1+Inputs!$B$5)^(1/4)+P13-P16</f>
        <v/>
      </c>
      <c r="Q15">
        <f>P15*(1+Inputs!$B$5)^(1/4)+Q13-Q16</f>
        <v/>
      </c>
      <c r="R15">
        <f>Q15*(1+Inputs!$B$5)^(1/4)+R13-R16</f>
        <v/>
      </c>
    </row>
    <row r="16">
      <c r="A16" t="inlineStr">
        <is>
          <t>LP preferred return</t>
        </is>
      </c>
      <c r="C16">
        <f>MIN(C14,0*(1+Inputs!$B$5)^(1/4)+C13)</f>
        <v/>
      </c>
      <c r="D16">
        <f>MIN(D14,C15*(1+Inputs!$B$5)^(1/4)+D13)</f>
        <v/>
      </c>
      <c r="E16">
        <f>MIN(E14,D15*(1+Inputs!$B$5)^(1/4)+E13)</f>
        <v/>
      </c>
      <c r="F16">
        <f>MIN(F14,E15*(1+Inputs!$B$5)^(1/4)+F13)</f>
        <v/>
      </c>
      <c r="G16">
        <f>MIN(G14,F15*(1+Inputs!$B$5)^(1/4)+G13)</f>
        <v/>
      </c>
      <c r="H16">
        <f>MIN(H14,G15*(1+Inputs!$B$5)^(1/4)+H13)</f>
        <v/>
      </c>
      <c r="I16">
        <f>MIN(I14,H15*(1+Inputs!$B$5)^(1/4)+I13)</f>
        <v/>
      </c>
      <c r="J16">
        <f>MIN(J14,I15*(1+Inputs!$B$5)^(1/4)+J13)</f>
        <v/>
      </c>
      <c r="K16">
        <f>MIN(K14,J15*(1+Inputs!$B$5)^(1/4)+K13)</f>
        <v/>
      </c>
      <c r="L16">
        <f>MIN(L14,K15*(1+Inputs!$B$5)^(1/4)+L13)</f>
        <v/>
      </c>
      <c r="M16">
        <f>MIN(M14,L15*(1+Inputs!$B$5)^(1/4)+M13)</f>
        <v/>
      </c>
      <c r="N16">
        <f>MIN(N14,M15*(1+Inputs!$B$5)^(1/4)+N13)</f>
        <v/>
      </c>
      <c r="O16">
        <f>MIN(O14,N15*(1+Inputs!$B$5)^(1/4)+O13)</f>
        <v/>
      </c>
      <c r="P16">
        <f>MIN(P14,O15*(1+Inputs!$B$5)^(1/4)+P13)</f>
        <v/>
      </c>
      <c r="Q16">
        <f>MIN(Q14,P15*(1+Inputs!$B$5)^(1/4)+Q13)</f>
        <v/>
      </c>
      <c r="R16">
        <f>MIN(R14,Q15*(1+Inputs!$B$5)^(1/4)+R13)</f>
        <v/>
      </c>
    </row>
    <row r="17">
      <c r="A17" t="inlineStr">
        <is>
          <t>Cumulative pref paid</t>
        </is>
      </c>
      <c r="C17">
        <f>0+C16</f>
        <v/>
      </c>
      <c r="D17">
        <f>C17+D16</f>
        <v/>
      </c>
      <c r="E17">
        <f>D17+E16</f>
        <v/>
      </c>
      <c r="F17">
        <f>E17+F16</f>
        <v/>
      </c>
      <c r="G17">
        <f>F17+G16</f>
        <v/>
      </c>
      <c r="H17">
        <f>G17+H16</f>
        <v/>
      </c>
      <c r="I17">
        <f>H17+I16</f>
        <v/>
      </c>
      <c r="J17">
        <f>I17+J16</f>
        <v/>
      </c>
      <c r="K17">
        <f>J17+K16</f>
        <v/>
      </c>
      <c r="L17">
        <f>K17+L16</f>
        <v/>
      </c>
      <c r="M17">
        <f>L17+M16</f>
        <v/>
      </c>
      <c r="N17">
        <f>M17+N16</f>
        <v/>
      </c>
      <c r="O17">
        <f>N17+O16</f>
        <v/>
      </c>
      <c r="P17">
        <f>O17+P16</f>
        <v/>
      </c>
      <c r="Q17">
        <f>P17+Q16</f>
        <v/>
      </c>
      <c r="R17">
        <f>Q17+R16</f>
        <v/>
      </c>
    </row>
    <row r="18">
      <c r="A18" t="inlineStr">
        <is>
          <t>GP catch-up</t>
        </is>
      </c>
      <c r="C18">
        <f>MIN(C14-C16,MAX(0,Inputs!$B$6/(1-Inputs!$B$6)*C17-0))</f>
        <v/>
      </c>
      <c r="D18">
        <f>MIN(D14-D16,MAX(0,Inputs!$B$6/(1-Inputs!$B$6)*D17-C19))</f>
        <v/>
      </c>
      <c r="E18">
        <f>MIN(E14-E16,MAX(0,Inputs!$B$6/(1-Inputs!$B$6)*E17-D19))</f>
        <v/>
      </c>
      <c r="F18">
        <f>MIN(F14-F16,MAX(0,Inputs!$B$6/(1-Inputs!$B$6)*F17-E19))</f>
        <v/>
      </c>
      <c r="G18">
        <f>MIN(G14-G16,MAX(0,Inputs!$B$6/(1-Inputs!$B$6)*G17-F19))</f>
        <v/>
      </c>
      <c r="H18">
        <f>MIN(H14-H16,MAX(0,Inputs!$B$6/(1-Inputs!$B$6)*H17-G19))</f>
        <v/>
      </c>
      <c r="I18">
        <f>MIN(I14-I16,MAX(0,Inputs!$B$6/(1-Inputs!$B$6)*I17-H19))</f>
        <v/>
      </c>
      <c r="J18">
        <f>MIN(J14-J16,MAX(0,Inputs!$B$6/(1-Inputs!$B$6)*J17-I19))</f>
        <v/>
      </c>
      <c r="K18">
        <f>MIN(K14-K16,MAX(0,Inputs!$B$6/(1-Inputs!$B$6)*K17-J19))</f>
        <v/>
      </c>
      <c r="L18">
        <f>MIN(L14-L16,MAX(0,Inputs!$B$6/(1-Inputs!$B$6)*L17-K19))</f>
        <v/>
      </c>
      <c r="M18">
        <f>MIN(M14-M16,MAX(0,Inputs!$B$6/(1-Inputs!$B$6)*M17-L19))</f>
        <v/>
      </c>
      <c r="N18">
        <f>MIN(N14-N16,MAX(0,Inputs!$B$6/(1-Inputs!$B$6)*N17-M19))</f>
        <v/>
      </c>
      <c r="O18">
        <f>MIN(O14-O16,MAX(0,Inputs!$B$6/(1-Inputs!$B$6)*O17-N19))</f>
        <v/>
      </c>
      <c r="P18">
        <f>MIN(P14-P16,MAX(0,Inputs!$B$6/(1-Inputs!$B$6)*P17-O19))</f>
        <v/>
      </c>
      <c r="Q18">
        <f>MIN(Q14-Q16,MAX(0,Inputs!$B$6/(1-Inputs!$B$6)*Q17-P19))</f>
        <v/>
      </c>
      <c r="R18">
        <f>MIN(R14-R16,MAX(0,Inputs!$B$6/(1-Inputs!$B$6)*R17-Q19))</f>
        <v/>
      </c>
    </row>
    <row r="19">
      <c r="A19" t="inlineStr">
        <is>
          <t>Cumulative catch-up</t>
        </is>
      </c>
      <c r="C19">
        <f>0+C18</f>
        <v/>
      </c>
      <c r="D19">
        <f>C19+D18</f>
        <v/>
      </c>
      <c r="E19">
        <f>D19+E18</f>
        <v/>
      </c>
      <c r="F19">
        <f>E19+F18</f>
        <v/>
      </c>
      <c r="G19">
        <f>F19+G18</f>
        <v/>
      </c>
      <c r="H19">
        <f>G19+H18</f>
        <v/>
      </c>
      <c r="I19">
        <f>H19+I18</f>
        <v/>
      </c>
      <c r="J19">
        <f>I19+J18</f>
        <v/>
      </c>
      <c r="K19">
        <f>J19+K18</f>
        <v/>
      </c>
      <c r="L19">
        <f>K19+L18</f>
        <v/>
      </c>
      <c r="M19">
        <f>L19+M18</f>
        <v/>
      </c>
      <c r="N19">
        <f>M19+N18</f>
        <v/>
      </c>
      <c r="O19">
        <f>N19+O18</f>
        <v/>
      </c>
      <c r="P19">
        <f>O19+P18</f>
        <v/>
      </c>
      <c r="Q19">
        <f>P19+Q18</f>
        <v/>
      </c>
      <c r="R19">
        <f>Q19+R18</f>
        <v/>
      </c>
    </row>
    <row r="20">
      <c r="A20" t="inlineStr">
        <is>
          <t>Residual</t>
        </is>
      </c>
      <c r="C20">
        <f>C14-C16-C18</f>
        <v/>
      </c>
      <c r="D20">
        <f>D14-D16-D18</f>
        <v/>
      </c>
      <c r="E20">
        <f>E14-E16-E18</f>
        <v/>
      </c>
      <c r="F20">
        <f>F14-F16-F18</f>
        <v/>
      </c>
      <c r="G20">
        <f>G14-G16-G18</f>
        <v/>
      </c>
      <c r="H20">
        <f>H14-H16-H18</f>
        <v/>
      </c>
      <c r="I20">
        <f>I14-I16-I18</f>
        <v/>
      </c>
      <c r="J20">
        <f>J14-J16-J18</f>
        <v/>
      </c>
      <c r="K20">
        <f>K14-K16-K18</f>
        <v/>
      </c>
      <c r="L20">
        <f>L14-L16-L18</f>
        <v/>
      </c>
      <c r="M20">
        <f>M14-M16-M18</f>
        <v/>
      </c>
      <c r="N20">
        <f>N14-N16-N18</f>
        <v/>
      </c>
      <c r="O20">
        <f>O14-O16-O18</f>
        <v/>
      </c>
      <c r="P20">
        <f>P14-P16-P18</f>
        <v/>
      </c>
      <c r="Q20">
        <f>Q14-Q16-Q18</f>
        <v/>
      </c>
      <c r="R20">
        <f>R14-R16-R18</f>
        <v/>
      </c>
    </row>
    <row r="21">
      <c r="A21" t="inlineStr">
        <is>
          <t>LP net cash flow</t>
        </is>
      </c>
      <c r="C21">
        <f>-C13+C16+(1-Inputs!$B$6)*C20</f>
        <v/>
      </c>
      <c r="D21">
        <f>-D13+D16+(1-Inputs!$B$6)*D20</f>
        <v/>
      </c>
      <c r="E21">
        <f>-E13+E16+(1-Inputs!$B$6)*E20</f>
        <v/>
      </c>
      <c r="F21">
        <f>-F13+F16+(1-Inputs!$B$6)*F20</f>
        <v/>
      </c>
      <c r="G21">
        <f>-G13+G16+(1-Inputs!$B$6)*G20</f>
        <v/>
      </c>
      <c r="H21">
        <f>-H13+H16+(1-Inputs!$B$6)*H20</f>
        <v/>
      </c>
      <c r="I21">
        <f>-I13+I16+(1-Inputs!$B$6)*I20</f>
        <v/>
      </c>
      <c r="J21">
        <f>-J13+J16+(1-Inputs!$B$6)*J20</f>
        <v/>
      </c>
      <c r="K21">
        <f>-K13+K16+(1-Inputs!$B$6)*K20</f>
        <v/>
      </c>
      <c r="L21">
        <f>-L13+L16+(1-Inputs!$B$6)*L20</f>
        <v/>
      </c>
      <c r="M21">
        <f>-M13+M16+(1-Inputs!$B$6)*M20</f>
        <v/>
      </c>
      <c r="N21">
        <f>-N13+N16+(1-Inputs!$B$6)*N20</f>
        <v/>
      </c>
      <c r="O21">
        <f>-O13+O16+(1-Inputs!$B$6)*O20</f>
        <v/>
      </c>
      <c r="P21">
        <f>-P13+P16+(1-Inputs!$B$6)*P20</f>
        <v/>
      </c>
      <c r="Q21">
        <f>-Q13+Q16+(1-Inputs!$B$6)*Q20</f>
        <v/>
      </c>
      <c r="R21">
        <f>-R13+R16+(1-Inputs!$B$6)*R20</f>
        <v/>
      </c>
    </row>
    <row r="22">
      <c r="A22" t="inlineStr">
        <is>
          <t>GP carry</t>
        </is>
      </c>
      <c r="C22">
        <f>C18+Inputs!$B$6*C20</f>
        <v/>
      </c>
      <c r="D22">
        <f>D18+Inputs!$B$6*D20</f>
        <v/>
      </c>
      <c r="E22">
        <f>E18+Inputs!$B$6*E20</f>
        <v/>
      </c>
      <c r="F22">
        <f>F18+Inputs!$B$6*F20</f>
        <v/>
      </c>
      <c r="G22">
        <f>G18+Inputs!$B$6*G20</f>
        <v/>
      </c>
      <c r="H22">
        <f>H18+Inputs!$B$6*H20</f>
        <v/>
      </c>
      <c r="I22">
        <f>I18+Inputs!$B$6*I20</f>
        <v/>
      </c>
      <c r="J22">
        <f>J18+Inputs!$B$6*J20</f>
        <v/>
      </c>
      <c r="K22">
        <f>K18+Inputs!$B$6*K20</f>
        <v/>
      </c>
      <c r="L22">
        <f>L18+Inputs!$B$6*L20</f>
        <v/>
      </c>
      <c r="M22">
        <f>M18+Inputs!$B$6*M20</f>
        <v/>
      </c>
      <c r="N22">
        <f>N18+Inputs!$B$6*N20</f>
        <v/>
      </c>
      <c r="O22">
        <f>O18+Inputs!$B$6*O20</f>
        <v/>
      </c>
      <c r="P22">
        <f>P18+Inputs!$B$6*P20</f>
        <v/>
      </c>
      <c r="Q22">
        <f>Q18+Inputs!$B$6*Q20</f>
        <v/>
      </c>
      <c r="R22">
        <f>R18+Inputs!$B$6*R20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t="inlineStr">
        <is>
          <t>GULF VALUE-ADD FUND II – FUND TERMS (USD m)</t>
        </is>
      </c>
    </row>
    <row r="2">
      <c r="A2" t="inlineStr">
        <is>
          <t>First quarter end</t>
        </is>
      </c>
      <c r="B2" s="1" t="n">
        <v>46112</v>
      </c>
    </row>
    <row r="3">
      <c r="A3" t="inlineStr">
        <is>
          <t>Committed capital (USD m)</t>
        </is>
      </c>
      <c r="B3" s="2" t="n">
        <v>250</v>
      </c>
    </row>
    <row r="4">
      <c r="A4" t="inlineStr">
        <is>
          <t>Management fee (pa, on committed)</t>
        </is>
      </c>
      <c r="B4" s="3" t="n">
        <v>0.015</v>
      </c>
    </row>
    <row r="5">
      <c r="A5" t="inlineStr">
        <is>
          <t>Preferred return</t>
        </is>
      </c>
      <c r="B5" s="3" t="n">
        <v>0.08</v>
      </c>
    </row>
    <row r="6">
      <c r="A6" t="inlineStr">
        <is>
          <t>Carried interest</t>
        </is>
      </c>
      <c r="B6" s="3" t="n">
        <v>0.2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Currency</t>
        </is>
      </c>
      <c r="B1" t="inlineStr">
        <is>
          <t>Per USD</t>
        </is>
      </c>
    </row>
    <row r="2">
      <c r="A2" t="inlineStr">
        <is>
          <t>USD</t>
        </is>
      </c>
      <c r="B2" t="n">
        <v>1</v>
      </c>
    </row>
    <row r="3">
      <c r="A3" t="inlineStr">
        <is>
          <t>SAR</t>
        </is>
      </c>
      <c r="B3" t="n">
        <v>3.75</v>
      </c>
    </row>
    <row r="4">
      <c r="A4" t="inlineStr">
        <is>
          <t>AED</t>
        </is>
      </c>
      <c r="B4" t="n">
        <v>3.6725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R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Riyadh Office – deal cash flow (SAR m)</t>
        </is>
      </c>
    </row>
    <row r="2">
      <c r="A2" t="inlineStr">
        <is>
          <t>Deal</t>
        </is>
      </c>
      <c r="B2" t="inlineStr">
        <is>
          <t>Riyadh Office</t>
        </is>
      </c>
    </row>
    <row r="3">
      <c r="A3" t="inlineStr">
        <is>
          <t>Currency</t>
        </is>
      </c>
      <c r="B3" t="inlineStr">
        <is>
          <t>SAR</t>
        </is>
      </c>
    </row>
    <row r="4">
      <c r="A4" t="inlineStr">
        <is>
          <t>Purchase price (m)</t>
        </is>
      </c>
      <c r="B4" t="n">
        <v>300</v>
      </c>
    </row>
    <row r="5">
      <c r="A5" t="inlineStr">
        <is>
          <t>Acquisition quarter</t>
        </is>
      </c>
      <c r="B5" t="n">
        <v>1</v>
      </c>
    </row>
    <row r="6">
      <c r="A6" t="inlineStr">
        <is>
          <t>NOI yield on cost</t>
        </is>
      </c>
      <c r="B6" s="3" t="n">
        <v>0.075</v>
      </c>
    </row>
    <row r="7">
      <c r="A7" t="inlineStr">
        <is>
          <t>Capex (share of price, over 4 quarters)</t>
        </is>
      </c>
      <c r="B7" s="3" t="n">
        <v>0.1</v>
      </c>
    </row>
    <row r="8">
      <c r="A8" t="inlineStr">
        <is>
          <t>Exit quarter</t>
        </is>
      </c>
      <c r="B8" t="n">
        <v>12</v>
      </c>
    </row>
    <row r="9">
      <c r="A9" t="inlineStr">
        <is>
          <t>Exit yield</t>
        </is>
      </c>
      <c r="B9" s="3" t="n">
        <v>0.065</v>
      </c>
    </row>
    <row r="10">
      <c r="A10" t="inlineStr">
        <is>
          <t>Rent growth pa</t>
        </is>
      </c>
      <c r="B10" s="3" t="n">
        <v>0.03</v>
      </c>
    </row>
    <row r="11">
      <c r="A11" t="inlineStr">
        <is>
          <t>Selling costs</t>
        </is>
      </c>
      <c r="B11" s="3" t="n">
        <v>0.015</v>
      </c>
    </row>
    <row r="12">
      <c r="A12" t="inlineStr">
        <is>
          <t>FX per USD</t>
        </is>
      </c>
      <c r="B12">
        <f>VLOOKUP(B3,FX!$A$2:$B$4,2,FALSE)</f>
        <v/>
      </c>
    </row>
    <row r="14">
      <c r="A14" t="inlineStr">
        <is>
          <t>Quarter</t>
        </is>
      </c>
      <c r="C14">
        <f>Fund!C2</f>
        <v/>
      </c>
      <c r="D14">
        <f>Fund!D2</f>
        <v/>
      </c>
      <c r="E14">
        <f>Fund!E2</f>
        <v/>
      </c>
      <c r="F14">
        <f>Fund!F2</f>
        <v/>
      </c>
      <c r="G14">
        <f>Fund!G2</f>
        <v/>
      </c>
      <c r="H14">
        <f>Fund!H2</f>
        <v/>
      </c>
      <c r="I14">
        <f>Fund!I2</f>
        <v/>
      </c>
      <c r="J14">
        <f>Fund!J2</f>
        <v/>
      </c>
      <c r="K14">
        <f>Fund!K2</f>
        <v/>
      </c>
      <c r="L14">
        <f>Fund!L2</f>
        <v/>
      </c>
      <c r="M14">
        <f>Fund!M2</f>
        <v/>
      </c>
      <c r="N14">
        <f>Fund!N2</f>
        <v/>
      </c>
      <c r="O14">
        <f>Fund!O2</f>
        <v/>
      </c>
      <c r="P14">
        <f>Fund!P2</f>
        <v/>
      </c>
      <c r="Q14">
        <f>Fund!Q2</f>
        <v/>
      </c>
      <c r="R14">
        <f>Fund!R2</f>
        <v/>
      </c>
    </row>
    <row r="15">
      <c r="A15" t="inlineStr">
        <is>
          <t>Purchase</t>
        </is>
      </c>
      <c r="C15">
        <f>IF(C$14=$B$5,-$B$4,0)</f>
        <v/>
      </c>
      <c r="D15">
        <f>IF(D$14=$B$5,-$B$4,0)</f>
        <v/>
      </c>
      <c r="E15">
        <f>IF(E$14=$B$5,-$B$4,0)</f>
        <v/>
      </c>
      <c r="F15">
        <f>IF(F$14=$B$5,-$B$4,0)</f>
        <v/>
      </c>
      <c r="G15">
        <f>IF(G$14=$B$5,-$B$4,0)</f>
        <v/>
      </c>
      <c r="H15">
        <f>IF(H$14=$B$5,-$B$4,0)</f>
        <v/>
      </c>
      <c r="I15">
        <f>IF(I$14=$B$5,-$B$4,0)</f>
        <v/>
      </c>
      <c r="J15">
        <f>IF(J$14=$B$5,-$B$4,0)</f>
        <v/>
      </c>
      <c r="K15">
        <f>IF(K$14=$B$5,-$B$4,0)</f>
        <v/>
      </c>
      <c r="L15">
        <f>IF(L$14=$B$5,-$B$4,0)</f>
        <v/>
      </c>
      <c r="M15">
        <f>IF(M$14=$B$5,-$B$4,0)</f>
        <v/>
      </c>
      <c r="N15">
        <f>IF(N$14=$B$5,-$B$4,0)</f>
        <v/>
      </c>
      <c r="O15">
        <f>IF(O$14=$B$5,-$B$4,0)</f>
        <v/>
      </c>
      <c r="P15">
        <f>IF(P$14=$B$5,-$B$4,0)</f>
        <v/>
      </c>
      <c r="Q15">
        <f>IF(Q$14=$B$5,-$B$4,0)</f>
        <v/>
      </c>
      <c r="R15">
        <f>IF(R$14=$B$5,-$B$4,0)</f>
        <v/>
      </c>
    </row>
    <row r="16">
      <c r="A16" t="inlineStr">
        <is>
          <t>Capex</t>
        </is>
      </c>
      <c r="C16">
        <f>IF(AND(C$14&gt;$B$5,C$14&lt;=$B$5+4),-$B$4*$B$7/4,0)</f>
        <v/>
      </c>
      <c r="D16">
        <f>IF(AND(D$14&gt;$B$5,D$14&lt;=$B$5+4),-$B$4*$B$7/4,0)</f>
        <v/>
      </c>
      <c r="E16">
        <f>IF(AND(E$14&gt;$B$5,E$14&lt;=$B$5+4),-$B$4*$B$7/4,0)</f>
        <v/>
      </c>
      <c r="F16">
        <f>IF(AND(F$14&gt;$B$5,F$14&lt;=$B$5+4),-$B$4*$B$7/4,0)</f>
        <v/>
      </c>
      <c r="G16">
        <f>IF(AND(G$14&gt;$B$5,G$14&lt;=$B$5+4),-$B$4*$B$7/4,0)</f>
        <v/>
      </c>
      <c r="H16">
        <f>IF(AND(H$14&gt;$B$5,H$14&lt;=$B$5+4),-$B$4*$B$7/4,0)</f>
        <v/>
      </c>
      <c r="I16">
        <f>IF(AND(I$14&gt;$B$5,I$14&lt;=$B$5+4),-$B$4*$B$7/4,0)</f>
        <v/>
      </c>
      <c r="J16">
        <f>IF(AND(J$14&gt;$B$5,J$14&lt;=$B$5+4),-$B$4*$B$7/4,0)</f>
        <v/>
      </c>
      <c r="K16">
        <f>IF(AND(K$14&gt;$B$5,K$14&lt;=$B$5+4),-$B$4*$B$7/4,0)</f>
        <v/>
      </c>
      <c r="L16">
        <f>IF(AND(L$14&gt;$B$5,L$14&lt;=$B$5+4),-$B$4*$B$7/4,0)</f>
        <v/>
      </c>
      <c r="M16">
        <f>IF(AND(M$14&gt;$B$5,M$14&lt;=$B$5+4),-$B$4*$B$7/4,0)</f>
        <v/>
      </c>
      <c r="N16">
        <f>IF(AND(N$14&gt;$B$5,N$14&lt;=$B$5+4),-$B$4*$B$7/4,0)</f>
        <v/>
      </c>
      <c r="O16">
        <f>IF(AND(O$14&gt;$B$5,O$14&lt;=$B$5+4),-$B$4*$B$7/4,0)</f>
        <v/>
      </c>
      <c r="P16">
        <f>IF(AND(P$14&gt;$B$5,P$14&lt;=$B$5+4),-$B$4*$B$7/4,0)</f>
        <v/>
      </c>
      <c r="Q16">
        <f>IF(AND(Q$14&gt;$B$5,Q$14&lt;=$B$5+4),-$B$4*$B$7/4,0)</f>
        <v/>
      </c>
      <c r="R16">
        <f>IF(AND(R$14&gt;$B$5,R$14&lt;=$B$5+4),-$B$4*$B$7/4,0)</f>
        <v/>
      </c>
    </row>
    <row r="17">
      <c r="A17" t="inlineStr">
        <is>
          <t>NOI</t>
        </is>
      </c>
      <c r="C17">
        <f>IF(AND(C$14&gt;$B$5,C$14&lt;=$B$8),$B$4*$B$6/4*(1+$B$10)^INT((C$14-$B$5-1)/4),0)</f>
        <v/>
      </c>
      <c r="D17">
        <f>IF(AND(D$14&gt;$B$5,D$14&lt;=$B$8),$B$4*$B$6/4*(1+$B$10)^INT((D$14-$B$5-1)/4),0)</f>
        <v/>
      </c>
      <c r="E17">
        <f>IF(AND(E$14&gt;$B$5,E$14&lt;=$B$8),$B$4*$B$6/4*(1+$B$10)^INT((E$14-$B$5-1)/4),0)</f>
        <v/>
      </c>
      <c r="F17">
        <f>IF(AND(F$14&gt;$B$5,F$14&lt;=$B$8),$B$4*$B$6/4*(1+$B$10)^INT((F$14-$B$5-1)/4),0)</f>
        <v/>
      </c>
      <c r="G17">
        <f>IF(AND(G$14&gt;$B$5,G$14&lt;=$B$8),$B$4*$B$6/4*(1+$B$10)^INT((G$14-$B$5-1)/4),0)</f>
        <v/>
      </c>
      <c r="H17">
        <f>IF(AND(H$14&gt;$B$5,H$14&lt;=$B$8),$B$4*$B$6/4*(1+$B$10)^INT((H$14-$B$5-1)/4),0)</f>
        <v/>
      </c>
      <c r="I17">
        <f>IF(AND(I$14&gt;$B$5,I$14&lt;=$B$8),$B$4*$B$6/4*(1+$B$10)^INT((I$14-$B$5-1)/4),0)</f>
        <v/>
      </c>
      <c r="J17">
        <f>IF(AND(J$14&gt;$B$5,J$14&lt;=$B$8),$B$4*$B$6/4*(1+$B$10)^INT((J$14-$B$5-1)/4),0)</f>
        <v/>
      </c>
      <c r="K17">
        <f>IF(AND(K$14&gt;$B$5,K$14&lt;=$B$8),$B$4*$B$6/4*(1+$B$10)^INT((K$14-$B$5-1)/4),0)</f>
        <v/>
      </c>
      <c r="L17">
        <f>IF(AND(L$14&gt;$B$5,L$14&lt;=$B$8),$B$4*$B$6/4*(1+$B$10)^INT((L$14-$B$5-1)/4),0)</f>
        <v/>
      </c>
      <c r="M17">
        <f>IF(AND(M$14&gt;$B$5,M$14&lt;=$B$8),$B$4*$B$6/4*(1+$B$10)^INT((M$14-$B$5-1)/4),0)</f>
        <v/>
      </c>
      <c r="N17">
        <f>IF(AND(N$14&gt;$B$5,N$14&lt;=$B$8),$B$4*$B$6/4*(1+$B$10)^INT((N$14-$B$5-1)/4),0)</f>
        <v/>
      </c>
      <c r="O17">
        <f>IF(AND(O$14&gt;$B$5,O$14&lt;=$B$8),$B$4*$B$6/4*(1+$B$10)^INT((O$14-$B$5-1)/4),0)</f>
        <v/>
      </c>
      <c r="P17">
        <f>IF(AND(P$14&gt;$B$5,P$14&lt;=$B$8),$B$4*$B$6/4*(1+$B$10)^INT((P$14-$B$5-1)/4),0)</f>
        <v/>
      </c>
      <c r="Q17">
        <f>IF(AND(Q$14&gt;$B$5,Q$14&lt;=$B$8),$B$4*$B$6/4*(1+$B$10)^INT((Q$14-$B$5-1)/4),0)</f>
        <v/>
      </c>
      <c r="R17">
        <f>IF(AND(R$14&gt;$B$5,R$14&lt;=$B$8),$B$4*$B$6/4*(1+$B$10)^INT((R$14-$B$5-1)/4),0)</f>
        <v/>
      </c>
    </row>
    <row r="18">
      <c r="A18" t="inlineStr">
        <is>
          <t>Sale proceeds</t>
        </is>
      </c>
      <c r="C18">
        <f>IF(C$14=$B$8,$B$4*$B$6*(1+$B$10)^INT((C$14-$B$5-1)/4)/$B$9*(1-$B$11),0)</f>
        <v/>
      </c>
      <c r="D18">
        <f>IF(D$14=$B$8,$B$4*$B$6*(1+$B$10)^INT((D$14-$B$5-1)/4)/$B$9*(1-$B$11),0)</f>
        <v/>
      </c>
      <c r="E18">
        <f>IF(E$14=$B$8,$B$4*$B$6*(1+$B$10)^INT((E$14-$B$5-1)/4)/$B$9*(1-$B$11),0)</f>
        <v/>
      </c>
      <c r="F18">
        <f>IF(F$14=$B$8,$B$4*$B$6*(1+$B$10)^INT((F$14-$B$5-1)/4)/$B$9*(1-$B$11),0)</f>
        <v/>
      </c>
      <c r="G18">
        <f>IF(G$14=$B$8,$B$4*$B$6*(1+$B$10)^INT((G$14-$B$5-1)/4)/$B$9*(1-$B$11),0)</f>
        <v/>
      </c>
      <c r="H18">
        <f>IF(H$14=$B$8,$B$4*$B$6*(1+$B$10)^INT((H$14-$B$5-1)/4)/$B$9*(1-$B$11),0)</f>
        <v/>
      </c>
      <c r="I18">
        <f>IF(I$14=$B$8,$B$4*$B$6*(1+$B$10)^INT((I$14-$B$5-1)/4)/$B$9*(1-$B$11),0)</f>
        <v/>
      </c>
      <c r="J18">
        <f>IF(J$14=$B$8,$B$4*$B$6*(1+$B$10)^INT((J$14-$B$5-1)/4)/$B$9*(1-$B$11),0)</f>
        <v/>
      </c>
      <c r="K18">
        <f>IF(K$14=$B$8,$B$4*$B$6*(1+$B$10)^INT((K$14-$B$5-1)/4)/$B$9*(1-$B$11),0)</f>
        <v/>
      </c>
      <c r="L18">
        <f>IF(L$14=$B$8,$B$4*$B$6*(1+$B$10)^INT((L$14-$B$5-1)/4)/$B$9*(1-$B$11),0)</f>
        <v/>
      </c>
      <c r="M18">
        <f>IF(M$14=$B$8,$B$4*$B$6*(1+$B$10)^INT((M$14-$B$5-1)/4)/$B$9*(1-$B$11),0)</f>
        <v/>
      </c>
      <c r="N18">
        <f>IF(N$14=$B$8,$B$4*$B$6*(1+$B$10)^INT((N$14-$B$5-1)/4)/$B$9*(1-$B$11),0)</f>
        <v/>
      </c>
      <c r="O18">
        <f>IF(O$14=$B$8,$B$4*$B$6*(1+$B$10)^INT((O$14-$B$5-1)/4)/$B$9*(1-$B$11),0)</f>
        <v/>
      </c>
      <c r="P18">
        <f>IF(P$14=$B$8,$B$4*$B$6*(1+$B$10)^INT((P$14-$B$5-1)/4)/$B$9*(1-$B$11),0)</f>
        <v/>
      </c>
      <c r="Q18">
        <f>IF(Q$14=$B$8,$B$4*$B$6*(1+$B$10)^INT((Q$14-$B$5-1)/4)/$B$9*(1-$B$11),0)</f>
        <v/>
      </c>
      <c r="R18">
        <f>IF(R$14=$B$8,$B$4*$B$6*(1+$B$10)^INT((R$14-$B$5-1)/4)/$B$9*(1-$B$11),0)</f>
        <v/>
      </c>
    </row>
    <row r="20">
      <c r="A20" t="inlineStr">
        <is>
          <t>Net cash flow (SAR m)</t>
        </is>
      </c>
      <c r="C20">
        <f>SUM(C15:C18)</f>
        <v/>
      </c>
      <c r="D20">
        <f>SUM(D15:D18)</f>
        <v/>
      </c>
      <c r="E20">
        <f>SUM(E15:E18)</f>
        <v/>
      </c>
      <c r="F20">
        <f>SUM(F15:F18)</f>
        <v/>
      </c>
      <c r="G20">
        <f>SUM(G15:G18)</f>
        <v/>
      </c>
      <c r="H20">
        <f>SUM(H15:H18)</f>
        <v/>
      </c>
      <c r="I20">
        <f>SUM(I15:I18)</f>
        <v/>
      </c>
      <c r="J20">
        <f>SUM(J15:J18)</f>
        <v/>
      </c>
      <c r="K20">
        <f>SUM(K15:K18)</f>
        <v/>
      </c>
      <c r="L20">
        <f>SUM(L15:L18)</f>
        <v/>
      </c>
      <c r="M20">
        <f>SUM(M15:M18)</f>
        <v/>
      </c>
      <c r="N20">
        <f>SUM(N15:N18)</f>
        <v/>
      </c>
      <c r="O20">
        <f>SUM(O15:O18)</f>
        <v/>
      </c>
      <c r="P20">
        <f>SUM(P15:P18)</f>
        <v/>
      </c>
      <c r="Q20">
        <f>SUM(Q15:Q18)</f>
        <v/>
      </c>
      <c r="R20">
        <f>SUM(R15:R18)</f>
        <v/>
      </c>
    </row>
    <row r="22">
      <c r="A22" t="inlineStr">
        <is>
          <t>Net cash flow (USD m)</t>
        </is>
      </c>
      <c r="C22">
        <f>C20/$B$12</f>
        <v/>
      </c>
      <c r="D22">
        <f>D20/$B$12</f>
        <v/>
      </c>
      <c r="E22">
        <f>E20/$B$12</f>
        <v/>
      </c>
      <c r="F22">
        <f>F20/$B$12</f>
        <v/>
      </c>
      <c r="G22">
        <f>G20/$B$12</f>
        <v/>
      </c>
      <c r="H22">
        <f>H20/$B$12</f>
        <v/>
      </c>
      <c r="I22">
        <f>I20/$B$12</f>
        <v/>
      </c>
      <c r="J22">
        <f>J20/$B$12</f>
        <v/>
      </c>
      <c r="K22">
        <f>K20/$B$12</f>
        <v/>
      </c>
      <c r="L22">
        <f>L20/$B$12</f>
        <v/>
      </c>
      <c r="M22">
        <f>M20/$B$12</f>
        <v/>
      </c>
      <c r="N22">
        <f>N20/$B$12</f>
        <v/>
      </c>
      <c r="O22">
        <f>O20/$B$12</f>
        <v/>
      </c>
      <c r="P22">
        <f>P20/$B$12</f>
        <v/>
      </c>
      <c r="Q22">
        <f>Q20/$B$12</f>
        <v/>
      </c>
      <c r="R22">
        <f>R20/$B$12</f>
        <v/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R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Jeddah Logistics – deal cash flow (SAR m)</t>
        </is>
      </c>
    </row>
    <row r="2">
      <c r="A2" t="inlineStr">
        <is>
          <t>Deal</t>
        </is>
      </c>
      <c r="B2" t="inlineStr">
        <is>
          <t>Jeddah Logistics</t>
        </is>
      </c>
    </row>
    <row r="3">
      <c r="A3" t="inlineStr">
        <is>
          <t>Currency</t>
        </is>
      </c>
      <c r="B3" t="inlineStr">
        <is>
          <t>SAR</t>
        </is>
      </c>
    </row>
    <row r="4">
      <c r="A4" t="inlineStr">
        <is>
          <t>Purchase price (m)</t>
        </is>
      </c>
      <c r="B4" t="n">
        <v>180</v>
      </c>
    </row>
    <row r="5">
      <c r="A5" t="inlineStr">
        <is>
          <t>Acquisition quarter</t>
        </is>
      </c>
      <c r="B5" t="n">
        <v>1</v>
      </c>
    </row>
    <row r="6">
      <c r="A6" t="inlineStr">
        <is>
          <t>NOI yield on cost</t>
        </is>
      </c>
      <c r="B6" s="3" t="n">
        <v>0.08</v>
      </c>
    </row>
    <row r="7">
      <c r="A7" t="inlineStr">
        <is>
          <t>Capex (share of price, over 4 quarters)</t>
        </is>
      </c>
      <c r="B7" s="3" t="n">
        <v>0.1</v>
      </c>
    </row>
    <row r="8">
      <c r="A8" t="inlineStr">
        <is>
          <t>Exit quarter</t>
        </is>
      </c>
      <c r="B8" t="n">
        <v>14</v>
      </c>
    </row>
    <row r="9">
      <c r="A9" t="inlineStr">
        <is>
          <t>Exit yield</t>
        </is>
      </c>
      <c r="B9" s="3" t="n">
        <v>0.07000000000000001</v>
      </c>
    </row>
    <row r="10">
      <c r="A10" t="inlineStr">
        <is>
          <t>Rent growth pa</t>
        </is>
      </c>
      <c r="B10" s="3" t="n">
        <v>0.04</v>
      </c>
    </row>
    <row r="11">
      <c r="A11" t="inlineStr">
        <is>
          <t>Selling costs</t>
        </is>
      </c>
      <c r="B11" s="3" t="n">
        <v>0.015</v>
      </c>
    </row>
    <row r="12">
      <c r="A12" t="inlineStr">
        <is>
          <t>FX per USD</t>
        </is>
      </c>
      <c r="B12">
        <f>VLOOKUP(B3,FX!$A$2:$B$4,2,FALSE)</f>
        <v/>
      </c>
    </row>
    <row r="14">
      <c r="A14" t="inlineStr">
        <is>
          <t>Quarter</t>
        </is>
      </c>
      <c r="C14">
        <f>Fund!C2</f>
        <v/>
      </c>
      <c r="D14">
        <f>Fund!D2</f>
        <v/>
      </c>
      <c r="E14">
        <f>Fund!E2</f>
        <v/>
      </c>
      <c r="F14">
        <f>Fund!F2</f>
        <v/>
      </c>
      <c r="G14">
        <f>Fund!G2</f>
        <v/>
      </c>
      <c r="H14">
        <f>Fund!H2</f>
        <v/>
      </c>
      <c r="I14">
        <f>Fund!I2</f>
        <v/>
      </c>
      <c r="J14">
        <f>Fund!J2</f>
        <v/>
      </c>
      <c r="K14">
        <f>Fund!K2</f>
        <v/>
      </c>
      <c r="L14">
        <f>Fund!L2</f>
        <v/>
      </c>
      <c r="M14">
        <f>Fund!M2</f>
        <v/>
      </c>
      <c r="N14">
        <f>Fund!N2</f>
        <v/>
      </c>
      <c r="O14">
        <f>Fund!O2</f>
        <v/>
      </c>
      <c r="P14">
        <f>Fund!P2</f>
        <v/>
      </c>
      <c r="Q14">
        <f>Fund!Q2</f>
        <v/>
      </c>
      <c r="R14">
        <f>Fund!R2</f>
        <v/>
      </c>
    </row>
    <row r="15">
      <c r="A15" t="inlineStr">
        <is>
          <t>Purchase</t>
        </is>
      </c>
      <c r="C15">
        <f>IF(C$14=$B$5,-$B$4,0)</f>
        <v/>
      </c>
      <c r="D15">
        <f>IF(D$14=$B$5,-$B$4,0)</f>
        <v/>
      </c>
      <c r="E15">
        <f>IF(E$14=$B$5,-$B$4,0)</f>
        <v/>
      </c>
      <c r="F15">
        <f>IF(F$14=$B$5,-$B$4,0)</f>
        <v/>
      </c>
      <c r="G15">
        <f>IF(G$14=$B$5,-$B$4,0)</f>
        <v/>
      </c>
      <c r="H15">
        <f>IF(H$14=$B$5,-$B$4,0)</f>
        <v/>
      </c>
      <c r="I15">
        <f>IF(I$14=$B$5,-$B$4,0)</f>
        <v/>
      </c>
      <c r="J15">
        <f>IF(J$14=$B$5,-$B$4,0)</f>
        <v/>
      </c>
      <c r="K15">
        <f>IF(K$14=$B$5,-$B$4,0)</f>
        <v/>
      </c>
      <c r="L15">
        <f>IF(L$14=$B$5,-$B$4,0)</f>
        <v/>
      </c>
      <c r="M15">
        <f>IF(M$14=$B$5,-$B$4,0)</f>
        <v/>
      </c>
      <c r="N15">
        <f>IF(N$14=$B$5,-$B$4,0)</f>
        <v/>
      </c>
      <c r="O15">
        <f>IF(O$14=$B$5,-$B$4,0)</f>
        <v/>
      </c>
      <c r="P15">
        <f>IF(P$14=$B$5,-$B$4,0)</f>
        <v/>
      </c>
      <c r="Q15">
        <f>IF(Q$14=$B$5,-$B$4,0)</f>
        <v/>
      </c>
      <c r="R15">
        <f>IF(R$14=$B$5,-$B$4,0)</f>
        <v/>
      </c>
    </row>
    <row r="16">
      <c r="A16" t="inlineStr">
        <is>
          <t>Capex</t>
        </is>
      </c>
      <c r="C16">
        <f>IF(AND(C$14&gt;$B$5,C$14&lt;=$B$5+4),-$B$4*$B$7/4,0)</f>
        <v/>
      </c>
      <c r="D16">
        <f>IF(AND(D$14&gt;$B$5,D$14&lt;=$B$5+4),-$B$4*$B$7/4,0)</f>
        <v/>
      </c>
      <c r="E16">
        <f>IF(AND(E$14&gt;$B$5,E$14&lt;=$B$5+4),-$B$4*$B$7/4,0)</f>
        <v/>
      </c>
      <c r="F16">
        <f>IF(AND(F$14&gt;$B$5,F$14&lt;=$B$5+4),-$B$4*$B$7/4,0)</f>
        <v/>
      </c>
      <c r="G16">
        <f>IF(AND(G$14&gt;$B$5,G$14&lt;=$B$5+4),-$B$4*$B$7/4,0)</f>
        <v/>
      </c>
      <c r="H16">
        <f>IF(AND(H$14&gt;$B$5,H$14&lt;=$B$5+4),-$B$4*$B$7/4,0)</f>
        <v/>
      </c>
      <c r="I16">
        <f>IF(AND(I$14&gt;$B$5,I$14&lt;=$B$5+4),-$B$4*$B$7/4,0)</f>
        <v/>
      </c>
      <c r="J16">
        <f>IF(AND(J$14&gt;$B$5,J$14&lt;=$B$5+4),-$B$4*$B$7/4,0)</f>
        <v/>
      </c>
      <c r="K16">
        <f>IF(AND(K$14&gt;$B$5,K$14&lt;=$B$5+4),-$B$4*$B$7/4,0)</f>
        <v/>
      </c>
      <c r="L16">
        <f>IF(AND(L$14&gt;$B$5,L$14&lt;=$B$5+4),-$B$4*$B$7/4,0)</f>
        <v/>
      </c>
      <c r="M16">
        <f>IF(AND(M$14&gt;$B$5,M$14&lt;=$B$5+4),-$B$4*$B$7/4,0)</f>
        <v/>
      </c>
      <c r="N16">
        <f>IF(AND(N$14&gt;$B$5,N$14&lt;=$B$5+4),-$B$4*$B$7/4,0)</f>
        <v/>
      </c>
      <c r="O16">
        <f>IF(AND(O$14&gt;$B$5,O$14&lt;=$B$5+4),-$B$4*$B$7/4,0)</f>
        <v/>
      </c>
      <c r="P16">
        <f>IF(AND(P$14&gt;$B$5,P$14&lt;=$B$5+4),-$B$4*$B$7/4,0)</f>
        <v/>
      </c>
      <c r="Q16">
        <f>IF(AND(Q$14&gt;$B$5,Q$14&lt;=$B$5+4),-$B$4*$B$7/4,0)</f>
        <v/>
      </c>
      <c r="R16">
        <f>IF(AND(R$14&gt;$B$5,R$14&lt;=$B$5+4),-$B$4*$B$7/4,0)</f>
        <v/>
      </c>
    </row>
    <row r="17">
      <c r="A17" t="inlineStr">
        <is>
          <t>NOI</t>
        </is>
      </c>
      <c r="C17">
        <f>IF(AND(C$14&gt;$B$5,C$14&lt;=$B$8),$B$4*$B$6/4*(1+$B$10)^INT((C$14-$B$5-1)/4),0)</f>
        <v/>
      </c>
      <c r="D17">
        <f>IF(AND(D$14&gt;$B$5,D$14&lt;=$B$8),$B$4*$B$6/4*(1+$B$10)^INT((D$14-$B$5-1)/4),0)</f>
        <v/>
      </c>
      <c r="E17">
        <f>IF(AND(E$14&gt;$B$5,E$14&lt;=$B$8),$B$4*$B$6/4*(1+$B$10)^INT((E$14-$B$5-1)/4),0)</f>
        <v/>
      </c>
      <c r="F17">
        <f>IF(AND(F$14&gt;$B$5,F$14&lt;=$B$8),$B$4*$B$6/4*(1+$B$10)^INT((F$14-$B$5-1)/4),0)</f>
        <v/>
      </c>
      <c r="G17">
        <f>IF(AND(G$14&gt;$B$5,G$14&lt;=$B$8),$B$4*$B$6/4*(1+$B$10)^INT((G$14-$B$5-1)/4),0)</f>
        <v/>
      </c>
      <c r="H17">
        <f>IF(AND(H$14&gt;$B$5,H$14&lt;=$B$8),$B$4*$B$6/4*(1+$B$10)^INT((H$14-$B$5-1)/4),0)</f>
        <v/>
      </c>
      <c r="I17">
        <f>IF(AND(I$14&gt;$B$5,I$14&lt;=$B$8),$B$4*$B$6/4*(1+$B$10)^INT((I$14-$B$5-1)/4),0)</f>
        <v/>
      </c>
      <c r="J17">
        <f>IF(AND(J$14&gt;$B$5,J$14&lt;=$B$8),$B$4*$B$6/4*(1+$B$10)^INT((J$14-$B$5-1)/4),0)</f>
        <v/>
      </c>
      <c r="K17">
        <f>IF(AND(K$14&gt;$B$5,K$14&lt;=$B$8),$B$4*$B$6/4*(1+$B$10)^INT((K$14-$B$5-1)/4),0)</f>
        <v/>
      </c>
      <c r="L17">
        <f>IF(AND(L$14&gt;$B$5,L$14&lt;=$B$8),$B$4*$B$6/4*(1+$B$10)^INT((L$14-$B$5-1)/4),0)</f>
        <v/>
      </c>
      <c r="M17">
        <f>IF(AND(M$14&gt;$B$5,M$14&lt;=$B$8),$B$4*$B$6/4*(1+$B$10)^INT((M$14-$B$5-1)/4),0)</f>
        <v/>
      </c>
      <c r="N17">
        <f>IF(AND(N$14&gt;$B$5,N$14&lt;=$B$8),$B$4*$B$6/4*(1+$B$10)^INT((N$14-$B$5-1)/4),0)</f>
        <v/>
      </c>
      <c r="O17">
        <f>IF(AND(O$14&gt;$B$5,O$14&lt;=$B$8),$B$4*$B$6/4*(1+$B$10)^INT((O$14-$B$5-1)/4),0)</f>
        <v/>
      </c>
      <c r="P17">
        <f>IF(AND(P$14&gt;$B$5,P$14&lt;=$B$8),$B$4*$B$6/4*(1+$B$10)^INT((P$14-$B$5-1)/4),0)</f>
        <v/>
      </c>
      <c r="Q17">
        <f>IF(AND(Q$14&gt;$B$5,Q$14&lt;=$B$8),$B$4*$B$6/4*(1+$B$10)^INT((Q$14-$B$5-1)/4),0)</f>
        <v/>
      </c>
      <c r="R17">
        <f>IF(AND(R$14&gt;$B$5,R$14&lt;=$B$8),$B$4*$B$6/4*(1+$B$10)^INT((R$14-$B$5-1)/4),0)</f>
        <v/>
      </c>
    </row>
    <row r="18">
      <c r="A18" t="inlineStr">
        <is>
          <t>Sale proceeds</t>
        </is>
      </c>
      <c r="C18">
        <f>IF(C$14=$B$8,$B$4*$B$6*(1+$B$10)^INT((C$14-$B$5-1)/4)/'Riyadh Office'!$B$9*(1-$B$11),0)</f>
        <v/>
      </c>
      <c r="D18">
        <f>IF(D$14=$B$8,$B$4*$B$6*(1+$B$10)^INT((D$14-$B$5-1)/4)/'Riyadh Office'!$B$9*(1-$B$11),0)</f>
        <v/>
      </c>
      <c r="E18">
        <f>IF(E$14=$B$8,$B$4*$B$6*(1+$B$10)^INT((E$14-$B$5-1)/4)/'Riyadh Office'!$B$9*(1-$B$11),0)</f>
        <v/>
      </c>
      <c r="F18">
        <f>IF(F$14=$B$8,$B$4*$B$6*(1+$B$10)^INT((F$14-$B$5-1)/4)/'Riyadh Office'!$B$9*(1-$B$11),0)</f>
        <v/>
      </c>
      <c r="G18">
        <f>IF(G$14=$B$8,$B$4*$B$6*(1+$B$10)^INT((G$14-$B$5-1)/4)/'Riyadh Office'!$B$9*(1-$B$11),0)</f>
        <v/>
      </c>
      <c r="H18">
        <f>IF(H$14=$B$8,$B$4*$B$6*(1+$B$10)^INT((H$14-$B$5-1)/4)/'Riyadh Office'!$B$9*(1-$B$11),0)</f>
        <v/>
      </c>
      <c r="I18">
        <f>IF(I$14=$B$8,$B$4*$B$6*(1+$B$10)^INT((I$14-$B$5-1)/4)/'Riyadh Office'!$B$9*(1-$B$11),0)</f>
        <v/>
      </c>
      <c r="J18">
        <f>IF(J$14=$B$8,$B$4*$B$6*(1+$B$10)^INT((J$14-$B$5-1)/4)/'Riyadh Office'!$B$9*(1-$B$11),0)</f>
        <v/>
      </c>
      <c r="K18">
        <f>IF(K$14=$B$8,$B$4*$B$6*(1+$B$10)^INT((K$14-$B$5-1)/4)/'Riyadh Office'!$B$9*(1-$B$11),0)</f>
        <v/>
      </c>
      <c r="L18">
        <f>IF(L$14=$B$8,$B$4*$B$6*(1+$B$10)^INT((L$14-$B$5-1)/4)/'Riyadh Office'!$B$9*(1-$B$11),0)</f>
        <v/>
      </c>
      <c r="M18">
        <f>IF(M$14=$B$8,$B$4*$B$6*(1+$B$10)^INT((M$14-$B$5-1)/4)/'Riyadh Office'!$B$9*(1-$B$11),0)</f>
        <v/>
      </c>
      <c r="N18">
        <f>IF(N$14=$B$8,$B$4*$B$6*(1+$B$10)^INT((N$14-$B$5-1)/4)/'Riyadh Office'!$B$9*(1-$B$11),0)</f>
        <v/>
      </c>
      <c r="O18">
        <f>IF(O$14=$B$8,$B$4*$B$6*(1+$B$10)^INT((O$14-$B$5-1)/4)/'Riyadh Office'!$B$9*(1-$B$11),0)</f>
        <v/>
      </c>
      <c r="P18">
        <f>IF(P$14=$B$8,$B$4*$B$6*(1+$B$10)^INT((P$14-$B$5-1)/4)/'Riyadh Office'!$B$9*(1-$B$11),0)</f>
        <v/>
      </c>
      <c r="Q18">
        <f>IF(Q$14=$B$8,$B$4*$B$6*(1+$B$10)^INT((Q$14-$B$5-1)/4)/'Riyadh Office'!$B$9*(1-$B$11),0)</f>
        <v/>
      </c>
      <c r="R18">
        <f>IF(R$14=$B$8,$B$4*$B$6*(1+$B$10)^INT((R$14-$B$5-1)/4)/'Riyadh Office'!$B$9*(1-$B$11),0)</f>
        <v/>
      </c>
    </row>
    <row r="20">
      <c r="A20" t="inlineStr">
        <is>
          <t>Net cash flow (SAR m)</t>
        </is>
      </c>
      <c r="C20">
        <f>SUM(C15:C18)</f>
        <v/>
      </c>
      <c r="D20">
        <f>SUM(D15:D18)</f>
        <v/>
      </c>
      <c r="E20">
        <f>SUM(E15:E18)</f>
        <v/>
      </c>
      <c r="F20">
        <f>SUM(F15:F18)</f>
        <v/>
      </c>
      <c r="G20">
        <f>SUM(G15:G18)</f>
        <v/>
      </c>
      <c r="H20">
        <f>SUM(H15:H18)</f>
        <v/>
      </c>
      <c r="I20">
        <f>SUM(I15:I18)</f>
        <v/>
      </c>
      <c r="J20">
        <f>SUM(J15:J18)</f>
        <v/>
      </c>
      <c r="K20">
        <f>SUM(K15:K18)</f>
        <v/>
      </c>
      <c r="L20">
        <f>SUM(L15:L18)</f>
        <v/>
      </c>
      <c r="M20">
        <f>SUM(M15:M18)</f>
        <v/>
      </c>
      <c r="N20">
        <f>SUM(N15:N18)</f>
        <v/>
      </c>
      <c r="O20">
        <f>SUM(O15:O18)</f>
        <v/>
      </c>
      <c r="P20">
        <f>SUM(P15:P18)</f>
        <v/>
      </c>
      <c r="Q20">
        <f>SUM(Q15:Q18)</f>
        <v/>
      </c>
      <c r="R20">
        <f>SUM(R15:R18)</f>
        <v/>
      </c>
    </row>
    <row r="22">
      <c r="A22" t="inlineStr">
        <is>
          <t>Net cash flow (USD m)</t>
        </is>
      </c>
      <c r="C22">
        <f>C20/$B$12</f>
        <v/>
      </c>
      <c r="D22">
        <f>D20/$B$12</f>
        <v/>
      </c>
      <c r="E22">
        <f>E20/$B$12</f>
        <v/>
      </c>
      <c r="F22">
        <f>F20/$B$12</f>
        <v/>
      </c>
      <c r="G22">
        <f>G20/$B$12</f>
        <v/>
      </c>
      <c r="H22">
        <f>H20/$B$12</f>
        <v/>
      </c>
      <c r="I22">
        <f>I20/$B$12</f>
        <v/>
      </c>
      <c r="J22">
        <f>J20/$B$12</f>
        <v/>
      </c>
      <c r="K22">
        <f>K20/$B$12</f>
        <v/>
      </c>
      <c r="L22">
        <f>L20/$B$12</f>
        <v/>
      </c>
      <c r="M22">
        <f>M20/$B$12</f>
        <v/>
      </c>
      <c r="N22">
        <f>N20/$B$12</f>
        <v/>
      </c>
      <c r="O22">
        <f>O20/$B$12</f>
        <v/>
      </c>
      <c r="P22">
        <f>P20/$B$12</f>
        <v/>
      </c>
      <c r="Q22">
        <f>Q20/$B$12</f>
        <v/>
      </c>
      <c r="R22">
        <f>R20/$B$12</f>
        <v/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R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Dubai Residential – deal cash flow (AED m)</t>
        </is>
      </c>
    </row>
    <row r="2">
      <c r="A2" t="inlineStr">
        <is>
          <t>Deal</t>
        </is>
      </c>
      <c r="B2" t="inlineStr">
        <is>
          <t>Dubai Residential</t>
        </is>
      </c>
    </row>
    <row r="3">
      <c r="A3" t="inlineStr">
        <is>
          <t>Currency</t>
        </is>
      </c>
      <c r="B3" t="inlineStr">
        <is>
          <t>AED</t>
        </is>
      </c>
    </row>
    <row r="4">
      <c r="A4" t="inlineStr">
        <is>
          <t>Purchase price (m)</t>
        </is>
      </c>
      <c r="B4" t="n">
        <v>220</v>
      </c>
    </row>
    <row r="5">
      <c r="A5" t="inlineStr">
        <is>
          <t>Acquisition quarter</t>
        </is>
      </c>
      <c r="B5" t="n">
        <v>3</v>
      </c>
    </row>
    <row r="6">
      <c r="A6" t="inlineStr">
        <is>
          <t>NOI yield on cost</t>
        </is>
      </c>
      <c r="B6" s="3" t="n">
        <v>0.065</v>
      </c>
    </row>
    <row r="7">
      <c r="A7" t="inlineStr">
        <is>
          <t>Capex (share of price, over 4 quarters)</t>
        </is>
      </c>
      <c r="B7" s="3" t="n">
        <v>0.1</v>
      </c>
    </row>
    <row r="8">
      <c r="A8" t="inlineStr">
        <is>
          <t>Exit quarter</t>
        </is>
      </c>
      <c r="B8" t="n">
        <v>14</v>
      </c>
    </row>
    <row r="9">
      <c r="A9" t="inlineStr">
        <is>
          <t>Exit yield</t>
        </is>
      </c>
      <c r="B9" s="3" t="n">
        <v>0.06</v>
      </c>
    </row>
    <row r="10">
      <c r="A10" t="inlineStr">
        <is>
          <t>Rent growth pa</t>
        </is>
      </c>
      <c r="B10" s="3" t="n">
        <v>0.02</v>
      </c>
    </row>
    <row r="11">
      <c r="A11" t="inlineStr">
        <is>
          <t>Selling costs</t>
        </is>
      </c>
      <c r="B11" s="3" t="n">
        <v>0.015</v>
      </c>
    </row>
    <row r="12">
      <c r="A12" t="inlineStr">
        <is>
          <t>FX per USD</t>
        </is>
      </c>
      <c r="B12">
        <f>VLOOKUP(B3,FX!$A$2:$B$4,2,FALSE)</f>
        <v/>
      </c>
    </row>
    <row r="14">
      <c r="A14" t="inlineStr">
        <is>
          <t>Quarter</t>
        </is>
      </c>
      <c r="C14">
        <f>Fund!C2</f>
        <v/>
      </c>
      <c r="D14">
        <f>Fund!D2</f>
        <v/>
      </c>
      <c r="E14">
        <f>Fund!E2</f>
        <v/>
      </c>
      <c r="F14">
        <f>Fund!F2</f>
        <v/>
      </c>
      <c r="G14">
        <f>Fund!G2</f>
        <v/>
      </c>
      <c r="H14">
        <f>Fund!H2</f>
        <v/>
      </c>
      <c r="I14">
        <f>Fund!I2</f>
        <v/>
      </c>
      <c r="J14">
        <f>Fund!J2</f>
        <v/>
      </c>
      <c r="K14">
        <f>Fund!K2</f>
        <v/>
      </c>
      <c r="L14">
        <f>Fund!L2</f>
        <v/>
      </c>
      <c r="M14">
        <f>Fund!M2</f>
        <v/>
      </c>
      <c r="N14">
        <f>Fund!N2</f>
        <v/>
      </c>
      <c r="O14">
        <f>Fund!O2</f>
        <v/>
      </c>
      <c r="P14">
        <f>Fund!P2</f>
        <v/>
      </c>
      <c r="Q14">
        <f>Fund!Q2</f>
        <v/>
      </c>
      <c r="R14">
        <f>Fund!R2</f>
        <v/>
      </c>
    </row>
    <row r="15">
      <c r="A15" t="inlineStr">
        <is>
          <t>Purchase</t>
        </is>
      </c>
      <c r="C15">
        <f>IF(C$14=$B$5,-$B$4,0)</f>
        <v/>
      </c>
      <c r="D15">
        <f>IF(D$14=$B$5,-$B$4,0)</f>
        <v/>
      </c>
      <c r="E15">
        <f>IF(E$14=$B$5,-$B$4,0)</f>
        <v/>
      </c>
      <c r="F15">
        <f>IF(F$14=$B$5,-$B$4,0)</f>
        <v/>
      </c>
      <c r="G15">
        <f>IF(G$14=$B$5,-$B$4,0)</f>
        <v/>
      </c>
      <c r="H15">
        <f>IF(H$14=$B$5,-$B$4,0)</f>
        <v/>
      </c>
      <c r="I15">
        <f>IF(I$14=$B$5,-$B$4,0)</f>
        <v/>
      </c>
      <c r="J15">
        <f>IF(J$14=$B$5,-$B$4,0)</f>
        <v/>
      </c>
      <c r="K15">
        <f>IF(K$14=$B$5,-$B$4,0)</f>
        <v/>
      </c>
      <c r="L15">
        <f>IF(L$14=$B$5,-$B$4,0)</f>
        <v/>
      </c>
      <c r="M15">
        <f>IF(M$14=$B$5,-$B$4,0)</f>
        <v/>
      </c>
      <c r="N15">
        <f>IF(N$14=$B$5,-$B$4,0)</f>
        <v/>
      </c>
      <c r="O15">
        <f>IF(O$14=$B$5,-$B$4,0)</f>
        <v/>
      </c>
      <c r="P15">
        <f>IF(P$14=$B$5,-$B$4,0)</f>
        <v/>
      </c>
      <c r="Q15">
        <f>IF(Q$14=$B$5,-$B$4,0)</f>
        <v/>
      </c>
      <c r="R15">
        <f>IF(R$14=$B$5,-$B$4,0)</f>
        <v/>
      </c>
    </row>
    <row r="16">
      <c r="A16" t="inlineStr">
        <is>
          <t>Capex</t>
        </is>
      </c>
      <c r="C16">
        <f>IF(AND(C$14&gt;$B$5,C$14&lt;=$B$5+4),-$B$4*$B$7/4,0)</f>
        <v/>
      </c>
      <c r="D16">
        <f>IF(AND(D$14&gt;$B$5,D$14&lt;=$B$5+4),-$B$4*$B$7/4,0)</f>
        <v/>
      </c>
      <c r="E16">
        <f>IF(AND(E$14&gt;$B$5,E$14&lt;=$B$5+4),-$B$4*$B$7/4,0)</f>
        <v/>
      </c>
      <c r="F16">
        <f>IF(AND(F$14&gt;$B$5,F$14&lt;=$B$5+4),-$B$4*$B$7/4,0)</f>
        <v/>
      </c>
      <c r="G16">
        <f>IF(AND(G$14&gt;$B$5,G$14&lt;=$B$5+4),-$B$4*$B$7/4,0)</f>
        <v/>
      </c>
      <c r="H16">
        <f>IF(AND(H$14&gt;$B$5,H$14&lt;=$B$5+4),-$B$4*$B$7/4,0)</f>
        <v/>
      </c>
      <c r="I16">
        <f>IF(AND(I$14&gt;$B$5,I$14&lt;=$B$5+4),-$B$4*$B$7/4,0)</f>
        <v/>
      </c>
      <c r="J16">
        <f>IF(AND(J$14&gt;$B$5,J$14&lt;=$B$5+4),-$B$4*$B$7/4,0)</f>
        <v/>
      </c>
      <c r="K16">
        <f>IF(AND(K$14&gt;$B$5,K$14&lt;=$B$5+4),-$B$4*$B$7/4,0)</f>
        <v/>
      </c>
      <c r="L16">
        <f>IF(AND(L$14&gt;$B$5,L$14&lt;=$B$5+4),-$B$4*$B$7/4,0)</f>
        <v/>
      </c>
      <c r="M16">
        <f>IF(AND(M$14&gt;$B$5,M$14&lt;=$B$5+4),-$B$4*$B$7/4,0)</f>
        <v/>
      </c>
      <c r="N16">
        <f>IF(AND(N$14&gt;$B$5,N$14&lt;=$B$5+4),-$B$4*$B$7/4,0)</f>
        <v/>
      </c>
      <c r="O16">
        <f>IF(AND(O$14&gt;$B$5,O$14&lt;=$B$5+4),-$B$4*$B$7/4,0)</f>
        <v/>
      </c>
      <c r="P16">
        <f>IF(AND(P$14&gt;$B$5,P$14&lt;=$B$5+4),-$B$4*$B$7/4,0)</f>
        <v/>
      </c>
      <c r="Q16">
        <f>IF(AND(Q$14&gt;$B$5,Q$14&lt;=$B$5+4),-$B$4*$B$7/4,0)</f>
        <v/>
      </c>
      <c r="R16">
        <f>IF(AND(R$14&gt;$B$5,R$14&lt;=$B$5+4),-$B$4*$B$7/4,0)</f>
        <v/>
      </c>
    </row>
    <row r="17">
      <c r="A17" t="inlineStr">
        <is>
          <t>NOI</t>
        </is>
      </c>
      <c r="C17">
        <f>IF(AND(C$14&gt;$B$5,C$14&lt;=$B$8),$B$4*$B$6/4*(1+$B$10)^INT((C$14-$B$5-1)/4),0)</f>
        <v/>
      </c>
      <c r="D17">
        <f>IF(AND(D$14&gt;$B$5,D$14&lt;=$B$8),$B$4*$B$6/4*(1+$B$10)^INT((D$14-$B$5-1)/4),0)</f>
        <v/>
      </c>
      <c r="E17">
        <f>IF(AND(E$14&gt;$B$5,E$14&lt;=$B$8),$B$4*$B$6/4*(1+$B$10)^INT((E$14-$B$5-1)/4),0)</f>
        <v/>
      </c>
      <c r="F17">
        <f>IF(AND(F$14&gt;$B$5,F$14&lt;=$B$8),$B$4*$B$6/4*(1+$B$10)^INT((F$14-$B$5-1)/4),0)</f>
        <v/>
      </c>
      <c r="G17">
        <f>IF(AND(G$14&gt;$B$5,G$14&lt;=$B$8),$B$4*$B$6/4*(1+$B$10)^INT((G$14-$B$5-1)/4),0)</f>
        <v/>
      </c>
      <c r="H17">
        <f>IF(AND(H$14&gt;$B$5,H$14&lt;=$B$8),$B$4*$B$6/4*(1+$B$10)^INT((H$14-$B$5-1)/4),0)</f>
        <v/>
      </c>
      <c r="I17">
        <f>IF(AND(I$14&gt;$B$5,I$14&lt;=$B$8),$B$4*$B$6/4*(1+$B$10)^INT((I$14-$B$5-1)/4),0)</f>
        <v/>
      </c>
      <c r="J17">
        <f>IF(AND(J$14&gt;$B$5,J$14&lt;=$B$8),$B$4*$B$6/4*(1+$B$10)^INT((J$14-$B$5-1)/4),0)</f>
        <v/>
      </c>
      <c r="K17">
        <f>IF(AND(K$14&gt;$B$5,K$14&lt;=$B$8),$B$4*$B$6/4*(1+$B$10)^INT((K$14-$B$5-1)/4),0)</f>
        <v/>
      </c>
      <c r="L17">
        <f>IF(AND(L$14&gt;$B$5,L$14&lt;=$B$8),$B$4*$B$6/4*(1+$B$10)^INT((L$14-$B$5-1)/4),0)</f>
        <v/>
      </c>
      <c r="M17">
        <f>IF(AND(M$14&gt;$B$5,M$14&lt;=$B$8),$B$4*$B$6/4*(1+$B$10)^INT((M$14-$B$5-1)/4),0)</f>
        <v/>
      </c>
      <c r="N17">
        <f>IF(AND(N$14&gt;$B$5,N$14&lt;=$B$8),$B$4*$B$6/4*(1+$B$10)^INT((N$14-$B$5-1)/4),0)</f>
        <v/>
      </c>
      <c r="O17">
        <f>IF(AND(O$14&gt;$B$5,O$14&lt;=$B$8),$B$4*$B$6/4*(1+$B$10)^INT((O$14-$B$5-1)/4),0)</f>
        <v/>
      </c>
      <c r="P17">
        <f>IF(AND(P$14&gt;$B$5,P$14&lt;=$B$8),$B$4*$B$6/4*(1+$B$10)^INT((P$14-$B$5-1)/4),0)</f>
        <v/>
      </c>
      <c r="Q17">
        <f>IF(AND(Q$14&gt;$B$5,Q$14&lt;=$B$8),$B$4*$B$6/4*(1+$B$10)^INT((Q$14-$B$5-1)/4),0)</f>
        <v/>
      </c>
      <c r="R17">
        <f>IF(AND(R$14&gt;$B$5,R$14&lt;=$B$8),$B$4*$B$6/4*(1+$B$10)^INT((R$14-$B$5-1)/4),0)</f>
        <v/>
      </c>
    </row>
    <row r="18">
      <c r="A18" t="inlineStr">
        <is>
          <t>Sale proceeds</t>
        </is>
      </c>
      <c r="C18">
        <f>IF(C$14=$B$8,$B$4*$B$6*(1+$B$10)^INT((C$14-$B$5-1)/4)/$B$9*(1-$B$11),0)</f>
        <v/>
      </c>
      <c r="D18">
        <f>IF(D$14=$B$8,$B$4*$B$6*(1+$B$10)^INT((D$14-$B$5-1)/4)/$B$9*(1-$B$11),0)</f>
        <v/>
      </c>
      <c r="E18">
        <f>IF(E$14=$B$8,$B$4*$B$6*(1+$B$10)^INT((E$14-$B$5-1)/4)/$B$9*(1-$B$11),0)</f>
        <v/>
      </c>
      <c r="F18">
        <f>IF(F$14=$B$8,$B$4*$B$6*(1+$B$10)^INT((F$14-$B$5-1)/4)/$B$9*(1-$B$11),0)</f>
        <v/>
      </c>
      <c r="G18">
        <f>IF(G$14=$B$8,$B$4*$B$6*(1+$B$10)^INT((G$14-$B$5-1)/4)/$B$9*(1-$B$11),0)</f>
        <v/>
      </c>
      <c r="H18">
        <f>IF(H$14=$B$8,$B$4*$B$6*(1+$B$10)^INT((H$14-$B$5-1)/4)/$B$9*(1-$B$11),0)</f>
        <v/>
      </c>
      <c r="I18">
        <f>IF(I$14=$B$8,$B$4*$B$6*(1+$B$10)^INT((I$14-$B$5-1)/4)/$B$9*(1-$B$11),0)</f>
        <v/>
      </c>
      <c r="J18">
        <f>IF(J$14=$B$8,$B$4*$B$6*(1+$B$10)^INT((J$14-$B$5-1)/4)/$B$9*(1-$B$11),0)</f>
        <v/>
      </c>
      <c r="K18">
        <f>IF(K$14=$B$8,$B$4*$B$6*(1+$B$10)^INT((K$14-$B$5-1)/4)/$B$9*(1-$B$11),0)</f>
        <v/>
      </c>
      <c r="L18">
        <f>IF(L$14=$B$8,$B$4*$B$6*(1+$B$10)^INT((L$14-$B$5-1)/4)/$B$9*(1-$B$11),0)</f>
        <v/>
      </c>
      <c r="M18">
        <f>IF(M$14=$B$8,$B$4*$B$6*(1+$B$10)^INT((M$14-$B$5-1)/4)/$B$9*(1-$B$11),0)</f>
        <v/>
      </c>
      <c r="N18">
        <f>IF(N$14=$B$8,$B$4*$B$6*(1+$B$10)^INT((N$14-$B$5-1)/4)/$B$9*(1-$B$11),0)</f>
        <v/>
      </c>
      <c r="O18">
        <f>IF(O$14=$B$8,$B$4*$B$6*(1+$B$10)^INT((O$14-$B$5-1)/4)/$B$9*(1-$B$11),0)</f>
        <v/>
      </c>
      <c r="P18">
        <f>IF(P$14=$B$8,$B$4*$B$6*(1+$B$10)^INT((P$14-$B$5-1)/4)/$B$9*(1-$B$11),0)</f>
        <v/>
      </c>
      <c r="Q18">
        <f>IF(Q$14=$B$8,$B$4*$B$6*(1+$B$10)^INT((Q$14-$B$5-1)/4)/$B$9*(1-$B$11),0)</f>
        <v/>
      </c>
      <c r="R18">
        <f>IF(R$14=$B$8,$B$4*$B$6*(1+$B$10)^INT((R$14-$B$5-1)/4)/$B$9*(1-$B$11),0)</f>
        <v/>
      </c>
    </row>
    <row r="20">
      <c r="A20" t="inlineStr">
        <is>
          <t>Net cash flow (AED m)</t>
        </is>
      </c>
      <c r="C20">
        <f>SUM(C15:C18)</f>
        <v/>
      </c>
      <c r="D20">
        <f>SUM(D15:D18)</f>
        <v/>
      </c>
      <c r="E20">
        <f>SUM(E15:E18)</f>
        <v/>
      </c>
      <c r="F20">
        <f>SUM(F15:F18)</f>
        <v/>
      </c>
      <c r="G20">
        <f>SUM(G15:G18)</f>
        <v/>
      </c>
      <c r="H20">
        <f>SUM(H15:H18)</f>
        <v/>
      </c>
      <c r="I20">
        <f>SUM(I15:I18)</f>
        <v/>
      </c>
      <c r="J20">
        <f>SUM(J15:J18)</f>
        <v/>
      </c>
      <c r="K20">
        <f>SUM(K15:K18)</f>
        <v/>
      </c>
      <c r="L20">
        <f>SUM(L15:L18)</f>
        <v/>
      </c>
      <c r="M20">
        <f>SUM(M15:M18)</f>
        <v/>
      </c>
      <c r="N20">
        <f>SUM(N15:N18)</f>
        <v/>
      </c>
      <c r="O20">
        <f>SUM(O15:O18)</f>
        <v/>
      </c>
      <c r="P20">
        <f>SUM(P15:P18)</f>
        <v/>
      </c>
      <c r="Q20">
        <f>SUM(Q15:Q18)</f>
        <v/>
      </c>
      <c r="R20">
        <f>SUM(R15:R18)</f>
        <v/>
      </c>
    </row>
    <row r="22">
      <c r="A22" t="inlineStr">
        <is>
          <t>Net cash flow (USD m)</t>
        </is>
      </c>
      <c r="C22">
        <f>C20/$B$12</f>
        <v/>
      </c>
      <c r="D22">
        <f>D20/$B$12</f>
        <v/>
      </c>
      <c r="E22">
        <f>E20/$B$12</f>
        <v/>
      </c>
      <c r="F22">
        <f>F20/$B$12</f>
        <v/>
      </c>
      <c r="G22">
        <f>G20/$B$12</f>
        <v/>
      </c>
      <c r="H22">
        <f>H20/$B$12</f>
        <v/>
      </c>
      <c r="I22">
        <f>I20/$B$12</f>
        <v/>
      </c>
      <c r="J22">
        <f>J20/$B$12</f>
        <v/>
      </c>
      <c r="K22">
        <f>K20/$B$12</f>
        <v/>
      </c>
      <c r="L22">
        <f>L20/$B$12</f>
        <v/>
      </c>
      <c r="M22">
        <f>M20/$B$12</f>
        <v/>
      </c>
      <c r="N22">
        <f>N20/$B$12</f>
        <v/>
      </c>
      <c r="O22">
        <f>O20/$B$12</f>
        <v/>
      </c>
      <c r="P22">
        <f>P20/$B$12</f>
        <v/>
      </c>
      <c r="Q22">
        <f>Q20/$B$12</f>
        <v/>
      </c>
      <c r="R22">
        <f>R20/$B$12</f>
        <v/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t="inlineStr">
        <is>
          <t>Fund returns (USD m)</t>
        </is>
      </c>
    </row>
    <row r="2">
      <c r="A2" t="inlineStr">
        <is>
          <t>LP net IRR</t>
        </is>
      </c>
      <c r="B2" s="3">
        <f>XIRR(Fund!C21:R21,Fund!C3:R3)</f>
        <v/>
      </c>
    </row>
    <row r="3">
      <c r="A3" t="inlineStr">
        <is>
          <t>Gross IRR</t>
        </is>
      </c>
      <c r="B3" s="3">
        <f>XIRR(Fund!C10:R10,Fund!C3:R3)</f>
        <v/>
      </c>
    </row>
    <row r="4">
      <c r="A4" t="inlineStr">
        <is>
          <t>TVPI</t>
        </is>
      </c>
      <c r="B4" s="4">
        <f>(SUM(Fund!C16:R16)+(1-Inputs!B6)*SUM(Fund!C20:R20))/SUM(Fund!C13:R13)</f>
        <v/>
      </c>
    </row>
    <row r="5">
      <c r="A5" t="inlineStr">
        <is>
          <t>Total carry</t>
        </is>
      </c>
      <c r="B5" s="5">
        <f>SUM(Fund!C22:R22)</f>
        <v/>
      </c>
    </row>
    <row r="6">
      <c r="A6" t="inlineStr">
        <is>
          <t>LP profit</t>
        </is>
      </c>
      <c r="B6" s="5">
        <f>SUM(Fund!C21:R21)</f>
        <v/>
      </c>
    </row>
    <row r="7">
      <c r="A7" t="inlineStr">
        <is>
          <t>Committed capital</t>
        </is>
      </c>
      <c r="B7" s="2">
        <f>Inputs!B3</f>
        <v/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Checks (all should be 0)</t>
        </is>
      </c>
    </row>
    <row r="2">
      <c r="A2" t="inlineStr">
        <is>
          <t>Deals sum to the fund gross</t>
        </is>
      </c>
      <c r="B2">
        <f>ROUND(SUM(Fund!C10:R10)-(SUM('Riyadh Office'!C22:R22)+SUM('Jeddah Logistics'!C22:R22)+SUM('Dubai Residential'!C22:R22)),6)</f>
        <v/>
      </c>
    </row>
    <row r="3">
      <c r="A3" t="inlineStr">
        <is>
          <t>Waterfall distributes everything</t>
        </is>
      </c>
      <c r="B3">
        <f>ROUND(SUM(Fund!C14:R14)-SUM(Fund!C16:R16)-SUM(Fund!C18:R18)-SUM(Fund!C20:R20),6)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2026-10-24T10:55:54Z</dcterms:created>
  <dcterms:modified xsi:type="dcterms:W3CDTF">2026-10-24T10:55:54Z</dcterms:modified>
</cp:coreProperties>
</file>