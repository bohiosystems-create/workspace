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<sst xmlns="http://schemas.openxmlformats.org/spreadsheetml/2006/main" count="25" uniqueCount="25">
  <si>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OAKWOOD RETAIL PARK (USD)</t>
  </si>
  <si>
    <t xml:space="preserve">Year 1 rent</t>
  </si>
  <si>
    <t xml:space="preserve">Rent growth</t>
  </si>
  <si>
    <t xml:space="preserve">Operating costs (share of rent)</t>
  </si>
  <si>
    <t xml:space="preserve">Purchase price</t>
  </si>
  <si>
    <t xml:space="preserve">Exit cap rate</t>
  </si>
  <si>
    <t xml:space="preserve">Hold period (years)</t>
  </si>
  <si>
    <t xml:space="preserve">Discount rate</t>
  </si>
  <si>
    <t xml:space="preserve">OAKWOOD RETAIL PARK – ANNUAL CASH FLOW (USD)</t>
  </si>
  <si>
    <t xml:space="preserve">Year</t>
  </si>
  <si>
    <t xml:space="preserve">Total</t>
  </si>
  <si>
    <t xml:space="preserve">Calendar year</t>
  </si>
  <si>
    <t xml:space="preserve">Rent</t>
  </si>
  <si>
    <t xml:space="preserve">Operating costs</t>
  </si>
  <si>
    <t xml:space="preserve">Net operating income</t>
  </si>
  <si>
    <t xml:space="preserve">Capital expenditure</t>
  </si>
  <si>
    <t xml:space="preserve">Sale proceeds</t>
  </si>
  <si>
    <t xml:space="preserve">Purchase</t>
  </si>
  <si>
    <t xml:space="preserve">Net cash flow</t>
  </si>
  <si>
    <t xml:space="preserve">Unlevered IRR</t>
  </si>
  <si>
    <t xml:space="preserve">NPV at the discount rate</t>
  </si>
  <si>
    <t xml:space="preserve">Equity multiple</t>
  </si>
  <si>
    <t xml:space="preserve">Exit value</t>
  </si>
  <si>
    <t xml:space="preserve">Total net operating income</t>
  </si>
  <si>
    <t xml:space="preserve">Net profit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</si>
</sst>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[$$-409]#,##0.00;[RED]\-[$$-409]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operating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'Cash Flow'!$D$9:$M$9</c:f>
              <c:numCache>
                <c:formatCode>General</c:formatCode>
                <c:ptCount val="10"/>
                <c:pt idx="0">
                  <c:v>700000</c:v>
                </c:pt>
                <c:pt idx="1">
                  <c:v>721000</c:v>
                </c:pt>
                <c:pt idx="2">
                  <c:v>742630</c:v>
                </c:pt>
                <c:pt idx="3">
                  <c:v>764908.9</c:v>
                </c:pt>
                <c:pt idx="4">
                  <c:v>787856.167</c:v>
                </c:pt>
                <c:pt idx="5">
                  <c:v>811491.85201</c:v>
                </c:pt>
                <c:pt idx="6">
                  <c:v>835836.6075703</c:v>
                </c:pt>
                <c:pt idx="7">
                  <c:v>860911.705797409</c:v>
                </c:pt>
                <c:pt idx="8">
                  <c:v>886739.056971332</c:v>
                </c:pt>
                <c:pt idx="9">
                  <c:v>913341.228680471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367618"/>
        <c:axId val="60116037"/>
      </c:lineChart>
      <c:catAx>
        <c:axId val="26367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16037"/>
        <c:crosses val="autoZero"/>
        <c:auto val="1"/>
        <c:lblAlgn val="ctr"/>
        <c:lblOffset val="100"/>
        <c:noMultiLvlLbl val="0"/>
      </c:catAx>
      <c:valAx>
        <c:axId val="60116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76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88200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227664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n">
        <v>1000000</v>
      </c>
    </row>
    <row r="3" customFormat="false" ht="15" hidden="false" customHeight="false" outlineLevel="0" collapsed="false">
      <c r="A3" s="0" t="s">
        <v>2</v>
      </c>
      <c r="B3" s="0" t="n">
        <v>0.03</v>
      </c>
    </row>
    <row r="4" customFormat="false" ht="15" hidden="false" customHeight="false" outlineLevel="0" collapsed="false">
      <c r="A4" s="0" t="s">
        <v>3</v>
      </c>
      <c r="B4" s="0" t="n">
        <v>0.3</v>
      </c>
    </row>
    <row r="5" customFormat="false" ht="15" hidden="false" customHeight="false" outlineLevel="0" collapsed="false">
      <c r="A5" s="0" t="s">
        <v>4</v>
      </c>
      <c r="B5" s="0" t="n">
        <v>12000000</v>
      </c>
    </row>
    <row r="6" customFormat="false" ht="15" hidden="false" customHeight="false" outlineLevel="0" collapsed="false">
      <c r="A6" s="0" t="s">
        <v>5</v>
      </c>
      <c r="B6" s="0" t="n">
        <v>0.065</v>
      </c>
    </row>
    <row r="7" customFormat="false" ht="15" hidden="false" customHeight="false" outlineLevel="0" collapsed="false">
      <c r="A7" s="0" t="s">
        <v>6</v>
      </c>
      <c r="B7" s="0" t="n">
        <v>10</v>
      </c>
    </row>
    <row r="8" customFormat="false" ht="15" hidden="false" customHeight="false" outlineLevel="0" collapsed="false">
      <c r="A8" s="0" t="s">
        <v>7</v>
      </c>
      <c r="B8" s="0" t="n"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  <row r="4" customFormat="false" ht="15" hidden="false" customHeight="false" outlineLevel="0" collapsed="false">
      <c r="A4" s="0" t="s">
        <v>9</v>
      </c>
      <c r="C4" s="0" t="n">
        <v>0</v>
      </c>
      <c r="D4" s="0" t="n">
        <f aca="false">C4+1</f>
        <v>1</v>
      </c>
      <c r="E4" s="0" t="n">
        <f aca="false">D4+1</f>
        <v>2</v>
      </c>
      <c r="F4" s="0" t="n">
        <f aca="false">E4+1</f>
        <v>3</v>
      </c>
      <c r="G4" s="0" t="n">
        <f aca="false">F4+1</f>
        <v>4</v>
      </c>
      <c r="H4" s="0" t="n">
        <f aca="false">G4+1</f>
        <v>5</v>
      </c>
      <c r="I4" s="0" t="n">
        <f aca="false">H4+1</f>
        <v>6</v>
      </c>
      <c r="J4" s="0" t="n">
        <f aca="false">I4+1</f>
        <v>7</v>
      </c>
      <c r="K4" s="0" t="n">
        <f aca="false">J4+1</f>
        <v>8</v>
      </c>
      <c r="L4" s="0" t="n">
        <f aca="false">K4+1</f>
        <v>9</v>
      </c>
      <c r="M4" s="0" t="n">
        <f aca="false">L4+1</f>
        <v>10</v>
      </c>
      <c r="N4" s="0" t="s">
        <v>10</v>
      </c>
    </row>
    <row r="5" customFormat="false" ht="15" hidden="false" customHeight="false" outlineLevel="0" collapsed="false">
      <c r="A5" s="0" t="s">
        <v>11</v>
      </c>
      <c r="C5" s="0" t="n">
        <v>2025</v>
      </c>
      <c r="D5" s="0" t="n">
        <v>2026</v>
      </c>
      <c r="E5" s="0" t="n">
        <v>2027</v>
      </c>
      <c r="F5" s="0" t="n">
        <v>2028</v>
      </c>
      <c r="G5" s="0" t="n">
        <v>2029</v>
      </c>
      <c r="H5" s="0" t="n">
        <v>2030</v>
      </c>
      <c r="I5" s="0" t="n">
        <v>2031</v>
      </c>
      <c r="J5" s="0" t="n">
        <v>2032</v>
      </c>
      <c r="K5" s="0" t="n">
        <v>2033</v>
      </c>
      <c r="L5" s="0" t="n">
        <v>2034</v>
      </c>
      <c r="M5" s="0" t="n">
        <v>2035</v>
      </c>
    </row>
    <row r="7" customFormat="false" ht="15" hidden="false" customHeight="false" outlineLevel="0" collapsed="false">
      <c r="A7" s="0" t="s">
        <v>12</v>
      </c>
      <c r="D7" s="0" t="n">
        <f aca="false">IF(AND(D$4&gt;=1,D$4&lt;=Inputs!$B$7),Inputs!$B$2*(1+Inputs!$B$3)^(D$4-1),0)</f>
        <v>1000000</v>
      </c>
      <c r="E7" s="0" t="n">
        <f aca="false">IF(AND(E$4&gt;=1,E$4&lt;=Inputs!$B$7),Inputs!$B$2*(1+Inputs!$B$3)^(E$4-1),0)</f>
        <v>1030000</v>
      </c>
      <c r="F7" s="0" t="n">
        <f aca="false">IF(AND(F$4&gt;=1,F$4&lt;=Inputs!$B$7),Inputs!$B$2*(1+Inputs!$B$3)^(F$4-1),0)</f>
        <v>1060900</v>
      </c>
      <c r="G7" s="0" t="n">
        <f aca="false">IF(AND(G$4&gt;=1,G$4&lt;=Inputs!$B$7),Inputs!$B$2*(1+Inputs!$B$3)^(G$4-1),0)</f>
        <v>1092727</v>
      </c>
      <c r="H7" s="0" t="n">
        <f aca="false">IF(AND(H$4&gt;=1,H$4&lt;=Inputs!$B$7),Inputs!$B$2*(1+Inputs!$B$3)^(H$4-1),0)</f>
        <v>1125508.81</v>
      </c>
      <c r="I7" s="0" t="n">
        <f aca="false">IF(AND(I$4&gt;=1,I$4&lt;=Inputs!$B$7),Inputs!$B$2*(1+Inputs!$B$3)^(I$4-1),0)</f>
        <v>1159274.0743</v>
      </c>
      <c r="J7" s="0" t="n">
        <f aca="false">IF(AND(J$4&gt;=1,J$4&lt;=Inputs!$B$7),Inputs!$B$2*(1+Inputs!$B$3)^(J$4-1),0)</f>
        <v>1194052.296529</v>
      </c>
      <c r="K7" s="0" t="n">
        <f aca="false">IF(AND(K$4&gt;=1,K$4&lt;=Inputs!$B$7),Inputs!$B$2*(1+Inputs!$B$3)^(K$4-1),0)</f>
        <v>1229873.86542487</v>
      </c>
      <c r="L7" s="0" t="n">
        <f aca="false">IF(AND(L$4&gt;=1,L$4&lt;=Inputs!$B$7),Inputs!$B$2*(1+Inputs!$B$3)^(L$4-1),0)</f>
        <v>1266770.08138762</v>
      </c>
      <c r="M7" s="0" t="n">
        <f aca="false">IF(AND(M$4&gt;=1,M$4&lt;=Inputs!$B$7),Inputs!$B$2*(1+Inputs!$B$3)^(M$4-1),0)</f>
        <v>1304773.18382925</v>
      </c>
      <c r="N7" s="0" t="n">
        <f aca="false">SUM(C7:M7)</f>
        <v>11463879.3114707</v>
      </c>
    </row>
    <row r="8" customFormat="false" ht="15" hidden="false" customHeight="false" outlineLevel="0" collapsed="false">
      <c r="A8" s="0" t="s">
        <v>13</v>
      </c>
      <c r="D8" s="0" t="n">
        <f aca="false">-D7*Inputs!$B$4</f>
        <v>-300000</v>
      </c>
      <c r="E8" s="0" t="n">
        <f aca="false">-E7*Inputs!$B$4</f>
        <v>-309000</v>
      </c>
      <c r="F8" s="0" t="n">
        <f aca="false">-F7*Inputs!$B$4</f>
        <v>-318270</v>
      </c>
      <c r="G8" s="0" t="n">
        <f aca="false">-G7*Inputs!$B$4</f>
        <v>-327818.1</v>
      </c>
      <c r="H8" s="0" t="n">
        <f aca="false">-H7*Inputs!$B$4</f>
        <v>-337652.643</v>
      </c>
      <c r="I8" s="0" t="n">
        <f aca="false">-I7*Inputs!$B$4</f>
        <v>-347782.22229</v>
      </c>
      <c r="J8" s="0" t="n">
        <f aca="false">-J7*Inputs!$B$4</f>
        <v>-358215.6889587</v>
      </c>
      <c r="K8" s="0" t="n">
        <f aca="false">-K7*Inputs!$B$4</f>
        <v>-368962.159627461</v>
      </c>
      <c r="L8" s="0" t="n">
        <f aca="false">-L7*Inputs!$B$4</f>
        <v>-380031.024416285</v>
      </c>
      <c r="M8" s="0" t="n">
        <f aca="false">-M7*Inputs!$B$4</f>
        <v>-391431.955148773</v>
      </c>
      <c r="N8" s="0" t="n">
        <f aca="false">SUM(C8:M8)</f>
        <v>-3439163.79344122</v>
      </c>
    </row>
    <row r="9" customFormat="false" ht="15" hidden="false" customHeight="false" outlineLevel="0" collapsed="false">
      <c r="A9" s="0" t="s">
        <v>14</v>
      </c>
      <c r="D9" s="0" t="n">
        <f aca="false">D7+D8</f>
        <v>700000</v>
      </c>
      <c r="E9" s="0" t="n">
        <f aca="false">E7+E8</f>
        <v>721000</v>
      </c>
      <c r="F9" s="0" t="n">
        <f aca="false">F7+F8</f>
        <v>742630</v>
      </c>
      <c r="G9" s="0" t="n">
        <f aca="false">G7+G8</f>
        <v>764908.9</v>
      </c>
      <c r="H9" s="0" t="n">
        <f aca="false">H7+H8</f>
        <v>787856.167</v>
      </c>
      <c r="I9" s="0" t="n">
        <f aca="false">I7+I8</f>
        <v>811491.85201</v>
      </c>
      <c r="J9" s="0" t="n">
        <f aca="false">J7+J8</f>
        <v>835836.6075703</v>
      </c>
      <c r="K9" s="0" t="n">
        <f aca="false">K7+K8</f>
        <v>860911.705797409</v>
      </c>
      <c r="L9" s="0" t="n">
        <f aca="false">L7+L8</f>
        <v>886739.056971332</v>
      </c>
      <c r="M9" s="0" t="n">
        <f aca="false">M7+M8</f>
        <v>913341.228680471</v>
      </c>
      <c r="N9" s="0" t="n">
        <f aca="false">SUM(C9:M9)</f>
        <v>8024715.51802951</v>
      </c>
    </row>
    <row r="10" customFormat="false" ht="15" hidden="false" customHeight="false" outlineLevel="0" collapsed="false">
      <c r="A10" s="0" t="s">
        <v>15</v>
      </c>
      <c r="D10" s="0" t="n">
        <v>-100000</v>
      </c>
      <c r="E10" s="0" t="n">
        <v>-100000</v>
      </c>
      <c r="F10" s="0" t="n">
        <v>-100000</v>
      </c>
      <c r="G10" s="0" t="n">
        <v>-100000</v>
      </c>
      <c r="H10" s="0" t="n">
        <v>-100000</v>
      </c>
      <c r="I10" s="0" t="n">
        <v>-100000</v>
      </c>
      <c r="J10" s="0" t="n">
        <v>-100000</v>
      </c>
      <c r="K10" s="0" t="n">
        <v>-100000</v>
      </c>
      <c r="L10" s="0" t="n">
        <v>-100000</v>
      </c>
      <c r="M10" s="0" t="n">
        <v>-100000</v>
      </c>
      <c r="N10" s="0" t="n">
        <f aca="false">SUM(C10:M10)</f>
        <v>-1000000</v>
      </c>
    </row>
    <row r="11" customFormat="false" ht="15" hidden="false" customHeight="false" outlineLevel="0" collapsed="false">
      <c r="A11" s="0" t="s">
        <v>16</v>
      </c>
      <c r="D11" s="0" t="n">
        <f aca="false">IF(D$4=Inputs!$B$7,D9*(1+Inputs!$B$3)/Inputs!$B$6,0)</f>
        <v>0</v>
      </c>
      <c r="E11" s="0" t="n">
        <f aca="false">IF(E$4=Inputs!$B$7,E9*(1+Inputs!$B$3)/Inputs!$B$6,0)</f>
        <v>0</v>
      </c>
      <c r="F11" s="0" t="n">
        <f aca="false">IF(F$4=Inputs!$B$7,F9*(1+Inputs!$B$3)/Inputs!$B$6,0)</f>
        <v>0</v>
      </c>
      <c r="G11" s="0" t="n">
        <f aca="false">IF(G$4=Inputs!$B$7,G9*(1+Inputs!$B$3)/Inputs!$B$6,0)</f>
        <v>0</v>
      </c>
      <c r="H11" s="0" t="n">
        <f aca="false">IF(H$4=Inputs!$B$7,H9*(1+Inputs!$B$3)/Inputs!$B$6,0)</f>
        <v>0</v>
      </c>
      <c r="I11" s="0" t="n">
        <f aca="false">IF(I$4=Inputs!$B$7,I9*(1+Inputs!$B$3)/Inputs!$B$6,0)</f>
        <v>0</v>
      </c>
      <c r="J11" s="0" t="n">
        <f aca="false">IF(J$4=Inputs!$B$7,J9*(1+Inputs!$B$3)/Inputs!$B$6,0)</f>
        <v>0</v>
      </c>
      <c r="K11" s="0" t="n">
        <f aca="false">IF(K$4=Inputs!$B$7,K9*(1+Inputs!$B$3)/Inputs!$B$6,0)</f>
        <v>0</v>
      </c>
      <c r="L11" s="0" t="n">
        <f aca="false">IF(L$4=Inputs!$B$7,L9*(1+Inputs!$B$3)/Inputs!$B$6,0)</f>
        <v>0</v>
      </c>
      <c r="M11" s="0" t="n">
        <f aca="false">IF(M$4=Inputs!$B$7,M9*(1+Inputs!$B$3)/Inputs!$B$6,0)</f>
        <v>14472945.6237059</v>
      </c>
      <c r="N11" s="0" t="n">
        <f aca="false">SUM(C11:M11)</f>
        <v>14472945.6237059</v>
      </c>
    </row>
    <row r="12" customFormat="false" ht="15" hidden="false" customHeight="false" outlineLevel="0" collapsed="false">
      <c r="A12" s="0" t="s">
        <v>17</v>
      </c>
      <c r="C12" s="0" t="n">
        <f aca="false">-Inputs!B5</f>
        <v>-12000000</v>
      </c>
      <c r="N12" s="0" t="n">
        <f aca="false">SUM(C12:M12)</f>
        <v>-12000000</v>
      </c>
    </row>
    <row r="13" customFormat="false" ht="15" hidden="false" customHeight="false" outlineLevel="0" collapsed="false">
      <c r="A13" s="0" t="s">
        <v>18</v>
      </c>
      <c r="C13" s="0" t="n">
        <f aca="false">SUM(C9:C12)</f>
        <v>-12000000</v>
      </c>
      <c r="D13" s="0" t="n">
        <f aca="false">SUM(D9:D12)</f>
        <v>600000</v>
      </c>
      <c r="E13" s="0" t="n">
        <f aca="false">SUM(E9:E12)</f>
        <v>621000</v>
      </c>
      <c r="F13" s="0" t="n">
        <f aca="false">SUM(F9:F12)</f>
        <v>642630</v>
      </c>
      <c r="G13" s="0" t="n">
        <f aca="false">SUM(G9:G12)</f>
        <v>664908.9</v>
      </c>
      <c r="H13" s="0" t="n">
        <f aca="false">SUM(H9:H12)</f>
        <v>687856.167</v>
      </c>
      <c r="I13" s="0" t="n">
        <f aca="false">SUM(I9:I12)</f>
        <v>711491.85201</v>
      </c>
      <c r="J13" s="0" t="n">
        <f aca="false">SUM(J9:J12)</f>
        <v>735836.6075703</v>
      </c>
      <c r="K13" s="0" t="n">
        <f aca="false">SUM(K9:K12)</f>
        <v>760911.705797409</v>
      </c>
      <c r="L13" s="0" t="n">
        <f aca="false">SUM(L9:L12)</f>
        <v>786739.056971332</v>
      </c>
      <c r="M13" s="0" t="n">
        <f aca="false">SUM(M9:M12)</f>
        <v>15286286.8523864</v>
      </c>
      <c r="N13" s="0" t="n">
        <f aca="false">SUM(C13:M13)</f>
        <v>9497661.14173544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19</v>
      </c>
      <c r="B2" s="1" t="n">
        <f aca="false">IRR('Cash Flow'!C13:M13)</f>
        <v>0.0721798820215122</v>
      </c>
    </row>
    <row r="3" customFormat="false" ht="15" hidden="false" customHeight="false" outlineLevel="0" collapsed="false">
      <c r="A3" s="0" t="s">
        <v>20</v>
      </c>
      <c r="B3" s="2" t="n">
        <f aca="false">NPV(Inputs!B8,'Cash Flow'!D13:M13)+'Cash Flow'!C13</f>
        <v>-682140.389785444</v>
      </c>
    </row>
    <row r="4" customFormat="false" ht="15" hidden="false" customHeight="false" outlineLevel="0" collapsed="false">
      <c r="A4" s="0" t="s">
        <v>21</v>
      </c>
      <c r="B4" s="0" t="n">
        <f aca="false">SUMIF('Cash Flow'!C13:M13,"&gt;0")/-SUMIF('Cash Flow'!C13:M13,"&lt;0")</f>
        <v>1.79147176181129</v>
      </c>
    </row>
    <row r="5" customFormat="false" ht="15" hidden="false" customHeight="false" outlineLevel="0" collapsed="false">
      <c r="A5" s="0" t="s">
        <v>22</v>
      </c>
      <c r="B5" s="0" t="n">
        <f aca="false">'Cash Flow'!M11</f>
        <v>14472945.6237059</v>
      </c>
    </row>
    <row r="6" customFormat="false" ht="15" hidden="false" customHeight="false" outlineLevel="0" collapsed="false">
      <c r="A6" s="0" t="s">
        <v>23</v>
      </c>
      <c r="B6" s="0" t="n">
        <f aca="false">'Cash Flow'!N9</f>
        <v>8024715.51802951</v>
      </c>
    </row>
    <row r="7" customFormat="false" ht="15" hidden="false" customHeight="false" outlineLevel="0" collapsed="false">
      <c r="A7" s="0" t="s">
        <v>24</v>
      </c>
      <c r="B7" s="0" t="n">
        <f aca="false">'Cash Flow'!N13</f>
        <v>9497661.14173544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2026-10-18T17:28:19Z</dcterms:created>
  <dc:creator>openpyxl</dc:creator>
  <dc:description/>
  <dc:language>en-US</dc:language>
  <cp:lastModifiedBy/>
  <dcterms:modified xsi:type="dcterms:W3CDTF">2026-10-18T17:28:19Z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