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hasing" sheetId="1" state="visible" r:id="rId3"/>
    <sheet name="Assumptions" sheetId="2" state="visible" r:id="rId4"/>
    <sheet name="Cash Flow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<sst xmlns="http://schemas.openxmlformats.org/spreadsheetml/2006/main" count="25" uniqueCount="25">
  <si>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AL REEM MASTER PLAN – PHASED DEVELOPMENT (AED)</t>
  </si>
  <si>
    <t xml:space="preserve">Phase</t>
  </si>
  <si>
    <t xml:space="preserve">Sellable area (sqm)</t>
  </si>
  <si>
    <t xml:space="preserve">Start year</t>
  </si>
  <si>
    <t xml:space="preserve">Build years</t>
  </si>
  <si>
    <t xml:space="preserve">Sale price (AED/sqm)</t>
  </si>
  <si>
    <t xml:space="preserve">Build cost (AED/sqm)</t>
  </si>
  <si>
    <t xml:space="preserve">Include (1/0)</t>
  </si>
  <si>
    <t xml:space="preserve">Phase 1</t>
  </si>
  <si>
    <t xml:space="preserve">Phase 2</t>
  </si>
  <si>
    <t xml:space="preserve">Phase 3</t>
  </si>
  <si>
    <t xml:space="preserve">Infrastructure &amp; land (AED)</t>
  </si>
  <si>
    <t xml:space="preserve">Sales collected in year after completion</t>
  </si>
  <si>
    <t xml:space="preserve">Discount rate</t>
  </si>
  <si>
    <t xml:space="preserve">Year</t>
  </si>
  <si>
    <t xml:space="preserve">Construction</t>
  </si>
  <si>
    <t xml:space="preserve">Sales</t>
  </si>
  <si>
    <t xml:space="preserve">Land &amp; infrastructure</t>
  </si>
  <si>
    <t xml:space="preserve">Net cash flow</t>
  </si>
  <si>
    <t xml:space="preserve">Project IRR</t>
  </si>
  <si>
    <t xml:space="preserve">NPV @ discount rate</t>
  </si>
  <si>
    <t xml:space="preserve">Net profit</t>
  </si>
  <si>
    <t xml:space="preserve">Gross development value</t>
  </si>
  <si>
    <t xml:space="preserve">Total development cost</t>
  </si>
  <si>
    <t xml:space="preserve">Profit on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</si>
</sst>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customFormat="false" ht="15" hidden="false" customHeight="false" outlineLevel="0" collapsed="false">
      <c r="A4" s="0" t="s">
        <v>8</v>
      </c>
      <c r="B4" s="0" t="n">
        <v>85000</v>
      </c>
      <c r="C4" s="0" t="n">
        <v>1</v>
      </c>
      <c r="D4" s="0" t="n">
        <v>3</v>
      </c>
      <c r="E4" s="0" t="n">
        <v>16500</v>
      </c>
      <c r="F4" s="0" t="n">
        <v>10400</v>
      </c>
      <c r="G4" s="0" t="n">
        <v>1</v>
      </c>
    </row>
    <row r="5" customFormat="false" ht="15" hidden="false" customHeight="false" outlineLevel="0" collapsed="false">
      <c r="A5" s="0" t="s">
        <v>9</v>
      </c>
      <c r="B5" s="0" t="n">
        <v>110000</v>
      </c>
      <c r="C5" s="0" t="n">
        <v>3</v>
      </c>
      <c r="D5" s="0" t="n">
        <v>3</v>
      </c>
      <c r="E5" s="0" t="n">
        <v>17200</v>
      </c>
      <c r="F5" s="0" t="n">
        <v>10800</v>
      </c>
      <c r="G5" s="0" t="n">
        <v>1</v>
      </c>
    </row>
    <row r="6" customFormat="false" ht="15" hidden="false" customHeight="false" outlineLevel="0" collapsed="false">
      <c r="A6" s="0" t="s">
        <v>10</v>
      </c>
      <c r="B6" s="0" t="n">
        <v>95000</v>
      </c>
      <c r="C6" s="0" t="n">
        <v>6</v>
      </c>
      <c r="D6" s="0" t="n">
        <v>3</v>
      </c>
      <c r="E6" s="0" t="n">
        <v>18000</v>
      </c>
      <c r="F6" s="0" t="n">
        <v>11200</v>
      </c>
      <c r="G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11</v>
      </c>
      <c r="B2" s="0" t="n">
        <v>420000000</v>
      </c>
    </row>
    <row r="3" customFormat="false" ht="15" hidden="false" customHeight="false" outlineLevel="0" collapsed="false">
      <c r="A3" s="0" t="s">
        <v>12</v>
      </c>
      <c r="B3" s="1" t="n">
        <v>0.7</v>
      </c>
    </row>
    <row r="4" customFormat="false" ht="15" hidden="false" customHeight="false" outlineLevel="0" collapsed="false">
      <c r="A4" s="0" t="s">
        <v>13</v>
      </c>
      <c r="B4" s="1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</row>
    <row r="4" customFormat="false" ht="15" hidden="false" customHeight="false" outlineLevel="0" collapsed="false">
      <c r="A4" s="0" t="s">
        <v>15</v>
      </c>
      <c r="B4" s="0" t="n">
        <f aca="false">-SUMPRODUCT(Phasing!$G$4:$G$6,Phasing!$B$4:$B$6,Phasing!$F$4:$F$6,(Phasing!$C$4:$C$6&lt;=B$3)*(Phasing!$C$4:$C$6+Phasing!$D$4:$D$6&gt;B$3)/Phasing!$D$4:$D$6)</f>
        <v>-0</v>
      </c>
      <c r="C4" s="0" t="n">
        <f aca="false">-SUMPRODUCT(Phasing!$G$4:$G$6,Phasing!$B$4:$B$6,Phasing!$F$4:$F$6,(Phasing!$C$4:$C$6&lt;=C$3)*(Phasing!$C$4:$C$6+Phasing!$D$4:$D$6&gt;C$3)/Phasing!$D$4:$D$6)</f>
        <v>-294666666.666667</v>
      </c>
      <c r="D4" s="0" t="n">
        <f aca="false">-SUMPRODUCT(Phasing!$G$4:$G$6,Phasing!$B$4:$B$6,Phasing!$F$4:$F$6,(Phasing!$C$4:$C$6&lt;=D$3)*(Phasing!$C$4:$C$6+Phasing!$D$4:$D$6&gt;D$3)/Phasing!$D$4:$D$6)</f>
        <v>-294666666.666667</v>
      </c>
      <c r="E4" s="0" t="n">
        <f aca="false">-SUMPRODUCT(Phasing!$G$4:$G$6,Phasing!$B$4:$B$6,Phasing!$F$4:$F$6,(Phasing!$C$4:$C$6&lt;=E$3)*(Phasing!$C$4:$C$6+Phasing!$D$4:$D$6&gt;E$3)/Phasing!$D$4:$D$6)</f>
        <v>-690666666.666667</v>
      </c>
      <c r="F4" s="0" t="n">
        <f aca="false">-SUMPRODUCT(Phasing!$G$4:$G$6,Phasing!$B$4:$B$6,Phasing!$F$4:$F$6,(Phasing!$C$4:$C$6&lt;=F$3)*(Phasing!$C$4:$C$6+Phasing!$D$4:$D$6&gt;F$3)/Phasing!$D$4:$D$6)</f>
        <v>-396000000</v>
      </c>
      <c r="G4" s="0" t="n">
        <f aca="false">-SUMPRODUCT(Phasing!$G$4:$G$6,Phasing!$B$4:$B$6,Phasing!$F$4:$F$6,(Phasing!$C$4:$C$6&lt;=G$3)*(Phasing!$C$4:$C$6+Phasing!$D$4:$D$6&gt;G$3)/Phasing!$D$4:$D$6)</f>
        <v>-396000000</v>
      </c>
      <c r="H4" s="0" t="n">
        <f aca="false">-SUMPRODUCT(Phasing!$G$4:$G$6,Phasing!$B$4:$B$6,Phasing!$F$4:$F$6,(Phasing!$C$4:$C$6&lt;=H$3)*(Phasing!$C$4:$C$6+Phasing!$D$4:$D$6&gt;H$3)/Phasing!$D$4:$D$6)</f>
        <v>-354666666.666667</v>
      </c>
      <c r="I4" s="0" t="n">
        <f aca="false">-SUMPRODUCT(Phasing!$G$4:$G$6,Phasing!$B$4:$B$6,Phasing!$F$4:$F$6,(Phasing!$C$4:$C$6&lt;=I$3)*(Phasing!$C$4:$C$6+Phasing!$D$4:$D$6&gt;I$3)/Phasing!$D$4:$D$6)</f>
        <v>-354666666.666667</v>
      </c>
      <c r="J4" s="0" t="n">
        <f aca="false">-SUMPRODUCT(Phasing!$G$4:$G$6,Phasing!$B$4:$B$6,Phasing!$F$4:$F$6,(Phasing!$C$4:$C$6&lt;=J$3)*(Phasing!$C$4:$C$6+Phasing!$D$4:$D$6&gt;J$3)/Phasing!$D$4:$D$6)</f>
        <v>-354666666.666667</v>
      </c>
      <c r="K4" s="0" t="n">
        <f aca="false">-SUMPRODUCT(Phasing!$G$4:$G$6,Phasing!$B$4:$B$6,Phasing!$F$4:$F$6,(Phasing!$C$4:$C$6&lt;=K$3)*(Phasing!$C$4:$C$6+Phasing!$D$4:$D$6&gt;K$3)/Phasing!$D$4:$D$6)</f>
        <v>-0</v>
      </c>
      <c r="L4" s="0" t="n">
        <f aca="false">-SUMPRODUCT(Phasing!$G$4:$G$6,Phasing!$B$4:$B$6,Phasing!$F$4:$F$6,(Phasing!$C$4:$C$6&lt;=L$3)*(Phasing!$C$4:$C$6+Phasing!$D$4:$D$6&gt;L$3)/Phasing!$D$4:$D$6)</f>
        <v>-0</v>
      </c>
      <c r="M4" s="0" t="n">
        <f aca="false">-SUMPRODUCT(Phasing!$G$4:$G$6,Phasing!$B$4:$B$6,Phasing!$F$4:$F$6,(Phasing!$C$4:$C$6&lt;=M$3)*(Phasing!$C$4:$C$6+Phasing!$D$4:$D$6&gt;M$3)/Phasing!$D$4:$D$6)</f>
        <v>-0</v>
      </c>
    </row>
    <row r="5" customFormat="false" ht="15" hidden="false" customHeight="false" outlineLevel="0" collapsed="false">
      <c r="A5" s="0" t="s">
        <v>16</v>
      </c>
      <c r="B5" s="0" t="n">
        <f aca="false">SUMPRODUCT(Phasing!$G$4:$G$6,Phasing!$B$4:$B$6,Phasing!$E$4:$E$6,(Phasing!$C$4:$C$6+Phasing!$D$4:$D$6=B$3)*Assumptions!$B$3+(Phasing!$C$4:$C$6+Phasing!$D$4:$D$6+1=B$3)*(1-Assumptions!$B$3))</f>
        <v>0</v>
      </c>
      <c r="C5" s="0" t="n">
        <f aca="false">SUMPRODUCT(Phasing!$G$4:$G$6,Phasing!$B$4:$B$6,Phasing!$E$4:$E$6,(Phasing!$C$4:$C$6+Phasing!$D$4:$D$6=C$3)*Assumptions!$B$3+(Phasing!$C$4:$C$6+Phasing!$D$4:$D$6+1=C$3)*(1-Assumptions!$B$3))</f>
        <v>0</v>
      </c>
      <c r="D5" s="0" t="n">
        <f aca="false">SUMPRODUCT(Phasing!$G$4:$G$6,Phasing!$B$4:$B$6,Phasing!$E$4:$E$6,(Phasing!$C$4:$C$6+Phasing!$D$4:$D$6=D$3)*Assumptions!$B$3+(Phasing!$C$4:$C$6+Phasing!$D$4:$D$6+1=D$3)*(1-Assumptions!$B$3))</f>
        <v>0</v>
      </c>
      <c r="E5" s="0" t="n">
        <f aca="false">SUMPRODUCT(Phasing!$G$4:$G$6,Phasing!$B$4:$B$6,Phasing!$E$4:$E$6,(Phasing!$C$4:$C$6+Phasing!$D$4:$D$6=E$3)*Assumptions!$B$3+(Phasing!$C$4:$C$6+Phasing!$D$4:$D$6+1=E$3)*(1-Assumptions!$B$3))</f>
        <v>0</v>
      </c>
      <c r="F5" s="0" t="n">
        <f aca="false">SUMPRODUCT(Phasing!$G$4:$G$6,Phasing!$B$4:$B$6,Phasing!$E$4:$E$6,(Phasing!$C$4:$C$6+Phasing!$D$4:$D$6=F$3)*Assumptions!$B$3+(Phasing!$C$4:$C$6+Phasing!$D$4:$D$6+1=F$3)*(1-Assumptions!$B$3))</f>
        <v>981750000</v>
      </c>
      <c r="G5" s="0" t="n">
        <f aca="false">SUMPRODUCT(Phasing!$G$4:$G$6,Phasing!$B$4:$B$6,Phasing!$E$4:$E$6,(Phasing!$C$4:$C$6+Phasing!$D$4:$D$6=G$3)*Assumptions!$B$3+(Phasing!$C$4:$C$6+Phasing!$D$4:$D$6+1=G$3)*(1-Assumptions!$B$3))</f>
        <v>420750000</v>
      </c>
      <c r="H5" s="0" t="n">
        <f aca="false">SUMPRODUCT(Phasing!$G$4:$G$6,Phasing!$B$4:$B$6,Phasing!$E$4:$E$6,(Phasing!$C$4:$C$6+Phasing!$D$4:$D$6=H$3)*Assumptions!$B$3+(Phasing!$C$4:$C$6+Phasing!$D$4:$D$6+1=H$3)*(1-Assumptions!$B$3))</f>
        <v>1324400000</v>
      </c>
      <c r="I5" s="0" t="n">
        <f aca="false">SUMPRODUCT(Phasing!$G$4:$G$6,Phasing!$B$4:$B$6,Phasing!$E$4:$E$6,(Phasing!$C$4:$C$6+Phasing!$D$4:$D$6=I$3)*Assumptions!$B$3+(Phasing!$C$4:$C$6+Phasing!$D$4:$D$6+1=I$3)*(1-Assumptions!$B$3))</f>
        <v>567600000</v>
      </c>
      <c r="J5" s="0" t="n">
        <f aca="false">SUMPRODUCT(Phasing!$G$4:$G$6,Phasing!$B$4:$B$6,Phasing!$E$4:$E$6,(Phasing!$C$4:$C$6+Phasing!$D$4:$D$6=J$3)*Assumptions!$B$3+(Phasing!$C$4:$C$6+Phasing!$D$4:$D$6+1=J$3)*(1-Assumptions!$B$3))</f>
        <v>0</v>
      </c>
      <c r="K5" s="0" t="n">
        <f aca="false">SUMPRODUCT(Phasing!$G$4:$G$6,Phasing!$B$4:$B$6,Phasing!$E$4:$E$6,(Phasing!$C$4:$C$6+Phasing!$D$4:$D$6=K$3)*Assumptions!$B$3+(Phasing!$C$4:$C$6+Phasing!$D$4:$D$6+1=K$3)*(1-Assumptions!$B$3))</f>
        <v>1197000000</v>
      </c>
      <c r="L5" s="0" t="n">
        <f aca="false">SUMPRODUCT(Phasing!$G$4:$G$6,Phasing!$B$4:$B$6,Phasing!$E$4:$E$6,(Phasing!$C$4:$C$6+Phasing!$D$4:$D$6=L$3)*Assumptions!$B$3+(Phasing!$C$4:$C$6+Phasing!$D$4:$D$6+1=L$3)*(1-Assumptions!$B$3))</f>
        <v>513000000</v>
      </c>
      <c r="M5" s="0" t="n">
        <f aca="false">SUMPRODUCT(Phasing!$G$4:$G$6,Phasing!$B$4:$B$6,Phasing!$E$4:$E$6,(Phasing!$C$4:$C$6+Phasing!$D$4:$D$6=M$3)*Assumptions!$B$3+(Phasing!$C$4:$C$6+Phasing!$D$4:$D$6+1=M$3)*(1-Assumptions!$B$3))</f>
        <v>0</v>
      </c>
    </row>
    <row r="6" customFormat="false" ht="15" hidden="false" customHeight="false" outlineLevel="0" collapsed="false">
      <c r="A6" s="0" t="s">
        <v>17</v>
      </c>
      <c r="B6" s="0" t="n">
        <f aca="false">IF(B$3=0,-Assumptions!$B$2,0)</f>
        <v>-420000000</v>
      </c>
      <c r="C6" s="0" t="n">
        <f aca="false">IF(C$3=0,-Assumptions!$B$2,0)</f>
        <v>0</v>
      </c>
      <c r="D6" s="0" t="n">
        <f aca="false">IF(D$3=0,-Assumptions!$B$2,0)</f>
        <v>0</v>
      </c>
      <c r="E6" s="0" t="n">
        <f aca="false">IF(E$3=0,-Assumptions!$B$2,0)</f>
        <v>0</v>
      </c>
      <c r="F6" s="0" t="n">
        <f aca="false">IF(F$3=0,-Assumptions!$B$2,0)</f>
        <v>0</v>
      </c>
      <c r="G6" s="0" t="n">
        <f aca="false">IF(G$3=0,-Assumptions!$B$2,0)</f>
        <v>0</v>
      </c>
      <c r="H6" s="0" t="n">
        <f aca="false">IF(H$3=0,-Assumptions!$B$2,0)</f>
        <v>0</v>
      </c>
      <c r="I6" s="0" t="n">
        <f aca="false">IF(I$3=0,-Assumptions!$B$2,0)</f>
        <v>0</v>
      </c>
      <c r="J6" s="0" t="n">
        <f aca="false">IF(J$3=0,-Assumptions!$B$2,0)</f>
        <v>0</v>
      </c>
      <c r="K6" s="0" t="n">
        <f aca="false">IF(K$3=0,-Assumptions!$B$2,0)</f>
        <v>0</v>
      </c>
      <c r="L6" s="0" t="n">
        <f aca="false">IF(L$3=0,-Assumptions!$B$2,0)</f>
        <v>0</v>
      </c>
      <c r="M6" s="0" t="n">
        <f aca="false">IF(M$3=0,-Assumptions!$B$2,0)</f>
        <v>0</v>
      </c>
    </row>
    <row r="7" customFormat="false" ht="15" hidden="false" customHeight="false" outlineLevel="0" collapsed="false">
      <c r="A7" s="0" t="s">
        <v>18</v>
      </c>
      <c r="B7" s="0" t="n">
        <f aca="false">SUM(B4:B6)</f>
        <v>-420000000</v>
      </c>
      <c r="C7" s="0" t="n">
        <f aca="false">SUM(C4:C6)</f>
        <v>-294666666.666667</v>
      </c>
      <c r="D7" s="0" t="n">
        <f aca="false">SUM(D4:D6)</f>
        <v>-294666666.666667</v>
      </c>
      <c r="E7" s="0" t="n">
        <f aca="false">SUM(E4:E6)</f>
        <v>-690666666.666667</v>
      </c>
      <c r="F7" s="0" t="n">
        <f aca="false">SUM(F4:F6)</f>
        <v>585750000</v>
      </c>
      <c r="G7" s="0" t="n">
        <f aca="false">SUM(G4:G6)</f>
        <v>24750000.0000001</v>
      </c>
      <c r="H7" s="0" t="n">
        <f aca="false">SUM(H4:H6)</f>
        <v>969733333.333333</v>
      </c>
      <c r="I7" s="0" t="n">
        <f aca="false">SUM(I4:I6)</f>
        <v>212933333.333334</v>
      </c>
      <c r="J7" s="0" t="n">
        <f aca="false">SUM(J4:J6)</f>
        <v>-354666666.666667</v>
      </c>
      <c r="K7" s="0" t="n">
        <f aca="false">SUM(K4:K6)</f>
        <v>1197000000</v>
      </c>
      <c r="L7" s="0" t="n">
        <f aca="false">SUM(L4:L6)</f>
        <v>513000000</v>
      </c>
      <c r="M7" s="0" t="n">
        <f aca="false">SUM(M4:M6)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1" t="n">
        <f aca="false">IRR('Cash Flow'!B7:M7)</f>
        <v>0.122753988820245</v>
      </c>
    </row>
    <row r="4" customFormat="false" ht="15" hidden="false" customHeight="false" outlineLevel="0" collapsed="false">
      <c r="A4" s="0" t="s">
        <v>20</v>
      </c>
      <c r="B4" s="2" t="n">
        <f aca="false">NPV(Assumptions!B4,'Cash Flow'!C7:M7)+'Cash Flow'!B7</f>
        <v>161761479.959665</v>
      </c>
    </row>
    <row r="5" customFormat="false" ht="15" hidden="false" customHeight="false" outlineLevel="0" collapsed="false">
      <c r="A5" s="0" t="s">
        <v>21</v>
      </c>
      <c r="B5" s="2" t="n">
        <f aca="false">SUM('Cash Flow'!B7:M7)</f>
        <v>1448500000</v>
      </c>
    </row>
    <row r="6" customFormat="false" ht="15" hidden="false" customHeight="false" outlineLevel="0" collapsed="false">
      <c r="A6" s="0" t="s">
        <v>22</v>
      </c>
      <c r="B6" s="2" t="n">
        <f aca="false">SUM('Cash Flow'!B5:M5)</f>
        <v>5004500000</v>
      </c>
    </row>
    <row r="7" customFormat="false" ht="15" hidden="false" customHeight="false" outlineLevel="0" collapsed="false">
      <c r="A7" s="0" t="s">
        <v>23</v>
      </c>
      <c r="B7" s="2" t="n">
        <f aca="false">-SUM('Cash Flow'!B4:M4)-SUM('Cash Flow'!B6:M6)</f>
        <v>3556000000</v>
      </c>
    </row>
    <row r="8" customFormat="false" ht="15" hidden="false" customHeight="false" outlineLevel="0" collapsed="false">
      <c r="A8" s="0" t="s">
        <v>24</v>
      </c>
      <c r="B8" s="1" t="n">
        <f aca="false">B5/B7</f>
        <v>0.407339707536558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2026-10-16T15:32:20Z</dcterms:created>
  <dc:creator>openpyxl</dc:creator>
  <dc:description/>
  <dc:language>en-US</dc:language>
  <cp:lastModifiedBy/>
  <dcterms:modified xsi:type="dcterms:W3CDTF">2026-10-16T15:32:20Z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