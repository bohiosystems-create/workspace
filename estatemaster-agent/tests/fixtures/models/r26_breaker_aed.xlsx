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2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<sst xmlns="http://schemas.openxmlformats.org/spreadsheetml/2006/main" count="25" uniqueCount="25">
  <si>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CREEK VISTA TOWER – DEVELOPMENT WITH A CIRCUIT BREAKER (AED)</t>
  </si>
  <si>
    <t xml:space="preserve">Circuit breaker (1 = interest on, 0 = off)</t>
  </si>
  <si>
    <t xml:space="preserve">Land (AED)</t>
  </si>
  <si>
    <t xml:space="preserve">Build cost (AED)</t>
  </si>
  <si>
    <t xml:space="preserve">Build (quarters)</t>
  </si>
  <si>
    <t xml:space="preserve">Loan to cost</t>
  </si>
  <si>
    <t xml:space="preserve">Interest rate</t>
  </si>
  <si>
    <t xml:space="preserve">Sales (AED)</t>
  </si>
  <si>
    <t xml:space="preserve">Sales period (quarters)</t>
  </si>
  <si>
    <t xml:space="preserve">Quarter</t>
  </si>
  <si>
    <t xml:space="preserve">Build</t>
  </si>
  <si>
    <t xml:space="preserve">Land</t>
  </si>
  <si>
    <t xml:space="preserve">Interest</t>
  </si>
  <si>
    <t xml:space="preserve">Total cost</t>
  </si>
  <si>
    <t xml:space="preserve">Loan drawn</t>
  </si>
  <si>
    <t xml:space="preserve">Loan balance</t>
  </si>
  <si>
    <t xml:space="preserve">Sales</t>
  </si>
  <si>
    <t xml:space="preserve">Repayment</t>
  </si>
  <si>
    <t xml:space="preserve">Equity cash flow</t>
  </si>
  <si>
    <t xml:space="preserve">Levered IRR</t>
  </si>
  <si>
    <t xml:space="preserve">Peak debt (AED)</t>
  </si>
  <si>
    <t xml:space="preserve">Interest capitalised (AED)</t>
  </si>
  <si>
    <t xml:space="preserve">Total cost (AED)</t>
  </si>
  <si>
    <t xml:space="preserve">Net profit (AED)</t>
  </si>
  <si>
    <t xml:space="preserve">Profit on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</si>
</sst>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95000000</v>
      </c>
    </row>
    <row r="5" customFormat="false" ht="15" hidden="false" customHeight="false" outlineLevel="0" collapsed="false">
      <c r="A5" s="0" t="s">
        <v>3</v>
      </c>
      <c r="B5" s="2" t="n">
        <v>310000000</v>
      </c>
    </row>
    <row r="6" customFormat="false" ht="15" hidden="false" customHeight="false" outlineLevel="0" collapsed="false">
      <c r="A6" s="0" t="s">
        <v>4</v>
      </c>
      <c r="B6" s="1" t="n">
        <v>10</v>
      </c>
    </row>
    <row r="7" customFormat="false" ht="15" hidden="false" customHeight="false" outlineLevel="0" collapsed="false">
      <c r="A7" s="0" t="s">
        <v>5</v>
      </c>
      <c r="B7" s="3" t="n">
        <v>0.6</v>
      </c>
    </row>
    <row r="8" customFormat="false" ht="15" hidden="false" customHeight="false" outlineLevel="0" collapsed="false">
      <c r="A8" s="0" t="s">
        <v>6</v>
      </c>
      <c r="B8" s="3" t="n">
        <v>0.071</v>
      </c>
    </row>
    <row r="9" customFormat="false" ht="15" hidden="false" customHeight="false" outlineLevel="0" collapsed="false">
      <c r="A9" s="0" t="s">
        <v>7</v>
      </c>
      <c r="B9" s="2" t="n">
        <v>560000000</v>
      </c>
    </row>
    <row r="10" customFormat="false" ht="15" hidden="false" customHeight="false" outlineLevel="0" collapsed="false">
      <c r="A10" s="0" t="s">
        <v>8</v>
      </c>
      <c r="B10" s="1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</row>
    <row r="4" customFormat="false" ht="15" hidden="false" customHeight="false" outlineLevel="0" collapsed="false">
      <c r="A4" s="0" t="s">
        <v>10</v>
      </c>
      <c r="B4" s="0" t="n">
        <f aca="false">IF(AND(B$3&gt;=1,B$3&lt;=Inputs!$B$6),Inputs!$B$5/Inputs!$B$6,0)</f>
        <v>0.0</v>
      </c>
      <c r="C4" s="0" t="n">
        <f aca="false">IF(AND(C$3&gt;=1,C$3&lt;=Inputs!$B$6),Inputs!$B$5/Inputs!$B$6,0)</f>
        <v>31000000.0</v>
      </c>
      <c r="D4" s="0" t="n">
        <f aca="false">IF(AND(D$3&gt;=1,D$3&lt;=Inputs!$B$6),Inputs!$B$5/Inputs!$B$6,0)</f>
        <v>31000000.0</v>
      </c>
      <c r="E4" s="0" t="n">
        <f aca="false">IF(AND(E$3&gt;=1,E$3&lt;=Inputs!$B$6),Inputs!$B$5/Inputs!$B$6,0)</f>
        <v>31000000.0</v>
      </c>
      <c r="F4" s="0" t="n">
        <f aca="false">IF(AND(F$3&gt;=1,F$3&lt;=Inputs!$B$6),Inputs!$B$5/Inputs!$B$6,0)</f>
        <v>31000000.0</v>
      </c>
      <c r="G4" s="0" t="n">
        <f aca="false">IF(AND(G$3&gt;=1,G$3&lt;=Inputs!$B$6),Inputs!$B$5/Inputs!$B$6,0)</f>
        <v>31000000.0</v>
      </c>
      <c r="H4" s="0" t="n">
        <f aca="false">IF(AND(H$3&gt;=1,H$3&lt;=Inputs!$B$6),Inputs!$B$5/Inputs!$B$6,0)</f>
        <v>31000000.0</v>
      </c>
      <c r="I4" s="0" t="n">
        <f aca="false">IF(AND(I$3&gt;=1,I$3&lt;=Inputs!$B$6),Inputs!$B$5/Inputs!$B$6,0)</f>
        <v>31000000.0</v>
      </c>
      <c r="J4" s="0" t="n">
        <f aca="false">IF(AND(J$3&gt;=1,J$3&lt;=Inputs!$B$6),Inputs!$B$5/Inputs!$B$6,0)</f>
        <v>31000000.0</v>
      </c>
      <c r="K4" s="0" t="n">
        <f aca="false">IF(AND(K$3&gt;=1,K$3&lt;=Inputs!$B$6),Inputs!$B$5/Inputs!$B$6,0)</f>
        <v>31000000.0</v>
      </c>
      <c r="L4" s="0" t="n">
        <f aca="false">IF(AND(L$3&gt;=1,L$3&lt;=Inputs!$B$6),Inputs!$B$5/Inputs!$B$6,0)</f>
        <v>31000000.0</v>
      </c>
      <c r="M4" s="0" t="n">
        <f aca="false">IF(AND(M$3&gt;=1,M$3&lt;=Inputs!$B$6),Inputs!$B$5/Inputs!$B$6,0)</f>
        <v>0.0</v>
      </c>
      <c r="N4" s="0" t="n">
        <f aca="false">IF(AND(N$3&gt;=1,N$3&lt;=Inputs!$B$6),Inputs!$B$5/Inputs!$B$6,0)</f>
        <v>0.0</v>
      </c>
      <c r="O4" s="0" t="n">
        <f aca="false">IF(AND(O$3&gt;=1,O$3&lt;=Inputs!$B$6),Inputs!$B$5/Inputs!$B$6,0)</f>
        <v>0.0</v>
      </c>
      <c r="P4" s="0" t="n">
        <f aca="false">IF(AND(P$3&gt;=1,P$3&lt;=Inputs!$B$6),Inputs!$B$5/Inputs!$B$6,0)</f>
        <v>0.0</v>
      </c>
      <c r="Q4" s="0" t="n">
        <f aca="false">IF(AND(Q$3&gt;=1,Q$3&lt;=Inputs!$B$6),Inputs!$B$5/Inputs!$B$6,0)</f>
        <v>0.0</v>
      </c>
      <c r="R4" s="0" t="n">
        <f aca="false">IF(AND(R$3&gt;=1,R$3&lt;=Inputs!$B$6),Inputs!$B$5/Inputs!$B$6,0)</f>
        <v>0.0</v>
      </c>
      <c r="S4" s="0" t="n">
        <f aca="false">IF(AND(S$3&gt;=1,S$3&lt;=Inputs!$B$6),Inputs!$B$5/Inputs!$B$6,0)</f>
        <v>0.0</v>
      </c>
      <c r="T4" s="0" t="n">
        <f aca="false">IF(AND(T$3&gt;=1,T$3&lt;=Inputs!$B$6),Inputs!$B$5/Inputs!$B$6,0)</f>
        <v>0.0</v>
      </c>
    </row>
    <row r="5" customFormat="false" ht="15" hidden="false" customHeight="false" outlineLevel="0" collapsed="false">
      <c r="A5" s="0" t="s">
        <v>11</v>
      </c>
      <c r="B5" s="2" t="n">
        <f aca="false">IF(B$3=0,Inputs!$B$4,0)</f>
        <v>95000000.0</v>
      </c>
      <c r="C5" s="0" t="n">
        <f aca="false">IF(C$3=0,Inputs!$B$4,0)</f>
        <v>0.0</v>
      </c>
      <c r="D5" s="0" t="n">
        <f aca="false">IF(D$3=0,Inputs!$B$4,0)</f>
        <v>0.0</v>
      </c>
      <c r="E5" s="0" t="n">
        <f aca="false">IF(E$3=0,Inputs!$B$4,0)</f>
        <v>0.0</v>
      </c>
      <c r="F5" s="0" t="n">
        <f aca="false">IF(F$3=0,Inputs!$B$4,0)</f>
        <v>0.0</v>
      </c>
      <c r="G5" s="0" t="n">
        <f aca="false">IF(G$3=0,Inputs!$B$4,0)</f>
        <v>0.0</v>
      </c>
      <c r="H5" s="0" t="n">
        <f aca="false">IF(H$3=0,Inputs!$B$4,0)</f>
        <v>0.0</v>
      </c>
      <c r="I5" s="0" t="n">
        <f aca="false">IF(I$3=0,Inputs!$B$4,0)</f>
        <v>0.0</v>
      </c>
      <c r="J5" s="0" t="n">
        <f aca="false">IF(J$3=0,Inputs!$B$4,0)</f>
        <v>0.0</v>
      </c>
      <c r="K5" s="0" t="n">
        <f aca="false">IF(K$3=0,Inputs!$B$4,0)</f>
        <v>0.0</v>
      </c>
      <c r="L5" s="0" t="n">
        <f aca="false">IF(L$3=0,Inputs!$B$4,0)</f>
        <v>0.0</v>
      </c>
      <c r="M5" s="0" t="n">
        <f aca="false">IF(M$3=0,Inputs!$B$4,0)</f>
        <v>0.0</v>
      </c>
      <c r="N5" s="0" t="n">
        <f aca="false">IF(N$3=0,Inputs!$B$4,0)</f>
        <v>0.0</v>
      </c>
      <c r="O5" s="0" t="n">
        <f aca="false">IF(O$3=0,Inputs!$B$4,0)</f>
        <v>0.0</v>
      </c>
      <c r="P5" s="0" t="n">
        <f aca="false">IF(P$3=0,Inputs!$B$4,0)</f>
        <v>0.0</v>
      </c>
      <c r="Q5" s="0" t="n">
        <f aca="false">IF(Q$3=0,Inputs!$B$4,0)</f>
        <v>0.0</v>
      </c>
      <c r="R5" s="0" t="n">
        <f aca="false">IF(R$3=0,Inputs!$B$4,0)</f>
        <v>0.0</v>
      </c>
      <c r="S5" s="0" t="n">
        <f aca="false">IF(S$3=0,Inputs!$B$4,0)</f>
        <v>0.0</v>
      </c>
      <c r="T5" s="0" t="n">
        <f aca="false">IF(T$3=0,Inputs!$B$4,0)</f>
        <v>0.0</v>
      </c>
    </row>
    <row r="6" customFormat="false" ht="15" hidden="false" customHeight="false" outlineLevel="0" collapsed="false">
      <c r="A6" s="0" t="s">
        <v>12</v>
      </c>
      <c r="B6" s="0" t="n">
        <f aca="false">0</f>
        <v>0.0</v>
      </c>
      <c r="C6" s="0" t="n">
        <f aca="false">IF(Inputs!$B$3=1,IFERROR((B9+C8/2)*Inputs!$B$8/4,0),0)</f>
        <v>1183125.141377837</v>
      </c>
      <c r="D6" s="0" t="n">
        <f aca="false">IF(Inputs!$B$3=1,IFERROR((C9+D8/2)*Inputs!$B$8/4,0),0)</f>
        <v>1527710.3403178665</v>
      </c>
      <c r="E6" s="0" t="n">
        <f aca="false">IF(Inputs!$B$3=1,IFERROR((D9+E8/2)*Inputs!$B$8/4,0),0)</f>
        <v>1875985.0181014494</v>
      </c>
      <c r="F6" s="0" t="n">
        <f aca="false">IF(Inputs!$B$3=1,IFERROR((E9+F8/2)*Inputs!$B$8/4,0),0)</f>
        <v>2227988.6780333673</v>
      </c>
      <c r="G6" s="0" t="n">
        <f aca="false">IF(Inputs!$B$3=1,IFERROR((F9+G8/2)*Inputs!$B$8/4,0),0)</f>
        <v>2583761.2463808726</v>
      </c>
      <c r="H6" s="0" t="n">
        <f aca="false">IF(Inputs!$B$3=1,IFERROR((G9+H8/2)*Inputs!$B$8/4,0),0)</f>
        <v>2943343.076902356</v>
      </c>
      <c r="I6" s="0" t="n">
        <f aca="false">IF(Inputs!$B$3=1,IFERROR((H9+I8/2)*Inputs!$B$8/4,0),0)</f>
        <v>3306774.9554244964</v>
      </c>
      <c r="J6" s="0" t="n">
        <f aca="false">IF(Inputs!$B$3=1,IFERROR((I9+J8/2)*Inputs!$B$8/4,0),0)</f>
        <v>3674098.104468426</v>
      </c>
      <c r="K6" s="0" t="n">
        <f aca="false">IF(Inputs!$B$3=1,IFERROR((J9+K8/2)*Inputs!$B$8/4,0),0)</f>
        <v>4045354.1879254235</v>
      </c>
      <c r="L6" s="0" t="n">
        <f aca="false">IF(Inputs!$B$3=1,IFERROR((K9+L8/2)*Inputs!$B$8/4,0),0)</f>
        <v>4420585.315782669</v>
      </c>
      <c r="M6" s="0" t="n">
        <f aca="false">IF(Inputs!$B$3=1,IFERROR((L9+M8/2)*Inputs!$B$8/4,0),0)</f>
        <v>4609199.9325892115</v>
      </c>
      <c r="N6" s="0" t="n">
        <f aca="false">IF(Inputs!$B$3=1,IFERROR((M9+N8/2)*Inputs!$B$8/4,0),0)</f>
        <v>2952533.265922545</v>
      </c>
      <c r="O6" s="0" t="n">
        <f aca="false">IF(Inputs!$B$3=1,IFERROR((N9+O8/2)*Inputs!$B$8/4,0),0)</f>
        <v>1295866.5992558785</v>
      </c>
      <c r="P6" s="0" t="n">
        <f aca="false">IF(Inputs!$B$3=1,IFERROR((O9+P8/2)*Inputs!$B$8/4,0),0)</f>
        <v>0.0</v>
      </c>
      <c r="Q6" s="0" t="n">
        <f aca="false">IF(Inputs!$B$3=1,IFERROR((P9+Q8/2)*Inputs!$B$8/4,0),0)</f>
        <v>0.0</v>
      </c>
      <c r="R6" s="0" t="n">
        <f aca="false">IF(Inputs!$B$3=1,IFERROR((Q9+R8/2)*Inputs!$B$8/4,0),0)</f>
        <v>0.0</v>
      </c>
      <c r="S6" s="0" t="n">
        <f aca="false">IF(Inputs!$B$3=1,IFERROR((R9+S8/2)*Inputs!$B$8/4,0),0)</f>
        <v>0.0</v>
      </c>
      <c r="T6" s="0" t="n">
        <f aca="false">IF(Inputs!$B$3=1,IFERROR((S9+T8/2)*Inputs!$B$8/4,0),0)</f>
        <v>0.0</v>
      </c>
    </row>
    <row r="7" customFormat="false" ht="15" hidden="false" customHeight="false" outlineLevel="0" collapsed="false">
      <c r="A7" s="0" t="s">
        <v>13</v>
      </c>
      <c r="B7" s="0" t="n">
        <f aca="false">B4+B5+B6</f>
        <v>95000000.0</v>
      </c>
      <c r="C7" s="0" t="n">
        <f aca="false">C4+C5+C6</f>
        <v>32183125.141377836</v>
      </c>
      <c r="D7" s="0" t="n">
        <f aca="false">D4+D5+D6</f>
        <v>32527710.340317868</v>
      </c>
      <c r="E7" s="0" t="n">
        <f aca="false">E4+E5+E6</f>
        <v>32875985.01810145</v>
      </c>
      <c r="F7" s="0" t="n">
        <f aca="false">F4+F5+F6</f>
        <v>33227988.678033367</v>
      </c>
      <c r="G7" s="0" t="n">
        <f aca="false">G4+G5+G6</f>
        <v>33583761.24638087</v>
      </c>
      <c r="H7" s="0" t="n">
        <f aca="false">H4+H5+H6</f>
        <v>33943343.07690236</v>
      </c>
      <c r="I7" s="0" t="n">
        <f aca="false">I4+I5+I6</f>
        <v>34306774.955424495</v>
      </c>
      <c r="J7" s="0" t="n">
        <f aca="false">J4+J5+J6</f>
        <v>34674098.10446843</v>
      </c>
      <c r="K7" s="0" t="n">
        <f aca="false">K4+K5+K6</f>
        <v>35045354.18792542</v>
      </c>
      <c r="L7" s="0" t="n">
        <f aca="false">L4+L5+L6</f>
        <v>35420585.315782666</v>
      </c>
      <c r="M7" s="0" t="n">
        <f aca="false">M4+M5+M6</f>
        <v>4609199.9325892115</v>
      </c>
      <c r="N7" s="0" t="n">
        <f aca="false">N4+N5+N6</f>
        <v>2952533.265922545</v>
      </c>
      <c r="O7" s="0" t="n">
        <f aca="false">O4+O5+O6</f>
        <v>1295866.5992558785</v>
      </c>
      <c r="P7" s="0" t="n">
        <f aca="false">P4+P5+P6</f>
        <v>0.0</v>
      </c>
      <c r="Q7" s="0" t="n">
        <f aca="false">Q4+Q5+Q6</f>
        <v>0.0</v>
      </c>
      <c r="R7" s="0" t="n">
        <f aca="false">R4+R5+R6</f>
        <v>0.0</v>
      </c>
      <c r="S7" s="0" t="n">
        <f aca="false">S4+S5+S6</f>
        <v>0.0</v>
      </c>
      <c r="T7" s="0" t="n">
        <f aca="false">T4+T5+T6</f>
        <v>0.0</v>
      </c>
    </row>
    <row r="8" customFormat="false" ht="15" hidden="false" customHeight="false" outlineLevel="0" collapsed="false">
      <c r="A8" s="0" t="s">
        <v>14</v>
      </c>
      <c r="B8" s="0" t="n">
        <f aca="false">IF(B$3&lt;=Inputs!$B$6,B7*Inputs!$B$7,0)</f>
        <v>57000000.0</v>
      </c>
      <c r="C8" s="0" t="n">
        <f aca="false">IF(C$3&lt;=Inputs!$B$6,C7*Inputs!$B$7,0)</f>
        <v>19309875.0848267</v>
      </c>
      <c r="D8" s="0" t="n">
        <f aca="false">IF(D$3&lt;=Inputs!$B$6,D7*Inputs!$B$7,0)</f>
        <v>19516626.20419072</v>
      </c>
      <c r="E8" s="0" t="n">
        <f aca="false">IF(E$3&lt;=Inputs!$B$6,E7*Inputs!$B$7,0)</f>
        <v>19725591.010860868</v>
      </c>
      <c r="F8" s="0" t="n">
        <f aca="false">IF(F$3&lt;=Inputs!$B$6,F7*Inputs!$B$7,0)</f>
        <v>19936793.20682002</v>
      </c>
      <c r="G8" s="0" t="n">
        <f aca="false">IF(G$3&lt;=Inputs!$B$6,G7*Inputs!$B$7,0)</f>
        <v>20150256.747828525</v>
      </c>
      <c r="H8" s="0" t="n">
        <f aca="false">IF(H$3&lt;=Inputs!$B$6,H7*Inputs!$B$7,0)</f>
        <v>20366005.846141417</v>
      </c>
      <c r="I8" s="0" t="n">
        <f aca="false">IF(I$3&lt;=Inputs!$B$6,I7*Inputs!$B$7,0)</f>
        <v>20584064.973254696</v>
      </c>
      <c r="J8" s="0" t="n">
        <f aca="false">IF(J$3&lt;=Inputs!$B$6,J7*Inputs!$B$7,0)</f>
        <v>20804458.862681057</v>
      </c>
      <c r="K8" s="0" t="n">
        <f aca="false">IF(K$3&lt;=Inputs!$B$6,K7*Inputs!$B$7,0)</f>
        <v>21027212.512755252</v>
      </c>
      <c r="L8" s="0" t="n">
        <f aca="false">IF(L$3&lt;=Inputs!$B$6,L7*Inputs!$B$7,0)</f>
        <v>21252351.1894696</v>
      </c>
      <c r="M8" s="0" t="n">
        <f aca="false">IF(M$3&lt;=Inputs!$B$6,M7*Inputs!$B$7,0)</f>
        <v>0.0</v>
      </c>
      <c r="N8" s="0" t="n">
        <f aca="false">IF(N$3&lt;=Inputs!$B$6,N7*Inputs!$B$7,0)</f>
        <v>0.0</v>
      </c>
      <c r="O8" s="0" t="n">
        <f aca="false">IF(O$3&lt;=Inputs!$B$6,O7*Inputs!$B$7,0)</f>
        <v>0.0</v>
      </c>
      <c r="P8" s="0" t="n">
        <f aca="false">IF(P$3&lt;=Inputs!$B$6,P7*Inputs!$B$7,0)</f>
        <v>0.0</v>
      </c>
      <c r="Q8" s="0" t="n">
        <f aca="false">IF(Q$3&lt;=Inputs!$B$6,Q7*Inputs!$B$7,0)</f>
        <v>0.0</v>
      </c>
      <c r="R8" s="0" t="n">
        <f aca="false">IF(R$3&lt;=Inputs!$B$6,R7*Inputs!$B$7,0)</f>
        <v>0.0</v>
      </c>
      <c r="S8" s="0" t="n">
        <f aca="false">IF(S$3&lt;=Inputs!$B$6,S7*Inputs!$B$7,0)</f>
        <v>0.0</v>
      </c>
      <c r="T8" s="0" t="n">
        <f aca="false">IF(T$3&lt;=Inputs!$B$6,T7*Inputs!$B$7,0)</f>
        <v>0.0</v>
      </c>
    </row>
    <row r="9" customFormat="false" ht="15" hidden="false" customHeight="false" outlineLevel="0" collapsed="false">
      <c r="A9" s="0" t="s">
        <v>15</v>
      </c>
      <c r="B9" s="0" t="n">
        <f aca="false">0+B8-B11</f>
        <v>57000000.0</v>
      </c>
      <c r="C9" s="0" t="n">
        <f aca="false">B9+C8-C11</f>
        <v>76309875.08482671</v>
      </c>
      <c r="D9" s="0" t="n">
        <f aca="false">C9+D8-D11</f>
        <v>95826501.28901742</v>
      </c>
      <c r="E9" s="0" t="n">
        <f aca="false">D9+E8-E11</f>
        <v>115552092.2998783</v>
      </c>
      <c r="F9" s="0" t="n">
        <f aca="false">E9+F8-F11</f>
        <v>135488885.5066983</v>
      </c>
      <c r="G9" s="0" t="n">
        <f aca="false">F9+G8-G11</f>
        <v>155639142.25452682</v>
      </c>
      <c r="H9" s="0" t="n">
        <f aca="false">G9+H8-H11</f>
        <v>176005148.10066825</v>
      </c>
      <c r="I9" s="0" t="n">
        <f aca="false">H9+I8-I11</f>
        <v>196589213.07392293</v>
      </c>
      <c r="J9" s="0" t="n">
        <f aca="false">I9+J8-J11</f>
        <v>217393671.936604</v>
      </c>
      <c r="K9" s="0" t="n">
        <f aca="false">J9+K8-K11</f>
        <v>238420884.44935924</v>
      </c>
      <c r="L9" s="0" t="n">
        <f aca="false">K9+L8-L11</f>
        <v>259673235.63882884</v>
      </c>
      <c r="M9" s="0" t="n">
        <f aca="false">L9+M8-M11</f>
        <v>166339902.3054955</v>
      </c>
      <c r="N9" s="0" t="n">
        <f aca="false">M9+N8-N11</f>
        <v>73006568.97216217</v>
      </c>
      <c r="O9" s="0" t="n">
        <f aca="false">N9+O8-O11</f>
        <v>0.0</v>
      </c>
      <c r="P9" s="0" t="n">
        <f aca="false">O9+P8-P11</f>
        <v>0.0</v>
      </c>
      <c r="Q9" s="0" t="n">
        <f aca="false">P9+Q8-Q11</f>
        <v>0.0</v>
      </c>
      <c r="R9" s="0" t="n">
        <f aca="false">Q9+R8-R11</f>
        <v>0.0</v>
      </c>
      <c r="S9" s="0" t="n">
        <f aca="false">R9+S8-S11</f>
        <v>0.0</v>
      </c>
      <c r="T9" s="0" t="n">
        <f aca="false">S9+T8-T11</f>
        <v>0.0</v>
      </c>
    </row>
    <row r="10" customFormat="false" ht="15" hidden="false" customHeight="false" outlineLevel="0" collapsed="false">
      <c r="A10" s="0" t="s">
        <v>16</v>
      </c>
      <c r="B10" s="0" t="n">
        <f aca="false">IF(AND(B$3&gt;Inputs!$B$6,B$3&lt;=Inputs!$B$6+Inputs!$B$10),Inputs!$B$9/Inputs!$B$10,0)</f>
        <v>0.0</v>
      </c>
      <c r="C10" s="0" t="n">
        <f aca="false">IF(AND(C$3&gt;Inputs!$B$6,C$3&lt;=Inputs!$B$6+Inputs!$B$10),Inputs!$B$9/Inputs!$B$10,0)</f>
        <v>0.0</v>
      </c>
      <c r="D10" s="0" t="n">
        <f aca="false">IF(AND(D$3&gt;Inputs!$B$6,D$3&lt;=Inputs!$B$6+Inputs!$B$10),Inputs!$B$9/Inputs!$B$10,0)</f>
        <v>0.0</v>
      </c>
      <c r="E10" s="0" t="n">
        <f aca="false">IF(AND(E$3&gt;Inputs!$B$6,E$3&lt;=Inputs!$B$6+Inputs!$B$10),Inputs!$B$9/Inputs!$B$10,0)</f>
        <v>0.0</v>
      </c>
      <c r="F10" s="0" t="n">
        <f aca="false">IF(AND(F$3&gt;Inputs!$B$6,F$3&lt;=Inputs!$B$6+Inputs!$B$10),Inputs!$B$9/Inputs!$B$10,0)</f>
        <v>0.0</v>
      </c>
      <c r="G10" s="0" t="n">
        <f aca="false">IF(AND(G$3&gt;Inputs!$B$6,G$3&lt;=Inputs!$B$6+Inputs!$B$10),Inputs!$B$9/Inputs!$B$10,0)</f>
        <v>0.0</v>
      </c>
      <c r="H10" s="0" t="n">
        <f aca="false">IF(AND(H$3&gt;Inputs!$B$6,H$3&lt;=Inputs!$B$6+Inputs!$B$10),Inputs!$B$9/Inputs!$B$10,0)</f>
        <v>0.0</v>
      </c>
      <c r="I10" s="0" t="n">
        <f aca="false">IF(AND(I$3&gt;Inputs!$B$6,I$3&lt;=Inputs!$B$6+Inputs!$B$10),Inputs!$B$9/Inputs!$B$10,0)</f>
        <v>0.0</v>
      </c>
      <c r="J10" s="0" t="n">
        <f aca="false">IF(AND(J$3&gt;Inputs!$B$6,J$3&lt;=Inputs!$B$6+Inputs!$B$10),Inputs!$B$9/Inputs!$B$10,0)</f>
        <v>0.0</v>
      </c>
      <c r="K10" s="0" t="n">
        <f aca="false">IF(AND(K$3&gt;Inputs!$B$6,K$3&lt;=Inputs!$B$6+Inputs!$B$10),Inputs!$B$9/Inputs!$B$10,0)</f>
        <v>0.0</v>
      </c>
      <c r="L10" s="0" t="n">
        <f aca="false">IF(AND(L$3&gt;Inputs!$B$6,L$3&lt;=Inputs!$B$6+Inputs!$B$10),Inputs!$B$9/Inputs!$B$10,0)</f>
        <v>0.0</v>
      </c>
      <c r="M10" s="0" t="n">
        <f aca="false">IF(AND(M$3&gt;Inputs!$B$6,M$3&lt;=Inputs!$B$6+Inputs!$B$10),Inputs!$B$9/Inputs!$B$10,0)</f>
        <v>93333333.33333333</v>
      </c>
      <c r="N10" s="0" t="n">
        <f aca="false">IF(AND(N$3&gt;Inputs!$B$6,N$3&lt;=Inputs!$B$6+Inputs!$B$10),Inputs!$B$9/Inputs!$B$10,0)</f>
        <v>93333333.33333333</v>
      </c>
      <c r="O10" s="0" t="n">
        <f aca="false">IF(AND(O$3&gt;Inputs!$B$6,O$3&lt;=Inputs!$B$6+Inputs!$B$10),Inputs!$B$9/Inputs!$B$10,0)</f>
        <v>93333333.33333333</v>
      </c>
      <c r="P10" s="0" t="n">
        <f aca="false">IF(AND(P$3&gt;Inputs!$B$6,P$3&lt;=Inputs!$B$6+Inputs!$B$10),Inputs!$B$9/Inputs!$B$10,0)</f>
        <v>93333333.33333333</v>
      </c>
      <c r="Q10" s="0" t="n">
        <f aca="false">IF(AND(Q$3&gt;Inputs!$B$6,Q$3&lt;=Inputs!$B$6+Inputs!$B$10),Inputs!$B$9/Inputs!$B$10,0)</f>
        <v>93333333.33333333</v>
      </c>
      <c r="R10" s="0" t="n">
        <f aca="false">IF(AND(R$3&gt;Inputs!$B$6,R$3&lt;=Inputs!$B$6+Inputs!$B$10),Inputs!$B$9/Inputs!$B$10,0)</f>
        <v>93333333.33333333</v>
      </c>
      <c r="S10" s="0" t="n">
        <f aca="false">IF(AND(S$3&gt;Inputs!$B$6,S$3&lt;=Inputs!$B$6+Inputs!$B$10),Inputs!$B$9/Inputs!$B$10,0)</f>
        <v>0.0</v>
      </c>
      <c r="T10" s="0" t="n">
        <f aca="false">IF(AND(T$3&gt;Inputs!$B$6,T$3&lt;=Inputs!$B$6+Inputs!$B$10),Inputs!$B$9/Inputs!$B$10,0)</f>
        <v>0.0</v>
      </c>
    </row>
    <row r="11" customFormat="false" ht="15" hidden="false" customHeight="false" outlineLevel="0" collapsed="false">
      <c r="A11" s="0" t="s">
        <v>17</v>
      </c>
      <c r="B11" s="0" t="n">
        <f aca="false">MIN(0+B8,B10)</f>
        <v>0.0</v>
      </c>
      <c r="C11" s="0" t="n">
        <f aca="false">MIN(B9+C8,C10)</f>
        <v>0.0</v>
      </c>
      <c r="D11" s="0" t="n">
        <f aca="false">MIN(C9+D8,D10)</f>
        <v>0.0</v>
      </c>
      <c r="E11" s="0" t="n">
        <f aca="false">MIN(D9+E8,E10)</f>
        <v>0.0</v>
      </c>
      <c r="F11" s="0" t="n">
        <f aca="false">MIN(E9+F8,F10)</f>
        <v>0.0</v>
      </c>
      <c r="G11" s="0" t="n">
        <f aca="false">MIN(F9+G8,G10)</f>
        <v>0.0</v>
      </c>
      <c r="H11" s="0" t="n">
        <f aca="false">MIN(G9+H8,H10)</f>
        <v>0.0</v>
      </c>
      <c r="I11" s="0" t="n">
        <f aca="false">MIN(H9+I8,I10)</f>
        <v>0.0</v>
      </c>
      <c r="J11" s="0" t="n">
        <f aca="false">MIN(I9+J8,J10)</f>
        <v>0.0</v>
      </c>
      <c r="K11" s="0" t="n">
        <f aca="false">MIN(J9+K8,K10)</f>
        <v>0.0</v>
      </c>
      <c r="L11" s="0" t="n">
        <f aca="false">MIN(K9+L8,L10)</f>
        <v>0.0</v>
      </c>
      <c r="M11" s="0" t="n">
        <f aca="false">MIN(L9+M8,M10)</f>
        <v>93333333.33333333</v>
      </c>
      <c r="N11" s="0" t="n">
        <f aca="false">MIN(M9+N8,N10)</f>
        <v>93333333.33333333</v>
      </c>
      <c r="O11" s="0" t="n">
        <f aca="false">MIN(N9+O8,O10)</f>
        <v>73006568.97216217</v>
      </c>
      <c r="P11" s="0" t="n">
        <f aca="false">MIN(O9+P8,P10)</f>
        <v>0.0</v>
      </c>
      <c r="Q11" s="0" t="n">
        <f aca="false">MIN(P9+Q8,Q10)</f>
        <v>0.0</v>
      </c>
      <c r="R11" s="0" t="n">
        <f aca="false">MIN(Q9+R8,R10)</f>
        <v>0.0</v>
      </c>
      <c r="S11" s="0" t="n">
        <f aca="false">MIN(R9+S8,S10)</f>
        <v>0.0</v>
      </c>
      <c r="T11" s="0" t="n">
        <f aca="false">MIN(S9+T8,T10)</f>
        <v>0.0</v>
      </c>
    </row>
    <row r="12" customFormat="false" ht="15" hidden="false" customHeight="false" outlineLevel="0" collapsed="false">
      <c r="A12" s="0" t="s">
        <v>18</v>
      </c>
      <c r="B12" s="0" t="n">
        <f aca="false">B10-B11-(B7-B8)</f>
        <v>-38000000.0</v>
      </c>
      <c r="C12" s="0" t="n">
        <f aca="false">C10-C11-(C7-C8)</f>
        <v>-12873250.056551136</v>
      </c>
      <c r="D12" s="0" t="n">
        <f aca="false">D10-D11-(D7-D8)</f>
        <v>-13011084.136127148</v>
      </c>
      <c r="E12" s="0" t="n">
        <f aca="false">E10-E11-(E7-E8)</f>
        <v>-13150394.007240582</v>
      </c>
      <c r="F12" s="0" t="n">
        <f aca="false">F10-F11-(F7-F8)</f>
        <v>-13291195.471213348</v>
      </c>
      <c r="G12" s="0" t="n">
        <f aca="false">G10-G11-(G7-G8)</f>
        <v>-13433504.498552348</v>
      </c>
      <c r="H12" s="0" t="n">
        <f aca="false">H10-H11-(H7-H8)</f>
        <v>-13577337.230760943</v>
      </c>
      <c r="I12" s="0" t="n">
        <f aca="false">I10-I11-(I7-I8)</f>
        <v>-13722709.9821698</v>
      </c>
      <c r="J12" s="0" t="n">
        <f aca="false">J10-J11-(J7-J8)</f>
        <v>-13869639.24178737</v>
      </c>
      <c r="K12" s="0" t="n">
        <f aca="false">K10-K11-(K7-K8)</f>
        <v>-14018141.675170168</v>
      </c>
      <c r="L12" s="0" t="n">
        <f aca="false">L10-L11-(L7-L8)</f>
        <v>-14168234.126313068</v>
      </c>
      <c r="M12" s="0" t="n">
        <f aca="false">M10-M11-(M7-M8)</f>
        <v>-4609199.9325892115</v>
      </c>
      <c r="N12" s="0" t="n">
        <f aca="false">N10-N11-(N7-N8)</f>
        <v>-2952533.265922545</v>
      </c>
      <c r="O12" s="0" t="n">
        <f aca="false">O10-O11-(O7-O8)</f>
        <v>19030897.761915278</v>
      </c>
      <c r="P12" s="0" t="n">
        <f aca="false">P10-P11-(P7-P8)</f>
        <v>93333333.33333333</v>
      </c>
      <c r="Q12" s="0" t="n">
        <f aca="false">Q10-Q11-(Q7-Q8)</f>
        <v>93333333.33333333</v>
      </c>
      <c r="R12" s="0" t="n">
        <f aca="false">R10-R11-(R7-R8)</f>
        <v>93333333.33333333</v>
      </c>
      <c r="S12" s="0" t="n">
        <f aca="false">S10-S11-(S7-S8)</f>
        <v>0.0</v>
      </c>
      <c r="T12" s="0" t="n">
        <f aca="false">T10-T11-(T7-T8)</f>
        <v>0.0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3" t="n">
        <f aca="false">(1+IRR('Cash Flow'!$B$12:$T$12,0.03))^4-1</f>
        <v>0.21136268471716013</v>
      </c>
    </row>
    <row r="4" customFormat="false" ht="15" hidden="false" customHeight="false" outlineLevel="0" collapsed="false">
      <c r="A4" s="0" t="s">
        <v>20</v>
      </c>
      <c r="B4" s="2" t="n">
        <f aca="false">MAX('Cash Flow'!$B$9:$T$9)</f>
        <v>259673235.63882884</v>
      </c>
    </row>
    <row r="5" customFormat="false" ht="15" hidden="false" customHeight="false" outlineLevel="0" collapsed="false">
      <c r="A5" s="0" t="s">
        <v>21</v>
      </c>
      <c r="B5" s="2" t="n">
        <f aca="false">SUM('Cash Flow'!$B$6:$T$6)</f>
        <v>36646325.8624824</v>
      </c>
    </row>
    <row r="6" customFormat="false" ht="15" hidden="false" customHeight="false" outlineLevel="0" collapsed="false">
      <c r="A6" s="0" t="s">
        <v>22</v>
      </c>
      <c r="B6" s="2" t="n">
        <f aca="false">SUM('Cash Flow'!$B$7:$T$7)</f>
        <v>441646325.86248237</v>
      </c>
    </row>
    <row r="7" customFormat="false" ht="15" hidden="false" customHeight="false" outlineLevel="0" collapsed="false">
      <c r="A7" s="0" t="s">
        <v>23</v>
      </c>
      <c r="B7" s="2" t="n">
        <f aca="false">SUM('Cash Flow'!$B$12:$T$12)</f>
        <v>118353674.13751762</v>
      </c>
    </row>
    <row r="8" customFormat="false" ht="15" hidden="false" customHeight="false" outlineLevel="0" collapsed="false">
      <c r="A8" s="0" t="s">
        <v>24</v>
      </c>
      <c r="B8" s="3" t="n">
        <f aca="false">B7/B6</f>
        <v>0.26798292481294184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2026-10-17T22:22:00Z</dcterms:created>
  <dc:creator>openpyxl</dc:creator>
  <dc:description/>
  <dc:language>en-US</dc:language>
  <cp:lastModifiedBy/>
  <dcterms:modified xsi:type="dcterms:W3CDTF">2026-10-17T22:22:00Z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