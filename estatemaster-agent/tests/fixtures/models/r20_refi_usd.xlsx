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OFR" sheetId="2" state="visible" r:id="rId4"/>
    <sheet name="Cash Flow" sheetId="3" state="visible" r:id="rId5"/>
    <sheet name="Retur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<sst xmlns="http://schemas.openxmlformats.org/spreadsheetml/2006/main" count="54" uniqueCount="53">
  <si>
    <t xml:space="preserve">HARBOUR VIEW APARTMENTS – FLOATING DEBT, HEDGES AND REFINANCE (USD)</t>
  </si>
  <si>
    <t xml:space="preserve">Purchase price ($)</t>
  </si>
  <si>
    <t xml:space="preserve">Closing costs</t>
  </si>
  <si>
    <t xml:space="preserve">NOI year 1 ($)</t>
  </si>
  <si>
    <t xml:space="preserve">NOI growth a year</t>
  </si>
  <si>
    <t xml:space="preserve">Bridge loan to cost</t>
  </si>
  <si>
    <t xml:space="preserve">Bridge margin over SOFR</t>
  </si>
  <si>
    <t xml:space="preserve">Swapped share of the loan</t>
  </si>
  <si>
    <t xml:space="preserve">Swap fixed rate</t>
  </si>
  <si>
    <t xml:space="preserve">Cap strike</t>
  </si>
  <si>
    <t xml:space="preserve">Cap premium (% of capped notional)</t>
  </si>
  <si>
    <t xml:space="preserve">Refinance month</t>
  </si>
  <si>
    <t xml:space="preserve">Refinance max LTV</t>
  </si>
  <si>
    <t xml:space="preserve">Refinance min DSCR</t>
  </si>
  <si>
    <t xml:space="preserve">Refinance min debt yield</t>
  </si>
  <si>
    <t xml:space="preserve">Refinance rate</t>
  </si>
  <si>
    <t xml:space="preserve">Refinance amortisation (years)</t>
  </si>
  <si>
    <t xml:space="preserve">Valuation cap rate at refinance</t>
  </si>
  <si>
    <t xml:space="preserve">Exit month</t>
  </si>
  <si>
    <t xml:space="preserve">Exit cap rate</t>
  </si>
  <si>
    <t xml:space="preserve">Selling costs</t>
  </si>
  <si>
    <t xml:space="preserve">Month</t>
  </si>
  <si>
    <t xml:space="preserve">SOFR forward</t>
  </si>
  <si>
    <t xml:space="preserve">SOFR</t>
  </si>
  <si>
    <t xml:space="preserve">NOI</t>
  </si>
  <si>
    <t xml:space="preserve">Bridge balance</t>
  </si>
  <si>
    <t xml:space="preserve">Floating interest</t>
  </si>
  <si>
    <t xml:space="preserve">Swap net payment</t>
  </si>
  <si>
    <t xml:space="preserve">Cap payoff</t>
  </si>
  <si>
    <t xml:space="preserve">Cap premium</t>
  </si>
  <si>
    <t xml:space="preserve">Bridge interest, net of hedges</t>
  </si>
  <si>
    <t xml:space="preserve">Value at refinance</t>
  </si>
  <si>
    <t xml:space="preserve">LTV test</t>
  </si>
  <si>
    <t xml:space="preserve">DSCR test</t>
  </si>
  <si>
    <t xml:space="preserve">Debt yield test</t>
  </si>
  <si>
    <t xml:space="preserve">Refinance loan</t>
  </si>
  <si>
    <t xml:space="preserve">Refinance payoff of bridge</t>
  </si>
  <si>
    <t xml:space="preserve">Cash-out</t>
  </si>
  <si>
    <t xml:space="preserve">Perm balance</t>
  </si>
  <si>
    <t xml:space="preserve">Perm interest</t>
  </si>
  <si>
    <t xml:space="preserve">Perm principal</t>
  </si>
  <si>
    <t xml:space="preserve">Debt service</t>
  </si>
  <si>
    <t xml:space="preserve">DSCR (trailing month)</t>
  </si>
  <si>
    <t xml:space="preserve">Sale</t>
  </si>
  <si>
    <t xml:space="preserve">Equity cash flow</t>
  </si>
  <si>
    <t xml:space="preserve">Levered IRR</t>
  </si>
  <si>
    <t xml:space="preserve">Equity multiple</t>
  </si>
  <si>
    <t xml:space="preserve">Refinance loan ($)</t>
  </si>
  <si>
    <t xml:space="preserve">Cash-out at refinance ($)</t>
  </si>
  <si>
    <t xml:space="preserve">Refinance sized by</t>
  </si>
  <si>
    <t xml:space="preserve">Hedge result ($)</t>
  </si>
  <si>
    <t xml:space="preserve">Minimum DSCR</t>
  </si>
  <si>
    <t xml:space="preserve">Net profit ($)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</si>
</sst>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.00%"/>
    <numFmt numFmtId="167" formatCode="0"/>
    <numFmt numFmtId="168" formatCode="0.00\x"/>
    <numFmt numFmtId="169" formatCode="[$$-409]#,##0.00;[RED]\-[$$-409]#,##0.00"/>
    <numFmt numFmtId="170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1" t="n">
        <v>120000000</v>
      </c>
    </row>
    <row r="4" customFormat="false" ht="15" hidden="false" customHeight="false" outlineLevel="0" collapsed="false">
      <c r="A4" s="0" t="s">
        <v>2</v>
      </c>
      <c r="B4" s="2" t="n">
        <v>0.015</v>
      </c>
    </row>
    <row r="5" customFormat="false" ht="15" hidden="false" customHeight="false" outlineLevel="0" collapsed="false">
      <c r="A5" s="0" t="s">
        <v>3</v>
      </c>
      <c r="B5" s="1" t="n">
        <v>6600000</v>
      </c>
    </row>
    <row r="6" customFormat="false" ht="15" hidden="false" customHeight="false" outlineLevel="0" collapsed="false">
      <c r="A6" s="0" t="s">
        <v>4</v>
      </c>
      <c r="B6" s="2" t="n">
        <v>0.035</v>
      </c>
    </row>
    <row r="7" customFormat="false" ht="15" hidden="false" customHeight="false" outlineLevel="0" collapsed="false">
      <c r="A7" s="0" t="s">
        <v>5</v>
      </c>
      <c r="B7" s="2" t="n">
        <v>0.65</v>
      </c>
    </row>
    <row r="8" customFormat="false" ht="15" hidden="false" customHeight="false" outlineLevel="0" collapsed="false">
      <c r="A8" s="0" t="s">
        <v>6</v>
      </c>
      <c r="B8" s="2" t="n">
        <v>0.0275</v>
      </c>
    </row>
    <row r="9" customFormat="false" ht="15" hidden="false" customHeight="false" outlineLevel="0" collapsed="false">
      <c r="A9" s="0" t="s">
        <v>7</v>
      </c>
      <c r="B9" s="2" t="n">
        <v>0.5</v>
      </c>
    </row>
    <row r="10" customFormat="false" ht="15" hidden="false" customHeight="false" outlineLevel="0" collapsed="false">
      <c r="A10" s="0" t="s">
        <v>8</v>
      </c>
      <c r="B10" s="2" t="n">
        <v>0.036</v>
      </c>
    </row>
    <row r="11" customFormat="false" ht="15" hidden="false" customHeight="false" outlineLevel="0" collapsed="false">
      <c r="A11" s="0" t="s">
        <v>9</v>
      </c>
      <c r="B11" s="2" t="n">
        <v>0.045</v>
      </c>
    </row>
    <row r="12" customFormat="false" ht="15" hidden="false" customHeight="false" outlineLevel="0" collapsed="false">
      <c r="A12" s="0" t="s">
        <v>10</v>
      </c>
      <c r="B12" s="2" t="n">
        <v>0.012</v>
      </c>
    </row>
    <row r="13" customFormat="false" ht="15" hidden="false" customHeight="false" outlineLevel="0" collapsed="false">
      <c r="A13" s="0" t="s">
        <v>11</v>
      </c>
      <c r="B13" s="3" t="n">
        <v>36</v>
      </c>
    </row>
    <row r="14" customFormat="false" ht="15" hidden="false" customHeight="false" outlineLevel="0" collapsed="false">
      <c r="A14" s="0" t="s">
        <v>12</v>
      </c>
      <c r="B14" s="2" t="n">
        <v>0.6</v>
      </c>
    </row>
    <row r="15" customFormat="false" ht="15" hidden="false" customHeight="false" outlineLevel="0" collapsed="false">
      <c r="A15" s="0" t="s">
        <v>13</v>
      </c>
      <c r="B15" s="4" t="n">
        <v>1.25</v>
      </c>
    </row>
    <row r="16" customFormat="false" ht="15" hidden="false" customHeight="false" outlineLevel="0" collapsed="false">
      <c r="A16" s="0" t="s">
        <v>14</v>
      </c>
      <c r="B16" s="2" t="n">
        <v>0.085</v>
      </c>
    </row>
    <row r="17" customFormat="false" ht="15" hidden="false" customHeight="false" outlineLevel="0" collapsed="false">
      <c r="A17" s="0" t="s">
        <v>15</v>
      </c>
      <c r="B17" s="2" t="n">
        <v>0.056</v>
      </c>
    </row>
    <row r="18" customFormat="false" ht="15" hidden="false" customHeight="false" outlineLevel="0" collapsed="false">
      <c r="A18" s="0" t="s">
        <v>16</v>
      </c>
      <c r="B18" s="3" t="n">
        <v>30</v>
      </c>
    </row>
    <row r="19" customFormat="false" ht="15" hidden="false" customHeight="false" outlineLevel="0" collapsed="false">
      <c r="A19" s="0" t="s">
        <v>17</v>
      </c>
      <c r="B19" s="2" t="n">
        <v>0.0525</v>
      </c>
    </row>
    <row r="20" customFormat="false" ht="15" hidden="false" customHeight="false" outlineLevel="0" collapsed="false">
      <c r="A20" s="0" t="s">
        <v>18</v>
      </c>
      <c r="B20" s="3" t="n">
        <v>60</v>
      </c>
    </row>
    <row r="21" customFormat="false" ht="15" hidden="false" customHeight="false" outlineLevel="0" collapsed="false">
      <c r="A21" s="0" t="s">
        <v>19</v>
      </c>
      <c r="B21" s="2" t="n">
        <v>0.055</v>
      </c>
    </row>
    <row r="22" customFormat="false" ht="15" hidden="false" customHeight="false" outlineLevel="0" collapsed="false">
      <c r="A22" s="0" t="s">
        <v>20</v>
      </c>
      <c r="B22" s="2" t="n">
        <v>0.015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21</v>
      </c>
      <c r="B1" s="0" t="s">
        <v>22</v>
      </c>
    </row>
    <row r="2" customFormat="false" ht="15" hidden="false" customHeight="false" outlineLevel="0" collapsed="false">
      <c r="A2" s="0" t="n">
        <v>1</v>
      </c>
      <c r="B2" s="2" t="n">
        <v>0.042764</v>
      </c>
    </row>
    <row r="3" customFormat="false" ht="15" hidden="false" customHeight="false" outlineLevel="0" collapsed="false">
      <c r="A3" s="0" t="n">
        <v>2</v>
      </c>
      <c r="B3" s="2" t="n">
        <v>0.042552</v>
      </c>
    </row>
    <row r="4" customFormat="false" ht="15" hidden="false" customHeight="false" outlineLevel="0" collapsed="false">
      <c r="A4" s="0" t="n">
        <v>3</v>
      </c>
      <c r="B4" s="2" t="n">
        <v>0.04236</v>
      </c>
    </row>
    <row r="5" customFormat="false" ht="15" hidden="false" customHeight="false" outlineLevel="0" collapsed="false">
      <c r="A5" s="0" t="n">
        <v>4</v>
      </c>
      <c r="B5" s="2" t="n">
        <v>0.042182</v>
      </c>
    </row>
    <row r="6" customFormat="false" ht="15" hidden="false" customHeight="false" outlineLevel="0" collapsed="false">
      <c r="A6" s="0" t="n">
        <v>5</v>
      </c>
      <c r="B6" s="2" t="n">
        <v>0.042014</v>
      </c>
    </row>
    <row r="7" customFormat="false" ht="15" hidden="false" customHeight="false" outlineLevel="0" collapsed="false">
      <c r="A7" s="0" t="n">
        <v>6</v>
      </c>
      <c r="B7" s="2" t="n">
        <v>0.041853</v>
      </c>
    </row>
    <row r="8" customFormat="false" ht="15" hidden="false" customHeight="false" outlineLevel="0" collapsed="false">
      <c r="A8" s="0" t="n">
        <v>7</v>
      </c>
      <c r="B8" s="2" t="n">
        <v>0.041693</v>
      </c>
    </row>
    <row r="9" customFormat="false" ht="15" hidden="false" customHeight="false" outlineLevel="0" collapsed="false">
      <c r="A9" s="0" t="n">
        <v>8</v>
      </c>
      <c r="B9" s="2" t="n">
        <v>0.041532</v>
      </c>
    </row>
    <row r="10" customFormat="false" ht="15" hidden="false" customHeight="false" outlineLevel="0" collapsed="false">
      <c r="A10" s="0" t="n">
        <v>9</v>
      </c>
      <c r="B10" s="2" t="n">
        <v>0.041366</v>
      </c>
    </row>
    <row r="11" customFormat="false" ht="15" hidden="false" customHeight="false" outlineLevel="0" collapsed="false">
      <c r="A11" s="0" t="n">
        <v>10</v>
      </c>
      <c r="B11" s="2" t="n">
        <v>0.041191</v>
      </c>
    </row>
    <row r="12" customFormat="false" ht="15" hidden="false" customHeight="false" outlineLevel="0" collapsed="false">
      <c r="A12" s="0" t="n">
        <v>11</v>
      </c>
      <c r="B12" s="2" t="n">
        <v>0.041006</v>
      </c>
    </row>
    <row r="13" customFormat="false" ht="15" hidden="false" customHeight="false" outlineLevel="0" collapsed="false">
      <c r="A13" s="0" t="n">
        <v>12</v>
      </c>
      <c r="B13" s="2" t="n">
        <v>0.040807</v>
      </c>
    </row>
    <row r="14" customFormat="false" ht="15" hidden="false" customHeight="false" outlineLevel="0" collapsed="false">
      <c r="A14" s="0" t="n">
        <v>13</v>
      </c>
      <c r="B14" s="2" t="n">
        <v>0.040594</v>
      </c>
    </row>
    <row r="15" customFormat="false" ht="15" hidden="false" customHeight="false" outlineLevel="0" collapsed="false">
      <c r="A15" s="0" t="n">
        <v>14</v>
      </c>
      <c r="B15" s="2" t="n">
        <v>0.040364</v>
      </c>
    </row>
    <row r="16" customFormat="false" ht="15" hidden="false" customHeight="false" outlineLevel="0" collapsed="false">
      <c r="A16" s="0" t="n">
        <v>15</v>
      </c>
      <c r="B16" s="2" t="n">
        <v>0.040117</v>
      </c>
    </row>
    <row r="17" customFormat="false" ht="15" hidden="false" customHeight="false" outlineLevel="0" collapsed="false">
      <c r="A17" s="0" t="n">
        <v>16</v>
      </c>
      <c r="B17" s="2" t="n">
        <v>0.039852</v>
      </c>
    </row>
    <row r="18" customFormat="false" ht="15" hidden="false" customHeight="false" outlineLevel="0" collapsed="false">
      <c r="A18" s="0" t="n">
        <v>17</v>
      </c>
      <c r="B18" s="2" t="n">
        <v>0.039569</v>
      </c>
    </row>
    <row r="19" customFormat="false" ht="15" hidden="false" customHeight="false" outlineLevel="0" collapsed="false">
      <c r="A19" s="0" t="n">
        <v>18</v>
      </c>
      <c r="B19" s="2" t="n">
        <v>0.039268</v>
      </c>
    </row>
    <row r="20" customFormat="false" ht="15" hidden="false" customHeight="false" outlineLevel="0" collapsed="false">
      <c r="A20" s="0" t="n">
        <v>19</v>
      </c>
      <c r="B20" s="2" t="n">
        <v>0.03895</v>
      </c>
    </row>
    <row r="21" customFormat="false" ht="15" hidden="false" customHeight="false" outlineLevel="0" collapsed="false">
      <c r="A21" s="0" t="n">
        <v>20</v>
      </c>
      <c r="B21" s="2" t="n">
        <v>0.038615</v>
      </c>
    </row>
    <row r="22" customFormat="false" ht="15" hidden="false" customHeight="false" outlineLevel="0" collapsed="false">
      <c r="A22" s="0" t="n">
        <v>21</v>
      </c>
      <c r="B22" s="2" t="n">
        <v>0.038266</v>
      </c>
    </row>
    <row r="23" customFormat="false" ht="15" hidden="false" customHeight="false" outlineLevel="0" collapsed="false">
      <c r="A23" s="0" t="n">
        <v>22</v>
      </c>
      <c r="B23" s="2" t="n">
        <v>0.037904</v>
      </c>
    </row>
    <row r="24" customFormat="false" ht="15" hidden="false" customHeight="false" outlineLevel="0" collapsed="false">
      <c r="A24" s="0" t="n">
        <v>23</v>
      </c>
      <c r="B24" s="2" t="n">
        <v>0.03753</v>
      </c>
    </row>
    <row r="25" customFormat="false" ht="15" hidden="false" customHeight="false" outlineLevel="0" collapsed="false">
      <c r="A25" s="0" t="n">
        <v>24</v>
      </c>
      <c r="B25" s="2" t="n">
        <v>0.037147</v>
      </c>
    </row>
    <row r="26" customFormat="false" ht="15" hidden="false" customHeight="false" outlineLevel="0" collapsed="false">
      <c r="A26" s="0" t="n">
        <v>25</v>
      </c>
      <c r="B26" s="2" t="n">
        <v>0.036758</v>
      </c>
    </row>
    <row r="27" customFormat="false" ht="15" hidden="false" customHeight="false" outlineLevel="0" collapsed="false">
      <c r="A27" s="0" t="n">
        <v>26</v>
      </c>
      <c r="B27" s="2" t="n">
        <v>0.036366</v>
      </c>
    </row>
    <row r="28" customFormat="false" ht="15" hidden="false" customHeight="false" outlineLevel="0" collapsed="false">
      <c r="A28" s="0" t="n">
        <v>27</v>
      </c>
      <c r="B28" s="2" t="n">
        <v>0.035973</v>
      </c>
    </row>
    <row r="29" customFormat="false" ht="15" hidden="false" customHeight="false" outlineLevel="0" collapsed="false">
      <c r="A29" s="0" t="n">
        <v>28</v>
      </c>
      <c r="B29" s="2" t="n">
        <v>0.035581</v>
      </c>
    </row>
    <row r="30" customFormat="false" ht="15" hidden="false" customHeight="false" outlineLevel="0" collapsed="false">
      <c r="A30" s="0" t="n">
        <v>29</v>
      </c>
      <c r="B30" s="2" t="n">
        <v>0.035195</v>
      </c>
    </row>
    <row r="31" customFormat="false" ht="15" hidden="false" customHeight="false" outlineLevel="0" collapsed="false">
      <c r="A31" s="0" t="n">
        <v>30</v>
      </c>
      <c r="B31" s="2" t="n">
        <v>0.034818</v>
      </c>
    </row>
    <row r="32" customFormat="false" ht="15" hidden="false" customHeight="false" outlineLevel="0" collapsed="false">
      <c r="A32" s="0" t="n">
        <v>31</v>
      </c>
      <c r="B32" s="2" t="n">
        <v>0.034452</v>
      </c>
    </row>
    <row r="33" customFormat="false" ht="15" hidden="false" customHeight="false" outlineLevel="0" collapsed="false">
      <c r="A33" s="0" t="n">
        <v>32</v>
      </c>
      <c r="B33" s="2" t="n">
        <v>0.0341</v>
      </c>
    </row>
    <row r="34" customFormat="false" ht="15" hidden="false" customHeight="false" outlineLevel="0" collapsed="false">
      <c r="A34" s="0" t="n">
        <v>33</v>
      </c>
      <c r="B34" s="2" t="n">
        <v>0.033766</v>
      </c>
    </row>
    <row r="35" customFormat="false" ht="15" hidden="false" customHeight="false" outlineLevel="0" collapsed="false">
      <c r="A35" s="0" t="n">
        <v>34</v>
      </c>
      <c r="B35" s="2" t="n">
        <v>0.033451</v>
      </c>
    </row>
    <row r="36" customFormat="false" ht="15" hidden="false" customHeight="false" outlineLevel="0" collapsed="false">
      <c r="A36" s="0" t="n">
        <v>35</v>
      </c>
      <c r="B36" s="2" t="n">
        <v>0.03316</v>
      </c>
    </row>
    <row r="37" customFormat="false" ht="15" hidden="false" customHeight="false" outlineLevel="0" collapsed="false">
      <c r="A37" s="0" t="n">
        <v>36</v>
      </c>
      <c r="B37" s="2" t="n">
        <v>0.032894</v>
      </c>
    </row>
    <row r="38" customFormat="false" ht="15" hidden="false" customHeight="false" outlineLevel="0" collapsed="false">
      <c r="A38" s="0" t="n">
        <v>37</v>
      </c>
      <c r="B38" s="2" t="n">
        <v>0.032655</v>
      </c>
    </row>
    <row r="39" customFormat="false" ht="15" hidden="false" customHeight="false" outlineLevel="0" collapsed="false">
      <c r="A39" s="0" t="n">
        <v>38</v>
      </c>
      <c r="B39" s="2" t="n">
        <v>0.032445</v>
      </c>
    </row>
    <row r="40" customFormat="false" ht="15" hidden="false" customHeight="false" outlineLevel="0" collapsed="false">
      <c r="A40" s="0" t="n">
        <v>39</v>
      </c>
      <c r="B40" s="2" t="n">
        <v>0.032266</v>
      </c>
    </row>
    <row r="41" customFormat="false" ht="15" hidden="false" customHeight="false" outlineLevel="0" collapsed="false">
      <c r="A41" s="0" t="n">
        <v>40</v>
      </c>
      <c r="B41" s="2" t="n">
        <v>0.032119</v>
      </c>
    </row>
    <row r="42" customFormat="false" ht="15" hidden="false" customHeight="false" outlineLevel="0" collapsed="false">
      <c r="A42" s="0" t="n">
        <v>41</v>
      </c>
      <c r="B42" s="2" t="n">
        <v>0.032005</v>
      </c>
    </row>
    <row r="43" customFormat="false" ht="15" hidden="false" customHeight="false" outlineLevel="0" collapsed="false">
      <c r="A43" s="0" t="n">
        <v>42</v>
      </c>
      <c r="B43" s="2" t="n">
        <v>0.031924</v>
      </c>
    </row>
    <row r="44" customFormat="false" ht="15" hidden="false" customHeight="false" outlineLevel="0" collapsed="false">
      <c r="A44" s="0" t="n">
        <v>43</v>
      </c>
      <c r="B44" s="2" t="n">
        <v>0.031877</v>
      </c>
    </row>
    <row r="45" customFormat="false" ht="15" hidden="false" customHeight="false" outlineLevel="0" collapsed="false">
      <c r="A45" s="0" t="n">
        <v>44</v>
      </c>
      <c r="B45" s="2" t="n">
        <v>0.031863</v>
      </c>
    </row>
    <row r="46" customFormat="false" ht="15" hidden="false" customHeight="false" outlineLevel="0" collapsed="false">
      <c r="A46" s="0" t="n">
        <v>45</v>
      </c>
      <c r="B46" s="2" t="n">
        <v>0.031882</v>
      </c>
    </row>
    <row r="47" customFormat="false" ht="15" hidden="false" customHeight="false" outlineLevel="0" collapsed="false">
      <c r="A47" s="0" t="n">
        <v>46</v>
      </c>
      <c r="B47" s="2" t="n">
        <v>0.031934</v>
      </c>
    </row>
    <row r="48" customFormat="false" ht="15" hidden="false" customHeight="false" outlineLevel="0" collapsed="false">
      <c r="A48" s="0" t="n">
        <v>47</v>
      </c>
      <c r="B48" s="2" t="n">
        <v>0.032016</v>
      </c>
    </row>
    <row r="49" customFormat="false" ht="15" hidden="false" customHeight="false" outlineLevel="0" collapsed="false">
      <c r="A49" s="0" t="n">
        <v>48</v>
      </c>
      <c r="B49" s="2" t="n">
        <v>0.032127</v>
      </c>
    </row>
    <row r="50" customFormat="false" ht="15" hidden="false" customHeight="false" outlineLevel="0" collapsed="false">
      <c r="A50" s="0" t="n">
        <v>49</v>
      </c>
      <c r="B50" s="2" t="n">
        <v>0.032265</v>
      </c>
    </row>
    <row r="51" customFormat="false" ht="15" hidden="false" customHeight="false" outlineLevel="0" collapsed="false">
      <c r="A51" s="0" t="n">
        <v>50</v>
      </c>
      <c r="B51" s="2" t="n">
        <v>0.032428</v>
      </c>
    </row>
    <row r="52" customFormat="false" ht="15" hidden="false" customHeight="false" outlineLevel="0" collapsed="false">
      <c r="A52" s="0" t="n">
        <v>51</v>
      </c>
      <c r="B52" s="2" t="n">
        <v>0.032613</v>
      </c>
    </row>
    <row r="53" customFormat="false" ht="15" hidden="false" customHeight="false" outlineLevel="0" collapsed="false">
      <c r="A53" s="0" t="n">
        <v>52</v>
      </c>
      <c r="B53" s="2" t="n">
        <v>0.032818</v>
      </c>
    </row>
    <row r="54" customFormat="false" ht="15" hidden="false" customHeight="false" outlineLevel="0" collapsed="false">
      <c r="A54" s="0" t="n">
        <v>53</v>
      </c>
      <c r="B54" s="2" t="n">
        <v>0.03304</v>
      </c>
    </row>
    <row r="55" customFormat="false" ht="15" hidden="false" customHeight="false" outlineLevel="0" collapsed="false">
      <c r="A55" s="0" t="n">
        <v>54</v>
      </c>
      <c r="B55" s="2" t="n">
        <v>0.033274</v>
      </c>
    </row>
    <row r="56" customFormat="false" ht="15" hidden="false" customHeight="false" outlineLevel="0" collapsed="false">
      <c r="A56" s="0" t="n">
        <v>55</v>
      </c>
      <c r="B56" s="2" t="n">
        <v>0.033519</v>
      </c>
    </row>
    <row r="57" customFormat="false" ht="15" hidden="false" customHeight="false" outlineLevel="0" collapsed="false">
      <c r="A57" s="0" t="n">
        <v>56</v>
      </c>
      <c r="B57" s="2" t="n">
        <v>0.033771</v>
      </c>
    </row>
    <row r="58" customFormat="false" ht="15" hidden="false" customHeight="false" outlineLevel="0" collapsed="false">
      <c r="A58" s="0" t="n">
        <v>57</v>
      </c>
      <c r="B58" s="2" t="n">
        <v>0.034026</v>
      </c>
    </row>
    <row r="59" customFormat="false" ht="15" hidden="false" customHeight="false" outlineLevel="0" collapsed="false">
      <c r="A59" s="0" t="n">
        <v>58</v>
      </c>
      <c r="B59" s="2" t="n">
        <v>0.03428</v>
      </c>
    </row>
    <row r="60" customFormat="false" ht="15" hidden="false" customHeight="false" outlineLevel="0" collapsed="false">
      <c r="A60" s="0" t="n">
        <v>59</v>
      </c>
      <c r="B60" s="2" t="n">
        <v>0.034531</v>
      </c>
    </row>
    <row r="61" customFormat="false" ht="15" hidden="false" customHeight="false" outlineLevel="0" collapsed="false">
      <c r="A61" s="0" t="n">
        <v>60</v>
      </c>
      <c r="B61" s="2" t="n">
        <v>0.034774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21</v>
      </c>
      <c r="B3" s="0" t="n">
        <v>0</v>
      </c>
      <c r="C3" s="0" t="n">
        <v>1</v>
      </c>
      <c r="D3" s="0" t="n">
        <v>2</v>
      </c>
      <c r="E3" s="0" t="n">
        <v>3</v>
      </c>
      <c r="F3" s="0" t="n">
        <v>4</v>
      </c>
      <c r="G3" s="0" t="n">
        <v>5</v>
      </c>
      <c r="H3" s="0" t="n">
        <v>6</v>
      </c>
      <c r="I3" s="0" t="n">
        <v>7</v>
      </c>
      <c r="J3" s="0" t="n">
        <v>8</v>
      </c>
      <c r="K3" s="0" t="n">
        <v>9</v>
      </c>
      <c r="L3" s="0" t="n">
        <v>10</v>
      </c>
      <c r="M3" s="0" t="n">
        <v>11</v>
      </c>
      <c r="N3" s="0" t="n">
        <v>12</v>
      </c>
      <c r="O3" s="0" t="n">
        <v>13</v>
      </c>
      <c r="P3" s="0" t="n">
        <v>14</v>
      </c>
      <c r="Q3" s="0" t="n">
        <v>15</v>
      </c>
      <c r="R3" s="0" t="n">
        <v>16</v>
      </c>
      <c r="S3" s="0" t="n">
        <v>17</v>
      </c>
      <c r="T3" s="0" t="n">
        <v>18</v>
      </c>
      <c r="U3" s="0" t="n">
        <v>19</v>
      </c>
      <c r="V3" s="0" t="n">
        <v>20</v>
      </c>
      <c r="W3" s="0" t="n">
        <v>21</v>
      </c>
      <c r="X3" s="0" t="n">
        <v>22</v>
      </c>
      <c r="Y3" s="0" t="n">
        <v>23</v>
      </c>
      <c r="Z3" s="0" t="n">
        <v>24</v>
      </c>
      <c r="AA3" s="0" t="n">
        <v>25</v>
      </c>
      <c r="AB3" s="0" t="n">
        <v>26</v>
      </c>
      <c r="AC3" s="0" t="n">
        <v>27</v>
      </c>
      <c r="AD3" s="0" t="n">
        <v>28</v>
      </c>
      <c r="AE3" s="0" t="n">
        <v>29</v>
      </c>
      <c r="AF3" s="0" t="n">
        <v>30</v>
      </c>
      <c r="AG3" s="0" t="n">
        <v>31</v>
      </c>
      <c r="AH3" s="0" t="n">
        <v>32</v>
      </c>
      <c r="AI3" s="0" t="n">
        <v>33</v>
      </c>
      <c r="AJ3" s="0" t="n">
        <v>34</v>
      </c>
      <c r="AK3" s="0" t="n">
        <v>35</v>
      </c>
      <c r="AL3" s="0" t="n">
        <v>36</v>
      </c>
      <c r="AM3" s="0" t="n">
        <v>37</v>
      </c>
      <c r="AN3" s="0" t="n">
        <v>38</v>
      </c>
      <c r="AO3" s="0" t="n">
        <v>39</v>
      </c>
      <c r="AP3" s="0" t="n">
        <v>40</v>
      </c>
      <c r="AQ3" s="0" t="n">
        <v>41</v>
      </c>
      <c r="AR3" s="0" t="n">
        <v>42</v>
      </c>
      <c r="AS3" s="0" t="n">
        <v>43</v>
      </c>
      <c r="AT3" s="0" t="n">
        <v>44</v>
      </c>
      <c r="AU3" s="0" t="n">
        <v>45</v>
      </c>
      <c r="AV3" s="0" t="n">
        <v>46</v>
      </c>
      <c r="AW3" s="0" t="n">
        <v>47</v>
      </c>
      <c r="AX3" s="0" t="n">
        <v>48</v>
      </c>
      <c r="AY3" s="0" t="n">
        <v>49</v>
      </c>
      <c r="AZ3" s="0" t="n">
        <v>50</v>
      </c>
      <c r="BA3" s="0" t="n">
        <v>51</v>
      </c>
      <c r="BB3" s="0" t="n">
        <v>52</v>
      </c>
      <c r="BC3" s="0" t="n">
        <v>53</v>
      </c>
      <c r="BD3" s="0" t="n">
        <v>54</v>
      </c>
      <c r="BE3" s="0" t="n">
        <v>55</v>
      </c>
      <c r="BF3" s="0" t="n">
        <v>56</v>
      </c>
      <c r="BG3" s="0" t="n">
        <v>57</v>
      </c>
      <c r="BH3" s="0" t="n">
        <v>58</v>
      </c>
      <c r="BI3" s="0" t="n">
        <v>59</v>
      </c>
      <c r="BJ3" s="0" t="n">
        <v>60</v>
      </c>
    </row>
    <row r="4" customFormat="false" ht="15" hidden="false" customHeight="false" outlineLevel="0" collapsed="false">
      <c r="A4" s="0" t="s">
        <v>23</v>
      </c>
      <c r="B4" s="0" t="n">
        <f aca="false">0</f>
        <v>0</v>
      </c>
      <c r="C4" s="2" t="n">
        <f aca="false">INDEX(SOFR!$B$2:$B$61,C$3)</f>
        <v>0.042764</v>
      </c>
      <c r="D4" s="2" t="n">
        <f aca="false">INDEX(SOFR!$B$2:$B$61,D$3)</f>
        <v>0.042552</v>
      </c>
      <c r="E4" s="2" t="n">
        <f aca="false">INDEX(SOFR!$B$2:$B$61,E$3)</f>
        <v>0.04236</v>
      </c>
      <c r="F4" s="2" t="n">
        <f aca="false">INDEX(SOFR!$B$2:$B$61,F$3)</f>
        <v>0.042182</v>
      </c>
      <c r="G4" s="2" t="n">
        <f aca="false">INDEX(SOFR!$B$2:$B$61,G$3)</f>
        <v>0.042014</v>
      </c>
      <c r="H4" s="2" t="n">
        <f aca="false">INDEX(SOFR!$B$2:$B$61,H$3)</f>
        <v>0.041853</v>
      </c>
      <c r="I4" s="2" t="n">
        <f aca="false">INDEX(SOFR!$B$2:$B$61,I$3)</f>
        <v>0.041693</v>
      </c>
      <c r="J4" s="2" t="n">
        <f aca="false">INDEX(SOFR!$B$2:$B$61,J$3)</f>
        <v>0.041532</v>
      </c>
      <c r="K4" s="2" t="n">
        <f aca="false">INDEX(SOFR!$B$2:$B$61,K$3)</f>
        <v>0.041366</v>
      </c>
      <c r="L4" s="2" t="n">
        <f aca="false">INDEX(SOFR!$B$2:$B$61,L$3)</f>
        <v>0.041191</v>
      </c>
      <c r="M4" s="2" t="n">
        <f aca="false">INDEX(SOFR!$B$2:$B$61,M$3)</f>
        <v>0.041006</v>
      </c>
      <c r="N4" s="2" t="n">
        <f aca="false">INDEX(SOFR!$B$2:$B$61,N$3)</f>
        <v>0.040807</v>
      </c>
      <c r="O4" s="2" t="n">
        <f aca="false">INDEX(SOFR!$B$2:$B$61,O$3)</f>
        <v>0.040594</v>
      </c>
      <c r="P4" s="2" t="n">
        <f aca="false">INDEX(SOFR!$B$2:$B$61,P$3)</f>
        <v>0.040364</v>
      </c>
      <c r="Q4" s="2" t="n">
        <f aca="false">INDEX(SOFR!$B$2:$B$61,Q$3)</f>
        <v>0.040117</v>
      </c>
      <c r="R4" s="2" t="n">
        <f aca="false">INDEX(SOFR!$B$2:$B$61,R$3)</f>
        <v>0.039852</v>
      </c>
      <c r="S4" s="2" t="n">
        <f aca="false">INDEX(SOFR!$B$2:$B$61,S$3)</f>
        <v>0.039569</v>
      </c>
      <c r="T4" s="2" t="n">
        <f aca="false">INDEX(SOFR!$B$2:$B$61,T$3)</f>
        <v>0.039268</v>
      </c>
      <c r="U4" s="2" t="n">
        <f aca="false">INDEX(SOFR!$B$2:$B$61,U$3)</f>
        <v>0.03895</v>
      </c>
      <c r="V4" s="2" t="n">
        <f aca="false">INDEX(SOFR!$B$2:$B$61,V$3)</f>
        <v>0.038615</v>
      </c>
      <c r="W4" s="2" t="n">
        <f aca="false">INDEX(SOFR!$B$2:$B$61,W$3)</f>
        <v>0.038266</v>
      </c>
      <c r="X4" s="2" t="n">
        <f aca="false">INDEX(SOFR!$B$2:$B$61,X$3)</f>
        <v>0.037904</v>
      </c>
      <c r="Y4" s="2" t="n">
        <f aca="false">INDEX(SOFR!$B$2:$B$61,Y$3)</f>
        <v>0.03753</v>
      </c>
      <c r="Z4" s="2" t="n">
        <f aca="false">INDEX(SOFR!$B$2:$B$61,Z$3)</f>
        <v>0.037147</v>
      </c>
      <c r="AA4" s="2" t="n">
        <f aca="false">INDEX(SOFR!$B$2:$B$61,AA$3)</f>
        <v>0.036758</v>
      </c>
      <c r="AB4" s="2" t="n">
        <f aca="false">INDEX(SOFR!$B$2:$B$61,AB$3)</f>
        <v>0.036366</v>
      </c>
      <c r="AC4" s="2" t="n">
        <f aca="false">INDEX(SOFR!$B$2:$B$61,AC$3)</f>
        <v>0.035973</v>
      </c>
      <c r="AD4" s="2" t="n">
        <f aca="false">INDEX(SOFR!$B$2:$B$61,AD$3)</f>
        <v>0.035581</v>
      </c>
      <c r="AE4" s="2" t="n">
        <f aca="false">INDEX(SOFR!$B$2:$B$61,AE$3)</f>
        <v>0.035195</v>
      </c>
      <c r="AF4" s="2" t="n">
        <f aca="false">INDEX(SOFR!$B$2:$B$61,AF$3)</f>
        <v>0.034818</v>
      </c>
      <c r="AG4" s="2" t="n">
        <f aca="false">INDEX(SOFR!$B$2:$B$61,AG$3)</f>
        <v>0.034452</v>
      </c>
      <c r="AH4" s="2" t="n">
        <f aca="false">INDEX(SOFR!$B$2:$B$61,AH$3)</f>
        <v>0.0341</v>
      </c>
      <c r="AI4" s="2" t="n">
        <f aca="false">INDEX(SOFR!$B$2:$B$61,AI$3)</f>
        <v>0.033766</v>
      </c>
      <c r="AJ4" s="2" t="n">
        <f aca="false">INDEX(SOFR!$B$2:$B$61,AJ$3)</f>
        <v>0.033451</v>
      </c>
      <c r="AK4" s="2" t="n">
        <f aca="false">INDEX(SOFR!$B$2:$B$61,AK$3)</f>
        <v>0.03316</v>
      </c>
      <c r="AL4" s="2" t="n">
        <f aca="false">INDEX(SOFR!$B$2:$B$61,AL$3)</f>
        <v>0.032894</v>
      </c>
      <c r="AM4" s="2" t="n">
        <f aca="false">INDEX(SOFR!$B$2:$B$61,AM$3)</f>
        <v>0.032655</v>
      </c>
      <c r="AN4" s="2" t="n">
        <f aca="false">INDEX(SOFR!$B$2:$B$61,AN$3)</f>
        <v>0.032445</v>
      </c>
      <c r="AO4" s="2" t="n">
        <f aca="false">INDEX(SOFR!$B$2:$B$61,AO$3)</f>
        <v>0.032266</v>
      </c>
      <c r="AP4" s="2" t="n">
        <f aca="false">INDEX(SOFR!$B$2:$B$61,AP$3)</f>
        <v>0.032119</v>
      </c>
      <c r="AQ4" s="2" t="n">
        <f aca="false">INDEX(SOFR!$B$2:$B$61,AQ$3)</f>
        <v>0.032005</v>
      </c>
      <c r="AR4" s="2" t="n">
        <f aca="false">INDEX(SOFR!$B$2:$B$61,AR$3)</f>
        <v>0.031924</v>
      </c>
      <c r="AS4" s="2" t="n">
        <f aca="false">INDEX(SOFR!$B$2:$B$61,AS$3)</f>
        <v>0.031877</v>
      </c>
      <c r="AT4" s="2" t="n">
        <f aca="false">INDEX(SOFR!$B$2:$B$61,AT$3)</f>
        <v>0.031863</v>
      </c>
      <c r="AU4" s="2" t="n">
        <f aca="false">INDEX(SOFR!$B$2:$B$61,AU$3)</f>
        <v>0.031882</v>
      </c>
      <c r="AV4" s="2" t="n">
        <f aca="false">INDEX(SOFR!$B$2:$B$61,AV$3)</f>
        <v>0.031934</v>
      </c>
      <c r="AW4" s="2" t="n">
        <f aca="false">INDEX(SOFR!$B$2:$B$61,AW$3)</f>
        <v>0.032016</v>
      </c>
      <c r="AX4" s="2" t="n">
        <f aca="false">INDEX(SOFR!$B$2:$B$61,AX$3)</f>
        <v>0.032127</v>
      </c>
      <c r="AY4" s="2" t="n">
        <f aca="false">INDEX(SOFR!$B$2:$B$61,AY$3)</f>
        <v>0.032265</v>
      </c>
      <c r="AZ4" s="2" t="n">
        <f aca="false">INDEX(SOFR!$B$2:$B$61,AZ$3)</f>
        <v>0.032428</v>
      </c>
      <c r="BA4" s="2" t="n">
        <f aca="false">INDEX(SOFR!$B$2:$B$61,BA$3)</f>
        <v>0.032613</v>
      </c>
      <c r="BB4" s="2" t="n">
        <f aca="false">INDEX(SOFR!$B$2:$B$61,BB$3)</f>
        <v>0.032818</v>
      </c>
      <c r="BC4" s="2" t="n">
        <f aca="false">INDEX(SOFR!$B$2:$B$61,BC$3)</f>
        <v>0.03304</v>
      </c>
      <c r="BD4" s="2" t="n">
        <f aca="false">INDEX(SOFR!$B$2:$B$61,BD$3)</f>
        <v>0.033274</v>
      </c>
      <c r="BE4" s="2" t="n">
        <f aca="false">INDEX(SOFR!$B$2:$B$61,BE$3)</f>
        <v>0.033519</v>
      </c>
      <c r="BF4" s="2" t="n">
        <f aca="false">INDEX(SOFR!$B$2:$B$61,BF$3)</f>
        <v>0.033771</v>
      </c>
      <c r="BG4" s="2" t="n">
        <f aca="false">INDEX(SOFR!$B$2:$B$61,BG$3)</f>
        <v>0.034026</v>
      </c>
      <c r="BH4" s="2" t="n">
        <f aca="false">INDEX(SOFR!$B$2:$B$61,BH$3)</f>
        <v>0.03428</v>
      </c>
      <c r="BI4" s="2" t="n">
        <f aca="false">INDEX(SOFR!$B$2:$B$61,BI$3)</f>
        <v>0.034531</v>
      </c>
      <c r="BJ4" s="2" t="n">
        <f aca="false">INDEX(SOFR!$B$2:$B$61,BJ$3)</f>
        <v>0.034774</v>
      </c>
    </row>
    <row r="5" customFormat="false" ht="15" hidden="false" customHeight="false" outlineLevel="0" collapsed="false">
      <c r="A5" s="0" t="s">
        <v>24</v>
      </c>
      <c r="B5" s="0" t="n">
        <f aca="false">IF(AND(B$3&gt;=1,B$3&lt;=Inputs!$B$20),Inputs!$B$5/12*(1+Inputs!$B$6)^((B$3-1)/12),0)</f>
        <v>0</v>
      </c>
      <c r="C5" s="0" t="n">
        <f aca="false">IF(AND(C$3&gt;=1,C$3&lt;=Inputs!$B$20),Inputs!$B$5/12*(1+Inputs!$B$6)^((C$3-1)/12),0)</f>
        <v>550000</v>
      </c>
      <c r="D5" s="0" t="n">
        <f aca="false">IF(AND(D$3&gt;=1,D$3&lt;=Inputs!$B$20),Inputs!$B$5/12*(1+Inputs!$B$6)^((D$3-1)/12),0)</f>
        <v>551578.994295492</v>
      </c>
      <c r="E5" s="0" t="n">
        <f aca="false">IF(AND(E$3&gt;=1,E$3&lt;=Inputs!$B$20),Inputs!$B$5/12*(1+Inputs!$B$6)^((E$3-1)/12),0)</f>
        <v>553162.521723685</v>
      </c>
      <c r="F5" s="0" t="n">
        <f aca="false">IF(AND(F$3&gt;=1,F$3&lt;=Inputs!$B$20),Inputs!$B$5/12*(1+Inputs!$B$6)^((F$3-1)/12),0)</f>
        <v>554750.595298742</v>
      </c>
      <c r="G5" s="0" t="n">
        <f aca="false">IF(AND(G$3&gt;=1,G$3&lt;=Inputs!$B$20),Inputs!$B$5/12*(1+Inputs!$B$6)^((G$3-1)/12),0)</f>
        <v>556343.228072193</v>
      </c>
      <c r="H5" s="0" t="n">
        <f aca="false">IF(AND(H$3&gt;=1,H$3&lt;=Inputs!$B$20),Inputs!$B$5/12*(1+Inputs!$B$6)^((H$3-1)/12),0)</f>
        <v>557940.433133032</v>
      </c>
      <c r="I5" s="0" t="n">
        <f aca="false">IF(AND(I$3&gt;=1,I$3&lt;=Inputs!$B$20),Inputs!$B$5/12*(1+Inputs!$B$6)^((I$3-1)/12),0)</f>
        <v>559542.223607835</v>
      </c>
      <c r="J5" s="0" t="n">
        <f aca="false">IF(AND(J$3&gt;=1,J$3&lt;=Inputs!$B$20),Inputs!$B$5/12*(1+Inputs!$B$6)^((J$3-1)/12),0)</f>
        <v>561148.61266086</v>
      </c>
      <c r="K5" s="0" t="n">
        <f aca="false">IF(AND(K$3&gt;=1,K$3&lt;=Inputs!$B$20),Inputs!$B$5/12*(1+Inputs!$B$6)^((K$3-1)/12),0)</f>
        <v>562759.613494159</v>
      </c>
      <c r="L5" s="0" t="n">
        <f aca="false">IF(AND(L$3&gt;=1,L$3&lt;=Inputs!$B$20),Inputs!$B$5/12*(1+Inputs!$B$6)^((L$3-1)/12),0)</f>
        <v>564375.239347688</v>
      </c>
      <c r="M5" s="0" t="n">
        <f aca="false">IF(AND(M$3&gt;=1,M$3&lt;=Inputs!$B$20),Inputs!$B$5/12*(1+Inputs!$B$6)^((M$3-1)/12),0)</f>
        <v>565995.50349941</v>
      </c>
      <c r="N5" s="0" t="n">
        <f aca="false">IF(AND(N$3&gt;=1,N$3&lt;=Inputs!$B$20),Inputs!$B$5/12*(1+Inputs!$B$6)^((N$3-1)/12),0)</f>
        <v>567620.419265409</v>
      </c>
      <c r="O5" s="0" t="n">
        <f aca="false">IF(AND(O$3&gt;=1,O$3&lt;=Inputs!$B$20),Inputs!$B$5/12*(1+Inputs!$B$6)^((O$3-1)/12),0)</f>
        <v>569250</v>
      </c>
      <c r="P5" s="0" t="n">
        <f aca="false">IF(AND(P$3&gt;=1,P$3&lt;=Inputs!$B$20),Inputs!$B$5/12*(1+Inputs!$B$6)^((P$3-1)/12),0)</f>
        <v>570884.259095834</v>
      </c>
      <c r="Q5" s="0" t="n">
        <f aca="false">IF(AND(Q$3&gt;=1,Q$3&lt;=Inputs!$B$20),Inputs!$B$5/12*(1+Inputs!$B$6)^((Q$3-1)/12),0)</f>
        <v>572523.209984014</v>
      </c>
      <c r="R5" s="0" t="n">
        <f aca="false">IF(AND(R$3&gt;=1,R$3&lt;=Inputs!$B$20),Inputs!$B$5/12*(1+Inputs!$B$6)^((R$3-1)/12),0)</f>
        <v>574166.866134198</v>
      </c>
      <c r="S5" s="0" t="n">
        <f aca="false">IF(AND(S$3&gt;=1,S$3&lt;=Inputs!$B$20),Inputs!$B$5/12*(1+Inputs!$B$6)^((S$3-1)/12),0)</f>
        <v>575815.241054719</v>
      </c>
      <c r="T5" s="0" t="n">
        <f aca="false">IF(AND(T$3&gt;=1,T$3&lt;=Inputs!$B$20),Inputs!$B$5/12*(1+Inputs!$B$6)^((T$3-1)/12),0)</f>
        <v>577468.348292688</v>
      </c>
      <c r="U5" s="0" t="n">
        <f aca="false">IF(AND(U$3&gt;=1,U$3&lt;=Inputs!$B$20),Inputs!$B$5/12*(1+Inputs!$B$6)^((U$3-1)/12),0)</f>
        <v>579126.201434109</v>
      </c>
      <c r="V5" s="0" t="n">
        <f aca="false">IF(AND(V$3&gt;=1,V$3&lt;=Inputs!$B$20),Inputs!$B$5/12*(1+Inputs!$B$6)^((V$3-1)/12),0)</f>
        <v>580788.81410399</v>
      </c>
      <c r="W5" s="0" t="n">
        <f aca="false">IF(AND(W$3&gt;=1,W$3&lt;=Inputs!$B$20),Inputs!$B$5/12*(1+Inputs!$B$6)^((W$3-1)/12),0)</f>
        <v>582456.199966455</v>
      </c>
      <c r="X5" s="0" t="n">
        <f aca="false">IF(AND(X$3&gt;=1,X$3&lt;=Inputs!$B$20),Inputs!$B$5/12*(1+Inputs!$B$6)^((X$3-1)/12),0)</f>
        <v>584128.372724857</v>
      </c>
      <c r="Y5" s="0" t="n">
        <f aca="false">IF(AND(Y$3&gt;=1,Y$3&lt;=Inputs!$B$20),Inputs!$B$5/12*(1+Inputs!$B$6)^((Y$3-1)/12),0)</f>
        <v>585805.346121889</v>
      </c>
      <c r="Z5" s="0" t="n">
        <f aca="false">IF(AND(Z$3&gt;=1,Z$3&lt;=Inputs!$B$20),Inputs!$B$5/12*(1+Inputs!$B$6)^((Z$3-1)/12),0)</f>
        <v>587487.133939699</v>
      </c>
      <c r="AA5" s="0" t="n">
        <f aca="false">IF(AND(AA$3&gt;=1,AA$3&lt;=Inputs!$B$20),Inputs!$B$5/12*(1+Inputs!$B$6)^((AA$3-1)/12),0)</f>
        <v>589173.75</v>
      </c>
      <c r="AB5" s="0" t="n">
        <f aca="false">IF(AND(AB$3&gt;=1,AB$3&lt;=Inputs!$B$20),Inputs!$B$5/12*(1+Inputs!$B$6)^((AB$3-1)/12),0)</f>
        <v>590865.208164188</v>
      </c>
      <c r="AC5" s="0" t="n">
        <f aca="false">IF(AND(AC$3&gt;=1,AC$3&lt;=Inputs!$B$20),Inputs!$B$5/12*(1+Inputs!$B$6)^((AC$3-1)/12),0)</f>
        <v>592561.522333454</v>
      </c>
      <c r="AD5" s="0" t="n">
        <f aca="false">IF(AND(AD$3&gt;=1,AD$3&lt;=Inputs!$B$20),Inputs!$B$5/12*(1+Inputs!$B$6)^((AD$3-1)/12),0)</f>
        <v>594262.706448895</v>
      </c>
      <c r="AE5" s="0" t="n">
        <f aca="false">IF(AND(AE$3&gt;=1,AE$3&lt;=Inputs!$B$20),Inputs!$B$5/12*(1+Inputs!$B$6)^((AE$3-1)/12),0)</f>
        <v>595968.774491634</v>
      </c>
      <c r="AF5" s="0" t="n">
        <f aca="false">IF(AND(AF$3&gt;=1,AF$3&lt;=Inputs!$B$20),Inputs!$B$5/12*(1+Inputs!$B$6)^((AF$3-1)/12),0)</f>
        <v>597679.740482932</v>
      </c>
      <c r="AG5" s="0" t="n">
        <f aca="false">IF(AND(AG$3&gt;=1,AG$3&lt;=Inputs!$B$20),Inputs!$B$5/12*(1+Inputs!$B$6)^((AG$3-1)/12),0)</f>
        <v>599395.618484303</v>
      </c>
      <c r="AH5" s="0" t="n">
        <f aca="false">IF(AND(AH$3&gt;=1,AH$3&lt;=Inputs!$B$20),Inputs!$B$5/12*(1+Inputs!$B$6)^((AH$3-1)/12),0)</f>
        <v>601116.422597629</v>
      </c>
      <c r="AI5" s="0" t="n">
        <f aca="false">IF(AND(AI$3&gt;=1,AI$3&lt;=Inputs!$B$20),Inputs!$B$5/12*(1+Inputs!$B$6)^((AI$3-1)/12),0)</f>
        <v>602842.166965281</v>
      </c>
      <c r="AJ5" s="0" t="n">
        <f aca="false">IF(AND(AJ$3&gt;=1,AJ$3&lt;=Inputs!$B$20),Inputs!$B$5/12*(1+Inputs!$B$6)^((AJ$3-1)/12),0)</f>
        <v>604572.865770227</v>
      </c>
      <c r="AK5" s="0" t="n">
        <f aca="false">IF(AND(AK$3&gt;=1,AK$3&lt;=Inputs!$B$20),Inputs!$B$5/12*(1+Inputs!$B$6)^((AK$3-1)/12),0)</f>
        <v>606308.533236155</v>
      </c>
      <c r="AL5" s="0" t="n">
        <f aca="false">IF(AND(AL$3&gt;=1,AL$3&lt;=Inputs!$B$20),Inputs!$B$5/12*(1+Inputs!$B$6)^((AL$3-1)/12),0)</f>
        <v>608049.183627588</v>
      </c>
      <c r="AM5" s="0" t="n">
        <f aca="false">IF(AND(AM$3&gt;=1,AM$3&lt;=Inputs!$B$20),Inputs!$B$5/12*(1+Inputs!$B$6)^((AM$3-1)/12),0)</f>
        <v>609794.83125</v>
      </c>
      <c r="AN5" s="0" t="n">
        <f aca="false">IF(AND(AN$3&gt;=1,AN$3&lt;=Inputs!$B$20),Inputs!$B$5/12*(1+Inputs!$B$6)^((AN$3-1)/12),0)</f>
        <v>611545.490449935</v>
      </c>
      <c r="AO5" s="0" t="n">
        <f aca="false">IF(AND(AO$3&gt;=1,AO$3&lt;=Inputs!$B$20),Inputs!$B$5/12*(1+Inputs!$B$6)^((AO$3-1)/12),0)</f>
        <v>613301.175615125</v>
      </c>
      <c r="AP5" s="0" t="n">
        <f aca="false">IF(AND(AP$3&gt;=1,AP$3&lt;=Inputs!$B$20),Inputs!$B$5/12*(1+Inputs!$B$6)^((AP$3-1)/12),0)</f>
        <v>615061.901174606</v>
      </c>
      <c r="AQ5" s="0" t="n">
        <f aca="false">IF(AND(AQ$3&gt;=1,AQ$3&lt;=Inputs!$B$20),Inputs!$B$5/12*(1+Inputs!$B$6)^((AQ$3-1)/12),0)</f>
        <v>616827.681598841</v>
      </c>
      <c r="AR5" s="0" t="n">
        <f aca="false">IF(AND(AR$3&gt;=1,AR$3&lt;=Inputs!$B$20),Inputs!$B$5/12*(1+Inputs!$B$6)^((AR$3-1)/12),0)</f>
        <v>618598.531399835</v>
      </c>
      <c r="AS5" s="0" t="n">
        <f aca="false">IF(AND(AS$3&gt;=1,AS$3&lt;=Inputs!$B$20),Inputs!$B$5/12*(1+Inputs!$B$6)^((AS$3-1)/12),0)</f>
        <v>620374.465131253</v>
      </c>
      <c r="AT5" s="0" t="n">
        <f aca="false">IF(AND(AT$3&gt;=1,AT$3&lt;=Inputs!$B$20),Inputs!$B$5/12*(1+Inputs!$B$6)^((AT$3-1)/12),0)</f>
        <v>622155.497388546</v>
      </c>
      <c r="AU5" s="0" t="n">
        <f aca="false">IF(AND(AU$3&gt;=1,AU$3&lt;=Inputs!$B$20),Inputs!$B$5/12*(1+Inputs!$B$6)^((AU$3-1)/12),0)</f>
        <v>623941.642809066</v>
      </c>
      <c r="AV5" s="0" t="n">
        <f aca="false">IF(AND(AV$3&gt;=1,AV$3&lt;=Inputs!$B$20),Inputs!$B$5/12*(1+Inputs!$B$6)^((AV$3-1)/12),0)</f>
        <v>625732.916072185</v>
      </c>
      <c r="AW5" s="0" t="n">
        <f aca="false">IF(AND(AW$3&gt;=1,AW$3&lt;=Inputs!$B$20),Inputs!$B$5/12*(1+Inputs!$B$6)^((AW$3-1)/12),0)</f>
        <v>627529.33189942</v>
      </c>
      <c r="AX5" s="0" t="n">
        <f aca="false">IF(AND(AX$3&gt;=1,AX$3&lt;=Inputs!$B$20),Inputs!$B$5/12*(1+Inputs!$B$6)^((AX$3-1)/12),0)</f>
        <v>629330.905054553</v>
      </c>
      <c r="AY5" s="0" t="n">
        <f aca="false">IF(AND(AY$3&gt;=1,AY$3&lt;=Inputs!$B$20),Inputs!$B$5/12*(1+Inputs!$B$6)^((AY$3-1)/12),0)</f>
        <v>631137.65034375</v>
      </c>
      <c r="AZ5" s="0" t="n">
        <f aca="false">IF(AND(AZ$3&gt;=1,AZ$3&lt;=Inputs!$B$20),Inputs!$B$5/12*(1+Inputs!$B$6)^((AZ$3-1)/12),0)</f>
        <v>632949.582615683</v>
      </c>
      <c r="BA5" s="0" t="n">
        <f aca="false">IF(AND(BA$3&gt;=1,BA$3&lt;=Inputs!$B$20),Inputs!$B$5/12*(1+Inputs!$B$6)^((BA$3-1)/12),0)</f>
        <v>634766.716761654</v>
      </c>
      <c r="BB5" s="0" t="n">
        <f aca="false">IF(AND(BB$3&gt;=1,BB$3&lt;=Inputs!$B$20),Inputs!$B$5/12*(1+Inputs!$B$6)^((BB$3-1)/12),0)</f>
        <v>636589.067715718</v>
      </c>
      <c r="BC5" s="0" t="n">
        <f aca="false">IF(AND(BC$3&gt;=1,BC$3&lt;=Inputs!$B$20),Inputs!$B$5/12*(1+Inputs!$B$6)^((BC$3-1)/12),0)</f>
        <v>638416.650454801</v>
      </c>
      <c r="BD5" s="0" t="n">
        <f aca="false">IF(AND(BD$3&gt;=1,BD$3&lt;=Inputs!$B$20),Inputs!$B$5/12*(1+Inputs!$B$6)^((BD$3-1)/12),0)</f>
        <v>640249.479998829</v>
      </c>
      <c r="BE5" s="0" t="n">
        <f aca="false">IF(AND(BE$3&gt;=1,BE$3&lt;=Inputs!$B$20),Inputs!$B$5/12*(1+Inputs!$B$6)^((BE$3-1)/12),0)</f>
        <v>642087.571410847</v>
      </c>
      <c r="BF5" s="0" t="n">
        <f aca="false">IF(AND(BF$3&gt;=1,BF$3&lt;=Inputs!$B$20),Inputs!$B$5/12*(1+Inputs!$B$6)^((BF$3-1)/12),0)</f>
        <v>643930.939797145</v>
      </c>
      <c r="BG5" s="0" t="n">
        <f aca="false">IF(AND(BG$3&gt;=1,BG$3&lt;=Inputs!$B$20),Inputs!$B$5/12*(1+Inputs!$B$6)^((BG$3-1)/12),0)</f>
        <v>645779.600307383</v>
      </c>
      <c r="BH5" s="0" t="n">
        <f aca="false">IF(AND(BH$3&gt;=1,BH$3&lt;=Inputs!$B$20),Inputs!$B$5/12*(1+Inputs!$B$6)^((BH$3-1)/12),0)</f>
        <v>647633.568134711</v>
      </c>
      <c r="BI5" s="0" t="n">
        <f aca="false">IF(AND(BI$3&gt;=1,BI$3&lt;=Inputs!$B$20),Inputs!$B$5/12*(1+Inputs!$B$6)^((BI$3-1)/12),0)</f>
        <v>649492.8585159</v>
      </c>
      <c r="BJ5" s="0" t="n">
        <f aca="false">IF(AND(BJ$3&gt;=1,BJ$3&lt;=Inputs!$B$20),Inputs!$B$5/12*(1+Inputs!$B$6)^((BJ$3-1)/12),0)</f>
        <v>651357.486731463</v>
      </c>
    </row>
    <row r="6" customFormat="false" ht="15" hidden="false" customHeight="false" outlineLevel="0" collapsed="false">
      <c r="A6" s="0" t="s">
        <v>25</v>
      </c>
      <c r="B6" s="0" t="n">
        <f aca="false">IF(B$3&lt;Inputs!$B$13,Inputs!$B$3*Inputs!$B$7,0)</f>
        <v>78000000</v>
      </c>
      <c r="C6" s="0" t="n">
        <f aca="false">IF(C$3&lt;Inputs!$B$13,Inputs!$B$3*Inputs!$B$7,0)</f>
        <v>78000000</v>
      </c>
      <c r="D6" s="0" t="n">
        <f aca="false">IF(D$3&lt;Inputs!$B$13,Inputs!$B$3*Inputs!$B$7,0)</f>
        <v>78000000</v>
      </c>
      <c r="E6" s="0" t="n">
        <f aca="false">IF(E$3&lt;Inputs!$B$13,Inputs!$B$3*Inputs!$B$7,0)</f>
        <v>78000000</v>
      </c>
      <c r="F6" s="0" t="n">
        <f aca="false">IF(F$3&lt;Inputs!$B$13,Inputs!$B$3*Inputs!$B$7,0)</f>
        <v>78000000</v>
      </c>
      <c r="G6" s="0" t="n">
        <f aca="false">IF(G$3&lt;Inputs!$B$13,Inputs!$B$3*Inputs!$B$7,0)</f>
        <v>78000000</v>
      </c>
      <c r="H6" s="0" t="n">
        <f aca="false">IF(H$3&lt;Inputs!$B$13,Inputs!$B$3*Inputs!$B$7,0)</f>
        <v>78000000</v>
      </c>
      <c r="I6" s="0" t="n">
        <f aca="false">IF(I$3&lt;Inputs!$B$13,Inputs!$B$3*Inputs!$B$7,0)</f>
        <v>78000000</v>
      </c>
      <c r="J6" s="0" t="n">
        <f aca="false">IF(J$3&lt;Inputs!$B$13,Inputs!$B$3*Inputs!$B$7,0)</f>
        <v>78000000</v>
      </c>
      <c r="K6" s="0" t="n">
        <f aca="false">IF(K$3&lt;Inputs!$B$13,Inputs!$B$3*Inputs!$B$7,0)</f>
        <v>78000000</v>
      </c>
      <c r="L6" s="0" t="n">
        <f aca="false">IF(L$3&lt;Inputs!$B$13,Inputs!$B$3*Inputs!$B$7,0)</f>
        <v>78000000</v>
      </c>
      <c r="M6" s="0" t="n">
        <f aca="false">IF(M$3&lt;Inputs!$B$13,Inputs!$B$3*Inputs!$B$7,0)</f>
        <v>78000000</v>
      </c>
      <c r="N6" s="0" t="n">
        <f aca="false">IF(N$3&lt;Inputs!$B$13,Inputs!$B$3*Inputs!$B$7,0)</f>
        <v>78000000</v>
      </c>
      <c r="O6" s="0" t="n">
        <f aca="false">IF(O$3&lt;Inputs!$B$13,Inputs!$B$3*Inputs!$B$7,0)</f>
        <v>78000000</v>
      </c>
      <c r="P6" s="0" t="n">
        <f aca="false">IF(P$3&lt;Inputs!$B$13,Inputs!$B$3*Inputs!$B$7,0)</f>
        <v>78000000</v>
      </c>
      <c r="Q6" s="0" t="n">
        <f aca="false">IF(Q$3&lt;Inputs!$B$13,Inputs!$B$3*Inputs!$B$7,0)</f>
        <v>78000000</v>
      </c>
      <c r="R6" s="0" t="n">
        <f aca="false">IF(R$3&lt;Inputs!$B$13,Inputs!$B$3*Inputs!$B$7,0)</f>
        <v>78000000</v>
      </c>
      <c r="S6" s="0" t="n">
        <f aca="false">IF(S$3&lt;Inputs!$B$13,Inputs!$B$3*Inputs!$B$7,0)</f>
        <v>78000000</v>
      </c>
      <c r="T6" s="0" t="n">
        <f aca="false">IF(T$3&lt;Inputs!$B$13,Inputs!$B$3*Inputs!$B$7,0)</f>
        <v>78000000</v>
      </c>
      <c r="U6" s="0" t="n">
        <f aca="false">IF(U$3&lt;Inputs!$B$13,Inputs!$B$3*Inputs!$B$7,0)</f>
        <v>78000000</v>
      </c>
      <c r="V6" s="0" t="n">
        <f aca="false">IF(V$3&lt;Inputs!$B$13,Inputs!$B$3*Inputs!$B$7,0)</f>
        <v>78000000</v>
      </c>
      <c r="W6" s="0" t="n">
        <f aca="false">IF(W$3&lt;Inputs!$B$13,Inputs!$B$3*Inputs!$B$7,0)</f>
        <v>78000000</v>
      </c>
      <c r="X6" s="0" t="n">
        <f aca="false">IF(X$3&lt;Inputs!$B$13,Inputs!$B$3*Inputs!$B$7,0)</f>
        <v>78000000</v>
      </c>
      <c r="Y6" s="0" t="n">
        <f aca="false">IF(Y$3&lt;Inputs!$B$13,Inputs!$B$3*Inputs!$B$7,0)</f>
        <v>78000000</v>
      </c>
      <c r="Z6" s="0" t="n">
        <f aca="false">IF(Z$3&lt;Inputs!$B$13,Inputs!$B$3*Inputs!$B$7,0)</f>
        <v>78000000</v>
      </c>
      <c r="AA6" s="0" t="n">
        <f aca="false">IF(AA$3&lt;Inputs!$B$13,Inputs!$B$3*Inputs!$B$7,0)</f>
        <v>78000000</v>
      </c>
      <c r="AB6" s="0" t="n">
        <f aca="false">IF(AB$3&lt;Inputs!$B$13,Inputs!$B$3*Inputs!$B$7,0)</f>
        <v>78000000</v>
      </c>
      <c r="AC6" s="0" t="n">
        <f aca="false">IF(AC$3&lt;Inputs!$B$13,Inputs!$B$3*Inputs!$B$7,0)</f>
        <v>78000000</v>
      </c>
      <c r="AD6" s="0" t="n">
        <f aca="false">IF(AD$3&lt;Inputs!$B$13,Inputs!$B$3*Inputs!$B$7,0)</f>
        <v>78000000</v>
      </c>
      <c r="AE6" s="0" t="n">
        <f aca="false">IF(AE$3&lt;Inputs!$B$13,Inputs!$B$3*Inputs!$B$7,0)</f>
        <v>78000000</v>
      </c>
      <c r="AF6" s="0" t="n">
        <f aca="false">IF(AF$3&lt;Inputs!$B$13,Inputs!$B$3*Inputs!$B$7,0)</f>
        <v>78000000</v>
      </c>
      <c r="AG6" s="0" t="n">
        <f aca="false">IF(AG$3&lt;Inputs!$B$13,Inputs!$B$3*Inputs!$B$7,0)</f>
        <v>78000000</v>
      </c>
      <c r="AH6" s="0" t="n">
        <f aca="false">IF(AH$3&lt;Inputs!$B$13,Inputs!$B$3*Inputs!$B$7,0)</f>
        <v>78000000</v>
      </c>
      <c r="AI6" s="0" t="n">
        <f aca="false">IF(AI$3&lt;Inputs!$B$13,Inputs!$B$3*Inputs!$B$7,0)</f>
        <v>78000000</v>
      </c>
      <c r="AJ6" s="0" t="n">
        <f aca="false">IF(AJ$3&lt;Inputs!$B$13,Inputs!$B$3*Inputs!$B$7,0)</f>
        <v>78000000</v>
      </c>
      <c r="AK6" s="0" t="n">
        <f aca="false">IF(AK$3&lt;Inputs!$B$13,Inputs!$B$3*Inputs!$B$7,0)</f>
        <v>78000000</v>
      </c>
      <c r="AL6" s="0" t="n">
        <f aca="false">IF(AL$3&lt;Inputs!$B$13,Inputs!$B$3*Inputs!$B$7,0)</f>
        <v>0</v>
      </c>
      <c r="AM6" s="0" t="n">
        <f aca="false">IF(AM$3&lt;Inputs!$B$13,Inputs!$B$3*Inputs!$B$7,0)</f>
        <v>0</v>
      </c>
      <c r="AN6" s="0" t="n">
        <f aca="false">IF(AN$3&lt;Inputs!$B$13,Inputs!$B$3*Inputs!$B$7,0)</f>
        <v>0</v>
      </c>
      <c r="AO6" s="0" t="n">
        <f aca="false">IF(AO$3&lt;Inputs!$B$13,Inputs!$B$3*Inputs!$B$7,0)</f>
        <v>0</v>
      </c>
      <c r="AP6" s="0" t="n">
        <f aca="false">IF(AP$3&lt;Inputs!$B$13,Inputs!$B$3*Inputs!$B$7,0)</f>
        <v>0</v>
      </c>
      <c r="AQ6" s="0" t="n">
        <f aca="false">IF(AQ$3&lt;Inputs!$B$13,Inputs!$B$3*Inputs!$B$7,0)</f>
        <v>0</v>
      </c>
      <c r="AR6" s="0" t="n">
        <f aca="false">IF(AR$3&lt;Inputs!$B$13,Inputs!$B$3*Inputs!$B$7,0)</f>
        <v>0</v>
      </c>
      <c r="AS6" s="0" t="n">
        <f aca="false">IF(AS$3&lt;Inputs!$B$13,Inputs!$B$3*Inputs!$B$7,0)</f>
        <v>0</v>
      </c>
      <c r="AT6" s="0" t="n">
        <f aca="false">IF(AT$3&lt;Inputs!$B$13,Inputs!$B$3*Inputs!$B$7,0)</f>
        <v>0</v>
      </c>
      <c r="AU6" s="0" t="n">
        <f aca="false">IF(AU$3&lt;Inputs!$B$13,Inputs!$B$3*Inputs!$B$7,0)</f>
        <v>0</v>
      </c>
      <c r="AV6" s="0" t="n">
        <f aca="false">IF(AV$3&lt;Inputs!$B$13,Inputs!$B$3*Inputs!$B$7,0)</f>
        <v>0</v>
      </c>
      <c r="AW6" s="0" t="n">
        <f aca="false">IF(AW$3&lt;Inputs!$B$13,Inputs!$B$3*Inputs!$B$7,0)</f>
        <v>0</v>
      </c>
      <c r="AX6" s="0" t="n">
        <f aca="false">IF(AX$3&lt;Inputs!$B$13,Inputs!$B$3*Inputs!$B$7,0)</f>
        <v>0</v>
      </c>
      <c r="AY6" s="0" t="n">
        <f aca="false">IF(AY$3&lt;Inputs!$B$13,Inputs!$B$3*Inputs!$B$7,0)</f>
        <v>0</v>
      </c>
      <c r="AZ6" s="0" t="n">
        <f aca="false">IF(AZ$3&lt;Inputs!$B$13,Inputs!$B$3*Inputs!$B$7,0)</f>
        <v>0</v>
      </c>
      <c r="BA6" s="0" t="n">
        <f aca="false">IF(BA$3&lt;Inputs!$B$13,Inputs!$B$3*Inputs!$B$7,0)</f>
        <v>0</v>
      </c>
      <c r="BB6" s="0" t="n">
        <f aca="false">IF(BB$3&lt;Inputs!$B$13,Inputs!$B$3*Inputs!$B$7,0)</f>
        <v>0</v>
      </c>
      <c r="BC6" s="0" t="n">
        <f aca="false">IF(BC$3&lt;Inputs!$B$13,Inputs!$B$3*Inputs!$B$7,0)</f>
        <v>0</v>
      </c>
      <c r="BD6" s="0" t="n">
        <f aca="false">IF(BD$3&lt;Inputs!$B$13,Inputs!$B$3*Inputs!$B$7,0)</f>
        <v>0</v>
      </c>
      <c r="BE6" s="0" t="n">
        <f aca="false">IF(BE$3&lt;Inputs!$B$13,Inputs!$B$3*Inputs!$B$7,0)</f>
        <v>0</v>
      </c>
      <c r="BF6" s="0" t="n">
        <f aca="false">IF(BF$3&lt;Inputs!$B$13,Inputs!$B$3*Inputs!$B$7,0)</f>
        <v>0</v>
      </c>
      <c r="BG6" s="0" t="n">
        <f aca="false">IF(BG$3&lt;Inputs!$B$13,Inputs!$B$3*Inputs!$B$7,0)</f>
        <v>0</v>
      </c>
      <c r="BH6" s="0" t="n">
        <f aca="false">IF(BH$3&lt;Inputs!$B$13,Inputs!$B$3*Inputs!$B$7,0)</f>
        <v>0</v>
      </c>
      <c r="BI6" s="0" t="n">
        <f aca="false">IF(BI$3&lt;Inputs!$B$13,Inputs!$B$3*Inputs!$B$7,0)</f>
        <v>0</v>
      </c>
      <c r="BJ6" s="0" t="n">
        <f aca="false">IF(BJ$3&lt;Inputs!$B$13,Inputs!$B$3*Inputs!$B$7,0)</f>
        <v>0</v>
      </c>
    </row>
    <row r="7" customFormat="false" ht="15" hidden="false" customHeight="false" outlineLevel="0" collapsed="false">
      <c r="A7" s="0" t="s">
        <v>26</v>
      </c>
      <c r="B7" s="0" t="n">
        <f aca="false">(B$3&gt;=1)*(B$3&lt;=Inputs!$B$13)*Inputs!$B$3*Inputs!$B$7*(B4+Inputs!$B$8)/12</f>
        <v>0</v>
      </c>
      <c r="C7" s="0" t="n">
        <f aca="false">(C$3&gt;=1)*(C$3&lt;=Inputs!$B$13)*Inputs!$B$3*Inputs!$B$7*(C4+Inputs!$B$8)/12</f>
        <v>456716</v>
      </c>
      <c r="D7" s="0" t="n">
        <f aca="false">(D$3&gt;=1)*(D$3&lt;=Inputs!$B$13)*Inputs!$B$3*Inputs!$B$7*(D4+Inputs!$B$8)/12</f>
        <v>455338</v>
      </c>
      <c r="E7" s="0" t="n">
        <f aca="false">(E$3&gt;=1)*(E$3&lt;=Inputs!$B$13)*Inputs!$B$3*Inputs!$B$7*(E4+Inputs!$B$8)/12</f>
        <v>454090</v>
      </c>
      <c r="F7" s="0" t="n">
        <f aca="false">(F$3&gt;=1)*(F$3&lt;=Inputs!$B$13)*Inputs!$B$3*Inputs!$B$7*(F4+Inputs!$B$8)/12</f>
        <v>452933</v>
      </c>
      <c r="G7" s="0" t="n">
        <f aca="false">(G$3&gt;=1)*(G$3&lt;=Inputs!$B$13)*Inputs!$B$3*Inputs!$B$7*(G4+Inputs!$B$8)/12</f>
        <v>451841</v>
      </c>
      <c r="H7" s="0" t="n">
        <f aca="false">(H$3&gt;=1)*(H$3&lt;=Inputs!$B$13)*Inputs!$B$3*Inputs!$B$7*(H4+Inputs!$B$8)/12</f>
        <v>450794.5</v>
      </c>
      <c r="I7" s="0" t="n">
        <f aca="false">(I$3&gt;=1)*(I$3&lt;=Inputs!$B$13)*Inputs!$B$3*Inputs!$B$7*(I4+Inputs!$B$8)/12</f>
        <v>449754.5</v>
      </c>
      <c r="J7" s="0" t="n">
        <f aca="false">(J$3&gt;=1)*(J$3&lt;=Inputs!$B$13)*Inputs!$B$3*Inputs!$B$7*(J4+Inputs!$B$8)/12</f>
        <v>448708</v>
      </c>
      <c r="K7" s="0" t="n">
        <f aca="false">(K$3&gt;=1)*(K$3&lt;=Inputs!$B$13)*Inputs!$B$3*Inputs!$B$7*(K4+Inputs!$B$8)/12</f>
        <v>447629</v>
      </c>
      <c r="L7" s="0" t="n">
        <f aca="false">(L$3&gt;=1)*(L$3&lt;=Inputs!$B$13)*Inputs!$B$3*Inputs!$B$7*(L4+Inputs!$B$8)/12</f>
        <v>446491.5</v>
      </c>
      <c r="M7" s="0" t="n">
        <f aca="false">(M$3&gt;=1)*(M$3&lt;=Inputs!$B$13)*Inputs!$B$3*Inputs!$B$7*(M4+Inputs!$B$8)/12</f>
        <v>445289</v>
      </c>
      <c r="N7" s="0" t="n">
        <f aca="false">(N$3&gt;=1)*(N$3&lt;=Inputs!$B$13)*Inputs!$B$3*Inputs!$B$7*(N4+Inputs!$B$8)/12</f>
        <v>443995.5</v>
      </c>
      <c r="O7" s="0" t="n">
        <f aca="false">(O$3&gt;=1)*(O$3&lt;=Inputs!$B$13)*Inputs!$B$3*Inputs!$B$7*(O4+Inputs!$B$8)/12</f>
        <v>442611</v>
      </c>
      <c r="P7" s="0" t="n">
        <f aca="false">(P$3&gt;=1)*(P$3&lt;=Inputs!$B$13)*Inputs!$B$3*Inputs!$B$7*(P4+Inputs!$B$8)/12</f>
        <v>441116</v>
      </c>
      <c r="Q7" s="0" t="n">
        <f aca="false">(Q$3&gt;=1)*(Q$3&lt;=Inputs!$B$13)*Inputs!$B$3*Inputs!$B$7*(Q4+Inputs!$B$8)/12</f>
        <v>439510.5</v>
      </c>
      <c r="R7" s="0" t="n">
        <f aca="false">(R$3&gt;=1)*(R$3&lt;=Inputs!$B$13)*Inputs!$B$3*Inputs!$B$7*(R4+Inputs!$B$8)/12</f>
        <v>437788</v>
      </c>
      <c r="S7" s="0" t="n">
        <f aca="false">(S$3&gt;=1)*(S$3&lt;=Inputs!$B$13)*Inputs!$B$3*Inputs!$B$7*(S4+Inputs!$B$8)/12</f>
        <v>435948.5</v>
      </c>
      <c r="T7" s="0" t="n">
        <f aca="false">(T$3&gt;=1)*(T$3&lt;=Inputs!$B$13)*Inputs!$B$3*Inputs!$B$7*(T4+Inputs!$B$8)/12</f>
        <v>433992</v>
      </c>
      <c r="U7" s="0" t="n">
        <f aca="false">(U$3&gt;=1)*(U$3&lt;=Inputs!$B$13)*Inputs!$B$3*Inputs!$B$7*(U4+Inputs!$B$8)/12</f>
        <v>431925</v>
      </c>
      <c r="V7" s="0" t="n">
        <f aca="false">(V$3&gt;=1)*(V$3&lt;=Inputs!$B$13)*Inputs!$B$3*Inputs!$B$7*(V4+Inputs!$B$8)/12</f>
        <v>429747.5</v>
      </c>
      <c r="W7" s="0" t="n">
        <f aca="false">(W$3&gt;=1)*(W$3&lt;=Inputs!$B$13)*Inputs!$B$3*Inputs!$B$7*(W4+Inputs!$B$8)/12</f>
        <v>427479</v>
      </c>
      <c r="X7" s="0" t="n">
        <f aca="false">(X$3&gt;=1)*(X$3&lt;=Inputs!$B$13)*Inputs!$B$3*Inputs!$B$7*(X4+Inputs!$B$8)/12</f>
        <v>425126</v>
      </c>
      <c r="Y7" s="0" t="n">
        <f aca="false">(Y$3&gt;=1)*(Y$3&lt;=Inputs!$B$13)*Inputs!$B$3*Inputs!$B$7*(Y4+Inputs!$B$8)/12</f>
        <v>422695</v>
      </c>
      <c r="Z7" s="0" t="n">
        <f aca="false">(Z$3&gt;=1)*(Z$3&lt;=Inputs!$B$13)*Inputs!$B$3*Inputs!$B$7*(Z4+Inputs!$B$8)/12</f>
        <v>420205.5</v>
      </c>
      <c r="AA7" s="0" t="n">
        <f aca="false">(AA$3&gt;=1)*(AA$3&lt;=Inputs!$B$13)*Inputs!$B$3*Inputs!$B$7*(AA4+Inputs!$B$8)/12</f>
        <v>417677</v>
      </c>
      <c r="AB7" s="0" t="n">
        <f aca="false">(AB$3&gt;=1)*(AB$3&lt;=Inputs!$B$13)*Inputs!$B$3*Inputs!$B$7*(AB4+Inputs!$B$8)/12</f>
        <v>415129</v>
      </c>
      <c r="AC7" s="0" t="n">
        <f aca="false">(AC$3&gt;=1)*(AC$3&lt;=Inputs!$B$13)*Inputs!$B$3*Inputs!$B$7*(AC4+Inputs!$B$8)/12</f>
        <v>412574.5</v>
      </c>
      <c r="AD7" s="0" t="n">
        <f aca="false">(AD$3&gt;=1)*(AD$3&lt;=Inputs!$B$13)*Inputs!$B$3*Inputs!$B$7*(AD4+Inputs!$B$8)/12</f>
        <v>410026.5</v>
      </c>
      <c r="AE7" s="0" t="n">
        <f aca="false">(AE$3&gt;=1)*(AE$3&lt;=Inputs!$B$13)*Inputs!$B$3*Inputs!$B$7*(AE4+Inputs!$B$8)/12</f>
        <v>407517.5</v>
      </c>
      <c r="AF7" s="0" t="n">
        <f aca="false">(AF$3&gt;=1)*(AF$3&lt;=Inputs!$B$13)*Inputs!$B$3*Inputs!$B$7*(AF4+Inputs!$B$8)/12</f>
        <v>405067</v>
      </c>
      <c r="AG7" s="0" t="n">
        <f aca="false">(AG$3&gt;=1)*(AG$3&lt;=Inputs!$B$13)*Inputs!$B$3*Inputs!$B$7*(AG4+Inputs!$B$8)/12</f>
        <v>402688</v>
      </c>
      <c r="AH7" s="0" t="n">
        <f aca="false">(AH$3&gt;=1)*(AH$3&lt;=Inputs!$B$13)*Inputs!$B$3*Inputs!$B$7*(AH4+Inputs!$B$8)/12</f>
        <v>400400</v>
      </c>
      <c r="AI7" s="0" t="n">
        <f aca="false">(AI$3&gt;=1)*(AI$3&lt;=Inputs!$B$13)*Inputs!$B$3*Inputs!$B$7*(AI4+Inputs!$B$8)/12</f>
        <v>398229</v>
      </c>
      <c r="AJ7" s="0" t="n">
        <f aca="false">(AJ$3&gt;=1)*(AJ$3&lt;=Inputs!$B$13)*Inputs!$B$3*Inputs!$B$7*(AJ4+Inputs!$B$8)/12</f>
        <v>396181.5</v>
      </c>
      <c r="AK7" s="0" t="n">
        <f aca="false">(AK$3&gt;=1)*(AK$3&lt;=Inputs!$B$13)*Inputs!$B$3*Inputs!$B$7*(AK4+Inputs!$B$8)/12</f>
        <v>394290</v>
      </c>
      <c r="AL7" s="0" t="n">
        <f aca="false">(AL$3&gt;=1)*(AL$3&lt;=Inputs!$B$13)*Inputs!$B$3*Inputs!$B$7*(AL4+Inputs!$B$8)/12</f>
        <v>392561</v>
      </c>
      <c r="AM7" s="0" t="n">
        <f aca="false">(AM$3&gt;=1)*(AM$3&lt;=Inputs!$B$13)*Inputs!$B$3*Inputs!$B$7*(AM4+Inputs!$B$8)/12</f>
        <v>0</v>
      </c>
      <c r="AN7" s="0" t="n">
        <f aca="false">(AN$3&gt;=1)*(AN$3&lt;=Inputs!$B$13)*Inputs!$B$3*Inputs!$B$7*(AN4+Inputs!$B$8)/12</f>
        <v>0</v>
      </c>
      <c r="AO7" s="0" t="n">
        <f aca="false">(AO$3&gt;=1)*(AO$3&lt;=Inputs!$B$13)*Inputs!$B$3*Inputs!$B$7*(AO4+Inputs!$B$8)/12</f>
        <v>0</v>
      </c>
      <c r="AP7" s="0" t="n">
        <f aca="false">(AP$3&gt;=1)*(AP$3&lt;=Inputs!$B$13)*Inputs!$B$3*Inputs!$B$7*(AP4+Inputs!$B$8)/12</f>
        <v>0</v>
      </c>
      <c r="AQ7" s="0" t="n">
        <f aca="false">(AQ$3&gt;=1)*(AQ$3&lt;=Inputs!$B$13)*Inputs!$B$3*Inputs!$B$7*(AQ4+Inputs!$B$8)/12</f>
        <v>0</v>
      </c>
      <c r="AR7" s="0" t="n">
        <f aca="false">(AR$3&gt;=1)*(AR$3&lt;=Inputs!$B$13)*Inputs!$B$3*Inputs!$B$7*(AR4+Inputs!$B$8)/12</f>
        <v>0</v>
      </c>
      <c r="AS7" s="0" t="n">
        <f aca="false">(AS$3&gt;=1)*(AS$3&lt;=Inputs!$B$13)*Inputs!$B$3*Inputs!$B$7*(AS4+Inputs!$B$8)/12</f>
        <v>0</v>
      </c>
      <c r="AT7" s="0" t="n">
        <f aca="false">(AT$3&gt;=1)*(AT$3&lt;=Inputs!$B$13)*Inputs!$B$3*Inputs!$B$7*(AT4+Inputs!$B$8)/12</f>
        <v>0</v>
      </c>
      <c r="AU7" s="0" t="n">
        <f aca="false">(AU$3&gt;=1)*(AU$3&lt;=Inputs!$B$13)*Inputs!$B$3*Inputs!$B$7*(AU4+Inputs!$B$8)/12</f>
        <v>0</v>
      </c>
      <c r="AV7" s="0" t="n">
        <f aca="false">(AV$3&gt;=1)*(AV$3&lt;=Inputs!$B$13)*Inputs!$B$3*Inputs!$B$7*(AV4+Inputs!$B$8)/12</f>
        <v>0</v>
      </c>
      <c r="AW7" s="0" t="n">
        <f aca="false">(AW$3&gt;=1)*(AW$3&lt;=Inputs!$B$13)*Inputs!$B$3*Inputs!$B$7*(AW4+Inputs!$B$8)/12</f>
        <v>0</v>
      </c>
      <c r="AX7" s="0" t="n">
        <f aca="false">(AX$3&gt;=1)*(AX$3&lt;=Inputs!$B$13)*Inputs!$B$3*Inputs!$B$7*(AX4+Inputs!$B$8)/12</f>
        <v>0</v>
      </c>
      <c r="AY7" s="0" t="n">
        <f aca="false">(AY$3&gt;=1)*(AY$3&lt;=Inputs!$B$13)*Inputs!$B$3*Inputs!$B$7*(AY4+Inputs!$B$8)/12</f>
        <v>0</v>
      </c>
      <c r="AZ7" s="0" t="n">
        <f aca="false">(AZ$3&gt;=1)*(AZ$3&lt;=Inputs!$B$13)*Inputs!$B$3*Inputs!$B$7*(AZ4+Inputs!$B$8)/12</f>
        <v>0</v>
      </c>
      <c r="BA7" s="0" t="n">
        <f aca="false">(BA$3&gt;=1)*(BA$3&lt;=Inputs!$B$13)*Inputs!$B$3*Inputs!$B$7*(BA4+Inputs!$B$8)/12</f>
        <v>0</v>
      </c>
      <c r="BB7" s="0" t="n">
        <f aca="false">(BB$3&gt;=1)*(BB$3&lt;=Inputs!$B$13)*Inputs!$B$3*Inputs!$B$7*(BB4+Inputs!$B$8)/12</f>
        <v>0</v>
      </c>
      <c r="BC7" s="0" t="n">
        <f aca="false">(BC$3&gt;=1)*(BC$3&lt;=Inputs!$B$13)*Inputs!$B$3*Inputs!$B$7*(BC4+Inputs!$B$8)/12</f>
        <v>0</v>
      </c>
      <c r="BD7" s="0" t="n">
        <f aca="false">(BD$3&gt;=1)*(BD$3&lt;=Inputs!$B$13)*Inputs!$B$3*Inputs!$B$7*(BD4+Inputs!$B$8)/12</f>
        <v>0</v>
      </c>
      <c r="BE7" s="0" t="n">
        <f aca="false">(BE$3&gt;=1)*(BE$3&lt;=Inputs!$B$13)*Inputs!$B$3*Inputs!$B$7*(BE4+Inputs!$B$8)/12</f>
        <v>0</v>
      </c>
      <c r="BF7" s="0" t="n">
        <f aca="false">(BF$3&gt;=1)*(BF$3&lt;=Inputs!$B$13)*Inputs!$B$3*Inputs!$B$7*(BF4+Inputs!$B$8)/12</f>
        <v>0</v>
      </c>
      <c r="BG7" s="0" t="n">
        <f aca="false">(BG$3&gt;=1)*(BG$3&lt;=Inputs!$B$13)*Inputs!$B$3*Inputs!$B$7*(BG4+Inputs!$B$8)/12</f>
        <v>0</v>
      </c>
      <c r="BH7" s="0" t="n">
        <f aca="false">(BH$3&gt;=1)*(BH$3&lt;=Inputs!$B$13)*Inputs!$B$3*Inputs!$B$7*(BH4+Inputs!$B$8)/12</f>
        <v>0</v>
      </c>
      <c r="BI7" s="0" t="n">
        <f aca="false">(BI$3&gt;=1)*(BI$3&lt;=Inputs!$B$13)*Inputs!$B$3*Inputs!$B$7*(BI4+Inputs!$B$8)/12</f>
        <v>0</v>
      </c>
      <c r="BJ7" s="0" t="n">
        <f aca="false">(BJ$3&gt;=1)*(BJ$3&lt;=Inputs!$B$13)*Inputs!$B$3*Inputs!$B$7*(BJ4+Inputs!$B$8)/12</f>
        <v>0</v>
      </c>
    </row>
    <row r="8" customFormat="false" ht="15" hidden="false" customHeight="false" outlineLevel="0" collapsed="false">
      <c r="A8" s="0" t="s">
        <v>27</v>
      </c>
      <c r="B8" s="0" t="n">
        <f aca="false">(B$3&gt;=1)*(B$3&lt;=Inputs!$B$13)*Inputs!$B$3*Inputs!$B$7*Inputs!$B$9*(Inputs!$B$10-B4)/12</f>
        <v>0</v>
      </c>
      <c r="C8" s="0" t="n">
        <f aca="false">(C$3&gt;=1)*(C$3&lt;=Inputs!$B$13)*Inputs!$B$3*Inputs!$B$7*Inputs!$B$9*(Inputs!$B$10-C4)/12</f>
        <v>-21983</v>
      </c>
      <c r="D8" s="0" t="n">
        <f aca="false">(D$3&gt;=1)*(D$3&lt;=Inputs!$B$13)*Inputs!$B$3*Inputs!$B$7*Inputs!$B$9*(Inputs!$B$10-D4)/12</f>
        <v>-21294</v>
      </c>
      <c r="E8" s="0" t="n">
        <f aca="false">(E$3&gt;=1)*(E$3&lt;=Inputs!$B$13)*Inputs!$B$3*Inputs!$B$7*Inputs!$B$9*(Inputs!$B$10-E4)/12</f>
        <v>-20670</v>
      </c>
      <c r="F8" s="0" t="n">
        <f aca="false">(F$3&gt;=1)*(F$3&lt;=Inputs!$B$13)*Inputs!$B$3*Inputs!$B$7*Inputs!$B$9*(Inputs!$B$10-F4)/12</f>
        <v>-20091.5</v>
      </c>
      <c r="G8" s="0" t="n">
        <f aca="false">(G$3&gt;=1)*(G$3&lt;=Inputs!$B$13)*Inputs!$B$3*Inputs!$B$7*Inputs!$B$9*(Inputs!$B$10-G4)/12</f>
        <v>-19545.5</v>
      </c>
      <c r="H8" s="0" t="n">
        <f aca="false">(H$3&gt;=1)*(H$3&lt;=Inputs!$B$13)*Inputs!$B$3*Inputs!$B$7*Inputs!$B$9*(Inputs!$B$10-H4)/12</f>
        <v>-19022.25</v>
      </c>
      <c r="I8" s="0" t="n">
        <f aca="false">(I$3&gt;=1)*(I$3&lt;=Inputs!$B$13)*Inputs!$B$3*Inputs!$B$7*Inputs!$B$9*(Inputs!$B$10-I4)/12</f>
        <v>-18502.25</v>
      </c>
      <c r="J8" s="0" t="n">
        <f aca="false">(J$3&gt;=1)*(J$3&lt;=Inputs!$B$13)*Inputs!$B$3*Inputs!$B$7*Inputs!$B$9*(Inputs!$B$10-J4)/12</f>
        <v>-17979</v>
      </c>
      <c r="K8" s="0" t="n">
        <f aca="false">(K$3&gt;=1)*(K$3&lt;=Inputs!$B$13)*Inputs!$B$3*Inputs!$B$7*Inputs!$B$9*(Inputs!$B$10-K4)/12</f>
        <v>-17439.5</v>
      </c>
      <c r="L8" s="0" t="n">
        <f aca="false">(L$3&gt;=1)*(L$3&lt;=Inputs!$B$13)*Inputs!$B$3*Inputs!$B$7*Inputs!$B$9*(Inputs!$B$10-L4)/12</f>
        <v>-16870.75</v>
      </c>
      <c r="M8" s="0" t="n">
        <f aca="false">(M$3&gt;=1)*(M$3&lt;=Inputs!$B$13)*Inputs!$B$3*Inputs!$B$7*Inputs!$B$9*(Inputs!$B$10-M4)/12</f>
        <v>-16269.5</v>
      </c>
      <c r="N8" s="0" t="n">
        <f aca="false">(N$3&gt;=1)*(N$3&lt;=Inputs!$B$13)*Inputs!$B$3*Inputs!$B$7*Inputs!$B$9*(Inputs!$B$10-N4)/12</f>
        <v>-15622.75</v>
      </c>
      <c r="O8" s="0" t="n">
        <f aca="false">(O$3&gt;=1)*(O$3&lt;=Inputs!$B$13)*Inputs!$B$3*Inputs!$B$7*Inputs!$B$9*(Inputs!$B$10-O4)/12</f>
        <v>-14930.5</v>
      </c>
      <c r="P8" s="0" t="n">
        <f aca="false">(P$3&gt;=1)*(P$3&lt;=Inputs!$B$13)*Inputs!$B$3*Inputs!$B$7*Inputs!$B$9*(Inputs!$B$10-P4)/12</f>
        <v>-14183</v>
      </c>
      <c r="Q8" s="0" t="n">
        <f aca="false">(Q$3&gt;=1)*(Q$3&lt;=Inputs!$B$13)*Inputs!$B$3*Inputs!$B$7*Inputs!$B$9*(Inputs!$B$10-Q4)/12</f>
        <v>-13380.25</v>
      </c>
      <c r="R8" s="0" t="n">
        <f aca="false">(R$3&gt;=1)*(R$3&lt;=Inputs!$B$13)*Inputs!$B$3*Inputs!$B$7*Inputs!$B$9*(Inputs!$B$10-R4)/12</f>
        <v>-12519</v>
      </c>
      <c r="S8" s="0" t="n">
        <f aca="false">(S$3&gt;=1)*(S$3&lt;=Inputs!$B$13)*Inputs!$B$3*Inputs!$B$7*Inputs!$B$9*(Inputs!$B$10-S4)/12</f>
        <v>-11599.25</v>
      </c>
      <c r="T8" s="0" t="n">
        <f aca="false">(T$3&gt;=1)*(T$3&lt;=Inputs!$B$13)*Inputs!$B$3*Inputs!$B$7*Inputs!$B$9*(Inputs!$B$10-T4)/12</f>
        <v>-10621</v>
      </c>
      <c r="U8" s="0" t="n">
        <f aca="false">(U$3&gt;=1)*(U$3&lt;=Inputs!$B$13)*Inputs!$B$3*Inputs!$B$7*Inputs!$B$9*(Inputs!$B$10-U4)/12</f>
        <v>-9587.5</v>
      </c>
      <c r="V8" s="0" t="n">
        <f aca="false">(V$3&gt;=1)*(V$3&lt;=Inputs!$B$13)*Inputs!$B$3*Inputs!$B$7*Inputs!$B$9*(Inputs!$B$10-V4)/12</f>
        <v>-8498.75</v>
      </c>
      <c r="W8" s="0" t="n">
        <f aca="false">(W$3&gt;=1)*(W$3&lt;=Inputs!$B$13)*Inputs!$B$3*Inputs!$B$7*Inputs!$B$9*(Inputs!$B$10-W4)/12</f>
        <v>-7364.50000000001</v>
      </c>
      <c r="X8" s="0" t="n">
        <f aca="false">(X$3&gt;=1)*(X$3&lt;=Inputs!$B$13)*Inputs!$B$3*Inputs!$B$7*Inputs!$B$9*(Inputs!$B$10-X4)/12</f>
        <v>-6188.00000000001</v>
      </c>
      <c r="Y8" s="0" t="n">
        <f aca="false">(Y$3&gt;=1)*(Y$3&lt;=Inputs!$B$13)*Inputs!$B$3*Inputs!$B$7*Inputs!$B$9*(Inputs!$B$10-Y4)/12</f>
        <v>-4972.50000000001</v>
      </c>
      <c r="Z8" s="0" t="n">
        <f aca="false">(Z$3&gt;=1)*(Z$3&lt;=Inputs!$B$13)*Inputs!$B$3*Inputs!$B$7*Inputs!$B$9*(Inputs!$B$10-Z4)/12</f>
        <v>-3727.75000000001</v>
      </c>
      <c r="AA8" s="0" t="n">
        <f aca="false">(AA$3&gt;=1)*(AA$3&lt;=Inputs!$B$13)*Inputs!$B$3*Inputs!$B$7*Inputs!$B$9*(Inputs!$B$10-AA4)/12</f>
        <v>-2463.50000000001</v>
      </c>
      <c r="AB8" s="0" t="n">
        <f aca="false">(AB$3&gt;=1)*(AB$3&lt;=Inputs!$B$13)*Inputs!$B$3*Inputs!$B$7*Inputs!$B$9*(Inputs!$B$10-AB4)/12</f>
        <v>-1189.50000000002</v>
      </c>
      <c r="AC8" s="0" t="n">
        <f aca="false">(AC$3&gt;=1)*(AC$3&lt;=Inputs!$B$13)*Inputs!$B$3*Inputs!$B$7*Inputs!$B$9*(Inputs!$B$10-AC4)/12</f>
        <v>87.7499999999976</v>
      </c>
      <c r="AD8" s="0" t="n">
        <f aca="false">(AD$3&gt;=1)*(AD$3&lt;=Inputs!$B$13)*Inputs!$B$3*Inputs!$B$7*Inputs!$B$9*(Inputs!$B$10-AD4)/12</f>
        <v>1361.74999999999</v>
      </c>
      <c r="AE8" s="0" t="n">
        <f aca="false">(AE$3&gt;=1)*(AE$3&lt;=Inputs!$B$13)*Inputs!$B$3*Inputs!$B$7*Inputs!$B$9*(Inputs!$B$10-AE4)/12</f>
        <v>2616.25</v>
      </c>
      <c r="AF8" s="0" t="n">
        <f aca="false">(AF$3&gt;=1)*(AF$3&lt;=Inputs!$B$13)*Inputs!$B$3*Inputs!$B$7*Inputs!$B$9*(Inputs!$B$10-AF4)/12</f>
        <v>3841.49999999999</v>
      </c>
      <c r="AG8" s="0" t="n">
        <f aca="false">(AG$3&gt;=1)*(AG$3&lt;=Inputs!$B$13)*Inputs!$B$3*Inputs!$B$7*Inputs!$B$9*(Inputs!$B$10-AG4)/12</f>
        <v>5030.99999999998</v>
      </c>
      <c r="AH8" s="0" t="n">
        <f aca="false">(AH$3&gt;=1)*(AH$3&lt;=Inputs!$B$13)*Inputs!$B$3*Inputs!$B$7*Inputs!$B$9*(Inputs!$B$10-AH4)/12</f>
        <v>6175</v>
      </c>
      <c r="AI8" s="0" t="n">
        <f aca="false">(AI$3&gt;=1)*(AI$3&lt;=Inputs!$B$13)*Inputs!$B$3*Inputs!$B$7*Inputs!$B$9*(Inputs!$B$10-AI4)/12</f>
        <v>7260.5</v>
      </c>
      <c r="AJ8" s="0" t="n">
        <f aca="false">(AJ$3&gt;=1)*(AJ$3&lt;=Inputs!$B$13)*Inputs!$B$3*Inputs!$B$7*Inputs!$B$9*(Inputs!$B$10-AJ4)/12</f>
        <v>8284.24999999999</v>
      </c>
      <c r="AK8" s="0" t="n">
        <f aca="false">(AK$3&gt;=1)*(AK$3&lt;=Inputs!$B$13)*Inputs!$B$3*Inputs!$B$7*Inputs!$B$9*(Inputs!$B$10-AK4)/12</f>
        <v>9229.99999999998</v>
      </c>
      <c r="AL8" s="0" t="n">
        <f aca="false">(AL$3&gt;=1)*(AL$3&lt;=Inputs!$B$13)*Inputs!$B$3*Inputs!$B$7*Inputs!$B$9*(Inputs!$B$10-AL4)/12</f>
        <v>10094.5</v>
      </c>
      <c r="AM8" s="0" t="n">
        <f aca="false">(AM$3&gt;=1)*(AM$3&lt;=Inputs!$B$13)*Inputs!$B$3*Inputs!$B$7*Inputs!$B$9*(Inputs!$B$10-AM4)/12</f>
        <v>0</v>
      </c>
      <c r="AN8" s="0" t="n">
        <f aca="false">(AN$3&gt;=1)*(AN$3&lt;=Inputs!$B$13)*Inputs!$B$3*Inputs!$B$7*Inputs!$B$9*(Inputs!$B$10-AN4)/12</f>
        <v>0</v>
      </c>
      <c r="AO8" s="0" t="n">
        <f aca="false">(AO$3&gt;=1)*(AO$3&lt;=Inputs!$B$13)*Inputs!$B$3*Inputs!$B$7*Inputs!$B$9*(Inputs!$B$10-AO4)/12</f>
        <v>0</v>
      </c>
      <c r="AP8" s="0" t="n">
        <f aca="false">(AP$3&gt;=1)*(AP$3&lt;=Inputs!$B$13)*Inputs!$B$3*Inputs!$B$7*Inputs!$B$9*(Inputs!$B$10-AP4)/12</f>
        <v>0</v>
      </c>
      <c r="AQ8" s="0" t="n">
        <f aca="false">(AQ$3&gt;=1)*(AQ$3&lt;=Inputs!$B$13)*Inputs!$B$3*Inputs!$B$7*Inputs!$B$9*(Inputs!$B$10-AQ4)/12</f>
        <v>0</v>
      </c>
      <c r="AR8" s="0" t="n">
        <f aca="false">(AR$3&gt;=1)*(AR$3&lt;=Inputs!$B$13)*Inputs!$B$3*Inputs!$B$7*Inputs!$B$9*(Inputs!$B$10-AR4)/12</f>
        <v>0</v>
      </c>
      <c r="AS8" s="0" t="n">
        <f aca="false">(AS$3&gt;=1)*(AS$3&lt;=Inputs!$B$13)*Inputs!$B$3*Inputs!$B$7*Inputs!$B$9*(Inputs!$B$10-AS4)/12</f>
        <v>0</v>
      </c>
      <c r="AT8" s="0" t="n">
        <f aca="false">(AT$3&gt;=1)*(AT$3&lt;=Inputs!$B$13)*Inputs!$B$3*Inputs!$B$7*Inputs!$B$9*(Inputs!$B$10-AT4)/12</f>
        <v>0</v>
      </c>
      <c r="AU8" s="0" t="n">
        <f aca="false">(AU$3&gt;=1)*(AU$3&lt;=Inputs!$B$13)*Inputs!$B$3*Inputs!$B$7*Inputs!$B$9*(Inputs!$B$10-AU4)/12</f>
        <v>0</v>
      </c>
      <c r="AV8" s="0" t="n">
        <f aca="false">(AV$3&gt;=1)*(AV$3&lt;=Inputs!$B$13)*Inputs!$B$3*Inputs!$B$7*Inputs!$B$9*(Inputs!$B$10-AV4)/12</f>
        <v>0</v>
      </c>
      <c r="AW8" s="0" t="n">
        <f aca="false">(AW$3&gt;=1)*(AW$3&lt;=Inputs!$B$13)*Inputs!$B$3*Inputs!$B$7*Inputs!$B$9*(Inputs!$B$10-AW4)/12</f>
        <v>0</v>
      </c>
      <c r="AX8" s="0" t="n">
        <f aca="false">(AX$3&gt;=1)*(AX$3&lt;=Inputs!$B$13)*Inputs!$B$3*Inputs!$B$7*Inputs!$B$9*(Inputs!$B$10-AX4)/12</f>
        <v>0</v>
      </c>
      <c r="AY8" s="0" t="n">
        <f aca="false">(AY$3&gt;=1)*(AY$3&lt;=Inputs!$B$13)*Inputs!$B$3*Inputs!$B$7*Inputs!$B$9*(Inputs!$B$10-AY4)/12</f>
        <v>0</v>
      </c>
      <c r="AZ8" s="0" t="n">
        <f aca="false">(AZ$3&gt;=1)*(AZ$3&lt;=Inputs!$B$13)*Inputs!$B$3*Inputs!$B$7*Inputs!$B$9*(Inputs!$B$10-AZ4)/12</f>
        <v>0</v>
      </c>
      <c r="BA8" s="0" t="n">
        <f aca="false">(BA$3&gt;=1)*(BA$3&lt;=Inputs!$B$13)*Inputs!$B$3*Inputs!$B$7*Inputs!$B$9*(Inputs!$B$10-BA4)/12</f>
        <v>0</v>
      </c>
      <c r="BB8" s="0" t="n">
        <f aca="false">(BB$3&gt;=1)*(BB$3&lt;=Inputs!$B$13)*Inputs!$B$3*Inputs!$B$7*Inputs!$B$9*(Inputs!$B$10-BB4)/12</f>
        <v>0</v>
      </c>
      <c r="BC8" s="0" t="n">
        <f aca="false">(BC$3&gt;=1)*(BC$3&lt;=Inputs!$B$13)*Inputs!$B$3*Inputs!$B$7*Inputs!$B$9*(Inputs!$B$10-BC4)/12</f>
        <v>0</v>
      </c>
      <c r="BD8" s="0" t="n">
        <f aca="false">(BD$3&gt;=1)*(BD$3&lt;=Inputs!$B$13)*Inputs!$B$3*Inputs!$B$7*Inputs!$B$9*(Inputs!$B$10-BD4)/12</f>
        <v>0</v>
      </c>
      <c r="BE8" s="0" t="n">
        <f aca="false">(BE$3&gt;=1)*(BE$3&lt;=Inputs!$B$13)*Inputs!$B$3*Inputs!$B$7*Inputs!$B$9*(Inputs!$B$10-BE4)/12</f>
        <v>0</v>
      </c>
      <c r="BF8" s="0" t="n">
        <f aca="false">(BF$3&gt;=1)*(BF$3&lt;=Inputs!$B$13)*Inputs!$B$3*Inputs!$B$7*Inputs!$B$9*(Inputs!$B$10-BF4)/12</f>
        <v>0</v>
      </c>
      <c r="BG8" s="0" t="n">
        <f aca="false">(BG$3&gt;=1)*(BG$3&lt;=Inputs!$B$13)*Inputs!$B$3*Inputs!$B$7*Inputs!$B$9*(Inputs!$B$10-BG4)/12</f>
        <v>0</v>
      </c>
      <c r="BH8" s="0" t="n">
        <f aca="false">(BH$3&gt;=1)*(BH$3&lt;=Inputs!$B$13)*Inputs!$B$3*Inputs!$B$7*Inputs!$B$9*(Inputs!$B$10-BH4)/12</f>
        <v>0</v>
      </c>
      <c r="BI8" s="0" t="n">
        <f aca="false">(BI$3&gt;=1)*(BI$3&lt;=Inputs!$B$13)*Inputs!$B$3*Inputs!$B$7*Inputs!$B$9*(Inputs!$B$10-BI4)/12</f>
        <v>0</v>
      </c>
      <c r="BJ8" s="0" t="n">
        <f aca="false">(BJ$3&gt;=1)*(BJ$3&lt;=Inputs!$B$13)*Inputs!$B$3*Inputs!$B$7*Inputs!$B$9*(Inputs!$B$10-BJ4)/12</f>
        <v>0</v>
      </c>
    </row>
    <row r="9" customFormat="false" ht="15" hidden="false" customHeight="false" outlineLevel="0" collapsed="false">
      <c r="A9" s="0" t="s">
        <v>28</v>
      </c>
      <c r="B9" s="0" t="n">
        <f aca="false">(B$3&gt;=1)*(B$3&lt;=Inputs!$B$13)*Inputs!$B$3*Inputs!$B$7*(1-Inputs!$B$9)*MAX(0,B4-Inputs!$B$11)/12</f>
        <v>0</v>
      </c>
      <c r="C9" s="0" t="n">
        <f aca="false">(C$3&gt;=1)*(C$3&lt;=Inputs!$B$13)*Inputs!$B$3*Inputs!$B$7*(1-Inputs!$B$9)*MAX(0,C4-Inputs!$B$11)/12</f>
        <v>0</v>
      </c>
      <c r="D9" s="0" t="n">
        <f aca="false">(D$3&gt;=1)*(D$3&lt;=Inputs!$B$13)*Inputs!$B$3*Inputs!$B$7*(1-Inputs!$B$9)*MAX(0,D4-Inputs!$B$11)/12</f>
        <v>0</v>
      </c>
      <c r="E9" s="0" t="n">
        <f aca="false">(E$3&gt;=1)*(E$3&lt;=Inputs!$B$13)*Inputs!$B$3*Inputs!$B$7*(1-Inputs!$B$9)*MAX(0,E4-Inputs!$B$11)/12</f>
        <v>0</v>
      </c>
      <c r="F9" s="0" t="n">
        <f aca="false">(F$3&gt;=1)*(F$3&lt;=Inputs!$B$13)*Inputs!$B$3*Inputs!$B$7*(1-Inputs!$B$9)*MAX(0,F4-Inputs!$B$11)/12</f>
        <v>0</v>
      </c>
      <c r="G9" s="0" t="n">
        <f aca="false">(G$3&gt;=1)*(G$3&lt;=Inputs!$B$13)*Inputs!$B$3*Inputs!$B$7*(1-Inputs!$B$9)*MAX(0,G4-Inputs!$B$11)/12</f>
        <v>0</v>
      </c>
      <c r="H9" s="0" t="n">
        <f aca="false">(H$3&gt;=1)*(H$3&lt;=Inputs!$B$13)*Inputs!$B$3*Inputs!$B$7*(1-Inputs!$B$9)*MAX(0,H4-Inputs!$B$11)/12</f>
        <v>0</v>
      </c>
      <c r="I9" s="0" t="n">
        <f aca="false">(I$3&gt;=1)*(I$3&lt;=Inputs!$B$13)*Inputs!$B$3*Inputs!$B$7*(1-Inputs!$B$9)*MAX(0,I4-Inputs!$B$11)/12</f>
        <v>0</v>
      </c>
      <c r="J9" s="0" t="n">
        <f aca="false">(J$3&gt;=1)*(J$3&lt;=Inputs!$B$13)*Inputs!$B$3*Inputs!$B$7*(1-Inputs!$B$9)*MAX(0,J4-Inputs!$B$11)/12</f>
        <v>0</v>
      </c>
      <c r="K9" s="0" t="n">
        <f aca="false">(K$3&gt;=1)*(K$3&lt;=Inputs!$B$13)*Inputs!$B$3*Inputs!$B$7*(1-Inputs!$B$9)*MAX(0,K4-Inputs!$B$11)/12</f>
        <v>0</v>
      </c>
      <c r="L9" s="0" t="n">
        <f aca="false">(L$3&gt;=1)*(L$3&lt;=Inputs!$B$13)*Inputs!$B$3*Inputs!$B$7*(1-Inputs!$B$9)*MAX(0,L4-Inputs!$B$11)/12</f>
        <v>0</v>
      </c>
      <c r="M9" s="0" t="n">
        <f aca="false">(M$3&gt;=1)*(M$3&lt;=Inputs!$B$13)*Inputs!$B$3*Inputs!$B$7*(1-Inputs!$B$9)*MAX(0,M4-Inputs!$B$11)/12</f>
        <v>0</v>
      </c>
      <c r="N9" s="0" t="n">
        <f aca="false">(N$3&gt;=1)*(N$3&lt;=Inputs!$B$13)*Inputs!$B$3*Inputs!$B$7*(1-Inputs!$B$9)*MAX(0,N4-Inputs!$B$11)/12</f>
        <v>0</v>
      </c>
      <c r="O9" s="0" t="n">
        <f aca="false">(O$3&gt;=1)*(O$3&lt;=Inputs!$B$13)*Inputs!$B$3*Inputs!$B$7*(1-Inputs!$B$9)*MAX(0,O4-Inputs!$B$11)/12</f>
        <v>0</v>
      </c>
      <c r="P9" s="0" t="n">
        <f aca="false">(P$3&gt;=1)*(P$3&lt;=Inputs!$B$13)*Inputs!$B$3*Inputs!$B$7*(1-Inputs!$B$9)*MAX(0,P4-Inputs!$B$11)/12</f>
        <v>0</v>
      </c>
      <c r="Q9" s="0" t="n">
        <f aca="false">(Q$3&gt;=1)*(Q$3&lt;=Inputs!$B$13)*Inputs!$B$3*Inputs!$B$7*(1-Inputs!$B$9)*MAX(0,Q4-Inputs!$B$11)/12</f>
        <v>0</v>
      </c>
      <c r="R9" s="0" t="n">
        <f aca="false">(R$3&gt;=1)*(R$3&lt;=Inputs!$B$13)*Inputs!$B$3*Inputs!$B$7*(1-Inputs!$B$9)*MAX(0,R4-Inputs!$B$11)/12</f>
        <v>0</v>
      </c>
      <c r="S9" s="0" t="n">
        <f aca="false">(S$3&gt;=1)*(S$3&lt;=Inputs!$B$13)*Inputs!$B$3*Inputs!$B$7*(1-Inputs!$B$9)*MAX(0,S4-Inputs!$B$11)/12</f>
        <v>0</v>
      </c>
      <c r="T9" s="0" t="n">
        <f aca="false">(T$3&gt;=1)*(T$3&lt;=Inputs!$B$13)*Inputs!$B$3*Inputs!$B$7*(1-Inputs!$B$9)*MAX(0,T4-Inputs!$B$11)/12</f>
        <v>0</v>
      </c>
      <c r="U9" s="0" t="n">
        <f aca="false">(U$3&gt;=1)*(U$3&lt;=Inputs!$B$13)*Inputs!$B$3*Inputs!$B$7*(1-Inputs!$B$9)*MAX(0,U4-Inputs!$B$11)/12</f>
        <v>0</v>
      </c>
      <c r="V9" s="0" t="n">
        <f aca="false">(V$3&gt;=1)*(V$3&lt;=Inputs!$B$13)*Inputs!$B$3*Inputs!$B$7*(1-Inputs!$B$9)*MAX(0,V4-Inputs!$B$11)/12</f>
        <v>0</v>
      </c>
      <c r="W9" s="0" t="n">
        <f aca="false">(W$3&gt;=1)*(W$3&lt;=Inputs!$B$13)*Inputs!$B$3*Inputs!$B$7*(1-Inputs!$B$9)*MAX(0,W4-Inputs!$B$11)/12</f>
        <v>0</v>
      </c>
      <c r="X9" s="0" t="n">
        <f aca="false">(X$3&gt;=1)*(X$3&lt;=Inputs!$B$13)*Inputs!$B$3*Inputs!$B$7*(1-Inputs!$B$9)*MAX(0,X4-Inputs!$B$11)/12</f>
        <v>0</v>
      </c>
      <c r="Y9" s="0" t="n">
        <f aca="false">(Y$3&gt;=1)*(Y$3&lt;=Inputs!$B$13)*Inputs!$B$3*Inputs!$B$7*(1-Inputs!$B$9)*MAX(0,Y4-Inputs!$B$11)/12</f>
        <v>0</v>
      </c>
      <c r="Z9" s="0" t="n">
        <f aca="false">(Z$3&gt;=1)*(Z$3&lt;=Inputs!$B$13)*Inputs!$B$3*Inputs!$B$7*(1-Inputs!$B$9)*MAX(0,Z4-Inputs!$B$11)/12</f>
        <v>0</v>
      </c>
      <c r="AA9" s="0" t="n">
        <f aca="false">(AA$3&gt;=1)*(AA$3&lt;=Inputs!$B$13)*Inputs!$B$3*Inputs!$B$7*(1-Inputs!$B$9)*MAX(0,AA4-Inputs!$B$11)/12</f>
        <v>0</v>
      </c>
      <c r="AB9" s="0" t="n">
        <f aca="false">(AB$3&gt;=1)*(AB$3&lt;=Inputs!$B$13)*Inputs!$B$3*Inputs!$B$7*(1-Inputs!$B$9)*MAX(0,AB4-Inputs!$B$11)/12</f>
        <v>0</v>
      </c>
      <c r="AC9" s="0" t="n">
        <f aca="false">(AC$3&gt;=1)*(AC$3&lt;=Inputs!$B$13)*Inputs!$B$3*Inputs!$B$7*(1-Inputs!$B$9)*MAX(0,AC4-Inputs!$B$11)/12</f>
        <v>0</v>
      </c>
      <c r="AD9" s="0" t="n">
        <f aca="false">(AD$3&gt;=1)*(AD$3&lt;=Inputs!$B$13)*Inputs!$B$3*Inputs!$B$7*(1-Inputs!$B$9)*MAX(0,AD4-Inputs!$B$11)/12</f>
        <v>0</v>
      </c>
      <c r="AE9" s="0" t="n">
        <f aca="false">(AE$3&gt;=1)*(AE$3&lt;=Inputs!$B$13)*Inputs!$B$3*Inputs!$B$7*(1-Inputs!$B$9)*MAX(0,AE4-Inputs!$B$11)/12</f>
        <v>0</v>
      </c>
      <c r="AF9" s="0" t="n">
        <f aca="false">(AF$3&gt;=1)*(AF$3&lt;=Inputs!$B$13)*Inputs!$B$3*Inputs!$B$7*(1-Inputs!$B$9)*MAX(0,AF4-Inputs!$B$11)/12</f>
        <v>0</v>
      </c>
      <c r="AG9" s="0" t="n">
        <f aca="false">(AG$3&gt;=1)*(AG$3&lt;=Inputs!$B$13)*Inputs!$B$3*Inputs!$B$7*(1-Inputs!$B$9)*MAX(0,AG4-Inputs!$B$11)/12</f>
        <v>0</v>
      </c>
      <c r="AH9" s="0" t="n">
        <f aca="false">(AH$3&gt;=1)*(AH$3&lt;=Inputs!$B$13)*Inputs!$B$3*Inputs!$B$7*(1-Inputs!$B$9)*MAX(0,AH4-Inputs!$B$11)/12</f>
        <v>0</v>
      </c>
      <c r="AI9" s="0" t="n">
        <f aca="false">(AI$3&gt;=1)*(AI$3&lt;=Inputs!$B$13)*Inputs!$B$3*Inputs!$B$7*(1-Inputs!$B$9)*MAX(0,AI4-Inputs!$B$11)/12</f>
        <v>0</v>
      </c>
      <c r="AJ9" s="0" t="n">
        <f aca="false">(AJ$3&gt;=1)*(AJ$3&lt;=Inputs!$B$13)*Inputs!$B$3*Inputs!$B$7*(1-Inputs!$B$9)*MAX(0,AJ4-Inputs!$B$11)/12</f>
        <v>0</v>
      </c>
      <c r="AK9" s="0" t="n">
        <f aca="false">(AK$3&gt;=1)*(AK$3&lt;=Inputs!$B$13)*Inputs!$B$3*Inputs!$B$7*(1-Inputs!$B$9)*MAX(0,AK4-Inputs!$B$11)/12</f>
        <v>0</v>
      </c>
      <c r="AL9" s="0" t="n">
        <f aca="false">(AL$3&gt;=1)*(AL$3&lt;=Inputs!$B$13)*Inputs!$B$3*Inputs!$B$7*(1-Inputs!$B$9)*MAX(0,AL4-Inputs!$B$11)/12</f>
        <v>0</v>
      </c>
      <c r="AM9" s="0" t="n">
        <f aca="false">(AM$3&gt;=1)*(AM$3&lt;=Inputs!$B$13)*Inputs!$B$3*Inputs!$B$7*(1-Inputs!$B$9)*MAX(0,AM4-Inputs!$B$11)/12</f>
        <v>0</v>
      </c>
      <c r="AN9" s="0" t="n">
        <f aca="false">(AN$3&gt;=1)*(AN$3&lt;=Inputs!$B$13)*Inputs!$B$3*Inputs!$B$7*(1-Inputs!$B$9)*MAX(0,AN4-Inputs!$B$11)/12</f>
        <v>0</v>
      </c>
      <c r="AO9" s="0" t="n">
        <f aca="false">(AO$3&gt;=1)*(AO$3&lt;=Inputs!$B$13)*Inputs!$B$3*Inputs!$B$7*(1-Inputs!$B$9)*MAX(0,AO4-Inputs!$B$11)/12</f>
        <v>0</v>
      </c>
      <c r="AP9" s="0" t="n">
        <f aca="false">(AP$3&gt;=1)*(AP$3&lt;=Inputs!$B$13)*Inputs!$B$3*Inputs!$B$7*(1-Inputs!$B$9)*MAX(0,AP4-Inputs!$B$11)/12</f>
        <v>0</v>
      </c>
      <c r="AQ9" s="0" t="n">
        <f aca="false">(AQ$3&gt;=1)*(AQ$3&lt;=Inputs!$B$13)*Inputs!$B$3*Inputs!$B$7*(1-Inputs!$B$9)*MAX(0,AQ4-Inputs!$B$11)/12</f>
        <v>0</v>
      </c>
      <c r="AR9" s="0" t="n">
        <f aca="false">(AR$3&gt;=1)*(AR$3&lt;=Inputs!$B$13)*Inputs!$B$3*Inputs!$B$7*(1-Inputs!$B$9)*MAX(0,AR4-Inputs!$B$11)/12</f>
        <v>0</v>
      </c>
      <c r="AS9" s="0" t="n">
        <f aca="false">(AS$3&gt;=1)*(AS$3&lt;=Inputs!$B$13)*Inputs!$B$3*Inputs!$B$7*(1-Inputs!$B$9)*MAX(0,AS4-Inputs!$B$11)/12</f>
        <v>0</v>
      </c>
      <c r="AT9" s="0" t="n">
        <f aca="false">(AT$3&gt;=1)*(AT$3&lt;=Inputs!$B$13)*Inputs!$B$3*Inputs!$B$7*(1-Inputs!$B$9)*MAX(0,AT4-Inputs!$B$11)/12</f>
        <v>0</v>
      </c>
      <c r="AU9" s="0" t="n">
        <f aca="false">(AU$3&gt;=1)*(AU$3&lt;=Inputs!$B$13)*Inputs!$B$3*Inputs!$B$7*(1-Inputs!$B$9)*MAX(0,AU4-Inputs!$B$11)/12</f>
        <v>0</v>
      </c>
      <c r="AV9" s="0" t="n">
        <f aca="false">(AV$3&gt;=1)*(AV$3&lt;=Inputs!$B$13)*Inputs!$B$3*Inputs!$B$7*(1-Inputs!$B$9)*MAX(0,AV4-Inputs!$B$11)/12</f>
        <v>0</v>
      </c>
      <c r="AW9" s="0" t="n">
        <f aca="false">(AW$3&gt;=1)*(AW$3&lt;=Inputs!$B$13)*Inputs!$B$3*Inputs!$B$7*(1-Inputs!$B$9)*MAX(0,AW4-Inputs!$B$11)/12</f>
        <v>0</v>
      </c>
      <c r="AX9" s="0" t="n">
        <f aca="false">(AX$3&gt;=1)*(AX$3&lt;=Inputs!$B$13)*Inputs!$B$3*Inputs!$B$7*(1-Inputs!$B$9)*MAX(0,AX4-Inputs!$B$11)/12</f>
        <v>0</v>
      </c>
      <c r="AY9" s="0" t="n">
        <f aca="false">(AY$3&gt;=1)*(AY$3&lt;=Inputs!$B$13)*Inputs!$B$3*Inputs!$B$7*(1-Inputs!$B$9)*MAX(0,AY4-Inputs!$B$11)/12</f>
        <v>0</v>
      </c>
      <c r="AZ9" s="0" t="n">
        <f aca="false">(AZ$3&gt;=1)*(AZ$3&lt;=Inputs!$B$13)*Inputs!$B$3*Inputs!$B$7*(1-Inputs!$B$9)*MAX(0,AZ4-Inputs!$B$11)/12</f>
        <v>0</v>
      </c>
      <c r="BA9" s="0" t="n">
        <f aca="false">(BA$3&gt;=1)*(BA$3&lt;=Inputs!$B$13)*Inputs!$B$3*Inputs!$B$7*(1-Inputs!$B$9)*MAX(0,BA4-Inputs!$B$11)/12</f>
        <v>0</v>
      </c>
      <c r="BB9" s="0" t="n">
        <f aca="false">(BB$3&gt;=1)*(BB$3&lt;=Inputs!$B$13)*Inputs!$B$3*Inputs!$B$7*(1-Inputs!$B$9)*MAX(0,BB4-Inputs!$B$11)/12</f>
        <v>0</v>
      </c>
      <c r="BC9" s="0" t="n">
        <f aca="false">(BC$3&gt;=1)*(BC$3&lt;=Inputs!$B$13)*Inputs!$B$3*Inputs!$B$7*(1-Inputs!$B$9)*MAX(0,BC4-Inputs!$B$11)/12</f>
        <v>0</v>
      </c>
      <c r="BD9" s="0" t="n">
        <f aca="false">(BD$3&gt;=1)*(BD$3&lt;=Inputs!$B$13)*Inputs!$B$3*Inputs!$B$7*(1-Inputs!$B$9)*MAX(0,BD4-Inputs!$B$11)/12</f>
        <v>0</v>
      </c>
      <c r="BE9" s="0" t="n">
        <f aca="false">(BE$3&gt;=1)*(BE$3&lt;=Inputs!$B$13)*Inputs!$B$3*Inputs!$B$7*(1-Inputs!$B$9)*MAX(0,BE4-Inputs!$B$11)/12</f>
        <v>0</v>
      </c>
      <c r="BF9" s="0" t="n">
        <f aca="false">(BF$3&gt;=1)*(BF$3&lt;=Inputs!$B$13)*Inputs!$B$3*Inputs!$B$7*(1-Inputs!$B$9)*MAX(0,BF4-Inputs!$B$11)/12</f>
        <v>0</v>
      </c>
      <c r="BG9" s="0" t="n">
        <f aca="false">(BG$3&gt;=1)*(BG$3&lt;=Inputs!$B$13)*Inputs!$B$3*Inputs!$B$7*(1-Inputs!$B$9)*MAX(0,BG4-Inputs!$B$11)/12</f>
        <v>0</v>
      </c>
      <c r="BH9" s="0" t="n">
        <f aca="false">(BH$3&gt;=1)*(BH$3&lt;=Inputs!$B$13)*Inputs!$B$3*Inputs!$B$7*(1-Inputs!$B$9)*MAX(0,BH4-Inputs!$B$11)/12</f>
        <v>0</v>
      </c>
      <c r="BI9" s="0" t="n">
        <f aca="false">(BI$3&gt;=1)*(BI$3&lt;=Inputs!$B$13)*Inputs!$B$3*Inputs!$B$7*(1-Inputs!$B$9)*MAX(0,BI4-Inputs!$B$11)/12</f>
        <v>0</v>
      </c>
      <c r="BJ9" s="0" t="n">
        <f aca="false">(BJ$3&gt;=1)*(BJ$3&lt;=Inputs!$B$13)*Inputs!$B$3*Inputs!$B$7*(1-Inputs!$B$9)*MAX(0,BJ4-Inputs!$B$11)/12</f>
        <v>0</v>
      </c>
    </row>
    <row r="10" customFormat="false" ht="15" hidden="false" customHeight="false" outlineLevel="0" collapsed="false">
      <c r="A10" s="0" t="s">
        <v>29</v>
      </c>
      <c r="B10" s="0" t="n">
        <f aca="false">IF(B$3=0,Inputs!$B$3*Inputs!$B$7*(1-Inputs!$B$9)*Inputs!$B$12,0)</f>
        <v>468000</v>
      </c>
      <c r="C10" s="0" t="n">
        <f aca="false">IF(C$3=0,Inputs!$B$3*Inputs!$B$7*(1-Inputs!$B$9)*Inputs!$B$12,0)</f>
        <v>0</v>
      </c>
      <c r="D10" s="0" t="n">
        <f aca="false">IF(D$3=0,Inputs!$B$3*Inputs!$B$7*(1-Inputs!$B$9)*Inputs!$B$12,0)</f>
        <v>0</v>
      </c>
      <c r="E10" s="0" t="n">
        <f aca="false">IF(E$3=0,Inputs!$B$3*Inputs!$B$7*(1-Inputs!$B$9)*Inputs!$B$12,0)</f>
        <v>0</v>
      </c>
      <c r="F10" s="0" t="n">
        <f aca="false">IF(F$3=0,Inputs!$B$3*Inputs!$B$7*(1-Inputs!$B$9)*Inputs!$B$12,0)</f>
        <v>0</v>
      </c>
      <c r="G10" s="0" t="n">
        <f aca="false">IF(G$3=0,Inputs!$B$3*Inputs!$B$7*(1-Inputs!$B$9)*Inputs!$B$12,0)</f>
        <v>0</v>
      </c>
      <c r="H10" s="0" t="n">
        <f aca="false">IF(H$3=0,Inputs!$B$3*Inputs!$B$7*(1-Inputs!$B$9)*Inputs!$B$12,0)</f>
        <v>0</v>
      </c>
      <c r="I10" s="0" t="n">
        <f aca="false">IF(I$3=0,Inputs!$B$3*Inputs!$B$7*(1-Inputs!$B$9)*Inputs!$B$12,0)</f>
        <v>0</v>
      </c>
      <c r="J10" s="0" t="n">
        <f aca="false">IF(J$3=0,Inputs!$B$3*Inputs!$B$7*(1-Inputs!$B$9)*Inputs!$B$12,0)</f>
        <v>0</v>
      </c>
      <c r="K10" s="0" t="n">
        <f aca="false">IF(K$3=0,Inputs!$B$3*Inputs!$B$7*(1-Inputs!$B$9)*Inputs!$B$12,0)</f>
        <v>0</v>
      </c>
      <c r="L10" s="0" t="n">
        <f aca="false">IF(L$3=0,Inputs!$B$3*Inputs!$B$7*(1-Inputs!$B$9)*Inputs!$B$12,0)</f>
        <v>0</v>
      </c>
      <c r="M10" s="0" t="n">
        <f aca="false">IF(M$3=0,Inputs!$B$3*Inputs!$B$7*(1-Inputs!$B$9)*Inputs!$B$12,0)</f>
        <v>0</v>
      </c>
      <c r="N10" s="0" t="n">
        <f aca="false">IF(N$3=0,Inputs!$B$3*Inputs!$B$7*(1-Inputs!$B$9)*Inputs!$B$12,0)</f>
        <v>0</v>
      </c>
      <c r="O10" s="0" t="n">
        <f aca="false">IF(O$3=0,Inputs!$B$3*Inputs!$B$7*(1-Inputs!$B$9)*Inputs!$B$12,0)</f>
        <v>0</v>
      </c>
      <c r="P10" s="0" t="n">
        <f aca="false">IF(P$3=0,Inputs!$B$3*Inputs!$B$7*(1-Inputs!$B$9)*Inputs!$B$12,0)</f>
        <v>0</v>
      </c>
      <c r="Q10" s="0" t="n">
        <f aca="false">IF(Q$3=0,Inputs!$B$3*Inputs!$B$7*(1-Inputs!$B$9)*Inputs!$B$12,0)</f>
        <v>0</v>
      </c>
      <c r="R10" s="0" t="n">
        <f aca="false">IF(R$3=0,Inputs!$B$3*Inputs!$B$7*(1-Inputs!$B$9)*Inputs!$B$12,0)</f>
        <v>0</v>
      </c>
      <c r="S10" s="0" t="n">
        <f aca="false">IF(S$3=0,Inputs!$B$3*Inputs!$B$7*(1-Inputs!$B$9)*Inputs!$B$12,0)</f>
        <v>0</v>
      </c>
      <c r="T10" s="0" t="n">
        <f aca="false">IF(T$3=0,Inputs!$B$3*Inputs!$B$7*(1-Inputs!$B$9)*Inputs!$B$12,0)</f>
        <v>0</v>
      </c>
      <c r="U10" s="0" t="n">
        <f aca="false">IF(U$3=0,Inputs!$B$3*Inputs!$B$7*(1-Inputs!$B$9)*Inputs!$B$12,0)</f>
        <v>0</v>
      </c>
      <c r="V10" s="0" t="n">
        <f aca="false">IF(V$3=0,Inputs!$B$3*Inputs!$B$7*(1-Inputs!$B$9)*Inputs!$B$12,0)</f>
        <v>0</v>
      </c>
      <c r="W10" s="0" t="n">
        <f aca="false">IF(W$3=0,Inputs!$B$3*Inputs!$B$7*(1-Inputs!$B$9)*Inputs!$B$12,0)</f>
        <v>0</v>
      </c>
      <c r="X10" s="0" t="n">
        <f aca="false">IF(X$3=0,Inputs!$B$3*Inputs!$B$7*(1-Inputs!$B$9)*Inputs!$B$12,0)</f>
        <v>0</v>
      </c>
      <c r="Y10" s="0" t="n">
        <f aca="false">IF(Y$3=0,Inputs!$B$3*Inputs!$B$7*(1-Inputs!$B$9)*Inputs!$B$12,0)</f>
        <v>0</v>
      </c>
      <c r="Z10" s="0" t="n">
        <f aca="false">IF(Z$3=0,Inputs!$B$3*Inputs!$B$7*(1-Inputs!$B$9)*Inputs!$B$12,0)</f>
        <v>0</v>
      </c>
      <c r="AA10" s="0" t="n">
        <f aca="false">IF(AA$3=0,Inputs!$B$3*Inputs!$B$7*(1-Inputs!$B$9)*Inputs!$B$12,0)</f>
        <v>0</v>
      </c>
      <c r="AB10" s="0" t="n">
        <f aca="false">IF(AB$3=0,Inputs!$B$3*Inputs!$B$7*(1-Inputs!$B$9)*Inputs!$B$12,0)</f>
        <v>0</v>
      </c>
      <c r="AC10" s="0" t="n">
        <f aca="false">IF(AC$3=0,Inputs!$B$3*Inputs!$B$7*(1-Inputs!$B$9)*Inputs!$B$12,0)</f>
        <v>0</v>
      </c>
      <c r="AD10" s="0" t="n">
        <f aca="false">IF(AD$3=0,Inputs!$B$3*Inputs!$B$7*(1-Inputs!$B$9)*Inputs!$B$12,0)</f>
        <v>0</v>
      </c>
      <c r="AE10" s="0" t="n">
        <f aca="false">IF(AE$3=0,Inputs!$B$3*Inputs!$B$7*(1-Inputs!$B$9)*Inputs!$B$12,0)</f>
        <v>0</v>
      </c>
      <c r="AF10" s="0" t="n">
        <f aca="false">IF(AF$3=0,Inputs!$B$3*Inputs!$B$7*(1-Inputs!$B$9)*Inputs!$B$12,0)</f>
        <v>0</v>
      </c>
      <c r="AG10" s="0" t="n">
        <f aca="false">IF(AG$3=0,Inputs!$B$3*Inputs!$B$7*(1-Inputs!$B$9)*Inputs!$B$12,0)</f>
        <v>0</v>
      </c>
      <c r="AH10" s="0" t="n">
        <f aca="false">IF(AH$3=0,Inputs!$B$3*Inputs!$B$7*(1-Inputs!$B$9)*Inputs!$B$12,0)</f>
        <v>0</v>
      </c>
      <c r="AI10" s="0" t="n">
        <f aca="false">IF(AI$3=0,Inputs!$B$3*Inputs!$B$7*(1-Inputs!$B$9)*Inputs!$B$12,0)</f>
        <v>0</v>
      </c>
      <c r="AJ10" s="0" t="n">
        <f aca="false">IF(AJ$3=0,Inputs!$B$3*Inputs!$B$7*(1-Inputs!$B$9)*Inputs!$B$12,0)</f>
        <v>0</v>
      </c>
      <c r="AK10" s="0" t="n">
        <f aca="false">IF(AK$3=0,Inputs!$B$3*Inputs!$B$7*(1-Inputs!$B$9)*Inputs!$B$12,0)</f>
        <v>0</v>
      </c>
      <c r="AL10" s="0" t="n">
        <f aca="false">IF(AL$3=0,Inputs!$B$3*Inputs!$B$7*(1-Inputs!$B$9)*Inputs!$B$12,0)</f>
        <v>0</v>
      </c>
      <c r="AM10" s="0" t="n">
        <f aca="false">IF(AM$3=0,Inputs!$B$3*Inputs!$B$7*(1-Inputs!$B$9)*Inputs!$B$12,0)</f>
        <v>0</v>
      </c>
      <c r="AN10" s="0" t="n">
        <f aca="false">IF(AN$3=0,Inputs!$B$3*Inputs!$B$7*(1-Inputs!$B$9)*Inputs!$B$12,0)</f>
        <v>0</v>
      </c>
      <c r="AO10" s="0" t="n">
        <f aca="false">IF(AO$3=0,Inputs!$B$3*Inputs!$B$7*(1-Inputs!$B$9)*Inputs!$B$12,0)</f>
        <v>0</v>
      </c>
      <c r="AP10" s="0" t="n">
        <f aca="false">IF(AP$3=0,Inputs!$B$3*Inputs!$B$7*(1-Inputs!$B$9)*Inputs!$B$12,0)</f>
        <v>0</v>
      </c>
      <c r="AQ10" s="0" t="n">
        <f aca="false">IF(AQ$3=0,Inputs!$B$3*Inputs!$B$7*(1-Inputs!$B$9)*Inputs!$B$12,0)</f>
        <v>0</v>
      </c>
      <c r="AR10" s="0" t="n">
        <f aca="false">IF(AR$3=0,Inputs!$B$3*Inputs!$B$7*(1-Inputs!$B$9)*Inputs!$B$12,0)</f>
        <v>0</v>
      </c>
      <c r="AS10" s="0" t="n">
        <f aca="false">IF(AS$3=0,Inputs!$B$3*Inputs!$B$7*(1-Inputs!$B$9)*Inputs!$B$12,0)</f>
        <v>0</v>
      </c>
      <c r="AT10" s="0" t="n">
        <f aca="false">IF(AT$3=0,Inputs!$B$3*Inputs!$B$7*(1-Inputs!$B$9)*Inputs!$B$12,0)</f>
        <v>0</v>
      </c>
      <c r="AU10" s="0" t="n">
        <f aca="false">IF(AU$3=0,Inputs!$B$3*Inputs!$B$7*(1-Inputs!$B$9)*Inputs!$B$12,0)</f>
        <v>0</v>
      </c>
      <c r="AV10" s="0" t="n">
        <f aca="false">IF(AV$3=0,Inputs!$B$3*Inputs!$B$7*(1-Inputs!$B$9)*Inputs!$B$12,0)</f>
        <v>0</v>
      </c>
      <c r="AW10" s="0" t="n">
        <f aca="false">IF(AW$3=0,Inputs!$B$3*Inputs!$B$7*(1-Inputs!$B$9)*Inputs!$B$12,0)</f>
        <v>0</v>
      </c>
      <c r="AX10" s="0" t="n">
        <f aca="false">IF(AX$3=0,Inputs!$B$3*Inputs!$B$7*(1-Inputs!$B$9)*Inputs!$B$12,0)</f>
        <v>0</v>
      </c>
      <c r="AY10" s="0" t="n">
        <f aca="false">IF(AY$3=0,Inputs!$B$3*Inputs!$B$7*(1-Inputs!$B$9)*Inputs!$B$12,0)</f>
        <v>0</v>
      </c>
      <c r="AZ10" s="0" t="n">
        <f aca="false">IF(AZ$3=0,Inputs!$B$3*Inputs!$B$7*(1-Inputs!$B$9)*Inputs!$B$12,0)</f>
        <v>0</v>
      </c>
      <c r="BA10" s="0" t="n">
        <f aca="false">IF(BA$3=0,Inputs!$B$3*Inputs!$B$7*(1-Inputs!$B$9)*Inputs!$B$12,0)</f>
        <v>0</v>
      </c>
      <c r="BB10" s="0" t="n">
        <f aca="false">IF(BB$3=0,Inputs!$B$3*Inputs!$B$7*(1-Inputs!$B$9)*Inputs!$B$12,0)</f>
        <v>0</v>
      </c>
      <c r="BC10" s="0" t="n">
        <f aca="false">IF(BC$3=0,Inputs!$B$3*Inputs!$B$7*(1-Inputs!$B$9)*Inputs!$B$12,0)</f>
        <v>0</v>
      </c>
      <c r="BD10" s="0" t="n">
        <f aca="false">IF(BD$3=0,Inputs!$B$3*Inputs!$B$7*(1-Inputs!$B$9)*Inputs!$B$12,0)</f>
        <v>0</v>
      </c>
      <c r="BE10" s="0" t="n">
        <f aca="false">IF(BE$3=0,Inputs!$B$3*Inputs!$B$7*(1-Inputs!$B$9)*Inputs!$B$12,0)</f>
        <v>0</v>
      </c>
      <c r="BF10" s="0" t="n">
        <f aca="false">IF(BF$3=0,Inputs!$B$3*Inputs!$B$7*(1-Inputs!$B$9)*Inputs!$B$12,0)</f>
        <v>0</v>
      </c>
      <c r="BG10" s="0" t="n">
        <f aca="false">IF(BG$3=0,Inputs!$B$3*Inputs!$B$7*(1-Inputs!$B$9)*Inputs!$B$12,0)</f>
        <v>0</v>
      </c>
      <c r="BH10" s="0" t="n">
        <f aca="false">IF(BH$3=0,Inputs!$B$3*Inputs!$B$7*(1-Inputs!$B$9)*Inputs!$B$12,0)</f>
        <v>0</v>
      </c>
      <c r="BI10" s="0" t="n">
        <f aca="false">IF(BI$3=0,Inputs!$B$3*Inputs!$B$7*(1-Inputs!$B$9)*Inputs!$B$12,0)</f>
        <v>0</v>
      </c>
      <c r="BJ10" s="0" t="n">
        <f aca="false">IF(BJ$3=0,Inputs!$B$3*Inputs!$B$7*(1-Inputs!$B$9)*Inputs!$B$12,0)</f>
        <v>0</v>
      </c>
    </row>
    <row r="11" customFormat="false" ht="15" hidden="false" customHeight="false" outlineLevel="0" collapsed="false">
      <c r="A11" s="0" t="s">
        <v>30</v>
      </c>
      <c r="B11" s="0" t="n">
        <f aca="false">B7+B8-B9</f>
        <v>0</v>
      </c>
      <c r="C11" s="0" t="n">
        <f aca="false">C7+C8-C9</f>
        <v>434733</v>
      </c>
      <c r="D11" s="0" t="n">
        <f aca="false">D7+D8-D9</f>
        <v>434044</v>
      </c>
      <c r="E11" s="0" t="n">
        <f aca="false">E7+E8-E9</f>
        <v>433420</v>
      </c>
      <c r="F11" s="0" t="n">
        <f aca="false">F7+F8-F9</f>
        <v>432841.5</v>
      </c>
      <c r="G11" s="0" t="n">
        <f aca="false">G7+G8-G9</f>
        <v>432295.5</v>
      </c>
      <c r="H11" s="0" t="n">
        <f aca="false">H7+H8-H9</f>
        <v>431772.25</v>
      </c>
      <c r="I11" s="0" t="n">
        <f aca="false">I7+I8-I9</f>
        <v>431252.25</v>
      </c>
      <c r="J11" s="0" t="n">
        <f aca="false">J7+J8-J9</f>
        <v>430729</v>
      </c>
      <c r="K11" s="0" t="n">
        <f aca="false">K7+K8-K9</f>
        <v>430189.5</v>
      </c>
      <c r="L11" s="0" t="n">
        <f aca="false">L7+L8-L9</f>
        <v>429620.75</v>
      </c>
      <c r="M11" s="0" t="n">
        <f aca="false">M7+M8-M9</f>
        <v>429019.5</v>
      </c>
      <c r="N11" s="0" t="n">
        <f aca="false">N7+N8-N9</f>
        <v>428372.75</v>
      </c>
      <c r="O11" s="0" t="n">
        <f aca="false">O7+O8-O9</f>
        <v>427680.5</v>
      </c>
      <c r="P11" s="0" t="n">
        <f aca="false">P7+P8-P9</f>
        <v>426933</v>
      </c>
      <c r="Q11" s="0" t="n">
        <f aca="false">Q7+Q8-Q9</f>
        <v>426130.25</v>
      </c>
      <c r="R11" s="0" t="n">
        <f aca="false">R7+R8-R9</f>
        <v>425269</v>
      </c>
      <c r="S11" s="0" t="n">
        <f aca="false">S7+S8-S9</f>
        <v>424349.25</v>
      </c>
      <c r="T11" s="0" t="n">
        <f aca="false">T7+T8-T9</f>
        <v>423371</v>
      </c>
      <c r="U11" s="0" t="n">
        <f aca="false">U7+U8-U9</f>
        <v>422337.5</v>
      </c>
      <c r="V11" s="0" t="n">
        <f aca="false">V7+V8-V9</f>
        <v>421248.75</v>
      </c>
      <c r="W11" s="0" t="n">
        <f aca="false">W7+W8-W9</f>
        <v>420114.5</v>
      </c>
      <c r="X11" s="0" t="n">
        <f aca="false">X7+X8-X9</f>
        <v>418938</v>
      </c>
      <c r="Y11" s="0" t="n">
        <f aca="false">Y7+Y8-Y9</f>
        <v>417722.5</v>
      </c>
      <c r="Z11" s="0" t="n">
        <f aca="false">Z7+Z8-Z9</f>
        <v>416477.75</v>
      </c>
      <c r="AA11" s="0" t="n">
        <f aca="false">AA7+AA8-AA9</f>
        <v>415213.5</v>
      </c>
      <c r="AB11" s="0" t="n">
        <f aca="false">AB7+AB8-AB9</f>
        <v>413939.5</v>
      </c>
      <c r="AC11" s="0" t="n">
        <f aca="false">AC7+AC8-AC9</f>
        <v>412662.25</v>
      </c>
      <c r="AD11" s="0" t="n">
        <f aca="false">AD7+AD8-AD9</f>
        <v>411388.25</v>
      </c>
      <c r="AE11" s="0" t="n">
        <f aca="false">AE7+AE8-AE9</f>
        <v>410133.75</v>
      </c>
      <c r="AF11" s="0" t="n">
        <f aca="false">AF7+AF8-AF9</f>
        <v>408908.5</v>
      </c>
      <c r="AG11" s="0" t="n">
        <f aca="false">AG7+AG8-AG9</f>
        <v>407719</v>
      </c>
      <c r="AH11" s="0" t="n">
        <f aca="false">AH7+AH8-AH9</f>
        <v>406575</v>
      </c>
      <c r="AI11" s="0" t="n">
        <f aca="false">AI7+AI8-AI9</f>
        <v>405489.5</v>
      </c>
      <c r="AJ11" s="0" t="n">
        <f aca="false">AJ7+AJ8-AJ9</f>
        <v>404465.75</v>
      </c>
      <c r="AK11" s="0" t="n">
        <f aca="false">AK7+AK8-AK9</f>
        <v>403520</v>
      </c>
      <c r="AL11" s="0" t="n">
        <f aca="false">AL7+AL8-AL9</f>
        <v>402655.5</v>
      </c>
      <c r="AM11" s="0" t="n">
        <f aca="false">AM7+AM8-AM9</f>
        <v>0</v>
      </c>
      <c r="AN11" s="0" t="n">
        <f aca="false">AN7+AN8-AN9</f>
        <v>0</v>
      </c>
      <c r="AO11" s="0" t="n">
        <f aca="false">AO7+AO8-AO9</f>
        <v>0</v>
      </c>
      <c r="AP11" s="0" t="n">
        <f aca="false">AP7+AP8-AP9</f>
        <v>0</v>
      </c>
      <c r="AQ11" s="0" t="n">
        <f aca="false">AQ7+AQ8-AQ9</f>
        <v>0</v>
      </c>
      <c r="AR11" s="0" t="n">
        <f aca="false">AR7+AR8-AR9</f>
        <v>0</v>
      </c>
      <c r="AS11" s="0" t="n">
        <f aca="false">AS7+AS8-AS9</f>
        <v>0</v>
      </c>
      <c r="AT11" s="0" t="n">
        <f aca="false">AT7+AT8-AT9</f>
        <v>0</v>
      </c>
      <c r="AU11" s="0" t="n">
        <f aca="false">AU7+AU8-AU9</f>
        <v>0</v>
      </c>
      <c r="AV11" s="0" t="n">
        <f aca="false">AV7+AV8-AV9</f>
        <v>0</v>
      </c>
      <c r="AW11" s="0" t="n">
        <f aca="false">AW7+AW8-AW9</f>
        <v>0</v>
      </c>
      <c r="AX11" s="0" t="n">
        <f aca="false">AX7+AX8-AX9</f>
        <v>0</v>
      </c>
      <c r="AY11" s="0" t="n">
        <f aca="false">AY7+AY8-AY9</f>
        <v>0</v>
      </c>
      <c r="AZ11" s="0" t="n">
        <f aca="false">AZ7+AZ8-AZ9</f>
        <v>0</v>
      </c>
      <c r="BA11" s="0" t="n">
        <f aca="false">BA7+BA8-BA9</f>
        <v>0</v>
      </c>
      <c r="BB11" s="0" t="n">
        <f aca="false">BB7+BB8-BB9</f>
        <v>0</v>
      </c>
      <c r="BC11" s="0" t="n">
        <f aca="false">BC7+BC8-BC9</f>
        <v>0</v>
      </c>
      <c r="BD11" s="0" t="n">
        <f aca="false">BD7+BD8-BD9</f>
        <v>0</v>
      </c>
      <c r="BE11" s="0" t="n">
        <f aca="false">BE7+BE8-BE9</f>
        <v>0</v>
      </c>
      <c r="BF11" s="0" t="n">
        <f aca="false">BF7+BF8-BF9</f>
        <v>0</v>
      </c>
      <c r="BG11" s="0" t="n">
        <f aca="false">BG7+BG8-BG9</f>
        <v>0</v>
      </c>
      <c r="BH11" s="0" t="n">
        <f aca="false">BH7+BH8-BH9</f>
        <v>0</v>
      </c>
      <c r="BI11" s="0" t="n">
        <f aca="false">BI7+BI8-BI9</f>
        <v>0</v>
      </c>
      <c r="BJ11" s="0" t="n">
        <f aca="false">BJ7+BJ8-BJ9</f>
        <v>0</v>
      </c>
    </row>
    <row r="12" customFormat="false" ht="15" hidden="false" customHeight="false" outlineLevel="0" collapsed="false">
      <c r="A12" s="0" t="s">
        <v>31</v>
      </c>
      <c r="B12" s="0" t="n">
        <f aca="false">IF(B$3=Inputs!$B$13,Inputs!$B$5*(1+Inputs!$B$6)^((Inputs!$B$13)/12)/Inputs!$B$19,0)</f>
        <v>0</v>
      </c>
      <c r="C12" s="0" t="n">
        <f aca="false">IF(C$3=Inputs!$B$13,Inputs!$B$5*(1+Inputs!$B$6)^((Inputs!$B$13)/12)/Inputs!$B$19,0)</f>
        <v>0</v>
      </c>
      <c r="D12" s="0" t="n">
        <f aca="false">IF(D$3=Inputs!$B$13,Inputs!$B$5*(1+Inputs!$B$6)^((Inputs!$B$13)/12)/Inputs!$B$19,0)</f>
        <v>0</v>
      </c>
      <c r="E12" s="0" t="n">
        <f aca="false">IF(E$3=Inputs!$B$13,Inputs!$B$5*(1+Inputs!$B$6)^((Inputs!$B$13)/12)/Inputs!$B$19,0)</f>
        <v>0</v>
      </c>
      <c r="F12" s="0" t="n">
        <f aca="false">IF(F$3=Inputs!$B$13,Inputs!$B$5*(1+Inputs!$B$6)^((Inputs!$B$13)/12)/Inputs!$B$19,0)</f>
        <v>0</v>
      </c>
      <c r="G12" s="0" t="n">
        <f aca="false">IF(G$3=Inputs!$B$13,Inputs!$B$5*(1+Inputs!$B$6)^((Inputs!$B$13)/12)/Inputs!$B$19,0)</f>
        <v>0</v>
      </c>
      <c r="H12" s="0" t="n">
        <f aca="false">IF(H$3=Inputs!$B$13,Inputs!$B$5*(1+Inputs!$B$6)^((Inputs!$B$13)/12)/Inputs!$B$19,0)</f>
        <v>0</v>
      </c>
      <c r="I12" s="0" t="n">
        <f aca="false">IF(I$3=Inputs!$B$13,Inputs!$B$5*(1+Inputs!$B$6)^((Inputs!$B$13)/12)/Inputs!$B$19,0)</f>
        <v>0</v>
      </c>
      <c r="J12" s="0" t="n">
        <f aca="false">IF(J$3=Inputs!$B$13,Inputs!$B$5*(1+Inputs!$B$6)^((Inputs!$B$13)/12)/Inputs!$B$19,0)</f>
        <v>0</v>
      </c>
      <c r="K12" s="0" t="n">
        <f aca="false">IF(K$3=Inputs!$B$13,Inputs!$B$5*(1+Inputs!$B$6)^((Inputs!$B$13)/12)/Inputs!$B$19,0)</f>
        <v>0</v>
      </c>
      <c r="L12" s="0" t="n">
        <f aca="false">IF(L$3=Inputs!$B$13,Inputs!$B$5*(1+Inputs!$B$6)^((Inputs!$B$13)/12)/Inputs!$B$19,0)</f>
        <v>0</v>
      </c>
      <c r="M12" s="0" t="n">
        <f aca="false">IF(M$3=Inputs!$B$13,Inputs!$B$5*(1+Inputs!$B$6)^((Inputs!$B$13)/12)/Inputs!$B$19,0)</f>
        <v>0</v>
      </c>
      <c r="N12" s="0" t="n">
        <f aca="false">IF(N$3=Inputs!$B$13,Inputs!$B$5*(1+Inputs!$B$6)^((Inputs!$B$13)/12)/Inputs!$B$19,0)</f>
        <v>0</v>
      </c>
      <c r="O12" s="0" t="n">
        <f aca="false">IF(O$3=Inputs!$B$13,Inputs!$B$5*(1+Inputs!$B$6)^((Inputs!$B$13)/12)/Inputs!$B$19,0)</f>
        <v>0</v>
      </c>
      <c r="P12" s="0" t="n">
        <f aca="false">IF(P$3=Inputs!$B$13,Inputs!$B$5*(1+Inputs!$B$6)^((Inputs!$B$13)/12)/Inputs!$B$19,0)</f>
        <v>0</v>
      </c>
      <c r="Q12" s="0" t="n">
        <f aca="false">IF(Q$3=Inputs!$B$13,Inputs!$B$5*(1+Inputs!$B$6)^((Inputs!$B$13)/12)/Inputs!$B$19,0)</f>
        <v>0</v>
      </c>
      <c r="R12" s="0" t="n">
        <f aca="false">IF(R$3=Inputs!$B$13,Inputs!$B$5*(1+Inputs!$B$6)^((Inputs!$B$13)/12)/Inputs!$B$19,0)</f>
        <v>0</v>
      </c>
      <c r="S12" s="0" t="n">
        <f aca="false">IF(S$3=Inputs!$B$13,Inputs!$B$5*(1+Inputs!$B$6)^((Inputs!$B$13)/12)/Inputs!$B$19,0)</f>
        <v>0</v>
      </c>
      <c r="T12" s="0" t="n">
        <f aca="false">IF(T$3=Inputs!$B$13,Inputs!$B$5*(1+Inputs!$B$6)^((Inputs!$B$13)/12)/Inputs!$B$19,0)</f>
        <v>0</v>
      </c>
      <c r="U12" s="0" t="n">
        <f aca="false">IF(U$3=Inputs!$B$13,Inputs!$B$5*(1+Inputs!$B$6)^((Inputs!$B$13)/12)/Inputs!$B$19,0)</f>
        <v>0</v>
      </c>
      <c r="V12" s="0" t="n">
        <f aca="false">IF(V$3=Inputs!$B$13,Inputs!$B$5*(1+Inputs!$B$6)^((Inputs!$B$13)/12)/Inputs!$B$19,0)</f>
        <v>0</v>
      </c>
      <c r="W12" s="0" t="n">
        <f aca="false">IF(W$3=Inputs!$B$13,Inputs!$B$5*(1+Inputs!$B$6)^((Inputs!$B$13)/12)/Inputs!$B$19,0)</f>
        <v>0</v>
      </c>
      <c r="X12" s="0" t="n">
        <f aca="false">IF(X$3=Inputs!$B$13,Inputs!$B$5*(1+Inputs!$B$6)^((Inputs!$B$13)/12)/Inputs!$B$19,0)</f>
        <v>0</v>
      </c>
      <c r="Y12" s="0" t="n">
        <f aca="false">IF(Y$3=Inputs!$B$13,Inputs!$B$5*(1+Inputs!$B$6)^((Inputs!$B$13)/12)/Inputs!$B$19,0)</f>
        <v>0</v>
      </c>
      <c r="Z12" s="0" t="n">
        <f aca="false">IF(Z$3=Inputs!$B$13,Inputs!$B$5*(1+Inputs!$B$6)^((Inputs!$B$13)/12)/Inputs!$B$19,0)</f>
        <v>0</v>
      </c>
      <c r="AA12" s="0" t="n">
        <f aca="false">IF(AA$3=Inputs!$B$13,Inputs!$B$5*(1+Inputs!$B$6)^((Inputs!$B$13)/12)/Inputs!$B$19,0)</f>
        <v>0</v>
      </c>
      <c r="AB12" s="0" t="n">
        <f aca="false">IF(AB$3=Inputs!$B$13,Inputs!$B$5*(1+Inputs!$B$6)^((Inputs!$B$13)/12)/Inputs!$B$19,0)</f>
        <v>0</v>
      </c>
      <c r="AC12" s="0" t="n">
        <f aca="false">IF(AC$3=Inputs!$B$13,Inputs!$B$5*(1+Inputs!$B$6)^((Inputs!$B$13)/12)/Inputs!$B$19,0)</f>
        <v>0</v>
      </c>
      <c r="AD12" s="0" t="n">
        <f aca="false">IF(AD$3=Inputs!$B$13,Inputs!$B$5*(1+Inputs!$B$6)^((Inputs!$B$13)/12)/Inputs!$B$19,0)</f>
        <v>0</v>
      </c>
      <c r="AE12" s="0" t="n">
        <f aca="false">IF(AE$3=Inputs!$B$13,Inputs!$B$5*(1+Inputs!$B$6)^((Inputs!$B$13)/12)/Inputs!$B$19,0)</f>
        <v>0</v>
      </c>
      <c r="AF12" s="0" t="n">
        <f aca="false">IF(AF$3=Inputs!$B$13,Inputs!$B$5*(1+Inputs!$B$6)^((Inputs!$B$13)/12)/Inputs!$B$19,0)</f>
        <v>0</v>
      </c>
      <c r="AG12" s="0" t="n">
        <f aca="false">IF(AG$3=Inputs!$B$13,Inputs!$B$5*(1+Inputs!$B$6)^((Inputs!$B$13)/12)/Inputs!$B$19,0)</f>
        <v>0</v>
      </c>
      <c r="AH12" s="0" t="n">
        <f aca="false">IF(AH$3=Inputs!$B$13,Inputs!$B$5*(1+Inputs!$B$6)^((Inputs!$B$13)/12)/Inputs!$B$19,0)</f>
        <v>0</v>
      </c>
      <c r="AI12" s="0" t="n">
        <f aca="false">IF(AI$3=Inputs!$B$13,Inputs!$B$5*(1+Inputs!$B$6)^((Inputs!$B$13)/12)/Inputs!$B$19,0)</f>
        <v>0</v>
      </c>
      <c r="AJ12" s="0" t="n">
        <f aca="false">IF(AJ$3=Inputs!$B$13,Inputs!$B$5*(1+Inputs!$B$6)^((Inputs!$B$13)/12)/Inputs!$B$19,0)</f>
        <v>0</v>
      </c>
      <c r="AK12" s="0" t="n">
        <f aca="false">IF(AK$3=Inputs!$B$13,Inputs!$B$5*(1+Inputs!$B$6)^((Inputs!$B$13)/12)/Inputs!$B$19,0)</f>
        <v>0</v>
      </c>
      <c r="AL12" s="0" t="n">
        <f aca="false">IF(AL$3=Inputs!$B$13,Inputs!$B$5*(1+Inputs!$B$6)^((Inputs!$B$13)/12)/Inputs!$B$19,0)</f>
        <v>139381675.714286</v>
      </c>
      <c r="AM12" s="0" t="n">
        <f aca="false">IF(AM$3=Inputs!$B$13,Inputs!$B$5*(1+Inputs!$B$6)^((Inputs!$B$13)/12)/Inputs!$B$19,0)</f>
        <v>0</v>
      </c>
      <c r="AN12" s="0" t="n">
        <f aca="false">IF(AN$3=Inputs!$B$13,Inputs!$B$5*(1+Inputs!$B$6)^((Inputs!$B$13)/12)/Inputs!$B$19,0)</f>
        <v>0</v>
      </c>
      <c r="AO12" s="0" t="n">
        <f aca="false">IF(AO$3=Inputs!$B$13,Inputs!$B$5*(1+Inputs!$B$6)^((Inputs!$B$13)/12)/Inputs!$B$19,0)</f>
        <v>0</v>
      </c>
      <c r="AP12" s="0" t="n">
        <f aca="false">IF(AP$3=Inputs!$B$13,Inputs!$B$5*(1+Inputs!$B$6)^((Inputs!$B$13)/12)/Inputs!$B$19,0)</f>
        <v>0</v>
      </c>
      <c r="AQ12" s="0" t="n">
        <f aca="false">IF(AQ$3=Inputs!$B$13,Inputs!$B$5*(1+Inputs!$B$6)^((Inputs!$B$13)/12)/Inputs!$B$19,0)</f>
        <v>0</v>
      </c>
      <c r="AR12" s="0" t="n">
        <f aca="false">IF(AR$3=Inputs!$B$13,Inputs!$B$5*(1+Inputs!$B$6)^((Inputs!$B$13)/12)/Inputs!$B$19,0)</f>
        <v>0</v>
      </c>
      <c r="AS12" s="0" t="n">
        <f aca="false">IF(AS$3=Inputs!$B$13,Inputs!$B$5*(1+Inputs!$B$6)^((Inputs!$B$13)/12)/Inputs!$B$19,0)</f>
        <v>0</v>
      </c>
      <c r="AT12" s="0" t="n">
        <f aca="false">IF(AT$3=Inputs!$B$13,Inputs!$B$5*(1+Inputs!$B$6)^((Inputs!$B$13)/12)/Inputs!$B$19,0)</f>
        <v>0</v>
      </c>
      <c r="AU12" s="0" t="n">
        <f aca="false">IF(AU$3=Inputs!$B$13,Inputs!$B$5*(1+Inputs!$B$6)^((Inputs!$B$13)/12)/Inputs!$B$19,0)</f>
        <v>0</v>
      </c>
      <c r="AV12" s="0" t="n">
        <f aca="false">IF(AV$3=Inputs!$B$13,Inputs!$B$5*(1+Inputs!$B$6)^((Inputs!$B$13)/12)/Inputs!$B$19,0)</f>
        <v>0</v>
      </c>
      <c r="AW12" s="0" t="n">
        <f aca="false">IF(AW$3=Inputs!$B$13,Inputs!$B$5*(1+Inputs!$B$6)^((Inputs!$B$13)/12)/Inputs!$B$19,0)</f>
        <v>0</v>
      </c>
      <c r="AX12" s="0" t="n">
        <f aca="false">IF(AX$3=Inputs!$B$13,Inputs!$B$5*(1+Inputs!$B$6)^((Inputs!$B$13)/12)/Inputs!$B$19,0)</f>
        <v>0</v>
      </c>
      <c r="AY12" s="0" t="n">
        <f aca="false">IF(AY$3=Inputs!$B$13,Inputs!$B$5*(1+Inputs!$B$6)^((Inputs!$B$13)/12)/Inputs!$B$19,0)</f>
        <v>0</v>
      </c>
      <c r="AZ12" s="0" t="n">
        <f aca="false">IF(AZ$3=Inputs!$B$13,Inputs!$B$5*(1+Inputs!$B$6)^((Inputs!$B$13)/12)/Inputs!$B$19,0)</f>
        <v>0</v>
      </c>
      <c r="BA12" s="0" t="n">
        <f aca="false">IF(BA$3=Inputs!$B$13,Inputs!$B$5*(1+Inputs!$B$6)^((Inputs!$B$13)/12)/Inputs!$B$19,0)</f>
        <v>0</v>
      </c>
      <c r="BB12" s="0" t="n">
        <f aca="false">IF(BB$3=Inputs!$B$13,Inputs!$B$5*(1+Inputs!$B$6)^((Inputs!$B$13)/12)/Inputs!$B$19,0)</f>
        <v>0</v>
      </c>
      <c r="BC12" s="0" t="n">
        <f aca="false">IF(BC$3=Inputs!$B$13,Inputs!$B$5*(1+Inputs!$B$6)^((Inputs!$B$13)/12)/Inputs!$B$19,0)</f>
        <v>0</v>
      </c>
      <c r="BD12" s="0" t="n">
        <f aca="false">IF(BD$3=Inputs!$B$13,Inputs!$B$5*(1+Inputs!$B$6)^((Inputs!$B$13)/12)/Inputs!$B$19,0)</f>
        <v>0</v>
      </c>
      <c r="BE12" s="0" t="n">
        <f aca="false">IF(BE$3=Inputs!$B$13,Inputs!$B$5*(1+Inputs!$B$6)^((Inputs!$B$13)/12)/Inputs!$B$19,0)</f>
        <v>0</v>
      </c>
      <c r="BF12" s="0" t="n">
        <f aca="false">IF(BF$3=Inputs!$B$13,Inputs!$B$5*(1+Inputs!$B$6)^((Inputs!$B$13)/12)/Inputs!$B$19,0)</f>
        <v>0</v>
      </c>
      <c r="BG12" s="0" t="n">
        <f aca="false">IF(BG$3=Inputs!$B$13,Inputs!$B$5*(1+Inputs!$B$6)^((Inputs!$B$13)/12)/Inputs!$B$19,0)</f>
        <v>0</v>
      </c>
      <c r="BH12" s="0" t="n">
        <f aca="false">IF(BH$3=Inputs!$B$13,Inputs!$B$5*(1+Inputs!$B$6)^((Inputs!$B$13)/12)/Inputs!$B$19,0)</f>
        <v>0</v>
      </c>
      <c r="BI12" s="0" t="n">
        <f aca="false">IF(BI$3=Inputs!$B$13,Inputs!$B$5*(1+Inputs!$B$6)^((Inputs!$B$13)/12)/Inputs!$B$19,0)</f>
        <v>0</v>
      </c>
      <c r="BJ12" s="0" t="n">
        <f aca="false">IF(BJ$3=Inputs!$B$13,Inputs!$B$5*(1+Inputs!$B$6)^((Inputs!$B$13)/12)/Inputs!$B$19,0)</f>
        <v>0</v>
      </c>
    </row>
    <row r="13" customFormat="false" ht="15" hidden="false" customHeight="false" outlineLevel="0" collapsed="false">
      <c r="A13" s="0" t="s">
        <v>32</v>
      </c>
      <c r="B13" s="0" t="n">
        <f aca="false">B12*Inputs!$B$14</f>
        <v>0</v>
      </c>
      <c r="C13" s="0" t="n">
        <f aca="false">C12*Inputs!$B$14</f>
        <v>0</v>
      </c>
      <c r="D13" s="0" t="n">
        <f aca="false">D12*Inputs!$B$14</f>
        <v>0</v>
      </c>
      <c r="E13" s="0" t="n">
        <f aca="false">E12*Inputs!$B$14</f>
        <v>0</v>
      </c>
      <c r="F13" s="0" t="n">
        <f aca="false">F12*Inputs!$B$14</f>
        <v>0</v>
      </c>
      <c r="G13" s="0" t="n">
        <f aca="false">G12*Inputs!$B$14</f>
        <v>0</v>
      </c>
      <c r="H13" s="0" t="n">
        <f aca="false">H12*Inputs!$B$14</f>
        <v>0</v>
      </c>
      <c r="I13" s="0" t="n">
        <f aca="false">I12*Inputs!$B$14</f>
        <v>0</v>
      </c>
      <c r="J13" s="0" t="n">
        <f aca="false">J12*Inputs!$B$14</f>
        <v>0</v>
      </c>
      <c r="K13" s="0" t="n">
        <f aca="false">K12*Inputs!$B$14</f>
        <v>0</v>
      </c>
      <c r="L13" s="0" t="n">
        <f aca="false">L12*Inputs!$B$14</f>
        <v>0</v>
      </c>
      <c r="M13" s="0" t="n">
        <f aca="false">M12*Inputs!$B$14</f>
        <v>0</v>
      </c>
      <c r="N13" s="0" t="n">
        <f aca="false">N12*Inputs!$B$14</f>
        <v>0</v>
      </c>
      <c r="O13" s="0" t="n">
        <f aca="false">O12*Inputs!$B$14</f>
        <v>0</v>
      </c>
      <c r="P13" s="0" t="n">
        <f aca="false">P12*Inputs!$B$14</f>
        <v>0</v>
      </c>
      <c r="Q13" s="0" t="n">
        <f aca="false">Q12*Inputs!$B$14</f>
        <v>0</v>
      </c>
      <c r="R13" s="0" t="n">
        <f aca="false">R12*Inputs!$B$14</f>
        <v>0</v>
      </c>
      <c r="S13" s="0" t="n">
        <f aca="false">S12*Inputs!$B$14</f>
        <v>0</v>
      </c>
      <c r="T13" s="0" t="n">
        <f aca="false">T12*Inputs!$B$14</f>
        <v>0</v>
      </c>
      <c r="U13" s="0" t="n">
        <f aca="false">U12*Inputs!$B$14</f>
        <v>0</v>
      </c>
      <c r="V13" s="0" t="n">
        <f aca="false">V12*Inputs!$B$14</f>
        <v>0</v>
      </c>
      <c r="W13" s="0" t="n">
        <f aca="false">W12*Inputs!$B$14</f>
        <v>0</v>
      </c>
      <c r="X13" s="0" t="n">
        <f aca="false">X12*Inputs!$B$14</f>
        <v>0</v>
      </c>
      <c r="Y13" s="0" t="n">
        <f aca="false">Y12*Inputs!$B$14</f>
        <v>0</v>
      </c>
      <c r="Z13" s="0" t="n">
        <f aca="false">Z12*Inputs!$B$14</f>
        <v>0</v>
      </c>
      <c r="AA13" s="0" t="n">
        <f aca="false">AA12*Inputs!$B$14</f>
        <v>0</v>
      </c>
      <c r="AB13" s="0" t="n">
        <f aca="false">AB12*Inputs!$B$14</f>
        <v>0</v>
      </c>
      <c r="AC13" s="0" t="n">
        <f aca="false">AC12*Inputs!$B$14</f>
        <v>0</v>
      </c>
      <c r="AD13" s="0" t="n">
        <f aca="false">AD12*Inputs!$B$14</f>
        <v>0</v>
      </c>
      <c r="AE13" s="0" t="n">
        <f aca="false">AE12*Inputs!$B$14</f>
        <v>0</v>
      </c>
      <c r="AF13" s="0" t="n">
        <f aca="false">AF12*Inputs!$B$14</f>
        <v>0</v>
      </c>
      <c r="AG13" s="0" t="n">
        <f aca="false">AG12*Inputs!$B$14</f>
        <v>0</v>
      </c>
      <c r="AH13" s="0" t="n">
        <f aca="false">AH12*Inputs!$B$14</f>
        <v>0</v>
      </c>
      <c r="AI13" s="0" t="n">
        <f aca="false">AI12*Inputs!$B$14</f>
        <v>0</v>
      </c>
      <c r="AJ13" s="0" t="n">
        <f aca="false">AJ12*Inputs!$B$14</f>
        <v>0</v>
      </c>
      <c r="AK13" s="0" t="n">
        <f aca="false">AK12*Inputs!$B$14</f>
        <v>0</v>
      </c>
      <c r="AL13" s="0" t="n">
        <f aca="false">AL12*Inputs!$B$14</f>
        <v>83629005.4285714</v>
      </c>
      <c r="AM13" s="0" t="n">
        <f aca="false">AM12*Inputs!$B$14</f>
        <v>0</v>
      </c>
      <c r="AN13" s="0" t="n">
        <f aca="false">AN12*Inputs!$B$14</f>
        <v>0</v>
      </c>
      <c r="AO13" s="0" t="n">
        <f aca="false">AO12*Inputs!$B$14</f>
        <v>0</v>
      </c>
      <c r="AP13" s="0" t="n">
        <f aca="false">AP12*Inputs!$B$14</f>
        <v>0</v>
      </c>
      <c r="AQ13" s="0" t="n">
        <f aca="false">AQ12*Inputs!$B$14</f>
        <v>0</v>
      </c>
      <c r="AR13" s="0" t="n">
        <f aca="false">AR12*Inputs!$B$14</f>
        <v>0</v>
      </c>
      <c r="AS13" s="0" t="n">
        <f aca="false">AS12*Inputs!$B$14</f>
        <v>0</v>
      </c>
      <c r="AT13" s="0" t="n">
        <f aca="false">AT12*Inputs!$B$14</f>
        <v>0</v>
      </c>
      <c r="AU13" s="0" t="n">
        <f aca="false">AU12*Inputs!$B$14</f>
        <v>0</v>
      </c>
      <c r="AV13" s="0" t="n">
        <f aca="false">AV12*Inputs!$B$14</f>
        <v>0</v>
      </c>
      <c r="AW13" s="0" t="n">
        <f aca="false">AW12*Inputs!$B$14</f>
        <v>0</v>
      </c>
      <c r="AX13" s="0" t="n">
        <f aca="false">AX12*Inputs!$B$14</f>
        <v>0</v>
      </c>
      <c r="AY13" s="0" t="n">
        <f aca="false">AY12*Inputs!$B$14</f>
        <v>0</v>
      </c>
      <c r="AZ13" s="0" t="n">
        <f aca="false">AZ12*Inputs!$B$14</f>
        <v>0</v>
      </c>
      <c r="BA13" s="0" t="n">
        <f aca="false">BA12*Inputs!$B$14</f>
        <v>0</v>
      </c>
      <c r="BB13" s="0" t="n">
        <f aca="false">BB12*Inputs!$B$14</f>
        <v>0</v>
      </c>
      <c r="BC13" s="0" t="n">
        <f aca="false">BC12*Inputs!$B$14</f>
        <v>0</v>
      </c>
      <c r="BD13" s="0" t="n">
        <f aca="false">BD12*Inputs!$B$14</f>
        <v>0</v>
      </c>
      <c r="BE13" s="0" t="n">
        <f aca="false">BE12*Inputs!$B$14</f>
        <v>0</v>
      </c>
      <c r="BF13" s="0" t="n">
        <f aca="false">BF12*Inputs!$B$14</f>
        <v>0</v>
      </c>
      <c r="BG13" s="0" t="n">
        <f aca="false">BG12*Inputs!$B$14</f>
        <v>0</v>
      </c>
      <c r="BH13" s="0" t="n">
        <f aca="false">BH12*Inputs!$B$14</f>
        <v>0</v>
      </c>
      <c r="BI13" s="0" t="n">
        <f aca="false">BI12*Inputs!$B$14</f>
        <v>0</v>
      </c>
      <c r="BJ13" s="0" t="n">
        <f aca="false">BJ12*Inputs!$B$14</f>
        <v>0</v>
      </c>
    </row>
    <row r="14" customFormat="false" ht="15" hidden="false" customHeight="false" outlineLevel="0" collapsed="false">
      <c r="A14" s="0" t="s">
        <v>33</v>
      </c>
      <c r="B14" s="0" t="n">
        <f aca="false">IF(B$3=Inputs!$B$13,Inputs!$B$5*(1+Inputs!$B$6)^((Inputs!$B$13)/12)/Inputs!$B$15/12/PMT(Inputs!$B$17/12,Inputs!$B$18*12,-1),0)</f>
        <v>0</v>
      </c>
      <c r="C14" s="0" t="n">
        <f aca="false">IF(C$3=Inputs!$B$13,Inputs!$B$5*(1+Inputs!$B$6)^((Inputs!$B$13)/12)/Inputs!$B$15/12/PMT(Inputs!$B$17/12,Inputs!$B$18*12,-1),0)</f>
        <v>0</v>
      </c>
      <c r="D14" s="0" t="n">
        <f aca="false">IF(D$3=Inputs!$B$13,Inputs!$B$5*(1+Inputs!$B$6)^((Inputs!$B$13)/12)/Inputs!$B$15/12/PMT(Inputs!$B$17/12,Inputs!$B$18*12,-1),0)</f>
        <v>0</v>
      </c>
      <c r="E14" s="0" t="n">
        <f aca="false">IF(E$3=Inputs!$B$13,Inputs!$B$5*(1+Inputs!$B$6)^((Inputs!$B$13)/12)/Inputs!$B$15/12/PMT(Inputs!$B$17/12,Inputs!$B$18*12,-1),0)</f>
        <v>0</v>
      </c>
      <c r="F14" s="0" t="n">
        <f aca="false">IF(F$3=Inputs!$B$13,Inputs!$B$5*(1+Inputs!$B$6)^((Inputs!$B$13)/12)/Inputs!$B$15/12/PMT(Inputs!$B$17/12,Inputs!$B$18*12,-1),0)</f>
        <v>0</v>
      </c>
      <c r="G14" s="0" t="n">
        <f aca="false">IF(G$3=Inputs!$B$13,Inputs!$B$5*(1+Inputs!$B$6)^((Inputs!$B$13)/12)/Inputs!$B$15/12/PMT(Inputs!$B$17/12,Inputs!$B$18*12,-1),0)</f>
        <v>0</v>
      </c>
      <c r="H14" s="0" t="n">
        <f aca="false">IF(H$3=Inputs!$B$13,Inputs!$B$5*(1+Inputs!$B$6)^((Inputs!$B$13)/12)/Inputs!$B$15/12/PMT(Inputs!$B$17/12,Inputs!$B$18*12,-1),0)</f>
        <v>0</v>
      </c>
      <c r="I14" s="0" t="n">
        <f aca="false">IF(I$3=Inputs!$B$13,Inputs!$B$5*(1+Inputs!$B$6)^((Inputs!$B$13)/12)/Inputs!$B$15/12/PMT(Inputs!$B$17/12,Inputs!$B$18*12,-1),0)</f>
        <v>0</v>
      </c>
      <c r="J14" s="0" t="n">
        <f aca="false">IF(J$3=Inputs!$B$13,Inputs!$B$5*(1+Inputs!$B$6)^((Inputs!$B$13)/12)/Inputs!$B$15/12/PMT(Inputs!$B$17/12,Inputs!$B$18*12,-1),0)</f>
        <v>0</v>
      </c>
      <c r="K14" s="0" t="n">
        <f aca="false">IF(K$3=Inputs!$B$13,Inputs!$B$5*(1+Inputs!$B$6)^((Inputs!$B$13)/12)/Inputs!$B$15/12/PMT(Inputs!$B$17/12,Inputs!$B$18*12,-1),0)</f>
        <v>0</v>
      </c>
      <c r="L14" s="0" t="n">
        <f aca="false">IF(L$3=Inputs!$B$13,Inputs!$B$5*(1+Inputs!$B$6)^((Inputs!$B$13)/12)/Inputs!$B$15/12/PMT(Inputs!$B$17/12,Inputs!$B$18*12,-1),0)</f>
        <v>0</v>
      </c>
      <c r="M14" s="0" t="n">
        <f aca="false">IF(M$3=Inputs!$B$13,Inputs!$B$5*(1+Inputs!$B$6)^((Inputs!$B$13)/12)/Inputs!$B$15/12/PMT(Inputs!$B$17/12,Inputs!$B$18*12,-1),0)</f>
        <v>0</v>
      </c>
      <c r="N14" s="0" t="n">
        <f aca="false">IF(N$3=Inputs!$B$13,Inputs!$B$5*(1+Inputs!$B$6)^((Inputs!$B$13)/12)/Inputs!$B$15/12/PMT(Inputs!$B$17/12,Inputs!$B$18*12,-1),0)</f>
        <v>0</v>
      </c>
      <c r="O14" s="0" t="n">
        <f aca="false">IF(O$3=Inputs!$B$13,Inputs!$B$5*(1+Inputs!$B$6)^((Inputs!$B$13)/12)/Inputs!$B$15/12/PMT(Inputs!$B$17/12,Inputs!$B$18*12,-1),0)</f>
        <v>0</v>
      </c>
      <c r="P14" s="0" t="n">
        <f aca="false">IF(P$3=Inputs!$B$13,Inputs!$B$5*(1+Inputs!$B$6)^((Inputs!$B$13)/12)/Inputs!$B$15/12/PMT(Inputs!$B$17/12,Inputs!$B$18*12,-1),0)</f>
        <v>0</v>
      </c>
      <c r="Q14" s="0" t="n">
        <f aca="false">IF(Q$3=Inputs!$B$13,Inputs!$B$5*(1+Inputs!$B$6)^((Inputs!$B$13)/12)/Inputs!$B$15/12/PMT(Inputs!$B$17/12,Inputs!$B$18*12,-1),0)</f>
        <v>0</v>
      </c>
      <c r="R14" s="0" t="n">
        <f aca="false">IF(R$3=Inputs!$B$13,Inputs!$B$5*(1+Inputs!$B$6)^((Inputs!$B$13)/12)/Inputs!$B$15/12/PMT(Inputs!$B$17/12,Inputs!$B$18*12,-1),0)</f>
        <v>0</v>
      </c>
      <c r="S14" s="0" t="n">
        <f aca="false">IF(S$3=Inputs!$B$13,Inputs!$B$5*(1+Inputs!$B$6)^((Inputs!$B$13)/12)/Inputs!$B$15/12/PMT(Inputs!$B$17/12,Inputs!$B$18*12,-1),0)</f>
        <v>0</v>
      </c>
      <c r="T14" s="0" t="n">
        <f aca="false">IF(T$3=Inputs!$B$13,Inputs!$B$5*(1+Inputs!$B$6)^((Inputs!$B$13)/12)/Inputs!$B$15/12/PMT(Inputs!$B$17/12,Inputs!$B$18*12,-1),0)</f>
        <v>0</v>
      </c>
      <c r="U14" s="0" t="n">
        <f aca="false">IF(U$3=Inputs!$B$13,Inputs!$B$5*(1+Inputs!$B$6)^((Inputs!$B$13)/12)/Inputs!$B$15/12/PMT(Inputs!$B$17/12,Inputs!$B$18*12,-1),0)</f>
        <v>0</v>
      </c>
      <c r="V14" s="0" t="n">
        <f aca="false">IF(V$3=Inputs!$B$13,Inputs!$B$5*(1+Inputs!$B$6)^((Inputs!$B$13)/12)/Inputs!$B$15/12/PMT(Inputs!$B$17/12,Inputs!$B$18*12,-1),0)</f>
        <v>0</v>
      </c>
      <c r="W14" s="0" t="n">
        <f aca="false">IF(W$3=Inputs!$B$13,Inputs!$B$5*(1+Inputs!$B$6)^((Inputs!$B$13)/12)/Inputs!$B$15/12/PMT(Inputs!$B$17/12,Inputs!$B$18*12,-1),0)</f>
        <v>0</v>
      </c>
      <c r="X14" s="0" t="n">
        <f aca="false">IF(X$3=Inputs!$B$13,Inputs!$B$5*(1+Inputs!$B$6)^((Inputs!$B$13)/12)/Inputs!$B$15/12/PMT(Inputs!$B$17/12,Inputs!$B$18*12,-1),0)</f>
        <v>0</v>
      </c>
      <c r="Y14" s="0" t="n">
        <f aca="false">IF(Y$3=Inputs!$B$13,Inputs!$B$5*(1+Inputs!$B$6)^((Inputs!$B$13)/12)/Inputs!$B$15/12/PMT(Inputs!$B$17/12,Inputs!$B$18*12,-1),0)</f>
        <v>0</v>
      </c>
      <c r="Z14" s="0" t="n">
        <f aca="false">IF(Z$3=Inputs!$B$13,Inputs!$B$5*(1+Inputs!$B$6)^((Inputs!$B$13)/12)/Inputs!$B$15/12/PMT(Inputs!$B$17/12,Inputs!$B$18*12,-1),0)</f>
        <v>0</v>
      </c>
      <c r="AA14" s="0" t="n">
        <f aca="false">IF(AA$3=Inputs!$B$13,Inputs!$B$5*(1+Inputs!$B$6)^((Inputs!$B$13)/12)/Inputs!$B$15/12/PMT(Inputs!$B$17/12,Inputs!$B$18*12,-1),0)</f>
        <v>0</v>
      </c>
      <c r="AB14" s="0" t="n">
        <f aca="false">IF(AB$3=Inputs!$B$13,Inputs!$B$5*(1+Inputs!$B$6)^((Inputs!$B$13)/12)/Inputs!$B$15/12/PMT(Inputs!$B$17/12,Inputs!$B$18*12,-1),0)</f>
        <v>0</v>
      </c>
      <c r="AC14" s="0" t="n">
        <f aca="false">IF(AC$3=Inputs!$B$13,Inputs!$B$5*(1+Inputs!$B$6)^((Inputs!$B$13)/12)/Inputs!$B$15/12/PMT(Inputs!$B$17/12,Inputs!$B$18*12,-1),0)</f>
        <v>0</v>
      </c>
      <c r="AD14" s="0" t="n">
        <f aca="false">IF(AD$3=Inputs!$B$13,Inputs!$B$5*(1+Inputs!$B$6)^((Inputs!$B$13)/12)/Inputs!$B$15/12/PMT(Inputs!$B$17/12,Inputs!$B$18*12,-1),0)</f>
        <v>0</v>
      </c>
      <c r="AE14" s="0" t="n">
        <f aca="false">IF(AE$3=Inputs!$B$13,Inputs!$B$5*(1+Inputs!$B$6)^((Inputs!$B$13)/12)/Inputs!$B$15/12/PMT(Inputs!$B$17/12,Inputs!$B$18*12,-1),0)</f>
        <v>0</v>
      </c>
      <c r="AF14" s="0" t="n">
        <f aca="false">IF(AF$3=Inputs!$B$13,Inputs!$B$5*(1+Inputs!$B$6)^((Inputs!$B$13)/12)/Inputs!$B$15/12/PMT(Inputs!$B$17/12,Inputs!$B$18*12,-1),0)</f>
        <v>0</v>
      </c>
      <c r="AG14" s="0" t="n">
        <f aca="false">IF(AG$3=Inputs!$B$13,Inputs!$B$5*(1+Inputs!$B$6)^((Inputs!$B$13)/12)/Inputs!$B$15/12/PMT(Inputs!$B$17/12,Inputs!$B$18*12,-1),0)</f>
        <v>0</v>
      </c>
      <c r="AH14" s="0" t="n">
        <f aca="false">IF(AH$3=Inputs!$B$13,Inputs!$B$5*(1+Inputs!$B$6)^((Inputs!$B$13)/12)/Inputs!$B$15/12/PMT(Inputs!$B$17/12,Inputs!$B$18*12,-1),0)</f>
        <v>0</v>
      </c>
      <c r="AI14" s="0" t="n">
        <f aca="false">IF(AI$3=Inputs!$B$13,Inputs!$B$5*(1+Inputs!$B$6)^((Inputs!$B$13)/12)/Inputs!$B$15/12/PMT(Inputs!$B$17/12,Inputs!$B$18*12,-1),0)</f>
        <v>0</v>
      </c>
      <c r="AJ14" s="0" t="n">
        <f aca="false">IF(AJ$3=Inputs!$B$13,Inputs!$B$5*(1+Inputs!$B$6)^((Inputs!$B$13)/12)/Inputs!$B$15/12/PMT(Inputs!$B$17/12,Inputs!$B$18*12,-1),0)</f>
        <v>0</v>
      </c>
      <c r="AK14" s="0" t="n">
        <f aca="false">IF(AK$3=Inputs!$B$13,Inputs!$B$5*(1+Inputs!$B$6)^((Inputs!$B$13)/12)/Inputs!$B$15/12/PMT(Inputs!$B$17/12,Inputs!$B$18*12,-1),0)</f>
        <v>0</v>
      </c>
      <c r="AL14" s="0" t="n">
        <f aca="false">IF(AL$3=Inputs!$B$13,Inputs!$B$5*(1+Inputs!$B$6)^((Inputs!$B$13)/12)/Inputs!$B$15/12/PMT(Inputs!$B$17/12,Inputs!$B$18*12,-1),0)</f>
        <v>84977134.0617593</v>
      </c>
      <c r="AM14" s="0" t="n">
        <f aca="false">IF(AM$3=Inputs!$B$13,Inputs!$B$5*(1+Inputs!$B$6)^((Inputs!$B$13)/12)/Inputs!$B$15/12/PMT(Inputs!$B$17/12,Inputs!$B$18*12,-1),0)</f>
        <v>0</v>
      </c>
      <c r="AN14" s="0" t="n">
        <f aca="false">IF(AN$3=Inputs!$B$13,Inputs!$B$5*(1+Inputs!$B$6)^((Inputs!$B$13)/12)/Inputs!$B$15/12/PMT(Inputs!$B$17/12,Inputs!$B$18*12,-1),0)</f>
        <v>0</v>
      </c>
      <c r="AO14" s="0" t="n">
        <f aca="false">IF(AO$3=Inputs!$B$13,Inputs!$B$5*(1+Inputs!$B$6)^((Inputs!$B$13)/12)/Inputs!$B$15/12/PMT(Inputs!$B$17/12,Inputs!$B$18*12,-1),0)</f>
        <v>0</v>
      </c>
      <c r="AP14" s="0" t="n">
        <f aca="false">IF(AP$3=Inputs!$B$13,Inputs!$B$5*(1+Inputs!$B$6)^((Inputs!$B$13)/12)/Inputs!$B$15/12/PMT(Inputs!$B$17/12,Inputs!$B$18*12,-1),0)</f>
        <v>0</v>
      </c>
      <c r="AQ14" s="0" t="n">
        <f aca="false">IF(AQ$3=Inputs!$B$13,Inputs!$B$5*(1+Inputs!$B$6)^((Inputs!$B$13)/12)/Inputs!$B$15/12/PMT(Inputs!$B$17/12,Inputs!$B$18*12,-1),0)</f>
        <v>0</v>
      </c>
      <c r="AR14" s="0" t="n">
        <f aca="false">IF(AR$3=Inputs!$B$13,Inputs!$B$5*(1+Inputs!$B$6)^((Inputs!$B$13)/12)/Inputs!$B$15/12/PMT(Inputs!$B$17/12,Inputs!$B$18*12,-1),0)</f>
        <v>0</v>
      </c>
      <c r="AS14" s="0" t="n">
        <f aca="false">IF(AS$3=Inputs!$B$13,Inputs!$B$5*(1+Inputs!$B$6)^((Inputs!$B$13)/12)/Inputs!$B$15/12/PMT(Inputs!$B$17/12,Inputs!$B$18*12,-1),0)</f>
        <v>0</v>
      </c>
      <c r="AT14" s="0" t="n">
        <f aca="false">IF(AT$3=Inputs!$B$13,Inputs!$B$5*(1+Inputs!$B$6)^((Inputs!$B$13)/12)/Inputs!$B$15/12/PMT(Inputs!$B$17/12,Inputs!$B$18*12,-1),0)</f>
        <v>0</v>
      </c>
      <c r="AU14" s="0" t="n">
        <f aca="false">IF(AU$3=Inputs!$B$13,Inputs!$B$5*(1+Inputs!$B$6)^((Inputs!$B$13)/12)/Inputs!$B$15/12/PMT(Inputs!$B$17/12,Inputs!$B$18*12,-1),0)</f>
        <v>0</v>
      </c>
      <c r="AV14" s="0" t="n">
        <f aca="false">IF(AV$3=Inputs!$B$13,Inputs!$B$5*(1+Inputs!$B$6)^((Inputs!$B$13)/12)/Inputs!$B$15/12/PMT(Inputs!$B$17/12,Inputs!$B$18*12,-1),0)</f>
        <v>0</v>
      </c>
      <c r="AW14" s="0" t="n">
        <f aca="false">IF(AW$3=Inputs!$B$13,Inputs!$B$5*(1+Inputs!$B$6)^((Inputs!$B$13)/12)/Inputs!$B$15/12/PMT(Inputs!$B$17/12,Inputs!$B$18*12,-1),0)</f>
        <v>0</v>
      </c>
      <c r="AX14" s="0" t="n">
        <f aca="false">IF(AX$3=Inputs!$B$13,Inputs!$B$5*(1+Inputs!$B$6)^((Inputs!$B$13)/12)/Inputs!$B$15/12/PMT(Inputs!$B$17/12,Inputs!$B$18*12,-1),0)</f>
        <v>0</v>
      </c>
      <c r="AY14" s="0" t="n">
        <f aca="false">IF(AY$3=Inputs!$B$13,Inputs!$B$5*(1+Inputs!$B$6)^((Inputs!$B$13)/12)/Inputs!$B$15/12/PMT(Inputs!$B$17/12,Inputs!$B$18*12,-1),0)</f>
        <v>0</v>
      </c>
      <c r="AZ14" s="0" t="n">
        <f aca="false">IF(AZ$3=Inputs!$B$13,Inputs!$B$5*(1+Inputs!$B$6)^((Inputs!$B$13)/12)/Inputs!$B$15/12/PMT(Inputs!$B$17/12,Inputs!$B$18*12,-1),0)</f>
        <v>0</v>
      </c>
      <c r="BA14" s="0" t="n">
        <f aca="false">IF(BA$3=Inputs!$B$13,Inputs!$B$5*(1+Inputs!$B$6)^((Inputs!$B$13)/12)/Inputs!$B$15/12/PMT(Inputs!$B$17/12,Inputs!$B$18*12,-1),0)</f>
        <v>0</v>
      </c>
      <c r="BB14" s="0" t="n">
        <f aca="false">IF(BB$3=Inputs!$B$13,Inputs!$B$5*(1+Inputs!$B$6)^((Inputs!$B$13)/12)/Inputs!$B$15/12/PMT(Inputs!$B$17/12,Inputs!$B$18*12,-1),0)</f>
        <v>0</v>
      </c>
      <c r="BC14" s="0" t="n">
        <f aca="false">IF(BC$3=Inputs!$B$13,Inputs!$B$5*(1+Inputs!$B$6)^((Inputs!$B$13)/12)/Inputs!$B$15/12/PMT(Inputs!$B$17/12,Inputs!$B$18*12,-1),0)</f>
        <v>0</v>
      </c>
      <c r="BD14" s="0" t="n">
        <f aca="false">IF(BD$3=Inputs!$B$13,Inputs!$B$5*(1+Inputs!$B$6)^((Inputs!$B$13)/12)/Inputs!$B$15/12/PMT(Inputs!$B$17/12,Inputs!$B$18*12,-1),0)</f>
        <v>0</v>
      </c>
      <c r="BE14" s="0" t="n">
        <f aca="false">IF(BE$3=Inputs!$B$13,Inputs!$B$5*(1+Inputs!$B$6)^((Inputs!$B$13)/12)/Inputs!$B$15/12/PMT(Inputs!$B$17/12,Inputs!$B$18*12,-1),0)</f>
        <v>0</v>
      </c>
      <c r="BF14" s="0" t="n">
        <f aca="false">IF(BF$3=Inputs!$B$13,Inputs!$B$5*(1+Inputs!$B$6)^((Inputs!$B$13)/12)/Inputs!$B$15/12/PMT(Inputs!$B$17/12,Inputs!$B$18*12,-1),0)</f>
        <v>0</v>
      </c>
      <c r="BG14" s="0" t="n">
        <f aca="false">IF(BG$3=Inputs!$B$13,Inputs!$B$5*(1+Inputs!$B$6)^((Inputs!$B$13)/12)/Inputs!$B$15/12/PMT(Inputs!$B$17/12,Inputs!$B$18*12,-1),0)</f>
        <v>0</v>
      </c>
      <c r="BH14" s="0" t="n">
        <f aca="false">IF(BH$3=Inputs!$B$13,Inputs!$B$5*(1+Inputs!$B$6)^((Inputs!$B$13)/12)/Inputs!$B$15/12/PMT(Inputs!$B$17/12,Inputs!$B$18*12,-1),0)</f>
        <v>0</v>
      </c>
      <c r="BI14" s="0" t="n">
        <f aca="false">IF(BI$3=Inputs!$B$13,Inputs!$B$5*(1+Inputs!$B$6)^((Inputs!$B$13)/12)/Inputs!$B$15/12/PMT(Inputs!$B$17/12,Inputs!$B$18*12,-1),0)</f>
        <v>0</v>
      </c>
      <c r="BJ14" s="0" t="n">
        <f aca="false">IF(BJ$3=Inputs!$B$13,Inputs!$B$5*(1+Inputs!$B$6)^((Inputs!$B$13)/12)/Inputs!$B$15/12/PMT(Inputs!$B$17/12,Inputs!$B$18*12,-1),0)</f>
        <v>0</v>
      </c>
    </row>
    <row r="15" customFormat="false" ht="15" hidden="false" customHeight="false" outlineLevel="0" collapsed="false">
      <c r="A15" s="0" t="s">
        <v>34</v>
      </c>
      <c r="B15" s="0" t="n">
        <f aca="false">IF(B$3=Inputs!$B$13,Inputs!$B$5*(1+Inputs!$B$6)^((Inputs!$B$13)/12)/Inputs!$B$16,0)</f>
        <v>0</v>
      </c>
      <c r="C15" s="0" t="n">
        <f aca="false">IF(C$3=Inputs!$B$13,Inputs!$B$5*(1+Inputs!$B$6)^((Inputs!$B$13)/12)/Inputs!$B$16,0)</f>
        <v>0</v>
      </c>
      <c r="D15" s="0" t="n">
        <f aca="false">IF(D$3=Inputs!$B$13,Inputs!$B$5*(1+Inputs!$B$6)^((Inputs!$B$13)/12)/Inputs!$B$16,0)</f>
        <v>0</v>
      </c>
      <c r="E15" s="0" t="n">
        <f aca="false">IF(E$3=Inputs!$B$13,Inputs!$B$5*(1+Inputs!$B$6)^((Inputs!$B$13)/12)/Inputs!$B$16,0)</f>
        <v>0</v>
      </c>
      <c r="F15" s="0" t="n">
        <f aca="false">IF(F$3=Inputs!$B$13,Inputs!$B$5*(1+Inputs!$B$6)^((Inputs!$B$13)/12)/Inputs!$B$16,0)</f>
        <v>0</v>
      </c>
      <c r="G15" s="0" t="n">
        <f aca="false">IF(G$3=Inputs!$B$13,Inputs!$B$5*(1+Inputs!$B$6)^((Inputs!$B$13)/12)/Inputs!$B$16,0)</f>
        <v>0</v>
      </c>
      <c r="H15" s="0" t="n">
        <f aca="false">IF(H$3=Inputs!$B$13,Inputs!$B$5*(1+Inputs!$B$6)^((Inputs!$B$13)/12)/Inputs!$B$16,0)</f>
        <v>0</v>
      </c>
      <c r="I15" s="0" t="n">
        <f aca="false">IF(I$3=Inputs!$B$13,Inputs!$B$5*(1+Inputs!$B$6)^((Inputs!$B$13)/12)/Inputs!$B$16,0)</f>
        <v>0</v>
      </c>
      <c r="J15" s="0" t="n">
        <f aca="false">IF(J$3=Inputs!$B$13,Inputs!$B$5*(1+Inputs!$B$6)^((Inputs!$B$13)/12)/Inputs!$B$16,0)</f>
        <v>0</v>
      </c>
      <c r="K15" s="0" t="n">
        <f aca="false">IF(K$3=Inputs!$B$13,Inputs!$B$5*(1+Inputs!$B$6)^((Inputs!$B$13)/12)/Inputs!$B$16,0)</f>
        <v>0</v>
      </c>
      <c r="L15" s="0" t="n">
        <f aca="false">IF(L$3=Inputs!$B$13,Inputs!$B$5*(1+Inputs!$B$6)^((Inputs!$B$13)/12)/Inputs!$B$16,0)</f>
        <v>0</v>
      </c>
      <c r="M15" s="0" t="n">
        <f aca="false">IF(M$3=Inputs!$B$13,Inputs!$B$5*(1+Inputs!$B$6)^((Inputs!$B$13)/12)/Inputs!$B$16,0)</f>
        <v>0</v>
      </c>
      <c r="N15" s="0" t="n">
        <f aca="false">IF(N$3=Inputs!$B$13,Inputs!$B$5*(1+Inputs!$B$6)^((Inputs!$B$13)/12)/Inputs!$B$16,0)</f>
        <v>0</v>
      </c>
      <c r="O15" s="0" t="n">
        <f aca="false">IF(O$3=Inputs!$B$13,Inputs!$B$5*(1+Inputs!$B$6)^((Inputs!$B$13)/12)/Inputs!$B$16,0)</f>
        <v>0</v>
      </c>
      <c r="P15" s="0" t="n">
        <f aca="false">IF(P$3=Inputs!$B$13,Inputs!$B$5*(1+Inputs!$B$6)^((Inputs!$B$13)/12)/Inputs!$B$16,0)</f>
        <v>0</v>
      </c>
      <c r="Q15" s="0" t="n">
        <f aca="false">IF(Q$3=Inputs!$B$13,Inputs!$B$5*(1+Inputs!$B$6)^((Inputs!$B$13)/12)/Inputs!$B$16,0)</f>
        <v>0</v>
      </c>
      <c r="R15" s="0" t="n">
        <f aca="false">IF(R$3=Inputs!$B$13,Inputs!$B$5*(1+Inputs!$B$6)^((Inputs!$B$13)/12)/Inputs!$B$16,0)</f>
        <v>0</v>
      </c>
      <c r="S15" s="0" t="n">
        <f aca="false">IF(S$3=Inputs!$B$13,Inputs!$B$5*(1+Inputs!$B$6)^((Inputs!$B$13)/12)/Inputs!$B$16,0)</f>
        <v>0</v>
      </c>
      <c r="T15" s="0" t="n">
        <f aca="false">IF(T$3=Inputs!$B$13,Inputs!$B$5*(1+Inputs!$B$6)^((Inputs!$B$13)/12)/Inputs!$B$16,0)</f>
        <v>0</v>
      </c>
      <c r="U15" s="0" t="n">
        <f aca="false">IF(U$3=Inputs!$B$13,Inputs!$B$5*(1+Inputs!$B$6)^((Inputs!$B$13)/12)/Inputs!$B$16,0)</f>
        <v>0</v>
      </c>
      <c r="V15" s="0" t="n">
        <f aca="false">IF(V$3=Inputs!$B$13,Inputs!$B$5*(1+Inputs!$B$6)^((Inputs!$B$13)/12)/Inputs!$B$16,0)</f>
        <v>0</v>
      </c>
      <c r="W15" s="0" t="n">
        <f aca="false">IF(W$3=Inputs!$B$13,Inputs!$B$5*(1+Inputs!$B$6)^((Inputs!$B$13)/12)/Inputs!$B$16,0)</f>
        <v>0</v>
      </c>
      <c r="X15" s="0" t="n">
        <f aca="false">IF(X$3=Inputs!$B$13,Inputs!$B$5*(1+Inputs!$B$6)^((Inputs!$B$13)/12)/Inputs!$B$16,0)</f>
        <v>0</v>
      </c>
      <c r="Y15" s="0" t="n">
        <f aca="false">IF(Y$3=Inputs!$B$13,Inputs!$B$5*(1+Inputs!$B$6)^((Inputs!$B$13)/12)/Inputs!$B$16,0)</f>
        <v>0</v>
      </c>
      <c r="Z15" s="0" t="n">
        <f aca="false">IF(Z$3=Inputs!$B$13,Inputs!$B$5*(1+Inputs!$B$6)^((Inputs!$B$13)/12)/Inputs!$B$16,0)</f>
        <v>0</v>
      </c>
      <c r="AA15" s="0" t="n">
        <f aca="false">IF(AA$3=Inputs!$B$13,Inputs!$B$5*(1+Inputs!$B$6)^((Inputs!$B$13)/12)/Inputs!$B$16,0)</f>
        <v>0</v>
      </c>
      <c r="AB15" s="0" t="n">
        <f aca="false">IF(AB$3=Inputs!$B$13,Inputs!$B$5*(1+Inputs!$B$6)^((Inputs!$B$13)/12)/Inputs!$B$16,0)</f>
        <v>0</v>
      </c>
      <c r="AC15" s="0" t="n">
        <f aca="false">IF(AC$3=Inputs!$B$13,Inputs!$B$5*(1+Inputs!$B$6)^((Inputs!$B$13)/12)/Inputs!$B$16,0)</f>
        <v>0</v>
      </c>
      <c r="AD15" s="0" t="n">
        <f aca="false">IF(AD$3=Inputs!$B$13,Inputs!$B$5*(1+Inputs!$B$6)^((Inputs!$B$13)/12)/Inputs!$B$16,0)</f>
        <v>0</v>
      </c>
      <c r="AE15" s="0" t="n">
        <f aca="false">IF(AE$3=Inputs!$B$13,Inputs!$B$5*(1+Inputs!$B$6)^((Inputs!$B$13)/12)/Inputs!$B$16,0)</f>
        <v>0</v>
      </c>
      <c r="AF15" s="0" t="n">
        <f aca="false">IF(AF$3=Inputs!$B$13,Inputs!$B$5*(1+Inputs!$B$6)^((Inputs!$B$13)/12)/Inputs!$B$16,0)</f>
        <v>0</v>
      </c>
      <c r="AG15" s="0" t="n">
        <f aca="false">IF(AG$3=Inputs!$B$13,Inputs!$B$5*(1+Inputs!$B$6)^((Inputs!$B$13)/12)/Inputs!$B$16,0)</f>
        <v>0</v>
      </c>
      <c r="AH15" s="0" t="n">
        <f aca="false">IF(AH$3=Inputs!$B$13,Inputs!$B$5*(1+Inputs!$B$6)^((Inputs!$B$13)/12)/Inputs!$B$16,0)</f>
        <v>0</v>
      </c>
      <c r="AI15" s="0" t="n">
        <f aca="false">IF(AI$3=Inputs!$B$13,Inputs!$B$5*(1+Inputs!$B$6)^((Inputs!$B$13)/12)/Inputs!$B$16,0)</f>
        <v>0</v>
      </c>
      <c r="AJ15" s="0" t="n">
        <f aca="false">IF(AJ$3=Inputs!$B$13,Inputs!$B$5*(1+Inputs!$B$6)^((Inputs!$B$13)/12)/Inputs!$B$16,0)</f>
        <v>0</v>
      </c>
      <c r="AK15" s="0" t="n">
        <f aca="false">IF(AK$3=Inputs!$B$13,Inputs!$B$5*(1+Inputs!$B$6)^((Inputs!$B$13)/12)/Inputs!$B$16,0)</f>
        <v>0</v>
      </c>
      <c r="AL15" s="0" t="n">
        <f aca="false">IF(AL$3=Inputs!$B$13,Inputs!$B$5*(1+Inputs!$B$6)^((Inputs!$B$13)/12)/Inputs!$B$16,0)</f>
        <v>86088682.0588235</v>
      </c>
      <c r="AM15" s="0" t="n">
        <f aca="false">IF(AM$3=Inputs!$B$13,Inputs!$B$5*(1+Inputs!$B$6)^((Inputs!$B$13)/12)/Inputs!$B$16,0)</f>
        <v>0</v>
      </c>
      <c r="AN15" s="0" t="n">
        <f aca="false">IF(AN$3=Inputs!$B$13,Inputs!$B$5*(1+Inputs!$B$6)^((Inputs!$B$13)/12)/Inputs!$B$16,0)</f>
        <v>0</v>
      </c>
      <c r="AO15" s="0" t="n">
        <f aca="false">IF(AO$3=Inputs!$B$13,Inputs!$B$5*(1+Inputs!$B$6)^((Inputs!$B$13)/12)/Inputs!$B$16,0)</f>
        <v>0</v>
      </c>
      <c r="AP15" s="0" t="n">
        <f aca="false">IF(AP$3=Inputs!$B$13,Inputs!$B$5*(1+Inputs!$B$6)^((Inputs!$B$13)/12)/Inputs!$B$16,0)</f>
        <v>0</v>
      </c>
      <c r="AQ15" s="0" t="n">
        <f aca="false">IF(AQ$3=Inputs!$B$13,Inputs!$B$5*(1+Inputs!$B$6)^((Inputs!$B$13)/12)/Inputs!$B$16,0)</f>
        <v>0</v>
      </c>
      <c r="AR15" s="0" t="n">
        <f aca="false">IF(AR$3=Inputs!$B$13,Inputs!$B$5*(1+Inputs!$B$6)^((Inputs!$B$13)/12)/Inputs!$B$16,0)</f>
        <v>0</v>
      </c>
      <c r="AS15" s="0" t="n">
        <f aca="false">IF(AS$3=Inputs!$B$13,Inputs!$B$5*(1+Inputs!$B$6)^((Inputs!$B$13)/12)/Inputs!$B$16,0)</f>
        <v>0</v>
      </c>
      <c r="AT15" s="0" t="n">
        <f aca="false">IF(AT$3=Inputs!$B$13,Inputs!$B$5*(1+Inputs!$B$6)^((Inputs!$B$13)/12)/Inputs!$B$16,0)</f>
        <v>0</v>
      </c>
      <c r="AU15" s="0" t="n">
        <f aca="false">IF(AU$3=Inputs!$B$13,Inputs!$B$5*(1+Inputs!$B$6)^((Inputs!$B$13)/12)/Inputs!$B$16,0)</f>
        <v>0</v>
      </c>
      <c r="AV15" s="0" t="n">
        <f aca="false">IF(AV$3=Inputs!$B$13,Inputs!$B$5*(1+Inputs!$B$6)^((Inputs!$B$13)/12)/Inputs!$B$16,0)</f>
        <v>0</v>
      </c>
      <c r="AW15" s="0" t="n">
        <f aca="false">IF(AW$3=Inputs!$B$13,Inputs!$B$5*(1+Inputs!$B$6)^((Inputs!$B$13)/12)/Inputs!$B$16,0)</f>
        <v>0</v>
      </c>
      <c r="AX15" s="0" t="n">
        <f aca="false">IF(AX$3=Inputs!$B$13,Inputs!$B$5*(1+Inputs!$B$6)^((Inputs!$B$13)/12)/Inputs!$B$16,0)</f>
        <v>0</v>
      </c>
      <c r="AY15" s="0" t="n">
        <f aca="false">IF(AY$3=Inputs!$B$13,Inputs!$B$5*(1+Inputs!$B$6)^((Inputs!$B$13)/12)/Inputs!$B$16,0)</f>
        <v>0</v>
      </c>
      <c r="AZ15" s="0" t="n">
        <f aca="false">IF(AZ$3=Inputs!$B$13,Inputs!$B$5*(1+Inputs!$B$6)^((Inputs!$B$13)/12)/Inputs!$B$16,0)</f>
        <v>0</v>
      </c>
      <c r="BA15" s="0" t="n">
        <f aca="false">IF(BA$3=Inputs!$B$13,Inputs!$B$5*(1+Inputs!$B$6)^((Inputs!$B$13)/12)/Inputs!$B$16,0)</f>
        <v>0</v>
      </c>
      <c r="BB15" s="0" t="n">
        <f aca="false">IF(BB$3=Inputs!$B$13,Inputs!$B$5*(1+Inputs!$B$6)^((Inputs!$B$13)/12)/Inputs!$B$16,0)</f>
        <v>0</v>
      </c>
      <c r="BC15" s="0" t="n">
        <f aca="false">IF(BC$3=Inputs!$B$13,Inputs!$B$5*(1+Inputs!$B$6)^((Inputs!$B$13)/12)/Inputs!$B$16,0)</f>
        <v>0</v>
      </c>
      <c r="BD15" s="0" t="n">
        <f aca="false">IF(BD$3=Inputs!$B$13,Inputs!$B$5*(1+Inputs!$B$6)^((Inputs!$B$13)/12)/Inputs!$B$16,0)</f>
        <v>0</v>
      </c>
      <c r="BE15" s="0" t="n">
        <f aca="false">IF(BE$3=Inputs!$B$13,Inputs!$B$5*(1+Inputs!$B$6)^((Inputs!$B$13)/12)/Inputs!$B$16,0)</f>
        <v>0</v>
      </c>
      <c r="BF15" s="0" t="n">
        <f aca="false">IF(BF$3=Inputs!$B$13,Inputs!$B$5*(1+Inputs!$B$6)^((Inputs!$B$13)/12)/Inputs!$B$16,0)</f>
        <v>0</v>
      </c>
      <c r="BG15" s="0" t="n">
        <f aca="false">IF(BG$3=Inputs!$B$13,Inputs!$B$5*(1+Inputs!$B$6)^((Inputs!$B$13)/12)/Inputs!$B$16,0)</f>
        <v>0</v>
      </c>
      <c r="BH15" s="0" t="n">
        <f aca="false">IF(BH$3=Inputs!$B$13,Inputs!$B$5*(1+Inputs!$B$6)^((Inputs!$B$13)/12)/Inputs!$B$16,0)</f>
        <v>0</v>
      </c>
      <c r="BI15" s="0" t="n">
        <f aca="false">IF(BI$3=Inputs!$B$13,Inputs!$B$5*(1+Inputs!$B$6)^((Inputs!$B$13)/12)/Inputs!$B$16,0)</f>
        <v>0</v>
      </c>
      <c r="BJ15" s="0" t="n">
        <f aca="false">IF(BJ$3=Inputs!$B$13,Inputs!$B$5*(1+Inputs!$B$6)^((Inputs!$B$13)/12)/Inputs!$B$16,0)</f>
        <v>0</v>
      </c>
    </row>
    <row r="16" customFormat="false" ht="15" hidden="false" customHeight="false" outlineLevel="0" collapsed="false">
      <c r="A16" s="0" t="s">
        <v>35</v>
      </c>
      <c r="B16" s="0" t="n">
        <f aca="false">IF(B$3=Inputs!$B$13,MIN(B13,B14,B15),0)</f>
        <v>0</v>
      </c>
      <c r="C16" s="0" t="n">
        <f aca="false">IF(C$3=Inputs!$B$13,MIN(C13,C14,C15),0)</f>
        <v>0</v>
      </c>
      <c r="D16" s="0" t="n">
        <f aca="false">IF(D$3=Inputs!$B$13,MIN(D13,D14,D15),0)</f>
        <v>0</v>
      </c>
      <c r="E16" s="0" t="n">
        <f aca="false">IF(E$3=Inputs!$B$13,MIN(E13,E14,E15),0)</f>
        <v>0</v>
      </c>
      <c r="F16" s="0" t="n">
        <f aca="false">IF(F$3=Inputs!$B$13,MIN(F13,F14,F15),0)</f>
        <v>0</v>
      </c>
      <c r="G16" s="0" t="n">
        <f aca="false">IF(G$3=Inputs!$B$13,MIN(G13,G14,G15),0)</f>
        <v>0</v>
      </c>
      <c r="H16" s="0" t="n">
        <f aca="false">IF(H$3=Inputs!$B$13,MIN(H13,H14,H15),0)</f>
        <v>0</v>
      </c>
      <c r="I16" s="0" t="n">
        <f aca="false">IF(I$3=Inputs!$B$13,MIN(I13,I14,I15),0)</f>
        <v>0</v>
      </c>
      <c r="J16" s="0" t="n">
        <f aca="false">IF(J$3=Inputs!$B$13,MIN(J13,J14,J15),0)</f>
        <v>0</v>
      </c>
      <c r="K16" s="0" t="n">
        <f aca="false">IF(K$3=Inputs!$B$13,MIN(K13,K14,K15),0)</f>
        <v>0</v>
      </c>
      <c r="L16" s="0" t="n">
        <f aca="false">IF(L$3=Inputs!$B$13,MIN(L13,L14,L15),0)</f>
        <v>0</v>
      </c>
      <c r="M16" s="0" t="n">
        <f aca="false">IF(M$3=Inputs!$B$13,MIN(M13,M14,M15),0)</f>
        <v>0</v>
      </c>
      <c r="N16" s="0" t="n">
        <f aca="false">IF(N$3=Inputs!$B$13,MIN(N13,N14,N15),0)</f>
        <v>0</v>
      </c>
      <c r="O16" s="0" t="n">
        <f aca="false">IF(O$3=Inputs!$B$13,MIN(O13,O14,O15),0)</f>
        <v>0</v>
      </c>
      <c r="P16" s="0" t="n">
        <f aca="false">IF(P$3=Inputs!$B$13,MIN(P13,P14,P15),0)</f>
        <v>0</v>
      </c>
      <c r="Q16" s="0" t="n">
        <f aca="false">IF(Q$3=Inputs!$B$13,MIN(Q13,Q14,Q15),0)</f>
        <v>0</v>
      </c>
      <c r="R16" s="0" t="n">
        <f aca="false">IF(R$3=Inputs!$B$13,MIN(R13,R14,R15),0)</f>
        <v>0</v>
      </c>
      <c r="S16" s="0" t="n">
        <f aca="false">IF(S$3=Inputs!$B$13,MIN(S13,S14,S15),0)</f>
        <v>0</v>
      </c>
      <c r="T16" s="0" t="n">
        <f aca="false">IF(T$3=Inputs!$B$13,MIN(T13,T14,T15),0)</f>
        <v>0</v>
      </c>
      <c r="U16" s="0" t="n">
        <f aca="false">IF(U$3=Inputs!$B$13,MIN(U13,U14,U15),0)</f>
        <v>0</v>
      </c>
      <c r="V16" s="0" t="n">
        <f aca="false">IF(V$3=Inputs!$B$13,MIN(V13,V14,V15),0)</f>
        <v>0</v>
      </c>
      <c r="W16" s="0" t="n">
        <f aca="false">IF(W$3=Inputs!$B$13,MIN(W13,W14,W15),0)</f>
        <v>0</v>
      </c>
      <c r="X16" s="0" t="n">
        <f aca="false">IF(X$3=Inputs!$B$13,MIN(X13,X14,X15),0)</f>
        <v>0</v>
      </c>
      <c r="Y16" s="0" t="n">
        <f aca="false">IF(Y$3=Inputs!$B$13,MIN(Y13,Y14,Y15),0)</f>
        <v>0</v>
      </c>
      <c r="Z16" s="0" t="n">
        <f aca="false">IF(Z$3=Inputs!$B$13,MIN(Z13,Z14,Z15),0)</f>
        <v>0</v>
      </c>
      <c r="AA16" s="0" t="n">
        <f aca="false">IF(AA$3=Inputs!$B$13,MIN(AA13,AA14,AA15),0)</f>
        <v>0</v>
      </c>
      <c r="AB16" s="0" t="n">
        <f aca="false">IF(AB$3=Inputs!$B$13,MIN(AB13,AB14,AB15),0)</f>
        <v>0</v>
      </c>
      <c r="AC16" s="0" t="n">
        <f aca="false">IF(AC$3=Inputs!$B$13,MIN(AC13,AC14,AC15),0)</f>
        <v>0</v>
      </c>
      <c r="AD16" s="0" t="n">
        <f aca="false">IF(AD$3=Inputs!$B$13,MIN(AD13,AD14,AD15),0)</f>
        <v>0</v>
      </c>
      <c r="AE16" s="0" t="n">
        <f aca="false">IF(AE$3=Inputs!$B$13,MIN(AE13,AE14,AE15),0)</f>
        <v>0</v>
      </c>
      <c r="AF16" s="0" t="n">
        <f aca="false">IF(AF$3=Inputs!$B$13,MIN(AF13,AF14,AF15),0)</f>
        <v>0</v>
      </c>
      <c r="AG16" s="0" t="n">
        <f aca="false">IF(AG$3=Inputs!$B$13,MIN(AG13,AG14,AG15),0)</f>
        <v>0</v>
      </c>
      <c r="AH16" s="0" t="n">
        <f aca="false">IF(AH$3=Inputs!$B$13,MIN(AH13,AH14,AH15),0)</f>
        <v>0</v>
      </c>
      <c r="AI16" s="0" t="n">
        <f aca="false">IF(AI$3=Inputs!$B$13,MIN(AI13,AI14,AI15),0)</f>
        <v>0</v>
      </c>
      <c r="AJ16" s="0" t="n">
        <f aca="false">IF(AJ$3=Inputs!$B$13,MIN(AJ13,AJ14,AJ15),0)</f>
        <v>0</v>
      </c>
      <c r="AK16" s="0" t="n">
        <f aca="false">IF(AK$3=Inputs!$B$13,MIN(AK13,AK14,AK15),0)</f>
        <v>0</v>
      </c>
      <c r="AL16" s="0" t="n">
        <f aca="false">IF(AL$3=Inputs!$B$13,MIN(AL13,AL14,AL15),0)</f>
        <v>83629005.4285714</v>
      </c>
      <c r="AM16" s="0" t="n">
        <f aca="false">IF(AM$3=Inputs!$B$13,MIN(AM13,AM14,AM15),0)</f>
        <v>0</v>
      </c>
      <c r="AN16" s="0" t="n">
        <f aca="false">IF(AN$3=Inputs!$B$13,MIN(AN13,AN14,AN15),0)</f>
        <v>0</v>
      </c>
      <c r="AO16" s="0" t="n">
        <f aca="false">IF(AO$3=Inputs!$B$13,MIN(AO13,AO14,AO15),0)</f>
        <v>0</v>
      </c>
      <c r="AP16" s="0" t="n">
        <f aca="false">IF(AP$3=Inputs!$B$13,MIN(AP13,AP14,AP15),0)</f>
        <v>0</v>
      </c>
      <c r="AQ16" s="0" t="n">
        <f aca="false">IF(AQ$3=Inputs!$B$13,MIN(AQ13,AQ14,AQ15),0)</f>
        <v>0</v>
      </c>
      <c r="AR16" s="0" t="n">
        <f aca="false">IF(AR$3=Inputs!$B$13,MIN(AR13,AR14,AR15),0)</f>
        <v>0</v>
      </c>
      <c r="AS16" s="0" t="n">
        <f aca="false">IF(AS$3=Inputs!$B$13,MIN(AS13,AS14,AS15),0)</f>
        <v>0</v>
      </c>
      <c r="AT16" s="0" t="n">
        <f aca="false">IF(AT$3=Inputs!$B$13,MIN(AT13,AT14,AT15),0)</f>
        <v>0</v>
      </c>
      <c r="AU16" s="0" t="n">
        <f aca="false">IF(AU$3=Inputs!$B$13,MIN(AU13,AU14,AU15),0)</f>
        <v>0</v>
      </c>
      <c r="AV16" s="0" t="n">
        <f aca="false">IF(AV$3=Inputs!$B$13,MIN(AV13,AV14,AV15),0)</f>
        <v>0</v>
      </c>
      <c r="AW16" s="0" t="n">
        <f aca="false">IF(AW$3=Inputs!$B$13,MIN(AW13,AW14,AW15),0)</f>
        <v>0</v>
      </c>
      <c r="AX16" s="0" t="n">
        <f aca="false">IF(AX$3=Inputs!$B$13,MIN(AX13,AX14,AX15),0)</f>
        <v>0</v>
      </c>
      <c r="AY16" s="0" t="n">
        <f aca="false">IF(AY$3=Inputs!$B$13,MIN(AY13,AY14,AY15),0)</f>
        <v>0</v>
      </c>
      <c r="AZ16" s="0" t="n">
        <f aca="false">IF(AZ$3=Inputs!$B$13,MIN(AZ13,AZ14,AZ15),0)</f>
        <v>0</v>
      </c>
      <c r="BA16" s="0" t="n">
        <f aca="false">IF(BA$3=Inputs!$B$13,MIN(BA13,BA14,BA15),0)</f>
        <v>0</v>
      </c>
      <c r="BB16" s="0" t="n">
        <f aca="false">IF(BB$3=Inputs!$B$13,MIN(BB13,BB14,BB15),0)</f>
        <v>0</v>
      </c>
      <c r="BC16" s="0" t="n">
        <f aca="false">IF(BC$3=Inputs!$B$13,MIN(BC13,BC14,BC15),0)</f>
        <v>0</v>
      </c>
      <c r="BD16" s="0" t="n">
        <f aca="false">IF(BD$3=Inputs!$B$13,MIN(BD13,BD14,BD15),0)</f>
        <v>0</v>
      </c>
      <c r="BE16" s="0" t="n">
        <f aca="false">IF(BE$3=Inputs!$B$13,MIN(BE13,BE14,BE15),0)</f>
        <v>0</v>
      </c>
      <c r="BF16" s="0" t="n">
        <f aca="false">IF(BF$3=Inputs!$B$13,MIN(BF13,BF14,BF15),0)</f>
        <v>0</v>
      </c>
      <c r="BG16" s="0" t="n">
        <f aca="false">IF(BG$3=Inputs!$B$13,MIN(BG13,BG14,BG15),0)</f>
        <v>0</v>
      </c>
      <c r="BH16" s="0" t="n">
        <f aca="false">IF(BH$3=Inputs!$B$13,MIN(BH13,BH14,BH15),0)</f>
        <v>0</v>
      </c>
      <c r="BI16" s="0" t="n">
        <f aca="false">IF(BI$3=Inputs!$B$13,MIN(BI13,BI14,BI15),0)</f>
        <v>0</v>
      </c>
      <c r="BJ16" s="0" t="n">
        <f aca="false">IF(BJ$3=Inputs!$B$13,MIN(BJ13,BJ14,BJ15),0)</f>
        <v>0</v>
      </c>
    </row>
    <row r="17" customFormat="false" ht="15" hidden="false" customHeight="false" outlineLevel="0" collapsed="false">
      <c r="A17" s="0" t="s">
        <v>36</v>
      </c>
      <c r="B17" s="0" t="n">
        <f aca="false">IF(B$3=Inputs!$B$13,Inputs!$B$3*Inputs!$B$7,0)</f>
        <v>0</v>
      </c>
      <c r="C17" s="0" t="n">
        <f aca="false">IF(C$3=Inputs!$B$13,Inputs!$B$3*Inputs!$B$7,0)</f>
        <v>0</v>
      </c>
      <c r="D17" s="0" t="n">
        <f aca="false">IF(D$3=Inputs!$B$13,Inputs!$B$3*Inputs!$B$7,0)</f>
        <v>0</v>
      </c>
      <c r="E17" s="0" t="n">
        <f aca="false">IF(E$3=Inputs!$B$13,Inputs!$B$3*Inputs!$B$7,0)</f>
        <v>0</v>
      </c>
      <c r="F17" s="0" t="n">
        <f aca="false">IF(F$3=Inputs!$B$13,Inputs!$B$3*Inputs!$B$7,0)</f>
        <v>0</v>
      </c>
      <c r="G17" s="0" t="n">
        <f aca="false">IF(G$3=Inputs!$B$13,Inputs!$B$3*Inputs!$B$7,0)</f>
        <v>0</v>
      </c>
      <c r="H17" s="0" t="n">
        <f aca="false">IF(H$3=Inputs!$B$13,Inputs!$B$3*Inputs!$B$7,0)</f>
        <v>0</v>
      </c>
      <c r="I17" s="0" t="n">
        <f aca="false">IF(I$3=Inputs!$B$13,Inputs!$B$3*Inputs!$B$7,0)</f>
        <v>0</v>
      </c>
      <c r="J17" s="0" t="n">
        <f aca="false">IF(J$3=Inputs!$B$13,Inputs!$B$3*Inputs!$B$7,0)</f>
        <v>0</v>
      </c>
      <c r="K17" s="0" t="n">
        <f aca="false">IF(K$3=Inputs!$B$13,Inputs!$B$3*Inputs!$B$7,0)</f>
        <v>0</v>
      </c>
      <c r="L17" s="0" t="n">
        <f aca="false">IF(L$3=Inputs!$B$13,Inputs!$B$3*Inputs!$B$7,0)</f>
        <v>0</v>
      </c>
      <c r="M17" s="0" t="n">
        <f aca="false">IF(M$3=Inputs!$B$13,Inputs!$B$3*Inputs!$B$7,0)</f>
        <v>0</v>
      </c>
      <c r="N17" s="0" t="n">
        <f aca="false">IF(N$3=Inputs!$B$13,Inputs!$B$3*Inputs!$B$7,0)</f>
        <v>0</v>
      </c>
      <c r="O17" s="0" t="n">
        <f aca="false">IF(O$3=Inputs!$B$13,Inputs!$B$3*Inputs!$B$7,0)</f>
        <v>0</v>
      </c>
      <c r="P17" s="0" t="n">
        <f aca="false">IF(P$3=Inputs!$B$13,Inputs!$B$3*Inputs!$B$7,0)</f>
        <v>0</v>
      </c>
      <c r="Q17" s="0" t="n">
        <f aca="false">IF(Q$3=Inputs!$B$13,Inputs!$B$3*Inputs!$B$7,0)</f>
        <v>0</v>
      </c>
      <c r="R17" s="0" t="n">
        <f aca="false">IF(R$3=Inputs!$B$13,Inputs!$B$3*Inputs!$B$7,0)</f>
        <v>0</v>
      </c>
      <c r="S17" s="0" t="n">
        <f aca="false">IF(S$3=Inputs!$B$13,Inputs!$B$3*Inputs!$B$7,0)</f>
        <v>0</v>
      </c>
      <c r="T17" s="0" t="n">
        <f aca="false">IF(T$3=Inputs!$B$13,Inputs!$B$3*Inputs!$B$7,0)</f>
        <v>0</v>
      </c>
      <c r="U17" s="0" t="n">
        <f aca="false">IF(U$3=Inputs!$B$13,Inputs!$B$3*Inputs!$B$7,0)</f>
        <v>0</v>
      </c>
      <c r="V17" s="0" t="n">
        <f aca="false">IF(V$3=Inputs!$B$13,Inputs!$B$3*Inputs!$B$7,0)</f>
        <v>0</v>
      </c>
      <c r="W17" s="0" t="n">
        <f aca="false">IF(W$3=Inputs!$B$13,Inputs!$B$3*Inputs!$B$7,0)</f>
        <v>0</v>
      </c>
      <c r="X17" s="0" t="n">
        <f aca="false">IF(X$3=Inputs!$B$13,Inputs!$B$3*Inputs!$B$7,0)</f>
        <v>0</v>
      </c>
      <c r="Y17" s="0" t="n">
        <f aca="false">IF(Y$3=Inputs!$B$13,Inputs!$B$3*Inputs!$B$7,0)</f>
        <v>0</v>
      </c>
      <c r="Z17" s="0" t="n">
        <f aca="false">IF(Z$3=Inputs!$B$13,Inputs!$B$3*Inputs!$B$7,0)</f>
        <v>0</v>
      </c>
      <c r="AA17" s="0" t="n">
        <f aca="false">IF(AA$3=Inputs!$B$13,Inputs!$B$3*Inputs!$B$7,0)</f>
        <v>0</v>
      </c>
      <c r="AB17" s="0" t="n">
        <f aca="false">IF(AB$3=Inputs!$B$13,Inputs!$B$3*Inputs!$B$7,0)</f>
        <v>0</v>
      </c>
      <c r="AC17" s="0" t="n">
        <f aca="false">IF(AC$3=Inputs!$B$13,Inputs!$B$3*Inputs!$B$7,0)</f>
        <v>0</v>
      </c>
      <c r="AD17" s="0" t="n">
        <f aca="false">IF(AD$3=Inputs!$B$13,Inputs!$B$3*Inputs!$B$7,0)</f>
        <v>0</v>
      </c>
      <c r="AE17" s="0" t="n">
        <f aca="false">IF(AE$3=Inputs!$B$13,Inputs!$B$3*Inputs!$B$7,0)</f>
        <v>0</v>
      </c>
      <c r="AF17" s="0" t="n">
        <f aca="false">IF(AF$3=Inputs!$B$13,Inputs!$B$3*Inputs!$B$7,0)</f>
        <v>0</v>
      </c>
      <c r="AG17" s="0" t="n">
        <f aca="false">IF(AG$3=Inputs!$B$13,Inputs!$B$3*Inputs!$B$7,0)</f>
        <v>0</v>
      </c>
      <c r="AH17" s="0" t="n">
        <f aca="false">IF(AH$3=Inputs!$B$13,Inputs!$B$3*Inputs!$B$7,0)</f>
        <v>0</v>
      </c>
      <c r="AI17" s="0" t="n">
        <f aca="false">IF(AI$3=Inputs!$B$13,Inputs!$B$3*Inputs!$B$7,0)</f>
        <v>0</v>
      </c>
      <c r="AJ17" s="0" t="n">
        <f aca="false">IF(AJ$3=Inputs!$B$13,Inputs!$B$3*Inputs!$B$7,0)</f>
        <v>0</v>
      </c>
      <c r="AK17" s="0" t="n">
        <f aca="false">IF(AK$3=Inputs!$B$13,Inputs!$B$3*Inputs!$B$7,0)</f>
        <v>0</v>
      </c>
      <c r="AL17" s="0" t="n">
        <f aca="false">IF(AL$3=Inputs!$B$13,Inputs!$B$3*Inputs!$B$7,0)</f>
        <v>78000000</v>
      </c>
      <c r="AM17" s="0" t="n">
        <f aca="false">IF(AM$3=Inputs!$B$13,Inputs!$B$3*Inputs!$B$7,0)</f>
        <v>0</v>
      </c>
      <c r="AN17" s="0" t="n">
        <f aca="false">IF(AN$3=Inputs!$B$13,Inputs!$B$3*Inputs!$B$7,0)</f>
        <v>0</v>
      </c>
      <c r="AO17" s="0" t="n">
        <f aca="false">IF(AO$3=Inputs!$B$13,Inputs!$B$3*Inputs!$B$7,0)</f>
        <v>0</v>
      </c>
      <c r="AP17" s="0" t="n">
        <f aca="false">IF(AP$3=Inputs!$B$13,Inputs!$B$3*Inputs!$B$7,0)</f>
        <v>0</v>
      </c>
      <c r="AQ17" s="0" t="n">
        <f aca="false">IF(AQ$3=Inputs!$B$13,Inputs!$B$3*Inputs!$B$7,0)</f>
        <v>0</v>
      </c>
      <c r="AR17" s="0" t="n">
        <f aca="false">IF(AR$3=Inputs!$B$13,Inputs!$B$3*Inputs!$B$7,0)</f>
        <v>0</v>
      </c>
      <c r="AS17" s="0" t="n">
        <f aca="false">IF(AS$3=Inputs!$B$13,Inputs!$B$3*Inputs!$B$7,0)</f>
        <v>0</v>
      </c>
      <c r="AT17" s="0" t="n">
        <f aca="false">IF(AT$3=Inputs!$B$13,Inputs!$B$3*Inputs!$B$7,0)</f>
        <v>0</v>
      </c>
      <c r="AU17" s="0" t="n">
        <f aca="false">IF(AU$3=Inputs!$B$13,Inputs!$B$3*Inputs!$B$7,0)</f>
        <v>0</v>
      </c>
      <c r="AV17" s="0" t="n">
        <f aca="false">IF(AV$3=Inputs!$B$13,Inputs!$B$3*Inputs!$B$7,0)</f>
        <v>0</v>
      </c>
      <c r="AW17" s="0" t="n">
        <f aca="false">IF(AW$3=Inputs!$B$13,Inputs!$B$3*Inputs!$B$7,0)</f>
        <v>0</v>
      </c>
      <c r="AX17" s="0" t="n">
        <f aca="false">IF(AX$3=Inputs!$B$13,Inputs!$B$3*Inputs!$B$7,0)</f>
        <v>0</v>
      </c>
      <c r="AY17" s="0" t="n">
        <f aca="false">IF(AY$3=Inputs!$B$13,Inputs!$B$3*Inputs!$B$7,0)</f>
        <v>0</v>
      </c>
      <c r="AZ17" s="0" t="n">
        <f aca="false">IF(AZ$3=Inputs!$B$13,Inputs!$B$3*Inputs!$B$7,0)</f>
        <v>0</v>
      </c>
      <c r="BA17" s="0" t="n">
        <f aca="false">IF(BA$3=Inputs!$B$13,Inputs!$B$3*Inputs!$B$7,0)</f>
        <v>0</v>
      </c>
      <c r="BB17" s="0" t="n">
        <f aca="false">IF(BB$3=Inputs!$B$13,Inputs!$B$3*Inputs!$B$7,0)</f>
        <v>0</v>
      </c>
      <c r="BC17" s="0" t="n">
        <f aca="false">IF(BC$3=Inputs!$B$13,Inputs!$B$3*Inputs!$B$7,0)</f>
        <v>0</v>
      </c>
      <c r="BD17" s="0" t="n">
        <f aca="false">IF(BD$3=Inputs!$B$13,Inputs!$B$3*Inputs!$B$7,0)</f>
        <v>0</v>
      </c>
      <c r="BE17" s="0" t="n">
        <f aca="false">IF(BE$3=Inputs!$B$13,Inputs!$B$3*Inputs!$B$7,0)</f>
        <v>0</v>
      </c>
      <c r="BF17" s="0" t="n">
        <f aca="false">IF(BF$3=Inputs!$B$13,Inputs!$B$3*Inputs!$B$7,0)</f>
        <v>0</v>
      </c>
      <c r="BG17" s="0" t="n">
        <f aca="false">IF(BG$3=Inputs!$B$13,Inputs!$B$3*Inputs!$B$7,0)</f>
        <v>0</v>
      </c>
      <c r="BH17" s="0" t="n">
        <f aca="false">IF(BH$3=Inputs!$B$13,Inputs!$B$3*Inputs!$B$7,0)</f>
        <v>0</v>
      </c>
      <c r="BI17" s="0" t="n">
        <f aca="false">IF(BI$3=Inputs!$B$13,Inputs!$B$3*Inputs!$B$7,0)</f>
        <v>0</v>
      </c>
      <c r="BJ17" s="0" t="n">
        <f aca="false">IF(BJ$3=Inputs!$B$13,Inputs!$B$3*Inputs!$B$7,0)</f>
        <v>0</v>
      </c>
    </row>
    <row r="18" customFormat="false" ht="15" hidden="false" customHeight="false" outlineLevel="0" collapsed="false">
      <c r="A18" s="0" t="s">
        <v>37</v>
      </c>
      <c r="B18" s="0" t="n">
        <f aca="false">B16-B17</f>
        <v>0</v>
      </c>
      <c r="C18" s="0" t="n">
        <f aca="false">C16-C17</f>
        <v>0</v>
      </c>
      <c r="D18" s="0" t="n">
        <f aca="false">D16-D17</f>
        <v>0</v>
      </c>
      <c r="E18" s="0" t="n">
        <f aca="false">E16-E17</f>
        <v>0</v>
      </c>
      <c r="F18" s="0" t="n">
        <f aca="false">F16-F17</f>
        <v>0</v>
      </c>
      <c r="G18" s="0" t="n">
        <f aca="false">G16-G17</f>
        <v>0</v>
      </c>
      <c r="H18" s="0" t="n">
        <f aca="false">H16-H17</f>
        <v>0</v>
      </c>
      <c r="I18" s="0" t="n">
        <f aca="false">I16-I17</f>
        <v>0</v>
      </c>
      <c r="J18" s="0" t="n">
        <f aca="false">J16-J17</f>
        <v>0</v>
      </c>
      <c r="K18" s="0" t="n">
        <f aca="false">K16-K17</f>
        <v>0</v>
      </c>
      <c r="L18" s="0" t="n">
        <f aca="false">L16-L17</f>
        <v>0</v>
      </c>
      <c r="M18" s="0" t="n">
        <f aca="false">M16-M17</f>
        <v>0</v>
      </c>
      <c r="N18" s="0" t="n">
        <f aca="false">N16-N17</f>
        <v>0</v>
      </c>
      <c r="O18" s="0" t="n">
        <f aca="false">O16-O17</f>
        <v>0</v>
      </c>
      <c r="P18" s="0" t="n">
        <f aca="false">P16-P17</f>
        <v>0</v>
      </c>
      <c r="Q18" s="0" t="n">
        <f aca="false">Q16-Q17</f>
        <v>0</v>
      </c>
      <c r="R18" s="0" t="n">
        <f aca="false">R16-R17</f>
        <v>0</v>
      </c>
      <c r="S18" s="0" t="n">
        <f aca="false">S16-S17</f>
        <v>0</v>
      </c>
      <c r="T18" s="0" t="n">
        <f aca="false">T16-T17</f>
        <v>0</v>
      </c>
      <c r="U18" s="0" t="n">
        <f aca="false">U16-U17</f>
        <v>0</v>
      </c>
      <c r="V18" s="0" t="n">
        <f aca="false">V16-V17</f>
        <v>0</v>
      </c>
      <c r="W18" s="0" t="n">
        <f aca="false">W16-W17</f>
        <v>0</v>
      </c>
      <c r="X18" s="0" t="n">
        <f aca="false">X16-X17</f>
        <v>0</v>
      </c>
      <c r="Y18" s="0" t="n">
        <f aca="false">Y16-Y17</f>
        <v>0</v>
      </c>
      <c r="Z18" s="0" t="n">
        <f aca="false">Z16-Z17</f>
        <v>0</v>
      </c>
      <c r="AA18" s="0" t="n">
        <f aca="false">AA16-AA17</f>
        <v>0</v>
      </c>
      <c r="AB18" s="0" t="n">
        <f aca="false">AB16-AB17</f>
        <v>0</v>
      </c>
      <c r="AC18" s="0" t="n">
        <f aca="false">AC16-AC17</f>
        <v>0</v>
      </c>
      <c r="AD18" s="0" t="n">
        <f aca="false">AD16-AD17</f>
        <v>0</v>
      </c>
      <c r="AE18" s="0" t="n">
        <f aca="false">AE16-AE17</f>
        <v>0</v>
      </c>
      <c r="AF18" s="0" t="n">
        <f aca="false">AF16-AF17</f>
        <v>0</v>
      </c>
      <c r="AG18" s="0" t="n">
        <f aca="false">AG16-AG17</f>
        <v>0</v>
      </c>
      <c r="AH18" s="0" t="n">
        <f aca="false">AH16-AH17</f>
        <v>0</v>
      </c>
      <c r="AI18" s="0" t="n">
        <f aca="false">AI16-AI17</f>
        <v>0</v>
      </c>
      <c r="AJ18" s="0" t="n">
        <f aca="false">AJ16-AJ17</f>
        <v>0</v>
      </c>
      <c r="AK18" s="0" t="n">
        <f aca="false">AK16-AK17</f>
        <v>0</v>
      </c>
      <c r="AL18" s="0" t="n">
        <f aca="false">AL16-AL17</f>
        <v>5629005.42857142</v>
      </c>
      <c r="AM18" s="0" t="n">
        <f aca="false">AM16-AM17</f>
        <v>0</v>
      </c>
      <c r="AN18" s="0" t="n">
        <f aca="false">AN16-AN17</f>
        <v>0</v>
      </c>
      <c r="AO18" s="0" t="n">
        <f aca="false">AO16-AO17</f>
        <v>0</v>
      </c>
      <c r="AP18" s="0" t="n">
        <f aca="false">AP16-AP17</f>
        <v>0</v>
      </c>
      <c r="AQ18" s="0" t="n">
        <f aca="false">AQ16-AQ17</f>
        <v>0</v>
      </c>
      <c r="AR18" s="0" t="n">
        <f aca="false">AR16-AR17</f>
        <v>0</v>
      </c>
      <c r="AS18" s="0" t="n">
        <f aca="false">AS16-AS17</f>
        <v>0</v>
      </c>
      <c r="AT18" s="0" t="n">
        <f aca="false">AT16-AT17</f>
        <v>0</v>
      </c>
      <c r="AU18" s="0" t="n">
        <f aca="false">AU16-AU17</f>
        <v>0</v>
      </c>
      <c r="AV18" s="0" t="n">
        <f aca="false">AV16-AV17</f>
        <v>0</v>
      </c>
      <c r="AW18" s="0" t="n">
        <f aca="false">AW16-AW17</f>
        <v>0</v>
      </c>
      <c r="AX18" s="0" t="n">
        <f aca="false">AX16-AX17</f>
        <v>0</v>
      </c>
      <c r="AY18" s="0" t="n">
        <f aca="false">AY16-AY17</f>
        <v>0</v>
      </c>
      <c r="AZ18" s="0" t="n">
        <f aca="false">AZ16-AZ17</f>
        <v>0</v>
      </c>
      <c r="BA18" s="0" t="n">
        <f aca="false">BA16-BA17</f>
        <v>0</v>
      </c>
      <c r="BB18" s="0" t="n">
        <f aca="false">BB16-BB17</f>
        <v>0</v>
      </c>
      <c r="BC18" s="0" t="n">
        <f aca="false">BC16-BC17</f>
        <v>0</v>
      </c>
      <c r="BD18" s="0" t="n">
        <f aca="false">BD16-BD17</f>
        <v>0</v>
      </c>
      <c r="BE18" s="0" t="n">
        <f aca="false">BE16-BE17</f>
        <v>0</v>
      </c>
      <c r="BF18" s="0" t="n">
        <f aca="false">BF16-BF17</f>
        <v>0</v>
      </c>
      <c r="BG18" s="0" t="n">
        <f aca="false">BG16-BG17</f>
        <v>0</v>
      </c>
      <c r="BH18" s="0" t="n">
        <f aca="false">BH16-BH17</f>
        <v>0</v>
      </c>
      <c r="BI18" s="0" t="n">
        <f aca="false">BI16-BI17</f>
        <v>0</v>
      </c>
      <c r="BJ18" s="0" t="n">
        <f aca="false">BJ16-BJ17</f>
        <v>0</v>
      </c>
    </row>
    <row r="19" customFormat="false" ht="15" hidden="false" customHeight="false" outlineLevel="0" collapsed="false">
      <c r="A19" s="0" t="s">
        <v>38</v>
      </c>
      <c r="B19" s="0" t="n">
        <f aca="false">0</f>
        <v>0</v>
      </c>
      <c r="C19" s="0" t="n">
        <f aca="false">IF(C$3=Inputs!$B$13,C16,IF(C$3&gt;Inputs!$B$13,B19-C21,0))</f>
        <v>0</v>
      </c>
      <c r="D19" s="0" t="n">
        <f aca="false">IF(D$3=Inputs!$B$13,D16,IF(D$3&gt;Inputs!$B$13,C19-D21,0))</f>
        <v>0</v>
      </c>
      <c r="E19" s="0" t="n">
        <f aca="false">IF(E$3=Inputs!$B$13,E16,IF(E$3&gt;Inputs!$B$13,D19-E21,0))</f>
        <v>0</v>
      </c>
      <c r="F19" s="0" t="n">
        <f aca="false">IF(F$3=Inputs!$B$13,F16,IF(F$3&gt;Inputs!$B$13,E19-F21,0))</f>
        <v>0</v>
      </c>
      <c r="G19" s="0" t="n">
        <f aca="false">IF(G$3=Inputs!$B$13,G16,IF(G$3&gt;Inputs!$B$13,F19-G21,0))</f>
        <v>0</v>
      </c>
      <c r="H19" s="0" t="n">
        <f aca="false">IF(H$3=Inputs!$B$13,H16,IF(H$3&gt;Inputs!$B$13,G19-H21,0))</f>
        <v>0</v>
      </c>
      <c r="I19" s="0" t="n">
        <f aca="false">IF(I$3=Inputs!$B$13,I16,IF(I$3&gt;Inputs!$B$13,H19-I21,0))</f>
        <v>0</v>
      </c>
      <c r="J19" s="0" t="n">
        <f aca="false">IF(J$3=Inputs!$B$13,J16,IF(J$3&gt;Inputs!$B$13,I19-J21,0))</f>
        <v>0</v>
      </c>
      <c r="K19" s="0" t="n">
        <f aca="false">IF(K$3=Inputs!$B$13,K16,IF(K$3&gt;Inputs!$B$13,J19-K21,0))</f>
        <v>0</v>
      </c>
      <c r="L19" s="0" t="n">
        <f aca="false">IF(L$3=Inputs!$B$13,L16,IF(L$3&gt;Inputs!$B$13,K19-L21,0))</f>
        <v>0</v>
      </c>
      <c r="M19" s="0" t="n">
        <f aca="false">IF(M$3=Inputs!$B$13,M16,IF(M$3&gt;Inputs!$B$13,L19-M21,0))</f>
        <v>0</v>
      </c>
      <c r="N19" s="0" t="n">
        <f aca="false">IF(N$3=Inputs!$B$13,N16,IF(N$3&gt;Inputs!$B$13,M19-N21,0))</f>
        <v>0</v>
      </c>
      <c r="O19" s="0" t="n">
        <f aca="false">IF(O$3=Inputs!$B$13,O16,IF(O$3&gt;Inputs!$B$13,N19-O21,0))</f>
        <v>0</v>
      </c>
      <c r="P19" s="0" t="n">
        <f aca="false">IF(P$3=Inputs!$B$13,P16,IF(P$3&gt;Inputs!$B$13,O19-P21,0))</f>
        <v>0</v>
      </c>
      <c r="Q19" s="0" t="n">
        <f aca="false">IF(Q$3=Inputs!$B$13,Q16,IF(Q$3&gt;Inputs!$B$13,P19-Q21,0))</f>
        <v>0</v>
      </c>
      <c r="R19" s="0" t="n">
        <f aca="false">IF(R$3=Inputs!$B$13,R16,IF(R$3&gt;Inputs!$B$13,Q19-R21,0))</f>
        <v>0</v>
      </c>
      <c r="S19" s="0" t="n">
        <f aca="false">IF(S$3=Inputs!$B$13,S16,IF(S$3&gt;Inputs!$B$13,R19-S21,0))</f>
        <v>0</v>
      </c>
      <c r="T19" s="0" t="n">
        <f aca="false">IF(T$3=Inputs!$B$13,T16,IF(T$3&gt;Inputs!$B$13,S19-T21,0))</f>
        <v>0</v>
      </c>
      <c r="U19" s="0" t="n">
        <f aca="false">IF(U$3=Inputs!$B$13,U16,IF(U$3&gt;Inputs!$B$13,T19-U21,0))</f>
        <v>0</v>
      </c>
      <c r="V19" s="0" t="n">
        <f aca="false">IF(V$3=Inputs!$B$13,V16,IF(V$3&gt;Inputs!$B$13,U19-V21,0))</f>
        <v>0</v>
      </c>
      <c r="W19" s="0" t="n">
        <f aca="false">IF(W$3=Inputs!$B$13,W16,IF(W$3&gt;Inputs!$B$13,V19-W21,0))</f>
        <v>0</v>
      </c>
      <c r="X19" s="0" t="n">
        <f aca="false">IF(X$3=Inputs!$B$13,X16,IF(X$3&gt;Inputs!$B$13,W19-X21,0))</f>
        <v>0</v>
      </c>
      <c r="Y19" s="0" t="n">
        <f aca="false">IF(Y$3=Inputs!$B$13,Y16,IF(Y$3&gt;Inputs!$B$13,X19-Y21,0))</f>
        <v>0</v>
      </c>
      <c r="Z19" s="0" t="n">
        <f aca="false">IF(Z$3=Inputs!$B$13,Z16,IF(Z$3&gt;Inputs!$B$13,Y19-Z21,0))</f>
        <v>0</v>
      </c>
      <c r="AA19" s="0" t="n">
        <f aca="false">IF(AA$3=Inputs!$B$13,AA16,IF(AA$3&gt;Inputs!$B$13,Z19-AA21,0))</f>
        <v>0</v>
      </c>
      <c r="AB19" s="0" t="n">
        <f aca="false">IF(AB$3=Inputs!$B$13,AB16,IF(AB$3&gt;Inputs!$B$13,AA19-AB21,0))</f>
        <v>0</v>
      </c>
      <c r="AC19" s="0" t="n">
        <f aca="false">IF(AC$3=Inputs!$B$13,AC16,IF(AC$3&gt;Inputs!$B$13,AB19-AC21,0))</f>
        <v>0</v>
      </c>
      <c r="AD19" s="0" t="n">
        <f aca="false">IF(AD$3=Inputs!$B$13,AD16,IF(AD$3&gt;Inputs!$B$13,AC19-AD21,0))</f>
        <v>0</v>
      </c>
      <c r="AE19" s="0" t="n">
        <f aca="false">IF(AE$3=Inputs!$B$13,AE16,IF(AE$3&gt;Inputs!$B$13,AD19-AE21,0))</f>
        <v>0</v>
      </c>
      <c r="AF19" s="0" t="n">
        <f aca="false">IF(AF$3=Inputs!$B$13,AF16,IF(AF$3&gt;Inputs!$B$13,AE19-AF21,0))</f>
        <v>0</v>
      </c>
      <c r="AG19" s="0" t="n">
        <f aca="false">IF(AG$3=Inputs!$B$13,AG16,IF(AG$3&gt;Inputs!$B$13,AF19-AG21,0))</f>
        <v>0</v>
      </c>
      <c r="AH19" s="0" t="n">
        <f aca="false">IF(AH$3=Inputs!$B$13,AH16,IF(AH$3&gt;Inputs!$B$13,AG19-AH21,0))</f>
        <v>0</v>
      </c>
      <c r="AI19" s="0" t="n">
        <f aca="false">IF(AI$3=Inputs!$B$13,AI16,IF(AI$3&gt;Inputs!$B$13,AH19-AI21,0))</f>
        <v>0</v>
      </c>
      <c r="AJ19" s="0" t="n">
        <f aca="false">IF(AJ$3=Inputs!$B$13,AJ16,IF(AJ$3&gt;Inputs!$B$13,AI19-AJ21,0))</f>
        <v>0</v>
      </c>
      <c r="AK19" s="0" t="n">
        <f aca="false">IF(AK$3=Inputs!$B$13,AK16,IF(AK$3&gt;Inputs!$B$13,AJ19-AK21,0))</f>
        <v>0</v>
      </c>
      <c r="AL19" s="0" t="n">
        <f aca="false">IF(AL$3=Inputs!$B$13,AL16,IF(AL$3&gt;Inputs!$B$13,AK19-AL21,0))</f>
        <v>83629005.4285714</v>
      </c>
      <c r="AM19" s="5" t="n">
        <f aca="false">IF(AM$3=Inputs!$B$13,AM16,IF(AM$3&gt;Inputs!$B$13,AL19-AM21,0))</f>
        <v>83539177.5786866</v>
      </c>
      <c r="AN19" s="5" t="n">
        <f aca="false">IF(AN$3=Inputs!$B$13,AN16,IF(AN$3&gt;Inputs!$B$13,AM19-AN21,0))</f>
        <v>83449446.2149739</v>
      </c>
      <c r="AO19" s="5" t="n">
        <f aca="false">IF(AO$3=Inputs!$B$13,AO16,IF(AO$3&gt;Inputs!$B$13,AN19-AO21,0))</f>
        <v>83359811.2337953</v>
      </c>
      <c r="AP19" s="5" t="n">
        <f aca="false">IF(AP$3=Inputs!$B$13,AP16,IF(AP$3&gt;Inputs!$B$13,AO19-AP21,0))</f>
        <v>83270272.5316241</v>
      </c>
      <c r="AQ19" s="5" t="n">
        <f aca="false">IF(AQ$3=Inputs!$B$13,AQ16,IF(AQ$3&gt;Inputs!$B$13,AP19-AQ21,0))</f>
        <v>83180830.0050449</v>
      </c>
      <c r="AR19" s="5" t="n">
        <f aca="false">IF(AR$3=Inputs!$B$13,AR16,IF(AR$3&gt;Inputs!$B$13,AQ19-AR21,0))</f>
        <v>83091483.5507531</v>
      </c>
      <c r="AS19" s="5" t="n">
        <f aca="false">IF(AS$3=Inputs!$B$13,AS16,IF(AS$3&gt;Inputs!$B$13,AR19-AS21,0))</f>
        <v>83002233.0655553</v>
      </c>
      <c r="AT19" s="5" t="n">
        <f aca="false">IF(AT$3=Inputs!$B$13,AT16,IF(AT$3&gt;Inputs!$B$13,AS19-AT21,0))</f>
        <v>82913078.4463689</v>
      </c>
      <c r="AU19" s="5" t="n">
        <f aca="false">IF(AU$3=Inputs!$B$13,AU16,IF(AU$3&gt;Inputs!$B$13,AT19-AU21,0))</f>
        <v>82824019.590222</v>
      </c>
      <c r="AV19" s="5" t="n">
        <f aca="false">IF(AV$3=Inputs!$B$13,AV16,IF(AV$3&gt;Inputs!$B$13,AU19-AV21,0))</f>
        <v>82735056.3942533</v>
      </c>
      <c r="AW19" s="5" t="n">
        <f aca="false">IF(AW$3=Inputs!$B$13,AW16,IF(AW$3&gt;Inputs!$B$13,AV19-AW21,0))</f>
        <v>82646188.7557119</v>
      </c>
      <c r="AX19" s="5" t="n">
        <f aca="false">IF(AX$3=Inputs!$B$13,AX16,IF(AX$3&gt;Inputs!$B$13,AW19-AX21,0))</f>
        <v>82557416.5719575</v>
      </c>
      <c r="AY19" s="5" t="n">
        <f aca="false">IF(AY$3=Inputs!$B$13,AY16,IF(AY$3&gt;Inputs!$B$13,AX19-AY21,0))</f>
        <v>82468739.7404598</v>
      </c>
      <c r="AZ19" s="5" t="n">
        <f aca="false">IF(AZ$3=Inputs!$B$13,AZ16,IF(AZ$3&gt;Inputs!$B$13,AY19-AZ21,0))</f>
        <v>82380158.1587988</v>
      </c>
      <c r="BA19" s="5" t="n">
        <f aca="false">IF(BA$3=Inputs!$B$13,BA16,IF(BA$3&gt;Inputs!$B$13,AZ19-BA21,0))</f>
        <v>82291671.7246645</v>
      </c>
      <c r="BB19" s="5" t="n">
        <f aca="false">IF(BB$3=Inputs!$B$13,BB16,IF(BB$3&gt;Inputs!$B$13,BA19-BB21,0))</f>
        <v>82203280.3358565</v>
      </c>
      <c r="BC19" s="5" t="n">
        <f aca="false">IF(BC$3=Inputs!$B$13,BC16,IF(BC$3&gt;Inputs!$B$13,BB19-BC21,0))</f>
        <v>82114983.8902847</v>
      </c>
      <c r="BD19" s="5" t="n">
        <f aca="false">IF(BD$3=Inputs!$B$13,BD16,IF(BD$3&gt;Inputs!$B$13,BC19-BD21,0))</f>
        <v>82026782.2859681</v>
      </c>
      <c r="BE19" s="5" t="n">
        <f aca="false">IF(BE$3=Inputs!$B$13,BE16,IF(BE$3&gt;Inputs!$B$13,BD19-BE21,0))</f>
        <v>81938675.4210358</v>
      </c>
      <c r="BF19" s="5" t="n">
        <f aca="false">IF(BF$3=Inputs!$B$13,BF16,IF(BF$3&gt;Inputs!$B$13,BE19-BF21,0))</f>
        <v>81850663.1937258</v>
      </c>
      <c r="BG19" s="5" t="n">
        <f aca="false">IF(BG$3=Inputs!$B$13,BG16,IF(BG$3&gt;Inputs!$B$13,BF19-BG21,0))</f>
        <v>81762745.5023858</v>
      </c>
      <c r="BH19" s="5" t="n">
        <f aca="false">IF(BH$3=Inputs!$B$13,BH16,IF(BH$3&gt;Inputs!$B$13,BG19-BH21,0))</f>
        <v>81674922.2454724</v>
      </c>
      <c r="BI19" s="5" t="n">
        <f aca="false">IF(BI$3=Inputs!$B$13,BI16,IF(BI$3&gt;Inputs!$B$13,BH19-BI21,0))</f>
        <v>81587193.3215515</v>
      </c>
      <c r="BJ19" s="5" t="n">
        <f aca="false">IF(BJ$3=Inputs!$B$13,BJ16,IF(BJ$3&gt;Inputs!$B$13,BI19-BJ21,0))</f>
        <v>81499558.6292978</v>
      </c>
    </row>
    <row r="20" customFormat="false" ht="15" hidden="false" customHeight="false" outlineLevel="0" collapsed="false">
      <c r="A20" s="0" t="s">
        <v>39</v>
      </c>
      <c r="B20" s="0" t="n">
        <f aca="false">0</f>
        <v>0</v>
      </c>
      <c r="C20" s="0" t="n">
        <f aca="false">(C$3&gt;Inputs!$B$13)*(C$3&lt;=Inputs!$B$20)*B19*Inputs!$B$17/12</f>
        <v>0</v>
      </c>
      <c r="D20" s="0" t="n">
        <f aca="false">(D$3&gt;Inputs!$B$13)*(D$3&lt;=Inputs!$B$20)*C19*Inputs!$B$17/12</f>
        <v>0</v>
      </c>
      <c r="E20" s="0" t="n">
        <f aca="false">(E$3&gt;Inputs!$B$13)*(E$3&lt;=Inputs!$B$20)*D19*Inputs!$B$17/12</f>
        <v>0</v>
      </c>
      <c r="F20" s="0" t="n">
        <f aca="false">(F$3&gt;Inputs!$B$13)*(F$3&lt;=Inputs!$B$20)*E19*Inputs!$B$17/12</f>
        <v>0</v>
      </c>
      <c r="G20" s="0" t="n">
        <f aca="false">(G$3&gt;Inputs!$B$13)*(G$3&lt;=Inputs!$B$20)*F19*Inputs!$B$17/12</f>
        <v>0</v>
      </c>
      <c r="H20" s="0" t="n">
        <f aca="false">(H$3&gt;Inputs!$B$13)*(H$3&lt;=Inputs!$B$20)*G19*Inputs!$B$17/12</f>
        <v>0</v>
      </c>
      <c r="I20" s="0" t="n">
        <f aca="false">(I$3&gt;Inputs!$B$13)*(I$3&lt;=Inputs!$B$20)*H19*Inputs!$B$17/12</f>
        <v>0</v>
      </c>
      <c r="J20" s="0" t="n">
        <f aca="false">(J$3&gt;Inputs!$B$13)*(J$3&lt;=Inputs!$B$20)*I19*Inputs!$B$17/12</f>
        <v>0</v>
      </c>
      <c r="K20" s="0" t="n">
        <f aca="false">(K$3&gt;Inputs!$B$13)*(K$3&lt;=Inputs!$B$20)*J19*Inputs!$B$17/12</f>
        <v>0</v>
      </c>
      <c r="L20" s="0" t="n">
        <f aca="false">(L$3&gt;Inputs!$B$13)*(L$3&lt;=Inputs!$B$20)*K19*Inputs!$B$17/12</f>
        <v>0</v>
      </c>
      <c r="M20" s="0" t="n">
        <f aca="false">(M$3&gt;Inputs!$B$13)*(M$3&lt;=Inputs!$B$20)*L19*Inputs!$B$17/12</f>
        <v>0</v>
      </c>
      <c r="N20" s="0" t="n">
        <f aca="false">(N$3&gt;Inputs!$B$13)*(N$3&lt;=Inputs!$B$20)*M19*Inputs!$B$17/12</f>
        <v>0</v>
      </c>
      <c r="O20" s="0" t="n">
        <f aca="false">(O$3&gt;Inputs!$B$13)*(O$3&lt;=Inputs!$B$20)*N19*Inputs!$B$17/12</f>
        <v>0</v>
      </c>
      <c r="P20" s="0" t="n">
        <f aca="false">(P$3&gt;Inputs!$B$13)*(P$3&lt;=Inputs!$B$20)*O19*Inputs!$B$17/12</f>
        <v>0</v>
      </c>
      <c r="Q20" s="0" t="n">
        <f aca="false">(Q$3&gt;Inputs!$B$13)*(Q$3&lt;=Inputs!$B$20)*P19*Inputs!$B$17/12</f>
        <v>0</v>
      </c>
      <c r="R20" s="0" t="n">
        <f aca="false">(R$3&gt;Inputs!$B$13)*(R$3&lt;=Inputs!$B$20)*Q19*Inputs!$B$17/12</f>
        <v>0</v>
      </c>
      <c r="S20" s="0" t="n">
        <f aca="false">(S$3&gt;Inputs!$B$13)*(S$3&lt;=Inputs!$B$20)*R19*Inputs!$B$17/12</f>
        <v>0</v>
      </c>
      <c r="T20" s="0" t="n">
        <f aca="false">(T$3&gt;Inputs!$B$13)*(T$3&lt;=Inputs!$B$20)*S19*Inputs!$B$17/12</f>
        <v>0</v>
      </c>
      <c r="U20" s="0" t="n">
        <f aca="false">(U$3&gt;Inputs!$B$13)*(U$3&lt;=Inputs!$B$20)*T19*Inputs!$B$17/12</f>
        <v>0</v>
      </c>
      <c r="V20" s="0" t="n">
        <f aca="false">(V$3&gt;Inputs!$B$13)*(V$3&lt;=Inputs!$B$20)*U19*Inputs!$B$17/12</f>
        <v>0</v>
      </c>
      <c r="W20" s="0" t="n">
        <f aca="false">(W$3&gt;Inputs!$B$13)*(W$3&lt;=Inputs!$B$20)*V19*Inputs!$B$17/12</f>
        <v>0</v>
      </c>
      <c r="X20" s="0" t="n">
        <f aca="false">(X$3&gt;Inputs!$B$13)*(X$3&lt;=Inputs!$B$20)*W19*Inputs!$B$17/12</f>
        <v>0</v>
      </c>
      <c r="Y20" s="0" t="n">
        <f aca="false">(Y$3&gt;Inputs!$B$13)*(Y$3&lt;=Inputs!$B$20)*X19*Inputs!$B$17/12</f>
        <v>0</v>
      </c>
      <c r="Z20" s="0" t="n">
        <f aca="false">(Z$3&gt;Inputs!$B$13)*(Z$3&lt;=Inputs!$B$20)*Y19*Inputs!$B$17/12</f>
        <v>0</v>
      </c>
      <c r="AA20" s="0" t="n">
        <f aca="false">(AA$3&gt;Inputs!$B$13)*(AA$3&lt;=Inputs!$B$20)*Z19*Inputs!$B$17/12</f>
        <v>0</v>
      </c>
      <c r="AB20" s="0" t="n">
        <f aca="false">(AB$3&gt;Inputs!$B$13)*(AB$3&lt;=Inputs!$B$20)*AA19*Inputs!$B$17/12</f>
        <v>0</v>
      </c>
      <c r="AC20" s="0" t="n">
        <f aca="false">(AC$3&gt;Inputs!$B$13)*(AC$3&lt;=Inputs!$B$20)*AB19*Inputs!$B$17/12</f>
        <v>0</v>
      </c>
      <c r="AD20" s="0" t="n">
        <f aca="false">(AD$3&gt;Inputs!$B$13)*(AD$3&lt;=Inputs!$B$20)*AC19*Inputs!$B$17/12</f>
        <v>0</v>
      </c>
      <c r="AE20" s="0" t="n">
        <f aca="false">(AE$3&gt;Inputs!$B$13)*(AE$3&lt;=Inputs!$B$20)*AD19*Inputs!$B$17/12</f>
        <v>0</v>
      </c>
      <c r="AF20" s="0" t="n">
        <f aca="false">(AF$3&gt;Inputs!$B$13)*(AF$3&lt;=Inputs!$B$20)*AE19*Inputs!$B$17/12</f>
        <v>0</v>
      </c>
      <c r="AG20" s="0" t="n">
        <f aca="false">(AG$3&gt;Inputs!$B$13)*(AG$3&lt;=Inputs!$B$20)*AF19*Inputs!$B$17/12</f>
        <v>0</v>
      </c>
      <c r="AH20" s="0" t="n">
        <f aca="false">(AH$3&gt;Inputs!$B$13)*(AH$3&lt;=Inputs!$B$20)*AG19*Inputs!$B$17/12</f>
        <v>0</v>
      </c>
      <c r="AI20" s="0" t="n">
        <f aca="false">(AI$3&gt;Inputs!$B$13)*(AI$3&lt;=Inputs!$B$20)*AH19*Inputs!$B$17/12</f>
        <v>0</v>
      </c>
      <c r="AJ20" s="0" t="n">
        <f aca="false">(AJ$3&gt;Inputs!$B$13)*(AJ$3&lt;=Inputs!$B$20)*AI19*Inputs!$B$17/12</f>
        <v>0</v>
      </c>
      <c r="AK20" s="0" t="n">
        <f aca="false">(AK$3&gt;Inputs!$B$13)*(AK$3&lt;=Inputs!$B$20)*AJ19*Inputs!$B$17/12</f>
        <v>0</v>
      </c>
      <c r="AL20" s="0" t="n">
        <f aca="false">(AL$3&gt;Inputs!$B$13)*(AL$3&lt;=Inputs!$B$20)*AK19*Inputs!$B$17/12</f>
        <v>0</v>
      </c>
      <c r="AM20" s="0" t="n">
        <f aca="false">(AM$3&gt;Inputs!$B$13)*(AM$3&lt;=Inputs!$B$20)*AL19*Inputs!$B$17/12</f>
        <v>390268.692</v>
      </c>
      <c r="AN20" s="5" t="n">
        <f aca="false">(AN$3&gt;Inputs!$B$13)*(AN$3&lt;=Inputs!$B$20)*AM19*Inputs!$B$17/12</f>
        <v>389849.495367204</v>
      </c>
      <c r="AO20" s="5" t="n">
        <f aca="false">(AO$3&gt;Inputs!$B$13)*(AO$3&lt;=Inputs!$B$20)*AN19*Inputs!$B$17/12</f>
        <v>389430.749003211</v>
      </c>
      <c r="AP20" s="5" t="n">
        <f aca="false">(AP$3&gt;Inputs!$B$13)*(AP$3&lt;=Inputs!$B$20)*AO19*Inputs!$B$17/12</f>
        <v>389012.452424378</v>
      </c>
      <c r="AQ20" s="5" t="n">
        <f aca="false">(AQ$3&gt;Inputs!$B$13)*(AQ$3&lt;=Inputs!$B$20)*AP19*Inputs!$B$17/12</f>
        <v>388594.605147579</v>
      </c>
      <c r="AR20" s="5" t="n">
        <f aca="false">(AR$3&gt;Inputs!$B$13)*(AR$3&lt;=Inputs!$B$20)*AQ19*Inputs!$B$17/12</f>
        <v>388177.206690209</v>
      </c>
      <c r="AS20" s="5" t="n">
        <f aca="false">(AS$3&gt;Inputs!$B$13)*(AS$3&lt;=Inputs!$B$20)*AR19*Inputs!$B$17/12</f>
        <v>387760.256570181</v>
      </c>
      <c r="AT20" s="5" t="n">
        <f aca="false">(AT$3&gt;Inputs!$B$13)*(AT$3&lt;=Inputs!$B$20)*AS19*Inputs!$B$17/12</f>
        <v>387343.754305925</v>
      </c>
      <c r="AU20" s="5" t="n">
        <f aca="false">(AU$3&gt;Inputs!$B$13)*(AU$3&lt;=Inputs!$B$20)*AT19*Inputs!$B$17/12</f>
        <v>386927.699416388</v>
      </c>
      <c r="AV20" s="5" t="n">
        <f aca="false">(AV$3&gt;Inputs!$B$13)*(AV$3&lt;=Inputs!$B$20)*AU19*Inputs!$B$17/12</f>
        <v>386512.091421036</v>
      </c>
      <c r="AW20" s="5" t="n">
        <f aca="false">(AW$3&gt;Inputs!$B$13)*(AW$3&lt;=Inputs!$B$20)*AV19*Inputs!$B$17/12</f>
        <v>386096.929839849</v>
      </c>
      <c r="AX20" s="5" t="n">
        <f aca="false">(AX$3&gt;Inputs!$B$13)*(AX$3&lt;=Inputs!$B$20)*AW19*Inputs!$B$17/12</f>
        <v>385682.214193322</v>
      </c>
      <c r="AY20" s="5" t="n">
        <f aca="false">(AY$3&gt;Inputs!$B$13)*(AY$3&lt;=Inputs!$B$20)*AX19*Inputs!$B$17/12</f>
        <v>385267.944002468</v>
      </c>
      <c r="AZ20" s="5" t="n">
        <f aca="false">(AZ$3&gt;Inputs!$B$13)*(AZ$3&lt;=Inputs!$B$20)*AY19*Inputs!$B$17/12</f>
        <v>384854.118788813</v>
      </c>
      <c r="BA20" s="5" t="n">
        <f aca="false">(BA$3&gt;Inputs!$B$13)*(BA$3&lt;=Inputs!$B$20)*AZ19*Inputs!$B$17/12</f>
        <v>384440.738074395</v>
      </c>
      <c r="BB20" s="5" t="n">
        <f aca="false">(BB$3&gt;Inputs!$B$13)*(BB$3&lt;=Inputs!$B$20)*BA19*Inputs!$B$17/12</f>
        <v>384027.801381767</v>
      </c>
      <c r="BC20" s="5" t="n">
        <f aca="false">(BC$3&gt;Inputs!$B$13)*(BC$3&lt;=Inputs!$B$20)*BB19*Inputs!$B$17/12</f>
        <v>383615.308233997</v>
      </c>
      <c r="BD20" s="5" t="n">
        <f aca="false">(BD$3&gt;Inputs!$B$13)*(BD$3&lt;=Inputs!$B$20)*BC19*Inputs!$B$17/12</f>
        <v>383203.258154662</v>
      </c>
      <c r="BE20" s="5" t="n">
        <f aca="false">(BE$3&gt;Inputs!$B$13)*(BE$3&lt;=Inputs!$B$20)*BD19*Inputs!$B$17/12</f>
        <v>382791.650667851</v>
      </c>
      <c r="BF20" s="5" t="n">
        <f aca="false">(BF$3&gt;Inputs!$B$13)*(BF$3&lt;=Inputs!$B$20)*BE19*Inputs!$B$17/12</f>
        <v>382380.485298167</v>
      </c>
      <c r="BG20" s="5" t="n">
        <f aca="false">(BG$3&gt;Inputs!$B$13)*(BG$3&lt;=Inputs!$B$20)*BF19*Inputs!$B$17/12</f>
        <v>381969.761570721</v>
      </c>
      <c r="BH20" s="5" t="n">
        <f aca="false">(BH$3&gt;Inputs!$B$13)*(BH$3&lt;=Inputs!$B$20)*BG19*Inputs!$B$17/12</f>
        <v>381559.479011134</v>
      </c>
      <c r="BI20" s="5" t="n">
        <f aca="false">(BI$3&gt;Inputs!$B$13)*(BI$3&lt;=Inputs!$B$20)*BH19*Inputs!$B$17/12</f>
        <v>381149.637145538</v>
      </c>
      <c r="BJ20" s="5" t="n">
        <f aca="false">(BJ$3&gt;Inputs!$B$13)*(BJ$3&lt;=Inputs!$B$20)*BI19*Inputs!$B$17/12</f>
        <v>380740.235500574</v>
      </c>
    </row>
    <row r="21" customFormat="false" ht="15" hidden="false" customHeight="false" outlineLevel="0" collapsed="false">
      <c r="A21" s="0" t="s">
        <v>40</v>
      </c>
      <c r="B21" s="0" t="n">
        <f aca="false">0</f>
        <v>0</v>
      </c>
      <c r="C21" s="0" t="n">
        <f aca="false">IF((C$3&gt;Inputs!$B$13)*(C$3&lt;=Inputs!$B$20),B19*PMT(Inputs!$B$17/12,Inputs!$B$18*12,-1)-C20,0)</f>
        <v>0</v>
      </c>
      <c r="D21" s="0" t="n">
        <f aca="false">IF((D$3&gt;Inputs!$B$13)*(D$3&lt;=Inputs!$B$20),C19*PMT(Inputs!$B$17/12,Inputs!$B$18*12,-1)-D20,0)</f>
        <v>0</v>
      </c>
      <c r="E21" s="0" t="n">
        <f aca="false">IF((E$3&gt;Inputs!$B$13)*(E$3&lt;=Inputs!$B$20),D19*PMT(Inputs!$B$17/12,Inputs!$B$18*12,-1)-E20,0)</f>
        <v>0</v>
      </c>
      <c r="F21" s="0" t="n">
        <f aca="false">IF((F$3&gt;Inputs!$B$13)*(F$3&lt;=Inputs!$B$20),E19*PMT(Inputs!$B$17/12,Inputs!$B$18*12,-1)-F20,0)</f>
        <v>0</v>
      </c>
      <c r="G21" s="0" t="n">
        <f aca="false">IF((G$3&gt;Inputs!$B$13)*(G$3&lt;=Inputs!$B$20),F19*PMT(Inputs!$B$17/12,Inputs!$B$18*12,-1)-G20,0)</f>
        <v>0</v>
      </c>
      <c r="H21" s="0" t="n">
        <f aca="false">IF((H$3&gt;Inputs!$B$13)*(H$3&lt;=Inputs!$B$20),G19*PMT(Inputs!$B$17/12,Inputs!$B$18*12,-1)-H20,0)</f>
        <v>0</v>
      </c>
      <c r="I21" s="0" t="n">
        <f aca="false">IF((I$3&gt;Inputs!$B$13)*(I$3&lt;=Inputs!$B$20),H19*PMT(Inputs!$B$17/12,Inputs!$B$18*12,-1)-I20,0)</f>
        <v>0</v>
      </c>
      <c r="J21" s="0" t="n">
        <f aca="false">IF((J$3&gt;Inputs!$B$13)*(J$3&lt;=Inputs!$B$20),I19*PMT(Inputs!$B$17/12,Inputs!$B$18*12,-1)-J20,0)</f>
        <v>0</v>
      </c>
      <c r="K21" s="0" t="n">
        <f aca="false">IF((K$3&gt;Inputs!$B$13)*(K$3&lt;=Inputs!$B$20),J19*PMT(Inputs!$B$17/12,Inputs!$B$18*12,-1)-K20,0)</f>
        <v>0</v>
      </c>
      <c r="L21" s="0" t="n">
        <f aca="false">IF((L$3&gt;Inputs!$B$13)*(L$3&lt;=Inputs!$B$20),K19*PMT(Inputs!$B$17/12,Inputs!$B$18*12,-1)-L20,0)</f>
        <v>0</v>
      </c>
      <c r="M21" s="0" t="n">
        <f aca="false">IF((M$3&gt;Inputs!$B$13)*(M$3&lt;=Inputs!$B$20),L19*PMT(Inputs!$B$17/12,Inputs!$B$18*12,-1)-M20,0)</f>
        <v>0</v>
      </c>
      <c r="N21" s="0" t="n">
        <f aca="false">IF((N$3&gt;Inputs!$B$13)*(N$3&lt;=Inputs!$B$20),M19*PMT(Inputs!$B$17/12,Inputs!$B$18*12,-1)-N20,0)</f>
        <v>0</v>
      </c>
      <c r="O21" s="0" t="n">
        <f aca="false">IF((O$3&gt;Inputs!$B$13)*(O$3&lt;=Inputs!$B$20),N19*PMT(Inputs!$B$17/12,Inputs!$B$18*12,-1)-O20,0)</f>
        <v>0</v>
      </c>
      <c r="P21" s="0" t="n">
        <f aca="false">IF((P$3&gt;Inputs!$B$13)*(P$3&lt;=Inputs!$B$20),O19*PMT(Inputs!$B$17/12,Inputs!$B$18*12,-1)-P20,0)</f>
        <v>0</v>
      </c>
      <c r="Q21" s="0" t="n">
        <f aca="false">IF((Q$3&gt;Inputs!$B$13)*(Q$3&lt;=Inputs!$B$20),P19*PMT(Inputs!$B$17/12,Inputs!$B$18*12,-1)-Q20,0)</f>
        <v>0</v>
      </c>
      <c r="R21" s="0" t="n">
        <f aca="false">IF((R$3&gt;Inputs!$B$13)*(R$3&lt;=Inputs!$B$20),Q19*PMT(Inputs!$B$17/12,Inputs!$B$18*12,-1)-R20,0)</f>
        <v>0</v>
      </c>
      <c r="S21" s="0" t="n">
        <f aca="false">IF((S$3&gt;Inputs!$B$13)*(S$3&lt;=Inputs!$B$20),R19*PMT(Inputs!$B$17/12,Inputs!$B$18*12,-1)-S20,0)</f>
        <v>0</v>
      </c>
      <c r="T21" s="0" t="n">
        <f aca="false">IF((T$3&gt;Inputs!$B$13)*(T$3&lt;=Inputs!$B$20),S19*PMT(Inputs!$B$17/12,Inputs!$B$18*12,-1)-T20,0)</f>
        <v>0</v>
      </c>
      <c r="U21" s="0" t="n">
        <f aca="false">IF((U$3&gt;Inputs!$B$13)*(U$3&lt;=Inputs!$B$20),T19*PMT(Inputs!$B$17/12,Inputs!$B$18*12,-1)-U20,0)</f>
        <v>0</v>
      </c>
      <c r="V21" s="0" t="n">
        <f aca="false">IF((V$3&gt;Inputs!$B$13)*(V$3&lt;=Inputs!$B$20),U19*PMT(Inputs!$B$17/12,Inputs!$B$18*12,-1)-V20,0)</f>
        <v>0</v>
      </c>
      <c r="W21" s="0" t="n">
        <f aca="false">IF((W$3&gt;Inputs!$B$13)*(W$3&lt;=Inputs!$B$20),V19*PMT(Inputs!$B$17/12,Inputs!$B$18*12,-1)-W20,0)</f>
        <v>0</v>
      </c>
      <c r="X21" s="0" t="n">
        <f aca="false">IF((X$3&gt;Inputs!$B$13)*(X$3&lt;=Inputs!$B$20),W19*PMT(Inputs!$B$17/12,Inputs!$B$18*12,-1)-X20,0)</f>
        <v>0</v>
      </c>
      <c r="Y21" s="0" t="n">
        <f aca="false">IF((Y$3&gt;Inputs!$B$13)*(Y$3&lt;=Inputs!$B$20),X19*PMT(Inputs!$B$17/12,Inputs!$B$18*12,-1)-Y20,0)</f>
        <v>0</v>
      </c>
      <c r="Z21" s="0" t="n">
        <f aca="false">IF((Z$3&gt;Inputs!$B$13)*(Z$3&lt;=Inputs!$B$20),Y19*PMT(Inputs!$B$17/12,Inputs!$B$18*12,-1)-Z20,0)</f>
        <v>0</v>
      </c>
      <c r="AA21" s="0" t="n">
        <f aca="false">IF((AA$3&gt;Inputs!$B$13)*(AA$3&lt;=Inputs!$B$20),Z19*PMT(Inputs!$B$17/12,Inputs!$B$18*12,-1)-AA20,0)</f>
        <v>0</v>
      </c>
      <c r="AB21" s="0" t="n">
        <f aca="false">IF((AB$3&gt;Inputs!$B$13)*(AB$3&lt;=Inputs!$B$20),AA19*PMT(Inputs!$B$17/12,Inputs!$B$18*12,-1)-AB20,0)</f>
        <v>0</v>
      </c>
      <c r="AC21" s="0" t="n">
        <f aca="false">IF((AC$3&gt;Inputs!$B$13)*(AC$3&lt;=Inputs!$B$20),AB19*PMT(Inputs!$B$17/12,Inputs!$B$18*12,-1)-AC20,0)</f>
        <v>0</v>
      </c>
      <c r="AD21" s="0" t="n">
        <f aca="false">IF((AD$3&gt;Inputs!$B$13)*(AD$3&lt;=Inputs!$B$20),AC19*PMT(Inputs!$B$17/12,Inputs!$B$18*12,-1)-AD20,0)</f>
        <v>0</v>
      </c>
      <c r="AE21" s="0" t="n">
        <f aca="false">IF((AE$3&gt;Inputs!$B$13)*(AE$3&lt;=Inputs!$B$20),AD19*PMT(Inputs!$B$17/12,Inputs!$B$18*12,-1)-AE20,0)</f>
        <v>0</v>
      </c>
      <c r="AF21" s="0" t="n">
        <f aca="false">IF((AF$3&gt;Inputs!$B$13)*(AF$3&lt;=Inputs!$B$20),AE19*PMT(Inputs!$B$17/12,Inputs!$B$18*12,-1)-AF20,0)</f>
        <v>0</v>
      </c>
      <c r="AG21" s="0" t="n">
        <f aca="false">IF((AG$3&gt;Inputs!$B$13)*(AG$3&lt;=Inputs!$B$20),AF19*PMT(Inputs!$B$17/12,Inputs!$B$18*12,-1)-AG20,0)</f>
        <v>0</v>
      </c>
      <c r="AH21" s="0" t="n">
        <f aca="false">IF((AH$3&gt;Inputs!$B$13)*(AH$3&lt;=Inputs!$B$20),AG19*PMT(Inputs!$B$17/12,Inputs!$B$18*12,-1)-AH20,0)</f>
        <v>0</v>
      </c>
      <c r="AI21" s="0" t="n">
        <f aca="false">IF((AI$3&gt;Inputs!$B$13)*(AI$3&lt;=Inputs!$B$20),AH19*PMT(Inputs!$B$17/12,Inputs!$B$18*12,-1)-AI20,0)</f>
        <v>0</v>
      </c>
      <c r="AJ21" s="0" t="n">
        <f aca="false">IF((AJ$3&gt;Inputs!$B$13)*(AJ$3&lt;=Inputs!$B$20),AI19*PMT(Inputs!$B$17/12,Inputs!$B$18*12,-1)-AJ20,0)</f>
        <v>0</v>
      </c>
      <c r="AK21" s="0" t="n">
        <f aca="false">IF((AK$3&gt;Inputs!$B$13)*(AK$3&lt;=Inputs!$B$20),AJ19*PMT(Inputs!$B$17/12,Inputs!$B$18*12,-1)-AK20,0)</f>
        <v>0</v>
      </c>
      <c r="AL21" s="0" t="n">
        <f aca="false">IF((AL$3&gt;Inputs!$B$13)*(AL$3&lt;=Inputs!$B$20),AK19*PMT(Inputs!$B$17/12,Inputs!$B$18*12,-1)-AL20,0)</f>
        <v>0</v>
      </c>
      <c r="AM21" s="5" t="n">
        <f aca="false">IF((AM$3&gt;Inputs!$B$13)*(AM$3&lt;=Inputs!$B$20),AL19*PMT(Inputs!$B$17/12,Inputs!$B$18*12,-1)-AM20,0)</f>
        <v>89827.8498848603</v>
      </c>
      <c r="AN21" s="5" t="n">
        <f aca="false">IF((AN$3&gt;Inputs!$B$13)*(AN$3&lt;=Inputs!$B$20),AM19*PMT(Inputs!$B$17/12,Inputs!$B$18*12,-1)-AN20,0)</f>
        <v>89731.3637127053</v>
      </c>
      <c r="AO21" s="5" t="n">
        <f aca="false">IF((AO$3&gt;Inputs!$B$13)*(AO$3&lt;=Inputs!$B$20),AN19*PMT(Inputs!$B$17/12,Inputs!$B$18*12,-1)-AO20,0)</f>
        <v>89634.9811785804</v>
      </c>
      <c r="AP21" s="5" t="n">
        <f aca="false">IF((AP$3&gt;Inputs!$B$13)*(AP$3&lt;=Inputs!$B$20),AO19*PMT(Inputs!$B$17/12,Inputs!$B$18*12,-1)-AP20,0)</f>
        <v>89538.7021711657</v>
      </c>
      <c r="AQ21" s="5" t="n">
        <f aca="false">IF((AQ$3&gt;Inputs!$B$13)*(AQ$3&lt;=Inputs!$B$20),AP19*PMT(Inputs!$B$17/12,Inputs!$B$18*12,-1)-AQ20,0)</f>
        <v>89442.5265792607</v>
      </c>
      <c r="AR21" s="5" t="n">
        <f aca="false">IF((AR$3&gt;Inputs!$B$13)*(AR$3&lt;=Inputs!$B$20),AQ19*PMT(Inputs!$B$17/12,Inputs!$B$18*12,-1)-AR20,0)</f>
        <v>89346.4542917846</v>
      </c>
      <c r="AS21" s="5" t="n">
        <f aca="false">IF((AS$3&gt;Inputs!$B$13)*(AS$3&lt;=Inputs!$B$20),AR19*PMT(Inputs!$B$17/12,Inputs!$B$18*12,-1)-AS20,0)</f>
        <v>89250.4851977754</v>
      </c>
      <c r="AT21" s="5" t="n">
        <f aca="false">IF((AT$3&gt;Inputs!$B$13)*(AT$3&lt;=Inputs!$B$20),AS19*PMT(Inputs!$B$17/12,Inputs!$B$18*12,-1)-AT20,0)</f>
        <v>89154.6191863908</v>
      </c>
      <c r="AU21" s="5" t="n">
        <f aca="false">IF((AU$3&gt;Inputs!$B$13)*(AU$3&lt;=Inputs!$B$20),AT19*PMT(Inputs!$B$17/12,Inputs!$B$18*12,-1)-AU20,0)</f>
        <v>89058.8561469074</v>
      </c>
      <c r="AV21" s="5" t="n">
        <f aca="false">IF((AV$3&gt;Inputs!$B$13)*(AV$3&lt;=Inputs!$B$20),AU19*PMT(Inputs!$B$17/12,Inputs!$B$18*12,-1)-AV20,0)</f>
        <v>88963.1959687205</v>
      </c>
      <c r="AW21" s="5" t="n">
        <f aca="false">IF((AW$3&gt;Inputs!$B$13)*(AW$3&lt;=Inputs!$B$20),AV19*PMT(Inputs!$B$17/12,Inputs!$B$18*12,-1)-AW20,0)</f>
        <v>88867.6385413447</v>
      </c>
      <c r="AX21" s="5" t="n">
        <f aca="false">IF((AX$3&gt;Inputs!$B$13)*(AX$3&lt;=Inputs!$B$20),AW19*PMT(Inputs!$B$17/12,Inputs!$B$18*12,-1)-AX20,0)</f>
        <v>88772.1837544128</v>
      </c>
      <c r="AY21" s="5" t="n">
        <f aca="false">IF((AY$3&gt;Inputs!$B$13)*(AY$3&lt;=Inputs!$B$20),AX19*PMT(Inputs!$B$17/12,Inputs!$B$18*12,-1)-AY20,0)</f>
        <v>88676.8314976763</v>
      </c>
      <c r="AZ21" s="5" t="n">
        <f aca="false">IF((AZ$3&gt;Inputs!$B$13)*(AZ$3&lt;=Inputs!$B$20),AY19*PMT(Inputs!$B$17/12,Inputs!$B$18*12,-1)-AZ20,0)</f>
        <v>88581.5816610052</v>
      </c>
      <c r="BA21" s="5" t="n">
        <f aca="false">IF((BA$3&gt;Inputs!$B$13)*(BA$3&lt;=Inputs!$B$20),AZ19*PMT(Inputs!$B$17/12,Inputs!$B$18*12,-1)-BA20,0)</f>
        <v>88486.4341343877</v>
      </c>
      <c r="BB21" s="5" t="n">
        <f aca="false">IF((BB$3&gt;Inputs!$B$13)*(BB$3&lt;=Inputs!$B$20),BA19*PMT(Inputs!$B$17/12,Inputs!$B$18*12,-1)-BB20,0)</f>
        <v>88391.3888079302</v>
      </c>
      <c r="BC21" s="5" t="n">
        <f aca="false">IF((BC$3&gt;Inputs!$B$13)*(BC$3&lt;=Inputs!$B$20),BB19*PMT(Inputs!$B$17/12,Inputs!$B$18*12,-1)-BC20,0)</f>
        <v>88296.4455718573</v>
      </c>
      <c r="BD21" s="5" t="n">
        <f aca="false">IF((BD$3&gt;Inputs!$B$13)*(BD$3&lt;=Inputs!$B$20),BC19*PMT(Inputs!$B$17/12,Inputs!$B$18*12,-1)-BD20,0)</f>
        <v>88201.6043165112</v>
      </c>
      <c r="BE21" s="5" t="n">
        <f aca="false">IF((BE$3&gt;Inputs!$B$13)*(BE$3&lt;=Inputs!$B$20),BD19*PMT(Inputs!$B$17/12,Inputs!$B$18*12,-1)-BE20,0)</f>
        <v>88106.8649323519</v>
      </c>
      <c r="BF21" s="5" t="n">
        <f aca="false">IF((BF$3&gt;Inputs!$B$13)*(BF$3&lt;=Inputs!$B$20),BE19*PMT(Inputs!$B$17/12,Inputs!$B$18*12,-1)-BF20,0)</f>
        <v>88012.2273099576</v>
      </c>
      <c r="BG21" s="5" t="n">
        <f aca="false">IF((BG$3&gt;Inputs!$B$13)*(BG$3&lt;=Inputs!$B$20),BF19*PMT(Inputs!$B$17/12,Inputs!$B$18*12,-1)-BG20,0)</f>
        <v>87917.6913400232</v>
      </c>
      <c r="BH21" s="5" t="n">
        <f aca="false">IF((BH$3&gt;Inputs!$B$13)*(BH$3&lt;=Inputs!$B$20),BG19*PMT(Inputs!$B$17/12,Inputs!$B$18*12,-1)-BH20,0)</f>
        <v>87823.2569133618</v>
      </c>
      <c r="BI21" s="5" t="n">
        <f aca="false">IF((BI$3&gt;Inputs!$B$13)*(BI$3&lt;=Inputs!$B$20),BH19*PMT(Inputs!$B$17/12,Inputs!$B$18*12,-1)-BI20,0)</f>
        <v>87728.9239209031</v>
      </c>
      <c r="BJ21" s="5" t="n">
        <f aca="false">IF((BJ$3&gt;Inputs!$B$13)*(BJ$3&lt;=Inputs!$B$20),BI19*PMT(Inputs!$B$17/12,Inputs!$B$18*12,-1)-BJ20,0)</f>
        <v>87634.6922536946</v>
      </c>
    </row>
    <row r="22" customFormat="false" ht="15" hidden="false" customHeight="false" outlineLevel="0" collapsed="false">
      <c r="A22" s="0" t="s">
        <v>41</v>
      </c>
      <c r="B22" s="0" t="n">
        <f aca="false">B11+B20+B21</f>
        <v>0</v>
      </c>
      <c r="C22" s="0" t="n">
        <f aca="false">C11+C20+C21</f>
        <v>434733</v>
      </c>
      <c r="D22" s="0" t="n">
        <f aca="false">D11+D20+D21</f>
        <v>434044</v>
      </c>
      <c r="E22" s="0" t="n">
        <f aca="false">E11+E20+E21</f>
        <v>433420</v>
      </c>
      <c r="F22" s="0" t="n">
        <f aca="false">F11+F20+F21</f>
        <v>432841.5</v>
      </c>
      <c r="G22" s="0" t="n">
        <f aca="false">G11+G20+G21</f>
        <v>432295.5</v>
      </c>
      <c r="H22" s="0" t="n">
        <f aca="false">H11+H20+H21</f>
        <v>431772.25</v>
      </c>
      <c r="I22" s="0" t="n">
        <f aca="false">I11+I20+I21</f>
        <v>431252.25</v>
      </c>
      <c r="J22" s="0" t="n">
        <f aca="false">J11+J20+J21</f>
        <v>430729</v>
      </c>
      <c r="K22" s="0" t="n">
        <f aca="false">K11+K20+K21</f>
        <v>430189.5</v>
      </c>
      <c r="L22" s="0" t="n">
        <f aca="false">L11+L20+L21</f>
        <v>429620.75</v>
      </c>
      <c r="M22" s="0" t="n">
        <f aca="false">M11+M20+M21</f>
        <v>429019.5</v>
      </c>
      <c r="N22" s="0" t="n">
        <f aca="false">N11+N20+N21</f>
        <v>428372.75</v>
      </c>
      <c r="O22" s="0" t="n">
        <f aca="false">O11+O20+O21</f>
        <v>427680.5</v>
      </c>
      <c r="P22" s="0" t="n">
        <f aca="false">P11+P20+P21</f>
        <v>426933</v>
      </c>
      <c r="Q22" s="0" t="n">
        <f aca="false">Q11+Q20+Q21</f>
        <v>426130.25</v>
      </c>
      <c r="R22" s="0" t="n">
        <f aca="false">R11+R20+R21</f>
        <v>425269</v>
      </c>
      <c r="S22" s="0" t="n">
        <f aca="false">S11+S20+S21</f>
        <v>424349.25</v>
      </c>
      <c r="T22" s="0" t="n">
        <f aca="false">T11+T20+T21</f>
        <v>423371</v>
      </c>
      <c r="U22" s="0" t="n">
        <f aca="false">U11+U20+U21</f>
        <v>422337.5</v>
      </c>
      <c r="V22" s="0" t="n">
        <f aca="false">V11+V20+V21</f>
        <v>421248.75</v>
      </c>
      <c r="W22" s="0" t="n">
        <f aca="false">W11+W20+W21</f>
        <v>420114.5</v>
      </c>
      <c r="X22" s="0" t="n">
        <f aca="false">X11+X20+X21</f>
        <v>418938</v>
      </c>
      <c r="Y22" s="0" t="n">
        <f aca="false">Y11+Y20+Y21</f>
        <v>417722.5</v>
      </c>
      <c r="Z22" s="0" t="n">
        <f aca="false">Z11+Z20+Z21</f>
        <v>416477.75</v>
      </c>
      <c r="AA22" s="0" t="n">
        <f aca="false">AA11+AA20+AA21</f>
        <v>415213.5</v>
      </c>
      <c r="AB22" s="0" t="n">
        <f aca="false">AB11+AB20+AB21</f>
        <v>413939.5</v>
      </c>
      <c r="AC22" s="0" t="n">
        <f aca="false">AC11+AC20+AC21</f>
        <v>412662.25</v>
      </c>
      <c r="AD22" s="0" t="n">
        <f aca="false">AD11+AD20+AD21</f>
        <v>411388.25</v>
      </c>
      <c r="AE22" s="0" t="n">
        <f aca="false">AE11+AE20+AE21</f>
        <v>410133.75</v>
      </c>
      <c r="AF22" s="0" t="n">
        <f aca="false">AF11+AF20+AF21</f>
        <v>408908.5</v>
      </c>
      <c r="AG22" s="0" t="n">
        <f aca="false">AG11+AG20+AG21</f>
        <v>407719</v>
      </c>
      <c r="AH22" s="0" t="n">
        <f aca="false">AH11+AH20+AH21</f>
        <v>406575</v>
      </c>
      <c r="AI22" s="0" t="n">
        <f aca="false">AI11+AI20+AI21</f>
        <v>405489.5</v>
      </c>
      <c r="AJ22" s="0" t="n">
        <f aca="false">AJ11+AJ20+AJ21</f>
        <v>404465.75</v>
      </c>
      <c r="AK22" s="0" t="n">
        <f aca="false">AK11+AK20+AK21</f>
        <v>403520</v>
      </c>
      <c r="AL22" s="0" t="n">
        <f aca="false">AL11+AL20+AL21</f>
        <v>402655.5</v>
      </c>
      <c r="AM22" s="5" t="n">
        <f aca="false">AM11+AM20+AM21</f>
        <v>480096.54188486</v>
      </c>
      <c r="AN22" s="5" t="n">
        <f aca="false">AN11+AN20+AN21</f>
        <v>479580.859079909</v>
      </c>
      <c r="AO22" s="5" t="n">
        <f aca="false">AO11+AO20+AO21</f>
        <v>479065.730181792</v>
      </c>
      <c r="AP22" s="5" t="n">
        <f aca="false">AP11+AP20+AP21</f>
        <v>478551.154595544</v>
      </c>
      <c r="AQ22" s="5" t="n">
        <f aca="false">AQ11+AQ20+AQ21</f>
        <v>478037.13172684</v>
      </c>
      <c r="AR22" s="5" t="n">
        <f aca="false">AR11+AR20+AR21</f>
        <v>477523.660981994</v>
      </c>
      <c r="AS22" s="5" t="n">
        <f aca="false">AS11+AS20+AS21</f>
        <v>477010.741767956</v>
      </c>
      <c r="AT22" s="5" t="n">
        <f aca="false">AT11+AT20+AT21</f>
        <v>476498.373492315</v>
      </c>
      <c r="AU22" s="5" t="n">
        <f aca="false">AU11+AU20+AU21</f>
        <v>475986.555563296</v>
      </c>
      <c r="AV22" s="5" t="n">
        <f aca="false">AV11+AV20+AV21</f>
        <v>475475.287389757</v>
      </c>
      <c r="AW22" s="5" t="n">
        <f aca="false">AW11+AW20+AW21</f>
        <v>474964.568381193</v>
      </c>
      <c r="AX22" s="5" t="n">
        <f aca="false">AX11+AX20+AX21</f>
        <v>474454.397947735</v>
      </c>
      <c r="AY22" s="5" t="n">
        <f aca="false">AY11+AY20+AY21</f>
        <v>473944.775500145</v>
      </c>
      <c r="AZ22" s="5" t="n">
        <f aca="false">AZ11+AZ20+AZ21</f>
        <v>473435.700449818</v>
      </c>
      <c r="BA22" s="5" t="n">
        <f aca="false">BA11+BA20+BA21</f>
        <v>472927.172208782</v>
      </c>
      <c r="BB22" s="5" t="n">
        <f aca="false">BB11+BB20+BB21</f>
        <v>472419.190189698</v>
      </c>
      <c r="BC22" s="5" t="n">
        <f aca="false">BC11+BC20+BC21</f>
        <v>471911.753805854</v>
      </c>
      <c r="BD22" s="5" t="n">
        <f aca="false">BD11+BD20+BD21</f>
        <v>471404.862471173</v>
      </c>
      <c r="BE22" s="5" t="n">
        <f aca="false">BE11+BE20+BE21</f>
        <v>470898.515600203</v>
      </c>
      <c r="BF22" s="5" t="n">
        <f aca="false">BF11+BF20+BF21</f>
        <v>470392.712608125</v>
      </c>
      <c r="BG22" s="5" t="n">
        <f aca="false">BG11+BG20+BG21</f>
        <v>469887.452910744</v>
      </c>
      <c r="BH22" s="5" t="n">
        <f aca="false">BH11+BH20+BH21</f>
        <v>469382.735924496</v>
      </c>
      <c r="BI22" s="5" t="n">
        <f aca="false">BI11+BI20+BI21</f>
        <v>468878.561066441</v>
      </c>
      <c r="BJ22" s="5" t="n">
        <f aca="false">BJ11+BJ20+BJ21</f>
        <v>468374.927754268</v>
      </c>
    </row>
    <row r="23" customFormat="false" ht="15" hidden="false" customHeight="false" outlineLevel="0" collapsed="false">
      <c r="A23" s="0" t="s">
        <v>42</v>
      </c>
      <c r="B23" s="0" t="n">
        <f aca="false">IF(B22&gt;0,B5/B22,99)</f>
        <v>99</v>
      </c>
      <c r="C23" s="0" t="n">
        <f aca="false">IF(C22&gt;0,C5/C22,99)</f>
        <v>1.26514435297067</v>
      </c>
      <c r="D23" s="0" t="n">
        <f aca="false">IF(D22&gt;0,D5/D22,99)</f>
        <v>1.27079050579087</v>
      </c>
      <c r="E23" s="0" t="n">
        <f aca="false">IF(E22&gt;0,E5/E22,99)</f>
        <v>1.27627364155711</v>
      </c>
      <c r="F23" s="0" t="n">
        <f aca="false">IF(F22&gt;0,F5/F22,99)</f>
        <v>1.28164835233854</v>
      </c>
      <c r="G23" s="0" t="n">
        <f aca="false">IF(G22&gt;0,G5/G22,99)</f>
        <v>1.28695123606929</v>
      </c>
      <c r="H23" s="0" t="n">
        <f aca="false">IF(H22&gt;0,H5/H22,99)</f>
        <v>1.29221003233309</v>
      </c>
      <c r="I23" s="0" t="n">
        <f aca="false">IF(I22&gt;0,I5/I22,99)</f>
        <v>1.29748244468947</v>
      </c>
      <c r="J23" s="0" t="n">
        <f aca="false">IF(J22&gt;0,J5/J22,99)</f>
        <v>1.30278809335071</v>
      </c>
      <c r="K23" s="0" t="n">
        <f aca="false">IF(K22&gt;0,K5/K22,99)</f>
        <v>1.30816678113752</v>
      </c>
      <c r="L23" s="0" t="n">
        <f aca="false">IF(L22&gt;0,L5/L22,99)</f>
        <v>1.31365917346331</v>
      </c>
      <c r="M23" s="0" t="n">
        <f aca="false">IF(M22&gt;0,M5/M22,99)</f>
        <v>1.31927687086347</v>
      </c>
      <c r="N23" s="0" t="n">
        <f aca="false">IF(N22&gt;0,N5/N22,99)</f>
        <v>1.3250619215751</v>
      </c>
      <c r="O23" s="0" t="n">
        <f aca="false">IF(O22&gt;0,O5/O22,99)</f>
        <v>1.33101696242873</v>
      </c>
      <c r="P23" s="0" t="n">
        <f aca="false">IF(P22&gt;0,P5/P22,99)</f>
        <v>1.33717529236633</v>
      </c>
      <c r="Q23" s="0" t="n">
        <f aca="false">IF(Q22&gt;0,Q5/Q22,99)</f>
        <v>1.34354040808887</v>
      </c>
      <c r="R23" s="0" t="n">
        <f aca="false">IF(R22&gt;0,R5/R22,99)</f>
        <v>1.35012631095659</v>
      </c>
      <c r="S23" s="0" t="n">
        <f aca="false">IF(S22&gt;0,S5/S22,99)</f>
        <v>1.35693710087792</v>
      </c>
      <c r="T23" s="0" t="n">
        <f aca="false">IF(T22&gt;0,T5/T22,99)</f>
        <v>1.36397709879205</v>
      </c>
      <c r="U23" s="0" t="n">
        <f aca="false">IF(U22&gt;0,U5/U22,99)</f>
        <v>1.37124030291913</v>
      </c>
      <c r="V23" s="0" t="n">
        <f aca="false">IF(V22&gt;0,V5/V22,99)</f>
        <v>1.37873124633364</v>
      </c>
      <c r="W23" s="0" t="n">
        <f aca="false">IF(W22&gt;0,W5/W22,99)</f>
        <v>1.38642251092608</v>
      </c>
      <c r="X23" s="0" t="n">
        <f aca="false">IF(X22&gt;0,X5/X22,99)</f>
        <v>1.39430744579116</v>
      </c>
      <c r="Y23" s="0" t="n">
        <f aca="false">IF(Y22&gt;0,Y5/Y22,99)</f>
        <v>1.40237920179518</v>
      </c>
      <c r="Z23" s="0" t="n">
        <f aca="false">IF(Z22&gt;0,Z5/Z22,99)</f>
        <v>1.41060869143597</v>
      </c>
      <c r="AA23" s="0" t="n">
        <f aca="false">IF(AA22&gt;0,AA5/AA22,99)</f>
        <v>1.41896578507202</v>
      </c>
      <c r="AB23" s="0" t="n">
        <f aca="false">IF(AB22&gt;0,AB5/AB22,99)</f>
        <v>1.42741924403008</v>
      </c>
      <c r="AC23" s="0" t="n">
        <f aca="false">IF(AC22&gt;0,AC5/AC22,99)</f>
        <v>1.43594797521085</v>
      </c>
      <c r="AD23" s="0" t="n">
        <f aca="false">IF(AD22&gt;0,AD5/AD22,99)</f>
        <v>1.44453009158355</v>
      </c>
      <c r="AE23" s="0" t="n">
        <f aca="false">IF(AE22&gt;0,AE5/AE22,99)</f>
        <v>1.45310834451355</v>
      </c>
      <c r="AF23" s="0" t="n">
        <f aca="false">IF(AF22&gt;0,AF5/AF22,99)</f>
        <v>1.46164665318264</v>
      </c>
      <c r="AG23" s="0" t="n">
        <f aca="false">IF(AG22&gt;0,AG5/AG22,99)</f>
        <v>1.47011941676572</v>
      </c>
      <c r="AH23" s="0" t="n">
        <f aca="false">IF(AH22&gt;0,AH5/AH22,99)</f>
        <v>1.47848840336378</v>
      </c>
      <c r="AI23" s="0" t="n">
        <f aca="false">IF(AI22&gt;0,AI5/AI22,99)</f>
        <v>1.48670228690331</v>
      </c>
      <c r="AJ23" s="0" t="n">
        <f aca="false">IF(AJ22&gt;0,AJ5/AJ22,99)</f>
        <v>1.49474427876829</v>
      </c>
      <c r="AK23" s="0" t="n">
        <f aca="false">IF(AK22&gt;0,AK5/AK22,99)</f>
        <v>1.50254890274622</v>
      </c>
      <c r="AL23" s="0" t="n">
        <f aca="false">IF(AL22&gt;0,AL5/AL22,99)</f>
        <v>1.51009779731703</v>
      </c>
      <c r="AM23" s="0" t="n">
        <f aca="false">IF(AM22&gt;0,AM5/AM22,99)</f>
        <v>1.27015043444376</v>
      </c>
      <c r="AN23" s="0" t="n">
        <f aca="false">IF(AN22&gt;0,AN5/AN22,99)</f>
        <v>1.2751665936443</v>
      </c>
      <c r="AO23" s="0" t="n">
        <f aca="false">IF(AO22&gt;0,AO5/AO22,99)</f>
        <v>1.28020256298106</v>
      </c>
      <c r="AP23" s="0" t="n">
        <f aca="false">IF(AP22&gt;0,AP5/AP22,99)</f>
        <v>1.2852584206895</v>
      </c>
      <c r="AQ23" s="0" t="n">
        <f aca="false">IF(AQ22&gt;0,AQ5/AQ22,99)</f>
        <v>1.29033424531404</v>
      </c>
      <c r="AR23" s="0" t="n">
        <f aca="false">IF(AR22&gt;0,AR5/AR22,99)</f>
        <v>1.2954301157093</v>
      </c>
      <c r="AS23" s="0" t="n">
        <f aca="false">IF(AS22&gt;0,AS5/AS22,99)</f>
        <v>1.30054611104132</v>
      </c>
      <c r="AT23" s="0" t="n">
        <f aca="false">IF(AT22&gt;0,AT5/AT22,99)</f>
        <v>1.30568231078879</v>
      </c>
      <c r="AU23" s="0" t="n">
        <f aca="false">IF(AU22&gt;0,AU5/AU22,99)</f>
        <v>1.31083879474427</v>
      </c>
      <c r="AV23" s="0" t="n">
        <f aca="false">IF(AV22&gt;0,AV5/AV22,99)</f>
        <v>1.31601564301545</v>
      </c>
      <c r="AW23" s="0" t="n">
        <f aca="false">IF(AW22&gt;0,AW5/AW22,99)</f>
        <v>1.32121293602638</v>
      </c>
      <c r="AX23" s="0" t="n">
        <f aca="false">IF(AX22&gt;0,AX5/AX22,99)</f>
        <v>1.32643075451875</v>
      </c>
      <c r="AY23" s="0" t="n">
        <f aca="false">IF(AY22&gt;0,AY5/AY22,99)</f>
        <v>1.33166917955309</v>
      </c>
      <c r="AZ23" s="0" t="n">
        <f aca="false">IF(AZ22&gt;0,AZ5/AZ22,99)</f>
        <v>1.33692829251007</v>
      </c>
      <c r="BA23" s="0" t="n">
        <f aca="false">IF(BA22&gt;0,BA5/BA22,99)</f>
        <v>1.34220817509176</v>
      </c>
      <c r="BB23" s="0" t="n">
        <f aca="false">IF(BB22&gt;0,BB5/BB22,99)</f>
        <v>1.34750890932288</v>
      </c>
      <c r="BC23" s="0" t="n">
        <f aca="false">IF(BC22&gt;0,BC5/BC22,99)</f>
        <v>1.35283057755211</v>
      </c>
      <c r="BD23" s="0" t="n">
        <f aca="false">IF(BD22&gt;0,BD5/BD22,99)</f>
        <v>1.35817326245331</v>
      </c>
      <c r="BE23" s="0" t="n">
        <f aca="false">IF(BE22&gt;0,BE5/BE22,99)</f>
        <v>1.36353704702689</v>
      </c>
      <c r="BF23" s="0" t="n">
        <f aca="false">IF(BF22&gt;0,BF5/BF22,99)</f>
        <v>1.368922014601</v>
      </c>
      <c r="BG23" s="0" t="n">
        <f aca="false">IF(BG22&gt;0,BG5/BG22,99)</f>
        <v>1.37432824883292</v>
      </c>
      <c r="BH23" s="0" t="n">
        <f aca="false">IF(BH22&gt;0,BH5/BH22,99)</f>
        <v>1.37975583371027</v>
      </c>
      <c r="BI23" s="0" t="n">
        <f aca="false">IF(BI22&gt;0,BI5/BI22,99)</f>
        <v>1.3852048535524</v>
      </c>
      <c r="BJ23" s="0" t="n">
        <f aca="false">IF(BJ22&gt;0,BJ5/BJ22,99)</f>
        <v>1.39067539301163</v>
      </c>
    </row>
    <row r="24" customFormat="false" ht="15" hidden="false" customHeight="false" outlineLevel="0" collapsed="false">
      <c r="A24" s="0" t="s">
        <v>43</v>
      </c>
      <c r="B24" s="0" t="n">
        <f aca="false">IF(B$3=Inputs!$B$20,Inputs!$B$5*(1+Inputs!$B$6)^(B$3/12)/Inputs!$B$21*(1-Inputs!$B$22)-B19,0)</f>
        <v>0</v>
      </c>
      <c r="C24" s="0" t="n">
        <f aca="false">IF(C$3=Inputs!$B$20,Inputs!$B$5*(1+Inputs!$B$6)^(C$3/12)/Inputs!$B$21*(1-Inputs!$B$22)-C19,0)</f>
        <v>0</v>
      </c>
      <c r="D24" s="0" t="n">
        <f aca="false">IF(D$3=Inputs!$B$20,Inputs!$B$5*(1+Inputs!$B$6)^(D$3/12)/Inputs!$B$21*(1-Inputs!$B$22)-D19,0)</f>
        <v>0</v>
      </c>
      <c r="E24" s="0" t="n">
        <f aca="false">IF(E$3=Inputs!$B$20,Inputs!$B$5*(1+Inputs!$B$6)^(E$3/12)/Inputs!$B$21*(1-Inputs!$B$22)-E19,0)</f>
        <v>0</v>
      </c>
      <c r="F24" s="0" t="n">
        <f aca="false">IF(F$3=Inputs!$B$20,Inputs!$B$5*(1+Inputs!$B$6)^(F$3/12)/Inputs!$B$21*(1-Inputs!$B$22)-F19,0)</f>
        <v>0</v>
      </c>
      <c r="G24" s="0" t="n">
        <f aca="false">IF(G$3=Inputs!$B$20,Inputs!$B$5*(1+Inputs!$B$6)^(G$3/12)/Inputs!$B$21*(1-Inputs!$B$22)-G19,0)</f>
        <v>0</v>
      </c>
      <c r="H24" s="0" t="n">
        <f aca="false">IF(H$3=Inputs!$B$20,Inputs!$B$5*(1+Inputs!$B$6)^(H$3/12)/Inputs!$B$21*(1-Inputs!$B$22)-H19,0)</f>
        <v>0</v>
      </c>
      <c r="I24" s="0" t="n">
        <f aca="false">IF(I$3=Inputs!$B$20,Inputs!$B$5*(1+Inputs!$B$6)^(I$3/12)/Inputs!$B$21*(1-Inputs!$B$22)-I19,0)</f>
        <v>0</v>
      </c>
      <c r="J24" s="0" t="n">
        <f aca="false">IF(J$3=Inputs!$B$20,Inputs!$B$5*(1+Inputs!$B$6)^(J$3/12)/Inputs!$B$21*(1-Inputs!$B$22)-J19,0)</f>
        <v>0</v>
      </c>
      <c r="K24" s="0" t="n">
        <f aca="false">IF(K$3=Inputs!$B$20,Inputs!$B$5*(1+Inputs!$B$6)^(K$3/12)/Inputs!$B$21*(1-Inputs!$B$22)-K19,0)</f>
        <v>0</v>
      </c>
      <c r="L24" s="0" t="n">
        <f aca="false">IF(L$3=Inputs!$B$20,Inputs!$B$5*(1+Inputs!$B$6)^(L$3/12)/Inputs!$B$21*(1-Inputs!$B$22)-L19,0)</f>
        <v>0</v>
      </c>
      <c r="M24" s="0" t="n">
        <f aca="false">IF(M$3=Inputs!$B$20,Inputs!$B$5*(1+Inputs!$B$6)^(M$3/12)/Inputs!$B$21*(1-Inputs!$B$22)-M19,0)</f>
        <v>0</v>
      </c>
      <c r="N24" s="0" t="n">
        <f aca="false">IF(N$3=Inputs!$B$20,Inputs!$B$5*(1+Inputs!$B$6)^(N$3/12)/Inputs!$B$21*(1-Inputs!$B$22)-N19,0)</f>
        <v>0</v>
      </c>
      <c r="O24" s="0" t="n">
        <f aca="false">IF(O$3=Inputs!$B$20,Inputs!$B$5*(1+Inputs!$B$6)^(O$3/12)/Inputs!$B$21*(1-Inputs!$B$22)-O19,0)</f>
        <v>0</v>
      </c>
      <c r="P24" s="0" t="n">
        <f aca="false">IF(P$3=Inputs!$B$20,Inputs!$B$5*(1+Inputs!$B$6)^(P$3/12)/Inputs!$B$21*(1-Inputs!$B$22)-P19,0)</f>
        <v>0</v>
      </c>
      <c r="Q24" s="0" t="n">
        <f aca="false">IF(Q$3=Inputs!$B$20,Inputs!$B$5*(1+Inputs!$B$6)^(Q$3/12)/Inputs!$B$21*(1-Inputs!$B$22)-Q19,0)</f>
        <v>0</v>
      </c>
      <c r="R24" s="0" t="n">
        <f aca="false">IF(R$3=Inputs!$B$20,Inputs!$B$5*(1+Inputs!$B$6)^(R$3/12)/Inputs!$B$21*(1-Inputs!$B$22)-R19,0)</f>
        <v>0</v>
      </c>
      <c r="S24" s="0" t="n">
        <f aca="false">IF(S$3=Inputs!$B$20,Inputs!$B$5*(1+Inputs!$B$6)^(S$3/12)/Inputs!$B$21*(1-Inputs!$B$22)-S19,0)</f>
        <v>0</v>
      </c>
      <c r="T24" s="0" t="n">
        <f aca="false">IF(T$3=Inputs!$B$20,Inputs!$B$5*(1+Inputs!$B$6)^(T$3/12)/Inputs!$B$21*(1-Inputs!$B$22)-T19,0)</f>
        <v>0</v>
      </c>
      <c r="U24" s="0" t="n">
        <f aca="false">IF(U$3=Inputs!$B$20,Inputs!$B$5*(1+Inputs!$B$6)^(U$3/12)/Inputs!$B$21*(1-Inputs!$B$22)-U19,0)</f>
        <v>0</v>
      </c>
      <c r="V24" s="0" t="n">
        <f aca="false">IF(V$3=Inputs!$B$20,Inputs!$B$5*(1+Inputs!$B$6)^(V$3/12)/Inputs!$B$21*(1-Inputs!$B$22)-V19,0)</f>
        <v>0</v>
      </c>
      <c r="W24" s="0" t="n">
        <f aca="false">IF(W$3=Inputs!$B$20,Inputs!$B$5*(1+Inputs!$B$6)^(W$3/12)/Inputs!$B$21*(1-Inputs!$B$22)-W19,0)</f>
        <v>0</v>
      </c>
      <c r="X24" s="0" t="n">
        <f aca="false">IF(X$3=Inputs!$B$20,Inputs!$B$5*(1+Inputs!$B$6)^(X$3/12)/Inputs!$B$21*(1-Inputs!$B$22)-X19,0)</f>
        <v>0</v>
      </c>
      <c r="Y24" s="0" t="n">
        <f aca="false">IF(Y$3=Inputs!$B$20,Inputs!$B$5*(1+Inputs!$B$6)^(Y$3/12)/Inputs!$B$21*(1-Inputs!$B$22)-Y19,0)</f>
        <v>0</v>
      </c>
      <c r="Z24" s="0" t="n">
        <f aca="false">IF(Z$3=Inputs!$B$20,Inputs!$B$5*(1+Inputs!$B$6)^(Z$3/12)/Inputs!$B$21*(1-Inputs!$B$22)-Z19,0)</f>
        <v>0</v>
      </c>
      <c r="AA24" s="0" t="n">
        <f aca="false">IF(AA$3=Inputs!$B$20,Inputs!$B$5*(1+Inputs!$B$6)^(AA$3/12)/Inputs!$B$21*(1-Inputs!$B$22)-AA19,0)</f>
        <v>0</v>
      </c>
      <c r="AB24" s="0" t="n">
        <f aca="false">IF(AB$3=Inputs!$B$20,Inputs!$B$5*(1+Inputs!$B$6)^(AB$3/12)/Inputs!$B$21*(1-Inputs!$B$22)-AB19,0)</f>
        <v>0</v>
      </c>
      <c r="AC24" s="0" t="n">
        <f aca="false">IF(AC$3=Inputs!$B$20,Inputs!$B$5*(1+Inputs!$B$6)^(AC$3/12)/Inputs!$B$21*(1-Inputs!$B$22)-AC19,0)</f>
        <v>0</v>
      </c>
      <c r="AD24" s="0" t="n">
        <f aca="false">IF(AD$3=Inputs!$B$20,Inputs!$B$5*(1+Inputs!$B$6)^(AD$3/12)/Inputs!$B$21*(1-Inputs!$B$22)-AD19,0)</f>
        <v>0</v>
      </c>
      <c r="AE24" s="0" t="n">
        <f aca="false">IF(AE$3=Inputs!$B$20,Inputs!$B$5*(1+Inputs!$B$6)^(AE$3/12)/Inputs!$B$21*(1-Inputs!$B$22)-AE19,0)</f>
        <v>0</v>
      </c>
      <c r="AF24" s="0" t="n">
        <f aca="false">IF(AF$3=Inputs!$B$20,Inputs!$B$5*(1+Inputs!$B$6)^(AF$3/12)/Inputs!$B$21*(1-Inputs!$B$22)-AF19,0)</f>
        <v>0</v>
      </c>
      <c r="AG24" s="0" t="n">
        <f aca="false">IF(AG$3=Inputs!$B$20,Inputs!$B$5*(1+Inputs!$B$6)^(AG$3/12)/Inputs!$B$21*(1-Inputs!$B$22)-AG19,0)</f>
        <v>0</v>
      </c>
      <c r="AH24" s="0" t="n">
        <f aca="false">IF(AH$3=Inputs!$B$20,Inputs!$B$5*(1+Inputs!$B$6)^(AH$3/12)/Inputs!$B$21*(1-Inputs!$B$22)-AH19,0)</f>
        <v>0</v>
      </c>
      <c r="AI24" s="0" t="n">
        <f aca="false">IF(AI$3=Inputs!$B$20,Inputs!$B$5*(1+Inputs!$B$6)^(AI$3/12)/Inputs!$B$21*(1-Inputs!$B$22)-AI19,0)</f>
        <v>0</v>
      </c>
      <c r="AJ24" s="0" t="n">
        <f aca="false">IF(AJ$3=Inputs!$B$20,Inputs!$B$5*(1+Inputs!$B$6)^(AJ$3/12)/Inputs!$B$21*(1-Inputs!$B$22)-AJ19,0)</f>
        <v>0</v>
      </c>
      <c r="AK24" s="0" t="n">
        <f aca="false">IF(AK$3=Inputs!$B$20,Inputs!$B$5*(1+Inputs!$B$6)^(AK$3/12)/Inputs!$B$21*(1-Inputs!$B$22)-AK19,0)</f>
        <v>0</v>
      </c>
      <c r="AL24" s="0" t="n">
        <f aca="false">IF(AL$3=Inputs!$B$20,Inputs!$B$5*(1+Inputs!$B$6)^(AL$3/12)/Inputs!$B$21*(1-Inputs!$B$22)-AL19,0)</f>
        <v>0</v>
      </c>
      <c r="AM24" s="0" t="n">
        <f aca="false">IF(AM$3=Inputs!$B$20,Inputs!$B$5*(1+Inputs!$B$6)^(AM$3/12)/Inputs!$B$21*(1-Inputs!$B$22)-AM19,0)</f>
        <v>0</v>
      </c>
      <c r="AN24" s="0" t="n">
        <f aca="false">IF(AN$3=Inputs!$B$20,Inputs!$B$5*(1+Inputs!$B$6)^(AN$3/12)/Inputs!$B$21*(1-Inputs!$B$22)-AN19,0)</f>
        <v>0</v>
      </c>
      <c r="AO24" s="0" t="n">
        <f aca="false">IF(AO$3=Inputs!$B$20,Inputs!$B$5*(1+Inputs!$B$6)^(AO$3/12)/Inputs!$B$21*(1-Inputs!$B$22)-AO19,0)</f>
        <v>0</v>
      </c>
      <c r="AP24" s="0" t="n">
        <f aca="false">IF(AP$3=Inputs!$B$20,Inputs!$B$5*(1+Inputs!$B$6)^(AP$3/12)/Inputs!$B$21*(1-Inputs!$B$22)-AP19,0)</f>
        <v>0</v>
      </c>
      <c r="AQ24" s="0" t="n">
        <f aca="false">IF(AQ$3=Inputs!$B$20,Inputs!$B$5*(1+Inputs!$B$6)^(AQ$3/12)/Inputs!$B$21*(1-Inputs!$B$22)-AQ19,0)</f>
        <v>0</v>
      </c>
      <c r="AR24" s="0" t="n">
        <f aca="false">IF(AR$3=Inputs!$B$20,Inputs!$B$5*(1+Inputs!$B$6)^(AR$3/12)/Inputs!$B$21*(1-Inputs!$B$22)-AR19,0)</f>
        <v>0</v>
      </c>
      <c r="AS24" s="0" t="n">
        <f aca="false">IF(AS$3=Inputs!$B$20,Inputs!$B$5*(1+Inputs!$B$6)^(AS$3/12)/Inputs!$B$21*(1-Inputs!$B$22)-AS19,0)</f>
        <v>0</v>
      </c>
      <c r="AT24" s="0" t="n">
        <f aca="false">IF(AT$3=Inputs!$B$20,Inputs!$B$5*(1+Inputs!$B$6)^(AT$3/12)/Inputs!$B$21*(1-Inputs!$B$22)-AT19,0)</f>
        <v>0</v>
      </c>
      <c r="AU24" s="0" t="n">
        <f aca="false">IF(AU$3=Inputs!$B$20,Inputs!$B$5*(1+Inputs!$B$6)^(AU$3/12)/Inputs!$B$21*(1-Inputs!$B$22)-AU19,0)</f>
        <v>0</v>
      </c>
      <c r="AV24" s="0" t="n">
        <f aca="false">IF(AV$3=Inputs!$B$20,Inputs!$B$5*(1+Inputs!$B$6)^(AV$3/12)/Inputs!$B$21*(1-Inputs!$B$22)-AV19,0)</f>
        <v>0</v>
      </c>
      <c r="AW24" s="0" t="n">
        <f aca="false">IF(AW$3=Inputs!$B$20,Inputs!$B$5*(1+Inputs!$B$6)^(AW$3/12)/Inputs!$B$21*(1-Inputs!$B$22)-AW19,0)</f>
        <v>0</v>
      </c>
      <c r="AX24" s="0" t="n">
        <f aca="false">IF(AX$3=Inputs!$B$20,Inputs!$B$5*(1+Inputs!$B$6)^(AX$3/12)/Inputs!$B$21*(1-Inputs!$B$22)-AX19,0)</f>
        <v>0</v>
      </c>
      <c r="AY24" s="0" t="n">
        <f aca="false">IF(AY$3=Inputs!$B$20,Inputs!$B$5*(1+Inputs!$B$6)^(AY$3/12)/Inputs!$B$21*(1-Inputs!$B$22)-AY19,0)</f>
        <v>0</v>
      </c>
      <c r="AZ24" s="0" t="n">
        <f aca="false">IF(AZ$3=Inputs!$B$20,Inputs!$B$5*(1+Inputs!$B$6)^(AZ$3/12)/Inputs!$B$21*(1-Inputs!$B$22)-AZ19,0)</f>
        <v>0</v>
      </c>
      <c r="BA24" s="0" t="n">
        <f aca="false">IF(BA$3=Inputs!$B$20,Inputs!$B$5*(1+Inputs!$B$6)^(BA$3/12)/Inputs!$B$21*(1-Inputs!$B$22)-BA19,0)</f>
        <v>0</v>
      </c>
      <c r="BB24" s="0" t="n">
        <f aca="false">IF(BB$3=Inputs!$B$20,Inputs!$B$5*(1+Inputs!$B$6)^(BB$3/12)/Inputs!$B$21*(1-Inputs!$B$22)-BB19,0)</f>
        <v>0</v>
      </c>
      <c r="BC24" s="0" t="n">
        <f aca="false">IF(BC$3=Inputs!$B$20,Inputs!$B$5*(1+Inputs!$B$6)^(BC$3/12)/Inputs!$B$21*(1-Inputs!$B$22)-BC19,0)</f>
        <v>0</v>
      </c>
      <c r="BD24" s="0" t="n">
        <f aca="false">IF(BD$3=Inputs!$B$20,Inputs!$B$5*(1+Inputs!$B$6)^(BD$3/12)/Inputs!$B$21*(1-Inputs!$B$22)-BD19,0)</f>
        <v>0</v>
      </c>
      <c r="BE24" s="0" t="n">
        <f aca="false">IF(BE$3=Inputs!$B$20,Inputs!$B$5*(1+Inputs!$B$6)^(BE$3/12)/Inputs!$B$21*(1-Inputs!$B$22)-BE19,0)</f>
        <v>0</v>
      </c>
      <c r="BF24" s="0" t="n">
        <f aca="false">IF(BF$3=Inputs!$B$20,Inputs!$B$5*(1+Inputs!$B$6)^(BF$3/12)/Inputs!$B$21*(1-Inputs!$B$22)-BF19,0)</f>
        <v>0</v>
      </c>
      <c r="BG24" s="0" t="n">
        <f aca="false">IF(BG$3=Inputs!$B$20,Inputs!$B$5*(1+Inputs!$B$6)^(BG$3/12)/Inputs!$B$21*(1-Inputs!$B$22)-BG19,0)</f>
        <v>0</v>
      </c>
      <c r="BH24" s="0" t="n">
        <f aca="false">IF(BH$3=Inputs!$B$20,Inputs!$B$5*(1+Inputs!$B$6)^(BH$3/12)/Inputs!$B$21*(1-Inputs!$B$22)-BH19,0)</f>
        <v>0</v>
      </c>
      <c r="BI24" s="0" t="n">
        <f aca="false">IF(BI$3=Inputs!$B$20,Inputs!$B$5*(1+Inputs!$B$6)^(BI$3/12)/Inputs!$B$21*(1-Inputs!$B$22)-BI19,0)</f>
        <v>0</v>
      </c>
      <c r="BJ24" s="5" t="n">
        <f aca="false">IF(BJ$3=Inputs!$B$20,Inputs!$B$5*(1+Inputs!$B$6)^(BJ$3/12)/Inputs!$B$21*(1-Inputs!$B$22)-BJ19,0)</f>
        <v>58884962.6981627</v>
      </c>
    </row>
    <row r="25" customFormat="false" ht="15" hidden="false" customHeight="false" outlineLevel="0" collapsed="false">
      <c r="A25" s="0" t="s">
        <v>44</v>
      </c>
      <c r="B25" s="0" t="n">
        <f aca="false">-(Inputs!$B$3*(1+Inputs!$B$4)-Inputs!$B$3*Inputs!$B$7)-B10</f>
        <v>-44268000</v>
      </c>
      <c r="C25" s="0" t="n">
        <f aca="false">C5-C22+C18+C24</f>
        <v>115267</v>
      </c>
      <c r="D25" s="0" t="n">
        <f aca="false">D5-D22+D18+D24</f>
        <v>117534.994295492</v>
      </c>
      <c r="E25" s="0" t="n">
        <f aca="false">E5-E22+E18+E24</f>
        <v>119742.521723685</v>
      </c>
      <c r="F25" s="0" t="n">
        <f aca="false">F5-F22+F18+F24</f>
        <v>121909.095298742</v>
      </c>
      <c r="G25" s="0" t="n">
        <f aca="false">G5-G22+G18+G24</f>
        <v>124047.728072192</v>
      </c>
      <c r="H25" s="0" t="n">
        <f aca="false">H5-H22+H18+H24</f>
        <v>126168.183133032</v>
      </c>
      <c r="I25" s="0" t="n">
        <f aca="false">I5-I22+I18+I24</f>
        <v>128289.973607835</v>
      </c>
      <c r="J25" s="0" t="n">
        <f aca="false">J5-J22+J18+J24</f>
        <v>130419.61266086</v>
      </c>
      <c r="K25" s="0" t="n">
        <f aca="false">K5-K22+K18+K24</f>
        <v>132570.113494159</v>
      </c>
      <c r="L25" s="0" t="n">
        <f aca="false">L5-L22+L18+L24</f>
        <v>134754.489347688</v>
      </c>
      <c r="M25" s="0" t="n">
        <f aca="false">M5-M22+M18+M24</f>
        <v>136976.00349941</v>
      </c>
      <c r="N25" s="0" t="n">
        <f aca="false">N5-N22+N18+N24</f>
        <v>139247.669265409</v>
      </c>
      <c r="O25" s="0" t="n">
        <f aca="false">O5-O22+O18+O24</f>
        <v>141569.5</v>
      </c>
      <c r="P25" s="0" t="n">
        <f aca="false">P5-P22+P18+P24</f>
        <v>143951.259095834</v>
      </c>
      <c r="Q25" s="0" t="n">
        <f aca="false">Q5-Q22+Q18+Q24</f>
        <v>146392.959984014</v>
      </c>
      <c r="R25" s="0" t="n">
        <f aca="false">R5-R22+R18+R24</f>
        <v>148897.866134198</v>
      </c>
      <c r="S25" s="0" t="n">
        <f aca="false">S5-S22+S18+S24</f>
        <v>151465.991054719</v>
      </c>
      <c r="T25" s="0" t="n">
        <f aca="false">T5-T22+T18+T24</f>
        <v>154097.348292688</v>
      </c>
      <c r="U25" s="0" t="n">
        <f aca="false">U5-U22+U18+U24</f>
        <v>156788.701434109</v>
      </c>
      <c r="V25" s="0" t="n">
        <f aca="false">V5-V22+V18+V24</f>
        <v>159540.06410399</v>
      </c>
      <c r="W25" s="0" t="n">
        <f aca="false">W5-W22+W18+W24</f>
        <v>162341.699966455</v>
      </c>
      <c r="X25" s="0" t="n">
        <f aca="false">X5-X22+X18+X24</f>
        <v>165190.372724857</v>
      </c>
      <c r="Y25" s="0" t="n">
        <f aca="false">Y5-Y22+Y18+Y24</f>
        <v>168082.846121889</v>
      </c>
      <c r="Z25" s="0" t="n">
        <f aca="false">Z5-Z22+Z18+Z24</f>
        <v>171009.383939698</v>
      </c>
      <c r="AA25" s="0" t="n">
        <f aca="false">AA5-AA22+AA18+AA24</f>
        <v>173960.25</v>
      </c>
      <c r="AB25" s="0" t="n">
        <f aca="false">AB5-AB22+AB18+AB24</f>
        <v>176925.708164188</v>
      </c>
      <c r="AC25" s="0" t="n">
        <f aca="false">AC5-AC22+AC18+AC24</f>
        <v>179899.272333454</v>
      </c>
      <c r="AD25" s="0" t="n">
        <f aca="false">AD5-AD22+AD18+AD24</f>
        <v>182874.456448895</v>
      </c>
      <c r="AE25" s="0" t="n">
        <f aca="false">AE5-AE22+AE18+AE24</f>
        <v>185835.024491634</v>
      </c>
      <c r="AF25" s="0" t="n">
        <f aca="false">AF5-AF22+AF18+AF24</f>
        <v>188771.240482932</v>
      </c>
      <c r="AG25" s="0" t="n">
        <f aca="false">AG5-AG22+AG18+AG24</f>
        <v>191676.618484302</v>
      </c>
      <c r="AH25" s="0" t="n">
        <f aca="false">AH5-AH22+AH18+AH24</f>
        <v>194541.422597629</v>
      </c>
      <c r="AI25" s="0" t="n">
        <f aca="false">AI5-AI22+AI18+AI24</f>
        <v>197352.666965281</v>
      </c>
      <c r="AJ25" s="0" t="n">
        <f aca="false">AJ5-AJ22+AJ18+AJ24</f>
        <v>200107.115770227</v>
      </c>
      <c r="AK25" s="0" t="n">
        <f aca="false">AK5-AK22+AK18+AK24</f>
        <v>202788.533236155</v>
      </c>
      <c r="AL25" s="0" t="n">
        <f aca="false">AL5-AL22+AL18+AL24</f>
        <v>5834399.11219901</v>
      </c>
      <c r="AM25" s="5" t="n">
        <f aca="false">AM5-AM22+AM18+AM24</f>
        <v>129698.28936514</v>
      </c>
      <c r="AN25" s="5" t="n">
        <f aca="false">AN5-AN22+AN18+AN24</f>
        <v>131964.631370026</v>
      </c>
      <c r="AO25" s="5" t="n">
        <f aca="false">AO5-AO22+AO18+AO24</f>
        <v>134235.445433333</v>
      </c>
      <c r="AP25" s="5" t="n">
        <f aca="false">AP5-AP22+AP18+AP24</f>
        <v>136510.746579063</v>
      </c>
      <c r="AQ25" s="5" t="n">
        <f aca="false">AQ5-AQ22+AQ18+AQ24</f>
        <v>138790.549872002</v>
      </c>
      <c r="AR25" s="5" t="n">
        <f aca="false">AR5-AR22+AR18+AR24</f>
        <v>141074.870417841</v>
      </c>
      <c r="AS25" s="5" t="n">
        <f aca="false">AS5-AS22+AS18+AS24</f>
        <v>143363.723363297</v>
      </c>
      <c r="AT25" s="5" t="n">
        <f aca="false">AT5-AT22+AT18+AT24</f>
        <v>145657.123896231</v>
      </c>
      <c r="AU25" s="5" t="n">
        <f aca="false">AU5-AU22+AU18+AU24</f>
        <v>147955.08724577</v>
      </c>
      <c r="AV25" s="5" t="n">
        <f aca="false">AV5-AV22+AV18+AV24</f>
        <v>150257.628682428</v>
      </c>
      <c r="AW25" s="5" t="n">
        <f aca="false">AW5-AW22+AW18+AW24</f>
        <v>152564.763518227</v>
      </c>
      <c r="AX25" s="5" t="n">
        <f aca="false">AX5-AX22+AX18+AX24</f>
        <v>154876.507106818</v>
      </c>
      <c r="AY25" s="5" t="n">
        <f aca="false">AY5-AY22+AY18+AY24</f>
        <v>157192.874843605</v>
      </c>
      <c r="AZ25" s="5" t="n">
        <f aca="false">AZ5-AZ22+AZ18+AZ24</f>
        <v>159513.882165865</v>
      </c>
      <c r="BA25" s="5" t="n">
        <f aca="false">BA5-BA22+BA18+BA24</f>
        <v>161839.544552872</v>
      </c>
      <c r="BB25" s="5" t="n">
        <f aca="false">BB5-BB22+BB18+BB24</f>
        <v>164169.87752602</v>
      </c>
      <c r="BC25" s="5" t="n">
        <f aca="false">BC5-BC22+BC18+BC24</f>
        <v>166504.896648946</v>
      </c>
      <c r="BD25" s="5" t="n">
        <f aca="false">BD5-BD22+BD18+BD24</f>
        <v>168844.617527656</v>
      </c>
      <c r="BE25" s="5" t="n">
        <f aca="false">BE5-BE22+BE18+BE24</f>
        <v>171189.055810644</v>
      </c>
      <c r="BF25" s="5" t="n">
        <f aca="false">BF5-BF22+BF18+BF24</f>
        <v>173538.227189021</v>
      </c>
      <c r="BG25" s="5" t="n">
        <f aca="false">BG5-BG22+BG18+BG24</f>
        <v>175892.147396639</v>
      </c>
      <c r="BH25" s="5" t="n">
        <f aca="false">BH5-BH22+BH18+BH24</f>
        <v>178250.832210216</v>
      </c>
      <c r="BI25" s="5" t="n">
        <f aca="false">BI5-BI22+BI18+BI24</f>
        <v>180614.297449459</v>
      </c>
      <c r="BJ25" s="5" t="n">
        <f aca="false">BJ5-BJ22+BJ18+BJ24</f>
        <v>59067945.2571399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3" customFormat="false" ht="15" hidden="false" customHeight="false" outlineLevel="0" collapsed="false">
      <c r="A3" s="0" t="s">
        <v>45</v>
      </c>
      <c r="B3" s="2" t="n">
        <f aca="false">(1+IRR('Cash Flow'!B25:BJ25,0.01))^12-1</f>
        <v>0.121259671638781</v>
      </c>
    </row>
    <row r="4" customFormat="false" ht="15" hidden="false" customHeight="false" outlineLevel="0" collapsed="false">
      <c r="A4" s="0" t="s">
        <v>46</v>
      </c>
      <c r="B4" s="4" t="n">
        <f aca="false">SUMIF('Cash Flow'!B25:BJ25,"&gt;0")/-SUMIF('Cash Flow'!B25:BJ25,"&lt;0")</f>
        <v>1.67023203387855</v>
      </c>
    </row>
    <row r="5" customFormat="false" ht="15" hidden="false" customHeight="false" outlineLevel="0" collapsed="false">
      <c r="A5" s="0" t="s">
        <v>47</v>
      </c>
      <c r="B5" s="1" t="n">
        <f aca="false">SUM('Cash Flow'!B16:BJ16)</f>
        <v>83629005.4285714</v>
      </c>
    </row>
    <row r="6" customFormat="false" ht="15" hidden="false" customHeight="false" outlineLevel="0" collapsed="false">
      <c r="A6" s="0" t="s">
        <v>48</v>
      </c>
      <c r="B6" s="1" t="n">
        <f aca="false">SUM('Cash Flow'!B18:BJ18)</f>
        <v>5629005.42857142</v>
      </c>
    </row>
    <row r="7" customFormat="false" ht="15" hidden="false" customHeight="false" outlineLevel="0" collapsed="false">
      <c r="A7" s="0" t="s">
        <v>49</v>
      </c>
      <c r="B7" s="6" t="str">
        <f aca="false">IF(B5=SUM('Cash Flow'!B13:BJ13),"LTV",IF(B5=SUM('Cash Flow'!B14:BJ14),"DSCR","Debt yield"))</f>
        <v>LTV</v>
      </c>
    </row>
    <row r="8" customFormat="false" ht="15" hidden="false" customHeight="false" outlineLevel="0" collapsed="false">
      <c r="A8" s="0" t="s">
        <v>50</v>
      </c>
      <c r="B8" s="1" t="n">
        <f aca="false">SUM('Cash Flow'!B9:BJ9)-SUM('Cash Flow'!B8:BJ8)-SUM('Cash Flow'!B10:BJ10)</f>
        <v>-175467.5</v>
      </c>
    </row>
    <row r="9" customFormat="false" ht="15" hidden="false" customHeight="false" outlineLevel="0" collapsed="false">
      <c r="A9" s="0" t="s">
        <v>51</v>
      </c>
      <c r="B9" s="4" t="n">
        <f aca="false">MIN('Cash Flow'!C23:BJ23)</f>
        <v>1.26514435297067</v>
      </c>
    </row>
    <row r="10" customFormat="false" ht="15" hidden="false" customHeight="false" outlineLevel="0" collapsed="false">
      <c r="A10" s="0" t="s">
        <v>52</v>
      </c>
      <c r="B10" s="1" t="n">
        <f aca="false">SUM('Cash Flow'!B25:BJ25)</f>
        <v>29669831.6757357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2026-10-17T12:36:17Z</dcterms:created>
  <dc:creator>openpyxl</dc:creator>
  <dc:description/>
  <dc:language>en-US</dc:language>
  <cp:lastModifiedBy/>
  <dcterms:modified xsi:type="dcterms:W3CDTF">2026-10-17T12:36:17Z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