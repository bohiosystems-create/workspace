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<sst xmlns="http://schemas.openxmlformats.org/spreadsheetml/2006/main" count="40" uniqueCount="40">
  <si>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A-17 TOLL MOTORWAY – CONCESSION (EUR)</t>
  </si>
  <si>
    <t xml:space="preserve">Light vehicles a day (year 1)</t>
  </si>
  <si>
    <t xml:space="preserve">Heavy vehicles a day (year 1)</t>
  </si>
  <si>
    <t xml:space="preserve">Ramp-up years</t>
  </si>
  <si>
    <t xml:space="preserve">Traffic growth a year</t>
  </si>
  <si>
    <t xml:space="preserve">Tariff light (EUR)</t>
  </si>
  <si>
    <t xml:space="preserve">Tariff heavy (EUR)</t>
  </si>
  <si>
    <t xml:space="preserve">Tariff indexation</t>
  </si>
  <si>
    <t xml:space="preserve">Elasticity of traffic to tariff</t>
  </si>
  <si>
    <t xml:space="preserve">Tariff change vs base</t>
  </si>
  <si>
    <t xml:space="preserve">O&amp;M a year (EUR)</t>
  </si>
  <si>
    <t xml:space="preserve">Major maintenance every (years)</t>
  </si>
  <si>
    <t xml:space="preserve">Major maintenance (EUR)</t>
  </si>
  <si>
    <t xml:space="preserve">Senior debt (EUR)</t>
  </si>
  <si>
    <t xml:space="preserve">Interest rate</t>
  </si>
  <si>
    <t xml:space="preserve">Debt tenor (years)</t>
  </si>
  <si>
    <t xml:space="preserve">Concession (years)</t>
  </si>
  <si>
    <t xml:space="preserve">Construction cost (EUR)</t>
  </si>
  <si>
    <t xml:space="preserve">Year</t>
  </si>
  <si>
    <t xml:space="preserve">Ramp-up factor</t>
  </si>
  <si>
    <t xml:space="preserve">Tariff light</t>
  </si>
  <si>
    <t xml:space="preserve">Tariff heavy</t>
  </si>
  <si>
    <t xml:space="preserve">Light traffic</t>
  </si>
  <si>
    <t xml:space="preserve">Heavy traffic</t>
  </si>
  <si>
    <t xml:space="preserve">Revenue</t>
  </si>
  <si>
    <t xml:space="preserve">O&amp;M</t>
  </si>
  <si>
    <t xml:space="preserve">Major maintenance</t>
  </si>
  <si>
    <t xml:space="preserve">CFADS</t>
  </si>
  <si>
    <t xml:space="preserve">Opening debt</t>
  </si>
  <si>
    <t xml:space="preserve">Interest</t>
  </si>
  <si>
    <t xml:space="preserve">Repayment</t>
  </si>
  <si>
    <t xml:space="preserve">DSCR</t>
  </si>
  <si>
    <t xml:space="preserve">Equity cash flow</t>
  </si>
  <si>
    <t xml:space="preserve">Equity IRR</t>
  </si>
  <si>
    <t xml:space="preserve">Minimum DSCR</t>
  </si>
  <si>
    <t xml:space="preserve">Average DSCR</t>
  </si>
  <si>
    <t xml:space="preserve">Tail (years after the debt)</t>
  </si>
  <si>
    <t xml:space="preserve">Revenue over the concession (EUR)</t>
  </si>
  <si>
    <t xml:space="preserve">Peak debt (EUR)</t>
  </si>
  <si>
    <t xml:space="preserve">Net profit (EUR)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</si>
</sst>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0%"/>
    <numFmt numFmtId="168" formatCode="0.00"/>
    <numFmt numFmtId="169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38000</v>
      </c>
    </row>
    <row r="4" customFormat="false" ht="15" hidden="false" customHeight="false" outlineLevel="0" collapsed="false">
      <c r="A4" s="0" t="s">
        <v>2</v>
      </c>
      <c r="B4" s="1" t="n">
        <v>6500</v>
      </c>
    </row>
    <row r="5" customFormat="false" ht="15" hidden="false" customHeight="false" outlineLevel="0" collapsed="false">
      <c r="A5" s="0" t="s">
        <v>3</v>
      </c>
      <c r="B5" s="2" t="n">
        <v>4</v>
      </c>
    </row>
    <row r="6" customFormat="false" ht="15" hidden="false" customHeight="false" outlineLevel="0" collapsed="false">
      <c r="A6" s="0" t="s">
        <v>4</v>
      </c>
      <c r="B6" s="3" t="n">
        <v>0.022</v>
      </c>
    </row>
    <row r="7" customFormat="false" ht="15" hidden="false" customHeight="false" outlineLevel="0" collapsed="false">
      <c r="A7" s="0" t="s">
        <v>5</v>
      </c>
      <c r="B7" s="4" t="n">
        <v>4.2</v>
      </c>
    </row>
    <row r="8" customFormat="false" ht="15" hidden="false" customHeight="false" outlineLevel="0" collapsed="false">
      <c r="A8" s="0" t="s">
        <v>6</v>
      </c>
      <c r="B8" s="4" t="n">
        <v>11.5</v>
      </c>
    </row>
    <row r="9" customFormat="false" ht="15" hidden="false" customHeight="false" outlineLevel="0" collapsed="false">
      <c r="A9" s="0" t="s">
        <v>7</v>
      </c>
      <c r="B9" s="3" t="n">
        <v>0.02</v>
      </c>
    </row>
    <row r="10" customFormat="false" ht="15" hidden="false" customHeight="false" outlineLevel="0" collapsed="false">
      <c r="A10" s="0" t="s">
        <v>8</v>
      </c>
      <c r="B10" s="4" t="n">
        <v>-0.25</v>
      </c>
    </row>
    <row r="11" customFormat="false" ht="15" hidden="false" customHeight="false" outlineLevel="0" collapsed="false">
      <c r="A11" s="0" t="s">
        <v>9</v>
      </c>
      <c r="B11" s="3" t="n">
        <v>0</v>
      </c>
    </row>
    <row r="12" customFormat="false" ht="15" hidden="false" customHeight="false" outlineLevel="0" collapsed="false">
      <c r="A12" s="0" t="s">
        <v>10</v>
      </c>
      <c r="B12" s="1" t="n">
        <v>21000000</v>
      </c>
    </row>
    <row r="13" customFormat="false" ht="15" hidden="false" customHeight="false" outlineLevel="0" collapsed="false">
      <c r="A13" s="0" t="s">
        <v>11</v>
      </c>
      <c r="B13" s="2" t="n">
        <v>8</v>
      </c>
    </row>
    <row r="14" customFormat="false" ht="15" hidden="false" customHeight="false" outlineLevel="0" collapsed="false">
      <c r="A14" s="0" t="s">
        <v>12</v>
      </c>
      <c r="B14" s="1" t="n">
        <v>65000000</v>
      </c>
    </row>
    <row r="15" customFormat="false" ht="15" hidden="false" customHeight="false" outlineLevel="0" collapsed="false">
      <c r="A15" s="0" t="s">
        <v>13</v>
      </c>
      <c r="B15" s="1" t="n">
        <v>780000000</v>
      </c>
    </row>
    <row r="16" customFormat="false" ht="15" hidden="false" customHeight="false" outlineLevel="0" collapsed="false">
      <c r="A16" s="0" t="s">
        <v>14</v>
      </c>
      <c r="B16" s="3" t="n">
        <v>0.048</v>
      </c>
    </row>
    <row r="17" customFormat="false" ht="15" hidden="false" customHeight="false" outlineLevel="0" collapsed="false">
      <c r="A17" s="0" t="s">
        <v>15</v>
      </c>
      <c r="B17" s="2" t="n">
        <v>22</v>
      </c>
    </row>
    <row r="18" customFormat="false" ht="15" hidden="false" customHeight="false" outlineLevel="0" collapsed="false">
      <c r="A18" s="0" t="s">
        <v>16</v>
      </c>
      <c r="B18" s="2" t="n">
        <v>30</v>
      </c>
    </row>
    <row r="19" customFormat="false" ht="15" hidden="false" customHeight="false" outlineLevel="0" collapsed="false">
      <c r="A19" s="0" t="s">
        <v>17</v>
      </c>
      <c r="B19" s="1" t="n">
        <v>1150000000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18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</row>
    <row r="4" customFormat="false" ht="15" hidden="false" customHeight="false" outlineLevel="0" collapsed="false">
      <c r="A4" s="0" t="s">
        <v>19</v>
      </c>
      <c r="B4" s="0" t="n">
        <f aca="false">IF(B$3=0,0,MIN(1,0.6+0.4*(B$3-1)/Inputs!$B$5))</f>
        <v>0</v>
      </c>
      <c r="C4" s="0" t="n">
        <f aca="false">IF(C$3=0,0,MIN(1,0.6+0.4*(C$3-1)/Inputs!$B$5))</f>
        <v>0.6</v>
      </c>
      <c r="D4" s="0" t="n">
        <f aca="false">IF(D$3=0,0,MIN(1,0.6+0.4*(D$3-1)/Inputs!$B$5))</f>
        <v>0.7</v>
      </c>
      <c r="E4" s="0" t="n">
        <f aca="false">IF(E$3=0,0,MIN(1,0.6+0.4*(E$3-1)/Inputs!$B$5))</f>
        <v>0.8</v>
      </c>
      <c r="F4" s="0" t="n">
        <f aca="false">IF(F$3=0,0,MIN(1,0.6+0.4*(F$3-1)/Inputs!$B$5))</f>
        <v>0.9</v>
      </c>
      <c r="G4" s="0" t="n">
        <f aca="false">IF(G$3=0,0,MIN(1,0.6+0.4*(G$3-1)/Inputs!$B$5))</f>
        <v>1</v>
      </c>
      <c r="H4" s="0" t="n">
        <f aca="false">IF(H$3=0,0,MIN(1,0.6+0.4*(H$3-1)/Inputs!$B$5))</f>
        <v>1</v>
      </c>
      <c r="I4" s="0" t="n">
        <f aca="false">IF(I$3=0,0,MIN(1,0.6+0.4*(I$3-1)/Inputs!$B$5))</f>
        <v>1</v>
      </c>
      <c r="J4" s="0" t="n">
        <f aca="false">IF(J$3=0,0,MIN(1,0.6+0.4*(J$3-1)/Inputs!$B$5))</f>
        <v>1</v>
      </c>
      <c r="K4" s="0" t="n">
        <f aca="false">IF(K$3=0,0,MIN(1,0.6+0.4*(K$3-1)/Inputs!$B$5))</f>
        <v>1</v>
      </c>
      <c r="L4" s="0" t="n">
        <f aca="false">IF(L$3=0,0,MIN(1,0.6+0.4*(L$3-1)/Inputs!$B$5))</f>
        <v>1</v>
      </c>
      <c r="M4" s="0" t="n">
        <f aca="false">IF(M$3=0,0,MIN(1,0.6+0.4*(M$3-1)/Inputs!$B$5))</f>
        <v>1</v>
      </c>
      <c r="N4" s="0" t="n">
        <f aca="false">IF(N$3=0,0,MIN(1,0.6+0.4*(N$3-1)/Inputs!$B$5))</f>
        <v>1</v>
      </c>
      <c r="O4" s="0" t="n">
        <f aca="false">IF(O$3=0,0,MIN(1,0.6+0.4*(O$3-1)/Inputs!$B$5))</f>
        <v>1</v>
      </c>
      <c r="P4" s="0" t="n">
        <f aca="false">IF(P$3=0,0,MIN(1,0.6+0.4*(P$3-1)/Inputs!$B$5))</f>
        <v>1</v>
      </c>
      <c r="Q4" s="0" t="n">
        <f aca="false">IF(Q$3=0,0,MIN(1,0.6+0.4*(Q$3-1)/Inputs!$B$5))</f>
        <v>1</v>
      </c>
      <c r="R4" s="0" t="n">
        <f aca="false">IF(R$3=0,0,MIN(1,0.6+0.4*(R$3-1)/Inputs!$B$5))</f>
        <v>1</v>
      </c>
      <c r="S4" s="0" t="n">
        <f aca="false">IF(S$3=0,0,MIN(1,0.6+0.4*(S$3-1)/Inputs!$B$5))</f>
        <v>1</v>
      </c>
      <c r="T4" s="0" t="n">
        <f aca="false">IF(T$3=0,0,MIN(1,0.6+0.4*(T$3-1)/Inputs!$B$5))</f>
        <v>1</v>
      </c>
      <c r="U4" s="0" t="n">
        <f aca="false">IF(U$3=0,0,MIN(1,0.6+0.4*(U$3-1)/Inputs!$B$5))</f>
        <v>1</v>
      </c>
      <c r="V4" s="0" t="n">
        <f aca="false">IF(V$3=0,0,MIN(1,0.6+0.4*(V$3-1)/Inputs!$B$5))</f>
        <v>1</v>
      </c>
      <c r="W4" s="0" t="n">
        <f aca="false">IF(W$3=0,0,MIN(1,0.6+0.4*(W$3-1)/Inputs!$B$5))</f>
        <v>1</v>
      </c>
      <c r="X4" s="0" t="n">
        <f aca="false">IF(X$3=0,0,MIN(1,0.6+0.4*(X$3-1)/Inputs!$B$5))</f>
        <v>1</v>
      </c>
      <c r="Y4" s="0" t="n">
        <f aca="false">IF(Y$3=0,0,MIN(1,0.6+0.4*(Y$3-1)/Inputs!$B$5))</f>
        <v>1</v>
      </c>
      <c r="Z4" s="0" t="n">
        <f aca="false">IF(Z$3=0,0,MIN(1,0.6+0.4*(Z$3-1)/Inputs!$B$5))</f>
        <v>1</v>
      </c>
      <c r="AA4" s="0" t="n">
        <f aca="false">IF(AA$3=0,0,MIN(1,0.6+0.4*(AA$3-1)/Inputs!$B$5))</f>
        <v>1</v>
      </c>
      <c r="AB4" s="0" t="n">
        <f aca="false">IF(AB$3=0,0,MIN(1,0.6+0.4*(AB$3-1)/Inputs!$B$5))</f>
        <v>1</v>
      </c>
      <c r="AC4" s="0" t="n">
        <f aca="false">IF(AC$3=0,0,MIN(1,0.6+0.4*(AC$3-1)/Inputs!$B$5))</f>
        <v>1</v>
      </c>
      <c r="AD4" s="0" t="n">
        <f aca="false">IF(AD$3=0,0,MIN(1,0.6+0.4*(AD$3-1)/Inputs!$B$5))</f>
        <v>1</v>
      </c>
      <c r="AE4" s="0" t="n">
        <f aca="false">IF(AE$3=0,0,MIN(1,0.6+0.4*(AE$3-1)/Inputs!$B$5))</f>
        <v>1</v>
      </c>
      <c r="AF4" s="0" t="n">
        <f aca="false">IF(AF$3=0,0,MIN(1,0.6+0.4*(AF$3-1)/Inputs!$B$5))</f>
        <v>1</v>
      </c>
    </row>
    <row r="5" customFormat="false" ht="15" hidden="false" customHeight="false" outlineLevel="0" collapsed="false">
      <c r="A5" s="0" t="s">
        <v>20</v>
      </c>
      <c r="B5" s="0" t="n">
        <f aca="false">MROUND(Inputs!$B$7*(1+Inputs!$B$11)*(1+Inputs!$B$9)^MAX(0,B$3-1),0.1)</f>
        <v>4.2</v>
      </c>
      <c r="C5" s="0" t="n">
        <f aca="false">MROUND(Inputs!$B$7*(1+Inputs!$B$11)*(1+Inputs!$B$9)^MAX(0,C$3-1),0.1)</f>
        <v>4.2</v>
      </c>
      <c r="D5" s="0" t="n">
        <f aca="false">MROUND(Inputs!$B$7*(1+Inputs!$B$11)*(1+Inputs!$B$9)^MAX(0,D$3-1),0.1)</f>
        <v>4.3</v>
      </c>
      <c r="E5" s="0" t="n">
        <f aca="false">MROUND(Inputs!$B$7*(1+Inputs!$B$11)*(1+Inputs!$B$9)^MAX(0,E$3-1),0.1)</f>
        <v>4.4</v>
      </c>
      <c r="F5" s="0" t="n">
        <f aca="false">MROUND(Inputs!$B$7*(1+Inputs!$B$11)*(1+Inputs!$B$9)^MAX(0,F$3-1),0.1)</f>
        <v>4.5</v>
      </c>
      <c r="G5" s="0" t="n">
        <f aca="false">MROUND(Inputs!$B$7*(1+Inputs!$B$11)*(1+Inputs!$B$9)^MAX(0,G$3-1),0.1)</f>
        <v>4.5</v>
      </c>
      <c r="H5" s="0" t="n">
        <f aca="false">MROUND(Inputs!$B$7*(1+Inputs!$B$11)*(1+Inputs!$B$9)^MAX(0,H$3-1),0.1)</f>
        <v>4.6</v>
      </c>
      <c r="I5" s="0" t="n">
        <f aca="false">MROUND(Inputs!$B$7*(1+Inputs!$B$11)*(1+Inputs!$B$9)^MAX(0,I$3-1),0.1)</f>
        <v>4.7</v>
      </c>
      <c r="J5" s="0" t="n">
        <f aca="false">MROUND(Inputs!$B$7*(1+Inputs!$B$11)*(1+Inputs!$B$9)^MAX(0,J$3-1),0.1)</f>
        <v>4.8</v>
      </c>
      <c r="K5" s="0" t="n">
        <f aca="false">MROUND(Inputs!$B$7*(1+Inputs!$B$11)*(1+Inputs!$B$9)^MAX(0,K$3-1),0.1)</f>
        <v>4.9</v>
      </c>
      <c r="L5" s="0" t="n">
        <f aca="false">MROUND(Inputs!$B$7*(1+Inputs!$B$11)*(1+Inputs!$B$9)^MAX(0,L$3-1),0.1)</f>
        <v>5</v>
      </c>
      <c r="M5" s="0" t="n">
        <f aca="false">MROUND(Inputs!$B$7*(1+Inputs!$B$11)*(1+Inputs!$B$9)^MAX(0,M$3-1),0.1)</f>
        <v>5.1</v>
      </c>
      <c r="N5" s="0" t="n">
        <f aca="false">MROUND(Inputs!$B$7*(1+Inputs!$B$11)*(1+Inputs!$B$9)^MAX(0,N$3-1),0.1)</f>
        <v>5.2</v>
      </c>
      <c r="O5" s="0" t="n">
        <f aca="false">MROUND(Inputs!$B$7*(1+Inputs!$B$11)*(1+Inputs!$B$9)^MAX(0,O$3-1),0.1)</f>
        <v>5.3</v>
      </c>
      <c r="P5" s="0" t="n">
        <f aca="false">MROUND(Inputs!$B$7*(1+Inputs!$B$11)*(1+Inputs!$B$9)^MAX(0,P$3-1),0.1)</f>
        <v>5.4</v>
      </c>
      <c r="Q5" s="0" t="n">
        <f aca="false">MROUND(Inputs!$B$7*(1+Inputs!$B$11)*(1+Inputs!$B$9)^MAX(0,Q$3-1),0.1)</f>
        <v>5.5</v>
      </c>
      <c r="R5" s="0" t="n">
        <f aca="false">MROUND(Inputs!$B$7*(1+Inputs!$B$11)*(1+Inputs!$B$9)^MAX(0,R$3-1),0.1)</f>
        <v>5.7</v>
      </c>
      <c r="S5" s="0" t="n">
        <f aca="false">MROUND(Inputs!$B$7*(1+Inputs!$B$11)*(1+Inputs!$B$9)^MAX(0,S$3-1),0.1)</f>
        <v>5.8</v>
      </c>
      <c r="T5" s="0" t="n">
        <f aca="false">MROUND(Inputs!$B$7*(1+Inputs!$B$11)*(1+Inputs!$B$9)^MAX(0,T$3-1),0.1)</f>
        <v>5.9</v>
      </c>
      <c r="U5" s="0" t="n">
        <f aca="false">MROUND(Inputs!$B$7*(1+Inputs!$B$11)*(1+Inputs!$B$9)^MAX(0,U$3-1),0.1)</f>
        <v>6</v>
      </c>
      <c r="V5" s="0" t="n">
        <f aca="false">MROUND(Inputs!$B$7*(1+Inputs!$B$11)*(1+Inputs!$B$9)^MAX(0,V$3-1),0.1)</f>
        <v>6.1</v>
      </c>
      <c r="W5" s="0" t="n">
        <f aca="false">MROUND(Inputs!$B$7*(1+Inputs!$B$11)*(1+Inputs!$B$9)^MAX(0,W$3-1),0.1)</f>
        <v>6.2</v>
      </c>
      <c r="X5" s="0" t="n">
        <f aca="false">MROUND(Inputs!$B$7*(1+Inputs!$B$11)*(1+Inputs!$B$9)^MAX(0,X$3-1),0.1)</f>
        <v>6.4</v>
      </c>
      <c r="Y5" s="0" t="n">
        <f aca="false">MROUND(Inputs!$B$7*(1+Inputs!$B$11)*(1+Inputs!$B$9)^MAX(0,Y$3-1),0.1)</f>
        <v>6.5</v>
      </c>
      <c r="Z5" s="0" t="n">
        <f aca="false">MROUND(Inputs!$B$7*(1+Inputs!$B$11)*(1+Inputs!$B$9)^MAX(0,Z$3-1),0.1)</f>
        <v>6.6</v>
      </c>
      <c r="AA5" s="0" t="n">
        <f aca="false">MROUND(Inputs!$B$7*(1+Inputs!$B$11)*(1+Inputs!$B$9)^MAX(0,AA$3-1),0.1)</f>
        <v>6.8</v>
      </c>
      <c r="AB5" s="0" t="n">
        <f aca="false">MROUND(Inputs!$B$7*(1+Inputs!$B$11)*(1+Inputs!$B$9)^MAX(0,AB$3-1),0.1)</f>
        <v>6.9</v>
      </c>
      <c r="AC5" s="0" t="n">
        <f aca="false">MROUND(Inputs!$B$7*(1+Inputs!$B$11)*(1+Inputs!$B$9)^MAX(0,AC$3-1),0.1)</f>
        <v>7</v>
      </c>
      <c r="AD5" s="0" t="n">
        <f aca="false">MROUND(Inputs!$B$7*(1+Inputs!$B$11)*(1+Inputs!$B$9)^MAX(0,AD$3-1),0.1)</f>
        <v>7.2</v>
      </c>
      <c r="AE5" s="0" t="n">
        <f aca="false">MROUND(Inputs!$B$7*(1+Inputs!$B$11)*(1+Inputs!$B$9)^MAX(0,AE$3-1),0.1)</f>
        <v>7.3</v>
      </c>
      <c r="AF5" s="0" t="n">
        <f aca="false">MROUND(Inputs!$B$7*(1+Inputs!$B$11)*(1+Inputs!$B$9)^MAX(0,AF$3-1),0.1)</f>
        <v>7.5</v>
      </c>
    </row>
    <row r="6" customFormat="false" ht="15" hidden="false" customHeight="false" outlineLevel="0" collapsed="false">
      <c r="A6" s="0" t="s">
        <v>21</v>
      </c>
      <c r="B6" s="0" t="n">
        <f aca="false">MROUND(Inputs!$B$8*(1+Inputs!$B$11)*(1+Inputs!$B$9)^MAX(0,B$3-1),0.1)</f>
        <v>11.5</v>
      </c>
      <c r="C6" s="0" t="n">
        <f aca="false">MROUND(Inputs!$B$8*(1+Inputs!$B$11)*(1+Inputs!$B$9)^MAX(0,C$3-1),0.1)</f>
        <v>11.5</v>
      </c>
      <c r="D6" s="0" t="n">
        <f aca="false">MROUND(Inputs!$B$8*(1+Inputs!$B$11)*(1+Inputs!$B$9)^MAX(0,D$3-1),0.1)</f>
        <v>11.7</v>
      </c>
      <c r="E6" s="0" t="n">
        <f aca="false">MROUND(Inputs!$B$8*(1+Inputs!$B$11)*(1+Inputs!$B$9)^MAX(0,E$3-1),0.1)</f>
        <v>12</v>
      </c>
      <c r="F6" s="0" t="n">
        <f aca="false">MROUND(Inputs!$B$8*(1+Inputs!$B$11)*(1+Inputs!$B$9)^MAX(0,F$3-1),0.1)</f>
        <v>12.2</v>
      </c>
      <c r="G6" s="0" t="n">
        <f aca="false">MROUND(Inputs!$B$8*(1+Inputs!$B$11)*(1+Inputs!$B$9)^MAX(0,G$3-1),0.1)</f>
        <v>12.4</v>
      </c>
      <c r="H6" s="0" t="n">
        <f aca="false">MROUND(Inputs!$B$8*(1+Inputs!$B$11)*(1+Inputs!$B$9)^MAX(0,H$3-1),0.1)</f>
        <v>12.7</v>
      </c>
      <c r="I6" s="0" t="n">
        <f aca="false">MROUND(Inputs!$B$8*(1+Inputs!$B$11)*(1+Inputs!$B$9)^MAX(0,I$3-1),0.1)</f>
        <v>13</v>
      </c>
      <c r="J6" s="0" t="n">
        <f aca="false">MROUND(Inputs!$B$8*(1+Inputs!$B$11)*(1+Inputs!$B$9)^MAX(0,J$3-1),0.1)</f>
        <v>13.2</v>
      </c>
      <c r="K6" s="0" t="n">
        <f aca="false">MROUND(Inputs!$B$8*(1+Inputs!$B$11)*(1+Inputs!$B$9)^MAX(0,K$3-1),0.1)</f>
        <v>13.5</v>
      </c>
      <c r="L6" s="0" t="n">
        <f aca="false">MROUND(Inputs!$B$8*(1+Inputs!$B$11)*(1+Inputs!$B$9)^MAX(0,L$3-1),0.1)</f>
        <v>13.7</v>
      </c>
      <c r="M6" s="0" t="n">
        <f aca="false">MROUND(Inputs!$B$8*(1+Inputs!$B$11)*(1+Inputs!$B$9)^MAX(0,M$3-1),0.1)</f>
        <v>14</v>
      </c>
      <c r="N6" s="0" t="n">
        <f aca="false">MROUND(Inputs!$B$8*(1+Inputs!$B$11)*(1+Inputs!$B$9)^MAX(0,N$3-1),0.1)</f>
        <v>14.3</v>
      </c>
      <c r="O6" s="0" t="n">
        <f aca="false">MROUND(Inputs!$B$8*(1+Inputs!$B$11)*(1+Inputs!$B$9)^MAX(0,O$3-1),0.1)</f>
        <v>14.6</v>
      </c>
      <c r="P6" s="0" t="n">
        <f aca="false">MROUND(Inputs!$B$8*(1+Inputs!$B$11)*(1+Inputs!$B$9)^MAX(0,P$3-1),0.1)</f>
        <v>14.9</v>
      </c>
      <c r="Q6" s="0" t="n">
        <f aca="false">MROUND(Inputs!$B$8*(1+Inputs!$B$11)*(1+Inputs!$B$9)^MAX(0,Q$3-1),0.1)</f>
        <v>15.2</v>
      </c>
      <c r="R6" s="0" t="n">
        <f aca="false">MROUND(Inputs!$B$8*(1+Inputs!$B$11)*(1+Inputs!$B$9)^MAX(0,R$3-1),0.1)</f>
        <v>15.5</v>
      </c>
      <c r="S6" s="0" t="n">
        <f aca="false">MROUND(Inputs!$B$8*(1+Inputs!$B$11)*(1+Inputs!$B$9)^MAX(0,S$3-1),0.1)</f>
        <v>15.8</v>
      </c>
      <c r="T6" s="0" t="n">
        <f aca="false">MROUND(Inputs!$B$8*(1+Inputs!$B$11)*(1+Inputs!$B$9)^MAX(0,T$3-1),0.1)</f>
        <v>16.1</v>
      </c>
      <c r="U6" s="0" t="n">
        <f aca="false">MROUND(Inputs!$B$8*(1+Inputs!$B$11)*(1+Inputs!$B$9)^MAX(0,U$3-1),0.1)</f>
        <v>16.4</v>
      </c>
      <c r="V6" s="0" t="n">
        <f aca="false">MROUND(Inputs!$B$8*(1+Inputs!$B$11)*(1+Inputs!$B$9)^MAX(0,V$3-1),0.1)</f>
        <v>16.8</v>
      </c>
      <c r="W6" s="0" t="n">
        <f aca="false">MROUND(Inputs!$B$8*(1+Inputs!$B$11)*(1+Inputs!$B$9)^MAX(0,W$3-1),0.1)</f>
        <v>17.1</v>
      </c>
      <c r="X6" s="0" t="n">
        <f aca="false">MROUND(Inputs!$B$8*(1+Inputs!$B$11)*(1+Inputs!$B$9)^MAX(0,X$3-1),0.1)</f>
        <v>17.4</v>
      </c>
      <c r="Y6" s="0" t="n">
        <f aca="false">MROUND(Inputs!$B$8*(1+Inputs!$B$11)*(1+Inputs!$B$9)^MAX(0,Y$3-1),0.1)</f>
        <v>17.8</v>
      </c>
      <c r="Z6" s="0" t="n">
        <f aca="false">MROUND(Inputs!$B$8*(1+Inputs!$B$11)*(1+Inputs!$B$9)^MAX(0,Z$3-1),0.1)</f>
        <v>18.1</v>
      </c>
      <c r="AA6" s="0" t="n">
        <f aca="false">MROUND(Inputs!$B$8*(1+Inputs!$B$11)*(1+Inputs!$B$9)^MAX(0,AA$3-1),0.1)</f>
        <v>18.5</v>
      </c>
      <c r="AB6" s="0" t="n">
        <f aca="false">MROUND(Inputs!$B$8*(1+Inputs!$B$11)*(1+Inputs!$B$9)^MAX(0,AB$3-1),0.1)</f>
        <v>18.9</v>
      </c>
      <c r="AC6" s="0" t="n">
        <f aca="false">MROUND(Inputs!$B$8*(1+Inputs!$B$11)*(1+Inputs!$B$9)^MAX(0,AC$3-1),0.1)</f>
        <v>19.2</v>
      </c>
      <c r="AD6" s="0" t="n">
        <f aca="false">MROUND(Inputs!$B$8*(1+Inputs!$B$11)*(1+Inputs!$B$9)^MAX(0,AD$3-1),0.1)</f>
        <v>19.6</v>
      </c>
      <c r="AE6" s="0" t="n">
        <f aca="false">MROUND(Inputs!$B$8*(1+Inputs!$B$11)*(1+Inputs!$B$9)^MAX(0,AE$3-1),0.1)</f>
        <v>20</v>
      </c>
      <c r="AF6" s="0" t="n">
        <f aca="false">MROUND(Inputs!$B$8*(1+Inputs!$B$11)*(1+Inputs!$B$9)^MAX(0,AF$3-1),0.1)</f>
        <v>20.4</v>
      </c>
    </row>
    <row r="7" customFormat="false" ht="15" hidden="false" customHeight="false" outlineLevel="0" collapsed="false">
      <c r="A7" s="0" t="s">
        <v>22</v>
      </c>
      <c r="B7" s="0" t="n">
        <f aca="false">IF(AND(B$3&gt;=1,B$3&lt;=Inputs!$B$18),Inputs!$B$3*365*B4*(1+Inputs!$B$6)^(B$3-1)*POWER(1+Inputs!$B$11,Inputs!$B$10),0)</f>
        <v>0</v>
      </c>
      <c r="C7" s="0" t="n">
        <f aca="false">IF(AND(C$3&gt;=1,C$3&lt;=Inputs!$B$18),Inputs!$B$3*365*C4*(1+Inputs!$B$6)^(C$3-1)*POWER(1+Inputs!$B$11,Inputs!$B$10),0)</f>
        <v>8322000</v>
      </c>
      <c r="D7" s="0" t="n">
        <f aca="false">IF(AND(D$3&gt;=1,D$3&lt;=Inputs!$B$18),Inputs!$B$3*365*D4*(1+Inputs!$B$6)^(D$3-1)*POWER(1+Inputs!$B$11,Inputs!$B$10),0)</f>
        <v>9922598</v>
      </c>
      <c r="E7" s="0" t="n">
        <f aca="false">IF(AND(E$3&gt;=1,E$3&lt;=Inputs!$B$18),Inputs!$B$3*365*E4*(1+Inputs!$B$6)^(E$3-1)*POWER(1+Inputs!$B$11,Inputs!$B$10),0)</f>
        <v>11589594.464</v>
      </c>
      <c r="F7" s="0" t="n">
        <f aca="false">IF(AND(F$3&gt;=1,F$3&lt;=Inputs!$B$18),Inputs!$B$3*365*F4*(1+Inputs!$B$6)^(F$3-1)*POWER(1+Inputs!$B$11,Inputs!$B$10),0)</f>
        <v>13325136.234984</v>
      </c>
      <c r="G7" s="0" t="n">
        <f aca="false">IF(AND(G$3&gt;=1,G$3&lt;=Inputs!$B$18),Inputs!$B$3*365*G4*(1+Inputs!$B$6)^(G$3-1)*POWER(1+Inputs!$B$11,Inputs!$B$10),0)</f>
        <v>15131432.4801707</v>
      </c>
      <c r="H7" s="0" t="n">
        <f aca="false">IF(AND(H$3&gt;=1,H$3&lt;=Inputs!$B$18),Inputs!$B$3*365*H4*(1+Inputs!$B$6)^(H$3-1)*POWER(1+Inputs!$B$11,Inputs!$B$10),0)</f>
        <v>15464323.9947345</v>
      </c>
      <c r="I7" s="0" t="n">
        <f aca="false">IF(AND(I$3&gt;=1,I$3&lt;=Inputs!$B$18),Inputs!$B$3*365*I4*(1+Inputs!$B$6)^(I$3-1)*POWER(1+Inputs!$B$11,Inputs!$B$10),0)</f>
        <v>15804539.1226186</v>
      </c>
      <c r="J7" s="0" t="n">
        <f aca="false">IF(AND(J$3&gt;=1,J$3&lt;=Inputs!$B$18),Inputs!$B$3*365*J4*(1+Inputs!$B$6)^(J$3-1)*POWER(1+Inputs!$B$11,Inputs!$B$10),0)</f>
        <v>16152238.9833162</v>
      </c>
      <c r="K7" s="0" t="n">
        <f aca="false">IF(AND(K$3&gt;=1,K$3&lt;=Inputs!$B$18),Inputs!$B$3*365*K4*(1+Inputs!$B$6)^(K$3-1)*POWER(1+Inputs!$B$11,Inputs!$B$10),0)</f>
        <v>16507588.2409492</v>
      </c>
      <c r="L7" s="0" t="n">
        <f aca="false">IF(AND(L$3&gt;=1,L$3&lt;=Inputs!$B$18),Inputs!$B$3*365*L4*(1+Inputs!$B$6)^(L$3-1)*POWER(1+Inputs!$B$11,Inputs!$B$10),0)</f>
        <v>16870755.1822501</v>
      </c>
      <c r="M7" s="0" t="n">
        <f aca="false">IF(AND(M$3&gt;=1,M$3&lt;=Inputs!$B$18),Inputs!$B$3*365*M4*(1+Inputs!$B$6)^(M$3-1)*POWER(1+Inputs!$B$11,Inputs!$B$10),0)</f>
        <v>17241911.7962596</v>
      </c>
      <c r="N7" s="0" t="n">
        <f aca="false">IF(AND(N$3&gt;=1,N$3&lt;=Inputs!$B$18),Inputs!$B$3*365*N4*(1+Inputs!$B$6)^(N$3-1)*POWER(1+Inputs!$B$11,Inputs!$B$10),0)</f>
        <v>17621233.8557773</v>
      </c>
      <c r="O7" s="0" t="n">
        <f aca="false">IF(AND(O$3&gt;=1,O$3&lt;=Inputs!$B$18),Inputs!$B$3*365*O4*(1+Inputs!$B$6)^(O$3-1)*POWER(1+Inputs!$B$11,Inputs!$B$10),0)</f>
        <v>18008901.0006044</v>
      </c>
      <c r="P7" s="0" t="n">
        <f aca="false">IF(AND(P$3&gt;=1,P$3&lt;=Inputs!$B$18),Inputs!$B$3*365*P4*(1+Inputs!$B$6)^(P$3-1)*POWER(1+Inputs!$B$11,Inputs!$B$10),0)</f>
        <v>18405096.8226177</v>
      </c>
      <c r="Q7" s="0" t="n">
        <f aca="false">IF(AND(Q$3&gt;=1,Q$3&lt;=Inputs!$B$18),Inputs!$B$3*365*Q4*(1+Inputs!$B$6)^(Q$3-1)*POWER(1+Inputs!$B$11,Inputs!$B$10),0)</f>
        <v>18810008.9527153</v>
      </c>
      <c r="R7" s="0" t="n">
        <f aca="false">IF(AND(R$3&gt;=1,R$3&lt;=Inputs!$B$18),Inputs!$B$3*365*R4*(1+Inputs!$B$6)^(R$3-1)*POWER(1+Inputs!$B$11,Inputs!$B$10),0)</f>
        <v>19223829.149675</v>
      </c>
      <c r="S7" s="0" t="n">
        <f aca="false">IF(AND(S$3&gt;=1,S$3&lt;=Inputs!$B$18),Inputs!$B$3*365*S4*(1+Inputs!$B$6)^(S$3-1)*POWER(1+Inputs!$B$11,Inputs!$B$10),0)</f>
        <v>19646753.3909679</v>
      </c>
      <c r="T7" s="0" t="n">
        <f aca="false">IF(AND(T$3&gt;=1,T$3&lt;=Inputs!$B$18),Inputs!$B$3*365*T4*(1+Inputs!$B$6)^(T$3-1)*POWER(1+Inputs!$B$11,Inputs!$B$10),0)</f>
        <v>20078981.9655692</v>
      </c>
      <c r="U7" s="0" t="n">
        <f aca="false">IF(AND(U$3&gt;=1,U$3&lt;=Inputs!$B$18),Inputs!$B$3*365*U4*(1+Inputs!$B$6)^(U$3-1)*POWER(1+Inputs!$B$11,Inputs!$B$10),0)</f>
        <v>20520719.5688117</v>
      </c>
      <c r="V7" s="0" t="n">
        <f aca="false">IF(AND(V$3&gt;=1,V$3&lt;=Inputs!$B$18),Inputs!$B$3*365*V4*(1+Inputs!$B$6)^(V$3-1)*POWER(1+Inputs!$B$11,Inputs!$B$10),0)</f>
        <v>20972175.3993256</v>
      </c>
      <c r="W7" s="0" t="n">
        <f aca="false">IF(AND(W$3&gt;=1,W$3&lt;=Inputs!$B$18),Inputs!$B$3*365*W4*(1+Inputs!$B$6)^(W$3-1)*POWER(1+Inputs!$B$11,Inputs!$B$10),0)</f>
        <v>21433563.2581107</v>
      </c>
      <c r="X7" s="0" t="n">
        <f aca="false">IF(AND(X$3&gt;=1,X$3&lt;=Inputs!$B$18),Inputs!$B$3*365*X4*(1+Inputs!$B$6)^(X$3-1)*POWER(1+Inputs!$B$11,Inputs!$B$10),0)</f>
        <v>21905101.6497891</v>
      </c>
      <c r="Y7" s="0" t="n">
        <f aca="false">IF(AND(Y$3&gt;=1,Y$3&lt;=Inputs!$B$18),Inputs!$B$3*365*Y4*(1+Inputs!$B$6)^(Y$3-1)*POWER(1+Inputs!$B$11,Inputs!$B$10),0)</f>
        <v>22387013.8860845</v>
      </c>
      <c r="Z7" s="0" t="n">
        <f aca="false">IF(AND(Z$3&gt;=1,Z$3&lt;=Inputs!$B$18),Inputs!$B$3*365*Z4*(1+Inputs!$B$6)^(Z$3-1)*POWER(1+Inputs!$B$11,Inputs!$B$10),0)</f>
        <v>22879528.1915784</v>
      </c>
      <c r="AA7" s="0" t="n">
        <f aca="false">IF(AND(AA$3&gt;=1,AA$3&lt;=Inputs!$B$18),Inputs!$B$3*365*AA4*(1+Inputs!$B$6)^(AA$3-1)*POWER(1+Inputs!$B$11,Inputs!$B$10),0)</f>
        <v>23382877.8117931</v>
      </c>
      <c r="AB7" s="0" t="n">
        <f aca="false">IF(AND(AB$3&gt;=1,AB$3&lt;=Inputs!$B$18),Inputs!$B$3*365*AB4*(1+Inputs!$B$6)^(AB$3-1)*POWER(1+Inputs!$B$11,Inputs!$B$10),0)</f>
        <v>23897301.1236525</v>
      </c>
      <c r="AC7" s="0" t="n">
        <f aca="false">IF(AND(AC$3&gt;=1,AC$3&lt;=Inputs!$B$18),Inputs!$B$3*365*AC4*(1+Inputs!$B$6)^(AC$3-1)*POWER(1+Inputs!$B$11,Inputs!$B$10),0)</f>
        <v>24423041.7483729</v>
      </c>
      <c r="AD7" s="0" t="n">
        <f aca="false">IF(AND(AD$3&gt;=1,AD$3&lt;=Inputs!$B$18),Inputs!$B$3*365*AD4*(1+Inputs!$B$6)^(AD$3-1)*POWER(1+Inputs!$B$11,Inputs!$B$10),0)</f>
        <v>24960348.6668371</v>
      </c>
      <c r="AE7" s="0" t="n">
        <f aca="false">IF(AND(AE$3&gt;=1,AE$3&lt;=Inputs!$B$18),Inputs!$B$3*365*AE4*(1+Inputs!$B$6)^(AE$3-1)*POWER(1+Inputs!$B$11,Inputs!$B$10),0)</f>
        <v>25509476.3375075</v>
      </c>
      <c r="AF7" s="0" t="n">
        <f aca="false">IF(AND(AF$3&gt;=1,AF$3&lt;=Inputs!$B$18),Inputs!$B$3*365*AF4*(1+Inputs!$B$6)^(AF$3-1)*POWER(1+Inputs!$B$11,Inputs!$B$10),0)</f>
        <v>26070684.8169327</v>
      </c>
    </row>
    <row r="8" customFormat="false" ht="15" hidden="false" customHeight="false" outlineLevel="0" collapsed="false">
      <c r="A8" s="0" t="s">
        <v>23</v>
      </c>
      <c r="B8" s="0" t="n">
        <f aca="false">IF(AND(B$3&gt;=1,B$3&lt;=Inputs!$B$18),Inputs!$B$4*365*B4*(1+Inputs!$B$6)^(B$3-1)*POWER(1+Inputs!$B$11,Inputs!$B$10),0)</f>
        <v>0</v>
      </c>
      <c r="C8" s="0" t="n">
        <f aca="false">IF(AND(C$3&gt;=1,C$3&lt;=Inputs!$B$18),Inputs!$B$4*365*C4*(1+Inputs!$B$6)^(C$3-1)*POWER(1+Inputs!$B$11,Inputs!$B$10),0)</f>
        <v>1423500</v>
      </c>
      <c r="D8" s="0" t="n">
        <f aca="false">IF(AND(D$3&gt;=1,D$3&lt;=Inputs!$B$18),Inputs!$B$4*365*D4*(1+Inputs!$B$6)^(D$3-1)*POWER(1+Inputs!$B$11,Inputs!$B$10),0)</f>
        <v>1697286.5</v>
      </c>
      <c r="E8" s="0" t="n">
        <f aca="false">IF(AND(E$3&gt;=1,E$3&lt;=Inputs!$B$18),Inputs!$B$4*365*E4*(1+Inputs!$B$6)^(E$3-1)*POWER(1+Inputs!$B$11,Inputs!$B$10),0)</f>
        <v>1982430.632</v>
      </c>
      <c r="F8" s="0" t="n">
        <f aca="false">IF(AND(F$3&gt;=1,F$3&lt;=Inputs!$B$18),Inputs!$B$4*365*F4*(1+Inputs!$B$6)^(F$3-1)*POWER(1+Inputs!$B$11,Inputs!$B$10),0)</f>
        <v>2279299.619142</v>
      </c>
      <c r="G8" s="0" t="n">
        <f aca="false">IF(AND(G$3&gt;=1,G$3&lt;=Inputs!$B$18),Inputs!$B$4*365*G4*(1+Inputs!$B$6)^(G$3-1)*POWER(1+Inputs!$B$11,Inputs!$B$10),0)</f>
        <v>2588271.34529236</v>
      </c>
      <c r="H8" s="0" t="n">
        <f aca="false">IF(AND(H$3&gt;=1,H$3&lt;=Inputs!$B$18),Inputs!$B$4*365*H4*(1+Inputs!$B$6)^(H$3-1)*POWER(1+Inputs!$B$11,Inputs!$B$10),0)</f>
        <v>2645213.31488879</v>
      </c>
      <c r="I8" s="0" t="n">
        <f aca="false">IF(AND(I$3&gt;=1,I$3&lt;=Inputs!$B$18),Inputs!$B$4*365*I4*(1+Inputs!$B$6)^(I$3-1)*POWER(1+Inputs!$B$11,Inputs!$B$10),0)</f>
        <v>2703408.00781635</v>
      </c>
      <c r="J8" s="0" t="n">
        <f aca="false">IF(AND(J$3&gt;=1,J$3&lt;=Inputs!$B$18),Inputs!$B$4*365*J4*(1+Inputs!$B$6)^(J$3-1)*POWER(1+Inputs!$B$11,Inputs!$B$10),0)</f>
        <v>2762882.98398831</v>
      </c>
      <c r="K8" s="0" t="n">
        <f aca="false">IF(AND(K$3&gt;=1,K$3&lt;=Inputs!$B$18),Inputs!$B$4*365*K4*(1+Inputs!$B$6)^(K$3-1)*POWER(1+Inputs!$B$11,Inputs!$B$10),0)</f>
        <v>2823666.40963605</v>
      </c>
      <c r="L8" s="0" t="n">
        <f aca="false">IF(AND(L$3&gt;=1,L$3&lt;=Inputs!$B$18),Inputs!$B$4*365*L4*(1+Inputs!$B$6)^(L$3-1)*POWER(1+Inputs!$B$11,Inputs!$B$10),0)</f>
        <v>2885787.07064804</v>
      </c>
      <c r="M8" s="0" t="n">
        <f aca="false">IF(AND(M$3&gt;=1,M$3&lt;=Inputs!$B$18),Inputs!$B$4*365*M4*(1+Inputs!$B$6)^(M$3-1)*POWER(1+Inputs!$B$11,Inputs!$B$10),0)</f>
        <v>2949274.3862023</v>
      </c>
      <c r="N8" s="0" t="n">
        <f aca="false">IF(AND(N$3&gt;=1,N$3&lt;=Inputs!$B$18),Inputs!$B$4*365*N4*(1+Inputs!$B$6)^(N$3-1)*POWER(1+Inputs!$B$11,Inputs!$B$10),0)</f>
        <v>3014158.42269875</v>
      </c>
      <c r="O8" s="0" t="n">
        <f aca="false">IF(AND(O$3&gt;=1,O$3&lt;=Inputs!$B$18),Inputs!$B$4*365*O4*(1+Inputs!$B$6)^(O$3-1)*POWER(1+Inputs!$B$11,Inputs!$B$10),0)</f>
        <v>3080469.90799812</v>
      </c>
      <c r="P8" s="0" t="n">
        <f aca="false">IF(AND(P$3&gt;=1,P$3&lt;=Inputs!$B$18),Inputs!$B$4*365*P4*(1+Inputs!$B$6)^(P$3-1)*POWER(1+Inputs!$B$11,Inputs!$B$10),0)</f>
        <v>3148240.24597408</v>
      </c>
      <c r="Q8" s="0" t="n">
        <f aca="false">IF(AND(Q$3&gt;=1,Q$3&lt;=Inputs!$B$18),Inputs!$B$4*365*Q4*(1+Inputs!$B$6)^(Q$3-1)*POWER(1+Inputs!$B$11,Inputs!$B$10),0)</f>
        <v>3217501.53138551</v>
      </c>
      <c r="R8" s="0" t="n">
        <f aca="false">IF(AND(R$3&gt;=1,R$3&lt;=Inputs!$B$18),Inputs!$B$4*365*R4*(1+Inputs!$B$6)^(R$3-1)*POWER(1+Inputs!$B$11,Inputs!$B$10),0)</f>
        <v>3288286.56507599</v>
      </c>
      <c r="S8" s="0" t="n">
        <f aca="false">IF(AND(S$3&gt;=1,S$3&lt;=Inputs!$B$18),Inputs!$B$4*365*S4*(1+Inputs!$B$6)^(S$3-1)*POWER(1+Inputs!$B$11,Inputs!$B$10),0)</f>
        <v>3360628.86950766</v>
      </c>
      <c r="T8" s="0" t="n">
        <f aca="false">IF(AND(T$3&gt;=1,T$3&lt;=Inputs!$B$18),Inputs!$B$4*365*T4*(1+Inputs!$B$6)^(T$3-1)*POWER(1+Inputs!$B$11,Inputs!$B$10),0)</f>
        <v>3434562.70463683</v>
      </c>
      <c r="U8" s="0" t="n">
        <f aca="false">IF(AND(U$3&gt;=1,U$3&lt;=Inputs!$B$18),Inputs!$B$4*365*U4*(1+Inputs!$B$6)^(U$3-1)*POWER(1+Inputs!$B$11,Inputs!$B$10),0)</f>
        <v>3510123.08413884</v>
      </c>
      <c r="V8" s="0" t="n">
        <f aca="false">IF(AND(V$3&gt;=1,V$3&lt;=Inputs!$B$18),Inputs!$B$4*365*V4*(1+Inputs!$B$6)^(V$3-1)*POWER(1+Inputs!$B$11,Inputs!$B$10),0)</f>
        <v>3587345.7919899</v>
      </c>
      <c r="W8" s="0" t="n">
        <f aca="false">IF(AND(W$3&gt;=1,W$3&lt;=Inputs!$B$18),Inputs!$B$4*365*W4*(1+Inputs!$B$6)^(W$3-1)*POWER(1+Inputs!$B$11,Inputs!$B$10),0)</f>
        <v>3666267.39941367</v>
      </c>
      <c r="X8" s="0" t="n">
        <f aca="false">IF(AND(X$3&gt;=1,X$3&lt;=Inputs!$B$18),Inputs!$B$4*365*X4*(1+Inputs!$B$6)^(X$3-1)*POWER(1+Inputs!$B$11,Inputs!$B$10),0)</f>
        <v>3746925.28220078</v>
      </c>
      <c r="Y8" s="0" t="n">
        <f aca="false">IF(AND(Y$3&gt;=1,Y$3&lt;=Inputs!$B$18),Inputs!$B$4*365*Y4*(1+Inputs!$B$6)^(Y$3-1)*POWER(1+Inputs!$B$11,Inputs!$B$10),0)</f>
        <v>3829357.63840919</v>
      </c>
      <c r="Z8" s="0" t="n">
        <f aca="false">IF(AND(Z$3&gt;=1,Z$3&lt;=Inputs!$B$18),Inputs!$B$4*365*Z4*(1+Inputs!$B$6)^(Z$3-1)*POWER(1+Inputs!$B$11,Inputs!$B$10),0)</f>
        <v>3913603.50645419</v>
      </c>
      <c r="AA8" s="0" t="n">
        <f aca="false">IF(AND(AA$3&gt;=1,AA$3&lt;=Inputs!$B$18),Inputs!$B$4*365*AA4*(1+Inputs!$B$6)^(AA$3-1)*POWER(1+Inputs!$B$11,Inputs!$B$10),0)</f>
        <v>3999702.78359619</v>
      </c>
      <c r="AB8" s="0" t="n">
        <f aca="false">IF(AND(AB$3&gt;=1,AB$3&lt;=Inputs!$B$18),Inputs!$B$4*365*AB4*(1+Inputs!$B$6)^(AB$3-1)*POWER(1+Inputs!$B$11,Inputs!$B$10),0)</f>
        <v>4087696.2448353</v>
      </c>
      <c r="AC8" s="0" t="n">
        <f aca="false">IF(AND(AC$3&gt;=1,AC$3&lt;=Inputs!$B$18),Inputs!$B$4*365*AC4*(1+Inputs!$B$6)^(AC$3-1)*POWER(1+Inputs!$B$11,Inputs!$B$10),0)</f>
        <v>4177625.56222168</v>
      </c>
      <c r="AD8" s="0" t="n">
        <f aca="false">IF(AND(AD$3&gt;=1,AD$3&lt;=Inputs!$B$18),Inputs!$B$4*365*AD4*(1+Inputs!$B$6)^(AD$3-1)*POWER(1+Inputs!$B$11,Inputs!$B$10),0)</f>
        <v>4269533.32459056</v>
      </c>
      <c r="AE8" s="0" t="n">
        <f aca="false">IF(AND(AE$3&gt;=1,AE$3&lt;=Inputs!$B$18),Inputs!$B$4*365*AE4*(1+Inputs!$B$6)^(AE$3-1)*POWER(1+Inputs!$B$11,Inputs!$B$10),0)</f>
        <v>4363463.05773155</v>
      </c>
      <c r="AF8" s="0" t="n">
        <f aca="false">IF(AND(AF$3&gt;=1,AF$3&lt;=Inputs!$B$18),Inputs!$B$4*365*AF4*(1+Inputs!$B$6)^(AF$3-1)*POWER(1+Inputs!$B$11,Inputs!$B$10),0)</f>
        <v>4459459.24500164</v>
      </c>
    </row>
    <row r="9" customFormat="false" ht="15" hidden="false" customHeight="false" outlineLevel="0" collapsed="false">
      <c r="A9" s="0" t="s">
        <v>24</v>
      </c>
      <c r="B9" s="0" t="n">
        <f aca="false">B7*B5+B8*B6</f>
        <v>0</v>
      </c>
      <c r="C9" s="0" t="n">
        <f aca="false">C7*C5+C8*C6</f>
        <v>51322650</v>
      </c>
      <c r="D9" s="0" t="n">
        <f aca="false">D7*D5+D8*D6</f>
        <v>62525423.45</v>
      </c>
      <c r="E9" s="0" t="n">
        <f aca="false">E7*E5+E8*E6</f>
        <v>74783383.2256</v>
      </c>
      <c r="F9" s="0" t="n">
        <f aca="false">F7*F5+F8*F6</f>
        <v>87770568.4109604</v>
      </c>
      <c r="G9" s="0" t="n">
        <f aca="false">G7*G5+G8*G6</f>
        <v>100186010.842394</v>
      </c>
      <c r="H9" s="0" t="n">
        <f aca="false">H7*H5+H8*H6</f>
        <v>104730099.474866</v>
      </c>
      <c r="I9" s="0" t="n">
        <f aca="false">I7*I5+I8*I6</f>
        <v>109425637.97792</v>
      </c>
      <c r="J9" s="0" t="n">
        <f aca="false">J7*J5+J8*J6</f>
        <v>114000802.508564</v>
      </c>
      <c r="K9" s="0" t="n">
        <f aca="false">K7*K5+K8*K6</f>
        <v>119006678.910738</v>
      </c>
      <c r="L9" s="0" t="n">
        <f aca="false">L7*L5+L8*L6</f>
        <v>123889058.779129</v>
      </c>
      <c r="M9" s="0" t="n">
        <f aca="false">M7*M5+M8*M6</f>
        <v>129223591.567756</v>
      </c>
      <c r="N9" s="0" t="n">
        <f aca="false">N7*N5+N8*N6</f>
        <v>134732881.494634</v>
      </c>
      <c r="O9" s="0" t="n">
        <f aca="false">O7*O5+O8*O6</f>
        <v>140422035.959976</v>
      </c>
      <c r="P9" s="0" t="n">
        <f aca="false">P7*P5+P8*P6</f>
        <v>146296302.507149</v>
      </c>
      <c r="Q9" s="0" t="n">
        <f aca="false">Q7*Q5+Q8*Q6</f>
        <v>152361072.516994</v>
      </c>
      <c r="R9" s="0" t="n">
        <f aca="false">R7*R5+R8*R6</f>
        <v>160544267.911826</v>
      </c>
      <c r="S9" s="0" t="n">
        <f aca="false">S7*S5+S8*S6</f>
        <v>167049105.805835</v>
      </c>
      <c r="T9" s="0" t="n">
        <f aca="false">T7*T5+T8*T6</f>
        <v>173762453.141511</v>
      </c>
      <c r="U9" s="0" t="n">
        <f aca="false">U7*U5+U8*U6</f>
        <v>180690335.992747</v>
      </c>
      <c r="V9" s="0" t="n">
        <f aca="false">V7*V5+V8*V6</f>
        <v>188197679.241316</v>
      </c>
      <c r="W9" s="0" t="n">
        <f aca="false">W7*W5+W8*W6</f>
        <v>195581264.73026</v>
      </c>
      <c r="X9" s="0" t="n">
        <f aca="false">X7*X5+X8*X6</f>
        <v>205389150.468944</v>
      </c>
      <c r="Y9" s="0" t="n">
        <f aca="false">Y7*Y5+Y8*Y6</f>
        <v>213678156.223233</v>
      </c>
      <c r="Z9" s="0" t="n">
        <f aca="false">Z7*Z5+Z8*Z6</f>
        <v>221841109.531238</v>
      </c>
      <c r="AA9" s="0" t="n">
        <f aca="false">AA7*AA5+AA8*AA6</f>
        <v>232998070.616723</v>
      </c>
      <c r="AB9" s="0" t="n">
        <f aca="false">AB7*AB5+AB8*AB6</f>
        <v>242148836.78059</v>
      </c>
      <c r="AC9" s="0" t="n">
        <f aca="false">AC7*AC5+AC8*AC6</f>
        <v>251171703.033267</v>
      </c>
      <c r="AD9" s="0" t="n">
        <f aca="false">AD7*AD5+AD8*AD6</f>
        <v>263397363.563202</v>
      </c>
      <c r="AE9" s="0" t="n">
        <f aca="false">AE7*AE5+AE8*AE6</f>
        <v>273488438.418436</v>
      </c>
      <c r="AF9" s="0" t="n">
        <f aca="false">AF7*AF5+AF8*AF6</f>
        <v>286503104.725029</v>
      </c>
    </row>
    <row r="10" customFormat="false" ht="15" hidden="false" customHeight="false" outlineLevel="0" collapsed="false">
      <c r="A10" s="0" t="s">
        <v>25</v>
      </c>
      <c r="B10" s="0" t="n">
        <f aca="false">IF(AND(B$3&gt;=1,B$3&lt;=Inputs!$B$18),Inputs!$B$12*(1+Inputs!$B$9)^(B$3-1),0)</f>
        <v>0</v>
      </c>
      <c r="C10" s="0" t="n">
        <f aca="false">IF(AND(C$3&gt;=1,C$3&lt;=Inputs!$B$18),Inputs!$B$12*(1+Inputs!$B$9)^(C$3-1),0)</f>
        <v>21000000</v>
      </c>
      <c r="D10" s="0" t="n">
        <f aca="false">IF(AND(D$3&gt;=1,D$3&lt;=Inputs!$B$18),Inputs!$B$12*(1+Inputs!$B$9)^(D$3-1),0)</f>
        <v>21420000</v>
      </c>
      <c r="E10" s="0" t="n">
        <f aca="false">IF(AND(E$3&gt;=1,E$3&lt;=Inputs!$B$18),Inputs!$B$12*(1+Inputs!$B$9)^(E$3-1),0)</f>
        <v>21848400</v>
      </c>
      <c r="F10" s="0" t="n">
        <f aca="false">IF(AND(F$3&gt;=1,F$3&lt;=Inputs!$B$18),Inputs!$B$12*(1+Inputs!$B$9)^(F$3-1),0)</f>
        <v>22285368</v>
      </c>
      <c r="G10" s="0" t="n">
        <f aca="false">IF(AND(G$3&gt;=1,G$3&lt;=Inputs!$B$18),Inputs!$B$12*(1+Inputs!$B$9)^(G$3-1),0)</f>
        <v>22731075.36</v>
      </c>
      <c r="H10" s="0" t="n">
        <f aca="false">IF(AND(H$3&gt;=1,H$3&lt;=Inputs!$B$18),Inputs!$B$12*(1+Inputs!$B$9)^(H$3-1),0)</f>
        <v>23185696.8672</v>
      </c>
      <c r="I10" s="0" t="n">
        <f aca="false">IF(AND(I$3&gt;=1,I$3&lt;=Inputs!$B$18),Inputs!$B$12*(1+Inputs!$B$9)^(I$3-1),0)</f>
        <v>23649410.804544</v>
      </c>
      <c r="J10" s="0" t="n">
        <f aca="false">IF(AND(J$3&gt;=1,J$3&lt;=Inputs!$B$18),Inputs!$B$12*(1+Inputs!$B$9)^(J$3-1),0)</f>
        <v>24122399.0206349</v>
      </c>
      <c r="K10" s="0" t="n">
        <f aca="false">IF(AND(K$3&gt;=1,K$3&lt;=Inputs!$B$18),Inputs!$B$12*(1+Inputs!$B$9)^(K$3-1),0)</f>
        <v>24604847.0010476</v>
      </c>
      <c r="L10" s="0" t="n">
        <f aca="false">IF(AND(L$3&gt;=1,L$3&lt;=Inputs!$B$18),Inputs!$B$12*(1+Inputs!$B$9)^(L$3-1),0)</f>
        <v>25096943.9410685</v>
      </c>
      <c r="M10" s="0" t="n">
        <f aca="false">IF(AND(M$3&gt;=1,M$3&lt;=Inputs!$B$18),Inputs!$B$12*(1+Inputs!$B$9)^(M$3-1),0)</f>
        <v>25598882.8198899</v>
      </c>
      <c r="N10" s="0" t="n">
        <f aca="false">IF(AND(N$3&gt;=1,N$3&lt;=Inputs!$B$18),Inputs!$B$12*(1+Inputs!$B$9)^(N$3-1),0)</f>
        <v>26110860.4762877</v>
      </c>
      <c r="O10" s="0" t="n">
        <f aca="false">IF(AND(O$3&gt;=1,O$3&lt;=Inputs!$B$18),Inputs!$B$12*(1+Inputs!$B$9)^(O$3-1),0)</f>
        <v>26633077.6858135</v>
      </c>
      <c r="P10" s="0" t="n">
        <f aca="false">IF(AND(P$3&gt;=1,P$3&lt;=Inputs!$B$18),Inputs!$B$12*(1+Inputs!$B$9)^(P$3-1),0)</f>
        <v>27165739.2395297</v>
      </c>
      <c r="Q10" s="0" t="n">
        <f aca="false">IF(AND(Q$3&gt;=1,Q$3&lt;=Inputs!$B$18),Inputs!$B$12*(1+Inputs!$B$9)^(Q$3-1),0)</f>
        <v>27709054.0243203</v>
      </c>
      <c r="R10" s="0" t="n">
        <f aca="false">IF(AND(R$3&gt;=1,R$3&lt;=Inputs!$B$18),Inputs!$B$12*(1+Inputs!$B$9)^(R$3-1),0)</f>
        <v>28263235.1048067</v>
      </c>
      <c r="S10" s="0" t="n">
        <f aca="false">IF(AND(S$3&gt;=1,S$3&lt;=Inputs!$B$18),Inputs!$B$12*(1+Inputs!$B$9)^(S$3-1),0)</f>
        <v>28828499.8069029</v>
      </c>
      <c r="T10" s="0" t="n">
        <f aca="false">IF(AND(T$3&gt;=1,T$3&lt;=Inputs!$B$18),Inputs!$B$12*(1+Inputs!$B$9)^(T$3-1),0)</f>
        <v>29405069.8030409</v>
      </c>
      <c r="U10" s="0" t="n">
        <f aca="false">IF(AND(U$3&gt;=1,U$3&lt;=Inputs!$B$18),Inputs!$B$12*(1+Inputs!$B$9)^(U$3-1),0)</f>
        <v>29993171.1991017</v>
      </c>
      <c r="V10" s="0" t="n">
        <f aca="false">IF(AND(V$3&gt;=1,V$3&lt;=Inputs!$B$18),Inputs!$B$12*(1+Inputs!$B$9)^(V$3-1),0)</f>
        <v>30593034.6230838</v>
      </c>
      <c r="W10" s="0" t="n">
        <f aca="false">IF(AND(W$3&gt;=1,W$3&lt;=Inputs!$B$18),Inputs!$B$12*(1+Inputs!$B$9)^(W$3-1),0)</f>
        <v>31204895.3155455</v>
      </c>
      <c r="X10" s="0" t="n">
        <f aca="false">IF(AND(X$3&gt;=1,X$3&lt;=Inputs!$B$18),Inputs!$B$12*(1+Inputs!$B$9)^(X$3-1),0)</f>
        <v>31828993.2218564</v>
      </c>
      <c r="Y10" s="0" t="n">
        <f aca="false">IF(AND(Y$3&gt;=1,Y$3&lt;=Inputs!$B$18),Inputs!$B$12*(1+Inputs!$B$9)^(Y$3-1),0)</f>
        <v>32465573.0862935</v>
      </c>
      <c r="Z10" s="0" t="n">
        <f aca="false">IF(AND(Z$3&gt;=1,Z$3&lt;=Inputs!$B$18),Inputs!$B$12*(1+Inputs!$B$9)^(Z$3-1),0)</f>
        <v>33114884.5480194</v>
      </c>
      <c r="AA10" s="0" t="n">
        <f aca="false">IF(AND(AA$3&gt;=1,AA$3&lt;=Inputs!$B$18),Inputs!$B$12*(1+Inputs!$B$9)^(AA$3-1),0)</f>
        <v>33777182.2389798</v>
      </c>
      <c r="AB10" s="0" t="n">
        <f aca="false">IF(AND(AB$3&gt;=1,AB$3&lt;=Inputs!$B$18),Inputs!$B$12*(1+Inputs!$B$9)^(AB$3-1),0)</f>
        <v>34452725.8837593</v>
      </c>
      <c r="AC10" s="0" t="n">
        <f aca="false">IF(AND(AC$3&gt;=1,AC$3&lt;=Inputs!$B$18),Inputs!$B$12*(1+Inputs!$B$9)^(AC$3-1),0)</f>
        <v>35141780.4014345</v>
      </c>
      <c r="AD10" s="0" t="n">
        <f aca="false">IF(AND(AD$3&gt;=1,AD$3&lt;=Inputs!$B$18),Inputs!$B$12*(1+Inputs!$B$9)^(AD$3-1),0)</f>
        <v>35844616.0094632</v>
      </c>
      <c r="AE10" s="0" t="n">
        <f aca="false">IF(AND(AE$3&gt;=1,AE$3&lt;=Inputs!$B$18),Inputs!$B$12*(1+Inputs!$B$9)^(AE$3-1),0)</f>
        <v>36561508.3296525</v>
      </c>
      <c r="AF10" s="0" t="n">
        <f aca="false">IF(AND(AF$3&gt;=1,AF$3&lt;=Inputs!$B$18),Inputs!$B$12*(1+Inputs!$B$9)^(AF$3-1),0)</f>
        <v>37292738.4962455</v>
      </c>
    </row>
    <row r="11" customFormat="false" ht="15" hidden="false" customHeight="false" outlineLevel="0" collapsed="false">
      <c r="A11" s="0" t="s">
        <v>26</v>
      </c>
      <c r="B11" s="0" t="n">
        <f aca="false">IF(AND(B$3&gt;=1,B$3&lt;=Inputs!$B$18,MOD(B$3,Inputs!$B$13)=0),Inputs!$B$14*(1+Inputs!$B$9)^(B$3-1),0)</f>
        <v>0</v>
      </c>
      <c r="C11" s="0" t="n">
        <f aca="false">IF(AND(C$3&gt;=1,C$3&lt;=Inputs!$B$18,MOD(C$3,Inputs!$B$13)=0),Inputs!$B$14*(1+Inputs!$B$9)^(C$3-1),0)</f>
        <v>0</v>
      </c>
      <c r="D11" s="0" t="n">
        <f aca="false">IF(AND(D$3&gt;=1,D$3&lt;=Inputs!$B$18,MOD(D$3,Inputs!$B$13)=0),Inputs!$B$14*(1+Inputs!$B$9)^(D$3-1),0)</f>
        <v>0</v>
      </c>
      <c r="E11" s="0" t="n">
        <f aca="false">IF(AND(E$3&gt;=1,E$3&lt;=Inputs!$B$18,MOD(E$3,Inputs!$B$13)=0),Inputs!$B$14*(1+Inputs!$B$9)^(E$3-1),0)</f>
        <v>0</v>
      </c>
      <c r="F11" s="0" t="n">
        <f aca="false">IF(AND(F$3&gt;=1,F$3&lt;=Inputs!$B$18,MOD(F$3,Inputs!$B$13)=0),Inputs!$B$14*(1+Inputs!$B$9)^(F$3-1),0)</f>
        <v>0</v>
      </c>
      <c r="G11" s="0" t="n">
        <f aca="false">IF(AND(G$3&gt;=1,G$3&lt;=Inputs!$B$18,MOD(G$3,Inputs!$B$13)=0),Inputs!$B$14*(1+Inputs!$B$9)^(G$3-1),0)</f>
        <v>0</v>
      </c>
      <c r="H11" s="0" t="n">
        <f aca="false">IF(AND(H$3&gt;=1,H$3&lt;=Inputs!$B$18,MOD(H$3,Inputs!$B$13)=0),Inputs!$B$14*(1+Inputs!$B$9)^(H$3-1),0)</f>
        <v>0</v>
      </c>
      <c r="I11" s="0" t="n">
        <f aca="false">IF(AND(I$3&gt;=1,I$3&lt;=Inputs!$B$18,MOD(I$3,Inputs!$B$13)=0),Inputs!$B$14*(1+Inputs!$B$9)^(I$3-1),0)</f>
        <v>0</v>
      </c>
      <c r="J11" s="0" t="n">
        <f aca="false">IF(AND(J$3&gt;=1,J$3&lt;=Inputs!$B$18,MOD(J$3,Inputs!$B$13)=0),Inputs!$B$14*(1+Inputs!$B$9)^(J$3-1),0)</f>
        <v>74664568.3972032</v>
      </c>
      <c r="K11" s="0" t="n">
        <f aca="false">IF(AND(K$3&gt;=1,K$3&lt;=Inputs!$B$18,MOD(K$3,Inputs!$B$13)=0),Inputs!$B$14*(1+Inputs!$B$9)^(K$3-1),0)</f>
        <v>0</v>
      </c>
      <c r="L11" s="0" t="n">
        <f aca="false">IF(AND(L$3&gt;=1,L$3&lt;=Inputs!$B$18,MOD(L$3,Inputs!$B$13)=0),Inputs!$B$14*(1+Inputs!$B$9)^(L$3-1),0)</f>
        <v>0</v>
      </c>
      <c r="M11" s="0" t="n">
        <f aca="false">IF(AND(M$3&gt;=1,M$3&lt;=Inputs!$B$18,MOD(M$3,Inputs!$B$13)=0),Inputs!$B$14*(1+Inputs!$B$9)^(M$3-1),0)</f>
        <v>0</v>
      </c>
      <c r="N11" s="0" t="n">
        <f aca="false">IF(AND(N$3&gt;=1,N$3&lt;=Inputs!$B$18,MOD(N$3,Inputs!$B$13)=0),Inputs!$B$14*(1+Inputs!$B$9)^(N$3-1),0)</f>
        <v>0</v>
      </c>
      <c r="O11" s="0" t="n">
        <f aca="false">IF(AND(O$3&gt;=1,O$3&lt;=Inputs!$B$18,MOD(O$3,Inputs!$B$13)=0),Inputs!$B$14*(1+Inputs!$B$9)^(O$3-1),0)</f>
        <v>0</v>
      </c>
      <c r="P11" s="0" t="n">
        <f aca="false">IF(AND(P$3&gt;=1,P$3&lt;=Inputs!$B$18,MOD(P$3,Inputs!$B$13)=0),Inputs!$B$14*(1+Inputs!$B$9)^(P$3-1),0)</f>
        <v>0</v>
      </c>
      <c r="Q11" s="0" t="n">
        <f aca="false">IF(AND(Q$3&gt;=1,Q$3&lt;=Inputs!$B$18,MOD(Q$3,Inputs!$B$13)=0),Inputs!$B$14*(1+Inputs!$B$9)^(Q$3-1),0)</f>
        <v>0</v>
      </c>
      <c r="R11" s="0" t="n">
        <f aca="false">IF(AND(R$3&gt;=1,R$3&lt;=Inputs!$B$18,MOD(R$3,Inputs!$B$13)=0),Inputs!$B$14*(1+Inputs!$B$9)^(R$3-1),0)</f>
        <v>87481441.9910684</v>
      </c>
      <c r="S11" s="0" t="n">
        <f aca="false">IF(AND(S$3&gt;=1,S$3&lt;=Inputs!$B$18,MOD(S$3,Inputs!$B$13)=0),Inputs!$B$14*(1+Inputs!$B$9)^(S$3-1),0)</f>
        <v>0</v>
      </c>
      <c r="T11" s="0" t="n">
        <f aca="false">IF(AND(T$3&gt;=1,T$3&lt;=Inputs!$B$18,MOD(T$3,Inputs!$B$13)=0),Inputs!$B$14*(1+Inputs!$B$9)^(T$3-1),0)</f>
        <v>0</v>
      </c>
      <c r="U11" s="0" t="n">
        <f aca="false">IF(AND(U$3&gt;=1,U$3&lt;=Inputs!$B$18,MOD(U$3,Inputs!$B$13)=0),Inputs!$B$14*(1+Inputs!$B$9)^(U$3-1),0)</f>
        <v>0</v>
      </c>
      <c r="V11" s="0" t="n">
        <f aca="false">IF(AND(V$3&gt;=1,V$3&lt;=Inputs!$B$18,MOD(V$3,Inputs!$B$13)=0),Inputs!$B$14*(1+Inputs!$B$9)^(V$3-1),0)</f>
        <v>0</v>
      </c>
      <c r="W11" s="0" t="n">
        <f aca="false">IF(AND(W$3&gt;=1,W$3&lt;=Inputs!$B$18,MOD(W$3,Inputs!$B$13)=0),Inputs!$B$14*(1+Inputs!$B$9)^(W$3-1),0)</f>
        <v>0</v>
      </c>
      <c r="X11" s="0" t="n">
        <f aca="false">IF(AND(X$3&gt;=1,X$3&lt;=Inputs!$B$18,MOD(X$3,Inputs!$B$13)=0),Inputs!$B$14*(1+Inputs!$B$9)^(X$3-1),0)</f>
        <v>0</v>
      </c>
      <c r="Y11" s="0" t="n">
        <f aca="false">IF(AND(Y$3&gt;=1,Y$3&lt;=Inputs!$B$18,MOD(Y$3,Inputs!$B$13)=0),Inputs!$B$14*(1+Inputs!$B$9)^(Y$3-1),0)</f>
        <v>0</v>
      </c>
      <c r="Z11" s="0" t="n">
        <f aca="false">IF(AND(Z$3&gt;=1,Z$3&lt;=Inputs!$B$18,MOD(Z$3,Inputs!$B$13)=0),Inputs!$B$14*(1+Inputs!$B$9)^(Z$3-1),0)</f>
        <v>102498452.172441</v>
      </c>
      <c r="AA11" s="0" t="n">
        <f aca="false">IF(AND(AA$3&gt;=1,AA$3&lt;=Inputs!$B$18,MOD(AA$3,Inputs!$B$13)=0),Inputs!$B$14*(1+Inputs!$B$9)^(AA$3-1),0)</f>
        <v>0</v>
      </c>
      <c r="AB11" s="0" t="n">
        <f aca="false">IF(AND(AB$3&gt;=1,AB$3&lt;=Inputs!$B$18,MOD(AB$3,Inputs!$B$13)=0),Inputs!$B$14*(1+Inputs!$B$9)^(AB$3-1),0)</f>
        <v>0</v>
      </c>
      <c r="AC11" s="0" t="n">
        <f aca="false">IF(AND(AC$3&gt;=1,AC$3&lt;=Inputs!$B$18,MOD(AC$3,Inputs!$B$13)=0),Inputs!$B$14*(1+Inputs!$B$9)^(AC$3-1),0)</f>
        <v>0</v>
      </c>
      <c r="AD11" s="0" t="n">
        <f aca="false">IF(AND(AD$3&gt;=1,AD$3&lt;=Inputs!$B$18,MOD(AD$3,Inputs!$B$13)=0),Inputs!$B$14*(1+Inputs!$B$9)^(AD$3-1),0)</f>
        <v>0</v>
      </c>
      <c r="AE11" s="0" t="n">
        <f aca="false">IF(AND(AE$3&gt;=1,AE$3&lt;=Inputs!$B$18,MOD(AE$3,Inputs!$B$13)=0),Inputs!$B$14*(1+Inputs!$B$9)^(AE$3-1),0)</f>
        <v>0</v>
      </c>
      <c r="AF11" s="0" t="n">
        <f aca="false">IF(AND(AF$3&gt;=1,AF$3&lt;=Inputs!$B$18,MOD(AF$3,Inputs!$B$13)=0),Inputs!$B$14*(1+Inputs!$B$9)^(AF$3-1),0)</f>
        <v>0</v>
      </c>
    </row>
    <row r="12" customFormat="false" ht="15" hidden="false" customHeight="false" outlineLevel="0" collapsed="false">
      <c r="A12" s="0" t="s">
        <v>27</v>
      </c>
      <c r="B12" s="0" t="n">
        <f aca="false">B9-B10-B11</f>
        <v>0</v>
      </c>
      <c r="C12" s="0" t="n">
        <f aca="false">C9-C10-C11</f>
        <v>30322650</v>
      </c>
      <c r="D12" s="0" t="n">
        <f aca="false">D9-D10-D11</f>
        <v>41105423.45</v>
      </c>
      <c r="E12" s="0" t="n">
        <f aca="false">E9-E10-E11</f>
        <v>52934983.2256</v>
      </c>
      <c r="F12" s="0" t="n">
        <f aca="false">F9-F10-F11</f>
        <v>65485200.4109604</v>
      </c>
      <c r="G12" s="0" t="n">
        <f aca="false">G9-G10-G11</f>
        <v>77454935.4823935</v>
      </c>
      <c r="H12" s="0" t="n">
        <f aca="false">H9-H10-H11</f>
        <v>81544402.6076663</v>
      </c>
      <c r="I12" s="0" t="n">
        <f aca="false">I9-I10-I11</f>
        <v>85776227.1733761</v>
      </c>
      <c r="J12" s="0" t="n">
        <f aca="false">J9-J10-J11</f>
        <v>15213835.0907255</v>
      </c>
      <c r="K12" s="0" t="n">
        <f aca="false">K9-K10-K11</f>
        <v>94401831.9096902</v>
      </c>
      <c r="L12" s="0" t="n">
        <f aca="false">L9-L10-L11</f>
        <v>98792114.8380601</v>
      </c>
      <c r="M12" s="0" t="n">
        <f aca="false">M9-M10-M11</f>
        <v>103624708.747866</v>
      </c>
      <c r="N12" s="0" t="n">
        <f aca="false">N9-N10-N11</f>
        <v>108622021.018346</v>
      </c>
      <c r="O12" s="0" t="n">
        <f aca="false">O9-O10-O11</f>
        <v>113788958.274162</v>
      </c>
      <c r="P12" s="0" t="n">
        <f aca="false">P9-P10-P11</f>
        <v>119130563.26762</v>
      </c>
      <c r="Q12" s="0" t="n">
        <f aca="false">Q9-Q10-Q11</f>
        <v>124652018.492674</v>
      </c>
      <c r="R12" s="0" t="n">
        <f aca="false">R9-R10-R11</f>
        <v>44799590.8159504</v>
      </c>
      <c r="S12" s="0" t="n">
        <f aca="false">S9-S10-S11</f>
        <v>138220605.998932</v>
      </c>
      <c r="T12" s="0" t="n">
        <f aca="false">T9-T10-T11</f>
        <v>144357383.33847</v>
      </c>
      <c r="U12" s="0" t="n">
        <f aca="false">U9-U10-U11</f>
        <v>150697164.793645</v>
      </c>
      <c r="V12" s="0" t="n">
        <f aca="false">V9-V10-V11</f>
        <v>157604644.618232</v>
      </c>
      <c r="W12" s="0" t="n">
        <f aca="false">W9-W10-W11</f>
        <v>164376369.414715</v>
      </c>
      <c r="X12" s="0" t="n">
        <f aca="false">X9-X10-X11</f>
        <v>173560157.247088</v>
      </c>
      <c r="Y12" s="0" t="n">
        <f aca="false">Y9-Y10-Y11</f>
        <v>181212583.136939</v>
      </c>
      <c r="Z12" s="0" t="n">
        <f aca="false">Z9-Z10-Z11</f>
        <v>86227772.8107779</v>
      </c>
      <c r="AA12" s="0" t="n">
        <f aca="false">AA9-AA10-AA11</f>
        <v>199220888.377743</v>
      </c>
      <c r="AB12" s="0" t="n">
        <f aca="false">AB9-AB10-AB11</f>
        <v>207696110.89683</v>
      </c>
      <c r="AC12" s="0" t="n">
        <f aca="false">AC9-AC10-AC11</f>
        <v>216029922.631832</v>
      </c>
      <c r="AD12" s="0" t="n">
        <f aca="false">AD9-AD10-AD11</f>
        <v>227552747.553739</v>
      </c>
      <c r="AE12" s="0" t="n">
        <f aca="false">AE9-AE10-AE11</f>
        <v>236926930.088783</v>
      </c>
      <c r="AF12" s="0" t="n">
        <f aca="false">AF9-AF10-AF11</f>
        <v>249210366.228783</v>
      </c>
    </row>
    <row r="13" customFormat="false" ht="15" hidden="false" customHeight="false" outlineLevel="0" collapsed="false">
      <c r="A13" s="0" t="s">
        <v>28</v>
      </c>
      <c r="B13" s="1" t="n">
        <f aca="false">Inputs!$B$15</f>
        <v>780000000</v>
      </c>
      <c r="C13" s="0" t="n">
        <f aca="false">B13-B15</f>
        <v>780000000</v>
      </c>
      <c r="D13" s="0" t="n">
        <f aca="false">C13-C15</f>
        <v>780000000</v>
      </c>
      <c r="E13" s="0" t="n">
        <f aca="false">D13-D15</f>
        <v>780000000</v>
      </c>
      <c r="F13" s="0" t="n">
        <f aca="false">E13-E15</f>
        <v>755907769.891961</v>
      </c>
      <c r="G13" s="0" t="n">
        <f aca="false">F13-F15</f>
        <v>730659112.738736</v>
      </c>
      <c r="H13" s="0" t="n">
        <f aca="false">G13-G15</f>
        <v>704198520.042157</v>
      </c>
      <c r="I13" s="0" t="n">
        <f aca="false">H13-H15</f>
        <v>676467818.896141</v>
      </c>
      <c r="J13" s="0" t="n">
        <f aca="false">I13-I15</f>
        <v>647406044.095117</v>
      </c>
      <c r="K13" s="0" t="n">
        <f aca="false">J13-J15</f>
        <v>616949304.103644</v>
      </c>
      <c r="L13" s="0" t="n">
        <f aca="false">K13-K15</f>
        <v>585030640.59258</v>
      </c>
      <c r="M13" s="0" t="n">
        <f aca="false">L13-L15</f>
        <v>551579881.232985</v>
      </c>
      <c r="N13" s="0" t="n">
        <f aca="false">M13-M15</f>
        <v>516523485.424129</v>
      </c>
      <c r="O13" s="0" t="n">
        <f aca="false">N13-N15</f>
        <v>479784382.616449</v>
      </c>
      <c r="P13" s="0" t="n">
        <f aca="false">O13-O15</f>
        <v>441281802.873999</v>
      </c>
      <c r="Q13" s="0" t="n">
        <f aca="false">P13-P15</f>
        <v>400931099.303912</v>
      </c>
      <c r="R13" s="0" t="n">
        <f aca="false">Q13-Q15</f>
        <v>358643561.962461</v>
      </c>
      <c r="S13" s="0" t="n">
        <f aca="false">R13-R15</f>
        <v>314326222.82862</v>
      </c>
      <c r="T13" s="0" t="n">
        <f aca="false">S13-S15</f>
        <v>267881651.416355</v>
      </c>
      <c r="U13" s="0" t="n">
        <f aca="false">T13-T15</f>
        <v>219207740.576301</v>
      </c>
      <c r="V13" s="0" t="n">
        <f aca="false">U13-U15</f>
        <v>168197482.015925</v>
      </c>
      <c r="W13" s="0" t="n">
        <f aca="false">V13-V15</f>
        <v>114738731.04465</v>
      </c>
      <c r="X13" s="0" t="n">
        <f aca="false">W13-W15</f>
        <v>58713960.0267546</v>
      </c>
      <c r="Y13" s="0" t="n">
        <f aca="false">X13-X15</f>
        <v>0</v>
      </c>
      <c r="Z13" s="0" t="n">
        <f aca="false">Y13-Y15</f>
        <v>0</v>
      </c>
      <c r="AA13" s="0" t="n">
        <f aca="false">Z13-Z15</f>
        <v>0</v>
      </c>
      <c r="AB13" s="0" t="n">
        <f aca="false">AA13-AA15</f>
        <v>0</v>
      </c>
      <c r="AC13" s="0" t="n">
        <f aca="false">AB13-AB15</f>
        <v>0</v>
      </c>
      <c r="AD13" s="0" t="n">
        <f aca="false">AC13-AC15</f>
        <v>0</v>
      </c>
      <c r="AE13" s="0" t="n">
        <f aca="false">AD13-AD15</f>
        <v>0</v>
      </c>
      <c r="AF13" s="0" t="n">
        <f aca="false">AE13-AE15</f>
        <v>0</v>
      </c>
    </row>
    <row r="14" customFormat="false" ht="15" hidden="false" customHeight="false" outlineLevel="0" collapsed="false">
      <c r="A14" s="0" t="s">
        <v>29</v>
      </c>
      <c r="B14" s="0" t="n">
        <f aca="false">0</f>
        <v>0</v>
      </c>
      <c r="C14" s="0" t="n">
        <f aca="false">C13*Inputs!$B$16</f>
        <v>37440000</v>
      </c>
      <c r="D14" s="0" t="n">
        <f aca="false">D13*Inputs!$B$16</f>
        <v>37440000</v>
      </c>
      <c r="E14" s="0" t="n">
        <f aca="false">E13*Inputs!$B$16</f>
        <v>37440000</v>
      </c>
      <c r="F14" s="0" t="n">
        <f aca="false">F13*Inputs!$B$16</f>
        <v>36283572.9548141</v>
      </c>
      <c r="G14" s="0" t="n">
        <f aca="false">G13*Inputs!$B$16</f>
        <v>35071637.4114594</v>
      </c>
      <c r="H14" s="0" t="n">
        <f aca="false">H13*Inputs!$B$16</f>
        <v>33801528.9620235</v>
      </c>
      <c r="I14" s="0" t="n">
        <f aca="false">I13*Inputs!$B$16</f>
        <v>32470455.3070148</v>
      </c>
      <c r="J14" s="0" t="n">
        <f aca="false">J13*Inputs!$B$16</f>
        <v>31075490.1165656</v>
      </c>
      <c r="K14" s="0" t="n">
        <f aca="false">K13*Inputs!$B$16</f>
        <v>29613566.5969749</v>
      </c>
      <c r="L14" s="0" t="n">
        <f aca="false">L13*Inputs!$B$16</f>
        <v>28081470.7484438</v>
      </c>
      <c r="M14" s="0" t="n">
        <f aca="false">M13*Inputs!$B$16</f>
        <v>26475834.2991833</v>
      </c>
      <c r="N14" s="0" t="n">
        <f aca="false">N13*Inputs!$B$16</f>
        <v>24793127.3003582</v>
      </c>
      <c r="O14" s="0" t="n">
        <f aca="false">O13*Inputs!$B$16</f>
        <v>23029650.3655895</v>
      </c>
      <c r="P14" s="0" t="n">
        <f aca="false">P13*Inputs!$B$16</f>
        <v>21181526.537952</v>
      </c>
      <c r="Q14" s="0" t="n">
        <f aca="false">Q13*Inputs!$B$16</f>
        <v>19244692.7665878</v>
      </c>
      <c r="R14" s="0" t="n">
        <f aca="false">R13*Inputs!$B$16</f>
        <v>17214890.9741981</v>
      </c>
      <c r="S14" s="0" t="n">
        <f aca="false">S13*Inputs!$B$16</f>
        <v>15087658.6957738</v>
      </c>
      <c r="T14" s="0" t="n">
        <f aca="false">T13*Inputs!$B$16</f>
        <v>12858319.2679851</v>
      </c>
      <c r="U14" s="0" t="n">
        <f aca="false">U13*Inputs!$B$16</f>
        <v>10521971.5476625</v>
      </c>
      <c r="V14" s="0" t="n">
        <f aca="false">V13*Inputs!$B$16</f>
        <v>8073479.13676439</v>
      </c>
      <c r="W14" s="0" t="n">
        <f aca="false">W13*Inputs!$B$16</f>
        <v>5507459.09014322</v>
      </c>
      <c r="X14" s="0" t="n">
        <f aca="false">X13*Inputs!$B$16</f>
        <v>2818270.08128422</v>
      </c>
      <c r="Y14" s="0" t="n">
        <f aca="false">Y13*Inputs!$B$16</f>
        <v>0</v>
      </c>
      <c r="Z14" s="0" t="n">
        <f aca="false">Z13*Inputs!$B$16</f>
        <v>0</v>
      </c>
      <c r="AA14" s="0" t="n">
        <f aca="false">AA13*Inputs!$B$16</f>
        <v>0</v>
      </c>
      <c r="AB14" s="0" t="n">
        <f aca="false">AB13*Inputs!$B$16</f>
        <v>0</v>
      </c>
      <c r="AC14" s="0" t="n">
        <f aca="false">AC13*Inputs!$B$16</f>
        <v>0</v>
      </c>
      <c r="AD14" s="0" t="n">
        <f aca="false">AD13*Inputs!$B$16</f>
        <v>0</v>
      </c>
      <c r="AE14" s="0" t="n">
        <f aca="false">AE13*Inputs!$B$16</f>
        <v>0</v>
      </c>
      <c r="AF14" s="0" t="n">
        <f aca="false">AF13*Inputs!$B$16</f>
        <v>0</v>
      </c>
    </row>
    <row r="15" customFormat="false" ht="15" hidden="false" customHeight="false" outlineLevel="0" collapsed="false">
      <c r="A15" s="0" t="s">
        <v>30</v>
      </c>
      <c r="B15" s="0" t="n">
        <f aca="false">0</f>
        <v>0</v>
      </c>
      <c r="C15" s="0" t="n">
        <f aca="false">IF(C$3=Inputs!$B$17,C13,IF(AND(C$3&gt;2,C$3&lt;Inputs!$B$17),MIN(C13,-PPMT(Inputs!$B$16,C$3-2,Inputs!$B$17-2,Inputs!$B$15)),0))</f>
        <v>0</v>
      </c>
      <c r="D15" s="0" t="n">
        <f aca="false">IF(D$3=Inputs!$B$17,D13,IF(AND(D$3&gt;2,D$3&lt;Inputs!$B$17),MIN(D13,-PPMT(Inputs!$B$16,D$3-2,Inputs!$B$17-2,Inputs!$B$15)),0))</f>
        <v>0</v>
      </c>
      <c r="E15" s="0" t="n">
        <f aca="false">IF(E$3=Inputs!$B$17,E13,IF(AND(E$3&gt;2,E$3&lt;Inputs!$B$17),MIN(E13,-PPMT(Inputs!$B$16,E$3-2,Inputs!$B$17-2,Inputs!$B$15)),0))</f>
        <v>24092230.1080389</v>
      </c>
      <c r="F15" s="0" t="n">
        <f aca="false">IF(F$3=Inputs!$B$17,F13,IF(AND(F$3&gt;2,F$3&lt;Inputs!$B$17),MIN(F13,-PPMT(Inputs!$B$16,F$3-2,Inputs!$B$17-2,Inputs!$B$15)),0))</f>
        <v>25248657.1532248</v>
      </c>
      <c r="G15" s="0" t="n">
        <f aca="false">IF(G$3=Inputs!$B$17,G13,IF(AND(G$3&gt;2,G$3&lt;Inputs!$B$17),MIN(G13,-PPMT(Inputs!$B$16,G$3-2,Inputs!$B$17-2,Inputs!$B$15)),0))</f>
        <v>26460592.6965796</v>
      </c>
      <c r="H15" s="0" t="n">
        <f aca="false">IF(H$3=Inputs!$B$17,H13,IF(AND(H$3&gt;2,H$3&lt;Inputs!$B$17),MIN(H13,-PPMT(Inputs!$B$16,H$3-2,Inputs!$B$17-2,Inputs!$B$15)),0))</f>
        <v>27730701.1460154</v>
      </c>
      <c r="I15" s="0" t="n">
        <f aca="false">IF(I$3=Inputs!$B$17,I13,IF(AND(I$3&gt;2,I$3&lt;Inputs!$B$17),MIN(I13,-PPMT(Inputs!$B$16,I$3-2,Inputs!$B$17-2,Inputs!$B$15)),0))</f>
        <v>29061774.8010241</v>
      </c>
      <c r="J15" s="0" t="n">
        <f aca="false">IF(J$3=Inputs!$B$17,J13,IF(AND(J$3&gt;2,J$3&lt;Inputs!$B$17),MIN(J13,-PPMT(Inputs!$B$16,J$3-2,Inputs!$B$17-2,Inputs!$B$15)),0))</f>
        <v>30456739.9914733</v>
      </c>
      <c r="K15" s="0" t="n">
        <f aca="false">IF(K$3=Inputs!$B$17,K13,IF(AND(K$3&gt;2,K$3&lt;Inputs!$B$17),MIN(K13,-PPMT(Inputs!$B$16,K$3-2,Inputs!$B$17-2,Inputs!$B$15)),0))</f>
        <v>31918663.511064</v>
      </c>
      <c r="L15" s="0" t="n">
        <f aca="false">IF(L$3=Inputs!$B$17,L13,IF(AND(L$3&gt;2,L$3&lt;Inputs!$B$17),MIN(L13,-PPMT(Inputs!$B$16,L$3-2,Inputs!$B$17-2,Inputs!$B$15)),0))</f>
        <v>33450759.3595951</v>
      </c>
      <c r="M15" s="0" t="n">
        <f aca="false">IF(M$3=Inputs!$B$17,M13,IF(AND(M$3&gt;2,M$3&lt;Inputs!$B$17),MIN(M13,-PPMT(Inputs!$B$16,M$3-2,Inputs!$B$17-2,Inputs!$B$15)),0))</f>
        <v>35056395.8088556</v>
      </c>
      <c r="N15" s="0" t="n">
        <f aca="false">IF(N$3=Inputs!$B$17,N13,IF(AND(N$3&gt;2,N$3&lt;Inputs!$B$17),MIN(N13,-PPMT(Inputs!$B$16,N$3-2,Inputs!$B$17-2,Inputs!$B$15)),0))</f>
        <v>36739102.8076807</v>
      </c>
      <c r="O15" s="0" t="n">
        <f aca="false">IF(O$3=Inputs!$B$17,O13,IF(AND(O$3&gt;2,O$3&lt;Inputs!$B$17),MIN(O13,-PPMT(Inputs!$B$16,O$3-2,Inputs!$B$17-2,Inputs!$B$15)),0))</f>
        <v>38502579.7424494</v>
      </c>
      <c r="P15" s="0" t="n">
        <f aca="false">IF(P$3=Inputs!$B$17,P13,IF(AND(P$3&gt;2,P$3&lt;Inputs!$B$17),MIN(P13,-PPMT(Inputs!$B$16,P$3-2,Inputs!$B$17-2,Inputs!$B$15)),0))</f>
        <v>40350703.570087</v>
      </c>
      <c r="Q15" s="0" t="n">
        <f aca="false">IF(Q$3=Inputs!$B$17,Q13,IF(AND(Q$3&gt;2,Q$3&lt;Inputs!$B$17),MIN(Q13,-PPMT(Inputs!$B$16,Q$3-2,Inputs!$B$17-2,Inputs!$B$15)),0))</f>
        <v>42287537.3414511</v>
      </c>
      <c r="R15" s="0" t="n">
        <f aca="false">IF(R$3=Inputs!$B$17,R13,IF(AND(R$3&gt;2,R$3&lt;Inputs!$B$17),MIN(R13,-PPMT(Inputs!$B$16,R$3-2,Inputs!$B$17-2,Inputs!$B$15)),0))</f>
        <v>44317339.1338408</v>
      </c>
      <c r="S15" s="0" t="n">
        <f aca="false">IF(S$3=Inputs!$B$17,S13,IF(AND(S$3&gt;2,S$3&lt;Inputs!$B$17),MIN(S13,-PPMT(Inputs!$B$16,S$3-2,Inputs!$B$17-2,Inputs!$B$15)),0))</f>
        <v>46444571.4122651</v>
      </c>
      <c r="T15" s="0" t="n">
        <f aca="false">IF(T$3=Inputs!$B$17,T13,IF(AND(T$3&gt;2,T$3&lt;Inputs!$B$17),MIN(T13,-PPMT(Inputs!$B$16,T$3-2,Inputs!$B$17-2,Inputs!$B$15)),0))</f>
        <v>48673910.8400539</v>
      </c>
      <c r="U15" s="0" t="n">
        <f aca="false">IF(U$3=Inputs!$B$17,U13,IF(AND(U$3&gt;2,U$3&lt;Inputs!$B$17),MIN(U13,-PPMT(Inputs!$B$16,U$3-2,Inputs!$B$17-2,Inputs!$B$15)),0))</f>
        <v>51010258.5603765</v>
      </c>
      <c r="V15" s="0" t="n">
        <f aca="false">IF(V$3=Inputs!$B$17,V13,IF(AND(V$3&gt;2,V$3&lt;Inputs!$B$17),MIN(V13,-PPMT(Inputs!$B$16,V$3-2,Inputs!$B$17-2,Inputs!$B$15)),0))</f>
        <v>53458750.9712745</v>
      </c>
      <c r="W15" s="0" t="n">
        <f aca="false">IF(W$3=Inputs!$B$17,W13,IF(AND(W$3&gt;2,W$3&lt;Inputs!$B$17),MIN(W13,-PPMT(Inputs!$B$16,W$3-2,Inputs!$B$17-2,Inputs!$B$15)),0))</f>
        <v>56024771.0178957</v>
      </c>
      <c r="X15" s="0" t="n">
        <f aca="false">IF(X$3=Inputs!$B$17,X13,IF(AND(X$3&gt;2,X$3&lt;Inputs!$B$17),MIN(X13,-PPMT(Inputs!$B$16,X$3-2,Inputs!$B$17-2,Inputs!$B$15)),0))</f>
        <v>58713960.0267546</v>
      </c>
      <c r="Y15" s="0" t="n">
        <f aca="false">IF(Y$3=Inputs!$B$17,Y13,IF(AND(Y$3&gt;2,Y$3&lt;Inputs!$B$17),MIN(Y13,-PPMT(Inputs!$B$16,Y$3-2,Inputs!$B$17-2,Inputs!$B$15)),0))</f>
        <v>0</v>
      </c>
      <c r="Z15" s="0" t="n">
        <f aca="false">IF(Z$3=Inputs!$B$17,Z13,IF(AND(Z$3&gt;2,Z$3&lt;Inputs!$B$17),MIN(Z13,-PPMT(Inputs!$B$16,Z$3-2,Inputs!$B$17-2,Inputs!$B$15)),0))</f>
        <v>0</v>
      </c>
      <c r="AA15" s="0" t="n">
        <f aca="false">IF(AA$3=Inputs!$B$17,AA13,IF(AND(AA$3&gt;2,AA$3&lt;Inputs!$B$17),MIN(AA13,-PPMT(Inputs!$B$16,AA$3-2,Inputs!$B$17-2,Inputs!$B$15)),0))</f>
        <v>0</v>
      </c>
      <c r="AB15" s="0" t="n">
        <f aca="false">IF(AB$3=Inputs!$B$17,AB13,IF(AND(AB$3&gt;2,AB$3&lt;Inputs!$B$17),MIN(AB13,-PPMT(Inputs!$B$16,AB$3-2,Inputs!$B$17-2,Inputs!$B$15)),0))</f>
        <v>0</v>
      </c>
      <c r="AC15" s="0" t="n">
        <f aca="false">IF(AC$3=Inputs!$B$17,AC13,IF(AND(AC$3&gt;2,AC$3&lt;Inputs!$B$17),MIN(AC13,-PPMT(Inputs!$B$16,AC$3-2,Inputs!$B$17-2,Inputs!$B$15)),0))</f>
        <v>0</v>
      </c>
      <c r="AD15" s="0" t="n">
        <f aca="false">IF(AD$3=Inputs!$B$17,AD13,IF(AND(AD$3&gt;2,AD$3&lt;Inputs!$B$17),MIN(AD13,-PPMT(Inputs!$B$16,AD$3-2,Inputs!$B$17-2,Inputs!$B$15)),0))</f>
        <v>0</v>
      </c>
      <c r="AE15" s="0" t="n">
        <f aca="false">IF(AE$3=Inputs!$B$17,AE13,IF(AND(AE$3&gt;2,AE$3&lt;Inputs!$B$17),MIN(AE13,-PPMT(Inputs!$B$16,AE$3-2,Inputs!$B$17-2,Inputs!$B$15)),0))</f>
        <v>0</v>
      </c>
      <c r="AF15" s="0" t="n">
        <f aca="false">IF(AF$3=Inputs!$B$17,AF13,IF(AND(AF$3&gt;2,AF$3&lt;Inputs!$B$17),MIN(AF13,-PPMT(Inputs!$B$16,AF$3-2,Inputs!$B$17-2,Inputs!$B$15)),0))</f>
        <v>0</v>
      </c>
    </row>
    <row r="16" customFormat="false" ht="15" hidden="false" customHeight="false" outlineLevel="0" collapsed="false">
      <c r="A16" s="0" t="s">
        <v>31</v>
      </c>
      <c r="B16" s="0" t="n">
        <f aca="false">IF(B14+B15&gt;0,B12/(B14+B15),0)</f>
        <v>0</v>
      </c>
      <c r="C16" s="0" t="n">
        <f aca="false">IF(C14+C15&gt;0,C12/(C14+C15),0)</f>
        <v>0.80989983974359</v>
      </c>
      <c r="D16" s="0" t="n">
        <f aca="false">IF(D14+D15&gt;0,D12/(D14+D15),0)</f>
        <v>1.09790126736111</v>
      </c>
      <c r="E16" s="0" t="n">
        <f aca="false">IF(E14+E15&gt;0,E12/(E14+E15),0)</f>
        <v>0.860280590068916</v>
      </c>
      <c r="F16" s="0" t="n">
        <f aca="false">IF(F14+F15&gt;0,F12/(F14+F15),0)</f>
        <v>1.06424227264282</v>
      </c>
      <c r="G16" s="0" t="n">
        <f aca="false">IF(G14+G15&gt;0,G12/(G14+G15),0)</f>
        <v>1.25877016559285</v>
      </c>
      <c r="H16" s="0" t="n">
        <f aca="false">IF(H14+H15&gt;0,H12/(H14+H15),0)</f>
        <v>1.32523073622539</v>
      </c>
      <c r="I16" s="0" t="n">
        <f aca="false">IF(I14+I15&gt;0,I12/(I14+I15),0)</f>
        <v>1.39400484953608</v>
      </c>
      <c r="J16" s="0" t="n">
        <f aca="false">IF(J14+J15&gt;0,J12/(J14+J15),0)</f>
        <v>0.247249856928847</v>
      </c>
      <c r="K16" s="0" t="n">
        <f aca="false">IF(K14+K15&gt;0,K12/(K14+K15),0)</f>
        <v>1.53418512125984</v>
      </c>
      <c r="L16" s="0" t="n">
        <f aca="false">IF(L14+L15&gt;0,L12/(L14+L15),0)</f>
        <v>1.60553444373136</v>
      </c>
      <c r="M16" s="0" t="n">
        <f aca="false">IF(M14+M15&gt;0,M12/(M14+M15),0)</f>
        <v>1.68407204754193</v>
      </c>
      <c r="N16" s="0" t="n">
        <f aca="false">IF(N14+N15&gt;0,N12/(N14+N15),0)</f>
        <v>1.76528659578284</v>
      </c>
      <c r="O16" s="0" t="n">
        <f aca="false">IF(O14+O15&gt;0,O12/(O14+O15),0)</f>
        <v>1.84925782917945</v>
      </c>
      <c r="P16" s="0" t="n">
        <f aca="false">IF(P14+P15&gt;0,P12/(P14+P15),0)</f>
        <v>1.93606770075534</v>
      </c>
      <c r="Q16" s="0" t="n">
        <f aca="false">IF(Q14+Q15&gt;0,Q12/(Q14+Q15),0)</f>
        <v>2.02580043456589</v>
      </c>
      <c r="R16" s="0" t="n">
        <f aca="false">IF(R14+R15&gt;0,R12/(R14+R15),0)</f>
        <v>0.728067075373195</v>
      </c>
      <c r="S16" s="0" t="n">
        <f aca="false">IF(S14+S15&gt;0,S12/(S14+S15),0)</f>
        <v>2.24631231073931</v>
      </c>
      <c r="T16" s="0" t="n">
        <f aca="false">IF(T14+T15&gt;0,T12/(T14+T15),0)</f>
        <v>2.34604504151736</v>
      </c>
      <c r="U16" s="0" t="n">
        <f aca="false">IF(U14+U15&gt;0,U12/(U14+U15),0)</f>
        <v>2.449076923249</v>
      </c>
      <c r="V16" s="0" t="n">
        <f aca="false">IF(V14+V15&gt;0,V12/(V14+V15),0)</f>
        <v>2.56133483771852</v>
      </c>
      <c r="W16" s="0" t="n">
        <f aca="false">IF(W14+W15&gt;0,W12/(W14+W15),0)</f>
        <v>2.67138650957557</v>
      </c>
      <c r="X16" s="0" t="n">
        <f aca="false">IF(X14+X15&gt;0,X12/(X14+X15),0)</f>
        <v>2.82063817518639</v>
      </c>
      <c r="Y16" s="0" t="n">
        <f aca="false">IF(Y14+Y15&gt;0,Y12/(Y14+Y15),0)</f>
        <v>0</v>
      </c>
      <c r="Z16" s="0" t="n">
        <f aca="false">IF(Z14+Z15&gt;0,Z12/(Z14+Z15),0)</f>
        <v>0</v>
      </c>
      <c r="AA16" s="0" t="n">
        <f aca="false">IF(AA14+AA15&gt;0,AA12/(AA14+AA15),0)</f>
        <v>0</v>
      </c>
      <c r="AB16" s="0" t="n">
        <f aca="false">IF(AB14+AB15&gt;0,AB12/(AB14+AB15),0)</f>
        <v>0</v>
      </c>
      <c r="AC16" s="0" t="n">
        <f aca="false">IF(AC14+AC15&gt;0,AC12/(AC14+AC15),0)</f>
        <v>0</v>
      </c>
      <c r="AD16" s="0" t="n">
        <f aca="false">IF(AD14+AD15&gt;0,AD12/(AD14+AD15),0)</f>
        <v>0</v>
      </c>
      <c r="AE16" s="0" t="n">
        <f aca="false">IF(AE14+AE15&gt;0,AE12/(AE14+AE15),0)</f>
        <v>0</v>
      </c>
      <c r="AF16" s="0" t="n">
        <f aca="false">IF(AF14+AF15&gt;0,AF12/(AF14+AF15),0)</f>
        <v>0</v>
      </c>
    </row>
    <row r="17" customFormat="false" ht="15" hidden="false" customHeight="false" outlineLevel="0" collapsed="false">
      <c r="A17" s="0" t="s">
        <v>32</v>
      </c>
      <c r="B17" s="0" t="n">
        <f aca="false">-(Inputs!$B$19-Inputs!$B$15)</f>
        <v>-370000000</v>
      </c>
      <c r="C17" s="0" t="n">
        <f aca="false">C12-C14-C15</f>
        <v>-7117350</v>
      </c>
      <c r="D17" s="0" t="n">
        <f aca="false">D12-D14-D15</f>
        <v>3665423.45</v>
      </c>
      <c r="E17" s="0" t="n">
        <f aca="false">E12-E14-E15</f>
        <v>-8597246.8824389</v>
      </c>
      <c r="F17" s="0" t="n">
        <f aca="false">F12-F14-F15</f>
        <v>3952970.3029215</v>
      </c>
      <c r="G17" s="0" t="n">
        <f aca="false">G12-G14-G15</f>
        <v>15922705.3743546</v>
      </c>
      <c r="H17" s="0" t="n">
        <f aca="false">H12-H14-H15</f>
        <v>20012172.4996274</v>
      </c>
      <c r="I17" s="0" t="n">
        <f aca="false">I12-I14-I15</f>
        <v>24243997.0653372</v>
      </c>
      <c r="J17" s="0" t="n">
        <f aca="false">J12-J14-J15</f>
        <v>-46318395.0173134</v>
      </c>
      <c r="K17" s="0" t="n">
        <f aca="false">K12-K14-K15</f>
        <v>32869601.8016513</v>
      </c>
      <c r="L17" s="0" t="n">
        <f aca="false">L12-L14-L15</f>
        <v>37259884.7300212</v>
      </c>
      <c r="M17" s="0" t="n">
        <f aca="false">M12-M14-M15</f>
        <v>42092478.6398273</v>
      </c>
      <c r="N17" s="0" t="n">
        <f aca="false">N12-N14-N15</f>
        <v>47089790.9103075</v>
      </c>
      <c r="O17" s="0" t="n">
        <f aca="false">O12-O14-O15</f>
        <v>52256728.1661235</v>
      </c>
      <c r="P17" s="0" t="n">
        <f aca="false">P12-P14-P15</f>
        <v>57598333.1595807</v>
      </c>
      <c r="Q17" s="0" t="n">
        <f aca="false">Q12-Q14-Q15</f>
        <v>63119788.3846346</v>
      </c>
      <c r="R17" s="0" t="n">
        <f aca="false">R12-R14-R15</f>
        <v>-16732639.2920886</v>
      </c>
      <c r="S17" s="0" t="n">
        <f aca="false">S12-S14-S15</f>
        <v>76688375.890893</v>
      </c>
      <c r="T17" s="0" t="n">
        <f aca="false">T12-T14-T15</f>
        <v>82825153.2304313</v>
      </c>
      <c r="U17" s="0" t="n">
        <f aca="false">U12-U14-U15</f>
        <v>89164934.6856065</v>
      </c>
      <c r="V17" s="0" t="n">
        <f aca="false">V12-V14-V15</f>
        <v>96072414.5101934</v>
      </c>
      <c r="W17" s="0" t="n">
        <f aca="false">W12-W14-W15</f>
        <v>102844139.306676</v>
      </c>
      <c r="X17" s="0" t="n">
        <f aca="false">X12-X14-X15</f>
        <v>112027927.139049</v>
      </c>
      <c r="Y17" s="0" t="n">
        <f aca="false">Y12-Y14-Y15</f>
        <v>181212583.136939</v>
      </c>
      <c r="Z17" s="0" t="n">
        <f aca="false">Z12-Z14-Z15</f>
        <v>86227772.8107779</v>
      </c>
      <c r="AA17" s="0" t="n">
        <f aca="false">AA12-AA14-AA15</f>
        <v>199220888.377743</v>
      </c>
      <c r="AB17" s="0" t="n">
        <f aca="false">AB12-AB14-AB15</f>
        <v>207696110.89683</v>
      </c>
      <c r="AC17" s="0" t="n">
        <f aca="false">AC12-AC14-AC15</f>
        <v>216029922.631832</v>
      </c>
      <c r="AD17" s="0" t="n">
        <f aca="false">AD12-AD14-AD15</f>
        <v>227552747.553739</v>
      </c>
      <c r="AE17" s="0" t="n">
        <f aca="false">AE12-AE14-AE15</f>
        <v>236926930.088783</v>
      </c>
      <c r="AF17" s="0" t="n">
        <f aca="false">AF12-AF14-AF15</f>
        <v>249210366.228783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33</v>
      </c>
      <c r="B3" s="3" t="n">
        <f aca="false">IRR('Cash Flow'!$B$17:$AF$17)</f>
        <v>0.0915324178754088</v>
      </c>
    </row>
    <row r="4" customFormat="false" ht="15" hidden="false" customHeight="false" outlineLevel="0" collapsed="false">
      <c r="A4" s="0" t="s">
        <v>34</v>
      </c>
      <c r="B4" s="5" t="n">
        <f aca="false">_xlfn.MINIFS('Cash Flow'!$B$16:$AF$16,'Cash Flow'!$B$16:$AF$16,"&gt;0")</f>
        <v>0.247249856928847</v>
      </c>
    </row>
    <row r="5" customFormat="false" ht="15" hidden="false" customHeight="false" outlineLevel="0" collapsed="false">
      <c r="A5" s="0" t="s">
        <v>35</v>
      </c>
      <c r="B5" s="5" t="n">
        <f aca="false">AVERAGEIF('Cash Flow'!$B$16:$AF$16,"&gt;0")</f>
        <v>1.64912021019435</v>
      </c>
    </row>
    <row r="6" customFormat="false" ht="15" hidden="false" customHeight="false" outlineLevel="0" collapsed="false">
      <c r="A6" s="0" t="s">
        <v>36</v>
      </c>
      <c r="B6" s="2" t="n">
        <f aca="false">Inputs!$B$18-Inputs!$B$17</f>
        <v>8</v>
      </c>
    </row>
    <row r="7" customFormat="false" ht="15" hidden="false" customHeight="false" outlineLevel="0" collapsed="false">
      <c r="A7" s="0" t="s">
        <v>37</v>
      </c>
      <c r="B7" s="1" t="n">
        <f aca="false">SUM('Cash Flow'!$B$9:$AF$9)</f>
        <v>4907117237.81084</v>
      </c>
    </row>
    <row r="8" customFormat="false" ht="15" hidden="false" customHeight="false" outlineLevel="0" collapsed="false">
      <c r="A8" s="0" t="s">
        <v>38</v>
      </c>
      <c r="B8" s="1" t="n">
        <f aca="false">Inputs!$B$15</f>
        <v>780000000</v>
      </c>
    </row>
    <row r="9" customFormat="false" ht="15" hidden="false" customHeight="false" outlineLevel="0" collapsed="false">
      <c r="A9" s="0" t="s">
        <v>39</v>
      </c>
      <c r="B9" s="1" t="n">
        <f aca="false">SUM('Cash Flow'!$B$17:$AF$17)</f>
        <v>2115018509.78082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2026-10-17T22:07:01Z</dcterms:created>
  <dc:creator>openpyxl</dc:creator>
  <dc:description/>
  <dc:language>en-US</dc:language>
  <cp:lastModifiedBy/>
  <dcterms:modified xsi:type="dcterms:W3CDTF">2026-10-17T22:07:01Z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