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pSqm" sheetId="1" state="visible" r:id="rId1"/>
    <sheet name="TrapSqm2" sheetId="2" state="visible" r:id="rId2"/>
    <sheet name="TrapMonths" sheetId="3" state="visible" r:id="rId3"/>
    <sheet name="TrapPark" sheetId="4" state="visible" r:id="rId4"/>
    <sheet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Areas (sqm) and prices (£/sqm)</t>
        </is>
      </c>
    </row>
    <row r="3">
      <c r="A3" t="inlineStr">
        <is>
          <t>Studio</t>
        </is>
      </c>
      <c r="B3" t="n">
        <v>60</v>
      </c>
    </row>
    <row r="4">
      <c r="A4" t="inlineStr">
        <is>
          <t>Exit EBITDA multiple</t>
        </is>
      </c>
      <c r="B4" t="n">
        <v>13.5</v>
      </c>
    </row>
    <row r="5">
      <c r="A5" t="inlineStr">
        <is>
          <t>Construction length (quarters)</t>
        </is>
      </c>
      <c r="B5" t="n">
        <v>6</v>
      </c>
    </row>
    <row r="6">
      <c r="A6" t="inlineStr">
        <is>
          <t>Construction cost per key</t>
        </is>
      </c>
      <c r="B6" t="n">
        <v>1150000</v>
      </c>
    </row>
    <row r="7">
      <c r="A7" t="inlineStr">
        <is>
          <t>Selling costs</t>
        </is>
      </c>
      <c r="B7" s="1" t="n">
        <v>0.02</v>
      </c>
    </row>
    <row r="8">
      <c r="A8" t="inlineStr">
        <is>
          <t>Residential sale price per sqm</t>
        </is>
      </c>
      <c r="B8" t="n">
        <v>12</v>
      </c>
    </row>
    <row r="9">
      <c r="A9" t="inlineStr">
        <is>
          <t>Equity commitment (ألف ريال)</t>
        </is>
      </c>
      <c r="B9" s="2" t="n">
        <v>250</v>
      </c>
    </row>
    <row r="10">
      <c r="A10" t="inlineStr">
        <is>
          <t>Fund expenses (a year)</t>
        </is>
      </c>
      <c r="B10" s="2" t="n">
        <v>350000</v>
      </c>
    </row>
    <row r="11">
      <c r="A11" t="inlineStr">
        <is>
          <t>Construction cost</t>
        </is>
      </c>
      <c r="B11" s="2" t="n">
        <v>200000000</v>
      </c>
    </row>
    <row r="12">
      <c r="A12" t="inlineStr">
        <is>
          <t>Site area (sqm)</t>
        </is>
      </c>
      <c r="B12" t="n">
        <v>6500</v>
      </c>
    </row>
    <row r="13">
      <c r="A13" t="inlineStr">
        <is>
          <t>Retail rent per sqm pa</t>
        </is>
      </c>
      <c r="B13" t="n">
        <v>1200</v>
      </c>
    </row>
    <row r="14">
      <c r="A14" t="inlineStr">
        <is>
          <t>Management fee (on commitments)</t>
        </is>
      </c>
      <c r="B14" s="1" t="n">
        <v>0.015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schedule (sq m) · (m²)</t>
        </is>
      </c>
    </row>
    <row r="3">
      <c r="A3" t="inlineStr">
        <is>
          <t>Unit price</t>
        </is>
      </c>
      <c r="B3" t="n">
        <v>2400000</v>
      </c>
    </row>
    <row r="4">
      <c r="A4" t="inlineStr">
        <is>
          <t>Stabilised occupancy</t>
        </is>
      </c>
      <c r="B4" s="1" t="n">
        <v>0.9399999999999999</v>
      </c>
    </row>
    <row r="5">
      <c r="A5" t="inlineStr">
        <is>
          <t>Exit year</t>
        </is>
      </c>
      <c r="B5" t="n">
        <v>10</v>
      </c>
    </row>
    <row r="6">
      <c r="A6" t="inlineStr">
        <is>
          <t>Parking spaces</t>
        </is>
      </c>
      <c r="B6" t="n">
        <v>410</v>
      </c>
    </row>
    <row r="7">
      <c r="A7" t="inlineStr">
        <is>
          <t>Exit EBITDA multiple</t>
        </is>
      </c>
      <c r="B7" t="n">
        <v>13.5</v>
      </c>
    </row>
    <row r="8">
      <c r="A8" t="inlineStr">
        <is>
          <t>Residential sale price per sqm</t>
        </is>
      </c>
      <c r="B8" t="n">
        <v>12</v>
      </c>
    </row>
    <row r="9">
      <c r="A9" t="inlineStr">
        <is>
          <t>Exit yield</t>
        </is>
      </c>
      <c r="B9" s="1" t="n">
        <v>0.075</v>
      </c>
    </row>
    <row r="10">
      <c r="A10" t="inlineStr">
        <is>
          <t>تكلفة الأرض</t>
        </is>
      </c>
      <c r="B10" s="2" t="n">
        <v>120000000</v>
      </c>
    </row>
    <row r="11">
      <c r="A11" t="inlineStr">
        <is>
          <t>Contingency amount</t>
        </is>
      </c>
      <c r="B11" s="2" t="n">
        <v>4000000</v>
      </c>
    </row>
    <row r="12">
      <c r="A12" t="inlineStr">
        <is>
          <t>Senior debt facility (USD mn)</t>
        </is>
      </c>
      <c r="B12" s="2" t="n">
        <v>12.5</v>
      </c>
    </row>
    <row r="13">
      <c r="A13" t="inlineStr">
        <is>
          <t>Build cost (£/sqm GIA)</t>
        </is>
      </c>
      <c r="B13" t="n">
        <v>2800</v>
      </c>
    </row>
    <row r="14">
      <c r="A14" t="inlineStr">
        <is>
          <t>Site area (sqm)</t>
        </is>
      </c>
      <c r="B14" t="n">
        <v>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(months)</t>
        </is>
      </c>
    </row>
    <row r="3">
      <c r="A3" t="inlineStr">
        <is>
          <t>Equity commitment (USD k)</t>
        </is>
      </c>
      <c r="B3" s="2" t="n">
        <v>45500</v>
      </c>
    </row>
    <row r="4">
      <c r="A4" t="inlineStr">
        <is>
          <t>Exit EBITDA multiple</t>
        </is>
      </c>
      <c r="B4" t="n">
        <v>13.5</v>
      </c>
    </row>
    <row r="5">
      <c r="A5" t="inlineStr">
        <is>
          <t>Lease-up months</t>
        </is>
      </c>
      <c r="B5" t="n">
        <v>12</v>
      </c>
    </row>
    <row r="6">
      <c r="A6" t="inlineStr">
        <is>
          <t>Stabilised ADR</t>
        </is>
      </c>
      <c r="B6" t="n">
        <v>780</v>
      </c>
    </row>
    <row r="7">
      <c r="A7" t="inlineStr">
        <is>
          <t>Hard cost ($/sf)</t>
        </is>
      </c>
      <c r="B7" t="n">
        <v>320</v>
      </c>
    </row>
    <row r="8">
      <c r="A8" t="inlineStr">
        <is>
          <t>Fund expenses (a year)</t>
        </is>
      </c>
      <c r="B8" s="2" t="n">
        <v>350000</v>
      </c>
    </row>
    <row r="9">
      <c r="A9" t="inlineStr">
        <is>
          <t>Sales price (£/sqm)</t>
        </is>
      </c>
      <c r="B9" t="n">
        <v>8500</v>
      </c>
    </row>
    <row r="10">
      <c r="A10" t="inlineStr">
        <is>
          <t>Marketing budget</t>
        </is>
      </c>
      <c r="B10" s="2" t="n">
        <v>1200000</v>
      </c>
    </row>
    <row r="11">
      <c r="A11" t="inlineStr">
        <is>
          <t>Gross internal area (sqm)</t>
        </is>
      </c>
      <c r="B11" t="n">
        <v>12000</v>
      </c>
    </row>
    <row r="12">
      <c r="A12" t="inlineStr">
        <is>
          <t>Rent growth (a year)</t>
        </is>
      </c>
      <c r="B12" s="1" t="n">
        <v>0.03</v>
      </c>
    </row>
    <row r="13">
      <c r="A13" t="inlineStr">
        <is>
          <t>Parking spaces</t>
        </is>
      </c>
      <c r="B13" t="n">
        <v>410</v>
      </c>
    </row>
    <row r="14">
      <c r="A14" t="inlineStr">
        <is>
          <t>Management fee (on commitments)</t>
        </is>
      </c>
      <c r="B14" s="1" t="n">
        <v>0.015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park (park) and GIA (sqm GIA)</t>
        </is>
      </c>
    </row>
    <row r="3">
      <c r="A3" t="inlineStr">
        <is>
          <t>Retail rent per sqm pa</t>
        </is>
      </c>
      <c r="B3" t="n">
        <v>1200</v>
      </c>
    </row>
    <row r="4">
      <c r="A4" t="inlineStr">
        <is>
          <t>Amortisation (years after opening)</t>
        </is>
      </c>
      <c r="B4" t="n">
        <v>20</v>
      </c>
    </row>
    <row r="5">
      <c r="A5" t="inlineStr">
        <is>
          <t>Senior debt facility (SAR m)</t>
        </is>
      </c>
      <c r="B5" s="2" t="n">
        <v>48</v>
      </c>
    </row>
    <row r="6">
      <c r="A6" t="inlineStr">
        <is>
          <t>إيرادات التأجير السنوية</t>
        </is>
      </c>
      <c r="B6" s="2" t="n">
        <v>18000000</v>
      </c>
    </row>
    <row r="7">
      <c r="A7" t="inlineStr">
        <is>
          <t>سعر البيع للمتر المربع</t>
        </is>
      </c>
      <c r="B7" t="n">
        <v>6500</v>
      </c>
    </row>
    <row r="8">
      <c r="A8" t="inlineStr">
        <is>
          <t>Construction cost</t>
        </is>
      </c>
      <c r="B8" s="2" t="n">
        <v>200000000</v>
      </c>
    </row>
    <row r="9">
      <c r="A9" t="inlineStr">
        <is>
          <t>Stabilised ADR</t>
        </is>
      </c>
      <c r="B9" t="n">
        <v>780</v>
      </c>
    </row>
    <row r="10">
      <c r="A10" t="inlineStr">
        <is>
          <t>Number of villas</t>
        </is>
      </c>
      <c r="B10" t="n">
        <v>85</v>
      </c>
    </row>
    <row r="11">
      <c r="A11" t="inlineStr">
        <is>
          <t>Exit yield</t>
        </is>
      </c>
      <c r="B11" s="1" t="n">
        <v>0.075</v>
      </c>
    </row>
    <row r="12">
      <c r="A12" t="inlineStr">
        <is>
          <t>Rent growth (a year)</t>
        </is>
      </c>
      <c r="B12" s="1" t="n">
        <v>0.03</v>
      </c>
    </row>
    <row r="13">
      <c r="A13" t="inlineStr">
        <is>
          <t>Site area (sqm)</t>
        </is>
      </c>
      <c r="B13" t="n">
        <v>6500</v>
      </c>
    </row>
    <row r="14">
      <c r="A14" t="inlineStr">
        <is>
          <t>Exit EBITDA multiple</t>
        </is>
      </c>
      <c r="B14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</t>
        </is>
      </c>
    </row>
    <row r="3">
      <c r="A3" t="inlineStr">
        <is>
          <t>Total cost (all money rows, in units)</t>
        </is>
      </c>
      <c r="B3">
        <f>TrapSqm!B9*1000+TrapSqm!B10*1+TrapSqm!B11*1+TrapSqm2!B10*1+TrapSqm2!B11*1+TrapSqm2!B12*1000000+TrapMonths!B3*1000+TrapMonths!B8*1+TrapMonths!B10*1+TrapPark!B5*1000000+TrapPark!B6*1+TrapPark!B8*1</f>
        <v/>
      </c>
    </row>
    <row r="4">
      <c r="A4" t="inlineStr">
        <is>
          <t>Levered IRR</t>
        </is>
      </c>
      <c r="B4" s="1">
        <f>0.1+B3*0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2026-10-24T17:50:50Z</dcterms:created>
  <dcterms:modified xsi:type="dcterms:W3CDTF">2026-10-24T17:50:50Z</dcterms:modified>
</cp:coreProperties>
</file>