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Inputs" sheetId="2" state="visible" r:id="rId4"/>
    <sheet name="Underwrit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<sst xmlns="http://schemas.openxmlformats.org/spreadsheetml/2006/main" count="41" uniqueCount="37">
  <si>
    <t xml:space="preserve">KEY RETURN METRICS</t>
  </si>
  <si>
    <t xml:space="preserve">PARTNERSHIP RETURNS</t>
  </si>
  <si>
    <t xml:space="preserve">ROI</t>
  </si>
  <si>
    <t xml:space="preserve">EMx </t>
  </si>
  <si>
    <t xml:space="preserve">IRR</t>
  </si>
  <si>
    <t xml:space="preserve">[Limited Partner Name]</t>
  </si>
  <si>
    <t xml:space="preserve">[General Partner Name]</t>
  </si>
  <si>
    <t xml:space="preserve">PROPERTY RETURNS</t>
  </si>
  <si>
    <t xml:space="preserve">Unlevered</t>
  </si>
  <si>
    <t xml:space="preserve">Levered</t>
  </si>
  <si>
    <t xml:space="preserve">Net Profit</t>
  </si>
  <si>
    <t xml:space="preserve">Total Uses</t>
  </si>
  <si>
    <t xml:space="preserve">HARBOUR VIEW RETAIL (USD)</t>
  </si>
  <si>
    <t xml:space="preserve">Land</t>
  </si>
  <si>
    <t xml:space="preserve">Hard costs (total)</t>
  </si>
  <si>
    <t xml:space="preserve">Construction months</t>
  </si>
  <si>
    <t xml:space="preserve">Stabilised NOI (a year)</t>
  </si>
  <si>
    <t xml:space="preserve">Exit cap rate</t>
  </si>
  <si>
    <t xml:space="preserve">Hold (months after completion)</t>
  </si>
  <si>
    <t xml:space="preserve">Loan to cost</t>
  </si>
  <si>
    <t xml:space="preserve">Interest rate (a year)</t>
  </si>
  <si>
    <t xml:space="preserve">LP share of equity</t>
  </si>
  <si>
    <t xml:space="preserve">Preferred return</t>
  </si>
  <si>
    <t xml:space="preserve">GP promote above the pref</t>
  </si>
  <si>
    <t xml:space="preserve">Month</t>
  </si>
  <si>
    <t xml:space="preserve">Month ending</t>
  </si>
  <si>
    <t xml:space="preserve">Hard costs</t>
  </si>
  <si>
    <t xml:space="preserve">NOI</t>
  </si>
  <si>
    <t xml:space="preserve">Sale proceeds</t>
  </si>
  <si>
    <t xml:space="preserve">Unlevered cash flow</t>
  </si>
  <si>
    <t xml:space="preserve">Loan draw</t>
  </si>
  <si>
    <t xml:space="preserve">Interest</t>
  </si>
  <si>
    <t xml:space="preserve">Loan repayment</t>
  </si>
  <si>
    <t xml:space="preserve">Levered cash flow</t>
  </si>
  <si>
    <t xml:space="preserve">Loan balance</t>
  </si>
  <si>
    <t xml:space="preserve">LP share of levered cash flow</t>
  </si>
  <si>
    <t xml:space="preserve">GP share of levered cash flow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</si>
</sst>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.00\x"/>
    <numFmt numFmtId="167" formatCode="mmm\-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0</v>
      </c>
    </row>
    <row r="20" customFormat="false" ht="15" hidden="false" customHeight="false" outlineLevel="0" collapsed="false">
      <c r="N20" s="0" t="s">
        <v>1</v>
      </c>
      <c r="Q20" s="0" t="s">
        <v>2</v>
      </c>
      <c r="R20" s="0" t="s">
        <v>3</v>
      </c>
      <c r="S20" s="0" t="s">
        <v>4</v>
      </c>
    </row>
    <row r="21" customFormat="false" ht="15" hidden="false" customHeight="false" outlineLevel="0" collapsed="false">
      <c r="N21" s="0" t="s">
        <v>5</v>
      </c>
      <c r="Q21" s="1" t="n">
        <f aca="false">SUM(Underwriting!$B$17:$AS$17)/-SUMIF(Underwriting!$B$17:$AS$17,"&lt;0")</f>
        <v>2.40136783473172</v>
      </c>
      <c r="R21" s="2" t="n">
        <f aca="false">Q21+1</f>
        <v>3.40136783473172</v>
      </c>
      <c r="S21" s="1" t="n">
        <f aca="false">XIRR(Underwriting!$B$17:$AS$17,Underwriting!$B$4:$AS$4)</f>
        <v>0.548986403918005</v>
      </c>
    </row>
    <row r="22" customFormat="false" ht="15" hidden="false" customHeight="false" outlineLevel="0" collapsed="false">
      <c r="N22" s="0" t="s">
        <v>6</v>
      </c>
      <c r="Q22" s="1" t="n">
        <f aca="false">SUM(Underwriting!$B$18:$AS$18)/-SUMIF(Underwriting!$B$18:$AS$18,"&lt;0")</f>
        <v>8.40478742156103</v>
      </c>
      <c r="R22" s="2" t="n">
        <f aca="false">Q22+1</f>
        <v>9.40478742156103</v>
      </c>
      <c r="S22" s="1" t="n">
        <f aca="false">XIRR(Underwriting!$B$18:$AS$18,Underwriting!$B$4:$AS$4)</f>
        <v>1.14799573282146</v>
      </c>
    </row>
    <row r="24" customFormat="false" ht="15" hidden="false" customHeight="false" outlineLevel="0" collapsed="false">
      <c r="N24" s="0" t="s">
        <v>7</v>
      </c>
      <c r="Q24" s="0" t="s">
        <v>2</v>
      </c>
      <c r="R24" s="0" t="s">
        <v>3</v>
      </c>
      <c r="S24" s="0" t="s">
        <v>4</v>
      </c>
    </row>
    <row r="25" customFormat="false" ht="15" hidden="false" customHeight="false" outlineLevel="0" collapsed="false">
      <c r="N25" s="0" t="s">
        <v>8</v>
      </c>
      <c r="Q25" s="1" t="n">
        <f aca="false">SUM(Underwriting!$B$10:$AS$10)/-SUMIF(Underwriting!$B$10:$AS$10,"&lt;0")</f>
        <v>1.43384615384615</v>
      </c>
      <c r="R25" s="2" t="n">
        <f aca="false">Q25+1</f>
        <v>2.43384615384615</v>
      </c>
      <c r="S25" s="1" t="n">
        <f aca="false">XIRR(Underwriting!$B$10:$AS$10,Underwriting!$B$4:$AS$4)</f>
        <v>0.367003996051616</v>
      </c>
    </row>
    <row r="26" customFormat="false" ht="15" hidden="false" customHeight="false" outlineLevel="0" collapsed="false">
      <c r="N26" s="0" t="s">
        <v>9</v>
      </c>
      <c r="Q26" s="1" t="n">
        <f aca="false">SUM(Underwriting!$B$14:$AS$14)/-SUMIF(Underwriting!$B$14:$AS$14,"&lt;0")</f>
        <v>3.00170979341465</v>
      </c>
      <c r="R26" s="2" t="n">
        <f aca="false">Q26+1</f>
        <v>4.00170979341465</v>
      </c>
      <c r="S26" s="1" t="n">
        <f aca="false">XIRR(Underwriting!$B$14:$AS$14,Underwriting!$B$4:$AS$4)</f>
        <v>0.633879780076321</v>
      </c>
    </row>
    <row r="30" customFormat="false" ht="15" hidden="false" customHeight="false" outlineLevel="0" collapsed="false">
      <c r="B30" s="0" t="s">
        <v>10</v>
      </c>
      <c r="C30" s="0" t="n">
        <f aca="false">SUM(Underwriting!$B$14:$AS$14)</f>
        <v>19649192.3076923</v>
      </c>
    </row>
    <row r="31" customFormat="false" ht="15" hidden="false" customHeight="false" outlineLevel="0" collapsed="false">
      <c r="B31" s="0" t="s">
        <v>11</v>
      </c>
      <c r="C31" s="0" t="n">
        <f aca="false">-SUM(Underwriting!$B$6:$AS$6,Underwriting!$B$7:$AS$7)</f>
        <v>15000000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12</v>
      </c>
    </row>
    <row r="2" customFormat="false" ht="15" hidden="false" customHeight="false" outlineLevel="0" collapsed="false">
      <c r="A2" s="0" t="s">
        <v>13</v>
      </c>
      <c r="B2" s="0" t="n">
        <v>3000000</v>
      </c>
    </row>
    <row r="3" customFormat="false" ht="15" hidden="false" customHeight="false" outlineLevel="0" collapsed="false">
      <c r="A3" s="0" t="s">
        <v>14</v>
      </c>
      <c r="B3" s="0" t="n">
        <v>12000000</v>
      </c>
    </row>
    <row r="4" customFormat="false" ht="15" hidden="false" customHeight="false" outlineLevel="0" collapsed="false">
      <c r="A4" s="0" t="s">
        <v>15</v>
      </c>
      <c r="B4" s="0" t="n">
        <v>18</v>
      </c>
    </row>
    <row r="5" customFormat="false" ht="15" hidden="false" customHeight="false" outlineLevel="0" collapsed="false">
      <c r="A5" s="0" t="s">
        <v>16</v>
      </c>
      <c r="B5" s="0" t="n">
        <v>2100000</v>
      </c>
    </row>
    <row r="6" customFormat="false" ht="15" hidden="false" customHeight="false" outlineLevel="0" collapsed="false">
      <c r="A6" s="0" t="s">
        <v>17</v>
      </c>
      <c r="B6" s="1" t="n">
        <v>0.065</v>
      </c>
    </row>
    <row r="7" customFormat="false" ht="15" hidden="false" customHeight="false" outlineLevel="0" collapsed="false">
      <c r="A7" s="0" t="s">
        <v>18</v>
      </c>
      <c r="B7" s="0" t="n">
        <v>24</v>
      </c>
    </row>
    <row r="8" customFormat="false" ht="15" hidden="false" customHeight="false" outlineLevel="0" collapsed="false">
      <c r="A8" s="0" t="s">
        <v>19</v>
      </c>
      <c r="B8" s="1" t="n">
        <v>0.6</v>
      </c>
    </row>
    <row r="9" customFormat="false" ht="15" hidden="false" customHeight="false" outlineLevel="0" collapsed="false">
      <c r="A9" s="0" t="s">
        <v>20</v>
      </c>
      <c r="B9" s="1" t="n">
        <v>0.07</v>
      </c>
    </row>
    <row r="10" customFormat="false" ht="15" hidden="false" customHeight="false" outlineLevel="0" collapsed="false">
      <c r="A10" s="0" t="s">
        <v>21</v>
      </c>
      <c r="B10" s="1" t="n">
        <v>0.9</v>
      </c>
    </row>
    <row r="11" customFormat="false" ht="15" hidden="false" customHeight="false" outlineLevel="0" collapsed="false">
      <c r="A11" s="0" t="s">
        <v>22</v>
      </c>
      <c r="B11" s="1" t="n">
        <v>0.08</v>
      </c>
    </row>
    <row r="12" customFormat="false" ht="15" hidden="false" customHeight="false" outlineLevel="0" collapsed="false">
      <c r="A12" s="0" t="s">
        <v>23</v>
      </c>
      <c r="B12" s="1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S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24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  <c r="AE3" s="0" t="n">
        <v>29</v>
      </c>
      <c r="AF3" s="0" t="n">
        <v>30</v>
      </c>
      <c r="AG3" s="0" t="n">
        <v>31</v>
      </c>
      <c r="AH3" s="0" t="n">
        <v>32</v>
      </c>
      <c r="AI3" s="0" t="n">
        <v>33</v>
      </c>
      <c r="AJ3" s="0" t="n">
        <v>34</v>
      </c>
      <c r="AK3" s="0" t="n">
        <v>35</v>
      </c>
      <c r="AL3" s="0" t="n">
        <v>36</v>
      </c>
      <c r="AM3" s="0" t="n">
        <v>37</v>
      </c>
      <c r="AN3" s="0" t="n">
        <v>38</v>
      </c>
      <c r="AO3" s="0" t="n">
        <v>39</v>
      </c>
      <c r="AP3" s="0" t="n">
        <v>40</v>
      </c>
      <c r="AQ3" s="0" t="n">
        <v>41</v>
      </c>
      <c r="AR3" s="0" t="n">
        <v>42</v>
      </c>
      <c r="AS3" s="0" t="n">
        <v>43</v>
      </c>
    </row>
    <row r="4" customFormat="false" ht="15" hidden="false" customHeight="false" outlineLevel="0" collapsed="false">
      <c r="A4" s="0" t="s">
        <v>25</v>
      </c>
      <c r="B4" s="3" t="n">
        <v>46053</v>
      </c>
      <c r="C4" s="3" t="n">
        <v>46081</v>
      </c>
      <c r="D4" s="3" t="n">
        <v>46112</v>
      </c>
      <c r="E4" s="3" t="n">
        <v>46142</v>
      </c>
      <c r="F4" s="3" t="n">
        <v>46173</v>
      </c>
      <c r="G4" s="3" t="n">
        <v>46203</v>
      </c>
      <c r="H4" s="3" t="n">
        <v>46234</v>
      </c>
      <c r="I4" s="3" t="n">
        <v>46265</v>
      </c>
      <c r="J4" s="3" t="n">
        <v>46295</v>
      </c>
      <c r="K4" s="3" t="n">
        <v>46326</v>
      </c>
      <c r="L4" s="3" t="n">
        <v>46356</v>
      </c>
      <c r="M4" s="3" t="n">
        <v>46387</v>
      </c>
      <c r="N4" s="3" t="n">
        <v>46418</v>
      </c>
      <c r="O4" s="3" t="n">
        <v>46446</v>
      </c>
      <c r="P4" s="3" t="n">
        <v>46477</v>
      </c>
      <c r="Q4" s="3" t="n">
        <v>46507</v>
      </c>
      <c r="R4" s="3" t="n">
        <v>46538</v>
      </c>
      <c r="S4" s="3" t="n">
        <v>46568</v>
      </c>
      <c r="T4" s="3" t="n">
        <v>46599</v>
      </c>
      <c r="U4" s="3" t="n">
        <v>46630</v>
      </c>
      <c r="V4" s="3" t="n">
        <v>46660</v>
      </c>
      <c r="W4" s="3" t="n">
        <v>46691</v>
      </c>
      <c r="X4" s="3" t="n">
        <v>46721</v>
      </c>
      <c r="Y4" s="3" t="n">
        <v>46752</v>
      </c>
      <c r="Z4" s="3" t="n">
        <v>46783</v>
      </c>
      <c r="AA4" s="3" t="n">
        <v>46812</v>
      </c>
      <c r="AB4" s="3" t="n">
        <v>46843</v>
      </c>
      <c r="AC4" s="3" t="n">
        <v>46873</v>
      </c>
      <c r="AD4" s="3" t="n">
        <v>46904</v>
      </c>
      <c r="AE4" s="3" t="n">
        <v>46934</v>
      </c>
      <c r="AF4" s="3" t="n">
        <v>46965</v>
      </c>
      <c r="AG4" s="3" t="n">
        <v>46996</v>
      </c>
      <c r="AH4" s="3" t="n">
        <v>47026</v>
      </c>
      <c r="AI4" s="3" t="n">
        <v>47057</v>
      </c>
      <c r="AJ4" s="3" t="n">
        <v>47087</v>
      </c>
      <c r="AK4" s="3" t="n">
        <v>47118</v>
      </c>
      <c r="AL4" s="3" t="n">
        <v>47149</v>
      </c>
      <c r="AM4" s="3" t="n">
        <v>47177</v>
      </c>
      <c r="AN4" s="3" t="n">
        <v>47208</v>
      </c>
      <c r="AO4" s="3" t="n">
        <v>47238</v>
      </c>
      <c r="AP4" s="3" t="n">
        <v>47269</v>
      </c>
      <c r="AQ4" s="3" t="n">
        <v>47299</v>
      </c>
      <c r="AR4" s="3" t="n">
        <v>47330</v>
      </c>
      <c r="AS4" s="3" t="n">
        <v>47361</v>
      </c>
    </row>
    <row r="6" customFormat="false" ht="15" hidden="false" customHeight="false" outlineLevel="0" collapsed="false">
      <c r="A6" s="0" t="s">
        <v>13</v>
      </c>
      <c r="B6" s="0" t="n">
        <f aca="false">IF(B$3=0,-Inputs!$B$2,0)</f>
        <v>-3000000</v>
      </c>
      <c r="C6" s="0" t="n">
        <f aca="false">IF(C$3=0,-Inputs!$B$2,0)</f>
        <v>0</v>
      </c>
      <c r="D6" s="0" t="n">
        <f aca="false">IF(D$3=0,-Inputs!$B$2,0)</f>
        <v>0</v>
      </c>
      <c r="E6" s="0" t="n">
        <f aca="false">IF(E$3=0,-Inputs!$B$2,0)</f>
        <v>0</v>
      </c>
      <c r="F6" s="0" t="n">
        <f aca="false">IF(F$3=0,-Inputs!$B$2,0)</f>
        <v>0</v>
      </c>
      <c r="G6" s="0" t="n">
        <f aca="false">IF(G$3=0,-Inputs!$B$2,0)</f>
        <v>0</v>
      </c>
      <c r="H6" s="0" t="n">
        <f aca="false">IF(H$3=0,-Inputs!$B$2,0)</f>
        <v>0</v>
      </c>
      <c r="I6" s="0" t="n">
        <f aca="false">IF(I$3=0,-Inputs!$B$2,0)</f>
        <v>0</v>
      </c>
      <c r="J6" s="0" t="n">
        <f aca="false">IF(J$3=0,-Inputs!$B$2,0)</f>
        <v>0</v>
      </c>
      <c r="K6" s="0" t="n">
        <f aca="false">IF(K$3=0,-Inputs!$B$2,0)</f>
        <v>0</v>
      </c>
      <c r="L6" s="0" t="n">
        <f aca="false">IF(L$3=0,-Inputs!$B$2,0)</f>
        <v>0</v>
      </c>
      <c r="M6" s="0" t="n">
        <f aca="false">IF(M$3=0,-Inputs!$B$2,0)</f>
        <v>0</v>
      </c>
      <c r="N6" s="0" t="n">
        <f aca="false">IF(N$3=0,-Inputs!$B$2,0)</f>
        <v>0</v>
      </c>
      <c r="O6" s="0" t="n">
        <f aca="false">IF(O$3=0,-Inputs!$B$2,0)</f>
        <v>0</v>
      </c>
      <c r="P6" s="0" t="n">
        <f aca="false">IF(P$3=0,-Inputs!$B$2,0)</f>
        <v>0</v>
      </c>
      <c r="Q6" s="0" t="n">
        <f aca="false">IF(Q$3=0,-Inputs!$B$2,0)</f>
        <v>0</v>
      </c>
      <c r="R6" s="0" t="n">
        <f aca="false">IF(R$3=0,-Inputs!$B$2,0)</f>
        <v>0</v>
      </c>
      <c r="S6" s="0" t="n">
        <f aca="false">IF(S$3=0,-Inputs!$B$2,0)</f>
        <v>0</v>
      </c>
      <c r="T6" s="0" t="n">
        <f aca="false">IF(T$3=0,-Inputs!$B$2,0)</f>
        <v>0</v>
      </c>
      <c r="U6" s="0" t="n">
        <f aca="false">IF(U$3=0,-Inputs!$B$2,0)</f>
        <v>0</v>
      </c>
      <c r="V6" s="0" t="n">
        <f aca="false">IF(V$3=0,-Inputs!$B$2,0)</f>
        <v>0</v>
      </c>
      <c r="W6" s="0" t="n">
        <f aca="false">IF(W$3=0,-Inputs!$B$2,0)</f>
        <v>0</v>
      </c>
      <c r="X6" s="0" t="n">
        <f aca="false">IF(X$3=0,-Inputs!$B$2,0)</f>
        <v>0</v>
      </c>
      <c r="Y6" s="0" t="n">
        <f aca="false">IF(Y$3=0,-Inputs!$B$2,0)</f>
        <v>0</v>
      </c>
      <c r="Z6" s="0" t="n">
        <f aca="false">IF(Z$3=0,-Inputs!$B$2,0)</f>
        <v>0</v>
      </c>
      <c r="AA6" s="0" t="n">
        <f aca="false">IF(AA$3=0,-Inputs!$B$2,0)</f>
        <v>0</v>
      </c>
      <c r="AB6" s="0" t="n">
        <f aca="false">IF(AB$3=0,-Inputs!$B$2,0)</f>
        <v>0</v>
      </c>
      <c r="AC6" s="0" t="n">
        <f aca="false">IF(AC$3=0,-Inputs!$B$2,0)</f>
        <v>0</v>
      </c>
      <c r="AD6" s="0" t="n">
        <f aca="false">IF(AD$3=0,-Inputs!$B$2,0)</f>
        <v>0</v>
      </c>
      <c r="AE6" s="0" t="n">
        <f aca="false">IF(AE$3=0,-Inputs!$B$2,0)</f>
        <v>0</v>
      </c>
      <c r="AF6" s="0" t="n">
        <f aca="false">IF(AF$3=0,-Inputs!$B$2,0)</f>
        <v>0</v>
      </c>
      <c r="AG6" s="0" t="n">
        <f aca="false">IF(AG$3=0,-Inputs!$B$2,0)</f>
        <v>0</v>
      </c>
      <c r="AH6" s="0" t="n">
        <f aca="false">IF(AH$3=0,-Inputs!$B$2,0)</f>
        <v>0</v>
      </c>
      <c r="AI6" s="0" t="n">
        <f aca="false">IF(AI$3=0,-Inputs!$B$2,0)</f>
        <v>0</v>
      </c>
      <c r="AJ6" s="0" t="n">
        <f aca="false">IF(AJ$3=0,-Inputs!$B$2,0)</f>
        <v>0</v>
      </c>
      <c r="AK6" s="0" t="n">
        <f aca="false">IF(AK$3=0,-Inputs!$B$2,0)</f>
        <v>0</v>
      </c>
      <c r="AL6" s="0" t="n">
        <f aca="false">IF(AL$3=0,-Inputs!$B$2,0)</f>
        <v>0</v>
      </c>
      <c r="AM6" s="0" t="n">
        <f aca="false">IF(AM$3=0,-Inputs!$B$2,0)</f>
        <v>0</v>
      </c>
      <c r="AN6" s="0" t="n">
        <f aca="false">IF(AN$3=0,-Inputs!$B$2,0)</f>
        <v>0</v>
      </c>
      <c r="AO6" s="0" t="n">
        <f aca="false">IF(AO$3=0,-Inputs!$B$2,0)</f>
        <v>0</v>
      </c>
      <c r="AP6" s="0" t="n">
        <f aca="false">IF(AP$3=0,-Inputs!$B$2,0)</f>
        <v>0</v>
      </c>
      <c r="AQ6" s="0" t="n">
        <f aca="false">IF(AQ$3=0,-Inputs!$B$2,0)</f>
        <v>0</v>
      </c>
      <c r="AR6" s="0" t="n">
        <f aca="false">IF(AR$3=0,-Inputs!$B$2,0)</f>
        <v>0</v>
      </c>
      <c r="AS6" s="0" t="n">
        <f aca="false">IF(AS$3=0,-Inputs!$B$2,0)</f>
        <v>0</v>
      </c>
    </row>
    <row r="7" customFormat="false" ht="15" hidden="false" customHeight="false" outlineLevel="0" collapsed="false">
      <c r="A7" s="0" t="s">
        <v>26</v>
      </c>
      <c r="B7" s="0" t="n">
        <f aca="false">IF(AND(B$3&gt;=1,B$3&lt;=Inputs!$B$4),-Inputs!$B$3/Inputs!$B$4,0)</f>
        <v>0</v>
      </c>
      <c r="C7" s="0" t="n">
        <f aca="false">IF(AND(C$3&gt;=1,C$3&lt;=Inputs!$B$4),-Inputs!$B$3/Inputs!$B$4,0)</f>
        <v>-666666.666666667</v>
      </c>
      <c r="D7" s="0" t="n">
        <f aca="false">IF(AND(D$3&gt;=1,D$3&lt;=Inputs!$B$4),-Inputs!$B$3/Inputs!$B$4,0)</f>
        <v>-666666.666666667</v>
      </c>
      <c r="E7" s="0" t="n">
        <f aca="false">IF(AND(E$3&gt;=1,E$3&lt;=Inputs!$B$4),-Inputs!$B$3/Inputs!$B$4,0)</f>
        <v>-666666.666666667</v>
      </c>
      <c r="F7" s="0" t="n">
        <f aca="false">IF(AND(F$3&gt;=1,F$3&lt;=Inputs!$B$4),-Inputs!$B$3/Inputs!$B$4,0)</f>
        <v>-666666.666666667</v>
      </c>
      <c r="G7" s="0" t="n">
        <f aca="false">IF(AND(G$3&gt;=1,G$3&lt;=Inputs!$B$4),-Inputs!$B$3/Inputs!$B$4,0)</f>
        <v>-666666.666666667</v>
      </c>
      <c r="H7" s="0" t="n">
        <f aca="false">IF(AND(H$3&gt;=1,H$3&lt;=Inputs!$B$4),-Inputs!$B$3/Inputs!$B$4,0)</f>
        <v>-666666.666666667</v>
      </c>
      <c r="I7" s="0" t="n">
        <f aca="false">IF(AND(I$3&gt;=1,I$3&lt;=Inputs!$B$4),-Inputs!$B$3/Inputs!$B$4,0)</f>
        <v>-666666.666666667</v>
      </c>
      <c r="J7" s="0" t="n">
        <f aca="false">IF(AND(J$3&gt;=1,J$3&lt;=Inputs!$B$4),-Inputs!$B$3/Inputs!$B$4,0)</f>
        <v>-666666.666666667</v>
      </c>
      <c r="K7" s="0" t="n">
        <f aca="false">IF(AND(K$3&gt;=1,K$3&lt;=Inputs!$B$4),-Inputs!$B$3/Inputs!$B$4,0)</f>
        <v>-666666.666666667</v>
      </c>
      <c r="L7" s="0" t="n">
        <f aca="false">IF(AND(L$3&gt;=1,L$3&lt;=Inputs!$B$4),-Inputs!$B$3/Inputs!$B$4,0)</f>
        <v>-666666.666666667</v>
      </c>
      <c r="M7" s="0" t="n">
        <f aca="false">IF(AND(M$3&gt;=1,M$3&lt;=Inputs!$B$4),-Inputs!$B$3/Inputs!$B$4,0)</f>
        <v>-666666.666666667</v>
      </c>
      <c r="N7" s="0" t="n">
        <f aca="false">IF(AND(N$3&gt;=1,N$3&lt;=Inputs!$B$4),-Inputs!$B$3/Inputs!$B$4,0)</f>
        <v>-666666.666666667</v>
      </c>
      <c r="O7" s="0" t="n">
        <f aca="false">IF(AND(O$3&gt;=1,O$3&lt;=Inputs!$B$4),-Inputs!$B$3/Inputs!$B$4,0)</f>
        <v>-666666.666666667</v>
      </c>
      <c r="P7" s="0" t="n">
        <f aca="false">IF(AND(P$3&gt;=1,P$3&lt;=Inputs!$B$4),-Inputs!$B$3/Inputs!$B$4,0)</f>
        <v>-666666.666666667</v>
      </c>
      <c r="Q7" s="0" t="n">
        <f aca="false">IF(AND(Q$3&gt;=1,Q$3&lt;=Inputs!$B$4),-Inputs!$B$3/Inputs!$B$4,0)</f>
        <v>-666666.666666667</v>
      </c>
      <c r="R7" s="0" t="n">
        <f aca="false">IF(AND(R$3&gt;=1,R$3&lt;=Inputs!$B$4),-Inputs!$B$3/Inputs!$B$4,0)</f>
        <v>-666666.666666667</v>
      </c>
      <c r="S7" s="0" t="n">
        <f aca="false">IF(AND(S$3&gt;=1,S$3&lt;=Inputs!$B$4),-Inputs!$B$3/Inputs!$B$4,0)</f>
        <v>-666666.666666667</v>
      </c>
      <c r="T7" s="0" t="n">
        <f aca="false">IF(AND(T$3&gt;=1,T$3&lt;=Inputs!$B$4),-Inputs!$B$3/Inputs!$B$4,0)</f>
        <v>-666666.666666667</v>
      </c>
      <c r="U7" s="0" t="n">
        <f aca="false">IF(AND(U$3&gt;=1,U$3&lt;=Inputs!$B$4),-Inputs!$B$3/Inputs!$B$4,0)</f>
        <v>0</v>
      </c>
      <c r="V7" s="0" t="n">
        <f aca="false">IF(AND(V$3&gt;=1,V$3&lt;=Inputs!$B$4),-Inputs!$B$3/Inputs!$B$4,0)</f>
        <v>0</v>
      </c>
      <c r="W7" s="0" t="n">
        <f aca="false">IF(AND(W$3&gt;=1,W$3&lt;=Inputs!$B$4),-Inputs!$B$3/Inputs!$B$4,0)</f>
        <v>0</v>
      </c>
      <c r="X7" s="0" t="n">
        <f aca="false">IF(AND(X$3&gt;=1,X$3&lt;=Inputs!$B$4),-Inputs!$B$3/Inputs!$B$4,0)</f>
        <v>0</v>
      </c>
      <c r="Y7" s="0" t="n">
        <f aca="false">IF(AND(Y$3&gt;=1,Y$3&lt;=Inputs!$B$4),-Inputs!$B$3/Inputs!$B$4,0)</f>
        <v>0</v>
      </c>
      <c r="Z7" s="0" t="n">
        <f aca="false">IF(AND(Z$3&gt;=1,Z$3&lt;=Inputs!$B$4),-Inputs!$B$3/Inputs!$B$4,0)</f>
        <v>0</v>
      </c>
      <c r="AA7" s="0" t="n">
        <f aca="false">IF(AND(AA$3&gt;=1,AA$3&lt;=Inputs!$B$4),-Inputs!$B$3/Inputs!$B$4,0)</f>
        <v>0</v>
      </c>
      <c r="AB7" s="0" t="n">
        <f aca="false">IF(AND(AB$3&gt;=1,AB$3&lt;=Inputs!$B$4),-Inputs!$B$3/Inputs!$B$4,0)</f>
        <v>0</v>
      </c>
      <c r="AC7" s="0" t="n">
        <f aca="false">IF(AND(AC$3&gt;=1,AC$3&lt;=Inputs!$B$4),-Inputs!$B$3/Inputs!$B$4,0)</f>
        <v>0</v>
      </c>
      <c r="AD7" s="0" t="n">
        <f aca="false">IF(AND(AD$3&gt;=1,AD$3&lt;=Inputs!$B$4),-Inputs!$B$3/Inputs!$B$4,0)</f>
        <v>0</v>
      </c>
      <c r="AE7" s="0" t="n">
        <f aca="false">IF(AND(AE$3&gt;=1,AE$3&lt;=Inputs!$B$4),-Inputs!$B$3/Inputs!$B$4,0)</f>
        <v>0</v>
      </c>
      <c r="AF7" s="0" t="n">
        <f aca="false">IF(AND(AF$3&gt;=1,AF$3&lt;=Inputs!$B$4),-Inputs!$B$3/Inputs!$B$4,0)</f>
        <v>0</v>
      </c>
      <c r="AG7" s="0" t="n">
        <f aca="false">IF(AND(AG$3&gt;=1,AG$3&lt;=Inputs!$B$4),-Inputs!$B$3/Inputs!$B$4,0)</f>
        <v>0</v>
      </c>
      <c r="AH7" s="0" t="n">
        <f aca="false">IF(AND(AH$3&gt;=1,AH$3&lt;=Inputs!$B$4),-Inputs!$B$3/Inputs!$B$4,0)</f>
        <v>0</v>
      </c>
      <c r="AI7" s="0" t="n">
        <f aca="false">IF(AND(AI$3&gt;=1,AI$3&lt;=Inputs!$B$4),-Inputs!$B$3/Inputs!$B$4,0)</f>
        <v>0</v>
      </c>
      <c r="AJ7" s="0" t="n">
        <f aca="false">IF(AND(AJ$3&gt;=1,AJ$3&lt;=Inputs!$B$4),-Inputs!$B$3/Inputs!$B$4,0)</f>
        <v>0</v>
      </c>
      <c r="AK7" s="0" t="n">
        <f aca="false">IF(AND(AK$3&gt;=1,AK$3&lt;=Inputs!$B$4),-Inputs!$B$3/Inputs!$B$4,0)</f>
        <v>0</v>
      </c>
      <c r="AL7" s="0" t="n">
        <f aca="false">IF(AND(AL$3&gt;=1,AL$3&lt;=Inputs!$B$4),-Inputs!$B$3/Inputs!$B$4,0)</f>
        <v>0</v>
      </c>
      <c r="AM7" s="0" t="n">
        <f aca="false">IF(AND(AM$3&gt;=1,AM$3&lt;=Inputs!$B$4),-Inputs!$B$3/Inputs!$B$4,0)</f>
        <v>0</v>
      </c>
      <c r="AN7" s="0" t="n">
        <f aca="false">IF(AND(AN$3&gt;=1,AN$3&lt;=Inputs!$B$4),-Inputs!$B$3/Inputs!$B$4,0)</f>
        <v>0</v>
      </c>
      <c r="AO7" s="0" t="n">
        <f aca="false">IF(AND(AO$3&gt;=1,AO$3&lt;=Inputs!$B$4),-Inputs!$B$3/Inputs!$B$4,0)</f>
        <v>0</v>
      </c>
      <c r="AP7" s="0" t="n">
        <f aca="false">IF(AND(AP$3&gt;=1,AP$3&lt;=Inputs!$B$4),-Inputs!$B$3/Inputs!$B$4,0)</f>
        <v>0</v>
      </c>
      <c r="AQ7" s="0" t="n">
        <f aca="false">IF(AND(AQ$3&gt;=1,AQ$3&lt;=Inputs!$B$4),-Inputs!$B$3/Inputs!$B$4,0)</f>
        <v>0</v>
      </c>
      <c r="AR7" s="0" t="n">
        <f aca="false">IF(AND(AR$3&gt;=1,AR$3&lt;=Inputs!$B$4),-Inputs!$B$3/Inputs!$B$4,0)</f>
        <v>0</v>
      </c>
      <c r="AS7" s="0" t="n">
        <f aca="false">IF(AND(AS$3&gt;=1,AS$3&lt;=Inputs!$B$4),-Inputs!$B$3/Inputs!$B$4,0)</f>
        <v>0</v>
      </c>
    </row>
    <row r="8" customFormat="false" ht="15" hidden="false" customHeight="false" outlineLevel="0" collapsed="false">
      <c r="A8" s="0" t="s">
        <v>27</v>
      </c>
      <c r="B8" s="0" t="n">
        <f aca="false">IF(AND(B$3&gt;Inputs!$B$4,B$3&lt;=Inputs!$B$4+Inputs!$B$7),Inputs!$B$5/12,0)</f>
        <v>0</v>
      </c>
      <c r="C8" s="0" t="n">
        <f aca="false">IF(AND(C$3&gt;Inputs!$B$4,C$3&lt;=Inputs!$B$4+Inputs!$B$7),Inputs!$B$5/12,0)</f>
        <v>0</v>
      </c>
      <c r="D8" s="0" t="n">
        <f aca="false">IF(AND(D$3&gt;Inputs!$B$4,D$3&lt;=Inputs!$B$4+Inputs!$B$7),Inputs!$B$5/12,0)</f>
        <v>0</v>
      </c>
      <c r="E8" s="0" t="n">
        <f aca="false">IF(AND(E$3&gt;Inputs!$B$4,E$3&lt;=Inputs!$B$4+Inputs!$B$7),Inputs!$B$5/12,0)</f>
        <v>0</v>
      </c>
      <c r="F8" s="0" t="n">
        <f aca="false">IF(AND(F$3&gt;Inputs!$B$4,F$3&lt;=Inputs!$B$4+Inputs!$B$7),Inputs!$B$5/12,0)</f>
        <v>0</v>
      </c>
      <c r="G8" s="0" t="n">
        <f aca="false">IF(AND(G$3&gt;Inputs!$B$4,G$3&lt;=Inputs!$B$4+Inputs!$B$7),Inputs!$B$5/12,0)</f>
        <v>0</v>
      </c>
      <c r="H8" s="0" t="n">
        <f aca="false">IF(AND(H$3&gt;Inputs!$B$4,H$3&lt;=Inputs!$B$4+Inputs!$B$7),Inputs!$B$5/12,0)</f>
        <v>0</v>
      </c>
      <c r="I8" s="0" t="n">
        <f aca="false">IF(AND(I$3&gt;Inputs!$B$4,I$3&lt;=Inputs!$B$4+Inputs!$B$7),Inputs!$B$5/12,0)</f>
        <v>0</v>
      </c>
      <c r="J8" s="0" t="n">
        <f aca="false">IF(AND(J$3&gt;Inputs!$B$4,J$3&lt;=Inputs!$B$4+Inputs!$B$7),Inputs!$B$5/12,0)</f>
        <v>0</v>
      </c>
      <c r="K8" s="0" t="n">
        <f aca="false">IF(AND(K$3&gt;Inputs!$B$4,K$3&lt;=Inputs!$B$4+Inputs!$B$7),Inputs!$B$5/12,0)</f>
        <v>0</v>
      </c>
      <c r="L8" s="0" t="n">
        <f aca="false">IF(AND(L$3&gt;Inputs!$B$4,L$3&lt;=Inputs!$B$4+Inputs!$B$7),Inputs!$B$5/12,0)</f>
        <v>0</v>
      </c>
      <c r="M8" s="0" t="n">
        <f aca="false">IF(AND(M$3&gt;Inputs!$B$4,M$3&lt;=Inputs!$B$4+Inputs!$B$7),Inputs!$B$5/12,0)</f>
        <v>0</v>
      </c>
      <c r="N8" s="0" t="n">
        <f aca="false">IF(AND(N$3&gt;Inputs!$B$4,N$3&lt;=Inputs!$B$4+Inputs!$B$7),Inputs!$B$5/12,0)</f>
        <v>0</v>
      </c>
      <c r="O8" s="0" t="n">
        <f aca="false">IF(AND(O$3&gt;Inputs!$B$4,O$3&lt;=Inputs!$B$4+Inputs!$B$7),Inputs!$B$5/12,0)</f>
        <v>0</v>
      </c>
      <c r="P8" s="0" t="n">
        <f aca="false">IF(AND(P$3&gt;Inputs!$B$4,P$3&lt;=Inputs!$B$4+Inputs!$B$7),Inputs!$B$5/12,0)</f>
        <v>0</v>
      </c>
      <c r="Q8" s="0" t="n">
        <f aca="false">IF(AND(Q$3&gt;Inputs!$B$4,Q$3&lt;=Inputs!$B$4+Inputs!$B$7),Inputs!$B$5/12,0)</f>
        <v>0</v>
      </c>
      <c r="R8" s="0" t="n">
        <f aca="false">IF(AND(R$3&gt;Inputs!$B$4,R$3&lt;=Inputs!$B$4+Inputs!$B$7),Inputs!$B$5/12,0)</f>
        <v>0</v>
      </c>
      <c r="S8" s="0" t="n">
        <f aca="false">IF(AND(S$3&gt;Inputs!$B$4,S$3&lt;=Inputs!$B$4+Inputs!$B$7),Inputs!$B$5/12,0)</f>
        <v>0</v>
      </c>
      <c r="T8" s="0" t="n">
        <f aca="false">IF(AND(T$3&gt;Inputs!$B$4,T$3&lt;=Inputs!$B$4+Inputs!$B$7),Inputs!$B$5/12,0)</f>
        <v>0</v>
      </c>
      <c r="U8" s="0" t="n">
        <f aca="false">IF(AND(U$3&gt;Inputs!$B$4,U$3&lt;=Inputs!$B$4+Inputs!$B$7),Inputs!$B$5/12,0)</f>
        <v>175000</v>
      </c>
      <c r="V8" s="0" t="n">
        <f aca="false">IF(AND(V$3&gt;Inputs!$B$4,V$3&lt;=Inputs!$B$4+Inputs!$B$7),Inputs!$B$5/12,0)</f>
        <v>175000</v>
      </c>
      <c r="W8" s="0" t="n">
        <f aca="false">IF(AND(W$3&gt;Inputs!$B$4,W$3&lt;=Inputs!$B$4+Inputs!$B$7),Inputs!$B$5/12,0)</f>
        <v>175000</v>
      </c>
      <c r="X8" s="0" t="n">
        <f aca="false">IF(AND(X$3&gt;Inputs!$B$4,X$3&lt;=Inputs!$B$4+Inputs!$B$7),Inputs!$B$5/12,0)</f>
        <v>175000</v>
      </c>
      <c r="Y8" s="0" t="n">
        <f aca="false">IF(AND(Y$3&gt;Inputs!$B$4,Y$3&lt;=Inputs!$B$4+Inputs!$B$7),Inputs!$B$5/12,0)</f>
        <v>175000</v>
      </c>
      <c r="Z8" s="0" t="n">
        <f aca="false">IF(AND(Z$3&gt;Inputs!$B$4,Z$3&lt;=Inputs!$B$4+Inputs!$B$7),Inputs!$B$5/12,0)</f>
        <v>175000</v>
      </c>
      <c r="AA8" s="0" t="n">
        <f aca="false">IF(AND(AA$3&gt;Inputs!$B$4,AA$3&lt;=Inputs!$B$4+Inputs!$B$7),Inputs!$B$5/12,0)</f>
        <v>175000</v>
      </c>
      <c r="AB8" s="0" t="n">
        <f aca="false">IF(AND(AB$3&gt;Inputs!$B$4,AB$3&lt;=Inputs!$B$4+Inputs!$B$7),Inputs!$B$5/12,0)</f>
        <v>175000</v>
      </c>
      <c r="AC8" s="0" t="n">
        <f aca="false">IF(AND(AC$3&gt;Inputs!$B$4,AC$3&lt;=Inputs!$B$4+Inputs!$B$7),Inputs!$B$5/12,0)</f>
        <v>175000</v>
      </c>
      <c r="AD8" s="0" t="n">
        <f aca="false">IF(AND(AD$3&gt;Inputs!$B$4,AD$3&lt;=Inputs!$B$4+Inputs!$B$7),Inputs!$B$5/12,0)</f>
        <v>175000</v>
      </c>
      <c r="AE8" s="0" t="n">
        <f aca="false">IF(AND(AE$3&gt;Inputs!$B$4,AE$3&lt;=Inputs!$B$4+Inputs!$B$7),Inputs!$B$5/12,0)</f>
        <v>175000</v>
      </c>
      <c r="AF8" s="0" t="n">
        <f aca="false">IF(AND(AF$3&gt;Inputs!$B$4,AF$3&lt;=Inputs!$B$4+Inputs!$B$7),Inputs!$B$5/12,0)</f>
        <v>175000</v>
      </c>
      <c r="AG8" s="0" t="n">
        <f aca="false">IF(AND(AG$3&gt;Inputs!$B$4,AG$3&lt;=Inputs!$B$4+Inputs!$B$7),Inputs!$B$5/12,0)</f>
        <v>175000</v>
      </c>
      <c r="AH8" s="0" t="n">
        <f aca="false">IF(AND(AH$3&gt;Inputs!$B$4,AH$3&lt;=Inputs!$B$4+Inputs!$B$7),Inputs!$B$5/12,0)</f>
        <v>175000</v>
      </c>
      <c r="AI8" s="0" t="n">
        <f aca="false">IF(AND(AI$3&gt;Inputs!$B$4,AI$3&lt;=Inputs!$B$4+Inputs!$B$7),Inputs!$B$5/12,0)</f>
        <v>175000</v>
      </c>
      <c r="AJ8" s="0" t="n">
        <f aca="false">IF(AND(AJ$3&gt;Inputs!$B$4,AJ$3&lt;=Inputs!$B$4+Inputs!$B$7),Inputs!$B$5/12,0)</f>
        <v>175000</v>
      </c>
      <c r="AK8" s="0" t="n">
        <f aca="false">IF(AND(AK$3&gt;Inputs!$B$4,AK$3&lt;=Inputs!$B$4+Inputs!$B$7),Inputs!$B$5/12,0)</f>
        <v>175000</v>
      </c>
      <c r="AL8" s="0" t="n">
        <f aca="false">IF(AND(AL$3&gt;Inputs!$B$4,AL$3&lt;=Inputs!$B$4+Inputs!$B$7),Inputs!$B$5/12,0)</f>
        <v>175000</v>
      </c>
      <c r="AM8" s="0" t="n">
        <f aca="false">IF(AND(AM$3&gt;Inputs!$B$4,AM$3&lt;=Inputs!$B$4+Inputs!$B$7),Inputs!$B$5/12,0)</f>
        <v>175000</v>
      </c>
      <c r="AN8" s="0" t="n">
        <f aca="false">IF(AND(AN$3&gt;Inputs!$B$4,AN$3&lt;=Inputs!$B$4+Inputs!$B$7),Inputs!$B$5/12,0)</f>
        <v>175000</v>
      </c>
      <c r="AO8" s="0" t="n">
        <f aca="false">IF(AND(AO$3&gt;Inputs!$B$4,AO$3&lt;=Inputs!$B$4+Inputs!$B$7),Inputs!$B$5/12,0)</f>
        <v>175000</v>
      </c>
      <c r="AP8" s="0" t="n">
        <f aca="false">IF(AND(AP$3&gt;Inputs!$B$4,AP$3&lt;=Inputs!$B$4+Inputs!$B$7),Inputs!$B$5/12,0)</f>
        <v>175000</v>
      </c>
      <c r="AQ8" s="0" t="n">
        <f aca="false">IF(AND(AQ$3&gt;Inputs!$B$4,AQ$3&lt;=Inputs!$B$4+Inputs!$B$7),Inputs!$B$5/12,0)</f>
        <v>175000</v>
      </c>
      <c r="AR8" s="0" t="n">
        <f aca="false">IF(AND(AR$3&gt;Inputs!$B$4,AR$3&lt;=Inputs!$B$4+Inputs!$B$7),Inputs!$B$5/12,0)</f>
        <v>175000</v>
      </c>
      <c r="AS8" s="0" t="n">
        <f aca="false">IF(AND(AS$3&gt;Inputs!$B$4,AS$3&lt;=Inputs!$B$4+Inputs!$B$7),Inputs!$B$5/12,0)</f>
        <v>0</v>
      </c>
    </row>
    <row r="9" customFormat="false" ht="15" hidden="false" customHeight="false" outlineLevel="0" collapsed="false">
      <c r="A9" s="0" t="s">
        <v>28</v>
      </c>
      <c r="B9" s="0" t="n">
        <f aca="false">IF(B$3=Inputs!$B$4+Inputs!$B$7+1,Inputs!$B$5/Inputs!$B$6,0)</f>
        <v>0</v>
      </c>
      <c r="C9" s="0" t="n">
        <f aca="false">IF(C$3=Inputs!$B$4+Inputs!$B$7+1,Inputs!$B$5/Inputs!$B$6,0)</f>
        <v>0</v>
      </c>
      <c r="D9" s="0" t="n">
        <f aca="false">IF(D$3=Inputs!$B$4+Inputs!$B$7+1,Inputs!$B$5/Inputs!$B$6,0)</f>
        <v>0</v>
      </c>
      <c r="E9" s="0" t="n">
        <f aca="false">IF(E$3=Inputs!$B$4+Inputs!$B$7+1,Inputs!$B$5/Inputs!$B$6,0)</f>
        <v>0</v>
      </c>
      <c r="F9" s="0" t="n">
        <f aca="false">IF(F$3=Inputs!$B$4+Inputs!$B$7+1,Inputs!$B$5/Inputs!$B$6,0)</f>
        <v>0</v>
      </c>
      <c r="G9" s="0" t="n">
        <f aca="false">IF(G$3=Inputs!$B$4+Inputs!$B$7+1,Inputs!$B$5/Inputs!$B$6,0)</f>
        <v>0</v>
      </c>
      <c r="H9" s="0" t="n">
        <f aca="false">IF(H$3=Inputs!$B$4+Inputs!$B$7+1,Inputs!$B$5/Inputs!$B$6,0)</f>
        <v>0</v>
      </c>
      <c r="I9" s="0" t="n">
        <f aca="false">IF(I$3=Inputs!$B$4+Inputs!$B$7+1,Inputs!$B$5/Inputs!$B$6,0)</f>
        <v>0</v>
      </c>
      <c r="J9" s="0" t="n">
        <f aca="false">IF(J$3=Inputs!$B$4+Inputs!$B$7+1,Inputs!$B$5/Inputs!$B$6,0)</f>
        <v>0</v>
      </c>
      <c r="K9" s="0" t="n">
        <f aca="false">IF(K$3=Inputs!$B$4+Inputs!$B$7+1,Inputs!$B$5/Inputs!$B$6,0)</f>
        <v>0</v>
      </c>
      <c r="L9" s="0" t="n">
        <f aca="false">IF(L$3=Inputs!$B$4+Inputs!$B$7+1,Inputs!$B$5/Inputs!$B$6,0)</f>
        <v>0</v>
      </c>
      <c r="M9" s="0" t="n">
        <f aca="false">IF(M$3=Inputs!$B$4+Inputs!$B$7+1,Inputs!$B$5/Inputs!$B$6,0)</f>
        <v>0</v>
      </c>
      <c r="N9" s="0" t="n">
        <f aca="false">IF(N$3=Inputs!$B$4+Inputs!$B$7+1,Inputs!$B$5/Inputs!$B$6,0)</f>
        <v>0</v>
      </c>
      <c r="O9" s="0" t="n">
        <f aca="false">IF(O$3=Inputs!$B$4+Inputs!$B$7+1,Inputs!$B$5/Inputs!$B$6,0)</f>
        <v>0</v>
      </c>
      <c r="P9" s="0" t="n">
        <f aca="false">IF(P$3=Inputs!$B$4+Inputs!$B$7+1,Inputs!$B$5/Inputs!$B$6,0)</f>
        <v>0</v>
      </c>
      <c r="Q9" s="0" t="n">
        <f aca="false">IF(Q$3=Inputs!$B$4+Inputs!$B$7+1,Inputs!$B$5/Inputs!$B$6,0)</f>
        <v>0</v>
      </c>
      <c r="R9" s="0" t="n">
        <f aca="false">IF(R$3=Inputs!$B$4+Inputs!$B$7+1,Inputs!$B$5/Inputs!$B$6,0)</f>
        <v>0</v>
      </c>
      <c r="S9" s="0" t="n">
        <f aca="false">IF(S$3=Inputs!$B$4+Inputs!$B$7+1,Inputs!$B$5/Inputs!$B$6,0)</f>
        <v>0</v>
      </c>
      <c r="T9" s="0" t="n">
        <f aca="false">IF(T$3=Inputs!$B$4+Inputs!$B$7+1,Inputs!$B$5/Inputs!$B$6,0)</f>
        <v>0</v>
      </c>
      <c r="U9" s="0" t="n">
        <f aca="false">IF(U$3=Inputs!$B$4+Inputs!$B$7+1,Inputs!$B$5/Inputs!$B$6,0)</f>
        <v>0</v>
      </c>
      <c r="V9" s="0" t="n">
        <f aca="false">IF(V$3=Inputs!$B$4+Inputs!$B$7+1,Inputs!$B$5/Inputs!$B$6,0)</f>
        <v>0</v>
      </c>
      <c r="W9" s="0" t="n">
        <f aca="false">IF(W$3=Inputs!$B$4+Inputs!$B$7+1,Inputs!$B$5/Inputs!$B$6,0)</f>
        <v>0</v>
      </c>
      <c r="X9" s="0" t="n">
        <f aca="false">IF(X$3=Inputs!$B$4+Inputs!$B$7+1,Inputs!$B$5/Inputs!$B$6,0)</f>
        <v>0</v>
      </c>
      <c r="Y9" s="0" t="n">
        <f aca="false">IF(Y$3=Inputs!$B$4+Inputs!$B$7+1,Inputs!$B$5/Inputs!$B$6,0)</f>
        <v>0</v>
      </c>
      <c r="Z9" s="0" t="n">
        <f aca="false">IF(Z$3=Inputs!$B$4+Inputs!$B$7+1,Inputs!$B$5/Inputs!$B$6,0)</f>
        <v>0</v>
      </c>
      <c r="AA9" s="0" t="n">
        <f aca="false">IF(AA$3=Inputs!$B$4+Inputs!$B$7+1,Inputs!$B$5/Inputs!$B$6,0)</f>
        <v>0</v>
      </c>
      <c r="AB9" s="0" t="n">
        <f aca="false">IF(AB$3=Inputs!$B$4+Inputs!$B$7+1,Inputs!$B$5/Inputs!$B$6,0)</f>
        <v>0</v>
      </c>
      <c r="AC9" s="0" t="n">
        <f aca="false">IF(AC$3=Inputs!$B$4+Inputs!$B$7+1,Inputs!$B$5/Inputs!$B$6,0)</f>
        <v>0</v>
      </c>
      <c r="AD9" s="0" t="n">
        <f aca="false">IF(AD$3=Inputs!$B$4+Inputs!$B$7+1,Inputs!$B$5/Inputs!$B$6,0)</f>
        <v>0</v>
      </c>
      <c r="AE9" s="0" t="n">
        <f aca="false">IF(AE$3=Inputs!$B$4+Inputs!$B$7+1,Inputs!$B$5/Inputs!$B$6,0)</f>
        <v>0</v>
      </c>
      <c r="AF9" s="0" t="n">
        <f aca="false">IF(AF$3=Inputs!$B$4+Inputs!$B$7+1,Inputs!$B$5/Inputs!$B$6,0)</f>
        <v>0</v>
      </c>
      <c r="AG9" s="0" t="n">
        <f aca="false">IF(AG$3=Inputs!$B$4+Inputs!$B$7+1,Inputs!$B$5/Inputs!$B$6,0)</f>
        <v>0</v>
      </c>
      <c r="AH9" s="0" t="n">
        <f aca="false">IF(AH$3=Inputs!$B$4+Inputs!$B$7+1,Inputs!$B$5/Inputs!$B$6,0)</f>
        <v>0</v>
      </c>
      <c r="AI9" s="0" t="n">
        <f aca="false">IF(AI$3=Inputs!$B$4+Inputs!$B$7+1,Inputs!$B$5/Inputs!$B$6,0)</f>
        <v>0</v>
      </c>
      <c r="AJ9" s="0" t="n">
        <f aca="false">IF(AJ$3=Inputs!$B$4+Inputs!$B$7+1,Inputs!$B$5/Inputs!$B$6,0)</f>
        <v>0</v>
      </c>
      <c r="AK9" s="0" t="n">
        <f aca="false">IF(AK$3=Inputs!$B$4+Inputs!$B$7+1,Inputs!$B$5/Inputs!$B$6,0)</f>
        <v>0</v>
      </c>
      <c r="AL9" s="0" t="n">
        <f aca="false">IF(AL$3=Inputs!$B$4+Inputs!$B$7+1,Inputs!$B$5/Inputs!$B$6,0)</f>
        <v>0</v>
      </c>
      <c r="AM9" s="0" t="n">
        <f aca="false">IF(AM$3=Inputs!$B$4+Inputs!$B$7+1,Inputs!$B$5/Inputs!$B$6,0)</f>
        <v>0</v>
      </c>
      <c r="AN9" s="0" t="n">
        <f aca="false">IF(AN$3=Inputs!$B$4+Inputs!$B$7+1,Inputs!$B$5/Inputs!$B$6,0)</f>
        <v>0</v>
      </c>
      <c r="AO9" s="0" t="n">
        <f aca="false">IF(AO$3=Inputs!$B$4+Inputs!$B$7+1,Inputs!$B$5/Inputs!$B$6,0)</f>
        <v>0</v>
      </c>
      <c r="AP9" s="0" t="n">
        <f aca="false">IF(AP$3=Inputs!$B$4+Inputs!$B$7+1,Inputs!$B$5/Inputs!$B$6,0)</f>
        <v>0</v>
      </c>
      <c r="AQ9" s="0" t="n">
        <f aca="false">IF(AQ$3=Inputs!$B$4+Inputs!$B$7+1,Inputs!$B$5/Inputs!$B$6,0)</f>
        <v>0</v>
      </c>
      <c r="AR9" s="0" t="n">
        <f aca="false">IF(AR$3=Inputs!$B$4+Inputs!$B$7+1,Inputs!$B$5/Inputs!$B$6,0)</f>
        <v>0</v>
      </c>
      <c r="AS9" s="0" t="n">
        <f aca="false">IF(AS$3=Inputs!$B$4+Inputs!$B$7+1,Inputs!$B$5/Inputs!$B$6,0)</f>
        <v>32307692.3076923</v>
      </c>
    </row>
    <row r="10" customFormat="false" ht="15" hidden="false" customHeight="false" outlineLevel="0" collapsed="false">
      <c r="A10" s="0" t="s">
        <v>29</v>
      </c>
      <c r="B10" s="0" t="n">
        <f aca="false">SUM(B6:B9)</f>
        <v>-3000000</v>
      </c>
      <c r="C10" s="0" t="n">
        <f aca="false">SUM(C6:C9)</f>
        <v>-666666.666666667</v>
      </c>
      <c r="D10" s="0" t="n">
        <f aca="false">SUM(D6:D9)</f>
        <v>-666666.666666667</v>
      </c>
      <c r="E10" s="0" t="n">
        <f aca="false">SUM(E6:E9)</f>
        <v>-666666.666666667</v>
      </c>
      <c r="F10" s="0" t="n">
        <f aca="false">SUM(F6:F9)</f>
        <v>-666666.666666667</v>
      </c>
      <c r="G10" s="0" t="n">
        <f aca="false">SUM(G6:G9)</f>
        <v>-666666.666666667</v>
      </c>
      <c r="H10" s="0" t="n">
        <f aca="false">SUM(H6:H9)</f>
        <v>-666666.666666667</v>
      </c>
      <c r="I10" s="0" t="n">
        <f aca="false">SUM(I6:I9)</f>
        <v>-666666.666666667</v>
      </c>
      <c r="J10" s="0" t="n">
        <f aca="false">SUM(J6:J9)</f>
        <v>-666666.666666667</v>
      </c>
      <c r="K10" s="0" t="n">
        <f aca="false">SUM(K6:K9)</f>
        <v>-666666.666666667</v>
      </c>
      <c r="L10" s="0" t="n">
        <f aca="false">SUM(L6:L9)</f>
        <v>-666666.666666667</v>
      </c>
      <c r="M10" s="0" t="n">
        <f aca="false">SUM(M6:M9)</f>
        <v>-666666.666666667</v>
      </c>
      <c r="N10" s="0" t="n">
        <f aca="false">SUM(N6:N9)</f>
        <v>-666666.666666667</v>
      </c>
      <c r="O10" s="0" t="n">
        <f aca="false">SUM(O6:O9)</f>
        <v>-666666.666666667</v>
      </c>
      <c r="P10" s="0" t="n">
        <f aca="false">SUM(P6:P9)</f>
        <v>-666666.666666667</v>
      </c>
      <c r="Q10" s="0" t="n">
        <f aca="false">SUM(Q6:Q9)</f>
        <v>-666666.666666667</v>
      </c>
      <c r="R10" s="0" t="n">
        <f aca="false">SUM(R6:R9)</f>
        <v>-666666.666666667</v>
      </c>
      <c r="S10" s="0" t="n">
        <f aca="false">SUM(S6:S9)</f>
        <v>-666666.666666667</v>
      </c>
      <c r="T10" s="0" t="n">
        <f aca="false">SUM(T6:T9)</f>
        <v>-666666.666666667</v>
      </c>
      <c r="U10" s="0" t="n">
        <f aca="false">SUM(U6:U9)</f>
        <v>175000</v>
      </c>
      <c r="V10" s="0" t="n">
        <f aca="false">SUM(V6:V9)</f>
        <v>175000</v>
      </c>
      <c r="W10" s="0" t="n">
        <f aca="false">SUM(W6:W9)</f>
        <v>175000</v>
      </c>
      <c r="X10" s="0" t="n">
        <f aca="false">SUM(X6:X9)</f>
        <v>175000</v>
      </c>
      <c r="Y10" s="0" t="n">
        <f aca="false">SUM(Y6:Y9)</f>
        <v>175000</v>
      </c>
      <c r="Z10" s="0" t="n">
        <f aca="false">SUM(Z6:Z9)</f>
        <v>175000</v>
      </c>
      <c r="AA10" s="0" t="n">
        <f aca="false">SUM(AA6:AA9)</f>
        <v>175000</v>
      </c>
      <c r="AB10" s="0" t="n">
        <f aca="false">SUM(AB6:AB9)</f>
        <v>175000</v>
      </c>
      <c r="AC10" s="0" t="n">
        <f aca="false">SUM(AC6:AC9)</f>
        <v>175000</v>
      </c>
      <c r="AD10" s="0" t="n">
        <f aca="false">SUM(AD6:AD9)</f>
        <v>175000</v>
      </c>
      <c r="AE10" s="0" t="n">
        <f aca="false">SUM(AE6:AE9)</f>
        <v>175000</v>
      </c>
      <c r="AF10" s="0" t="n">
        <f aca="false">SUM(AF6:AF9)</f>
        <v>175000</v>
      </c>
      <c r="AG10" s="0" t="n">
        <f aca="false">SUM(AG6:AG9)</f>
        <v>175000</v>
      </c>
      <c r="AH10" s="0" t="n">
        <f aca="false">SUM(AH6:AH9)</f>
        <v>175000</v>
      </c>
      <c r="AI10" s="0" t="n">
        <f aca="false">SUM(AI6:AI9)</f>
        <v>175000</v>
      </c>
      <c r="AJ10" s="0" t="n">
        <f aca="false">SUM(AJ6:AJ9)</f>
        <v>175000</v>
      </c>
      <c r="AK10" s="0" t="n">
        <f aca="false">SUM(AK6:AK9)</f>
        <v>175000</v>
      </c>
      <c r="AL10" s="0" t="n">
        <f aca="false">SUM(AL6:AL9)</f>
        <v>175000</v>
      </c>
      <c r="AM10" s="0" t="n">
        <f aca="false">SUM(AM6:AM9)</f>
        <v>175000</v>
      </c>
      <c r="AN10" s="0" t="n">
        <f aca="false">SUM(AN6:AN9)</f>
        <v>175000</v>
      </c>
      <c r="AO10" s="0" t="n">
        <f aca="false">SUM(AO6:AO9)</f>
        <v>175000</v>
      </c>
      <c r="AP10" s="0" t="n">
        <f aca="false">SUM(AP6:AP9)</f>
        <v>175000</v>
      </c>
      <c r="AQ10" s="0" t="n">
        <f aca="false">SUM(AQ6:AQ9)</f>
        <v>175000</v>
      </c>
      <c r="AR10" s="0" t="n">
        <f aca="false">SUM(AR6:AR9)</f>
        <v>175000</v>
      </c>
      <c r="AS10" s="0" t="n">
        <f aca="false">SUM(AS6:AS9)</f>
        <v>32307692.3076923</v>
      </c>
    </row>
    <row r="11" customFormat="false" ht="15" hidden="false" customHeight="false" outlineLevel="0" collapsed="false">
      <c r="A11" s="0" t="s">
        <v>30</v>
      </c>
      <c r="B11" s="0" t="n">
        <f aca="false">-(B6+B7)*Inputs!$B$8</f>
        <v>1800000</v>
      </c>
      <c r="C11" s="0" t="n">
        <f aca="false">-(C6+C7)*Inputs!$B$8</f>
        <v>400000</v>
      </c>
      <c r="D11" s="0" t="n">
        <f aca="false">-(D6+D7)*Inputs!$B$8</f>
        <v>400000</v>
      </c>
      <c r="E11" s="0" t="n">
        <f aca="false">-(E6+E7)*Inputs!$B$8</f>
        <v>400000</v>
      </c>
      <c r="F11" s="0" t="n">
        <f aca="false">-(F6+F7)*Inputs!$B$8</f>
        <v>400000</v>
      </c>
      <c r="G11" s="0" t="n">
        <f aca="false">-(G6+G7)*Inputs!$B$8</f>
        <v>400000</v>
      </c>
      <c r="H11" s="0" t="n">
        <f aca="false">-(H6+H7)*Inputs!$B$8</f>
        <v>400000</v>
      </c>
      <c r="I11" s="0" t="n">
        <f aca="false">-(I6+I7)*Inputs!$B$8</f>
        <v>400000</v>
      </c>
      <c r="J11" s="0" t="n">
        <f aca="false">-(J6+J7)*Inputs!$B$8</f>
        <v>400000</v>
      </c>
      <c r="K11" s="0" t="n">
        <f aca="false">-(K6+K7)*Inputs!$B$8</f>
        <v>400000</v>
      </c>
      <c r="L11" s="0" t="n">
        <f aca="false">-(L6+L7)*Inputs!$B$8</f>
        <v>400000</v>
      </c>
      <c r="M11" s="0" t="n">
        <f aca="false">-(M6+M7)*Inputs!$B$8</f>
        <v>400000</v>
      </c>
      <c r="N11" s="0" t="n">
        <f aca="false">-(N6+N7)*Inputs!$B$8</f>
        <v>400000</v>
      </c>
      <c r="O11" s="0" t="n">
        <f aca="false">-(O6+O7)*Inputs!$B$8</f>
        <v>400000</v>
      </c>
      <c r="P11" s="0" t="n">
        <f aca="false">-(P6+P7)*Inputs!$B$8</f>
        <v>400000</v>
      </c>
      <c r="Q11" s="0" t="n">
        <f aca="false">-(Q6+Q7)*Inputs!$B$8</f>
        <v>400000</v>
      </c>
      <c r="R11" s="0" t="n">
        <f aca="false">-(R6+R7)*Inputs!$B$8</f>
        <v>400000</v>
      </c>
      <c r="S11" s="0" t="n">
        <f aca="false">-(S6+S7)*Inputs!$B$8</f>
        <v>400000</v>
      </c>
      <c r="T11" s="0" t="n">
        <f aca="false">-(T6+T7)*Inputs!$B$8</f>
        <v>400000</v>
      </c>
      <c r="U11" s="0" t="n">
        <f aca="false">-(U6+U7)*Inputs!$B$8</f>
        <v>-0</v>
      </c>
      <c r="V11" s="0" t="n">
        <f aca="false">-(V6+V7)*Inputs!$B$8</f>
        <v>-0</v>
      </c>
      <c r="W11" s="0" t="n">
        <f aca="false">-(W6+W7)*Inputs!$B$8</f>
        <v>-0</v>
      </c>
      <c r="X11" s="0" t="n">
        <f aca="false">-(X6+X7)*Inputs!$B$8</f>
        <v>-0</v>
      </c>
      <c r="Y11" s="0" t="n">
        <f aca="false">-(Y6+Y7)*Inputs!$B$8</f>
        <v>-0</v>
      </c>
      <c r="Z11" s="0" t="n">
        <f aca="false">-(Z6+Z7)*Inputs!$B$8</f>
        <v>-0</v>
      </c>
      <c r="AA11" s="0" t="n">
        <f aca="false">-(AA6+AA7)*Inputs!$B$8</f>
        <v>-0</v>
      </c>
      <c r="AB11" s="0" t="n">
        <f aca="false">-(AB6+AB7)*Inputs!$B$8</f>
        <v>-0</v>
      </c>
      <c r="AC11" s="0" t="n">
        <f aca="false">-(AC6+AC7)*Inputs!$B$8</f>
        <v>-0</v>
      </c>
      <c r="AD11" s="0" t="n">
        <f aca="false">-(AD6+AD7)*Inputs!$B$8</f>
        <v>-0</v>
      </c>
      <c r="AE11" s="0" t="n">
        <f aca="false">-(AE6+AE7)*Inputs!$B$8</f>
        <v>-0</v>
      </c>
      <c r="AF11" s="0" t="n">
        <f aca="false">-(AF6+AF7)*Inputs!$B$8</f>
        <v>-0</v>
      </c>
      <c r="AG11" s="0" t="n">
        <f aca="false">-(AG6+AG7)*Inputs!$B$8</f>
        <v>-0</v>
      </c>
      <c r="AH11" s="0" t="n">
        <f aca="false">-(AH6+AH7)*Inputs!$B$8</f>
        <v>-0</v>
      </c>
      <c r="AI11" s="0" t="n">
        <f aca="false">-(AI6+AI7)*Inputs!$B$8</f>
        <v>-0</v>
      </c>
      <c r="AJ11" s="0" t="n">
        <f aca="false">-(AJ6+AJ7)*Inputs!$B$8</f>
        <v>-0</v>
      </c>
      <c r="AK11" s="0" t="n">
        <f aca="false">-(AK6+AK7)*Inputs!$B$8</f>
        <v>-0</v>
      </c>
      <c r="AL11" s="0" t="n">
        <f aca="false">-(AL6+AL7)*Inputs!$B$8</f>
        <v>-0</v>
      </c>
      <c r="AM11" s="0" t="n">
        <f aca="false">-(AM6+AM7)*Inputs!$B$8</f>
        <v>-0</v>
      </c>
      <c r="AN11" s="0" t="n">
        <f aca="false">-(AN6+AN7)*Inputs!$B$8</f>
        <v>-0</v>
      </c>
      <c r="AO11" s="0" t="n">
        <f aca="false">-(AO6+AO7)*Inputs!$B$8</f>
        <v>-0</v>
      </c>
      <c r="AP11" s="0" t="n">
        <f aca="false">-(AP6+AP7)*Inputs!$B$8</f>
        <v>-0</v>
      </c>
      <c r="AQ11" s="0" t="n">
        <f aca="false">-(AQ6+AQ7)*Inputs!$B$8</f>
        <v>-0</v>
      </c>
      <c r="AR11" s="0" t="n">
        <f aca="false">-(AR6+AR7)*Inputs!$B$8</f>
        <v>-0</v>
      </c>
      <c r="AS11" s="0" t="n">
        <f aca="false">-(AS6+AS7)*Inputs!$B$8</f>
        <v>-0</v>
      </c>
    </row>
    <row r="12" customFormat="false" ht="15" hidden="false" customHeight="false" outlineLevel="0" collapsed="false">
      <c r="A12" s="0" t="s">
        <v>31</v>
      </c>
      <c r="B12" s="0" t="n">
        <f aca="false">0</f>
        <v>0</v>
      </c>
      <c r="C12" s="0" t="n">
        <f aca="false">-B15*Inputs!$B$9/12</f>
        <v>-10500</v>
      </c>
      <c r="D12" s="0" t="n">
        <f aca="false">-C15*Inputs!$B$9/12</f>
        <v>-12833.3333333333</v>
      </c>
      <c r="E12" s="0" t="n">
        <f aca="false">-D15*Inputs!$B$9/12</f>
        <v>-15166.6666666667</v>
      </c>
      <c r="F12" s="0" t="n">
        <f aca="false">-E15*Inputs!$B$9/12</f>
        <v>-17500</v>
      </c>
      <c r="G12" s="0" t="n">
        <f aca="false">-F15*Inputs!$B$9/12</f>
        <v>-19833.3333333333</v>
      </c>
      <c r="H12" s="0" t="n">
        <f aca="false">-G15*Inputs!$B$9/12</f>
        <v>-22166.6666666667</v>
      </c>
      <c r="I12" s="0" t="n">
        <f aca="false">-H15*Inputs!$B$9/12</f>
        <v>-24500</v>
      </c>
      <c r="J12" s="0" t="n">
        <f aca="false">-I15*Inputs!$B$9/12</f>
        <v>-26833.3333333333</v>
      </c>
      <c r="K12" s="0" t="n">
        <f aca="false">-J15*Inputs!$B$9/12</f>
        <v>-29166.6666666667</v>
      </c>
      <c r="L12" s="0" t="n">
        <f aca="false">-K15*Inputs!$B$9/12</f>
        <v>-31500</v>
      </c>
      <c r="M12" s="0" t="n">
        <f aca="false">-L15*Inputs!$B$9/12</f>
        <v>-33833.3333333333</v>
      </c>
      <c r="N12" s="0" t="n">
        <f aca="false">-M15*Inputs!$B$9/12</f>
        <v>-36166.6666666667</v>
      </c>
      <c r="O12" s="0" t="n">
        <f aca="false">-N15*Inputs!$B$9/12</f>
        <v>-38500</v>
      </c>
      <c r="P12" s="0" t="n">
        <f aca="false">-O15*Inputs!$B$9/12</f>
        <v>-40833.3333333333</v>
      </c>
      <c r="Q12" s="0" t="n">
        <f aca="false">-P15*Inputs!$B$9/12</f>
        <v>-43166.6666666667</v>
      </c>
      <c r="R12" s="0" t="n">
        <f aca="false">-Q15*Inputs!$B$9/12</f>
        <v>-45500</v>
      </c>
      <c r="S12" s="0" t="n">
        <f aca="false">-R15*Inputs!$B$9/12</f>
        <v>-47833.3333333333</v>
      </c>
      <c r="T12" s="0" t="n">
        <f aca="false">-S15*Inputs!$B$9/12</f>
        <v>-50166.6666666667</v>
      </c>
      <c r="U12" s="0" t="n">
        <f aca="false">-T15*Inputs!$B$9/12</f>
        <v>-52500</v>
      </c>
      <c r="V12" s="0" t="n">
        <f aca="false">-U15*Inputs!$B$9/12</f>
        <v>-52500</v>
      </c>
      <c r="W12" s="0" t="n">
        <f aca="false">-V15*Inputs!$B$9/12</f>
        <v>-52500</v>
      </c>
      <c r="X12" s="0" t="n">
        <f aca="false">-W15*Inputs!$B$9/12</f>
        <v>-52500</v>
      </c>
      <c r="Y12" s="0" t="n">
        <f aca="false">-X15*Inputs!$B$9/12</f>
        <v>-52500</v>
      </c>
      <c r="Z12" s="0" t="n">
        <f aca="false">-Y15*Inputs!$B$9/12</f>
        <v>-52500</v>
      </c>
      <c r="AA12" s="0" t="n">
        <f aca="false">-Z15*Inputs!$B$9/12</f>
        <v>-52500</v>
      </c>
      <c r="AB12" s="0" t="n">
        <f aca="false">-AA15*Inputs!$B$9/12</f>
        <v>-52500</v>
      </c>
      <c r="AC12" s="0" t="n">
        <f aca="false">-AB15*Inputs!$B$9/12</f>
        <v>-52500</v>
      </c>
      <c r="AD12" s="0" t="n">
        <f aca="false">-AC15*Inputs!$B$9/12</f>
        <v>-52500</v>
      </c>
      <c r="AE12" s="0" t="n">
        <f aca="false">-AD15*Inputs!$B$9/12</f>
        <v>-52500</v>
      </c>
      <c r="AF12" s="0" t="n">
        <f aca="false">-AE15*Inputs!$B$9/12</f>
        <v>-52500</v>
      </c>
      <c r="AG12" s="0" t="n">
        <f aca="false">-AF15*Inputs!$B$9/12</f>
        <v>-52500</v>
      </c>
      <c r="AH12" s="0" t="n">
        <f aca="false">-AG15*Inputs!$B$9/12</f>
        <v>-52500</v>
      </c>
      <c r="AI12" s="0" t="n">
        <f aca="false">-AH15*Inputs!$B$9/12</f>
        <v>-52500</v>
      </c>
      <c r="AJ12" s="0" t="n">
        <f aca="false">-AI15*Inputs!$B$9/12</f>
        <v>-52500</v>
      </c>
      <c r="AK12" s="0" t="n">
        <f aca="false">-AJ15*Inputs!$B$9/12</f>
        <v>-52500</v>
      </c>
      <c r="AL12" s="0" t="n">
        <f aca="false">-AK15*Inputs!$B$9/12</f>
        <v>-52500</v>
      </c>
      <c r="AM12" s="0" t="n">
        <f aca="false">-AL15*Inputs!$B$9/12</f>
        <v>-52500</v>
      </c>
      <c r="AN12" s="0" t="n">
        <f aca="false">-AM15*Inputs!$B$9/12</f>
        <v>-52500</v>
      </c>
      <c r="AO12" s="0" t="n">
        <f aca="false">-AN15*Inputs!$B$9/12</f>
        <v>-52500</v>
      </c>
      <c r="AP12" s="0" t="n">
        <f aca="false">-AO15*Inputs!$B$9/12</f>
        <v>-52500</v>
      </c>
      <c r="AQ12" s="0" t="n">
        <f aca="false">-AP15*Inputs!$B$9/12</f>
        <v>-52500</v>
      </c>
      <c r="AR12" s="0" t="n">
        <f aca="false">-AQ15*Inputs!$B$9/12</f>
        <v>-52500</v>
      </c>
      <c r="AS12" s="0" t="n">
        <f aca="false">-AR15*Inputs!$B$9/12</f>
        <v>-52500</v>
      </c>
    </row>
    <row r="13" customFormat="false" ht="15" hidden="false" customHeight="false" outlineLevel="0" collapsed="false">
      <c r="A13" s="0" t="s">
        <v>32</v>
      </c>
      <c r="B13" s="0" t="n">
        <f aca="false">0</f>
        <v>0</v>
      </c>
      <c r="C13" s="0" t="n">
        <f aca="false">IF(C$3=Inputs!$B$4+Inputs!$B$7+1,-(B15+C11),0)</f>
        <v>0</v>
      </c>
      <c r="D13" s="0" t="n">
        <f aca="false">IF(D$3=Inputs!$B$4+Inputs!$B$7+1,-(C15+D11),0)</f>
        <v>0</v>
      </c>
      <c r="E13" s="0" t="n">
        <f aca="false">IF(E$3=Inputs!$B$4+Inputs!$B$7+1,-(D15+E11),0)</f>
        <v>0</v>
      </c>
      <c r="F13" s="0" t="n">
        <f aca="false">IF(F$3=Inputs!$B$4+Inputs!$B$7+1,-(E15+F11),0)</f>
        <v>0</v>
      </c>
      <c r="G13" s="0" t="n">
        <f aca="false">IF(G$3=Inputs!$B$4+Inputs!$B$7+1,-(F15+G11),0)</f>
        <v>0</v>
      </c>
      <c r="H13" s="0" t="n">
        <f aca="false">IF(H$3=Inputs!$B$4+Inputs!$B$7+1,-(G15+H11),0)</f>
        <v>0</v>
      </c>
      <c r="I13" s="0" t="n">
        <f aca="false">IF(I$3=Inputs!$B$4+Inputs!$B$7+1,-(H15+I11),0)</f>
        <v>0</v>
      </c>
      <c r="J13" s="0" t="n">
        <f aca="false">IF(J$3=Inputs!$B$4+Inputs!$B$7+1,-(I15+J11),0)</f>
        <v>0</v>
      </c>
      <c r="K13" s="0" t="n">
        <f aca="false">IF(K$3=Inputs!$B$4+Inputs!$B$7+1,-(J15+K11),0)</f>
        <v>0</v>
      </c>
      <c r="L13" s="0" t="n">
        <f aca="false">IF(L$3=Inputs!$B$4+Inputs!$B$7+1,-(K15+L11),0)</f>
        <v>0</v>
      </c>
      <c r="M13" s="0" t="n">
        <f aca="false">IF(M$3=Inputs!$B$4+Inputs!$B$7+1,-(L15+M11),0)</f>
        <v>0</v>
      </c>
      <c r="N13" s="0" t="n">
        <f aca="false">IF(N$3=Inputs!$B$4+Inputs!$B$7+1,-(M15+N11),0)</f>
        <v>0</v>
      </c>
      <c r="O13" s="0" t="n">
        <f aca="false">IF(O$3=Inputs!$B$4+Inputs!$B$7+1,-(N15+O11),0)</f>
        <v>0</v>
      </c>
      <c r="P13" s="0" t="n">
        <f aca="false">IF(P$3=Inputs!$B$4+Inputs!$B$7+1,-(O15+P11),0)</f>
        <v>0</v>
      </c>
      <c r="Q13" s="0" t="n">
        <f aca="false">IF(Q$3=Inputs!$B$4+Inputs!$B$7+1,-(P15+Q11),0)</f>
        <v>0</v>
      </c>
      <c r="R13" s="0" t="n">
        <f aca="false">IF(R$3=Inputs!$B$4+Inputs!$B$7+1,-(Q15+R11),0)</f>
        <v>0</v>
      </c>
      <c r="S13" s="0" t="n">
        <f aca="false">IF(S$3=Inputs!$B$4+Inputs!$B$7+1,-(R15+S11),0)</f>
        <v>0</v>
      </c>
      <c r="T13" s="0" t="n">
        <f aca="false">IF(T$3=Inputs!$B$4+Inputs!$B$7+1,-(S15+T11),0)</f>
        <v>0</v>
      </c>
      <c r="U13" s="0" t="n">
        <f aca="false">IF(U$3=Inputs!$B$4+Inputs!$B$7+1,-(T15+U11),0)</f>
        <v>0</v>
      </c>
      <c r="V13" s="0" t="n">
        <f aca="false">IF(V$3=Inputs!$B$4+Inputs!$B$7+1,-(U15+V11),0)</f>
        <v>0</v>
      </c>
      <c r="W13" s="0" t="n">
        <f aca="false">IF(W$3=Inputs!$B$4+Inputs!$B$7+1,-(V15+W11),0)</f>
        <v>0</v>
      </c>
      <c r="X13" s="0" t="n">
        <f aca="false">IF(X$3=Inputs!$B$4+Inputs!$B$7+1,-(W15+X11),0)</f>
        <v>0</v>
      </c>
      <c r="Y13" s="0" t="n">
        <f aca="false">IF(Y$3=Inputs!$B$4+Inputs!$B$7+1,-(X15+Y11),0)</f>
        <v>0</v>
      </c>
      <c r="Z13" s="0" t="n">
        <f aca="false">IF(Z$3=Inputs!$B$4+Inputs!$B$7+1,-(Y15+Z11),0)</f>
        <v>0</v>
      </c>
      <c r="AA13" s="0" t="n">
        <f aca="false">IF(AA$3=Inputs!$B$4+Inputs!$B$7+1,-(Z15+AA11),0)</f>
        <v>0</v>
      </c>
      <c r="AB13" s="0" t="n">
        <f aca="false">IF(AB$3=Inputs!$B$4+Inputs!$B$7+1,-(AA15+AB11),0)</f>
        <v>0</v>
      </c>
      <c r="AC13" s="0" t="n">
        <f aca="false">IF(AC$3=Inputs!$B$4+Inputs!$B$7+1,-(AB15+AC11),0)</f>
        <v>0</v>
      </c>
      <c r="AD13" s="0" t="n">
        <f aca="false">IF(AD$3=Inputs!$B$4+Inputs!$B$7+1,-(AC15+AD11),0)</f>
        <v>0</v>
      </c>
      <c r="AE13" s="0" t="n">
        <f aca="false">IF(AE$3=Inputs!$B$4+Inputs!$B$7+1,-(AD15+AE11),0)</f>
        <v>0</v>
      </c>
      <c r="AF13" s="0" t="n">
        <f aca="false">IF(AF$3=Inputs!$B$4+Inputs!$B$7+1,-(AE15+AF11),0)</f>
        <v>0</v>
      </c>
      <c r="AG13" s="0" t="n">
        <f aca="false">IF(AG$3=Inputs!$B$4+Inputs!$B$7+1,-(AF15+AG11),0)</f>
        <v>0</v>
      </c>
      <c r="AH13" s="0" t="n">
        <f aca="false">IF(AH$3=Inputs!$B$4+Inputs!$B$7+1,-(AG15+AH11),0)</f>
        <v>0</v>
      </c>
      <c r="AI13" s="0" t="n">
        <f aca="false">IF(AI$3=Inputs!$B$4+Inputs!$B$7+1,-(AH15+AI11),0)</f>
        <v>0</v>
      </c>
      <c r="AJ13" s="0" t="n">
        <f aca="false">IF(AJ$3=Inputs!$B$4+Inputs!$B$7+1,-(AI15+AJ11),0)</f>
        <v>0</v>
      </c>
      <c r="AK13" s="0" t="n">
        <f aca="false">IF(AK$3=Inputs!$B$4+Inputs!$B$7+1,-(AJ15+AK11),0)</f>
        <v>0</v>
      </c>
      <c r="AL13" s="0" t="n">
        <f aca="false">IF(AL$3=Inputs!$B$4+Inputs!$B$7+1,-(AK15+AL11),0)</f>
        <v>0</v>
      </c>
      <c r="AM13" s="0" t="n">
        <f aca="false">IF(AM$3=Inputs!$B$4+Inputs!$B$7+1,-(AL15+AM11),0)</f>
        <v>0</v>
      </c>
      <c r="AN13" s="0" t="n">
        <f aca="false">IF(AN$3=Inputs!$B$4+Inputs!$B$7+1,-(AM15+AN11),0)</f>
        <v>0</v>
      </c>
      <c r="AO13" s="0" t="n">
        <f aca="false">IF(AO$3=Inputs!$B$4+Inputs!$B$7+1,-(AN15+AO11),0)</f>
        <v>0</v>
      </c>
      <c r="AP13" s="0" t="n">
        <f aca="false">IF(AP$3=Inputs!$B$4+Inputs!$B$7+1,-(AO15+AP11),0)</f>
        <v>0</v>
      </c>
      <c r="AQ13" s="0" t="n">
        <f aca="false">IF(AQ$3=Inputs!$B$4+Inputs!$B$7+1,-(AP15+AQ11),0)</f>
        <v>0</v>
      </c>
      <c r="AR13" s="0" t="n">
        <f aca="false">IF(AR$3=Inputs!$B$4+Inputs!$B$7+1,-(AQ15+AR11),0)</f>
        <v>0</v>
      </c>
      <c r="AS13" s="0" t="n">
        <f aca="false">IF(AS$3=Inputs!$B$4+Inputs!$B$7+1,-(AR15+AS11),0)</f>
        <v>-9000000</v>
      </c>
    </row>
    <row r="14" customFormat="false" ht="15" hidden="false" customHeight="false" outlineLevel="0" collapsed="false">
      <c r="A14" s="0" t="s">
        <v>33</v>
      </c>
      <c r="B14" s="0" t="n">
        <f aca="false">B10+B11+B12+B13</f>
        <v>-1200000</v>
      </c>
      <c r="C14" s="0" t="n">
        <f aca="false">C10+C11+C12+C13</f>
        <v>-277166.666666667</v>
      </c>
      <c r="D14" s="0" t="n">
        <f aca="false">D10+D11+D12+D13</f>
        <v>-279500</v>
      </c>
      <c r="E14" s="0" t="n">
        <f aca="false">E10+E11+E12+E13</f>
        <v>-281833.333333333</v>
      </c>
      <c r="F14" s="0" t="n">
        <f aca="false">F10+F11+F12+F13</f>
        <v>-284166.666666667</v>
      </c>
      <c r="G14" s="0" t="n">
        <f aca="false">G10+G11+G12+G13</f>
        <v>-286500</v>
      </c>
      <c r="H14" s="0" t="n">
        <f aca="false">H10+H11+H12+H13</f>
        <v>-288833.333333333</v>
      </c>
      <c r="I14" s="0" t="n">
        <f aca="false">I10+I11+I12+I13</f>
        <v>-291166.666666667</v>
      </c>
      <c r="J14" s="0" t="n">
        <f aca="false">J10+J11+J12+J13</f>
        <v>-293500</v>
      </c>
      <c r="K14" s="0" t="n">
        <f aca="false">K10+K11+K12+K13</f>
        <v>-295833.333333333</v>
      </c>
      <c r="L14" s="0" t="n">
        <f aca="false">L10+L11+L12+L13</f>
        <v>-298166.666666667</v>
      </c>
      <c r="M14" s="0" t="n">
        <f aca="false">M10+M11+M12+M13</f>
        <v>-300500</v>
      </c>
      <c r="N14" s="0" t="n">
        <f aca="false">N10+N11+N12+N13</f>
        <v>-302833.333333333</v>
      </c>
      <c r="O14" s="0" t="n">
        <f aca="false">O10+O11+O12+O13</f>
        <v>-305166.666666667</v>
      </c>
      <c r="P14" s="0" t="n">
        <f aca="false">P10+P11+P12+P13</f>
        <v>-307500</v>
      </c>
      <c r="Q14" s="0" t="n">
        <f aca="false">Q10+Q11+Q12+Q13</f>
        <v>-309833.333333333</v>
      </c>
      <c r="R14" s="0" t="n">
        <f aca="false">R10+R11+R12+R13</f>
        <v>-312166.666666667</v>
      </c>
      <c r="S14" s="0" t="n">
        <f aca="false">S10+S11+S12+S13</f>
        <v>-314500</v>
      </c>
      <c r="T14" s="0" t="n">
        <f aca="false">T10+T11+T12+T13</f>
        <v>-316833.333333333</v>
      </c>
      <c r="U14" s="0" t="n">
        <f aca="false">U10+U11+U12+U13</f>
        <v>122500</v>
      </c>
      <c r="V14" s="0" t="n">
        <f aca="false">V10+V11+V12+V13</f>
        <v>122500</v>
      </c>
      <c r="W14" s="0" t="n">
        <f aca="false">W10+W11+W12+W13</f>
        <v>122500</v>
      </c>
      <c r="X14" s="0" t="n">
        <f aca="false">X10+X11+X12+X13</f>
        <v>122500</v>
      </c>
      <c r="Y14" s="0" t="n">
        <f aca="false">Y10+Y11+Y12+Y13</f>
        <v>122500</v>
      </c>
      <c r="Z14" s="0" t="n">
        <f aca="false">Z10+Z11+Z12+Z13</f>
        <v>122500</v>
      </c>
      <c r="AA14" s="0" t="n">
        <f aca="false">AA10+AA11+AA12+AA13</f>
        <v>122500</v>
      </c>
      <c r="AB14" s="0" t="n">
        <f aca="false">AB10+AB11+AB12+AB13</f>
        <v>122500</v>
      </c>
      <c r="AC14" s="0" t="n">
        <f aca="false">AC10+AC11+AC12+AC13</f>
        <v>122500</v>
      </c>
      <c r="AD14" s="0" t="n">
        <f aca="false">AD10+AD11+AD12+AD13</f>
        <v>122500</v>
      </c>
      <c r="AE14" s="0" t="n">
        <f aca="false">AE10+AE11+AE12+AE13</f>
        <v>122500</v>
      </c>
      <c r="AF14" s="0" t="n">
        <f aca="false">AF10+AF11+AF12+AF13</f>
        <v>122500</v>
      </c>
      <c r="AG14" s="0" t="n">
        <f aca="false">AG10+AG11+AG12+AG13</f>
        <v>122500</v>
      </c>
      <c r="AH14" s="0" t="n">
        <f aca="false">AH10+AH11+AH12+AH13</f>
        <v>122500</v>
      </c>
      <c r="AI14" s="0" t="n">
        <f aca="false">AI10+AI11+AI12+AI13</f>
        <v>122500</v>
      </c>
      <c r="AJ14" s="0" t="n">
        <f aca="false">AJ10+AJ11+AJ12+AJ13</f>
        <v>122500</v>
      </c>
      <c r="AK14" s="0" t="n">
        <f aca="false">AK10+AK11+AK12+AK13</f>
        <v>122500</v>
      </c>
      <c r="AL14" s="0" t="n">
        <f aca="false">AL10+AL11+AL12+AL13</f>
        <v>122500</v>
      </c>
      <c r="AM14" s="0" t="n">
        <f aca="false">AM10+AM11+AM12+AM13</f>
        <v>122500</v>
      </c>
      <c r="AN14" s="0" t="n">
        <f aca="false">AN10+AN11+AN12+AN13</f>
        <v>122500</v>
      </c>
      <c r="AO14" s="0" t="n">
        <f aca="false">AO10+AO11+AO12+AO13</f>
        <v>122500</v>
      </c>
      <c r="AP14" s="0" t="n">
        <f aca="false">AP10+AP11+AP12+AP13</f>
        <v>122500</v>
      </c>
      <c r="AQ14" s="0" t="n">
        <f aca="false">AQ10+AQ11+AQ12+AQ13</f>
        <v>122500</v>
      </c>
      <c r="AR14" s="0" t="n">
        <f aca="false">AR10+AR11+AR12+AR13</f>
        <v>122500</v>
      </c>
      <c r="AS14" s="0" t="n">
        <f aca="false">AS10+AS11+AS12+AS13</f>
        <v>23255192.3076923</v>
      </c>
    </row>
    <row r="15" customFormat="false" ht="15" hidden="false" customHeight="false" outlineLevel="0" collapsed="false">
      <c r="A15" s="0" t="s">
        <v>34</v>
      </c>
      <c r="B15" s="0" t="n">
        <f aca="false">B11+B13</f>
        <v>1800000</v>
      </c>
      <c r="C15" s="0" t="n">
        <f aca="false">B15+C11+C13</f>
        <v>2200000</v>
      </c>
      <c r="D15" s="0" t="n">
        <f aca="false">C15+D11+D13</f>
        <v>2600000</v>
      </c>
      <c r="E15" s="0" t="n">
        <f aca="false">D15+E11+E13</f>
        <v>3000000</v>
      </c>
      <c r="F15" s="0" t="n">
        <f aca="false">E15+F11+F13</f>
        <v>3400000</v>
      </c>
      <c r="G15" s="0" t="n">
        <f aca="false">F15+G11+G13</f>
        <v>3800000</v>
      </c>
      <c r="H15" s="0" t="n">
        <f aca="false">G15+H11+H13</f>
        <v>4200000</v>
      </c>
      <c r="I15" s="0" t="n">
        <f aca="false">H15+I11+I13</f>
        <v>4600000</v>
      </c>
      <c r="J15" s="0" t="n">
        <f aca="false">I15+J11+J13</f>
        <v>5000000</v>
      </c>
      <c r="K15" s="0" t="n">
        <f aca="false">J15+K11+K13</f>
        <v>5400000</v>
      </c>
      <c r="L15" s="0" t="n">
        <f aca="false">K15+L11+L13</f>
        <v>5800000</v>
      </c>
      <c r="M15" s="0" t="n">
        <f aca="false">L15+M11+M13</f>
        <v>6200000</v>
      </c>
      <c r="N15" s="0" t="n">
        <f aca="false">M15+N11+N13</f>
        <v>6600000</v>
      </c>
      <c r="O15" s="0" t="n">
        <f aca="false">N15+O11+O13</f>
        <v>7000000</v>
      </c>
      <c r="P15" s="0" t="n">
        <f aca="false">O15+P11+P13</f>
        <v>7400000</v>
      </c>
      <c r="Q15" s="0" t="n">
        <f aca="false">P15+Q11+Q13</f>
        <v>7800000</v>
      </c>
      <c r="R15" s="0" t="n">
        <f aca="false">Q15+R11+R13</f>
        <v>8200000</v>
      </c>
      <c r="S15" s="0" t="n">
        <f aca="false">R15+S11+S13</f>
        <v>8600000</v>
      </c>
      <c r="T15" s="0" t="n">
        <f aca="false">S15+T11+T13</f>
        <v>9000000</v>
      </c>
      <c r="U15" s="0" t="n">
        <f aca="false">T15+U11+U13</f>
        <v>9000000</v>
      </c>
      <c r="V15" s="0" t="n">
        <f aca="false">U15+V11+V13</f>
        <v>9000000</v>
      </c>
      <c r="W15" s="0" t="n">
        <f aca="false">V15+W11+W13</f>
        <v>9000000</v>
      </c>
      <c r="X15" s="0" t="n">
        <f aca="false">W15+X11+X13</f>
        <v>9000000</v>
      </c>
      <c r="Y15" s="0" t="n">
        <f aca="false">X15+Y11+Y13</f>
        <v>9000000</v>
      </c>
      <c r="Z15" s="0" t="n">
        <f aca="false">Y15+Z11+Z13</f>
        <v>9000000</v>
      </c>
      <c r="AA15" s="0" t="n">
        <f aca="false">Z15+AA11+AA13</f>
        <v>9000000</v>
      </c>
      <c r="AB15" s="0" t="n">
        <f aca="false">AA15+AB11+AB13</f>
        <v>9000000</v>
      </c>
      <c r="AC15" s="0" t="n">
        <f aca="false">AB15+AC11+AC13</f>
        <v>9000000</v>
      </c>
      <c r="AD15" s="0" t="n">
        <f aca="false">AC15+AD11+AD13</f>
        <v>9000000</v>
      </c>
      <c r="AE15" s="0" t="n">
        <f aca="false">AD15+AE11+AE13</f>
        <v>9000000</v>
      </c>
      <c r="AF15" s="0" t="n">
        <f aca="false">AE15+AF11+AF13</f>
        <v>9000000</v>
      </c>
      <c r="AG15" s="0" t="n">
        <f aca="false">AF15+AG11+AG13</f>
        <v>9000000</v>
      </c>
      <c r="AH15" s="0" t="n">
        <f aca="false">AG15+AH11+AH13</f>
        <v>9000000</v>
      </c>
      <c r="AI15" s="0" t="n">
        <f aca="false">AH15+AI11+AI13</f>
        <v>9000000</v>
      </c>
      <c r="AJ15" s="0" t="n">
        <f aca="false">AI15+AJ11+AJ13</f>
        <v>9000000</v>
      </c>
      <c r="AK15" s="0" t="n">
        <f aca="false">AJ15+AK11+AK13</f>
        <v>9000000</v>
      </c>
      <c r="AL15" s="0" t="n">
        <f aca="false">AK15+AL11+AL13</f>
        <v>9000000</v>
      </c>
      <c r="AM15" s="0" t="n">
        <f aca="false">AL15+AM11+AM13</f>
        <v>9000000</v>
      </c>
      <c r="AN15" s="0" t="n">
        <f aca="false">AM15+AN11+AN13</f>
        <v>9000000</v>
      </c>
      <c r="AO15" s="0" t="n">
        <f aca="false">AN15+AO11+AO13</f>
        <v>9000000</v>
      </c>
      <c r="AP15" s="0" t="n">
        <f aca="false">AO15+AP11+AP13</f>
        <v>9000000</v>
      </c>
      <c r="AQ15" s="0" t="n">
        <f aca="false">AP15+AQ11+AQ13</f>
        <v>9000000</v>
      </c>
      <c r="AR15" s="0" t="n">
        <f aca="false">AQ15+AR11+AR13</f>
        <v>9000000</v>
      </c>
      <c r="AS15" s="0" t="n">
        <f aca="false">AR15+AS11+AS13</f>
        <v>0</v>
      </c>
    </row>
    <row r="17" customFormat="false" ht="15" hidden="false" customHeight="false" outlineLevel="0" collapsed="false">
      <c r="A17" s="0" t="s">
        <v>35</v>
      </c>
      <c r="B17" s="0" t="n">
        <f aca="false">B14*Inputs!$B$10-IF(B$3=Inputs!$B$4+Inputs!$B$7+1,Inputs!$B$12*MAX(0,SUM($B$14:$AS$14))*Inputs!$B$10,0)</f>
        <v>-1080000</v>
      </c>
      <c r="C17" s="0" t="n">
        <f aca="false">C14*Inputs!$B$10-IF(C$3=Inputs!$B$4+Inputs!$B$7+1,Inputs!$B$12*MAX(0,SUM($B$14:$AS$14))*Inputs!$B$10,0)</f>
        <v>-249450</v>
      </c>
      <c r="D17" s="0" t="n">
        <f aca="false">D14*Inputs!$B$10-IF(D$3=Inputs!$B$4+Inputs!$B$7+1,Inputs!$B$12*MAX(0,SUM($B$14:$AS$14))*Inputs!$B$10,0)</f>
        <v>-251550</v>
      </c>
      <c r="E17" s="0" t="n">
        <f aca="false">E14*Inputs!$B$10-IF(E$3=Inputs!$B$4+Inputs!$B$7+1,Inputs!$B$12*MAX(0,SUM($B$14:$AS$14))*Inputs!$B$10,0)</f>
        <v>-253650</v>
      </c>
      <c r="F17" s="0" t="n">
        <f aca="false">F14*Inputs!$B$10-IF(F$3=Inputs!$B$4+Inputs!$B$7+1,Inputs!$B$12*MAX(0,SUM($B$14:$AS$14))*Inputs!$B$10,0)</f>
        <v>-255750</v>
      </c>
      <c r="G17" s="0" t="n">
        <f aca="false">G14*Inputs!$B$10-IF(G$3=Inputs!$B$4+Inputs!$B$7+1,Inputs!$B$12*MAX(0,SUM($B$14:$AS$14))*Inputs!$B$10,0)</f>
        <v>-257850</v>
      </c>
      <c r="H17" s="0" t="n">
        <f aca="false">H14*Inputs!$B$10-IF(H$3=Inputs!$B$4+Inputs!$B$7+1,Inputs!$B$12*MAX(0,SUM($B$14:$AS$14))*Inputs!$B$10,0)</f>
        <v>-259950</v>
      </c>
      <c r="I17" s="0" t="n">
        <f aca="false">I14*Inputs!$B$10-IF(I$3=Inputs!$B$4+Inputs!$B$7+1,Inputs!$B$12*MAX(0,SUM($B$14:$AS$14))*Inputs!$B$10,0)</f>
        <v>-262050</v>
      </c>
      <c r="J17" s="0" t="n">
        <f aca="false">J14*Inputs!$B$10-IF(J$3=Inputs!$B$4+Inputs!$B$7+1,Inputs!$B$12*MAX(0,SUM($B$14:$AS$14))*Inputs!$B$10,0)</f>
        <v>-264150</v>
      </c>
      <c r="K17" s="0" t="n">
        <f aca="false">K14*Inputs!$B$10-IF(K$3=Inputs!$B$4+Inputs!$B$7+1,Inputs!$B$12*MAX(0,SUM($B$14:$AS$14))*Inputs!$B$10,0)</f>
        <v>-266250</v>
      </c>
      <c r="L17" s="0" t="n">
        <f aca="false">L14*Inputs!$B$10-IF(L$3=Inputs!$B$4+Inputs!$B$7+1,Inputs!$B$12*MAX(0,SUM($B$14:$AS$14))*Inputs!$B$10,0)</f>
        <v>-268350</v>
      </c>
      <c r="M17" s="0" t="n">
        <f aca="false">M14*Inputs!$B$10-IF(M$3=Inputs!$B$4+Inputs!$B$7+1,Inputs!$B$12*MAX(0,SUM($B$14:$AS$14))*Inputs!$B$10,0)</f>
        <v>-270450</v>
      </c>
      <c r="N17" s="0" t="n">
        <f aca="false">N14*Inputs!$B$10-IF(N$3=Inputs!$B$4+Inputs!$B$7+1,Inputs!$B$12*MAX(0,SUM($B$14:$AS$14))*Inputs!$B$10,0)</f>
        <v>-272550</v>
      </c>
      <c r="O17" s="0" t="n">
        <f aca="false">O14*Inputs!$B$10-IF(O$3=Inputs!$B$4+Inputs!$B$7+1,Inputs!$B$12*MAX(0,SUM($B$14:$AS$14))*Inputs!$B$10,0)</f>
        <v>-274650</v>
      </c>
      <c r="P17" s="0" t="n">
        <f aca="false">P14*Inputs!$B$10-IF(P$3=Inputs!$B$4+Inputs!$B$7+1,Inputs!$B$12*MAX(0,SUM($B$14:$AS$14))*Inputs!$B$10,0)</f>
        <v>-276750</v>
      </c>
      <c r="Q17" s="0" t="n">
        <f aca="false">Q14*Inputs!$B$10-IF(Q$3=Inputs!$B$4+Inputs!$B$7+1,Inputs!$B$12*MAX(0,SUM($B$14:$AS$14))*Inputs!$B$10,0)</f>
        <v>-278850</v>
      </c>
      <c r="R17" s="0" t="n">
        <f aca="false">R14*Inputs!$B$10-IF(R$3=Inputs!$B$4+Inputs!$B$7+1,Inputs!$B$12*MAX(0,SUM($B$14:$AS$14))*Inputs!$B$10,0)</f>
        <v>-280950</v>
      </c>
      <c r="S17" s="0" t="n">
        <f aca="false">S14*Inputs!$B$10-IF(S$3=Inputs!$B$4+Inputs!$B$7+1,Inputs!$B$12*MAX(0,SUM($B$14:$AS$14))*Inputs!$B$10,0)</f>
        <v>-283050</v>
      </c>
      <c r="T17" s="0" t="n">
        <f aca="false">T14*Inputs!$B$10-IF(T$3=Inputs!$B$4+Inputs!$B$7+1,Inputs!$B$12*MAX(0,SUM($B$14:$AS$14))*Inputs!$B$10,0)</f>
        <v>-285150</v>
      </c>
      <c r="U17" s="0" t="n">
        <f aca="false">U14*Inputs!$B$10-IF(U$3=Inputs!$B$4+Inputs!$B$7+1,Inputs!$B$12*MAX(0,SUM($B$14:$AS$14))*Inputs!$B$10,0)</f>
        <v>110250</v>
      </c>
      <c r="V17" s="0" t="n">
        <f aca="false">V14*Inputs!$B$10-IF(V$3=Inputs!$B$4+Inputs!$B$7+1,Inputs!$B$12*MAX(0,SUM($B$14:$AS$14))*Inputs!$B$10,0)</f>
        <v>110250</v>
      </c>
      <c r="W17" s="0" t="n">
        <f aca="false">W14*Inputs!$B$10-IF(W$3=Inputs!$B$4+Inputs!$B$7+1,Inputs!$B$12*MAX(0,SUM($B$14:$AS$14))*Inputs!$B$10,0)</f>
        <v>110250</v>
      </c>
      <c r="X17" s="0" t="n">
        <f aca="false">X14*Inputs!$B$10-IF(X$3=Inputs!$B$4+Inputs!$B$7+1,Inputs!$B$12*MAX(0,SUM($B$14:$AS$14))*Inputs!$B$10,0)</f>
        <v>110250</v>
      </c>
      <c r="Y17" s="0" t="n">
        <f aca="false">Y14*Inputs!$B$10-IF(Y$3=Inputs!$B$4+Inputs!$B$7+1,Inputs!$B$12*MAX(0,SUM($B$14:$AS$14))*Inputs!$B$10,0)</f>
        <v>110250</v>
      </c>
      <c r="Z17" s="0" t="n">
        <f aca="false">Z14*Inputs!$B$10-IF(Z$3=Inputs!$B$4+Inputs!$B$7+1,Inputs!$B$12*MAX(0,SUM($B$14:$AS$14))*Inputs!$B$10,0)</f>
        <v>110250</v>
      </c>
      <c r="AA17" s="0" t="n">
        <f aca="false">AA14*Inputs!$B$10-IF(AA$3=Inputs!$B$4+Inputs!$B$7+1,Inputs!$B$12*MAX(0,SUM($B$14:$AS$14))*Inputs!$B$10,0)</f>
        <v>110250</v>
      </c>
      <c r="AB17" s="0" t="n">
        <f aca="false">AB14*Inputs!$B$10-IF(AB$3=Inputs!$B$4+Inputs!$B$7+1,Inputs!$B$12*MAX(0,SUM($B$14:$AS$14))*Inputs!$B$10,0)</f>
        <v>110250</v>
      </c>
      <c r="AC17" s="0" t="n">
        <f aca="false">AC14*Inputs!$B$10-IF(AC$3=Inputs!$B$4+Inputs!$B$7+1,Inputs!$B$12*MAX(0,SUM($B$14:$AS$14))*Inputs!$B$10,0)</f>
        <v>110250</v>
      </c>
      <c r="AD17" s="0" t="n">
        <f aca="false">AD14*Inputs!$B$10-IF(AD$3=Inputs!$B$4+Inputs!$B$7+1,Inputs!$B$12*MAX(0,SUM($B$14:$AS$14))*Inputs!$B$10,0)</f>
        <v>110250</v>
      </c>
      <c r="AE17" s="0" t="n">
        <f aca="false">AE14*Inputs!$B$10-IF(AE$3=Inputs!$B$4+Inputs!$B$7+1,Inputs!$B$12*MAX(0,SUM($B$14:$AS$14))*Inputs!$B$10,0)</f>
        <v>110250</v>
      </c>
      <c r="AF17" s="0" t="n">
        <f aca="false">AF14*Inputs!$B$10-IF(AF$3=Inputs!$B$4+Inputs!$B$7+1,Inputs!$B$12*MAX(0,SUM($B$14:$AS$14))*Inputs!$B$10,0)</f>
        <v>110250</v>
      </c>
      <c r="AG17" s="0" t="n">
        <f aca="false">AG14*Inputs!$B$10-IF(AG$3=Inputs!$B$4+Inputs!$B$7+1,Inputs!$B$12*MAX(0,SUM($B$14:$AS$14))*Inputs!$B$10,0)</f>
        <v>110250</v>
      </c>
      <c r="AH17" s="0" t="n">
        <f aca="false">AH14*Inputs!$B$10-IF(AH$3=Inputs!$B$4+Inputs!$B$7+1,Inputs!$B$12*MAX(0,SUM($B$14:$AS$14))*Inputs!$B$10,0)</f>
        <v>110250</v>
      </c>
      <c r="AI17" s="0" t="n">
        <f aca="false">AI14*Inputs!$B$10-IF(AI$3=Inputs!$B$4+Inputs!$B$7+1,Inputs!$B$12*MAX(0,SUM($B$14:$AS$14))*Inputs!$B$10,0)</f>
        <v>110250</v>
      </c>
      <c r="AJ17" s="0" t="n">
        <f aca="false">AJ14*Inputs!$B$10-IF(AJ$3=Inputs!$B$4+Inputs!$B$7+1,Inputs!$B$12*MAX(0,SUM($B$14:$AS$14))*Inputs!$B$10,0)</f>
        <v>110250</v>
      </c>
      <c r="AK17" s="0" t="n">
        <f aca="false">AK14*Inputs!$B$10-IF(AK$3=Inputs!$B$4+Inputs!$B$7+1,Inputs!$B$12*MAX(0,SUM($B$14:$AS$14))*Inputs!$B$10,0)</f>
        <v>110250</v>
      </c>
      <c r="AL17" s="0" t="n">
        <f aca="false">AL14*Inputs!$B$10-IF(AL$3=Inputs!$B$4+Inputs!$B$7+1,Inputs!$B$12*MAX(0,SUM($B$14:$AS$14))*Inputs!$B$10,0)</f>
        <v>110250</v>
      </c>
      <c r="AM17" s="0" t="n">
        <f aca="false">AM14*Inputs!$B$10-IF(AM$3=Inputs!$B$4+Inputs!$B$7+1,Inputs!$B$12*MAX(0,SUM($B$14:$AS$14))*Inputs!$B$10,0)</f>
        <v>110250</v>
      </c>
      <c r="AN17" s="0" t="n">
        <f aca="false">AN14*Inputs!$B$10-IF(AN$3=Inputs!$B$4+Inputs!$B$7+1,Inputs!$B$12*MAX(0,SUM($B$14:$AS$14))*Inputs!$B$10,0)</f>
        <v>110250</v>
      </c>
      <c r="AO17" s="0" t="n">
        <f aca="false">AO14*Inputs!$B$10-IF(AO$3=Inputs!$B$4+Inputs!$B$7+1,Inputs!$B$12*MAX(0,SUM($B$14:$AS$14))*Inputs!$B$10,0)</f>
        <v>110250</v>
      </c>
      <c r="AP17" s="0" t="n">
        <f aca="false">AP14*Inputs!$B$10-IF(AP$3=Inputs!$B$4+Inputs!$B$7+1,Inputs!$B$12*MAX(0,SUM($B$14:$AS$14))*Inputs!$B$10,0)</f>
        <v>110250</v>
      </c>
      <c r="AQ17" s="0" t="n">
        <f aca="false">AQ14*Inputs!$B$10-IF(AQ$3=Inputs!$B$4+Inputs!$B$7+1,Inputs!$B$12*MAX(0,SUM($B$14:$AS$14))*Inputs!$B$10,0)</f>
        <v>110250</v>
      </c>
      <c r="AR17" s="0" t="n">
        <f aca="false">AR14*Inputs!$B$10-IF(AR$3=Inputs!$B$4+Inputs!$B$7+1,Inputs!$B$12*MAX(0,SUM($B$14:$AS$14))*Inputs!$B$10,0)</f>
        <v>110250</v>
      </c>
      <c r="AS17" s="0" t="n">
        <f aca="false">AS14*Inputs!$B$10-IF(AS$3=Inputs!$B$4+Inputs!$B$7+1,Inputs!$B$12*MAX(0,SUM($B$14:$AS$14))*Inputs!$B$10,0)</f>
        <v>17392818.4615385</v>
      </c>
    </row>
    <row r="18" customFormat="false" ht="15" hidden="false" customHeight="false" outlineLevel="0" collapsed="false">
      <c r="A18" s="0" t="s">
        <v>36</v>
      </c>
      <c r="B18" s="0" t="n">
        <f aca="false">B14*(1-Inputs!$B$10)+IF(B$3=Inputs!$B$4+Inputs!$B$7+1,Inputs!$B$12*MAX(0,SUM($B$14:$AS$14))*Inputs!$B$10,0)</f>
        <v>-120000</v>
      </c>
      <c r="C18" s="0" t="n">
        <f aca="false">C14*(1-Inputs!$B$10)+IF(C$3=Inputs!$B$4+Inputs!$B$7+1,Inputs!$B$12*MAX(0,SUM($B$14:$AS$14))*Inputs!$B$10,0)</f>
        <v>-27716.6666666667</v>
      </c>
      <c r="D18" s="0" t="n">
        <f aca="false">D14*(1-Inputs!$B$10)+IF(D$3=Inputs!$B$4+Inputs!$B$7+1,Inputs!$B$12*MAX(0,SUM($B$14:$AS$14))*Inputs!$B$10,0)</f>
        <v>-27950</v>
      </c>
      <c r="E18" s="0" t="n">
        <f aca="false">E14*(1-Inputs!$B$10)+IF(E$3=Inputs!$B$4+Inputs!$B$7+1,Inputs!$B$12*MAX(0,SUM($B$14:$AS$14))*Inputs!$B$10,0)</f>
        <v>-28183.3333333333</v>
      </c>
      <c r="F18" s="0" t="n">
        <f aca="false">F14*(1-Inputs!$B$10)+IF(F$3=Inputs!$B$4+Inputs!$B$7+1,Inputs!$B$12*MAX(0,SUM($B$14:$AS$14))*Inputs!$B$10,0)</f>
        <v>-28416.6666666667</v>
      </c>
      <c r="G18" s="0" t="n">
        <f aca="false">G14*(1-Inputs!$B$10)+IF(G$3=Inputs!$B$4+Inputs!$B$7+1,Inputs!$B$12*MAX(0,SUM($B$14:$AS$14))*Inputs!$B$10,0)</f>
        <v>-28650</v>
      </c>
      <c r="H18" s="0" t="n">
        <f aca="false">H14*(1-Inputs!$B$10)+IF(H$3=Inputs!$B$4+Inputs!$B$7+1,Inputs!$B$12*MAX(0,SUM($B$14:$AS$14))*Inputs!$B$10,0)</f>
        <v>-28883.3333333333</v>
      </c>
      <c r="I18" s="0" t="n">
        <f aca="false">I14*(1-Inputs!$B$10)+IF(I$3=Inputs!$B$4+Inputs!$B$7+1,Inputs!$B$12*MAX(0,SUM($B$14:$AS$14))*Inputs!$B$10,0)</f>
        <v>-29116.6666666667</v>
      </c>
      <c r="J18" s="0" t="n">
        <f aca="false">J14*(1-Inputs!$B$10)+IF(J$3=Inputs!$B$4+Inputs!$B$7+1,Inputs!$B$12*MAX(0,SUM($B$14:$AS$14))*Inputs!$B$10,0)</f>
        <v>-29350</v>
      </c>
      <c r="K18" s="0" t="n">
        <f aca="false">K14*(1-Inputs!$B$10)+IF(K$3=Inputs!$B$4+Inputs!$B$7+1,Inputs!$B$12*MAX(0,SUM($B$14:$AS$14))*Inputs!$B$10,0)</f>
        <v>-29583.3333333333</v>
      </c>
      <c r="L18" s="0" t="n">
        <f aca="false">L14*(1-Inputs!$B$10)+IF(L$3=Inputs!$B$4+Inputs!$B$7+1,Inputs!$B$12*MAX(0,SUM($B$14:$AS$14))*Inputs!$B$10,0)</f>
        <v>-29816.6666666667</v>
      </c>
      <c r="M18" s="0" t="n">
        <f aca="false">M14*(1-Inputs!$B$10)+IF(M$3=Inputs!$B$4+Inputs!$B$7+1,Inputs!$B$12*MAX(0,SUM($B$14:$AS$14))*Inputs!$B$10,0)</f>
        <v>-30050</v>
      </c>
      <c r="N18" s="0" t="n">
        <f aca="false">N14*(1-Inputs!$B$10)+IF(N$3=Inputs!$B$4+Inputs!$B$7+1,Inputs!$B$12*MAX(0,SUM($B$14:$AS$14))*Inputs!$B$10,0)</f>
        <v>-30283.3333333333</v>
      </c>
      <c r="O18" s="0" t="n">
        <f aca="false">O14*(1-Inputs!$B$10)+IF(O$3=Inputs!$B$4+Inputs!$B$7+1,Inputs!$B$12*MAX(0,SUM($B$14:$AS$14))*Inputs!$B$10,0)</f>
        <v>-30516.6666666667</v>
      </c>
      <c r="P18" s="0" t="n">
        <f aca="false">P14*(1-Inputs!$B$10)+IF(P$3=Inputs!$B$4+Inputs!$B$7+1,Inputs!$B$12*MAX(0,SUM($B$14:$AS$14))*Inputs!$B$10,0)</f>
        <v>-30750</v>
      </c>
      <c r="Q18" s="0" t="n">
        <f aca="false">Q14*(1-Inputs!$B$10)+IF(Q$3=Inputs!$B$4+Inputs!$B$7+1,Inputs!$B$12*MAX(0,SUM($B$14:$AS$14))*Inputs!$B$10,0)</f>
        <v>-30983.3333333333</v>
      </c>
      <c r="R18" s="0" t="n">
        <f aca="false">R14*(1-Inputs!$B$10)+IF(R$3=Inputs!$B$4+Inputs!$B$7+1,Inputs!$B$12*MAX(0,SUM($B$14:$AS$14))*Inputs!$B$10,0)</f>
        <v>-31216.6666666667</v>
      </c>
      <c r="S18" s="0" t="n">
        <f aca="false">S14*(1-Inputs!$B$10)+IF(S$3=Inputs!$B$4+Inputs!$B$7+1,Inputs!$B$12*MAX(0,SUM($B$14:$AS$14))*Inputs!$B$10,0)</f>
        <v>-31450</v>
      </c>
      <c r="T18" s="0" t="n">
        <f aca="false">T14*(1-Inputs!$B$10)+IF(T$3=Inputs!$B$4+Inputs!$B$7+1,Inputs!$B$12*MAX(0,SUM($B$14:$AS$14))*Inputs!$B$10,0)</f>
        <v>-31683.3333333333</v>
      </c>
      <c r="U18" s="0" t="n">
        <f aca="false">U14*(1-Inputs!$B$10)+IF(U$3=Inputs!$B$4+Inputs!$B$7+1,Inputs!$B$12*MAX(0,SUM($B$14:$AS$14))*Inputs!$B$10,0)</f>
        <v>12250</v>
      </c>
      <c r="V18" s="0" t="n">
        <f aca="false">V14*(1-Inputs!$B$10)+IF(V$3=Inputs!$B$4+Inputs!$B$7+1,Inputs!$B$12*MAX(0,SUM($B$14:$AS$14))*Inputs!$B$10,0)</f>
        <v>12250</v>
      </c>
      <c r="W18" s="0" t="n">
        <f aca="false">W14*(1-Inputs!$B$10)+IF(W$3=Inputs!$B$4+Inputs!$B$7+1,Inputs!$B$12*MAX(0,SUM($B$14:$AS$14))*Inputs!$B$10,0)</f>
        <v>12250</v>
      </c>
      <c r="X18" s="0" t="n">
        <f aca="false">X14*(1-Inputs!$B$10)+IF(X$3=Inputs!$B$4+Inputs!$B$7+1,Inputs!$B$12*MAX(0,SUM($B$14:$AS$14))*Inputs!$B$10,0)</f>
        <v>12250</v>
      </c>
      <c r="Y18" s="0" t="n">
        <f aca="false">Y14*(1-Inputs!$B$10)+IF(Y$3=Inputs!$B$4+Inputs!$B$7+1,Inputs!$B$12*MAX(0,SUM($B$14:$AS$14))*Inputs!$B$10,0)</f>
        <v>12250</v>
      </c>
      <c r="Z18" s="0" t="n">
        <f aca="false">Z14*(1-Inputs!$B$10)+IF(Z$3=Inputs!$B$4+Inputs!$B$7+1,Inputs!$B$12*MAX(0,SUM($B$14:$AS$14))*Inputs!$B$10,0)</f>
        <v>12250</v>
      </c>
      <c r="AA18" s="0" t="n">
        <f aca="false">AA14*(1-Inputs!$B$10)+IF(AA$3=Inputs!$B$4+Inputs!$B$7+1,Inputs!$B$12*MAX(0,SUM($B$14:$AS$14))*Inputs!$B$10,0)</f>
        <v>12250</v>
      </c>
      <c r="AB18" s="0" t="n">
        <f aca="false">AB14*(1-Inputs!$B$10)+IF(AB$3=Inputs!$B$4+Inputs!$B$7+1,Inputs!$B$12*MAX(0,SUM($B$14:$AS$14))*Inputs!$B$10,0)</f>
        <v>12250</v>
      </c>
      <c r="AC18" s="0" t="n">
        <f aca="false">AC14*(1-Inputs!$B$10)+IF(AC$3=Inputs!$B$4+Inputs!$B$7+1,Inputs!$B$12*MAX(0,SUM($B$14:$AS$14))*Inputs!$B$10,0)</f>
        <v>12250</v>
      </c>
      <c r="AD18" s="0" t="n">
        <f aca="false">AD14*(1-Inputs!$B$10)+IF(AD$3=Inputs!$B$4+Inputs!$B$7+1,Inputs!$B$12*MAX(0,SUM($B$14:$AS$14))*Inputs!$B$10,0)</f>
        <v>12250</v>
      </c>
      <c r="AE18" s="0" t="n">
        <f aca="false">AE14*(1-Inputs!$B$10)+IF(AE$3=Inputs!$B$4+Inputs!$B$7+1,Inputs!$B$12*MAX(0,SUM($B$14:$AS$14))*Inputs!$B$10,0)</f>
        <v>12250</v>
      </c>
      <c r="AF18" s="0" t="n">
        <f aca="false">AF14*(1-Inputs!$B$10)+IF(AF$3=Inputs!$B$4+Inputs!$B$7+1,Inputs!$B$12*MAX(0,SUM($B$14:$AS$14))*Inputs!$B$10,0)</f>
        <v>12250</v>
      </c>
      <c r="AG18" s="0" t="n">
        <f aca="false">AG14*(1-Inputs!$B$10)+IF(AG$3=Inputs!$B$4+Inputs!$B$7+1,Inputs!$B$12*MAX(0,SUM($B$14:$AS$14))*Inputs!$B$10,0)</f>
        <v>12250</v>
      </c>
      <c r="AH18" s="0" t="n">
        <f aca="false">AH14*(1-Inputs!$B$10)+IF(AH$3=Inputs!$B$4+Inputs!$B$7+1,Inputs!$B$12*MAX(0,SUM($B$14:$AS$14))*Inputs!$B$10,0)</f>
        <v>12250</v>
      </c>
      <c r="AI18" s="0" t="n">
        <f aca="false">AI14*(1-Inputs!$B$10)+IF(AI$3=Inputs!$B$4+Inputs!$B$7+1,Inputs!$B$12*MAX(0,SUM($B$14:$AS$14))*Inputs!$B$10,0)</f>
        <v>12250</v>
      </c>
      <c r="AJ18" s="0" t="n">
        <f aca="false">AJ14*(1-Inputs!$B$10)+IF(AJ$3=Inputs!$B$4+Inputs!$B$7+1,Inputs!$B$12*MAX(0,SUM($B$14:$AS$14))*Inputs!$B$10,0)</f>
        <v>12250</v>
      </c>
      <c r="AK18" s="0" t="n">
        <f aca="false">AK14*(1-Inputs!$B$10)+IF(AK$3=Inputs!$B$4+Inputs!$B$7+1,Inputs!$B$12*MAX(0,SUM($B$14:$AS$14))*Inputs!$B$10,0)</f>
        <v>12250</v>
      </c>
      <c r="AL18" s="0" t="n">
        <f aca="false">AL14*(1-Inputs!$B$10)+IF(AL$3=Inputs!$B$4+Inputs!$B$7+1,Inputs!$B$12*MAX(0,SUM($B$14:$AS$14))*Inputs!$B$10,0)</f>
        <v>12250</v>
      </c>
      <c r="AM18" s="0" t="n">
        <f aca="false">AM14*(1-Inputs!$B$10)+IF(AM$3=Inputs!$B$4+Inputs!$B$7+1,Inputs!$B$12*MAX(0,SUM($B$14:$AS$14))*Inputs!$B$10,0)</f>
        <v>12250</v>
      </c>
      <c r="AN18" s="0" t="n">
        <f aca="false">AN14*(1-Inputs!$B$10)+IF(AN$3=Inputs!$B$4+Inputs!$B$7+1,Inputs!$B$12*MAX(0,SUM($B$14:$AS$14))*Inputs!$B$10,0)</f>
        <v>12250</v>
      </c>
      <c r="AO18" s="0" t="n">
        <f aca="false">AO14*(1-Inputs!$B$10)+IF(AO$3=Inputs!$B$4+Inputs!$B$7+1,Inputs!$B$12*MAX(0,SUM($B$14:$AS$14))*Inputs!$B$10,0)</f>
        <v>12250</v>
      </c>
      <c r="AP18" s="0" t="n">
        <f aca="false">AP14*(1-Inputs!$B$10)+IF(AP$3=Inputs!$B$4+Inputs!$B$7+1,Inputs!$B$12*MAX(0,SUM($B$14:$AS$14))*Inputs!$B$10,0)</f>
        <v>12250</v>
      </c>
      <c r="AQ18" s="0" t="n">
        <f aca="false">AQ14*(1-Inputs!$B$10)+IF(AQ$3=Inputs!$B$4+Inputs!$B$7+1,Inputs!$B$12*MAX(0,SUM($B$14:$AS$14))*Inputs!$B$10,0)</f>
        <v>12250</v>
      </c>
      <c r="AR18" s="0" t="n">
        <f aca="false">AR14*(1-Inputs!$B$10)+IF(AR$3=Inputs!$B$4+Inputs!$B$7+1,Inputs!$B$12*MAX(0,SUM($B$14:$AS$14))*Inputs!$B$10,0)</f>
        <v>12250</v>
      </c>
      <c r="AS18" s="0" t="n">
        <f aca="false">AS14*(1-Inputs!$B$10)+IF(AS$3=Inputs!$B$4+Inputs!$B$7+1,Inputs!$B$12*MAX(0,SUM($B$14:$AS$14))*Inputs!$B$10,0)</f>
        <v>5862373.84615385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2026-10-19T09:18:10Z</dcterms:created>
  <dc:creator>openpyxl</dc:creator>
  <dc:description/>
  <dc:language>en-US</dc:language>
  <cp:lastModifiedBy/>
  <dcterms:modified xsi:type="dcterms:W3CDTF">2026-10-19T09:18:10Z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