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Apprais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<sst xmlns="http://schemas.openxmlformats.org/spreadsheetml/2006/main" count="25" uniqueCount="25">
  <si>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WARSAW SOUTH LOGISTICS PARK – DEVELOPMENT (results in EUR)</t>
  </si>
  <si>
    <t xml:space="preserve">GLA (sqm)</t>
  </si>
  <si>
    <t xml:space="preserve">Reporting currency</t>
  </si>
  <si>
    <t xml:space="preserve">EUR</t>
  </si>
  <si>
    <t xml:space="preserve">Rent (EUR/sqm/month)</t>
  </si>
  <si>
    <t xml:space="preserve">Rent-free (months)</t>
  </si>
  <si>
    <t xml:space="preserve">Land (PLN)</t>
  </si>
  <si>
    <t xml:space="preserve">Construction cost (PLN/sqm)</t>
  </si>
  <si>
    <t xml:space="preserve">Professional fees (% of build)</t>
  </si>
  <si>
    <t xml:space="preserve">EUR/PLN exchange rate</t>
  </si>
  <si>
    <t xml:space="preserve">Exit yield</t>
  </si>
  <si>
    <t xml:space="preserve">Lease-up (months)</t>
  </si>
  <si>
    <t xml:space="preserve">Finance cost (% of cost)</t>
  </si>
  <si>
    <t xml:space="preserve">Rent (EUR a year)</t>
  </si>
  <si>
    <t xml:space="preserve">Gross development value (EUR)</t>
  </si>
  <si>
    <t xml:space="preserve">Land (EUR)</t>
  </si>
  <si>
    <t xml:space="preserve">Construction (EUR)</t>
  </si>
  <si>
    <t xml:space="preserve">Fees (EUR)</t>
  </si>
  <si>
    <t xml:space="preserve">Rent-free and lease-up (EUR)</t>
  </si>
  <si>
    <t xml:space="preserve">Finance (EUR)</t>
  </si>
  <si>
    <t xml:space="preserve">Total development cost (EUR)</t>
  </si>
  <si>
    <t xml:space="preserve">Net profit (EUR)</t>
  </si>
  <si>
    <t xml:space="preserve">Profit on cost</t>
  </si>
  <si>
    <t xml:space="preserve">Yield on cost</t>
  </si>
  <si>
    <t xml:space="preserve">Total cost in PLN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</si>
</sst>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"/>
    <numFmt numFmtId="168" formatCode="0.00%"/>
    <numFmt numFmtId="169" formatCode="0.0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85000</v>
      </c>
      <c r="D3" s="2" t="s">
        <v>2</v>
      </c>
      <c r="E3" s="2" t="s">
        <v>3</v>
      </c>
    </row>
    <row r="4" customFormat="false" ht="15" hidden="false" customHeight="false" outlineLevel="0" collapsed="false">
      <c r="A4" s="0" t="s">
        <v>4</v>
      </c>
      <c r="B4" s="3" t="n">
        <v>5.4</v>
      </c>
    </row>
    <row r="5" customFormat="false" ht="15" hidden="false" customHeight="false" outlineLevel="0" collapsed="false">
      <c r="A5" s="0" t="s">
        <v>5</v>
      </c>
      <c r="B5" s="4" t="n">
        <v>6</v>
      </c>
    </row>
    <row r="6" customFormat="false" ht="15" hidden="false" customHeight="false" outlineLevel="0" collapsed="false">
      <c r="A6" s="0" t="s">
        <v>6</v>
      </c>
      <c r="B6" s="1" t="n">
        <v>48000000</v>
      </c>
    </row>
    <row r="7" customFormat="false" ht="15" hidden="false" customHeight="false" outlineLevel="0" collapsed="false">
      <c r="A7" s="0" t="s">
        <v>7</v>
      </c>
      <c r="B7" s="1" t="n">
        <v>2600</v>
      </c>
    </row>
    <row r="8" customFormat="false" ht="15" hidden="false" customHeight="false" outlineLevel="0" collapsed="false">
      <c r="A8" s="0" t="s">
        <v>8</v>
      </c>
      <c r="B8" s="5" t="n">
        <v>0.08</v>
      </c>
    </row>
    <row r="9" customFormat="false" ht="15" hidden="false" customHeight="false" outlineLevel="0" collapsed="false">
      <c r="A9" s="0" t="s">
        <v>9</v>
      </c>
      <c r="B9" s="6" t="n">
        <v>4.32</v>
      </c>
    </row>
    <row r="10" customFormat="false" ht="15" hidden="false" customHeight="false" outlineLevel="0" collapsed="false">
      <c r="A10" s="0" t="s">
        <v>10</v>
      </c>
      <c r="B10" s="5" t="n">
        <v>0.0625</v>
      </c>
    </row>
    <row r="11" customFormat="false" ht="15" hidden="false" customHeight="false" outlineLevel="0" collapsed="false">
      <c r="A11" s="0" t="s">
        <v>11</v>
      </c>
      <c r="B11" s="4" t="n">
        <v>9</v>
      </c>
    </row>
    <row r="12" customFormat="false" ht="15" hidden="false" customHeight="false" outlineLevel="0" collapsed="false">
      <c r="A12" s="0" t="s">
        <v>12</v>
      </c>
      <c r="B12" s="5" t="n">
        <v>0.045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13</v>
      </c>
      <c r="B3" s="1" t="n">
        <f aca="false">Inputs!$B$3*Inputs!$B$4*12</f>
        <v>5508000</v>
      </c>
    </row>
    <row r="4" customFormat="false" ht="15" hidden="false" customHeight="false" outlineLevel="0" collapsed="false">
      <c r="A4" s="0" t="s">
        <v>14</v>
      </c>
      <c r="B4" s="1" t="n">
        <f aca="false">B3/Inputs!$B$10</f>
        <v>88128000</v>
      </c>
    </row>
    <row r="5" customFormat="false" ht="15" hidden="false" customHeight="false" outlineLevel="0" collapsed="false">
      <c r="A5" s="0" t="s">
        <v>15</v>
      </c>
      <c r="B5" s="1" t="n">
        <f aca="false">Inputs!$B$6/Inputs!$B$9</f>
        <v>11111111.1111111</v>
      </c>
    </row>
    <row r="6" customFormat="false" ht="15" hidden="false" customHeight="false" outlineLevel="0" collapsed="false">
      <c r="A6" s="0" t="s">
        <v>16</v>
      </c>
      <c r="B6" s="1" t="n">
        <f aca="false">Inputs!$B$3*Inputs!$B$7/Inputs!$B$9</f>
        <v>51157407.4074074</v>
      </c>
    </row>
    <row r="7" customFormat="false" ht="15" hidden="false" customHeight="false" outlineLevel="0" collapsed="false">
      <c r="A7" s="0" t="s">
        <v>17</v>
      </c>
      <c r="B7" s="1" t="n">
        <f aca="false">B6*Inputs!$B$8</f>
        <v>4092592.59259259</v>
      </c>
    </row>
    <row r="8" customFormat="false" ht="15" hidden="false" customHeight="false" outlineLevel="0" collapsed="false">
      <c r="A8" s="0" t="s">
        <v>18</v>
      </c>
      <c r="B8" s="1" t="n">
        <f aca="false">B3/12*(Inputs!$B$5+Inputs!$B$11)</f>
        <v>6885000</v>
      </c>
    </row>
    <row r="9" customFormat="false" ht="15" hidden="false" customHeight="false" outlineLevel="0" collapsed="false">
      <c r="A9" s="0" t="s">
        <v>19</v>
      </c>
      <c r="B9" s="1" t="n">
        <f aca="false">(B5+B6+B7)*Inputs!$B$12</f>
        <v>2986250</v>
      </c>
    </row>
    <row r="10" customFormat="false" ht="15" hidden="false" customHeight="false" outlineLevel="0" collapsed="false">
      <c r="A10" s="0" t="s">
        <v>20</v>
      </c>
      <c r="B10" s="1" t="n">
        <f aca="false">SUM(B5:B9)</f>
        <v>76232361.1111111</v>
      </c>
    </row>
    <row r="11" customFormat="false" ht="15" hidden="false" customHeight="false" outlineLevel="0" collapsed="false">
      <c r="A11" s="0" t="s">
        <v>21</v>
      </c>
      <c r="B11" s="1" t="n">
        <f aca="false">B4-B10</f>
        <v>11895638.8888889</v>
      </c>
    </row>
    <row r="12" customFormat="false" ht="15" hidden="false" customHeight="false" outlineLevel="0" collapsed="false">
      <c r="A12" s="0" t="s">
        <v>22</v>
      </c>
      <c r="B12" s="5" t="n">
        <f aca="false">B11/B10</f>
        <v>0.156044476591124</v>
      </c>
    </row>
    <row r="13" customFormat="false" ht="15" hidden="false" customHeight="false" outlineLevel="0" collapsed="false">
      <c r="A13" s="0" t="s">
        <v>23</v>
      </c>
      <c r="B13" s="5" t="n">
        <f aca="false">B3/B10</f>
        <v>0.0722527797869453</v>
      </c>
    </row>
    <row r="14" customFormat="false" ht="15" hidden="false" customHeight="false" outlineLevel="0" collapsed="false">
      <c r="A14" s="0" t="s">
        <v>24</v>
      </c>
      <c r="B14" s="1" t="n">
        <f aca="false">B10*Inputs!$B$9</f>
        <v>329323800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2026-10-17T10:02:59Z</dcterms:created>
  <dc:creator>openpyxl</dc:creator>
  <dc:description/>
  <dc:language>en-US</dc:language>
  <cp:lastModifiedBy/>
  <dcterms:modified xsi:type="dcterms:W3CDTF">2026-10-17T10:02:59Z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