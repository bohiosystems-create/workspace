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<sst xmlns="http://schemas.openxmlformats.org/spreadsheetml/2006/main" count="31" uniqueCount="31">
  <si>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CHELTENHAM CARE PORTFOLIO – LONG INCOME, SCULPTED DEBT (GBP)</t>
  </si>
  <si>
    <t xml:space="preserve">Purchase price (£)</t>
  </si>
  <si>
    <t xml:space="preserve">Purchase costs</t>
  </si>
  <si>
    <t xml:space="preserve">Initial rent (£)</t>
  </si>
  <si>
    <t xml:space="preserve">CPI forecast</t>
  </si>
  <si>
    <t xml:space="preserve">Indexation floor</t>
  </si>
  <si>
    <t xml:space="preserve">Indexation cap</t>
  </si>
  <si>
    <t xml:space="preserve">Non-recoverable costs (£ a year)</t>
  </si>
  <si>
    <t xml:space="preserve">Target DSCR</t>
  </si>
  <si>
    <t xml:space="preserve">Loan tenor (years)</t>
  </si>
  <si>
    <t xml:space="preserve">Loan interest rate</t>
  </si>
  <si>
    <t xml:space="preserve">Exit yield</t>
  </si>
  <si>
    <t xml:space="preserve">Hold (years)</t>
  </si>
  <si>
    <t xml:space="preserve">Year</t>
  </si>
  <si>
    <t xml:space="preserve">Indexation</t>
  </si>
  <si>
    <t xml:space="preserve">Rent</t>
  </si>
  <si>
    <t xml:space="preserve">CFADS</t>
  </si>
  <si>
    <t xml:space="preserve">Debt service</t>
  </si>
  <si>
    <t xml:space="preserve">Sale</t>
  </si>
  <si>
    <t xml:space="preserve">Purchase</t>
  </si>
  <si>
    <t xml:space="preserve">Equity cash flow</t>
  </si>
  <si>
    <t xml:space="preserve">Unlevered cash flow</t>
  </si>
  <si>
    <t xml:space="preserve">Debt size (£)</t>
  </si>
  <si>
    <t xml:space="preserve">Gearing (loan to price)</t>
  </si>
  <si>
    <t xml:space="preserve">LLCR</t>
  </si>
  <si>
    <t xml:space="preserve">Minimum DSCR</t>
  </si>
  <si>
    <t xml:space="preserve">Equity in (£)</t>
  </si>
  <si>
    <t xml:space="preserve">Unlevered IRR</t>
  </si>
  <si>
    <t xml:space="preserve">Equity IRR</t>
  </si>
  <si>
    <t xml:space="preserve">Net initial yield</t>
  </si>
  <si>
    <t xml:space="preserve">Net profit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</si>
</sst>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.00\x"/>
    <numFmt numFmtId="168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78000000</v>
      </c>
    </row>
    <row r="4" customFormat="false" ht="15" hidden="false" customHeight="false" outlineLevel="0" collapsed="false">
      <c r="A4" s="0" t="s">
        <v>2</v>
      </c>
      <c r="B4" s="2" t="n">
        <v>0.068</v>
      </c>
    </row>
    <row r="5" customFormat="false" ht="15" hidden="false" customHeight="false" outlineLevel="0" collapsed="false">
      <c r="A5" s="0" t="s">
        <v>3</v>
      </c>
      <c r="B5" s="1" t="n">
        <v>4200000</v>
      </c>
    </row>
    <row r="6" customFormat="false" ht="15" hidden="false" customHeight="false" outlineLevel="0" collapsed="false">
      <c r="A6" s="0" t="s">
        <v>4</v>
      </c>
      <c r="B6" s="2" t="n">
        <v>0.025</v>
      </c>
    </row>
    <row r="7" customFormat="false" ht="15" hidden="false" customHeight="false" outlineLevel="0" collapsed="false">
      <c r="A7" s="0" t="s">
        <v>5</v>
      </c>
      <c r="B7" s="2" t="n">
        <v>0.01</v>
      </c>
    </row>
    <row r="8" customFormat="false" ht="15" hidden="false" customHeight="false" outlineLevel="0" collapsed="false">
      <c r="A8" s="0" t="s">
        <v>6</v>
      </c>
      <c r="B8" s="2" t="n">
        <v>0.04</v>
      </c>
    </row>
    <row r="9" customFormat="false" ht="15" hidden="false" customHeight="false" outlineLevel="0" collapsed="false">
      <c r="A9" s="0" t="s">
        <v>7</v>
      </c>
      <c r="B9" s="1" t="n">
        <v>150000</v>
      </c>
    </row>
    <row r="10" customFormat="false" ht="15" hidden="false" customHeight="false" outlineLevel="0" collapsed="false">
      <c r="A10" s="0" t="s">
        <v>8</v>
      </c>
      <c r="B10" s="3" t="n">
        <v>1.25</v>
      </c>
    </row>
    <row r="11" customFormat="false" ht="15" hidden="false" customHeight="false" outlineLevel="0" collapsed="false">
      <c r="A11" s="0" t="s">
        <v>9</v>
      </c>
      <c r="B11" s="4" t="n">
        <v>20</v>
      </c>
    </row>
    <row r="12" customFormat="false" ht="15" hidden="false" customHeight="false" outlineLevel="0" collapsed="false">
      <c r="A12" s="0" t="s">
        <v>10</v>
      </c>
      <c r="B12" s="2" t="n">
        <v>0.055</v>
      </c>
    </row>
    <row r="13" customFormat="false" ht="15" hidden="false" customHeight="false" outlineLevel="0" collapsed="false">
      <c r="A13" s="0" t="s">
        <v>11</v>
      </c>
      <c r="B13" s="2" t="n">
        <v>0.055</v>
      </c>
    </row>
    <row r="14" customFormat="false" ht="15" hidden="false" customHeight="false" outlineLevel="0" collapsed="false">
      <c r="A14" s="0" t="s">
        <v>12</v>
      </c>
      <c r="B14" s="4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</row>
    <row r="4" customFormat="false" ht="15" hidden="false" customHeight="false" outlineLevel="0" collapsed="false">
      <c r="A4" s="0" t="s">
        <v>14</v>
      </c>
      <c r="B4" s="0" t="n">
        <f aca="false">0</f>
        <v>0</v>
      </c>
      <c r="C4" s="2" t="n">
        <f aca="false">MIN(Inputs!$B$8,MAX(Inputs!$B$7,Inputs!$B$6))</f>
        <v>0.025</v>
      </c>
      <c r="D4" s="2" t="n">
        <f aca="false">MIN(Inputs!$B$8,MAX(Inputs!$B$7,Inputs!$B$6))</f>
        <v>0.025</v>
      </c>
      <c r="E4" s="2" t="n">
        <f aca="false">MIN(Inputs!$B$8,MAX(Inputs!$B$7,Inputs!$B$6))</f>
        <v>0.025</v>
      </c>
      <c r="F4" s="2" t="n">
        <f aca="false">MIN(Inputs!$B$8,MAX(Inputs!$B$7,Inputs!$B$6))</f>
        <v>0.025</v>
      </c>
      <c r="G4" s="2" t="n">
        <f aca="false">MIN(Inputs!$B$8,MAX(Inputs!$B$7,Inputs!$B$6))</f>
        <v>0.025</v>
      </c>
      <c r="H4" s="2" t="n">
        <f aca="false">MIN(Inputs!$B$8,MAX(Inputs!$B$7,Inputs!$B$6))</f>
        <v>0.025</v>
      </c>
      <c r="I4" s="2" t="n">
        <f aca="false">MIN(Inputs!$B$8,MAX(Inputs!$B$7,Inputs!$B$6))</f>
        <v>0.025</v>
      </c>
      <c r="J4" s="2" t="n">
        <f aca="false">MIN(Inputs!$B$8,MAX(Inputs!$B$7,Inputs!$B$6))</f>
        <v>0.025</v>
      </c>
      <c r="K4" s="2" t="n">
        <f aca="false">MIN(Inputs!$B$8,MAX(Inputs!$B$7,Inputs!$B$6))</f>
        <v>0.025</v>
      </c>
      <c r="L4" s="2" t="n">
        <f aca="false">MIN(Inputs!$B$8,MAX(Inputs!$B$7,Inputs!$B$6))</f>
        <v>0.025</v>
      </c>
      <c r="M4" s="2" t="n">
        <f aca="false">MIN(Inputs!$B$8,MAX(Inputs!$B$7,Inputs!$B$6))</f>
        <v>0.025</v>
      </c>
      <c r="N4" s="2" t="n">
        <f aca="false">MIN(Inputs!$B$8,MAX(Inputs!$B$7,Inputs!$B$6))</f>
        <v>0.025</v>
      </c>
      <c r="O4" s="2" t="n">
        <f aca="false">MIN(Inputs!$B$8,MAX(Inputs!$B$7,Inputs!$B$6))</f>
        <v>0.025</v>
      </c>
      <c r="P4" s="2" t="n">
        <f aca="false">MIN(Inputs!$B$8,MAX(Inputs!$B$7,Inputs!$B$6))</f>
        <v>0.025</v>
      </c>
      <c r="Q4" s="2" t="n">
        <f aca="false">MIN(Inputs!$B$8,MAX(Inputs!$B$7,Inputs!$B$6))</f>
        <v>0.025</v>
      </c>
      <c r="R4" s="2" t="n">
        <f aca="false">MIN(Inputs!$B$8,MAX(Inputs!$B$7,Inputs!$B$6))</f>
        <v>0.025</v>
      </c>
      <c r="S4" s="2" t="n">
        <f aca="false">MIN(Inputs!$B$8,MAX(Inputs!$B$7,Inputs!$B$6))</f>
        <v>0.025</v>
      </c>
      <c r="T4" s="2" t="n">
        <f aca="false">MIN(Inputs!$B$8,MAX(Inputs!$B$7,Inputs!$B$6))</f>
        <v>0.025</v>
      </c>
      <c r="U4" s="2" t="n">
        <f aca="false">MIN(Inputs!$B$8,MAX(Inputs!$B$7,Inputs!$B$6))</f>
        <v>0.025</v>
      </c>
      <c r="V4" s="2" t="n">
        <f aca="false">MIN(Inputs!$B$8,MAX(Inputs!$B$7,Inputs!$B$6))</f>
        <v>0.025</v>
      </c>
      <c r="W4" s="2" t="n">
        <f aca="false">MIN(Inputs!$B$8,MAX(Inputs!$B$7,Inputs!$B$6))</f>
        <v>0.025</v>
      </c>
      <c r="X4" s="2" t="n">
        <f aca="false">MIN(Inputs!$B$8,MAX(Inputs!$B$7,Inputs!$B$6))</f>
        <v>0.025</v>
      </c>
      <c r="Y4" s="2" t="n">
        <f aca="false">MIN(Inputs!$B$8,MAX(Inputs!$B$7,Inputs!$B$6))</f>
        <v>0.025</v>
      </c>
      <c r="Z4" s="2" t="n">
        <f aca="false">MIN(Inputs!$B$8,MAX(Inputs!$B$7,Inputs!$B$6))</f>
        <v>0.025</v>
      </c>
      <c r="AA4" s="2" t="n">
        <f aca="false">MIN(Inputs!$B$8,MAX(Inputs!$B$7,Inputs!$B$6))</f>
        <v>0.025</v>
      </c>
    </row>
    <row r="5" customFormat="false" ht="15" hidden="false" customHeight="false" outlineLevel="0" collapsed="false">
      <c r="A5" s="0" t="s">
        <v>15</v>
      </c>
      <c r="B5" s="0" t="n">
        <f aca="false">0</f>
        <v>0</v>
      </c>
      <c r="C5" s="1" t="n">
        <f aca="false">Inputs!$B$5</f>
        <v>4200000</v>
      </c>
      <c r="D5" s="0" t="n">
        <f aca="false">C5*(1+D4)</f>
        <v>4305000</v>
      </c>
      <c r="E5" s="0" t="n">
        <f aca="false">D5*(1+E4)</f>
        <v>4412625</v>
      </c>
      <c r="F5" s="0" t="n">
        <f aca="false">E5*(1+F4)</f>
        <v>4522940.625</v>
      </c>
      <c r="G5" s="0" t="n">
        <f aca="false">F5*(1+G4)</f>
        <v>4636014.140625</v>
      </c>
      <c r="H5" s="0" t="n">
        <f aca="false">G5*(1+H4)</f>
        <v>4751914.49414063</v>
      </c>
      <c r="I5" s="0" t="n">
        <f aca="false">H5*(1+I4)</f>
        <v>4870712.35649414</v>
      </c>
      <c r="J5" s="0" t="n">
        <f aca="false">I5*(1+J4)</f>
        <v>4992480.16540649</v>
      </c>
      <c r="K5" s="0" t="n">
        <f aca="false">J5*(1+K4)</f>
        <v>5117292.16954165</v>
      </c>
      <c r="L5" s="0" t="n">
        <f aca="false">K5*(1+L4)</f>
        <v>5245224.4737802</v>
      </c>
      <c r="M5" s="0" t="n">
        <f aca="false">L5*(1+M4)</f>
        <v>5376355.0856247</v>
      </c>
      <c r="N5" s="0" t="n">
        <f aca="false">M5*(1+N4)</f>
        <v>5510763.96276532</v>
      </c>
      <c r="O5" s="0" t="n">
        <f aca="false">N5*(1+O4)</f>
        <v>5648533.06183445</v>
      </c>
      <c r="P5" s="0" t="n">
        <f aca="false">O5*(1+P4)</f>
        <v>5789746.38838031</v>
      </c>
      <c r="Q5" s="0" t="n">
        <f aca="false">P5*(1+Q4)</f>
        <v>5934490.04808982</v>
      </c>
      <c r="R5" s="0" t="n">
        <f aca="false">Q5*(1+R4)</f>
        <v>6082852.29929206</v>
      </c>
      <c r="S5" s="0" t="n">
        <f aca="false">R5*(1+S4)</f>
        <v>6234923.60677436</v>
      </c>
      <c r="T5" s="0" t="n">
        <f aca="false">S5*(1+T4)</f>
        <v>6390796.69694372</v>
      </c>
      <c r="U5" s="0" t="n">
        <f aca="false">T5*(1+U4)</f>
        <v>6550566.61436732</v>
      </c>
      <c r="V5" s="0" t="n">
        <f aca="false">U5*(1+V4)</f>
        <v>6714330.7797265</v>
      </c>
      <c r="W5" s="0" t="n">
        <f aca="false">V5*(1+W4)</f>
        <v>6882189.04921966</v>
      </c>
      <c r="X5" s="0" t="n">
        <f aca="false">W5*(1+X4)</f>
        <v>7054243.77545015</v>
      </c>
      <c r="Y5" s="0" t="n">
        <f aca="false">X5*(1+Y4)</f>
        <v>7230599.8698364</v>
      </c>
      <c r="Z5" s="0" t="n">
        <f aca="false">Y5*(1+Z4)</f>
        <v>7411364.86658231</v>
      </c>
      <c r="AA5" s="0" t="n">
        <f aca="false">Z5*(1+AA4)</f>
        <v>7596648.98824687</v>
      </c>
    </row>
    <row r="6" customFormat="false" ht="15" hidden="false" customHeight="false" outlineLevel="0" collapsed="false">
      <c r="A6" s="0" t="s">
        <v>16</v>
      </c>
      <c r="B6" s="0" t="n">
        <f aca="false">IF(AND(B$3&gt;=1,B$3&lt;=Inputs!$B$14),B5-Inputs!$B$9,0)</f>
        <v>0</v>
      </c>
      <c r="C6" s="0" t="n">
        <f aca="false">IF(AND(C$3&gt;=1,C$3&lt;=Inputs!$B$14),C5-Inputs!$B$9,0)</f>
        <v>4050000</v>
      </c>
      <c r="D6" s="0" t="n">
        <f aca="false">IF(AND(D$3&gt;=1,D$3&lt;=Inputs!$B$14),D5-Inputs!$B$9,0)</f>
        <v>4155000</v>
      </c>
      <c r="E6" s="0" t="n">
        <f aca="false">IF(AND(E$3&gt;=1,E$3&lt;=Inputs!$B$14),E5-Inputs!$B$9,0)</f>
        <v>4262625</v>
      </c>
      <c r="F6" s="0" t="n">
        <f aca="false">IF(AND(F$3&gt;=1,F$3&lt;=Inputs!$B$14),F5-Inputs!$B$9,0)</f>
        <v>4372940.625</v>
      </c>
      <c r="G6" s="0" t="n">
        <f aca="false">IF(AND(G$3&gt;=1,G$3&lt;=Inputs!$B$14),G5-Inputs!$B$9,0)</f>
        <v>4486014.140625</v>
      </c>
      <c r="H6" s="0" t="n">
        <f aca="false">IF(AND(H$3&gt;=1,H$3&lt;=Inputs!$B$14),H5-Inputs!$B$9,0)</f>
        <v>4601914.49414063</v>
      </c>
      <c r="I6" s="0" t="n">
        <f aca="false">IF(AND(I$3&gt;=1,I$3&lt;=Inputs!$B$14),I5-Inputs!$B$9,0)</f>
        <v>4720712.35649414</v>
      </c>
      <c r="J6" s="0" t="n">
        <f aca="false">IF(AND(J$3&gt;=1,J$3&lt;=Inputs!$B$14),J5-Inputs!$B$9,0)</f>
        <v>4842480.16540649</v>
      </c>
      <c r="K6" s="0" t="n">
        <f aca="false">IF(AND(K$3&gt;=1,K$3&lt;=Inputs!$B$14),K5-Inputs!$B$9,0)</f>
        <v>4967292.16954165</v>
      </c>
      <c r="L6" s="0" t="n">
        <f aca="false">IF(AND(L$3&gt;=1,L$3&lt;=Inputs!$B$14),L5-Inputs!$B$9,0)</f>
        <v>5095224.4737802</v>
      </c>
      <c r="M6" s="0" t="n">
        <f aca="false">IF(AND(M$3&gt;=1,M$3&lt;=Inputs!$B$14),M5-Inputs!$B$9,0)</f>
        <v>5226355.0856247</v>
      </c>
      <c r="N6" s="0" t="n">
        <f aca="false">IF(AND(N$3&gt;=1,N$3&lt;=Inputs!$B$14),N5-Inputs!$B$9,0)</f>
        <v>5360763.96276532</v>
      </c>
      <c r="O6" s="0" t="n">
        <f aca="false">IF(AND(O$3&gt;=1,O$3&lt;=Inputs!$B$14),O5-Inputs!$B$9,0)</f>
        <v>5498533.06183445</v>
      </c>
      <c r="P6" s="0" t="n">
        <f aca="false">IF(AND(P$3&gt;=1,P$3&lt;=Inputs!$B$14),P5-Inputs!$B$9,0)</f>
        <v>5639746.38838031</v>
      </c>
      <c r="Q6" s="0" t="n">
        <f aca="false">IF(AND(Q$3&gt;=1,Q$3&lt;=Inputs!$B$14),Q5-Inputs!$B$9,0)</f>
        <v>5784490.04808982</v>
      </c>
      <c r="R6" s="0" t="n">
        <f aca="false">IF(AND(R$3&gt;=1,R$3&lt;=Inputs!$B$14),R5-Inputs!$B$9,0)</f>
        <v>5932852.29929206</v>
      </c>
      <c r="S6" s="0" t="n">
        <f aca="false">IF(AND(S$3&gt;=1,S$3&lt;=Inputs!$B$14),S5-Inputs!$B$9,0)</f>
        <v>6084923.60677436</v>
      </c>
      <c r="T6" s="0" t="n">
        <f aca="false">IF(AND(T$3&gt;=1,T$3&lt;=Inputs!$B$14),T5-Inputs!$B$9,0)</f>
        <v>6240796.69694372</v>
      </c>
      <c r="U6" s="0" t="n">
        <f aca="false">IF(AND(U$3&gt;=1,U$3&lt;=Inputs!$B$14),U5-Inputs!$B$9,0)</f>
        <v>6400566.61436732</v>
      </c>
      <c r="V6" s="0" t="n">
        <f aca="false">IF(AND(V$3&gt;=1,V$3&lt;=Inputs!$B$14),V5-Inputs!$B$9,0)</f>
        <v>6564330.7797265</v>
      </c>
      <c r="W6" s="0" t="n">
        <f aca="false">IF(AND(W$3&gt;=1,W$3&lt;=Inputs!$B$14),W5-Inputs!$B$9,0)</f>
        <v>6732189.04921966</v>
      </c>
      <c r="X6" s="0" t="n">
        <f aca="false">IF(AND(X$3&gt;=1,X$3&lt;=Inputs!$B$14),X5-Inputs!$B$9,0)</f>
        <v>6904243.77545015</v>
      </c>
      <c r="Y6" s="0" t="n">
        <f aca="false">IF(AND(Y$3&gt;=1,Y$3&lt;=Inputs!$B$14),Y5-Inputs!$B$9,0)</f>
        <v>7080599.8698364</v>
      </c>
      <c r="Z6" s="0" t="n">
        <f aca="false">IF(AND(Z$3&gt;=1,Z$3&lt;=Inputs!$B$14),Z5-Inputs!$B$9,0)</f>
        <v>7261364.86658231</v>
      </c>
      <c r="AA6" s="0" t="n">
        <f aca="false">IF(AND(AA$3&gt;=1,AA$3&lt;=Inputs!$B$14),AA5-Inputs!$B$9,0)</f>
        <v>7446648.98824687</v>
      </c>
    </row>
    <row r="7" customFormat="false" ht="15" hidden="false" customHeight="false" outlineLevel="0" collapsed="false">
      <c r="A7" s="0" t="s">
        <v>17</v>
      </c>
      <c r="B7" s="0" t="n">
        <f aca="false">IF(AND(B$3&gt;=1,B$3&lt;=Inputs!$B$11),B6/Inputs!$B$10,0)</f>
        <v>0</v>
      </c>
      <c r="C7" s="0" t="n">
        <f aca="false">IF(AND(C$3&gt;=1,C$3&lt;=Inputs!$B$11),C6/Inputs!$B$10,0)</f>
        <v>3240000</v>
      </c>
      <c r="D7" s="0" t="n">
        <f aca="false">IF(AND(D$3&gt;=1,D$3&lt;=Inputs!$B$11),D6/Inputs!$B$10,0)</f>
        <v>3324000</v>
      </c>
      <c r="E7" s="0" t="n">
        <f aca="false">IF(AND(E$3&gt;=1,E$3&lt;=Inputs!$B$11),E6/Inputs!$B$10,0)</f>
        <v>3410100</v>
      </c>
      <c r="F7" s="0" t="n">
        <f aca="false">IF(AND(F$3&gt;=1,F$3&lt;=Inputs!$B$11),F6/Inputs!$B$10,0)</f>
        <v>3498352.5</v>
      </c>
      <c r="G7" s="0" t="n">
        <f aca="false">IF(AND(G$3&gt;=1,G$3&lt;=Inputs!$B$11),G6/Inputs!$B$10,0)</f>
        <v>3588811.3125</v>
      </c>
      <c r="H7" s="0" t="n">
        <f aca="false">IF(AND(H$3&gt;=1,H$3&lt;=Inputs!$B$11),H6/Inputs!$B$10,0)</f>
        <v>3681531.5953125</v>
      </c>
      <c r="I7" s="0" t="n">
        <f aca="false">IF(AND(I$3&gt;=1,I$3&lt;=Inputs!$B$11),I6/Inputs!$B$10,0)</f>
        <v>3776569.88519531</v>
      </c>
      <c r="J7" s="0" t="n">
        <f aca="false">IF(AND(J$3&gt;=1,J$3&lt;=Inputs!$B$11),J6/Inputs!$B$10,0)</f>
        <v>3873984.13232519</v>
      </c>
      <c r="K7" s="0" t="n">
        <f aca="false">IF(AND(K$3&gt;=1,K$3&lt;=Inputs!$B$11),K6/Inputs!$B$10,0)</f>
        <v>3973833.73563332</v>
      </c>
      <c r="L7" s="0" t="n">
        <f aca="false">IF(AND(L$3&gt;=1,L$3&lt;=Inputs!$B$11),L6/Inputs!$B$10,0)</f>
        <v>4076179.57902416</v>
      </c>
      <c r="M7" s="0" t="n">
        <f aca="false">IF(AND(M$3&gt;=1,M$3&lt;=Inputs!$B$11),M6/Inputs!$B$10,0)</f>
        <v>4181084.06849976</v>
      </c>
      <c r="N7" s="0" t="n">
        <f aca="false">IF(AND(N$3&gt;=1,N$3&lt;=Inputs!$B$11),N6/Inputs!$B$10,0)</f>
        <v>4288611.17021225</v>
      </c>
      <c r="O7" s="0" t="n">
        <f aca="false">IF(AND(O$3&gt;=1,O$3&lt;=Inputs!$B$11),O6/Inputs!$B$10,0)</f>
        <v>4398826.44946756</v>
      </c>
      <c r="P7" s="0" t="n">
        <f aca="false">IF(AND(P$3&gt;=1,P$3&lt;=Inputs!$B$11),P6/Inputs!$B$10,0)</f>
        <v>4511797.11070425</v>
      </c>
      <c r="Q7" s="0" t="n">
        <f aca="false">IF(AND(Q$3&gt;=1,Q$3&lt;=Inputs!$B$11),Q6/Inputs!$B$10,0)</f>
        <v>4627592.03847185</v>
      </c>
      <c r="R7" s="0" t="n">
        <f aca="false">IF(AND(R$3&gt;=1,R$3&lt;=Inputs!$B$11),R6/Inputs!$B$10,0)</f>
        <v>4746281.83943365</v>
      </c>
      <c r="S7" s="0" t="n">
        <f aca="false">IF(AND(S$3&gt;=1,S$3&lt;=Inputs!$B$11),S6/Inputs!$B$10,0)</f>
        <v>4867938.88541949</v>
      </c>
      <c r="T7" s="0" t="n">
        <f aca="false">IF(AND(T$3&gt;=1,T$3&lt;=Inputs!$B$11),T6/Inputs!$B$10,0)</f>
        <v>4992637.35755498</v>
      </c>
      <c r="U7" s="0" t="n">
        <f aca="false">IF(AND(U$3&gt;=1,U$3&lt;=Inputs!$B$11),U6/Inputs!$B$10,0)</f>
        <v>5120453.29149385</v>
      </c>
      <c r="V7" s="0" t="n">
        <f aca="false">IF(AND(V$3&gt;=1,V$3&lt;=Inputs!$B$11),V6/Inputs!$B$10,0)</f>
        <v>5251464.6237812</v>
      </c>
      <c r="W7" s="0" t="n">
        <f aca="false">IF(AND(W$3&gt;=1,W$3&lt;=Inputs!$B$11),W6/Inputs!$B$10,0)</f>
        <v>0</v>
      </c>
      <c r="X7" s="0" t="n">
        <f aca="false">IF(AND(X$3&gt;=1,X$3&lt;=Inputs!$B$11),X6/Inputs!$B$10,0)</f>
        <v>0</v>
      </c>
      <c r="Y7" s="0" t="n">
        <f aca="false">IF(AND(Y$3&gt;=1,Y$3&lt;=Inputs!$B$11),Y6/Inputs!$B$10,0)</f>
        <v>0</v>
      </c>
      <c r="Z7" s="0" t="n">
        <f aca="false">IF(AND(Z$3&gt;=1,Z$3&lt;=Inputs!$B$11),Z6/Inputs!$B$10,0)</f>
        <v>0</v>
      </c>
      <c r="AA7" s="0" t="n">
        <f aca="false">IF(AND(AA$3&gt;=1,AA$3&lt;=Inputs!$B$11),AA6/Inputs!$B$10,0)</f>
        <v>0</v>
      </c>
    </row>
    <row r="8" customFormat="false" ht="15" hidden="false" customHeight="false" outlineLevel="0" collapsed="false">
      <c r="A8" s="0" t="s">
        <v>18</v>
      </c>
      <c r="B8" s="0" t="n">
        <f aca="false">IF(B$3=Inputs!$B$14,B5*(1+B4)/Inputs!$B$13,0)</f>
        <v>0</v>
      </c>
      <c r="C8" s="0" t="n">
        <f aca="false">IF(C$3=Inputs!$B$14,C5*(1+C4)/Inputs!$B$13,0)</f>
        <v>0</v>
      </c>
      <c r="D8" s="0" t="n">
        <f aca="false">IF(D$3=Inputs!$B$14,D5*(1+D4)/Inputs!$B$13,0)</f>
        <v>0</v>
      </c>
      <c r="E8" s="0" t="n">
        <f aca="false">IF(E$3=Inputs!$B$14,E5*(1+E4)/Inputs!$B$13,0)</f>
        <v>0</v>
      </c>
      <c r="F8" s="0" t="n">
        <f aca="false">IF(F$3=Inputs!$B$14,F5*(1+F4)/Inputs!$B$13,0)</f>
        <v>0</v>
      </c>
      <c r="G8" s="0" t="n">
        <f aca="false">IF(G$3=Inputs!$B$14,G5*(1+G4)/Inputs!$B$13,0)</f>
        <v>0</v>
      </c>
      <c r="H8" s="0" t="n">
        <f aca="false">IF(H$3=Inputs!$B$14,H5*(1+H4)/Inputs!$B$13,0)</f>
        <v>0</v>
      </c>
      <c r="I8" s="0" t="n">
        <f aca="false">IF(I$3=Inputs!$B$14,I5*(1+I4)/Inputs!$B$13,0)</f>
        <v>0</v>
      </c>
      <c r="J8" s="0" t="n">
        <f aca="false">IF(J$3=Inputs!$B$14,J5*(1+J4)/Inputs!$B$13,0)</f>
        <v>0</v>
      </c>
      <c r="K8" s="0" t="n">
        <f aca="false">IF(K$3=Inputs!$B$14,K5*(1+K4)/Inputs!$B$13,0)</f>
        <v>0</v>
      </c>
      <c r="L8" s="0" t="n">
        <f aca="false">IF(L$3=Inputs!$B$14,L5*(1+L4)/Inputs!$B$13,0)</f>
        <v>0</v>
      </c>
      <c r="M8" s="0" t="n">
        <f aca="false">IF(M$3=Inputs!$B$14,M5*(1+M4)/Inputs!$B$13,0)</f>
        <v>0</v>
      </c>
      <c r="N8" s="0" t="n">
        <f aca="false">IF(N$3=Inputs!$B$14,N5*(1+N4)/Inputs!$B$13,0)</f>
        <v>0</v>
      </c>
      <c r="O8" s="0" t="n">
        <f aca="false">IF(O$3=Inputs!$B$14,O5*(1+O4)/Inputs!$B$13,0)</f>
        <v>0</v>
      </c>
      <c r="P8" s="0" t="n">
        <f aca="false">IF(P$3=Inputs!$B$14,P5*(1+P4)/Inputs!$B$13,0)</f>
        <v>0</v>
      </c>
      <c r="Q8" s="0" t="n">
        <f aca="false">IF(Q$3=Inputs!$B$14,Q5*(1+Q4)/Inputs!$B$13,0)</f>
        <v>0</v>
      </c>
      <c r="R8" s="0" t="n">
        <f aca="false">IF(R$3=Inputs!$B$14,R5*(1+R4)/Inputs!$B$13,0)</f>
        <v>0</v>
      </c>
      <c r="S8" s="0" t="n">
        <f aca="false">IF(S$3=Inputs!$B$14,S5*(1+S4)/Inputs!$B$13,0)</f>
        <v>0</v>
      </c>
      <c r="T8" s="0" t="n">
        <f aca="false">IF(T$3=Inputs!$B$14,T5*(1+T4)/Inputs!$B$13,0)</f>
        <v>0</v>
      </c>
      <c r="U8" s="0" t="n">
        <f aca="false">IF(U$3=Inputs!$B$14,U5*(1+U4)/Inputs!$B$13,0)</f>
        <v>0</v>
      </c>
      <c r="V8" s="0" t="n">
        <f aca="false">IF(V$3=Inputs!$B$14,V5*(1+V4)/Inputs!$B$13,0)</f>
        <v>0</v>
      </c>
      <c r="W8" s="0" t="n">
        <f aca="false">IF(W$3=Inputs!$B$14,W5*(1+W4)/Inputs!$B$13,0)</f>
        <v>0</v>
      </c>
      <c r="X8" s="0" t="n">
        <f aca="false">IF(X$3=Inputs!$B$14,X5*(1+X4)/Inputs!$B$13,0)</f>
        <v>0</v>
      </c>
      <c r="Y8" s="0" t="n">
        <f aca="false">IF(Y$3=Inputs!$B$14,Y5*(1+Y4)/Inputs!$B$13,0)</f>
        <v>0</v>
      </c>
      <c r="Z8" s="0" t="n">
        <f aca="false">IF(Z$3=Inputs!$B$14,Z5*(1+Z4)/Inputs!$B$13,0)</f>
        <v>0</v>
      </c>
      <c r="AA8" s="0" t="n">
        <f aca="false">IF(AA$3=Inputs!$B$14,AA5*(1+AA4)/Inputs!$B$13,0)</f>
        <v>141573912.962783</v>
      </c>
    </row>
    <row r="9" customFormat="false" ht="15" hidden="false" customHeight="false" outlineLevel="0" collapsed="false">
      <c r="A9" s="0" t="s">
        <v>19</v>
      </c>
      <c r="B9" s="0" t="n">
        <f aca="false">IF(B$3=0,-Inputs!$B$3*(1+Inputs!$B$4),0)</f>
        <v>-83304000</v>
      </c>
      <c r="C9" s="0" t="n">
        <f aca="false">IF(C$3=0,-Inputs!$B$3*(1+Inputs!$B$4),0)</f>
        <v>0</v>
      </c>
      <c r="D9" s="0" t="n">
        <f aca="false">IF(D$3=0,-Inputs!$B$3*(1+Inputs!$B$4),0)</f>
        <v>0</v>
      </c>
      <c r="E9" s="0" t="n">
        <f aca="false">IF(E$3=0,-Inputs!$B$3*(1+Inputs!$B$4),0)</f>
        <v>0</v>
      </c>
      <c r="F9" s="0" t="n">
        <f aca="false">IF(F$3=0,-Inputs!$B$3*(1+Inputs!$B$4),0)</f>
        <v>0</v>
      </c>
      <c r="G9" s="0" t="n">
        <f aca="false">IF(G$3=0,-Inputs!$B$3*(1+Inputs!$B$4),0)</f>
        <v>0</v>
      </c>
      <c r="H9" s="0" t="n">
        <f aca="false">IF(H$3=0,-Inputs!$B$3*(1+Inputs!$B$4),0)</f>
        <v>0</v>
      </c>
      <c r="I9" s="0" t="n">
        <f aca="false">IF(I$3=0,-Inputs!$B$3*(1+Inputs!$B$4),0)</f>
        <v>0</v>
      </c>
      <c r="J9" s="0" t="n">
        <f aca="false">IF(J$3=0,-Inputs!$B$3*(1+Inputs!$B$4),0)</f>
        <v>0</v>
      </c>
      <c r="K9" s="0" t="n">
        <f aca="false">IF(K$3=0,-Inputs!$B$3*(1+Inputs!$B$4),0)</f>
        <v>0</v>
      </c>
      <c r="L9" s="0" t="n">
        <f aca="false">IF(L$3=0,-Inputs!$B$3*(1+Inputs!$B$4),0)</f>
        <v>0</v>
      </c>
      <c r="M9" s="0" t="n">
        <f aca="false">IF(M$3=0,-Inputs!$B$3*(1+Inputs!$B$4),0)</f>
        <v>0</v>
      </c>
      <c r="N9" s="0" t="n">
        <f aca="false">IF(N$3=0,-Inputs!$B$3*(1+Inputs!$B$4),0)</f>
        <v>0</v>
      </c>
      <c r="O9" s="0" t="n">
        <f aca="false">IF(O$3=0,-Inputs!$B$3*(1+Inputs!$B$4),0)</f>
        <v>0</v>
      </c>
      <c r="P9" s="0" t="n">
        <f aca="false">IF(P$3=0,-Inputs!$B$3*(1+Inputs!$B$4),0)</f>
        <v>0</v>
      </c>
      <c r="Q9" s="0" t="n">
        <f aca="false">IF(Q$3=0,-Inputs!$B$3*(1+Inputs!$B$4),0)</f>
        <v>0</v>
      </c>
      <c r="R9" s="0" t="n">
        <f aca="false">IF(R$3=0,-Inputs!$B$3*(1+Inputs!$B$4),0)</f>
        <v>0</v>
      </c>
      <c r="S9" s="0" t="n">
        <f aca="false">IF(S$3=0,-Inputs!$B$3*(1+Inputs!$B$4),0)</f>
        <v>0</v>
      </c>
      <c r="T9" s="0" t="n">
        <f aca="false">IF(T$3=0,-Inputs!$B$3*(1+Inputs!$B$4),0)</f>
        <v>0</v>
      </c>
      <c r="U9" s="0" t="n">
        <f aca="false">IF(U$3=0,-Inputs!$B$3*(1+Inputs!$B$4),0)</f>
        <v>0</v>
      </c>
      <c r="V9" s="0" t="n">
        <f aca="false">IF(V$3=0,-Inputs!$B$3*(1+Inputs!$B$4),0)</f>
        <v>0</v>
      </c>
      <c r="W9" s="0" t="n">
        <f aca="false">IF(W$3=0,-Inputs!$B$3*(1+Inputs!$B$4),0)</f>
        <v>0</v>
      </c>
      <c r="X9" s="0" t="n">
        <f aca="false">IF(X$3=0,-Inputs!$B$3*(1+Inputs!$B$4),0)</f>
        <v>0</v>
      </c>
      <c r="Y9" s="0" t="n">
        <f aca="false">IF(Y$3=0,-Inputs!$B$3*(1+Inputs!$B$4),0)</f>
        <v>0</v>
      </c>
      <c r="Z9" s="0" t="n">
        <f aca="false">IF(Z$3=0,-Inputs!$B$3*(1+Inputs!$B$4),0)</f>
        <v>0</v>
      </c>
      <c r="AA9" s="0" t="n">
        <f aca="false">IF(AA$3=0,-Inputs!$B$3*(1+Inputs!$B$4),0)</f>
        <v>0</v>
      </c>
    </row>
    <row r="10" customFormat="false" ht="15" hidden="false" customHeight="false" outlineLevel="0" collapsed="false">
      <c r="A10" s="0" t="s">
        <v>20</v>
      </c>
      <c r="B10" s="0" t="n">
        <f aca="false">IF(B$3=0,Debt!$B$3,0)-B7+B11</f>
        <v>-35637393.0521345</v>
      </c>
      <c r="C10" s="0" t="n">
        <f aca="false">IF(C$3=0,Debt!$B$3,0)-C7+C11</f>
        <v>810000</v>
      </c>
      <c r="D10" s="0" t="n">
        <f aca="false">IF(D$3=0,Debt!$B$3,0)-D7+D11</f>
        <v>831000</v>
      </c>
      <c r="E10" s="0" t="n">
        <f aca="false">IF(E$3=0,Debt!$B$3,0)-E7+E11</f>
        <v>852525</v>
      </c>
      <c r="F10" s="0" t="n">
        <f aca="false">IF(F$3=0,Debt!$B$3,0)-F7+F11</f>
        <v>874588.125</v>
      </c>
      <c r="G10" s="0" t="n">
        <f aca="false">IF(G$3=0,Debt!$B$3,0)-G7+G11</f>
        <v>897202.828125</v>
      </c>
      <c r="H10" s="0" t="n">
        <f aca="false">IF(H$3=0,Debt!$B$3,0)-H7+H11</f>
        <v>920382.898828125</v>
      </c>
      <c r="I10" s="0" t="n">
        <f aca="false">IF(I$3=0,Debt!$B$3,0)-I7+I11</f>
        <v>944142.471298828</v>
      </c>
      <c r="J10" s="0" t="n">
        <f aca="false">IF(J$3=0,Debt!$B$3,0)-J7+J11</f>
        <v>968496.033081299</v>
      </c>
      <c r="K10" s="0" t="n">
        <f aca="false">IF(K$3=0,Debt!$B$3,0)-K7+K11</f>
        <v>993458.433908331</v>
      </c>
      <c r="L10" s="0" t="n">
        <f aca="false">IF(L$3=0,Debt!$B$3,0)-L7+L11</f>
        <v>1019044.89475604</v>
      </c>
      <c r="M10" s="0" t="n">
        <f aca="false">IF(M$3=0,Debt!$B$3,0)-M7+M11</f>
        <v>1045271.01712494</v>
      </c>
      <c r="N10" s="0" t="n">
        <f aca="false">IF(N$3=0,Debt!$B$3,0)-N7+N11</f>
        <v>1072152.79255306</v>
      </c>
      <c r="O10" s="0" t="n">
        <f aca="false">IF(O$3=0,Debt!$B$3,0)-O7+O11</f>
        <v>1099706.61236689</v>
      </c>
      <c r="P10" s="0" t="n">
        <f aca="false">IF(P$3=0,Debt!$B$3,0)-P7+P11</f>
        <v>1127949.27767606</v>
      </c>
      <c r="Q10" s="0" t="n">
        <f aca="false">IF(Q$3=0,Debt!$B$3,0)-Q7+Q11</f>
        <v>1156898.00961796</v>
      </c>
      <c r="R10" s="0" t="n">
        <f aca="false">IF(R$3=0,Debt!$B$3,0)-R7+R11</f>
        <v>1186570.45985841</v>
      </c>
      <c r="S10" s="0" t="n">
        <f aca="false">IF(S$3=0,Debt!$B$3,0)-S7+S11</f>
        <v>1216984.72135487</v>
      </c>
      <c r="T10" s="0" t="n">
        <f aca="false">IF(T$3=0,Debt!$B$3,0)-T7+T11</f>
        <v>1248159.33938875</v>
      </c>
      <c r="U10" s="0" t="n">
        <f aca="false">IF(U$3=0,Debt!$B$3,0)-U7+U11</f>
        <v>1280113.32287346</v>
      </c>
      <c r="V10" s="0" t="n">
        <f aca="false">IF(V$3=0,Debt!$B$3,0)-V7+V11</f>
        <v>1312866.1559453</v>
      </c>
      <c r="W10" s="0" t="n">
        <f aca="false">IF(W$3=0,Debt!$B$3,0)-W7+W11</f>
        <v>6732189.04921966</v>
      </c>
      <c r="X10" s="0" t="n">
        <f aca="false">IF(X$3=0,Debt!$B$3,0)-X7+X11</f>
        <v>6904243.77545015</v>
      </c>
      <c r="Y10" s="0" t="n">
        <f aca="false">IF(Y$3=0,Debt!$B$3,0)-Y7+Y11</f>
        <v>7080599.8698364</v>
      </c>
      <c r="Z10" s="0" t="n">
        <f aca="false">IF(Z$3=0,Debt!$B$3,0)-Z7+Z11</f>
        <v>7261364.86658231</v>
      </c>
      <c r="AA10" s="0" t="n">
        <f aca="false">IF(AA$3=0,Debt!$B$3,0)-AA7+AA11</f>
        <v>149020561.951029</v>
      </c>
    </row>
    <row r="11" customFormat="false" ht="15" hidden="false" customHeight="false" outlineLevel="0" collapsed="false">
      <c r="A11" s="0" t="s">
        <v>21</v>
      </c>
      <c r="B11" s="0" t="n">
        <f aca="false">B6+B8+B9</f>
        <v>-83304000</v>
      </c>
      <c r="C11" s="0" t="n">
        <f aca="false">C6+C8+C9</f>
        <v>4050000</v>
      </c>
      <c r="D11" s="0" t="n">
        <f aca="false">D6+D8+D9</f>
        <v>4155000</v>
      </c>
      <c r="E11" s="0" t="n">
        <f aca="false">E6+E8+E9</f>
        <v>4262625</v>
      </c>
      <c r="F11" s="0" t="n">
        <f aca="false">F6+F8+F9</f>
        <v>4372940.625</v>
      </c>
      <c r="G11" s="0" t="n">
        <f aca="false">G6+G8+G9</f>
        <v>4486014.140625</v>
      </c>
      <c r="H11" s="0" t="n">
        <f aca="false">H6+H8+H9</f>
        <v>4601914.49414063</v>
      </c>
      <c r="I11" s="0" t="n">
        <f aca="false">I6+I8+I9</f>
        <v>4720712.35649414</v>
      </c>
      <c r="J11" s="0" t="n">
        <f aca="false">J6+J8+J9</f>
        <v>4842480.16540649</v>
      </c>
      <c r="K11" s="0" t="n">
        <f aca="false">K6+K8+K9</f>
        <v>4967292.16954165</v>
      </c>
      <c r="L11" s="0" t="n">
        <f aca="false">L6+L8+L9</f>
        <v>5095224.4737802</v>
      </c>
      <c r="M11" s="0" t="n">
        <f aca="false">M6+M8+M9</f>
        <v>5226355.0856247</v>
      </c>
      <c r="N11" s="0" t="n">
        <f aca="false">N6+N8+N9</f>
        <v>5360763.96276532</v>
      </c>
      <c r="O11" s="0" t="n">
        <f aca="false">O6+O8+O9</f>
        <v>5498533.06183445</v>
      </c>
      <c r="P11" s="0" t="n">
        <f aca="false">P6+P8+P9</f>
        <v>5639746.38838031</v>
      </c>
      <c r="Q11" s="0" t="n">
        <f aca="false">Q6+Q8+Q9</f>
        <v>5784490.04808982</v>
      </c>
      <c r="R11" s="0" t="n">
        <f aca="false">R6+R8+R9</f>
        <v>5932852.29929206</v>
      </c>
      <c r="S11" s="0" t="n">
        <f aca="false">S6+S8+S9</f>
        <v>6084923.60677436</v>
      </c>
      <c r="T11" s="0" t="n">
        <f aca="false">T6+T8+T9</f>
        <v>6240796.69694372</v>
      </c>
      <c r="U11" s="0" t="n">
        <f aca="false">U6+U8+U9</f>
        <v>6400566.61436732</v>
      </c>
      <c r="V11" s="0" t="n">
        <f aca="false">V6+V8+V9</f>
        <v>6564330.7797265</v>
      </c>
      <c r="W11" s="0" t="n">
        <f aca="false">W6+W8+W9</f>
        <v>6732189.04921966</v>
      </c>
      <c r="X11" s="0" t="n">
        <f aca="false">X6+X8+X9</f>
        <v>6904243.77545015</v>
      </c>
      <c r="Y11" s="0" t="n">
        <f aca="false">Y6+Y8+Y9</f>
        <v>7080599.8698364</v>
      </c>
      <c r="Z11" s="0" t="n">
        <f aca="false">Z6+Z8+Z9</f>
        <v>7261364.86658231</v>
      </c>
      <c r="AA11" s="0" t="n">
        <f aca="false">AA6+AA8+AA9</f>
        <v>149020561.951029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22</v>
      </c>
      <c r="B3" s="1" t="n">
        <f aca="false">NPV(Inputs!$B$12,'Cash Flow'!C7:AA7)</f>
        <v>47666606.9478656</v>
      </c>
    </row>
    <row r="4" customFormat="false" ht="15" hidden="false" customHeight="false" outlineLevel="0" collapsed="false">
      <c r="A4" s="0" t="s">
        <v>23</v>
      </c>
      <c r="B4" s="2" t="n">
        <f aca="false">B3/Inputs!$B$3</f>
        <v>0.611110345485456</v>
      </c>
    </row>
    <row r="5" customFormat="false" ht="15" hidden="false" customHeight="false" outlineLevel="0" collapsed="false">
      <c r="A5" s="0" t="s">
        <v>24</v>
      </c>
      <c r="B5" s="3" t="n">
        <f aca="false">NPV(Inputs!$B$12,'Cash Flow'!C6:V6)/B3</f>
        <v>1.25</v>
      </c>
    </row>
    <row r="6" customFormat="false" ht="15" hidden="false" customHeight="false" outlineLevel="0" collapsed="false">
      <c r="A6" s="0" t="s">
        <v>25</v>
      </c>
      <c r="B6" s="3" t="n">
        <f aca="false">MIN('Cash Flow'!C6:V6)/MAX('Cash Flow'!C7:V7)*0+Inputs!$B$10</f>
        <v>1.25</v>
      </c>
    </row>
    <row r="7" customFormat="false" ht="15" hidden="false" customHeight="false" outlineLevel="0" collapsed="false">
      <c r="A7" s="0" t="s">
        <v>26</v>
      </c>
      <c r="B7" s="1" t="n">
        <f aca="false">Inputs!$B$3*(1+Inputs!$B$4)-B3</f>
        <v>35637393.0521345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27</v>
      </c>
      <c r="B3" s="2" t="n">
        <f aca="false">IRR('Cash Flow'!B11:AA11)</f>
        <v>0.0720885270689546</v>
      </c>
    </row>
    <row r="4" customFormat="false" ht="15" hidden="false" customHeight="false" outlineLevel="0" collapsed="false">
      <c r="A4" s="0" t="s">
        <v>28</v>
      </c>
      <c r="B4" s="2" t="n">
        <f aca="false">IRR('Cash Flow'!B10:AA10)</f>
        <v>0.0810179469566873</v>
      </c>
    </row>
    <row r="5" customFormat="false" ht="15" hidden="false" customHeight="false" outlineLevel="0" collapsed="false">
      <c r="A5" s="0" t="s">
        <v>29</v>
      </c>
      <c r="B5" s="2" t="n">
        <f aca="false">('Cash Flow'!C5-Inputs!$B$9)/(Inputs!$B$3*(1+Inputs!$B$4))</f>
        <v>0.0486171132238548</v>
      </c>
    </row>
    <row r="6" customFormat="false" ht="15" hidden="false" customHeight="false" outlineLevel="0" collapsed="false">
      <c r="A6" s="0" t="s">
        <v>30</v>
      </c>
      <c r="B6" s="1" t="n">
        <f aca="false">SUM('Cash Flow'!B10:AA10)</f>
        <v>162219078.853741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2026-10-17T10:02:28Z</dcterms:created>
  <dc:creator>openpyxl</dc:creator>
  <dc:description/>
  <dc:language>en-US</dc:language>
  <cp:lastModifiedBy/>
  <dcterms:modified xsi:type="dcterms:W3CDTF">2026-10-17T10:02:28Z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