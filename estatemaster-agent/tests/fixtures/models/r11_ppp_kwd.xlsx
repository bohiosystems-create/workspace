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del" sheetId="2" state="visible" r:id="rId4"/>
    <sheet name="Out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<sst xmlns="http://schemas.openxmlformats.org/spreadsheetml/2006/main" count="31" uniqueCount="31">
  <si>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JAHRA HOSPITAL PPP – AVAILABILITY PAYMENT MODEL (KWD)</t>
  </si>
  <si>
    <t xml:space="preserve">Annual availability payment (KWD)</t>
  </si>
  <si>
    <t xml:space="preserve">Indexation of the unitary charge</t>
  </si>
  <si>
    <t xml:space="preserve">Performance deductions (% of payment)</t>
  </si>
  <si>
    <t xml:space="preserve">Construction cost (KWD)</t>
  </si>
  <si>
    <t xml:space="preserve">Construction period (years)</t>
  </si>
  <si>
    <t xml:space="preserve">Operating period (years)</t>
  </si>
  <si>
    <t xml:space="preserve">Hard FM cost (KWD/yr)</t>
  </si>
  <si>
    <t xml:space="preserve">FM cost inflation</t>
  </si>
  <si>
    <t xml:space="preserve">Lifecycle (% of capex p.a.)</t>
  </si>
  <si>
    <t xml:space="preserve">Senior debt gearing</t>
  </si>
  <si>
    <t xml:space="preserve">Senior debt rate</t>
  </si>
  <si>
    <t xml:space="preserve">Debt tenor after completion (years)</t>
  </si>
  <si>
    <t xml:space="preserve">Year</t>
  </si>
  <si>
    <t xml:space="preserve">Unitary charge</t>
  </si>
  <si>
    <t xml:space="preserve">Deductions</t>
  </si>
  <si>
    <t xml:space="preserve">FM costs</t>
  </si>
  <si>
    <t xml:space="preserve">Lifecycle</t>
  </si>
  <si>
    <t xml:space="preserve">Construction</t>
  </si>
  <si>
    <t xml:space="preserve">Debt drawdown</t>
  </si>
  <si>
    <t xml:space="preserve">Debt service</t>
  </si>
  <si>
    <t xml:space="preserve">Equity cash flow</t>
  </si>
  <si>
    <t xml:space="preserve">Project cash flow</t>
  </si>
  <si>
    <t xml:space="preserve">CFADS</t>
  </si>
  <si>
    <t xml:space="preserve">DSCR</t>
  </si>
  <si>
    <t xml:space="preserve">Equity IRR</t>
  </si>
  <si>
    <t xml:space="preserve">Project IRR</t>
  </si>
  <si>
    <t xml:space="preserve">Minimum DSCR</t>
  </si>
  <si>
    <t xml:space="preserve">Average DSCR</t>
  </si>
  <si>
    <t xml:space="preserve">Equity invested</t>
  </si>
  <si>
    <t xml:space="preserve">Net profit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</si>
</sst>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[$$-409]#,##0.00;[RED]\-[$$-409]#,##0.00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21500000</v>
      </c>
    </row>
    <row r="4" customFormat="false" ht="15" hidden="false" customHeight="false" outlineLevel="0" collapsed="false">
      <c r="A4" s="0" t="s">
        <v>2</v>
      </c>
      <c r="B4" s="2" t="n">
        <v>0.02</v>
      </c>
    </row>
    <row r="5" customFormat="false" ht="15" hidden="false" customHeight="false" outlineLevel="0" collapsed="false">
      <c r="A5" s="0" t="s">
        <v>3</v>
      </c>
      <c r="B5" s="2" t="n">
        <v>0.015</v>
      </c>
    </row>
    <row r="6" customFormat="false" ht="15" hidden="false" customHeight="false" outlineLevel="0" collapsed="false">
      <c r="A6" s="0" t="s">
        <v>4</v>
      </c>
      <c r="B6" s="1" t="n">
        <v>148000000</v>
      </c>
    </row>
    <row r="7" customFormat="false" ht="15" hidden="false" customHeight="false" outlineLevel="0" collapsed="false">
      <c r="A7" s="0" t="s">
        <v>5</v>
      </c>
      <c r="B7" s="3" t="n">
        <v>3</v>
      </c>
    </row>
    <row r="8" customFormat="false" ht="15" hidden="false" customHeight="false" outlineLevel="0" collapsed="false">
      <c r="A8" s="0" t="s">
        <v>6</v>
      </c>
      <c r="B8" s="3" t="n">
        <v>25</v>
      </c>
    </row>
    <row r="9" customFormat="false" ht="15" hidden="false" customHeight="false" outlineLevel="0" collapsed="false">
      <c r="A9" s="0" t="s">
        <v>7</v>
      </c>
      <c r="B9" s="1" t="n">
        <v>3100000</v>
      </c>
    </row>
    <row r="10" customFormat="false" ht="15" hidden="false" customHeight="false" outlineLevel="0" collapsed="false">
      <c r="A10" s="0" t="s">
        <v>8</v>
      </c>
      <c r="B10" s="2" t="n">
        <v>0.025</v>
      </c>
    </row>
    <row r="11" customFormat="false" ht="15" hidden="false" customHeight="false" outlineLevel="0" collapsed="false">
      <c r="A11" s="0" t="s">
        <v>9</v>
      </c>
      <c r="B11" s="2" t="n">
        <v>0.012</v>
      </c>
    </row>
    <row r="12" customFormat="false" ht="15" hidden="false" customHeight="false" outlineLevel="0" collapsed="false">
      <c r="A12" s="0" t="s">
        <v>10</v>
      </c>
      <c r="B12" s="2" t="n">
        <v>0.85</v>
      </c>
    </row>
    <row r="13" customFormat="false" ht="15" hidden="false" customHeight="false" outlineLevel="0" collapsed="false">
      <c r="A13" s="0" t="s">
        <v>11</v>
      </c>
      <c r="B13" s="2" t="n">
        <v>0.058</v>
      </c>
    </row>
    <row r="14" customFormat="false" ht="15" hidden="false" customHeight="false" outlineLevel="0" collapsed="false">
      <c r="A14" s="0" t="s">
        <v>12</v>
      </c>
      <c r="B14" s="3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</row>
    <row r="4" customFormat="false" ht="15" hidden="false" customHeight="false" outlineLevel="0" collapsed="false">
      <c r="A4" s="0" t="s">
        <v>14</v>
      </c>
      <c r="B4" s="0" t="n">
        <f aca="false">Inputs!$B$3*(1+Inputs!$B$4)^MAX(0,B$3-Inputs!$B$7-1)*(B$3&gt;Inputs!$B$7)*(B$3&lt;=Inputs!$B$7+Inputs!$B$8)</f>
        <v>0</v>
      </c>
      <c r="C4" s="0" t="n">
        <f aca="false">Inputs!$B$3*(1+Inputs!$B$4)^MAX(0,C$3-Inputs!$B$7-1)*(C$3&gt;Inputs!$B$7)*(C$3&lt;=Inputs!$B$7+Inputs!$B$8)</f>
        <v>0</v>
      </c>
      <c r="D4" s="0" t="n">
        <f aca="false">Inputs!$B$3*(1+Inputs!$B$4)^MAX(0,D$3-Inputs!$B$7-1)*(D$3&gt;Inputs!$B$7)*(D$3&lt;=Inputs!$B$7+Inputs!$B$8)</f>
        <v>0</v>
      </c>
      <c r="E4" s="0" t="n">
        <f aca="false">Inputs!$B$3*(1+Inputs!$B$4)^MAX(0,E$3-Inputs!$B$7-1)*(E$3&gt;Inputs!$B$7)*(E$3&lt;=Inputs!$B$7+Inputs!$B$8)</f>
        <v>0</v>
      </c>
      <c r="F4" s="0" t="n">
        <f aca="false">Inputs!$B$3*(1+Inputs!$B$4)^MAX(0,F$3-Inputs!$B$7-1)*(F$3&gt;Inputs!$B$7)*(F$3&lt;=Inputs!$B$7+Inputs!$B$8)</f>
        <v>21500000</v>
      </c>
      <c r="G4" s="0" t="n">
        <f aca="false">Inputs!$B$3*(1+Inputs!$B$4)^MAX(0,G$3-Inputs!$B$7-1)*(G$3&gt;Inputs!$B$7)*(G$3&lt;=Inputs!$B$7+Inputs!$B$8)</f>
        <v>21930000</v>
      </c>
      <c r="H4" s="0" t="n">
        <f aca="false">Inputs!$B$3*(1+Inputs!$B$4)^MAX(0,H$3-Inputs!$B$7-1)*(H$3&gt;Inputs!$B$7)*(H$3&lt;=Inputs!$B$7+Inputs!$B$8)</f>
        <v>22368600</v>
      </c>
      <c r="I4" s="0" t="n">
        <f aca="false">Inputs!$B$3*(1+Inputs!$B$4)^MAX(0,I$3-Inputs!$B$7-1)*(I$3&gt;Inputs!$B$7)*(I$3&lt;=Inputs!$B$7+Inputs!$B$8)</f>
        <v>22815972</v>
      </c>
      <c r="J4" s="0" t="n">
        <f aca="false">Inputs!$B$3*(1+Inputs!$B$4)^MAX(0,J$3-Inputs!$B$7-1)*(J$3&gt;Inputs!$B$7)*(J$3&lt;=Inputs!$B$7+Inputs!$B$8)</f>
        <v>23272291.44</v>
      </c>
      <c r="K4" s="0" t="n">
        <f aca="false">Inputs!$B$3*(1+Inputs!$B$4)^MAX(0,K$3-Inputs!$B$7-1)*(K$3&gt;Inputs!$B$7)*(K$3&lt;=Inputs!$B$7+Inputs!$B$8)</f>
        <v>23737737.2688</v>
      </c>
      <c r="L4" s="0" t="n">
        <f aca="false">Inputs!$B$3*(1+Inputs!$B$4)^MAX(0,L$3-Inputs!$B$7-1)*(L$3&gt;Inputs!$B$7)*(L$3&lt;=Inputs!$B$7+Inputs!$B$8)</f>
        <v>24212492.014176</v>
      </c>
      <c r="M4" s="0" t="n">
        <f aca="false">Inputs!$B$3*(1+Inputs!$B$4)^MAX(0,M$3-Inputs!$B$7-1)*(M$3&gt;Inputs!$B$7)*(M$3&lt;=Inputs!$B$7+Inputs!$B$8)</f>
        <v>24696741.8544595</v>
      </c>
      <c r="N4" s="0" t="n">
        <f aca="false">Inputs!$B$3*(1+Inputs!$B$4)^MAX(0,N$3-Inputs!$B$7-1)*(N$3&gt;Inputs!$B$7)*(N$3&lt;=Inputs!$B$7+Inputs!$B$8)</f>
        <v>25190676.6915487</v>
      </c>
      <c r="O4" s="0" t="n">
        <f aca="false">Inputs!$B$3*(1+Inputs!$B$4)^MAX(0,O$3-Inputs!$B$7-1)*(O$3&gt;Inputs!$B$7)*(O$3&lt;=Inputs!$B$7+Inputs!$B$8)</f>
        <v>25694490.2253797</v>
      </c>
      <c r="P4" s="0" t="n">
        <f aca="false">Inputs!$B$3*(1+Inputs!$B$4)^MAX(0,P$3-Inputs!$B$7-1)*(P$3&gt;Inputs!$B$7)*(P$3&lt;=Inputs!$B$7+Inputs!$B$8)</f>
        <v>26208380.0298873</v>
      </c>
      <c r="Q4" s="0" t="n">
        <f aca="false">Inputs!$B$3*(1+Inputs!$B$4)^MAX(0,Q$3-Inputs!$B$7-1)*(Q$3&gt;Inputs!$B$7)*(Q$3&lt;=Inputs!$B$7+Inputs!$B$8)</f>
        <v>26732547.630485</v>
      </c>
      <c r="R4" s="0" t="n">
        <f aca="false">Inputs!$B$3*(1+Inputs!$B$4)^MAX(0,R$3-Inputs!$B$7-1)*(R$3&gt;Inputs!$B$7)*(R$3&lt;=Inputs!$B$7+Inputs!$B$8)</f>
        <v>27267198.5830947</v>
      </c>
      <c r="S4" s="0" t="n">
        <f aca="false">Inputs!$B$3*(1+Inputs!$B$4)^MAX(0,S$3-Inputs!$B$7-1)*(S$3&gt;Inputs!$B$7)*(S$3&lt;=Inputs!$B$7+Inputs!$B$8)</f>
        <v>27812542.5547566</v>
      </c>
      <c r="T4" s="0" t="n">
        <f aca="false">Inputs!$B$3*(1+Inputs!$B$4)^MAX(0,T$3-Inputs!$B$7-1)*(T$3&gt;Inputs!$B$7)*(T$3&lt;=Inputs!$B$7+Inputs!$B$8)</f>
        <v>28368793.4058518</v>
      </c>
      <c r="U4" s="0" t="n">
        <f aca="false">Inputs!$B$3*(1+Inputs!$B$4)^MAX(0,U$3-Inputs!$B$7-1)*(U$3&gt;Inputs!$B$7)*(U$3&lt;=Inputs!$B$7+Inputs!$B$8)</f>
        <v>28936169.2739688</v>
      </c>
      <c r="V4" s="0" t="n">
        <f aca="false">Inputs!$B$3*(1+Inputs!$B$4)^MAX(0,V$3-Inputs!$B$7-1)*(V$3&gt;Inputs!$B$7)*(V$3&lt;=Inputs!$B$7+Inputs!$B$8)</f>
        <v>29514892.6594482</v>
      </c>
      <c r="W4" s="0" t="n">
        <f aca="false">Inputs!$B$3*(1+Inputs!$B$4)^MAX(0,W$3-Inputs!$B$7-1)*(W$3&gt;Inputs!$B$7)*(W$3&lt;=Inputs!$B$7+Inputs!$B$8)</f>
        <v>30105190.5126371</v>
      </c>
      <c r="X4" s="0" t="n">
        <f aca="false">Inputs!$B$3*(1+Inputs!$B$4)^MAX(0,X$3-Inputs!$B$7-1)*(X$3&gt;Inputs!$B$7)*(X$3&lt;=Inputs!$B$7+Inputs!$B$8)</f>
        <v>30707294.3228899</v>
      </c>
      <c r="Y4" s="0" t="n">
        <f aca="false">Inputs!$B$3*(1+Inputs!$B$4)^MAX(0,Y$3-Inputs!$B$7-1)*(Y$3&gt;Inputs!$B$7)*(Y$3&lt;=Inputs!$B$7+Inputs!$B$8)</f>
        <v>31321440.2093477</v>
      </c>
      <c r="Z4" s="0" t="n">
        <f aca="false">Inputs!$B$3*(1+Inputs!$B$4)^MAX(0,Z$3-Inputs!$B$7-1)*(Z$3&gt;Inputs!$B$7)*(Z$3&lt;=Inputs!$B$7+Inputs!$B$8)</f>
        <v>31947869.0135346</v>
      </c>
      <c r="AA4" s="0" t="n">
        <f aca="false">Inputs!$B$3*(1+Inputs!$B$4)^MAX(0,AA$3-Inputs!$B$7-1)*(AA$3&gt;Inputs!$B$7)*(AA$3&lt;=Inputs!$B$7+Inputs!$B$8)</f>
        <v>32586826.3938053</v>
      </c>
      <c r="AB4" s="0" t="n">
        <f aca="false">Inputs!$B$3*(1+Inputs!$B$4)^MAX(0,AB$3-Inputs!$B$7-1)*(AB$3&gt;Inputs!$B$7)*(AB$3&lt;=Inputs!$B$7+Inputs!$B$8)</f>
        <v>33238562.9216814</v>
      </c>
      <c r="AC4" s="0" t="n">
        <f aca="false">Inputs!$B$3*(1+Inputs!$B$4)^MAX(0,AC$3-Inputs!$B$7-1)*(AC$3&gt;Inputs!$B$7)*(AC$3&lt;=Inputs!$B$7+Inputs!$B$8)</f>
        <v>33903334.1801151</v>
      </c>
      <c r="AD4" s="0" t="n">
        <f aca="false">Inputs!$B$3*(1+Inputs!$B$4)^MAX(0,AD$3-Inputs!$B$7-1)*(AD$3&gt;Inputs!$B$7)*(AD$3&lt;=Inputs!$B$7+Inputs!$B$8)</f>
        <v>34581400.8637174</v>
      </c>
    </row>
    <row r="5" customFormat="false" ht="15" hidden="false" customHeight="false" outlineLevel="0" collapsed="false">
      <c r="A5" s="0" t="s">
        <v>15</v>
      </c>
      <c r="B5" s="0" t="n">
        <f aca="false">-B4*Inputs!$B$5</f>
        <v>-0</v>
      </c>
      <c r="C5" s="0" t="n">
        <f aca="false">-C4*Inputs!$B$5</f>
        <v>-0</v>
      </c>
      <c r="D5" s="0" t="n">
        <f aca="false">-D4*Inputs!$B$5</f>
        <v>-0</v>
      </c>
      <c r="E5" s="0" t="n">
        <f aca="false">-E4*Inputs!$B$5</f>
        <v>-0</v>
      </c>
      <c r="F5" s="0" t="n">
        <f aca="false">-F4*Inputs!$B$5</f>
        <v>-322500</v>
      </c>
      <c r="G5" s="0" t="n">
        <f aca="false">-G4*Inputs!$B$5</f>
        <v>-328950</v>
      </c>
      <c r="H5" s="0" t="n">
        <f aca="false">-H4*Inputs!$B$5</f>
        <v>-335529</v>
      </c>
      <c r="I5" s="0" t="n">
        <f aca="false">-I4*Inputs!$B$5</f>
        <v>-342239.58</v>
      </c>
      <c r="J5" s="0" t="n">
        <f aca="false">-J4*Inputs!$B$5</f>
        <v>-349084.3716</v>
      </c>
      <c r="K5" s="0" t="n">
        <f aca="false">-K4*Inputs!$B$5</f>
        <v>-356066.059032</v>
      </c>
      <c r="L5" s="0" t="n">
        <f aca="false">-L4*Inputs!$B$5</f>
        <v>-363187.38021264</v>
      </c>
      <c r="M5" s="0" t="n">
        <f aca="false">-M4*Inputs!$B$5</f>
        <v>-370451.127816893</v>
      </c>
      <c r="N5" s="0" t="n">
        <f aca="false">-N4*Inputs!$B$5</f>
        <v>-377860.150373231</v>
      </c>
      <c r="O5" s="0" t="n">
        <f aca="false">-O4*Inputs!$B$5</f>
        <v>-385417.353380695</v>
      </c>
      <c r="P5" s="0" t="n">
        <f aca="false">-P4*Inputs!$B$5</f>
        <v>-393125.700448309</v>
      </c>
      <c r="Q5" s="0" t="n">
        <f aca="false">-Q4*Inputs!$B$5</f>
        <v>-400988.214457275</v>
      </c>
      <c r="R5" s="0" t="n">
        <f aca="false">-R4*Inputs!$B$5</f>
        <v>-409007.978746421</v>
      </c>
      <c r="S5" s="0" t="n">
        <f aca="false">-S4*Inputs!$B$5</f>
        <v>-417188.138321349</v>
      </c>
      <c r="T5" s="0" t="n">
        <f aca="false">-T4*Inputs!$B$5</f>
        <v>-425531.901087776</v>
      </c>
      <c r="U5" s="0" t="n">
        <f aca="false">-U4*Inputs!$B$5</f>
        <v>-434042.539109532</v>
      </c>
      <c r="V5" s="0" t="n">
        <f aca="false">-V4*Inputs!$B$5</f>
        <v>-442723.389891723</v>
      </c>
      <c r="W5" s="0" t="n">
        <f aca="false">-W4*Inputs!$B$5</f>
        <v>-451577.857689557</v>
      </c>
      <c r="X5" s="0" t="n">
        <f aca="false">-X4*Inputs!$B$5</f>
        <v>-460609.414843348</v>
      </c>
      <c r="Y5" s="0" t="n">
        <f aca="false">-Y4*Inputs!$B$5</f>
        <v>-469821.603140215</v>
      </c>
      <c r="Z5" s="0" t="n">
        <f aca="false">-Z4*Inputs!$B$5</f>
        <v>-479218.035203019</v>
      </c>
      <c r="AA5" s="0" t="n">
        <f aca="false">-AA4*Inputs!$B$5</f>
        <v>-488802.39590708</v>
      </c>
      <c r="AB5" s="0" t="n">
        <f aca="false">-AB4*Inputs!$B$5</f>
        <v>-498578.443825221</v>
      </c>
      <c r="AC5" s="0" t="n">
        <f aca="false">-AC4*Inputs!$B$5</f>
        <v>-508550.012701726</v>
      </c>
      <c r="AD5" s="0" t="n">
        <f aca="false">-AD4*Inputs!$B$5</f>
        <v>-518721.01295576</v>
      </c>
    </row>
    <row r="6" customFormat="false" ht="15" hidden="false" customHeight="false" outlineLevel="0" collapsed="false">
      <c r="A6" s="0" t="s">
        <v>16</v>
      </c>
      <c r="B6" s="0" t="n">
        <f aca="false">-Inputs!$B$9*(1+Inputs!$B$10)^MAX(0,B$3-Inputs!$B$7-1)*(B$3&gt;Inputs!$B$7)*(B$3&lt;=Inputs!$B$7+Inputs!$B$8)</f>
        <v>-0</v>
      </c>
      <c r="C6" s="0" t="n">
        <f aca="false">-Inputs!$B$9*(1+Inputs!$B$10)^MAX(0,C$3-Inputs!$B$7-1)*(C$3&gt;Inputs!$B$7)*(C$3&lt;=Inputs!$B$7+Inputs!$B$8)</f>
        <v>-0</v>
      </c>
      <c r="D6" s="0" t="n">
        <f aca="false">-Inputs!$B$9*(1+Inputs!$B$10)^MAX(0,D$3-Inputs!$B$7-1)*(D$3&gt;Inputs!$B$7)*(D$3&lt;=Inputs!$B$7+Inputs!$B$8)</f>
        <v>-0</v>
      </c>
      <c r="E6" s="0" t="n">
        <f aca="false">-Inputs!$B$9*(1+Inputs!$B$10)^MAX(0,E$3-Inputs!$B$7-1)*(E$3&gt;Inputs!$B$7)*(E$3&lt;=Inputs!$B$7+Inputs!$B$8)</f>
        <v>-0</v>
      </c>
      <c r="F6" s="0" t="n">
        <f aca="false">-Inputs!$B$9*(1+Inputs!$B$10)^MAX(0,F$3-Inputs!$B$7-1)*(F$3&gt;Inputs!$B$7)*(F$3&lt;=Inputs!$B$7+Inputs!$B$8)</f>
        <v>-3100000</v>
      </c>
      <c r="G6" s="0" t="n">
        <f aca="false">-Inputs!$B$9*(1+Inputs!$B$10)^MAX(0,G$3-Inputs!$B$7-1)*(G$3&gt;Inputs!$B$7)*(G$3&lt;=Inputs!$B$7+Inputs!$B$8)</f>
        <v>-3177500</v>
      </c>
      <c r="H6" s="0" t="n">
        <f aca="false">-Inputs!$B$9*(1+Inputs!$B$10)^MAX(0,H$3-Inputs!$B$7-1)*(H$3&gt;Inputs!$B$7)*(H$3&lt;=Inputs!$B$7+Inputs!$B$8)</f>
        <v>-3256937.5</v>
      </c>
      <c r="I6" s="0" t="n">
        <f aca="false">-Inputs!$B$9*(1+Inputs!$B$10)^MAX(0,I$3-Inputs!$B$7-1)*(I$3&gt;Inputs!$B$7)*(I$3&lt;=Inputs!$B$7+Inputs!$B$8)</f>
        <v>-3338360.9375</v>
      </c>
      <c r="J6" s="0" t="n">
        <f aca="false">-Inputs!$B$9*(1+Inputs!$B$10)^MAX(0,J$3-Inputs!$B$7-1)*(J$3&gt;Inputs!$B$7)*(J$3&lt;=Inputs!$B$7+Inputs!$B$8)</f>
        <v>-3421819.9609375</v>
      </c>
      <c r="K6" s="0" t="n">
        <f aca="false">-Inputs!$B$9*(1+Inputs!$B$10)^MAX(0,K$3-Inputs!$B$7-1)*(K$3&gt;Inputs!$B$7)*(K$3&lt;=Inputs!$B$7+Inputs!$B$8)</f>
        <v>-3507365.45996094</v>
      </c>
      <c r="L6" s="0" t="n">
        <f aca="false">-Inputs!$B$9*(1+Inputs!$B$10)^MAX(0,L$3-Inputs!$B$7-1)*(L$3&gt;Inputs!$B$7)*(L$3&lt;=Inputs!$B$7+Inputs!$B$8)</f>
        <v>-3595049.59645996</v>
      </c>
      <c r="M6" s="0" t="n">
        <f aca="false">-Inputs!$B$9*(1+Inputs!$B$10)^MAX(0,M$3-Inputs!$B$7-1)*(M$3&gt;Inputs!$B$7)*(M$3&lt;=Inputs!$B$7+Inputs!$B$8)</f>
        <v>-3684925.83637146</v>
      </c>
      <c r="N6" s="0" t="n">
        <f aca="false">-Inputs!$B$9*(1+Inputs!$B$10)^MAX(0,N$3-Inputs!$B$7-1)*(N$3&gt;Inputs!$B$7)*(N$3&lt;=Inputs!$B$7+Inputs!$B$8)</f>
        <v>-3777048.98228074</v>
      </c>
      <c r="O6" s="0" t="n">
        <f aca="false">-Inputs!$B$9*(1+Inputs!$B$10)^MAX(0,O$3-Inputs!$B$7-1)*(O$3&gt;Inputs!$B$7)*(O$3&lt;=Inputs!$B$7+Inputs!$B$8)</f>
        <v>-3871475.20683776</v>
      </c>
      <c r="P6" s="0" t="n">
        <f aca="false">-Inputs!$B$9*(1+Inputs!$B$10)^MAX(0,P$3-Inputs!$B$7-1)*(P$3&gt;Inputs!$B$7)*(P$3&lt;=Inputs!$B$7+Inputs!$B$8)</f>
        <v>-3968262.08700871</v>
      </c>
      <c r="Q6" s="0" t="n">
        <f aca="false">-Inputs!$B$9*(1+Inputs!$B$10)^MAX(0,Q$3-Inputs!$B$7-1)*(Q$3&gt;Inputs!$B$7)*(Q$3&lt;=Inputs!$B$7+Inputs!$B$8)</f>
        <v>-4067468.63918392</v>
      </c>
      <c r="R6" s="0" t="n">
        <f aca="false">-Inputs!$B$9*(1+Inputs!$B$10)^MAX(0,R$3-Inputs!$B$7-1)*(R$3&gt;Inputs!$B$7)*(R$3&lt;=Inputs!$B$7+Inputs!$B$8)</f>
        <v>-4169155.35516352</v>
      </c>
      <c r="S6" s="0" t="n">
        <f aca="false">-Inputs!$B$9*(1+Inputs!$B$10)^MAX(0,S$3-Inputs!$B$7-1)*(S$3&gt;Inputs!$B$7)*(S$3&lt;=Inputs!$B$7+Inputs!$B$8)</f>
        <v>-4273384.23904261</v>
      </c>
      <c r="T6" s="0" t="n">
        <f aca="false">-Inputs!$B$9*(1+Inputs!$B$10)^MAX(0,T$3-Inputs!$B$7-1)*(T$3&gt;Inputs!$B$7)*(T$3&lt;=Inputs!$B$7+Inputs!$B$8)</f>
        <v>-4380218.84501867</v>
      </c>
      <c r="U6" s="0" t="n">
        <f aca="false">-Inputs!$B$9*(1+Inputs!$B$10)^MAX(0,U$3-Inputs!$B$7-1)*(U$3&gt;Inputs!$B$7)*(U$3&lt;=Inputs!$B$7+Inputs!$B$8)</f>
        <v>-4489724.31614414</v>
      </c>
      <c r="V6" s="0" t="n">
        <f aca="false">-Inputs!$B$9*(1+Inputs!$B$10)^MAX(0,V$3-Inputs!$B$7-1)*(V$3&gt;Inputs!$B$7)*(V$3&lt;=Inputs!$B$7+Inputs!$B$8)</f>
        <v>-4601967.42404774</v>
      </c>
      <c r="W6" s="0" t="n">
        <f aca="false">-Inputs!$B$9*(1+Inputs!$B$10)^MAX(0,W$3-Inputs!$B$7-1)*(W$3&gt;Inputs!$B$7)*(W$3&lt;=Inputs!$B$7+Inputs!$B$8)</f>
        <v>-4717016.60964894</v>
      </c>
      <c r="X6" s="0" t="n">
        <f aca="false">-Inputs!$B$9*(1+Inputs!$B$10)^MAX(0,X$3-Inputs!$B$7-1)*(X$3&gt;Inputs!$B$7)*(X$3&lt;=Inputs!$B$7+Inputs!$B$8)</f>
        <v>-4834942.02489016</v>
      </c>
      <c r="Y6" s="0" t="n">
        <f aca="false">-Inputs!$B$9*(1+Inputs!$B$10)^MAX(0,Y$3-Inputs!$B$7-1)*(Y$3&gt;Inputs!$B$7)*(Y$3&lt;=Inputs!$B$7+Inputs!$B$8)</f>
        <v>-4955815.57551241</v>
      </c>
      <c r="Z6" s="0" t="n">
        <f aca="false">-Inputs!$B$9*(1+Inputs!$B$10)^MAX(0,Z$3-Inputs!$B$7-1)*(Z$3&gt;Inputs!$B$7)*(Z$3&lt;=Inputs!$B$7+Inputs!$B$8)</f>
        <v>-5079710.96490022</v>
      </c>
      <c r="AA6" s="0" t="n">
        <f aca="false">-Inputs!$B$9*(1+Inputs!$B$10)^MAX(0,AA$3-Inputs!$B$7-1)*(AA$3&gt;Inputs!$B$7)*(AA$3&lt;=Inputs!$B$7+Inputs!$B$8)</f>
        <v>-5206703.73902273</v>
      </c>
      <c r="AB6" s="0" t="n">
        <f aca="false">-Inputs!$B$9*(1+Inputs!$B$10)^MAX(0,AB$3-Inputs!$B$7-1)*(AB$3&gt;Inputs!$B$7)*(AB$3&lt;=Inputs!$B$7+Inputs!$B$8)</f>
        <v>-5336871.3324983</v>
      </c>
      <c r="AC6" s="0" t="n">
        <f aca="false">-Inputs!$B$9*(1+Inputs!$B$10)^MAX(0,AC$3-Inputs!$B$7-1)*(AC$3&gt;Inputs!$B$7)*(AC$3&lt;=Inputs!$B$7+Inputs!$B$8)</f>
        <v>-5470293.11581075</v>
      </c>
      <c r="AD6" s="0" t="n">
        <f aca="false">-Inputs!$B$9*(1+Inputs!$B$10)^MAX(0,AD$3-Inputs!$B$7-1)*(AD$3&gt;Inputs!$B$7)*(AD$3&lt;=Inputs!$B$7+Inputs!$B$8)</f>
        <v>-5607050.44370602</v>
      </c>
    </row>
    <row r="7" customFormat="false" ht="15" hidden="false" customHeight="false" outlineLevel="0" collapsed="false">
      <c r="A7" s="0" t="s">
        <v>17</v>
      </c>
      <c r="B7" s="0" t="n">
        <f aca="false">-Inputs!$B$6*Inputs!$B$11*(B$3&gt;Inputs!$B$7)*(B$3&lt;=Inputs!$B$7+Inputs!$B$8)</f>
        <v>-0</v>
      </c>
      <c r="C7" s="0" t="n">
        <f aca="false">-Inputs!$B$6*Inputs!$B$11*(C$3&gt;Inputs!$B$7)*(C$3&lt;=Inputs!$B$7+Inputs!$B$8)</f>
        <v>-0</v>
      </c>
      <c r="D7" s="0" t="n">
        <f aca="false">-Inputs!$B$6*Inputs!$B$11*(D$3&gt;Inputs!$B$7)*(D$3&lt;=Inputs!$B$7+Inputs!$B$8)</f>
        <v>-0</v>
      </c>
      <c r="E7" s="0" t="n">
        <f aca="false">-Inputs!$B$6*Inputs!$B$11*(E$3&gt;Inputs!$B$7)*(E$3&lt;=Inputs!$B$7+Inputs!$B$8)</f>
        <v>-0</v>
      </c>
      <c r="F7" s="0" t="n">
        <f aca="false">-Inputs!$B$6*Inputs!$B$11*(F$3&gt;Inputs!$B$7)*(F$3&lt;=Inputs!$B$7+Inputs!$B$8)</f>
        <v>-1776000</v>
      </c>
      <c r="G7" s="0" t="n">
        <f aca="false">-Inputs!$B$6*Inputs!$B$11*(G$3&gt;Inputs!$B$7)*(G$3&lt;=Inputs!$B$7+Inputs!$B$8)</f>
        <v>-1776000</v>
      </c>
      <c r="H7" s="0" t="n">
        <f aca="false">-Inputs!$B$6*Inputs!$B$11*(H$3&gt;Inputs!$B$7)*(H$3&lt;=Inputs!$B$7+Inputs!$B$8)</f>
        <v>-1776000</v>
      </c>
      <c r="I7" s="0" t="n">
        <f aca="false">-Inputs!$B$6*Inputs!$B$11*(I$3&gt;Inputs!$B$7)*(I$3&lt;=Inputs!$B$7+Inputs!$B$8)</f>
        <v>-1776000</v>
      </c>
      <c r="J7" s="0" t="n">
        <f aca="false">-Inputs!$B$6*Inputs!$B$11*(J$3&gt;Inputs!$B$7)*(J$3&lt;=Inputs!$B$7+Inputs!$B$8)</f>
        <v>-1776000</v>
      </c>
      <c r="K7" s="0" t="n">
        <f aca="false">-Inputs!$B$6*Inputs!$B$11*(K$3&gt;Inputs!$B$7)*(K$3&lt;=Inputs!$B$7+Inputs!$B$8)</f>
        <v>-1776000</v>
      </c>
      <c r="L7" s="0" t="n">
        <f aca="false">-Inputs!$B$6*Inputs!$B$11*(L$3&gt;Inputs!$B$7)*(L$3&lt;=Inputs!$B$7+Inputs!$B$8)</f>
        <v>-1776000</v>
      </c>
      <c r="M7" s="0" t="n">
        <f aca="false">-Inputs!$B$6*Inputs!$B$11*(M$3&gt;Inputs!$B$7)*(M$3&lt;=Inputs!$B$7+Inputs!$B$8)</f>
        <v>-1776000</v>
      </c>
      <c r="N7" s="0" t="n">
        <f aca="false">-Inputs!$B$6*Inputs!$B$11*(N$3&gt;Inputs!$B$7)*(N$3&lt;=Inputs!$B$7+Inputs!$B$8)</f>
        <v>-1776000</v>
      </c>
      <c r="O7" s="0" t="n">
        <f aca="false">-Inputs!$B$6*Inputs!$B$11*(O$3&gt;Inputs!$B$7)*(O$3&lt;=Inputs!$B$7+Inputs!$B$8)</f>
        <v>-1776000</v>
      </c>
      <c r="P7" s="0" t="n">
        <f aca="false">-Inputs!$B$6*Inputs!$B$11*(P$3&gt;Inputs!$B$7)*(P$3&lt;=Inputs!$B$7+Inputs!$B$8)</f>
        <v>-1776000</v>
      </c>
      <c r="Q7" s="0" t="n">
        <f aca="false">-Inputs!$B$6*Inputs!$B$11*(Q$3&gt;Inputs!$B$7)*(Q$3&lt;=Inputs!$B$7+Inputs!$B$8)</f>
        <v>-1776000</v>
      </c>
      <c r="R7" s="0" t="n">
        <f aca="false">-Inputs!$B$6*Inputs!$B$11*(R$3&gt;Inputs!$B$7)*(R$3&lt;=Inputs!$B$7+Inputs!$B$8)</f>
        <v>-1776000</v>
      </c>
      <c r="S7" s="0" t="n">
        <f aca="false">-Inputs!$B$6*Inputs!$B$11*(S$3&gt;Inputs!$B$7)*(S$3&lt;=Inputs!$B$7+Inputs!$B$8)</f>
        <v>-1776000</v>
      </c>
      <c r="T7" s="0" t="n">
        <f aca="false">-Inputs!$B$6*Inputs!$B$11*(T$3&gt;Inputs!$B$7)*(T$3&lt;=Inputs!$B$7+Inputs!$B$8)</f>
        <v>-1776000</v>
      </c>
      <c r="U7" s="0" t="n">
        <f aca="false">-Inputs!$B$6*Inputs!$B$11*(U$3&gt;Inputs!$B$7)*(U$3&lt;=Inputs!$B$7+Inputs!$B$8)</f>
        <v>-1776000</v>
      </c>
      <c r="V7" s="0" t="n">
        <f aca="false">-Inputs!$B$6*Inputs!$B$11*(V$3&gt;Inputs!$B$7)*(V$3&lt;=Inputs!$B$7+Inputs!$B$8)</f>
        <v>-1776000</v>
      </c>
      <c r="W7" s="0" t="n">
        <f aca="false">-Inputs!$B$6*Inputs!$B$11*(W$3&gt;Inputs!$B$7)*(W$3&lt;=Inputs!$B$7+Inputs!$B$8)</f>
        <v>-1776000</v>
      </c>
      <c r="X7" s="0" t="n">
        <f aca="false">-Inputs!$B$6*Inputs!$B$11*(X$3&gt;Inputs!$B$7)*(X$3&lt;=Inputs!$B$7+Inputs!$B$8)</f>
        <v>-1776000</v>
      </c>
      <c r="Y7" s="0" t="n">
        <f aca="false">-Inputs!$B$6*Inputs!$B$11*(Y$3&gt;Inputs!$B$7)*(Y$3&lt;=Inputs!$B$7+Inputs!$B$8)</f>
        <v>-1776000</v>
      </c>
      <c r="Z7" s="0" t="n">
        <f aca="false">-Inputs!$B$6*Inputs!$B$11*(Z$3&gt;Inputs!$B$7)*(Z$3&lt;=Inputs!$B$7+Inputs!$B$8)</f>
        <v>-1776000</v>
      </c>
      <c r="AA7" s="0" t="n">
        <f aca="false">-Inputs!$B$6*Inputs!$B$11*(AA$3&gt;Inputs!$B$7)*(AA$3&lt;=Inputs!$B$7+Inputs!$B$8)</f>
        <v>-1776000</v>
      </c>
      <c r="AB7" s="0" t="n">
        <f aca="false">-Inputs!$B$6*Inputs!$B$11*(AB$3&gt;Inputs!$B$7)*(AB$3&lt;=Inputs!$B$7+Inputs!$B$8)</f>
        <v>-1776000</v>
      </c>
      <c r="AC7" s="0" t="n">
        <f aca="false">-Inputs!$B$6*Inputs!$B$11*(AC$3&gt;Inputs!$B$7)*(AC$3&lt;=Inputs!$B$7+Inputs!$B$8)</f>
        <v>-1776000</v>
      </c>
      <c r="AD7" s="0" t="n">
        <f aca="false">-Inputs!$B$6*Inputs!$B$11*(AD$3&gt;Inputs!$B$7)*(AD$3&lt;=Inputs!$B$7+Inputs!$B$8)</f>
        <v>-1776000</v>
      </c>
    </row>
    <row r="8" customFormat="false" ht="15" hidden="false" customHeight="false" outlineLevel="0" collapsed="false">
      <c r="A8" s="0" t="s">
        <v>18</v>
      </c>
      <c r="B8" s="0" t="n">
        <f aca="false">-IF(B$3&lt;Inputs!$B$7,Inputs!$B$6/Inputs!$B$7,0)</f>
        <v>-49333333.3333333</v>
      </c>
      <c r="C8" s="0" t="n">
        <f aca="false">-IF(C$3&lt;Inputs!$B$7,Inputs!$B$6/Inputs!$B$7,0)</f>
        <v>-49333333.3333333</v>
      </c>
      <c r="D8" s="0" t="n">
        <f aca="false">-IF(D$3&lt;Inputs!$B$7,Inputs!$B$6/Inputs!$B$7,0)</f>
        <v>-49333333.3333333</v>
      </c>
      <c r="E8" s="0" t="n">
        <f aca="false">-IF(E$3&lt;Inputs!$B$7,Inputs!$B$6/Inputs!$B$7,0)</f>
        <v>-0</v>
      </c>
      <c r="F8" s="0" t="n">
        <f aca="false">-IF(F$3&lt;Inputs!$B$7,Inputs!$B$6/Inputs!$B$7,0)</f>
        <v>-0</v>
      </c>
      <c r="G8" s="0" t="n">
        <f aca="false">-IF(G$3&lt;Inputs!$B$7,Inputs!$B$6/Inputs!$B$7,0)</f>
        <v>-0</v>
      </c>
      <c r="H8" s="0" t="n">
        <f aca="false">-IF(H$3&lt;Inputs!$B$7,Inputs!$B$6/Inputs!$B$7,0)</f>
        <v>-0</v>
      </c>
      <c r="I8" s="0" t="n">
        <f aca="false">-IF(I$3&lt;Inputs!$B$7,Inputs!$B$6/Inputs!$B$7,0)</f>
        <v>-0</v>
      </c>
      <c r="J8" s="0" t="n">
        <f aca="false">-IF(J$3&lt;Inputs!$B$7,Inputs!$B$6/Inputs!$B$7,0)</f>
        <v>-0</v>
      </c>
      <c r="K8" s="0" t="n">
        <f aca="false">-IF(K$3&lt;Inputs!$B$7,Inputs!$B$6/Inputs!$B$7,0)</f>
        <v>-0</v>
      </c>
      <c r="L8" s="0" t="n">
        <f aca="false">-IF(L$3&lt;Inputs!$B$7,Inputs!$B$6/Inputs!$B$7,0)</f>
        <v>-0</v>
      </c>
      <c r="M8" s="0" t="n">
        <f aca="false">-IF(M$3&lt;Inputs!$B$7,Inputs!$B$6/Inputs!$B$7,0)</f>
        <v>-0</v>
      </c>
      <c r="N8" s="0" t="n">
        <f aca="false">-IF(N$3&lt;Inputs!$B$7,Inputs!$B$6/Inputs!$B$7,0)</f>
        <v>-0</v>
      </c>
      <c r="O8" s="0" t="n">
        <f aca="false">-IF(O$3&lt;Inputs!$B$7,Inputs!$B$6/Inputs!$B$7,0)</f>
        <v>-0</v>
      </c>
      <c r="P8" s="0" t="n">
        <f aca="false">-IF(P$3&lt;Inputs!$B$7,Inputs!$B$6/Inputs!$B$7,0)</f>
        <v>-0</v>
      </c>
      <c r="Q8" s="0" t="n">
        <f aca="false">-IF(Q$3&lt;Inputs!$B$7,Inputs!$B$6/Inputs!$B$7,0)</f>
        <v>-0</v>
      </c>
      <c r="R8" s="0" t="n">
        <f aca="false">-IF(R$3&lt;Inputs!$B$7,Inputs!$B$6/Inputs!$B$7,0)</f>
        <v>-0</v>
      </c>
      <c r="S8" s="0" t="n">
        <f aca="false">-IF(S$3&lt;Inputs!$B$7,Inputs!$B$6/Inputs!$B$7,0)</f>
        <v>-0</v>
      </c>
      <c r="T8" s="0" t="n">
        <f aca="false">-IF(T$3&lt;Inputs!$B$7,Inputs!$B$6/Inputs!$B$7,0)</f>
        <v>-0</v>
      </c>
      <c r="U8" s="0" t="n">
        <f aca="false">-IF(U$3&lt;Inputs!$B$7,Inputs!$B$6/Inputs!$B$7,0)</f>
        <v>-0</v>
      </c>
      <c r="V8" s="0" t="n">
        <f aca="false">-IF(V$3&lt;Inputs!$B$7,Inputs!$B$6/Inputs!$B$7,0)</f>
        <v>-0</v>
      </c>
      <c r="W8" s="0" t="n">
        <f aca="false">-IF(W$3&lt;Inputs!$B$7,Inputs!$B$6/Inputs!$B$7,0)</f>
        <v>-0</v>
      </c>
      <c r="X8" s="0" t="n">
        <f aca="false">-IF(X$3&lt;Inputs!$B$7,Inputs!$B$6/Inputs!$B$7,0)</f>
        <v>-0</v>
      </c>
      <c r="Y8" s="0" t="n">
        <f aca="false">-IF(Y$3&lt;Inputs!$B$7,Inputs!$B$6/Inputs!$B$7,0)</f>
        <v>-0</v>
      </c>
      <c r="Z8" s="0" t="n">
        <f aca="false">-IF(Z$3&lt;Inputs!$B$7,Inputs!$B$6/Inputs!$B$7,0)</f>
        <v>-0</v>
      </c>
      <c r="AA8" s="0" t="n">
        <f aca="false">-IF(AA$3&lt;Inputs!$B$7,Inputs!$B$6/Inputs!$B$7,0)</f>
        <v>-0</v>
      </c>
      <c r="AB8" s="0" t="n">
        <f aca="false">-IF(AB$3&lt;Inputs!$B$7,Inputs!$B$6/Inputs!$B$7,0)</f>
        <v>-0</v>
      </c>
      <c r="AC8" s="0" t="n">
        <f aca="false">-IF(AC$3&lt;Inputs!$B$7,Inputs!$B$6/Inputs!$B$7,0)</f>
        <v>-0</v>
      </c>
      <c r="AD8" s="0" t="n">
        <f aca="false">-IF(AD$3&lt;Inputs!$B$7,Inputs!$B$6/Inputs!$B$7,0)</f>
        <v>-0</v>
      </c>
    </row>
    <row r="9" customFormat="false" ht="15" hidden="false" customHeight="false" outlineLevel="0" collapsed="false">
      <c r="A9" s="0" t="s">
        <v>19</v>
      </c>
      <c r="B9" s="0" t="n">
        <f aca="false">-B8*Inputs!$B$12</f>
        <v>41933333.3333333</v>
      </c>
      <c r="C9" s="0" t="n">
        <f aca="false">-C8*Inputs!$B$12</f>
        <v>41933333.3333333</v>
      </c>
      <c r="D9" s="0" t="n">
        <f aca="false">-D8*Inputs!$B$12</f>
        <v>41933333.3333333</v>
      </c>
      <c r="E9" s="0" t="n">
        <f aca="false">-E8*Inputs!$B$12</f>
        <v>0</v>
      </c>
      <c r="F9" s="0" t="n">
        <f aca="false">-F8*Inputs!$B$12</f>
        <v>0</v>
      </c>
      <c r="G9" s="0" t="n">
        <f aca="false">-G8*Inputs!$B$12</f>
        <v>0</v>
      </c>
      <c r="H9" s="0" t="n">
        <f aca="false">-H8*Inputs!$B$12</f>
        <v>0</v>
      </c>
      <c r="I9" s="0" t="n">
        <f aca="false">-I8*Inputs!$B$12</f>
        <v>0</v>
      </c>
      <c r="J9" s="0" t="n">
        <f aca="false">-J8*Inputs!$B$12</f>
        <v>0</v>
      </c>
      <c r="K9" s="0" t="n">
        <f aca="false">-K8*Inputs!$B$12</f>
        <v>0</v>
      </c>
      <c r="L9" s="0" t="n">
        <f aca="false">-L8*Inputs!$B$12</f>
        <v>0</v>
      </c>
      <c r="M9" s="0" t="n">
        <f aca="false">-M8*Inputs!$B$12</f>
        <v>0</v>
      </c>
      <c r="N9" s="0" t="n">
        <f aca="false">-N8*Inputs!$B$12</f>
        <v>0</v>
      </c>
      <c r="O9" s="0" t="n">
        <f aca="false">-O8*Inputs!$B$12</f>
        <v>0</v>
      </c>
      <c r="P9" s="0" t="n">
        <f aca="false">-P8*Inputs!$B$12</f>
        <v>0</v>
      </c>
      <c r="Q9" s="0" t="n">
        <f aca="false">-Q8*Inputs!$B$12</f>
        <v>0</v>
      </c>
      <c r="R9" s="0" t="n">
        <f aca="false">-R8*Inputs!$B$12</f>
        <v>0</v>
      </c>
      <c r="S9" s="0" t="n">
        <f aca="false">-S8*Inputs!$B$12</f>
        <v>0</v>
      </c>
      <c r="T9" s="0" t="n">
        <f aca="false">-T8*Inputs!$B$12</f>
        <v>0</v>
      </c>
      <c r="U9" s="0" t="n">
        <f aca="false">-U8*Inputs!$B$12</f>
        <v>0</v>
      </c>
      <c r="V9" s="0" t="n">
        <f aca="false">-V8*Inputs!$B$12</f>
        <v>0</v>
      </c>
      <c r="W9" s="0" t="n">
        <f aca="false">-W8*Inputs!$B$12</f>
        <v>0</v>
      </c>
      <c r="X9" s="0" t="n">
        <f aca="false">-X8*Inputs!$B$12</f>
        <v>0</v>
      </c>
      <c r="Y9" s="0" t="n">
        <f aca="false">-Y8*Inputs!$B$12</f>
        <v>0</v>
      </c>
      <c r="Z9" s="0" t="n">
        <f aca="false">-Z8*Inputs!$B$12</f>
        <v>0</v>
      </c>
      <c r="AA9" s="0" t="n">
        <f aca="false">-AA8*Inputs!$B$12</f>
        <v>0</v>
      </c>
      <c r="AB9" s="0" t="n">
        <f aca="false">-AB8*Inputs!$B$12</f>
        <v>0</v>
      </c>
      <c r="AC9" s="0" t="n">
        <f aca="false">-AC8*Inputs!$B$12</f>
        <v>0</v>
      </c>
      <c r="AD9" s="0" t="n">
        <f aca="false">-AD8*Inputs!$B$12</f>
        <v>0</v>
      </c>
    </row>
    <row r="10" customFormat="false" ht="15" hidden="false" customHeight="false" outlineLevel="0" collapsed="false">
      <c r="A10" s="0" t="s">
        <v>20</v>
      </c>
      <c r="B10" s="0" t="n">
        <f aca="false">IF(AND(B$3&gt;Inputs!$B$7,B$3&lt;=Inputs!$B$7+Inputs!$B$14),PMT(Inputs!$B$13,Inputs!$B$14,Inputs!$B$6*Inputs!$B$12),0)</f>
        <v>0</v>
      </c>
      <c r="C10" s="0" t="n">
        <f aca="false">IF(AND(C$3&gt;Inputs!$B$7,C$3&lt;=Inputs!$B$7+Inputs!$B$14),PMT(Inputs!$B$13,Inputs!$B$14,Inputs!$B$6*Inputs!$B$12),0)</f>
        <v>0</v>
      </c>
      <c r="D10" s="0" t="n">
        <f aca="false">IF(AND(D$3&gt;Inputs!$B$7,D$3&lt;=Inputs!$B$7+Inputs!$B$14),PMT(Inputs!$B$13,Inputs!$B$14,Inputs!$B$6*Inputs!$B$12),0)</f>
        <v>0</v>
      </c>
      <c r="E10" s="0" t="n">
        <f aca="false">IF(AND(E$3&gt;Inputs!$B$7,E$3&lt;=Inputs!$B$7+Inputs!$B$14),PMT(Inputs!$B$13,Inputs!$B$14,Inputs!$B$6*Inputs!$B$12),0)</f>
        <v>0</v>
      </c>
      <c r="F10" s="4" t="n">
        <f aca="false">IF(AND(F$3&gt;Inputs!$B$7,F$3&lt;=Inputs!$B$7+Inputs!$B$14),PMT(Inputs!$B$13,Inputs!$B$14,Inputs!$B$6*Inputs!$B$12),0)</f>
        <v>-10266179.1057893</v>
      </c>
      <c r="G10" s="4" t="n">
        <f aca="false">IF(AND(G$3&gt;Inputs!$B$7,G$3&lt;=Inputs!$B$7+Inputs!$B$14),PMT(Inputs!$B$13,Inputs!$B$14,Inputs!$B$6*Inputs!$B$12),0)</f>
        <v>-10266179.1057893</v>
      </c>
      <c r="H10" s="4" t="n">
        <f aca="false">IF(AND(H$3&gt;Inputs!$B$7,H$3&lt;=Inputs!$B$7+Inputs!$B$14),PMT(Inputs!$B$13,Inputs!$B$14,Inputs!$B$6*Inputs!$B$12),0)</f>
        <v>-10266179.1057893</v>
      </c>
      <c r="I10" s="4" t="n">
        <f aca="false">IF(AND(I$3&gt;Inputs!$B$7,I$3&lt;=Inputs!$B$7+Inputs!$B$14),PMT(Inputs!$B$13,Inputs!$B$14,Inputs!$B$6*Inputs!$B$12),0)</f>
        <v>-10266179.1057893</v>
      </c>
      <c r="J10" s="4" t="n">
        <f aca="false">IF(AND(J$3&gt;Inputs!$B$7,J$3&lt;=Inputs!$B$7+Inputs!$B$14),PMT(Inputs!$B$13,Inputs!$B$14,Inputs!$B$6*Inputs!$B$12),0)</f>
        <v>-10266179.1057893</v>
      </c>
      <c r="K10" s="4" t="n">
        <f aca="false">IF(AND(K$3&gt;Inputs!$B$7,K$3&lt;=Inputs!$B$7+Inputs!$B$14),PMT(Inputs!$B$13,Inputs!$B$14,Inputs!$B$6*Inputs!$B$12),0)</f>
        <v>-10266179.1057893</v>
      </c>
      <c r="L10" s="4" t="n">
        <f aca="false">IF(AND(L$3&gt;Inputs!$B$7,L$3&lt;=Inputs!$B$7+Inputs!$B$14),PMT(Inputs!$B$13,Inputs!$B$14,Inputs!$B$6*Inputs!$B$12),0)</f>
        <v>-10266179.1057893</v>
      </c>
      <c r="M10" s="4" t="n">
        <f aca="false">IF(AND(M$3&gt;Inputs!$B$7,M$3&lt;=Inputs!$B$7+Inputs!$B$14),PMT(Inputs!$B$13,Inputs!$B$14,Inputs!$B$6*Inputs!$B$12),0)</f>
        <v>-10266179.1057893</v>
      </c>
      <c r="N10" s="4" t="n">
        <f aca="false">IF(AND(N$3&gt;Inputs!$B$7,N$3&lt;=Inputs!$B$7+Inputs!$B$14),PMT(Inputs!$B$13,Inputs!$B$14,Inputs!$B$6*Inputs!$B$12),0)</f>
        <v>-10266179.1057893</v>
      </c>
      <c r="O10" s="4" t="n">
        <f aca="false">IF(AND(O$3&gt;Inputs!$B$7,O$3&lt;=Inputs!$B$7+Inputs!$B$14),PMT(Inputs!$B$13,Inputs!$B$14,Inputs!$B$6*Inputs!$B$12),0)</f>
        <v>-10266179.1057893</v>
      </c>
      <c r="P10" s="4" t="n">
        <f aca="false">IF(AND(P$3&gt;Inputs!$B$7,P$3&lt;=Inputs!$B$7+Inputs!$B$14),PMT(Inputs!$B$13,Inputs!$B$14,Inputs!$B$6*Inputs!$B$12),0)</f>
        <v>-10266179.1057893</v>
      </c>
      <c r="Q10" s="4" t="n">
        <f aca="false">IF(AND(Q$3&gt;Inputs!$B$7,Q$3&lt;=Inputs!$B$7+Inputs!$B$14),PMT(Inputs!$B$13,Inputs!$B$14,Inputs!$B$6*Inputs!$B$12),0)</f>
        <v>-10266179.1057893</v>
      </c>
      <c r="R10" s="4" t="n">
        <f aca="false">IF(AND(R$3&gt;Inputs!$B$7,R$3&lt;=Inputs!$B$7+Inputs!$B$14),PMT(Inputs!$B$13,Inputs!$B$14,Inputs!$B$6*Inputs!$B$12),0)</f>
        <v>-10266179.1057893</v>
      </c>
      <c r="S10" s="4" t="n">
        <f aca="false">IF(AND(S$3&gt;Inputs!$B$7,S$3&lt;=Inputs!$B$7+Inputs!$B$14),PMT(Inputs!$B$13,Inputs!$B$14,Inputs!$B$6*Inputs!$B$12),0)</f>
        <v>-10266179.1057893</v>
      </c>
      <c r="T10" s="4" t="n">
        <f aca="false">IF(AND(T$3&gt;Inputs!$B$7,T$3&lt;=Inputs!$B$7+Inputs!$B$14),PMT(Inputs!$B$13,Inputs!$B$14,Inputs!$B$6*Inputs!$B$12),0)</f>
        <v>-10266179.1057893</v>
      </c>
      <c r="U10" s="4" t="n">
        <f aca="false">IF(AND(U$3&gt;Inputs!$B$7,U$3&lt;=Inputs!$B$7+Inputs!$B$14),PMT(Inputs!$B$13,Inputs!$B$14,Inputs!$B$6*Inputs!$B$12),0)</f>
        <v>-10266179.1057893</v>
      </c>
      <c r="V10" s="4" t="n">
        <f aca="false">IF(AND(V$3&gt;Inputs!$B$7,V$3&lt;=Inputs!$B$7+Inputs!$B$14),PMT(Inputs!$B$13,Inputs!$B$14,Inputs!$B$6*Inputs!$B$12),0)</f>
        <v>-10266179.1057893</v>
      </c>
      <c r="W10" s="4" t="n">
        <f aca="false">IF(AND(W$3&gt;Inputs!$B$7,W$3&lt;=Inputs!$B$7+Inputs!$B$14),PMT(Inputs!$B$13,Inputs!$B$14,Inputs!$B$6*Inputs!$B$12),0)</f>
        <v>-10266179.1057893</v>
      </c>
      <c r="X10" s="4" t="n">
        <f aca="false">IF(AND(X$3&gt;Inputs!$B$7,X$3&lt;=Inputs!$B$7+Inputs!$B$14),PMT(Inputs!$B$13,Inputs!$B$14,Inputs!$B$6*Inputs!$B$12),0)</f>
        <v>-10266179.1057893</v>
      </c>
      <c r="Y10" s="4" t="n">
        <f aca="false">IF(AND(Y$3&gt;Inputs!$B$7,Y$3&lt;=Inputs!$B$7+Inputs!$B$14),PMT(Inputs!$B$13,Inputs!$B$14,Inputs!$B$6*Inputs!$B$12),0)</f>
        <v>-10266179.1057893</v>
      </c>
      <c r="Z10" s="4" t="n">
        <f aca="false">IF(AND(Z$3&gt;Inputs!$B$7,Z$3&lt;=Inputs!$B$7+Inputs!$B$14),PMT(Inputs!$B$13,Inputs!$B$14,Inputs!$B$6*Inputs!$B$12),0)</f>
        <v>-10266179.1057893</v>
      </c>
      <c r="AA10" s="4" t="n">
        <f aca="false">IF(AND(AA$3&gt;Inputs!$B$7,AA$3&lt;=Inputs!$B$7+Inputs!$B$14),PMT(Inputs!$B$13,Inputs!$B$14,Inputs!$B$6*Inputs!$B$12),0)</f>
        <v>-10266179.1057893</v>
      </c>
      <c r="AB10" s="0" t="n">
        <f aca="false">IF(AND(AB$3&gt;Inputs!$B$7,AB$3&lt;=Inputs!$B$7+Inputs!$B$14),PMT(Inputs!$B$13,Inputs!$B$14,Inputs!$B$6*Inputs!$B$12),0)</f>
        <v>0</v>
      </c>
      <c r="AC10" s="0" t="n">
        <f aca="false">IF(AND(AC$3&gt;Inputs!$B$7,AC$3&lt;=Inputs!$B$7+Inputs!$B$14),PMT(Inputs!$B$13,Inputs!$B$14,Inputs!$B$6*Inputs!$B$12),0)</f>
        <v>0</v>
      </c>
      <c r="AD10" s="0" t="n">
        <f aca="false">IF(AND(AD$3&gt;Inputs!$B$7,AD$3&lt;=Inputs!$B$7+Inputs!$B$14),PMT(Inputs!$B$13,Inputs!$B$14,Inputs!$B$6*Inputs!$B$12),0)</f>
        <v>0</v>
      </c>
    </row>
    <row r="11" customFormat="false" ht="15" hidden="false" customHeight="false" outlineLevel="0" collapsed="false">
      <c r="A11" s="0" t="s">
        <v>21</v>
      </c>
      <c r="B11" s="0" t="n">
        <f aca="false">B12+B9+B10</f>
        <v>-7400000</v>
      </c>
      <c r="C11" s="0" t="n">
        <f aca="false">C12+C9+C10</f>
        <v>-7400000</v>
      </c>
      <c r="D11" s="0" t="n">
        <f aca="false">D12+D9+D10</f>
        <v>-7400000</v>
      </c>
      <c r="E11" s="0" t="n">
        <f aca="false">E12+E9+E10</f>
        <v>0</v>
      </c>
      <c r="F11" s="4" t="n">
        <f aca="false">F12+F9+F10</f>
        <v>6035320.89421066</v>
      </c>
      <c r="G11" s="4" t="n">
        <f aca="false">G12+G9+G10</f>
        <v>6381370.89421066</v>
      </c>
      <c r="H11" s="4" t="n">
        <f aca="false">H12+H9+H10</f>
        <v>6733954.39421066</v>
      </c>
      <c r="I11" s="4" t="n">
        <f aca="false">I12+I9+I10</f>
        <v>7093192.37671066</v>
      </c>
      <c r="J11" s="4" t="n">
        <f aca="false">J12+J9+J10</f>
        <v>7459208.00167316</v>
      </c>
      <c r="K11" s="4" t="n">
        <f aca="false">K12+K9+K10</f>
        <v>7832126.64401772</v>
      </c>
      <c r="L11" s="4" t="n">
        <f aca="false">L12+L9+L10</f>
        <v>8212075.93171406</v>
      </c>
      <c r="M11" s="4" t="n">
        <f aca="false">M12+M9+M10</f>
        <v>8599185.78448182</v>
      </c>
      <c r="N11" s="4" t="n">
        <f aca="false">N12+N9+N10</f>
        <v>8993588.45310539</v>
      </c>
      <c r="O11" s="4" t="n">
        <f aca="false">O12+O9+O10</f>
        <v>9395418.55937189</v>
      </c>
      <c r="P11" s="4" t="n">
        <f aca="false">P12+P9+P10</f>
        <v>9804813.13664092</v>
      </c>
      <c r="Q11" s="4" t="n">
        <f aca="false">Q12+Q9+Q10</f>
        <v>10221911.6710545</v>
      </c>
      <c r="R11" s="4" t="n">
        <f aca="false">R12+R9+R10</f>
        <v>10646856.1433954</v>
      </c>
      <c r="S11" s="4" t="n">
        <f aca="false">S12+S9+S10</f>
        <v>11079791.0716033</v>
      </c>
      <c r="T11" s="4" t="n">
        <f aca="false">T12+T9+T10</f>
        <v>11520863.553956</v>
      </c>
      <c r="U11" s="4" t="n">
        <f aca="false">U12+U9+U10</f>
        <v>11970223.3129258</v>
      </c>
      <c r="V11" s="4" t="n">
        <f aca="false">V12+V9+V10</f>
        <v>12428022.7397194</v>
      </c>
      <c r="W11" s="4" t="n">
        <f aca="false">W12+W9+W10</f>
        <v>12894416.9395093</v>
      </c>
      <c r="X11" s="4" t="n">
        <f aca="false">X12+X9+X10</f>
        <v>13369563.777367</v>
      </c>
      <c r="Y11" s="4" t="n">
        <f aca="false">Y12+Y9+Y10</f>
        <v>13853623.9249057</v>
      </c>
      <c r="Z11" s="4" t="n">
        <f aca="false">Z12+Z9+Z10</f>
        <v>14346760.907642</v>
      </c>
      <c r="AA11" s="4" t="n">
        <f aca="false">AA12+AA9+AA10</f>
        <v>14849141.1530862</v>
      </c>
      <c r="AB11" s="0" t="n">
        <f aca="false">AB12+AB9+AB10</f>
        <v>25627113.1453579</v>
      </c>
      <c r="AC11" s="0" t="n">
        <f aca="false">AC12+AC9+AC10</f>
        <v>26148491.0516026</v>
      </c>
      <c r="AD11" s="0" t="n">
        <f aca="false">AD12+AD9+AD10</f>
        <v>26679629.4070556</v>
      </c>
    </row>
    <row r="12" customFormat="false" ht="15" hidden="false" customHeight="false" outlineLevel="0" collapsed="false">
      <c r="A12" s="0" t="s">
        <v>22</v>
      </c>
      <c r="B12" s="0" t="n">
        <f aca="false">SUM(B4:B8)</f>
        <v>-49333333.3333333</v>
      </c>
      <c r="C12" s="0" t="n">
        <f aca="false">SUM(C4:C8)</f>
        <v>-49333333.3333333</v>
      </c>
      <c r="D12" s="0" t="n">
        <f aca="false">SUM(D4:D8)</f>
        <v>-49333333.3333333</v>
      </c>
      <c r="E12" s="0" t="n">
        <f aca="false">SUM(E4:E8)</f>
        <v>0</v>
      </c>
      <c r="F12" s="0" t="n">
        <f aca="false">SUM(F4:F8)</f>
        <v>16301500</v>
      </c>
      <c r="G12" s="0" t="n">
        <f aca="false">SUM(G4:G8)</f>
        <v>16647550</v>
      </c>
      <c r="H12" s="0" t="n">
        <f aca="false">SUM(H4:H8)</f>
        <v>17000133.5</v>
      </c>
      <c r="I12" s="0" t="n">
        <f aca="false">SUM(I4:I8)</f>
        <v>17359371.4825</v>
      </c>
      <c r="J12" s="0" t="n">
        <f aca="false">SUM(J4:J8)</f>
        <v>17725387.1074625</v>
      </c>
      <c r="K12" s="0" t="n">
        <f aca="false">SUM(K4:K8)</f>
        <v>18098305.7498071</v>
      </c>
      <c r="L12" s="0" t="n">
        <f aca="false">SUM(L4:L8)</f>
        <v>18478255.0375034</v>
      </c>
      <c r="M12" s="0" t="n">
        <f aca="false">SUM(M4:M8)</f>
        <v>18865364.8902712</v>
      </c>
      <c r="N12" s="0" t="n">
        <f aca="false">SUM(N4:N8)</f>
        <v>19259767.5588947</v>
      </c>
      <c r="O12" s="0" t="n">
        <f aca="false">SUM(O4:O8)</f>
        <v>19661597.6651612</v>
      </c>
      <c r="P12" s="0" t="n">
        <f aca="false">SUM(P4:P8)</f>
        <v>20070992.2424303</v>
      </c>
      <c r="Q12" s="0" t="n">
        <f aca="false">SUM(Q4:Q8)</f>
        <v>20488090.7768438</v>
      </c>
      <c r="R12" s="0" t="n">
        <f aca="false">SUM(R4:R8)</f>
        <v>20913035.2491848</v>
      </c>
      <c r="S12" s="0" t="n">
        <f aca="false">SUM(S4:S8)</f>
        <v>21345970.1773927</v>
      </c>
      <c r="T12" s="0" t="n">
        <f aca="false">SUM(T4:T8)</f>
        <v>21787042.6597453</v>
      </c>
      <c r="U12" s="0" t="n">
        <f aca="false">SUM(U4:U8)</f>
        <v>22236402.4187151</v>
      </c>
      <c r="V12" s="0" t="n">
        <f aca="false">SUM(V4:V8)</f>
        <v>22694201.8455087</v>
      </c>
      <c r="W12" s="0" t="n">
        <f aca="false">SUM(W4:W8)</f>
        <v>23160596.0452986</v>
      </c>
      <c r="X12" s="0" t="n">
        <f aca="false">SUM(X4:X8)</f>
        <v>23635742.8831564</v>
      </c>
      <c r="Y12" s="0" t="n">
        <f aca="false">SUM(Y4:Y8)</f>
        <v>24119803.030695</v>
      </c>
      <c r="Z12" s="0" t="n">
        <f aca="false">SUM(Z4:Z8)</f>
        <v>24612940.0134314</v>
      </c>
      <c r="AA12" s="0" t="n">
        <f aca="false">SUM(AA4:AA8)</f>
        <v>25115320.2588755</v>
      </c>
      <c r="AB12" s="0" t="n">
        <f aca="false">SUM(AB4:AB8)</f>
        <v>25627113.1453579</v>
      </c>
      <c r="AC12" s="0" t="n">
        <f aca="false">SUM(AC4:AC8)</f>
        <v>26148491.0516026</v>
      </c>
      <c r="AD12" s="0" t="n">
        <f aca="false">SUM(AD4:AD8)</f>
        <v>26679629.4070556</v>
      </c>
    </row>
    <row r="13" customFormat="false" ht="15" hidden="false" customHeight="false" outlineLevel="0" collapsed="false">
      <c r="A13" s="0" t="s">
        <v>23</v>
      </c>
      <c r="B13" s="0" t="n">
        <f aca="false">SUM(B4:B7)</f>
        <v>0</v>
      </c>
      <c r="C13" s="0" t="n">
        <f aca="false">SUM(C4:C7)</f>
        <v>0</v>
      </c>
      <c r="D13" s="0" t="n">
        <f aca="false">SUM(D4:D7)</f>
        <v>0</v>
      </c>
      <c r="E13" s="0" t="n">
        <f aca="false">SUM(E4:E7)</f>
        <v>0</v>
      </c>
      <c r="F13" s="0" t="n">
        <f aca="false">SUM(F4:F7)</f>
        <v>16301500</v>
      </c>
      <c r="G13" s="0" t="n">
        <f aca="false">SUM(G4:G7)</f>
        <v>16647550</v>
      </c>
      <c r="H13" s="0" t="n">
        <f aca="false">SUM(H4:H7)</f>
        <v>17000133.5</v>
      </c>
      <c r="I13" s="0" t="n">
        <f aca="false">SUM(I4:I7)</f>
        <v>17359371.4825</v>
      </c>
      <c r="J13" s="0" t="n">
        <f aca="false">SUM(J4:J7)</f>
        <v>17725387.1074625</v>
      </c>
      <c r="K13" s="0" t="n">
        <f aca="false">SUM(K4:K7)</f>
        <v>18098305.7498071</v>
      </c>
      <c r="L13" s="0" t="n">
        <f aca="false">SUM(L4:L7)</f>
        <v>18478255.0375034</v>
      </c>
      <c r="M13" s="0" t="n">
        <f aca="false">SUM(M4:M7)</f>
        <v>18865364.8902712</v>
      </c>
      <c r="N13" s="0" t="n">
        <f aca="false">SUM(N4:N7)</f>
        <v>19259767.5588947</v>
      </c>
      <c r="O13" s="0" t="n">
        <f aca="false">SUM(O4:O7)</f>
        <v>19661597.6651612</v>
      </c>
      <c r="P13" s="0" t="n">
        <f aca="false">SUM(P4:P7)</f>
        <v>20070992.2424303</v>
      </c>
      <c r="Q13" s="0" t="n">
        <f aca="false">SUM(Q4:Q7)</f>
        <v>20488090.7768438</v>
      </c>
      <c r="R13" s="0" t="n">
        <f aca="false">SUM(R4:R7)</f>
        <v>20913035.2491848</v>
      </c>
      <c r="S13" s="0" t="n">
        <f aca="false">SUM(S4:S7)</f>
        <v>21345970.1773927</v>
      </c>
      <c r="T13" s="0" t="n">
        <f aca="false">SUM(T4:T7)</f>
        <v>21787042.6597453</v>
      </c>
      <c r="U13" s="0" t="n">
        <f aca="false">SUM(U4:U7)</f>
        <v>22236402.4187151</v>
      </c>
      <c r="V13" s="0" t="n">
        <f aca="false">SUM(V4:V7)</f>
        <v>22694201.8455087</v>
      </c>
      <c r="W13" s="0" t="n">
        <f aca="false">SUM(W4:W7)</f>
        <v>23160596.0452986</v>
      </c>
      <c r="X13" s="0" t="n">
        <f aca="false">SUM(X4:X7)</f>
        <v>23635742.8831564</v>
      </c>
      <c r="Y13" s="0" t="n">
        <f aca="false">SUM(Y4:Y7)</f>
        <v>24119803.030695</v>
      </c>
      <c r="Z13" s="0" t="n">
        <f aca="false">SUM(Z4:Z7)</f>
        <v>24612940.0134314</v>
      </c>
      <c r="AA13" s="0" t="n">
        <f aca="false">SUM(AA4:AA7)</f>
        <v>25115320.2588755</v>
      </c>
      <c r="AB13" s="0" t="n">
        <f aca="false">SUM(AB4:AB7)</f>
        <v>25627113.1453579</v>
      </c>
      <c r="AC13" s="0" t="n">
        <f aca="false">SUM(AC4:AC7)</f>
        <v>26148491.0516026</v>
      </c>
      <c r="AD13" s="0" t="n">
        <f aca="false">SUM(AD4:AD7)</f>
        <v>26679629.4070556</v>
      </c>
    </row>
    <row r="14" customFormat="false" ht="15" hidden="false" customHeight="false" outlineLevel="0" collapsed="false">
      <c r="A14" s="0" t="s">
        <v>24</v>
      </c>
      <c r="B14" s="0" t="str">
        <f aca="false">IF(B10&lt;0,B13/-B10,"")</f>
        <v/>
      </c>
      <c r="C14" s="0" t="str">
        <f aca="false">IF(C10&lt;0,C13/-C10,"")</f>
        <v/>
      </c>
      <c r="D14" s="0" t="str">
        <f aca="false">IF(D10&lt;0,D13/-D10,"")</f>
        <v/>
      </c>
      <c r="E14" s="0" t="str">
        <f aca="false">IF(E10&lt;0,E13/-E10,"")</f>
        <v/>
      </c>
      <c r="F14" s="0" t="n">
        <f aca="false">IF(F10&lt;0,F13/-F10,"")</f>
        <v>1.5878838496795</v>
      </c>
      <c r="G14" s="0" t="n">
        <f aca="false">IF(G10&lt;0,G13/-G10,"")</f>
        <v>1.62159161928239</v>
      </c>
      <c r="H14" s="0" t="n">
        <f aca="false">IF(H10&lt;0,H13/-H10,"")</f>
        <v>1.65593579897834</v>
      </c>
      <c r="I14" s="0" t="n">
        <f aca="false">IF(I10&lt;0,I13/-I10,"")</f>
        <v>1.69092817333672</v>
      </c>
      <c r="J14" s="0" t="n">
        <f aca="false">IF(J10&lt;0,J13/-J10,"")</f>
        <v>1.72658073902751</v>
      </c>
      <c r="K14" s="0" t="n">
        <f aca="false">IF(K10&lt;0,K13/-K10,"")</f>
        <v>1.76290570847347</v>
      </c>
      <c r="L14" s="0" t="n">
        <f aca="false">IF(L10&lt;0,L13/-L10,"")</f>
        <v>1.79991551356074</v>
      </c>
      <c r="M14" s="0" t="n">
        <f aca="false">IF(M10&lt;0,M13/-M10,"")</f>
        <v>1.83762280940847</v>
      </c>
      <c r="N14" s="0" t="n">
        <f aca="false">IF(N10&lt;0,N13/-N10,"")</f>
        <v>1.87604047819833</v>
      </c>
      <c r="O14" s="0" t="n">
        <f aca="false">IF(O10&lt;0,O13/-O10,"")</f>
        <v>1.91518163306479</v>
      </c>
      <c r="P14" s="0" t="n">
        <f aca="false">IF(P10&lt;0,P13/-P10,"")</f>
        <v>1.9550596220469</v>
      </c>
      <c r="Q14" s="0" t="n">
        <f aca="false">IF(Q10&lt;0,Q13/-Q10,"")</f>
        <v>1.99568803210243</v>
      </c>
      <c r="R14" s="0" t="n">
        <f aca="false">IF(R10&lt;0,R13/-R10,"")</f>
        <v>2.0370806931852</v>
      </c>
      <c r="S14" s="0" t="n">
        <f aca="false">IF(S10&lt;0,S13/-S10,"")</f>
        <v>2.07925168238641</v>
      </c>
      <c r="T14" s="0" t="n">
        <f aca="false">IF(T10&lt;0,T13/-T10,"")</f>
        <v>2.12221532814083</v>
      </c>
      <c r="U14" s="0" t="n">
        <f aca="false">IF(U10&lt;0,U13/-U10,"")</f>
        <v>2.16598621449878</v>
      </c>
      <c r="V14" s="0" t="n">
        <f aca="false">IF(V10&lt;0,V13/-V10,"")</f>
        <v>2.21057918546452</v>
      </c>
      <c r="W14" s="0" t="n">
        <f aca="false">IF(W10&lt;0,W13/-W10,"")</f>
        <v>2.25600934940224</v>
      </c>
      <c r="X14" s="0" t="n">
        <f aca="false">IF(X10&lt;0,X13/-X10,"")</f>
        <v>2.30229208351017</v>
      </c>
      <c r="Y14" s="0" t="n">
        <f aca="false">IF(Y10&lt;0,Y13/-Y10,"")</f>
        <v>2.34944303836403</v>
      </c>
      <c r="Z14" s="0" t="n">
        <f aca="false">IF(Z10&lt;0,Z13/-Z10,"")</f>
        <v>2.39747814253032</v>
      </c>
      <c r="AA14" s="0" t="n">
        <f aca="false">IF(AA10&lt;0,AA13/-AA10,"")</f>
        <v>2.44641360725066</v>
      </c>
      <c r="AB14" s="0" t="str">
        <f aca="false">IF(AB10&lt;0,AB13/-AB10,"")</f>
        <v/>
      </c>
      <c r="AC14" s="0" t="str">
        <f aca="false">IF(AC10&lt;0,AC13/-AC10,"")</f>
        <v/>
      </c>
      <c r="AD14" s="0" t="str">
        <f aca="false">IF(AD10&lt;0,AD13/-AD10,"")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2" t="n">
        <f aca="false">IRR(Model!B11:AD11)</f>
        <v>0.225862094977714</v>
      </c>
    </row>
    <row r="4" customFormat="false" ht="15" hidden="false" customHeight="false" outlineLevel="0" collapsed="false">
      <c r="A4" s="0" t="s">
        <v>26</v>
      </c>
      <c r="B4" s="2" t="n">
        <f aca="false">IRR(Model!B12:AD12)</f>
        <v>0.0970867651857068</v>
      </c>
    </row>
    <row r="5" customFormat="false" ht="15" hidden="false" customHeight="false" outlineLevel="0" collapsed="false">
      <c r="A5" s="0" t="s">
        <v>27</v>
      </c>
      <c r="B5" s="5" t="n">
        <f aca="false">MIN(Model!B14:AD14)</f>
        <v>1.5878838496795</v>
      </c>
    </row>
    <row r="6" customFormat="false" ht="15" hidden="false" customHeight="false" outlineLevel="0" collapsed="false">
      <c r="A6" s="0" t="s">
        <v>28</v>
      </c>
      <c r="B6" s="5" t="n">
        <f aca="false">AVERAGE(Model!B14:AD14)</f>
        <v>1.99054924099512</v>
      </c>
    </row>
    <row r="7" customFormat="false" ht="15" hidden="false" customHeight="false" outlineLevel="0" collapsed="false">
      <c r="A7" s="0" t="s">
        <v>29</v>
      </c>
      <c r="B7" s="1" t="n">
        <f aca="false">-SUMIF(Model!B11:AD11,"&lt;0")</f>
        <v>22200000</v>
      </c>
    </row>
    <row r="8" customFormat="false" ht="15" hidden="false" customHeight="false" outlineLevel="0" collapsed="false">
      <c r="A8" s="0" t="s">
        <v>30</v>
      </c>
      <c r="B8" s="1" t="n">
        <f aca="false">SUM(Model!B12:AD12)</f>
        <v>380032604.196894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2026-10-16T17:29:18Z</dcterms:created>
  <dc:creator>openpyxl</dc:creator>
  <dc:description/>
  <dc:language>en-US</dc:language>
  <cp:lastModifiedBy/>
  <dcterms:modified xsi:type="dcterms:W3CDTF">2026-10-16T17:29:18Z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