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Expiry</t>
        </is>
      </c>
      <c r="C1" t="inlineStr">
        <is>
          <t>Rent</t>
        </is>
      </c>
      <c r="E1" t="inlineStr">
        <is>
          <t>Window ends</t>
        </is>
      </c>
      <c r="F1" t="inlineStr">
        <is>
          <t>Leases expiring</t>
        </is>
      </c>
      <c r="H1" t="inlineStr">
        <is>
          <t>Rent growth</t>
        </is>
      </c>
    </row>
    <row r="2">
      <c r="A2" t="inlineStr">
        <is>
          <t>T1</t>
        </is>
      </c>
      <c r="B2" t="n">
        <v>2027</v>
      </c>
      <c r="C2" t="n">
        <v>1200</v>
      </c>
      <c r="E2" t="n">
        <v>2027</v>
      </c>
      <c r="F2">
        <f>INDEX(FREQUENCY($B$2:$B$11,$E$2:$E$4),1)</f>
        <v>3</v>
      </c>
      <c r="H2" t="n">
        <v>0.03</v>
      </c>
    </row>
    <row r="3">
      <c r="A3" t="inlineStr">
        <is>
          <t>T2</t>
        </is>
      </c>
      <c r="B3" t="n">
        <v>2028</v>
      </c>
      <c r="C3" t="n">
        <v>800</v>
      </c>
      <c r="E3" t="n">
        <v>2029</v>
      </c>
      <c r="F3">
        <f>INDEX(FREQUENCY($B$2:$B$11,$E$2:$E$4),2)</f>
        <v>3</v>
      </c>
    </row>
    <row r="4">
      <c r="A4" t="inlineStr">
        <is>
          <t>T3</t>
        </is>
      </c>
      <c r="B4" t="n">
        <v>2028</v>
      </c>
      <c r="C4" t="n">
        <v>650</v>
      </c>
      <c r="E4" t="n">
        <v>2031</v>
      </c>
      <c r="F4">
        <f>INDEX(FREQUENCY($B$2:$B$11,$E$2:$E$4),3)</f>
        <v>2</v>
      </c>
      <c r="H4" t="inlineStr">
        <is>
          <t>Leases expiring by 2027</t>
        </is>
      </c>
      <c r="I4">
        <f>F2</f>
        <v>3</v>
      </c>
    </row>
    <row r="5">
      <c r="A5" t="inlineStr">
        <is>
          <t>T4</t>
        </is>
      </c>
      <c r="B5" t="n">
        <v>2030</v>
      </c>
      <c r="C5" t="n">
        <v>2100</v>
      </c>
      <c r="F5">
        <f>INDEX(FREQUENCY($B$2:$B$11,$E$2:$E$4),4)</f>
        <v>2</v>
      </c>
      <c r="H5" t="inlineStr">
        <is>
          <t>Share of leases expiring by 2029</t>
        </is>
      </c>
      <c r="I5">
        <f>(F2+F3)/COUNT(B2:B11)</f>
        <v>0.6</v>
      </c>
    </row>
    <row r="6">
      <c r="A6" t="inlineStr">
        <is>
          <t>T5</t>
        </is>
      </c>
      <c r="B6" t="n">
        <v>2031</v>
      </c>
      <c r="C6" t="n">
        <v>900</v>
      </c>
      <c r="H6" t="inlineStr">
        <is>
          <t>Rent in year 5</t>
        </is>
      </c>
      <c r="I6">
        <f>SUM(C2:C11)*(1+H2)^5</f>
        <v>11940.522965290002</v>
      </c>
    </row>
    <row r="7">
      <c r="A7" t="inlineStr">
        <is>
          <t>T6</t>
        </is>
      </c>
      <c r="B7" t="n">
        <v>2026</v>
      </c>
      <c r="C7" t="n">
        <v>400</v>
      </c>
    </row>
    <row r="8">
      <c r="A8" t="inlineStr">
        <is>
          <t>T7</t>
        </is>
      </c>
      <c r="B8" t="n">
        <v>2033</v>
      </c>
      <c r="C8" t="n">
        <v>1500</v>
      </c>
    </row>
    <row r="9">
      <c r="A9" t="inlineStr">
        <is>
          <t>T8</t>
        </is>
      </c>
      <c r="B9" t="n">
        <v>2029</v>
      </c>
      <c r="C9" t="n">
        <v>700</v>
      </c>
    </row>
    <row r="10">
      <c r="A10" t="inlineStr">
        <is>
          <t>T9</t>
        </is>
      </c>
      <c r="B10" t="n">
        <v>2027</v>
      </c>
      <c r="C10" t="n">
        <v>1100</v>
      </c>
    </row>
    <row r="11">
      <c r="A11" t="inlineStr">
        <is>
          <t>T10</t>
        </is>
      </c>
      <c r="B11" t="n">
        <v>2032</v>
      </c>
      <c r="C11" t="n">
        <v>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2026-10-22T09:44:01Z</dcterms:created>
  <dcterms:modified xsi:type="dcterms:W3CDTF">2026-10-22T09:44:01Z</dcterms:modified>
</cp:coreProperties>
</file>