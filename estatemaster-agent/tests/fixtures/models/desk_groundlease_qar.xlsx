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ase" sheetId="1" state="visible" r:id="rId3"/>
    <sheet name="Rent Schedule" sheetId="2" state="visible" r:id="rId4"/>
    <sheet name="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<sst xmlns="http://schemas.openxmlformats.org/spreadsheetml/2006/main" count="22" uniqueCount="22">
  <si>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LUSAIL PLOT 14 – GROUND LEASE (LESSOR) – QAR</t>
  </si>
  <si>
    <t xml:space="preserve">Initial ground rent (QAR p.a.)</t>
  </si>
  <si>
    <t xml:space="preserve">per lease schedule</t>
  </si>
  <si>
    <t xml:space="preserve">CPI assumption</t>
  </si>
  <si>
    <t xml:space="preserve">IMF 2025 outlook 2.5</t>
  </si>
  <si>
    <t xml:space="preserve">Review every (years)</t>
  </si>
  <si>
    <t xml:space="preserve">clause 7.2</t>
  </si>
  <si>
    <t xml:space="preserve">Fixed uplift at review</t>
  </si>
  <si>
    <t xml:space="preserve">or CPI, whichever higher</t>
  </si>
  <si>
    <t xml:space="preserve">Term (years)</t>
  </si>
  <si>
    <t xml:space="preserve">Discount rate</t>
  </si>
  <si>
    <t xml:space="preserve">board WACC 7.5</t>
  </si>
  <si>
    <t xml:space="preserve">Land value today (QAR)</t>
  </si>
  <si>
    <t xml:space="preserve">valuer 2026</t>
  </si>
  <si>
    <t xml:space="preserve">Year</t>
  </si>
  <si>
    <t xml:space="preserve">Rent</t>
  </si>
  <si>
    <t xml:space="preserve">Cash flow</t>
  </si>
  <si>
    <t xml:space="preserve">NPV of rent</t>
  </si>
  <si>
    <t xml:space="preserve">Lessor IRR</t>
  </si>
  <si>
    <t xml:space="preserve">Initial yield on land</t>
  </si>
  <si>
    <t xml:space="preserve">Total rent over term</t>
  </si>
  <si>
    <t xml:space="preserve">Net profit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</si>
</sst>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6200000</v>
      </c>
      <c r="D3" s="2" t="s">
        <v>2</v>
      </c>
    </row>
    <row r="4" customFormat="false" ht="15" hidden="false" customHeight="false" outlineLevel="0" collapsed="false">
      <c r="A4" s="0" t="s">
        <v>3</v>
      </c>
      <c r="B4" s="3" t="n">
        <v>0.025</v>
      </c>
      <c r="D4" s="2" t="s">
        <v>4</v>
      </c>
    </row>
    <row r="5" customFormat="false" ht="15" hidden="false" customHeight="false" outlineLevel="0" collapsed="false">
      <c r="A5" s="0" t="s">
        <v>5</v>
      </c>
      <c r="B5" s="4" t="n">
        <v>5</v>
      </c>
      <c r="D5" s="2" t="s">
        <v>6</v>
      </c>
    </row>
    <row r="6" customFormat="false" ht="15" hidden="false" customHeight="false" outlineLevel="0" collapsed="false">
      <c r="A6" s="0" t="s">
        <v>7</v>
      </c>
      <c r="B6" s="3" t="n">
        <v>0.1</v>
      </c>
      <c r="D6" s="2" t="s">
        <v>8</v>
      </c>
    </row>
    <row r="7" customFormat="false" ht="15" hidden="false" customHeight="false" outlineLevel="0" collapsed="false">
      <c r="A7" s="0" t="s">
        <v>9</v>
      </c>
      <c r="B7" s="4" t="n">
        <v>30</v>
      </c>
    </row>
    <row r="8" customFormat="false" ht="15" hidden="false" customHeight="false" outlineLevel="0" collapsed="false">
      <c r="A8" s="0" t="s">
        <v>10</v>
      </c>
      <c r="B8" s="3" t="n">
        <v>0.075</v>
      </c>
      <c r="D8" s="2" t="s">
        <v>11</v>
      </c>
    </row>
    <row r="9" customFormat="false" ht="15" hidden="false" customHeight="false" outlineLevel="0" collapsed="false">
      <c r="A9" s="0" t="s">
        <v>12</v>
      </c>
      <c r="B9" s="1" t="n">
        <v>68000000</v>
      </c>
      <c r="D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</row>
    <row r="4" customFormat="false" ht="15" hidden="false" customHeight="false" outlineLevel="0" collapsed="false">
      <c r="A4" s="0" t="s">
        <v>15</v>
      </c>
      <c r="B4" s="0" t="n">
        <v>0</v>
      </c>
      <c r="C4" s="1" t="n">
        <f aca="false">IF(C3&gt;Lease!$B$7,0,IF(C3=1,Lease!$B$3,IF(MOD(C3-1,Lease!$B$5)=0,B4*MAX(1+Lease!$B$6,(1+Lease!$B$4)^Lease!$B$5),B4)))</f>
        <v>6200000</v>
      </c>
      <c r="D4" s="1" t="n">
        <f aca="false">IF(D3&gt;Lease!$B$7,0,IF(D3=1,Lease!$B$3,IF(MOD(D3-1,Lease!$B$5)=0,C4*MAX(1+Lease!$B$6,(1+Lease!$B$4)^Lease!$B$5),C4)))</f>
        <v>6200000</v>
      </c>
      <c r="E4" s="1" t="n">
        <f aca="false">IF(E3&gt;Lease!$B$7,0,IF(E3=1,Lease!$B$3,IF(MOD(E3-1,Lease!$B$5)=0,D4*MAX(1+Lease!$B$6,(1+Lease!$B$4)^Lease!$B$5),D4)))</f>
        <v>6200000</v>
      </c>
      <c r="F4" s="1" t="n">
        <f aca="false">IF(F3&gt;Lease!$B$7,0,IF(F3=1,Lease!$B$3,IF(MOD(F3-1,Lease!$B$5)=0,E4*MAX(1+Lease!$B$6,(1+Lease!$B$4)^Lease!$B$5),E4)))</f>
        <v>6200000</v>
      </c>
      <c r="G4" s="1" t="n">
        <f aca="false">IF(G3&gt;Lease!$B$7,0,IF(G3=1,Lease!$B$3,IF(MOD(G3-1,Lease!$B$5)=0,F4*MAX(1+Lease!$B$6,(1+Lease!$B$4)^Lease!$B$5),F4)))</f>
        <v>6200000</v>
      </c>
      <c r="H4" s="0" t="n">
        <f aca="false">IF(H3&gt;Lease!$B$7,0,IF(H3=1,Lease!$B$3,IF(MOD(H3-1,Lease!$B$5)=0,G4*MAX(1+Lease!$B$6,(1+Lease!$B$4)^Lease!$B$5),G4)))</f>
        <v>7014730.91992187</v>
      </c>
      <c r="I4" s="0" t="n">
        <f aca="false">IF(I3&gt;Lease!$B$7,0,IF(I3=1,Lease!$B$3,IF(MOD(I3-1,Lease!$B$5)=0,H4*MAX(1+Lease!$B$6,(1+Lease!$B$4)^Lease!$B$5),H4)))</f>
        <v>7014730.91992187</v>
      </c>
      <c r="J4" s="0" t="n">
        <f aca="false">IF(J3&gt;Lease!$B$7,0,IF(J3=1,Lease!$B$3,IF(MOD(J3-1,Lease!$B$5)=0,I4*MAX(1+Lease!$B$6,(1+Lease!$B$4)^Lease!$B$5),I4)))</f>
        <v>7014730.91992187</v>
      </c>
      <c r="K4" s="0" t="n">
        <f aca="false">IF(K3&gt;Lease!$B$7,0,IF(K3=1,Lease!$B$3,IF(MOD(K3-1,Lease!$B$5)=0,J4*MAX(1+Lease!$B$6,(1+Lease!$B$4)^Lease!$B$5),J4)))</f>
        <v>7014730.91992187</v>
      </c>
      <c r="L4" s="0" t="n">
        <f aca="false">IF(L3&gt;Lease!$B$7,0,IF(L3=1,Lease!$B$3,IF(MOD(L3-1,Lease!$B$5)=0,K4*MAX(1+Lease!$B$6,(1+Lease!$B$4)^Lease!$B$5),K4)))</f>
        <v>7014730.91992187</v>
      </c>
      <c r="M4" s="0" t="n">
        <f aca="false">IF(M3&gt;Lease!$B$7,0,IF(M3=1,Lease!$B$3,IF(MOD(M3-1,Lease!$B$5)=0,L4*MAX(1+Lease!$B$6,(1+Lease!$B$4)^Lease!$B$5),L4)))</f>
        <v>7936524.17401741</v>
      </c>
      <c r="N4" s="0" t="n">
        <f aca="false">IF(N3&gt;Lease!$B$7,0,IF(N3=1,Lease!$B$3,IF(MOD(N3-1,Lease!$B$5)=0,M4*MAX(1+Lease!$B$6,(1+Lease!$B$4)^Lease!$B$5),M4)))</f>
        <v>7936524.17401741</v>
      </c>
      <c r="O4" s="0" t="n">
        <f aca="false">IF(O3&gt;Lease!$B$7,0,IF(O3=1,Lease!$B$3,IF(MOD(O3-1,Lease!$B$5)=0,N4*MAX(1+Lease!$B$6,(1+Lease!$B$4)^Lease!$B$5),N4)))</f>
        <v>7936524.17401741</v>
      </c>
      <c r="P4" s="0" t="n">
        <f aca="false">IF(P3&gt;Lease!$B$7,0,IF(P3=1,Lease!$B$3,IF(MOD(P3-1,Lease!$B$5)=0,O4*MAX(1+Lease!$B$6,(1+Lease!$B$4)^Lease!$B$5),O4)))</f>
        <v>7936524.17401741</v>
      </c>
      <c r="Q4" s="0" t="n">
        <f aca="false">IF(Q3&gt;Lease!$B$7,0,IF(Q3=1,Lease!$B$3,IF(MOD(Q3-1,Lease!$B$5)=0,P4*MAX(1+Lease!$B$6,(1+Lease!$B$4)^Lease!$B$5),P4)))</f>
        <v>7936524.17401741</v>
      </c>
      <c r="R4" s="0" t="n">
        <f aca="false">IF(R3&gt;Lease!$B$7,0,IF(R3=1,Lease!$B$3,IF(MOD(R3-1,Lease!$B$5)=0,Q4*MAX(1+Lease!$B$6,(1+Lease!$B$4)^Lease!$B$5),Q4)))</f>
        <v>8979448.63228828</v>
      </c>
      <c r="S4" s="0" t="n">
        <f aca="false">IF(S3&gt;Lease!$B$7,0,IF(S3=1,Lease!$B$3,IF(MOD(S3-1,Lease!$B$5)=0,R4*MAX(1+Lease!$B$6,(1+Lease!$B$4)^Lease!$B$5),R4)))</f>
        <v>8979448.63228828</v>
      </c>
      <c r="T4" s="0" t="n">
        <f aca="false">IF(T3&gt;Lease!$B$7,0,IF(T3=1,Lease!$B$3,IF(MOD(T3-1,Lease!$B$5)=0,S4*MAX(1+Lease!$B$6,(1+Lease!$B$4)^Lease!$B$5),S4)))</f>
        <v>8979448.63228828</v>
      </c>
      <c r="U4" s="0" t="n">
        <f aca="false">IF(U3&gt;Lease!$B$7,0,IF(U3=1,Lease!$B$3,IF(MOD(U3-1,Lease!$B$5)=0,T4*MAX(1+Lease!$B$6,(1+Lease!$B$4)^Lease!$B$5),T4)))</f>
        <v>8979448.63228828</v>
      </c>
      <c r="V4" s="0" t="n">
        <f aca="false">IF(V3&gt;Lease!$B$7,0,IF(V3=1,Lease!$B$3,IF(MOD(V3-1,Lease!$B$5)=0,U4*MAX(1+Lease!$B$6,(1+Lease!$B$4)^Lease!$B$5),U4)))</f>
        <v>8979448.63228828</v>
      </c>
      <c r="W4" s="0" t="n">
        <f aca="false">IF(W3&gt;Lease!$B$7,0,IF(W3=1,Lease!$B$3,IF(MOD(W3-1,Lease!$B$5)=0,V4*MAX(1+Lease!$B$6,(1+Lease!$B$4)^Lease!$B$5),V4)))</f>
        <v>10159421.9298004</v>
      </c>
      <c r="X4" s="0" t="n">
        <f aca="false">IF(X3&gt;Lease!$B$7,0,IF(X3=1,Lease!$B$3,IF(MOD(X3-1,Lease!$B$5)=0,W4*MAX(1+Lease!$B$6,(1+Lease!$B$4)^Lease!$B$5),W4)))</f>
        <v>10159421.9298004</v>
      </c>
      <c r="Y4" s="0" t="n">
        <f aca="false">IF(Y3&gt;Lease!$B$7,0,IF(Y3=1,Lease!$B$3,IF(MOD(Y3-1,Lease!$B$5)=0,X4*MAX(1+Lease!$B$6,(1+Lease!$B$4)^Lease!$B$5),X4)))</f>
        <v>10159421.9298004</v>
      </c>
      <c r="Z4" s="0" t="n">
        <f aca="false">IF(Z3&gt;Lease!$B$7,0,IF(Z3=1,Lease!$B$3,IF(MOD(Z3-1,Lease!$B$5)=0,Y4*MAX(1+Lease!$B$6,(1+Lease!$B$4)^Lease!$B$5),Y4)))</f>
        <v>10159421.9298004</v>
      </c>
      <c r="AA4" s="0" t="n">
        <f aca="false">IF(AA3&gt;Lease!$B$7,0,IF(AA3=1,Lease!$B$3,IF(MOD(AA3-1,Lease!$B$5)=0,Z4*MAX(1+Lease!$B$6,(1+Lease!$B$4)^Lease!$B$5),Z4)))</f>
        <v>10159421.9298004</v>
      </c>
      <c r="AB4" s="0" t="n">
        <f aca="false">IF(AB3&gt;Lease!$B$7,0,IF(AB3=1,Lease!$B$3,IF(MOD(AB3-1,Lease!$B$5)=0,AA4*MAX(1+Lease!$B$6,(1+Lease!$B$4)^Lease!$B$5),AA4)))</f>
        <v>11494453.4095973</v>
      </c>
      <c r="AC4" s="0" t="n">
        <f aca="false">IF(AC3&gt;Lease!$B$7,0,IF(AC3=1,Lease!$B$3,IF(MOD(AC3-1,Lease!$B$5)=0,AB4*MAX(1+Lease!$B$6,(1+Lease!$B$4)^Lease!$B$5),AB4)))</f>
        <v>11494453.4095973</v>
      </c>
      <c r="AD4" s="0" t="n">
        <f aca="false">IF(AD3&gt;Lease!$B$7,0,IF(AD3=1,Lease!$B$3,IF(MOD(AD3-1,Lease!$B$5)=0,AC4*MAX(1+Lease!$B$6,(1+Lease!$B$4)^Lease!$B$5),AC4)))</f>
        <v>11494453.4095973</v>
      </c>
      <c r="AE4" s="0" t="n">
        <f aca="false">IF(AE3&gt;Lease!$B$7,0,IF(AE3=1,Lease!$B$3,IF(MOD(AE3-1,Lease!$B$5)=0,AD4*MAX(1+Lease!$B$6,(1+Lease!$B$4)^Lease!$B$5),AD4)))</f>
        <v>11494453.4095973</v>
      </c>
      <c r="AF4" s="0" t="n">
        <f aca="false">IF(AF3&gt;Lease!$B$7,0,IF(AF3=1,Lease!$B$3,IF(MOD(AF3-1,Lease!$B$5)=0,AE4*MAX(1+Lease!$B$6,(1+Lease!$B$4)^Lease!$B$5),AE4)))</f>
        <v>11494453.4095973</v>
      </c>
    </row>
    <row r="5" customFormat="false" ht="15" hidden="false" customHeight="false" outlineLevel="0" collapsed="false">
      <c r="A5" s="0" t="s">
        <v>16</v>
      </c>
      <c r="B5" s="0" t="n">
        <f aca="false">-Lease!$B$9</f>
        <v>-68000000</v>
      </c>
      <c r="C5" s="1" t="n">
        <f aca="false">C4</f>
        <v>6200000</v>
      </c>
      <c r="D5" s="1" t="n">
        <f aca="false">D4</f>
        <v>6200000</v>
      </c>
      <c r="E5" s="1" t="n">
        <f aca="false">E4</f>
        <v>6200000</v>
      </c>
      <c r="F5" s="1" t="n">
        <f aca="false">F4</f>
        <v>6200000</v>
      </c>
      <c r="G5" s="1" t="n">
        <f aca="false">G4</f>
        <v>6200000</v>
      </c>
      <c r="H5" s="0" t="n">
        <f aca="false">H4</f>
        <v>7014730.91992187</v>
      </c>
      <c r="I5" s="0" t="n">
        <f aca="false">I4</f>
        <v>7014730.91992187</v>
      </c>
      <c r="J5" s="0" t="n">
        <f aca="false">J4</f>
        <v>7014730.91992187</v>
      </c>
      <c r="K5" s="0" t="n">
        <f aca="false">K4</f>
        <v>7014730.91992187</v>
      </c>
      <c r="L5" s="0" t="n">
        <f aca="false">L4</f>
        <v>7014730.91992187</v>
      </c>
      <c r="M5" s="0" t="n">
        <f aca="false">M4</f>
        <v>7936524.17401741</v>
      </c>
      <c r="N5" s="0" t="n">
        <f aca="false">N4</f>
        <v>7936524.17401741</v>
      </c>
      <c r="O5" s="0" t="n">
        <f aca="false">O4</f>
        <v>7936524.17401741</v>
      </c>
      <c r="P5" s="0" t="n">
        <f aca="false">P4</f>
        <v>7936524.17401741</v>
      </c>
      <c r="Q5" s="0" t="n">
        <f aca="false">Q4</f>
        <v>7936524.17401741</v>
      </c>
      <c r="R5" s="0" t="n">
        <f aca="false">R4</f>
        <v>8979448.63228828</v>
      </c>
      <c r="S5" s="0" t="n">
        <f aca="false">S4</f>
        <v>8979448.63228828</v>
      </c>
      <c r="T5" s="0" t="n">
        <f aca="false">T4</f>
        <v>8979448.63228828</v>
      </c>
      <c r="U5" s="0" t="n">
        <f aca="false">U4</f>
        <v>8979448.63228828</v>
      </c>
      <c r="V5" s="0" t="n">
        <f aca="false">V4</f>
        <v>8979448.63228828</v>
      </c>
      <c r="W5" s="0" t="n">
        <f aca="false">W4</f>
        <v>10159421.9298004</v>
      </c>
      <c r="X5" s="0" t="n">
        <f aca="false">X4</f>
        <v>10159421.9298004</v>
      </c>
      <c r="Y5" s="0" t="n">
        <f aca="false">Y4</f>
        <v>10159421.9298004</v>
      </c>
      <c r="Z5" s="0" t="n">
        <f aca="false">Z4</f>
        <v>10159421.9298004</v>
      </c>
      <c r="AA5" s="0" t="n">
        <f aca="false">AA4</f>
        <v>10159421.9298004</v>
      </c>
      <c r="AB5" s="0" t="n">
        <f aca="false">AB4</f>
        <v>11494453.4095973</v>
      </c>
      <c r="AC5" s="0" t="n">
        <f aca="false">AC4</f>
        <v>11494453.4095973</v>
      </c>
      <c r="AD5" s="0" t="n">
        <f aca="false">AD4</f>
        <v>11494453.4095973</v>
      </c>
      <c r="AE5" s="0" t="n">
        <f aca="false">AE4</f>
        <v>11494453.4095973</v>
      </c>
      <c r="AF5" s="0" t="n">
        <f aca="false">AF4</f>
        <v>11494453.4095973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1" t="n">
        <f aca="false">NPV(Lease!$B$8,'Rent Schedule'!C4:AF4)</f>
        <v>90013593.3388653</v>
      </c>
    </row>
    <row r="4" customFormat="false" ht="15" hidden="false" customHeight="false" outlineLevel="0" collapsed="false">
      <c r="A4" s="0" t="s">
        <v>18</v>
      </c>
      <c r="B4" s="3" t="n">
        <f aca="false">IRR('Rent Schedule'!B5:AF5)</f>
        <v>0.102310493619277</v>
      </c>
    </row>
    <row r="5" customFormat="false" ht="15" hidden="false" customHeight="false" outlineLevel="0" collapsed="false">
      <c r="A5" s="0" t="s">
        <v>19</v>
      </c>
      <c r="B5" s="3" t="n">
        <f aca="false">Lease!$B$3/Lease!$B$9</f>
        <v>0.0911764705882353</v>
      </c>
    </row>
    <row r="6" customFormat="false" ht="15" hidden="false" customHeight="false" outlineLevel="0" collapsed="false">
      <c r="A6" s="0" t="s">
        <v>20</v>
      </c>
      <c r="B6" s="1" t="n">
        <f aca="false">SUM('Rent Schedule'!C4:AF4)</f>
        <v>258922895.328127</v>
      </c>
    </row>
    <row r="7" customFormat="false" ht="15" hidden="false" customHeight="false" outlineLevel="0" collapsed="false">
      <c r="A7" s="0" t="s">
        <v>21</v>
      </c>
      <c r="B7" s="1" t="n">
        <f aca="false">B3-Lease!$B$9</f>
        <v>22013593.3388653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2026-10-16T15:32:20Z</dcterms:created>
  <dc:creator>openpyxl</dc:creator>
  <dc:description/>
  <dc:language>en-US</dc:language>
  <cp:lastModifiedBy/>
  <dcterms:modified xsi:type="dcterms:W3CDTF">2026-10-16T15:32:20Z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