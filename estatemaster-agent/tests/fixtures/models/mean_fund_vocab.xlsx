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FX" sheetId="2" state="visible" r:id="rId2"/>
    <sheet name="Cash Flow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GULF CORE FUND (USD m)</t>
        </is>
      </c>
    </row>
    <row r="2">
      <c r="A2" t="inlineStr">
        <is>
          <t>Committed capital (USD m)</t>
        </is>
      </c>
      <c r="B2" t="n">
        <v>200</v>
      </c>
    </row>
    <row r="3">
      <c r="A3" t="inlineStr">
        <is>
          <t>Management fee</t>
        </is>
      </c>
      <c r="B3" t="n">
        <v>0.015</v>
      </c>
    </row>
    <row r="4">
      <c r="A4" t="inlineStr">
        <is>
          <t>Deal price (SAR m)</t>
        </is>
      </c>
      <c r="B4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Per 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SAR</t>
        </is>
      </c>
      <c r="B3" t="n">
        <v>3.75</v>
      </c>
    </row>
    <row r="4">
      <c r="A4" t="inlineStr">
        <is>
          <t>AED</t>
        </is>
      </c>
      <c r="B4" t="n">
        <v>3.6725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Gross cash flow (USD m)</t>
        </is>
      </c>
      <c r="B2">
        <f>-Inputs!$B$4/FX!$B$3</f>
        <v/>
      </c>
      <c r="C2">
        <f>Inputs!$B$4/FX!$B$3*0.08</f>
        <v/>
      </c>
      <c r="D2">
        <f>Inputs!$B$4/FX!$B$3*0.08</f>
        <v/>
      </c>
      <c r="E2">
        <f>Inputs!$B$4/FX!$B$3*0.08</f>
        <v/>
      </c>
      <c r="F2">
        <f>Inputs!$B$4/FX!$B$3*0.08</f>
        <v/>
      </c>
      <c r="G2">
        <f>Inputs!$B$4/FX!$B$3*(0.08+1.25)</f>
        <v/>
      </c>
    </row>
    <row r="3">
      <c r="A3" t="inlineStr">
        <is>
          <t>Fees</t>
        </is>
      </c>
      <c r="B3">
        <f>0</f>
        <v/>
      </c>
      <c r="C3">
        <f>-Inputs!$B$2*Inputs!$B$3</f>
        <v/>
      </c>
      <c r="D3">
        <f>-Inputs!$B$2*Inputs!$B$3</f>
        <v/>
      </c>
      <c r="E3">
        <f>-Inputs!$B$2*Inputs!$B$3</f>
        <v/>
      </c>
      <c r="F3">
        <f>-Inputs!$B$2*Inputs!$B$3</f>
        <v/>
      </c>
      <c r="G3">
        <f>-Inputs!$B$2*Inputs!$B$3</f>
        <v/>
      </c>
    </row>
    <row r="4">
      <c r="A4" t="inlineStr">
        <is>
          <t>LP net cash flow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  <c r="G4">
        <f>G2+G3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IRR</t>
        </is>
      </c>
      <c r="B1" s="1">
        <f>IRR('Cash Flow'!B2:G2)</f>
        <v/>
      </c>
    </row>
    <row r="2">
      <c r="A2" t="inlineStr">
        <is>
          <t>LP net IRR</t>
        </is>
      </c>
      <c r="B2" s="1">
        <f>IRR('Cash Flow'!B4:G4)</f>
        <v/>
      </c>
    </row>
    <row r="3">
      <c r="A3" t="inlineStr">
        <is>
          <t>Price in USD (m)</t>
        </is>
      </c>
      <c r="B3">
        <f>Inputs!B4/FX!B3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2026-10-24T11:34:00Z</dcterms:created>
  <dcterms:modified xsi:type="dcterms:W3CDTF">2026-10-24T11:34:00Z</dcterms:modified>
</cp:coreProperties>
</file>