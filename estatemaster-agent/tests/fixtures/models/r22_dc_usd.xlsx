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hase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<sst xmlns="http://schemas.openxmlformats.org/spreadsheetml/2006/main" count="84" uniqueCount="84">
  <si>
    <t xml:space="preserve">NORTHGATE DATA CENTRE CAMPUS – DEVELOPMENT AND HOLD (USD)</t>
  </si>
  <si>
    <t xml:space="preserve">Case (1 Base, 2 Downside, 3 Upside)</t>
  </si>
  <si>
    <t xml:space="preserve">Model start</t>
  </si>
  <si>
    <t xml:space="preserve">Capex per MW ($, today)</t>
  </si>
  <si>
    <t xml:space="preserve">Cost inflation a year</t>
  </si>
  <si>
    <t xml:space="preserve">Rent per kW a month ($) · Base</t>
  </si>
  <si>
    <t xml:space="preserve">Rent per kW a month ($) · Downside</t>
  </si>
  <si>
    <t xml:space="preserve">Rent per kW a month ($) · Upside</t>
  </si>
  <si>
    <t xml:space="preserve">Rent escalation a year</t>
  </si>
  <si>
    <t xml:space="preserve">PUE</t>
  </si>
  <si>
    <t xml:space="preserve">Power tariff ($ per MWh)</t>
  </si>
  <si>
    <t xml:space="preserve">IT load utilisation</t>
  </si>
  <si>
    <t xml:space="preserve">Power cost recovered from tenants</t>
  </si>
  <si>
    <t xml:space="preserve">Other operating cost (% of rent)</t>
  </si>
  <si>
    <t xml:space="preserve">Construction loan to cost</t>
  </si>
  <si>
    <t xml:space="preserve">Construction loan rate</t>
  </si>
  <si>
    <t xml:space="preserve">Conversion trigger (occupancy)</t>
  </si>
  <si>
    <t xml:space="preserve">Mini-perm rate</t>
  </si>
  <si>
    <t xml:space="preserve">Mini-perm amortisation a year</t>
  </si>
  <si>
    <t xml:space="preserve">Cash sweep above DSCR</t>
  </si>
  <si>
    <t xml:space="preserve">Cash sweep share</t>
  </si>
  <si>
    <t xml:space="preserve">Exit quarter</t>
  </si>
  <si>
    <t xml:space="preserve">Exit cap · Base</t>
  </si>
  <si>
    <t xml:space="preserve">Exit cap · Downside</t>
  </si>
  <si>
    <t xml:space="preserve">Exit cap · Upside</t>
  </si>
  <si>
    <t xml:space="preserve">Rent per kW (live case)</t>
  </si>
  <si>
    <t xml:space="preserve">Exit cap (live case)</t>
  </si>
  <si>
    <t xml:space="preserve">Phase</t>
  </si>
  <si>
    <t xml:space="preserve">MW</t>
  </si>
  <si>
    <t xml:space="preserve">Start quarter</t>
  </si>
  <si>
    <t xml:space="preserve">Build (quarters)</t>
  </si>
  <si>
    <t xml:space="preserve">Pre-let · Base</t>
  </si>
  <si>
    <t xml:space="preserve">Pre-let · Downside</t>
  </si>
  <si>
    <t xml:space="preserve">Pre-let · Upside</t>
  </si>
  <si>
    <t xml:space="preserve">Lease-up of the rest (quarters)</t>
  </si>
  <si>
    <t xml:space="preserve">Pre-let (live case)</t>
  </si>
  <si>
    <t xml:space="preserve">Phase 1</t>
  </si>
  <si>
    <t xml:space="preserve">Phase 2</t>
  </si>
  <si>
    <t xml:space="preserve">Phase 3</t>
  </si>
  <si>
    <t xml:space="preserve">Quarter</t>
  </si>
  <si>
    <t xml:space="preserve">Date</t>
  </si>
  <si>
    <t xml:space="preserve">P1 capex</t>
  </si>
  <si>
    <t xml:space="preserve">P1 leased MW</t>
  </si>
  <si>
    <t xml:space="preserve">P1 rent</t>
  </si>
  <si>
    <t xml:space="preserve">P2 capex</t>
  </si>
  <si>
    <t xml:space="preserve">P2 leased MW</t>
  </si>
  <si>
    <t xml:space="preserve">P2 rent</t>
  </si>
  <si>
    <t xml:space="preserve">P3 capex</t>
  </si>
  <si>
    <t xml:space="preserve">P3 leased MW</t>
  </si>
  <si>
    <t xml:space="preserve">P3 rent</t>
  </si>
  <si>
    <t xml:space="preserve">Capex</t>
  </si>
  <si>
    <t xml:space="preserve">MW built</t>
  </si>
  <si>
    <t xml:space="preserve">Leased MW</t>
  </si>
  <si>
    <t xml:space="preserve">Occupancy</t>
  </si>
  <si>
    <t xml:space="preserve">Rent</t>
  </si>
  <si>
    <t xml:space="preserve">Power cost</t>
  </si>
  <si>
    <t xml:space="preserve">Power recovered</t>
  </si>
  <si>
    <t xml:space="preserve">Other opex</t>
  </si>
  <si>
    <t xml:space="preserve">NOI</t>
  </si>
  <si>
    <t xml:space="preserve">Converted</t>
  </si>
  <si>
    <t xml:space="preserve">Opening loan</t>
  </si>
  <si>
    <t xml:space="preserve">Loan draw</t>
  </si>
  <si>
    <t xml:space="preserve">Interest capitalised</t>
  </si>
  <si>
    <t xml:space="preserve">Interest paid</t>
  </si>
  <si>
    <t xml:space="preserve">Amortisation</t>
  </si>
  <si>
    <t xml:space="preserve">DSCR</t>
  </si>
  <si>
    <t xml:space="preserve">Cash sweep</t>
  </si>
  <si>
    <t xml:space="preserve">Loan balance</t>
  </si>
  <si>
    <t xml:space="preserve">Sale</t>
  </si>
  <si>
    <t xml:space="preserve">Loan repaid at sale</t>
  </si>
  <si>
    <t xml:space="preserve">Equity in</t>
  </si>
  <si>
    <t xml:space="preserve">Equity cash flow</t>
  </si>
  <si>
    <t xml:space="preserve">Project cash flow</t>
  </si>
  <si>
    <t xml:space="preserve">Levered IRR</t>
  </si>
  <si>
    <t xml:space="preserve">Project IRR</t>
  </si>
  <si>
    <t xml:space="preserve">Equity multiple</t>
  </si>
  <si>
    <t xml:space="preserve">Peak debt ($)</t>
  </si>
  <si>
    <t xml:space="preserve">Minimum DSCR (after conversion)</t>
  </si>
  <si>
    <t xml:space="preserve">Conversion quarter</t>
  </si>
  <si>
    <t xml:space="preserve">Total development cost ($)</t>
  </si>
  <si>
    <t xml:space="preserve">Yield on cost (exit-year NOI)</t>
  </si>
  <si>
    <t xml:space="preserve">Exit value ($)</t>
  </si>
  <si>
    <t xml:space="preserve">Net profit ($)</t>
  </si>
  <si>
    <t xml:space="preserve">Cash swept ($)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</si>
</sst>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\-mmm\-yyyy"/>
    <numFmt numFmtId="167" formatCode="#,##0"/>
    <numFmt numFmtId="168" formatCode="0.00%"/>
    <numFmt numFmtId="169" formatCode="0.00"/>
    <numFmt numFmtId="170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</v>
      </c>
    </row>
    <row r="4" customFormat="false" ht="15" hidden="false" customHeight="false" outlineLevel="0" collapsed="false">
      <c r="A4" s="0" t="s">
        <v>2</v>
      </c>
      <c r="B4" s="2" t="n">
        <v>46387</v>
      </c>
    </row>
    <row r="5" customFormat="false" ht="15" hidden="false" customHeight="false" outlineLevel="0" collapsed="false">
      <c r="A5" s="0" t="s">
        <v>3</v>
      </c>
      <c r="B5" s="3" t="n">
        <v>11500000</v>
      </c>
    </row>
    <row r="6" customFormat="false" ht="15" hidden="false" customHeight="false" outlineLevel="0" collapsed="false">
      <c r="A6" s="0" t="s">
        <v>4</v>
      </c>
      <c r="B6" s="4" t="n">
        <v>0.03</v>
      </c>
    </row>
    <row r="7" customFormat="false" ht="15" hidden="false" customHeight="false" outlineLevel="0" collapsed="false">
      <c r="A7" s="0" t="s">
        <v>5</v>
      </c>
      <c r="B7" s="3" t="n">
        <v>118</v>
      </c>
    </row>
    <row r="8" customFormat="false" ht="15" hidden="false" customHeight="false" outlineLevel="0" collapsed="false">
      <c r="A8" s="0" t="s">
        <v>6</v>
      </c>
      <c r="B8" s="3" t="n">
        <v>102</v>
      </c>
    </row>
    <row r="9" customFormat="false" ht="15" hidden="false" customHeight="false" outlineLevel="0" collapsed="false">
      <c r="A9" s="0" t="s">
        <v>7</v>
      </c>
      <c r="B9" s="3" t="n">
        <v>130</v>
      </c>
    </row>
    <row r="10" customFormat="false" ht="15" hidden="false" customHeight="false" outlineLevel="0" collapsed="false">
      <c r="A10" s="0" t="s">
        <v>8</v>
      </c>
      <c r="B10" s="4" t="n">
        <v>0.025</v>
      </c>
    </row>
    <row r="11" customFormat="false" ht="15" hidden="false" customHeight="false" outlineLevel="0" collapsed="false">
      <c r="A11" s="0" t="s">
        <v>9</v>
      </c>
      <c r="B11" s="5" t="n">
        <v>1.35</v>
      </c>
    </row>
    <row r="12" customFormat="false" ht="15" hidden="false" customHeight="false" outlineLevel="0" collapsed="false">
      <c r="A12" s="0" t="s">
        <v>10</v>
      </c>
      <c r="B12" s="3" t="n">
        <v>85</v>
      </c>
    </row>
    <row r="13" customFormat="false" ht="15" hidden="false" customHeight="false" outlineLevel="0" collapsed="false">
      <c r="A13" s="0" t="s">
        <v>11</v>
      </c>
      <c r="B13" s="4" t="n">
        <v>0.7</v>
      </c>
    </row>
    <row r="14" customFormat="false" ht="15" hidden="false" customHeight="false" outlineLevel="0" collapsed="false">
      <c r="A14" s="0" t="s">
        <v>12</v>
      </c>
      <c r="B14" s="4" t="n">
        <v>0.9</v>
      </c>
    </row>
    <row r="15" customFormat="false" ht="15" hidden="false" customHeight="false" outlineLevel="0" collapsed="false">
      <c r="A15" s="0" t="s">
        <v>13</v>
      </c>
      <c r="B15" s="4" t="n">
        <v>0.08</v>
      </c>
    </row>
    <row r="16" customFormat="false" ht="15" hidden="false" customHeight="false" outlineLevel="0" collapsed="false">
      <c r="A16" s="0" t="s">
        <v>14</v>
      </c>
      <c r="B16" s="4" t="n">
        <v>0.65</v>
      </c>
    </row>
    <row r="17" customFormat="false" ht="15" hidden="false" customHeight="false" outlineLevel="0" collapsed="false">
      <c r="A17" s="0" t="s">
        <v>15</v>
      </c>
      <c r="B17" s="4" t="n">
        <v>0.085</v>
      </c>
    </row>
    <row r="18" customFormat="false" ht="15" hidden="false" customHeight="false" outlineLevel="0" collapsed="false">
      <c r="A18" s="0" t="s">
        <v>16</v>
      </c>
      <c r="B18" s="4" t="n">
        <v>0.85</v>
      </c>
    </row>
    <row r="19" customFormat="false" ht="15" hidden="false" customHeight="false" outlineLevel="0" collapsed="false">
      <c r="A19" s="0" t="s">
        <v>17</v>
      </c>
      <c r="B19" s="4" t="n">
        <v>0.0625</v>
      </c>
    </row>
    <row r="20" customFormat="false" ht="15" hidden="false" customHeight="false" outlineLevel="0" collapsed="false">
      <c r="A20" s="0" t="s">
        <v>18</v>
      </c>
      <c r="B20" s="4" t="n">
        <v>0.02</v>
      </c>
    </row>
    <row r="21" customFormat="false" ht="15" hidden="false" customHeight="false" outlineLevel="0" collapsed="false">
      <c r="A21" s="0" t="s">
        <v>19</v>
      </c>
      <c r="B21" s="6" t="n">
        <v>1.4</v>
      </c>
    </row>
    <row r="22" customFormat="false" ht="15" hidden="false" customHeight="false" outlineLevel="0" collapsed="false">
      <c r="A22" s="0" t="s">
        <v>20</v>
      </c>
      <c r="B22" s="4" t="n">
        <v>0.5</v>
      </c>
    </row>
    <row r="23" customFormat="false" ht="15" hidden="false" customHeight="false" outlineLevel="0" collapsed="false">
      <c r="A23" s="0" t="s">
        <v>21</v>
      </c>
      <c r="B23" s="1" t="n">
        <v>36</v>
      </c>
    </row>
    <row r="24" customFormat="false" ht="15" hidden="false" customHeight="false" outlineLevel="0" collapsed="false">
      <c r="A24" s="0" t="s">
        <v>22</v>
      </c>
      <c r="B24" s="4" t="n">
        <v>0.0625</v>
      </c>
    </row>
    <row r="25" customFormat="false" ht="15" hidden="false" customHeight="false" outlineLevel="0" collapsed="false">
      <c r="A25" s="0" t="s">
        <v>23</v>
      </c>
      <c r="B25" s="4" t="n">
        <v>0.07</v>
      </c>
    </row>
    <row r="26" customFormat="false" ht="15" hidden="false" customHeight="false" outlineLevel="0" collapsed="false">
      <c r="A26" s="0" t="s">
        <v>24</v>
      </c>
      <c r="B26" s="4" t="n">
        <v>0.0575</v>
      </c>
    </row>
    <row r="28" customFormat="false" ht="15" hidden="false" customHeight="false" outlineLevel="0" collapsed="false">
      <c r="A28" s="0" t="s">
        <v>25</v>
      </c>
      <c r="B28" s="3" t="n">
        <f aca="false">CHOOSE(Inputs!$B$3,Inputs!$B$7,Inputs!$B$8,Inputs!$B$9)</f>
        <v>118</v>
      </c>
    </row>
    <row r="29" customFormat="false" ht="15" hidden="false" customHeight="false" outlineLevel="0" collapsed="false">
      <c r="A29" s="0" t="s">
        <v>26</v>
      </c>
      <c r="B29" s="4" t="n">
        <f aca="false">CHOOSE(Inputs!$B$3,Inputs!$B$24,Inputs!$B$25,Inputs!$B$26)</f>
        <v>0.0625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 customFormat="false" ht="15" hidden="false" customHeight="false" outlineLevel="0" collapsed="false">
      <c r="A2" s="0" t="s">
        <v>36</v>
      </c>
      <c r="B2" s="0" t="n">
        <v>24</v>
      </c>
      <c r="C2" s="0" t="n">
        <v>1</v>
      </c>
      <c r="D2" s="0" t="n">
        <v>7</v>
      </c>
      <c r="E2" s="0" t="n">
        <v>0.6</v>
      </c>
      <c r="F2" s="0" t="n">
        <v>0.4</v>
      </c>
      <c r="G2" s="0" t="n">
        <v>0.75</v>
      </c>
      <c r="H2" s="0" t="n">
        <v>6</v>
      </c>
      <c r="I2" s="0" t="n">
        <f aca="false">CHOOSE(Inputs!$B$3,E2,F2,G2)</f>
        <v>0.6</v>
      </c>
    </row>
    <row r="3" customFormat="false" ht="15" hidden="false" customHeight="false" outlineLevel="0" collapsed="false">
      <c r="A3" s="0" t="s">
        <v>37</v>
      </c>
      <c r="B3" s="0" t="n">
        <v>32</v>
      </c>
      <c r="C3" s="0" t="n">
        <v>6</v>
      </c>
      <c r="D3" s="0" t="n">
        <v>8</v>
      </c>
      <c r="E3" s="0" t="n">
        <v>0.5</v>
      </c>
      <c r="F3" s="0" t="n">
        <v>0.3</v>
      </c>
      <c r="G3" s="0" t="n">
        <v>0.65</v>
      </c>
      <c r="H3" s="0" t="n">
        <v>8</v>
      </c>
      <c r="I3" s="0" t="n">
        <f aca="false">CHOOSE(Inputs!$B$3,E3,F3,G3)</f>
        <v>0.5</v>
      </c>
    </row>
    <row r="4" customFormat="false" ht="15" hidden="false" customHeight="false" outlineLevel="0" collapsed="false">
      <c r="A4" s="0" t="s">
        <v>38</v>
      </c>
      <c r="B4" s="0" t="n">
        <v>40</v>
      </c>
      <c r="C4" s="0" t="n">
        <v>13</v>
      </c>
      <c r="D4" s="0" t="n">
        <v>8</v>
      </c>
      <c r="E4" s="0" t="n">
        <v>0.35</v>
      </c>
      <c r="F4" s="0" t="n">
        <v>0.2</v>
      </c>
      <c r="G4" s="0" t="n">
        <v>0.5</v>
      </c>
      <c r="H4" s="0" t="n">
        <v>10</v>
      </c>
      <c r="I4" s="0" t="n">
        <f aca="false">CHOOSE(Inputs!$B$3,E4,F4,G4)</f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</row>
    <row r="4" customFormat="false" ht="15" hidden="false" customHeight="false" outlineLevel="0" collapsed="false">
      <c r="A4" s="0" t="s">
        <v>40</v>
      </c>
      <c r="B4" s="2" t="n">
        <f aca="false">EOMONTH(Inputs!$B$4,3*B$3)</f>
        <v>46387</v>
      </c>
      <c r="C4" s="2" t="n">
        <f aca="false">EOMONTH(Inputs!$B$4,3*C$3)</f>
        <v>46477</v>
      </c>
      <c r="D4" s="2" t="n">
        <f aca="false">EOMONTH(Inputs!$B$4,3*D$3)</f>
        <v>46568</v>
      </c>
      <c r="E4" s="2" t="n">
        <f aca="false">EOMONTH(Inputs!$B$4,3*E$3)</f>
        <v>46660</v>
      </c>
      <c r="F4" s="2" t="n">
        <f aca="false">EOMONTH(Inputs!$B$4,3*F$3)</f>
        <v>46752</v>
      </c>
      <c r="G4" s="2" t="n">
        <f aca="false">EOMONTH(Inputs!$B$4,3*G$3)</f>
        <v>46843</v>
      </c>
      <c r="H4" s="2" t="n">
        <f aca="false">EOMONTH(Inputs!$B$4,3*H$3)</f>
        <v>46934</v>
      </c>
      <c r="I4" s="2" t="n">
        <f aca="false">EOMONTH(Inputs!$B$4,3*I$3)</f>
        <v>47026</v>
      </c>
      <c r="J4" s="2" t="n">
        <f aca="false">EOMONTH(Inputs!$B$4,3*J$3)</f>
        <v>47118</v>
      </c>
      <c r="K4" s="2" t="n">
        <f aca="false">EOMONTH(Inputs!$B$4,3*K$3)</f>
        <v>47208</v>
      </c>
      <c r="L4" s="2" t="n">
        <f aca="false">EOMONTH(Inputs!$B$4,3*L$3)</f>
        <v>47299</v>
      </c>
      <c r="M4" s="2" t="n">
        <f aca="false">EOMONTH(Inputs!$B$4,3*M$3)</f>
        <v>47391</v>
      </c>
      <c r="N4" s="2" t="n">
        <f aca="false">EOMONTH(Inputs!$B$4,3*N$3)</f>
        <v>47483</v>
      </c>
      <c r="O4" s="2" t="n">
        <f aca="false">EOMONTH(Inputs!$B$4,3*O$3)</f>
        <v>47573</v>
      </c>
      <c r="P4" s="2" t="n">
        <f aca="false">EOMONTH(Inputs!$B$4,3*P$3)</f>
        <v>47664</v>
      </c>
      <c r="Q4" s="2" t="n">
        <f aca="false">EOMONTH(Inputs!$B$4,3*Q$3)</f>
        <v>47756</v>
      </c>
      <c r="R4" s="2" t="n">
        <f aca="false">EOMONTH(Inputs!$B$4,3*R$3)</f>
        <v>47848</v>
      </c>
      <c r="S4" s="2" t="n">
        <f aca="false">EOMONTH(Inputs!$B$4,3*S$3)</f>
        <v>47938</v>
      </c>
      <c r="T4" s="2" t="n">
        <f aca="false">EOMONTH(Inputs!$B$4,3*T$3)</f>
        <v>48029</v>
      </c>
      <c r="U4" s="2" t="n">
        <f aca="false">EOMONTH(Inputs!$B$4,3*U$3)</f>
        <v>48121</v>
      </c>
      <c r="V4" s="2" t="n">
        <f aca="false">EOMONTH(Inputs!$B$4,3*V$3)</f>
        <v>48213</v>
      </c>
      <c r="W4" s="2" t="n">
        <f aca="false">EOMONTH(Inputs!$B$4,3*W$3)</f>
        <v>48304</v>
      </c>
      <c r="X4" s="2" t="n">
        <f aca="false">EOMONTH(Inputs!$B$4,3*X$3)</f>
        <v>48395</v>
      </c>
      <c r="Y4" s="2" t="n">
        <f aca="false">EOMONTH(Inputs!$B$4,3*Y$3)</f>
        <v>48487</v>
      </c>
      <c r="Z4" s="2" t="n">
        <f aca="false">EOMONTH(Inputs!$B$4,3*Z$3)</f>
        <v>48579</v>
      </c>
      <c r="AA4" s="2" t="n">
        <f aca="false">EOMONTH(Inputs!$B$4,3*AA$3)</f>
        <v>48669</v>
      </c>
      <c r="AB4" s="2" t="n">
        <f aca="false">EOMONTH(Inputs!$B$4,3*AB$3)</f>
        <v>48760</v>
      </c>
      <c r="AC4" s="2" t="n">
        <f aca="false">EOMONTH(Inputs!$B$4,3*AC$3)</f>
        <v>48852</v>
      </c>
      <c r="AD4" s="2" t="n">
        <f aca="false">EOMONTH(Inputs!$B$4,3*AD$3)</f>
        <v>48944</v>
      </c>
      <c r="AE4" s="2" t="n">
        <f aca="false">EOMONTH(Inputs!$B$4,3*AE$3)</f>
        <v>49034</v>
      </c>
      <c r="AF4" s="2" t="n">
        <f aca="false">EOMONTH(Inputs!$B$4,3*AF$3)</f>
        <v>49125</v>
      </c>
      <c r="AG4" s="2" t="n">
        <f aca="false">EOMONTH(Inputs!$B$4,3*AG$3)</f>
        <v>49217</v>
      </c>
      <c r="AH4" s="2" t="n">
        <f aca="false">EOMONTH(Inputs!$B$4,3*AH$3)</f>
        <v>49309</v>
      </c>
      <c r="AI4" s="2" t="n">
        <f aca="false">EOMONTH(Inputs!$B$4,3*AI$3)</f>
        <v>49399</v>
      </c>
      <c r="AJ4" s="2" t="n">
        <f aca="false">EOMONTH(Inputs!$B$4,3*AJ$3)</f>
        <v>49490</v>
      </c>
      <c r="AK4" s="2" t="n">
        <f aca="false">EOMONTH(Inputs!$B$4,3*AK$3)</f>
        <v>49582</v>
      </c>
      <c r="AL4" s="2" t="n">
        <f aca="false">EOMONTH(Inputs!$B$4,3*AL$3)</f>
        <v>49674</v>
      </c>
      <c r="AM4" s="2" t="n">
        <f aca="false">EOMONTH(Inputs!$B$4,3*AM$3)</f>
        <v>49765</v>
      </c>
      <c r="AN4" s="2" t="n">
        <f aca="false">EOMONTH(Inputs!$B$4,3*AN$3)</f>
        <v>49856</v>
      </c>
      <c r="AO4" s="2" t="n">
        <f aca="false">EOMONTH(Inputs!$B$4,3*AO$3)</f>
        <v>49948</v>
      </c>
      <c r="AP4" s="2" t="n">
        <f aca="false">EOMONTH(Inputs!$B$4,3*AP$3)</f>
        <v>50040</v>
      </c>
    </row>
    <row r="5" customFormat="false" ht="15" hidden="false" customHeight="false" outlineLevel="0" collapsed="false">
      <c r="A5" s="0" t="s">
        <v>41</v>
      </c>
      <c r="B5" s="0" t="n">
        <f aca="false">IF(AND(B$3&gt;=Phases!$C$2,B$3&lt;Phases!$C$2+Phases!$D$2),Phases!$B$2*Inputs!$B$5*(1+Inputs!$B$6)^INT((Phases!$C$2-1)/4)/Phases!$D$2,0)</f>
        <v>0</v>
      </c>
      <c r="C5" s="0" t="n">
        <f aca="false">IF(AND(C$3&gt;=Phases!$C$2,C$3&lt;Phases!$C$2+Phases!$D$2),Phases!$B$2*Inputs!$B$5*(1+Inputs!$B$6)^INT((Phases!$C$2-1)/4)/Phases!$D$2,0)</f>
        <v>39428571.4285714</v>
      </c>
      <c r="D5" s="0" t="n">
        <f aca="false">IF(AND(D$3&gt;=Phases!$C$2,D$3&lt;Phases!$C$2+Phases!$D$2),Phases!$B$2*Inputs!$B$5*(1+Inputs!$B$6)^INT((Phases!$C$2-1)/4)/Phases!$D$2,0)</f>
        <v>39428571.4285714</v>
      </c>
      <c r="E5" s="0" t="n">
        <f aca="false">IF(AND(E$3&gt;=Phases!$C$2,E$3&lt;Phases!$C$2+Phases!$D$2),Phases!$B$2*Inputs!$B$5*(1+Inputs!$B$6)^INT((Phases!$C$2-1)/4)/Phases!$D$2,0)</f>
        <v>39428571.4285714</v>
      </c>
      <c r="F5" s="0" t="n">
        <f aca="false">IF(AND(F$3&gt;=Phases!$C$2,F$3&lt;Phases!$C$2+Phases!$D$2),Phases!$B$2*Inputs!$B$5*(1+Inputs!$B$6)^INT((Phases!$C$2-1)/4)/Phases!$D$2,0)</f>
        <v>39428571.4285714</v>
      </c>
      <c r="G5" s="0" t="n">
        <f aca="false">IF(AND(G$3&gt;=Phases!$C$2,G$3&lt;Phases!$C$2+Phases!$D$2),Phases!$B$2*Inputs!$B$5*(1+Inputs!$B$6)^INT((Phases!$C$2-1)/4)/Phases!$D$2,0)</f>
        <v>39428571.4285714</v>
      </c>
      <c r="H5" s="0" t="n">
        <f aca="false">IF(AND(H$3&gt;=Phases!$C$2,H$3&lt;Phases!$C$2+Phases!$D$2),Phases!$B$2*Inputs!$B$5*(1+Inputs!$B$6)^INT((Phases!$C$2-1)/4)/Phases!$D$2,0)</f>
        <v>39428571.4285714</v>
      </c>
      <c r="I5" s="0" t="n">
        <f aca="false">IF(AND(I$3&gt;=Phases!$C$2,I$3&lt;Phases!$C$2+Phases!$D$2),Phases!$B$2*Inputs!$B$5*(1+Inputs!$B$6)^INT((Phases!$C$2-1)/4)/Phases!$D$2,0)</f>
        <v>39428571.4285714</v>
      </c>
      <c r="J5" s="0" t="n">
        <f aca="false">IF(AND(J$3&gt;=Phases!$C$2,J$3&lt;Phases!$C$2+Phases!$D$2),Phases!$B$2*Inputs!$B$5*(1+Inputs!$B$6)^INT((Phases!$C$2-1)/4)/Phases!$D$2,0)</f>
        <v>0</v>
      </c>
      <c r="K5" s="0" t="n">
        <f aca="false">IF(AND(K$3&gt;=Phases!$C$2,K$3&lt;Phases!$C$2+Phases!$D$2),Phases!$B$2*Inputs!$B$5*(1+Inputs!$B$6)^INT((Phases!$C$2-1)/4)/Phases!$D$2,0)</f>
        <v>0</v>
      </c>
      <c r="L5" s="0" t="n">
        <f aca="false">IF(AND(L$3&gt;=Phases!$C$2,L$3&lt;Phases!$C$2+Phases!$D$2),Phases!$B$2*Inputs!$B$5*(1+Inputs!$B$6)^INT((Phases!$C$2-1)/4)/Phases!$D$2,0)</f>
        <v>0</v>
      </c>
      <c r="M5" s="0" t="n">
        <f aca="false">IF(AND(M$3&gt;=Phases!$C$2,M$3&lt;Phases!$C$2+Phases!$D$2),Phases!$B$2*Inputs!$B$5*(1+Inputs!$B$6)^INT((Phases!$C$2-1)/4)/Phases!$D$2,0)</f>
        <v>0</v>
      </c>
      <c r="N5" s="0" t="n">
        <f aca="false">IF(AND(N$3&gt;=Phases!$C$2,N$3&lt;Phases!$C$2+Phases!$D$2),Phases!$B$2*Inputs!$B$5*(1+Inputs!$B$6)^INT((Phases!$C$2-1)/4)/Phases!$D$2,0)</f>
        <v>0</v>
      </c>
      <c r="O5" s="0" t="n">
        <f aca="false">IF(AND(O$3&gt;=Phases!$C$2,O$3&lt;Phases!$C$2+Phases!$D$2),Phases!$B$2*Inputs!$B$5*(1+Inputs!$B$6)^INT((Phases!$C$2-1)/4)/Phases!$D$2,0)</f>
        <v>0</v>
      </c>
      <c r="P5" s="0" t="n">
        <f aca="false">IF(AND(P$3&gt;=Phases!$C$2,P$3&lt;Phases!$C$2+Phases!$D$2),Phases!$B$2*Inputs!$B$5*(1+Inputs!$B$6)^INT((Phases!$C$2-1)/4)/Phases!$D$2,0)</f>
        <v>0</v>
      </c>
      <c r="Q5" s="0" t="n">
        <f aca="false">IF(AND(Q$3&gt;=Phases!$C$2,Q$3&lt;Phases!$C$2+Phases!$D$2),Phases!$B$2*Inputs!$B$5*(1+Inputs!$B$6)^INT((Phases!$C$2-1)/4)/Phases!$D$2,0)</f>
        <v>0</v>
      </c>
      <c r="R5" s="0" t="n">
        <f aca="false">IF(AND(R$3&gt;=Phases!$C$2,R$3&lt;Phases!$C$2+Phases!$D$2),Phases!$B$2*Inputs!$B$5*(1+Inputs!$B$6)^INT((Phases!$C$2-1)/4)/Phases!$D$2,0)</f>
        <v>0</v>
      </c>
      <c r="S5" s="0" t="n">
        <f aca="false">IF(AND(S$3&gt;=Phases!$C$2,S$3&lt;Phases!$C$2+Phases!$D$2),Phases!$B$2*Inputs!$B$5*(1+Inputs!$B$6)^INT((Phases!$C$2-1)/4)/Phases!$D$2,0)</f>
        <v>0</v>
      </c>
      <c r="T5" s="0" t="n">
        <f aca="false">IF(AND(T$3&gt;=Phases!$C$2,T$3&lt;Phases!$C$2+Phases!$D$2),Phases!$B$2*Inputs!$B$5*(1+Inputs!$B$6)^INT((Phases!$C$2-1)/4)/Phases!$D$2,0)</f>
        <v>0</v>
      </c>
      <c r="U5" s="0" t="n">
        <f aca="false">IF(AND(U$3&gt;=Phases!$C$2,U$3&lt;Phases!$C$2+Phases!$D$2),Phases!$B$2*Inputs!$B$5*(1+Inputs!$B$6)^INT((Phases!$C$2-1)/4)/Phases!$D$2,0)</f>
        <v>0</v>
      </c>
      <c r="V5" s="0" t="n">
        <f aca="false">IF(AND(V$3&gt;=Phases!$C$2,V$3&lt;Phases!$C$2+Phases!$D$2),Phases!$B$2*Inputs!$B$5*(1+Inputs!$B$6)^INT((Phases!$C$2-1)/4)/Phases!$D$2,0)</f>
        <v>0</v>
      </c>
      <c r="W5" s="0" t="n">
        <f aca="false">IF(AND(W$3&gt;=Phases!$C$2,W$3&lt;Phases!$C$2+Phases!$D$2),Phases!$B$2*Inputs!$B$5*(1+Inputs!$B$6)^INT((Phases!$C$2-1)/4)/Phases!$D$2,0)</f>
        <v>0</v>
      </c>
      <c r="X5" s="0" t="n">
        <f aca="false">IF(AND(X$3&gt;=Phases!$C$2,X$3&lt;Phases!$C$2+Phases!$D$2),Phases!$B$2*Inputs!$B$5*(1+Inputs!$B$6)^INT((Phases!$C$2-1)/4)/Phases!$D$2,0)</f>
        <v>0</v>
      </c>
      <c r="Y5" s="0" t="n">
        <f aca="false">IF(AND(Y$3&gt;=Phases!$C$2,Y$3&lt;Phases!$C$2+Phases!$D$2),Phases!$B$2*Inputs!$B$5*(1+Inputs!$B$6)^INT((Phases!$C$2-1)/4)/Phases!$D$2,0)</f>
        <v>0</v>
      </c>
      <c r="Z5" s="0" t="n">
        <f aca="false">IF(AND(Z$3&gt;=Phases!$C$2,Z$3&lt;Phases!$C$2+Phases!$D$2),Phases!$B$2*Inputs!$B$5*(1+Inputs!$B$6)^INT((Phases!$C$2-1)/4)/Phases!$D$2,0)</f>
        <v>0</v>
      </c>
      <c r="AA5" s="0" t="n">
        <f aca="false">IF(AND(AA$3&gt;=Phases!$C$2,AA$3&lt;Phases!$C$2+Phases!$D$2),Phases!$B$2*Inputs!$B$5*(1+Inputs!$B$6)^INT((Phases!$C$2-1)/4)/Phases!$D$2,0)</f>
        <v>0</v>
      </c>
      <c r="AB5" s="0" t="n">
        <f aca="false">IF(AND(AB$3&gt;=Phases!$C$2,AB$3&lt;Phases!$C$2+Phases!$D$2),Phases!$B$2*Inputs!$B$5*(1+Inputs!$B$6)^INT((Phases!$C$2-1)/4)/Phases!$D$2,0)</f>
        <v>0</v>
      </c>
      <c r="AC5" s="0" t="n">
        <f aca="false">IF(AND(AC$3&gt;=Phases!$C$2,AC$3&lt;Phases!$C$2+Phases!$D$2),Phases!$B$2*Inputs!$B$5*(1+Inputs!$B$6)^INT((Phases!$C$2-1)/4)/Phases!$D$2,0)</f>
        <v>0</v>
      </c>
      <c r="AD5" s="0" t="n">
        <f aca="false">IF(AND(AD$3&gt;=Phases!$C$2,AD$3&lt;Phases!$C$2+Phases!$D$2),Phases!$B$2*Inputs!$B$5*(1+Inputs!$B$6)^INT((Phases!$C$2-1)/4)/Phases!$D$2,0)</f>
        <v>0</v>
      </c>
      <c r="AE5" s="0" t="n">
        <f aca="false">IF(AND(AE$3&gt;=Phases!$C$2,AE$3&lt;Phases!$C$2+Phases!$D$2),Phases!$B$2*Inputs!$B$5*(1+Inputs!$B$6)^INT((Phases!$C$2-1)/4)/Phases!$D$2,0)</f>
        <v>0</v>
      </c>
      <c r="AF5" s="0" t="n">
        <f aca="false">IF(AND(AF$3&gt;=Phases!$C$2,AF$3&lt;Phases!$C$2+Phases!$D$2),Phases!$B$2*Inputs!$B$5*(1+Inputs!$B$6)^INT((Phases!$C$2-1)/4)/Phases!$D$2,0)</f>
        <v>0</v>
      </c>
      <c r="AG5" s="0" t="n">
        <f aca="false">IF(AND(AG$3&gt;=Phases!$C$2,AG$3&lt;Phases!$C$2+Phases!$D$2),Phases!$B$2*Inputs!$B$5*(1+Inputs!$B$6)^INT((Phases!$C$2-1)/4)/Phases!$D$2,0)</f>
        <v>0</v>
      </c>
      <c r="AH5" s="0" t="n">
        <f aca="false">IF(AND(AH$3&gt;=Phases!$C$2,AH$3&lt;Phases!$C$2+Phases!$D$2),Phases!$B$2*Inputs!$B$5*(1+Inputs!$B$6)^INT((Phases!$C$2-1)/4)/Phases!$D$2,0)</f>
        <v>0</v>
      </c>
      <c r="AI5" s="0" t="n">
        <f aca="false">IF(AND(AI$3&gt;=Phases!$C$2,AI$3&lt;Phases!$C$2+Phases!$D$2),Phases!$B$2*Inputs!$B$5*(1+Inputs!$B$6)^INT((Phases!$C$2-1)/4)/Phases!$D$2,0)</f>
        <v>0</v>
      </c>
      <c r="AJ5" s="0" t="n">
        <f aca="false">IF(AND(AJ$3&gt;=Phases!$C$2,AJ$3&lt;Phases!$C$2+Phases!$D$2),Phases!$B$2*Inputs!$B$5*(1+Inputs!$B$6)^INT((Phases!$C$2-1)/4)/Phases!$D$2,0)</f>
        <v>0</v>
      </c>
      <c r="AK5" s="0" t="n">
        <f aca="false">IF(AND(AK$3&gt;=Phases!$C$2,AK$3&lt;Phases!$C$2+Phases!$D$2),Phases!$B$2*Inputs!$B$5*(1+Inputs!$B$6)^INT((Phases!$C$2-1)/4)/Phases!$D$2,0)</f>
        <v>0</v>
      </c>
      <c r="AL5" s="0" t="n">
        <f aca="false">IF(AND(AL$3&gt;=Phases!$C$2,AL$3&lt;Phases!$C$2+Phases!$D$2),Phases!$B$2*Inputs!$B$5*(1+Inputs!$B$6)^INT((Phases!$C$2-1)/4)/Phases!$D$2,0)</f>
        <v>0</v>
      </c>
      <c r="AM5" s="0" t="n">
        <f aca="false">IF(AND(AM$3&gt;=Phases!$C$2,AM$3&lt;Phases!$C$2+Phases!$D$2),Phases!$B$2*Inputs!$B$5*(1+Inputs!$B$6)^INT((Phases!$C$2-1)/4)/Phases!$D$2,0)</f>
        <v>0</v>
      </c>
      <c r="AN5" s="0" t="n">
        <f aca="false">IF(AND(AN$3&gt;=Phases!$C$2,AN$3&lt;Phases!$C$2+Phases!$D$2),Phases!$B$2*Inputs!$B$5*(1+Inputs!$B$6)^INT((Phases!$C$2-1)/4)/Phases!$D$2,0)</f>
        <v>0</v>
      </c>
      <c r="AO5" s="0" t="n">
        <f aca="false">IF(AND(AO$3&gt;=Phases!$C$2,AO$3&lt;Phases!$C$2+Phases!$D$2),Phases!$B$2*Inputs!$B$5*(1+Inputs!$B$6)^INT((Phases!$C$2-1)/4)/Phases!$D$2,0)</f>
        <v>0</v>
      </c>
      <c r="AP5" s="0" t="n">
        <f aca="false">IF(AND(AP$3&gt;=Phases!$C$2,AP$3&lt;Phases!$C$2+Phases!$D$2),Phases!$B$2*Inputs!$B$5*(1+Inputs!$B$6)^INT((Phases!$C$2-1)/4)/Phases!$D$2,0)</f>
        <v>0</v>
      </c>
    </row>
    <row r="6" customFormat="false" ht="15" hidden="false" customHeight="false" outlineLevel="0" collapsed="false">
      <c r="A6" s="0" t="s">
        <v>42</v>
      </c>
      <c r="B6" s="0" t="n">
        <f aca="false">IF(B$3&gt;=Phases!$C$2+Phases!$D$2,MIN(Phases!$B$2,Phases!$B$2*Phases!$I$2+Phases!$B$2*(1-Phases!$I$2)*MIN(1,(B$3-Phases!$C$2-Phases!$D$2+1)/Phases!$H$2)),0)</f>
        <v>0</v>
      </c>
      <c r="C6" s="0" t="n">
        <f aca="false">IF(C$3&gt;=Phases!$C$2+Phases!$D$2,MIN(Phases!$B$2,Phases!$B$2*Phases!$I$2+Phases!$B$2*(1-Phases!$I$2)*MIN(1,(C$3-Phases!$C$2-Phases!$D$2+1)/Phases!$H$2)),0)</f>
        <v>0</v>
      </c>
      <c r="D6" s="0" t="n">
        <f aca="false">IF(D$3&gt;=Phases!$C$2+Phases!$D$2,MIN(Phases!$B$2,Phases!$B$2*Phases!$I$2+Phases!$B$2*(1-Phases!$I$2)*MIN(1,(D$3-Phases!$C$2-Phases!$D$2+1)/Phases!$H$2)),0)</f>
        <v>0</v>
      </c>
      <c r="E6" s="0" t="n">
        <f aca="false">IF(E$3&gt;=Phases!$C$2+Phases!$D$2,MIN(Phases!$B$2,Phases!$B$2*Phases!$I$2+Phases!$B$2*(1-Phases!$I$2)*MIN(1,(E$3-Phases!$C$2-Phases!$D$2+1)/Phases!$H$2)),0)</f>
        <v>0</v>
      </c>
      <c r="F6" s="0" t="n">
        <f aca="false">IF(F$3&gt;=Phases!$C$2+Phases!$D$2,MIN(Phases!$B$2,Phases!$B$2*Phases!$I$2+Phases!$B$2*(1-Phases!$I$2)*MIN(1,(F$3-Phases!$C$2-Phases!$D$2+1)/Phases!$H$2)),0)</f>
        <v>0</v>
      </c>
      <c r="G6" s="0" t="n">
        <f aca="false">IF(G$3&gt;=Phases!$C$2+Phases!$D$2,MIN(Phases!$B$2,Phases!$B$2*Phases!$I$2+Phases!$B$2*(1-Phases!$I$2)*MIN(1,(G$3-Phases!$C$2-Phases!$D$2+1)/Phases!$H$2)),0)</f>
        <v>0</v>
      </c>
      <c r="H6" s="0" t="n">
        <f aca="false">IF(H$3&gt;=Phases!$C$2+Phases!$D$2,MIN(Phases!$B$2,Phases!$B$2*Phases!$I$2+Phases!$B$2*(1-Phases!$I$2)*MIN(1,(H$3-Phases!$C$2-Phases!$D$2+1)/Phases!$H$2)),0)</f>
        <v>0</v>
      </c>
      <c r="I6" s="0" t="n">
        <f aca="false">IF(I$3&gt;=Phases!$C$2+Phases!$D$2,MIN(Phases!$B$2,Phases!$B$2*Phases!$I$2+Phases!$B$2*(1-Phases!$I$2)*MIN(1,(I$3-Phases!$C$2-Phases!$D$2+1)/Phases!$H$2)),0)</f>
        <v>0</v>
      </c>
      <c r="J6" s="0" t="n">
        <f aca="false">IF(J$3&gt;=Phases!$C$2+Phases!$D$2,MIN(Phases!$B$2,Phases!$B$2*Phases!$I$2+Phases!$B$2*(1-Phases!$I$2)*MIN(1,(J$3-Phases!$C$2-Phases!$D$2+1)/Phases!$H$2)),0)</f>
        <v>16</v>
      </c>
      <c r="K6" s="0" t="n">
        <f aca="false">IF(K$3&gt;=Phases!$C$2+Phases!$D$2,MIN(Phases!$B$2,Phases!$B$2*Phases!$I$2+Phases!$B$2*(1-Phases!$I$2)*MIN(1,(K$3-Phases!$C$2-Phases!$D$2+1)/Phases!$H$2)),0)</f>
        <v>17.6</v>
      </c>
      <c r="L6" s="0" t="n">
        <f aca="false">IF(L$3&gt;=Phases!$C$2+Phases!$D$2,MIN(Phases!$B$2,Phases!$B$2*Phases!$I$2+Phases!$B$2*(1-Phases!$I$2)*MIN(1,(L$3-Phases!$C$2-Phases!$D$2+1)/Phases!$H$2)),0)</f>
        <v>19.2</v>
      </c>
      <c r="M6" s="0" t="n">
        <f aca="false">IF(M$3&gt;=Phases!$C$2+Phases!$D$2,MIN(Phases!$B$2,Phases!$B$2*Phases!$I$2+Phases!$B$2*(1-Phases!$I$2)*MIN(1,(M$3-Phases!$C$2-Phases!$D$2+1)/Phases!$H$2)),0)</f>
        <v>20.8</v>
      </c>
      <c r="N6" s="0" t="n">
        <f aca="false">IF(N$3&gt;=Phases!$C$2+Phases!$D$2,MIN(Phases!$B$2,Phases!$B$2*Phases!$I$2+Phases!$B$2*(1-Phases!$I$2)*MIN(1,(N$3-Phases!$C$2-Phases!$D$2+1)/Phases!$H$2)),0)</f>
        <v>22.4</v>
      </c>
      <c r="O6" s="0" t="n">
        <f aca="false">IF(O$3&gt;=Phases!$C$2+Phases!$D$2,MIN(Phases!$B$2,Phases!$B$2*Phases!$I$2+Phases!$B$2*(1-Phases!$I$2)*MIN(1,(O$3-Phases!$C$2-Phases!$D$2+1)/Phases!$H$2)),0)</f>
        <v>24</v>
      </c>
      <c r="P6" s="0" t="n">
        <f aca="false">IF(P$3&gt;=Phases!$C$2+Phases!$D$2,MIN(Phases!$B$2,Phases!$B$2*Phases!$I$2+Phases!$B$2*(1-Phases!$I$2)*MIN(1,(P$3-Phases!$C$2-Phases!$D$2+1)/Phases!$H$2)),0)</f>
        <v>24</v>
      </c>
      <c r="Q6" s="0" t="n">
        <f aca="false">IF(Q$3&gt;=Phases!$C$2+Phases!$D$2,MIN(Phases!$B$2,Phases!$B$2*Phases!$I$2+Phases!$B$2*(1-Phases!$I$2)*MIN(1,(Q$3-Phases!$C$2-Phases!$D$2+1)/Phases!$H$2)),0)</f>
        <v>24</v>
      </c>
      <c r="R6" s="0" t="n">
        <f aca="false">IF(R$3&gt;=Phases!$C$2+Phases!$D$2,MIN(Phases!$B$2,Phases!$B$2*Phases!$I$2+Phases!$B$2*(1-Phases!$I$2)*MIN(1,(R$3-Phases!$C$2-Phases!$D$2+1)/Phases!$H$2)),0)</f>
        <v>24</v>
      </c>
      <c r="S6" s="0" t="n">
        <f aca="false">IF(S$3&gt;=Phases!$C$2+Phases!$D$2,MIN(Phases!$B$2,Phases!$B$2*Phases!$I$2+Phases!$B$2*(1-Phases!$I$2)*MIN(1,(S$3-Phases!$C$2-Phases!$D$2+1)/Phases!$H$2)),0)</f>
        <v>24</v>
      </c>
      <c r="T6" s="0" t="n">
        <f aca="false">IF(T$3&gt;=Phases!$C$2+Phases!$D$2,MIN(Phases!$B$2,Phases!$B$2*Phases!$I$2+Phases!$B$2*(1-Phases!$I$2)*MIN(1,(T$3-Phases!$C$2-Phases!$D$2+1)/Phases!$H$2)),0)</f>
        <v>24</v>
      </c>
      <c r="U6" s="0" t="n">
        <f aca="false">IF(U$3&gt;=Phases!$C$2+Phases!$D$2,MIN(Phases!$B$2,Phases!$B$2*Phases!$I$2+Phases!$B$2*(1-Phases!$I$2)*MIN(1,(U$3-Phases!$C$2-Phases!$D$2+1)/Phases!$H$2)),0)</f>
        <v>24</v>
      </c>
      <c r="V6" s="0" t="n">
        <f aca="false">IF(V$3&gt;=Phases!$C$2+Phases!$D$2,MIN(Phases!$B$2,Phases!$B$2*Phases!$I$2+Phases!$B$2*(1-Phases!$I$2)*MIN(1,(V$3-Phases!$C$2-Phases!$D$2+1)/Phases!$H$2)),0)</f>
        <v>24</v>
      </c>
      <c r="W6" s="0" t="n">
        <f aca="false">IF(W$3&gt;=Phases!$C$2+Phases!$D$2,MIN(Phases!$B$2,Phases!$B$2*Phases!$I$2+Phases!$B$2*(1-Phases!$I$2)*MIN(1,(W$3-Phases!$C$2-Phases!$D$2+1)/Phases!$H$2)),0)</f>
        <v>24</v>
      </c>
      <c r="X6" s="0" t="n">
        <f aca="false">IF(X$3&gt;=Phases!$C$2+Phases!$D$2,MIN(Phases!$B$2,Phases!$B$2*Phases!$I$2+Phases!$B$2*(1-Phases!$I$2)*MIN(1,(X$3-Phases!$C$2-Phases!$D$2+1)/Phases!$H$2)),0)</f>
        <v>24</v>
      </c>
      <c r="Y6" s="0" t="n">
        <f aca="false">IF(Y$3&gt;=Phases!$C$2+Phases!$D$2,MIN(Phases!$B$2,Phases!$B$2*Phases!$I$2+Phases!$B$2*(1-Phases!$I$2)*MIN(1,(Y$3-Phases!$C$2-Phases!$D$2+1)/Phases!$H$2)),0)</f>
        <v>24</v>
      </c>
      <c r="Z6" s="0" t="n">
        <f aca="false">IF(Z$3&gt;=Phases!$C$2+Phases!$D$2,MIN(Phases!$B$2,Phases!$B$2*Phases!$I$2+Phases!$B$2*(1-Phases!$I$2)*MIN(1,(Z$3-Phases!$C$2-Phases!$D$2+1)/Phases!$H$2)),0)</f>
        <v>24</v>
      </c>
      <c r="AA6" s="0" t="n">
        <f aca="false">IF(AA$3&gt;=Phases!$C$2+Phases!$D$2,MIN(Phases!$B$2,Phases!$B$2*Phases!$I$2+Phases!$B$2*(1-Phases!$I$2)*MIN(1,(AA$3-Phases!$C$2-Phases!$D$2+1)/Phases!$H$2)),0)</f>
        <v>24</v>
      </c>
      <c r="AB6" s="0" t="n">
        <f aca="false">IF(AB$3&gt;=Phases!$C$2+Phases!$D$2,MIN(Phases!$B$2,Phases!$B$2*Phases!$I$2+Phases!$B$2*(1-Phases!$I$2)*MIN(1,(AB$3-Phases!$C$2-Phases!$D$2+1)/Phases!$H$2)),0)</f>
        <v>24</v>
      </c>
      <c r="AC6" s="0" t="n">
        <f aca="false">IF(AC$3&gt;=Phases!$C$2+Phases!$D$2,MIN(Phases!$B$2,Phases!$B$2*Phases!$I$2+Phases!$B$2*(1-Phases!$I$2)*MIN(1,(AC$3-Phases!$C$2-Phases!$D$2+1)/Phases!$H$2)),0)</f>
        <v>24</v>
      </c>
      <c r="AD6" s="0" t="n">
        <f aca="false">IF(AD$3&gt;=Phases!$C$2+Phases!$D$2,MIN(Phases!$B$2,Phases!$B$2*Phases!$I$2+Phases!$B$2*(1-Phases!$I$2)*MIN(1,(AD$3-Phases!$C$2-Phases!$D$2+1)/Phases!$H$2)),0)</f>
        <v>24</v>
      </c>
      <c r="AE6" s="0" t="n">
        <f aca="false">IF(AE$3&gt;=Phases!$C$2+Phases!$D$2,MIN(Phases!$B$2,Phases!$B$2*Phases!$I$2+Phases!$B$2*(1-Phases!$I$2)*MIN(1,(AE$3-Phases!$C$2-Phases!$D$2+1)/Phases!$H$2)),0)</f>
        <v>24</v>
      </c>
      <c r="AF6" s="0" t="n">
        <f aca="false">IF(AF$3&gt;=Phases!$C$2+Phases!$D$2,MIN(Phases!$B$2,Phases!$B$2*Phases!$I$2+Phases!$B$2*(1-Phases!$I$2)*MIN(1,(AF$3-Phases!$C$2-Phases!$D$2+1)/Phases!$H$2)),0)</f>
        <v>24</v>
      </c>
      <c r="AG6" s="0" t="n">
        <f aca="false">IF(AG$3&gt;=Phases!$C$2+Phases!$D$2,MIN(Phases!$B$2,Phases!$B$2*Phases!$I$2+Phases!$B$2*(1-Phases!$I$2)*MIN(1,(AG$3-Phases!$C$2-Phases!$D$2+1)/Phases!$H$2)),0)</f>
        <v>24</v>
      </c>
      <c r="AH6" s="0" t="n">
        <f aca="false">IF(AH$3&gt;=Phases!$C$2+Phases!$D$2,MIN(Phases!$B$2,Phases!$B$2*Phases!$I$2+Phases!$B$2*(1-Phases!$I$2)*MIN(1,(AH$3-Phases!$C$2-Phases!$D$2+1)/Phases!$H$2)),0)</f>
        <v>24</v>
      </c>
      <c r="AI6" s="0" t="n">
        <f aca="false">IF(AI$3&gt;=Phases!$C$2+Phases!$D$2,MIN(Phases!$B$2,Phases!$B$2*Phases!$I$2+Phases!$B$2*(1-Phases!$I$2)*MIN(1,(AI$3-Phases!$C$2-Phases!$D$2+1)/Phases!$H$2)),0)</f>
        <v>24</v>
      </c>
      <c r="AJ6" s="0" t="n">
        <f aca="false">IF(AJ$3&gt;=Phases!$C$2+Phases!$D$2,MIN(Phases!$B$2,Phases!$B$2*Phases!$I$2+Phases!$B$2*(1-Phases!$I$2)*MIN(1,(AJ$3-Phases!$C$2-Phases!$D$2+1)/Phases!$H$2)),0)</f>
        <v>24</v>
      </c>
      <c r="AK6" s="0" t="n">
        <f aca="false">IF(AK$3&gt;=Phases!$C$2+Phases!$D$2,MIN(Phases!$B$2,Phases!$B$2*Phases!$I$2+Phases!$B$2*(1-Phases!$I$2)*MIN(1,(AK$3-Phases!$C$2-Phases!$D$2+1)/Phases!$H$2)),0)</f>
        <v>24</v>
      </c>
      <c r="AL6" s="0" t="n">
        <f aca="false">IF(AL$3&gt;=Phases!$C$2+Phases!$D$2,MIN(Phases!$B$2,Phases!$B$2*Phases!$I$2+Phases!$B$2*(1-Phases!$I$2)*MIN(1,(AL$3-Phases!$C$2-Phases!$D$2+1)/Phases!$H$2)),0)</f>
        <v>24</v>
      </c>
      <c r="AM6" s="0" t="n">
        <f aca="false">IF(AM$3&gt;=Phases!$C$2+Phases!$D$2,MIN(Phases!$B$2,Phases!$B$2*Phases!$I$2+Phases!$B$2*(1-Phases!$I$2)*MIN(1,(AM$3-Phases!$C$2-Phases!$D$2+1)/Phases!$H$2)),0)</f>
        <v>24</v>
      </c>
      <c r="AN6" s="0" t="n">
        <f aca="false">IF(AN$3&gt;=Phases!$C$2+Phases!$D$2,MIN(Phases!$B$2,Phases!$B$2*Phases!$I$2+Phases!$B$2*(1-Phases!$I$2)*MIN(1,(AN$3-Phases!$C$2-Phases!$D$2+1)/Phases!$H$2)),0)</f>
        <v>24</v>
      </c>
      <c r="AO6" s="0" t="n">
        <f aca="false">IF(AO$3&gt;=Phases!$C$2+Phases!$D$2,MIN(Phases!$B$2,Phases!$B$2*Phases!$I$2+Phases!$B$2*(1-Phases!$I$2)*MIN(1,(AO$3-Phases!$C$2-Phases!$D$2+1)/Phases!$H$2)),0)</f>
        <v>24</v>
      </c>
      <c r="AP6" s="0" t="n">
        <f aca="false">IF(AP$3&gt;=Phases!$C$2+Phases!$D$2,MIN(Phases!$B$2,Phases!$B$2*Phases!$I$2+Phases!$B$2*(1-Phases!$I$2)*MIN(1,(AP$3-Phases!$C$2-Phases!$D$2+1)/Phases!$H$2)),0)</f>
        <v>24</v>
      </c>
    </row>
    <row r="7" customFormat="false" ht="15" hidden="false" customHeight="false" outlineLevel="0" collapsed="false">
      <c r="A7" s="0" t="s">
        <v>43</v>
      </c>
      <c r="B7" s="0" t="n">
        <f aca="false">IF(B$3&gt;=Phases!$C$2+Phases!$D$2,B6*1000*Inputs!$B$28*3*(1+Inputs!$B$10)^INT((B$3-Phases!$C$2-Phases!$D$2)/4),0)</f>
        <v>0</v>
      </c>
      <c r="C7" s="0" t="n">
        <f aca="false">IF(C$3&gt;=Phases!$C$2+Phases!$D$2,C6*1000*Inputs!$B$28*3*(1+Inputs!$B$10)^INT((C$3-Phases!$C$2-Phases!$D$2)/4),0)</f>
        <v>0</v>
      </c>
      <c r="D7" s="0" t="n">
        <f aca="false">IF(D$3&gt;=Phases!$C$2+Phases!$D$2,D6*1000*Inputs!$B$28*3*(1+Inputs!$B$10)^INT((D$3-Phases!$C$2-Phases!$D$2)/4),0)</f>
        <v>0</v>
      </c>
      <c r="E7" s="0" t="n">
        <f aca="false">IF(E$3&gt;=Phases!$C$2+Phases!$D$2,E6*1000*Inputs!$B$28*3*(1+Inputs!$B$10)^INT((E$3-Phases!$C$2-Phases!$D$2)/4),0)</f>
        <v>0</v>
      </c>
      <c r="F7" s="0" t="n">
        <f aca="false">IF(F$3&gt;=Phases!$C$2+Phases!$D$2,F6*1000*Inputs!$B$28*3*(1+Inputs!$B$10)^INT((F$3-Phases!$C$2-Phases!$D$2)/4),0)</f>
        <v>0</v>
      </c>
      <c r="G7" s="0" t="n">
        <f aca="false">IF(G$3&gt;=Phases!$C$2+Phases!$D$2,G6*1000*Inputs!$B$28*3*(1+Inputs!$B$10)^INT((G$3-Phases!$C$2-Phases!$D$2)/4),0)</f>
        <v>0</v>
      </c>
      <c r="H7" s="0" t="n">
        <f aca="false">IF(H$3&gt;=Phases!$C$2+Phases!$D$2,H6*1000*Inputs!$B$28*3*(1+Inputs!$B$10)^INT((H$3-Phases!$C$2-Phases!$D$2)/4),0)</f>
        <v>0</v>
      </c>
      <c r="I7" s="0" t="n">
        <f aca="false">IF(I$3&gt;=Phases!$C$2+Phases!$D$2,I6*1000*Inputs!$B$28*3*(1+Inputs!$B$10)^INT((I$3-Phases!$C$2-Phases!$D$2)/4),0)</f>
        <v>0</v>
      </c>
      <c r="J7" s="0" t="n">
        <f aca="false">IF(J$3&gt;=Phases!$C$2+Phases!$D$2,J6*1000*Inputs!$B$28*3*(1+Inputs!$B$10)^INT((J$3-Phases!$C$2-Phases!$D$2)/4),0)</f>
        <v>5664000</v>
      </c>
      <c r="K7" s="0" t="n">
        <f aca="false">IF(K$3&gt;=Phases!$C$2+Phases!$D$2,K6*1000*Inputs!$B$28*3*(1+Inputs!$B$10)^INT((K$3-Phases!$C$2-Phases!$D$2)/4),0)</f>
        <v>6230400</v>
      </c>
      <c r="L7" s="0" t="n">
        <f aca="false">IF(L$3&gt;=Phases!$C$2+Phases!$D$2,L6*1000*Inputs!$B$28*3*(1+Inputs!$B$10)^INT((L$3-Phases!$C$2-Phases!$D$2)/4),0)</f>
        <v>6796800</v>
      </c>
      <c r="M7" s="0" t="n">
        <f aca="false">IF(M$3&gt;=Phases!$C$2+Phases!$D$2,M6*1000*Inputs!$B$28*3*(1+Inputs!$B$10)^INT((M$3-Phases!$C$2-Phases!$D$2)/4),0)</f>
        <v>7363200</v>
      </c>
      <c r="N7" s="0" t="n">
        <f aca="false">IF(N$3&gt;=Phases!$C$2+Phases!$D$2,N6*1000*Inputs!$B$28*3*(1+Inputs!$B$10)^INT((N$3-Phases!$C$2-Phases!$D$2)/4),0)</f>
        <v>8127840</v>
      </c>
      <c r="O7" s="0" t="n">
        <f aca="false">IF(O$3&gt;=Phases!$C$2+Phases!$D$2,O6*1000*Inputs!$B$28*3*(1+Inputs!$B$10)^INT((O$3-Phases!$C$2-Phases!$D$2)/4),0)</f>
        <v>8708400</v>
      </c>
      <c r="P7" s="0" t="n">
        <f aca="false">IF(P$3&gt;=Phases!$C$2+Phases!$D$2,P6*1000*Inputs!$B$28*3*(1+Inputs!$B$10)^INT((P$3-Phases!$C$2-Phases!$D$2)/4),0)</f>
        <v>8708400</v>
      </c>
      <c r="Q7" s="0" t="n">
        <f aca="false">IF(Q$3&gt;=Phases!$C$2+Phases!$D$2,Q6*1000*Inputs!$B$28*3*(1+Inputs!$B$10)^INT((Q$3-Phases!$C$2-Phases!$D$2)/4),0)</f>
        <v>8708400</v>
      </c>
      <c r="R7" s="0" t="n">
        <f aca="false">IF(R$3&gt;=Phases!$C$2+Phases!$D$2,R6*1000*Inputs!$B$28*3*(1+Inputs!$B$10)^INT((R$3-Phases!$C$2-Phases!$D$2)/4),0)</f>
        <v>8926110</v>
      </c>
      <c r="S7" s="0" t="n">
        <f aca="false">IF(S$3&gt;=Phases!$C$2+Phases!$D$2,S6*1000*Inputs!$B$28*3*(1+Inputs!$B$10)^INT((S$3-Phases!$C$2-Phases!$D$2)/4),0)</f>
        <v>8926110</v>
      </c>
      <c r="T7" s="0" t="n">
        <f aca="false">IF(T$3&gt;=Phases!$C$2+Phases!$D$2,T6*1000*Inputs!$B$28*3*(1+Inputs!$B$10)^INT((T$3-Phases!$C$2-Phases!$D$2)/4),0)</f>
        <v>8926110</v>
      </c>
      <c r="U7" s="0" t="n">
        <f aca="false">IF(U$3&gt;=Phases!$C$2+Phases!$D$2,U6*1000*Inputs!$B$28*3*(1+Inputs!$B$10)^INT((U$3-Phases!$C$2-Phases!$D$2)/4),0)</f>
        <v>8926110</v>
      </c>
      <c r="V7" s="0" t="n">
        <f aca="false">IF(V$3&gt;=Phases!$C$2+Phases!$D$2,V6*1000*Inputs!$B$28*3*(1+Inputs!$B$10)^INT((V$3-Phases!$C$2-Phases!$D$2)/4),0)</f>
        <v>9149262.75</v>
      </c>
      <c r="W7" s="0" t="n">
        <f aca="false">IF(W$3&gt;=Phases!$C$2+Phases!$D$2,W6*1000*Inputs!$B$28*3*(1+Inputs!$B$10)^INT((W$3-Phases!$C$2-Phases!$D$2)/4),0)</f>
        <v>9149262.75</v>
      </c>
      <c r="X7" s="0" t="n">
        <f aca="false">IF(X$3&gt;=Phases!$C$2+Phases!$D$2,X6*1000*Inputs!$B$28*3*(1+Inputs!$B$10)^INT((X$3-Phases!$C$2-Phases!$D$2)/4),0)</f>
        <v>9149262.75</v>
      </c>
      <c r="Y7" s="0" t="n">
        <f aca="false">IF(Y$3&gt;=Phases!$C$2+Phases!$D$2,Y6*1000*Inputs!$B$28*3*(1+Inputs!$B$10)^INT((Y$3-Phases!$C$2-Phases!$D$2)/4),0)</f>
        <v>9149262.75</v>
      </c>
      <c r="Z7" s="0" t="n">
        <f aca="false">IF(Z$3&gt;=Phases!$C$2+Phases!$D$2,Z6*1000*Inputs!$B$28*3*(1+Inputs!$B$10)^INT((Z$3-Phases!$C$2-Phases!$D$2)/4),0)</f>
        <v>9377994.31875</v>
      </c>
      <c r="AA7" s="0" t="n">
        <f aca="false">IF(AA$3&gt;=Phases!$C$2+Phases!$D$2,AA6*1000*Inputs!$B$28*3*(1+Inputs!$B$10)^INT((AA$3-Phases!$C$2-Phases!$D$2)/4),0)</f>
        <v>9377994.31875</v>
      </c>
      <c r="AB7" s="0" t="n">
        <f aca="false">IF(AB$3&gt;=Phases!$C$2+Phases!$D$2,AB6*1000*Inputs!$B$28*3*(1+Inputs!$B$10)^INT((AB$3-Phases!$C$2-Phases!$D$2)/4),0)</f>
        <v>9377994.31875</v>
      </c>
      <c r="AC7" s="0" t="n">
        <f aca="false">IF(AC$3&gt;=Phases!$C$2+Phases!$D$2,AC6*1000*Inputs!$B$28*3*(1+Inputs!$B$10)^INT((AC$3-Phases!$C$2-Phases!$D$2)/4),0)</f>
        <v>9377994.31875</v>
      </c>
      <c r="AD7" s="0" t="n">
        <f aca="false">IF(AD$3&gt;=Phases!$C$2+Phases!$D$2,AD6*1000*Inputs!$B$28*3*(1+Inputs!$B$10)^INT((AD$3-Phases!$C$2-Phases!$D$2)/4),0)</f>
        <v>9612444.17671875</v>
      </c>
      <c r="AE7" s="0" t="n">
        <f aca="false">IF(AE$3&gt;=Phases!$C$2+Phases!$D$2,AE6*1000*Inputs!$B$28*3*(1+Inputs!$B$10)^INT((AE$3-Phases!$C$2-Phases!$D$2)/4),0)</f>
        <v>9612444.17671875</v>
      </c>
      <c r="AF7" s="0" t="n">
        <f aca="false">IF(AF$3&gt;=Phases!$C$2+Phases!$D$2,AF6*1000*Inputs!$B$28*3*(1+Inputs!$B$10)^INT((AF$3-Phases!$C$2-Phases!$D$2)/4),0)</f>
        <v>9612444.17671875</v>
      </c>
      <c r="AG7" s="0" t="n">
        <f aca="false">IF(AG$3&gt;=Phases!$C$2+Phases!$D$2,AG6*1000*Inputs!$B$28*3*(1+Inputs!$B$10)^INT((AG$3-Phases!$C$2-Phases!$D$2)/4),0)</f>
        <v>9612444.17671875</v>
      </c>
      <c r="AH7" s="0" t="n">
        <f aca="false">IF(AH$3&gt;=Phases!$C$2+Phases!$D$2,AH6*1000*Inputs!$B$28*3*(1+Inputs!$B$10)^INT((AH$3-Phases!$C$2-Phases!$D$2)/4),0)</f>
        <v>9852755.28113671</v>
      </c>
      <c r="AI7" s="0" t="n">
        <f aca="false">IF(AI$3&gt;=Phases!$C$2+Phases!$D$2,AI6*1000*Inputs!$B$28*3*(1+Inputs!$B$10)^INT((AI$3-Phases!$C$2-Phases!$D$2)/4),0)</f>
        <v>9852755.28113671</v>
      </c>
      <c r="AJ7" s="0" t="n">
        <f aca="false">IF(AJ$3&gt;=Phases!$C$2+Phases!$D$2,AJ6*1000*Inputs!$B$28*3*(1+Inputs!$B$10)^INT((AJ$3-Phases!$C$2-Phases!$D$2)/4),0)</f>
        <v>9852755.28113671</v>
      </c>
      <c r="AK7" s="0" t="n">
        <f aca="false">IF(AK$3&gt;=Phases!$C$2+Phases!$D$2,AK6*1000*Inputs!$B$28*3*(1+Inputs!$B$10)^INT((AK$3-Phases!$C$2-Phases!$D$2)/4),0)</f>
        <v>9852755.28113671</v>
      </c>
      <c r="AL7" s="0" t="n">
        <f aca="false">IF(AL$3&gt;=Phases!$C$2+Phases!$D$2,AL6*1000*Inputs!$B$28*3*(1+Inputs!$B$10)^INT((AL$3-Phases!$C$2-Phases!$D$2)/4),0)</f>
        <v>10099074.1631651</v>
      </c>
      <c r="AM7" s="0" t="n">
        <f aca="false">IF(AM$3&gt;=Phases!$C$2+Phases!$D$2,AM6*1000*Inputs!$B$28*3*(1+Inputs!$B$10)^INT((AM$3-Phases!$C$2-Phases!$D$2)/4),0)</f>
        <v>10099074.1631651</v>
      </c>
      <c r="AN7" s="0" t="n">
        <f aca="false">IF(AN$3&gt;=Phases!$C$2+Phases!$D$2,AN6*1000*Inputs!$B$28*3*(1+Inputs!$B$10)^INT((AN$3-Phases!$C$2-Phases!$D$2)/4),0)</f>
        <v>10099074.1631651</v>
      </c>
      <c r="AO7" s="0" t="n">
        <f aca="false">IF(AO$3&gt;=Phases!$C$2+Phases!$D$2,AO6*1000*Inputs!$B$28*3*(1+Inputs!$B$10)^INT((AO$3-Phases!$C$2-Phases!$D$2)/4),0)</f>
        <v>10099074.1631651</v>
      </c>
      <c r="AP7" s="0" t="n">
        <f aca="false">IF(AP$3&gt;=Phases!$C$2+Phases!$D$2,AP6*1000*Inputs!$B$28*3*(1+Inputs!$B$10)^INT((AP$3-Phases!$C$2-Phases!$D$2)/4),0)</f>
        <v>10351551.0172443</v>
      </c>
    </row>
    <row r="8" customFormat="false" ht="15" hidden="false" customHeight="false" outlineLevel="0" collapsed="false">
      <c r="A8" s="0" t="s">
        <v>44</v>
      </c>
      <c r="B8" s="0" t="n">
        <f aca="false">IF(AND(B$3&gt;=Phases!$C$3,B$3&lt;Phases!$C$3+Phases!$D$3),Phases!$B$3*Inputs!$B$5*(1+Inputs!$B$6)^INT((Phases!$C$3-1)/4)/Phases!$D$3,0)</f>
        <v>0</v>
      </c>
      <c r="C8" s="0" t="n">
        <f aca="false">IF(AND(C$3&gt;=Phases!$C$3,C$3&lt;Phases!$C$3+Phases!$D$3),Phases!$B$3*Inputs!$B$5*(1+Inputs!$B$6)^INT((Phases!$C$3-1)/4)/Phases!$D$3,0)</f>
        <v>0</v>
      </c>
      <c r="D8" s="0" t="n">
        <f aca="false">IF(AND(D$3&gt;=Phases!$C$3,D$3&lt;Phases!$C$3+Phases!$D$3),Phases!$B$3*Inputs!$B$5*(1+Inputs!$B$6)^INT((Phases!$C$3-1)/4)/Phases!$D$3,0)</f>
        <v>0</v>
      </c>
      <c r="E8" s="0" t="n">
        <f aca="false">IF(AND(E$3&gt;=Phases!$C$3,E$3&lt;Phases!$C$3+Phases!$D$3),Phases!$B$3*Inputs!$B$5*(1+Inputs!$B$6)^INT((Phases!$C$3-1)/4)/Phases!$D$3,0)</f>
        <v>0</v>
      </c>
      <c r="F8" s="0" t="n">
        <f aca="false">IF(AND(F$3&gt;=Phases!$C$3,F$3&lt;Phases!$C$3+Phases!$D$3),Phases!$B$3*Inputs!$B$5*(1+Inputs!$B$6)^INT((Phases!$C$3-1)/4)/Phases!$D$3,0)</f>
        <v>0</v>
      </c>
      <c r="G8" s="0" t="n">
        <f aca="false">IF(AND(G$3&gt;=Phases!$C$3,G$3&lt;Phases!$C$3+Phases!$D$3),Phases!$B$3*Inputs!$B$5*(1+Inputs!$B$6)^INT((Phases!$C$3-1)/4)/Phases!$D$3,0)</f>
        <v>0</v>
      </c>
      <c r="H8" s="0" t="n">
        <f aca="false">IF(AND(H$3&gt;=Phases!$C$3,H$3&lt;Phases!$C$3+Phases!$D$3),Phases!$B$3*Inputs!$B$5*(1+Inputs!$B$6)^INT((Phases!$C$3-1)/4)/Phases!$D$3,0)</f>
        <v>47380000</v>
      </c>
      <c r="I8" s="0" t="n">
        <f aca="false">IF(AND(I$3&gt;=Phases!$C$3,I$3&lt;Phases!$C$3+Phases!$D$3),Phases!$B$3*Inputs!$B$5*(1+Inputs!$B$6)^INT((Phases!$C$3-1)/4)/Phases!$D$3,0)</f>
        <v>47380000</v>
      </c>
      <c r="J8" s="0" t="n">
        <f aca="false">IF(AND(J$3&gt;=Phases!$C$3,J$3&lt;Phases!$C$3+Phases!$D$3),Phases!$B$3*Inputs!$B$5*(1+Inputs!$B$6)^INT((Phases!$C$3-1)/4)/Phases!$D$3,0)</f>
        <v>47380000</v>
      </c>
      <c r="K8" s="0" t="n">
        <f aca="false">IF(AND(K$3&gt;=Phases!$C$3,K$3&lt;Phases!$C$3+Phases!$D$3),Phases!$B$3*Inputs!$B$5*(1+Inputs!$B$6)^INT((Phases!$C$3-1)/4)/Phases!$D$3,0)</f>
        <v>47380000</v>
      </c>
      <c r="L8" s="0" t="n">
        <f aca="false">IF(AND(L$3&gt;=Phases!$C$3,L$3&lt;Phases!$C$3+Phases!$D$3),Phases!$B$3*Inputs!$B$5*(1+Inputs!$B$6)^INT((Phases!$C$3-1)/4)/Phases!$D$3,0)</f>
        <v>47380000</v>
      </c>
      <c r="M8" s="0" t="n">
        <f aca="false">IF(AND(M$3&gt;=Phases!$C$3,M$3&lt;Phases!$C$3+Phases!$D$3),Phases!$B$3*Inputs!$B$5*(1+Inputs!$B$6)^INT((Phases!$C$3-1)/4)/Phases!$D$3,0)</f>
        <v>47380000</v>
      </c>
      <c r="N8" s="0" t="n">
        <f aca="false">IF(AND(N$3&gt;=Phases!$C$3,N$3&lt;Phases!$C$3+Phases!$D$3),Phases!$B$3*Inputs!$B$5*(1+Inputs!$B$6)^INT((Phases!$C$3-1)/4)/Phases!$D$3,0)</f>
        <v>47380000</v>
      </c>
      <c r="O8" s="0" t="n">
        <f aca="false">IF(AND(O$3&gt;=Phases!$C$3,O$3&lt;Phases!$C$3+Phases!$D$3),Phases!$B$3*Inputs!$B$5*(1+Inputs!$B$6)^INT((Phases!$C$3-1)/4)/Phases!$D$3,0)</f>
        <v>47380000</v>
      </c>
      <c r="P8" s="0" t="n">
        <f aca="false">IF(AND(P$3&gt;=Phases!$C$3,P$3&lt;Phases!$C$3+Phases!$D$3),Phases!$B$3*Inputs!$B$5*(1+Inputs!$B$6)^INT((Phases!$C$3-1)/4)/Phases!$D$3,0)</f>
        <v>0</v>
      </c>
      <c r="Q8" s="0" t="n">
        <f aca="false">IF(AND(Q$3&gt;=Phases!$C$3,Q$3&lt;Phases!$C$3+Phases!$D$3),Phases!$B$3*Inputs!$B$5*(1+Inputs!$B$6)^INT((Phases!$C$3-1)/4)/Phases!$D$3,0)</f>
        <v>0</v>
      </c>
      <c r="R8" s="0" t="n">
        <f aca="false">IF(AND(R$3&gt;=Phases!$C$3,R$3&lt;Phases!$C$3+Phases!$D$3),Phases!$B$3*Inputs!$B$5*(1+Inputs!$B$6)^INT((Phases!$C$3-1)/4)/Phases!$D$3,0)</f>
        <v>0</v>
      </c>
      <c r="S8" s="0" t="n">
        <f aca="false">IF(AND(S$3&gt;=Phases!$C$3,S$3&lt;Phases!$C$3+Phases!$D$3),Phases!$B$3*Inputs!$B$5*(1+Inputs!$B$6)^INT((Phases!$C$3-1)/4)/Phases!$D$3,0)</f>
        <v>0</v>
      </c>
      <c r="T8" s="0" t="n">
        <f aca="false">IF(AND(T$3&gt;=Phases!$C$3,T$3&lt;Phases!$C$3+Phases!$D$3),Phases!$B$3*Inputs!$B$5*(1+Inputs!$B$6)^INT((Phases!$C$3-1)/4)/Phases!$D$3,0)</f>
        <v>0</v>
      </c>
      <c r="U8" s="0" t="n">
        <f aca="false">IF(AND(U$3&gt;=Phases!$C$3,U$3&lt;Phases!$C$3+Phases!$D$3),Phases!$B$3*Inputs!$B$5*(1+Inputs!$B$6)^INT((Phases!$C$3-1)/4)/Phases!$D$3,0)</f>
        <v>0</v>
      </c>
      <c r="V8" s="0" t="n">
        <f aca="false">IF(AND(V$3&gt;=Phases!$C$3,V$3&lt;Phases!$C$3+Phases!$D$3),Phases!$B$3*Inputs!$B$5*(1+Inputs!$B$6)^INT((Phases!$C$3-1)/4)/Phases!$D$3,0)</f>
        <v>0</v>
      </c>
      <c r="W8" s="0" t="n">
        <f aca="false">IF(AND(W$3&gt;=Phases!$C$3,W$3&lt;Phases!$C$3+Phases!$D$3),Phases!$B$3*Inputs!$B$5*(1+Inputs!$B$6)^INT((Phases!$C$3-1)/4)/Phases!$D$3,0)</f>
        <v>0</v>
      </c>
      <c r="X8" s="0" t="n">
        <f aca="false">IF(AND(X$3&gt;=Phases!$C$3,X$3&lt;Phases!$C$3+Phases!$D$3),Phases!$B$3*Inputs!$B$5*(1+Inputs!$B$6)^INT((Phases!$C$3-1)/4)/Phases!$D$3,0)</f>
        <v>0</v>
      </c>
      <c r="Y8" s="0" t="n">
        <f aca="false">IF(AND(Y$3&gt;=Phases!$C$3,Y$3&lt;Phases!$C$3+Phases!$D$3),Phases!$B$3*Inputs!$B$5*(1+Inputs!$B$6)^INT((Phases!$C$3-1)/4)/Phases!$D$3,0)</f>
        <v>0</v>
      </c>
      <c r="Z8" s="0" t="n">
        <f aca="false">IF(AND(Z$3&gt;=Phases!$C$3,Z$3&lt;Phases!$C$3+Phases!$D$3),Phases!$B$3*Inputs!$B$5*(1+Inputs!$B$6)^INT((Phases!$C$3-1)/4)/Phases!$D$3,0)</f>
        <v>0</v>
      </c>
      <c r="AA8" s="0" t="n">
        <f aca="false">IF(AND(AA$3&gt;=Phases!$C$3,AA$3&lt;Phases!$C$3+Phases!$D$3),Phases!$B$3*Inputs!$B$5*(1+Inputs!$B$6)^INT((Phases!$C$3-1)/4)/Phases!$D$3,0)</f>
        <v>0</v>
      </c>
      <c r="AB8" s="0" t="n">
        <f aca="false">IF(AND(AB$3&gt;=Phases!$C$3,AB$3&lt;Phases!$C$3+Phases!$D$3),Phases!$B$3*Inputs!$B$5*(1+Inputs!$B$6)^INT((Phases!$C$3-1)/4)/Phases!$D$3,0)</f>
        <v>0</v>
      </c>
      <c r="AC8" s="0" t="n">
        <f aca="false">IF(AND(AC$3&gt;=Phases!$C$3,AC$3&lt;Phases!$C$3+Phases!$D$3),Phases!$B$3*Inputs!$B$5*(1+Inputs!$B$6)^INT((Phases!$C$3-1)/4)/Phases!$D$3,0)</f>
        <v>0</v>
      </c>
      <c r="AD8" s="0" t="n">
        <f aca="false">IF(AND(AD$3&gt;=Phases!$C$3,AD$3&lt;Phases!$C$3+Phases!$D$3),Phases!$B$3*Inputs!$B$5*(1+Inputs!$B$6)^INT((Phases!$C$3-1)/4)/Phases!$D$3,0)</f>
        <v>0</v>
      </c>
      <c r="AE8" s="0" t="n">
        <f aca="false">IF(AND(AE$3&gt;=Phases!$C$3,AE$3&lt;Phases!$C$3+Phases!$D$3),Phases!$B$3*Inputs!$B$5*(1+Inputs!$B$6)^INT((Phases!$C$3-1)/4)/Phases!$D$3,0)</f>
        <v>0</v>
      </c>
      <c r="AF8" s="0" t="n">
        <f aca="false">IF(AND(AF$3&gt;=Phases!$C$3,AF$3&lt;Phases!$C$3+Phases!$D$3),Phases!$B$3*Inputs!$B$5*(1+Inputs!$B$6)^INT((Phases!$C$3-1)/4)/Phases!$D$3,0)</f>
        <v>0</v>
      </c>
      <c r="AG8" s="0" t="n">
        <f aca="false">IF(AND(AG$3&gt;=Phases!$C$3,AG$3&lt;Phases!$C$3+Phases!$D$3),Phases!$B$3*Inputs!$B$5*(1+Inputs!$B$6)^INT((Phases!$C$3-1)/4)/Phases!$D$3,0)</f>
        <v>0</v>
      </c>
      <c r="AH8" s="0" t="n">
        <f aca="false">IF(AND(AH$3&gt;=Phases!$C$3,AH$3&lt;Phases!$C$3+Phases!$D$3),Phases!$B$3*Inputs!$B$5*(1+Inputs!$B$6)^INT((Phases!$C$3-1)/4)/Phases!$D$3,0)</f>
        <v>0</v>
      </c>
      <c r="AI8" s="0" t="n">
        <f aca="false">IF(AND(AI$3&gt;=Phases!$C$3,AI$3&lt;Phases!$C$3+Phases!$D$3),Phases!$B$3*Inputs!$B$5*(1+Inputs!$B$6)^INT((Phases!$C$3-1)/4)/Phases!$D$3,0)</f>
        <v>0</v>
      </c>
      <c r="AJ8" s="0" t="n">
        <f aca="false">IF(AND(AJ$3&gt;=Phases!$C$3,AJ$3&lt;Phases!$C$3+Phases!$D$3),Phases!$B$3*Inputs!$B$5*(1+Inputs!$B$6)^INT((Phases!$C$3-1)/4)/Phases!$D$3,0)</f>
        <v>0</v>
      </c>
      <c r="AK8" s="0" t="n">
        <f aca="false">IF(AND(AK$3&gt;=Phases!$C$3,AK$3&lt;Phases!$C$3+Phases!$D$3),Phases!$B$3*Inputs!$B$5*(1+Inputs!$B$6)^INT((Phases!$C$3-1)/4)/Phases!$D$3,0)</f>
        <v>0</v>
      </c>
      <c r="AL8" s="0" t="n">
        <f aca="false">IF(AND(AL$3&gt;=Phases!$C$3,AL$3&lt;Phases!$C$3+Phases!$D$3),Phases!$B$3*Inputs!$B$5*(1+Inputs!$B$6)^INT((Phases!$C$3-1)/4)/Phases!$D$3,0)</f>
        <v>0</v>
      </c>
      <c r="AM8" s="0" t="n">
        <f aca="false">IF(AND(AM$3&gt;=Phases!$C$3,AM$3&lt;Phases!$C$3+Phases!$D$3),Phases!$B$3*Inputs!$B$5*(1+Inputs!$B$6)^INT((Phases!$C$3-1)/4)/Phases!$D$3,0)</f>
        <v>0</v>
      </c>
      <c r="AN8" s="0" t="n">
        <f aca="false">IF(AND(AN$3&gt;=Phases!$C$3,AN$3&lt;Phases!$C$3+Phases!$D$3),Phases!$B$3*Inputs!$B$5*(1+Inputs!$B$6)^INT((Phases!$C$3-1)/4)/Phases!$D$3,0)</f>
        <v>0</v>
      </c>
      <c r="AO8" s="0" t="n">
        <f aca="false">IF(AND(AO$3&gt;=Phases!$C$3,AO$3&lt;Phases!$C$3+Phases!$D$3),Phases!$B$3*Inputs!$B$5*(1+Inputs!$B$6)^INT((Phases!$C$3-1)/4)/Phases!$D$3,0)</f>
        <v>0</v>
      </c>
      <c r="AP8" s="0" t="n">
        <f aca="false">IF(AND(AP$3&gt;=Phases!$C$3,AP$3&lt;Phases!$C$3+Phases!$D$3),Phases!$B$3*Inputs!$B$5*(1+Inputs!$B$6)^INT((Phases!$C$3-1)/4)/Phases!$D$3,0)</f>
        <v>0</v>
      </c>
    </row>
    <row r="9" customFormat="false" ht="15" hidden="false" customHeight="false" outlineLevel="0" collapsed="false">
      <c r="A9" s="0" t="s">
        <v>45</v>
      </c>
      <c r="B9" s="0" t="n">
        <f aca="false">IF(B$3&gt;=Phases!$C$3+Phases!$D$3,MIN(Phases!$B$3,Phases!$B$3*Phases!$I$3+Phases!$B$3*(1-Phases!$I$3)*MIN(1,(B$3-Phases!$C$3-Phases!$D$3+1)/Phases!$H$3)),0)</f>
        <v>0</v>
      </c>
      <c r="C9" s="0" t="n">
        <f aca="false">IF(C$3&gt;=Phases!$C$3+Phases!$D$3,MIN(Phases!$B$3,Phases!$B$3*Phases!$I$3+Phases!$B$3*(1-Phases!$I$3)*MIN(1,(C$3-Phases!$C$3-Phases!$D$3+1)/Phases!$H$3)),0)</f>
        <v>0</v>
      </c>
      <c r="D9" s="0" t="n">
        <f aca="false">IF(D$3&gt;=Phases!$C$3+Phases!$D$3,MIN(Phases!$B$3,Phases!$B$3*Phases!$I$3+Phases!$B$3*(1-Phases!$I$3)*MIN(1,(D$3-Phases!$C$3-Phases!$D$3+1)/Phases!$H$3)),0)</f>
        <v>0</v>
      </c>
      <c r="E9" s="0" t="n">
        <f aca="false">IF(E$3&gt;=Phases!$C$3+Phases!$D$3,MIN(Phases!$B$3,Phases!$B$3*Phases!$I$3+Phases!$B$3*(1-Phases!$I$3)*MIN(1,(E$3-Phases!$C$3-Phases!$D$3+1)/Phases!$H$3)),0)</f>
        <v>0</v>
      </c>
      <c r="F9" s="0" t="n">
        <f aca="false">IF(F$3&gt;=Phases!$C$3+Phases!$D$3,MIN(Phases!$B$3,Phases!$B$3*Phases!$I$3+Phases!$B$3*(1-Phases!$I$3)*MIN(1,(F$3-Phases!$C$3-Phases!$D$3+1)/Phases!$H$3)),0)</f>
        <v>0</v>
      </c>
      <c r="G9" s="0" t="n">
        <f aca="false">IF(G$3&gt;=Phases!$C$3+Phases!$D$3,MIN(Phases!$B$3,Phases!$B$3*Phases!$I$3+Phases!$B$3*(1-Phases!$I$3)*MIN(1,(G$3-Phases!$C$3-Phases!$D$3+1)/Phases!$H$3)),0)</f>
        <v>0</v>
      </c>
      <c r="H9" s="0" t="n">
        <f aca="false">IF(H$3&gt;=Phases!$C$3+Phases!$D$3,MIN(Phases!$B$3,Phases!$B$3*Phases!$I$3+Phases!$B$3*(1-Phases!$I$3)*MIN(1,(H$3-Phases!$C$3-Phases!$D$3+1)/Phases!$H$3)),0)</f>
        <v>0</v>
      </c>
      <c r="I9" s="0" t="n">
        <f aca="false">IF(I$3&gt;=Phases!$C$3+Phases!$D$3,MIN(Phases!$B$3,Phases!$B$3*Phases!$I$3+Phases!$B$3*(1-Phases!$I$3)*MIN(1,(I$3-Phases!$C$3-Phases!$D$3+1)/Phases!$H$3)),0)</f>
        <v>0</v>
      </c>
      <c r="J9" s="0" t="n">
        <f aca="false">IF(J$3&gt;=Phases!$C$3+Phases!$D$3,MIN(Phases!$B$3,Phases!$B$3*Phases!$I$3+Phases!$B$3*(1-Phases!$I$3)*MIN(1,(J$3-Phases!$C$3-Phases!$D$3+1)/Phases!$H$3)),0)</f>
        <v>0</v>
      </c>
      <c r="K9" s="0" t="n">
        <f aca="false">IF(K$3&gt;=Phases!$C$3+Phases!$D$3,MIN(Phases!$B$3,Phases!$B$3*Phases!$I$3+Phases!$B$3*(1-Phases!$I$3)*MIN(1,(K$3-Phases!$C$3-Phases!$D$3+1)/Phases!$H$3)),0)</f>
        <v>0</v>
      </c>
      <c r="L9" s="0" t="n">
        <f aca="false">IF(L$3&gt;=Phases!$C$3+Phases!$D$3,MIN(Phases!$B$3,Phases!$B$3*Phases!$I$3+Phases!$B$3*(1-Phases!$I$3)*MIN(1,(L$3-Phases!$C$3-Phases!$D$3+1)/Phases!$H$3)),0)</f>
        <v>0</v>
      </c>
      <c r="M9" s="0" t="n">
        <f aca="false">IF(M$3&gt;=Phases!$C$3+Phases!$D$3,MIN(Phases!$B$3,Phases!$B$3*Phases!$I$3+Phases!$B$3*(1-Phases!$I$3)*MIN(1,(M$3-Phases!$C$3-Phases!$D$3+1)/Phases!$H$3)),0)</f>
        <v>0</v>
      </c>
      <c r="N9" s="0" t="n">
        <f aca="false">IF(N$3&gt;=Phases!$C$3+Phases!$D$3,MIN(Phases!$B$3,Phases!$B$3*Phases!$I$3+Phases!$B$3*(1-Phases!$I$3)*MIN(1,(N$3-Phases!$C$3-Phases!$D$3+1)/Phases!$H$3)),0)</f>
        <v>0</v>
      </c>
      <c r="O9" s="0" t="n">
        <f aca="false">IF(O$3&gt;=Phases!$C$3+Phases!$D$3,MIN(Phases!$B$3,Phases!$B$3*Phases!$I$3+Phases!$B$3*(1-Phases!$I$3)*MIN(1,(O$3-Phases!$C$3-Phases!$D$3+1)/Phases!$H$3)),0)</f>
        <v>0</v>
      </c>
      <c r="P9" s="0" t="n">
        <f aca="false">IF(P$3&gt;=Phases!$C$3+Phases!$D$3,MIN(Phases!$B$3,Phases!$B$3*Phases!$I$3+Phases!$B$3*(1-Phases!$I$3)*MIN(1,(P$3-Phases!$C$3-Phases!$D$3+1)/Phases!$H$3)),0)</f>
        <v>18</v>
      </c>
      <c r="Q9" s="0" t="n">
        <f aca="false">IF(Q$3&gt;=Phases!$C$3+Phases!$D$3,MIN(Phases!$B$3,Phases!$B$3*Phases!$I$3+Phases!$B$3*(1-Phases!$I$3)*MIN(1,(Q$3-Phases!$C$3-Phases!$D$3+1)/Phases!$H$3)),0)</f>
        <v>20</v>
      </c>
      <c r="R9" s="0" t="n">
        <f aca="false">IF(R$3&gt;=Phases!$C$3+Phases!$D$3,MIN(Phases!$B$3,Phases!$B$3*Phases!$I$3+Phases!$B$3*(1-Phases!$I$3)*MIN(1,(R$3-Phases!$C$3-Phases!$D$3+1)/Phases!$H$3)),0)</f>
        <v>22</v>
      </c>
      <c r="S9" s="0" t="n">
        <f aca="false">IF(S$3&gt;=Phases!$C$3+Phases!$D$3,MIN(Phases!$B$3,Phases!$B$3*Phases!$I$3+Phases!$B$3*(1-Phases!$I$3)*MIN(1,(S$3-Phases!$C$3-Phases!$D$3+1)/Phases!$H$3)),0)</f>
        <v>24</v>
      </c>
      <c r="T9" s="0" t="n">
        <f aca="false">IF(T$3&gt;=Phases!$C$3+Phases!$D$3,MIN(Phases!$B$3,Phases!$B$3*Phases!$I$3+Phases!$B$3*(1-Phases!$I$3)*MIN(1,(T$3-Phases!$C$3-Phases!$D$3+1)/Phases!$H$3)),0)</f>
        <v>26</v>
      </c>
      <c r="U9" s="0" t="n">
        <f aca="false">IF(U$3&gt;=Phases!$C$3+Phases!$D$3,MIN(Phases!$B$3,Phases!$B$3*Phases!$I$3+Phases!$B$3*(1-Phases!$I$3)*MIN(1,(U$3-Phases!$C$3-Phases!$D$3+1)/Phases!$H$3)),0)</f>
        <v>28</v>
      </c>
      <c r="V9" s="0" t="n">
        <f aca="false">IF(V$3&gt;=Phases!$C$3+Phases!$D$3,MIN(Phases!$B$3,Phases!$B$3*Phases!$I$3+Phases!$B$3*(1-Phases!$I$3)*MIN(1,(V$3-Phases!$C$3-Phases!$D$3+1)/Phases!$H$3)),0)</f>
        <v>30</v>
      </c>
      <c r="W9" s="0" t="n">
        <f aca="false">IF(W$3&gt;=Phases!$C$3+Phases!$D$3,MIN(Phases!$B$3,Phases!$B$3*Phases!$I$3+Phases!$B$3*(1-Phases!$I$3)*MIN(1,(W$3-Phases!$C$3-Phases!$D$3+1)/Phases!$H$3)),0)</f>
        <v>32</v>
      </c>
      <c r="X9" s="0" t="n">
        <f aca="false">IF(X$3&gt;=Phases!$C$3+Phases!$D$3,MIN(Phases!$B$3,Phases!$B$3*Phases!$I$3+Phases!$B$3*(1-Phases!$I$3)*MIN(1,(X$3-Phases!$C$3-Phases!$D$3+1)/Phases!$H$3)),0)</f>
        <v>32</v>
      </c>
      <c r="Y9" s="0" t="n">
        <f aca="false">IF(Y$3&gt;=Phases!$C$3+Phases!$D$3,MIN(Phases!$B$3,Phases!$B$3*Phases!$I$3+Phases!$B$3*(1-Phases!$I$3)*MIN(1,(Y$3-Phases!$C$3-Phases!$D$3+1)/Phases!$H$3)),0)</f>
        <v>32</v>
      </c>
      <c r="Z9" s="0" t="n">
        <f aca="false">IF(Z$3&gt;=Phases!$C$3+Phases!$D$3,MIN(Phases!$B$3,Phases!$B$3*Phases!$I$3+Phases!$B$3*(1-Phases!$I$3)*MIN(1,(Z$3-Phases!$C$3-Phases!$D$3+1)/Phases!$H$3)),0)</f>
        <v>32</v>
      </c>
      <c r="AA9" s="0" t="n">
        <f aca="false">IF(AA$3&gt;=Phases!$C$3+Phases!$D$3,MIN(Phases!$B$3,Phases!$B$3*Phases!$I$3+Phases!$B$3*(1-Phases!$I$3)*MIN(1,(AA$3-Phases!$C$3-Phases!$D$3+1)/Phases!$H$3)),0)</f>
        <v>32</v>
      </c>
      <c r="AB9" s="0" t="n">
        <f aca="false">IF(AB$3&gt;=Phases!$C$3+Phases!$D$3,MIN(Phases!$B$3,Phases!$B$3*Phases!$I$3+Phases!$B$3*(1-Phases!$I$3)*MIN(1,(AB$3-Phases!$C$3-Phases!$D$3+1)/Phases!$H$3)),0)</f>
        <v>32</v>
      </c>
      <c r="AC9" s="0" t="n">
        <f aca="false">IF(AC$3&gt;=Phases!$C$3+Phases!$D$3,MIN(Phases!$B$3,Phases!$B$3*Phases!$I$3+Phases!$B$3*(1-Phases!$I$3)*MIN(1,(AC$3-Phases!$C$3-Phases!$D$3+1)/Phases!$H$3)),0)</f>
        <v>32</v>
      </c>
      <c r="AD9" s="0" t="n">
        <f aca="false">IF(AD$3&gt;=Phases!$C$3+Phases!$D$3,MIN(Phases!$B$3,Phases!$B$3*Phases!$I$3+Phases!$B$3*(1-Phases!$I$3)*MIN(1,(AD$3-Phases!$C$3-Phases!$D$3+1)/Phases!$H$3)),0)</f>
        <v>32</v>
      </c>
      <c r="AE9" s="0" t="n">
        <f aca="false">IF(AE$3&gt;=Phases!$C$3+Phases!$D$3,MIN(Phases!$B$3,Phases!$B$3*Phases!$I$3+Phases!$B$3*(1-Phases!$I$3)*MIN(1,(AE$3-Phases!$C$3-Phases!$D$3+1)/Phases!$H$3)),0)</f>
        <v>32</v>
      </c>
      <c r="AF9" s="0" t="n">
        <f aca="false">IF(AF$3&gt;=Phases!$C$3+Phases!$D$3,MIN(Phases!$B$3,Phases!$B$3*Phases!$I$3+Phases!$B$3*(1-Phases!$I$3)*MIN(1,(AF$3-Phases!$C$3-Phases!$D$3+1)/Phases!$H$3)),0)</f>
        <v>32</v>
      </c>
      <c r="AG9" s="0" t="n">
        <f aca="false">IF(AG$3&gt;=Phases!$C$3+Phases!$D$3,MIN(Phases!$B$3,Phases!$B$3*Phases!$I$3+Phases!$B$3*(1-Phases!$I$3)*MIN(1,(AG$3-Phases!$C$3-Phases!$D$3+1)/Phases!$H$3)),0)</f>
        <v>32</v>
      </c>
      <c r="AH9" s="0" t="n">
        <f aca="false">IF(AH$3&gt;=Phases!$C$3+Phases!$D$3,MIN(Phases!$B$3,Phases!$B$3*Phases!$I$3+Phases!$B$3*(1-Phases!$I$3)*MIN(1,(AH$3-Phases!$C$3-Phases!$D$3+1)/Phases!$H$3)),0)</f>
        <v>32</v>
      </c>
      <c r="AI9" s="0" t="n">
        <f aca="false">IF(AI$3&gt;=Phases!$C$3+Phases!$D$3,MIN(Phases!$B$3,Phases!$B$3*Phases!$I$3+Phases!$B$3*(1-Phases!$I$3)*MIN(1,(AI$3-Phases!$C$3-Phases!$D$3+1)/Phases!$H$3)),0)</f>
        <v>32</v>
      </c>
      <c r="AJ9" s="0" t="n">
        <f aca="false">IF(AJ$3&gt;=Phases!$C$3+Phases!$D$3,MIN(Phases!$B$3,Phases!$B$3*Phases!$I$3+Phases!$B$3*(1-Phases!$I$3)*MIN(1,(AJ$3-Phases!$C$3-Phases!$D$3+1)/Phases!$H$3)),0)</f>
        <v>32</v>
      </c>
      <c r="AK9" s="0" t="n">
        <f aca="false">IF(AK$3&gt;=Phases!$C$3+Phases!$D$3,MIN(Phases!$B$3,Phases!$B$3*Phases!$I$3+Phases!$B$3*(1-Phases!$I$3)*MIN(1,(AK$3-Phases!$C$3-Phases!$D$3+1)/Phases!$H$3)),0)</f>
        <v>32</v>
      </c>
      <c r="AL9" s="0" t="n">
        <f aca="false">IF(AL$3&gt;=Phases!$C$3+Phases!$D$3,MIN(Phases!$B$3,Phases!$B$3*Phases!$I$3+Phases!$B$3*(1-Phases!$I$3)*MIN(1,(AL$3-Phases!$C$3-Phases!$D$3+1)/Phases!$H$3)),0)</f>
        <v>32</v>
      </c>
      <c r="AM9" s="0" t="n">
        <f aca="false">IF(AM$3&gt;=Phases!$C$3+Phases!$D$3,MIN(Phases!$B$3,Phases!$B$3*Phases!$I$3+Phases!$B$3*(1-Phases!$I$3)*MIN(1,(AM$3-Phases!$C$3-Phases!$D$3+1)/Phases!$H$3)),0)</f>
        <v>32</v>
      </c>
      <c r="AN9" s="0" t="n">
        <f aca="false">IF(AN$3&gt;=Phases!$C$3+Phases!$D$3,MIN(Phases!$B$3,Phases!$B$3*Phases!$I$3+Phases!$B$3*(1-Phases!$I$3)*MIN(1,(AN$3-Phases!$C$3-Phases!$D$3+1)/Phases!$H$3)),0)</f>
        <v>32</v>
      </c>
      <c r="AO9" s="0" t="n">
        <f aca="false">IF(AO$3&gt;=Phases!$C$3+Phases!$D$3,MIN(Phases!$B$3,Phases!$B$3*Phases!$I$3+Phases!$B$3*(1-Phases!$I$3)*MIN(1,(AO$3-Phases!$C$3-Phases!$D$3+1)/Phases!$H$3)),0)</f>
        <v>32</v>
      </c>
      <c r="AP9" s="0" t="n">
        <f aca="false">IF(AP$3&gt;=Phases!$C$3+Phases!$D$3,MIN(Phases!$B$3,Phases!$B$3*Phases!$I$3+Phases!$B$3*(1-Phases!$I$3)*MIN(1,(AP$3-Phases!$C$3-Phases!$D$3+1)/Phases!$H$3)),0)</f>
        <v>32</v>
      </c>
    </row>
    <row r="10" customFormat="false" ht="15" hidden="false" customHeight="false" outlineLevel="0" collapsed="false">
      <c r="A10" s="0" t="s">
        <v>46</v>
      </c>
      <c r="B10" s="0" t="n">
        <f aca="false">IF(B$3&gt;=Phases!$C$3+Phases!$D$3,B9*1000*Inputs!$B$28*3*(1+Inputs!$B$10)^INT((B$3-Phases!$C$3-Phases!$D$3)/4),0)</f>
        <v>0</v>
      </c>
      <c r="C10" s="0" t="n">
        <f aca="false">IF(C$3&gt;=Phases!$C$3+Phases!$D$3,C9*1000*Inputs!$B$28*3*(1+Inputs!$B$10)^INT((C$3-Phases!$C$3-Phases!$D$3)/4),0)</f>
        <v>0</v>
      </c>
      <c r="D10" s="0" t="n">
        <f aca="false">IF(D$3&gt;=Phases!$C$3+Phases!$D$3,D9*1000*Inputs!$B$28*3*(1+Inputs!$B$10)^INT((D$3-Phases!$C$3-Phases!$D$3)/4),0)</f>
        <v>0</v>
      </c>
      <c r="E10" s="0" t="n">
        <f aca="false">IF(E$3&gt;=Phases!$C$3+Phases!$D$3,E9*1000*Inputs!$B$28*3*(1+Inputs!$B$10)^INT((E$3-Phases!$C$3-Phases!$D$3)/4),0)</f>
        <v>0</v>
      </c>
      <c r="F10" s="0" t="n">
        <f aca="false">IF(F$3&gt;=Phases!$C$3+Phases!$D$3,F9*1000*Inputs!$B$28*3*(1+Inputs!$B$10)^INT((F$3-Phases!$C$3-Phases!$D$3)/4),0)</f>
        <v>0</v>
      </c>
      <c r="G10" s="0" t="n">
        <f aca="false">IF(G$3&gt;=Phases!$C$3+Phases!$D$3,G9*1000*Inputs!$B$28*3*(1+Inputs!$B$10)^INT((G$3-Phases!$C$3-Phases!$D$3)/4),0)</f>
        <v>0</v>
      </c>
      <c r="H10" s="0" t="n">
        <f aca="false">IF(H$3&gt;=Phases!$C$3+Phases!$D$3,H9*1000*Inputs!$B$28*3*(1+Inputs!$B$10)^INT((H$3-Phases!$C$3-Phases!$D$3)/4),0)</f>
        <v>0</v>
      </c>
      <c r="I10" s="0" t="n">
        <f aca="false">IF(I$3&gt;=Phases!$C$3+Phases!$D$3,I9*1000*Inputs!$B$28*3*(1+Inputs!$B$10)^INT((I$3-Phases!$C$3-Phases!$D$3)/4),0)</f>
        <v>0</v>
      </c>
      <c r="J10" s="0" t="n">
        <f aca="false">IF(J$3&gt;=Phases!$C$3+Phases!$D$3,J9*1000*Inputs!$B$28*3*(1+Inputs!$B$10)^INT((J$3-Phases!$C$3-Phases!$D$3)/4),0)</f>
        <v>0</v>
      </c>
      <c r="K10" s="0" t="n">
        <f aca="false">IF(K$3&gt;=Phases!$C$3+Phases!$D$3,K9*1000*Inputs!$B$28*3*(1+Inputs!$B$10)^INT((K$3-Phases!$C$3-Phases!$D$3)/4),0)</f>
        <v>0</v>
      </c>
      <c r="L10" s="0" t="n">
        <f aca="false">IF(L$3&gt;=Phases!$C$3+Phases!$D$3,L9*1000*Inputs!$B$28*3*(1+Inputs!$B$10)^INT((L$3-Phases!$C$3-Phases!$D$3)/4),0)</f>
        <v>0</v>
      </c>
      <c r="M10" s="0" t="n">
        <f aca="false">IF(M$3&gt;=Phases!$C$3+Phases!$D$3,M9*1000*Inputs!$B$28*3*(1+Inputs!$B$10)^INT((M$3-Phases!$C$3-Phases!$D$3)/4),0)</f>
        <v>0</v>
      </c>
      <c r="N10" s="0" t="n">
        <f aca="false">IF(N$3&gt;=Phases!$C$3+Phases!$D$3,N9*1000*Inputs!$B$28*3*(1+Inputs!$B$10)^INT((N$3-Phases!$C$3-Phases!$D$3)/4),0)</f>
        <v>0</v>
      </c>
      <c r="O10" s="0" t="n">
        <f aca="false">IF(O$3&gt;=Phases!$C$3+Phases!$D$3,O9*1000*Inputs!$B$28*3*(1+Inputs!$B$10)^INT((O$3-Phases!$C$3-Phases!$D$3)/4),0)</f>
        <v>0</v>
      </c>
      <c r="P10" s="0" t="n">
        <f aca="false">IF(P$3&gt;=Phases!$C$3+Phases!$D$3,P9*1000*Inputs!$B$28*3*(1+Inputs!$B$10)^INT((P$3-Phases!$C$3-Phases!$D$3)/4),0)</f>
        <v>6372000</v>
      </c>
      <c r="Q10" s="0" t="n">
        <f aca="false">IF(Q$3&gt;=Phases!$C$3+Phases!$D$3,Q9*1000*Inputs!$B$28*3*(1+Inputs!$B$10)^INT((Q$3-Phases!$C$3-Phases!$D$3)/4),0)</f>
        <v>7080000</v>
      </c>
      <c r="R10" s="0" t="n">
        <f aca="false">IF(R$3&gt;=Phases!$C$3+Phases!$D$3,R9*1000*Inputs!$B$28*3*(1+Inputs!$B$10)^INT((R$3-Phases!$C$3-Phases!$D$3)/4),0)</f>
        <v>7788000</v>
      </c>
      <c r="S10" s="0" t="n">
        <f aca="false">IF(S$3&gt;=Phases!$C$3+Phases!$D$3,S9*1000*Inputs!$B$28*3*(1+Inputs!$B$10)^INT((S$3-Phases!$C$3-Phases!$D$3)/4),0)</f>
        <v>8496000</v>
      </c>
      <c r="T10" s="0" t="n">
        <f aca="false">IF(T$3&gt;=Phases!$C$3+Phases!$D$3,T9*1000*Inputs!$B$28*3*(1+Inputs!$B$10)^INT((T$3-Phases!$C$3-Phases!$D$3)/4),0)</f>
        <v>9434100</v>
      </c>
      <c r="U10" s="0" t="n">
        <f aca="false">IF(U$3&gt;=Phases!$C$3+Phases!$D$3,U9*1000*Inputs!$B$28*3*(1+Inputs!$B$10)^INT((U$3-Phases!$C$3-Phases!$D$3)/4),0)</f>
        <v>10159800</v>
      </c>
      <c r="V10" s="0" t="n">
        <f aca="false">IF(V$3&gt;=Phases!$C$3+Phases!$D$3,V9*1000*Inputs!$B$28*3*(1+Inputs!$B$10)^INT((V$3-Phases!$C$3-Phases!$D$3)/4),0)</f>
        <v>10885500</v>
      </c>
      <c r="W10" s="0" t="n">
        <f aca="false">IF(W$3&gt;=Phases!$C$3+Phases!$D$3,W9*1000*Inputs!$B$28*3*(1+Inputs!$B$10)^INT((W$3-Phases!$C$3-Phases!$D$3)/4),0)</f>
        <v>11611200</v>
      </c>
      <c r="X10" s="0" t="n">
        <f aca="false">IF(X$3&gt;=Phases!$C$3+Phases!$D$3,X9*1000*Inputs!$B$28*3*(1+Inputs!$B$10)^INT((X$3-Phases!$C$3-Phases!$D$3)/4),0)</f>
        <v>11901480</v>
      </c>
      <c r="Y10" s="0" t="n">
        <f aca="false">IF(Y$3&gt;=Phases!$C$3+Phases!$D$3,Y9*1000*Inputs!$B$28*3*(1+Inputs!$B$10)^INT((Y$3-Phases!$C$3-Phases!$D$3)/4),0)</f>
        <v>11901480</v>
      </c>
      <c r="Z10" s="0" t="n">
        <f aca="false">IF(Z$3&gt;=Phases!$C$3+Phases!$D$3,Z9*1000*Inputs!$B$28*3*(1+Inputs!$B$10)^INT((Z$3-Phases!$C$3-Phases!$D$3)/4),0)</f>
        <v>11901480</v>
      </c>
      <c r="AA10" s="0" t="n">
        <f aca="false">IF(AA$3&gt;=Phases!$C$3+Phases!$D$3,AA9*1000*Inputs!$B$28*3*(1+Inputs!$B$10)^INT((AA$3-Phases!$C$3-Phases!$D$3)/4),0)</f>
        <v>11901480</v>
      </c>
      <c r="AB10" s="0" t="n">
        <f aca="false">IF(AB$3&gt;=Phases!$C$3+Phases!$D$3,AB9*1000*Inputs!$B$28*3*(1+Inputs!$B$10)^INT((AB$3-Phases!$C$3-Phases!$D$3)/4),0)</f>
        <v>12199017</v>
      </c>
      <c r="AC10" s="0" t="n">
        <f aca="false">IF(AC$3&gt;=Phases!$C$3+Phases!$D$3,AC9*1000*Inputs!$B$28*3*(1+Inputs!$B$10)^INT((AC$3-Phases!$C$3-Phases!$D$3)/4),0)</f>
        <v>12199017</v>
      </c>
      <c r="AD10" s="0" t="n">
        <f aca="false">IF(AD$3&gt;=Phases!$C$3+Phases!$D$3,AD9*1000*Inputs!$B$28*3*(1+Inputs!$B$10)^INT((AD$3-Phases!$C$3-Phases!$D$3)/4),0)</f>
        <v>12199017</v>
      </c>
      <c r="AE10" s="0" t="n">
        <f aca="false">IF(AE$3&gt;=Phases!$C$3+Phases!$D$3,AE9*1000*Inputs!$B$28*3*(1+Inputs!$B$10)^INT((AE$3-Phases!$C$3-Phases!$D$3)/4),0)</f>
        <v>12199017</v>
      </c>
      <c r="AF10" s="0" t="n">
        <f aca="false">IF(AF$3&gt;=Phases!$C$3+Phases!$D$3,AF9*1000*Inputs!$B$28*3*(1+Inputs!$B$10)^INT((AF$3-Phases!$C$3-Phases!$D$3)/4),0)</f>
        <v>12503992.425</v>
      </c>
      <c r="AG10" s="0" t="n">
        <f aca="false">IF(AG$3&gt;=Phases!$C$3+Phases!$D$3,AG9*1000*Inputs!$B$28*3*(1+Inputs!$B$10)^INT((AG$3-Phases!$C$3-Phases!$D$3)/4),0)</f>
        <v>12503992.425</v>
      </c>
      <c r="AH10" s="0" t="n">
        <f aca="false">IF(AH$3&gt;=Phases!$C$3+Phases!$D$3,AH9*1000*Inputs!$B$28*3*(1+Inputs!$B$10)^INT((AH$3-Phases!$C$3-Phases!$D$3)/4),0)</f>
        <v>12503992.425</v>
      </c>
      <c r="AI10" s="0" t="n">
        <f aca="false">IF(AI$3&gt;=Phases!$C$3+Phases!$D$3,AI9*1000*Inputs!$B$28*3*(1+Inputs!$B$10)^INT((AI$3-Phases!$C$3-Phases!$D$3)/4),0)</f>
        <v>12503992.425</v>
      </c>
      <c r="AJ10" s="0" t="n">
        <f aca="false">IF(AJ$3&gt;=Phases!$C$3+Phases!$D$3,AJ9*1000*Inputs!$B$28*3*(1+Inputs!$B$10)^INT((AJ$3-Phases!$C$3-Phases!$D$3)/4),0)</f>
        <v>12816592.235625</v>
      </c>
      <c r="AK10" s="0" t="n">
        <f aca="false">IF(AK$3&gt;=Phases!$C$3+Phases!$D$3,AK9*1000*Inputs!$B$28*3*(1+Inputs!$B$10)^INT((AK$3-Phases!$C$3-Phases!$D$3)/4),0)</f>
        <v>12816592.235625</v>
      </c>
      <c r="AL10" s="0" t="n">
        <f aca="false">IF(AL$3&gt;=Phases!$C$3+Phases!$D$3,AL9*1000*Inputs!$B$28*3*(1+Inputs!$B$10)^INT((AL$3-Phases!$C$3-Phases!$D$3)/4),0)</f>
        <v>12816592.235625</v>
      </c>
      <c r="AM10" s="0" t="n">
        <f aca="false">IF(AM$3&gt;=Phases!$C$3+Phases!$D$3,AM9*1000*Inputs!$B$28*3*(1+Inputs!$B$10)^INT((AM$3-Phases!$C$3-Phases!$D$3)/4),0)</f>
        <v>12816592.235625</v>
      </c>
      <c r="AN10" s="0" t="n">
        <f aca="false">IF(AN$3&gt;=Phases!$C$3+Phases!$D$3,AN9*1000*Inputs!$B$28*3*(1+Inputs!$B$10)^INT((AN$3-Phases!$C$3-Phases!$D$3)/4),0)</f>
        <v>13137007.0415156</v>
      </c>
      <c r="AO10" s="0" t="n">
        <f aca="false">IF(AO$3&gt;=Phases!$C$3+Phases!$D$3,AO9*1000*Inputs!$B$28*3*(1+Inputs!$B$10)^INT((AO$3-Phases!$C$3-Phases!$D$3)/4),0)</f>
        <v>13137007.0415156</v>
      </c>
      <c r="AP10" s="0" t="n">
        <f aca="false">IF(AP$3&gt;=Phases!$C$3+Phases!$D$3,AP9*1000*Inputs!$B$28*3*(1+Inputs!$B$10)^INT((AP$3-Phases!$C$3-Phases!$D$3)/4),0)</f>
        <v>13137007.0415156</v>
      </c>
    </row>
    <row r="11" customFormat="false" ht="15" hidden="false" customHeight="false" outlineLevel="0" collapsed="false">
      <c r="A11" s="0" t="s">
        <v>47</v>
      </c>
      <c r="B11" s="0" t="n">
        <f aca="false">IF(AND(B$3&gt;=Phases!$C$4,B$3&lt;Phases!$C$4+Phases!$D$4),Phases!$B$4*Inputs!$B$5*(1+Inputs!$B$6)^INT((Phases!$C$4-1)/4)/Phases!$D$4,0)</f>
        <v>0</v>
      </c>
      <c r="C11" s="0" t="n">
        <f aca="false">IF(AND(C$3&gt;=Phases!$C$4,C$3&lt;Phases!$C$4+Phases!$D$4),Phases!$B$4*Inputs!$B$5*(1+Inputs!$B$6)^INT((Phases!$C$4-1)/4)/Phases!$D$4,0)</f>
        <v>0</v>
      </c>
      <c r="D11" s="0" t="n">
        <f aca="false">IF(AND(D$3&gt;=Phases!$C$4,D$3&lt;Phases!$C$4+Phases!$D$4),Phases!$B$4*Inputs!$B$5*(1+Inputs!$B$6)^INT((Phases!$C$4-1)/4)/Phases!$D$4,0)</f>
        <v>0</v>
      </c>
      <c r="E11" s="0" t="n">
        <f aca="false">IF(AND(E$3&gt;=Phases!$C$4,E$3&lt;Phases!$C$4+Phases!$D$4),Phases!$B$4*Inputs!$B$5*(1+Inputs!$B$6)^INT((Phases!$C$4-1)/4)/Phases!$D$4,0)</f>
        <v>0</v>
      </c>
      <c r="F11" s="0" t="n">
        <f aca="false">IF(AND(F$3&gt;=Phases!$C$4,F$3&lt;Phases!$C$4+Phases!$D$4),Phases!$B$4*Inputs!$B$5*(1+Inputs!$B$6)^INT((Phases!$C$4-1)/4)/Phases!$D$4,0)</f>
        <v>0</v>
      </c>
      <c r="G11" s="0" t="n">
        <f aca="false">IF(AND(G$3&gt;=Phases!$C$4,G$3&lt;Phases!$C$4+Phases!$D$4),Phases!$B$4*Inputs!$B$5*(1+Inputs!$B$6)^INT((Phases!$C$4-1)/4)/Phases!$D$4,0)</f>
        <v>0</v>
      </c>
      <c r="H11" s="0" t="n">
        <f aca="false">IF(AND(H$3&gt;=Phases!$C$4,H$3&lt;Phases!$C$4+Phases!$D$4),Phases!$B$4*Inputs!$B$5*(1+Inputs!$B$6)^INT((Phases!$C$4-1)/4)/Phases!$D$4,0)</f>
        <v>0</v>
      </c>
      <c r="I11" s="0" t="n">
        <f aca="false">IF(AND(I$3&gt;=Phases!$C$4,I$3&lt;Phases!$C$4+Phases!$D$4),Phases!$B$4*Inputs!$B$5*(1+Inputs!$B$6)^INT((Phases!$C$4-1)/4)/Phases!$D$4,0)</f>
        <v>0</v>
      </c>
      <c r="J11" s="0" t="n">
        <f aca="false">IF(AND(J$3&gt;=Phases!$C$4,J$3&lt;Phases!$C$4+Phases!$D$4),Phases!$B$4*Inputs!$B$5*(1+Inputs!$B$6)^INT((Phases!$C$4-1)/4)/Phases!$D$4,0)</f>
        <v>0</v>
      </c>
      <c r="K11" s="0" t="n">
        <f aca="false">IF(AND(K$3&gt;=Phases!$C$4,K$3&lt;Phases!$C$4+Phases!$D$4),Phases!$B$4*Inputs!$B$5*(1+Inputs!$B$6)^INT((Phases!$C$4-1)/4)/Phases!$D$4,0)</f>
        <v>0</v>
      </c>
      <c r="L11" s="0" t="n">
        <f aca="false">IF(AND(L$3&gt;=Phases!$C$4,L$3&lt;Phases!$C$4+Phases!$D$4),Phases!$B$4*Inputs!$B$5*(1+Inputs!$B$6)^INT((Phases!$C$4-1)/4)/Phases!$D$4,0)</f>
        <v>0</v>
      </c>
      <c r="M11" s="0" t="n">
        <f aca="false">IF(AND(M$3&gt;=Phases!$C$4,M$3&lt;Phases!$C$4+Phases!$D$4),Phases!$B$4*Inputs!$B$5*(1+Inputs!$B$6)^INT((Phases!$C$4-1)/4)/Phases!$D$4,0)</f>
        <v>0</v>
      </c>
      <c r="N11" s="0" t="n">
        <f aca="false">IF(AND(N$3&gt;=Phases!$C$4,N$3&lt;Phases!$C$4+Phases!$D$4),Phases!$B$4*Inputs!$B$5*(1+Inputs!$B$6)^INT((Phases!$C$4-1)/4)/Phases!$D$4,0)</f>
        <v>0</v>
      </c>
      <c r="O11" s="0" t="n">
        <f aca="false">IF(AND(O$3&gt;=Phases!$C$4,O$3&lt;Phases!$C$4+Phases!$D$4),Phases!$B$4*Inputs!$B$5*(1+Inputs!$B$6)^INT((Phases!$C$4-1)/4)/Phases!$D$4,0)</f>
        <v>62831802.5</v>
      </c>
      <c r="P11" s="0" t="n">
        <f aca="false">IF(AND(P$3&gt;=Phases!$C$4,P$3&lt;Phases!$C$4+Phases!$D$4),Phases!$B$4*Inputs!$B$5*(1+Inputs!$B$6)^INT((Phases!$C$4-1)/4)/Phases!$D$4,0)</f>
        <v>62831802.5</v>
      </c>
      <c r="Q11" s="0" t="n">
        <f aca="false">IF(AND(Q$3&gt;=Phases!$C$4,Q$3&lt;Phases!$C$4+Phases!$D$4),Phases!$B$4*Inputs!$B$5*(1+Inputs!$B$6)^INT((Phases!$C$4-1)/4)/Phases!$D$4,0)</f>
        <v>62831802.5</v>
      </c>
      <c r="R11" s="0" t="n">
        <f aca="false">IF(AND(R$3&gt;=Phases!$C$4,R$3&lt;Phases!$C$4+Phases!$D$4),Phases!$B$4*Inputs!$B$5*(1+Inputs!$B$6)^INT((Phases!$C$4-1)/4)/Phases!$D$4,0)</f>
        <v>62831802.5</v>
      </c>
      <c r="S11" s="0" t="n">
        <f aca="false">IF(AND(S$3&gt;=Phases!$C$4,S$3&lt;Phases!$C$4+Phases!$D$4),Phases!$B$4*Inputs!$B$5*(1+Inputs!$B$6)^INT((Phases!$C$4-1)/4)/Phases!$D$4,0)</f>
        <v>62831802.5</v>
      </c>
      <c r="T11" s="0" t="n">
        <f aca="false">IF(AND(T$3&gt;=Phases!$C$4,T$3&lt;Phases!$C$4+Phases!$D$4),Phases!$B$4*Inputs!$B$5*(1+Inputs!$B$6)^INT((Phases!$C$4-1)/4)/Phases!$D$4,0)</f>
        <v>62831802.5</v>
      </c>
      <c r="U11" s="0" t="n">
        <f aca="false">IF(AND(U$3&gt;=Phases!$C$4,U$3&lt;Phases!$C$4+Phases!$D$4),Phases!$B$4*Inputs!$B$5*(1+Inputs!$B$6)^INT((Phases!$C$4-1)/4)/Phases!$D$4,0)</f>
        <v>62831802.5</v>
      </c>
      <c r="V11" s="0" t="n">
        <f aca="false">IF(AND(V$3&gt;=Phases!$C$4,V$3&lt;Phases!$C$4+Phases!$D$4),Phases!$B$4*Inputs!$B$5*(1+Inputs!$B$6)^INT((Phases!$C$4-1)/4)/Phases!$D$4,0)</f>
        <v>62831802.5</v>
      </c>
      <c r="W11" s="0" t="n">
        <f aca="false">IF(AND(W$3&gt;=Phases!$C$4,W$3&lt;Phases!$C$4+Phases!$D$4),Phases!$B$4*Inputs!$B$5*(1+Inputs!$B$6)^INT((Phases!$C$4-1)/4)/Phases!$D$4,0)</f>
        <v>0</v>
      </c>
      <c r="X11" s="0" t="n">
        <f aca="false">IF(AND(X$3&gt;=Phases!$C$4,X$3&lt;Phases!$C$4+Phases!$D$4),Phases!$B$4*Inputs!$B$5*(1+Inputs!$B$6)^INT((Phases!$C$4-1)/4)/Phases!$D$4,0)</f>
        <v>0</v>
      </c>
      <c r="Y11" s="0" t="n">
        <f aca="false">IF(AND(Y$3&gt;=Phases!$C$4,Y$3&lt;Phases!$C$4+Phases!$D$4),Phases!$B$4*Inputs!$B$5*(1+Inputs!$B$6)^INT((Phases!$C$4-1)/4)/Phases!$D$4,0)</f>
        <v>0</v>
      </c>
      <c r="Z11" s="0" t="n">
        <f aca="false">IF(AND(Z$3&gt;=Phases!$C$4,Z$3&lt;Phases!$C$4+Phases!$D$4),Phases!$B$4*Inputs!$B$5*(1+Inputs!$B$6)^INT((Phases!$C$4-1)/4)/Phases!$D$4,0)</f>
        <v>0</v>
      </c>
      <c r="AA11" s="0" t="n">
        <f aca="false">IF(AND(AA$3&gt;=Phases!$C$4,AA$3&lt;Phases!$C$4+Phases!$D$4),Phases!$B$4*Inputs!$B$5*(1+Inputs!$B$6)^INT((Phases!$C$4-1)/4)/Phases!$D$4,0)</f>
        <v>0</v>
      </c>
      <c r="AB11" s="0" t="n">
        <f aca="false">IF(AND(AB$3&gt;=Phases!$C$4,AB$3&lt;Phases!$C$4+Phases!$D$4),Phases!$B$4*Inputs!$B$5*(1+Inputs!$B$6)^INT((Phases!$C$4-1)/4)/Phases!$D$4,0)</f>
        <v>0</v>
      </c>
      <c r="AC11" s="0" t="n">
        <f aca="false">IF(AND(AC$3&gt;=Phases!$C$4,AC$3&lt;Phases!$C$4+Phases!$D$4),Phases!$B$4*Inputs!$B$5*(1+Inputs!$B$6)^INT((Phases!$C$4-1)/4)/Phases!$D$4,0)</f>
        <v>0</v>
      </c>
      <c r="AD11" s="0" t="n">
        <f aca="false">IF(AND(AD$3&gt;=Phases!$C$4,AD$3&lt;Phases!$C$4+Phases!$D$4),Phases!$B$4*Inputs!$B$5*(1+Inputs!$B$6)^INT((Phases!$C$4-1)/4)/Phases!$D$4,0)</f>
        <v>0</v>
      </c>
      <c r="AE11" s="0" t="n">
        <f aca="false">IF(AND(AE$3&gt;=Phases!$C$4,AE$3&lt;Phases!$C$4+Phases!$D$4),Phases!$B$4*Inputs!$B$5*(1+Inputs!$B$6)^INT((Phases!$C$4-1)/4)/Phases!$D$4,0)</f>
        <v>0</v>
      </c>
      <c r="AF11" s="0" t="n">
        <f aca="false">IF(AND(AF$3&gt;=Phases!$C$4,AF$3&lt;Phases!$C$4+Phases!$D$4),Phases!$B$4*Inputs!$B$5*(1+Inputs!$B$6)^INT((Phases!$C$4-1)/4)/Phases!$D$4,0)</f>
        <v>0</v>
      </c>
      <c r="AG11" s="0" t="n">
        <f aca="false">IF(AND(AG$3&gt;=Phases!$C$4,AG$3&lt;Phases!$C$4+Phases!$D$4),Phases!$B$4*Inputs!$B$5*(1+Inputs!$B$6)^INT((Phases!$C$4-1)/4)/Phases!$D$4,0)</f>
        <v>0</v>
      </c>
      <c r="AH11" s="0" t="n">
        <f aca="false">IF(AND(AH$3&gt;=Phases!$C$4,AH$3&lt;Phases!$C$4+Phases!$D$4),Phases!$B$4*Inputs!$B$5*(1+Inputs!$B$6)^INT((Phases!$C$4-1)/4)/Phases!$D$4,0)</f>
        <v>0</v>
      </c>
      <c r="AI11" s="0" t="n">
        <f aca="false">IF(AND(AI$3&gt;=Phases!$C$4,AI$3&lt;Phases!$C$4+Phases!$D$4),Phases!$B$4*Inputs!$B$5*(1+Inputs!$B$6)^INT((Phases!$C$4-1)/4)/Phases!$D$4,0)</f>
        <v>0</v>
      </c>
      <c r="AJ11" s="0" t="n">
        <f aca="false">IF(AND(AJ$3&gt;=Phases!$C$4,AJ$3&lt;Phases!$C$4+Phases!$D$4),Phases!$B$4*Inputs!$B$5*(1+Inputs!$B$6)^INT((Phases!$C$4-1)/4)/Phases!$D$4,0)</f>
        <v>0</v>
      </c>
      <c r="AK11" s="0" t="n">
        <f aca="false">IF(AND(AK$3&gt;=Phases!$C$4,AK$3&lt;Phases!$C$4+Phases!$D$4),Phases!$B$4*Inputs!$B$5*(1+Inputs!$B$6)^INT((Phases!$C$4-1)/4)/Phases!$D$4,0)</f>
        <v>0</v>
      </c>
      <c r="AL11" s="0" t="n">
        <f aca="false">IF(AND(AL$3&gt;=Phases!$C$4,AL$3&lt;Phases!$C$4+Phases!$D$4),Phases!$B$4*Inputs!$B$5*(1+Inputs!$B$6)^INT((Phases!$C$4-1)/4)/Phases!$D$4,0)</f>
        <v>0</v>
      </c>
      <c r="AM11" s="0" t="n">
        <f aca="false">IF(AND(AM$3&gt;=Phases!$C$4,AM$3&lt;Phases!$C$4+Phases!$D$4),Phases!$B$4*Inputs!$B$5*(1+Inputs!$B$6)^INT((Phases!$C$4-1)/4)/Phases!$D$4,0)</f>
        <v>0</v>
      </c>
      <c r="AN11" s="0" t="n">
        <f aca="false">IF(AND(AN$3&gt;=Phases!$C$4,AN$3&lt;Phases!$C$4+Phases!$D$4),Phases!$B$4*Inputs!$B$5*(1+Inputs!$B$6)^INT((Phases!$C$4-1)/4)/Phases!$D$4,0)</f>
        <v>0</v>
      </c>
      <c r="AO11" s="0" t="n">
        <f aca="false">IF(AND(AO$3&gt;=Phases!$C$4,AO$3&lt;Phases!$C$4+Phases!$D$4),Phases!$B$4*Inputs!$B$5*(1+Inputs!$B$6)^INT((Phases!$C$4-1)/4)/Phases!$D$4,0)</f>
        <v>0</v>
      </c>
      <c r="AP11" s="0" t="n">
        <f aca="false">IF(AND(AP$3&gt;=Phases!$C$4,AP$3&lt;Phases!$C$4+Phases!$D$4),Phases!$B$4*Inputs!$B$5*(1+Inputs!$B$6)^INT((Phases!$C$4-1)/4)/Phases!$D$4,0)</f>
        <v>0</v>
      </c>
    </row>
    <row r="12" customFormat="false" ht="15" hidden="false" customHeight="false" outlineLevel="0" collapsed="false">
      <c r="A12" s="0" t="s">
        <v>48</v>
      </c>
      <c r="B12" s="0" t="n">
        <f aca="false">IF(B$3&gt;=Phases!$C$4+Phases!$D$4,MIN(Phases!$B$4,Phases!$B$4*Phases!$I$4+Phases!$B$4*(1-Phases!$I$4)*MIN(1,(B$3-Phases!$C$4-Phases!$D$4+1)/Phases!$H$4)),0)</f>
        <v>0</v>
      </c>
      <c r="C12" s="0" t="n">
        <f aca="false">IF(C$3&gt;=Phases!$C$4+Phases!$D$4,MIN(Phases!$B$4,Phases!$B$4*Phases!$I$4+Phases!$B$4*(1-Phases!$I$4)*MIN(1,(C$3-Phases!$C$4-Phases!$D$4+1)/Phases!$H$4)),0)</f>
        <v>0</v>
      </c>
      <c r="D12" s="0" t="n">
        <f aca="false">IF(D$3&gt;=Phases!$C$4+Phases!$D$4,MIN(Phases!$B$4,Phases!$B$4*Phases!$I$4+Phases!$B$4*(1-Phases!$I$4)*MIN(1,(D$3-Phases!$C$4-Phases!$D$4+1)/Phases!$H$4)),0)</f>
        <v>0</v>
      </c>
      <c r="E12" s="0" t="n">
        <f aca="false">IF(E$3&gt;=Phases!$C$4+Phases!$D$4,MIN(Phases!$B$4,Phases!$B$4*Phases!$I$4+Phases!$B$4*(1-Phases!$I$4)*MIN(1,(E$3-Phases!$C$4-Phases!$D$4+1)/Phases!$H$4)),0)</f>
        <v>0</v>
      </c>
      <c r="F12" s="0" t="n">
        <f aca="false">IF(F$3&gt;=Phases!$C$4+Phases!$D$4,MIN(Phases!$B$4,Phases!$B$4*Phases!$I$4+Phases!$B$4*(1-Phases!$I$4)*MIN(1,(F$3-Phases!$C$4-Phases!$D$4+1)/Phases!$H$4)),0)</f>
        <v>0</v>
      </c>
      <c r="G12" s="0" t="n">
        <f aca="false">IF(G$3&gt;=Phases!$C$4+Phases!$D$4,MIN(Phases!$B$4,Phases!$B$4*Phases!$I$4+Phases!$B$4*(1-Phases!$I$4)*MIN(1,(G$3-Phases!$C$4-Phases!$D$4+1)/Phases!$H$4)),0)</f>
        <v>0</v>
      </c>
      <c r="H12" s="0" t="n">
        <f aca="false">IF(H$3&gt;=Phases!$C$4+Phases!$D$4,MIN(Phases!$B$4,Phases!$B$4*Phases!$I$4+Phases!$B$4*(1-Phases!$I$4)*MIN(1,(H$3-Phases!$C$4-Phases!$D$4+1)/Phases!$H$4)),0)</f>
        <v>0</v>
      </c>
      <c r="I12" s="0" t="n">
        <f aca="false">IF(I$3&gt;=Phases!$C$4+Phases!$D$4,MIN(Phases!$B$4,Phases!$B$4*Phases!$I$4+Phases!$B$4*(1-Phases!$I$4)*MIN(1,(I$3-Phases!$C$4-Phases!$D$4+1)/Phases!$H$4)),0)</f>
        <v>0</v>
      </c>
      <c r="J12" s="0" t="n">
        <f aca="false">IF(J$3&gt;=Phases!$C$4+Phases!$D$4,MIN(Phases!$B$4,Phases!$B$4*Phases!$I$4+Phases!$B$4*(1-Phases!$I$4)*MIN(1,(J$3-Phases!$C$4-Phases!$D$4+1)/Phases!$H$4)),0)</f>
        <v>0</v>
      </c>
      <c r="K12" s="0" t="n">
        <f aca="false">IF(K$3&gt;=Phases!$C$4+Phases!$D$4,MIN(Phases!$B$4,Phases!$B$4*Phases!$I$4+Phases!$B$4*(1-Phases!$I$4)*MIN(1,(K$3-Phases!$C$4-Phases!$D$4+1)/Phases!$H$4)),0)</f>
        <v>0</v>
      </c>
      <c r="L12" s="0" t="n">
        <f aca="false">IF(L$3&gt;=Phases!$C$4+Phases!$D$4,MIN(Phases!$B$4,Phases!$B$4*Phases!$I$4+Phases!$B$4*(1-Phases!$I$4)*MIN(1,(L$3-Phases!$C$4-Phases!$D$4+1)/Phases!$H$4)),0)</f>
        <v>0</v>
      </c>
      <c r="M12" s="0" t="n">
        <f aca="false">IF(M$3&gt;=Phases!$C$4+Phases!$D$4,MIN(Phases!$B$4,Phases!$B$4*Phases!$I$4+Phases!$B$4*(1-Phases!$I$4)*MIN(1,(M$3-Phases!$C$4-Phases!$D$4+1)/Phases!$H$4)),0)</f>
        <v>0</v>
      </c>
      <c r="N12" s="0" t="n">
        <f aca="false">IF(N$3&gt;=Phases!$C$4+Phases!$D$4,MIN(Phases!$B$4,Phases!$B$4*Phases!$I$4+Phases!$B$4*(1-Phases!$I$4)*MIN(1,(N$3-Phases!$C$4-Phases!$D$4+1)/Phases!$H$4)),0)</f>
        <v>0</v>
      </c>
      <c r="O12" s="0" t="n">
        <f aca="false">IF(O$3&gt;=Phases!$C$4+Phases!$D$4,MIN(Phases!$B$4,Phases!$B$4*Phases!$I$4+Phases!$B$4*(1-Phases!$I$4)*MIN(1,(O$3-Phases!$C$4-Phases!$D$4+1)/Phases!$H$4)),0)</f>
        <v>0</v>
      </c>
      <c r="P12" s="0" t="n">
        <f aca="false">IF(P$3&gt;=Phases!$C$4+Phases!$D$4,MIN(Phases!$B$4,Phases!$B$4*Phases!$I$4+Phases!$B$4*(1-Phases!$I$4)*MIN(1,(P$3-Phases!$C$4-Phases!$D$4+1)/Phases!$H$4)),0)</f>
        <v>0</v>
      </c>
      <c r="Q12" s="0" t="n">
        <f aca="false">IF(Q$3&gt;=Phases!$C$4+Phases!$D$4,MIN(Phases!$B$4,Phases!$B$4*Phases!$I$4+Phases!$B$4*(1-Phases!$I$4)*MIN(1,(Q$3-Phases!$C$4-Phases!$D$4+1)/Phases!$H$4)),0)</f>
        <v>0</v>
      </c>
      <c r="R12" s="0" t="n">
        <f aca="false">IF(R$3&gt;=Phases!$C$4+Phases!$D$4,MIN(Phases!$B$4,Phases!$B$4*Phases!$I$4+Phases!$B$4*(1-Phases!$I$4)*MIN(1,(R$3-Phases!$C$4-Phases!$D$4+1)/Phases!$H$4)),0)</f>
        <v>0</v>
      </c>
      <c r="S12" s="0" t="n">
        <f aca="false">IF(S$3&gt;=Phases!$C$4+Phases!$D$4,MIN(Phases!$B$4,Phases!$B$4*Phases!$I$4+Phases!$B$4*(1-Phases!$I$4)*MIN(1,(S$3-Phases!$C$4-Phases!$D$4+1)/Phases!$H$4)),0)</f>
        <v>0</v>
      </c>
      <c r="T12" s="0" t="n">
        <f aca="false">IF(T$3&gt;=Phases!$C$4+Phases!$D$4,MIN(Phases!$B$4,Phases!$B$4*Phases!$I$4+Phases!$B$4*(1-Phases!$I$4)*MIN(1,(T$3-Phases!$C$4-Phases!$D$4+1)/Phases!$H$4)),0)</f>
        <v>0</v>
      </c>
      <c r="U12" s="0" t="n">
        <f aca="false">IF(U$3&gt;=Phases!$C$4+Phases!$D$4,MIN(Phases!$B$4,Phases!$B$4*Phases!$I$4+Phases!$B$4*(1-Phases!$I$4)*MIN(1,(U$3-Phases!$C$4-Phases!$D$4+1)/Phases!$H$4)),0)</f>
        <v>0</v>
      </c>
      <c r="V12" s="0" t="n">
        <f aca="false">IF(V$3&gt;=Phases!$C$4+Phases!$D$4,MIN(Phases!$B$4,Phases!$B$4*Phases!$I$4+Phases!$B$4*(1-Phases!$I$4)*MIN(1,(V$3-Phases!$C$4-Phases!$D$4+1)/Phases!$H$4)),0)</f>
        <v>0</v>
      </c>
      <c r="W12" s="0" t="n">
        <f aca="false">IF(W$3&gt;=Phases!$C$4+Phases!$D$4,MIN(Phases!$B$4,Phases!$B$4*Phases!$I$4+Phases!$B$4*(1-Phases!$I$4)*MIN(1,(W$3-Phases!$C$4-Phases!$D$4+1)/Phases!$H$4)),0)</f>
        <v>16.6</v>
      </c>
      <c r="X12" s="0" t="n">
        <f aca="false">IF(X$3&gt;=Phases!$C$4+Phases!$D$4,MIN(Phases!$B$4,Phases!$B$4*Phases!$I$4+Phases!$B$4*(1-Phases!$I$4)*MIN(1,(X$3-Phases!$C$4-Phases!$D$4+1)/Phases!$H$4)),0)</f>
        <v>19.2</v>
      </c>
      <c r="Y12" s="0" t="n">
        <f aca="false">IF(Y$3&gt;=Phases!$C$4+Phases!$D$4,MIN(Phases!$B$4,Phases!$B$4*Phases!$I$4+Phases!$B$4*(1-Phases!$I$4)*MIN(1,(Y$3-Phases!$C$4-Phases!$D$4+1)/Phases!$H$4)),0)</f>
        <v>21.8</v>
      </c>
      <c r="Z12" s="0" t="n">
        <f aca="false">IF(Z$3&gt;=Phases!$C$4+Phases!$D$4,MIN(Phases!$B$4,Phases!$B$4*Phases!$I$4+Phases!$B$4*(1-Phases!$I$4)*MIN(1,(Z$3-Phases!$C$4-Phases!$D$4+1)/Phases!$H$4)),0)</f>
        <v>24.4</v>
      </c>
      <c r="AA12" s="0" t="n">
        <f aca="false">IF(AA$3&gt;=Phases!$C$4+Phases!$D$4,MIN(Phases!$B$4,Phases!$B$4*Phases!$I$4+Phases!$B$4*(1-Phases!$I$4)*MIN(1,(AA$3-Phases!$C$4-Phases!$D$4+1)/Phases!$H$4)),0)</f>
        <v>27</v>
      </c>
      <c r="AB12" s="0" t="n">
        <f aca="false">IF(AB$3&gt;=Phases!$C$4+Phases!$D$4,MIN(Phases!$B$4,Phases!$B$4*Phases!$I$4+Phases!$B$4*(1-Phases!$I$4)*MIN(1,(AB$3-Phases!$C$4-Phases!$D$4+1)/Phases!$H$4)),0)</f>
        <v>29.6</v>
      </c>
      <c r="AC12" s="0" t="n">
        <f aca="false">IF(AC$3&gt;=Phases!$C$4+Phases!$D$4,MIN(Phases!$B$4,Phases!$B$4*Phases!$I$4+Phases!$B$4*(1-Phases!$I$4)*MIN(1,(AC$3-Phases!$C$4-Phases!$D$4+1)/Phases!$H$4)),0)</f>
        <v>32.2</v>
      </c>
      <c r="AD12" s="0" t="n">
        <f aca="false">IF(AD$3&gt;=Phases!$C$4+Phases!$D$4,MIN(Phases!$B$4,Phases!$B$4*Phases!$I$4+Phases!$B$4*(1-Phases!$I$4)*MIN(1,(AD$3-Phases!$C$4-Phases!$D$4+1)/Phases!$H$4)),0)</f>
        <v>34.8</v>
      </c>
      <c r="AE12" s="0" t="n">
        <f aca="false">IF(AE$3&gt;=Phases!$C$4+Phases!$D$4,MIN(Phases!$B$4,Phases!$B$4*Phases!$I$4+Phases!$B$4*(1-Phases!$I$4)*MIN(1,(AE$3-Phases!$C$4-Phases!$D$4+1)/Phases!$H$4)),0)</f>
        <v>37.4</v>
      </c>
      <c r="AF12" s="0" t="n">
        <f aca="false">IF(AF$3&gt;=Phases!$C$4+Phases!$D$4,MIN(Phases!$B$4,Phases!$B$4*Phases!$I$4+Phases!$B$4*(1-Phases!$I$4)*MIN(1,(AF$3-Phases!$C$4-Phases!$D$4+1)/Phases!$H$4)),0)</f>
        <v>40</v>
      </c>
      <c r="AG12" s="0" t="n">
        <f aca="false">IF(AG$3&gt;=Phases!$C$4+Phases!$D$4,MIN(Phases!$B$4,Phases!$B$4*Phases!$I$4+Phases!$B$4*(1-Phases!$I$4)*MIN(1,(AG$3-Phases!$C$4-Phases!$D$4+1)/Phases!$H$4)),0)</f>
        <v>40</v>
      </c>
      <c r="AH12" s="0" t="n">
        <f aca="false">IF(AH$3&gt;=Phases!$C$4+Phases!$D$4,MIN(Phases!$B$4,Phases!$B$4*Phases!$I$4+Phases!$B$4*(1-Phases!$I$4)*MIN(1,(AH$3-Phases!$C$4-Phases!$D$4+1)/Phases!$H$4)),0)</f>
        <v>40</v>
      </c>
      <c r="AI12" s="0" t="n">
        <f aca="false">IF(AI$3&gt;=Phases!$C$4+Phases!$D$4,MIN(Phases!$B$4,Phases!$B$4*Phases!$I$4+Phases!$B$4*(1-Phases!$I$4)*MIN(1,(AI$3-Phases!$C$4-Phases!$D$4+1)/Phases!$H$4)),0)</f>
        <v>40</v>
      </c>
      <c r="AJ12" s="0" t="n">
        <f aca="false">IF(AJ$3&gt;=Phases!$C$4+Phases!$D$4,MIN(Phases!$B$4,Phases!$B$4*Phases!$I$4+Phases!$B$4*(1-Phases!$I$4)*MIN(1,(AJ$3-Phases!$C$4-Phases!$D$4+1)/Phases!$H$4)),0)</f>
        <v>40</v>
      </c>
      <c r="AK12" s="0" t="n">
        <f aca="false">IF(AK$3&gt;=Phases!$C$4+Phases!$D$4,MIN(Phases!$B$4,Phases!$B$4*Phases!$I$4+Phases!$B$4*(1-Phases!$I$4)*MIN(1,(AK$3-Phases!$C$4-Phases!$D$4+1)/Phases!$H$4)),0)</f>
        <v>40</v>
      </c>
      <c r="AL12" s="0" t="n">
        <f aca="false">IF(AL$3&gt;=Phases!$C$4+Phases!$D$4,MIN(Phases!$B$4,Phases!$B$4*Phases!$I$4+Phases!$B$4*(1-Phases!$I$4)*MIN(1,(AL$3-Phases!$C$4-Phases!$D$4+1)/Phases!$H$4)),0)</f>
        <v>40</v>
      </c>
      <c r="AM12" s="0" t="n">
        <f aca="false">IF(AM$3&gt;=Phases!$C$4+Phases!$D$4,MIN(Phases!$B$4,Phases!$B$4*Phases!$I$4+Phases!$B$4*(1-Phases!$I$4)*MIN(1,(AM$3-Phases!$C$4-Phases!$D$4+1)/Phases!$H$4)),0)</f>
        <v>40</v>
      </c>
      <c r="AN12" s="0" t="n">
        <f aca="false">IF(AN$3&gt;=Phases!$C$4+Phases!$D$4,MIN(Phases!$B$4,Phases!$B$4*Phases!$I$4+Phases!$B$4*(1-Phases!$I$4)*MIN(1,(AN$3-Phases!$C$4-Phases!$D$4+1)/Phases!$H$4)),0)</f>
        <v>40</v>
      </c>
      <c r="AO12" s="0" t="n">
        <f aca="false">IF(AO$3&gt;=Phases!$C$4+Phases!$D$4,MIN(Phases!$B$4,Phases!$B$4*Phases!$I$4+Phases!$B$4*(1-Phases!$I$4)*MIN(1,(AO$3-Phases!$C$4-Phases!$D$4+1)/Phases!$H$4)),0)</f>
        <v>40</v>
      </c>
      <c r="AP12" s="0" t="n">
        <f aca="false">IF(AP$3&gt;=Phases!$C$4+Phases!$D$4,MIN(Phases!$B$4,Phases!$B$4*Phases!$I$4+Phases!$B$4*(1-Phases!$I$4)*MIN(1,(AP$3-Phases!$C$4-Phases!$D$4+1)/Phases!$H$4)),0)</f>
        <v>40</v>
      </c>
    </row>
    <row r="13" customFormat="false" ht="15" hidden="false" customHeight="false" outlineLevel="0" collapsed="false">
      <c r="A13" s="0" t="s">
        <v>49</v>
      </c>
      <c r="B13" s="0" t="n">
        <f aca="false">IF(B$3&gt;=Phases!$C$4+Phases!$D$4,B12*1000*Inputs!$B$28*3*(1+Inputs!$B$10)^INT((B$3-Phases!$C$4-Phases!$D$4)/4),0)</f>
        <v>0</v>
      </c>
      <c r="C13" s="0" t="n">
        <f aca="false">IF(C$3&gt;=Phases!$C$4+Phases!$D$4,C12*1000*Inputs!$B$28*3*(1+Inputs!$B$10)^INT((C$3-Phases!$C$4-Phases!$D$4)/4),0)</f>
        <v>0</v>
      </c>
      <c r="D13" s="0" t="n">
        <f aca="false">IF(D$3&gt;=Phases!$C$4+Phases!$D$4,D12*1000*Inputs!$B$28*3*(1+Inputs!$B$10)^INT((D$3-Phases!$C$4-Phases!$D$4)/4),0)</f>
        <v>0</v>
      </c>
      <c r="E13" s="0" t="n">
        <f aca="false">IF(E$3&gt;=Phases!$C$4+Phases!$D$4,E12*1000*Inputs!$B$28*3*(1+Inputs!$B$10)^INT((E$3-Phases!$C$4-Phases!$D$4)/4),0)</f>
        <v>0</v>
      </c>
      <c r="F13" s="0" t="n">
        <f aca="false">IF(F$3&gt;=Phases!$C$4+Phases!$D$4,F12*1000*Inputs!$B$28*3*(1+Inputs!$B$10)^INT((F$3-Phases!$C$4-Phases!$D$4)/4),0)</f>
        <v>0</v>
      </c>
      <c r="G13" s="0" t="n">
        <f aca="false">IF(G$3&gt;=Phases!$C$4+Phases!$D$4,G12*1000*Inputs!$B$28*3*(1+Inputs!$B$10)^INT((G$3-Phases!$C$4-Phases!$D$4)/4),0)</f>
        <v>0</v>
      </c>
      <c r="H13" s="0" t="n">
        <f aca="false">IF(H$3&gt;=Phases!$C$4+Phases!$D$4,H12*1000*Inputs!$B$28*3*(1+Inputs!$B$10)^INT((H$3-Phases!$C$4-Phases!$D$4)/4),0)</f>
        <v>0</v>
      </c>
      <c r="I13" s="0" t="n">
        <f aca="false">IF(I$3&gt;=Phases!$C$4+Phases!$D$4,I12*1000*Inputs!$B$28*3*(1+Inputs!$B$10)^INT((I$3-Phases!$C$4-Phases!$D$4)/4),0)</f>
        <v>0</v>
      </c>
      <c r="J13" s="0" t="n">
        <f aca="false">IF(J$3&gt;=Phases!$C$4+Phases!$D$4,J12*1000*Inputs!$B$28*3*(1+Inputs!$B$10)^INT((J$3-Phases!$C$4-Phases!$D$4)/4),0)</f>
        <v>0</v>
      </c>
      <c r="K13" s="0" t="n">
        <f aca="false">IF(K$3&gt;=Phases!$C$4+Phases!$D$4,K12*1000*Inputs!$B$28*3*(1+Inputs!$B$10)^INT((K$3-Phases!$C$4-Phases!$D$4)/4),0)</f>
        <v>0</v>
      </c>
      <c r="L13" s="0" t="n">
        <f aca="false">IF(L$3&gt;=Phases!$C$4+Phases!$D$4,L12*1000*Inputs!$B$28*3*(1+Inputs!$B$10)^INT((L$3-Phases!$C$4-Phases!$D$4)/4),0)</f>
        <v>0</v>
      </c>
      <c r="M13" s="0" t="n">
        <f aca="false">IF(M$3&gt;=Phases!$C$4+Phases!$D$4,M12*1000*Inputs!$B$28*3*(1+Inputs!$B$10)^INT((M$3-Phases!$C$4-Phases!$D$4)/4),0)</f>
        <v>0</v>
      </c>
      <c r="N13" s="0" t="n">
        <f aca="false">IF(N$3&gt;=Phases!$C$4+Phases!$D$4,N12*1000*Inputs!$B$28*3*(1+Inputs!$B$10)^INT((N$3-Phases!$C$4-Phases!$D$4)/4),0)</f>
        <v>0</v>
      </c>
      <c r="O13" s="0" t="n">
        <f aca="false">IF(O$3&gt;=Phases!$C$4+Phases!$D$4,O12*1000*Inputs!$B$28*3*(1+Inputs!$B$10)^INT((O$3-Phases!$C$4-Phases!$D$4)/4),0)</f>
        <v>0</v>
      </c>
      <c r="P13" s="0" t="n">
        <f aca="false">IF(P$3&gt;=Phases!$C$4+Phases!$D$4,P12*1000*Inputs!$B$28*3*(1+Inputs!$B$10)^INT((P$3-Phases!$C$4-Phases!$D$4)/4),0)</f>
        <v>0</v>
      </c>
      <c r="Q13" s="0" t="n">
        <f aca="false">IF(Q$3&gt;=Phases!$C$4+Phases!$D$4,Q12*1000*Inputs!$B$28*3*(1+Inputs!$B$10)^INT((Q$3-Phases!$C$4-Phases!$D$4)/4),0)</f>
        <v>0</v>
      </c>
      <c r="R13" s="0" t="n">
        <f aca="false">IF(R$3&gt;=Phases!$C$4+Phases!$D$4,R12*1000*Inputs!$B$28*3*(1+Inputs!$B$10)^INT((R$3-Phases!$C$4-Phases!$D$4)/4),0)</f>
        <v>0</v>
      </c>
      <c r="S13" s="0" t="n">
        <f aca="false">IF(S$3&gt;=Phases!$C$4+Phases!$D$4,S12*1000*Inputs!$B$28*3*(1+Inputs!$B$10)^INT((S$3-Phases!$C$4-Phases!$D$4)/4),0)</f>
        <v>0</v>
      </c>
      <c r="T13" s="0" t="n">
        <f aca="false">IF(T$3&gt;=Phases!$C$4+Phases!$D$4,T12*1000*Inputs!$B$28*3*(1+Inputs!$B$10)^INT((T$3-Phases!$C$4-Phases!$D$4)/4),0)</f>
        <v>0</v>
      </c>
      <c r="U13" s="0" t="n">
        <f aca="false">IF(U$3&gt;=Phases!$C$4+Phases!$D$4,U12*1000*Inputs!$B$28*3*(1+Inputs!$B$10)^INT((U$3-Phases!$C$4-Phases!$D$4)/4),0)</f>
        <v>0</v>
      </c>
      <c r="V13" s="0" t="n">
        <f aca="false">IF(V$3&gt;=Phases!$C$4+Phases!$D$4,V12*1000*Inputs!$B$28*3*(1+Inputs!$B$10)^INT((V$3-Phases!$C$4-Phases!$D$4)/4),0)</f>
        <v>0</v>
      </c>
      <c r="W13" s="0" t="n">
        <f aca="false">IF(W$3&gt;=Phases!$C$4+Phases!$D$4,W12*1000*Inputs!$B$28*3*(1+Inputs!$B$10)^INT((W$3-Phases!$C$4-Phases!$D$4)/4),0)</f>
        <v>5876400</v>
      </c>
      <c r="X13" s="0" t="n">
        <f aca="false">IF(X$3&gt;=Phases!$C$4+Phases!$D$4,X12*1000*Inputs!$B$28*3*(1+Inputs!$B$10)^INT((X$3-Phases!$C$4-Phases!$D$4)/4),0)</f>
        <v>6796800</v>
      </c>
      <c r="Y13" s="0" t="n">
        <f aca="false">IF(Y$3&gt;=Phases!$C$4+Phases!$D$4,Y12*1000*Inputs!$B$28*3*(1+Inputs!$B$10)^INT((Y$3-Phases!$C$4-Phases!$D$4)/4),0)</f>
        <v>7717200</v>
      </c>
      <c r="Z13" s="0" t="n">
        <f aca="false">IF(Z$3&gt;=Phases!$C$4+Phases!$D$4,Z12*1000*Inputs!$B$28*3*(1+Inputs!$B$10)^INT((Z$3-Phases!$C$4-Phases!$D$4)/4),0)</f>
        <v>8637600</v>
      </c>
      <c r="AA13" s="0" t="n">
        <f aca="false">IF(AA$3&gt;=Phases!$C$4+Phases!$D$4,AA12*1000*Inputs!$B$28*3*(1+Inputs!$B$10)^INT((AA$3-Phases!$C$4-Phases!$D$4)/4),0)</f>
        <v>9796950</v>
      </c>
      <c r="AB13" s="0" t="n">
        <f aca="false">IF(AB$3&gt;=Phases!$C$4+Phases!$D$4,AB12*1000*Inputs!$B$28*3*(1+Inputs!$B$10)^INT((AB$3-Phases!$C$4-Phases!$D$4)/4),0)</f>
        <v>10740360</v>
      </c>
      <c r="AC13" s="0" t="n">
        <f aca="false">IF(AC$3&gt;=Phases!$C$4+Phases!$D$4,AC12*1000*Inputs!$B$28*3*(1+Inputs!$B$10)^INT((AC$3-Phases!$C$4-Phases!$D$4)/4),0)</f>
        <v>11683770</v>
      </c>
      <c r="AD13" s="0" t="n">
        <f aca="false">IF(AD$3&gt;=Phases!$C$4+Phases!$D$4,AD12*1000*Inputs!$B$28*3*(1+Inputs!$B$10)^INT((AD$3-Phases!$C$4-Phases!$D$4)/4),0)</f>
        <v>12627180</v>
      </c>
      <c r="AE13" s="0" t="n">
        <f aca="false">IF(AE$3&gt;=Phases!$C$4+Phases!$D$4,AE12*1000*Inputs!$B$28*3*(1+Inputs!$B$10)^INT((AE$3-Phases!$C$4-Phases!$D$4)/4),0)</f>
        <v>13909854.75</v>
      </c>
      <c r="AF13" s="0" t="n">
        <f aca="false">IF(AF$3&gt;=Phases!$C$4+Phases!$D$4,AF12*1000*Inputs!$B$28*3*(1+Inputs!$B$10)^INT((AF$3-Phases!$C$4-Phases!$D$4)/4),0)</f>
        <v>14876850</v>
      </c>
      <c r="AG13" s="0" t="n">
        <f aca="false">IF(AG$3&gt;=Phases!$C$4+Phases!$D$4,AG12*1000*Inputs!$B$28*3*(1+Inputs!$B$10)^INT((AG$3-Phases!$C$4-Phases!$D$4)/4),0)</f>
        <v>14876850</v>
      </c>
      <c r="AH13" s="0" t="n">
        <f aca="false">IF(AH$3&gt;=Phases!$C$4+Phases!$D$4,AH12*1000*Inputs!$B$28*3*(1+Inputs!$B$10)^INT((AH$3-Phases!$C$4-Phases!$D$4)/4),0)</f>
        <v>14876850</v>
      </c>
      <c r="AI13" s="0" t="n">
        <f aca="false">IF(AI$3&gt;=Phases!$C$4+Phases!$D$4,AI12*1000*Inputs!$B$28*3*(1+Inputs!$B$10)^INT((AI$3-Phases!$C$4-Phases!$D$4)/4),0)</f>
        <v>15248771.25</v>
      </c>
      <c r="AJ13" s="0" t="n">
        <f aca="false">IF(AJ$3&gt;=Phases!$C$4+Phases!$D$4,AJ12*1000*Inputs!$B$28*3*(1+Inputs!$B$10)^INT((AJ$3-Phases!$C$4-Phases!$D$4)/4),0)</f>
        <v>15248771.25</v>
      </c>
      <c r="AK13" s="0" t="n">
        <f aca="false">IF(AK$3&gt;=Phases!$C$4+Phases!$D$4,AK12*1000*Inputs!$B$28*3*(1+Inputs!$B$10)^INT((AK$3-Phases!$C$4-Phases!$D$4)/4),0)</f>
        <v>15248771.25</v>
      </c>
      <c r="AL13" s="0" t="n">
        <f aca="false">IF(AL$3&gt;=Phases!$C$4+Phases!$D$4,AL12*1000*Inputs!$B$28*3*(1+Inputs!$B$10)^INT((AL$3-Phases!$C$4-Phases!$D$4)/4),0)</f>
        <v>15248771.25</v>
      </c>
      <c r="AM13" s="0" t="n">
        <f aca="false">IF(AM$3&gt;=Phases!$C$4+Phases!$D$4,AM12*1000*Inputs!$B$28*3*(1+Inputs!$B$10)^INT((AM$3-Phases!$C$4-Phases!$D$4)/4),0)</f>
        <v>15629990.53125</v>
      </c>
      <c r="AN13" s="0" t="n">
        <f aca="false">IF(AN$3&gt;=Phases!$C$4+Phases!$D$4,AN12*1000*Inputs!$B$28*3*(1+Inputs!$B$10)^INT((AN$3-Phases!$C$4-Phases!$D$4)/4),0)</f>
        <v>15629990.53125</v>
      </c>
      <c r="AO13" s="0" t="n">
        <f aca="false">IF(AO$3&gt;=Phases!$C$4+Phases!$D$4,AO12*1000*Inputs!$B$28*3*(1+Inputs!$B$10)^INT((AO$3-Phases!$C$4-Phases!$D$4)/4),0)</f>
        <v>15629990.53125</v>
      </c>
      <c r="AP13" s="0" t="n">
        <f aca="false">IF(AP$3&gt;=Phases!$C$4+Phases!$D$4,AP12*1000*Inputs!$B$28*3*(1+Inputs!$B$10)^INT((AP$3-Phases!$C$4-Phases!$D$4)/4),0)</f>
        <v>15629990.53125</v>
      </c>
    </row>
    <row r="14" customFormat="false" ht="15" hidden="false" customHeight="false" outlineLevel="0" collapsed="false">
      <c r="A14" s="0" t="s">
        <v>50</v>
      </c>
      <c r="B14" s="0" t="n">
        <f aca="false">IF(B$3&lt;=Inputs!$B$23,B5+B8+B11,0)</f>
        <v>0</v>
      </c>
      <c r="C14" s="0" t="n">
        <f aca="false">IF(C$3&lt;=Inputs!$B$23,C5+C8+C11,0)</f>
        <v>39428571.4285714</v>
      </c>
      <c r="D14" s="0" t="n">
        <f aca="false">IF(D$3&lt;=Inputs!$B$23,D5+D8+D11,0)</f>
        <v>39428571.4285714</v>
      </c>
      <c r="E14" s="0" t="n">
        <f aca="false">IF(E$3&lt;=Inputs!$B$23,E5+E8+E11,0)</f>
        <v>39428571.4285714</v>
      </c>
      <c r="F14" s="0" t="n">
        <f aca="false">IF(F$3&lt;=Inputs!$B$23,F5+F8+F11,0)</f>
        <v>39428571.4285714</v>
      </c>
      <c r="G14" s="0" t="n">
        <f aca="false">IF(G$3&lt;=Inputs!$B$23,G5+G8+G11,0)</f>
        <v>39428571.4285714</v>
      </c>
      <c r="H14" s="0" t="n">
        <f aca="false">IF(H$3&lt;=Inputs!$B$23,H5+H8+H11,0)</f>
        <v>86808571.4285714</v>
      </c>
      <c r="I14" s="0" t="n">
        <f aca="false">IF(I$3&lt;=Inputs!$B$23,I5+I8+I11,0)</f>
        <v>86808571.4285714</v>
      </c>
      <c r="J14" s="0" t="n">
        <f aca="false">IF(J$3&lt;=Inputs!$B$23,J5+J8+J11,0)</f>
        <v>47380000</v>
      </c>
      <c r="K14" s="0" t="n">
        <f aca="false">IF(K$3&lt;=Inputs!$B$23,K5+K8+K11,0)</f>
        <v>47380000</v>
      </c>
      <c r="L14" s="0" t="n">
        <f aca="false">IF(L$3&lt;=Inputs!$B$23,L5+L8+L11,0)</f>
        <v>47380000</v>
      </c>
      <c r="M14" s="0" t="n">
        <f aca="false">IF(M$3&lt;=Inputs!$B$23,M5+M8+M11,0)</f>
        <v>47380000</v>
      </c>
      <c r="N14" s="0" t="n">
        <f aca="false">IF(N$3&lt;=Inputs!$B$23,N5+N8+N11,0)</f>
        <v>47380000</v>
      </c>
      <c r="O14" s="0" t="n">
        <f aca="false">IF(O$3&lt;=Inputs!$B$23,O5+O8+O11,0)</f>
        <v>110211802.5</v>
      </c>
      <c r="P14" s="0" t="n">
        <f aca="false">IF(P$3&lt;=Inputs!$B$23,P5+P8+P11,0)</f>
        <v>62831802.5</v>
      </c>
      <c r="Q14" s="0" t="n">
        <f aca="false">IF(Q$3&lt;=Inputs!$B$23,Q5+Q8+Q11,0)</f>
        <v>62831802.5</v>
      </c>
      <c r="R14" s="0" t="n">
        <f aca="false">IF(R$3&lt;=Inputs!$B$23,R5+R8+R11,0)</f>
        <v>62831802.5</v>
      </c>
      <c r="S14" s="0" t="n">
        <f aca="false">IF(S$3&lt;=Inputs!$B$23,S5+S8+S11,0)</f>
        <v>62831802.5</v>
      </c>
      <c r="T14" s="0" t="n">
        <f aca="false">IF(T$3&lt;=Inputs!$B$23,T5+T8+T11,0)</f>
        <v>62831802.5</v>
      </c>
      <c r="U14" s="0" t="n">
        <f aca="false">IF(U$3&lt;=Inputs!$B$23,U5+U8+U11,0)</f>
        <v>62831802.5</v>
      </c>
      <c r="V14" s="0" t="n">
        <f aca="false">IF(V$3&lt;=Inputs!$B$23,V5+V8+V11,0)</f>
        <v>62831802.5</v>
      </c>
      <c r="W14" s="0" t="n">
        <f aca="false">IF(W$3&lt;=Inputs!$B$23,W5+W8+W11,0)</f>
        <v>0</v>
      </c>
      <c r="X14" s="0" t="n">
        <f aca="false">IF(X$3&lt;=Inputs!$B$23,X5+X8+X11,0)</f>
        <v>0</v>
      </c>
      <c r="Y14" s="0" t="n">
        <f aca="false">IF(Y$3&lt;=Inputs!$B$23,Y5+Y8+Y11,0)</f>
        <v>0</v>
      </c>
      <c r="Z14" s="0" t="n">
        <f aca="false">IF(Z$3&lt;=Inputs!$B$23,Z5+Z8+Z11,0)</f>
        <v>0</v>
      </c>
      <c r="AA14" s="0" t="n">
        <f aca="false">IF(AA$3&lt;=Inputs!$B$23,AA5+AA8+AA11,0)</f>
        <v>0</v>
      </c>
      <c r="AB14" s="0" t="n">
        <f aca="false">IF(AB$3&lt;=Inputs!$B$23,AB5+AB8+AB11,0)</f>
        <v>0</v>
      </c>
      <c r="AC14" s="0" t="n">
        <f aca="false">IF(AC$3&lt;=Inputs!$B$23,AC5+AC8+AC11,0)</f>
        <v>0</v>
      </c>
      <c r="AD14" s="0" t="n">
        <f aca="false">IF(AD$3&lt;=Inputs!$B$23,AD5+AD8+AD11,0)</f>
        <v>0</v>
      </c>
      <c r="AE14" s="0" t="n">
        <f aca="false">IF(AE$3&lt;=Inputs!$B$23,AE5+AE8+AE11,0)</f>
        <v>0</v>
      </c>
      <c r="AF14" s="0" t="n">
        <f aca="false">IF(AF$3&lt;=Inputs!$B$23,AF5+AF8+AF11,0)</f>
        <v>0</v>
      </c>
      <c r="AG14" s="0" t="n">
        <f aca="false">IF(AG$3&lt;=Inputs!$B$23,AG5+AG8+AG11,0)</f>
        <v>0</v>
      </c>
      <c r="AH14" s="0" t="n">
        <f aca="false">IF(AH$3&lt;=Inputs!$B$23,AH5+AH8+AH11,0)</f>
        <v>0</v>
      </c>
      <c r="AI14" s="0" t="n">
        <f aca="false">IF(AI$3&lt;=Inputs!$B$23,AI5+AI8+AI11,0)</f>
        <v>0</v>
      </c>
      <c r="AJ14" s="0" t="n">
        <f aca="false">IF(AJ$3&lt;=Inputs!$B$23,AJ5+AJ8+AJ11,0)</f>
        <v>0</v>
      </c>
      <c r="AK14" s="0" t="n">
        <f aca="false">IF(AK$3&lt;=Inputs!$B$23,AK5+AK8+AK11,0)</f>
        <v>0</v>
      </c>
      <c r="AL14" s="0" t="n">
        <f aca="false">IF(AL$3&lt;=Inputs!$B$23,AL5+AL8+AL11,0)</f>
        <v>0</v>
      </c>
      <c r="AM14" s="0" t="n">
        <f aca="false">IF(AM$3&lt;=Inputs!$B$23,AM5+AM8+AM11,0)</f>
        <v>0</v>
      </c>
      <c r="AN14" s="0" t="n">
        <f aca="false">IF(AN$3&lt;=Inputs!$B$23,AN5+AN8+AN11,0)</f>
        <v>0</v>
      </c>
      <c r="AO14" s="0" t="n">
        <f aca="false">IF(AO$3&lt;=Inputs!$B$23,AO5+AO8+AO11,0)</f>
        <v>0</v>
      </c>
      <c r="AP14" s="0" t="n">
        <f aca="false">IF(AP$3&lt;=Inputs!$B$23,AP5+AP8+AP11,0)</f>
        <v>0</v>
      </c>
    </row>
    <row r="15" customFormat="false" ht="15" hidden="false" customHeight="false" outlineLevel="0" collapsed="false">
      <c r="A15" s="0" t="s">
        <v>51</v>
      </c>
      <c r="B15" s="0" t="n">
        <f aca="false">IF(B$3&gt;=Phases!$C$2+Phases!$D$2,Phases!$B$2,0)+IF(B$3&gt;=Phases!$C$3+Phases!$D$3,Phases!$B$3,0)+IF(B$3&gt;=Phases!$C$4+Phases!$D$4,Phases!$B$4,0)</f>
        <v>0</v>
      </c>
      <c r="C15" s="0" t="n">
        <f aca="false">IF(C$3&gt;=Phases!$C$2+Phases!$D$2,Phases!$B$2,0)+IF(C$3&gt;=Phases!$C$3+Phases!$D$3,Phases!$B$3,0)+IF(C$3&gt;=Phases!$C$4+Phases!$D$4,Phases!$B$4,0)</f>
        <v>0</v>
      </c>
      <c r="D15" s="0" t="n">
        <f aca="false">IF(D$3&gt;=Phases!$C$2+Phases!$D$2,Phases!$B$2,0)+IF(D$3&gt;=Phases!$C$3+Phases!$D$3,Phases!$B$3,0)+IF(D$3&gt;=Phases!$C$4+Phases!$D$4,Phases!$B$4,0)</f>
        <v>0</v>
      </c>
      <c r="E15" s="0" t="n">
        <f aca="false">IF(E$3&gt;=Phases!$C$2+Phases!$D$2,Phases!$B$2,0)+IF(E$3&gt;=Phases!$C$3+Phases!$D$3,Phases!$B$3,0)+IF(E$3&gt;=Phases!$C$4+Phases!$D$4,Phases!$B$4,0)</f>
        <v>0</v>
      </c>
      <c r="F15" s="0" t="n">
        <f aca="false">IF(F$3&gt;=Phases!$C$2+Phases!$D$2,Phases!$B$2,0)+IF(F$3&gt;=Phases!$C$3+Phases!$D$3,Phases!$B$3,0)+IF(F$3&gt;=Phases!$C$4+Phases!$D$4,Phases!$B$4,0)</f>
        <v>0</v>
      </c>
      <c r="G15" s="0" t="n">
        <f aca="false">IF(G$3&gt;=Phases!$C$2+Phases!$D$2,Phases!$B$2,0)+IF(G$3&gt;=Phases!$C$3+Phases!$D$3,Phases!$B$3,0)+IF(G$3&gt;=Phases!$C$4+Phases!$D$4,Phases!$B$4,0)</f>
        <v>0</v>
      </c>
      <c r="H15" s="0" t="n">
        <f aca="false">IF(H$3&gt;=Phases!$C$2+Phases!$D$2,Phases!$B$2,0)+IF(H$3&gt;=Phases!$C$3+Phases!$D$3,Phases!$B$3,0)+IF(H$3&gt;=Phases!$C$4+Phases!$D$4,Phases!$B$4,0)</f>
        <v>0</v>
      </c>
      <c r="I15" s="0" t="n">
        <f aca="false">IF(I$3&gt;=Phases!$C$2+Phases!$D$2,Phases!$B$2,0)+IF(I$3&gt;=Phases!$C$3+Phases!$D$3,Phases!$B$3,0)+IF(I$3&gt;=Phases!$C$4+Phases!$D$4,Phases!$B$4,0)</f>
        <v>0</v>
      </c>
      <c r="J15" s="0" t="n">
        <f aca="false">IF(J$3&gt;=Phases!$C$2+Phases!$D$2,Phases!$B$2,0)+IF(J$3&gt;=Phases!$C$3+Phases!$D$3,Phases!$B$3,0)+IF(J$3&gt;=Phases!$C$4+Phases!$D$4,Phases!$B$4,0)</f>
        <v>24</v>
      </c>
      <c r="K15" s="0" t="n">
        <f aca="false">IF(K$3&gt;=Phases!$C$2+Phases!$D$2,Phases!$B$2,0)+IF(K$3&gt;=Phases!$C$3+Phases!$D$3,Phases!$B$3,0)+IF(K$3&gt;=Phases!$C$4+Phases!$D$4,Phases!$B$4,0)</f>
        <v>24</v>
      </c>
      <c r="L15" s="0" t="n">
        <f aca="false">IF(L$3&gt;=Phases!$C$2+Phases!$D$2,Phases!$B$2,0)+IF(L$3&gt;=Phases!$C$3+Phases!$D$3,Phases!$B$3,0)+IF(L$3&gt;=Phases!$C$4+Phases!$D$4,Phases!$B$4,0)</f>
        <v>24</v>
      </c>
      <c r="M15" s="0" t="n">
        <f aca="false">IF(M$3&gt;=Phases!$C$2+Phases!$D$2,Phases!$B$2,0)+IF(M$3&gt;=Phases!$C$3+Phases!$D$3,Phases!$B$3,0)+IF(M$3&gt;=Phases!$C$4+Phases!$D$4,Phases!$B$4,0)</f>
        <v>24</v>
      </c>
      <c r="N15" s="0" t="n">
        <f aca="false">IF(N$3&gt;=Phases!$C$2+Phases!$D$2,Phases!$B$2,0)+IF(N$3&gt;=Phases!$C$3+Phases!$D$3,Phases!$B$3,0)+IF(N$3&gt;=Phases!$C$4+Phases!$D$4,Phases!$B$4,0)</f>
        <v>24</v>
      </c>
      <c r="O15" s="0" t="n">
        <f aca="false">IF(O$3&gt;=Phases!$C$2+Phases!$D$2,Phases!$B$2,0)+IF(O$3&gt;=Phases!$C$3+Phases!$D$3,Phases!$B$3,0)+IF(O$3&gt;=Phases!$C$4+Phases!$D$4,Phases!$B$4,0)</f>
        <v>24</v>
      </c>
      <c r="P15" s="0" t="n">
        <f aca="false">IF(P$3&gt;=Phases!$C$2+Phases!$D$2,Phases!$B$2,0)+IF(P$3&gt;=Phases!$C$3+Phases!$D$3,Phases!$B$3,0)+IF(P$3&gt;=Phases!$C$4+Phases!$D$4,Phases!$B$4,0)</f>
        <v>56</v>
      </c>
      <c r="Q15" s="0" t="n">
        <f aca="false">IF(Q$3&gt;=Phases!$C$2+Phases!$D$2,Phases!$B$2,0)+IF(Q$3&gt;=Phases!$C$3+Phases!$D$3,Phases!$B$3,0)+IF(Q$3&gt;=Phases!$C$4+Phases!$D$4,Phases!$B$4,0)</f>
        <v>56</v>
      </c>
      <c r="R15" s="0" t="n">
        <f aca="false">IF(R$3&gt;=Phases!$C$2+Phases!$D$2,Phases!$B$2,0)+IF(R$3&gt;=Phases!$C$3+Phases!$D$3,Phases!$B$3,0)+IF(R$3&gt;=Phases!$C$4+Phases!$D$4,Phases!$B$4,0)</f>
        <v>56</v>
      </c>
      <c r="S15" s="0" t="n">
        <f aca="false">IF(S$3&gt;=Phases!$C$2+Phases!$D$2,Phases!$B$2,0)+IF(S$3&gt;=Phases!$C$3+Phases!$D$3,Phases!$B$3,0)+IF(S$3&gt;=Phases!$C$4+Phases!$D$4,Phases!$B$4,0)</f>
        <v>56</v>
      </c>
      <c r="T15" s="0" t="n">
        <f aca="false">IF(T$3&gt;=Phases!$C$2+Phases!$D$2,Phases!$B$2,0)+IF(T$3&gt;=Phases!$C$3+Phases!$D$3,Phases!$B$3,0)+IF(T$3&gt;=Phases!$C$4+Phases!$D$4,Phases!$B$4,0)</f>
        <v>56</v>
      </c>
      <c r="U15" s="0" t="n">
        <f aca="false">IF(U$3&gt;=Phases!$C$2+Phases!$D$2,Phases!$B$2,0)+IF(U$3&gt;=Phases!$C$3+Phases!$D$3,Phases!$B$3,0)+IF(U$3&gt;=Phases!$C$4+Phases!$D$4,Phases!$B$4,0)</f>
        <v>56</v>
      </c>
      <c r="V15" s="0" t="n">
        <f aca="false">IF(V$3&gt;=Phases!$C$2+Phases!$D$2,Phases!$B$2,0)+IF(V$3&gt;=Phases!$C$3+Phases!$D$3,Phases!$B$3,0)+IF(V$3&gt;=Phases!$C$4+Phases!$D$4,Phases!$B$4,0)</f>
        <v>56</v>
      </c>
      <c r="W15" s="0" t="n">
        <f aca="false">IF(W$3&gt;=Phases!$C$2+Phases!$D$2,Phases!$B$2,0)+IF(W$3&gt;=Phases!$C$3+Phases!$D$3,Phases!$B$3,0)+IF(W$3&gt;=Phases!$C$4+Phases!$D$4,Phases!$B$4,0)</f>
        <v>96</v>
      </c>
      <c r="X15" s="0" t="n">
        <f aca="false">IF(X$3&gt;=Phases!$C$2+Phases!$D$2,Phases!$B$2,0)+IF(X$3&gt;=Phases!$C$3+Phases!$D$3,Phases!$B$3,0)+IF(X$3&gt;=Phases!$C$4+Phases!$D$4,Phases!$B$4,0)</f>
        <v>96</v>
      </c>
      <c r="Y15" s="0" t="n">
        <f aca="false">IF(Y$3&gt;=Phases!$C$2+Phases!$D$2,Phases!$B$2,0)+IF(Y$3&gt;=Phases!$C$3+Phases!$D$3,Phases!$B$3,0)+IF(Y$3&gt;=Phases!$C$4+Phases!$D$4,Phases!$B$4,0)</f>
        <v>96</v>
      </c>
      <c r="Z15" s="0" t="n">
        <f aca="false">IF(Z$3&gt;=Phases!$C$2+Phases!$D$2,Phases!$B$2,0)+IF(Z$3&gt;=Phases!$C$3+Phases!$D$3,Phases!$B$3,0)+IF(Z$3&gt;=Phases!$C$4+Phases!$D$4,Phases!$B$4,0)</f>
        <v>96</v>
      </c>
      <c r="AA15" s="0" t="n">
        <f aca="false">IF(AA$3&gt;=Phases!$C$2+Phases!$D$2,Phases!$B$2,0)+IF(AA$3&gt;=Phases!$C$3+Phases!$D$3,Phases!$B$3,0)+IF(AA$3&gt;=Phases!$C$4+Phases!$D$4,Phases!$B$4,0)</f>
        <v>96</v>
      </c>
      <c r="AB15" s="0" t="n">
        <f aca="false">IF(AB$3&gt;=Phases!$C$2+Phases!$D$2,Phases!$B$2,0)+IF(AB$3&gt;=Phases!$C$3+Phases!$D$3,Phases!$B$3,0)+IF(AB$3&gt;=Phases!$C$4+Phases!$D$4,Phases!$B$4,0)</f>
        <v>96</v>
      </c>
      <c r="AC15" s="0" t="n">
        <f aca="false">IF(AC$3&gt;=Phases!$C$2+Phases!$D$2,Phases!$B$2,0)+IF(AC$3&gt;=Phases!$C$3+Phases!$D$3,Phases!$B$3,0)+IF(AC$3&gt;=Phases!$C$4+Phases!$D$4,Phases!$B$4,0)</f>
        <v>96</v>
      </c>
      <c r="AD15" s="0" t="n">
        <f aca="false">IF(AD$3&gt;=Phases!$C$2+Phases!$D$2,Phases!$B$2,0)+IF(AD$3&gt;=Phases!$C$3+Phases!$D$3,Phases!$B$3,0)+IF(AD$3&gt;=Phases!$C$4+Phases!$D$4,Phases!$B$4,0)</f>
        <v>96</v>
      </c>
      <c r="AE15" s="0" t="n">
        <f aca="false">IF(AE$3&gt;=Phases!$C$2+Phases!$D$2,Phases!$B$2,0)+IF(AE$3&gt;=Phases!$C$3+Phases!$D$3,Phases!$B$3,0)+IF(AE$3&gt;=Phases!$C$4+Phases!$D$4,Phases!$B$4,0)</f>
        <v>96</v>
      </c>
      <c r="AF15" s="0" t="n">
        <f aca="false">IF(AF$3&gt;=Phases!$C$2+Phases!$D$2,Phases!$B$2,0)+IF(AF$3&gt;=Phases!$C$3+Phases!$D$3,Phases!$B$3,0)+IF(AF$3&gt;=Phases!$C$4+Phases!$D$4,Phases!$B$4,0)</f>
        <v>96</v>
      </c>
      <c r="AG15" s="0" t="n">
        <f aca="false">IF(AG$3&gt;=Phases!$C$2+Phases!$D$2,Phases!$B$2,0)+IF(AG$3&gt;=Phases!$C$3+Phases!$D$3,Phases!$B$3,0)+IF(AG$3&gt;=Phases!$C$4+Phases!$D$4,Phases!$B$4,0)</f>
        <v>96</v>
      </c>
      <c r="AH15" s="0" t="n">
        <f aca="false">IF(AH$3&gt;=Phases!$C$2+Phases!$D$2,Phases!$B$2,0)+IF(AH$3&gt;=Phases!$C$3+Phases!$D$3,Phases!$B$3,0)+IF(AH$3&gt;=Phases!$C$4+Phases!$D$4,Phases!$B$4,0)</f>
        <v>96</v>
      </c>
      <c r="AI15" s="0" t="n">
        <f aca="false">IF(AI$3&gt;=Phases!$C$2+Phases!$D$2,Phases!$B$2,0)+IF(AI$3&gt;=Phases!$C$3+Phases!$D$3,Phases!$B$3,0)+IF(AI$3&gt;=Phases!$C$4+Phases!$D$4,Phases!$B$4,0)</f>
        <v>96</v>
      </c>
      <c r="AJ15" s="0" t="n">
        <f aca="false">IF(AJ$3&gt;=Phases!$C$2+Phases!$D$2,Phases!$B$2,0)+IF(AJ$3&gt;=Phases!$C$3+Phases!$D$3,Phases!$B$3,0)+IF(AJ$3&gt;=Phases!$C$4+Phases!$D$4,Phases!$B$4,0)</f>
        <v>96</v>
      </c>
      <c r="AK15" s="0" t="n">
        <f aca="false">IF(AK$3&gt;=Phases!$C$2+Phases!$D$2,Phases!$B$2,0)+IF(AK$3&gt;=Phases!$C$3+Phases!$D$3,Phases!$B$3,0)+IF(AK$3&gt;=Phases!$C$4+Phases!$D$4,Phases!$B$4,0)</f>
        <v>96</v>
      </c>
      <c r="AL15" s="0" t="n">
        <f aca="false">IF(AL$3&gt;=Phases!$C$2+Phases!$D$2,Phases!$B$2,0)+IF(AL$3&gt;=Phases!$C$3+Phases!$D$3,Phases!$B$3,0)+IF(AL$3&gt;=Phases!$C$4+Phases!$D$4,Phases!$B$4,0)</f>
        <v>96</v>
      </c>
      <c r="AM15" s="0" t="n">
        <f aca="false">IF(AM$3&gt;=Phases!$C$2+Phases!$D$2,Phases!$B$2,0)+IF(AM$3&gt;=Phases!$C$3+Phases!$D$3,Phases!$B$3,0)+IF(AM$3&gt;=Phases!$C$4+Phases!$D$4,Phases!$B$4,0)</f>
        <v>96</v>
      </c>
      <c r="AN15" s="0" t="n">
        <f aca="false">IF(AN$3&gt;=Phases!$C$2+Phases!$D$2,Phases!$B$2,0)+IF(AN$3&gt;=Phases!$C$3+Phases!$D$3,Phases!$B$3,0)+IF(AN$3&gt;=Phases!$C$4+Phases!$D$4,Phases!$B$4,0)</f>
        <v>96</v>
      </c>
      <c r="AO15" s="0" t="n">
        <f aca="false">IF(AO$3&gt;=Phases!$C$2+Phases!$D$2,Phases!$B$2,0)+IF(AO$3&gt;=Phases!$C$3+Phases!$D$3,Phases!$B$3,0)+IF(AO$3&gt;=Phases!$C$4+Phases!$D$4,Phases!$B$4,0)</f>
        <v>96</v>
      </c>
      <c r="AP15" s="0" t="n">
        <f aca="false">IF(AP$3&gt;=Phases!$C$2+Phases!$D$2,Phases!$B$2,0)+IF(AP$3&gt;=Phases!$C$3+Phases!$D$3,Phases!$B$3,0)+IF(AP$3&gt;=Phases!$C$4+Phases!$D$4,Phases!$B$4,0)</f>
        <v>96</v>
      </c>
    </row>
    <row r="16" customFormat="false" ht="15" hidden="false" customHeight="false" outlineLevel="0" collapsed="false">
      <c r="A16" s="0" t="s">
        <v>52</v>
      </c>
      <c r="B16" s="0" t="n">
        <f aca="false">B6+B9+B12</f>
        <v>0</v>
      </c>
      <c r="C16" s="0" t="n">
        <f aca="false">C6+C9+C12</f>
        <v>0</v>
      </c>
      <c r="D16" s="0" t="n">
        <f aca="false">D6+D9+D12</f>
        <v>0</v>
      </c>
      <c r="E16" s="0" t="n">
        <f aca="false">E6+E9+E12</f>
        <v>0</v>
      </c>
      <c r="F16" s="0" t="n">
        <f aca="false">F6+F9+F12</f>
        <v>0</v>
      </c>
      <c r="G16" s="0" t="n">
        <f aca="false">G6+G9+G12</f>
        <v>0</v>
      </c>
      <c r="H16" s="0" t="n">
        <f aca="false">H6+H9+H12</f>
        <v>0</v>
      </c>
      <c r="I16" s="0" t="n">
        <f aca="false">I6+I9+I12</f>
        <v>0</v>
      </c>
      <c r="J16" s="0" t="n">
        <f aca="false">J6+J9+J12</f>
        <v>16</v>
      </c>
      <c r="K16" s="0" t="n">
        <f aca="false">K6+K9+K12</f>
        <v>17.6</v>
      </c>
      <c r="L16" s="0" t="n">
        <f aca="false">L6+L9+L12</f>
        <v>19.2</v>
      </c>
      <c r="M16" s="0" t="n">
        <f aca="false">M6+M9+M12</f>
        <v>20.8</v>
      </c>
      <c r="N16" s="0" t="n">
        <f aca="false">N6+N9+N12</f>
        <v>22.4</v>
      </c>
      <c r="O16" s="0" t="n">
        <f aca="false">O6+O9+O12</f>
        <v>24</v>
      </c>
      <c r="P16" s="0" t="n">
        <f aca="false">P6+P9+P12</f>
        <v>42</v>
      </c>
      <c r="Q16" s="0" t="n">
        <f aca="false">Q6+Q9+Q12</f>
        <v>44</v>
      </c>
      <c r="R16" s="0" t="n">
        <f aca="false">R6+R9+R12</f>
        <v>46</v>
      </c>
      <c r="S16" s="0" t="n">
        <f aca="false">S6+S9+S12</f>
        <v>48</v>
      </c>
      <c r="T16" s="0" t="n">
        <f aca="false">T6+T9+T12</f>
        <v>50</v>
      </c>
      <c r="U16" s="0" t="n">
        <f aca="false">U6+U9+U12</f>
        <v>52</v>
      </c>
      <c r="V16" s="0" t="n">
        <f aca="false">V6+V9+V12</f>
        <v>54</v>
      </c>
      <c r="W16" s="0" t="n">
        <f aca="false">W6+W9+W12</f>
        <v>72.6</v>
      </c>
      <c r="X16" s="0" t="n">
        <f aca="false">X6+X9+X12</f>
        <v>75.2</v>
      </c>
      <c r="Y16" s="0" t="n">
        <f aca="false">Y6+Y9+Y12</f>
        <v>77.8</v>
      </c>
      <c r="Z16" s="0" t="n">
        <f aca="false">Z6+Z9+Z12</f>
        <v>80.4</v>
      </c>
      <c r="AA16" s="0" t="n">
        <f aca="false">AA6+AA9+AA12</f>
        <v>83</v>
      </c>
      <c r="AB16" s="0" t="n">
        <f aca="false">AB6+AB9+AB12</f>
        <v>85.6</v>
      </c>
      <c r="AC16" s="0" t="n">
        <f aca="false">AC6+AC9+AC12</f>
        <v>88.2</v>
      </c>
      <c r="AD16" s="0" t="n">
        <f aca="false">AD6+AD9+AD12</f>
        <v>90.8</v>
      </c>
      <c r="AE16" s="0" t="n">
        <f aca="false">AE6+AE9+AE12</f>
        <v>93.4</v>
      </c>
      <c r="AF16" s="0" t="n">
        <f aca="false">AF6+AF9+AF12</f>
        <v>96</v>
      </c>
      <c r="AG16" s="0" t="n">
        <f aca="false">AG6+AG9+AG12</f>
        <v>96</v>
      </c>
      <c r="AH16" s="0" t="n">
        <f aca="false">AH6+AH9+AH12</f>
        <v>96</v>
      </c>
      <c r="AI16" s="0" t="n">
        <f aca="false">AI6+AI9+AI12</f>
        <v>96</v>
      </c>
      <c r="AJ16" s="0" t="n">
        <f aca="false">AJ6+AJ9+AJ12</f>
        <v>96</v>
      </c>
      <c r="AK16" s="0" t="n">
        <f aca="false">AK6+AK9+AK12</f>
        <v>96</v>
      </c>
      <c r="AL16" s="0" t="n">
        <f aca="false">AL6+AL9+AL12</f>
        <v>96</v>
      </c>
      <c r="AM16" s="0" t="n">
        <f aca="false">AM6+AM9+AM12</f>
        <v>96</v>
      </c>
      <c r="AN16" s="0" t="n">
        <f aca="false">AN6+AN9+AN12</f>
        <v>96</v>
      </c>
      <c r="AO16" s="0" t="n">
        <f aca="false">AO6+AO9+AO12</f>
        <v>96</v>
      </c>
      <c r="AP16" s="0" t="n">
        <f aca="false">AP6+AP9+AP12</f>
        <v>96</v>
      </c>
    </row>
    <row r="17" customFormat="false" ht="15" hidden="false" customHeight="false" outlineLevel="0" collapsed="false">
      <c r="A17" s="0" t="s">
        <v>53</v>
      </c>
      <c r="B17" s="0" t="n">
        <f aca="false">IF(B15&gt;0,B16/B15,0)</f>
        <v>0</v>
      </c>
      <c r="C17" s="0" t="n">
        <f aca="false">IF(C15&gt;0,C16/C15,0)</f>
        <v>0</v>
      </c>
      <c r="D17" s="0" t="n">
        <f aca="false">IF(D15&gt;0,D16/D15,0)</f>
        <v>0</v>
      </c>
      <c r="E17" s="0" t="n">
        <f aca="false">IF(E15&gt;0,E16/E15,0)</f>
        <v>0</v>
      </c>
      <c r="F17" s="0" t="n">
        <f aca="false">IF(F15&gt;0,F16/F15,0)</f>
        <v>0</v>
      </c>
      <c r="G17" s="0" t="n">
        <f aca="false">IF(G15&gt;0,G16/G15,0)</f>
        <v>0</v>
      </c>
      <c r="H17" s="0" t="n">
        <f aca="false">IF(H15&gt;0,H16/H15,0)</f>
        <v>0</v>
      </c>
      <c r="I17" s="0" t="n">
        <f aca="false">IF(I15&gt;0,I16/I15,0)</f>
        <v>0</v>
      </c>
      <c r="J17" s="0" t="n">
        <f aca="false">IF(J15&gt;0,J16/J15,0)</f>
        <v>0.666666666666667</v>
      </c>
      <c r="K17" s="0" t="n">
        <f aca="false">IF(K15&gt;0,K16/K15,0)</f>
        <v>0.733333333333333</v>
      </c>
      <c r="L17" s="0" t="n">
        <f aca="false">IF(L15&gt;0,L16/L15,0)</f>
        <v>0.8</v>
      </c>
      <c r="M17" s="0" t="n">
        <f aca="false">IF(M15&gt;0,M16/M15,0)</f>
        <v>0.866666666666667</v>
      </c>
      <c r="N17" s="0" t="n">
        <f aca="false">IF(N15&gt;0,N16/N15,0)</f>
        <v>0.933333333333333</v>
      </c>
      <c r="O17" s="0" t="n">
        <f aca="false">IF(O15&gt;0,O16/O15,0)</f>
        <v>1</v>
      </c>
      <c r="P17" s="0" t="n">
        <f aca="false">IF(P15&gt;0,P16/P15,0)</f>
        <v>0.75</v>
      </c>
      <c r="Q17" s="0" t="n">
        <f aca="false">IF(Q15&gt;0,Q16/Q15,0)</f>
        <v>0.785714285714286</v>
      </c>
      <c r="R17" s="0" t="n">
        <f aca="false">IF(R15&gt;0,R16/R15,0)</f>
        <v>0.821428571428571</v>
      </c>
      <c r="S17" s="0" t="n">
        <f aca="false">IF(S15&gt;0,S16/S15,0)</f>
        <v>0.857142857142857</v>
      </c>
      <c r="T17" s="0" t="n">
        <f aca="false">IF(T15&gt;0,T16/T15,0)</f>
        <v>0.892857142857143</v>
      </c>
      <c r="U17" s="0" t="n">
        <f aca="false">IF(U15&gt;0,U16/U15,0)</f>
        <v>0.928571428571429</v>
      </c>
      <c r="V17" s="0" t="n">
        <f aca="false">IF(V15&gt;0,V16/V15,0)</f>
        <v>0.964285714285714</v>
      </c>
      <c r="W17" s="0" t="n">
        <f aca="false">IF(W15&gt;0,W16/W15,0)</f>
        <v>0.75625</v>
      </c>
      <c r="X17" s="0" t="n">
        <f aca="false">IF(X15&gt;0,X16/X15,0)</f>
        <v>0.783333333333333</v>
      </c>
      <c r="Y17" s="0" t="n">
        <f aca="false">IF(Y15&gt;0,Y16/Y15,0)</f>
        <v>0.810416666666667</v>
      </c>
      <c r="Z17" s="0" t="n">
        <f aca="false">IF(Z15&gt;0,Z16/Z15,0)</f>
        <v>0.8375</v>
      </c>
      <c r="AA17" s="0" t="n">
        <f aca="false">IF(AA15&gt;0,AA16/AA15,0)</f>
        <v>0.864583333333333</v>
      </c>
      <c r="AB17" s="0" t="n">
        <f aca="false">IF(AB15&gt;0,AB16/AB15,0)</f>
        <v>0.891666666666667</v>
      </c>
      <c r="AC17" s="0" t="n">
        <f aca="false">IF(AC15&gt;0,AC16/AC15,0)</f>
        <v>0.91875</v>
      </c>
      <c r="AD17" s="0" t="n">
        <f aca="false">IF(AD15&gt;0,AD16/AD15,0)</f>
        <v>0.945833333333333</v>
      </c>
      <c r="AE17" s="0" t="n">
        <f aca="false">IF(AE15&gt;0,AE16/AE15,0)</f>
        <v>0.972916666666667</v>
      </c>
      <c r="AF17" s="0" t="n">
        <f aca="false">IF(AF15&gt;0,AF16/AF15,0)</f>
        <v>1</v>
      </c>
      <c r="AG17" s="0" t="n">
        <f aca="false">IF(AG15&gt;0,AG16/AG15,0)</f>
        <v>1</v>
      </c>
      <c r="AH17" s="0" t="n">
        <f aca="false">IF(AH15&gt;0,AH16/AH15,0)</f>
        <v>1</v>
      </c>
      <c r="AI17" s="0" t="n">
        <f aca="false">IF(AI15&gt;0,AI16/AI15,0)</f>
        <v>1</v>
      </c>
      <c r="AJ17" s="0" t="n">
        <f aca="false">IF(AJ15&gt;0,AJ16/AJ15,0)</f>
        <v>1</v>
      </c>
      <c r="AK17" s="0" t="n">
        <f aca="false">IF(AK15&gt;0,AK16/AK15,0)</f>
        <v>1</v>
      </c>
      <c r="AL17" s="0" t="n">
        <f aca="false">IF(AL15&gt;0,AL16/AL15,0)</f>
        <v>1</v>
      </c>
      <c r="AM17" s="0" t="n">
        <f aca="false">IF(AM15&gt;0,AM16/AM15,0)</f>
        <v>1</v>
      </c>
      <c r="AN17" s="0" t="n">
        <f aca="false">IF(AN15&gt;0,AN16/AN15,0)</f>
        <v>1</v>
      </c>
      <c r="AO17" s="0" t="n">
        <f aca="false">IF(AO15&gt;0,AO16/AO15,0)</f>
        <v>1</v>
      </c>
      <c r="AP17" s="0" t="n">
        <f aca="false">IF(AP15&gt;0,AP16/AP15,0)</f>
        <v>1</v>
      </c>
    </row>
    <row r="18" customFormat="false" ht="15" hidden="false" customHeight="false" outlineLevel="0" collapsed="false">
      <c r="A18" s="0" t="s">
        <v>54</v>
      </c>
      <c r="B18" s="0" t="n">
        <f aca="false">B7+B10+B13</f>
        <v>0</v>
      </c>
      <c r="C18" s="0" t="n">
        <f aca="false">C7+C10+C13</f>
        <v>0</v>
      </c>
      <c r="D18" s="0" t="n">
        <f aca="false">D7+D10+D13</f>
        <v>0</v>
      </c>
      <c r="E18" s="0" t="n">
        <f aca="false">E7+E10+E13</f>
        <v>0</v>
      </c>
      <c r="F18" s="0" t="n">
        <f aca="false">F7+F10+F13</f>
        <v>0</v>
      </c>
      <c r="G18" s="0" t="n">
        <f aca="false">G7+G10+G13</f>
        <v>0</v>
      </c>
      <c r="H18" s="0" t="n">
        <f aca="false">H7+H10+H13</f>
        <v>0</v>
      </c>
      <c r="I18" s="0" t="n">
        <f aca="false">I7+I10+I13</f>
        <v>0</v>
      </c>
      <c r="J18" s="0" t="n">
        <f aca="false">J7+J10+J13</f>
        <v>5664000</v>
      </c>
      <c r="K18" s="0" t="n">
        <f aca="false">K7+K10+K13</f>
        <v>6230400</v>
      </c>
      <c r="L18" s="0" t="n">
        <f aca="false">L7+L10+L13</f>
        <v>6796800</v>
      </c>
      <c r="M18" s="0" t="n">
        <f aca="false">M7+M10+M13</f>
        <v>7363200</v>
      </c>
      <c r="N18" s="0" t="n">
        <f aca="false">N7+N10+N13</f>
        <v>8127840</v>
      </c>
      <c r="O18" s="0" t="n">
        <f aca="false">O7+O10+O13</f>
        <v>8708400</v>
      </c>
      <c r="P18" s="0" t="n">
        <f aca="false">P7+P10+P13</f>
        <v>15080400</v>
      </c>
      <c r="Q18" s="0" t="n">
        <f aca="false">Q7+Q10+Q13</f>
        <v>15788400</v>
      </c>
      <c r="R18" s="0" t="n">
        <f aca="false">R7+R10+R13</f>
        <v>16714110</v>
      </c>
      <c r="S18" s="0" t="n">
        <f aca="false">S7+S10+S13</f>
        <v>17422110</v>
      </c>
      <c r="T18" s="0" t="n">
        <f aca="false">T7+T10+T13</f>
        <v>18360210</v>
      </c>
      <c r="U18" s="0" t="n">
        <f aca="false">U7+U10+U13</f>
        <v>19085910</v>
      </c>
      <c r="V18" s="0" t="n">
        <f aca="false">V7+V10+V13</f>
        <v>20034762.75</v>
      </c>
      <c r="W18" s="0" t="n">
        <f aca="false">W7+W10+W13</f>
        <v>26636862.75</v>
      </c>
      <c r="X18" s="0" t="n">
        <f aca="false">X7+X10+X13</f>
        <v>27847542.75</v>
      </c>
      <c r="Y18" s="0" t="n">
        <f aca="false">Y7+Y10+Y13</f>
        <v>28767942.75</v>
      </c>
      <c r="Z18" s="0" t="n">
        <f aca="false">Z7+Z10+Z13</f>
        <v>29917074.31875</v>
      </c>
      <c r="AA18" s="0" t="n">
        <f aca="false">AA7+AA10+AA13</f>
        <v>31076424.31875</v>
      </c>
      <c r="AB18" s="0" t="n">
        <f aca="false">AB7+AB10+AB13</f>
        <v>32317371.31875</v>
      </c>
      <c r="AC18" s="0" t="n">
        <f aca="false">AC7+AC10+AC13</f>
        <v>33260781.31875</v>
      </c>
      <c r="AD18" s="0" t="n">
        <f aca="false">AD7+AD10+AD13</f>
        <v>34438641.1767187</v>
      </c>
      <c r="AE18" s="0" t="n">
        <f aca="false">AE7+AE10+AE13</f>
        <v>35721315.9267187</v>
      </c>
      <c r="AF18" s="0" t="n">
        <f aca="false">AF7+AF10+AF13</f>
        <v>36993286.6017187</v>
      </c>
      <c r="AG18" s="0" t="n">
        <f aca="false">AG7+AG10+AG13</f>
        <v>36993286.6017187</v>
      </c>
      <c r="AH18" s="0" t="n">
        <f aca="false">AH7+AH10+AH13</f>
        <v>37233597.7061367</v>
      </c>
      <c r="AI18" s="0" t="n">
        <f aca="false">AI7+AI10+AI13</f>
        <v>37605518.9561367</v>
      </c>
      <c r="AJ18" s="0" t="n">
        <f aca="false">AJ7+AJ10+AJ13</f>
        <v>37918118.7667617</v>
      </c>
      <c r="AK18" s="0" t="n">
        <f aca="false">AK7+AK10+AK13</f>
        <v>37918118.7667617</v>
      </c>
      <c r="AL18" s="0" t="n">
        <f aca="false">AL7+AL10+AL13</f>
        <v>38164437.6487901</v>
      </c>
      <c r="AM18" s="0" t="n">
        <f aca="false">AM7+AM10+AM13</f>
        <v>38545656.9300401</v>
      </c>
      <c r="AN18" s="0" t="n">
        <f aca="false">AN7+AN10+AN13</f>
        <v>38866071.7359307</v>
      </c>
      <c r="AO18" s="0" t="n">
        <f aca="false">AO7+AO10+AO13</f>
        <v>38866071.7359307</v>
      </c>
      <c r="AP18" s="0" t="n">
        <f aca="false">AP7+AP10+AP13</f>
        <v>39118548.5900099</v>
      </c>
    </row>
    <row r="19" customFormat="false" ht="15" hidden="false" customHeight="false" outlineLevel="0" collapsed="false">
      <c r="A19" s="0" t="s">
        <v>55</v>
      </c>
      <c r="B19" s="0" t="n">
        <f aca="false">B16*Inputs!$B$13*Inputs!$B$11*2190*Inputs!$B$12</f>
        <v>0</v>
      </c>
      <c r="C19" s="0" t="n">
        <f aca="false">C16*Inputs!$B$13*Inputs!$B$11*2190*Inputs!$B$12</f>
        <v>0</v>
      </c>
      <c r="D19" s="0" t="n">
        <f aca="false">D16*Inputs!$B$13*Inputs!$B$11*2190*Inputs!$B$12</f>
        <v>0</v>
      </c>
      <c r="E19" s="0" t="n">
        <f aca="false">E16*Inputs!$B$13*Inputs!$B$11*2190*Inputs!$B$12</f>
        <v>0</v>
      </c>
      <c r="F19" s="0" t="n">
        <f aca="false">F16*Inputs!$B$13*Inputs!$B$11*2190*Inputs!$B$12</f>
        <v>0</v>
      </c>
      <c r="G19" s="0" t="n">
        <f aca="false">G16*Inputs!$B$13*Inputs!$B$11*2190*Inputs!$B$12</f>
        <v>0</v>
      </c>
      <c r="H19" s="0" t="n">
        <f aca="false">H16*Inputs!$B$13*Inputs!$B$11*2190*Inputs!$B$12</f>
        <v>0</v>
      </c>
      <c r="I19" s="0" t="n">
        <f aca="false">I16*Inputs!$B$13*Inputs!$B$11*2190*Inputs!$B$12</f>
        <v>0</v>
      </c>
      <c r="J19" s="0" t="n">
        <f aca="false">J16*Inputs!$B$13*Inputs!$B$11*2190*Inputs!$B$12</f>
        <v>2814588</v>
      </c>
      <c r="K19" s="0" t="n">
        <f aca="false">K16*Inputs!$B$13*Inputs!$B$11*2190*Inputs!$B$12</f>
        <v>3096046.8</v>
      </c>
      <c r="L19" s="0" t="n">
        <f aca="false">L16*Inputs!$B$13*Inputs!$B$11*2190*Inputs!$B$12</f>
        <v>3377505.6</v>
      </c>
      <c r="M19" s="0" t="n">
        <f aca="false">M16*Inputs!$B$13*Inputs!$B$11*2190*Inputs!$B$12</f>
        <v>3658964.4</v>
      </c>
      <c r="N19" s="0" t="n">
        <f aca="false">N16*Inputs!$B$13*Inputs!$B$11*2190*Inputs!$B$12</f>
        <v>3940423.2</v>
      </c>
      <c r="O19" s="0" t="n">
        <f aca="false">O16*Inputs!$B$13*Inputs!$B$11*2190*Inputs!$B$12</f>
        <v>4221882</v>
      </c>
      <c r="P19" s="0" t="n">
        <f aca="false">P16*Inputs!$B$13*Inputs!$B$11*2190*Inputs!$B$12</f>
        <v>7388293.5</v>
      </c>
      <c r="Q19" s="0" t="n">
        <f aca="false">Q16*Inputs!$B$13*Inputs!$B$11*2190*Inputs!$B$12</f>
        <v>7740117</v>
      </c>
      <c r="R19" s="0" t="n">
        <f aca="false">R16*Inputs!$B$13*Inputs!$B$11*2190*Inputs!$B$12</f>
        <v>8091940.5</v>
      </c>
      <c r="S19" s="0" t="n">
        <f aca="false">S16*Inputs!$B$13*Inputs!$B$11*2190*Inputs!$B$12</f>
        <v>8443764</v>
      </c>
      <c r="T19" s="0" t="n">
        <f aca="false">T16*Inputs!$B$13*Inputs!$B$11*2190*Inputs!$B$12</f>
        <v>8795587.5</v>
      </c>
      <c r="U19" s="0" t="n">
        <f aca="false">U16*Inputs!$B$13*Inputs!$B$11*2190*Inputs!$B$12</f>
        <v>9147411</v>
      </c>
      <c r="V19" s="0" t="n">
        <f aca="false">V16*Inputs!$B$13*Inputs!$B$11*2190*Inputs!$B$12</f>
        <v>9499234.5</v>
      </c>
      <c r="W19" s="0" t="n">
        <f aca="false">W16*Inputs!$B$13*Inputs!$B$11*2190*Inputs!$B$12</f>
        <v>12771193.05</v>
      </c>
      <c r="X19" s="0" t="n">
        <f aca="false">X16*Inputs!$B$13*Inputs!$B$11*2190*Inputs!$B$12</f>
        <v>13228563.6</v>
      </c>
      <c r="Y19" s="0" t="n">
        <f aca="false">Y16*Inputs!$B$13*Inputs!$B$11*2190*Inputs!$B$12</f>
        <v>13685934.15</v>
      </c>
      <c r="Z19" s="0" t="n">
        <f aca="false">Z16*Inputs!$B$13*Inputs!$B$11*2190*Inputs!$B$12</f>
        <v>14143304.7</v>
      </c>
      <c r="AA19" s="0" t="n">
        <f aca="false">AA16*Inputs!$B$13*Inputs!$B$11*2190*Inputs!$B$12</f>
        <v>14600675.25</v>
      </c>
      <c r="AB19" s="0" t="n">
        <f aca="false">AB16*Inputs!$B$13*Inputs!$B$11*2190*Inputs!$B$12</f>
        <v>15058045.8</v>
      </c>
      <c r="AC19" s="0" t="n">
        <f aca="false">AC16*Inputs!$B$13*Inputs!$B$11*2190*Inputs!$B$12</f>
        <v>15515416.35</v>
      </c>
      <c r="AD19" s="0" t="n">
        <f aca="false">AD16*Inputs!$B$13*Inputs!$B$11*2190*Inputs!$B$12</f>
        <v>15972786.9</v>
      </c>
      <c r="AE19" s="0" t="n">
        <f aca="false">AE16*Inputs!$B$13*Inputs!$B$11*2190*Inputs!$B$12</f>
        <v>16430157.45</v>
      </c>
      <c r="AF19" s="0" t="n">
        <f aca="false">AF16*Inputs!$B$13*Inputs!$B$11*2190*Inputs!$B$12</f>
        <v>16887528</v>
      </c>
      <c r="AG19" s="0" t="n">
        <f aca="false">AG16*Inputs!$B$13*Inputs!$B$11*2190*Inputs!$B$12</f>
        <v>16887528</v>
      </c>
      <c r="AH19" s="0" t="n">
        <f aca="false">AH16*Inputs!$B$13*Inputs!$B$11*2190*Inputs!$B$12</f>
        <v>16887528</v>
      </c>
      <c r="AI19" s="0" t="n">
        <f aca="false">AI16*Inputs!$B$13*Inputs!$B$11*2190*Inputs!$B$12</f>
        <v>16887528</v>
      </c>
      <c r="AJ19" s="0" t="n">
        <f aca="false">AJ16*Inputs!$B$13*Inputs!$B$11*2190*Inputs!$B$12</f>
        <v>16887528</v>
      </c>
      <c r="AK19" s="0" t="n">
        <f aca="false">AK16*Inputs!$B$13*Inputs!$B$11*2190*Inputs!$B$12</f>
        <v>16887528</v>
      </c>
      <c r="AL19" s="0" t="n">
        <f aca="false">AL16*Inputs!$B$13*Inputs!$B$11*2190*Inputs!$B$12</f>
        <v>16887528</v>
      </c>
      <c r="AM19" s="0" t="n">
        <f aca="false">AM16*Inputs!$B$13*Inputs!$B$11*2190*Inputs!$B$12</f>
        <v>16887528</v>
      </c>
      <c r="AN19" s="0" t="n">
        <f aca="false">AN16*Inputs!$B$13*Inputs!$B$11*2190*Inputs!$B$12</f>
        <v>16887528</v>
      </c>
      <c r="AO19" s="0" t="n">
        <f aca="false">AO16*Inputs!$B$13*Inputs!$B$11*2190*Inputs!$B$12</f>
        <v>16887528</v>
      </c>
      <c r="AP19" s="0" t="n">
        <f aca="false">AP16*Inputs!$B$13*Inputs!$B$11*2190*Inputs!$B$12</f>
        <v>16887528</v>
      </c>
    </row>
    <row r="20" customFormat="false" ht="15" hidden="false" customHeight="false" outlineLevel="0" collapsed="false">
      <c r="A20" s="0" t="s">
        <v>56</v>
      </c>
      <c r="B20" s="0" t="n">
        <f aca="false">B19*Inputs!$B$14</f>
        <v>0</v>
      </c>
      <c r="C20" s="0" t="n">
        <f aca="false">C19*Inputs!$B$14</f>
        <v>0</v>
      </c>
      <c r="D20" s="0" t="n">
        <f aca="false">D19*Inputs!$B$14</f>
        <v>0</v>
      </c>
      <c r="E20" s="0" t="n">
        <f aca="false">E19*Inputs!$B$14</f>
        <v>0</v>
      </c>
      <c r="F20" s="0" t="n">
        <f aca="false">F19*Inputs!$B$14</f>
        <v>0</v>
      </c>
      <c r="G20" s="0" t="n">
        <f aca="false">G19*Inputs!$B$14</f>
        <v>0</v>
      </c>
      <c r="H20" s="0" t="n">
        <f aca="false">H19*Inputs!$B$14</f>
        <v>0</v>
      </c>
      <c r="I20" s="0" t="n">
        <f aca="false">I19*Inputs!$B$14</f>
        <v>0</v>
      </c>
      <c r="J20" s="0" t="n">
        <f aca="false">J19*Inputs!$B$14</f>
        <v>2533129.2</v>
      </c>
      <c r="K20" s="0" t="n">
        <f aca="false">K19*Inputs!$B$14</f>
        <v>2786442.12</v>
      </c>
      <c r="L20" s="0" t="n">
        <f aca="false">L19*Inputs!$B$14</f>
        <v>3039755.04</v>
      </c>
      <c r="M20" s="0" t="n">
        <f aca="false">M19*Inputs!$B$14</f>
        <v>3293067.96</v>
      </c>
      <c r="N20" s="0" t="n">
        <f aca="false">N19*Inputs!$B$14</f>
        <v>3546380.88</v>
      </c>
      <c r="O20" s="0" t="n">
        <f aca="false">O19*Inputs!$B$14</f>
        <v>3799693.8</v>
      </c>
      <c r="P20" s="0" t="n">
        <f aca="false">P19*Inputs!$B$14</f>
        <v>6649464.15</v>
      </c>
      <c r="Q20" s="0" t="n">
        <f aca="false">Q19*Inputs!$B$14</f>
        <v>6966105.3</v>
      </c>
      <c r="R20" s="0" t="n">
        <f aca="false">R19*Inputs!$B$14</f>
        <v>7282746.45</v>
      </c>
      <c r="S20" s="0" t="n">
        <f aca="false">S19*Inputs!$B$14</f>
        <v>7599387.6</v>
      </c>
      <c r="T20" s="0" t="n">
        <f aca="false">T19*Inputs!$B$14</f>
        <v>7916028.75</v>
      </c>
      <c r="U20" s="0" t="n">
        <f aca="false">U19*Inputs!$B$14</f>
        <v>8232669.9</v>
      </c>
      <c r="V20" s="0" t="n">
        <f aca="false">V19*Inputs!$B$14</f>
        <v>8549311.05</v>
      </c>
      <c r="W20" s="0" t="n">
        <f aca="false">W19*Inputs!$B$14</f>
        <v>11494073.745</v>
      </c>
      <c r="X20" s="0" t="n">
        <f aca="false">X19*Inputs!$B$14</f>
        <v>11905707.24</v>
      </c>
      <c r="Y20" s="0" t="n">
        <f aca="false">Y19*Inputs!$B$14</f>
        <v>12317340.735</v>
      </c>
      <c r="Z20" s="0" t="n">
        <f aca="false">Z19*Inputs!$B$14</f>
        <v>12728974.23</v>
      </c>
      <c r="AA20" s="0" t="n">
        <f aca="false">AA19*Inputs!$B$14</f>
        <v>13140607.725</v>
      </c>
      <c r="AB20" s="0" t="n">
        <f aca="false">AB19*Inputs!$B$14</f>
        <v>13552241.22</v>
      </c>
      <c r="AC20" s="0" t="n">
        <f aca="false">AC19*Inputs!$B$14</f>
        <v>13963874.715</v>
      </c>
      <c r="AD20" s="0" t="n">
        <f aca="false">AD19*Inputs!$B$14</f>
        <v>14375508.21</v>
      </c>
      <c r="AE20" s="0" t="n">
        <f aca="false">AE19*Inputs!$B$14</f>
        <v>14787141.705</v>
      </c>
      <c r="AF20" s="0" t="n">
        <f aca="false">AF19*Inputs!$B$14</f>
        <v>15198775.2</v>
      </c>
      <c r="AG20" s="0" t="n">
        <f aca="false">AG19*Inputs!$B$14</f>
        <v>15198775.2</v>
      </c>
      <c r="AH20" s="0" t="n">
        <f aca="false">AH19*Inputs!$B$14</f>
        <v>15198775.2</v>
      </c>
      <c r="AI20" s="0" t="n">
        <f aca="false">AI19*Inputs!$B$14</f>
        <v>15198775.2</v>
      </c>
      <c r="AJ20" s="0" t="n">
        <f aca="false">AJ19*Inputs!$B$14</f>
        <v>15198775.2</v>
      </c>
      <c r="AK20" s="0" t="n">
        <f aca="false">AK19*Inputs!$B$14</f>
        <v>15198775.2</v>
      </c>
      <c r="AL20" s="0" t="n">
        <f aca="false">AL19*Inputs!$B$14</f>
        <v>15198775.2</v>
      </c>
      <c r="AM20" s="0" t="n">
        <f aca="false">AM19*Inputs!$B$14</f>
        <v>15198775.2</v>
      </c>
      <c r="AN20" s="0" t="n">
        <f aca="false">AN19*Inputs!$B$14</f>
        <v>15198775.2</v>
      </c>
      <c r="AO20" s="0" t="n">
        <f aca="false">AO19*Inputs!$B$14</f>
        <v>15198775.2</v>
      </c>
      <c r="AP20" s="0" t="n">
        <f aca="false">AP19*Inputs!$B$14</f>
        <v>15198775.2</v>
      </c>
    </row>
    <row r="21" customFormat="false" ht="15" hidden="false" customHeight="false" outlineLevel="0" collapsed="false">
      <c r="A21" s="0" t="s">
        <v>57</v>
      </c>
      <c r="B21" s="0" t="n">
        <f aca="false">B18*Inputs!$B$15</f>
        <v>0</v>
      </c>
      <c r="C21" s="0" t="n">
        <f aca="false">C18*Inputs!$B$15</f>
        <v>0</v>
      </c>
      <c r="D21" s="0" t="n">
        <f aca="false">D18*Inputs!$B$15</f>
        <v>0</v>
      </c>
      <c r="E21" s="0" t="n">
        <f aca="false">E18*Inputs!$B$15</f>
        <v>0</v>
      </c>
      <c r="F21" s="0" t="n">
        <f aca="false">F18*Inputs!$B$15</f>
        <v>0</v>
      </c>
      <c r="G21" s="0" t="n">
        <f aca="false">G18*Inputs!$B$15</f>
        <v>0</v>
      </c>
      <c r="H21" s="0" t="n">
        <f aca="false">H18*Inputs!$B$15</f>
        <v>0</v>
      </c>
      <c r="I21" s="0" t="n">
        <f aca="false">I18*Inputs!$B$15</f>
        <v>0</v>
      </c>
      <c r="J21" s="0" t="n">
        <f aca="false">J18*Inputs!$B$15</f>
        <v>453120</v>
      </c>
      <c r="K21" s="0" t="n">
        <f aca="false">K18*Inputs!$B$15</f>
        <v>498432</v>
      </c>
      <c r="L21" s="0" t="n">
        <f aca="false">L18*Inputs!$B$15</f>
        <v>543744</v>
      </c>
      <c r="M21" s="0" t="n">
        <f aca="false">M18*Inputs!$B$15</f>
        <v>589056</v>
      </c>
      <c r="N21" s="0" t="n">
        <f aca="false">N18*Inputs!$B$15</f>
        <v>650227.2</v>
      </c>
      <c r="O21" s="0" t="n">
        <f aca="false">O18*Inputs!$B$15</f>
        <v>696672</v>
      </c>
      <c r="P21" s="0" t="n">
        <f aca="false">P18*Inputs!$B$15</f>
        <v>1206432</v>
      </c>
      <c r="Q21" s="0" t="n">
        <f aca="false">Q18*Inputs!$B$15</f>
        <v>1263072</v>
      </c>
      <c r="R21" s="0" t="n">
        <f aca="false">R18*Inputs!$B$15</f>
        <v>1337128.8</v>
      </c>
      <c r="S21" s="0" t="n">
        <f aca="false">S18*Inputs!$B$15</f>
        <v>1393768.8</v>
      </c>
      <c r="T21" s="0" t="n">
        <f aca="false">T18*Inputs!$B$15</f>
        <v>1468816.8</v>
      </c>
      <c r="U21" s="0" t="n">
        <f aca="false">U18*Inputs!$B$15</f>
        <v>1526872.8</v>
      </c>
      <c r="V21" s="0" t="n">
        <f aca="false">V18*Inputs!$B$15</f>
        <v>1602781.02</v>
      </c>
      <c r="W21" s="0" t="n">
        <f aca="false">W18*Inputs!$B$15</f>
        <v>2130949.02</v>
      </c>
      <c r="X21" s="0" t="n">
        <f aca="false">X18*Inputs!$B$15</f>
        <v>2227803.42</v>
      </c>
      <c r="Y21" s="0" t="n">
        <f aca="false">Y18*Inputs!$B$15</f>
        <v>2301435.42</v>
      </c>
      <c r="Z21" s="0" t="n">
        <f aca="false">Z18*Inputs!$B$15</f>
        <v>2393365.9455</v>
      </c>
      <c r="AA21" s="0" t="n">
        <f aca="false">AA18*Inputs!$B$15</f>
        <v>2486113.9455</v>
      </c>
      <c r="AB21" s="0" t="n">
        <f aca="false">AB18*Inputs!$B$15</f>
        <v>2585389.7055</v>
      </c>
      <c r="AC21" s="0" t="n">
        <f aca="false">AC18*Inputs!$B$15</f>
        <v>2660862.5055</v>
      </c>
      <c r="AD21" s="0" t="n">
        <f aca="false">AD18*Inputs!$B$15</f>
        <v>2755091.2941375</v>
      </c>
      <c r="AE21" s="0" t="n">
        <f aca="false">AE18*Inputs!$B$15</f>
        <v>2857705.2741375</v>
      </c>
      <c r="AF21" s="0" t="n">
        <f aca="false">AF18*Inputs!$B$15</f>
        <v>2959462.9281375</v>
      </c>
      <c r="AG21" s="0" t="n">
        <f aca="false">AG18*Inputs!$B$15</f>
        <v>2959462.9281375</v>
      </c>
      <c r="AH21" s="0" t="n">
        <f aca="false">AH18*Inputs!$B$15</f>
        <v>2978687.81649094</v>
      </c>
      <c r="AI21" s="0" t="n">
        <f aca="false">AI18*Inputs!$B$15</f>
        <v>3008441.51649094</v>
      </c>
      <c r="AJ21" s="0" t="n">
        <f aca="false">AJ18*Inputs!$B$15</f>
        <v>3033449.50134094</v>
      </c>
      <c r="AK21" s="0" t="n">
        <f aca="false">AK18*Inputs!$B$15</f>
        <v>3033449.50134094</v>
      </c>
      <c r="AL21" s="0" t="n">
        <f aca="false">AL18*Inputs!$B$15</f>
        <v>3053155.01190321</v>
      </c>
      <c r="AM21" s="0" t="n">
        <f aca="false">AM18*Inputs!$B$15</f>
        <v>3083652.55440321</v>
      </c>
      <c r="AN21" s="0" t="n">
        <f aca="false">AN18*Inputs!$B$15</f>
        <v>3109285.73887446</v>
      </c>
      <c r="AO21" s="0" t="n">
        <f aca="false">AO18*Inputs!$B$15</f>
        <v>3109285.73887446</v>
      </c>
      <c r="AP21" s="0" t="n">
        <f aca="false">AP18*Inputs!$B$15</f>
        <v>3129483.88720079</v>
      </c>
    </row>
    <row r="22" customFormat="false" ht="15" hidden="false" customHeight="false" outlineLevel="0" collapsed="false">
      <c r="A22" s="0" t="s">
        <v>58</v>
      </c>
      <c r="B22" s="0" t="n">
        <f aca="false">B18+B20-B19-B21</f>
        <v>0</v>
      </c>
      <c r="C22" s="0" t="n">
        <f aca="false">C18+C20-C19-C21</f>
        <v>0</v>
      </c>
      <c r="D22" s="0" t="n">
        <f aca="false">D18+D20-D19-D21</f>
        <v>0</v>
      </c>
      <c r="E22" s="0" t="n">
        <f aca="false">E18+E20-E19-E21</f>
        <v>0</v>
      </c>
      <c r="F22" s="0" t="n">
        <f aca="false">F18+F20-F19-F21</f>
        <v>0</v>
      </c>
      <c r="G22" s="0" t="n">
        <f aca="false">G18+G20-G19-G21</f>
        <v>0</v>
      </c>
      <c r="H22" s="0" t="n">
        <f aca="false">H18+H20-H19-H21</f>
        <v>0</v>
      </c>
      <c r="I22" s="0" t="n">
        <f aca="false">I18+I20-I19-I21</f>
        <v>0</v>
      </c>
      <c r="J22" s="0" t="n">
        <f aca="false">J18+J20-J19-J21</f>
        <v>4929421.2</v>
      </c>
      <c r="K22" s="0" t="n">
        <f aca="false">K18+K20-K19-K21</f>
        <v>5422363.32</v>
      </c>
      <c r="L22" s="0" t="n">
        <f aca="false">L18+L20-L19-L21</f>
        <v>5915305.44</v>
      </c>
      <c r="M22" s="0" t="n">
        <f aca="false">M18+M20-M19-M21</f>
        <v>6408247.56</v>
      </c>
      <c r="N22" s="0" t="n">
        <f aca="false">N18+N20-N19-N21</f>
        <v>7083570.48</v>
      </c>
      <c r="O22" s="0" t="n">
        <f aca="false">O18+O20-O19-O21</f>
        <v>7589539.8</v>
      </c>
      <c r="P22" s="0" t="n">
        <f aca="false">P18+P20-P19-P21</f>
        <v>13135138.65</v>
      </c>
      <c r="Q22" s="0" t="n">
        <f aca="false">Q18+Q20-Q19-Q21</f>
        <v>13751316.3</v>
      </c>
      <c r="R22" s="0" t="n">
        <f aca="false">R18+R20-R19-R21</f>
        <v>14567787.15</v>
      </c>
      <c r="S22" s="0" t="n">
        <f aca="false">S18+S20-S19-S21</f>
        <v>15183964.8</v>
      </c>
      <c r="T22" s="0" t="n">
        <f aca="false">T18+T20-T19-T21</f>
        <v>16011834.45</v>
      </c>
      <c r="U22" s="0" t="n">
        <f aca="false">U18+U20-U19-U21</f>
        <v>16644296.1</v>
      </c>
      <c r="V22" s="0" t="n">
        <f aca="false">V18+V20-V19-V21</f>
        <v>17482058.28</v>
      </c>
      <c r="W22" s="0" t="n">
        <f aca="false">W18+W20-W19-W21</f>
        <v>23228794.425</v>
      </c>
      <c r="X22" s="0" t="n">
        <f aca="false">X18+X20-X19-X21</f>
        <v>24296882.97</v>
      </c>
      <c r="Y22" s="0" t="n">
        <f aca="false">Y18+Y20-Y19-Y21</f>
        <v>25097913.915</v>
      </c>
      <c r="Z22" s="0" t="n">
        <f aca="false">Z18+Z20-Z19-Z21</f>
        <v>26109377.90325</v>
      </c>
      <c r="AA22" s="0" t="n">
        <f aca="false">AA18+AA20-AA19-AA21</f>
        <v>27130242.84825</v>
      </c>
      <c r="AB22" s="0" t="n">
        <f aca="false">AB18+AB20-AB19-AB21</f>
        <v>28226177.03325</v>
      </c>
      <c r="AC22" s="0" t="n">
        <f aca="false">AC18+AC20-AC19-AC21</f>
        <v>29048377.17825</v>
      </c>
      <c r="AD22" s="0" t="n">
        <f aca="false">AD18+AD20-AD19-AD21</f>
        <v>30086271.1925812</v>
      </c>
      <c r="AE22" s="0" t="n">
        <f aca="false">AE18+AE20-AE19-AE21</f>
        <v>31220594.9075812</v>
      </c>
      <c r="AF22" s="0" t="n">
        <f aca="false">AF18+AF20-AF19-AF21</f>
        <v>32345070.8735812</v>
      </c>
      <c r="AG22" s="0" t="n">
        <f aca="false">AG18+AG20-AG19-AG21</f>
        <v>32345070.8735812</v>
      </c>
      <c r="AH22" s="0" t="n">
        <f aca="false">AH18+AH20-AH19-AH21</f>
        <v>32566157.0896458</v>
      </c>
      <c r="AI22" s="0" t="n">
        <f aca="false">AI18+AI20-AI19-AI21</f>
        <v>32908324.6396458</v>
      </c>
      <c r="AJ22" s="0" t="n">
        <f aca="false">AJ18+AJ20-AJ19-AJ21</f>
        <v>33195916.4654208</v>
      </c>
      <c r="AK22" s="0" t="n">
        <f aca="false">AK18+AK20-AK19-AK21</f>
        <v>33195916.4654208</v>
      </c>
      <c r="AL22" s="0" t="n">
        <f aca="false">AL18+AL20-AL19-AL21</f>
        <v>33422529.8368869</v>
      </c>
      <c r="AM22" s="0" t="n">
        <f aca="false">AM18+AM20-AM19-AM21</f>
        <v>33773251.5756369</v>
      </c>
      <c r="AN22" s="0" t="n">
        <f aca="false">AN18+AN20-AN19-AN21</f>
        <v>34068033.1970563</v>
      </c>
      <c r="AO22" s="0" t="n">
        <f aca="false">AO18+AO20-AO19-AO21</f>
        <v>34068033.1970563</v>
      </c>
      <c r="AP22" s="0" t="n">
        <f aca="false">AP18+AP20-AP19-AP21</f>
        <v>34300311.9028091</v>
      </c>
    </row>
    <row r="23" customFormat="false" ht="15" hidden="false" customHeight="false" outlineLevel="0" collapsed="false">
      <c r="A23" s="0" t="s">
        <v>59</v>
      </c>
      <c r="B23" s="0" t="n">
        <f aca="false">0</f>
        <v>0</v>
      </c>
      <c r="C23" s="0" t="n">
        <f aca="false">IF(B23=1,1,IF(AND(C15&gt;0,C17&gt;=Inputs!$B$18),1,0))</f>
        <v>0</v>
      </c>
      <c r="D23" s="0" t="n">
        <f aca="false">IF(C23=1,1,IF(AND(D15&gt;0,D17&gt;=Inputs!$B$18),1,0))</f>
        <v>0</v>
      </c>
      <c r="E23" s="0" t="n">
        <f aca="false">IF(D23=1,1,IF(AND(E15&gt;0,E17&gt;=Inputs!$B$18),1,0))</f>
        <v>0</v>
      </c>
      <c r="F23" s="0" t="n">
        <f aca="false">IF(E23=1,1,IF(AND(F15&gt;0,F17&gt;=Inputs!$B$18),1,0))</f>
        <v>0</v>
      </c>
      <c r="G23" s="0" t="n">
        <f aca="false">IF(F23=1,1,IF(AND(G15&gt;0,G17&gt;=Inputs!$B$18),1,0))</f>
        <v>0</v>
      </c>
      <c r="H23" s="0" t="n">
        <f aca="false">IF(G23=1,1,IF(AND(H15&gt;0,H17&gt;=Inputs!$B$18),1,0))</f>
        <v>0</v>
      </c>
      <c r="I23" s="0" t="n">
        <f aca="false">IF(H23=1,1,IF(AND(I15&gt;0,I17&gt;=Inputs!$B$18),1,0))</f>
        <v>0</v>
      </c>
      <c r="J23" s="0" t="n">
        <f aca="false">IF(I23=1,1,IF(AND(J15&gt;0,J17&gt;=Inputs!$B$18),1,0))</f>
        <v>0</v>
      </c>
      <c r="K23" s="0" t="n">
        <f aca="false">IF(J23=1,1,IF(AND(K15&gt;0,K17&gt;=Inputs!$B$18),1,0))</f>
        <v>0</v>
      </c>
      <c r="L23" s="0" t="n">
        <f aca="false">IF(K23=1,1,IF(AND(L15&gt;0,L17&gt;=Inputs!$B$18),1,0))</f>
        <v>0</v>
      </c>
      <c r="M23" s="0" t="n">
        <f aca="false">IF(L23=1,1,IF(AND(M15&gt;0,M17&gt;=Inputs!$B$18),1,0))</f>
        <v>1</v>
      </c>
      <c r="N23" s="0" t="n">
        <f aca="false">IF(M23=1,1,IF(AND(N15&gt;0,N17&gt;=Inputs!$B$18),1,0))</f>
        <v>1</v>
      </c>
      <c r="O23" s="0" t="n">
        <f aca="false">IF(N23=1,1,IF(AND(O15&gt;0,O17&gt;=Inputs!$B$18),1,0))</f>
        <v>1</v>
      </c>
      <c r="P23" s="0" t="n">
        <f aca="false">IF(O23=1,1,IF(AND(P15&gt;0,P17&gt;=Inputs!$B$18),1,0))</f>
        <v>1</v>
      </c>
      <c r="Q23" s="0" t="n">
        <f aca="false">IF(P23=1,1,IF(AND(Q15&gt;0,Q17&gt;=Inputs!$B$18),1,0))</f>
        <v>1</v>
      </c>
      <c r="R23" s="0" t="n">
        <f aca="false">IF(Q23=1,1,IF(AND(R15&gt;0,R17&gt;=Inputs!$B$18),1,0))</f>
        <v>1</v>
      </c>
      <c r="S23" s="0" t="n">
        <f aca="false">IF(R23=1,1,IF(AND(S15&gt;0,S17&gt;=Inputs!$B$18),1,0))</f>
        <v>1</v>
      </c>
      <c r="T23" s="0" t="n">
        <f aca="false">IF(S23=1,1,IF(AND(T15&gt;0,T17&gt;=Inputs!$B$18),1,0))</f>
        <v>1</v>
      </c>
      <c r="U23" s="0" t="n">
        <f aca="false">IF(T23=1,1,IF(AND(U15&gt;0,U17&gt;=Inputs!$B$18),1,0))</f>
        <v>1</v>
      </c>
      <c r="V23" s="0" t="n">
        <f aca="false">IF(U23=1,1,IF(AND(V15&gt;0,V17&gt;=Inputs!$B$18),1,0))</f>
        <v>1</v>
      </c>
      <c r="W23" s="0" t="n">
        <f aca="false">IF(V23=1,1,IF(AND(W15&gt;0,W17&gt;=Inputs!$B$18),1,0))</f>
        <v>1</v>
      </c>
      <c r="X23" s="0" t="n">
        <f aca="false">IF(W23=1,1,IF(AND(X15&gt;0,X17&gt;=Inputs!$B$18),1,0))</f>
        <v>1</v>
      </c>
      <c r="Y23" s="0" t="n">
        <f aca="false">IF(X23=1,1,IF(AND(Y15&gt;0,Y17&gt;=Inputs!$B$18),1,0))</f>
        <v>1</v>
      </c>
      <c r="Z23" s="0" t="n">
        <f aca="false">IF(Y23=1,1,IF(AND(Z15&gt;0,Z17&gt;=Inputs!$B$18),1,0))</f>
        <v>1</v>
      </c>
      <c r="AA23" s="0" t="n">
        <f aca="false">IF(Z23=1,1,IF(AND(AA15&gt;0,AA17&gt;=Inputs!$B$18),1,0))</f>
        <v>1</v>
      </c>
      <c r="AB23" s="0" t="n">
        <f aca="false">IF(AA23=1,1,IF(AND(AB15&gt;0,AB17&gt;=Inputs!$B$18),1,0))</f>
        <v>1</v>
      </c>
      <c r="AC23" s="0" t="n">
        <f aca="false">IF(AB23=1,1,IF(AND(AC15&gt;0,AC17&gt;=Inputs!$B$18),1,0))</f>
        <v>1</v>
      </c>
      <c r="AD23" s="0" t="n">
        <f aca="false">IF(AC23=1,1,IF(AND(AD15&gt;0,AD17&gt;=Inputs!$B$18),1,0))</f>
        <v>1</v>
      </c>
      <c r="AE23" s="0" t="n">
        <f aca="false">IF(AD23=1,1,IF(AND(AE15&gt;0,AE17&gt;=Inputs!$B$18),1,0))</f>
        <v>1</v>
      </c>
      <c r="AF23" s="0" t="n">
        <f aca="false">IF(AE23=1,1,IF(AND(AF15&gt;0,AF17&gt;=Inputs!$B$18),1,0))</f>
        <v>1</v>
      </c>
      <c r="AG23" s="0" t="n">
        <f aca="false">IF(AF23=1,1,IF(AND(AG15&gt;0,AG17&gt;=Inputs!$B$18),1,0))</f>
        <v>1</v>
      </c>
      <c r="AH23" s="0" t="n">
        <f aca="false">IF(AG23=1,1,IF(AND(AH15&gt;0,AH17&gt;=Inputs!$B$18),1,0))</f>
        <v>1</v>
      </c>
      <c r="AI23" s="0" t="n">
        <f aca="false">IF(AH23=1,1,IF(AND(AI15&gt;0,AI17&gt;=Inputs!$B$18),1,0))</f>
        <v>1</v>
      </c>
      <c r="AJ23" s="0" t="n">
        <f aca="false">IF(AI23=1,1,IF(AND(AJ15&gt;0,AJ17&gt;=Inputs!$B$18),1,0))</f>
        <v>1</v>
      </c>
      <c r="AK23" s="0" t="n">
        <f aca="false">IF(AJ23=1,1,IF(AND(AK15&gt;0,AK17&gt;=Inputs!$B$18),1,0))</f>
        <v>1</v>
      </c>
      <c r="AL23" s="0" t="n">
        <f aca="false">IF(AK23=1,1,IF(AND(AL15&gt;0,AL17&gt;=Inputs!$B$18),1,0))</f>
        <v>1</v>
      </c>
      <c r="AM23" s="0" t="n">
        <f aca="false">IF(AL23=1,1,IF(AND(AM15&gt;0,AM17&gt;=Inputs!$B$18),1,0))</f>
        <v>1</v>
      </c>
      <c r="AN23" s="0" t="n">
        <f aca="false">IF(AM23=1,1,IF(AND(AN15&gt;0,AN17&gt;=Inputs!$B$18),1,0))</f>
        <v>1</v>
      </c>
      <c r="AO23" s="0" t="n">
        <f aca="false">IF(AN23=1,1,IF(AND(AO15&gt;0,AO17&gt;=Inputs!$B$18),1,0))</f>
        <v>1</v>
      </c>
      <c r="AP23" s="0" t="n">
        <f aca="false">IF(AO23=1,1,IF(AND(AP15&gt;0,AP17&gt;=Inputs!$B$18),1,0))</f>
        <v>1</v>
      </c>
    </row>
    <row r="24" customFormat="false" ht="15" hidden="false" customHeight="false" outlineLevel="0" collapsed="false">
      <c r="A24" s="0" t="s">
        <v>60</v>
      </c>
      <c r="B24" s="0" t="n">
        <f aca="false">0</f>
        <v>0</v>
      </c>
      <c r="C24" s="0" t="n">
        <f aca="false">B31</f>
        <v>0</v>
      </c>
      <c r="D24" s="0" t="n">
        <f aca="false">C31</f>
        <v>25628571.4285714</v>
      </c>
      <c r="E24" s="0" t="n">
        <f aca="false">D31</f>
        <v>51801750</v>
      </c>
      <c r="F24" s="0" t="n">
        <f aca="false">E31</f>
        <v>78531108.6160714</v>
      </c>
      <c r="G24" s="0" t="n">
        <f aca="false">F31</f>
        <v>105828466.102734</v>
      </c>
      <c r="H24" s="0" t="n">
        <f aca="false">G31</f>
        <v>133705892.435989</v>
      </c>
      <c r="I24" s="0" t="n">
        <f aca="false">H31</f>
        <v>192972714.078825</v>
      </c>
      <c r="J24" s="0" t="n">
        <f aca="false">I31</f>
        <v>253498955.681572</v>
      </c>
      <c r="K24" s="0" t="n">
        <f aca="false">J31</f>
        <v>289682808.489805</v>
      </c>
      <c r="L24" s="0" t="n">
        <f aca="false">K31</f>
        <v>326635568.170213</v>
      </c>
      <c r="M24" s="0" t="n">
        <f aca="false">L31</f>
        <v>364373573.99383</v>
      </c>
      <c r="N24" s="0" t="n">
        <f aca="false">M31</f>
        <v>393348706.123861</v>
      </c>
      <c r="O24" s="0" t="n">
        <f aca="false">N31</f>
        <v>422178962.593242</v>
      </c>
      <c r="P24" s="0" t="n">
        <f aca="false">O31</f>
        <v>491705739.405276</v>
      </c>
      <c r="Q24" s="0" t="n">
        <f aca="false">P31</f>
        <v>530087882.333249</v>
      </c>
      <c r="R24" s="0" t="n">
        <f aca="false">Q31</f>
        <v>568278114.546583</v>
      </c>
      <c r="S24" s="0" t="n">
        <f aca="false">R31</f>
        <v>606277395.59885</v>
      </c>
      <c r="T24" s="0" t="n">
        <f aca="false">S31</f>
        <v>644086680.245856</v>
      </c>
      <c r="U24" s="0" t="n">
        <f aca="false">T31</f>
        <v>681706918.469627</v>
      </c>
      <c r="V24" s="0" t="n">
        <f aca="false">U31</f>
        <v>719139055.502279</v>
      </c>
      <c r="W24" s="0" t="n">
        <f aca="false">V31</f>
        <v>756384031.849767</v>
      </c>
      <c r="X24" s="0" t="n">
        <f aca="false">W31</f>
        <v>751908008.937849</v>
      </c>
      <c r="Y24" s="0" t="n">
        <f aca="false">X31</f>
        <v>746855699.2872</v>
      </c>
      <c r="Z24" s="0" t="n">
        <f aca="false">Y31</f>
        <v>741355192.991723</v>
      </c>
      <c r="AA24" s="0" t="n">
        <f aca="false">Z31</f>
        <v>735297043.673958</v>
      </c>
      <c r="AB24" s="0" t="n">
        <f aca="false">AA31</f>
        <v>728671288.099506</v>
      </c>
      <c r="AC24" s="0" t="n">
        <f aca="false">AB31</f>
        <v>721435034.86432</v>
      </c>
      <c r="AD24" s="0" t="n">
        <f aca="false">AC31</f>
        <v>713719389.416727</v>
      </c>
      <c r="AE24" s="0" t="n">
        <f aca="false">AD31</f>
        <v>705411980.558056</v>
      </c>
      <c r="AF24" s="0" t="n">
        <f aca="false">AE31</f>
        <v>696459008.670782</v>
      </c>
      <c r="AG24" s="0" t="n">
        <f aca="false">AF31</f>
        <v>686859305.128322</v>
      </c>
      <c r="AH24" s="0" t="n">
        <f aca="false">AG31</f>
        <v>677169004.38368</v>
      </c>
      <c r="AI24" s="0" t="n">
        <f aca="false">AH31</f>
        <v>667276708.317728</v>
      </c>
      <c r="AJ24" s="0" t="n">
        <f aca="false">AI31</f>
        <v>657119969.932654</v>
      </c>
      <c r="AK24" s="0" t="n">
        <f aca="false">AJ31</f>
        <v>646723581.416183</v>
      </c>
      <c r="AL24" s="0" t="n">
        <f aca="false">AK31</f>
        <v>636229076.983088</v>
      </c>
      <c r="AM24" s="0" t="n">
        <f aca="false">AL31</f>
        <v>0</v>
      </c>
      <c r="AN24" s="0" t="n">
        <f aca="false">AM31</f>
        <v>0</v>
      </c>
      <c r="AO24" s="0" t="n">
        <f aca="false">AN31</f>
        <v>0</v>
      </c>
      <c r="AP24" s="0" t="n">
        <f aca="false">AO31</f>
        <v>0</v>
      </c>
    </row>
    <row r="25" customFormat="false" ht="15" hidden="false" customHeight="false" outlineLevel="0" collapsed="false">
      <c r="A25" s="0" t="s">
        <v>61</v>
      </c>
      <c r="B25" s="0" t="n">
        <f aca="false">B14*Inputs!$B$16</f>
        <v>0</v>
      </c>
      <c r="C25" s="0" t="n">
        <f aca="false">C14*Inputs!$B$16</f>
        <v>25628571.4285714</v>
      </c>
      <c r="D25" s="0" t="n">
        <f aca="false">D14*Inputs!$B$16</f>
        <v>25628571.4285714</v>
      </c>
      <c r="E25" s="0" t="n">
        <f aca="false">E14*Inputs!$B$16</f>
        <v>25628571.4285714</v>
      </c>
      <c r="F25" s="0" t="n">
        <f aca="false">F14*Inputs!$B$16</f>
        <v>25628571.4285714</v>
      </c>
      <c r="G25" s="0" t="n">
        <f aca="false">G14*Inputs!$B$16</f>
        <v>25628571.4285714</v>
      </c>
      <c r="H25" s="0" t="n">
        <f aca="false">H14*Inputs!$B$16</f>
        <v>56425571.4285714</v>
      </c>
      <c r="I25" s="0" t="n">
        <f aca="false">I14*Inputs!$B$16</f>
        <v>56425571.4285714</v>
      </c>
      <c r="J25" s="0" t="n">
        <f aca="false">J14*Inputs!$B$16</f>
        <v>30797000</v>
      </c>
      <c r="K25" s="0" t="n">
        <f aca="false">K14*Inputs!$B$16</f>
        <v>30797000</v>
      </c>
      <c r="L25" s="0" t="n">
        <f aca="false">L14*Inputs!$B$16</f>
        <v>30797000</v>
      </c>
      <c r="M25" s="0" t="n">
        <f aca="false">M14*Inputs!$B$16</f>
        <v>30797000</v>
      </c>
      <c r="N25" s="0" t="n">
        <f aca="false">N14*Inputs!$B$16</f>
        <v>30797000</v>
      </c>
      <c r="O25" s="0" t="n">
        <f aca="false">O14*Inputs!$B$16</f>
        <v>71637671.625</v>
      </c>
      <c r="P25" s="0" t="n">
        <f aca="false">P14*Inputs!$B$16</f>
        <v>40840671.625</v>
      </c>
      <c r="Q25" s="0" t="n">
        <f aca="false">Q14*Inputs!$B$16</f>
        <v>40840671.625</v>
      </c>
      <c r="R25" s="0" t="n">
        <f aca="false">R14*Inputs!$B$16</f>
        <v>40840671.625</v>
      </c>
      <c r="S25" s="0" t="n">
        <f aca="false">S14*Inputs!$B$16</f>
        <v>40840671.625</v>
      </c>
      <c r="T25" s="0" t="n">
        <f aca="false">T14*Inputs!$B$16</f>
        <v>40840671.625</v>
      </c>
      <c r="U25" s="0" t="n">
        <f aca="false">U14*Inputs!$B$16</f>
        <v>40840671.625</v>
      </c>
      <c r="V25" s="0" t="n">
        <f aca="false">V14*Inputs!$B$16</f>
        <v>40840671.625</v>
      </c>
      <c r="W25" s="0" t="n">
        <f aca="false">W14*Inputs!$B$16</f>
        <v>0</v>
      </c>
      <c r="X25" s="0" t="n">
        <f aca="false">X14*Inputs!$B$16</f>
        <v>0</v>
      </c>
      <c r="Y25" s="0" t="n">
        <f aca="false">Y14*Inputs!$B$16</f>
        <v>0</v>
      </c>
      <c r="Z25" s="0" t="n">
        <f aca="false">Z14*Inputs!$B$16</f>
        <v>0</v>
      </c>
      <c r="AA25" s="0" t="n">
        <f aca="false">AA14*Inputs!$B$16</f>
        <v>0</v>
      </c>
      <c r="AB25" s="0" t="n">
        <f aca="false">AB14*Inputs!$B$16</f>
        <v>0</v>
      </c>
      <c r="AC25" s="0" t="n">
        <f aca="false">AC14*Inputs!$B$16</f>
        <v>0</v>
      </c>
      <c r="AD25" s="0" t="n">
        <f aca="false">AD14*Inputs!$B$16</f>
        <v>0</v>
      </c>
      <c r="AE25" s="0" t="n">
        <f aca="false">AE14*Inputs!$B$16</f>
        <v>0</v>
      </c>
      <c r="AF25" s="0" t="n">
        <f aca="false">AF14*Inputs!$B$16</f>
        <v>0</v>
      </c>
      <c r="AG25" s="0" t="n">
        <f aca="false">AG14*Inputs!$B$16</f>
        <v>0</v>
      </c>
      <c r="AH25" s="0" t="n">
        <f aca="false">AH14*Inputs!$B$16</f>
        <v>0</v>
      </c>
      <c r="AI25" s="0" t="n">
        <f aca="false">AI14*Inputs!$B$16</f>
        <v>0</v>
      </c>
      <c r="AJ25" s="0" t="n">
        <f aca="false">AJ14*Inputs!$B$16</f>
        <v>0</v>
      </c>
      <c r="AK25" s="0" t="n">
        <f aca="false">AK14*Inputs!$B$16</f>
        <v>0</v>
      </c>
      <c r="AL25" s="0" t="n">
        <f aca="false">AL14*Inputs!$B$16</f>
        <v>0</v>
      </c>
      <c r="AM25" s="0" t="n">
        <f aca="false">AM14*Inputs!$B$16</f>
        <v>0</v>
      </c>
      <c r="AN25" s="0" t="n">
        <f aca="false">AN14*Inputs!$B$16</f>
        <v>0</v>
      </c>
      <c r="AO25" s="0" t="n">
        <f aca="false">AO14*Inputs!$B$16</f>
        <v>0</v>
      </c>
      <c r="AP25" s="0" t="n">
        <f aca="false">AP14*Inputs!$B$16</f>
        <v>0</v>
      </c>
    </row>
    <row r="26" customFormat="false" ht="15" hidden="false" customHeight="false" outlineLevel="0" collapsed="false">
      <c r="A26" s="0" t="s">
        <v>62</v>
      </c>
      <c r="B26" s="0" t="n">
        <f aca="false">IF(B23=0,B24*Inputs!$B$17/4,0)</f>
        <v>0</v>
      </c>
      <c r="C26" s="0" t="n">
        <f aca="false">IF(C23=0,C24*Inputs!$B$17/4,0)</f>
        <v>0</v>
      </c>
      <c r="D26" s="0" t="n">
        <f aca="false">IF(D23=0,D24*Inputs!$B$17/4,0)</f>
        <v>544607.142857143</v>
      </c>
      <c r="E26" s="0" t="n">
        <f aca="false">IF(E23=0,E24*Inputs!$B$17/4,0)</f>
        <v>1100787.1875</v>
      </c>
      <c r="F26" s="0" t="n">
        <f aca="false">IF(F23=0,F24*Inputs!$B$17/4,0)</f>
        <v>1668786.05809152</v>
      </c>
      <c r="G26" s="0" t="n">
        <f aca="false">IF(G23=0,G24*Inputs!$B$17/4,0)</f>
        <v>2248854.90468311</v>
      </c>
      <c r="H26" s="0" t="n">
        <f aca="false">IF(H23=0,H24*Inputs!$B$17/4,0)</f>
        <v>2841250.21426477</v>
      </c>
      <c r="I26" s="0" t="n">
        <f aca="false">IF(I23=0,I24*Inputs!$B$17/4,0)</f>
        <v>4100670.17417503</v>
      </c>
      <c r="J26" s="0" t="n">
        <f aca="false">IF(J23=0,J24*Inputs!$B$17/4,0)</f>
        <v>5386852.8082334</v>
      </c>
      <c r="K26" s="0" t="n">
        <f aca="false">IF(K23=0,K24*Inputs!$B$17/4,0)</f>
        <v>6155759.68040836</v>
      </c>
      <c r="L26" s="0" t="n">
        <f aca="false">IF(L23=0,L24*Inputs!$B$17/4,0)</f>
        <v>6941005.82361703</v>
      </c>
      <c r="M26" s="0" t="n">
        <f aca="false">IF(M23=0,M24*Inputs!$B$17/4,0)</f>
        <v>0</v>
      </c>
      <c r="N26" s="0" t="n">
        <f aca="false">IF(N23=0,N24*Inputs!$B$17/4,0)</f>
        <v>0</v>
      </c>
      <c r="O26" s="0" t="n">
        <f aca="false">IF(O23=0,O24*Inputs!$B$17/4,0)</f>
        <v>0</v>
      </c>
      <c r="P26" s="0" t="n">
        <f aca="false">IF(P23=0,P24*Inputs!$B$17/4,0)</f>
        <v>0</v>
      </c>
      <c r="Q26" s="0" t="n">
        <f aca="false">IF(Q23=0,Q24*Inputs!$B$17/4,0)</f>
        <v>0</v>
      </c>
      <c r="R26" s="0" t="n">
        <f aca="false">IF(R23=0,R24*Inputs!$B$17/4,0)</f>
        <v>0</v>
      </c>
      <c r="S26" s="0" t="n">
        <f aca="false">IF(S23=0,S24*Inputs!$B$17/4,0)</f>
        <v>0</v>
      </c>
      <c r="T26" s="0" t="n">
        <f aca="false">IF(T23=0,T24*Inputs!$B$17/4,0)</f>
        <v>0</v>
      </c>
      <c r="U26" s="0" t="n">
        <f aca="false">IF(U23=0,U24*Inputs!$B$17/4,0)</f>
        <v>0</v>
      </c>
      <c r="V26" s="0" t="n">
        <f aca="false">IF(V23=0,V24*Inputs!$B$17/4,0)</f>
        <v>0</v>
      </c>
      <c r="W26" s="0" t="n">
        <f aca="false">IF(W23=0,W24*Inputs!$B$17/4,0)</f>
        <v>0</v>
      </c>
      <c r="X26" s="0" t="n">
        <f aca="false">IF(X23=0,X24*Inputs!$B$17/4,0)</f>
        <v>0</v>
      </c>
      <c r="Y26" s="0" t="n">
        <f aca="false">IF(Y23=0,Y24*Inputs!$B$17/4,0)</f>
        <v>0</v>
      </c>
      <c r="Z26" s="0" t="n">
        <f aca="false">IF(Z23=0,Z24*Inputs!$B$17/4,0)</f>
        <v>0</v>
      </c>
      <c r="AA26" s="0" t="n">
        <f aca="false">IF(AA23=0,AA24*Inputs!$B$17/4,0)</f>
        <v>0</v>
      </c>
      <c r="AB26" s="0" t="n">
        <f aca="false">IF(AB23=0,AB24*Inputs!$B$17/4,0)</f>
        <v>0</v>
      </c>
      <c r="AC26" s="0" t="n">
        <f aca="false">IF(AC23=0,AC24*Inputs!$B$17/4,0)</f>
        <v>0</v>
      </c>
      <c r="AD26" s="0" t="n">
        <f aca="false">IF(AD23=0,AD24*Inputs!$B$17/4,0)</f>
        <v>0</v>
      </c>
      <c r="AE26" s="0" t="n">
        <f aca="false">IF(AE23=0,AE24*Inputs!$B$17/4,0)</f>
        <v>0</v>
      </c>
      <c r="AF26" s="0" t="n">
        <f aca="false">IF(AF23=0,AF24*Inputs!$B$17/4,0)</f>
        <v>0</v>
      </c>
      <c r="AG26" s="0" t="n">
        <f aca="false">IF(AG23=0,AG24*Inputs!$B$17/4,0)</f>
        <v>0</v>
      </c>
      <c r="AH26" s="0" t="n">
        <f aca="false">IF(AH23=0,AH24*Inputs!$B$17/4,0)</f>
        <v>0</v>
      </c>
      <c r="AI26" s="0" t="n">
        <f aca="false">IF(AI23=0,AI24*Inputs!$B$17/4,0)</f>
        <v>0</v>
      </c>
      <c r="AJ26" s="0" t="n">
        <f aca="false">IF(AJ23=0,AJ24*Inputs!$B$17/4,0)</f>
        <v>0</v>
      </c>
      <c r="AK26" s="0" t="n">
        <f aca="false">IF(AK23=0,AK24*Inputs!$B$17/4,0)</f>
        <v>0</v>
      </c>
      <c r="AL26" s="0" t="n">
        <f aca="false">IF(AL23=0,AL24*Inputs!$B$17/4,0)</f>
        <v>0</v>
      </c>
      <c r="AM26" s="0" t="n">
        <f aca="false">IF(AM23=0,AM24*Inputs!$B$17/4,0)</f>
        <v>0</v>
      </c>
      <c r="AN26" s="0" t="n">
        <f aca="false">IF(AN23=0,AN24*Inputs!$B$17/4,0)</f>
        <v>0</v>
      </c>
      <c r="AO26" s="0" t="n">
        <f aca="false">IF(AO23=0,AO24*Inputs!$B$17/4,0)</f>
        <v>0</v>
      </c>
      <c r="AP26" s="0" t="n">
        <f aca="false">IF(AP23=0,AP24*Inputs!$B$17/4,0)</f>
        <v>0</v>
      </c>
    </row>
    <row r="27" customFormat="false" ht="15" hidden="false" customHeight="false" outlineLevel="0" collapsed="false">
      <c r="A27" s="0" t="s">
        <v>63</v>
      </c>
      <c r="B27" s="0" t="n">
        <f aca="false">IF(B23=1,B24*Inputs!$B$19/4,0)</f>
        <v>0</v>
      </c>
      <c r="C27" s="0" t="n">
        <f aca="false">IF(C23=1,C24*Inputs!$B$19/4,0)</f>
        <v>0</v>
      </c>
      <c r="D27" s="0" t="n">
        <f aca="false">IF(D23=1,D24*Inputs!$B$19/4,0)</f>
        <v>0</v>
      </c>
      <c r="E27" s="0" t="n">
        <f aca="false">IF(E23=1,E24*Inputs!$B$19/4,0)</f>
        <v>0</v>
      </c>
      <c r="F27" s="0" t="n">
        <f aca="false">IF(F23=1,F24*Inputs!$B$19/4,0)</f>
        <v>0</v>
      </c>
      <c r="G27" s="0" t="n">
        <f aca="false">IF(G23=1,G24*Inputs!$B$19/4,0)</f>
        <v>0</v>
      </c>
      <c r="H27" s="0" t="n">
        <f aca="false">IF(H23=1,H24*Inputs!$B$19/4,0)</f>
        <v>0</v>
      </c>
      <c r="I27" s="0" t="n">
        <f aca="false">IF(I23=1,I24*Inputs!$B$19/4,0)</f>
        <v>0</v>
      </c>
      <c r="J27" s="0" t="n">
        <f aca="false">IF(J23=1,J24*Inputs!$B$19/4,0)</f>
        <v>0</v>
      </c>
      <c r="K27" s="0" t="n">
        <f aca="false">IF(K23=1,K24*Inputs!$B$19/4,0)</f>
        <v>0</v>
      </c>
      <c r="L27" s="0" t="n">
        <f aca="false">IF(L23=1,L24*Inputs!$B$19/4,0)</f>
        <v>0</v>
      </c>
      <c r="M27" s="0" t="n">
        <f aca="false">IF(M23=1,M24*Inputs!$B$19/4,0)</f>
        <v>5693337.0936536</v>
      </c>
      <c r="N27" s="0" t="n">
        <f aca="false">IF(N23=1,N24*Inputs!$B$19/4,0)</f>
        <v>6146073.53318533</v>
      </c>
      <c r="O27" s="0" t="n">
        <f aca="false">IF(O23=1,O24*Inputs!$B$19/4,0)</f>
        <v>6596546.29051941</v>
      </c>
      <c r="P27" s="0" t="n">
        <f aca="false">IF(P23=1,P24*Inputs!$B$19/4,0)</f>
        <v>7682902.17820743</v>
      </c>
      <c r="Q27" s="0" t="n">
        <f aca="false">IF(Q23=1,Q24*Inputs!$B$19/4,0)</f>
        <v>8282623.16145702</v>
      </c>
      <c r="R27" s="0" t="n">
        <f aca="false">IF(R23=1,R24*Inputs!$B$19/4,0)</f>
        <v>8879345.53979036</v>
      </c>
      <c r="S27" s="0" t="n">
        <f aca="false">IF(S23=1,S24*Inputs!$B$19/4,0)</f>
        <v>9473084.30623203</v>
      </c>
      <c r="T27" s="0" t="n">
        <f aca="false">IF(T23=1,T24*Inputs!$B$19/4,0)</f>
        <v>10063854.3788415</v>
      </c>
      <c r="U27" s="0" t="n">
        <f aca="false">IF(U23=1,U24*Inputs!$B$19/4,0)</f>
        <v>10651670.6010879</v>
      </c>
      <c r="V27" s="0" t="n">
        <f aca="false">IF(V23=1,V24*Inputs!$B$19/4,0)</f>
        <v>11236547.7422231</v>
      </c>
      <c r="W27" s="0" t="n">
        <f aca="false">IF(W23=1,W24*Inputs!$B$19/4,0)</f>
        <v>11818500.4976526</v>
      </c>
      <c r="X27" s="0" t="n">
        <f aca="false">IF(X23=1,X24*Inputs!$B$19/4,0)</f>
        <v>11748562.6396539</v>
      </c>
      <c r="Y27" s="0" t="n">
        <f aca="false">IF(Y23=1,Y24*Inputs!$B$19/4,0)</f>
        <v>11669620.3013625</v>
      </c>
      <c r="Z27" s="0" t="n">
        <f aca="false">IF(Z23=1,Z24*Inputs!$B$19/4,0)</f>
        <v>11583674.8904957</v>
      </c>
      <c r="AA27" s="0" t="n">
        <f aca="false">IF(AA23=1,AA24*Inputs!$B$19/4,0)</f>
        <v>11489016.3074056</v>
      </c>
      <c r="AB27" s="0" t="n">
        <f aca="false">IF(AB23=1,AB24*Inputs!$B$19/4,0)</f>
        <v>11385488.8765548</v>
      </c>
      <c r="AC27" s="0" t="n">
        <f aca="false">IF(AC23=1,AC24*Inputs!$B$19/4,0)</f>
        <v>11272422.419755</v>
      </c>
      <c r="AD27" s="0" t="n">
        <f aca="false">IF(AD23=1,AD24*Inputs!$B$19/4,0)</f>
        <v>11151865.4596364</v>
      </c>
      <c r="AE27" s="0" t="n">
        <f aca="false">IF(AE23=1,AE24*Inputs!$B$19/4,0)</f>
        <v>11022062.1962196</v>
      </c>
      <c r="AF27" s="0" t="n">
        <f aca="false">IF(AF23=1,AF24*Inputs!$B$19/4,0)</f>
        <v>10882172.010481</v>
      </c>
      <c r="AG27" s="0" t="n">
        <f aca="false">IF(AG23=1,AG24*Inputs!$B$19/4,0)</f>
        <v>10732176.64263</v>
      </c>
      <c r="AH27" s="0" t="n">
        <f aca="false">IF(AH23=1,AH24*Inputs!$B$19/4,0)</f>
        <v>10580765.693495</v>
      </c>
      <c r="AI27" s="0" t="n">
        <f aca="false">IF(AI23=1,AI24*Inputs!$B$19/4,0)</f>
        <v>10426198.5674645</v>
      </c>
      <c r="AJ27" s="0" t="n">
        <f aca="false">IF(AJ23=1,AJ24*Inputs!$B$19/4,0)</f>
        <v>10267499.5301977</v>
      </c>
      <c r="AK27" s="0" t="n">
        <f aca="false">IF(AK23=1,AK24*Inputs!$B$19/4,0)</f>
        <v>10105055.9596279</v>
      </c>
      <c r="AL27" s="0" t="n">
        <f aca="false">IF(AL23=1,AL24*Inputs!$B$19/4,0)</f>
        <v>9941079.32786075</v>
      </c>
      <c r="AM27" s="0" t="n">
        <f aca="false">IF(AM23=1,AM24*Inputs!$B$19/4,0)</f>
        <v>0</v>
      </c>
      <c r="AN27" s="0" t="n">
        <f aca="false">IF(AN23=1,AN24*Inputs!$B$19/4,0)</f>
        <v>0</v>
      </c>
      <c r="AO27" s="0" t="n">
        <f aca="false">IF(AO23=1,AO24*Inputs!$B$19/4,0)</f>
        <v>0</v>
      </c>
      <c r="AP27" s="0" t="n">
        <f aca="false">IF(AP23=1,AP24*Inputs!$B$19/4,0)</f>
        <v>0</v>
      </c>
    </row>
    <row r="28" customFormat="false" ht="15" hidden="false" customHeight="false" outlineLevel="0" collapsed="false">
      <c r="A28" s="0" t="s">
        <v>64</v>
      </c>
      <c r="B28" s="0" t="n">
        <f aca="false">IF(B23=1,MIN(B24,B24*Inputs!$B$20/4),0)</f>
        <v>0</v>
      </c>
      <c r="C28" s="0" t="n">
        <f aca="false">IF(C23=1,MIN(C24,C24*Inputs!$B$20/4),0)</f>
        <v>0</v>
      </c>
      <c r="D28" s="0" t="n">
        <f aca="false">IF(D23=1,MIN(D24,D24*Inputs!$B$20/4),0)</f>
        <v>0</v>
      </c>
      <c r="E28" s="0" t="n">
        <f aca="false">IF(E23=1,MIN(E24,E24*Inputs!$B$20/4),0)</f>
        <v>0</v>
      </c>
      <c r="F28" s="0" t="n">
        <f aca="false">IF(F23=1,MIN(F24,F24*Inputs!$B$20/4),0)</f>
        <v>0</v>
      </c>
      <c r="G28" s="0" t="n">
        <f aca="false">IF(G23=1,MIN(G24,G24*Inputs!$B$20/4),0)</f>
        <v>0</v>
      </c>
      <c r="H28" s="0" t="n">
        <f aca="false">IF(H23=1,MIN(H24,H24*Inputs!$B$20/4),0)</f>
        <v>0</v>
      </c>
      <c r="I28" s="0" t="n">
        <f aca="false">IF(I23=1,MIN(I24,I24*Inputs!$B$20/4),0)</f>
        <v>0</v>
      </c>
      <c r="J28" s="0" t="n">
        <f aca="false">IF(J23=1,MIN(J24,J24*Inputs!$B$20/4),0)</f>
        <v>0</v>
      </c>
      <c r="K28" s="0" t="n">
        <f aca="false">IF(K23=1,MIN(K24,K24*Inputs!$B$20/4),0)</f>
        <v>0</v>
      </c>
      <c r="L28" s="0" t="n">
        <f aca="false">IF(L23=1,MIN(L24,L24*Inputs!$B$20/4),0)</f>
        <v>0</v>
      </c>
      <c r="M28" s="0" t="n">
        <f aca="false">IF(M23=1,MIN(M24,M24*Inputs!$B$20/4),0)</f>
        <v>1821867.86996915</v>
      </c>
      <c r="N28" s="0" t="n">
        <f aca="false">IF(N23=1,MIN(N24,N24*Inputs!$B$20/4),0)</f>
        <v>1966743.53061931</v>
      </c>
      <c r="O28" s="0" t="n">
        <f aca="false">IF(O23=1,MIN(O24,O24*Inputs!$B$20/4),0)</f>
        <v>2110894.81296621</v>
      </c>
      <c r="P28" s="0" t="n">
        <f aca="false">IF(P23=1,MIN(P24,P24*Inputs!$B$20/4),0)</f>
        <v>2458528.69702638</v>
      </c>
      <c r="Q28" s="0" t="n">
        <f aca="false">IF(Q23=1,MIN(Q24,Q24*Inputs!$B$20/4),0)</f>
        <v>2650439.41166625</v>
      </c>
      <c r="R28" s="0" t="n">
        <f aca="false">IF(R23=1,MIN(R24,R24*Inputs!$B$20/4),0)</f>
        <v>2841390.57273292</v>
      </c>
      <c r="S28" s="0" t="n">
        <f aca="false">IF(S23=1,MIN(S24,S24*Inputs!$B$20/4),0)</f>
        <v>3031386.97799425</v>
      </c>
      <c r="T28" s="0" t="n">
        <f aca="false">IF(T23=1,MIN(T24,T24*Inputs!$B$20/4),0)</f>
        <v>3220433.40122928</v>
      </c>
      <c r="U28" s="0" t="n">
        <f aca="false">IF(U23=1,MIN(U24,U24*Inputs!$B$20/4),0)</f>
        <v>3408534.59234813</v>
      </c>
      <c r="V28" s="0" t="n">
        <f aca="false">IF(V23=1,MIN(V24,V24*Inputs!$B$20/4),0)</f>
        <v>3595695.27751139</v>
      </c>
      <c r="W28" s="0" t="n">
        <f aca="false">IF(W23=1,MIN(W24,W24*Inputs!$B$20/4),0)</f>
        <v>3781920.15924884</v>
      </c>
      <c r="X28" s="0" t="n">
        <f aca="false">IF(X23=1,MIN(X24,X24*Inputs!$B$20/4),0)</f>
        <v>3759540.04468925</v>
      </c>
      <c r="Y28" s="0" t="n">
        <f aca="false">IF(Y23=1,MIN(Y24,Y24*Inputs!$B$20/4),0)</f>
        <v>3734278.496436</v>
      </c>
      <c r="Z28" s="0" t="n">
        <f aca="false">IF(Z23=1,MIN(Z24,Z24*Inputs!$B$20/4),0)</f>
        <v>3706775.96495862</v>
      </c>
      <c r="AA28" s="0" t="n">
        <f aca="false">IF(AA23=1,MIN(AA24,AA24*Inputs!$B$20/4),0)</f>
        <v>3676485.21836979</v>
      </c>
      <c r="AB28" s="0" t="n">
        <f aca="false">IF(AB23=1,MIN(AB24,AB24*Inputs!$B$20/4),0)</f>
        <v>3643356.44049753</v>
      </c>
      <c r="AC28" s="0" t="n">
        <f aca="false">IF(AC23=1,MIN(AC24,AC24*Inputs!$B$20/4),0)</f>
        <v>3607175.1743216</v>
      </c>
      <c r="AD28" s="0" t="n">
        <f aca="false">IF(AD23=1,MIN(AD24,AD24*Inputs!$B$20/4),0)</f>
        <v>3568596.94708363</v>
      </c>
      <c r="AE28" s="0" t="n">
        <f aca="false">IF(AE23=1,MIN(AE24,AE24*Inputs!$B$20/4),0)</f>
        <v>3527059.90279028</v>
      </c>
      <c r="AF28" s="0" t="n">
        <f aca="false">IF(AF23=1,MIN(AF24,AF24*Inputs!$B$20/4),0)</f>
        <v>3482295.04335391</v>
      </c>
      <c r="AG28" s="0" t="n">
        <f aca="false">IF(AG23=1,MIN(AG24,AG24*Inputs!$B$20/4),0)</f>
        <v>3434296.52564161</v>
      </c>
      <c r="AH28" s="0" t="n">
        <f aca="false">IF(AH23=1,MIN(AH24,AH24*Inputs!$B$20/4),0)</f>
        <v>3385845.0219184</v>
      </c>
      <c r="AI28" s="0" t="n">
        <f aca="false">IF(AI23=1,MIN(AI24,AI24*Inputs!$B$20/4),0)</f>
        <v>3336383.54158864</v>
      </c>
      <c r="AJ28" s="0" t="n">
        <f aca="false">IF(AJ23=1,MIN(AJ24,AJ24*Inputs!$B$20/4),0)</f>
        <v>3285599.84966327</v>
      </c>
      <c r="AK28" s="0" t="n">
        <f aca="false">IF(AK23=1,MIN(AK24,AK24*Inputs!$B$20/4),0)</f>
        <v>3233617.90708092</v>
      </c>
      <c r="AL28" s="0" t="n">
        <f aca="false">IF(AL23=1,MIN(AL24,AL24*Inputs!$B$20/4),0)</f>
        <v>3181145.38491544</v>
      </c>
      <c r="AM28" s="0" t="n">
        <f aca="false">IF(AM23=1,MIN(AM24,AM24*Inputs!$B$20/4),0)</f>
        <v>0</v>
      </c>
      <c r="AN28" s="0" t="n">
        <f aca="false">IF(AN23=1,MIN(AN24,AN24*Inputs!$B$20/4),0)</f>
        <v>0</v>
      </c>
      <c r="AO28" s="0" t="n">
        <f aca="false">IF(AO23=1,MIN(AO24,AO24*Inputs!$B$20/4),0)</f>
        <v>0</v>
      </c>
      <c r="AP28" s="0" t="n">
        <f aca="false">IF(AP23=1,MIN(AP24,AP24*Inputs!$B$20/4),0)</f>
        <v>0</v>
      </c>
    </row>
    <row r="29" customFormat="false" ht="15" hidden="false" customHeight="false" outlineLevel="0" collapsed="false">
      <c r="A29" s="0" t="s">
        <v>65</v>
      </c>
      <c r="B29" s="0" t="n">
        <f aca="false">IF(B27+B28&gt;0,B22/(B27+B28),0)</f>
        <v>0</v>
      </c>
      <c r="C29" s="0" t="n">
        <f aca="false">IF(C27+C28&gt;0,C22/(C27+C28),0)</f>
        <v>0</v>
      </c>
      <c r="D29" s="0" t="n">
        <f aca="false">IF(D27+D28&gt;0,D22/(D27+D28),0)</f>
        <v>0</v>
      </c>
      <c r="E29" s="0" t="n">
        <f aca="false">IF(E27+E28&gt;0,E22/(E27+E28),0)</f>
        <v>0</v>
      </c>
      <c r="F29" s="0" t="n">
        <f aca="false">IF(F27+F28&gt;0,F22/(F27+F28),0)</f>
        <v>0</v>
      </c>
      <c r="G29" s="0" t="n">
        <f aca="false">IF(G27+G28&gt;0,G22/(G27+G28),0)</f>
        <v>0</v>
      </c>
      <c r="H29" s="0" t="n">
        <f aca="false">IF(H27+H28&gt;0,H22/(H27+H28),0)</f>
        <v>0</v>
      </c>
      <c r="I29" s="0" t="n">
        <f aca="false">IF(I27+I28&gt;0,I22/(I27+I28),0)</f>
        <v>0</v>
      </c>
      <c r="J29" s="0" t="n">
        <f aca="false">IF(J27+J28&gt;0,J22/(J27+J28),0)</f>
        <v>0</v>
      </c>
      <c r="K29" s="0" t="n">
        <f aca="false">IF(K27+K28&gt;0,K22/(K27+K28),0)</f>
        <v>0</v>
      </c>
      <c r="L29" s="0" t="n">
        <f aca="false">IF(L27+L28&gt;0,L22/(L27+L28),0)</f>
        <v>0</v>
      </c>
      <c r="M29" s="0" t="n">
        <f aca="false">IF(M27+M28&gt;0,M22/(M27+M28),0)</f>
        <v>0.852704296292521</v>
      </c>
      <c r="N29" s="0" t="n">
        <f aca="false">IF(N27+N28&gt;0,N22/(N27+N28),0)</f>
        <v>0.873133268541623</v>
      </c>
      <c r="O29" s="0" t="n">
        <f aca="false">IF(O27+O28&gt;0,O22/(O27+O28),0)</f>
        <v>0.871615404548862</v>
      </c>
      <c r="P29" s="0" t="n">
        <f aca="false">IF(P27+P28&gt;0,P22/(P27+P28),0)</f>
        <v>1.29519579747638</v>
      </c>
      <c r="Q29" s="0" t="n">
        <f aca="false">IF(Q27+Q28&gt;0,Q22/(Q27+Q28),0)</f>
        <v>1.25777349283675</v>
      </c>
      <c r="R29" s="0" t="n">
        <f aca="false">IF(R27+R28&gt;0,R22/(R27+R28),0)</f>
        <v>1.24290718689884</v>
      </c>
      <c r="S29" s="0" t="n">
        <f aca="false">IF(S27+S28&gt;0,S22/(S27+S28),0)</f>
        <v>1.21428283170627</v>
      </c>
      <c r="T29" s="0" t="n">
        <f aca="false">IF(T27+T28&gt;0,T22/(T27+T28),0)</f>
        <v>1.20532125734442</v>
      </c>
      <c r="U29" s="0" t="n">
        <f aca="false">IF(U27+U28&gt;0,U22/(U27+U28),0)</f>
        <v>1.18378756718076</v>
      </c>
      <c r="V29" s="0" t="n">
        <f aca="false">IF(V27+V28&gt;0,V22/(V27+V28),0)</f>
        <v>1.17865236274378</v>
      </c>
      <c r="W29" s="0" t="n">
        <f aca="false">IF(W27+W28&gt;0,W22/(W27+W28),0)</f>
        <v>1.4889851328928</v>
      </c>
      <c r="X29" s="0" t="n">
        <f aca="false">IF(X27+X28&gt;0,X22/(X27+X28),0)</f>
        <v>1.56672182694082</v>
      </c>
      <c r="Y29" s="0" t="n">
        <f aca="false">IF(Y27+Y28&gt;0,Y22/(Y27+Y28),0)</f>
        <v>1.6293221764471</v>
      </c>
      <c r="Z29" s="0" t="n">
        <f aca="false">IF(Z27+Z28&gt;0,Z22/(Z27+Z28),0)</f>
        <v>1.707561022894</v>
      </c>
      <c r="AA29" s="0" t="n">
        <f aca="false">IF(AA27+AA28&gt;0,AA22/(AA27+AA28),0)</f>
        <v>1.78894465192195</v>
      </c>
      <c r="AB29" s="0" t="n">
        <f aca="false">IF(AB27+AB28&gt;0,AB22/(AB27+AB28),0)</f>
        <v>1.87813344523704</v>
      </c>
      <c r="AC29" s="0" t="n">
        <f aca="false">IF(AC27+AC28&gt;0,AC22/(AC27+AC28),0)</f>
        <v>1.95222868055342</v>
      </c>
      <c r="AD29" s="0" t="n">
        <f aca="false">IF(AD27+AD28&gt;0,AD22/(AD27+AD28),0)</f>
        <v>2.04384008880364</v>
      </c>
      <c r="AE29" s="0" t="n">
        <f aca="false">IF(AE27+AE28&gt;0,AE22/(AE27+AE28),0)</f>
        <v>2.1458748297745</v>
      </c>
      <c r="AF29" s="0" t="n">
        <f aca="false">IF(AF27+AF28&gt;0,AF22/(AF27+AF28),0)</f>
        <v>2.25174179817177</v>
      </c>
      <c r="AG29" s="0" t="n">
        <f aca="false">IF(AG27+AG28&gt;0,AG22/(AG27+AG28),0)</f>
        <v>2.28321265916938</v>
      </c>
      <c r="AH29" s="0" t="n">
        <f aca="false">IF(AH27+AH28&gt;0,AH22/(AH27+AH28),0)</f>
        <v>2.33171509919054</v>
      </c>
      <c r="AI29" s="0" t="n">
        <f aca="false">IF(AI27+AI28&gt;0,AI22/(AI27+AI28),0)</f>
        <v>2.39114465431588</v>
      </c>
      <c r="AJ29" s="0" t="n">
        <f aca="false">IF(AJ27+AJ28&gt;0,AJ22/(AJ27+AJ28),0)</f>
        <v>2.44932288438375</v>
      </c>
      <c r="AK29" s="0" t="n">
        <f aca="false">IF(AK27+AK28&gt;0,AK22/(AK27+AK28),0)</f>
        <v>2.48869691223747</v>
      </c>
      <c r="AL29" s="0" t="n">
        <f aca="false">IF(AL27+AL28&gt;0,AL22/(AL27+AL28),0)</f>
        <v>2.54701703167343</v>
      </c>
      <c r="AM29" s="0" t="n">
        <f aca="false">IF(AM27+AM28&gt;0,AM22/(AM27+AM28),0)</f>
        <v>0</v>
      </c>
      <c r="AN29" s="0" t="n">
        <f aca="false">IF(AN27+AN28&gt;0,AN22/(AN27+AN28),0)</f>
        <v>0</v>
      </c>
      <c r="AO29" s="0" t="n">
        <f aca="false">IF(AO27+AO28&gt;0,AO22/(AO27+AO28),0)</f>
        <v>0</v>
      </c>
      <c r="AP29" s="0" t="n">
        <f aca="false">IF(AP27+AP28&gt;0,AP22/(AP27+AP28),0)</f>
        <v>0</v>
      </c>
    </row>
    <row r="30" customFormat="false" ht="15" hidden="false" customHeight="false" outlineLevel="0" collapsed="false">
      <c r="A30" s="0" t="s">
        <v>66</v>
      </c>
      <c r="B30" s="0" t="n">
        <f aca="false">IF(AND(B23=1,B$3&lt;Inputs!$B$23),MIN(B24-B28,MAX(0,B22-(B27+B28)*Inputs!$B$21)*Inputs!$B$22),0)</f>
        <v>0</v>
      </c>
      <c r="C30" s="0" t="n">
        <f aca="false">IF(AND(C23=1,C$3&lt;Inputs!$B$23),MIN(C24-C28,MAX(0,C22-(C27+C28)*Inputs!$B$21)*Inputs!$B$22),0)</f>
        <v>0</v>
      </c>
      <c r="D30" s="0" t="n">
        <f aca="false">IF(AND(D23=1,D$3&lt;Inputs!$B$23),MIN(D24-D28,MAX(0,D22-(D27+D28)*Inputs!$B$21)*Inputs!$B$22),0)</f>
        <v>0</v>
      </c>
      <c r="E30" s="0" t="n">
        <f aca="false">IF(AND(E23=1,E$3&lt;Inputs!$B$23),MIN(E24-E28,MAX(0,E22-(E27+E28)*Inputs!$B$21)*Inputs!$B$22),0)</f>
        <v>0</v>
      </c>
      <c r="F30" s="0" t="n">
        <f aca="false">IF(AND(F23=1,F$3&lt;Inputs!$B$23),MIN(F24-F28,MAX(0,F22-(F27+F28)*Inputs!$B$21)*Inputs!$B$22),0)</f>
        <v>0</v>
      </c>
      <c r="G30" s="0" t="n">
        <f aca="false">IF(AND(G23=1,G$3&lt;Inputs!$B$23),MIN(G24-G28,MAX(0,G22-(G27+G28)*Inputs!$B$21)*Inputs!$B$22),0)</f>
        <v>0</v>
      </c>
      <c r="H30" s="0" t="n">
        <f aca="false">IF(AND(H23=1,H$3&lt;Inputs!$B$23),MIN(H24-H28,MAX(0,H22-(H27+H28)*Inputs!$B$21)*Inputs!$B$22),0)</f>
        <v>0</v>
      </c>
      <c r="I30" s="0" t="n">
        <f aca="false">IF(AND(I23=1,I$3&lt;Inputs!$B$23),MIN(I24-I28,MAX(0,I22-(I27+I28)*Inputs!$B$21)*Inputs!$B$22),0)</f>
        <v>0</v>
      </c>
      <c r="J30" s="0" t="n">
        <f aca="false">IF(AND(J23=1,J$3&lt;Inputs!$B$23),MIN(J24-J28,MAX(0,J22-(J27+J28)*Inputs!$B$21)*Inputs!$B$22),0)</f>
        <v>0</v>
      </c>
      <c r="K30" s="0" t="n">
        <f aca="false">IF(AND(K23=1,K$3&lt;Inputs!$B$23),MIN(K24-K28,MAX(0,K22-(K27+K28)*Inputs!$B$21)*Inputs!$B$22),0)</f>
        <v>0</v>
      </c>
      <c r="L30" s="0" t="n">
        <f aca="false">IF(AND(L23=1,L$3&lt;Inputs!$B$23),MIN(L24-L28,MAX(0,L22-(L27+L28)*Inputs!$B$21)*Inputs!$B$22),0)</f>
        <v>0</v>
      </c>
      <c r="M30" s="0" t="n">
        <f aca="false">IF(AND(M23=1,M$3&lt;Inputs!$B$23),MIN(M24-M28,MAX(0,M22-(M27+M28)*Inputs!$B$21)*Inputs!$B$22),0)</f>
        <v>0</v>
      </c>
      <c r="N30" s="0" t="n">
        <f aca="false">IF(AND(N23=1,N$3&lt;Inputs!$B$23),MIN(N24-N28,MAX(0,N22-(N27+N28)*Inputs!$B$21)*Inputs!$B$22),0)</f>
        <v>0</v>
      </c>
      <c r="O30" s="0" t="n">
        <f aca="false">IF(AND(O23=1,O$3&lt;Inputs!$B$23),MIN(O24-O28,MAX(0,O22-(O27+O28)*Inputs!$B$21)*Inputs!$B$22),0)</f>
        <v>0</v>
      </c>
      <c r="P30" s="0" t="n">
        <f aca="false">IF(AND(P23=1,P$3&lt;Inputs!$B$23),MIN(P24-P28,MAX(0,P22-(P27+P28)*Inputs!$B$21)*Inputs!$B$22),0)</f>
        <v>0</v>
      </c>
      <c r="Q30" s="0" t="n">
        <f aca="false">IF(AND(Q23=1,Q$3&lt;Inputs!$B$23),MIN(Q24-Q28,MAX(0,Q22-(Q27+Q28)*Inputs!$B$21)*Inputs!$B$22),0)</f>
        <v>0</v>
      </c>
      <c r="R30" s="0" t="n">
        <f aca="false">IF(AND(R23=1,R$3&lt;Inputs!$B$23),MIN(R24-R28,MAX(0,R22-(R27+R28)*Inputs!$B$21)*Inputs!$B$22),0)</f>
        <v>0</v>
      </c>
      <c r="S30" s="0" t="n">
        <f aca="false">IF(AND(S23=1,S$3&lt;Inputs!$B$23),MIN(S24-S28,MAX(0,S22-(S27+S28)*Inputs!$B$21)*Inputs!$B$22),0)</f>
        <v>0</v>
      </c>
      <c r="T30" s="0" t="n">
        <f aca="false">IF(AND(T23=1,T$3&lt;Inputs!$B$23),MIN(T24-T28,MAX(0,T22-(T27+T28)*Inputs!$B$21)*Inputs!$B$22),0)</f>
        <v>0</v>
      </c>
      <c r="U30" s="0" t="n">
        <f aca="false">IF(AND(U23=1,U$3&lt;Inputs!$B$23),MIN(U24-U28,MAX(0,U22-(U27+U28)*Inputs!$B$21)*Inputs!$B$22),0)</f>
        <v>0</v>
      </c>
      <c r="V30" s="0" t="n">
        <f aca="false">IF(AND(V23=1,V$3&lt;Inputs!$B$23),MIN(V24-V28,MAX(0,V22-(V27+V28)*Inputs!$B$21)*Inputs!$B$22),0)</f>
        <v>0</v>
      </c>
      <c r="W30" s="0" t="n">
        <f aca="false">IF(AND(W23=1,W$3&lt;Inputs!$B$23),MIN(W24-W28,MAX(0,W22-(W27+W28)*Inputs!$B$21)*Inputs!$B$22),0)</f>
        <v>694102.752668982</v>
      </c>
      <c r="X30" s="0" t="n">
        <f aca="false">IF(AND(X23=1,X$3&lt;Inputs!$B$23),MIN(X24-X28,MAX(0,X22-(X27+X28)*Inputs!$B$21)*Inputs!$B$22),0)</f>
        <v>1292769.6059598</v>
      </c>
      <c r="Y30" s="0" t="n">
        <f aca="false">IF(AND(Y23=1,Y$3&lt;Inputs!$B$23),MIN(Y24-Y28,MAX(0,Y22-(Y27+Y28)*Inputs!$B$21)*Inputs!$B$22),0)</f>
        <v>1766227.79904105</v>
      </c>
      <c r="Z30" s="0" t="n">
        <f aca="false">IF(AND(Z23=1,Z$3&lt;Inputs!$B$23),MIN(Z24-Z28,MAX(0,Z22-(Z27+Z28)*Inputs!$B$21)*Inputs!$B$22),0)</f>
        <v>2351373.35280699</v>
      </c>
      <c r="AA30" s="0" t="n">
        <f aca="false">IF(AND(AA23=1,AA$3&lt;Inputs!$B$23),MIN(AA24-AA28,MAX(0,AA22-(AA27+AA28)*Inputs!$B$21)*Inputs!$B$22),0)</f>
        <v>2949270.35608223</v>
      </c>
      <c r="AB30" s="0" t="n">
        <f aca="false">IF(AND(AB23=1,AB$3&lt;Inputs!$B$23),MIN(AB24-AB28,MAX(0,AB22-(AB27+AB28)*Inputs!$B$21)*Inputs!$B$22),0)</f>
        <v>3592896.79468839</v>
      </c>
      <c r="AC30" s="0" t="n">
        <f aca="false">IF(AND(AC23=1,AC$3&lt;Inputs!$B$23),MIN(AC24-AC28,MAX(0,AC22-(AC27+AC28)*Inputs!$B$21)*Inputs!$B$22),0)</f>
        <v>4108470.27327138</v>
      </c>
      <c r="AD30" s="0" t="n">
        <f aca="false">IF(AND(AD23=1,AD$3&lt;Inputs!$B$23),MIN(AD24-AD28,MAX(0,AD22-(AD27+AD28)*Inputs!$B$21)*Inputs!$B$22),0)</f>
        <v>4738811.91158663</v>
      </c>
      <c r="AE30" s="0" t="n">
        <f aca="false">IF(AND(AE23=1,AE$3&lt;Inputs!$B$23),MIN(AE24-AE28,MAX(0,AE22-(AE27+AE28)*Inputs!$B$21)*Inputs!$B$22),0)</f>
        <v>5425911.98448368</v>
      </c>
      <c r="AF30" s="0" t="n">
        <f aca="false">IF(AND(AF23=1,AF$3&lt;Inputs!$B$23),MIN(AF24-AF28,MAX(0,AF22-(AF27+AF28)*Inputs!$B$21)*Inputs!$B$22),0)</f>
        <v>6117408.4991062</v>
      </c>
      <c r="AG30" s="0" t="n">
        <f aca="false">IF(AND(AG23=1,AG$3&lt;Inputs!$B$23),MIN(AG24-AG28,MAX(0,AG22-(AG27+AG28)*Inputs!$B$21)*Inputs!$B$22),0)</f>
        <v>6256004.21900047</v>
      </c>
      <c r="AH30" s="0" t="n">
        <f aca="false">IF(AND(AH23=1,AH$3&lt;Inputs!$B$23),MIN(AH24-AH28,MAX(0,AH22-(AH27+AH28)*Inputs!$B$21)*Inputs!$B$22),0)</f>
        <v>6506451.0440335</v>
      </c>
      <c r="AI30" s="0" t="n">
        <f aca="false">IF(AND(AI23=1,AI$3&lt;Inputs!$B$23),MIN(AI24-AI28,MAX(0,AI22-(AI27+AI28)*Inputs!$B$21)*Inputs!$B$22),0)</f>
        <v>6820354.84348568</v>
      </c>
      <c r="AJ30" s="0" t="n">
        <f aca="false">IF(AND(AJ23=1,AJ$3&lt;Inputs!$B$23),MIN(AJ24-AJ28,MAX(0,AJ22-(AJ27+AJ28)*Inputs!$B$21)*Inputs!$B$22),0)</f>
        <v>7110788.66680769</v>
      </c>
      <c r="AK30" s="0" t="n">
        <f aca="false">IF(AND(AK23=1,AK$3&lt;Inputs!$B$23),MIN(AK24-AK28,MAX(0,AK22-(AK27+AK28)*Inputs!$B$21)*Inputs!$B$22),0)</f>
        <v>7260886.52601424</v>
      </c>
      <c r="AL30" s="0" t="n">
        <f aca="false">IF(AND(AL23=1,AL$3&lt;Inputs!$B$23),MIN(AL24-AL28,MAX(0,AL22-(AL27+AL28)*Inputs!$B$21)*Inputs!$B$22),0)</f>
        <v>0</v>
      </c>
      <c r="AM30" s="0" t="n">
        <f aca="false">IF(AND(AM23=1,AM$3&lt;Inputs!$B$23),MIN(AM24-AM28,MAX(0,AM22-(AM27+AM28)*Inputs!$B$21)*Inputs!$B$22),0)</f>
        <v>0</v>
      </c>
      <c r="AN30" s="0" t="n">
        <f aca="false">IF(AND(AN23=1,AN$3&lt;Inputs!$B$23),MIN(AN24-AN28,MAX(0,AN22-(AN27+AN28)*Inputs!$B$21)*Inputs!$B$22),0)</f>
        <v>0</v>
      </c>
      <c r="AO30" s="0" t="n">
        <f aca="false">IF(AND(AO23=1,AO$3&lt;Inputs!$B$23),MIN(AO24-AO28,MAX(0,AO22-(AO27+AO28)*Inputs!$B$21)*Inputs!$B$22),0)</f>
        <v>0</v>
      </c>
      <c r="AP30" s="0" t="n">
        <f aca="false">IF(AND(AP23=1,AP$3&lt;Inputs!$B$23),MIN(AP24-AP28,MAX(0,AP22-(AP27+AP28)*Inputs!$B$21)*Inputs!$B$22),0)</f>
        <v>0</v>
      </c>
    </row>
    <row r="31" customFormat="false" ht="15" hidden="false" customHeight="false" outlineLevel="0" collapsed="false">
      <c r="A31" s="0" t="s">
        <v>67</v>
      </c>
      <c r="B31" s="0" t="n">
        <f aca="false">IF(B$3&gt;=Inputs!$B$23,0,B24+B25+B26-B28-B30)</f>
        <v>0</v>
      </c>
      <c r="C31" s="0" t="n">
        <f aca="false">IF(C$3&gt;=Inputs!$B$23,0,C24+C25+C26-C28-C30)</f>
        <v>25628571.4285714</v>
      </c>
      <c r="D31" s="0" t="n">
        <f aca="false">IF(D$3&gt;=Inputs!$B$23,0,D24+D25+D26-D28-D30)</f>
        <v>51801750</v>
      </c>
      <c r="E31" s="0" t="n">
        <f aca="false">IF(E$3&gt;=Inputs!$B$23,0,E24+E25+E26-E28-E30)</f>
        <v>78531108.6160714</v>
      </c>
      <c r="F31" s="0" t="n">
        <f aca="false">IF(F$3&gt;=Inputs!$B$23,0,F24+F25+F26-F28-F30)</f>
        <v>105828466.102734</v>
      </c>
      <c r="G31" s="0" t="n">
        <f aca="false">IF(G$3&gt;=Inputs!$B$23,0,G24+G25+G26-G28-G30)</f>
        <v>133705892.435989</v>
      </c>
      <c r="H31" s="0" t="n">
        <f aca="false">IF(H$3&gt;=Inputs!$B$23,0,H24+H25+H26-H28-H30)</f>
        <v>192972714.078825</v>
      </c>
      <c r="I31" s="0" t="n">
        <f aca="false">IF(I$3&gt;=Inputs!$B$23,0,I24+I25+I26-I28-I30)</f>
        <v>253498955.681572</v>
      </c>
      <c r="J31" s="0" t="n">
        <f aca="false">IF(J$3&gt;=Inputs!$B$23,0,J24+J25+J26-J28-J30)</f>
        <v>289682808.489805</v>
      </c>
      <c r="K31" s="0" t="n">
        <f aca="false">IF(K$3&gt;=Inputs!$B$23,0,K24+K25+K26-K28-K30)</f>
        <v>326635568.170213</v>
      </c>
      <c r="L31" s="0" t="n">
        <f aca="false">IF(L$3&gt;=Inputs!$B$23,0,L24+L25+L26-L28-L30)</f>
        <v>364373573.99383</v>
      </c>
      <c r="M31" s="0" t="n">
        <f aca="false">IF(M$3&gt;=Inputs!$B$23,0,M24+M25+M26-M28-M30)</f>
        <v>393348706.123861</v>
      </c>
      <c r="N31" s="0" t="n">
        <f aca="false">IF(N$3&gt;=Inputs!$B$23,0,N24+N25+N26-N28-N30)</f>
        <v>422178962.593242</v>
      </c>
      <c r="O31" s="0" t="n">
        <f aca="false">IF(O$3&gt;=Inputs!$B$23,0,O24+O25+O26-O28-O30)</f>
        <v>491705739.405276</v>
      </c>
      <c r="P31" s="0" t="n">
        <f aca="false">IF(P$3&gt;=Inputs!$B$23,0,P24+P25+P26-P28-P30)</f>
        <v>530087882.333249</v>
      </c>
      <c r="Q31" s="0" t="n">
        <f aca="false">IF(Q$3&gt;=Inputs!$B$23,0,Q24+Q25+Q26-Q28-Q30)</f>
        <v>568278114.546583</v>
      </c>
      <c r="R31" s="0" t="n">
        <f aca="false">IF(R$3&gt;=Inputs!$B$23,0,R24+R25+R26-R28-R30)</f>
        <v>606277395.59885</v>
      </c>
      <c r="S31" s="0" t="n">
        <f aca="false">IF(S$3&gt;=Inputs!$B$23,0,S24+S25+S26-S28-S30)</f>
        <v>644086680.245856</v>
      </c>
      <c r="T31" s="0" t="n">
        <f aca="false">IF(T$3&gt;=Inputs!$B$23,0,T24+T25+T26-T28-T30)</f>
        <v>681706918.469627</v>
      </c>
      <c r="U31" s="0" t="n">
        <f aca="false">IF(U$3&gt;=Inputs!$B$23,0,U24+U25+U26-U28-U30)</f>
        <v>719139055.502279</v>
      </c>
      <c r="V31" s="0" t="n">
        <f aca="false">IF(V$3&gt;=Inputs!$B$23,0,V24+V25+V26-V28-V30)</f>
        <v>756384031.849767</v>
      </c>
      <c r="W31" s="0" t="n">
        <f aca="false">IF(W$3&gt;=Inputs!$B$23,0,W24+W25+W26-W28-W30)</f>
        <v>751908008.937849</v>
      </c>
      <c r="X31" s="0" t="n">
        <f aca="false">IF(X$3&gt;=Inputs!$B$23,0,X24+X25+X26-X28-X30)</f>
        <v>746855699.2872</v>
      </c>
      <c r="Y31" s="0" t="n">
        <f aca="false">IF(Y$3&gt;=Inputs!$B$23,0,Y24+Y25+Y26-Y28-Y30)</f>
        <v>741355192.991723</v>
      </c>
      <c r="Z31" s="0" t="n">
        <f aca="false">IF(Z$3&gt;=Inputs!$B$23,0,Z24+Z25+Z26-Z28-Z30)</f>
        <v>735297043.673958</v>
      </c>
      <c r="AA31" s="0" t="n">
        <f aca="false">IF(AA$3&gt;=Inputs!$B$23,0,AA24+AA25+AA26-AA28-AA30)</f>
        <v>728671288.099506</v>
      </c>
      <c r="AB31" s="0" t="n">
        <f aca="false">IF(AB$3&gt;=Inputs!$B$23,0,AB24+AB25+AB26-AB28-AB30)</f>
        <v>721435034.86432</v>
      </c>
      <c r="AC31" s="0" t="n">
        <f aca="false">IF(AC$3&gt;=Inputs!$B$23,0,AC24+AC25+AC26-AC28-AC30)</f>
        <v>713719389.416727</v>
      </c>
      <c r="AD31" s="0" t="n">
        <f aca="false">IF(AD$3&gt;=Inputs!$B$23,0,AD24+AD25+AD26-AD28-AD30)</f>
        <v>705411980.558056</v>
      </c>
      <c r="AE31" s="0" t="n">
        <f aca="false">IF(AE$3&gt;=Inputs!$B$23,0,AE24+AE25+AE26-AE28-AE30)</f>
        <v>696459008.670782</v>
      </c>
      <c r="AF31" s="0" t="n">
        <f aca="false">IF(AF$3&gt;=Inputs!$B$23,0,AF24+AF25+AF26-AF28-AF30)</f>
        <v>686859305.128322</v>
      </c>
      <c r="AG31" s="0" t="n">
        <f aca="false">IF(AG$3&gt;=Inputs!$B$23,0,AG24+AG25+AG26-AG28-AG30)</f>
        <v>677169004.38368</v>
      </c>
      <c r="AH31" s="0" t="n">
        <f aca="false">IF(AH$3&gt;=Inputs!$B$23,0,AH24+AH25+AH26-AH28-AH30)</f>
        <v>667276708.317728</v>
      </c>
      <c r="AI31" s="0" t="n">
        <f aca="false">IF(AI$3&gt;=Inputs!$B$23,0,AI24+AI25+AI26-AI28-AI30)</f>
        <v>657119969.932654</v>
      </c>
      <c r="AJ31" s="0" t="n">
        <f aca="false">IF(AJ$3&gt;=Inputs!$B$23,0,AJ24+AJ25+AJ26-AJ28-AJ30)</f>
        <v>646723581.416183</v>
      </c>
      <c r="AK31" s="0" t="n">
        <f aca="false">IF(AK$3&gt;=Inputs!$B$23,0,AK24+AK25+AK26-AK28-AK30)</f>
        <v>636229076.983088</v>
      </c>
      <c r="AL31" s="0" t="n">
        <f aca="false">IF(AL$3&gt;=Inputs!$B$23,0,AL24+AL25+AL26-AL28-AL30)</f>
        <v>0</v>
      </c>
      <c r="AM31" s="0" t="n">
        <f aca="false">IF(AM$3&gt;=Inputs!$B$23,0,AM24+AM25+AM26-AM28-AM30)</f>
        <v>0</v>
      </c>
      <c r="AN31" s="0" t="n">
        <f aca="false">IF(AN$3&gt;=Inputs!$B$23,0,AN24+AN25+AN26-AN28-AN30)</f>
        <v>0</v>
      </c>
      <c r="AO31" s="0" t="n">
        <f aca="false">IF(AO$3&gt;=Inputs!$B$23,0,AO24+AO25+AO26-AO28-AO30)</f>
        <v>0</v>
      </c>
      <c r="AP31" s="0" t="n">
        <f aca="false">IF(AP$3&gt;=Inputs!$B$23,0,AP24+AP25+AP26-AP28-AP30)</f>
        <v>0</v>
      </c>
    </row>
    <row r="32" customFormat="false" ht="15" hidden="false" customHeight="false" outlineLevel="0" collapsed="false">
      <c r="A32" s="0" t="s">
        <v>68</v>
      </c>
      <c r="B32" s="0" t="n">
        <f aca="false">IF(B$3=Inputs!$B$23,C22*4/Inputs!$B$29,0)</f>
        <v>0</v>
      </c>
      <c r="C32" s="0" t="n">
        <f aca="false">IF(C$3=Inputs!$B$23,D22*4/Inputs!$B$29,0)</f>
        <v>0</v>
      </c>
      <c r="D32" s="0" t="n">
        <f aca="false">IF(D$3=Inputs!$B$23,E22*4/Inputs!$B$29,0)</f>
        <v>0</v>
      </c>
      <c r="E32" s="0" t="n">
        <f aca="false">IF(E$3=Inputs!$B$23,F22*4/Inputs!$B$29,0)</f>
        <v>0</v>
      </c>
      <c r="F32" s="0" t="n">
        <f aca="false">IF(F$3=Inputs!$B$23,G22*4/Inputs!$B$29,0)</f>
        <v>0</v>
      </c>
      <c r="G32" s="0" t="n">
        <f aca="false">IF(G$3=Inputs!$B$23,H22*4/Inputs!$B$29,0)</f>
        <v>0</v>
      </c>
      <c r="H32" s="0" t="n">
        <f aca="false">IF(H$3=Inputs!$B$23,I22*4/Inputs!$B$29,0)</f>
        <v>0</v>
      </c>
      <c r="I32" s="0" t="n">
        <f aca="false">IF(I$3=Inputs!$B$23,J22*4/Inputs!$B$29,0)</f>
        <v>0</v>
      </c>
      <c r="J32" s="0" t="n">
        <f aca="false">IF(J$3=Inputs!$B$23,K22*4/Inputs!$B$29,0)</f>
        <v>0</v>
      </c>
      <c r="K32" s="0" t="n">
        <f aca="false">IF(K$3=Inputs!$B$23,L22*4/Inputs!$B$29,0)</f>
        <v>0</v>
      </c>
      <c r="L32" s="0" t="n">
        <f aca="false">IF(L$3=Inputs!$B$23,M22*4/Inputs!$B$29,0)</f>
        <v>0</v>
      </c>
      <c r="M32" s="0" t="n">
        <f aca="false">IF(M$3=Inputs!$B$23,N22*4/Inputs!$B$29,0)</f>
        <v>0</v>
      </c>
      <c r="N32" s="0" t="n">
        <f aca="false">IF(N$3=Inputs!$B$23,O22*4/Inputs!$B$29,0)</f>
        <v>0</v>
      </c>
      <c r="O32" s="0" t="n">
        <f aca="false">IF(O$3=Inputs!$B$23,P22*4/Inputs!$B$29,0)</f>
        <v>0</v>
      </c>
      <c r="P32" s="0" t="n">
        <f aca="false">IF(P$3=Inputs!$B$23,Q22*4/Inputs!$B$29,0)</f>
        <v>0</v>
      </c>
      <c r="Q32" s="0" t="n">
        <f aca="false">IF(Q$3=Inputs!$B$23,R22*4/Inputs!$B$29,0)</f>
        <v>0</v>
      </c>
      <c r="R32" s="0" t="n">
        <f aca="false">IF(R$3=Inputs!$B$23,S22*4/Inputs!$B$29,0)</f>
        <v>0</v>
      </c>
      <c r="S32" s="0" t="n">
        <f aca="false">IF(S$3=Inputs!$B$23,T22*4/Inputs!$B$29,0)</f>
        <v>0</v>
      </c>
      <c r="T32" s="0" t="n">
        <f aca="false">IF(T$3=Inputs!$B$23,U22*4/Inputs!$B$29,0)</f>
        <v>0</v>
      </c>
      <c r="U32" s="0" t="n">
        <f aca="false">IF(U$3=Inputs!$B$23,V22*4/Inputs!$B$29,0)</f>
        <v>0</v>
      </c>
      <c r="V32" s="0" t="n">
        <f aca="false">IF(V$3=Inputs!$B$23,W22*4/Inputs!$B$29,0)</f>
        <v>0</v>
      </c>
      <c r="W32" s="0" t="n">
        <f aca="false">IF(W$3=Inputs!$B$23,X22*4/Inputs!$B$29,0)</f>
        <v>0</v>
      </c>
      <c r="X32" s="0" t="n">
        <f aca="false">IF(X$3=Inputs!$B$23,Y22*4/Inputs!$B$29,0)</f>
        <v>0</v>
      </c>
      <c r="Y32" s="0" t="n">
        <f aca="false">IF(Y$3=Inputs!$B$23,Z22*4/Inputs!$B$29,0)</f>
        <v>0</v>
      </c>
      <c r="Z32" s="0" t="n">
        <f aca="false">IF(Z$3=Inputs!$B$23,AA22*4/Inputs!$B$29,0)</f>
        <v>0</v>
      </c>
      <c r="AA32" s="0" t="n">
        <f aca="false">IF(AA$3=Inputs!$B$23,AB22*4/Inputs!$B$29,0)</f>
        <v>0</v>
      </c>
      <c r="AB32" s="0" t="n">
        <f aca="false">IF(AB$3=Inputs!$B$23,AC22*4/Inputs!$B$29,0)</f>
        <v>0</v>
      </c>
      <c r="AC32" s="0" t="n">
        <f aca="false">IF(AC$3=Inputs!$B$23,AD22*4/Inputs!$B$29,0)</f>
        <v>0</v>
      </c>
      <c r="AD32" s="0" t="n">
        <f aca="false">IF(AD$3=Inputs!$B$23,AE22*4/Inputs!$B$29,0)</f>
        <v>0</v>
      </c>
      <c r="AE32" s="0" t="n">
        <f aca="false">IF(AE$3=Inputs!$B$23,AF22*4/Inputs!$B$29,0)</f>
        <v>0</v>
      </c>
      <c r="AF32" s="0" t="n">
        <f aca="false">IF(AF$3=Inputs!$B$23,AG22*4/Inputs!$B$29,0)</f>
        <v>0</v>
      </c>
      <c r="AG32" s="0" t="n">
        <f aca="false">IF(AG$3=Inputs!$B$23,AH22*4/Inputs!$B$29,0)</f>
        <v>0</v>
      </c>
      <c r="AH32" s="0" t="n">
        <f aca="false">IF(AH$3=Inputs!$B$23,AI22*4/Inputs!$B$29,0)</f>
        <v>0</v>
      </c>
      <c r="AI32" s="0" t="n">
        <f aca="false">IF(AI$3=Inputs!$B$23,AJ22*4/Inputs!$B$29,0)</f>
        <v>0</v>
      </c>
      <c r="AJ32" s="0" t="n">
        <f aca="false">IF(AJ$3=Inputs!$B$23,AK22*4/Inputs!$B$29,0)</f>
        <v>0</v>
      </c>
      <c r="AK32" s="0" t="n">
        <f aca="false">IF(AK$3=Inputs!$B$23,AL22*4/Inputs!$B$29,0)</f>
        <v>0</v>
      </c>
      <c r="AL32" s="0" t="n">
        <f aca="false">IF(AL$3=Inputs!$B$23,AM22*4/Inputs!$B$29,0)</f>
        <v>2161488100.84076</v>
      </c>
      <c r="AM32" s="0" t="n">
        <f aca="false">IF(AM$3=Inputs!$B$23,AN22*4/Inputs!$B$29,0)</f>
        <v>0</v>
      </c>
      <c r="AN32" s="0" t="n">
        <f aca="false">IF(AN$3=Inputs!$B$23,AO22*4/Inputs!$B$29,0)</f>
        <v>0</v>
      </c>
      <c r="AO32" s="0" t="n">
        <f aca="false">IF(AO$3=Inputs!$B$23,AP22*4/Inputs!$B$29,0)</f>
        <v>0</v>
      </c>
      <c r="AP32" s="0" t="n">
        <f aca="false">IF(AP$3=Inputs!$B$23,AP22*4/Inputs!$B$29,0)</f>
        <v>0</v>
      </c>
    </row>
    <row r="33" customFormat="false" ht="15" hidden="false" customHeight="false" outlineLevel="0" collapsed="false">
      <c r="A33" s="0" t="s">
        <v>69</v>
      </c>
      <c r="B33" s="0" t="n">
        <f aca="false">IF(B$3=Inputs!$B$23,B24+B25+B26-B28,0)</f>
        <v>0</v>
      </c>
      <c r="C33" s="0" t="n">
        <f aca="false">IF(C$3=Inputs!$B$23,C24+C25+C26-C28,0)</f>
        <v>0</v>
      </c>
      <c r="D33" s="0" t="n">
        <f aca="false">IF(D$3=Inputs!$B$23,D24+D25+D26-D28,0)</f>
        <v>0</v>
      </c>
      <c r="E33" s="0" t="n">
        <f aca="false">IF(E$3=Inputs!$B$23,E24+E25+E26-E28,0)</f>
        <v>0</v>
      </c>
      <c r="F33" s="0" t="n">
        <f aca="false">IF(F$3=Inputs!$B$23,F24+F25+F26-F28,0)</f>
        <v>0</v>
      </c>
      <c r="G33" s="0" t="n">
        <f aca="false">IF(G$3=Inputs!$B$23,G24+G25+G26-G28,0)</f>
        <v>0</v>
      </c>
      <c r="H33" s="0" t="n">
        <f aca="false">IF(H$3=Inputs!$B$23,H24+H25+H26-H28,0)</f>
        <v>0</v>
      </c>
      <c r="I33" s="0" t="n">
        <f aca="false">IF(I$3=Inputs!$B$23,I24+I25+I26-I28,0)</f>
        <v>0</v>
      </c>
      <c r="J33" s="0" t="n">
        <f aca="false">IF(J$3=Inputs!$B$23,J24+J25+J26-J28,0)</f>
        <v>0</v>
      </c>
      <c r="K33" s="0" t="n">
        <f aca="false">IF(K$3=Inputs!$B$23,K24+K25+K26-K28,0)</f>
        <v>0</v>
      </c>
      <c r="L33" s="0" t="n">
        <f aca="false">IF(L$3=Inputs!$B$23,L24+L25+L26-L28,0)</f>
        <v>0</v>
      </c>
      <c r="M33" s="0" t="n">
        <f aca="false">IF(M$3=Inputs!$B$23,M24+M25+M26-M28,0)</f>
        <v>0</v>
      </c>
      <c r="N33" s="0" t="n">
        <f aca="false">IF(N$3=Inputs!$B$23,N24+N25+N26-N28,0)</f>
        <v>0</v>
      </c>
      <c r="O33" s="0" t="n">
        <f aca="false">IF(O$3=Inputs!$B$23,O24+O25+O26-O28,0)</f>
        <v>0</v>
      </c>
      <c r="P33" s="0" t="n">
        <f aca="false">IF(P$3=Inputs!$B$23,P24+P25+P26-P28,0)</f>
        <v>0</v>
      </c>
      <c r="Q33" s="0" t="n">
        <f aca="false">IF(Q$3=Inputs!$B$23,Q24+Q25+Q26-Q28,0)</f>
        <v>0</v>
      </c>
      <c r="R33" s="0" t="n">
        <f aca="false">IF(R$3=Inputs!$B$23,R24+R25+R26-R28,0)</f>
        <v>0</v>
      </c>
      <c r="S33" s="0" t="n">
        <f aca="false">IF(S$3=Inputs!$B$23,S24+S25+S26-S28,0)</f>
        <v>0</v>
      </c>
      <c r="T33" s="0" t="n">
        <f aca="false">IF(T$3=Inputs!$B$23,T24+T25+T26-T28,0)</f>
        <v>0</v>
      </c>
      <c r="U33" s="0" t="n">
        <f aca="false">IF(U$3=Inputs!$B$23,U24+U25+U26-U28,0)</f>
        <v>0</v>
      </c>
      <c r="V33" s="0" t="n">
        <f aca="false">IF(V$3=Inputs!$B$23,V24+V25+V26-V28,0)</f>
        <v>0</v>
      </c>
      <c r="W33" s="0" t="n">
        <f aca="false">IF(W$3=Inputs!$B$23,W24+W25+W26-W28,0)</f>
        <v>0</v>
      </c>
      <c r="X33" s="0" t="n">
        <f aca="false">IF(X$3=Inputs!$B$23,X24+X25+X26-X28,0)</f>
        <v>0</v>
      </c>
      <c r="Y33" s="0" t="n">
        <f aca="false">IF(Y$3=Inputs!$B$23,Y24+Y25+Y26-Y28,0)</f>
        <v>0</v>
      </c>
      <c r="Z33" s="0" t="n">
        <f aca="false">IF(Z$3=Inputs!$B$23,Z24+Z25+Z26-Z28,0)</f>
        <v>0</v>
      </c>
      <c r="AA33" s="0" t="n">
        <f aca="false">IF(AA$3=Inputs!$B$23,AA24+AA25+AA26-AA28,0)</f>
        <v>0</v>
      </c>
      <c r="AB33" s="0" t="n">
        <f aca="false">IF(AB$3=Inputs!$B$23,AB24+AB25+AB26-AB28,0)</f>
        <v>0</v>
      </c>
      <c r="AC33" s="0" t="n">
        <f aca="false">IF(AC$3=Inputs!$B$23,AC24+AC25+AC26-AC28,0)</f>
        <v>0</v>
      </c>
      <c r="AD33" s="0" t="n">
        <f aca="false">IF(AD$3=Inputs!$B$23,AD24+AD25+AD26-AD28,0)</f>
        <v>0</v>
      </c>
      <c r="AE33" s="0" t="n">
        <f aca="false">IF(AE$3=Inputs!$B$23,AE24+AE25+AE26-AE28,0)</f>
        <v>0</v>
      </c>
      <c r="AF33" s="0" t="n">
        <f aca="false">IF(AF$3=Inputs!$B$23,AF24+AF25+AF26-AF28,0)</f>
        <v>0</v>
      </c>
      <c r="AG33" s="0" t="n">
        <f aca="false">IF(AG$3=Inputs!$B$23,AG24+AG25+AG26-AG28,0)</f>
        <v>0</v>
      </c>
      <c r="AH33" s="0" t="n">
        <f aca="false">IF(AH$3=Inputs!$B$23,AH24+AH25+AH26-AH28,0)</f>
        <v>0</v>
      </c>
      <c r="AI33" s="0" t="n">
        <f aca="false">IF(AI$3=Inputs!$B$23,AI24+AI25+AI26-AI28,0)</f>
        <v>0</v>
      </c>
      <c r="AJ33" s="0" t="n">
        <f aca="false">IF(AJ$3=Inputs!$B$23,AJ24+AJ25+AJ26-AJ28,0)</f>
        <v>0</v>
      </c>
      <c r="AK33" s="0" t="n">
        <f aca="false">IF(AK$3=Inputs!$B$23,AK24+AK25+AK26-AK28,0)</f>
        <v>0</v>
      </c>
      <c r="AL33" s="0" t="n">
        <f aca="false">IF(AL$3=Inputs!$B$23,AL24+AL25+AL26-AL28,0)</f>
        <v>633047931.598172</v>
      </c>
      <c r="AM33" s="0" t="n">
        <f aca="false">IF(AM$3=Inputs!$B$23,AM24+AM25+AM26-AM28,0)</f>
        <v>0</v>
      </c>
      <c r="AN33" s="0" t="n">
        <f aca="false">IF(AN$3=Inputs!$B$23,AN24+AN25+AN26-AN28,0)</f>
        <v>0</v>
      </c>
      <c r="AO33" s="0" t="n">
        <f aca="false">IF(AO$3=Inputs!$B$23,AO24+AO25+AO26-AO28,0)</f>
        <v>0</v>
      </c>
      <c r="AP33" s="0" t="n">
        <f aca="false">IF(AP$3=Inputs!$B$23,AP24+AP25+AP26-AP28,0)</f>
        <v>0</v>
      </c>
    </row>
    <row r="34" customFormat="false" ht="15" hidden="false" customHeight="false" outlineLevel="0" collapsed="false">
      <c r="A34" s="0" t="s">
        <v>70</v>
      </c>
      <c r="B34" s="0" t="n">
        <f aca="false">B14*(1-Inputs!$B$16)</f>
        <v>0</v>
      </c>
      <c r="C34" s="0" t="n">
        <f aca="false">C14*(1-Inputs!$B$16)</f>
        <v>13800000</v>
      </c>
      <c r="D34" s="0" t="n">
        <f aca="false">D14*(1-Inputs!$B$16)</f>
        <v>13800000</v>
      </c>
      <c r="E34" s="0" t="n">
        <f aca="false">E14*(1-Inputs!$B$16)</f>
        <v>13800000</v>
      </c>
      <c r="F34" s="0" t="n">
        <f aca="false">F14*(1-Inputs!$B$16)</f>
        <v>13800000</v>
      </c>
      <c r="G34" s="0" t="n">
        <f aca="false">G14*(1-Inputs!$B$16)</f>
        <v>13800000</v>
      </c>
      <c r="H34" s="0" t="n">
        <f aca="false">H14*(1-Inputs!$B$16)</f>
        <v>30383000</v>
      </c>
      <c r="I34" s="0" t="n">
        <f aca="false">I14*(1-Inputs!$B$16)</f>
        <v>30383000</v>
      </c>
      <c r="J34" s="0" t="n">
        <f aca="false">J14*(1-Inputs!$B$16)</f>
        <v>16583000</v>
      </c>
      <c r="K34" s="0" t="n">
        <f aca="false">K14*(1-Inputs!$B$16)</f>
        <v>16583000</v>
      </c>
      <c r="L34" s="0" t="n">
        <f aca="false">L14*(1-Inputs!$B$16)</f>
        <v>16583000</v>
      </c>
      <c r="M34" s="0" t="n">
        <f aca="false">M14*(1-Inputs!$B$16)</f>
        <v>16583000</v>
      </c>
      <c r="N34" s="0" t="n">
        <f aca="false">N14*(1-Inputs!$B$16)</f>
        <v>16583000</v>
      </c>
      <c r="O34" s="0" t="n">
        <f aca="false">O14*(1-Inputs!$B$16)</f>
        <v>38574130.875</v>
      </c>
      <c r="P34" s="0" t="n">
        <f aca="false">P14*(1-Inputs!$B$16)</f>
        <v>21991130.875</v>
      </c>
      <c r="Q34" s="0" t="n">
        <f aca="false">Q14*(1-Inputs!$B$16)</f>
        <v>21991130.875</v>
      </c>
      <c r="R34" s="0" t="n">
        <f aca="false">R14*(1-Inputs!$B$16)</f>
        <v>21991130.875</v>
      </c>
      <c r="S34" s="0" t="n">
        <f aca="false">S14*(1-Inputs!$B$16)</f>
        <v>21991130.875</v>
      </c>
      <c r="T34" s="0" t="n">
        <f aca="false">T14*(1-Inputs!$B$16)</f>
        <v>21991130.875</v>
      </c>
      <c r="U34" s="0" t="n">
        <f aca="false">U14*(1-Inputs!$B$16)</f>
        <v>21991130.875</v>
      </c>
      <c r="V34" s="0" t="n">
        <f aca="false">V14*(1-Inputs!$B$16)</f>
        <v>21991130.875</v>
      </c>
      <c r="W34" s="0" t="n">
        <f aca="false">W14*(1-Inputs!$B$16)</f>
        <v>0</v>
      </c>
      <c r="X34" s="0" t="n">
        <f aca="false">X14*(1-Inputs!$B$16)</f>
        <v>0</v>
      </c>
      <c r="Y34" s="0" t="n">
        <f aca="false">Y14*(1-Inputs!$B$16)</f>
        <v>0</v>
      </c>
      <c r="Z34" s="0" t="n">
        <f aca="false">Z14*(1-Inputs!$B$16)</f>
        <v>0</v>
      </c>
      <c r="AA34" s="0" t="n">
        <f aca="false">AA14*(1-Inputs!$B$16)</f>
        <v>0</v>
      </c>
      <c r="AB34" s="0" t="n">
        <f aca="false">AB14*(1-Inputs!$B$16)</f>
        <v>0</v>
      </c>
      <c r="AC34" s="0" t="n">
        <f aca="false">AC14*(1-Inputs!$B$16)</f>
        <v>0</v>
      </c>
      <c r="AD34" s="0" t="n">
        <f aca="false">AD14*(1-Inputs!$B$16)</f>
        <v>0</v>
      </c>
      <c r="AE34" s="0" t="n">
        <f aca="false">AE14*(1-Inputs!$B$16)</f>
        <v>0</v>
      </c>
      <c r="AF34" s="0" t="n">
        <f aca="false">AF14*(1-Inputs!$B$16)</f>
        <v>0</v>
      </c>
      <c r="AG34" s="0" t="n">
        <f aca="false">AG14*(1-Inputs!$B$16)</f>
        <v>0</v>
      </c>
      <c r="AH34" s="0" t="n">
        <f aca="false">AH14*(1-Inputs!$B$16)</f>
        <v>0</v>
      </c>
      <c r="AI34" s="0" t="n">
        <f aca="false">AI14*(1-Inputs!$B$16)</f>
        <v>0</v>
      </c>
      <c r="AJ34" s="0" t="n">
        <f aca="false">AJ14*(1-Inputs!$B$16)</f>
        <v>0</v>
      </c>
      <c r="AK34" s="0" t="n">
        <f aca="false">AK14*(1-Inputs!$B$16)</f>
        <v>0</v>
      </c>
      <c r="AL34" s="0" t="n">
        <f aca="false">AL14*(1-Inputs!$B$16)</f>
        <v>0</v>
      </c>
      <c r="AM34" s="0" t="n">
        <f aca="false">AM14*(1-Inputs!$B$16)</f>
        <v>0</v>
      </c>
      <c r="AN34" s="0" t="n">
        <f aca="false">AN14*(1-Inputs!$B$16)</f>
        <v>0</v>
      </c>
      <c r="AO34" s="0" t="n">
        <f aca="false">AO14*(1-Inputs!$B$16)</f>
        <v>0</v>
      </c>
      <c r="AP34" s="0" t="n">
        <f aca="false">AP14*(1-Inputs!$B$16)</f>
        <v>0</v>
      </c>
    </row>
    <row r="35" customFormat="false" ht="15" hidden="false" customHeight="false" outlineLevel="0" collapsed="false">
      <c r="A35" s="0" t="s">
        <v>71</v>
      </c>
      <c r="B35" s="0" t="n">
        <f aca="false">IF(B$3&gt;Inputs!$B$23,0,-B34+B22-B27-B28-B30+B32-B33)</f>
        <v>0</v>
      </c>
      <c r="C35" s="0" t="n">
        <f aca="false">IF(C$3&gt;Inputs!$B$23,0,-C34+C22-C27-C28-C30+C32-C33)</f>
        <v>-13800000</v>
      </c>
      <c r="D35" s="0" t="n">
        <f aca="false">IF(D$3&gt;Inputs!$B$23,0,-D34+D22-D27-D28-D30+D32-D33)</f>
        <v>-13800000</v>
      </c>
      <c r="E35" s="0" t="n">
        <f aca="false">IF(E$3&gt;Inputs!$B$23,0,-E34+E22-E27-E28-E30+E32-E33)</f>
        <v>-13800000</v>
      </c>
      <c r="F35" s="0" t="n">
        <f aca="false">IF(F$3&gt;Inputs!$B$23,0,-F34+F22-F27-F28-F30+F32-F33)</f>
        <v>-13800000</v>
      </c>
      <c r="G35" s="0" t="n">
        <f aca="false">IF(G$3&gt;Inputs!$B$23,0,-G34+G22-G27-G28-G30+G32-G33)</f>
        <v>-13800000</v>
      </c>
      <c r="H35" s="0" t="n">
        <f aca="false">IF(H$3&gt;Inputs!$B$23,0,-H34+H22-H27-H28-H30+H32-H33)</f>
        <v>-30383000</v>
      </c>
      <c r="I35" s="0" t="n">
        <f aca="false">IF(I$3&gt;Inputs!$B$23,0,-I34+I22-I27-I28-I30+I32-I33)</f>
        <v>-30383000</v>
      </c>
      <c r="J35" s="0" t="n">
        <f aca="false">IF(J$3&gt;Inputs!$B$23,0,-J34+J22-J27-J28-J30+J32-J33)</f>
        <v>-11653578.8</v>
      </c>
      <c r="K35" s="0" t="n">
        <f aca="false">IF(K$3&gt;Inputs!$B$23,0,-K34+K22-K27-K28-K30+K32-K33)</f>
        <v>-11160636.68</v>
      </c>
      <c r="L35" s="0" t="n">
        <f aca="false">IF(L$3&gt;Inputs!$B$23,0,-L34+L22-L27-L28-L30+L32-L33)</f>
        <v>-10667694.56</v>
      </c>
      <c r="M35" s="0" t="n">
        <f aca="false">IF(M$3&gt;Inputs!$B$23,0,-M34+M22-M27-M28-M30+M32-M33)</f>
        <v>-17689957.4036228</v>
      </c>
      <c r="N35" s="0" t="n">
        <f aca="false">IF(N$3&gt;Inputs!$B$23,0,-N34+N22-N27-N28-N30+N32-N33)</f>
        <v>-17612246.5838046</v>
      </c>
      <c r="O35" s="0" t="n">
        <f aca="false">IF(O$3&gt;Inputs!$B$23,0,-O34+O22-O27-O28-O30+O32-O33)</f>
        <v>-39692032.1784856</v>
      </c>
      <c r="P35" s="0" t="n">
        <f aca="false">IF(P$3&gt;Inputs!$B$23,0,-P34+P22-P27-P28-P30+P32-P33)</f>
        <v>-18997423.1002338</v>
      </c>
      <c r="Q35" s="0" t="n">
        <f aca="false">IF(Q$3&gt;Inputs!$B$23,0,-Q34+Q22-Q27-Q28-Q30+Q32-Q33)</f>
        <v>-19172877.1481233</v>
      </c>
      <c r="R35" s="0" t="n">
        <f aca="false">IF(R$3&gt;Inputs!$B$23,0,-R34+R22-R27-R28-R30+R32-R33)</f>
        <v>-19144079.8375233</v>
      </c>
      <c r="S35" s="0" t="n">
        <f aca="false">IF(S$3&gt;Inputs!$B$23,0,-S34+S22-S27-S28-S30+S32-S33)</f>
        <v>-19311637.3592263</v>
      </c>
      <c r="T35" s="0" t="n">
        <f aca="false">IF(T$3&gt;Inputs!$B$23,0,-T34+T22-T27-T28-T30+T32-T33)</f>
        <v>-19263584.2050708</v>
      </c>
      <c r="U35" s="0" t="n">
        <f aca="false">IF(U$3&gt;Inputs!$B$23,0,-U34+U22-U27-U28-U30+U32-U33)</f>
        <v>-19407039.9684361</v>
      </c>
      <c r="V35" s="0" t="n">
        <f aca="false">IF(V$3&gt;Inputs!$B$23,0,-V34+V22-V27-V28-V30+V32-V33)</f>
        <v>-19341315.6147345</v>
      </c>
      <c r="W35" s="0" t="n">
        <f aca="false">IF(W$3&gt;Inputs!$B$23,0,-W34+W22-W27-W28-W30+W32-W33)</f>
        <v>6934271.01542956</v>
      </c>
      <c r="X35" s="0" t="n">
        <f aca="false">IF(X$3&gt;Inputs!$B$23,0,-X34+X22-X27-X28-X30+X32-X33)</f>
        <v>7496010.67969705</v>
      </c>
      <c r="Y35" s="0" t="n">
        <f aca="false">IF(Y$3&gt;Inputs!$B$23,0,-Y34+Y22-Y27-Y28-Y30+Y32-Y33)</f>
        <v>7927787.31816045</v>
      </c>
      <c r="Z35" s="0" t="n">
        <f aca="false">IF(Z$3&gt;Inputs!$B$23,0,-Z34+Z22-Z27-Z28-Z30+Z32-Z33)</f>
        <v>8467553.69498871</v>
      </c>
      <c r="AA35" s="0" t="n">
        <f aca="false">IF(AA$3&gt;Inputs!$B$23,0,-AA34+AA22-AA27-AA28-AA30+AA32-AA33)</f>
        <v>9015470.96639239</v>
      </c>
      <c r="AB35" s="0" t="n">
        <f aca="false">IF(AB$3&gt;Inputs!$B$23,0,-AB34+AB22-AB27-AB28-AB30+AB32-AB33)</f>
        <v>9604434.92150931</v>
      </c>
      <c r="AC35" s="0" t="n">
        <f aca="false">IF(AC$3&gt;Inputs!$B$23,0,-AC34+AC22-AC27-AC28-AC30+AC32-AC33)</f>
        <v>10060309.310902</v>
      </c>
      <c r="AD35" s="0" t="n">
        <f aca="false">IF(AD$3&gt;Inputs!$B$23,0,-AD34+AD22-AD27-AD28-AD30+AD32-AD33)</f>
        <v>10626996.8742746</v>
      </c>
      <c r="AE35" s="0" t="n">
        <f aca="false">IF(AE$3&gt;Inputs!$B$23,0,-AE34+AE22-AE27-AE28-AE30+AE32-AE33)</f>
        <v>11245560.8240876</v>
      </c>
      <c r="AF35" s="0" t="n">
        <f aca="false">IF(AF$3&gt;Inputs!$B$23,0,-AF34+AF22-AF27-AF28-AF30+AF32-AF33)</f>
        <v>11863195.3206402</v>
      </c>
      <c r="AG35" s="0" t="n">
        <f aca="false">IF(AG$3&gt;Inputs!$B$23,0,-AG34+AG22-AG27-AG28-AG30+AG32-AG33)</f>
        <v>11922593.4863091</v>
      </c>
      <c r="AH35" s="0" t="n">
        <f aca="false">IF(AH$3&gt;Inputs!$B$23,0,-AH34+AH22-AH27-AH28-AH30+AH32-AH33)</f>
        <v>12093095.3301989</v>
      </c>
      <c r="AI35" s="0" t="n">
        <f aca="false">IF(AI$3&gt;Inputs!$B$23,0,-AI34+AI22-AI27-AI28-AI30+AI32-AI33)</f>
        <v>12325387.6871069</v>
      </c>
      <c r="AJ35" s="0" t="n">
        <f aca="false">IF(AJ$3&gt;Inputs!$B$23,0,-AJ34+AJ22-AJ27-AJ28-AJ30+AJ32-AJ33)</f>
        <v>12532028.4187521</v>
      </c>
      <c r="AK35" s="0" t="n">
        <f aca="false">IF(AK$3&gt;Inputs!$B$23,0,-AK34+AK22-AK27-AK28-AK30+AK32-AK33)</f>
        <v>12596356.0726977</v>
      </c>
      <c r="AL35" s="0" t="n">
        <f aca="false">IF(AL$3&gt;Inputs!$B$23,0,-AL34+AL22-AL27-AL28-AL30+AL32-AL33)</f>
        <v>1548740474.3667</v>
      </c>
      <c r="AM35" s="0" t="n">
        <f aca="false">IF(AM$3&gt;Inputs!$B$23,0,-AM34+AM22-AM27-AM28-AM30+AM32-AM33)</f>
        <v>0</v>
      </c>
      <c r="AN35" s="0" t="n">
        <f aca="false">IF(AN$3&gt;Inputs!$B$23,0,-AN34+AN22-AN27-AN28-AN30+AN32-AN33)</f>
        <v>0</v>
      </c>
      <c r="AO35" s="0" t="n">
        <f aca="false">IF(AO$3&gt;Inputs!$B$23,0,-AO34+AO22-AO27-AO28-AO30+AO32-AO33)</f>
        <v>0</v>
      </c>
      <c r="AP35" s="0" t="n">
        <f aca="false">IF(AP$3&gt;Inputs!$B$23,0,-AP34+AP22-AP27-AP28-AP30+AP32-AP33)</f>
        <v>0</v>
      </c>
    </row>
    <row r="36" customFormat="false" ht="15" hidden="false" customHeight="false" outlineLevel="0" collapsed="false">
      <c r="A36" s="0" t="s">
        <v>72</v>
      </c>
      <c r="B36" s="0" t="n">
        <f aca="false">IF(B$3&gt;Inputs!$B$23,0,-B14+B22+B32)</f>
        <v>0</v>
      </c>
      <c r="C36" s="0" t="n">
        <f aca="false">IF(C$3&gt;Inputs!$B$23,0,-C14+C22+C32)</f>
        <v>-39428571.4285714</v>
      </c>
      <c r="D36" s="0" t="n">
        <f aca="false">IF(D$3&gt;Inputs!$B$23,0,-D14+D22+D32)</f>
        <v>-39428571.4285714</v>
      </c>
      <c r="E36" s="0" t="n">
        <f aca="false">IF(E$3&gt;Inputs!$B$23,0,-E14+E22+E32)</f>
        <v>-39428571.4285714</v>
      </c>
      <c r="F36" s="0" t="n">
        <f aca="false">IF(F$3&gt;Inputs!$B$23,0,-F14+F22+F32)</f>
        <v>-39428571.4285714</v>
      </c>
      <c r="G36" s="0" t="n">
        <f aca="false">IF(G$3&gt;Inputs!$B$23,0,-G14+G22+G32)</f>
        <v>-39428571.4285714</v>
      </c>
      <c r="H36" s="0" t="n">
        <f aca="false">IF(H$3&gt;Inputs!$B$23,0,-H14+H22+H32)</f>
        <v>-86808571.4285714</v>
      </c>
      <c r="I36" s="0" t="n">
        <f aca="false">IF(I$3&gt;Inputs!$B$23,0,-I14+I22+I32)</f>
        <v>-86808571.4285714</v>
      </c>
      <c r="J36" s="0" t="n">
        <f aca="false">IF(J$3&gt;Inputs!$B$23,0,-J14+J22+J32)</f>
        <v>-42450578.8</v>
      </c>
      <c r="K36" s="0" t="n">
        <f aca="false">IF(K$3&gt;Inputs!$B$23,0,-K14+K22+K32)</f>
        <v>-41957636.68</v>
      </c>
      <c r="L36" s="0" t="n">
        <f aca="false">IF(L$3&gt;Inputs!$B$23,0,-L14+L22+L32)</f>
        <v>-41464694.56</v>
      </c>
      <c r="M36" s="0" t="n">
        <f aca="false">IF(M$3&gt;Inputs!$B$23,0,-M14+M22+M32)</f>
        <v>-40971752.44</v>
      </c>
      <c r="N36" s="0" t="n">
        <f aca="false">IF(N$3&gt;Inputs!$B$23,0,-N14+N22+N32)</f>
        <v>-40296429.52</v>
      </c>
      <c r="O36" s="0" t="n">
        <f aca="false">IF(O$3&gt;Inputs!$B$23,0,-O14+O22+O32)</f>
        <v>-102622262.7</v>
      </c>
      <c r="P36" s="0" t="n">
        <f aca="false">IF(P$3&gt;Inputs!$B$23,0,-P14+P22+P32)</f>
        <v>-49696663.85</v>
      </c>
      <c r="Q36" s="0" t="n">
        <f aca="false">IF(Q$3&gt;Inputs!$B$23,0,-Q14+Q22+Q32)</f>
        <v>-49080486.2</v>
      </c>
      <c r="R36" s="0" t="n">
        <f aca="false">IF(R$3&gt;Inputs!$B$23,0,-R14+R22+R32)</f>
        <v>-48264015.35</v>
      </c>
      <c r="S36" s="0" t="n">
        <f aca="false">IF(S$3&gt;Inputs!$B$23,0,-S14+S22+S32)</f>
        <v>-47647837.7</v>
      </c>
      <c r="T36" s="0" t="n">
        <f aca="false">IF(T$3&gt;Inputs!$B$23,0,-T14+T22+T32)</f>
        <v>-46819968.05</v>
      </c>
      <c r="U36" s="0" t="n">
        <f aca="false">IF(U$3&gt;Inputs!$B$23,0,-U14+U22+U32)</f>
        <v>-46187506.4</v>
      </c>
      <c r="V36" s="0" t="n">
        <f aca="false">IF(V$3&gt;Inputs!$B$23,0,-V14+V22+V32)</f>
        <v>-45349744.22</v>
      </c>
      <c r="W36" s="0" t="n">
        <f aca="false">IF(W$3&gt;Inputs!$B$23,0,-W14+W22+W32)</f>
        <v>23228794.425</v>
      </c>
      <c r="X36" s="0" t="n">
        <f aca="false">IF(X$3&gt;Inputs!$B$23,0,-X14+X22+X32)</f>
        <v>24296882.97</v>
      </c>
      <c r="Y36" s="0" t="n">
        <f aca="false">IF(Y$3&gt;Inputs!$B$23,0,-Y14+Y22+Y32)</f>
        <v>25097913.915</v>
      </c>
      <c r="Z36" s="0" t="n">
        <f aca="false">IF(Z$3&gt;Inputs!$B$23,0,-Z14+Z22+Z32)</f>
        <v>26109377.90325</v>
      </c>
      <c r="AA36" s="0" t="n">
        <f aca="false">IF(AA$3&gt;Inputs!$B$23,0,-AA14+AA22+AA32)</f>
        <v>27130242.84825</v>
      </c>
      <c r="AB36" s="0" t="n">
        <f aca="false">IF(AB$3&gt;Inputs!$B$23,0,-AB14+AB22+AB32)</f>
        <v>28226177.03325</v>
      </c>
      <c r="AC36" s="0" t="n">
        <f aca="false">IF(AC$3&gt;Inputs!$B$23,0,-AC14+AC22+AC32)</f>
        <v>29048377.17825</v>
      </c>
      <c r="AD36" s="0" t="n">
        <f aca="false">IF(AD$3&gt;Inputs!$B$23,0,-AD14+AD22+AD32)</f>
        <v>30086271.1925812</v>
      </c>
      <c r="AE36" s="0" t="n">
        <f aca="false">IF(AE$3&gt;Inputs!$B$23,0,-AE14+AE22+AE32)</f>
        <v>31220594.9075812</v>
      </c>
      <c r="AF36" s="0" t="n">
        <f aca="false">IF(AF$3&gt;Inputs!$B$23,0,-AF14+AF22+AF32)</f>
        <v>32345070.8735812</v>
      </c>
      <c r="AG36" s="0" t="n">
        <f aca="false">IF(AG$3&gt;Inputs!$B$23,0,-AG14+AG22+AG32)</f>
        <v>32345070.8735812</v>
      </c>
      <c r="AH36" s="0" t="n">
        <f aca="false">IF(AH$3&gt;Inputs!$B$23,0,-AH14+AH22+AH32)</f>
        <v>32566157.0896458</v>
      </c>
      <c r="AI36" s="0" t="n">
        <f aca="false">IF(AI$3&gt;Inputs!$B$23,0,-AI14+AI22+AI32)</f>
        <v>32908324.6396458</v>
      </c>
      <c r="AJ36" s="0" t="n">
        <f aca="false">IF(AJ$3&gt;Inputs!$B$23,0,-AJ14+AJ22+AJ32)</f>
        <v>33195916.4654208</v>
      </c>
      <c r="AK36" s="0" t="n">
        <f aca="false">IF(AK$3&gt;Inputs!$B$23,0,-AK14+AK22+AK32)</f>
        <v>33195916.4654208</v>
      </c>
      <c r="AL36" s="0" t="n">
        <f aca="false">IF(AL$3&gt;Inputs!$B$23,0,-AL14+AL22+AL32)</f>
        <v>2194910630.67765</v>
      </c>
      <c r="AM36" s="0" t="n">
        <f aca="false">IF(AM$3&gt;Inputs!$B$23,0,-AM14+AM22+AM32)</f>
        <v>0</v>
      </c>
      <c r="AN36" s="0" t="n">
        <f aca="false">IF(AN$3&gt;Inputs!$B$23,0,-AN14+AN22+AN32)</f>
        <v>0</v>
      </c>
      <c r="AO36" s="0" t="n">
        <f aca="false">IF(AO$3&gt;Inputs!$B$23,0,-AO14+AO22+AO32)</f>
        <v>0</v>
      </c>
      <c r="AP36" s="0" t="n">
        <f aca="false">IF(AP$3&gt;Inputs!$B$23,0,-AP14+AP22+AP32)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73</v>
      </c>
      <c r="B3" s="4" t="n">
        <f aca="false">(1+IRR('Cash Flow'!$B$35:$AP$35,0.03))^4-1</f>
        <v>0.274796433229658</v>
      </c>
    </row>
    <row r="4" customFormat="false" ht="15" hidden="false" customHeight="false" outlineLevel="0" collapsed="false">
      <c r="A4" s="0" t="s">
        <v>74</v>
      </c>
      <c r="B4" s="4" t="n">
        <f aca="false">(1+IRR('Cash Flow'!$B$36:$AP$36,0.02))^4-1</f>
        <v>0.169086628912643</v>
      </c>
    </row>
    <row r="5" customFormat="false" ht="15" hidden="false" customHeight="false" outlineLevel="0" collapsed="false">
      <c r="A5" s="0" t="s">
        <v>75</v>
      </c>
      <c r="B5" s="6" t="n">
        <f aca="false">SUMIF('Cash Flow'!$B$35:$AP$35,"&gt;0")/-SUMIF('Cash Flow'!$B$35:$AP$35,"&lt;0")</f>
        <v>4.56836261998443</v>
      </c>
    </row>
    <row r="6" customFormat="false" ht="15" hidden="false" customHeight="false" outlineLevel="0" collapsed="false">
      <c r="A6" s="0" t="s">
        <v>76</v>
      </c>
      <c r="B6" s="3" t="n">
        <f aca="false">MAX('Cash Flow'!$B$31:$AP$31)</f>
        <v>756384031.849767</v>
      </c>
    </row>
    <row r="7" customFormat="false" ht="15" hidden="false" customHeight="false" outlineLevel="0" collapsed="false">
      <c r="A7" s="0" t="s">
        <v>77</v>
      </c>
      <c r="B7" s="6" t="n">
        <f aca="false">_xlfn.MINIFS('Cash Flow'!$B$29:$AP$29,'Cash Flow'!$B$29:$AP$29,"&gt;0")</f>
        <v>0.852704296292521</v>
      </c>
    </row>
    <row r="8" customFormat="false" ht="15" hidden="false" customHeight="false" outlineLevel="0" collapsed="false">
      <c r="A8" s="0" t="s">
        <v>78</v>
      </c>
      <c r="B8" s="1" t="n">
        <f aca="false">IFERROR(MATCH(1,'Cash Flow'!$B$23:$AP$23,0)-1,"not reached")</f>
        <v>11</v>
      </c>
    </row>
    <row r="9" customFormat="false" ht="15" hidden="false" customHeight="false" outlineLevel="0" collapsed="false">
      <c r="A9" s="0" t="s">
        <v>79</v>
      </c>
      <c r="B9" s="3" t="n">
        <f aca="false">SUM('Cash Flow'!$B$14:$AP$14)</f>
        <v>1157694420</v>
      </c>
    </row>
    <row r="10" customFormat="false" ht="15" hidden="false" customHeight="false" outlineLevel="0" collapsed="false">
      <c r="A10" s="0" t="s">
        <v>80</v>
      </c>
      <c r="B10" s="4" t="n">
        <f aca="false">INDEX('Cash Flow'!$B$22:$AP$22,Inputs!$B$23+1)*4/B9</f>
        <v>0.115479626607812</v>
      </c>
    </row>
    <row r="11" customFormat="false" ht="15" hidden="false" customHeight="false" outlineLevel="0" collapsed="false">
      <c r="A11" s="0" t="s">
        <v>81</v>
      </c>
      <c r="B11" s="3" t="n">
        <f aca="false">SUM('Cash Flow'!$B$32:$AP$32)</f>
        <v>2161488100.84076</v>
      </c>
    </row>
    <row r="12" customFormat="false" ht="15" hidden="false" customHeight="false" outlineLevel="0" collapsed="false">
      <c r="A12" s="0" t="s">
        <v>82</v>
      </c>
      <c r="B12" s="3" t="n">
        <f aca="false">SUM('Cash Flow'!$B$35:$AP$35)</f>
        <v>1330571422.84859</v>
      </c>
    </row>
    <row r="13" customFormat="false" ht="15" hidden="false" customHeight="false" outlineLevel="0" collapsed="false">
      <c r="A13" s="0" t="s">
        <v>83</v>
      </c>
      <c r="B13" s="3" t="n">
        <f aca="false">SUM('Cash Flow'!$B$30:$AP$30)</f>
        <v>66991728.6290369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2026-10-17T19:14:15Z</dcterms:created>
  <dc:creator>openpyxl</dc:creator>
  <dc:description/>
  <dc:language>en-US</dc:language>
  <cp:lastModifiedBy/>
  <dcterms:modified xsi:type="dcterms:W3CDTF">2026-10-17T19:14:15Z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