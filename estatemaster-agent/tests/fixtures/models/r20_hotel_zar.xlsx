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3"/>
    <sheet name="Seasonality" sheetId="2" state="visible" r:id="rId4"/>
    <sheet name="Cash Flow" sheetId="3" state="visible" r:id="rId5"/>
    <sheet name="Return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<sst xmlns="http://schemas.openxmlformats.org/spreadsheetml/2006/main" count="59" uniqueCount="58">
  <si>
    <t xml:space="preserve">CAPE AZURE RESORT – MONTHLY OPERATING MODEL (ZAR)</t>
  </si>
  <si>
    <t xml:space="preserve">Keys</t>
  </si>
  <si>
    <t xml:space="preserve">ADR, year 1 average (R)</t>
  </si>
  <si>
    <t xml:space="preserve">Stabilised occupancy</t>
  </si>
  <si>
    <t xml:space="preserve">ADR growth a year</t>
  </si>
  <si>
    <t xml:space="preserve">Other revenue (% of rooms)</t>
  </si>
  <si>
    <t xml:space="preserve">Rooms department cost (% of rooms)</t>
  </si>
  <si>
    <t xml:space="preserve">Other departments cost (% of other revenue)</t>
  </si>
  <si>
    <t xml:space="preserve">Undistributed (% of revenue)</t>
  </si>
  <si>
    <t xml:space="preserve">Fixed costs a month (R)</t>
  </si>
  <si>
    <t xml:space="preserve">Fixed cost growth a year</t>
  </si>
  <si>
    <t xml:space="preserve">Base fee (% of revenue)</t>
  </si>
  <si>
    <t xml:space="preserve">Incentive fee (% above owner priority)</t>
  </si>
  <si>
    <t xml:space="preserve">Owner priority (% of invested capital a year)</t>
  </si>
  <si>
    <t xml:space="preserve">PIP start month</t>
  </si>
  <si>
    <t xml:space="preserve">PIP length (months)</t>
  </si>
  <si>
    <t xml:space="preserve">Rooms out of order during PIP</t>
  </si>
  <si>
    <t xml:space="preserve">PIP capex (R)</t>
  </si>
  <si>
    <t xml:space="preserve">Purchase price (R)</t>
  </si>
  <si>
    <t xml:space="preserve">Key money from operator (R)</t>
  </si>
  <si>
    <t xml:space="preserve">Loan to value</t>
  </si>
  <si>
    <t xml:space="preserve">Interest rate</t>
  </si>
  <si>
    <t xml:space="preserve">Exit cap rate</t>
  </si>
  <si>
    <t xml:space="preserve">Month</t>
  </si>
  <si>
    <t xml:space="preserve">Occupancy index</t>
  </si>
  <si>
    <t xml:space="preserve">ADR index</t>
  </si>
  <si>
    <t xml:space="preserve">Year</t>
  </si>
  <si>
    <t xml:space="preserve">Month of year</t>
  </si>
  <si>
    <t xml:space="preserve">Ramp-up</t>
  </si>
  <si>
    <t xml:space="preserve">PIP</t>
  </si>
  <si>
    <t xml:space="preserve">Occupancy</t>
  </si>
  <si>
    <t xml:space="preserve">ADR</t>
  </si>
  <si>
    <t xml:space="preserve">Room nights</t>
  </si>
  <si>
    <t xml:space="preserve">Rooms revenue</t>
  </si>
  <si>
    <t xml:space="preserve">Other revenue</t>
  </si>
  <si>
    <t xml:space="preserve">Total revenue</t>
  </si>
  <si>
    <t xml:space="preserve">Departmental costs</t>
  </si>
  <si>
    <t xml:space="preserve">Undistributed</t>
  </si>
  <si>
    <t xml:space="preserve">Fixed costs</t>
  </si>
  <si>
    <t xml:space="preserve">GOP</t>
  </si>
  <si>
    <t xml:space="preserve">Base fee</t>
  </si>
  <si>
    <t xml:space="preserve">FF&amp;E reserve</t>
  </si>
  <si>
    <t xml:space="preserve">NOI before incentive fee</t>
  </si>
  <si>
    <t xml:space="preserve">Owner priority</t>
  </si>
  <si>
    <t xml:space="preserve">Incentive fee</t>
  </si>
  <si>
    <t xml:space="preserve">NOI</t>
  </si>
  <si>
    <t xml:space="preserve">PIP capex</t>
  </si>
  <si>
    <t xml:space="preserve">Interest</t>
  </si>
  <si>
    <t xml:space="preserve">Sale</t>
  </si>
  <si>
    <t xml:space="preserve">Equity cash flow</t>
  </si>
  <si>
    <t xml:space="preserve">Unlevered cash flow</t>
  </si>
  <si>
    <t xml:space="preserve">Levered IRR</t>
  </si>
  <si>
    <t xml:space="preserve">Unlevered IRR</t>
  </si>
  <si>
    <t xml:space="preserve">Equity multiple</t>
  </si>
  <si>
    <t xml:space="preserve">NOI, year 3 (R)</t>
  </si>
  <si>
    <t xml:space="preserve">Incentive fees paid (R)</t>
  </si>
  <si>
    <t xml:space="preserve">RevPAR, year 1 (R)</t>
  </si>
  <si>
    <t xml:space="preserve">Net profit (R)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</si>
</sst>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0.00%"/>
    <numFmt numFmtId="167" formatCode="0"/>
    <numFmt numFmtId="168" formatCode="0.00\x"/>
    <numFmt numFmtId="169" formatCode="#,##0.00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0</v>
      </c>
    </row>
    <row r="3" customFormat="false" ht="15" hidden="false" customHeight="false" outlineLevel="0" collapsed="false">
      <c r="A3" s="0" t="s">
        <v>1</v>
      </c>
      <c r="B3" s="1" t="n">
        <v>240</v>
      </c>
    </row>
    <row r="4" customFormat="false" ht="15" hidden="false" customHeight="false" outlineLevel="0" collapsed="false">
      <c r="A4" s="0" t="s">
        <v>2</v>
      </c>
      <c r="B4" s="1" t="n">
        <v>4200</v>
      </c>
    </row>
    <row r="5" customFormat="false" ht="15" hidden="false" customHeight="false" outlineLevel="0" collapsed="false">
      <c r="A5" s="0" t="s">
        <v>3</v>
      </c>
      <c r="B5" s="2" t="n">
        <v>0.72</v>
      </c>
    </row>
    <row r="6" customFormat="false" ht="15" hidden="false" customHeight="false" outlineLevel="0" collapsed="false">
      <c r="A6" s="0" t="s">
        <v>4</v>
      </c>
      <c r="B6" s="2" t="n">
        <v>0.055</v>
      </c>
    </row>
    <row r="7" customFormat="false" ht="15" hidden="false" customHeight="false" outlineLevel="0" collapsed="false">
      <c r="A7" s="0" t="s">
        <v>5</v>
      </c>
      <c r="B7" s="2" t="n">
        <v>0.55</v>
      </c>
    </row>
    <row r="8" customFormat="false" ht="15" hidden="false" customHeight="false" outlineLevel="0" collapsed="false">
      <c r="A8" s="0" t="s">
        <v>6</v>
      </c>
      <c r="B8" s="2" t="n">
        <v>0.24</v>
      </c>
    </row>
    <row r="9" customFormat="false" ht="15" hidden="false" customHeight="false" outlineLevel="0" collapsed="false">
      <c r="A9" s="0" t="s">
        <v>7</v>
      </c>
      <c r="B9" s="2" t="n">
        <v>0.68</v>
      </c>
    </row>
    <row r="10" customFormat="false" ht="15" hidden="false" customHeight="false" outlineLevel="0" collapsed="false">
      <c r="A10" s="0" t="s">
        <v>8</v>
      </c>
      <c r="B10" s="2" t="n">
        <v>0.19</v>
      </c>
    </row>
    <row r="11" customFormat="false" ht="15" hidden="false" customHeight="false" outlineLevel="0" collapsed="false">
      <c r="A11" s="0" t="s">
        <v>9</v>
      </c>
      <c r="B11" s="1" t="n">
        <v>2600000</v>
      </c>
    </row>
    <row r="12" customFormat="false" ht="15" hidden="false" customHeight="false" outlineLevel="0" collapsed="false">
      <c r="A12" s="0" t="s">
        <v>10</v>
      </c>
      <c r="B12" s="2" t="n">
        <v>0.06</v>
      </c>
    </row>
    <row r="13" customFormat="false" ht="15" hidden="false" customHeight="false" outlineLevel="0" collapsed="false">
      <c r="A13" s="0" t="s">
        <v>11</v>
      </c>
      <c r="B13" s="2" t="n">
        <v>0.025</v>
      </c>
    </row>
    <row r="14" customFormat="false" ht="15" hidden="false" customHeight="false" outlineLevel="0" collapsed="false">
      <c r="A14" s="0" t="s">
        <v>12</v>
      </c>
      <c r="B14" s="2" t="n">
        <v>0.15</v>
      </c>
    </row>
    <row r="15" customFormat="false" ht="15" hidden="false" customHeight="false" outlineLevel="0" collapsed="false">
      <c r="A15" s="0" t="s">
        <v>13</v>
      </c>
      <c r="B15" s="2" t="n">
        <v>0.1</v>
      </c>
    </row>
    <row r="16" customFormat="false" ht="15" hidden="false" customHeight="false" outlineLevel="0" collapsed="false">
      <c r="A16" s="0" t="s">
        <v>14</v>
      </c>
      <c r="B16" s="3" t="n">
        <v>37</v>
      </c>
    </row>
    <row r="17" customFormat="false" ht="15" hidden="false" customHeight="false" outlineLevel="0" collapsed="false">
      <c r="A17" s="0" t="s">
        <v>15</v>
      </c>
      <c r="B17" s="3" t="n">
        <v>6</v>
      </c>
    </row>
    <row r="18" customFormat="false" ht="15" hidden="false" customHeight="false" outlineLevel="0" collapsed="false">
      <c r="A18" s="0" t="s">
        <v>16</v>
      </c>
      <c r="B18" s="2" t="n">
        <v>0.3</v>
      </c>
    </row>
    <row r="19" customFormat="false" ht="15" hidden="false" customHeight="false" outlineLevel="0" collapsed="false">
      <c r="A19" s="0" t="s">
        <v>17</v>
      </c>
      <c r="B19" s="1" t="n">
        <v>96000000</v>
      </c>
    </row>
    <row r="20" customFormat="false" ht="15" hidden="false" customHeight="false" outlineLevel="0" collapsed="false">
      <c r="A20" s="0" t="s">
        <v>18</v>
      </c>
      <c r="B20" s="1" t="n">
        <v>1450000000</v>
      </c>
    </row>
    <row r="21" customFormat="false" ht="15" hidden="false" customHeight="false" outlineLevel="0" collapsed="false">
      <c r="A21" s="0" t="s">
        <v>19</v>
      </c>
      <c r="B21" s="1" t="n">
        <v>40000000</v>
      </c>
    </row>
    <row r="22" customFormat="false" ht="15" hidden="false" customHeight="false" outlineLevel="0" collapsed="false">
      <c r="A22" s="0" t="s">
        <v>20</v>
      </c>
      <c r="B22" s="2" t="n">
        <v>0.5</v>
      </c>
    </row>
    <row r="23" customFormat="false" ht="15" hidden="false" customHeight="false" outlineLevel="0" collapsed="false">
      <c r="A23" s="0" t="s">
        <v>21</v>
      </c>
      <c r="B23" s="2" t="n">
        <v>0.105</v>
      </c>
    </row>
    <row r="24" customFormat="false" ht="15" hidden="false" customHeight="false" outlineLevel="0" collapsed="false">
      <c r="A24" s="0" t="s">
        <v>22</v>
      </c>
      <c r="B24" s="2" t="n">
        <v>0.095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23</v>
      </c>
      <c r="B1" s="0" t="s">
        <v>24</v>
      </c>
      <c r="C1" s="0" t="s">
        <v>25</v>
      </c>
    </row>
    <row r="2" customFormat="false" ht="15" hidden="false" customHeight="false" outlineLevel="0" collapsed="false">
      <c r="A2" s="0" t="n">
        <v>1</v>
      </c>
      <c r="B2" s="0" t="n">
        <v>1.22</v>
      </c>
      <c r="C2" s="0" t="n">
        <v>1.35</v>
      </c>
    </row>
    <row r="3" customFormat="false" ht="15" hidden="false" customHeight="false" outlineLevel="0" collapsed="false">
      <c r="A3" s="0" t="n">
        <v>2</v>
      </c>
      <c r="B3" s="0" t="n">
        <v>1.15</v>
      </c>
      <c r="C3" s="0" t="n">
        <v>1.25</v>
      </c>
    </row>
    <row r="4" customFormat="false" ht="15" hidden="false" customHeight="false" outlineLevel="0" collapsed="false">
      <c r="A4" s="0" t="n">
        <v>3</v>
      </c>
      <c r="B4" s="0" t="n">
        <v>1.05</v>
      </c>
      <c r="C4" s="0" t="n">
        <v>1.1</v>
      </c>
    </row>
    <row r="5" customFormat="false" ht="15" hidden="false" customHeight="false" outlineLevel="0" collapsed="false">
      <c r="A5" s="0" t="n">
        <v>4</v>
      </c>
      <c r="B5" s="0" t="n">
        <v>0.95</v>
      </c>
      <c r="C5" s="0" t="n">
        <v>0.95</v>
      </c>
    </row>
    <row r="6" customFormat="false" ht="15" hidden="false" customHeight="false" outlineLevel="0" collapsed="false">
      <c r="A6" s="0" t="n">
        <v>5</v>
      </c>
      <c r="B6" s="0" t="n">
        <v>0.82</v>
      </c>
      <c r="C6" s="0" t="n">
        <v>0.85</v>
      </c>
    </row>
    <row r="7" customFormat="false" ht="15" hidden="false" customHeight="false" outlineLevel="0" collapsed="false">
      <c r="A7" s="0" t="n">
        <v>6</v>
      </c>
      <c r="B7" s="0" t="n">
        <v>0.75</v>
      </c>
      <c r="C7" s="0" t="n">
        <v>0.8</v>
      </c>
    </row>
    <row r="8" customFormat="false" ht="15" hidden="false" customHeight="false" outlineLevel="0" collapsed="false">
      <c r="A8" s="0" t="n">
        <v>7</v>
      </c>
      <c r="B8" s="0" t="n">
        <v>0.8</v>
      </c>
      <c r="C8" s="0" t="n">
        <v>0.82</v>
      </c>
    </row>
    <row r="9" customFormat="false" ht="15" hidden="false" customHeight="false" outlineLevel="0" collapsed="false">
      <c r="A9" s="0" t="n">
        <v>8</v>
      </c>
      <c r="B9" s="0" t="n">
        <v>0.85</v>
      </c>
      <c r="C9" s="0" t="n">
        <v>0.85</v>
      </c>
    </row>
    <row r="10" customFormat="false" ht="15" hidden="false" customHeight="false" outlineLevel="0" collapsed="false">
      <c r="A10" s="0" t="n">
        <v>9</v>
      </c>
      <c r="B10" s="0" t="n">
        <v>0.92</v>
      </c>
      <c r="C10" s="0" t="n">
        <v>0.9</v>
      </c>
    </row>
    <row r="11" customFormat="false" ht="15" hidden="false" customHeight="false" outlineLevel="0" collapsed="false">
      <c r="A11" s="0" t="n">
        <v>10</v>
      </c>
      <c r="B11" s="0" t="n">
        <v>1</v>
      </c>
      <c r="C11" s="0" t="n">
        <v>0.98</v>
      </c>
    </row>
    <row r="12" customFormat="false" ht="15" hidden="false" customHeight="false" outlineLevel="0" collapsed="false">
      <c r="A12" s="0" t="n">
        <v>11</v>
      </c>
      <c r="B12" s="0" t="n">
        <v>1.12</v>
      </c>
      <c r="C12" s="0" t="n">
        <v>1.1</v>
      </c>
    </row>
    <row r="13" customFormat="false" ht="15" hidden="false" customHeight="false" outlineLevel="0" collapsed="false">
      <c r="A13" s="0" t="n">
        <v>12</v>
      </c>
      <c r="B13" s="0" t="n">
        <v>1.37</v>
      </c>
      <c r="C13" s="0" t="n">
        <v>1.45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DR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3" customFormat="false" ht="15" hidden="false" customHeight="false" outlineLevel="0" collapsed="false">
      <c r="A3" s="0" t="s">
        <v>23</v>
      </c>
      <c r="B3" s="0" t="n">
        <v>0</v>
      </c>
      <c r="C3" s="0" t="n">
        <v>1</v>
      </c>
      <c r="D3" s="0" t="n">
        <v>2</v>
      </c>
      <c r="E3" s="0" t="n">
        <v>3</v>
      </c>
      <c r="F3" s="0" t="n">
        <v>4</v>
      </c>
      <c r="G3" s="0" t="n">
        <v>5</v>
      </c>
      <c r="H3" s="0" t="n">
        <v>6</v>
      </c>
      <c r="I3" s="0" t="n">
        <v>7</v>
      </c>
      <c r="J3" s="0" t="n">
        <v>8</v>
      </c>
      <c r="K3" s="0" t="n">
        <v>9</v>
      </c>
      <c r="L3" s="0" t="n">
        <v>10</v>
      </c>
      <c r="M3" s="0" t="n">
        <v>11</v>
      </c>
      <c r="N3" s="0" t="n">
        <v>12</v>
      </c>
      <c r="O3" s="0" t="n">
        <v>13</v>
      </c>
      <c r="P3" s="0" t="n">
        <v>14</v>
      </c>
      <c r="Q3" s="0" t="n">
        <v>15</v>
      </c>
      <c r="R3" s="0" t="n">
        <v>16</v>
      </c>
      <c r="S3" s="0" t="n">
        <v>17</v>
      </c>
      <c r="T3" s="0" t="n">
        <v>18</v>
      </c>
      <c r="U3" s="0" t="n">
        <v>19</v>
      </c>
      <c r="V3" s="0" t="n">
        <v>20</v>
      </c>
      <c r="W3" s="0" t="n">
        <v>21</v>
      </c>
      <c r="X3" s="0" t="n">
        <v>22</v>
      </c>
      <c r="Y3" s="0" t="n">
        <v>23</v>
      </c>
      <c r="Z3" s="0" t="n">
        <v>24</v>
      </c>
      <c r="AA3" s="0" t="n">
        <v>25</v>
      </c>
      <c r="AB3" s="0" t="n">
        <v>26</v>
      </c>
      <c r="AC3" s="0" t="n">
        <v>27</v>
      </c>
      <c r="AD3" s="0" t="n">
        <v>28</v>
      </c>
      <c r="AE3" s="0" t="n">
        <v>29</v>
      </c>
      <c r="AF3" s="0" t="n">
        <v>30</v>
      </c>
      <c r="AG3" s="0" t="n">
        <v>31</v>
      </c>
      <c r="AH3" s="0" t="n">
        <v>32</v>
      </c>
      <c r="AI3" s="0" t="n">
        <v>33</v>
      </c>
      <c r="AJ3" s="0" t="n">
        <v>34</v>
      </c>
      <c r="AK3" s="0" t="n">
        <v>35</v>
      </c>
      <c r="AL3" s="0" t="n">
        <v>36</v>
      </c>
      <c r="AM3" s="0" t="n">
        <v>37</v>
      </c>
      <c r="AN3" s="0" t="n">
        <v>38</v>
      </c>
      <c r="AO3" s="0" t="n">
        <v>39</v>
      </c>
      <c r="AP3" s="0" t="n">
        <v>40</v>
      </c>
      <c r="AQ3" s="0" t="n">
        <v>41</v>
      </c>
      <c r="AR3" s="0" t="n">
        <v>42</v>
      </c>
      <c r="AS3" s="0" t="n">
        <v>43</v>
      </c>
      <c r="AT3" s="0" t="n">
        <v>44</v>
      </c>
      <c r="AU3" s="0" t="n">
        <v>45</v>
      </c>
      <c r="AV3" s="0" t="n">
        <v>46</v>
      </c>
      <c r="AW3" s="0" t="n">
        <v>47</v>
      </c>
      <c r="AX3" s="0" t="n">
        <v>48</v>
      </c>
      <c r="AY3" s="0" t="n">
        <v>49</v>
      </c>
      <c r="AZ3" s="0" t="n">
        <v>50</v>
      </c>
      <c r="BA3" s="0" t="n">
        <v>51</v>
      </c>
      <c r="BB3" s="0" t="n">
        <v>52</v>
      </c>
      <c r="BC3" s="0" t="n">
        <v>53</v>
      </c>
      <c r="BD3" s="0" t="n">
        <v>54</v>
      </c>
      <c r="BE3" s="0" t="n">
        <v>55</v>
      </c>
      <c r="BF3" s="0" t="n">
        <v>56</v>
      </c>
      <c r="BG3" s="0" t="n">
        <v>57</v>
      </c>
      <c r="BH3" s="0" t="n">
        <v>58</v>
      </c>
      <c r="BI3" s="0" t="n">
        <v>59</v>
      </c>
      <c r="BJ3" s="0" t="n">
        <v>60</v>
      </c>
      <c r="BK3" s="0" t="n">
        <v>61</v>
      </c>
      <c r="BL3" s="0" t="n">
        <v>62</v>
      </c>
      <c r="BM3" s="0" t="n">
        <v>63</v>
      </c>
      <c r="BN3" s="0" t="n">
        <v>64</v>
      </c>
      <c r="BO3" s="0" t="n">
        <v>65</v>
      </c>
      <c r="BP3" s="0" t="n">
        <v>66</v>
      </c>
      <c r="BQ3" s="0" t="n">
        <v>67</v>
      </c>
      <c r="BR3" s="0" t="n">
        <v>68</v>
      </c>
      <c r="BS3" s="0" t="n">
        <v>69</v>
      </c>
      <c r="BT3" s="0" t="n">
        <v>70</v>
      </c>
      <c r="BU3" s="0" t="n">
        <v>71</v>
      </c>
      <c r="BV3" s="0" t="n">
        <v>72</v>
      </c>
      <c r="BW3" s="0" t="n">
        <v>73</v>
      </c>
      <c r="BX3" s="0" t="n">
        <v>74</v>
      </c>
      <c r="BY3" s="0" t="n">
        <v>75</v>
      </c>
      <c r="BZ3" s="0" t="n">
        <v>76</v>
      </c>
      <c r="CA3" s="0" t="n">
        <v>77</v>
      </c>
      <c r="CB3" s="0" t="n">
        <v>78</v>
      </c>
      <c r="CC3" s="0" t="n">
        <v>79</v>
      </c>
      <c r="CD3" s="0" t="n">
        <v>80</v>
      </c>
      <c r="CE3" s="0" t="n">
        <v>81</v>
      </c>
      <c r="CF3" s="0" t="n">
        <v>82</v>
      </c>
      <c r="CG3" s="0" t="n">
        <v>83</v>
      </c>
      <c r="CH3" s="0" t="n">
        <v>84</v>
      </c>
      <c r="CI3" s="0" t="n">
        <v>85</v>
      </c>
      <c r="CJ3" s="0" t="n">
        <v>86</v>
      </c>
      <c r="CK3" s="0" t="n">
        <v>87</v>
      </c>
      <c r="CL3" s="0" t="n">
        <v>88</v>
      </c>
      <c r="CM3" s="0" t="n">
        <v>89</v>
      </c>
      <c r="CN3" s="0" t="n">
        <v>90</v>
      </c>
      <c r="CO3" s="0" t="n">
        <v>91</v>
      </c>
      <c r="CP3" s="0" t="n">
        <v>92</v>
      </c>
      <c r="CQ3" s="0" t="n">
        <v>93</v>
      </c>
      <c r="CR3" s="0" t="n">
        <v>94</v>
      </c>
      <c r="CS3" s="0" t="n">
        <v>95</v>
      </c>
      <c r="CT3" s="0" t="n">
        <v>96</v>
      </c>
      <c r="CU3" s="0" t="n">
        <v>97</v>
      </c>
      <c r="CV3" s="0" t="n">
        <v>98</v>
      </c>
      <c r="CW3" s="0" t="n">
        <v>99</v>
      </c>
      <c r="CX3" s="0" t="n">
        <v>100</v>
      </c>
      <c r="CY3" s="0" t="n">
        <v>101</v>
      </c>
      <c r="CZ3" s="0" t="n">
        <v>102</v>
      </c>
      <c r="DA3" s="0" t="n">
        <v>103</v>
      </c>
      <c r="DB3" s="0" t="n">
        <v>104</v>
      </c>
      <c r="DC3" s="0" t="n">
        <v>105</v>
      </c>
      <c r="DD3" s="0" t="n">
        <v>106</v>
      </c>
      <c r="DE3" s="0" t="n">
        <v>107</v>
      </c>
      <c r="DF3" s="0" t="n">
        <v>108</v>
      </c>
      <c r="DG3" s="0" t="n">
        <v>109</v>
      </c>
      <c r="DH3" s="0" t="n">
        <v>110</v>
      </c>
      <c r="DI3" s="0" t="n">
        <v>111</v>
      </c>
      <c r="DJ3" s="0" t="n">
        <v>112</v>
      </c>
      <c r="DK3" s="0" t="n">
        <v>113</v>
      </c>
      <c r="DL3" s="0" t="n">
        <v>114</v>
      </c>
      <c r="DM3" s="0" t="n">
        <v>115</v>
      </c>
      <c r="DN3" s="0" t="n">
        <v>116</v>
      </c>
      <c r="DO3" s="0" t="n">
        <v>117</v>
      </c>
      <c r="DP3" s="0" t="n">
        <v>118</v>
      </c>
      <c r="DQ3" s="0" t="n">
        <v>119</v>
      </c>
      <c r="DR3" s="0" t="n">
        <v>120</v>
      </c>
    </row>
    <row r="4" customFormat="false" ht="15" hidden="false" customHeight="false" outlineLevel="0" collapsed="false">
      <c r="A4" s="0" t="s">
        <v>26</v>
      </c>
      <c r="B4" s="0" t="n">
        <f aca="false">IF(B$3=0,0,INT((B$3-1)/12)+1)</f>
        <v>0</v>
      </c>
      <c r="C4" s="0" t="n">
        <f aca="false">IF(C$3=0,0,INT((C$3-1)/12)+1)</f>
        <v>1</v>
      </c>
      <c r="D4" s="0" t="n">
        <f aca="false">IF(D$3=0,0,INT((D$3-1)/12)+1)</f>
        <v>1</v>
      </c>
      <c r="E4" s="0" t="n">
        <f aca="false">IF(E$3=0,0,INT((E$3-1)/12)+1)</f>
        <v>1</v>
      </c>
      <c r="F4" s="0" t="n">
        <f aca="false">IF(F$3=0,0,INT((F$3-1)/12)+1)</f>
        <v>1</v>
      </c>
      <c r="G4" s="0" t="n">
        <f aca="false">IF(G$3=0,0,INT((G$3-1)/12)+1)</f>
        <v>1</v>
      </c>
      <c r="H4" s="0" t="n">
        <f aca="false">IF(H$3=0,0,INT((H$3-1)/12)+1)</f>
        <v>1</v>
      </c>
      <c r="I4" s="0" t="n">
        <f aca="false">IF(I$3=0,0,INT((I$3-1)/12)+1)</f>
        <v>1</v>
      </c>
      <c r="J4" s="0" t="n">
        <f aca="false">IF(J$3=0,0,INT((J$3-1)/12)+1)</f>
        <v>1</v>
      </c>
      <c r="K4" s="0" t="n">
        <f aca="false">IF(K$3=0,0,INT((K$3-1)/12)+1)</f>
        <v>1</v>
      </c>
      <c r="L4" s="0" t="n">
        <f aca="false">IF(L$3=0,0,INT((L$3-1)/12)+1)</f>
        <v>1</v>
      </c>
      <c r="M4" s="0" t="n">
        <f aca="false">IF(M$3=0,0,INT((M$3-1)/12)+1)</f>
        <v>1</v>
      </c>
      <c r="N4" s="0" t="n">
        <f aca="false">IF(N$3=0,0,INT((N$3-1)/12)+1)</f>
        <v>1</v>
      </c>
      <c r="O4" s="0" t="n">
        <f aca="false">IF(O$3=0,0,INT((O$3-1)/12)+1)</f>
        <v>2</v>
      </c>
      <c r="P4" s="0" t="n">
        <f aca="false">IF(P$3=0,0,INT((P$3-1)/12)+1)</f>
        <v>2</v>
      </c>
      <c r="Q4" s="0" t="n">
        <f aca="false">IF(Q$3=0,0,INT((Q$3-1)/12)+1)</f>
        <v>2</v>
      </c>
      <c r="R4" s="0" t="n">
        <f aca="false">IF(R$3=0,0,INT((R$3-1)/12)+1)</f>
        <v>2</v>
      </c>
      <c r="S4" s="0" t="n">
        <f aca="false">IF(S$3=0,0,INT((S$3-1)/12)+1)</f>
        <v>2</v>
      </c>
      <c r="T4" s="0" t="n">
        <f aca="false">IF(T$3=0,0,INT((T$3-1)/12)+1)</f>
        <v>2</v>
      </c>
      <c r="U4" s="0" t="n">
        <f aca="false">IF(U$3=0,0,INT((U$3-1)/12)+1)</f>
        <v>2</v>
      </c>
      <c r="V4" s="0" t="n">
        <f aca="false">IF(V$3=0,0,INT((V$3-1)/12)+1)</f>
        <v>2</v>
      </c>
      <c r="W4" s="0" t="n">
        <f aca="false">IF(W$3=0,0,INT((W$3-1)/12)+1)</f>
        <v>2</v>
      </c>
      <c r="X4" s="0" t="n">
        <f aca="false">IF(X$3=0,0,INT((X$3-1)/12)+1)</f>
        <v>2</v>
      </c>
      <c r="Y4" s="0" t="n">
        <f aca="false">IF(Y$3=0,0,INT((Y$3-1)/12)+1)</f>
        <v>2</v>
      </c>
      <c r="Z4" s="0" t="n">
        <f aca="false">IF(Z$3=0,0,INT((Z$3-1)/12)+1)</f>
        <v>2</v>
      </c>
      <c r="AA4" s="0" t="n">
        <f aca="false">IF(AA$3=0,0,INT((AA$3-1)/12)+1)</f>
        <v>3</v>
      </c>
      <c r="AB4" s="0" t="n">
        <f aca="false">IF(AB$3=0,0,INT((AB$3-1)/12)+1)</f>
        <v>3</v>
      </c>
      <c r="AC4" s="0" t="n">
        <f aca="false">IF(AC$3=0,0,INT((AC$3-1)/12)+1)</f>
        <v>3</v>
      </c>
      <c r="AD4" s="0" t="n">
        <f aca="false">IF(AD$3=0,0,INT((AD$3-1)/12)+1)</f>
        <v>3</v>
      </c>
      <c r="AE4" s="0" t="n">
        <f aca="false">IF(AE$3=0,0,INT((AE$3-1)/12)+1)</f>
        <v>3</v>
      </c>
      <c r="AF4" s="0" t="n">
        <f aca="false">IF(AF$3=0,0,INT((AF$3-1)/12)+1)</f>
        <v>3</v>
      </c>
      <c r="AG4" s="0" t="n">
        <f aca="false">IF(AG$3=0,0,INT((AG$3-1)/12)+1)</f>
        <v>3</v>
      </c>
      <c r="AH4" s="0" t="n">
        <f aca="false">IF(AH$3=0,0,INT((AH$3-1)/12)+1)</f>
        <v>3</v>
      </c>
      <c r="AI4" s="0" t="n">
        <f aca="false">IF(AI$3=0,0,INT((AI$3-1)/12)+1)</f>
        <v>3</v>
      </c>
      <c r="AJ4" s="0" t="n">
        <f aca="false">IF(AJ$3=0,0,INT((AJ$3-1)/12)+1)</f>
        <v>3</v>
      </c>
      <c r="AK4" s="0" t="n">
        <f aca="false">IF(AK$3=0,0,INT((AK$3-1)/12)+1)</f>
        <v>3</v>
      </c>
      <c r="AL4" s="0" t="n">
        <f aca="false">IF(AL$3=0,0,INT((AL$3-1)/12)+1)</f>
        <v>3</v>
      </c>
      <c r="AM4" s="0" t="n">
        <f aca="false">IF(AM$3=0,0,INT((AM$3-1)/12)+1)</f>
        <v>4</v>
      </c>
      <c r="AN4" s="0" t="n">
        <f aca="false">IF(AN$3=0,0,INT((AN$3-1)/12)+1)</f>
        <v>4</v>
      </c>
      <c r="AO4" s="0" t="n">
        <f aca="false">IF(AO$3=0,0,INT((AO$3-1)/12)+1)</f>
        <v>4</v>
      </c>
      <c r="AP4" s="0" t="n">
        <f aca="false">IF(AP$3=0,0,INT((AP$3-1)/12)+1)</f>
        <v>4</v>
      </c>
      <c r="AQ4" s="0" t="n">
        <f aca="false">IF(AQ$3=0,0,INT((AQ$3-1)/12)+1)</f>
        <v>4</v>
      </c>
      <c r="AR4" s="0" t="n">
        <f aca="false">IF(AR$3=0,0,INT((AR$3-1)/12)+1)</f>
        <v>4</v>
      </c>
      <c r="AS4" s="0" t="n">
        <f aca="false">IF(AS$3=0,0,INT((AS$3-1)/12)+1)</f>
        <v>4</v>
      </c>
      <c r="AT4" s="0" t="n">
        <f aca="false">IF(AT$3=0,0,INT((AT$3-1)/12)+1)</f>
        <v>4</v>
      </c>
      <c r="AU4" s="0" t="n">
        <f aca="false">IF(AU$3=0,0,INT((AU$3-1)/12)+1)</f>
        <v>4</v>
      </c>
      <c r="AV4" s="0" t="n">
        <f aca="false">IF(AV$3=0,0,INT((AV$3-1)/12)+1)</f>
        <v>4</v>
      </c>
      <c r="AW4" s="0" t="n">
        <f aca="false">IF(AW$3=0,0,INT((AW$3-1)/12)+1)</f>
        <v>4</v>
      </c>
      <c r="AX4" s="0" t="n">
        <f aca="false">IF(AX$3=0,0,INT((AX$3-1)/12)+1)</f>
        <v>4</v>
      </c>
      <c r="AY4" s="0" t="n">
        <f aca="false">IF(AY$3=0,0,INT((AY$3-1)/12)+1)</f>
        <v>5</v>
      </c>
      <c r="AZ4" s="0" t="n">
        <f aca="false">IF(AZ$3=0,0,INT((AZ$3-1)/12)+1)</f>
        <v>5</v>
      </c>
      <c r="BA4" s="0" t="n">
        <f aca="false">IF(BA$3=0,0,INT((BA$3-1)/12)+1)</f>
        <v>5</v>
      </c>
      <c r="BB4" s="0" t="n">
        <f aca="false">IF(BB$3=0,0,INT((BB$3-1)/12)+1)</f>
        <v>5</v>
      </c>
      <c r="BC4" s="0" t="n">
        <f aca="false">IF(BC$3=0,0,INT((BC$3-1)/12)+1)</f>
        <v>5</v>
      </c>
      <c r="BD4" s="0" t="n">
        <f aca="false">IF(BD$3=0,0,INT((BD$3-1)/12)+1)</f>
        <v>5</v>
      </c>
      <c r="BE4" s="0" t="n">
        <f aca="false">IF(BE$3=0,0,INT((BE$3-1)/12)+1)</f>
        <v>5</v>
      </c>
      <c r="BF4" s="0" t="n">
        <f aca="false">IF(BF$3=0,0,INT((BF$3-1)/12)+1)</f>
        <v>5</v>
      </c>
      <c r="BG4" s="0" t="n">
        <f aca="false">IF(BG$3=0,0,INT((BG$3-1)/12)+1)</f>
        <v>5</v>
      </c>
      <c r="BH4" s="0" t="n">
        <f aca="false">IF(BH$3=0,0,INT((BH$3-1)/12)+1)</f>
        <v>5</v>
      </c>
      <c r="BI4" s="0" t="n">
        <f aca="false">IF(BI$3=0,0,INT((BI$3-1)/12)+1)</f>
        <v>5</v>
      </c>
      <c r="BJ4" s="0" t="n">
        <f aca="false">IF(BJ$3=0,0,INT((BJ$3-1)/12)+1)</f>
        <v>5</v>
      </c>
      <c r="BK4" s="0" t="n">
        <f aca="false">IF(BK$3=0,0,INT((BK$3-1)/12)+1)</f>
        <v>6</v>
      </c>
      <c r="BL4" s="0" t="n">
        <f aca="false">IF(BL$3=0,0,INT((BL$3-1)/12)+1)</f>
        <v>6</v>
      </c>
      <c r="BM4" s="0" t="n">
        <f aca="false">IF(BM$3=0,0,INT((BM$3-1)/12)+1)</f>
        <v>6</v>
      </c>
      <c r="BN4" s="0" t="n">
        <f aca="false">IF(BN$3=0,0,INT((BN$3-1)/12)+1)</f>
        <v>6</v>
      </c>
      <c r="BO4" s="0" t="n">
        <f aca="false">IF(BO$3=0,0,INT((BO$3-1)/12)+1)</f>
        <v>6</v>
      </c>
      <c r="BP4" s="0" t="n">
        <f aca="false">IF(BP$3=0,0,INT((BP$3-1)/12)+1)</f>
        <v>6</v>
      </c>
      <c r="BQ4" s="0" t="n">
        <f aca="false">IF(BQ$3=0,0,INT((BQ$3-1)/12)+1)</f>
        <v>6</v>
      </c>
      <c r="BR4" s="0" t="n">
        <f aca="false">IF(BR$3=0,0,INT((BR$3-1)/12)+1)</f>
        <v>6</v>
      </c>
      <c r="BS4" s="0" t="n">
        <f aca="false">IF(BS$3=0,0,INT((BS$3-1)/12)+1)</f>
        <v>6</v>
      </c>
      <c r="BT4" s="0" t="n">
        <f aca="false">IF(BT$3=0,0,INT((BT$3-1)/12)+1)</f>
        <v>6</v>
      </c>
      <c r="BU4" s="0" t="n">
        <f aca="false">IF(BU$3=0,0,INT((BU$3-1)/12)+1)</f>
        <v>6</v>
      </c>
      <c r="BV4" s="0" t="n">
        <f aca="false">IF(BV$3=0,0,INT((BV$3-1)/12)+1)</f>
        <v>6</v>
      </c>
      <c r="BW4" s="0" t="n">
        <f aca="false">IF(BW$3=0,0,INT((BW$3-1)/12)+1)</f>
        <v>7</v>
      </c>
      <c r="BX4" s="0" t="n">
        <f aca="false">IF(BX$3=0,0,INT((BX$3-1)/12)+1)</f>
        <v>7</v>
      </c>
      <c r="BY4" s="0" t="n">
        <f aca="false">IF(BY$3=0,0,INT((BY$3-1)/12)+1)</f>
        <v>7</v>
      </c>
      <c r="BZ4" s="0" t="n">
        <f aca="false">IF(BZ$3=0,0,INT((BZ$3-1)/12)+1)</f>
        <v>7</v>
      </c>
      <c r="CA4" s="0" t="n">
        <f aca="false">IF(CA$3=0,0,INT((CA$3-1)/12)+1)</f>
        <v>7</v>
      </c>
      <c r="CB4" s="0" t="n">
        <f aca="false">IF(CB$3=0,0,INT((CB$3-1)/12)+1)</f>
        <v>7</v>
      </c>
      <c r="CC4" s="0" t="n">
        <f aca="false">IF(CC$3=0,0,INT((CC$3-1)/12)+1)</f>
        <v>7</v>
      </c>
      <c r="CD4" s="0" t="n">
        <f aca="false">IF(CD$3=0,0,INT((CD$3-1)/12)+1)</f>
        <v>7</v>
      </c>
      <c r="CE4" s="0" t="n">
        <f aca="false">IF(CE$3=0,0,INT((CE$3-1)/12)+1)</f>
        <v>7</v>
      </c>
      <c r="CF4" s="0" t="n">
        <f aca="false">IF(CF$3=0,0,INT((CF$3-1)/12)+1)</f>
        <v>7</v>
      </c>
      <c r="CG4" s="0" t="n">
        <f aca="false">IF(CG$3=0,0,INT((CG$3-1)/12)+1)</f>
        <v>7</v>
      </c>
      <c r="CH4" s="0" t="n">
        <f aca="false">IF(CH$3=0,0,INT((CH$3-1)/12)+1)</f>
        <v>7</v>
      </c>
      <c r="CI4" s="0" t="n">
        <f aca="false">IF(CI$3=0,0,INT((CI$3-1)/12)+1)</f>
        <v>8</v>
      </c>
      <c r="CJ4" s="0" t="n">
        <f aca="false">IF(CJ$3=0,0,INT((CJ$3-1)/12)+1)</f>
        <v>8</v>
      </c>
      <c r="CK4" s="0" t="n">
        <f aca="false">IF(CK$3=0,0,INT((CK$3-1)/12)+1)</f>
        <v>8</v>
      </c>
      <c r="CL4" s="0" t="n">
        <f aca="false">IF(CL$3=0,0,INT((CL$3-1)/12)+1)</f>
        <v>8</v>
      </c>
      <c r="CM4" s="0" t="n">
        <f aca="false">IF(CM$3=0,0,INT((CM$3-1)/12)+1)</f>
        <v>8</v>
      </c>
      <c r="CN4" s="0" t="n">
        <f aca="false">IF(CN$3=0,0,INT((CN$3-1)/12)+1)</f>
        <v>8</v>
      </c>
      <c r="CO4" s="0" t="n">
        <f aca="false">IF(CO$3=0,0,INT((CO$3-1)/12)+1)</f>
        <v>8</v>
      </c>
      <c r="CP4" s="0" t="n">
        <f aca="false">IF(CP$3=0,0,INT((CP$3-1)/12)+1)</f>
        <v>8</v>
      </c>
      <c r="CQ4" s="0" t="n">
        <f aca="false">IF(CQ$3=0,0,INT((CQ$3-1)/12)+1)</f>
        <v>8</v>
      </c>
      <c r="CR4" s="0" t="n">
        <f aca="false">IF(CR$3=0,0,INT((CR$3-1)/12)+1)</f>
        <v>8</v>
      </c>
      <c r="CS4" s="0" t="n">
        <f aca="false">IF(CS$3=0,0,INT((CS$3-1)/12)+1)</f>
        <v>8</v>
      </c>
      <c r="CT4" s="0" t="n">
        <f aca="false">IF(CT$3=0,0,INT((CT$3-1)/12)+1)</f>
        <v>8</v>
      </c>
      <c r="CU4" s="0" t="n">
        <f aca="false">IF(CU$3=0,0,INT((CU$3-1)/12)+1)</f>
        <v>9</v>
      </c>
      <c r="CV4" s="0" t="n">
        <f aca="false">IF(CV$3=0,0,INT((CV$3-1)/12)+1)</f>
        <v>9</v>
      </c>
      <c r="CW4" s="0" t="n">
        <f aca="false">IF(CW$3=0,0,INT((CW$3-1)/12)+1)</f>
        <v>9</v>
      </c>
      <c r="CX4" s="0" t="n">
        <f aca="false">IF(CX$3=0,0,INT((CX$3-1)/12)+1)</f>
        <v>9</v>
      </c>
      <c r="CY4" s="0" t="n">
        <f aca="false">IF(CY$3=0,0,INT((CY$3-1)/12)+1)</f>
        <v>9</v>
      </c>
      <c r="CZ4" s="0" t="n">
        <f aca="false">IF(CZ$3=0,0,INT((CZ$3-1)/12)+1)</f>
        <v>9</v>
      </c>
      <c r="DA4" s="0" t="n">
        <f aca="false">IF(DA$3=0,0,INT((DA$3-1)/12)+1)</f>
        <v>9</v>
      </c>
      <c r="DB4" s="0" t="n">
        <f aca="false">IF(DB$3=0,0,INT((DB$3-1)/12)+1)</f>
        <v>9</v>
      </c>
      <c r="DC4" s="0" t="n">
        <f aca="false">IF(DC$3=0,0,INT((DC$3-1)/12)+1)</f>
        <v>9</v>
      </c>
      <c r="DD4" s="0" t="n">
        <f aca="false">IF(DD$3=0,0,INT((DD$3-1)/12)+1)</f>
        <v>9</v>
      </c>
      <c r="DE4" s="0" t="n">
        <f aca="false">IF(DE$3=0,0,INT((DE$3-1)/12)+1)</f>
        <v>9</v>
      </c>
      <c r="DF4" s="0" t="n">
        <f aca="false">IF(DF$3=0,0,INT((DF$3-1)/12)+1)</f>
        <v>9</v>
      </c>
      <c r="DG4" s="0" t="n">
        <f aca="false">IF(DG$3=0,0,INT((DG$3-1)/12)+1)</f>
        <v>10</v>
      </c>
      <c r="DH4" s="0" t="n">
        <f aca="false">IF(DH$3=0,0,INT((DH$3-1)/12)+1)</f>
        <v>10</v>
      </c>
      <c r="DI4" s="0" t="n">
        <f aca="false">IF(DI$3=0,0,INT((DI$3-1)/12)+1)</f>
        <v>10</v>
      </c>
      <c r="DJ4" s="0" t="n">
        <f aca="false">IF(DJ$3=0,0,INT((DJ$3-1)/12)+1)</f>
        <v>10</v>
      </c>
      <c r="DK4" s="0" t="n">
        <f aca="false">IF(DK$3=0,0,INT((DK$3-1)/12)+1)</f>
        <v>10</v>
      </c>
      <c r="DL4" s="0" t="n">
        <f aca="false">IF(DL$3=0,0,INT((DL$3-1)/12)+1)</f>
        <v>10</v>
      </c>
      <c r="DM4" s="0" t="n">
        <f aca="false">IF(DM$3=0,0,INT((DM$3-1)/12)+1)</f>
        <v>10</v>
      </c>
      <c r="DN4" s="0" t="n">
        <f aca="false">IF(DN$3=0,0,INT((DN$3-1)/12)+1)</f>
        <v>10</v>
      </c>
      <c r="DO4" s="0" t="n">
        <f aca="false">IF(DO$3=0,0,INT((DO$3-1)/12)+1)</f>
        <v>10</v>
      </c>
      <c r="DP4" s="0" t="n">
        <f aca="false">IF(DP$3=0,0,INT((DP$3-1)/12)+1)</f>
        <v>10</v>
      </c>
      <c r="DQ4" s="0" t="n">
        <f aca="false">IF(DQ$3=0,0,INT((DQ$3-1)/12)+1)</f>
        <v>10</v>
      </c>
      <c r="DR4" s="0" t="n">
        <f aca="false">IF(DR$3=0,0,INT((DR$3-1)/12)+1)</f>
        <v>10</v>
      </c>
    </row>
    <row r="5" customFormat="false" ht="15" hidden="false" customHeight="false" outlineLevel="0" collapsed="false">
      <c r="A5" s="0" t="s">
        <v>27</v>
      </c>
      <c r="B5" s="0" t="n">
        <f aca="false">IF(B$3=0,0,MOD(B$3-1,12)+1)</f>
        <v>0</v>
      </c>
      <c r="C5" s="0" t="n">
        <f aca="false">IF(C$3=0,0,MOD(C$3-1,12)+1)</f>
        <v>1</v>
      </c>
      <c r="D5" s="0" t="n">
        <f aca="false">IF(D$3=0,0,MOD(D$3-1,12)+1)</f>
        <v>2</v>
      </c>
      <c r="E5" s="0" t="n">
        <f aca="false">IF(E$3=0,0,MOD(E$3-1,12)+1)</f>
        <v>3</v>
      </c>
      <c r="F5" s="0" t="n">
        <f aca="false">IF(F$3=0,0,MOD(F$3-1,12)+1)</f>
        <v>4</v>
      </c>
      <c r="G5" s="0" t="n">
        <f aca="false">IF(G$3=0,0,MOD(G$3-1,12)+1)</f>
        <v>5</v>
      </c>
      <c r="H5" s="0" t="n">
        <f aca="false">IF(H$3=0,0,MOD(H$3-1,12)+1)</f>
        <v>6</v>
      </c>
      <c r="I5" s="0" t="n">
        <f aca="false">IF(I$3=0,0,MOD(I$3-1,12)+1)</f>
        <v>7</v>
      </c>
      <c r="J5" s="0" t="n">
        <f aca="false">IF(J$3=0,0,MOD(J$3-1,12)+1)</f>
        <v>8</v>
      </c>
      <c r="K5" s="0" t="n">
        <f aca="false">IF(K$3=0,0,MOD(K$3-1,12)+1)</f>
        <v>9</v>
      </c>
      <c r="L5" s="0" t="n">
        <f aca="false">IF(L$3=0,0,MOD(L$3-1,12)+1)</f>
        <v>10</v>
      </c>
      <c r="M5" s="0" t="n">
        <f aca="false">IF(M$3=0,0,MOD(M$3-1,12)+1)</f>
        <v>11</v>
      </c>
      <c r="N5" s="0" t="n">
        <f aca="false">IF(N$3=0,0,MOD(N$3-1,12)+1)</f>
        <v>12</v>
      </c>
      <c r="O5" s="0" t="n">
        <f aca="false">IF(O$3=0,0,MOD(O$3-1,12)+1)</f>
        <v>1</v>
      </c>
      <c r="P5" s="0" t="n">
        <f aca="false">IF(P$3=0,0,MOD(P$3-1,12)+1)</f>
        <v>2</v>
      </c>
      <c r="Q5" s="0" t="n">
        <f aca="false">IF(Q$3=0,0,MOD(Q$3-1,12)+1)</f>
        <v>3</v>
      </c>
      <c r="R5" s="0" t="n">
        <f aca="false">IF(R$3=0,0,MOD(R$3-1,12)+1)</f>
        <v>4</v>
      </c>
      <c r="S5" s="0" t="n">
        <f aca="false">IF(S$3=0,0,MOD(S$3-1,12)+1)</f>
        <v>5</v>
      </c>
      <c r="T5" s="0" t="n">
        <f aca="false">IF(T$3=0,0,MOD(T$3-1,12)+1)</f>
        <v>6</v>
      </c>
      <c r="U5" s="0" t="n">
        <f aca="false">IF(U$3=0,0,MOD(U$3-1,12)+1)</f>
        <v>7</v>
      </c>
      <c r="V5" s="0" t="n">
        <f aca="false">IF(V$3=0,0,MOD(V$3-1,12)+1)</f>
        <v>8</v>
      </c>
      <c r="W5" s="0" t="n">
        <f aca="false">IF(W$3=0,0,MOD(W$3-1,12)+1)</f>
        <v>9</v>
      </c>
      <c r="X5" s="0" t="n">
        <f aca="false">IF(X$3=0,0,MOD(X$3-1,12)+1)</f>
        <v>10</v>
      </c>
      <c r="Y5" s="0" t="n">
        <f aca="false">IF(Y$3=0,0,MOD(Y$3-1,12)+1)</f>
        <v>11</v>
      </c>
      <c r="Z5" s="0" t="n">
        <f aca="false">IF(Z$3=0,0,MOD(Z$3-1,12)+1)</f>
        <v>12</v>
      </c>
      <c r="AA5" s="0" t="n">
        <f aca="false">IF(AA$3=0,0,MOD(AA$3-1,12)+1)</f>
        <v>1</v>
      </c>
      <c r="AB5" s="0" t="n">
        <f aca="false">IF(AB$3=0,0,MOD(AB$3-1,12)+1)</f>
        <v>2</v>
      </c>
      <c r="AC5" s="0" t="n">
        <f aca="false">IF(AC$3=0,0,MOD(AC$3-1,12)+1)</f>
        <v>3</v>
      </c>
      <c r="AD5" s="0" t="n">
        <f aca="false">IF(AD$3=0,0,MOD(AD$3-1,12)+1)</f>
        <v>4</v>
      </c>
      <c r="AE5" s="0" t="n">
        <f aca="false">IF(AE$3=0,0,MOD(AE$3-1,12)+1)</f>
        <v>5</v>
      </c>
      <c r="AF5" s="0" t="n">
        <f aca="false">IF(AF$3=0,0,MOD(AF$3-1,12)+1)</f>
        <v>6</v>
      </c>
      <c r="AG5" s="0" t="n">
        <f aca="false">IF(AG$3=0,0,MOD(AG$3-1,12)+1)</f>
        <v>7</v>
      </c>
      <c r="AH5" s="0" t="n">
        <f aca="false">IF(AH$3=0,0,MOD(AH$3-1,12)+1)</f>
        <v>8</v>
      </c>
      <c r="AI5" s="0" t="n">
        <f aca="false">IF(AI$3=0,0,MOD(AI$3-1,12)+1)</f>
        <v>9</v>
      </c>
      <c r="AJ5" s="0" t="n">
        <f aca="false">IF(AJ$3=0,0,MOD(AJ$3-1,12)+1)</f>
        <v>10</v>
      </c>
      <c r="AK5" s="0" t="n">
        <f aca="false">IF(AK$3=0,0,MOD(AK$3-1,12)+1)</f>
        <v>11</v>
      </c>
      <c r="AL5" s="0" t="n">
        <f aca="false">IF(AL$3=0,0,MOD(AL$3-1,12)+1)</f>
        <v>12</v>
      </c>
      <c r="AM5" s="0" t="n">
        <f aca="false">IF(AM$3=0,0,MOD(AM$3-1,12)+1)</f>
        <v>1</v>
      </c>
      <c r="AN5" s="0" t="n">
        <f aca="false">IF(AN$3=0,0,MOD(AN$3-1,12)+1)</f>
        <v>2</v>
      </c>
      <c r="AO5" s="0" t="n">
        <f aca="false">IF(AO$3=0,0,MOD(AO$3-1,12)+1)</f>
        <v>3</v>
      </c>
      <c r="AP5" s="0" t="n">
        <f aca="false">IF(AP$3=0,0,MOD(AP$3-1,12)+1)</f>
        <v>4</v>
      </c>
      <c r="AQ5" s="0" t="n">
        <f aca="false">IF(AQ$3=0,0,MOD(AQ$3-1,12)+1)</f>
        <v>5</v>
      </c>
      <c r="AR5" s="0" t="n">
        <f aca="false">IF(AR$3=0,0,MOD(AR$3-1,12)+1)</f>
        <v>6</v>
      </c>
      <c r="AS5" s="0" t="n">
        <f aca="false">IF(AS$3=0,0,MOD(AS$3-1,12)+1)</f>
        <v>7</v>
      </c>
      <c r="AT5" s="0" t="n">
        <f aca="false">IF(AT$3=0,0,MOD(AT$3-1,12)+1)</f>
        <v>8</v>
      </c>
      <c r="AU5" s="0" t="n">
        <f aca="false">IF(AU$3=0,0,MOD(AU$3-1,12)+1)</f>
        <v>9</v>
      </c>
      <c r="AV5" s="0" t="n">
        <f aca="false">IF(AV$3=0,0,MOD(AV$3-1,12)+1)</f>
        <v>10</v>
      </c>
      <c r="AW5" s="0" t="n">
        <f aca="false">IF(AW$3=0,0,MOD(AW$3-1,12)+1)</f>
        <v>11</v>
      </c>
      <c r="AX5" s="0" t="n">
        <f aca="false">IF(AX$3=0,0,MOD(AX$3-1,12)+1)</f>
        <v>12</v>
      </c>
      <c r="AY5" s="0" t="n">
        <f aca="false">IF(AY$3=0,0,MOD(AY$3-1,12)+1)</f>
        <v>1</v>
      </c>
      <c r="AZ5" s="0" t="n">
        <f aca="false">IF(AZ$3=0,0,MOD(AZ$3-1,12)+1)</f>
        <v>2</v>
      </c>
      <c r="BA5" s="0" t="n">
        <f aca="false">IF(BA$3=0,0,MOD(BA$3-1,12)+1)</f>
        <v>3</v>
      </c>
      <c r="BB5" s="0" t="n">
        <f aca="false">IF(BB$3=0,0,MOD(BB$3-1,12)+1)</f>
        <v>4</v>
      </c>
      <c r="BC5" s="0" t="n">
        <f aca="false">IF(BC$3=0,0,MOD(BC$3-1,12)+1)</f>
        <v>5</v>
      </c>
      <c r="BD5" s="0" t="n">
        <f aca="false">IF(BD$3=0,0,MOD(BD$3-1,12)+1)</f>
        <v>6</v>
      </c>
      <c r="BE5" s="0" t="n">
        <f aca="false">IF(BE$3=0,0,MOD(BE$3-1,12)+1)</f>
        <v>7</v>
      </c>
      <c r="BF5" s="0" t="n">
        <f aca="false">IF(BF$3=0,0,MOD(BF$3-1,12)+1)</f>
        <v>8</v>
      </c>
      <c r="BG5" s="0" t="n">
        <f aca="false">IF(BG$3=0,0,MOD(BG$3-1,12)+1)</f>
        <v>9</v>
      </c>
      <c r="BH5" s="0" t="n">
        <f aca="false">IF(BH$3=0,0,MOD(BH$3-1,12)+1)</f>
        <v>10</v>
      </c>
      <c r="BI5" s="0" t="n">
        <f aca="false">IF(BI$3=0,0,MOD(BI$3-1,12)+1)</f>
        <v>11</v>
      </c>
      <c r="BJ5" s="0" t="n">
        <f aca="false">IF(BJ$3=0,0,MOD(BJ$3-1,12)+1)</f>
        <v>12</v>
      </c>
      <c r="BK5" s="0" t="n">
        <f aca="false">IF(BK$3=0,0,MOD(BK$3-1,12)+1)</f>
        <v>1</v>
      </c>
      <c r="BL5" s="0" t="n">
        <f aca="false">IF(BL$3=0,0,MOD(BL$3-1,12)+1)</f>
        <v>2</v>
      </c>
      <c r="BM5" s="0" t="n">
        <f aca="false">IF(BM$3=0,0,MOD(BM$3-1,12)+1)</f>
        <v>3</v>
      </c>
      <c r="BN5" s="0" t="n">
        <f aca="false">IF(BN$3=0,0,MOD(BN$3-1,12)+1)</f>
        <v>4</v>
      </c>
      <c r="BO5" s="0" t="n">
        <f aca="false">IF(BO$3=0,0,MOD(BO$3-1,12)+1)</f>
        <v>5</v>
      </c>
      <c r="BP5" s="0" t="n">
        <f aca="false">IF(BP$3=0,0,MOD(BP$3-1,12)+1)</f>
        <v>6</v>
      </c>
      <c r="BQ5" s="0" t="n">
        <f aca="false">IF(BQ$3=0,0,MOD(BQ$3-1,12)+1)</f>
        <v>7</v>
      </c>
      <c r="BR5" s="0" t="n">
        <f aca="false">IF(BR$3=0,0,MOD(BR$3-1,12)+1)</f>
        <v>8</v>
      </c>
      <c r="BS5" s="0" t="n">
        <f aca="false">IF(BS$3=0,0,MOD(BS$3-1,12)+1)</f>
        <v>9</v>
      </c>
      <c r="BT5" s="0" t="n">
        <f aca="false">IF(BT$3=0,0,MOD(BT$3-1,12)+1)</f>
        <v>10</v>
      </c>
      <c r="BU5" s="0" t="n">
        <f aca="false">IF(BU$3=0,0,MOD(BU$3-1,12)+1)</f>
        <v>11</v>
      </c>
      <c r="BV5" s="0" t="n">
        <f aca="false">IF(BV$3=0,0,MOD(BV$3-1,12)+1)</f>
        <v>12</v>
      </c>
      <c r="BW5" s="0" t="n">
        <f aca="false">IF(BW$3=0,0,MOD(BW$3-1,12)+1)</f>
        <v>1</v>
      </c>
      <c r="BX5" s="0" t="n">
        <f aca="false">IF(BX$3=0,0,MOD(BX$3-1,12)+1)</f>
        <v>2</v>
      </c>
      <c r="BY5" s="0" t="n">
        <f aca="false">IF(BY$3=0,0,MOD(BY$3-1,12)+1)</f>
        <v>3</v>
      </c>
      <c r="BZ5" s="0" t="n">
        <f aca="false">IF(BZ$3=0,0,MOD(BZ$3-1,12)+1)</f>
        <v>4</v>
      </c>
      <c r="CA5" s="0" t="n">
        <f aca="false">IF(CA$3=0,0,MOD(CA$3-1,12)+1)</f>
        <v>5</v>
      </c>
      <c r="CB5" s="0" t="n">
        <f aca="false">IF(CB$3=0,0,MOD(CB$3-1,12)+1)</f>
        <v>6</v>
      </c>
      <c r="CC5" s="0" t="n">
        <f aca="false">IF(CC$3=0,0,MOD(CC$3-1,12)+1)</f>
        <v>7</v>
      </c>
      <c r="CD5" s="0" t="n">
        <f aca="false">IF(CD$3=0,0,MOD(CD$3-1,12)+1)</f>
        <v>8</v>
      </c>
      <c r="CE5" s="0" t="n">
        <f aca="false">IF(CE$3=0,0,MOD(CE$3-1,12)+1)</f>
        <v>9</v>
      </c>
      <c r="CF5" s="0" t="n">
        <f aca="false">IF(CF$3=0,0,MOD(CF$3-1,12)+1)</f>
        <v>10</v>
      </c>
      <c r="CG5" s="0" t="n">
        <f aca="false">IF(CG$3=0,0,MOD(CG$3-1,12)+1)</f>
        <v>11</v>
      </c>
      <c r="CH5" s="0" t="n">
        <f aca="false">IF(CH$3=0,0,MOD(CH$3-1,12)+1)</f>
        <v>12</v>
      </c>
      <c r="CI5" s="0" t="n">
        <f aca="false">IF(CI$3=0,0,MOD(CI$3-1,12)+1)</f>
        <v>1</v>
      </c>
      <c r="CJ5" s="0" t="n">
        <f aca="false">IF(CJ$3=0,0,MOD(CJ$3-1,12)+1)</f>
        <v>2</v>
      </c>
      <c r="CK5" s="0" t="n">
        <f aca="false">IF(CK$3=0,0,MOD(CK$3-1,12)+1)</f>
        <v>3</v>
      </c>
      <c r="CL5" s="0" t="n">
        <f aca="false">IF(CL$3=0,0,MOD(CL$3-1,12)+1)</f>
        <v>4</v>
      </c>
      <c r="CM5" s="0" t="n">
        <f aca="false">IF(CM$3=0,0,MOD(CM$3-1,12)+1)</f>
        <v>5</v>
      </c>
      <c r="CN5" s="0" t="n">
        <f aca="false">IF(CN$3=0,0,MOD(CN$3-1,12)+1)</f>
        <v>6</v>
      </c>
      <c r="CO5" s="0" t="n">
        <f aca="false">IF(CO$3=0,0,MOD(CO$3-1,12)+1)</f>
        <v>7</v>
      </c>
      <c r="CP5" s="0" t="n">
        <f aca="false">IF(CP$3=0,0,MOD(CP$3-1,12)+1)</f>
        <v>8</v>
      </c>
      <c r="CQ5" s="0" t="n">
        <f aca="false">IF(CQ$3=0,0,MOD(CQ$3-1,12)+1)</f>
        <v>9</v>
      </c>
      <c r="CR5" s="0" t="n">
        <f aca="false">IF(CR$3=0,0,MOD(CR$3-1,12)+1)</f>
        <v>10</v>
      </c>
      <c r="CS5" s="0" t="n">
        <f aca="false">IF(CS$3=0,0,MOD(CS$3-1,12)+1)</f>
        <v>11</v>
      </c>
      <c r="CT5" s="0" t="n">
        <f aca="false">IF(CT$3=0,0,MOD(CT$3-1,12)+1)</f>
        <v>12</v>
      </c>
      <c r="CU5" s="0" t="n">
        <f aca="false">IF(CU$3=0,0,MOD(CU$3-1,12)+1)</f>
        <v>1</v>
      </c>
      <c r="CV5" s="0" t="n">
        <f aca="false">IF(CV$3=0,0,MOD(CV$3-1,12)+1)</f>
        <v>2</v>
      </c>
      <c r="CW5" s="0" t="n">
        <f aca="false">IF(CW$3=0,0,MOD(CW$3-1,12)+1)</f>
        <v>3</v>
      </c>
      <c r="CX5" s="0" t="n">
        <f aca="false">IF(CX$3=0,0,MOD(CX$3-1,12)+1)</f>
        <v>4</v>
      </c>
      <c r="CY5" s="0" t="n">
        <f aca="false">IF(CY$3=0,0,MOD(CY$3-1,12)+1)</f>
        <v>5</v>
      </c>
      <c r="CZ5" s="0" t="n">
        <f aca="false">IF(CZ$3=0,0,MOD(CZ$3-1,12)+1)</f>
        <v>6</v>
      </c>
      <c r="DA5" s="0" t="n">
        <f aca="false">IF(DA$3=0,0,MOD(DA$3-1,12)+1)</f>
        <v>7</v>
      </c>
      <c r="DB5" s="0" t="n">
        <f aca="false">IF(DB$3=0,0,MOD(DB$3-1,12)+1)</f>
        <v>8</v>
      </c>
      <c r="DC5" s="0" t="n">
        <f aca="false">IF(DC$3=0,0,MOD(DC$3-1,12)+1)</f>
        <v>9</v>
      </c>
      <c r="DD5" s="0" t="n">
        <f aca="false">IF(DD$3=0,0,MOD(DD$3-1,12)+1)</f>
        <v>10</v>
      </c>
      <c r="DE5" s="0" t="n">
        <f aca="false">IF(DE$3=0,0,MOD(DE$3-1,12)+1)</f>
        <v>11</v>
      </c>
      <c r="DF5" s="0" t="n">
        <f aca="false">IF(DF$3=0,0,MOD(DF$3-1,12)+1)</f>
        <v>12</v>
      </c>
      <c r="DG5" s="0" t="n">
        <f aca="false">IF(DG$3=0,0,MOD(DG$3-1,12)+1)</f>
        <v>1</v>
      </c>
      <c r="DH5" s="0" t="n">
        <f aca="false">IF(DH$3=0,0,MOD(DH$3-1,12)+1)</f>
        <v>2</v>
      </c>
      <c r="DI5" s="0" t="n">
        <f aca="false">IF(DI$3=0,0,MOD(DI$3-1,12)+1)</f>
        <v>3</v>
      </c>
      <c r="DJ5" s="0" t="n">
        <f aca="false">IF(DJ$3=0,0,MOD(DJ$3-1,12)+1)</f>
        <v>4</v>
      </c>
      <c r="DK5" s="0" t="n">
        <f aca="false">IF(DK$3=0,0,MOD(DK$3-1,12)+1)</f>
        <v>5</v>
      </c>
      <c r="DL5" s="0" t="n">
        <f aca="false">IF(DL$3=0,0,MOD(DL$3-1,12)+1)</f>
        <v>6</v>
      </c>
      <c r="DM5" s="0" t="n">
        <f aca="false">IF(DM$3=0,0,MOD(DM$3-1,12)+1)</f>
        <v>7</v>
      </c>
      <c r="DN5" s="0" t="n">
        <f aca="false">IF(DN$3=0,0,MOD(DN$3-1,12)+1)</f>
        <v>8</v>
      </c>
      <c r="DO5" s="0" t="n">
        <f aca="false">IF(DO$3=0,0,MOD(DO$3-1,12)+1)</f>
        <v>9</v>
      </c>
      <c r="DP5" s="0" t="n">
        <f aca="false">IF(DP$3=0,0,MOD(DP$3-1,12)+1)</f>
        <v>10</v>
      </c>
      <c r="DQ5" s="0" t="n">
        <f aca="false">IF(DQ$3=0,0,MOD(DQ$3-1,12)+1)</f>
        <v>11</v>
      </c>
      <c r="DR5" s="0" t="n">
        <f aca="false">IF(DR$3=0,0,MOD(DR$3-1,12)+1)</f>
        <v>12</v>
      </c>
    </row>
    <row r="6" customFormat="false" ht="15" hidden="false" customHeight="false" outlineLevel="0" collapsed="false">
      <c r="A6" s="0" t="s">
        <v>28</v>
      </c>
      <c r="B6" s="0" t="n">
        <f aca="false">CHOOSE(MIN(4,MAX(1,B4+1)),0,0.86,0.95,1)</f>
        <v>0</v>
      </c>
      <c r="C6" s="0" t="n">
        <f aca="false">CHOOSE(MIN(4,MAX(1,C4+1)),0,0.86,0.95,1)</f>
        <v>0.86</v>
      </c>
      <c r="D6" s="0" t="n">
        <f aca="false">CHOOSE(MIN(4,MAX(1,D4+1)),0,0.86,0.95,1)</f>
        <v>0.86</v>
      </c>
      <c r="E6" s="0" t="n">
        <f aca="false">CHOOSE(MIN(4,MAX(1,E4+1)),0,0.86,0.95,1)</f>
        <v>0.86</v>
      </c>
      <c r="F6" s="0" t="n">
        <f aca="false">CHOOSE(MIN(4,MAX(1,F4+1)),0,0.86,0.95,1)</f>
        <v>0.86</v>
      </c>
      <c r="G6" s="0" t="n">
        <f aca="false">CHOOSE(MIN(4,MAX(1,G4+1)),0,0.86,0.95,1)</f>
        <v>0.86</v>
      </c>
      <c r="H6" s="0" t="n">
        <f aca="false">CHOOSE(MIN(4,MAX(1,H4+1)),0,0.86,0.95,1)</f>
        <v>0.86</v>
      </c>
      <c r="I6" s="0" t="n">
        <f aca="false">CHOOSE(MIN(4,MAX(1,I4+1)),0,0.86,0.95,1)</f>
        <v>0.86</v>
      </c>
      <c r="J6" s="0" t="n">
        <f aca="false">CHOOSE(MIN(4,MAX(1,J4+1)),0,0.86,0.95,1)</f>
        <v>0.86</v>
      </c>
      <c r="K6" s="0" t="n">
        <f aca="false">CHOOSE(MIN(4,MAX(1,K4+1)),0,0.86,0.95,1)</f>
        <v>0.86</v>
      </c>
      <c r="L6" s="0" t="n">
        <f aca="false">CHOOSE(MIN(4,MAX(1,L4+1)),0,0.86,0.95,1)</f>
        <v>0.86</v>
      </c>
      <c r="M6" s="0" t="n">
        <f aca="false">CHOOSE(MIN(4,MAX(1,M4+1)),0,0.86,0.95,1)</f>
        <v>0.86</v>
      </c>
      <c r="N6" s="0" t="n">
        <f aca="false">CHOOSE(MIN(4,MAX(1,N4+1)),0,0.86,0.95,1)</f>
        <v>0.86</v>
      </c>
      <c r="O6" s="0" t="n">
        <f aca="false">CHOOSE(MIN(4,MAX(1,O4+1)),0,0.86,0.95,1)</f>
        <v>0.95</v>
      </c>
      <c r="P6" s="0" t="n">
        <f aca="false">CHOOSE(MIN(4,MAX(1,P4+1)),0,0.86,0.95,1)</f>
        <v>0.95</v>
      </c>
      <c r="Q6" s="0" t="n">
        <f aca="false">CHOOSE(MIN(4,MAX(1,Q4+1)),0,0.86,0.95,1)</f>
        <v>0.95</v>
      </c>
      <c r="R6" s="0" t="n">
        <f aca="false">CHOOSE(MIN(4,MAX(1,R4+1)),0,0.86,0.95,1)</f>
        <v>0.95</v>
      </c>
      <c r="S6" s="0" t="n">
        <f aca="false">CHOOSE(MIN(4,MAX(1,S4+1)),0,0.86,0.95,1)</f>
        <v>0.95</v>
      </c>
      <c r="T6" s="0" t="n">
        <f aca="false">CHOOSE(MIN(4,MAX(1,T4+1)),0,0.86,0.95,1)</f>
        <v>0.95</v>
      </c>
      <c r="U6" s="0" t="n">
        <f aca="false">CHOOSE(MIN(4,MAX(1,U4+1)),0,0.86,0.95,1)</f>
        <v>0.95</v>
      </c>
      <c r="V6" s="0" t="n">
        <f aca="false">CHOOSE(MIN(4,MAX(1,V4+1)),0,0.86,0.95,1)</f>
        <v>0.95</v>
      </c>
      <c r="W6" s="0" t="n">
        <f aca="false">CHOOSE(MIN(4,MAX(1,W4+1)),0,0.86,0.95,1)</f>
        <v>0.95</v>
      </c>
      <c r="X6" s="0" t="n">
        <f aca="false">CHOOSE(MIN(4,MAX(1,X4+1)),0,0.86,0.95,1)</f>
        <v>0.95</v>
      </c>
      <c r="Y6" s="0" t="n">
        <f aca="false">CHOOSE(MIN(4,MAX(1,Y4+1)),0,0.86,0.95,1)</f>
        <v>0.95</v>
      </c>
      <c r="Z6" s="0" t="n">
        <f aca="false">CHOOSE(MIN(4,MAX(1,Z4+1)),0,0.86,0.95,1)</f>
        <v>0.95</v>
      </c>
      <c r="AA6" s="0" t="n">
        <f aca="false">CHOOSE(MIN(4,MAX(1,AA4+1)),0,0.86,0.95,1)</f>
        <v>1</v>
      </c>
      <c r="AB6" s="0" t="n">
        <f aca="false">CHOOSE(MIN(4,MAX(1,AB4+1)),0,0.86,0.95,1)</f>
        <v>1</v>
      </c>
      <c r="AC6" s="0" t="n">
        <f aca="false">CHOOSE(MIN(4,MAX(1,AC4+1)),0,0.86,0.95,1)</f>
        <v>1</v>
      </c>
      <c r="AD6" s="0" t="n">
        <f aca="false">CHOOSE(MIN(4,MAX(1,AD4+1)),0,0.86,0.95,1)</f>
        <v>1</v>
      </c>
      <c r="AE6" s="0" t="n">
        <f aca="false">CHOOSE(MIN(4,MAX(1,AE4+1)),0,0.86,0.95,1)</f>
        <v>1</v>
      </c>
      <c r="AF6" s="0" t="n">
        <f aca="false">CHOOSE(MIN(4,MAX(1,AF4+1)),0,0.86,0.95,1)</f>
        <v>1</v>
      </c>
      <c r="AG6" s="0" t="n">
        <f aca="false">CHOOSE(MIN(4,MAX(1,AG4+1)),0,0.86,0.95,1)</f>
        <v>1</v>
      </c>
      <c r="AH6" s="0" t="n">
        <f aca="false">CHOOSE(MIN(4,MAX(1,AH4+1)),0,0.86,0.95,1)</f>
        <v>1</v>
      </c>
      <c r="AI6" s="0" t="n">
        <f aca="false">CHOOSE(MIN(4,MAX(1,AI4+1)),0,0.86,0.95,1)</f>
        <v>1</v>
      </c>
      <c r="AJ6" s="0" t="n">
        <f aca="false">CHOOSE(MIN(4,MAX(1,AJ4+1)),0,0.86,0.95,1)</f>
        <v>1</v>
      </c>
      <c r="AK6" s="0" t="n">
        <f aca="false">CHOOSE(MIN(4,MAX(1,AK4+1)),0,0.86,0.95,1)</f>
        <v>1</v>
      </c>
      <c r="AL6" s="0" t="n">
        <f aca="false">CHOOSE(MIN(4,MAX(1,AL4+1)),0,0.86,0.95,1)</f>
        <v>1</v>
      </c>
      <c r="AM6" s="0" t="n">
        <f aca="false">CHOOSE(MIN(4,MAX(1,AM4+1)),0,0.86,0.95,1)</f>
        <v>1</v>
      </c>
      <c r="AN6" s="0" t="n">
        <f aca="false">CHOOSE(MIN(4,MAX(1,AN4+1)),0,0.86,0.95,1)</f>
        <v>1</v>
      </c>
      <c r="AO6" s="0" t="n">
        <f aca="false">CHOOSE(MIN(4,MAX(1,AO4+1)),0,0.86,0.95,1)</f>
        <v>1</v>
      </c>
      <c r="AP6" s="0" t="n">
        <f aca="false">CHOOSE(MIN(4,MAX(1,AP4+1)),0,0.86,0.95,1)</f>
        <v>1</v>
      </c>
      <c r="AQ6" s="0" t="n">
        <f aca="false">CHOOSE(MIN(4,MAX(1,AQ4+1)),0,0.86,0.95,1)</f>
        <v>1</v>
      </c>
      <c r="AR6" s="0" t="n">
        <f aca="false">CHOOSE(MIN(4,MAX(1,AR4+1)),0,0.86,0.95,1)</f>
        <v>1</v>
      </c>
      <c r="AS6" s="0" t="n">
        <f aca="false">CHOOSE(MIN(4,MAX(1,AS4+1)),0,0.86,0.95,1)</f>
        <v>1</v>
      </c>
      <c r="AT6" s="0" t="n">
        <f aca="false">CHOOSE(MIN(4,MAX(1,AT4+1)),0,0.86,0.95,1)</f>
        <v>1</v>
      </c>
      <c r="AU6" s="0" t="n">
        <f aca="false">CHOOSE(MIN(4,MAX(1,AU4+1)),0,0.86,0.95,1)</f>
        <v>1</v>
      </c>
      <c r="AV6" s="0" t="n">
        <f aca="false">CHOOSE(MIN(4,MAX(1,AV4+1)),0,0.86,0.95,1)</f>
        <v>1</v>
      </c>
      <c r="AW6" s="0" t="n">
        <f aca="false">CHOOSE(MIN(4,MAX(1,AW4+1)),0,0.86,0.95,1)</f>
        <v>1</v>
      </c>
      <c r="AX6" s="0" t="n">
        <f aca="false">CHOOSE(MIN(4,MAX(1,AX4+1)),0,0.86,0.95,1)</f>
        <v>1</v>
      </c>
      <c r="AY6" s="0" t="n">
        <f aca="false">CHOOSE(MIN(4,MAX(1,AY4+1)),0,0.86,0.95,1)</f>
        <v>1</v>
      </c>
      <c r="AZ6" s="0" t="n">
        <f aca="false">CHOOSE(MIN(4,MAX(1,AZ4+1)),0,0.86,0.95,1)</f>
        <v>1</v>
      </c>
      <c r="BA6" s="0" t="n">
        <f aca="false">CHOOSE(MIN(4,MAX(1,BA4+1)),0,0.86,0.95,1)</f>
        <v>1</v>
      </c>
      <c r="BB6" s="0" t="n">
        <f aca="false">CHOOSE(MIN(4,MAX(1,BB4+1)),0,0.86,0.95,1)</f>
        <v>1</v>
      </c>
      <c r="BC6" s="0" t="n">
        <f aca="false">CHOOSE(MIN(4,MAX(1,BC4+1)),0,0.86,0.95,1)</f>
        <v>1</v>
      </c>
      <c r="BD6" s="0" t="n">
        <f aca="false">CHOOSE(MIN(4,MAX(1,BD4+1)),0,0.86,0.95,1)</f>
        <v>1</v>
      </c>
      <c r="BE6" s="0" t="n">
        <f aca="false">CHOOSE(MIN(4,MAX(1,BE4+1)),0,0.86,0.95,1)</f>
        <v>1</v>
      </c>
      <c r="BF6" s="0" t="n">
        <f aca="false">CHOOSE(MIN(4,MAX(1,BF4+1)),0,0.86,0.95,1)</f>
        <v>1</v>
      </c>
      <c r="BG6" s="0" t="n">
        <f aca="false">CHOOSE(MIN(4,MAX(1,BG4+1)),0,0.86,0.95,1)</f>
        <v>1</v>
      </c>
      <c r="BH6" s="0" t="n">
        <f aca="false">CHOOSE(MIN(4,MAX(1,BH4+1)),0,0.86,0.95,1)</f>
        <v>1</v>
      </c>
      <c r="BI6" s="0" t="n">
        <f aca="false">CHOOSE(MIN(4,MAX(1,BI4+1)),0,0.86,0.95,1)</f>
        <v>1</v>
      </c>
      <c r="BJ6" s="0" t="n">
        <f aca="false">CHOOSE(MIN(4,MAX(1,BJ4+1)),0,0.86,0.95,1)</f>
        <v>1</v>
      </c>
      <c r="BK6" s="0" t="n">
        <f aca="false">CHOOSE(MIN(4,MAX(1,BK4+1)),0,0.86,0.95,1)</f>
        <v>1</v>
      </c>
      <c r="BL6" s="0" t="n">
        <f aca="false">CHOOSE(MIN(4,MAX(1,BL4+1)),0,0.86,0.95,1)</f>
        <v>1</v>
      </c>
      <c r="BM6" s="0" t="n">
        <f aca="false">CHOOSE(MIN(4,MAX(1,BM4+1)),0,0.86,0.95,1)</f>
        <v>1</v>
      </c>
      <c r="BN6" s="0" t="n">
        <f aca="false">CHOOSE(MIN(4,MAX(1,BN4+1)),0,0.86,0.95,1)</f>
        <v>1</v>
      </c>
      <c r="BO6" s="0" t="n">
        <f aca="false">CHOOSE(MIN(4,MAX(1,BO4+1)),0,0.86,0.95,1)</f>
        <v>1</v>
      </c>
      <c r="BP6" s="0" t="n">
        <f aca="false">CHOOSE(MIN(4,MAX(1,BP4+1)),0,0.86,0.95,1)</f>
        <v>1</v>
      </c>
      <c r="BQ6" s="0" t="n">
        <f aca="false">CHOOSE(MIN(4,MAX(1,BQ4+1)),0,0.86,0.95,1)</f>
        <v>1</v>
      </c>
      <c r="BR6" s="0" t="n">
        <f aca="false">CHOOSE(MIN(4,MAX(1,BR4+1)),0,0.86,0.95,1)</f>
        <v>1</v>
      </c>
      <c r="BS6" s="0" t="n">
        <f aca="false">CHOOSE(MIN(4,MAX(1,BS4+1)),0,0.86,0.95,1)</f>
        <v>1</v>
      </c>
      <c r="BT6" s="0" t="n">
        <f aca="false">CHOOSE(MIN(4,MAX(1,BT4+1)),0,0.86,0.95,1)</f>
        <v>1</v>
      </c>
      <c r="BU6" s="0" t="n">
        <f aca="false">CHOOSE(MIN(4,MAX(1,BU4+1)),0,0.86,0.95,1)</f>
        <v>1</v>
      </c>
      <c r="BV6" s="0" t="n">
        <f aca="false">CHOOSE(MIN(4,MAX(1,BV4+1)),0,0.86,0.95,1)</f>
        <v>1</v>
      </c>
      <c r="BW6" s="0" t="n">
        <f aca="false">CHOOSE(MIN(4,MAX(1,BW4+1)),0,0.86,0.95,1)</f>
        <v>1</v>
      </c>
      <c r="BX6" s="0" t="n">
        <f aca="false">CHOOSE(MIN(4,MAX(1,BX4+1)),0,0.86,0.95,1)</f>
        <v>1</v>
      </c>
      <c r="BY6" s="0" t="n">
        <f aca="false">CHOOSE(MIN(4,MAX(1,BY4+1)),0,0.86,0.95,1)</f>
        <v>1</v>
      </c>
      <c r="BZ6" s="0" t="n">
        <f aca="false">CHOOSE(MIN(4,MAX(1,BZ4+1)),0,0.86,0.95,1)</f>
        <v>1</v>
      </c>
      <c r="CA6" s="0" t="n">
        <f aca="false">CHOOSE(MIN(4,MAX(1,CA4+1)),0,0.86,0.95,1)</f>
        <v>1</v>
      </c>
      <c r="CB6" s="0" t="n">
        <f aca="false">CHOOSE(MIN(4,MAX(1,CB4+1)),0,0.86,0.95,1)</f>
        <v>1</v>
      </c>
      <c r="CC6" s="0" t="n">
        <f aca="false">CHOOSE(MIN(4,MAX(1,CC4+1)),0,0.86,0.95,1)</f>
        <v>1</v>
      </c>
      <c r="CD6" s="0" t="n">
        <f aca="false">CHOOSE(MIN(4,MAX(1,CD4+1)),0,0.86,0.95,1)</f>
        <v>1</v>
      </c>
      <c r="CE6" s="0" t="n">
        <f aca="false">CHOOSE(MIN(4,MAX(1,CE4+1)),0,0.86,0.95,1)</f>
        <v>1</v>
      </c>
      <c r="CF6" s="0" t="n">
        <f aca="false">CHOOSE(MIN(4,MAX(1,CF4+1)),0,0.86,0.95,1)</f>
        <v>1</v>
      </c>
      <c r="CG6" s="0" t="n">
        <f aca="false">CHOOSE(MIN(4,MAX(1,CG4+1)),0,0.86,0.95,1)</f>
        <v>1</v>
      </c>
      <c r="CH6" s="0" t="n">
        <f aca="false">CHOOSE(MIN(4,MAX(1,CH4+1)),0,0.86,0.95,1)</f>
        <v>1</v>
      </c>
      <c r="CI6" s="0" t="n">
        <f aca="false">CHOOSE(MIN(4,MAX(1,CI4+1)),0,0.86,0.95,1)</f>
        <v>1</v>
      </c>
      <c r="CJ6" s="0" t="n">
        <f aca="false">CHOOSE(MIN(4,MAX(1,CJ4+1)),0,0.86,0.95,1)</f>
        <v>1</v>
      </c>
      <c r="CK6" s="0" t="n">
        <f aca="false">CHOOSE(MIN(4,MAX(1,CK4+1)),0,0.86,0.95,1)</f>
        <v>1</v>
      </c>
      <c r="CL6" s="0" t="n">
        <f aca="false">CHOOSE(MIN(4,MAX(1,CL4+1)),0,0.86,0.95,1)</f>
        <v>1</v>
      </c>
      <c r="CM6" s="0" t="n">
        <f aca="false">CHOOSE(MIN(4,MAX(1,CM4+1)),0,0.86,0.95,1)</f>
        <v>1</v>
      </c>
      <c r="CN6" s="0" t="n">
        <f aca="false">CHOOSE(MIN(4,MAX(1,CN4+1)),0,0.86,0.95,1)</f>
        <v>1</v>
      </c>
      <c r="CO6" s="0" t="n">
        <f aca="false">CHOOSE(MIN(4,MAX(1,CO4+1)),0,0.86,0.95,1)</f>
        <v>1</v>
      </c>
      <c r="CP6" s="0" t="n">
        <f aca="false">CHOOSE(MIN(4,MAX(1,CP4+1)),0,0.86,0.95,1)</f>
        <v>1</v>
      </c>
      <c r="CQ6" s="0" t="n">
        <f aca="false">CHOOSE(MIN(4,MAX(1,CQ4+1)),0,0.86,0.95,1)</f>
        <v>1</v>
      </c>
      <c r="CR6" s="0" t="n">
        <f aca="false">CHOOSE(MIN(4,MAX(1,CR4+1)),0,0.86,0.95,1)</f>
        <v>1</v>
      </c>
      <c r="CS6" s="0" t="n">
        <f aca="false">CHOOSE(MIN(4,MAX(1,CS4+1)),0,0.86,0.95,1)</f>
        <v>1</v>
      </c>
      <c r="CT6" s="0" t="n">
        <f aca="false">CHOOSE(MIN(4,MAX(1,CT4+1)),0,0.86,0.95,1)</f>
        <v>1</v>
      </c>
      <c r="CU6" s="0" t="n">
        <f aca="false">CHOOSE(MIN(4,MAX(1,CU4+1)),0,0.86,0.95,1)</f>
        <v>1</v>
      </c>
      <c r="CV6" s="0" t="n">
        <f aca="false">CHOOSE(MIN(4,MAX(1,CV4+1)),0,0.86,0.95,1)</f>
        <v>1</v>
      </c>
      <c r="CW6" s="0" t="n">
        <f aca="false">CHOOSE(MIN(4,MAX(1,CW4+1)),0,0.86,0.95,1)</f>
        <v>1</v>
      </c>
      <c r="CX6" s="0" t="n">
        <f aca="false">CHOOSE(MIN(4,MAX(1,CX4+1)),0,0.86,0.95,1)</f>
        <v>1</v>
      </c>
      <c r="CY6" s="0" t="n">
        <f aca="false">CHOOSE(MIN(4,MAX(1,CY4+1)),0,0.86,0.95,1)</f>
        <v>1</v>
      </c>
      <c r="CZ6" s="0" t="n">
        <f aca="false">CHOOSE(MIN(4,MAX(1,CZ4+1)),0,0.86,0.95,1)</f>
        <v>1</v>
      </c>
      <c r="DA6" s="0" t="n">
        <f aca="false">CHOOSE(MIN(4,MAX(1,DA4+1)),0,0.86,0.95,1)</f>
        <v>1</v>
      </c>
      <c r="DB6" s="0" t="n">
        <f aca="false">CHOOSE(MIN(4,MAX(1,DB4+1)),0,0.86,0.95,1)</f>
        <v>1</v>
      </c>
      <c r="DC6" s="0" t="n">
        <f aca="false">CHOOSE(MIN(4,MAX(1,DC4+1)),0,0.86,0.95,1)</f>
        <v>1</v>
      </c>
      <c r="DD6" s="0" t="n">
        <f aca="false">CHOOSE(MIN(4,MAX(1,DD4+1)),0,0.86,0.95,1)</f>
        <v>1</v>
      </c>
      <c r="DE6" s="0" t="n">
        <f aca="false">CHOOSE(MIN(4,MAX(1,DE4+1)),0,0.86,0.95,1)</f>
        <v>1</v>
      </c>
      <c r="DF6" s="0" t="n">
        <f aca="false">CHOOSE(MIN(4,MAX(1,DF4+1)),0,0.86,0.95,1)</f>
        <v>1</v>
      </c>
      <c r="DG6" s="0" t="n">
        <f aca="false">CHOOSE(MIN(4,MAX(1,DG4+1)),0,0.86,0.95,1)</f>
        <v>1</v>
      </c>
      <c r="DH6" s="0" t="n">
        <f aca="false">CHOOSE(MIN(4,MAX(1,DH4+1)),0,0.86,0.95,1)</f>
        <v>1</v>
      </c>
      <c r="DI6" s="0" t="n">
        <f aca="false">CHOOSE(MIN(4,MAX(1,DI4+1)),0,0.86,0.95,1)</f>
        <v>1</v>
      </c>
      <c r="DJ6" s="0" t="n">
        <f aca="false">CHOOSE(MIN(4,MAX(1,DJ4+1)),0,0.86,0.95,1)</f>
        <v>1</v>
      </c>
      <c r="DK6" s="0" t="n">
        <f aca="false">CHOOSE(MIN(4,MAX(1,DK4+1)),0,0.86,0.95,1)</f>
        <v>1</v>
      </c>
      <c r="DL6" s="0" t="n">
        <f aca="false">CHOOSE(MIN(4,MAX(1,DL4+1)),0,0.86,0.95,1)</f>
        <v>1</v>
      </c>
      <c r="DM6" s="0" t="n">
        <f aca="false">CHOOSE(MIN(4,MAX(1,DM4+1)),0,0.86,0.95,1)</f>
        <v>1</v>
      </c>
      <c r="DN6" s="0" t="n">
        <f aca="false">CHOOSE(MIN(4,MAX(1,DN4+1)),0,0.86,0.95,1)</f>
        <v>1</v>
      </c>
      <c r="DO6" s="0" t="n">
        <f aca="false">CHOOSE(MIN(4,MAX(1,DO4+1)),0,0.86,0.95,1)</f>
        <v>1</v>
      </c>
      <c r="DP6" s="0" t="n">
        <f aca="false">CHOOSE(MIN(4,MAX(1,DP4+1)),0,0.86,0.95,1)</f>
        <v>1</v>
      </c>
      <c r="DQ6" s="0" t="n">
        <f aca="false">CHOOSE(MIN(4,MAX(1,DQ4+1)),0,0.86,0.95,1)</f>
        <v>1</v>
      </c>
      <c r="DR6" s="0" t="n">
        <f aca="false">CHOOSE(MIN(4,MAX(1,DR4+1)),0,0.86,0.95,1)</f>
        <v>1</v>
      </c>
    </row>
    <row r="7" customFormat="false" ht="15" hidden="false" customHeight="false" outlineLevel="0" collapsed="false">
      <c r="A7" s="0" t="s">
        <v>29</v>
      </c>
      <c r="B7" s="0" t="n">
        <f aca="false">IF(AND(B$3&gt;=Inputs!$B$16,B$3&lt;Inputs!$B$16+Inputs!$B$17),1,0)</f>
        <v>0</v>
      </c>
      <c r="C7" s="0" t="n">
        <f aca="false">IF(AND(C$3&gt;=Inputs!$B$16,C$3&lt;Inputs!$B$16+Inputs!$B$17),1,0)</f>
        <v>0</v>
      </c>
      <c r="D7" s="0" t="n">
        <f aca="false">IF(AND(D$3&gt;=Inputs!$B$16,D$3&lt;Inputs!$B$16+Inputs!$B$17),1,0)</f>
        <v>0</v>
      </c>
      <c r="E7" s="0" t="n">
        <f aca="false">IF(AND(E$3&gt;=Inputs!$B$16,E$3&lt;Inputs!$B$16+Inputs!$B$17),1,0)</f>
        <v>0</v>
      </c>
      <c r="F7" s="0" t="n">
        <f aca="false">IF(AND(F$3&gt;=Inputs!$B$16,F$3&lt;Inputs!$B$16+Inputs!$B$17),1,0)</f>
        <v>0</v>
      </c>
      <c r="G7" s="0" t="n">
        <f aca="false">IF(AND(G$3&gt;=Inputs!$B$16,G$3&lt;Inputs!$B$16+Inputs!$B$17),1,0)</f>
        <v>0</v>
      </c>
      <c r="H7" s="0" t="n">
        <f aca="false">IF(AND(H$3&gt;=Inputs!$B$16,H$3&lt;Inputs!$B$16+Inputs!$B$17),1,0)</f>
        <v>0</v>
      </c>
      <c r="I7" s="0" t="n">
        <f aca="false">IF(AND(I$3&gt;=Inputs!$B$16,I$3&lt;Inputs!$B$16+Inputs!$B$17),1,0)</f>
        <v>0</v>
      </c>
      <c r="J7" s="0" t="n">
        <f aca="false">IF(AND(J$3&gt;=Inputs!$B$16,J$3&lt;Inputs!$B$16+Inputs!$B$17),1,0)</f>
        <v>0</v>
      </c>
      <c r="K7" s="0" t="n">
        <f aca="false">IF(AND(K$3&gt;=Inputs!$B$16,K$3&lt;Inputs!$B$16+Inputs!$B$17),1,0)</f>
        <v>0</v>
      </c>
      <c r="L7" s="0" t="n">
        <f aca="false">IF(AND(L$3&gt;=Inputs!$B$16,L$3&lt;Inputs!$B$16+Inputs!$B$17),1,0)</f>
        <v>0</v>
      </c>
      <c r="M7" s="0" t="n">
        <f aca="false">IF(AND(M$3&gt;=Inputs!$B$16,M$3&lt;Inputs!$B$16+Inputs!$B$17),1,0)</f>
        <v>0</v>
      </c>
      <c r="N7" s="0" t="n">
        <f aca="false">IF(AND(N$3&gt;=Inputs!$B$16,N$3&lt;Inputs!$B$16+Inputs!$B$17),1,0)</f>
        <v>0</v>
      </c>
      <c r="O7" s="0" t="n">
        <f aca="false">IF(AND(O$3&gt;=Inputs!$B$16,O$3&lt;Inputs!$B$16+Inputs!$B$17),1,0)</f>
        <v>0</v>
      </c>
      <c r="P7" s="0" t="n">
        <f aca="false">IF(AND(P$3&gt;=Inputs!$B$16,P$3&lt;Inputs!$B$16+Inputs!$B$17),1,0)</f>
        <v>0</v>
      </c>
      <c r="Q7" s="0" t="n">
        <f aca="false">IF(AND(Q$3&gt;=Inputs!$B$16,Q$3&lt;Inputs!$B$16+Inputs!$B$17),1,0)</f>
        <v>0</v>
      </c>
      <c r="R7" s="0" t="n">
        <f aca="false">IF(AND(R$3&gt;=Inputs!$B$16,R$3&lt;Inputs!$B$16+Inputs!$B$17),1,0)</f>
        <v>0</v>
      </c>
      <c r="S7" s="0" t="n">
        <f aca="false">IF(AND(S$3&gt;=Inputs!$B$16,S$3&lt;Inputs!$B$16+Inputs!$B$17),1,0)</f>
        <v>0</v>
      </c>
      <c r="T7" s="0" t="n">
        <f aca="false">IF(AND(T$3&gt;=Inputs!$B$16,T$3&lt;Inputs!$B$16+Inputs!$B$17),1,0)</f>
        <v>0</v>
      </c>
      <c r="U7" s="0" t="n">
        <f aca="false">IF(AND(U$3&gt;=Inputs!$B$16,U$3&lt;Inputs!$B$16+Inputs!$B$17),1,0)</f>
        <v>0</v>
      </c>
      <c r="V7" s="0" t="n">
        <f aca="false">IF(AND(V$3&gt;=Inputs!$B$16,V$3&lt;Inputs!$B$16+Inputs!$B$17),1,0)</f>
        <v>0</v>
      </c>
      <c r="W7" s="0" t="n">
        <f aca="false">IF(AND(W$3&gt;=Inputs!$B$16,W$3&lt;Inputs!$B$16+Inputs!$B$17),1,0)</f>
        <v>0</v>
      </c>
      <c r="X7" s="0" t="n">
        <f aca="false">IF(AND(X$3&gt;=Inputs!$B$16,X$3&lt;Inputs!$B$16+Inputs!$B$17),1,0)</f>
        <v>0</v>
      </c>
      <c r="Y7" s="0" t="n">
        <f aca="false">IF(AND(Y$3&gt;=Inputs!$B$16,Y$3&lt;Inputs!$B$16+Inputs!$B$17),1,0)</f>
        <v>0</v>
      </c>
      <c r="Z7" s="0" t="n">
        <f aca="false">IF(AND(Z$3&gt;=Inputs!$B$16,Z$3&lt;Inputs!$B$16+Inputs!$B$17),1,0)</f>
        <v>0</v>
      </c>
      <c r="AA7" s="0" t="n">
        <f aca="false">IF(AND(AA$3&gt;=Inputs!$B$16,AA$3&lt;Inputs!$B$16+Inputs!$B$17),1,0)</f>
        <v>0</v>
      </c>
      <c r="AB7" s="0" t="n">
        <f aca="false">IF(AND(AB$3&gt;=Inputs!$B$16,AB$3&lt;Inputs!$B$16+Inputs!$B$17),1,0)</f>
        <v>0</v>
      </c>
      <c r="AC7" s="0" t="n">
        <f aca="false">IF(AND(AC$3&gt;=Inputs!$B$16,AC$3&lt;Inputs!$B$16+Inputs!$B$17),1,0)</f>
        <v>0</v>
      </c>
      <c r="AD7" s="0" t="n">
        <f aca="false">IF(AND(AD$3&gt;=Inputs!$B$16,AD$3&lt;Inputs!$B$16+Inputs!$B$17),1,0)</f>
        <v>0</v>
      </c>
      <c r="AE7" s="0" t="n">
        <f aca="false">IF(AND(AE$3&gt;=Inputs!$B$16,AE$3&lt;Inputs!$B$16+Inputs!$B$17),1,0)</f>
        <v>0</v>
      </c>
      <c r="AF7" s="0" t="n">
        <f aca="false">IF(AND(AF$3&gt;=Inputs!$B$16,AF$3&lt;Inputs!$B$16+Inputs!$B$17),1,0)</f>
        <v>0</v>
      </c>
      <c r="AG7" s="0" t="n">
        <f aca="false">IF(AND(AG$3&gt;=Inputs!$B$16,AG$3&lt;Inputs!$B$16+Inputs!$B$17),1,0)</f>
        <v>0</v>
      </c>
      <c r="AH7" s="0" t="n">
        <f aca="false">IF(AND(AH$3&gt;=Inputs!$B$16,AH$3&lt;Inputs!$B$16+Inputs!$B$17),1,0)</f>
        <v>0</v>
      </c>
      <c r="AI7" s="0" t="n">
        <f aca="false">IF(AND(AI$3&gt;=Inputs!$B$16,AI$3&lt;Inputs!$B$16+Inputs!$B$17),1,0)</f>
        <v>0</v>
      </c>
      <c r="AJ7" s="0" t="n">
        <f aca="false">IF(AND(AJ$3&gt;=Inputs!$B$16,AJ$3&lt;Inputs!$B$16+Inputs!$B$17),1,0)</f>
        <v>0</v>
      </c>
      <c r="AK7" s="0" t="n">
        <f aca="false">IF(AND(AK$3&gt;=Inputs!$B$16,AK$3&lt;Inputs!$B$16+Inputs!$B$17),1,0)</f>
        <v>0</v>
      </c>
      <c r="AL7" s="0" t="n">
        <f aca="false">IF(AND(AL$3&gt;=Inputs!$B$16,AL$3&lt;Inputs!$B$16+Inputs!$B$17),1,0)</f>
        <v>0</v>
      </c>
      <c r="AM7" s="0" t="n">
        <f aca="false">IF(AND(AM$3&gt;=Inputs!$B$16,AM$3&lt;Inputs!$B$16+Inputs!$B$17),1,0)</f>
        <v>1</v>
      </c>
      <c r="AN7" s="0" t="n">
        <f aca="false">IF(AND(AN$3&gt;=Inputs!$B$16,AN$3&lt;Inputs!$B$16+Inputs!$B$17),1,0)</f>
        <v>1</v>
      </c>
      <c r="AO7" s="0" t="n">
        <f aca="false">IF(AND(AO$3&gt;=Inputs!$B$16,AO$3&lt;Inputs!$B$16+Inputs!$B$17),1,0)</f>
        <v>1</v>
      </c>
      <c r="AP7" s="0" t="n">
        <f aca="false">IF(AND(AP$3&gt;=Inputs!$B$16,AP$3&lt;Inputs!$B$16+Inputs!$B$17),1,0)</f>
        <v>1</v>
      </c>
      <c r="AQ7" s="0" t="n">
        <f aca="false">IF(AND(AQ$3&gt;=Inputs!$B$16,AQ$3&lt;Inputs!$B$16+Inputs!$B$17),1,0)</f>
        <v>1</v>
      </c>
      <c r="AR7" s="0" t="n">
        <f aca="false">IF(AND(AR$3&gt;=Inputs!$B$16,AR$3&lt;Inputs!$B$16+Inputs!$B$17),1,0)</f>
        <v>1</v>
      </c>
      <c r="AS7" s="0" t="n">
        <f aca="false">IF(AND(AS$3&gt;=Inputs!$B$16,AS$3&lt;Inputs!$B$16+Inputs!$B$17),1,0)</f>
        <v>0</v>
      </c>
      <c r="AT7" s="0" t="n">
        <f aca="false">IF(AND(AT$3&gt;=Inputs!$B$16,AT$3&lt;Inputs!$B$16+Inputs!$B$17),1,0)</f>
        <v>0</v>
      </c>
      <c r="AU7" s="0" t="n">
        <f aca="false">IF(AND(AU$3&gt;=Inputs!$B$16,AU$3&lt;Inputs!$B$16+Inputs!$B$17),1,0)</f>
        <v>0</v>
      </c>
      <c r="AV7" s="0" t="n">
        <f aca="false">IF(AND(AV$3&gt;=Inputs!$B$16,AV$3&lt;Inputs!$B$16+Inputs!$B$17),1,0)</f>
        <v>0</v>
      </c>
      <c r="AW7" s="0" t="n">
        <f aca="false">IF(AND(AW$3&gt;=Inputs!$B$16,AW$3&lt;Inputs!$B$16+Inputs!$B$17),1,0)</f>
        <v>0</v>
      </c>
      <c r="AX7" s="0" t="n">
        <f aca="false">IF(AND(AX$3&gt;=Inputs!$B$16,AX$3&lt;Inputs!$B$16+Inputs!$B$17),1,0)</f>
        <v>0</v>
      </c>
      <c r="AY7" s="0" t="n">
        <f aca="false">IF(AND(AY$3&gt;=Inputs!$B$16,AY$3&lt;Inputs!$B$16+Inputs!$B$17),1,0)</f>
        <v>0</v>
      </c>
      <c r="AZ7" s="0" t="n">
        <f aca="false">IF(AND(AZ$3&gt;=Inputs!$B$16,AZ$3&lt;Inputs!$B$16+Inputs!$B$17),1,0)</f>
        <v>0</v>
      </c>
      <c r="BA7" s="0" t="n">
        <f aca="false">IF(AND(BA$3&gt;=Inputs!$B$16,BA$3&lt;Inputs!$B$16+Inputs!$B$17),1,0)</f>
        <v>0</v>
      </c>
      <c r="BB7" s="0" t="n">
        <f aca="false">IF(AND(BB$3&gt;=Inputs!$B$16,BB$3&lt;Inputs!$B$16+Inputs!$B$17),1,0)</f>
        <v>0</v>
      </c>
      <c r="BC7" s="0" t="n">
        <f aca="false">IF(AND(BC$3&gt;=Inputs!$B$16,BC$3&lt;Inputs!$B$16+Inputs!$B$17),1,0)</f>
        <v>0</v>
      </c>
      <c r="BD7" s="0" t="n">
        <f aca="false">IF(AND(BD$3&gt;=Inputs!$B$16,BD$3&lt;Inputs!$B$16+Inputs!$B$17),1,0)</f>
        <v>0</v>
      </c>
      <c r="BE7" s="0" t="n">
        <f aca="false">IF(AND(BE$3&gt;=Inputs!$B$16,BE$3&lt;Inputs!$B$16+Inputs!$B$17),1,0)</f>
        <v>0</v>
      </c>
      <c r="BF7" s="0" t="n">
        <f aca="false">IF(AND(BF$3&gt;=Inputs!$B$16,BF$3&lt;Inputs!$B$16+Inputs!$B$17),1,0)</f>
        <v>0</v>
      </c>
      <c r="BG7" s="0" t="n">
        <f aca="false">IF(AND(BG$3&gt;=Inputs!$B$16,BG$3&lt;Inputs!$B$16+Inputs!$B$17),1,0)</f>
        <v>0</v>
      </c>
      <c r="BH7" s="0" t="n">
        <f aca="false">IF(AND(BH$3&gt;=Inputs!$B$16,BH$3&lt;Inputs!$B$16+Inputs!$B$17),1,0)</f>
        <v>0</v>
      </c>
      <c r="BI7" s="0" t="n">
        <f aca="false">IF(AND(BI$3&gt;=Inputs!$B$16,BI$3&lt;Inputs!$B$16+Inputs!$B$17),1,0)</f>
        <v>0</v>
      </c>
      <c r="BJ7" s="0" t="n">
        <f aca="false">IF(AND(BJ$3&gt;=Inputs!$B$16,BJ$3&lt;Inputs!$B$16+Inputs!$B$17),1,0)</f>
        <v>0</v>
      </c>
      <c r="BK7" s="0" t="n">
        <f aca="false">IF(AND(BK$3&gt;=Inputs!$B$16,BK$3&lt;Inputs!$B$16+Inputs!$B$17),1,0)</f>
        <v>0</v>
      </c>
      <c r="BL7" s="0" t="n">
        <f aca="false">IF(AND(BL$3&gt;=Inputs!$B$16,BL$3&lt;Inputs!$B$16+Inputs!$B$17),1,0)</f>
        <v>0</v>
      </c>
      <c r="BM7" s="0" t="n">
        <f aca="false">IF(AND(BM$3&gt;=Inputs!$B$16,BM$3&lt;Inputs!$B$16+Inputs!$B$17),1,0)</f>
        <v>0</v>
      </c>
      <c r="BN7" s="0" t="n">
        <f aca="false">IF(AND(BN$3&gt;=Inputs!$B$16,BN$3&lt;Inputs!$B$16+Inputs!$B$17),1,0)</f>
        <v>0</v>
      </c>
      <c r="BO7" s="0" t="n">
        <f aca="false">IF(AND(BO$3&gt;=Inputs!$B$16,BO$3&lt;Inputs!$B$16+Inputs!$B$17),1,0)</f>
        <v>0</v>
      </c>
      <c r="BP7" s="0" t="n">
        <f aca="false">IF(AND(BP$3&gt;=Inputs!$B$16,BP$3&lt;Inputs!$B$16+Inputs!$B$17),1,0)</f>
        <v>0</v>
      </c>
      <c r="BQ7" s="0" t="n">
        <f aca="false">IF(AND(BQ$3&gt;=Inputs!$B$16,BQ$3&lt;Inputs!$B$16+Inputs!$B$17),1,0)</f>
        <v>0</v>
      </c>
      <c r="BR7" s="0" t="n">
        <f aca="false">IF(AND(BR$3&gt;=Inputs!$B$16,BR$3&lt;Inputs!$B$16+Inputs!$B$17),1,0)</f>
        <v>0</v>
      </c>
      <c r="BS7" s="0" t="n">
        <f aca="false">IF(AND(BS$3&gt;=Inputs!$B$16,BS$3&lt;Inputs!$B$16+Inputs!$B$17),1,0)</f>
        <v>0</v>
      </c>
      <c r="BT7" s="0" t="n">
        <f aca="false">IF(AND(BT$3&gt;=Inputs!$B$16,BT$3&lt;Inputs!$B$16+Inputs!$B$17),1,0)</f>
        <v>0</v>
      </c>
      <c r="BU7" s="0" t="n">
        <f aca="false">IF(AND(BU$3&gt;=Inputs!$B$16,BU$3&lt;Inputs!$B$16+Inputs!$B$17),1,0)</f>
        <v>0</v>
      </c>
      <c r="BV7" s="0" t="n">
        <f aca="false">IF(AND(BV$3&gt;=Inputs!$B$16,BV$3&lt;Inputs!$B$16+Inputs!$B$17),1,0)</f>
        <v>0</v>
      </c>
      <c r="BW7" s="0" t="n">
        <f aca="false">IF(AND(BW$3&gt;=Inputs!$B$16,BW$3&lt;Inputs!$B$16+Inputs!$B$17),1,0)</f>
        <v>0</v>
      </c>
      <c r="BX7" s="0" t="n">
        <f aca="false">IF(AND(BX$3&gt;=Inputs!$B$16,BX$3&lt;Inputs!$B$16+Inputs!$B$17),1,0)</f>
        <v>0</v>
      </c>
      <c r="BY7" s="0" t="n">
        <f aca="false">IF(AND(BY$3&gt;=Inputs!$B$16,BY$3&lt;Inputs!$B$16+Inputs!$B$17),1,0)</f>
        <v>0</v>
      </c>
      <c r="BZ7" s="0" t="n">
        <f aca="false">IF(AND(BZ$3&gt;=Inputs!$B$16,BZ$3&lt;Inputs!$B$16+Inputs!$B$17),1,0)</f>
        <v>0</v>
      </c>
      <c r="CA7" s="0" t="n">
        <f aca="false">IF(AND(CA$3&gt;=Inputs!$B$16,CA$3&lt;Inputs!$B$16+Inputs!$B$17),1,0)</f>
        <v>0</v>
      </c>
      <c r="CB7" s="0" t="n">
        <f aca="false">IF(AND(CB$3&gt;=Inputs!$B$16,CB$3&lt;Inputs!$B$16+Inputs!$B$17),1,0)</f>
        <v>0</v>
      </c>
      <c r="CC7" s="0" t="n">
        <f aca="false">IF(AND(CC$3&gt;=Inputs!$B$16,CC$3&lt;Inputs!$B$16+Inputs!$B$17),1,0)</f>
        <v>0</v>
      </c>
      <c r="CD7" s="0" t="n">
        <f aca="false">IF(AND(CD$3&gt;=Inputs!$B$16,CD$3&lt;Inputs!$B$16+Inputs!$B$17),1,0)</f>
        <v>0</v>
      </c>
      <c r="CE7" s="0" t="n">
        <f aca="false">IF(AND(CE$3&gt;=Inputs!$B$16,CE$3&lt;Inputs!$B$16+Inputs!$B$17),1,0)</f>
        <v>0</v>
      </c>
      <c r="CF7" s="0" t="n">
        <f aca="false">IF(AND(CF$3&gt;=Inputs!$B$16,CF$3&lt;Inputs!$B$16+Inputs!$B$17),1,0)</f>
        <v>0</v>
      </c>
      <c r="CG7" s="0" t="n">
        <f aca="false">IF(AND(CG$3&gt;=Inputs!$B$16,CG$3&lt;Inputs!$B$16+Inputs!$B$17),1,0)</f>
        <v>0</v>
      </c>
      <c r="CH7" s="0" t="n">
        <f aca="false">IF(AND(CH$3&gt;=Inputs!$B$16,CH$3&lt;Inputs!$B$16+Inputs!$B$17),1,0)</f>
        <v>0</v>
      </c>
      <c r="CI7" s="0" t="n">
        <f aca="false">IF(AND(CI$3&gt;=Inputs!$B$16,CI$3&lt;Inputs!$B$16+Inputs!$B$17),1,0)</f>
        <v>0</v>
      </c>
      <c r="CJ7" s="0" t="n">
        <f aca="false">IF(AND(CJ$3&gt;=Inputs!$B$16,CJ$3&lt;Inputs!$B$16+Inputs!$B$17),1,0)</f>
        <v>0</v>
      </c>
      <c r="CK7" s="0" t="n">
        <f aca="false">IF(AND(CK$3&gt;=Inputs!$B$16,CK$3&lt;Inputs!$B$16+Inputs!$B$17),1,0)</f>
        <v>0</v>
      </c>
      <c r="CL7" s="0" t="n">
        <f aca="false">IF(AND(CL$3&gt;=Inputs!$B$16,CL$3&lt;Inputs!$B$16+Inputs!$B$17),1,0)</f>
        <v>0</v>
      </c>
      <c r="CM7" s="0" t="n">
        <f aca="false">IF(AND(CM$3&gt;=Inputs!$B$16,CM$3&lt;Inputs!$B$16+Inputs!$B$17),1,0)</f>
        <v>0</v>
      </c>
      <c r="CN7" s="0" t="n">
        <f aca="false">IF(AND(CN$3&gt;=Inputs!$B$16,CN$3&lt;Inputs!$B$16+Inputs!$B$17),1,0)</f>
        <v>0</v>
      </c>
      <c r="CO7" s="0" t="n">
        <f aca="false">IF(AND(CO$3&gt;=Inputs!$B$16,CO$3&lt;Inputs!$B$16+Inputs!$B$17),1,0)</f>
        <v>0</v>
      </c>
      <c r="CP7" s="0" t="n">
        <f aca="false">IF(AND(CP$3&gt;=Inputs!$B$16,CP$3&lt;Inputs!$B$16+Inputs!$B$17),1,0)</f>
        <v>0</v>
      </c>
      <c r="CQ7" s="0" t="n">
        <f aca="false">IF(AND(CQ$3&gt;=Inputs!$B$16,CQ$3&lt;Inputs!$B$16+Inputs!$B$17),1,0)</f>
        <v>0</v>
      </c>
      <c r="CR7" s="0" t="n">
        <f aca="false">IF(AND(CR$3&gt;=Inputs!$B$16,CR$3&lt;Inputs!$B$16+Inputs!$B$17),1,0)</f>
        <v>0</v>
      </c>
      <c r="CS7" s="0" t="n">
        <f aca="false">IF(AND(CS$3&gt;=Inputs!$B$16,CS$3&lt;Inputs!$B$16+Inputs!$B$17),1,0)</f>
        <v>0</v>
      </c>
      <c r="CT7" s="0" t="n">
        <f aca="false">IF(AND(CT$3&gt;=Inputs!$B$16,CT$3&lt;Inputs!$B$16+Inputs!$B$17),1,0)</f>
        <v>0</v>
      </c>
      <c r="CU7" s="0" t="n">
        <f aca="false">IF(AND(CU$3&gt;=Inputs!$B$16,CU$3&lt;Inputs!$B$16+Inputs!$B$17),1,0)</f>
        <v>0</v>
      </c>
      <c r="CV7" s="0" t="n">
        <f aca="false">IF(AND(CV$3&gt;=Inputs!$B$16,CV$3&lt;Inputs!$B$16+Inputs!$B$17),1,0)</f>
        <v>0</v>
      </c>
      <c r="CW7" s="0" t="n">
        <f aca="false">IF(AND(CW$3&gt;=Inputs!$B$16,CW$3&lt;Inputs!$B$16+Inputs!$B$17),1,0)</f>
        <v>0</v>
      </c>
      <c r="CX7" s="0" t="n">
        <f aca="false">IF(AND(CX$3&gt;=Inputs!$B$16,CX$3&lt;Inputs!$B$16+Inputs!$B$17),1,0)</f>
        <v>0</v>
      </c>
      <c r="CY7" s="0" t="n">
        <f aca="false">IF(AND(CY$3&gt;=Inputs!$B$16,CY$3&lt;Inputs!$B$16+Inputs!$B$17),1,0)</f>
        <v>0</v>
      </c>
      <c r="CZ7" s="0" t="n">
        <f aca="false">IF(AND(CZ$3&gt;=Inputs!$B$16,CZ$3&lt;Inputs!$B$16+Inputs!$B$17),1,0)</f>
        <v>0</v>
      </c>
      <c r="DA7" s="0" t="n">
        <f aca="false">IF(AND(DA$3&gt;=Inputs!$B$16,DA$3&lt;Inputs!$B$16+Inputs!$B$17),1,0)</f>
        <v>0</v>
      </c>
      <c r="DB7" s="0" t="n">
        <f aca="false">IF(AND(DB$3&gt;=Inputs!$B$16,DB$3&lt;Inputs!$B$16+Inputs!$B$17),1,0)</f>
        <v>0</v>
      </c>
      <c r="DC7" s="0" t="n">
        <f aca="false">IF(AND(DC$3&gt;=Inputs!$B$16,DC$3&lt;Inputs!$B$16+Inputs!$B$17),1,0)</f>
        <v>0</v>
      </c>
      <c r="DD7" s="0" t="n">
        <f aca="false">IF(AND(DD$3&gt;=Inputs!$B$16,DD$3&lt;Inputs!$B$16+Inputs!$B$17),1,0)</f>
        <v>0</v>
      </c>
      <c r="DE7" s="0" t="n">
        <f aca="false">IF(AND(DE$3&gt;=Inputs!$B$16,DE$3&lt;Inputs!$B$16+Inputs!$B$17),1,0)</f>
        <v>0</v>
      </c>
      <c r="DF7" s="0" t="n">
        <f aca="false">IF(AND(DF$3&gt;=Inputs!$B$16,DF$3&lt;Inputs!$B$16+Inputs!$B$17),1,0)</f>
        <v>0</v>
      </c>
      <c r="DG7" s="0" t="n">
        <f aca="false">IF(AND(DG$3&gt;=Inputs!$B$16,DG$3&lt;Inputs!$B$16+Inputs!$B$17),1,0)</f>
        <v>0</v>
      </c>
      <c r="DH7" s="0" t="n">
        <f aca="false">IF(AND(DH$3&gt;=Inputs!$B$16,DH$3&lt;Inputs!$B$16+Inputs!$B$17),1,0)</f>
        <v>0</v>
      </c>
      <c r="DI7" s="0" t="n">
        <f aca="false">IF(AND(DI$3&gt;=Inputs!$B$16,DI$3&lt;Inputs!$B$16+Inputs!$B$17),1,0)</f>
        <v>0</v>
      </c>
      <c r="DJ7" s="0" t="n">
        <f aca="false">IF(AND(DJ$3&gt;=Inputs!$B$16,DJ$3&lt;Inputs!$B$16+Inputs!$B$17),1,0)</f>
        <v>0</v>
      </c>
      <c r="DK7" s="0" t="n">
        <f aca="false">IF(AND(DK$3&gt;=Inputs!$B$16,DK$3&lt;Inputs!$B$16+Inputs!$B$17),1,0)</f>
        <v>0</v>
      </c>
      <c r="DL7" s="0" t="n">
        <f aca="false">IF(AND(DL$3&gt;=Inputs!$B$16,DL$3&lt;Inputs!$B$16+Inputs!$B$17),1,0)</f>
        <v>0</v>
      </c>
      <c r="DM7" s="0" t="n">
        <f aca="false">IF(AND(DM$3&gt;=Inputs!$B$16,DM$3&lt;Inputs!$B$16+Inputs!$B$17),1,0)</f>
        <v>0</v>
      </c>
      <c r="DN7" s="0" t="n">
        <f aca="false">IF(AND(DN$3&gt;=Inputs!$B$16,DN$3&lt;Inputs!$B$16+Inputs!$B$17),1,0)</f>
        <v>0</v>
      </c>
      <c r="DO7" s="0" t="n">
        <f aca="false">IF(AND(DO$3&gt;=Inputs!$B$16,DO$3&lt;Inputs!$B$16+Inputs!$B$17),1,0)</f>
        <v>0</v>
      </c>
      <c r="DP7" s="0" t="n">
        <f aca="false">IF(AND(DP$3&gt;=Inputs!$B$16,DP$3&lt;Inputs!$B$16+Inputs!$B$17),1,0)</f>
        <v>0</v>
      </c>
      <c r="DQ7" s="0" t="n">
        <f aca="false">IF(AND(DQ$3&gt;=Inputs!$B$16,DQ$3&lt;Inputs!$B$16+Inputs!$B$17),1,0)</f>
        <v>0</v>
      </c>
      <c r="DR7" s="0" t="n">
        <f aca="false">IF(AND(DR$3&gt;=Inputs!$B$16,DR$3&lt;Inputs!$B$16+Inputs!$B$17),1,0)</f>
        <v>0</v>
      </c>
    </row>
    <row r="8" customFormat="false" ht="15" hidden="false" customHeight="false" outlineLevel="0" collapsed="false">
      <c r="A8" s="0" t="s">
        <v>30</v>
      </c>
      <c r="B8" s="0" t="n">
        <f aca="false">IF((B$3&gt;=1),MIN(0.98,Inputs!$B$5*B6*INDEX(Seasonality!$B$2:$B$13,B5)/AVERAGE(Seasonality!$B$2:$B$13))*(1-Inputs!$B$18*B7),0)</f>
        <v>0</v>
      </c>
      <c r="C8" s="0" t="n">
        <f aca="false">IF((C$3&gt;=1),MIN(0.98,Inputs!$B$5*C6*INDEX(Seasonality!$B$2:$B$13,C5)/AVERAGE(Seasonality!$B$2:$B$13))*(1-Inputs!$B$18*C7),0)</f>
        <v>0.755424</v>
      </c>
      <c r="D8" s="0" t="n">
        <f aca="false">IF((D$3&gt;=1),MIN(0.98,Inputs!$B$5*D6*INDEX(Seasonality!$B$2:$B$13,D5)/AVERAGE(Seasonality!$B$2:$B$13))*(1-Inputs!$B$18*D7),0)</f>
        <v>0.71208</v>
      </c>
      <c r="E8" s="0" t="n">
        <f aca="false">IF((E$3&gt;=1),MIN(0.98,Inputs!$B$5*E6*INDEX(Seasonality!$B$2:$B$13,E5)/AVERAGE(Seasonality!$B$2:$B$13))*(1-Inputs!$B$18*E7),0)</f>
        <v>0.65016</v>
      </c>
      <c r="F8" s="0" t="n">
        <f aca="false">IF((F$3&gt;=1),MIN(0.98,Inputs!$B$5*F6*INDEX(Seasonality!$B$2:$B$13,F5)/AVERAGE(Seasonality!$B$2:$B$13))*(1-Inputs!$B$18*F7),0)</f>
        <v>0.58824</v>
      </c>
      <c r="G8" s="0" t="n">
        <f aca="false">IF((G$3&gt;=1),MIN(0.98,Inputs!$B$5*G6*INDEX(Seasonality!$B$2:$B$13,G5)/AVERAGE(Seasonality!$B$2:$B$13))*(1-Inputs!$B$18*G7),0)</f>
        <v>0.507744</v>
      </c>
      <c r="H8" s="0" t="n">
        <f aca="false">IF((H$3&gt;=1),MIN(0.98,Inputs!$B$5*H6*INDEX(Seasonality!$B$2:$B$13,H5)/AVERAGE(Seasonality!$B$2:$B$13))*(1-Inputs!$B$18*H7),0)</f>
        <v>0.4644</v>
      </c>
      <c r="I8" s="0" t="n">
        <f aca="false">IF((I$3&gt;=1),MIN(0.98,Inputs!$B$5*I6*INDEX(Seasonality!$B$2:$B$13,I5)/AVERAGE(Seasonality!$B$2:$B$13))*(1-Inputs!$B$18*I7),0)</f>
        <v>0.49536</v>
      </c>
      <c r="J8" s="0" t="n">
        <f aca="false">IF((J$3&gt;=1),MIN(0.98,Inputs!$B$5*J6*INDEX(Seasonality!$B$2:$B$13,J5)/AVERAGE(Seasonality!$B$2:$B$13))*(1-Inputs!$B$18*J7),0)</f>
        <v>0.52632</v>
      </c>
      <c r="K8" s="0" t="n">
        <f aca="false">IF((K$3&gt;=1),MIN(0.98,Inputs!$B$5*K6*INDEX(Seasonality!$B$2:$B$13,K5)/AVERAGE(Seasonality!$B$2:$B$13))*(1-Inputs!$B$18*K7),0)</f>
        <v>0.569664</v>
      </c>
      <c r="L8" s="0" t="n">
        <f aca="false">IF((L$3&gt;=1),MIN(0.98,Inputs!$B$5*L6*INDEX(Seasonality!$B$2:$B$13,L5)/AVERAGE(Seasonality!$B$2:$B$13))*(1-Inputs!$B$18*L7),0)</f>
        <v>0.6192</v>
      </c>
      <c r="M8" s="0" t="n">
        <f aca="false">IF((M$3&gt;=1),MIN(0.98,Inputs!$B$5*M6*INDEX(Seasonality!$B$2:$B$13,M5)/AVERAGE(Seasonality!$B$2:$B$13))*(1-Inputs!$B$18*M7),0)</f>
        <v>0.693504</v>
      </c>
      <c r="N8" s="0" t="n">
        <f aca="false">IF((N$3&gt;=1),MIN(0.98,Inputs!$B$5*N6*INDEX(Seasonality!$B$2:$B$13,N5)/AVERAGE(Seasonality!$B$2:$B$13))*(1-Inputs!$B$18*N7),0)</f>
        <v>0.848304</v>
      </c>
      <c r="O8" s="0" t="n">
        <f aca="false">IF((O$3&gt;=1),MIN(0.98,Inputs!$B$5*O6*INDEX(Seasonality!$B$2:$B$13,O5)/AVERAGE(Seasonality!$B$2:$B$13))*(1-Inputs!$B$18*O7),0)</f>
        <v>0.83448</v>
      </c>
      <c r="P8" s="0" t="n">
        <f aca="false">IF((P$3&gt;=1),MIN(0.98,Inputs!$B$5*P6*INDEX(Seasonality!$B$2:$B$13,P5)/AVERAGE(Seasonality!$B$2:$B$13))*(1-Inputs!$B$18*P7),0)</f>
        <v>0.7866</v>
      </c>
      <c r="Q8" s="0" t="n">
        <f aca="false">IF((Q$3&gt;=1),MIN(0.98,Inputs!$B$5*Q6*INDEX(Seasonality!$B$2:$B$13,Q5)/AVERAGE(Seasonality!$B$2:$B$13))*(1-Inputs!$B$18*Q7),0)</f>
        <v>0.7182</v>
      </c>
      <c r="R8" s="0" t="n">
        <f aca="false">IF((R$3&gt;=1),MIN(0.98,Inputs!$B$5*R6*INDEX(Seasonality!$B$2:$B$13,R5)/AVERAGE(Seasonality!$B$2:$B$13))*(1-Inputs!$B$18*R7),0)</f>
        <v>0.6498</v>
      </c>
      <c r="S8" s="0" t="n">
        <f aca="false">IF((S$3&gt;=1),MIN(0.98,Inputs!$B$5*S6*INDEX(Seasonality!$B$2:$B$13,S5)/AVERAGE(Seasonality!$B$2:$B$13))*(1-Inputs!$B$18*S7),0)</f>
        <v>0.56088</v>
      </c>
      <c r="T8" s="0" t="n">
        <f aca="false">IF((T$3&gt;=1),MIN(0.98,Inputs!$B$5*T6*INDEX(Seasonality!$B$2:$B$13,T5)/AVERAGE(Seasonality!$B$2:$B$13))*(1-Inputs!$B$18*T7),0)</f>
        <v>0.513</v>
      </c>
      <c r="U8" s="0" t="n">
        <f aca="false">IF((U$3&gt;=1),MIN(0.98,Inputs!$B$5*U6*INDEX(Seasonality!$B$2:$B$13,U5)/AVERAGE(Seasonality!$B$2:$B$13))*(1-Inputs!$B$18*U7),0)</f>
        <v>0.5472</v>
      </c>
      <c r="V8" s="0" t="n">
        <f aca="false">IF((V$3&gt;=1),MIN(0.98,Inputs!$B$5*V6*INDEX(Seasonality!$B$2:$B$13,V5)/AVERAGE(Seasonality!$B$2:$B$13))*(1-Inputs!$B$18*V7),0)</f>
        <v>0.5814</v>
      </c>
      <c r="W8" s="0" t="n">
        <f aca="false">IF((W$3&gt;=1),MIN(0.98,Inputs!$B$5*W6*INDEX(Seasonality!$B$2:$B$13,W5)/AVERAGE(Seasonality!$B$2:$B$13))*(1-Inputs!$B$18*W7),0)</f>
        <v>0.62928</v>
      </c>
      <c r="X8" s="0" t="n">
        <f aca="false">IF((X$3&gt;=1),MIN(0.98,Inputs!$B$5*X6*INDEX(Seasonality!$B$2:$B$13,X5)/AVERAGE(Seasonality!$B$2:$B$13))*(1-Inputs!$B$18*X7),0)</f>
        <v>0.684</v>
      </c>
      <c r="Y8" s="0" t="n">
        <f aca="false">IF((Y$3&gt;=1),MIN(0.98,Inputs!$B$5*Y6*INDEX(Seasonality!$B$2:$B$13,Y5)/AVERAGE(Seasonality!$B$2:$B$13))*(1-Inputs!$B$18*Y7),0)</f>
        <v>0.76608</v>
      </c>
      <c r="Z8" s="0" t="n">
        <f aca="false">IF((Z$3&gt;=1),MIN(0.98,Inputs!$B$5*Z6*INDEX(Seasonality!$B$2:$B$13,Z5)/AVERAGE(Seasonality!$B$2:$B$13))*(1-Inputs!$B$18*Z7),0)</f>
        <v>0.93708</v>
      </c>
      <c r="AA8" s="0" t="n">
        <f aca="false">IF((AA$3&gt;=1),MIN(0.98,Inputs!$B$5*AA6*INDEX(Seasonality!$B$2:$B$13,AA5)/AVERAGE(Seasonality!$B$2:$B$13))*(1-Inputs!$B$18*AA7),0)</f>
        <v>0.8784</v>
      </c>
      <c r="AB8" s="0" t="n">
        <f aca="false">IF((AB$3&gt;=1),MIN(0.98,Inputs!$B$5*AB6*INDEX(Seasonality!$B$2:$B$13,AB5)/AVERAGE(Seasonality!$B$2:$B$13))*(1-Inputs!$B$18*AB7),0)</f>
        <v>0.828</v>
      </c>
      <c r="AC8" s="0" t="n">
        <f aca="false">IF((AC$3&gt;=1),MIN(0.98,Inputs!$B$5*AC6*INDEX(Seasonality!$B$2:$B$13,AC5)/AVERAGE(Seasonality!$B$2:$B$13))*(1-Inputs!$B$18*AC7),0)</f>
        <v>0.756</v>
      </c>
      <c r="AD8" s="0" t="n">
        <f aca="false">IF((AD$3&gt;=1),MIN(0.98,Inputs!$B$5*AD6*INDEX(Seasonality!$B$2:$B$13,AD5)/AVERAGE(Seasonality!$B$2:$B$13))*(1-Inputs!$B$18*AD7),0)</f>
        <v>0.684</v>
      </c>
      <c r="AE8" s="0" t="n">
        <f aca="false">IF((AE$3&gt;=1),MIN(0.98,Inputs!$B$5*AE6*INDEX(Seasonality!$B$2:$B$13,AE5)/AVERAGE(Seasonality!$B$2:$B$13))*(1-Inputs!$B$18*AE7),0)</f>
        <v>0.5904</v>
      </c>
      <c r="AF8" s="0" t="n">
        <f aca="false">IF((AF$3&gt;=1),MIN(0.98,Inputs!$B$5*AF6*INDEX(Seasonality!$B$2:$B$13,AF5)/AVERAGE(Seasonality!$B$2:$B$13))*(1-Inputs!$B$18*AF7),0)</f>
        <v>0.54</v>
      </c>
      <c r="AG8" s="0" t="n">
        <f aca="false">IF((AG$3&gt;=1),MIN(0.98,Inputs!$B$5*AG6*INDEX(Seasonality!$B$2:$B$13,AG5)/AVERAGE(Seasonality!$B$2:$B$13))*(1-Inputs!$B$18*AG7),0)</f>
        <v>0.576</v>
      </c>
      <c r="AH8" s="0" t="n">
        <f aca="false">IF((AH$3&gt;=1),MIN(0.98,Inputs!$B$5*AH6*INDEX(Seasonality!$B$2:$B$13,AH5)/AVERAGE(Seasonality!$B$2:$B$13))*(1-Inputs!$B$18*AH7),0)</f>
        <v>0.612</v>
      </c>
      <c r="AI8" s="0" t="n">
        <f aca="false">IF((AI$3&gt;=1),MIN(0.98,Inputs!$B$5*AI6*INDEX(Seasonality!$B$2:$B$13,AI5)/AVERAGE(Seasonality!$B$2:$B$13))*(1-Inputs!$B$18*AI7),0)</f>
        <v>0.6624</v>
      </c>
      <c r="AJ8" s="0" t="n">
        <f aca="false">IF((AJ$3&gt;=1),MIN(0.98,Inputs!$B$5*AJ6*INDEX(Seasonality!$B$2:$B$13,AJ5)/AVERAGE(Seasonality!$B$2:$B$13))*(1-Inputs!$B$18*AJ7),0)</f>
        <v>0.72</v>
      </c>
      <c r="AK8" s="0" t="n">
        <f aca="false">IF((AK$3&gt;=1),MIN(0.98,Inputs!$B$5*AK6*INDEX(Seasonality!$B$2:$B$13,AK5)/AVERAGE(Seasonality!$B$2:$B$13))*(1-Inputs!$B$18*AK7),0)</f>
        <v>0.8064</v>
      </c>
      <c r="AL8" s="0" t="n">
        <f aca="false">IF((AL$3&gt;=1),MIN(0.98,Inputs!$B$5*AL6*INDEX(Seasonality!$B$2:$B$13,AL5)/AVERAGE(Seasonality!$B$2:$B$13))*(1-Inputs!$B$18*AL7),0)</f>
        <v>0.98</v>
      </c>
      <c r="AM8" s="0" t="n">
        <f aca="false">IF((AM$3&gt;=1),MIN(0.98,Inputs!$B$5*AM6*INDEX(Seasonality!$B$2:$B$13,AM5)/AVERAGE(Seasonality!$B$2:$B$13))*(1-Inputs!$B$18*AM7),0)</f>
        <v>0.61488</v>
      </c>
      <c r="AN8" s="0" t="n">
        <f aca="false">IF((AN$3&gt;=1),MIN(0.98,Inputs!$B$5*AN6*INDEX(Seasonality!$B$2:$B$13,AN5)/AVERAGE(Seasonality!$B$2:$B$13))*(1-Inputs!$B$18*AN7),0)</f>
        <v>0.5796</v>
      </c>
      <c r="AO8" s="0" t="n">
        <f aca="false">IF((AO$3&gt;=1),MIN(0.98,Inputs!$B$5*AO6*INDEX(Seasonality!$B$2:$B$13,AO5)/AVERAGE(Seasonality!$B$2:$B$13))*(1-Inputs!$B$18*AO7),0)</f>
        <v>0.5292</v>
      </c>
      <c r="AP8" s="0" t="n">
        <f aca="false">IF((AP$3&gt;=1),MIN(0.98,Inputs!$B$5*AP6*INDEX(Seasonality!$B$2:$B$13,AP5)/AVERAGE(Seasonality!$B$2:$B$13))*(1-Inputs!$B$18*AP7),0)</f>
        <v>0.4788</v>
      </c>
      <c r="AQ8" s="0" t="n">
        <f aca="false">IF((AQ$3&gt;=1),MIN(0.98,Inputs!$B$5*AQ6*INDEX(Seasonality!$B$2:$B$13,AQ5)/AVERAGE(Seasonality!$B$2:$B$13))*(1-Inputs!$B$18*AQ7),0)</f>
        <v>0.41328</v>
      </c>
      <c r="AR8" s="0" t="n">
        <f aca="false">IF((AR$3&gt;=1),MIN(0.98,Inputs!$B$5*AR6*INDEX(Seasonality!$B$2:$B$13,AR5)/AVERAGE(Seasonality!$B$2:$B$13))*(1-Inputs!$B$18*AR7),0)</f>
        <v>0.378</v>
      </c>
      <c r="AS8" s="0" t="n">
        <f aca="false">IF((AS$3&gt;=1),MIN(0.98,Inputs!$B$5*AS6*INDEX(Seasonality!$B$2:$B$13,AS5)/AVERAGE(Seasonality!$B$2:$B$13))*(1-Inputs!$B$18*AS7),0)</f>
        <v>0.576</v>
      </c>
      <c r="AT8" s="0" t="n">
        <f aca="false">IF((AT$3&gt;=1),MIN(0.98,Inputs!$B$5*AT6*INDEX(Seasonality!$B$2:$B$13,AT5)/AVERAGE(Seasonality!$B$2:$B$13))*(1-Inputs!$B$18*AT7),0)</f>
        <v>0.612</v>
      </c>
      <c r="AU8" s="0" t="n">
        <f aca="false">IF((AU$3&gt;=1),MIN(0.98,Inputs!$B$5*AU6*INDEX(Seasonality!$B$2:$B$13,AU5)/AVERAGE(Seasonality!$B$2:$B$13))*(1-Inputs!$B$18*AU7),0)</f>
        <v>0.6624</v>
      </c>
      <c r="AV8" s="0" t="n">
        <f aca="false">IF((AV$3&gt;=1),MIN(0.98,Inputs!$B$5*AV6*INDEX(Seasonality!$B$2:$B$13,AV5)/AVERAGE(Seasonality!$B$2:$B$13))*(1-Inputs!$B$18*AV7),0)</f>
        <v>0.72</v>
      </c>
      <c r="AW8" s="0" t="n">
        <f aca="false">IF((AW$3&gt;=1),MIN(0.98,Inputs!$B$5*AW6*INDEX(Seasonality!$B$2:$B$13,AW5)/AVERAGE(Seasonality!$B$2:$B$13))*(1-Inputs!$B$18*AW7),0)</f>
        <v>0.8064</v>
      </c>
      <c r="AX8" s="0" t="n">
        <f aca="false">IF((AX$3&gt;=1),MIN(0.98,Inputs!$B$5*AX6*INDEX(Seasonality!$B$2:$B$13,AX5)/AVERAGE(Seasonality!$B$2:$B$13))*(1-Inputs!$B$18*AX7),0)</f>
        <v>0.98</v>
      </c>
      <c r="AY8" s="0" t="n">
        <f aca="false">IF((AY$3&gt;=1),MIN(0.98,Inputs!$B$5*AY6*INDEX(Seasonality!$B$2:$B$13,AY5)/AVERAGE(Seasonality!$B$2:$B$13))*(1-Inputs!$B$18*AY7),0)</f>
        <v>0.8784</v>
      </c>
      <c r="AZ8" s="0" t="n">
        <f aca="false">IF((AZ$3&gt;=1),MIN(0.98,Inputs!$B$5*AZ6*INDEX(Seasonality!$B$2:$B$13,AZ5)/AVERAGE(Seasonality!$B$2:$B$13))*(1-Inputs!$B$18*AZ7),0)</f>
        <v>0.828</v>
      </c>
      <c r="BA8" s="0" t="n">
        <f aca="false">IF((BA$3&gt;=1),MIN(0.98,Inputs!$B$5*BA6*INDEX(Seasonality!$B$2:$B$13,BA5)/AVERAGE(Seasonality!$B$2:$B$13))*(1-Inputs!$B$18*BA7),0)</f>
        <v>0.756</v>
      </c>
      <c r="BB8" s="0" t="n">
        <f aca="false">IF((BB$3&gt;=1),MIN(0.98,Inputs!$B$5*BB6*INDEX(Seasonality!$B$2:$B$13,BB5)/AVERAGE(Seasonality!$B$2:$B$13))*(1-Inputs!$B$18*BB7),0)</f>
        <v>0.684</v>
      </c>
      <c r="BC8" s="0" t="n">
        <f aca="false">IF((BC$3&gt;=1),MIN(0.98,Inputs!$B$5*BC6*INDEX(Seasonality!$B$2:$B$13,BC5)/AVERAGE(Seasonality!$B$2:$B$13))*(1-Inputs!$B$18*BC7),0)</f>
        <v>0.5904</v>
      </c>
      <c r="BD8" s="0" t="n">
        <f aca="false">IF((BD$3&gt;=1),MIN(0.98,Inputs!$B$5*BD6*INDEX(Seasonality!$B$2:$B$13,BD5)/AVERAGE(Seasonality!$B$2:$B$13))*(1-Inputs!$B$18*BD7),0)</f>
        <v>0.54</v>
      </c>
      <c r="BE8" s="0" t="n">
        <f aca="false">IF((BE$3&gt;=1),MIN(0.98,Inputs!$B$5*BE6*INDEX(Seasonality!$B$2:$B$13,BE5)/AVERAGE(Seasonality!$B$2:$B$13))*(1-Inputs!$B$18*BE7),0)</f>
        <v>0.576</v>
      </c>
      <c r="BF8" s="0" t="n">
        <f aca="false">IF((BF$3&gt;=1),MIN(0.98,Inputs!$B$5*BF6*INDEX(Seasonality!$B$2:$B$13,BF5)/AVERAGE(Seasonality!$B$2:$B$13))*(1-Inputs!$B$18*BF7),0)</f>
        <v>0.612</v>
      </c>
      <c r="BG8" s="0" t="n">
        <f aca="false">IF((BG$3&gt;=1),MIN(0.98,Inputs!$B$5*BG6*INDEX(Seasonality!$B$2:$B$13,BG5)/AVERAGE(Seasonality!$B$2:$B$13))*(1-Inputs!$B$18*BG7),0)</f>
        <v>0.6624</v>
      </c>
      <c r="BH8" s="0" t="n">
        <f aca="false">IF((BH$3&gt;=1),MIN(0.98,Inputs!$B$5*BH6*INDEX(Seasonality!$B$2:$B$13,BH5)/AVERAGE(Seasonality!$B$2:$B$13))*(1-Inputs!$B$18*BH7),0)</f>
        <v>0.72</v>
      </c>
      <c r="BI8" s="0" t="n">
        <f aca="false">IF((BI$3&gt;=1),MIN(0.98,Inputs!$B$5*BI6*INDEX(Seasonality!$B$2:$B$13,BI5)/AVERAGE(Seasonality!$B$2:$B$13))*(1-Inputs!$B$18*BI7),0)</f>
        <v>0.8064</v>
      </c>
      <c r="BJ8" s="0" t="n">
        <f aca="false">IF((BJ$3&gt;=1),MIN(0.98,Inputs!$B$5*BJ6*INDEX(Seasonality!$B$2:$B$13,BJ5)/AVERAGE(Seasonality!$B$2:$B$13))*(1-Inputs!$B$18*BJ7),0)</f>
        <v>0.98</v>
      </c>
      <c r="BK8" s="0" t="n">
        <f aca="false">IF((BK$3&gt;=1),MIN(0.98,Inputs!$B$5*BK6*INDEX(Seasonality!$B$2:$B$13,BK5)/AVERAGE(Seasonality!$B$2:$B$13))*(1-Inputs!$B$18*BK7),0)</f>
        <v>0.8784</v>
      </c>
      <c r="BL8" s="0" t="n">
        <f aca="false">IF((BL$3&gt;=1),MIN(0.98,Inputs!$B$5*BL6*INDEX(Seasonality!$B$2:$B$13,BL5)/AVERAGE(Seasonality!$B$2:$B$13))*(1-Inputs!$B$18*BL7),0)</f>
        <v>0.828</v>
      </c>
      <c r="BM8" s="0" t="n">
        <f aca="false">IF((BM$3&gt;=1),MIN(0.98,Inputs!$B$5*BM6*INDEX(Seasonality!$B$2:$B$13,BM5)/AVERAGE(Seasonality!$B$2:$B$13))*(1-Inputs!$B$18*BM7),0)</f>
        <v>0.756</v>
      </c>
      <c r="BN8" s="0" t="n">
        <f aca="false">IF((BN$3&gt;=1),MIN(0.98,Inputs!$B$5*BN6*INDEX(Seasonality!$B$2:$B$13,BN5)/AVERAGE(Seasonality!$B$2:$B$13))*(1-Inputs!$B$18*BN7),0)</f>
        <v>0.684</v>
      </c>
      <c r="BO8" s="0" t="n">
        <f aca="false">IF((BO$3&gt;=1),MIN(0.98,Inputs!$B$5*BO6*INDEX(Seasonality!$B$2:$B$13,BO5)/AVERAGE(Seasonality!$B$2:$B$13))*(1-Inputs!$B$18*BO7),0)</f>
        <v>0.5904</v>
      </c>
      <c r="BP8" s="0" t="n">
        <f aca="false">IF((BP$3&gt;=1),MIN(0.98,Inputs!$B$5*BP6*INDEX(Seasonality!$B$2:$B$13,BP5)/AVERAGE(Seasonality!$B$2:$B$13))*(1-Inputs!$B$18*BP7),0)</f>
        <v>0.54</v>
      </c>
      <c r="BQ8" s="0" t="n">
        <f aca="false">IF((BQ$3&gt;=1),MIN(0.98,Inputs!$B$5*BQ6*INDEX(Seasonality!$B$2:$B$13,BQ5)/AVERAGE(Seasonality!$B$2:$B$13))*(1-Inputs!$B$18*BQ7),0)</f>
        <v>0.576</v>
      </c>
      <c r="BR8" s="0" t="n">
        <f aca="false">IF((BR$3&gt;=1),MIN(0.98,Inputs!$B$5*BR6*INDEX(Seasonality!$B$2:$B$13,BR5)/AVERAGE(Seasonality!$B$2:$B$13))*(1-Inputs!$B$18*BR7),0)</f>
        <v>0.612</v>
      </c>
      <c r="BS8" s="0" t="n">
        <f aca="false">IF((BS$3&gt;=1),MIN(0.98,Inputs!$B$5*BS6*INDEX(Seasonality!$B$2:$B$13,BS5)/AVERAGE(Seasonality!$B$2:$B$13))*(1-Inputs!$B$18*BS7),0)</f>
        <v>0.6624</v>
      </c>
      <c r="BT8" s="0" t="n">
        <f aca="false">IF((BT$3&gt;=1),MIN(0.98,Inputs!$B$5*BT6*INDEX(Seasonality!$B$2:$B$13,BT5)/AVERAGE(Seasonality!$B$2:$B$13))*(1-Inputs!$B$18*BT7),0)</f>
        <v>0.72</v>
      </c>
      <c r="BU8" s="0" t="n">
        <f aca="false">IF((BU$3&gt;=1),MIN(0.98,Inputs!$B$5*BU6*INDEX(Seasonality!$B$2:$B$13,BU5)/AVERAGE(Seasonality!$B$2:$B$13))*(1-Inputs!$B$18*BU7),0)</f>
        <v>0.8064</v>
      </c>
      <c r="BV8" s="0" t="n">
        <f aca="false">IF((BV$3&gt;=1),MIN(0.98,Inputs!$B$5*BV6*INDEX(Seasonality!$B$2:$B$13,BV5)/AVERAGE(Seasonality!$B$2:$B$13))*(1-Inputs!$B$18*BV7),0)</f>
        <v>0.98</v>
      </c>
      <c r="BW8" s="0" t="n">
        <f aca="false">IF((BW$3&gt;=1),MIN(0.98,Inputs!$B$5*BW6*INDEX(Seasonality!$B$2:$B$13,BW5)/AVERAGE(Seasonality!$B$2:$B$13))*(1-Inputs!$B$18*BW7),0)</f>
        <v>0.8784</v>
      </c>
      <c r="BX8" s="0" t="n">
        <f aca="false">IF((BX$3&gt;=1),MIN(0.98,Inputs!$B$5*BX6*INDEX(Seasonality!$B$2:$B$13,BX5)/AVERAGE(Seasonality!$B$2:$B$13))*(1-Inputs!$B$18*BX7),0)</f>
        <v>0.828</v>
      </c>
      <c r="BY8" s="0" t="n">
        <f aca="false">IF((BY$3&gt;=1),MIN(0.98,Inputs!$B$5*BY6*INDEX(Seasonality!$B$2:$B$13,BY5)/AVERAGE(Seasonality!$B$2:$B$13))*(1-Inputs!$B$18*BY7),0)</f>
        <v>0.756</v>
      </c>
      <c r="BZ8" s="0" t="n">
        <f aca="false">IF((BZ$3&gt;=1),MIN(0.98,Inputs!$B$5*BZ6*INDEX(Seasonality!$B$2:$B$13,BZ5)/AVERAGE(Seasonality!$B$2:$B$13))*(1-Inputs!$B$18*BZ7),0)</f>
        <v>0.684</v>
      </c>
      <c r="CA8" s="0" t="n">
        <f aca="false">IF((CA$3&gt;=1),MIN(0.98,Inputs!$B$5*CA6*INDEX(Seasonality!$B$2:$B$13,CA5)/AVERAGE(Seasonality!$B$2:$B$13))*(1-Inputs!$B$18*CA7),0)</f>
        <v>0.5904</v>
      </c>
      <c r="CB8" s="0" t="n">
        <f aca="false">IF((CB$3&gt;=1),MIN(0.98,Inputs!$B$5*CB6*INDEX(Seasonality!$B$2:$B$13,CB5)/AVERAGE(Seasonality!$B$2:$B$13))*(1-Inputs!$B$18*CB7),0)</f>
        <v>0.54</v>
      </c>
      <c r="CC8" s="0" t="n">
        <f aca="false">IF((CC$3&gt;=1),MIN(0.98,Inputs!$B$5*CC6*INDEX(Seasonality!$B$2:$B$13,CC5)/AVERAGE(Seasonality!$B$2:$B$13))*(1-Inputs!$B$18*CC7),0)</f>
        <v>0.576</v>
      </c>
      <c r="CD8" s="0" t="n">
        <f aca="false">IF((CD$3&gt;=1),MIN(0.98,Inputs!$B$5*CD6*INDEX(Seasonality!$B$2:$B$13,CD5)/AVERAGE(Seasonality!$B$2:$B$13))*(1-Inputs!$B$18*CD7),0)</f>
        <v>0.612</v>
      </c>
      <c r="CE8" s="0" t="n">
        <f aca="false">IF((CE$3&gt;=1),MIN(0.98,Inputs!$B$5*CE6*INDEX(Seasonality!$B$2:$B$13,CE5)/AVERAGE(Seasonality!$B$2:$B$13))*(1-Inputs!$B$18*CE7),0)</f>
        <v>0.6624</v>
      </c>
      <c r="CF8" s="0" t="n">
        <f aca="false">IF((CF$3&gt;=1),MIN(0.98,Inputs!$B$5*CF6*INDEX(Seasonality!$B$2:$B$13,CF5)/AVERAGE(Seasonality!$B$2:$B$13))*(1-Inputs!$B$18*CF7),0)</f>
        <v>0.72</v>
      </c>
      <c r="CG8" s="0" t="n">
        <f aca="false">IF((CG$3&gt;=1),MIN(0.98,Inputs!$B$5*CG6*INDEX(Seasonality!$B$2:$B$13,CG5)/AVERAGE(Seasonality!$B$2:$B$13))*(1-Inputs!$B$18*CG7),0)</f>
        <v>0.8064</v>
      </c>
      <c r="CH8" s="0" t="n">
        <f aca="false">IF((CH$3&gt;=1),MIN(0.98,Inputs!$B$5*CH6*INDEX(Seasonality!$B$2:$B$13,CH5)/AVERAGE(Seasonality!$B$2:$B$13))*(1-Inputs!$B$18*CH7),0)</f>
        <v>0.98</v>
      </c>
      <c r="CI8" s="0" t="n">
        <f aca="false">IF((CI$3&gt;=1),MIN(0.98,Inputs!$B$5*CI6*INDEX(Seasonality!$B$2:$B$13,CI5)/AVERAGE(Seasonality!$B$2:$B$13))*(1-Inputs!$B$18*CI7),0)</f>
        <v>0.8784</v>
      </c>
      <c r="CJ8" s="0" t="n">
        <f aca="false">IF((CJ$3&gt;=1),MIN(0.98,Inputs!$B$5*CJ6*INDEX(Seasonality!$B$2:$B$13,CJ5)/AVERAGE(Seasonality!$B$2:$B$13))*(1-Inputs!$B$18*CJ7),0)</f>
        <v>0.828</v>
      </c>
      <c r="CK8" s="0" t="n">
        <f aca="false">IF((CK$3&gt;=1),MIN(0.98,Inputs!$B$5*CK6*INDEX(Seasonality!$B$2:$B$13,CK5)/AVERAGE(Seasonality!$B$2:$B$13))*(1-Inputs!$B$18*CK7),0)</f>
        <v>0.756</v>
      </c>
      <c r="CL8" s="0" t="n">
        <f aca="false">IF((CL$3&gt;=1),MIN(0.98,Inputs!$B$5*CL6*INDEX(Seasonality!$B$2:$B$13,CL5)/AVERAGE(Seasonality!$B$2:$B$13))*(1-Inputs!$B$18*CL7),0)</f>
        <v>0.684</v>
      </c>
      <c r="CM8" s="0" t="n">
        <f aca="false">IF((CM$3&gt;=1),MIN(0.98,Inputs!$B$5*CM6*INDEX(Seasonality!$B$2:$B$13,CM5)/AVERAGE(Seasonality!$B$2:$B$13))*(1-Inputs!$B$18*CM7),0)</f>
        <v>0.5904</v>
      </c>
      <c r="CN8" s="0" t="n">
        <f aca="false">IF((CN$3&gt;=1),MIN(0.98,Inputs!$B$5*CN6*INDEX(Seasonality!$B$2:$B$13,CN5)/AVERAGE(Seasonality!$B$2:$B$13))*(1-Inputs!$B$18*CN7),0)</f>
        <v>0.54</v>
      </c>
      <c r="CO8" s="0" t="n">
        <f aca="false">IF((CO$3&gt;=1),MIN(0.98,Inputs!$B$5*CO6*INDEX(Seasonality!$B$2:$B$13,CO5)/AVERAGE(Seasonality!$B$2:$B$13))*(1-Inputs!$B$18*CO7),0)</f>
        <v>0.576</v>
      </c>
      <c r="CP8" s="0" t="n">
        <f aca="false">IF((CP$3&gt;=1),MIN(0.98,Inputs!$B$5*CP6*INDEX(Seasonality!$B$2:$B$13,CP5)/AVERAGE(Seasonality!$B$2:$B$13))*(1-Inputs!$B$18*CP7),0)</f>
        <v>0.612</v>
      </c>
      <c r="CQ8" s="0" t="n">
        <f aca="false">IF((CQ$3&gt;=1),MIN(0.98,Inputs!$B$5*CQ6*INDEX(Seasonality!$B$2:$B$13,CQ5)/AVERAGE(Seasonality!$B$2:$B$13))*(1-Inputs!$B$18*CQ7),0)</f>
        <v>0.6624</v>
      </c>
      <c r="CR8" s="0" t="n">
        <f aca="false">IF((CR$3&gt;=1),MIN(0.98,Inputs!$B$5*CR6*INDEX(Seasonality!$B$2:$B$13,CR5)/AVERAGE(Seasonality!$B$2:$B$13))*(1-Inputs!$B$18*CR7),0)</f>
        <v>0.72</v>
      </c>
      <c r="CS8" s="0" t="n">
        <f aca="false">IF((CS$3&gt;=1),MIN(0.98,Inputs!$B$5*CS6*INDEX(Seasonality!$B$2:$B$13,CS5)/AVERAGE(Seasonality!$B$2:$B$13))*(1-Inputs!$B$18*CS7),0)</f>
        <v>0.8064</v>
      </c>
      <c r="CT8" s="0" t="n">
        <f aca="false">IF((CT$3&gt;=1),MIN(0.98,Inputs!$B$5*CT6*INDEX(Seasonality!$B$2:$B$13,CT5)/AVERAGE(Seasonality!$B$2:$B$13))*(1-Inputs!$B$18*CT7),0)</f>
        <v>0.98</v>
      </c>
      <c r="CU8" s="0" t="n">
        <f aca="false">IF((CU$3&gt;=1),MIN(0.98,Inputs!$B$5*CU6*INDEX(Seasonality!$B$2:$B$13,CU5)/AVERAGE(Seasonality!$B$2:$B$13))*(1-Inputs!$B$18*CU7),0)</f>
        <v>0.8784</v>
      </c>
      <c r="CV8" s="0" t="n">
        <f aca="false">IF((CV$3&gt;=1),MIN(0.98,Inputs!$B$5*CV6*INDEX(Seasonality!$B$2:$B$13,CV5)/AVERAGE(Seasonality!$B$2:$B$13))*(1-Inputs!$B$18*CV7),0)</f>
        <v>0.828</v>
      </c>
      <c r="CW8" s="0" t="n">
        <f aca="false">IF((CW$3&gt;=1),MIN(0.98,Inputs!$B$5*CW6*INDEX(Seasonality!$B$2:$B$13,CW5)/AVERAGE(Seasonality!$B$2:$B$13))*(1-Inputs!$B$18*CW7),0)</f>
        <v>0.756</v>
      </c>
      <c r="CX8" s="0" t="n">
        <f aca="false">IF((CX$3&gt;=1),MIN(0.98,Inputs!$B$5*CX6*INDEX(Seasonality!$B$2:$B$13,CX5)/AVERAGE(Seasonality!$B$2:$B$13))*(1-Inputs!$B$18*CX7),0)</f>
        <v>0.684</v>
      </c>
      <c r="CY8" s="0" t="n">
        <f aca="false">IF((CY$3&gt;=1),MIN(0.98,Inputs!$B$5*CY6*INDEX(Seasonality!$B$2:$B$13,CY5)/AVERAGE(Seasonality!$B$2:$B$13))*(1-Inputs!$B$18*CY7),0)</f>
        <v>0.5904</v>
      </c>
      <c r="CZ8" s="0" t="n">
        <f aca="false">IF((CZ$3&gt;=1),MIN(0.98,Inputs!$B$5*CZ6*INDEX(Seasonality!$B$2:$B$13,CZ5)/AVERAGE(Seasonality!$B$2:$B$13))*(1-Inputs!$B$18*CZ7),0)</f>
        <v>0.54</v>
      </c>
      <c r="DA8" s="0" t="n">
        <f aca="false">IF((DA$3&gt;=1),MIN(0.98,Inputs!$B$5*DA6*INDEX(Seasonality!$B$2:$B$13,DA5)/AVERAGE(Seasonality!$B$2:$B$13))*(1-Inputs!$B$18*DA7),0)</f>
        <v>0.576</v>
      </c>
      <c r="DB8" s="0" t="n">
        <f aca="false">IF((DB$3&gt;=1),MIN(0.98,Inputs!$B$5*DB6*INDEX(Seasonality!$B$2:$B$13,DB5)/AVERAGE(Seasonality!$B$2:$B$13))*(1-Inputs!$B$18*DB7),0)</f>
        <v>0.612</v>
      </c>
      <c r="DC8" s="0" t="n">
        <f aca="false">IF((DC$3&gt;=1),MIN(0.98,Inputs!$B$5*DC6*INDEX(Seasonality!$B$2:$B$13,DC5)/AVERAGE(Seasonality!$B$2:$B$13))*(1-Inputs!$B$18*DC7),0)</f>
        <v>0.6624</v>
      </c>
      <c r="DD8" s="0" t="n">
        <f aca="false">IF((DD$3&gt;=1),MIN(0.98,Inputs!$B$5*DD6*INDEX(Seasonality!$B$2:$B$13,DD5)/AVERAGE(Seasonality!$B$2:$B$13))*(1-Inputs!$B$18*DD7),0)</f>
        <v>0.72</v>
      </c>
      <c r="DE8" s="0" t="n">
        <f aca="false">IF((DE$3&gt;=1),MIN(0.98,Inputs!$B$5*DE6*INDEX(Seasonality!$B$2:$B$13,DE5)/AVERAGE(Seasonality!$B$2:$B$13))*(1-Inputs!$B$18*DE7),0)</f>
        <v>0.8064</v>
      </c>
      <c r="DF8" s="0" t="n">
        <f aca="false">IF((DF$3&gt;=1),MIN(0.98,Inputs!$B$5*DF6*INDEX(Seasonality!$B$2:$B$13,DF5)/AVERAGE(Seasonality!$B$2:$B$13))*(1-Inputs!$B$18*DF7),0)</f>
        <v>0.98</v>
      </c>
      <c r="DG8" s="0" t="n">
        <f aca="false">IF((DG$3&gt;=1),MIN(0.98,Inputs!$B$5*DG6*INDEX(Seasonality!$B$2:$B$13,DG5)/AVERAGE(Seasonality!$B$2:$B$13))*(1-Inputs!$B$18*DG7),0)</f>
        <v>0.8784</v>
      </c>
      <c r="DH8" s="0" t="n">
        <f aca="false">IF((DH$3&gt;=1),MIN(0.98,Inputs!$B$5*DH6*INDEX(Seasonality!$B$2:$B$13,DH5)/AVERAGE(Seasonality!$B$2:$B$13))*(1-Inputs!$B$18*DH7),0)</f>
        <v>0.828</v>
      </c>
      <c r="DI8" s="0" t="n">
        <f aca="false">IF((DI$3&gt;=1),MIN(0.98,Inputs!$B$5*DI6*INDEX(Seasonality!$B$2:$B$13,DI5)/AVERAGE(Seasonality!$B$2:$B$13))*(1-Inputs!$B$18*DI7),0)</f>
        <v>0.756</v>
      </c>
      <c r="DJ8" s="0" t="n">
        <f aca="false">IF((DJ$3&gt;=1),MIN(0.98,Inputs!$B$5*DJ6*INDEX(Seasonality!$B$2:$B$13,DJ5)/AVERAGE(Seasonality!$B$2:$B$13))*(1-Inputs!$B$18*DJ7),0)</f>
        <v>0.684</v>
      </c>
      <c r="DK8" s="0" t="n">
        <f aca="false">IF((DK$3&gt;=1),MIN(0.98,Inputs!$B$5*DK6*INDEX(Seasonality!$B$2:$B$13,DK5)/AVERAGE(Seasonality!$B$2:$B$13))*(1-Inputs!$B$18*DK7),0)</f>
        <v>0.5904</v>
      </c>
      <c r="DL8" s="0" t="n">
        <f aca="false">IF((DL$3&gt;=1),MIN(0.98,Inputs!$B$5*DL6*INDEX(Seasonality!$B$2:$B$13,DL5)/AVERAGE(Seasonality!$B$2:$B$13))*(1-Inputs!$B$18*DL7),0)</f>
        <v>0.54</v>
      </c>
      <c r="DM8" s="0" t="n">
        <f aca="false">IF((DM$3&gt;=1),MIN(0.98,Inputs!$B$5*DM6*INDEX(Seasonality!$B$2:$B$13,DM5)/AVERAGE(Seasonality!$B$2:$B$13))*(1-Inputs!$B$18*DM7),0)</f>
        <v>0.576</v>
      </c>
      <c r="DN8" s="0" t="n">
        <f aca="false">IF((DN$3&gt;=1),MIN(0.98,Inputs!$B$5*DN6*INDEX(Seasonality!$B$2:$B$13,DN5)/AVERAGE(Seasonality!$B$2:$B$13))*(1-Inputs!$B$18*DN7),0)</f>
        <v>0.612</v>
      </c>
      <c r="DO8" s="0" t="n">
        <f aca="false">IF((DO$3&gt;=1),MIN(0.98,Inputs!$B$5*DO6*INDEX(Seasonality!$B$2:$B$13,DO5)/AVERAGE(Seasonality!$B$2:$B$13))*(1-Inputs!$B$18*DO7),0)</f>
        <v>0.6624</v>
      </c>
      <c r="DP8" s="0" t="n">
        <f aca="false">IF((DP$3&gt;=1),MIN(0.98,Inputs!$B$5*DP6*INDEX(Seasonality!$B$2:$B$13,DP5)/AVERAGE(Seasonality!$B$2:$B$13))*(1-Inputs!$B$18*DP7),0)</f>
        <v>0.72</v>
      </c>
      <c r="DQ8" s="0" t="n">
        <f aca="false">IF((DQ$3&gt;=1),MIN(0.98,Inputs!$B$5*DQ6*INDEX(Seasonality!$B$2:$B$13,DQ5)/AVERAGE(Seasonality!$B$2:$B$13))*(1-Inputs!$B$18*DQ7),0)</f>
        <v>0.8064</v>
      </c>
      <c r="DR8" s="0" t="n">
        <f aca="false">IF((DR$3&gt;=1),MIN(0.98,Inputs!$B$5*DR6*INDEX(Seasonality!$B$2:$B$13,DR5)/AVERAGE(Seasonality!$B$2:$B$13))*(1-Inputs!$B$18*DR7),0)</f>
        <v>0.98</v>
      </c>
    </row>
    <row r="9" customFormat="false" ht="15" hidden="false" customHeight="false" outlineLevel="0" collapsed="false">
      <c r="A9" s="0" t="s">
        <v>31</v>
      </c>
      <c r="B9" s="0" t="n">
        <f aca="false">IF((B$3&gt;=1),Inputs!$B$4*(1+Inputs!$B$6)^(B4-1)*INDEX(Seasonality!$C$2:$C$13,B5)/AVERAGE(Seasonality!$C$2:$C$13),0)</f>
        <v>0</v>
      </c>
      <c r="C9" s="0" t="n">
        <f aca="false">IF((C$3&gt;=1),Inputs!$B$4*(1+Inputs!$B$6)^(C4-1)*INDEX(Seasonality!$C$2:$C$13,C5)/AVERAGE(Seasonality!$C$2:$C$13),0)</f>
        <v>5487.09677419355</v>
      </c>
      <c r="D9" s="0" t="n">
        <f aca="false">IF((D$3&gt;=1),Inputs!$B$4*(1+Inputs!$B$6)^(D4-1)*INDEX(Seasonality!$C$2:$C$13,D5)/AVERAGE(Seasonality!$C$2:$C$13),0)</f>
        <v>5080.64516129032</v>
      </c>
      <c r="E9" s="0" t="n">
        <f aca="false">IF((E$3&gt;=1),Inputs!$B$4*(1+Inputs!$B$6)^(E4-1)*INDEX(Seasonality!$C$2:$C$13,E5)/AVERAGE(Seasonality!$C$2:$C$13),0)</f>
        <v>4470.96774193548</v>
      </c>
      <c r="F9" s="0" t="n">
        <f aca="false">IF((F$3&gt;=1),Inputs!$B$4*(1+Inputs!$B$6)^(F4-1)*INDEX(Seasonality!$C$2:$C$13,F5)/AVERAGE(Seasonality!$C$2:$C$13),0)</f>
        <v>3861.29032258065</v>
      </c>
      <c r="G9" s="0" t="n">
        <f aca="false">IF((G$3&gt;=1),Inputs!$B$4*(1+Inputs!$B$6)^(G4-1)*INDEX(Seasonality!$C$2:$C$13,G5)/AVERAGE(Seasonality!$C$2:$C$13),0)</f>
        <v>3454.83870967742</v>
      </c>
      <c r="H9" s="0" t="n">
        <f aca="false">IF((H$3&gt;=1),Inputs!$B$4*(1+Inputs!$B$6)^(H4-1)*INDEX(Seasonality!$C$2:$C$13,H5)/AVERAGE(Seasonality!$C$2:$C$13),0)</f>
        <v>3251.61290322581</v>
      </c>
      <c r="I9" s="0" t="n">
        <f aca="false">IF((I$3&gt;=1),Inputs!$B$4*(1+Inputs!$B$6)^(I4-1)*INDEX(Seasonality!$C$2:$C$13,I5)/AVERAGE(Seasonality!$C$2:$C$13),0)</f>
        <v>3332.90322580645</v>
      </c>
      <c r="J9" s="0" t="n">
        <f aca="false">IF((J$3&gt;=1),Inputs!$B$4*(1+Inputs!$B$6)^(J4-1)*INDEX(Seasonality!$C$2:$C$13,J5)/AVERAGE(Seasonality!$C$2:$C$13),0)</f>
        <v>3454.83870967742</v>
      </c>
      <c r="K9" s="0" t="n">
        <f aca="false">IF((K$3&gt;=1),Inputs!$B$4*(1+Inputs!$B$6)^(K4-1)*INDEX(Seasonality!$C$2:$C$13,K5)/AVERAGE(Seasonality!$C$2:$C$13),0)</f>
        <v>3658.06451612903</v>
      </c>
      <c r="L9" s="0" t="n">
        <f aca="false">IF((L$3&gt;=1),Inputs!$B$4*(1+Inputs!$B$6)^(L4-1)*INDEX(Seasonality!$C$2:$C$13,L5)/AVERAGE(Seasonality!$C$2:$C$13),0)</f>
        <v>3983.22580645161</v>
      </c>
      <c r="M9" s="0" t="n">
        <f aca="false">IF((M$3&gt;=1),Inputs!$B$4*(1+Inputs!$B$6)^(M4-1)*INDEX(Seasonality!$C$2:$C$13,M5)/AVERAGE(Seasonality!$C$2:$C$13),0)</f>
        <v>4470.96774193548</v>
      </c>
      <c r="N9" s="0" t="n">
        <f aca="false">IF((N$3&gt;=1),Inputs!$B$4*(1+Inputs!$B$6)^(N4-1)*INDEX(Seasonality!$C$2:$C$13,N5)/AVERAGE(Seasonality!$C$2:$C$13),0)</f>
        <v>5893.54838709677</v>
      </c>
      <c r="O9" s="0" t="n">
        <f aca="false">IF((O$3&gt;=1),Inputs!$B$4*(1+Inputs!$B$6)^(O4-1)*INDEX(Seasonality!$C$2:$C$13,O5)/AVERAGE(Seasonality!$C$2:$C$13),0)</f>
        <v>5788.88709677419</v>
      </c>
      <c r="P9" s="0" t="n">
        <f aca="false">IF((P$3&gt;=1),Inputs!$B$4*(1+Inputs!$B$6)^(P4-1)*INDEX(Seasonality!$C$2:$C$13,P5)/AVERAGE(Seasonality!$C$2:$C$13),0)</f>
        <v>5360.08064516129</v>
      </c>
      <c r="Q9" s="0" t="n">
        <f aca="false">IF((Q$3&gt;=1),Inputs!$B$4*(1+Inputs!$B$6)^(Q4-1)*INDEX(Seasonality!$C$2:$C$13,Q5)/AVERAGE(Seasonality!$C$2:$C$13),0)</f>
        <v>4716.87096774194</v>
      </c>
      <c r="R9" s="0" t="n">
        <f aca="false">IF((R$3&gt;=1),Inputs!$B$4*(1+Inputs!$B$6)^(R4-1)*INDEX(Seasonality!$C$2:$C$13,R5)/AVERAGE(Seasonality!$C$2:$C$13),0)</f>
        <v>4073.66129032258</v>
      </c>
      <c r="S9" s="0" t="n">
        <f aca="false">IF((S$3&gt;=1),Inputs!$B$4*(1+Inputs!$B$6)^(S4-1)*INDEX(Seasonality!$C$2:$C$13,S5)/AVERAGE(Seasonality!$C$2:$C$13),0)</f>
        <v>3644.85483870968</v>
      </c>
      <c r="T9" s="0" t="n">
        <f aca="false">IF((T$3&gt;=1),Inputs!$B$4*(1+Inputs!$B$6)^(T4-1)*INDEX(Seasonality!$C$2:$C$13,T5)/AVERAGE(Seasonality!$C$2:$C$13),0)</f>
        <v>3430.45161290323</v>
      </c>
      <c r="U9" s="0" t="n">
        <f aca="false">IF((U$3&gt;=1),Inputs!$B$4*(1+Inputs!$B$6)^(U4-1)*INDEX(Seasonality!$C$2:$C$13,U5)/AVERAGE(Seasonality!$C$2:$C$13),0)</f>
        <v>3516.21290322581</v>
      </c>
      <c r="V9" s="0" t="n">
        <f aca="false">IF((V$3&gt;=1),Inputs!$B$4*(1+Inputs!$B$6)^(V4-1)*INDEX(Seasonality!$C$2:$C$13,V5)/AVERAGE(Seasonality!$C$2:$C$13),0)</f>
        <v>3644.85483870968</v>
      </c>
      <c r="W9" s="0" t="n">
        <f aca="false">IF((W$3&gt;=1),Inputs!$B$4*(1+Inputs!$B$6)^(W4-1)*INDEX(Seasonality!$C$2:$C$13,W5)/AVERAGE(Seasonality!$C$2:$C$13),0)</f>
        <v>3859.25806451613</v>
      </c>
      <c r="X9" s="0" t="n">
        <f aca="false">IF((X$3&gt;=1),Inputs!$B$4*(1+Inputs!$B$6)^(X4-1)*INDEX(Seasonality!$C$2:$C$13,X5)/AVERAGE(Seasonality!$C$2:$C$13),0)</f>
        <v>4202.30322580645</v>
      </c>
      <c r="Y9" s="0" t="n">
        <f aca="false">IF((Y$3&gt;=1),Inputs!$B$4*(1+Inputs!$B$6)^(Y4-1)*INDEX(Seasonality!$C$2:$C$13,Y5)/AVERAGE(Seasonality!$C$2:$C$13),0)</f>
        <v>4716.87096774194</v>
      </c>
      <c r="Z9" s="0" t="n">
        <f aca="false">IF((Z$3&gt;=1),Inputs!$B$4*(1+Inputs!$B$6)^(Z4-1)*INDEX(Seasonality!$C$2:$C$13,Z5)/AVERAGE(Seasonality!$C$2:$C$13),0)</f>
        <v>6217.6935483871</v>
      </c>
      <c r="AA9" s="0" t="n">
        <f aca="false">IF((AA$3&gt;=1),Inputs!$B$4*(1+Inputs!$B$6)^(AA4-1)*INDEX(Seasonality!$C$2:$C$13,AA5)/AVERAGE(Seasonality!$C$2:$C$13),0)</f>
        <v>6107.27588709678</v>
      </c>
      <c r="AB9" s="0" t="n">
        <f aca="false">IF((AB$3&gt;=1),Inputs!$B$4*(1+Inputs!$B$6)^(AB4-1)*INDEX(Seasonality!$C$2:$C$13,AB5)/AVERAGE(Seasonality!$C$2:$C$13),0)</f>
        <v>5654.88508064516</v>
      </c>
      <c r="AC9" s="0" t="n">
        <f aca="false">IF((AC$3&gt;=1),Inputs!$B$4*(1+Inputs!$B$6)^(AC4-1)*INDEX(Seasonality!$C$2:$C$13,AC5)/AVERAGE(Seasonality!$C$2:$C$13),0)</f>
        <v>4976.29887096774</v>
      </c>
      <c r="AD9" s="0" t="n">
        <f aca="false">IF((AD$3&gt;=1),Inputs!$B$4*(1+Inputs!$B$6)^(AD4-1)*INDEX(Seasonality!$C$2:$C$13,AD5)/AVERAGE(Seasonality!$C$2:$C$13),0)</f>
        <v>4297.71266129032</v>
      </c>
      <c r="AE9" s="0" t="n">
        <f aca="false">IF((AE$3&gt;=1),Inputs!$B$4*(1+Inputs!$B$6)^(AE4-1)*INDEX(Seasonality!$C$2:$C$13,AE5)/AVERAGE(Seasonality!$C$2:$C$13),0)</f>
        <v>3845.32185483871</v>
      </c>
      <c r="AF9" s="0" t="n">
        <f aca="false">IF((AF$3&gt;=1),Inputs!$B$4*(1+Inputs!$B$6)^(AF4-1)*INDEX(Seasonality!$C$2:$C$13,AF5)/AVERAGE(Seasonality!$C$2:$C$13),0)</f>
        <v>3619.1264516129</v>
      </c>
      <c r="AG9" s="0" t="n">
        <f aca="false">IF((AG$3&gt;=1),Inputs!$B$4*(1+Inputs!$B$6)^(AG4-1)*INDEX(Seasonality!$C$2:$C$13,AG5)/AVERAGE(Seasonality!$C$2:$C$13),0)</f>
        <v>3709.60461290323</v>
      </c>
      <c r="AH9" s="0" t="n">
        <f aca="false">IF((AH$3&gt;=1),Inputs!$B$4*(1+Inputs!$B$6)^(AH4-1)*INDEX(Seasonality!$C$2:$C$13,AH5)/AVERAGE(Seasonality!$C$2:$C$13),0)</f>
        <v>3845.32185483871</v>
      </c>
      <c r="AI9" s="0" t="n">
        <f aca="false">IF((AI$3&gt;=1),Inputs!$B$4*(1+Inputs!$B$6)^(AI4-1)*INDEX(Seasonality!$C$2:$C$13,AI5)/AVERAGE(Seasonality!$C$2:$C$13),0)</f>
        <v>4071.51725806452</v>
      </c>
      <c r="AJ9" s="0" t="n">
        <f aca="false">IF((AJ$3&gt;=1),Inputs!$B$4*(1+Inputs!$B$6)^(AJ4-1)*INDEX(Seasonality!$C$2:$C$13,AJ5)/AVERAGE(Seasonality!$C$2:$C$13),0)</f>
        <v>4433.42990322581</v>
      </c>
      <c r="AK9" s="0" t="n">
        <f aca="false">IF((AK$3&gt;=1),Inputs!$B$4*(1+Inputs!$B$6)^(AK4-1)*INDEX(Seasonality!$C$2:$C$13,AK5)/AVERAGE(Seasonality!$C$2:$C$13),0)</f>
        <v>4976.29887096774</v>
      </c>
      <c r="AL9" s="0" t="n">
        <f aca="false">IF((AL$3&gt;=1),Inputs!$B$4*(1+Inputs!$B$6)^(AL4-1)*INDEX(Seasonality!$C$2:$C$13,AL5)/AVERAGE(Seasonality!$C$2:$C$13),0)</f>
        <v>6559.66669354839</v>
      </c>
      <c r="AM9" s="0" t="n">
        <f aca="false">IF((AM$3&gt;=1),Inputs!$B$4*(1+Inputs!$B$6)^(AM4-1)*INDEX(Seasonality!$C$2:$C$13,AM5)/AVERAGE(Seasonality!$C$2:$C$13),0)</f>
        <v>6443.1760608871</v>
      </c>
      <c r="AN9" s="0" t="n">
        <f aca="false">IF((AN$3&gt;=1),Inputs!$B$4*(1+Inputs!$B$6)^(AN4-1)*INDEX(Seasonality!$C$2:$C$13,AN5)/AVERAGE(Seasonality!$C$2:$C$13),0)</f>
        <v>5965.90376008064</v>
      </c>
      <c r="AO9" s="0" t="n">
        <f aca="false">IF((AO$3&gt;=1),Inputs!$B$4*(1+Inputs!$B$6)^(AO4-1)*INDEX(Seasonality!$C$2:$C$13,AO5)/AVERAGE(Seasonality!$C$2:$C$13),0)</f>
        <v>5249.99530887097</v>
      </c>
      <c r="AP9" s="0" t="n">
        <f aca="false">IF((AP$3&gt;=1),Inputs!$B$4*(1+Inputs!$B$6)^(AP4-1)*INDEX(Seasonality!$C$2:$C$13,AP5)/AVERAGE(Seasonality!$C$2:$C$13),0)</f>
        <v>4534.08685766129</v>
      </c>
      <c r="AQ9" s="0" t="n">
        <f aca="false">IF((AQ$3&gt;=1),Inputs!$B$4*(1+Inputs!$B$6)^(AQ4-1)*INDEX(Seasonality!$C$2:$C$13,AQ5)/AVERAGE(Seasonality!$C$2:$C$13),0)</f>
        <v>4056.81455685484</v>
      </c>
      <c r="AR9" s="0" t="n">
        <f aca="false">IF((AR$3&gt;=1),Inputs!$B$4*(1+Inputs!$B$6)^(AR4-1)*INDEX(Seasonality!$C$2:$C$13,AR5)/AVERAGE(Seasonality!$C$2:$C$13),0)</f>
        <v>3818.17840645161</v>
      </c>
      <c r="AS9" s="0" t="n">
        <f aca="false">IF((AS$3&gt;=1),Inputs!$B$4*(1+Inputs!$B$6)^(AS4-1)*INDEX(Seasonality!$C$2:$C$13,AS5)/AVERAGE(Seasonality!$C$2:$C$13),0)</f>
        <v>3913.6328666129</v>
      </c>
      <c r="AT9" s="0" t="n">
        <f aca="false">IF((AT$3&gt;=1),Inputs!$B$4*(1+Inputs!$B$6)^(AT4-1)*INDEX(Seasonality!$C$2:$C$13,AT5)/AVERAGE(Seasonality!$C$2:$C$13),0)</f>
        <v>4056.81455685484</v>
      </c>
      <c r="AU9" s="0" t="n">
        <f aca="false">IF((AU$3&gt;=1),Inputs!$B$4*(1+Inputs!$B$6)^(AU4-1)*INDEX(Seasonality!$C$2:$C$13,AU5)/AVERAGE(Seasonality!$C$2:$C$13),0)</f>
        <v>4295.45070725806</v>
      </c>
      <c r="AV9" s="0" t="n">
        <f aca="false">IF((AV$3&gt;=1),Inputs!$B$4*(1+Inputs!$B$6)^(AV4-1)*INDEX(Seasonality!$C$2:$C$13,AV5)/AVERAGE(Seasonality!$C$2:$C$13),0)</f>
        <v>4677.26854790323</v>
      </c>
      <c r="AW9" s="0" t="n">
        <f aca="false">IF((AW$3&gt;=1),Inputs!$B$4*(1+Inputs!$B$6)^(AW4-1)*INDEX(Seasonality!$C$2:$C$13,AW5)/AVERAGE(Seasonality!$C$2:$C$13),0)</f>
        <v>5249.99530887097</v>
      </c>
      <c r="AX9" s="0" t="n">
        <f aca="false">IF((AX$3&gt;=1),Inputs!$B$4*(1+Inputs!$B$6)^(AX4-1)*INDEX(Seasonality!$C$2:$C$13,AX5)/AVERAGE(Seasonality!$C$2:$C$13),0)</f>
        <v>6920.44836169355</v>
      </c>
      <c r="AY9" s="0" t="n">
        <f aca="false">IF((AY$3&gt;=1),Inputs!$B$4*(1+Inputs!$B$6)^(AY4-1)*INDEX(Seasonality!$C$2:$C$13,AY5)/AVERAGE(Seasonality!$C$2:$C$13),0)</f>
        <v>6797.55074423589</v>
      </c>
      <c r="AZ9" s="0" t="n">
        <f aca="false">IF((AZ$3&gt;=1),Inputs!$B$4*(1+Inputs!$B$6)^(AZ4-1)*INDEX(Seasonality!$C$2:$C$13,AZ5)/AVERAGE(Seasonality!$C$2:$C$13),0)</f>
        <v>6294.02846688508</v>
      </c>
      <c r="BA9" s="0" t="n">
        <f aca="false">IF((BA$3&gt;=1),Inputs!$B$4*(1+Inputs!$B$6)^(BA4-1)*INDEX(Seasonality!$C$2:$C$13,BA5)/AVERAGE(Seasonality!$C$2:$C$13),0)</f>
        <v>5538.74505085887</v>
      </c>
      <c r="BB9" s="0" t="n">
        <f aca="false">IF((BB$3&gt;=1),Inputs!$B$4*(1+Inputs!$B$6)^(BB4-1)*INDEX(Seasonality!$C$2:$C$13,BB5)/AVERAGE(Seasonality!$C$2:$C$13),0)</f>
        <v>4783.46163483266</v>
      </c>
      <c r="BC9" s="0" t="n">
        <f aca="false">IF((BC$3&gt;=1),Inputs!$B$4*(1+Inputs!$B$6)^(BC4-1)*INDEX(Seasonality!$C$2:$C$13,BC5)/AVERAGE(Seasonality!$C$2:$C$13),0)</f>
        <v>4279.93935748185</v>
      </c>
      <c r="BD9" s="0" t="n">
        <f aca="false">IF((BD$3&gt;=1),Inputs!$B$4*(1+Inputs!$B$6)^(BD4-1)*INDEX(Seasonality!$C$2:$C$13,BD5)/AVERAGE(Seasonality!$C$2:$C$13),0)</f>
        <v>4028.17821880645</v>
      </c>
      <c r="BE9" s="0" t="n">
        <f aca="false">IF((BE$3&gt;=1),Inputs!$B$4*(1+Inputs!$B$6)^(BE4-1)*INDEX(Seasonality!$C$2:$C$13,BE5)/AVERAGE(Seasonality!$C$2:$C$13),0)</f>
        <v>4128.88267427661</v>
      </c>
      <c r="BF9" s="0" t="n">
        <f aca="false">IF((BF$3&gt;=1),Inputs!$B$4*(1+Inputs!$B$6)^(BF4-1)*INDEX(Seasonality!$C$2:$C$13,BF5)/AVERAGE(Seasonality!$C$2:$C$13),0)</f>
        <v>4279.93935748185</v>
      </c>
      <c r="BG9" s="0" t="n">
        <f aca="false">IF((BG$3&gt;=1),Inputs!$B$4*(1+Inputs!$B$6)^(BG4-1)*INDEX(Seasonality!$C$2:$C$13,BG5)/AVERAGE(Seasonality!$C$2:$C$13),0)</f>
        <v>4531.70049615726</v>
      </c>
      <c r="BH9" s="0" t="n">
        <f aca="false">IF((BH$3&gt;=1),Inputs!$B$4*(1+Inputs!$B$6)^(BH4-1)*INDEX(Seasonality!$C$2:$C$13,BH5)/AVERAGE(Seasonality!$C$2:$C$13),0)</f>
        <v>4934.5183180379</v>
      </c>
      <c r="BI9" s="0" t="n">
        <f aca="false">IF((BI$3&gt;=1),Inputs!$B$4*(1+Inputs!$B$6)^(BI4-1)*INDEX(Seasonality!$C$2:$C$13,BI5)/AVERAGE(Seasonality!$C$2:$C$13),0)</f>
        <v>5538.74505085887</v>
      </c>
      <c r="BJ9" s="0" t="n">
        <f aca="false">IF((BJ$3&gt;=1),Inputs!$B$4*(1+Inputs!$B$6)^(BJ4-1)*INDEX(Seasonality!$C$2:$C$13,BJ5)/AVERAGE(Seasonality!$C$2:$C$13),0)</f>
        <v>7301.07302158669</v>
      </c>
      <c r="BK9" s="0" t="n">
        <f aca="false">IF((BK$3&gt;=1),Inputs!$B$4*(1+Inputs!$B$6)^(BK4-1)*INDEX(Seasonality!$C$2:$C$13,BK5)/AVERAGE(Seasonality!$C$2:$C$13),0)</f>
        <v>7171.41603516886</v>
      </c>
      <c r="BL9" s="0" t="n">
        <f aca="false">IF((BL$3&gt;=1),Inputs!$B$4*(1+Inputs!$B$6)^(BL4-1)*INDEX(Seasonality!$C$2:$C$13,BL5)/AVERAGE(Seasonality!$C$2:$C$13),0)</f>
        <v>6640.20003256376</v>
      </c>
      <c r="BM9" s="0" t="n">
        <f aca="false">IF((BM$3&gt;=1),Inputs!$B$4*(1+Inputs!$B$6)^(BM4-1)*INDEX(Seasonality!$C$2:$C$13,BM5)/AVERAGE(Seasonality!$C$2:$C$13),0)</f>
        <v>5843.37602865611</v>
      </c>
      <c r="BN9" s="0" t="n">
        <f aca="false">IF((BN$3&gt;=1),Inputs!$B$4*(1+Inputs!$B$6)^(BN4-1)*INDEX(Seasonality!$C$2:$C$13,BN5)/AVERAGE(Seasonality!$C$2:$C$13),0)</f>
        <v>5046.55202474846</v>
      </c>
      <c r="BO9" s="0" t="n">
        <f aca="false">IF((BO$3&gt;=1),Inputs!$B$4*(1+Inputs!$B$6)^(BO4-1)*INDEX(Seasonality!$C$2:$C$13,BO5)/AVERAGE(Seasonality!$C$2:$C$13),0)</f>
        <v>4515.33602214336</v>
      </c>
      <c r="BP9" s="0" t="n">
        <f aca="false">IF((BP$3&gt;=1),Inputs!$B$4*(1+Inputs!$B$6)^(BP4-1)*INDEX(Seasonality!$C$2:$C$13,BP5)/AVERAGE(Seasonality!$C$2:$C$13),0)</f>
        <v>4249.72802084081</v>
      </c>
      <c r="BQ9" s="0" t="n">
        <f aca="false">IF((BQ$3&gt;=1),Inputs!$B$4*(1+Inputs!$B$6)^(BQ4-1)*INDEX(Seasonality!$C$2:$C$13,BQ5)/AVERAGE(Seasonality!$C$2:$C$13),0)</f>
        <v>4355.97122136183</v>
      </c>
      <c r="BR9" s="0" t="n">
        <f aca="false">IF((BR$3&gt;=1),Inputs!$B$4*(1+Inputs!$B$6)^(BR4-1)*INDEX(Seasonality!$C$2:$C$13,BR5)/AVERAGE(Seasonality!$C$2:$C$13),0)</f>
        <v>4515.33602214336</v>
      </c>
      <c r="BS9" s="0" t="n">
        <f aca="false">IF((BS$3&gt;=1),Inputs!$B$4*(1+Inputs!$B$6)^(BS4-1)*INDEX(Seasonality!$C$2:$C$13,BS5)/AVERAGE(Seasonality!$C$2:$C$13),0)</f>
        <v>4780.94402344591</v>
      </c>
      <c r="BT9" s="0" t="n">
        <f aca="false">IF((BT$3&gt;=1),Inputs!$B$4*(1+Inputs!$B$6)^(BT4-1)*INDEX(Seasonality!$C$2:$C$13,BT5)/AVERAGE(Seasonality!$C$2:$C$13),0)</f>
        <v>5205.91682552999</v>
      </c>
      <c r="BU9" s="0" t="n">
        <f aca="false">IF((BU$3&gt;=1),Inputs!$B$4*(1+Inputs!$B$6)^(BU4-1)*INDEX(Seasonality!$C$2:$C$13,BU5)/AVERAGE(Seasonality!$C$2:$C$13),0)</f>
        <v>5843.37602865611</v>
      </c>
      <c r="BV9" s="0" t="n">
        <f aca="false">IF((BV$3&gt;=1),Inputs!$B$4*(1+Inputs!$B$6)^(BV4-1)*INDEX(Seasonality!$C$2:$C$13,BV5)/AVERAGE(Seasonality!$C$2:$C$13),0)</f>
        <v>7702.63203777396</v>
      </c>
      <c r="BW9" s="0" t="n">
        <f aca="false">IF((BW$3&gt;=1),Inputs!$B$4*(1+Inputs!$B$6)^(BW4-1)*INDEX(Seasonality!$C$2:$C$13,BW5)/AVERAGE(Seasonality!$C$2:$C$13),0)</f>
        <v>7565.84391710314</v>
      </c>
      <c r="BX9" s="0" t="n">
        <f aca="false">IF((BX$3&gt;=1),Inputs!$B$4*(1+Inputs!$B$6)^(BX4-1)*INDEX(Seasonality!$C$2:$C$13,BX5)/AVERAGE(Seasonality!$C$2:$C$13),0)</f>
        <v>7005.41103435476</v>
      </c>
      <c r="BY9" s="0" t="n">
        <f aca="false">IF((BY$3&gt;=1),Inputs!$B$4*(1+Inputs!$B$6)^(BY4-1)*INDEX(Seasonality!$C$2:$C$13,BY5)/AVERAGE(Seasonality!$C$2:$C$13),0)</f>
        <v>6164.76171023219</v>
      </c>
      <c r="BZ9" s="0" t="n">
        <f aca="false">IF((BZ$3&gt;=1),Inputs!$B$4*(1+Inputs!$B$6)^(BZ4-1)*INDEX(Seasonality!$C$2:$C$13,BZ5)/AVERAGE(Seasonality!$C$2:$C$13),0)</f>
        <v>5324.11238610962</v>
      </c>
      <c r="CA9" s="0" t="n">
        <f aca="false">IF((CA$3&gt;=1),Inputs!$B$4*(1+Inputs!$B$6)^(CA4-1)*INDEX(Seasonality!$C$2:$C$13,CA5)/AVERAGE(Seasonality!$C$2:$C$13),0)</f>
        <v>4763.67950336124</v>
      </c>
      <c r="CB9" s="0" t="n">
        <f aca="false">IF((CB$3&gt;=1),Inputs!$B$4*(1+Inputs!$B$6)^(CB4-1)*INDEX(Seasonality!$C$2:$C$13,CB5)/AVERAGE(Seasonality!$C$2:$C$13),0)</f>
        <v>4483.46306198705</v>
      </c>
      <c r="CC9" s="0" t="n">
        <f aca="false">IF((CC$3&gt;=1),Inputs!$B$4*(1+Inputs!$B$6)^(CC4-1)*INDEX(Seasonality!$C$2:$C$13,CC5)/AVERAGE(Seasonality!$C$2:$C$13),0)</f>
        <v>4595.54963853672</v>
      </c>
      <c r="CD9" s="0" t="n">
        <f aca="false">IF((CD$3&gt;=1),Inputs!$B$4*(1+Inputs!$B$6)^(CD4-1)*INDEX(Seasonality!$C$2:$C$13,CD5)/AVERAGE(Seasonality!$C$2:$C$13),0)</f>
        <v>4763.67950336124</v>
      </c>
      <c r="CE9" s="0" t="n">
        <f aca="false">IF((CE$3&gt;=1),Inputs!$B$4*(1+Inputs!$B$6)^(CE4-1)*INDEX(Seasonality!$C$2:$C$13,CE5)/AVERAGE(Seasonality!$C$2:$C$13),0)</f>
        <v>5043.89594473543</v>
      </c>
      <c r="CF9" s="0" t="n">
        <f aca="false">IF((CF$3&gt;=1),Inputs!$B$4*(1+Inputs!$B$6)^(CF4-1)*INDEX(Seasonality!$C$2:$C$13,CF5)/AVERAGE(Seasonality!$C$2:$C$13),0)</f>
        <v>5492.24225093413</v>
      </c>
      <c r="CG9" s="0" t="n">
        <f aca="false">IF((CG$3&gt;=1),Inputs!$B$4*(1+Inputs!$B$6)^(CG4-1)*INDEX(Seasonality!$C$2:$C$13,CG5)/AVERAGE(Seasonality!$C$2:$C$13),0)</f>
        <v>6164.76171023219</v>
      </c>
      <c r="CH9" s="0" t="n">
        <f aca="false">IF((CH$3&gt;=1),Inputs!$B$4*(1+Inputs!$B$6)^(CH4-1)*INDEX(Seasonality!$C$2:$C$13,CH5)/AVERAGE(Seasonality!$C$2:$C$13),0)</f>
        <v>8126.27679985152</v>
      </c>
      <c r="CI9" s="0" t="n">
        <f aca="false">IF((CI$3&gt;=1),Inputs!$B$4*(1+Inputs!$B$6)^(CI4-1)*INDEX(Seasonality!$C$2:$C$13,CI5)/AVERAGE(Seasonality!$C$2:$C$13),0)</f>
        <v>7981.96533254382</v>
      </c>
      <c r="CJ9" s="0" t="n">
        <f aca="false">IF((CJ$3&gt;=1),Inputs!$B$4*(1+Inputs!$B$6)^(CJ4-1)*INDEX(Seasonality!$C$2:$C$13,CJ5)/AVERAGE(Seasonality!$C$2:$C$13),0)</f>
        <v>7390.70864124428</v>
      </c>
      <c r="CK9" s="0" t="n">
        <f aca="false">IF((CK$3&gt;=1),Inputs!$B$4*(1+Inputs!$B$6)^(CK4-1)*INDEX(Seasonality!$C$2:$C$13,CK5)/AVERAGE(Seasonality!$C$2:$C$13),0)</f>
        <v>6503.82360429496</v>
      </c>
      <c r="CL9" s="0" t="n">
        <f aca="false">IF((CL$3&gt;=1),Inputs!$B$4*(1+Inputs!$B$6)^(CL4-1)*INDEX(Seasonality!$C$2:$C$13,CL5)/AVERAGE(Seasonality!$C$2:$C$13),0)</f>
        <v>5616.93856734565</v>
      </c>
      <c r="CM9" s="0" t="n">
        <f aca="false">IF((CM$3&gt;=1),Inputs!$B$4*(1+Inputs!$B$6)^(CM4-1)*INDEX(Seasonality!$C$2:$C$13,CM5)/AVERAGE(Seasonality!$C$2:$C$13),0)</f>
        <v>5025.68187604611</v>
      </c>
      <c r="CN9" s="0" t="n">
        <f aca="false">IF((CN$3&gt;=1),Inputs!$B$4*(1+Inputs!$B$6)^(CN4-1)*INDEX(Seasonality!$C$2:$C$13,CN5)/AVERAGE(Seasonality!$C$2:$C$13),0)</f>
        <v>4730.05353039634</v>
      </c>
      <c r="CO9" s="0" t="n">
        <f aca="false">IF((CO$3&gt;=1),Inputs!$B$4*(1+Inputs!$B$6)^(CO4-1)*INDEX(Seasonality!$C$2:$C$13,CO5)/AVERAGE(Seasonality!$C$2:$C$13),0)</f>
        <v>4848.30486865624</v>
      </c>
      <c r="CP9" s="0" t="n">
        <f aca="false">IF((CP$3&gt;=1),Inputs!$B$4*(1+Inputs!$B$6)^(CP4-1)*INDEX(Seasonality!$C$2:$C$13,CP5)/AVERAGE(Seasonality!$C$2:$C$13),0)</f>
        <v>5025.68187604611</v>
      </c>
      <c r="CQ9" s="0" t="n">
        <f aca="false">IF((CQ$3&gt;=1),Inputs!$B$4*(1+Inputs!$B$6)^(CQ4-1)*INDEX(Seasonality!$C$2:$C$13,CQ5)/AVERAGE(Seasonality!$C$2:$C$13),0)</f>
        <v>5321.31022169588</v>
      </c>
      <c r="CR9" s="0" t="n">
        <f aca="false">IF((CR$3&gt;=1),Inputs!$B$4*(1+Inputs!$B$6)^(CR4-1)*INDEX(Seasonality!$C$2:$C$13,CR5)/AVERAGE(Seasonality!$C$2:$C$13),0)</f>
        <v>5794.31557473551</v>
      </c>
      <c r="CS9" s="0" t="n">
        <f aca="false">IF((CS$3&gt;=1),Inputs!$B$4*(1+Inputs!$B$6)^(CS4-1)*INDEX(Seasonality!$C$2:$C$13,CS5)/AVERAGE(Seasonality!$C$2:$C$13),0)</f>
        <v>6503.82360429496</v>
      </c>
      <c r="CT9" s="0" t="n">
        <f aca="false">IF((CT$3&gt;=1),Inputs!$B$4*(1+Inputs!$B$6)^(CT4-1)*INDEX(Seasonality!$C$2:$C$13,CT5)/AVERAGE(Seasonality!$C$2:$C$13),0)</f>
        <v>8573.22202384336</v>
      </c>
      <c r="CU9" s="0" t="n">
        <f aca="false">IF((CU$3&gt;=1),Inputs!$B$4*(1+Inputs!$B$6)^(CU4-1)*INDEX(Seasonality!$C$2:$C$13,CU5)/AVERAGE(Seasonality!$C$2:$C$13),0)</f>
        <v>8420.97342583373</v>
      </c>
      <c r="CV9" s="0" t="n">
        <f aca="false">IF((CV$3&gt;=1),Inputs!$B$4*(1+Inputs!$B$6)^(CV4-1)*INDEX(Seasonality!$C$2:$C$13,CV5)/AVERAGE(Seasonality!$C$2:$C$13),0)</f>
        <v>7797.19761651271</v>
      </c>
      <c r="CW9" s="0" t="n">
        <f aca="false">IF((CW$3&gt;=1),Inputs!$B$4*(1+Inputs!$B$6)^(CW4-1)*INDEX(Seasonality!$C$2:$C$13,CW5)/AVERAGE(Seasonality!$C$2:$C$13),0)</f>
        <v>6861.53390253119</v>
      </c>
      <c r="CX9" s="0" t="n">
        <f aca="false">IF((CX$3&gt;=1),Inputs!$B$4*(1+Inputs!$B$6)^(CX4-1)*INDEX(Seasonality!$C$2:$C$13,CX5)/AVERAGE(Seasonality!$C$2:$C$13),0)</f>
        <v>5925.87018854966</v>
      </c>
      <c r="CY9" s="0" t="n">
        <f aca="false">IF((CY$3&gt;=1),Inputs!$B$4*(1+Inputs!$B$6)^(CY4-1)*INDEX(Seasonality!$C$2:$C$13,CY5)/AVERAGE(Seasonality!$C$2:$C$13),0)</f>
        <v>5302.09437922864</v>
      </c>
      <c r="CZ9" s="0" t="n">
        <f aca="false">IF((CZ$3&gt;=1),Inputs!$B$4*(1+Inputs!$B$6)^(CZ4-1)*INDEX(Seasonality!$C$2:$C$13,CZ5)/AVERAGE(Seasonality!$C$2:$C$13),0)</f>
        <v>4990.20647456814</v>
      </c>
      <c r="DA9" s="0" t="n">
        <f aca="false">IF((DA$3&gt;=1),Inputs!$B$4*(1+Inputs!$B$6)^(DA4-1)*INDEX(Seasonality!$C$2:$C$13,DA5)/AVERAGE(Seasonality!$C$2:$C$13),0)</f>
        <v>5114.96163643234</v>
      </c>
      <c r="DB9" s="0" t="n">
        <f aca="false">IF((DB$3&gt;=1),Inputs!$B$4*(1+Inputs!$B$6)^(DB4-1)*INDEX(Seasonality!$C$2:$C$13,DB5)/AVERAGE(Seasonality!$C$2:$C$13),0)</f>
        <v>5302.09437922864</v>
      </c>
      <c r="DC9" s="0" t="n">
        <f aca="false">IF((DC$3&gt;=1),Inputs!$B$4*(1+Inputs!$B$6)^(DC4-1)*INDEX(Seasonality!$C$2:$C$13,DC5)/AVERAGE(Seasonality!$C$2:$C$13),0)</f>
        <v>5613.98228388915</v>
      </c>
      <c r="DD9" s="0" t="n">
        <f aca="false">IF((DD$3&gt;=1),Inputs!$B$4*(1+Inputs!$B$6)^(DD4-1)*INDEX(Seasonality!$C$2:$C$13,DD5)/AVERAGE(Seasonality!$C$2:$C$13),0)</f>
        <v>6113.00293134596</v>
      </c>
      <c r="DE9" s="0" t="n">
        <f aca="false">IF((DE$3&gt;=1),Inputs!$B$4*(1+Inputs!$B$6)^(DE4-1)*INDEX(Seasonality!$C$2:$C$13,DE5)/AVERAGE(Seasonality!$C$2:$C$13),0)</f>
        <v>6861.53390253119</v>
      </c>
      <c r="DF9" s="0" t="n">
        <f aca="false">IF((DF$3&gt;=1),Inputs!$B$4*(1+Inputs!$B$6)^(DF4-1)*INDEX(Seasonality!$C$2:$C$13,DF5)/AVERAGE(Seasonality!$C$2:$C$13),0)</f>
        <v>9044.74923515474</v>
      </c>
      <c r="DG9" s="0" t="n">
        <f aca="false">IF((DG$3&gt;=1),Inputs!$B$4*(1+Inputs!$B$6)^(DG4-1)*INDEX(Seasonality!$C$2:$C$13,DG5)/AVERAGE(Seasonality!$C$2:$C$13),0)</f>
        <v>8884.12696425458</v>
      </c>
      <c r="DH9" s="0" t="n">
        <f aca="false">IF((DH$3&gt;=1),Inputs!$B$4*(1+Inputs!$B$6)^(DH4-1)*INDEX(Seasonality!$C$2:$C$13,DH5)/AVERAGE(Seasonality!$C$2:$C$13),0)</f>
        <v>8226.04348542091</v>
      </c>
      <c r="DI9" s="0" t="n">
        <f aca="false">IF((DI$3&gt;=1),Inputs!$B$4*(1+Inputs!$B$6)^(DI4-1)*INDEX(Seasonality!$C$2:$C$13,DI5)/AVERAGE(Seasonality!$C$2:$C$13),0)</f>
        <v>7238.9182671704</v>
      </c>
      <c r="DJ9" s="0" t="n">
        <f aca="false">IF((DJ$3&gt;=1),Inputs!$B$4*(1+Inputs!$B$6)^(DJ4-1)*INDEX(Seasonality!$C$2:$C$13,DJ5)/AVERAGE(Seasonality!$C$2:$C$13),0)</f>
        <v>6251.79304891989</v>
      </c>
      <c r="DK9" s="0" t="n">
        <f aca="false">IF((DK$3&gt;=1),Inputs!$B$4*(1+Inputs!$B$6)^(DK4-1)*INDEX(Seasonality!$C$2:$C$13,DK5)/AVERAGE(Seasonality!$C$2:$C$13),0)</f>
        <v>5593.70957008622</v>
      </c>
      <c r="DL9" s="0" t="n">
        <f aca="false">IF((DL$3&gt;=1),Inputs!$B$4*(1+Inputs!$B$6)^(DL4-1)*INDEX(Seasonality!$C$2:$C$13,DL5)/AVERAGE(Seasonality!$C$2:$C$13),0)</f>
        <v>5264.66783066938</v>
      </c>
      <c r="DM9" s="0" t="n">
        <f aca="false">IF((DM$3&gt;=1),Inputs!$B$4*(1+Inputs!$B$6)^(DM4-1)*INDEX(Seasonality!$C$2:$C$13,DM5)/AVERAGE(Seasonality!$C$2:$C$13),0)</f>
        <v>5396.28452643612</v>
      </c>
      <c r="DN9" s="0" t="n">
        <f aca="false">IF((DN$3&gt;=1),Inputs!$B$4*(1+Inputs!$B$6)^(DN4-1)*INDEX(Seasonality!$C$2:$C$13,DN5)/AVERAGE(Seasonality!$C$2:$C$13),0)</f>
        <v>5593.70957008622</v>
      </c>
      <c r="DO9" s="0" t="n">
        <f aca="false">IF((DO$3&gt;=1),Inputs!$B$4*(1+Inputs!$B$6)^(DO4-1)*INDEX(Seasonality!$C$2:$C$13,DO5)/AVERAGE(Seasonality!$C$2:$C$13),0)</f>
        <v>5922.75130950305</v>
      </c>
      <c r="DP9" s="0" t="n">
        <f aca="false">IF((DP$3&gt;=1),Inputs!$B$4*(1+Inputs!$B$6)^(DP4-1)*INDEX(Seasonality!$C$2:$C$13,DP5)/AVERAGE(Seasonality!$C$2:$C$13),0)</f>
        <v>6449.21809256999</v>
      </c>
      <c r="DQ9" s="0" t="n">
        <f aca="false">IF((DQ$3&gt;=1),Inputs!$B$4*(1+Inputs!$B$6)^(DQ4-1)*INDEX(Seasonality!$C$2:$C$13,DQ5)/AVERAGE(Seasonality!$C$2:$C$13),0)</f>
        <v>7238.9182671704</v>
      </c>
      <c r="DR9" s="0" t="n">
        <f aca="false">IF((DR$3&gt;=1),Inputs!$B$4*(1+Inputs!$B$6)^(DR4-1)*INDEX(Seasonality!$C$2:$C$13,DR5)/AVERAGE(Seasonality!$C$2:$C$13),0)</f>
        <v>9542.21044308825</v>
      </c>
    </row>
    <row r="10" customFormat="false" ht="15" hidden="false" customHeight="false" outlineLevel="0" collapsed="false">
      <c r="A10" s="0" t="s">
        <v>32</v>
      </c>
      <c r="B10" s="0" t="n">
        <f aca="false">Inputs!$B$3*B8*DAY(EOMONTH(DATE(2026,B5+((B$3=0)*1),1),0))</f>
        <v>0</v>
      </c>
      <c r="C10" s="0" t="n">
        <f aca="false">Inputs!$B$3*C8*DAY(EOMONTH(DATE(2026,C5+((C$3=0)*1),1),0))</f>
        <v>5620.35456</v>
      </c>
      <c r="D10" s="0" t="n">
        <f aca="false">Inputs!$B$3*D8*DAY(EOMONTH(DATE(2026,D5+((D$3=0)*1),1),0))</f>
        <v>4785.1776</v>
      </c>
      <c r="E10" s="0" t="n">
        <f aca="false">Inputs!$B$3*E8*DAY(EOMONTH(DATE(2026,E5+((E$3=0)*1),1),0))</f>
        <v>4837.1904</v>
      </c>
      <c r="F10" s="0" t="n">
        <f aca="false">Inputs!$B$3*F8*DAY(EOMONTH(DATE(2026,F5+((F$3=0)*1),1),0))</f>
        <v>4235.328</v>
      </c>
      <c r="G10" s="0" t="n">
        <f aca="false">Inputs!$B$3*G8*DAY(EOMONTH(DATE(2026,G5+((G$3=0)*1),1),0))</f>
        <v>3777.61536</v>
      </c>
      <c r="H10" s="0" t="n">
        <f aca="false">Inputs!$B$3*H8*DAY(EOMONTH(DATE(2026,H5+((H$3=0)*1),1),0))</f>
        <v>3343.68</v>
      </c>
      <c r="I10" s="0" t="n">
        <f aca="false">Inputs!$B$3*I8*DAY(EOMONTH(DATE(2026,I5+((I$3=0)*1),1),0))</f>
        <v>3685.4784</v>
      </c>
      <c r="J10" s="0" t="n">
        <f aca="false">Inputs!$B$3*J8*DAY(EOMONTH(DATE(2026,J5+((J$3=0)*1),1),0))</f>
        <v>3915.8208</v>
      </c>
      <c r="K10" s="0" t="n">
        <f aca="false">Inputs!$B$3*K8*DAY(EOMONTH(DATE(2026,K5+((K$3=0)*1),1),0))</f>
        <v>4101.5808</v>
      </c>
      <c r="L10" s="0" t="n">
        <f aca="false">Inputs!$B$3*L8*DAY(EOMONTH(DATE(2026,L5+((L$3=0)*1),1),0))</f>
        <v>4606.848</v>
      </c>
      <c r="M10" s="0" t="n">
        <f aca="false">Inputs!$B$3*M8*DAY(EOMONTH(DATE(2026,M5+((M$3=0)*1),1),0))</f>
        <v>4993.2288</v>
      </c>
      <c r="N10" s="0" t="n">
        <f aca="false">Inputs!$B$3*N8*DAY(EOMONTH(DATE(2026,N5+((N$3=0)*1),1),0))</f>
        <v>6311.38176</v>
      </c>
      <c r="O10" s="0" t="n">
        <f aca="false">Inputs!$B$3*O8*DAY(EOMONTH(DATE(2026,O5+((O$3=0)*1),1),0))</f>
        <v>6208.5312</v>
      </c>
      <c r="P10" s="0" t="n">
        <f aca="false">Inputs!$B$3*P8*DAY(EOMONTH(DATE(2026,P5+((P$3=0)*1),1),0))</f>
        <v>5285.952</v>
      </c>
      <c r="Q10" s="0" t="n">
        <f aca="false">Inputs!$B$3*Q8*DAY(EOMONTH(DATE(2026,Q5+((Q$3=0)*1),1),0))</f>
        <v>5343.408</v>
      </c>
      <c r="R10" s="0" t="n">
        <f aca="false">Inputs!$B$3*R8*DAY(EOMONTH(DATE(2026,R5+((R$3=0)*1),1),0))</f>
        <v>4678.56</v>
      </c>
      <c r="S10" s="0" t="n">
        <f aca="false">Inputs!$B$3*S8*DAY(EOMONTH(DATE(2026,S5+((S$3=0)*1),1),0))</f>
        <v>4172.9472</v>
      </c>
      <c r="T10" s="0" t="n">
        <f aca="false">Inputs!$B$3*T8*DAY(EOMONTH(DATE(2026,T5+((T$3=0)*1),1),0))</f>
        <v>3693.6</v>
      </c>
      <c r="U10" s="0" t="n">
        <f aca="false">Inputs!$B$3*U8*DAY(EOMONTH(DATE(2026,U5+((U$3=0)*1),1),0))</f>
        <v>4071.168</v>
      </c>
      <c r="V10" s="0" t="n">
        <f aca="false">Inputs!$B$3*V8*DAY(EOMONTH(DATE(2026,V5+((V$3=0)*1),1),0))</f>
        <v>4325.616</v>
      </c>
      <c r="W10" s="0" t="n">
        <f aca="false">Inputs!$B$3*W8*DAY(EOMONTH(DATE(2026,W5+((W$3=0)*1),1),0))</f>
        <v>4530.816</v>
      </c>
      <c r="X10" s="0" t="n">
        <f aca="false">Inputs!$B$3*X8*DAY(EOMONTH(DATE(2026,X5+((X$3=0)*1),1),0))</f>
        <v>5088.96</v>
      </c>
      <c r="Y10" s="0" t="n">
        <f aca="false">Inputs!$B$3*Y8*DAY(EOMONTH(DATE(2026,Y5+((Y$3=0)*1),1),0))</f>
        <v>5515.776</v>
      </c>
      <c r="Z10" s="0" t="n">
        <f aca="false">Inputs!$B$3*Z8*DAY(EOMONTH(DATE(2026,Z5+((Z$3=0)*1),1),0))</f>
        <v>6971.8752</v>
      </c>
      <c r="AA10" s="0" t="n">
        <f aca="false">Inputs!$B$3*AA8*DAY(EOMONTH(DATE(2026,AA5+((AA$3=0)*1),1),0))</f>
        <v>6535.296</v>
      </c>
      <c r="AB10" s="0" t="n">
        <f aca="false">Inputs!$B$3*AB8*DAY(EOMONTH(DATE(2026,AB5+((AB$3=0)*1),1),0))</f>
        <v>5564.16</v>
      </c>
      <c r="AC10" s="0" t="n">
        <f aca="false">Inputs!$B$3*AC8*DAY(EOMONTH(DATE(2026,AC5+((AC$3=0)*1),1),0))</f>
        <v>5624.64</v>
      </c>
      <c r="AD10" s="0" t="n">
        <f aca="false">Inputs!$B$3*AD8*DAY(EOMONTH(DATE(2026,AD5+((AD$3=0)*1),1),0))</f>
        <v>4924.8</v>
      </c>
      <c r="AE10" s="0" t="n">
        <f aca="false">Inputs!$B$3*AE8*DAY(EOMONTH(DATE(2026,AE5+((AE$3=0)*1),1),0))</f>
        <v>4392.576</v>
      </c>
      <c r="AF10" s="0" t="n">
        <f aca="false">Inputs!$B$3*AF8*DAY(EOMONTH(DATE(2026,AF5+((AF$3=0)*1),1),0))</f>
        <v>3888</v>
      </c>
      <c r="AG10" s="0" t="n">
        <f aca="false">Inputs!$B$3*AG8*DAY(EOMONTH(DATE(2026,AG5+((AG$3=0)*1),1),0))</f>
        <v>4285.44</v>
      </c>
      <c r="AH10" s="0" t="n">
        <f aca="false">Inputs!$B$3*AH8*DAY(EOMONTH(DATE(2026,AH5+((AH$3=0)*1),1),0))</f>
        <v>4553.28</v>
      </c>
      <c r="AI10" s="0" t="n">
        <f aca="false">Inputs!$B$3*AI8*DAY(EOMONTH(DATE(2026,AI5+((AI$3=0)*1),1),0))</f>
        <v>4769.28</v>
      </c>
      <c r="AJ10" s="0" t="n">
        <f aca="false">Inputs!$B$3*AJ8*DAY(EOMONTH(DATE(2026,AJ5+((AJ$3=0)*1),1),0))</f>
        <v>5356.8</v>
      </c>
      <c r="AK10" s="0" t="n">
        <f aca="false">Inputs!$B$3*AK8*DAY(EOMONTH(DATE(2026,AK5+((AK$3=0)*1),1),0))</f>
        <v>5806.08</v>
      </c>
      <c r="AL10" s="0" t="n">
        <f aca="false">Inputs!$B$3*AL8*DAY(EOMONTH(DATE(2026,AL5+((AL$3=0)*1),1),0))</f>
        <v>7291.2</v>
      </c>
      <c r="AM10" s="0" t="n">
        <f aca="false">Inputs!$B$3*AM8*DAY(EOMONTH(DATE(2026,AM5+((AM$3=0)*1),1),0))</f>
        <v>4574.7072</v>
      </c>
      <c r="AN10" s="0" t="n">
        <f aca="false">Inputs!$B$3*AN8*DAY(EOMONTH(DATE(2026,AN5+((AN$3=0)*1),1),0))</f>
        <v>3894.912</v>
      </c>
      <c r="AO10" s="0" t="n">
        <f aca="false">Inputs!$B$3*AO8*DAY(EOMONTH(DATE(2026,AO5+((AO$3=0)*1),1),0))</f>
        <v>3937.248</v>
      </c>
      <c r="AP10" s="0" t="n">
        <f aca="false">Inputs!$B$3*AP8*DAY(EOMONTH(DATE(2026,AP5+((AP$3=0)*1),1),0))</f>
        <v>3447.36</v>
      </c>
      <c r="AQ10" s="0" t="n">
        <f aca="false">Inputs!$B$3*AQ8*DAY(EOMONTH(DATE(2026,AQ5+((AQ$3=0)*1),1),0))</f>
        <v>3074.8032</v>
      </c>
      <c r="AR10" s="0" t="n">
        <f aca="false">Inputs!$B$3*AR8*DAY(EOMONTH(DATE(2026,AR5+((AR$3=0)*1),1),0))</f>
        <v>2721.6</v>
      </c>
      <c r="AS10" s="0" t="n">
        <f aca="false">Inputs!$B$3*AS8*DAY(EOMONTH(DATE(2026,AS5+((AS$3=0)*1),1),0))</f>
        <v>4285.44</v>
      </c>
      <c r="AT10" s="0" t="n">
        <f aca="false">Inputs!$B$3*AT8*DAY(EOMONTH(DATE(2026,AT5+((AT$3=0)*1),1),0))</f>
        <v>4553.28</v>
      </c>
      <c r="AU10" s="0" t="n">
        <f aca="false">Inputs!$B$3*AU8*DAY(EOMONTH(DATE(2026,AU5+((AU$3=0)*1),1),0))</f>
        <v>4769.28</v>
      </c>
      <c r="AV10" s="0" t="n">
        <f aca="false">Inputs!$B$3*AV8*DAY(EOMONTH(DATE(2026,AV5+((AV$3=0)*1),1),0))</f>
        <v>5356.8</v>
      </c>
      <c r="AW10" s="0" t="n">
        <f aca="false">Inputs!$B$3*AW8*DAY(EOMONTH(DATE(2026,AW5+((AW$3=0)*1),1),0))</f>
        <v>5806.08</v>
      </c>
      <c r="AX10" s="0" t="n">
        <f aca="false">Inputs!$B$3*AX8*DAY(EOMONTH(DATE(2026,AX5+((AX$3=0)*1),1),0))</f>
        <v>7291.2</v>
      </c>
      <c r="AY10" s="0" t="n">
        <f aca="false">Inputs!$B$3*AY8*DAY(EOMONTH(DATE(2026,AY5+((AY$3=0)*1),1),0))</f>
        <v>6535.296</v>
      </c>
      <c r="AZ10" s="0" t="n">
        <f aca="false">Inputs!$B$3*AZ8*DAY(EOMONTH(DATE(2026,AZ5+((AZ$3=0)*1),1),0))</f>
        <v>5564.16</v>
      </c>
      <c r="BA10" s="0" t="n">
        <f aca="false">Inputs!$B$3*BA8*DAY(EOMONTH(DATE(2026,BA5+((BA$3=0)*1),1),0))</f>
        <v>5624.64</v>
      </c>
      <c r="BB10" s="0" t="n">
        <f aca="false">Inputs!$B$3*BB8*DAY(EOMONTH(DATE(2026,BB5+((BB$3=0)*1),1),0))</f>
        <v>4924.8</v>
      </c>
      <c r="BC10" s="0" t="n">
        <f aca="false">Inputs!$B$3*BC8*DAY(EOMONTH(DATE(2026,BC5+((BC$3=0)*1),1),0))</f>
        <v>4392.576</v>
      </c>
      <c r="BD10" s="0" t="n">
        <f aca="false">Inputs!$B$3*BD8*DAY(EOMONTH(DATE(2026,BD5+((BD$3=0)*1),1),0))</f>
        <v>3888</v>
      </c>
      <c r="BE10" s="0" t="n">
        <f aca="false">Inputs!$B$3*BE8*DAY(EOMONTH(DATE(2026,BE5+((BE$3=0)*1),1),0))</f>
        <v>4285.44</v>
      </c>
      <c r="BF10" s="0" t="n">
        <f aca="false">Inputs!$B$3*BF8*DAY(EOMONTH(DATE(2026,BF5+((BF$3=0)*1),1),0))</f>
        <v>4553.28</v>
      </c>
      <c r="BG10" s="0" t="n">
        <f aca="false">Inputs!$B$3*BG8*DAY(EOMONTH(DATE(2026,BG5+((BG$3=0)*1),1),0))</f>
        <v>4769.28</v>
      </c>
      <c r="BH10" s="0" t="n">
        <f aca="false">Inputs!$B$3*BH8*DAY(EOMONTH(DATE(2026,BH5+((BH$3=0)*1),1),0))</f>
        <v>5356.8</v>
      </c>
      <c r="BI10" s="0" t="n">
        <f aca="false">Inputs!$B$3*BI8*DAY(EOMONTH(DATE(2026,BI5+((BI$3=0)*1),1),0))</f>
        <v>5806.08</v>
      </c>
      <c r="BJ10" s="0" t="n">
        <f aca="false">Inputs!$B$3*BJ8*DAY(EOMONTH(DATE(2026,BJ5+((BJ$3=0)*1),1),0))</f>
        <v>7291.2</v>
      </c>
      <c r="BK10" s="0" t="n">
        <f aca="false">Inputs!$B$3*BK8*DAY(EOMONTH(DATE(2026,BK5+((BK$3=0)*1),1),0))</f>
        <v>6535.296</v>
      </c>
      <c r="BL10" s="0" t="n">
        <f aca="false">Inputs!$B$3*BL8*DAY(EOMONTH(DATE(2026,BL5+((BL$3=0)*1),1),0))</f>
        <v>5564.16</v>
      </c>
      <c r="BM10" s="0" t="n">
        <f aca="false">Inputs!$B$3*BM8*DAY(EOMONTH(DATE(2026,BM5+((BM$3=0)*1),1),0))</f>
        <v>5624.64</v>
      </c>
      <c r="BN10" s="0" t="n">
        <f aca="false">Inputs!$B$3*BN8*DAY(EOMONTH(DATE(2026,BN5+((BN$3=0)*1),1),0))</f>
        <v>4924.8</v>
      </c>
      <c r="BO10" s="0" t="n">
        <f aca="false">Inputs!$B$3*BO8*DAY(EOMONTH(DATE(2026,BO5+((BO$3=0)*1),1),0))</f>
        <v>4392.576</v>
      </c>
      <c r="BP10" s="0" t="n">
        <f aca="false">Inputs!$B$3*BP8*DAY(EOMONTH(DATE(2026,BP5+((BP$3=0)*1),1),0))</f>
        <v>3888</v>
      </c>
      <c r="BQ10" s="0" t="n">
        <f aca="false">Inputs!$B$3*BQ8*DAY(EOMONTH(DATE(2026,BQ5+((BQ$3=0)*1),1),0))</f>
        <v>4285.44</v>
      </c>
      <c r="BR10" s="0" t="n">
        <f aca="false">Inputs!$B$3*BR8*DAY(EOMONTH(DATE(2026,BR5+((BR$3=0)*1),1),0))</f>
        <v>4553.28</v>
      </c>
      <c r="BS10" s="0" t="n">
        <f aca="false">Inputs!$B$3*BS8*DAY(EOMONTH(DATE(2026,BS5+((BS$3=0)*1),1),0))</f>
        <v>4769.28</v>
      </c>
      <c r="BT10" s="0" t="n">
        <f aca="false">Inputs!$B$3*BT8*DAY(EOMONTH(DATE(2026,BT5+((BT$3=0)*1),1),0))</f>
        <v>5356.8</v>
      </c>
      <c r="BU10" s="0" t="n">
        <f aca="false">Inputs!$B$3*BU8*DAY(EOMONTH(DATE(2026,BU5+((BU$3=0)*1),1),0))</f>
        <v>5806.08</v>
      </c>
      <c r="BV10" s="0" t="n">
        <f aca="false">Inputs!$B$3*BV8*DAY(EOMONTH(DATE(2026,BV5+((BV$3=0)*1),1),0))</f>
        <v>7291.2</v>
      </c>
      <c r="BW10" s="0" t="n">
        <f aca="false">Inputs!$B$3*BW8*DAY(EOMONTH(DATE(2026,BW5+((BW$3=0)*1),1),0))</f>
        <v>6535.296</v>
      </c>
      <c r="BX10" s="0" t="n">
        <f aca="false">Inputs!$B$3*BX8*DAY(EOMONTH(DATE(2026,BX5+((BX$3=0)*1),1),0))</f>
        <v>5564.16</v>
      </c>
      <c r="BY10" s="0" t="n">
        <f aca="false">Inputs!$B$3*BY8*DAY(EOMONTH(DATE(2026,BY5+((BY$3=0)*1),1),0))</f>
        <v>5624.64</v>
      </c>
      <c r="BZ10" s="0" t="n">
        <f aca="false">Inputs!$B$3*BZ8*DAY(EOMONTH(DATE(2026,BZ5+((BZ$3=0)*1),1),0))</f>
        <v>4924.8</v>
      </c>
      <c r="CA10" s="0" t="n">
        <f aca="false">Inputs!$B$3*CA8*DAY(EOMONTH(DATE(2026,CA5+((CA$3=0)*1),1),0))</f>
        <v>4392.576</v>
      </c>
      <c r="CB10" s="0" t="n">
        <f aca="false">Inputs!$B$3*CB8*DAY(EOMONTH(DATE(2026,CB5+((CB$3=0)*1),1),0))</f>
        <v>3888</v>
      </c>
      <c r="CC10" s="0" t="n">
        <f aca="false">Inputs!$B$3*CC8*DAY(EOMONTH(DATE(2026,CC5+((CC$3=0)*1),1),0))</f>
        <v>4285.44</v>
      </c>
      <c r="CD10" s="0" t="n">
        <f aca="false">Inputs!$B$3*CD8*DAY(EOMONTH(DATE(2026,CD5+((CD$3=0)*1),1),0))</f>
        <v>4553.28</v>
      </c>
      <c r="CE10" s="0" t="n">
        <f aca="false">Inputs!$B$3*CE8*DAY(EOMONTH(DATE(2026,CE5+((CE$3=0)*1),1),0))</f>
        <v>4769.28</v>
      </c>
      <c r="CF10" s="0" t="n">
        <f aca="false">Inputs!$B$3*CF8*DAY(EOMONTH(DATE(2026,CF5+((CF$3=0)*1),1),0))</f>
        <v>5356.8</v>
      </c>
      <c r="CG10" s="0" t="n">
        <f aca="false">Inputs!$B$3*CG8*DAY(EOMONTH(DATE(2026,CG5+((CG$3=0)*1),1),0))</f>
        <v>5806.08</v>
      </c>
      <c r="CH10" s="0" t="n">
        <f aca="false">Inputs!$B$3*CH8*DAY(EOMONTH(DATE(2026,CH5+((CH$3=0)*1),1),0))</f>
        <v>7291.2</v>
      </c>
      <c r="CI10" s="0" t="n">
        <f aca="false">Inputs!$B$3*CI8*DAY(EOMONTH(DATE(2026,CI5+((CI$3=0)*1),1),0))</f>
        <v>6535.296</v>
      </c>
      <c r="CJ10" s="0" t="n">
        <f aca="false">Inputs!$B$3*CJ8*DAY(EOMONTH(DATE(2026,CJ5+((CJ$3=0)*1),1),0))</f>
        <v>5564.16</v>
      </c>
      <c r="CK10" s="0" t="n">
        <f aca="false">Inputs!$B$3*CK8*DAY(EOMONTH(DATE(2026,CK5+((CK$3=0)*1),1),0))</f>
        <v>5624.64</v>
      </c>
      <c r="CL10" s="0" t="n">
        <f aca="false">Inputs!$B$3*CL8*DAY(EOMONTH(DATE(2026,CL5+((CL$3=0)*1),1),0))</f>
        <v>4924.8</v>
      </c>
      <c r="CM10" s="0" t="n">
        <f aca="false">Inputs!$B$3*CM8*DAY(EOMONTH(DATE(2026,CM5+((CM$3=0)*1),1),0))</f>
        <v>4392.576</v>
      </c>
      <c r="CN10" s="0" t="n">
        <f aca="false">Inputs!$B$3*CN8*DAY(EOMONTH(DATE(2026,CN5+((CN$3=0)*1),1),0))</f>
        <v>3888</v>
      </c>
      <c r="CO10" s="0" t="n">
        <f aca="false">Inputs!$B$3*CO8*DAY(EOMONTH(DATE(2026,CO5+((CO$3=0)*1),1),0))</f>
        <v>4285.44</v>
      </c>
      <c r="CP10" s="0" t="n">
        <f aca="false">Inputs!$B$3*CP8*DAY(EOMONTH(DATE(2026,CP5+((CP$3=0)*1),1),0))</f>
        <v>4553.28</v>
      </c>
      <c r="CQ10" s="0" t="n">
        <f aca="false">Inputs!$B$3*CQ8*DAY(EOMONTH(DATE(2026,CQ5+((CQ$3=0)*1),1),0))</f>
        <v>4769.28</v>
      </c>
      <c r="CR10" s="0" t="n">
        <f aca="false">Inputs!$B$3*CR8*DAY(EOMONTH(DATE(2026,CR5+((CR$3=0)*1),1),0))</f>
        <v>5356.8</v>
      </c>
      <c r="CS10" s="0" t="n">
        <f aca="false">Inputs!$B$3*CS8*DAY(EOMONTH(DATE(2026,CS5+((CS$3=0)*1),1),0))</f>
        <v>5806.08</v>
      </c>
      <c r="CT10" s="0" t="n">
        <f aca="false">Inputs!$B$3*CT8*DAY(EOMONTH(DATE(2026,CT5+((CT$3=0)*1),1),0))</f>
        <v>7291.2</v>
      </c>
      <c r="CU10" s="0" t="n">
        <f aca="false">Inputs!$B$3*CU8*DAY(EOMONTH(DATE(2026,CU5+((CU$3=0)*1),1),0))</f>
        <v>6535.296</v>
      </c>
      <c r="CV10" s="0" t="n">
        <f aca="false">Inputs!$B$3*CV8*DAY(EOMONTH(DATE(2026,CV5+((CV$3=0)*1),1),0))</f>
        <v>5564.16</v>
      </c>
      <c r="CW10" s="0" t="n">
        <f aca="false">Inputs!$B$3*CW8*DAY(EOMONTH(DATE(2026,CW5+((CW$3=0)*1),1),0))</f>
        <v>5624.64</v>
      </c>
      <c r="CX10" s="0" t="n">
        <f aca="false">Inputs!$B$3*CX8*DAY(EOMONTH(DATE(2026,CX5+((CX$3=0)*1),1),0))</f>
        <v>4924.8</v>
      </c>
      <c r="CY10" s="0" t="n">
        <f aca="false">Inputs!$B$3*CY8*DAY(EOMONTH(DATE(2026,CY5+((CY$3=0)*1),1),0))</f>
        <v>4392.576</v>
      </c>
      <c r="CZ10" s="0" t="n">
        <f aca="false">Inputs!$B$3*CZ8*DAY(EOMONTH(DATE(2026,CZ5+((CZ$3=0)*1),1),0))</f>
        <v>3888</v>
      </c>
      <c r="DA10" s="0" t="n">
        <f aca="false">Inputs!$B$3*DA8*DAY(EOMONTH(DATE(2026,DA5+((DA$3=0)*1),1),0))</f>
        <v>4285.44</v>
      </c>
      <c r="DB10" s="0" t="n">
        <f aca="false">Inputs!$B$3*DB8*DAY(EOMONTH(DATE(2026,DB5+((DB$3=0)*1),1),0))</f>
        <v>4553.28</v>
      </c>
      <c r="DC10" s="0" t="n">
        <f aca="false">Inputs!$B$3*DC8*DAY(EOMONTH(DATE(2026,DC5+((DC$3=0)*1),1),0))</f>
        <v>4769.28</v>
      </c>
      <c r="DD10" s="0" t="n">
        <f aca="false">Inputs!$B$3*DD8*DAY(EOMONTH(DATE(2026,DD5+((DD$3=0)*1),1),0))</f>
        <v>5356.8</v>
      </c>
      <c r="DE10" s="0" t="n">
        <f aca="false">Inputs!$B$3*DE8*DAY(EOMONTH(DATE(2026,DE5+((DE$3=0)*1),1),0))</f>
        <v>5806.08</v>
      </c>
      <c r="DF10" s="0" t="n">
        <f aca="false">Inputs!$B$3*DF8*DAY(EOMONTH(DATE(2026,DF5+((DF$3=0)*1),1),0))</f>
        <v>7291.2</v>
      </c>
      <c r="DG10" s="0" t="n">
        <f aca="false">Inputs!$B$3*DG8*DAY(EOMONTH(DATE(2026,DG5+((DG$3=0)*1),1),0))</f>
        <v>6535.296</v>
      </c>
      <c r="DH10" s="0" t="n">
        <f aca="false">Inputs!$B$3*DH8*DAY(EOMONTH(DATE(2026,DH5+((DH$3=0)*1),1),0))</f>
        <v>5564.16</v>
      </c>
      <c r="DI10" s="0" t="n">
        <f aca="false">Inputs!$B$3*DI8*DAY(EOMONTH(DATE(2026,DI5+((DI$3=0)*1),1),0))</f>
        <v>5624.64</v>
      </c>
      <c r="DJ10" s="0" t="n">
        <f aca="false">Inputs!$B$3*DJ8*DAY(EOMONTH(DATE(2026,DJ5+((DJ$3=0)*1),1),0))</f>
        <v>4924.8</v>
      </c>
      <c r="DK10" s="0" t="n">
        <f aca="false">Inputs!$B$3*DK8*DAY(EOMONTH(DATE(2026,DK5+((DK$3=0)*1),1),0))</f>
        <v>4392.576</v>
      </c>
      <c r="DL10" s="0" t="n">
        <f aca="false">Inputs!$B$3*DL8*DAY(EOMONTH(DATE(2026,DL5+((DL$3=0)*1),1),0))</f>
        <v>3888</v>
      </c>
      <c r="DM10" s="0" t="n">
        <f aca="false">Inputs!$B$3*DM8*DAY(EOMONTH(DATE(2026,DM5+((DM$3=0)*1),1),0))</f>
        <v>4285.44</v>
      </c>
      <c r="DN10" s="0" t="n">
        <f aca="false">Inputs!$B$3*DN8*DAY(EOMONTH(DATE(2026,DN5+((DN$3=0)*1),1),0))</f>
        <v>4553.28</v>
      </c>
      <c r="DO10" s="0" t="n">
        <f aca="false">Inputs!$B$3*DO8*DAY(EOMONTH(DATE(2026,DO5+((DO$3=0)*1),1),0))</f>
        <v>4769.28</v>
      </c>
      <c r="DP10" s="0" t="n">
        <f aca="false">Inputs!$B$3*DP8*DAY(EOMONTH(DATE(2026,DP5+((DP$3=0)*1),1),0))</f>
        <v>5356.8</v>
      </c>
      <c r="DQ10" s="0" t="n">
        <f aca="false">Inputs!$B$3*DQ8*DAY(EOMONTH(DATE(2026,DQ5+((DQ$3=0)*1),1),0))</f>
        <v>5806.08</v>
      </c>
      <c r="DR10" s="0" t="n">
        <f aca="false">Inputs!$B$3*DR8*DAY(EOMONTH(DATE(2026,DR5+((DR$3=0)*1),1),0))</f>
        <v>7291.2</v>
      </c>
    </row>
    <row r="11" customFormat="false" ht="15" hidden="false" customHeight="false" outlineLevel="0" collapsed="false">
      <c r="A11" s="0" t="s">
        <v>33</v>
      </c>
      <c r="B11" s="0" t="n">
        <f aca="false">B10*B9</f>
        <v>0</v>
      </c>
      <c r="C11" s="0" t="n">
        <f aca="false">C10*C9</f>
        <v>30839429.376</v>
      </c>
      <c r="D11" s="0" t="n">
        <f aca="false">D10*D9</f>
        <v>24311789.4193548</v>
      </c>
      <c r="E11" s="0" t="n">
        <f aca="false">E10*E9</f>
        <v>21626922.24</v>
      </c>
      <c r="F11" s="0" t="n">
        <f aca="false">F10*F9</f>
        <v>16353831.0193548</v>
      </c>
      <c r="G11" s="0" t="n">
        <f aca="false">G10*G9</f>
        <v>13051051.776</v>
      </c>
      <c r="H11" s="0" t="n">
        <f aca="false">H10*H9</f>
        <v>10872353.0322581</v>
      </c>
      <c r="I11" s="0" t="n">
        <f aca="false">I10*I9</f>
        <v>12283342.848</v>
      </c>
      <c r="J11" s="0" t="n">
        <f aca="false">J10*J9</f>
        <v>13528529.28</v>
      </c>
      <c r="K11" s="0" t="n">
        <f aca="false">K10*K9</f>
        <v>15003847.1845161</v>
      </c>
      <c r="L11" s="0" t="n">
        <f aca="false">L10*L9</f>
        <v>18350115.84</v>
      </c>
      <c r="M11" s="0" t="n">
        <f aca="false">M10*M9</f>
        <v>22324564.8929032</v>
      </c>
      <c r="N11" s="0" t="n">
        <f aca="false">N10*N9</f>
        <v>37196433.792</v>
      </c>
      <c r="O11" s="0" t="n">
        <f aca="false">O10*O9</f>
        <v>35940486.1536</v>
      </c>
      <c r="P11" s="0" t="n">
        <f aca="false">P10*P9</f>
        <v>28333129.0064516</v>
      </c>
      <c r="Q11" s="0" t="n">
        <f aca="false">Q10*Q9</f>
        <v>25204166.064</v>
      </c>
      <c r="R11" s="0" t="n">
        <f aca="false">R10*R9</f>
        <v>19058868.7664516</v>
      </c>
      <c r="S11" s="0" t="n">
        <f aca="false">S10*S9</f>
        <v>15209786.7936</v>
      </c>
      <c r="T11" s="0" t="n">
        <f aca="false">T10*T9</f>
        <v>12670716.0774194</v>
      </c>
      <c r="U11" s="0" t="n">
        <f aca="false">U10*U9</f>
        <v>14315093.4528</v>
      </c>
      <c r="V11" s="0" t="n">
        <f aca="false">V10*V9</f>
        <v>15766242.408</v>
      </c>
      <c r="W11" s="0" t="n">
        <f aca="false">W10*W9</f>
        <v>17485588.1868387</v>
      </c>
      <c r="X11" s="0" t="n">
        <f aca="false">X10*X9</f>
        <v>21385353.024</v>
      </c>
      <c r="Y11" s="0" t="n">
        <f aca="false">Y10*Y9</f>
        <v>26017203.6789677</v>
      </c>
      <c r="Z11" s="0" t="n">
        <f aca="false">Z10*Z9</f>
        <v>43348983.4512</v>
      </c>
      <c r="AA11" s="0" t="n">
        <f aca="false">AA10*AA9</f>
        <v>39912855.67584</v>
      </c>
      <c r="AB11" s="0" t="n">
        <f aca="false">AB10*AB9</f>
        <v>31464685.3703226</v>
      </c>
      <c r="AC11" s="0" t="n">
        <f aca="false">AC10*AC9</f>
        <v>27989889.6816</v>
      </c>
      <c r="AD11" s="0" t="n">
        <f aca="false">AD10*AD9</f>
        <v>21165375.3143226</v>
      </c>
      <c r="AE11" s="0" t="n">
        <f aca="false">AE10*AE9</f>
        <v>16890868.49184</v>
      </c>
      <c r="AF11" s="0" t="n">
        <f aca="false">AF10*AF9</f>
        <v>14071163.643871</v>
      </c>
      <c r="AG11" s="0" t="n">
        <f aca="false">AG10*AG9</f>
        <v>15897287.99232</v>
      </c>
      <c r="AH11" s="0" t="n">
        <f aca="false">AH10*AH9</f>
        <v>17508827.0952</v>
      </c>
      <c r="AI11" s="0" t="n">
        <f aca="false">AI10*AI9</f>
        <v>19418205.8285419</v>
      </c>
      <c r="AJ11" s="0" t="n">
        <f aca="false">AJ10*AJ9</f>
        <v>23748997.3056</v>
      </c>
      <c r="AK11" s="0" t="n">
        <f aca="false">AK10*AK9</f>
        <v>28892789.3487484</v>
      </c>
      <c r="AL11" s="0" t="n">
        <f aca="false">AL10*AL9</f>
        <v>47827841.796</v>
      </c>
      <c r="AM11" s="0" t="n">
        <f aca="false">AM10*AM9</f>
        <v>29475643.9166078</v>
      </c>
      <c r="AN11" s="0" t="n">
        <f aca="false">AN10*AN9</f>
        <v>23236670.1459832</v>
      </c>
      <c r="AO11" s="0" t="n">
        <f aca="false">AO10*AO9</f>
        <v>20670533.5298616</v>
      </c>
      <c r="AP11" s="0" t="n">
        <f aca="false">AP10*AP9</f>
        <v>15630629.6696272</v>
      </c>
      <c r="AQ11" s="0" t="n">
        <f aca="false">AQ10*AQ9</f>
        <v>12473906.3812238</v>
      </c>
      <c r="AR11" s="0" t="n">
        <f aca="false">AR10*AR9</f>
        <v>10391554.3509987</v>
      </c>
      <c r="AS11" s="0" t="n">
        <f aca="false">AS10*AS9</f>
        <v>16771638.8318976</v>
      </c>
      <c r="AT11" s="0" t="n">
        <f aca="false">AT10*AT9</f>
        <v>18471812.585436</v>
      </c>
      <c r="AU11" s="0" t="n">
        <f aca="false">AU10*AU9</f>
        <v>20486207.1491117</v>
      </c>
      <c r="AV11" s="0" t="n">
        <f aca="false">AV10*AV9</f>
        <v>25055192.157408</v>
      </c>
      <c r="AW11" s="0" t="n">
        <f aca="false">AW10*AW9</f>
        <v>30481892.7629295</v>
      </c>
      <c r="AX11" s="0" t="n">
        <f aca="false">AX10*AX9</f>
        <v>50458373.09478</v>
      </c>
      <c r="AY11" s="0" t="n">
        <f aca="false">AY10*AY9</f>
        <v>44424006.1886018</v>
      </c>
      <c r="AZ11" s="0" t="n">
        <f aca="false">AZ10*AZ9</f>
        <v>35020981.4343033</v>
      </c>
      <c r="BA11" s="0" t="n">
        <f aca="false">BA10*BA9</f>
        <v>31153446.9628628</v>
      </c>
      <c r="BB11" s="0" t="n">
        <f aca="false">BB10*BB9</f>
        <v>23557591.8592239</v>
      </c>
      <c r="BC11" s="0" t="n">
        <f aca="false">BC10*BC9</f>
        <v>18799958.9031302</v>
      </c>
      <c r="BD11" s="0" t="n">
        <f aca="false">BD10*BD9</f>
        <v>15661556.9147195</v>
      </c>
      <c r="BE11" s="0" t="n">
        <f aca="false">BE10*BE9</f>
        <v>17694078.967652</v>
      </c>
      <c r="BF11" s="0" t="n">
        <f aca="false">BF10*BF9</f>
        <v>19487762.277635</v>
      </c>
      <c r="BG11" s="0" t="n">
        <f aca="false">BG10*BG9</f>
        <v>21612948.5423129</v>
      </c>
      <c r="BH11" s="0" t="n">
        <f aca="false">BH10*BH9</f>
        <v>26433227.7260654</v>
      </c>
      <c r="BI11" s="0" t="n">
        <f aca="false">BI10*BI9</f>
        <v>32158396.8648907</v>
      </c>
      <c r="BJ11" s="0" t="n">
        <f aca="false">BJ10*BJ9</f>
        <v>53233583.6149929</v>
      </c>
      <c r="BK11" s="0" t="n">
        <f aca="false">BK10*BK9</f>
        <v>46867326.5289749</v>
      </c>
      <c r="BL11" s="0" t="n">
        <f aca="false">BL10*BL9</f>
        <v>36947135.41319</v>
      </c>
      <c r="BM11" s="0" t="n">
        <f aca="false">BM10*BM9</f>
        <v>32866886.5458203</v>
      </c>
      <c r="BN11" s="0" t="n">
        <f aca="false">BN10*BN9</f>
        <v>24853259.4114812</v>
      </c>
      <c r="BO11" s="0" t="n">
        <f aca="false">BO10*BO9</f>
        <v>19833956.6428024</v>
      </c>
      <c r="BP11" s="0" t="n">
        <f aca="false">BP10*BP9</f>
        <v>16522942.5450291</v>
      </c>
      <c r="BQ11" s="0" t="n">
        <f aca="false">BQ10*BQ9</f>
        <v>18667253.3108728</v>
      </c>
      <c r="BR11" s="0" t="n">
        <f aca="false">BR10*BR9</f>
        <v>20559589.2029049</v>
      </c>
      <c r="BS11" s="0" t="n">
        <f aca="false">BS10*BS9</f>
        <v>22801660.7121401</v>
      </c>
      <c r="BT11" s="0" t="n">
        <f aca="false">BT10*BT9</f>
        <v>27887055.250999</v>
      </c>
      <c r="BU11" s="0" t="n">
        <f aca="false">BU10*BU9</f>
        <v>33927108.6924597</v>
      </c>
      <c r="BV11" s="0" t="n">
        <f aca="false">BV10*BV9</f>
        <v>56161430.7138175</v>
      </c>
      <c r="BW11" s="0" t="n">
        <f aca="false">BW10*BW9</f>
        <v>49445029.4880685</v>
      </c>
      <c r="BX11" s="0" t="n">
        <f aca="false">BX10*BX9</f>
        <v>38979227.8609154</v>
      </c>
      <c r="BY11" s="0" t="n">
        <f aca="false">BY10*BY9</f>
        <v>34674565.3058404</v>
      </c>
      <c r="BZ11" s="0" t="n">
        <f aca="false">BZ10*BZ9</f>
        <v>26220188.6791127</v>
      </c>
      <c r="CA11" s="0" t="n">
        <f aca="false">CA10*CA9</f>
        <v>20924824.2581565</v>
      </c>
      <c r="CB11" s="0" t="n">
        <f aca="false">CB10*CB9</f>
        <v>17431704.3850057</v>
      </c>
      <c r="CC11" s="0" t="n">
        <f aca="false">CC10*CC9</f>
        <v>19693952.2429708</v>
      </c>
      <c r="CD11" s="0" t="n">
        <f aca="false">CD10*CD9</f>
        <v>21690366.6090647</v>
      </c>
      <c r="CE11" s="0" t="n">
        <f aca="false">CE10*CE9</f>
        <v>24055752.0513078</v>
      </c>
      <c r="CF11" s="0" t="n">
        <f aca="false">CF10*CF9</f>
        <v>29420843.289804</v>
      </c>
      <c r="CG11" s="0" t="n">
        <f aca="false">CG10*CG9</f>
        <v>35793099.6705449</v>
      </c>
      <c r="CH11" s="0" t="n">
        <f aca="false">CH10*CH9</f>
        <v>59250309.4030774</v>
      </c>
      <c r="CI11" s="0" t="n">
        <f aca="false">CI10*CI9</f>
        <v>52164506.1099123</v>
      </c>
      <c r="CJ11" s="0" t="n">
        <f aca="false">CJ10*CJ9</f>
        <v>41123085.3932658</v>
      </c>
      <c r="CK11" s="0" t="n">
        <f aca="false">CK10*CK9</f>
        <v>36581666.3976616</v>
      </c>
      <c r="CL11" s="0" t="n">
        <f aca="false">CL10*CL9</f>
        <v>27662299.0564639</v>
      </c>
      <c r="CM11" s="0" t="n">
        <f aca="false">CM10*CM9</f>
        <v>22075689.5923551</v>
      </c>
      <c r="CN11" s="0" t="n">
        <f aca="false">CN10*CN9</f>
        <v>18390448.126181</v>
      </c>
      <c r="CO11" s="0" t="n">
        <f aca="false">CO10*CO9</f>
        <v>20777119.6163342</v>
      </c>
      <c r="CP11" s="0" t="n">
        <f aca="false">CP10*CP9</f>
        <v>22883336.7725632</v>
      </c>
      <c r="CQ11" s="0" t="n">
        <f aca="false">CQ10*CQ9</f>
        <v>25378818.4141297</v>
      </c>
      <c r="CR11" s="0" t="n">
        <f aca="false">CR10*CR9</f>
        <v>31038989.6707432</v>
      </c>
      <c r="CS11" s="0" t="n">
        <f aca="false">CS10*CS9</f>
        <v>37761720.1524249</v>
      </c>
      <c r="CT11" s="0" t="n">
        <f aca="false">CT10*CT9</f>
        <v>62509076.4202467</v>
      </c>
      <c r="CU11" s="0" t="n">
        <f aca="false">CU10*CU9</f>
        <v>55033553.9459575</v>
      </c>
      <c r="CV11" s="0" t="n">
        <f aca="false">CV10*CV9</f>
        <v>43384855.0898954</v>
      </c>
      <c r="CW11" s="0" t="n">
        <f aca="false">CW10*CW9</f>
        <v>38593658.049533</v>
      </c>
      <c r="CX11" s="0" t="n">
        <f aca="false">CX10*CX9</f>
        <v>29183725.5045694</v>
      </c>
      <c r="CY11" s="0" t="n">
        <f aca="false">CY10*CY9</f>
        <v>23289852.5199346</v>
      </c>
      <c r="CZ11" s="0" t="n">
        <f aca="false">CZ10*CZ9</f>
        <v>19401922.7731209</v>
      </c>
      <c r="DA11" s="0" t="n">
        <f aca="false">DA10*DA9</f>
        <v>21919861.1952326</v>
      </c>
      <c r="DB11" s="0" t="n">
        <f aca="false">DB10*DB9</f>
        <v>24141920.2950542</v>
      </c>
      <c r="DC11" s="0" t="n">
        <f aca="false">DC10*DC9</f>
        <v>26774653.4269069</v>
      </c>
      <c r="DD11" s="0" t="n">
        <f aca="false">DD10*DD9</f>
        <v>32746134.1026341</v>
      </c>
      <c r="DE11" s="0" t="n">
        <f aca="false">DE10*DE9</f>
        <v>39838614.7608083</v>
      </c>
      <c r="DF11" s="0" t="n">
        <f aca="false">DF10*DF9</f>
        <v>65947075.6233603</v>
      </c>
      <c r="DG11" s="0" t="n">
        <f aca="false">DG10*DG9</f>
        <v>58060399.4129851</v>
      </c>
      <c r="DH11" s="0" t="n">
        <f aca="false">DH10*DH9</f>
        <v>45771022.1198396</v>
      </c>
      <c r="DI11" s="0" t="n">
        <f aca="false">DI10*DI9</f>
        <v>40716309.2422573</v>
      </c>
      <c r="DJ11" s="0" t="n">
        <f aca="false">DJ10*DJ9</f>
        <v>30788830.4073207</v>
      </c>
      <c r="DK11" s="0" t="n">
        <f aca="false">DK10*DK9</f>
        <v>24570794.408531</v>
      </c>
      <c r="DL11" s="0" t="n">
        <f aca="false">DL10*DL9</f>
        <v>20469028.5256426</v>
      </c>
      <c r="DM11" s="0" t="n">
        <f aca="false">DM10*DM9</f>
        <v>23125453.5609704</v>
      </c>
      <c r="DN11" s="0" t="n">
        <f aca="false">DN10*DN9</f>
        <v>25469725.9112822</v>
      </c>
      <c r="DO11" s="0" t="n">
        <f aca="false">DO10*DO9</f>
        <v>28247259.3653867</v>
      </c>
      <c r="DP11" s="0" t="n">
        <f aca="false">DP10*DP9</f>
        <v>34547171.4782789</v>
      </c>
      <c r="DQ11" s="0" t="n">
        <f aca="false">DQ10*DQ9</f>
        <v>42029738.5726527</v>
      </c>
      <c r="DR11" s="0" t="n">
        <f aca="false">DR10*DR9</f>
        <v>69574164.7826451</v>
      </c>
    </row>
    <row r="12" customFormat="false" ht="15" hidden="false" customHeight="false" outlineLevel="0" collapsed="false">
      <c r="A12" s="0" t="s">
        <v>34</v>
      </c>
      <c r="B12" s="0" t="n">
        <f aca="false">B11*Inputs!$B$7</f>
        <v>0</v>
      </c>
      <c r="C12" s="0" t="n">
        <f aca="false">C11*Inputs!$B$7</f>
        <v>16961686.1568</v>
      </c>
      <c r="D12" s="0" t="n">
        <f aca="false">D11*Inputs!$B$7</f>
        <v>13371484.1806452</v>
      </c>
      <c r="E12" s="0" t="n">
        <f aca="false">E11*Inputs!$B$7</f>
        <v>11894807.232</v>
      </c>
      <c r="F12" s="0" t="n">
        <f aca="false">F11*Inputs!$B$7</f>
        <v>8994607.06064516</v>
      </c>
      <c r="G12" s="0" t="n">
        <f aca="false">G11*Inputs!$B$7</f>
        <v>7178078.4768</v>
      </c>
      <c r="H12" s="0" t="n">
        <f aca="false">H11*Inputs!$B$7</f>
        <v>5979794.16774194</v>
      </c>
      <c r="I12" s="0" t="n">
        <f aca="false">I11*Inputs!$B$7</f>
        <v>6755838.5664</v>
      </c>
      <c r="J12" s="0" t="n">
        <f aca="false">J11*Inputs!$B$7</f>
        <v>7440691.104</v>
      </c>
      <c r="K12" s="0" t="n">
        <f aca="false">K11*Inputs!$B$7</f>
        <v>8252115.95148387</v>
      </c>
      <c r="L12" s="0" t="n">
        <f aca="false">L11*Inputs!$B$7</f>
        <v>10092563.712</v>
      </c>
      <c r="M12" s="0" t="n">
        <f aca="false">M11*Inputs!$B$7</f>
        <v>12278510.6910968</v>
      </c>
      <c r="N12" s="0" t="n">
        <f aca="false">N11*Inputs!$B$7</f>
        <v>20458038.5856</v>
      </c>
      <c r="O12" s="0" t="n">
        <f aca="false">O11*Inputs!$B$7</f>
        <v>19767267.38448</v>
      </c>
      <c r="P12" s="0" t="n">
        <f aca="false">P11*Inputs!$B$7</f>
        <v>15583220.9535484</v>
      </c>
      <c r="Q12" s="0" t="n">
        <f aca="false">Q11*Inputs!$B$7</f>
        <v>13862291.3352</v>
      </c>
      <c r="R12" s="0" t="n">
        <f aca="false">R11*Inputs!$B$7</f>
        <v>10482377.8215484</v>
      </c>
      <c r="S12" s="0" t="n">
        <f aca="false">S11*Inputs!$B$7</f>
        <v>8365382.73648</v>
      </c>
      <c r="T12" s="0" t="n">
        <f aca="false">T11*Inputs!$B$7</f>
        <v>6968893.84258065</v>
      </c>
      <c r="U12" s="0" t="n">
        <f aca="false">U11*Inputs!$B$7</f>
        <v>7873301.39904</v>
      </c>
      <c r="V12" s="0" t="n">
        <f aca="false">V11*Inputs!$B$7</f>
        <v>8671433.3244</v>
      </c>
      <c r="W12" s="0" t="n">
        <f aca="false">W11*Inputs!$B$7</f>
        <v>9617073.50276129</v>
      </c>
      <c r="X12" s="0" t="n">
        <f aca="false">X11*Inputs!$B$7</f>
        <v>11761944.1632</v>
      </c>
      <c r="Y12" s="0" t="n">
        <f aca="false">Y11*Inputs!$B$7</f>
        <v>14309462.0234323</v>
      </c>
      <c r="Z12" s="0" t="n">
        <f aca="false">Z11*Inputs!$B$7</f>
        <v>23841940.89816</v>
      </c>
      <c r="AA12" s="0" t="n">
        <f aca="false">AA11*Inputs!$B$7</f>
        <v>21952070.621712</v>
      </c>
      <c r="AB12" s="0" t="n">
        <f aca="false">AB11*Inputs!$B$7</f>
        <v>17305576.9536774</v>
      </c>
      <c r="AC12" s="0" t="n">
        <f aca="false">AC11*Inputs!$B$7</f>
        <v>15394439.32488</v>
      </c>
      <c r="AD12" s="0" t="n">
        <f aca="false">AD11*Inputs!$B$7</f>
        <v>11640956.4228774</v>
      </c>
      <c r="AE12" s="0" t="n">
        <f aca="false">AE11*Inputs!$B$7</f>
        <v>9289977.670512</v>
      </c>
      <c r="AF12" s="0" t="n">
        <f aca="false">AF11*Inputs!$B$7</f>
        <v>7739140.00412903</v>
      </c>
      <c r="AG12" s="0" t="n">
        <f aca="false">AG11*Inputs!$B$7</f>
        <v>8743508.395776</v>
      </c>
      <c r="AH12" s="0" t="n">
        <f aca="false">AH11*Inputs!$B$7</f>
        <v>9629854.90236</v>
      </c>
      <c r="AI12" s="0" t="n">
        <f aca="false">AI11*Inputs!$B$7</f>
        <v>10680013.2056981</v>
      </c>
      <c r="AJ12" s="0" t="n">
        <f aca="false">AJ11*Inputs!$B$7</f>
        <v>13061948.51808</v>
      </c>
      <c r="AK12" s="0" t="n">
        <f aca="false">AK11*Inputs!$B$7</f>
        <v>15891034.1418116</v>
      </c>
      <c r="AL12" s="0" t="n">
        <f aca="false">AL11*Inputs!$B$7</f>
        <v>26305312.9878</v>
      </c>
      <c r="AM12" s="0" t="n">
        <f aca="false">AM11*Inputs!$B$7</f>
        <v>16211604.1541343</v>
      </c>
      <c r="AN12" s="0" t="n">
        <f aca="false">AN11*Inputs!$B$7</f>
        <v>12780168.5802908</v>
      </c>
      <c r="AO12" s="0" t="n">
        <f aca="false">AO11*Inputs!$B$7</f>
        <v>11368793.4414239</v>
      </c>
      <c r="AP12" s="0" t="n">
        <f aca="false">AP11*Inputs!$B$7</f>
        <v>8596846.31829497</v>
      </c>
      <c r="AQ12" s="0" t="n">
        <f aca="false">AQ11*Inputs!$B$7</f>
        <v>6860648.50967311</v>
      </c>
      <c r="AR12" s="0" t="n">
        <f aca="false">AR11*Inputs!$B$7</f>
        <v>5715354.89304929</v>
      </c>
      <c r="AS12" s="0" t="n">
        <f aca="false">AS11*Inputs!$B$7</f>
        <v>9224401.35754368</v>
      </c>
      <c r="AT12" s="0" t="n">
        <f aca="false">AT11*Inputs!$B$7</f>
        <v>10159496.9219898</v>
      </c>
      <c r="AU12" s="0" t="n">
        <f aca="false">AU11*Inputs!$B$7</f>
        <v>11267413.9320115</v>
      </c>
      <c r="AV12" s="0" t="n">
        <f aca="false">AV11*Inputs!$B$7</f>
        <v>13780355.6865744</v>
      </c>
      <c r="AW12" s="0" t="n">
        <f aca="false">AW11*Inputs!$B$7</f>
        <v>16765041.0196113</v>
      </c>
      <c r="AX12" s="0" t="n">
        <f aca="false">AX11*Inputs!$B$7</f>
        <v>27752105.202129</v>
      </c>
      <c r="AY12" s="0" t="n">
        <f aca="false">AY11*Inputs!$B$7</f>
        <v>24433203.403731</v>
      </c>
      <c r="AZ12" s="0" t="n">
        <f aca="false">AZ11*Inputs!$B$7</f>
        <v>19261539.7888668</v>
      </c>
      <c r="BA12" s="0" t="n">
        <f aca="false">BA11*Inputs!$B$7</f>
        <v>17134395.8295746</v>
      </c>
      <c r="BB12" s="0" t="n">
        <f aca="false">BB11*Inputs!$B$7</f>
        <v>12956675.5225731</v>
      </c>
      <c r="BC12" s="0" t="n">
        <f aca="false">BC11*Inputs!$B$7</f>
        <v>10339977.3967216</v>
      </c>
      <c r="BD12" s="0" t="n">
        <f aca="false">BD11*Inputs!$B$7</f>
        <v>8613856.30309572</v>
      </c>
      <c r="BE12" s="0" t="n">
        <f aca="false">BE11*Inputs!$B$7</f>
        <v>9731743.43220858</v>
      </c>
      <c r="BF12" s="0" t="n">
        <f aca="false">BF11*Inputs!$B$7</f>
        <v>10718269.2526992</v>
      </c>
      <c r="BG12" s="0" t="n">
        <f aca="false">BG11*Inputs!$B$7</f>
        <v>11887121.6982721</v>
      </c>
      <c r="BH12" s="0" t="n">
        <f aca="false">BH11*Inputs!$B$7</f>
        <v>14538275.249336</v>
      </c>
      <c r="BI12" s="0" t="n">
        <f aca="false">BI11*Inputs!$B$7</f>
        <v>17687118.2756899</v>
      </c>
      <c r="BJ12" s="0" t="n">
        <f aca="false">BJ11*Inputs!$B$7</f>
        <v>29278470.9882461</v>
      </c>
      <c r="BK12" s="0" t="n">
        <f aca="false">BK11*Inputs!$B$7</f>
        <v>25777029.5909362</v>
      </c>
      <c r="BL12" s="0" t="n">
        <f aca="false">BL11*Inputs!$B$7</f>
        <v>20320924.4772545</v>
      </c>
      <c r="BM12" s="0" t="n">
        <f aca="false">BM11*Inputs!$B$7</f>
        <v>18076787.6002012</v>
      </c>
      <c r="BN12" s="0" t="n">
        <f aca="false">BN11*Inputs!$B$7</f>
        <v>13669292.6763147</v>
      </c>
      <c r="BO12" s="0" t="n">
        <f aca="false">BO11*Inputs!$B$7</f>
        <v>10908676.1535413</v>
      </c>
      <c r="BP12" s="0" t="n">
        <f aca="false">BP11*Inputs!$B$7</f>
        <v>9087618.39976598</v>
      </c>
      <c r="BQ12" s="0" t="n">
        <f aca="false">BQ11*Inputs!$B$7</f>
        <v>10266989.3209801</v>
      </c>
      <c r="BR12" s="0" t="n">
        <f aca="false">BR11*Inputs!$B$7</f>
        <v>11307774.0615977</v>
      </c>
      <c r="BS12" s="0" t="n">
        <f aca="false">BS11*Inputs!$B$7</f>
        <v>12540913.3916771</v>
      </c>
      <c r="BT12" s="0" t="n">
        <f aca="false">BT11*Inputs!$B$7</f>
        <v>15337880.3880495</v>
      </c>
      <c r="BU12" s="0" t="n">
        <f aca="false">BU11*Inputs!$B$7</f>
        <v>18659909.7808528</v>
      </c>
      <c r="BV12" s="0" t="n">
        <f aca="false">BV11*Inputs!$B$7</f>
        <v>30888786.8925996</v>
      </c>
      <c r="BW12" s="0" t="n">
        <f aca="false">BW11*Inputs!$B$7</f>
        <v>27194766.2184377</v>
      </c>
      <c r="BX12" s="0" t="n">
        <f aca="false">BX11*Inputs!$B$7</f>
        <v>21438575.3235035</v>
      </c>
      <c r="BY12" s="0" t="n">
        <f aca="false">BY11*Inputs!$B$7</f>
        <v>19071010.9182122</v>
      </c>
      <c r="BZ12" s="0" t="n">
        <f aca="false">BZ11*Inputs!$B$7</f>
        <v>14421103.773512</v>
      </c>
      <c r="CA12" s="0" t="n">
        <f aca="false">CA11*Inputs!$B$7</f>
        <v>11508653.3419861</v>
      </c>
      <c r="CB12" s="0" t="n">
        <f aca="false">CB11*Inputs!$B$7</f>
        <v>9587437.41175311</v>
      </c>
      <c r="CC12" s="0" t="n">
        <f aca="false">CC11*Inputs!$B$7</f>
        <v>10831673.733634</v>
      </c>
      <c r="CD12" s="0" t="n">
        <f aca="false">CD11*Inputs!$B$7</f>
        <v>11929701.6349856</v>
      </c>
      <c r="CE12" s="0" t="n">
        <f aca="false">CE11*Inputs!$B$7</f>
        <v>13230663.6282193</v>
      </c>
      <c r="CF12" s="0" t="n">
        <f aca="false">CF11*Inputs!$B$7</f>
        <v>16181463.8093922</v>
      </c>
      <c r="CG12" s="0" t="n">
        <f aca="false">CG11*Inputs!$B$7</f>
        <v>19686204.8187997</v>
      </c>
      <c r="CH12" s="0" t="n">
        <f aca="false">CH11*Inputs!$B$7</f>
        <v>32587670.1716926</v>
      </c>
      <c r="CI12" s="0" t="n">
        <f aca="false">CI11*Inputs!$B$7</f>
        <v>28690478.3604518</v>
      </c>
      <c r="CJ12" s="0" t="n">
        <f aca="false">CJ11*Inputs!$B$7</f>
        <v>22617696.9662962</v>
      </c>
      <c r="CK12" s="0" t="n">
        <f aca="false">CK11*Inputs!$B$7</f>
        <v>20119916.5187139</v>
      </c>
      <c r="CL12" s="0" t="n">
        <f aca="false">CL11*Inputs!$B$7</f>
        <v>15214264.4810551</v>
      </c>
      <c r="CM12" s="0" t="n">
        <f aca="false">CM11*Inputs!$B$7</f>
        <v>12141629.2757953</v>
      </c>
      <c r="CN12" s="0" t="n">
        <f aca="false">CN11*Inputs!$B$7</f>
        <v>10114746.4693995</v>
      </c>
      <c r="CO12" s="0" t="n">
        <f aca="false">CO11*Inputs!$B$7</f>
        <v>11427415.7889838</v>
      </c>
      <c r="CP12" s="0" t="n">
        <f aca="false">CP11*Inputs!$B$7</f>
        <v>12585835.2249098</v>
      </c>
      <c r="CQ12" s="0" t="n">
        <f aca="false">CQ11*Inputs!$B$7</f>
        <v>13958350.1277713</v>
      </c>
      <c r="CR12" s="0" t="n">
        <f aca="false">CR11*Inputs!$B$7</f>
        <v>17071444.3189088</v>
      </c>
      <c r="CS12" s="0" t="n">
        <f aca="false">CS11*Inputs!$B$7</f>
        <v>20768946.0838337</v>
      </c>
      <c r="CT12" s="0" t="n">
        <f aca="false">CT11*Inputs!$B$7</f>
        <v>34379992.0311357</v>
      </c>
      <c r="CU12" s="0" t="n">
        <f aca="false">CU11*Inputs!$B$7</f>
        <v>30268454.6702766</v>
      </c>
      <c r="CV12" s="0" t="n">
        <f aca="false">CV11*Inputs!$B$7</f>
        <v>23861670.2994425</v>
      </c>
      <c r="CW12" s="0" t="n">
        <f aca="false">CW11*Inputs!$B$7</f>
        <v>21226511.9272432</v>
      </c>
      <c r="CX12" s="0" t="n">
        <f aca="false">CX11*Inputs!$B$7</f>
        <v>16051049.0275132</v>
      </c>
      <c r="CY12" s="0" t="n">
        <f aca="false">CY11*Inputs!$B$7</f>
        <v>12809418.885964</v>
      </c>
      <c r="CZ12" s="0" t="n">
        <f aca="false">CZ11*Inputs!$B$7</f>
        <v>10671057.5252165</v>
      </c>
      <c r="DA12" s="0" t="n">
        <f aca="false">DA11*Inputs!$B$7</f>
        <v>12055923.6573779</v>
      </c>
      <c r="DB12" s="0" t="n">
        <f aca="false">DB11*Inputs!$B$7</f>
        <v>13278056.1622798</v>
      </c>
      <c r="DC12" s="0" t="n">
        <f aca="false">DC11*Inputs!$B$7</f>
        <v>14726059.3847988</v>
      </c>
      <c r="DD12" s="0" t="n">
        <f aca="false">DD11*Inputs!$B$7</f>
        <v>18010373.7564487</v>
      </c>
      <c r="DE12" s="0" t="n">
        <f aca="false">DE11*Inputs!$B$7</f>
        <v>21911238.1184445</v>
      </c>
      <c r="DF12" s="0" t="n">
        <f aca="false">DF11*Inputs!$B$7</f>
        <v>36270891.5928481</v>
      </c>
      <c r="DG12" s="0" t="n">
        <f aca="false">DG11*Inputs!$B$7</f>
        <v>31933219.6771418</v>
      </c>
      <c r="DH12" s="0" t="n">
        <f aca="false">DH11*Inputs!$B$7</f>
        <v>25174062.1659118</v>
      </c>
      <c r="DI12" s="0" t="n">
        <f aca="false">DI11*Inputs!$B$7</f>
        <v>22393970.0832415</v>
      </c>
      <c r="DJ12" s="0" t="n">
        <f aca="false">DJ11*Inputs!$B$7</f>
        <v>16933856.7240264</v>
      </c>
      <c r="DK12" s="0" t="n">
        <f aca="false">DK11*Inputs!$B$7</f>
        <v>13513936.9246921</v>
      </c>
      <c r="DL12" s="0" t="n">
        <f aca="false">DL11*Inputs!$B$7</f>
        <v>11257965.6891034</v>
      </c>
      <c r="DM12" s="0" t="n">
        <f aca="false">DM11*Inputs!$B$7</f>
        <v>12718999.4585337</v>
      </c>
      <c r="DN12" s="0" t="n">
        <f aca="false">DN11*Inputs!$B$7</f>
        <v>14008349.2512052</v>
      </c>
      <c r="DO12" s="0" t="n">
        <f aca="false">DO11*Inputs!$B$7</f>
        <v>15535992.6509627</v>
      </c>
      <c r="DP12" s="0" t="n">
        <f aca="false">DP11*Inputs!$B$7</f>
        <v>19000944.3130534</v>
      </c>
      <c r="DQ12" s="0" t="n">
        <f aca="false">DQ11*Inputs!$B$7</f>
        <v>23116356.214959</v>
      </c>
      <c r="DR12" s="0" t="n">
        <f aca="false">DR11*Inputs!$B$7</f>
        <v>38265790.6304548</v>
      </c>
    </row>
    <row r="13" customFormat="false" ht="15" hidden="false" customHeight="false" outlineLevel="0" collapsed="false">
      <c r="A13" s="0" t="s">
        <v>35</v>
      </c>
      <c r="B13" s="0" t="n">
        <f aca="false">B11+B12</f>
        <v>0</v>
      </c>
      <c r="C13" s="0" t="n">
        <f aca="false">C11+C12</f>
        <v>47801115.5328</v>
      </c>
      <c r="D13" s="0" t="n">
        <f aca="false">D11+D12</f>
        <v>37683273.6</v>
      </c>
      <c r="E13" s="0" t="n">
        <f aca="false">E11+E12</f>
        <v>33521729.472</v>
      </c>
      <c r="F13" s="0" t="n">
        <f aca="false">F11+F12</f>
        <v>25348438.08</v>
      </c>
      <c r="G13" s="0" t="n">
        <f aca="false">G11+G12</f>
        <v>20229130.2528</v>
      </c>
      <c r="H13" s="0" t="n">
        <f aca="false">H11+H12</f>
        <v>16852147.2</v>
      </c>
      <c r="I13" s="0" t="n">
        <f aca="false">I11+I12</f>
        <v>19039181.4144</v>
      </c>
      <c r="J13" s="0" t="n">
        <f aca="false">J11+J12</f>
        <v>20969220.384</v>
      </c>
      <c r="K13" s="0" t="n">
        <f aca="false">K11+K12</f>
        <v>23255963.136</v>
      </c>
      <c r="L13" s="0" t="n">
        <f aca="false">L11+L12</f>
        <v>28442679.552</v>
      </c>
      <c r="M13" s="0" t="n">
        <f aca="false">M11+M12</f>
        <v>34603075.584</v>
      </c>
      <c r="N13" s="0" t="n">
        <f aca="false">N11+N12</f>
        <v>57654472.3776</v>
      </c>
      <c r="O13" s="0" t="n">
        <f aca="false">O11+O12</f>
        <v>55707753.53808</v>
      </c>
      <c r="P13" s="0" t="n">
        <f aca="false">P11+P12</f>
        <v>43916349.96</v>
      </c>
      <c r="Q13" s="0" t="n">
        <f aca="false">Q11+Q12</f>
        <v>39066457.3992</v>
      </c>
      <c r="R13" s="0" t="n">
        <f aca="false">R11+R12</f>
        <v>29541246.588</v>
      </c>
      <c r="S13" s="0" t="n">
        <f aca="false">S11+S12</f>
        <v>23575169.53008</v>
      </c>
      <c r="T13" s="0" t="n">
        <f aca="false">T11+T12</f>
        <v>19639609.92</v>
      </c>
      <c r="U13" s="0" t="n">
        <f aca="false">U11+U12</f>
        <v>22188394.85184</v>
      </c>
      <c r="V13" s="0" t="n">
        <f aca="false">V11+V12</f>
        <v>24437675.7324</v>
      </c>
      <c r="W13" s="0" t="n">
        <f aca="false">W11+W12</f>
        <v>27102661.6896</v>
      </c>
      <c r="X13" s="0" t="n">
        <f aca="false">X11+X12</f>
        <v>33147297.1872</v>
      </c>
      <c r="Y13" s="0" t="n">
        <f aca="false">Y11+Y12</f>
        <v>40326665.7024</v>
      </c>
      <c r="Z13" s="0" t="n">
        <f aca="false">Z11+Z12</f>
        <v>67190924.34936</v>
      </c>
      <c r="AA13" s="0" t="n">
        <f aca="false">AA11+AA12</f>
        <v>61864926.297552</v>
      </c>
      <c r="AB13" s="0" t="n">
        <f aca="false">AB11+AB12</f>
        <v>48770262.324</v>
      </c>
      <c r="AC13" s="0" t="n">
        <f aca="false">AC11+AC12</f>
        <v>43384329.00648</v>
      </c>
      <c r="AD13" s="0" t="n">
        <f aca="false">AD11+AD12</f>
        <v>32806331.7372</v>
      </c>
      <c r="AE13" s="0" t="n">
        <f aca="false">AE11+AE12</f>
        <v>26180846.162352</v>
      </c>
      <c r="AF13" s="0" t="n">
        <f aca="false">AF11+AF12</f>
        <v>21810303.648</v>
      </c>
      <c r="AG13" s="0" t="n">
        <f aca="false">AG11+AG12</f>
        <v>24640796.388096</v>
      </c>
      <c r="AH13" s="0" t="n">
        <f aca="false">AH11+AH12</f>
        <v>27138681.99756</v>
      </c>
      <c r="AI13" s="0" t="n">
        <f aca="false">AI11+AI12</f>
        <v>30098219.03424</v>
      </c>
      <c r="AJ13" s="0" t="n">
        <f aca="false">AJ11+AJ12</f>
        <v>36810945.82368</v>
      </c>
      <c r="AK13" s="0" t="n">
        <f aca="false">AK11+AK12</f>
        <v>44783823.49056</v>
      </c>
      <c r="AL13" s="0" t="n">
        <f aca="false">AL11+AL12</f>
        <v>74133154.7838</v>
      </c>
      <c r="AM13" s="0" t="n">
        <f aca="false">AM11+AM12</f>
        <v>45687248.0707422</v>
      </c>
      <c r="AN13" s="0" t="n">
        <f aca="false">AN11+AN12</f>
        <v>36016838.726274</v>
      </c>
      <c r="AO13" s="0" t="n">
        <f aca="false">AO11+AO12</f>
        <v>32039326.9712855</v>
      </c>
      <c r="AP13" s="0" t="n">
        <f aca="false">AP11+AP12</f>
        <v>24227475.9879222</v>
      </c>
      <c r="AQ13" s="0" t="n">
        <f aca="false">AQ11+AQ12</f>
        <v>19334554.8908969</v>
      </c>
      <c r="AR13" s="0" t="n">
        <f aca="false">AR11+AR12</f>
        <v>16106909.244048</v>
      </c>
      <c r="AS13" s="0" t="n">
        <f aca="false">AS11+AS12</f>
        <v>25996040.1894413</v>
      </c>
      <c r="AT13" s="0" t="n">
        <f aca="false">AT11+AT12</f>
        <v>28631309.5074258</v>
      </c>
      <c r="AU13" s="0" t="n">
        <f aca="false">AU11+AU12</f>
        <v>31753621.0811232</v>
      </c>
      <c r="AV13" s="0" t="n">
        <f aca="false">AV11+AV12</f>
        <v>38835547.8439824</v>
      </c>
      <c r="AW13" s="0" t="n">
        <f aca="false">AW11+AW12</f>
        <v>47246933.7825408</v>
      </c>
      <c r="AX13" s="0" t="n">
        <f aca="false">AX11+AX12</f>
        <v>78210478.296909</v>
      </c>
      <c r="AY13" s="0" t="n">
        <f aca="false">AY11+AY12</f>
        <v>68857209.5923328</v>
      </c>
      <c r="AZ13" s="0" t="n">
        <f aca="false">AZ11+AZ12</f>
        <v>54282521.2231701</v>
      </c>
      <c r="BA13" s="0" t="n">
        <f aca="false">BA11+BA12</f>
        <v>48287842.7924374</v>
      </c>
      <c r="BB13" s="0" t="n">
        <f aca="false">BB11+BB12</f>
        <v>36514267.381797</v>
      </c>
      <c r="BC13" s="0" t="n">
        <f aca="false">BC11+BC12</f>
        <v>29139936.2998518</v>
      </c>
      <c r="BD13" s="0" t="n">
        <f aca="false">BD11+BD12</f>
        <v>24275413.2178152</v>
      </c>
      <c r="BE13" s="0" t="n">
        <f aca="false">BE11+BE12</f>
        <v>27425822.3998605</v>
      </c>
      <c r="BF13" s="0" t="n">
        <f aca="false">BF11+BF12</f>
        <v>30206031.5303342</v>
      </c>
      <c r="BG13" s="0" t="n">
        <f aca="false">BG11+BG12</f>
        <v>33500070.240585</v>
      </c>
      <c r="BH13" s="0" t="n">
        <f aca="false">BH11+BH12</f>
        <v>40971502.9754014</v>
      </c>
      <c r="BI13" s="0" t="n">
        <f aca="false">BI11+BI12</f>
        <v>49845515.1405805</v>
      </c>
      <c r="BJ13" s="0" t="n">
        <f aca="false">BJ11+BJ12</f>
        <v>82512054.603239</v>
      </c>
      <c r="BK13" s="0" t="n">
        <f aca="false">BK11+BK12</f>
        <v>72644356.1199111</v>
      </c>
      <c r="BL13" s="0" t="n">
        <f aca="false">BL11+BL12</f>
        <v>57268059.8904444</v>
      </c>
      <c r="BM13" s="0" t="n">
        <f aca="false">BM11+BM12</f>
        <v>50943674.1460215</v>
      </c>
      <c r="BN13" s="0" t="n">
        <f aca="false">BN11+BN12</f>
        <v>38522552.0877959</v>
      </c>
      <c r="BO13" s="0" t="n">
        <f aca="false">BO11+BO12</f>
        <v>30742632.7963437</v>
      </c>
      <c r="BP13" s="0" t="n">
        <f aca="false">BP11+BP12</f>
        <v>25610560.944795</v>
      </c>
      <c r="BQ13" s="0" t="n">
        <f aca="false">BQ11+BQ12</f>
        <v>28934242.6318529</v>
      </c>
      <c r="BR13" s="0" t="n">
        <f aca="false">BR11+BR12</f>
        <v>31867363.2645026</v>
      </c>
      <c r="BS13" s="0" t="n">
        <f aca="false">BS11+BS12</f>
        <v>35342574.1038171</v>
      </c>
      <c r="BT13" s="0" t="n">
        <f aca="false">BT11+BT12</f>
        <v>43224935.6390485</v>
      </c>
      <c r="BU13" s="0" t="n">
        <f aca="false">BU11+BU12</f>
        <v>52587018.4733125</v>
      </c>
      <c r="BV13" s="0" t="n">
        <f aca="false">BV11+BV12</f>
        <v>87050217.6064171</v>
      </c>
      <c r="BW13" s="0" t="n">
        <f aca="false">BW11+BW12</f>
        <v>76639795.7065062</v>
      </c>
      <c r="BX13" s="0" t="n">
        <f aca="false">BX11+BX12</f>
        <v>60417803.1844189</v>
      </c>
      <c r="BY13" s="0" t="n">
        <f aca="false">BY11+BY12</f>
        <v>53745576.2240526</v>
      </c>
      <c r="BZ13" s="0" t="n">
        <f aca="false">BZ11+BZ12</f>
        <v>40641292.4526246</v>
      </c>
      <c r="CA13" s="0" t="n">
        <f aca="false">CA11+CA12</f>
        <v>32433477.6001426</v>
      </c>
      <c r="CB13" s="0" t="n">
        <f aca="false">CB11+CB12</f>
        <v>27019141.7967588</v>
      </c>
      <c r="CC13" s="0" t="n">
        <f aca="false">CC11+CC12</f>
        <v>30525625.9766048</v>
      </c>
      <c r="CD13" s="0" t="n">
        <f aca="false">CD11+CD12</f>
        <v>33620068.2440502</v>
      </c>
      <c r="CE13" s="0" t="n">
        <f aca="false">CE11+CE12</f>
        <v>37286415.6795271</v>
      </c>
      <c r="CF13" s="0" t="n">
        <f aca="false">CF11+CF12</f>
        <v>45602307.0991962</v>
      </c>
      <c r="CG13" s="0" t="n">
        <f aca="false">CG11+CG12</f>
        <v>55479304.4893446</v>
      </c>
      <c r="CH13" s="0" t="n">
        <f aca="false">CH11+CH12</f>
        <v>91837979.57477</v>
      </c>
      <c r="CI13" s="0" t="n">
        <f aca="false">CI11+CI12</f>
        <v>80854984.470364</v>
      </c>
      <c r="CJ13" s="0" t="n">
        <f aca="false">CJ11+CJ12</f>
        <v>63740782.3595619</v>
      </c>
      <c r="CK13" s="0" t="n">
        <f aca="false">CK11+CK12</f>
        <v>56701582.9163755</v>
      </c>
      <c r="CL13" s="0" t="n">
        <f aca="false">CL11+CL12</f>
        <v>42876563.537519</v>
      </c>
      <c r="CM13" s="0" t="n">
        <f aca="false">CM11+CM12</f>
        <v>34217318.8681504</v>
      </c>
      <c r="CN13" s="0" t="n">
        <f aca="false">CN11+CN12</f>
        <v>28505194.5955805</v>
      </c>
      <c r="CO13" s="0" t="n">
        <f aca="false">CO11+CO12</f>
        <v>32204535.405318</v>
      </c>
      <c r="CP13" s="0" t="n">
        <f aca="false">CP11+CP12</f>
        <v>35469171.997473</v>
      </c>
      <c r="CQ13" s="0" t="n">
        <f aca="false">CQ11+CQ12</f>
        <v>39337168.5419011</v>
      </c>
      <c r="CR13" s="0" t="n">
        <f aca="false">CR11+CR12</f>
        <v>48110433.9896519</v>
      </c>
      <c r="CS13" s="0" t="n">
        <f aca="false">CS11+CS12</f>
        <v>58530666.2362586</v>
      </c>
      <c r="CT13" s="0" t="n">
        <f aca="false">CT11+CT12</f>
        <v>96889068.4513824</v>
      </c>
      <c r="CU13" s="0" t="n">
        <f aca="false">CU11+CU12</f>
        <v>85302008.6162341</v>
      </c>
      <c r="CV13" s="0" t="n">
        <f aca="false">CV11+CV12</f>
        <v>67246525.3893378</v>
      </c>
      <c r="CW13" s="0" t="n">
        <f aca="false">CW11+CW12</f>
        <v>59820169.9767762</v>
      </c>
      <c r="CX13" s="0" t="n">
        <f aca="false">CX11+CX12</f>
        <v>45234774.5320825</v>
      </c>
      <c r="CY13" s="0" t="n">
        <f aca="false">CY11+CY12</f>
        <v>36099271.4058987</v>
      </c>
      <c r="CZ13" s="0" t="n">
        <f aca="false">CZ11+CZ12</f>
        <v>30072980.2983374</v>
      </c>
      <c r="DA13" s="0" t="n">
        <f aca="false">DA11+DA12</f>
        <v>33975784.8526105</v>
      </c>
      <c r="DB13" s="0" t="n">
        <f aca="false">DB11+DB12</f>
        <v>37419976.457334</v>
      </c>
      <c r="DC13" s="0" t="n">
        <f aca="false">DC11+DC12</f>
        <v>41500712.8117056</v>
      </c>
      <c r="DD13" s="0" t="n">
        <f aca="false">DD11+DD12</f>
        <v>50756507.8590828</v>
      </c>
      <c r="DE13" s="0" t="n">
        <f aca="false">DE11+DE12</f>
        <v>61749852.8792528</v>
      </c>
      <c r="DF13" s="0" t="n">
        <f aca="false">DF11+DF12</f>
        <v>102217967.216208</v>
      </c>
      <c r="DG13" s="0" t="n">
        <f aca="false">DG11+DG12</f>
        <v>89993619.0901269</v>
      </c>
      <c r="DH13" s="0" t="n">
        <f aca="false">DH11+DH12</f>
        <v>70945084.2857514</v>
      </c>
      <c r="DI13" s="0" t="n">
        <f aca="false">DI11+DI12</f>
        <v>63110279.3254989</v>
      </c>
      <c r="DJ13" s="0" t="n">
        <f aca="false">DJ11+DJ12</f>
        <v>47722687.131347</v>
      </c>
      <c r="DK13" s="0" t="n">
        <f aca="false">DK11+DK12</f>
        <v>38084731.3332231</v>
      </c>
      <c r="DL13" s="0" t="n">
        <f aca="false">DL11+DL12</f>
        <v>31726994.214746</v>
      </c>
      <c r="DM13" s="0" t="n">
        <f aca="false">DM11+DM12</f>
        <v>35844453.0195041</v>
      </c>
      <c r="DN13" s="0" t="n">
        <f aca="false">DN11+DN12</f>
        <v>39478075.1624874</v>
      </c>
      <c r="DO13" s="0" t="n">
        <f aca="false">DO11+DO12</f>
        <v>43783252.0163494</v>
      </c>
      <c r="DP13" s="0" t="n">
        <f aca="false">DP11+DP12</f>
        <v>53548115.7913323</v>
      </c>
      <c r="DQ13" s="0" t="n">
        <f aca="false">DQ11+DQ12</f>
        <v>65146094.7876117</v>
      </c>
      <c r="DR13" s="0" t="n">
        <f aca="false">DR11+DR12</f>
        <v>107839955.4131</v>
      </c>
    </row>
    <row r="14" customFormat="false" ht="15" hidden="false" customHeight="false" outlineLevel="0" collapsed="false">
      <c r="A14" s="0" t="s">
        <v>36</v>
      </c>
      <c r="B14" s="0" t="n">
        <f aca="false">B11*Inputs!$B$8+B12*Inputs!$B$9</f>
        <v>0</v>
      </c>
      <c r="C14" s="0" t="n">
        <f aca="false">C11*Inputs!$B$8+C12*Inputs!$B$9</f>
        <v>18935409.636864</v>
      </c>
      <c r="D14" s="0" t="n">
        <f aca="false">D11*Inputs!$B$8+D12*Inputs!$B$9</f>
        <v>14927438.7034839</v>
      </c>
      <c r="E14" s="0" t="n">
        <f aca="false">E11*Inputs!$B$8+E12*Inputs!$B$9</f>
        <v>13278930.25536</v>
      </c>
      <c r="F14" s="0" t="n">
        <f aca="false">F11*Inputs!$B$8+F12*Inputs!$B$9</f>
        <v>10041252.2458839</v>
      </c>
      <c r="G14" s="0" t="n">
        <f aca="false">G11*Inputs!$B$8+G12*Inputs!$B$9</f>
        <v>8013345.790464</v>
      </c>
      <c r="H14" s="0" t="n">
        <f aca="false">H11*Inputs!$B$8+H12*Inputs!$B$9</f>
        <v>6675624.76180645</v>
      </c>
      <c r="I14" s="0" t="n">
        <f aca="false">I11*Inputs!$B$8+I12*Inputs!$B$9</f>
        <v>7541972.508672</v>
      </c>
      <c r="J14" s="0" t="n">
        <f aca="false">J11*Inputs!$B$8+J12*Inputs!$B$9</f>
        <v>8306516.97792</v>
      </c>
      <c r="K14" s="0" t="n">
        <f aca="false">K11*Inputs!$B$8+K12*Inputs!$B$9</f>
        <v>9212362.1712929</v>
      </c>
      <c r="L14" s="0" t="n">
        <f aca="false">L11*Inputs!$B$8+L12*Inputs!$B$9</f>
        <v>11266971.12576</v>
      </c>
      <c r="M14" s="0" t="n">
        <f aca="false">M11*Inputs!$B$8+M12*Inputs!$B$9</f>
        <v>13707282.8442426</v>
      </c>
      <c r="N14" s="0" t="n">
        <f aca="false">N11*Inputs!$B$8+N12*Inputs!$B$9</f>
        <v>22838610.348288</v>
      </c>
      <c r="O14" s="0" t="n">
        <f aca="false">O11*Inputs!$B$8+O12*Inputs!$B$9</f>
        <v>22067458.4983104</v>
      </c>
      <c r="P14" s="0" t="n">
        <f aca="false">P11*Inputs!$B$8+P12*Inputs!$B$9</f>
        <v>17396541.2099613</v>
      </c>
      <c r="Q14" s="0" t="n">
        <f aca="false">Q11*Inputs!$B$8+Q12*Inputs!$B$9</f>
        <v>15475357.963296</v>
      </c>
      <c r="R14" s="0" t="n">
        <f aca="false">R11*Inputs!$B$8+R12*Inputs!$B$9</f>
        <v>11702145.4226013</v>
      </c>
      <c r="S14" s="0" t="n">
        <f aca="false">S11*Inputs!$B$8+S12*Inputs!$B$9</f>
        <v>9338809.0912704</v>
      </c>
      <c r="T14" s="0" t="n">
        <f aca="false">T11*Inputs!$B$8+T12*Inputs!$B$9</f>
        <v>7779819.67153548</v>
      </c>
      <c r="U14" s="0" t="n">
        <f aca="false">U11*Inputs!$B$8+U12*Inputs!$B$9</f>
        <v>8789467.3800192</v>
      </c>
      <c r="V14" s="0" t="n">
        <f aca="false">V11*Inputs!$B$8+V12*Inputs!$B$9</f>
        <v>9680472.838512</v>
      </c>
      <c r="W14" s="0" t="n">
        <f aca="false">W11*Inputs!$B$8+W12*Inputs!$B$9</f>
        <v>10736151.146719</v>
      </c>
      <c r="X14" s="0" t="n">
        <f aca="false">X11*Inputs!$B$8+X12*Inputs!$B$9</f>
        <v>13130606.756736</v>
      </c>
      <c r="Y14" s="0" t="n">
        <f aca="false">Y11*Inputs!$B$8+Y12*Inputs!$B$9</f>
        <v>15974563.0588862</v>
      </c>
      <c r="Z14" s="0" t="n">
        <f aca="false">Z11*Inputs!$B$8+Z12*Inputs!$B$9</f>
        <v>26616275.8390368</v>
      </c>
      <c r="AA14" s="0" t="n">
        <f aca="false">AA11*Inputs!$B$8+AA12*Inputs!$B$9</f>
        <v>24506493.3849658</v>
      </c>
      <c r="AB14" s="0" t="n">
        <f aca="false">AB11*Inputs!$B$8+AB12*Inputs!$B$9</f>
        <v>19319316.8173781</v>
      </c>
      <c r="AC14" s="0" t="n">
        <f aca="false">AC11*Inputs!$B$8+AC12*Inputs!$B$9</f>
        <v>17185792.2645024</v>
      </c>
      <c r="AD14" s="0" t="n">
        <f aca="false">AD11*Inputs!$B$8+AD12*Inputs!$B$9</f>
        <v>12995540.4429941</v>
      </c>
      <c r="AE14" s="0" t="n">
        <f aca="false">AE11*Inputs!$B$8+AE12*Inputs!$B$9</f>
        <v>10370993.2539898</v>
      </c>
      <c r="AF14" s="0" t="n">
        <f aca="false">AF11*Inputs!$B$8+AF12*Inputs!$B$9</f>
        <v>8639694.47733678</v>
      </c>
      <c r="AG14" s="0" t="n">
        <f aca="false">AG11*Inputs!$B$8+AG12*Inputs!$B$9</f>
        <v>9760934.82728448</v>
      </c>
      <c r="AH14" s="0" t="n">
        <f aca="false">AH11*Inputs!$B$8+AH12*Inputs!$B$9</f>
        <v>10750419.8364528</v>
      </c>
      <c r="AI14" s="0" t="n">
        <f aca="false">AI11*Inputs!$B$8+AI12*Inputs!$B$9</f>
        <v>11922778.3787248</v>
      </c>
      <c r="AJ14" s="0" t="n">
        <f aca="false">AJ11*Inputs!$B$8+AJ12*Inputs!$B$9</f>
        <v>14581884.3456384</v>
      </c>
      <c r="AK14" s="0" t="n">
        <f aca="false">AK11*Inputs!$B$8+AK12*Inputs!$B$9</f>
        <v>17740172.6601315</v>
      </c>
      <c r="AL14" s="0" t="n">
        <f aca="false">AL11*Inputs!$B$8+AL12*Inputs!$B$9</f>
        <v>29366294.862744</v>
      </c>
      <c r="AM14" s="0" t="n">
        <f aca="false">AM11*Inputs!$B$8+AM12*Inputs!$B$9</f>
        <v>18098045.3647972</v>
      </c>
      <c r="AN14" s="0" t="n">
        <f aca="false">AN11*Inputs!$B$8+AN12*Inputs!$B$9</f>
        <v>14267315.4696337</v>
      </c>
      <c r="AO14" s="0" t="n">
        <f aca="false">AO11*Inputs!$B$8+AO12*Inputs!$B$9</f>
        <v>12691707.587335</v>
      </c>
      <c r="AP14" s="0" t="n">
        <f aca="false">AP11*Inputs!$B$8+AP12*Inputs!$B$9</f>
        <v>9597206.61715112</v>
      </c>
      <c r="AQ14" s="0" t="n">
        <f aca="false">AQ11*Inputs!$B$8+AQ12*Inputs!$B$9</f>
        <v>7658978.51807144</v>
      </c>
      <c r="AR14" s="0" t="n">
        <f aca="false">AR11*Inputs!$B$8+AR12*Inputs!$B$9</f>
        <v>6380414.37151321</v>
      </c>
      <c r="AS14" s="0" t="n">
        <f aca="false">AS11*Inputs!$B$8+AS12*Inputs!$B$9</f>
        <v>10297786.2427851</v>
      </c>
      <c r="AT14" s="0" t="n">
        <f aca="false">AT11*Inputs!$B$8+AT12*Inputs!$B$9</f>
        <v>11341692.9274577</v>
      </c>
      <c r="AU14" s="0" t="n">
        <f aca="false">AU11*Inputs!$B$8+AU12*Inputs!$B$9</f>
        <v>12578531.1895546</v>
      </c>
      <c r="AV14" s="0" t="n">
        <f aca="false">AV11*Inputs!$B$8+AV12*Inputs!$B$9</f>
        <v>15383887.9846485</v>
      </c>
      <c r="AW14" s="0" t="n">
        <f aca="false">AW11*Inputs!$B$8+AW12*Inputs!$B$9</f>
        <v>18715882.1564387</v>
      </c>
      <c r="AX14" s="0" t="n">
        <f aca="false">AX11*Inputs!$B$8+AX12*Inputs!$B$9</f>
        <v>30981441.0801949</v>
      </c>
      <c r="AY14" s="0" t="n">
        <f aca="false">AY11*Inputs!$B$8+AY12*Inputs!$B$9</f>
        <v>27276339.7998015</v>
      </c>
      <c r="AZ14" s="0" t="n">
        <f aca="false">AZ11*Inputs!$B$8+AZ12*Inputs!$B$9</f>
        <v>21502882.6006622</v>
      </c>
      <c r="BA14" s="0" t="n">
        <f aca="false">BA11*Inputs!$B$8+BA12*Inputs!$B$9</f>
        <v>19128216.4351978</v>
      </c>
      <c r="BB14" s="0" t="n">
        <f aca="false">BB11*Inputs!$B$8+BB12*Inputs!$B$9</f>
        <v>14464361.4015635</v>
      </c>
      <c r="BC14" s="0" t="n">
        <f aca="false">BC11*Inputs!$B$8+BC12*Inputs!$B$9</f>
        <v>11543174.7665219</v>
      </c>
      <c r="BD14" s="0" t="n">
        <f aca="false">BD11*Inputs!$B$8+BD12*Inputs!$B$9</f>
        <v>9616195.94563777</v>
      </c>
      <c r="BE14" s="0" t="n">
        <f aca="false">BE11*Inputs!$B$8+BE12*Inputs!$B$9</f>
        <v>10864164.4861383</v>
      </c>
      <c r="BF14" s="0" t="n">
        <f aca="false">BF11*Inputs!$B$8+BF12*Inputs!$B$9</f>
        <v>11965486.0384679</v>
      </c>
      <c r="BG14" s="0" t="n">
        <f aca="false">BG11*Inputs!$B$8+BG12*Inputs!$B$9</f>
        <v>13270350.4049801</v>
      </c>
      <c r="BH14" s="0" t="n">
        <f aca="false">BH11*Inputs!$B$8+BH12*Inputs!$B$9</f>
        <v>16230001.8238042</v>
      </c>
      <c r="BI14" s="0" t="n">
        <f aca="false">BI11*Inputs!$B$8+BI12*Inputs!$B$9</f>
        <v>19745255.6750429</v>
      </c>
      <c r="BJ14" s="0" t="n">
        <f aca="false">BJ11*Inputs!$B$8+BJ12*Inputs!$B$9</f>
        <v>32685420.3396056</v>
      </c>
      <c r="BK14" s="0" t="n">
        <f aca="false">BK11*Inputs!$B$8+BK12*Inputs!$B$9</f>
        <v>28776538.4887906</v>
      </c>
      <c r="BL14" s="0" t="n">
        <f aca="false">BL11*Inputs!$B$8+BL12*Inputs!$B$9</f>
        <v>22685541.1436986</v>
      </c>
      <c r="BM14" s="0" t="n">
        <f aca="false">BM11*Inputs!$B$8+BM12*Inputs!$B$9</f>
        <v>20180268.3391337</v>
      </c>
      <c r="BN14" s="0" t="n">
        <f aca="false">BN11*Inputs!$B$8+BN12*Inputs!$B$9</f>
        <v>15259901.2786495</v>
      </c>
      <c r="BO14" s="0" t="n">
        <f aca="false">BO11*Inputs!$B$8+BO12*Inputs!$B$9</f>
        <v>12178049.3786807</v>
      </c>
      <c r="BP14" s="0" t="n">
        <f aca="false">BP11*Inputs!$B$8+BP12*Inputs!$B$9</f>
        <v>10145086.7226478</v>
      </c>
      <c r="BQ14" s="0" t="n">
        <f aca="false">BQ11*Inputs!$B$8+BQ12*Inputs!$B$9</f>
        <v>11461693.5328759</v>
      </c>
      <c r="BR14" s="0" t="n">
        <f aca="false">BR11*Inputs!$B$8+BR12*Inputs!$B$9</f>
        <v>12623587.7705836</v>
      </c>
      <c r="BS14" s="0" t="n">
        <f aca="false">BS11*Inputs!$B$8+BS12*Inputs!$B$9</f>
        <v>14000219.677254</v>
      </c>
      <c r="BT14" s="0" t="n">
        <f aca="false">BT11*Inputs!$B$8+BT12*Inputs!$B$9</f>
        <v>17122651.9241134</v>
      </c>
      <c r="BU14" s="0" t="n">
        <f aca="false">BU11*Inputs!$B$8+BU12*Inputs!$B$9</f>
        <v>20831244.7371702</v>
      </c>
      <c r="BV14" s="0" t="n">
        <f aca="false">BV11*Inputs!$B$8+BV12*Inputs!$B$9</f>
        <v>34483118.4582839</v>
      </c>
      <c r="BW14" s="0" t="n">
        <f aca="false">BW11*Inputs!$B$8+BW12*Inputs!$B$9</f>
        <v>30359248.1056741</v>
      </c>
      <c r="BX14" s="0" t="n">
        <f aca="false">BX11*Inputs!$B$8+BX12*Inputs!$B$9</f>
        <v>23933245.9066021</v>
      </c>
      <c r="BY14" s="0" t="n">
        <f aca="false">BY11*Inputs!$B$8+BY12*Inputs!$B$9</f>
        <v>21290183.097786</v>
      </c>
      <c r="BZ14" s="0" t="n">
        <f aca="false">BZ11*Inputs!$B$8+BZ12*Inputs!$B$9</f>
        <v>16099195.8489752</v>
      </c>
      <c r="CA14" s="0" t="n">
        <f aca="false">CA11*Inputs!$B$8+CA12*Inputs!$B$9</f>
        <v>12847842.0945081</v>
      </c>
      <c r="CB14" s="0" t="n">
        <f aca="false">CB11*Inputs!$B$8+CB12*Inputs!$B$9</f>
        <v>10703066.4923935</v>
      </c>
      <c r="CC14" s="0" t="n">
        <f aca="false">CC11*Inputs!$B$8+CC12*Inputs!$B$9</f>
        <v>12092086.6771841</v>
      </c>
      <c r="CD14" s="0" t="n">
        <f aca="false">CD11*Inputs!$B$8+CD12*Inputs!$B$9</f>
        <v>13317885.0979657</v>
      </c>
      <c r="CE14" s="0" t="n">
        <f aca="false">CE11*Inputs!$B$8+CE12*Inputs!$B$9</f>
        <v>14770231.759503</v>
      </c>
      <c r="CF14" s="0" t="n">
        <f aca="false">CF11*Inputs!$B$8+CF12*Inputs!$B$9</f>
        <v>18064397.7799396</v>
      </c>
      <c r="CG14" s="0" t="n">
        <f aca="false">CG11*Inputs!$B$8+CG12*Inputs!$B$9</f>
        <v>21976963.1977146</v>
      </c>
      <c r="CH14" s="0" t="n">
        <f aca="false">CH11*Inputs!$B$8+CH12*Inputs!$B$9</f>
        <v>36379689.9734895</v>
      </c>
      <c r="CI14" s="0" t="n">
        <f aca="false">CI11*Inputs!$B$8+CI12*Inputs!$B$9</f>
        <v>32029006.7514861</v>
      </c>
      <c r="CJ14" s="0" t="n">
        <f aca="false">CJ11*Inputs!$B$8+CJ12*Inputs!$B$9</f>
        <v>25249574.4314652</v>
      </c>
      <c r="CK14" s="0" t="n">
        <f aca="false">CK11*Inputs!$B$8+CK12*Inputs!$B$9</f>
        <v>22461143.1681642</v>
      </c>
      <c r="CL14" s="0" t="n">
        <f aca="false">CL11*Inputs!$B$8+CL12*Inputs!$B$9</f>
        <v>16984651.6206688</v>
      </c>
      <c r="CM14" s="0" t="n">
        <f aca="false">CM11*Inputs!$B$8+CM12*Inputs!$B$9</f>
        <v>13554473.409706</v>
      </c>
      <c r="CN14" s="0" t="n">
        <f aca="false">CN11*Inputs!$B$8+CN12*Inputs!$B$9</f>
        <v>11291735.1494751</v>
      </c>
      <c r="CO14" s="0" t="n">
        <f aca="false">CO11*Inputs!$B$8+CO12*Inputs!$B$9</f>
        <v>12757151.4444292</v>
      </c>
      <c r="CP14" s="0" t="n">
        <f aca="false">CP11*Inputs!$B$8+CP12*Inputs!$B$9</f>
        <v>14050368.7783538</v>
      </c>
      <c r="CQ14" s="0" t="n">
        <f aca="false">CQ11*Inputs!$B$8+CQ12*Inputs!$B$9</f>
        <v>15582594.5062756</v>
      </c>
      <c r="CR14" s="0" t="n">
        <f aca="false">CR11*Inputs!$B$8+CR12*Inputs!$B$9</f>
        <v>19057939.6578363</v>
      </c>
      <c r="CS14" s="0" t="n">
        <f aca="false">CS11*Inputs!$B$8+CS12*Inputs!$B$9</f>
        <v>23185696.1735889</v>
      </c>
      <c r="CT14" s="0" t="n">
        <f aca="false">CT11*Inputs!$B$8+CT12*Inputs!$B$9</f>
        <v>38380572.9220315</v>
      </c>
      <c r="CU14" s="0" t="n">
        <f aca="false">CU11*Inputs!$B$8+CU12*Inputs!$B$9</f>
        <v>33790602.1228179</v>
      </c>
      <c r="CV14" s="0" t="n">
        <f aca="false">CV11*Inputs!$B$8+CV12*Inputs!$B$9</f>
        <v>26638301.0251958</v>
      </c>
      <c r="CW14" s="0" t="n">
        <f aca="false">CW11*Inputs!$B$8+CW12*Inputs!$B$9</f>
        <v>23696506.0424133</v>
      </c>
      <c r="CX14" s="0" t="n">
        <f aca="false">CX11*Inputs!$B$8+CX12*Inputs!$B$9</f>
        <v>17918807.4598056</v>
      </c>
      <c r="CY14" s="0" t="n">
        <f aca="false">CY11*Inputs!$B$8+CY12*Inputs!$B$9</f>
        <v>14299969.4472399</v>
      </c>
      <c r="CZ14" s="0" t="n">
        <f aca="false">CZ11*Inputs!$B$8+CZ12*Inputs!$B$9</f>
        <v>11912780.5826962</v>
      </c>
      <c r="DA14" s="0" t="n">
        <f aca="false">DA11*Inputs!$B$8+DA12*Inputs!$B$9</f>
        <v>13458794.7738728</v>
      </c>
      <c r="DB14" s="0" t="n">
        <f aca="false">DB11*Inputs!$B$8+DB12*Inputs!$B$9</f>
        <v>14823139.0611633</v>
      </c>
      <c r="DC14" s="0" t="n">
        <f aca="false">DC11*Inputs!$B$8+DC12*Inputs!$B$9</f>
        <v>16439637.2041208</v>
      </c>
      <c r="DD14" s="0" t="n">
        <f aca="false">DD11*Inputs!$B$8+DD12*Inputs!$B$9</f>
        <v>20106126.3390173</v>
      </c>
      <c r="DE14" s="0" t="n">
        <f aca="false">DE11*Inputs!$B$8+DE12*Inputs!$B$9</f>
        <v>24460909.4631363</v>
      </c>
      <c r="DF14" s="0" t="n">
        <f aca="false">DF11*Inputs!$B$8+DF12*Inputs!$B$9</f>
        <v>40491504.4327432</v>
      </c>
      <c r="DG14" s="0" t="n">
        <f aca="false">DG11*Inputs!$B$8+DG12*Inputs!$B$9</f>
        <v>35649085.2395729</v>
      </c>
      <c r="DH14" s="0" t="n">
        <f aca="false">DH11*Inputs!$B$8+DH12*Inputs!$B$9</f>
        <v>28103407.5815815</v>
      </c>
      <c r="DI14" s="0" t="n">
        <f aca="false">DI11*Inputs!$B$8+DI12*Inputs!$B$9</f>
        <v>24999813.874746</v>
      </c>
      <c r="DJ14" s="0" t="n">
        <f aca="false">DJ11*Inputs!$B$8+DJ12*Inputs!$B$9</f>
        <v>18904341.8700949</v>
      </c>
      <c r="DK14" s="0" t="n">
        <f aca="false">DK11*Inputs!$B$8+DK12*Inputs!$B$9</f>
        <v>15086467.7668381</v>
      </c>
      <c r="DL14" s="0" t="n">
        <f aca="false">DL11*Inputs!$B$8+DL12*Inputs!$B$9</f>
        <v>12567983.5147445</v>
      </c>
      <c r="DM14" s="0" t="n">
        <f aca="false">DM11*Inputs!$B$8+DM12*Inputs!$B$9</f>
        <v>14199028.4864358</v>
      </c>
      <c r="DN14" s="0" t="n">
        <f aca="false">DN11*Inputs!$B$8+DN12*Inputs!$B$9</f>
        <v>15638411.7095273</v>
      </c>
      <c r="DO14" s="0" t="n">
        <f aca="false">DO11*Inputs!$B$8+DO12*Inputs!$B$9</f>
        <v>17343817.2503474</v>
      </c>
      <c r="DP14" s="0" t="n">
        <f aca="false">DP11*Inputs!$B$8+DP12*Inputs!$B$9</f>
        <v>21211963.2876633</v>
      </c>
      <c r="DQ14" s="0" t="n">
        <f aca="false">DQ11*Inputs!$B$8+DQ12*Inputs!$B$9</f>
        <v>25806259.4836088</v>
      </c>
      <c r="DR14" s="0" t="n">
        <f aca="false">DR11*Inputs!$B$8+DR12*Inputs!$B$9</f>
        <v>42718537.1765441</v>
      </c>
    </row>
    <row r="15" customFormat="false" ht="15" hidden="false" customHeight="false" outlineLevel="0" collapsed="false">
      <c r="A15" s="0" t="s">
        <v>37</v>
      </c>
      <c r="B15" s="0" t="n">
        <f aca="false">B13*Inputs!$B$10</f>
        <v>0</v>
      </c>
      <c r="C15" s="0" t="n">
        <f aca="false">C13*Inputs!$B$10</f>
        <v>9082211.951232</v>
      </c>
      <c r="D15" s="0" t="n">
        <f aca="false">D13*Inputs!$B$10</f>
        <v>7159821.984</v>
      </c>
      <c r="E15" s="0" t="n">
        <f aca="false">E13*Inputs!$B$10</f>
        <v>6369128.59968</v>
      </c>
      <c r="F15" s="0" t="n">
        <f aca="false">F13*Inputs!$B$10</f>
        <v>4816203.2352</v>
      </c>
      <c r="G15" s="0" t="n">
        <f aca="false">G13*Inputs!$B$10</f>
        <v>3843534.748032</v>
      </c>
      <c r="H15" s="0" t="n">
        <f aca="false">H13*Inputs!$B$10</f>
        <v>3201907.968</v>
      </c>
      <c r="I15" s="0" t="n">
        <f aca="false">I13*Inputs!$B$10</f>
        <v>3617444.468736</v>
      </c>
      <c r="J15" s="0" t="n">
        <f aca="false">J13*Inputs!$B$10</f>
        <v>3984151.87296</v>
      </c>
      <c r="K15" s="0" t="n">
        <f aca="false">K13*Inputs!$B$10</f>
        <v>4418632.99584</v>
      </c>
      <c r="L15" s="0" t="n">
        <f aca="false">L13*Inputs!$B$10</f>
        <v>5404109.11488</v>
      </c>
      <c r="M15" s="0" t="n">
        <f aca="false">M13*Inputs!$B$10</f>
        <v>6574584.36096</v>
      </c>
      <c r="N15" s="0" t="n">
        <f aca="false">N13*Inputs!$B$10</f>
        <v>10954349.751744</v>
      </c>
      <c r="O15" s="0" t="n">
        <f aca="false">O13*Inputs!$B$10</f>
        <v>10584473.1722352</v>
      </c>
      <c r="P15" s="0" t="n">
        <f aca="false">P13*Inputs!$B$10</f>
        <v>8344106.4924</v>
      </c>
      <c r="Q15" s="0" t="n">
        <f aca="false">Q13*Inputs!$B$10</f>
        <v>7422626.905848</v>
      </c>
      <c r="R15" s="0" t="n">
        <f aca="false">R13*Inputs!$B$10</f>
        <v>5612836.85172</v>
      </c>
      <c r="S15" s="0" t="n">
        <f aca="false">S13*Inputs!$B$10</f>
        <v>4479282.2107152</v>
      </c>
      <c r="T15" s="0" t="n">
        <f aca="false">T13*Inputs!$B$10</f>
        <v>3731525.8848</v>
      </c>
      <c r="U15" s="0" t="n">
        <f aca="false">U13*Inputs!$B$10</f>
        <v>4215795.0218496</v>
      </c>
      <c r="V15" s="0" t="n">
        <f aca="false">V13*Inputs!$B$10</f>
        <v>4643158.389156</v>
      </c>
      <c r="W15" s="0" t="n">
        <f aca="false">W13*Inputs!$B$10</f>
        <v>5149505.721024</v>
      </c>
      <c r="X15" s="0" t="n">
        <f aca="false">X13*Inputs!$B$10</f>
        <v>6297986.465568</v>
      </c>
      <c r="Y15" s="0" t="n">
        <f aca="false">Y13*Inputs!$B$10</f>
        <v>7662066.483456</v>
      </c>
      <c r="Z15" s="0" t="n">
        <f aca="false">Z13*Inputs!$B$10</f>
        <v>12766275.6263784</v>
      </c>
      <c r="AA15" s="0" t="n">
        <f aca="false">AA13*Inputs!$B$10</f>
        <v>11754335.9965349</v>
      </c>
      <c r="AB15" s="0" t="n">
        <f aca="false">AB13*Inputs!$B$10</f>
        <v>9266349.84156</v>
      </c>
      <c r="AC15" s="0" t="n">
        <f aca="false">AC13*Inputs!$B$10</f>
        <v>8243022.5112312</v>
      </c>
      <c r="AD15" s="0" t="n">
        <f aca="false">AD13*Inputs!$B$10</f>
        <v>6233203.030068</v>
      </c>
      <c r="AE15" s="0" t="n">
        <f aca="false">AE13*Inputs!$B$10</f>
        <v>4974360.77084688</v>
      </c>
      <c r="AF15" s="0" t="n">
        <f aca="false">AF13*Inputs!$B$10</f>
        <v>4143957.69312</v>
      </c>
      <c r="AG15" s="0" t="n">
        <f aca="false">AG13*Inputs!$B$10</f>
        <v>4681751.31373824</v>
      </c>
      <c r="AH15" s="0" t="n">
        <f aca="false">AH13*Inputs!$B$10</f>
        <v>5156349.5795364</v>
      </c>
      <c r="AI15" s="0" t="n">
        <f aca="false">AI13*Inputs!$B$10</f>
        <v>5718661.6165056</v>
      </c>
      <c r="AJ15" s="0" t="n">
        <f aca="false">AJ13*Inputs!$B$10</f>
        <v>6994079.7064992</v>
      </c>
      <c r="AK15" s="0" t="n">
        <f aca="false">AK13*Inputs!$B$10</f>
        <v>8508926.4632064</v>
      </c>
      <c r="AL15" s="0" t="n">
        <f aca="false">AL13*Inputs!$B$10</f>
        <v>14085299.408922</v>
      </c>
      <c r="AM15" s="0" t="n">
        <f aca="false">AM13*Inputs!$B$10</f>
        <v>8680577.13344101</v>
      </c>
      <c r="AN15" s="0" t="n">
        <f aca="false">AN13*Inputs!$B$10</f>
        <v>6843199.35799206</v>
      </c>
      <c r="AO15" s="0" t="n">
        <f aca="false">AO13*Inputs!$B$10</f>
        <v>6087472.12454424</v>
      </c>
      <c r="AP15" s="0" t="n">
        <f aca="false">AP13*Inputs!$B$10</f>
        <v>4603220.43770522</v>
      </c>
      <c r="AQ15" s="0" t="n">
        <f aca="false">AQ13*Inputs!$B$10</f>
        <v>3673565.42927042</v>
      </c>
      <c r="AR15" s="0" t="n">
        <f aca="false">AR13*Inputs!$B$10</f>
        <v>3060312.75636912</v>
      </c>
      <c r="AS15" s="0" t="n">
        <f aca="false">AS13*Inputs!$B$10</f>
        <v>4939247.63599384</v>
      </c>
      <c r="AT15" s="0" t="n">
        <f aca="false">AT13*Inputs!$B$10</f>
        <v>5439948.8064109</v>
      </c>
      <c r="AU15" s="0" t="n">
        <f aca="false">AU13*Inputs!$B$10</f>
        <v>6033188.00541341</v>
      </c>
      <c r="AV15" s="0" t="n">
        <f aca="false">AV13*Inputs!$B$10</f>
        <v>7378754.09035665</v>
      </c>
      <c r="AW15" s="0" t="n">
        <f aca="false">AW13*Inputs!$B$10</f>
        <v>8976917.41868275</v>
      </c>
      <c r="AX15" s="0" t="n">
        <f aca="false">AX13*Inputs!$B$10</f>
        <v>14859990.8764127</v>
      </c>
      <c r="AY15" s="0" t="n">
        <f aca="false">AY13*Inputs!$B$10</f>
        <v>13082869.8225432</v>
      </c>
      <c r="AZ15" s="0" t="n">
        <f aca="false">AZ13*Inputs!$B$10</f>
        <v>10313679.0324023</v>
      </c>
      <c r="BA15" s="0" t="n">
        <f aca="false">BA13*Inputs!$B$10</f>
        <v>9174690.13056311</v>
      </c>
      <c r="BB15" s="0" t="n">
        <f aca="false">BB13*Inputs!$B$10</f>
        <v>6937710.80254144</v>
      </c>
      <c r="BC15" s="0" t="n">
        <f aca="false">BC13*Inputs!$B$10</f>
        <v>5536587.89697185</v>
      </c>
      <c r="BD15" s="0" t="n">
        <f aca="false">BD13*Inputs!$B$10</f>
        <v>4612328.51138489</v>
      </c>
      <c r="BE15" s="0" t="n">
        <f aca="false">BE13*Inputs!$B$10</f>
        <v>5210906.2559735</v>
      </c>
      <c r="BF15" s="0" t="n">
        <f aca="false">BF13*Inputs!$B$10</f>
        <v>5739145.9907635</v>
      </c>
      <c r="BG15" s="0" t="n">
        <f aca="false">BG13*Inputs!$B$10</f>
        <v>6365013.34571114</v>
      </c>
      <c r="BH15" s="0" t="n">
        <f aca="false">BH13*Inputs!$B$10</f>
        <v>7784585.56532627</v>
      </c>
      <c r="BI15" s="0" t="n">
        <f aca="false">BI13*Inputs!$B$10</f>
        <v>9470647.8767103</v>
      </c>
      <c r="BJ15" s="0" t="n">
        <f aca="false">BJ13*Inputs!$B$10</f>
        <v>15677290.3746154</v>
      </c>
      <c r="BK15" s="0" t="n">
        <f aca="false">BK13*Inputs!$B$10</f>
        <v>13802427.6627831</v>
      </c>
      <c r="BL15" s="0" t="n">
        <f aca="false">BL13*Inputs!$B$10</f>
        <v>10880931.3791844</v>
      </c>
      <c r="BM15" s="0" t="n">
        <f aca="false">BM13*Inputs!$B$10</f>
        <v>9679298.08774408</v>
      </c>
      <c r="BN15" s="0" t="n">
        <f aca="false">BN13*Inputs!$B$10</f>
        <v>7319284.89668121</v>
      </c>
      <c r="BO15" s="0" t="n">
        <f aca="false">BO13*Inputs!$B$10</f>
        <v>5841100.2313053</v>
      </c>
      <c r="BP15" s="0" t="n">
        <f aca="false">BP13*Inputs!$B$10</f>
        <v>4866006.57951106</v>
      </c>
      <c r="BQ15" s="0" t="n">
        <f aca="false">BQ13*Inputs!$B$10</f>
        <v>5497506.10005205</v>
      </c>
      <c r="BR15" s="0" t="n">
        <f aca="false">BR13*Inputs!$B$10</f>
        <v>6054799.02025549</v>
      </c>
      <c r="BS15" s="0" t="n">
        <f aca="false">BS13*Inputs!$B$10</f>
        <v>6715089.07972526</v>
      </c>
      <c r="BT15" s="0" t="n">
        <f aca="false">BT13*Inputs!$B$10</f>
        <v>8212737.77141921</v>
      </c>
      <c r="BU15" s="0" t="n">
        <f aca="false">BU13*Inputs!$B$10</f>
        <v>9991533.50992937</v>
      </c>
      <c r="BV15" s="0" t="n">
        <f aca="false">BV13*Inputs!$B$10</f>
        <v>16539541.3452193</v>
      </c>
      <c r="BW15" s="0" t="n">
        <f aca="false">BW13*Inputs!$B$10</f>
        <v>14561561.1842362</v>
      </c>
      <c r="BX15" s="0" t="n">
        <f aca="false">BX13*Inputs!$B$10</f>
        <v>11479382.6050396</v>
      </c>
      <c r="BY15" s="0" t="n">
        <f aca="false">BY13*Inputs!$B$10</f>
        <v>10211659.48257</v>
      </c>
      <c r="BZ15" s="0" t="n">
        <f aca="false">BZ13*Inputs!$B$10</f>
        <v>7721845.56599868</v>
      </c>
      <c r="CA15" s="0" t="n">
        <f aca="false">CA13*Inputs!$B$10</f>
        <v>6162360.74402709</v>
      </c>
      <c r="CB15" s="0" t="n">
        <f aca="false">CB13*Inputs!$B$10</f>
        <v>5133636.94138416</v>
      </c>
      <c r="CC15" s="0" t="n">
        <f aca="false">CC13*Inputs!$B$10</f>
        <v>5799868.93555491</v>
      </c>
      <c r="CD15" s="0" t="n">
        <f aca="false">CD13*Inputs!$B$10</f>
        <v>6387812.96636954</v>
      </c>
      <c r="CE15" s="0" t="n">
        <f aca="false">CE13*Inputs!$B$10</f>
        <v>7084418.97911014</v>
      </c>
      <c r="CF15" s="0" t="n">
        <f aca="false">CF13*Inputs!$B$10</f>
        <v>8664438.34884727</v>
      </c>
      <c r="CG15" s="0" t="n">
        <f aca="false">CG13*Inputs!$B$10</f>
        <v>10541067.8529755</v>
      </c>
      <c r="CH15" s="0" t="n">
        <f aca="false">CH13*Inputs!$B$10</f>
        <v>17449216.1192063</v>
      </c>
      <c r="CI15" s="0" t="n">
        <f aca="false">CI13*Inputs!$B$10</f>
        <v>15362447.0493692</v>
      </c>
      <c r="CJ15" s="0" t="n">
        <f aca="false">CJ13*Inputs!$B$10</f>
        <v>12110748.6483168</v>
      </c>
      <c r="CK15" s="0" t="n">
        <f aca="false">CK13*Inputs!$B$10</f>
        <v>10773300.7541113</v>
      </c>
      <c r="CL15" s="0" t="n">
        <f aca="false">CL13*Inputs!$B$10</f>
        <v>8146547.0721286</v>
      </c>
      <c r="CM15" s="0" t="n">
        <f aca="false">CM13*Inputs!$B$10</f>
        <v>6501290.58494858</v>
      </c>
      <c r="CN15" s="0" t="n">
        <f aca="false">CN13*Inputs!$B$10</f>
        <v>5415986.97316029</v>
      </c>
      <c r="CO15" s="0" t="n">
        <f aca="false">CO13*Inputs!$B$10</f>
        <v>6118861.72701043</v>
      </c>
      <c r="CP15" s="0" t="n">
        <f aca="false">CP13*Inputs!$B$10</f>
        <v>6739142.67951987</v>
      </c>
      <c r="CQ15" s="0" t="n">
        <f aca="false">CQ13*Inputs!$B$10</f>
        <v>7474062.0229612</v>
      </c>
      <c r="CR15" s="0" t="n">
        <f aca="false">CR13*Inputs!$B$10</f>
        <v>9140982.45803387</v>
      </c>
      <c r="CS15" s="0" t="n">
        <f aca="false">CS13*Inputs!$B$10</f>
        <v>11120826.5848891</v>
      </c>
      <c r="CT15" s="0" t="n">
        <f aca="false">CT13*Inputs!$B$10</f>
        <v>18408923.0057627</v>
      </c>
      <c r="CU15" s="0" t="n">
        <f aca="false">CU13*Inputs!$B$10</f>
        <v>16207381.6370845</v>
      </c>
      <c r="CV15" s="0" t="n">
        <f aca="false">CV13*Inputs!$B$10</f>
        <v>12776839.8239742</v>
      </c>
      <c r="CW15" s="0" t="n">
        <f aca="false">CW13*Inputs!$B$10</f>
        <v>11365832.2955875</v>
      </c>
      <c r="CX15" s="0" t="n">
        <f aca="false">CX13*Inputs!$B$10</f>
        <v>8594607.16109568</v>
      </c>
      <c r="CY15" s="0" t="n">
        <f aca="false">CY13*Inputs!$B$10</f>
        <v>6858861.56712075</v>
      </c>
      <c r="CZ15" s="0" t="n">
        <f aca="false">CZ13*Inputs!$B$10</f>
        <v>5713866.25668411</v>
      </c>
      <c r="DA15" s="0" t="n">
        <f aca="false">DA13*Inputs!$B$10</f>
        <v>6455399.121996</v>
      </c>
      <c r="DB15" s="0" t="n">
        <f aca="false">DB13*Inputs!$B$10</f>
        <v>7109795.52689346</v>
      </c>
      <c r="DC15" s="0" t="n">
        <f aca="false">DC13*Inputs!$B$10</f>
        <v>7885135.43422407</v>
      </c>
      <c r="DD15" s="0" t="n">
        <f aca="false">DD13*Inputs!$B$10</f>
        <v>9643736.49322573</v>
      </c>
      <c r="DE15" s="0" t="n">
        <f aca="false">DE13*Inputs!$B$10</f>
        <v>11732472.047058</v>
      </c>
      <c r="DF15" s="0" t="n">
        <f aca="false">DF13*Inputs!$B$10</f>
        <v>19421413.7710796</v>
      </c>
      <c r="DG15" s="0" t="n">
        <f aca="false">DG13*Inputs!$B$10</f>
        <v>17098787.6271241</v>
      </c>
      <c r="DH15" s="0" t="n">
        <f aca="false">DH13*Inputs!$B$10</f>
        <v>13479566.0142928</v>
      </c>
      <c r="DI15" s="0" t="n">
        <f aca="false">DI13*Inputs!$B$10</f>
        <v>11990953.0718448</v>
      </c>
      <c r="DJ15" s="0" t="n">
        <f aca="false">DJ13*Inputs!$B$10</f>
        <v>9067310.55495594</v>
      </c>
      <c r="DK15" s="0" t="n">
        <f aca="false">DK13*Inputs!$B$10</f>
        <v>7236098.95331239</v>
      </c>
      <c r="DL15" s="0" t="n">
        <f aca="false">DL13*Inputs!$B$10</f>
        <v>6028128.90080173</v>
      </c>
      <c r="DM15" s="0" t="n">
        <f aca="false">DM13*Inputs!$B$10</f>
        <v>6810446.07370578</v>
      </c>
      <c r="DN15" s="0" t="n">
        <f aca="false">DN13*Inputs!$B$10</f>
        <v>7500834.2808726</v>
      </c>
      <c r="DO15" s="0" t="n">
        <f aca="false">DO13*Inputs!$B$10</f>
        <v>8318817.88310639</v>
      </c>
      <c r="DP15" s="0" t="n">
        <f aca="false">DP13*Inputs!$B$10</f>
        <v>10174142.0003531</v>
      </c>
      <c r="DQ15" s="0" t="n">
        <f aca="false">DQ13*Inputs!$B$10</f>
        <v>12377758.0096462</v>
      </c>
      <c r="DR15" s="0" t="n">
        <f aca="false">DR13*Inputs!$B$10</f>
        <v>20489591.528489</v>
      </c>
    </row>
    <row r="16" customFormat="false" ht="15" hidden="false" customHeight="false" outlineLevel="0" collapsed="false">
      <c r="A16" s="0" t="s">
        <v>38</v>
      </c>
      <c r="B16" s="0" t="n">
        <f aca="false">IF((B$3&gt;=1),Inputs!$B$11*(1+Inputs!$B$12)^(B4-1),0)</f>
        <v>0</v>
      </c>
      <c r="C16" s="0" t="n">
        <f aca="false">IF((C$3&gt;=1),Inputs!$B$11*(1+Inputs!$B$12)^(C4-1),0)</f>
        <v>2600000</v>
      </c>
      <c r="D16" s="0" t="n">
        <f aca="false">IF((D$3&gt;=1),Inputs!$B$11*(1+Inputs!$B$12)^(D4-1),0)</f>
        <v>2600000</v>
      </c>
      <c r="E16" s="0" t="n">
        <f aca="false">IF((E$3&gt;=1),Inputs!$B$11*(1+Inputs!$B$12)^(E4-1),0)</f>
        <v>2600000</v>
      </c>
      <c r="F16" s="0" t="n">
        <f aca="false">IF((F$3&gt;=1),Inputs!$B$11*(1+Inputs!$B$12)^(F4-1),0)</f>
        <v>2600000</v>
      </c>
      <c r="G16" s="0" t="n">
        <f aca="false">IF((G$3&gt;=1),Inputs!$B$11*(1+Inputs!$B$12)^(G4-1),0)</f>
        <v>2600000</v>
      </c>
      <c r="H16" s="0" t="n">
        <f aca="false">IF((H$3&gt;=1),Inputs!$B$11*(1+Inputs!$B$12)^(H4-1),0)</f>
        <v>2600000</v>
      </c>
      <c r="I16" s="0" t="n">
        <f aca="false">IF((I$3&gt;=1),Inputs!$B$11*(1+Inputs!$B$12)^(I4-1),0)</f>
        <v>2600000</v>
      </c>
      <c r="J16" s="0" t="n">
        <f aca="false">IF((J$3&gt;=1),Inputs!$B$11*(1+Inputs!$B$12)^(J4-1),0)</f>
        <v>2600000</v>
      </c>
      <c r="K16" s="0" t="n">
        <f aca="false">IF((K$3&gt;=1),Inputs!$B$11*(1+Inputs!$B$12)^(K4-1),0)</f>
        <v>2600000</v>
      </c>
      <c r="L16" s="0" t="n">
        <f aca="false">IF((L$3&gt;=1),Inputs!$B$11*(1+Inputs!$B$12)^(L4-1),0)</f>
        <v>2600000</v>
      </c>
      <c r="M16" s="0" t="n">
        <f aca="false">IF((M$3&gt;=1),Inputs!$B$11*(1+Inputs!$B$12)^(M4-1),0)</f>
        <v>2600000</v>
      </c>
      <c r="N16" s="0" t="n">
        <f aca="false">IF((N$3&gt;=1),Inputs!$B$11*(1+Inputs!$B$12)^(N4-1),0)</f>
        <v>2600000</v>
      </c>
      <c r="O16" s="0" t="n">
        <f aca="false">IF((O$3&gt;=1),Inputs!$B$11*(1+Inputs!$B$12)^(O4-1),0)</f>
        <v>2756000</v>
      </c>
      <c r="P16" s="0" t="n">
        <f aca="false">IF((P$3&gt;=1),Inputs!$B$11*(1+Inputs!$B$12)^(P4-1),0)</f>
        <v>2756000</v>
      </c>
      <c r="Q16" s="0" t="n">
        <f aca="false">IF((Q$3&gt;=1),Inputs!$B$11*(1+Inputs!$B$12)^(Q4-1),0)</f>
        <v>2756000</v>
      </c>
      <c r="R16" s="0" t="n">
        <f aca="false">IF((R$3&gt;=1),Inputs!$B$11*(1+Inputs!$B$12)^(R4-1),0)</f>
        <v>2756000</v>
      </c>
      <c r="S16" s="0" t="n">
        <f aca="false">IF((S$3&gt;=1),Inputs!$B$11*(1+Inputs!$B$12)^(S4-1),0)</f>
        <v>2756000</v>
      </c>
      <c r="T16" s="0" t="n">
        <f aca="false">IF((T$3&gt;=1),Inputs!$B$11*(1+Inputs!$B$12)^(T4-1),0)</f>
        <v>2756000</v>
      </c>
      <c r="U16" s="0" t="n">
        <f aca="false">IF((U$3&gt;=1),Inputs!$B$11*(1+Inputs!$B$12)^(U4-1),0)</f>
        <v>2756000</v>
      </c>
      <c r="V16" s="0" t="n">
        <f aca="false">IF((V$3&gt;=1),Inputs!$B$11*(1+Inputs!$B$12)^(V4-1),0)</f>
        <v>2756000</v>
      </c>
      <c r="W16" s="0" t="n">
        <f aca="false">IF((W$3&gt;=1),Inputs!$B$11*(1+Inputs!$B$12)^(W4-1),0)</f>
        <v>2756000</v>
      </c>
      <c r="X16" s="0" t="n">
        <f aca="false">IF((X$3&gt;=1),Inputs!$B$11*(1+Inputs!$B$12)^(X4-1),0)</f>
        <v>2756000</v>
      </c>
      <c r="Y16" s="0" t="n">
        <f aca="false">IF((Y$3&gt;=1),Inputs!$B$11*(1+Inputs!$B$12)^(Y4-1),0)</f>
        <v>2756000</v>
      </c>
      <c r="Z16" s="0" t="n">
        <f aca="false">IF((Z$3&gt;=1),Inputs!$B$11*(1+Inputs!$B$12)^(Z4-1),0)</f>
        <v>2756000</v>
      </c>
      <c r="AA16" s="0" t="n">
        <f aca="false">IF((AA$3&gt;=1),Inputs!$B$11*(1+Inputs!$B$12)^(AA4-1),0)</f>
        <v>2921360</v>
      </c>
      <c r="AB16" s="0" t="n">
        <f aca="false">IF((AB$3&gt;=1),Inputs!$B$11*(1+Inputs!$B$12)^(AB4-1),0)</f>
        <v>2921360</v>
      </c>
      <c r="AC16" s="0" t="n">
        <f aca="false">IF((AC$3&gt;=1),Inputs!$B$11*(1+Inputs!$B$12)^(AC4-1),0)</f>
        <v>2921360</v>
      </c>
      <c r="AD16" s="0" t="n">
        <f aca="false">IF((AD$3&gt;=1),Inputs!$B$11*(1+Inputs!$B$12)^(AD4-1),0)</f>
        <v>2921360</v>
      </c>
      <c r="AE16" s="0" t="n">
        <f aca="false">IF((AE$3&gt;=1),Inputs!$B$11*(1+Inputs!$B$12)^(AE4-1),0)</f>
        <v>2921360</v>
      </c>
      <c r="AF16" s="0" t="n">
        <f aca="false">IF((AF$3&gt;=1),Inputs!$B$11*(1+Inputs!$B$12)^(AF4-1),0)</f>
        <v>2921360</v>
      </c>
      <c r="AG16" s="0" t="n">
        <f aca="false">IF((AG$3&gt;=1),Inputs!$B$11*(1+Inputs!$B$12)^(AG4-1),0)</f>
        <v>2921360</v>
      </c>
      <c r="AH16" s="0" t="n">
        <f aca="false">IF((AH$3&gt;=1),Inputs!$B$11*(1+Inputs!$B$12)^(AH4-1),0)</f>
        <v>2921360</v>
      </c>
      <c r="AI16" s="0" t="n">
        <f aca="false">IF((AI$3&gt;=1),Inputs!$B$11*(1+Inputs!$B$12)^(AI4-1),0)</f>
        <v>2921360</v>
      </c>
      <c r="AJ16" s="0" t="n">
        <f aca="false">IF((AJ$3&gt;=1),Inputs!$B$11*(1+Inputs!$B$12)^(AJ4-1),0)</f>
        <v>2921360</v>
      </c>
      <c r="AK16" s="0" t="n">
        <f aca="false">IF((AK$3&gt;=1),Inputs!$B$11*(1+Inputs!$B$12)^(AK4-1),0)</f>
        <v>2921360</v>
      </c>
      <c r="AL16" s="0" t="n">
        <f aca="false">IF((AL$3&gt;=1),Inputs!$B$11*(1+Inputs!$B$12)^(AL4-1),0)</f>
        <v>2921360</v>
      </c>
      <c r="AM16" s="0" t="n">
        <f aca="false">IF((AM$3&gt;=1),Inputs!$B$11*(1+Inputs!$B$12)^(AM4-1),0)</f>
        <v>3096641.6</v>
      </c>
      <c r="AN16" s="0" t="n">
        <f aca="false">IF((AN$3&gt;=1),Inputs!$B$11*(1+Inputs!$B$12)^(AN4-1),0)</f>
        <v>3096641.6</v>
      </c>
      <c r="AO16" s="0" t="n">
        <f aca="false">IF((AO$3&gt;=1),Inputs!$B$11*(1+Inputs!$B$12)^(AO4-1),0)</f>
        <v>3096641.6</v>
      </c>
      <c r="AP16" s="0" t="n">
        <f aca="false">IF((AP$3&gt;=1),Inputs!$B$11*(1+Inputs!$B$12)^(AP4-1),0)</f>
        <v>3096641.6</v>
      </c>
      <c r="AQ16" s="0" t="n">
        <f aca="false">IF((AQ$3&gt;=1),Inputs!$B$11*(1+Inputs!$B$12)^(AQ4-1),0)</f>
        <v>3096641.6</v>
      </c>
      <c r="AR16" s="0" t="n">
        <f aca="false">IF((AR$3&gt;=1),Inputs!$B$11*(1+Inputs!$B$12)^(AR4-1),0)</f>
        <v>3096641.6</v>
      </c>
      <c r="AS16" s="0" t="n">
        <f aca="false">IF((AS$3&gt;=1),Inputs!$B$11*(1+Inputs!$B$12)^(AS4-1),0)</f>
        <v>3096641.6</v>
      </c>
      <c r="AT16" s="0" t="n">
        <f aca="false">IF((AT$3&gt;=1),Inputs!$B$11*(1+Inputs!$B$12)^(AT4-1),0)</f>
        <v>3096641.6</v>
      </c>
      <c r="AU16" s="0" t="n">
        <f aca="false">IF((AU$3&gt;=1),Inputs!$B$11*(1+Inputs!$B$12)^(AU4-1),0)</f>
        <v>3096641.6</v>
      </c>
      <c r="AV16" s="0" t="n">
        <f aca="false">IF((AV$3&gt;=1),Inputs!$B$11*(1+Inputs!$B$12)^(AV4-1),0)</f>
        <v>3096641.6</v>
      </c>
      <c r="AW16" s="0" t="n">
        <f aca="false">IF((AW$3&gt;=1),Inputs!$B$11*(1+Inputs!$B$12)^(AW4-1),0)</f>
        <v>3096641.6</v>
      </c>
      <c r="AX16" s="0" t="n">
        <f aca="false">IF((AX$3&gt;=1),Inputs!$B$11*(1+Inputs!$B$12)^(AX4-1),0)</f>
        <v>3096641.6</v>
      </c>
      <c r="AY16" s="0" t="n">
        <f aca="false">IF((AY$3&gt;=1),Inputs!$B$11*(1+Inputs!$B$12)^(AY4-1),0)</f>
        <v>3282440.096</v>
      </c>
      <c r="AZ16" s="0" t="n">
        <f aca="false">IF((AZ$3&gt;=1),Inputs!$B$11*(1+Inputs!$B$12)^(AZ4-1),0)</f>
        <v>3282440.096</v>
      </c>
      <c r="BA16" s="0" t="n">
        <f aca="false">IF((BA$3&gt;=1),Inputs!$B$11*(1+Inputs!$B$12)^(BA4-1),0)</f>
        <v>3282440.096</v>
      </c>
      <c r="BB16" s="0" t="n">
        <f aca="false">IF((BB$3&gt;=1),Inputs!$B$11*(1+Inputs!$B$12)^(BB4-1),0)</f>
        <v>3282440.096</v>
      </c>
      <c r="BC16" s="0" t="n">
        <f aca="false">IF((BC$3&gt;=1),Inputs!$B$11*(1+Inputs!$B$12)^(BC4-1),0)</f>
        <v>3282440.096</v>
      </c>
      <c r="BD16" s="0" t="n">
        <f aca="false">IF((BD$3&gt;=1),Inputs!$B$11*(1+Inputs!$B$12)^(BD4-1),0)</f>
        <v>3282440.096</v>
      </c>
      <c r="BE16" s="0" t="n">
        <f aca="false">IF((BE$3&gt;=1),Inputs!$B$11*(1+Inputs!$B$12)^(BE4-1),0)</f>
        <v>3282440.096</v>
      </c>
      <c r="BF16" s="0" t="n">
        <f aca="false">IF((BF$3&gt;=1),Inputs!$B$11*(1+Inputs!$B$12)^(BF4-1),0)</f>
        <v>3282440.096</v>
      </c>
      <c r="BG16" s="0" t="n">
        <f aca="false">IF((BG$3&gt;=1),Inputs!$B$11*(1+Inputs!$B$12)^(BG4-1),0)</f>
        <v>3282440.096</v>
      </c>
      <c r="BH16" s="0" t="n">
        <f aca="false">IF((BH$3&gt;=1),Inputs!$B$11*(1+Inputs!$B$12)^(BH4-1),0)</f>
        <v>3282440.096</v>
      </c>
      <c r="BI16" s="0" t="n">
        <f aca="false">IF((BI$3&gt;=1),Inputs!$B$11*(1+Inputs!$B$12)^(BI4-1),0)</f>
        <v>3282440.096</v>
      </c>
      <c r="BJ16" s="0" t="n">
        <f aca="false">IF((BJ$3&gt;=1),Inputs!$B$11*(1+Inputs!$B$12)^(BJ4-1),0)</f>
        <v>3282440.096</v>
      </c>
      <c r="BK16" s="0" t="n">
        <f aca="false">IF((BK$3&gt;=1),Inputs!$B$11*(1+Inputs!$B$12)^(BK4-1),0)</f>
        <v>3479386.50176</v>
      </c>
      <c r="BL16" s="0" t="n">
        <f aca="false">IF((BL$3&gt;=1),Inputs!$B$11*(1+Inputs!$B$12)^(BL4-1),0)</f>
        <v>3479386.50176</v>
      </c>
      <c r="BM16" s="0" t="n">
        <f aca="false">IF((BM$3&gt;=1),Inputs!$B$11*(1+Inputs!$B$12)^(BM4-1),0)</f>
        <v>3479386.50176</v>
      </c>
      <c r="BN16" s="0" t="n">
        <f aca="false">IF((BN$3&gt;=1),Inputs!$B$11*(1+Inputs!$B$12)^(BN4-1),0)</f>
        <v>3479386.50176</v>
      </c>
      <c r="BO16" s="0" t="n">
        <f aca="false">IF((BO$3&gt;=1),Inputs!$B$11*(1+Inputs!$B$12)^(BO4-1),0)</f>
        <v>3479386.50176</v>
      </c>
      <c r="BP16" s="0" t="n">
        <f aca="false">IF((BP$3&gt;=1),Inputs!$B$11*(1+Inputs!$B$12)^(BP4-1),0)</f>
        <v>3479386.50176</v>
      </c>
      <c r="BQ16" s="0" t="n">
        <f aca="false">IF((BQ$3&gt;=1),Inputs!$B$11*(1+Inputs!$B$12)^(BQ4-1),0)</f>
        <v>3479386.50176</v>
      </c>
      <c r="BR16" s="0" t="n">
        <f aca="false">IF((BR$3&gt;=1),Inputs!$B$11*(1+Inputs!$B$12)^(BR4-1),0)</f>
        <v>3479386.50176</v>
      </c>
      <c r="BS16" s="0" t="n">
        <f aca="false">IF((BS$3&gt;=1),Inputs!$B$11*(1+Inputs!$B$12)^(BS4-1),0)</f>
        <v>3479386.50176</v>
      </c>
      <c r="BT16" s="0" t="n">
        <f aca="false">IF((BT$3&gt;=1),Inputs!$B$11*(1+Inputs!$B$12)^(BT4-1),0)</f>
        <v>3479386.50176</v>
      </c>
      <c r="BU16" s="0" t="n">
        <f aca="false">IF((BU$3&gt;=1),Inputs!$B$11*(1+Inputs!$B$12)^(BU4-1),0)</f>
        <v>3479386.50176</v>
      </c>
      <c r="BV16" s="0" t="n">
        <f aca="false">IF((BV$3&gt;=1),Inputs!$B$11*(1+Inputs!$B$12)^(BV4-1),0)</f>
        <v>3479386.50176</v>
      </c>
      <c r="BW16" s="0" t="n">
        <f aca="false">IF((BW$3&gt;=1),Inputs!$B$11*(1+Inputs!$B$12)^(BW4-1),0)</f>
        <v>3688149.6918656</v>
      </c>
      <c r="BX16" s="0" t="n">
        <f aca="false">IF((BX$3&gt;=1),Inputs!$B$11*(1+Inputs!$B$12)^(BX4-1),0)</f>
        <v>3688149.6918656</v>
      </c>
      <c r="BY16" s="0" t="n">
        <f aca="false">IF((BY$3&gt;=1),Inputs!$B$11*(1+Inputs!$B$12)^(BY4-1),0)</f>
        <v>3688149.6918656</v>
      </c>
      <c r="BZ16" s="0" t="n">
        <f aca="false">IF((BZ$3&gt;=1),Inputs!$B$11*(1+Inputs!$B$12)^(BZ4-1),0)</f>
        <v>3688149.6918656</v>
      </c>
      <c r="CA16" s="0" t="n">
        <f aca="false">IF((CA$3&gt;=1),Inputs!$B$11*(1+Inputs!$B$12)^(CA4-1),0)</f>
        <v>3688149.6918656</v>
      </c>
      <c r="CB16" s="0" t="n">
        <f aca="false">IF((CB$3&gt;=1),Inputs!$B$11*(1+Inputs!$B$12)^(CB4-1),0)</f>
        <v>3688149.6918656</v>
      </c>
      <c r="CC16" s="0" t="n">
        <f aca="false">IF((CC$3&gt;=1),Inputs!$B$11*(1+Inputs!$B$12)^(CC4-1),0)</f>
        <v>3688149.6918656</v>
      </c>
      <c r="CD16" s="0" t="n">
        <f aca="false">IF((CD$3&gt;=1),Inputs!$B$11*(1+Inputs!$B$12)^(CD4-1),0)</f>
        <v>3688149.6918656</v>
      </c>
      <c r="CE16" s="0" t="n">
        <f aca="false">IF((CE$3&gt;=1),Inputs!$B$11*(1+Inputs!$B$12)^(CE4-1),0)</f>
        <v>3688149.6918656</v>
      </c>
      <c r="CF16" s="0" t="n">
        <f aca="false">IF((CF$3&gt;=1),Inputs!$B$11*(1+Inputs!$B$12)^(CF4-1),0)</f>
        <v>3688149.6918656</v>
      </c>
      <c r="CG16" s="0" t="n">
        <f aca="false">IF((CG$3&gt;=1),Inputs!$B$11*(1+Inputs!$B$12)^(CG4-1),0)</f>
        <v>3688149.6918656</v>
      </c>
      <c r="CH16" s="0" t="n">
        <f aca="false">IF((CH$3&gt;=1),Inputs!$B$11*(1+Inputs!$B$12)^(CH4-1),0)</f>
        <v>3688149.6918656</v>
      </c>
      <c r="CI16" s="0" t="n">
        <f aca="false">IF((CI$3&gt;=1),Inputs!$B$11*(1+Inputs!$B$12)^(CI4-1),0)</f>
        <v>3909438.67337754</v>
      </c>
      <c r="CJ16" s="0" t="n">
        <f aca="false">IF((CJ$3&gt;=1),Inputs!$B$11*(1+Inputs!$B$12)^(CJ4-1),0)</f>
        <v>3909438.67337754</v>
      </c>
      <c r="CK16" s="0" t="n">
        <f aca="false">IF((CK$3&gt;=1),Inputs!$B$11*(1+Inputs!$B$12)^(CK4-1),0)</f>
        <v>3909438.67337754</v>
      </c>
      <c r="CL16" s="0" t="n">
        <f aca="false">IF((CL$3&gt;=1),Inputs!$B$11*(1+Inputs!$B$12)^(CL4-1),0)</f>
        <v>3909438.67337754</v>
      </c>
      <c r="CM16" s="0" t="n">
        <f aca="false">IF((CM$3&gt;=1),Inputs!$B$11*(1+Inputs!$B$12)^(CM4-1),0)</f>
        <v>3909438.67337754</v>
      </c>
      <c r="CN16" s="0" t="n">
        <f aca="false">IF((CN$3&gt;=1),Inputs!$B$11*(1+Inputs!$B$12)^(CN4-1),0)</f>
        <v>3909438.67337754</v>
      </c>
      <c r="CO16" s="0" t="n">
        <f aca="false">IF((CO$3&gt;=1),Inputs!$B$11*(1+Inputs!$B$12)^(CO4-1),0)</f>
        <v>3909438.67337754</v>
      </c>
      <c r="CP16" s="0" t="n">
        <f aca="false">IF((CP$3&gt;=1),Inputs!$B$11*(1+Inputs!$B$12)^(CP4-1),0)</f>
        <v>3909438.67337754</v>
      </c>
      <c r="CQ16" s="0" t="n">
        <f aca="false">IF((CQ$3&gt;=1),Inputs!$B$11*(1+Inputs!$B$12)^(CQ4-1),0)</f>
        <v>3909438.67337754</v>
      </c>
      <c r="CR16" s="0" t="n">
        <f aca="false">IF((CR$3&gt;=1),Inputs!$B$11*(1+Inputs!$B$12)^(CR4-1),0)</f>
        <v>3909438.67337754</v>
      </c>
      <c r="CS16" s="0" t="n">
        <f aca="false">IF((CS$3&gt;=1),Inputs!$B$11*(1+Inputs!$B$12)^(CS4-1),0)</f>
        <v>3909438.67337754</v>
      </c>
      <c r="CT16" s="0" t="n">
        <f aca="false">IF((CT$3&gt;=1),Inputs!$B$11*(1+Inputs!$B$12)^(CT4-1),0)</f>
        <v>3909438.67337754</v>
      </c>
      <c r="CU16" s="0" t="n">
        <f aca="false">IF((CU$3&gt;=1),Inputs!$B$11*(1+Inputs!$B$12)^(CU4-1),0)</f>
        <v>4144004.99378019</v>
      </c>
      <c r="CV16" s="0" t="n">
        <f aca="false">IF((CV$3&gt;=1),Inputs!$B$11*(1+Inputs!$B$12)^(CV4-1),0)</f>
        <v>4144004.99378019</v>
      </c>
      <c r="CW16" s="0" t="n">
        <f aca="false">IF((CW$3&gt;=1),Inputs!$B$11*(1+Inputs!$B$12)^(CW4-1),0)</f>
        <v>4144004.99378019</v>
      </c>
      <c r="CX16" s="0" t="n">
        <f aca="false">IF((CX$3&gt;=1),Inputs!$B$11*(1+Inputs!$B$12)^(CX4-1),0)</f>
        <v>4144004.99378019</v>
      </c>
      <c r="CY16" s="0" t="n">
        <f aca="false">IF((CY$3&gt;=1),Inputs!$B$11*(1+Inputs!$B$12)^(CY4-1),0)</f>
        <v>4144004.99378019</v>
      </c>
      <c r="CZ16" s="0" t="n">
        <f aca="false">IF((CZ$3&gt;=1),Inputs!$B$11*(1+Inputs!$B$12)^(CZ4-1),0)</f>
        <v>4144004.99378019</v>
      </c>
      <c r="DA16" s="0" t="n">
        <f aca="false">IF((DA$3&gt;=1),Inputs!$B$11*(1+Inputs!$B$12)^(DA4-1),0)</f>
        <v>4144004.99378019</v>
      </c>
      <c r="DB16" s="0" t="n">
        <f aca="false">IF((DB$3&gt;=1),Inputs!$B$11*(1+Inputs!$B$12)^(DB4-1),0)</f>
        <v>4144004.99378019</v>
      </c>
      <c r="DC16" s="0" t="n">
        <f aca="false">IF((DC$3&gt;=1),Inputs!$B$11*(1+Inputs!$B$12)^(DC4-1),0)</f>
        <v>4144004.99378019</v>
      </c>
      <c r="DD16" s="0" t="n">
        <f aca="false">IF((DD$3&gt;=1),Inputs!$B$11*(1+Inputs!$B$12)^(DD4-1),0)</f>
        <v>4144004.99378019</v>
      </c>
      <c r="DE16" s="0" t="n">
        <f aca="false">IF((DE$3&gt;=1),Inputs!$B$11*(1+Inputs!$B$12)^(DE4-1),0)</f>
        <v>4144004.99378019</v>
      </c>
      <c r="DF16" s="0" t="n">
        <f aca="false">IF((DF$3&gt;=1),Inputs!$B$11*(1+Inputs!$B$12)^(DF4-1),0)</f>
        <v>4144004.99378019</v>
      </c>
      <c r="DG16" s="0" t="n">
        <f aca="false">IF((DG$3&gt;=1),Inputs!$B$11*(1+Inputs!$B$12)^(DG4-1),0)</f>
        <v>4392645.293407</v>
      </c>
      <c r="DH16" s="0" t="n">
        <f aca="false">IF((DH$3&gt;=1),Inputs!$B$11*(1+Inputs!$B$12)^(DH4-1),0)</f>
        <v>4392645.293407</v>
      </c>
      <c r="DI16" s="0" t="n">
        <f aca="false">IF((DI$3&gt;=1),Inputs!$B$11*(1+Inputs!$B$12)^(DI4-1),0)</f>
        <v>4392645.293407</v>
      </c>
      <c r="DJ16" s="0" t="n">
        <f aca="false">IF((DJ$3&gt;=1),Inputs!$B$11*(1+Inputs!$B$12)^(DJ4-1),0)</f>
        <v>4392645.293407</v>
      </c>
      <c r="DK16" s="0" t="n">
        <f aca="false">IF((DK$3&gt;=1),Inputs!$B$11*(1+Inputs!$B$12)^(DK4-1),0)</f>
        <v>4392645.293407</v>
      </c>
      <c r="DL16" s="0" t="n">
        <f aca="false">IF((DL$3&gt;=1),Inputs!$B$11*(1+Inputs!$B$12)^(DL4-1),0)</f>
        <v>4392645.293407</v>
      </c>
      <c r="DM16" s="0" t="n">
        <f aca="false">IF((DM$3&gt;=1),Inputs!$B$11*(1+Inputs!$B$12)^(DM4-1),0)</f>
        <v>4392645.293407</v>
      </c>
      <c r="DN16" s="0" t="n">
        <f aca="false">IF((DN$3&gt;=1),Inputs!$B$11*(1+Inputs!$B$12)^(DN4-1),0)</f>
        <v>4392645.293407</v>
      </c>
      <c r="DO16" s="0" t="n">
        <f aca="false">IF((DO$3&gt;=1),Inputs!$B$11*(1+Inputs!$B$12)^(DO4-1),0)</f>
        <v>4392645.293407</v>
      </c>
      <c r="DP16" s="0" t="n">
        <f aca="false">IF((DP$3&gt;=1),Inputs!$B$11*(1+Inputs!$B$12)^(DP4-1),0)</f>
        <v>4392645.293407</v>
      </c>
      <c r="DQ16" s="0" t="n">
        <f aca="false">IF((DQ$3&gt;=1),Inputs!$B$11*(1+Inputs!$B$12)^(DQ4-1),0)</f>
        <v>4392645.293407</v>
      </c>
      <c r="DR16" s="0" t="n">
        <f aca="false">IF((DR$3&gt;=1),Inputs!$B$11*(1+Inputs!$B$12)^(DR4-1),0)</f>
        <v>4392645.293407</v>
      </c>
    </row>
    <row r="17" customFormat="false" ht="15" hidden="false" customHeight="false" outlineLevel="0" collapsed="false">
      <c r="A17" s="0" t="s">
        <v>39</v>
      </c>
      <c r="B17" s="0" t="n">
        <f aca="false">B13-B14-B15-B16</f>
        <v>0</v>
      </c>
      <c r="C17" s="0" t="n">
        <f aca="false">C13-C14-C15-C16</f>
        <v>17183493.944704</v>
      </c>
      <c r="D17" s="0" t="n">
        <f aca="false">D13-D14-D15-D16</f>
        <v>12996012.9125161</v>
      </c>
      <c r="E17" s="0" t="n">
        <f aca="false">E13-E14-E15-E16</f>
        <v>11273670.61696</v>
      </c>
      <c r="F17" s="0" t="n">
        <f aca="false">F13-F14-F15-F16</f>
        <v>7890982.59891613</v>
      </c>
      <c r="G17" s="0" t="n">
        <f aca="false">G13-G14-G15-G16</f>
        <v>5772249.714304</v>
      </c>
      <c r="H17" s="0" t="n">
        <f aca="false">H13-H14-H15-H16</f>
        <v>4374614.47019355</v>
      </c>
      <c r="I17" s="0" t="n">
        <f aca="false">I13-I14-I15-I16</f>
        <v>5279764.436992</v>
      </c>
      <c r="J17" s="0" t="n">
        <f aca="false">J13-J14-J15-J16</f>
        <v>6078551.53312</v>
      </c>
      <c r="K17" s="0" t="n">
        <f aca="false">K13-K14-K15-K16</f>
        <v>7024967.96886709</v>
      </c>
      <c r="L17" s="0" t="n">
        <f aca="false">L13-L14-L15-L16</f>
        <v>9171599.31136</v>
      </c>
      <c r="M17" s="0" t="n">
        <f aca="false">M13-M14-M15-M16</f>
        <v>11721208.3787974</v>
      </c>
      <c r="N17" s="0" t="n">
        <f aca="false">N13-N14-N15-N16</f>
        <v>21261512.277568</v>
      </c>
      <c r="O17" s="0" t="n">
        <f aca="false">O13-O14-O15-O16</f>
        <v>20299821.8675344</v>
      </c>
      <c r="P17" s="0" t="n">
        <f aca="false">P13-P14-P15-P16</f>
        <v>15419702.2576387</v>
      </c>
      <c r="Q17" s="0" t="n">
        <f aca="false">Q13-Q14-Q15-Q16</f>
        <v>13412472.530056</v>
      </c>
      <c r="R17" s="0" t="n">
        <f aca="false">R13-R14-R15-R16</f>
        <v>9470264.3136787</v>
      </c>
      <c r="S17" s="0" t="n">
        <f aca="false">S13-S14-S15-S16</f>
        <v>7001078.2280944</v>
      </c>
      <c r="T17" s="0" t="n">
        <f aca="false">T13-T14-T15-T16</f>
        <v>5372264.36366451</v>
      </c>
      <c r="U17" s="0" t="n">
        <f aca="false">U13-U14-U15-U16</f>
        <v>6427132.4499712</v>
      </c>
      <c r="V17" s="0" t="n">
        <f aca="false">V13-V14-V15-V16</f>
        <v>7358044.504732</v>
      </c>
      <c r="W17" s="0" t="n">
        <f aca="false">W13-W14-W15-W16</f>
        <v>8461004.82185703</v>
      </c>
      <c r="X17" s="0" t="n">
        <f aca="false">X13-X14-X15-X16</f>
        <v>10962703.964896</v>
      </c>
      <c r="Y17" s="0" t="n">
        <f aca="false">Y13-Y14-Y15-Y16</f>
        <v>13934036.1600578</v>
      </c>
      <c r="Z17" s="0" t="n">
        <f aca="false">Z13-Z14-Z15-Z16</f>
        <v>25052372.8839448</v>
      </c>
      <c r="AA17" s="0" t="n">
        <f aca="false">AA13-AA14-AA15-AA16</f>
        <v>22682736.9160514</v>
      </c>
      <c r="AB17" s="0" t="n">
        <f aca="false">AB13-AB14-AB15-AB16</f>
        <v>17263235.6650619</v>
      </c>
      <c r="AC17" s="0" t="n">
        <f aca="false">AC13-AC14-AC15-AC16</f>
        <v>15034154.2307464</v>
      </c>
      <c r="AD17" s="0" t="n">
        <f aca="false">AD13-AD14-AD15-AD16</f>
        <v>10656228.2641379</v>
      </c>
      <c r="AE17" s="0" t="n">
        <f aca="false">AE13-AE14-AE15-AE16</f>
        <v>7914132.13751536</v>
      </c>
      <c r="AF17" s="0" t="n">
        <f aca="false">AF13-AF14-AF15-AF16</f>
        <v>6105291.47754323</v>
      </c>
      <c r="AG17" s="0" t="n">
        <f aca="false">AG13-AG14-AG15-AG16</f>
        <v>7276750.24707328</v>
      </c>
      <c r="AH17" s="0" t="n">
        <f aca="false">AH13-AH14-AH15-AH16</f>
        <v>8310552.5815708</v>
      </c>
      <c r="AI17" s="0" t="n">
        <f aca="false">AI13-AI14-AI15-AI16</f>
        <v>9535419.03900965</v>
      </c>
      <c r="AJ17" s="0" t="n">
        <f aca="false">AJ13-AJ14-AJ15-AJ16</f>
        <v>12313621.7715424</v>
      </c>
      <c r="AK17" s="0" t="n">
        <f aca="false">AK13-AK14-AK15-AK16</f>
        <v>15613364.3672221</v>
      </c>
      <c r="AL17" s="0" t="n">
        <f aca="false">AL13-AL14-AL15-AL16</f>
        <v>27760200.512134</v>
      </c>
      <c r="AM17" s="0" t="n">
        <f aca="false">AM13-AM14-AM15-AM16</f>
        <v>15811983.9725039</v>
      </c>
      <c r="AN17" s="0" t="n">
        <f aca="false">AN13-AN14-AN15-AN16</f>
        <v>11809682.2986482</v>
      </c>
      <c r="AO17" s="0" t="n">
        <f aca="false">AO13-AO14-AO15-AO16</f>
        <v>10163505.6594062</v>
      </c>
      <c r="AP17" s="0" t="n">
        <f aca="false">AP13-AP14-AP15-AP16</f>
        <v>6930407.33306586</v>
      </c>
      <c r="AQ17" s="0" t="n">
        <f aca="false">AQ13-AQ14-AQ15-AQ16</f>
        <v>4905369.34355509</v>
      </c>
      <c r="AR17" s="0" t="n">
        <f aca="false">AR13-AR14-AR15-AR16</f>
        <v>3569540.51616567</v>
      </c>
      <c r="AS17" s="0" t="n">
        <f aca="false">AS13-AS14-AS15-AS16</f>
        <v>7662364.71066231</v>
      </c>
      <c r="AT17" s="0" t="n">
        <f aca="false">AT13-AT14-AT15-AT16</f>
        <v>8753026.17355719</v>
      </c>
      <c r="AU17" s="0" t="n">
        <f aca="false">AU13-AU14-AU15-AU16</f>
        <v>10045260.2861552</v>
      </c>
      <c r="AV17" s="0" t="n">
        <f aca="false">AV13-AV14-AV15-AV16</f>
        <v>12976264.1689772</v>
      </c>
      <c r="AW17" s="0" t="n">
        <f aca="false">AW13-AW14-AW15-AW16</f>
        <v>16457492.6074193</v>
      </c>
      <c r="AX17" s="0" t="n">
        <f aca="false">AX13-AX14-AX15-AX16</f>
        <v>29272404.7403014</v>
      </c>
      <c r="AY17" s="0" t="n">
        <f aca="false">AY13-AY14-AY15-AY16</f>
        <v>25215559.8739881</v>
      </c>
      <c r="AZ17" s="0" t="n">
        <f aca="false">AZ13-AZ14-AZ15-AZ16</f>
        <v>19183519.4941056</v>
      </c>
      <c r="BA17" s="0" t="n">
        <f aca="false">BA13-BA14-BA15-BA16</f>
        <v>16702496.1306765</v>
      </c>
      <c r="BB17" s="0" t="n">
        <f aca="false">BB13-BB14-BB15-BB16</f>
        <v>11829755.0816921</v>
      </c>
      <c r="BC17" s="0" t="n">
        <f aca="false">BC13-BC14-BC15-BC16</f>
        <v>8777733.54035803</v>
      </c>
      <c r="BD17" s="0" t="n">
        <f aca="false">BD13-BD14-BD15-BD16</f>
        <v>6764448.66479255</v>
      </c>
      <c r="BE17" s="0" t="n">
        <f aca="false">BE13-BE14-BE15-BE16</f>
        <v>8068311.56174873</v>
      </c>
      <c r="BF17" s="0" t="n">
        <f aca="false">BF13-BF14-BF15-BF16</f>
        <v>9218959.40510283</v>
      </c>
      <c r="BG17" s="0" t="n">
        <f aca="false">BG13-BG14-BG15-BG16</f>
        <v>10582266.3938937</v>
      </c>
      <c r="BH17" s="0" t="n">
        <f aca="false">BH13-BH14-BH15-BH16</f>
        <v>13674475.490271</v>
      </c>
      <c r="BI17" s="0" t="n">
        <f aca="false">BI13-BI14-BI15-BI16</f>
        <v>17347171.4928274</v>
      </c>
      <c r="BJ17" s="0" t="n">
        <f aca="false">BJ13-BJ14-BJ15-BJ16</f>
        <v>30866903.7930179</v>
      </c>
      <c r="BK17" s="0" t="n">
        <f aca="false">BK13-BK14-BK15-BK16</f>
        <v>26586003.4665774</v>
      </c>
      <c r="BL17" s="0" t="n">
        <f aca="false">BL13-BL14-BL15-BL16</f>
        <v>20222200.8658014</v>
      </c>
      <c r="BM17" s="0" t="n">
        <f aca="false">BM13-BM14-BM15-BM16</f>
        <v>17604721.2173837</v>
      </c>
      <c r="BN17" s="0" t="n">
        <f aca="false">BN13-BN14-BN15-BN16</f>
        <v>12463979.4107052</v>
      </c>
      <c r="BO17" s="0" t="n">
        <f aca="false">BO13-BO14-BO15-BO16</f>
        <v>9244096.68459772</v>
      </c>
      <c r="BP17" s="0" t="n">
        <f aca="false">BP13-BP14-BP15-BP16</f>
        <v>7120081.14087614</v>
      </c>
      <c r="BQ17" s="0" t="n">
        <f aca="false">BQ13-BQ14-BQ15-BQ16</f>
        <v>8495656.49716491</v>
      </c>
      <c r="BR17" s="0" t="n">
        <f aca="false">BR13-BR14-BR15-BR16</f>
        <v>9709589.97190349</v>
      </c>
      <c r="BS17" s="0" t="n">
        <f aca="false">BS13-BS14-BS15-BS16</f>
        <v>11147878.8450779</v>
      </c>
      <c r="BT17" s="0" t="n">
        <f aca="false">BT13-BT14-BT15-BT16</f>
        <v>14410159.4417559</v>
      </c>
      <c r="BU17" s="0" t="n">
        <f aca="false">BU13-BU14-BU15-BU16</f>
        <v>18284853.7244529</v>
      </c>
      <c r="BV17" s="0" t="n">
        <f aca="false">BV13-BV14-BV15-BV16</f>
        <v>32548171.3011539</v>
      </c>
      <c r="BW17" s="0" t="n">
        <f aca="false">BW13-BW14-BW15-BW16</f>
        <v>28030836.7247303</v>
      </c>
      <c r="BX17" s="0" t="n">
        <f aca="false">BX13-BX14-BX15-BX16</f>
        <v>21317024.9809116</v>
      </c>
      <c r="BY17" s="0" t="n">
        <f aca="false">BY13-BY14-BY15-BY16</f>
        <v>18555583.951831</v>
      </c>
      <c r="BZ17" s="0" t="n">
        <f aca="false">BZ13-BZ14-BZ15-BZ16</f>
        <v>13132101.3457852</v>
      </c>
      <c r="CA17" s="0" t="n">
        <f aca="false">CA13-CA14-CA15-CA16</f>
        <v>9735125.06974179</v>
      </c>
      <c r="CB17" s="0" t="n">
        <f aca="false">CB13-CB14-CB15-CB16</f>
        <v>7494288.67111552</v>
      </c>
      <c r="CC17" s="0" t="n">
        <f aca="false">CC13-CC14-CC15-CC16</f>
        <v>8945520.67200018</v>
      </c>
      <c r="CD17" s="0" t="n">
        <f aca="false">CD13-CD14-CD15-CD16</f>
        <v>10226220.4878494</v>
      </c>
      <c r="CE17" s="0" t="n">
        <f aca="false">CE13-CE14-CE15-CE16</f>
        <v>11743615.2490483</v>
      </c>
      <c r="CF17" s="0" t="n">
        <f aca="false">CF13-CF14-CF15-CF16</f>
        <v>15185321.2785436</v>
      </c>
      <c r="CG17" s="0" t="n">
        <f aca="false">CG13-CG14-CG15-CG16</f>
        <v>19273123.746789</v>
      </c>
      <c r="CH17" s="0" t="n">
        <f aca="false">CH13-CH14-CH15-CH16</f>
        <v>34320923.7902086</v>
      </c>
      <c r="CI17" s="0" t="n">
        <f aca="false">CI13-CI14-CI15-CI16</f>
        <v>29554091.9961312</v>
      </c>
      <c r="CJ17" s="0" t="n">
        <f aca="false">CJ13-CJ14-CJ15-CJ16</f>
        <v>22471020.6064024</v>
      </c>
      <c r="CK17" s="0" t="n">
        <f aca="false">CK13-CK14-CK15-CK16</f>
        <v>19557700.3207224</v>
      </c>
      <c r="CL17" s="0" t="n">
        <f aca="false">CL13-CL14-CL15-CL16</f>
        <v>13835926.171344</v>
      </c>
      <c r="CM17" s="0" t="n">
        <f aca="false">CM13-CM14-CM15-CM16</f>
        <v>10252116.2001183</v>
      </c>
      <c r="CN17" s="0" t="n">
        <f aca="false">CN13-CN14-CN15-CN16</f>
        <v>7888033.79956755</v>
      </c>
      <c r="CO17" s="0" t="n">
        <f aca="false">CO13-CO14-CO15-CO16</f>
        <v>9419083.56050086</v>
      </c>
      <c r="CP17" s="0" t="n">
        <f aca="false">CP13-CP14-CP15-CP16</f>
        <v>10770221.8662218</v>
      </c>
      <c r="CQ17" s="0" t="n">
        <f aca="false">CQ13-CQ14-CQ15-CQ16</f>
        <v>12371073.3392867</v>
      </c>
      <c r="CR17" s="0" t="n">
        <f aca="false">CR13-CR14-CR15-CR16</f>
        <v>16002073.2004042</v>
      </c>
      <c r="CS17" s="0" t="n">
        <f aca="false">CS13-CS14-CS15-CS16</f>
        <v>20314704.804403</v>
      </c>
      <c r="CT17" s="0" t="n">
        <f aca="false">CT13-CT14-CT15-CT16</f>
        <v>36190133.8502107</v>
      </c>
      <c r="CU17" s="0" t="n">
        <f aca="false">CU13-CU14-CU15-CU16</f>
        <v>31160019.8625515</v>
      </c>
      <c r="CV17" s="0" t="n">
        <f aca="false">CV13-CV14-CV15-CV16</f>
        <v>23687379.5463877</v>
      </c>
      <c r="CW17" s="0" t="n">
        <f aca="false">CW13-CW14-CW15-CW16</f>
        <v>20613826.6449952</v>
      </c>
      <c r="CX17" s="0" t="n">
        <f aca="false">CX13-CX14-CX15-CX16</f>
        <v>14577354.9174011</v>
      </c>
      <c r="CY17" s="0" t="n">
        <f aca="false">CY13-CY14-CY15-CY16</f>
        <v>10796435.3977579</v>
      </c>
      <c r="CZ17" s="0" t="n">
        <f aca="false">CZ13-CZ14-CZ15-CZ16</f>
        <v>8302328.46517687</v>
      </c>
      <c r="DA17" s="0" t="n">
        <f aca="false">DA13-DA14-DA15-DA16</f>
        <v>9917585.96296152</v>
      </c>
      <c r="DB17" s="0" t="n">
        <f aca="false">DB13-DB14-DB15-DB16</f>
        <v>11343036.8754971</v>
      </c>
      <c r="DC17" s="0" t="n">
        <f aca="false">DC13-DC14-DC15-DC16</f>
        <v>13031935.1795806</v>
      </c>
      <c r="DD17" s="0" t="n">
        <f aca="false">DD13-DD14-DD15-DD16</f>
        <v>16862640.0330596</v>
      </c>
      <c r="DE17" s="0" t="n">
        <f aca="false">DE13-DE14-DE15-DE16</f>
        <v>21412466.3752783</v>
      </c>
      <c r="DF17" s="0" t="n">
        <f aca="false">DF13-DF14-DF15-DF16</f>
        <v>38161044.0186054</v>
      </c>
      <c r="DG17" s="0" t="n">
        <f aca="false">DG13-DG14-DG15-DG16</f>
        <v>32853100.9300229</v>
      </c>
      <c r="DH17" s="0" t="n">
        <f aca="false">DH13-DH14-DH15-DH16</f>
        <v>24969465.3964701</v>
      </c>
      <c r="DI17" s="0" t="n">
        <f aca="false">DI13-DI14-DI15-DI16</f>
        <v>21726867.0855011</v>
      </c>
      <c r="DJ17" s="0" t="n">
        <f aca="false">DJ13-DJ14-DJ15-DJ16</f>
        <v>15358389.4128892</v>
      </c>
      <c r="DK17" s="0" t="n">
        <f aca="false">DK13-DK14-DK15-DK16</f>
        <v>11369519.3196657</v>
      </c>
      <c r="DL17" s="0" t="n">
        <f aca="false">DL13-DL14-DL15-DL16</f>
        <v>8738236.5057927</v>
      </c>
      <c r="DM17" s="0" t="n">
        <f aca="false">DM13-DM14-DM15-DM16</f>
        <v>10442333.1659555</v>
      </c>
      <c r="DN17" s="0" t="n">
        <f aca="false">DN13-DN14-DN15-DN16</f>
        <v>11946183.8786805</v>
      </c>
      <c r="DO17" s="0" t="n">
        <f aca="false">DO13-DO14-DO15-DO16</f>
        <v>13727971.5894886</v>
      </c>
      <c r="DP17" s="0" t="n">
        <f aca="false">DP13-DP14-DP15-DP16</f>
        <v>17769365.2099089</v>
      </c>
      <c r="DQ17" s="0" t="n">
        <f aca="false">DQ13-DQ14-DQ15-DQ16</f>
        <v>22569432.0009497</v>
      </c>
      <c r="DR17" s="0" t="n">
        <f aca="false">DR13-DR14-DR15-DR16</f>
        <v>40239181.4146598</v>
      </c>
    </row>
    <row r="18" customFormat="false" ht="15" hidden="false" customHeight="false" outlineLevel="0" collapsed="false">
      <c r="A18" s="0" t="s">
        <v>40</v>
      </c>
      <c r="B18" s="0" t="n">
        <f aca="false">B13*Inputs!$B$13</f>
        <v>0</v>
      </c>
      <c r="C18" s="0" t="n">
        <f aca="false">C13*Inputs!$B$13</f>
        <v>1195027.88832</v>
      </c>
      <c r="D18" s="0" t="n">
        <f aca="false">D13*Inputs!$B$13</f>
        <v>942081.84</v>
      </c>
      <c r="E18" s="0" t="n">
        <f aca="false">E13*Inputs!$B$13</f>
        <v>838043.2368</v>
      </c>
      <c r="F18" s="0" t="n">
        <f aca="false">F13*Inputs!$B$13</f>
        <v>633710.952</v>
      </c>
      <c r="G18" s="0" t="n">
        <f aca="false">G13*Inputs!$B$13</f>
        <v>505728.25632</v>
      </c>
      <c r="H18" s="0" t="n">
        <f aca="false">H13*Inputs!$B$13</f>
        <v>421303.68</v>
      </c>
      <c r="I18" s="0" t="n">
        <f aca="false">I13*Inputs!$B$13</f>
        <v>475979.53536</v>
      </c>
      <c r="J18" s="0" t="n">
        <f aca="false">J13*Inputs!$B$13</f>
        <v>524230.5096</v>
      </c>
      <c r="K18" s="0" t="n">
        <f aca="false">K13*Inputs!$B$13</f>
        <v>581399.0784</v>
      </c>
      <c r="L18" s="0" t="n">
        <f aca="false">L13*Inputs!$B$13</f>
        <v>711066.9888</v>
      </c>
      <c r="M18" s="0" t="n">
        <f aca="false">M13*Inputs!$B$13</f>
        <v>865076.8896</v>
      </c>
      <c r="N18" s="0" t="n">
        <f aca="false">N13*Inputs!$B$13</f>
        <v>1441361.80944</v>
      </c>
      <c r="O18" s="0" t="n">
        <f aca="false">O13*Inputs!$B$13</f>
        <v>1392693.838452</v>
      </c>
      <c r="P18" s="0" t="n">
        <f aca="false">P13*Inputs!$B$13</f>
        <v>1097908.749</v>
      </c>
      <c r="Q18" s="0" t="n">
        <f aca="false">Q13*Inputs!$B$13</f>
        <v>976661.43498</v>
      </c>
      <c r="R18" s="0" t="n">
        <f aca="false">R13*Inputs!$B$13</f>
        <v>738531.1647</v>
      </c>
      <c r="S18" s="0" t="n">
        <f aca="false">S13*Inputs!$B$13</f>
        <v>589379.238252</v>
      </c>
      <c r="T18" s="0" t="n">
        <f aca="false">T13*Inputs!$B$13</f>
        <v>490990.248</v>
      </c>
      <c r="U18" s="0" t="n">
        <f aca="false">U13*Inputs!$B$13</f>
        <v>554709.871296</v>
      </c>
      <c r="V18" s="0" t="n">
        <f aca="false">V13*Inputs!$B$13</f>
        <v>610941.89331</v>
      </c>
      <c r="W18" s="0" t="n">
        <f aca="false">W13*Inputs!$B$13</f>
        <v>677566.54224</v>
      </c>
      <c r="X18" s="0" t="n">
        <f aca="false">X13*Inputs!$B$13</f>
        <v>828682.42968</v>
      </c>
      <c r="Y18" s="0" t="n">
        <f aca="false">Y13*Inputs!$B$13</f>
        <v>1008166.64256</v>
      </c>
      <c r="Z18" s="0" t="n">
        <f aca="false">Z13*Inputs!$B$13</f>
        <v>1679773.108734</v>
      </c>
      <c r="AA18" s="0" t="n">
        <f aca="false">AA13*Inputs!$B$13</f>
        <v>1546623.1574388</v>
      </c>
      <c r="AB18" s="0" t="n">
        <f aca="false">AB13*Inputs!$B$13</f>
        <v>1219256.5581</v>
      </c>
      <c r="AC18" s="0" t="n">
        <f aca="false">AC13*Inputs!$B$13</f>
        <v>1084608.225162</v>
      </c>
      <c r="AD18" s="0" t="n">
        <f aca="false">AD13*Inputs!$B$13</f>
        <v>820158.29343</v>
      </c>
      <c r="AE18" s="0" t="n">
        <f aca="false">AE13*Inputs!$B$13</f>
        <v>654521.1540588</v>
      </c>
      <c r="AF18" s="0" t="n">
        <f aca="false">AF13*Inputs!$B$13</f>
        <v>545257.5912</v>
      </c>
      <c r="AG18" s="0" t="n">
        <f aca="false">AG13*Inputs!$B$13</f>
        <v>616019.9097024</v>
      </c>
      <c r="AH18" s="0" t="n">
        <f aca="false">AH13*Inputs!$B$13</f>
        <v>678467.049939</v>
      </c>
      <c r="AI18" s="0" t="n">
        <f aca="false">AI13*Inputs!$B$13</f>
        <v>752455.475856</v>
      </c>
      <c r="AJ18" s="0" t="n">
        <f aca="false">AJ13*Inputs!$B$13</f>
        <v>920273.645592</v>
      </c>
      <c r="AK18" s="0" t="n">
        <f aca="false">AK13*Inputs!$B$13</f>
        <v>1119595.587264</v>
      </c>
      <c r="AL18" s="0" t="n">
        <f aca="false">AL13*Inputs!$B$13</f>
        <v>1853328.869595</v>
      </c>
      <c r="AM18" s="0" t="n">
        <f aca="false">AM13*Inputs!$B$13</f>
        <v>1142181.20176855</v>
      </c>
      <c r="AN18" s="0" t="n">
        <f aca="false">AN13*Inputs!$B$13</f>
        <v>900420.96815685</v>
      </c>
      <c r="AO18" s="0" t="n">
        <f aca="false">AO13*Inputs!$B$13</f>
        <v>800983.174282137</v>
      </c>
      <c r="AP18" s="0" t="n">
        <f aca="false">AP13*Inputs!$B$13</f>
        <v>605686.899698055</v>
      </c>
      <c r="AQ18" s="0" t="n">
        <f aca="false">AQ13*Inputs!$B$13</f>
        <v>483363.872272424</v>
      </c>
      <c r="AR18" s="0" t="n">
        <f aca="false">AR13*Inputs!$B$13</f>
        <v>402672.7311012</v>
      </c>
      <c r="AS18" s="0" t="n">
        <f aca="false">AS13*Inputs!$B$13</f>
        <v>649901.004736032</v>
      </c>
      <c r="AT18" s="0" t="n">
        <f aca="false">AT13*Inputs!$B$13</f>
        <v>715782.737685645</v>
      </c>
      <c r="AU18" s="0" t="n">
        <f aca="false">AU13*Inputs!$B$13</f>
        <v>793840.52702808</v>
      </c>
      <c r="AV18" s="0" t="n">
        <f aca="false">AV13*Inputs!$B$13</f>
        <v>970888.69609956</v>
      </c>
      <c r="AW18" s="0" t="n">
        <f aca="false">AW13*Inputs!$B$13</f>
        <v>1181173.34456352</v>
      </c>
      <c r="AX18" s="0" t="n">
        <f aca="false">AX13*Inputs!$B$13</f>
        <v>1955261.95742272</v>
      </c>
      <c r="AY18" s="0" t="n">
        <f aca="false">AY13*Inputs!$B$13</f>
        <v>1721430.23980832</v>
      </c>
      <c r="AZ18" s="0" t="n">
        <f aca="false">AZ13*Inputs!$B$13</f>
        <v>1357063.03057925</v>
      </c>
      <c r="BA18" s="0" t="n">
        <f aca="false">BA13*Inputs!$B$13</f>
        <v>1207196.06981093</v>
      </c>
      <c r="BB18" s="0" t="n">
        <f aca="false">BB13*Inputs!$B$13</f>
        <v>912856.684544926</v>
      </c>
      <c r="BC18" s="0" t="n">
        <f aca="false">BC13*Inputs!$B$13</f>
        <v>728498.407496295</v>
      </c>
      <c r="BD18" s="0" t="n">
        <f aca="false">BD13*Inputs!$B$13</f>
        <v>606885.33044538</v>
      </c>
      <c r="BE18" s="0" t="n">
        <f aca="false">BE13*Inputs!$B$13</f>
        <v>685645.559996514</v>
      </c>
      <c r="BF18" s="0" t="n">
        <f aca="false">BF13*Inputs!$B$13</f>
        <v>755150.788258355</v>
      </c>
      <c r="BG18" s="0" t="n">
        <f aca="false">BG13*Inputs!$B$13</f>
        <v>837501.756014624</v>
      </c>
      <c r="BH18" s="0" t="n">
        <f aca="false">BH13*Inputs!$B$13</f>
        <v>1024287.57438504</v>
      </c>
      <c r="BI18" s="0" t="n">
        <f aca="false">BI13*Inputs!$B$13</f>
        <v>1246137.87851451</v>
      </c>
      <c r="BJ18" s="0" t="n">
        <f aca="false">BJ13*Inputs!$B$13</f>
        <v>2062801.36508097</v>
      </c>
      <c r="BK18" s="0" t="n">
        <f aca="false">BK13*Inputs!$B$13</f>
        <v>1816108.90299778</v>
      </c>
      <c r="BL18" s="0" t="n">
        <f aca="false">BL13*Inputs!$B$13</f>
        <v>1431701.49726111</v>
      </c>
      <c r="BM18" s="0" t="n">
        <f aca="false">BM13*Inputs!$B$13</f>
        <v>1273591.85365054</v>
      </c>
      <c r="BN18" s="0" t="n">
        <f aca="false">BN13*Inputs!$B$13</f>
        <v>963063.802194896</v>
      </c>
      <c r="BO18" s="0" t="n">
        <f aca="false">BO13*Inputs!$B$13</f>
        <v>768565.819908592</v>
      </c>
      <c r="BP18" s="0" t="n">
        <f aca="false">BP13*Inputs!$B$13</f>
        <v>640264.023619876</v>
      </c>
      <c r="BQ18" s="0" t="n">
        <f aca="false">BQ13*Inputs!$B$13</f>
        <v>723356.065796322</v>
      </c>
      <c r="BR18" s="0" t="n">
        <f aca="false">BR13*Inputs!$B$13</f>
        <v>796684.081612565</v>
      </c>
      <c r="BS18" s="0" t="n">
        <f aca="false">BS13*Inputs!$B$13</f>
        <v>883564.352595429</v>
      </c>
      <c r="BT18" s="0" t="n">
        <f aca="false">BT13*Inputs!$B$13</f>
        <v>1080623.39097621</v>
      </c>
      <c r="BU18" s="0" t="n">
        <f aca="false">BU13*Inputs!$B$13</f>
        <v>1314675.46183281</v>
      </c>
      <c r="BV18" s="0" t="n">
        <f aca="false">BV13*Inputs!$B$13</f>
        <v>2176255.44016043</v>
      </c>
      <c r="BW18" s="0" t="n">
        <f aca="false">BW13*Inputs!$B$13</f>
        <v>1915994.89266265</v>
      </c>
      <c r="BX18" s="0" t="n">
        <f aca="false">BX13*Inputs!$B$13</f>
        <v>1510445.07961047</v>
      </c>
      <c r="BY18" s="0" t="n">
        <f aca="false">BY13*Inputs!$B$13</f>
        <v>1343639.40560132</v>
      </c>
      <c r="BZ18" s="0" t="n">
        <f aca="false">BZ13*Inputs!$B$13</f>
        <v>1016032.31131562</v>
      </c>
      <c r="CA18" s="0" t="n">
        <f aca="false">CA13*Inputs!$B$13</f>
        <v>810836.940003564</v>
      </c>
      <c r="CB18" s="0" t="n">
        <f aca="false">CB13*Inputs!$B$13</f>
        <v>675478.544918969</v>
      </c>
      <c r="CC18" s="0" t="n">
        <f aca="false">CC13*Inputs!$B$13</f>
        <v>763140.649415119</v>
      </c>
      <c r="CD18" s="0" t="n">
        <f aca="false">CD13*Inputs!$B$13</f>
        <v>840501.706101256</v>
      </c>
      <c r="CE18" s="0" t="n">
        <f aca="false">CE13*Inputs!$B$13</f>
        <v>932160.391988177</v>
      </c>
      <c r="CF18" s="0" t="n">
        <f aca="false">CF13*Inputs!$B$13</f>
        <v>1140057.6774799</v>
      </c>
      <c r="CG18" s="0" t="n">
        <f aca="false">CG13*Inputs!$B$13</f>
        <v>1386982.61223362</v>
      </c>
      <c r="CH18" s="0" t="n">
        <f aca="false">CH13*Inputs!$B$13</f>
        <v>2295949.48936925</v>
      </c>
      <c r="CI18" s="0" t="n">
        <f aca="false">CI13*Inputs!$B$13</f>
        <v>2021374.6117591</v>
      </c>
      <c r="CJ18" s="0" t="n">
        <f aca="false">CJ13*Inputs!$B$13</f>
        <v>1593519.55898905</v>
      </c>
      <c r="CK18" s="0" t="n">
        <f aca="false">CK13*Inputs!$B$13</f>
        <v>1417539.57290939</v>
      </c>
      <c r="CL18" s="0" t="n">
        <f aca="false">CL13*Inputs!$B$13</f>
        <v>1071914.08843797</v>
      </c>
      <c r="CM18" s="0" t="n">
        <f aca="false">CM13*Inputs!$B$13</f>
        <v>855432.97170376</v>
      </c>
      <c r="CN18" s="0" t="n">
        <f aca="false">CN13*Inputs!$B$13</f>
        <v>712629.864889512</v>
      </c>
      <c r="CO18" s="0" t="n">
        <f aca="false">CO13*Inputs!$B$13</f>
        <v>805113.385132951</v>
      </c>
      <c r="CP18" s="0" t="n">
        <f aca="false">CP13*Inputs!$B$13</f>
        <v>886729.299936825</v>
      </c>
      <c r="CQ18" s="0" t="n">
        <f aca="false">CQ13*Inputs!$B$13</f>
        <v>983429.213547527</v>
      </c>
      <c r="CR18" s="0" t="n">
        <f aca="false">CR13*Inputs!$B$13</f>
        <v>1202760.8497413</v>
      </c>
      <c r="CS18" s="0" t="n">
        <f aca="false">CS13*Inputs!$B$13</f>
        <v>1463266.65590647</v>
      </c>
      <c r="CT18" s="0" t="n">
        <f aca="false">CT13*Inputs!$B$13</f>
        <v>2422226.71128456</v>
      </c>
      <c r="CU18" s="0" t="n">
        <f aca="false">CU13*Inputs!$B$13</f>
        <v>2132550.21540585</v>
      </c>
      <c r="CV18" s="0" t="n">
        <f aca="false">CV13*Inputs!$B$13</f>
        <v>1681163.13473345</v>
      </c>
      <c r="CW18" s="0" t="n">
        <f aca="false">CW13*Inputs!$B$13</f>
        <v>1495504.2494194</v>
      </c>
      <c r="CX18" s="0" t="n">
        <f aca="false">CX13*Inputs!$B$13</f>
        <v>1130869.36330206</v>
      </c>
      <c r="CY18" s="0" t="n">
        <f aca="false">CY13*Inputs!$B$13</f>
        <v>902481.785147467</v>
      </c>
      <c r="CZ18" s="0" t="n">
        <f aca="false">CZ13*Inputs!$B$13</f>
        <v>751824.507458435</v>
      </c>
      <c r="DA18" s="0" t="n">
        <f aca="false">DA13*Inputs!$B$13</f>
        <v>849394.621315263</v>
      </c>
      <c r="DB18" s="0" t="n">
        <f aca="false">DB13*Inputs!$B$13</f>
        <v>935499.41143335</v>
      </c>
      <c r="DC18" s="0" t="n">
        <f aca="false">DC13*Inputs!$B$13</f>
        <v>1037517.82029264</v>
      </c>
      <c r="DD18" s="0" t="n">
        <f aca="false">DD13*Inputs!$B$13</f>
        <v>1268912.69647707</v>
      </c>
      <c r="DE18" s="0" t="n">
        <f aca="false">DE13*Inputs!$B$13</f>
        <v>1543746.32198132</v>
      </c>
      <c r="DF18" s="0" t="n">
        <f aca="false">DF13*Inputs!$B$13</f>
        <v>2555449.18040521</v>
      </c>
      <c r="DG18" s="0" t="n">
        <f aca="false">DG13*Inputs!$B$13</f>
        <v>2249840.47725317</v>
      </c>
      <c r="DH18" s="0" t="n">
        <f aca="false">DH13*Inputs!$B$13</f>
        <v>1773627.10714378</v>
      </c>
      <c r="DI18" s="0" t="n">
        <f aca="false">DI13*Inputs!$B$13</f>
        <v>1577756.98313747</v>
      </c>
      <c r="DJ18" s="0" t="n">
        <f aca="false">DJ13*Inputs!$B$13</f>
        <v>1193067.17828368</v>
      </c>
      <c r="DK18" s="0" t="n">
        <f aca="false">DK13*Inputs!$B$13</f>
        <v>952118.283330578</v>
      </c>
      <c r="DL18" s="0" t="n">
        <f aca="false">DL13*Inputs!$B$13</f>
        <v>793174.855368649</v>
      </c>
      <c r="DM18" s="0" t="n">
        <f aca="false">DM13*Inputs!$B$13</f>
        <v>896111.325487603</v>
      </c>
      <c r="DN18" s="0" t="n">
        <f aca="false">DN13*Inputs!$B$13</f>
        <v>986951.879062184</v>
      </c>
      <c r="DO18" s="0" t="n">
        <f aca="false">DO13*Inputs!$B$13</f>
        <v>1094581.30040874</v>
      </c>
      <c r="DP18" s="0" t="n">
        <f aca="false">DP13*Inputs!$B$13</f>
        <v>1338702.89478331</v>
      </c>
      <c r="DQ18" s="0" t="n">
        <f aca="false">DQ13*Inputs!$B$13</f>
        <v>1628652.36969029</v>
      </c>
      <c r="DR18" s="0" t="n">
        <f aca="false">DR13*Inputs!$B$13</f>
        <v>2695998.8853275</v>
      </c>
    </row>
    <row r="19" customFormat="false" ht="15" hidden="false" customHeight="false" outlineLevel="0" collapsed="false">
      <c r="A19" s="0" t="s">
        <v>41</v>
      </c>
      <c r="B19" s="0" t="n">
        <f aca="false">B13*IF(B4&lt;=1,0.02,IF(B4=2,0.03,0.04))</f>
        <v>0</v>
      </c>
      <c r="C19" s="0" t="n">
        <f aca="false">C13*IF(C4&lt;=1,0.02,IF(C4=2,0.03,0.04))</f>
        <v>956022.310656</v>
      </c>
      <c r="D19" s="0" t="n">
        <f aca="false">D13*IF(D4&lt;=1,0.02,IF(D4=2,0.03,0.04))</f>
        <v>753665.472</v>
      </c>
      <c r="E19" s="0" t="n">
        <f aca="false">E13*IF(E4&lt;=1,0.02,IF(E4=2,0.03,0.04))</f>
        <v>670434.58944</v>
      </c>
      <c r="F19" s="0" t="n">
        <f aca="false">F13*IF(F4&lt;=1,0.02,IF(F4=2,0.03,0.04))</f>
        <v>506968.7616</v>
      </c>
      <c r="G19" s="0" t="n">
        <f aca="false">G13*IF(G4&lt;=1,0.02,IF(G4=2,0.03,0.04))</f>
        <v>404582.605056</v>
      </c>
      <c r="H19" s="0" t="n">
        <f aca="false">H13*IF(H4&lt;=1,0.02,IF(H4=2,0.03,0.04))</f>
        <v>337042.944</v>
      </c>
      <c r="I19" s="0" t="n">
        <f aca="false">I13*IF(I4&lt;=1,0.02,IF(I4=2,0.03,0.04))</f>
        <v>380783.628288</v>
      </c>
      <c r="J19" s="0" t="n">
        <f aca="false">J13*IF(J4&lt;=1,0.02,IF(J4=2,0.03,0.04))</f>
        <v>419384.40768</v>
      </c>
      <c r="K19" s="0" t="n">
        <f aca="false">K13*IF(K4&lt;=1,0.02,IF(K4=2,0.03,0.04))</f>
        <v>465119.26272</v>
      </c>
      <c r="L19" s="0" t="n">
        <f aca="false">L13*IF(L4&lt;=1,0.02,IF(L4=2,0.03,0.04))</f>
        <v>568853.59104</v>
      </c>
      <c r="M19" s="0" t="n">
        <f aca="false">M13*IF(M4&lt;=1,0.02,IF(M4=2,0.03,0.04))</f>
        <v>692061.51168</v>
      </c>
      <c r="N19" s="0" t="n">
        <f aca="false">N13*IF(N4&lt;=1,0.02,IF(N4=2,0.03,0.04))</f>
        <v>1153089.447552</v>
      </c>
      <c r="O19" s="0" t="n">
        <f aca="false">O13*IF(O4&lt;=1,0.02,IF(O4=2,0.03,0.04))</f>
        <v>1671232.6061424</v>
      </c>
      <c r="P19" s="0" t="n">
        <f aca="false">P13*IF(P4&lt;=1,0.02,IF(P4=2,0.03,0.04))</f>
        <v>1317490.4988</v>
      </c>
      <c r="Q19" s="0" t="n">
        <f aca="false">Q13*IF(Q4&lt;=1,0.02,IF(Q4=2,0.03,0.04))</f>
        <v>1171993.721976</v>
      </c>
      <c r="R19" s="0" t="n">
        <f aca="false">R13*IF(R4&lt;=1,0.02,IF(R4=2,0.03,0.04))</f>
        <v>886237.39764</v>
      </c>
      <c r="S19" s="0" t="n">
        <f aca="false">S13*IF(S4&lt;=1,0.02,IF(S4=2,0.03,0.04))</f>
        <v>707255.0859024</v>
      </c>
      <c r="T19" s="0" t="n">
        <f aca="false">T13*IF(T4&lt;=1,0.02,IF(T4=2,0.03,0.04))</f>
        <v>589188.2976</v>
      </c>
      <c r="U19" s="0" t="n">
        <f aca="false">U13*IF(U4&lt;=1,0.02,IF(U4=2,0.03,0.04))</f>
        <v>665651.8455552</v>
      </c>
      <c r="V19" s="0" t="n">
        <f aca="false">V13*IF(V4&lt;=1,0.02,IF(V4=2,0.03,0.04))</f>
        <v>733130.271972</v>
      </c>
      <c r="W19" s="0" t="n">
        <f aca="false">W13*IF(W4&lt;=1,0.02,IF(W4=2,0.03,0.04))</f>
        <v>813079.850688</v>
      </c>
      <c r="X19" s="0" t="n">
        <f aca="false">X13*IF(X4&lt;=1,0.02,IF(X4=2,0.03,0.04))</f>
        <v>994418.915616</v>
      </c>
      <c r="Y19" s="0" t="n">
        <f aca="false">Y13*IF(Y4&lt;=1,0.02,IF(Y4=2,0.03,0.04))</f>
        <v>1209799.971072</v>
      </c>
      <c r="Z19" s="0" t="n">
        <f aca="false">Z13*IF(Z4&lt;=1,0.02,IF(Z4=2,0.03,0.04))</f>
        <v>2015727.7304808</v>
      </c>
      <c r="AA19" s="0" t="n">
        <f aca="false">AA13*IF(AA4&lt;=1,0.02,IF(AA4=2,0.03,0.04))</f>
        <v>2474597.05190208</v>
      </c>
      <c r="AB19" s="0" t="n">
        <f aca="false">AB13*IF(AB4&lt;=1,0.02,IF(AB4=2,0.03,0.04))</f>
        <v>1950810.49296</v>
      </c>
      <c r="AC19" s="0" t="n">
        <f aca="false">AC13*IF(AC4&lt;=1,0.02,IF(AC4=2,0.03,0.04))</f>
        <v>1735373.1602592</v>
      </c>
      <c r="AD19" s="0" t="n">
        <f aca="false">AD13*IF(AD4&lt;=1,0.02,IF(AD4=2,0.03,0.04))</f>
        <v>1312253.269488</v>
      </c>
      <c r="AE19" s="0" t="n">
        <f aca="false">AE13*IF(AE4&lt;=1,0.02,IF(AE4=2,0.03,0.04))</f>
        <v>1047233.84649408</v>
      </c>
      <c r="AF19" s="0" t="n">
        <f aca="false">AF13*IF(AF4&lt;=1,0.02,IF(AF4=2,0.03,0.04))</f>
        <v>872412.14592</v>
      </c>
      <c r="AG19" s="0" t="n">
        <f aca="false">AG13*IF(AG4&lt;=1,0.02,IF(AG4=2,0.03,0.04))</f>
        <v>985631.85552384</v>
      </c>
      <c r="AH19" s="0" t="n">
        <f aca="false">AH13*IF(AH4&lt;=1,0.02,IF(AH4=2,0.03,0.04))</f>
        <v>1085547.2799024</v>
      </c>
      <c r="AI19" s="0" t="n">
        <f aca="false">AI13*IF(AI4&lt;=1,0.02,IF(AI4=2,0.03,0.04))</f>
        <v>1203928.7613696</v>
      </c>
      <c r="AJ19" s="0" t="n">
        <f aca="false">AJ13*IF(AJ4&lt;=1,0.02,IF(AJ4=2,0.03,0.04))</f>
        <v>1472437.8329472</v>
      </c>
      <c r="AK19" s="0" t="n">
        <f aca="false">AK13*IF(AK4&lt;=1,0.02,IF(AK4=2,0.03,0.04))</f>
        <v>1791352.9396224</v>
      </c>
      <c r="AL19" s="0" t="n">
        <f aca="false">AL13*IF(AL4&lt;=1,0.02,IF(AL4=2,0.03,0.04))</f>
        <v>2965326.191352</v>
      </c>
      <c r="AM19" s="0" t="n">
        <f aca="false">AM13*IF(AM4&lt;=1,0.02,IF(AM4=2,0.03,0.04))</f>
        <v>1827489.92282969</v>
      </c>
      <c r="AN19" s="0" t="n">
        <f aca="false">AN13*IF(AN4&lt;=1,0.02,IF(AN4=2,0.03,0.04))</f>
        <v>1440673.54905096</v>
      </c>
      <c r="AO19" s="0" t="n">
        <f aca="false">AO13*IF(AO4&lt;=1,0.02,IF(AO4=2,0.03,0.04))</f>
        <v>1281573.07885142</v>
      </c>
      <c r="AP19" s="0" t="n">
        <f aca="false">AP13*IF(AP4&lt;=1,0.02,IF(AP4=2,0.03,0.04))</f>
        <v>969099.039516888</v>
      </c>
      <c r="AQ19" s="0" t="n">
        <f aca="false">AQ13*IF(AQ4&lt;=1,0.02,IF(AQ4=2,0.03,0.04))</f>
        <v>773382.195635878</v>
      </c>
      <c r="AR19" s="0" t="n">
        <f aca="false">AR13*IF(AR4&lt;=1,0.02,IF(AR4=2,0.03,0.04))</f>
        <v>644276.36976192</v>
      </c>
      <c r="AS19" s="0" t="n">
        <f aca="false">AS13*IF(AS4&lt;=1,0.02,IF(AS4=2,0.03,0.04))</f>
        <v>1039841.60757765</v>
      </c>
      <c r="AT19" s="0" t="n">
        <f aca="false">AT13*IF(AT4&lt;=1,0.02,IF(AT4=2,0.03,0.04))</f>
        <v>1145252.38029703</v>
      </c>
      <c r="AU19" s="0" t="n">
        <f aca="false">AU13*IF(AU4&lt;=1,0.02,IF(AU4=2,0.03,0.04))</f>
        <v>1270144.84324493</v>
      </c>
      <c r="AV19" s="0" t="n">
        <f aca="false">AV13*IF(AV4&lt;=1,0.02,IF(AV4=2,0.03,0.04))</f>
        <v>1553421.9137593</v>
      </c>
      <c r="AW19" s="0" t="n">
        <f aca="false">AW13*IF(AW4&lt;=1,0.02,IF(AW4=2,0.03,0.04))</f>
        <v>1889877.35130163</v>
      </c>
      <c r="AX19" s="0" t="n">
        <f aca="false">AX13*IF(AX4&lt;=1,0.02,IF(AX4=2,0.03,0.04))</f>
        <v>3128419.13187636</v>
      </c>
      <c r="AY19" s="0" t="n">
        <f aca="false">AY13*IF(AY4&lt;=1,0.02,IF(AY4=2,0.03,0.04))</f>
        <v>2754288.38369331</v>
      </c>
      <c r="AZ19" s="0" t="n">
        <f aca="false">AZ13*IF(AZ4&lt;=1,0.02,IF(AZ4=2,0.03,0.04))</f>
        <v>2171300.8489268</v>
      </c>
      <c r="BA19" s="0" t="n">
        <f aca="false">BA13*IF(BA4&lt;=1,0.02,IF(BA4=2,0.03,0.04))</f>
        <v>1931513.7116975</v>
      </c>
      <c r="BB19" s="0" t="n">
        <f aca="false">BB13*IF(BB4&lt;=1,0.02,IF(BB4=2,0.03,0.04))</f>
        <v>1460570.69527188</v>
      </c>
      <c r="BC19" s="0" t="n">
        <f aca="false">BC13*IF(BC4&lt;=1,0.02,IF(BC4=2,0.03,0.04))</f>
        <v>1165597.45199407</v>
      </c>
      <c r="BD19" s="0" t="n">
        <f aca="false">BD13*IF(BD4&lt;=1,0.02,IF(BD4=2,0.03,0.04))</f>
        <v>971016.528712608</v>
      </c>
      <c r="BE19" s="0" t="n">
        <f aca="false">BE13*IF(BE4&lt;=1,0.02,IF(BE4=2,0.03,0.04))</f>
        <v>1097032.89599442</v>
      </c>
      <c r="BF19" s="0" t="n">
        <f aca="false">BF13*IF(BF4&lt;=1,0.02,IF(BF4=2,0.03,0.04))</f>
        <v>1208241.26121337</v>
      </c>
      <c r="BG19" s="0" t="n">
        <f aca="false">BG13*IF(BG4&lt;=1,0.02,IF(BG4=2,0.03,0.04))</f>
        <v>1340002.8096234</v>
      </c>
      <c r="BH19" s="0" t="n">
        <f aca="false">BH13*IF(BH4&lt;=1,0.02,IF(BH4=2,0.03,0.04))</f>
        <v>1638860.11901606</v>
      </c>
      <c r="BI19" s="0" t="n">
        <f aca="false">BI13*IF(BI4&lt;=1,0.02,IF(BI4=2,0.03,0.04))</f>
        <v>1993820.60562322</v>
      </c>
      <c r="BJ19" s="0" t="n">
        <f aca="false">BJ13*IF(BJ4&lt;=1,0.02,IF(BJ4=2,0.03,0.04))</f>
        <v>3300482.18412956</v>
      </c>
      <c r="BK19" s="0" t="n">
        <f aca="false">BK13*IF(BK4&lt;=1,0.02,IF(BK4=2,0.03,0.04))</f>
        <v>2905774.24479644</v>
      </c>
      <c r="BL19" s="0" t="n">
        <f aca="false">BL13*IF(BL4&lt;=1,0.02,IF(BL4=2,0.03,0.04))</f>
        <v>2290722.39561778</v>
      </c>
      <c r="BM19" s="0" t="n">
        <f aca="false">BM13*IF(BM4&lt;=1,0.02,IF(BM4=2,0.03,0.04))</f>
        <v>2037746.96584086</v>
      </c>
      <c r="BN19" s="0" t="n">
        <f aca="false">BN13*IF(BN4&lt;=1,0.02,IF(BN4=2,0.03,0.04))</f>
        <v>1540902.08351183</v>
      </c>
      <c r="BO19" s="0" t="n">
        <f aca="false">BO13*IF(BO4&lt;=1,0.02,IF(BO4=2,0.03,0.04))</f>
        <v>1229705.31185375</v>
      </c>
      <c r="BP19" s="0" t="n">
        <f aca="false">BP13*IF(BP4&lt;=1,0.02,IF(BP4=2,0.03,0.04))</f>
        <v>1024422.4377918</v>
      </c>
      <c r="BQ19" s="0" t="n">
        <f aca="false">BQ13*IF(BQ4&lt;=1,0.02,IF(BQ4=2,0.03,0.04))</f>
        <v>1157369.70527412</v>
      </c>
      <c r="BR19" s="0" t="n">
        <f aca="false">BR13*IF(BR4&lt;=1,0.02,IF(BR4=2,0.03,0.04))</f>
        <v>1274694.5305801</v>
      </c>
      <c r="BS19" s="0" t="n">
        <f aca="false">BS13*IF(BS4&lt;=1,0.02,IF(BS4=2,0.03,0.04))</f>
        <v>1413702.96415269</v>
      </c>
      <c r="BT19" s="0" t="n">
        <f aca="false">BT13*IF(BT4&lt;=1,0.02,IF(BT4=2,0.03,0.04))</f>
        <v>1728997.42556194</v>
      </c>
      <c r="BU19" s="0" t="n">
        <f aca="false">BU13*IF(BU4&lt;=1,0.02,IF(BU4=2,0.03,0.04))</f>
        <v>2103480.7389325</v>
      </c>
      <c r="BV19" s="0" t="n">
        <f aca="false">BV13*IF(BV4&lt;=1,0.02,IF(BV4=2,0.03,0.04))</f>
        <v>3482008.70425669</v>
      </c>
      <c r="BW19" s="0" t="n">
        <f aca="false">BW13*IF(BW4&lt;=1,0.02,IF(BW4=2,0.03,0.04))</f>
        <v>3065591.82826025</v>
      </c>
      <c r="BX19" s="0" t="n">
        <f aca="false">BX13*IF(BX4&lt;=1,0.02,IF(BX4=2,0.03,0.04))</f>
        <v>2416712.12737675</v>
      </c>
      <c r="BY19" s="0" t="n">
        <f aca="false">BY13*IF(BY4&lt;=1,0.02,IF(BY4=2,0.03,0.04))</f>
        <v>2149823.0489621</v>
      </c>
      <c r="BZ19" s="0" t="n">
        <f aca="false">BZ13*IF(BZ4&lt;=1,0.02,IF(BZ4=2,0.03,0.04))</f>
        <v>1625651.69810498</v>
      </c>
      <c r="CA19" s="0" t="n">
        <f aca="false">CA13*IF(CA4&lt;=1,0.02,IF(CA4=2,0.03,0.04))</f>
        <v>1297339.1040057</v>
      </c>
      <c r="CB19" s="0" t="n">
        <f aca="false">CB13*IF(CB4&lt;=1,0.02,IF(CB4=2,0.03,0.04))</f>
        <v>1080765.67187035</v>
      </c>
      <c r="CC19" s="0" t="n">
        <f aca="false">CC13*IF(CC4&lt;=1,0.02,IF(CC4=2,0.03,0.04))</f>
        <v>1221025.03906419</v>
      </c>
      <c r="CD19" s="0" t="n">
        <f aca="false">CD13*IF(CD4&lt;=1,0.02,IF(CD4=2,0.03,0.04))</f>
        <v>1344802.72976201</v>
      </c>
      <c r="CE19" s="0" t="n">
        <f aca="false">CE13*IF(CE4&lt;=1,0.02,IF(CE4=2,0.03,0.04))</f>
        <v>1491456.62718108</v>
      </c>
      <c r="CF19" s="0" t="n">
        <f aca="false">CF13*IF(CF4&lt;=1,0.02,IF(CF4=2,0.03,0.04))</f>
        <v>1824092.28396785</v>
      </c>
      <c r="CG19" s="0" t="n">
        <f aca="false">CG13*IF(CG4&lt;=1,0.02,IF(CG4=2,0.03,0.04))</f>
        <v>2219172.17957379</v>
      </c>
      <c r="CH19" s="0" t="n">
        <f aca="false">CH13*IF(CH4&lt;=1,0.02,IF(CH4=2,0.03,0.04))</f>
        <v>3673519.1829908</v>
      </c>
      <c r="CI19" s="0" t="n">
        <f aca="false">CI13*IF(CI4&lt;=1,0.02,IF(CI4=2,0.03,0.04))</f>
        <v>3234199.37881456</v>
      </c>
      <c r="CJ19" s="0" t="n">
        <f aca="false">CJ13*IF(CJ4&lt;=1,0.02,IF(CJ4=2,0.03,0.04))</f>
        <v>2549631.29438248</v>
      </c>
      <c r="CK19" s="0" t="n">
        <f aca="false">CK13*IF(CK4&lt;=1,0.02,IF(CK4=2,0.03,0.04))</f>
        <v>2268063.31665502</v>
      </c>
      <c r="CL19" s="0" t="n">
        <f aca="false">CL13*IF(CL4&lt;=1,0.02,IF(CL4=2,0.03,0.04))</f>
        <v>1715062.54150076</v>
      </c>
      <c r="CM19" s="0" t="n">
        <f aca="false">CM13*IF(CM4&lt;=1,0.02,IF(CM4=2,0.03,0.04))</f>
        <v>1368692.75472602</v>
      </c>
      <c r="CN19" s="0" t="n">
        <f aca="false">CN13*IF(CN4&lt;=1,0.02,IF(CN4=2,0.03,0.04))</f>
        <v>1140207.78382322</v>
      </c>
      <c r="CO19" s="0" t="n">
        <f aca="false">CO13*IF(CO4&lt;=1,0.02,IF(CO4=2,0.03,0.04))</f>
        <v>1288181.41621272</v>
      </c>
      <c r="CP19" s="0" t="n">
        <f aca="false">CP13*IF(CP4&lt;=1,0.02,IF(CP4=2,0.03,0.04))</f>
        <v>1418766.87989892</v>
      </c>
      <c r="CQ19" s="0" t="n">
        <f aca="false">CQ13*IF(CQ4&lt;=1,0.02,IF(CQ4=2,0.03,0.04))</f>
        <v>1573486.74167604</v>
      </c>
      <c r="CR19" s="0" t="n">
        <f aca="false">CR13*IF(CR4&lt;=1,0.02,IF(CR4=2,0.03,0.04))</f>
        <v>1924417.35958608</v>
      </c>
      <c r="CS19" s="0" t="n">
        <f aca="false">CS13*IF(CS4&lt;=1,0.02,IF(CS4=2,0.03,0.04))</f>
        <v>2341226.64945034</v>
      </c>
      <c r="CT19" s="0" t="n">
        <f aca="false">CT13*IF(CT4&lt;=1,0.02,IF(CT4=2,0.03,0.04))</f>
        <v>3875562.7380553</v>
      </c>
      <c r="CU19" s="0" t="n">
        <f aca="false">CU13*IF(CU4&lt;=1,0.02,IF(CU4=2,0.03,0.04))</f>
        <v>3412080.34464936</v>
      </c>
      <c r="CV19" s="0" t="n">
        <f aca="false">CV13*IF(CV4&lt;=1,0.02,IF(CV4=2,0.03,0.04))</f>
        <v>2689861.01557351</v>
      </c>
      <c r="CW19" s="0" t="n">
        <f aca="false">CW13*IF(CW4&lt;=1,0.02,IF(CW4=2,0.03,0.04))</f>
        <v>2392806.79907105</v>
      </c>
      <c r="CX19" s="0" t="n">
        <f aca="false">CX13*IF(CX4&lt;=1,0.02,IF(CX4=2,0.03,0.04))</f>
        <v>1809390.9812833</v>
      </c>
      <c r="CY19" s="0" t="n">
        <f aca="false">CY13*IF(CY4&lt;=1,0.02,IF(CY4=2,0.03,0.04))</f>
        <v>1443970.85623595</v>
      </c>
      <c r="CZ19" s="0" t="n">
        <f aca="false">CZ13*IF(CZ4&lt;=1,0.02,IF(CZ4=2,0.03,0.04))</f>
        <v>1202919.2119335</v>
      </c>
      <c r="DA19" s="0" t="n">
        <f aca="false">DA13*IF(DA4&lt;=1,0.02,IF(DA4=2,0.03,0.04))</f>
        <v>1359031.39410442</v>
      </c>
      <c r="DB19" s="0" t="n">
        <f aca="false">DB13*IF(DB4&lt;=1,0.02,IF(DB4=2,0.03,0.04))</f>
        <v>1496799.05829336</v>
      </c>
      <c r="DC19" s="0" t="n">
        <f aca="false">DC13*IF(DC4&lt;=1,0.02,IF(DC4=2,0.03,0.04))</f>
        <v>1660028.51246822</v>
      </c>
      <c r="DD19" s="0" t="n">
        <f aca="false">DD13*IF(DD4&lt;=1,0.02,IF(DD4=2,0.03,0.04))</f>
        <v>2030260.31436331</v>
      </c>
      <c r="DE19" s="0" t="n">
        <f aca="false">DE13*IF(DE4&lt;=1,0.02,IF(DE4=2,0.03,0.04))</f>
        <v>2469994.11517011</v>
      </c>
      <c r="DF19" s="0" t="n">
        <f aca="false">DF13*IF(DF4&lt;=1,0.02,IF(DF4=2,0.03,0.04))</f>
        <v>4088718.68864834</v>
      </c>
      <c r="DG19" s="0" t="n">
        <f aca="false">DG13*IF(DG4&lt;=1,0.02,IF(DG4=2,0.03,0.04))</f>
        <v>3599744.76360508</v>
      </c>
      <c r="DH19" s="0" t="n">
        <f aca="false">DH13*IF(DH4&lt;=1,0.02,IF(DH4=2,0.03,0.04))</f>
        <v>2837803.37143006</v>
      </c>
      <c r="DI19" s="0" t="n">
        <f aca="false">DI13*IF(DI4&lt;=1,0.02,IF(DI4=2,0.03,0.04))</f>
        <v>2524411.17301995</v>
      </c>
      <c r="DJ19" s="0" t="n">
        <f aca="false">DJ13*IF(DJ4&lt;=1,0.02,IF(DJ4=2,0.03,0.04))</f>
        <v>1908907.48525388</v>
      </c>
      <c r="DK19" s="0" t="n">
        <f aca="false">DK13*IF(DK4&lt;=1,0.02,IF(DK4=2,0.03,0.04))</f>
        <v>1523389.25332892</v>
      </c>
      <c r="DL19" s="0" t="n">
        <f aca="false">DL13*IF(DL4&lt;=1,0.02,IF(DL4=2,0.03,0.04))</f>
        <v>1269079.76858984</v>
      </c>
      <c r="DM19" s="0" t="n">
        <f aca="false">DM13*IF(DM4&lt;=1,0.02,IF(DM4=2,0.03,0.04))</f>
        <v>1433778.12078016</v>
      </c>
      <c r="DN19" s="0" t="n">
        <f aca="false">DN13*IF(DN4&lt;=1,0.02,IF(DN4=2,0.03,0.04))</f>
        <v>1579123.00649949</v>
      </c>
      <c r="DO19" s="0" t="n">
        <f aca="false">DO13*IF(DO4&lt;=1,0.02,IF(DO4=2,0.03,0.04))</f>
        <v>1751330.08065398</v>
      </c>
      <c r="DP19" s="0" t="n">
        <f aca="false">DP13*IF(DP4&lt;=1,0.02,IF(DP4=2,0.03,0.04))</f>
        <v>2141924.63165329</v>
      </c>
      <c r="DQ19" s="0" t="n">
        <f aca="false">DQ13*IF(DQ4&lt;=1,0.02,IF(DQ4=2,0.03,0.04))</f>
        <v>2605843.79150447</v>
      </c>
      <c r="DR19" s="0" t="n">
        <f aca="false">DR13*IF(DR4&lt;=1,0.02,IF(DR4=2,0.03,0.04))</f>
        <v>4313598.216524</v>
      </c>
    </row>
    <row r="20" customFormat="false" ht="15" hidden="false" customHeight="false" outlineLevel="0" collapsed="false">
      <c r="A20" s="0" t="s">
        <v>42</v>
      </c>
      <c r="B20" s="0" t="n">
        <f aca="false">B17-B18-B19</f>
        <v>0</v>
      </c>
      <c r="C20" s="0" t="n">
        <f aca="false">C17-C18-C19</f>
        <v>15032443.745728</v>
      </c>
      <c r="D20" s="0" t="n">
        <f aca="false">D17-D18-D19</f>
        <v>11300265.6005161</v>
      </c>
      <c r="E20" s="0" t="n">
        <f aca="false">E17-E18-E19</f>
        <v>9765192.79072</v>
      </c>
      <c r="F20" s="0" t="n">
        <f aca="false">F17-F18-F19</f>
        <v>6750302.88531613</v>
      </c>
      <c r="G20" s="0" t="n">
        <f aca="false">G17-G18-G19</f>
        <v>4861938.852928</v>
      </c>
      <c r="H20" s="0" t="n">
        <f aca="false">H17-H18-H19</f>
        <v>3616267.84619355</v>
      </c>
      <c r="I20" s="0" t="n">
        <f aca="false">I17-I18-I19</f>
        <v>4423001.273344</v>
      </c>
      <c r="J20" s="0" t="n">
        <f aca="false">J17-J18-J19</f>
        <v>5134936.61584</v>
      </c>
      <c r="K20" s="0" t="n">
        <f aca="false">K17-K18-K19</f>
        <v>5978449.62774709</v>
      </c>
      <c r="L20" s="0" t="n">
        <f aca="false">L17-L18-L19</f>
        <v>7891678.73152</v>
      </c>
      <c r="M20" s="0" t="n">
        <f aca="false">M17-M18-M19</f>
        <v>10164069.9775174</v>
      </c>
      <c r="N20" s="0" t="n">
        <f aca="false">N17-N18-N19</f>
        <v>18667061.020576</v>
      </c>
      <c r="O20" s="0" t="n">
        <f aca="false">O17-O18-O19</f>
        <v>17235895.42294</v>
      </c>
      <c r="P20" s="0" t="n">
        <f aca="false">P17-P18-P19</f>
        <v>13004303.0098387</v>
      </c>
      <c r="Q20" s="0" t="n">
        <f aca="false">Q17-Q18-Q19</f>
        <v>11263817.3731</v>
      </c>
      <c r="R20" s="0" t="n">
        <f aca="false">R17-R18-R19</f>
        <v>7845495.7513387</v>
      </c>
      <c r="S20" s="0" t="n">
        <f aca="false">S17-S18-S19</f>
        <v>5704443.90394</v>
      </c>
      <c r="T20" s="0" t="n">
        <f aca="false">T17-T18-T19</f>
        <v>4292085.81806451</v>
      </c>
      <c r="U20" s="0" t="n">
        <f aca="false">U17-U18-U19</f>
        <v>5206770.73312</v>
      </c>
      <c r="V20" s="0" t="n">
        <f aca="false">V17-V18-V19</f>
        <v>6013972.33945</v>
      </c>
      <c r="W20" s="0" t="n">
        <f aca="false">W17-W18-W19</f>
        <v>6970358.42892903</v>
      </c>
      <c r="X20" s="0" t="n">
        <f aca="false">X17-X18-X19</f>
        <v>9139602.6196</v>
      </c>
      <c r="Y20" s="0" t="n">
        <f aca="false">Y17-Y18-Y19</f>
        <v>11716069.5464258</v>
      </c>
      <c r="Z20" s="0" t="n">
        <f aca="false">Z17-Z18-Z19</f>
        <v>21356872.04473</v>
      </c>
      <c r="AA20" s="0" t="n">
        <f aca="false">AA17-AA18-AA19</f>
        <v>18661516.7067105</v>
      </c>
      <c r="AB20" s="0" t="n">
        <f aca="false">AB17-AB18-AB19</f>
        <v>14093168.6140019</v>
      </c>
      <c r="AC20" s="0" t="n">
        <f aca="false">AC17-AC18-AC19</f>
        <v>12214172.8453252</v>
      </c>
      <c r="AD20" s="0" t="n">
        <f aca="false">AD17-AD18-AD19</f>
        <v>8523816.70121993</v>
      </c>
      <c r="AE20" s="0" t="n">
        <f aca="false">AE17-AE18-AE19</f>
        <v>6212377.13696248</v>
      </c>
      <c r="AF20" s="0" t="n">
        <f aca="false">AF17-AF18-AF19</f>
        <v>4687621.74042323</v>
      </c>
      <c r="AG20" s="0" t="n">
        <f aca="false">AG17-AG18-AG19</f>
        <v>5675098.48184704</v>
      </c>
      <c r="AH20" s="0" t="n">
        <f aca="false">AH17-AH18-AH19</f>
        <v>6546538.2517294</v>
      </c>
      <c r="AI20" s="0" t="n">
        <f aca="false">AI17-AI18-AI19</f>
        <v>7579034.80178405</v>
      </c>
      <c r="AJ20" s="0" t="n">
        <f aca="false">AJ17-AJ18-AJ19</f>
        <v>9920910.29300319</v>
      </c>
      <c r="AK20" s="0" t="n">
        <f aca="false">AK17-AK18-AK19</f>
        <v>12702415.8403357</v>
      </c>
      <c r="AL20" s="0" t="n">
        <f aca="false">AL17-AL18-AL19</f>
        <v>22941545.451187</v>
      </c>
      <c r="AM20" s="0" t="n">
        <f aca="false">AM17-AM18-AM19</f>
        <v>12842312.8479057</v>
      </c>
      <c r="AN20" s="0" t="n">
        <f aca="false">AN17-AN18-AN19</f>
        <v>9468587.78144043</v>
      </c>
      <c r="AO20" s="0" t="n">
        <f aca="false">AO17-AO18-AO19</f>
        <v>8080949.40627266</v>
      </c>
      <c r="AP20" s="0" t="n">
        <f aca="false">AP17-AP18-AP19</f>
        <v>5355621.39385092</v>
      </c>
      <c r="AQ20" s="0" t="n">
        <f aca="false">AQ17-AQ18-AQ19</f>
        <v>3648623.27564679</v>
      </c>
      <c r="AR20" s="0" t="n">
        <f aca="false">AR17-AR18-AR19</f>
        <v>2522591.41530255</v>
      </c>
      <c r="AS20" s="0" t="n">
        <f aca="false">AS17-AS18-AS19</f>
        <v>5972622.09834862</v>
      </c>
      <c r="AT20" s="0" t="n">
        <f aca="false">AT17-AT18-AT19</f>
        <v>6891991.05557452</v>
      </c>
      <c r="AU20" s="0" t="n">
        <f aca="false">AU17-AU18-AU19</f>
        <v>7981274.91588217</v>
      </c>
      <c r="AV20" s="0" t="n">
        <f aca="false">AV17-AV18-AV19</f>
        <v>10451953.5591184</v>
      </c>
      <c r="AW20" s="0" t="n">
        <f aca="false">AW17-AW18-AW19</f>
        <v>13386441.9115542</v>
      </c>
      <c r="AX20" s="0" t="n">
        <f aca="false">AX17-AX18-AX19</f>
        <v>24188723.6510023</v>
      </c>
      <c r="AY20" s="0" t="n">
        <f aca="false">AY17-AY18-AY19</f>
        <v>20739841.2504864</v>
      </c>
      <c r="AZ20" s="0" t="n">
        <f aca="false">AZ17-AZ18-AZ19</f>
        <v>15655155.6145995</v>
      </c>
      <c r="BA20" s="0" t="n">
        <f aca="false">BA17-BA18-BA19</f>
        <v>13563786.3491681</v>
      </c>
      <c r="BB20" s="0" t="n">
        <f aca="false">BB17-BB18-BB19</f>
        <v>9456327.70187532</v>
      </c>
      <c r="BC20" s="0" t="n">
        <f aca="false">BC17-BC18-BC19</f>
        <v>6883637.68086766</v>
      </c>
      <c r="BD20" s="0" t="n">
        <f aca="false">BD17-BD18-BD19</f>
        <v>5186546.80563456</v>
      </c>
      <c r="BE20" s="0" t="n">
        <f aca="false">BE17-BE18-BE19</f>
        <v>6285633.1057578</v>
      </c>
      <c r="BF20" s="0" t="n">
        <f aca="false">BF17-BF18-BF19</f>
        <v>7255567.35563111</v>
      </c>
      <c r="BG20" s="0" t="n">
        <f aca="false">BG17-BG18-BG19</f>
        <v>8404761.82825569</v>
      </c>
      <c r="BH20" s="0" t="n">
        <f aca="false">BH17-BH18-BH19</f>
        <v>11011327.7968699</v>
      </c>
      <c r="BI20" s="0" t="n">
        <f aca="false">BI17-BI18-BI19</f>
        <v>14107213.0086896</v>
      </c>
      <c r="BJ20" s="0" t="n">
        <f aca="false">BJ17-BJ18-BJ19</f>
        <v>25503620.2438074</v>
      </c>
      <c r="BK20" s="0" t="n">
        <f aca="false">BK17-BK18-BK19</f>
        <v>21864120.3187832</v>
      </c>
      <c r="BL20" s="0" t="n">
        <f aca="false">BL17-BL18-BL19</f>
        <v>16499776.9729225</v>
      </c>
      <c r="BM20" s="0" t="n">
        <f aca="false">BM17-BM18-BM19</f>
        <v>14293382.3978923</v>
      </c>
      <c r="BN20" s="0" t="n">
        <f aca="false">BN17-BN18-BN19</f>
        <v>9960013.52499845</v>
      </c>
      <c r="BO20" s="0" t="n">
        <f aca="false">BO17-BO18-BO19</f>
        <v>7245825.55283538</v>
      </c>
      <c r="BP20" s="0" t="n">
        <f aca="false">BP17-BP18-BP19</f>
        <v>5455394.67946446</v>
      </c>
      <c r="BQ20" s="0" t="n">
        <f aca="false">BQ17-BQ18-BQ19</f>
        <v>6614930.72609448</v>
      </c>
      <c r="BR20" s="0" t="n">
        <f aca="false">BR17-BR18-BR19</f>
        <v>7638211.35971082</v>
      </c>
      <c r="BS20" s="0" t="n">
        <f aca="false">BS17-BS18-BS19</f>
        <v>8850611.52832975</v>
      </c>
      <c r="BT20" s="0" t="n">
        <f aca="false">BT17-BT18-BT19</f>
        <v>11600538.6252177</v>
      </c>
      <c r="BU20" s="0" t="n">
        <f aca="false">BU17-BU18-BU19</f>
        <v>14866697.5236876</v>
      </c>
      <c r="BV20" s="0" t="n">
        <f aca="false">BV17-BV18-BV19</f>
        <v>26889907.1567368</v>
      </c>
      <c r="BW20" s="0" t="n">
        <f aca="false">BW17-BW18-BW19</f>
        <v>23049250.0038074</v>
      </c>
      <c r="BX20" s="0" t="n">
        <f aca="false">BX17-BX18-BX19</f>
        <v>17389867.7739244</v>
      </c>
      <c r="BY20" s="0" t="n">
        <f aca="false">BY17-BY18-BY19</f>
        <v>15062121.4972676</v>
      </c>
      <c r="BZ20" s="0" t="n">
        <f aca="false">BZ17-BZ18-BZ19</f>
        <v>10490417.3363646</v>
      </c>
      <c r="CA20" s="0" t="n">
        <f aca="false">CA17-CA18-CA19</f>
        <v>7626949.02573252</v>
      </c>
      <c r="CB20" s="0" t="n">
        <f aca="false">CB17-CB18-CB19</f>
        <v>5738044.4543262</v>
      </c>
      <c r="CC20" s="0" t="n">
        <f aca="false">CC17-CC18-CC19</f>
        <v>6961354.98352087</v>
      </c>
      <c r="CD20" s="0" t="n">
        <f aca="false">CD17-CD18-CD19</f>
        <v>8040916.05198611</v>
      </c>
      <c r="CE20" s="0" t="n">
        <f aca="false">CE17-CE18-CE19</f>
        <v>9319998.22987909</v>
      </c>
      <c r="CF20" s="0" t="n">
        <f aca="false">CF17-CF18-CF19</f>
        <v>12221171.3170959</v>
      </c>
      <c r="CG20" s="0" t="n">
        <f aca="false">CG17-CG18-CG19</f>
        <v>15666968.9549816</v>
      </c>
      <c r="CH20" s="0" t="n">
        <f aca="false">CH17-CH18-CH19</f>
        <v>28351455.1178485</v>
      </c>
      <c r="CI20" s="0" t="n">
        <f aca="false">CI17-CI18-CI19</f>
        <v>24298518.0055575</v>
      </c>
      <c r="CJ20" s="0" t="n">
        <f aca="false">CJ17-CJ18-CJ19</f>
        <v>18327869.7530309</v>
      </c>
      <c r="CK20" s="0" t="n">
        <f aca="false">CK17-CK18-CK19</f>
        <v>15872097.431158</v>
      </c>
      <c r="CL20" s="0" t="n">
        <f aca="false">CL17-CL18-CL19</f>
        <v>11048949.5414053</v>
      </c>
      <c r="CM20" s="0" t="n">
        <f aca="false">CM17-CM18-CM19</f>
        <v>8027990.47368849</v>
      </c>
      <c r="CN20" s="0" t="n">
        <f aca="false">CN17-CN18-CN19</f>
        <v>6035196.15085482</v>
      </c>
      <c r="CO20" s="0" t="n">
        <f aca="false">CO17-CO18-CO19</f>
        <v>7325788.75915519</v>
      </c>
      <c r="CP20" s="0" t="n">
        <f aca="false">CP17-CP18-CP19</f>
        <v>8464725.68638602</v>
      </c>
      <c r="CQ20" s="0" t="n">
        <f aca="false">CQ17-CQ18-CQ19</f>
        <v>9814157.38406311</v>
      </c>
      <c r="CR20" s="0" t="n">
        <f aca="false">CR17-CR18-CR19</f>
        <v>12874894.9910768</v>
      </c>
      <c r="CS20" s="0" t="n">
        <f aca="false">CS17-CS18-CS19</f>
        <v>16510211.4990462</v>
      </c>
      <c r="CT20" s="0" t="n">
        <f aca="false">CT17-CT18-CT19</f>
        <v>29892344.4008709</v>
      </c>
      <c r="CU20" s="0" t="n">
        <f aca="false">CU17-CU18-CU19</f>
        <v>25615389.3024963</v>
      </c>
      <c r="CV20" s="0" t="n">
        <f aca="false">CV17-CV18-CV19</f>
        <v>19316355.3960807</v>
      </c>
      <c r="CW20" s="0" t="n">
        <f aca="false">CW17-CW18-CW19</f>
        <v>16725515.5965048</v>
      </c>
      <c r="CX20" s="0" t="n">
        <f aca="false">CX17-CX18-CX19</f>
        <v>11637094.5728157</v>
      </c>
      <c r="CY20" s="0" t="n">
        <f aca="false">CY17-CY18-CY19</f>
        <v>8449982.75637446</v>
      </c>
      <c r="CZ20" s="0" t="n">
        <f aca="false">CZ17-CZ18-CZ19</f>
        <v>6347584.74578494</v>
      </c>
      <c r="DA20" s="0" t="n">
        <f aca="false">DA17-DA18-DA19</f>
        <v>7709159.94754184</v>
      </c>
      <c r="DB20" s="0" t="n">
        <f aca="false">DB17-DB18-DB19</f>
        <v>8910738.40577036</v>
      </c>
      <c r="DC20" s="0" t="n">
        <f aca="false">DC17-DC18-DC19</f>
        <v>10334388.8468197</v>
      </c>
      <c r="DD20" s="0" t="n">
        <f aca="false">DD17-DD18-DD19</f>
        <v>13563467.0222192</v>
      </c>
      <c r="DE20" s="0" t="n">
        <f aca="false">DE17-DE18-DE19</f>
        <v>17398725.9381269</v>
      </c>
      <c r="DF20" s="0" t="n">
        <f aca="false">DF17-DF18-DF19</f>
        <v>31516876.1495519</v>
      </c>
      <c r="DG20" s="0" t="n">
        <f aca="false">DG17-DG18-DG19</f>
        <v>27003515.6891647</v>
      </c>
      <c r="DH20" s="0" t="n">
        <f aca="false">DH17-DH18-DH19</f>
        <v>20358034.9178963</v>
      </c>
      <c r="DI20" s="0" t="n">
        <f aca="false">DI17-DI18-DI19</f>
        <v>17624698.9293437</v>
      </c>
      <c r="DJ20" s="0" t="n">
        <f aca="false">DJ17-DJ18-DJ19</f>
        <v>12256414.7493517</v>
      </c>
      <c r="DK20" s="0" t="n">
        <f aca="false">DK17-DK18-DK19</f>
        <v>8894011.78300616</v>
      </c>
      <c r="DL20" s="0" t="n">
        <f aca="false">DL17-DL18-DL19</f>
        <v>6675981.88183422</v>
      </c>
      <c r="DM20" s="0" t="n">
        <f aca="false">DM17-DM18-DM19</f>
        <v>8112443.71968774</v>
      </c>
      <c r="DN20" s="0" t="n">
        <f aca="false">DN17-DN18-DN19</f>
        <v>9380108.99311883</v>
      </c>
      <c r="DO20" s="0" t="n">
        <f aca="false">DO17-DO18-DO19</f>
        <v>10882060.2084259</v>
      </c>
      <c r="DP20" s="0" t="n">
        <f aca="false">DP17-DP18-DP19</f>
        <v>14288737.6834723</v>
      </c>
      <c r="DQ20" s="0" t="n">
        <f aca="false">DQ17-DQ18-DQ19</f>
        <v>18334935.839755</v>
      </c>
      <c r="DR20" s="0" t="n">
        <f aca="false">DR17-DR18-DR19</f>
        <v>33229584.3128083</v>
      </c>
    </row>
    <row r="21" customFormat="false" ht="15" hidden="false" customHeight="false" outlineLevel="0" collapsed="false">
      <c r="A21" s="0" t="s">
        <v>43</v>
      </c>
      <c r="B21" s="0" t="n">
        <f aca="false">IF((B$3&gt;=1),(Inputs!$B$20+Inputs!$B$19-Inputs!$B$21)*Inputs!$B$15/12,0)</f>
        <v>0</v>
      </c>
      <c r="C21" s="0" t="n">
        <f aca="false">IF((C$3&gt;=1),(Inputs!$B$20+Inputs!$B$19-Inputs!$B$21)*Inputs!$B$15/12,0)</f>
        <v>12550000</v>
      </c>
      <c r="D21" s="0" t="n">
        <f aca="false">IF((D$3&gt;=1),(Inputs!$B$20+Inputs!$B$19-Inputs!$B$21)*Inputs!$B$15/12,0)</f>
        <v>12550000</v>
      </c>
      <c r="E21" s="0" t="n">
        <f aca="false">IF((E$3&gt;=1),(Inputs!$B$20+Inputs!$B$19-Inputs!$B$21)*Inputs!$B$15/12,0)</f>
        <v>12550000</v>
      </c>
      <c r="F21" s="0" t="n">
        <f aca="false">IF((F$3&gt;=1),(Inputs!$B$20+Inputs!$B$19-Inputs!$B$21)*Inputs!$B$15/12,0)</f>
        <v>12550000</v>
      </c>
      <c r="G21" s="0" t="n">
        <f aca="false">IF((G$3&gt;=1),(Inputs!$B$20+Inputs!$B$19-Inputs!$B$21)*Inputs!$B$15/12,0)</f>
        <v>12550000</v>
      </c>
      <c r="H21" s="0" t="n">
        <f aca="false">IF((H$3&gt;=1),(Inputs!$B$20+Inputs!$B$19-Inputs!$B$21)*Inputs!$B$15/12,0)</f>
        <v>12550000</v>
      </c>
      <c r="I21" s="0" t="n">
        <f aca="false">IF((I$3&gt;=1),(Inputs!$B$20+Inputs!$B$19-Inputs!$B$21)*Inputs!$B$15/12,0)</f>
        <v>12550000</v>
      </c>
      <c r="J21" s="0" t="n">
        <f aca="false">IF((J$3&gt;=1),(Inputs!$B$20+Inputs!$B$19-Inputs!$B$21)*Inputs!$B$15/12,0)</f>
        <v>12550000</v>
      </c>
      <c r="K21" s="0" t="n">
        <f aca="false">IF((K$3&gt;=1),(Inputs!$B$20+Inputs!$B$19-Inputs!$B$21)*Inputs!$B$15/12,0)</f>
        <v>12550000</v>
      </c>
      <c r="L21" s="0" t="n">
        <f aca="false">IF((L$3&gt;=1),(Inputs!$B$20+Inputs!$B$19-Inputs!$B$21)*Inputs!$B$15/12,0)</f>
        <v>12550000</v>
      </c>
      <c r="M21" s="0" t="n">
        <f aca="false">IF((M$3&gt;=1),(Inputs!$B$20+Inputs!$B$19-Inputs!$B$21)*Inputs!$B$15/12,0)</f>
        <v>12550000</v>
      </c>
      <c r="N21" s="0" t="n">
        <f aca="false">IF((N$3&gt;=1),(Inputs!$B$20+Inputs!$B$19-Inputs!$B$21)*Inputs!$B$15/12,0)</f>
        <v>12550000</v>
      </c>
      <c r="O21" s="0" t="n">
        <f aca="false">IF((O$3&gt;=1),(Inputs!$B$20+Inputs!$B$19-Inputs!$B$21)*Inputs!$B$15/12,0)</f>
        <v>12550000</v>
      </c>
      <c r="P21" s="0" t="n">
        <f aca="false">IF((P$3&gt;=1),(Inputs!$B$20+Inputs!$B$19-Inputs!$B$21)*Inputs!$B$15/12,0)</f>
        <v>12550000</v>
      </c>
      <c r="Q21" s="0" t="n">
        <f aca="false">IF((Q$3&gt;=1),(Inputs!$B$20+Inputs!$B$19-Inputs!$B$21)*Inputs!$B$15/12,0)</f>
        <v>12550000</v>
      </c>
      <c r="R21" s="0" t="n">
        <f aca="false">IF((R$3&gt;=1),(Inputs!$B$20+Inputs!$B$19-Inputs!$B$21)*Inputs!$B$15/12,0)</f>
        <v>12550000</v>
      </c>
      <c r="S21" s="0" t="n">
        <f aca="false">IF((S$3&gt;=1),(Inputs!$B$20+Inputs!$B$19-Inputs!$B$21)*Inputs!$B$15/12,0)</f>
        <v>12550000</v>
      </c>
      <c r="T21" s="0" t="n">
        <f aca="false">IF((T$3&gt;=1),(Inputs!$B$20+Inputs!$B$19-Inputs!$B$21)*Inputs!$B$15/12,0)</f>
        <v>12550000</v>
      </c>
      <c r="U21" s="0" t="n">
        <f aca="false">IF((U$3&gt;=1),(Inputs!$B$20+Inputs!$B$19-Inputs!$B$21)*Inputs!$B$15/12,0)</f>
        <v>12550000</v>
      </c>
      <c r="V21" s="0" t="n">
        <f aca="false">IF((V$3&gt;=1),(Inputs!$B$20+Inputs!$B$19-Inputs!$B$21)*Inputs!$B$15/12,0)</f>
        <v>12550000</v>
      </c>
      <c r="W21" s="0" t="n">
        <f aca="false">IF((W$3&gt;=1),(Inputs!$B$20+Inputs!$B$19-Inputs!$B$21)*Inputs!$B$15/12,0)</f>
        <v>12550000</v>
      </c>
      <c r="X21" s="0" t="n">
        <f aca="false">IF((X$3&gt;=1),(Inputs!$B$20+Inputs!$B$19-Inputs!$B$21)*Inputs!$B$15/12,0)</f>
        <v>12550000</v>
      </c>
      <c r="Y21" s="0" t="n">
        <f aca="false">IF((Y$3&gt;=1),(Inputs!$B$20+Inputs!$B$19-Inputs!$B$21)*Inputs!$B$15/12,0)</f>
        <v>12550000</v>
      </c>
      <c r="Z21" s="0" t="n">
        <f aca="false">IF((Z$3&gt;=1),(Inputs!$B$20+Inputs!$B$19-Inputs!$B$21)*Inputs!$B$15/12,0)</f>
        <v>12550000</v>
      </c>
      <c r="AA21" s="0" t="n">
        <f aca="false">IF((AA$3&gt;=1),(Inputs!$B$20+Inputs!$B$19-Inputs!$B$21)*Inputs!$B$15/12,0)</f>
        <v>12550000</v>
      </c>
      <c r="AB21" s="0" t="n">
        <f aca="false">IF((AB$3&gt;=1),(Inputs!$B$20+Inputs!$B$19-Inputs!$B$21)*Inputs!$B$15/12,0)</f>
        <v>12550000</v>
      </c>
      <c r="AC21" s="0" t="n">
        <f aca="false">IF((AC$3&gt;=1),(Inputs!$B$20+Inputs!$B$19-Inputs!$B$21)*Inputs!$B$15/12,0)</f>
        <v>12550000</v>
      </c>
      <c r="AD21" s="0" t="n">
        <f aca="false">IF((AD$3&gt;=1),(Inputs!$B$20+Inputs!$B$19-Inputs!$B$21)*Inputs!$B$15/12,0)</f>
        <v>12550000</v>
      </c>
      <c r="AE21" s="0" t="n">
        <f aca="false">IF((AE$3&gt;=1),(Inputs!$B$20+Inputs!$B$19-Inputs!$B$21)*Inputs!$B$15/12,0)</f>
        <v>12550000</v>
      </c>
      <c r="AF21" s="0" t="n">
        <f aca="false">IF((AF$3&gt;=1),(Inputs!$B$20+Inputs!$B$19-Inputs!$B$21)*Inputs!$B$15/12,0)</f>
        <v>12550000</v>
      </c>
      <c r="AG21" s="0" t="n">
        <f aca="false">IF((AG$3&gt;=1),(Inputs!$B$20+Inputs!$B$19-Inputs!$B$21)*Inputs!$B$15/12,0)</f>
        <v>12550000</v>
      </c>
      <c r="AH21" s="0" t="n">
        <f aca="false">IF((AH$3&gt;=1),(Inputs!$B$20+Inputs!$B$19-Inputs!$B$21)*Inputs!$B$15/12,0)</f>
        <v>12550000</v>
      </c>
      <c r="AI21" s="0" t="n">
        <f aca="false">IF((AI$3&gt;=1),(Inputs!$B$20+Inputs!$B$19-Inputs!$B$21)*Inputs!$B$15/12,0)</f>
        <v>12550000</v>
      </c>
      <c r="AJ21" s="0" t="n">
        <f aca="false">IF((AJ$3&gt;=1),(Inputs!$B$20+Inputs!$B$19-Inputs!$B$21)*Inputs!$B$15/12,0)</f>
        <v>12550000</v>
      </c>
      <c r="AK21" s="0" t="n">
        <f aca="false">IF((AK$3&gt;=1),(Inputs!$B$20+Inputs!$B$19-Inputs!$B$21)*Inputs!$B$15/12,0)</f>
        <v>12550000</v>
      </c>
      <c r="AL21" s="0" t="n">
        <f aca="false">IF((AL$3&gt;=1),(Inputs!$B$20+Inputs!$B$19-Inputs!$B$21)*Inputs!$B$15/12,0)</f>
        <v>12550000</v>
      </c>
      <c r="AM21" s="0" t="n">
        <f aca="false">IF((AM$3&gt;=1),(Inputs!$B$20+Inputs!$B$19-Inputs!$B$21)*Inputs!$B$15/12,0)</f>
        <v>12550000</v>
      </c>
      <c r="AN21" s="0" t="n">
        <f aca="false">IF((AN$3&gt;=1),(Inputs!$B$20+Inputs!$B$19-Inputs!$B$21)*Inputs!$B$15/12,0)</f>
        <v>12550000</v>
      </c>
      <c r="AO21" s="0" t="n">
        <f aca="false">IF((AO$3&gt;=1),(Inputs!$B$20+Inputs!$B$19-Inputs!$B$21)*Inputs!$B$15/12,0)</f>
        <v>12550000</v>
      </c>
      <c r="AP21" s="0" t="n">
        <f aca="false">IF((AP$3&gt;=1),(Inputs!$B$20+Inputs!$B$19-Inputs!$B$21)*Inputs!$B$15/12,0)</f>
        <v>12550000</v>
      </c>
      <c r="AQ21" s="0" t="n">
        <f aca="false">IF((AQ$3&gt;=1),(Inputs!$B$20+Inputs!$B$19-Inputs!$B$21)*Inputs!$B$15/12,0)</f>
        <v>12550000</v>
      </c>
      <c r="AR21" s="0" t="n">
        <f aca="false">IF((AR$3&gt;=1),(Inputs!$B$20+Inputs!$B$19-Inputs!$B$21)*Inputs!$B$15/12,0)</f>
        <v>12550000</v>
      </c>
      <c r="AS21" s="0" t="n">
        <f aca="false">IF((AS$3&gt;=1),(Inputs!$B$20+Inputs!$B$19-Inputs!$B$21)*Inputs!$B$15/12,0)</f>
        <v>12550000</v>
      </c>
      <c r="AT21" s="0" t="n">
        <f aca="false">IF((AT$3&gt;=1),(Inputs!$B$20+Inputs!$B$19-Inputs!$B$21)*Inputs!$B$15/12,0)</f>
        <v>12550000</v>
      </c>
      <c r="AU21" s="0" t="n">
        <f aca="false">IF((AU$3&gt;=1),(Inputs!$B$20+Inputs!$B$19-Inputs!$B$21)*Inputs!$B$15/12,0)</f>
        <v>12550000</v>
      </c>
      <c r="AV21" s="0" t="n">
        <f aca="false">IF((AV$3&gt;=1),(Inputs!$B$20+Inputs!$B$19-Inputs!$B$21)*Inputs!$B$15/12,0)</f>
        <v>12550000</v>
      </c>
      <c r="AW21" s="0" t="n">
        <f aca="false">IF((AW$3&gt;=1),(Inputs!$B$20+Inputs!$B$19-Inputs!$B$21)*Inputs!$B$15/12,0)</f>
        <v>12550000</v>
      </c>
      <c r="AX21" s="0" t="n">
        <f aca="false">IF((AX$3&gt;=1),(Inputs!$B$20+Inputs!$B$19-Inputs!$B$21)*Inputs!$B$15/12,0)</f>
        <v>12550000</v>
      </c>
      <c r="AY21" s="0" t="n">
        <f aca="false">IF((AY$3&gt;=1),(Inputs!$B$20+Inputs!$B$19-Inputs!$B$21)*Inputs!$B$15/12,0)</f>
        <v>12550000</v>
      </c>
      <c r="AZ21" s="0" t="n">
        <f aca="false">IF((AZ$3&gt;=1),(Inputs!$B$20+Inputs!$B$19-Inputs!$B$21)*Inputs!$B$15/12,0)</f>
        <v>12550000</v>
      </c>
      <c r="BA21" s="0" t="n">
        <f aca="false">IF((BA$3&gt;=1),(Inputs!$B$20+Inputs!$B$19-Inputs!$B$21)*Inputs!$B$15/12,0)</f>
        <v>12550000</v>
      </c>
      <c r="BB21" s="0" t="n">
        <f aca="false">IF((BB$3&gt;=1),(Inputs!$B$20+Inputs!$B$19-Inputs!$B$21)*Inputs!$B$15/12,0)</f>
        <v>12550000</v>
      </c>
      <c r="BC21" s="0" t="n">
        <f aca="false">IF((BC$3&gt;=1),(Inputs!$B$20+Inputs!$B$19-Inputs!$B$21)*Inputs!$B$15/12,0)</f>
        <v>12550000</v>
      </c>
      <c r="BD21" s="0" t="n">
        <f aca="false">IF((BD$3&gt;=1),(Inputs!$B$20+Inputs!$B$19-Inputs!$B$21)*Inputs!$B$15/12,0)</f>
        <v>12550000</v>
      </c>
      <c r="BE21" s="0" t="n">
        <f aca="false">IF((BE$3&gt;=1),(Inputs!$B$20+Inputs!$B$19-Inputs!$B$21)*Inputs!$B$15/12,0)</f>
        <v>12550000</v>
      </c>
      <c r="BF21" s="0" t="n">
        <f aca="false">IF((BF$3&gt;=1),(Inputs!$B$20+Inputs!$B$19-Inputs!$B$21)*Inputs!$B$15/12,0)</f>
        <v>12550000</v>
      </c>
      <c r="BG21" s="0" t="n">
        <f aca="false">IF((BG$3&gt;=1),(Inputs!$B$20+Inputs!$B$19-Inputs!$B$21)*Inputs!$B$15/12,0)</f>
        <v>12550000</v>
      </c>
      <c r="BH21" s="0" t="n">
        <f aca="false">IF((BH$3&gt;=1),(Inputs!$B$20+Inputs!$B$19-Inputs!$B$21)*Inputs!$B$15/12,0)</f>
        <v>12550000</v>
      </c>
      <c r="BI21" s="0" t="n">
        <f aca="false">IF((BI$3&gt;=1),(Inputs!$B$20+Inputs!$B$19-Inputs!$B$21)*Inputs!$B$15/12,0)</f>
        <v>12550000</v>
      </c>
      <c r="BJ21" s="0" t="n">
        <f aca="false">IF((BJ$3&gt;=1),(Inputs!$B$20+Inputs!$B$19-Inputs!$B$21)*Inputs!$B$15/12,0)</f>
        <v>12550000</v>
      </c>
      <c r="BK21" s="0" t="n">
        <f aca="false">IF((BK$3&gt;=1),(Inputs!$B$20+Inputs!$B$19-Inputs!$B$21)*Inputs!$B$15/12,0)</f>
        <v>12550000</v>
      </c>
      <c r="BL21" s="0" t="n">
        <f aca="false">IF((BL$3&gt;=1),(Inputs!$B$20+Inputs!$B$19-Inputs!$B$21)*Inputs!$B$15/12,0)</f>
        <v>12550000</v>
      </c>
      <c r="BM21" s="0" t="n">
        <f aca="false">IF((BM$3&gt;=1),(Inputs!$B$20+Inputs!$B$19-Inputs!$B$21)*Inputs!$B$15/12,0)</f>
        <v>12550000</v>
      </c>
      <c r="BN21" s="0" t="n">
        <f aca="false">IF((BN$3&gt;=1),(Inputs!$B$20+Inputs!$B$19-Inputs!$B$21)*Inputs!$B$15/12,0)</f>
        <v>12550000</v>
      </c>
      <c r="BO21" s="0" t="n">
        <f aca="false">IF((BO$3&gt;=1),(Inputs!$B$20+Inputs!$B$19-Inputs!$B$21)*Inputs!$B$15/12,0)</f>
        <v>12550000</v>
      </c>
      <c r="BP21" s="0" t="n">
        <f aca="false">IF((BP$3&gt;=1),(Inputs!$B$20+Inputs!$B$19-Inputs!$B$21)*Inputs!$B$15/12,0)</f>
        <v>12550000</v>
      </c>
      <c r="BQ21" s="0" t="n">
        <f aca="false">IF((BQ$3&gt;=1),(Inputs!$B$20+Inputs!$B$19-Inputs!$B$21)*Inputs!$B$15/12,0)</f>
        <v>12550000</v>
      </c>
      <c r="BR21" s="0" t="n">
        <f aca="false">IF((BR$3&gt;=1),(Inputs!$B$20+Inputs!$B$19-Inputs!$B$21)*Inputs!$B$15/12,0)</f>
        <v>12550000</v>
      </c>
      <c r="BS21" s="0" t="n">
        <f aca="false">IF((BS$3&gt;=1),(Inputs!$B$20+Inputs!$B$19-Inputs!$B$21)*Inputs!$B$15/12,0)</f>
        <v>12550000</v>
      </c>
      <c r="BT21" s="0" t="n">
        <f aca="false">IF((BT$3&gt;=1),(Inputs!$B$20+Inputs!$B$19-Inputs!$B$21)*Inputs!$B$15/12,0)</f>
        <v>12550000</v>
      </c>
      <c r="BU21" s="0" t="n">
        <f aca="false">IF((BU$3&gt;=1),(Inputs!$B$20+Inputs!$B$19-Inputs!$B$21)*Inputs!$B$15/12,0)</f>
        <v>12550000</v>
      </c>
      <c r="BV21" s="0" t="n">
        <f aca="false">IF((BV$3&gt;=1),(Inputs!$B$20+Inputs!$B$19-Inputs!$B$21)*Inputs!$B$15/12,0)</f>
        <v>12550000</v>
      </c>
      <c r="BW21" s="0" t="n">
        <f aca="false">IF((BW$3&gt;=1),(Inputs!$B$20+Inputs!$B$19-Inputs!$B$21)*Inputs!$B$15/12,0)</f>
        <v>12550000</v>
      </c>
      <c r="BX21" s="0" t="n">
        <f aca="false">IF((BX$3&gt;=1),(Inputs!$B$20+Inputs!$B$19-Inputs!$B$21)*Inputs!$B$15/12,0)</f>
        <v>12550000</v>
      </c>
      <c r="BY21" s="0" t="n">
        <f aca="false">IF((BY$3&gt;=1),(Inputs!$B$20+Inputs!$B$19-Inputs!$B$21)*Inputs!$B$15/12,0)</f>
        <v>12550000</v>
      </c>
      <c r="BZ21" s="0" t="n">
        <f aca="false">IF((BZ$3&gt;=1),(Inputs!$B$20+Inputs!$B$19-Inputs!$B$21)*Inputs!$B$15/12,0)</f>
        <v>12550000</v>
      </c>
      <c r="CA21" s="0" t="n">
        <f aca="false">IF((CA$3&gt;=1),(Inputs!$B$20+Inputs!$B$19-Inputs!$B$21)*Inputs!$B$15/12,0)</f>
        <v>12550000</v>
      </c>
      <c r="CB21" s="0" t="n">
        <f aca="false">IF((CB$3&gt;=1),(Inputs!$B$20+Inputs!$B$19-Inputs!$B$21)*Inputs!$B$15/12,0)</f>
        <v>12550000</v>
      </c>
      <c r="CC21" s="0" t="n">
        <f aca="false">IF((CC$3&gt;=1),(Inputs!$B$20+Inputs!$B$19-Inputs!$B$21)*Inputs!$B$15/12,0)</f>
        <v>12550000</v>
      </c>
      <c r="CD21" s="0" t="n">
        <f aca="false">IF((CD$3&gt;=1),(Inputs!$B$20+Inputs!$B$19-Inputs!$B$21)*Inputs!$B$15/12,0)</f>
        <v>12550000</v>
      </c>
      <c r="CE21" s="0" t="n">
        <f aca="false">IF((CE$3&gt;=1),(Inputs!$B$20+Inputs!$B$19-Inputs!$B$21)*Inputs!$B$15/12,0)</f>
        <v>12550000</v>
      </c>
      <c r="CF21" s="0" t="n">
        <f aca="false">IF((CF$3&gt;=1),(Inputs!$B$20+Inputs!$B$19-Inputs!$B$21)*Inputs!$B$15/12,0)</f>
        <v>12550000</v>
      </c>
      <c r="CG21" s="0" t="n">
        <f aca="false">IF((CG$3&gt;=1),(Inputs!$B$20+Inputs!$B$19-Inputs!$B$21)*Inputs!$B$15/12,0)</f>
        <v>12550000</v>
      </c>
      <c r="CH21" s="0" t="n">
        <f aca="false">IF((CH$3&gt;=1),(Inputs!$B$20+Inputs!$B$19-Inputs!$B$21)*Inputs!$B$15/12,0)</f>
        <v>12550000</v>
      </c>
      <c r="CI21" s="0" t="n">
        <f aca="false">IF((CI$3&gt;=1),(Inputs!$B$20+Inputs!$B$19-Inputs!$B$21)*Inputs!$B$15/12,0)</f>
        <v>12550000</v>
      </c>
      <c r="CJ21" s="0" t="n">
        <f aca="false">IF((CJ$3&gt;=1),(Inputs!$B$20+Inputs!$B$19-Inputs!$B$21)*Inputs!$B$15/12,0)</f>
        <v>12550000</v>
      </c>
      <c r="CK21" s="0" t="n">
        <f aca="false">IF((CK$3&gt;=1),(Inputs!$B$20+Inputs!$B$19-Inputs!$B$21)*Inputs!$B$15/12,0)</f>
        <v>12550000</v>
      </c>
      <c r="CL21" s="0" t="n">
        <f aca="false">IF((CL$3&gt;=1),(Inputs!$B$20+Inputs!$B$19-Inputs!$B$21)*Inputs!$B$15/12,0)</f>
        <v>12550000</v>
      </c>
      <c r="CM21" s="0" t="n">
        <f aca="false">IF((CM$3&gt;=1),(Inputs!$B$20+Inputs!$B$19-Inputs!$B$21)*Inputs!$B$15/12,0)</f>
        <v>12550000</v>
      </c>
      <c r="CN21" s="0" t="n">
        <f aca="false">IF((CN$3&gt;=1),(Inputs!$B$20+Inputs!$B$19-Inputs!$B$21)*Inputs!$B$15/12,0)</f>
        <v>12550000</v>
      </c>
      <c r="CO21" s="0" t="n">
        <f aca="false">IF((CO$3&gt;=1),(Inputs!$B$20+Inputs!$B$19-Inputs!$B$21)*Inputs!$B$15/12,0)</f>
        <v>12550000</v>
      </c>
      <c r="CP21" s="0" t="n">
        <f aca="false">IF((CP$3&gt;=1),(Inputs!$B$20+Inputs!$B$19-Inputs!$B$21)*Inputs!$B$15/12,0)</f>
        <v>12550000</v>
      </c>
      <c r="CQ21" s="0" t="n">
        <f aca="false">IF((CQ$3&gt;=1),(Inputs!$B$20+Inputs!$B$19-Inputs!$B$21)*Inputs!$B$15/12,0)</f>
        <v>12550000</v>
      </c>
      <c r="CR21" s="0" t="n">
        <f aca="false">IF((CR$3&gt;=1),(Inputs!$B$20+Inputs!$B$19-Inputs!$B$21)*Inputs!$B$15/12,0)</f>
        <v>12550000</v>
      </c>
      <c r="CS21" s="0" t="n">
        <f aca="false">IF((CS$3&gt;=1),(Inputs!$B$20+Inputs!$B$19-Inputs!$B$21)*Inputs!$B$15/12,0)</f>
        <v>12550000</v>
      </c>
      <c r="CT21" s="0" t="n">
        <f aca="false">IF((CT$3&gt;=1),(Inputs!$B$20+Inputs!$B$19-Inputs!$B$21)*Inputs!$B$15/12,0)</f>
        <v>12550000</v>
      </c>
      <c r="CU21" s="0" t="n">
        <f aca="false">IF((CU$3&gt;=1),(Inputs!$B$20+Inputs!$B$19-Inputs!$B$21)*Inputs!$B$15/12,0)</f>
        <v>12550000</v>
      </c>
      <c r="CV21" s="0" t="n">
        <f aca="false">IF((CV$3&gt;=1),(Inputs!$B$20+Inputs!$B$19-Inputs!$B$21)*Inputs!$B$15/12,0)</f>
        <v>12550000</v>
      </c>
      <c r="CW21" s="0" t="n">
        <f aca="false">IF((CW$3&gt;=1),(Inputs!$B$20+Inputs!$B$19-Inputs!$B$21)*Inputs!$B$15/12,0)</f>
        <v>12550000</v>
      </c>
      <c r="CX21" s="0" t="n">
        <f aca="false">IF((CX$3&gt;=1),(Inputs!$B$20+Inputs!$B$19-Inputs!$B$21)*Inputs!$B$15/12,0)</f>
        <v>12550000</v>
      </c>
      <c r="CY21" s="0" t="n">
        <f aca="false">IF((CY$3&gt;=1),(Inputs!$B$20+Inputs!$B$19-Inputs!$B$21)*Inputs!$B$15/12,0)</f>
        <v>12550000</v>
      </c>
      <c r="CZ21" s="0" t="n">
        <f aca="false">IF((CZ$3&gt;=1),(Inputs!$B$20+Inputs!$B$19-Inputs!$B$21)*Inputs!$B$15/12,0)</f>
        <v>12550000</v>
      </c>
      <c r="DA21" s="0" t="n">
        <f aca="false">IF((DA$3&gt;=1),(Inputs!$B$20+Inputs!$B$19-Inputs!$B$21)*Inputs!$B$15/12,0)</f>
        <v>12550000</v>
      </c>
      <c r="DB21" s="0" t="n">
        <f aca="false">IF((DB$3&gt;=1),(Inputs!$B$20+Inputs!$B$19-Inputs!$B$21)*Inputs!$B$15/12,0)</f>
        <v>12550000</v>
      </c>
      <c r="DC21" s="0" t="n">
        <f aca="false">IF((DC$3&gt;=1),(Inputs!$B$20+Inputs!$B$19-Inputs!$B$21)*Inputs!$B$15/12,0)</f>
        <v>12550000</v>
      </c>
      <c r="DD21" s="0" t="n">
        <f aca="false">IF((DD$3&gt;=1),(Inputs!$B$20+Inputs!$B$19-Inputs!$B$21)*Inputs!$B$15/12,0)</f>
        <v>12550000</v>
      </c>
      <c r="DE21" s="0" t="n">
        <f aca="false">IF((DE$3&gt;=1),(Inputs!$B$20+Inputs!$B$19-Inputs!$B$21)*Inputs!$B$15/12,0)</f>
        <v>12550000</v>
      </c>
      <c r="DF21" s="0" t="n">
        <f aca="false">IF((DF$3&gt;=1),(Inputs!$B$20+Inputs!$B$19-Inputs!$B$21)*Inputs!$B$15/12,0)</f>
        <v>12550000</v>
      </c>
      <c r="DG21" s="0" t="n">
        <f aca="false">IF((DG$3&gt;=1),(Inputs!$B$20+Inputs!$B$19-Inputs!$B$21)*Inputs!$B$15/12,0)</f>
        <v>12550000</v>
      </c>
      <c r="DH21" s="0" t="n">
        <f aca="false">IF((DH$3&gt;=1),(Inputs!$B$20+Inputs!$B$19-Inputs!$B$21)*Inputs!$B$15/12,0)</f>
        <v>12550000</v>
      </c>
      <c r="DI21" s="0" t="n">
        <f aca="false">IF((DI$3&gt;=1),(Inputs!$B$20+Inputs!$B$19-Inputs!$B$21)*Inputs!$B$15/12,0)</f>
        <v>12550000</v>
      </c>
      <c r="DJ21" s="0" t="n">
        <f aca="false">IF((DJ$3&gt;=1),(Inputs!$B$20+Inputs!$B$19-Inputs!$B$21)*Inputs!$B$15/12,0)</f>
        <v>12550000</v>
      </c>
      <c r="DK21" s="0" t="n">
        <f aca="false">IF((DK$3&gt;=1),(Inputs!$B$20+Inputs!$B$19-Inputs!$B$21)*Inputs!$B$15/12,0)</f>
        <v>12550000</v>
      </c>
      <c r="DL21" s="0" t="n">
        <f aca="false">IF((DL$3&gt;=1),(Inputs!$B$20+Inputs!$B$19-Inputs!$B$21)*Inputs!$B$15/12,0)</f>
        <v>12550000</v>
      </c>
      <c r="DM21" s="0" t="n">
        <f aca="false">IF((DM$3&gt;=1),(Inputs!$B$20+Inputs!$B$19-Inputs!$B$21)*Inputs!$B$15/12,0)</f>
        <v>12550000</v>
      </c>
      <c r="DN21" s="0" t="n">
        <f aca="false">IF((DN$3&gt;=1),(Inputs!$B$20+Inputs!$B$19-Inputs!$B$21)*Inputs!$B$15/12,0)</f>
        <v>12550000</v>
      </c>
      <c r="DO21" s="0" t="n">
        <f aca="false">IF((DO$3&gt;=1),(Inputs!$B$20+Inputs!$B$19-Inputs!$B$21)*Inputs!$B$15/12,0)</f>
        <v>12550000</v>
      </c>
      <c r="DP21" s="0" t="n">
        <f aca="false">IF((DP$3&gt;=1),(Inputs!$B$20+Inputs!$B$19-Inputs!$B$21)*Inputs!$B$15/12,0)</f>
        <v>12550000</v>
      </c>
      <c r="DQ21" s="0" t="n">
        <f aca="false">IF((DQ$3&gt;=1),(Inputs!$B$20+Inputs!$B$19-Inputs!$B$21)*Inputs!$B$15/12,0)</f>
        <v>12550000</v>
      </c>
      <c r="DR21" s="0" t="n">
        <f aca="false">IF((DR$3&gt;=1),(Inputs!$B$20+Inputs!$B$19-Inputs!$B$21)*Inputs!$B$15/12,0)</f>
        <v>12550000</v>
      </c>
    </row>
    <row r="22" customFormat="false" ht="15" hidden="false" customHeight="false" outlineLevel="0" collapsed="false">
      <c r="A22" s="0" t="s">
        <v>44</v>
      </c>
      <c r="B22" s="0" t="n">
        <f aca="false">MAX(0,B20-B21)*Inputs!$B$14</f>
        <v>0</v>
      </c>
      <c r="C22" s="0" t="n">
        <f aca="false">MAX(0,C20-C21)*Inputs!$B$14</f>
        <v>372366.561859199</v>
      </c>
      <c r="D22" s="0" t="n">
        <f aca="false">MAX(0,D20-D21)*Inputs!$B$14</f>
        <v>0</v>
      </c>
      <c r="E22" s="0" t="n">
        <f aca="false">MAX(0,E20-E21)*Inputs!$B$14</f>
        <v>0</v>
      </c>
      <c r="F22" s="0" t="n">
        <f aca="false">MAX(0,F20-F21)*Inputs!$B$14</f>
        <v>0</v>
      </c>
      <c r="G22" s="0" t="n">
        <f aca="false">MAX(0,G20-G21)*Inputs!$B$14</f>
        <v>0</v>
      </c>
      <c r="H22" s="0" t="n">
        <f aca="false">MAX(0,H20-H21)*Inputs!$B$14</f>
        <v>0</v>
      </c>
      <c r="I22" s="0" t="n">
        <f aca="false">MAX(0,I20-I21)*Inputs!$B$14</f>
        <v>0</v>
      </c>
      <c r="J22" s="0" t="n">
        <f aca="false">MAX(0,J20-J21)*Inputs!$B$14</f>
        <v>0</v>
      </c>
      <c r="K22" s="0" t="n">
        <f aca="false">MAX(0,K20-K21)*Inputs!$B$14</f>
        <v>0</v>
      </c>
      <c r="L22" s="0" t="n">
        <f aca="false">MAX(0,L20-L21)*Inputs!$B$14</f>
        <v>0</v>
      </c>
      <c r="M22" s="0" t="n">
        <f aca="false">MAX(0,M20-M21)*Inputs!$B$14</f>
        <v>0</v>
      </c>
      <c r="N22" s="0" t="n">
        <f aca="false">MAX(0,N20-N21)*Inputs!$B$14</f>
        <v>917559.153086399</v>
      </c>
      <c r="O22" s="0" t="n">
        <f aca="false">MAX(0,O20-O21)*Inputs!$B$14</f>
        <v>702884.313441</v>
      </c>
      <c r="P22" s="0" t="n">
        <f aca="false">MAX(0,P20-P21)*Inputs!$B$14</f>
        <v>68145.4514758062</v>
      </c>
      <c r="Q22" s="0" t="n">
        <f aca="false">MAX(0,Q20-Q21)*Inputs!$B$14</f>
        <v>0</v>
      </c>
      <c r="R22" s="0" t="n">
        <f aca="false">MAX(0,R20-R21)*Inputs!$B$14</f>
        <v>0</v>
      </c>
      <c r="S22" s="0" t="n">
        <f aca="false">MAX(0,S20-S21)*Inputs!$B$14</f>
        <v>0</v>
      </c>
      <c r="T22" s="0" t="n">
        <f aca="false">MAX(0,T20-T21)*Inputs!$B$14</f>
        <v>0</v>
      </c>
      <c r="U22" s="0" t="n">
        <f aca="false">MAX(0,U20-U21)*Inputs!$B$14</f>
        <v>0</v>
      </c>
      <c r="V22" s="0" t="n">
        <f aca="false">MAX(0,V20-V21)*Inputs!$B$14</f>
        <v>0</v>
      </c>
      <c r="W22" s="0" t="n">
        <f aca="false">MAX(0,W20-W21)*Inputs!$B$14</f>
        <v>0</v>
      </c>
      <c r="X22" s="0" t="n">
        <f aca="false">MAX(0,X20-X21)*Inputs!$B$14</f>
        <v>0</v>
      </c>
      <c r="Y22" s="0" t="n">
        <f aca="false">MAX(0,Y20-Y21)*Inputs!$B$14</f>
        <v>0</v>
      </c>
      <c r="Z22" s="0" t="n">
        <f aca="false">MAX(0,Z20-Z21)*Inputs!$B$14</f>
        <v>1321030.8067095</v>
      </c>
      <c r="AA22" s="0" t="n">
        <f aca="false">MAX(0,AA20-AA21)*Inputs!$B$14</f>
        <v>916727.506006572</v>
      </c>
      <c r="AB22" s="0" t="n">
        <f aca="false">MAX(0,AB20-AB21)*Inputs!$B$14</f>
        <v>231475.29210029</v>
      </c>
      <c r="AC22" s="0" t="n">
        <f aca="false">MAX(0,AC20-AC21)*Inputs!$B$14</f>
        <v>0</v>
      </c>
      <c r="AD22" s="0" t="n">
        <f aca="false">MAX(0,AD20-AD21)*Inputs!$B$14</f>
        <v>0</v>
      </c>
      <c r="AE22" s="0" t="n">
        <f aca="false">MAX(0,AE20-AE21)*Inputs!$B$14</f>
        <v>0</v>
      </c>
      <c r="AF22" s="0" t="n">
        <f aca="false">MAX(0,AF20-AF21)*Inputs!$B$14</f>
        <v>0</v>
      </c>
      <c r="AG22" s="0" t="n">
        <f aca="false">MAX(0,AG20-AG21)*Inputs!$B$14</f>
        <v>0</v>
      </c>
      <c r="AH22" s="0" t="n">
        <f aca="false">MAX(0,AH20-AH21)*Inputs!$B$14</f>
        <v>0</v>
      </c>
      <c r="AI22" s="0" t="n">
        <f aca="false">MAX(0,AI20-AI21)*Inputs!$B$14</f>
        <v>0</v>
      </c>
      <c r="AJ22" s="0" t="n">
        <f aca="false">MAX(0,AJ20-AJ21)*Inputs!$B$14</f>
        <v>0</v>
      </c>
      <c r="AK22" s="0" t="n">
        <f aca="false">MAX(0,AK20-AK21)*Inputs!$B$14</f>
        <v>22862.3760503529</v>
      </c>
      <c r="AL22" s="0" t="n">
        <f aca="false">MAX(0,AL20-AL21)*Inputs!$B$14</f>
        <v>1558731.81767805</v>
      </c>
      <c r="AM22" s="0" t="n">
        <f aca="false">MAX(0,AM20-AM21)*Inputs!$B$14</f>
        <v>43846.9271858535</v>
      </c>
      <c r="AN22" s="0" t="n">
        <f aca="false">MAX(0,AN20-AN21)*Inputs!$B$14</f>
        <v>0</v>
      </c>
      <c r="AO22" s="0" t="n">
        <f aca="false">MAX(0,AO20-AO21)*Inputs!$B$14</f>
        <v>0</v>
      </c>
      <c r="AP22" s="0" t="n">
        <f aca="false">MAX(0,AP20-AP21)*Inputs!$B$14</f>
        <v>0</v>
      </c>
      <c r="AQ22" s="0" t="n">
        <f aca="false">MAX(0,AQ20-AQ21)*Inputs!$B$14</f>
        <v>0</v>
      </c>
      <c r="AR22" s="0" t="n">
        <f aca="false">MAX(0,AR20-AR21)*Inputs!$B$14</f>
        <v>0</v>
      </c>
      <c r="AS22" s="0" t="n">
        <f aca="false">MAX(0,AS20-AS21)*Inputs!$B$14</f>
        <v>0</v>
      </c>
      <c r="AT22" s="0" t="n">
        <f aca="false">MAX(0,AT20-AT21)*Inputs!$B$14</f>
        <v>0</v>
      </c>
      <c r="AU22" s="0" t="n">
        <f aca="false">MAX(0,AU20-AU21)*Inputs!$B$14</f>
        <v>0</v>
      </c>
      <c r="AV22" s="0" t="n">
        <f aca="false">MAX(0,AV20-AV21)*Inputs!$B$14</f>
        <v>0</v>
      </c>
      <c r="AW22" s="0" t="n">
        <f aca="false">MAX(0,AW20-AW21)*Inputs!$B$14</f>
        <v>125466.286733123</v>
      </c>
      <c r="AX22" s="0" t="n">
        <f aca="false">MAX(0,AX20-AX21)*Inputs!$B$14</f>
        <v>1745808.54765034</v>
      </c>
      <c r="AY22" s="0" t="n">
        <f aca="false">MAX(0,AY20-AY21)*Inputs!$B$14</f>
        <v>1228476.18757296</v>
      </c>
      <c r="AZ22" s="0" t="n">
        <f aca="false">MAX(0,AZ20-AZ21)*Inputs!$B$14</f>
        <v>465773.342189925</v>
      </c>
      <c r="BA22" s="0" t="n">
        <f aca="false">MAX(0,BA20-BA21)*Inputs!$B$14</f>
        <v>152067.95237521</v>
      </c>
      <c r="BB22" s="0" t="n">
        <f aca="false">MAX(0,BB20-BB21)*Inputs!$B$14</f>
        <v>0</v>
      </c>
      <c r="BC22" s="0" t="n">
        <f aca="false">MAX(0,BC20-BC21)*Inputs!$B$14</f>
        <v>0</v>
      </c>
      <c r="BD22" s="0" t="n">
        <f aca="false">MAX(0,BD20-BD21)*Inputs!$B$14</f>
        <v>0</v>
      </c>
      <c r="BE22" s="0" t="n">
        <f aca="false">MAX(0,BE20-BE21)*Inputs!$B$14</f>
        <v>0</v>
      </c>
      <c r="BF22" s="0" t="n">
        <f aca="false">MAX(0,BF20-BF21)*Inputs!$B$14</f>
        <v>0</v>
      </c>
      <c r="BG22" s="0" t="n">
        <f aca="false">MAX(0,BG20-BG21)*Inputs!$B$14</f>
        <v>0</v>
      </c>
      <c r="BH22" s="0" t="n">
        <f aca="false">MAX(0,BH20-BH21)*Inputs!$B$14</f>
        <v>0</v>
      </c>
      <c r="BI22" s="0" t="n">
        <f aca="false">MAX(0,BI20-BI21)*Inputs!$B$14</f>
        <v>233581.951303444</v>
      </c>
      <c r="BJ22" s="0" t="n">
        <f aca="false">MAX(0,BJ20-BJ21)*Inputs!$B$14</f>
        <v>1943043.03657111</v>
      </c>
      <c r="BK22" s="0" t="n">
        <f aca="false">MAX(0,BK20-BK21)*Inputs!$B$14</f>
        <v>1397118.04781748</v>
      </c>
      <c r="BL22" s="0" t="n">
        <f aca="false">MAX(0,BL20-BL21)*Inputs!$B$14</f>
        <v>592466.54593837</v>
      </c>
      <c r="BM22" s="0" t="n">
        <f aca="false">MAX(0,BM20-BM21)*Inputs!$B$14</f>
        <v>261507.359683848</v>
      </c>
      <c r="BN22" s="0" t="n">
        <f aca="false">MAX(0,BN20-BN21)*Inputs!$B$14</f>
        <v>0</v>
      </c>
      <c r="BO22" s="0" t="n">
        <f aca="false">MAX(0,BO20-BO21)*Inputs!$B$14</f>
        <v>0</v>
      </c>
      <c r="BP22" s="0" t="n">
        <f aca="false">MAX(0,BP20-BP21)*Inputs!$B$14</f>
        <v>0</v>
      </c>
      <c r="BQ22" s="0" t="n">
        <f aca="false">MAX(0,BQ20-BQ21)*Inputs!$B$14</f>
        <v>0</v>
      </c>
      <c r="BR22" s="0" t="n">
        <f aca="false">MAX(0,BR20-BR21)*Inputs!$B$14</f>
        <v>0</v>
      </c>
      <c r="BS22" s="0" t="n">
        <f aca="false">MAX(0,BS20-BS21)*Inputs!$B$14</f>
        <v>0</v>
      </c>
      <c r="BT22" s="0" t="n">
        <f aca="false">MAX(0,BT20-BT21)*Inputs!$B$14</f>
        <v>0</v>
      </c>
      <c r="BU22" s="0" t="n">
        <f aca="false">MAX(0,BU20-BU21)*Inputs!$B$14</f>
        <v>347504.628553133</v>
      </c>
      <c r="BV22" s="0" t="n">
        <f aca="false">MAX(0,BV20-BV21)*Inputs!$B$14</f>
        <v>2150986.07351052</v>
      </c>
      <c r="BW22" s="0" t="n">
        <f aca="false">MAX(0,BW20-BW21)*Inputs!$B$14</f>
        <v>1574887.50057112</v>
      </c>
      <c r="BX22" s="0" t="n">
        <f aca="false">MAX(0,BX20-BX21)*Inputs!$B$14</f>
        <v>725980.166088659</v>
      </c>
      <c r="BY22" s="0" t="n">
        <f aca="false">MAX(0,BY20-BY21)*Inputs!$B$14</f>
        <v>376818.224590139</v>
      </c>
      <c r="BZ22" s="0" t="n">
        <f aca="false">MAX(0,BZ20-BZ21)*Inputs!$B$14</f>
        <v>0</v>
      </c>
      <c r="CA22" s="0" t="n">
        <f aca="false">MAX(0,CA20-CA21)*Inputs!$B$14</f>
        <v>0</v>
      </c>
      <c r="CB22" s="0" t="n">
        <f aca="false">MAX(0,CB20-CB21)*Inputs!$B$14</f>
        <v>0</v>
      </c>
      <c r="CC22" s="0" t="n">
        <f aca="false">MAX(0,CC20-CC21)*Inputs!$B$14</f>
        <v>0</v>
      </c>
      <c r="CD22" s="0" t="n">
        <f aca="false">MAX(0,CD20-CD21)*Inputs!$B$14</f>
        <v>0</v>
      </c>
      <c r="CE22" s="0" t="n">
        <f aca="false">MAX(0,CE20-CE21)*Inputs!$B$14</f>
        <v>0</v>
      </c>
      <c r="CF22" s="0" t="n">
        <f aca="false">MAX(0,CF20-CF21)*Inputs!$B$14</f>
        <v>0</v>
      </c>
      <c r="CG22" s="0" t="n">
        <f aca="false">MAX(0,CG20-CG21)*Inputs!$B$14</f>
        <v>467545.343247234</v>
      </c>
      <c r="CH22" s="0" t="n">
        <f aca="false">MAX(0,CH20-CH21)*Inputs!$B$14</f>
        <v>2370218.26767728</v>
      </c>
      <c r="CI22" s="0" t="n">
        <f aca="false">MAX(0,CI20-CI21)*Inputs!$B$14</f>
        <v>1762277.70083363</v>
      </c>
      <c r="CJ22" s="0" t="n">
        <f aca="false">MAX(0,CJ20-CJ21)*Inputs!$B$14</f>
        <v>866680.462954637</v>
      </c>
      <c r="CK22" s="0" t="n">
        <f aca="false">MAX(0,CK20-CK21)*Inputs!$B$14</f>
        <v>498314.614673698</v>
      </c>
      <c r="CL22" s="0" t="n">
        <f aca="false">MAX(0,CL20-CL21)*Inputs!$B$14</f>
        <v>0</v>
      </c>
      <c r="CM22" s="0" t="n">
        <f aca="false">MAX(0,CM20-CM21)*Inputs!$B$14</f>
        <v>0</v>
      </c>
      <c r="CN22" s="0" t="n">
        <f aca="false">MAX(0,CN20-CN21)*Inputs!$B$14</f>
        <v>0</v>
      </c>
      <c r="CO22" s="0" t="n">
        <f aca="false">MAX(0,CO20-CO21)*Inputs!$B$14</f>
        <v>0</v>
      </c>
      <c r="CP22" s="0" t="n">
        <f aca="false">MAX(0,CP20-CP21)*Inputs!$B$14</f>
        <v>0</v>
      </c>
      <c r="CQ22" s="0" t="n">
        <f aca="false">MAX(0,CQ20-CQ21)*Inputs!$B$14</f>
        <v>0</v>
      </c>
      <c r="CR22" s="0" t="n">
        <f aca="false">MAX(0,CR20-CR21)*Inputs!$B$14</f>
        <v>48734.2486615257</v>
      </c>
      <c r="CS22" s="0" t="n">
        <f aca="false">MAX(0,CS20-CS21)*Inputs!$B$14</f>
        <v>594031.724856934</v>
      </c>
      <c r="CT22" s="0" t="n">
        <f aca="false">MAX(0,CT20-CT21)*Inputs!$B$14</f>
        <v>2601351.66013063</v>
      </c>
      <c r="CU22" s="0" t="n">
        <f aca="false">MAX(0,CU20-CU21)*Inputs!$B$14</f>
        <v>1959808.39537445</v>
      </c>
      <c r="CV22" s="0" t="n">
        <f aca="false">MAX(0,CV20-CV21)*Inputs!$B$14</f>
        <v>1014953.30941211</v>
      </c>
      <c r="CW22" s="0" t="n">
        <f aca="false">MAX(0,CW20-CW21)*Inputs!$B$14</f>
        <v>626327.339475717</v>
      </c>
      <c r="CX22" s="0" t="n">
        <f aca="false">MAX(0,CX20-CX21)*Inputs!$B$14</f>
        <v>0</v>
      </c>
      <c r="CY22" s="0" t="n">
        <f aca="false">MAX(0,CY20-CY21)*Inputs!$B$14</f>
        <v>0</v>
      </c>
      <c r="CZ22" s="0" t="n">
        <f aca="false">MAX(0,CZ20-CZ21)*Inputs!$B$14</f>
        <v>0</v>
      </c>
      <c r="DA22" s="0" t="n">
        <f aca="false">MAX(0,DA20-DA21)*Inputs!$B$14</f>
        <v>0</v>
      </c>
      <c r="DB22" s="0" t="n">
        <f aca="false">MAX(0,DB20-DB21)*Inputs!$B$14</f>
        <v>0</v>
      </c>
      <c r="DC22" s="0" t="n">
        <f aca="false">MAX(0,DC20-DC21)*Inputs!$B$14</f>
        <v>0</v>
      </c>
      <c r="DD22" s="0" t="n">
        <f aca="false">MAX(0,DD20-DD21)*Inputs!$B$14</f>
        <v>152020.053332877</v>
      </c>
      <c r="DE22" s="0" t="n">
        <f aca="false">MAX(0,DE20-DE21)*Inputs!$B$14</f>
        <v>727308.890719033</v>
      </c>
      <c r="DF22" s="0" t="n">
        <f aca="false">MAX(0,DF20-DF21)*Inputs!$B$14</f>
        <v>2845031.42243278</v>
      </c>
      <c r="DG22" s="0" t="n">
        <f aca="false">MAX(0,DG20-DG21)*Inputs!$B$14</f>
        <v>2168027.3533747</v>
      </c>
      <c r="DH22" s="0" t="n">
        <f aca="false">MAX(0,DH20-DH21)*Inputs!$B$14</f>
        <v>1171205.23768444</v>
      </c>
      <c r="DI22" s="0" t="n">
        <f aca="false">MAX(0,DI20-DI21)*Inputs!$B$14</f>
        <v>761204.839401548</v>
      </c>
      <c r="DJ22" s="0" t="n">
        <f aca="false">MAX(0,DJ20-DJ21)*Inputs!$B$14</f>
        <v>0</v>
      </c>
      <c r="DK22" s="0" t="n">
        <f aca="false">MAX(0,DK20-DK21)*Inputs!$B$14</f>
        <v>0</v>
      </c>
      <c r="DL22" s="0" t="n">
        <f aca="false">MAX(0,DL20-DL21)*Inputs!$B$14</f>
        <v>0</v>
      </c>
      <c r="DM22" s="0" t="n">
        <f aca="false">MAX(0,DM20-DM21)*Inputs!$B$14</f>
        <v>0</v>
      </c>
      <c r="DN22" s="0" t="n">
        <f aca="false">MAX(0,DN20-DN21)*Inputs!$B$14</f>
        <v>0</v>
      </c>
      <c r="DO22" s="0" t="n">
        <f aca="false">MAX(0,DO20-DO21)*Inputs!$B$14</f>
        <v>0</v>
      </c>
      <c r="DP22" s="0" t="n">
        <f aca="false">MAX(0,DP20-DP21)*Inputs!$B$14</f>
        <v>260810.652520848</v>
      </c>
      <c r="DQ22" s="0" t="n">
        <f aca="false">MAX(0,DQ20-DQ21)*Inputs!$B$14</f>
        <v>867740.375963244</v>
      </c>
      <c r="DR22" s="0" t="n">
        <f aca="false">MAX(0,DR20-DR21)*Inputs!$B$14</f>
        <v>3101937.64692125</v>
      </c>
    </row>
    <row r="23" customFormat="false" ht="15" hidden="false" customHeight="false" outlineLevel="0" collapsed="false">
      <c r="A23" s="0" t="s">
        <v>45</v>
      </c>
      <c r="B23" s="0" t="n">
        <f aca="false">B20-B22</f>
        <v>0</v>
      </c>
      <c r="C23" s="0" t="n">
        <f aca="false">C20-C22</f>
        <v>14660077.1838688</v>
      </c>
      <c r="D23" s="0" t="n">
        <f aca="false">D20-D22</f>
        <v>11300265.6005161</v>
      </c>
      <c r="E23" s="0" t="n">
        <f aca="false">E20-E22</f>
        <v>9765192.79072</v>
      </c>
      <c r="F23" s="0" t="n">
        <f aca="false">F20-F22</f>
        <v>6750302.88531613</v>
      </c>
      <c r="G23" s="0" t="n">
        <f aca="false">G20-G22</f>
        <v>4861938.852928</v>
      </c>
      <c r="H23" s="0" t="n">
        <f aca="false">H20-H22</f>
        <v>3616267.84619355</v>
      </c>
      <c r="I23" s="0" t="n">
        <f aca="false">I20-I22</f>
        <v>4423001.273344</v>
      </c>
      <c r="J23" s="0" t="n">
        <f aca="false">J20-J22</f>
        <v>5134936.61584</v>
      </c>
      <c r="K23" s="0" t="n">
        <f aca="false">K20-K22</f>
        <v>5978449.62774709</v>
      </c>
      <c r="L23" s="0" t="n">
        <f aca="false">L20-L22</f>
        <v>7891678.73152</v>
      </c>
      <c r="M23" s="0" t="n">
        <f aca="false">M20-M22</f>
        <v>10164069.9775174</v>
      </c>
      <c r="N23" s="0" t="n">
        <f aca="false">N20-N22</f>
        <v>17749501.8674896</v>
      </c>
      <c r="O23" s="0" t="n">
        <f aca="false">O20-O22</f>
        <v>16533011.109499</v>
      </c>
      <c r="P23" s="0" t="n">
        <f aca="false">P20-P22</f>
        <v>12936157.5583629</v>
      </c>
      <c r="Q23" s="0" t="n">
        <f aca="false">Q20-Q22</f>
        <v>11263817.3731</v>
      </c>
      <c r="R23" s="0" t="n">
        <f aca="false">R20-R22</f>
        <v>7845495.7513387</v>
      </c>
      <c r="S23" s="0" t="n">
        <f aca="false">S20-S22</f>
        <v>5704443.90394</v>
      </c>
      <c r="T23" s="0" t="n">
        <f aca="false">T20-T22</f>
        <v>4292085.81806451</v>
      </c>
      <c r="U23" s="0" t="n">
        <f aca="false">U20-U22</f>
        <v>5206770.73312</v>
      </c>
      <c r="V23" s="0" t="n">
        <f aca="false">V20-V22</f>
        <v>6013972.33945</v>
      </c>
      <c r="W23" s="0" t="n">
        <f aca="false">W20-W22</f>
        <v>6970358.42892903</v>
      </c>
      <c r="X23" s="0" t="n">
        <f aca="false">X20-X22</f>
        <v>9139602.6196</v>
      </c>
      <c r="Y23" s="0" t="n">
        <f aca="false">Y20-Y22</f>
        <v>11716069.5464258</v>
      </c>
      <c r="Z23" s="0" t="n">
        <f aca="false">Z20-Z22</f>
        <v>20035841.2380205</v>
      </c>
      <c r="AA23" s="0" t="n">
        <f aca="false">AA20-AA22</f>
        <v>17744789.2007039</v>
      </c>
      <c r="AB23" s="0" t="n">
        <f aca="false">AB20-AB22</f>
        <v>13861693.3219016</v>
      </c>
      <c r="AC23" s="0" t="n">
        <f aca="false">AC20-AC22</f>
        <v>12214172.8453252</v>
      </c>
      <c r="AD23" s="0" t="n">
        <f aca="false">AD20-AD22</f>
        <v>8523816.70121993</v>
      </c>
      <c r="AE23" s="0" t="n">
        <f aca="false">AE20-AE22</f>
        <v>6212377.13696248</v>
      </c>
      <c r="AF23" s="0" t="n">
        <f aca="false">AF20-AF22</f>
        <v>4687621.74042323</v>
      </c>
      <c r="AG23" s="0" t="n">
        <f aca="false">AG20-AG22</f>
        <v>5675098.48184704</v>
      </c>
      <c r="AH23" s="0" t="n">
        <f aca="false">AH20-AH22</f>
        <v>6546538.2517294</v>
      </c>
      <c r="AI23" s="0" t="n">
        <f aca="false">AI20-AI22</f>
        <v>7579034.80178405</v>
      </c>
      <c r="AJ23" s="0" t="n">
        <f aca="false">AJ20-AJ22</f>
        <v>9920910.29300319</v>
      </c>
      <c r="AK23" s="0" t="n">
        <f aca="false">AK20-AK22</f>
        <v>12679553.4642853</v>
      </c>
      <c r="AL23" s="0" t="n">
        <f aca="false">AL20-AL22</f>
        <v>21382813.6335089</v>
      </c>
      <c r="AM23" s="0" t="n">
        <f aca="false">AM20-AM22</f>
        <v>12798465.9207198</v>
      </c>
      <c r="AN23" s="0" t="n">
        <f aca="false">AN20-AN22</f>
        <v>9468587.78144043</v>
      </c>
      <c r="AO23" s="0" t="n">
        <f aca="false">AO20-AO22</f>
        <v>8080949.40627266</v>
      </c>
      <c r="AP23" s="0" t="n">
        <f aca="false">AP20-AP22</f>
        <v>5355621.39385092</v>
      </c>
      <c r="AQ23" s="0" t="n">
        <f aca="false">AQ20-AQ22</f>
        <v>3648623.27564679</v>
      </c>
      <c r="AR23" s="0" t="n">
        <f aca="false">AR20-AR22</f>
        <v>2522591.41530255</v>
      </c>
      <c r="AS23" s="0" t="n">
        <f aca="false">AS20-AS22</f>
        <v>5972622.09834862</v>
      </c>
      <c r="AT23" s="0" t="n">
        <f aca="false">AT20-AT22</f>
        <v>6891991.05557452</v>
      </c>
      <c r="AU23" s="0" t="n">
        <f aca="false">AU20-AU22</f>
        <v>7981274.91588217</v>
      </c>
      <c r="AV23" s="0" t="n">
        <f aca="false">AV20-AV22</f>
        <v>10451953.5591184</v>
      </c>
      <c r="AW23" s="0" t="n">
        <f aca="false">AW20-AW22</f>
        <v>13260975.624821</v>
      </c>
      <c r="AX23" s="0" t="n">
        <f aca="false">AX20-AX22</f>
        <v>22442915.1033519</v>
      </c>
      <c r="AY23" s="0" t="n">
        <f aca="false">AY20-AY22</f>
        <v>19511365.0629135</v>
      </c>
      <c r="AZ23" s="0" t="n">
        <f aca="false">AZ20-AZ22</f>
        <v>15189382.2724096</v>
      </c>
      <c r="BA23" s="0" t="n">
        <f aca="false">BA20-BA22</f>
        <v>13411718.3967929</v>
      </c>
      <c r="BB23" s="0" t="n">
        <f aca="false">BB20-BB22</f>
        <v>9456327.70187532</v>
      </c>
      <c r="BC23" s="0" t="n">
        <f aca="false">BC20-BC22</f>
        <v>6883637.68086766</v>
      </c>
      <c r="BD23" s="0" t="n">
        <f aca="false">BD20-BD22</f>
        <v>5186546.80563456</v>
      </c>
      <c r="BE23" s="0" t="n">
        <f aca="false">BE20-BE22</f>
        <v>6285633.1057578</v>
      </c>
      <c r="BF23" s="0" t="n">
        <f aca="false">BF20-BF22</f>
        <v>7255567.35563111</v>
      </c>
      <c r="BG23" s="0" t="n">
        <f aca="false">BG20-BG22</f>
        <v>8404761.82825569</v>
      </c>
      <c r="BH23" s="0" t="n">
        <f aca="false">BH20-BH22</f>
        <v>11011327.7968699</v>
      </c>
      <c r="BI23" s="0" t="n">
        <f aca="false">BI20-BI22</f>
        <v>13873631.0573862</v>
      </c>
      <c r="BJ23" s="0" t="n">
        <f aca="false">BJ20-BJ22</f>
        <v>23560577.2072363</v>
      </c>
      <c r="BK23" s="0" t="n">
        <f aca="false">BK20-BK22</f>
        <v>20467002.2709657</v>
      </c>
      <c r="BL23" s="0" t="n">
        <f aca="false">BL20-BL22</f>
        <v>15907310.4269841</v>
      </c>
      <c r="BM23" s="0" t="n">
        <f aca="false">BM20-BM22</f>
        <v>14031875.0382085</v>
      </c>
      <c r="BN23" s="0" t="n">
        <f aca="false">BN20-BN22</f>
        <v>9960013.52499845</v>
      </c>
      <c r="BO23" s="0" t="n">
        <f aca="false">BO20-BO22</f>
        <v>7245825.55283538</v>
      </c>
      <c r="BP23" s="0" t="n">
        <f aca="false">BP20-BP22</f>
        <v>5455394.67946446</v>
      </c>
      <c r="BQ23" s="0" t="n">
        <f aca="false">BQ20-BQ22</f>
        <v>6614930.72609448</v>
      </c>
      <c r="BR23" s="0" t="n">
        <f aca="false">BR20-BR22</f>
        <v>7638211.35971082</v>
      </c>
      <c r="BS23" s="0" t="n">
        <f aca="false">BS20-BS22</f>
        <v>8850611.52832975</v>
      </c>
      <c r="BT23" s="0" t="n">
        <f aca="false">BT20-BT22</f>
        <v>11600538.6252177</v>
      </c>
      <c r="BU23" s="0" t="n">
        <f aca="false">BU20-BU22</f>
        <v>14519192.8951344</v>
      </c>
      <c r="BV23" s="0" t="n">
        <f aca="false">BV20-BV22</f>
        <v>24738921.0832263</v>
      </c>
      <c r="BW23" s="0" t="n">
        <f aca="false">BW20-BW22</f>
        <v>21474362.5032363</v>
      </c>
      <c r="BX23" s="0" t="n">
        <f aca="false">BX20-BX22</f>
        <v>16663887.6078357</v>
      </c>
      <c r="BY23" s="0" t="n">
        <f aca="false">BY20-BY22</f>
        <v>14685303.2726775</v>
      </c>
      <c r="BZ23" s="0" t="n">
        <f aca="false">BZ20-BZ22</f>
        <v>10490417.3363646</v>
      </c>
      <c r="CA23" s="0" t="n">
        <f aca="false">CA20-CA22</f>
        <v>7626949.02573252</v>
      </c>
      <c r="CB23" s="0" t="n">
        <f aca="false">CB20-CB22</f>
        <v>5738044.4543262</v>
      </c>
      <c r="CC23" s="0" t="n">
        <f aca="false">CC20-CC22</f>
        <v>6961354.98352087</v>
      </c>
      <c r="CD23" s="0" t="n">
        <f aca="false">CD20-CD22</f>
        <v>8040916.05198611</v>
      </c>
      <c r="CE23" s="0" t="n">
        <f aca="false">CE20-CE22</f>
        <v>9319998.22987909</v>
      </c>
      <c r="CF23" s="0" t="n">
        <f aca="false">CF20-CF22</f>
        <v>12221171.3170959</v>
      </c>
      <c r="CG23" s="0" t="n">
        <f aca="false">CG20-CG22</f>
        <v>15199423.6117343</v>
      </c>
      <c r="CH23" s="0" t="n">
        <f aca="false">CH20-CH22</f>
        <v>25981236.8501712</v>
      </c>
      <c r="CI23" s="0" t="n">
        <f aca="false">CI20-CI22</f>
        <v>22536240.3047239</v>
      </c>
      <c r="CJ23" s="0" t="n">
        <f aca="false">CJ20-CJ22</f>
        <v>17461189.2900763</v>
      </c>
      <c r="CK23" s="0" t="n">
        <f aca="false">CK20-CK22</f>
        <v>15373782.8164843</v>
      </c>
      <c r="CL23" s="0" t="n">
        <f aca="false">CL20-CL22</f>
        <v>11048949.5414053</v>
      </c>
      <c r="CM23" s="0" t="n">
        <f aca="false">CM20-CM22</f>
        <v>8027990.47368849</v>
      </c>
      <c r="CN23" s="0" t="n">
        <f aca="false">CN20-CN22</f>
        <v>6035196.15085482</v>
      </c>
      <c r="CO23" s="0" t="n">
        <f aca="false">CO20-CO22</f>
        <v>7325788.75915519</v>
      </c>
      <c r="CP23" s="0" t="n">
        <f aca="false">CP20-CP22</f>
        <v>8464725.68638602</v>
      </c>
      <c r="CQ23" s="0" t="n">
        <f aca="false">CQ20-CQ22</f>
        <v>9814157.38406311</v>
      </c>
      <c r="CR23" s="0" t="n">
        <f aca="false">CR20-CR22</f>
        <v>12826160.7424153</v>
      </c>
      <c r="CS23" s="0" t="n">
        <f aca="false">CS20-CS22</f>
        <v>15916179.7741893</v>
      </c>
      <c r="CT23" s="0" t="n">
        <f aca="false">CT20-CT22</f>
        <v>27290992.7407402</v>
      </c>
      <c r="CU23" s="0" t="n">
        <f aca="false">CU20-CU22</f>
        <v>23655580.9071219</v>
      </c>
      <c r="CV23" s="0" t="n">
        <f aca="false">CV20-CV22</f>
        <v>18301402.0866686</v>
      </c>
      <c r="CW23" s="0" t="n">
        <f aca="false">CW20-CW22</f>
        <v>16099188.2570291</v>
      </c>
      <c r="CX23" s="0" t="n">
        <f aca="false">CX20-CX22</f>
        <v>11637094.5728157</v>
      </c>
      <c r="CY23" s="0" t="n">
        <f aca="false">CY20-CY22</f>
        <v>8449982.75637446</v>
      </c>
      <c r="CZ23" s="0" t="n">
        <f aca="false">CZ20-CZ22</f>
        <v>6347584.74578494</v>
      </c>
      <c r="DA23" s="0" t="n">
        <f aca="false">DA20-DA22</f>
        <v>7709159.94754184</v>
      </c>
      <c r="DB23" s="0" t="n">
        <f aca="false">DB20-DB22</f>
        <v>8910738.40577036</v>
      </c>
      <c r="DC23" s="0" t="n">
        <f aca="false">DC20-DC22</f>
        <v>10334388.8468197</v>
      </c>
      <c r="DD23" s="0" t="n">
        <f aca="false">DD20-DD22</f>
        <v>13411446.9688863</v>
      </c>
      <c r="DE23" s="0" t="n">
        <f aca="false">DE20-DE22</f>
        <v>16671417.0474079</v>
      </c>
      <c r="DF23" s="0" t="n">
        <f aca="false">DF20-DF22</f>
        <v>28671844.7271191</v>
      </c>
      <c r="DG23" s="0" t="n">
        <f aca="false">DG20-DG22</f>
        <v>24835488.33579</v>
      </c>
      <c r="DH23" s="0" t="n">
        <f aca="false">DH20-DH22</f>
        <v>19186829.6802118</v>
      </c>
      <c r="DI23" s="0" t="n">
        <f aca="false">DI20-DI22</f>
        <v>16863494.0899421</v>
      </c>
      <c r="DJ23" s="0" t="n">
        <f aca="false">DJ20-DJ22</f>
        <v>12256414.7493517</v>
      </c>
      <c r="DK23" s="0" t="n">
        <f aca="false">DK20-DK22</f>
        <v>8894011.78300616</v>
      </c>
      <c r="DL23" s="0" t="n">
        <f aca="false">DL20-DL22</f>
        <v>6675981.88183422</v>
      </c>
      <c r="DM23" s="0" t="n">
        <f aca="false">DM20-DM22</f>
        <v>8112443.71968774</v>
      </c>
      <c r="DN23" s="0" t="n">
        <f aca="false">DN20-DN22</f>
        <v>9380108.99311883</v>
      </c>
      <c r="DO23" s="0" t="n">
        <f aca="false">DO20-DO22</f>
        <v>10882060.2084259</v>
      </c>
      <c r="DP23" s="0" t="n">
        <f aca="false">DP20-DP22</f>
        <v>14027927.0309515</v>
      </c>
      <c r="DQ23" s="0" t="n">
        <f aca="false">DQ20-DQ22</f>
        <v>17467195.4637917</v>
      </c>
      <c r="DR23" s="0" t="n">
        <f aca="false">DR20-DR22</f>
        <v>30127646.6658871</v>
      </c>
    </row>
    <row r="24" customFormat="false" ht="15" hidden="false" customHeight="false" outlineLevel="0" collapsed="false">
      <c r="A24" s="0" t="s">
        <v>46</v>
      </c>
      <c r="B24" s="0" t="n">
        <f aca="false">IF(B7=1,Inputs!$B$19/Inputs!$B$17,0)</f>
        <v>0</v>
      </c>
      <c r="C24" s="0" t="n">
        <f aca="false">IF(C7=1,Inputs!$B$19/Inputs!$B$17,0)</f>
        <v>0</v>
      </c>
      <c r="D24" s="0" t="n">
        <f aca="false">IF(D7=1,Inputs!$B$19/Inputs!$B$17,0)</f>
        <v>0</v>
      </c>
      <c r="E24" s="0" t="n">
        <f aca="false">IF(E7=1,Inputs!$B$19/Inputs!$B$17,0)</f>
        <v>0</v>
      </c>
      <c r="F24" s="0" t="n">
        <f aca="false">IF(F7=1,Inputs!$B$19/Inputs!$B$17,0)</f>
        <v>0</v>
      </c>
      <c r="G24" s="0" t="n">
        <f aca="false">IF(G7=1,Inputs!$B$19/Inputs!$B$17,0)</f>
        <v>0</v>
      </c>
      <c r="H24" s="0" t="n">
        <f aca="false">IF(H7=1,Inputs!$B$19/Inputs!$B$17,0)</f>
        <v>0</v>
      </c>
      <c r="I24" s="0" t="n">
        <f aca="false">IF(I7=1,Inputs!$B$19/Inputs!$B$17,0)</f>
        <v>0</v>
      </c>
      <c r="J24" s="0" t="n">
        <f aca="false">IF(J7=1,Inputs!$B$19/Inputs!$B$17,0)</f>
        <v>0</v>
      </c>
      <c r="K24" s="0" t="n">
        <f aca="false">IF(K7=1,Inputs!$B$19/Inputs!$B$17,0)</f>
        <v>0</v>
      </c>
      <c r="L24" s="0" t="n">
        <f aca="false">IF(L7=1,Inputs!$B$19/Inputs!$B$17,0)</f>
        <v>0</v>
      </c>
      <c r="M24" s="0" t="n">
        <f aca="false">IF(M7=1,Inputs!$B$19/Inputs!$B$17,0)</f>
        <v>0</v>
      </c>
      <c r="N24" s="0" t="n">
        <f aca="false">IF(N7=1,Inputs!$B$19/Inputs!$B$17,0)</f>
        <v>0</v>
      </c>
      <c r="O24" s="0" t="n">
        <f aca="false">IF(O7=1,Inputs!$B$19/Inputs!$B$17,0)</f>
        <v>0</v>
      </c>
      <c r="P24" s="0" t="n">
        <f aca="false">IF(P7=1,Inputs!$B$19/Inputs!$B$17,0)</f>
        <v>0</v>
      </c>
      <c r="Q24" s="0" t="n">
        <f aca="false">IF(Q7=1,Inputs!$B$19/Inputs!$B$17,0)</f>
        <v>0</v>
      </c>
      <c r="R24" s="0" t="n">
        <f aca="false">IF(R7=1,Inputs!$B$19/Inputs!$B$17,0)</f>
        <v>0</v>
      </c>
      <c r="S24" s="0" t="n">
        <f aca="false">IF(S7=1,Inputs!$B$19/Inputs!$B$17,0)</f>
        <v>0</v>
      </c>
      <c r="T24" s="0" t="n">
        <f aca="false">IF(T7=1,Inputs!$B$19/Inputs!$B$17,0)</f>
        <v>0</v>
      </c>
      <c r="U24" s="0" t="n">
        <f aca="false">IF(U7=1,Inputs!$B$19/Inputs!$B$17,0)</f>
        <v>0</v>
      </c>
      <c r="V24" s="0" t="n">
        <f aca="false">IF(V7=1,Inputs!$B$19/Inputs!$B$17,0)</f>
        <v>0</v>
      </c>
      <c r="W24" s="0" t="n">
        <f aca="false">IF(W7=1,Inputs!$B$19/Inputs!$B$17,0)</f>
        <v>0</v>
      </c>
      <c r="X24" s="0" t="n">
        <f aca="false">IF(X7=1,Inputs!$B$19/Inputs!$B$17,0)</f>
        <v>0</v>
      </c>
      <c r="Y24" s="0" t="n">
        <f aca="false">IF(Y7=1,Inputs!$B$19/Inputs!$B$17,0)</f>
        <v>0</v>
      </c>
      <c r="Z24" s="0" t="n">
        <f aca="false">IF(Z7=1,Inputs!$B$19/Inputs!$B$17,0)</f>
        <v>0</v>
      </c>
      <c r="AA24" s="0" t="n">
        <f aca="false">IF(AA7=1,Inputs!$B$19/Inputs!$B$17,0)</f>
        <v>0</v>
      </c>
      <c r="AB24" s="0" t="n">
        <f aca="false">IF(AB7=1,Inputs!$B$19/Inputs!$B$17,0)</f>
        <v>0</v>
      </c>
      <c r="AC24" s="0" t="n">
        <f aca="false">IF(AC7=1,Inputs!$B$19/Inputs!$B$17,0)</f>
        <v>0</v>
      </c>
      <c r="AD24" s="0" t="n">
        <f aca="false">IF(AD7=1,Inputs!$B$19/Inputs!$B$17,0)</f>
        <v>0</v>
      </c>
      <c r="AE24" s="0" t="n">
        <f aca="false">IF(AE7=1,Inputs!$B$19/Inputs!$B$17,0)</f>
        <v>0</v>
      </c>
      <c r="AF24" s="0" t="n">
        <f aca="false">IF(AF7=1,Inputs!$B$19/Inputs!$B$17,0)</f>
        <v>0</v>
      </c>
      <c r="AG24" s="0" t="n">
        <f aca="false">IF(AG7=1,Inputs!$B$19/Inputs!$B$17,0)</f>
        <v>0</v>
      </c>
      <c r="AH24" s="0" t="n">
        <f aca="false">IF(AH7=1,Inputs!$B$19/Inputs!$B$17,0)</f>
        <v>0</v>
      </c>
      <c r="AI24" s="0" t="n">
        <f aca="false">IF(AI7=1,Inputs!$B$19/Inputs!$B$17,0)</f>
        <v>0</v>
      </c>
      <c r="AJ24" s="0" t="n">
        <f aca="false">IF(AJ7=1,Inputs!$B$19/Inputs!$B$17,0)</f>
        <v>0</v>
      </c>
      <c r="AK24" s="0" t="n">
        <f aca="false">IF(AK7=1,Inputs!$B$19/Inputs!$B$17,0)</f>
        <v>0</v>
      </c>
      <c r="AL24" s="0" t="n">
        <f aca="false">IF(AL7=1,Inputs!$B$19/Inputs!$B$17,0)</f>
        <v>0</v>
      </c>
      <c r="AM24" s="0" t="n">
        <f aca="false">IF(AM7=1,Inputs!$B$19/Inputs!$B$17,0)</f>
        <v>16000000</v>
      </c>
      <c r="AN24" s="0" t="n">
        <f aca="false">IF(AN7=1,Inputs!$B$19/Inputs!$B$17,0)</f>
        <v>16000000</v>
      </c>
      <c r="AO24" s="0" t="n">
        <f aca="false">IF(AO7=1,Inputs!$B$19/Inputs!$B$17,0)</f>
        <v>16000000</v>
      </c>
      <c r="AP24" s="0" t="n">
        <f aca="false">IF(AP7=1,Inputs!$B$19/Inputs!$B$17,0)</f>
        <v>16000000</v>
      </c>
      <c r="AQ24" s="0" t="n">
        <f aca="false">IF(AQ7=1,Inputs!$B$19/Inputs!$B$17,0)</f>
        <v>16000000</v>
      </c>
      <c r="AR24" s="0" t="n">
        <f aca="false">IF(AR7=1,Inputs!$B$19/Inputs!$B$17,0)</f>
        <v>16000000</v>
      </c>
      <c r="AS24" s="0" t="n">
        <f aca="false">IF(AS7=1,Inputs!$B$19/Inputs!$B$17,0)</f>
        <v>0</v>
      </c>
      <c r="AT24" s="0" t="n">
        <f aca="false">IF(AT7=1,Inputs!$B$19/Inputs!$B$17,0)</f>
        <v>0</v>
      </c>
      <c r="AU24" s="0" t="n">
        <f aca="false">IF(AU7=1,Inputs!$B$19/Inputs!$B$17,0)</f>
        <v>0</v>
      </c>
      <c r="AV24" s="0" t="n">
        <f aca="false">IF(AV7=1,Inputs!$B$19/Inputs!$B$17,0)</f>
        <v>0</v>
      </c>
      <c r="AW24" s="0" t="n">
        <f aca="false">IF(AW7=1,Inputs!$B$19/Inputs!$B$17,0)</f>
        <v>0</v>
      </c>
      <c r="AX24" s="0" t="n">
        <f aca="false">IF(AX7=1,Inputs!$B$19/Inputs!$B$17,0)</f>
        <v>0</v>
      </c>
      <c r="AY24" s="0" t="n">
        <f aca="false">IF(AY7=1,Inputs!$B$19/Inputs!$B$17,0)</f>
        <v>0</v>
      </c>
      <c r="AZ24" s="0" t="n">
        <f aca="false">IF(AZ7=1,Inputs!$B$19/Inputs!$B$17,0)</f>
        <v>0</v>
      </c>
      <c r="BA24" s="0" t="n">
        <f aca="false">IF(BA7=1,Inputs!$B$19/Inputs!$B$17,0)</f>
        <v>0</v>
      </c>
      <c r="BB24" s="0" t="n">
        <f aca="false">IF(BB7=1,Inputs!$B$19/Inputs!$B$17,0)</f>
        <v>0</v>
      </c>
      <c r="BC24" s="0" t="n">
        <f aca="false">IF(BC7=1,Inputs!$B$19/Inputs!$B$17,0)</f>
        <v>0</v>
      </c>
      <c r="BD24" s="0" t="n">
        <f aca="false">IF(BD7=1,Inputs!$B$19/Inputs!$B$17,0)</f>
        <v>0</v>
      </c>
      <c r="BE24" s="0" t="n">
        <f aca="false">IF(BE7=1,Inputs!$B$19/Inputs!$B$17,0)</f>
        <v>0</v>
      </c>
      <c r="BF24" s="0" t="n">
        <f aca="false">IF(BF7=1,Inputs!$B$19/Inputs!$B$17,0)</f>
        <v>0</v>
      </c>
      <c r="BG24" s="0" t="n">
        <f aca="false">IF(BG7=1,Inputs!$B$19/Inputs!$B$17,0)</f>
        <v>0</v>
      </c>
      <c r="BH24" s="0" t="n">
        <f aca="false">IF(BH7=1,Inputs!$B$19/Inputs!$B$17,0)</f>
        <v>0</v>
      </c>
      <c r="BI24" s="0" t="n">
        <f aca="false">IF(BI7=1,Inputs!$B$19/Inputs!$B$17,0)</f>
        <v>0</v>
      </c>
      <c r="BJ24" s="0" t="n">
        <f aca="false">IF(BJ7=1,Inputs!$B$19/Inputs!$B$17,0)</f>
        <v>0</v>
      </c>
      <c r="BK24" s="0" t="n">
        <f aca="false">IF(BK7=1,Inputs!$B$19/Inputs!$B$17,0)</f>
        <v>0</v>
      </c>
      <c r="BL24" s="0" t="n">
        <f aca="false">IF(BL7=1,Inputs!$B$19/Inputs!$B$17,0)</f>
        <v>0</v>
      </c>
      <c r="BM24" s="0" t="n">
        <f aca="false">IF(BM7=1,Inputs!$B$19/Inputs!$B$17,0)</f>
        <v>0</v>
      </c>
      <c r="BN24" s="0" t="n">
        <f aca="false">IF(BN7=1,Inputs!$B$19/Inputs!$B$17,0)</f>
        <v>0</v>
      </c>
      <c r="BO24" s="0" t="n">
        <f aca="false">IF(BO7=1,Inputs!$B$19/Inputs!$B$17,0)</f>
        <v>0</v>
      </c>
      <c r="BP24" s="0" t="n">
        <f aca="false">IF(BP7=1,Inputs!$B$19/Inputs!$B$17,0)</f>
        <v>0</v>
      </c>
      <c r="BQ24" s="0" t="n">
        <f aca="false">IF(BQ7=1,Inputs!$B$19/Inputs!$B$17,0)</f>
        <v>0</v>
      </c>
      <c r="BR24" s="0" t="n">
        <f aca="false">IF(BR7=1,Inputs!$B$19/Inputs!$B$17,0)</f>
        <v>0</v>
      </c>
      <c r="BS24" s="0" t="n">
        <f aca="false">IF(BS7=1,Inputs!$B$19/Inputs!$B$17,0)</f>
        <v>0</v>
      </c>
      <c r="BT24" s="0" t="n">
        <f aca="false">IF(BT7=1,Inputs!$B$19/Inputs!$B$17,0)</f>
        <v>0</v>
      </c>
      <c r="BU24" s="0" t="n">
        <f aca="false">IF(BU7=1,Inputs!$B$19/Inputs!$B$17,0)</f>
        <v>0</v>
      </c>
      <c r="BV24" s="0" t="n">
        <f aca="false">IF(BV7=1,Inputs!$B$19/Inputs!$B$17,0)</f>
        <v>0</v>
      </c>
      <c r="BW24" s="0" t="n">
        <f aca="false">IF(BW7=1,Inputs!$B$19/Inputs!$B$17,0)</f>
        <v>0</v>
      </c>
      <c r="BX24" s="0" t="n">
        <f aca="false">IF(BX7=1,Inputs!$B$19/Inputs!$B$17,0)</f>
        <v>0</v>
      </c>
      <c r="BY24" s="0" t="n">
        <f aca="false">IF(BY7=1,Inputs!$B$19/Inputs!$B$17,0)</f>
        <v>0</v>
      </c>
      <c r="BZ24" s="0" t="n">
        <f aca="false">IF(BZ7=1,Inputs!$B$19/Inputs!$B$17,0)</f>
        <v>0</v>
      </c>
      <c r="CA24" s="0" t="n">
        <f aca="false">IF(CA7=1,Inputs!$B$19/Inputs!$B$17,0)</f>
        <v>0</v>
      </c>
      <c r="CB24" s="0" t="n">
        <f aca="false">IF(CB7=1,Inputs!$B$19/Inputs!$B$17,0)</f>
        <v>0</v>
      </c>
      <c r="CC24" s="0" t="n">
        <f aca="false">IF(CC7=1,Inputs!$B$19/Inputs!$B$17,0)</f>
        <v>0</v>
      </c>
      <c r="CD24" s="0" t="n">
        <f aca="false">IF(CD7=1,Inputs!$B$19/Inputs!$B$17,0)</f>
        <v>0</v>
      </c>
      <c r="CE24" s="0" t="n">
        <f aca="false">IF(CE7=1,Inputs!$B$19/Inputs!$B$17,0)</f>
        <v>0</v>
      </c>
      <c r="CF24" s="0" t="n">
        <f aca="false">IF(CF7=1,Inputs!$B$19/Inputs!$B$17,0)</f>
        <v>0</v>
      </c>
      <c r="CG24" s="0" t="n">
        <f aca="false">IF(CG7=1,Inputs!$B$19/Inputs!$B$17,0)</f>
        <v>0</v>
      </c>
      <c r="CH24" s="0" t="n">
        <f aca="false">IF(CH7=1,Inputs!$B$19/Inputs!$B$17,0)</f>
        <v>0</v>
      </c>
      <c r="CI24" s="0" t="n">
        <f aca="false">IF(CI7=1,Inputs!$B$19/Inputs!$B$17,0)</f>
        <v>0</v>
      </c>
      <c r="CJ24" s="0" t="n">
        <f aca="false">IF(CJ7=1,Inputs!$B$19/Inputs!$B$17,0)</f>
        <v>0</v>
      </c>
      <c r="CK24" s="0" t="n">
        <f aca="false">IF(CK7=1,Inputs!$B$19/Inputs!$B$17,0)</f>
        <v>0</v>
      </c>
      <c r="CL24" s="0" t="n">
        <f aca="false">IF(CL7=1,Inputs!$B$19/Inputs!$B$17,0)</f>
        <v>0</v>
      </c>
      <c r="CM24" s="0" t="n">
        <f aca="false">IF(CM7=1,Inputs!$B$19/Inputs!$B$17,0)</f>
        <v>0</v>
      </c>
      <c r="CN24" s="0" t="n">
        <f aca="false">IF(CN7=1,Inputs!$B$19/Inputs!$B$17,0)</f>
        <v>0</v>
      </c>
      <c r="CO24" s="0" t="n">
        <f aca="false">IF(CO7=1,Inputs!$B$19/Inputs!$B$17,0)</f>
        <v>0</v>
      </c>
      <c r="CP24" s="0" t="n">
        <f aca="false">IF(CP7=1,Inputs!$B$19/Inputs!$B$17,0)</f>
        <v>0</v>
      </c>
      <c r="CQ24" s="0" t="n">
        <f aca="false">IF(CQ7=1,Inputs!$B$19/Inputs!$B$17,0)</f>
        <v>0</v>
      </c>
      <c r="CR24" s="0" t="n">
        <f aca="false">IF(CR7=1,Inputs!$B$19/Inputs!$B$17,0)</f>
        <v>0</v>
      </c>
      <c r="CS24" s="0" t="n">
        <f aca="false">IF(CS7=1,Inputs!$B$19/Inputs!$B$17,0)</f>
        <v>0</v>
      </c>
      <c r="CT24" s="0" t="n">
        <f aca="false">IF(CT7=1,Inputs!$B$19/Inputs!$B$17,0)</f>
        <v>0</v>
      </c>
      <c r="CU24" s="0" t="n">
        <f aca="false">IF(CU7=1,Inputs!$B$19/Inputs!$B$17,0)</f>
        <v>0</v>
      </c>
      <c r="CV24" s="0" t="n">
        <f aca="false">IF(CV7=1,Inputs!$B$19/Inputs!$B$17,0)</f>
        <v>0</v>
      </c>
      <c r="CW24" s="0" t="n">
        <f aca="false">IF(CW7=1,Inputs!$B$19/Inputs!$B$17,0)</f>
        <v>0</v>
      </c>
      <c r="CX24" s="0" t="n">
        <f aca="false">IF(CX7=1,Inputs!$B$19/Inputs!$B$17,0)</f>
        <v>0</v>
      </c>
      <c r="CY24" s="0" t="n">
        <f aca="false">IF(CY7=1,Inputs!$B$19/Inputs!$B$17,0)</f>
        <v>0</v>
      </c>
      <c r="CZ24" s="0" t="n">
        <f aca="false">IF(CZ7=1,Inputs!$B$19/Inputs!$B$17,0)</f>
        <v>0</v>
      </c>
      <c r="DA24" s="0" t="n">
        <f aca="false">IF(DA7=1,Inputs!$B$19/Inputs!$B$17,0)</f>
        <v>0</v>
      </c>
      <c r="DB24" s="0" t="n">
        <f aca="false">IF(DB7=1,Inputs!$B$19/Inputs!$B$17,0)</f>
        <v>0</v>
      </c>
      <c r="DC24" s="0" t="n">
        <f aca="false">IF(DC7=1,Inputs!$B$19/Inputs!$B$17,0)</f>
        <v>0</v>
      </c>
      <c r="DD24" s="0" t="n">
        <f aca="false">IF(DD7=1,Inputs!$B$19/Inputs!$B$17,0)</f>
        <v>0</v>
      </c>
      <c r="DE24" s="0" t="n">
        <f aca="false">IF(DE7=1,Inputs!$B$19/Inputs!$B$17,0)</f>
        <v>0</v>
      </c>
      <c r="DF24" s="0" t="n">
        <f aca="false">IF(DF7=1,Inputs!$B$19/Inputs!$B$17,0)</f>
        <v>0</v>
      </c>
      <c r="DG24" s="0" t="n">
        <f aca="false">IF(DG7=1,Inputs!$B$19/Inputs!$B$17,0)</f>
        <v>0</v>
      </c>
      <c r="DH24" s="0" t="n">
        <f aca="false">IF(DH7=1,Inputs!$B$19/Inputs!$B$17,0)</f>
        <v>0</v>
      </c>
      <c r="DI24" s="0" t="n">
        <f aca="false">IF(DI7=1,Inputs!$B$19/Inputs!$B$17,0)</f>
        <v>0</v>
      </c>
      <c r="DJ24" s="0" t="n">
        <f aca="false">IF(DJ7=1,Inputs!$B$19/Inputs!$B$17,0)</f>
        <v>0</v>
      </c>
      <c r="DK24" s="0" t="n">
        <f aca="false">IF(DK7=1,Inputs!$B$19/Inputs!$B$17,0)</f>
        <v>0</v>
      </c>
      <c r="DL24" s="0" t="n">
        <f aca="false">IF(DL7=1,Inputs!$B$19/Inputs!$B$17,0)</f>
        <v>0</v>
      </c>
      <c r="DM24" s="0" t="n">
        <f aca="false">IF(DM7=1,Inputs!$B$19/Inputs!$B$17,0)</f>
        <v>0</v>
      </c>
      <c r="DN24" s="0" t="n">
        <f aca="false">IF(DN7=1,Inputs!$B$19/Inputs!$B$17,0)</f>
        <v>0</v>
      </c>
      <c r="DO24" s="0" t="n">
        <f aca="false">IF(DO7=1,Inputs!$B$19/Inputs!$B$17,0)</f>
        <v>0</v>
      </c>
      <c r="DP24" s="0" t="n">
        <f aca="false">IF(DP7=1,Inputs!$B$19/Inputs!$B$17,0)</f>
        <v>0</v>
      </c>
      <c r="DQ24" s="0" t="n">
        <f aca="false">IF(DQ7=1,Inputs!$B$19/Inputs!$B$17,0)</f>
        <v>0</v>
      </c>
      <c r="DR24" s="0" t="n">
        <f aca="false">IF(DR7=1,Inputs!$B$19/Inputs!$B$17,0)</f>
        <v>0</v>
      </c>
    </row>
    <row r="25" customFormat="false" ht="15" hidden="false" customHeight="false" outlineLevel="0" collapsed="false">
      <c r="A25" s="0" t="s">
        <v>47</v>
      </c>
      <c r="B25" s="0" t="n">
        <f aca="false">IF((B$3&gt;=1),Inputs!$B$20*Inputs!$B$22*Inputs!$B$23/12,0)</f>
        <v>0</v>
      </c>
      <c r="C25" s="0" t="n">
        <f aca="false">IF((C$3&gt;=1),Inputs!$B$20*Inputs!$B$22*Inputs!$B$23/12,0)</f>
        <v>6343750</v>
      </c>
      <c r="D25" s="0" t="n">
        <f aca="false">IF((D$3&gt;=1),Inputs!$B$20*Inputs!$B$22*Inputs!$B$23/12,0)</f>
        <v>6343750</v>
      </c>
      <c r="E25" s="0" t="n">
        <f aca="false">IF((E$3&gt;=1),Inputs!$B$20*Inputs!$B$22*Inputs!$B$23/12,0)</f>
        <v>6343750</v>
      </c>
      <c r="F25" s="0" t="n">
        <f aca="false">IF((F$3&gt;=1),Inputs!$B$20*Inputs!$B$22*Inputs!$B$23/12,0)</f>
        <v>6343750</v>
      </c>
      <c r="G25" s="0" t="n">
        <f aca="false">IF((G$3&gt;=1),Inputs!$B$20*Inputs!$B$22*Inputs!$B$23/12,0)</f>
        <v>6343750</v>
      </c>
      <c r="H25" s="0" t="n">
        <f aca="false">IF((H$3&gt;=1),Inputs!$B$20*Inputs!$B$22*Inputs!$B$23/12,0)</f>
        <v>6343750</v>
      </c>
      <c r="I25" s="0" t="n">
        <f aca="false">IF((I$3&gt;=1),Inputs!$B$20*Inputs!$B$22*Inputs!$B$23/12,0)</f>
        <v>6343750</v>
      </c>
      <c r="J25" s="0" t="n">
        <f aca="false">IF((J$3&gt;=1),Inputs!$B$20*Inputs!$B$22*Inputs!$B$23/12,0)</f>
        <v>6343750</v>
      </c>
      <c r="K25" s="0" t="n">
        <f aca="false">IF((K$3&gt;=1),Inputs!$B$20*Inputs!$B$22*Inputs!$B$23/12,0)</f>
        <v>6343750</v>
      </c>
      <c r="L25" s="0" t="n">
        <f aca="false">IF((L$3&gt;=1),Inputs!$B$20*Inputs!$B$22*Inputs!$B$23/12,0)</f>
        <v>6343750</v>
      </c>
      <c r="M25" s="0" t="n">
        <f aca="false">IF((M$3&gt;=1),Inputs!$B$20*Inputs!$B$22*Inputs!$B$23/12,0)</f>
        <v>6343750</v>
      </c>
      <c r="N25" s="0" t="n">
        <f aca="false">IF((N$3&gt;=1),Inputs!$B$20*Inputs!$B$22*Inputs!$B$23/12,0)</f>
        <v>6343750</v>
      </c>
      <c r="O25" s="0" t="n">
        <f aca="false">IF((O$3&gt;=1),Inputs!$B$20*Inputs!$B$22*Inputs!$B$23/12,0)</f>
        <v>6343750</v>
      </c>
      <c r="P25" s="0" t="n">
        <f aca="false">IF((P$3&gt;=1),Inputs!$B$20*Inputs!$B$22*Inputs!$B$23/12,0)</f>
        <v>6343750</v>
      </c>
      <c r="Q25" s="0" t="n">
        <f aca="false">IF((Q$3&gt;=1),Inputs!$B$20*Inputs!$B$22*Inputs!$B$23/12,0)</f>
        <v>6343750</v>
      </c>
      <c r="R25" s="0" t="n">
        <f aca="false">IF((R$3&gt;=1),Inputs!$B$20*Inputs!$B$22*Inputs!$B$23/12,0)</f>
        <v>6343750</v>
      </c>
      <c r="S25" s="0" t="n">
        <f aca="false">IF((S$3&gt;=1),Inputs!$B$20*Inputs!$B$22*Inputs!$B$23/12,0)</f>
        <v>6343750</v>
      </c>
      <c r="T25" s="0" t="n">
        <f aca="false">IF((T$3&gt;=1),Inputs!$B$20*Inputs!$B$22*Inputs!$B$23/12,0)</f>
        <v>6343750</v>
      </c>
      <c r="U25" s="0" t="n">
        <f aca="false">IF((U$3&gt;=1),Inputs!$B$20*Inputs!$B$22*Inputs!$B$23/12,0)</f>
        <v>6343750</v>
      </c>
      <c r="V25" s="0" t="n">
        <f aca="false">IF((V$3&gt;=1),Inputs!$B$20*Inputs!$B$22*Inputs!$B$23/12,0)</f>
        <v>6343750</v>
      </c>
      <c r="W25" s="0" t="n">
        <f aca="false">IF((W$3&gt;=1),Inputs!$B$20*Inputs!$B$22*Inputs!$B$23/12,0)</f>
        <v>6343750</v>
      </c>
      <c r="X25" s="0" t="n">
        <f aca="false">IF((X$3&gt;=1),Inputs!$B$20*Inputs!$B$22*Inputs!$B$23/12,0)</f>
        <v>6343750</v>
      </c>
      <c r="Y25" s="0" t="n">
        <f aca="false">IF((Y$3&gt;=1),Inputs!$B$20*Inputs!$B$22*Inputs!$B$23/12,0)</f>
        <v>6343750</v>
      </c>
      <c r="Z25" s="0" t="n">
        <f aca="false">IF((Z$3&gt;=1),Inputs!$B$20*Inputs!$B$22*Inputs!$B$23/12,0)</f>
        <v>6343750</v>
      </c>
      <c r="AA25" s="0" t="n">
        <f aca="false">IF((AA$3&gt;=1),Inputs!$B$20*Inputs!$B$22*Inputs!$B$23/12,0)</f>
        <v>6343750</v>
      </c>
      <c r="AB25" s="0" t="n">
        <f aca="false">IF((AB$3&gt;=1),Inputs!$B$20*Inputs!$B$22*Inputs!$B$23/12,0)</f>
        <v>6343750</v>
      </c>
      <c r="AC25" s="0" t="n">
        <f aca="false">IF((AC$3&gt;=1),Inputs!$B$20*Inputs!$B$22*Inputs!$B$23/12,0)</f>
        <v>6343750</v>
      </c>
      <c r="AD25" s="0" t="n">
        <f aca="false">IF((AD$3&gt;=1),Inputs!$B$20*Inputs!$B$22*Inputs!$B$23/12,0)</f>
        <v>6343750</v>
      </c>
      <c r="AE25" s="0" t="n">
        <f aca="false">IF((AE$3&gt;=1),Inputs!$B$20*Inputs!$B$22*Inputs!$B$23/12,0)</f>
        <v>6343750</v>
      </c>
      <c r="AF25" s="0" t="n">
        <f aca="false">IF((AF$3&gt;=1),Inputs!$B$20*Inputs!$B$22*Inputs!$B$23/12,0)</f>
        <v>6343750</v>
      </c>
      <c r="AG25" s="0" t="n">
        <f aca="false">IF((AG$3&gt;=1),Inputs!$B$20*Inputs!$B$22*Inputs!$B$23/12,0)</f>
        <v>6343750</v>
      </c>
      <c r="AH25" s="0" t="n">
        <f aca="false">IF((AH$3&gt;=1),Inputs!$B$20*Inputs!$B$22*Inputs!$B$23/12,0)</f>
        <v>6343750</v>
      </c>
      <c r="AI25" s="0" t="n">
        <f aca="false">IF((AI$3&gt;=1),Inputs!$B$20*Inputs!$B$22*Inputs!$B$23/12,0)</f>
        <v>6343750</v>
      </c>
      <c r="AJ25" s="0" t="n">
        <f aca="false">IF((AJ$3&gt;=1),Inputs!$B$20*Inputs!$B$22*Inputs!$B$23/12,0)</f>
        <v>6343750</v>
      </c>
      <c r="AK25" s="0" t="n">
        <f aca="false">IF((AK$3&gt;=1),Inputs!$B$20*Inputs!$B$22*Inputs!$B$23/12,0)</f>
        <v>6343750</v>
      </c>
      <c r="AL25" s="0" t="n">
        <f aca="false">IF((AL$3&gt;=1),Inputs!$B$20*Inputs!$B$22*Inputs!$B$23/12,0)</f>
        <v>6343750</v>
      </c>
      <c r="AM25" s="0" t="n">
        <f aca="false">IF((AM$3&gt;=1),Inputs!$B$20*Inputs!$B$22*Inputs!$B$23/12,0)</f>
        <v>6343750</v>
      </c>
      <c r="AN25" s="0" t="n">
        <f aca="false">IF((AN$3&gt;=1),Inputs!$B$20*Inputs!$B$22*Inputs!$B$23/12,0)</f>
        <v>6343750</v>
      </c>
      <c r="AO25" s="0" t="n">
        <f aca="false">IF((AO$3&gt;=1),Inputs!$B$20*Inputs!$B$22*Inputs!$B$23/12,0)</f>
        <v>6343750</v>
      </c>
      <c r="AP25" s="0" t="n">
        <f aca="false">IF((AP$3&gt;=1),Inputs!$B$20*Inputs!$B$22*Inputs!$B$23/12,0)</f>
        <v>6343750</v>
      </c>
      <c r="AQ25" s="0" t="n">
        <f aca="false">IF((AQ$3&gt;=1),Inputs!$B$20*Inputs!$B$22*Inputs!$B$23/12,0)</f>
        <v>6343750</v>
      </c>
      <c r="AR25" s="0" t="n">
        <f aca="false">IF((AR$3&gt;=1),Inputs!$B$20*Inputs!$B$22*Inputs!$B$23/12,0)</f>
        <v>6343750</v>
      </c>
      <c r="AS25" s="0" t="n">
        <f aca="false">IF((AS$3&gt;=1),Inputs!$B$20*Inputs!$B$22*Inputs!$B$23/12,0)</f>
        <v>6343750</v>
      </c>
      <c r="AT25" s="0" t="n">
        <f aca="false">IF((AT$3&gt;=1),Inputs!$B$20*Inputs!$B$22*Inputs!$B$23/12,0)</f>
        <v>6343750</v>
      </c>
      <c r="AU25" s="0" t="n">
        <f aca="false">IF((AU$3&gt;=1),Inputs!$B$20*Inputs!$B$22*Inputs!$B$23/12,0)</f>
        <v>6343750</v>
      </c>
      <c r="AV25" s="0" t="n">
        <f aca="false">IF((AV$3&gt;=1),Inputs!$B$20*Inputs!$B$22*Inputs!$B$23/12,0)</f>
        <v>6343750</v>
      </c>
      <c r="AW25" s="0" t="n">
        <f aca="false">IF((AW$3&gt;=1),Inputs!$B$20*Inputs!$B$22*Inputs!$B$23/12,0)</f>
        <v>6343750</v>
      </c>
      <c r="AX25" s="0" t="n">
        <f aca="false">IF((AX$3&gt;=1),Inputs!$B$20*Inputs!$B$22*Inputs!$B$23/12,0)</f>
        <v>6343750</v>
      </c>
      <c r="AY25" s="0" t="n">
        <f aca="false">IF((AY$3&gt;=1),Inputs!$B$20*Inputs!$B$22*Inputs!$B$23/12,0)</f>
        <v>6343750</v>
      </c>
      <c r="AZ25" s="0" t="n">
        <f aca="false">IF((AZ$3&gt;=1),Inputs!$B$20*Inputs!$B$22*Inputs!$B$23/12,0)</f>
        <v>6343750</v>
      </c>
      <c r="BA25" s="0" t="n">
        <f aca="false">IF((BA$3&gt;=1),Inputs!$B$20*Inputs!$B$22*Inputs!$B$23/12,0)</f>
        <v>6343750</v>
      </c>
      <c r="BB25" s="0" t="n">
        <f aca="false">IF((BB$3&gt;=1),Inputs!$B$20*Inputs!$B$22*Inputs!$B$23/12,0)</f>
        <v>6343750</v>
      </c>
      <c r="BC25" s="0" t="n">
        <f aca="false">IF((BC$3&gt;=1),Inputs!$B$20*Inputs!$B$22*Inputs!$B$23/12,0)</f>
        <v>6343750</v>
      </c>
      <c r="BD25" s="0" t="n">
        <f aca="false">IF((BD$3&gt;=1),Inputs!$B$20*Inputs!$B$22*Inputs!$B$23/12,0)</f>
        <v>6343750</v>
      </c>
      <c r="BE25" s="0" t="n">
        <f aca="false">IF((BE$3&gt;=1),Inputs!$B$20*Inputs!$B$22*Inputs!$B$23/12,0)</f>
        <v>6343750</v>
      </c>
      <c r="BF25" s="0" t="n">
        <f aca="false">IF((BF$3&gt;=1),Inputs!$B$20*Inputs!$B$22*Inputs!$B$23/12,0)</f>
        <v>6343750</v>
      </c>
      <c r="BG25" s="0" t="n">
        <f aca="false">IF((BG$3&gt;=1),Inputs!$B$20*Inputs!$B$22*Inputs!$B$23/12,0)</f>
        <v>6343750</v>
      </c>
      <c r="BH25" s="0" t="n">
        <f aca="false">IF((BH$3&gt;=1),Inputs!$B$20*Inputs!$B$22*Inputs!$B$23/12,0)</f>
        <v>6343750</v>
      </c>
      <c r="BI25" s="0" t="n">
        <f aca="false">IF((BI$3&gt;=1),Inputs!$B$20*Inputs!$B$22*Inputs!$B$23/12,0)</f>
        <v>6343750</v>
      </c>
      <c r="BJ25" s="0" t="n">
        <f aca="false">IF((BJ$3&gt;=1),Inputs!$B$20*Inputs!$B$22*Inputs!$B$23/12,0)</f>
        <v>6343750</v>
      </c>
      <c r="BK25" s="0" t="n">
        <f aca="false">IF((BK$3&gt;=1),Inputs!$B$20*Inputs!$B$22*Inputs!$B$23/12,0)</f>
        <v>6343750</v>
      </c>
      <c r="BL25" s="0" t="n">
        <f aca="false">IF((BL$3&gt;=1),Inputs!$B$20*Inputs!$B$22*Inputs!$B$23/12,0)</f>
        <v>6343750</v>
      </c>
      <c r="BM25" s="0" t="n">
        <f aca="false">IF((BM$3&gt;=1),Inputs!$B$20*Inputs!$B$22*Inputs!$B$23/12,0)</f>
        <v>6343750</v>
      </c>
      <c r="BN25" s="0" t="n">
        <f aca="false">IF((BN$3&gt;=1),Inputs!$B$20*Inputs!$B$22*Inputs!$B$23/12,0)</f>
        <v>6343750</v>
      </c>
      <c r="BO25" s="0" t="n">
        <f aca="false">IF((BO$3&gt;=1),Inputs!$B$20*Inputs!$B$22*Inputs!$B$23/12,0)</f>
        <v>6343750</v>
      </c>
      <c r="BP25" s="0" t="n">
        <f aca="false">IF((BP$3&gt;=1),Inputs!$B$20*Inputs!$B$22*Inputs!$B$23/12,0)</f>
        <v>6343750</v>
      </c>
      <c r="BQ25" s="0" t="n">
        <f aca="false">IF((BQ$3&gt;=1),Inputs!$B$20*Inputs!$B$22*Inputs!$B$23/12,0)</f>
        <v>6343750</v>
      </c>
      <c r="BR25" s="0" t="n">
        <f aca="false">IF((BR$3&gt;=1),Inputs!$B$20*Inputs!$B$22*Inputs!$B$23/12,0)</f>
        <v>6343750</v>
      </c>
      <c r="BS25" s="0" t="n">
        <f aca="false">IF((BS$3&gt;=1),Inputs!$B$20*Inputs!$B$22*Inputs!$B$23/12,0)</f>
        <v>6343750</v>
      </c>
      <c r="BT25" s="0" t="n">
        <f aca="false">IF((BT$3&gt;=1),Inputs!$B$20*Inputs!$B$22*Inputs!$B$23/12,0)</f>
        <v>6343750</v>
      </c>
      <c r="BU25" s="0" t="n">
        <f aca="false">IF((BU$3&gt;=1),Inputs!$B$20*Inputs!$B$22*Inputs!$B$23/12,0)</f>
        <v>6343750</v>
      </c>
      <c r="BV25" s="0" t="n">
        <f aca="false">IF((BV$3&gt;=1),Inputs!$B$20*Inputs!$B$22*Inputs!$B$23/12,0)</f>
        <v>6343750</v>
      </c>
      <c r="BW25" s="0" t="n">
        <f aca="false">IF((BW$3&gt;=1),Inputs!$B$20*Inputs!$B$22*Inputs!$B$23/12,0)</f>
        <v>6343750</v>
      </c>
      <c r="BX25" s="0" t="n">
        <f aca="false">IF((BX$3&gt;=1),Inputs!$B$20*Inputs!$B$22*Inputs!$B$23/12,0)</f>
        <v>6343750</v>
      </c>
      <c r="BY25" s="0" t="n">
        <f aca="false">IF((BY$3&gt;=1),Inputs!$B$20*Inputs!$B$22*Inputs!$B$23/12,0)</f>
        <v>6343750</v>
      </c>
      <c r="BZ25" s="0" t="n">
        <f aca="false">IF((BZ$3&gt;=1),Inputs!$B$20*Inputs!$B$22*Inputs!$B$23/12,0)</f>
        <v>6343750</v>
      </c>
      <c r="CA25" s="0" t="n">
        <f aca="false">IF((CA$3&gt;=1),Inputs!$B$20*Inputs!$B$22*Inputs!$B$23/12,0)</f>
        <v>6343750</v>
      </c>
      <c r="CB25" s="0" t="n">
        <f aca="false">IF((CB$3&gt;=1),Inputs!$B$20*Inputs!$B$22*Inputs!$B$23/12,0)</f>
        <v>6343750</v>
      </c>
      <c r="CC25" s="0" t="n">
        <f aca="false">IF((CC$3&gt;=1),Inputs!$B$20*Inputs!$B$22*Inputs!$B$23/12,0)</f>
        <v>6343750</v>
      </c>
      <c r="CD25" s="0" t="n">
        <f aca="false">IF((CD$3&gt;=1),Inputs!$B$20*Inputs!$B$22*Inputs!$B$23/12,0)</f>
        <v>6343750</v>
      </c>
      <c r="CE25" s="0" t="n">
        <f aca="false">IF((CE$3&gt;=1),Inputs!$B$20*Inputs!$B$22*Inputs!$B$23/12,0)</f>
        <v>6343750</v>
      </c>
      <c r="CF25" s="0" t="n">
        <f aca="false">IF((CF$3&gt;=1),Inputs!$B$20*Inputs!$B$22*Inputs!$B$23/12,0)</f>
        <v>6343750</v>
      </c>
      <c r="CG25" s="0" t="n">
        <f aca="false">IF((CG$3&gt;=1),Inputs!$B$20*Inputs!$B$22*Inputs!$B$23/12,0)</f>
        <v>6343750</v>
      </c>
      <c r="CH25" s="0" t="n">
        <f aca="false">IF((CH$3&gt;=1),Inputs!$B$20*Inputs!$B$22*Inputs!$B$23/12,0)</f>
        <v>6343750</v>
      </c>
      <c r="CI25" s="0" t="n">
        <f aca="false">IF((CI$3&gt;=1),Inputs!$B$20*Inputs!$B$22*Inputs!$B$23/12,0)</f>
        <v>6343750</v>
      </c>
      <c r="CJ25" s="0" t="n">
        <f aca="false">IF((CJ$3&gt;=1),Inputs!$B$20*Inputs!$B$22*Inputs!$B$23/12,0)</f>
        <v>6343750</v>
      </c>
      <c r="CK25" s="0" t="n">
        <f aca="false">IF((CK$3&gt;=1),Inputs!$B$20*Inputs!$B$22*Inputs!$B$23/12,0)</f>
        <v>6343750</v>
      </c>
      <c r="CL25" s="0" t="n">
        <f aca="false">IF((CL$3&gt;=1),Inputs!$B$20*Inputs!$B$22*Inputs!$B$23/12,0)</f>
        <v>6343750</v>
      </c>
      <c r="CM25" s="0" t="n">
        <f aca="false">IF((CM$3&gt;=1),Inputs!$B$20*Inputs!$B$22*Inputs!$B$23/12,0)</f>
        <v>6343750</v>
      </c>
      <c r="CN25" s="0" t="n">
        <f aca="false">IF((CN$3&gt;=1),Inputs!$B$20*Inputs!$B$22*Inputs!$B$23/12,0)</f>
        <v>6343750</v>
      </c>
      <c r="CO25" s="0" t="n">
        <f aca="false">IF((CO$3&gt;=1),Inputs!$B$20*Inputs!$B$22*Inputs!$B$23/12,0)</f>
        <v>6343750</v>
      </c>
      <c r="CP25" s="0" t="n">
        <f aca="false">IF((CP$3&gt;=1),Inputs!$B$20*Inputs!$B$22*Inputs!$B$23/12,0)</f>
        <v>6343750</v>
      </c>
      <c r="CQ25" s="0" t="n">
        <f aca="false">IF((CQ$3&gt;=1),Inputs!$B$20*Inputs!$B$22*Inputs!$B$23/12,0)</f>
        <v>6343750</v>
      </c>
      <c r="CR25" s="0" t="n">
        <f aca="false">IF((CR$3&gt;=1),Inputs!$B$20*Inputs!$B$22*Inputs!$B$23/12,0)</f>
        <v>6343750</v>
      </c>
      <c r="CS25" s="0" t="n">
        <f aca="false">IF((CS$3&gt;=1),Inputs!$B$20*Inputs!$B$22*Inputs!$B$23/12,0)</f>
        <v>6343750</v>
      </c>
      <c r="CT25" s="0" t="n">
        <f aca="false">IF((CT$3&gt;=1),Inputs!$B$20*Inputs!$B$22*Inputs!$B$23/12,0)</f>
        <v>6343750</v>
      </c>
      <c r="CU25" s="0" t="n">
        <f aca="false">IF((CU$3&gt;=1),Inputs!$B$20*Inputs!$B$22*Inputs!$B$23/12,0)</f>
        <v>6343750</v>
      </c>
      <c r="CV25" s="0" t="n">
        <f aca="false">IF((CV$3&gt;=1),Inputs!$B$20*Inputs!$B$22*Inputs!$B$23/12,0)</f>
        <v>6343750</v>
      </c>
      <c r="CW25" s="0" t="n">
        <f aca="false">IF((CW$3&gt;=1),Inputs!$B$20*Inputs!$B$22*Inputs!$B$23/12,0)</f>
        <v>6343750</v>
      </c>
      <c r="CX25" s="0" t="n">
        <f aca="false">IF((CX$3&gt;=1),Inputs!$B$20*Inputs!$B$22*Inputs!$B$23/12,0)</f>
        <v>6343750</v>
      </c>
      <c r="CY25" s="0" t="n">
        <f aca="false">IF((CY$3&gt;=1),Inputs!$B$20*Inputs!$B$22*Inputs!$B$23/12,0)</f>
        <v>6343750</v>
      </c>
      <c r="CZ25" s="0" t="n">
        <f aca="false">IF((CZ$3&gt;=1),Inputs!$B$20*Inputs!$B$22*Inputs!$B$23/12,0)</f>
        <v>6343750</v>
      </c>
      <c r="DA25" s="0" t="n">
        <f aca="false">IF((DA$3&gt;=1),Inputs!$B$20*Inputs!$B$22*Inputs!$B$23/12,0)</f>
        <v>6343750</v>
      </c>
      <c r="DB25" s="0" t="n">
        <f aca="false">IF((DB$3&gt;=1),Inputs!$B$20*Inputs!$B$22*Inputs!$B$23/12,0)</f>
        <v>6343750</v>
      </c>
      <c r="DC25" s="0" t="n">
        <f aca="false">IF((DC$3&gt;=1),Inputs!$B$20*Inputs!$B$22*Inputs!$B$23/12,0)</f>
        <v>6343750</v>
      </c>
      <c r="DD25" s="0" t="n">
        <f aca="false">IF((DD$3&gt;=1),Inputs!$B$20*Inputs!$B$22*Inputs!$B$23/12,0)</f>
        <v>6343750</v>
      </c>
      <c r="DE25" s="0" t="n">
        <f aca="false">IF((DE$3&gt;=1),Inputs!$B$20*Inputs!$B$22*Inputs!$B$23/12,0)</f>
        <v>6343750</v>
      </c>
      <c r="DF25" s="0" t="n">
        <f aca="false">IF((DF$3&gt;=1),Inputs!$B$20*Inputs!$B$22*Inputs!$B$23/12,0)</f>
        <v>6343750</v>
      </c>
      <c r="DG25" s="0" t="n">
        <f aca="false">IF((DG$3&gt;=1),Inputs!$B$20*Inputs!$B$22*Inputs!$B$23/12,0)</f>
        <v>6343750</v>
      </c>
      <c r="DH25" s="0" t="n">
        <f aca="false">IF((DH$3&gt;=1),Inputs!$B$20*Inputs!$B$22*Inputs!$B$23/12,0)</f>
        <v>6343750</v>
      </c>
      <c r="DI25" s="0" t="n">
        <f aca="false">IF((DI$3&gt;=1),Inputs!$B$20*Inputs!$B$22*Inputs!$B$23/12,0)</f>
        <v>6343750</v>
      </c>
      <c r="DJ25" s="0" t="n">
        <f aca="false">IF((DJ$3&gt;=1),Inputs!$B$20*Inputs!$B$22*Inputs!$B$23/12,0)</f>
        <v>6343750</v>
      </c>
      <c r="DK25" s="0" t="n">
        <f aca="false">IF((DK$3&gt;=1),Inputs!$B$20*Inputs!$B$22*Inputs!$B$23/12,0)</f>
        <v>6343750</v>
      </c>
      <c r="DL25" s="0" t="n">
        <f aca="false">IF((DL$3&gt;=1),Inputs!$B$20*Inputs!$B$22*Inputs!$B$23/12,0)</f>
        <v>6343750</v>
      </c>
      <c r="DM25" s="0" t="n">
        <f aca="false">IF((DM$3&gt;=1),Inputs!$B$20*Inputs!$B$22*Inputs!$B$23/12,0)</f>
        <v>6343750</v>
      </c>
      <c r="DN25" s="0" t="n">
        <f aca="false">IF((DN$3&gt;=1),Inputs!$B$20*Inputs!$B$22*Inputs!$B$23/12,0)</f>
        <v>6343750</v>
      </c>
      <c r="DO25" s="0" t="n">
        <f aca="false">IF((DO$3&gt;=1),Inputs!$B$20*Inputs!$B$22*Inputs!$B$23/12,0)</f>
        <v>6343750</v>
      </c>
      <c r="DP25" s="0" t="n">
        <f aca="false">IF((DP$3&gt;=1),Inputs!$B$20*Inputs!$B$22*Inputs!$B$23/12,0)</f>
        <v>6343750</v>
      </c>
      <c r="DQ25" s="0" t="n">
        <f aca="false">IF((DQ$3&gt;=1),Inputs!$B$20*Inputs!$B$22*Inputs!$B$23/12,0)</f>
        <v>6343750</v>
      </c>
      <c r="DR25" s="0" t="n">
        <f aca="false">IF((DR$3&gt;=1),Inputs!$B$20*Inputs!$B$22*Inputs!$B$23/12,0)</f>
        <v>6343750</v>
      </c>
    </row>
    <row r="26" customFormat="false" ht="15" hidden="false" customHeight="false" outlineLevel="0" collapsed="false">
      <c r="A26" s="0" t="s">
        <v>48</v>
      </c>
      <c r="B26" s="0" t="n">
        <f aca="false">0</f>
        <v>0</v>
      </c>
      <c r="C26" s="0" t="n">
        <f aca="false">0</f>
        <v>0</v>
      </c>
      <c r="D26" s="0" t="n">
        <f aca="false">0</f>
        <v>0</v>
      </c>
      <c r="E26" s="0" t="n">
        <f aca="false">0</f>
        <v>0</v>
      </c>
      <c r="F26" s="0" t="n">
        <f aca="false">0</f>
        <v>0</v>
      </c>
      <c r="G26" s="0" t="n">
        <f aca="false">0</f>
        <v>0</v>
      </c>
      <c r="H26" s="0" t="n">
        <f aca="false">0</f>
        <v>0</v>
      </c>
      <c r="I26" s="0" t="n">
        <f aca="false">0</f>
        <v>0</v>
      </c>
      <c r="J26" s="0" t="n">
        <f aca="false">0</f>
        <v>0</v>
      </c>
      <c r="K26" s="0" t="n">
        <f aca="false">0</f>
        <v>0</v>
      </c>
      <c r="L26" s="0" t="n">
        <f aca="false">0</f>
        <v>0</v>
      </c>
      <c r="M26" s="0" t="n">
        <f aca="false">IF(M$3=120,SUM(B23:M23)/Inputs!$B$24-Inputs!$B$20*Inputs!$B$22,0)</f>
        <v>0</v>
      </c>
      <c r="N26" s="0" t="n">
        <f aca="false">IF(N$3=120,SUM(C23:N23)/Inputs!$B$24-Inputs!$B$20*Inputs!$B$22,0)</f>
        <v>0</v>
      </c>
      <c r="O26" s="0" t="n">
        <f aca="false">IF(O$3=120,SUM(D23:O23)/Inputs!$B$24-Inputs!$B$20*Inputs!$B$22,0)</f>
        <v>0</v>
      </c>
      <c r="P26" s="0" t="n">
        <f aca="false">IF(P$3=120,SUM(E23:P23)/Inputs!$B$24-Inputs!$B$20*Inputs!$B$22,0)</f>
        <v>0</v>
      </c>
      <c r="Q26" s="0" t="n">
        <f aca="false">IF(Q$3=120,SUM(F23:Q23)/Inputs!$B$24-Inputs!$B$20*Inputs!$B$22,0)</f>
        <v>0</v>
      </c>
      <c r="R26" s="0" t="n">
        <f aca="false">IF(R$3=120,SUM(G23:R23)/Inputs!$B$24-Inputs!$B$20*Inputs!$B$22,0)</f>
        <v>0</v>
      </c>
      <c r="S26" s="0" t="n">
        <f aca="false">IF(S$3=120,SUM(H23:S23)/Inputs!$B$24-Inputs!$B$20*Inputs!$B$22,0)</f>
        <v>0</v>
      </c>
      <c r="T26" s="0" t="n">
        <f aca="false">IF(T$3=120,SUM(I23:T23)/Inputs!$B$24-Inputs!$B$20*Inputs!$B$22,0)</f>
        <v>0</v>
      </c>
      <c r="U26" s="0" t="n">
        <f aca="false">IF(U$3=120,SUM(J23:U23)/Inputs!$B$24-Inputs!$B$20*Inputs!$B$22,0)</f>
        <v>0</v>
      </c>
      <c r="V26" s="0" t="n">
        <f aca="false">IF(V$3=120,SUM(K23:V23)/Inputs!$B$24-Inputs!$B$20*Inputs!$B$22,0)</f>
        <v>0</v>
      </c>
      <c r="W26" s="0" t="n">
        <f aca="false">IF(W$3=120,SUM(L23:W23)/Inputs!$B$24-Inputs!$B$20*Inputs!$B$22,0)</f>
        <v>0</v>
      </c>
      <c r="X26" s="0" t="n">
        <f aca="false">IF(X$3=120,SUM(M23:X23)/Inputs!$B$24-Inputs!$B$20*Inputs!$B$22,0)</f>
        <v>0</v>
      </c>
      <c r="Y26" s="0" t="n">
        <f aca="false">IF(Y$3=120,SUM(N23:Y23)/Inputs!$B$24-Inputs!$B$20*Inputs!$B$22,0)</f>
        <v>0</v>
      </c>
      <c r="Z26" s="0" t="n">
        <f aca="false">IF(Z$3=120,SUM(O23:Z23)/Inputs!$B$24-Inputs!$B$20*Inputs!$B$22,0)</f>
        <v>0</v>
      </c>
      <c r="AA26" s="0" t="n">
        <f aca="false">IF(AA$3=120,SUM(P23:AA23)/Inputs!$B$24-Inputs!$B$20*Inputs!$B$22,0)</f>
        <v>0</v>
      </c>
      <c r="AB26" s="0" t="n">
        <f aca="false">IF(AB$3=120,SUM(Q23:AB23)/Inputs!$B$24-Inputs!$B$20*Inputs!$B$22,0)</f>
        <v>0</v>
      </c>
      <c r="AC26" s="0" t="n">
        <f aca="false">IF(AC$3=120,SUM(R23:AC23)/Inputs!$B$24-Inputs!$B$20*Inputs!$B$22,0)</f>
        <v>0</v>
      </c>
      <c r="AD26" s="0" t="n">
        <f aca="false">IF(AD$3=120,SUM(S23:AD23)/Inputs!$B$24-Inputs!$B$20*Inputs!$B$22,0)</f>
        <v>0</v>
      </c>
      <c r="AE26" s="0" t="n">
        <f aca="false">IF(AE$3=120,SUM(T23:AE23)/Inputs!$B$24-Inputs!$B$20*Inputs!$B$22,0)</f>
        <v>0</v>
      </c>
      <c r="AF26" s="0" t="n">
        <f aca="false">IF(AF$3=120,SUM(U23:AF23)/Inputs!$B$24-Inputs!$B$20*Inputs!$B$22,0)</f>
        <v>0</v>
      </c>
      <c r="AG26" s="0" t="n">
        <f aca="false">IF(AG$3=120,SUM(V23:AG23)/Inputs!$B$24-Inputs!$B$20*Inputs!$B$22,0)</f>
        <v>0</v>
      </c>
      <c r="AH26" s="0" t="n">
        <f aca="false">IF(AH$3=120,SUM(W23:AH23)/Inputs!$B$24-Inputs!$B$20*Inputs!$B$22,0)</f>
        <v>0</v>
      </c>
      <c r="AI26" s="0" t="n">
        <f aca="false">IF(AI$3=120,SUM(X23:AI23)/Inputs!$B$24-Inputs!$B$20*Inputs!$B$22,0)</f>
        <v>0</v>
      </c>
      <c r="AJ26" s="0" t="n">
        <f aca="false">IF(AJ$3=120,SUM(Y23:AJ23)/Inputs!$B$24-Inputs!$B$20*Inputs!$B$22,0)</f>
        <v>0</v>
      </c>
      <c r="AK26" s="0" t="n">
        <f aca="false">IF(AK$3=120,SUM(Z23:AK23)/Inputs!$B$24-Inputs!$B$20*Inputs!$B$22,0)</f>
        <v>0</v>
      </c>
      <c r="AL26" s="0" t="n">
        <f aca="false">IF(AL$3=120,SUM(AA23:AL23)/Inputs!$B$24-Inputs!$B$20*Inputs!$B$22,0)</f>
        <v>0</v>
      </c>
      <c r="AM26" s="0" t="n">
        <f aca="false">IF(AM$3=120,SUM(AB23:AM23)/Inputs!$B$24-Inputs!$B$20*Inputs!$B$22,0)</f>
        <v>0</v>
      </c>
      <c r="AN26" s="0" t="n">
        <f aca="false">IF(AN$3=120,SUM(AC23:AN23)/Inputs!$B$24-Inputs!$B$20*Inputs!$B$22,0)</f>
        <v>0</v>
      </c>
      <c r="AO26" s="0" t="n">
        <f aca="false">IF(AO$3=120,SUM(AD23:AO23)/Inputs!$B$24-Inputs!$B$20*Inputs!$B$22,0)</f>
        <v>0</v>
      </c>
      <c r="AP26" s="0" t="n">
        <f aca="false">IF(AP$3=120,SUM(AE23:AP23)/Inputs!$B$24-Inputs!$B$20*Inputs!$B$22,0)</f>
        <v>0</v>
      </c>
      <c r="AQ26" s="0" t="n">
        <f aca="false">IF(AQ$3=120,SUM(AF23:AQ23)/Inputs!$B$24-Inputs!$B$20*Inputs!$B$22,0)</f>
        <v>0</v>
      </c>
      <c r="AR26" s="0" t="n">
        <f aca="false">IF(AR$3=120,SUM(AG23:AR23)/Inputs!$B$24-Inputs!$B$20*Inputs!$B$22,0)</f>
        <v>0</v>
      </c>
      <c r="AS26" s="0" t="n">
        <f aca="false">IF(AS$3=120,SUM(AH23:AS23)/Inputs!$B$24-Inputs!$B$20*Inputs!$B$22,0)</f>
        <v>0</v>
      </c>
      <c r="AT26" s="0" t="n">
        <f aca="false">IF(AT$3=120,SUM(AI23:AT23)/Inputs!$B$24-Inputs!$B$20*Inputs!$B$22,0)</f>
        <v>0</v>
      </c>
      <c r="AU26" s="0" t="n">
        <f aca="false">IF(AU$3=120,SUM(AJ23:AU23)/Inputs!$B$24-Inputs!$B$20*Inputs!$B$22,0)</f>
        <v>0</v>
      </c>
      <c r="AV26" s="0" t="n">
        <f aca="false">IF(AV$3=120,SUM(AK23:AV23)/Inputs!$B$24-Inputs!$B$20*Inputs!$B$22,0)</f>
        <v>0</v>
      </c>
      <c r="AW26" s="0" t="n">
        <f aca="false">IF(AW$3=120,SUM(AL23:AW23)/Inputs!$B$24-Inputs!$B$20*Inputs!$B$22,0)</f>
        <v>0</v>
      </c>
      <c r="AX26" s="0" t="n">
        <f aca="false">IF(AX$3=120,SUM(AM23:AX23)/Inputs!$B$24-Inputs!$B$20*Inputs!$B$22,0)</f>
        <v>0</v>
      </c>
      <c r="AY26" s="0" t="n">
        <f aca="false">IF(AY$3=120,SUM(AN23:AY23)/Inputs!$B$24-Inputs!$B$20*Inputs!$B$22,0)</f>
        <v>0</v>
      </c>
      <c r="AZ26" s="0" t="n">
        <f aca="false">IF(AZ$3=120,SUM(AO23:AZ23)/Inputs!$B$24-Inputs!$B$20*Inputs!$B$22,0)</f>
        <v>0</v>
      </c>
      <c r="BA26" s="0" t="n">
        <f aca="false">IF(BA$3=120,SUM(AP23:BA23)/Inputs!$B$24-Inputs!$B$20*Inputs!$B$22,0)</f>
        <v>0</v>
      </c>
      <c r="BB26" s="0" t="n">
        <f aca="false">IF(BB$3=120,SUM(AQ23:BB23)/Inputs!$B$24-Inputs!$B$20*Inputs!$B$22,0)</f>
        <v>0</v>
      </c>
      <c r="BC26" s="0" t="n">
        <f aca="false">IF(BC$3=120,SUM(AR23:BC23)/Inputs!$B$24-Inputs!$B$20*Inputs!$B$22,0)</f>
        <v>0</v>
      </c>
      <c r="BD26" s="0" t="n">
        <f aca="false">IF(BD$3=120,SUM(AS23:BD23)/Inputs!$B$24-Inputs!$B$20*Inputs!$B$22,0)</f>
        <v>0</v>
      </c>
      <c r="BE26" s="0" t="n">
        <f aca="false">IF(BE$3=120,SUM(AT23:BE23)/Inputs!$B$24-Inputs!$B$20*Inputs!$B$22,0)</f>
        <v>0</v>
      </c>
      <c r="BF26" s="0" t="n">
        <f aca="false">IF(BF$3=120,SUM(AU23:BF23)/Inputs!$B$24-Inputs!$B$20*Inputs!$B$22,0)</f>
        <v>0</v>
      </c>
      <c r="BG26" s="0" t="n">
        <f aca="false">IF(BG$3=120,SUM(AV23:BG23)/Inputs!$B$24-Inputs!$B$20*Inputs!$B$22,0)</f>
        <v>0</v>
      </c>
      <c r="BH26" s="0" t="n">
        <f aca="false">IF(BH$3=120,SUM(AW23:BH23)/Inputs!$B$24-Inputs!$B$20*Inputs!$B$22,0)</f>
        <v>0</v>
      </c>
      <c r="BI26" s="0" t="n">
        <f aca="false">IF(BI$3=120,SUM(AX23:BI23)/Inputs!$B$24-Inputs!$B$20*Inputs!$B$22,0)</f>
        <v>0</v>
      </c>
      <c r="BJ26" s="0" t="n">
        <f aca="false">IF(BJ$3=120,SUM(AY23:BJ23)/Inputs!$B$24-Inputs!$B$20*Inputs!$B$22,0)</f>
        <v>0</v>
      </c>
      <c r="BK26" s="0" t="n">
        <f aca="false">IF(BK$3=120,SUM(AZ23:BK23)/Inputs!$B$24-Inputs!$B$20*Inputs!$B$22,0)</f>
        <v>0</v>
      </c>
      <c r="BL26" s="0" t="n">
        <f aca="false">IF(BL$3=120,SUM(BA23:BL23)/Inputs!$B$24-Inputs!$B$20*Inputs!$B$22,0)</f>
        <v>0</v>
      </c>
      <c r="BM26" s="0" t="n">
        <f aca="false">IF(BM$3=120,SUM(BB23:BM23)/Inputs!$B$24-Inputs!$B$20*Inputs!$B$22,0)</f>
        <v>0</v>
      </c>
      <c r="BN26" s="0" t="n">
        <f aca="false">IF(BN$3=120,SUM(BC23:BN23)/Inputs!$B$24-Inputs!$B$20*Inputs!$B$22,0)</f>
        <v>0</v>
      </c>
      <c r="BO26" s="0" t="n">
        <f aca="false">IF(BO$3=120,SUM(BD23:BO23)/Inputs!$B$24-Inputs!$B$20*Inputs!$B$22,0)</f>
        <v>0</v>
      </c>
      <c r="BP26" s="0" t="n">
        <f aca="false">IF(BP$3=120,SUM(BE23:BP23)/Inputs!$B$24-Inputs!$B$20*Inputs!$B$22,0)</f>
        <v>0</v>
      </c>
      <c r="BQ26" s="0" t="n">
        <f aca="false">IF(BQ$3=120,SUM(BF23:BQ23)/Inputs!$B$24-Inputs!$B$20*Inputs!$B$22,0)</f>
        <v>0</v>
      </c>
      <c r="BR26" s="0" t="n">
        <f aca="false">IF(BR$3=120,SUM(BG23:BR23)/Inputs!$B$24-Inputs!$B$20*Inputs!$B$22,0)</f>
        <v>0</v>
      </c>
      <c r="BS26" s="0" t="n">
        <f aca="false">IF(BS$3=120,SUM(BH23:BS23)/Inputs!$B$24-Inputs!$B$20*Inputs!$B$22,0)</f>
        <v>0</v>
      </c>
      <c r="BT26" s="0" t="n">
        <f aca="false">IF(BT$3=120,SUM(BI23:BT23)/Inputs!$B$24-Inputs!$B$20*Inputs!$B$22,0)</f>
        <v>0</v>
      </c>
      <c r="BU26" s="0" t="n">
        <f aca="false">IF(BU$3=120,SUM(BJ23:BU23)/Inputs!$B$24-Inputs!$B$20*Inputs!$B$22,0)</f>
        <v>0</v>
      </c>
      <c r="BV26" s="0" t="n">
        <f aca="false">IF(BV$3=120,SUM(BK23:BV23)/Inputs!$B$24-Inputs!$B$20*Inputs!$B$22,0)</f>
        <v>0</v>
      </c>
      <c r="BW26" s="0" t="n">
        <f aca="false">IF(BW$3=120,SUM(BL23:BW23)/Inputs!$B$24-Inputs!$B$20*Inputs!$B$22,0)</f>
        <v>0</v>
      </c>
      <c r="BX26" s="0" t="n">
        <f aca="false">IF(BX$3=120,SUM(BM23:BX23)/Inputs!$B$24-Inputs!$B$20*Inputs!$B$22,0)</f>
        <v>0</v>
      </c>
      <c r="BY26" s="0" t="n">
        <f aca="false">IF(BY$3=120,SUM(BN23:BY23)/Inputs!$B$24-Inputs!$B$20*Inputs!$B$22,0)</f>
        <v>0</v>
      </c>
      <c r="BZ26" s="0" t="n">
        <f aca="false">IF(BZ$3=120,SUM(BO23:BZ23)/Inputs!$B$24-Inputs!$B$20*Inputs!$B$22,0)</f>
        <v>0</v>
      </c>
      <c r="CA26" s="0" t="n">
        <f aca="false">IF(CA$3=120,SUM(BP23:CA23)/Inputs!$B$24-Inputs!$B$20*Inputs!$B$22,0)</f>
        <v>0</v>
      </c>
      <c r="CB26" s="0" t="n">
        <f aca="false">IF(CB$3=120,SUM(BQ23:CB23)/Inputs!$B$24-Inputs!$B$20*Inputs!$B$22,0)</f>
        <v>0</v>
      </c>
      <c r="CC26" s="0" t="n">
        <f aca="false">IF(CC$3=120,SUM(BR23:CC23)/Inputs!$B$24-Inputs!$B$20*Inputs!$B$22,0)</f>
        <v>0</v>
      </c>
      <c r="CD26" s="0" t="n">
        <f aca="false">IF(CD$3=120,SUM(BS23:CD23)/Inputs!$B$24-Inputs!$B$20*Inputs!$B$22,0)</f>
        <v>0</v>
      </c>
      <c r="CE26" s="0" t="n">
        <f aca="false">IF(CE$3=120,SUM(BT23:CE23)/Inputs!$B$24-Inputs!$B$20*Inputs!$B$22,0)</f>
        <v>0</v>
      </c>
      <c r="CF26" s="0" t="n">
        <f aca="false">IF(CF$3=120,SUM(BU23:CF23)/Inputs!$B$24-Inputs!$B$20*Inputs!$B$22,0)</f>
        <v>0</v>
      </c>
      <c r="CG26" s="0" t="n">
        <f aca="false">IF(CG$3=120,SUM(BV23:CG23)/Inputs!$B$24-Inputs!$B$20*Inputs!$B$22,0)</f>
        <v>0</v>
      </c>
      <c r="CH26" s="0" t="n">
        <f aca="false">IF(CH$3=120,SUM(BW23:CH23)/Inputs!$B$24-Inputs!$B$20*Inputs!$B$22,0)</f>
        <v>0</v>
      </c>
      <c r="CI26" s="0" t="n">
        <f aca="false">IF(CI$3=120,SUM(BX23:CI23)/Inputs!$B$24-Inputs!$B$20*Inputs!$B$22,0)</f>
        <v>0</v>
      </c>
      <c r="CJ26" s="0" t="n">
        <f aca="false">IF(CJ$3=120,SUM(BY23:CJ23)/Inputs!$B$24-Inputs!$B$20*Inputs!$B$22,0)</f>
        <v>0</v>
      </c>
      <c r="CK26" s="0" t="n">
        <f aca="false">IF(CK$3=120,SUM(BZ23:CK23)/Inputs!$B$24-Inputs!$B$20*Inputs!$B$22,0)</f>
        <v>0</v>
      </c>
      <c r="CL26" s="0" t="n">
        <f aca="false">IF(CL$3=120,SUM(CA23:CL23)/Inputs!$B$24-Inputs!$B$20*Inputs!$B$22,0)</f>
        <v>0</v>
      </c>
      <c r="CM26" s="0" t="n">
        <f aca="false">IF(CM$3=120,SUM(CB23:CM23)/Inputs!$B$24-Inputs!$B$20*Inputs!$B$22,0)</f>
        <v>0</v>
      </c>
      <c r="CN26" s="0" t="n">
        <f aca="false">IF(CN$3=120,SUM(CC23:CN23)/Inputs!$B$24-Inputs!$B$20*Inputs!$B$22,0)</f>
        <v>0</v>
      </c>
      <c r="CO26" s="0" t="n">
        <f aca="false">IF(CO$3=120,SUM(CD23:CO23)/Inputs!$B$24-Inputs!$B$20*Inputs!$B$22,0)</f>
        <v>0</v>
      </c>
      <c r="CP26" s="0" t="n">
        <f aca="false">IF(CP$3=120,SUM(CE23:CP23)/Inputs!$B$24-Inputs!$B$20*Inputs!$B$22,0)</f>
        <v>0</v>
      </c>
      <c r="CQ26" s="0" t="n">
        <f aca="false">IF(CQ$3=120,SUM(CF23:CQ23)/Inputs!$B$24-Inputs!$B$20*Inputs!$B$22,0)</f>
        <v>0</v>
      </c>
      <c r="CR26" s="0" t="n">
        <f aca="false">IF(CR$3=120,SUM(CG23:CR23)/Inputs!$B$24-Inputs!$B$20*Inputs!$B$22,0)</f>
        <v>0</v>
      </c>
      <c r="CS26" s="0" t="n">
        <f aca="false">IF(CS$3=120,SUM(CH23:CS23)/Inputs!$B$24-Inputs!$B$20*Inputs!$B$22,0)</f>
        <v>0</v>
      </c>
      <c r="CT26" s="0" t="n">
        <f aca="false">IF(CT$3=120,SUM(CI23:CT23)/Inputs!$B$24-Inputs!$B$20*Inputs!$B$22,0)</f>
        <v>0</v>
      </c>
      <c r="CU26" s="0" t="n">
        <f aca="false">IF(CU$3=120,SUM(CJ23:CU23)/Inputs!$B$24-Inputs!$B$20*Inputs!$B$22,0)</f>
        <v>0</v>
      </c>
      <c r="CV26" s="0" t="n">
        <f aca="false">IF(CV$3=120,SUM(CK23:CV23)/Inputs!$B$24-Inputs!$B$20*Inputs!$B$22,0)</f>
        <v>0</v>
      </c>
      <c r="CW26" s="0" t="n">
        <f aca="false">IF(CW$3=120,SUM(CL23:CW23)/Inputs!$B$24-Inputs!$B$20*Inputs!$B$22,0)</f>
        <v>0</v>
      </c>
      <c r="CX26" s="0" t="n">
        <f aca="false">IF(CX$3=120,SUM(CM23:CX23)/Inputs!$B$24-Inputs!$B$20*Inputs!$B$22,0)</f>
        <v>0</v>
      </c>
      <c r="CY26" s="0" t="n">
        <f aca="false">IF(CY$3=120,SUM(CN23:CY23)/Inputs!$B$24-Inputs!$B$20*Inputs!$B$22,0)</f>
        <v>0</v>
      </c>
      <c r="CZ26" s="0" t="n">
        <f aca="false">IF(CZ$3=120,SUM(CO23:CZ23)/Inputs!$B$24-Inputs!$B$20*Inputs!$B$22,0)</f>
        <v>0</v>
      </c>
      <c r="DA26" s="0" t="n">
        <f aca="false">IF(DA$3=120,SUM(CP23:DA23)/Inputs!$B$24-Inputs!$B$20*Inputs!$B$22,0)</f>
        <v>0</v>
      </c>
      <c r="DB26" s="0" t="n">
        <f aca="false">IF(DB$3=120,SUM(CQ23:DB23)/Inputs!$B$24-Inputs!$B$20*Inputs!$B$22,0)</f>
        <v>0</v>
      </c>
      <c r="DC26" s="0" t="n">
        <f aca="false">IF(DC$3=120,SUM(CR23:DC23)/Inputs!$B$24-Inputs!$B$20*Inputs!$B$22,0)</f>
        <v>0</v>
      </c>
      <c r="DD26" s="0" t="n">
        <f aca="false">IF(DD$3=120,SUM(CS23:DD23)/Inputs!$B$24-Inputs!$B$20*Inputs!$B$22,0)</f>
        <v>0</v>
      </c>
      <c r="DE26" s="0" t="n">
        <f aca="false">IF(DE$3=120,SUM(CT23:DE23)/Inputs!$B$24-Inputs!$B$20*Inputs!$B$22,0)</f>
        <v>0</v>
      </c>
      <c r="DF26" s="0" t="n">
        <f aca="false">IF(DF$3=120,SUM(CU23:DF23)/Inputs!$B$24-Inputs!$B$20*Inputs!$B$22,0)</f>
        <v>0</v>
      </c>
      <c r="DG26" s="0" t="n">
        <f aca="false">IF(DG$3=120,SUM(CV23:DG23)/Inputs!$B$24-Inputs!$B$20*Inputs!$B$22,0)</f>
        <v>0</v>
      </c>
      <c r="DH26" s="0" t="n">
        <f aca="false">IF(DH$3=120,SUM(CW23:DH23)/Inputs!$B$24-Inputs!$B$20*Inputs!$B$22,0)</f>
        <v>0</v>
      </c>
      <c r="DI26" s="0" t="n">
        <f aca="false">IF(DI$3=120,SUM(CX23:DI23)/Inputs!$B$24-Inputs!$B$20*Inputs!$B$22,0)</f>
        <v>0</v>
      </c>
      <c r="DJ26" s="0" t="n">
        <f aca="false">IF(DJ$3=120,SUM(CY23:DJ23)/Inputs!$B$24-Inputs!$B$20*Inputs!$B$22,0)</f>
        <v>0</v>
      </c>
      <c r="DK26" s="0" t="n">
        <f aca="false">IF(DK$3=120,SUM(CZ23:DK23)/Inputs!$B$24-Inputs!$B$20*Inputs!$B$22,0)</f>
        <v>0</v>
      </c>
      <c r="DL26" s="0" t="n">
        <f aca="false">IF(DL$3=120,SUM(DA23:DL23)/Inputs!$B$24-Inputs!$B$20*Inputs!$B$22,0)</f>
        <v>0</v>
      </c>
      <c r="DM26" s="0" t="n">
        <f aca="false">IF(DM$3=120,SUM(DB23:DM23)/Inputs!$B$24-Inputs!$B$20*Inputs!$B$22,0)</f>
        <v>0</v>
      </c>
      <c r="DN26" s="0" t="n">
        <f aca="false">IF(DN$3=120,SUM(DC23:DN23)/Inputs!$B$24-Inputs!$B$20*Inputs!$B$22,0)</f>
        <v>0</v>
      </c>
      <c r="DO26" s="0" t="n">
        <f aca="false">IF(DO$3=120,SUM(DD23:DO23)/Inputs!$B$24-Inputs!$B$20*Inputs!$B$22,0)</f>
        <v>0</v>
      </c>
      <c r="DP26" s="0" t="n">
        <f aca="false">IF(DP$3=120,SUM(DE23:DP23)/Inputs!$B$24-Inputs!$B$20*Inputs!$B$22,0)</f>
        <v>0</v>
      </c>
      <c r="DQ26" s="0" t="n">
        <f aca="false">IF(DQ$3=120,SUM(DF23:DQ23)/Inputs!$B$24-Inputs!$B$20*Inputs!$B$22,0)</f>
        <v>0</v>
      </c>
      <c r="DR26" s="0" t="n">
        <f aca="false">IF(DR$3=120,SUM(DG23:DR23)/Inputs!$B$24-Inputs!$B$20*Inputs!$B$22,0)</f>
        <v>1156153711.59999</v>
      </c>
    </row>
    <row r="27" customFormat="false" ht="15" hidden="false" customHeight="false" outlineLevel="0" collapsed="false">
      <c r="A27" s="0" t="s">
        <v>49</v>
      </c>
      <c r="B27" s="0" t="n">
        <f aca="false">-(Inputs!$B$20*(1-Inputs!$B$22)-Inputs!$B$21)</f>
        <v>-685000000</v>
      </c>
      <c r="C27" s="0" t="n">
        <f aca="false">C23-C24-C25+C26</f>
        <v>8316327.18386879</v>
      </c>
      <c r="D27" s="0" t="n">
        <f aca="false">D23-D24-D25+D26</f>
        <v>4956515.60051613</v>
      </c>
      <c r="E27" s="0" t="n">
        <f aca="false">E23-E24-E25+E26</f>
        <v>3421442.79072</v>
      </c>
      <c r="F27" s="0" t="n">
        <f aca="false">F23-F24-F25+F26</f>
        <v>406552.885316127</v>
      </c>
      <c r="G27" s="0" t="n">
        <f aca="false">G23-G24-G25+G26</f>
        <v>-1481811.147072</v>
      </c>
      <c r="H27" s="0" t="n">
        <f aca="false">H23-H24-H25+H26</f>
        <v>-2727482.15380645</v>
      </c>
      <c r="I27" s="0" t="n">
        <f aca="false">I23-I24-I25+I26</f>
        <v>-1920748.726656</v>
      </c>
      <c r="J27" s="0" t="n">
        <f aca="false">J23-J24-J25+J26</f>
        <v>-1208813.38416</v>
      </c>
      <c r="K27" s="0" t="n">
        <f aca="false">K23-K24-K25+K26</f>
        <v>-365300.372252907</v>
      </c>
      <c r="L27" s="0" t="n">
        <f aca="false">L23-L24-L25+L26</f>
        <v>1547928.73152</v>
      </c>
      <c r="M27" s="0" t="n">
        <f aca="false">M23-M24-M25+M26</f>
        <v>3820319.97751742</v>
      </c>
      <c r="N27" s="0" t="n">
        <f aca="false">N23-N24-N25+N26</f>
        <v>11405751.8674896</v>
      </c>
      <c r="O27" s="0" t="n">
        <f aca="false">O23-O24-O25+O26</f>
        <v>10189261.109499</v>
      </c>
      <c r="P27" s="0" t="n">
        <f aca="false">P23-P24-P25+P26</f>
        <v>6592407.5583629</v>
      </c>
      <c r="Q27" s="0" t="n">
        <f aca="false">Q23-Q24-Q25+Q26</f>
        <v>4920067.3731</v>
      </c>
      <c r="R27" s="0" t="n">
        <f aca="false">R23-R24-R25+R26</f>
        <v>1501745.7513387</v>
      </c>
      <c r="S27" s="0" t="n">
        <f aca="false">S23-S24-S25+S26</f>
        <v>-639306.096060002</v>
      </c>
      <c r="T27" s="0" t="n">
        <f aca="false">T23-T24-T25+T26</f>
        <v>-2051664.18193549</v>
      </c>
      <c r="U27" s="0" t="n">
        <f aca="false">U23-U24-U25+U26</f>
        <v>-1136979.26688</v>
      </c>
      <c r="V27" s="0" t="n">
        <f aca="false">V23-V24-V25+V26</f>
        <v>-329777.660550004</v>
      </c>
      <c r="W27" s="0" t="n">
        <f aca="false">W23-W24-W25+W26</f>
        <v>626608.428929031</v>
      </c>
      <c r="X27" s="0" t="n">
        <f aca="false">X23-X24-X25+X26</f>
        <v>2795852.6196</v>
      </c>
      <c r="Y27" s="0" t="n">
        <f aca="false">Y23-Y24-Y25+Y26</f>
        <v>5372319.54642581</v>
      </c>
      <c r="Z27" s="0" t="n">
        <f aca="false">Z23-Z24-Z25+Z26</f>
        <v>13692091.2380205</v>
      </c>
      <c r="AA27" s="0" t="n">
        <f aca="false">AA23-AA24-AA25+AA26</f>
        <v>11401039.2007039</v>
      </c>
      <c r="AB27" s="0" t="n">
        <f aca="false">AB23-AB24-AB25+AB26</f>
        <v>7517943.32190165</v>
      </c>
      <c r="AC27" s="0" t="n">
        <f aca="false">AC23-AC24-AC25+AC26</f>
        <v>5870422.8453252</v>
      </c>
      <c r="AD27" s="0" t="n">
        <f aca="false">AD23-AD24-AD25+AD26</f>
        <v>2180066.70121993</v>
      </c>
      <c r="AE27" s="0" t="n">
        <f aca="false">AE23-AE24-AE25+AE26</f>
        <v>-131372.863037525</v>
      </c>
      <c r="AF27" s="0" t="n">
        <f aca="false">AF23-AF24-AF25+AF26</f>
        <v>-1656128.25957677</v>
      </c>
      <c r="AG27" s="0" t="n">
        <f aca="false">AG23-AG24-AG25+AG26</f>
        <v>-668651.518152962</v>
      </c>
      <c r="AH27" s="0" t="n">
        <f aca="false">AH23-AH24-AH25+AH26</f>
        <v>202788.251729399</v>
      </c>
      <c r="AI27" s="0" t="n">
        <f aca="false">AI23-AI24-AI25+AI26</f>
        <v>1235284.80178405</v>
      </c>
      <c r="AJ27" s="0" t="n">
        <f aca="false">AJ23-AJ24-AJ25+AJ26</f>
        <v>3577160.29300319</v>
      </c>
      <c r="AK27" s="0" t="n">
        <f aca="false">AK23-AK24-AK25+AK26</f>
        <v>6335803.46428533</v>
      </c>
      <c r="AL27" s="0" t="n">
        <f aca="false">AL23-AL24-AL25+AL26</f>
        <v>15039063.6335089</v>
      </c>
      <c r="AM27" s="0" t="n">
        <f aca="false">AM23-AM24-AM25+AM26</f>
        <v>-9545284.07928016</v>
      </c>
      <c r="AN27" s="0" t="n">
        <f aca="false">AN23-AN24-AN25+AN26</f>
        <v>-12875162.2185596</v>
      </c>
      <c r="AO27" s="0" t="n">
        <f aca="false">AO23-AO24-AO25+AO26</f>
        <v>-14262800.5937273</v>
      </c>
      <c r="AP27" s="0" t="n">
        <f aca="false">AP23-AP24-AP25+AP26</f>
        <v>-16988128.6061491</v>
      </c>
      <c r="AQ27" s="0" t="n">
        <f aca="false">AQ23-AQ24-AQ25+AQ26</f>
        <v>-18695126.7243532</v>
      </c>
      <c r="AR27" s="0" t="n">
        <f aca="false">AR23-AR24-AR25+AR26</f>
        <v>-19821158.5846975</v>
      </c>
      <c r="AS27" s="0" t="n">
        <f aca="false">AS23-AS24-AS25+AS26</f>
        <v>-371127.901651376</v>
      </c>
      <c r="AT27" s="0" t="n">
        <f aca="false">AT23-AT24-AT25+AT26</f>
        <v>548241.055574517</v>
      </c>
      <c r="AU27" s="0" t="n">
        <f aca="false">AU23-AU24-AU25+AU26</f>
        <v>1637524.91588217</v>
      </c>
      <c r="AV27" s="0" t="n">
        <f aca="false">AV23-AV24-AV25+AV26</f>
        <v>4108203.55911837</v>
      </c>
      <c r="AW27" s="0" t="n">
        <f aca="false">AW23-AW24-AW25+AW26</f>
        <v>6917225.62482103</v>
      </c>
      <c r="AX27" s="0" t="n">
        <f aca="false">AX23-AX24-AX25+AX26</f>
        <v>16099165.1033519</v>
      </c>
      <c r="AY27" s="0" t="n">
        <f aca="false">AY23-AY24-AY25+AY26</f>
        <v>13167615.0629135</v>
      </c>
      <c r="AZ27" s="0" t="n">
        <f aca="false">AZ23-AZ24-AZ25+AZ26</f>
        <v>8845632.27240957</v>
      </c>
      <c r="BA27" s="0" t="n">
        <f aca="false">BA23-BA24-BA25+BA26</f>
        <v>7067968.39679286</v>
      </c>
      <c r="BB27" s="0" t="n">
        <f aca="false">BB23-BB24-BB25+BB26</f>
        <v>3112577.70187532</v>
      </c>
      <c r="BC27" s="0" t="n">
        <f aca="false">BC23-BC24-BC25+BC26</f>
        <v>539887.680867657</v>
      </c>
      <c r="BD27" s="0" t="n">
        <f aca="false">BD23-BD24-BD25+BD26</f>
        <v>-1157203.19436544</v>
      </c>
      <c r="BE27" s="0" t="n">
        <f aca="false">BE23-BE24-BE25+BE26</f>
        <v>-58116.8942422029</v>
      </c>
      <c r="BF27" s="0" t="n">
        <f aca="false">BF23-BF24-BF25+BF26</f>
        <v>911817.355631109</v>
      </c>
      <c r="BG27" s="0" t="n">
        <f aca="false">BG23-BG24-BG25+BG26</f>
        <v>2061011.82825569</v>
      </c>
      <c r="BH27" s="0" t="n">
        <f aca="false">BH23-BH24-BH25+BH26</f>
        <v>4667577.79686988</v>
      </c>
      <c r="BI27" s="0" t="n">
        <f aca="false">BI23-BI24-BI25+BI26</f>
        <v>7529881.05738618</v>
      </c>
      <c r="BJ27" s="0" t="n">
        <f aca="false">BJ23-BJ24-BJ25+BJ26</f>
        <v>17216827.2072363</v>
      </c>
      <c r="BK27" s="0" t="n">
        <f aca="false">BK23-BK24-BK25+BK26</f>
        <v>14123252.2709657</v>
      </c>
      <c r="BL27" s="0" t="n">
        <f aca="false">BL23-BL24-BL25+BL26</f>
        <v>9563560.4269841</v>
      </c>
      <c r="BM27" s="0" t="n">
        <f aca="false">BM23-BM24-BM25+BM26</f>
        <v>7688125.03820847</v>
      </c>
      <c r="BN27" s="0" t="n">
        <f aca="false">BN23-BN24-BN25+BN26</f>
        <v>3616263.52499845</v>
      </c>
      <c r="BO27" s="0" t="n">
        <f aca="false">BO23-BO24-BO25+BO26</f>
        <v>902075.552835384</v>
      </c>
      <c r="BP27" s="0" t="n">
        <f aca="false">BP23-BP24-BP25+BP26</f>
        <v>-888355.320535542</v>
      </c>
      <c r="BQ27" s="0" t="n">
        <f aca="false">BQ23-BQ24-BQ25+BQ26</f>
        <v>271180.726094477</v>
      </c>
      <c r="BR27" s="0" t="n">
        <f aca="false">BR23-BR24-BR25+BR26</f>
        <v>1294461.35971082</v>
      </c>
      <c r="BS27" s="0" t="n">
        <f aca="false">BS23-BS24-BS25+BS26</f>
        <v>2506861.52832975</v>
      </c>
      <c r="BT27" s="0" t="n">
        <f aca="false">BT23-BT24-BT25+BT26</f>
        <v>5256788.62521772</v>
      </c>
      <c r="BU27" s="0" t="n">
        <f aca="false">BU23-BU24-BU25+BU26</f>
        <v>8175442.89513442</v>
      </c>
      <c r="BV27" s="0" t="n">
        <f aca="false">BV23-BV24-BV25+BV26</f>
        <v>18395171.0832263</v>
      </c>
      <c r="BW27" s="0" t="n">
        <f aca="false">BW23-BW24-BW25+BW26</f>
        <v>15130612.5032363</v>
      </c>
      <c r="BX27" s="0" t="n">
        <f aca="false">BX23-BX24-BX25+BX26</f>
        <v>10320137.6078357</v>
      </c>
      <c r="BY27" s="0" t="n">
        <f aca="false">BY23-BY24-BY25+BY26</f>
        <v>8341553.27267745</v>
      </c>
      <c r="BZ27" s="0" t="n">
        <f aca="false">BZ23-BZ24-BZ25+BZ26</f>
        <v>4146667.33636457</v>
      </c>
      <c r="CA27" s="0" t="n">
        <f aca="false">CA23-CA24-CA25+CA26</f>
        <v>1283199.02573252</v>
      </c>
      <c r="CB27" s="0" t="n">
        <f aca="false">CB23-CB24-CB25+CB26</f>
        <v>-605705.545673799</v>
      </c>
      <c r="CC27" s="0" t="n">
        <f aca="false">CC23-CC24-CC25+CC26</f>
        <v>617604.983520867</v>
      </c>
      <c r="CD27" s="0" t="n">
        <f aca="false">CD23-CD24-CD25+CD26</f>
        <v>1697166.05198611</v>
      </c>
      <c r="CE27" s="0" t="n">
        <f aca="false">CE23-CE24-CE25+CE26</f>
        <v>2976248.22987909</v>
      </c>
      <c r="CF27" s="0" t="n">
        <f aca="false">CF23-CF24-CF25+CF26</f>
        <v>5877421.31709589</v>
      </c>
      <c r="CG27" s="0" t="n">
        <f aca="false">CG23-CG24-CG25+CG26</f>
        <v>8855673.61173433</v>
      </c>
      <c r="CH27" s="0" t="n">
        <f aca="false">CH23-CH24-CH25+CH26</f>
        <v>19637486.8501712</v>
      </c>
      <c r="CI27" s="0" t="n">
        <f aca="false">CI23-CI24-CI25+CI26</f>
        <v>16192490.3047239</v>
      </c>
      <c r="CJ27" s="0" t="n">
        <f aca="false">CJ23-CJ24-CJ25+CJ26</f>
        <v>11117439.2900763</v>
      </c>
      <c r="CK27" s="0" t="n">
        <f aca="false">CK23-CK24-CK25+CK26</f>
        <v>9030032.81648429</v>
      </c>
      <c r="CL27" s="0" t="n">
        <f aca="false">CL23-CL24-CL25+CL26</f>
        <v>4705199.54140529</v>
      </c>
      <c r="CM27" s="0" t="n">
        <f aca="false">CM23-CM24-CM25+CM26</f>
        <v>1684240.47368849</v>
      </c>
      <c r="CN27" s="0" t="n">
        <f aca="false">CN23-CN24-CN25+CN26</f>
        <v>-308553.849145183</v>
      </c>
      <c r="CO27" s="0" t="n">
        <f aca="false">CO23-CO24-CO25+CO26</f>
        <v>982038.75915519</v>
      </c>
      <c r="CP27" s="0" t="n">
        <f aca="false">CP23-CP24-CP25+CP26</f>
        <v>2120975.68638602</v>
      </c>
      <c r="CQ27" s="0" t="n">
        <f aca="false">CQ23-CQ24-CQ25+CQ26</f>
        <v>3470407.38406311</v>
      </c>
      <c r="CR27" s="0" t="n">
        <f aca="false">CR23-CR24-CR25+CR26</f>
        <v>6482410.74241531</v>
      </c>
      <c r="CS27" s="0" t="n">
        <f aca="false">CS23-CS24-CS25+CS26</f>
        <v>9572429.77418929</v>
      </c>
      <c r="CT27" s="0" t="n">
        <f aca="false">CT23-CT24-CT25+CT26</f>
        <v>20947242.7407402</v>
      </c>
      <c r="CU27" s="0" t="n">
        <f aca="false">CU23-CU24-CU25+CU26</f>
        <v>17311830.9071219</v>
      </c>
      <c r="CV27" s="0" t="n">
        <f aca="false">CV23-CV24-CV25+CV26</f>
        <v>11957652.0866686</v>
      </c>
      <c r="CW27" s="0" t="n">
        <f aca="false">CW23-CW24-CW25+CW26</f>
        <v>9755438.25702906</v>
      </c>
      <c r="CX27" s="0" t="n">
        <f aca="false">CX23-CX24-CX25+CX26</f>
        <v>5293344.57281569</v>
      </c>
      <c r="CY27" s="0" t="n">
        <f aca="false">CY23-CY24-CY25+CY26</f>
        <v>2106232.75637446</v>
      </c>
      <c r="CZ27" s="0" t="n">
        <f aca="false">CZ23-CZ24-CZ25+CZ26</f>
        <v>3834.74578493927</v>
      </c>
      <c r="DA27" s="0" t="n">
        <f aca="false">DA23-DA24-DA25+DA26</f>
        <v>1365409.94754184</v>
      </c>
      <c r="DB27" s="0" t="n">
        <f aca="false">DB23-DB24-DB25+DB26</f>
        <v>2566988.40577036</v>
      </c>
      <c r="DC27" s="0" t="n">
        <f aca="false">DC23-DC24-DC25+DC26</f>
        <v>3990638.84681969</v>
      </c>
      <c r="DD27" s="0" t="n">
        <f aca="false">DD23-DD24-DD25+DD26</f>
        <v>7067696.9688863</v>
      </c>
      <c r="DE27" s="0" t="n">
        <f aca="false">DE23-DE24-DE25+DE26</f>
        <v>10327667.0474079</v>
      </c>
      <c r="DF27" s="0" t="n">
        <f aca="false">DF23-DF24-DF25+DF26</f>
        <v>22328094.7271191</v>
      </c>
      <c r="DG27" s="0" t="n">
        <f aca="false">DG23-DG24-DG25+DG26</f>
        <v>18491738.33579</v>
      </c>
      <c r="DH27" s="0" t="n">
        <f aca="false">DH23-DH24-DH25+DH26</f>
        <v>12843079.6802118</v>
      </c>
      <c r="DI27" s="0" t="n">
        <f aca="false">DI23-DI24-DI25+DI26</f>
        <v>10519744.0899421</v>
      </c>
      <c r="DJ27" s="0" t="n">
        <f aca="false">DJ23-DJ24-DJ25+DJ26</f>
        <v>5912664.74935165</v>
      </c>
      <c r="DK27" s="0" t="n">
        <f aca="false">DK23-DK24-DK25+DK26</f>
        <v>2550261.78300616</v>
      </c>
      <c r="DL27" s="0" t="n">
        <f aca="false">DL23-DL24-DL25+DL26</f>
        <v>332231.881834215</v>
      </c>
      <c r="DM27" s="0" t="n">
        <f aca="false">DM23-DM24-DM25+DM26</f>
        <v>1768693.71968774</v>
      </c>
      <c r="DN27" s="0" t="n">
        <f aca="false">DN23-DN24-DN25+DN26</f>
        <v>3036358.99311883</v>
      </c>
      <c r="DO27" s="0" t="n">
        <f aca="false">DO23-DO24-DO25+DO26</f>
        <v>4538310.20842587</v>
      </c>
      <c r="DP27" s="0" t="n">
        <f aca="false">DP23-DP24-DP25+DP26</f>
        <v>7684177.03095147</v>
      </c>
      <c r="DQ27" s="0" t="n">
        <f aca="false">DQ23-DQ24-DQ25+DQ26</f>
        <v>11123445.4637917</v>
      </c>
      <c r="DR27" s="0" t="n">
        <f aca="false">DR23-DR24-DR25+DR26</f>
        <v>1179937608.26587</v>
      </c>
    </row>
    <row r="28" customFormat="false" ht="15" hidden="false" customHeight="false" outlineLevel="0" collapsed="false">
      <c r="A28" s="0" t="s">
        <v>50</v>
      </c>
      <c r="B28" s="0" t="n">
        <f aca="false">-(Inputs!$B$20-Inputs!$B$21)</f>
        <v>-1410000000</v>
      </c>
      <c r="C28" s="0" t="n">
        <f aca="false">C23-C24+IF(C$3=120,C26+Inputs!$B$20*Inputs!$B$22,0)</f>
        <v>14660077.1838688</v>
      </c>
      <c r="D28" s="0" t="n">
        <f aca="false">D23-D24+IF(D$3=120,D26+Inputs!$B$20*Inputs!$B$22,0)</f>
        <v>11300265.6005161</v>
      </c>
      <c r="E28" s="0" t="n">
        <f aca="false">E23-E24+IF(E$3=120,E26+Inputs!$B$20*Inputs!$B$22,0)</f>
        <v>9765192.79072</v>
      </c>
      <c r="F28" s="0" t="n">
        <f aca="false">F23-F24+IF(F$3=120,F26+Inputs!$B$20*Inputs!$B$22,0)</f>
        <v>6750302.88531613</v>
      </c>
      <c r="G28" s="0" t="n">
        <f aca="false">G23-G24+IF(G$3=120,G26+Inputs!$B$20*Inputs!$B$22,0)</f>
        <v>4861938.852928</v>
      </c>
      <c r="H28" s="0" t="n">
        <f aca="false">H23-H24+IF(H$3=120,H26+Inputs!$B$20*Inputs!$B$22,0)</f>
        <v>3616267.84619355</v>
      </c>
      <c r="I28" s="0" t="n">
        <f aca="false">I23-I24+IF(I$3=120,I26+Inputs!$B$20*Inputs!$B$22,0)</f>
        <v>4423001.273344</v>
      </c>
      <c r="J28" s="0" t="n">
        <f aca="false">J23-J24+IF(J$3=120,J26+Inputs!$B$20*Inputs!$B$22,0)</f>
        <v>5134936.61584</v>
      </c>
      <c r="K28" s="0" t="n">
        <f aca="false">K23-K24+IF(K$3=120,K26+Inputs!$B$20*Inputs!$B$22,0)</f>
        <v>5978449.62774709</v>
      </c>
      <c r="L28" s="0" t="n">
        <f aca="false">L23-L24+IF(L$3=120,L26+Inputs!$B$20*Inputs!$B$22,0)</f>
        <v>7891678.73152</v>
      </c>
      <c r="M28" s="0" t="n">
        <f aca="false">M23-M24+IF(M$3=120,M26+Inputs!$B$20*Inputs!$B$22,0)</f>
        <v>10164069.9775174</v>
      </c>
      <c r="N28" s="0" t="n">
        <f aca="false">N23-N24+IF(N$3=120,N26+Inputs!$B$20*Inputs!$B$22,0)</f>
        <v>17749501.8674896</v>
      </c>
      <c r="O28" s="0" t="n">
        <f aca="false">O23-O24+IF(O$3=120,O26+Inputs!$B$20*Inputs!$B$22,0)</f>
        <v>16533011.109499</v>
      </c>
      <c r="P28" s="0" t="n">
        <f aca="false">P23-P24+IF(P$3=120,P26+Inputs!$B$20*Inputs!$B$22,0)</f>
        <v>12936157.5583629</v>
      </c>
      <c r="Q28" s="0" t="n">
        <f aca="false">Q23-Q24+IF(Q$3=120,Q26+Inputs!$B$20*Inputs!$B$22,0)</f>
        <v>11263817.3731</v>
      </c>
      <c r="R28" s="0" t="n">
        <f aca="false">R23-R24+IF(R$3=120,R26+Inputs!$B$20*Inputs!$B$22,0)</f>
        <v>7845495.7513387</v>
      </c>
      <c r="S28" s="0" t="n">
        <f aca="false">S23-S24+IF(S$3=120,S26+Inputs!$B$20*Inputs!$B$22,0)</f>
        <v>5704443.90394</v>
      </c>
      <c r="T28" s="0" t="n">
        <f aca="false">T23-T24+IF(T$3=120,T26+Inputs!$B$20*Inputs!$B$22,0)</f>
        <v>4292085.81806451</v>
      </c>
      <c r="U28" s="0" t="n">
        <f aca="false">U23-U24+IF(U$3=120,U26+Inputs!$B$20*Inputs!$B$22,0)</f>
        <v>5206770.73312</v>
      </c>
      <c r="V28" s="0" t="n">
        <f aca="false">V23-V24+IF(V$3=120,V26+Inputs!$B$20*Inputs!$B$22,0)</f>
        <v>6013972.33945</v>
      </c>
      <c r="W28" s="0" t="n">
        <f aca="false">W23-W24+IF(W$3=120,W26+Inputs!$B$20*Inputs!$B$22,0)</f>
        <v>6970358.42892903</v>
      </c>
      <c r="X28" s="0" t="n">
        <f aca="false">X23-X24+IF(X$3=120,X26+Inputs!$B$20*Inputs!$B$22,0)</f>
        <v>9139602.6196</v>
      </c>
      <c r="Y28" s="0" t="n">
        <f aca="false">Y23-Y24+IF(Y$3=120,Y26+Inputs!$B$20*Inputs!$B$22,0)</f>
        <v>11716069.5464258</v>
      </c>
      <c r="Z28" s="0" t="n">
        <f aca="false">Z23-Z24+IF(Z$3=120,Z26+Inputs!$B$20*Inputs!$B$22,0)</f>
        <v>20035841.2380205</v>
      </c>
      <c r="AA28" s="0" t="n">
        <f aca="false">AA23-AA24+IF(AA$3=120,AA26+Inputs!$B$20*Inputs!$B$22,0)</f>
        <v>17744789.2007039</v>
      </c>
      <c r="AB28" s="0" t="n">
        <f aca="false">AB23-AB24+IF(AB$3=120,AB26+Inputs!$B$20*Inputs!$B$22,0)</f>
        <v>13861693.3219016</v>
      </c>
      <c r="AC28" s="0" t="n">
        <f aca="false">AC23-AC24+IF(AC$3=120,AC26+Inputs!$B$20*Inputs!$B$22,0)</f>
        <v>12214172.8453252</v>
      </c>
      <c r="AD28" s="0" t="n">
        <f aca="false">AD23-AD24+IF(AD$3=120,AD26+Inputs!$B$20*Inputs!$B$22,0)</f>
        <v>8523816.70121993</v>
      </c>
      <c r="AE28" s="0" t="n">
        <f aca="false">AE23-AE24+IF(AE$3=120,AE26+Inputs!$B$20*Inputs!$B$22,0)</f>
        <v>6212377.13696248</v>
      </c>
      <c r="AF28" s="0" t="n">
        <f aca="false">AF23-AF24+IF(AF$3=120,AF26+Inputs!$B$20*Inputs!$B$22,0)</f>
        <v>4687621.74042323</v>
      </c>
      <c r="AG28" s="0" t="n">
        <f aca="false">AG23-AG24+IF(AG$3=120,AG26+Inputs!$B$20*Inputs!$B$22,0)</f>
        <v>5675098.48184704</v>
      </c>
      <c r="AH28" s="0" t="n">
        <f aca="false">AH23-AH24+IF(AH$3=120,AH26+Inputs!$B$20*Inputs!$B$22,0)</f>
        <v>6546538.2517294</v>
      </c>
      <c r="AI28" s="0" t="n">
        <f aca="false">AI23-AI24+IF(AI$3=120,AI26+Inputs!$B$20*Inputs!$B$22,0)</f>
        <v>7579034.80178405</v>
      </c>
      <c r="AJ28" s="0" t="n">
        <f aca="false">AJ23-AJ24+IF(AJ$3=120,AJ26+Inputs!$B$20*Inputs!$B$22,0)</f>
        <v>9920910.29300319</v>
      </c>
      <c r="AK28" s="0" t="n">
        <f aca="false">AK23-AK24+IF(AK$3=120,AK26+Inputs!$B$20*Inputs!$B$22,0)</f>
        <v>12679553.4642853</v>
      </c>
      <c r="AL28" s="0" t="n">
        <f aca="false">AL23-AL24+IF(AL$3=120,AL26+Inputs!$B$20*Inputs!$B$22,0)</f>
        <v>21382813.6335089</v>
      </c>
      <c r="AM28" s="0" t="n">
        <f aca="false">AM23-AM24+IF(AM$3=120,AM26+Inputs!$B$20*Inputs!$B$22,0)</f>
        <v>-3201534.07928016</v>
      </c>
      <c r="AN28" s="0" t="n">
        <f aca="false">AN23-AN24+IF(AN$3=120,AN26+Inputs!$B$20*Inputs!$B$22,0)</f>
        <v>-6531412.21855957</v>
      </c>
      <c r="AO28" s="0" t="n">
        <f aca="false">AO23-AO24+IF(AO$3=120,AO26+Inputs!$B$20*Inputs!$B$22,0)</f>
        <v>-7919050.59372734</v>
      </c>
      <c r="AP28" s="0" t="n">
        <f aca="false">AP23-AP24+IF(AP$3=120,AP26+Inputs!$B$20*Inputs!$B$22,0)</f>
        <v>-10644378.6061491</v>
      </c>
      <c r="AQ28" s="0" t="n">
        <f aca="false">AQ23-AQ24+IF(AQ$3=120,AQ26+Inputs!$B$20*Inputs!$B$22,0)</f>
        <v>-12351376.7243532</v>
      </c>
      <c r="AR28" s="0" t="n">
        <f aca="false">AR23-AR24+IF(AR$3=120,AR26+Inputs!$B$20*Inputs!$B$22,0)</f>
        <v>-13477408.5846975</v>
      </c>
      <c r="AS28" s="0" t="n">
        <f aca="false">AS23-AS24+IF(AS$3=120,AS26+Inputs!$B$20*Inputs!$B$22,0)</f>
        <v>5972622.09834862</v>
      </c>
      <c r="AT28" s="0" t="n">
        <f aca="false">AT23-AT24+IF(AT$3=120,AT26+Inputs!$B$20*Inputs!$B$22,0)</f>
        <v>6891991.05557452</v>
      </c>
      <c r="AU28" s="0" t="n">
        <f aca="false">AU23-AU24+IF(AU$3=120,AU26+Inputs!$B$20*Inputs!$B$22,0)</f>
        <v>7981274.91588217</v>
      </c>
      <c r="AV28" s="0" t="n">
        <f aca="false">AV23-AV24+IF(AV$3=120,AV26+Inputs!$B$20*Inputs!$B$22,0)</f>
        <v>10451953.5591184</v>
      </c>
      <c r="AW28" s="0" t="n">
        <f aca="false">AW23-AW24+IF(AW$3=120,AW26+Inputs!$B$20*Inputs!$B$22,0)</f>
        <v>13260975.624821</v>
      </c>
      <c r="AX28" s="0" t="n">
        <f aca="false">AX23-AX24+IF(AX$3=120,AX26+Inputs!$B$20*Inputs!$B$22,0)</f>
        <v>22442915.1033519</v>
      </c>
      <c r="AY28" s="0" t="n">
        <f aca="false">AY23-AY24+IF(AY$3=120,AY26+Inputs!$B$20*Inputs!$B$22,0)</f>
        <v>19511365.0629135</v>
      </c>
      <c r="AZ28" s="0" t="n">
        <f aca="false">AZ23-AZ24+IF(AZ$3=120,AZ26+Inputs!$B$20*Inputs!$B$22,0)</f>
        <v>15189382.2724096</v>
      </c>
      <c r="BA28" s="0" t="n">
        <f aca="false">BA23-BA24+IF(BA$3=120,BA26+Inputs!$B$20*Inputs!$B$22,0)</f>
        <v>13411718.3967929</v>
      </c>
      <c r="BB28" s="0" t="n">
        <f aca="false">BB23-BB24+IF(BB$3=120,BB26+Inputs!$B$20*Inputs!$B$22,0)</f>
        <v>9456327.70187532</v>
      </c>
      <c r="BC28" s="0" t="n">
        <f aca="false">BC23-BC24+IF(BC$3=120,BC26+Inputs!$B$20*Inputs!$B$22,0)</f>
        <v>6883637.68086766</v>
      </c>
      <c r="BD28" s="0" t="n">
        <f aca="false">BD23-BD24+IF(BD$3=120,BD26+Inputs!$B$20*Inputs!$B$22,0)</f>
        <v>5186546.80563456</v>
      </c>
      <c r="BE28" s="0" t="n">
        <f aca="false">BE23-BE24+IF(BE$3=120,BE26+Inputs!$B$20*Inputs!$B$22,0)</f>
        <v>6285633.1057578</v>
      </c>
      <c r="BF28" s="0" t="n">
        <f aca="false">BF23-BF24+IF(BF$3=120,BF26+Inputs!$B$20*Inputs!$B$22,0)</f>
        <v>7255567.35563111</v>
      </c>
      <c r="BG28" s="0" t="n">
        <f aca="false">BG23-BG24+IF(BG$3=120,BG26+Inputs!$B$20*Inputs!$B$22,0)</f>
        <v>8404761.82825569</v>
      </c>
      <c r="BH28" s="0" t="n">
        <f aca="false">BH23-BH24+IF(BH$3=120,BH26+Inputs!$B$20*Inputs!$B$22,0)</f>
        <v>11011327.7968699</v>
      </c>
      <c r="BI28" s="0" t="n">
        <f aca="false">BI23-BI24+IF(BI$3=120,BI26+Inputs!$B$20*Inputs!$B$22,0)</f>
        <v>13873631.0573862</v>
      </c>
      <c r="BJ28" s="0" t="n">
        <f aca="false">BJ23-BJ24+IF(BJ$3=120,BJ26+Inputs!$B$20*Inputs!$B$22,0)</f>
        <v>23560577.2072363</v>
      </c>
      <c r="BK28" s="0" t="n">
        <f aca="false">BK23-BK24+IF(BK$3=120,BK26+Inputs!$B$20*Inputs!$B$22,0)</f>
        <v>20467002.2709657</v>
      </c>
      <c r="BL28" s="0" t="n">
        <f aca="false">BL23-BL24+IF(BL$3=120,BL26+Inputs!$B$20*Inputs!$B$22,0)</f>
        <v>15907310.4269841</v>
      </c>
      <c r="BM28" s="0" t="n">
        <f aca="false">BM23-BM24+IF(BM$3=120,BM26+Inputs!$B$20*Inputs!$B$22,0)</f>
        <v>14031875.0382085</v>
      </c>
      <c r="BN28" s="0" t="n">
        <f aca="false">BN23-BN24+IF(BN$3=120,BN26+Inputs!$B$20*Inputs!$B$22,0)</f>
        <v>9960013.52499845</v>
      </c>
      <c r="BO28" s="0" t="n">
        <f aca="false">BO23-BO24+IF(BO$3=120,BO26+Inputs!$B$20*Inputs!$B$22,0)</f>
        <v>7245825.55283538</v>
      </c>
      <c r="BP28" s="0" t="n">
        <f aca="false">BP23-BP24+IF(BP$3=120,BP26+Inputs!$B$20*Inputs!$B$22,0)</f>
        <v>5455394.67946446</v>
      </c>
      <c r="BQ28" s="0" t="n">
        <f aca="false">BQ23-BQ24+IF(BQ$3=120,BQ26+Inputs!$B$20*Inputs!$B$22,0)</f>
        <v>6614930.72609448</v>
      </c>
      <c r="BR28" s="0" t="n">
        <f aca="false">BR23-BR24+IF(BR$3=120,BR26+Inputs!$B$20*Inputs!$B$22,0)</f>
        <v>7638211.35971082</v>
      </c>
      <c r="BS28" s="0" t="n">
        <f aca="false">BS23-BS24+IF(BS$3=120,BS26+Inputs!$B$20*Inputs!$B$22,0)</f>
        <v>8850611.52832975</v>
      </c>
      <c r="BT28" s="0" t="n">
        <f aca="false">BT23-BT24+IF(BT$3=120,BT26+Inputs!$B$20*Inputs!$B$22,0)</f>
        <v>11600538.6252177</v>
      </c>
      <c r="BU28" s="0" t="n">
        <f aca="false">BU23-BU24+IF(BU$3=120,BU26+Inputs!$B$20*Inputs!$B$22,0)</f>
        <v>14519192.8951344</v>
      </c>
      <c r="BV28" s="0" t="n">
        <f aca="false">BV23-BV24+IF(BV$3=120,BV26+Inputs!$B$20*Inputs!$B$22,0)</f>
        <v>24738921.0832263</v>
      </c>
      <c r="BW28" s="0" t="n">
        <f aca="false">BW23-BW24+IF(BW$3=120,BW26+Inputs!$B$20*Inputs!$B$22,0)</f>
        <v>21474362.5032363</v>
      </c>
      <c r="BX28" s="0" t="n">
        <f aca="false">BX23-BX24+IF(BX$3=120,BX26+Inputs!$B$20*Inputs!$B$22,0)</f>
        <v>16663887.6078357</v>
      </c>
      <c r="BY28" s="0" t="n">
        <f aca="false">BY23-BY24+IF(BY$3=120,BY26+Inputs!$B$20*Inputs!$B$22,0)</f>
        <v>14685303.2726775</v>
      </c>
      <c r="BZ28" s="0" t="n">
        <f aca="false">BZ23-BZ24+IF(BZ$3=120,BZ26+Inputs!$B$20*Inputs!$B$22,0)</f>
        <v>10490417.3363646</v>
      </c>
      <c r="CA28" s="0" t="n">
        <f aca="false">CA23-CA24+IF(CA$3=120,CA26+Inputs!$B$20*Inputs!$B$22,0)</f>
        <v>7626949.02573252</v>
      </c>
      <c r="CB28" s="0" t="n">
        <f aca="false">CB23-CB24+IF(CB$3=120,CB26+Inputs!$B$20*Inputs!$B$22,0)</f>
        <v>5738044.4543262</v>
      </c>
      <c r="CC28" s="0" t="n">
        <f aca="false">CC23-CC24+IF(CC$3=120,CC26+Inputs!$B$20*Inputs!$B$22,0)</f>
        <v>6961354.98352087</v>
      </c>
      <c r="CD28" s="0" t="n">
        <f aca="false">CD23-CD24+IF(CD$3=120,CD26+Inputs!$B$20*Inputs!$B$22,0)</f>
        <v>8040916.05198611</v>
      </c>
      <c r="CE28" s="0" t="n">
        <f aca="false">CE23-CE24+IF(CE$3=120,CE26+Inputs!$B$20*Inputs!$B$22,0)</f>
        <v>9319998.22987909</v>
      </c>
      <c r="CF28" s="0" t="n">
        <f aca="false">CF23-CF24+IF(CF$3=120,CF26+Inputs!$B$20*Inputs!$B$22,0)</f>
        <v>12221171.3170959</v>
      </c>
      <c r="CG28" s="0" t="n">
        <f aca="false">CG23-CG24+IF(CG$3=120,CG26+Inputs!$B$20*Inputs!$B$22,0)</f>
        <v>15199423.6117343</v>
      </c>
      <c r="CH28" s="0" t="n">
        <f aca="false">CH23-CH24+IF(CH$3=120,CH26+Inputs!$B$20*Inputs!$B$22,0)</f>
        <v>25981236.8501712</v>
      </c>
      <c r="CI28" s="0" t="n">
        <f aca="false">CI23-CI24+IF(CI$3=120,CI26+Inputs!$B$20*Inputs!$B$22,0)</f>
        <v>22536240.3047239</v>
      </c>
      <c r="CJ28" s="0" t="n">
        <f aca="false">CJ23-CJ24+IF(CJ$3=120,CJ26+Inputs!$B$20*Inputs!$B$22,0)</f>
        <v>17461189.2900763</v>
      </c>
      <c r="CK28" s="0" t="n">
        <f aca="false">CK23-CK24+IF(CK$3=120,CK26+Inputs!$B$20*Inputs!$B$22,0)</f>
        <v>15373782.8164843</v>
      </c>
      <c r="CL28" s="0" t="n">
        <f aca="false">CL23-CL24+IF(CL$3=120,CL26+Inputs!$B$20*Inputs!$B$22,0)</f>
        <v>11048949.5414053</v>
      </c>
      <c r="CM28" s="0" t="n">
        <f aca="false">CM23-CM24+IF(CM$3=120,CM26+Inputs!$B$20*Inputs!$B$22,0)</f>
        <v>8027990.47368849</v>
      </c>
      <c r="CN28" s="0" t="n">
        <f aca="false">CN23-CN24+IF(CN$3=120,CN26+Inputs!$B$20*Inputs!$B$22,0)</f>
        <v>6035196.15085482</v>
      </c>
      <c r="CO28" s="0" t="n">
        <f aca="false">CO23-CO24+IF(CO$3=120,CO26+Inputs!$B$20*Inputs!$B$22,0)</f>
        <v>7325788.75915519</v>
      </c>
      <c r="CP28" s="0" t="n">
        <f aca="false">CP23-CP24+IF(CP$3=120,CP26+Inputs!$B$20*Inputs!$B$22,0)</f>
        <v>8464725.68638602</v>
      </c>
      <c r="CQ28" s="0" t="n">
        <f aca="false">CQ23-CQ24+IF(CQ$3=120,CQ26+Inputs!$B$20*Inputs!$B$22,0)</f>
        <v>9814157.38406311</v>
      </c>
      <c r="CR28" s="0" t="n">
        <f aca="false">CR23-CR24+IF(CR$3=120,CR26+Inputs!$B$20*Inputs!$B$22,0)</f>
        <v>12826160.7424153</v>
      </c>
      <c r="CS28" s="0" t="n">
        <f aca="false">CS23-CS24+IF(CS$3=120,CS26+Inputs!$B$20*Inputs!$B$22,0)</f>
        <v>15916179.7741893</v>
      </c>
      <c r="CT28" s="0" t="n">
        <f aca="false">CT23-CT24+IF(CT$3=120,CT26+Inputs!$B$20*Inputs!$B$22,0)</f>
        <v>27290992.7407402</v>
      </c>
      <c r="CU28" s="0" t="n">
        <f aca="false">CU23-CU24+IF(CU$3=120,CU26+Inputs!$B$20*Inputs!$B$22,0)</f>
        <v>23655580.9071219</v>
      </c>
      <c r="CV28" s="0" t="n">
        <f aca="false">CV23-CV24+IF(CV$3=120,CV26+Inputs!$B$20*Inputs!$B$22,0)</f>
        <v>18301402.0866686</v>
      </c>
      <c r="CW28" s="0" t="n">
        <f aca="false">CW23-CW24+IF(CW$3=120,CW26+Inputs!$B$20*Inputs!$B$22,0)</f>
        <v>16099188.2570291</v>
      </c>
      <c r="CX28" s="0" t="n">
        <f aca="false">CX23-CX24+IF(CX$3=120,CX26+Inputs!$B$20*Inputs!$B$22,0)</f>
        <v>11637094.5728157</v>
      </c>
      <c r="CY28" s="0" t="n">
        <f aca="false">CY23-CY24+IF(CY$3=120,CY26+Inputs!$B$20*Inputs!$B$22,0)</f>
        <v>8449982.75637446</v>
      </c>
      <c r="CZ28" s="0" t="n">
        <f aca="false">CZ23-CZ24+IF(CZ$3=120,CZ26+Inputs!$B$20*Inputs!$B$22,0)</f>
        <v>6347584.74578494</v>
      </c>
      <c r="DA28" s="0" t="n">
        <f aca="false">DA23-DA24+IF(DA$3=120,DA26+Inputs!$B$20*Inputs!$B$22,0)</f>
        <v>7709159.94754184</v>
      </c>
      <c r="DB28" s="0" t="n">
        <f aca="false">DB23-DB24+IF(DB$3=120,DB26+Inputs!$B$20*Inputs!$B$22,0)</f>
        <v>8910738.40577036</v>
      </c>
      <c r="DC28" s="0" t="n">
        <f aca="false">DC23-DC24+IF(DC$3=120,DC26+Inputs!$B$20*Inputs!$B$22,0)</f>
        <v>10334388.8468197</v>
      </c>
      <c r="DD28" s="0" t="n">
        <f aca="false">DD23-DD24+IF(DD$3=120,DD26+Inputs!$B$20*Inputs!$B$22,0)</f>
        <v>13411446.9688863</v>
      </c>
      <c r="DE28" s="0" t="n">
        <f aca="false">DE23-DE24+IF(DE$3=120,DE26+Inputs!$B$20*Inputs!$B$22,0)</f>
        <v>16671417.0474079</v>
      </c>
      <c r="DF28" s="0" t="n">
        <f aca="false">DF23-DF24+IF(DF$3=120,DF26+Inputs!$B$20*Inputs!$B$22,0)</f>
        <v>28671844.7271191</v>
      </c>
      <c r="DG28" s="0" t="n">
        <f aca="false">DG23-DG24+IF(DG$3=120,DG26+Inputs!$B$20*Inputs!$B$22,0)</f>
        <v>24835488.33579</v>
      </c>
      <c r="DH28" s="0" t="n">
        <f aca="false">DH23-DH24+IF(DH$3=120,DH26+Inputs!$B$20*Inputs!$B$22,0)</f>
        <v>19186829.6802118</v>
      </c>
      <c r="DI28" s="0" t="n">
        <f aca="false">DI23-DI24+IF(DI$3=120,DI26+Inputs!$B$20*Inputs!$B$22,0)</f>
        <v>16863494.0899421</v>
      </c>
      <c r="DJ28" s="0" t="n">
        <f aca="false">DJ23-DJ24+IF(DJ$3=120,DJ26+Inputs!$B$20*Inputs!$B$22,0)</f>
        <v>12256414.7493517</v>
      </c>
      <c r="DK28" s="0" t="n">
        <f aca="false">DK23-DK24+IF(DK$3=120,DK26+Inputs!$B$20*Inputs!$B$22,0)</f>
        <v>8894011.78300616</v>
      </c>
      <c r="DL28" s="0" t="n">
        <f aca="false">DL23-DL24+IF(DL$3=120,DL26+Inputs!$B$20*Inputs!$B$22,0)</f>
        <v>6675981.88183422</v>
      </c>
      <c r="DM28" s="0" t="n">
        <f aca="false">DM23-DM24+IF(DM$3=120,DM26+Inputs!$B$20*Inputs!$B$22,0)</f>
        <v>8112443.71968774</v>
      </c>
      <c r="DN28" s="0" t="n">
        <f aca="false">DN23-DN24+IF(DN$3=120,DN26+Inputs!$B$20*Inputs!$B$22,0)</f>
        <v>9380108.99311883</v>
      </c>
      <c r="DO28" s="0" t="n">
        <f aca="false">DO23-DO24+IF(DO$3=120,DO26+Inputs!$B$20*Inputs!$B$22,0)</f>
        <v>10882060.2084259</v>
      </c>
      <c r="DP28" s="0" t="n">
        <f aca="false">DP23-DP24+IF(DP$3=120,DP26+Inputs!$B$20*Inputs!$B$22,0)</f>
        <v>14027927.0309515</v>
      </c>
      <c r="DQ28" s="0" t="n">
        <f aca="false">DQ23-DQ24+IF(DQ$3=120,DQ26+Inputs!$B$20*Inputs!$B$22,0)</f>
        <v>17467195.4637917</v>
      </c>
      <c r="DR28" s="0" t="n">
        <f aca="false">DR23-DR24+IF(DR$3=120,DR26+Inputs!$B$20*Inputs!$B$22,0)</f>
        <v>1911281358.26587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3" customFormat="false" ht="15" hidden="false" customHeight="false" outlineLevel="0" collapsed="false">
      <c r="A3" s="0" t="s">
        <v>51</v>
      </c>
      <c r="B3" s="2" t="n">
        <f aca="false">(1+IRR('Cash Flow'!B27:DR27,0.01))^12-1</f>
        <v>0.111955426844463</v>
      </c>
    </row>
    <row r="4" customFormat="false" ht="15" hidden="false" customHeight="false" outlineLevel="0" collapsed="false">
      <c r="A4" s="0" t="s">
        <v>52</v>
      </c>
      <c r="B4" s="2" t="n">
        <f aca="false">(1+IRR('Cash Flow'!B28:DR28,0.01))^12-1</f>
        <v>0.111179652673095</v>
      </c>
    </row>
    <row r="5" customFormat="false" ht="15" hidden="false" customHeight="false" outlineLevel="0" collapsed="false">
      <c r="A5" s="0" t="s">
        <v>53</v>
      </c>
      <c r="B5" s="4" t="n">
        <f aca="false">SUMIF('Cash Flow'!B27:DR27,"&gt;0")/-SUMIF('Cash Flow'!B27:DR27,"&lt;0")</f>
        <v>2.28602705666532</v>
      </c>
    </row>
    <row r="6" customFormat="false" ht="15" hidden="false" customHeight="false" outlineLevel="0" collapsed="false">
      <c r="A6" s="0" t="s">
        <v>54</v>
      </c>
      <c r="B6" s="1" t="n">
        <f aca="false">SUMIF('Cash Flow'!B4:DR4,3,'Cash Flow'!B23:DR23)</f>
        <v>127028419.872694</v>
      </c>
    </row>
    <row r="7" customFormat="false" ht="15" hidden="false" customHeight="false" outlineLevel="0" collapsed="false">
      <c r="A7" s="0" t="s">
        <v>55</v>
      </c>
      <c r="B7" s="1" t="n">
        <f aca="false">SUM('Cash Flow'!B22:DR22)</f>
        <v>44342645.596391</v>
      </c>
    </row>
    <row r="8" customFormat="false" ht="15" hidden="false" customHeight="false" outlineLevel="0" collapsed="false">
      <c r="A8" s="0" t="s">
        <v>56</v>
      </c>
      <c r="B8" s="5" t="n">
        <f aca="false">SUMIF('Cash Flow'!B4:DR4,1,'Cash Flow'!B11:DR11)/(Inputs!$B$3*365)</f>
        <v>2691.12112671675</v>
      </c>
    </row>
    <row r="9" customFormat="false" ht="15" hidden="false" customHeight="false" outlineLevel="0" collapsed="false">
      <c r="A9" s="0" t="s">
        <v>57</v>
      </c>
      <c r="B9" s="1" t="n">
        <f aca="false">SUM('Cash Flow'!B27:DR27)</f>
        <v>1022256167.45874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2026-10-17T12:36:17Z</dcterms:created>
  <dc:creator>openpyxl</dc:creator>
  <dc:description/>
  <dc:language>en-US</dc:language>
  <cp:lastModifiedBy/>
  <dcterms:modified xsi:type="dcterms:W3CDTF">2026-10-17T12:36:17Z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