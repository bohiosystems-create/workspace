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Inputs" sheetId="2" state="visible" r:id="rId4"/>
    <sheet name="Assets" sheetId="3" state="visible" r:id="rId5"/>
    <sheet name="Fun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<sst xmlns="http://schemas.openxmlformats.org/spreadsheetml/2006/main" count="96" uniqueCount="74">
  <si>
    <t xml:space="preserve">ADEL INCOME FUND I – DASHBOARD (SAR)</t>
  </si>
  <si>
    <t xml:space="preserve">Version</t>
  </si>
  <si>
    <t xml:space="preserve">Budget 2025</t>
  </si>
  <si>
    <t xml:space="preserve">Fund IRR (net, to unitholders)</t>
  </si>
  <si>
    <t xml:space="preserve">Equity multiple</t>
  </si>
  <si>
    <t xml:space="preserve">Equity raised (SAR)</t>
  </si>
  <si>
    <t xml:space="preserve">Net operating income 2025 (SAR)</t>
  </si>
  <si>
    <t xml:space="preserve">Distributions to unitholders 2025 (SAR)</t>
  </si>
  <si>
    <t xml:space="preserve">Distribution yield 2025</t>
  </si>
  <si>
    <t xml:space="preserve">Net asset value 31 Dec 2025 (SAR)</t>
  </si>
  <si>
    <t xml:space="preserve">NAV per unit 31 Dec 2025 (SAR)</t>
  </si>
  <si>
    <t xml:space="preserve">Loan to value 31 Dec 2025</t>
  </si>
  <si>
    <t xml:space="preserve">Interest cover 2025</t>
  </si>
  <si>
    <t xml:space="preserve">ADEL INCOME FUND I – BUDGET 2025</t>
  </si>
  <si>
    <t xml:space="preserve">Yellow cells are inputs. 2025 figures are the approved budget.</t>
  </si>
  <si>
    <t xml:space="preserve">Fund</t>
  </si>
  <si>
    <t xml:space="preserve">Acquisition year (assets bought on 31 December)</t>
  </si>
  <si>
    <t xml:space="preserve">Unit price at launch (SAR)</t>
  </si>
  <si>
    <t xml:space="preserve">Debt as share of acquisition price</t>
  </si>
  <si>
    <t xml:space="preserve">Real estate transaction tax and acquisition costs</t>
  </si>
  <si>
    <t xml:space="preserve">SAIBOR</t>
  </si>
  <si>
    <t xml:space="preserve">Margin (bps)</t>
  </si>
  <si>
    <t xml:space="preserve">Management fee (share of NAV)</t>
  </si>
  <si>
    <t xml:space="preserve">Fund administration and custody fees (SAR a year)</t>
  </si>
  <si>
    <t xml:space="preserve">Cost inflation a year</t>
  </si>
  <si>
    <t xml:space="preserve">Distribution policy (share of cash available)</t>
  </si>
  <si>
    <t xml:space="preserve">Exit year (assets sold on 31 December)</t>
  </si>
  <si>
    <t xml:space="preserve">Disposal costs</t>
  </si>
  <si>
    <t xml:space="preserve">Assets</t>
  </si>
  <si>
    <t xml:space="preserve">Al Olaya Office Tower, Riyadh</t>
  </si>
  <si>
    <t xml:space="preserve">Corniche Retail Centre, Jeddah</t>
  </si>
  <si>
    <t xml:space="preserve">Dammam Logistics Park</t>
  </si>
  <si>
    <t xml:space="preserve">Purchase price (SAR)</t>
  </si>
  <si>
    <t xml:space="preserve">Leasable area (sqm)</t>
  </si>
  <si>
    <t xml:space="preserve">Rent in 2025 (SAR per sqm a year)</t>
  </si>
  <si>
    <t xml:space="preserve">Occupancy in 2025</t>
  </si>
  <si>
    <t xml:space="preserve">Stabilised occupancy (from 2026)</t>
  </si>
  <si>
    <t xml:space="preserve">Rent growth a year</t>
  </si>
  <si>
    <t xml:space="preserve">Operating costs (share of rent)</t>
  </si>
  <si>
    <t xml:space="preserve">Capital expenditure in 2025 (SAR)</t>
  </si>
  <si>
    <t xml:space="preserve">Maintenance capex from 2026 (share of purchase price)</t>
  </si>
  <si>
    <t xml:space="preserve">Valuation cap rate</t>
  </si>
  <si>
    <t xml:space="preserve">ASSETS – ANNUAL (SAR)</t>
  </si>
  <si>
    <t xml:space="preserve">Year</t>
  </si>
  <si>
    <t xml:space="preserve">Operating year (0 = acquisition)</t>
  </si>
  <si>
    <t xml:space="preserve">Exit flag</t>
  </si>
  <si>
    <t xml:space="preserve">Occupancy</t>
  </si>
  <si>
    <t xml:space="preserve">Rent (SAR per sqm a year)</t>
  </si>
  <si>
    <t xml:space="preserve">Gross rent</t>
  </si>
  <si>
    <t xml:space="preserve">Operating costs</t>
  </si>
  <si>
    <t xml:space="preserve">Net operating income</t>
  </si>
  <si>
    <t xml:space="preserve">Capital expenditure</t>
  </si>
  <si>
    <t xml:space="preserve">Valuation at year end</t>
  </si>
  <si>
    <t xml:space="preserve">Exit value net of disposal costs</t>
  </si>
  <si>
    <t xml:space="preserve">FUND – ANNUAL (SAR)</t>
  </si>
  <si>
    <t xml:space="preserve">Acquisition price</t>
  </si>
  <si>
    <t xml:space="preserve">Acquisition costs</t>
  </si>
  <si>
    <t xml:space="preserve">Debt drawn</t>
  </si>
  <si>
    <t xml:space="preserve">Equity raised</t>
  </si>
  <si>
    <t xml:space="preserve">Units in issue</t>
  </si>
  <si>
    <t xml:space="preserve">Gross asset value</t>
  </si>
  <si>
    <t xml:space="preserve">Debt outstanding</t>
  </si>
  <si>
    <t xml:space="preserve">Net asset value</t>
  </si>
  <si>
    <t xml:space="preserve">Management fee</t>
  </si>
  <si>
    <t xml:space="preserve">Fund administration and custody fees</t>
  </si>
  <si>
    <t xml:space="preserve">Interest</t>
  </si>
  <si>
    <t xml:space="preserve">Cash available for distribution</t>
  </si>
  <si>
    <t xml:space="preserve">Distributions to unitholders</t>
  </si>
  <si>
    <t xml:space="preserve">Exit proceeds net of debt</t>
  </si>
  <si>
    <t xml:space="preserve">Cash flow to unitholders</t>
  </si>
  <si>
    <t xml:space="preserve">Distribution yield on equity</t>
  </si>
  <si>
    <t xml:space="preserve">NAV per unit (SAR)</t>
  </si>
  <si>
    <t xml:space="preserve">Loan to value</t>
  </si>
  <si>
    <t xml:space="preserve">Interest cover (NOI / interest)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</si>
</sst>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.00\x"/>
    <numFmt numFmtId="167" formatCode="#,##0"/>
    <numFmt numFmtId="168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</row>
    <row r="4" customFormat="false" ht="15" hidden="false" customHeight="false" outlineLevel="0" collapsed="false">
      <c r="A4" s="0" t="s">
        <v>3</v>
      </c>
      <c r="B4" s="2" t="n">
        <f aca="false">IRR(Fund!$C$20:$J$20)</f>
        <v>0.11501021749043</v>
      </c>
    </row>
    <row r="5" customFormat="false" ht="15" hidden="false" customHeight="false" outlineLevel="0" collapsed="false">
      <c r="A5" s="0" t="s">
        <v>4</v>
      </c>
      <c r="B5" s="3" t="n">
        <f aca="false">SUMIF(Fund!$C$20:$J$20,"&gt;0")/-SUMIF(Fund!$C$20:$J$20,"&lt;0")</f>
        <v>1.97291463473194</v>
      </c>
    </row>
    <row r="6" customFormat="false" ht="15" hidden="false" customHeight="false" outlineLevel="0" collapsed="false">
      <c r="A6" s="0" t="s">
        <v>5</v>
      </c>
      <c r="B6" s="4" t="n">
        <f aca="false">Fund!C7</f>
        <v>1043400000</v>
      </c>
    </row>
    <row r="7" customFormat="false" ht="15" hidden="false" customHeight="false" outlineLevel="0" collapsed="false">
      <c r="A7" s="0" t="s">
        <v>6</v>
      </c>
      <c r="B7" s="4" t="n">
        <f aca="false">Fund!D9</f>
        <v>125102640</v>
      </c>
    </row>
    <row r="8" customFormat="false" ht="15" hidden="false" customHeight="false" outlineLevel="0" collapsed="false">
      <c r="A8" s="0" t="s">
        <v>7</v>
      </c>
      <c r="B8" s="4" t="n">
        <f aca="false">Fund!D18</f>
        <v>43785503.5832069</v>
      </c>
    </row>
    <row r="9" customFormat="false" ht="15" hidden="false" customHeight="false" outlineLevel="0" collapsed="false">
      <c r="A9" s="0" t="s">
        <v>8</v>
      </c>
      <c r="B9" s="2" t="n">
        <f aca="false">Fund!D21</f>
        <v>0.0419642549196923</v>
      </c>
    </row>
    <row r="10" customFormat="false" ht="15" hidden="false" customHeight="false" outlineLevel="0" collapsed="false">
      <c r="A10" s="0" t="s">
        <v>9</v>
      </c>
      <c r="B10" s="4" t="n">
        <f aca="false">Fund!D13</f>
        <v>1188480054.48276</v>
      </c>
    </row>
    <row r="11" customFormat="false" ht="15" hidden="false" customHeight="false" outlineLevel="0" collapsed="false">
      <c r="A11" s="0" t="s">
        <v>10</v>
      </c>
      <c r="B11" s="5" t="n">
        <f aca="false">Fund!D22</f>
        <v>11.3904548062369</v>
      </c>
    </row>
    <row r="12" customFormat="false" ht="15" hidden="false" customHeight="false" outlineLevel="0" collapsed="false">
      <c r="A12" s="0" t="s">
        <v>11</v>
      </c>
      <c r="B12" s="2" t="n">
        <f aca="false">Fund!D23</f>
        <v>0.303548815961408</v>
      </c>
    </row>
    <row r="13" customFormat="false" ht="15" hidden="false" customHeight="false" outlineLevel="0" collapsed="false">
      <c r="A13" s="0" t="s">
        <v>12</v>
      </c>
      <c r="B13" s="3" t="n">
        <f aca="false">Fund!D24</f>
        <v>3.22014517374517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3" style="0" width="18"/>
  </cols>
  <sheetData>
    <row r="1" customFormat="false" ht="16.15" hidden="false" customHeight="false" outlineLevel="0" collapsed="false">
      <c r="A1" s="1" t="s">
        <v>13</v>
      </c>
    </row>
    <row r="2" customFormat="false" ht="15" hidden="false" customHeight="false" outlineLevel="0" collapsed="false">
      <c r="A2" s="0" t="s">
        <v>14</v>
      </c>
    </row>
    <row r="4" customFormat="false" ht="15" hidden="false" customHeight="false" outlineLevel="0" collapsed="false">
      <c r="A4" s="6" t="s">
        <v>15</v>
      </c>
    </row>
    <row r="5" customFormat="false" ht="15" hidden="false" customHeight="false" outlineLevel="0" collapsed="false">
      <c r="A5" s="0" t="s">
        <v>16</v>
      </c>
      <c r="C5" s="7" t="n">
        <v>2024</v>
      </c>
    </row>
    <row r="6" customFormat="false" ht="15" hidden="false" customHeight="false" outlineLevel="0" collapsed="false">
      <c r="A6" s="0" t="s">
        <v>17</v>
      </c>
      <c r="C6" s="7" t="n">
        <v>10</v>
      </c>
    </row>
    <row r="7" customFormat="false" ht="15" hidden="false" customHeight="false" outlineLevel="0" collapsed="false">
      <c r="A7" s="0" t="s">
        <v>18</v>
      </c>
      <c r="C7" s="8" t="n">
        <v>0.35</v>
      </c>
    </row>
    <row r="8" customFormat="false" ht="15" hidden="false" customHeight="false" outlineLevel="0" collapsed="false">
      <c r="A8" s="0" t="s">
        <v>19</v>
      </c>
      <c r="C8" s="8" t="n">
        <v>0.055</v>
      </c>
    </row>
    <row r="9" customFormat="false" ht="15" hidden="false" customHeight="false" outlineLevel="0" collapsed="false">
      <c r="A9" s="0" t="s">
        <v>20</v>
      </c>
      <c r="C9" s="8" t="n">
        <v>0.055</v>
      </c>
    </row>
    <row r="10" customFormat="false" ht="15" hidden="false" customHeight="false" outlineLevel="0" collapsed="false">
      <c r="A10" s="0" t="s">
        <v>21</v>
      </c>
      <c r="C10" s="7" t="n">
        <v>200</v>
      </c>
    </row>
    <row r="11" customFormat="false" ht="15" hidden="false" customHeight="false" outlineLevel="0" collapsed="false">
      <c r="A11" s="0" t="s">
        <v>22</v>
      </c>
      <c r="C11" s="8" t="n">
        <v>0.0085</v>
      </c>
    </row>
    <row r="12" customFormat="false" ht="15" hidden="false" customHeight="false" outlineLevel="0" collapsed="false">
      <c r="A12" s="0" t="s">
        <v>23</v>
      </c>
      <c r="C12" s="7" t="n">
        <v>4500000</v>
      </c>
    </row>
    <row r="13" customFormat="false" ht="15" hidden="false" customHeight="false" outlineLevel="0" collapsed="false">
      <c r="A13" s="0" t="s">
        <v>24</v>
      </c>
      <c r="C13" s="8" t="n">
        <v>0.03</v>
      </c>
    </row>
    <row r="14" customFormat="false" ht="15" hidden="false" customHeight="false" outlineLevel="0" collapsed="false">
      <c r="A14" s="0" t="s">
        <v>25</v>
      </c>
      <c r="C14" s="8" t="n">
        <v>0.9</v>
      </c>
    </row>
    <row r="15" customFormat="false" ht="15" hidden="false" customHeight="false" outlineLevel="0" collapsed="false">
      <c r="A15" s="0" t="s">
        <v>26</v>
      </c>
      <c r="C15" s="7" t="n">
        <v>2031</v>
      </c>
    </row>
    <row r="16" customFormat="false" ht="15" hidden="false" customHeight="false" outlineLevel="0" collapsed="false">
      <c r="A16" s="0" t="s">
        <v>27</v>
      </c>
      <c r="C16" s="8" t="n">
        <v>0.015</v>
      </c>
    </row>
    <row r="18" customFormat="false" ht="28.35" hidden="false" customHeight="false" outlineLevel="0" collapsed="false">
      <c r="A18" s="6" t="s">
        <v>28</v>
      </c>
      <c r="C18" s="9" t="s">
        <v>29</v>
      </c>
      <c r="D18" s="9" t="s">
        <v>30</v>
      </c>
      <c r="E18" s="9" t="s">
        <v>31</v>
      </c>
    </row>
    <row r="19" customFormat="false" ht="15" hidden="false" customHeight="false" outlineLevel="0" collapsed="false">
      <c r="A19" s="0" t="s">
        <v>32</v>
      </c>
      <c r="C19" s="7" t="n">
        <v>620000000</v>
      </c>
      <c r="D19" s="7" t="n">
        <v>480000000</v>
      </c>
      <c r="E19" s="7" t="n">
        <v>380000000</v>
      </c>
    </row>
    <row r="20" customFormat="false" ht="15" hidden="false" customHeight="false" outlineLevel="0" collapsed="false">
      <c r="A20" s="0" t="s">
        <v>33</v>
      </c>
      <c r="C20" s="7" t="n">
        <v>48000</v>
      </c>
      <c r="D20" s="7" t="n">
        <v>36000</v>
      </c>
      <c r="E20" s="7" t="n">
        <v>140000</v>
      </c>
    </row>
    <row r="21" customFormat="false" ht="15" hidden="false" customHeight="false" outlineLevel="0" collapsed="false">
      <c r="A21" s="0" t="s">
        <v>34</v>
      </c>
      <c r="C21" s="7" t="n">
        <v>1450</v>
      </c>
      <c r="D21" s="7" t="n">
        <v>1350</v>
      </c>
      <c r="E21" s="7" t="n">
        <v>330</v>
      </c>
    </row>
    <row r="22" customFormat="false" ht="15" hidden="false" customHeight="false" outlineLevel="0" collapsed="false">
      <c r="A22" s="0" t="s">
        <v>35</v>
      </c>
      <c r="C22" s="8" t="n">
        <v>0.9</v>
      </c>
      <c r="D22" s="8" t="n">
        <v>0.88</v>
      </c>
      <c r="E22" s="8" t="n">
        <v>0.95</v>
      </c>
    </row>
    <row r="23" customFormat="false" ht="15" hidden="false" customHeight="false" outlineLevel="0" collapsed="false">
      <c r="A23" s="0" t="s">
        <v>36</v>
      </c>
      <c r="C23" s="8" t="n">
        <v>0.93</v>
      </c>
      <c r="D23" s="8" t="n">
        <v>0.92</v>
      </c>
      <c r="E23" s="8" t="n">
        <v>0.96</v>
      </c>
    </row>
    <row r="24" customFormat="false" ht="15" hidden="false" customHeight="false" outlineLevel="0" collapsed="false">
      <c r="A24" s="0" t="s">
        <v>37</v>
      </c>
      <c r="C24" s="8" t="n">
        <v>0.03</v>
      </c>
      <c r="D24" s="8" t="n">
        <v>0.025</v>
      </c>
      <c r="E24" s="8" t="n">
        <v>0.03</v>
      </c>
    </row>
    <row r="25" customFormat="false" ht="15" hidden="false" customHeight="false" outlineLevel="0" collapsed="false">
      <c r="A25" s="0" t="s">
        <v>38</v>
      </c>
      <c r="C25" s="8" t="n">
        <v>0.18</v>
      </c>
      <c r="D25" s="8" t="n">
        <v>0.22</v>
      </c>
      <c r="E25" s="8" t="n">
        <v>0.08</v>
      </c>
    </row>
    <row r="26" customFormat="false" ht="15" hidden="false" customHeight="false" outlineLevel="0" collapsed="false">
      <c r="A26" s="0" t="s">
        <v>39</v>
      </c>
      <c r="C26" s="7" t="n">
        <v>12000000</v>
      </c>
      <c r="D26" s="7" t="n">
        <v>8000000</v>
      </c>
      <c r="E26" s="7" t="n">
        <v>3000000</v>
      </c>
    </row>
    <row r="27" customFormat="false" ht="15" hidden="false" customHeight="false" outlineLevel="0" collapsed="false">
      <c r="A27" s="0" t="s">
        <v>40</v>
      </c>
      <c r="C27" s="8" t="n">
        <v>0.005</v>
      </c>
      <c r="D27" s="8" t="n">
        <v>0.005</v>
      </c>
      <c r="E27" s="8" t="n">
        <v>0.003</v>
      </c>
    </row>
    <row r="28" customFormat="false" ht="15" hidden="false" customHeight="false" outlineLevel="0" collapsed="false">
      <c r="A28" s="0" t="s">
        <v>41</v>
      </c>
      <c r="C28" s="8" t="n">
        <v>0.075</v>
      </c>
      <c r="D28" s="8" t="n">
        <v>0.08</v>
      </c>
      <c r="E28" s="8" t="n">
        <v>0.0725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0" min="3" style="0" width="15"/>
  </cols>
  <sheetData>
    <row r="1" customFormat="false" ht="16.15" hidden="false" customHeight="false" outlineLevel="0" collapsed="false">
      <c r="A1" s="1" t="s">
        <v>42</v>
      </c>
    </row>
    <row r="3" customFormat="false" ht="15" hidden="false" customHeight="false" outlineLevel="0" collapsed="false">
      <c r="A3" s="6" t="s">
        <v>43</v>
      </c>
      <c r="C3" s="6" t="n">
        <v>2024</v>
      </c>
      <c r="D3" s="6" t="n">
        <v>2025</v>
      </c>
      <c r="E3" s="6" t="n">
        <v>2026</v>
      </c>
      <c r="F3" s="6" t="n">
        <v>2027</v>
      </c>
      <c r="G3" s="6" t="n">
        <v>2028</v>
      </c>
      <c r="H3" s="6" t="n">
        <v>2029</v>
      </c>
      <c r="I3" s="6" t="n">
        <v>2030</v>
      </c>
      <c r="J3" s="6" t="n">
        <v>2031</v>
      </c>
    </row>
    <row r="4" customFormat="false" ht="15" hidden="false" customHeight="false" outlineLevel="0" collapsed="false">
      <c r="A4" s="0" t="s">
        <v>44</v>
      </c>
      <c r="C4" s="0" t="n">
        <f aca="false">C3-Inputs!$C$5</f>
        <v>0</v>
      </c>
      <c r="D4" s="0" t="n">
        <f aca="false">D3-Inputs!$C$5</f>
        <v>1</v>
      </c>
      <c r="E4" s="0" t="n">
        <f aca="false">E3-Inputs!$C$5</f>
        <v>2</v>
      </c>
      <c r="F4" s="0" t="n">
        <f aca="false">F3-Inputs!$C$5</f>
        <v>3</v>
      </c>
      <c r="G4" s="0" t="n">
        <f aca="false">G3-Inputs!$C$5</f>
        <v>4</v>
      </c>
      <c r="H4" s="0" t="n">
        <f aca="false">H3-Inputs!$C$5</f>
        <v>5</v>
      </c>
      <c r="I4" s="0" t="n">
        <f aca="false">I3-Inputs!$C$5</f>
        <v>6</v>
      </c>
      <c r="J4" s="0" t="n">
        <f aca="false">J3-Inputs!$C$5</f>
        <v>7</v>
      </c>
    </row>
    <row r="5" customFormat="false" ht="15" hidden="false" customHeight="false" outlineLevel="0" collapsed="false">
      <c r="A5" s="0" t="s">
        <v>45</v>
      </c>
      <c r="C5" s="0" t="n">
        <f aca="false">IF(C3=Inputs!$C$15,1,0)</f>
        <v>0</v>
      </c>
      <c r="D5" s="0" t="n">
        <f aca="false">IF(D3=Inputs!$C$15,1,0)</f>
        <v>0</v>
      </c>
      <c r="E5" s="0" t="n">
        <f aca="false">IF(E3=Inputs!$C$15,1,0)</f>
        <v>0</v>
      </c>
      <c r="F5" s="0" t="n">
        <f aca="false">IF(F3=Inputs!$C$15,1,0)</f>
        <v>0</v>
      </c>
      <c r="G5" s="0" t="n">
        <f aca="false">IF(G3=Inputs!$C$15,1,0)</f>
        <v>0</v>
      </c>
      <c r="H5" s="0" t="n">
        <f aca="false">IF(H3=Inputs!$C$15,1,0)</f>
        <v>0</v>
      </c>
      <c r="I5" s="0" t="n">
        <f aca="false">IF(I3=Inputs!$C$15,1,0)</f>
        <v>0</v>
      </c>
      <c r="J5" s="0" t="n">
        <f aca="false">IF(J3=Inputs!$C$15,1,0)</f>
        <v>1</v>
      </c>
    </row>
    <row r="7" customFormat="false" ht="15" hidden="false" customHeight="false" outlineLevel="0" collapsed="false">
      <c r="A7" s="6" t="s">
        <v>29</v>
      </c>
    </row>
    <row r="8" customFormat="false" ht="15" hidden="false" customHeight="false" outlineLevel="0" collapsed="false">
      <c r="A8" s="0" t="s">
        <v>46</v>
      </c>
      <c r="C8" s="2" t="n">
        <f aca="false">IF(C$4&lt;1,0,IF(C$4=1,Inputs!$C$22,Inputs!$C$23))</f>
        <v>0</v>
      </c>
      <c r="D8" s="2" t="n">
        <f aca="false">IF(D$4&lt;1,0,IF(D$4=1,Inputs!$C$22,Inputs!$C$23))</f>
        <v>0.9</v>
      </c>
      <c r="E8" s="2" t="n">
        <f aca="false">IF(E$4&lt;1,0,IF(E$4=1,Inputs!$C$22,Inputs!$C$23))</f>
        <v>0.93</v>
      </c>
      <c r="F8" s="2" t="n">
        <f aca="false">IF(F$4&lt;1,0,IF(F$4=1,Inputs!$C$22,Inputs!$C$23))</f>
        <v>0.93</v>
      </c>
      <c r="G8" s="2" t="n">
        <f aca="false">IF(G$4&lt;1,0,IF(G$4=1,Inputs!$C$22,Inputs!$C$23))</f>
        <v>0.93</v>
      </c>
      <c r="H8" s="2" t="n">
        <f aca="false">IF(H$4&lt;1,0,IF(H$4=1,Inputs!$C$22,Inputs!$C$23))</f>
        <v>0.93</v>
      </c>
      <c r="I8" s="2" t="n">
        <f aca="false">IF(I$4&lt;1,0,IF(I$4=1,Inputs!$C$22,Inputs!$C$23))</f>
        <v>0.93</v>
      </c>
      <c r="J8" s="2" t="n">
        <f aca="false">IF(J$4&lt;1,0,IF(J$4=1,Inputs!$C$22,Inputs!$C$23))</f>
        <v>0.93</v>
      </c>
    </row>
    <row r="9" customFormat="false" ht="15" hidden="false" customHeight="false" outlineLevel="0" collapsed="false">
      <c r="A9" s="0" t="s">
        <v>47</v>
      </c>
      <c r="C9" s="4" t="n">
        <f aca="false">IF(C$4&lt;1,0,Inputs!$C$21*(1+Inputs!$C$24)^(C$4-1))</f>
        <v>0</v>
      </c>
      <c r="D9" s="4" t="n">
        <f aca="false">IF(D$4&lt;1,0,Inputs!$C$21*(1+Inputs!$C$24)^(D$4-1))</f>
        <v>1450</v>
      </c>
      <c r="E9" s="4" t="n">
        <f aca="false">IF(E$4&lt;1,0,Inputs!$C$21*(1+Inputs!$C$24)^(E$4-1))</f>
        <v>1493.5</v>
      </c>
      <c r="F9" s="4" t="n">
        <f aca="false">IF(F$4&lt;1,0,Inputs!$C$21*(1+Inputs!$C$24)^(F$4-1))</f>
        <v>1538.305</v>
      </c>
      <c r="G9" s="4" t="n">
        <f aca="false">IF(G$4&lt;1,0,Inputs!$C$21*(1+Inputs!$C$24)^(G$4-1))</f>
        <v>1584.45415</v>
      </c>
      <c r="H9" s="4" t="n">
        <f aca="false">IF(H$4&lt;1,0,Inputs!$C$21*(1+Inputs!$C$24)^(H$4-1))</f>
        <v>1631.9877745</v>
      </c>
      <c r="I9" s="4" t="n">
        <f aca="false">IF(I$4&lt;1,0,Inputs!$C$21*(1+Inputs!$C$24)^(I$4-1))</f>
        <v>1680.947407735</v>
      </c>
      <c r="J9" s="4" t="n">
        <f aca="false">IF(J$4&lt;1,0,Inputs!$C$21*(1+Inputs!$C$24)^(J$4-1))</f>
        <v>1731.37582996705</v>
      </c>
    </row>
    <row r="10" customFormat="false" ht="15" hidden="false" customHeight="false" outlineLevel="0" collapsed="false">
      <c r="A10" s="0" t="s">
        <v>48</v>
      </c>
      <c r="C10" s="4" t="n">
        <f aca="false">Inputs!$C$20*C9*C8</f>
        <v>0</v>
      </c>
      <c r="D10" s="4" t="n">
        <f aca="false">Inputs!$C$20*D9*D8</f>
        <v>62640000</v>
      </c>
      <c r="E10" s="4" t="n">
        <f aca="false">Inputs!$C$20*E9*E8</f>
        <v>66669840</v>
      </c>
      <c r="F10" s="4" t="n">
        <f aca="false">Inputs!$C$20*F9*F8</f>
        <v>68669935.2</v>
      </c>
      <c r="G10" s="4" t="n">
        <f aca="false">Inputs!$C$20*G9*G8</f>
        <v>70730033.256</v>
      </c>
      <c r="H10" s="4" t="n">
        <f aca="false">Inputs!$C$20*H9*H8</f>
        <v>72851934.25368</v>
      </c>
      <c r="I10" s="4" t="n">
        <f aca="false">Inputs!$C$20*I9*I8</f>
        <v>75037492.2812904</v>
      </c>
      <c r="J10" s="4" t="n">
        <f aca="false">Inputs!$C$20*J9*J8</f>
        <v>77288617.0497291</v>
      </c>
    </row>
    <row r="11" customFormat="false" ht="15" hidden="false" customHeight="false" outlineLevel="0" collapsed="false">
      <c r="A11" s="0" t="s">
        <v>49</v>
      </c>
      <c r="C11" s="4" t="n">
        <f aca="false">C10*Inputs!$C$25</f>
        <v>0</v>
      </c>
      <c r="D11" s="4" t="n">
        <f aca="false">D10*Inputs!$C$25</f>
        <v>11275200</v>
      </c>
      <c r="E11" s="4" t="n">
        <f aca="false">E10*Inputs!$C$25</f>
        <v>12000571.2</v>
      </c>
      <c r="F11" s="4" t="n">
        <f aca="false">F10*Inputs!$C$25</f>
        <v>12360588.336</v>
      </c>
      <c r="G11" s="4" t="n">
        <f aca="false">G10*Inputs!$C$25</f>
        <v>12731405.98608</v>
      </c>
      <c r="H11" s="4" t="n">
        <f aca="false">H10*Inputs!$C$25</f>
        <v>13113348.1656624</v>
      </c>
      <c r="I11" s="4" t="n">
        <f aca="false">I10*Inputs!$C$25</f>
        <v>13506748.6106323</v>
      </c>
      <c r="J11" s="4" t="n">
        <f aca="false">J10*Inputs!$C$25</f>
        <v>13911951.0689512</v>
      </c>
    </row>
    <row r="12" customFormat="false" ht="15" hidden="false" customHeight="false" outlineLevel="0" collapsed="false">
      <c r="A12" s="0" t="s">
        <v>50</v>
      </c>
      <c r="C12" s="4" t="n">
        <f aca="false">C10-C11</f>
        <v>0</v>
      </c>
      <c r="D12" s="4" t="n">
        <f aca="false">D10-D11</f>
        <v>51364800</v>
      </c>
      <c r="E12" s="4" t="n">
        <f aca="false">E10-E11</f>
        <v>54669268.8</v>
      </c>
      <c r="F12" s="4" t="n">
        <f aca="false">F10-F11</f>
        <v>56309346.864</v>
      </c>
      <c r="G12" s="4" t="n">
        <f aca="false">G10-G11</f>
        <v>57998627.26992</v>
      </c>
      <c r="H12" s="4" t="n">
        <f aca="false">H10-H11</f>
        <v>59738586.0880176</v>
      </c>
      <c r="I12" s="4" t="n">
        <f aca="false">I10-I11</f>
        <v>61530743.6706581</v>
      </c>
      <c r="J12" s="4" t="n">
        <f aca="false">J10-J11</f>
        <v>63376665.9807779</v>
      </c>
    </row>
    <row r="13" customFormat="false" ht="15" hidden="false" customHeight="false" outlineLevel="0" collapsed="false">
      <c r="A13" s="0" t="s">
        <v>51</v>
      </c>
      <c r="C13" s="4" t="n">
        <f aca="false">IF(C$4&lt;1,0,IF(C$4=1,Inputs!$C$26,Inputs!$C$19*Inputs!$C$27))</f>
        <v>0</v>
      </c>
      <c r="D13" s="4" t="n">
        <f aca="false">IF(D$4&lt;1,0,IF(D$4=1,Inputs!$C$26,Inputs!$C$19*Inputs!$C$27))</f>
        <v>12000000</v>
      </c>
      <c r="E13" s="4" t="n">
        <f aca="false">IF(E$4&lt;1,0,IF(E$4=1,Inputs!$C$26,Inputs!$C$19*Inputs!$C$27))</f>
        <v>3100000</v>
      </c>
      <c r="F13" s="4" t="n">
        <f aca="false">IF(F$4&lt;1,0,IF(F$4=1,Inputs!$C$26,Inputs!$C$19*Inputs!$C$27))</f>
        <v>3100000</v>
      </c>
      <c r="G13" s="4" t="n">
        <f aca="false">IF(G$4&lt;1,0,IF(G$4=1,Inputs!$C$26,Inputs!$C$19*Inputs!$C$27))</f>
        <v>3100000</v>
      </c>
      <c r="H13" s="4" t="n">
        <f aca="false">IF(H$4&lt;1,0,IF(H$4=1,Inputs!$C$26,Inputs!$C$19*Inputs!$C$27))</f>
        <v>3100000</v>
      </c>
      <c r="I13" s="4" t="n">
        <f aca="false">IF(I$4&lt;1,0,IF(I$4=1,Inputs!$C$26,Inputs!$C$19*Inputs!$C$27))</f>
        <v>3100000</v>
      </c>
      <c r="J13" s="4" t="n">
        <f aca="false">IF(J$4&lt;1,0,IF(J$4=1,Inputs!$C$26,Inputs!$C$19*Inputs!$C$27))</f>
        <v>3100000</v>
      </c>
    </row>
    <row r="14" customFormat="false" ht="15" hidden="false" customHeight="false" outlineLevel="0" collapsed="false">
      <c r="A14" s="0" t="s">
        <v>52</v>
      </c>
      <c r="C14" s="4" t="n">
        <f aca="false">IF(C$4&lt;1,Inputs!$C$19,C12*(1+Inputs!$C$24)/Inputs!$C$28)</f>
        <v>620000000</v>
      </c>
      <c r="D14" s="4" t="n">
        <f aca="false">IF(D$4&lt;1,Inputs!$C$19,D12*(1+Inputs!$C$24)/Inputs!$C$28)</f>
        <v>705409920</v>
      </c>
      <c r="E14" s="4" t="n">
        <f aca="false">IF(E$4&lt;1,Inputs!$C$19,E12*(1+Inputs!$C$24)/Inputs!$C$28)</f>
        <v>750791291.52</v>
      </c>
      <c r="F14" s="4" t="n">
        <f aca="false">IF(F$4&lt;1,Inputs!$C$19,F12*(1+Inputs!$C$24)/Inputs!$C$28)</f>
        <v>773315030.2656</v>
      </c>
      <c r="G14" s="4" t="n">
        <f aca="false">IF(G$4&lt;1,Inputs!$C$19,G12*(1+Inputs!$C$24)/Inputs!$C$28)</f>
        <v>796514481.173568</v>
      </c>
      <c r="H14" s="4" t="n">
        <f aca="false">IF(H$4&lt;1,Inputs!$C$19,H12*(1+Inputs!$C$24)/Inputs!$C$28)</f>
        <v>820409915.608775</v>
      </c>
      <c r="I14" s="4" t="n">
        <f aca="false">IF(I$4&lt;1,Inputs!$C$19,I12*(1+Inputs!$C$24)/Inputs!$C$28)</f>
        <v>845022213.077039</v>
      </c>
      <c r="J14" s="4" t="n">
        <f aca="false">IF(J$4&lt;1,Inputs!$C$19,J12*(1+Inputs!$C$24)/Inputs!$C$28)</f>
        <v>870372879.46935</v>
      </c>
    </row>
    <row r="15" customFormat="false" ht="15" hidden="false" customHeight="false" outlineLevel="0" collapsed="false">
      <c r="A15" s="0" t="s">
        <v>53</v>
      </c>
      <c r="C15" s="4" t="n">
        <f aca="false">C$5*C14*(1-Inputs!$C$16)</f>
        <v>0</v>
      </c>
      <c r="D15" s="4" t="n">
        <f aca="false">D$5*D14*(1-Inputs!$C$16)</f>
        <v>0</v>
      </c>
      <c r="E15" s="4" t="n">
        <f aca="false">E$5*E14*(1-Inputs!$C$16)</f>
        <v>0</v>
      </c>
      <c r="F15" s="4" t="n">
        <f aca="false">F$5*F14*(1-Inputs!$C$16)</f>
        <v>0</v>
      </c>
      <c r="G15" s="4" t="n">
        <f aca="false">G$5*G14*(1-Inputs!$C$16)</f>
        <v>0</v>
      </c>
      <c r="H15" s="4" t="n">
        <f aca="false">H$5*H14*(1-Inputs!$C$16)</f>
        <v>0</v>
      </c>
      <c r="I15" s="4" t="n">
        <f aca="false">I$5*I14*(1-Inputs!$C$16)</f>
        <v>0</v>
      </c>
      <c r="J15" s="4" t="n">
        <f aca="false">J$5*J14*(1-Inputs!$C$16)</f>
        <v>857317286.277309</v>
      </c>
    </row>
    <row r="17" customFormat="false" ht="15" hidden="false" customHeight="false" outlineLevel="0" collapsed="false">
      <c r="A17" s="6" t="s">
        <v>30</v>
      </c>
    </row>
    <row r="18" customFormat="false" ht="15" hidden="false" customHeight="false" outlineLevel="0" collapsed="false">
      <c r="A18" s="0" t="s">
        <v>46</v>
      </c>
      <c r="C18" s="2" t="n">
        <f aca="false">IF(C$4&lt;1,0,IF(C$4=1,Inputs!$D$22,Inputs!$D$23))</f>
        <v>0</v>
      </c>
      <c r="D18" s="2" t="n">
        <f aca="false">IF(D$4&lt;1,0,IF(D$4=1,Inputs!$D$22,Inputs!$D$23))</f>
        <v>0.88</v>
      </c>
      <c r="E18" s="2" t="n">
        <f aca="false">IF(E$4&lt;1,0,IF(E$4=1,Inputs!$D$22,Inputs!$D$23))</f>
        <v>0.92</v>
      </c>
      <c r="F18" s="2" t="n">
        <f aca="false">IF(F$4&lt;1,0,IF(F$4=1,Inputs!$D$22,Inputs!$D$23))</f>
        <v>0.92</v>
      </c>
      <c r="G18" s="2" t="n">
        <f aca="false">IF(G$4&lt;1,0,IF(G$4=1,Inputs!$D$22,Inputs!$D$23))</f>
        <v>0.92</v>
      </c>
      <c r="H18" s="2" t="n">
        <f aca="false">IF(H$4&lt;1,0,IF(H$4=1,Inputs!$D$22,Inputs!$D$23))</f>
        <v>0.92</v>
      </c>
      <c r="I18" s="2" t="n">
        <f aca="false">IF(I$4&lt;1,0,IF(I$4=1,Inputs!$D$22,Inputs!$D$23))</f>
        <v>0.92</v>
      </c>
      <c r="J18" s="2" t="n">
        <f aca="false">IF(J$4&lt;1,0,IF(J$4=1,Inputs!$D$22,Inputs!$D$23))</f>
        <v>0.92</v>
      </c>
    </row>
    <row r="19" customFormat="false" ht="15" hidden="false" customHeight="false" outlineLevel="0" collapsed="false">
      <c r="A19" s="0" t="s">
        <v>47</v>
      </c>
      <c r="C19" s="4" t="n">
        <f aca="false">IF(C$4&lt;1,0,Inputs!$D$21*(1+Inputs!$D$24)^(C$4-1))</f>
        <v>0</v>
      </c>
      <c r="D19" s="4" t="n">
        <f aca="false">IF(D$4&lt;1,0,Inputs!$D$21*(1+Inputs!$D$24)^(D$4-1))</f>
        <v>1350</v>
      </c>
      <c r="E19" s="4" t="n">
        <f aca="false">IF(E$4&lt;1,0,Inputs!$D$21*(1+Inputs!$D$24)^(E$4-1))</f>
        <v>1383.75</v>
      </c>
      <c r="F19" s="4" t="n">
        <f aca="false">IF(F$4&lt;1,0,Inputs!$D$21*(1+Inputs!$D$24)^(F$4-1))</f>
        <v>1418.34375</v>
      </c>
      <c r="G19" s="4" t="n">
        <f aca="false">IF(G$4&lt;1,0,Inputs!$D$21*(1+Inputs!$D$24)^(G$4-1))</f>
        <v>1453.80234375</v>
      </c>
      <c r="H19" s="4" t="n">
        <f aca="false">IF(H$4&lt;1,0,Inputs!$D$21*(1+Inputs!$D$24)^(H$4-1))</f>
        <v>1490.14740234375</v>
      </c>
      <c r="I19" s="4" t="n">
        <f aca="false">IF(I$4&lt;1,0,Inputs!$D$21*(1+Inputs!$D$24)^(I$4-1))</f>
        <v>1527.40108740234</v>
      </c>
      <c r="J19" s="4" t="n">
        <f aca="false">IF(J$4&lt;1,0,Inputs!$D$21*(1+Inputs!$D$24)^(J$4-1))</f>
        <v>1565.5861145874</v>
      </c>
    </row>
    <row r="20" customFormat="false" ht="15" hidden="false" customHeight="false" outlineLevel="0" collapsed="false">
      <c r="A20" s="0" t="s">
        <v>48</v>
      </c>
      <c r="C20" s="4" t="n">
        <f aca="false">Inputs!$D$20*C19*C18</f>
        <v>0</v>
      </c>
      <c r="D20" s="4" t="n">
        <f aca="false">Inputs!$D$20*D19*D18</f>
        <v>42768000</v>
      </c>
      <c r="E20" s="4" t="n">
        <f aca="false">Inputs!$D$20*E19*E18</f>
        <v>45829800</v>
      </c>
      <c r="F20" s="4" t="n">
        <f aca="false">Inputs!$D$20*F19*F18</f>
        <v>46975545</v>
      </c>
      <c r="G20" s="4" t="n">
        <f aca="false">Inputs!$D$20*G19*G18</f>
        <v>48149933.625</v>
      </c>
      <c r="H20" s="4" t="n">
        <f aca="false">Inputs!$D$20*H19*H18</f>
        <v>49353681.965625</v>
      </c>
      <c r="I20" s="4" t="n">
        <f aca="false">Inputs!$D$20*I19*I18</f>
        <v>50587524.0147656</v>
      </c>
      <c r="J20" s="4" t="n">
        <f aca="false">Inputs!$D$20*J19*J18</f>
        <v>51852212.1151347</v>
      </c>
    </row>
    <row r="21" customFormat="false" ht="15" hidden="false" customHeight="false" outlineLevel="0" collapsed="false">
      <c r="A21" s="0" t="s">
        <v>49</v>
      </c>
      <c r="C21" s="4" t="n">
        <f aca="false">C20*Inputs!$D$25</f>
        <v>0</v>
      </c>
      <c r="D21" s="4" t="n">
        <f aca="false">D20*Inputs!$D$25</f>
        <v>9408960</v>
      </c>
      <c r="E21" s="4" t="n">
        <f aca="false">E20*Inputs!$D$25</f>
        <v>10082556</v>
      </c>
      <c r="F21" s="4" t="n">
        <f aca="false">F20*Inputs!$D$25</f>
        <v>10334619.9</v>
      </c>
      <c r="G21" s="4" t="n">
        <f aca="false">G20*Inputs!$D$25</f>
        <v>10592985.3975</v>
      </c>
      <c r="H21" s="4" t="n">
        <f aca="false">H20*Inputs!$D$25</f>
        <v>10857810.0324375</v>
      </c>
      <c r="I21" s="4" t="n">
        <f aca="false">I20*Inputs!$D$25</f>
        <v>11129255.2832484</v>
      </c>
      <c r="J21" s="4" t="n">
        <f aca="false">J20*Inputs!$D$25</f>
        <v>11407486.6653296</v>
      </c>
    </row>
    <row r="22" customFormat="false" ht="15" hidden="false" customHeight="false" outlineLevel="0" collapsed="false">
      <c r="A22" s="0" t="s">
        <v>50</v>
      </c>
      <c r="C22" s="4" t="n">
        <f aca="false">C20-C21</f>
        <v>0</v>
      </c>
      <c r="D22" s="4" t="n">
        <f aca="false">D20-D21</f>
        <v>33359040</v>
      </c>
      <c r="E22" s="4" t="n">
        <f aca="false">E20-E21</f>
        <v>35747244</v>
      </c>
      <c r="F22" s="4" t="n">
        <f aca="false">F20-F21</f>
        <v>36640925.1</v>
      </c>
      <c r="G22" s="4" t="n">
        <f aca="false">G20-G21</f>
        <v>37556948.2275</v>
      </c>
      <c r="H22" s="4" t="n">
        <f aca="false">H20-H21</f>
        <v>38495871.9331875</v>
      </c>
      <c r="I22" s="4" t="n">
        <f aca="false">I20-I21</f>
        <v>39458268.7315172</v>
      </c>
      <c r="J22" s="4" t="n">
        <f aca="false">J20-J21</f>
        <v>40444725.4498051</v>
      </c>
    </row>
    <row r="23" customFormat="false" ht="15" hidden="false" customHeight="false" outlineLevel="0" collapsed="false">
      <c r="A23" s="0" t="s">
        <v>51</v>
      </c>
      <c r="C23" s="4" t="n">
        <f aca="false">IF(C$4&lt;1,0,IF(C$4=1,Inputs!$D$26,Inputs!$D$19*Inputs!$D$27))</f>
        <v>0</v>
      </c>
      <c r="D23" s="4" t="n">
        <f aca="false">IF(D$4&lt;1,0,IF(D$4=1,Inputs!$D$26,Inputs!$D$19*Inputs!$D$27))</f>
        <v>8000000</v>
      </c>
      <c r="E23" s="4" t="n">
        <f aca="false">IF(E$4&lt;1,0,IF(E$4=1,Inputs!$D$26,Inputs!$D$19*Inputs!$D$27))</f>
        <v>2400000</v>
      </c>
      <c r="F23" s="4" t="n">
        <f aca="false">IF(F$4&lt;1,0,IF(F$4=1,Inputs!$D$26,Inputs!$D$19*Inputs!$D$27))</f>
        <v>2400000</v>
      </c>
      <c r="G23" s="4" t="n">
        <f aca="false">IF(G$4&lt;1,0,IF(G$4=1,Inputs!$D$26,Inputs!$D$19*Inputs!$D$27))</f>
        <v>2400000</v>
      </c>
      <c r="H23" s="4" t="n">
        <f aca="false">IF(H$4&lt;1,0,IF(H$4=1,Inputs!$D$26,Inputs!$D$19*Inputs!$D$27))</f>
        <v>2400000</v>
      </c>
      <c r="I23" s="4" t="n">
        <f aca="false">IF(I$4&lt;1,0,IF(I$4=1,Inputs!$D$26,Inputs!$D$19*Inputs!$D$27))</f>
        <v>2400000</v>
      </c>
      <c r="J23" s="4" t="n">
        <f aca="false">IF(J$4&lt;1,0,IF(J$4=1,Inputs!$D$26,Inputs!$D$19*Inputs!$D$27))</f>
        <v>2400000</v>
      </c>
    </row>
    <row r="24" customFormat="false" ht="15" hidden="false" customHeight="false" outlineLevel="0" collapsed="false">
      <c r="A24" s="0" t="s">
        <v>52</v>
      </c>
      <c r="C24" s="4" t="n">
        <f aca="false">IF(C$4&lt;1,Inputs!$D$19,C22*(1+Inputs!$D$24)/Inputs!$D$28)</f>
        <v>480000000</v>
      </c>
      <c r="D24" s="4" t="n">
        <f aca="false">IF(D$4&lt;1,Inputs!$D$19,D22*(1+Inputs!$D$24)/Inputs!$D$28)</f>
        <v>427412700</v>
      </c>
      <c r="E24" s="4" t="n">
        <f aca="false">IF(E$4&lt;1,Inputs!$D$19,E22*(1+Inputs!$D$24)/Inputs!$D$28)</f>
        <v>458011563.75</v>
      </c>
      <c r="F24" s="4" t="n">
        <f aca="false">IF(F$4&lt;1,Inputs!$D$19,F22*(1+Inputs!$D$24)/Inputs!$D$28)</f>
        <v>469461852.84375</v>
      </c>
      <c r="G24" s="4" t="n">
        <f aca="false">IF(G$4&lt;1,Inputs!$D$19,G22*(1+Inputs!$D$24)/Inputs!$D$28)</f>
        <v>481198399.164844</v>
      </c>
      <c r="H24" s="4" t="n">
        <f aca="false">IF(H$4&lt;1,Inputs!$D$19,H22*(1+Inputs!$D$24)/Inputs!$D$28)</f>
        <v>493228359.143965</v>
      </c>
      <c r="I24" s="4" t="n">
        <f aca="false">IF(I$4&lt;1,Inputs!$D$19,I22*(1+Inputs!$D$24)/Inputs!$D$28)</f>
        <v>505559068.122564</v>
      </c>
      <c r="J24" s="4" t="n">
        <f aca="false">IF(J$4&lt;1,Inputs!$D$19,J22*(1+Inputs!$D$24)/Inputs!$D$28)</f>
        <v>518198044.825628</v>
      </c>
    </row>
    <row r="25" customFormat="false" ht="15" hidden="false" customHeight="false" outlineLevel="0" collapsed="false">
      <c r="A25" s="0" t="s">
        <v>53</v>
      </c>
      <c r="C25" s="4" t="n">
        <f aca="false">C$5*C24*(1-Inputs!$C$16)</f>
        <v>0</v>
      </c>
      <c r="D25" s="4" t="n">
        <f aca="false">D$5*D24*(1-Inputs!$C$16)</f>
        <v>0</v>
      </c>
      <c r="E25" s="4" t="n">
        <f aca="false">E$5*E24*(1-Inputs!$C$16)</f>
        <v>0</v>
      </c>
      <c r="F25" s="4" t="n">
        <f aca="false">F$5*F24*(1-Inputs!$C$16)</f>
        <v>0</v>
      </c>
      <c r="G25" s="4" t="n">
        <f aca="false">G$5*G24*(1-Inputs!$C$16)</f>
        <v>0</v>
      </c>
      <c r="H25" s="4" t="n">
        <f aca="false">H$5*H24*(1-Inputs!$C$16)</f>
        <v>0</v>
      </c>
      <c r="I25" s="4" t="n">
        <f aca="false">I$5*I24*(1-Inputs!$C$16)</f>
        <v>0</v>
      </c>
      <c r="J25" s="4" t="n">
        <f aca="false">J$5*J24*(1-Inputs!$C$16)</f>
        <v>510425074.153243</v>
      </c>
    </row>
    <row r="27" customFormat="false" ht="15" hidden="false" customHeight="false" outlineLevel="0" collapsed="false">
      <c r="A27" s="6" t="s">
        <v>31</v>
      </c>
    </row>
    <row r="28" customFormat="false" ht="15" hidden="false" customHeight="false" outlineLevel="0" collapsed="false">
      <c r="A28" s="0" t="s">
        <v>46</v>
      </c>
      <c r="C28" s="2" t="n">
        <f aca="false">IF(C$4&lt;1,0,IF(C$4=1,Inputs!$E$22,Inputs!$E$23))</f>
        <v>0</v>
      </c>
      <c r="D28" s="2" t="n">
        <f aca="false">IF(D$4&lt;1,0,IF(D$4=1,Inputs!$E$22,Inputs!$E$23))</f>
        <v>0.95</v>
      </c>
      <c r="E28" s="2" t="n">
        <f aca="false">IF(E$4&lt;1,0,IF(E$4=1,Inputs!$E$22,Inputs!$E$23))</f>
        <v>0.96</v>
      </c>
      <c r="F28" s="2" t="n">
        <f aca="false">IF(F$4&lt;1,0,IF(F$4=1,Inputs!$E$22,Inputs!$E$23))</f>
        <v>0.96</v>
      </c>
      <c r="G28" s="2" t="n">
        <f aca="false">IF(G$4&lt;1,0,IF(G$4=1,Inputs!$E$22,Inputs!$E$23))</f>
        <v>0.96</v>
      </c>
      <c r="H28" s="2" t="n">
        <f aca="false">IF(H$4&lt;1,0,IF(H$4=1,Inputs!$E$22,Inputs!$E$23))</f>
        <v>0.96</v>
      </c>
      <c r="I28" s="2" t="n">
        <f aca="false">IF(I$4&lt;1,0,IF(I$4=1,Inputs!$E$22,Inputs!$E$23))</f>
        <v>0.96</v>
      </c>
      <c r="J28" s="2" t="n">
        <f aca="false">IF(J$4&lt;1,0,IF(J$4=1,Inputs!$E$22,Inputs!$E$23))</f>
        <v>0.96</v>
      </c>
    </row>
    <row r="29" customFormat="false" ht="15" hidden="false" customHeight="false" outlineLevel="0" collapsed="false">
      <c r="A29" s="0" t="s">
        <v>47</v>
      </c>
      <c r="C29" s="4" t="n">
        <f aca="false">IF(C$4&lt;1,0,Inputs!$E$21*(1+Inputs!$E$24)^(C$4-1))</f>
        <v>0</v>
      </c>
      <c r="D29" s="4" t="n">
        <f aca="false">IF(D$4&lt;1,0,Inputs!$E$21*(1+Inputs!$E$24)^(D$4-1))</f>
        <v>330</v>
      </c>
      <c r="E29" s="4" t="n">
        <f aca="false">IF(E$4&lt;1,0,Inputs!$E$21*(1+Inputs!$E$24)^(E$4-1))</f>
        <v>339.9</v>
      </c>
      <c r="F29" s="4" t="n">
        <f aca="false">IF(F$4&lt;1,0,Inputs!$E$21*(1+Inputs!$E$24)^(F$4-1))</f>
        <v>350.097</v>
      </c>
      <c r="G29" s="4" t="n">
        <f aca="false">IF(G$4&lt;1,0,Inputs!$E$21*(1+Inputs!$E$24)^(G$4-1))</f>
        <v>360.59991</v>
      </c>
      <c r="H29" s="4" t="n">
        <f aca="false">IF(H$4&lt;1,0,Inputs!$E$21*(1+Inputs!$E$24)^(H$4-1))</f>
        <v>371.4179073</v>
      </c>
      <c r="I29" s="4" t="n">
        <f aca="false">IF(I$4&lt;1,0,Inputs!$E$21*(1+Inputs!$E$24)^(I$4-1))</f>
        <v>382.560444519</v>
      </c>
      <c r="J29" s="4" t="n">
        <f aca="false">IF(J$4&lt;1,0,Inputs!$E$21*(1+Inputs!$E$24)^(J$4-1))</f>
        <v>394.03725785457</v>
      </c>
    </row>
    <row r="30" customFormat="false" ht="15" hidden="false" customHeight="false" outlineLevel="0" collapsed="false">
      <c r="A30" s="0" t="s">
        <v>48</v>
      </c>
      <c r="C30" s="4" t="n">
        <f aca="false">Inputs!$E$20*C29*C28</f>
        <v>0</v>
      </c>
      <c r="D30" s="4" t="n">
        <f aca="false">Inputs!$E$20*D29*D28</f>
        <v>43890000</v>
      </c>
      <c r="E30" s="4" t="n">
        <f aca="false">Inputs!$E$20*E29*E28</f>
        <v>45682560</v>
      </c>
      <c r="F30" s="4" t="n">
        <f aca="false">Inputs!$E$20*F29*F28</f>
        <v>47053036.8</v>
      </c>
      <c r="G30" s="4" t="n">
        <f aca="false">Inputs!$E$20*G29*G28</f>
        <v>48464627.904</v>
      </c>
      <c r="H30" s="4" t="n">
        <f aca="false">Inputs!$E$20*H29*H28</f>
        <v>49918566.74112</v>
      </c>
      <c r="I30" s="4" t="n">
        <f aca="false">Inputs!$E$20*I29*I28</f>
        <v>51416123.7433536</v>
      </c>
      <c r="J30" s="4" t="n">
        <f aca="false">Inputs!$E$20*J29*J28</f>
        <v>52958607.4556542</v>
      </c>
    </row>
    <row r="31" customFormat="false" ht="15" hidden="false" customHeight="false" outlineLevel="0" collapsed="false">
      <c r="A31" s="0" t="s">
        <v>49</v>
      </c>
      <c r="C31" s="4" t="n">
        <f aca="false">C30*Inputs!$E$25</f>
        <v>0</v>
      </c>
      <c r="D31" s="4" t="n">
        <f aca="false">D30*Inputs!$E$25</f>
        <v>3511200</v>
      </c>
      <c r="E31" s="4" t="n">
        <f aca="false">E30*Inputs!$E$25</f>
        <v>3654604.8</v>
      </c>
      <c r="F31" s="4" t="n">
        <f aca="false">F30*Inputs!$E$25</f>
        <v>3764242.944</v>
      </c>
      <c r="G31" s="4" t="n">
        <f aca="false">G30*Inputs!$E$25</f>
        <v>3877170.23232</v>
      </c>
      <c r="H31" s="4" t="n">
        <f aca="false">H30*Inputs!$E$25</f>
        <v>3993485.3392896</v>
      </c>
      <c r="I31" s="4" t="n">
        <f aca="false">I30*Inputs!$E$25</f>
        <v>4113289.89946829</v>
      </c>
      <c r="J31" s="4" t="n">
        <f aca="false">J30*Inputs!$E$25</f>
        <v>4236688.59645234</v>
      </c>
    </row>
    <row r="32" customFormat="false" ht="15" hidden="false" customHeight="false" outlineLevel="0" collapsed="false">
      <c r="A32" s="0" t="s">
        <v>50</v>
      </c>
      <c r="C32" s="4" t="n">
        <f aca="false">C30-C31</f>
        <v>0</v>
      </c>
      <c r="D32" s="4" t="n">
        <f aca="false">D30-D31</f>
        <v>40378800</v>
      </c>
      <c r="E32" s="4" t="n">
        <f aca="false">E30-E31</f>
        <v>42027955.2</v>
      </c>
      <c r="F32" s="4" t="n">
        <f aca="false">F30-F31</f>
        <v>43288793.856</v>
      </c>
      <c r="G32" s="4" t="n">
        <f aca="false">G30-G31</f>
        <v>44587457.67168</v>
      </c>
      <c r="H32" s="4" t="n">
        <f aca="false">H30-H31</f>
        <v>45925081.4018304</v>
      </c>
      <c r="I32" s="4" t="n">
        <f aca="false">I30-I31</f>
        <v>47302833.8438853</v>
      </c>
      <c r="J32" s="4" t="n">
        <f aca="false">J30-J31</f>
        <v>48721918.8592019</v>
      </c>
    </row>
    <row r="33" customFormat="false" ht="15" hidden="false" customHeight="false" outlineLevel="0" collapsed="false">
      <c r="A33" s="0" t="s">
        <v>51</v>
      </c>
      <c r="C33" s="4" t="n">
        <f aca="false">IF(C$4&lt;1,0,IF(C$4=1,Inputs!$E$26,Inputs!$E$19*Inputs!$E$27))</f>
        <v>0</v>
      </c>
      <c r="D33" s="4" t="n">
        <f aca="false">IF(D$4&lt;1,0,IF(D$4=1,Inputs!$E$26,Inputs!$E$19*Inputs!$E$27))</f>
        <v>3000000</v>
      </c>
      <c r="E33" s="4" t="n">
        <f aca="false">IF(E$4&lt;1,0,IF(E$4=1,Inputs!$E$26,Inputs!$E$19*Inputs!$E$27))</f>
        <v>1140000</v>
      </c>
      <c r="F33" s="4" t="n">
        <f aca="false">IF(F$4&lt;1,0,IF(F$4=1,Inputs!$E$26,Inputs!$E$19*Inputs!$E$27))</f>
        <v>1140000</v>
      </c>
      <c r="G33" s="4" t="n">
        <f aca="false">IF(G$4&lt;1,0,IF(G$4=1,Inputs!$E$26,Inputs!$E$19*Inputs!$E$27))</f>
        <v>1140000</v>
      </c>
      <c r="H33" s="4" t="n">
        <f aca="false">IF(H$4&lt;1,0,IF(H$4=1,Inputs!$E$26,Inputs!$E$19*Inputs!$E$27))</f>
        <v>1140000</v>
      </c>
      <c r="I33" s="4" t="n">
        <f aca="false">IF(I$4&lt;1,0,IF(I$4=1,Inputs!$E$26,Inputs!$E$19*Inputs!$E$27))</f>
        <v>1140000</v>
      </c>
      <c r="J33" s="4" t="n">
        <f aca="false">IF(J$4&lt;1,0,IF(J$4=1,Inputs!$E$26,Inputs!$E$19*Inputs!$E$27))</f>
        <v>1140000</v>
      </c>
    </row>
    <row r="34" customFormat="false" ht="15" hidden="false" customHeight="false" outlineLevel="0" collapsed="false">
      <c r="A34" s="0" t="s">
        <v>52</v>
      </c>
      <c r="C34" s="4" t="n">
        <f aca="false">IF(C$4&lt;1,Inputs!$E$19,C32*(1+Inputs!$E$24)/Inputs!$E$28)</f>
        <v>380000000</v>
      </c>
      <c r="D34" s="4" t="n">
        <f aca="false">IF(D$4&lt;1,Inputs!$E$19,D32*(1+Inputs!$E$24)/Inputs!$E$28)</f>
        <v>573657434.482759</v>
      </c>
      <c r="E34" s="4" t="n">
        <f aca="false">IF(E$4&lt;1,Inputs!$E$19,E32*(1+Inputs!$E$24)/Inputs!$E$28)</f>
        <v>597086811.806897</v>
      </c>
      <c r="F34" s="4" t="n">
        <f aca="false">IF(F$4&lt;1,Inputs!$E$19,F32*(1+Inputs!$E$24)/Inputs!$E$28)</f>
        <v>614999416.161104</v>
      </c>
      <c r="G34" s="4" t="n">
        <f aca="false">IF(G$4&lt;1,Inputs!$E$19,G32*(1+Inputs!$E$24)/Inputs!$E$28)</f>
        <v>633449398.645937</v>
      </c>
      <c r="H34" s="4" t="n">
        <f aca="false">IF(H$4&lt;1,Inputs!$E$19,H32*(1+Inputs!$E$24)/Inputs!$E$28)</f>
        <v>652452880.605315</v>
      </c>
      <c r="I34" s="4" t="n">
        <f aca="false">IF(I$4&lt;1,Inputs!$E$19,I32*(1+Inputs!$E$24)/Inputs!$E$28)</f>
        <v>672026467.023474</v>
      </c>
      <c r="J34" s="4" t="n">
        <f aca="false">IF(J$4&lt;1,Inputs!$E$19,J32*(1+Inputs!$E$24)/Inputs!$E$28)</f>
        <v>692187261.034179</v>
      </c>
    </row>
    <row r="35" customFormat="false" ht="15" hidden="false" customHeight="false" outlineLevel="0" collapsed="false">
      <c r="A35" s="0" t="s">
        <v>53</v>
      </c>
      <c r="C35" s="4" t="n">
        <f aca="false">C$5*C34*(1-Inputs!$C$16)</f>
        <v>0</v>
      </c>
      <c r="D35" s="4" t="n">
        <f aca="false">D$5*D34*(1-Inputs!$C$16)</f>
        <v>0</v>
      </c>
      <c r="E35" s="4" t="n">
        <f aca="false">E$5*E34*(1-Inputs!$C$16)</f>
        <v>0</v>
      </c>
      <c r="F35" s="4" t="n">
        <f aca="false">F$5*F34*(1-Inputs!$C$16)</f>
        <v>0</v>
      </c>
      <c r="G35" s="4" t="n">
        <f aca="false">G$5*G34*(1-Inputs!$C$16)</f>
        <v>0</v>
      </c>
      <c r="H35" s="4" t="n">
        <f aca="false">H$5*H34*(1-Inputs!$C$16)</f>
        <v>0</v>
      </c>
      <c r="I35" s="4" t="n">
        <f aca="false">I$5*I34*(1-Inputs!$C$16)</f>
        <v>0</v>
      </c>
      <c r="J35" s="4" t="n">
        <f aca="false">J$5*J34*(1-Inputs!$C$16)</f>
        <v>681804452.118666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0" min="3" style="0" width="15"/>
  </cols>
  <sheetData>
    <row r="1" customFormat="false" ht="16.15" hidden="false" customHeight="false" outlineLevel="0" collapsed="false">
      <c r="A1" s="1" t="s">
        <v>54</v>
      </c>
    </row>
    <row r="3" customFormat="false" ht="15" hidden="false" customHeight="false" outlineLevel="0" collapsed="false">
      <c r="A3" s="6" t="s">
        <v>43</v>
      </c>
      <c r="C3" s="6" t="n">
        <v>2024</v>
      </c>
      <c r="D3" s="6" t="n">
        <v>2025</v>
      </c>
      <c r="E3" s="6" t="n">
        <v>2026</v>
      </c>
      <c r="F3" s="6" t="n">
        <v>2027</v>
      </c>
      <c r="G3" s="6" t="n">
        <v>2028</v>
      </c>
      <c r="H3" s="6" t="n">
        <v>2029</v>
      </c>
      <c r="I3" s="6" t="n">
        <v>2030</v>
      </c>
      <c r="J3" s="6" t="n">
        <v>2031</v>
      </c>
    </row>
    <row r="4" customFormat="false" ht="15" hidden="false" customHeight="false" outlineLevel="0" collapsed="false">
      <c r="A4" s="0" t="s">
        <v>55</v>
      </c>
      <c r="C4" s="4" t="n">
        <f aca="false">IF(Assets!C$4=0,Inputs!$C$19+Inputs!$D$19+Inputs!$E$19,0)</f>
        <v>1480000000</v>
      </c>
      <c r="D4" s="4" t="n">
        <f aca="false">IF(Assets!D$4=0,Inputs!$C$19+Inputs!$D$19+Inputs!$E$19,0)</f>
        <v>0</v>
      </c>
      <c r="E4" s="4" t="n">
        <f aca="false">IF(Assets!E$4=0,Inputs!$C$19+Inputs!$D$19+Inputs!$E$19,0)</f>
        <v>0</v>
      </c>
      <c r="F4" s="4" t="n">
        <f aca="false">IF(Assets!F$4=0,Inputs!$C$19+Inputs!$D$19+Inputs!$E$19,0)</f>
        <v>0</v>
      </c>
      <c r="G4" s="4" t="n">
        <f aca="false">IF(Assets!G$4=0,Inputs!$C$19+Inputs!$D$19+Inputs!$E$19,0)</f>
        <v>0</v>
      </c>
      <c r="H4" s="4" t="n">
        <f aca="false">IF(Assets!H$4=0,Inputs!$C$19+Inputs!$D$19+Inputs!$E$19,0)</f>
        <v>0</v>
      </c>
      <c r="I4" s="4" t="n">
        <f aca="false">IF(Assets!I$4=0,Inputs!$C$19+Inputs!$D$19+Inputs!$E$19,0)</f>
        <v>0</v>
      </c>
      <c r="J4" s="4" t="n">
        <f aca="false">IF(Assets!J$4=0,Inputs!$C$19+Inputs!$D$19+Inputs!$E$19,0)</f>
        <v>0</v>
      </c>
    </row>
    <row r="5" customFormat="false" ht="15" hidden="false" customHeight="false" outlineLevel="0" collapsed="false">
      <c r="A5" s="0" t="s">
        <v>56</v>
      </c>
      <c r="C5" s="4" t="n">
        <f aca="false">C4*Inputs!$C$8</f>
        <v>81400000</v>
      </c>
      <c r="D5" s="4" t="n">
        <f aca="false">D4*Inputs!$C$8</f>
        <v>0</v>
      </c>
      <c r="E5" s="4" t="n">
        <f aca="false">E4*Inputs!$C$8</f>
        <v>0</v>
      </c>
      <c r="F5" s="4" t="n">
        <f aca="false">F4*Inputs!$C$8</f>
        <v>0</v>
      </c>
      <c r="G5" s="4" t="n">
        <f aca="false">G4*Inputs!$C$8</f>
        <v>0</v>
      </c>
      <c r="H5" s="4" t="n">
        <f aca="false">H4*Inputs!$C$8</f>
        <v>0</v>
      </c>
      <c r="I5" s="4" t="n">
        <f aca="false">I4*Inputs!$C$8</f>
        <v>0</v>
      </c>
      <c r="J5" s="4" t="n">
        <f aca="false">J4*Inputs!$C$8</f>
        <v>0</v>
      </c>
    </row>
    <row r="6" customFormat="false" ht="15" hidden="false" customHeight="false" outlineLevel="0" collapsed="false">
      <c r="A6" s="0" t="s">
        <v>57</v>
      </c>
      <c r="C6" s="4" t="n">
        <f aca="false">C4*Inputs!$C$7</f>
        <v>518000000</v>
      </c>
      <c r="D6" s="4" t="n">
        <f aca="false">D4*Inputs!$C$7</f>
        <v>0</v>
      </c>
      <c r="E6" s="4" t="n">
        <f aca="false">E4*Inputs!$C$7</f>
        <v>0</v>
      </c>
      <c r="F6" s="4" t="n">
        <f aca="false">F4*Inputs!$C$7</f>
        <v>0</v>
      </c>
      <c r="G6" s="4" t="n">
        <f aca="false">G4*Inputs!$C$7</f>
        <v>0</v>
      </c>
      <c r="H6" s="4" t="n">
        <f aca="false">H4*Inputs!$C$7</f>
        <v>0</v>
      </c>
      <c r="I6" s="4" t="n">
        <f aca="false">I4*Inputs!$C$7</f>
        <v>0</v>
      </c>
      <c r="J6" s="4" t="n">
        <f aca="false">J4*Inputs!$C$7</f>
        <v>0</v>
      </c>
    </row>
    <row r="7" customFormat="false" ht="15" hidden="false" customHeight="false" outlineLevel="0" collapsed="false">
      <c r="A7" s="0" t="s">
        <v>58</v>
      </c>
      <c r="C7" s="4" t="n">
        <f aca="false">C4+C5-C6</f>
        <v>1043400000</v>
      </c>
      <c r="D7" s="4" t="n">
        <f aca="false">D4+D5-D6</f>
        <v>0</v>
      </c>
      <c r="E7" s="4" t="n">
        <f aca="false">E4+E5-E6</f>
        <v>0</v>
      </c>
      <c r="F7" s="4" t="n">
        <f aca="false">F4+F5-F6</f>
        <v>0</v>
      </c>
      <c r="G7" s="4" t="n">
        <f aca="false">G4+G5-G6</f>
        <v>0</v>
      </c>
      <c r="H7" s="4" t="n">
        <f aca="false">H4+H5-H6</f>
        <v>0</v>
      </c>
      <c r="I7" s="4" t="n">
        <f aca="false">I4+I5-I6</f>
        <v>0</v>
      </c>
      <c r="J7" s="4" t="n">
        <f aca="false">J4+J5-J6</f>
        <v>0</v>
      </c>
    </row>
    <row r="8" customFormat="false" ht="15" hidden="false" customHeight="false" outlineLevel="0" collapsed="false">
      <c r="A8" s="0" t="s">
        <v>59</v>
      </c>
      <c r="C8" s="4" t="n">
        <f aca="false">$C$7/Inputs!$C$6</f>
        <v>104340000</v>
      </c>
      <c r="D8" s="4" t="n">
        <f aca="false">$C$7/Inputs!$C$6</f>
        <v>104340000</v>
      </c>
      <c r="E8" s="4" t="n">
        <f aca="false">$C$7/Inputs!$C$6</f>
        <v>104340000</v>
      </c>
      <c r="F8" s="4" t="n">
        <f aca="false">$C$7/Inputs!$C$6</f>
        <v>104340000</v>
      </c>
      <c r="G8" s="4" t="n">
        <f aca="false">$C$7/Inputs!$C$6</f>
        <v>104340000</v>
      </c>
      <c r="H8" s="4" t="n">
        <f aca="false">$C$7/Inputs!$C$6</f>
        <v>104340000</v>
      </c>
      <c r="I8" s="4" t="n">
        <f aca="false">$C$7/Inputs!$C$6</f>
        <v>104340000</v>
      </c>
      <c r="J8" s="4" t="n">
        <f aca="false">$C$7/Inputs!$C$6</f>
        <v>104340000</v>
      </c>
    </row>
    <row r="9" customFormat="false" ht="15" hidden="false" customHeight="false" outlineLevel="0" collapsed="false">
      <c r="A9" s="0" t="s">
        <v>50</v>
      </c>
      <c r="C9" s="4" t="n">
        <f aca="false">Assets!C12+Assets!C22+Assets!C32</f>
        <v>0</v>
      </c>
      <c r="D9" s="4" t="n">
        <f aca="false">Assets!D12+Assets!D22+Assets!D32</f>
        <v>125102640</v>
      </c>
      <c r="E9" s="4" t="n">
        <f aca="false">Assets!E12+Assets!E22+Assets!E32</f>
        <v>132444468</v>
      </c>
      <c r="F9" s="4" t="n">
        <f aca="false">Assets!F12+Assets!F22+Assets!F32</f>
        <v>136239065.82</v>
      </c>
      <c r="G9" s="4" t="n">
        <f aca="false">Assets!G12+Assets!G22+Assets!G32</f>
        <v>140143033.1691</v>
      </c>
      <c r="H9" s="4" t="n">
        <f aca="false">Assets!H12+Assets!H22+Assets!H32</f>
        <v>144159539.423036</v>
      </c>
      <c r="I9" s="4" t="n">
        <f aca="false">Assets!I12+Assets!I22+Assets!I32</f>
        <v>148291846.246061</v>
      </c>
      <c r="J9" s="4" t="n">
        <f aca="false">Assets!J12+Assets!J22+Assets!J32</f>
        <v>152543310.289785</v>
      </c>
    </row>
    <row r="10" customFormat="false" ht="15" hidden="false" customHeight="false" outlineLevel="0" collapsed="false">
      <c r="A10" s="0" t="s">
        <v>51</v>
      </c>
      <c r="C10" s="4" t="n">
        <f aca="false">Assets!C13+Assets!C23+Assets!C33</f>
        <v>0</v>
      </c>
      <c r="D10" s="4" t="n">
        <f aca="false">Assets!D13+Assets!D23+Assets!D33</f>
        <v>23000000</v>
      </c>
      <c r="E10" s="4" t="n">
        <f aca="false">Assets!E13+Assets!E23+Assets!E33</f>
        <v>6640000</v>
      </c>
      <c r="F10" s="4" t="n">
        <f aca="false">Assets!F13+Assets!F23+Assets!F33</f>
        <v>6640000</v>
      </c>
      <c r="G10" s="4" t="n">
        <f aca="false">Assets!G13+Assets!G23+Assets!G33</f>
        <v>6640000</v>
      </c>
      <c r="H10" s="4" t="n">
        <f aca="false">Assets!H13+Assets!H23+Assets!H33</f>
        <v>6640000</v>
      </c>
      <c r="I10" s="4" t="n">
        <f aca="false">Assets!I13+Assets!I23+Assets!I33</f>
        <v>6640000</v>
      </c>
      <c r="J10" s="4" t="n">
        <f aca="false">Assets!J13+Assets!J23+Assets!J33</f>
        <v>6640000</v>
      </c>
    </row>
    <row r="11" customFormat="false" ht="15" hidden="false" customHeight="false" outlineLevel="0" collapsed="false">
      <c r="A11" s="0" t="s">
        <v>60</v>
      </c>
      <c r="C11" s="4" t="n">
        <f aca="false">Assets!C14+Assets!C24+Assets!C34</f>
        <v>1480000000</v>
      </c>
      <c r="D11" s="4" t="n">
        <f aca="false">Assets!D14+Assets!D24+Assets!D34</f>
        <v>1706480054.48276</v>
      </c>
      <c r="E11" s="4" t="n">
        <f aca="false">Assets!E14+Assets!E24+Assets!E34</f>
        <v>1805889667.0769</v>
      </c>
      <c r="F11" s="4" t="n">
        <f aca="false">Assets!F14+Assets!F24+Assets!F34</f>
        <v>1857776299.27045</v>
      </c>
      <c r="G11" s="4" t="n">
        <f aca="false">Assets!G14+Assets!G24+Assets!G34</f>
        <v>1911162278.98435</v>
      </c>
      <c r="H11" s="4" t="n">
        <f aca="false">Assets!H14+Assets!H24+Assets!H34</f>
        <v>1966091155.35805</v>
      </c>
      <c r="I11" s="4" t="n">
        <f aca="false">Assets!I14+Assets!I24+Assets!I34</f>
        <v>2022607748.22308</v>
      </c>
      <c r="J11" s="4" t="n">
        <f aca="false">Assets!J14+Assets!J24+Assets!J34</f>
        <v>2080758185.32916</v>
      </c>
    </row>
    <row r="12" customFormat="false" ht="15" hidden="false" customHeight="false" outlineLevel="0" collapsed="false">
      <c r="A12" s="0" t="s">
        <v>61</v>
      </c>
      <c r="C12" s="4" t="n">
        <f aca="false">IF(Assets!C$5=1,0,$C$6)</f>
        <v>518000000</v>
      </c>
      <c r="D12" s="4" t="n">
        <f aca="false">IF(Assets!D$5=1,0,$C$6)</f>
        <v>518000000</v>
      </c>
      <c r="E12" s="4" t="n">
        <f aca="false">IF(Assets!E$5=1,0,$C$6)</f>
        <v>518000000</v>
      </c>
      <c r="F12" s="4" t="n">
        <f aca="false">IF(Assets!F$5=1,0,$C$6)</f>
        <v>518000000</v>
      </c>
      <c r="G12" s="4" t="n">
        <f aca="false">IF(Assets!G$5=1,0,$C$6)</f>
        <v>518000000</v>
      </c>
      <c r="H12" s="4" t="n">
        <f aca="false">IF(Assets!H$5=1,0,$C$6)</f>
        <v>518000000</v>
      </c>
      <c r="I12" s="4" t="n">
        <f aca="false">IF(Assets!I$5=1,0,$C$6)</f>
        <v>518000000</v>
      </c>
      <c r="J12" s="4" t="n">
        <f aca="false">IF(Assets!J$5=1,0,$C$6)</f>
        <v>0</v>
      </c>
    </row>
    <row r="13" customFormat="false" ht="15" hidden="false" customHeight="false" outlineLevel="0" collapsed="false">
      <c r="A13" s="0" t="s">
        <v>62</v>
      </c>
      <c r="C13" s="4" t="n">
        <f aca="false">C11-$C$6</f>
        <v>962000000</v>
      </c>
      <c r="D13" s="4" t="n">
        <f aca="false">D11-$C$6</f>
        <v>1188480054.48276</v>
      </c>
      <c r="E13" s="4" t="n">
        <f aca="false">E11-$C$6</f>
        <v>1287889667.0769</v>
      </c>
      <c r="F13" s="4" t="n">
        <f aca="false">F11-$C$6</f>
        <v>1339776299.27045</v>
      </c>
      <c r="G13" s="4" t="n">
        <f aca="false">G11-$C$6</f>
        <v>1393162278.98435</v>
      </c>
      <c r="H13" s="4" t="n">
        <f aca="false">H11-$C$6</f>
        <v>1448091155.35805</v>
      </c>
      <c r="I13" s="4" t="n">
        <f aca="false">I11-$C$6</f>
        <v>1504607748.22308</v>
      </c>
      <c r="J13" s="4" t="n">
        <f aca="false">J11-$C$6</f>
        <v>1562758185.32916</v>
      </c>
    </row>
    <row r="14" customFormat="false" ht="15" hidden="false" customHeight="false" outlineLevel="0" collapsed="false">
      <c r="A14" s="0" t="s">
        <v>63</v>
      </c>
      <c r="C14" s="4" t="n">
        <f aca="false">IF(Assets!C$4&lt;1,0,C13*Inputs!$C$11)</f>
        <v>0</v>
      </c>
      <c r="D14" s="4" t="n">
        <f aca="false">IF(Assets!D$4&lt;1,0,D13*Inputs!$C$11)</f>
        <v>10102080.4631034</v>
      </c>
      <c r="E14" s="4" t="n">
        <f aca="false">IF(Assets!E$4&lt;1,0,E13*Inputs!$C$11)</f>
        <v>10947062.1701536</v>
      </c>
      <c r="F14" s="4" t="n">
        <f aca="false">IF(Assets!F$4&lt;1,0,F13*Inputs!$C$11)</f>
        <v>11388098.5437989</v>
      </c>
      <c r="G14" s="4" t="n">
        <f aca="false">IF(Assets!G$4&lt;1,0,G13*Inputs!$C$11)</f>
        <v>11841879.371367</v>
      </c>
      <c r="H14" s="4" t="n">
        <f aca="false">IF(Assets!H$4&lt;1,0,H13*Inputs!$C$11)</f>
        <v>12308774.8205435</v>
      </c>
      <c r="I14" s="4" t="n">
        <f aca="false">IF(Assets!I$4&lt;1,0,I13*Inputs!$C$11)</f>
        <v>12789165.8598962</v>
      </c>
      <c r="J14" s="4" t="n">
        <f aca="false">IF(Assets!J$4&lt;1,0,J13*Inputs!$C$11)</f>
        <v>13283444.5752978</v>
      </c>
    </row>
    <row r="15" customFormat="false" ht="15" hidden="false" customHeight="false" outlineLevel="0" collapsed="false">
      <c r="A15" s="0" t="s">
        <v>64</v>
      </c>
      <c r="C15" s="4" t="n">
        <f aca="false">IF(Assets!C$4&lt;1,0,Inputs!$C$12*(1+Inputs!$C$13)^(Assets!C$4-1))</f>
        <v>0</v>
      </c>
      <c r="D15" s="4" t="n">
        <f aca="false">IF(Assets!D$4&lt;1,0,Inputs!$C$12*(1+Inputs!$C$13)^(Assets!D$4-1))</f>
        <v>4500000</v>
      </c>
      <c r="E15" s="4" t="n">
        <f aca="false">IF(Assets!E$4&lt;1,0,Inputs!$C$12*(1+Inputs!$C$13)^(Assets!E$4-1))</f>
        <v>4635000</v>
      </c>
      <c r="F15" s="4" t="n">
        <f aca="false">IF(Assets!F$4&lt;1,0,Inputs!$C$12*(1+Inputs!$C$13)^(Assets!F$4-1))</f>
        <v>4774050</v>
      </c>
      <c r="G15" s="4" t="n">
        <f aca="false">IF(Assets!G$4&lt;1,0,Inputs!$C$12*(1+Inputs!$C$13)^(Assets!G$4-1))</f>
        <v>4917271.5</v>
      </c>
      <c r="H15" s="4" t="n">
        <f aca="false">IF(Assets!H$4&lt;1,0,Inputs!$C$12*(1+Inputs!$C$13)^(Assets!H$4-1))</f>
        <v>5064789.645</v>
      </c>
      <c r="I15" s="4" t="n">
        <f aca="false">IF(Assets!I$4&lt;1,0,Inputs!$C$12*(1+Inputs!$C$13)^(Assets!I$4-1))</f>
        <v>5216733.33435</v>
      </c>
      <c r="J15" s="4" t="n">
        <f aca="false">IF(Assets!J$4&lt;1,0,Inputs!$C$12*(1+Inputs!$C$13)^(Assets!J$4-1))</f>
        <v>5373235.3343805</v>
      </c>
    </row>
    <row r="16" customFormat="false" ht="15" hidden="false" customHeight="false" outlineLevel="0" collapsed="false">
      <c r="A16" s="0" t="s">
        <v>65</v>
      </c>
      <c r="C16" s="4" t="n">
        <f aca="false">IF(Assets!C$4&lt;1,0,$C$6*(Inputs!$C$9+Inputs!$C$10/10000))</f>
        <v>0</v>
      </c>
      <c r="D16" s="4" t="n">
        <f aca="false">IF(Assets!D$4&lt;1,0,$C$6*(Inputs!$C$9+Inputs!$C$10/10000))</f>
        <v>38850000</v>
      </c>
      <c r="E16" s="4" t="n">
        <f aca="false">IF(Assets!E$4&lt;1,0,$C$6*(Inputs!$C$9+Inputs!$C$10/10000))</f>
        <v>38850000</v>
      </c>
      <c r="F16" s="4" t="n">
        <f aca="false">IF(Assets!F$4&lt;1,0,$C$6*(Inputs!$C$9+Inputs!$C$10/10000))</f>
        <v>38850000</v>
      </c>
      <c r="G16" s="4" t="n">
        <f aca="false">IF(Assets!G$4&lt;1,0,$C$6*(Inputs!$C$9+Inputs!$C$10/10000))</f>
        <v>38850000</v>
      </c>
      <c r="H16" s="4" t="n">
        <f aca="false">IF(Assets!H$4&lt;1,0,$C$6*(Inputs!$C$9+Inputs!$C$10/10000))</f>
        <v>38850000</v>
      </c>
      <c r="I16" s="4" t="n">
        <f aca="false">IF(Assets!I$4&lt;1,0,$C$6*(Inputs!$C$9+Inputs!$C$10/10000))</f>
        <v>38850000</v>
      </c>
      <c r="J16" s="4" t="n">
        <f aca="false">IF(Assets!J$4&lt;1,0,$C$6*(Inputs!$C$9+Inputs!$C$10/10000))</f>
        <v>38850000</v>
      </c>
    </row>
    <row r="17" customFormat="false" ht="15" hidden="false" customHeight="false" outlineLevel="0" collapsed="false">
      <c r="A17" s="0" t="s">
        <v>66</v>
      </c>
      <c r="C17" s="4" t="n">
        <f aca="false">C9-C10-C14-C15-C16</f>
        <v>0</v>
      </c>
      <c r="D17" s="4" t="n">
        <f aca="false">D9-D10-D14-D15-D16</f>
        <v>48650559.5368966</v>
      </c>
      <c r="E17" s="4" t="n">
        <f aca="false">E9-E10-E14-E15-E16</f>
        <v>71372405.8298464</v>
      </c>
      <c r="F17" s="4" t="n">
        <f aca="false">F9-F10-F14-F15-F16</f>
        <v>74586917.2762012</v>
      </c>
      <c r="G17" s="4" t="n">
        <f aca="false">G9-G10-G14-G15-G16</f>
        <v>77893882.297733</v>
      </c>
      <c r="H17" s="4" t="n">
        <f aca="false">H9-H10-H14-H15-H16</f>
        <v>81295974.9574921</v>
      </c>
      <c r="I17" s="4" t="n">
        <f aca="false">I9-I10-I14-I15-I16</f>
        <v>84795947.0518145</v>
      </c>
      <c r="J17" s="4" t="n">
        <f aca="false">J9-J10-J14-J15-J16</f>
        <v>88396630.3801065</v>
      </c>
    </row>
    <row r="18" customFormat="false" ht="15" hidden="false" customHeight="false" outlineLevel="0" collapsed="false">
      <c r="A18" s="0" t="s">
        <v>67</v>
      </c>
      <c r="C18" s="4" t="n">
        <f aca="false">MAX(0,C17*Inputs!$C$14)</f>
        <v>0</v>
      </c>
      <c r="D18" s="4" t="n">
        <f aca="false">MAX(0,D17*Inputs!$C$14)</f>
        <v>43785503.5832069</v>
      </c>
      <c r="E18" s="4" t="n">
        <f aca="false">MAX(0,E17*Inputs!$C$14)</f>
        <v>64235165.2468618</v>
      </c>
      <c r="F18" s="4" t="n">
        <f aca="false">MAX(0,F17*Inputs!$C$14)</f>
        <v>67128225.5485811</v>
      </c>
      <c r="G18" s="4" t="n">
        <f aca="false">MAX(0,G17*Inputs!$C$14)</f>
        <v>70104494.0679597</v>
      </c>
      <c r="H18" s="4" t="n">
        <f aca="false">MAX(0,H17*Inputs!$C$14)</f>
        <v>73166377.4617429</v>
      </c>
      <c r="I18" s="4" t="n">
        <f aca="false">MAX(0,I17*Inputs!$C$14)</f>
        <v>76316352.346633</v>
      </c>
      <c r="J18" s="4" t="n">
        <f aca="false">MAX(0,J17*Inputs!$C$14)</f>
        <v>79556967.3420959</v>
      </c>
    </row>
    <row r="19" customFormat="false" ht="15" hidden="false" customHeight="false" outlineLevel="0" collapsed="false">
      <c r="A19" s="0" t="s">
        <v>68</v>
      </c>
      <c r="C19" s="4" t="n">
        <f aca="false">IF(Assets!C$5=1,Assets!C15+Assets!C25+Assets!C35-$C$6+SUM($C17:C17)-SUM($C18:C18),0)</f>
        <v>0</v>
      </c>
      <c r="D19" s="4" t="n">
        <f aca="false">IF(Assets!D$5=1,Assets!D15+Assets!D25+Assets!D35-$C$6+SUM($C17:D17)-SUM($C18:D18),0)</f>
        <v>0</v>
      </c>
      <c r="E19" s="4" t="n">
        <f aca="false">IF(Assets!E$5=1,Assets!E15+Assets!E25+Assets!E35-$C$6+SUM($C17:E17)-SUM($C18:E18),0)</f>
        <v>0</v>
      </c>
      <c r="F19" s="4" t="n">
        <f aca="false">IF(Assets!F$5=1,Assets!F15+Assets!F25+Assets!F35-$C$6+SUM($C17:F17)-SUM($C18:F18),0)</f>
        <v>0</v>
      </c>
      <c r="G19" s="4" t="n">
        <f aca="false">IF(Assets!G$5=1,Assets!G15+Assets!G25+Assets!G35-$C$6+SUM($C17:G17)-SUM($C18:G18),0)</f>
        <v>0</v>
      </c>
      <c r="H19" s="4" t="n">
        <f aca="false">IF(Assets!H$5=1,Assets!H15+Assets!H25+Assets!H35-$C$6+SUM($C17:H17)-SUM($C18:H18),0)</f>
        <v>0</v>
      </c>
      <c r="I19" s="4" t="n">
        <f aca="false">IF(Assets!I$5=1,Assets!I15+Assets!I25+Assets!I35-$C$6+SUM($C17:I17)-SUM($C18:I18),0)</f>
        <v>0</v>
      </c>
      <c r="J19" s="4" t="n">
        <f aca="false">IF(Assets!J$5=1,Assets!J15+Assets!J25+Assets!J35-$C$6+SUM($C17:J17)-SUM($C18:J18),0)</f>
        <v>1584246044.28223</v>
      </c>
    </row>
    <row r="20" customFormat="false" ht="15" hidden="false" customHeight="false" outlineLevel="0" collapsed="false">
      <c r="A20" s="0" t="s">
        <v>69</v>
      </c>
      <c r="C20" s="4" t="n">
        <f aca="false">-C7+C18+C19</f>
        <v>-1043400000</v>
      </c>
      <c r="D20" s="4" t="n">
        <f aca="false">-D7+D18+D19</f>
        <v>43785503.5832069</v>
      </c>
      <c r="E20" s="4" t="n">
        <f aca="false">-E7+E18+E19</f>
        <v>64235165.2468618</v>
      </c>
      <c r="F20" s="4" t="n">
        <f aca="false">-F7+F18+F19</f>
        <v>67128225.5485811</v>
      </c>
      <c r="G20" s="4" t="n">
        <f aca="false">-G7+G18+G19</f>
        <v>70104494.0679597</v>
      </c>
      <c r="H20" s="4" t="n">
        <f aca="false">-H7+H18+H19</f>
        <v>73166377.4617429</v>
      </c>
      <c r="I20" s="4" t="n">
        <f aca="false">-I7+I18+I19</f>
        <v>76316352.346633</v>
      </c>
      <c r="J20" s="4" t="n">
        <f aca="false">-J7+J18+J19</f>
        <v>1663803011.62432</v>
      </c>
    </row>
    <row r="21" customFormat="false" ht="15" hidden="false" customHeight="false" outlineLevel="0" collapsed="false">
      <c r="A21" s="0" t="s">
        <v>70</v>
      </c>
      <c r="C21" s="2" t="n">
        <f aca="false">IF(Assets!C$4&lt;1,0,C18/$C$7)</f>
        <v>0</v>
      </c>
      <c r="D21" s="2" t="n">
        <f aca="false">IF(Assets!D$4&lt;1,0,D18/$C$7)</f>
        <v>0.0419642549196923</v>
      </c>
      <c r="E21" s="2" t="n">
        <f aca="false">IF(Assets!E$4&lt;1,0,E18/$C$7)</f>
        <v>0.0615633172770383</v>
      </c>
      <c r="F21" s="2" t="n">
        <f aca="false">IF(Assets!F$4&lt;1,0,F18/$C$7)</f>
        <v>0.064336041353825</v>
      </c>
      <c r="G21" s="2" t="n">
        <f aca="false">IF(Assets!G$4&lt;1,0,G18/$C$7)</f>
        <v>0.0671885126202413</v>
      </c>
      <c r="H21" s="2" t="n">
        <f aca="false">IF(Assets!H$4&lt;1,0,H18/$C$7)</f>
        <v>0.070123037628659</v>
      </c>
      <c r="I21" s="2" t="n">
        <f aca="false">IF(Assets!I$4&lt;1,0,I18/$C$7)</f>
        <v>0.0731419899814386</v>
      </c>
      <c r="J21" s="2" t="n">
        <f aca="false">IF(Assets!J$4&lt;1,0,J18/$C$7)</f>
        <v>0.0762478122887635</v>
      </c>
    </row>
    <row r="22" customFormat="false" ht="15" hidden="false" customHeight="false" outlineLevel="0" collapsed="false">
      <c r="A22" s="0" t="s">
        <v>71</v>
      </c>
      <c r="C22" s="5" t="n">
        <f aca="false">C13/C8</f>
        <v>9.21985815602837</v>
      </c>
      <c r="D22" s="5" t="n">
        <f aca="false">D13/D8</f>
        <v>11.3904548062369</v>
      </c>
      <c r="E22" s="5" t="n">
        <f aca="false">E13/E8</f>
        <v>12.3432017162823</v>
      </c>
      <c r="F22" s="5" t="n">
        <f aca="false">F13/F8</f>
        <v>12.8404859044513</v>
      </c>
      <c r="G22" s="5" t="n">
        <f aca="false">G13/G8</f>
        <v>13.3521399174271</v>
      </c>
      <c r="H22" s="5" t="n">
        <f aca="false">H13/H8</f>
        <v>13.878581132433</v>
      </c>
      <c r="I22" s="5" t="n">
        <f aca="false">I13/I8</f>
        <v>14.4202391050707</v>
      </c>
      <c r="J22" s="5" t="n">
        <f aca="false">J13/J8</f>
        <v>14.9775559260989</v>
      </c>
    </row>
    <row r="23" customFormat="false" ht="15" hidden="false" customHeight="false" outlineLevel="0" collapsed="false">
      <c r="A23" s="0" t="s">
        <v>72</v>
      </c>
      <c r="C23" s="2" t="n">
        <f aca="false">IF(C11=0,0,$C$6/C11)</f>
        <v>0.35</v>
      </c>
      <c r="D23" s="2" t="n">
        <f aca="false">IF(D11=0,0,$C$6/D11)</f>
        <v>0.303548815961408</v>
      </c>
      <c r="E23" s="2" t="n">
        <f aca="false">IF(E11=0,0,$C$6/E11)</f>
        <v>0.286839229131014</v>
      </c>
      <c r="F23" s="2" t="n">
        <f aca="false">IF(F11=0,0,$C$6/F11)</f>
        <v>0.278827973100646</v>
      </c>
      <c r="G23" s="2" t="n">
        <f aca="false">IF(G11=0,0,$C$6/G11)</f>
        <v>0.271039254853482</v>
      </c>
      <c r="H23" s="2" t="n">
        <f aca="false">IF(H11=0,0,$C$6/H11)</f>
        <v>0.263466929591911</v>
      </c>
      <c r="I23" s="2" t="n">
        <f aca="false">IF(I11=0,0,$C$6/I11)</f>
        <v>0.256105021082352</v>
      </c>
      <c r="J23" s="2" t="n">
        <f aca="false">IF(J11=0,0,$C$6/J11)</f>
        <v>0.248947717064036</v>
      </c>
    </row>
    <row r="24" customFormat="false" ht="15" hidden="false" customHeight="false" outlineLevel="0" collapsed="false">
      <c r="A24" s="0" t="s">
        <v>73</v>
      </c>
      <c r="C24" s="3" t="n">
        <f aca="false">IF(C16=0,0,C9/C16)</f>
        <v>0</v>
      </c>
      <c r="D24" s="3" t="n">
        <f aca="false">IF(D16=0,0,D9/D16)</f>
        <v>3.22014517374517</v>
      </c>
      <c r="E24" s="3" t="n">
        <f aca="false">IF(E16=0,0,E9/E16)</f>
        <v>3.40912401544402</v>
      </c>
      <c r="F24" s="3" t="n">
        <f aca="false">IF(F16=0,0,F9/F16)</f>
        <v>3.50679706100386</v>
      </c>
      <c r="G24" s="3" t="n">
        <f aca="false">IF(G16=0,0,G9/G16)</f>
        <v>3.60728528105792</v>
      </c>
      <c r="H24" s="3" t="n">
        <f aca="false">IF(H16=0,0,H9/H16)</f>
        <v>3.71067025541919</v>
      </c>
      <c r="I24" s="3" t="n">
        <f aca="false">IF(I16=0,0,I9/I16)</f>
        <v>3.81703593940954</v>
      </c>
      <c r="J24" s="3" t="n">
        <f aca="false">IF(J16=0,0,J9/J16)</f>
        <v>3.9264687333278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2026-10-28T04:34:23Z</dcterms:created>
  <dc:creator>openpyxl</dc:creator>
  <dc:description/>
  <dc:language>en-US</dc:language>
  <cp:lastModifiedBy/>
  <dcterms:modified xsi:type="dcterms:W3CDTF">2026-10-28T04:34:23Z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