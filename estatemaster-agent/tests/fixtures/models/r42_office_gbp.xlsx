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Rent Roll" sheetId="3" state="visible" r:id="rId5"/>
    <sheet name="Tenant CF" sheetId="4" state="visible" r:id="rId6"/>
    <sheet name="Cash Flo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<sst xmlns="http://schemas.openxmlformats.org/spreadsheetml/2006/main" count="68" uniqueCount="52">
  <si>
    <t xml:space="preserve">ST MARY AXE HOUSE · SUMMARY (GBP)</t>
  </si>
  <si>
    <t xml:space="preserve">Net initial yield</t>
  </si>
  <si>
    <t xml:space="preserve">IRR (ungeared)</t>
  </si>
  <si>
    <t xml:space="preserve">IRR (geared)</t>
  </si>
  <si>
    <t xml:space="preserve">Equity multiple</t>
  </si>
  <si>
    <t xml:space="preserve">WAULT (years)</t>
  </si>
  <si>
    <t xml:space="preserve">Geared profit</t>
  </si>
  <si>
    <t xml:space="preserve">ST MARY AXE HOUSE · ASSUMPTIONS (GBP)</t>
  </si>
  <si>
    <t xml:space="preserve">Purchase price</t>
  </si>
  <si>
    <t xml:space="preserve">Purchase costs (SDLT and fees)</t>
  </si>
  <si>
    <t xml:space="preserve">Market rent (per sq ft a year)</t>
  </si>
  <si>
    <t xml:space="preserve">Market rent growth</t>
  </si>
  <si>
    <t xml:space="preserve">Non-recoverable costs (% of rent)</t>
  </si>
  <si>
    <t xml:space="preserve">Exit cap rate</t>
  </si>
  <si>
    <t xml:space="preserve">Selling costs</t>
  </si>
  <si>
    <t xml:space="preserve">Hold (years)</t>
  </si>
  <si>
    <t xml:space="preserve">Loan to value</t>
  </si>
  <si>
    <t xml:space="preserve">Interest rate</t>
  </si>
  <si>
    <t xml:space="preserve">Arrangement fee</t>
  </si>
  <si>
    <t xml:space="preserve">RENT ROLL</t>
  </si>
  <si>
    <t xml:space="preserve">Tenant</t>
  </si>
  <si>
    <t xml:space="preserve">Area (sq ft)</t>
  </si>
  <si>
    <t xml:space="preserve">Rent (per sq ft)</t>
  </si>
  <si>
    <t xml:space="preserve">Lease expiry (year)</t>
  </si>
  <si>
    <t xml:space="preserve">Renewal probability</t>
  </si>
  <si>
    <t xml:space="preserve">Downtime (months)</t>
  </si>
  <si>
    <t xml:space="preserve">TI (per sq ft)</t>
  </si>
  <si>
    <t xml:space="preserve">LC (months of rent)</t>
  </si>
  <si>
    <t xml:space="preserve">Harcourt Legal LLP</t>
  </si>
  <si>
    <t xml:space="preserve">Northgate Capital</t>
  </si>
  <si>
    <t xml:space="preserve">Ferro Digital</t>
  </si>
  <si>
    <t xml:space="preserve">Albion Insurance</t>
  </si>
  <si>
    <t xml:space="preserve">Quill &amp; Co</t>
  </si>
  <si>
    <t xml:space="preserve">Tessera Labs</t>
  </si>
  <si>
    <t xml:space="preserve">Total</t>
  </si>
  <si>
    <t xml:space="preserve">TENANT CASH FLOW (GBP)</t>
  </si>
  <si>
    <t xml:space="preserve">Year</t>
  </si>
  <si>
    <t xml:space="preserve">Rent</t>
  </si>
  <si>
    <t xml:space="preserve">TI</t>
  </si>
  <si>
    <t xml:space="preserve">Leasing commission</t>
  </si>
  <si>
    <t xml:space="preserve">CASH FLOW (GBP)</t>
  </si>
  <si>
    <t xml:space="preserve">Gross rent</t>
  </si>
  <si>
    <t xml:space="preserve">Non-recoverable costs</t>
  </si>
  <si>
    <t xml:space="preserve">Net operating income</t>
  </si>
  <si>
    <t xml:space="preserve">TI and leasing costs</t>
  </si>
  <si>
    <t xml:space="preserve">Purchase</t>
  </si>
  <si>
    <t xml:space="preserve">Sale (net)</t>
  </si>
  <si>
    <t xml:space="preserve">Ungeared cash flow</t>
  </si>
  <si>
    <t xml:space="preserve">Loan</t>
  </si>
  <si>
    <t xml:space="preserve">Interest</t>
  </si>
  <si>
    <t xml:space="preserve">Repayment</t>
  </si>
  <si>
    <t xml:space="preserve">Geared cash flow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</si>
</sst>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0\x"/>
    <numFmt numFmtId="167" formatCode="0.0"/>
    <numFmt numFmtId="168" formatCode="#,##0"/>
    <numFmt numFmtId="169" formatCode="0.00"/>
    <numFmt numFmtId="170" formatCode="0"/>
    <numFmt numFmtId="171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5" customFormat="false" ht="15" hidden="false" customHeight="false" outlineLevel="0" collapsed="false">
      <c r="B5" s="0" t="s">
        <v>1</v>
      </c>
      <c r="C5" s="1" t="n">
        <f aca="false">'Cash Flow'!E8/(Assumptions!C4*(1+Assumptions!C5))</f>
        <v>0.0530268102372035</v>
      </c>
    </row>
    <row r="6" customFormat="false" ht="15" hidden="false" customHeight="false" outlineLevel="0" collapsed="false">
      <c r="B6" s="0" t="s">
        <v>2</v>
      </c>
      <c r="C6" s="1" t="n">
        <f aca="false">IRR('Cash Flow'!D12:O12)</f>
        <v>0.083121766294623</v>
      </c>
    </row>
    <row r="7" customFormat="false" ht="15" hidden="false" customHeight="false" outlineLevel="0" collapsed="false">
      <c r="B7" s="0" t="s">
        <v>3</v>
      </c>
      <c r="C7" s="1" t="n">
        <f aca="false">IRR('Cash Flow'!D17:O17)</f>
        <v>0.0993942557775678</v>
      </c>
    </row>
    <row r="8" customFormat="false" ht="15" hidden="false" customHeight="false" outlineLevel="0" collapsed="false">
      <c r="B8" s="0" t="s">
        <v>4</v>
      </c>
      <c r="C8" s="2" t="n">
        <f aca="false">SUMIF('Cash Flow'!D17:O17,"&gt;0")/-SUMIF('Cash Flow'!D17:O17,"&lt;0")</f>
        <v>2.30795971983359</v>
      </c>
    </row>
    <row r="9" customFormat="false" ht="15" hidden="false" customHeight="false" outlineLevel="0" collapsed="false">
      <c r="B9" s="0" t="s">
        <v>5</v>
      </c>
      <c r="C9" s="3" t="n">
        <f aca="false">SUMPRODUCT('Rent Roll'!C5:C10,'Rent Roll'!D5:D10,'Rent Roll'!E5:E10)/SUMPRODUCT('Rent Roll'!C5:C10,'Rent Roll'!D5:D10)</f>
        <v>5.05838918550494</v>
      </c>
    </row>
    <row r="10" customFormat="false" ht="15" hidden="false" customHeight="false" outlineLevel="0" collapsed="false">
      <c r="B10" s="0" t="s">
        <v>6</v>
      </c>
      <c r="C10" s="4" t="n">
        <f aca="false">SUM('Cash Flow'!D17:O17)</f>
        <v>112419137.919697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7</v>
      </c>
    </row>
    <row r="4" customFormat="false" ht="15" hidden="false" customHeight="false" outlineLevel="0" collapsed="false">
      <c r="B4" s="0" t="s">
        <v>8</v>
      </c>
      <c r="C4" s="4" t="n">
        <v>150000000</v>
      </c>
    </row>
    <row r="5" customFormat="false" ht="15" hidden="false" customHeight="false" outlineLevel="0" collapsed="false">
      <c r="B5" s="0" t="s">
        <v>9</v>
      </c>
      <c r="C5" s="1" t="n">
        <v>0.068</v>
      </c>
    </row>
    <row r="6" customFormat="false" ht="15" hidden="false" customHeight="false" outlineLevel="0" collapsed="false">
      <c r="B6" s="0" t="s">
        <v>10</v>
      </c>
      <c r="C6" s="5" t="n">
        <v>72.5</v>
      </c>
    </row>
    <row r="7" customFormat="false" ht="15" hidden="false" customHeight="false" outlineLevel="0" collapsed="false">
      <c r="B7" s="0" t="s">
        <v>11</v>
      </c>
      <c r="C7" s="1" t="n">
        <v>0.025</v>
      </c>
    </row>
    <row r="8" customFormat="false" ht="15" hidden="false" customHeight="false" outlineLevel="0" collapsed="false">
      <c r="B8" s="0" t="s">
        <v>12</v>
      </c>
      <c r="C8" s="1" t="n">
        <v>0.035</v>
      </c>
    </row>
    <row r="9" customFormat="false" ht="15" hidden="false" customHeight="false" outlineLevel="0" collapsed="false">
      <c r="B9" s="0" t="s">
        <v>13</v>
      </c>
      <c r="C9" s="1" t="n">
        <v>0.0525</v>
      </c>
    </row>
    <row r="10" customFormat="false" ht="15" hidden="false" customHeight="false" outlineLevel="0" collapsed="false">
      <c r="B10" s="0" t="s">
        <v>14</v>
      </c>
      <c r="C10" s="1" t="n">
        <v>0.015</v>
      </c>
    </row>
    <row r="11" customFormat="false" ht="15" hidden="false" customHeight="false" outlineLevel="0" collapsed="false">
      <c r="B11" s="0" t="s">
        <v>15</v>
      </c>
      <c r="C11" s="6" t="n">
        <v>10</v>
      </c>
    </row>
    <row r="12" customFormat="false" ht="15" hidden="false" customHeight="false" outlineLevel="0" collapsed="false">
      <c r="B12" s="0" t="s">
        <v>16</v>
      </c>
      <c r="C12" s="1" t="n">
        <v>0.5</v>
      </c>
    </row>
    <row r="13" customFormat="false" ht="15" hidden="false" customHeight="false" outlineLevel="0" collapsed="false">
      <c r="B13" s="0" t="s">
        <v>17</v>
      </c>
      <c r="C13" s="1" t="n">
        <v>0.058</v>
      </c>
    </row>
    <row r="14" customFormat="false" ht="15" hidden="false" customHeight="false" outlineLevel="0" collapsed="false">
      <c r="B14" s="0" t="s">
        <v>18</v>
      </c>
      <c r="C14" s="1" t="n"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19</v>
      </c>
    </row>
    <row r="4" customFormat="false" ht="15" hidden="false" customHeight="false" outlineLevel="0" collapsed="false">
      <c r="B4" s="0" t="s">
        <v>20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25</v>
      </c>
      <c r="H4" s="0" t="s">
        <v>26</v>
      </c>
      <c r="I4" s="0" t="s">
        <v>27</v>
      </c>
    </row>
    <row r="5" customFormat="false" ht="15" hidden="false" customHeight="false" outlineLevel="0" collapsed="false">
      <c r="B5" s="0" t="s">
        <v>28</v>
      </c>
      <c r="C5" s="4" t="n">
        <v>32000</v>
      </c>
      <c r="D5" s="5" t="n">
        <v>64</v>
      </c>
      <c r="E5" s="0" t="n">
        <v>3</v>
      </c>
      <c r="F5" s="7" t="n">
        <v>0.65</v>
      </c>
      <c r="G5" s="0" t="n">
        <v>9</v>
      </c>
      <c r="H5" s="5" t="n">
        <v>45</v>
      </c>
      <c r="I5" s="0" t="n">
        <v>2</v>
      </c>
    </row>
    <row r="6" customFormat="false" ht="15" hidden="false" customHeight="false" outlineLevel="0" collapsed="false">
      <c r="B6" s="0" t="s">
        <v>29</v>
      </c>
      <c r="C6" s="4" t="n">
        <v>21500</v>
      </c>
      <c r="D6" s="5" t="n">
        <v>70</v>
      </c>
      <c r="E6" s="0" t="n">
        <v>5</v>
      </c>
      <c r="F6" s="7" t="n">
        <v>0.7</v>
      </c>
      <c r="G6" s="0" t="n">
        <v>6</v>
      </c>
      <c r="H6" s="5" t="n">
        <v>40</v>
      </c>
      <c r="I6" s="0" t="n">
        <v>2</v>
      </c>
    </row>
    <row r="7" customFormat="false" ht="15" hidden="false" customHeight="false" outlineLevel="0" collapsed="false">
      <c r="B7" s="0" t="s">
        <v>30</v>
      </c>
      <c r="C7" s="4" t="n">
        <v>18000</v>
      </c>
      <c r="D7" s="5" t="n">
        <v>58.5</v>
      </c>
      <c r="E7" s="0" t="n">
        <v>2</v>
      </c>
      <c r="F7" s="7" t="n">
        <v>0.5</v>
      </c>
      <c r="G7" s="0" t="n">
        <v>12</v>
      </c>
      <c r="H7" s="5" t="n">
        <v>50</v>
      </c>
      <c r="I7" s="0" t="n">
        <v>2.5</v>
      </c>
    </row>
    <row r="8" customFormat="false" ht="15" hidden="false" customHeight="false" outlineLevel="0" collapsed="false">
      <c r="B8" s="0" t="s">
        <v>31</v>
      </c>
      <c r="C8" s="4" t="n">
        <v>40000</v>
      </c>
      <c r="D8" s="5" t="n">
        <v>66</v>
      </c>
      <c r="E8" s="0" t="n">
        <v>8</v>
      </c>
      <c r="F8" s="7" t="n">
        <v>0.75</v>
      </c>
      <c r="G8" s="0" t="n">
        <v>9</v>
      </c>
      <c r="H8" s="5" t="n">
        <v>45</v>
      </c>
      <c r="I8" s="0" t="n">
        <v>2</v>
      </c>
    </row>
    <row r="9" customFormat="false" ht="15" hidden="false" customHeight="false" outlineLevel="0" collapsed="false">
      <c r="B9" s="0" t="s">
        <v>32</v>
      </c>
      <c r="C9" s="4" t="n">
        <v>9500</v>
      </c>
      <c r="D9" s="5" t="n">
        <v>74</v>
      </c>
      <c r="E9" s="0" t="n">
        <v>6</v>
      </c>
      <c r="F9" s="7" t="n">
        <v>0.6</v>
      </c>
      <c r="G9" s="0" t="n">
        <v>6</v>
      </c>
      <c r="H9" s="5" t="n">
        <v>35</v>
      </c>
      <c r="I9" s="0" t="n">
        <v>1.5</v>
      </c>
    </row>
    <row r="10" customFormat="false" ht="15" hidden="false" customHeight="false" outlineLevel="0" collapsed="false">
      <c r="B10" s="0" t="s">
        <v>33</v>
      </c>
      <c r="C10" s="4" t="n">
        <v>14000</v>
      </c>
      <c r="D10" s="5" t="n">
        <v>61</v>
      </c>
      <c r="E10" s="0" t="n">
        <v>4</v>
      </c>
      <c r="F10" s="7" t="n">
        <v>0.55</v>
      </c>
      <c r="G10" s="0" t="n">
        <v>9</v>
      </c>
      <c r="H10" s="5" t="n">
        <v>50</v>
      </c>
      <c r="I10" s="0" t="n">
        <v>2</v>
      </c>
    </row>
    <row r="11" customFormat="false" ht="15" hidden="false" customHeight="false" outlineLevel="0" collapsed="false">
      <c r="B11" s="0" t="s">
        <v>34</v>
      </c>
      <c r="C11" s="4" t="n">
        <f aca="false">SUM(C5:C10)</f>
        <v>135000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35</v>
      </c>
    </row>
    <row r="4" customFormat="false" ht="15" hidden="false" customHeight="false" outlineLevel="0" collapsed="false">
      <c r="B4" s="0" t="s">
        <v>36</v>
      </c>
      <c r="D4" s="0" t="n">
        <v>0</v>
      </c>
      <c r="E4" s="0" t="n">
        <v>1</v>
      </c>
      <c r="F4" s="0" t="n">
        <v>2</v>
      </c>
      <c r="G4" s="0" t="n">
        <v>3</v>
      </c>
      <c r="H4" s="0" t="n">
        <v>4</v>
      </c>
      <c r="I4" s="0" t="n">
        <v>5</v>
      </c>
      <c r="J4" s="0" t="n">
        <v>6</v>
      </c>
      <c r="K4" s="0" t="n">
        <v>7</v>
      </c>
      <c r="L4" s="0" t="n">
        <v>8</v>
      </c>
      <c r="M4" s="0" t="n">
        <v>9</v>
      </c>
      <c r="N4" s="0" t="n">
        <v>10</v>
      </c>
      <c r="O4" s="0" t="n">
        <v>11</v>
      </c>
    </row>
    <row r="6" customFormat="false" ht="15" hidden="false" customHeight="false" outlineLevel="0" collapsed="false">
      <c r="B6" s="0" t="str">
        <f aca="false">'Rent Roll'!B5</f>
        <v>Harcourt Legal LLP</v>
      </c>
      <c r="C6" s="0" t="s">
        <v>37</v>
      </c>
      <c r="D6" s="0" t="n">
        <v>0</v>
      </c>
      <c r="E6" s="0" t="n">
        <f aca="false">IF(E$4&lt;='Rent Roll'!$E$5,'Rent Roll'!$C$5*'Rent Roll'!$D$5,'Rent Roll'!$C$5*Assumptions!$C$6*(1+Assumptions!$C$7)^(E$4-1)*('Rent Roll'!$F$5+(1-'Rent Roll'!$F$5)*IF(E$4='Rent Roll'!$E$5+1,MAX(0,12-ROUND('Rent Roll'!$G$5,0))/12,1)))</f>
        <v>2048000</v>
      </c>
      <c r="F6" s="0" t="n">
        <f aca="false">IF(F$4&lt;='Rent Roll'!$E$5,'Rent Roll'!$C$5*'Rent Roll'!$D$5,'Rent Roll'!$C$5*Assumptions!$C$6*(1+Assumptions!$C$7)^(F$4-1)*('Rent Roll'!$F$5+(1-'Rent Roll'!$F$5)*IF(F$4='Rent Roll'!$E$5+1,MAX(0,12-ROUND('Rent Roll'!$G$5,0))/12,1)))</f>
        <v>2048000</v>
      </c>
      <c r="G6" s="0" t="n">
        <f aca="false">IF(G$4&lt;='Rent Roll'!$E$5,'Rent Roll'!$C$5*'Rent Roll'!$D$5,'Rent Roll'!$C$5*Assumptions!$C$6*(1+Assumptions!$C$7)^(G$4-1)*('Rent Roll'!$F$5+(1-'Rent Roll'!$F$5)*IF(G$4='Rent Roll'!$E$5+1,MAX(0,12-ROUND('Rent Roll'!$G$5,0))/12,1)))</f>
        <v>2048000</v>
      </c>
      <c r="H6" s="0" t="n">
        <f aca="false">IF(H$4&lt;='Rent Roll'!$E$5,'Rent Roll'!$C$5*'Rent Roll'!$D$5,'Rent Roll'!$C$5*Assumptions!$C$6*(1+Assumptions!$C$7)^(H$4-1)*('Rent Roll'!$F$5+(1-'Rent Roll'!$F$5)*IF(H$4='Rent Roll'!$E$5+1,MAX(0,12-ROUND('Rent Roll'!$G$5,0))/12,1)))</f>
        <v>1842559.859375</v>
      </c>
      <c r="I6" s="0" t="n">
        <f aca="false">IF(I$4&lt;='Rent Roll'!$E$5,'Rent Roll'!$C$5*'Rent Roll'!$D$5,'Rent Roll'!$C$5*Assumptions!$C$6*(1+Assumptions!$C$7)^(I$4-1)*('Rent Roll'!$F$5+(1-'Rent Roll'!$F$5)*IF(I$4='Rent Roll'!$E$5+1,MAX(0,12-ROUND('Rent Roll'!$G$5,0))/12,1)))</f>
        <v>2560845.90625</v>
      </c>
      <c r="J6" s="0" t="n">
        <f aca="false">IF(J$4&lt;='Rent Roll'!$E$5,'Rent Roll'!$C$5*'Rent Roll'!$D$5,'Rent Roll'!$C$5*Assumptions!$C$6*(1+Assumptions!$C$7)^(J$4-1)*('Rent Roll'!$F$5+(1-'Rent Roll'!$F$5)*IF(J$4='Rent Roll'!$E$5+1,MAX(0,12-ROUND('Rent Roll'!$G$5,0))/12,1)))</f>
        <v>2624867.05390625</v>
      </c>
      <c r="K6" s="0" t="n">
        <f aca="false">IF(K$4&lt;='Rent Roll'!$E$5,'Rent Roll'!$C$5*'Rent Roll'!$D$5,'Rent Roll'!$C$5*Assumptions!$C$6*(1+Assumptions!$C$7)^(K$4-1)*('Rent Roll'!$F$5+(1-'Rent Roll'!$F$5)*IF(K$4='Rent Roll'!$E$5+1,MAX(0,12-ROUND('Rent Roll'!$G$5,0))/12,1)))</f>
        <v>2690488.7302539</v>
      </c>
      <c r="L6" s="0" t="n">
        <f aca="false">IF(L$4&lt;='Rent Roll'!$E$5,'Rent Roll'!$C$5*'Rent Roll'!$D$5,'Rent Roll'!$C$5*Assumptions!$C$6*(1+Assumptions!$C$7)^(L$4-1)*('Rent Roll'!$F$5+(1-'Rent Roll'!$F$5)*IF(L$4='Rent Roll'!$E$5+1,MAX(0,12-ROUND('Rent Roll'!$G$5,0))/12,1)))</f>
        <v>2757750.94851025</v>
      </c>
      <c r="M6" s="0" t="n">
        <f aca="false">IF(M$4&lt;='Rent Roll'!$E$5,'Rent Roll'!$C$5*'Rent Roll'!$D$5,'Rent Roll'!$C$5*Assumptions!$C$6*(1+Assumptions!$C$7)^(M$4-1)*('Rent Roll'!$F$5+(1-'Rent Roll'!$F$5)*IF(M$4='Rent Roll'!$E$5+1,MAX(0,12-ROUND('Rent Roll'!$G$5,0))/12,1)))</f>
        <v>2826694.72222301</v>
      </c>
      <c r="N6" s="0" t="n">
        <f aca="false">IF(N$4&lt;='Rent Roll'!$E$5,'Rent Roll'!$C$5*'Rent Roll'!$D$5,'Rent Roll'!$C$5*Assumptions!$C$6*(1+Assumptions!$C$7)^(N$4-1)*('Rent Roll'!$F$5+(1-'Rent Roll'!$F$5)*IF(N$4='Rent Roll'!$E$5+1,MAX(0,12-ROUND('Rent Roll'!$G$5,0))/12,1)))</f>
        <v>2897362.09027858</v>
      </c>
      <c r="O6" s="0" t="n">
        <f aca="false">IF(O$4&lt;='Rent Roll'!$E$5,'Rent Roll'!$C$5*'Rent Roll'!$D$5,'Rent Roll'!$C$5*Assumptions!$C$6*(1+Assumptions!$C$7)^(O$4-1)*('Rent Roll'!$F$5+(1-'Rent Roll'!$F$5)*IF(O$4='Rent Roll'!$E$5+1,MAX(0,12-ROUND('Rent Roll'!$G$5,0))/12,1)))</f>
        <v>2969796.14253555</v>
      </c>
    </row>
    <row r="7" customFormat="false" ht="15" hidden="false" customHeight="false" outlineLevel="0" collapsed="false">
      <c r="C7" s="0" t="s">
        <v>38</v>
      </c>
      <c r="D7" s="0" t="n">
        <v>0</v>
      </c>
      <c r="E7" s="0" t="n">
        <f aca="false">IF(E$4='Rent Roll'!$E$5+1,-'Rent Roll'!$C$5*'Rent Roll'!$H$5*(1-'Rent Roll'!$F$5*0.5),0)</f>
        <v>0</v>
      </c>
      <c r="F7" s="0" t="n">
        <f aca="false">IF(F$4='Rent Roll'!$E$5+1,-'Rent Roll'!$C$5*'Rent Roll'!$H$5*(1-'Rent Roll'!$F$5*0.5),0)</f>
        <v>0</v>
      </c>
      <c r="G7" s="0" t="n">
        <f aca="false">IF(G$4='Rent Roll'!$E$5+1,-'Rent Roll'!$C$5*'Rent Roll'!$H$5*(1-'Rent Roll'!$F$5*0.5),0)</f>
        <v>0</v>
      </c>
      <c r="H7" s="0" t="n">
        <f aca="false">IF(H$4='Rent Roll'!$E$5+1,-'Rent Roll'!$C$5*'Rent Roll'!$H$5*(1-'Rent Roll'!$F$5*0.5),0)</f>
        <v>-972000</v>
      </c>
      <c r="I7" s="0" t="n">
        <f aca="false">IF(I$4='Rent Roll'!$E$5+1,-'Rent Roll'!$C$5*'Rent Roll'!$H$5*(1-'Rent Roll'!$F$5*0.5),0)</f>
        <v>0</v>
      </c>
      <c r="J7" s="0" t="n">
        <f aca="false">IF(J$4='Rent Roll'!$E$5+1,-'Rent Roll'!$C$5*'Rent Roll'!$H$5*(1-'Rent Roll'!$F$5*0.5),0)</f>
        <v>0</v>
      </c>
      <c r="K7" s="0" t="n">
        <f aca="false">IF(K$4='Rent Roll'!$E$5+1,-'Rent Roll'!$C$5*'Rent Roll'!$H$5*(1-'Rent Roll'!$F$5*0.5),0)</f>
        <v>0</v>
      </c>
      <c r="L7" s="0" t="n">
        <f aca="false">IF(L$4='Rent Roll'!$E$5+1,-'Rent Roll'!$C$5*'Rent Roll'!$H$5*(1-'Rent Roll'!$F$5*0.5),0)</f>
        <v>0</v>
      </c>
      <c r="M7" s="0" t="n">
        <f aca="false">IF(M$4='Rent Roll'!$E$5+1,-'Rent Roll'!$C$5*'Rent Roll'!$H$5*(1-'Rent Roll'!$F$5*0.5),0)</f>
        <v>0</v>
      </c>
      <c r="N7" s="0" t="n">
        <f aca="false">IF(N$4='Rent Roll'!$E$5+1,-'Rent Roll'!$C$5*'Rent Roll'!$H$5*(1-'Rent Roll'!$F$5*0.5),0)</f>
        <v>0</v>
      </c>
      <c r="O7" s="0" t="n">
        <f aca="false">IF(O$4='Rent Roll'!$E$5+1,-'Rent Roll'!$C$5*'Rent Roll'!$H$5*(1-'Rent Roll'!$F$5*0.5),0)</f>
        <v>0</v>
      </c>
    </row>
    <row r="8" customFormat="false" ht="15" hidden="false" customHeight="false" outlineLevel="0" collapsed="false">
      <c r="C8" s="0" t="s">
        <v>39</v>
      </c>
      <c r="D8" s="0" t="n">
        <v>0</v>
      </c>
      <c r="E8" s="0" t="n">
        <f aca="false">IF(E$4='Rent Roll'!$E$5+1,-'Rent Roll'!$C$5*Assumptions!$C$6*(1+Assumptions!$C$7)^(E$4-1)/12*'Rent Roll'!$I$5,0)</f>
        <v>0</v>
      </c>
      <c r="F8" s="0" t="n">
        <f aca="false">IF(F$4='Rent Roll'!$E$5+1,-'Rent Roll'!$C$5*Assumptions!$C$6*(1+Assumptions!$C$7)^(F$4-1)/12*'Rent Roll'!$I$5,0)</f>
        <v>0</v>
      </c>
      <c r="G8" s="0" t="n">
        <f aca="false">IF(G$4='Rent Roll'!$E$5+1,-'Rent Roll'!$C$5*Assumptions!$C$6*(1+Assumptions!$C$7)^(G$4-1)/12*'Rent Roll'!$I$5,0)</f>
        <v>0</v>
      </c>
      <c r="H8" s="0" t="n">
        <f aca="false">IF(H$4='Rent Roll'!$E$5+1,-'Rent Roll'!$C$5*Assumptions!$C$6*(1+Assumptions!$C$7)^(H$4-1)/12*'Rent Roll'!$I$5,0)</f>
        <v>-416397.708333333</v>
      </c>
      <c r="I8" s="0" t="n">
        <f aca="false">IF(I$4='Rent Roll'!$E$5+1,-'Rent Roll'!$C$5*Assumptions!$C$6*(1+Assumptions!$C$7)^(I$4-1)/12*'Rent Roll'!$I$5,0)</f>
        <v>0</v>
      </c>
      <c r="J8" s="0" t="n">
        <f aca="false">IF(J$4='Rent Roll'!$E$5+1,-'Rent Roll'!$C$5*Assumptions!$C$6*(1+Assumptions!$C$7)^(J$4-1)/12*'Rent Roll'!$I$5,0)</f>
        <v>0</v>
      </c>
      <c r="K8" s="0" t="n">
        <f aca="false">IF(K$4='Rent Roll'!$E$5+1,-'Rent Roll'!$C$5*Assumptions!$C$6*(1+Assumptions!$C$7)^(K$4-1)/12*'Rent Roll'!$I$5,0)</f>
        <v>0</v>
      </c>
      <c r="L8" s="0" t="n">
        <f aca="false">IF(L$4='Rent Roll'!$E$5+1,-'Rent Roll'!$C$5*Assumptions!$C$6*(1+Assumptions!$C$7)^(L$4-1)/12*'Rent Roll'!$I$5,0)</f>
        <v>0</v>
      </c>
      <c r="M8" s="0" t="n">
        <f aca="false">IF(M$4='Rent Roll'!$E$5+1,-'Rent Roll'!$C$5*Assumptions!$C$6*(1+Assumptions!$C$7)^(M$4-1)/12*'Rent Roll'!$I$5,0)</f>
        <v>0</v>
      </c>
      <c r="N8" s="0" t="n">
        <f aca="false">IF(N$4='Rent Roll'!$E$5+1,-'Rent Roll'!$C$5*Assumptions!$C$6*(1+Assumptions!$C$7)^(N$4-1)/12*'Rent Roll'!$I$5,0)</f>
        <v>0</v>
      </c>
      <c r="O8" s="0" t="n">
        <f aca="false">IF(O$4='Rent Roll'!$E$5+1,-'Rent Roll'!$C$5*Assumptions!$C$6*(1+Assumptions!$C$7)^(O$4-1)/12*'Rent Roll'!$I$5,0)</f>
        <v>0</v>
      </c>
    </row>
    <row r="10" customFormat="false" ht="15" hidden="false" customHeight="false" outlineLevel="0" collapsed="false">
      <c r="B10" s="0" t="str">
        <f aca="false">'Rent Roll'!B6</f>
        <v>Northgate Capital</v>
      </c>
      <c r="C10" s="0" t="s">
        <v>37</v>
      </c>
      <c r="D10" s="0" t="n">
        <v>0</v>
      </c>
      <c r="E10" s="0" t="n">
        <f aca="false">IF(E$4&lt;='Rent Roll'!$E$6,'Rent Roll'!$C$6*'Rent Roll'!$D$6,'Rent Roll'!$C$6*Assumptions!$C$6*(1+Assumptions!$C$7)^(E$4-1)*('Rent Roll'!$F$6+(1-'Rent Roll'!$F$6)*IF(E$4='Rent Roll'!$E$6+1,MAX(0,12-ROUND('Rent Roll'!$G$6,0))/12,1)))</f>
        <v>1505000</v>
      </c>
      <c r="F10" s="0" t="n">
        <f aca="false">IF(F$4&lt;='Rent Roll'!$E$6,'Rent Roll'!$C$6*'Rent Roll'!$D$6,'Rent Roll'!$C$6*Assumptions!$C$6*(1+Assumptions!$C$7)^(F$4-1)*('Rent Roll'!$F$6+(1-'Rent Roll'!$F$6)*IF(F$4='Rent Roll'!$E$6+1,MAX(0,12-ROUND('Rent Roll'!$G$6,0))/12,1)))</f>
        <v>1505000</v>
      </c>
      <c r="G10" s="0" t="n">
        <f aca="false">IF(G$4&lt;='Rent Roll'!$E$6,'Rent Roll'!$C$6*'Rent Roll'!$D$6,'Rent Roll'!$C$6*Assumptions!$C$6*(1+Assumptions!$C$7)^(G$4-1)*('Rent Roll'!$F$6+(1-'Rent Roll'!$F$6)*IF(G$4='Rent Roll'!$E$6+1,MAX(0,12-ROUND('Rent Roll'!$G$6,0))/12,1)))</f>
        <v>1505000</v>
      </c>
      <c r="H10" s="0" t="n">
        <f aca="false">IF(H$4&lt;='Rent Roll'!$E$6,'Rent Roll'!$C$6*'Rent Roll'!$D$6,'Rent Roll'!$C$6*Assumptions!$C$6*(1+Assumptions!$C$7)^(H$4-1)*('Rent Roll'!$F$6+(1-'Rent Roll'!$F$6)*IF(H$4='Rent Roll'!$E$6+1,MAX(0,12-ROUND('Rent Roll'!$G$6,0))/12,1)))</f>
        <v>1505000</v>
      </c>
      <c r="I10" s="0" t="n">
        <f aca="false">IF(I$4&lt;='Rent Roll'!$E$6,'Rent Roll'!$C$6*'Rent Roll'!$D$6,'Rent Roll'!$C$6*Assumptions!$C$6*(1+Assumptions!$C$7)^(I$4-1)*('Rent Roll'!$F$6+(1-'Rent Roll'!$F$6)*IF(I$4='Rent Roll'!$E$6+1,MAX(0,12-ROUND('Rent Roll'!$G$6,0))/12,1)))</f>
        <v>1505000</v>
      </c>
      <c r="J10" s="0" t="n">
        <f aca="false">IF(J$4&lt;='Rent Roll'!$E$6,'Rent Roll'!$C$6*'Rent Roll'!$D$6,'Rent Roll'!$C$6*Assumptions!$C$6*(1+Assumptions!$C$7)^(J$4-1)*('Rent Roll'!$F$6+(1-'Rent Roll'!$F$6)*IF(J$4='Rent Roll'!$E$6+1,MAX(0,12-ROUND('Rent Roll'!$G$6,0))/12,1)))</f>
        <v>1499045.16906677</v>
      </c>
      <c r="K10" s="0" t="n">
        <f aca="false">IF(K$4&lt;='Rent Roll'!$E$6,'Rent Roll'!$C$6*'Rent Roll'!$D$6,'Rent Roll'!$C$6*Assumptions!$C$6*(1+Assumptions!$C$7)^(K$4-1)*('Rent Roll'!$F$6+(1-'Rent Roll'!$F$6)*IF(K$4='Rent Roll'!$E$6+1,MAX(0,12-ROUND('Rent Roll'!$G$6,0))/12,1)))</f>
        <v>1807672.11563934</v>
      </c>
      <c r="L10" s="0" t="n">
        <f aca="false">IF(L$4&lt;='Rent Roll'!$E$6,'Rent Roll'!$C$6*'Rent Roll'!$D$6,'Rent Roll'!$C$6*Assumptions!$C$6*(1+Assumptions!$C$7)^(L$4-1)*('Rent Roll'!$F$6+(1-'Rent Roll'!$F$6)*IF(L$4='Rent Roll'!$E$6+1,MAX(0,12-ROUND('Rent Roll'!$G$6,0))/12,1)))</f>
        <v>1852863.91853033</v>
      </c>
      <c r="M10" s="0" t="n">
        <f aca="false">IF(M$4&lt;='Rent Roll'!$E$6,'Rent Roll'!$C$6*'Rent Roll'!$D$6,'Rent Roll'!$C$6*Assumptions!$C$6*(1+Assumptions!$C$7)^(M$4-1)*('Rent Roll'!$F$6+(1-'Rent Roll'!$F$6)*IF(M$4='Rent Roll'!$E$6+1,MAX(0,12-ROUND('Rent Roll'!$G$6,0))/12,1)))</f>
        <v>1899185.51649358</v>
      </c>
      <c r="N10" s="0" t="n">
        <f aca="false">IF(N$4&lt;='Rent Roll'!$E$6,'Rent Roll'!$C$6*'Rent Roll'!$D$6,'Rent Roll'!$C$6*Assumptions!$C$6*(1+Assumptions!$C$7)^(N$4-1)*('Rent Roll'!$F$6+(1-'Rent Roll'!$F$6)*IF(N$4='Rent Roll'!$E$6+1,MAX(0,12-ROUND('Rent Roll'!$G$6,0))/12,1)))</f>
        <v>1946665.15440592</v>
      </c>
      <c r="O10" s="0" t="n">
        <f aca="false">IF(O$4&lt;='Rent Roll'!$E$6,'Rent Roll'!$C$6*'Rent Roll'!$D$6,'Rent Roll'!$C$6*Assumptions!$C$6*(1+Assumptions!$C$7)^(O$4-1)*('Rent Roll'!$F$6+(1-'Rent Roll'!$F$6)*IF(O$4='Rent Roll'!$E$6+1,MAX(0,12-ROUND('Rent Roll'!$G$6,0))/12,1)))</f>
        <v>1995331.78326607</v>
      </c>
    </row>
    <row r="11" customFormat="false" ht="15" hidden="false" customHeight="false" outlineLevel="0" collapsed="false">
      <c r="C11" s="0" t="s">
        <v>38</v>
      </c>
      <c r="D11" s="0" t="n">
        <v>0</v>
      </c>
      <c r="E11" s="0" t="n">
        <f aca="false">IF(E$4='Rent Roll'!$E$6+1,-'Rent Roll'!$C$6*'Rent Roll'!$H$6*(1-'Rent Roll'!$F$6*0.5),0)</f>
        <v>0</v>
      </c>
      <c r="F11" s="0" t="n">
        <f aca="false">IF(F$4='Rent Roll'!$E$6+1,-'Rent Roll'!$C$6*'Rent Roll'!$H$6*(1-'Rent Roll'!$F$6*0.5),0)</f>
        <v>0</v>
      </c>
      <c r="G11" s="0" t="n">
        <f aca="false">IF(G$4='Rent Roll'!$E$6+1,-'Rent Roll'!$C$6*'Rent Roll'!$H$6*(1-'Rent Roll'!$F$6*0.5),0)</f>
        <v>0</v>
      </c>
      <c r="H11" s="0" t="n">
        <f aca="false">IF(H$4='Rent Roll'!$E$6+1,-'Rent Roll'!$C$6*'Rent Roll'!$H$6*(1-'Rent Roll'!$F$6*0.5),0)</f>
        <v>0</v>
      </c>
      <c r="I11" s="0" t="n">
        <f aca="false">IF(I$4='Rent Roll'!$E$6+1,-'Rent Roll'!$C$6*'Rent Roll'!$H$6*(1-'Rent Roll'!$F$6*0.5),0)</f>
        <v>0</v>
      </c>
      <c r="J11" s="0" t="n">
        <f aca="false">IF(J$4='Rent Roll'!$E$6+1,-'Rent Roll'!$C$6*'Rent Roll'!$H$6*(1-'Rent Roll'!$F$6*0.5),0)</f>
        <v>-559000</v>
      </c>
      <c r="K11" s="0" t="n">
        <f aca="false">IF(K$4='Rent Roll'!$E$6+1,-'Rent Roll'!$C$6*'Rent Roll'!$H$6*(1-'Rent Roll'!$F$6*0.5),0)</f>
        <v>0</v>
      </c>
      <c r="L11" s="0" t="n">
        <f aca="false">IF(L$4='Rent Roll'!$E$6+1,-'Rent Roll'!$C$6*'Rent Roll'!$H$6*(1-'Rent Roll'!$F$6*0.5),0)</f>
        <v>0</v>
      </c>
      <c r="M11" s="0" t="n">
        <f aca="false">IF(M$4='Rent Roll'!$E$6+1,-'Rent Roll'!$C$6*'Rent Roll'!$H$6*(1-'Rent Roll'!$F$6*0.5),0)</f>
        <v>0</v>
      </c>
      <c r="N11" s="0" t="n">
        <f aca="false">IF(N$4='Rent Roll'!$E$6+1,-'Rent Roll'!$C$6*'Rent Roll'!$H$6*(1-'Rent Roll'!$F$6*0.5),0)</f>
        <v>0</v>
      </c>
      <c r="O11" s="0" t="n">
        <f aca="false">IF(O$4='Rent Roll'!$E$6+1,-'Rent Roll'!$C$6*'Rent Roll'!$H$6*(1-'Rent Roll'!$F$6*0.5),0)</f>
        <v>0</v>
      </c>
    </row>
    <row r="12" customFormat="false" ht="15" hidden="false" customHeight="false" outlineLevel="0" collapsed="false">
      <c r="C12" s="0" t="s">
        <v>39</v>
      </c>
      <c r="D12" s="0" t="n">
        <v>0</v>
      </c>
      <c r="E12" s="0" t="n">
        <f aca="false">IF(E$4='Rent Roll'!$E$6+1,-'Rent Roll'!$C$6*Assumptions!$C$6*(1+Assumptions!$C$7)^(E$4-1)/12*'Rent Roll'!$I$6,0)</f>
        <v>0</v>
      </c>
      <c r="F12" s="0" t="n">
        <f aca="false">IF(F$4='Rent Roll'!$E$6+1,-'Rent Roll'!$C$6*Assumptions!$C$6*(1+Assumptions!$C$7)^(F$4-1)/12*'Rent Roll'!$I$6,0)</f>
        <v>0</v>
      </c>
      <c r="G12" s="0" t="n">
        <f aca="false">IF(G$4='Rent Roll'!$E$6+1,-'Rent Roll'!$C$6*Assumptions!$C$6*(1+Assumptions!$C$7)^(G$4-1)/12*'Rent Roll'!$I$6,0)</f>
        <v>0</v>
      </c>
      <c r="H12" s="0" t="n">
        <f aca="false">IF(H$4='Rent Roll'!$E$6+1,-'Rent Roll'!$C$6*Assumptions!$C$6*(1+Assumptions!$C$7)^(H$4-1)/12*'Rent Roll'!$I$6,0)</f>
        <v>0</v>
      </c>
      <c r="I12" s="0" t="n">
        <f aca="false">IF(I$4='Rent Roll'!$E$6+1,-'Rent Roll'!$C$6*Assumptions!$C$6*(1+Assumptions!$C$7)^(I$4-1)/12*'Rent Roll'!$I$6,0)</f>
        <v>0</v>
      </c>
      <c r="J12" s="0" t="n">
        <f aca="false">IF(J$4='Rent Roll'!$E$6+1,-'Rent Roll'!$C$6*Assumptions!$C$6*(1+Assumptions!$C$7)^(J$4-1)/12*'Rent Roll'!$I$6,0)</f>
        <v>-293930.42530721</v>
      </c>
      <c r="K12" s="0" t="n">
        <f aca="false">IF(K$4='Rent Roll'!$E$6+1,-'Rent Roll'!$C$6*Assumptions!$C$6*(1+Assumptions!$C$7)^(K$4-1)/12*'Rent Roll'!$I$6,0)</f>
        <v>0</v>
      </c>
      <c r="L12" s="0" t="n">
        <f aca="false">IF(L$4='Rent Roll'!$E$6+1,-'Rent Roll'!$C$6*Assumptions!$C$6*(1+Assumptions!$C$7)^(L$4-1)/12*'Rent Roll'!$I$6,0)</f>
        <v>0</v>
      </c>
      <c r="M12" s="0" t="n">
        <f aca="false">IF(M$4='Rent Roll'!$E$6+1,-'Rent Roll'!$C$6*Assumptions!$C$6*(1+Assumptions!$C$7)^(M$4-1)/12*'Rent Roll'!$I$6,0)</f>
        <v>0</v>
      </c>
      <c r="N12" s="0" t="n">
        <f aca="false">IF(N$4='Rent Roll'!$E$6+1,-'Rent Roll'!$C$6*Assumptions!$C$6*(1+Assumptions!$C$7)^(N$4-1)/12*'Rent Roll'!$I$6,0)</f>
        <v>0</v>
      </c>
      <c r="O12" s="0" t="n">
        <f aca="false">IF(O$4='Rent Roll'!$E$6+1,-'Rent Roll'!$C$6*Assumptions!$C$6*(1+Assumptions!$C$7)^(O$4-1)/12*'Rent Roll'!$I$6,0)</f>
        <v>0</v>
      </c>
    </row>
    <row r="14" customFormat="false" ht="15" hidden="false" customHeight="false" outlineLevel="0" collapsed="false">
      <c r="B14" s="0" t="str">
        <f aca="false">'Rent Roll'!B7</f>
        <v>Ferro Digital</v>
      </c>
      <c r="C14" s="0" t="s">
        <v>37</v>
      </c>
      <c r="D14" s="0" t="n">
        <v>0</v>
      </c>
      <c r="E14" s="0" t="n">
        <f aca="false">IF(E$4&lt;='Rent Roll'!$E$7,'Rent Roll'!$C$7*'Rent Roll'!$D$7,'Rent Roll'!$C$7*Assumptions!$C$6*(1+Assumptions!$C$7)^(E$4-1)*('Rent Roll'!$F$7+(1-'Rent Roll'!$F$7)*IF(E$4='Rent Roll'!$E$7+1,MAX(0,12-ROUND('Rent Roll'!$G$7,0))/12,1)))</f>
        <v>1053000</v>
      </c>
      <c r="F14" s="0" t="n">
        <f aca="false">IF(F$4&lt;='Rent Roll'!$E$7,'Rent Roll'!$C$7*'Rent Roll'!$D$7,'Rent Roll'!$C$7*Assumptions!$C$6*(1+Assumptions!$C$7)^(F$4-1)*('Rent Roll'!$F$7+(1-'Rent Roll'!$F$7)*IF(F$4='Rent Roll'!$E$7+1,MAX(0,12-ROUND('Rent Roll'!$G$7,0))/12,1)))</f>
        <v>1053000</v>
      </c>
      <c r="G14" s="0" t="n">
        <f aca="false">IF(G$4&lt;='Rent Roll'!$E$7,'Rent Roll'!$C$7*'Rent Roll'!$D$7,'Rent Roll'!$C$7*Assumptions!$C$6*(1+Assumptions!$C$7)^(G$4-1)*('Rent Roll'!$F$7+(1-'Rent Roll'!$F$7)*IF(G$4='Rent Roll'!$E$7+1,MAX(0,12-ROUND('Rent Roll'!$G$7,0))/12,1)))</f>
        <v>685532.8125</v>
      </c>
      <c r="H14" s="0" t="n">
        <f aca="false">IF(H$4&lt;='Rent Roll'!$E$7,'Rent Roll'!$C$7*'Rent Roll'!$D$7,'Rent Roll'!$C$7*Assumptions!$C$6*(1+Assumptions!$C$7)^(H$4-1)*('Rent Roll'!$F$7+(1-'Rent Roll'!$F$7)*IF(H$4='Rent Roll'!$E$7+1,MAX(0,12-ROUND('Rent Roll'!$G$7,0))/12,1)))</f>
        <v>1405342.265625</v>
      </c>
      <c r="I14" s="0" t="n">
        <f aca="false">IF(I$4&lt;='Rent Roll'!$E$7,'Rent Roll'!$C$7*'Rent Roll'!$D$7,'Rent Roll'!$C$7*Assumptions!$C$6*(1+Assumptions!$C$7)^(I$4-1)*('Rent Roll'!$F$7+(1-'Rent Roll'!$F$7)*IF(I$4='Rent Roll'!$E$7+1,MAX(0,12-ROUND('Rent Roll'!$G$7,0))/12,1)))</f>
        <v>1440475.82226562</v>
      </c>
      <c r="J14" s="0" t="n">
        <f aca="false">IF(J$4&lt;='Rent Roll'!$E$7,'Rent Roll'!$C$7*'Rent Roll'!$D$7,'Rent Roll'!$C$7*Assumptions!$C$6*(1+Assumptions!$C$7)^(J$4-1)*('Rent Roll'!$F$7+(1-'Rent Roll'!$F$7)*IF(J$4='Rent Roll'!$E$7+1,MAX(0,12-ROUND('Rent Roll'!$G$7,0))/12,1)))</f>
        <v>1476487.71782226</v>
      </c>
      <c r="K14" s="0" t="n">
        <f aca="false">IF(K$4&lt;='Rent Roll'!$E$7,'Rent Roll'!$C$7*'Rent Roll'!$D$7,'Rent Roll'!$C$7*Assumptions!$C$6*(1+Assumptions!$C$7)^(K$4-1)*('Rent Roll'!$F$7+(1-'Rent Roll'!$F$7)*IF(K$4='Rent Roll'!$E$7+1,MAX(0,12-ROUND('Rent Roll'!$G$7,0))/12,1)))</f>
        <v>1513399.91076782</v>
      </c>
      <c r="L14" s="0" t="n">
        <f aca="false">IF(L$4&lt;='Rent Roll'!$E$7,'Rent Roll'!$C$7*'Rent Roll'!$D$7,'Rent Roll'!$C$7*Assumptions!$C$6*(1+Assumptions!$C$7)^(L$4-1)*('Rent Roll'!$F$7+(1-'Rent Roll'!$F$7)*IF(L$4='Rent Roll'!$E$7+1,MAX(0,12-ROUND('Rent Roll'!$G$7,0))/12,1)))</f>
        <v>1551234.90853702</v>
      </c>
      <c r="M14" s="0" t="n">
        <f aca="false">IF(M$4&lt;='Rent Roll'!$E$7,'Rent Roll'!$C$7*'Rent Roll'!$D$7,'Rent Roll'!$C$7*Assumptions!$C$6*(1+Assumptions!$C$7)^(M$4-1)*('Rent Roll'!$F$7+(1-'Rent Roll'!$F$7)*IF(M$4='Rent Roll'!$E$7+1,MAX(0,12-ROUND('Rent Roll'!$G$7,0))/12,1)))</f>
        <v>1590015.78125044</v>
      </c>
      <c r="N14" s="0" t="n">
        <f aca="false">IF(N$4&lt;='Rent Roll'!$E$7,'Rent Roll'!$C$7*'Rent Roll'!$D$7,'Rent Roll'!$C$7*Assumptions!$C$6*(1+Assumptions!$C$7)^(N$4-1)*('Rent Roll'!$F$7+(1-'Rent Roll'!$F$7)*IF(N$4='Rent Roll'!$E$7+1,MAX(0,12-ROUND('Rent Roll'!$G$7,0))/12,1)))</f>
        <v>1629766.1757817</v>
      </c>
      <c r="O14" s="0" t="n">
        <f aca="false">IF(O$4&lt;='Rent Roll'!$E$7,'Rent Roll'!$C$7*'Rent Roll'!$D$7,'Rent Roll'!$C$7*Assumptions!$C$6*(1+Assumptions!$C$7)^(O$4-1)*('Rent Roll'!$F$7+(1-'Rent Roll'!$F$7)*IF(O$4='Rent Roll'!$E$7+1,MAX(0,12-ROUND('Rent Roll'!$G$7,0))/12,1)))</f>
        <v>1670510.33017625</v>
      </c>
    </row>
    <row r="15" customFormat="false" ht="15" hidden="false" customHeight="false" outlineLevel="0" collapsed="false">
      <c r="C15" s="0" t="s">
        <v>38</v>
      </c>
      <c r="D15" s="0" t="n">
        <v>0</v>
      </c>
      <c r="E15" s="0" t="n">
        <f aca="false">IF(E$4='Rent Roll'!$E$7+1,-'Rent Roll'!$C$7*'Rent Roll'!$H$7*(1-'Rent Roll'!$F$7*0.5),0)</f>
        <v>0</v>
      </c>
      <c r="F15" s="0" t="n">
        <f aca="false">IF(F$4='Rent Roll'!$E$7+1,-'Rent Roll'!$C$7*'Rent Roll'!$H$7*(1-'Rent Roll'!$F$7*0.5),0)</f>
        <v>0</v>
      </c>
      <c r="G15" s="0" t="n">
        <f aca="false">IF(G$4='Rent Roll'!$E$7+1,-'Rent Roll'!$C$7*'Rent Roll'!$H$7*(1-'Rent Roll'!$F$7*0.5),0)</f>
        <v>-675000</v>
      </c>
      <c r="H15" s="0" t="n">
        <f aca="false">IF(H$4='Rent Roll'!$E$7+1,-'Rent Roll'!$C$7*'Rent Roll'!$H$7*(1-'Rent Roll'!$F$7*0.5),0)</f>
        <v>0</v>
      </c>
      <c r="I15" s="0" t="n">
        <f aca="false">IF(I$4='Rent Roll'!$E$7+1,-'Rent Roll'!$C$7*'Rent Roll'!$H$7*(1-'Rent Roll'!$F$7*0.5),0)</f>
        <v>0</v>
      </c>
      <c r="J15" s="0" t="n">
        <f aca="false">IF(J$4='Rent Roll'!$E$7+1,-'Rent Roll'!$C$7*'Rent Roll'!$H$7*(1-'Rent Roll'!$F$7*0.5),0)</f>
        <v>0</v>
      </c>
      <c r="K15" s="0" t="n">
        <f aca="false">IF(K$4='Rent Roll'!$E$7+1,-'Rent Roll'!$C$7*'Rent Roll'!$H$7*(1-'Rent Roll'!$F$7*0.5),0)</f>
        <v>0</v>
      </c>
      <c r="L15" s="0" t="n">
        <f aca="false">IF(L$4='Rent Roll'!$E$7+1,-'Rent Roll'!$C$7*'Rent Roll'!$H$7*(1-'Rent Roll'!$F$7*0.5),0)</f>
        <v>0</v>
      </c>
      <c r="M15" s="0" t="n">
        <f aca="false">IF(M$4='Rent Roll'!$E$7+1,-'Rent Roll'!$C$7*'Rent Roll'!$H$7*(1-'Rent Roll'!$F$7*0.5),0)</f>
        <v>0</v>
      </c>
      <c r="N15" s="0" t="n">
        <f aca="false">IF(N$4='Rent Roll'!$E$7+1,-'Rent Roll'!$C$7*'Rent Roll'!$H$7*(1-'Rent Roll'!$F$7*0.5),0)</f>
        <v>0</v>
      </c>
      <c r="O15" s="0" t="n">
        <f aca="false">IF(O$4='Rent Roll'!$E$7+1,-'Rent Roll'!$C$7*'Rent Roll'!$H$7*(1-'Rent Roll'!$F$7*0.5),0)</f>
        <v>0</v>
      </c>
    </row>
    <row r="16" customFormat="false" ht="15" hidden="false" customHeight="false" outlineLevel="0" collapsed="false">
      <c r="C16" s="0" t="s">
        <v>39</v>
      </c>
      <c r="D16" s="0" t="n">
        <v>0</v>
      </c>
      <c r="E16" s="0" t="n">
        <f aca="false">IF(E$4='Rent Roll'!$E$7+1,-'Rent Roll'!$C$7*Assumptions!$C$6*(1+Assumptions!$C$7)^(E$4-1)/12*'Rent Roll'!$I$7,0)</f>
        <v>0</v>
      </c>
      <c r="F16" s="0" t="n">
        <f aca="false">IF(F$4='Rent Roll'!$E$7+1,-'Rent Roll'!$C$7*Assumptions!$C$6*(1+Assumptions!$C$7)^(F$4-1)/12*'Rent Roll'!$I$7,0)</f>
        <v>0</v>
      </c>
      <c r="G16" s="0" t="n">
        <f aca="false">IF(G$4='Rent Roll'!$E$7+1,-'Rent Roll'!$C$7*Assumptions!$C$6*(1+Assumptions!$C$7)^(G$4-1)/12*'Rent Roll'!$I$7,0)</f>
        <v>-285638.671875</v>
      </c>
      <c r="H16" s="0" t="n">
        <f aca="false">IF(H$4='Rent Roll'!$E$7+1,-'Rent Roll'!$C$7*Assumptions!$C$6*(1+Assumptions!$C$7)^(H$4-1)/12*'Rent Roll'!$I$7,0)</f>
        <v>0</v>
      </c>
      <c r="I16" s="0" t="n">
        <f aca="false">IF(I$4='Rent Roll'!$E$7+1,-'Rent Roll'!$C$7*Assumptions!$C$6*(1+Assumptions!$C$7)^(I$4-1)/12*'Rent Roll'!$I$7,0)</f>
        <v>0</v>
      </c>
      <c r="J16" s="0" t="n">
        <f aca="false">IF(J$4='Rent Roll'!$E$7+1,-'Rent Roll'!$C$7*Assumptions!$C$6*(1+Assumptions!$C$7)^(J$4-1)/12*'Rent Roll'!$I$7,0)</f>
        <v>0</v>
      </c>
      <c r="K16" s="0" t="n">
        <f aca="false">IF(K$4='Rent Roll'!$E$7+1,-'Rent Roll'!$C$7*Assumptions!$C$6*(1+Assumptions!$C$7)^(K$4-1)/12*'Rent Roll'!$I$7,0)</f>
        <v>0</v>
      </c>
      <c r="L16" s="0" t="n">
        <f aca="false">IF(L$4='Rent Roll'!$E$7+1,-'Rent Roll'!$C$7*Assumptions!$C$6*(1+Assumptions!$C$7)^(L$4-1)/12*'Rent Roll'!$I$7,0)</f>
        <v>0</v>
      </c>
      <c r="M16" s="0" t="n">
        <f aca="false">IF(M$4='Rent Roll'!$E$7+1,-'Rent Roll'!$C$7*Assumptions!$C$6*(1+Assumptions!$C$7)^(M$4-1)/12*'Rent Roll'!$I$7,0)</f>
        <v>0</v>
      </c>
      <c r="N16" s="0" t="n">
        <f aca="false">IF(N$4='Rent Roll'!$E$7+1,-'Rent Roll'!$C$7*Assumptions!$C$6*(1+Assumptions!$C$7)^(N$4-1)/12*'Rent Roll'!$I$7,0)</f>
        <v>0</v>
      </c>
      <c r="O16" s="0" t="n">
        <f aca="false">IF(O$4='Rent Roll'!$E$7+1,-'Rent Roll'!$C$7*Assumptions!$C$6*(1+Assumptions!$C$7)^(O$4-1)/12*'Rent Roll'!$I$7,0)</f>
        <v>0</v>
      </c>
    </row>
    <row r="18" customFormat="false" ht="15" hidden="false" customHeight="false" outlineLevel="0" collapsed="false">
      <c r="B18" s="0" t="str">
        <f aca="false">'Rent Roll'!B8</f>
        <v>Albion Insurance</v>
      </c>
      <c r="C18" s="0" t="s">
        <v>37</v>
      </c>
      <c r="D18" s="0" t="n">
        <v>0</v>
      </c>
      <c r="E18" s="0" t="n">
        <f aca="false">IF(E$4&lt;='Rent Roll'!$E$8,'Rent Roll'!$C$8*'Rent Roll'!$D$8,'Rent Roll'!$C$8*Assumptions!$C$6*(1+Assumptions!$C$7)^(E$4-1)*('Rent Roll'!$F$8+(1-'Rent Roll'!$F$8)*IF(E$4='Rent Roll'!$E$8+1,MAX(0,12-ROUND('Rent Roll'!$G$8,0))/12,1)))</f>
        <v>2640000</v>
      </c>
      <c r="F18" s="0" t="n">
        <f aca="false">IF(F$4&lt;='Rent Roll'!$E$8,'Rent Roll'!$C$8*'Rent Roll'!$D$8,'Rent Roll'!$C$8*Assumptions!$C$6*(1+Assumptions!$C$7)^(F$4-1)*('Rent Roll'!$F$8+(1-'Rent Roll'!$F$8)*IF(F$4='Rent Roll'!$E$8+1,MAX(0,12-ROUND('Rent Roll'!$G$8,0))/12,1)))</f>
        <v>2640000</v>
      </c>
      <c r="G18" s="0" t="n">
        <f aca="false">IF(G$4&lt;='Rent Roll'!$E$8,'Rent Roll'!$C$8*'Rent Roll'!$D$8,'Rent Roll'!$C$8*Assumptions!$C$6*(1+Assumptions!$C$7)^(G$4-1)*('Rent Roll'!$F$8+(1-'Rent Roll'!$F$8)*IF(G$4='Rent Roll'!$E$8+1,MAX(0,12-ROUND('Rent Roll'!$G$8,0))/12,1)))</f>
        <v>2640000</v>
      </c>
      <c r="H18" s="0" t="n">
        <f aca="false">IF(H$4&lt;='Rent Roll'!$E$8,'Rent Roll'!$C$8*'Rent Roll'!$D$8,'Rent Roll'!$C$8*Assumptions!$C$6*(1+Assumptions!$C$7)^(H$4-1)*('Rent Roll'!$F$8+(1-'Rent Roll'!$F$8)*IF(H$4='Rent Roll'!$E$8+1,MAX(0,12-ROUND('Rent Roll'!$G$8,0))/12,1)))</f>
        <v>2640000</v>
      </c>
      <c r="I18" s="0" t="n">
        <f aca="false">IF(I$4&lt;='Rent Roll'!$E$8,'Rent Roll'!$C$8*'Rent Roll'!$D$8,'Rent Roll'!$C$8*Assumptions!$C$6*(1+Assumptions!$C$7)^(I$4-1)*('Rent Roll'!$F$8+(1-'Rent Roll'!$F$8)*IF(I$4='Rent Roll'!$E$8+1,MAX(0,12-ROUND('Rent Roll'!$G$8,0))/12,1)))</f>
        <v>2640000</v>
      </c>
      <c r="J18" s="0" t="n">
        <f aca="false">IF(J$4&lt;='Rent Roll'!$E$8,'Rent Roll'!$C$8*'Rent Roll'!$D$8,'Rent Roll'!$C$8*Assumptions!$C$6*(1+Assumptions!$C$7)^(J$4-1)*('Rent Roll'!$F$8+(1-'Rent Roll'!$F$8)*IF(J$4='Rent Roll'!$E$8+1,MAX(0,12-ROUND('Rent Roll'!$G$8,0))/12,1)))</f>
        <v>2640000</v>
      </c>
      <c r="K18" s="0" t="n">
        <f aca="false">IF(K$4&lt;='Rent Roll'!$E$8,'Rent Roll'!$C$8*'Rent Roll'!$D$8,'Rent Roll'!$C$8*Assumptions!$C$6*(1+Assumptions!$C$7)^(K$4-1)*('Rent Roll'!$F$8+(1-'Rent Roll'!$F$8)*IF(K$4='Rent Roll'!$E$8+1,MAX(0,12-ROUND('Rent Roll'!$G$8,0))/12,1)))</f>
        <v>2640000</v>
      </c>
      <c r="L18" s="0" t="n">
        <f aca="false">IF(L$4&lt;='Rent Roll'!$E$8,'Rent Roll'!$C$8*'Rent Roll'!$D$8,'Rent Roll'!$C$8*Assumptions!$C$6*(1+Assumptions!$C$7)^(L$4-1)*('Rent Roll'!$F$8+(1-'Rent Roll'!$F$8)*IF(L$4='Rent Roll'!$E$8+1,MAX(0,12-ROUND('Rent Roll'!$G$8,0))/12,1)))</f>
        <v>2640000</v>
      </c>
      <c r="M18" s="0" t="n">
        <f aca="false">IF(M$4&lt;='Rent Roll'!$E$8,'Rent Roll'!$C$8*'Rent Roll'!$D$8,'Rent Roll'!$C$8*Assumptions!$C$6*(1+Assumptions!$C$7)^(M$4-1)*('Rent Roll'!$F$8+(1-'Rent Roll'!$F$8)*IF(M$4='Rent Roll'!$E$8+1,MAX(0,12-ROUND('Rent Roll'!$G$8,0))/12,1)))</f>
        <v>2870861.82725774</v>
      </c>
      <c r="N18" s="0" t="n">
        <f aca="false">IF(N$4&lt;='Rent Roll'!$E$8,'Rent Roll'!$C$8*'Rent Roll'!$D$8,'Rent Roll'!$C$8*Assumptions!$C$6*(1+Assumptions!$C$7)^(N$4-1)*('Rent Roll'!$F$8+(1-'Rent Roll'!$F$8)*IF(N$4='Rent Roll'!$E$8+1,MAX(0,12-ROUND('Rent Roll'!$G$8,0))/12,1)))</f>
        <v>3621702.61284823</v>
      </c>
      <c r="O18" s="0" t="n">
        <f aca="false">IF(O$4&lt;='Rent Roll'!$E$8,'Rent Roll'!$C$8*'Rent Roll'!$D$8,'Rent Roll'!$C$8*Assumptions!$C$6*(1+Assumptions!$C$7)^(O$4-1)*('Rent Roll'!$F$8+(1-'Rent Roll'!$F$8)*IF(O$4='Rent Roll'!$E$8+1,MAX(0,12-ROUND('Rent Roll'!$G$8,0))/12,1)))</f>
        <v>3712245.17816943</v>
      </c>
    </row>
    <row r="19" customFormat="false" ht="15" hidden="false" customHeight="false" outlineLevel="0" collapsed="false">
      <c r="C19" s="0" t="s">
        <v>38</v>
      </c>
      <c r="D19" s="0" t="n">
        <v>0</v>
      </c>
      <c r="E19" s="0" t="n">
        <f aca="false">IF(E$4='Rent Roll'!$E$8+1,-'Rent Roll'!$C$8*'Rent Roll'!$H$8*(1-'Rent Roll'!$F$8*0.5),0)</f>
        <v>0</v>
      </c>
      <c r="F19" s="0" t="n">
        <f aca="false">IF(F$4='Rent Roll'!$E$8+1,-'Rent Roll'!$C$8*'Rent Roll'!$H$8*(1-'Rent Roll'!$F$8*0.5),0)</f>
        <v>0</v>
      </c>
      <c r="G19" s="0" t="n">
        <f aca="false">IF(G$4='Rent Roll'!$E$8+1,-'Rent Roll'!$C$8*'Rent Roll'!$H$8*(1-'Rent Roll'!$F$8*0.5),0)</f>
        <v>0</v>
      </c>
      <c r="H19" s="0" t="n">
        <f aca="false">IF(H$4='Rent Roll'!$E$8+1,-'Rent Roll'!$C$8*'Rent Roll'!$H$8*(1-'Rent Roll'!$F$8*0.5),0)</f>
        <v>0</v>
      </c>
      <c r="I19" s="0" t="n">
        <f aca="false">IF(I$4='Rent Roll'!$E$8+1,-'Rent Roll'!$C$8*'Rent Roll'!$H$8*(1-'Rent Roll'!$F$8*0.5),0)</f>
        <v>0</v>
      </c>
      <c r="J19" s="0" t="n">
        <f aca="false">IF(J$4='Rent Roll'!$E$8+1,-'Rent Roll'!$C$8*'Rent Roll'!$H$8*(1-'Rent Roll'!$F$8*0.5),0)</f>
        <v>0</v>
      </c>
      <c r="K19" s="0" t="n">
        <f aca="false">IF(K$4='Rent Roll'!$E$8+1,-'Rent Roll'!$C$8*'Rent Roll'!$H$8*(1-'Rent Roll'!$F$8*0.5),0)</f>
        <v>0</v>
      </c>
      <c r="L19" s="0" t="n">
        <f aca="false">IF(L$4='Rent Roll'!$E$8+1,-'Rent Roll'!$C$8*'Rent Roll'!$H$8*(1-'Rent Roll'!$F$8*0.5),0)</f>
        <v>0</v>
      </c>
      <c r="M19" s="0" t="n">
        <f aca="false">IF(M$4='Rent Roll'!$E$8+1,-'Rent Roll'!$C$8*'Rent Roll'!$H$8*(1-'Rent Roll'!$F$8*0.5),0)</f>
        <v>-1125000</v>
      </c>
      <c r="N19" s="0" t="n">
        <f aca="false">IF(N$4='Rent Roll'!$E$8+1,-'Rent Roll'!$C$8*'Rent Roll'!$H$8*(1-'Rent Roll'!$F$8*0.5),0)</f>
        <v>0</v>
      </c>
      <c r="O19" s="0" t="n">
        <f aca="false">IF(O$4='Rent Roll'!$E$8+1,-'Rent Roll'!$C$8*'Rent Roll'!$H$8*(1-'Rent Roll'!$F$8*0.5),0)</f>
        <v>0</v>
      </c>
    </row>
    <row r="20" customFormat="false" ht="15" hidden="false" customHeight="false" outlineLevel="0" collapsed="false">
      <c r="C20" s="0" t="s">
        <v>39</v>
      </c>
      <c r="D20" s="0" t="n">
        <v>0</v>
      </c>
      <c r="E20" s="0" t="n">
        <f aca="false">IF(E$4='Rent Roll'!$E$8+1,-'Rent Roll'!$C$8*Assumptions!$C$6*(1+Assumptions!$C$7)^(E$4-1)/12*'Rent Roll'!$I$8,0)</f>
        <v>0</v>
      </c>
      <c r="F20" s="0" t="n">
        <f aca="false">IF(F$4='Rent Roll'!$E$8+1,-'Rent Roll'!$C$8*Assumptions!$C$6*(1+Assumptions!$C$7)^(F$4-1)/12*'Rent Roll'!$I$8,0)</f>
        <v>0</v>
      </c>
      <c r="G20" s="0" t="n">
        <f aca="false">IF(G$4='Rent Roll'!$E$8+1,-'Rent Roll'!$C$8*Assumptions!$C$6*(1+Assumptions!$C$7)^(G$4-1)/12*'Rent Roll'!$I$8,0)</f>
        <v>0</v>
      </c>
      <c r="H20" s="0" t="n">
        <f aca="false">IF(H$4='Rent Roll'!$E$8+1,-'Rent Roll'!$C$8*Assumptions!$C$6*(1+Assumptions!$C$7)^(H$4-1)/12*'Rent Roll'!$I$8,0)</f>
        <v>0</v>
      </c>
      <c r="I20" s="0" t="n">
        <f aca="false">IF(I$4='Rent Roll'!$E$8+1,-'Rent Roll'!$C$8*Assumptions!$C$6*(1+Assumptions!$C$7)^(I$4-1)/12*'Rent Roll'!$I$8,0)</f>
        <v>0</v>
      </c>
      <c r="J20" s="0" t="n">
        <f aca="false">IF(J$4='Rent Roll'!$E$8+1,-'Rent Roll'!$C$8*Assumptions!$C$6*(1+Assumptions!$C$7)^(J$4-1)/12*'Rent Roll'!$I$8,0)</f>
        <v>0</v>
      </c>
      <c r="K20" s="0" t="n">
        <f aca="false">IF(K$4='Rent Roll'!$E$8+1,-'Rent Roll'!$C$8*Assumptions!$C$6*(1+Assumptions!$C$7)^(K$4-1)/12*'Rent Roll'!$I$8,0)</f>
        <v>0</v>
      </c>
      <c r="L20" s="0" t="n">
        <f aca="false">IF(L$4='Rent Roll'!$E$8+1,-'Rent Roll'!$C$8*Assumptions!$C$6*(1+Assumptions!$C$7)^(L$4-1)/12*'Rent Roll'!$I$8,0)</f>
        <v>0</v>
      </c>
      <c r="M20" s="0" t="n">
        <f aca="false">IF(M$4='Rent Roll'!$E$8+1,-'Rent Roll'!$C$8*Assumptions!$C$6*(1+Assumptions!$C$7)^(M$4-1)/12*'Rent Roll'!$I$8,0)</f>
        <v>-588894.73379646</v>
      </c>
      <c r="N20" s="0" t="n">
        <f aca="false">IF(N$4='Rent Roll'!$E$8+1,-'Rent Roll'!$C$8*Assumptions!$C$6*(1+Assumptions!$C$7)^(N$4-1)/12*'Rent Roll'!$I$8,0)</f>
        <v>0</v>
      </c>
      <c r="O20" s="0" t="n">
        <f aca="false">IF(O$4='Rent Roll'!$E$8+1,-'Rent Roll'!$C$8*Assumptions!$C$6*(1+Assumptions!$C$7)^(O$4-1)/12*'Rent Roll'!$I$8,0)</f>
        <v>0</v>
      </c>
    </row>
    <row r="22" customFormat="false" ht="15" hidden="false" customHeight="false" outlineLevel="0" collapsed="false">
      <c r="B22" s="0" t="str">
        <f aca="false">'Rent Roll'!B9</f>
        <v>Quill &amp; Co</v>
      </c>
      <c r="C22" s="0" t="s">
        <v>37</v>
      </c>
      <c r="D22" s="0" t="n">
        <v>0</v>
      </c>
      <c r="E22" s="0" t="n">
        <f aca="false">IF(E$4&lt;='Rent Roll'!$E$9,'Rent Roll'!$C$9*'Rent Roll'!$D$9,'Rent Roll'!$C$9*Assumptions!$C$6*(1+Assumptions!$C$7)^(E$4-1)*('Rent Roll'!$F$9+(1-'Rent Roll'!$F$9)*IF(E$4='Rent Roll'!$E$9+1,MAX(0,12-ROUND('Rent Roll'!$G$9,0))/12,1)))</f>
        <v>703000</v>
      </c>
      <c r="F22" s="0" t="n">
        <f aca="false">IF(F$4&lt;='Rent Roll'!$E$9,'Rent Roll'!$C$9*'Rent Roll'!$D$9,'Rent Roll'!$C$9*Assumptions!$C$6*(1+Assumptions!$C$7)^(F$4-1)*('Rent Roll'!$F$9+(1-'Rent Roll'!$F$9)*IF(F$4='Rent Roll'!$E$9+1,MAX(0,12-ROUND('Rent Roll'!$G$9,0))/12,1)))</f>
        <v>703000</v>
      </c>
      <c r="G22" s="0" t="n">
        <f aca="false">IF(G$4&lt;='Rent Roll'!$E$9,'Rent Roll'!$C$9*'Rent Roll'!$D$9,'Rent Roll'!$C$9*Assumptions!$C$6*(1+Assumptions!$C$7)^(G$4-1)*('Rent Roll'!$F$9+(1-'Rent Roll'!$F$9)*IF(G$4='Rent Roll'!$E$9+1,MAX(0,12-ROUND('Rent Roll'!$G$9,0))/12,1)))</f>
        <v>703000</v>
      </c>
      <c r="H22" s="0" t="n">
        <f aca="false">IF(H$4&lt;='Rent Roll'!$E$9,'Rent Roll'!$C$9*'Rent Roll'!$D$9,'Rent Roll'!$C$9*Assumptions!$C$6*(1+Assumptions!$C$7)^(H$4-1)*('Rent Roll'!$F$9+(1-'Rent Roll'!$F$9)*IF(H$4='Rent Roll'!$E$9+1,MAX(0,12-ROUND('Rent Roll'!$G$9,0))/12,1)))</f>
        <v>703000</v>
      </c>
      <c r="I22" s="0" t="n">
        <f aca="false">IF(I$4&lt;='Rent Roll'!$E$9,'Rent Roll'!$C$9*'Rent Roll'!$D$9,'Rent Roll'!$C$9*Assumptions!$C$6*(1+Assumptions!$C$7)^(I$4-1)*('Rent Roll'!$F$9+(1-'Rent Roll'!$F$9)*IF(I$4='Rent Roll'!$E$9+1,MAX(0,12-ROUND('Rent Roll'!$G$9,0))/12,1)))</f>
        <v>703000</v>
      </c>
      <c r="J22" s="0" t="n">
        <f aca="false">IF(J$4&lt;='Rent Roll'!$E$9,'Rent Roll'!$C$9*'Rent Roll'!$D$9,'Rent Roll'!$C$9*Assumptions!$C$6*(1+Assumptions!$C$7)^(J$4-1)*('Rent Roll'!$F$9+(1-'Rent Roll'!$F$9)*IF(J$4='Rent Roll'!$E$9+1,MAX(0,12-ROUND('Rent Roll'!$G$9,0))/12,1)))</f>
        <v>703000</v>
      </c>
      <c r="K22" s="0" t="n">
        <f aca="false">IF(K$4&lt;='Rent Roll'!$E$9,'Rent Roll'!$C$9*'Rent Roll'!$D$9,'Rent Roll'!$C$9*Assumptions!$C$6*(1+Assumptions!$C$7)^(K$4-1)*('Rent Roll'!$F$9+(1-'Rent Roll'!$F$9)*IF(K$4='Rent Roll'!$E$9+1,MAX(0,12-ROUND('Rent Roll'!$G$9,0))/12,1)))</f>
        <v>638991.073435302</v>
      </c>
      <c r="L22" s="0" t="n">
        <f aca="false">IF(L$4&lt;='Rent Roll'!$E$9,'Rent Roll'!$C$9*'Rent Roll'!$D$9,'Rent Roll'!$C$9*Assumptions!$C$6*(1+Assumptions!$C$7)^(L$4-1)*('Rent Roll'!$F$9+(1-'Rent Roll'!$F$9)*IF(L$4='Rent Roll'!$E$9+1,MAX(0,12-ROUND('Rent Roll'!$G$9,0))/12,1)))</f>
        <v>818707.312838981</v>
      </c>
      <c r="M22" s="0" t="n">
        <f aca="false">IF(M$4&lt;='Rent Roll'!$E$9,'Rent Roll'!$C$9*'Rent Roll'!$D$9,'Rent Roll'!$C$9*Assumptions!$C$6*(1+Assumptions!$C$7)^(M$4-1)*('Rent Roll'!$F$9+(1-'Rent Roll'!$F$9)*IF(M$4='Rent Roll'!$E$9+1,MAX(0,12-ROUND('Rent Roll'!$G$9,0))/12,1)))</f>
        <v>839174.995659956</v>
      </c>
      <c r="N22" s="0" t="n">
        <f aca="false">IF(N$4&lt;='Rent Roll'!$E$9,'Rent Roll'!$C$9*'Rent Roll'!$D$9,'Rent Roll'!$C$9*Assumptions!$C$6*(1+Assumptions!$C$7)^(N$4-1)*('Rent Roll'!$F$9+(1-'Rent Roll'!$F$9)*IF(N$4='Rent Roll'!$E$9+1,MAX(0,12-ROUND('Rent Roll'!$G$9,0))/12,1)))</f>
        <v>860154.370551454</v>
      </c>
      <c r="O22" s="0" t="n">
        <f aca="false">IF(O$4&lt;='Rent Roll'!$E$9,'Rent Roll'!$C$9*'Rent Roll'!$D$9,'Rent Roll'!$C$9*Assumptions!$C$6*(1+Assumptions!$C$7)^(O$4-1)*('Rent Roll'!$F$9+(1-'Rent Roll'!$F$9)*IF(O$4='Rent Roll'!$E$9+1,MAX(0,12-ROUND('Rent Roll'!$G$9,0))/12,1)))</f>
        <v>881658.229815241</v>
      </c>
    </row>
    <row r="23" customFormat="false" ht="15" hidden="false" customHeight="false" outlineLevel="0" collapsed="false">
      <c r="C23" s="0" t="s">
        <v>38</v>
      </c>
      <c r="D23" s="0" t="n">
        <v>0</v>
      </c>
      <c r="E23" s="0" t="n">
        <f aca="false">IF(E$4='Rent Roll'!$E$9+1,-'Rent Roll'!$C$9*'Rent Roll'!$H$9*(1-'Rent Roll'!$F$9*0.5),0)</f>
        <v>0</v>
      </c>
      <c r="F23" s="0" t="n">
        <f aca="false">IF(F$4='Rent Roll'!$E$9+1,-'Rent Roll'!$C$9*'Rent Roll'!$H$9*(1-'Rent Roll'!$F$9*0.5),0)</f>
        <v>0</v>
      </c>
      <c r="G23" s="0" t="n">
        <f aca="false">IF(G$4='Rent Roll'!$E$9+1,-'Rent Roll'!$C$9*'Rent Roll'!$H$9*(1-'Rent Roll'!$F$9*0.5),0)</f>
        <v>0</v>
      </c>
      <c r="H23" s="0" t="n">
        <f aca="false">IF(H$4='Rent Roll'!$E$9+1,-'Rent Roll'!$C$9*'Rent Roll'!$H$9*(1-'Rent Roll'!$F$9*0.5),0)</f>
        <v>0</v>
      </c>
      <c r="I23" s="0" t="n">
        <f aca="false">IF(I$4='Rent Roll'!$E$9+1,-'Rent Roll'!$C$9*'Rent Roll'!$H$9*(1-'Rent Roll'!$F$9*0.5),0)</f>
        <v>0</v>
      </c>
      <c r="J23" s="0" t="n">
        <f aca="false">IF(J$4='Rent Roll'!$E$9+1,-'Rent Roll'!$C$9*'Rent Roll'!$H$9*(1-'Rent Roll'!$F$9*0.5),0)</f>
        <v>0</v>
      </c>
      <c r="K23" s="0" t="n">
        <f aca="false">IF(K$4='Rent Roll'!$E$9+1,-'Rent Roll'!$C$9*'Rent Roll'!$H$9*(1-'Rent Roll'!$F$9*0.5),0)</f>
        <v>-232750</v>
      </c>
      <c r="L23" s="0" t="n">
        <f aca="false">IF(L$4='Rent Roll'!$E$9+1,-'Rent Roll'!$C$9*'Rent Roll'!$H$9*(1-'Rent Roll'!$F$9*0.5),0)</f>
        <v>0</v>
      </c>
      <c r="M23" s="0" t="n">
        <f aca="false">IF(M$4='Rent Roll'!$E$9+1,-'Rent Roll'!$C$9*'Rent Roll'!$H$9*(1-'Rent Roll'!$F$9*0.5),0)</f>
        <v>0</v>
      </c>
      <c r="N23" s="0" t="n">
        <f aca="false">IF(N$4='Rent Roll'!$E$9+1,-'Rent Roll'!$C$9*'Rent Roll'!$H$9*(1-'Rent Roll'!$F$9*0.5),0)</f>
        <v>0</v>
      </c>
      <c r="O23" s="0" t="n">
        <f aca="false">IF(O$4='Rent Roll'!$E$9+1,-'Rent Roll'!$C$9*'Rent Roll'!$H$9*(1-'Rent Roll'!$F$9*0.5),0)</f>
        <v>0</v>
      </c>
    </row>
    <row r="24" customFormat="false" ht="15" hidden="false" customHeight="false" outlineLevel="0" collapsed="false">
      <c r="C24" s="0" t="s">
        <v>39</v>
      </c>
      <c r="D24" s="0" t="n">
        <v>0</v>
      </c>
      <c r="E24" s="0" t="n">
        <f aca="false">IF(E$4='Rent Roll'!$E$9+1,-'Rent Roll'!$C$9*Assumptions!$C$6*(1+Assumptions!$C$7)^(E$4-1)/12*'Rent Roll'!$I$9,0)</f>
        <v>0</v>
      </c>
      <c r="F24" s="0" t="n">
        <f aca="false">IF(F$4='Rent Roll'!$E$9+1,-'Rent Roll'!$C$9*Assumptions!$C$6*(1+Assumptions!$C$7)^(F$4-1)/12*'Rent Roll'!$I$9,0)</f>
        <v>0</v>
      </c>
      <c r="G24" s="0" t="n">
        <f aca="false">IF(G$4='Rent Roll'!$E$9+1,-'Rent Roll'!$C$9*Assumptions!$C$6*(1+Assumptions!$C$7)^(G$4-1)/12*'Rent Roll'!$I$9,0)</f>
        <v>0</v>
      </c>
      <c r="H24" s="0" t="n">
        <f aca="false">IF(H$4='Rent Roll'!$E$9+1,-'Rent Roll'!$C$9*Assumptions!$C$6*(1+Assumptions!$C$7)^(H$4-1)/12*'Rent Roll'!$I$9,0)</f>
        <v>0</v>
      </c>
      <c r="I24" s="0" t="n">
        <f aca="false">IF(I$4='Rent Roll'!$E$9+1,-'Rent Roll'!$C$9*Assumptions!$C$6*(1+Assumptions!$C$7)^(I$4-1)/12*'Rent Roll'!$I$9,0)</f>
        <v>0</v>
      </c>
      <c r="J24" s="0" t="n">
        <f aca="false">IF(J$4='Rent Roll'!$E$9+1,-'Rent Roll'!$C$9*Assumptions!$C$6*(1+Assumptions!$C$7)^(J$4-1)/12*'Rent Roll'!$I$9,0)</f>
        <v>0</v>
      </c>
      <c r="K24" s="0" t="n">
        <f aca="false">IF(K$4='Rent Roll'!$E$9+1,-'Rent Roll'!$C$9*Assumptions!$C$6*(1+Assumptions!$C$7)^(K$4-1)/12*'Rent Roll'!$I$9,0)</f>
        <v>-99842.355224266</v>
      </c>
      <c r="L24" s="0" t="n">
        <f aca="false">IF(L$4='Rent Roll'!$E$9+1,-'Rent Roll'!$C$9*Assumptions!$C$6*(1+Assumptions!$C$7)^(L$4-1)/12*'Rent Roll'!$I$9,0)</f>
        <v>0</v>
      </c>
      <c r="M24" s="0" t="n">
        <f aca="false">IF(M$4='Rent Roll'!$E$9+1,-'Rent Roll'!$C$9*Assumptions!$C$6*(1+Assumptions!$C$7)^(M$4-1)/12*'Rent Roll'!$I$9,0)</f>
        <v>0</v>
      </c>
      <c r="N24" s="0" t="n">
        <f aca="false">IF(N$4='Rent Roll'!$E$9+1,-'Rent Roll'!$C$9*Assumptions!$C$6*(1+Assumptions!$C$7)^(N$4-1)/12*'Rent Roll'!$I$9,0)</f>
        <v>0</v>
      </c>
      <c r="O24" s="0" t="n">
        <f aca="false">IF(O$4='Rent Roll'!$E$9+1,-'Rent Roll'!$C$9*Assumptions!$C$6*(1+Assumptions!$C$7)^(O$4-1)/12*'Rent Roll'!$I$9,0)</f>
        <v>0</v>
      </c>
    </row>
    <row r="26" customFormat="false" ht="15" hidden="false" customHeight="false" outlineLevel="0" collapsed="false">
      <c r="B26" s="0" t="str">
        <f aca="false">'Rent Roll'!B10</f>
        <v>Tessera Labs</v>
      </c>
      <c r="C26" s="0" t="s">
        <v>37</v>
      </c>
      <c r="D26" s="0" t="n">
        <v>0</v>
      </c>
      <c r="E26" s="0" t="n">
        <f aca="false">IF(E$4&lt;='Rent Roll'!$E$10,'Rent Roll'!$C$10*'Rent Roll'!$D$10,'Rent Roll'!$C$10*Assumptions!$C$6*(1+Assumptions!$C$7)^(E$4-1)*('Rent Roll'!$F$10+(1-'Rent Roll'!$F$10)*IF(E$4='Rent Roll'!$E$10+1,MAX(0,12-ROUND('Rent Roll'!$G$10,0))/12,1)))</f>
        <v>854000</v>
      </c>
      <c r="F26" s="0" t="n">
        <f aca="false">IF(F$4&lt;='Rent Roll'!$E$10,'Rent Roll'!$C$10*'Rent Roll'!$D$10,'Rent Roll'!$C$10*Assumptions!$C$6*(1+Assumptions!$C$7)^(F$4-1)*('Rent Roll'!$F$10+(1-'Rent Roll'!$F$10)*IF(F$4='Rent Roll'!$E$10+1,MAX(0,12-ROUND('Rent Roll'!$G$10,0))/12,1)))</f>
        <v>854000</v>
      </c>
      <c r="G26" s="0" t="n">
        <f aca="false">IF(G$4&lt;='Rent Roll'!$E$10,'Rent Roll'!$C$10*'Rent Roll'!$D$10,'Rent Roll'!$C$10*Assumptions!$C$6*(1+Assumptions!$C$7)^(G$4-1)*('Rent Roll'!$F$10+(1-'Rent Roll'!$F$10)*IF(G$4='Rent Roll'!$E$10+1,MAX(0,12-ROUND('Rent Roll'!$G$10,0))/12,1)))</f>
        <v>854000</v>
      </c>
      <c r="H26" s="0" t="n">
        <f aca="false">IF(H$4&lt;='Rent Roll'!$E$10,'Rent Roll'!$C$10*'Rent Roll'!$D$10,'Rent Roll'!$C$10*Assumptions!$C$6*(1+Assumptions!$C$7)^(H$4-1)*('Rent Roll'!$F$10+(1-'Rent Roll'!$F$10)*IF(H$4='Rent Roll'!$E$10+1,MAX(0,12-ROUND('Rent Roll'!$G$10,0))/12,1)))</f>
        <v>854000</v>
      </c>
      <c r="I26" s="0" t="n">
        <f aca="false">IF(I$4&lt;='Rent Roll'!$E$10,'Rent Roll'!$C$10*'Rent Roll'!$D$10,'Rent Roll'!$C$10*Assumptions!$C$6*(1+Assumptions!$C$7)^(I$4-1)*('Rent Roll'!$F$10+(1-'Rent Roll'!$F$10)*IF(I$4='Rent Roll'!$E$10+1,MAX(0,12-ROUND('Rent Roll'!$G$10,0))/12,1)))</f>
        <v>742245.180639648</v>
      </c>
      <c r="J26" s="0" t="n">
        <f aca="false">IF(J$4&lt;='Rent Roll'!$E$10,'Rent Roll'!$C$10*'Rent Roll'!$D$10,'Rent Roll'!$C$10*Assumptions!$C$6*(1+Assumptions!$C$7)^(J$4-1)*('Rent Roll'!$F$10+(1-'Rent Roll'!$F$10)*IF(J$4='Rent Roll'!$E$10+1,MAX(0,12-ROUND('Rent Roll'!$G$10,0))/12,1)))</f>
        <v>1148379.33608398</v>
      </c>
      <c r="K26" s="0" t="n">
        <f aca="false">IF(K$4&lt;='Rent Roll'!$E$10,'Rent Roll'!$C$10*'Rent Roll'!$D$10,'Rent Roll'!$C$10*Assumptions!$C$6*(1+Assumptions!$C$7)^(K$4-1)*('Rent Roll'!$F$10+(1-'Rent Roll'!$F$10)*IF(K$4='Rent Roll'!$E$10+1,MAX(0,12-ROUND('Rent Roll'!$G$10,0))/12,1)))</f>
        <v>1177088.81948608</v>
      </c>
      <c r="L26" s="0" t="n">
        <f aca="false">IF(L$4&lt;='Rent Roll'!$E$10,'Rent Roll'!$C$10*'Rent Roll'!$D$10,'Rent Roll'!$C$10*Assumptions!$C$6*(1+Assumptions!$C$7)^(L$4-1)*('Rent Roll'!$F$10+(1-'Rent Roll'!$F$10)*IF(L$4='Rent Roll'!$E$10+1,MAX(0,12-ROUND('Rent Roll'!$G$10,0))/12,1)))</f>
        <v>1206516.03997324</v>
      </c>
      <c r="M26" s="0" t="n">
        <f aca="false">IF(M$4&lt;='Rent Roll'!$E$10,'Rent Roll'!$C$10*'Rent Roll'!$D$10,'Rent Roll'!$C$10*Assumptions!$C$6*(1+Assumptions!$C$7)^(M$4-1)*('Rent Roll'!$F$10+(1-'Rent Roll'!$F$10)*IF(M$4='Rent Roll'!$E$10+1,MAX(0,12-ROUND('Rent Roll'!$G$10,0))/12,1)))</f>
        <v>1236678.94097257</v>
      </c>
      <c r="N26" s="0" t="n">
        <f aca="false">IF(N$4&lt;='Rent Roll'!$E$10,'Rent Roll'!$C$10*'Rent Roll'!$D$10,'Rent Roll'!$C$10*Assumptions!$C$6*(1+Assumptions!$C$7)^(N$4-1)*('Rent Roll'!$F$10+(1-'Rent Roll'!$F$10)*IF(N$4='Rent Roll'!$E$10+1,MAX(0,12-ROUND('Rent Roll'!$G$10,0))/12,1)))</f>
        <v>1267595.91449688</v>
      </c>
      <c r="O26" s="0" t="n">
        <f aca="false">IF(O$4&lt;='Rent Roll'!$E$10,'Rent Roll'!$C$10*'Rent Roll'!$D$10,'Rent Roll'!$C$10*Assumptions!$C$6*(1+Assumptions!$C$7)^(O$4-1)*('Rent Roll'!$F$10+(1-'Rent Roll'!$F$10)*IF(O$4='Rent Roll'!$E$10+1,MAX(0,12-ROUND('Rent Roll'!$G$10,0))/12,1)))</f>
        <v>1299285.8123593</v>
      </c>
    </row>
    <row r="27" customFormat="false" ht="15" hidden="false" customHeight="false" outlineLevel="0" collapsed="false">
      <c r="C27" s="0" t="s">
        <v>38</v>
      </c>
      <c r="D27" s="0" t="n">
        <v>0</v>
      </c>
      <c r="E27" s="0" t="n">
        <f aca="false">IF(E$4='Rent Roll'!$E$10+1,-'Rent Roll'!$C$10*'Rent Roll'!$H$10*(1-'Rent Roll'!$F$10*0.5),0)</f>
        <v>0</v>
      </c>
      <c r="F27" s="0" t="n">
        <f aca="false">IF(F$4='Rent Roll'!$E$10+1,-'Rent Roll'!$C$10*'Rent Roll'!$H$10*(1-'Rent Roll'!$F$10*0.5),0)</f>
        <v>0</v>
      </c>
      <c r="G27" s="0" t="n">
        <f aca="false">IF(G$4='Rent Roll'!$E$10+1,-'Rent Roll'!$C$10*'Rent Roll'!$H$10*(1-'Rent Roll'!$F$10*0.5),0)</f>
        <v>0</v>
      </c>
      <c r="H27" s="0" t="n">
        <f aca="false">IF(H$4='Rent Roll'!$E$10+1,-'Rent Roll'!$C$10*'Rent Roll'!$H$10*(1-'Rent Roll'!$F$10*0.5),0)</f>
        <v>0</v>
      </c>
      <c r="I27" s="0" t="n">
        <f aca="false">IF(I$4='Rent Roll'!$E$10+1,-'Rent Roll'!$C$10*'Rent Roll'!$H$10*(1-'Rent Roll'!$F$10*0.5),0)</f>
        <v>-507500</v>
      </c>
      <c r="J27" s="0" t="n">
        <f aca="false">IF(J$4='Rent Roll'!$E$10+1,-'Rent Roll'!$C$10*'Rent Roll'!$H$10*(1-'Rent Roll'!$F$10*0.5),0)</f>
        <v>0</v>
      </c>
      <c r="K27" s="0" t="n">
        <f aca="false">IF(K$4='Rent Roll'!$E$10+1,-'Rent Roll'!$C$10*'Rent Roll'!$H$10*(1-'Rent Roll'!$F$10*0.5),0)</f>
        <v>0</v>
      </c>
      <c r="L27" s="0" t="n">
        <f aca="false">IF(L$4='Rent Roll'!$E$10+1,-'Rent Roll'!$C$10*'Rent Roll'!$H$10*(1-'Rent Roll'!$F$10*0.5),0)</f>
        <v>0</v>
      </c>
      <c r="M27" s="0" t="n">
        <f aca="false">IF(M$4='Rent Roll'!$E$10+1,-'Rent Roll'!$C$10*'Rent Roll'!$H$10*(1-'Rent Roll'!$F$10*0.5),0)</f>
        <v>0</v>
      </c>
      <c r="N27" s="0" t="n">
        <f aca="false">IF(N$4='Rent Roll'!$E$10+1,-'Rent Roll'!$C$10*'Rent Roll'!$H$10*(1-'Rent Roll'!$F$10*0.5),0)</f>
        <v>0</v>
      </c>
      <c r="O27" s="0" t="n">
        <f aca="false">IF(O$4='Rent Roll'!$E$10+1,-'Rent Roll'!$C$10*'Rent Roll'!$H$10*(1-'Rent Roll'!$F$10*0.5),0)</f>
        <v>0</v>
      </c>
    </row>
    <row r="28" customFormat="false" ht="15" hidden="false" customHeight="false" outlineLevel="0" collapsed="false">
      <c r="C28" s="0" t="s">
        <v>39</v>
      </c>
      <c r="D28" s="0" t="n">
        <v>0</v>
      </c>
      <c r="E28" s="0" t="n">
        <f aca="false">IF(E$4='Rent Roll'!$E$10+1,-'Rent Roll'!$C$10*Assumptions!$C$6*(1+Assumptions!$C$7)^(E$4-1)/12*'Rent Roll'!$I$10,0)</f>
        <v>0</v>
      </c>
      <c r="F28" s="0" t="n">
        <f aca="false">IF(F$4='Rent Roll'!$E$10+1,-'Rent Roll'!$C$10*Assumptions!$C$6*(1+Assumptions!$C$7)^(F$4-1)/12*'Rent Roll'!$I$10,0)</f>
        <v>0</v>
      </c>
      <c r="G28" s="0" t="n">
        <f aca="false">IF(G$4='Rent Roll'!$E$10+1,-'Rent Roll'!$C$10*Assumptions!$C$6*(1+Assumptions!$C$7)^(G$4-1)/12*'Rent Roll'!$I$10,0)</f>
        <v>0</v>
      </c>
      <c r="H28" s="0" t="n">
        <f aca="false">IF(H$4='Rent Roll'!$E$10+1,-'Rent Roll'!$C$10*Assumptions!$C$6*(1+Assumptions!$C$7)^(H$4-1)/12*'Rent Roll'!$I$10,0)</f>
        <v>0</v>
      </c>
      <c r="I28" s="0" t="n">
        <f aca="false">IF(I$4='Rent Roll'!$E$10+1,-'Rent Roll'!$C$10*Assumptions!$C$6*(1+Assumptions!$C$7)^(I$4-1)/12*'Rent Roll'!$I$10,0)</f>
        <v>-186728.347330729</v>
      </c>
      <c r="J28" s="0" t="n">
        <f aca="false">IF(J$4='Rent Roll'!$E$10+1,-'Rent Roll'!$C$10*Assumptions!$C$6*(1+Assumptions!$C$7)^(J$4-1)/12*'Rent Roll'!$I$10,0)</f>
        <v>0</v>
      </c>
      <c r="K28" s="0" t="n">
        <f aca="false">IF(K$4='Rent Roll'!$E$10+1,-'Rent Roll'!$C$10*Assumptions!$C$6*(1+Assumptions!$C$7)^(K$4-1)/12*'Rent Roll'!$I$10,0)</f>
        <v>0</v>
      </c>
      <c r="L28" s="0" t="n">
        <f aca="false">IF(L$4='Rent Roll'!$E$10+1,-'Rent Roll'!$C$10*Assumptions!$C$6*(1+Assumptions!$C$7)^(L$4-1)/12*'Rent Roll'!$I$10,0)</f>
        <v>0</v>
      </c>
      <c r="M28" s="0" t="n">
        <f aca="false">IF(M$4='Rent Roll'!$E$10+1,-'Rent Roll'!$C$10*Assumptions!$C$6*(1+Assumptions!$C$7)^(M$4-1)/12*'Rent Roll'!$I$10,0)</f>
        <v>0</v>
      </c>
      <c r="N28" s="0" t="n">
        <f aca="false">IF(N$4='Rent Roll'!$E$10+1,-'Rent Roll'!$C$10*Assumptions!$C$6*(1+Assumptions!$C$7)^(N$4-1)/12*'Rent Roll'!$I$10,0)</f>
        <v>0</v>
      </c>
      <c r="O28" s="0" t="n">
        <f aca="false">IF(O$4='Rent Roll'!$E$10+1,-'Rent Roll'!$C$10*Assumptions!$C$6*(1+Assumptions!$C$7)^(O$4-1)/12*'Rent Roll'!$I$10,0)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40</v>
      </c>
    </row>
    <row r="4" customFormat="false" ht="15" hidden="false" customHeight="false" outlineLevel="0" collapsed="false">
      <c r="B4" s="0" t="s">
        <v>36</v>
      </c>
      <c r="D4" s="0" t="n">
        <v>0</v>
      </c>
      <c r="E4" s="0" t="n">
        <v>1</v>
      </c>
      <c r="F4" s="0" t="n">
        <v>2</v>
      </c>
      <c r="G4" s="0" t="n">
        <v>3</v>
      </c>
      <c r="H4" s="0" t="n">
        <v>4</v>
      </c>
      <c r="I4" s="0" t="n">
        <v>5</v>
      </c>
      <c r="J4" s="0" t="n">
        <v>6</v>
      </c>
      <c r="K4" s="0" t="n">
        <v>7</v>
      </c>
      <c r="L4" s="0" t="n">
        <v>8</v>
      </c>
      <c r="M4" s="0" t="n">
        <v>9</v>
      </c>
      <c r="N4" s="0" t="n">
        <v>10</v>
      </c>
      <c r="O4" s="0" t="n">
        <v>11</v>
      </c>
    </row>
    <row r="6" customFormat="false" ht="15" hidden="false" customHeight="false" outlineLevel="0" collapsed="false">
      <c r="B6" s="0" t="s">
        <v>41</v>
      </c>
      <c r="D6" s="0" t="n">
        <f aca="false">'Tenant CF'!D6+'Tenant CF'!D10+'Tenant CF'!D14+'Tenant CF'!D18+'Tenant CF'!D22+'Tenant CF'!D26</f>
        <v>0</v>
      </c>
      <c r="E6" s="0" t="n">
        <f aca="false">'Tenant CF'!E6+'Tenant CF'!E10+'Tenant CF'!E14+'Tenant CF'!E18+'Tenant CF'!E22+'Tenant CF'!E26</f>
        <v>8803000</v>
      </c>
      <c r="F6" s="0" t="n">
        <f aca="false">'Tenant CF'!F6+'Tenant CF'!F10+'Tenant CF'!F14+'Tenant CF'!F18+'Tenant CF'!F22+'Tenant CF'!F26</f>
        <v>8803000</v>
      </c>
      <c r="G6" s="0" t="n">
        <f aca="false">'Tenant CF'!G6+'Tenant CF'!G10+'Tenant CF'!G14+'Tenant CF'!G18+'Tenant CF'!G22+'Tenant CF'!G26</f>
        <v>8435532.8125</v>
      </c>
      <c r="H6" s="0" t="n">
        <f aca="false">'Tenant CF'!H6+'Tenant CF'!H10+'Tenant CF'!H14+'Tenant CF'!H18+'Tenant CF'!H22+'Tenant CF'!H26</f>
        <v>8949902.125</v>
      </c>
      <c r="I6" s="0" t="n">
        <f aca="false">'Tenant CF'!I6+'Tenant CF'!I10+'Tenant CF'!I14+'Tenant CF'!I18+'Tenant CF'!I22+'Tenant CF'!I26</f>
        <v>9591566.90915527</v>
      </c>
      <c r="J6" s="0" t="n">
        <f aca="false">'Tenant CF'!J6+'Tenant CF'!J10+'Tenant CF'!J14+'Tenant CF'!J18+'Tenant CF'!J22+'Tenant CF'!J26</f>
        <v>10091779.2768793</v>
      </c>
      <c r="K6" s="0" t="n">
        <f aca="false">'Tenant CF'!K6+'Tenant CF'!K10+'Tenant CF'!K14+'Tenant CF'!K18+'Tenant CF'!K22+'Tenant CF'!K26</f>
        <v>10467640.6495825</v>
      </c>
      <c r="L6" s="0" t="n">
        <f aca="false">'Tenant CF'!L6+'Tenant CF'!L10+'Tenant CF'!L14+'Tenant CF'!L18+'Tenant CF'!L22+'Tenant CF'!L26</f>
        <v>10827073.1283898</v>
      </c>
      <c r="M6" s="0" t="n">
        <f aca="false">'Tenant CF'!M6+'Tenant CF'!M10+'Tenant CF'!M14+'Tenant CF'!M18+'Tenant CF'!M22+'Tenant CF'!M26</f>
        <v>11262611.7838573</v>
      </c>
      <c r="N6" s="0" t="n">
        <f aca="false">'Tenant CF'!N6+'Tenant CF'!N10+'Tenant CF'!N14+'Tenant CF'!N18+'Tenant CF'!N22+'Tenant CF'!N26</f>
        <v>12223246.3183628</v>
      </c>
      <c r="O6" s="0" t="n">
        <f aca="false">'Tenant CF'!O6+'Tenant CF'!O10+'Tenant CF'!O14+'Tenant CF'!O18+'Tenant CF'!O22+'Tenant CF'!O26</f>
        <v>12528827.4763218</v>
      </c>
    </row>
    <row r="7" customFormat="false" ht="15" hidden="false" customHeight="false" outlineLevel="0" collapsed="false">
      <c r="B7" s="0" t="s">
        <v>42</v>
      </c>
      <c r="D7" s="0" t="n">
        <f aca="false">-D6*Assumptions!$C$8</f>
        <v>-0</v>
      </c>
      <c r="E7" s="0" t="n">
        <f aca="false">-E6*Assumptions!$C$8</f>
        <v>-308105</v>
      </c>
      <c r="F7" s="0" t="n">
        <f aca="false">-F6*Assumptions!$C$8</f>
        <v>-308105</v>
      </c>
      <c r="G7" s="0" t="n">
        <f aca="false">-G6*Assumptions!$C$8</f>
        <v>-295243.6484375</v>
      </c>
      <c r="H7" s="0" t="n">
        <f aca="false">-H6*Assumptions!$C$8</f>
        <v>-313246.574375</v>
      </c>
      <c r="I7" s="0" t="n">
        <f aca="false">-I6*Assumptions!$C$8</f>
        <v>-335704.841820435</v>
      </c>
      <c r="J7" s="0" t="n">
        <f aca="false">-J6*Assumptions!$C$8</f>
        <v>-353212.274690774</v>
      </c>
      <c r="K7" s="0" t="n">
        <f aca="false">-K6*Assumptions!$C$8</f>
        <v>-366367.422735386</v>
      </c>
      <c r="L7" s="0" t="n">
        <f aca="false">-L6*Assumptions!$C$8</f>
        <v>-378947.559493643</v>
      </c>
      <c r="M7" s="0" t="n">
        <f aca="false">-M6*Assumptions!$C$8</f>
        <v>-394191.412435005</v>
      </c>
      <c r="N7" s="0" t="n">
        <f aca="false">-N6*Assumptions!$C$8</f>
        <v>-427813.621142697</v>
      </c>
      <c r="O7" s="0" t="n">
        <f aca="false">-O6*Assumptions!$C$8</f>
        <v>-438508.961671265</v>
      </c>
    </row>
    <row r="8" customFormat="false" ht="15" hidden="false" customHeight="false" outlineLevel="0" collapsed="false">
      <c r="B8" s="0" t="s">
        <v>43</v>
      </c>
      <c r="D8" s="0" t="n">
        <f aca="false">D6+D7</f>
        <v>0</v>
      </c>
      <c r="E8" s="0" t="n">
        <f aca="false">E6+E7</f>
        <v>8494895</v>
      </c>
      <c r="F8" s="0" t="n">
        <f aca="false">F6+F7</f>
        <v>8494895</v>
      </c>
      <c r="G8" s="0" t="n">
        <f aca="false">G6+G7</f>
        <v>8140289.1640625</v>
      </c>
      <c r="H8" s="0" t="n">
        <f aca="false">H6+H7</f>
        <v>8636655.550625</v>
      </c>
      <c r="I8" s="0" t="n">
        <f aca="false">I6+I7</f>
        <v>9255862.06733484</v>
      </c>
      <c r="J8" s="0" t="n">
        <f aca="false">J6+J7</f>
        <v>9738567.00218849</v>
      </c>
      <c r="K8" s="0" t="n">
        <f aca="false">K6+K7</f>
        <v>10101273.2268471</v>
      </c>
      <c r="L8" s="0" t="n">
        <f aca="false">L6+L7</f>
        <v>10448125.5688962</v>
      </c>
      <c r="M8" s="0" t="n">
        <f aca="false">M6+M7</f>
        <v>10868420.3714223</v>
      </c>
      <c r="N8" s="0" t="n">
        <f aca="false">N6+N7</f>
        <v>11795432.6972201</v>
      </c>
      <c r="O8" s="0" t="n">
        <f aca="false">O6+O7</f>
        <v>12090318.5146506</v>
      </c>
    </row>
    <row r="9" customFormat="false" ht="15" hidden="false" customHeight="false" outlineLevel="0" collapsed="false">
      <c r="B9" s="0" t="s">
        <v>44</v>
      </c>
      <c r="D9" s="0" t="n">
        <f aca="false">'Tenant CF'!D7+'Tenant CF'!D11+'Tenant CF'!D15+'Tenant CF'!D19+'Tenant CF'!D23+'Tenant CF'!D27+'Tenant CF'!D8+'Tenant CF'!D12+'Tenant CF'!D16+'Tenant CF'!D20+'Tenant CF'!D24+'Tenant CF'!D28</f>
        <v>0</v>
      </c>
      <c r="E9" s="0" t="n">
        <f aca="false">'Tenant CF'!E7+'Tenant CF'!E11+'Tenant CF'!E15+'Tenant CF'!E19+'Tenant CF'!E23+'Tenant CF'!E27+'Tenant CF'!E8+'Tenant CF'!E12+'Tenant CF'!E16+'Tenant CF'!E20+'Tenant CF'!E24+'Tenant CF'!E28</f>
        <v>0</v>
      </c>
      <c r="F9" s="0" t="n">
        <f aca="false">'Tenant CF'!F7+'Tenant CF'!F11+'Tenant CF'!F15+'Tenant CF'!F19+'Tenant CF'!F23+'Tenant CF'!F27+'Tenant CF'!F8+'Tenant CF'!F12+'Tenant CF'!F16+'Tenant CF'!F20+'Tenant CF'!F24+'Tenant CF'!F28</f>
        <v>0</v>
      </c>
      <c r="G9" s="0" t="n">
        <f aca="false">'Tenant CF'!G7+'Tenant CF'!G11+'Tenant CF'!G15+'Tenant CF'!G19+'Tenant CF'!G23+'Tenant CF'!G27+'Tenant CF'!G8+'Tenant CF'!G12+'Tenant CF'!G16+'Tenant CF'!G20+'Tenant CF'!G24+'Tenant CF'!G28</f>
        <v>-960638.671875</v>
      </c>
      <c r="H9" s="0" t="n">
        <f aca="false">'Tenant CF'!H7+'Tenant CF'!H11+'Tenant CF'!H15+'Tenant CF'!H19+'Tenant CF'!H23+'Tenant CF'!H27+'Tenant CF'!H8+'Tenant CF'!H12+'Tenant CF'!H16+'Tenant CF'!H20+'Tenant CF'!H24+'Tenant CF'!H28</f>
        <v>-1388397.70833333</v>
      </c>
      <c r="I9" s="0" t="n">
        <f aca="false">'Tenant CF'!I7+'Tenant CF'!I11+'Tenant CF'!I15+'Tenant CF'!I19+'Tenant CF'!I23+'Tenant CF'!I27+'Tenant CF'!I8+'Tenant CF'!I12+'Tenant CF'!I16+'Tenant CF'!I20+'Tenant CF'!I24+'Tenant CF'!I28</f>
        <v>-694228.347330729</v>
      </c>
      <c r="J9" s="0" t="n">
        <f aca="false">'Tenant CF'!J7+'Tenant CF'!J11+'Tenant CF'!J15+'Tenant CF'!J19+'Tenant CF'!J23+'Tenant CF'!J27+'Tenant CF'!J8+'Tenant CF'!J12+'Tenant CF'!J16+'Tenant CF'!J20+'Tenant CF'!J24+'Tenant CF'!J28</f>
        <v>-852930.42530721</v>
      </c>
      <c r="K9" s="0" t="n">
        <f aca="false">'Tenant CF'!K7+'Tenant CF'!K11+'Tenant CF'!K15+'Tenant CF'!K19+'Tenant CF'!K23+'Tenant CF'!K27+'Tenant CF'!K8+'Tenant CF'!K12+'Tenant CF'!K16+'Tenant CF'!K20+'Tenant CF'!K24+'Tenant CF'!K28</f>
        <v>-332592.355224266</v>
      </c>
      <c r="L9" s="0" t="n">
        <f aca="false">'Tenant CF'!L7+'Tenant CF'!L11+'Tenant CF'!L15+'Tenant CF'!L19+'Tenant CF'!L23+'Tenant CF'!L27+'Tenant CF'!L8+'Tenant CF'!L12+'Tenant CF'!L16+'Tenant CF'!L20+'Tenant CF'!L24+'Tenant CF'!L28</f>
        <v>0</v>
      </c>
      <c r="M9" s="0" t="n">
        <f aca="false">'Tenant CF'!M7+'Tenant CF'!M11+'Tenant CF'!M15+'Tenant CF'!M19+'Tenant CF'!M23+'Tenant CF'!M27+'Tenant CF'!M8+'Tenant CF'!M12+'Tenant CF'!M16+'Tenant CF'!M20+'Tenant CF'!M24+'Tenant CF'!M28</f>
        <v>-1713894.73379646</v>
      </c>
      <c r="N9" s="0" t="n">
        <f aca="false">'Tenant CF'!N7+'Tenant CF'!N11+'Tenant CF'!N15+'Tenant CF'!N19+'Tenant CF'!N23+'Tenant CF'!N27+'Tenant CF'!N8+'Tenant CF'!N12+'Tenant CF'!N16+'Tenant CF'!N20+'Tenant CF'!N24+'Tenant CF'!N28</f>
        <v>0</v>
      </c>
      <c r="O9" s="0" t="n">
        <f aca="false">'Tenant CF'!O7+'Tenant CF'!O11+'Tenant CF'!O15+'Tenant CF'!O19+'Tenant CF'!O23+'Tenant CF'!O27+'Tenant CF'!O8+'Tenant CF'!O12+'Tenant CF'!O16+'Tenant CF'!O20+'Tenant CF'!O24+'Tenant CF'!O28</f>
        <v>0</v>
      </c>
    </row>
    <row r="10" customFormat="false" ht="15" hidden="false" customHeight="false" outlineLevel="0" collapsed="false">
      <c r="B10" s="0" t="s">
        <v>45</v>
      </c>
      <c r="D10" s="0" t="n">
        <f aca="false">IF(D$4=0,-Assumptions!$C$4*(1+Assumptions!$C$5),0)</f>
        <v>-160200000</v>
      </c>
      <c r="E10" s="0" t="n">
        <f aca="false">IF(E$4=0,-Assumptions!$C$4*(1+Assumptions!$C$5),0)</f>
        <v>0</v>
      </c>
      <c r="F10" s="0" t="n">
        <f aca="false">IF(F$4=0,-Assumptions!$C$4*(1+Assumptions!$C$5),0)</f>
        <v>0</v>
      </c>
      <c r="G10" s="0" t="n">
        <f aca="false">IF(G$4=0,-Assumptions!$C$4*(1+Assumptions!$C$5),0)</f>
        <v>0</v>
      </c>
      <c r="H10" s="0" t="n">
        <f aca="false">IF(H$4=0,-Assumptions!$C$4*(1+Assumptions!$C$5),0)</f>
        <v>0</v>
      </c>
      <c r="I10" s="0" t="n">
        <f aca="false">IF(I$4=0,-Assumptions!$C$4*(1+Assumptions!$C$5),0)</f>
        <v>0</v>
      </c>
      <c r="J10" s="0" t="n">
        <f aca="false">IF(J$4=0,-Assumptions!$C$4*(1+Assumptions!$C$5),0)</f>
        <v>0</v>
      </c>
      <c r="K10" s="0" t="n">
        <f aca="false">IF(K$4=0,-Assumptions!$C$4*(1+Assumptions!$C$5),0)</f>
        <v>0</v>
      </c>
      <c r="L10" s="0" t="n">
        <f aca="false">IF(L$4=0,-Assumptions!$C$4*(1+Assumptions!$C$5),0)</f>
        <v>0</v>
      </c>
      <c r="M10" s="0" t="n">
        <f aca="false">IF(M$4=0,-Assumptions!$C$4*(1+Assumptions!$C$5),0)</f>
        <v>0</v>
      </c>
      <c r="N10" s="0" t="n">
        <f aca="false">IF(N$4=0,-Assumptions!$C$4*(1+Assumptions!$C$5),0)</f>
        <v>0</v>
      </c>
      <c r="O10" s="0" t="n">
        <f aca="false">IF(O$4=0,-Assumptions!$C$4*(1+Assumptions!$C$5),0)</f>
        <v>0</v>
      </c>
    </row>
    <row r="11" customFormat="false" ht="15" hidden="false" customHeight="false" outlineLevel="0" collapsed="false">
      <c r="B11" s="0" t="s">
        <v>46</v>
      </c>
      <c r="D11" s="0" t="n">
        <f aca="false">IF(D$4=ROUND(Assumptions!$C$11,0),E8/Assumptions!$C$9*(1-Assumptions!$C$10),0)</f>
        <v>0</v>
      </c>
      <c r="E11" s="0" t="n">
        <f aca="false">IF(E$4=ROUND(Assumptions!$C$11,0),F8/Assumptions!$C$9*(1-Assumptions!$C$10),0)</f>
        <v>0</v>
      </c>
      <c r="F11" s="0" t="n">
        <f aca="false">IF(F$4=ROUND(Assumptions!$C$11,0),G8/Assumptions!$C$9*(1-Assumptions!$C$10),0)</f>
        <v>0</v>
      </c>
      <c r="G11" s="0" t="n">
        <f aca="false">IF(G$4=ROUND(Assumptions!$C$11,0),H8/Assumptions!$C$9*(1-Assumptions!$C$10),0)</f>
        <v>0</v>
      </c>
      <c r="H11" s="0" t="n">
        <f aca="false">IF(H$4=ROUND(Assumptions!$C$11,0),I8/Assumptions!$C$9*(1-Assumptions!$C$10),0)</f>
        <v>0</v>
      </c>
      <c r="I11" s="0" t="n">
        <f aca="false">IF(I$4=ROUND(Assumptions!$C$11,0),J8/Assumptions!$C$9*(1-Assumptions!$C$10),0)</f>
        <v>0</v>
      </c>
      <c r="J11" s="0" t="n">
        <f aca="false">IF(J$4=ROUND(Assumptions!$C$11,0),K8/Assumptions!$C$9*(1-Assumptions!$C$10),0)</f>
        <v>0</v>
      </c>
      <c r="K11" s="0" t="n">
        <f aca="false">IF(K$4=ROUND(Assumptions!$C$11,0),L8/Assumptions!$C$9*(1-Assumptions!$C$10),0)</f>
        <v>0</v>
      </c>
      <c r="L11" s="0" t="n">
        <f aca="false">IF(L$4=ROUND(Assumptions!$C$11,0),M8/Assumptions!$C$9*(1-Assumptions!$C$10),0)</f>
        <v>0</v>
      </c>
      <c r="M11" s="0" t="n">
        <f aca="false">IF(M$4=ROUND(Assumptions!$C$11,0),N8/Assumptions!$C$9*(1-Assumptions!$C$10),0)</f>
        <v>0</v>
      </c>
      <c r="N11" s="0" t="n">
        <f aca="false">IF(N$4=ROUND(Assumptions!$C$11,0),O8/Assumptions!$C$9*(1-Assumptions!$C$10),0)</f>
        <v>226837404.512968</v>
      </c>
      <c r="O11" s="0" t="n">
        <f aca="false">0</f>
        <v>0</v>
      </c>
    </row>
    <row r="12" customFormat="false" ht="15" hidden="false" customHeight="false" outlineLevel="0" collapsed="false">
      <c r="B12" s="0" t="s">
        <v>47</v>
      </c>
      <c r="D12" s="0" t="n">
        <f aca="false">IF(D$4&gt;ROUND(Assumptions!$C$11,0),0,SUM(D8:D11))</f>
        <v>-160200000</v>
      </c>
      <c r="E12" s="0" t="n">
        <f aca="false">IF(E$4&gt;ROUND(Assumptions!$C$11,0),0,SUM(E8:E11))</f>
        <v>8494895</v>
      </c>
      <c r="F12" s="0" t="n">
        <f aca="false">IF(F$4&gt;ROUND(Assumptions!$C$11,0),0,SUM(F8:F11))</f>
        <v>8494895</v>
      </c>
      <c r="G12" s="0" t="n">
        <f aca="false">IF(G$4&gt;ROUND(Assumptions!$C$11,0),0,SUM(G8:G11))</f>
        <v>7179650.4921875</v>
      </c>
      <c r="H12" s="0" t="n">
        <f aca="false">IF(H$4&gt;ROUND(Assumptions!$C$11,0),0,SUM(H8:H11))</f>
        <v>7248257.84229167</v>
      </c>
      <c r="I12" s="0" t="n">
        <f aca="false">IF(I$4&gt;ROUND(Assumptions!$C$11,0),0,SUM(I8:I11))</f>
        <v>8561633.72000411</v>
      </c>
      <c r="J12" s="0" t="n">
        <f aca="false">IF(J$4&gt;ROUND(Assumptions!$C$11,0),0,SUM(J8:J11))</f>
        <v>8885636.57688128</v>
      </c>
      <c r="K12" s="0" t="n">
        <f aca="false">IF(K$4&gt;ROUND(Assumptions!$C$11,0),0,SUM(K8:K11))</f>
        <v>9768680.8716228</v>
      </c>
      <c r="L12" s="0" t="n">
        <f aca="false">IF(L$4&gt;ROUND(Assumptions!$C$11,0),0,SUM(L8:L11))</f>
        <v>10448125.5688962</v>
      </c>
      <c r="M12" s="0" t="n">
        <f aca="false">IF(M$4&gt;ROUND(Assumptions!$C$11,0),0,SUM(M8:M11))</f>
        <v>9154525.63762583</v>
      </c>
      <c r="N12" s="0" t="n">
        <f aca="false">IF(N$4&gt;ROUND(Assumptions!$C$11,0),0,SUM(N8:N11))</f>
        <v>238632837.210188</v>
      </c>
      <c r="O12" s="0" t="n">
        <f aca="false">IF(O$4&gt;ROUND(Assumptions!$C$11,0),0,SUM(O8:O11))</f>
        <v>0</v>
      </c>
    </row>
    <row r="14" customFormat="false" ht="15" hidden="false" customHeight="false" outlineLevel="0" collapsed="false">
      <c r="B14" s="0" t="s">
        <v>48</v>
      </c>
      <c r="D14" s="0" t="n">
        <f aca="false">IF(D$4=0,Assumptions!$C$4*Assumptions!$C$12*(1-Assumptions!$C$14),0)</f>
        <v>74250000</v>
      </c>
      <c r="E14" s="0" t="n">
        <f aca="false">IF(E$4=0,Assumptions!$C$4*Assumptions!$C$12*(1-Assumptions!$C$14),0)</f>
        <v>0</v>
      </c>
      <c r="F14" s="0" t="n">
        <f aca="false">IF(F$4=0,Assumptions!$C$4*Assumptions!$C$12*(1-Assumptions!$C$14),0)</f>
        <v>0</v>
      </c>
      <c r="G14" s="0" t="n">
        <f aca="false">IF(G$4=0,Assumptions!$C$4*Assumptions!$C$12*(1-Assumptions!$C$14),0)</f>
        <v>0</v>
      </c>
      <c r="H14" s="0" t="n">
        <f aca="false">IF(H$4=0,Assumptions!$C$4*Assumptions!$C$12*(1-Assumptions!$C$14),0)</f>
        <v>0</v>
      </c>
      <c r="I14" s="0" t="n">
        <f aca="false">IF(I$4=0,Assumptions!$C$4*Assumptions!$C$12*(1-Assumptions!$C$14),0)</f>
        <v>0</v>
      </c>
      <c r="J14" s="0" t="n">
        <f aca="false">IF(J$4=0,Assumptions!$C$4*Assumptions!$C$12*(1-Assumptions!$C$14),0)</f>
        <v>0</v>
      </c>
      <c r="K14" s="0" t="n">
        <f aca="false">IF(K$4=0,Assumptions!$C$4*Assumptions!$C$12*(1-Assumptions!$C$14),0)</f>
        <v>0</v>
      </c>
      <c r="L14" s="0" t="n">
        <f aca="false">IF(L$4=0,Assumptions!$C$4*Assumptions!$C$12*(1-Assumptions!$C$14),0)</f>
        <v>0</v>
      </c>
      <c r="M14" s="0" t="n">
        <f aca="false">IF(M$4=0,Assumptions!$C$4*Assumptions!$C$12*(1-Assumptions!$C$14),0)</f>
        <v>0</v>
      </c>
      <c r="N14" s="0" t="n">
        <f aca="false">IF(N$4=0,Assumptions!$C$4*Assumptions!$C$12*(1-Assumptions!$C$14),0)</f>
        <v>0</v>
      </c>
      <c r="O14" s="0" t="n">
        <f aca="false">IF(O$4=0,Assumptions!$C$4*Assumptions!$C$12*(1-Assumptions!$C$14),0)</f>
        <v>0</v>
      </c>
    </row>
    <row r="15" customFormat="false" ht="15" hidden="false" customHeight="false" outlineLevel="0" collapsed="false">
      <c r="B15" s="0" t="s">
        <v>49</v>
      </c>
      <c r="D15" s="0" t="n">
        <f aca="false">IF(AND(D$4&gt;=1,D$4&lt;=ROUND(Assumptions!$C$11,0)),-Assumptions!$C$4*Assumptions!$C$12*Assumptions!$C$13,0)</f>
        <v>0</v>
      </c>
      <c r="E15" s="0" t="n">
        <f aca="false">IF(AND(E$4&gt;=1,E$4&lt;=ROUND(Assumptions!$C$11,0)),-Assumptions!$C$4*Assumptions!$C$12*Assumptions!$C$13,0)</f>
        <v>-4350000</v>
      </c>
      <c r="F15" s="0" t="n">
        <f aca="false">IF(AND(F$4&gt;=1,F$4&lt;=ROUND(Assumptions!$C$11,0)),-Assumptions!$C$4*Assumptions!$C$12*Assumptions!$C$13,0)</f>
        <v>-4350000</v>
      </c>
      <c r="G15" s="0" t="n">
        <f aca="false">IF(AND(G$4&gt;=1,G$4&lt;=ROUND(Assumptions!$C$11,0)),-Assumptions!$C$4*Assumptions!$C$12*Assumptions!$C$13,0)</f>
        <v>-4350000</v>
      </c>
      <c r="H15" s="0" t="n">
        <f aca="false">IF(AND(H$4&gt;=1,H$4&lt;=ROUND(Assumptions!$C$11,0)),-Assumptions!$C$4*Assumptions!$C$12*Assumptions!$C$13,0)</f>
        <v>-4350000</v>
      </c>
      <c r="I15" s="0" t="n">
        <f aca="false">IF(AND(I$4&gt;=1,I$4&lt;=ROUND(Assumptions!$C$11,0)),-Assumptions!$C$4*Assumptions!$C$12*Assumptions!$C$13,0)</f>
        <v>-4350000</v>
      </c>
      <c r="J15" s="0" t="n">
        <f aca="false">IF(AND(J$4&gt;=1,J$4&lt;=ROUND(Assumptions!$C$11,0)),-Assumptions!$C$4*Assumptions!$C$12*Assumptions!$C$13,0)</f>
        <v>-4350000</v>
      </c>
      <c r="K15" s="0" t="n">
        <f aca="false">IF(AND(K$4&gt;=1,K$4&lt;=ROUND(Assumptions!$C$11,0)),-Assumptions!$C$4*Assumptions!$C$12*Assumptions!$C$13,0)</f>
        <v>-4350000</v>
      </c>
      <c r="L15" s="0" t="n">
        <f aca="false">IF(AND(L$4&gt;=1,L$4&lt;=ROUND(Assumptions!$C$11,0)),-Assumptions!$C$4*Assumptions!$C$12*Assumptions!$C$13,0)</f>
        <v>-4350000</v>
      </c>
      <c r="M15" s="0" t="n">
        <f aca="false">IF(AND(M$4&gt;=1,M$4&lt;=ROUND(Assumptions!$C$11,0)),-Assumptions!$C$4*Assumptions!$C$12*Assumptions!$C$13,0)</f>
        <v>-4350000</v>
      </c>
      <c r="N15" s="0" t="n">
        <f aca="false">IF(AND(N$4&gt;=1,N$4&lt;=ROUND(Assumptions!$C$11,0)),-Assumptions!$C$4*Assumptions!$C$12*Assumptions!$C$13,0)</f>
        <v>-4350000</v>
      </c>
      <c r="O15" s="0" t="n">
        <f aca="false">IF(AND(O$4&gt;=1,O$4&lt;=ROUND(Assumptions!$C$11,0)),-Assumptions!$C$4*Assumptions!$C$12*Assumptions!$C$13,0)</f>
        <v>0</v>
      </c>
    </row>
    <row r="16" customFormat="false" ht="15" hidden="false" customHeight="false" outlineLevel="0" collapsed="false">
      <c r="B16" s="0" t="s">
        <v>50</v>
      </c>
      <c r="D16" s="0" t="n">
        <f aca="false">IF(D$4=ROUND(Assumptions!$C$11,0),-Assumptions!$C$4*Assumptions!$C$12,0)</f>
        <v>0</v>
      </c>
      <c r="E16" s="0" t="n">
        <f aca="false">IF(E$4=ROUND(Assumptions!$C$11,0),-Assumptions!$C$4*Assumptions!$C$12,0)</f>
        <v>0</v>
      </c>
      <c r="F16" s="0" t="n">
        <f aca="false">IF(F$4=ROUND(Assumptions!$C$11,0),-Assumptions!$C$4*Assumptions!$C$12,0)</f>
        <v>0</v>
      </c>
      <c r="G16" s="0" t="n">
        <f aca="false">IF(G$4=ROUND(Assumptions!$C$11,0),-Assumptions!$C$4*Assumptions!$C$12,0)</f>
        <v>0</v>
      </c>
      <c r="H16" s="0" t="n">
        <f aca="false">IF(H$4=ROUND(Assumptions!$C$11,0),-Assumptions!$C$4*Assumptions!$C$12,0)</f>
        <v>0</v>
      </c>
      <c r="I16" s="0" t="n">
        <f aca="false">IF(I$4=ROUND(Assumptions!$C$11,0),-Assumptions!$C$4*Assumptions!$C$12,0)</f>
        <v>0</v>
      </c>
      <c r="J16" s="0" t="n">
        <f aca="false">IF(J$4=ROUND(Assumptions!$C$11,0),-Assumptions!$C$4*Assumptions!$C$12,0)</f>
        <v>0</v>
      </c>
      <c r="K16" s="0" t="n">
        <f aca="false">IF(K$4=ROUND(Assumptions!$C$11,0),-Assumptions!$C$4*Assumptions!$C$12,0)</f>
        <v>0</v>
      </c>
      <c r="L16" s="0" t="n">
        <f aca="false">IF(L$4=ROUND(Assumptions!$C$11,0),-Assumptions!$C$4*Assumptions!$C$12,0)</f>
        <v>0</v>
      </c>
      <c r="M16" s="0" t="n">
        <f aca="false">IF(M$4=ROUND(Assumptions!$C$11,0),-Assumptions!$C$4*Assumptions!$C$12,0)</f>
        <v>0</v>
      </c>
      <c r="N16" s="0" t="n">
        <f aca="false">IF(N$4=ROUND(Assumptions!$C$11,0),-Assumptions!$C$4*Assumptions!$C$12,0)</f>
        <v>-75000000</v>
      </c>
      <c r="O16" s="0" t="n">
        <f aca="false">IF(O$4=ROUND(Assumptions!$C$11,0),-Assumptions!$C$4*Assumptions!$C$12,0)</f>
        <v>0</v>
      </c>
    </row>
    <row r="17" customFormat="false" ht="15" hidden="false" customHeight="false" outlineLevel="0" collapsed="false">
      <c r="B17" s="0" t="s">
        <v>51</v>
      </c>
      <c r="D17" s="0" t="n">
        <f aca="false">D12+D14+D15+D16</f>
        <v>-85950000</v>
      </c>
      <c r="E17" s="0" t="n">
        <f aca="false">E12+E14+E15+E16</f>
        <v>4144895</v>
      </c>
      <c r="F17" s="0" t="n">
        <f aca="false">F12+F14+F15+F16</f>
        <v>4144895</v>
      </c>
      <c r="G17" s="0" t="n">
        <f aca="false">G12+G14+G15+G16</f>
        <v>2829650.4921875</v>
      </c>
      <c r="H17" s="0" t="n">
        <f aca="false">H12+H14+H15+H16</f>
        <v>2898257.84229167</v>
      </c>
      <c r="I17" s="0" t="n">
        <f aca="false">I12+I14+I15+I16</f>
        <v>4211633.72000411</v>
      </c>
      <c r="J17" s="0" t="n">
        <f aca="false">J12+J14+J15+J16</f>
        <v>4535636.57688128</v>
      </c>
      <c r="K17" s="0" t="n">
        <f aca="false">K12+K14+K15+K16</f>
        <v>5418680.8716228</v>
      </c>
      <c r="L17" s="0" t="n">
        <f aca="false">L12+L14+L15+L16</f>
        <v>6098125.56889617</v>
      </c>
      <c r="M17" s="0" t="n">
        <f aca="false">M12+M14+M15+M16</f>
        <v>4804525.63762583</v>
      </c>
      <c r="N17" s="0" t="n">
        <f aca="false">N12+N14+N15+N16</f>
        <v>159282837.210188</v>
      </c>
      <c r="O17" s="0" t="n">
        <f aca="false">O12+O14+O15+O16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2026-10-19T13:01:16Z</dcterms:created>
  <dc:creator>openpyxl</dc:creator>
  <dc:description/>
  <dc:language>en-US</dc:language>
  <cp:lastModifiedBy/>
  <dcterms:modified xsi:type="dcterms:W3CDTF">2026-10-19T13:01:16Z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