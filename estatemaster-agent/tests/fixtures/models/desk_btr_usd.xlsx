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lc" sheetId="2" state="hidden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<sst xmlns="http://schemas.openxmlformats.org/spreadsheetml/2006/main" count="32" uniqueCount="32">
  <si>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PINE RIDGE BUILD-TO-RENT – USD</t>
  </si>
  <si>
    <t xml:space="preserve">Homes</t>
  </si>
  <si>
    <t xml:space="preserve">Rent per home per month</t>
  </si>
  <si>
    <t xml:space="preserve">Stabilised occupancy</t>
  </si>
  <si>
    <t xml:space="preserve">Opex per home per year</t>
  </si>
  <si>
    <t xml:space="preserve">Total development cost</t>
  </si>
  <si>
    <t xml:space="preserve">Construction months</t>
  </si>
  <si>
    <t xml:space="preserve">Construction loan rate</t>
  </si>
  <si>
    <t xml:space="preserve">Construction LTC</t>
  </si>
  <si>
    <t xml:space="preserve">Permanent loan DSCR</t>
  </si>
  <si>
    <t xml:space="preserve">Permanent loan rate</t>
  </si>
  <si>
    <t xml:space="preserve">Amortisation (years)</t>
  </si>
  <si>
    <t xml:space="preserve">Exit cap rate</t>
  </si>
  <si>
    <t xml:space="preserve">Hold after completion (years)</t>
  </si>
  <si>
    <t xml:space="preserve">Rent growth</t>
  </si>
  <si>
    <t xml:space="preserve">3.0%</t>
  </si>
  <si>
    <t xml:space="preserve">helper</t>
  </si>
  <si>
    <t xml:space="preserve">rent growth as a number</t>
  </si>
  <si>
    <t xml:space="preserve">Stabilised NOI</t>
  </si>
  <si>
    <t xml:space="preserve">Perm loan</t>
  </si>
  <si>
    <t xml:space="preserve">Construction loan</t>
  </si>
  <si>
    <t xml:space="preserve">Construction interest</t>
  </si>
  <si>
    <t xml:space="preserve">Exit value</t>
  </si>
  <si>
    <t xml:space="preserve">Perm balance at exit</t>
  </si>
  <si>
    <t xml:space="preserve">Equity in</t>
  </si>
  <si>
    <t xml:space="preserve">Cash-out at takeout</t>
  </si>
  <si>
    <t xml:space="preserve">Annual levered cash flow</t>
  </si>
  <si>
    <t xml:space="preserve">Yield on cost</t>
  </si>
  <si>
    <t xml:space="preserve">Permanent loan</t>
  </si>
  <si>
    <t xml:space="preserve">Equity multiple</t>
  </si>
  <si>
    <t xml:space="preserve">Levered IRR (approx. annual)</t>
  </si>
  <si>
    <t xml:space="preserve">Development profit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</si>
</sst>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"/>
    <numFmt numFmtId="168" formatCode="0.00\x"/>
    <numFmt numFmtId="169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260</v>
      </c>
    </row>
    <row r="4" customFormat="false" ht="15" hidden="false" customHeight="false" outlineLevel="0" collapsed="false">
      <c r="A4" s="0" t="s">
        <v>2</v>
      </c>
      <c r="B4" s="1" t="n">
        <v>2150</v>
      </c>
    </row>
    <row r="5" customFormat="false" ht="15" hidden="false" customHeight="false" outlineLevel="0" collapsed="false">
      <c r="A5" s="0" t="s">
        <v>3</v>
      </c>
      <c r="B5" s="2" t="n">
        <v>0.95</v>
      </c>
    </row>
    <row r="6" customFormat="false" ht="15" hidden="false" customHeight="false" outlineLevel="0" collapsed="false">
      <c r="A6" s="0" t="s">
        <v>4</v>
      </c>
      <c r="B6" s="1" t="n">
        <v>7800</v>
      </c>
    </row>
    <row r="7" customFormat="false" ht="15" hidden="false" customHeight="false" outlineLevel="0" collapsed="false">
      <c r="A7" s="0" t="s">
        <v>5</v>
      </c>
      <c r="B7" s="1" t="n">
        <v>78000000</v>
      </c>
    </row>
    <row r="8" customFormat="false" ht="15" hidden="false" customHeight="false" outlineLevel="0" collapsed="false">
      <c r="A8" s="0" t="s">
        <v>6</v>
      </c>
      <c r="B8" s="3" t="n">
        <v>20</v>
      </c>
    </row>
    <row r="9" customFormat="false" ht="15" hidden="false" customHeight="false" outlineLevel="0" collapsed="false">
      <c r="A9" s="0" t="s">
        <v>7</v>
      </c>
      <c r="B9" s="2" t="n">
        <v>0.0775</v>
      </c>
    </row>
    <row r="10" customFormat="false" ht="15" hidden="false" customHeight="false" outlineLevel="0" collapsed="false">
      <c r="A10" s="0" t="s">
        <v>8</v>
      </c>
      <c r="B10" s="2" t="n">
        <v>0.6</v>
      </c>
    </row>
    <row r="11" customFormat="false" ht="15" hidden="false" customHeight="false" outlineLevel="0" collapsed="false">
      <c r="A11" s="0" t="s">
        <v>9</v>
      </c>
      <c r="B11" s="4" t="n">
        <v>1.25</v>
      </c>
    </row>
    <row r="12" customFormat="false" ht="15" hidden="false" customHeight="false" outlineLevel="0" collapsed="false">
      <c r="A12" s="0" t="s">
        <v>10</v>
      </c>
      <c r="B12" s="2" t="n">
        <v>0.0575</v>
      </c>
    </row>
    <row r="13" customFormat="false" ht="15" hidden="false" customHeight="false" outlineLevel="0" collapsed="false">
      <c r="A13" s="0" t="s">
        <v>11</v>
      </c>
      <c r="B13" s="3" t="n">
        <v>30</v>
      </c>
    </row>
    <row r="14" customFormat="false" ht="15" hidden="false" customHeight="false" outlineLevel="0" collapsed="false">
      <c r="A14" s="0" t="s">
        <v>12</v>
      </c>
      <c r="B14" s="2" t="n">
        <v>0.0525</v>
      </c>
    </row>
    <row r="15" customFormat="false" ht="15" hidden="false" customHeight="false" outlineLevel="0" collapsed="false">
      <c r="A15" s="0" t="s">
        <v>13</v>
      </c>
      <c r="B15" s="3" t="n">
        <v>5</v>
      </c>
    </row>
    <row r="16" customFormat="false" ht="15" hidden="false" customHeight="false" outlineLevel="0" collapsed="false">
      <c r="A16" s="0" t="s">
        <v>14</v>
      </c>
      <c r="B16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16</v>
      </c>
    </row>
    <row r="2" customFormat="false" ht="15" hidden="false" customHeight="false" outlineLevel="0" collapsed="false">
      <c r="A2" s="0" t="s">
        <v>17</v>
      </c>
      <c r="B2" s="0" t="n">
        <f aca="false">VALUE(SUBSTITUTE(Inputs!B16,"%",""))/100</f>
        <v>0.03</v>
      </c>
    </row>
    <row r="3" customFormat="false" ht="15" hidden="false" customHeight="false" outlineLevel="0" collapsed="false">
      <c r="A3" s="0" t="s">
        <v>18</v>
      </c>
      <c r="B3" s="0" t="n">
        <f aca="false">Inputs!$B$3*(Inputs!$B$4*12*Inputs!$B$5-Inputs!$B$6)</f>
        <v>4344600</v>
      </c>
    </row>
    <row r="4" customFormat="false" ht="15" hidden="false" customHeight="false" outlineLevel="0" collapsed="false">
      <c r="A4" s="0" t="s">
        <v>19</v>
      </c>
      <c r="B4" s="0" t="n">
        <f aca="false">B3/Inputs!$B$11/(-PMT(Inputs!$B$12/12,Inputs!$B$13*12,1)*12)</f>
        <v>49632191.9023346</v>
      </c>
    </row>
    <row r="5" customFormat="false" ht="15" hidden="false" customHeight="false" outlineLevel="0" collapsed="false">
      <c r="A5" s="0" t="s">
        <v>20</v>
      </c>
      <c r="B5" s="0" t="n">
        <f aca="false">Inputs!$B$7*Inputs!$B$10</f>
        <v>46800000</v>
      </c>
    </row>
    <row r="6" customFormat="false" ht="15" hidden="false" customHeight="false" outlineLevel="0" collapsed="false">
      <c r="A6" s="0" t="s">
        <v>21</v>
      </c>
      <c r="B6" s="0" t="n">
        <f aca="false">B5*Inputs!$B$9*Inputs!$B$8/12*0.55</f>
        <v>3324750</v>
      </c>
    </row>
    <row r="7" customFormat="false" ht="15" hidden="false" customHeight="false" outlineLevel="0" collapsed="false">
      <c r="A7" s="0" t="s">
        <v>22</v>
      </c>
      <c r="B7" s="0" t="n">
        <f aca="false">B3*(1+B2)^Inputs!$B$15/Inputs!$B$14</f>
        <v>95934897.9657863</v>
      </c>
    </row>
    <row r="8" customFormat="false" ht="15" hidden="false" customHeight="false" outlineLevel="0" collapsed="false">
      <c r="A8" s="0" t="s">
        <v>23</v>
      </c>
      <c r="B8" s="5" t="n">
        <f aca="false">-FV(Inputs!$B$12/12,Inputs!$B$15*12,PMT(Inputs!$B$12/12,Inputs!$B$13*12,B4),B4)</f>
        <v>46039906.585692</v>
      </c>
    </row>
    <row r="9" customFormat="false" ht="15" hidden="false" customHeight="false" outlineLevel="0" collapsed="false">
      <c r="A9" s="0" t="s">
        <v>24</v>
      </c>
      <c r="B9" s="0" t="n">
        <f aca="false">Inputs!$B$7-B5+B6</f>
        <v>34524750</v>
      </c>
    </row>
    <row r="10" customFormat="false" ht="15" hidden="false" customHeight="false" outlineLevel="0" collapsed="false">
      <c r="A10" s="0" t="s">
        <v>25</v>
      </c>
      <c r="B10" s="0" t="n">
        <f aca="false">MAX(0,B4-B5)</f>
        <v>2832191.90233464</v>
      </c>
    </row>
    <row r="11" customFormat="false" ht="15" hidden="false" customHeight="false" outlineLevel="0" collapsed="false">
      <c r="A11" s="0" t="s">
        <v>26</v>
      </c>
      <c r="B11" s="5" t="n">
        <f aca="false">B3-(-PMT(Inputs!$B$12/12,Inputs!$B$13*12,B4)*12)</f>
        <v>868919.999999999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27</v>
      </c>
      <c r="B3" s="2" t="n">
        <f aca="false">Calc!B3/Inputs!$B$7</f>
        <v>0.0557</v>
      </c>
    </row>
    <row r="4" customFormat="false" ht="15" hidden="false" customHeight="false" outlineLevel="0" collapsed="false">
      <c r="A4" s="0" t="s">
        <v>28</v>
      </c>
      <c r="B4" s="1" t="n">
        <f aca="false">Calc!B4</f>
        <v>49632191.9023346</v>
      </c>
    </row>
    <row r="5" customFormat="false" ht="15" hidden="false" customHeight="false" outlineLevel="0" collapsed="false">
      <c r="A5" s="0" t="s">
        <v>29</v>
      </c>
      <c r="B5" s="4" t="n">
        <f aca="false">(Calc!B10+Calc!B11*Inputs!$B$15+Calc!B7-Calc!B8)/Calc!B9</f>
        <v>1.65306869079223</v>
      </c>
    </row>
    <row r="6" customFormat="false" ht="15" hidden="false" customHeight="false" outlineLevel="0" collapsed="false">
      <c r="A6" s="0" t="s">
        <v>30</v>
      </c>
      <c r="B6" s="2" t="n">
        <f aca="false">((Calc!B10+Calc!B11*Inputs!$B$15+Calc!B7-Calc!B8)/Calc!B9)^(1/(Inputs!$B$15+Inputs!$B$8/12))-1</f>
        <v>0.0783100056726331</v>
      </c>
    </row>
    <row r="7" customFormat="false" ht="15" hidden="false" customHeight="false" outlineLevel="0" collapsed="false">
      <c r="A7" s="0" t="s">
        <v>31</v>
      </c>
      <c r="B7" s="1" t="n">
        <f aca="false">Calc!B7-Inputs!B7</f>
        <v>17934897.9657863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2026-10-16T15:19:41Z</dcterms:created>
  <dc:creator>openpyxl</dc:creator>
  <dc:description/>
  <dc:language>en-US</dc:language>
  <cp:lastModifiedBy/>
  <dcterms:modified xsi:type="dcterms:W3CDTF">2026-10-16T15:19:41Z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