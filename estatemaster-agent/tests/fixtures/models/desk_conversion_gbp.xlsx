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Outcom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<sst xmlns="http://schemas.openxmlformats.org/spreadsheetml/2006/main" count="22" uniqueCount="22">
  <si>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OLD MILL – OFFICE TO RESIDENTIAL CONVERSION (GBP)</t>
  </si>
  <si>
    <t xml:space="preserve">Purchase price</t>
  </si>
  <si>
    <t xml:space="preserve">Probability of planning consent</t>
  </si>
  <si>
    <t xml:space="preserve">Flats with consent</t>
  </si>
  <si>
    <t xml:space="preserve">Average flat price</t>
  </si>
  <si>
    <t xml:space="preserve">Conversion cost per flat</t>
  </si>
  <si>
    <t xml:space="preserve">Sale value without consent (office)</t>
  </si>
  <si>
    <t xml:space="preserve">Programme with consent (months)</t>
  </si>
  <si>
    <t xml:space="preserve">Planning &amp; professional fees</t>
  </si>
  <si>
    <t xml:space="preserve">Consent</t>
  </si>
  <si>
    <t xml:space="preserve">No consent</t>
  </si>
  <si>
    <t xml:space="preserve">Probability-weighted</t>
  </si>
  <si>
    <t xml:space="preserve">Revenue</t>
  </si>
  <si>
    <t xml:space="preserve">Costs</t>
  </si>
  <si>
    <t xml:space="preserve">Profit</t>
  </si>
  <si>
    <t xml:space="preserve">Profit on cost</t>
  </si>
  <si>
    <t xml:space="preserve">Annualised return</t>
  </si>
  <si>
    <t xml:space="preserve">Expected net profit</t>
  </si>
  <si>
    <t xml:space="preserve">Expected profit on cost</t>
  </si>
  <si>
    <t xml:space="preserve">Expected IRR</t>
  </si>
  <si>
    <t xml:space="preserve">Profit if consent</t>
  </si>
  <si>
    <t xml:space="preserve">Loss if refused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</si>
</sst>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14500000</v>
      </c>
    </row>
    <row r="4" customFormat="false" ht="15" hidden="false" customHeight="false" outlineLevel="0" collapsed="false">
      <c r="A4" s="0" t="s">
        <v>2</v>
      </c>
      <c r="B4" s="2" t="n">
        <v>0.65</v>
      </c>
    </row>
    <row r="5" customFormat="false" ht="15" hidden="false" customHeight="false" outlineLevel="0" collapsed="false">
      <c r="A5" s="0" t="s">
        <v>3</v>
      </c>
      <c r="B5" s="1" t="n">
        <v>96</v>
      </c>
    </row>
    <row r="6" customFormat="false" ht="15" hidden="false" customHeight="false" outlineLevel="0" collapsed="false">
      <c r="A6" s="0" t="s">
        <v>4</v>
      </c>
      <c r="B6" s="1" t="n">
        <v>395000</v>
      </c>
    </row>
    <row r="7" customFormat="false" ht="15" hidden="false" customHeight="false" outlineLevel="0" collapsed="false">
      <c r="A7" s="0" t="s">
        <v>5</v>
      </c>
      <c r="B7" s="1" t="n">
        <v>148000</v>
      </c>
    </row>
    <row r="8" customFormat="false" ht="15" hidden="false" customHeight="false" outlineLevel="0" collapsed="false">
      <c r="A8" s="0" t="s">
        <v>6</v>
      </c>
      <c r="B8" s="1" t="n">
        <v>13200000</v>
      </c>
    </row>
    <row r="9" customFormat="false" ht="15" hidden="false" customHeight="false" outlineLevel="0" collapsed="false">
      <c r="A9" s="0" t="s">
        <v>7</v>
      </c>
      <c r="B9" s="3" t="n">
        <v>26</v>
      </c>
    </row>
    <row r="10" customFormat="false" ht="15" hidden="false" customHeight="false" outlineLevel="0" collapsed="false">
      <c r="A10" s="0" t="s">
        <v>8</v>
      </c>
      <c r="B10" s="1" t="n">
        <v>850000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0" t="s">
        <v>9</v>
      </c>
      <c r="C1" s="0" t="s">
        <v>10</v>
      </c>
      <c r="D1" s="0" t="s">
        <v>11</v>
      </c>
    </row>
    <row r="2" customFormat="false" ht="15" hidden="false" customHeight="false" outlineLevel="0" collapsed="false">
      <c r="A2" s="0" t="s">
        <v>12</v>
      </c>
      <c r="B2" s="1" t="n">
        <f aca="false">Inputs!$B$5*Inputs!$B$6</f>
        <v>37920000</v>
      </c>
      <c r="C2" s="1" t="n">
        <f aca="false">Inputs!$B$8</f>
        <v>13200000</v>
      </c>
      <c r="D2" s="1" t="n">
        <f aca="false">Inputs!$B$4*B2+(1-Inputs!$B$4)*C2</f>
        <v>29268000</v>
      </c>
    </row>
    <row r="3" customFormat="false" ht="15" hidden="false" customHeight="false" outlineLevel="0" collapsed="false">
      <c r="A3" s="0" t="s">
        <v>13</v>
      </c>
      <c r="B3" s="1" t="n">
        <f aca="false">Inputs!$B$3+Inputs!$B$10+Inputs!$B$5*Inputs!$B$7</f>
        <v>29558000</v>
      </c>
      <c r="C3" s="1" t="n">
        <f aca="false">Inputs!$B$3+Inputs!$B$10</f>
        <v>15350000</v>
      </c>
      <c r="D3" s="1" t="n">
        <f aca="false">Inputs!$B$4*B3+(1-Inputs!$B$4)*C3</f>
        <v>24585200</v>
      </c>
    </row>
    <row r="4" customFormat="false" ht="15" hidden="false" customHeight="false" outlineLevel="0" collapsed="false">
      <c r="A4" s="0" t="s">
        <v>14</v>
      </c>
      <c r="B4" s="1" t="n">
        <f aca="false">B2-B3</f>
        <v>8362000</v>
      </c>
      <c r="C4" s="1" t="n">
        <f aca="false">C2-C3</f>
        <v>-2150000</v>
      </c>
      <c r="D4" s="1" t="n">
        <f aca="false">Inputs!$B$4*B4+(1-Inputs!$B$4)*C4</f>
        <v>4682800</v>
      </c>
    </row>
    <row r="5" customFormat="false" ht="15" hidden="false" customHeight="false" outlineLevel="0" collapsed="false">
      <c r="A5" s="0" t="s">
        <v>15</v>
      </c>
      <c r="B5" s="2" t="n">
        <f aca="false">B4/B3</f>
        <v>0.282901414168753</v>
      </c>
      <c r="C5" s="2" t="n">
        <f aca="false">C4/C3</f>
        <v>-0.140065146579805</v>
      </c>
      <c r="D5" s="2" t="n">
        <f aca="false">Inputs!$B$4*B5+(1-Inputs!$B$4)*C5</f>
        <v>0.134863117906758</v>
      </c>
    </row>
    <row r="6" customFormat="false" ht="15" hidden="false" customHeight="false" outlineLevel="0" collapsed="false">
      <c r="A6" s="0" t="s">
        <v>16</v>
      </c>
      <c r="B6" s="2" t="n">
        <f aca="false">(1+B5)^(12/Inputs!$B$9)-1</f>
        <v>0.121851471122497</v>
      </c>
      <c r="C6" s="2" t="n">
        <f aca="false">C5</f>
        <v>-0.140065146579805</v>
      </c>
      <c r="D6" s="2" t="n">
        <f aca="false">Inputs!$B$4*B6+(1-Inputs!$B$4)*C6</f>
        <v>0.0301806549266914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17</v>
      </c>
      <c r="B3" s="1" t="n">
        <f aca="false">Outcomes!D4</f>
        <v>4682800</v>
      </c>
    </row>
    <row r="4" customFormat="false" ht="15" hidden="false" customHeight="false" outlineLevel="0" collapsed="false">
      <c r="A4" s="0" t="s">
        <v>18</v>
      </c>
      <c r="B4" s="2" t="n">
        <f aca="false">Outcomes!D5</f>
        <v>0.134863117906758</v>
      </c>
    </row>
    <row r="5" customFormat="false" ht="15" hidden="false" customHeight="false" outlineLevel="0" collapsed="false">
      <c r="A5" s="0" t="s">
        <v>19</v>
      </c>
      <c r="B5" s="2" t="n">
        <f aca="false">Outcomes!D6</f>
        <v>0.0301806549266914</v>
      </c>
    </row>
    <row r="6" customFormat="false" ht="15" hidden="false" customHeight="false" outlineLevel="0" collapsed="false">
      <c r="A6" s="0" t="s">
        <v>20</v>
      </c>
      <c r="B6" s="1" t="n">
        <f aca="false">Outcomes!B4</f>
        <v>8362000</v>
      </c>
    </row>
    <row r="7" customFormat="false" ht="15" hidden="false" customHeight="false" outlineLevel="0" collapsed="false">
      <c r="A7" s="0" t="s">
        <v>21</v>
      </c>
      <c r="B7" s="1" t="n">
        <f aca="false">Outcomes!C4</f>
        <v>-2150000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2026-10-16T15:32:20Z</dcterms:created>
  <dc:creator>openpyxl</dc:creator>
  <dc:description/>
  <dc:language>en-US</dc:language>
  <cp:lastModifiedBy/>
  <dcterms:modified xsi:type="dcterms:W3CDTF">2026-10-16T15:32:20Z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