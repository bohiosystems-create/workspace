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DUNE LOGISTICS – ERRORS (USD)</t>
        </is>
      </c>
    </row>
    <row r="2">
      <c r="A2" t="inlineStr">
        <is>
          <t>Rent a year</t>
        </is>
      </c>
      <c r="B2" t="n">
        <v>3000000</v>
      </c>
    </row>
    <row r="3">
      <c r="A3" t="inlineStr">
        <is>
          <t>Exit value</t>
        </is>
      </c>
      <c r="B3" t="n">
        <v>30000000</v>
      </c>
    </row>
    <row r="4">
      <c r="A4" t="inlineStr">
        <is>
          <t>Cost</t>
        </is>
      </c>
      <c r="B4" t="n">
        <v>34000000</v>
      </c>
    </row>
    <row r="5">
      <c r="A5" t="inlineStr">
        <is>
          <t>Loan</t>
        </is>
      </c>
      <c r="B5" t="n">
        <v>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inlineStr">
        <is>
          <t>Unlevered</t>
        </is>
      </c>
      <c r="B2">
        <f>-Inputs!B4</f>
        <v/>
      </c>
      <c r="C2">
        <f>Inputs!B2</f>
        <v/>
      </c>
      <c r="D2">
        <f>Inputs!B2</f>
        <v/>
      </c>
      <c r="E2">
        <f>Inputs!B2+Inputs!B3</f>
        <v/>
      </c>
    </row>
    <row r="3">
      <c r="A3" t="inlineStr">
        <is>
          <t>Debt</t>
        </is>
      </c>
      <c r="B3">
        <f>Inputs!B5</f>
        <v/>
      </c>
      <c r="C3">
        <f>-Inputs!B5*0.07</f>
        <v/>
      </c>
      <c r="D3">
        <f>-Inputs!B5*0.07</f>
        <v/>
      </c>
      <c r="E3">
        <f>-Inputs!B5*1.07</f>
        <v/>
      </c>
    </row>
    <row r="4">
      <c r="A4" t="inlineStr">
        <is>
          <t>Levered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</row>
    <row r="5">
      <c r="A5" t="inlineStr">
        <is>
          <t>Side check</t>
        </is>
      </c>
      <c r="B5">
        <f>#REF!*2</f>
        <v/>
      </c>
    </row>
    <row r="6">
      <c r="A6" t="inlineStr">
        <is>
          <t>Developer fee stream</t>
        </is>
      </c>
      <c r="B6" t="n">
        <v>-5000000</v>
      </c>
      <c r="C6" t="n">
        <v>-100000</v>
      </c>
      <c r="D6" t="n">
        <v>-100000</v>
      </c>
      <c r="E6" t="n">
        <v>-100000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Levered IRR</t>
        </is>
      </c>
      <c r="B1">
        <f>IRR('Cash Flow'!B4:E4)</f>
        <v/>
      </c>
    </row>
    <row r="2">
      <c r="A2" t="inlineStr">
        <is>
          <t>Unlevered IRR</t>
        </is>
      </c>
      <c r="B2">
        <f>IRR('Cash Flow'!B2:E2)</f>
        <v/>
      </c>
    </row>
    <row r="3">
      <c r="A3" t="inlineStr">
        <is>
          <t>Fee IRR</t>
        </is>
      </c>
      <c r="B3">
        <f>IRR('Cash Flow'!B6:E6)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2026-10-23T16:34:12Z</dcterms:created>
  <dcterms:modified xsi:type="dcterms:W3CDTF">2026-10-23T16:34:12Z</dcterms:modified>
</cp:coreProperties>
</file>