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turns" sheetId="1" state="visible" r:id="rId3"/>
    <sheet name="Assumptions" sheetId="2" state="visible" r:id="rId4"/>
    <sheet name="Operations" sheetId="3" state="visible" r:id="rId5"/>
    <sheet name="Cash 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<sst xmlns="http://schemas.openxmlformats.org/spreadsheetml/2006/main" count="65" uniqueCount="61">
  <si>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MARINA BAY HOTEL · RETURNS (AED)</t>
  </si>
  <si>
    <t xml:space="preserve">IRR</t>
  </si>
  <si>
    <t xml:space="preserve">MOIC</t>
  </si>
  <si>
    <t xml:space="preserve">Profit</t>
  </si>
  <si>
    <t xml:space="preserve">Unleveraged</t>
  </si>
  <si>
    <t xml:space="preserve">Leveraged</t>
  </si>
  <si>
    <t xml:space="preserve">Stabilised RevPAR (year 5)</t>
  </si>
  <si>
    <t xml:space="preserve">Yield on cost (year 5 EBITDA)</t>
  </si>
  <si>
    <t xml:space="preserve">Total development cost</t>
  </si>
  <si>
    <t xml:space="preserve">MARINA BAY HOTEL · ASSUMPTIONS (AED)</t>
  </si>
  <si>
    <t xml:space="preserve">Keys</t>
  </si>
  <si>
    <t xml:space="preserve">Land</t>
  </si>
  <si>
    <t xml:space="preserve">Construction cost per key</t>
  </si>
  <si>
    <t xml:space="preserve">Pre-opening and FF&amp;E (total)</t>
  </si>
  <si>
    <t xml:space="preserve">Opening year</t>
  </si>
  <si>
    <t xml:space="preserve">Stabilised ADR</t>
  </si>
  <si>
    <t xml:space="preserve">Stabilised occupancy</t>
  </si>
  <si>
    <t xml:space="preserve">ADR growth (a year)</t>
  </si>
  <si>
    <t xml:space="preserve">F&amp;B revenue (% of rooms)</t>
  </si>
  <si>
    <t xml:space="preserve">Other revenue (% of rooms)</t>
  </si>
  <si>
    <t xml:space="preserve">Departmental costs (% of revenue)</t>
  </si>
  <si>
    <t xml:space="preserve">Undistributed costs (% of revenue)</t>
  </si>
  <si>
    <t xml:space="preserve">Base management fee (% of revenue)</t>
  </si>
  <si>
    <t xml:space="preserve">Incentive fee (% of GOP)</t>
  </si>
  <si>
    <t xml:space="preserve">FF&amp;E reserve (% of revenue)</t>
  </si>
  <si>
    <t xml:space="preserve">Exit year</t>
  </si>
  <si>
    <t xml:space="preserve">Exit EBITDA multiple</t>
  </si>
  <si>
    <t xml:space="preserve">Selling costs</t>
  </si>
  <si>
    <t xml:space="preserve">Loan to cost</t>
  </si>
  <si>
    <t xml:space="preserve">Interest rate</t>
  </si>
  <si>
    <t xml:space="preserve">Amortisation (years after opening)</t>
  </si>
  <si>
    <t xml:space="preserve">Ramp-up (share of stabilised occupancy and ADR, by operating year)</t>
  </si>
  <si>
    <t xml:space="preserve">Operating year</t>
  </si>
  <si>
    <t xml:space="preserve">Occupancy ramp</t>
  </si>
  <si>
    <t xml:space="preserve">ADR ramp</t>
  </si>
  <si>
    <t xml:space="preserve">OPERATIONS (AED)</t>
  </si>
  <si>
    <t xml:space="preserve">Year</t>
  </si>
  <si>
    <t xml:space="preserve">Occupancy</t>
  </si>
  <si>
    <t xml:space="preserve">ADR</t>
  </si>
  <si>
    <t xml:space="preserve">RevPAR</t>
  </si>
  <si>
    <t xml:space="preserve">Rooms revenue</t>
  </si>
  <si>
    <t xml:space="preserve">F&amp;B revenue</t>
  </si>
  <si>
    <t xml:space="preserve">Other revenue</t>
  </si>
  <si>
    <t xml:space="preserve">Total revenue</t>
  </si>
  <si>
    <t xml:space="preserve">Departmental costs</t>
  </si>
  <si>
    <t xml:space="preserve">Undistributed costs</t>
  </si>
  <si>
    <t xml:space="preserve">GOP</t>
  </si>
  <si>
    <t xml:space="preserve">Base management fee</t>
  </si>
  <si>
    <t xml:space="preserve">Incentive fee</t>
  </si>
  <si>
    <t xml:space="preserve">FF&amp;E reserve</t>
  </si>
  <si>
    <t xml:space="preserve">EBITDA</t>
  </si>
  <si>
    <t xml:space="preserve">CASH FLOW (AED)</t>
  </si>
  <si>
    <t xml:space="preserve">Construction</t>
  </si>
  <si>
    <t xml:space="preserve">Pre-opening and FF&amp;E</t>
  </si>
  <si>
    <t xml:space="preserve">Sale (net)</t>
  </si>
  <si>
    <t xml:space="preserve">Unleveraged cash flow</t>
  </si>
  <si>
    <t xml:space="preserve">Loan draw</t>
  </si>
  <si>
    <t xml:space="preserve">Interest</t>
  </si>
  <si>
    <t xml:space="preserve">Repayment</t>
  </si>
  <si>
    <t xml:space="preserve">Loan balance</t>
  </si>
  <si>
    <t xml:space="preserve">Leveraged cash flow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</si>
</sst>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\x"/>
    <numFmt numFmtId="167" formatCode="#,##0"/>
    <numFmt numFmtId="168" formatCode="0"/>
    <numFmt numFmtId="169" formatCode="0.0%"/>
    <numFmt numFmtId="170" formatCode="0.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C5" s="0" t="s">
        <v>1</v>
      </c>
      <c r="D5" s="0" t="s">
        <v>2</v>
      </c>
      <c r="E5" s="0" t="s">
        <v>3</v>
      </c>
    </row>
    <row r="6" customFormat="false" ht="15" hidden="false" customHeight="false" outlineLevel="0" collapsed="false">
      <c r="B6" s="0" t="s">
        <v>4</v>
      </c>
      <c r="C6" s="1" t="n">
        <f aca="false">IRR('Cash Flow'!C11:O11)</f>
        <v>0.0712297608394393</v>
      </c>
      <c r="D6" s="2" t="n">
        <f aca="false">SUMIF('Cash Flow'!C11:O11,"&gt;0")/-SUMIF('Cash Flow'!C11:O11,"&lt;0")</f>
        <v>1.68454395737164</v>
      </c>
      <c r="E6" s="3" t="n">
        <f aca="false">SUM('Cash Flow'!C11:O11)</f>
        <v>349801962.216907</v>
      </c>
    </row>
    <row r="7" customFormat="false" ht="15" hidden="false" customHeight="false" outlineLevel="0" collapsed="false">
      <c r="B7" s="0" t="s">
        <v>5</v>
      </c>
      <c r="C7" s="1" t="n">
        <f aca="false">IRR('Cash Flow'!C18:O18)</f>
        <v>0.0759875982956062</v>
      </c>
      <c r="D7" s="2" t="n">
        <f aca="false">SUMIF('Cash Flow'!C18:O18,"&gt;0")/-SUMIF('Cash Flow'!C18:O18,"&lt;0")</f>
        <v>1.83985421864385</v>
      </c>
      <c r="E7" s="3" t="n">
        <f aca="false">SUM('Cash Flow'!C18:O18)</f>
        <v>215861012.216907</v>
      </c>
    </row>
    <row r="9" customFormat="false" ht="15" hidden="false" customHeight="false" outlineLevel="0" collapsed="false">
      <c r="B9" s="0" t="s">
        <v>6</v>
      </c>
      <c r="C9" s="0" t="n">
        <f aca="false">Operations!H9</f>
        <v>612.35148</v>
      </c>
    </row>
    <row r="10" customFormat="false" ht="15" hidden="false" customHeight="false" outlineLevel="0" collapsed="false">
      <c r="B10" s="0" t="s">
        <v>7</v>
      </c>
      <c r="C10" s="1" t="n">
        <f aca="false">Operations!H20/-SUM('Cash Flow'!C6:O8)</f>
        <v>0.0712595166851657</v>
      </c>
    </row>
    <row r="11" customFormat="false" ht="15" hidden="false" customHeight="false" outlineLevel="0" collapsed="false">
      <c r="B11" s="0" t="s">
        <v>8</v>
      </c>
      <c r="C11" s="3" t="n">
        <f aca="false">-SUM('Cash Flow'!C6:O8)</f>
        <v>511000000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9</v>
      </c>
    </row>
    <row r="4" customFormat="false" ht="15" hidden="false" customHeight="false" outlineLevel="0" collapsed="false">
      <c r="B4" s="0" t="s">
        <v>10</v>
      </c>
      <c r="C4" s="4" t="n">
        <v>320</v>
      </c>
    </row>
    <row r="5" customFormat="false" ht="15" hidden="false" customHeight="false" outlineLevel="0" collapsed="false">
      <c r="B5" s="0" t="s">
        <v>11</v>
      </c>
      <c r="C5" s="3" t="n">
        <v>95000000</v>
      </c>
    </row>
    <row r="6" customFormat="false" ht="15" hidden="false" customHeight="false" outlineLevel="0" collapsed="false">
      <c r="B6" s="0" t="s">
        <v>12</v>
      </c>
      <c r="C6" s="3" t="n">
        <v>1150000</v>
      </c>
    </row>
    <row r="7" customFormat="false" ht="15" hidden="false" customHeight="false" outlineLevel="0" collapsed="false">
      <c r="B7" s="0" t="s">
        <v>13</v>
      </c>
      <c r="C7" s="3" t="n">
        <v>48000000</v>
      </c>
    </row>
    <row r="8" customFormat="false" ht="15" hidden="false" customHeight="false" outlineLevel="0" collapsed="false">
      <c r="B8" s="0" t="s">
        <v>14</v>
      </c>
      <c r="C8" s="4" t="n">
        <v>3</v>
      </c>
    </row>
    <row r="9" customFormat="false" ht="15" hidden="false" customHeight="false" outlineLevel="0" collapsed="false">
      <c r="B9" s="0" t="s">
        <v>15</v>
      </c>
      <c r="C9" s="3" t="n">
        <v>780</v>
      </c>
    </row>
    <row r="10" customFormat="false" ht="15" hidden="false" customHeight="false" outlineLevel="0" collapsed="false">
      <c r="B10" s="0" t="s">
        <v>16</v>
      </c>
      <c r="C10" s="5" t="n">
        <v>0.74</v>
      </c>
    </row>
    <row r="11" customFormat="false" ht="15" hidden="false" customHeight="false" outlineLevel="0" collapsed="false">
      <c r="B11" s="0" t="s">
        <v>17</v>
      </c>
      <c r="C11" s="5" t="n">
        <v>0.03</v>
      </c>
    </row>
    <row r="12" customFormat="false" ht="15" hidden="false" customHeight="false" outlineLevel="0" collapsed="false">
      <c r="B12" s="0" t="s">
        <v>18</v>
      </c>
      <c r="C12" s="5" t="n">
        <v>0.42</v>
      </c>
    </row>
    <row r="13" customFormat="false" ht="15" hidden="false" customHeight="false" outlineLevel="0" collapsed="false">
      <c r="B13" s="0" t="s">
        <v>19</v>
      </c>
      <c r="C13" s="5" t="n">
        <v>0.06</v>
      </c>
    </row>
    <row r="14" customFormat="false" ht="15" hidden="false" customHeight="false" outlineLevel="0" collapsed="false">
      <c r="B14" s="0" t="s">
        <v>20</v>
      </c>
      <c r="C14" s="5" t="n">
        <v>0.38</v>
      </c>
    </row>
    <row r="15" customFormat="false" ht="15" hidden="false" customHeight="false" outlineLevel="0" collapsed="false">
      <c r="B15" s="0" t="s">
        <v>21</v>
      </c>
      <c r="C15" s="5" t="n">
        <v>0.17</v>
      </c>
    </row>
    <row r="16" customFormat="false" ht="15" hidden="false" customHeight="false" outlineLevel="0" collapsed="false">
      <c r="B16" s="0" t="s">
        <v>22</v>
      </c>
      <c r="C16" s="5" t="n">
        <v>0.03</v>
      </c>
    </row>
    <row r="17" customFormat="false" ht="15" hidden="false" customHeight="false" outlineLevel="0" collapsed="false">
      <c r="B17" s="0" t="s">
        <v>23</v>
      </c>
      <c r="C17" s="5" t="n">
        <v>0.08</v>
      </c>
    </row>
    <row r="18" customFormat="false" ht="15" hidden="false" customHeight="false" outlineLevel="0" collapsed="false">
      <c r="B18" s="0" t="s">
        <v>24</v>
      </c>
      <c r="C18" s="5" t="n">
        <v>0.04</v>
      </c>
    </row>
    <row r="19" customFormat="false" ht="15" hidden="false" customHeight="false" outlineLevel="0" collapsed="false">
      <c r="B19" s="0" t="s">
        <v>25</v>
      </c>
      <c r="C19" s="4" t="n">
        <v>10</v>
      </c>
    </row>
    <row r="20" customFormat="false" ht="15" hidden="false" customHeight="false" outlineLevel="0" collapsed="false">
      <c r="B20" s="0" t="s">
        <v>26</v>
      </c>
      <c r="C20" s="6" t="n">
        <v>13.5</v>
      </c>
    </row>
    <row r="21" customFormat="false" ht="15" hidden="false" customHeight="false" outlineLevel="0" collapsed="false">
      <c r="B21" s="0" t="s">
        <v>27</v>
      </c>
      <c r="C21" s="5" t="n">
        <v>0.02</v>
      </c>
    </row>
    <row r="22" customFormat="false" ht="15" hidden="false" customHeight="false" outlineLevel="0" collapsed="false">
      <c r="B22" s="0" t="s">
        <v>28</v>
      </c>
      <c r="C22" s="5" t="n">
        <v>0.55</v>
      </c>
    </row>
    <row r="23" customFormat="false" ht="15" hidden="false" customHeight="false" outlineLevel="0" collapsed="false">
      <c r="B23" s="0" t="s">
        <v>29</v>
      </c>
      <c r="C23" s="1" t="n">
        <v>0.065</v>
      </c>
    </row>
    <row r="24" customFormat="false" ht="15" hidden="false" customHeight="false" outlineLevel="0" collapsed="false">
      <c r="B24" s="0" t="s">
        <v>30</v>
      </c>
      <c r="C24" s="4" t="n">
        <v>20</v>
      </c>
    </row>
    <row r="26" customFormat="false" ht="15" hidden="false" customHeight="false" outlineLevel="0" collapsed="false">
      <c r="B26" s="0" t="s">
        <v>31</v>
      </c>
    </row>
    <row r="27" customFormat="false" ht="15" hidden="false" customHeight="false" outlineLevel="0" collapsed="false">
      <c r="B27" s="0" t="s">
        <v>32</v>
      </c>
      <c r="C27" s="0" t="n">
        <v>1</v>
      </c>
      <c r="D27" s="0" t="n">
        <v>2</v>
      </c>
      <c r="E27" s="0" t="n">
        <v>3</v>
      </c>
    </row>
    <row r="28" customFormat="false" ht="15" hidden="false" customHeight="false" outlineLevel="0" collapsed="false">
      <c r="B28" s="0" t="s">
        <v>33</v>
      </c>
      <c r="C28" s="0" t="n">
        <v>0.7</v>
      </c>
      <c r="D28" s="0" t="n">
        <v>0.86</v>
      </c>
      <c r="E28" s="0" t="n">
        <v>1</v>
      </c>
    </row>
    <row r="29" customFormat="false" ht="15" hidden="false" customHeight="false" outlineLevel="0" collapsed="false">
      <c r="B29" s="0" t="s">
        <v>34</v>
      </c>
      <c r="C29" s="0" t="n">
        <v>0.88</v>
      </c>
      <c r="D29" s="0" t="n">
        <v>0.95</v>
      </c>
      <c r="E2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35</v>
      </c>
    </row>
    <row r="4" customFormat="false" ht="15" hidden="false" customHeight="false" outlineLevel="0" collapsed="false">
      <c r="B4" s="0" t="s">
        <v>36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</row>
    <row r="5" customFormat="false" ht="15" hidden="false" customHeight="false" outlineLevel="0" collapsed="false">
      <c r="B5" s="0" t="s">
        <v>32</v>
      </c>
      <c r="C5" s="0" t="n">
        <f aca="false">MAX(0,C4-ROUND(Assumptions!$C$8,0)+1)</f>
        <v>0</v>
      </c>
      <c r="D5" s="0" t="n">
        <f aca="false">MAX(0,D4-ROUND(Assumptions!$C$8,0)+1)</f>
        <v>0</v>
      </c>
      <c r="E5" s="0" t="n">
        <f aca="false">MAX(0,E4-ROUND(Assumptions!$C$8,0)+1)</f>
        <v>0</v>
      </c>
      <c r="F5" s="0" t="n">
        <f aca="false">MAX(0,F4-ROUND(Assumptions!$C$8,0)+1)</f>
        <v>1</v>
      </c>
      <c r="G5" s="0" t="n">
        <f aca="false">MAX(0,G4-ROUND(Assumptions!$C$8,0)+1)</f>
        <v>2</v>
      </c>
      <c r="H5" s="0" t="n">
        <f aca="false">MAX(0,H4-ROUND(Assumptions!$C$8,0)+1)</f>
        <v>3</v>
      </c>
      <c r="I5" s="0" t="n">
        <f aca="false">MAX(0,I4-ROUND(Assumptions!$C$8,0)+1)</f>
        <v>4</v>
      </c>
      <c r="J5" s="0" t="n">
        <f aca="false">MAX(0,J4-ROUND(Assumptions!$C$8,0)+1)</f>
        <v>5</v>
      </c>
      <c r="K5" s="0" t="n">
        <f aca="false">MAX(0,K4-ROUND(Assumptions!$C$8,0)+1)</f>
        <v>6</v>
      </c>
      <c r="L5" s="0" t="n">
        <f aca="false">MAX(0,L4-ROUND(Assumptions!$C$8,0)+1)</f>
        <v>7</v>
      </c>
      <c r="M5" s="0" t="n">
        <f aca="false">MAX(0,M4-ROUND(Assumptions!$C$8,0)+1)</f>
        <v>8</v>
      </c>
      <c r="N5" s="0" t="n">
        <f aca="false">MAX(0,N4-ROUND(Assumptions!$C$8,0)+1)</f>
        <v>9</v>
      </c>
      <c r="O5" s="0" t="n">
        <f aca="false">MAX(0,O4-ROUND(Assumptions!$C$8,0)+1)</f>
        <v>10</v>
      </c>
    </row>
    <row r="7" customFormat="false" ht="15" hidden="false" customHeight="false" outlineLevel="0" collapsed="false">
      <c r="B7" s="0" t="s">
        <v>37</v>
      </c>
      <c r="C7" s="5" t="n">
        <f aca="false">Assumptions!$C$10*IF(C5=0,0,IF(C5&gt;=3,1,INDEX(Assumptions!$C$28:$E$28,1,C5)))</f>
        <v>0</v>
      </c>
      <c r="D7" s="5" t="n">
        <f aca="false">Assumptions!$C$10*IF(D5=0,0,IF(D5&gt;=3,1,INDEX(Assumptions!$C$28:$E$28,1,D5)))</f>
        <v>0</v>
      </c>
      <c r="E7" s="5" t="n">
        <f aca="false">Assumptions!$C$10*IF(E5=0,0,IF(E5&gt;=3,1,INDEX(Assumptions!$C$28:$E$28,1,E5)))</f>
        <v>0</v>
      </c>
      <c r="F7" s="5" t="n">
        <f aca="false">Assumptions!$C$10*IF(F5=0,0,IF(F5&gt;=3,1,INDEX(Assumptions!$C$28:$E$28,1,F5)))</f>
        <v>0.518</v>
      </c>
      <c r="G7" s="5" t="n">
        <f aca="false">Assumptions!$C$10*IF(G5=0,0,IF(G5&gt;=3,1,INDEX(Assumptions!$C$28:$E$28,1,G5)))</f>
        <v>0.6364</v>
      </c>
      <c r="H7" s="5" t="n">
        <f aca="false">Assumptions!$C$10*IF(H5=0,0,IF(H5&gt;=3,1,INDEX(Assumptions!$C$28:$E$28,1,H5)))</f>
        <v>0.74</v>
      </c>
      <c r="I7" s="5" t="n">
        <f aca="false">Assumptions!$C$10*IF(I5=0,0,IF(I5&gt;=3,1,INDEX(Assumptions!$C$28:$E$28,1,I5)))</f>
        <v>0.74</v>
      </c>
      <c r="J7" s="5" t="n">
        <f aca="false">Assumptions!$C$10*IF(J5=0,0,IF(J5&gt;=3,1,INDEX(Assumptions!$C$28:$E$28,1,J5)))</f>
        <v>0.74</v>
      </c>
      <c r="K7" s="5" t="n">
        <f aca="false">Assumptions!$C$10*IF(K5=0,0,IF(K5&gt;=3,1,INDEX(Assumptions!$C$28:$E$28,1,K5)))</f>
        <v>0.74</v>
      </c>
      <c r="L7" s="5" t="n">
        <f aca="false">Assumptions!$C$10*IF(L5=0,0,IF(L5&gt;=3,1,INDEX(Assumptions!$C$28:$E$28,1,L5)))</f>
        <v>0.74</v>
      </c>
      <c r="M7" s="5" t="n">
        <f aca="false">Assumptions!$C$10*IF(M5=0,0,IF(M5&gt;=3,1,INDEX(Assumptions!$C$28:$E$28,1,M5)))</f>
        <v>0.74</v>
      </c>
      <c r="N7" s="5" t="n">
        <f aca="false">Assumptions!$C$10*IF(N5=0,0,IF(N5&gt;=3,1,INDEX(Assumptions!$C$28:$E$28,1,N5)))</f>
        <v>0.74</v>
      </c>
      <c r="O7" s="5" t="n">
        <f aca="false">Assumptions!$C$10*IF(O5=0,0,IF(O5&gt;=3,1,INDEX(Assumptions!$C$28:$E$28,1,O5)))</f>
        <v>0.74</v>
      </c>
    </row>
    <row r="8" customFormat="false" ht="15" hidden="false" customHeight="false" outlineLevel="0" collapsed="false">
      <c r="B8" s="0" t="s">
        <v>38</v>
      </c>
      <c r="C8" s="0" t="n">
        <f aca="false">IF(C5=0,0,Assumptions!$C$9*IF(C5=0,0,IF(C5&gt;=3,1,INDEX(Assumptions!$C$29:$E$29,1,C5)))*(1+Assumptions!$C$11)^(C4-ROUND(Assumptions!$C$8,0)))</f>
        <v>0</v>
      </c>
      <c r="D8" s="0" t="n">
        <f aca="false">IF(D5=0,0,Assumptions!$C$9*IF(D5=0,0,IF(D5&gt;=3,1,INDEX(Assumptions!$C$29:$E$29,1,D5)))*(1+Assumptions!$C$11)^(D4-ROUND(Assumptions!$C$8,0)))</f>
        <v>0</v>
      </c>
      <c r="E8" s="0" t="n">
        <f aca="false">IF(E5=0,0,Assumptions!$C$9*IF(E5=0,0,IF(E5&gt;=3,1,INDEX(Assumptions!$C$29:$E$29,1,E5)))*(1+Assumptions!$C$11)^(E4-ROUND(Assumptions!$C$8,0)))</f>
        <v>0</v>
      </c>
      <c r="F8" s="0" t="n">
        <f aca="false">IF(F5=0,0,Assumptions!$C$9*IF(F5=0,0,IF(F5&gt;=3,1,INDEX(Assumptions!$C$29:$E$29,1,F5)))*(1+Assumptions!$C$11)^(F4-ROUND(Assumptions!$C$8,0)))</f>
        <v>686.4</v>
      </c>
      <c r="G8" s="0" t="n">
        <f aca="false">IF(G5=0,0,Assumptions!$C$9*IF(G5=0,0,IF(G5&gt;=3,1,INDEX(Assumptions!$C$29:$E$29,1,G5)))*(1+Assumptions!$C$11)^(G4-ROUND(Assumptions!$C$8,0)))</f>
        <v>763.23</v>
      </c>
      <c r="H8" s="0" t="n">
        <f aca="false">IF(H5=0,0,Assumptions!$C$9*IF(H5=0,0,IF(H5&gt;=3,1,INDEX(Assumptions!$C$29:$E$29,1,H5)))*(1+Assumptions!$C$11)^(H4-ROUND(Assumptions!$C$8,0)))</f>
        <v>827.502</v>
      </c>
      <c r="I8" s="0" t="n">
        <f aca="false">IF(I5=0,0,Assumptions!$C$9*IF(I5=0,0,IF(I5&gt;=3,1,INDEX(Assumptions!$C$29:$E$29,1,I5)))*(1+Assumptions!$C$11)^(I4-ROUND(Assumptions!$C$8,0)))</f>
        <v>852.32706</v>
      </c>
      <c r="J8" s="0" t="n">
        <f aca="false">IF(J5=0,0,Assumptions!$C$9*IF(J5=0,0,IF(J5&gt;=3,1,INDEX(Assumptions!$C$29:$E$29,1,J5)))*(1+Assumptions!$C$11)^(J4-ROUND(Assumptions!$C$8,0)))</f>
        <v>877.8968718</v>
      </c>
      <c r="K8" s="0" t="n">
        <f aca="false">IF(K5=0,0,Assumptions!$C$9*IF(K5=0,0,IF(K5&gt;=3,1,INDEX(Assumptions!$C$29:$E$29,1,K5)))*(1+Assumptions!$C$11)^(K4-ROUND(Assumptions!$C$8,0)))</f>
        <v>904.233777954</v>
      </c>
      <c r="L8" s="0" t="n">
        <f aca="false">IF(L5=0,0,Assumptions!$C$9*IF(L5=0,0,IF(L5&gt;=3,1,INDEX(Assumptions!$C$29:$E$29,1,L5)))*(1+Assumptions!$C$11)^(L4-ROUND(Assumptions!$C$8,0)))</f>
        <v>931.36079129262</v>
      </c>
      <c r="M8" s="0" t="n">
        <f aca="false">IF(M5=0,0,Assumptions!$C$9*IF(M5=0,0,IF(M5&gt;=3,1,INDEX(Assumptions!$C$29:$E$29,1,M5)))*(1+Assumptions!$C$11)^(M4-ROUND(Assumptions!$C$8,0)))</f>
        <v>959.301615031399</v>
      </c>
      <c r="N8" s="0" t="n">
        <f aca="false">IF(N5=0,0,Assumptions!$C$9*IF(N5=0,0,IF(N5&gt;=3,1,INDEX(Assumptions!$C$29:$E$29,1,N5)))*(1+Assumptions!$C$11)^(N4-ROUND(Assumptions!$C$8,0)))</f>
        <v>988.080663482341</v>
      </c>
      <c r="O8" s="0" t="n">
        <f aca="false">IF(O5=0,0,Assumptions!$C$9*IF(O5=0,0,IF(O5&gt;=3,1,INDEX(Assumptions!$C$29:$E$29,1,O5)))*(1+Assumptions!$C$11)^(O4-ROUND(Assumptions!$C$8,0)))</f>
        <v>1017.72308338681</v>
      </c>
    </row>
    <row r="9" customFormat="false" ht="15" hidden="false" customHeight="false" outlineLevel="0" collapsed="false">
      <c r="B9" s="0" t="s">
        <v>39</v>
      </c>
      <c r="C9" s="0" t="n">
        <f aca="false">C7*C8</f>
        <v>0</v>
      </c>
      <c r="D9" s="0" t="n">
        <f aca="false">D7*D8</f>
        <v>0</v>
      </c>
      <c r="E9" s="0" t="n">
        <f aca="false">E7*E8</f>
        <v>0</v>
      </c>
      <c r="F9" s="0" t="n">
        <f aca="false">F7*F8</f>
        <v>355.5552</v>
      </c>
      <c r="G9" s="0" t="n">
        <f aca="false">G7*G8</f>
        <v>485.719572</v>
      </c>
      <c r="H9" s="0" t="n">
        <f aca="false">H7*H8</f>
        <v>612.35148</v>
      </c>
      <c r="I9" s="0" t="n">
        <f aca="false">I7*I8</f>
        <v>630.7220244</v>
      </c>
      <c r="J9" s="0" t="n">
        <f aca="false">J7*J8</f>
        <v>649.643685132</v>
      </c>
      <c r="K9" s="0" t="n">
        <f aca="false">K7*K8</f>
        <v>669.13299568596</v>
      </c>
      <c r="L9" s="0" t="n">
        <f aca="false">L7*L8</f>
        <v>689.206985556539</v>
      </c>
      <c r="M9" s="0" t="n">
        <f aca="false">M7*M8</f>
        <v>709.883195123235</v>
      </c>
      <c r="N9" s="0" t="n">
        <f aca="false">N7*N8</f>
        <v>731.179690976932</v>
      </c>
      <c r="O9" s="0" t="n">
        <f aca="false">O7*O8</f>
        <v>753.11508170624</v>
      </c>
    </row>
    <row r="10" customFormat="false" ht="15" hidden="false" customHeight="false" outlineLevel="0" collapsed="false">
      <c r="B10" s="0" t="s">
        <v>40</v>
      </c>
      <c r="C10" s="0" t="n">
        <f aca="false">C9*Assumptions!$C$4*365</f>
        <v>0</v>
      </c>
      <c r="D10" s="0" t="n">
        <f aca="false">D9*Assumptions!$C$4*365</f>
        <v>0</v>
      </c>
      <c r="E10" s="0" t="n">
        <f aca="false">E9*Assumptions!$C$4*365</f>
        <v>0</v>
      </c>
      <c r="F10" s="0" t="n">
        <f aca="false">F9*Assumptions!$C$4*365</f>
        <v>41528847.36</v>
      </c>
      <c r="G10" s="0" t="n">
        <f aca="false">G9*Assumptions!$C$4*365</f>
        <v>56732046.0096</v>
      </c>
      <c r="H10" s="0" t="n">
        <f aca="false">H9*Assumptions!$C$4*365</f>
        <v>71522652.864</v>
      </c>
      <c r="I10" s="0" t="n">
        <f aca="false">I9*Assumptions!$C$4*365</f>
        <v>73668332.44992</v>
      </c>
      <c r="J10" s="0" t="n">
        <f aca="false">J9*Assumptions!$C$4*365</f>
        <v>75878382.4234176</v>
      </c>
      <c r="K10" s="0" t="n">
        <f aca="false">K9*Assumptions!$C$4*365</f>
        <v>78154733.8961201</v>
      </c>
      <c r="L10" s="0" t="n">
        <f aca="false">L9*Assumptions!$C$4*365</f>
        <v>80499375.9130037</v>
      </c>
      <c r="M10" s="0" t="n">
        <f aca="false">M9*Assumptions!$C$4*365</f>
        <v>82914357.1903939</v>
      </c>
      <c r="N10" s="0" t="n">
        <f aca="false">N9*Assumptions!$C$4*365</f>
        <v>85401787.9061057</v>
      </c>
      <c r="O10" s="0" t="n">
        <f aca="false">O9*Assumptions!$C$4*365</f>
        <v>87963841.5432889</v>
      </c>
    </row>
    <row r="11" customFormat="false" ht="15" hidden="false" customHeight="false" outlineLevel="0" collapsed="false">
      <c r="B11" s="0" t="s">
        <v>41</v>
      </c>
      <c r="C11" s="0" t="n">
        <f aca="false">C10*Assumptions!$C$12</f>
        <v>0</v>
      </c>
      <c r="D11" s="0" t="n">
        <f aca="false">D10*Assumptions!$C$12</f>
        <v>0</v>
      </c>
      <c r="E11" s="0" t="n">
        <f aca="false">E10*Assumptions!$C$12</f>
        <v>0</v>
      </c>
      <c r="F11" s="0" t="n">
        <f aca="false">F10*Assumptions!$C$12</f>
        <v>17442115.8912</v>
      </c>
      <c r="G11" s="0" t="n">
        <f aca="false">G10*Assumptions!$C$12</f>
        <v>23827459.324032</v>
      </c>
      <c r="H11" s="0" t="n">
        <f aca="false">H10*Assumptions!$C$12</f>
        <v>30039514.20288</v>
      </c>
      <c r="I11" s="0" t="n">
        <f aca="false">I10*Assumptions!$C$12</f>
        <v>30940699.6289664</v>
      </c>
      <c r="J11" s="0" t="n">
        <f aca="false">J10*Assumptions!$C$12</f>
        <v>31868920.6178354</v>
      </c>
      <c r="K11" s="0" t="n">
        <f aca="false">K10*Assumptions!$C$12</f>
        <v>32824988.2363705</v>
      </c>
      <c r="L11" s="0" t="n">
        <f aca="false">L10*Assumptions!$C$12</f>
        <v>33809737.8834616</v>
      </c>
      <c r="M11" s="0" t="n">
        <f aca="false">M10*Assumptions!$C$12</f>
        <v>34824030.0199654</v>
      </c>
      <c r="N11" s="0" t="n">
        <f aca="false">N10*Assumptions!$C$12</f>
        <v>35868750.9205644</v>
      </c>
      <c r="O11" s="0" t="n">
        <f aca="false">O10*Assumptions!$C$12</f>
        <v>36944813.4481813</v>
      </c>
    </row>
    <row r="12" customFormat="false" ht="15" hidden="false" customHeight="false" outlineLevel="0" collapsed="false">
      <c r="B12" s="0" t="s">
        <v>42</v>
      </c>
      <c r="C12" s="0" t="n">
        <f aca="false">C10*Assumptions!$C$13</f>
        <v>0</v>
      </c>
      <c r="D12" s="0" t="n">
        <f aca="false">D10*Assumptions!$C$13</f>
        <v>0</v>
      </c>
      <c r="E12" s="0" t="n">
        <f aca="false">E10*Assumptions!$C$13</f>
        <v>0</v>
      </c>
      <c r="F12" s="0" t="n">
        <f aca="false">F10*Assumptions!$C$13</f>
        <v>2491730.8416</v>
      </c>
      <c r="G12" s="0" t="n">
        <f aca="false">G10*Assumptions!$C$13</f>
        <v>3403922.760576</v>
      </c>
      <c r="H12" s="0" t="n">
        <f aca="false">H10*Assumptions!$C$13</f>
        <v>4291359.17184</v>
      </c>
      <c r="I12" s="0" t="n">
        <f aca="false">I10*Assumptions!$C$13</f>
        <v>4420099.9469952</v>
      </c>
      <c r="J12" s="0" t="n">
        <f aca="false">J10*Assumptions!$C$13</f>
        <v>4552702.94540506</v>
      </c>
      <c r="K12" s="0" t="n">
        <f aca="false">K10*Assumptions!$C$13</f>
        <v>4689284.03376721</v>
      </c>
      <c r="L12" s="0" t="n">
        <f aca="false">L10*Assumptions!$C$13</f>
        <v>4829962.55478022</v>
      </c>
      <c r="M12" s="0" t="n">
        <f aca="false">M10*Assumptions!$C$13</f>
        <v>4974861.43142363</v>
      </c>
      <c r="N12" s="0" t="n">
        <f aca="false">N10*Assumptions!$C$13</f>
        <v>5124107.27436634</v>
      </c>
      <c r="O12" s="0" t="n">
        <f aca="false">O10*Assumptions!$C$13</f>
        <v>5277830.49259733</v>
      </c>
    </row>
    <row r="13" customFormat="false" ht="15" hidden="false" customHeight="false" outlineLevel="0" collapsed="false">
      <c r="B13" s="0" t="s">
        <v>43</v>
      </c>
      <c r="C13" s="0" t="n">
        <f aca="false">SUM(C10:C12)</f>
        <v>0</v>
      </c>
      <c r="D13" s="0" t="n">
        <f aca="false">SUM(D10:D12)</f>
        <v>0</v>
      </c>
      <c r="E13" s="0" t="n">
        <f aca="false">SUM(E10:E12)</f>
        <v>0</v>
      </c>
      <c r="F13" s="0" t="n">
        <f aca="false">SUM(F10:F12)</f>
        <v>61462694.0928</v>
      </c>
      <c r="G13" s="0" t="n">
        <f aca="false">SUM(G10:G12)</f>
        <v>83963428.094208</v>
      </c>
      <c r="H13" s="0" t="n">
        <f aca="false">SUM(H10:H12)</f>
        <v>105853526.23872</v>
      </c>
      <c r="I13" s="0" t="n">
        <f aca="false">SUM(I10:I12)</f>
        <v>109029132.025882</v>
      </c>
      <c r="J13" s="0" t="n">
        <f aca="false">SUM(J10:J12)</f>
        <v>112300005.986658</v>
      </c>
      <c r="K13" s="0" t="n">
        <f aca="false">SUM(K10:K12)</f>
        <v>115669006.166258</v>
      </c>
      <c r="L13" s="0" t="n">
        <f aca="false">SUM(L10:L12)</f>
        <v>119139076.351246</v>
      </c>
      <c r="M13" s="0" t="n">
        <f aca="false">SUM(M10:M12)</f>
        <v>122713248.641783</v>
      </c>
      <c r="N13" s="0" t="n">
        <f aca="false">SUM(N10:N12)</f>
        <v>126394646.101036</v>
      </c>
      <c r="O13" s="0" t="n">
        <f aca="false">SUM(O10:O12)</f>
        <v>130186485.484068</v>
      </c>
    </row>
    <row r="14" customFormat="false" ht="15" hidden="false" customHeight="false" outlineLevel="0" collapsed="false">
      <c r="B14" s="0" t="s">
        <v>44</v>
      </c>
      <c r="C14" s="0" t="n">
        <f aca="false">-C13*Assumptions!$C$14</f>
        <v>-0</v>
      </c>
      <c r="D14" s="0" t="n">
        <f aca="false">-D13*Assumptions!$C$14</f>
        <v>-0</v>
      </c>
      <c r="E14" s="0" t="n">
        <f aca="false">-E13*Assumptions!$C$14</f>
        <v>-0</v>
      </c>
      <c r="F14" s="0" t="n">
        <f aca="false">-F13*Assumptions!$C$14</f>
        <v>-23355823.755264</v>
      </c>
      <c r="G14" s="0" t="n">
        <f aca="false">-G13*Assumptions!$C$14</f>
        <v>-31906102.675799</v>
      </c>
      <c r="H14" s="0" t="n">
        <f aca="false">-H13*Assumptions!$C$14</f>
        <v>-40224339.9707136</v>
      </c>
      <c r="I14" s="0" t="n">
        <f aca="false">-I13*Assumptions!$C$14</f>
        <v>-41431070.169835</v>
      </c>
      <c r="J14" s="0" t="n">
        <f aca="false">-J13*Assumptions!$C$14</f>
        <v>-42674002.2749301</v>
      </c>
      <c r="K14" s="0" t="n">
        <f aca="false">-K13*Assumptions!$C$14</f>
        <v>-43954222.343178</v>
      </c>
      <c r="L14" s="0" t="n">
        <f aca="false">-L13*Assumptions!$C$14</f>
        <v>-45272849.0134733</v>
      </c>
      <c r="M14" s="0" t="n">
        <f aca="false">-M13*Assumptions!$C$14</f>
        <v>-46631034.4838775</v>
      </c>
      <c r="N14" s="0" t="n">
        <f aca="false">-N13*Assumptions!$C$14</f>
        <v>-48029965.5183938</v>
      </c>
      <c r="O14" s="0" t="n">
        <f aca="false">-O13*Assumptions!$C$14</f>
        <v>-49470864.4839457</v>
      </c>
    </row>
    <row r="15" customFormat="false" ht="15" hidden="false" customHeight="false" outlineLevel="0" collapsed="false">
      <c r="B15" s="0" t="s">
        <v>45</v>
      </c>
      <c r="C15" s="0" t="n">
        <f aca="false">-C13*Assumptions!$C$15</f>
        <v>-0</v>
      </c>
      <c r="D15" s="0" t="n">
        <f aca="false">-D13*Assumptions!$C$15</f>
        <v>-0</v>
      </c>
      <c r="E15" s="0" t="n">
        <f aca="false">-E13*Assumptions!$C$15</f>
        <v>-0</v>
      </c>
      <c r="F15" s="0" t="n">
        <f aca="false">-F13*Assumptions!$C$15</f>
        <v>-10448657.995776</v>
      </c>
      <c r="G15" s="0" t="n">
        <f aca="false">-G13*Assumptions!$C$15</f>
        <v>-14273782.7760154</v>
      </c>
      <c r="H15" s="0" t="n">
        <f aca="false">-H13*Assumptions!$C$15</f>
        <v>-17995099.4605824</v>
      </c>
      <c r="I15" s="0" t="n">
        <f aca="false">-I13*Assumptions!$C$15</f>
        <v>-18534952.4443999</v>
      </c>
      <c r="J15" s="0" t="n">
        <f aca="false">-J13*Assumptions!$C$15</f>
        <v>-19091001.0177319</v>
      </c>
      <c r="K15" s="0" t="n">
        <f aca="false">-K13*Assumptions!$C$15</f>
        <v>-19663731.0482638</v>
      </c>
      <c r="L15" s="0" t="n">
        <f aca="false">-L13*Assumptions!$C$15</f>
        <v>-20253642.9797117</v>
      </c>
      <c r="M15" s="0" t="n">
        <f aca="false">-M13*Assumptions!$C$15</f>
        <v>-20861252.2691031</v>
      </c>
      <c r="N15" s="0" t="n">
        <f aca="false">-N13*Assumptions!$C$15</f>
        <v>-21487089.8371762</v>
      </c>
      <c r="O15" s="0" t="n">
        <f aca="false">-O13*Assumptions!$C$15</f>
        <v>-22131702.5322915</v>
      </c>
    </row>
    <row r="16" customFormat="false" ht="15" hidden="false" customHeight="false" outlineLevel="0" collapsed="false">
      <c r="B16" s="0" t="s">
        <v>46</v>
      </c>
      <c r="C16" s="0" t="n">
        <f aca="false">SUM(C13:C15)</f>
        <v>0</v>
      </c>
      <c r="D16" s="0" t="n">
        <f aca="false">SUM(D13:D15)</f>
        <v>0</v>
      </c>
      <c r="E16" s="0" t="n">
        <f aca="false">SUM(E13:E15)</f>
        <v>0</v>
      </c>
      <c r="F16" s="0" t="n">
        <f aca="false">SUM(F13:F15)</f>
        <v>27658212.34176</v>
      </c>
      <c r="G16" s="0" t="n">
        <f aca="false">SUM(G13:G15)</f>
        <v>37783542.6423936</v>
      </c>
      <c r="H16" s="0" t="n">
        <f aca="false">SUM(H13:H15)</f>
        <v>47634086.807424</v>
      </c>
      <c r="I16" s="0" t="n">
        <f aca="false">SUM(I13:I15)</f>
        <v>49063109.4116467</v>
      </c>
      <c r="J16" s="0" t="n">
        <f aca="false">SUM(J13:J15)</f>
        <v>50535002.6939961</v>
      </c>
      <c r="K16" s="0" t="n">
        <f aca="false">SUM(K13:K15)</f>
        <v>52051052.774816</v>
      </c>
      <c r="L16" s="0" t="n">
        <f aca="false">SUM(L13:L15)</f>
        <v>53612584.3580605</v>
      </c>
      <c r="M16" s="0" t="n">
        <f aca="false">SUM(M13:M15)</f>
        <v>55220961.8888023</v>
      </c>
      <c r="N16" s="0" t="n">
        <f aca="false">SUM(N13:N15)</f>
        <v>56877590.7454664</v>
      </c>
      <c r="O16" s="0" t="n">
        <f aca="false">SUM(O13:O15)</f>
        <v>58583918.4678304</v>
      </c>
    </row>
    <row r="17" customFormat="false" ht="15" hidden="false" customHeight="false" outlineLevel="0" collapsed="false">
      <c r="B17" s="0" t="s">
        <v>47</v>
      </c>
      <c r="C17" s="0" t="n">
        <f aca="false">-C13*Assumptions!$C$16</f>
        <v>-0</v>
      </c>
      <c r="D17" s="0" t="n">
        <f aca="false">-D13*Assumptions!$C$16</f>
        <v>-0</v>
      </c>
      <c r="E17" s="0" t="n">
        <f aca="false">-E13*Assumptions!$C$16</f>
        <v>-0</v>
      </c>
      <c r="F17" s="0" t="n">
        <f aca="false">-F13*Assumptions!$C$16</f>
        <v>-1843880.822784</v>
      </c>
      <c r="G17" s="0" t="n">
        <f aca="false">-G13*Assumptions!$C$16</f>
        <v>-2518902.84282624</v>
      </c>
      <c r="H17" s="0" t="n">
        <f aca="false">-H13*Assumptions!$C$16</f>
        <v>-3175605.7871616</v>
      </c>
      <c r="I17" s="0" t="n">
        <f aca="false">-I13*Assumptions!$C$16</f>
        <v>-3270873.96077645</v>
      </c>
      <c r="J17" s="0" t="n">
        <f aca="false">-J13*Assumptions!$C$16</f>
        <v>-3369000.17959974</v>
      </c>
      <c r="K17" s="0" t="n">
        <f aca="false">-K13*Assumptions!$C$16</f>
        <v>-3470070.18498773</v>
      </c>
      <c r="L17" s="0" t="n">
        <f aca="false">-L13*Assumptions!$C$16</f>
        <v>-3574172.29053737</v>
      </c>
      <c r="M17" s="0" t="n">
        <f aca="false">-M13*Assumptions!$C$16</f>
        <v>-3681397.45925349</v>
      </c>
      <c r="N17" s="0" t="n">
        <f aca="false">-N13*Assumptions!$C$16</f>
        <v>-3791839.38303109</v>
      </c>
      <c r="O17" s="0" t="n">
        <f aca="false">-O13*Assumptions!$C$16</f>
        <v>-3905594.56452202</v>
      </c>
    </row>
    <row r="18" customFormat="false" ht="15" hidden="false" customHeight="false" outlineLevel="0" collapsed="false">
      <c r="B18" s="0" t="s">
        <v>48</v>
      </c>
      <c r="C18" s="0" t="n">
        <f aca="false">-MAX(0,C16)*Assumptions!$C$17</f>
        <v>-0</v>
      </c>
      <c r="D18" s="0" t="n">
        <f aca="false">-MAX(0,D16)*Assumptions!$C$17</f>
        <v>-0</v>
      </c>
      <c r="E18" s="0" t="n">
        <f aca="false">-MAX(0,E16)*Assumptions!$C$17</f>
        <v>-0</v>
      </c>
      <c r="F18" s="0" t="n">
        <f aca="false">-MAX(0,F16)*Assumptions!$C$17</f>
        <v>-2212656.9873408</v>
      </c>
      <c r="G18" s="0" t="n">
        <f aca="false">-MAX(0,G16)*Assumptions!$C$17</f>
        <v>-3022683.41139149</v>
      </c>
      <c r="H18" s="0" t="n">
        <f aca="false">-MAX(0,H16)*Assumptions!$C$17</f>
        <v>-3810726.94459392</v>
      </c>
      <c r="I18" s="0" t="n">
        <f aca="false">-MAX(0,I16)*Assumptions!$C$17</f>
        <v>-3925048.75293174</v>
      </c>
      <c r="J18" s="0" t="n">
        <f aca="false">-MAX(0,J16)*Assumptions!$C$17</f>
        <v>-4042800.21551969</v>
      </c>
      <c r="K18" s="0" t="n">
        <f aca="false">-MAX(0,K16)*Assumptions!$C$17</f>
        <v>-4164084.22198528</v>
      </c>
      <c r="L18" s="0" t="n">
        <f aca="false">-MAX(0,L16)*Assumptions!$C$17</f>
        <v>-4289006.74864484</v>
      </c>
      <c r="M18" s="0" t="n">
        <f aca="false">-MAX(0,M16)*Assumptions!$C$17</f>
        <v>-4417676.95110419</v>
      </c>
      <c r="N18" s="0" t="n">
        <f aca="false">-MAX(0,N16)*Assumptions!$C$17</f>
        <v>-4550207.25963731</v>
      </c>
      <c r="O18" s="0" t="n">
        <f aca="false">-MAX(0,O16)*Assumptions!$C$17</f>
        <v>-4686713.47742643</v>
      </c>
    </row>
    <row r="19" customFormat="false" ht="15" hidden="false" customHeight="false" outlineLevel="0" collapsed="false">
      <c r="B19" s="0" t="s">
        <v>49</v>
      </c>
      <c r="C19" s="0" t="n">
        <f aca="false">-C13*Assumptions!$C$18</f>
        <v>-0</v>
      </c>
      <c r="D19" s="0" t="n">
        <f aca="false">-D13*Assumptions!$C$18</f>
        <v>-0</v>
      </c>
      <c r="E19" s="0" t="n">
        <f aca="false">-E13*Assumptions!$C$18</f>
        <v>-0</v>
      </c>
      <c r="F19" s="0" t="n">
        <f aca="false">-F13*Assumptions!$C$18</f>
        <v>-2458507.763712</v>
      </c>
      <c r="G19" s="0" t="n">
        <f aca="false">-G13*Assumptions!$C$18</f>
        <v>-3358537.12376832</v>
      </c>
      <c r="H19" s="0" t="n">
        <f aca="false">-H13*Assumptions!$C$18</f>
        <v>-4234141.0495488</v>
      </c>
      <c r="I19" s="0" t="n">
        <f aca="false">-I13*Assumptions!$C$18</f>
        <v>-4361165.28103526</v>
      </c>
      <c r="J19" s="0" t="n">
        <f aca="false">-J13*Assumptions!$C$18</f>
        <v>-4492000.23946632</v>
      </c>
      <c r="K19" s="0" t="n">
        <f aca="false">-K13*Assumptions!$C$18</f>
        <v>-4626760.24665031</v>
      </c>
      <c r="L19" s="0" t="n">
        <f aca="false">-L13*Assumptions!$C$18</f>
        <v>-4765563.05404982</v>
      </c>
      <c r="M19" s="0" t="n">
        <f aca="false">-M13*Assumptions!$C$18</f>
        <v>-4908529.94567132</v>
      </c>
      <c r="N19" s="0" t="n">
        <f aca="false">-N13*Assumptions!$C$18</f>
        <v>-5055785.84404146</v>
      </c>
      <c r="O19" s="0" t="n">
        <f aca="false">-O13*Assumptions!$C$18</f>
        <v>-5207459.4193627</v>
      </c>
    </row>
    <row r="20" customFormat="false" ht="15" hidden="false" customHeight="false" outlineLevel="0" collapsed="false">
      <c r="B20" s="0" t="s">
        <v>50</v>
      </c>
      <c r="C20" s="0" t="n">
        <f aca="false">SUM(C16:C19)</f>
        <v>0</v>
      </c>
      <c r="D20" s="0" t="n">
        <f aca="false">SUM(D16:D19)</f>
        <v>0</v>
      </c>
      <c r="E20" s="0" t="n">
        <f aca="false">SUM(E16:E19)</f>
        <v>0</v>
      </c>
      <c r="F20" s="0" t="n">
        <f aca="false">SUM(F16:F19)</f>
        <v>21143166.7679232</v>
      </c>
      <c r="G20" s="0" t="n">
        <f aca="false">SUM(G16:G19)</f>
        <v>28883419.2644076</v>
      </c>
      <c r="H20" s="0" t="n">
        <f aca="false">SUM(H16:H19)</f>
        <v>36413613.0261197</v>
      </c>
      <c r="I20" s="0" t="n">
        <f aca="false">SUM(I16:I19)</f>
        <v>37506021.4169033</v>
      </c>
      <c r="J20" s="0" t="n">
        <f aca="false">SUM(J16:J19)</f>
        <v>38631202.0594104</v>
      </c>
      <c r="K20" s="0" t="n">
        <f aca="false">SUM(K16:K19)</f>
        <v>39790138.1211927</v>
      </c>
      <c r="L20" s="0" t="n">
        <f aca="false">SUM(L16:L19)</f>
        <v>40983842.2648285</v>
      </c>
      <c r="M20" s="0" t="n">
        <f aca="false">SUM(M16:M19)</f>
        <v>42213357.5327733</v>
      </c>
      <c r="N20" s="0" t="n">
        <f aca="false">SUM(N16:N19)</f>
        <v>43479758.2587565</v>
      </c>
      <c r="O20" s="0" t="n">
        <f aca="false">SUM(O16:O19)</f>
        <v>44784151.0065192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51</v>
      </c>
    </row>
    <row r="4" customFormat="false" ht="15" hidden="false" customHeight="false" outlineLevel="0" collapsed="false">
      <c r="B4" s="0" t="s">
        <v>36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</row>
    <row r="6" customFormat="false" ht="15" hidden="false" customHeight="false" outlineLevel="0" collapsed="false">
      <c r="B6" s="0" t="s">
        <v>11</v>
      </c>
      <c r="C6" s="0" t="n">
        <f aca="false">IF(C$4=0,-Assumptions!$C$5,0)</f>
        <v>-95000000</v>
      </c>
      <c r="D6" s="0" t="n">
        <f aca="false">IF(D$4=0,-Assumptions!$C$5,0)</f>
        <v>0</v>
      </c>
      <c r="E6" s="0" t="n">
        <f aca="false">IF(E$4=0,-Assumptions!$C$5,0)</f>
        <v>0</v>
      </c>
      <c r="F6" s="0" t="n">
        <f aca="false">IF(F$4=0,-Assumptions!$C$5,0)</f>
        <v>0</v>
      </c>
      <c r="G6" s="0" t="n">
        <f aca="false">IF(G$4=0,-Assumptions!$C$5,0)</f>
        <v>0</v>
      </c>
      <c r="H6" s="0" t="n">
        <f aca="false">IF(H$4=0,-Assumptions!$C$5,0)</f>
        <v>0</v>
      </c>
      <c r="I6" s="0" t="n">
        <f aca="false">IF(I$4=0,-Assumptions!$C$5,0)</f>
        <v>0</v>
      </c>
      <c r="J6" s="0" t="n">
        <f aca="false">IF(J$4=0,-Assumptions!$C$5,0)</f>
        <v>0</v>
      </c>
      <c r="K6" s="0" t="n">
        <f aca="false">IF(K$4=0,-Assumptions!$C$5,0)</f>
        <v>0</v>
      </c>
      <c r="L6" s="0" t="n">
        <f aca="false">IF(L$4=0,-Assumptions!$C$5,0)</f>
        <v>0</v>
      </c>
      <c r="M6" s="0" t="n">
        <f aca="false">IF(M$4=0,-Assumptions!$C$5,0)</f>
        <v>0</v>
      </c>
      <c r="N6" s="0" t="n">
        <f aca="false">IF(N$4=0,-Assumptions!$C$5,0)</f>
        <v>0</v>
      </c>
      <c r="O6" s="0" t="n">
        <f aca="false">IF(O$4=0,-Assumptions!$C$5,0)</f>
        <v>0</v>
      </c>
    </row>
    <row r="7" customFormat="false" ht="15" hidden="false" customHeight="false" outlineLevel="0" collapsed="false">
      <c r="B7" s="0" t="s">
        <v>52</v>
      </c>
      <c r="C7" s="0" t="n">
        <f aca="false">IF(AND(C$4&gt;=1,C$4&lt;ROUND(Assumptions!$C$8,0)),-Assumptions!$C$4*Assumptions!$C$6/(ROUND(Assumptions!$C$8,0)-1),0)</f>
        <v>0</v>
      </c>
      <c r="D7" s="0" t="n">
        <f aca="false">IF(AND(D$4&gt;=1,D$4&lt;ROUND(Assumptions!$C$8,0)),-Assumptions!$C$4*Assumptions!$C$6/(ROUND(Assumptions!$C$8,0)-1),0)</f>
        <v>-184000000</v>
      </c>
      <c r="E7" s="0" t="n">
        <f aca="false">IF(AND(E$4&gt;=1,E$4&lt;ROUND(Assumptions!$C$8,0)),-Assumptions!$C$4*Assumptions!$C$6/(ROUND(Assumptions!$C$8,0)-1),0)</f>
        <v>-184000000</v>
      </c>
      <c r="F7" s="0" t="n">
        <f aca="false">IF(AND(F$4&gt;=1,F$4&lt;ROUND(Assumptions!$C$8,0)),-Assumptions!$C$4*Assumptions!$C$6/(ROUND(Assumptions!$C$8,0)-1),0)</f>
        <v>0</v>
      </c>
      <c r="G7" s="0" t="n">
        <f aca="false">IF(AND(G$4&gt;=1,G$4&lt;ROUND(Assumptions!$C$8,0)),-Assumptions!$C$4*Assumptions!$C$6/(ROUND(Assumptions!$C$8,0)-1),0)</f>
        <v>0</v>
      </c>
      <c r="H7" s="0" t="n">
        <f aca="false">IF(AND(H$4&gt;=1,H$4&lt;ROUND(Assumptions!$C$8,0)),-Assumptions!$C$4*Assumptions!$C$6/(ROUND(Assumptions!$C$8,0)-1),0)</f>
        <v>0</v>
      </c>
      <c r="I7" s="0" t="n">
        <f aca="false">IF(AND(I$4&gt;=1,I$4&lt;ROUND(Assumptions!$C$8,0)),-Assumptions!$C$4*Assumptions!$C$6/(ROUND(Assumptions!$C$8,0)-1),0)</f>
        <v>0</v>
      </c>
      <c r="J7" s="0" t="n">
        <f aca="false">IF(AND(J$4&gt;=1,J$4&lt;ROUND(Assumptions!$C$8,0)),-Assumptions!$C$4*Assumptions!$C$6/(ROUND(Assumptions!$C$8,0)-1),0)</f>
        <v>0</v>
      </c>
      <c r="K7" s="0" t="n">
        <f aca="false">IF(AND(K$4&gt;=1,K$4&lt;ROUND(Assumptions!$C$8,0)),-Assumptions!$C$4*Assumptions!$C$6/(ROUND(Assumptions!$C$8,0)-1),0)</f>
        <v>0</v>
      </c>
      <c r="L7" s="0" t="n">
        <f aca="false">IF(AND(L$4&gt;=1,L$4&lt;ROUND(Assumptions!$C$8,0)),-Assumptions!$C$4*Assumptions!$C$6/(ROUND(Assumptions!$C$8,0)-1),0)</f>
        <v>0</v>
      </c>
      <c r="M7" s="0" t="n">
        <f aca="false">IF(AND(M$4&gt;=1,M$4&lt;ROUND(Assumptions!$C$8,0)),-Assumptions!$C$4*Assumptions!$C$6/(ROUND(Assumptions!$C$8,0)-1),0)</f>
        <v>0</v>
      </c>
      <c r="N7" s="0" t="n">
        <f aca="false">IF(AND(N$4&gt;=1,N$4&lt;ROUND(Assumptions!$C$8,0)),-Assumptions!$C$4*Assumptions!$C$6/(ROUND(Assumptions!$C$8,0)-1),0)</f>
        <v>0</v>
      </c>
      <c r="O7" s="0" t="n">
        <f aca="false">IF(AND(O$4&gt;=1,O$4&lt;ROUND(Assumptions!$C$8,0)),-Assumptions!$C$4*Assumptions!$C$6/(ROUND(Assumptions!$C$8,0)-1),0)</f>
        <v>0</v>
      </c>
    </row>
    <row r="8" customFormat="false" ht="15" hidden="false" customHeight="false" outlineLevel="0" collapsed="false">
      <c r="B8" s="0" t="s">
        <v>53</v>
      </c>
      <c r="C8" s="0" t="n">
        <f aca="false">IF(C$4=ROUND(Assumptions!$C$8,0)-1,-Assumptions!$C$7,0)</f>
        <v>0</v>
      </c>
      <c r="D8" s="0" t="n">
        <f aca="false">IF(D$4=ROUND(Assumptions!$C$8,0)-1,-Assumptions!$C$7,0)</f>
        <v>0</v>
      </c>
      <c r="E8" s="0" t="n">
        <f aca="false">IF(E$4=ROUND(Assumptions!$C$8,0)-1,-Assumptions!$C$7,0)</f>
        <v>-48000000</v>
      </c>
      <c r="F8" s="0" t="n">
        <f aca="false">IF(F$4=ROUND(Assumptions!$C$8,0)-1,-Assumptions!$C$7,0)</f>
        <v>0</v>
      </c>
      <c r="G8" s="0" t="n">
        <f aca="false">IF(G$4=ROUND(Assumptions!$C$8,0)-1,-Assumptions!$C$7,0)</f>
        <v>0</v>
      </c>
      <c r="H8" s="0" t="n">
        <f aca="false">IF(H$4=ROUND(Assumptions!$C$8,0)-1,-Assumptions!$C$7,0)</f>
        <v>0</v>
      </c>
      <c r="I8" s="0" t="n">
        <f aca="false">IF(I$4=ROUND(Assumptions!$C$8,0)-1,-Assumptions!$C$7,0)</f>
        <v>0</v>
      </c>
      <c r="J8" s="0" t="n">
        <f aca="false">IF(J$4=ROUND(Assumptions!$C$8,0)-1,-Assumptions!$C$7,0)</f>
        <v>0</v>
      </c>
      <c r="K8" s="0" t="n">
        <f aca="false">IF(K$4=ROUND(Assumptions!$C$8,0)-1,-Assumptions!$C$7,0)</f>
        <v>0</v>
      </c>
      <c r="L8" s="0" t="n">
        <f aca="false">IF(L$4=ROUND(Assumptions!$C$8,0)-1,-Assumptions!$C$7,0)</f>
        <v>0</v>
      </c>
      <c r="M8" s="0" t="n">
        <f aca="false">IF(M$4=ROUND(Assumptions!$C$8,0)-1,-Assumptions!$C$7,0)</f>
        <v>0</v>
      </c>
      <c r="N8" s="0" t="n">
        <f aca="false">IF(N$4=ROUND(Assumptions!$C$8,0)-1,-Assumptions!$C$7,0)</f>
        <v>0</v>
      </c>
      <c r="O8" s="0" t="n">
        <f aca="false">IF(O$4=ROUND(Assumptions!$C$8,0)-1,-Assumptions!$C$7,0)</f>
        <v>0</v>
      </c>
    </row>
    <row r="9" customFormat="false" ht="15" hidden="false" customHeight="false" outlineLevel="0" collapsed="false">
      <c r="B9" s="0" t="s">
        <v>50</v>
      </c>
      <c r="C9" s="0" t="n">
        <f aca="false">IF(C$4&lt;=ROUND(Assumptions!$C$19,0),Operations!C20,0)</f>
        <v>0</v>
      </c>
      <c r="D9" s="0" t="n">
        <f aca="false">IF(D$4&lt;=ROUND(Assumptions!$C$19,0),Operations!D20,0)</f>
        <v>0</v>
      </c>
      <c r="E9" s="0" t="n">
        <f aca="false">IF(E$4&lt;=ROUND(Assumptions!$C$19,0),Operations!E20,0)</f>
        <v>0</v>
      </c>
      <c r="F9" s="0" t="n">
        <f aca="false">IF(F$4&lt;=ROUND(Assumptions!$C$19,0),Operations!F20,0)</f>
        <v>21143166.7679232</v>
      </c>
      <c r="G9" s="0" t="n">
        <f aca="false">IF(G$4&lt;=ROUND(Assumptions!$C$19,0),Operations!G20,0)</f>
        <v>28883419.2644076</v>
      </c>
      <c r="H9" s="0" t="n">
        <f aca="false">IF(H$4&lt;=ROUND(Assumptions!$C$19,0),Operations!H20,0)</f>
        <v>36413613.0261197</v>
      </c>
      <c r="I9" s="0" t="n">
        <f aca="false">IF(I$4&lt;=ROUND(Assumptions!$C$19,0),Operations!I20,0)</f>
        <v>37506021.4169033</v>
      </c>
      <c r="J9" s="0" t="n">
        <f aca="false">IF(J$4&lt;=ROUND(Assumptions!$C$19,0),Operations!J20,0)</f>
        <v>38631202.0594104</v>
      </c>
      <c r="K9" s="0" t="n">
        <f aca="false">IF(K$4&lt;=ROUND(Assumptions!$C$19,0),Operations!K20,0)</f>
        <v>39790138.1211927</v>
      </c>
      <c r="L9" s="0" t="n">
        <f aca="false">IF(L$4&lt;=ROUND(Assumptions!$C$19,0),Operations!L20,0)</f>
        <v>40983842.2648285</v>
      </c>
      <c r="M9" s="0" t="n">
        <f aca="false">IF(M$4&lt;=ROUND(Assumptions!$C$19,0),Operations!M20,0)</f>
        <v>42213357.5327733</v>
      </c>
      <c r="N9" s="0" t="n">
        <f aca="false">IF(N$4&lt;=ROUND(Assumptions!$C$19,0),Operations!N20,0)</f>
        <v>0</v>
      </c>
      <c r="O9" s="0" t="n">
        <f aca="false">IF(O$4&lt;=ROUND(Assumptions!$C$19,0),Operations!O20,0)</f>
        <v>0</v>
      </c>
    </row>
    <row r="10" customFormat="false" ht="15" hidden="false" customHeight="false" outlineLevel="0" collapsed="false">
      <c r="B10" s="0" t="s">
        <v>54</v>
      </c>
      <c r="C10" s="0" t="n">
        <f aca="false">IF(C$4=ROUND(Assumptions!$C$19,0),Operations!D20*Assumptions!$C$20*(1-Assumptions!$C$21),0)</f>
        <v>0</v>
      </c>
      <c r="D10" s="0" t="n">
        <f aca="false">IF(D$4=ROUND(Assumptions!$C$19,0),Operations!E20*Assumptions!$C$20*(1-Assumptions!$C$21),0)</f>
        <v>0</v>
      </c>
      <c r="E10" s="0" t="n">
        <f aca="false">IF(E$4=ROUND(Assumptions!$C$19,0),Operations!F20*Assumptions!$C$20*(1-Assumptions!$C$21),0)</f>
        <v>0</v>
      </c>
      <c r="F10" s="0" t="n">
        <f aca="false">IF(F$4=ROUND(Assumptions!$C$19,0),Operations!G20*Assumptions!$C$20*(1-Assumptions!$C$21),0)</f>
        <v>0</v>
      </c>
      <c r="G10" s="0" t="n">
        <f aca="false">IF(G$4=ROUND(Assumptions!$C$19,0),Operations!H20*Assumptions!$C$20*(1-Assumptions!$C$21),0)</f>
        <v>0</v>
      </c>
      <c r="H10" s="0" t="n">
        <f aca="false">IF(H$4=ROUND(Assumptions!$C$19,0),Operations!I20*Assumptions!$C$20*(1-Assumptions!$C$21),0)</f>
        <v>0</v>
      </c>
      <c r="I10" s="0" t="n">
        <f aca="false">IF(I$4=ROUND(Assumptions!$C$19,0),Operations!J20*Assumptions!$C$20*(1-Assumptions!$C$21),0)</f>
        <v>0</v>
      </c>
      <c r="J10" s="0" t="n">
        <f aca="false">IF(J$4=ROUND(Assumptions!$C$19,0),Operations!K20*Assumptions!$C$20*(1-Assumptions!$C$21),0)</f>
        <v>0</v>
      </c>
      <c r="K10" s="0" t="n">
        <f aca="false">IF(K$4=ROUND(Assumptions!$C$19,0),Operations!L20*Assumptions!$C$20*(1-Assumptions!$C$21),0)</f>
        <v>0</v>
      </c>
      <c r="L10" s="0" t="n">
        <f aca="false">IF(L$4=ROUND(Assumptions!$C$19,0),Operations!M20*Assumptions!$C$20*(1-Assumptions!$C$21),0)</f>
        <v>0</v>
      </c>
      <c r="M10" s="0" t="n">
        <f aca="false">IF(M$4=ROUND(Assumptions!$C$19,0),Operations!N20*Assumptions!$C$20*(1-Assumptions!$C$21),0)</f>
        <v>575237201.763349</v>
      </c>
      <c r="N10" s="0" t="n">
        <f aca="false">IF(N$4=ROUND(Assumptions!$C$19,0),Operations!O20*Assumptions!$C$20*(1-Assumptions!$C$21),0)</f>
        <v>0</v>
      </c>
      <c r="O10" s="0" t="n">
        <f aca="false">0</f>
        <v>0</v>
      </c>
    </row>
    <row r="11" customFormat="false" ht="15" hidden="false" customHeight="false" outlineLevel="0" collapsed="false">
      <c r="B11" s="0" t="s">
        <v>55</v>
      </c>
      <c r="C11" s="0" t="n">
        <f aca="false">SUM(C6:C10)</f>
        <v>-95000000</v>
      </c>
      <c r="D11" s="0" t="n">
        <f aca="false">SUM(D6:D10)</f>
        <v>-184000000</v>
      </c>
      <c r="E11" s="0" t="n">
        <f aca="false">SUM(E6:E10)</f>
        <v>-232000000</v>
      </c>
      <c r="F11" s="0" t="n">
        <f aca="false">SUM(F6:F10)</f>
        <v>21143166.7679232</v>
      </c>
      <c r="G11" s="0" t="n">
        <f aca="false">SUM(G6:G10)</f>
        <v>28883419.2644076</v>
      </c>
      <c r="H11" s="0" t="n">
        <f aca="false">SUM(H6:H10)</f>
        <v>36413613.0261197</v>
      </c>
      <c r="I11" s="0" t="n">
        <f aca="false">SUM(I6:I10)</f>
        <v>37506021.4169033</v>
      </c>
      <c r="J11" s="0" t="n">
        <f aca="false">SUM(J6:J10)</f>
        <v>38631202.0594104</v>
      </c>
      <c r="K11" s="0" t="n">
        <f aca="false">SUM(K6:K10)</f>
        <v>39790138.1211927</v>
      </c>
      <c r="L11" s="0" t="n">
        <f aca="false">SUM(L6:L10)</f>
        <v>40983842.2648285</v>
      </c>
      <c r="M11" s="0" t="n">
        <f aca="false">SUM(M6:M10)</f>
        <v>617450559.296122</v>
      </c>
      <c r="N11" s="0" t="n">
        <f aca="false">SUM(N6:N10)</f>
        <v>0</v>
      </c>
      <c r="O11" s="0" t="n">
        <f aca="false">SUM(O6:O10)</f>
        <v>0</v>
      </c>
    </row>
    <row r="13" customFormat="false" ht="15" hidden="false" customHeight="false" outlineLevel="0" collapsed="false">
      <c r="B13" s="0" t="s">
        <v>56</v>
      </c>
      <c r="C13" s="0" t="n">
        <f aca="false">-SUM(C6:C8)*Assumptions!$C$22</f>
        <v>52250000</v>
      </c>
      <c r="D13" s="0" t="n">
        <f aca="false">-SUM(D6:D8)*Assumptions!$C$22</f>
        <v>101200000</v>
      </c>
      <c r="E13" s="0" t="n">
        <f aca="false">-SUM(E6:E8)*Assumptions!$C$22</f>
        <v>127600000</v>
      </c>
      <c r="F13" s="0" t="n">
        <f aca="false">-SUM(F6:F8)*Assumptions!$C$22</f>
        <v>-0</v>
      </c>
      <c r="G13" s="0" t="n">
        <f aca="false">-SUM(G6:G8)*Assumptions!$C$22</f>
        <v>-0</v>
      </c>
      <c r="H13" s="0" t="n">
        <f aca="false">-SUM(H6:H8)*Assumptions!$C$22</f>
        <v>-0</v>
      </c>
      <c r="I13" s="0" t="n">
        <f aca="false">-SUM(I6:I8)*Assumptions!$C$22</f>
        <v>-0</v>
      </c>
      <c r="J13" s="0" t="n">
        <f aca="false">-SUM(J6:J8)*Assumptions!$C$22</f>
        <v>-0</v>
      </c>
      <c r="K13" s="0" t="n">
        <f aca="false">-SUM(K6:K8)*Assumptions!$C$22</f>
        <v>-0</v>
      </c>
      <c r="L13" s="0" t="n">
        <f aca="false">-SUM(L6:L8)*Assumptions!$C$22</f>
        <v>-0</v>
      </c>
      <c r="M13" s="0" t="n">
        <f aca="false">-SUM(M6:M8)*Assumptions!$C$22</f>
        <v>-0</v>
      </c>
      <c r="N13" s="0" t="n">
        <f aca="false">-SUM(N6:N8)*Assumptions!$C$22</f>
        <v>-0</v>
      </c>
      <c r="O13" s="0" t="n">
        <f aca="false">-SUM(O6:O8)*Assumptions!$C$22</f>
        <v>-0</v>
      </c>
    </row>
    <row r="14" customFormat="false" ht="15" hidden="false" customHeight="false" outlineLevel="0" collapsed="false">
      <c r="B14" s="0" t="s">
        <v>57</v>
      </c>
      <c r="C14" s="0" t="n">
        <f aca="false">0</f>
        <v>0</v>
      </c>
      <c r="D14" s="0" t="n">
        <f aca="false">-C16*Assumptions!$C$23</f>
        <v>-3396250</v>
      </c>
      <c r="E14" s="0" t="n">
        <f aca="false">-D16*Assumptions!$C$23</f>
        <v>-9974250</v>
      </c>
      <c r="F14" s="0" t="n">
        <f aca="false">-E16*Assumptions!$C$23</f>
        <v>-18268250</v>
      </c>
      <c r="G14" s="0" t="n">
        <f aca="false">-F16*Assumptions!$C$23</f>
        <v>-17354837.5</v>
      </c>
      <c r="H14" s="0" t="n">
        <f aca="false">-G16*Assumptions!$C$23</f>
        <v>-16441425</v>
      </c>
      <c r="I14" s="0" t="n">
        <f aca="false">-H16*Assumptions!$C$23</f>
        <v>-15528012.5</v>
      </c>
      <c r="J14" s="0" t="n">
        <f aca="false">-I16*Assumptions!$C$23</f>
        <v>-14614600</v>
      </c>
      <c r="K14" s="0" t="n">
        <f aca="false">-J16*Assumptions!$C$23</f>
        <v>-13701187.5</v>
      </c>
      <c r="L14" s="0" t="n">
        <f aca="false">-K16*Assumptions!$C$23</f>
        <v>-12787775</v>
      </c>
      <c r="M14" s="0" t="n">
        <f aca="false">-L16*Assumptions!$C$23</f>
        <v>-11874362.5</v>
      </c>
      <c r="N14" s="0" t="n">
        <f aca="false">-M16*Assumptions!$C$23</f>
        <v>-0</v>
      </c>
      <c r="O14" s="0" t="n">
        <f aca="false">-N16*Assumptions!$C$23</f>
        <v>-0</v>
      </c>
    </row>
    <row r="15" customFormat="false" ht="15" hidden="false" customHeight="false" outlineLevel="0" collapsed="false">
      <c r="B15" s="0" t="s">
        <v>58</v>
      </c>
      <c r="C15" s="0" t="n">
        <f aca="false">0</f>
        <v>0</v>
      </c>
      <c r="D15" s="0" t="n">
        <f aca="false">-IF(D$4=ROUND(Assumptions!$C$19,0),C16,IF(D$4&gt;ROUND(Assumptions!$C$19,0),0,IF(AND(D$4&gt;=ROUND(Assumptions!$C$8,0),D$4&lt;ROUND(Assumptions!$C$19,0)),C16/MAX(1,Assumptions!$C$24-(D$4-ROUND(Assumptions!$C$8,0))),0)))</f>
        <v>-0</v>
      </c>
      <c r="E15" s="0" t="n">
        <f aca="false">-IF(E$4=ROUND(Assumptions!$C$19,0),D16,IF(E$4&gt;ROUND(Assumptions!$C$19,0),0,IF(AND(E$4&gt;=ROUND(Assumptions!$C$8,0),E$4&lt;ROUND(Assumptions!$C$19,0)),D16/MAX(1,Assumptions!$C$24-(E$4-ROUND(Assumptions!$C$8,0))),0)))</f>
        <v>-0</v>
      </c>
      <c r="F15" s="0" t="n">
        <f aca="false">-IF(F$4=ROUND(Assumptions!$C$19,0),E16,IF(F$4&gt;ROUND(Assumptions!$C$19,0),0,IF(AND(F$4&gt;=ROUND(Assumptions!$C$8,0),F$4&lt;ROUND(Assumptions!$C$19,0)),E16/MAX(1,Assumptions!$C$24-(F$4-ROUND(Assumptions!$C$8,0))),0)))</f>
        <v>-14052500</v>
      </c>
      <c r="G15" s="0" t="n">
        <f aca="false">-IF(G$4=ROUND(Assumptions!$C$19,0),F16,IF(G$4&gt;ROUND(Assumptions!$C$19,0),0,IF(AND(G$4&gt;=ROUND(Assumptions!$C$8,0),G$4&lt;ROUND(Assumptions!$C$19,0)),F16/MAX(1,Assumptions!$C$24-(G$4-ROUND(Assumptions!$C$8,0))),0)))</f>
        <v>-14052500</v>
      </c>
      <c r="H15" s="0" t="n">
        <f aca="false">-IF(H$4=ROUND(Assumptions!$C$19,0),G16,IF(H$4&gt;ROUND(Assumptions!$C$19,0),0,IF(AND(H$4&gt;=ROUND(Assumptions!$C$8,0),H$4&lt;ROUND(Assumptions!$C$19,0)),G16/MAX(1,Assumptions!$C$24-(H$4-ROUND(Assumptions!$C$8,0))),0)))</f>
        <v>-14052500</v>
      </c>
      <c r="I15" s="0" t="n">
        <f aca="false">-IF(I$4=ROUND(Assumptions!$C$19,0),H16,IF(I$4&gt;ROUND(Assumptions!$C$19,0),0,IF(AND(I$4&gt;=ROUND(Assumptions!$C$8,0),I$4&lt;ROUND(Assumptions!$C$19,0)),H16/MAX(1,Assumptions!$C$24-(I$4-ROUND(Assumptions!$C$8,0))),0)))</f>
        <v>-14052500</v>
      </c>
      <c r="J15" s="0" t="n">
        <f aca="false">-IF(J$4=ROUND(Assumptions!$C$19,0),I16,IF(J$4&gt;ROUND(Assumptions!$C$19,0),0,IF(AND(J$4&gt;=ROUND(Assumptions!$C$8,0),J$4&lt;ROUND(Assumptions!$C$19,0)),I16/MAX(1,Assumptions!$C$24-(J$4-ROUND(Assumptions!$C$8,0))),0)))</f>
        <v>-14052500</v>
      </c>
      <c r="K15" s="0" t="n">
        <f aca="false">-IF(K$4=ROUND(Assumptions!$C$19,0),J16,IF(K$4&gt;ROUND(Assumptions!$C$19,0),0,IF(AND(K$4&gt;=ROUND(Assumptions!$C$8,0),K$4&lt;ROUND(Assumptions!$C$19,0)),J16/MAX(1,Assumptions!$C$24-(K$4-ROUND(Assumptions!$C$8,0))),0)))</f>
        <v>-14052500</v>
      </c>
      <c r="L15" s="0" t="n">
        <f aca="false">-IF(L$4=ROUND(Assumptions!$C$19,0),K16,IF(L$4&gt;ROUND(Assumptions!$C$19,0),0,IF(AND(L$4&gt;=ROUND(Assumptions!$C$8,0),L$4&lt;ROUND(Assumptions!$C$19,0)),K16/MAX(1,Assumptions!$C$24-(L$4-ROUND(Assumptions!$C$8,0))),0)))</f>
        <v>-14052500</v>
      </c>
      <c r="M15" s="0" t="n">
        <f aca="false">-IF(M$4=ROUND(Assumptions!$C$19,0),L16,IF(M$4&gt;ROUND(Assumptions!$C$19,0),0,IF(AND(M$4&gt;=ROUND(Assumptions!$C$8,0),M$4&lt;ROUND(Assumptions!$C$19,0)),L16/MAX(1,Assumptions!$C$24-(M$4-ROUND(Assumptions!$C$8,0))),0)))</f>
        <v>-182682500</v>
      </c>
      <c r="N15" s="0" t="n">
        <f aca="false">-IF(N$4=ROUND(Assumptions!$C$19,0),M16,IF(N$4&gt;ROUND(Assumptions!$C$19,0),0,IF(AND(N$4&gt;=ROUND(Assumptions!$C$8,0),N$4&lt;ROUND(Assumptions!$C$19,0)),M16/MAX(1,Assumptions!$C$24-(N$4-ROUND(Assumptions!$C$8,0))),0)))</f>
        <v>-0</v>
      </c>
      <c r="O15" s="0" t="n">
        <f aca="false">-IF(O$4=ROUND(Assumptions!$C$19,0),N16,IF(O$4&gt;ROUND(Assumptions!$C$19,0),0,IF(AND(O$4&gt;=ROUND(Assumptions!$C$8,0),O$4&lt;ROUND(Assumptions!$C$19,0)),N16/MAX(1,Assumptions!$C$24-(O$4-ROUND(Assumptions!$C$8,0))),0)))</f>
        <v>-0</v>
      </c>
    </row>
    <row r="16" customFormat="false" ht="15" hidden="false" customHeight="false" outlineLevel="0" collapsed="false">
      <c r="B16" s="0" t="s">
        <v>59</v>
      </c>
      <c r="C16" s="0" t="n">
        <f aca="false">C13</f>
        <v>52250000</v>
      </c>
      <c r="D16" s="0" t="n">
        <f aca="false">C16+D13+D15</f>
        <v>153450000</v>
      </c>
      <c r="E16" s="0" t="n">
        <f aca="false">D16+E13+E15</f>
        <v>281050000</v>
      </c>
      <c r="F16" s="0" t="n">
        <f aca="false">E16+F13+F15</f>
        <v>266997500</v>
      </c>
      <c r="G16" s="0" t="n">
        <f aca="false">F16+G13+G15</f>
        <v>252945000</v>
      </c>
      <c r="H16" s="0" t="n">
        <f aca="false">G16+H13+H15</f>
        <v>238892500</v>
      </c>
      <c r="I16" s="0" t="n">
        <f aca="false">H16+I13+I15</f>
        <v>224840000</v>
      </c>
      <c r="J16" s="0" t="n">
        <f aca="false">I16+J13+J15</f>
        <v>210787500</v>
      </c>
      <c r="K16" s="0" t="n">
        <f aca="false">J16+K13+K15</f>
        <v>196735000</v>
      </c>
      <c r="L16" s="0" t="n">
        <f aca="false">K16+L13+L15</f>
        <v>182682500</v>
      </c>
      <c r="M16" s="0" t="n">
        <f aca="false">L16+M13+M15</f>
        <v>0</v>
      </c>
      <c r="N16" s="0" t="n">
        <f aca="false">M16+N13+N15</f>
        <v>0</v>
      </c>
      <c r="O16" s="0" t="n">
        <f aca="false">N16+O13+O15</f>
        <v>0</v>
      </c>
    </row>
    <row r="18" customFormat="false" ht="15" hidden="false" customHeight="false" outlineLevel="0" collapsed="false">
      <c r="B18" s="0" t="s">
        <v>60</v>
      </c>
      <c r="C18" s="0" t="n">
        <f aca="false">C11+C13+C14+C15</f>
        <v>-42750000</v>
      </c>
      <c r="D18" s="0" t="n">
        <f aca="false">D11+D13+D14+D15</f>
        <v>-86196250</v>
      </c>
      <c r="E18" s="0" t="n">
        <f aca="false">E11+E13+E14+E15</f>
        <v>-114374250</v>
      </c>
      <c r="F18" s="0" t="n">
        <f aca="false">F11+F13+F14+F15</f>
        <v>-11177583.2320768</v>
      </c>
      <c r="G18" s="0" t="n">
        <f aca="false">G11+G13+G14+G15</f>
        <v>-2523918.23559246</v>
      </c>
      <c r="H18" s="0" t="n">
        <f aca="false">H11+H13+H14+H15</f>
        <v>5919688.02611967</v>
      </c>
      <c r="I18" s="0" t="n">
        <f aca="false">I11+I13+I14+I15</f>
        <v>7925508.91690326</v>
      </c>
      <c r="J18" s="0" t="n">
        <f aca="false">J11+J13+J14+J15</f>
        <v>9964102.05941036</v>
      </c>
      <c r="K18" s="0" t="n">
        <f aca="false">K11+K13+K14+K15</f>
        <v>12036450.6211927</v>
      </c>
      <c r="L18" s="0" t="n">
        <f aca="false">L11+L13+L14+L15</f>
        <v>14143567.2648285</v>
      </c>
      <c r="M18" s="0" t="n">
        <f aca="false">M11+M13+M14+M15</f>
        <v>422893696.796122</v>
      </c>
      <c r="N18" s="0" t="n">
        <f aca="false">N11+N13+N14+N15</f>
        <v>0</v>
      </c>
      <c r="O18" s="0" t="n">
        <f aca="false">O11+O13+O14+O15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2026-10-19T12:57:27Z</dcterms:created>
  <dc:creator>openpyxl</dc:creator>
  <dc:description/>
  <dc:language>en-US</dc:language>
  <cp:lastModifiedBy/>
  <dcterms:modified xsi:type="dcterms:W3CDTF">2026-10-19T12:57:27Z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