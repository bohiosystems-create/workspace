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odel" sheetId="2" state="visible" r:id="rId4"/>
    <sheet name="Dashboard" sheetId="3" state="visible" r:id="rId5"/>
    <sheet name="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<sst xmlns="http://schemas.openxmlformats.org/spreadsheetml/2006/main" count="42" uniqueCount="41">
  <si>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Input</t>
  </si>
  <si>
    <t xml:space="preserve">Value</t>
  </si>
  <si>
    <t xml:space="preserve">Land cost</t>
  </si>
  <si>
    <t xml:space="preserve">Construction cost</t>
  </si>
  <si>
    <t xml:space="preserve">Professional fees %</t>
  </si>
  <si>
    <t xml:space="preserve">Contingency %</t>
  </si>
  <si>
    <t xml:space="preserve">Marketing %</t>
  </si>
  <si>
    <t xml:space="preserve">Sale price per unit</t>
  </si>
  <si>
    <t xml:space="preserve">Units</t>
  </si>
  <si>
    <t xml:space="preserve">Rent growth</t>
  </si>
  <si>
    <t xml:space="preserve">Exit yield</t>
  </si>
  <si>
    <t xml:space="preserve">Interest rate</t>
  </si>
  <si>
    <t xml:space="preserve">Debt %</t>
  </si>
  <si>
    <t xml:space="preserve">Model (SAR 000)</t>
  </si>
  <si>
    <t xml:space="preserve">Year</t>
  </si>
  <si>
    <t xml:space="preserve">Total</t>
  </si>
  <si>
    <t xml:space="preserve">S-curve</t>
  </si>
  <si>
    <t xml:space="preserve">Sales phasing</t>
  </si>
  <si>
    <t xml:space="preserve">Land</t>
  </si>
  <si>
    <t xml:space="preserve">Construction</t>
  </si>
  <si>
    <t xml:space="preserve">Professional fees</t>
  </si>
  <si>
    <t xml:space="preserve">Contingency</t>
  </si>
  <si>
    <t xml:space="preserve">Marketing</t>
  </si>
  <si>
    <t xml:space="preserve">Total cost</t>
  </si>
  <si>
    <t xml:space="preserve">Sales revenue</t>
  </si>
  <si>
    <t xml:space="preserve">Sales price index</t>
  </si>
  <si>
    <t xml:space="preserve">Net profit (sum)</t>
  </si>
  <si>
    <t xml:space="preserve">Net profit</t>
  </si>
  <si>
    <t xml:space="preserve">Debt drawn</t>
  </si>
  <si>
    <t xml:space="preserve">Interest</t>
  </si>
  <si>
    <t xml:space="preserve">Net cash flow</t>
  </si>
  <si>
    <t xml:space="preserve">Dashboard</t>
  </si>
  <si>
    <t xml:space="preserve">Levered IRR</t>
  </si>
  <si>
    <t xml:space="preserve">Total development cost</t>
  </si>
  <si>
    <t xml:space="preserve">Gross revenue</t>
  </si>
  <si>
    <t xml:space="preserve">Net profit check</t>
  </si>
  <si>
    <t xml:space="preserve">Peak debt</t>
  </si>
  <si>
    <t xml:space="preserve">Profit on cost</t>
  </si>
  <si>
    <t xml:space="preserve">Checks</t>
  </si>
  <si>
    <t xml:space="preserve">Check: sources - uses</t>
  </si>
  <si>
    <t xml:space="preserve">Check: phasing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</si>
</sst>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120000</v>
      </c>
    </row>
    <row r="3" customFormat="false" ht="15" hidden="false" customHeight="false" outlineLevel="0" collapsed="false">
      <c r="A3" s="0" t="s">
        <v>3</v>
      </c>
      <c r="B3" s="0" t="n">
        <v>400000</v>
      </c>
    </row>
    <row r="4" customFormat="false" ht="15" hidden="false" customHeight="false" outlineLevel="0" collapsed="false">
      <c r="A4" s="0" t="s">
        <v>4</v>
      </c>
      <c r="B4" s="1" t="n">
        <v>0.08</v>
      </c>
    </row>
    <row r="5" customFormat="false" ht="15" hidden="false" customHeight="false" outlineLevel="0" collapsed="false">
      <c r="A5" s="0" t="s">
        <v>5</v>
      </c>
      <c r="B5" s="1" t="n">
        <v>0.05</v>
      </c>
    </row>
    <row r="6" customFormat="false" ht="15" hidden="false" customHeight="false" outlineLevel="0" collapsed="false">
      <c r="A6" s="0" t="s">
        <v>6</v>
      </c>
      <c r="B6" s="1" t="n">
        <v>0.03</v>
      </c>
    </row>
    <row r="7" customFormat="false" ht="15" hidden="false" customHeight="false" outlineLevel="0" collapsed="false">
      <c r="A7" s="0" t="s">
        <v>7</v>
      </c>
      <c r="B7" s="0" t="n">
        <v>1800</v>
      </c>
    </row>
    <row r="8" customFormat="false" ht="15" hidden="false" customHeight="false" outlineLevel="0" collapsed="false">
      <c r="A8" s="0" t="s">
        <v>8</v>
      </c>
      <c r="B8" s="0" t="n">
        <v>400</v>
      </c>
    </row>
    <row r="9" customFormat="false" ht="15" hidden="false" customHeight="false" outlineLevel="0" collapsed="false">
      <c r="A9" s="0" t="s">
        <v>9</v>
      </c>
      <c r="B9" s="1" t="n">
        <v>0.03</v>
      </c>
    </row>
    <row r="10" customFormat="false" ht="15" hidden="false" customHeight="false" outlineLevel="0" collapsed="false">
      <c r="A10" s="0" t="s">
        <v>10</v>
      </c>
      <c r="B10" s="1" t="n">
        <v>0.07</v>
      </c>
    </row>
    <row r="11" customFormat="false" ht="15" hidden="false" customHeight="false" outlineLevel="0" collapsed="false">
      <c r="A11" s="0" t="s">
        <v>11</v>
      </c>
      <c r="B11" s="1" t="n">
        <v>0.06</v>
      </c>
    </row>
    <row r="12" customFormat="false" ht="15" hidden="false" customHeight="false" outlineLevel="0" collapsed="false">
      <c r="A12" s="0" t="s">
        <v>12</v>
      </c>
      <c r="B12" s="1" t="n">
        <v>0.55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</row>
    <row r="3" customFormat="false" ht="15" hidden="false" customHeight="false" outlineLevel="0" collapsed="false">
      <c r="A3" s="0" t="s">
        <v>14</v>
      </c>
      <c r="E3" s="0" t="n">
        <v>2026</v>
      </c>
      <c r="F3" s="0" t="n">
        <v>2027</v>
      </c>
      <c r="G3" s="0" t="n">
        <v>2028</v>
      </c>
      <c r="H3" s="0" t="n">
        <v>2030</v>
      </c>
      <c r="I3" s="0" t="n">
        <v>2031</v>
      </c>
      <c r="J3" s="0" t="n">
        <v>2032</v>
      </c>
      <c r="K3" s="0" t="n">
        <v>2033</v>
      </c>
      <c r="L3" s="0" t="n">
        <v>2034</v>
      </c>
      <c r="N3" s="0" t="s">
        <v>15</v>
      </c>
    </row>
    <row r="4" customFormat="false" ht="15" hidden="false" customHeight="false" outlineLevel="0" collapsed="false">
      <c r="A4" s="0" t="s">
        <v>16</v>
      </c>
      <c r="E4" s="2" t="n">
        <v>0.3</v>
      </c>
      <c r="F4" s="2" t="n">
        <v>0.4</v>
      </c>
      <c r="G4" s="2" t="n">
        <v>0.25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 customFormat="false" ht="15" hidden="false" customHeight="false" outlineLevel="0" collapsed="false">
      <c r="A5" s="0" t="s">
        <v>17</v>
      </c>
      <c r="E5" s="2" t="n">
        <v>0</v>
      </c>
      <c r="F5" s="2" t="n">
        <v>0.2</v>
      </c>
      <c r="G5" s="2" t="n">
        <v>0.4</v>
      </c>
      <c r="H5" s="2" t="n">
        <v>0.4</v>
      </c>
      <c r="I5" s="2" t="n">
        <v>0</v>
      </c>
      <c r="J5" s="2" t="n">
        <v>0</v>
      </c>
      <c r="K5" s="2" t="n">
        <v>0</v>
      </c>
      <c r="L5" s="2" t="n">
        <v>0</v>
      </c>
    </row>
    <row r="10" customFormat="false" ht="15" hidden="false" customHeight="false" outlineLevel="0" collapsed="false">
      <c r="A10" s="0" t="s">
        <v>18</v>
      </c>
      <c r="E10" s="0" t="n">
        <f aca="false">Inputs!$B$2*IF(E3=$E$3,1,0)</f>
        <v>120000</v>
      </c>
      <c r="F10" s="0" t="n">
        <f aca="false">Inputs!$B$2*IF(F3=$E$3,1,0)</f>
        <v>0</v>
      </c>
      <c r="G10" s="0" t="n">
        <f aca="false">Inputs!$B$2*IF(G3=$E$3,1,0)</f>
        <v>0</v>
      </c>
      <c r="H10" s="0" t="n">
        <f aca="false">Inputs!$B$2*IF(H3=$E$3,1,0)</f>
        <v>0</v>
      </c>
      <c r="I10" s="0" t="n">
        <f aca="false">Inputs!$B$2*IF(I3=$E$3,1,0)</f>
        <v>0</v>
      </c>
      <c r="J10" s="0" t="n">
        <f aca="false">Inputs!$B$2*IF(J3=$E$3,1,0)</f>
        <v>0</v>
      </c>
      <c r="K10" s="0" t="n">
        <f aca="false">Inputs!$B$2*IF(K3=$E$3,1,0)</f>
        <v>0</v>
      </c>
      <c r="L10" s="0" t="n">
        <f aca="false">Inputs!$B$2*IF(L3=$E$3,1,0)</f>
        <v>0</v>
      </c>
      <c r="N10" s="0" t="n">
        <f aca="false">SUM(E10:L10)</f>
        <v>120000</v>
      </c>
    </row>
    <row r="11" customFormat="false" ht="15" hidden="false" customHeight="false" outlineLevel="0" collapsed="false">
      <c r="A11" s="0" t="s">
        <v>19</v>
      </c>
      <c r="E11" s="0" t="n">
        <f aca="false">Inputs!$B$3*E4</f>
        <v>120000</v>
      </c>
      <c r="F11" s="0" t="n">
        <f aca="false">Inputs!$B$3*F4</f>
        <v>160000</v>
      </c>
      <c r="G11" s="0" t="n">
        <f aca="false">Inputs!$B$3*G4</f>
        <v>100000</v>
      </c>
      <c r="H11" s="0" t="n">
        <f aca="false">Inputs!$B$3*H4</f>
        <v>0</v>
      </c>
      <c r="I11" s="0" t="n">
        <f aca="false">Inputs!$B$3*I4</f>
        <v>0</v>
      </c>
      <c r="J11" s="0" t="n">
        <f aca="false">Inputs!$B$3*J4</f>
        <v>0</v>
      </c>
      <c r="K11" s="0" t="n">
        <f aca="false">Inputs!$B$3*K4</f>
        <v>0</v>
      </c>
      <c r="L11" s="0" t="n">
        <f aca="false">Inputs!$B$3*L4</f>
        <v>0</v>
      </c>
      <c r="N11" s="0" t="n">
        <f aca="false">SUM(E11:L11)</f>
        <v>380000</v>
      </c>
    </row>
    <row r="12" customFormat="false" ht="15" hidden="false" customHeight="false" outlineLevel="0" collapsed="false">
      <c r="A12" s="0" t="s">
        <v>20</v>
      </c>
      <c r="E12" s="0" t="n">
        <f aca="false">E11*Inputs!$B$4</f>
        <v>9600</v>
      </c>
      <c r="F12" s="0" t="n">
        <f aca="false">F11*Inputs!$B$4</f>
        <v>12800</v>
      </c>
      <c r="G12" s="0" t="n">
        <f aca="false">G11*Inputs!$B$4</f>
        <v>8000</v>
      </c>
      <c r="H12" s="0" t="n">
        <f aca="false">H11*Inputs!$B$4</f>
        <v>0</v>
      </c>
      <c r="I12" s="0" t="n">
        <f aca="false">I11*Inputs!$B$4</f>
        <v>0</v>
      </c>
      <c r="J12" s="0" t="n">
        <f aca="false">J11*Inputs!$B$4</f>
        <v>0</v>
      </c>
      <c r="K12" s="0" t="n">
        <f aca="false">K11*Inputs!$B$4</f>
        <v>0</v>
      </c>
      <c r="L12" s="0" t="n">
        <f aca="false">L11*Inputs!$B$4</f>
        <v>0</v>
      </c>
      <c r="N12" s="0" t="n">
        <f aca="false">SUM(E12:L12)</f>
        <v>30400</v>
      </c>
    </row>
    <row r="13" customFormat="false" ht="15" hidden="false" customHeight="false" outlineLevel="0" collapsed="false">
      <c r="A13" s="0" t="s">
        <v>21</v>
      </c>
      <c r="E13" s="0" t="n">
        <f aca="false">E11*Inputs!$B$5</f>
        <v>6000</v>
      </c>
      <c r="F13" s="0" t="n">
        <f aca="false">F11*Inputs!$B$5</f>
        <v>8000</v>
      </c>
      <c r="G13" s="0" t="n">
        <f aca="false">G11*Inputs!$B$5</f>
        <v>5000</v>
      </c>
      <c r="H13" s="0" t="n">
        <f aca="false">H11*Inputs!$B$5</f>
        <v>0</v>
      </c>
      <c r="I13" s="0" t="n">
        <f aca="false">I11*Inputs!$B$5</f>
        <v>0</v>
      </c>
      <c r="J13" s="0" t="n">
        <f aca="false">J11*Inputs!$B$5</f>
        <v>0</v>
      </c>
      <c r="K13" s="0" t="n">
        <f aca="false">K11*Inputs!$B$5</f>
        <v>0</v>
      </c>
      <c r="L13" s="0" t="n">
        <f aca="false">L11*Inputs!$B$5</f>
        <v>0</v>
      </c>
      <c r="N13" s="0" t="n">
        <f aca="false">SUM(E13:L13)</f>
        <v>19000</v>
      </c>
    </row>
    <row r="14" customFormat="false" ht="15" hidden="false" customHeight="false" outlineLevel="0" collapsed="false">
      <c r="A14" s="0" t="s">
        <v>22</v>
      </c>
      <c r="E14" s="0" t="n">
        <f aca="false">E17*Inputs!$B$6</f>
        <v>0</v>
      </c>
      <c r="F14" s="0" t="n">
        <f aca="false">F17*Inputs!$B$6</f>
        <v>4406.4</v>
      </c>
      <c r="G14" s="0" t="n">
        <f aca="false">G17*Inputs!$B$6</f>
        <v>8989.056</v>
      </c>
      <c r="H14" s="0" t="n">
        <f aca="false">H17*Inputs!$B$6</f>
        <v>9168.83712</v>
      </c>
      <c r="I14" s="0" t="n">
        <f aca="false">I17*Inputs!$B$6</f>
        <v>0</v>
      </c>
      <c r="J14" s="0" t="n">
        <f aca="false">J17*Inputs!$B$6</f>
        <v>0</v>
      </c>
      <c r="K14" s="0" t="n">
        <f aca="false">K17*Inputs!$B$6</f>
        <v>0</v>
      </c>
      <c r="L14" s="0" t="n">
        <f aca="false">L17*Inputs!$B$6</f>
        <v>0</v>
      </c>
      <c r="N14" s="0" t="n">
        <f aca="false">SUM(E14:L14)</f>
        <v>22564.29312</v>
      </c>
    </row>
    <row r="15" customFormat="false" ht="15" hidden="false" customHeight="false" outlineLevel="0" collapsed="false">
      <c r="A15" s="0" t="s">
        <v>23</v>
      </c>
      <c r="E15" s="0" t="n">
        <f aca="false">SUM(E10:E13)</f>
        <v>255600</v>
      </c>
      <c r="F15" s="0" t="n">
        <f aca="false">SUM(F10:F13)</f>
        <v>180800</v>
      </c>
      <c r="G15" s="0" t="n">
        <f aca="false">SUM(G10:G13)</f>
        <v>113000</v>
      </c>
      <c r="H15" s="0" t="n">
        <f aca="false">SUM(H10:H13)</f>
        <v>0</v>
      </c>
      <c r="I15" s="0" t="n">
        <f aca="false">SUM(I10:I13)</f>
        <v>0</v>
      </c>
      <c r="J15" s="0" t="n">
        <f aca="false">SUM(J10:J13)</f>
        <v>0</v>
      </c>
      <c r="K15" s="0" t="n">
        <f aca="false">SUM(K10:K13)</f>
        <v>0</v>
      </c>
      <c r="L15" s="0" t="n">
        <f aca="false">SUM(L10:L13)</f>
        <v>0</v>
      </c>
      <c r="N15" s="0" t="n">
        <f aca="false">SUM(E15:L15)</f>
        <v>549400</v>
      </c>
    </row>
    <row r="17" customFormat="false" ht="15" hidden="false" customHeight="false" outlineLevel="0" collapsed="false">
      <c r="A17" s="0" t="s">
        <v>24</v>
      </c>
      <c r="E17" s="0" t="n">
        <f aca="false">Inputs!$B$7*Inputs!$B$8*E5*E18</f>
        <v>0</v>
      </c>
      <c r="F17" s="0" t="n">
        <f aca="false">Inputs!$B$7*Inputs!$B$8*F5*F18</f>
        <v>146880</v>
      </c>
      <c r="G17" s="0" t="n">
        <f aca="false">Inputs!$B$7*Inputs!$B$8*G5*G18</f>
        <v>299635.2</v>
      </c>
      <c r="H17" s="0" t="n">
        <f aca="false">Inputs!$B$7*Inputs!$B$8*H5*H18</f>
        <v>305627.904</v>
      </c>
      <c r="I17" s="0" t="n">
        <f aca="false">Inputs!$B$7*Inputs!$B$8*I5*I18</f>
        <v>0</v>
      </c>
      <c r="J17" s="0" t="n">
        <f aca="false">Inputs!$B$7*Inputs!$B$8*J5*J18</f>
        <v>0</v>
      </c>
      <c r="K17" s="0" t="n">
        <f aca="false">Inputs!$B$7*Inputs!$B$8*K5*K18</f>
        <v>0</v>
      </c>
      <c r="L17" s="0" t="n">
        <f aca="false">Inputs!$B$7*Inputs!$B$8*L5*L18</f>
        <v>0</v>
      </c>
      <c r="N17" s="0" t="n">
        <f aca="false">SUM(E17:L17)</f>
        <v>752143.104</v>
      </c>
    </row>
    <row r="18" customFormat="false" ht="15" hidden="false" customHeight="false" outlineLevel="0" collapsed="false">
      <c r="A18" s="0" t="s">
        <v>25</v>
      </c>
      <c r="E18" s="0" t="n">
        <f aca="false">1</f>
        <v>1</v>
      </c>
      <c r="F18" s="0" t="n">
        <f aca="false">E18*1.02</f>
        <v>1.02</v>
      </c>
      <c r="G18" s="0" t="n">
        <f aca="false">F18*1.02</f>
        <v>1.0404</v>
      </c>
      <c r="H18" s="0" t="n">
        <f aca="false">G18*1.02</f>
        <v>1.061208</v>
      </c>
      <c r="I18" s="0" t="n">
        <f aca="false">H18*1.02</f>
        <v>1.08243216</v>
      </c>
      <c r="J18" s="0" t="n">
        <f aca="false">I18*1.02</f>
        <v>1.1040808032</v>
      </c>
      <c r="K18" s="0" t="n">
        <f aca="false">J18*1.02</f>
        <v>1.126162419264</v>
      </c>
      <c r="L18" s="0" t="n">
        <f aca="false">K18</f>
        <v>1.126162419264</v>
      </c>
    </row>
    <row r="19" customFormat="false" ht="15" hidden="false" customHeight="false" outlineLevel="0" collapsed="false">
      <c r="A19" s="0" t="s">
        <v>26</v>
      </c>
      <c r="E19" s="0" t="n">
        <f aca="false">E20</f>
        <v>255600</v>
      </c>
      <c r="F19" s="0" t="n">
        <f aca="false">F20</f>
        <v>327680</v>
      </c>
      <c r="G19" s="0" t="n">
        <f aca="false">G20</f>
        <v>412635.2</v>
      </c>
      <c r="H19" s="0" t="n">
        <f aca="false">H20</f>
        <v>305627.904</v>
      </c>
      <c r="I19" s="0" t="n">
        <f aca="false">I20</f>
        <v>0</v>
      </c>
      <c r="J19" s="0" t="n">
        <f aca="false">J20</f>
        <v>0</v>
      </c>
      <c r="K19" s="0" t="n">
        <f aca="false">K20</f>
        <v>0</v>
      </c>
      <c r="L19" s="0" t="n">
        <f aca="false">L20</f>
        <v>0</v>
      </c>
      <c r="N19" s="0" t="n">
        <f aca="false">SUM(E19:L19)</f>
        <v>1301543.104</v>
      </c>
    </row>
    <row r="20" customFormat="false" ht="15" hidden="false" customHeight="false" outlineLevel="0" collapsed="false">
      <c r="A20" s="0" t="s">
        <v>27</v>
      </c>
      <c r="E20" s="0" t="n">
        <f aca="false">E17+E15</f>
        <v>255600</v>
      </c>
      <c r="F20" s="0" t="n">
        <f aca="false">F17+F15</f>
        <v>327680</v>
      </c>
      <c r="G20" s="0" t="n">
        <f aca="false">G17+G15</f>
        <v>412635.2</v>
      </c>
      <c r="H20" s="0" t="n">
        <f aca="false">H17+H15</f>
        <v>305627.904</v>
      </c>
      <c r="I20" s="0" t="n">
        <f aca="false">I17+I15</f>
        <v>0</v>
      </c>
      <c r="J20" s="0" t="n">
        <f aca="false">J17+J15</f>
        <v>0</v>
      </c>
      <c r="K20" s="0" t="n">
        <f aca="false">K17+K15</f>
        <v>0</v>
      </c>
      <c r="L20" s="0" t="n">
        <f aca="false">L17+L15</f>
        <v>0</v>
      </c>
      <c r="N20" s="0" t="n">
        <f aca="false">SUM(E20:L20)</f>
        <v>1301543.104</v>
      </c>
    </row>
    <row r="22" customFormat="false" ht="15" hidden="false" customHeight="false" outlineLevel="0" collapsed="false">
      <c r="A22" s="0" t="s">
        <v>28</v>
      </c>
      <c r="E22" s="0" t="n">
        <f aca="false">E15*Inputs!$B$12</f>
        <v>140580</v>
      </c>
      <c r="F22" s="0" t="n">
        <f aca="false">F15*Inputs!$B$12</f>
        <v>99440</v>
      </c>
      <c r="G22" s="0" t="n">
        <f aca="false">G15*Inputs!$B$12</f>
        <v>62150</v>
      </c>
      <c r="H22" s="0" t="n">
        <f aca="false">H15*Inputs!$B$12</f>
        <v>0</v>
      </c>
      <c r="I22" s="0" t="n">
        <f aca="false">I15*Inputs!$B$12</f>
        <v>0</v>
      </c>
      <c r="J22" s="0" t="n">
        <f aca="false">J15*Inputs!$B$12</f>
        <v>0</v>
      </c>
      <c r="K22" s="0" t="n">
        <f aca="false">K15*Inputs!$B$12</f>
        <v>0</v>
      </c>
      <c r="L22" s="0" t="n">
        <f aca="false">L15*Inputs!$B$12</f>
        <v>0</v>
      </c>
      <c r="N22" s="0" t="n">
        <f aca="false">SUM(E22:L22)</f>
        <v>302170</v>
      </c>
    </row>
    <row r="23" customFormat="false" ht="15" hidden="false" customHeight="false" outlineLevel="0" collapsed="false">
      <c r="A23" s="0" t="s">
        <v>29</v>
      </c>
      <c r="E23" s="0" t="n">
        <f aca="false">E22*Inputs!$B$11</f>
        <v>8434.8</v>
      </c>
      <c r="F23" s="0" t="n">
        <f aca="false">F22*Inputs!$B$11</f>
        <v>5966.4</v>
      </c>
      <c r="G23" s="0" t="n">
        <f aca="false">G22*Inputs!$B$11</f>
        <v>3729</v>
      </c>
      <c r="H23" s="0" t="n">
        <f aca="false">H22*Inputs!$B$11</f>
        <v>0</v>
      </c>
      <c r="I23" s="0" t="n">
        <f aca="false">I22*Inputs!$B$11</f>
        <v>0</v>
      </c>
      <c r="J23" s="0" t="n">
        <f aca="false">J22*Inputs!$B$11</f>
        <v>0</v>
      </c>
      <c r="K23" s="0" t="n">
        <f aca="false">K22*Inputs!$B$11</f>
        <v>0</v>
      </c>
      <c r="L23" s="0" t="n">
        <f aca="false">L22*Inputs!$B$11</f>
        <v>0</v>
      </c>
      <c r="N23" s="0" t="n">
        <f aca="false">SUM(E23:L23)</f>
        <v>18130.2</v>
      </c>
    </row>
    <row r="25" customFormat="false" ht="15" hidden="false" customHeight="false" outlineLevel="0" collapsed="false">
      <c r="A25" s="0" t="s">
        <v>30</v>
      </c>
      <c r="E25" s="0" t="n">
        <f aca="false">E17-E15-E23</f>
        <v>-264034.8</v>
      </c>
      <c r="F25" s="0" t="n">
        <f aca="false">F17-F15-F23</f>
        <v>-39886.4</v>
      </c>
      <c r="G25" s="0" t="n">
        <f aca="false">G17-G15-G23</f>
        <v>182906.2</v>
      </c>
      <c r="H25" s="0" t="n">
        <f aca="false">H17-H15-H23</f>
        <v>305627.904</v>
      </c>
      <c r="I25" s="0" t="n">
        <f aca="false">I17-I15-I23</f>
        <v>0</v>
      </c>
      <c r="J25" s="0" t="n">
        <f aca="false">J17-J15-J23</f>
        <v>0</v>
      </c>
      <c r="K25" s="0" t="n">
        <f aca="false">K17-K15-K23</f>
        <v>0</v>
      </c>
      <c r="L25" s="0" t="n">
        <v>150000</v>
      </c>
      <c r="N25" s="0" t="n">
        <f aca="false">SUM(E25:L25)</f>
        <v>334612.904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31</v>
      </c>
    </row>
    <row r="3" customFormat="false" ht="15" hidden="false" customHeight="false" outlineLevel="0" collapsed="false">
      <c r="A3" s="0" t="s">
        <v>32</v>
      </c>
      <c r="B3" s="3" t="n">
        <f aca="false">IRR(Model!E25:L25)</f>
        <v>0.263008461659073</v>
      </c>
    </row>
    <row r="4" customFormat="false" ht="15" hidden="false" customHeight="false" outlineLevel="0" collapsed="false">
      <c r="A4" s="0" t="s">
        <v>33</v>
      </c>
      <c r="B4" s="0" t="n">
        <f aca="false">Model!N15</f>
        <v>549400</v>
      </c>
    </row>
    <row r="5" customFormat="false" ht="15" hidden="false" customHeight="false" outlineLevel="0" collapsed="false">
      <c r="A5" s="0" t="s">
        <v>34</v>
      </c>
      <c r="B5" s="0" t="n">
        <f aca="false">Model!N17</f>
        <v>752143.104</v>
      </c>
    </row>
    <row r="6" customFormat="false" ht="15" hidden="false" customHeight="false" outlineLevel="0" collapsed="false">
      <c r="A6" s="0" t="s">
        <v>27</v>
      </c>
      <c r="B6" s="0" t="n">
        <v>310000</v>
      </c>
    </row>
    <row r="7" customFormat="false" ht="15" hidden="false" customHeight="false" outlineLevel="0" collapsed="false">
      <c r="A7" s="0" t="s">
        <v>35</v>
      </c>
      <c r="B7" s="0" t="n">
        <f aca="false">Model!N19</f>
        <v>1301543.104</v>
      </c>
    </row>
    <row r="8" customFormat="false" ht="15" hidden="false" customHeight="false" outlineLevel="0" collapsed="false">
      <c r="A8" s="0" t="s">
        <v>36</v>
      </c>
      <c r="B8" s="0" t="n">
        <f aca="false">MAX(Model!E22:L22)</f>
        <v>140580</v>
      </c>
    </row>
    <row r="9" customFormat="false" ht="15" hidden="false" customHeight="false" outlineLevel="0" collapsed="false">
      <c r="A9" s="0" t="s">
        <v>37</v>
      </c>
      <c r="B9" s="1" t="n">
        <f aca="false">B6/B4</f>
        <v>0.564251911175828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38</v>
      </c>
    </row>
    <row r="3" customFormat="false" ht="15" hidden="false" customHeight="false" outlineLevel="0" collapsed="false">
      <c r="A3" s="0" t="s">
        <v>39</v>
      </c>
      <c r="B3" s="0" t="n">
        <f aca="false">Model!N22-Model!N15*Inputs!B12+1</f>
        <v>1</v>
      </c>
    </row>
    <row r="4" customFormat="false" ht="15" hidden="false" customHeight="false" outlineLevel="0" collapsed="false">
      <c r="A4" s="0" t="s">
        <v>40</v>
      </c>
      <c r="B4" s="3" t="n">
        <f aca="false">SUM(Model!E5:L5)-1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2026-10-22T11:39:31Z</dcterms:created>
  <dc:creator>openpyxl</dc:creator>
  <dc:description/>
  <dc:language>en-US</dc:language>
  <cp:lastModifiedBy/>
  <dcterms:modified xsi:type="dcterms:W3CDTF">2026-10-22T11:39:31Z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