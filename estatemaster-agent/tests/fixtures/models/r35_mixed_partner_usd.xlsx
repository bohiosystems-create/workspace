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<sst xmlns="http://schemas.openxmlformats.org/spreadsheetml/2006/main" count="36" uniqueCount="36">
  <si>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Summary</t>
  </si>
  <si>
    <t xml:space="preserve">General Info</t>
  </si>
  <si>
    <t xml:space="preserve">Returns</t>
  </si>
  <si>
    <t xml:space="preserve">Project Name</t>
  </si>
  <si>
    <t xml:space="preserve">The Willows Condos and Retail</t>
  </si>
  <si>
    <t xml:space="preserve">Project Costs</t>
  </si>
  <si>
    <t xml:space="preserve">Total Profit</t>
  </si>
  <si>
    <t xml:space="preserve">Equity Multiple</t>
  </si>
  <si>
    <t xml:space="preserve">IRR</t>
  </si>
  <si>
    <t xml:space="preserve">Unlevered Project Level</t>
  </si>
  <si>
    <t xml:space="preserve">Levered Project Level </t>
  </si>
  <si>
    <t xml:space="preserve">Partnership Returns</t>
  </si>
  <si>
    <t xml:space="preserve">LP</t>
  </si>
  <si>
    <t xml:space="preserve">GP</t>
  </si>
  <si>
    <t xml:space="preserve">THE WILLOWS CONDOS AND RETAIL (USD)</t>
  </si>
  <si>
    <t xml:space="preserve">Land and acquisition</t>
  </si>
  <si>
    <t xml:space="preserve">Construction cost</t>
  </si>
  <si>
    <t xml:space="preserve">Condo sales (total)</t>
  </si>
  <si>
    <t xml:space="preserve">Retail exit value</t>
  </si>
  <si>
    <t xml:space="preserve">Loan to cost</t>
  </si>
  <si>
    <t xml:space="preserve">Interest rate (a year)</t>
  </si>
  <si>
    <t xml:space="preserve">LP share</t>
  </si>
  <si>
    <t xml:space="preserve">Quarter ending</t>
  </si>
  <si>
    <t xml:space="preserve">Quarter</t>
  </si>
  <si>
    <t xml:space="preserve">Acquisition</t>
  </si>
  <si>
    <t xml:space="preserve">Construction</t>
  </si>
  <si>
    <t xml:space="preserve">Condo sales</t>
  </si>
  <si>
    <t xml:space="preserve">Retail sale</t>
  </si>
  <si>
    <t xml:space="preserve">Unlevered cash flow</t>
  </si>
  <si>
    <t xml:space="preserve">Loan draw</t>
  </si>
  <si>
    <t xml:space="preserve">Interest</t>
  </si>
  <si>
    <t xml:space="preserve">Repayment</t>
  </si>
  <si>
    <t xml:space="preserve">Levered cash flow</t>
  </si>
  <si>
    <t xml:space="preserve">Loan balance</t>
  </si>
  <si>
    <t xml:space="preserve">LP cash flow</t>
  </si>
  <si>
    <t xml:space="preserve">GP cash flow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</si>
</sst>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\x"/>
    <numFmt numFmtId="167" formatCode="0.00%"/>
    <numFmt numFmtId="168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5" customFormat="false" ht="15" hidden="false" customHeight="false" outlineLevel="0" collapsed="false">
      <c r="B5" s="0" t="s">
        <v>0</v>
      </c>
    </row>
    <row r="7" customFormat="false" ht="15" hidden="false" customHeight="false" outlineLevel="0" collapsed="false">
      <c r="B7" s="0" t="s">
        <v>1</v>
      </c>
      <c r="E7" s="0" t="s">
        <v>2</v>
      </c>
    </row>
    <row r="8" customFormat="false" ht="15" hidden="false" customHeight="false" outlineLevel="0" collapsed="false">
      <c r="B8" s="0" t="s">
        <v>3</v>
      </c>
      <c r="C8" s="0" t="s">
        <v>4</v>
      </c>
      <c r="F8" s="0" t="s">
        <v>5</v>
      </c>
      <c r="G8" s="0" t="s">
        <v>6</v>
      </c>
      <c r="H8" s="0" t="s">
        <v>7</v>
      </c>
      <c r="I8" s="0" t="s">
        <v>8</v>
      </c>
    </row>
    <row r="9" customFormat="false" ht="15" hidden="false" customHeight="false" outlineLevel="0" collapsed="false">
      <c r="E9" s="0" t="s">
        <v>9</v>
      </c>
      <c r="F9" s="1" t="n">
        <f aca="false">-SUMIF(CF!$B$10:$O$10,"&lt;0")</f>
        <v>36000000</v>
      </c>
      <c r="G9" s="1" t="n">
        <f aca="false">SUM(CF!$B$10:$O$10)</f>
        <v>16000000</v>
      </c>
      <c r="H9" s="2" t="n">
        <f aca="false">(F9+G9)/F9</f>
        <v>1.44444444444444</v>
      </c>
      <c r="I9" s="3" t="n">
        <f aca="false">XIRR(CF!$B$10:$O$10,CF!$B$3:$O$3)</f>
        <v>0.214967522143871</v>
      </c>
    </row>
    <row r="10" customFormat="false" ht="15" hidden="false" customHeight="false" outlineLevel="0" collapsed="false">
      <c r="E10" s="0" t="s">
        <v>10</v>
      </c>
      <c r="F10" s="1" t="n">
        <f aca="false">-SUMIF(CF!$B$14:$O$14,"&lt;0")</f>
        <v>15164062.5</v>
      </c>
      <c r="G10" s="1" t="n">
        <f aca="false">SUM(CF!$B$14:$O$14)</f>
        <v>13353437.5</v>
      </c>
      <c r="H10" s="2" t="n">
        <f aca="false">(F10+G10)/F10</f>
        <v>1.88059763008758</v>
      </c>
      <c r="I10" s="3" t="n">
        <f aca="false">XIRR(CF!$B$14:$O$14,CF!$B$3:$O$3)</f>
        <v>0.351989582238731</v>
      </c>
    </row>
    <row r="11" customFormat="false" ht="15" hidden="false" customHeight="false" outlineLevel="0" collapsed="false">
      <c r="E11" s="0" t="s">
        <v>11</v>
      </c>
    </row>
    <row r="12" customFormat="false" ht="15" hidden="false" customHeight="false" outlineLevel="0" collapsed="false">
      <c r="E12" s="0" t="s">
        <v>12</v>
      </c>
      <c r="F12" s="1" t="n">
        <f aca="false">-SUMIF(CF!$B$17:$O$17,"&lt;0")</f>
        <v>13647656.25</v>
      </c>
      <c r="G12" s="1" t="n">
        <f aca="false">SUM(CF!$B$17:$O$17)</f>
        <v>9614475</v>
      </c>
      <c r="H12" s="2" t="n">
        <f aca="false">(F12+G12)/F12</f>
        <v>1.70447810407007</v>
      </c>
      <c r="I12" s="3" t="n">
        <f aca="false">XIRR(CF!$B$17:$O$17,CF!$B$3:$O$3)</f>
        <v>0.294396418399634</v>
      </c>
    </row>
    <row r="13" customFormat="false" ht="15" hidden="false" customHeight="false" outlineLevel="0" collapsed="false">
      <c r="E13" s="0" t="s">
        <v>13</v>
      </c>
      <c r="F13" s="1" t="n">
        <f aca="false">-SUMIF(CF!$B$18:$O$18,"&lt;0")</f>
        <v>1516406.25</v>
      </c>
      <c r="G13" s="1" t="n">
        <f aca="false">SUM(CF!$B$18:$O$18)</f>
        <v>3738962.5</v>
      </c>
      <c r="H13" s="2" t="n">
        <f aca="false">(F13+G13)/F13</f>
        <v>3.46567336424524</v>
      </c>
      <c r="I13" s="3" t="n">
        <f aca="false">XIRR(CF!$B$18:$O$18,CF!$B$3:$O$3)</f>
        <v>0.744915782692904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</row>
    <row r="2" customFormat="false" ht="15" hidden="false" customHeight="false" outlineLevel="0" collapsed="false">
      <c r="A2" s="0" t="s">
        <v>15</v>
      </c>
      <c r="B2" s="0" t="n">
        <v>6000000</v>
      </c>
    </row>
    <row r="3" customFormat="false" ht="15" hidden="false" customHeight="false" outlineLevel="0" collapsed="false">
      <c r="A3" s="0" t="s">
        <v>16</v>
      </c>
      <c r="B3" s="0" t="n">
        <v>30000000</v>
      </c>
    </row>
    <row r="4" customFormat="false" ht="15" hidden="false" customHeight="false" outlineLevel="0" collapsed="false">
      <c r="A4" s="0" t="s">
        <v>17</v>
      </c>
      <c r="B4" s="0" t="n">
        <v>38000000</v>
      </c>
    </row>
    <row r="5" customFormat="false" ht="15" hidden="false" customHeight="false" outlineLevel="0" collapsed="false">
      <c r="A5" s="0" t="s">
        <v>18</v>
      </c>
      <c r="B5" s="0" t="n">
        <v>14000000</v>
      </c>
    </row>
    <row r="6" customFormat="false" ht="15" hidden="false" customHeight="false" outlineLevel="0" collapsed="false">
      <c r="A6" s="0" t="s">
        <v>19</v>
      </c>
      <c r="B6" s="3" t="n">
        <v>0.65</v>
      </c>
    </row>
    <row r="7" customFormat="false" ht="15" hidden="false" customHeight="false" outlineLevel="0" collapsed="false">
      <c r="A7" s="0" t="s">
        <v>20</v>
      </c>
      <c r="B7" s="3" t="n">
        <v>0.075</v>
      </c>
    </row>
    <row r="8" customFormat="false" ht="15" hidden="false" customHeight="false" outlineLevel="0" collapsed="false">
      <c r="A8" s="0" t="s">
        <v>21</v>
      </c>
      <c r="B8" s="3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4" t="n">
        <v>46112</v>
      </c>
      <c r="C3" s="4" t="n">
        <v>46203</v>
      </c>
      <c r="D3" s="4" t="n">
        <v>46295</v>
      </c>
      <c r="E3" s="4" t="n">
        <v>46387</v>
      </c>
      <c r="F3" s="4" t="n">
        <v>46477</v>
      </c>
      <c r="G3" s="4" t="n">
        <v>46568</v>
      </c>
      <c r="H3" s="4" t="n">
        <v>46660</v>
      </c>
      <c r="I3" s="4" t="n">
        <v>46752</v>
      </c>
      <c r="J3" s="4" t="n">
        <v>46843</v>
      </c>
      <c r="K3" s="4" t="n">
        <v>46934</v>
      </c>
      <c r="L3" s="4" t="n">
        <v>47026</v>
      </c>
      <c r="M3" s="4" t="n">
        <v>47118</v>
      </c>
      <c r="N3" s="4" t="n">
        <v>47208</v>
      </c>
      <c r="O3" s="4" t="n">
        <v>47299</v>
      </c>
    </row>
    <row r="4" customFormat="false" ht="15" hidden="false" customHeight="false" outlineLevel="0" collapsed="false">
      <c r="A4" s="0" t="s">
        <v>23</v>
      </c>
      <c r="B4" s="0" t="n">
        <v>0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5</v>
      </c>
      <c r="H4" s="0" t="n">
        <v>6</v>
      </c>
      <c r="I4" s="0" t="n">
        <v>7</v>
      </c>
      <c r="J4" s="0" t="n">
        <v>8</v>
      </c>
      <c r="K4" s="0" t="n">
        <v>9</v>
      </c>
      <c r="L4" s="0" t="n">
        <v>10</v>
      </c>
      <c r="M4" s="0" t="n">
        <v>11</v>
      </c>
      <c r="N4" s="0" t="n">
        <v>12</v>
      </c>
      <c r="O4" s="0" t="n">
        <v>13</v>
      </c>
    </row>
    <row r="6" customFormat="false" ht="15" hidden="false" customHeight="false" outlineLevel="0" collapsed="false">
      <c r="A6" s="0" t="s">
        <v>24</v>
      </c>
      <c r="B6" s="0" t="n">
        <f aca="false">IF(B$4=0,-Inputs!$B$2,0)</f>
        <v>-6000000</v>
      </c>
      <c r="C6" s="0" t="n">
        <f aca="false">IF(C$4=0,-Inputs!$B$2,0)</f>
        <v>0</v>
      </c>
      <c r="D6" s="0" t="n">
        <f aca="false">IF(D$4=0,-Inputs!$B$2,0)</f>
        <v>0</v>
      </c>
      <c r="E6" s="0" t="n">
        <f aca="false">IF(E$4=0,-Inputs!$B$2,0)</f>
        <v>0</v>
      </c>
      <c r="F6" s="0" t="n">
        <f aca="false">IF(F$4=0,-Inputs!$B$2,0)</f>
        <v>0</v>
      </c>
      <c r="G6" s="0" t="n">
        <f aca="false">IF(G$4=0,-Inputs!$B$2,0)</f>
        <v>0</v>
      </c>
      <c r="H6" s="0" t="n">
        <f aca="false">IF(H$4=0,-Inputs!$B$2,0)</f>
        <v>0</v>
      </c>
      <c r="I6" s="0" t="n">
        <f aca="false">IF(I$4=0,-Inputs!$B$2,0)</f>
        <v>0</v>
      </c>
      <c r="J6" s="0" t="n">
        <f aca="false">IF(J$4=0,-Inputs!$B$2,0)</f>
        <v>0</v>
      </c>
      <c r="K6" s="0" t="n">
        <f aca="false">IF(K$4=0,-Inputs!$B$2,0)</f>
        <v>0</v>
      </c>
      <c r="L6" s="0" t="n">
        <f aca="false">IF(L$4=0,-Inputs!$B$2,0)</f>
        <v>0</v>
      </c>
      <c r="M6" s="0" t="n">
        <f aca="false">IF(M$4=0,-Inputs!$B$2,0)</f>
        <v>0</v>
      </c>
      <c r="N6" s="0" t="n">
        <f aca="false">IF(N$4=0,-Inputs!$B$2,0)</f>
        <v>0</v>
      </c>
      <c r="O6" s="0" t="n">
        <f aca="false">IF(O$4=0,-Inputs!$B$2,0)</f>
        <v>0</v>
      </c>
    </row>
    <row r="7" customFormat="false" ht="15" hidden="false" customHeight="false" outlineLevel="0" collapsed="false">
      <c r="A7" s="0" t="s">
        <v>25</v>
      </c>
      <c r="B7" s="0" t="n">
        <f aca="false">IF(AND(B$4&gt;=1,B$4&lt;=8),-Inputs!$B$3/8,0)</f>
        <v>0</v>
      </c>
      <c r="C7" s="0" t="n">
        <f aca="false">IF(AND(C$4&gt;=1,C$4&lt;=8),-Inputs!$B$3/8,0)</f>
        <v>-3750000</v>
      </c>
      <c r="D7" s="0" t="n">
        <f aca="false">IF(AND(D$4&gt;=1,D$4&lt;=8),-Inputs!$B$3/8,0)</f>
        <v>-3750000</v>
      </c>
      <c r="E7" s="0" t="n">
        <f aca="false">IF(AND(E$4&gt;=1,E$4&lt;=8),-Inputs!$B$3/8,0)</f>
        <v>-3750000</v>
      </c>
      <c r="F7" s="0" t="n">
        <f aca="false">IF(AND(F$4&gt;=1,F$4&lt;=8),-Inputs!$B$3/8,0)</f>
        <v>-3750000</v>
      </c>
      <c r="G7" s="0" t="n">
        <f aca="false">IF(AND(G$4&gt;=1,G$4&lt;=8),-Inputs!$B$3/8,0)</f>
        <v>-3750000</v>
      </c>
      <c r="H7" s="0" t="n">
        <f aca="false">IF(AND(H$4&gt;=1,H$4&lt;=8),-Inputs!$B$3/8,0)</f>
        <v>-3750000</v>
      </c>
      <c r="I7" s="0" t="n">
        <f aca="false">IF(AND(I$4&gt;=1,I$4&lt;=8),-Inputs!$B$3/8,0)</f>
        <v>-3750000</v>
      </c>
      <c r="J7" s="0" t="n">
        <f aca="false">IF(AND(J$4&gt;=1,J$4&lt;=8),-Inputs!$B$3/8,0)</f>
        <v>-3750000</v>
      </c>
      <c r="K7" s="0" t="n">
        <f aca="false">IF(AND(K$4&gt;=1,K$4&lt;=8),-Inputs!$B$3/8,0)</f>
        <v>0</v>
      </c>
      <c r="L7" s="0" t="n">
        <f aca="false">IF(AND(L$4&gt;=1,L$4&lt;=8),-Inputs!$B$3/8,0)</f>
        <v>0</v>
      </c>
      <c r="M7" s="0" t="n">
        <f aca="false">IF(AND(M$4&gt;=1,M$4&lt;=8),-Inputs!$B$3/8,0)</f>
        <v>0</v>
      </c>
      <c r="N7" s="0" t="n">
        <f aca="false">IF(AND(N$4&gt;=1,N$4&lt;=8),-Inputs!$B$3/8,0)</f>
        <v>0</v>
      </c>
      <c r="O7" s="0" t="n">
        <f aca="false">IF(AND(O$4&gt;=1,O$4&lt;=8),-Inputs!$B$3/8,0)</f>
        <v>0</v>
      </c>
    </row>
    <row r="8" customFormat="false" ht="15" hidden="false" customHeight="false" outlineLevel="0" collapsed="false">
      <c r="A8" s="0" t="s">
        <v>26</v>
      </c>
      <c r="B8" s="0" t="n">
        <f aca="false">IF(AND(B$4&gt;=9,B$4&lt;=12),Inputs!$B$4/4,0)</f>
        <v>0</v>
      </c>
      <c r="C8" s="0" t="n">
        <f aca="false">IF(AND(C$4&gt;=9,C$4&lt;=12),Inputs!$B$4/4,0)</f>
        <v>0</v>
      </c>
      <c r="D8" s="0" t="n">
        <f aca="false">IF(AND(D$4&gt;=9,D$4&lt;=12),Inputs!$B$4/4,0)</f>
        <v>0</v>
      </c>
      <c r="E8" s="0" t="n">
        <f aca="false">IF(AND(E$4&gt;=9,E$4&lt;=12),Inputs!$B$4/4,0)</f>
        <v>0</v>
      </c>
      <c r="F8" s="0" t="n">
        <f aca="false">IF(AND(F$4&gt;=9,F$4&lt;=12),Inputs!$B$4/4,0)</f>
        <v>0</v>
      </c>
      <c r="G8" s="0" t="n">
        <f aca="false">IF(AND(G$4&gt;=9,G$4&lt;=12),Inputs!$B$4/4,0)</f>
        <v>0</v>
      </c>
      <c r="H8" s="0" t="n">
        <f aca="false">IF(AND(H$4&gt;=9,H$4&lt;=12),Inputs!$B$4/4,0)</f>
        <v>0</v>
      </c>
      <c r="I8" s="0" t="n">
        <f aca="false">IF(AND(I$4&gt;=9,I$4&lt;=12),Inputs!$B$4/4,0)</f>
        <v>0</v>
      </c>
      <c r="J8" s="0" t="n">
        <f aca="false">IF(AND(J$4&gt;=9,J$4&lt;=12),Inputs!$B$4/4,0)</f>
        <v>0</v>
      </c>
      <c r="K8" s="0" t="n">
        <f aca="false">IF(AND(K$4&gt;=9,K$4&lt;=12),Inputs!$B$4/4,0)</f>
        <v>9500000</v>
      </c>
      <c r="L8" s="0" t="n">
        <f aca="false">IF(AND(L$4&gt;=9,L$4&lt;=12),Inputs!$B$4/4,0)</f>
        <v>9500000</v>
      </c>
      <c r="M8" s="0" t="n">
        <f aca="false">IF(AND(M$4&gt;=9,M$4&lt;=12),Inputs!$B$4/4,0)</f>
        <v>9500000</v>
      </c>
      <c r="N8" s="0" t="n">
        <f aca="false">IF(AND(N$4&gt;=9,N$4&lt;=12),Inputs!$B$4/4,0)</f>
        <v>9500000</v>
      </c>
      <c r="O8" s="0" t="n">
        <f aca="false">IF(AND(O$4&gt;=9,O$4&lt;=12),Inputs!$B$4/4,0)</f>
        <v>0</v>
      </c>
    </row>
    <row r="9" customFormat="false" ht="15" hidden="false" customHeight="false" outlineLevel="0" collapsed="false">
      <c r="A9" s="0" t="s">
        <v>27</v>
      </c>
      <c r="B9" s="0" t="n">
        <f aca="false">IF(B$4=13,Inputs!$B$5,0)</f>
        <v>0</v>
      </c>
      <c r="C9" s="0" t="n">
        <f aca="false">IF(C$4=13,Inputs!$B$5,0)</f>
        <v>0</v>
      </c>
      <c r="D9" s="0" t="n">
        <f aca="false">IF(D$4=13,Inputs!$B$5,0)</f>
        <v>0</v>
      </c>
      <c r="E9" s="0" t="n">
        <f aca="false">IF(E$4=13,Inputs!$B$5,0)</f>
        <v>0</v>
      </c>
      <c r="F9" s="0" t="n">
        <f aca="false">IF(F$4=13,Inputs!$B$5,0)</f>
        <v>0</v>
      </c>
      <c r="G9" s="0" t="n">
        <f aca="false">IF(G$4=13,Inputs!$B$5,0)</f>
        <v>0</v>
      </c>
      <c r="H9" s="0" t="n">
        <f aca="false">IF(H$4=13,Inputs!$B$5,0)</f>
        <v>0</v>
      </c>
      <c r="I9" s="0" t="n">
        <f aca="false">IF(I$4=13,Inputs!$B$5,0)</f>
        <v>0</v>
      </c>
      <c r="J9" s="0" t="n">
        <f aca="false">IF(J$4=13,Inputs!$B$5,0)</f>
        <v>0</v>
      </c>
      <c r="K9" s="0" t="n">
        <f aca="false">IF(K$4=13,Inputs!$B$5,0)</f>
        <v>0</v>
      </c>
      <c r="L9" s="0" t="n">
        <f aca="false">IF(L$4=13,Inputs!$B$5,0)</f>
        <v>0</v>
      </c>
      <c r="M9" s="0" t="n">
        <f aca="false">IF(M$4=13,Inputs!$B$5,0)</f>
        <v>0</v>
      </c>
      <c r="N9" s="0" t="n">
        <f aca="false">IF(N$4=13,Inputs!$B$5,0)</f>
        <v>0</v>
      </c>
      <c r="O9" s="0" t="n">
        <f aca="false">IF(O$4=13,Inputs!$B$5,0)</f>
        <v>14000000</v>
      </c>
    </row>
    <row r="10" customFormat="false" ht="15" hidden="false" customHeight="false" outlineLevel="0" collapsed="false">
      <c r="A10" s="0" t="s">
        <v>28</v>
      </c>
      <c r="B10" s="0" t="n">
        <f aca="false">SUM(B6:B9)</f>
        <v>-6000000</v>
      </c>
      <c r="C10" s="0" t="n">
        <f aca="false">SUM(C6:C9)</f>
        <v>-3750000</v>
      </c>
      <c r="D10" s="0" t="n">
        <f aca="false">SUM(D6:D9)</f>
        <v>-3750000</v>
      </c>
      <c r="E10" s="0" t="n">
        <f aca="false">SUM(E6:E9)</f>
        <v>-3750000</v>
      </c>
      <c r="F10" s="0" t="n">
        <f aca="false">SUM(F6:F9)</f>
        <v>-3750000</v>
      </c>
      <c r="G10" s="0" t="n">
        <f aca="false">SUM(G6:G9)</f>
        <v>-3750000</v>
      </c>
      <c r="H10" s="0" t="n">
        <f aca="false">SUM(H6:H9)</f>
        <v>-3750000</v>
      </c>
      <c r="I10" s="0" t="n">
        <f aca="false">SUM(I6:I9)</f>
        <v>-3750000</v>
      </c>
      <c r="J10" s="0" t="n">
        <f aca="false">SUM(J6:J9)</f>
        <v>-3750000</v>
      </c>
      <c r="K10" s="0" t="n">
        <f aca="false">SUM(K6:K9)</f>
        <v>9500000</v>
      </c>
      <c r="L10" s="0" t="n">
        <f aca="false">SUM(L6:L9)</f>
        <v>9500000</v>
      </c>
      <c r="M10" s="0" t="n">
        <f aca="false">SUM(M6:M9)</f>
        <v>9500000</v>
      </c>
      <c r="N10" s="0" t="n">
        <f aca="false">SUM(N6:N9)</f>
        <v>9500000</v>
      </c>
      <c r="O10" s="0" t="n">
        <f aca="false">SUM(O6:O9)</f>
        <v>14000000</v>
      </c>
    </row>
    <row r="11" customFormat="false" ht="15" hidden="false" customHeight="false" outlineLevel="0" collapsed="false">
      <c r="A11" s="0" t="s">
        <v>29</v>
      </c>
      <c r="B11" s="0" t="n">
        <f aca="false">-(B6+B7)*Inputs!$B$6</f>
        <v>3900000</v>
      </c>
      <c r="C11" s="0" t="n">
        <f aca="false">-(C6+C7)*Inputs!$B$6</f>
        <v>2437500</v>
      </c>
      <c r="D11" s="0" t="n">
        <f aca="false">-(D6+D7)*Inputs!$B$6</f>
        <v>2437500</v>
      </c>
      <c r="E11" s="0" t="n">
        <f aca="false">-(E6+E7)*Inputs!$B$6</f>
        <v>2437500</v>
      </c>
      <c r="F11" s="0" t="n">
        <f aca="false">-(F6+F7)*Inputs!$B$6</f>
        <v>2437500</v>
      </c>
      <c r="G11" s="0" t="n">
        <f aca="false">-(G6+G7)*Inputs!$B$6</f>
        <v>2437500</v>
      </c>
      <c r="H11" s="0" t="n">
        <f aca="false">-(H6+H7)*Inputs!$B$6</f>
        <v>2437500</v>
      </c>
      <c r="I11" s="0" t="n">
        <f aca="false">-(I6+I7)*Inputs!$B$6</f>
        <v>2437500</v>
      </c>
      <c r="J11" s="0" t="n">
        <f aca="false">-(J6+J7)*Inputs!$B$6</f>
        <v>2437500</v>
      </c>
      <c r="K11" s="0" t="n">
        <f aca="false">-(K6+K7)*Inputs!$B$6</f>
        <v>-0</v>
      </c>
      <c r="L11" s="0" t="n">
        <f aca="false">-(L6+L7)*Inputs!$B$6</f>
        <v>-0</v>
      </c>
      <c r="M11" s="0" t="n">
        <f aca="false">-(M6+M7)*Inputs!$B$6</f>
        <v>-0</v>
      </c>
      <c r="N11" s="0" t="n">
        <f aca="false">-(N6+N7)*Inputs!$B$6</f>
        <v>-0</v>
      </c>
      <c r="O11" s="0" t="n">
        <f aca="false">-(O6+O7)*Inputs!$B$6</f>
        <v>-0</v>
      </c>
    </row>
    <row r="12" customFormat="false" ht="15" hidden="false" customHeight="false" outlineLevel="0" collapsed="false">
      <c r="A12" s="0" t="s">
        <v>30</v>
      </c>
      <c r="B12" s="0" t="n">
        <f aca="false">0</f>
        <v>0</v>
      </c>
      <c r="C12" s="0" t="n">
        <f aca="false">-B15*Inputs!$B$7/4</f>
        <v>-73125</v>
      </c>
      <c r="D12" s="0" t="n">
        <f aca="false">-C15*Inputs!$B$7/4</f>
        <v>-118828.125</v>
      </c>
      <c r="E12" s="0" t="n">
        <f aca="false">-D15*Inputs!$B$7/4</f>
        <v>-164531.25</v>
      </c>
      <c r="F12" s="0" t="n">
        <f aca="false">-E15*Inputs!$B$7/4</f>
        <v>-210234.375</v>
      </c>
      <c r="G12" s="0" t="n">
        <f aca="false">-F15*Inputs!$B$7/4</f>
        <v>-255937.5</v>
      </c>
      <c r="H12" s="0" t="n">
        <f aca="false">-G15*Inputs!$B$7/4</f>
        <v>-301640.625</v>
      </c>
      <c r="I12" s="0" t="n">
        <f aca="false">-H15*Inputs!$B$7/4</f>
        <v>-347343.75</v>
      </c>
      <c r="J12" s="0" t="n">
        <f aca="false">-I15*Inputs!$B$7/4</f>
        <v>-393046.875</v>
      </c>
      <c r="K12" s="0" t="n">
        <f aca="false">-J15*Inputs!$B$7/4</f>
        <v>-438750</v>
      </c>
      <c r="L12" s="0" t="n">
        <f aca="false">-K15*Inputs!$B$7/4</f>
        <v>-260625</v>
      </c>
      <c r="M12" s="0" t="n">
        <f aca="false">-L15*Inputs!$B$7/4</f>
        <v>-82500</v>
      </c>
      <c r="N12" s="0" t="n">
        <f aca="false">-M15*Inputs!$B$7/4</f>
        <v>-0</v>
      </c>
      <c r="O12" s="0" t="n">
        <f aca="false">-N15*Inputs!$B$7/4</f>
        <v>-0</v>
      </c>
    </row>
    <row r="13" customFormat="false" ht="15" hidden="false" customHeight="false" outlineLevel="0" collapsed="false">
      <c r="A13" s="0" t="s">
        <v>31</v>
      </c>
      <c r="B13" s="0" t="n">
        <f aca="false">0</f>
        <v>0</v>
      </c>
      <c r="C13" s="0" t="n">
        <f aca="false">-MIN(B15+C11,MAX(0,C8+C9))</f>
        <v>-0</v>
      </c>
      <c r="D13" s="0" t="n">
        <f aca="false">-MIN(C15+D11,MAX(0,D8+D9))</f>
        <v>-0</v>
      </c>
      <c r="E13" s="0" t="n">
        <f aca="false">-MIN(D15+E11,MAX(0,E8+E9))</f>
        <v>-0</v>
      </c>
      <c r="F13" s="0" t="n">
        <f aca="false">-MIN(E15+F11,MAX(0,F8+F9))</f>
        <v>-0</v>
      </c>
      <c r="G13" s="0" t="n">
        <f aca="false">-MIN(F15+G11,MAX(0,G8+G9))</f>
        <v>-0</v>
      </c>
      <c r="H13" s="0" t="n">
        <f aca="false">-MIN(G15+H11,MAX(0,H8+H9))</f>
        <v>-0</v>
      </c>
      <c r="I13" s="0" t="n">
        <f aca="false">-MIN(H15+I11,MAX(0,I8+I9))</f>
        <v>-0</v>
      </c>
      <c r="J13" s="0" t="n">
        <f aca="false">-MIN(I15+J11,MAX(0,J8+J9))</f>
        <v>-0</v>
      </c>
      <c r="K13" s="0" t="n">
        <f aca="false">-MIN(J15+K11,MAX(0,K8+K9))</f>
        <v>-9500000</v>
      </c>
      <c r="L13" s="0" t="n">
        <f aca="false">-MIN(K15+L11,MAX(0,L8+L9))</f>
        <v>-9500000</v>
      </c>
      <c r="M13" s="0" t="n">
        <f aca="false">-MIN(L15+M11,MAX(0,M8+M9))</f>
        <v>-4400000</v>
      </c>
      <c r="N13" s="0" t="n">
        <f aca="false">-MIN(M15+N11,MAX(0,N8+N9))</f>
        <v>-0</v>
      </c>
      <c r="O13" s="0" t="n">
        <f aca="false">-MIN(N15+O11,MAX(0,O8+O9))</f>
        <v>-0</v>
      </c>
    </row>
    <row r="14" customFormat="false" ht="15" hidden="false" customHeight="false" outlineLevel="0" collapsed="false">
      <c r="A14" s="0" t="s">
        <v>32</v>
      </c>
      <c r="B14" s="0" t="n">
        <f aca="false">B10+B11+B12+B13</f>
        <v>-2100000</v>
      </c>
      <c r="C14" s="0" t="n">
        <f aca="false">C10+C11+C12+C13</f>
        <v>-1385625</v>
      </c>
      <c r="D14" s="0" t="n">
        <f aca="false">D10+D11+D12+D13</f>
        <v>-1431328.125</v>
      </c>
      <c r="E14" s="0" t="n">
        <f aca="false">E10+E11+E12+E13</f>
        <v>-1477031.25</v>
      </c>
      <c r="F14" s="0" t="n">
        <f aca="false">F10+F11+F12+F13</f>
        <v>-1522734.375</v>
      </c>
      <c r="G14" s="0" t="n">
        <f aca="false">G10+G11+G12+G13</f>
        <v>-1568437.5</v>
      </c>
      <c r="H14" s="0" t="n">
        <f aca="false">H10+H11+H12+H13</f>
        <v>-1614140.625</v>
      </c>
      <c r="I14" s="0" t="n">
        <f aca="false">I10+I11+I12+I13</f>
        <v>-1659843.75</v>
      </c>
      <c r="J14" s="0" t="n">
        <f aca="false">J10+J11+J12+J13</f>
        <v>-1705546.875</v>
      </c>
      <c r="K14" s="0" t="n">
        <f aca="false">K10+K11+K12+K13</f>
        <v>-438750</v>
      </c>
      <c r="L14" s="0" t="n">
        <f aca="false">L10+L11+L12+L13</f>
        <v>-260625</v>
      </c>
      <c r="M14" s="0" t="n">
        <f aca="false">M10+M11+M12+M13</f>
        <v>5017500</v>
      </c>
      <c r="N14" s="0" t="n">
        <f aca="false">N10+N11+N12+N13</f>
        <v>9500000</v>
      </c>
      <c r="O14" s="0" t="n">
        <f aca="false">O10+O11+O12+O13</f>
        <v>14000000</v>
      </c>
    </row>
    <row r="15" customFormat="false" ht="15" hidden="false" customHeight="false" outlineLevel="0" collapsed="false">
      <c r="A15" s="0" t="s">
        <v>33</v>
      </c>
      <c r="B15" s="0" t="n">
        <f aca="false">B11+B13</f>
        <v>3900000</v>
      </c>
      <c r="C15" s="0" t="n">
        <f aca="false">B15+C11+C13</f>
        <v>6337500</v>
      </c>
      <c r="D15" s="0" t="n">
        <f aca="false">C15+D11+D13</f>
        <v>8775000</v>
      </c>
      <c r="E15" s="0" t="n">
        <f aca="false">D15+E11+E13</f>
        <v>11212500</v>
      </c>
      <c r="F15" s="0" t="n">
        <f aca="false">E15+F11+F13</f>
        <v>13650000</v>
      </c>
      <c r="G15" s="0" t="n">
        <f aca="false">F15+G11+G13</f>
        <v>16087500</v>
      </c>
      <c r="H15" s="0" t="n">
        <f aca="false">G15+H11+H13</f>
        <v>18525000</v>
      </c>
      <c r="I15" s="0" t="n">
        <f aca="false">H15+I11+I13</f>
        <v>20962500</v>
      </c>
      <c r="J15" s="0" t="n">
        <f aca="false">I15+J11+J13</f>
        <v>23400000</v>
      </c>
      <c r="K15" s="0" t="n">
        <f aca="false">J15+K11+K13</f>
        <v>13900000</v>
      </c>
      <c r="L15" s="0" t="n">
        <f aca="false">K15+L11+L13</f>
        <v>4400000</v>
      </c>
      <c r="M15" s="0" t="n">
        <f aca="false">L15+M11+M13</f>
        <v>0</v>
      </c>
      <c r="N15" s="0" t="n">
        <f aca="false">M15+N11+N13</f>
        <v>0</v>
      </c>
      <c r="O15" s="0" t="n">
        <f aca="false">N15+O11+O13</f>
        <v>0</v>
      </c>
    </row>
    <row r="17" customFormat="false" ht="15" hidden="false" customHeight="false" outlineLevel="0" collapsed="false">
      <c r="A17" s="0" t="s">
        <v>34</v>
      </c>
      <c r="B17" s="0" t="n">
        <f aca="false">B14*Inputs!$B$8-IF(B$4=13,0.2*MAX(0,SUM($B$14:$O$14))*Inputs!$B$8,0)</f>
        <v>-1890000</v>
      </c>
      <c r="C17" s="0" t="n">
        <f aca="false">C14*Inputs!$B$8-IF(C$4=13,0.2*MAX(0,SUM($B$14:$O$14))*Inputs!$B$8,0)</f>
        <v>-1247062.5</v>
      </c>
      <c r="D17" s="0" t="n">
        <f aca="false">D14*Inputs!$B$8-IF(D$4=13,0.2*MAX(0,SUM($B$14:$O$14))*Inputs!$B$8,0)</f>
        <v>-1288195.3125</v>
      </c>
      <c r="E17" s="0" t="n">
        <f aca="false">E14*Inputs!$B$8-IF(E$4=13,0.2*MAX(0,SUM($B$14:$O$14))*Inputs!$B$8,0)</f>
        <v>-1329328.125</v>
      </c>
      <c r="F17" s="0" t="n">
        <f aca="false">F14*Inputs!$B$8-IF(F$4=13,0.2*MAX(0,SUM($B$14:$O$14))*Inputs!$B$8,0)</f>
        <v>-1370460.9375</v>
      </c>
      <c r="G17" s="0" t="n">
        <f aca="false">G14*Inputs!$B$8-IF(G$4=13,0.2*MAX(0,SUM($B$14:$O$14))*Inputs!$B$8,0)</f>
        <v>-1411593.75</v>
      </c>
      <c r="H17" s="0" t="n">
        <f aca="false">H14*Inputs!$B$8-IF(H$4=13,0.2*MAX(0,SUM($B$14:$O$14))*Inputs!$B$8,0)</f>
        <v>-1452726.5625</v>
      </c>
      <c r="I17" s="0" t="n">
        <f aca="false">I14*Inputs!$B$8-IF(I$4=13,0.2*MAX(0,SUM($B$14:$O$14))*Inputs!$B$8,0)</f>
        <v>-1493859.375</v>
      </c>
      <c r="J17" s="0" t="n">
        <f aca="false">J14*Inputs!$B$8-IF(J$4=13,0.2*MAX(0,SUM($B$14:$O$14))*Inputs!$B$8,0)</f>
        <v>-1534992.1875</v>
      </c>
      <c r="K17" s="0" t="n">
        <f aca="false">K14*Inputs!$B$8-IF(K$4=13,0.2*MAX(0,SUM($B$14:$O$14))*Inputs!$B$8,0)</f>
        <v>-394875</v>
      </c>
      <c r="L17" s="0" t="n">
        <f aca="false">L14*Inputs!$B$8-IF(L$4=13,0.2*MAX(0,SUM($B$14:$O$14))*Inputs!$B$8,0)</f>
        <v>-234562.5</v>
      </c>
      <c r="M17" s="0" t="n">
        <f aca="false">M14*Inputs!$B$8-IF(M$4=13,0.2*MAX(0,SUM($B$14:$O$14))*Inputs!$B$8,0)</f>
        <v>4515750</v>
      </c>
      <c r="N17" s="0" t="n">
        <f aca="false">N14*Inputs!$B$8-IF(N$4=13,0.2*MAX(0,SUM($B$14:$O$14))*Inputs!$B$8,0)</f>
        <v>8550000</v>
      </c>
      <c r="O17" s="0" t="n">
        <f aca="false">O14*Inputs!$B$8-IF(O$4=13,0.2*MAX(0,SUM($B$14:$O$14))*Inputs!$B$8,0)</f>
        <v>10196381.25</v>
      </c>
    </row>
    <row r="18" customFormat="false" ht="15" hidden="false" customHeight="false" outlineLevel="0" collapsed="false">
      <c r="A18" s="0" t="s">
        <v>35</v>
      </c>
      <c r="B18" s="0" t="n">
        <f aca="false">B14*(1-Inputs!$B$8)+IF(B$4=13,0.2*MAX(0,SUM($B$14:$O$14))*Inputs!$B$8,0)</f>
        <v>-210000</v>
      </c>
      <c r="C18" s="0" t="n">
        <f aca="false">C14*(1-Inputs!$B$8)+IF(C$4=13,0.2*MAX(0,SUM($B$14:$O$14))*Inputs!$B$8,0)</f>
        <v>-138562.5</v>
      </c>
      <c r="D18" s="0" t="n">
        <f aca="false">D14*(1-Inputs!$B$8)+IF(D$4=13,0.2*MAX(0,SUM($B$14:$O$14))*Inputs!$B$8,0)</f>
        <v>-143132.8125</v>
      </c>
      <c r="E18" s="0" t="n">
        <f aca="false">E14*(1-Inputs!$B$8)+IF(E$4=13,0.2*MAX(0,SUM($B$14:$O$14))*Inputs!$B$8,0)</f>
        <v>-147703.125</v>
      </c>
      <c r="F18" s="0" t="n">
        <f aca="false">F14*(1-Inputs!$B$8)+IF(F$4=13,0.2*MAX(0,SUM($B$14:$O$14))*Inputs!$B$8,0)</f>
        <v>-152273.4375</v>
      </c>
      <c r="G18" s="0" t="n">
        <f aca="false">G14*(1-Inputs!$B$8)+IF(G$4=13,0.2*MAX(0,SUM($B$14:$O$14))*Inputs!$B$8,0)</f>
        <v>-156843.75</v>
      </c>
      <c r="H18" s="0" t="n">
        <f aca="false">H14*(1-Inputs!$B$8)+IF(H$4=13,0.2*MAX(0,SUM($B$14:$O$14))*Inputs!$B$8,0)</f>
        <v>-161414.0625</v>
      </c>
      <c r="I18" s="0" t="n">
        <f aca="false">I14*(1-Inputs!$B$8)+IF(I$4=13,0.2*MAX(0,SUM($B$14:$O$14))*Inputs!$B$8,0)</f>
        <v>-165984.375</v>
      </c>
      <c r="J18" s="0" t="n">
        <f aca="false">J14*(1-Inputs!$B$8)+IF(J$4=13,0.2*MAX(0,SUM($B$14:$O$14))*Inputs!$B$8,0)</f>
        <v>-170554.6875</v>
      </c>
      <c r="K18" s="0" t="n">
        <f aca="false">K14*(1-Inputs!$B$8)+IF(K$4=13,0.2*MAX(0,SUM($B$14:$O$14))*Inputs!$B$8,0)</f>
        <v>-43875</v>
      </c>
      <c r="L18" s="0" t="n">
        <f aca="false">L14*(1-Inputs!$B$8)+IF(L$4=13,0.2*MAX(0,SUM($B$14:$O$14))*Inputs!$B$8,0)</f>
        <v>-26062.5</v>
      </c>
      <c r="M18" s="0" t="n">
        <f aca="false">M14*(1-Inputs!$B$8)+IF(M$4=13,0.2*MAX(0,SUM($B$14:$O$14))*Inputs!$B$8,0)</f>
        <v>501750</v>
      </c>
      <c r="N18" s="0" t="n">
        <f aca="false">N14*(1-Inputs!$B$8)+IF(N$4=13,0.2*MAX(0,SUM($B$14:$O$14))*Inputs!$B$8,0)</f>
        <v>950000</v>
      </c>
      <c r="O18" s="0" t="n">
        <f aca="false">O14*(1-Inputs!$B$8)+IF(O$4=13,0.2*MAX(0,SUM($B$14:$O$14))*Inputs!$B$8,0)</f>
        <v>3803618.75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2026-10-19T10:56:38Z</dcterms:created>
  <dc:creator>openpyxl</dc:creator>
  <dc:description/>
  <dc:language>en-US</dc:language>
  <cp:lastModifiedBy/>
  <dcterms:modified xsi:type="dcterms:W3CDTF">2026-10-19T10:56:38Z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