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Cash Flow" sheetId="2" state="visible" r:id="rId4"/>
    <sheet name="Retur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<sst xmlns="http://schemas.openxmlformats.org/spreadsheetml/2006/main" count="16" uniqueCount="16">
  <si>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OFFICE ACQUISITION (USD)</t>
  </si>
  <si>
    <t xml:space="preserve">Purchase price</t>
  </si>
  <si>
    <t xml:space="preserve">Agency fee</t>
  </si>
  <si>
    <t xml:space="preserve">Rent year 1</t>
  </si>
  <si>
    <t xml:space="preserve">Rent growth</t>
  </si>
  <si>
    <t xml:space="preserve">Exit yield</t>
  </si>
  <si>
    <t xml:space="preserve">Hold (years)</t>
  </si>
  <si>
    <t xml:space="preserve">CASH FLOW</t>
  </si>
  <si>
    <t xml:space="preserve">Year</t>
  </si>
  <si>
    <t xml:space="preserve">Acquisition</t>
  </si>
  <si>
    <t xml:space="preserve">Acquisition costs</t>
  </si>
  <si>
    <t xml:space="preserve">Rent</t>
  </si>
  <si>
    <t xml:space="preserve">Sale</t>
  </si>
  <si>
    <t xml:space="preserve">Net cash flow</t>
  </si>
  <si>
    <t xml:space="preserve">Unlevered IRR</t>
  </si>
  <si>
    <t xml:space="preserve">Net profit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</si>
</sst>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A2" s="0" t="s">
        <v>1</v>
      </c>
      <c r="B2" s="0" t="n">
        <v>50000000</v>
      </c>
    </row>
    <row r="3" customFormat="false" ht="15" hidden="false" customHeight="false" outlineLevel="0" collapsed="false">
      <c r="A3" s="0" t="s">
        <v>2</v>
      </c>
      <c r="B3" s="1" t="n">
        <v>0.02</v>
      </c>
    </row>
    <row r="4" customFormat="false" ht="15" hidden="false" customHeight="false" outlineLevel="0" collapsed="false">
      <c r="A4" s="0" t="s">
        <v>3</v>
      </c>
      <c r="B4" s="0" t="n">
        <v>4000000</v>
      </c>
    </row>
    <row r="5" customFormat="false" ht="15" hidden="false" customHeight="false" outlineLevel="0" collapsed="false">
      <c r="A5" s="0" t="s">
        <v>4</v>
      </c>
      <c r="B5" s="1" t="n">
        <v>0.03</v>
      </c>
    </row>
    <row r="6" customFormat="false" ht="15" hidden="false" customHeight="false" outlineLevel="0" collapsed="false">
      <c r="A6" s="0" t="s">
        <v>5</v>
      </c>
      <c r="B6" s="1" t="n">
        <v>0.07</v>
      </c>
    </row>
    <row r="7" customFormat="false" ht="15" hidden="false" customHeight="false" outlineLevel="0" collapsed="false">
      <c r="A7" s="0" t="s">
        <v>6</v>
      </c>
      <c r="B7" s="0" t="n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7</v>
      </c>
    </row>
    <row r="3" customFormat="false" ht="15" hidden="false" customHeight="false" outlineLevel="0" collapsed="false">
      <c r="A3" s="0" t="s">
        <v>8</v>
      </c>
      <c r="C3" s="0" t="n">
        <v>2026</v>
      </c>
      <c r="D3" s="0" t="n">
        <v>2027</v>
      </c>
      <c r="E3" s="0" t="n">
        <v>2028</v>
      </c>
      <c r="F3" s="0" t="n">
        <v>2029</v>
      </c>
      <c r="G3" s="0" t="n">
        <v>2030</v>
      </c>
      <c r="H3" s="0" t="n">
        <v>2031</v>
      </c>
    </row>
    <row r="5" customFormat="false" ht="15" hidden="false" customHeight="false" outlineLevel="0" collapsed="false">
      <c r="A5" s="0" t="s">
        <v>9</v>
      </c>
      <c r="C5" s="0" t="n">
        <f aca="false">-Inputs!$B$2</f>
        <v>-50000000</v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</row>
    <row r="6" customFormat="false" ht="15" hidden="false" customHeight="false" outlineLevel="0" collapsed="false">
      <c r="A6" s="0" t="s">
        <v>10</v>
      </c>
      <c r="C6" s="0" t="n">
        <f aca="false">-Inputs!$B$2*(Inputs!$B$3)</f>
        <v>-1000000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</row>
    <row r="7" customFormat="false" ht="15" hidden="false" customHeight="false" outlineLevel="0" collapsed="false">
      <c r="A7" s="0" t="s">
        <v>11</v>
      </c>
      <c r="C7" s="0" t="n">
        <v>0</v>
      </c>
      <c r="D7" s="0" t="n">
        <f aca="false">Inputs!$B$4*(1+Inputs!$B$5)^0</f>
        <v>4000000</v>
      </c>
      <c r="E7" s="0" t="n">
        <f aca="false">Inputs!$B$4*(1+Inputs!$B$5)^1</f>
        <v>4120000</v>
      </c>
      <c r="F7" s="0" t="n">
        <f aca="false">Inputs!$B$4*(1+Inputs!$B$5)^2</f>
        <v>4243600</v>
      </c>
      <c r="G7" s="0" t="n">
        <f aca="false">Inputs!$B$4*(1+Inputs!$B$5)^3</f>
        <v>4370908</v>
      </c>
      <c r="H7" s="0" t="n">
        <f aca="false">Inputs!$B$4*(1+Inputs!$B$5)^4</f>
        <v>4502035.24</v>
      </c>
    </row>
    <row r="8" customFormat="false" ht="15" hidden="false" customHeight="false" outlineLevel="0" collapsed="false">
      <c r="A8" s="0" t="s">
        <v>12</v>
      </c>
      <c r="C8" s="0" t="n">
        <f aca="false">IF(0=Inputs!$B$7,C7*(1+Inputs!$B$5)/Inputs!$B$6,0)</f>
        <v>0</v>
      </c>
      <c r="D8" s="0" t="n">
        <f aca="false">IF(1=Inputs!$B$7,D7*(1+Inputs!$B$5)/Inputs!$B$6,0)</f>
        <v>0</v>
      </c>
      <c r="E8" s="0" t="n">
        <f aca="false">IF(2=Inputs!$B$7,E7*(1+Inputs!$B$5)/Inputs!$B$6,0)</f>
        <v>0</v>
      </c>
      <c r="F8" s="0" t="n">
        <f aca="false">IF(3=Inputs!$B$7,F7*(1+Inputs!$B$5)/Inputs!$B$6,0)</f>
        <v>0</v>
      </c>
      <c r="G8" s="0" t="n">
        <f aca="false">IF(4=Inputs!$B$7,G7*(1+Inputs!$B$5)/Inputs!$B$6,0)</f>
        <v>0</v>
      </c>
      <c r="H8" s="0" t="n">
        <f aca="false">IF(5=Inputs!$B$7,H7*(1+Inputs!$B$5)/Inputs!$B$6,0)</f>
        <v>66244232.8171429</v>
      </c>
    </row>
    <row r="9" customFormat="false" ht="15" hidden="false" customHeight="false" outlineLevel="0" collapsed="false">
      <c r="A9" s="0" t="s">
        <v>13</v>
      </c>
      <c r="C9" s="0" t="n">
        <f aca="false">SUM(C5:C8)</f>
        <v>-51000000</v>
      </c>
      <c r="D9" s="0" t="n">
        <f aca="false">SUM(D5:D8)</f>
        <v>4000000</v>
      </c>
      <c r="E9" s="0" t="n">
        <f aca="false">SUM(E5:E8)</f>
        <v>4120000</v>
      </c>
      <c r="F9" s="0" t="n">
        <f aca="false">SUM(F5:F8)</f>
        <v>4243600</v>
      </c>
      <c r="G9" s="0" t="n">
        <f aca="false">SUM(G5:G8)</f>
        <v>4370908</v>
      </c>
      <c r="H9" s="0" t="n">
        <f aca="false">SUM(H5:H8)</f>
        <v>70746268.0571429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14</v>
      </c>
      <c r="B3" s="1" t="n">
        <f aca="false">IRR('Cash Flow'!C9:H9)</f>
        <v>0.128913520765136</v>
      </c>
    </row>
    <row r="4" customFormat="false" ht="15" hidden="false" customHeight="false" outlineLevel="0" collapsed="false">
      <c r="A4" s="0" t="s">
        <v>15</v>
      </c>
      <c r="B4" s="0" t="n">
        <f aca="false">SUM('Cash Flow'!C9:H9)</f>
        <v>36480776.0571429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2026-10-23T09:52:09Z</dcterms:created>
  <dc:creator>openpyxl</dc:creator>
  <dc:description/>
  <dc:language>en-US</dc:language>
  <cp:lastModifiedBy/>
  <dcterms:modified xsi:type="dcterms:W3CDTF">2026-10-23T09:52:09Z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