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<sst xmlns="http://schemas.openxmlformats.org/spreadsheetml/2006/main" count="57" uniqueCount="57">
  <si>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PIER 9 CO-INVESTMENT – TWO-TIER WATERFALL (USD)</t>
  </si>
  <si>
    <t xml:space="preserve">Project cost ex interest ($)</t>
  </si>
  <si>
    <t xml:space="preserve">Construction loan to cost (ex interest)</t>
  </si>
  <si>
    <t xml:space="preserve">Loan rate</t>
  </si>
  <si>
    <t xml:space="preserve">Build (months)</t>
  </si>
  <si>
    <t xml:space="preserve">Revenue ($)</t>
  </si>
  <si>
    <t xml:space="preserve">Sales start (month)</t>
  </si>
  <si>
    <t xml:space="preserve">Sales period (months)</t>
  </si>
  <si>
    <t xml:space="preserve">Developer co-invest (% of equity)</t>
  </si>
  <si>
    <t xml:space="preserve">Deal pref</t>
  </si>
  <si>
    <t xml:space="preserve">Developer promote above pref</t>
  </si>
  <si>
    <t xml:space="preserve">GP commitment (% of vehicle)</t>
  </si>
  <si>
    <t xml:space="preserve">Vehicle pref</t>
  </si>
  <si>
    <t xml:space="preserve">Vehicle carry</t>
  </si>
  <si>
    <t xml:space="preserve">Vehicle catch-up share</t>
  </si>
  <si>
    <t xml:space="preserve">Month</t>
  </si>
  <si>
    <t xml:space="preserve">Build cost</t>
  </si>
  <si>
    <t xml:space="preserve">Interest capitalised</t>
  </si>
  <si>
    <t xml:space="preserve">Total cost</t>
  </si>
  <si>
    <t xml:space="preserve">Equity drawn</t>
  </si>
  <si>
    <t xml:space="preserve">Cumulative equity</t>
  </si>
  <si>
    <t xml:space="preserve">Loan drawn</t>
  </si>
  <si>
    <t xml:space="preserve">Revenue</t>
  </si>
  <si>
    <t xml:space="preserve">Repayment</t>
  </si>
  <si>
    <t xml:space="preserve">Loan balance</t>
  </si>
  <si>
    <t xml:space="preserve">Deal equity cash flow</t>
  </si>
  <si>
    <t xml:space="preserve">Capital partner contribution</t>
  </si>
  <si>
    <t xml:space="preserve">Developer contribution</t>
  </si>
  <si>
    <t xml:space="preserve">Distributions</t>
  </si>
  <si>
    <t xml:space="preserve">Deal ROC</t>
  </si>
  <si>
    <t xml:space="preserve">Deal pref account</t>
  </si>
  <si>
    <t xml:space="preserve">Deal pref paid</t>
  </si>
  <si>
    <t xml:space="preserve">Promote</t>
  </si>
  <si>
    <t xml:space="preserve">Capital partner share</t>
  </si>
  <si>
    <t xml:space="preserve">Developer total</t>
  </si>
  <si>
    <t xml:space="preserve">Capital partner cash flow</t>
  </si>
  <si>
    <t xml:space="preserve">LP contribution</t>
  </si>
  <si>
    <t xml:space="preserve">GP contribution</t>
  </si>
  <si>
    <t xml:space="preserve">Vehicle ROC</t>
  </si>
  <si>
    <t xml:space="preserve">Vehicle pref account</t>
  </si>
  <si>
    <t xml:space="preserve">Vehicle pref paid</t>
  </si>
  <si>
    <t xml:space="preserve">Vehicle catch-up account</t>
  </si>
  <si>
    <t xml:space="preserve">Catch-up to GP</t>
  </si>
  <si>
    <t xml:space="preserve">Split LP</t>
  </si>
  <si>
    <t xml:space="preserve">Split GP</t>
  </si>
  <si>
    <t xml:space="preserve">LP cash flow</t>
  </si>
  <si>
    <t xml:space="preserve">GP cash flow</t>
  </si>
  <si>
    <t xml:space="preserve">Deal IRR (unlevered equity)</t>
  </si>
  <si>
    <t xml:space="preserve">Capital partner IRR (after promote)</t>
  </si>
  <si>
    <t xml:space="preserve">LP net IRR (after promote and carry)</t>
  </si>
  <si>
    <t xml:space="preserve">GP IRR</t>
  </si>
  <si>
    <t xml:space="preserve">LP equity multiple</t>
  </si>
  <si>
    <t xml:space="preserve">Developer promote ($)</t>
  </si>
  <si>
    <t xml:space="preserve">GP carry ($)</t>
  </si>
  <si>
    <t xml:space="preserve">Interest capitalised ($)</t>
  </si>
  <si>
    <t xml:space="preserve">Peak loan ($)</t>
  </si>
  <si>
    <t xml:space="preserve">Net profit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</si>
</sst>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240000000</v>
      </c>
    </row>
    <row r="4" customFormat="false" ht="15" hidden="false" customHeight="false" outlineLevel="0" collapsed="false">
      <c r="A4" s="0" t="s">
        <v>2</v>
      </c>
      <c r="B4" s="2" t="n">
        <v>0.6</v>
      </c>
    </row>
    <row r="5" customFormat="false" ht="15" hidden="false" customHeight="false" outlineLevel="0" collapsed="false">
      <c r="A5" s="0" t="s">
        <v>3</v>
      </c>
      <c r="B5" s="2" t="n">
        <v>0.08</v>
      </c>
    </row>
    <row r="6" customFormat="false" ht="15" hidden="false" customHeight="false" outlineLevel="0" collapsed="false">
      <c r="A6" s="0" t="s">
        <v>4</v>
      </c>
      <c r="B6" s="3" t="n">
        <v>24</v>
      </c>
    </row>
    <row r="7" customFormat="false" ht="15" hidden="false" customHeight="false" outlineLevel="0" collapsed="false">
      <c r="A7" s="0" t="s">
        <v>5</v>
      </c>
      <c r="B7" s="1" t="n">
        <v>345000000</v>
      </c>
    </row>
    <row r="8" customFormat="false" ht="15" hidden="false" customHeight="false" outlineLevel="0" collapsed="false">
      <c r="A8" s="0" t="s">
        <v>6</v>
      </c>
      <c r="B8" s="3" t="n">
        <v>22</v>
      </c>
    </row>
    <row r="9" customFormat="false" ht="15" hidden="false" customHeight="false" outlineLevel="0" collapsed="false">
      <c r="A9" s="0" t="s">
        <v>7</v>
      </c>
      <c r="B9" s="3" t="n">
        <v>18</v>
      </c>
    </row>
    <row r="10" customFormat="false" ht="15" hidden="false" customHeight="false" outlineLevel="0" collapsed="false">
      <c r="A10" s="0" t="s">
        <v>8</v>
      </c>
      <c r="B10" s="2" t="n">
        <v>0.1</v>
      </c>
    </row>
    <row r="11" customFormat="false" ht="15" hidden="false" customHeight="false" outlineLevel="0" collapsed="false">
      <c r="A11" s="0" t="s">
        <v>9</v>
      </c>
      <c r="B11" s="2" t="n">
        <v>0.09</v>
      </c>
    </row>
    <row r="12" customFormat="false" ht="15" hidden="false" customHeight="false" outlineLevel="0" collapsed="false">
      <c r="A12" s="0" t="s">
        <v>10</v>
      </c>
      <c r="B12" s="2" t="n">
        <v>0.25</v>
      </c>
    </row>
    <row r="13" customFormat="false" ht="15" hidden="false" customHeight="false" outlineLevel="0" collapsed="false">
      <c r="A13" s="0" t="s">
        <v>11</v>
      </c>
      <c r="B13" s="2" t="n">
        <v>0.05</v>
      </c>
    </row>
    <row r="14" customFormat="false" ht="15" hidden="false" customHeight="false" outlineLevel="0" collapsed="false">
      <c r="A14" s="0" t="s">
        <v>12</v>
      </c>
      <c r="B14" s="2" t="n">
        <v>0.08</v>
      </c>
    </row>
    <row r="15" customFormat="false" ht="15" hidden="false" customHeight="false" outlineLevel="0" collapsed="false">
      <c r="A15" s="0" t="s">
        <v>13</v>
      </c>
      <c r="B15" s="2" t="n">
        <v>0.2</v>
      </c>
    </row>
    <row r="16" customFormat="false" ht="15" hidden="false" customHeight="false" outlineLevel="0" collapsed="false">
      <c r="A16" s="0" t="s">
        <v>14</v>
      </c>
      <c r="B16" s="2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X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</row>
    <row r="4" customFormat="false" ht="15" hidden="false" customHeight="false" outlineLevel="0" collapsed="false">
      <c r="A4" s="0" t="s">
        <v>16</v>
      </c>
      <c r="B4" s="0" t="n">
        <f aca="false">IF(AND(B$3&gt;=1,B$3&lt;=Inputs!$B$6),Inputs!$B$3/Inputs!$B$6,0)</f>
        <v>0</v>
      </c>
      <c r="C4" s="0" t="n">
        <f aca="false">IF(AND(C$3&gt;=1,C$3&lt;=Inputs!$B$6),Inputs!$B$3/Inputs!$B$6,0)</f>
        <v>10000000</v>
      </c>
      <c r="D4" s="0" t="n">
        <f aca="false">IF(AND(D$3&gt;=1,D$3&lt;=Inputs!$B$6),Inputs!$B$3/Inputs!$B$6,0)</f>
        <v>10000000</v>
      </c>
      <c r="E4" s="0" t="n">
        <f aca="false">IF(AND(E$3&gt;=1,E$3&lt;=Inputs!$B$6),Inputs!$B$3/Inputs!$B$6,0)</f>
        <v>10000000</v>
      </c>
      <c r="F4" s="0" t="n">
        <f aca="false">IF(AND(F$3&gt;=1,F$3&lt;=Inputs!$B$6),Inputs!$B$3/Inputs!$B$6,0)</f>
        <v>10000000</v>
      </c>
      <c r="G4" s="0" t="n">
        <f aca="false">IF(AND(G$3&gt;=1,G$3&lt;=Inputs!$B$6),Inputs!$B$3/Inputs!$B$6,0)</f>
        <v>10000000</v>
      </c>
      <c r="H4" s="0" t="n">
        <f aca="false">IF(AND(H$3&gt;=1,H$3&lt;=Inputs!$B$6),Inputs!$B$3/Inputs!$B$6,0)</f>
        <v>10000000</v>
      </c>
      <c r="I4" s="0" t="n">
        <f aca="false">IF(AND(I$3&gt;=1,I$3&lt;=Inputs!$B$6),Inputs!$B$3/Inputs!$B$6,0)</f>
        <v>10000000</v>
      </c>
      <c r="J4" s="0" t="n">
        <f aca="false">IF(AND(J$3&gt;=1,J$3&lt;=Inputs!$B$6),Inputs!$B$3/Inputs!$B$6,0)</f>
        <v>10000000</v>
      </c>
      <c r="K4" s="0" t="n">
        <f aca="false">IF(AND(K$3&gt;=1,K$3&lt;=Inputs!$B$6),Inputs!$B$3/Inputs!$B$6,0)</f>
        <v>10000000</v>
      </c>
      <c r="L4" s="0" t="n">
        <f aca="false">IF(AND(L$3&gt;=1,L$3&lt;=Inputs!$B$6),Inputs!$B$3/Inputs!$B$6,0)</f>
        <v>10000000</v>
      </c>
      <c r="M4" s="0" t="n">
        <f aca="false">IF(AND(M$3&gt;=1,M$3&lt;=Inputs!$B$6),Inputs!$B$3/Inputs!$B$6,0)</f>
        <v>10000000</v>
      </c>
      <c r="N4" s="0" t="n">
        <f aca="false">IF(AND(N$3&gt;=1,N$3&lt;=Inputs!$B$6),Inputs!$B$3/Inputs!$B$6,0)</f>
        <v>10000000</v>
      </c>
      <c r="O4" s="0" t="n">
        <f aca="false">IF(AND(O$3&gt;=1,O$3&lt;=Inputs!$B$6),Inputs!$B$3/Inputs!$B$6,0)</f>
        <v>10000000</v>
      </c>
      <c r="P4" s="0" t="n">
        <f aca="false">IF(AND(P$3&gt;=1,P$3&lt;=Inputs!$B$6),Inputs!$B$3/Inputs!$B$6,0)</f>
        <v>10000000</v>
      </c>
      <c r="Q4" s="0" t="n">
        <f aca="false">IF(AND(Q$3&gt;=1,Q$3&lt;=Inputs!$B$6),Inputs!$B$3/Inputs!$B$6,0)</f>
        <v>10000000</v>
      </c>
      <c r="R4" s="0" t="n">
        <f aca="false">IF(AND(R$3&gt;=1,R$3&lt;=Inputs!$B$6),Inputs!$B$3/Inputs!$B$6,0)</f>
        <v>10000000</v>
      </c>
      <c r="S4" s="0" t="n">
        <f aca="false">IF(AND(S$3&gt;=1,S$3&lt;=Inputs!$B$6),Inputs!$B$3/Inputs!$B$6,0)</f>
        <v>10000000</v>
      </c>
      <c r="T4" s="0" t="n">
        <f aca="false">IF(AND(T$3&gt;=1,T$3&lt;=Inputs!$B$6),Inputs!$B$3/Inputs!$B$6,0)</f>
        <v>10000000</v>
      </c>
      <c r="U4" s="0" t="n">
        <f aca="false">IF(AND(U$3&gt;=1,U$3&lt;=Inputs!$B$6),Inputs!$B$3/Inputs!$B$6,0)</f>
        <v>10000000</v>
      </c>
      <c r="V4" s="0" t="n">
        <f aca="false">IF(AND(V$3&gt;=1,V$3&lt;=Inputs!$B$6),Inputs!$B$3/Inputs!$B$6,0)</f>
        <v>10000000</v>
      </c>
      <c r="W4" s="0" t="n">
        <f aca="false">IF(AND(W$3&gt;=1,W$3&lt;=Inputs!$B$6),Inputs!$B$3/Inputs!$B$6,0)</f>
        <v>10000000</v>
      </c>
      <c r="X4" s="0" t="n">
        <f aca="false">IF(AND(X$3&gt;=1,X$3&lt;=Inputs!$B$6),Inputs!$B$3/Inputs!$B$6,0)</f>
        <v>10000000</v>
      </c>
      <c r="Y4" s="0" t="n">
        <f aca="false">IF(AND(Y$3&gt;=1,Y$3&lt;=Inputs!$B$6),Inputs!$B$3/Inputs!$B$6,0)</f>
        <v>10000000</v>
      </c>
      <c r="Z4" s="0" t="n">
        <f aca="false">IF(AND(Z$3&gt;=1,Z$3&lt;=Inputs!$B$6),Inputs!$B$3/Inputs!$B$6,0)</f>
        <v>10000000</v>
      </c>
      <c r="AA4" s="0" t="n">
        <f aca="false">IF(AND(AA$3&gt;=1,AA$3&lt;=Inputs!$B$6),Inputs!$B$3/Inputs!$B$6,0)</f>
        <v>0</v>
      </c>
      <c r="AB4" s="0" t="n">
        <f aca="false">IF(AND(AB$3&gt;=1,AB$3&lt;=Inputs!$B$6),Inputs!$B$3/Inputs!$B$6,0)</f>
        <v>0</v>
      </c>
      <c r="AC4" s="0" t="n">
        <f aca="false">IF(AND(AC$3&gt;=1,AC$3&lt;=Inputs!$B$6),Inputs!$B$3/Inputs!$B$6,0)</f>
        <v>0</v>
      </c>
      <c r="AD4" s="0" t="n">
        <f aca="false">IF(AND(AD$3&gt;=1,AD$3&lt;=Inputs!$B$6),Inputs!$B$3/Inputs!$B$6,0)</f>
        <v>0</v>
      </c>
      <c r="AE4" s="0" t="n">
        <f aca="false">IF(AND(AE$3&gt;=1,AE$3&lt;=Inputs!$B$6),Inputs!$B$3/Inputs!$B$6,0)</f>
        <v>0</v>
      </c>
      <c r="AF4" s="0" t="n">
        <f aca="false">IF(AND(AF$3&gt;=1,AF$3&lt;=Inputs!$B$6),Inputs!$B$3/Inputs!$B$6,0)</f>
        <v>0</v>
      </c>
      <c r="AG4" s="0" t="n">
        <f aca="false">IF(AND(AG$3&gt;=1,AG$3&lt;=Inputs!$B$6),Inputs!$B$3/Inputs!$B$6,0)</f>
        <v>0</v>
      </c>
      <c r="AH4" s="0" t="n">
        <f aca="false">IF(AND(AH$3&gt;=1,AH$3&lt;=Inputs!$B$6),Inputs!$B$3/Inputs!$B$6,0)</f>
        <v>0</v>
      </c>
      <c r="AI4" s="0" t="n">
        <f aca="false">IF(AND(AI$3&gt;=1,AI$3&lt;=Inputs!$B$6),Inputs!$B$3/Inputs!$B$6,0)</f>
        <v>0</v>
      </c>
      <c r="AJ4" s="0" t="n">
        <f aca="false">IF(AND(AJ$3&gt;=1,AJ$3&lt;=Inputs!$B$6),Inputs!$B$3/Inputs!$B$6,0)</f>
        <v>0</v>
      </c>
      <c r="AK4" s="0" t="n">
        <f aca="false">IF(AND(AK$3&gt;=1,AK$3&lt;=Inputs!$B$6),Inputs!$B$3/Inputs!$B$6,0)</f>
        <v>0</v>
      </c>
      <c r="AL4" s="0" t="n">
        <f aca="false">IF(AND(AL$3&gt;=1,AL$3&lt;=Inputs!$B$6),Inputs!$B$3/Inputs!$B$6,0)</f>
        <v>0</v>
      </c>
      <c r="AM4" s="0" t="n">
        <f aca="false">IF(AND(AM$3&gt;=1,AM$3&lt;=Inputs!$B$6),Inputs!$B$3/Inputs!$B$6,0)</f>
        <v>0</v>
      </c>
      <c r="AN4" s="0" t="n">
        <f aca="false">IF(AND(AN$3&gt;=1,AN$3&lt;=Inputs!$B$6),Inputs!$B$3/Inputs!$B$6,0)</f>
        <v>0</v>
      </c>
      <c r="AO4" s="0" t="n">
        <f aca="false">IF(AND(AO$3&gt;=1,AO$3&lt;=Inputs!$B$6),Inputs!$B$3/Inputs!$B$6,0)</f>
        <v>0</v>
      </c>
      <c r="AP4" s="0" t="n">
        <f aca="false">IF(AND(AP$3&gt;=1,AP$3&lt;=Inputs!$B$6),Inputs!$B$3/Inputs!$B$6,0)</f>
        <v>0</v>
      </c>
      <c r="AQ4" s="0" t="n">
        <f aca="false">IF(AND(AQ$3&gt;=1,AQ$3&lt;=Inputs!$B$6),Inputs!$B$3/Inputs!$B$6,0)</f>
        <v>0</v>
      </c>
      <c r="AR4" s="0" t="n">
        <f aca="false">IF(AND(AR$3&gt;=1,AR$3&lt;=Inputs!$B$6),Inputs!$B$3/Inputs!$B$6,0)</f>
        <v>0</v>
      </c>
      <c r="AS4" s="0" t="n">
        <f aca="false">IF(AND(AS$3&gt;=1,AS$3&lt;=Inputs!$B$6),Inputs!$B$3/Inputs!$B$6,0)</f>
        <v>0</v>
      </c>
      <c r="AT4" s="0" t="n">
        <f aca="false">IF(AND(AT$3&gt;=1,AT$3&lt;=Inputs!$B$6),Inputs!$B$3/Inputs!$B$6,0)</f>
        <v>0</v>
      </c>
      <c r="AU4" s="0" t="n">
        <f aca="false">IF(AND(AU$3&gt;=1,AU$3&lt;=Inputs!$B$6),Inputs!$B$3/Inputs!$B$6,0)</f>
        <v>0</v>
      </c>
      <c r="AV4" s="0" t="n">
        <f aca="false">IF(AND(AV$3&gt;=1,AV$3&lt;=Inputs!$B$6),Inputs!$B$3/Inputs!$B$6,0)</f>
        <v>0</v>
      </c>
      <c r="AW4" s="0" t="n">
        <f aca="false">IF(AND(AW$3&gt;=1,AW$3&lt;=Inputs!$B$6),Inputs!$B$3/Inputs!$B$6,0)</f>
        <v>0</v>
      </c>
      <c r="AX4" s="0" t="n">
        <f aca="false">IF(AND(AX$3&gt;=1,AX$3&lt;=Inputs!$B$6),Inputs!$B$3/Inputs!$B$6,0)</f>
        <v>0</v>
      </c>
    </row>
    <row r="5" customFormat="false" ht="15" hidden="false" customHeight="false" outlineLevel="0" collapsed="false">
      <c r="A5" s="0" t="s">
        <v>17</v>
      </c>
      <c r="B5" s="0" t="n">
        <f aca="false">0</f>
        <v>0</v>
      </c>
      <c r="C5" s="0" t="n">
        <f aca="false">B12*Inputs!$B$5/12</f>
        <v>0</v>
      </c>
      <c r="D5" s="0" t="n">
        <f aca="false">C12*Inputs!$B$5/12</f>
        <v>0</v>
      </c>
      <c r="E5" s="0" t="n">
        <f aca="false">D12*Inputs!$B$5/12</f>
        <v>0</v>
      </c>
      <c r="F5" s="0" t="n">
        <f aca="false">E12*Inputs!$B$5/12</f>
        <v>0</v>
      </c>
      <c r="G5" s="0" t="n">
        <f aca="false">F12*Inputs!$B$5/12</f>
        <v>0</v>
      </c>
      <c r="H5" s="0" t="n">
        <f aca="false">G12*Inputs!$B$5/12</f>
        <v>0</v>
      </c>
      <c r="I5" s="0" t="n">
        <f aca="false">H12*Inputs!$B$5/12</f>
        <v>0</v>
      </c>
      <c r="J5" s="0" t="n">
        <f aca="false">I12*Inputs!$B$5/12</f>
        <v>0</v>
      </c>
      <c r="K5" s="0" t="n">
        <f aca="false">J12*Inputs!$B$5/12</f>
        <v>0</v>
      </c>
      <c r="L5" s="0" t="n">
        <f aca="false">K12*Inputs!$B$5/12</f>
        <v>0</v>
      </c>
      <c r="M5" s="0" t="n">
        <f aca="false">L12*Inputs!$B$5/12</f>
        <v>26666.6666666667</v>
      </c>
      <c r="N5" s="0" t="n">
        <f aca="false">M12*Inputs!$B$5/12</f>
        <v>93511.1111111111</v>
      </c>
      <c r="O5" s="0" t="n">
        <f aca="false">N12*Inputs!$B$5/12</f>
        <v>160801.185185185</v>
      </c>
      <c r="P5" s="0" t="n">
        <f aca="false">O12*Inputs!$B$5/12</f>
        <v>228539.859753086</v>
      </c>
      <c r="Q5" s="0" t="n">
        <f aca="false">P12*Inputs!$B$5/12</f>
        <v>296730.125484774</v>
      </c>
      <c r="R5" s="0" t="n">
        <f aca="false">Q12*Inputs!$B$5/12</f>
        <v>365374.992988006</v>
      </c>
      <c r="S5" s="0" t="n">
        <f aca="false">R12*Inputs!$B$5/12</f>
        <v>434477.492941259</v>
      </c>
      <c r="T5" s="0" t="n">
        <f aca="false">S12*Inputs!$B$5/12</f>
        <v>504040.676227534</v>
      </c>
      <c r="U5" s="0" t="n">
        <f aca="false">T12*Inputs!$B$5/12</f>
        <v>574067.614069051</v>
      </c>
      <c r="V5" s="0" t="n">
        <f aca="false">U12*Inputs!$B$5/12</f>
        <v>644561.398162845</v>
      </c>
      <c r="W5" s="0" t="n">
        <f aca="false">V12*Inputs!$B$5/12</f>
        <v>715525.140817264</v>
      </c>
      <c r="X5" s="0" t="n">
        <f aca="false">W12*Inputs!$B$5/12</f>
        <v>786961.975089379</v>
      </c>
      <c r="Y5" s="0" t="n">
        <f aca="false">X12*Inputs!$B$5/12</f>
        <v>731097.27714553</v>
      </c>
      <c r="Z5" s="0" t="n">
        <f aca="false">Y12*Inputs!$B$5/12</f>
        <v>674860.147882056</v>
      </c>
      <c r="AA5" s="0" t="n">
        <f aca="false">Z12*Inputs!$B$5/12</f>
        <v>618248.104423492</v>
      </c>
      <c r="AB5" s="0" t="n">
        <f aca="false">AA12*Inputs!$B$5/12</f>
        <v>494591.980675204</v>
      </c>
      <c r="AC5" s="0" t="n">
        <f aca="false">AB12*Inputs!$B$5/12</f>
        <v>370111.482768594</v>
      </c>
      <c r="AD5" s="0" t="n">
        <f aca="false">AC12*Inputs!$B$5/12</f>
        <v>244801.11487594</v>
      </c>
      <c r="AE5" s="0" t="n">
        <f aca="false">AD12*Inputs!$B$5/12</f>
        <v>118655.344530669</v>
      </c>
      <c r="AF5" s="0" t="n">
        <f aca="false">AE12*Inputs!$B$5/12</f>
        <v>0</v>
      </c>
      <c r="AG5" s="0" t="n">
        <f aca="false">AF12*Inputs!$B$5/12</f>
        <v>0</v>
      </c>
      <c r="AH5" s="0" t="n">
        <f aca="false">AG12*Inputs!$B$5/12</f>
        <v>0</v>
      </c>
      <c r="AI5" s="0" t="n">
        <f aca="false">AH12*Inputs!$B$5/12</f>
        <v>0</v>
      </c>
      <c r="AJ5" s="0" t="n">
        <f aca="false">AI12*Inputs!$B$5/12</f>
        <v>0</v>
      </c>
      <c r="AK5" s="0" t="n">
        <f aca="false">AJ12*Inputs!$B$5/12</f>
        <v>0</v>
      </c>
      <c r="AL5" s="0" t="n">
        <f aca="false">AK12*Inputs!$B$5/12</f>
        <v>0</v>
      </c>
      <c r="AM5" s="0" t="n">
        <f aca="false">AL12*Inputs!$B$5/12</f>
        <v>0</v>
      </c>
      <c r="AN5" s="0" t="n">
        <f aca="false">AM12*Inputs!$B$5/12</f>
        <v>0</v>
      </c>
      <c r="AO5" s="0" t="n">
        <f aca="false">AN12*Inputs!$B$5/12</f>
        <v>0</v>
      </c>
      <c r="AP5" s="0" t="n">
        <f aca="false">AO12*Inputs!$B$5/12</f>
        <v>0</v>
      </c>
      <c r="AQ5" s="0" t="n">
        <f aca="false">AP12*Inputs!$B$5/12</f>
        <v>0</v>
      </c>
      <c r="AR5" s="0" t="n">
        <f aca="false">AQ12*Inputs!$B$5/12</f>
        <v>0</v>
      </c>
      <c r="AS5" s="0" t="n">
        <f aca="false">AR12*Inputs!$B$5/12</f>
        <v>0</v>
      </c>
      <c r="AT5" s="0" t="n">
        <f aca="false">AS12*Inputs!$B$5/12</f>
        <v>0</v>
      </c>
      <c r="AU5" s="0" t="n">
        <f aca="false">AT12*Inputs!$B$5/12</f>
        <v>0</v>
      </c>
      <c r="AV5" s="0" t="n">
        <f aca="false">AU12*Inputs!$B$5/12</f>
        <v>0</v>
      </c>
      <c r="AW5" s="0" t="n">
        <f aca="false">AV12*Inputs!$B$5/12</f>
        <v>0</v>
      </c>
      <c r="AX5" s="0" t="n">
        <f aca="false">AW12*Inputs!$B$5/12</f>
        <v>0</v>
      </c>
    </row>
    <row r="6" customFormat="false" ht="15" hidden="false" customHeight="false" outlineLevel="0" collapsed="false">
      <c r="A6" s="0" t="s">
        <v>18</v>
      </c>
      <c r="B6" s="0" t="n">
        <f aca="false">B4+B5</f>
        <v>0</v>
      </c>
      <c r="C6" s="0" t="n">
        <f aca="false">C4+C5</f>
        <v>10000000</v>
      </c>
      <c r="D6" s="0" t="n">
        <f aca="false">D4+D5</f>
        <v>10000000</v>
      </c>
      <c r="E6" s="0" t="n">
        <f aca="false">E4+E5</f>
        <v>10000000</v>
      </c>
      <c r="F6" s="0" t="n">
        <f aca="false">F4+F5</f>
        <v>10000000</v>
      </c>
      <c r="G6" s="0" t="n">
        <f aca="false">G4+G5</f>
        <v>10000000</v>
      </c>
      <c r="H6" s="0" t="n">
        <f aca="false">H4+H5</f>
        <v>10000000</v>
      </c>
      <c r="I6" s="0" t="n">
        <f aca="false">I4+I5</f>
        <v>10000000</v>
      </c>
      <c r="J6" s="0" t="n">
        <f aca="false">J4+J5</f>
        <v>10000000</v>
      </c>
      <c r="K6" s="0" t="n">
        <f aca="false">K4+K5</f>
        <v>10000000</v>
      </c>
      <c r="L6" s="0" t="n">
        <f aca="false">L4+L5</f>
        <v>10000000</v>
      </c>
      <c r="M6" s="0" t="n">
        <f aca="false">M4+M5</f>
        <v>10026666.6666667</v>
      </c>
      <c r="N6" s="0" t="n">
        <f aca="false">N4+N5</f>
        <v>10093511.1111111</v>
      </c>
      <c r="O6" s="0" t="n">
        <f aca="false">O4+O5</f>
        <v>10160801.1851852</v>
      </c>
      <c r="P6" s="0" t="n">
        <f aca="false">P4+P5</f>
        <v>10228539.8597531</v>
      </c>
      <c r="Q6" s="0" t="n">
        <f aca="false">Q4+Q5</f>
        <v>10296730.1254848</v>
      </c>
      <c r="R6" s="0" t="n">
        <f aca="false">R4+R5</f>
        <v>10365374.992988</v>
      </c>
      <c r="S6" s="0" t="n">
        <f aca="false">S4+S5</f>
        <v>10434477.4929413</v>
      </c>
      <c r="T6" s="0" t="n">
        <f aca="false">T4+T5</f>
        <v>10504040.6762275</v>
      </c>
      <c r="U6" s="0" t="n">
        <f aca="false">U4+U5</f>
        <v>10574067.6140691</v>
      </c>
      <c r="V6" s="0" t="n">
        <f aca="false">V4+V5</f>
        <v>10644561.3981628</v>
      </c>
      <c r="W6" s="0" t="n">
        <f aca="false">W4+W5</f>
        <v>10715525.1408173</v>
      </c>
      <c r="X6" s="0" t="n">
        <f aca="false">X4+X5</f>
        <v>10786961.9750894</v>
      </c>
      <c r="Y6" s="0" t="n">
        <f aca="false">Y4+Y5</f>
        <v>10731097.2771455</v>
      </c>
      <c r="Z6" s="0" t="n">
        <f aca="false">Z4+Z5</f>
        <v>10674860.1478821</v>
      </c>
      <c r="AA6" s="0" t="n">
        <f aca="false">AA4+AA5</f>
        <v>618248.104423492</v>
      </c>
      <c r="AB6" s="0" t="n">
        <f aca="false">AB4+AB5</f>
        <v>494591.980675204</v>
      </c>
      <c r="AC6" s="0" t="n">
        <f aca="false">AC4+AC5</f>
        <v>370111.482768594</v>
      </c>
      <c r="AD6" s="0" t="n">
        <f aca="false">AD4+AD5</f>
        <v>244801.11487594</v>
      </c>
      <c r="AE6" s="0" t="n">
        <f aca="false">AE4+AE5</f>
        <v>118655.344530669</v>
      </c>
      <c r="AF6" s="0" t="n">
        <f aca="false">AF4+AF5</f>
        <v>0</v>
      </c>
      <c r="AG6" s="0" t="n">
        <f aca="false">AG4+AG5</f>
        <v>0</v>
      </c>
      <c r="AH6" s="0" t="n">
        <f aca="false">AH4+AH5</f>
        <v>0</v>
      </c>
      <c r="AI6" s="0" t="n">
        <f aca="false">AI4+AI5</f>
        <v>0</v>
      </c>
      <c r="AJ6" s="0" t="n">
        <f aca="false">AJ4+AJ5</f>
        <v>0</v>
      </c>
      <c r="AK6" s="0" t="n">
        <f aca="false">AK4+AK5</f>
        <v>0</v>
      </c>
      <c r="AL6" s="0" t="n">
        <f aca="false">AL4+AL5</f>
        <v>0</v>
      </c>
      <c r="AM6" s="0" t="n">
        <f aca="false">AM4+AM5</f>
        <v>0</v>
      </c>
      <c r="AN6" s="0" t="n">
        <f aca="false">AN4+AN5</f>
        <v>0</v>
      </c>
      <c r="AO6" s="0" t="n">
        <f aca="false">AO4+AO5</f>
        <v>0</v>
      </c>
      <c r="AP6" s="0" t="n">
        <f aca="false">AP4+AP5</f>
        <v>0</v>
      </c>
      <c r="AQ6" s="0" t="n">
        <f aca="false">AQ4+AQ5</f>
        <v>0</v>
      </c>
      <c r="AR6" s="0" t="n">
        <f aca="false">AR4+AR5</f>
        <v>0</v>
      </c>
      <c r="AS6" s="0" t="n">
        <f aca="false">AS4+AS5</f>
        <v>0</v>
      </c>
      <c r="AT6" s="0" t="n">
        <f aca="false">AT4+AT5</f>
        <v>0</v>
      </c>
      <c r="AU6" s="0" t="n">
        <f aca="false">AU4+AU5</f>
        <v>0</v>
      </c>
      <c r="AV6" s="0" t="n">
        <f aca="false">AV4+AV5</f>
        <v>0</v>
      </c>
      <c r="AW6" s="0" t="n">
        <f aca="false">AW4+AW5</f>
        <v>0</v>
      </c>
      <c r="AX6" s="0" t="n">
        <f aca="false">AX4+AX5</f>
        <v>0</v>
      </c>
    </row>
    <row r="7" customFormat="false" ht="15" hidden="false" customHeight="false" outlineLevel="0" collapsed="false">
      <c r="A7" s="0" t="s">
        <v>19</v>
      </c>
      <c r="B7" s="0" t="n">
        <f aca="false">MIN(B6,MAX(0,(1-Inputs!$B$4)*Inputs!$B$3-0))</f>
        <v>0</v>
      </c>
      <c r="C7" s="0" t="n">
        <f aca="false">MIN(C6,MAX(0,(1-Inputs!$B$4)*Inputs!$B$3-B8))</f>
        <v>10000000</v>
      </c>
      <c r="D7" s="0" t="n">
        <f aca="false">MIN(D6,MAX(0,(1-Inputs!$B$4)*Inputs!$B$3-C8))</f>
        <v>10000000</v>
      </c>
      <c r="E7" s="0" t="n">
        <f aca="false">MIN(E6,MAX(0,(1-Inputs!$B$4)*Inputs!$B$3-D8))</f>
        <v>10000000</v>
      </c>
      <c r="F7" s="0" t="n">
        <f aca="false">MIN(F6,MAX(0,(1-Inputs!$B$4)*Inputs!$B$3-E8))</f>
        <v>10000000</v>
      </c>
      <c r="G7" s="0" t="n">
        <f aca="false">MIN(G6,MAX(0,(1-Inputs!$B$4)*Inputs!$B$3-F8))</f>
        <v>10000000</v>
      </c>
      <c r="H7" s="0" t="n">
        <f aca="false">MIN(H6,MAX(0,(1-Inputs!$B$4)*Inputs!$B$3-G8))</f>
        <v>10000000</v>
      </c>
      <c r="I7" s="0" t="n">
        <f aca="false">MIN(I6,MAX(0,(1-Inputs!$B$4)*Inputs!$B$3-H8))</f>
        <v>10000000</v>
      </c>
      <c r="J7" s="0" t="n">
        <f aca="false">MIN(J6,MAX(0,(1-Inputs!$B$4)*Inputs!$B$3-I8))</f>
        <v>10000000</v>
      </c>
      <c r="K7" s="0" t="n">
        <f aca="false">MIN(K6,MAX(0,(1-Inputs!$B$4)*Inputs!$B$3-J8))</f>
        <v>10000000</v>
      </c>
      <c r="L7" s="0" t="n">
        <f aca="false">MIN(L6,MAX(0,(1-Inputs!$B$4)*Inputs!$B$3-K8))</f>
        <v>6000000</v>
      </c>
      <c r="M7" s="0" t="n">
        <f aca="false">MIN(M6,MAX(0,(1-Inputs!$B$4)*Inputs!$B$3-L8))</f>
        <v>0</v>
      </c>
      <c r="N7" s="0" t="n">
        <f aca="false">MIN(N6,MAX(0,(1-Inputs!$B$4)*Inputs!$B$3-M8))</f>
        <v>0</v>
      </c>
      <c r="O7" s="0" t="n">
        <f aca="false">MIN(O6,MAX(0,(1-Inputs!$B$4)*Inputs!$B$3-N8))</f>
        <v>0</v>
      </c>
      <c r="P7" s="0" t="n">
        <f aca="false">MIN(P6,MAX(0,(1-Inputs!$B$4)*Inputs!$B$3-O8))</f>
        <v>0</v>
      </c>
      <c r="Q7" s="0" t="n">
        <f aca="false">MIN(Q6,MAX(0,(1-Inputs!$B$4)*Inputs!$B$3-P8))</f>
        <v>0</v>
      </c>
      <c r="R7" s="0" t="n">
        <f aca="false">MIN(R6,MAX(0,(1-Inputs!$B$4)*Inputs!$B$3-Q8))</f>
        <v>0</v>
      </c>
      <c r="S7" s="0" t="n">
        <f aca="false">MIN(S6,MAX(0,(1-Inputs!$B$4)*Inputs!$B$3-R8))</f>
        <v>0</v>
      </c>
      <c r="T7" s="0" t="n">
        <f aca="false">MIN(T6,MAX(0,(1-Inputs!$B$4)*Inputs!$B$3-S8))</f>
        <v>0</v>
      </c>
      <c r="U7" s="0" t="n">
        <f aca="false">MIN(U6,MAX(0,(1-Inputs!$B$4)*Inputs!$B$3-T8))</f>
        <v>0</v>
      </c>
      <c r="V7" s="0" t="n">
        <f aca="false">MIN(V6,MAX(0,(1-Inputs!$B$4)*Inputs!$B$3-U8))</f>
        <v>0</v>
      </c>
      <c r="W7" s="0" t="n">
        <f aca="false">MIN(W6,MAX(0,(1-Inputs!$B$4)*Inputs!$B$3-V8))</f>
        <v>0</v>
      </c>
      <c r="X7" s="0" t="n">
        <f aca="false">MIN(X6,MAX(0,(1-Inputs!$B$4)*Inputs!$B$3-W8))</f>
        <v>0</v>
      </c>
      <c r="Y7" s="0" t="n">
        <f aca="false">MIN(Y6,MAX(0,(1-Inputs!$B$4)*Inputs!$B$3-X8))</f>
        <v>0</v>
      </c>
      <c r="Z7" s="0" t="n">
        <f aca="false">MIN(Z6,MAX(0,(1-Inputs!$B$4)*Inputs!$B$3-Y8))</f>
        <v>0</v>
      </c>
      <c r="AA7" s="0" t="n">
        <f aca="false">MIN(AA6,MAX(0,(1-Inputs!$B$4)*Inputs!$B$3-Z8))</f>
        <v>0</v>
      </c>
      <c r="AB7" s="0" t="n">
        <f aca="false">MIN(AB6,MAX(0,(1-Inputs!$B$4)*Inputs!$B$3-AA8))</f>
        <v>0</v>
      </c>
      <c r="AC7" s="0" t="n">
        <f aca="false">MIN(AC6,MAX(0,(1-Inputs!$B$4)*Inputs!$B$3-AB8))</f>
        <v>0</v>
      </c>
      <c r="AD7" s="0" t="n">
        <f aca="false">MIN(AD6,MAX(0,(1-Inputs!$B$4)*Inputs!$B$3-AC8))</f>
        <v>0</v>
      </c>
      <c r="AE7" s="0" t="n">
        <f aca="false">MIN(AE6,MAX(0,(1-Inputs!$B$4)*Inputs!$B$3-AD8))</f>
        <v>0</v>
      </c>
      <c r="AF7" s="0" t="n">
        <f aca="false">MIN(AF6,MAX(0,(1-Inputs!$B$4)*Inputs!$B$3-AE8))</f>
        <v>0</v>
      </c>
      <c r="AG7" s="0" t="n">
        <f aca="false">MIN(AG6,MAX(0,(1-Inputs!$B$4)*Inputs!$B$3-AF8))</f>
        <v>0</v>
      </c>
      <c r="AH7" s="0" t="n">
        <f aca="false">MIN(AH6,MAX(0,(1-Inputs!$B$4)*Inputs!$B$3-AG8))</f>
        <v>0</v>
      </c>
      <c r="AI7" s="0" t="n">
        <f aca="false">MIN(AI6,MAX(0,(1-Inputs!$B$4)*Inputs!$B$3-AH8))</f>
        <v>0</v>
      </c>
      <c r="AJ7" s="0" t="n">
        <f aca="false">MIN(AJ6,MAX(0,(1-Inputs!$B$4)*Inputs!$B$3-AI8))</f>
        <v>0</v>
      </c>
      <c r="AK7" s="0" t="n">
        <f aca="false">MIN(AK6,MAX(0,(1-Inputs!$B$4)*Inputs!$B$3-AJ8))</f>
        <v>0</v>
      </c>
      <c r="AL7" s="0" t="n">
        <f aca="false">MIN(AL6,MAX(0,(1-Inputs!$B$4)*Inputs!$B$3-AK8))</f>
        <v>0</v>
      </c>
      <c r="AM7" s="0" t="n">
        <f aca="false">MIN(AM6,MAX(0,(1-Inputs!$B$4)*Inputs!$B$3-AL8))</f>
        <v>0</v>
      </c>
      <c r="AN7" s="0" t="n">
        <f aca="false">MIN(AN6,MAX(0,(1-Inputs!$B$4)*Inputs!$B$3-AM8))</f>
        <v>0</v>
      </c>
      <c r="AO7" s="0" t="n">
        <f aca="false">MIN(AO6,MAX(0,(1-Inputs!$B$4)*Inputs!$B$3-AN8))</f>
        <v>0</v>
      </c>
      <c r="AP7" s="0" t="n">
        <f aca="false">MIN(AP6,MAX(0,(1-Inputs!$B$4)*Inputs!$B$3-AO8))</f>
        <v>0</v>
      </c>
      <c r="AQ7" s="0" t="n">
        <f aca="false">MIN(AQ6,MAX(0,(1-Inputs!$B$4)*Inputs!$B$3-AP8))</f>
        <v>0</v>
      </c>
      <c r="AR7" s="0" t="n">
        <f aca="false">MIN(AR6,MAX(0,(1-Inputs!$B$4)*Inputs!$B$3-AQ8))</f>
        <v>0</v>
      </c>
      <c r="AS7" s="0" t="n">
        <f aca="false">MIN(AS6,MAX(0,(1-Inputs!$B$4)*Inputs!$B$3-AR8))</f>
        <v>0</v>
      </c>
      <c r="AT7" s="0" t="n">
        <f aca="false">MIN(AT6,MAX(0,(1-Inputs!$B$4)*Inputs!$B$3-AS8))</f>
        <v>0</v>
      </c>
      <c r="AU7" s="0" t="n">
        <f aca="false">MIN(AU6,MAX(0,(1-Inputs!$B$4)*Inputs!$B$3-AT8))</f>
        <v>0</v>
      </c>
      <c r="AV7" s="0" t="n">
        <f aca="false">MIN(AV6,MAX(0,(1-Inputs!$B$4)*Inputs!$B$3-AU8))</f>
        <v>0</v>
      </c>
      <c r="AW7" s="0" t="n">
        <f aca="false">MIN(AW6,MAX(0,(1-Inputs!$B$4)*Inputs!$B$3-AV8))</f>
        <v>0</v>
      </c>
      <c r="AX7" s="0" t="n">
        <f aca="false">MIN(AX6,MAX(0,(1-Inputs!$B$4)*Inputs!$B$3-AW8))</f>
        <v>0</v>
      </c>
    </row>
    <row r="8" customFormat="false" ht="15" hidden="false" customHeight="false" outlineLevel="0" collapsed="false">
      <c r="A8" s="0" t="s">
        <v>20</v>
      </c>
      <c r="B8" s="0" t="n">
        <f aca="false">B7</f>
        <v>0</v>
      </c>
      <c r="C8" s="0" t="n">
        <f aca="false">B8+C7</f>
        <v>10000000</v>
      </c>
      <c r="D8" s="0" t="n">
        <f aca="false">C8+D7</f>
        <v>20000000</v>
      </c>
      <c r="E8" s="0" t="n">
        <f aca="false">D8+E7</f>
        <v>30000000</v>
      </c>
      <c r="F8" s="0" t="n">
        <f aca="false">E8+F7</f>
        <v>40000000</v>
      </c>
      <c r="G8" s="0" t="n">
        <f aca="false">F8+G7</f>
        <v>50000000</v>
      </c>
      <c r="H8" s="0" t="n">
        <f aca="false">G8+H7</f>
        <v>60000000</v>
      </c>
      <c r="I8" s="0" t="n">
        <f aca="false">H8+I7</f>
        <v>70000000</v>
      </c>
      <c r="J8" s="0" t="n">
        <f aca="false">I8+J7</f>
        <v>80000000</v>
      </c>
      <c r="K8" s="0" t="n">
        <f aca="false">J8+K7</f>
        <v>90000000</v>
      </c>
      <c r="L8" s="0" t="n">
        <f aca="false">K8+L7</f>
        <v>96000000</v>
      </c>
      <c r="M8" s="0" t="n">
        <f aca="false">L8+M7</f>
        <v>96000000</v>
      </c>
      <c r="N8" s="0" t="n">
        <f aca="false">M8+N7</f>
        <v>96000000</v>
      </c>
      <c r="O8" s="0" t="n">
        <f aca="false">N8+O7</f>
        <v>96000000</v>
      </c>
      <c r="P8" s="0" t="n">
        <f aca="false">O8+P7</f>
        <v>96000000</v>
      </c>
      <c r="Q8" s="0" t="n">
        <f aca="false">P8+Q7</f>
        <v>96000000</v>
      </c>
      <c r="R8" s="0" t="n">
        <f aca="false">Q8+R7</f>
        <v>96000000</v>
      </c>
      <c r="S8" s="0" t="n">
        <f aca="false">R8+S7</f>
        <v>96000000</v>
      </c>
      <c r="T8" s="0" t="n">
        <f aca="false">S8+T7</f>
        <v>96000000</v>
      </c>
      <c r="U8" s="0" t="n">
        <f aca="false">T8+U7</f>
        <v>96000000</v>
      </c>
      <c r="V8" s="0" t="n">
        <f aca="false">U8+V7</f>
        <v>96000000</v>
      </c>
      <c r="W8" s="0" t="n">
        <f aca="false">V8+W7</f>
        <v>96000000</v>
      </c>
      <c r="X8" s="0" t="n">
        <f aca="false">W8+X7</f>
        <v>96000000</v>
      </c>
      <c r="Y8" s="0" t="n">
        <f aca="false">X8+Y7</f>
        <v>96000000</v>
      </c>
      <c r="Z8" s="0" t="n">
        <f aca="false">Y8+Z7</f>
        <v>96000000</v>
      </c>
      <c r="AA8" s="0" t="n">
        <f aca="false">Z8+AA7</f>
        <v>96000000</v>
      </c>
      <c r="AB8" s="0" t="n">
        <f aca="false">AA8+AB7</f>
        <v>96000000</v>
      </c>
      <c r="AC8" s="0" t="n">
        <f aca="false">AB8+AC7</f>
        <v>96000000</v>
      </c>
      <c r="AD8" s="0" t="n">
        <f aca="false">AC8+AD7</f>
        <v>96000000</v>
      </c>
      <c r="AE8" s="0" t="n">
        <f aca="false">AD8+AE7</f>
        <v>96000000</v>
      </c>
      <c r="AF8" s="0" t="n">
        <f aca="false">AE8+AF7</f>
        <v>96000000</v>
      </c>
      <c r="AG8" s="0" t="n">
        <f aca="false">AF8+AG7</f>
        <v>96000000</v>
      </c>
      <c r="AH8" s="0" t="n">
        <f aca="false">AG8+AH7</f>
        <v>96000000</v>
      </c>
      <c r="AI8" s="0" t="n">
        <f aca="false">AH8+AI7</f>
        <v>96000000</v>
      </c>
      <c r="AJ8" s="0" t="n">
        <f aca="false">AI8+AJ7</f>
        <v>96000000</v>
      </c>
      <c r="AK8" s="0" t="n">
        <f aca="false">AJ8+AK7</f>
        <v>96000000</v>
      </c>
      <c r="AL8" s="0" t="n">
        <f aca="false">AK8+AL7</f>
        <v>96000000</v>
      </c>
      <c r="AM8" s="0" t="n">
        <f aca="false">AL8+AM7</f>
        <v>96000000</v>
      </c>
      <c r="AN8" s="0" t="n">
        <f aca="false">AM8+AN7</f>
        <v>96000000</v>
      </c>
      <c r="AO8" s="0" t="n">
        <f aca="false">AN8+AO7</f>
        <v>96000000</v>
      </c>
      <c r="AP8" s="0" t="n">
        <f aca="false">AO8+AP7</f>
        <v>96000000</v>
      </c>
      <c r="AQ8" s="0" t="n">
        <f aca="false">AP8+AQ7</f>
        <v>96000000</v>
      </c>
      <c r="AR8" s="0" t="n">
        <f aca="false">AQ8+AR7</f>
        <v>96000000</v>
      </c>
      <c r="AS8" s="0" t="n">
        <f aca="false">AR8+AS7</f>
        <v>96000000</v>
      </c>
      <c r="AT8" s="0" t="n">
        <f aca="false">AS8+AT7</f>
        <v>96000000</v>
      </c>
      <c r="AU8" s="0" t="n">
        <f aca="false">AT8+AU7</f>
        <v>96000000</v>
      </c>
      <c r="AV8" s="0" t="n">
        <f aca="false">AU8+AV7</f>
        <v>96000000</v>
      </c>
      <c r="AW8" s="0" t="n">
        <f aca="false">AV8+AW7</f>
        <v>96000000</v>
      </c>
      <c r="AX8" s="0" t="n">
        <f aca="false">AW8+AX7</f>
        <v>96000000</v>
      </c>
    </row>
    <row r="9" customFormat="false" ht="15" hidden="false" customHeight="false" outlineLevel="0" collapsed="false">
      <c r="A9" s="0" t="s">
        <v>21</v>
      </c>
      <c r="B9" s="0" t="n">
        <f aca="false">B6-B7</f>
        <v>0</v>
      </c>
      <c r="C9" s="0" t="n">
        <f aca="false">C6-C7</f>
        <v>0</v>
      </c>
      <c r="D9" s="0" t="n">
        <f aca="false">D6-D7</f>
        <v>0</v>
      </c>
      <c r="E9" s="0" t="n">
        <f aca="false">E6-E7</f>
        <v>0</v>
      </c>
      <c r="F9" s="0" t="n">
        <f aca="false">F6-F7</f>
        <v>0</v>
      </c>
      <c r="G9" s="0" t="n">
        <f aca="false">G6-G7</f>
        <v>0</v>
      </c>
      <c r="H9" s="0" t="n">
        <f aca="false">H6-H7</f>
        <v>0</v>
      </c>
      <c r="I9" s="0" t="n">
        <f aca="false">I6-I7</f>
        <v>0</v>
      </c>
      <c r="J9" s="0" t="n">
        <f aca="false">J6-J7</f>
        <v>0</v>
      </c>
      <c r="K9" s="0" t="n">
        <f aca="false">K6-K7</f>
        <v>0</v>
      </c>
      <c r="L9" s="0" t="n">
        <f aca="false">L6-L7</f>
        <v>4000000</v>
      </c>
      <c r="M9" s="0" t="n">
        <f aca="false">M6-M7</f>
        <v>10026666.6666667</v>
      </c>
      <c r="N9" s="0" t="n">
        <f aca="false">N6-N7</f>
        <v>10093511.1111111</v>
      </c>
      <c r="O9" s="0" t="n">
        <f aca="false">O6-O7</f>
        <v>10160801.1851852</v>
      </c>
      <c r="P9" s="0" t="n">
        <f aca="false">P6-P7</f>
        <v>10228539.8597531</v>
      </c>
      <c r="Q9" s="0" t="n">
        <f aca="false">Q6-Q7</f>
        <v>10296730.1254848</v>
      </c>
      <c r="R9" s="0" t="n">
        <f aca="false">R6-R7</f>
        <v>10365374.992988</v>
      </c>
      <c r="S9" s="0" t="n">
        <f aca="false">S6-S7</f>
        <v>10434477.4929413</v>
      </c>
      <c r="T9" s="0" t="n">
        <f aca="false">T6-T7</f>
        <v>10504040.6762275</v>
      </c>
      <c r="U9" s="0" t="n">
        <f aca="false">U6-U7</f>
        <v>10574067.6140691</v>
      </c>
      <c r="V9" s="0" t="n">
        <f aca="false">V6-V7</f>
        <v>10644561.3981628</v>
      </c>
      <c r="W9" s="0" t="n">
        <f aca="false">W6-W7</f>
        <v>10715525.1408173</v>
      </c>
      <c r="X9" s="0" t="n">
        <f aca="false">X6-X7</f>
        <v>10786961.9750894</v>
      </c>
      <c r="Y9" s="0" t="n">
        <f aca="false">Y6-Y7</f>
        <v>10731097.2771455</v>
      </c>
      <c r="Z9" s="0" t="n">
        <f aca="false">Z6-Z7</f>
        <v>10674860.1478821</v>
      </c>
      <c r="AA9" s="0" t="n">
        <f aca="false">AA6-AA7</f>
        <v>618248.104423492</v>
      </c>
      <c r="AB9" s="0" t="n">
        <f aca="false">AB6-AB7</f>
        <v>494591.980675204</v>
      </c>
      <c r="AC9" s="0" t="n">
        <f aca="false">AC6-AC7</f>
        <v>370111.482768594</v>
      </c>
      <c r="AD9" s="0" t="n">
        <f aca="false">AD6-AD7</f>
        <v>244801.11487594</v>
      </c>
      <c r="AE9" s="0" t="n">
        <f aca="false">AE6-AE7</f>
        <v>118655.344530669</v>
      </c>
      <c r="AF9" s="0" t="n">
        <f aca="false">AF6-AF7</f>
        <v>0</v>
      </c>
      <c r="AG9" s="0" t="n">
        <f aca="false">AG6-AG7</f>
        <v>0</v>
      </c>
      <c r="AH9" s="0" t="n">
        <f aca="false">AH6-AH7</f>
        <v>0</v>
      </c>
      <c r="AI9" s="0" t="n">
        <f aca="false">AI6-AI7</f>
        <v>0</v>
      </c>
      <c r="AJ9" s="0" t="n">
        <f aca="false">AJ6-AJ7</f>
        <v>0</v>
      </c>
      <c r="AK9" s="0" t="n">
        <f aca="false">AK6-AK7</f>
        <v>0</v>
      </c>
      <c r="AL9" s="0" t="n">
        <f aca="false">AL6-AL7</f>
        <v>0</v>
      </c>
      <c r="AM9" s="0" t="n">
        <f aca="false">AM6-AM7</f>
        <v>0</v>
      </c>
      <c r="AN9" s="0" t="n">
        <f aca="false">AN6-AN7</f>
        <v>0</v>
      </c>
      <c r="AO9" s="0" t="n">
        <f aca="false">AO6-AO7</f>
        <v>0</v>
      </c>
      <c r="AP9" s="0" t="n">
        <f aca="false">AP6-AP7</f>
        <v>0</v>
      </c>
      <c r="AQ9" s="0" t="n">
        <f aca="false">AQ6-AQ7</f>
        <v>0</v>
      </c>
      <c r="AR9" s="0" t="n">
        <f aca="false">AR6-AR7</f>
        <v>0</v>
      </c>
      <c r="AS9" s="0" t="n">
        <f aca="false">AS6-AS7</f>
        <v>0</v>
      </c>
      <c r="AT9" s="0" t="n">
        <f aca="false">AT6-AT7</f>
        <v>0</v>
      </c>
      <c r="AU9" s="0" t="n">
        <f aca="false">AU6-AU7</f>
        <v>0</v>
      </c>
      <c r="AV9" s="0" t="n">
        <f aca="false">AV6-AV7</f>
        <v>0</v>
      </c>
      <c r="AW9" s="0" t="n">
        <f aca="false">AW6-AW7</f>
        <v>0</v>
      </c>
      <c r="AX9" s="0" t="n">
        <f aca="false">AX6-AX7</f>
        <v>0</v>
      </c>
    </row>
    <row r="10" customFormat="false" ht="15" hidden="false" customHeight="false" outlineLevel="0" collapsed="false">
      <c r="A10" s="0" t="s">
        <v>22</v>
      </c>
      <c r="B10" s="0" t="n">
        <f aca="false">IF(AND(B$3&gt;=Inputs!$B$8,B$3&lt;Inputs!$B$8+Inputs!$B$9),Inputs!$B$7/Inputs!$B$9,0)</f>
        <v>0</v>
      </c>
      <c r="C10" s="0" t="n">
        <f aca="false">IF(AND(C$3&gt;=Inputs!$B$8,C$3&lt;Inputs!$B$8+Inputs!$B$9),Inputs!$B$7/Inputs!$B$9,0)</f>
        <v>0</v>
      </c>
      <c r="D10" s="0" t="n">
        <f aca="false">IF(AND(D$3&gt;=Inputs!$B$8,D$3&lt;Inputs!$B$8+Inputs!$B$9),Inputs!$B$7/Inputs!$B$9,0)</f>
        <v>0</v>
      </c>
      <c r="E10" s="0" t="n">
        <f aca="false">IF(AND(E$3&gt;=Inputs!$B$8,E$3&lt;Inputs!$B$8+Inputs!$B$9),Inputs!$B$7/Inputs!$B$9,0)</f>
        <v>0</v>
      </c>
      <c r="F10" s="0" t="n">
        <f aca="false">IF(AND(F$3&gt;=Inputs!$B$8,F$3&lt;Inputs!$B$8+Inputs!$B$9),Inputs!$B$7/Inputs!$B$9,0)</f>
        <v>0</v>
      </c>
      <c r="G10" s="0" t="n">
        <f aca="false">IF(AND(G$3&gt;=Inputs!$B$8,G$3&lt;Inputs!$B$8+Inputs!$B$9),Inputs!$B$7/Inputs!$B$9,0)</f>
        <v>0</v>
      </c>
      <c r="H10" s="0" t="n">
        <f aca="false">IF(AND(H$3&gt;=Inputs!$B$8,H$3&lt;Inputs!$B$8+Inputs!$B$9),Inputs!$B$7/Inputs!$B$9,0)</f>
        <v>0</v>
      </c>
      <c r="I10" s="0" t="n">
        <f aca="false">IF(AND(I$3&gt;=Inputs!$B$8,I$3&lt;Inputs!$B$8+Inputs!$B$9),Inputs!$B$7/Inputs!$B$9,0)</f>
        <v>0</v>
      </c>
      <c r="J10" s="0" t="n">
        <f aca="false">IF(AND(J$3&gt;=Inputs!$B$8,J$3&lt;Inputs!$B$8+Inputs!$B$9),Inputs!$B$7/Inputs!$B$9,0)</f>
        <v>0</v>
      </c>
      <c r="K10" s="0" t="n">
        <f aca="false">IF(AND(K$3&gt;=Inputs!$B$8,K$3&lt;Inputs!$B$8+Inputs!$B$9),Inputs!$B$7/Inputs!$B$9,0)</f>
        <v>0</v>
      </c>
      <c r="L10" s="0" t="n">
        <f aca="false">IF(AND(L$3&gt;=Inputs!$B$8,L$3&lt;Inputs!$B$8+Inputs!$B$9),Inputs!$B$7/Inputs!$B$9,0)</f>
        <v>0</v>
      </c>
      <c r="M10" s="0" t="n">
        <f aca="false">IF(AND(M$3&gt;=Inputs!$B$8,M$3&lt;Inputs!$B$8+Inputs!$B$9),Inputs!$B$7/Inputs!$B$9,0)</f>
        <v>0</v>
      </c>
      <c r="N10" s="0" t="n">
        <f aca="false">IF(AND(N$3&gt;=Inputs!$B$8,N$3&lt;Inputs!$B$8+Inputs!$B$9),Inputs!$B$7/Inputs!$B$9,0)</f>
        <v>0</v>
      </c>
      <c r="O10" s="0" t="n">
        <f aca="false">IF(AND(O$3&gt;=Inputs!$B$8,O$3&lt;Inputs!$B$8+Inputs!$B$9),Inputs!$B$7/Inputs!$B$9,0)</f>
        <v>0</v>
      </c>
      <c r="P10" s="0" t="n">
        <f aca="false">IF(AND(P$3&gt;=Inputs!$B$8,P$3&lt;Inputs!$B$8+Inputs!$B$9),Inputs!$B$7/Inputs!$B$9,0)</f>
        <v>0</v>
      </c>
      <c r="Q10" s="0" t="n">
        <f aca="false">IF(AND(Q$3&gt;=Inputs!$B$8,Q$3&lt;Inputs!$B$8+Inputs!$B$9),Inputs!$B$7/Inputs!$B$9,0)</f>
        <v>0</v>
      </c>
      <c r="R10" s="0" t="n">
        <f aca="false">IF(AND(R$3&gt;=Inputs!$B$8,R$3&lt;Inputs!$B$8+Inputs!$B$9),Inputs!$B$7/Inputs!$B$9,0)</f>
        <v>0</v>
      </c>
      <c r="S10" s="0" t="n">
        <f aca="false">IF(AND(S$3&gt;=Inputs!$B$8,S$3&lt;Inputs!$B$8+Inputs!$B$9),Inputs!$B$7/Inputs!$B$9,0)</f>
        <v>0</v>
      </c>
      <c r="T10" s="0" t="n">
        <f aca="false">IF(AND(T$3&gt;=Inputs!$B$8,T$3&lt;Inputs!$B$8+Inputs!$B$9),Inputs!$B$7/Inputs!$B$9,0)</f>
        <v>0</v>
      </c>
      <c r="U10" s="0" t="n">
        <f aca="false">IF(AND(U$3&gt;=Inputs!$B$8,U$3&lt;Inputs!$B$8+Inputs!$B$9),Inputs!$B$7/Inputs!$B$9,0)</f>
        <v>0</v>
      </c>
      <c r="V10" s="0" t="n">
        <f aca="false">IF(AND(V$3&gt;=Inputs!$B$8,V$3&lt;Inputs!$B$8+Inputs!$B$9),Inputs!$B$7/Inputs!$B$9,0)</f>
        <v>0</v>
      </c>
      <c r="W10" s="0" t="n">
        <f aca="false">IF(AND(W$3&gt;=Inputs!$B$8,W$3&lt;Inputs!$B$8+Inputs!$B$9),Inputs!$B$7/Inputs!$B$9,0)</f>
        <v>0</v>
      </c>
      <c r="X10" s="0" t="n">
        <f aca="false">IF(AND(X$3&gt;=Inputs!$B$8,X$3&lt;Inputs!$B$8+Inputs!$B$9),Inputs!$B$7/Inputs!$B$9,0)</f>
        <v>19166666.6666667</v>
      </c>
      <c r="Y10" s="0" t="n">
        <f aca="false">IF(AND(Y$3&gt;=Inputs!$B$8,Y$3&lt;Inputs!$B$8+Inputs!$B$9),Inputs!$B$7/Inputs!$B$9,0)</f>
        <v>19166666.6666667</v>
      </c>
      <c r="Z10" s="0" t="n">
        <f aca="false">IF(AND(Z$3&gt;=Inputs!$B$8,Z$3&lt;Inputs!$B$8+Inputs!$B$9),Inputs!$B$7/Inputs!$B$9,0)</f>
        <v>19166666.6666667</v>
      </c>
      <c r="AA10" s="0" t="n">
        <f aca="false">IF(AND(AA$3&gt;=Inputs!$B$8,AA$3&lt;Inputs!$B$8+Inputs!$B$9),Inputs!$B$7/Inputs!$B$9,0)</f>
        <v>19166666.6666667</v>
      </c>
      <c r="AB10" s="0" t="n">
        <f aca="false">IF(AND(AB$3&gt;=Inputs!$B$8,AB$3&lt;Inputs!$B$8+Inputs!$B$9),Inputs!$B$7/Inputs!$B$9,0)</f>
        <v>19166666.6666667</v>
      </c>
      <c r="AC10" s="0" t="n">
        <f aca="false">IF(AND(AC$3&gt;=Inputs!$B$8,AC$3&lt;Inputs!$B$8+Inputs!$B$9),Inputs!$B$7/Inputs!$B$9,0)</f>
        <v>19166666.6666667</v>
      </c>
      <c r="AD10" s="0" t="n">
        <f aca="false">IF(AND(AD$3&gt;=Inputs!$B$8,AD$3&lt;Inputs!$B$8+Inputs!$B$9),Inputs!$B$7/Inputs!$B$9,0)</f>
        <v>19166666.6666667</v>
      </c>
      <c r="AE10" s="0" t="n">
        <f aca="false">IF(AND(AE$3&gt;=Inputs!$B$8,AE$3&lt;Inputs!$B$8+Inputs!$B$9),Inputs!$B$7/Inputs!$B$9,0)</f>
        <v>19166666.6666667</v>
      </c>
      <c r="AF10" s="0" t="n">
        <f aca="false">IF(AND(AF$3&gt;=Inputs!$B$8,AF$3&lt;Inputs!$B$8+Inputs!$B$9),Inputs!$B$7/Inputs!$B$9,0)</f>
        <v>19166666.6666667</v>
      </c>
      <c r="AG10" s="0" t="n">
        <f aca="false">IF(AND(AG$3&gt;=Inputs!$B$8,AG$3&lt;Inputs!$B$8+Inputs!$B$9),Inputs!$B$7/Inputs!$B$9,0)</f>
        <v>19166666.6666667</v>
      </c>
      <c r="AH10" s="0" t="n">
        <f aca="false">IF(AND(AH$3&gt;=Inputs!$B$8,AH$3&lt;Inputs!$B$8+Inputs!$B$9),Inputs!$B$7/Inputs!$B$9,0)</f>
        <v>19166666.6666667</v>
      </c>
      <c r="AI10" s="0" t="n">
        <f aca="false">IF(AND(AI$3&gt;=Inputs!$B$8,AI$3&lt;Inputs!$B$8+Inputs!$B$9),Inputs!$B$7/Inputs!$B$9,0)</f>
        <v>19166666.6666667</v>
      </c>
      <c r="AJ10" s="0" t="n">
        <f aca="false">IF(AND(AJ$3&gt;=Inputs!$B$8,AJ$3&lt;Inputs!$B$8+Inputs!$B$9),Inputs!$B$7/Inputs!$B$9,0)</f>
        <v>19166666.6666667</v>
      </c>
      <c r="AK10" s="0" t="n">
        <f aca="false">IF(AND(AK$3&gt;=Inputs!$B$8,AK$3&lt;Inputs!$B$8+Inputs!$B$9),Inputs!$B$7/Inputs!$B$9,0)</f>
        <v>19166666.6666667</v>
      </c>
      <c r="AL10" s="0" t="n">
        <f aca="false">IF(AND(AL$3&gt;=Inputs!$B$8,AL$3&lt;Inputs!$B$8+Inputs!$B$9),Inputs!$B$7/Inputs!$B$9,0)</f>
        <v>19166666.6666667</v>
      </c>
      <c r="AM10" s="0" t="n">
        <f aca="false">IF(AND(AM$3&gt;=Inputs!$B$8,AM$3&lt;Inputs!$B$8+Inputs!$B$9),Inputs!$B$7/Inputs!$B$9,0)</f>
        <v>19166666.6666667</v>
      </c>
      <c r="AN10" s="0" t="n">
        <f aca="false">IF(AND(AN$3&gt;=Inputs!$B$8,AN$3&lt;Inputs!$B$8+Inputs!$B$9),Inputs!$B$7/Inputs!$B$9,0)</f>
        <v>19166666.6666667</v>
      </c>
      <c r="AO10" s="0" t="n">
        <f aca="false">IF(AND(AO$3&gt;=Inputs!$B$8,AO$3&lt;Inputs!$B$8+Inputs!$B$9),Inputs!$B$7/Inputs!$B$9,0)</f>
        <v>19166666.6666667</v>
      </c>
      <c r="AP10" s="0" t="n">
        <f aca="false">IF(AND(AP$3&gt;=Inputs!$B$8,AP$3&lt;Inputs!$B$8+Inputs!$B$9),Inputs!$B$7/Inputs!$B$9,0)</f>
        <v>0</v>
      </c>
      <c r="AQ10" s="0" t="n">
        <f aca="false">IF(AND(AQ$3&gt;=Inputs!$B$8,AQ$3&lt;Inputs!$B$8+Inputs!$B$9),Inputs!$B$7/Inputs!$B$9,0)</f>
        <v>0</v>
      </c>
      <c r="AR10" s="0" t="n">
        <f aca="false">IF(AND(AR$3&gt;=Inputs!$B$8,AR$3&lt;Inputs!$B$8+Inputs!$B$9),Inputs!$B$7/Inputs!$B$9,0)</f>
        <v>0</v>
      </c>
      <c r="AS10" s="0" t="n">
        <f aca="false">IF(AND(AS$3&gt;=Inputs!$B$8,AS$3&lt;Inputs!$B$8+Inputs!$B$9),Inputs!$B$7/Inputs!$B$9,0)</f>
        <v>0</v>
      </c>
      <c r="AT10" s="0" t="n">
        <f aca="false">IF(AND(AT$3&gt;=Inputs!$B$8,AT$3&lt;Inputs!$B$8+Inputs!$B$9),Inputs!$B$7/Inputs!$B$9,0)</f>
        <v>0</v>
      </c>
      <c r="AU10" s="0" t="n">
        <f aca="false">IF(AND(AU$3&gt;=Inputs!$B$8,AU$3&lt;Inputs!$B$8+Inputs!$B$9),Inputs!$B$7/Inputs!$B$9,0)</f>
        <v>0</v>
      </c>
      <c r="AV10" s="0" t="n">
        <f aca="false">IF(AND(AV$3&gt;=Inputs!$B$8,AV$3&lt;Inputs!$B$8+Inputs!$B$9),Inputs!$B$7/Inputs!$B$9,0)</f>
        <v>0</v>
      </c>
      <c r="AW10" s="0" t="n">
        <f aca="false">IF(AND(AW$3&gt;=Inputs!$B$8,AW$3&lt;Inputs!$B$8+Inputs!$B$9),Inputs!$B$7/Inputs!$B$9,0)</f>
        <v>0</v>
      </c>
      <c r="AX10" s="0" t="n">
        <f aca="false">IF(AND(AX$3&gt;=Inputs!$B$8,AX$3&lt;Inputs!$B$8+Inputs!$B$9),Inputs!$B$7/Inputs!$B$9,0)</f>
        <v>0</v>
      </c>
    </row>
    <row r="11" customFormat="false" ht="15" hidden="false" customHeight="false" outlineLevel="0" collapsed="false">
      <c r="A11" s="0" t="s">
        <v>23</v>
      </c>
      <c r="B11" s="0" t="n">
        <f aca="false">MIN(B10,0+B9)</f>
        <v>0</v>
      </c>
      <c r="C11" s="0" t="n">
        <f aca="false">MIN(C10,B12+C9)</f>
        <v>0</v>
      </c>
      <c r="D11" s="0" t="n">
        <f aca="false">MIN(D10,C12+D9)</f>
        <v>0</v>
      </c>
      <c r="E11" s="0" t="n">
        <f aca="false">MIN(E10,D12+E9)</f>
        <v>0</v>
      </c>
      <c r="F11" s="0" t="n">
        <f aca="false">MIN(F10,E12+F9)</f>
        <v>0</v>
      </c>
      <c r="G11" s="0" t="n">
        <f aca="false">MIN(G10,F12+G9)</f>
        <v>0</v>
      </c>
      <c r="H11" s="0" t="n">
        <f aca="false">MIN(H10,G12+H9)</f>
        <v>0</v>
      </c>
      <c r="I11" s="0" t="n">
        <f aca="false">MIN(I10,H12+I9)</f>
        <v>0</v>
      </c>
      <c r="J11" s="0" t="n">
        <f aca="false">MIN(J10,I12+J9)</f>
        <v>0</v>
      </c>
      <c r="K11" s="0" t="n">
        <f aca="false">MIN(K10,J12+K9)</f>
        <v>0</v>
      </c>
      <c r="L11" s="0" t="n">
        <f aca="false">MIN(L10,K12+L9)</f>
        <v>0</v>
      </c>
      <c r="M11" s="0" t="n">
        <f aca="false">MIN(M10,L12+M9)</f>
        <v>0</v>
      </c>
      <c r="N11" s="0" t="n">
        <f aca="false">MIN(N10,M12+N9)</f>
        <v>0</v>
      </c>
      <c r="O11" s="0" t="n">
        <f aca="false">MIN(O10,N12+O9)</f>
        <v>0</v>
      </c>
      <c r="P11" s="0" t="n">
        <f aca="false">MIN(P10,O12+P9)</f>
        <v>0</v>
      </c>
      <c r="Q11" s="0" t="n">
        <f aca="false">MIN(Q10,P12+Q9)</f>
        <v>0</v>
      </c>
      <c r="R11" s="0" t="n">
        <f aca="false">MIN(R10,Q12+R9)</f>
        <v>0</v>
      </c>
      <c r="S11" s="0" t="n">
        <f aca="false">MIN(S10,R12+S9)</f>
        <v>0</v>
      </c>
      <c r="T11" s="0" t="n">
        <f aca="false">MIN(T10,S12+T9)</f>
        <v>0</v>
      </c>
      <c r="U11" s="0" t="n">
        <f aca="false">MIN(U10,T12+U9)</f>
        <v>0</v>
      </c>
      <c r="V11" s="0" t="n">
        <f aca="false">MIN(V10,U12+V9)</f>
        <v>0</v>
      </c>
      <c r="W11" s="0" t="n">
        <f aca="false">MIN(W10,V12+W9)</f>
        <v>0</v>
      </c>
      <c r="X11" s="0" t="n">
        <f aca="false">MIN(X10,W12+X9)</f>
        <v>19166666.6666667</v>
      </c>
      <c r="Y11" s="0" t="n">
        <f aca="false">MIN(Y10,X12+Y9)</f>
        <v>19166666.6666667</v>
      </c>
      <c r="Z11" s="0" t="n">
        <f aca="false">MIN(Z10,Y12+Z9)</f>
        <v>19166666.6666667</v>
      </c>
      <c r="AA11" s="0" t="n">
        <f aca="false">MIN(AA10,Z12+AA9)</f>
        <v>19166666.6666667</v>
      </c>
      <c r="AB11" s="0" t="n">
        <f aca="false">MIN(AB10,AA12+AB9)</f>
        <v>19166666.6666667</v>
      </c>
      <c r="AC11" s="0" t="n">
        <f aca="false">MIN(AC10,AB12+AC9)</f>
        <v>19166666.6666667</v>
      </c>
      <c r="AD11" s="0" t="n">
        <f aca="false">MIN(AD10,AC12+AD9)</f>
        <v>19166666.6666667</v>
      </c>
      <c r="AE11" s="0" t="n">
        <f aca="false">MIN(AE10,AD12+AE9)</f>
        <v>17916957.024131</v>
      </c>
      <c r="AF11" s="0" t="n">
        <f aca="false">MIN(AF10,AE12+AF9)</f>
        <v>0</v>
      </c>
      <c r="AG11" s="0" t="n">
        <f aca="false">MIN(AG10,AF12+AG9)</f>
        <v>0</v>
      </c>
      <c r="AH11" s="0" t="n">
        <f aca="false">MIN(AH10,AG12+AH9)</f>
        <v>0</v>
      </c>
      <c r="AI11" s="0" t="n">
        <f aca="false">MIN(AI10,AH12+AI9)</f>
        <v>0</v>
      </c>
      <c r="AJ11" s="0" t="n">
        <f aca="false">MIN(AJ10,AI12+AJ9)</f>
        <v>0</v>
      </c>
      <c r="AK11" s="0" t="n">
        <f aca="false">MIN(AK10,AJ12+AK9)</f>
        <v>0</v>
      </c>
      <c r="AL11" s="0" t="n">
        <f aca="false">MIN(AL10,AK12+AL9)</f>
        <v>0</v>
      </c>
      <c r="AM11" s="0" t="n">
        <f aca="false">MIN(AM10,AL12+AM9)</f>
        <v>0</v>
      </c>
      <c r="AN11" s="0" t="n">
        <f aca="false">MIN(AN10,AM12+AN9)</f>
        <v>0</v>
      </c>
      <c r="AO11" s="0" t="n">
        <f aca="false">MIN(AO10,AN12+AO9)</f>
        <v>0</v>
      </c>
      <c r="AP11" s="0" t="n">
        <f aca="false">MIN(AP10,AO12+AP9)</f>
        <v>0</v>
      </c>
      <c r="AQ11" s="0" t="n">
        <f aca="false">MIN(AQ10,AP12+AQ9)</f>
        <v>0</v>
      </c>
      <c r="AR11" s="0" t="n">
        <f aca="false">MIN(AR10,AQ12+AR9)</f>
        <v>0</v>
      </c>
      <c r="AS11" s="0" t="n">
        <f aca="false">MIN(AS10,AR12+AS9)</f>
        <v>0</v>
      </c>
      <c r="AT11" s="0" t="n">
        <f aca="false">MIN(AT10,AS12+AT9)</f>
        <v>0</v>
      </c>
      <c r="AU11" s="0" t="n">
        <f aca="false">MIN(AU10,AT12+AU9)</f>
        <v>0</v>
      </c>
      <c r="AV11" s="0" t="n">
        <f aca="false">MIN(AV10,AU12+AV9)</f>
        <v>0</v>
      </c>
      <c r="AW11" s="0" t="n">
        <f aca="false">MIN(AW10,AV12+AW9)</f>
        <v>0</v>
      </c>
      <c r="AX11" s="0" t="n">
        <f aca="false">MIN(AX10,AW12+AX9)</f>
        <v>0</v>
      </c>
    </row>
    <row r="12" customFormat="false" ht="15" hidden="false" customHeight="false" outlineLevel="0" collapsed="false">
      <c r="A12" s="0" t="s">
        <v>24</v>
      </c>
      <c r="B12" s="0" t="n">
        <f aca="false">0+B9-B11</f>
        <v>0</v>
      </c>
      <c r="C12" s="0" t="n">
        <f aca="false">B12+C9-C11</f>
        <v>0</v>
      </c>
      <c r="D12" s="0" t="n">
        <f aca="false">C12+D9-D11</f>
        <v>0</v>
      </c>
      <c r="E12" s="0" t="n">
        <f aca="false">D12+E9-E11</f>
        <v>0</v>
      </c>
      <c r="F12" s="0" t="n">
        <f aca="false">E12+F9-F11</f>
        <v>0</v>
      </c>
      <c r="G12" s="0" t="n">
        <f aca="false">F12+G9-G11</f>
        <v>0</v>
      </c>
      <c r="H12" s="0" t="n">
        <f aca="false">G12+H9-H11</f>
        <v>0</v>
      </c>
      <c r="I12" s="0" t="n">
        <f aca="false">H12+I9-I11</f>
        <v>0</v>
      </c>
      <c r="J12" s="0" t="n">
        <f aca="false">I12+J9-J11</f>
        <v>0</v>
      </c>
      <c r="K12" s="0" t="n">
        <f aca="false">J12+K9-K11</f>
        <v>0</v>
      </c>
      <c r="L12" s="0" t="n">
        <f aca="false">K12+L9-L11</f>
        <v>4000000</v>
      </c>
      <c r="M12" s="0" t="n">
        <f aca="false">L12+M9-M11</f>
        <v>14026666.6666667</v>
      </c>
      <c r="N12" s="0" t="n">
        <f aca="false">M12+N9-N11</f>
        <v>24120177.7777778</v>
      </c>
      <c r="O12" s="0" t="n">
        <f aca="false">N12+O9-O11</f>
        <v>34280978.962963</v>
      </c>
      <c r="P12" s="0" t="n">
        <f aca="false">O12+P9-P11</f>
        <v>44509518.8227161</v>
      </c>
      <c r="Q12" s="0" t="n">
        <f aca="false">P12+Q9-Q11</f>
        <v>54806248.9482008</v>
      </c>
      <c r="R12" s="0" t="n">
        <f aca="false">Q12+R9-R11</f>
        <v>65171623.9411888</v>
      </c>
      <c r="S12" s="0" t="n">
        <f aca="false">R12+S9-S11</f>
        <v>75606101.4341301</v>
      </c>
      <c r="T12" s="0" t="n">
        <f aca="false">S12+T9-T11</f>
        <v>86110142.1103576</v>
      </c>
      <c r="U12" s="0" t="n">
        <f aca="false">T12+U9-U11</f>
        <v>96684209.7244267</v>
      </c>
      <c r="V12" s="0" t="n">
        <f aca="false">U12+V9-V11</f>
        <v>107328771.12259</v>
      </c>
      <c r="W12" s="0" t="n">
        <f aca="false">V12+W9-W11</f>
        <v>118044296.263407</v>
      </c>
      <c r="X12" s="0" t="n">
        <f aca="false">W12+X9-X11</f>
        <v>109664591.571829</v>
      </c>
      <c r="Y12" s="0" t="n">
        <f aca="false">X12+Y9-Y11</f>
        <v>101229022.182308</v>
      </c>
      <c r="Z12" s="0" t="n">
        <f aca="false">Y12+Z9-Z11</f>
        <v>92737215.6635237</v>
      </c>
      <c r="AA12" s="0" t="n">
        <f aca="false">Z12+AA9-AA11</f>
        <v>74188797.1012806</v>
      </c>
      <c r="AB12" s="0" t="n">
        <f aca="false">AA12+AB9-AB11</f>
        <v>55516722.4152891</v>
      </c>
      <c r="AC12" s="0" t="n">
        <f aca="false">AB12+AC9-AC11</f>
        <v>36720167.231391</v>
      </c>
      <c r="AD12" s="0" t="n">
        <f aca="false">AC12+AD9-AD11</f>
        <v>17798301.6796003</v>
      </c>
      <c r="AE12" s="0" t="n">
        <f aca="false">AD12+AE9-AE11</f>
        <v>0</v>
      </c>
      <c r="AF12" s="0" t="n">
        <f aca="false">AE12+AF9-AF11</f>
        <v>0</v>
      </c>
      <c r="AG12" s="0" t="n">
        <f aca="false">AF12+AG9-AG11</f>
        <v>0</v>
      </c>
      <c r="AH12" s="0" t="n">
        <f aca="false">AG12+AH9-AH11</f>
        <v>0</v>
      </c>
      <c r="AI12" s="0" t="n">
        <f aca="false">AH12+AI9-AI11</f>
        <v>0</v>
      </c>
      <c r="AJ12" s="0" t="n">
        <f aca="false">AI12+AJ9-AJ11</f>
        <v>0</v>
      </c>
      <c r="AK12" s="0" t="n">
        <f aca="false">AJ12+AK9-AK11</f>
        <v>0</v>
      </c>
      <c r="AL12" s="0" t="n">
        <f aca="false">AK12+AL9-AL11</f>
        <v>0</v>
      </c>
      <c r="AM12" s="0" t="n">
        <f aca="false">AL12+AM9-AM11</f>
        <v>0</v>
      </c>
      <c r="AN12" s="0" t="n">
        <f aca="false">AM12+AN9-AN11</f>
        <v>0</v>
      </c>
      <c r="AO12" s="0" t="n">
        <f aca="false">AN12+AO9-AO11</f>
        <v>0</v>
      </c>
      <c r="AP12" s="0" t="n">
        <f aca="false">AO12+AP9-AP11</f>
        <v>0</v>
      </c>
      <c r="AQ12" s="0" t="n">
        <f aca="false">AP12+AQ9-AQ11</f>
        <v>0</v>
      </c>
      <c r="AR12" s="0" t="n">
        <f aca="false">AQ12+AR9-AR11</f>
        <v>0</v>
      </c>
      <c r="AS12" s="0" t="n">
        <f aca="false">AR12+AS9-AS11</f>
        <v>0</v>
      </c>
      <c r="AT12" s="0" t="n">
        <f aca="false">AS12+AT9-AT11</f>
        <v>0</v>
      </c>
      <c r="AU12" s="0" t="n">
        <f aca="false">AT12+AU9-AU11</f>
        <v>0</v>
      </c>
      <c r="AV12" s="0" t="n">
        <f aca="false">AU12+AV9-AV11</f>
        <v>0</v>
      </c>
      <c r="AW12" s="0" t="n">
        <f aca="false">AV12+AW9-AW11</f>
        <v>0</v>
      </c>
      <c r="AX12" s="0" t="n">
        <f aca="false">AW12+AX9-AX11</f>
        <v>0</v>
      </c>
    </row>
    <row r="13" customFormat="false" ht="15" hidden="false" customHeight="false" outlineLevel="0" collapsed="false">
      <c r="A13" s="0" t="s">
        <v>25</v>
      </c>
      <c r="B13" s="0" t="n">
        <f aca="false">B10-B11-B7</f>
        <v>0</v>
      </c>
      <c r="C13" s="0" t="n">
        <f aca="false">C10-C11-C7</f>
        <v>-10000000</v>
      </c>
      <c r="D13" s="0" t="n">
        <f aca="false">D10-D11-D7</f>
        <v>-10000000</v>
      </c>
      <c r="E13" s="0" t="n">
        <f aca="false">E10-E11-E7</f>
        <v>-10000000</v>
      </c>
      <c r="F13" s="0" t="n">
        <f aca="false">F10-F11-F7</f>
        <v>-10000000</v>
      </c>
      <c r="G13" s="0" t="n">
        <f aca="false">G10-G11-G7</f>
        <v>-10000000</v>
      </c>
      <c r="H13" s="0" t="n">
        <f aca="false">H10-H11-H7</f>
        <v>-10000000</v>
      </c>
      <c r="I13" s="0" t="n">
        <f aca="false">I10-I11-I7</f>
        <v>-10000000</v>
      </c>
      <c r="J13" s="0" t="n">
        <f aca="false">J10-J11-J7</f>
        <v>-10000000</v>
      </c>
      <c r="K13" s="0" t="n">
        <f aca="false">K10-K11-K7</f>
        <v>-10000000</v>
      </c>
      <c r="L13" s="0" t="n">
        <f aca="false">L10-L11-L7</f>
        <v>-6000000</v>
      </c>
      <c r="M13" s="0" t="n">
        <f aca="false">M10-M11-M7</f>
        <v>0</v>
      </c>
      <c r="N13" s="0" t="n">
        <f aca="false">N10-N11-N7</f>
        <v>0</v>
      </c>
      <c r="O13" s="0" t="n">
        <f aca="false">O10-O11-O7</f>
        <v>0</v>
      </c>
      <c r="P13" s="0" t="n">
        <f aca="false">P10-P11-P7</f>
        <v>0</v>
      </c>
      <c r="Q13" s="0" t="n">
        <f aca="false">Q10-Q11-Q7</f>
        <v>0</v>
      </c>
      <c r="R13" s="0" t="n">
        <f aca="false">R10-R11-R7</f>
        <v>0</v>
      </c>
      <c r="S13" s="0" t="n">
        <f aca="false">S10-S11-S7</f>
        <v>0</v>
      </c>
      <c r="T13" s="0" t="n">
        <f aca="false">T10-T11-T7</f>
        <v>0</v>
      </c>
      <c r="U13" s="0" t="n">
        <f aca="false">U10-U11-U7</f>
        <v>0</v>
      </c>
      <c r="V13" s="0" t="n">
        <f aca="false">V10-V11-V7</f>
        <v>0</v>
      </c>
      <c r="W13" s="0" t="n">
        <f aca="false">W10-W11-W7</f>
        <v>0</v>
      </c>
      <c r="X13" s="0" t="n">
        <f aca="false">X10-X11-X7</f>
        <v>0</v>
      </c>
      <c r="Y13" s="0" t="n">
        <f aca="false">Y10-Y11-Y7</f>
        <v>0</v>
      </c>
      <c r="Z13" s="0" t="n">
        <f aca="false">Z10-Z11-Z7</f>
        <v>0</v>
      </c>
      <c r="AA13" s="0" t="n">
        <f aca="false">AA10-AA11-AA7</f>
        <v>0</v>
      </c>
      <c r="AB13" s="0" t="n">
        <f aca="false">AB10-AB11-AB7</f>
        <v>0</v>
      </c>
      <c r="AC13" s="0" t="n">
        <f aca="false">AC10-AC11-AC7</f>
        <v>0</v>
      </c>
      <c r="AD13" s="0" t="n">
        <f aca="false">AD10-AD11-AD7</f>
        <v>0</v>
      </c>
      <c r="AE13" s="0" t="n">
        <f aca="false">AE10-AE11-AE7</f>
        <v>1249709.64253571</v>
      </c>
      <c r="AF13" s="0" t="n">
        <f aca="false">AF10-AF11-AF7</f>
        <v>19166666.6666667</v>
      </c>
      <c r="AG13" s="0" t="n">
        <f aca="false">AG10-AG11-AG7</f>
        <v>19166666.6666667</v>
      </c>
      <c r="AH13" s="0" t="n">
        <f aca="false">AH10-AH11-AH7</f>
        <v>19166666.6666667</v>
      </c>
      <c r="AI13" s="0" t="n">
        <f aca="false">AI10-AI11-AI7</f>
        <v>19166666.6666667</v>
      </c>
      <c r="AJ13" s="0" t="n">
        <f aca="false">AJ10-AJ11-AJ7</f>
        <v>19166666.6666667</v>
      </c>
      <c r="AK13" s="0" t="n">
        <f aca="false">AK10-AK11-AK7</f>
        <v>19166666.6666667</v>
      </c>
      <c r="AL13" s="0" t="n">
        <f aca="false">AL10-AL11-AL7</f>
        <v>19166666.6666667</v>
      </c>
      <c r="AM13" s="0" t="n">
        <f aca="false">AM10-AM11-AM7</f>
        <v>19166666.6666667</v>
      </c>
      <c r="AN13" s="0" t="n">
        <f aca="false">AN10-AN11-AN7</f>
        <v>19166666.6666667</v>
      </c>
      <c r="AO13" s="0" t="n">
        <f aca="false">AO10-AO11-AO7</f>
        <v>19166666.6666667</v>
      </c>
      <c r="AP13" s="0" t="n">
        <f aca="false">AP10-AP11-AP7</f>
        <v>0</v>
      </c>
      <c r="AQ13" s="0" t="n">
        <f aca="false">AQ10-AQ11-AQ7</f>
        <v>0</v>
      </c>
      <c r="AR13" s="0" t="n">
        <f aca="false">AR10-AR11-AR7</f>
        <v>0</v>
      </c>
      <c r="AS13" s="0" t="n">
        <f aca="false">AS10-AS11-AS7</f>
        <v>0</v>
      </c>
      <c r="AT13" s="0" t="n">
        <f aca="false">AT10-AT11-AT7</f>
        <v>0</v>
      </c>
      <c r="AU13" s="0" t="n">
        <f aca="false">AU10-AU11-AU7</f>
        <v>0</v>
      </c>
      <c r="AV13" s="0" t="n">
        <f aca="false">AV10-AV11-AV7</f>
        <v>0</v>
      </c>
      <c r="AW13" s="0" t="n">
        <f aca="false">AW10-AW11-AW7</f>
        <v>0</v>
      </c>
      <c r="AX13" s="0" t="n">
        <f aca="false">AX10-AX11-AX7</f>
        <v>0</v>
      </c>
    </row>
    <row r="14" customFormat="false" ht="15" hidden="false" customHeight="false" outlineLevel="0" collapsed="false">
      <c r="A14" s="0" t="s">
        <v>26</v>
      </c>
      <c r="B14" s="0" t="n">
        <f aca="false">B7*(1-Inputs!$B$10)</f>
        <v>0</v>
      </c>
      <c r="C14" s="0" t="n">
        <f aca="false">C7*(1-Inputs!$B$10)</f>
        <v>9000000</v>
      </c>
      <c r="D14" s="0" t="n">
        <f aca="false">D7*(1-Inputs!$B$10)</f>
        <v>9000000</v>
      </c>
      <c r="E14" s="0" t="n">
        <f aca="false">E7*(1-Inputs!$B$10)</f>
        <v>9000000</v>
      </c>
      <c r="F14" s="0" t="n">
        <f aca="false">F7*(1-Inputs!$B$10)</f>
        <v>9000000</v>
      </c>
      <c r="G14" s="0" t="n">
        <f aca="false">G7*(1-Inputs!$B$10)</f>
        <v>9000000</v>
      </c>
      <c r="H14" s="0" t="n">
        <f aca="false">H7*(1-Inputs!$B$10)</f>
        <v>9000000</v>
      </c>
      <c r="I14" s="0" t="n">
        <f aca="false">I7*(1-Inputs!$B$10)</f>
        <v>9000000</v>
      </c>
      <c r="J14" s="0" t="n">
        <f aca="false">J7*(1-Inputs!$B$10)</f>
        <v>9000000</v>
      </c>
      <c r="K14" s="0" t="n">
        <f aca="false">K7*(1-Inputs!$B$10)</f>
        <v>9000000</v>
      </c>
      <c r="L14" s="0" t="n">
        <f aca="false">L7*(1-Inputs!$B$10)</f>
        <v>5400000</v>
      </c>
      <c r="M14" s="0" t="n">
        <f aca="false">M7*(1-Inputs!$B$10)</f>
        <v>0</v>
      </c>
      <c r="N14" s="0" t="n">
        <f aca="false">N7*(1-Inputs!$B$10)</f>
        <v>0</v>
      </c>
      <c r="O14" s="0" t="n">
        <f aca="false">O7*(1-Inputs!$B$10)</f>
        <v>0</v>
      </c>
      <c r="P14" s="0" t="n">
        <f aca="false">P7*(1-Inputs!$B$10)</f>
        <v>0</v>
      </c>
      <c r="Q14" s="0" t="n">
        <f aca="false">Q7*(1-Inputs!$B$10)</f>
        <v>0</v>
      </c>
      <c r="R14" s="0" t="n">
        <f aca="false">R7*(1-Inputs!$B$10)</f>
        <v>0</v>
      </c>
      <c r="S14" s="0" t="n">
        <f aca="false">S7*(1-Inputs!$B$10)</f>
        <v>0</v>
      </c>
      <c r="T14" s="0" t="n">
        <f aca="false">T7*(1-Inputs!$B$10)</f>
        <v>0</v>
      </c>
      <c r="U14" s="0" t="n">
        <f aca="false">U7*(1-Inputs!$B$10)</f>
        <v>0</v>
      </c>
      <c r="V14" s="0" t="n">
        <f aca="false">V7*(1-Inputs!$B$10)</f>
        <v>0</v>
      </c>
      <c r="W14" s="0" t="n">
        <f aca="false">W7*(1-Inputs!$B$10)</f>
        <v>0</v>
      </c>
      <c r="X14" s="0" t="n">
        <f aca="false">X7*(1-Inputs!$B$10)</f>
        <v>0</v>
      </c>
      <c r="Y14" s="0" t="n">
        <f aca="false">Y7*(1-Inputs!$B$10)</f>
        <v>0</v>
      </c>
      <c r="Z14" s="0" t="n">
        <f aca="false">Z7*(1-Inputs!$B$10)</f>
        <v>0</v>
      </c>
      <c r="AA14" s="0" t="n">
        <f aca="false">AA7*(1-Inputs!$B$10)</f>
        <v>0</v>
      </c>
      <c r="AB14" s="0" t="n">
        <f aca="false">AB7*(1-Inputs!$B$10)</f>
        <v>0</v>
      </c>
      <c r="AC14" s="0" t="n">
        <f aca="false">AC7*(1-Inputs!$B$10)</f>
        <v>0</v>
      </c>
      <c r="AD14" s="0" t="n">
        <f aca="false">AD7*(1-Inputs!$B$10)</f>
        <v>0</v>
      </c>
      <c r="AE14" s="0" t="n">
        <f aca="false">AE7*(1-Inputs!$B$10)</f>
        <v>0</v>
      </c>
      <c r="AF14" s="0" t="n">
        <f aca="false">AF7*(1-Inputs!$B$10)</f>
        <v>0</v>
      </c>
      <c r="AG14" s="0" t="n">
        <f aca="false">AG7*(1-Inputs!$B$10)</f>
        <v>0</v>
      </c>
      <c r="AH14" s="0" t="n">
        <f aca="false">AH7*(1-Inputs!$B$10)</f>
        <v>0</v>
      </c>
      <c r="AI14" s="0" t="n">
        <f aca="false">AI7*(1-Inputs!$B$10)</f>
        <v>0</v>
      </c>
      <c r="AJ14" s="0" t="n">
        <f aca="false">AJ7*(1-Inputs!$B$10)</f>
        <v>0</v>
      </c>
      <c r="AK14" s="0" t="n">
        <f aca="false">AK7*(1-Inputs!$B$10)</f>
        <v>0</v>
      </c>
      <c r="AL14" s="0" t="n">
        <f aca="false">AL7*(1-Inputs!$B$10)</f>
        <v>0</v>
      </c>
      <c r="AM14" s="0" t="n">
        <f aca="false">AM7*(1-Inputs!$B$10)</f>
        <v>0</v>
      </c>
      <c r="AN14" s="0" t="n">
        <f aca="false">AN7*(1-Inputs!$B$10)</f>
        <v>0</v>
      </c>
      <c r="AO14" s="0" t="n">
        <f aca="false">AO7*(1-Inputs!$B$10)</f>
        <v>0</v>
      </c>
      <c r="AP14" s="0" t="n">
        <f aca="false">AP7*(1-Inputs!$B$10)</f>
        <v>0</v>
      </c>
      <c r="AQ14" s="0" t="n">
        <f aca="false">AQ7*(1-Inputs!$B$10)</f>
        <v>0</v>
      </c>
      <c r="AR14" s="0" t="n">
        <f aca="false">AR7*(1-Inputs!$B$10)</f>
        <v>0</v>
      </c>
      <c r="AS14" s="0" t="n">
        <f aca="false">AS7*(1-Inputs!$B$10)</f>
        <v>0</v>
      </c>
      <c r="AT14" s="0" t="n">
        <f aca="false">AT7*(1-Inputs!$B$10)</f>
        <v>0</v>
      </c>
      <c r="AU14" s="0" t="n">
        <f aca="false">AU7*(1-Inputs!$B$10)</f>
        <v>0</v>
      </c>
      <c r="AV14" s="0" t="n">
        <f aca="false">AV7*(1-Inputs!$B$10)</f>
        <v>0</v>
      </c>
      <c r="AW14" s="0" t="n">
        <f aca="false">AW7*(1-Inputs!$B$10)</f>
        <v>0</v>
      </c>
      <c r="AX14" s="0" t="n">
        <f aca="false">AX7*(1-Inputs!$B$10)</f>
        <v>0</v>
      </c>
    </row>
    <row r="15" customFormat="false" ht="15" hidden="false" customHeight="false" outlineLevel="0" collapsed="false">
      <c r="A15" s="0" t="s">
        <v>27</v>
      </c>
      <c r="B15" s="0" t="n">
        <f aca="false">B7*Inputs!$B$10</f>
        <v>0</v>
      </c>
      <c r="C15" s="0" t="n">
        <f aca="false">C7*Inputs!$B$10</f>
        <v>1000000</v>
      </c>
      <c r="D15" s="0" t="n">
        <f aca="false">D7*Inputs!$B$10</f>
        <v>1000000</v>
      </c>
      <c r="E15" s="0" t="n">
        <f aca="false">E7*Inputs!$B$10</f>
        <v>1000000</v>
      </c>
      <c r="F15" s="0" t="n">
        <f aca="false">F7*Inputs!$B$10</f>
        <v>1000000</v>
      </c>
      <c r="G15" s="0" t="n">
        <f aca="false">G7*Inputs!$B$10</f>
        <v>1000000</v>
      </c>
      <c r="H15" s="0" t="n">
        <f aca="false">H7*Inputs!$B$10</f>
        <v>1000000</v>
      </c>
      <c r="I15" s="0" t="n">
        <f aca="false">I7*Inputs!$B$10</f>
        <v>1000000</v>
      </c>
      <c r="J15" s="0" t="n">
        <f aca="false">J7*Inputs!$B$10</f>
        <v>1000000</v>
      </c>
      <c r="K15" s="0" t="n">
        <f aca="false">K7*Inputs!$B$10</f>
        <v>1000000</v>
      </c>
      <c r="L15" s="0" t="n">
        <f aca="false">L7*Inputs!$B$10</f>
        <v>600000</v>
      </c>
      <c r="M15" s="0" t="n">
        <f aca="false">M7*Inputs!$B$10</f>
        <v>0</v>
      </c>
      <c r="N15" s="0" t="n">
        <f aca="false">N7*Inputs!$B$10</f>
        <v>0</v>
      </c>
      <c r="O15" s="0" t="n">
        <f aca="false">O7*Inputs!$B$10</f>
        <v>0</v>
      </c>
      <c r="P15" s="0" t="n">
        <f aca="false">P7*Inputs!$B$10</f>
        <v>0</v>
      </c>
      <c r="Q15" s="0" t="n">
        <f aca="false">Q7*Inputs!$B$10</f>
        <v>0</v>
      </c>
      <c r="R15" s="0" t="n">
        <f aca="false">R7*Inputs!$B$10</f>
        <v>0</v>
      </c>
      <c r="S15" s="0" t="n">
        <f aca="false">S7*Inputs!$B$10</f>
        <v>0</v>
      </c>
      <c r="T15" s="0" t="n">
        <f aca="false">T7*Inputs!$B$10</f>
        <v>0</v>
      </c>
      <c r="U15" s="0" t="n">
        <f aca="false">U7*Inputs!$B$10</f>
        <v>0</v>
      </c>
      <c r="V15" s="0" t="n">
        <f aca="false">V7*Inputs!$B$10</f>
        <v>0</v>
      </c>
      <c r="W15" s="0" t="n">
        <f aca="false">W7*Inputs!$B$10</f>
        <v>0</v>
      </c>
      <c r="X15" s="0" t="n">
        <f aca="false">X7*Inputs!$B$10</f>
        <v>0</v>
      </c>
      <c r="Y15" s="0" t="n">
        <f aca="false">Y7*Inputs!$B$10</f>
        <v>0</v>
      </c>
      <c r="Z15" s="0" t="n">
        <f aca="false">Z7*Inputs!$B$10</f>
        <v>0</v>
      </c>
      <c r="AA15" s="0" t="n">
        <f aca="false">AA7*Inputs!$B$10</f>
        <v>0</v>
      </c>
      <c r="AB15" s="0" t="n">
        <f aca="false">AB7*Inputs!$B$10</f>
        <v>0</v>
      </c>
      <c r="AC15" s="0" t="n">
        <f aca="false">AC7*Inputs!$B$10</f>
        <v>0</v>
      </c>
      <c r="AD15" s="0" t="n">
        <f aca="false">AD7*Inputs!$B$10</f>
        <v>0</v>
      </c>
      <c r="AE15" s="0" t="n">
        <f aca="false">AE7*Inputs!$B$10</f>
        <v>0</v>
      </c>
      <c r="AF15" s="0" t="n">
        <f aca="false">AF7*Inputs!$B$10</f>
        <v>0</v>
      </c>
      <c r="AG15" s="0" t="n">
        <f aca="false">AG7*Inputs!$B$10</f>
        <v>0</v>
      </c>
      <c r="AH15" s="0" t="n">
        <f aca="false">AH7*Inputs!$B$10</f>
        <v>0</v>
      </c>
      <c r="AI15" s="0" t="n">
        <f aca="false">AI7*Inputs!$B$10</f>
        <v>0</v>
      </c>
      <c r="AJ15" s="0" t="n">
        <f aca="false">AJ7*Inputs!$B$10</f>
        <v>0</v>
      </c>
      <c r="AK15" s="0" t="n">
        <f aca="false">AK7*Inputs!$B$10</f>
        <v>0</v>
      </c>
      <c r="AL15" s="0" t="n">
        <f aca="false">AL7*Inputs!$B$10</f>
        <v>0</v>
      </c>
      <c r="AM15" s="0" t="n">
        <f aca="false">AM7*Inputs!$B$10</f>
        <v>0</v>
      </c>
      <c r="AN15" s="0" t="n">
        <f aca="false">AN7*Inputs!$B$10</f>
        <v>0</v>
      </c>
      <c r="AO15" s="0" t="n">
        <f aca="false">AO7*Inputs!$B$10</f>
        <v>0</v>
      </c>
      <c r="AP15" s="0" t="n">
        <f aca="false">AP7*Inputs!$B$10</f>
        <v>0</v>
      </c>
      <c r="AQ15" s="0" t="n">
        <f aca="false">AQ7*Inputs!$B$10</f>
        <v>0</v>
      </c>
      <c r="AR15" s="0" t="n">
        <f aca="false">AR7*Inputs!$B$10</f>
        <v>0</v>
      </c>
      <c r="AS15" s="0" t="n">
        <f aca="false">AS7*Inputs!$B$10</f>
        <v>0</v>
      </c>
      <c r="AT15" s="0" t="n">
        <f aca="false">AT7*Inputs!$B$10</f>
        <v>0</v>
      </c>
      <c r="AU15" s="0" t="n">
        <f aca="false">AU7*Inputs!$B$10</f>
        <v>0</v>
      </c>
      <c r="AV15" s="0" t="n">
        <f aca="false">AV7*Inputs!$B$10</f>
        <v>0</v>
      </c>
      <c r="AW15" s="0" t="n">
        <f aca="false">AW7*Inputs!$B$10</f>
        <v>0</v>
      </c>
      <c r="AX15" s="0" t="n">
        <f aca="false">AX7*Inputs!$B$10</f>
        <v>0</v>
      </c>
    </row>
    <row r="16" customFormat="false" ht="15" hidden="false" customHeight="false" outlineLevel="0" collapsed="false">
      <c r="A16" s="0" t="s">
        <v>28</v>
      </c>
      <c r="B16" s="0" t="n">
        <f aca="false">B10-B11</f>
        <v>0</v>
      </c>
      <c r="C16" s="0" t="n">
        <f aca="false">C10-C11</f>
        <v>0</v>
      </c>
      <c r="D16" s="0" t="n">
        <f aca="false">D10-D11</f>
        <v>0</v>
      </c>
      <c r="E16" s="0" t="n">
        <f aca="false">E10-E11</f>
        <v>0</v>
      </c>
      <c r="F16" s="0" t="n">
        <f aca="false">F10-F11</f>
        <v>0</v>
      </c>
      <c r="G16" s="0" t="n">
        <f aca="false">G10-G11</f>
        <v>0</v>
      </c>
      <c r="H16" s="0" t="n">
        <f aca="false">H10-H11</f>
        <v>0</v>
      </c>
      <c r="I16" s="0" t="n">
        <f aca="false">I10-I11</f>
        <v>0</v>
      </c>
      <c r="J16" s="0" t="n">
        <f aca="false">J10-J11</f>
        <v>0</v>
      </c>
      <c r="K16" s="0" t="n">
        <f aca="false">K10-K11</f>
        <v>0</v>
      </c>
      <c r="L16" s="0" t="n">
        <f aca="false">L10-L11</f>
        <v>0</v>
      </c>
      <c r="M16" s="0" t="n">
        <f aca="false">M10-M11</f>
        <v>0</v>
      </c>
      <c r="N16" s="0" t="n">
        <f aca="false">N10-N11</f>
        <v>0</v>
      </c>
      <c r="O16" s="0" t="n">
        <f aca="false">O10-O11</f>
        <v>0</v>
      </c>
      <c r="P16" s="0" t="n">
        <f aca="false">P10-P11</f>
        <v>0</v>
      </c>
      <c r="Q16" s="0" t="n">
        <f aca="false">Q10-Q11</f>
        <v>0</v>
      </c>
      <c r="R16" s="0" t="n">
        <f aca="false">R10-R11</f>
        <v>0</v>
      </c>
      <c r="S16" s="0" t="n">
        <f aca="false">S10-S11</f>
        <v>0</v>
      </c>
      <c r="T16" s="0" t="n">
        <f aca="false">T10-T11</f>
        <v>0</v>
      </c>
      <c r="U16" s="0" t="n">
        <f aca="false">U10-U11</f>
        <v>0</v>
      </c>
      <c r="V16" s="0" t="n">
        <f aca="false">V10-V11</f>
        <v>0</v>
      </c>
      <c r="W16" s="0" t="n">
        <f aca="false">W10-W11</f>
        <v>0</v>
      </c>
      <c r="X16" s="0" t="n">
        <f aca="false">X10-X11</f>
        <v>0</v>
      </c>
      <c r="Y16" s="0" t="n">
        <f aca="false">Y10-Y11</f>
        <v>0</v>
      </c>
      <c r="Z16" s="0" t="n">
        <f aca="false">Z10-Z11</f>
        <v>0</v>
      </c>
      <c r="AA16" s="0" t="n">
        <f aca="false">AA10-AA11</f>
        <v>0</v>
      </c>
      <c r="AB16" s="0" t="n">
        <f aca="false">AB10-AB11</f>
        <v>0</v>
      </c>
      <c r="AC16" s="0" t="n">
        <f aca="false">AC10-AC11</f>
        <v>0</v>
      </c>
      <c r="AD16" s="0" t="n">
        <f aca="false">AD10-AD11</f>
        <v>0</v>
      </c>
      <c r="AE16" s="0" t="n">
        <f aca="false">AE10-AE11</f>
        <v>1249709.64253571</v>
      </c>
      <c r="AF16" s="0" t="n">
        <f aca="false">AF10-AF11</f>
        <v>19166666.6666667</v>
      </c>
      <c r="AG16" s="0" t="n">
        <f aca="false">AG10-AG11</f>
        <v>19166666.6666667</v>
      </c>
      <c r="AH16" s="0" t="n">
        <f aca="false">AH10-AH11</f>
        <v>19166666.6666667</v>
      </c>
      <c r="AI16" s="0" t="n">
        <f aca="false">AI10-AI11</f>
        <v>19166666.6666667</v>
      </c>
      <c r="AJ16" s="0" t="n">
        <f aca="false">AJ10-AJ11</f>
        <v>19166666.6666667</v>
      </c>
      <c r="AK16" s="0" t="n">
        <f aca="false">AK10-AK11</f>
        <v>19166666.6666667</v>
      </c>
      <c r="AL16" s="0" t="n">
        <f aca="false">AL10-AL11</f>
        <v>19166666.6666667</v>
      </c>
      <c r="AM16" s="0" t="n">
        <f aca="false">AM10-AM11</f>
        <v>19166666.6666667</v>
      </c>
      <c r="AN16" s="0" t="n">
        <f aca="false">AN10-AN11</f>
        <v>19166666.6666667</v>
      </c>
      <c r="AO16" s="0" t="n">
        <f aca="false">AO10-AO11</f>
        <v>19166666.6666667</v>
      </c>
      <c r="AP16" s="0" t="n">
        <f aca="false">AP10-AP11</f>
        <v>0</v>
      </c>
      <c r="AQ16" s="0" t="n">
        <f aca="false">AQ10-AQ11</f>
        <v>0</v>
      </c>
      <c r="AR16" s="0" t="n">
        <f aca="false">AR10-AR11</f>
        <v>0</v>
      </c>
      <c r="AS16" s="0" t="n">
        <f aca="false">AS10-AS11</f>
        <v>0</v>
      </c>
      <c r="AT16" s="0" t="n">
        <f aca="false">AT10-AT11</f>
        <v>0</v>
      </c>
      <c r="AU16" s="0" t="n">
        <f aca="false">AU10-AU11</f>
        <v>0</v>
      </c>
      <c r="AV16" s="0" t="n">
        <f aca="false">AV10-AV11</f>
        <v>0</v>
      </c>
      <c r="AW16" s="0" t="n">
        <f aca="false">AW10-AW11</f>
        <v>0</v>
      </c>
      <c r="AX16" s="0" t="n">
        <f aca="false">AX10-AX11</f>
        <v>0</v>
      </c>
    </row>
    <row r="17" customFormat="false" ht="15" hidden="false" customHeight="false" outlineLevel="0" collapsed="false">
      <c r="A17" s="0" t="s">
        <v>29</v>
      </c>
      <c r="B17" s="0" t="n">
        <f aca="false">MIN(B16,0)</f>
        <v>0</v>
      </c>
      <c r="C17" s="0" t="n">
        <f aca="false">MIN(C16,SUM($B7:C7)-SUM($B17:B17))</f>
        <v>0</v>
      </c>
      <c r="D17" s="0" t="n">
        <f aca="false">MIN(D16,SUM($B7:D7)-SUM($B17:C17))</f>
        <v>0</v>
      </c>
      <c r="E17" s="0" t="n">
        <f aca="false">MIN(E16,SUM($B7:E7)-SUM($B17:D17))</f>
        <v>0</v>
      </c>
      <c r="F17" s="0" t="n">
        <f aca="false">MIN(F16,SUM($B7:F7)-SUM($B17:E17))</f>
        <v>0</v>
      </c>
      <c r="G17" s="0" t="n">
        <f aca="false">MIN(G16,SUM($B7:G7)-SUM($B17:F17))</f>
        <v>0</v>
      </c>
      <c r="H17" s="0" t="n">
        <f aca="false">MIN(H16,SUM($B7:H7)-SUM($B17:G17))</f>
        <v>0</v>
      </c>
      <c r="I17" s="0" t="n">
        <f aca="false">MIN(I16,SUM($B7:I7)-SUM($B17:H17))</f>
        <v>0</v>
      </c>
      <c r="J17" s="0" t="n">
        <f aca="false">MIN(J16,SUM($B7:J7)-SUM($B17:I17))</f>
        <v>0</v>
      </c>
      <c r="K17" s="0" t="n">
        <f aca="false">MIN(K16,SUM($B7:K7)-SUM($B17:J17))</f>
        <v>0</v>
      </c>
      <c r="L17" s="0" t="n">
        <f aca="false">MIN(L16,SUM($B7:L7)-SUM($B17:K17))</f>
        <v>0</v>
      </c>
      <c r="M17" s="0" t="n">
        <f aca="false">MIN(M16,SUM($B7:M7)-SUM($B17:L17))</f>
        <v>0</v>
      </c>
      <c r="N17" s="0" t="n">
        <f aca="false">MIN(N16,SUM($B7:N7)-SUM($B17:M17))</f>
        <v>0</v>
      </c>
      <c r="O17" s="0" t="n">
        <f aca="false">MIN(O16,SUM($B7:O7)-SUM($B17:N17))</f>
        <v>0</v>
      </c>
      <c r="P17" s="0" t="n">
        <f aca="false">MIN(P16,SUM($B7:P7)-SUM($B17:O17))</f>
        <v>0</v>
      </c>
      <c r="Q17" s="0" t="n">
        <f aca="false">MIN(Q16,SUM($B7:Q7)-SUM($B17:P17))</f>
        <v>0</v>
      </c>
      <c r="R17" s="0" t="n">
        <f aca="false">MIN(R16,SUM($B7:R7)-SUM($B17:Q17))</f>
        <v>0</v>
      </c>
      <c r="S17" s="0" t="n">
        <f aca="false">MIN(S16,SUM($B7:S7)-SUM($B17:R17))</f>
        <v>0</v>
      </c>
      <c r="T17" s="0" t="n">
        <f aca="false">MIN(T16,SUM($B7:T7)-SUM($B17:S17))</f>
        <v>0</v>
      </c>
      <c r="U17" s="0" t="n">
        <f aca="false">MIN(U16,SUM($B7:U7)-SUM($B17:T17))</f>
        <v>0</v>
      </c>
      <c r="V17" s="0" t="n">
        <f aca="false">MIN(V16,SUM($B7:V7)-SUM($B17:U17))</f>
        <v>0</v>
      </c>
      <c r="W17" s="0" t="n">
        <f aca="false">MIN(W16,SUM($B7:W7)-SUM($B17:V17))</f>
        <v>0</v>
      </c>
      <c r="X17" s="0" t="n">
        <f aca="false">MIN(X16,SUM($B7:X7)-SUM($B17:W17))</f>
        <v>0</v>
      </c>
      <c r="Y17" s="0" t="n">
        <f aca="false">MIN(Y16,SUM($B7:Y7)-SUM($B17:X17))</f>
        <v>0</v>
      </c>
      <c r="Z17" s="0" t="n">
        <f aca="false">MIN(Z16,SUM($B7:Z7)-SUM($B17:Y17))</f>
        <v>0</v>
      </c>
      <c r="AA17" s="0" t="n">
        <f aca="false">MIN(AA16,SUM($B7:AA7)-SUM($B17:Z17))</f>
        <v>0</v>
      </c>
      <c r="AB17" s="0" t="n">
        <f aca="false">MIN(AB16,SUM($B7:AB7)-SUM($B17:AA17))</f>
        <v>0</v>
      </c>
      <c r="AC17" s="0" t="n">
        <f aca="false">MIN(AC16,SUM($B7:AC7)-SUM($B17:AB17))</f>
        <v>0</v>
      </c>
      <c r="AD17" s="0" t="n">
        <f aca="false">MIN(AD16,SUM($B7:AD7)-SUM($B17:AC17))</f>
        <v>0</v>
      </c>
      <c r="AE17" s="0" t="n">
        <f aca="false">MIN(AE16,SUM($B7:AE7)-SUM($B17:AD17))</f>
        <v>1249709.64253571</v>
      </c>
      <c r="AF17" s="0" t="n">
        <f aca="false">MIN(AF16,SUM($B7:AF7)-SUM($B17:AE17))</f>
        <v>19166666.6666667</v>
      </c>
      <c r="AG17" s="0" t="n">
        <f aca="false">MIN(AG16,SUM($B7:AG7)-SUM($B17:AF17))</f>
        <v>19166666.6666667</v>
      </c>
      <c r="AH17" s="0" t="n">
        <f aca="false">MIN(AH16,SUM($B7:AH7)-SUM($B17:AG17))</f>
        <v>19166666.6666667</v>
      </c>
      <c r="AI17" s="0" t="n">
        <f aca="false">MIN(AI16,SUM($B7:AI7)-SUM($B17:AH17))</f>
        <v>19166666.6666667</v>
      </c>
      <c r="AJ17" s="0" t="n">
        <f aca="false">MIN(AJ16,SUM($B7:AJ7)-SUM($B17:AI17))</f>
        <v>18083623.6907976</v>
      </c>
      <c r="AK17" s="0" t="n">
        <f aca="false">MIN(AK16,SUM($B7:AK7)-SUM($B17:AJ17))</f>
        <v>0</v>
      </c>
      <c r="AL17" s="0" t="n">
        <f aca="false">MIN(AL16,SUM($B7:AL7)-SUM($B17:AK17))</f>
        <v>0</v>
      </c>
      <c r="AM17" s="0" t="n">
        <f aca="false">MIN(AM16,SUM($B7:AM7)-SUM($B17:AL17))</f>
        <v>0</v>
      </c>
      <c r="AN17" s="0" t="n">
        <f aca="false">MIN(AN16,SUM($B7:AN7)-SUM($B17:AM17))</f>
        <v>0</v>
      </c>
      <c r="AO17" s="0" t="n">
        <f aca="false">MIN(AO16,SUM($B7:AO7)-SUM($B17:AN17))</f>
        <v>0</v>
      </c>
      <c r="AP17" s="0" t="n">
        <f aca="false">MIN(AP16,SUM($B7:AP7)-SUM($B17:AO17))</f>
        <v>0</v>
      </c>
      <c r="AQ17" s="0" t="n">
        <f aca="false">MIN(AQ16,SUM($B7:AQ7)-SUM($B17:AP17))</f>
        <v>0</v>
      </c>
      <c r="AR17" s="0" t="n">
        <f aca="false">MIN(AR16,SUM($B7:AR7)-SUM($B17:AQ17))</f>
        <v>0</v>
      </c>
      <c r="AS17" s="0" t="n">
        <f aca="false">MIN(AS16,SUM($B7:AS7)-SUM($B17:AR17))</f>
        <v>0</v>
      </c>
      <c r="AT17" s="0" t="n">
        <f aca="false">MIN(AT16,SUM($B7:AT7)-SUM($B17:AS17))</f>
        <v>0</v>
      </c>
      <c r="AU17" s="0" t="n">
        <f aca="false">MIN(AU16,SUM($B7:AU7)-SUM($B17:AT17))</f>
        <v>0</v>
      </c>
      <c r="AV17" s="0" t="n">
        <f aca="false">MIN(AV16,SUM($B7:AV7)-SUM($B17:AU17))</f>
        <v>0</v>
      </c>
      <c r="AW17" s="0" t="n">
        <f aca="false">MIN(AW16,SUM($B7:AW7)-SUM($B17:AV17))</f>
        <v>0</v>
      </c>
      <c r="AX17" s="0" t="n">
        <f aca="false">MIN(AX16,SUM($B7:AX7)-SUM($B17:AW17))</f>
        <v>0</v>
      </c>
    </row>
    <row r="18" customFormat="false" ht="15" hidden="false" customHeight="false" outlineLevel="0" collapsed="false">
      <c r="A18" s="0" t="s">
        <v>30</v>
      </c>
      <c r="B18" s="0" t="n">
        <f aca="false">0</f>
        <v>0</v>
      </c>
      <c r="C18" s="0" t="n">
        <f aca="false">(B18-B19)*(1+((1+Inputs!$B$11)^(1/12)-1))+(SUM($B7:B7)-SUM($B17:B17))*((1+Inputs!$B$11)^(1/12)-1)</f>
        <v>0</v>
      </c>
      <c r="D18" s="0" t="n">
        <f aca="false">(C18-C19)*(1+((1+Inputs!$B$11)^(1/12)-1))+(SUM($B7:C7)-SUM($B17:C17))*((1+Inputs!$B$11)^(1/12)-1)</f>
        <v>72073.2331613672</v>
      </c>
      <c r="E18" s="0" t="n">
        <f aca="false">(D18-D19)*(1+((1+Inputs!$B$11)^(1/12)-1))+(SUM($B7:D7)-SUM($B17:D17))*((1+Inputs!$B$11)^(1/12)-1)</f>
        <v>216739.154577935</v>
      </c>
      <c r="F18" s="0" t="n">
        <f aca="false">(E18-E19)*(1+((1+Inputs!$B$11)^(1/12)-1))+(SUM($B7:E7)-SUM($B17:E17))*((1+Inputs!$B$11)^(1/12)-1)</f>
        <v>434520.963224346</v>
      </c>
      <c r="G18" s="0" t="n">
        <f aca="false">(F18-F19)*(1+((1+Inputs!$B$11)^(1/12)-1))+(SUM($B7:F7)-SUM($B17:F17))*((1+Inputs!$B$11)^(1/12)-1)</f>
        <v>725945.628939411</v>
      </c>
      <c r="H18" s="0" t="n">
        <f aca="false">(G18-G19)*(1+((1+Inputs!$B$11)^(1/12)-1))+(SUM($B7:G7)-SUM($B17:G17))*((1+Inputs!$B$11)^(1/12)-1)</f>
        <v>1091543.91960395</v>
      </c>
      <c r="I18" s="0" t="n">
        <f aca="false">(H18-H19)*(1+((1+Inputs!$B$11)^(1/12)-1))+(SUM($B7:H7)-SUM($B17:H17))*((1+Inputs!$B$11)^(1/12)-1)</f>
        <v>1531850.4285145</v>
      </c>
      <c r="J18" s="0" t="n">
        <f aca="false">(I18-I19)*(1+((1+Inputs!$B$11)^(1/12)-1))+(SUM($B7:I7)-SUM($B17:I17))*((1+Inputs!$B$11)^(1/12)-1)</f>
        <v>2047403.60195434</v>
      </c>
      <c r="K18" s="0" t="n">
        <f aca="false">(J18-J19)*(1+((1+Inputs!$B$11)^(1/12)-1))+(SUM($B7:J7)-SUM($B17:J17))*((1+Inputs!$B$11)^(1/12)-1)</f>
        <v>2638745.76696318</v>
      </c>
      <c r="L18" s="0" t="n">
        <f aca="false">(K18-K19)*(1+((1+Inputs!$B$11)^(1/12)-1))+(SUM($B7:K7)-SUM($B17:K17))*((1+Inputs!$B$11)^(1/12)-1)</f>
        <v>3306423.15930708</v>
      </c>
      <c r="M18" s="0" t="n">
        <f aca="false">(L18-L19)*(1+((1+Inputs!$B$11)^(1/12)-1))+(SUM($B7:L7)-SUM($B17:L17))*((1+Inputs!$B$11)^(1/12)-1)</f>
        <v>4022156.65838529</v>
      </c>
      <c r="N18" s="0" t="n">
        <f aca="false">(M18-M19)*(1+((1+Inputs!$B$11)^(1/12)-1))+(SUM($B7:M7)-SUM($B17:M17))*((1+Inputs!$B$11)^(1/12)-1)</f>
        <v>4743048.68019955</v>
      </c>
      <c r="O18" s="0" t="n">
        <f aca="false">(N18-N19)*(1+((1+Inputs!$B$11)^(1/12)-1))+(SUM($B7:N7)-SUM($B17:N17))*((1+Inputs!$B$11)^(1/12)-1)</f>
        <v>5469136.40389105</v>
      </c>
      <c r="P18" s="0" t="n">
        <f aca="false">(O18-O19)*(1+((1+Inputs!$B$11)^(1/12)-1))+(SUM($B7:O7)-SUM($B17:O17))*((1+Inputs!$B$11)^(1/12)-1)</f>
        <v>6200457.27656307</v>
      </c>
      <c r="Q18" s="0" t="n">
        <f aca="false">(P18-P19)*(1+((1+Inputs!$B$11)^(1/12)-1))+(SUM($B7:P7)-SUM($B17:P17))*((1+Inputs!$B$11)^(1/12)-1)</f>
        <v>6937049.01521228</v>
      </c>
      <c r="R18" s="0" t="n">
        <f aca="false">(Q18-Q19)*(1+((1+Inputs!$B$11)^(1/12)-1))+(SUM($B7:Q7)-SUM($B17:Q17))*((1+Inputs!$B$11)^(1/12)-1)</f>
        <v>7678949.60867392</v>
      </c>
      <c r="S18" s="0" t="n">
        <f aca="false">(R18-R19)*(1+((1+Inputs!$B$11)^(1/12)-1))+(SUM($B7:R7)-SUM($B17:R17))*((1+Inputs!$B$11)^(1/12)-1)</f>
        <v>8426197.31958108</v>
      </c>
      <c r="T18" s="0" t="n">
        <f aca="false">(S18-S19)*(1+((1+Inputs!$B$11)^(1/12)-1))+(SUM($B7:S7)-SUM($B17:S17))*((1+Inputs!$B$11)^(1/12)-1)</f>
        <v>9178830.68633799</v>
      </c>
      <c r="U18" s="0" t="n">
        <f aca="false">(T18-T19)*(1+((1+Inputs!$B$11)^(1/12)-1))+(SUM($B7:T7)-SUM($B17:T17))*((1+Inputs!$B$11)^(1/12)-1)</f>
        <v>9936888.52510764</v>
      </c>
      <c r="V18" s="0" t="n">
        <f aca="false">(U18-U19)*(1+((1+Inputs!$B$11)^(1/12)-1))+(SUM($B7:U7)-SUM($B17:U17))*((1+Inputs!$B$11)^(1/12)-1)</f>
        <v>10700409.9318136</v>
      </c>
      <c r="W18" s="0" t="n">
        <f aca="false">(V18-V19)*(1+((1+Inputs!$B$11)^(1/12)-1))+(SUM($B7:V7)-SUM($B17:V17))*((1+Inputs!$B$11)^(1/12)-1)</f>
        <v>11469434.2841565</v>
      </c>
      <c r="X18" s="0" t="n">
        <f aca="false">(W18-W19)*(1+((1+Inputs!$B$11)^(1/12)-1))+(SUM($B7:W7)-SUM($B17:W17))*((1+Inputs!$B$11)^(1/12)-1)</f>
        <v>12244001.2436448</v>
      </c>
      <c r="Y18" s="0" t="n">
        <f aca="false">(X18-X19)*(1+((1+Inputs!$B$11)^(1/12)-1))+(SUM($B7:X7)-SUM($B17:X17))*((1+Inputs!$B$11)^(1/12)-1)</f>
        <v>13024150.75764</v>
      </c>
      <c r="Z18" s="0" t="n">
        <f aca="false">(Y18-Y19)*(1+((1+Inputs!$B$11)^(1/12)-1))+(SUM($B7:Y7)-SUM($B17:Y17))*((1+Inputs!$B$11)^(1/12)-1)</f>
        <v>13809923.0614175</v>
      </c>
      <c r="AA18" s="0" t="n">
        <f aca="false">(Z18-Z19)*(1+((1+Inputs!$B$11)^(1/12)-1))+(SUM($B7:Z7)-SUM($B17:Z17))*((1+Inputs!$B$11)^(1/12)-1)</f>
        <v>14601358.6802413</v>
      </c>
      <c r="AB18" s="0" t="n">
        <f aca="false">(AA18-AA19)*(1+((1+Inputs!$B$11)^(1/12)-1))+(SUM($B7:AA7)-SUM($B17:AA17))*((1+Inputs!$B$11)^(1/12)-1)</f>
        <v>15398498.4314538</v>
      </c>
      <c r="AC18" s="0" t="n">
        <f aca="false">(AB18-AB19)*(1+((1+Inputs!$B$11)^(1/12)-1))+(SUM($B7:AB7)-SUM($B17:AB17))*((1+Inputs!$B$11)^(1/12)-1)</f>
        <v>16201383.4265814</v>
      </c>
      <c r="AD18" s="0" t="n">
        <f aca="false">(AC18-AC19)*(1+((1+Inputs!$B$11)^(1/12)-1))+(SUM($B7:AC7)-SUM($B17:AC17))*((1+Inputs!$B$11)^(1/12)-1)</f>
        <v>17010055.0734546</v>
      </c>
      <c r="AE18" s="0" t="n">
        <f aca="false">(AD18-AD19)*(1+((1+Inputs!$B$11)^(1/12)-1))+(SUM($B7:AD7)-SUM($B17:AD17))*((1+Inputs!$B$11)^(1/12)-1)</f>
        <v>17824555.0783434</v>
      </c>
      <c r="AF18" s="0" t="n">
        <f aca="false">(AE18-AE19)*(1+((1+Inputs!$B$11)^(1/12)-1))+(SUM($B7:AE7)-SUM($B17:AE17))*((1+Inputs!$B$11)^(1/12)-1)</f>
        <v>18635918.3866634</v>
      </c>
      <c r="AG18" s="0" t="n">
        <f aca="false">(AF18-AF19)*(1+((1+Inputs!$B$11)^(1/12)-1))+(SUM($B7:AF7)-SUM($B17:AF17))*((1+Inputs!$B$11)^(1/12)-1)</f>
        <v>19314989.089114</v>
      </c>
      <c r="AH18" s="0" t="n">
        <f aca="false">(AG18-AG19)*(1+((1+Inputs!$B$11)^(1/12)-1))+(SUM($B7:AG7)-SUM($B17:AG17))*((1+Inputs!$B$11)^(1/12)-1)</f>
        <v>19860813.7101124</v>
      </c>
      <c r="AI18" s="0" t="n">
        <f aca="false">(AH18-AH19)*(1+((1+Inputs!$B$11)^(1/12)-1))+(SUM($B7:AH7)-SUM($B17:AH17))*((1+Inputs!$B$11)^(1/12)-1)</f>
        <v>20272431.902069</v>
      </c>
      <c r="AJ18" s="0" t="n">
        <f aca="false">(AI18-AI19)*(1+((1+Inputs!$B$11)^(1/12)-1))+(SUM($B7:AI7)-SUM($B17:AI17))*((1+Inputs!$B$11)^(1/12)-1)</f>
        <v>20548876.3958585</v>
      </c>
      <c r="AK18" s="0" t="n">
        <f aca="false">(AJ18-AJ19)*(1+((1+Inputs!$B$11)^(1/12)-1))+(SUM($B7:AJ7)-SUM($B17:AJ17))*((1+Inputs!$B$11)^(1/12)-1)</f>
        <v>19606129.9750653</v>
      </c>
      <c r="AL18" s="0" t="n">
        <f aca="false">(AK18-AK19)*(1+((1+Inputs!$B$11)^(1/12)-1))+(SUM($B7:AK7)-SUM($B17:AK17))*((1+Inputs!$B$11)^(1/12)-1)</f>
        <v>442630.662547876</v>
      </c>
      <c r="AM18" s="0" t="n">
        <f aca="false">(AL18-AL19)*(1+((1+Inputs!$B$11)^(1/12)-1))+(SUM($B7:AL7)-SUM($B17:AL17))*((1+Inputs!$B$11)^(1/12)-1)</f>
        <v>0</v>
      </c>
      <c r="AN18" s="0" t="n">
        <f aca="false">(AM18-AM19)*(1+((1+Inputs!$B$11)^(1/12)-1))+(SUM($B7:AM7)-SUM($B17:AM17))*((1+Inputs!$B$11)^(1/12)-1)</f>
        <v>0</v>
      </c>
      <c r="AO18" s="0" t="n">
        <f aca="false">(AN18-AN19)*(1+((1+Inputs!$B$11)^(1/12)-1))+(SUM($B7:AN7)-SUM($B17:AN17))*((1+Inputs!$B$11)^(1/12)-1)</f>
        <v>0</v>
      </c>
      <c r="AP18" s="0" t="n">
        <f aca="false">(AO18-AO19)*(1+((1+Inputs!$B$11)^(1/12)-1))+(SUM($B7:AO7)-SUM($B17:AO17))*((1+Inputs!$B$11)^(1/12)-1)</f>
        <v>0</v>
      </c>
      <c r="AQ18" s="0" t="n">
        <f aca="false">(AP18-AP19)*(1+((1+Inputs!$B$11)^(1/12)-1))+(SUM($B7:AP7)-SUM($B17:AP17))*((1+Inputs!$B$11)^(1/12)-1)</f>
        <v>0</v>
      </c>
      <c r="AR18" s="0" t="n">
        <f aca="false">(AQ18-AQ19)*(1+((1+Inputs!$B$11)^(1/12)-1))+(SUM($B7:AQ7)-SUM($B17:AQ17))*((1+Inputs!$B$11)^(1/12)-1)</f>
        <v>0</v>
      </c>
      <c r="AS18" s="0" t="n">
        <f aca="false">(AR18-AR19)*(1+((1+Inputs!$B$11)^(1/12)-1))+(SUM($B7:AR7)-SUM($B17:AR17))*((1+Inputs!$B$11)^(1/12)-1)</f>
        <v>0</v>
      </c>
      <c r="AT18" s="0" t="n">
        <f aca="false">(AS18-AS19)*(1+((1+Inputs!$B$11)^(1/12)-1))+(SUM($B7:AS7)-SUM($B17:AS17))*((1+Inputs!$B$11)^(1/12)-1)</f>
        <v>0</v>
      </c>
      <c r="AU18" s="0" t="n">
        <f aca="false">(AT18-AT19)*(1+((1+Inputs!$B$11)^(1/12)-1))+(SUM($B7:AT7)-SUM($B17:AT17))*((1+Inputs!$B$11)^(1/12)-1)</f>
        <v>0</v>
      </c>
      <c r="AV18" s="0" t="n">
        <f aca="false">(AU18-AU19)*(1+((1+Inputs!$B$11)^(1/12)-1))+(SUM($B7:AU7)-SUM($B17:AU17))*((1+Inputs!$B$11)^(1/12)-1)</f>
        <v>0</v>
      </c>
      <c r="AW18" s="0" t="n">
        <f aca="false">(AV18-AV19)*(1+((1+Inputs!$B$11)^(1/12)-1))+(SUM($B7:AV7)-SUM($B17:AV17))*((1+Inputs!$B$11)^(1/12)-1)</f>
        <v>0</v>
      </c>
      <c r="AX18" s="0" t="n">
        <f aca="false">(AW18-AW19)*(1+((1+Inputs!$B$11)^(1/12)-1))+(SUM($B7:AW7)-SUM($B17:AW17))*((1+Inputs!$B$11)^(1/12)-1)</f>
        <v>0</v>
      </c>
    </row>
    <row r="19" customFormat="false" ht="15" hidden="false" customHeight="false" outlineLevel="0" collapsed="false">
      <c r="A19" s="0" t="s">
        <v>31</v>
      </c>
      <c r="B19" s="0" t="n">
        <f aca="false">MIN(B16-B17,B18)</f>
        <v>0</v>
      </c>
      <c r="C19" s="0" t="n">
        <f aca="false">MIN(C16-C17,C18)</f>
        <v>0</v>
      </c>
      <c r="D19" s="0" t="n">
        <f aca="false">MIN(D16-D17,D18)</f>
        <v>0</v>
      </c>
      <c r="E19" s="0" t="n">
        <f aca="false">MIN(E16-E17,E18)</f>
        <v>0</v>
      </c>
      <c r="F19" s="0" t="n">
        <f aca="false">MIN(F16-F17,F18)</f>
        <v>0</v>
      </c>
      <c r="G19" s="0" t="n">
        <f aca="false">MIN(G16-G17,G18)</f>
        <v>0</v>
      </c>
      <c r="H19" s="0" t="n">
        <f aca="false">MIN(H16-H17,H18)</f>
        <v>0</v>
      </c>
      <c r="I19" s="0" t="n">
        <f aca="false">MIN(I16-I17,I18)</f>
        <v>0</v>
      </c>
      <c r="J19" s="0" t="n">
        <f aca="false">MIN(J16-J17,J18)</f>
        <v>0</v>
      </c>
      <c r="K19" s="0" t="n">
        <f aca="false">MIN(K16-K17,K18)</f>
        <v>0</v>
      </c>
      <c r="L19" s="0" t="n">
        <f aca="false">MIN(L16-L17,L18)</f>
        <v>0</v>
      </c>
      <c r="M19" s="0" t="n">
        <f aca="false">MIN(M16-M17,M18)</f>
        <v>0</v>
      </c>
      <c r="N19" s="0" t="n">
        <f aca="false">MIN(N16-N17,N18)</f>
        <v>0</v>
      </c>
      <c r="O19" s="0" t="n">
        <f aca="false">MIN(O16-O17,O18)</f>
        <v>0</v>
      </c>
      <c r="P19" s="0" t="n">
        <f aca="false">MIN(P16-P17,P18)</f>
        <v>0</v>
      </c>
      <c r="Q19" s="0" t="n">
        <f aca="false">MIN(Q16-Q17,Q18)</f>
        <v>0</v>
      </c>
      <c r="R19" s="0" t="n">
        <f aca="false">MIN(R16-R17,R18)</f>
        <v>0</v>
      </c>
      <c r="S19" s="0" t="n">
        <f aca="false">MIN(S16-S17,S18)</f>
        <v>0</v>
      </c>
      <c r="T19" s="0" t="n">
        <f aca="false">MIN(T16-T17,T18)</f>
        <v>0</v>
      </c>
      <c r="U19" s="0" t="n">
        <f aca="false">MIN(U16-U17,U18)</f>
        <v>0</v>
      </c>
      <c r="V19" s="0" t="n">
        <f aca="false">MIN(V16-V17,V18)</f>
        <v>0</v>
      </c>
      <c r="W19" s="0" t="n">
        <f aca="false">MIN(W16-W17,W18)</f>
        <v>0</v>
      </c>
      <c r="X19" s="0" t="n">
        <f aca="false">MIN(X16-X17,X18)</f>
        <v>0</v>
      </c>
      <c r="Y19" s="0" t="n">
        <f aca="false">MIN(Y16-Y17,Y18)</f>
        <v>0</v>
      </c>
      <c r="Z19" s="0" t="n">
        <f aca="false">MIN(Z16-Z17,Z18)</f>
        <v>0</v>
      </c>
      <c r="AA19" s="0" t="n">
        <f aca="false">MIN(AA16-AA17,AA18)</f>
        <v>0</v>
      </c>
      <c r="AB19" s="0" t="n">
        <f aca="false">MIN(AB16-AB17,AB18)</f>
        <v>0</v>
      </c>
      <c r="AC19" s="0" t="n">
        <f aca="false">MIN(AC16-AC17,AC18)</f>
        <v>0</v>
      </c>
      <c r="AD19" s="0" t="n">
        <f aca="false">MIN(AD16-AD17,AD18)</f>
        <v>0</v>
      </c>
      <c r="AE19" s="0" t="n">
        <f aca="false">MIN(AE16-AE17,AE18)</f>
        <v>0</v>
      </c>
      <c r="AF19" s="0" t="n">
        <f aca="false">MIN(AF16-AF17,AF18)</f>
        <v>0</v>
      </c>
      <c r="AG19" s="0" t="n">
        <f aca="false">MIN(AG16-AG17,AG18)</f>
        <v>0</v>
      </c>
      <c r="AH19" s="0" t="n">
        <f aca="false">MIN(AH16-AH17,AH18)</f>
        <v>0</v>
      </c>
      <c r="AI19" s="0" t="n">
        <f aca="false">MIN(AI16-AI17,AI18)</f>
        <v>0</v>
      </c>
      <c r="AJ19" s="0" t="n">
        <f aca="false">MIN(AJ16-AJ17,AJ18)</f>
        <v>1083042.97586906</v>
      </c>
      <c r="AK19" s="0" t="n">
        <f aca="false">MIN(AK16-AK17,AK18)</f>
        <v>19166666.6666667</v>
      </c>
      <c r="AL19" s="0" t="n">
        <f aca="false">MIN(AL16-AL17,AL18)</f>
        <v>442630.662547876</v>
      </c>
      <c r="AM19" s="0" t="n">
        <f aca="false">MIN(AM16-AM17,AM18)</f>
        <v>0</v>
      </c>
      <c r="AN19" s="0" t="n">
        <f aca="false">MIN(AN16-AN17,AN18)</f>
        <v>0</v>
      </c>
      <c r="AO19" s="0" t="n">
        <f aca="false">MIN(AO16-AO17,AO18)</f>
        <v>0</v>
      </c>
      <c r="AP19" s="0" t="n">
        <f aca="false">MIN(AP16-AP17,AP18)</f>
        <v>0</v>
      </c>
      <c r="AQ19" s="0" t="n">
        <f aca="false">MIN(AQ16-AQ17,AQ18)</f>
        <v>0</v>
      </c>
      <c r="AR19" s="0" t="n">
        <f aca="false">MIN(AR16-AR17,AR18)</f>
        <v>0</v>
      </c>
      <c r="AS19" s="0" t="n">
        <f aca="false">MIN(AS16-AS17,AS18)</f>
        <v>0</v>
      </c>
      <c r="AT19" s="0" t="n">
        <f aca="false">MIN(AT16-AT17,AT18)</f>
        <v>0</v>
      </c>
      <c r="AU19" s="0" t="n">
        <f aca="false">MIN(AU16-AU17,AU18)</f>
        <v>0</v>
      </c>
      <c r="AV19" s="0" t="n">
        <f aca="false">MIN(AV16-AV17,AV18)</f>
        <v>0</v>
      </c>
      <c r="AW19" s="0" t="n">
        <f aca="false">MIN(AW16-AW17,AW18)</f>
        <v>0</v>
      </c>
      <c r="AX19" s="0" t="n">
        <f aca="false">MIN(AX16-AX17,AX18)</f>
        <v>0</v>
      </c>
    </row>
    <row r="20" customFormat="false" ht="15" hidden="false" customHeight="false" outlineLevel="0" collapsed="false">
      <c r="A20" s="0" t="s">
        <v>32</v>
      </c>
      <c r="B20" s="0" t="n">
        <f aca="false">(B16-B17-B19)*Inputs!$B$12</f>
        <v>0</v>
      </c>
      <c r="C20" s="0" t="n">
        <f aca="false">(C16-C17-C19)*Inputs!$B$12</f>
        <v>0</v>
      </c>
      <c r="D20" s="0" t="n">
        <f aca="false">(D16-D17-D19)*Inputs!$B$12</f>
        <v>0</v>
      </c>
      <c r="E20" s="0" t="n">
        <f aca="false">(E16-E17-E19)*Inputs!$B$12</f>
        <v>0</v>
      </c>
      <c r="F20" s="0" t="n">
        <f aca="false">(F16-F17-F19)*Inputs!$B$12</f>
        <v>0</v>
      </c>
      <c r="G20" s="0" t="n">
        <f aca="false">(G16-G17-G19)*Inputs!$B$12</f>
        <v>0</v>
      </c>
      <c r="H20" s="0" t="n">
        <f aca="false">(H16-H17-H19)*Inputs!$B$12</f>
        <v>0</v>
      </c>
      <c r="I20" s="0" t="n">
        <f aca="false">(I16-I17-I19)*Inputs!$B$12</f>
        <v>0</v>
      </c>
      <c r="J20" s="0" t="n">
        <f aca="false">(J16-J17-J19)*Inputs!$B$12</f>
        <v>0</v>
      </c>
      <c r="K20" s="0" t="n">
        <f aca="false">(K16-K17-K19)*Inputs!$B$12</f>
        <v>0</v>
      </c>
      <c r="L20" s="0" t="n">
        <f aca="false">(L16-L17-L19)*Inputs!$B$12</f>
        <v>0</v>
      </c>
      <c r="M20" s="0" t="n">
        <f aca="false">(M16-M17-M19)*Inputs!$B$12</f>
        <v>0</v>
      </c>
      <c r="N20" s="0" t="n">
        <f aca="false">(N16-N17-N19)*Inputs!$B$12</f>
        <v>0</v>
      </c>
      <c r="O20" s="0" t="n">
        <f aca="false">(O16-O17-O19)*Inputs!$B$12</f>
        <v>0</v>
      </c>
      <c r="P20" s="0" t="n">
        <f aca="false">(P16-P17-P19)*Inputs!$B$12</f>
        <v>0</v>
      </c>
      <c r="Q20" s="0" t="n">
        <f aca="false">(Q16-Q17-Q19)*Inputs!$B$12</f>
        <v>0</v>
      </c>
      <c r="R20" s="0" t="n">
        <f aca="false">(R16-R17-R19)*Inputs!$B$12</f>
        <v>0</v>
      </c>
      <c r="S20" s="0" t="n">
        <f aca="false">(S16-S17-S19)*Inputs!$B$12</f>
        <v>0</v>
      </c>
      <c r="T20" s="0" t="n">
        <f aca="false">(T16-T17-T19)*Inputs!$B$12</f>
        <v>0</v>
      </c>
      <c r="U20" s="0" t="n">
        <f aca="false">(U16-U17-U19)*Inputs!$B$12</f>
        <v>0</v>
      </c>
      <c r="V20" s="0" t="n">
        <f aca="false">(V16-V17-V19)*Inputs!$B$12</f>
        <v>0</v>
      </c>
      <c r="W20" s="0" t="n">
        <f aca="false">(W16-W17-W19)*Inputs!$B$12</f>
        <v>0</v>
      </c>
      <c r="X20" s="0" t="n">
        <f aca="false">(X16-X17-X19)*Inputs!$B$12</f>
        <v>0</v>
      </c>
      <c r="Y20" s="0" t="n">
        <f aca="false">(Y16-Y17-Y19)*Inputs!$B$12</f>
        <v>0</v>
      </c>
      <c r="Z20" s="0" t="n">
        <f aca="false">(Z16-Z17-Z19)*Inputs!$B$12</f>
        <v>0</v>
      </c>
      <c r="AA20" s="0" t="n">
        <f aca="false">(AA16-AA17-AA19)*Inputs!$B$12</f>
        <v>0</v>
      </c>
      <c r="AB20" s="0" t="n">
        <f aca="false">(AB16-AB17-AB19)*Inputs!$B$12</f>
        <v>0</v>
      </c>
      <c r="AC20" s="0" t="n">
        <f aca="false">(AC16-AC17-AC19)*Inputs!$B$12</f>
        <v>0</v>
      </c>
      <c r="AD20" s="0" t="n">
        <f aca="false">(AD16-AD17-AD19)*Inputs!$B$12</f>
        <v>0</v>
      </c>
      <c r="AE20" s="0" t="n">
        <f aca="false">(AE16-AE17-AE19)*Inputs!$B$12</f>
        <v>0</v>
      </c>
      <c r="AF20" s="0" t="n">
        <f aca="false">(AF16-AF17-AF19)*Inputs!$B$12</f>
        <v>0</v>
      </c>
      <c r="AG20" s="0" t="n">
        <f aca="false">(AG16-AG17-AG19)*Inputs!$B$12</f>
        <v>0</v>
      </c>
      <c r="AH20" s="0" t="n">
        <f aca="false">(AH16-AH17-AH19)*Inputs!$B$12</f>
        <v>0</v>
      </c>
      <c r="AI20" s="0" t="n">
        <f aca="false">(AI16-AI17-AI19)*Inputs!$B$12</f>
        <v>0</v>
      </c>
      <c r="AJ20" s="0" t="n">
        <f aca="false">(AJ16-AJ17-AJ19)*Inputs!$B$12</f>
        <v>0</v>
      </c>
      <c r="AK20" s="0" t="n">
        <f aca="false">(AK16-AK17-AK19)*Inputs!$B$12</f>
        <v>0</v>
      </c>
      <c r="AL20" s="0" t="n">
        <f aca="false">(AL16-AL17-AL19)*Inputs!$B$12</f>
        <v>4681009.0010297</v>
      </c>
      <c r="AM20" s="0" t="n">
        <f aca="false">(AM16-AM17-AM19)*Inputs!$B$12</f>
        <v>4791666.66666667</v>
      </c>
      <c r="AN20" s="0" t="n">
        <f aca="false">(AN16-AN17-AN19)*Inputs!$B$12</f>
        <v>4791666.66666667</v>
      </c>
      <c r="AO20" s="0" t="n">
        <f aca="false">(AO16-AO17-AO19)*Inputs!$B$12</f>
        <v>4791666.66666667</v>
      </c>
      <c r="AP20" s="0" t="n">
        <f aca="false">(AP16-AP17-AP19)*Inputs!$B$12</f>
        <v>0</v>
      </c>
      <c r="AQ20" s="0" t="n">
        <f aca="false">(AQ16-AQ17-AQ19)*Inputs!$B$12</f>
        <v>0</v>
      </c>
      <c r="AR20" s="0" t="n">
        <f aca="false">(AR16-AR17-AR19)*Inputs!$B$12</f>
        <v>0</v>
      </c>
      <c r="AS20" s="0" t="n">
        <f aca="false">(AS16-AS17-AS19)*Inputs!$B$12</f>
        <v>0</v>
      </c>
      <c r="AT20" s="0" t="n">
        <f aca="false">(AT16-AT17-AT19)*Inputs!$B$12</f>
        <v>0</v>
      </c>
      <c r="AU20" s="0" t="n">
        <f aca="false">(AU16-AU17-AU19)*Inputs!$B$12</f>
        <v>0</v>
      </c>
      <c r="AV20" s="0" t="n">
        <f aca="false">(AV16-AV17-AV19)*Inputs!$B$12</f>
        <v>0</v>
      </c>
      <c r="AW20" s="0" t="n">
        <f aca="false">(AW16-AW17-AW19)*Inputs!$B$12</f>
        <v>0</v>
      </c>
      <c r="AX20" s="0" t="n">
        <f aca="false">(AX16-AX17-AX19)*Inputs!$B$12</f>
        <v>0</v>
      </c>
    </row>
    <row r="21" customFormat="false" ht="15" hidden="false" customHeight="false" outlineLevel="0" collapsed="false">
      <c r="A21" s="0" t="s">
        <v>33</v>
      </c>
      <c r="B21" s="0" t="n">
        <f aca="false">(B17+B19)*(1-Inputs!$B$10)+(B16-B17-B19-B20)*(1-Inputs!$B$10)</f>
        <v>0</v>
      </c>
      <c r="C21" s="0" t="n">
        <f aca="false">(C17+C19)*(1-Inputs!$B$10)+(C16-C17-C19-C20)*(1-Inputs!$B$10)</f>
        <v>0</v>
      </c>
      <c r="D21" s="0" t="n">
        <f aca="false">(D17+D19)*(1-Inputs!$B$10)+(D16-D17-D19-D20)*(1-Inputs!$B$10)</f>
        <v>0</v>
      </c>
      <c r="E21" s="0" t="n">
        <f aca="false">(E17+E19)*(1-Inputs!$B$10)+(E16-E17-E19-E20)*(1-Inputs!$B$10)</f>
        <v>0</v>
      </c>
      <c r="F21" s="0" t="n">
        <f aca="false">(F17+F19)*(1-Inputs!$B$10)+(F16-F17-F19-F20)*(1-Inputs!$B$10)</f>
        <v>0</v>
      </c>
      <c r="G21" s="0" t="n">
        <f aca="false">(G17+G19)*(1-Inputs!$B$10)+(G16-G17-G19-G20)*(1-Inputs!$B$10)</f>
        <v>0</v>
      </c>
      <c r="H21" s="0" t="n">
        <f aca="false">(H17+H19)*(1-Inputs!$B$10)+(H16-H17-H19-H20)*(1-Inputs!$B$10)</f>
        <v>0</v>
      </c>
      <c r="I21" s="0" t="n">
        <f aca="false">(I17+I19)*(1-Inputs!$B$10)+(I16-I17-I19-I20)*(1-Inputs!$B$10)</f>
        <v>0</v>
      </c>
      <c r="J21" s="0" t="n">
        <f aca="false">(J17+J19)*(1-Inputs!$B$10)+(J16-J17-J19-J20)*(1-Inputs!$B$10)</f>
        <v>0</v>
      </c>
      <c r="K21" s="0" t="n">
        <f aca="false">(K17+K19)*(1-Inputs!$B$10)+(K16-K17-K19-K20)*(1-Inputs!$B$10)</f>
        <v>0</v>
      </c>
      <c r="L21" s="0" t="n">
        <f aca="false">(L17+L19)*(1-Inputs!$B$10)+(L16-L17-L19-L20)*(1-Inputs!$B$10)</f>
        <v>0</v>
      </c>
      <c r="M21" s="0" t="n">
        <f aca="false">(M17+M19)*(1-Inputs!$B$10)+(M16-M17-M19-M20)*(1-Inputs!$B$10)</f>
        <v>0</v>
      </c>
      <c r="N21" s="0" t="n">
        <f aca="false">(N17+N19)*(1-Inputs!$B$10)+(N16-N17-N19-N20)*(1-Inputs!$B$10)</f>
        <v>0</v>
      </c>
      <c r="O21" s="0" t="n">
        <f aca="false">(O17+O19)*(1-Inputs!$B$10)+(O16-O17-O19-O20)*(1-Inputs!$B$10)</f>
        <v>0</v>
      </c>
      <c r="P21" s="0" t="n">
        <f aca="false">(P17+P19)*(1-Inputs!$B$10)+(P16-P17-P19-P20)*(1-Inputs!$B$10)</f>
        <v>0</v>
      </c>
      <c r="Q21" s="0" t="n">
        <f aca="false">(Q17+Q19)*(1-Inputs!$B$10)+(Q16-Q17-Q19-Q20)*(1-Inputs!$B$10)</f>
        <v>0</v>
      </c>
      <c r="R21" s="0" t="n">
        <f aca="false">(R17+R19)*(1-Inputs!$B$10)+(R16-R17-R19-R20)*(1-Inputs!$B$10)</f>
        <v>0</v>
      </c>
      <c r="S21" s="0" t="n">
        <f aca="false">(S17+S19)*(1-Inputs!$B$10)+(S16-S17-S19-S20)*(1-Inputs!$B$10)</f>
        <v>0</v>
      </c>
      <c r="T21" s="0" t="n">
        <f aca="false">(T17+T19)*(1-Inputs!$B$10)+(T16-T17-T19-T20)*(1-Inputs!$B$10)</f>
        <v>0</v>
      </c>
      <c r="U21" s="0" t="n">
        <f aca="false">(U17+U19)*(1-Inputs!$B$10)+(U16-U17-U19-U20)*(1-Inputs!$B$10)</f>
        <v>0</v>
      </c>
      <c r="V21" s="0" t="n">
        <f aca="false">(V17+V19)*(1-Inputs!$B$10)+(V16-V17-V19-V20)*(1-Inputs!$B$10)</f>
        <v>0</v>
      </c>
      <c r="W21" s="0" t="n">
        <f aca="false">(W17+W19)*(1-Inputs!$B$10)+(W16-W17-W19-W20)*(1-Inputs!$B$10)</f>
        <v>0</v>
      </c>
      <c r="X21" s="0" t="n">
        <f aca="false">(X17+X19)*(1-Inputs!$B$10)+(X16-X17-X19-X20)*(1-Inputs!$B$10)</f>
        <v>0</v>
      </c>
      <c r="Y21" s="0" t="n">
        <f aca="false">(Y17+Y19)*(1-Inputs!$B$10)+(Y16-Y17-Y19-Y20)*(1-Inputs!$B$10)</f>
        <v>0</v>
      </c>
      <c r="Z21" s="0" t="n">
        <f aca="false">(Z17+Z19)*(1-Inputs!$B$10)+(Z16-Z17-Z19-Z20)*(1-Inputs!$B$10)</f>
        <v>0</v>
      </c>
      <c r="AA21" s="0" t="n">
        <f aca="false">(AA17+AA19)*(1-Inputs!$B$10)+(AA16-AA17-AA19-AA20)*(1-Inputs!$B$10)</f>
        <v>0</v>
      </c>
      <c r="AB21" s="0" t="n">
        <f aca="false">(AB17+AB19)*(1-Inputs!$B$10)+(AB16-AB17-AB19-AB20)*(1-Inputs!$B$10)</f>
        <v>0</v>
      </c>
      <c r="AC21" s="0" t="n">
        <f aca="false">(AC17+AC19)*(1-Inputs!$B$10)+(AC16-AC17-AC19-AC20)*(1-Inputs!$B$10)</f>
        <v>0</v>
      </c>
      <c r="AD21" s="0" t="n">
        <f aca="false">(AD17+AD19)*(1-Inputs!$B$10)+(AD16-AD17-AD19-AD20)*(1-Inputs!$B$10)</f>
        <v>0</v>
      </c>
      <c r="AE21" s="0" t="n">
        <f aca="false">(AE17+AE19)*(1-Inputs!$B$10)+(AE16-AE17-AE19-AE20)*(1-Inputs!$B$10)</f>
        <v>1124738.67828214</v>
      </c>
      <c r="AF21" s="0" t="n">
        <f aca="false">(AF17+AF19)*(1-Inputs!$B$10)+(AF16-AF17-AF19-AF20)*(1-Inputs!$B$10)</f>
        <v>17250000</v>
      </c>
      <c r="AG21" s="0" t="n">
        <f aca="false">(AG17+AG19)*(1-Inputs!$B$10)+(AG16-AG17-AG19-AG20)*(1-Inputs!$B$10)</f>
        <v>17250000</v>
      </c>
      <c r="AH21" s="0" t="n">
        <f aca="false">(AH17+AH19)*(1-Inputs!$B$10)+(AH16-AH17-AH19-AH20)*(1-Inputs!$B$10)</f>
        <v>17250000</v>
      </c>
      <c r="AI21" s="0" t="n">
        <f aca="false">(AI17+AI19)*(1-Inputs!$B$10)+(AI16-AI17-AI19-AI20)*(1-Inputs!$B$10)</f>
        <v>17250000</v>
      </c>
      <c r="AJ21" s="0" t="n">
        <f aca="false">(AJ17+AJ19)*(1-Inputs!$B$10)+(AJ16-AJ17-AJ19-AJ20)*(1-Inputs!$B$10)</f>
        <v>17250000</v>
      </c>
      <c r="AK21" s="0" t="n">
        <f aca="false">(AK17+AK19)*(1-Inputs!$B$10)+(AK16-AK17-AK19-AK20)*(1-Inputs!$B$10)</f>
        <v>17250000</v>
      </c>
      <c r="AL21" s="0" t="n">
        <f aca="false">(AL17+AL19)*(1-Inputs!$B$10)+(AL16-AL17-AL19-AL20)*(1-Inputs!$B$10)</f>
        <v>13037091.8990733</v>
      </c>
      <c r="AM21" s="0" t="n">
        <f aca="false">(AM17+AM19)*(1-Inputs!$B$10)+(AM16-AM17-AM19-AM20)*(1-Inputs!$B$10)</f>
        <v>12937500</v>
      </c>
      <c r="AN21" s="0" t="n">
        <f aca="false">(AN17+AN19)*(1-Inputs!$B$10)+(AN16-AN17-AN19-AN20)*(1-Inputs!$B$10)</f>
        <v>12937500</v>
      </c>
      <c r="AO21" s="0" t="n">
        <f aca="false">(AO17+AO19)*(1-Inputs!$B$10)+(AO16-AO17-AO19-AO20)*(1-Inputs!$B$10)</f>
        <v>12937500</v>
      </c>
      <c r="AP21" s="0" t="n">
        <f aca="false">(AP17+AP19)*(1-Inputs!$B$10)+(AP16-AP17-AP19-AP20)*(1-Inputs!$B$10)</f>
        <v>0</v>
      </c>
      <c r="AQ21" s="0" t="n">
        <f aca="false">(AQ17+AQ19)*(1-Inputs!$B$10)+(AQ16-AQ17-AQ19-AQ20)*(1-Inputs!$B$10)</f>
        <v>0</v>
      </c>
      <c r="AR21" s="0" t="n">
        <f aca="false">(AR17+AR19)*(1-Inputs!$B$10)+(AR16-AR17-AR19-AR20)*(1-Inputs!$B$10)</f>
        <v>0</v>
      </c>
      <c r="AS21" s="0" t="n">
        <f aca="false">(AS17+AS19)*(1-Inputs!$B$10)+(AS16-AS17-AS19-AS20)*(1-Inputs!$B$10)</f>
        <v>0</v>
      </c>
      <c r="AT21" s="0" t="n">
        <f aca="false">(AT17+AT19)*(1-Inputs!$B$10)+(AT16-AT17-AT19-AT20)*(1-Inputs!$B$10)</f>
        <v>0</v>
      </c>
      <c r="AU21" s="0" t="n">
        <f aca="false">(AU17+AU19)*(1-Inputs!$B$10)+(AU16-AU17-AU19-AU20)*(1-Inputs!$B$10)</f>
        <v>0</v>
      </c>
      <c r="AV21" s="0" t="n">
        <f aca="false">(AV17+AV19)*(1-Inputs!$B$10)+(AV16-AV17-AV19-AV20)*(1-Inputs!$B$10)</f>
        <v>0</v>
      </c>
      <c r="AW21" s="0" t="n">
        <f aca="false">(AW17+AW19)*(1-Inputs!$B$10)+(AW16-AW17-AW19-AW20)*(1-Inputs!$B$10)</f>
        <v>0</v>
      </c>
      <c r="AX21" s="0" t="n">
        <f aca="false">(AX17+AX19)*(1-Inputs!$B$10)+(AX16-AX17-AX19-AX20)*(1-Inputs!$B$10)</f>
        <v>0</v>
      </c>
    </row>
    <row r="22" customFormat="false" ht="15" hidden="false" customHeight="false" outlineLevel="0" collapsed="false">
      <c r="A22" s="0" t="s">
        <v>34</v>
      </c>
      <c r="B22" s="0" t="n">
        <f aca="false">B16-B21</f>
        <v>0</v>
      </c>
      <c r="C22" s="0" t="n">
        <f aca="false">C16-C21</f>
        <v>0</v>
      </c>
      <c r="D22" s="0" t="n">
        <f aca="false">D16-D21</f>
        <v>0</v>
      </c>
      <c r="E22" s="0" t="n">
        <f aca="false">E16-E21</f>
        <v>0</v>
      </c>
      <c r="F22" s="0" t="n">
        <f aca="false">F16-F21</f>
        <v>0</v>
      </c>
      <c r="G22" s="0" t="n">
        <f aca="false">G16-G21</f>
        <v>0</v>
      </c>
      <c r="H22" s="0" t="n">
        <f aca="false">H16-H21</f>
        <v>0</v>
      </c>
      <c r="I22" s="0" t="n">
        <f aca="false">I16-I21</f>
        <v>0</v>
      </c>
      <c r="J22" s="0" t="n">
        <f aca="false">J16-J21</f>
        <v>0</v>
      </c>
      <c r="K22" s="0" t="n">
        <f aca="false">K16-K21</f>
        <v>0</v>
      </c>
      <c r="L22" s="0" t="n">
        <f aca="false">L16-L21</f>
        <v>0</v>
      </c>
      <c r="M22" s="0" t="n">
        <f aca="false">M16-M21</f>
        <v>0</v>
      </c>
      <c r="N22" s="0" t="n">
        <f aca="false">N16-N21</f>
        <v>0</v>
      </c>
      <c r="O22" s="0" t="n">
        <f aca="false">O16-O21</f>
        <v>0</v>
      </c>
      <c r="P22" s="0" t="n">
        <f aca="false">P16-P21</f>
        <v>0</v>
      </c>
      <c r="Q22" s="0" t="n">
        <f aca="false">Q16-Q21</f>
        <v>0</v>
      </c>
      <c r="R22" s="0" t="n">
        <f aca="false">R16-R21</f>
        <v>0</v>
      </c>
      <c r="S22" s="0" t="n">
        <f aca="false">S16-S21</f>
        <v>0</v>
      </c>
      <c r="T22" s="0" t="n">
        <f aca="false">T16-T21</f>
        <v>0</v>
      </c>
      <c r="U22" s="0" t="n">
        <f aca="false">U16-U21</f>
        <v>0</v>
      </c>
      <c r="V22" s="0" t="n">
        <f aca="false">V16-V21</f>
        <v>0</v>
      </c>
      <c r="W22" s="0" t="n">
        <f aca="false">W16-W21</f>
        <v>0</v>
      </c>
      <c r="X22" s="0" t="n">
        <f aca="false">X16-X21</f>
        <v>0</v>
      </c>
      <c r="Y22" s="0" t="n">
        <f aca="false">Y16-Y21</f>
        <v>0</v>
      </c>
      <c r="Z22" s="0" t="n">
        <f aca="false">Z16-Z21</f>
        <v>0</v>
      </c>
      <c r="AA22" s="0" t="n">
        <f aca="false">AA16-AA21</f>
        <v>0</v>
      </c>
      <c r="AB22" s="0" t="n">
        <f aca="false">AB16-AB21</f>
        <v>0</v>
      </c>
      <c r="AC22" s="0" t="n">
        <f aca="false">AC16-AC21</f>
        <v>0</v>
      </c>
      <c r="AD22" s="0" t="n">
        <f aca="false">AD16-AD21</f>
        <v>0</v>
      </c>
      <c r="AE22" s="0" t="n">
        <f aca="false">AE16-AE21</f>
        <v>124970.964253571</v>
      </c>
      <c r="AF22" s="0" t="n">
        <f aca="false">AF16-AF21</f>
        <v>1916666.66666667</v>
      </c>
      <c r="AG22" s="0" t="n">
        <f aca="false">AG16-AG21</f>
        <v>1916666.66666667</v>
      </c>
      <c r="AH22" s="0" t="n">
        <f aca="false">AH16-AH21</f>
        <v>1916666.66666667</v>
      </c>
      <c r="AI22" s="0" t="n">
        <f aca="false">AI16-AI21</f>
        <v>1916666.66666667</v>
      </c>
      <c r="AJ22" s="0" t="n">
        <f aca="false">AJ16-AJ21</f>
        <v>1916666.66666667</v>
      </c>
      <c r="AK22" s="0" t="n">
        <f aca="false">AK16-AK21</f>
        <v>1916666.66666667</v>
      </c>
      <c r="AL22" s="0" t="n">
        <f aca="false">AL16-AL21</f>
        <v>6129574.7675934</v>
      </c>
      <c r="AM22" s="0" t="n">
        <f aca="false">AM16-AM21</f>
        <v>6229166.66666667</v>
      </c>
      <c r="AN22" s="0" t="n">
        <f aca="false">AN16-AN21</f>
        <v>6229166.66666667</v>
      </c>
      <c r="AO22" s="0" t="n">
        <f aca="false">AO16-AO21</f>
        <v>6229166.66666667</v>
      </c>
      <c r="AP22" s="0" t="n">
        <f aca="false">AP16-AP21</f>
        <v>0</v>
      </c>
      <c r="AQ22" s="0" t="n">
        <f aca="false">AQ16-AQ21</f>
        <v>0</v>
      </c>
      <c r="AR22" s="0" t="n">
        <f aca="false">AR16-AR21</f>
        <v>0</v>
      </c>
      <c r="AS22" s="0" t="n">
        <f aca="false">AS16-AS21</f>
        <v>0</v>
      </c>
      <c r="AT22" s="0" t="n">
        <f aca="false">AT16-AT21</f>
        <v>0</v>
      </c>
      <c r="AU22" s="0" t="n">
        <f aca="false">AU16-AU21</f>
        <v>0</v>
      </c>
      <c r="AV22" s="0" t="n">
        <f aca="false">AV16-AV21</f>
        <v>0</v>
      </c>
      <c r="AW22" s="0" t="n">
        <f aca="false">AW16-AW21</f>
        <v>0</v>
      </c>
      <c r="AX22" s="0" t="n">
        <f aca="false">AX16-AX21</f>
        <v>0</v>
      </c>
    </row>
    <row r="23" customFormat="false" ht="15" hidden="false" customHeight="false" outlineLevel="0" collapsed="false">
      <c r="A23" s="0" t="s">
        <v>35</v>
      </c>
      <c r="B23" s="0" t="n">
        <f aca="false">B21-B14</f>
        <v>0</v>
      </c>
      <c r="C23" s="0" t="n">
        <f aca="false">C21-C14</f>
        <v>-9000000</v>
      </c>
      <c r="D23" s="0" t="n">
        <f aca="false">D21-D14</f>
        <v>-9000000</v>
      </c>
      <c r="E23" s="0" t="n">
        <f aca="false">E21-E14</f>
        <v>-9000000</v>
      </c>
      <c r="F23" s="0" t="n">
        <f aca="false">F21-F14</f>
        <v>-9000000</v>
      </c>
      <c r="G23" s="0" t="n">
        <f aca="false">G21-G14</f>
        <v>-9000000</v>
      </c>
      <c r="H23" s="0" t="n">
        <f aca="false">H21-H14</f>
        <v>-9000000</v>
      </c>
      <c r="I23" s="0" t="n">
        <f aca="false">I21-I14</f>
        <v>-9000000</v>
      </c>
      <c r="J23" s="0" t="n">
        <f aca="false">J21-J14</f>
        <v>-9000000</v>
      </c>
      <c r="K23" s="0" t="n">
        <f aca="false">K21-K14</f>
        <v>-9000000</v>
      </c>
      <c r="L23" s="0" t="n">
        <f aca="false">L21-L14</f>
        <v>-5400000</v>
      </c>
      <c r="M23" s="0" t="n">
        <f aca="false">M21-M14</f>
        <v>0</v>
      </c>
      <c r="N23" s="0" t="n">
        <f aca="false">N21-N14</f>
        <v>0</v>
      </c>
      <c r="O23" s="0" t="n">
        <f aca="false">O21-O14</f>
        <v>0</v>
      </c>
      <c r="P23" s="0" t="n">
        <f aca="false">P21-P14</f>
        <v>0</v>
      </c>
      <c r="Q23" s="0" t="n">
        <f aca="false">Q21-Q14</f>
        <v>0</v>
      </c>
      <c r="R23" s="0" t="n">
        <f aca="false">R21-R14</f>
        <v>0</v>
      </c>
      <c r="S23" s="0" t="n">
        <f aca="false">S21-S14</f>
        <v>0</v>
      </c>
      <c r="T23" s="0" t="n">
        <f aca="false">T21-T14</f>
        <v>0</v>
      </c>
      <c r="U23" s="0" t="n">
        <f aca="false">U21-U14</f>
        <v>0</v>
      </c>
      <c r="V23" s="0" t="n">
        <f aca="false">V21-V14</f>
        <v>0</v>
      </c>
      <c r="W23" s="0" t="n">
        <f aca="false">W21-W14</f>
        <v>0</v>
      </c>
      <c r="X23" s="0" t="n">
        <f aca="false">X21-X14</f>
        <v>0</v>
      </c>
      <c r="Y23" s="0" t="n">
        <f aca="false">Y21-Y14</f>
        <v>0</v>
      </c>
      <c r="Z23" s="0" t="n">
        <f aca="false">Z21-Z14</f>
        <v>0</v>
      </c>
      <c r="AA23" s="0" t="n">
        <f aca="false">AA21-AA14</f>
        <v>0</v>
      </c>
      <c r="AB23" s="0" t="n">
        <f aca="false">AB21-AB14</f>
        <v>0</v>
      </c>
      <c r="AC23" s="0" t="n">
        <f aca="false">AC21-AC14</f>
        <v>0</v>
      </c>
      <c r="AD23" s="0" t="n">
        <f aca="false">AD21-AD14</f>
        <v>0</v>
      </c>
      <c r="AE23" s="0" t="n">
        <f aca="false">AE21-AE14</f>
        <v>1124738.67828214</v>
      </c>
      <c r="AF23" s="0" t="n">
        <f aca="false">AF21-AF14</f>
        <v>17250000</v>
      </c>
      <c r="AG23" s="0" t="n">
        <f aca="false">AG21-AG14</f>
        <v>17250000</v>
      </c>
      <c r="AH23" s="0" t="n">
        <f aca="false">AH21-AH14</f>
        <v>17250000</v>
      </c>
      <c r="AI23" s="0" t="n">
        <f aca="false">AI21-AI14</f>
        <v>17250000</v>
      </c>
      <c r="AJ23" s="0" t="n">
        <f aca="false">AJ21-AJ14</f>
        <v>17250000</v>
      </c>
      <c r="AK23" s="0" t="n">
        <f aca="false">AK21-AK14</f>
        <v>17250000</v>
      </c>
      <c r="AL23" s="0" t="n">
        <f aca="false">AL21-AL14</f>
        <v>13037091.8990733</v>
      </c>
      <c r="AM23" s="0" t="n">
        <f aca="false">AM21-AM14</f>
        <v>12937500</v>
      </c>
      <c r="AN23" s="0" t="n">
        <f aca="false">AN21-AN14</f>
        <v>12937500</v>
      </c>
      <c r="AO23" s="0" t="n">
        <f aca="false">AO21-AO14</f>
        <v>12937500</v>
      </c>
      <c r="AP23" s="0" t="n">
        <f aca="false">AP21-AP14</f>
        <v>0</v>
      </c>
      <c r="AQ23" s="0" t="n">
        <f aca="false">AQ21-AQ14</f>
        <v>0</v>
      </c>
      <c r="AR23" s="0" t="n">
        <f aca="false">AR21-AR14</f>
        <v>0</v>
      </c>
      <c r="AS23" s="0" t="n">
        <f aca="false">AS21-AS14</f>
        <v>0</v>
      </c>
      <c r="AT23" s="0" t="n">
        <f aca="false">AT21-AT14</f>
        <v>0</v>
      </c>
      <c r="AU23" s="0" t="n">
        <f aca="false">AU21-AU14</f>
        <v>0</v>
      </c>
      <c r="AV23" s="0" t="n">
        <f aca="false">AV21-AV14</f>
        <v>0</v>
      </c>
      <c r="AW23" s="0" t="n">
        <f aca="false">AW21-AW14</f>
        <v>0</v>
      </c>
      <c r="AX23" s="0" t="n">
        <f aca="false">AX21-AX14</f>
        <v>0</v>
      </c>
    </row>
    <row r="24" customFormat="false" ht="15" hidden="false" customHeight="false" outlineLevel="0" collapsed="false">
      <c r="A24" s="0" t="s">
        <v>36</v>
      </c>
      <c r="B24" s="0" t="n">
        <f aca="false">B14*(1-Inputs!$B$13)</f>
        <v>0</v>
      </c>
      <c r="C24" s="0" t="n">
        <f aca="false">C14*(1-Inputs!$B$13)</f>
        <v>8550000</v>
      </c>
      <c r="D24" s="0" t="n">
        <f aca="false">D14*(1-Inputs!$B$13)</f>
        <v>8550000</v>
      </c>
      <c r="E24" s="0" t="n">
        <f aca="false">E14*(1-Inputs!$B$13)</f>
        <v>8550000</v>
      </c>
      <c r="F24" s="0" t="n">
        <f aca="false">F14*(1-Inputs!$B$13)</f>
        <v>8550000</v>
      </c>
      <c r="G24" s="0" t="n">
        <f aca="false">G14*(1-Inputs!$B$13)</f>
        <v>8550000</v>
      </c>
      <c r="H24" s="0" t="n">
        <f aca="false">H14*(1-Inputs!$B$13)</f>
        <v>8550000</v>
      </c>
      <c r="I24" s="0" t="n">
        <f aca="false">I14*(1-Inputs!$B$13)</f>
        <v>8550000</v>
      </c>
      <c r="J24" s="0" t="n">
        <f aca="false">J14*(1-Inputs!$B$13)</f>
        <v>8550000</v>
      </c>
      <c r="K24" s="0" t="n">
        <f aca="false">K14*(1-Inputs!$B$13)</f>
        <v>8550000</v>
      </c>
      <c r="L24" s="0" t="n">
        <f aca="false">L14*(1-Inputs!$B$13)</f>
        <v>5130000</v>
      </c>
      <c r="M24" s="0" t="n">
        <f aca="false">M14*(1-Inputs!$B$13)</f>
        <v>0</v>
      </c>
      <c r="N24" s="0" t="n">
        <f aca="false">N14*(1-Inputs!$B$13)</f>
        <v>0</v>
      </c>
      <c r="O24" s="0" t="n">
        <f aca="false">O14*(1-Inputs!$B$13)</f>
        <v>0</v>
      </c>
      <c r="P24" s="0" t="n">
        <f aca="false">P14*(1-Inputs!$B$13)</f>
        <v>0</v>
      </c>
      <c r="Q24" s="0" t="n">
        <f aca="false">Q14*(1-Inputs!$B$13)</f>
        <v>0</v>
      </c>
      <c r="R24" s="0" t="n">
        <f aca="false">R14*(1-Inputs!$B$13)</f>
        <v>0</v>
      </c>
      <c r="S24" s="0" t="n">
        <f aca="false">S14*(1-Inputs!$B$13)</f>
        <v>0</v>
      </c>
      <c r="T24" s="0" t="n">
        <f aca="false">T14*(1-Inputs!$B$13)</f>
        <v>0</v>
      </c>
      <c r="U24" s="0" t="n">
        <f aca="false">U14*(1-Inputs!$B$13)</f>
        <v>0</v>
      </c>
      <c r="V24" s="0" t="n">
        <f aca="false">V14*(1-Inputs!$B$13)</f>
        <v>0</v>
      </c>
      <c r="W24" s="0" t="n">
        <f aca="false">W14*(1-Inputs!$B$13)</f>
        <v>0</v>
      </c>
      <c r="X24" s="0" t="n">
        <f aca="false">X14*(1-Inputs!$B$13)</f>
        <v>0</v>
      </c>
      <c r="Y24" s="0" t="n">
        <f aca="false">Y14*(1-Inputs!$B$13)</f>
        <v>0</v>
      </c>
      <c r="Z24" s="0" t="n">
        <f aca="false">Z14*(1-Inputs!$B$13)</f>
        <v>0</v>
      </c>
      <c r="AA24" s="0" t="n">
        <f aca="false">AA14*(1-Inputs!$B$13)</f>
        <v>0</v>
      </c>
      <c r="AB24" s="0" t="n">
        <f aca="false">AB14*(1-Inputs!$B$13)</f>
        <v>0</v>
      </c>
      <c r="AC24" s="0" t="n">
        <f aca="false">AC14*(1-Inputs!$B$13)</f>
        <v>0</v>
      </c>
      <c r="AD24" s="0" t="n">
        <f aca="false">AD14*(1-Inputs!$B$13)</f>
        <v>0</v>
      </c>
      <c r="AE24" s="0" t="n">
        <f aca="false">AE14*(1-Inputs!$B$13)</f>
        <v>0</v>
      </c>
      <c r="AF24" s="0" t="n">
        <f aca="false">AF14*(1-Inputs!$B$13)</f>
        <v>0</v>
      </c>
      <c r="AG24" s="0" t="n">
        <f aca="false">AG14*(1-Inputs!$B$13)</f>
        <v>0</v>
      </c>
      <c r="AH24" s="0" t="n">
        <f aca="false">AH14*(1-Inputs!$B$13)</f>
        <v>0</v>
      </c>
      <c r="AI24" s="0" t="n">
        <f aca="false">AI14*(1-Inputs!$B$13)</f>
        <v>0</v>
      </c>
      <c r="AJ24" s="0" t="n">
        <f aca="false">AJ14*(1-Inputs!$B$13)</f>
        <v>0</v>
      </c>
      <c r="AK24" s="0" t="n">
        <f aca="false">AK14*(1-Inputs!$B$13)</f>
        <v>0</v>
      </c>
      <c r="AL24" s="0" t="n">
        <f aca="false">AL14*(1-Inputs!$B$13)</f>
        <v>0</v>
      </c>
      <c r="AM24" s="0" t="n">
        <f aca="false">AM14*(1-Inputs!$B$13)</f>
        <v>0</v>
      </c>
      <c r="AN24" s="0" t="n">
        <f aca="false">AN14*(1-Inputs!$B$13)</f>
        <v>0</v>
      </c>
      <c r="AO24" s="0" t="n">
        <f aca="false">AO14*(1-Inputs!$B$13)</f>
        <v>0</v>
      </c>
      <c r="AP24" s="0" t="n">
        <f aca="false">AP14*(1-Inputs!$B$13)</f>
        <v>0</v>
      </c>
      <c r="AQ24" s="0" t="n">
        <f aca="false">AQ14*(1-Inputs!$B$13)</f>
        <v>0</v>
      </c>
      <c r="AR24" s="0" t="n">
        <f aca="false">AR14*(1-Inputs!$B$13)</f>
        <v>0</v>
      </c>
      <c r="AS24" s="0" t="n">
        <f aca="false">AS14*(1-Inputs!$B$13)</f>
        <v>0</v>
      </c>
      <c r="AT24" s="0" t="n">
        <f aca="false">AT14*(1-Inputs!$B$13)</f>
        <v>0</v>
      </c>
      <c r="AU24" s="0" t="n">
        <f aca="false">AU14*(1-Inputs!$B$13)</f>
        <v>0</v>
      </c>
      <c r="AV24" s="0" t="n">
        <f aca="false">AV14*(1-Inputs!$B$13)</f>
        <v>0</v>
      </c>
      <c r="AW24" s="0" t="n">
        <f aca="false">AW14*(1-Inputs!$B$13)</f>
        <v>0</v>
      </c>
      <c r="AX24" s="0" t="n">
        <f aca="false">AX14*(1-Inputs!$B$13)</f>
        <v>0</v>
      </c>
    </row>
    <row r="25" customFormat="false" ht="15" hidden="false" customHeight="false" outlineLevel="0" collapsed="false">
      <c r="A25" s="0" t="s">
        <v>37</v>
      </c>
      <c r="B25" s="0" t="n">
        <f aca="false">B14*Inputs!$B$13</f>
        <v>0</v>
      </c>
      <c r="C25" s="0" t="n">
        <f aca="false">C14*Inputs!$B$13</f>
        <v>450000</v>
      </c>
      <c r="D25" s="0" t="n">
        <f aca="false">D14*Inputs!$B$13</f>
        <v>450000</v>
      </c>
      <c r="E25" s="0" t="n">
        <f aca="false">E14*Inputs!$B$13</f>
        <v>450000</v>
      </c>
      <c r="F25" s="0" t="n">
        <f aca="false">F14*Inputs!$B$13</f>
        <v>450000</v>
      </c>
      <c r="G25" s="0" t="n">
        <f aca="false">G14*Inputs!$B$13</f>
        <v>450000</v>
      </c>
      <c r="H25" s="0" t="n">
        <f aca="false">H14*Inputs!$B$13</f>
        <v>450000</v>
      </c>
      <c r="I25" s="0" t="n">
        <f aca="false">I14*Inputs!$B$13</f>
        <v>450000</v>
      </c>
      <c r="J25" s="0" t="n">
        <f aca="false">J14*Inputs!$B$13</f>
        <v>450000</v>
      </c>
      <c r="K25" s="0" t="n">
        <f aca="false">K14*Inputs!$B$13</f>
        <v>450000</v>
      </c>
      <c r="L25" s="0" t="n">
        <f aca="false">L14*Inputs!$B$13</f>
        <v>270000</v>
      </c>
      <c r="M25" s="0" t="n">
        <f aca="false">M14*Inputs!$B$13</f>
        <v>0</v>
      </c>
      <c r="N25" s="0" t="n">
        <f aca="false">N14*Inputs!$B$13</f>
        <v>0</v>
      </c>
      <c r="O25" s="0" t="n">
        <f aca="false">O14*Inputs!$B$13</f>
        <v>0</v>
      </c>
      <c r="P25" s="0" t="n">
        <f aca="false">P14*Inputs!$B$13</f>
        <v>0</v>
      </c>
      <c r="Q25" s="0" t="n">
        <f aca="false">Q14*Inputs!$B$13</f>
        <v>0</v>
      </c>
      <c r="R25" s="0" t="n">
        <f aca="false">R14*Inputs!$B$13</f>
        <v>0</v>
      </c>
      <c r="S25" s="0" t="n">
        <f aca="false">S14*Inputs!$B$13</f>
        <v>0</v>
      </c>
      <c r="T25" s="0" t="n">
        <f aca="false">T14*Inputs!$B$13</f>
        <v>0</v>
      </c>
      <c r="U25" s="0" t="n">
        <f aca="false">U14*Inputs!$B$13</f>
        <v>0</v>
      </c>
      <c r="V25" s="0" t="n">
        <f aca="false">V14*Inputs!$B$13</f>
        <v>0</v>
      </c>
      <c r="W25" s="0" t="n">
        <f aca="false">W14*Inputs!$B$13</f>
        <v>0</v>
      </c>
      <c r="X25" s="0" t="n">
        <f aca="false">X14*Inputs!$B$13</f>
        <v>0</v>
      </c>
      <c r="Y25" s="0" t="n">
        <f aca="false">Y14*Inputs!$B$13</f>
        <v>0</v>
      </c>
      <c r="Z25" s="0" t="n">
        <f aca="false">Z14*Inputs!$B$13</f>
        <v>0</v>
      </c>
      <c r="AA25" s="0" t="n">
        <f aca="false">AA14*Inputs!$B$13</f>
        <v>0</v>
      </c>
      <c r="AB25" s="0" t="n">
        <f aca="false">AB14*Inputs!$B$13</f>
        <v>0</v>
      </c>
      <c r="AC25" s="0" t="n">
        <f aca="false">AC14*Inputs!$B$13</f>
        <v>0</v>
      </c>
      <c r="AD25" s="0" t="n">
        <f aca="false">AD14*Inputs!$B$13</f>
        <v>0</v>
      </c>
      <c r="AE25" s="0" t="n">
        <f aca="false">AE14*Inputs!$B$13</f>
        <v>0</v>
      </c>
      <c r="AF25" s="0" t="n">
        <f aca="false">AF14*Inputs!$B$13</f>
        <v>0</v>
      </c>
      <c r="AG25" s="0" t="n">
        <f aca="false">AG14*Inputs!$B$13</f>
        <v>0</v>
      </c>
      <c r="AH25" s="0" t="n">
        <f aca="false">AH14*Inputs!$B$13</f>
        <v>0</v>
      </c>
      <c r="AI25" s="0" t="n">
        <f aca="false">AI14*Inputs!$B$13</f>
        <v>0</v>
      </c>
      <c r="AJ25" s="0" t="n">
        <f aca="false">AJ14*Inputs!$B$13</f>
        <v>0</v>
      </c>
      <c r="AK25" s="0" t="n">
        <f aca="false">AK14*Inputs!$B$13</f>
        <v>0</v>
      </c>
      <c r="AL25" s="0" t="n">
        <f aca="false">AL14*Inputs!$B$13</f>
        <v>0</v>
      </c>
      <c r="AM25" s="0" t="n">
        <f aca="false">AM14*Inputs!$B$13</f>
        <v>0</v>
      </c>
      <c r="AN25" s="0" t="n">
        <f aca="false">AN14*Inputs!$B$13</f>
        <v>0</v>
      </c>
      <c r="AO25" s="0" t="n">
        <f aca="false">AO14*Inputs!$B$13</f>
        <v>0</v>
      </c>
      <c r="AP25" s="0" t="n">
        <f aca="false">AP14*Inputs!$B$13</f>
        <v>0</v>
      </c>
      <c r="AQ25" s="0" t="n">
        <f aca="false">AQ14*Inputs!$B$13</f>
        <v>0</v>
      </c>
      <c r="AR25" s="0" t="n">
        <f aca="false">AR14*Inputs!$B$13</f>
        <v>0</v>
      </c>
      <c r="AS25" s="0" t="n">
        <f aca="false">AS14*Inputs!$B$13</f>
        <v>0</v>
      </c>
      <c r="AT25" s="0" t="n">
        <f aca="false">AT14*Inputs!$B$13</f>
        <v>0</v>
      </c>
      <c r="AU25" s="0" t="n">
        <f aca="false">AU14*Inputs!$B$13</f>
        <v>0</v>
      </c>
      <c r="AV25" s="0" t="n">
        <f aca="false">AV14*Inputs!$B$13</f>
        <v>0</v>
      </c>
      <c r="AW25" s="0" t="n">
        <f aca="false">AW14*Inputs!$B$13</f>
        <v>0</v>
      </c>
      <c r="AX25" s="0" t="n">
        <f aca="false">AX14*Inputs!$B$13</f>
        <v>0</v>
      </c>
    </row>
    <row r="26" customFormat="false" ht="15" hidden="false" customHeight="false" outlineLevel="0" collapsed="false">
      <c r="A26" s="0" t="s">
        <v>38</v>
      </c>
      <c r="B26" s="0" t="n">
        <f aca="false">MIN(B21,0)</f>
        <v>0</v>
      </c>
      <c r="C26" s="0" t="n">
        <f aca="false">MIN(C21,SUM($B14:C14)-SUM($B26:B26))</f>
        <v>0</v>
      </c>
      <c r="D26" s="0" t="n">
        <f aca="false">MIN(D21,SUM($B14:D14)-SUM($B26:C26))</f>
        <v>0</v>
      </c>
      <c r="E26" s="0" t="n">
        <f aca="false">MIN(E21,SUM($B14:E14)-SUM($B26:D26))</f>
        <v>0</v>
      </c>
      <c r="F26" s="0" t="n">
        <f aca="false">MIN(F21,SUM($B14:F14)-SUM($B26:E26))</f>
        <v>0</v>
      </c>
      <c r="G26" s="0" t="n">
        <f aca="false">MIN(G21,SUM($B14:G14)-SUM($B26:F26))</f>
        <v>0</v>
      </c>
      <c r="H26" s="0" t="n">
        <f aca="false">MIN(H21,SUM($B14:H14)-SUM($B26:G26))</f>
        <v>0</v>
      </c>
      <c r="I26" s="0" t="n">
        <f aca="false">MIN(I21,SUM($B14:I14)-SUM($B26:H26))</f>
        <v>0</v>
      </c>
      <c r="J26" s="0" t="n">
        <f aca="false">MIN(J21,SUM($B14:J14)-SUM($B26:I26))</f>
        <v>0</v>
      </c>
      <c r="K26" s="0" t="n">
        <f aca="false">MIN(K21,SUM($B14:K14)-SUM($B26:J26))</f>
        <v>0</v>
      </c>
      <c r="L26" s="0" t="n">
        <f aca="false">MIN(L21,SUM($B14:L14)-SUM($B26:K26))</f>
        <v>0</v>
      </c>
      <c r="M26" s="0" t="n">
        <f aca="false">MIN(M21,SUM($B14:M14)-SUM($B26:L26))</f>
        <v>0</v>
      </c>
      <c r="N26" s="0" t="n">
        <f aca="false">MIN(N21,SUM($B14:N14)-SUM($B26:M26))</f>
        <v>0</v>
      </c>
      <c r="O26" s="0" t="n">
        <f aca="false">MIN(O21,SUM($B14:O14)-SUM($B26:N26))</f>
        <v>0</v>
      </c>
      <c r="P26" s="0" t="n">
        <f aca="false">MIN(P21,SUM($B14:P14)-SUM($B26:O26))</f>
        <v>0</v>
      </c>
      <c r="Q26" s="0" t="n">
        <f aca="false">MIN(Q21,SUM($B14:Q14)-SUM($B26:P26))</f>
        <v>0</v>
      </c>
      <c r="R26" s="0" t="n">
        <f aca="false">MIN(R21,SUM($B14:R14)-SUM($B26:Q26))</f>
        <v>0</v>
      </c>
      <c r="S26" s="0" t="n">
        <f aca="false">MIN(S21,SUM($B14:S14)-SUM($B26:R26))</f>
        <v>0</v>
      </c>
      <c r="T26" s="0" t="n">
        <f aca="false">MIN(T21,SUM($B14:T14)-SUM($B26:S26))</f>
        <v>0</v>
      </c>
      <c r="U26" s="0" t="n">
        <f aca="false">MIN(U21,SUM($B14:U14)-SUM($B26:T26))</f>
        <v>0</v>
      </c>
      <c r="V26" s="0" t="n">
        <f aca="false">MIN(V21,SUM($B14:V14)-SUM($B26:U26))</f>
        <v>0</v>
      </c>
      <c r="W26" s="0" t="n">
        <f aca="false">MIN(W21,SUM($B14:W14)-SUM($B26:V26))</f>
        <v>0</v>
      </c>
      <c r="X26" s="0" t="n">
        <f aca="false">MIN(X21,SUM($B14:X14)-SUM($B26:W26))</f>
        <v>0</v>
      </c>
      <c r="Y26" s="0" t="n">
        <f aca="false">MIN(Y21,SUM($B14:Y14)-SUM($B26:X26))</f>
        <v>0</v>
      </c>
      <c r="Z26" s="0" t="n">
        <f aca="false">MIN(Z21,SUM($B14:Z14)-SUM($B26:Y26))</f>
        <v>0</v>
      </c>
      <c r="AA26" s="0" t="n">
        <f aca="false">MIN(AA21,SUM($B14:AA14)-SUM($B26:Z26))</f>
        <v>0</v>
      </c>
      <c r="AB26" s="0" t="n">
        <f aca="false">MIN(AB21,SUM($B14:AB14)-SUM($B26:AA26))</f>
        <v>0</v>
      </c>
      <c r="AC26" s="0" t="n">
        <f aca="false">MIN(AC21,SUM($B14:AC14)-SUM($B26:AB26))</f>
        <v>0</v>
      </c>
      <c r="AD26" s="0" t="n">
        <f aca="false">MIN(AD21,SUM($B14:AD14)-SUM($B26:AC26))</f>
        <v>0</v>
      </c>
      <c r="AE26" s="0" t="n">
        <f aca="false">MIN(AE21,SUM($B14:AE14)-SUM($B26:AD26))</f>
        <v>1124738.67828214</v>
      </c>
      <c r="AF26" s="0" t="n">
        <f aca="false">MIN(AF21,SUM($B14:AF14)-SUM($B26:AE26))</f>
        <v>17250000</v>
      </c>
      <c r="AG26" s="0" t="n">
        <f aca="false">MIN(AG21,SUM($B14:AG14)-SUM($B26:AF26))</f>
        <v>17250000</v>
      </c>
      <c r="AH26" s="0" t="n">
        <f aca="false">MIN(AH21,SUM($B14:AH14)-SUM($B26:AG26))</f>
        <v>17250000</v>
      </c>
      <c r="AI26" s="0" t="n">
        <f aca="false">MIN(AI21,SUM($B14:AI14)-SUM($B26:AH26))</f>
        <v>17250000</v>
      </c>
      <c r="AJ26" s="0" t="n">
        <f aca="false">MIN(AJ21,SUM($B14:AJ14)-SUM($B26:AI26))</f>
        <v>16275261.3217179</v>
      </c>
      <c r="AK26" s="0" t="n">
        <f aca="false">MIN(AK21,SUM($B14:AK14)-SUM($B26:AJ26))</f>
        <v>0</v>
      </c>
      <c r="AL26" s="0" t="n">
        <f aca="false">MIN(AL21,SUM($B14:AL14)-SUM($B26:AK26))</f>
        <v>0</v>
      </c>
      <c r="AM26" s="0" t="n">
        <f aca="false">MIN(AM21,SUM($B14:AM14)-SUM($B26:AL26))</f>
        <v>0</v>
      </c>
      <c r="AN26" s="0" t="n">
        <f aca="false">MIN(AN21,SUM($B14:AN14)-SUM($B26:AM26))</f>
        <v>0</v>
      </c>
      <c r="AO26" s="0" t="n">
        <f aca="false">MIN(AO21,SUM($B14:AO14)-SUM($B26:AN26))</f>
        <v>0</v>
      </c>
      <c r="AP26" s="0" t="n">
        <f aca="false">MIN(AP21,SUM($B14:AP14)-SUM($B26:AO26))</f>
        <v>0</v>
      </c>
      <c r="AQ26" s="0" t="n">
        <f aca="false">MIN(AQ21,SUM($B14:AQ14)-SUM($B26:AP26))</f>
        <v>0</v>
      </c>
      <c r="AR26" s="0" t="n">
        <f aca="false">MIN(AR21,SUM($B14:AR14)-SUM($B26:AQ26))</f>
        <v>0</v>
      </c>
      <c r="AS26" s="0" t="n">
        <f aca="false">MIN(AS21,SUM($B14:AS14)-SUM($B26:AR26))</f>
        <v>0</v>
      </c>
      <c r="AT26" s="0" t="n">
        <f aca="false">MIN(AT21,SUM($B14:AT14)-SUM($B26:AS26))</f>
        <v>0</v>
      </c>
      <c r="AU26" s="0" t="n">
        <f aca="false">MIN(AU21,SUM($B14:AU14)-SUM($B26:AT26))</f>
        <v>0</v>
      </c>
      <c r="AV26" s="0" t="n">
        <f aca="false">MIN(AV21,SUM($B14:AV14)-SUM($B26:AU26))</f>
        <v>0</v>
      </c>
      <c r="AW26" s="0" t="n">
        <f aca="false">MIN(AW21,SUM($B14:AW14)-SUM($B26:AV26))</f>
        <v>0</v>
      </c>
      <c r="AX26" s="0" t="n">
        <f aca="false">MIN(AX21,SUM($B14:AX14)-SUM($B26:AW26))</f>
        <v>0</v>
      </c>
    </row>
    <row r="27" customFormat="false" ht="15" hidden="false" customHeight="false" outlineLevel="0" collapsed="false">
      <c r="A27" s="0" t="s">
        <v>39</v>
      </c>
      <c r="B27" s="0" t="n">
        <f aca="false">0</f>
        <v>0</v>
      </c>
      <c r="C27" s="0" t="n">
        <f aca="false">(B27-B28)*(1+((1+Inputs!$B$14)^(1/12)-1))+(SUM($B14:B14)-SUM($B26:B26))*((1+Inputs!$B$14)^(1/12)-1)</f>
        <v>0</v>
      </c>
      <c r="D27" s="0" t="n">
        <f aca="false">(C27-C28)*(1+((1+Inputs!$B$14)^(1/12)-1))+(SUM($B14:C14)-SUM($B26:C26))*((1+Inputs!$B$14)^(1/12)-1)</f>
        <v>57906.2709900309</v>
      </c>
      <c r="E27" s="0" t="n">
        <f aca="false">(D27-D28)*(1+((1+Inputs!$B$14)^(1/12)-1))+(SUM($B14:D14)-SUM($B26:D26))*((1+Inputs!$B$14)^(1/12)-1)</f>
        <v>174091.3836612</v>
      </c>
      <c r="F27" s="0" t="n">
        <f aca="false">(E27-E28)*(1+((1+Inputs!$B$14)^(1/12)-1))+(SUM($B14:E14)-SUM($B26:E26))*((1+Inputs!$B$14)^(1/12)-1)</f>
        <v>348930.305835661</v>
      </c>
      <c r="G27" s="0" t="n">
        <f aca="false">(F27-F28)*(1+((1+Inputs!$B$14)^(1/12)-1))+(SUM($B14:F14)-SUM($B26:F26))*((1+Inputs!$B$14)^(1/12)-1)</f>
        <v>582800.417889824</v>
      </c>
      <c r="H27" s="0" t="n">
        <f aca="false">(G27-G28)*(1+((1+Inputs!$B$14)^(1/12)-1))+(SUM($B14:G14)-SUM($B26:G26))*((1+Inputs!$B$14)^(1/12)-1)</f>
        <v>876081.528276804</v>
      </c>
      <c r="I27" s="0" t="n">
        <f aca="false">(H27-H28)*(1+((1+Inputs!$B$14)^(1/12)-1))+(SUM($B14:H14)-SUM($B26:H26))*((1+Inputs!$B$14)^(1/12)-1)</f>
        <v>1229155.88914874</v>
      </c>
      <c r="J27" s="0" t="n">
        <f aca="false">(I27-I28)*(1+((1+Inputs!$B$14)^(1/12)-1))+(SUM($B14:I14)-SUM($B26:I26))*((1+Inputs!$B$14)^(1/12)-1)</f>
        <v>1642408.21207963</v>
      </c>
      <c r="K27" s="0" t="n">
        <f aca="false">(J27-J28)*(1+((1+Inputs!$B$14)^(1/12)-1))+(SUM($B14:J14)-SUM($B26:J26))*((1+Inputs!$B$14)^(1/12)-1)</f>
        <v>2116225.68388931</v>
      </c>
      <c r="L27" s="0" t="n">
        <f aca="false">(K27-K28)*(1+((1+Inputs!$B$14)^(1/12)-1))+(SUM($B14:K14)-SUM($B26:K26))*((1+Inputs!$B$14)^(1/12)-1)</f>
        <v>2650997.9825693</v>
      </c>
      <c r="M27" s="0" t="n">
        <f aca="false">(L27-L28)*(1+((1+Inputs!$B$14)^(1/12)-1))+(SUM($B14:L14)-SUM($B26:L26))*((1+Inputs!$B$14)^(1/12)-1)</f>
        <v>3223954.784915</v>
      </c>
      <c r="N27" s="0" t="n">
        <f aca="false">(M27-M28)*(1+((1+Inputs!$B$14)^(1/12)-1))+(SUM($B14:M14)-SUM($B26:M26))*((1+Inputs!$B$14)^(1/12)-1)</f>
        <v>3800598.00857873</v>
      </c>
      <c r="O27" s="0" t="n">
        <f aca="false">(N27-N28)*(1+((1+Inputs!$B$14)^(1/12)-1))+(SUM($B14:N14)-SUM($B26:N26))*((1+Inputs!$B$14)^(1/12)-1)</f>
        <v>4380951.37210624</v>
      </c>
      <c r="P27" s="0" t="n">
        <f aca="false">(O27-O28)*(1+((1+Inputs!$B$14)^(1/12)-1))+(SUM($B14:O14)-SUM($B26:O26))*((1+Inputs!$B$14)^(1/12)-1)</f>
        <v>4965038.74664913</v>
      </c>
      <c r="Q27" s="0" t="n">
        <f aca="false">(P27-P28)*(1+((1+Inputs!$B$14)^(1/12)-1))+(SUM($B14:P14)-SUM($B26:P26))*((1+Inputs!$B$14)^(1/12)-1)</f>
        <v>5552884.1569467</v>
      </c>
      <c r="R27" s="0" t="n">
        <f aca="false">(Q27-Q28)*(1+((1+Inputs!$B$14)^(1/12)-1))+(SUM($B14:Q14)-SUM($B26:Q26))*((1+Inputs!$B$14)^(1/12)-1)</f>
        <v>6144511.78231415</v>
      </c>
      <c r="S27" s="0" t="n">
        <f aca="false">(R27-R28)*(1+((1+Inputs!$B$14)^(1/12)-1))+(SUM($B14:R14)-SUM($B26:R26))*((1+Inputs!$B$14)^(1/12)-1)</f>
        <v>6739945.95763713</v>
      </c>
      <c r="T27" s="0" t="n">
        <f aca="false">(S27-S28)*(1+((1+Inputs!$B$14)^(1/12)-1))+(SUM($B14:S14)-SUM($B26:S26))*((1+Inputs!$B$14)^(1/12)-1)</f>
        <v>7339211.17437266</v>
      </c>
      <c r="U27" s="0" t="n">
        <f aca="false">(T27-T28)*(1+((1+Inputs!$B$14)^(1/12)-1))+(SUM($B14:T14)-SUM($B26:T26))*((1+Inputs!$B$14)^(1/12)-1)</f>
        <v>7942332.08155654</v>
      </c>
      <c r="V27" s="0" t="n">
        <f aca="false">(U27-U28)*(1+((1+Inputs!$B$14)^(1/12)-1))+(SUM($B14:U14)-SUM($B26:U26))*((1+Inputs!$B$14)^(1/12)-1)</f>
        <v>8549333.48681722</v>
      </c>
      <c r="W27" s="0" t="n">
        <f aca="false">(V27-V28)*(1+((1+Inputs!$B$14)^(1/12)-1))+(SUM($B14:V14)-SUM($B26:V26))*((1+Inputs!$B$14)^(1/12)-1)</f>
        <v>9160240.35739616</v>
      </c>
      <c r="X27" s="0" t="n">
        <f aca="false">(W27-W28)*(1+((1+Inputs!$B$14)^(1/12)-1))+(SUM($B14:W14)-SUM($B26:W26))*((1+Inputs!$B$14)^(1/12)-1)</f>
        <v>9775077.82117481</v>
      </c>
      <c r="Y27" s="0" t="n">
        <f aca="false">(X27-X28)*(1+((1+Inputs!$B$14)^(1/12)-1))+(SUM($B14:X14)-SUM($B26:X26))*((1+Inputs!$B$14)^(1/12)-1)</f>
        <v>10393871.1677082</v>
      </c>
      <c r="Z27" s="0" t="n">
        <f aca="false">(Y27-Y28)*(1+((1+Inputs!$B$14)^(1/12)-1))+(SUM($B14:Y14)-SUM($B26:Y26))*((1+Inputs!$B$14)^(1/12)-1)</f>
        <v>11016645.849265</v>
      </c>
      <c r="AA27" s="0" t="n">
        <f aca="false">(Z27-Z28)*(1+((1+Inputs!$B$14)^(1/12)-1))+(SUM($B14:Z14)-SUM($B26:Z26))*((1+Inputs!$B$14)^(1/12)-1)</f>
        <v>11643427.4818747</v>
      </c>
      <c r="AB27" s="0" t="n">
        <f aca="false">(AA27-AA28)*(1+((1+Inputs!$B$14)^(1/12)-1))+(SUM($B14:AA14)-SUM($B26:AA26))*((1+Inputs!$B$14)^(1/12)-1)</f>
        <v>12274241.846381</v>
      </c>
      <c r="AC27" s="0" t="n">
        <f aca="false">(AB27-AB28)*(1+((1+Inputs!$B$14)^(1/12)-1))+(SUM($B14:AB14)-SUM($B26:AB26))*((1+Inputs!$B$14)^(1/12)-1)</f>
        <v>12909114.8895024</v>
      </c>
      <c r="AD27" s="0" t="n">
        <f aca="false">(AC27-AC28)*(1+((1+Inputs!$B$14)^(1/12)-1))+(SUM($B14:AC14)-SUM($B26:AC26))*((1+Inputs!$B$14)^(1/12)-1)</f>
        <v>13548072.7248993</v>
      </c>
      <c r="AE27" s="0" t="n">
        <f aca="false">(AD27-AD28)*(1+((1+Inputs!$B$14)^(1/12)-1))+(SUM($B14:AD14)-SUM($B26:AD26))*((1+Inputs!$B$14)^(1/12)-1)</f>
        <v>14191141.6342481</v>
      </c>
      <c r="AF27" s="0" t="n">
        <f aca="false">(AE27-AE28)*(1+((1+Inputs!$B$14)^(1/12)-1))+(SUM($B14:AE14)-SUM($B26:AE26))*((1+Inputs!$B$14)^(1/12)-1)</f>
        <v>14831111.4658005</v>
      </c>
      <c r="AG27" s="0" t="n">
        <f aca="false">(AF27-AF28)*(1+((1+Inputs!$B$14)^(1/12)-1))+(SUM($B14:AF14)-SUM($B26:AF26))*((1+Inputs!$B$14)^(1/12)-1)</f>
        <v>15364211.863121</v>
      </c>
      <c r="AH27" s="0" t="n">
        <f aca="false">(AG27-AG28)*(1+((1+Inputs!$B$14)^(1/12)-1))+(SUM($B14:AG14)-SUM($B26:AG26))*((1+Inputs!$B$14)^(1/12)-1)</f>
        <v>15789755.2250521</v>
      </c>
      <c r="AI27" s="0" t="n">
        <f aca="false">(AH27-AH28)*(1+((1+Inputs!$B$14)^(1/12)-1))+(SUM($B14:AH14)-SUM($B26:AH26))*((1+Inputs!$B$14)^(1/12)-1)</f>
        <v>16107049.5263893</v>
      </c>
      <c r="AJ27" s="0" t="n">
        <f aca="false">(AI27-AI28)*(1+((1+Inputs!$B$14)^(1/12)-1))+(SUM($B14:AI14)-SUM($B26:AI26))*((1+Inputs!$B$14)^(1/12)-1)</f>
        <v>16315398.2894175</v>
      </c>
      <c r="AK27" s="0" t="n">
        <f aca="false">(AJ27-AJ28)*(1+((1+Inputs!$B$14)^(1/12)-1))+(SUM($B14:AJ14)-SUM($B26:AJ26))*((1+Inputs!$B$14)^(1/12)-1)</f>
        <v>15439361.8769807</v>
      </c>
      <c r="AL27" s="0" t="n">
        <f aca="false">(AK27-AK28)*(1+((1+Inputs!$B$14)^(1/12)-1))+(SUM($B14:AK14)-SUM($B26:AK26))*((1+Inputs!$B$14)^(1/12)-1)</f>
        <v>0</v>
      </c>
      <c r="AM27" s="0" t="n">
        <f aca="false">(AL27-AL28)*(1+((1+Inputs!$B$14)^(1/12)-1))+(SUM($B14:AL14)-SUM($B26:AL26))*((1+Inputs!$B$14)^(1/12)-1)</f>
        <v>0</v>
      </c>
      <c r="AN27" s="0" t="n">
        <f aca="false">(AM27-AM28)*(1+((1+Inputs!$B$14)^(1/12)-1))+(SUM($B14:AM14)-SUM($B26:AM26))*((1+Inputs!$B$14)^(1/12)-1)</f>
        <v>0</v>
      </c>
      <c r="AO27" s="0" t="n">
        <f aca="false">(AN27-AN28)*(1+((1+Inputs!$B$14)^(1/12)-1))+(SUM($B14:AN14)-SUM($B26:AN26))*((1+Inputs!$B$14)^(1/12)-1)</f>
        <v>0</v>
      </c>
      <c r="AP27" s="0" t="n">
        <f aca="false">(AO27-AO28)*(1+((1+Inputs!$B$14)^(1/12)-1))+(SUM($B14:AO14)-SUM($B26:AO26))*((1+Inputs!$B$14)^(1/12)-1)</f>
        <v>0</v>
      </c>
      <c r="AQ27" s="0" t="n">
        <f aca="false">(AP27-AP28)*(1+((1+Inputs!$B$14)^(1/12)-1))+(SUM($B14:AP14)-SUM($B26:AP26))*((1+Inputs!$B$14)^(1/12)-1)</f>
        <v>0</v>
      </c>
      <c r="AR27" s="0" t="n">
        <f aca="false">(AQ27-AQ28)*(1+((1+Inputs!$B$14)^(1/12)-1))+(SUM($B14:AQ14)-SUM($B26:AQ26))*((1+Inputs!$B$14)^(1/12)-1)</f>
        <v>0</v>
      </c>
      <c r="AS27" s="0" t="n">
        <f aca="false">(AR27-AR28)*(1+((1+Inputs!$B$14)^(1/12)-1))+(SUM($B14:AR14)-SUM($B26:AR26))*((1+Inputs!$B$14)^(1/12)-1)</f>
        <v>0</v>
      </c>
      <c r="AT27" s="0" t="n">
        <f aca="false">(AS27-AS28)*(1+((1+Inputs!$B$14)^(1/12)-1))+(SUM($B14:AS14)-SUM($B26:AS26))*((1+Inputs!$B$14)^(1/12)-1)</f>
        <v>0</v>
      </c>
      <c r="AU27" s="0" t="n">
        <f aca="false">(AT27-AT28)*(1+((1+Inputs!$B$14)^(1/12)-1))+(SUM($B14:AT14)-SUM($B26:AT26))*((1+Inputs!$B$14)^(1/12)-1)</f>
        <v>0</v>
      </c>
      <c r="AV27" s="0" t="n">
        <f aca="false">(AU27-AU28)*(1+((1+Inputs!$B$14)^(1/12)-1))+(SUM($B14:AU14)-SUM($B26:AU26))*((1+Inputs!$B$14)^(1/12)-1)</f>
        <v>0</v>
      </c>
      <c r="AW27" s="0" t="n">
        <f aca="false">(AV27-AV28)*(1+((1+Inputs!$B$14)^(1/12)-1))+(SUM($B14:AV14)-SUM($B26:AV26))*((1+Inputs!$B$14)^(1/12)-1)</f>
        <v>0</v>
      </c>
      <c r="AX27" s="0" t="n">
        <f aca="false">(AW27-AW28)*(1+((1+Inputs!$B$14)^(1/12)-1))+(SUM($B14:AW14)-SUM($B26:AW26))*((1+Inputs!$B$14)^(1/12)-1)</f>
        <v>0</v>
      </c>
    </row>
    <row r="28" customFormat="false" ht="15" hidden="false" customHeight="false" outlineLevel="0" collapsed="false">
      <c r="A28" s="0" t="s">
        <v>40</v>
      </c>
      <c r="B28" s="0" t="n">
        <f aca="false">MIN(B21-B26,B27)</f>
        <v>0</v>
      </c>
      <c r="C28" s="0" t="n">
        <f aca="false">MIN(C21-C26,C27)</f>
        <v>0</v>
      </c>
      <c r="D28" s="0" t="n">
        <f aca="false">MIN(D21-D26,D27)</f>
        <v>0</v>
      </c>
      <c r="E28" s="0" t="n">
        <f aca="false">MIN(E21-E26,E27)</f>
        <v>0</v>
      </c>
      <c r="F28" s="0" t="n">
        <f aca="false">MIN(F21-F26,F27)</f>
        <v>0</v>
      </c>
      <c r="G28" s="0" t="n">
        <f aca="false">MIN(G21-G26,G27)</f>
        <v>0</v>
      </c>
      <c r="H28" s="0" t="n">
        <f aca="false">MIN(H21-H26,H27)</f>
        <v>0</v>
      </c>
      <c r="I28" s="0" t="n">
        <f aca="false">MIN(I21-I26,I27)</f>
        <v>0</v>
      </c>
      <c r="J28" s="0" t="n">
        <f aca="false">MIN(J21-J26,J27)</f>
        <v>0</v>
      </c>
      <c r="K28" s="0" t="n">
        <f aca="false">MIN(K21-K26,K27)</f>
        <v>0</v>
      </c>
      <c r="L28" s="0" t="n">
        <f aca="false">MIN(L21-L26,L27)</f>
        <v>0</v>
      </c>
      <c r="M28" s="0" t="n">
        <f aca="false">MIN(M21-M26,M27)</f>
        <v>0</v>
      </c>
      <c r="N28" s="0" t="n">
        <f aca="false">MIN(N21-N26,N27)</f>
        <v>0</v>
      </c>
      <c r="O28" s="0" t="n">
        <f aca="false">MIN(O21-O26,O27)</f>
        <v>0</v>
      </c>
      <c r="P28" s="0" t="n">
        <f aca="false">MIN(P21-P26,P27)</f>
        <v>0</v>
      </c>
      <c r="Q28" s="0" t="n">
        <f aca="false">MIN(Q21-Q26,Q27)</f>
        <v>0</v>
      </c>
      <c r="R28" s="0" t="n">
        <f aca="false">MIN(R21-R26,R27)</f>
        <v>0</v>
      </c>
      <c r="S28" s="0" t="n">
        <f aca="false">MIN(S21-S26,S27)</f>
        <v>0</v>
      </c>
      <c r="T28" s="0" t="n">
        <f aca="false">MIN(T21-T26,T27)</f>
        <v>0</v>
      </c>
      <c r="U28" s="0" t="n">
        <f aca="false">MIN(U21-U26,U27)</f>
        <v>0</v>
      </c>
      <c r="V28" s="0" t="n">
        <f aca="false">MIN(V21-V26,V27)</f>
        <v>0</v>
      </c>
      <c r="W28" s="0" t="n">
        <f aca="false">MIN(W21-W26,W27)</f>
        <v>0</v>
      </c>
      <c r="X28" s="0" t="n">
        <f aca="false">MIN(X21-X26,X27)</f>
        <v>0</v>
      </c>
      <c r="Y28" s="0" t="n">
        <f aca="false">MIN(Y21-Y26,Y27)</f>
        <v>0</v>
      </c>
      <c r="Z28" s="0" t="n">
        <f aca="false">MIN(Z21-Z26,Z27)</f>
        <v>0</v>
      </c>
      <c r="AA28" s="0" t="n">
        <f aca="false">MIN(AA21-AA26,AA27)</f>
        <v>0</v>
      </c>
      <c r="AB28" s="0" t="n">
        <f aca="false">MIN(AB21-AB26,AB27)</f>
        <v>0</v>
      </c>
      <c r="AC28" s="0" t="n">
        <f aca="false">MIN(AC21-AC26,AC27)</f>
        <v>0</v>
      </c>
      <c r="AD28" s="0" t="n">
        <f aca="false">MIN(AD21-AD26,AD27)</f>
        <v>0</v>
      </c>
      <c r="AE28" s="0" t="n">
        <f aca="false">MIN(AE21-AE26,AE27)</f>
        <v>0</v>
      </c>
      <c r="AF28" s="0" t="n">
        <f aca="false">MIN(AF21-AF26,AF27)</f>
        <v>0</v>
      </c>
      <c r="AG28" s="0" t="n">
        <f aca="false">MIN(AG21-AG26,AG27)</f>
        <v>0</v>
      </c>
      <c r="AH28" s="0" t="n">
        <f aca="false">MIN(AH21-AH26,AH27)</f>
        <v>0</v>
      </c>
      <c r="AI28" s="0" t="n">
        <f aca="false">MIN(AI21-AI26,AI27)</f>
        <v>0</v>
      </c>
      <c r="AJ28" s="0" t="n">
        <f aca="false">MIN(AJ21-AJ26,AJ27)</f>
        <v>974738.678282142</v>
      </c>
      <c r="AK28" s="0" t="n">
        <f aca="false">MIN(AK21-AK26,AK27)</f>
        <v>15439361.8769807</v>
      </c>
      <c r="AL28" s="0" t="n">
        <f aca="false">MIN(AL21-AL26,AL27)</f>
        <v>0</v>
      </c>
      <c r="AM28" s="0" t="n">
        <f aca="false">MIN(AM21-AM26,AM27)</f>
        <v>0</v>
      </c>
      <c r="AN28" s="0" t="n">
        <f aca="false">MIN(AN21-AN26,AN27)</f>
        <v>0</v>
      </c>
      <c r="AO28" s="0" t="n">
        <f aca="false">MIN(AO21-AO26,AO27)</f>
        <v>0</v>
      </c>
      <c r="AP28" s="0" t="n">
        <f aca="false">MIN(AP21-AP26,AP27)</f>
        <v>0</v>
      </c>
      <c r="AQ28" s="0" t="n">
        <f aca="false">MIN(AQ21-AQ26,AQ27)</f>
        <v>0</v>
      </c>
      <c r="AR28" s="0" t="n">
        <f aca="false">MIN(AR21-AR26,AR27)</f>
        <v>0</v>
      </c>
      <c r="AS28" s="0" t="n">
        <f aca="false">MIN(AS21-AS26,AS27)</f>
        <v>0</v>
      </c>
      <c r="AT28" s="0" t="n">
        <f aca="false">MIN(AT21-AT26,AT27)</f>
        <v>0</v>
      </c>
      <c r="AU28" s="0" t="n">
        <f aca="false">MIN(AU21-AU26,AU27)</f>
        <v>0</v>
      </c>
      <c r="AV28" s="0" t="n">
        <f aca="false">MIN(AV21-AV26,AV27)</f>
        <v>0</v>
      </c>
      <c r="AW28" s="0" t="n">
        <f aca="false">MIN(AW21-AW26,AW27)</f>
        <v>0</v>
      </c>
      <c r="AX28" s="0" t="n">
        <f aca="false">MIN(AX21-AX26,AX27)</f>
        <v>0</v>
      </c>
    </row>
    <row r="29" customFormat="false" ht="15" hidden="false" customHeight="false" outlineLevel="0" collapsed="false">
      <c r="A29" s="0" t="s">
        <v>41</v>
      </c>
      <c r="B29" s="0" t="n">
        <f aca="false">B28*Inputs!$B$15/(1-Inputs!$B$15)</f>
        <v>0</v>
      </c>
      <c r="C29" s="0" t="n">
        <f aca="false">B29-B30+C28*Inputs!$B$15/(1-Inputs!$B$15)</f>
        <v>0</v>
      </c>
      <c r="D29" s="0" t="n">
        <f aca="false">C29-C30+D28*Inputs!$B$15/(1-Inputs!$B$15)</f>
        <v>0</v>
      </c>
      <c r="E29" s="0" t="n">
        <f aca="false">D29-D30+E28*Inputs!$B$15/(1-Inputs!$B$15)</f>
        <v>0</v>
      </c>
      <c r="F29" s="0" t="n">
        <f aca="false">E29-E30+F28*Inputs!$B$15/(1-Inputs!$B$15)</f>
        <v>0</v>
      </c>
      <c r="G29" s="0" t="n">
        <f aca="false">F29-F30+G28*Inputs!$B$15/(1-Inputs!$B$15)</f>
        <v>0</v>
      </c>
      <c r="H29" s="0" t="n">
        <f aca="false">G29-G30+H28*Inputs!$B$15/(1-Inputs!$B$15)</f>
        <v>0</v>
      </c>
      <c r="I29" s="0" t="n">
        <f aca="false">H29-H30+I28*Inputs!$B$15/(1-Inputs!$B$15)</f>
        <v>0</v>
      </c>
      <c r="J29" s="0" t="n">
        <f aca="false">I29-I30+J28*Inputs!$B$15/(1-Inputs!$B$15)</f>
        <v>0</v>
      </c>
      <c r="K29" s="0" t="n">
        <f aca="false">J29-J30+K28*Inputs!$B$15/(1-Inputs!$B$15)</f>
        <v>0</v>
      </c>
      <c r="L29" s="0" t="n">
        <f aca="false">K29-K30+L28*Inputs!$B$15/(1-Inputs!$B$15)</f>
        <v>0</v>
      </c>
      <c r="M29" s="0" t="n">
        <f aca="false">L29-L30+M28*Inputs!$B$15/(1-Inputs!$B$15)</f>
        <v>0</v>
      </c>
      <c r="N29" s="0" t="n">
        <f aca="false">M29-M30+N28*Inputs!$B$15/(1-Inputs!$B$15)</f>
        <v>0</v>
      </c>
      <c r="O29" s="0" t="n">
        <f aca="false">N29-N30+O28*Inputs!$B$15/(1-Inputs!$B$15)</f>
        <v>0</v>
      </c>
      <c r="P29" s="0" t="n">
        <f aca="false">O29-O30+P28*Inputs!$B$15/(1-Inputs!$B$15)</f>
        <v>0</v>
      </c>
      <c r="Q29" s="0" t="n">
        <f aca="false">P29-P30+Q28*Inputs!$B$15/(1-Inputs!$B$15)</f>
        <v>0</v>
      </c>
      <c r="R29" s="0" t="n">
        <f aca="false">Q29-Q30+R28*Inputs!$B$15/(1-Inputs!$B$15)</f>
        <v>0</v>
      </c>
      <c r="S29" s="0" t="n">
        <f aca="false">R29-R30+S28*Inputs!$B$15/(1-Inputs!$B$15)</f>
        <v>0</v>
      </c>
      <c r="T29" s="0" t="n">
        <f aca="false">S29-S30+T28*Inputs!$B$15/(1-Inputs!$B$15)</f>
        <v>0</v>
      </c>
      <c r="U29" s="0" t="n">
        <f aca="false">T29-T30+U28*Inputs!$B$15/(1-Inputs!$B$15)</f>
        <v>0</v>
      </c>
      <c r="V29" s="0" t="n">
        <f aca="false">U29-U30+V28*Inputs!$B$15/(1-Inputs!$B$15)</f>
        <v>0</v>
      </c>
      <c r="W29" s="0" t="n">
        <f aca="false">V29-V30+W28*Inputs!$B$15/(1-Inputs!$B$15)</f>
        <v>0</v>
      </c>
      <c r="X29" s="0" t="n">
        <f aca="false">W29-W30+X28*Inputs!$B$15/(1-Inputs!$B$15)</f>
        <v>0</v>
      </c>
      <c r="Y29" s="0" t="n">
        <f aca="false">X29-X30+Y28*Inputs!$B$15/(1-Inputs!$B$15)</f>
        <v>0</v>
      </c>
      <c r="Z29" s="0" t="n">
        <f aca="false">Y29-Y30+Z28*Inputs!$B$15/(1-Inputs!$B$15)</f>
        <v>0</v>
      </c>
      <c r="AA29" s="0" t="n">
        <f aca="false">Z29-Z30+AA28*Inputs!$B$15/(1-Inputs!$B$15)</f>
        <v>0</v>
      </c>
      <c r="AB29" s="0" t="n">
        <f aca="false">AA29-AA30+AB28*Inputs!$B$15/(1-Inputs!$B$15)</f>
        <v>0</v>
      </c>
      <c r="AC29" s="0" t="n">
        <f aca="false">AB29-AB30+AC28*Inputs!$B$15/(1-Inputs!$B$15)</f>
        <v>0</v>
      </c>
      <c r="AD29" s="0" t="n">
        <f aca="false">AC29-AC30+AD28*Inputs!$B$15/(1-Inputs!$B$15)</f>
        <v>0</v>
      </c>
      <c r="AE29" s="0" t="n">
        <f aca="false">AD29-AD30+AE28*Inputs!$B$15/(1-Inputs!$B$15)</f>
        <v>0</v>
      </c>
      <c r="AF29" s="0" t="n">
        <f aca="false">AE29-AE30+AF28*Inputs!$B$15/(1-Inputs!$B$15)</f>
        <v>0</v>
      </c>
      <c r="AG29" s="0" t="n">
        <f aca="false">AF29-AF30+AG28*Inputs!$B$15/(1-Inputs!$B$15)</f>
        <v>0</v>
      </c>
      <c r="AH29" s="0" t="n">
        <f aca="false">AG29-AG30+AH28*Inputs!$B$15/(1-Inputs!$B$15)</f>
        <v>0</v>
      </c>
      <c r="AI29" s="0" t="n">
        <f aca="false">AH29-AH30+AI28*Inputs!$B$15/(1-Inputs!$B$15)</f>
        <v>0</v>
      </c>
      <c r="AJ29" s="0" t="n">
        <f aca="false">AI29-AI30+AJ28*Inputs!$B$15/(1-Inputs!$B$15)</f>
        <v>243684.669570535</v>
      </c>
      <c r="AK29" s="0" t="n">
        <f aca="false">AJ29-AJ30+AK28*Inputs!$B$15/(1-Inputs!$B$15)</f>
        <v>4103525.13881572</v>
      </c>
      <c r="AL29" s="0" t="n">
        <f aca="false">AK29-AK30+AL28*Inputs!$B$15/(1-Inputs!$B$15)</f>
        <v>2655014.6404003</v>
      </c>
      <c r="AM29" s="0" t="n">
        <f aca="false">AL29-AL30+AM28*Inputs!$B$15/(1-Inputs!$B$15)</f>
        <v>0</v>
      </c>
      <c r="AN29" s="0" t="n">
        <f aca="false">AM29-AM30+AN28*Inputs!$B$15/(1-Inputs!$B$15)</f>
        <v>0</v>
      </c>
      <c r="AO29" s="0" t="n">
        <f aca="false">AN29-AN30+AO28*Inputs!$B$15/(1-Inputs!$B$15)</f>
        <v>0</v>
      </c>
      <c r="AP29" s="0" t="n">
        <f aca="false">AO29-AO30+AP28*Inputs!$B$15/(1-Inputs!$B$15)</f>
        <v>0</v>
      </c>
      <c r="AQ29" s="0" t="n">
        <f aca="false">AP29-AP30+AQ28*Inputs!$B$15/(1-Inputs!$B$15)</f>
        <v>0</v>
      </c>
      <c r="AR29" s="0" t="n">
        <f aca="false">AQ29-AQ30+AR28*Inputs!$B$15/(1-Inputs!$B$15)</f>
        <v>0</v>
      </c>
      <c r="AS29" s="0" t="n">
        <f aca="false">AR29-AR30+AS28*Inputs!$B$15/(1-Inputs!$B$15)</f>
        <v>0</v>
      </c>
      <c r="AT29" s="0" t="n">
        <f aca="false">AS29-AS30+AT28*Inputs!$B$15/(1-Inputs!$B$15)</f>
        <v>0</v>
      </c>
      <c r="AU29" s="0" t="n">
        <f aca="false">AT29-AT30+AU28*Inputs!$B$15/(1-Inputs!$B$15)</f>
        <v>0</v>
      </c>
      <c r="AV29" s="0" t="n">
        <f aca="false">AU29-AU30+AV28*Inputs!$B$15/(1-Inputs!$B$15)</f>
        <v>0</v>
      </c>
      <c r="AW29" s="0" t="n">
        <f aca="false">AV29-AV30+AW28*Inputs!$B$15/(1-Inputs!$B$15)</f>
        <v>0</v>
      </c>
      <c r="AX29" s="0" t="n">
        <f aca="false">AW29-AW30+AX28*Inputs!$B$15/(1-Inputs!$B$15)</f>
        <v>0</v>
      </c>
    </row>
    <row r="30" customFormat="false" ht="15" hidden="false" customHeight="false" outlineLevel="0" collapsed="false">
      <c r="A30" s="0" t="s">
        <v>42</v>
      </c>
      <c r="B30" s="0" t="n">
        <f aca="false">MIN((B21-B26-B28)*Inputs!$B$16,B29)</f>
        <v>0</v>
      </c>
      <c r="C30" s="0" t="n">
        <f aca="false">MIN((C21-C26-C28)*Inputs!$B$16,C29)</f>
        <v>0</v>
      </c>
      <c r="D30" s="0" t="n">
        <f aca="false">MIN((D21-D26-D28)*Inputs!$B$16,D29)</f>
        <v>0</v>
      </c>
      <c r="E30" s="0" t="n">
        <f aca="false">MIN((E21-E26-E28)*Inputs!$B$16,E29)</f>
        <v>0</v>
      </c>
      <c r="F30" s="0" t="n">
        <f aca="false">MIN((F21-F26-F28)*Inputs!$B$16,F29)</f>
        <v>0</v>
      </c>
      <c r="G30" s="0" t="n">
        <f aca="false">MIN((G21-G26-G28)*Inputs!$B$16,G29)</f>
        <v>0</v>
      </c>
      <c r="H30" s="0" t="n">
        <f aca="false">MIN((H21-H26-H28)*Inputs!$B$16,H29)</f>
        <v>0</v>
      </c>
      <c r="I30" s="0" t="n">
        <f aca="false">MIN((I21-I26-I28)*Inputs!$B$16,I29)</f>
        <v>0</v>
      </c>
      <c r="J30" s="0" t="n">
        <f aca="false">MIN((J21-J26-J28)*Inputs!$B$16,J29)</f>
        <v>0</v>
      </c>
      <c r="K30" s="0" t="n">
        <f aca="false">MIN((K21-K26-K28)*Inputs!$B$16,K29)</f>
        <v>0</v>
      </c>
      <c r="L30" s="0" t="n">
        <f aca="false">MIN((L21-L26-L28)*Inputs!$B$16,L29)</f>
        <v>0</v>
      </c>
      <c r="M30" s="0" t="n">
        <f aca="false">MIN((M21-M26-M28)*Inputs!$B$16,M29)</f>
        <v>0</v>
      </c>
      <c r="N30" s="0" t="n">
        <f aca="false">MIN((N21-N26-N28)*Inputs!$B$16,N29)</f>
        <v>0</v>
      </c>
      <c r="O30" s="0" t="n">
        <f aca="false">MIN((O21-O26-O28)*Inputs!$B$16,O29)</f>
        <v>0</v>
      </c>
      <c r="P30" s="0" t="n">
        <f aca="false">MIN((P21-P26-P28)*Inputs!$B$16,P29)</f>
        <v>0</v>
      </c>
      <c r="Q30" s="0" t="n">
        <f aca="false">MIN((Q21-Q26-Q28)*Inputs!$B$16,Q29)</f>
        <v>0</v>
      </c>
      <c r="R30" s="0" t="n">
        <f aca="false">MIN((R21-R26-R28)*Inputs!$B$16,R29)</f>
        <v>0</v>
      </c>
      <c r="S30" s="0" t="n">
        <f aca="false">MIN((S21-S26-S28)*Inputs!$B$16,S29)</f>
        <v>0</v>
      </c>
      <c r="T30" s="0" t="n">
        <f aca="false">MIN((T21-T26-T28)*Inputs!$B$16,T29)</f>
        <v>0</v>
      </c>
      <c r="U30" s="0" t="n">
        <f aca="false">MIN((U21-U26-U28)*Inputs!$B$16,U29)</f>
        <v>0</v>
      </c>
      <c r="V30" s="0" t="n">
        <f aca="false">MIN((V21-V26-V28)*Inputs!$B$16,V29)</f>
        <v>0</v>
      </c>
      <c r="W30" s="0" t="n">
        <f aca="false">MIN((W21-W26-W28)*Inputs!$B$16,W29)</f>
        <v>0</v>
      </c>
      <c r="X30" s="0" t="n">
        <f aca="false">MIN((X21-X26-X28)*Inputs!$B$16,X29)</f>
        <v>0</v>
      </c>
      <c r="Y30" s="0" t="n">
        <f aca="false">MIN((Y21-Y26-Y28)*Inputs!$B$16,Y29)</f>
        <v>0</v>
      </c>
      <c r="Z30" s="0" t="n">
        <f aca="false">MIN((Z21-Z26-Z28)*Inputs!$B$16,Z29)</f>
        <v>0</v>
      </c>
      <c r="AA30" s="0" t="n">
        <f aca="false">MIN((AA21-AA26-AA28)*Inputs!$B$16,AA29)</f>
        <v>0</v>
      </c>
      <c r="AB30" s="0" t="n">
        <f aca="false">MIN((AB21-AB26-AB28)*Inputs!$B$16,AB29)</f>
        <v>0</v>
      </c>
      <c r="AC30" s="0" t="n">
        <f aca="false">MIN((AC21-AC26-AC28)*Inputs!$B$16,AC29)</f>
        <v>0</v>
      </c>
      <c r="AD30" s="0" t="n">
        <f aca="false">MIN((AD21-AD26-AD28)*Inputs!$B$16,AD29)</f>
        <v>0</v>
      </c>
      <c r="AE30" s="0" t="n">
        <f aca="false">MIN((AE21-AE26-AE28)*Inputs!$B$16,AE29)</f>
        <v>0</v>
      </c>
      <c r="AF30" s="0" t="n">
        <f aca="false">MIN((AF21-AF26-AF28)*Inputs!$B$16,AF29)</f>
        <v>0</v>
      </c>
      <c r="AG30" s="0" t="n">
        <f aca="false">MIN((AG21-AG26-AG28)*Inputs!$B$16,AG29)</f>
        <v>0</v>
      </c>
      <c r="AH30" s="0" t="n">
        <f aca="false">MIN((AH21-AH26-AH28)*Inputs!$B$16,AH29)</f>
        <v>0</v>
      </c>
      <c r="AI30" s="0" t="n">
        <f aca="false">MIN((AI21-AI26-AI28)*Inputs!$B$16,AI29)</f>
        <v>0</v>
      </c>
      <c r="AJ30" s="0" t="n">
        <f aca="false">MIN((AJ21-AJ26-AJ28)*Inputs!$B$16,AJ29)</f>
        <v>0</v>
      </c>
      <c r="AK30" s="0" t="n">
        <f aca="false">MIN((AK21-AK26-AK28)*Inputs!$B$16,AK29)</f>
        <v>1448510.49841542</v>
      </c>
      <c r="AL30" s="0" t="n">
        <f aca="false">MIN((AL21-AL26-AL28)*Inputs!$B$16,AL29)</f>
        <v>2655014.6404003</v>
      </c>
      <c r="AM30" s="0" t="n">
        <f aca="false">MIN((AM21-AM26-AM28)*Inputs!$B$16,AM29)</f>
        <v>0</v>
      </c>
      <c r="AN30" s="0" t="n">
        <f aca="false">MIN((AN21-AN26-AN28)*Inputs!$B$16,AN29)</f>
        <v>0</v>
      </c>
      <c r="AO30" s="0" t="n">
        <f aca="false">MIN((AO21-AO26-AO28)*Inputs!$B$16,AO29)</f>
        <v>0</v>
      </c>
      <c r="AP30" s="0" t="n">
        <f aca="false">MIN((AP21-AP26-AP28)*Inputs!$B$16,AP29)</f>
        <v>0</v>
      </c>
      <c r="AQ30" s="0" t="n">
        <f aca="false">MIN((AQ21-AQ26-AQ28)*Inputs!$B$16,AQ29)</f>
        <v>0</v>
      </c>
      <c r="AR30" s="0" t="n">
        <f aca="false">MIN((AR21-AR26-AR28)*Inputs!$B$16,AR29)</f>
        <v>0</v>
      </c>
      <c r="AS30" s="0" t="n">
        <f aca="false">MIN((AS21-AS26-AS28)*Inputs!$B$16,AS29)</f>
        <v>0</v>
      </c>
      <c r="AT30" s="0" t="n">
        <f aca="false">MIN((AT21-AT26-AT28)*Inputs!$B$16,AT29)</f>
        <v>0</v>
      </c>
      <c r="AU30" s="0" t="n">
        <f aca="false">MIN((AU21-AU26-AU28)*Inputs!$B$16,AU29)</f>
        <v>0</v>
      </c>
      <c r="AV30" s="0" t="n">
        <f aca="false">MIN((AV21-AV26-AV28)*Inputs!$B$16,AV29)</f>
        <v>0</v>
      </c>
      <c r="AW30" s="0" t="n">
        <f aca="false">MIN((AW21-AW26-AW28)*Inputs!$B$16,AW29)</f>
        <v>0</v>
      </c>
      <c r="AX30" s="0" t="n">
        <f aca="false">MIN((AX21-AX26-AX28)*Inputs!$B$16,AX29)</f>
        <v>0</v>
      </c>
    </row>
    <row r="31" customFormat="false" ht="15" hidden="false" customHeight="false" outlineLevel="0" collapsed="false">
      <c r="A31" s="0" t="s">
        <v>43</v>
      </c>
      <c r="B31" s="0" t="n">
        <f aca="false">(B21-B26-B28-B30)*(1-Inputs!$B$15)</f>
        <v>0</v>
      </c>
      <c r="C31" s="0" t="n">
        <f aca="false">(C21-C26-C28-C30)*(1-Inputs!$B$15)</f>
        <v>0</v>
      </c>
      <c r="D31" s="0" t="n">
        <f aca="false">(D21-D26-D28-D30)*(1-Inputs!$B$15)</f>
        <v>0</v>
      </c>
      <c r="E31" s="0" t="n">
        <f aca="false">(E21-E26-E28-E30)*(1-Inputs!$B$15)</f>
        <v>0</v>
      </c>
      <c r="F31" s="0" t="n">
        <f aca="false">(F21-F26-F28-F30)*(1-Inputs!$B$15)</f>
        <v>0</v>
      </c>
      <c r="G31" s="0" t="n">
        <f aca="false">(G21-G26-G28-G30)*(1-Inputs!$B$15)</f>
        <v>0</v>
      </c>
      <c r="H31" s="0" t="n">
        <f aca="false">(H21-H26-H28-H30)*(1-Inputs!$B$15)</f>
        <v>0</v>
      </c>
      <c r="I31" s="0" t="n">
        <f aca="false">(I21-I26-I28-I30)*(1-Inputs!$B$15)</f>
        <v>0</v>
      </c>
      <c r="J31" s="0" t="n">
        <f aca="false">(J21-J26-J28-J30)*(1-Inputs!$B$15)</f>
        <v>0</v>
      </c>
      <c r="K31" s="0" t="n">
        <f aca="false">(K21-K26-K28-K30)*(1-Inputs!$B$15)</f>
        <v>0</v>
      </c>
      <c r="L31" s="0" t="n">
        <f aca="false">(L21-L26-L28-L30)*(1-Inputs!$B$15)</f>
        <v>0</v>
      </c>
      <c r="M31" s="0" t="n">
        <f aca="false">(M21-M26-M28-M30)*(1-Inputs!$B$15)</f>
        <v>0</v>
      </c>
      <c r="N31" s="0" t="n">
        <f aca="false">(N21-N26-N28-N30)*(1-Inputs!$B$15)</f>
        <v>0</v>
      </c>
      <c r="O31" s="0" t="n">
        <f aca="false">(O21-O26-O28-O30)*(1-Inputs!$B$15)</f>
        <v>0</v>
      </c>
      <c r="P31" s="0" t="n">
        <f aca="false">(P21-P26-P28-P30)*(1-Inputs!$B$15)</f>
        <v>0</v>
      </c>
      <c r="Q31" s="0" t="n">
        <f aca="false">(Q21-Q26-Q28-Q30)*(1-Inputs!$B$15)</f>
        <v>0</v>
      </c>
      <c r="R31" s="0" t="n">
        <f aca="false">(R21-R26-R28-R30)*(1-Inputs!$B$15)</f>
        <v>0</v>
      </c>
      <c r="S31" s="0" t="n">
        <f aca="false">(S21-S26-S28-S30)*(1-Inputs!$B$15)</f>
        <v>0</v>
      </c>
      <c r="T31" s="0" t="n">
        <f aca="false">(T21-T26-T28-T30)*(1-Inputs!$B$15)</f>
        <v>0</v>
      </c>
      <c r="U31" s="0" t="n">
        <f aca="false">(U21-U26-U28-U30)*(1-Inputs!$B$15)</f>
        <v>0</v>
      </c>
      <c r="V31" s="0" t="n">
        <f aca="false">(V21-V26-V28-V30)*(1-Inputs!$B$15)</f>
        <v>0</v>
      </c>
      <c r="W31" s="0" t="n">
        <f aca="false">(W21-W26-W28-W30)*(1-Inputs!$B$15)</f>
        <v>0</v>
      </c>
      <c r="X31" s="0" t="n">
        <f aca="false">(X21-X26-X28-X30)*(1-Inputs!$B$15)</f>
        <v>0</v>
      </c>
      <c r="Y31" s="0" t="n">
        <f aca="false">(Y21-Y26-Y28-Y30)*(1-Inputs!$B$15)</f>
        <v>0</v>
      </c>
      <c r="Z31" s="0" t="n">
        <f aca="false">(Z21-Z26-Z28-Z30)*(1-Inputs!$B$15)</f>
        <v>0</v>
      </c>
      <c r="AA31" s="0" t="n">
        <f aca="false">(AA21-AA26-AA28-AA30)*(1-Inputs!$B$15)</f>
        <v>0</v>
      </c>
      <c r="AB31" s="0" t="n">
        <f aca="false">(AB21-AB26-AB28-AB30)*(1-Inputs!$B$15)</f>
        <v>0</v>
      </c>
      <c r="AC31" s="0" t="n">
        <f aca="false">(AC21-AC26-AC28-AC30)*(1-Inputs!$B$15)</f>
        <v>0</v>
      </c>
      <c r="AD31" s="0" t="n">
        <f aca="false">(AD21-AD26-AD28-AD30)*(1-Inputs!$B$15)</f>
        <v>0</v>
      </c>
      <c r="AE31" s="0" t="n">
        <f aca="false">(AE21-AE26-AE28-AE30)*(1-Inputs!$B$15)</f>
        <v>0</v>
      </c>
      <c r="AF31" s="0" t="n">
        <f aca="false">(AF21-AF26-AF28-AF30)*(1-Inputs!$B$15)</f>
        <v>0</v>
      </c>
      <c r="AG31" s="0" t="n">
        <f aca="false">(AG21-AG26-AG28-AG30)*(1-Inputs!$B$15)</f>
        <v>0</v>
      </c>
      <c r="AH31" s="0" t="n">
        <f aca="false">(AH21-AH26-AH28-AH30)*(1-Inputs!$B$15)</f>
        <v>0</v>
      </c>
      <c r="AI31" s="0" t="n">
        <f aca="false">(AI21-AI26-AI28-AI30)*(1-Inputs!$B$15)</f>
        <v>0</v>
      </c>
      <c r="AJ31" s="0" t="n">
        <f aca="false">(AJ21-AJ26-AJ28-AJ30)*(1-Inputs!$B$15)</f>
        <v>0</v>
      </c>
      <c r="AK31" s="0" t="n">
        <f aca="false">(AK21-AK26-AK28-AK30)*(1-Inputs!$B$15)</f>
        <v>289702.099683084</v>
      </c>
      <c r="AL31" s="0" t="n">
        <f aca="false">(AL21-AL26-AL28-AL30)*(1-Inputs!$B$15)</f>
        <v>8305661.80693838</v>
      </c>
      <c r="AM31" s="0" t="n">
        <f aca="false">(AM21-AM26-AM28-AM30)*(1-Inputs!$B$15)</f>
        <v>10350000</v>
      </c>
      <c r="AN31" s="0" t="n">
        <f aca="false">(AN21-AN26-AN28-AN30)*(1-Inputs!$B$15)</f>
        <v>10350000</v>
      </c>
      <c r="AO31" s="0" t="n">
        <f aca="false">(AO21-AO26-AO28-AO30)*(1-Inputs!$B$15)</f>
        <v>10350000</v>
      </c>
      <c r="AP31" s="0" t="n">
        <f aca="false">(AP21-AP26-AP28-AP30)*(1-Inputs!$B$15)</f>
        <v>0</v>
      </c>
      <c r="AQ31" s="0" t="n">
        <f aca="false">(AQ21-AQ26-AQ28-AQ30)*(1-Inputs!$B$15)</f>
        <v>0</v>
      </c>
      <c r="AR31" s="0" t="n">
        <f aca="false">(AR21-AR26-AR28-AR30)*(1-Inputs!$B$15)</f>
        <v>0</v>
      </c>
      <c r="AS31" s="0" t="n">
        <f aca="false">(AS21-AS26-AS28-AS30)*(1-Inputs!$B$15)</f>
        <v>0</v>
      </c>
      <c r="AT31" s="0" t="n">
        <f aca="false">(AT21-AT26-AT28-AT30)*(1-Inputs!$B$15)</f>
        <v>0</v>
      </c>
      <c r="AU31" s="0" t="n">
        <f aca="false">(AU21-AU26-AU28-AU30)*(1-Inputs!$B$15)</f>
        <v>0</v>
      </c>
      <c r="AV31" s="0" t="n">
        <f aca="false">(AV21-AV26-AV28-AV30)*(1-Inputs!$B$15)</f>
        <v>0</v>
      </c>
      <c r="AW31" s="0" t="n">
        <f aca="false">(AW21-AW26-AW28-AW30)*(1-Inputs!$B$15)</f>
        <v>0</v>
      </c>
      <c r="AX31" s="0" t="n">
        <f aca="false">(AX21-AX26-AX28-AX30)*(1-Inputs!$B$15)</f>
        <v>0</v>
      </c>
    </row>
    <row r="32" customFormat="false" ht="15" hidden="false" customHeight="false" outlineLevel="0" collapsed="false">
      <c r="A32" s="0" t="s">
        <v>44</v>
      </c>
      <c r="B32" s="0" t="n">
        <f aca="false">(B21-B26-B28-B30)*Inputs!$B$15</f>
        <v>0</v>
      </c>
      <c r="C32" s="0" t="n">
        <f aca="false">(C21-C26-C28-C30)*Inputs!$B$15</f>
        <v>0</v>
      </c>
      <c r="D32" s="0" t="n">
        <f aca="false">(D21-D26-D28-D30)*Inputs!$B$15</f>
        <v>0</v>
      </c>
      <c r="E32" s="0" t="n">
        <f aca="false">(E21-E26-E28-E30)*Inputs!$B$15</f>
        <v>0</v>
      </c>
      <c r="F32" s="0" t="n">
        <f aca="false">(F21-F26-F28-F30)*Inputs!$B$15</f>
        <v>0</v>
      </c>
      <c r="G32" s="0" t="n">
        <f aca="false">(G21-G26-G28-G30)*Inputs!$B$15</f>
        <v>0</v>
      </c>
      <c r="H32" s="0" t="n">
        <f aca="false">(H21-H26-H28-H30)*Inputs!$B$15</f>
        <v>0</v>
      </c>
      <c r="I32" s="0" t="n">
        <f aca="false">(I21-I26-I28-I30)*Inputs!$B$15</f>
        <v>0</v>
      </c>
      <c r="J32" s="0" t="n">
        <f aca="false">(J21-J26-J28-J30)*Inputs!$B$15</f>
        <v>0</v>
      </c>
      <c r="K32" s="0" t="n">
        <f aca="false">(K21-K26-K28-K30)*Inputs!$B$15</f>
        <v>0</v>
      </c>
      <c r="L32" s="0" t="n">
        <f aca="false">(L21-L26-L28-L30)*Inputs!$B$15</f>
        <v>0</v>
      </c>
      <c r="M32" s="0" t="n">
        <f aca="false">(M21-M26-M28-M30)*Inputs!$B$15</f>
        <v>0</v>
      </c>
      <c r="N32" s="0" t="n">
        <f aca="false">(N21-N26-N28-N30)*Inputs!$B$15</f>
        <v>0</v>
      </c>
      <c r="O32" s="0" t="n">
        <f aca="false">(O21-O26-O28-O30)*Inputs!$B$15</f>
        <v>0</v>
      </c>
      <c r="P32" s="0" t="n">
        <f aca="false">(P21-P26-P28-P30)*Inputs!$B$15</f>
        <v>0</v>
      </c>
      <c r="Q32" s="0" t="n">
        <f aca="false">(Q21-Q26-Q28-Q30)*Inputs!$B$15</f>
        <v>0</v>
      </c>
      <c r="R32" s="0" t="n">
        <f aca="false">(R21-R26-R28-R30)*Inputs!$B$15</f>
        <v>0</v>
      </c>
      <c r="S32" s="0" t="n">
        <f aca="false">(S21-S26-S28-S30)*Inputs!$B$15</f>
        <v>0</v>
      </c>
      <c r="T32" s="0" t="n">
        <f aca="false">(T21-T26-T28-T30)*Inputs!$B$15</f>
        <v>0</v>
      </c>
      <c r="U32" s="0" t="n">
        <f aca="false">(U21-U26-U28-U30)*Inputs!$B$15</f>
        <v>0</v>
      </c>
      <c r="V32" s="0" t="n">
        <f aca="false">(V21-V26-V28-V30)*Inputs!$B$15</f>
        <v>0</v>
      </c>
      <c r="W32" s="0" t="n">
        <f aca="false">(W21-W26-W28-W30)*Inputs!$B$15</f>
        <v>0</v>
      </c>
      <c r="X32" s="0" t="n">
        <f aca="false">(X21-X26-X28-X30)*Inputs!$B$15</f>
        <v>0</v>
      </c>
      <c r="Y32" s="0" t="n">
        <f aca="false">(Y21-Y26-Y28-Y30)*Inputs!$B$15</f>
        <v>0</v>
      </c>
      <c r="Z32" s="0" t="n">
        <f aca="false">(Z21-Z26-Z28-Z30)*Inputs!$B$15</f>
        <v>0</v>
      </c>
      <c r="AA32" s="0" t="n">
        <f aca="false">(AA21-AA26-AA28-AA30)*Inputs!$B$15</f>
        <v>0</v>
      </c>
      <c r="AB32" s="0" t="n">
        <f aca="false">(AB21-AB26-AB28-AB30)*Inputs!$B$15</f>
        <v>0</v>
      </c>
      <c r="AC32" s="0" t="n">
        <f aca="false">(AC21-AC26-AC28-AC30)*Inputs!$B$15</f>
        <v>0</v>
      </c>
      <c r="AD32" s="0" t="n">
        <f aca="false">(AD21-AD26-AD28-AD30)*Inputs!$B$15</f>
        <v>0</v>
      </c>
      <c r="AE32" s="0" t="n">
        <f aca="false">(AE21-AE26-AE28-AE30)*Inputs!$B$15</f>
        <v>0</v>
      </c>
      <c r="AF32" s="0" t="n">
        <f aca="false">(AF21-AF26-AF28-AF30)*Inputs!$B$15</f>
        <v>0</v>
      </c>
      <c r="AG32" s="0" t="n">
        <f aca="false">(AG21-AG26-AG28-AG30)*Inputs!$B$15</f>
        <v>0</v>
      </c>
      <c r="AH32" s="0" t="n">
        <f aca="false">(AH21-AH26-AH28-AH30)*Inputs!$B$15</f>
        <v>0</v>
      </c>
      <c r="AI32" s="0" t="n">
        <f aca="false">(AI21-AI26-AI28-AI30)*Inputs!$B$15</f>
        <v>0</v>
      </c>
      <c r="AJ32" s="0" t="n">
        <f aca="false">(AJ21-AJ26-AJ28-AJ30)*Inputs!$B$15</f>
        <v>0</v>
      </c>
      <c r="AK32" s="0" t="n">
        <f aca="false">(AK21-AK26-AK28-AK30)*Inputs!$B$15</f>
        <v>72425.5249207709</v>
      </c>
      <c r="AL32" s="0" t="n">
        <f aca="false">(AL21-AL26-AL28-AL30)*Inputs!$B$15</f>
        <v>2076415.45173459</v>
      </c>
      <c r="AM32" s="0" t="n">
        <f aca="false">(AM21-AM26-AM28-AM30)*Inputs!$B$15</f>
        <v>2587500</v>
      </c>
      <c r="AN32" s="0" t="n">
        <f aca="false">(AN21-AN26-AN28-AN30)*Inputs!$B$15</f>
        <v>2587500</v>
      </c>
      <c r="AO32" s="0" t="n">
        <f aca="false">(AO21-AO26-AO28-AO30)*Inputs!$B$15</f>
        <v>2587500</v>
      </c>
      <c r="AP32" s="0" t="n">
        <f aca="false">(AP21-AP26-AP28-AP30)*Inputs!$B$15</f>
        <v>0</v>
      </c>
      <c r="AQ32" s="0" t="n">
        <f aca="false">(AQ21-AQ26-AQ28-AQ30)*Inputs!$B$15</f>
        <v>0</v>
      </c>
      <c r="AR32" s="0" t="n">
        <f aca="false">(AR21-AR26-AR28-AR30)*Inputs!$B$15</f>
        <v>0</v>
      </c>
      <c r="AS32" s="0" t="n">
        <f aca="false">(AS21-AS26-AS28-AS30)*Inputs!$B$15</f>
        <v>0</v>
      </c>
      <c r="AT32" s="0" t="n">
        <f aca="false">(AT21-AT26-AT28-AT30)*Inputs!$B$15</f>
        <v>0</v>
      </c>
      <c r="AU32" s="0" t="n">
        <f aca="false">(AU21-AU26-AU28-AU30)*Inputs!$B$15</f>
        <v>0</v>
      </c>
      <c r="AV32" s="0" t="n">
        <f aca="false">(AV21-AV26-AV28-AV30)*Inputs!$B$15</f>
        <v>0</v>
      </c>
      <c r="AW32" s="0" t="n">
        <f aca="false">(AW21-AW26-AW28-AW30)*Inputs!$B$15</f>
        <v>0</v>
      </c>
      <c r="AX32" s="0" t="n">
        <f aca="false">(AX21-AX26-AX28-AX30)*Inputs!$B$15</f>
        <v>0</v>
      </c>
    </row>
    <row r="33" customFormat="false" ht="15" hidden="false" customHeight="false" outlineLevel="0" collapsed="false">
      <c r="A33" s="0" t="s">
        <v>45</v>
      </c>
      <c r="B33" s="0" t="n">
        <f aca="false">(B26+B28+B31)*(1-Inputs!$B$13)+B31*0-B24</f>
        <v>0</v>
      </c>
      <c r="C33" s="0" t="n">
        <f aca="false">(C26+C28+C31)*(1-Inputs!$B$13)+C31*0-C24</f>
        <v>-8550000</v>
      </c>
      <c r="D33" s="0" t="n">
        <f aca="false">(D26+D28+D31)*(1-Inputs!$B$13)+D31*0-D24</f>
        <v>-8550000</v>
      </c>
      <c r="E33" s="0" t="n">
        <f aca="false">(E26+E28+E31)*(1-Inputs!$B$13)+E31*0-E24</f>
        <v>-8550000</v>
      </c>
      <c r="F33" s="0" t="n">
        <f aca="false">(F26+F28+F31)*(1-Inputs!$B$13)+F31*0-F24</f>
        <v>-8550000</v>
      </c>
      <c r="G33" s="0" t="n">
        <f aca="false">(G26+G28+G31)*(1-Inputs!$B$13)+G31*0-G24</f>
        <v>-8550000</v>
      </c>
      <c r="H33" s="0" t="n">
        <f aca="false">(H26+H28+H31)*(1-Inputs!$B$13)+H31*0-H24</f>
        <v>-8550000</v>
      </c>
      <c r="I33" s="0" t="n">
        <f aca="false">(I26+I28+I31)*(1-Inputs!$B$13)+I31*0-I24</f>
        <v>-8550000</v>
      </c>
      <c r="J33" s="0" t="n">
        <f aca="false">(J26+J28+J31)*(1-Inputs!$B$13)+J31*0-J24</f>
        <v>-8550000</v>
      </c>
      <c r="K33" s="0" t="n">
        <f aca="false">(K26+K28+K31)*(1-Inputs!$B$13)+K31*0-K24</f>
        <v>-8550000</v>
      </c>
      <c r="L33" s="0" t="n">
        <f aca="false">(L26+L28+L31)*(1-Inputs!$B$13)+L31*0-L24</f>
        <v>-5130000</v>
      </c>
      <c r="M33" s="0" t="n">
        <f aca="false">(M26+M28+M31)*(1-Inputs!$B$13)+M31*0-M24</f>
        <v>0</v>
      </c>
      <c r="N33" s="0" t="n">
        <f aca="false">(N26+N28+N31)*(1-Inputs!$B$13)+N31*0-N24</f>
        <v>0</v>
      </c>
      <c r="O33" s="0" t="n">
        <f aca="false">(O26+O28+O31)*(1-Inputs!$B$13)+O31*0-O24</f>
        <v>0</v>
      </c>
      <c r="P33" s="0" t="n">
        <f aca="false">(P26+P28+P31)*(1-Inputs!$B$13)+P31*0-P24</f>
        <v>0</v>
      </c>
      <c r="Q33" s="0" t="n">
        <f aca="false">(Q26+Q28+Q31)*(1-Inputs!$B$13)+Q31*0-Q24</f>
        <v>0</v>
      </c>
      <c r="R33" s="0" t="n">
        <f aca="false">(R26+R28+R31)*(1-Inputs!$B$13)+R31*0-R24</f>
        <v>0</v>
      </c>
      <c r="S33" s="0" t="n">
        <f aca="false">(S26+S28+S31)*(1-Inputs!$B$13)+S31*0-S24</f>
        <v>0</v>
      </c>
      <c r="T33" s="0" t="n">
        <f aca="false">(T26+T28+T31)*(1-Inputs!$B$13)+T31*0-T24</f>
        <v>0</v>
      </c>
      <c r="U33" s="0" t="n">
        <f aca="false">(U26+U28+U31)*(1-Inputs!$B$13)+U31*0-U24</f>
        <v>0</v>
      </c>
      <c r="V33" s="0" t="n">
        <f aca="false">(V26+V28+V31)*(1-Inputs!$B$13)+V31*0-V24</f>
        <v>0</v>
      </c>
      <c r="W33" s="0" t="n">
        <f aca="false">(W26+W28+W31)*(1-Inputs!$B$13)+W31*0-W24</f>
        <v>0</v>
      </c>
      <c r="X33" s="0" t="n">
        <f aca="false">(X26+X28+X31)*(1-Inputs!$B$13)+X31*0-X24</f>
        <v>0</v>
      </c>
      <c r="Y33" s="0" t="n">
        <f aca="false">(Y26+Y28+Y31)*(1-Inputs!$B$13)+Y31*0-Y24</f>
        <v>0</v>
      </c>
      <c r="Z33" s="0" t="n">
        <f aca="false">(Z26+Z28+Z31)*(1-Inputs!$B$13)+Z31*0-Z24</f>
        <v>0</v>
      </c>
      <c r="AA33" s="0" t="n">
        <f aca="false">(AA26+AA28+AA31)*(1-Inputs!$B$13)+AA31*0-AA24</f>
        <v>0</v>
      </c>
      <c r="AB33" s="0" t="n">
        <f aca="false">(AB26+AB28+AB31)*(1-Inputs!$B$13)+AB31*0-AB24</f>
        <v>0</v>
      </c>
      <c r="AC33" s="0" t="n">
        <f aca="false">(AC26+AC28+AC31)*(1-Inputs!$B$13)+AC31*0-AC24</f>
        <v>0</v>
      </c>
      <c r="AD33" s="0" t="n">
        <f aca="false">(AD26+AD28+AD31)*(1-Inputs!$B$13)+AD31*0-AD24</f>
        <v>0</v>
      </c>
      <c r="AE33" s="0" t="n">
        <f aca="false">(AE26+AE28+AE31)*(1-Inputs!$B$13)+AE31*0-AE24</f>
        <v>1068501.74436803</v>
      </c>
      <c r="AF33" s="0" t="n">
        <f aca="false">(AF26+AF28+AF31)*(1-Inputs!$B$13)+AF31*0-AF24</f>
        <v>16387500</v>
      </c>
      <c r="AG33" s="0" t="n">
        <f aca="false">(AG26+AG28+AG31)*(1-Inputs!$B$13)+AG31*0-AG24</f>
        <v>16387500</v>
      </c>
      <c r="AH33" s="0" t="n">
        <f aca="false">(AH26+AH28+AH31)*(1-Inputs!$B$13)+AH31*0-AH24</f>
        <v>16387500</v>
      </c>
      <c r="AI33" s="0" t="n">
        <f aca="false">(AI26+AI28+AI31)*(1-Inputs!$B$13)+AI31*0-AI24</f>
        <v>16387500</v>
      </c>
      <c r="AJ33" s="0" t="n">
        <f aca="false">(AJ26+AJ28+AJ31)*(1-Inputs!$B$13)+AJ31*0-AJ24</f>
        <v>16387500</v>
      </c>
      <c r="AK33" s="0" t="n">
        <f aca="false">(AK26+AK28+AK31)*(1-Inputs!$B$13)+AK31*0-AK24</f>
        <v>14942610.7778306</v>
      </c>
      <c r="AL33" s="0" t="n">
        <f aca="false">(AL26+AL28+AL31)*(1-Inputs!$B$13)+AL31*0-AL24</f>
        <v>7890378.71659146</v>
      </c>
      <c r="AM33" s="0" t="n">
        <f aca="false">(AM26+AM28+AM31)*(1-Inputs!$B$13)+AM31*0-AM24</f>
        <v>9832500</v>
      </c>
      <c r="AN33" s="0" t="n">
        <f aca="false">(AN26+AN28+AN31)*(1-Inputs!$B$13)+AN31*0-AN24</f>
        <v>9832500</v>
      </c>
      <c r="AO33" s="0" t="n">
        <f aca="false">(AO26+AO28+AO31)*(1-Inputs!$B$13)+AO31*0-AO24</f>
        <v>9832500</v>
      </c>
      <c r="AP33" s="0" t="n">
        <f aca="false">(AP26+AP28+AP31)*(1-Inputs!$B$13)+AP31*0-AP24</f>
        <v>0</v>
      </c>
      <c r="AQ33" s="0" t="n">
        <f aca="false">(AQ26+AQ28+AQ31)*(1-Inputs!$B$13)+AQ31*0-AQ24</f>
        <v>0</v>
      </c>
      <c r="AR33" s="0" t="n">
        <f aca="false">(AR26+AR28+AR31)*(1-Inputs!$B$13)+AR31*0-AR24</f>
        <v>0</v>
      </c>
      <c r="AS33" s="0" t="n">
        <f aca="false">(AS26+AS28+AS31)*(1-Inputs!$B$13)+AS31*0-AS24</f>
        <v>0</v>
      </c>
      <c r="AT33" s="0" t="n">
        <f aca="false">(AT26+AT28+AT31)*(1-Inputs!$B$13)+AT31*0-AT24</f>
        <v>0</v>
      </c>
      <c r="AU33" s="0" t="n">
        <f aca="false">(AU26+AU28+AU31)*(1-Inputs!$B$13)+AU31*0-AU24</f>
        <v>0</v>
      </c>
      <c r="AV33" s="0" t="n">
        <f aca="false">(AV26+AV28+AV31)*(1-Inputs!$B$13)+AV31*0-AV24</f>
        <v>0</v>
      </c>
      <c r="AW33" s="0" t="n">
        <f aca="false">(AW26+AW28+AW31)*(1-Inputs!$B$13)+AW31*0-AW24</f>
        <v>0</v>
      </c>
      <c r="AX33" s="0" t="n">
        <f aca="false">(AX26+AX28+AX31)*(1-Inputs!$B$13)+AX31*0-AX24</f>
        <v>0</v>
      </c>
    </row>
    <row r="34" customFormat="false" ht="15" hidden="false" customHeight="false" outlineLevel="0" collapsed="false">
      <c r="A34" s="0" t="s">
        <v>46</v>
      </c>
      <c r="B34" s="0" t="n">
        <f aca="false">B23-B33</f>
        <v>0</v>
      </c>
      <c r="C34" s="0" t="n">
        <f aca="false">C23-C33</f>
        <v>-450000</v>
      </c>
      <c r="D34" s="0" t="n">
        <f aca="false">D23-D33</f>
        <v>-450000</v>
      </c>
      <c r="E34" s="0" t="n">
        <f aca="false">E23-E33</f>
        <v>-450000</v>
      </c>
      <c r="F34" s="0" t="n">
        <f aca="false">F23-F33</f>
        <v>-450000</v>
      </c>
      <c r="G34" s="0" t="n">
        <f aca="false">G23-G33</f>
        <v>-450000</v>
      </c>
      <c r="H34" s="0" t="n">
        <f aca="false">H23-H33</f>
        <v>-450000</v>
      </c>
      <c r="I34" s="0" t="n">
        <f aca="false">I23-I33</f>
        <v>-450000</v>
      </c>
      <c r="J34" s="0" t="n">
        <f aca="false">J23-J33</f>
        <v>-450000</v>
      </c>
      <c r="K34" s="0" t="n">
        <f aca="false">K23-K33</f>
        <v>-450000</v>
      </c>
      <c r="L34" s="0" t="n">
        <f aca="false">L23-L33</f>
        <v>-270000</v>
      </c>
      <c r="M34" s="0" t="n">
        <f aca="false">M23-M33</f>
        <v>0</v>
      </c>
      <c r="N34" s="0" t="n">
        <f aca="false">N23-N33</f>
        <v>0</v>
      </c>
      <c r="O34" s="0" t="n">
        <f aca="false">O23-O33</f>
        <v>0</v>
      </c>
      <c r="P34" s="0" t="n">
        <f aca="false">P23-P33</f>
        <v>0</v>
      </c>
      <c r="Q34" s="0" t="n">
        <f aca="false">Q23-Q33</f>
        <v>0</v>
      </c>
      <c r="R34" s="0" t="n">
        <f aca="false">R23-R33</f>
        <v>0</v>
      </c>
      <c r="S34" s="0" t="n">
        <f aca="false">S23-S33</f>
        <v>0</v>
      </c>
      <c r="T34" s="0" t="n">
        <f aca="false">T23-T33</f>
        <v>0</v>
      </c>
      <c r="U34" s="0" t="n">
        <f aca="false">U23-U33</f>
        <v>0</v>
      </c>
      <c r="V34" s="0" t="n">
        <f aca="false">V23-V33</f>
        <v>0</v>
      </c>
      <c r="W34" s="0" t="n">
        <f aca="false">W23-W33</f>
        <v>0</v>
      </c>
      <c r="X34" s="0" t="n">
        <f aca="false">X23-X33</f>
        <v>0</v>
      </c>
      <c r="Y34" s="0" t="n">
        <f aca="false">Y23-Y33</f>
        <v>0</v>
      </c>
      <c r="Z34" s="0" t="n">
        <f aca="false">Z23-Z33</f>
        <v>0</v>
      </c>
      <c r="AA34" s="0" t="n">
        <f aca="false">AA23-AA33</f>
        <v>0</v>
      </c>
      <c r="AB34" s="0" t="n">
        <f aca="false">AB23-AB33</f>
        <v>0</v>
      </c>
      <c r="AC34" s="0" t="n">
        <f aca="false">AC23-AC33</f>
        <v>0</v>
      </c>
      <c r="AD34" s="0" t="n">
        <f aca="false">AD23-AD33</f>
        <v>0</v>
      </c>
      <c r="AE34" s="0" t="n">
        <f aca="false">AE23-AE33</f>
        <v>56236.933914107</v>
      </c>
      <c r="AF34" s="0" t="n">
        <f aca="false">AF23-AF33</f>
        <v>862500</v>
      </c>
      <c r="AG34" s="0" t="n">
        <f aca="false">AG23-AG33</f>
        <v>862500</v>
      </c>
      <c r="AH34" s="0" t="n">
        <f aca="false">AH23-AH33</f>
        <v>862500</v>
      </c>
      <c r="AI34" s="0" t="n">
        <f aca="false">AI23-AI33</f>
        <v>862500</v>
      </c>
      <c r="AJ34" s="0" t="n">
        <f aca="false">AJ23-AJ33</f>
        <v>862500</v>
      </c>
      <c r="AK34" s="0" t="n">
        <f aca="false">AK23-AK33</f>
        <v>2307389.22216938</v>
      </c>
      <c r="AL34" s="0" t="n">
        <f aca="false">AL23-AL33</f>
        <v>5146713.18248181</v>
      </c>
      <c r="AM34" s="0" t="n">
        <f aca="false">AM23-AM33</f>
        <v>3105000</v>
      </c>
      <c r="AN34" s="0" t="n">
        <f aca="false">AN23-AN33</f>
        <v>3105000</v>
      </c>
      <c r="AO34" s="0" t="n">
        <f aca="false">AO23-AO33</f>
        <v>3105000</v>
      </c>
      <c r="AP34" s="0" t="n">
        <f aca="false">AP23-AP33</f>
        <v>0</v>
      </c>
      <c r="AQ34" s="0" t="n">
        <f aca="false">AQ23-AQ33</f>
        <v>0</v>
      </c>
      <c r="AR34" s="0" t="n">
        <f aca="false">AR23-AR33</f>
        <v>0</v>
      </c>
      <c r="AS34" s="0" t="n">
        <f aca="false">AS23-AS33</f>
        <v>0</v>
      </c>
      <c r="AT34" s="0" t="n">
        <f aca="false">AT23-AT33</f>
        <v>0</v>
      </c>
      <c r="AU34" s="0" t="n">
        <f aca="false">AU23-AU33</f>
        <v>0</v>
      </c>
      <c r="AV34" s="0" t="n">
        <f aca="false">AV23-AV33</f>
        <v>0</v>
      </c>
      <c r="AW34" s="0" t="n">
        <f aca="false">AW23-AW33</f>
        <v>0</v>
      </c>
      <c r="AX34" s="0" t="n">
        <f aca="false">AX23-AX33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47</v>
      </c>
      <c r="B3" s="2" t="n">
        <f aca="false">(1+IRR('Cash Flow'!B13:AX13,0.01))^12-1</f>
        <v>0.332911599529337</v>
      </c>
    </row>
    <row r="4" customFormat="false" ht="15" hidden="false" customHeight="false" outlineLevel="0" collapsed="false">
      <c r="A4" s="0" t="s">
        <v>48</v>
      </c>
      <c r="B4" s="2" t="n">
        <f aca="false">(1+IRR('Cash Flow'!B23:AX23,0.01))^12-1</f>
        <v>0.28060352265542</v>
      </c>
    </row>
    <row r="5" customFormat="false" ht="15" hidden="false" customHeight="false" outlineLevel="0" collapsed="false">
      <c r="A5" s="0" t="s">
        <v>49</v>
      </c>
      <c r="B5" s="2" t="n">
        <f aca="false">(1+IRR('Cash Flow'!B33:AX33,0.01))^12-1</f>
        <v>0.23403863513655</v>
      </c>
    </row>
    <row r="6" customFormat="false" ht="15" hidden="false" customHeight="false" outlineLevel="0" collapsed="false">
      <c r="A6" s="0" t="s">
        <v>50</v>
      </c>
      <c r="B6" s="2" t="n">
        <f aca="false">(1+IRR('Cash Flow'!B34:AX34,0.01))^12-1</f>
        <v>0.861476063750179</v>
      </c>
    </row>
    <row r="7" customFormat="false" ht="15" hidden="false" customHeight="false" outlineLevel="0" collapsed="false">
      <c r="A7" s="0" t="s">
        <v>51</v>
      </c>
      <c r="B7" s="4" t="n">
        <f aca="false">SUMIF('Cash Flow'!B33:AX33,"&gt;0")/-SUMIF('Cash Flow'!B33:AX33,"&lt;0")</f>
        <v>1.64883639423477</v>
      </c>
    </row>
    <row r="8" customFormat="false" ht="15" hidden="false" customHeight="false" outlineLevel="0" collapsed="false">
      <c r="A8" s="0" t="s">
        <v>52</v>
      </c>
      <c r="B8" s="1" t="n">
        <f aca="false">SUM('Cash Flow'!B20:AX20)</f>
        <v>19056009.0010297</v>
      </c>
    </row>
    <row r="9" customFormat="false" ht="15" hidden="false" customHeight="false" outlineLevel="0" collapsed="false">
      <c r="A9" s="0" t="s">
        <v>53</v>
      </c>
      <c r="B9" s="1" t="n">
        <f aca="false">SUM('Cash Flow'!B30:AX30)+SUM('Cash Flow'!B32:AX32)</f>
        <v>14014866.1154711</v>
      </c>
    </row>
    <row r="10" customFormat="false" ht="15" hidden="false" customHeight="false" outlineLevel="0" collapsed="false">
      <c r="A10" s="0" t="s">
        <v>54</v>
      </c>
      <c r="B10" s="1" t="n">
        <f aca="false">SUM('Cash Flow'!B5:AX5)</f>
        <v>8083623.69079764</v>
      </c>
    </row>
    <row r="11" customFormat="false" ht="15" hidden="false" customHeight="false" outlineLevel="0" collapsed="false">
      <c r="A11" s="0" t="s">
        <v>55</v>
      </c>
      <c r="B11" s="1" t="n">
        <f aca="false">MAX('Cash Flow'!B12:AX12)</f>
        <v>118044296.263407</v>
      </c>
    </row>
    <row r="12" customFormat="false" ht="15" hidden="false" customHeight="false" outlineLevel="0" collapsed="false">
      <c r="A12" s="0" t="s">
        <v>56</v>
      </c>
      <c r="B12" s="1" t="n">
        <f aca="false">SUM('Cash Flow'!B13:AX13)</f>
        <v>96916376.3092024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2026-10-17T14:18:32Z</dcterms:created>
  <dc:creator>openpyxl</dc:creator>
  <dc:description/>
  <dc:language>en-US</dc:language>
  <cp:lastModifiedBy/>
  <dcterms:modified xsi:type="dcterms:W3CDTF">2026-10-17T14:18:32Z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