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tur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<sst xmlns="http://schemas.openxmlformats.org/spreadsheetml/2006/main" count="11" uniqueCount="11">
  <si>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Units</t>
  </si>
  <si>
    <t xml:space="preserve">Price per unit</t>
  </si>
  <si>
    <t xml:space="preserve">Build cost per unit</t>
  </si>
  <si>
    <t xml:space="preserve">Phasing step</t>
  </si>
  <si>
    <t xml:space="preserve">Growth</t>
  </si>
  <si>
    <t xml:space="preserve">Gross revenue</t>
  </si>
  <si>
    <t xml:space="preserve">Total cost</t>
  </si>
  <si>
    <t xml:space="preserve">Net profit</t>
  </si>
  <si>
    <t xml:space="preserve">Profit on cost</t>
  </si>
  <si>
    <t xml:space="preserve">Phase size (units)</t>
  </si>
  <si>
    <t xml:space="preserve">Risk score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</si>
</sst>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v>120</v>
      </c>
    </row>
    <row r="2" customFormat="false" ht="15" hidden="false" customHeight="false" outlineLevel="0" collapsed="false">
      <c r="A2" s="0" t="s">
        <v>1</v>
      </c>
      <c r="B2" s="0" t="n">
        <v>450000</v>
      </c>
    </row>
    <row r="3" customFormat="false" ht="15" hidden="false" customHeight="false" outlineLevel="0" collapsed="false">
      <c r="A3" s="0" t="s">
        <v>2</v>
      </c>
      <c r="B3" s="0" t="n">
        <v>300000</v>
      </c>
    </row>
    <row r="4" customFormat="false" ht="15" hidden="false" customHeight="false" outlineLevel="0" collapsed="false">
      <c r="A4" s="0" t="s">
        <v>3</v>
      </c>
      <c r="B4" s="0" t="n">
        <v>24</v>
      </c>
    </row>
    <row r="5" customFormat="false" ht="15" hidden="false" customHeight="false" outlineLevel="0" collapsed="false">
      <c r="A5" s="0" t="s">
        <v>4</v>
      </c>
      <c r="B5" s="0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n">
        <f aca="false">Inputs!B1*Inputs!B2*(1+Inputs!B5)</f>
        <v>55620000</v>
      </c>
    </row>
    <row r="2" customFormat="false" ht="15" hidden="false" customHeight="false" outlineLevel="0" collapsed="false">
      <c r="A2" s="0" t="s">
        <v>6</v>
      </c>
      <c r="B2" s="0" t="n">
        <f aca="false">Inputs!B1*Inputs!B3</f>
        <v>36000000</v>
      </c>
    </row>
    <row r="3" customFormat="false" ht="15" hidden="false" customHeight="false" outlineLevel="0" collapsed="false">
      <c r="A3" s="0" t="s">
        <v>7</v>
      </c>
      <c r="B3" s="0" t="n">
        <f aca="false">B1-B2</f>
        <v>19620000</v>
      </c>
    </row>
    <row r="4" customFormat="false" ht="15" hidden="false" customHeight="false" outlineLevel="0" collapsed="false">
      <c r="A4" s="0" t="s">
        <v>8</v>
      </c>
      <c r="B4" s="0" t="n">
        <f aca="false">B3/B2</f>
        <v>0.545</v>
      </c>
    </row>
    <row r="5" customFormat="false" ht="15" hidden="false" customHeight="false" outlineLevel="0" collapsed="false">
      <c r="A5" s="0" t="s">
        <v>9</v>
      </c>
      <c r="B5" s="0" t="n">
        <f aca="false">GCD(Inputs!B1,Inputs!B4)</f>
        <v>24</v>
      </c>
    </row>
    <row r="6" customFormat="false" ht="15" hidden="false" customHeight="false" outlineLevel="0" collapsed="false">
      <c r="A6" s="0" t="s">
        <v>10</v>
      </c>
      <c r="B6" s="0" t="n">
        <f aca="false">FISHER(MIN(0.9,B4))</f>
        <v>0.611240885190448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2026-10-17T19:06:09Z</dcterms:created>
  <dc:creator>openpyxl</dc:creator>
  <dc:description/>
  <dc:language>en-US</dc:language>
  <cp:lastModifiedBy/>
  <dcterms:modified xsi:type="dcterms:W3CDTF">2026-10-17T19:06:09Z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