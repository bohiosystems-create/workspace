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rms" sheetId="1" state="visible" r:id="rId3"/>
    <sheet name="Deals" sheetId="2" state="visible" r:id="rId4"/>
    <sheet name="Fund" sheetId="3" state="visible" r:id="rId5"/>
    <sheet name="Waterfall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<sst xmlns="http://schemas.openxmlformats.org/spreadsheetml/2006/main" count="50" uniqueCount="47">
  <si>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MERIDIAN REAL ESTATE FUND III – CLOSED-ENDED (EUR)</t>
  </si>
  <si>
    <t xml:space="preserve">Commitments (EUR)</t>
  </si>
  <si>
    <t xml:space="preserve">Management fee on commitments, years 1–4</t>
  </si>
  <si>
    <t xml:space="preserve">Management fee on invested capital after year 4</t>
  </si>
  <si>
    <t xml:space="preserve">Preferred return</t>
  </si>
  <si>
    <t xml:space="preserve">Carried interest</t>
  </si>
  <si>
    <t xml:space="preserve">GP catch-up</t>
  </si>
  <si>
    <t xml:space="preserve">Gross exit multiple on deals</t>
  </si>
  <si>
    <t xml:space="preserve">Deal</t>
  </si>
  <si>
    <t xml:space="preserve">Equity (EUR)</t>
  </si>
  <si>
    <t xml:space="preserve">Invest year</t>
  </si>
  <si>
    <t xml:space="preserve">Exit year</t>
  </si>
  <si>
    <t xml:space="preserve">Yield to equity</t>
  </si>
  <si>
    <t xml:space="preserve">Madrid offices</t>
  </si>
  <si>
    <t xml:space="preserve">Lyon logistics</t>
  </si>
  <si>
    <t xml:space="preserve">Milan resi</t>
  </si>
  <si>
    <t xml:space="preserve">Berlin student</t>
  </si>
  <si>
    <t xml:space="preserve">Warsaw retail</t>
  </si>
  <si>
    <t xml:space="preserve">Lisbon hotel</t>
  </si>
  <si>
    <t xml:space="preserve">Year</t>
  </si>
  <si>
    <t xml:space="preserve">Invested</t>
  </si>
  <si>
    <t xml:space="preserve">Income</t>
  </si>
  <si>
    <t xml:space="preserve">Exit proceeds</t>
  </si>
  <si>
    <t xml:space="preserve">Management fee</t>
  </si>
  <si>
    <t xml:space="preserve">Capital called</t>
  </si>
  <si>
    <t xml:space="preserve">Distributions</t>
  </si>
  <si>
    <t xml:space="preserve">Net cash to LPs</t>
  </si>
  <si>
    <t xml:space="preserve">Cumulative called</t>
  </si>
  <si>
    <t xml:space="preserve">Cumulative distributed</t>
  </si>
  <si>
    <t xml:space="preserve">Unrealised value</t>
  </si>
  <si>
    <t xml:space="preserve">DPI</t>
  </si>
  <si>
    <t xml:space="preserve">RVPI</t>
  </si>
  <si>
    <t xml:space="preserve">TVPI</t>
  </si>
  <si>
    <t xml:space="preserve">Total called</t>
  </si>
  <si>
    <t xml:space="preserve">Total distributed</t>
  </si>
  <si>
    <t xml:space="preserve">Profit</t>
  </si>
  <si>
    <t xml:space="preserve">Split above</t>
  </si>
  <si>
    <t xml:space="preserve">Carry if it were a fifth of profit</t>
  </si>
  <si>
    <t xml:space="preserve">Clawback</t>
  </si>
  <si>
    <t xml:space="preserve">Net to LPs</t>
  </si>
  <si>
    <t xml:space="preserve">Net IRR to LPs</t>
  </si>
  <si>
    <t xml:space="preserve">TVPI at year 10</t>
  </si>
  <si>
    <t xml:space="preserve">DPI at year 5</t>
  </si>
  <si>
    <t xml:space="preserve">RVPI at year 5</t>
  </si>
  <si>
    <t xml:space="preserve">Carried interest (EUR)</t>
  </si>
  <si>
    <t xml:space="preserve">Clawback (EUR)</t>
  </si>
  <si>
    <t xml:space="preserve">Peak capital called (EUR)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</si>
</sst>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400000000</v>
      </c>
    </row>
    <row r="4" customFormat="false" ht="15" hidden="false" customHeight="false" outlineLevel="0" collapsed="false">
      <c r="A4" s="0" t="s">
        <v>2</v>
      </c>
      <c r="B4" s="2" t="n">
        <v>0.015</v>
      </c>
    </row>
    <row r="5" customFormat="false" ht="15" hidden="false" customHeight="false" outlineLevel="0" collapsed="false">
      <c r="A5" s="0" t="s">
        <v>3</v>
      </c>
      <c r="B5" s="2" t="n">
        <v>0.01</v>
      </c>
    </row>
    <row r="6" customFormat="false" ht="15" hidden="false" customHeight="false" outlineLevel="0" collapsed="false">
      <c r="A6" s="0" t="s">
        <v>4</v>
      </c>
      <c r="B6" s="2" t="n">
        <v>0.08</v>
      </c>
    </row>
    <row r="7" customFormat="false" ht="15" hidden="false" customHeight="false" outlineLevel="0" collapsed="false">
      <c r="A7" s="0" t="s">
        <v>5</v>
      </c>
      <c r="B7" s="2" t="n">
        <v>0.2</v>
      </c>
    </row>
    <row r="8" customFormat="false" ht="15" hidden="false" customHeight="false" outlineLevel="0" collapsed="false">
      <c r="A8" s="0" t="s">
        <v>6</v>
      </c>
      <c r="B8" s="2" t="n">
        <v>1</v>
      </c>
    </row>
    <row r="9" customFormat="false" ht="15" hidden="false" customHeight="false" outlineLevel="0" collapsed="false">
      <c r="A9" s="0" t="s">
        <v>7</v>
      </c>
      <c r="B9" s="3" t="n">
        <v>1.75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</row>
    <row r="2" customFormat="false" ht="15" hidden="false" customHeight="false" outlineLevel="0" collapsed="false">
      <c r="A2" s="0" t="s">
        <v>13</v>
      </c>
      <c r="B2" s="0" t="n">
        <v>62000000</v>
      </c>
      <c r="C2" s="0" t="n">
        <v>1</v>
      </c>
      <c r="D2" s="0" t="n">
        <v>5</v>
      </c>
      <c r="E2" s="2" t="n">
        <v>0.045</v>
      </c>
    </row>
    <row r="3" customFormat="false" ht="15" hidden="false" customHeight="false" outlineLevel="0" collapsed="false">
      <c r="A3" s="0" t="s">
        <v>14</v>
      </c>
      <c r="B3" s="0" t="n">
        <v>48000000</v>
      </c>
      <c r="C3" s="0" t="n">
        <v>1</v>
      </c>
      <c r="D3" s="0" t="n">
        <v>6</v>
      </c>
      <c r="E3" s="2" t="n">
        <v>0.055</v>
      </c>
    </row>
    <row r="4" customFormat="false" ht="15" hidden="false" customHeight="false" outlineLevel="0" collapsed="false">
      <c r="A4" s="0" t="s">
        <v>15</v>
      </c>
      <c r="B4" s="0" t="n">
        <v>71000000</v>
      </c>
      <c r="C4" s="0" t="n">
        <v>2</v>
      </c>
      <c r="D4" s="0" t="n">
        <v>6</v>
      </c>
      <c r="E4" s="2" t="n">
        <v>0.04</v>
      </c>
    </row>
    <row r="5" customFormat="false" ht="15" hidden="false" customHeight="false" outlineLevel="0" collapsed="false">
      <c r="A5" s="0" t="s">
        <v>16</v>
      </c>
      <c r="B5" s="0" t="n">
        <v>39000000</v>
      </c>
      <c r="C5" s="0" t="n">
        <v>2</v>
      </c>
      <c r="D5" s="0" t="n">
        <v>7</v>
      </c>
      <c r="E5" s="2" t="n">
        <v>0.05</v>
      </c>
    </row>
    <row r="6" customFormat="false" ht="15" hidden="false" customHeight="false" outlineLevel="0" collapsed="false">
      <c r="A6" s="0" t="s">
        <v>17</v>
      </c>
      <c r="B6" s="0" t="n">
        <v>44000000</v>
      </c>
      <c r="C6" s="0" t="n">
        <v>3</v>
      </c>
      <c r="D6" s="0" t="n">
        <v>7</v>
      </c>
      <c r="E6" s="2" t="n">
        <v>0.065</v>
      </c>
    </row>
    <row r="7" customFormat="false" ht="15" hidden="false" customHeight="false" outlineLevel="0" collapsed="false">
      <c r="A7" s="0" t="s">
        <v>18</v>
      </c>
      <c r="B7" s="0" t="n">
        <v>56000000</v>
      </c>
      <c r="C7" s="0" t="n">
        <v>3</v>
      </c>
      <c r="D7" s="0" t="n">
        <v>8</v>
      </c>
      <c r="E7" s="2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20</v>
      </c>
      <c r="B4" s="0" t="n">
        <f aca="false">SUMIF(Deals!$C$2:$C$7,B$3,Deals!$B$2:$B$7)</f>
        <v>0</v>
      </c>
      <c r="C4" s="0" t="n">
        <f aca="false">SUMIF(Deals!$C$2:$C$7,C$3,Deals!$B$2:$B$7)</f>
        <v>110000000</v>
      </c>
      <c r="D4" s="0" t="n">
        <f aca="false">SUMIF(Deals!$C$2:$C$7,D$3,Deals!$B$2:$B$7)</f>
        <v>110000000</v>
      </c>
      <c r="E4" s="0" t="n">
        <f aca="false">SUMIF(Deals!$C$2:$C$7,E$3,Deals!$B$2:$B$7)</f>
        <v>100000000</v>
      </c>
      <c r="F4" s="0" t="n">
        <f aca="false">SUMIF(Deals!$C$2:$C$7,F$3,Deals!$B$2:$B$7)</f>
        <v>0</v>
      </c>
      <c r="G4" s="0" t="n">
        <f aca="false">SUMIF(Deals!$C$2:$C$7,G$3,Deals!$B$2:$B$7)</f>
        <v>0</v>
      </c>
      <c r="H4" s="0" t="n">
        <f aca="false">SUMIF(Deals!$C$2:$C$7,H$3,Deals!$B$2:$B$7)</f>
        <v>0</v>
      </c>
      <c r="I4" s="0" t="n">
        <f aca="false">SUMIF(Deals!$C$2:$C$7,I$3,Deals!$B$2:$B$7)</f>
        <v>0</v>
      </c>
      <c r="J4" s="0" t="n">
        <f aca="false">SUMIF(Deals!$C$2:$C$7,J$3,Deals!$B$2:$B$7)</f>
        <v>0</v>
      </c>
      <c r="K4" s="0" t="n">
        <f aca="false">SUMIF(Deals!$C$2:$C$7,K$3,Deals!$B$2:$B$7)</f>
        <v>0</v>
      </c>
      <c r="L4" s="0" t="n">
        <f aca="false">SUMIF(Deals!$C$2:$C$7,L$3,Deals!$B$2:$B$7)</f>
        <v>0</v>
      </c>
    </row>
    <row r="5" customFormat="false" ht="15" hidden="false" customHeight="false" outlineLevel="0" collapsed="false">
      <c r="A5" s="0" t="s">
        <v>21</v>
      </c>
      <c r="B5" s="0" t="n">
        <f aca="false">SUMPRODUCT((Deals!$C$2:$C$7&lt;B$3)*(Deals!$D$2:$D$7&gt;=B$3)*Deals!$B$2:$B$7*Deals!$E$2:$E$7)</f>
        <v>0</v>
      </c>
      <c r="C5" s="0" t="n">
        <f aca="false">SUMPRODUCT((Deals!$C$2:$C$7&lt;C$3)*(Deals!$D$2:$D$7&gt;=C$3)*Deals!$B$2:$B$7*Deals!$E$2:$E$7)</f>
        <v>0</v>
      </c>
      <c r="D5" s="0" t="n">
        <f aca="false">SUMPRODUCT((Deals!$C$2:$C$7&lt;D$3)*(Deals!$D$2:$D$7&gt;=D$3)*Deals!$B$2:$B$7*Deals!$E$2:$E$7)</f>
        <v>5430000</v>
      </c>
      <c r="E5" s="0" t="n">
        <f aca="false">SUMPRODUCT((Deals!$C$2:$C$7&lt;E$3)*(Deals!$D$2:$D$7&gt;=E$3)*Deals!$B$2:$B$7*Deals!$E$2:$E$7)</f>
        <v>10220000</v>
      </c>
      <c r="F5" s="0" t="n">
        <f aca="false">SUMPRODUCT((Deals!$C$2:$C$7&lt;F$3)*(Deals!$D$2:$D$7&gt;=F$3)*Deals!$B$2:$B$7*Deals!$E$2:$E$7)</f>
        <v>14760000</v>
      </c>
      <c r="G5" s="0" t="n">
        <f aca="false">SUMPRODUCT((Deals!$C$2:$C$7&lt;G$3)*(Deals!$D$2:$D$7&gt;=G$3)*Deals!$B$2:$B$7*Deals!$E$2:$E$7)</f>
        <v>14760000</v>
      </c>
      <c r="H5" s="0" t="n">
        <f aca="false">SUMPRODUCT((Deals!$C$2:$C$7&lt;H$3)*(Deals!$D$2:$D$7&gt;=H$3)*Deals!$B$2:$B$7*Deals!$E$2:$E$7)</f>
        <v>11970000</v>
      </c>
      <c r="I5" s="0" t="n">
        <f aca="false">SUMPRODUCT((Deals!$C$2:$C$7&lt;I$3)*(Deals!$D$2:$D$7&gt;=I$3)*Deals!$B$2:$B$7*Deals!$E$2:$E$7)</f>
        <v>6490000</v>
      </c>
      <c r="J5" s="0" t="n">
        <f aca="false">SUMPRODUCT((Deals!$C$2:$C$7&lt;J$3)*(Deals!$D$2:$D$7&gt;=J$3)*Deals!$B$2:$B$7*Deals!$E$2:$E$7)</f>
        <v>1680000</v>
      </c>
      <c r="K5" s="0" t="n">
        <f aca="false">SUMPRODUCT((Deals!$C$2:$C$7&lt;K$3)*(Deals!$D$2:$D$7&gt;=K$3)*Deals!$B$2:$B$7*Deals!$E$2:$E$7)</f>
        <v>0</v>
      </c>
      <c r="L5" s="0" t="n">
        <f aca="false">SUMPRODUCT((Deals!$C$2:$C$7&lt;L$3)*(Deals!$D$2:$D$7&gt;=L$3)*Deals!$B$2:$B$7*Deals!$E$2:$E$7)</f>
        <v>0</v>
      </c>
    </row>
    <row r="6" customFormat="false" ht="15" hidden="false" customHeight="false" outlineLevel="0" collapsed="false">
      <c r="A6" s="0" t="s">
        <v>22</v>
      </c>
      <c r="B6" s="0" t="n">
        <f aca="false">SUMIF(Deals!$D$2:$D$7,B$3,Deals!$B$2:$B$7)*Terms!$B$9</f>
        <v>0</v>
      </c>
      <c r="C6" s="0" t="n">
        <f aca="false">SUMIF(Deals!$D$2:$D$7,C$3,Deals!$B$2:$B$7)*Terms!$B$9</f>
        <v>0</v>
      </c>
      <c r="D6" s="0" t="n">
        <f aca="false">SUMIF(Deals!$D$2:$D$7,D$3,Deals!$B$2:$B$7)*Terms!$B$9</f>
        <v>0</v>
      </c>
      <c r="E6" s="0" t="n">
        <f aca="false">SUMIF(Deals!$D$2:$D$7,E$3,Deals!$B$2:$B$7)*Terms!$B$9</f>
        <v>0</v>
      </c>
      <c r="F6" s="0" t="n">
        <f aca="false">SUMIF(Deals!$D$2:$D$7,F$3,Deals!$B$2:$B$7)*Terms!$B$9</f>
        <v>0</v>
      </c>
      <c r="G6" s="0" t="n">
        <f aca="false">SUMIF(Deals!$D$2:$D$7,G$3,Deals!$B$2:$B$7)*Terms!$B$9</f>
        <v>108500000</v>
      </c>
      <c r="H6" s="0" t="n">
        <f aca="false">SUMIF(Deals!$D$2:$D$7,H$3,Deals!$B$2:$B$7)*Terms!$B$9</f>
        <v>208250000</v>
      </c>
      <c r="I6" s="0" t="n">
        <f aca="false">SUMIF(Deals!$D$2:$D$7,I$3,Deals!$B$2:$B$7)*Terms!$B$9</f>
        <v>145250000</v>
      </c>
      <c r="J6" s="0" t="n">
        <f aca="false">SUMIF(Deals!$D$2:$D$7,J$3,Deals!$B$2:$B$7)*Terms!$B$9</f>
        <v>98000000</v>
      </c>
      <c r="K6" s="0" t="n">
        <f aca="false">SUMIF(Deals!$D$2:$D$7,K$3,Deals!$B$2:$B$7)*Terms!$B$9</f>
        <v>0</v>
      </c>
      <c r="L6" s="0" t="n">
        <f aca="false">SUMIF(Deals!$D$2:$D$7,L$3,Deals!$B$2:$B$7)*Terms!$B$9</f>
        <v>0</v>
      </c>
    </row>
    <row r="7" customFormat="false" ht="15" hidden="false" customHeight="false" outlineLevel="0" collapsed="false">
      <c r="A7" s="0" t="s">
        <v>23</v>
      </c>
      <c r="B7" s="0" t="n">
        <f aca="false">IF(B$3=0,0,IF(B$3&lt;=4,Terms!$B$3*Terms!$B$4,SUMPRODUCT((Deals!$C$2:$C$7&lt;B$3)*(Deals!$D$2:$D$7&gt;=B$3)*Deals!$B$2:$B$7)*Terms!$B$5))</f>
        <v>0</v>
      </c>
      <c r="C7" s="0" t="n">
        <f aca="false">IF(C$3=0,0,IF(C$3&lt;=4,Terms!$B$3*Terms!$B$4,SUMPRODUCT((Deals!$C$2:$C$7&lt;C$3)*(Deals!$D$2:$D$7&gt;=C$3)*Deals!$B$2:$B$7)*Terms!$B$5))</f>
        <v>6000000</v>
      </c>
      <c r="D7" s="0" t="n">
        <f aca="false">IF(D$3=0,0,IF(D$3&lt;=4,Terms!$B$3*Terms!$B$4,SUMPRODUCT((Deals!$C$2:$C$7&lt;D$3)*(Deals!$D$2:$D$7&gt;=D$3)*Deals!$B$2:$B$7)*Terms!$B$5))</f>
        <v>6000000</v>
      </c>
      <c r="E7" s="0" t="n">
        <f aca="false">IF(E$3=0,0,IF(E$3&lt;=4,Terms!$B$3*Terms!$B$4,SUMPRODUCT((Deals!$C$2:$C$7&lt;E$3)*(Deals!$D$2:$D$7&gt;=E$3)*Deals!$B$2:$B$7)*Terms!$B$5))</f>
        <v>6000000</v>
      </c>
      <c r="F7" s="0" t="n">
        <f aca="false">IF(F$3=0,0,IF(F$3&lt;=4,Terms!$B$3*Terms!$B$4,SUMPRODUCT((Deals!$C$2:$C$7&lt;F$3)*(Deals!$D$2:$D$7&gt;=F$3)*Deals!$B$2:$B$7)*Terms!$B$5))</f>
        <v>6000000</v>
      </c>
      <c r="G7" s="0" t="n">
        <f aca="false">IF(G$3=0,0,IF(G$3&lt;=4,Terms!$B$3*Terms!$B$4,SUMPRODUCT((Deals!$C$2:$C$7&lt;G$3)*(Deals!$D$2:$D$7&gt;=G$3)*Deals!$B$2:$B$7)*Terms!$B$5))</f>
        <v>3200000</v>
      </c>
      <c r="H7" s="0" t="n">
        <f aca="false">IF(H$3=0,0,IF(H$3&lt;=4,Terms!$B$3*Terms!$B$4,SUMPRODUCT((Deals!$C$2:$C$7&lt;H$3)*(Deals!$D$2:$D$7&gt;=H$3)*Deals!$B$2:$B$7)*Terms!$B$5))</f>
        <v>2580000</v>
      </c>
      <c r="I7" s="0" t="n">
        <f aca="false">IF(I$3=0,0,IF(I$3&lt;=4,Terms!$B$3*Terms!$B$4,SUMPRODUCT((Deals!$C$2:$C$7&lt;I$3)*(Deals!$D$2:$D$7&gt;=I$3)*Deals!$B$2:$B$7)*Terms!$B$5))</f>
        <v>1390000</v>
      </c>
      <c r="J7" s="0" t="n">
        <f aca="false">IF(J$3=0,0,IF(J$3&lt;=4,Terms!$B$3*Terms!$B$4,SUMPRODUCT((Deals!$C$2:$C$7&lt;J$3)*(Deals!$D$2:$D$7&gt;=J$3)*Deals!$B$2:$B$7)*Terms!$B$5))</f>
        <v>560000</v>
      </c>
      <c r="K7" s="0" t="n">
        <f aca="false">IF(K$3=0,0,IF(K$3&lt;=4,Terms!$B$3*Terms!$B$4,SUMPRODUCT((Deals!$C$2:$C$7&lt;K$3)*(Deals!$D$2:$D$7&gt;=K$3)*Deals!$B$2:$B$7)*Terms!$B$5))</f>
        <v>0</v>
      </c>
      <c r="L7" s="0" t="n">
        <f aca="false">IF(L$3=0,0,IF(L$3&lt;=4,Terms!$B$3*Terms!$B$4,SUMPRODUCT((Deals!$C$2:$C$7&lt;L$3)*(Deals!$D$2:$D$7&gt;=L$3)*Deals!$B$2:$B$7)*Terms!$B$5))</f>
        <v>0</v>
      </c>
    </row>
    <row r="8" customFormat="false" ht="15" hidden="false" customHeight="false" outlineLevel="0" collapsed="false">
      <c r="A8" s="0" t="s">
        <v>24</v>
      </c>
      <c r="B8" s="0" t="n">
        <f aca="false">B4+B7</f>
        <v>0</v>
      </c>
      <c r="C8" s="0" t="n">
        <f aca="false">C4+C7</f>
        <v>116000000</v>
      </c>
      <c r="D8" s="0" t="n">
        <f aca="false">D4+D7</f>
        <v>116000000</v>
      </c>
      <c r="E8" s="0" t="n">
        <f aca="false">E4+E7</f>
        <v>106000000</v>
      </c>
      <c r="F8" s="0" t="n">
        <f aca="false">F4+F7</f>
        <v>6000000</v>
      </c>
      <c r="G8" s="0" t="n">
        <f aca="false">G4+G7</f>
        <v>3200000</v>
      </c>
      <c r="H8" s="0" t="n">
        <f aca="false">H4+H7</f>
        <v>2580000</v>
      </c>
      <c r="I8" s="0" t="n">
        <f aca="false">I4+I7</f>
        <v>1390000</v>
      </c>
      <c r="J8" s="0" t="n">
        <f aca="false">J4+J7</f>
        <v>560000</v>
      </c>
      <c r="K8" s="0" t="n">
        <f aca="false">K4+K7</f>
        <v>0</v>
      </c>
      <c r="L8" s="0" t="n">
        <f aca="false">L4+L7</f>
        <v>0</v>
      </c>
    </row>
    <row r="9" customFormat="false" ht="15" hidden="false" customHeight="false" outlineLevel="0" collapsed="false">
      <c r="A9" s="0" t="s">
        <v>25</v>
      </c>
      <c r="B9" s="0" t="n">
        <f aca="false">B5+B6</f>
        <v>0</v>
      </c>
      <c r="C9" s="0" t="n">
        <f aca="false">C5+C6</f>
        <v>0</v>
      </c>
      <c r="D9" s="0" t="n">
        <f aca="false">D5+D6</f>
        <v>5430000</v>
      </c>
      <c r="E9" s="0" t="n">
        <f aca="false">E5+E6</f>
        <v>10220000</v>
      </c>
      <c r="F9" s="0" t="n">
        <f aca="false">F5+F6</f>
        <v>14760000</v>
      </c>
      <c r="G9" s="0" t="n">
        <f aca="false">G5+G6</f>
        <v>123260000</v>
      </c>
      <c r="H9" s="0" t="n">
        <f aca="false">H5+H6</f>
        <v>220220000</v>
      </c>
      <c r="I9" s="0" t="n">
        <f aca="false">I5+I6</f>
        <v>151740000</v>
      </c>
      <c r="J9" s="0" t="n">
        <f aca="false">J5+J6</f>
        <v>99680000</v>
      </c>
      <c r="K9" s="0" t="n">
        <f aca="false">K5+K6</f>
        <v>0</v>
      </c>
      <c r="L9" s="0" t="n">
        <f aca="false">L5+L6</f>
        <v>0</v>
      </c>
    </row>
    <row r="10" customFormat="false" ht="15" hidden="false" customHeight="false" outlineLevel="0" collapsed="false">
      <c r="A10" s="0" t="s">
        <v>26</v>
      </c>
      <c r="B10" s="0" t="n">
        <f aca="false">B9-B8-IF(B$3=10,Waterfall!$B$9-Waterfall!$B$11,0)</f>
        <v>0</v>
      </c>
      <c r="C10" s="0" t="n">
        <f aca="false">C9-C8-IF(C$3=10,Waterfall!$B$9-Waterfall!$B$11,0)</f>
        <v>-116000000</v>
      </c>
      <c r="D10" s="0" t="n">
        <f aca="false">D9-D8-IF(D$3=10,Waterfall!$B$9-Waterfall!$B$11,0)</f>
        <v>-110570000</v>
      </c>
      <c r="E10" s="0" t="n">
        <f aca="false">E9-E8-IF(E$3=10,Waterfall!$B$9-Waterfall!$B$11,0)</f>
        <v>-95780000</v>
      </c>
      <c r="F10" s="0" t="n">
        <f aca="false">F9-F8-IF(F$3=10,Waterfall!$B$9-Waterfall!$B$11,0)</f>
        <v>8760000</v>
      </c>
      <c r="G10" s="0" t="n">
        <f aca="false">G9-G8-IF(G$3=10,Waterfall!$B$9-Waterfall!$B$11,0)</f>
        <v>120060000</v>
      </c>
      <c r="H10" s="0" t="n">
        <f aca="false">H9-H8-IF(H$3=10,Waterfall!$B$9-Waterfall!$B$11,0)</f>
        <v>217640000</v>
      </c>
      <c r="I10" s="0" t="n">
        <f aca="false">I9-I8-IF(I$3=10,Waterfall!$B$9-Waterfall!$B$11,0)</f>
        <v>150350000</v>
      </c>
      <c r="J10" s="0" t="n">
        <f aca="false">J9-J8-IF(J$3=10,Waterfall!$B$9-Waterfall!$B$11,0)</f>
        <v>99120000</v>
      </c>
      <c r="K10" s="0" t="n">
        <f aca="false">K9-K8-IF(K$3=10,Waterfall!$B$9-Waterfall!$B$11,0)</f>
        <v>0</v>
      </c>
      <c r="L10" s="0" t="n">
        <f aca="false">L9-L8-IF(L$3=10,Waterfall!$B$9-Waterfall!$B$11,0)</f>
        <v>-54716000</v>
      </c>
    </row>
    <row r="11" customFormat="false" ht="15" hidden="false" customHeight="false" outlineLevel="0" collapsed="false">
      <c r="A11" s="0" t="s">
        <v>27</v>
      </c>
      <c r="B11" s="0" t="n">
        <f aca="false">SUM($B$8:B8)</f>
        <v>0</v>
      </c>
      <c r="C11" s="0" t="n">
        <f aca="false">SUM($B$8:C8)</f>
        <v>116000000</v>
      </c>
      <c r="D11" s="0" t="n">
        <f aca="false">SUM($B$8:D8)</f>
        <v>232000000</v>
      </c>
      <c r="E11" s="0" t="n">
        <f aca="false">SUM($B$8:E8)</f>
        <v>338000000</v>
      </c>
      <c r="F11" s="0" t="n">
        <f aca="false">SUM($B$8:F8)</f>
        <v>344000000</v>
      </c>
      <c r="G11" s="0" t="n">
        <f aca="false">SUM($B$8:G8)</f>
        <v>347200000</v>
      </c>
      <c r="H11" s="0" t="n">
        <f aca="false">SUM($B$8:H8)</f>
        <v>349780000</v>
      </c>
      <c r="I11" s="0" t="n">
        <f aca="false">SUM($B$8:I8)</f>
        <v>351170000</v>
      </c>
      <c r="J11" s="0" t="n">
        <f aca="false">SUM($B$8:J8)</f>
        <v>351730000</v>
      </c>
      <c r="K11" s="0" t="n">
        <f aca="false">SUM($B$8:K8)</f>
        <v>351730000</v>
      </c>
      <c r="L11" s="0" t="n">
        <f aca="false">SUM($B$8:L8)</f>
        <v>351730000</v>
      </c>
    </row>
    <row r="12" customFormat="false" ht="15" hidden="false" customHeight="false" outlineLevel="0" collapsed="false">
      <c r="A12" s="0" t="s">
        <v>28</v>
      </c>
      <c r="B12" s="0" t="n">
        <f aca="false">SUM($B$9:B9)</f>
        <v>0</v>
      </c>
      <c r="C12" s="0" t="n">
        <f aca="false">SUM($B$9:C9)</f>
        <v>0</v>
      </c>
      <c r="D12" s="0" t="n">
        <f aca="false">SUM($B$9:D9)</f>
        <v>5430000</v>
      </c>
      <c r="E12" s="0" t="n">
        <f aca="false">SUM($B$9:E9)</f>
        <v>15650000</v>
      </c>
      <c r="F12" s="0" t="n">
        <f aca="false">SUM($B$9:F9)</f>
        <v>30410000</v>
      </c>
      <c r="G12" s="0" t="n">
        <f aca="false">SUM($B$9:G9)</f>
        <v>153670000</v>
      </c>
      <c r="H12" s="0" t="n">
        <f aca="false">SUM($B$9:H9)</f>
        <v>373890000</v>
      </c>
      <c r="I12" s="0" t="n">
        <f aca="false">SUM($B$9:I9)</f>
        <v>525630000</v>
      </c>
      <c r="J12" s="0" t="n">
        <f aca="false">SUM($B$9:J9)</f>
        <v>625310000</v>
      </c>
      <c r="K12" s="0" t="n">
        <f aca="false">SUM($B$9:K9)</f>
        <v>625310000</v>
      </c>
      <c r="L12" s="0" t="n">
        <f aca="false">SUM($B$9:L9)</f>
        <v>625310000</v>
      </c>
    </row>
    <row r="13" customFormat="false" ht="15" hidden="false" customHeight="false" outlineLevel="0" collapsed="false">
      <c r="A13" s="0" t="s">
        <v>29</v>
      </c>
      <c r="B13" s="0" t="n">
        <f aca="false">SUMPRODUCT((Deals!$C$2:$C$7&lt;=B$3)*(Deals!$D$2:$D$7&gt;B$3)*Deals!$B$2:$B$7)*(1+(Terms!$B$9-1)*0.5)</f>
        <v>0</v>
      </c>
      <c r="C13" s="0" t="n">
        <f aca="false">SUMPRODUCT((Deals!$C$2:$C$7&lt;=C$3)*(Deals!$D$2:$D$7&gt;C$3)*Deals!$B$2:$B$7)*(1+(Terms!$B$9-1)*0.5)</f>
        <v>151250000</v>
      </c>
      <c r="D13" s="0" t="n">
        <f aca="false">SUMPRODUCT((Deals!$C$2:$C$7&lt;=D$3)*(Deals!$D$2:$D$7&gt;D$3)*Deals!$B$2:$B$7)*(1+(Terms!$B$9-1)*0.5)</f>
        <v>302500000</v>
      </c>
      <c r="E13" s="0" t="n">
        <f aca="false">SUMPRODUCT((Deals!$C$2:$C$7&lt;=E$3)*(Deals!$D$2:$D$7&gt;E$3)*Deals!$B$2:$B$7)*(1+(Terms!$B$9-1)*0.5)</f>
        <v>440000000</v>
      </c>
      <c r="F13" s="0" t="n">
        <f aca="false">SUMPRODUCT((Deals!$C$2:$C$7&lt;=F$3)*(Deals!$D$2:$D$7&gt;F$3)*Deals!$B$2:$B$7)*(1+(Terms!$B$9-1)*0.5)</f>
        <v>440000000</v>
      </c>
      <c r="G13" s="0" t="n">
        <f aca="false">SUMPRODUCT((Deals!$C$2:$C$7&lt;=G$3)*(Deals!$D$2:$D$7&gt;G$3)*Deals!$B$2:$B$7)*(1+(Terms!$B$9-1)*0.5)</f>
        <v>354750000</v>
      </c>
      <c r="H13" s="0" t="n">
        <f aca="false">SUMPRODUCT((Deals!$C$2:$C$7&lt;=H$3)*(Deals!$D$2:$D$7&gt;H$3)*Deals!$B$2:$B$7)*(1+(Terms!$B$9-1)*0.5)</f>
        <v>191125000</v>
      </c>
      <c r="I13" s="0" t="n">
        <f aca="false">SUMPRODUCT((Deals!$C$2:$C$7&lt;=I$3)*(Deals!$D$2:$D$7&gt;I$3)*Deals!$B$2:$B$7)*(1+(Terms!$B$9-1)*0.5)</f>
        <v>77000000</v>
      </c>
      <c r="J13" s="0" t="n">
        <f aca="false">SUMPRODUCT((Deals!$C$2:$C$7&lt;=J$3)*(Deals!$D$2:$D$7&gt;J$3)*Deals!$B$2:$B$7)*(1+(Terms!$B$9-1)*0.5)</f>
        <v>0</v>
      </c>
      <c r="K13" s="0" t="n">
        <f aca="false">SUMPRODUCT((Deals!$C$2:$C$7&lt;=K$3)*(Deals!$D$2:$D$7&gt;K$3)*Deals!$B$2:$B$7)*(1+(Terms!$B$9-1)*0.5)</f>
        <v>0</v>
      </c>
      <c r="L13" s="0" t="n">
        <f aca="false">SUMPRODUCT((Deals!$C$2:$C$7&lt;=L$3)*(Deals!$D$2:$D$7&gt;L$3)*Deals!$B$2:$B$7)*(1+(Terms!$B$9-1)*0.5)</f>
        <v>0</v>
      </c>
    </row>
    <row r="14" customFormat="false" ht="15" hidden="false" customHeight="false" outlineLevel="0" collapsed="false">
      <c r="A14" s="0" t="s">
        <v>30</v>
      </c>
      <c r="B14" s="0" t="n">
        <f aca="false">IF(B11&gt;0,B12/B11,0)</f>
        <v>0</v>
      </c>
      <c r="C14" s="0" t="n">
        <f aca="false">IF(C11&gt;0,C12/C11,0)</f>
        <v>0</v>
      </c>
      <c r="D14" s="0" t="n">
        <f aca="false">IF(D11&gt;0,D12/D11,0)</f>
        <v>0.0234051724137931</v>
      </c>
      <c r="E14" s="0" t="n">
        <f aca="false">IF(E11&gt;0,E12/E11,0)</f>
        <v>0.046301775147929</v>
      </c>
      <c r="F14" s="0" t="n">
        <f aca="false">IF(F11&gt;0,F12/F11,0)</f>
        <v>0.0884011627906977</v>
      </c>
      <c r="G14" s="0" t="n">
        <f aca="false">IF(G11&gt;0,G12/G11,0)</f>
        <v>0.442597926267281</v>
      </c>
      <c r="H14" s="0" t="n">
        <f aca="false">IF(H11&gt;0,H12/H11,0)</f>
        <v>1.06892904111156</v>
      </c>
      <c r="I14" s="0" t="n">
        <f aca="false">IF(I11&gt;0,I12/I11,0)</f>
        <v>1.49679642338469</v>
      </c>
      <c r="J14" s="0" t="n">
        <f aca="false">IF(J11&gt;0,J12/J11,0)</f>
        <v>1.77781252665397</v>
      </c>
      <c r="K14" s="0" t="n">
        <f aca="false">IF(K11&gt;0,K12/K11,0)</f>
        <v>1.77781252665397</v>
      </c>
      <c r="L14" s="0" t="n">
        <f aca="false">IF(L11&gt;0,L12/L11,0)</f>
        <v>1.77781252665397</v>
      </c>
    </row>
    <row r="15" customFormat="false" ht="15" hidden="false" customHeight="false" outlineLevel="0" collapsed="false">
      <c r="A15" s="0" t="s">
        <v>31</v>
      </c>
      <c r="B15" s="0" t="n">
        <f aca="false">IF(B11&gt;0,B13/B11,0)</f>
        <v>0</v>
      </c>
      <c r="C15" s="0" t="n">
        <f aca="false">IF(C11&gt;0,C13/C11,0)</f>
        <v>1.30387931034483</v>
      </c>
      <c r="D15" s="0" t="n">
        <f aca="false">IF(D11&gt;0,D13/D11,0)</f>
        <v>1.30387931034483</v>
      </c>
      <c r="E15" s="0" t="n">
        <f aca="false">IF(E11&gt;0,E13/E11,0)</f>
        <v>1.30177514792899</v>
      </c>
      <c r="F15" s="0" t="n">
        <f aca="false">IF(F11&gt;0,F13/F11,0)</f>
        <v>1.27906976744186</v>
      </c>
      <c r="G15" s="0" t="n">
        <f aca="false">IF(G11&gt;0,G13/G11,0)</f>
        <v>1.02174539170507</v>
      </c>
      <c r="H15" s="0" t="n">
        <f aca="false">IF(H11&gt;0,H13/H11,0)</f>
        <v>0.546414889359026</v>
      </c>
      <c r="I15" s="0" t="n">
        <f aca="false">IF(I11&gt;0,I13/I11,0)</f>
        <v>0.219267021670416</v>
      </c>
      <c r="J15" s="0" t="n">
        <f aca="false">IF(J11&gt;0,J13/J11,0)</f>
        <v>0</v>
      </c>
      <c r="K15" s="0" t="n">
        <f aca="false">IF(K11&gt;0,K13/K11,0)</f>
        <v>0</v>
      </c>
      <c r="L15" s="0" t="n">
        <f aca="false">IF(L11&gt;0,L13/L11,0)</f>
        <v>0</v>
      </c>
    </row>
    <row r="16" customFormat="false" ht="15" hidden="false" customHeight="false" outlineLevel="0" collapsed="false">
      <c r="A16" s="0" t="s">
        <v>32</v>
      </c>
      <c r="B16" s="0" t="n">
        <f aca="false">B14+B15</f>
        <v>0</v>
      </c>
      <c r="C16" s="0" t="n">
        <f aca="false">C14+C15</f>
        <v>1.30387931034483</v>
      </c>
      <c r="D16" s="0" t="n">
        <f aca="false">D14+D15</f>
        <v>1.32728448275862</v>
      </c>
      <c r="E16" s="0" t="n">
        <f aca="false">E14+E15</f>
        <v>1.34807692307692</v>
      </c>
      <c r="F16" s="0" t="n">
        <f aca="false">F14+F15</f>
        <v>1.36747093023256</v>
      </c>
      <c r="G16" s="0" t="n">
        <f aca="false">G14+G15</f>
        <v>1.46434331797235</v>
      </c>
      <c r="H16" s="0" t="n">
        <f aca="false">H14+H15</f>
        <v>1.61534393047058</v>
      </c>
      <c r="I16" s="0" t="n">
        <f aca="false">I14+I15</f>
        <v>1.7160634450551</v>
      </c>
      <c r="J16" s="0" t="n">
        <f aca="false">J14+J15</f>
        <v>1.77781252665397</v>
      </c>
      <c r="K16" s="0" t="n">
        <f aca="false">K14+K15</f>
        <v>1.77781252665397</v>
      </c>
      <c r="L16" s="0" t="n">
        <f aca="false">L14+L15</f>
        <v>1.77781252665397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33</v>
      </c>
      <c r="B3" s="1" t="n">
        <f aca="false">SUM(Fund!$B$8:$L$8)</f>
        <v>351730000</v>
      </c>
    </row>
    <row r="4" customFormat="false" ht="15" hidden="false" customHeight="false" outlineLevel="0" collapsed="false">
      <c r="A4" s="0" t="s">
        <v>34</v>
      </c>
      <c r="B4" s="1" t="n">
        <f aca="false">SUM(Fund!$B$9:$L$9)</f>
        <v>625310000</v>
      </c>
    </row>
    <row r="5" customFormat="false" ht="15" hidden="false" customHeight="false" outlineLevel="0" collapsed="false">
      <c r="A5" s="0" t="s">
        <v>35</v>
      </c>
      <c r="B5" s="1" t="n">
        <f aca="false">B4-B3</f>
        <v>273580000</v>
      </c>
    </row>
    <row r="6" customFormat="false" ht="15" hidden="false" customHeight="false" outlineLevel="0" collapsed="false">
      <c r="A6" s="0" t="s">
        <v>4</v>
      </c>
      <c r="B6" s="1" t="n">
        <f aca="false">B3*((1+Terms!$B$6)^5-1)</f>
        <v>165076764.452864</v>
      </c>
    </row>
    <row r="7" customFormat="false" ht="15" hidden="false" customHeight="false" outlineLevel="0" collapsed="false">
      <c r="A7" s="0" t="s">
        <v>6</v>
      </c>
      <c r="B7" s="1" t="n">
        <f aca="false">MIN(MAX(0,B5-B6),B6*Terms!$B$7/(1-Terms!$B$7)*Terms!$B$8)</f>
        <v>41269191.1132161</v>
      </c>
    </row>
    <row r="8" customFormat="false" ht="15" hidden="false" customHeight="false" outlineLevel="0" collapsed="false">
      <c r="A8" s="0" t="s">
        <v>36</v>
      </c>
      <c r="B8" s="1" t="n">
        <f aca="false">MAX(0,B5-B6-B7)</f>
        <v>67234044.4339198</v>
      </c>
    </row>
    <row r="9" customFormat="false" ht="15" hidden="false" customHeight="false" outlineLevel="0" collapsed="false">
      <c r="A9" s="0" t="s">
        <v>5</v>
      </c>
      <c r="B9" s="1" t="n">
        <f aca="false">B7+B8*Terms!$B$7</f>
        <v>54716000</v>
      </c>
    </row>
    <row r="10" customFormat="false" ht="15" hidden="false" customHeight="false" outlineLevel="0" collapsed="false">
      <c r="A10" s="0" t="s">
        <v>37</v>
      </c>
      <c r="B10" s="1" t="n">
        <f aca="false">B5*Terms!$B$7</f>
        <v>54716000</v>
      </c>
    </row>
    <row r="11" customFormat="false" ht="15" hidden="false" customHeight="false" outlineLevel="0" collapsed="false">
      <c r="A11" s="0" t="s">
        <v>38</v>
      </c>
      <c r="B11" s="1" t="n">
        <f aca="false">MAX(0,B9-B10)</f>
        <v>0</v>
      </c>
    </row>
    <row r="12" customFormat="false" ht="15" hidden="false" customHeight="false" outlineLevel="0" collapsed="false">
      <c r="A12" s="0" t="s">
        <v>39</v>
      </c>
      <c r="B12" s="1" t="n">
        <f aca="false">B4-B9+B11</f>
        <v>570594000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40</v>
      </c>
      <c r="B3" s="2" t="n">
        <f aca="false">IRR(Fund!$B$10:$L$10)</f>
        <v>0.13479864893484</v>
      </c>
    </row>
    <row r="4" customFormat="false" ht="15" hidden="false" customHeight="false" outlineLevel="0" collapsed="false">
      <c r="A4" s="0" t="s">
        <v>41</v>
      </c>
      <c r="B4" s="3" t="n">
        <f aca="false">Fund!L16</f>
        <v>1.77781252665397</v>
      </c>
    </row>
    <row r="5" customFormat="false" ht="15" hidden="false" customHeight="false" outlineLevel="0" collapsed="false">
      <c r="A5" s="0" t="s">
        <v>42</v>
      </c>
      <c r="B5" s="3" t="n">
        <f aca="false">Fund!G14</f>
        <v>0.442597926267281</v>
      </c>
    </row>
    <row r="6" customFormat="false" ht="15" hidden="false" customHeight="false" outlineLevel="0" collapsed="false">
      <c r="A6" s="0" t="s">
        <v>43</v>
      </c>
      <c r="B6" s="3" t="n">
        <f aca="false">Fund!G15</f>
        <v>1.02174539170507</v>
      </c>
    </row>
    <row r="7" customFormat="false" ht="15" hidden="false" customHeight="false" outlineLevel="0" collapsed="false">
      <c r="A7" s="0" t="s">
        <v>44</v>
      </c>
      <c r="B7" s="1" t="n">
        <f aca="false">Waterfall!B9</f>
        <v>54716000</v>
      </c>
    </row>
    <row r="8" customFormat="false" ht="15" hidden="false" customHeight="false" outlineLevel="0" collapsed="false">
      <c r="A8" s="0" t="s">
        <v>45</v>
      </c>
      <c r="B8" s="1" t="n">
        <f aca="false">Waterfall!B11</f>
        <v>0</v>
      </c>
    </row>
    <row r="9" customFormat="false" ht="15" hidden="false" customHeight="false" outlineLevel="0" collapsed="false">
      <c r="A9" s="0" t="s">
        <v>46</v>
      </c>
      <c r="B9" s="1" t="n">
        <f aca="false">MAX(Fund!$B$11:$L$11)</f>
        <v>351730000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2026-10-18T00:22:40Z</dcterms:created>
  <dc:creator>openpyxl</dc:creator>
  <dc:description/>
  <dc:language>en-US</dc:language>
  <cp:lastModifiedBy/>
  <dcterms:modified xsi:type="dcterms:W3CDTF">2026-10-18T00:22:40Z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