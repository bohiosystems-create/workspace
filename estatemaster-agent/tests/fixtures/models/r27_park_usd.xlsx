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Rent Roll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<sst xmlns="http://schemas.openxmlformats.org/spreadsheetml/2006/main" count="49" uniqueCount="44">
  <si>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 xml:space="preserve">CEDAR CROSSING RETAIL PARK (USD)</t>
  </si>
  <si>
    <t xml:space="preserve">Valuation date</t>
  </si>
  <si>
    <t xml:space="preserve">Purchase price (USD)</t>
  </si>
  <si>
    <t xml:space="preserve">Discount rate</t>
  </si>
  <si>
    <t xml:space="preserve">Exit cap rate</t>
  </si>
  <si>
    <t xml:space="preserve">Market rent growth</t>
  </si>
  <si>
    <t xml:space="preserve">Fit-out start</t>
  </si>
  <si>
    <t xml:space="preserve">Fit-out end</t>
  </si>
  <si>
    <t xml:space="preserve">Non-recoverable costs (USD a year)</t>
  </si>
  <si>
    <t xml:space="preserve">Tenant</t>
  </si>
  <si>
    <t xml:space="preserve">Type</t>
  </si>
  <si>
    <t xml:space="preserve">Area (sq ft)</t>
  </si>
  <si>
    <t xml:space="preserve">Rent (USD/sq ft)</t>
  </si>
  <si>
    <t xml:space="preserve">Lease end</t>
  </si>
  <si>
    <t xml:space="preserve">Grade</t>
  </si>
  <si>
    <t xml:space="preserve">Years left</t>
  </si>
  <si>
    <t xml:space="preserve">Credit haircut</t>
  </si>
  <si>
    <t xml:space="preserve">Step-up</t>
  </si>
  <si>
    <t xml:space="preserve">Anchor grocer</t>
  </si>
  <si>
    <t xml:space="preserve">Anchor</t>
  </si>
  <si>
    <t xml:space="preserve">A</t>
  </si>
  <si>
    <t xml:space="preserve">Home store</t>
  </si>
  <si>
    <t xml:space="preserve">Big box</t>
  </si>
  <si>
    <t xml:space="preserve">B</t>
  </si>
  <si>
    <t xml:space="preserve">Pharmacy</t>
  </si>
  <si>
    <t xml:space="preserve">Shop</t>
  </si>
  <si>
    <t xml:space="preserve">Pet store</t>
  </si>
  <si>
    <t xml:space="preserve">C</t>
  </si>
  <si>
    <t xml:space="preserve">Restaurant pad</t>
  </si>
  <si>
    <t xml:space="preserve">Pad</t>
  </si>
  <si>
    <t xml:space="preserve">Gym</t>
  </si>
  <si>
    <t xml:space="preserve">Year</t>
  </si>
  <si>
    <t xml:space="preserve">Date</t>
  </si>
  <si>
    <t xml:space="preserve">Rent</t>
  </si>
  <si>
    <t xml:space="preserve">Costs</t>
  </si>
  <si>
    <t xml:space="preserve">Exit</t>
  </si>
  <si>
    <t xml:space="preserve">Cash flow</t>
  </si>
  <si>
    <t xml:space="preserve">Unlevered IRR</t>
  </si>
  <si>
    <t xml:space="preserve">NPV at the discount rate (USD)</t>
  </si>
  <si>
    <t xml:space="preserve">Highest rent (USD/sq ft)</t>
  </si>
  <si>
    <t xml:space="preserve">Lowest big-box rent (USD/sq ft)</t>
  </si>
  <si>
    <t xml:space="preserve">Fit-out working days</t>
  </si>
  <si>
    <t xml:space="preserve">WALE (years)</t>
  </si>
  <si>
    <t xml:space="preserve">Net profit (USD)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</si>
</sst>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.00%"/>
    <numFmt numFmtId="168" formatCode="0.00"/>
    <numFmt numFmtId="169" formatCode="0"/>
    <numFmt numFmtId="170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38000000</v>
      </c>
    </row>
    <row r="5" customFormat="false" ht="15" hidden="false" customHeight="false" outlineLevel="0" collapsed="false">
      <c r="A5" s="0" t="s">
        <v>3</v>
      </c>
      <c r="B5" s="3" t="n">
        <v>0.075</v>
      </c>
    </row>
    <row r="6" customFormat="false" ht="15" hidden="false" customHeight="false" outlineLevel="0" collapsed="false">
      <c r="A6" s="0" t="s">
        <v>4</v>
      </c>
      <c r="B6" s="3" t="n">
        <v>0.0675</v>
      </c>
    </row>
    <row r="7" customFormat="false" ht="15" hidden="false" customHeight="false" outlineLevel="0" collapsed="false">
      <c r="A7" s="0" t="s">
        <v>5</v>
      </c>
      <c r="B7" s="3" t="n">
        <v>0.025</v>
      </c>
    </row>
    <row r="8" customFormat="false" ht="15" hidden="false" customHeight="false" outlineLevel="0" collapsed="false">
      <c r="A8" s="0" t="s">
        <v>6</v>
      </c>
      <c r="B8" s="1" t="n">
        <v>46419</v>
      </c>
    </row>
    <row r="9" customFormat="false" ht="15" hidden="false" customHeight="false" outlineLevel="0" collapsed="false">
      <c r="A9" s="0" t="s">
        <v>7</v>
      </c>
      <c r="B9" s="1" t="n">
        <v>46535</v>
      </c>
    </row>
    <row r="10" customFormat="false" ht="15" hidden="false" customHeight="false" outlineLevel="0" collapsed="false">
      <c r="A10" s="0" t="s">
        <v>8</v>
      </c>
      <c r="B10" s="2" t="n">
        <v>650000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H1" s="0" t="s">
        <v>15</v>
      </c>
      <c r="I1" s="0" t="s">
        <v>16</v>
      </c>
      <c r="J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n">
        <v>62000</v>
      </c>
      <c r="D2" s="0" t="n">
        <v>14.5</v>
      </c>
      <c r="E2" s="1" t="n">
        <v>49705</v>
      </c>
      <c r="F2" s="4" t="s">
        <v>20</v>
      </c>
      <c r="H2" s="4" t="n">
        <f aca="false">DATEDIF(Inputs!$B$3,E2,"y")</f>
        <v>9</v>
      </c>
      <c r="I2" s="4" t="n">
        <f aca="false">_xlfn.SWITCH(F2,"A",0,"B",0.02,"C",0.05,0.1)</f>
        <v>0</v>
      </c>
      <c r="J2" s="4" t="n">
        <f aca="false">_xlfn.IFS(B2="Anchor",0.01,B2="Big box",0.015,B2="Pad",0.025,TRUE(),0.02)</f>
        <v>0.01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n">
        <v>38000</v>
      </c>
      <c r="D3" s="0" t="n">
        <v>16</v>
      </c>
      <c r="E3" s="1" t="n">
        <v>48029</v>
      </c>
      <c r="F3" s="4" t="s">
        <v>23</v>
      </c>
      <c r="H3" s="4" t="n">
        <f aca="false">DATEDIF(Inputs!$B$3,E3,"y")</f>
        <v>4</v>
      </c>
      <c r="I3" s="4" t="n">
        <f aca="false">_xlfn.SWITCH(F3,"A",0,"B",0.02,"C",0.05,0.1)</f>
        <v>0.02</v>
      </c>
      <c r="J3" s="4" t="n">
        <f aca="false">_xlfn.IFS(B3="Anchor",0.01,B3="Big box",0.015,B3="Pad",0.025,TRUE(),0.02)</f>
        <v>0.015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n">
        <v>12000</v>
      </c>
      <c r="D4" s="0" t="n">
        <v>28</v>
      </c>
      <c r="E4" s="1" t="n">
        <v>47483</v>
      </c>
      <c r="F4" s="4" t="s">
        <v>20</v>
      </c>
      <c r="H4" s="4" t="n">
        <f aca="false">DATEDIF(Inputs!$B$3,E4,"y")</f>
        <v>3</v>
      </c>
      <c r="I4" s="4" t="n">
        <f aca="false">_xlfn.SWITCH(F4,"A",0,"B",0.02,"C",0.05,0.1)</f>
        <v>0</v>
      </c>
      <c r="J4" s="4" t="n">
        <f aca="false">_xlfn.IFS(B4="Anchor",0.01,B4="Big box",0.015,B4="Pad",0.025,TRUE(),0.02)</f>
        <v>0.02</v>
      </c>
    </row>
    <row r="5" customFormat="false" ht="15" hidden="false" customHeight="false" outlineLevel="0" collapsed="false">
      <c r="A5" s="0" t="s">
        <v>26</v>
      </c>
      <c r="B5" s="0" t="s">
        <v>25</v>
      </c>
      <c r="C5" s="0" t="n">
        <v>9000</v>
      </c>
      <c r="D5" s="0" t="n">
        <v>24.5</v>
      </c>
      <c r="E5" s="1" t="n">
        <v>47756</v>
      </c>
      <c r="F5" s="4" t="s">
        <v>27</v>
      </c>
      <c r="H5" s="4" t="n">
        <f aca="false">DATEDIF(Inputs!$B$3,E5,"y")</f>
        <v>3</v>
      </c>
      <c r="I5" s="4" t="n">
        <f aca="false">_xlfn.SWITCH(F5,"A",0,"B",0.02,"C",0.05,0.1)</f>
        <v>0.05</v>
      </c>
      <c r="J5" s="4" t="n">
        <f aca="false">_xlfn.IFS(B5="Anchor",0.01,B5="Big box",0.015,B5="Pad",0.025,TRUE(),0.02)</f>
        <v>0.02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n">
        <v>6500</v>
      </c>
      <c r="D6" s="0" t="n">
        <v>42</v>
      </c>
      <c r="E6" s="1" t="n">
        <v>48669</v>
      </c>
      <c r="F6" s="4" t="s">
        <v>23</v>
      </c>
      <c r="H6" s="4" t="n">
        <f aca="false">DATEDIF(Inputs!$B$3,E6,"y")</f>
        <v>6</v>
      </c>
      <c r="I6" s="4" t="n">
        <f aca="false">_xlfn.SWITCH(F6,"A",0,"B",0.02,"C",0.05,0.1)</f>
        <v>0.02</v>
      </c>
      <c r="J6" s="4" t="n">
        <f aca="false">_xlfn.IFS(B6="Anchor",0.01,B6="Big box",0.015,B6="Pad",0.025,TRUE(),0.02)</f>
        <v>0.025</v>
      </c>
    </row>
    <row r="7" customFormat="false" ht="15" hidden="false" customHeight="false" outlineLevel="0" collapsed="false">
      <c r="A7" s="0" t="s">
        <v>30</v>
      </c>
      <c r="B7" s="0" t="s">
        <v>22</v>
      </c>
      <c r="C7" s="0" t="n">
        <v>24000</v>
      </c>
      <c r="D7" s="0" t="n">
        <v>15.5</v>
      </c>
      <c r="E7" s="1" t="n">
        <v>46996</v>
      </c>
      <c r="F7" s="4" t="s">
        <v>27</v>
      </c>
      <c r="H7" s="4" t="n">
        <f aca="false">DATEDIF(Inputs!$B$3,E7,"y")</f>
        <v>1</v>
      </c>
      <c r="I7" s="4" t="n">
        <f aca="false">_xlfn.SWITCH(F7,"A",0,"B",0.02,"C",0.05,0.1)</f>
        <v>0.05</v>
      </c>
      <c r="J7" s="4" t="n">
        <f aca="false">_xlfn.IFS(B7="Anchor",0.01,B7="Big box",0.015,B7="Pad",0.025,TRUE(),0.02)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31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32</v>
      </c>
      <c r="B4" s="1" t="n">
        <f aca="false">EDATE(Inputs!$B$3,12*B$3+IF(B$3&gt;0,MOD(B$3,3),0))</f>
        <v>46387</v>
      </c>
      <c r="C4" s="1" t="n">
        <f aca="false">EDATE(Inputs!$B$3,12*C$3+IF(C$3&gt;0,MOD(C$3,3),0))</f>
        <v>46783</v>
      </c>
      <c r="D4" s="1" t="n">
        <f aca="false">EDATE(Inputs!$B$3,12*D$3+IF(D$3&gt;0,MOD(D$3,3),0))</f>
        <v>47177</v>
      </c>
      <c r="E4" s="1" t="n">
        <f aca="false">EDATE(Inputs!$B$3,12*E$3+IF(E$3&gt;0,MOD(E$3,3),0))</f>
        <v>47483</v>
      </c>
      <c r="F4" s="1" t="n">
        <f aca="false">EDATE(Inputs!$B$3,12*F$3+IF(F$3&gt;0,MOD(F$3,3),0))</f>
        <v>47879</v>
      </c>
      <c r="G4" s="1" t="n">
        <f aca="false">EDATE(Inputs!$B$3,12*G$3+IF(G$3&gt;0,MOD(G$3,3),0))</f>
        <v>48273</v>
      </c>
      <c r="H4" s="1" t="n">
        <f aca="false">EDATE(Inputs!$B$3,12*H$3+IF(H$3&gt;0,MOD(H$3,3),0))</f>
        <v>48579</v>
      </c>
      <c r="I4" s="1" t="n">
        <f aca="false">EDATE(Inputs!$B$3,12*I$3+IF(I$3&gt;0,MOD(I$3,3),0))</f>
        <v>48975</v>
      </c>
      <c r="J4" s="1" t="n">
        <f aca="false">EDATE(Inputs!$B$3,12*J$3+IF(J$3&gt;0,MOD(J$3,3),0))</f>
        <v>49368</v>
      </c>
      <c r="K4" s="1" t="n">
        <f aca="false">EDATE(Inputs!$B$3,12*K$3+IF(K$3&gt;0,MOD(K$3,3),0))</f>
        <v>49674</v>
      </c>
      <c r="L4" s="1" t="n">
        <f aca="false">EDATE(Inputs!$B$3,12*L$3+IF(L$3&gt;0,MOD(L$3,3),0))</f>
        <v>50071</v>
      </c>
    </row>
    <row r="5" customFormat="false" ht="15" hidden="false" customHeight="false" outlineLevel="0" collapsed="false">
      <c r="A5" s="0" t="s">
        <v>33</v>
      </c>
      <c r="B5" s="0" t="n">
        <f aca="false">0</f>
        <v>0</v>
      </c>
      <c r="C5" s="0" t="n">
        <f aca="false">IF(C4&lt;='Rent Roll'!$E$2,'Rent Roll'!$C$2*'Rent Roll'!$D$2*(1+'Rent Roll'!$J$2)^(C$3-1)*(1-'Rent Roll'!$I$2),'Rent Roll'!$C$2*'Rent Roll'!$D$2*(1+Inputs!$B$7)^C$3*0.9)+IF(C4&lt;='Rent Roll'!$E$3,'Rent Roll'!$C$3*'Rent Roll'!$D$3*(1+'Rent Roll'!$J$3)^(C$3-1)*(1-'Rent Roll'!$I$3),'Rent Roll'!$C$3*'Rent Roll'!$D$3*(1+Inputs!$B$7)^C$3*0.9)+IF(C4&lt;='Rent Roll'!$E$4,'Rent Roll'!$C$4*'Rent Roll'!$D$4*(1+'Rent Roll'!$J$4)^(C$3-1)*(1-'Rent Roll'!$I$4),'Rent Roll'!$C$4*'Rent Roll'!$D$4*(1+Inputs!$B$7)^C$3*0.9)+IF(C4&lt;='Rent Roll'!$E$5,'Rent Roll'!$C$5*'Rent Roll'!$D$5*(1+'Rent Roll'!$J$5)^(C$3-1)*(1-'Rent Roll'!$I$5),'Rent Roll'!$C$5*'Rent Roll'!$D$5*(1+Inputs!$B$7)^C$3*0.9)+IF(C4&lt;='Rent Roll'!$E$6,'Rent Roll'!$C$6*'Rent Roll'!$D$6*(1+'Rent Roll'!$J$6)^(C$3-1)*(1-'Rent Roll'!$I$6),'Rent Roll'!$C$6*'Rent Roll'!$D$6*(1+Inputs!$B$7)^C$3*0.9)+IF(C4&lt;='Rent Roll'!$E$7,'Rent Roll'!$C$7*'Rent Roll'!$D$7*(1+'Rent Roll'!$J$7)^(C$3-1)*(1-'Rent Roll'!$I$7),'Rent Roll'!$C$7*'Rent Roll'!$D$7*(1+Inputs!$B$7)^C$3*0.9)</f>
        <v>2661255</v>
      </c>
      <c r="D5" s="0" t="n">
        <f aca="false">IF(D4&lt;='Rent Roll'!$E$2,'Rent Roll'!$C$2*'Rent Roll'!$D$2*(1+'Rent Roll'!$J$2)^(D$3-1)*(1-'Rent Roll'!$I$2),'Rent Roll'!$C$2*'Rent Roll'!$D$2*(1+Inputs!$B$7)^D$3*0.9)+IF(D4&lt;='Rent Roll'!$E$3,'Rent Roll'!$C$3*'Rent Roll'!$D$3*(1+'Rent Roll'!$J$3)^(D$3-1)*(1-'Rent Roll'!$I$3),'Rent Roll'!$C$3*'Rent Roll'!$D$3*(1+Inputs!$B$7)^D$3*0.9)+IF(D4&lt;='Rent Roll'!$E$4,'Rent Roll'!$C$4*'Rent Roll'!$D$4*(1+'Rent Roll'!$J$4)^(D$3-1)*(1-'Rent Roll'!$I$4),'Rent Roll'!$C$4*'Rent Roll'!$D$4*(1+Inputs!$B$7)^D$3*0.9)+IF(D4&lt;='Rent Roll'!$E$5,'Rent Roll'!$C$5*'Rent Roll'!$D$5*(1+'Rent Roll'!$J$5)^(D$3-1)*(1-'Rent Roll'!$I$5),'Rent Roll'!$C$5*'Rent Roll'!$D$5*(1+Inputs!$B$7)^D$3*0.9)+IF(D4&lt;='Rent Roll'!$E$6,'Rent Roll'!$C$6*'Rent Roll'!$D$6*(1+'Rent Roll'!$J$6)^(D$3-1)*(1-'Rent Roll'!$I$6),'Rent Roll'!$C$6*'Rent Roll'!$D$6*(1+Inputs!$B$7)^D$3*0.9)+IF(D4&lt;='Rent Roll'!$E$7,'Rent Roll'!$C$7*'Rent Roll'!$D$7*(1+'Rent Roll'!$J$7)^(D$3-1)*(1-'Rent Roll'!$I$7),'Rent Roll'!$C$7*'Rent Roll'!$D$7*(1+Inputs!$B$7)^D$3*0.9)</f>
        <v>2695129.85</v>
      </c>
      <c r="E5" s="0" t="n">
        <f aca="false">IF(E4&lt;='Rent Roll'!$E$2,'Rent Roll'!$C$2*'Rent Roll'!$D$2*(1+'Rent Roll'!$J$2)^(E$3-1)*(1-'Rent Roll'!$I$2),'Rent Roll'!$C$2*'Rent Roll'!$D$2*(1+Inputs!$B$7)^E$3*0.9)+IF(E4&lt;='Rent Roll'!$E$3,'Rent Roll'!$C$3*'Rent Roll'!$D$3*(1+'Rent Roll'!$J$3)^(E$3-1)*(1-'Rent Roll'!$I$3),'Rent Roll'!$C$3*'Rent Roll'!$D$3*(1+Inputs!$B$7)^E$3*0.9)+IF(E4&lt;='Rent Roll'!$E$4,'Rent Roll'!$C$4*'Rent Roll'!$D$4*(1+'Rent Roll'!$J$4)^(E$3-1)*(1-'Rent Roll'!$I$4),'Rent Roll'!$C$4*'Rent Roll'!$D$4*(1+Inputs!$B$7)^E$3*0.9)+IF(E4&lt;='Rent Roll'!$E$5,'Rent Roll'!$C$5*'Rent Roll'!$D$5*(1+'Rent Roll'!$J$5)^(E$3-1)*(1-'Rent Roll'!$I$5),'Rent Roll'!$C$5*'Rent Roll'!$D$5*(1+Inputs!$B$7)^E$3*0.9)+IF(E4&lt;='Rent Roll'!$E$6,'Rent Roll'!$C$6*'Rent Roll'!$D$6*(1+'Rent Roll'!$J$6)^(E$3-1)*(1-'Rent Roll'!$I$6),'Rent Roll'!$C$6*'Rent Roll'!$D$6*(1+Inputs!$B$7)^E$3*0.9)+IF(E4&lt;='Rent Roll'!$E$7,'Rent Roll'!$C$7*'Rent Roll'!$D$7*(1+'Rent Roll'!$J$7)^(E$3-1)*(1-'Rent Roll'!$I$7),'Rent Roll'!$C$7*'Rent Roll'!$D$7*(1+Inputs!$B$7)^E$3*0.9)</f>
        <v>2740058.54775</v>
      </c>
      <c r="F5" s="0" t="n">
        <f aca="false">IF(F4&lt;='Rent Roll'!$E$2,'Rent Roll'!$C$2*'Rent Roll'!$D$2*(1+'Rent Roll'!$J$2)^(F$3-1)*(1-'Rent Roll'!$I$2),'Rent Roll'!$C$2*'Rent Roll'!$D$2*(1+Inputs!$B$7)^F$3*0.9)+IF(F4&lt;='Rent Roll'!$E$3,'Rent Roll'!$C$3*'Rent Roll'!$D$3*(1+'Rent Roll'!$J$3)^(F$3-1)*(1-'Rent Roll'!$I$3),'Rent Roll'!$C$3*'Rent Roll'!$D$3*(1+Inputs!$B$7)^F$3*0.9)+IF(F4&lt;='Rent Roll'!$E$4,'Rent Roll'!$C$4*'Rent Roll'!$D$4*(1+'Rent Roll'!$J$4)^(F$3-1)*(1-'Rent Roll'!$I$4),'Rent Roll'!$C$4*'Rent Roll'!$D$4*(1+Inputs!$B$7)^F$3*0.9)+IF(F4&lt;='Rent Roll'!$E$5,'Rent Roll'!$C$5*'Rent Roll'!$D$5*(1+'Rent Roll'!$J$5)^(F$3-1)*(1-'Rent Roll'!$I$5),'Rent Roll'!$C$5*'Rent Roll'!$D$5*(1+Inputs!$B$7)^F$3*0.9)+IF(F4&lt;='Rent Roll'!$E$6,'Rent Roll'!$C$6*'Rent Roll'!$D$6*(1+'Rent Roll'!$J$6)^(F$3-1)*(1-'Rent Roll'!$I$6),'Rent Roll'!$C$6*'Rent Roll'!$D$6*(1+Inputs!$B$7)^F$3*0.9)+IF(F4&lt;='Rent Roll'!$E$7,'Rent Roll'!$C$7*'Rent Roll'!$D$7*(1+'Rent Roll'!$J$7)^(F$3-1)*(1-'Rent Roll'!$I$7),'Rent Roll'!$C$7*'Rent Roll'!$D$7*(1+Inputs!$B$7)^F$3*0.9)</f>
        <v>2759810.16182328</v>
      </c>
      <c r="G5" s="0" t="n">
        <f aca="false">IF(G4&lt;='Rent Roll'!$E$2,'Rent Roll'!$C$2*'Rent Roll'!$D$2*(1+'Rent Roll'!$J$2)^(G$3-1)*(1-'Rent Roll'!$I$2),'Rent Roll'!$C$2*'Rent Roll'!$D$2*(1+Inputs!$B$7)^G$3*0.9)+IF(G4&lt;='Rent Roll'!$E$3,'Rent Roll'!$C$3*'Rent Roll'!$D$3*(1+'Rent Roll'!$J$3)^(G$3-1)*(1-'Rent Roll'!$I$3),'Rent Roll'!$C$3*'Rent Roll'!$D$3*(1+Inputs!$B$7)^G$3*0.9)+IF(G4&lt;='Rent Roll'!$E$4,'Rent Roll'!$C$4*'Rent Roll'!$D$4*(1+'Rent Roll'!$J$4)^(G$3-1)*(1-'Rent Roll'!$I$4),'Rent Roll'!$C$4*'Rent Roll'!$D$4*(1+Inputs!$B$7)^G$3*0.9)+IF(G4&lt;='Rent Roll'!$E$5,'Rent Roll'!$C$5*'Rent Roll'!$D$5*(1+'Rent Roll'!$J$5)^(G$3-1)*(1-'Rent Roll'!$I$5),'Rent Roll'!$C$5*'Rent Roll'!$D$5*(1+Inputs!$B$7)^G$3*0.9)+IF(G4&lt;='Rent Roll'!$E$6,'Rent Roll'!$C$6*'Rent Roll'!$D$6*(1+'Rent Roll'!$J$6)^(G$3-1)*(1-'Rent Roll'!$I$6),'Rent Roll'!$C$6*'Rent Roll'!$D$6*(1+Inputs!$B$7)^G$3*0.9)+IF(G4&lt;='Rent Roll'!$E$7,'Rent Roll'!$C$7*'Rent Roll'!$D$7*(1+'Rent Roll'!$J$7)^(G$3-1)*(1-'Rent Roll'!$I$7),'Rent Roll'!$C$7*'Rent Roll'!$D$7*(1+Inputs!$B$7)^G$3*0.9)</f>
        <v>2795384.95294361</v>
      </c>
      <c r="H5" s="0" t="n">
        <f aca="false">IF(H4&lt;='Rent Roll'!$E$2,'Rent Roll'!$C$2*'Rent Roll'!$D$2*(1+'Rent Roll'!$J$2)^(H$3-1)*(1-'Rent Roll'!$I$2),'Rent Roll'!$C$2*'Rent Roll'!$D$2*(1+Inputs!$B$7)^H$3*0.9)+IF(H4&lt;='Rent Roll'!$E$3,'Rent Roll'!$C$3*'Rent Roll'!$D$3*(1+'Rent Roll'!$J$3)^(H$3-1)*(1-'Rent Roll'!$I$3),'Rent Roll'!$C$3*'Rent Roll'!$D$3*(1+Inputs!$B$7)^H$3*0.9)+IF(H4&lt;='Rent Roll'!$E$4,'Rent Roll'!$C$4*'Rent Roll'!$D$4*(1+'Rent Roll'!$J$4)^(H$3-1)*(1-'Rent Roll'!$I$4),'Rent Roll'!$C$4*'Rent Roll'!$D$4*(1+Inputs!$B$7)^H$3*0.9)+IF(H4&lt;='Rent Roll'!$E$5,'Rent Roll'!$C$5*'Rent Roll'!$D$5*(1+'Rent Roll'!$J$5)^(H$3-1)*(1-'Rent Roll'!$I$5),'Rent Roll'!$C$5*'Rent Roll'!$D$5*(1+Inputs!$B$7)^H$3*0.9)+IF(H4&lt;='Rent Roll'!$E$6,'Rent Roll'!$C$6*'Rent Roll'!$D$6*(1+'Rent Roll'!$J$6)^(H$3-1)*(1-'Rent Roll'!$I$6),'Rent Roll'!$C$6*'Rent Roll'!$D$6*(1+Inputs!$B$7)^H$3*0.9)+IF(H4&lt;='Rent Roll'!$E$7,'Rent Roll'!$C$7*'Rent Roll'!$D$7*(1+'Rent Roll'!$J$7)^(H$3-1)*(1-'Rent Roll'!$I$7),'Rent Roll'!$C$7*'Rent Roll'!$D$7*(1+Inputs!$B$7)^H$3*0.9)</f>
        <v>2851237.03169235</v>
      </c>
      <c r="I5" s="0" t="n">
        <f aca="false">IF(I4&lt;='Rent Roll'!$E$2,'Rent Roll'!$C$2*'Rent Roll'!$D$2*(1+'Rent Roll'!$J$2)^(I$3-1)*(1-'Rent Roll'!$I$2),'Rent Roll'!$C$2*'Rent Roll'!$D$2*(1+Inputs!$B$7)^I$3*0.9)+IF(I4&lt;='Rent Roll'!$E$3,'Rent Roll'!$C$3*'Rent Roll'!$D$3*(1+'Rent Roll'!$J$3)^(I$3-1)*(1-'Rent Roll'!$I$3),'Rent Roll'!$C$3*'Rent Roll'!$D$3*(1+Inputs!$B$7)^I$3*0.9)+IF(I4&lt;='Rent Roll'!$E$4,'Rent Roll'!$C$4*'Rent Roll'!$D$4*(1+'Rent Roll'!$J$4)^(I$3-1)*(1-'Rent Roll'!$I$4),'Rent Roll'!$C$4*'Rent Roll'!$D$4*(1+Inputs!$B$7)^I$3*0.9)+IF(I4&lt;='Rent Roll'!$E$5,'Rent Roll'!$C$5*'Rent Roll'!$D$5*(1+'Rent Roll'!$J$5)^(I$3-1)*(1-'Rent Roll'!$I$5),'Rent Roll'!$C$5*'Rent Roll'!$D$5*(1+Inputs!$B$7)^I$3*0.9)+IF(I4&lt;='Rent Roll'!$E$6,'Rent Roll'!$C$6*'Rent Roll'!$D$6*(1+'Rent Roll'!$J$6)^(I$3-1)*(1-'Rent Roll'!$I$6),'Rent Roll'!$C$6*'Rent Roll'!$D$6*(1+Inputs!$B$7)^I$3*0.9)+IF(I4&lt;='Rent Roll'!$E$7,'Rent Roll'!$C$7*'Rent Roll'!$D$7*(1+'Rent Roll'!$J$7)^(I$3-1)*(1-'Rent Roll'!$I$7),'Rent Roll'!$C$7*'Rent Roll'!$D$7*(1+Inputs!$B$7)^I$3*0.9)</f>
        <v>2890140.79952667</v>
      </c>
      <c r="J5" s="0" t="n">
        <f aca="false">IF(J4&lt;='Rent Roll'!$E$2,'Rent Roll'!$C$2*'Rent Roll'!$D$2*(1+'Rent Roll'!$J$2)^(J$3-1)*(1-'Rent Roll'!$I$2),'Rent Roll'!$C$2*'Rent Roll'!$D$2*(1+Inputs!$B$7)^J$3*0.9)+IF(J4&lt;='Rent Roll'!$E$3,'Rent Roll'!$C$3*'Rent Roll'!$D$3*(1+'Rent Roll'!$J$3)^(J$3-1)*(1-'Rent Roll'!$I$3),'Rent Roll'!$C$3*'Rent Roll'!$D$3*(1+Inputs!$B$7)^J$3*0.9)+IF(J4&lt;='Rent Roll'!$E$4,'Rent Roll'!$C$4*'Rent Roll'!$D$4*(1+'Rent Roll'!$J$4)^(J$3-1)*(1-'Rent Roll'!$I$4),'Rent Roll'!$C$4*'Rent Roll'!$D$4*(1+Inputs!$B$7)^J$3*0.9)+IF(J4&lt;='Rent Roll'!$E$5,'Rent Roll'!$C$5*'Rent Roll'!$D$5*(1+'Rent Roll'!$J$5)^(J$3-1)*(1-'Rent Roll'!$I$5),'Rent Roll'!$C$5*'Rent Roll'!$D$5*(1+Inputs!$B$7)^J$3*0.9)+IF(J4&lt;='Rent Roll'!$E$6,'Rent Roll'!$C$6*'Rent Roll'!$D$6*(1+'Rent Roll'!$J$6)^(J$3-1)*(1-'Rent Roll'!$I$6),'Rent Roll'!$C$6*'Rent Roll'!$D$6*(1+Inputs!$B$7)^J$3*0.9)+IF(J4&lt;='Rent Roll'!$E$7,'Rent Roll'!$C$7*'Rent Roll'!$D$7*(1+'Rent Roll'!$J$7)^(J$3-1)*(1-'Rent Roll'!$I$7),'Rent Roll'!$C$7*'Rent Roll'!$D$7*(1+Inputs!$B$7)^J$3*0.9)</f>
        <v>2948079.72028398</v>
      </c>
      <c r="K5" s="0" t="n">
        <f aca="false">IF(K4&lt;='Rent Roll'!$E$2,'Rent Roll'!$C$2*'Rent Roll'!$D$2*(1+'Rent Roll'!$J$2)^(K$3-1)*(1-'Rent Roll'!$I$2),'Rent Roll'!$C$2*'Rent Roll'!$D$2*(1+Inputs!$B$7)^K$3*0.9)+IF(K4&lt;='Rent Roll'!$E$3,'Rent Roll'!$C$3*'Rent Roll'!$D$3*(1+'Rent Roll'!$J$3)^(K$3-1)*(1-'Rent Roll'!$I$3),'Rent Roll'!$C$3*'Rent Roll'!$D$3*(1+Inputs!$B$7)^K$3*0.9)+IF(K4&lt;='Rent Roll'!$E$4,'Rent Roll'!$C$4*'Rent Roll'!$D$4*(1+'Rent Roll'!$J$4)^(K$3-1)*(1-'Rent Roll'!$I$4),'Rent Roll'!$C$4*'Rent Roll'!$D$4*(1+Inputs!$B$7)^K$3*0.9)+IF(K4&lt;='Rent Roll'!$E$5,'Rent Roll'!$C$5*'Rent Roll'!$D$5*(1+'Rent Roll'!$J$5)^(K$3-1)*(1-'Rent Roll'!$I$5),'Rent Roll'!$C$5*'Rent Roll'!$D$5*(1+Inputs!$B$7)^K$3*0.9)+IF(K4&lt;='Rent Roll'!$E$6,'Rent Roll'!$C$6*'Rent Roll'!$D$6*(1+'Rent Roll'!$J$6)^(K$3-1)*(1-'Rent Roll'!$I$6),'Rent Roll'!$C$6*'Rent Roll'!$D$6*(1+Inputs!$B$7)^K$3*0.9)+IF(K4&lt;='Rent Roll'!$E$7,'Rent Roll'!$C$7*'Rent Roll'!$D$7*(1+'Rent Roll'!$J$7)^(K$3-1)*(1-'Rent Roll'!$I$7),'Rent Roll'!$C$7*'Rent Roll'!$D$7*(1+Inputs!$B$7)^K$3*0.9)</f>
        <v>3007323.96806791</v>
      </c>
      <c r="L5" s="0" t="n">
        <f aca="false">IF(L4&lt;='Rent Roll'!$E$2,'Rent Roll'!$C$2*'Rent Roll'!$D$2*(1+'Rent Roll'!$J$2)^(L$3-1)*(1-'Rent Roll'!$I$2),'Rent Roll'!$C$2*'Rent Roll'!$D$2*(1+Inputs!$B$7)^L$3*0.9)+IF(L4&lt;='Rent Roll'!$E$3,'Rent Roll'!$C$3*'Rent Roll'!$D$3*(1+'Rent Roll'!$J$3)^(L$3-1)*(1-'Rent Roll'!$I$3),'Rent Roll'!$C$3*'Rent Roll'!$D$3*(1+Inputs!$B$7)^L$3*0.9)+IF(L4&lt;='Rent Roll'!$E$4,'Rent Roll'!$C$4*'Rent Roll'!$D$4*(1+'Rent Roll'!$J$4)^(L$3-1)*(1-'Rent Roll'!$I$4),'Rent Roll'!$C$4*'Rent Roll'!$D$4*(1+Inputs!$B$7)^L$3*0.9)+IF(L4&lt;='Rent Roll'!$E$5,'Rent Roll'!$C$5*'Rent Roll'!$D$5*(1+'Rent Roll'!$J$5)^(L$3-1)*(1-'Rent Roll'!$I$5),'Rent Roll'!$C$5*'Rent Roll'!$D$5*(1+Inputs!$B$7)^L$3*0.9)+IF(L4&lt;='Rent Roll'!$E$6,'Rent Roll'!$C$6*'Rent Roll'!$D$6*(1+'Rent Roll'!$J$6)^(L$3-1)*(1-'Rent Roll'!$I$6),'Rent Roll'!$C$6*'Rent Roll'!$D$6*(1+Inputs!$B$7)^L$3*0.9)+IF(L4&lt;='Rent Roll'!$E$7,'Rent Roll'!$C$7*'Rent Roll'!$D$7*(1+'Rent Roll'!$J$7)^(L$3-1)*(1-'Rent Roll'!$I$7),'Rent Roll'!$C$7*'Rent Roll'!$D$7*(1+Inputs!$B$7)^L$3*0.9)</f>
        <v>3120398.08916025</v>
      </c>
    </row>
    <row r="6" customFormat="false" ht="15" hidden="false" customHeight="false" outlineLevel="0" collapsed="false">
      <c r="A6" s="0" t="s">
        <v>34</v>
      </c>
      <c r="B6" s="0" t="n">
        <f aca="false">0</f>
        <v>0</v>
      </c>
      <c r="C6" s="0" t="n">
        <f aca="false">Inputs!$B$10*(1.03)^(C$3-1)</f>
        <v>650000</v>
      </c>
      <c r="D6" s="0" t="n">
        <f aca="false">Inputs!$B$10*(1.03)^(D$3-1)</f>
        <v>669500</v>
      </c>
      <c r="E6" s="0" t="n">
        <f aca="false">Inputs!$B$10*(1.03)^(E$3-1)</f>
        <v>689585</v>
      </c>
      <c r="F6" s="0" t="n">
        <f aca="false">Inputs!$B$10*(1.03)^(F$3-1)</f>
        <v>710272.55</v>
      </c>
      <c r="G6" s="0" t="n">
        <f aca="false">Inputs!$B$10*(1.03)^(G$3-1)</f>
        <v>731580.7265</v>
      </c>
      <c r="H6" s="0" t="n">
        <f aca="false">Inputs!$B$10*(1.03)^(H$3-1)</f>
        <v>753528.148295</v>
      </c>
      <c r="I6" s="0" t="n">
        <f aca="false">Inputs!$B$10*(1.03)^(I$3-1)</f>
        <v>776133.99274385</v>
      </c>
      <c r="J6" s="0" t="n">
        <f aca="false">Inputs!$B$10*(1.03)^(J$3-1)</f>
        <v>799418.012526166</v>
      </c>
      <c r="K6" s="0" t="n">
        <f aca="false">Inputs!$B$10*(1.03)^(K$3-1)</f>
        <v>823400.552901951</v>
      </c>
      <c r="L6" s="0" t="n">
        <f aca="false">Inputs!$B$10*(1.03)^(L$3-1)</f>
        <v>848102.569489009</v>
      </c>
    </row>
    <row r="7" customFormat="false" ht="15" hidden="false" customHeight="false" outlineLevel="0" collapsed="false">
      <c r="A7" s="0" t="s">
        <v>35</v>
      </c>
      <c r="B7" s="0" t="n">
        <f aca="false">IF(B$3=10,B5*1.025/Inputs!$B$6,0)</f>
        <v>0</v>
      </c>
      <c r="C7" s="0" t="n">
        <f aca="false">IF(C$3=10,C5*1.025/Inputs!$B$6,0)</f>
        <v>0</v>
      </c>
      <c r="D7" s="0" t="n">
        <f aca="false">IF(D$3=10,D5*1.025/Inputs!$B$6,0)</f>
        <v>0</v>
      </c>
      <c r="E7" s="0" t="n">
        <f aca="false">IF(E$3=10,E5*1.025/Inputs!$B$6,0)</f>
        <v>0</v>
      </c>
      <c r="F7" s="0" t="n">
        <f aca="false">IF(F$3=10,F5*1.025/Inputs!$B$6,0)</f>
        <v>0</v>
      </c>
      <c r="G7" s="0" t="n">
        <f aca="false">IF(G$3=10,G5*1.025/Inputs!$B$6,0)</f>
        <v>0</v>
      </c>
      <c r="H7" s="0" t="n">
        <f aca="false">IF(H$3=10,H5*1.025/Inputs!$B$6,0)</f>
        <v>0</v>
      </c>
      <c r="I7" s="0" t="n">
        <f aca="false">IF(I$3=10,I5*1.025/Inputs!$B$6,0)</f>
        <v>0</v>
      </c>
      <c r="J7" s="0" t="n">
        <f aca="false">IF(J$3=10,J5*1.025/Inputs!$B$6,0)</f>
        <v>0</v>
      </c>
      <c r="K7" s="0" t="n">
        <f aca="false">IF(K$3=10,K5*1.025/Inputs!$B$6,0)</f>
        <v>0</v>
      </c>
      <c r="L7" s="0" t="n">
        <f aca="false">IF(L$3=10,L5*1.025/Inputs!$B$6,0)</f>
        <v>47383822.8353964</v>
      </c>
    </row>
    <row r="8" customFormat="false" ht="15" hidden="false" customHeight="false" outlineLevel="0" collapsed="false">
      <c r="A8" s="0" t="s">
        <v>36</v>
      </c>
      <c r="B8" s="0" t="n">
        <f aca="false">-Inputs!$B$4-NETWORKDAYS(Inputs!$B$8,Inputs!$B$9)*4500</f>
        <v>-38382500</v>
      </c>
      <c r="C8" s="0" t="n">
        <f aca="false">C5-C6+C7</f>
        <v>2011255</v>
      </c>
      <c r="D8" s="0" t="n">
        <f aca="false">D5-D6+D7</f>
        <v>2025629.85</v>
      </c>
      <c r="E8" s="0" t="n">
        <f aca="false">E5-E6+E7</f>
        <v>2050473.54775</v>
      </c>
      <c r="F8" s="0" t="n">
        <f aca="false">F5-F6+F7</f>
        <v>2049537.61182328</v>
      </c>
      <c r="G8" s="0" t="n">
        <f aca="false">G5-G6+G7</f>
        <v>2063804.22644361</v>
      </c>
      <c r="H8" s="0" t="n">
        <f aca="false">H5-H6+H7</f>
        <v>2097708.88339735</v>
      </c>
      <c r="I8" s="0" t="n">
        <f aca="false">I5-I6+I7</f>
        <v>2114006.80678282</v>
      </c>
      <c r="J8" s="0" t="n">
        <f aca="false">J5-J6+J7</f>
        <v>2148661.70775781</v>
      </c>
      <c r="K8" s="0" t="n">
        <f aca="false">K5-K6+K7</f>
        <v>2183923.41516596</v>
      </c>
      <c r="L8" s="0" t="n">
        <f aca="false">L5-L6+L7</f>
        <v>49656118.3550676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37</v>
      </c>
      <c r="B3" s="3" t="n">
        <f aca="false">XIRR('Cash Flow'!$B$8:$L$8,'Cash Flow'!$B$4:$L$4)</f>
        <v>0.0704494606424061</v>
      </c>
    </row>
    <row r="4" customFormat="false" ht="15" hidden="false" customHeight="false" outlineLevel="0" collapsed="false">
      <c r="A4" s="0" t="s">
        <v>38</v>
      </c>
      <c r="B4" s="2" t="n">
        <f aca="false">XNPV(Inputs!$B$5,'Cash Flow'!$B$8:$L$8,'Cash Flow'!$B$4:$L$4)</f>
        <v>-1310746.33754805</v>
      </c>
    </row>
    <row r="5" customFormat="false" ht="15" hidden="false" customHeight="false" outlineLevel="0" collapsed="false">
      <c r="A5" s="0" t="s">
        <v>39</v>
      </c>
      <c r="B5" s="5" t="n">
        <f aca="false">_xlfn.MAXIFS('Rent Roll'!D2:D7,'Rent Roll'!B2:B7,"&lt;&gt;Anchor")</f>
        <v>42</v>
      </c>
    </row>
    <row r="6" customFormat="false" ht="15" hidden="false" customHeight="false" outlineLevel="0" collapsed="false">
      <c r="A6" s="0" t="s">
        <v>40</v>
      </c>
      <c r="B6" s="5" t="n">
        <f aca="false">_xlfn.MINIFS('Rent Roll'!D2:D7,'Rent Roll'!B2:B7,"Big box")</f>
        <v>15.5</v>
      </c>
    </row>
    <row r="7" customFormat="false" ht="15" hidden="false" customHeight="false" outlineLevel="0" collapsed="false">
      <c r="A7" s="0" t="s">
        <v>41</v>
      </c>
      <c r="B7" s="6" t="n">
        <f aca="false">NETWORKDAYS(Inputs!$B$8,Inputs!$B$9)</f>
        <v>85</v>
      </c>
    </row>
    <row r="8" customFormat="false" ht="15" hidden="false" customHeight="false" outlineLevel="0" collapsed="false">
      <c r="A8" s="0" t="s">
        <v>42</v>
      </c>
      <c r="B8" s="7" t="n">
        <f aca="false">SUMPRODUCT('Rent Roll'!C2:C7,'Rent Roll'!H2:H7)/SUM('Rent Roll'!C2:C7)</f>
        <v>5.51815181518152</v>
      </c>
    </row>
    <row r="9" customFormat="false" ht="15" hidden="false" customHeight="false" outlineLevel="0" collapsed="false">
      <c r="A9" s="0" t="s">
        <v>43</v>
      </c>
      <c r="B9" s="2" t="n">
        <f aca="false">SUM('Cash Flow'!$B$8:$L$8)</f>
        <v>30018619.4041884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2026-10-18T00:22:16Z</dcterms:created>
  <dc:creator>openpyxl</dc:creator>
  <dc:description/>
  <dc:language>en-US</dc:language>
  <cp:lastModifiedBy/>
  <dcterms:modified xsi:type="dcterms:W3CDTF">2026-10-18T00:22:16Z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