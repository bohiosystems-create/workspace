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easonality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<sst xmlns="http://schemas.openxmlformats.org/spreadsheetml/2006/main" count="42" uniqueCount="40">
  <si>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SHINAGAWA BAY HOTEL – BUSINESS HOTEL, MONTHLY (JPY)</t>
  </si>
  <si>
    <t xml:space="preserve">Model start</t>
  </si>
  <si>
    <t xml:space="preserve">Rooms</t>
  </si>
  <si>
    <t xml:space="preserve">ADR, year 1 (¥)</t>
  </si>
  <si>
    <t xml:space="preserve">ADR growth a year</t>
  </si>
  <si>
    <t xml:space="preserve">Stabilised occupancy</t>
  </si>
  <si>
    <t xml:space="preserve">Ramp-up (months)</t>
  </si>
  <si>
    <t xml:space="preserve">F&amp;B and other revenue share</t>
  </si>
  <si>
    <t xml:space="preserve">Departmental costs share of revenue</t>
  </si>
  <si>
    <t xml:space="preserve">Undistributed costs a month (¥)</t>
  </si>
  <si>
    <t xml:space="preserve">Base management fee</t>
  </si>
  <si>
    <t xml:space="preserve">Incentive fee over the owner priority</t>
  </si>
  <si>
    <t xml:space="preserve">Owner priority a year (¥)</t>
  </si>
  <si>
    <t xml:space="preserve">FF&amp;E reserve</t>
  </si>
  <si>
    <t xml:space="preserve">Purchase price (¥)</t>
  </si>
  <si>
    <t xml:space="preserve">Loan to value</t>
  </si>
  <si>
    <t xml:space="preserve">Loan rate</t>
  </si>
  <si>
    <t xml:space="preserve">Exit cap rate</t>
  </si>
  <si>
    <t xml:space="preserve">Month</t>
  </si>
  <si>
    <t xml:space="preserve">Occupancy factor</t>
  </si>
  <si>
    <t xml:space="preserve">Date</t>
  </si>
  <si>
    <t xml:space="preserve">Occupancy</t>
  </si>
  <si>
    <t xml:space="preserve">ADR</t>
  </si>
  <si>
    <t xml:space="preserve">Rooms revenue</t>
  </si>
  <si>
    <t xml:space="preserve">Total revenue</t>
  </si>
  <si>
    <t xml:space="preserve">Departmental costs</t>
  </si>
  <si>
    <t xml:space="preserve">Undistributed costs</t>
  </si>
  <si>
    <t xml:space="preserve">GOP</t>
  </si>
  <si>
    <t xml:space="preserve">Base fee</t>
  </si>
  <si>
    <t xml:space="preserve">Incentive fee</t>
  </si>
  <si>
    <t xml:space="preserve">NOI</t>
  </si>
  <si>
    <t xml:space="preserve">Interest</t>
  </si>
  <si>
    <t xml:space="preserve">Equity cash flow</t>
  </si>
  <si>
    <t xml:space="preserve">Levered IRR</t>
  </si>
  <si>
    <t xml:space="preserve">Stabilised RevPAR, year 3 (¥)</t>
  </si>
  <si>
    <t xml:space="preserve">Average occupancy</t>
  </si>
  <si>
    <t xml:space="preserve">GOP margin</t>
  </si>
  <si>
    <t xml:space="preserve">Incentive fees paid (¥)</t>
  </si>
  <si>
    <t xml:space="preserve">Exit value (¥)</t>
  </si>
  <si>
    <t xml:space="preserve">Net profit (¥)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</si>
</sst>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\¥#,##0"/>
    <numFmt numFmtId="168" formatCode="0.00%"/>
    <numFmt numFmtId="169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412</v>
      </c>
    </row>
    <row r="5" customFormat="false" ht="15" hidden="false" customHeight="false" outlineLevel="0" collapsed="false">
      <c r="A5" s="0" t="s">
        <v>3</v>
      </c>
      <c r="B5" s="3" t="n">
        <v>18500</v>
      </c>
    </row>
    <row r="6" customFormat="false" ht="15" hidden="false" customHeight="false" outlineLevel="0" collapsed="false">
      <c r="A6" s="0" t="s">
        <v>4</v>
      </c>
      <c r="B6" s="4" t="n">
        <v>0.025</v>
      </c>
    </row>
    <row r="7" customFormat="false" ht="15" hidden="false" customHeight="false" outlineLevel="0" collapsed="false">
      <c r="A7" s="0" t="s">
        <v>5</v>
      </c>
      <c r="B7" s="4" t="n">
        <v>0.84</v>
      </c>
    </row>
    <row r="8" customFormat="false" ht="15" hidden="false" customHeight="false" outlineLevel="0" collapsed="false">
      <c r="A8" s="0" t="s">
        <v>6</v>
      </c>
      <c r="B8" s="5" t="n">
        <v>18</v>
      </c>
    </row>
    <row r="9" customFormat="false" ht="15" hidden="false" customHeight="false" outlineLevel="0" collapsed="false">
      <c r="A9" s="0" t="s">
        <v>7</v>
      </c>
      <c r="B9" s="4" t="n">
        <v>0.12</v>
      </c>
    </row>
    <row r="10" customFormat="false" ht="15" hidden="false" customHeight="false" outlineLevel="0" collapsed="false">
      <c r="A10" s="0" t="s">
        <v>8</v>
      </c>
      <c r="B10" s="4" t="n">
        <v>0.31</v>
      </c>
    </row>
    <row r="11" customFormat="false" ht="15" hidden="false" customHeight="false" outlineLevel="0" collapsed="false">
      <c r="A11" s="0" t="s">
        <v>9</v>
      </c>
      <c r="B11" s="3" t="n">
        <v>62000000</v>
      </c>
    </row>
    <row r="12" customFormat="false" ht="15" hidden="false" customHeight="false" outlineLevel="0" collapsed="false">
      <c r="A12" s="0" t="s">
        <v>10</v>
      </c>
      <c r="B12" s="4" t="n">
        <v>0.025</v>
      </c>
    </row>
    <row r="13" customFormat="false" ht="15" hidden="false" customHeight="false" outlineLevel="0" collapsed="false">
      <c r="A13" s="0" t="s">
        <v>11</v>
      </c>
      <c r="B13" s="4" t="n">
        <v>0.08</v>
      </c>
    </row>
    <row r="14" customFormat="false" ht="15" hidden="false" customHeight="false" outlineLevel="0" collapsed="false">
      <c r="A14" s="0" t="s">
        <v>12</v>
      </c>
      <c r="B14" s="3" t="n">
        <v>1450000000</v>
      </c>
    </row>
    <row r="15" customFormat="false" ht="15" hidden="false" customHeight="false" outlineLevel="0" collapsed="false">
      <c r="A15" s="0" t="s">
        <v>13</v>
      </c>
      <c r="B15" s="4" t="n">
        <v>0.04</v>
      </c>
    </row>
    <row r="16" customFormat="false" ht="15" hidden="false" customHeight="false" outlineLevel="0" collapsed="false">
      <c r="A16" s="0" t="s">
        <v>14</v>
      </c>
      <c r="B16" s="3" t="n">
        <v>21500000000</v>
      </c>
    </row>
    <row r="17" customFormat="false" ht="15" hidden="false" customHeight="false" outlineLevel="0" collapsed="false">
      <c r="A17" s="0" t="s">
        <v>15</v>
      </c>
      <c r="B17" s="4" t="n">
        <v>0.55</v>
      </c>
    </row>
    <row r="18" customFormat="false" ht="15" hidden="false" customHeight="false" outlineLevel="0" collapsed="false">
      <c r="A18" s="0" t="s">
        <v>16</v>
      </c>
      <c r="B18" s="4" t="n">
        <v>0.0135</v>
      </c>
    </row>
    <row r="19" customFormat="false" ht="15" hidden="false" customHeight="false" outlineLevel="0" collapsed="false">
      <c r="A19" s="0" t="s">
        <v>17</v>
      </c>
      <c r="B19" s="4" t="n">
        <v>0.042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</row>
    <row r="2" customFormat="false" ht="15" hidden="false" customHeight="false" outlineLevel="0" collapsed="false">
      <c r="A2" s="0" t="n">
        <v>1</v>
      </c>
      <c r="B2" s="0" t="n">
        <v>0.86</v>
      </c>
    </row>
    <row r="3" customFormat="false" ht="15" hidden="false" customHeight="false" outlineLevel="0" collapsed="false">
      <c r="A3" s="0" t="n">
        <v>2</v>
      </c>
      <c r="B3" s="0" t="n">
        <v>0.92</v>
      </c>
    </row>
    <row r="4" customFormat="false" ht="15" hidden="false" customHeight="false" outlineLevel="0" collapsed="false">
      <c r="A4" s="0" t="n">
        <v>3</v>
      </c>
      <c r="B4" s="0" t="n">
        <v>1.04</v>
      </c>
    </row>
    <row r="5" customFormat="false" ht="15" hidden="false" customHeight="false" outlineLevel="0" collapsed="false">
      <c r="A5" s="0" t="n">
        <v>4</v>
      </c>
      <c r="B5" s="0" t="n">
        <v>1.08</v>
      </c>
    </row>
    <row r="6" customFormat="false" ht="15" hidden="false" customHeight="false" outlineLevel="0" collapsed="false">
      <c r="A6" s="0" t="n">
        <v>5</v>
      </c>
      <c r="B6" s="0" t="n">
        <v>1.02</v>
      </c>
    </row>
    <row r="7" customFormat="false" ht="15" hidden="false" customHeight="false" outlineLevel="0" collapsed="false">
      <c r="A7" s="0" t="n">
        <v>6</v>
      </c>
      <c r="B7" s="0" t="n">
        <v>0.97</v>
      </c>
    </row>
    <row r="8" customFormat="false" ht="15" hidden="false" customHeight="false" outlineLevel="0" collapsed="false">
      <c r="A8" s="0" t="n">
        <v>7</v>
      </c>
      <c r="B8" s="0" t="n">
        <v>1.03</v>
      </c>
    </row>
    <row r="9" customFormat="false" ht="15" hidden="false" customHeight="false" outlineLevel="0" collapsed="false">
      <c r="A9" s="0" t="n">
        <v>8</v>
      </c>
      <c r="B9" s="0" t="n">
        <v>1.09</v>
      </c>
    </row>
    <row r="10" customFormat="false" ht="15" hidden="false" customHeight="false" outlineLevel="0" collapsed="false">
      <c r="A10" s="0" t="n">
        <v>9</v>
      </c>
      <c r="B10" s="0" t="n">
        <v>1</v>
      </c>
    </row>
    <row r="11" customFormat="false" ht="15" hidden="false" customHeight="false" outlineLevel="0" collapsed="false">
      <c r="A11" s="0" t="n">
        <v>10</v>
      </c>
      <c r="B11" s="0" t="n">
        <v>1.06</v>
      </c>
    </row>
    <row r="12" customFormat="false" ht="15" hidden="false" customHeight="false" outlineLevel="0" collapsed="false">
      <c r="A12" s="0" t="n">
        <v>11</v>
      </c>
      <c r="B12" s="0" t="n">
        <v>1.03</v>
      </c>
    </row>
    <row r="13" customFormat="false" ht="15" hidden="false" customHeight="false" outlineLevel="0" collapsed="false">
      <c r="A13" s="0" t="n">
        <v>12</v>
      </c>
      <c r="B13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  <c r="CC3" s="0" t="n">
        <v>79</v>
      </c>
      <c r="CD3" s="0" t="n">
        <v>80</v>
      </c>
      <c r="CE3" s="0" t="n">
        <v>81</v>
      </c>
      <c r="CF3" s="0" t="n">
        <v>82</v>
      </c>
      <c r="CG3" s="0" t="n">
        <v>83</v>
      </c>
      <c r="CH3" s="0" t="n">
        <v>84</v>
      </c>
      <c r="CI3" s="0" t="n">
        <v>85</v>
      </c>
      <c r="CJ3" s="0" t="n">
        <v>86</v>
      </c>
      <c r="CK3" s="0" t="n">
        <v>87</v>
      </c>
      <c r="CL3" s="0" t="n">
        <v>88</v>
      </c>
      <c r="CM3" s="0" t="n">
        <v>89</v>
      </c>
      <c r="CN3" s="0" t="n">
        <v>90</v>
      </c>
      <c r="CO3" s="0" t="n">
        <v>91</v>
      </c>
      <c r="CP3" s="0" t="n">
        <v>92</v>
      </c>
      <c r="CQ3" s="0" t="n">
        <v>93</v>
      </c>
      <c r="CR3" s="0" t="n">
        <v>94</v>
      </c>
      <c r="CS3" s="0" t="n">
        <v>95</v>
      </c>
      <c r="CT3" s="0" t="n">
        <v>96</v>
      </c>
      <c r="CU3" s="0" t="n">
        <v>97</v>
      </c>
      <c r="CV3" s="0" t="n">
        <v>98</v>
      </c>
      <c r="CW3" s="0" t="n">
        <v>99</v>
      </c>
      <c r="CX3" s="0" t="n">
        <v>100</v>
      </c>
      <c r="CY3" s="0" t="n">
        <v>101</v>
      </c>
      <c r="CZ3" s="0" t="n">
        <v>102</v>
      </c>
      <c r="DA3" s="0" t="n">
        <v>103</v>
      </c>
      <c r="DB3" s="0" t="n">
        <v>104</v>
      </c>
      <c r="DC3" s="0" t="n">
        <v>105</v>
      </c>
      <c r="DD3" s="0" t="n">
        <v>106</v>
      </c>
      <c r="DE3" s="0" t="n">
        <v>107</v>
      </c>
      <c r="DF3" s="0" t="n">
        <v>108</v>
      </c>
      <c r="DG3" s="0" t="n">
        <v>109</v>
      </c>
      <c r="DH3" s="0" t="n">
        <v>110</v>
      </c>
      <c r="DI3" s="0" t="n">
        <v>111</v>
      </c>
      <c r="DJ3" s="0" t="n">
        <v>112</v>
      </c>
      <c r="DK3" s="0" t="n">
        <v>113</v>
      </c>
      <c r="DL3" s="0" t="n">
        <v>114</v>
      </c>
      <c r="DM3" s="0" t="n">
        <v>115</v>
      </c>
      <c r="DN3" s="0" t="n">
        <v>116</v>
      </c>
      <c r="DO3" s="0" t="n">
        <v>117</v>
      </c>
      <c r="DP3" s="0" t="n">
        <v>118</v>
      </c>
      <c r="DQ3" s="0" t="n">
        <v>119</v>
      </c>
      <c r="DR3" s="0" t="n">
        <v>120</v>
      </c>
    </row>
    <row r="4" customFormat="false" ht="15" hidden="false" customHeight="false" outlineLevel="0" collapsed="false">
      <c r="A4" s="0" t="s">
        <v>20</v>
      </c>
      <c r="B4" s="1" t="n">
        <f aca="false">EOMONTH(Inputs!$B$3,B$3)</f>
        <v>46387</v>
      </c>
      <c r="C4" s="1" t="n">
        <f aca="false">EOMONTH(Inputs!$B$3,C$3)</f>
        <v>46418</v>
      </c>
      <c r="D4" s="1" t="n">
        <f aca="false">EOMONTH(Inputs!$B$3,D$3)</f>
        <v>46446</v>
      </c>
      <c r="E4" s="1" t="n">
        <f aca="false">EOMONTH(Inputs!$B$3,E$3)</f>
        <v>46477</v>
      </c>
      <c r="F4" s="1" t="n">
        <f aca="false">EOMONTH(Inputs!$B$3,F$3)</f>
        <v>46507</v>
      </c>
      <c r="G4" s="1" t="n">
        <f aca="false">EOMONTH(Inputs!$B$3,G$3)</f>
        <v>46538</v>
      </c>
      <c r="H4" s="1" t="n">
        <f aca="false">EOMONTH(Inputs!$B$3,H$3)</f>
        <v>46568</v>
      </c>
      <c r="I4" s="1" t="n">
        <f aca="false">EOMONTH(Inputs!$B$3,I$3)</f>
        <v>46599</v>
      </c>
      <c r="J4" s="1" t="n">
        <f aca="false">EOMONTH(Inputs!$B$3,J$3)</f>
        <v>46630</v>
      </c>
      <c r="K4" s="1" t="n">
        <f aca="false">EOMONTH(Inputs!$B$3,K$3)</f>
        <v>46660</v>
      </c>
      <c r="L4" s="1" t="n">
        <f aca="false">EOMONTH(Inputs!$B$3,L$3)</f>
        <v>46691</v>
      </c>
      <c r="M4" s="1" t="n">
        <f aca="false">EOMONTH(Inputs!$B$3,M$3)</f>
        <v>46721</v>
      </c>
      <c r="N4" s="1" t="n">
        <f aca="false">EOMONTH(Inputs!$B$3,N$3)</f>
        <v>46752</v>
      </c>
      <c r="O4" s="1" t="n">
        <f aca="false">EOMONTH(Inputs!$B$3,O$3)</f>
        <v>46783</v>
      </c>
      <c r="P4" s="1" t="n">
        <f aca="false">EOMONTH(Inputs!$B$3,P$3)</f>
        <v>46812</v>
      </c>
      <c r="Q4" s="1" t="n">
        <f aca="false">EOMONTH(Inputs!$B$3,Q$3)</f>
        <v>46843</v>
      </c>
      <c r="R4" s="1" t="n">
        <f aca="false">EOMONTH(Inputs!$B$3,R$3)</f>
        <v>46873</v>
      </c>
      <c r="S4" s="1" t="n">
        <f aca="false">EOMONTH(Inputs!$B$3,S$3)</f>
        <v>46904</v>
      </c>
      <c r="T4" s="1" t="n">
        <f aca="false">EOMONTH(Inputs!$B$3,T$3)</f>
        <v>46934</v>
      </c>
      <c r="U4" s="1" t="n">
        <f aca="false">EOMONTH(Inputs!$B$3,U$3)</f>
        <v>46965</v>
      </c>
      <c r="V4" s="1" t="n">
        <f aca="false">EOMONTH(Inputs!$B$3,V$3)</f>
        <v>46996</v>
      </c>
      <c r="W4" s="1" t="n">
        <f aca="false">EOMONTH(Inputs!$B$3,W$3)</f>
        <v>47026</v>
      </c>
      <c r="X4" s="1" t="n">
        <f aca="false">EOMONTH(Inputs!$B$3,X$3)</f>
        <v>47057</v>
      </c>
      <c r="Y4" s="1" t="n">
        <f aca="false">EOMONTH(Inputs!$B$3,Y$3)</f>
        <v>47087</v>
      </c>
      <c r="Z4" s="1" t="n">
        <f aca="false">EOMONTH(Inputs!$B$3,Z$3)</f>
        <v>47118</v>
      </c>
      <c r="AA4" s="1" t="n">
        <f aca="false">EOMONTH(Inputs!$B$3,AA$3)</f>
        <v>47149</v>
      </c>
      <c r="AB4" s="1" t="n">
        <f aca="false">EOMONTH(Inputs!$B$3,AB$3)</f>
        <v>47177</v>
      </c>
      <c r="AC4" s="1" t="n">
        <f aca="false">EOMONTH(Inputs!$B$3,AC$3)</f>
        <v>47208</v>
      </c>
      <c r="AD4" s="1" t="n">
        <f aca="false">EOMONTH(Inputs!$B$3,AD$3)</f>
        <v>47238</v>
      </c>
      <c r="AE4" s="1" t="n">
        <f aca="false">EOMONTH(Inputs!$B$3,AE$3)</f>
        <v>47269</v>
      </c>
      <c r="AF4" s="1" t="n">
        <f aca="false">EOMONTH(Inputs!$B$3,AF$3)</f>
        <v>47299</v>
      </c>
      <c r="AG4" s="1" t="n">
        <f aca="false">EOMONTH(Inputs!$B$3,AG$3)</f>
        <v>47330</v>
      </c>
      <c r="AH4" s="1" t="n">
        <f aca="false">EOMONTH(Inputs!$B$3,AH$3)</f>
        <v>47361</v>
      </c>
      <c r="AI4" s="1" t="n">
        <f aca="false">EOMONTH(Inputs!$B$3,AI$3)</f>
        <v>47391</v>
      </c>
      <c r="AJ4" s="1" t="n">
        <f aca="false">EOMONTH(Inputs!$B$3,AJ$3)</f>
        <v>47422</v>
      </c>
      <c r="AK4" s="1" t="n">
        <f aca="false">EOMONTH(Inputs!$B$3,AK$3)</f>
        <v>47452</v>
      </c>
      <c r="AL4" s="1" t="n">
        <f aca="false">EOMONTH(Inputs!$B$3,AL$3)</f>
        <v>47483</v>
      </c>
      <c r="AM4" s="1" t="n">
        <f aca="false">EOMONTH(Inputs!$B$3,AM$3)</f>
        <v>47514</v>
      </c>
      <c r="AN4" s="1" t="n">
        <f aca="false">EOMONTH(Inputs!$B$3,AN$3)</f>
        <v>47542</v>
      </c>
      <c r="AO4" s="1" t="n">
        <f aca="false">EOMONTH(Inputs!$B$3,AO$3)</f>
        <v>47573</v>
      </c>
      <c r="AP4" s="1" t="n">
        <f aca="false">EOMONTH(Inputs!$B$3,AP$3)</f>
        <v>47603</v>
      </c>
      <c r="AQ4" s="1" t="n">
        <f aca="false">EOMONTH(Inputs!$B$3,AQ$3)</f>
        <v>47634</v>
      </c>
      <c r="AR4" s="1" t="n">
        <f aca="false">EOMONTH(Inputs!$B$3,AR$3)</f>
        <v>47664</v>
      </c>
      <c r="AS4" s="1" t="n">
        <f aca="false">EOMONTH(Inputs!$B$3,AS$3)</f>
        <v>47695</v>
      </c>
      <c r="AT4" s="1" t="n">
        <f aca="false">EOMONTH(Inputs!$B$3,AT$3)</f>
        <v>47726</v>
      </c>
      <c r="AU4" s="1" t="n">
        <f aca="false">EOMONTH(Inputs!$B$3,AU$3)</f>
        <v>47756</v>
      </c>
      <c r="AV4" s="1" t="n">
        <f aca="false">EOMONTH(Inputs!$B$3,AV$3)</f>
        <v>47787</v>
      </c>
      <c r="AW4" s="1" t="n">
        <f aca="false">EOMONTH(Inputs!$B$3,AW$3)</f>
        <v>47817</v>
      </c>
      <c r="AX4" s="1" t="n">
        <f aca="false">EOMONTH(Inputs!$B$3,AX$3)</f>
        <v>47848</v>
      </c>
      <c r="AY4" s="1" t="n">
        <f aca="false">EOMONTH(Inputs!$B$3,AY$3)</f>
        <v>47879</v>
      </c>
      <c r="AZ4" s="1" t="n">
        <f aca="false">EOMONTH(Inputs!$B$3,AZ$3)</f>
        <v>47907</v>
      </c>
      <c r="BA4" s="1" t="n">
        <f aca="false">EOMONTH(Inputs!$B$3,BA$3)</f>
        <v>47938</v>
      </c>
      <c r="BB4" s="1" t="n">
        <f aca="false">EOMONTH(Inputs!$B$3,BB$3)</f>
        <v>47968</v>
      </c>
      <c r="BC4" s="1" t="n">
        <f aca="false">EOMONTH(Inputs!$B$3,BC$3)</f>
        <v>47999</v>
      </c>
      <c r="BD4" s="1" t="n">
        <f aca="false">EOMONTH(Inputs!$B$3,BD$3)</f>
        <v>48029</v>
      </c>
      <c r="BE4" s="1" t="n">
        <f aca="false">EOMONTH(Inputs!$B$3,BE$3)</f>
        <v>48060</v>
      </c>
      <c r="BF4" s="1" t="n">
        <f aca="false">EOMONTH(Inputs!$B$3,BF$3)</f>
        <v>48091</v>
      </c>
      <c r="BG4" s="1" t="n">
        <f aca="false">EOMONTH(Inputs!$B$3,BG$3)</f>
        <v>48121</v>
      </c>
      <c r="BH4" s="1" t="n">
        <f aca="false">EOMONTH(Inputs!$B$3,BH$3)</f>
        <v>48152</v>
      </c>
      <c r="BI4" s="1" t="n">
        <f aca="false">EOMONTH(Inputs!$B$3,BI$3)</f>
        <v>48182</v>
      </c>
      <c r="BJ4" s="1" t="n">
        <f aca="false">EOMONTH(Inputs!$B$3,BJ$3)</f>
        <v>48213</v>
      </c>
      <c r="BK4" s="1" t="n">
        <f aca="false">EOMONTH(Inputs!$B$3,BK$3)</f>
        <v>48244</v>
      </c>
      <c r="BL4" s="1" t="n">
        <f aca="false">EOMONTH(Inputs!$B$3,BL$3)</f>
        <v>48273</v>
      </c>
      <c r="BM4" s="1" t="n">
        <f aca="false">EOMONTH(Inputs!$B$3,BM$3)</f>
        <v>48304</v>
      </c>
      <c r="BN4" s="1" t="n">
        <f aca="false">EOMONTH(Inputs!$B$3,BN$3)</f>
        <v>48334</v>
      </c>
      <c r="BO4" s="1" t="n">
        <f aca="false">EOMONTH(Inputs!$B$3,BO$3)</f>
        <v>48365</v>
      </c>
      <c r="BP4" s="1" t="n">
        <f aca="false">EOMONTH(Inputs!$B$3,BP$3)</f>
        <v>48395</v>
      </c>
      <c r="BQ4" s="1" t="n">
        <f aca="false">EOMONTH(Inputs!$B$3,BQ$3)</f>
        <v>48426</v>
      </c>
      <c r="BR4" s="1" t="n">
        <f aca="false">EOMONTH(Inputs!$B$3,BR$3)</f>
        <v>48457</v>
      </c>
      <c r="BS4" s="1" t="n">
        <f aca="false">EOMONTH(Inputs!$B$3,BS$3)</f>
        <v>48487</v>
      </c>
      <c r="BT4" s="1" t="n">
        <f aca="false">EOMONTH(Inputs!$B$3,BT$3)</f>
        <v>48518</v>
      </c>
      <c r="BU4" s="1" t="n">
        <f aca="false">EOMONTH(Inputs!$B$3,BU$3)</f>
        <v>48548</v>
      </c>
      <c r="BV4" s="1" t="n">
        <f aca="false">EOMONTH(Inputs!$B$3,BV$3)</f>
        <v>48579</v>
      </c>
      <c r="BW4" s="1" t="n">
        <f aca="false">EOMONTH(Inputs!$B$3,BW$3)</f>
        <v>48610</v>
      </c>
      <c r="BX4" s="1" t="n">
        <f aca="false">EOMONTH(Inputs!$B$3,BX$3)</f>
        <v>48638</v>
      </c>
      <c r="BY4" s="1" t="n">
        <f aca="false">EOMONTH(Inputs!$B$3,BY$3)</f>
        <v>48669</v>
      </c>
      <c r="BZ4" s="1" t="n">
        <f aca="false">EOMONTH(Inputs!$B$3,BZ$3)</f>
        <v>48699</v>
      </c>
      <c r="CA4" s="1" t="n">
        <f aca="false">EOMONTH(Inputs!$B$3,CA$3)</f>
        <v>48730</v>
      </c>
      <c r="CB4" s="1" t="n">
        <f aca="false">EOMONTH(Inputs!$B$3,CB$3)</f>
        <v>48760</v>
      </c>
      <c r="CC4" s="1" t="n">
        <f aca="false">EOMONTH(Inputs!$B$3,CC$3)</f>
        <v>48791</v>
      </c>
      <c r="CD4" s="1" t="n">
        <f aca="false">EOMONTH(Inputs!$B$3,CD$3)</f>
        <v>48822</v>
      </c>
      <c r="CE4" s="1" t="n">
        <f aca="false">EOMONTH(Inputs!$B$3,CE$3)</f>
        <v>48852</v>
      </c>
      <c r="CF4" s="1" t="n">
        <f aca="false">EOMONTH(Inputs!$B$3,CF$3)</f>
        <v>48883</v>
      </c>
      <c r="CG4" s="1" t="n">
        <f aca="false">EOMONTH(Inputs!$B$3,CG$3)</f>
        <v>48913</v>
      </c>
      <c r="CH4" s="1" t="n">
        <f aca="false">EOMONTH(Inputs!$B$3,CH$3)</f>
        <v>48944</v>
      </c>
      <c r="CI4" s="1" t="n">
        <f aca="false">EOMONTH(Inputs!$B$3,CI$3)</f>
        <v>48975</v>
      </c>
      <c r="CJ4" s="1" t="n">
        <f aca="false">EOMONTH(Inputs!$B$3,CJ$3)</f>
        <v>49003</v>
      </c>
      <c r="CK4" s="1" t="n">
        <f aca="false">EOMONTH(Inputs!$B$3,CK$3)</f>
        <v>49034</v>
      </c>
      <c r="CL4" s="1" t="n">
        <f aca="false">EOMONTH(Inputs!$B$3,CL$3)</f>
        <v>49064</v>
      </c>
      <c r="CM4" s="1" t="n">
        <f aca="false">EOMONTH(Inputs!$B$3,CM$3)</f>
        <v>49095</v>
      </c>
      <c r="CN4" s="1" t="n">
        <f aca="false">EOMONTH(Inputs!$B$3,CN$3)</f>
        <v>49125</v>
      </c>
      <c r="CO4" s="1" t="n">
        <f aca="false">EOMONTH(Inputs!$B$3,CO$3)</f>
        <v>49156</v>
      </c>
      <c r="CP4" s="1" t="n">
        <f aca="false">EOMONTH(Inputs!$B$3,CP$3)</f>
        <v>49187</v>
      </c>
      <c r="CQ4" s="1" t="n">
        <f aca="false">EOMONTH(Inputs!$B$3,CQ$3)</f>
        <v>49217</v>
      </c>
      <c r="CR4" s="1" t="n">
        <f aca="false">EOMONTH(Inputs!$B$3,CR$3)</f>
        <v>49248</v>
      </c>
      <c r="CS4" s="1" t="n">
        <f aca="false">EOMONTH(Inputs!$B$3,CS$3)</f>
        <v>49278</v>
      </c>
      <c r="CT4" s="1" t="n">
        <f aca="false">EOMONTH(Inputs!$B$3,CT$3)</f>
        <v>49309</v>
      </c>
      <c r="CU4" s="1" t="n">
        <f aca="false">EOMONTH(Inputs!$B$3,CU$3)</f>
        <v>49340</v>
      </c>
      <c r="CV4" s="1" t="n">
        <f aca="false">EOMONTH(Inputs!$B$3,CV$3)</f>
        <v>49368</v>
      </c>
      <c r="CW4" s="1" t="n">
        <f aca="false">EOMONTH(Inputs!$B$3,CW$3)</f>
        <v>49399</v>
      </c>
      <c r="CX4" s="1" t="n">
        <f aca="false">EOMONTH(Inputs!$B$3,CX$3)</f>
        <v>49429</v>
      </c>
      <c r="CY4" s="1" t="n">
        <f aca="false">EOMONTH(Inputs!$B$3,CY$3)</f>
        <v>49460</v>
      </c>
      <c r="CZ4" s="1" t="n">
        <f aca="false">EOMONTH(Inputs!$B$3,CZ$3)</f>
        <v>49490</v>
      </c>
      <c r="DA4" s="1" t="n">
        <f aca="false">EOMONTH(Inputs!$B$3,DA$3)</f>
        <v>49521</v>
      </c>
      <c r="DB4" s="1" t="n">
        <f aca="false">EOMONTH(Inputs!$B$3,DB$3)</f>
        <v>49552</v>
      </c>
      <c r="DC4" s="1" t="n">
        <f aca="false">EOMONTH(Inputs!$B$3,DC$3)</f>
        <v>49582</v>
      </c>
      <c r="DD4" s="1" t="n">
        <f aca="false">EOMONTH(Inputs!$B$3,DD$3)</f>
        <v>49613</v>
      </c>
      <c r="DE4" s="1" t="n">
        <f aca="false">EOMONTH(Inputs!$B$3,DE$3)</f>
        <v>49643</v>
      </c>
      <c r="DF4" s="1" t="n">
        <f aca="false">EOMONTH(Inputs!$B$3,DF$3)</f>
        <v>49674</v>
      </c>
      <c r="DG4" s="1" t="n">
        <f aca="false">EOMONTH(Inputs!$B$3,DG$3)</f>
        <v>49705</v>
      </c>
      <c r="DH4" s="1" t="n">
        <f aca="false">EOMONTH(Inputs!$B$3,DH$3)</f>
        <v>49734</v>
      </c>
      <c r="DI4" s="1" t="n">
        <f aca="false">EOMONTH(Inputs!$B$3,DI$3)</f>
        <v>49765</v>
      </c>
      <c r="DJ4" s="1" t="n">
        <f aca="false">EOMONTH(Inputs!$B$3,DJ$3)</f>
        <v>49795</v>
      </c>
      <c r="DK4" s="1" t="n">
        <f aca="false">EOMONTH(Inputs!$B$3,DK$3)</f>
        <v>49826</v>
      </c>
      <c r="DL4" s="1" t="n">
        <f aca="false">EOMONTH(Inputs!$B$3,DL$3)</f>
        <v>49856</v>
      </c>
      <c r="DM4" s="1" t="n">
        <f aca="false">EOMONTH(Inputs!$B$3,DM$3)</f>
        <v>49887</v>
      </c>
      <c r="DN4" s="1" t="n">
        <f aca="false">EOMONTH(Inputs!$B$3,DN$3)</f>
        <v>49918</v>
      </c>
      <c r="DO4" s="1" t="n">
        <f aca="false">EOMONTH(Inputs!$B$3,DO$3)</f>
        <v>49948</v>
      </c>
      <c r="DP4" s="1" t="n">
        <f aca="false">EOMONTH(Inputs!$B$3,DP$3)</f>
        <v>49979</v>
      </c>
      <c r="DQ4" s="1" t="n">
        <f aca="false">EOMONTH(Inputs!$B$3,DQ$3)</f>
        <v>50009</v>
      </c>
      <c r="DR4" s="1" t="n">
        <f aca="false">EOMONTH(Inputs!$B$3,DR$3)</f>
        <v>50040</v>
      </c>
    </row>
    <row r="5" customFormat="false" ht="15" hidden="false" customHeight="false" outlineLevel="0" collapsed="false">
      <c r="A5" s="0" t="s">
        <v>21</v>
      </c>
      <c r="B5" s="0" t="n">
        <f aca="false">0</f>
        <v>0</v>
      </c>
      <c r="C5" s="0" t="n">
        <f aca="false">Inputs!$B$7*MIN(1,0.55+0.45*C$3/Inputs!$B$8)*CHOOSE(MONTH(C4),Seasonality!$B$2,Seasonality!$B$3,Seasonality!$B$4,Seasonality!$B$5,Seasonality!$B$6,Seasonality!$B$7,Seasonality!$B$8,Seasonality!$B$9,Seasonality!$B$10,Seasonality!$B$11,Seasonality!$B$12,Seasonality!$B$13)</f>
        <v>0.41538</v>
      </c>
      <c r="D5" s="0" t="n">
        <f aca="false">Inputs!$B$7*MIN(1,0.55+0.45*D$3/Inputs!$B$8)*CHOOSE(MONTH(D4),Seasonality!$B$2,Seasonality!$B$3,Seasonality!$B$4,Seasonality!$B$5,Seasonality!$B$6,Seasonality!$B$7,Seasonality!$B$8,Seasonality!$B$9,Seasonality!$B$10,Seasonality!$B$11,Seasonality!$B$12,Seasonality!$B$13)</f>
        <v>0.46368</v>
      </c>
      <c r="E5" s="0" t="n">
        <f aca="false">Inputs!$B$7*MIN(1,0.55+0.45*E$3/Inputs!$B$8)*CHOOSE(MONTH(E4),Seasonality!$B$2,Seasonality!$B$3,Seasonality!$B$4,Seasonality!$B$5,Seasonality!$B$6,Seasonality!$B$7,Seasonality!$B$8,Seasonality!$B$9,Seasonality!$B$10,Seasonality!$B$11,Seasonality!$B$12,Seasonality!$B$13)</f>
        <v>0.546</v>
      </c>
      <c r="F5" s="0" t="n">
        <f aca="false">Inputs!$B$7*MIN(1,0.55+0.45*F$3/Inputs!$B$8)*CHOOSE(MONTH(F4),Seasonality!$B$2,Seasonality!$B$3,Seasonality!$B$4,Seasonality!$B$5,Seasonality!$B$6,Seasonality!$B$7,Seasonality!$B$8,Seasonality!$B$9,Seasonality!$B$10,Seasonality!$B$11,Seasonality!$B$12,Seasonality!$B$13)</f>
        <v>0.58968</v>
      </c>
      <c r="G5" s="0" t="n">
        <f aca="false">Inputs!$B$7*MIN(1,0.55+0.45*G$3/Inputs!$B$8)*CHOOSE(MONTH(G4),Seasonality!$B$2,Seasonality!$B$3,Seasonality!$B$4,Seasonality!$B$5,Seasonality!$B$6,Seasonality!$B$7,Seasonality!$B$8,Seasonality!$B$9,Seasonality!$B$10,Seasonality!$B$11,Seasonality!$B$12,Seasonality!$B$13)</f>
        <v>0.57834</v>
      </c>
      <c r="H5" s="0" t="n">
        <f aca="false">Inputs!$B$7*MIN(1,0.55+0.45*H$3/Inputs!$B$8)*CHOOSE(MONTH(H4),Seasonality!$B$2,Seasonality!$B$3,Seasonality!$B$4,Seasonality!$B$5,Seasonality!$B$6,Seasonality!$B$7,Seasonality!$B$8,Seasonality!$B$9,Seasonality!$B$10,Seasonality!$B$11,Seasonality!$B$12,Seasonality!$B$13)</f>
        <v>0.57036</v>
      </c>
      <c r="I5" s="0" t="n">
        <f aca="false">Inputs!$B$7*MIN(1,0.55+0.45*I$3/Inputs!$B$8)*CHOOSE(MONTH(I4),Seasonality!$B$2,Seasonality!$B$3,Seasonality!$B$4,Seasonality!$B$5,Seasonality!$B$6,Seasonality!$B$7,Seasonality!$B$8,Seasonality!$B$9,Seasonality!$B$10,Seasonality!$B$11,Seasonality!$B$12,Seasonality!$B$13)</f>
        <v>0.62727</v>
      </c>
      <c r="J5" s="0" t="n">
        <f aca="false">Inputs!$B$7*MIN(1,0.55+0.45*J$3/Inputs!$B$8)*CHOOSE(MONTH(J4),Seasonality!$B$2,Seasonality!$B$3,Seasonality!$B$4,Seasonality!$B$5,Seasonality!$B$6,Seasonality!$B$7,Seasonality!$B$8,Seasonality!$B$9,Seasonality!$B$10,Seasonality!$B$11,Seasonality!$B$12,Seasonality!$B$13)</f>
        <v>0.6867</v>
      </c>
      <c r="K5" s="0" t="n">
        <f aca="false">Inputs!$B$7*MIN(1,0.55+0.45*K$3/Inputs!$B$8)*CHOOSE(MONTH(K4),Seasonality!$B$2,Seasonality!$B$3,Seasonality!$B$4,Seasonality!$B$5,Seasonality!$B$6,Seasonality!$B$7,Seasonality!$B$8,Seasonality!$B$9,Seasonality!$B$10,Seasonality!$B$11,Seasonality!$B$12,Seasonality!$B$13)</f>
        <v>0.651</v>
      </c>
      <c r="L5" s="0" t="n">
        <f aca="false">Inputs!$B$7*MIN(1,0.55+0.45*L$3/Inputs!$B$8)*CHOOSE(MONTH(L4),Seasonality!$B$2,Seasonality!$B$3,Seasonality!$B$4,Seasonality!$B$5,Seasonality!$B$6,Seasonality!$B$7,Seasonality!$B$8,Seasonality!$B$9,Seasonality!$B$10,Seasonality!$B$11,Seasonality!$B$12,Seasonality!$B$13)</f>
        <v>0.71232</v>
      </c>
      <c r="M5" s="0" t="n">
        <f aca="false">Inputs!$B$7*MIN(1,0.55+0.45*M$3/Inputs!$B$8)*CHOOSE(MONTH(M4),Seasonality!$B$2,Seasonality!$B$3,Seasonality!$B$4,Seasonality!$B$5,Seasonality!$B$6,Seasonality!$B$7,Seasonality!$B$8,Seasonality!$B$9,Seasonality!$B$10,Seasonality!$B$11,Seasonality!$B$12,Seasonality!$B$13)</f>
        <v>0.71379</v>
      </c>
      <c r="N5" s="0" t="n">
        <f aca="false">Inputs!$B$7*MIN(1,0.55+0.45*N$3/Inputs!$B$8)*CHOOSE(MONTH(N4),Seasonality!$B$2,Seasonality!$B$3,Seasonality!$B$4,Seasonality!$B$5,Seasonality!$B$6,Seasonality!$B$7,Seasonality!$B$8,Seasonality!$B$9,Seasonality!$B$10,Seasonality!$B$11,Seasonality!$B$12,Seasonality!$B$13)</f>
        <v>0.6426</v>
      </c>
      <c r="O5" s="0" t="n">
        <f aca="false">Inputs!$B$7*MIN(1,0.55+0.45*O$3/Inputs!$B$8)*CHOOSE(MONTH(O4),Seasonality!$B$2,Seasonality!$B$3,Seasonality!$B$4,Seasonality!$B$5,Seasonality!$B$6,Seasonality!$B$7,Seasonality!$B$8,Seasonality!$B$9,Seasonality!$B$10,Seasonality!$B$11,Seasonality!$B$12,Seasonality!$B$13)</f>
        <v>0.6321</v>
      </c>
      <c r="P5" s="0" t="n">
        <f aca="false">Inputs!$B$7*MIN(1,0.55+0.45*P$3/Inputs!$B$8)*CHOOSE(MONTH(P4),Seasonality!$B$2,Seasonality!$B$3,Seasonality!$B$4,Seasonality!$B$5,Seasonality!$B$6,Seasonality!$B$7,Seasonality!$B$8,Seasonality!$B$9,Seasonality!$B$10,Seasonality!$B$11,Seasonality!$B$12,Seasonality!$B$13)</f>
        <v>0.69552</v>
      </c>
      <c r="Q5" s="0" t="n">
        <f aca="false">Inputs!$B$7*MIN(1,0.55+0.45*Q$3/Inputs!$B$8)*CHOOSE(MONTH(Q4),Seasonality!$B$2,Seasonality!$B$3,Seasonality!$B$4,Seasonality!$B$5,Seasonality!$B$6,Seasonality!$B$7,Seasonality!$B$8,Seasonality!$B$9,Seasonality!$B$10,Seasonality!$B$11,Seasonality!$B$12,Seasonality!$B$13)</f>
        <v>0.80808</v>
      </c>
      <c r="R5" s="0" t="n">
        <f aca="false">Inputs!$B$7*MIN(1,0.55+0.45*R$3/Inputs!$B$8)*CHOOSE(MONTH(R4),Seasonality!$B$2,Seasonality!$B$3,Seasonality!$B$4,Seasonality!$B$5,Seasonality!$B$6,Seasonality!$B$7,Seasonality!$B$8,Seasonality!$B$9,Seasonality!$B$10,Seasonality!$B$11,Seasonality!$B$12,Seasonality!$B$13)</f>
        <v>0.86184</v>
      </c>
      <c r="S5" s="0" t="n">
        <f aca="false">Inputs!$B$7*MIN(1,0.55+0.45*S$3/Inputs!$B$8)*CHOOSE(MONTH(S4),Seasonality!$B$2,Seasonality!$B$3,Seasonality!$B$4,Seasonality!$B$5,Seasonality!$B$6,Seasonality!$B$7,Seasonality!$B$8,Seasonality!$B$9,Seasonality!$B$10,Seasonality!$B$11,Seasonality!$B$12,Seasonality!$B$13)</f>
        <v>0.83538</v>
      </c>
      <c r="T5" s="0" t="n">
        <f aca="false">Inputs!$B$7*MIN(1,0.55+0.45*T$3/Inputs!$B$8)*CHOOSE(MONTH(T4),Seasonality!$B$2,Seasonality!$B$3,Seasonality!$B$4,Seasonality!$B$5,Seasonality!$B$6,Seasonality!$B$7,Seasonality!$B$8,Seasonality!$B$9,Seasonality!$B$10,Seasonality!$B$11,Seasonality!$B$12,Seasonality!$B$13)</f>
        <v>0.8148</v>
      </c>
      <c r="U5" s="0" t="n">
        <f aca="false">Inputs!$B$7*MIN(1,0.55+0.45*U$3/Inputs!$B$8)*CHOOSE(MONTH(U4),Seasonality!$B$2,Seasonality!$B$3,Seasonality!$B$4,Seasonality!$B$5,Seasonality!$B$6,Seasonality!$B$7,Seasonality!$B$8,Seasonality!$B$9,Seasonality!$B$10,Seasonality!$B$11,Seasonality!$B$12,Seasonality!$B$13)</f>
        <v>0.8652</v>
      </c>
      <c r="V5" s="0" t="n">
        <f aca="false">Inputs!$B$7*MIN(1,0.55+0.45*V$3/Inputs!$B$8)*CHOOSE(MONTH(V4),Seasonality!$B$2,Seasonality!$B$3,Seasonality!$B$4,Seasonality!$B$5,Seasonality!$B$6,Seasonality!$B$7,Seasonality!$B$8,Seasonality!$B$9,Seasonality!$B$10,Seasonality!$B$11,Seasonality!$B$12,Seasonality!$B$13)</f>
        <v>0.9156</v>
      </c>
      <c r="W5" s="0" t="n">
        <f aca="false">Inputs!$B$7*MIN(1,0.55+0.45*W$3/Inputs!$B$8)*CHOOSE(MONTH(W4),Seasonality!$B$2,Seasonality!$B$3,Seasonality!$B$4,Seasonality!$B$5,Seasonality!$B$6,Seasonality!$B$7,Seasonality!$B$8,Seasonality!$B$9,Seasonality!$B$10,Seasonality!$B$11,Seasonality!$B$12,Seasonality!$B$13)</f>
        <v>0.84</v>
      </c>
      <c r="X5" s="0" t="n">
        <f aca="false">Inputs!$B$7*MIN(1,0.55+0.45*X$3/Inputs!$B$8)*CHOOSE(MONTH(X4),Seasonality!$B$2,Seasonality!$B$3,Seasonality!$B$4,Seasonality!$B$5,Seasonality!$B$6,Seasonality!$B$7,Seasonality!$B$8,Seasonality!$B$9,Seasonality!$B$10,Seasonality!$B$11,Seasonality!$B$12,Seasonality!$B$13)</f>
        <v>0.8904</v>
      </c>
      <c r="Y5" s="0" t="n">
        <f aca="false">Inputs!$B$7*MIN(1,0.55+0.45*Y$3/Inputs!$B$8)*CHOOSE(MONTH(Y4),Seasonality!$B$2,Seasonality!$B$3,Seasonality!$B$4,Seasonality!$B$5,Seasonality!$B$6,Seasonality!$B$7,Seasonality!$B$8,Seasonality!$B$9,Seasonality!$B$10,Seasonality!$B$11,Seasonality!$B$12,Seasonality!$B$13)</f>
        <v>0.8652</v>
      </c>
      <c r="Z5" s="0" t="n">
        <f aca="false">Inputs!$B$7*MIN(1,0.55+0.45*Z$3/Inputs!$B$8)*CHOOSE(MONTH(Z4),Seasonality!$B$2,Seasonality!$B$3,Seasonality!$B$4,Seasonality!$B$5,Seasonality!$B$6,Seasonality!$B$7,Seasonality!$B$8,Seasonality!$B$9,Seasonality!$B$10,Seasonality!$B$11,Seasonality!$B$12,Seasonality!$B$13)</f>
        <v>0.756</v>
      </c>
      <c r="AA5" s="0" t="n">
        <f aca="false">Inputs!$B$7*MIN(1,0.55+0.45*AA$3/Inputs!$B$8)*CHOOSE(MONTH(AA4),Seasonality!$B$2,Seasonality!$B$3,Seasonality!$B$4,Seasonality!$B$5,Seasonality!$B$6,Seasonality!$B$7,Seasonality!$B$8,Seasonality!$B$9,Seasonality!$B$10,Seasonality!$B$11,Seasonality!$B$12,Seasonality!$B$13)</f>
        <v>0.7224</v>
      </c>
      <c r="AB5" s="0" t="n">
        <f aca="false">Inputs!$B$7*MIN(1,0.55+0.45*AB$3/Inputs!$B$8)*CHOOSE(MONTH(AB4),Seasonality!$B$2,Seasonality!$B$3,Seasonality!$B$4,Seasonality!$B$5,Seasonality!$B$6,Seasonality!$B$7,Seasonality!$B$8,Seasonality!$B$9,Seasonality!$B$10,Seasonality!$B$11,Seasonality!$B$12,Seasonality!$B$13)</f>
        <v>0.7728</v>
      </c>
      <c r="AC5" s="0" t="n">
        <f aca="false">Inputs!$B$7*MIN(1,0.55+0.45*AC$3/Inputs!$B$8)*CHOOSE(MONTH(AC4),Seasonality!$B$2,Seasonality!$B$3,Seasonality!$B$4,Seasonality!$B$5,Seasonality!$B$6,Seasonality!$B$7,Seasonality!$B$8,Seasonality!$B$9,Seasonality!$B$10,Seasonality!$B$11,Seasonality!$B$12,Seasonality!$B$13)</f>
        <v>0.8736</v>
      </c>
      <c r="AD5" s="0" t="n">
        <f aca="false">Inputs!$B$7*MIN(1,0.55+0.45*AD$3/Inputs!$B$8)*CHOOSE(MONTH(AD4),Seasonality!$B$2,Seasonality!$B$3,Seasonality!$B$4,Seasonality!$B$5,Seasonality!$B$6,Seasonality!$B$7,Seasonality!$B$8,Seasonality!$B$9,Seasonality!$B$10,Seasonality!$B$11,Seasonality!$B$12,Seasonality!$B$13)</f>
        <v>0.9072</v>
      </c>
      <c r="AE5" s="0" t="n">
        <f aca="false">Inputs!$B$7*MIN(1,0.55+0.45*AE$3/Inputs!$B$8)*CHOOSE(MONTH(AE4),Seasonality!$B$2,Seasonality!$B$3,Seasonality!$B$4,Seasonality!$B$5,Seasonality!$B$6,Seasonality!$B$7,Seasonality!$B$8,Seasonality!$B$9,Seasonality!$B$10,Seasonality!$B$11,Seasonality!$B$12,Seasonality!$B$13)</f>
        <v>0.8568</v>
      </c>
      <c r="AF5" s="0" t="n">
        <f aca="false">Inputs!$B$7*MIN(1,0.55+0.45*AF$3/Inputs!$B$8)*CHOOSE(MONTH(AF4),Seasonality!$B$2,Seasonality!$B$3,Seasonality!$B$4,Seasonality!$B$5,Seasonality!$B$6,Seasonality!$B$7,Seasonality!$B$8,Seasonality!$B$9,Seasonality!$B$10,Seasonality!$B$11,Seasonality!$B$12,Seasonality!$B$13)</f>
        <v>0.8148</v>
      </c>
      <c r="AG5" s="0" t="n">
        <f aca="false">Inputs!$B$7*MIN(1,0.55+0.45*AG$3/Inputs!$B$8)*CHOOSE(MONTH(AG4),Seasonality!$B$2,Seasonality!$B$3,Seasonality!$B$4,Seasonality!$B$5,Seasonality!$B$6,Seasonality!$B$7,Seasonality!$B$8,Seasonality!$B$9,Seasonality!$B$10,Seasonality!$B$11,Seasonality!$B$12,Seasonality!$B$13)</f>
        <v>0.8652</v>
      </c>
      <c r="AH5" s="0" t="n">
        <f aca="false">Inputs!$B$7*MIN(1,0.55+0.45*AH$3/Inputs!$B$8)*CHOOSE(MONTH(AH4),Seasonality!$B$2,Seasonality!$B$3,Seasonality!$B$4,Seasonality!$B$5,Seasonality!$B$6,Seasonality!$B$7,Seasonality!$B$8,Seasonality!$B$9,Seasonality!$B$10,Seasonality!$B$11,Seasonality!$B$12,Seasonality!$B$13)</f>
        <v>0.9156</v>
      </c>
      <c r="AI5" s="0" t="n">
        <f aca="false">Inputs!$B$7*MIN(1,0.55+0.45*AI$3/Inputs!$B$8)*CHOOSE(MONTH(AI4),Seasonality!$B$2,Seasonality!$B$3,Seasonality!$B$4,Seasonality!$B$5,Seasonality!$B$6,Seasonality!$B$7,Seasonality!$B$8,Seasonality!$B$9,Seasonality!$B$10,Seasonality!$B$11,Seasonality!$B$12,Seasonality!$B$13)</f>
        <v>0.84</v>
      </c>
      <c r="AJ5" s="0" t="n">
        <f aca="false">Inputs!$B$7*MIN(1,0.55+0.45*AJ$3/Inputs!$B$8)*CHOOSE(MONTH(AJ4),Seasonality!$B$2,Seasonality!$B$3,Seasonality!$B$4,Seasonality!$B$5,Seasonality!$B$6,Seasonality!$B$7,Seasonality!$B$8,Seasonality!$B$9,Seasonality!$B$10,Seasonality!$B$11,Seasonality!$B$12,Seasonality!$B$13)</f>
        <v>0.8904</v>
      </c>
      <c r="AK5" s="0" t="n">
        <f aca="false">Inputs!$B$7*MIN(1,0.55+0.45*AK$3/Inputs!$B$8)*CHOOSE(MONTH(AK4),Seasonality!$B$2,Seasonality!$B$3,Seasonality!$B$4,Seasonality!$B$5,Seasonality!$B$6,Seasonality!$B$7,Seasonality!$B$8,Seasonality!$B$9,Seasonality!$B$10,Seasonality!$B$11,Seasonality!$B$12,Seasonality!$B$13)</f>
        <v>0.8652</v>
      </c>
      <c r="AL5" s="0" t="n">
        <f aca="false">Inputs!$B$7*MIN(1,0.55+0.45*AL$3/Inputs!$B$8)*CHOOSE(MONTH(AL4),Seasonality!$B$2,Seasonality!$B$3,Seasonality!$B$4,Seasonality!$B$5,Seasonality!$B$6,Seasonality!$B$7,Seasonality!$B$8,Seasonality!$B$9,Seasonality!$B$10,Seasonality!$B$11,Seasonality!$B$12,Seasonality!$B$13)</f>
        <v>0.756</v>
      </c>
      <c r="AM5" s="0" t="n">
        <f aca="false">Inputs!$B$7*MIN(1,0.55+0.45*AM$3/Inputs!$B$8)*CHOOSE(MONTH(AM4),Seasonality!$B$2,Seasonality!$B$3,Seasonality!$B$4,Seasonality!$B$5,Seasonality!$B$6,Seasonality!$B$7,Seasonality!$B$8,Seasonality!$B$9,Seasonality!$B$10,Seasonality!$B$11,Seasonality!$B$12,Seasonality!$B$13)</f>
        <v>0.7224</v>
      </c>
      <c r="AN5" s="0" t="n">
        <f aca="false">Inputs!$B$7*MIN(1,0.55+0.45*AN$3/Inputs!$B$8)*CHOOSE(MONTH(AN4),Seasonality!$B$2,Seasonality!$B$3,Seasonality!$B$4,Seasonality!$B$5,Seasonality!$B$6,Seasonality!$B$7,Seasonality!$B$8,Seasonality!$B$9,Seasonality!$B$10,Seasonality!$B$11,Seasonality!$B$12,Seasonality!$B$13)</f>
        <v>0.7728</v>
      </c>
      <c r="AO5" s="0" t="n">
        <f aca="false">Inputs!$B$7*MIN(1,0.55+0.45*AO$3/Inputs!$B$8)*CHOOSE(MONTH(AO4),Seasonality!$B$2,Seasonality!$B$3,Seasonality!$B$4,Seasonality!$B$5,Seasonality!$B$6,Seasonality!$B$7,Seasonality!$B$8,Seasonality!$B$9,Seasonality!$B$10,Seasonality!$B$11,Seasonality!$B$12,Seasonality!$B$13)</f>
        <v>0.8736</v>
      </c>
      <c r="AP5" s="0" t="n">
        <f aca="false">Inputs!$B$7*MIN(1,0.55+0.45*AP$3/Inputs!$B$8)*CHOOSE(MONTH(AP4),Seasonality!$B$2,Seasonality!$B$3,Seasonality!$B$4,Seasonality!$B$5,Seasonality!$B$6,Seasonality!$B$7,Seasonality!$B$8,Seasonality!$B$9,Seasonality!$B$10,Seasonality!$B$11,Seasonality!$B$12,Seasonality!$B$13)</f>
        <v>0.9072</v>
      </c>
      <c r="AQ5" s="0" t="n">
        <f aca="false">Inputs!$B$7*MIN(1,0.55+0.45*AQ$3/Inputs!$B$8)*CHOOSE(MONTH(AQ4),Seasonality!$B$2,Seasonality!$B$3,Seasonality!$B$4,Seasonality!$B$5,Seasonality!$B$6,Seasonality!$B$7,Seasonality!$B$8,Seasonality!$B$9,Seasonality!$B$10,Seasonality!$B$11,Seasonality!$B$12,Seasonality!$B$13)</f>
        <v>0.8568</v>
      </c>
      <c r="AR5" s="0" t="n">
        <f aca="false">Inputs!$B$7*MIN(1,0.55+0.45*AR$3/Inputs!$B$8)*CHOOSE(MONTH(AR4),Seasonality!$B$2,Seasonality!$B$3,Seasonality!$B$4,Seasonality!$B$5,Seasonality!$B$6,Seasonality!$B$7,Seasonality!$B$8,Seasonality!$B$9,Seasonality!$B$10,Seasonality!$B$11,Seasonality!$B$12,Seasonality!$B$13)</f>
        <v>0.8148</v>
      </c>
      <c r="AS5" s="0" t="n">
        <f aca="false">Inputs!$B$7*MIN(1,0.55+0.45*AS$3/Inputs!$B$8)*CHOOSE(MONTH(AS4),Seasonality!$B$2,Seasonality!$B$3,Seasonality!$B$4,Seasonality!$B$5,Seasonality!$B$6,Seasonality!$B$7,Seasonality!$B$8,Seasonality!$B$9,Seasonality!$B$10,Seasonality!$B$11,Seasonality!$B$12,Seasonality!$B$13)</f>
        <v>0.8652</v>
      </c>
      <c r="AT5" s="0" t="n">
        <f aca="false">Inputs!$B$7*MIN(1,0.55+0.45*AT$3/Inputs!$B$8)*CHOOSE(MONTH(AT4),Seasonality!$B$2,Seasonality!$B$3,Seasonality!$B$4,Seasonality!$B$5,Seasonality!$B$6,Seasonality!$B$7,Seasonality!$B$8,Seasonality!$B$9,Seasonality!$B$10,Seasonality!$B$11,Seasonality!$B$12,Seasonality!$B$13)</f>
        <v>0.9156</v>
      </c>
      <c r="AU5" s="0" t="n">
        <f aca="false">Inputs!$B$7*MIN(1,0.55+0.45*AU$3/Inputs!$B$8)*CHOOSE(MONTH(AU4),Seasonality!$B$2,Seasonality!$B$3,Seasonality!$B$4,Seasonality!$B$5,Seasonality!$B$6,Seasonality!$B$7,Seasonality!$B$8,Seasonality!$B$9,Seasonality!$B$10,Seasonality!$B$11,Seasonality!$B$12,Seasonality!$B$13)</f>
        <v>0.84</v>
      </c>
      <c r="AV5" s="0" t="n">
        <f aca="false">Inputs!$B$7*MIN(1,0.55+0.45*AV$3/Inputs!$B$8)*CHOOSE(MONTH(AV4),Seasonality!$B$2,Seasonality!$B$3,Seasonality!$B$4,Seasonality!$B$5,Seasonality!$B$6,Seasonality!$B$7,Seasonality!$B$8,Seasonality!$B$9,Seasonality!$B$10,Seasonality!$B$11,Seasonality!$B$12,Seasonality!$B$13)</f>
        <v>0.8904</v>
      </c>
      <c r="AW5" s="0" t="n">
        <f aca="false">Inputs!$B$7*MIN(1,0.55+0.45*AW$3/Inputs!$B$8)*CHOOSE(MONTH(AW4),Seasonality!$B$2,Seasonality!$B$3,Seasonality!$B$4,Seasonality!$B$5,Seasonality!$B$6,Seasonality!$B$7,Seasonality!$B$8,Seasonality!$B$9,Seasonality!$B$10,Seasonality!$B$11,Seasonality!$B$12,Seasonality!$B$13)</f>
        <v>0.8652</v>
      </c>
      <c r="AX5" s="0" t="n">
        <f aca="false">Inputs!$B$7*MIN(1,0.55+0.45*AX$3/Inputs!$B$8)*CHOOSE(MONTH(AX4),Seasonality!$B$2,Seasonality!$B$3,Seasonality!$B$4,Seasonality!$B$5,Seasonality!$B$6,Seasonality!$B$7,Seasonality!$B$8,Seasonality!$B$9,Seasonality!$B$10,Seasonality!$B$11,Seasonality!$B$12,Seasonality!$B$13)</f>
        <v>0.756</v>
      </c>
      <c r="AY5" s="0" t="n">
        <f aca="false">Inputs!$B$7*MIN(1,0.55+0.45*AY$3/Inputs!$B$8)*CHOOSE(MONTH(AY4),Seasonality!$B$2,Seasonality!$B$3,Seasonality!$B$4,Seasonality!$B$5,Seasonality!$B$6,Seasonality!$B$7,Seasonality!$B$8,Seasonality!$B$9,Seasonality!$B$10,Seasonality!$B$11,Seasonality!$B$12,Seasonality!$B$13)</f>
        <v>0.7224</v>
      </c>
      <c r="AZ5" s="0" t="n">
        <f aca="false">Inputs!$B$7*MIN(1,0.55+0.45*AZ$3/Inputs!$B$8)*CHOOSE(MONTH(AZ4),Seasonality!$B$2,Seasonality!$B$3,Seasonality!$B$4,Seasonality!$B$5,Seasonality!$B$6,Seasonality!$B$7,Seasonality!$B$8,Seasonality!$B$9,Seasonality!$B$10,Seasonality!$B$11,Seasonality!$B$12,Seasonality!$B$13)</f>
        <v>0.7728</v>
      </c>
      <c r="BA5" s="0" t="n">
        <f aca="false">Inputs!$B$7*MIN(1,0.55+0.45*BA$3/Inputs!$B$8)*CHOOSE(MONTH(BA4),Seasonality!$B$2,Seasonality!$B$3,Seasonality!$B$4,Seasonality!$B$5,Seasonality!$B$6,Seasonality!$B$7,Seasonality!$B$8,Seasonality!$B$9,Seasonality!$B$10,Seasonality!$B$11,Seasonality!$B$12,Seasonality!$B$13)</f>
        <v>0.8736</v>
      </c>
      <c r="BB5" s="0" t="n">
        <f aca="false">Inputs!$B$7*MIN(1,0.55+0.45*BB$3/Inputs!$B$8)*CHOOSE(MONTH(BB4),Seasonality!$B$2,Seasonality!$B$3,Seasonality!$B$4,Seasonality!$B$5,Seasonality!$B$6,Seasonality!$B$7,Seasonality!$B$8,Seasonality!$B$9,Seasonality!$B$10,Seasonality!$B$11,Seasonality!$B$12,Seasonality!$B$13)</f>
        <v>0.9072</v>
      </c>
      <c r="BC5" s="0" t="n">
        <f aca="false">Inputs!$B$7*MIN(1,0.55+0.45*BC$3/Inputs!$B$8)*CHOOSE(MONTH(BC4),Seasonality!$B$2,Seasonality!$B$3,Seasonality!$B$4,Seasonality!$B$5,Seasonality!$B$6,Seasonality!$B$7,Seasonality!$B$8,Seasonality!$B$9,Seasonality!$B$10,Seasonality!$B$11,Seasonality!$B$12,Seasonality!$B$13)</f>
        <v>0.8568</v>
      </c>
      <c r="BD5" s="0" t="n">
        <f aca="false">Inputs!$B$7*MIN(1,0.55+0.45*BD$3/Inputs!$B$8)*CHOOSE(MONTH(BD4),Seasonality!$B$2,Seasonality!$B$3,Seasonality!$B$4,Seasonality!$B$5,Seasonality!$B$6,Seasonality!$B$7,Seasonality!$B$8,Seasonality!$B$9,Seasonality!$B$10,Seasonality!$B$11,Seasonality!$B$12,Seasonality!$B$13)</f>
        <v>0.8148</v>
      </c>
      <c r="BE5" s="0" t="n">
        <f aca="false">Inputs!$B$7*MIN(1,0.55+0.45*BE$3/Inputs!$B$8)*CHOOSE(MONTH(BE4),Seasonality!$B$2,Seasonality!$B$3,Seasonality!$B$4,Seasonality!$B$5,Seasonality!$B$6,Seasonality!$B$7,Seasonality!$B$8,Seasonality!$B$9,Seasonality!$B$10,Seasonality!$B$11,Seasonality!$B$12,Seasonality!$B$13)</f>
        <v>0.8652</v>
      </c>
      <c r="BF5" s="0" t="n">
        <f aca="false">Inputs!$B$7*MIN(1,0.55+0.45*BF$3/Inputs!$B$8)*CHOOSE(MONTH(BF4),Seasonality!$B$2,Seasonality!$B$3,Seasonality!$B$4,Seasonality!$B$5,Seasonality!$B$6,Seasonality!$B$7,Seasonality!$B$8,Seasonality!$B$9,Seasonality!$B$10,Seasonality!$B$11,Seasonality!$B$12,Seasonality!$B$13)</f>
        <v>0.9156</v>
      </c>
      <c r="BG5" s="0" t="n">
        <f aca="false">Inputs!$B$7*MIN(1,0.55+0.45*BG$3/Inputs!$B$8)*CHOOSE(MONTH(BG4),Seasonality!$B$2,Seasonality!$B$3,Seasonality!$B$4,Seasonality!$B$5,Seasonality!$B$6,Seasonality!$B$7,Seasonality!$B$8,Seasonality!$B$9,Seasonality!$B$10,Seasonality!$B$11,Seasonality!$B$12,Seasonality!$B$13)</f>
        <v>0.84</v>
      </c>
      <c r="BH5" s="0" t="n">
        <f aca="false">Inputs!$B$7*MIN(1,0.55+0.45*BH$3/Inputs!$B$8)*CHOOSE(MONTH(BH4),Seasonality!$B$2,Seasonality!$B$3,Seasonality!$B$4,Seasonality!$B$5,Seasonality!$B$6,Seasonality!$B$7,Seasonality!$B$8,Seasonality!$B$9,Seasonality!$B$10,Seasonality!$B$11,Seasonality!$B$12,Seasonality!$B$13)</f>
        <v>0.8904</v>
      </c>
      <c r="BI5" s="0" t="n">
        <f aca="false">Inputs!$B$7*MIN(1,0.55+0.45*BI$3/Inputs!$B$8)*CHOOSE(MONTH(BI4),Seasonality!$B$2,Seasonality!$B$3,Seasonality!$B$4,Seasonality!$B$5,Seasonality!$B$6,Seasonality!$B$7,Seasonality!$B$8,Seasonality!$B$9,Seasonality!$B$10,Seasonality!$B$11,Seasonality!$B$12,Seasonality!$B$13)</f>
        <v>0.8652</v>
      </c>
      <c r="BJ5" s="0" t="n">
        <f aca="false">Inputs!$B$7*MIN(1,0.55+0.45*BJ$3/Inputs!$B$8)*CHOOSE(MONTH(BJ4),Seasonality!$B$2,Seasonality!$B$3,Seasonality!$B$4,Seasonality!$B$5,Seasonality!$B$6,Seasonality!$B$7,Seasonality!$B$8,Seasonality!$B$9,Seasonality!$B$10,Seasonality!$B$11,Seasonality!$B$12,Seasonality!$B$13)</f>
        <v>0.756</v>
      </c>
      <c r="BK5" s="0" t="n">
        <f aca="false">Inputs!$B$7*MIN(1,0.55+0.45*BK$3/Inputs!$B$8)*CHOOSE(MONTH(BK4),Seasonality!$B$2,Seasonality!$B$3,Seasonality!$B$4,Seasonality!$B$5,Seasonality!$B$6,Seasonality!$B$7,Seasonality!$B$8,Seasonality!$B$9,Seasonality!$B$10,Seasonality!$B$11,Seasonality!$B$12,Seasonality!$B$13)</f>
        <v>0.7224</v>
      </c>
      <c r="BL5" s="0" t="n">
        <f aca="false">Inputs!$B$7*MIN(1,0.55+0.45*BL$3/Inputs!$B$8)*CHOOSE(MONTH(BL4),Seasonality!$B$2,Seasonality!$B$3,Seasonality!$B$4,Seasonality!$B$5,Seasonality!$B$6,Seasonality!$B$7,Seasonality!$B$8,Seasonality!$B$9,Seasonality!$B$10,Seasonality!$B$11,Seasonality!$B$12,Seasonality!$B$13)</f>
        <v>0.7728</v>
      </c>
      <c r="BM5" s="0" t="n">
        <f aca="false">Inputs!$B$7*MIN(1,0.55+0.45*BM$3/Inputs!$B$8)*CHOOSE(MONTH(BM4),Seasonality!$B$2,Seasonality!$B$3,Seasonality!$B$4,Seasonality!$B$5,Seasonality!$B$6,Seasonality!$B$7,Seasonality!$B$8,Seasonality!$B$9,Seasonality!$B$10,Seasonality!$B$11,Seasonality!$B$12,Seasonality!$B$13)</f>
        <v>0.8736</v>
      </c>
      <c r="BN5" s="0" t="n">
        <f aca="false">Inputs!$B$7*MIN(1,0.55+0.45*BN$3/Inputs!$B$8)*CHOOSE(MONTH(BN4),Seasonality!$B$2,Seasonality!$B$3,Seasonality!$B$4,Seasonality!$B$5,Seasonality!$B$6,Seasonality!$B$7,Seasonality!$B$8,Seasonality!$B$9,Seasonality!$B$10,Seasonality!$B$11,Seasonality!$B$12,Seasonality!$B$13)</f>
        <v>0.9072</v>
      </c>
      <c r="BO5" s="0" t="n">
        <f aca="false">Inputs!$B$7*MIN(1,0.55+0.45*BO$3/Inputs!$B$8)*CHOOSE(MONTH(BO4),Seasonality!$B$2,Seasonality!$B$3,Seasonality!$B$4,Seasonality!$B$5,Seasonality!$B$6,Seasonality!$B$7,Seasonality!$B$8,Seasonality!$B$9,Seasonality!$B$10,Seasonality!$B$11,Seasonality!$B$12,Seasonality!$B$13)</f>
        <v>0.8568</v>
      </c>
      <c r="BP5" s="0" t="n">
        <f aca="false">Inputs!$B$7*MIN(1,0.55+0.45*BP$3/Inputs!$B$8)*CHOOSE(MONTH(BP4),Seasonality!$B$2,Seasonality!$B$3,Seasonality!$B$4,Seasonality!$B$5,Seasonality!$B$6,Seasonality!$B$7,Seasonality!$B$8,Seasonality!$B$9,Seasonality!$B$10,Seasonality!$B$11,Seasonality!$B$12,Seasonality!$B$13)</f>
        <v>0.8148</v>
      </c>
      <c r="BQ5" s="0" t="n">
        <f aca="false">Inputs!$B$7*MIN(1,0.55+0.45*BQ$3/Inputs!$B$8)*CHOOSE(MONTH(BQ4),Seasonality!$B$2,Seasonality!$B$3,Seasonality!$B$4,Seasonality!$B$5,Seasonality!$B$6,Seasonality!$B$7,Seasonality!$B$8,Seasonality!$B$9,Seasonality!$B$10,Seasonality!$B$11,Seasonality!$B$12,Seasonality!$B$13)</f>
        <v>0.8652</v>
      </c>
      <c r="BR5" s="0" t="n">
        <f aca="false">Inputs!$B$7*MIN(1,0.55+0.45*BR$3/Inputs!$B$8)*CHOOSE(MONTH(BR4),Seasonality!$B$2,Seasonality!$B$3,Seasonality!$B$4,Seasonality!$B$5,Seasonality!$B$6,Seasonality!$B$7,Seasonality!$B$8,Seasonality!$B$9,Seasonality!$B$10,Seasonality!$B$11,Seasonality!$B$12,Seasonality!$B$13)</f>
        <v>0.9156</v>
      </c>
      <c r="BS5" s="0" t="n">
        <f aca="false">Inputs!$B$7*MIN(1,0.55+0.45*BS$3/Inputs!$B$8)*CHOOSE(MONTH(BS4),Seasonality!$B$2,Seasonality!$B$3,Seasonality!$B$4,Seasonality!$B$5,Seasonality!$B$6,Seasonality!$B$7,Seasonality!$B$8,Seasonality!$B$9,Seasonality!$B$10,Seasonality!$B$11,Seasonality!$B$12,Seasonality!$B$13)</f>
        <v>0.84</v>
      </c>
      <c r="BT5" s="0" t="n">
        <f aca="false">Inputs!$B$7*MIN(1,0.55+0.45*BT$3/Inputs!$B$8)*CHOOSE(MONTH(BT4),Seasonality!$B$2,Seasonality!$B$3,Seasonality!$B$4,Seasonality!$B$5,Seasonality!$B$6,Seasonality!$B$7,Seasonality!$B$8,Seasonality!$B$9,Seasonality!$B$10,Seasonality!$B$11,Seasonality!$B$12,Seasonality!$B$13)</f>
        <v>0.8904</v>
      </c>
      <c r="BU5" s="0" t="n">
        <f aca="false">Inputs!$B$7*MIN(1,0.55+0.45*BU$3/Inputs!$B$8)*CHOOSE(MONTH(BU4),Seasonality!$B$2,Seasonality!$B$3,Seasonality!$B$4,Seasonality!$B$5,Seasonality!$B$6,Seasonality!$B$7,Seasonality!$B$8,Seasonality!$B$9,Seasonality!$B$10,Seasonality!$B$11,Seasonality!$B$12,Seasonality!$B$13)</f>
        <v>0.8652</v>
      </c>
      <c r="BV5" s="0" t="n">
        <f aca="false">Inputs!$B$7*MIN(1,0.55+0.45*BV$3/Inputs!$B$8)*CHOOSE(MONTH(BV4),Seasonality!$B$2,Seasonality!$B$3,Seasonality!$B$4,Seasonality!$B$5,Seasonality!$B$6,Seasonality!$B$7,Seasonality!$B$8,Seasonality!$B$9,Seasonality!$B$10,Seasonality!$B$11,Seasonality!$B$12,Seasonality!$B$13)</f>
        <v>0.756</v>
      </c>
      <c r="BW5" s="0" t="n">
        <f aca="false">Inputs!$B$7*MIN(1,0.55+0.45*BW$3/Inputs!$B$8)*CHOOSE(MONTH(BW4),Seasonality!$B$2,Seasonality!$B$3,Seasonality!$B$4,Seasonality!$B$5,Seasonality!$B$6,Seasonality!$B$7,Seasonality!$B$8,Seasonality!$B$9,Seasonality!$B$10,Seasonality!$B$11,Seasonality!$B$12,Seasonality!$B$13)</f>
        <v>0.7224</v>
      </c>
      <c r="BX5" s="0" t="n">
        <f aca="false">Inputs!$B$7*MIN(1,0.55+0.45*BX$3/Inputs!$B$8)*CHOOSE(MONTH(BX4),Seasonality!$B$2,Seasonality!$B$3,Seasonality!$B$4,Seasonality!$B$5,Seasonality!$B$6,Seasonality!$B$7,Seasonality!$B$8,Seasonality!$B$9,Seasonality!$B$10,Seasonality!$B$11,Seasonality!$B$12,Seasonality!$B$13)</f>
        <v>0.7728</v>
      </c>
      <c r="BY5" s="0" t="n">
        <f aca="false">Inputs!$B$7*MIN(1,0.55+0.45*BY$3/Inputs!$B$8)*CHOOSE(MONTH(BY4),Seasonality!$B$2,Seasonality!$B$3,Seasonality!$B$4,Seasonality!$B$5,Seasonality!$B$6,Seasonality!$B$7,Seasonality!$B$8,Seasonality!$B$9,Seasonality!$B$10,Seasonality!$B$11,Seasonality!$B$12,Seasonality!$B$13)</f>
        <v>0.8736</v>
      </c>
      <c r="BZ5" s="0" t="n">
        <f aca="false">Inputs!$B$7*MIN(1,0.55+0.45*BZ$3/Inputs!$B$8)*CHOOSE(MONTH(BZ4),Seasonality!$B$2,Seasonality!$B$3,Seasonality!$B$4,Seasonality!$B$5,Seasonality!$B$6,Seasonality!$B$7,Seasonality!$B$8,Seasonality!$B$9,Seasonality!$B$10,Seasonality!$B$11,Seasonality!$B$12,Seasonality!$B$13)</f>
        <v>0.9072</v>
      </c>
      <c r="CA5" s="0" t="n">
        <f aca="false">Inputs!$B$7*MIN(1,0.55+0.45*CA$3/Inputs!$B$8)*CHOOSE(MONTH(CA4),Seasonality!$B$2,Seasonality!$B$3,Seasonality!$B$4,Seasonality!$B$5,Seasonality!$B$6,Seasonality!$B$7,Seasonality!$B$8,Seasonality!$B$9,Seasonality!$B$10,Seasonality!$B$11,Seasonality!$B$12,Seasonality!$B$13)</f>
        <v>0.8568</v>
      </c>
      <c r="CB5" s="0" t="n">
        <f aca="false">Inputs!$B$7*MIN(1,0.55+0.45*CB$3/Inputs!$B$8)*CHOOSE(MONTH(CB4),Seasonality!$B$2,Seasonality!$B$3,Seasonality!$B$4,Seasonality!$B$5,Seasonality!$B$6,Seasonality!$B$7,Seasonality!$B$8,Seasonality!$B$9,Seasonality!$B$10,Seasonality!$B$11,Seasonality!$B$12,Seasonality!$B$13)</f>
        <v>0.8148</v>
      </c>
      <c r="CC5" s="0" t="n">
        <f aca="false">Inputs!$B$7*MIN(1,0.55+0.45*CC$3/Inputs!$B$8)*CHOOSE(MONTH(CC4),Seasonality!$B$2,Seasonality!$B$3,Seasonality!$B$4,Seasonality!$B$5,Seasonality!$B$6,Seasonality!$B$7,Seasonality!$B$8,Seasonality!$B$9,Seasonality!$B$10,Seasonality!$B$11,Seasonality!$B$12,Seasonality!$B$13)</f>
        <v>0.8652</v>
      </c>
      <c r="CD5" s="0" t="n">
        <f aca="false">Inputs!$B$7*MIN(1,0.55+0.45*CD$3/Inputs!$B$8)*CHOOSE(MONTH(CD4),Seasonality!$B$2,Seasonality!$B$3,Seasonality!$B$4,Seasonality!$B$5,Seasonality!$B$6,Seasonality!$B$7,Seasonality!$B$8,Seasonality!$B$9,Seasonality!$B$10,Seasonality!$B$11,Seasonality!$B$12,Seasonality!$B$13)</f>
        <v>0.9156</v>
      </c>
      <c r="CE5" s="0" t="n">
        <f aca="false">Inputs!$B$7*MIN(1,0.55+0.45*CE$3/Inputs!$B$8)*CHOOSE(MONTH(CE4),Seasonality!$B$2,Seasonality!$B$3,Seasonality!$B$4,Seasonality!$B$5,Seasonality!$B$6,Seasonality!$B$7,Seasonality!$B$8,Seasonality!$B$9,Seasonality!$B$10,Seasonality!$B$11,Seasonality!$B$12,Seasonality!$B$13)</f>
        <v>0.84</v>
      </c>
      <c r="CF5" s="0" t="n">
        <f aca="false">Inputs!$B$7*MIN(1,0.55+0.45*CF$3/Inputs!$B$8)*CHOOSE(MONTH(CF4),Seasonality!$B$2,Seasonality!$B$3,Seasonality!$B$4,Seasonality!$B$5,Seasonality!$B$6,Seasonality!$B$7,Seasonality!$B$8,Seasonality!$B$9,Seasonality!$B$10,Seasonality!$B$11,Seasonality!$B$12,Seasonality!$B$13)</f>
        <v>0.8904</v>
      </c>
      <c r="CG5" s="0" t="n">
        <f aca="false">Inputs!$B$7*MIN(1,0.55+0.45*CG$3/Inputs!$B$8)*CHOOSE(MONTH(CG4),Seasonality!$B$2,Seasonality!$B$3,Seasonality!$B$4,Seasonality!$B$5,Seasonality!$B$6,Seasonality!$B$7,Seasonality!$B$8,Seasonality!$B$9,Seasonality!$B$10,Seasonality!$B$11,Seasonality!$B$12,Seasonality!$B$13)</f>
        <v>0.8652</v>
      </c>
      <c r="CH5" s="0" t="n">
        <f aca="false">Inputs!$B$7*MIN(1,0.55+0.45*CH$3/Inputs!$B$8)*CHOOSE(MONTH(CH4),Seasonality!$B$2,Seasonality!$B$3,Seasonality!$B$4,Seasonality!$B$5,Seasonality!$B$6,Seasonality!$B$7,Seasonality!$B$8,Seasonality!$B$9,Seasonality!$B$10,Seasonality!$B$11,Seasonality!$B$12,Seasonality!$B$13)</f>
        <v>0.756</v>
      </c>
      <c r="CI5" s="0" t="n">
        <f aca="false">Inputs!$B$7*MIN(1,0.55+0.45*CI$3/Inputs!$B$8)*CHOOSE(MONTH(CI4),Seasonality!$B$2,Seasonality!$B$3,Seasonality!$B$4,Seasonality!$B$5,Seasonality!$B$6,Seasonality!$B$7,Seasonality!$B$8,Seasonality!$B$9,Seasonality!$B$10,Seasonality!$B$11,Seasonality!$B$12,Seasonality!$B$13)</f>
        <v>0.7224</v>
      </c>
      <c r="CJ5" s="0" t="n">
        <f aca="false">Inputs!$B$7*MIN(1,0.55+0.45*CJ$3/Inputs!$B$8)*CHOOSE(MONTH(CJ4),Seasonality!$B$2,Seasonality!$B$3,Seasonality!$B$4,Seasonality!$B$5,Seasonality!$B$6,Seasonality!$B$7,Seasonality!$B$8,Seasonality!$B$9,Seasonality!$B$10,Seasonality!$B$11,Seasonality!$B$12,Seasonality!$B$13)</f>
        <v>0.7728</v>
      </c>
      <c r="CK5" s="0" t="n">
        <f aca="false">Inputs!$B$7*MIN(1,0.55+0.45*CK$3/Inputs!$B$8)*CHOOSE(MONTH(CK4),Seasonality!$B$2,Seasonality!$B$3,Seasonality!$B$4,Seasonality!$B$5,Seasonality!$B$6,Seasonality!$B$7,Seasonality!$B$8,Seasonality!$B$9,Seasonality!$B$10,Seasonality!$B$11,Seasonality!$B$12,Seasonality!$B$13)</f>
        <v>0.8736</v>
      </c>
      <c r="CL5" s="0" t="n">
        <f aca="false">Inputs!$B$7*MIN(1,0.55+0.45*CL$3/Inputs!$B$8)*CHOOSE(MONTH(CL4),Seasonality!$B$2,Seasonality!$B$3,Seasonality!$B$4,Seasonality!$B$5,Seasonality!$B$6,Seasonality!$B$7,Seasonality!$B$8,Seasonality!$B$9,Seasonality!$B$10,Seasonality!$B$11,Seasonality!$B$12,Seasonality!$B$13)</f>
        <v>0.9072</v>
      </c>
      <c r="CM5" s="0" t="n">
        <f aca="false">Inputs!$B$7*MIN(1,0.55+0.45*CM$3/Inputs!$B$8)*CHOOSE(MONTH(CM4),Seasonality!$B$2,Seasonality!$B$3,Seasonality!$B$4,Seasonality!$B$5,Seasonality!$B$6,Seasonality!$B$7,Seasonality!$B$8,Seasonality!$B$9,Seasonality!$B$10,Seasonality!$B$11,Seasonality!$B$12,Seasonality!$B$13)</f>
        <v>0.8568</v>
      </c>
      <c r="CN5" s="0" t="n">
        <f aca="false">Inputs!$B$7*MIN(1,0.55+0.45*CN$3/Inputs!$B$8)*CHOOSE(MONTH(CN4),Seasonality!$B$2,Seasonality!$B$3,Seasonality!$B$4,Seasonality!$B$5,Seasonality!$B$6,Seasonality!$B$7,Seasonality!$B$8,Seasonality!$B$9,Seasonality!$B$10,Seasonality!$B$11,Seasonality!$B$12,Seasonality!$B$13)</f>
        <v>0.8148</v>
      </c>
      <c r="CO5" s="0" t="n">
        <f aca="false">Inputs!$B$7*MIN(1,0.55+0.45*CO$3/Inputs!$B$8)*CHOOSE(MONTH(CO4),Seasonality!$B$2,Seasonality!$B$3,Seasonality!$B$4,Seasonality!$B$5,Seasonality!$B$6,Seasonality!$B$7,Seasonality!$B$8,Seasonality!$B$9,Seasonality!$B$10,Seasonality!$B$11,Seasonality!$B$12,Seasonality!$B$13)</f>
        <v>0.8652</v>
      </c>
      <c r="CP5" s="0" t="n">
        <f aca="false">Inputs!$B$7*MIN(1,0.55+0.45*CP$3/Inputs!$B$8)*CHOOSE(MONTH(CP4),Seasonality!$B$2,Seasonality!$B$3,Seasonality!$B$4,Seasonality!$B$5,Seasonality!$B$6,Seasonality!$B$7,Seasonality!$B$8,Seasonality!$B$9,Seasonality!$B$10,Seasonality!$B$11,Seasonality!$B$12,Seasonality!$B$13)</f>
        <v>0.9156</v>
      </c>
      <c r="CQ5" s="0" t="n">
        <f aca="false">Inputs!$B$7*MIN(1,0.55+0.45*CQ$3/Inputs!$B$8)*CHOOSE(MONTH(CQ4),Seasonality!$B$2,Seasonality!$B$3,Seasonality!$B$4,Seasonality!$B$5,Seasonality!$B$6,Seasonality!$B$7,Seasonality!$B$8,Seasonality!$B$9,Seasonality!$B$10,Seasonality!$B$11,Seasonality!$B$12,Seasonality!$B$13)</f>
        <v>0.84</v>
      </c>
      <c r="CR5" s="0" t="n">
        <f aca="false">Inputs!$B$7*MIN(1,0.55+0.45*CR$3/Inputs!$B$8)*CHOOSE(MONTH(CR4),Seasonality!$B$2,Seasonality!$B$3,Seasonality!$B$4,Seasonality!$B$5,Seasonality!$B$6,Seasonality!$B$7,Seasonality!$B$8,Seasonality!$B$9,Seasonality!$B$10,Seasonality!$B$11,Seasonality!$B$12,Seasonality!$B$13)</f>
        <v>0.8904</v>
      </c>
      <c r="CS5" s="0" t="n">
        <f aca="false">Inputs!$B$7*MIN(1,0.55+0.45*CS$3/Inputs!$B$8)*CHOOSE(MONTH(CS4),Seasonality!$B$2,Seasonality!$B$3,Seasonality!$B$4,Seasonality!$B$5,Seasonality!$B$6,Seasonality!$B$7,Seasonality!$B$8,Seasonality!$B$9,Seasonality!$B$10,Seasonality!$B$11,Seasonality!$B$12,Seasonality!$B$13)</f>
        <v>0.8652</v>
      </c>
      <c r="CT5" s="0" t="n">
        <f aca="false">Inputs!$B$7*MIN(1,0.55+0.45*CT$3/Inputs!$B$8)*CHOOSE(MONTH(CT4),Seasonality!$B$2,Seasonality!$B$3,Seasonality!$B$4,Seasonality!$B$5,Seasonality!$B$6,Seasonality!$B$7,Seasonality!$B$8,Seasonality!$B$9,Seasonality!$B$10,Seasonality!$B$11,Seasonality!$B$12,Seasonality!$B$13)</f>
        <v>0.756</v>
      </c>
      <c r="CU5" s="0" t="n">
        <f aca="false">Inputs!$B$7*MIN(1,0.55+0.45*CU$3/Inputs!$B$8)*CHOOSE(MONTH(CU4),Seasonality!$B$2,Seasonality!$B$3,Seasonality!$B$4,Seasonality!$B$5,Seasonality!$B$6,Seasonality!$B$7,Seasonality!$B$8,Seasonality!$B$9,Seasonality!$B$10,Seasonality!$B$11,Seasonality!$B$12,Seasonality!$B$13)</f>
        <v>0.7224</v>
      </c>
      <c r="CV5" s="0" t="n">
        <f aca="false">Inputs!$B$7*MIN(1,0.55+0.45*CV$3/Inputs!$B$8)*CHOOSE(MONTH(CV4),Seasonality!$B$2,Seasonality!$B$3,Seasonality!$B$4,Seasonality!$B$5,Seasonality!$B$6,Seasonality!$B$7,Seasonality!$B$8,Seasonality!$B$9,Seasonality!$B$10,Seasonality!$B$11,Seasonality!$B$12,Seasonality!$B$13)</f>
        <v>0.7728</v>
      </c>
      <c r="CW5" s="0" t="n">
        <f aca="false">Inputs!$B$7*MIN(1,0.55+0.45*CW$3/Inputs!$B$8)*CHOOSE(MONTH(CW4),Seasonality!$B$2,Seasonality!$B$3,Seasonality!$B$4,Seasonality!$B$5,Seasonality!$B$6,Seasonality!$B$7,Seasonality!$B$8,Seasonality!$B$9,Seasonality!$B$10,Seasonality!$B$11,Seasonality!$B$12,Seasonality!$B$13)</f>
        <v>0.8736</v>
      </c>
      <c r="CX5" s="0" t="n">
        <f aca="false">Inputs!$B$7*MIN(1,0.55+0.45*CX$3/Inputs!$B$8)*CHOOSE(MONTH(CX4),Seasonality!$B$2,Seasonality!$B$3,Seasonality!$B$4,Seasonality!$B$5,Seasonality!$B$6,Seasonality!$B$7,Seasonality!$B$8,Seasonality!$B$9,Seasonality!$B$10,Seasonality!$B$11,Seasonality!$B$12,Seasonality!$B$13)</f>
        <v>0.9072</v>
      </c>
      <c r="CY5" s="0" t="n">
        <f aca="false">Inputs!$B$7*MIN(1,0.55+0.45*CY$3/Inputs!$B$8)*CHOOSE(MONTH(CY4),Seasonality!$B$2,Seasonality!$B$3,Seasonality!$B$4,Seasonality!$B$5,Seasonality!$B$6,Seasonality!$B$7,Seasonality!$B$8,Seasonality!$B$9,Seasonality!$B$10,Seasonality!$B$11,Seasonality!$B$12,Seasonality!$B$13)</f>
        <v>0.8568</v>
      </c>
      <c r="CZ5" s="0" t="n">
        <f aca="false">Inputs!$B$7*MIN(1,0.55+0.45*CZ$3/Inputs!$B$8)*CHOOSE(MONTH(CZ4),Seasonality!$B$2,Seasonality!$B$3,Seasonality!$B$4,Seasonality!$B$5,Seasonality!$B$6,Seasonality!$B$7,Seasonality!$B$8,Seasonality!$B$9,Seasonality!$B$10,Seasonality!$B$11,Seasonality!$B$12,Seasonality!$B$13)</f>
        <v>0.8148</v>
      </c>
      <c r="DA5" s="0" t="n">
        <f aca="false">Inputs!$B$7*MIN(1,0.55+0.45*DA$3/Inputs!$B$8)*CHOOSE(MONTH(DA4),Seasonality!$B$2,Seasonality!$B$3,Seasonality!$B$4,Seasonality!$B$5,Seasonality!$B$6,Seasonality!$B$7,Seasonality!$B$8,Seasonality!$B$9,Seasonality!$B$10,Seasonality!$B$11,Seasonality!$B$12,Seasonality!$B$13)</f>
        <v>0.8652</v>
      </c>
      <c r="DB5" s="0" t="n">
        <f aca="false">Inputs!$B$7*MIN(1,0.55+0.45*DB$3/Inputs!$B$8)*CHOOSE(MONTH(DB4),Seasonality!$B$2,Seasonality!$B$3,Seasonality!$B$4,Seasonality!$B$5,Seasonality!$B$6,Seasonality!$B$7,Seasonality!$B$8,Seasonality!$B$9,Seasonality!$B$10,Seasonality!$B$11,Seasonality!$B$12,Seasonality!$B$13)</f>
        <v>0.9156</v>
      </c>
      <c r="DC5" s="0" t="n">
        <f aca="false">Inputs!$B$7*MIN(1,0.55+0.45*DC$3/Inputs!$B$8)*CHOOSE(MONTH(DC4),Seasonality!$B$2,Seasonality!$B$3,Seasonality!$B$4,Seasonality!$B$5,Seasonality!$B$6,Seasonality!$B$7,Seasonality!$B$8,Seasonality!$B$9,Seasonality!$B$10,Seasonality!$B$11,Seasonality!$B$12,Seasonality!$B$13)</f>
        <v>0.84</v>
      </c>
      <c r="DD5" s="0" t="n">
        <f aca="false">Inputs!$B$7*MIN(1,0.55+0.45*DD$3/Inputs!$B$8)*CHOOSE(MONTH(DD4),Seasonality!$B$2,Seasonality!$B$3,Seasonality!$B$4,Seasonality!$B$5,Seasonality!$B$6,Seasonality!$B$7,Seasonality!$B$8,Seasonality!$B$9,Seasonality!$B$10,Seasonality!$B$11,Seasonality!$B$12,Seasonality!$B$13)</f>
        <v>0.8904</v>
      </c>
      <c r="DE5" s="0" t="n">
        <f aca="false">Inputs!$B$7*MIN(1,0.55+0.45*DE$3/Inputs!$B$8)*CHOOSE(MONTH(DE4),Seasonality!$B$2,Seasonality!$B$3,Seasonality!$B$4,Seasonality!$B$5,Seasonality!$B$6,Seasonality!$B$7,Seasonality!$B$8,Seasonality!$B$9,Seasonality!$B$10,Seasonality!$B$11,Seasonality!$B$12,Seasonality!$B$13)</f>
        <v>0.8652</v>
      </c>
      <c r="DF5" s="0" t="n">
        <f aca="false">Inputs!$B$7*MIN(1,0.55+0.45*DF$3/Inputs!$B$8)*CHOOSE(MONTH(DF4),Seasonality!$B$2,Seasonality!$B$3,Seasonality!$B$4,Seasonality!$B$5,Seasonality!$B$6,Seasonality!$B$7,Seasonality!$B$8,Seasonality!$B$9,Seasonality!$B$10,Seasonality!$B$11,Seasonality!$B$12,Seasonality!$B$13)</f>
        <v>0.756</v>
      </c>
      <c r="DG5" s="0" t="n">
        <f aca="false">Inputs!$B$7*MIN(1,0.55+0.45*DG$3/Inputs!$B$8)*CHOOSE(MONTH(DG4),Seasonality!$B$2,Seasonality!$B$3,Seasonality!$B$4,Seasonality!$B$5,Seasonality!$B$6,Seasonality!$B$7,Seasonality!$B$8,Seasonality!$B$9,Seasonality!$B$10,Seasonality!$B$11,Seasonality!$B$12,Seasonality!$B$13)</f>
        <v>0.7224</v>
      </c>
      <c r="DH5" s="0" t="n">
        <f aca="false">Inputs!$B$7*MIN(1,0.55+0.45*DH$3/Inputs!$B$8)*CHOOSE(MONTH(DH4),Seasonality!$B$2,Seasonality!$B$3,Seasonality!$B$4,Seasonality!$B$5,Seasonality!$B$6,Seasonality!$B$7,Seasonality!$B$8,Seasonality!$B$9,Seasonality!$B$10,Seasonality!$B$11,Seasonality!$B$12,Seasonality!$B$13)</f>
        <v>0.7728</v>
      </c>
      <c r="DI5" s="0" t="n">
        <f aca="false">Inputs!$B$7*MIN(1,0.55+0.45*DI$3/Inputs!$B$8)*CHOOSE(MONTH(DI4),Seasonality!$B$2,Seasonality!$B$3,Seasonality!$B$4,Seasonality!$B$5,Seasonality!$B$6,Seasonality!$B$7,Seasonality!$B$8,Seasonality!$B$9,Seasonality!$B$10,Seasonality!$B$11,Seasonality!$B$12,Seasonality!$B$13)</f>
        <v>0.8736</v>
      </c>
      <c r="DJ5" s="0" t="n">
        <f aca="false">Inputs!$B$7*MIN(1,0.55+0.45*DJ$3/Inputs!$B$8)*CHOOSE(MONTH(DJ4),Seasonality!$B$2,Seasonality!$B$3,Seasonality!$B$4,Seasonality!$B$5,Seasonality!$B$6,Seasonality!$B$7,Seasonality!$B$8,Seasonality!$B$9,Seasonality!$B$10,Seasonality!$B$11,Seasonality!$B$12,Seasonality!$B$13)</f>
        <v>0.9072</v>
      </c>
      <c r="DK5" s="0" t="n">
        <f aca="false">Inputs!$B$7*MIN(1,0.55+0.45*DK$3/Inputs!$B$8)*CHOOSE(MONTH(DK4),Seasonality!$B$2,Seasonality!$B$3,Seasonality!$B$4,Seasonality!$B$5,Seasonality!$B$6,Seasonality!$B$7,Seasonality!$B$8,Seasonality!$B$9,Seasonality!$B$10,Seasonality!$B$11,Seasonality!$B$12,Seasonality!$B$13)</f>
        <v>0.8568</v>
      </c>
      <c r="DL5" s="0" t="n">
        <f aca="false">Inputs!$B$7*MIN(1,0.55+0.45*DL$3/Inputs!$B$8)*CHOOSE(MONTH(DL4),Seasonality!$B$2,Seasonality!$B$3,Seasonality!$B$4,Seasonality!$B$5,Seasonality!$B$6,Seasonality!$B$7,Seasonality!$B$8,Seasonality!$B$9,Seasonality!$B$10,Seasonality!$B$11,Seasonality!$B$12,Seasonality!$B$13)</f>
        <v>0.8148</v>
      </c>
      <c r="DM5" s="0" t="n">
        <f aca="false">Inputs!$B$7*MIN(1,0.55+0.45*DM$3/Inputs!$B$8)*CHOOSE(MONTH(DM4),Seasonality!$B$2,Seasonality!$B$3,Seasonality!$B$4,Seasonality!$B$5,Seasonality!$B$6,Seasonality!$B$7,Seasonality!$B$8,Seasonality!$B$9,Seasonality!$B$10,Seasonality!$B$11,Seasonality!$B$12,Seasonality!$B$13)</f>
        <v>0.8652</v>
      </c>
      <c r="DN5" s="0" t="n">
        <f aca="false">Inputs!$B$7*MIN(1,0.55+0.45*DN$3/Inputs!$B$8)*CHOOSE(MONTH(DN4),Seasonality!$B$2,Seasonality!$B$3,Seasonality!$B$4,Seasonality!$B$5,Seasonality!$B$6,Seasonality!$B$7,Seasonality!$B$8,Seasonality!$B$9,Seasonality!$B$10,Seasonality!$B$11,Seasonality!$B$12,Seasonality!$B$13)</f>
        <v>0.9156</v>
      </c>
      <c r="DO5" s="0" t="n">
        <f aca="false">Inputs!$B$7*MIN(1,0.55+0.45*DO$3/Inputs!$B$8)*CHOOSE(MONTH(DO4),Seasonality!$B$2,Seasonality!$B$3,Seasonality!$B$4,Seasonality!$B$5,Seasonality!$B$6,Seasonality!$B$7,Seasonality!$B$8,Seasonality!$B$9,Seasonality!$B$10,Seasonality!$B$11,Seasonality!$B$12,Seasonality!$B$13)</f>
        <v>0.84</v>
      </c>
      <c r="DP5" s="0" t="n">
        <f aca="false">Inputs!$B$7*MIN(1,0.55+0.45*DP$3/Inputs!$B$8)*CHOOSE(MONTH(DP4),Seasonality!$B$2,Seasonality!$B$3,Seasonality!$B$4,Seasonality!$B$5,Seasonality!$B$6,Seasonality!$B$7,Seasonality!$B$8,Seasonality!$B$9,Seasonality!$B$10,Seasonality!$B$11,Seasonality!$B$12,Seasonality!$B$13)</f>
        <v>0.8904</v>
      </c>
      <c r="DQ5" s="0" t="n">
        <f aca="false">Inputs!$B$7*MIN(1,0.55+0.45*DQ$3/Inputs!$B$8)*CHOOSE(MONTH(DQ4),Seasonality!$B$2,Seasonality!$B$3,Seasonality!$B$4,Seasonality!$B$5,Seasonality!$B$6,Seasonality!$B$7,Seasonality!$B$8,Seasonality!$B$9,Seasonality!$B$10,Seasonality!$B$11,Seasonality!$B$12,Seasonality!$B$13)</f>
        <v>0.8652</v>
      </c>
      <c r="DR5" s="0" t="n">
        <f aca="false">Inputs!$B$7*MIN(1,0.55+0.45*DR$3/Inputs!$B$8)*CHOOSE(MONTH(DR4),Seasonality!$B$2,Seasonality!$B$3,Seasonality!$B$4,Seasonality!$B$5,Seasonality!$B$6,Seasonality!$B$7,Seasonality!$B$8,Seasonality!$B$9,Seasonality!$B$10,Seasonality!$B$11,Seasonality!$B$12,Seasonality!$B$13)</f>
        <v>0.756</v>
      </c>
    </row>
    <row r="6" customFormat="false" ht="15" hidden="false" customHeight="false" outlineLevel="0" collapsed="false">
      <c r="A6" s="0" t="s">
        <v>22</v>
      </c>
      <c r="B6" s="0" t="n">
        <f aca="false">ROUND(Inputs!$B$5*(1+Inputs!$B$6)^INT((B$3-1)/12),-1)</f>
        <v>18050</v>
      </c>
      <c r="C6" s="0" t="n">
        <f aca="false">ROUND(Inputs!$B$5*(1+Inputs!$B$6)^INT((C$3-1)/12),-1)</f>
        <v>18500</v>
      </c>
      <c r="D6" s="0" t="n">
        <f aca="false">ROUND(Inputs!$B$5*(1+Inputs!$B$6)^INT((D$3-1)/12),-1)</f>
        <v>18500</v>
      </c>
      <c r="E6" s="0" t="n">
        <f aca="false">ROUND(Inputs!$B$5*(1+Inputs!$B$6)^INT((E$3-1)/12),-1)</f>
        <v>18500</v>
      </c>
      <c r="F6" s="0" t="n">
        <f aca="false">ROUND(Inputs!$B$5*(1+Inputs!$B$6)^INT((F$3-1)/12),-1)</f>
        <v>18500</v>
      </c>
      <c r="G6" s="0" t="n">
        <f aca="false">ROUND(Inputs!$B$5*(1+Inputs!$B$6)^INT((G$3-1)/12),-1)</f>
        <v>18500</v>
      </c>
      <c r="H6" s="0" t="n">
        <f aca="false">ROUND(Inputs!$B$5*(1+Inputs!$B$6)^INT((H$3-1)/12),-1)</f>
        <v>18500</v>
      </c>
      <c r="I6" s="0" t="n">
        <f aca="false">ROUND(Inputs!$B$5*(1+Inputs!$B$6)^INT((I$3-1)/12),-1)</f>
        <v>18500</v>
      </c>
      <c r="J6" s="0" t="n">
        <f aca="false">ROUND(Inputs!$B$5*(1+Inputs!$B$6)^INT((J$3-1)/12),-1)</f>
        <v>18500</v>
      </c>
      <c r="K6" s="0" t="n">
        <f aca="false">ROUND(Inputs!$B$5*(1+Inputs!$B$6)^INT((K$3-1)/12),-1)</f>
        <v>18500</v>
      </c>
      <c r="L6" s="0" t="n">
        <f aca="false">ROUND(Inputs!$B$5*(1+Inputs!$B$6)^INT((L$3-1)/12),-1)</f>
        <v>18500</v>
      </c>
      <c r="M6" s="0" t="n">
        <f aca="false">ROUND(Inputs!$B$5*(1+Inputs!$B$6)^INT((M$3-1)/12),-1)</f>
        <v>18500</v>
      </c>
      <c r="N6" s="0" t="n">
        <f aca="false">ROUND(Inputs!$B$5*(1+Inputs!$B$6)^INT((N$3-1)/12),-1)</f>
        <v>18500</v>
      </c>
      <c r="O6" s="0" t="n">
        <f aca="false">ROUND(Inputs!$B$5*(1+Inputs!$B$6)^INT((O$3-1)/12),-1)</f>
        <v>18960</v>
      </c>
      <c r="P6" s="0" t="n">
        <f aca="false">ROUND(Inputs!$B$5*(1+Inputs!$B$6)^INT((P$3-1)/12),-1)</f>
        <v>18960</v>
      </c>
      <c r="Q6" s="0" t="n">
        <f aca="false">ROUND(Inputs!$B$5*(1+Inputs!$B$6)^INT((Q$3-1)/12),-1)</f>
        <v>18960</v>
      </c>
      <c r="R6" s="0" t="n">
        <f aca="false">ROUND(Inputs!$B$5*(1+Inputs!$B$6)^INT((R$3-1)/12),-1)</f>
        <v>18960</v>
      </c>
      <c r="S6" s="0" t="n">
        <f aca="false">ROUND(Inputs!$B$5*(1+Inputs!$B$6)^INT((S$3-1)/12),-1)</f>
        <v>18960</v>
      </c>
      <c r="T6" s="0" t="n">
        <f aca="false">ROUND(Inputs!$B$5*(1+Inputs!$B$6)^INT((T$3-1)/12),-1)</f>
        <v>18960</v>
      </c>
      <c r="U6" s="0" t="n">
        <f aca="false">ROUND(Inputs!$B$5*(1+Inputs!$B$6)^INT((U$3-1)/12),-1)</f>
        <v>18960</v>
      </c>
      <c r="V6" s="0" t="n">
        <f aca="false">ROUND(Inputs!$B$5*(1+Inputs!$B$6)^INT((V$3-1)/12),-1)</f>
        <v>18960</v>
      </c>
      <c r="W6" s="0" t="n">
        <f aca="false">ROUND(Inputs!$B$5*(1+Inputs!$B$6)^INT((W$3-1)/12),-1)</f>
        <v>18960</v>
      </c>
      <c r="X6" s="0" t="n">
        <f aca="false">ROUND(Inputs!$B$5*(1+Inputs!$B$6)^INT((X$3-1)/12),-1)</f>
        <v>18960</v>
      </c>
      <c r="Y6" s="0" t="n">
        <f aca="false">ROUND(Inputs!$B$5*(1+Inputs!$B$6)^INT((Y$3-1)/12),-1)</f>
        <v>18960</v>
      </c>
      <c r="Z6" s="0" t="n">
        <f aca="false">ROUND(Inputs!$B$5*(1+Inputs!$B$6)^INT((Z$3-1)/12),-1)</f>
        <v>18960</v>
      </c>
      <c r="AA6" s="0" t="n">
        <f aca="false">ROUND(Inputs!$B$5*(1+Inputs!$B$6)^INT((AA$3-1)/12),-1)</f>
        <v>19440</v>
      </c>
      <c r="AB6" s="0" t="n">
        <f aca="false">ROUND(Inputs!$B$5*(1+Inputs!$B$6)^INT((AB$3-1)/12),-1)</f>
        <v>19440</v>
      </c>
      <c r="AC6" s="0" t="n">
        <f aca="false">ROUND(Inputs!$B$5*(1+Inputs!$B$6)^INT((AC$3-1)/12),-1)</f>
        <v>19440</v>
      </c>
      <c r="AD6" s="0" t="n">
        <f aca="false">ROUND(Inputs!$B$5*(1+Inputs!$B$6)^INT((AD$3-1)/12),-1)</f>
        <v>19440</v>
      </c>
      <c r="AE6" s="0" t="n">
        <f aca="false">ROUND(Inputs!$B$5*(1+Inputs!$B$6)^INT((AE$3-1)/12),-1)</f>
        <v>19440</v>
      </c>
      <c r="AF6" s="0" t="n">
        <f aca="false">ROUND(Inputs!$B$5*(1+Inputs!$B$6)^INT((AF$3-1)/12),-1)</f>
        <v>19440</v>
      </c>
      <c r="AG6" s="0" t="n">
        <f aca="false">ROUND(Inputs!$B$5*(1+Inputs!$B$6)^INT((AG$3-1)/12),-1)</f>
        <v>19440</v>
      </c>
      <c r="AH6" s="0" t="n">
        <f aca="false">ROUND(Inputs!$B$5*(1+Inputs!$B$6)^INT((AH$3-1)/12),-1)</f>
        <v>19440</v>
      </c>
      <c r="AI6" s="0" t="n">
        <f aca="false">ROUND(Inputs!$B$5*(1+Inputs!$B$6)^INT((AI$3-1)/12),-1)</f>
        <v>19440</v>
      </c>
      <c r="AJ6" s="0" t="n">
        <f aca="false">ROUND(Inputs!$B$5*(1+Inputs!$B$6)^INT((AJ$3-1)/12),-1)</f>
        <v>19440</v>
      </c>
      <c r="AK6" s="0" t="n">
        <f aca="false">ROUND(Inputs!$B$5*(1+Inputs!$B$6)^INT((AK$3-1)/12),-1)</f>
        <v>19440</v>
      </c>
      <c r="AL6" s="0" t="n">
        <f aca="false">ROUND(Inputs!$B$5*(1+Inputs!$B$6)^INT((AL$3-1)/12),-1)</f>
        <v>19440</v>
      </c>
      <c r="AM6" s="0" t="n">
        <f aca="false">ROUND(Inputs!$B$5*(1+Inputs!$B$6)^INT((AM$3-1)/12),-1)</f>
        <v>19920</v>
      </c>
      <c r="AN6" s="0" t="n">
        <f aca="false">ROUND(Inputs!$B$5*(1+Inputs!$B$6)^INT((AN$3-1)/12),-1)</f>
        <v>19920</v>
      </c>
      <c r="AO6" s="0" t="n">
        <f aca="false">ROUND(Inputs!$B$5*(1+Inputs!$B$6)^INT((AO$3-1)/12),-1)</f>
        <v>19920</v>
      </c>
      <c r="AP6" s="0" t="n">
        <f aca="false">ROUND(Inputs!$B$5*(1+Inputs!$B$6)^INT((AP$3-1)/12),-1)</f>
        <v>19920</v>
      </c>
      <c r="AQ6" s="0" t="n">
        <f aca="false">ROUND(Inputs!$B$5*(1+Inputs!$B$6)^INT((AQ$3-1)/12),-1)</f>
        <v>19920</v>
      </c>
      <c r="AR6" s="0" t="n">
        <f aca="false">ROUND(Inputs!$B$5*(1+Inputs!$B$6)^INT((AR$3-1)/12),-1)</f>
        <v>19920</v>
      </c>
      <c r="AS6" s="0" t="n">
        <f aca="false">ROUND(Inputs!$B$5*(1+Inputs!$B$6)^INT((AS$3-1)/12),-1)</f>
        <v>19920</v>
      </c>
      <c r="AT6" s="0" t="n">
        <f aca="false">ROUND(Inputs!$B$5*(1+Inputs!$B$6)^INT((AT$3-1)/12),-1)</f>
        <v>19920</v>
      </c>
      <c r="AU6" s="0" t="n">
        <f aca="false">ROUND(Inputs!$B$5*(1+Inputs!$B$6)^INT((AU$3-1)/12),-1)</f>
        <v>19920</v>
      </c>
      <c r="AV6" s="0" t="n">
        <f aca="false">ROUND(Inputs!$B$5*(1+Inputs!$B$6)^INT((AV$3-1)/12),-1)</f>
        <v>19920</v>
      </c>
      <c r="AW6" s="0" t="n">
        <f aca="false">ROUND(Inputs!$B$5*(1+Inputs!$B$6)^INT((AW$3-1)/12),-1)</f>
        <v>19920</v>
      </c>
      <c r="AX6" s="0" t="n">
        <f aca="false">ROUND(Inputs!$B$5*(1+Inputs!$B$6)^INT((AX$3-1)/12),-1)</f>
        <v>19920</v>
      </c>
      <c r="AY6" s="0" t="n">
        <f aca="false">ROUND(Inputs!$B$5*(1+Inputs!$B$6)^INT((AY$3-1)/12),-1)</f>
        <v>20420</v>
      </c>
      <c r="AZ6" s="0" t="n">
        <f aca="false">ROUND(Inputs!$B$5*(1+Inputs!$B$6)^INT((AZ$3-1)/12),-1)</f>
        <v>20420</v>
      </c>
      <c r="BA6" s="0" t="n">
        <f aca="false">ROUND(Inputs!$B$5*(1+Inputs!$B$6)^INT((BA$3-1)/12),-1)</f>
        <v>20420</v>
      </c>
      <c r="BB6" s="0" t="n">
        <f aca="false">ROUND(Inputs!$B$5*(1+Inputs!$B$6)^INT((BB$3-1)/12),-1)</f>
        <v>20420</v>
      </c>
      <c r="BC6" s="0" t="n">
        <f aca="false">ROUND(Inputs!$B$5*(1+Inputs!$B$6)^INT((BC$3-1)/12),-1)</f>
        <v>20420</v>
      </c>
      <c r="BD6" s="0" t="n">
        <f aca="false">ROUND(Inputs!$B$5*(1+Inputs!$B$6)^INT((BD$3-1)/12),-1)</f>
        <v>20420</v>
      </c>
      <c r="BE6" s="0" t="n">
        <f aca="false">ROUND(Inputs!$B$5*(1+Inputs!$B$6)^INT((BE$3-1)/12),-1)</f>
        <v>20420</v>
      </c>
      <c r="BF6" s="0" t="n">
        <f aca="false">ROUND(Inputs!$B$5*(1+Inputs!$B$6)^INT((BF$3-1)/12),-1)</f>
        <v>20420</v>
      </c>
      <c r="BG6" s="0" t="n">
        <f aca="false">ROUND(Inputs!$B$5*(1+Inputs!$B$6)^INT((BG$3-1)/12),-1)</f>
        <v>20420</v>
      </c>
      <c r="BH6" s="0" t="n">
        <f aca="false">ROUND(Inputs!$B$5*(1+Inputs!$B$6)^INT((BH$3-1)/12),-1)</f>
        <v>20420</v>
      </c>
      <c r="BI6" s="0" t="n">
        <f aca="false">ROUND(Inputs!$B$5*(1+Inputs!$B$6)^INT((BI$3-1)/12),-1)</f>
        <v>20420</v>
      </c>
      <c r="BJ6" s="0" t="n">
        <f aca="false">ROUND(Inputs!$B$5*(1+Inputs!$B$6)^INT((BJ$3-1)/12),-1)</f>
        <v>20420</v>
      </c>
      <c r="BK6" s="0" t="n">
        <f aca="false">ROUND(Inputs!$B$5*(1+Inputs!$B$6)^INT((BK$3-1)/12),-1)</f>
        <v>20930</v>
      </c>
      <c r="BL6" s="0" t="n">
        <f aca="false">ROUND(Inputs!$B$5*(1+Inputs!$B$6)^INT((BL$3-1)/12),-1)</f>
        <v>20930</v>
      </c>
      <c r="BM6" s="0" t="n">
        <f aca="false">ROUND(Inputs!$B$5*(1+Inputs!$B$6)^INT((BM$3-1)/12),-1)</f>
        <v>20930</v>
      </c>
      <c r="BN6" s="0" t="n">
        <f aca="false">ROUND(Inputs!$B$5*(1+Inputs!$B$6)^INT((BN$3-1)/12),-1)</f>
        <v>20930</v>
      </c>
      <c r="BO6" s="0" t="n">
        <f aca="false">ROUND(Inputs!$B$5*(1+Inputs!$B$6)^INT((BO$3-1)/12),-1)</f>
        <v>20930</v>
      </c>
      <c r="BP6" s="0" t="n">
        <f aca="false">ROUND(Inputs!$B$5*(1+Inputs!$B$6)^INT((BP$3-1)/12),-1)</f>
        <v>20930</v>
      </c>
      <c r="BQ6" s="0" t="n">
        <f aca="false">ROUND(Inputs!$B$5*(1+Inputs!$B$6)^INT((BQ$3-1)/12),-1)</f>
        <v>20930</v>
      </c>
      <c r="BR6" s="0" t="n">
        <f aca="false">ROUND(Inputs!$B$5*(1+Inputs!$B$6)^INT((BR$3-1)/12),-1)</f>
        <v>20930</v>
      </c>
      <c r="BS6" s="0" t="n">
        <f aca="false">ROUND(Inputs!$B$5*(1+Inputs!$B$6)^INT((BS$3-1)/12),-1)</f>
        <v>20930</v>
      </c>
      <c r="BT6" s="0" t="n">
        <f aca="false">ROUND(Inputs!$B$5*(1+Inputs!$B$6)^INT((BT$3-1)/12),-1)</f>
        <v>20930</v>
      </c>
      <c r="BU6" s="0" t="n">
        <f aca="false">ROUND(Inputs!$B$5*(1+Inputs!$B$6)^INT((BU$3-1)/12),-1)</f>
        <v>20930</v>
      </c>
      <c r="BV6" s="0" t="n">
        <f aca="false">ROUND(Inputs!$B$5*(1+Inputs!$B$6)^INT((BV$3-1)/12),-1)</f>
        <v>20930</v>
      </c>
      <c r="BW6" s="0" t="n">
        <f aca="false">ROUND(Inputs!$B$5*(1+Inputs!$B$6)^INT((BW$3-1)/12),-1)</f>
        <v>21450</v>
      </c>
      <c r="BX6" s="0" t="n">
        <f aca="false">ROUND(Inputs!$B$5*(1+Inputs!$B$6)^INT((BX$3-1)/12),-1)</f>
        <v>21450</v>
      </c>
      <c r="BY6" s="0" t="n">
        <f aca="false">ROUND(Inputs!$B$5*(1+Inputs!$B$6)^INT((BY$3-1)/12),-1)</f>
        <v>21450</v>
      </c>
      <c r="BZ6" s="0" t="n">
        <f aca="false">ROUND(Inputs!$B$5*(1+Inputs!$B$6)^INT((BZ$3-1)/12),-1)</f>
        <v>21450</v>
      </c>
      <c r="CA6" s="0" t="n">
        <f aca="false">ROUND(Inputs!$B$5*(1+Inputs!$B$6)^INT((CA$3-1)/12),-1)</f>
        <v>21450</v>
      </c>
      <c r="CB6" s="0" t="n">
        <f aca="false">ROUND(Inputs!$B$5*(1+Inputs!$B$6)^INT((CB$3-1)/12),-1)</f>
        <v>21450</v>
      </c>
      <c r="CC6" s="0" t="n">
        <f aca="false">ROUND(Inputs!$B$5*(1+Inputs!$B$6)^INT((CC$3-1)/12),-1)</f>
        <v>21450</v>
      </c>
      <c r="CD6" s="0" t="n">
        <f aca="false">ROUND(Inputs!$B$5*(1+Inputs!$B$6)^INT((CD$3-1)/12),-1)</f>
        <v>21450</v>
      </c>
      <c r="CE6" s="0" t="n">
        <f aca="false">ROUND(Inputs!$B$5*(1+Inputs!$B$6)^INT((CE$3-1)/12),-1)</f>
        <v>21450</v>
      </c>
      <c r="CF6" s="0" t="n">
        <f aca="false">ROUND(Inputs!$B$5*(1+Inputs!$B$6)^INT((CF$3-1)/12),-1)</f>
        <v>21450</v>
      </c>
      <c r="CG6" s="0" t="n">
        <f aca="false">ROUND(Inputs!$B$5*(1+Inputs!$B$6)^INT((CG$3-1)/12),-1)</f>
        <v>21450</v>
      </c>
      <c r="CH6" s="0" t="n">
        <f aca="false">ROUND(Inputs!$B$5*(1+Inputs!$B$6)^INT((CH$3-1)/12),-1)</f>
        <v>21450</v>
      </c>
      <c r="CI6" s="0" t="n">
        <f aca="false">ROUND(Inputs!$B$5*(1+Inputs!$B$6)^INT((CI$3-1)/12),-1)</f>
        <v>21990</v>
      </c>
      <c r="CJ6" s="0" t="n">
        <f aca="false">ROUND(Inputs!$B$5*(1+Inputs!$B$6)^INT((CJ$3-1)/12),-1)</f>
        <v>21990</v>
      </c>
      <c r="CK6" s="0" t="n">
        <f aca="false">ROUND(Inputs!$B$5*(1+Inputs!$B$6)^INT((CK$3-1)/12),-1)</f>
        <v>21990</v>
      </c>
      <c r="CL6" s="0" t="n">
        <f aca="false">ROUND(Inputs!$B$5*(1+Inputs!$B$6)^INT((CL$3-1)/12),-1)</f>
        <v>21990</v>
      </c>
      <c r="CM6" s="0" t="n">
        <f aca="false">ROUND(Inputs!$B$5*(1+Inputs!$B$6)^INT((CM$3-1)/12),-1)</f>
        <v>21990</v>
      </c>
      <c r="CN6" s="0" t="n">
        <f aca="false">ROUND(Inputs!$B$5*(1+Inputs!$B$6)^INT((CN$3-1)/12),-1)</f>
        <v>21990</v>
      </c>
      <c r="CO6" s="0" t="n">
        <f aca="false">ROUND(Inputs!$B$5*(1+Inputs!$B$6)^INT((CO$3-1)/12),-1)</f>
        <v>21990</v>
      </c>
      <c r="CP6" s="0" t="n">
        <f aca="false">ROUND(Inputs!$B$5*(1+Inputs!$B$6)^INT((CP$3-1)/12),-1)</f>
        <v>21990</v>
      </c>
      <c r="CQ6" s="0" t="n">
        <f aca="false">ROUND(Inputs!$B$5*(1+Inputs!$B$6)^INT((CQ$3-1)/12),-1)</f>
        <v>21990</v>
      </c>
      <c r="CR6" s="0" t="n">
        <f aca="false">ROUND(Inputs!$B$5*(1+Inputs!$B$6)^INT((CR$3-1)/12),-1)</f>
        <v>21990</v>
      </c>
      <c r="CS6" s="0" t="n">
        <f aca="false">ROUND(Inputs!$B$5*(1+Inputs!$B$6)^INT((CS$3-1)/12),-1)</f>
        <v>21990</v>
      </c>
      <c r="CT6" s="0" t="n">
        <f aca="false">ROUND(Inputs!$B$5*(1+Inputs!$B$6)^INT((CT$3-1)/12),-1)</f>
        <v>21990</v>
      </c>
      <c r="CU6" s="0" t="n">
        <f aca="false">ROUND(Inputs!$B$5*(1+Inputs!$B$6)^INT((CU$3-1)/12),-1)</f>
        <v>22540</v>
      </c>
      <c r="CV6" s="0" t="n">
        <f aca="false">ROUND(Inputs!$B$5*(1+Inputs!$B$6)^INT((CV$3-1)/12),-1)</f>
        <v>22540</v>
      </c>
      <c r="CW6" s="0" t="n">
        <f aca="false">ROUND(Inputs!$B$5*(1+Inputs!$B$6)^INT((CW$3-1)/12),-1)</f>
        <v>22540</v>
      </c>
      <c r="CX6" s="0" t="n">
        <f aca="false">ROUND(Inputs!$B$5*(1+Inputs!$B$6)^INT((CX$3-1)/12),-1)</f>
        <v>22540</v>
      </c>
      <c r="CY6" s="0" t="n">
        <f aca="false">ROUND(Inputs!$B$5*(1+Inputs!$B$6)^INT((CY$3-1)/12),-1)</f>
        <v>22540</v>
      </c>
      <c r="CZ6" s="0" t="n">
        <f aca="false">ROUND(Inputs!$B$5*(1+Inputs!$B$6)^INT((CZ$3-1)/12),-1)</f>
        <v>22540</v>
      </c>
      <c r="DA6" s="0" t="n">
        <f aca="false">ROUND(Inputs!$B$5*(1+Inputs!$B$6)^INT((DA$3-1)/12),-1)</f>
        <v>22540</v>
      </c>
      <c r="DB6" s="0" t="n">
        <f aca="false">ROUND(Inputs!$B$5*(1+Inputs!$B$6)^INT((DB$3-1)/12),-1)</f>
        <v>22540</v>
      </c>
      <c r="DC6" s="0" t="n">
        <f aca="false">ROUND(Inputs!$B$5*(1+Inputs!$B$6)^INT((DC$3-1)/12),-1)</f>
        <v>22540</v>
      </c>
      <c r="DD6" s="0" t="n">
        <f aca="false">ROUND(Inputs!$B$5*(1+Inputs!$B$6)^INT((DD$3-1)/12),-1)</f>
        <v>22540</v>
      </c>
      <c r="DE6" s="0" t="n">
        <f aca="false">ROUND(Inputs!$B$5*(1+Inputs!$B$6)^INT((DE$3-1)/12),-1)</f>
        <v>22540</v>
      </c>
      <c r="DF6" s="0" t="n">
        <f aca="false">ROUND(Inputs!$B$5*(1+Inputs!$B$6)^INT((DF$3-1)/12),-1)</f>
        <v>22540</v>
      </c>
      <c r="DG6" s="0" t="n">
        <f aca="false">ROUND(Inputs!$B$5*(1+Inputs!$B$6)^INT((DG$3-1)/12),-1)</f>
        <v>23100</v>
      </c>
      <c r="DH6" s="0" t="n">
        <f aca="false">ROUND(Inputs!$B$5*(1+Inputs!$B$6)^INT((DH$3-1)/12),-1)</f>
        <v>23100</v>
      </c>
      <c r="DI6" s="0" t="n">
        <f aca="false">ROUND(Inputs!$B$5*(1+Inputs!$B$6)^INT((DI$3-1)/12),-1)</f>
        <v>23100</v>
      </c>
      <c r="DJ6" s="0" t="n">
        <f aca="false">ROUND(Inputs!$B$5*(1+Inputs!$B$6)^INT((DJ$3-1)/12),-1)</f>
        <v>23100</v>
      </c>
      <c r="DK6" s="0" t="n">
        <f aca="false">ROUND(Inputs!$B$5*(1+Inputs!$B$6)^INT((DK$3-1)/12),-1)</f>
        <v>23100</v>
      </c>
      <c r="DL6" s="0" t="n">
        <f aca="false">ROUND(Inputs!$B$5*(1+Inputs!$B$6)^INT((DL$3-1)/12),-1)</f>
        <v>23100</v>
      </c>
      <c r="DM6" s="0" t="n">
        <f aca="false">ROUND(Inputs!$B$5*(1+Inputs!$B$6)^INT((DM$3-1)/12),-1)</f>
        <v>23100</v>
      </c>
      <c r="DN6" s="0" t="n">
        <f aca="false">ROUND(Inputs!$B$5*(1+Inputs!$B$6)^INT((DN$3-1)/12),-1)</f>
        <v>23100</v>
      </c>
      <c r="DO6" s="0" t="n">
        <f aca="false">ROUND(Inputs!$B$5*(1+Inputs!$B$6)^INT((DO$3-1)/12),-1)</f>
        <v>23100</v>
      </c>
      <c r="DP6" s="0" t="n">
        <f aca="false">ROUND(Inputs!$B$5*(1+Inputs!$B$6)^INT((DP$3-1)/12),-1)</f>
        <v>23100</v>
      </c>
      <c r="DQ6" s="0" t="n">
        <f aca="false">ROUND(Inputs!$B$5*(1+Inputs!$B$6)^INT((DQ$3-1)/12),-1)</f>
        <v>23100</v>
      </c>
      <c r="DR6" s="0" t="n">
        <f aca="false">ROUND(Inputs!$B$5*(1+Inputs!$B$6)^INT((DR$3-1)/12),-1)</f>
        <v>23100</v>
      </c>
    </row>
    <row r="7" customFormat="false" ht="15" hidden="false" customHeight="false" outlineLevel="0" collapsed="false">
      <c r="A7" s="0" t="s">
        <v>23</v>
      </c>
      <c r="B7" s="3" t="n">
        <f aca="false">0</f>
        <v>0</v>
      </c>
      <c r="C7" s="3" t="n">
        <f aca="false">Inputs!$B$4*DAY(C4)*C5*C6</f>
        <v>98146817.16</v>
      </c>
      <c r="D7" s="3" t="n">
        <f aca="false">Inputs!$B$4*DAY(D4)*D5*D6</f>
        <v>98956730.88</v>
      </c>
      <c r="E7" s="3" t="n">
        <f aca="false">Inputs!$B$4*DAY(E4)*E5*E6</f>
        <v>129009972</v>
      </c>
      <c r="F7" s="3" t="n">
        <f aca="false">Inputs!$B$4*DAY(F4)*F5*F6</f>
        <v>134836228.8</v>
      </c>
      <c r="G7" s="3" t="n">
        <f aca="false">Inputs!$B$4*DAY(G4)*G5*G6</f>
        <v>136651331.88</v>
      </c>
      <c r="H7" s="3" t="n">
        <f aca="false">Inputs!$B$4*DAY(H4)*H5*H6</f>
        <v>130418517.6</v>
      </c>
      <c r="I7" s="3" t="n">
        <f aca="false">Inputs!$B$4*DAY(I4)*I5*I6</f>
        <v>148212610.14</v>
      </c>
      <c r="J7" s="3" t="n">
        <f aca="false">Inputs!$B$4*DAY(J4)*J5*J6</f>
        <v>162254849.4</v>
      </c>
      <c r="K7" s="3" t="n">
        <f aca="false">Inputs!$B$4*DAY(K4)*K5*K6</f>
        <v>148857660</v>
      </c>
      <c r="L7" s="3" t="n">
        <f aca="false">Inputs!$B$4*DAY(L4)*L5*L6</f>
        <v>168308394.24</v>
      </c>
      <c r="M7" s="3" t="n">
        <f aca="false">Inputs!$B$4*DAY(M4)*M5*M6</f>
        <v>163215221.4</v>
      </c>
      <c r="N7" s="3" t="n">
        <f aca="false">Inputs!$B$4*DAY(N4)*N5*N6</f>
        <v>151834813.2</v>
      </c>
      <c r="O7" s="3" t="n">
        <f aca="false">Inputs!$B$4*DAY(O4)*O5*O6</f>
        <v>153067515.552</v>
      </c>
      <c r="P7" s="3" t="n">
        <f aca="false">Inputs!$B$4*DAY(P4)*P5*P6</f>
        <v>157558983.3216</v>
      </c>
      <c r="Q7" s="3" t="n">
        <f aca="false">Inputs!$B$4*DAY(Q4)*Q5*Q6</f>
        <v>195682325.5296</v>
      </c>
      <c r="R7" s="3" t="n">
        <f aca="false">Inputs!$B$4*DAY(R4)*R5*R6</f>
        <v>201968411.904</v>
      </c>
      <c r="S7" s="3" t="n">
        <f aca="false">Inputs!$B$4*DAY(S4)*S5*S6</f>
        <v>202293214.9056</v>
      </c>
      <c r="T7" s="3" t="n">
        <f aca="false">Inputs!$B$4*DAY(T4)*T5*T6</f>
        <v>190944794.88</v>
      </c>
      <c r="U7" s="3" t="n">
        <f aca="false">Inputs!$B$4*DAY(U4)*U5*U6</f>
        <v>209514340.224</v>
      </c>
      <c r="V7" s="3" t="n">
        <f aca="false">Inputs!$B$4*DAY(V4)*V5*V6</f>
        <v>221719059.072</v>
      </c>
      <c r="W7" s="3" t="n">
        <f aca="false">Inputs!$B$4*DAY(W4)*W5*W6</f>
        <v>196850304</v>
      </c>
      <c r="X7" s="3" t="n">
        <f aca="false">Inputs!$B$4*DAY(X4)*X5*X6</f>
        <v>215616699.648</v>
      </c>
      <c r="Y7" s="3" t="n">
        <f aca="false">Inputs!$B$4*DAY(Y4)*Y5*Y6</f>
        <v>202755813.12</v>
      </c>
      <c r="Z7" s="3" t="n">
        <f aca="false">Inputs!$B$4*DAY(Z4)*Z5*Z6</f>
        <v>183070782.72</v>
      </c>
      <c r="AA7" s="3" t="n">
        <f aca="false">Inputs!$B$4*DAY(AA4)*AA5*AA6</f>
        <v>179363020.032</v>
      </c>
      <c r="AB7" s="3" t="n">
        <f aca="false">Inputs!$B$4*DAY(AB4)*AB5*AB6</f>
        <v>173308004.352</v>
      </c>
      <c r="AC7" s="3" t="n">
        <f aca="false">Inputs!$B$4*DAY(AC4)*AC5*AC6</f>
        <v>216904117.248</v>
      </c>
      <c r="AD7" s="3" t="n">
        <f aca="false">Inputs!$B$4*DAY(AD4)*AD5*AD6</f>
        <v>217980564.48</v>
      </c>
      <c r="AE7" s="3" t="n">
        <f aca="false">Inputs!$B$4*DAY(AE4)*AE5*AE6</f>
        <v>212732884.224</v>
      </c>
      <c r="AF7" s="3" t="n">
        <f aca="false">Inputs!$B$4*DAY(AF4)*AF5*AF6</f>
        <v>195778840.32</v>
      </c>
      <c r="AG7" s="3" t="n">
        <f aca="false">Inputs!$B$4*DAY(AG4)*AG5*AG6</f>
        <v>214818500.736</v>
      </c>
      <c r="AH7" s="3" t="n">
        <f aca="false">Inputs!$B$4*DAY(AH4)*AH5*AH6</f>
        <v>227332199.808</v>
      </c>
      <c r="AI7" s="3" t="n">
        <f aca="false">Inputs!$B$4*DAY(AI4)*AI5*AI6</f>
        <v>201833856</v>
      </c>
      <c r="AJ7" s="3" t="n">
        <f aca="false">Inputs!$B$4*DAY(AJ4)*AJ5*AJ6</f>
        <v>221075350.272</v>
      </c>
      <c r="AK7" s="3" t="n">
        <f aca="false">Inputs!$B$4*DAY(AK4)*AK5*AK6</f>
        <v>207888871.68</v>
      </c>
      <c r="AL7" s="3" t="n">
        <f aca="false">Inputs!$B$4*DAY(AL4)*AL5*AL6</f>
        <v>187705486.08</v>
      </c>
      <c r="AM7" s="3" t="n">
        <f aca="false">Inputs!$B$4*DAY(AM4)*AM5*AM6</f>
        <v>183791736.576</v>
      </c>
      <c r="AN7" s="3" t="n">
        <f aca="false">Inputs!$B$4*DAY(AN4)*AN5*AN6</f>
        <v>177587214.336</v>
      </c>
      <c r="AO7" s="3" t="n">
        <f aca="false">Inputs!$B$4*DAY(AO4)*AO5*AO6</f>
        <v>222259774.464</v>
      </c>
      <c r="AP7" s="3" t="n">
        <f aca="false">Inputs!$B$4*DAY(AP4)*AP5*AP6</f>
        <v>223362800.64</v>
      </c>
      <c r="AQ7" s="3" t="n">
        <f aca="false">Inputs!$B$4*DAY(AQ4)*AQ5*AQ6</f>
        <v>217985548.032</v>
      </c>
      <c r="AR7" s="3" t="n">
        <f aca="false">Inputs!$B$4*DAY(AR4)*AR5*AR6</f>
        <v>200612885.76</v>
      </c>
      <c r="AS7" s="3" t="n">
        <f aca="false">Inputs!$B$4*DAY(AS4)*AS5*AS6</f>
        <v>220122661.248</v>
      </c>
      <c r="AT7" s="3" t="n">
        <f aca="false">Inputs!$B$4*DAY(AT4)*AT5*AT6</f>
        <v>232945340.544</v>
      </c>
      <c r="AU7" s="3" t="n">
        <f aca="false">Inputs!$B$4*DAY(AU4)*AU5*AU6</f>
        <v>206817408</v>
      </c>
      <c r="AV7" s="3" t="n">
        <f aca="false">Inputs!$B$4*DAY(AV4)*AV5*AV6</f>
        <v>226534000.896</v>
      </c>
      <c r="AW7" s="3" t="n">
        <f aca="false">Inputs!$B$4*DAY(AW4)*AW5*AW6</f>
        <v>213021930.24</v>
      </c>
      <c r="AX7" s="3" t="n">
        <f aca="false">Inputs!$B$4*DAY(AX4)*AX5*AX6</f>
        <v>192340189.44</v>
      </c>
      <c r="AY7" s="3" t="n">
        <f aca="false">Inputs!$B$4*DAY(AY4)*AY5*AY6</f>
        <v>188404982.976</v>
      </c>
      <c r="AZ7" s="3" t="n">
        <f aca="false">Inputs!$B$4*DAY(AZ4)*AZ5*AZ6</f>
        <v>182044724.736</v>
      </c>
      <c r="BA7" s="3" t="n">
        <f aca="false">Inputs!$B$4*DAY(BA4)*BA5*BA6</f>
        <v>227838584.064</v>
      </c>
      <c r="BB7" s="3" t="n">
        <f aca="false">Inputs!$B$4*DAY(BB4)*BB5*BB6</f>
        <v>228969296.64</v>
      </c>
      <c r="BC7" s="3" t="n">
        <f aca="false">Inputs!$B$4*DAY(BC4)*BC5*BC6</f>
        <v>223457072.832</v>
      </c>
      <c r="BD7" s="3" t="n">
        <f aca="false">Inputs!$B$4*DAY(BD4)*BD5*BD6</f>
        <v>205648349.76</v>
      </c>
      <c r="BE7" s="3" t="n">
        <f aca="false">Inputs!$B$4*DAY(BE4)*BE5*BE6</f>
        <v>225647828.448</v>
      </c>
      <c r="BF7" s="3" t="n">
        <f aca="false">Inputs!$B$4*DAY(BF4)*BF5*BF6</f>
        <v>238792362.144</v>
      </c>
      <c r="BG7" s="3" t="n">
        <f aca="false">Inputs!$B$4*DAY(BG4)*BG5*BG6</f>
        <v>212008608</v>
      </c>
      <c r="BH7" s="3" t="n">
        <f aca="false">Inputs!$B$4*DAY(BH4)*BH5*BH6</f>
        <v>232220095.296</v>
      </c>
      <c r="BI7" s="3" t="n">
        <f aca="false">Inputs!$B$4*DAY(BI4)*BI5*BI6</f>
        <v>218368866.24</v>
      </c>
      <c r="BJ7" s="3" t="n">
        <f aca="false">Inputs!$B$4*DAY(BJ4)*BJ5*BJ6</f>
        <v>197168005.44</v>
      </c>
      <c r="BK7" s="3" t="n">
        <f aca="false">Inputs!$B$4*DAY(BK4)*BK5*BK6</f>
        <v>193110494.304</v>
      </c>
      <c r="BL7" s="3" t="n">
        <f aca="false">Inputs!$B$4*DAY(BL4)*BL5*BL6</f>
        <v>193255363.392</v>
      </c>
      <c r="BM7" s="3" t="n">
        <f aca="false">Inputs!$B$4*DAY(BM4)*BM5*BM6</f>
        <v>233528969.856</v>
      </c>
      <c r="BN7" s="3" t="n">
        <f aca="false">Inputs!$B$4*DAY(BN4)*BN5*BN6</f>
        <v>234687922.56</v>
      </c>
      <c r="BO7" s="3" t="n">
        <f aca="false">Inputs!$B$4*DAY(BO4)*BO5*BO6</f>
        <v>229038028.128</v>
      </c>
      <c r="BP7" s="3" t="n">
        <f aca="false">Inputs!$B$4*DAY(BP4)*BP5*BP6</f>
        <v>210784523.04</v>
      </c>
      <c r="BQ7" s="3" t="n">
        <f aca="false">Inputs!$B$4*DAY(BQ4)*BQ5*BQ6</f>
        <v>231283498.992</v>
      </c>
      <c r="BR7" s="3" t="n">
        <f aca="false">Inputs!$B$4*DAY(BR4)*BR5*BR6</f>
        <v>244756324.176</v>
      </c>
      <c r="BS7" s="3" t="n">
        <f aca="false">Inputs!$B$4*DAY(BS4)*BS5*BS6</f>
        <v>217303632</v>
      </c>
      <c r="BT7" s="3" t="n">
        <f aca="false">Inputs!$B$4*DAY(BT4)*BT5*BT6</f>
        <v>238019911.584</v>
      </c>
      <c r="BU7" s="3" t="n">
        <f aca="false">Inputs!$B$4*DAY(BU4)*BU5*BU6</f>
        <v>223822740.96</v>
      </c>
      <c r="BV7" s="3" t="n">
        <f aca="false">Inputs!$B$4*DAY(BV4)*BV5*BV6</f>
        <v>202092377.76</v>
      </c>
      <c r="BW7" s="3" t="n">
        <f aca="false">Inputs!$B$4*DAY(BW4)*BW5*BW6</f>
        <v>197908270.56</v>
      </c>
      <c r="BX7" s="3" t="n">
        <f aca="false">Inputs!$B$4*DAY(BX4)*BX5*BX6</f>
        <v>191227196.16</v>
      </c>
      <c r="BY7" s="3" t="n">
        <f aca="false">Inputs!$B$4*DAY(BY4)*BY5*BY6</f>
        <v>239330931.84</v>
      </c>
      <c r="BZ7" s="3" t="n">
        <f aca="false">Inputs!$B$4*DAY(BZ4)*BZ5*BZ6</f>
        <v>240518678.4</v>
      </c>
      <c r="CA7" s="3" t="n">
        <f aca="false">Inputs!$B$4*DAY(CA4)*CA5*CA6</f>
        <v>234728413.92</v>
      </c>
      <c r="CB7" s="3" t="n">
        <f aca="false">Inputs!$B$4*DAY(CB4)*CB5*CB6</f>
        <v>216021405.6</v>
      </c>
      <c r="CC7" s="3" t="n">
        <f aca="false">Inputs!$B$4*DAY(CC4)*CC5*CC6</f>
        <v>237029672.88</v>
      </c>
      <c r="CD7" s="3" t="n">
        <f aca="false">Inputs!$B$4*DAY(CD4)*CD5*CD6</f>
        <v>250837226.64</v>
      </c>
      <c r="CE7" s="3" t="n">
        <f aca="false">Inputs!$B$4*DAY(CE4)*CE5*CE6</f>
        <v>222702480</v>
      </c>
      <c r="CF7" s="3" t="n">
        <f aca="false">Inputs!$B$4*DAY(CF4)*CF5*CF6</f>
        <v>243933449.76</v>
      </c>
      <c r="CG7" s="3" t="n">
        <f aca="false">Inputs!$B$4*DAY(CG4)*CG5*CG6</f>
        <v>229383554.4</v>
      </c>
      <c r="CH7" s="3" t="n">
        <f aca="false">Inputs!$B$4*DAY(CH4)*CH5*CH6</f>
        <v>207113306.4</v>
      </c>
      <c r="CI7" s="3" t="n">
        <f aca="false">Inputs!$B$4*DAY(CI4)*CI5*CI6</f>
        <v>202890576.672</v>
      </c>
      <c r="CJ7" s="3" t="n">
        <f aca="false">Inputs!$B$4*DAY(CJ4)*CJ5*CJ6</f>
        <v>196041307.392</v>
      </c>
      <c r="CK7" s="3" t="n">
        <f aca="false">Inputs!$B$4*DAY(CK4)*CK5*CK6</f>
        <v>245356046.208</v>
      </c>
      <c r="CL7" s="3" t="n">
        <f aca="false">Inputs!$B$4*DAY(CL4)*CL5*CL6</f>
        <v>246573694.08</v>
      </c>
      <c r="CM7" s="3" t="n">
        <f aca="false">Inputs!$B$4*DAY(CM4)*CM5*CM6</f>
        <v>240637660.704</v>
      </c>
      <c r="CN7" s="3" t="n">
        <f aca="false">Inputs!$B$4*DAY(CN4)*CN5*CN6</f>
        <v>221459706.72</v>
      </c>
      <c r="CO7" s="3" t="n">
        <f aca="false">Inputs!$B$4*DAY(CO4)*CO5*CO6</f>
        <v>242996853.456</v>
      </c>
      <c r="CP7" s="3" t="n">
        <f aca="false">Inputs!$B$4*DAY(CP4)*CP5*CP6</f>
        <v>257152009.968</v>
      </c>
      <c r="CQ7" s="3" t="n">
        <f aca="false">Inputs!$B$4*DAY(CQ4)*CQ5*CQ6</f>
        <v>228308976</v>
      </c>
      <c r="CR7" s="3" t="n">
        <f aca="false">Inputs!$B$4*DAY(CR4)*CR5*CR6</f>
        <v>250074431.712</v>
      </c>
      <c r="CS7" s="3" t="n">
        <f aca="false">Inputs!$B$4*DAY(CS4)*CS5*CS6</f>
        <v>235158245.28</v>
      </c>
      <c r="CT7" s="3" t="n">
        <f aca="false">Inputs!$B$4*DAY(CT4)*CT5*CT6</f>
        <v>212327347.68</v>
      </c>
      <c r="CU7" s="3" t="n">
        <f aca="false">Inputs!$B$4*DAY(CU4)*CU5*CU6</f>
        <v>207965147.712</v>
      </c>
      <c r="CV7" s="3" t="n">
        <f aca="false">Inputs!$B$4*DAY(CV4)*CV5*CV6</f>
        <v>200944568.832</v>
      </c>
      <c r="CW7" s="3" t="n">
        <f aca="false">Inputs!$B$4*DAY(CW4)*CW5*CW6</f>
        <v>251492736.768</v>
      </c>
      <c r="CX7" s="3" t="n">
        <f aca="false">Inputs!$B$4*DAY(CX4)*CX5*CX6</f>
        <v>252740839.68</v>
      </c>
      <c r="CY7" s="3" t="n">
        <f aca="false">Inputs!$B$4*DAY(CY4)*CY5*CY6</f>
        <v>246656337.984</v>
      </c>
      <c r="CZ7" s="3" t="n">
        <f aca="false">Inputs!$B$4*DAY(CZ4)*CZ5*CZ6</f>
        <v>226998717.12</v>
      </c>
      <c r="DA7" s="3" t="n">
        <f aca="false">Inputs!$B$4*DAY(DA4)*DA5*DA6</f>
        <v>249074537.376</v>
      </c>
      <c r="DB7" s="3" t="n">
        <f aca="false">Inputs!$B$4*DAY(DB4)*DB5*DB6</f>
        <v>263583733.728</v>
      </c>
      <c r="DC7" s="3" t="n">
        <f aca="false">Inputs!$B$4*DAY(DC4)*DC5*DC6</f>
        <v>234019296</v>
      </c>
      <c r="DD7" s="3" t="n">
        <f aca="false">Inputs!$B$4*DAY(DD4)*DD5*DD6</f>
        <v>256329135.552</v>
      </c>
      <c r="DE7" s="3" t="n">
        <f aca="false">Inputs!$B$4*DAY(DE4)*DE5*DE6</f>
        <v>241039874.88</v>
      </c>
      <c r="DF7" s="3" t="n">
        <f aca="false">Inputs!$B$4*DAY(DF4)*DF5*DF6</f>
        <v>217637945.28</v>
      </c>
      <c r="DG7" s="3" t="n">
        <f aca="false">Inputs!$B$4*DAY(DG4)*DG5*DG6</f>
        <v>213131983.68</v>
      </c>
      <c r="DH7" s="3" t="n">
        <f aca="false">Inputs!$B$4*DAY(DH4)*DH5*DH6</f>
        <v>213291872.64</v>
      </c>
      <c r="DI7" s="3" t="n">
        <f aca="false">Inputs!$B$4*DAY(DI4)*DI5*DI6</f>
        <v>257741003.52</v>
      </c>
      <c r="DJ7" s="3" t="n">
        <f aca="false">Inputs!$B$4*DAY(DJ4)*DJ5*DJ6</f>
        <v>259020115.2</v>
      </c>
      <c r="DK7" s="3" t="n">
        <f aca="false">Inputs!$B$4*DAY(DK4)*DK5*DK6</f>
        <v>252784445.76</v>
      </c>
      <c r="DL7" s="3" t="n">
        <f aca="false">Inputs!$B$4*DAY(DL4)*DL5*DL6</f>
        <v>232638436.8</v>
      </c>
      <c r="DM7" s="3" t="n">
        <f aca="false">Inputs!$B$4*DAY(DM4)*DM5*DM6</f>
        <v>255262724.64</v>
      </c>
      <c r="DN7" s="3" t="n">
        <f aca="false">Inputs!$B$4*DAY(DN4)*DN5*DN6</f>
        <v>270132397.92</v>
      </c>
      <c r="DO7" s="3" t="n">
        <f aca="false">Inputs!$B$4*DAY(DO4)*DO5*DO6</f>
        <v>239833440</v>
      </c>
      <c r="DP7" s="3" t="n">
        <f aca="false">Inputs!$B$4*DAY(DP4)*DP5*DP6</f>
        <v>262697561.28</v>
      </c>
      <c r="DQ7" s="3" t="n">
        <f aca="false">Inputs!$B$4*DAY(DQ4)*DQ5*DQ6</f>
        <v>247028443.2</v>
      </c>
      <c r="DR7" s="3" t="n">
        <f aca="false">Inputs!$B$4*DAY(DR4)*DR5*DR6</f>
        <v>223045099.2</v>
      </c>
    </row>
    <row r="8" customFormat="false" ht="15" hidden="false" customHeight="false" outlineLevel="0" collapsed="false">
      <c r="A8" s="0" t="s">
        <v>24</v>
      </c>
      <c r="B8" s="3" t="n">
        <f aca="false">B7/(1-Inputs!$B$9)</f>
        <v>0</v>
      </c>
      <c r="C8" s="3" t="n">
        <f aca="false">C7/(1-Inputs!$B$9)</f>
        <v>111530474.045455</v>
      </c>
      <c r="D8" s="3" t="n">
        <f aca="false">D7/(1-Inputs!$B$9)</f>
        <v>112450830.545455</v>
      </c>
      <c r="E8" s="3" t="n">
        <f aca="false">E7/(1-Inputs!$B$9)</f>
        <v>146602240.909091</v>
      </c>
      <c r="F8" s="3" t="n">
        <f aca="false">F7/(1-Inputs!$B$9)</f>
        <v>153222987.272727</v>
      </c>
      <c r="G8" s="3" t="n">
        <f aca="false">G7/(1-Inputs!$B$9)</f>
        <v>155285604.409091</v>
      </c>
      <c r="H8" s="3" t="n">
        <f aca="false">H7/(1-Inputs!$B$9)</f>
        <v>148202860.909091</v>
      </c>
      <c r="I8" s="3" t="n">
        <f aca="false">I7/(1-Inputs!$B$9)</f>
        <v>168423420.613636</v>
      </c>
      <c r="J8" s="3" t="n">
        <f aca="false">J7/(1-Inputs!$B$9)</f>
        <v>184380510.681818</v>
      </c>
      <c r="K8" s="3" t="n">
        <f aca="false">K7/(1-Inputs!$B$9)</f>
        <v>169156431.818182</v>
      </c>
      <c r="L8" s="3" t="n">
        <f aca="false">L7/(1-Inputs!$B$9)</f>
        <v>191259538.909091</v>
      </c>
      <c r="M8" s="3" t="n">
        <f aca="false">M7/(1-Inputs!$B$9)</f>
        <v>185471842.5</v>
      </c>
      <c r="N8" s="3" t="n">
        <f aca="false">N7/(1-Inputs!$B$9)</f>
        <v>172539560.454545</v>
      </c>
      <c r="O8" s="3" t="n">
        <f aca="false">O7/(1-Inputs!$B$9)</f>
        <v>173940358.581818</v>
      </c>
      <c r="P8" s="3" t="n">
        <f aca="false">P7/(1-Inputs!$B$9)</f>
        <v>179044299.229091</v>
      </c>
      <c r="Q8" s="3" t="n">
        <f aca="false">Q7/(1-Inputs!$B$9)</f>
        <v>222366279.010909</v>
      </c>
      <c r="R8" s="3" t="n">
        <f aca="false">R7/(1-Inputs!$B$9)</f>
        <v>229509558.981818</v>
      </c>
      <c r="S8" s="3" t="n">
        <f aca="false">S7/(1-Inputs!$B$9)</f>
        <v>229878653.301818</v>
      </c>
      <c r="T8" s="3" t="n">
        <f aca="false">T7/(1-Inputs!$B$9)</f>
        <v>216982721.454545</v>
      </c>
      <c r="U8" s="3" t="n">
        <f aca="false">U7/(1-Inputs!$B$9)</f>
        <v>238084477.527273</v>
      </c>
      <c r="V8" s="3" t="n">
        <f aca="false">V7/(1-Inputs!$B$9)</f>
        <v>251953476.218182</v>
      </c>
      <c r="W8" s="3" t="n">
        <f aca="false">W7/(1-Inputs!$B$9)</f>
        <v>223693527.272727</v>
      </c>
      <c r="X8" s="3" t="n">
        <f aca="false">X7/(1-Inputs!$B$9)</f>
        <v>245018976.872727</v>
      </c>
      <c r="Y8" s="3" t="n">
        <f aca="false">Y7/(1-Inputs!$B$9)</f>
        <v>230404333.090909</v>
      </c>
      <c r="Z8" s="3" t="n">
        <f aca="false">Z7/(1-Inputs!$B$9)</f>
        <v>208034980.363636</v>
      </c>
      <c r="AA8" s="3" t="n">
        <f aca="false">AA7/(1-Inputs!$B$9)</f>
        <v>203821613.672727</v>
      </c>
      <c r="AB8" s="3" t="n">
        <f aca="false">AB7/(1-Inputs!$B$9)</f>
        <v>196940914.036364</v>
      </c>
      <c r="AC8" s="3" t="n">
        <f aca="false">AC7/(1-Inputs!$B$9)</f>
        <v>246481951.418182</v>
      </c>
      <c r="AD8" s="3" t="n">
        <f aca="false">AD7/(1-Inputs!$B$9)</f>
        <v>247705186.909091</v>
      </c>
      <c r="AE8" s="3" t="n">
        <f aca="false">AE7/(1-Inputs!$B$9)</f>
        <v>241741913.890909</v>
      </c>
      <c r="AF8" s="3" t="n">
        <f aca="false">AF7/(1-Inputs!$B$9)</f>
        <v>222475954.909091</v>
      </c>
      <c r="AG8" s="3" t="n">
        <f aca="false">AG7/(1-Inputs!$B$9)</f>
        <v>244111932.654545</v>
      </c>
      <c r="AH8" s="3" t="n">
        <f aca="false">AH7/(1-Inputs!$B$9)</f>
        <v>258332045.236364</v>
      </c>
      <c r="AI8" s="3" t="n">
        <f aca="false">AI7/(1-Inputs!$B$9)</f>
        <v>229356654.545455</v>
      </c>
      <c r="AJ8" s="3" t="n">
        <f aca="false">AJ7/(1-Inputs!$B$9)</f>
        <v>251221988.945455</v>
      </c>
      <c r="AK8" s="3" t="n">
        <f aca="false">AK7/(1-Inputs!$B$9)</f>
        <v>236237354.181818</v>
      </c>
      <c r="AL8" s="3" t="n">
        <f aca="false">AL7/(1-Inputs!$B$9)</f>
        <v>213301688.727273</v>
      </c>
      <c r="AM8" s="3" t="n">
        <f aca="false">AM7/(1-Inputs!$B$9)</f>
        <v>208854246.109091</v>
      </c>
      <c r="AN8" s="3" t="n">
        <f aca="false">AN7/(1-Inputs!$B$9)</f>
        <v>201803652.654545</v>
      </c>
      <c r="AO8" s="3" t="n">
        <f aca="false">AO7/(1-Inputs!$B$9)</f>
        <v>252567925.527273</v>
      </c>
      <c r="AP8" s="3" t="n">
        <f aca="false">AP7/(1-Inputs!$B$9)</f>
        <v>253821364.363636</v>
      </c>
      <c r="AQ8" s="3" t="n">
        <f aca="false">AQ7/(1-Inputs!$B$9)</f>
        <v>247710850.036364</v>
      </c>
      <c r="AR8" s="3" t="n">
        <f aca="false">AR7/(1-Inputs!$B$9)</f>
        <v>227969188.363636</v>
      </c>
      <c r="AS8" s="3" t="n">
        <f aca="false">AS7/(1-Inputs!$B$9)</f>
        <v>250139387.781818</v>
      </c>
      <c r="AT8" s="3" t="n">
        <f aca="false">AT7/(1-Inputs!$B$9)</f>
        <v>264710614.254545</v>
      </c>
      <c r="AU8" s="3" t="n">
        <f aca="false">AU7/(1-Inputs!$B$9)</f>
        <v>235019781.818182</v>
      </c>
      <c r="AV8" s="3" t="n">
        <f aca="false">AV7/(1-Inputs!$B$9)</f>
        <v>257425001.018182</v>
      </c>
      <c r="AW8" s="3" t="n">
        <f aca="false">AW7/(1-Inputs!$B$9)</f>
        <v>242070375.272727</v>
      </c>
      <c r="AX8" s="3" t="n">
        <f aca="false">AX7/(1-Inputs!$B$9)</f>
        <v>218568397.090909</v>
      </c>
      <c r="AY8" s="3" t="n">
        <f aca="false">AY7/(1-Inputs!$B$9)</f>
        <v>214096571.563636</v>
      </c>
      <c r="AZ8" s="3" t="n">
        <f aca="false">AZ7/(1-Inputs!$B$9)</f>
        <v>206869005.381818</v>
      </c>
      <c r="BA8" s="3" t="n">
        <f aca="false">BA7/(1-Inputs!$B$9)</f>
        <v>258907481.890909</v>
      </c>
      <c r="BB8" s="3" t="n">
        <f aca="false">BB7/(1-Inputs!$B$9)</f>
        <v>260192382.545455</v>
      </c>
      <c r="BC8" s="3" t="n">
        <f aca="false">BC7/(1-Inputs!$B$9)</f>
        <v>253928491.854545</v>
      </c>
      <c r="BD8" s="3" t="n">
        <f aca="false">BD7/(1-Inputs!$B$9)</f>
        <v>233691306.545455</v>
      </c>
      <c r="BE8" s="3" t="n">
        <f aca="false">BE7/(1-Inputs!$B$9)</f>
        <v>256417986.872727</v>
      </c>
      <c r="BF8" s="3" t="n">
        <f aca="false">BF7/(1-Inputs!$B$9)</f>
        <v>271354956.981818</v>
      </c>
      <c r="BG8" s="3" t="n">
        <f aca="false">BG7/(1-Inputs!$B$9)</f>
        <v>240918872.727273</v>
      </c>
      <c r="BH8" s="3" t="n">
        <f aca="false">BH7/(1-Inputs!$B$9)</f>
        <v>263886471.927273</v>
      </c>
      <c r="BI8" s="3" t="n">
        <f aca="false">BI7/(1-Inputs!$B$9)</f>
        <v>248146438.909091</v>
      </c>
      <c r="BJ8" s="3" t="n">
        <f aca="false">BJ7/(1-Inputs!$B$9)</f>
        <v>224054551.636364</v>
      </c>
      <c r="BK8" s="3" t="n">
        <f aca="false">BK7/(1-Inputs!$B$9)</f>
        <v>219443743.527273</v>
      </c>
      <c r="BL8" s="3" t="n">
        <f aca="false">BL7/(1-Inputs!$B$9)</f>
        <v>219608367.490909</v>
      </c>
      <c r="BM8" s="3" t="n">
        <f aca="false">BM7/(1-Inputs!$B$9)</f>
        <v>265373829.381818</v>
      </c>
      <c r="BN8" s="3" t="n">
        <f aca="false">BN7/(1-Inputs!$B$9)</f>
        <v>266690821.090909</v>
      </c>
      <c r="BO8" s="3" t="n">
        <f aca="false">BO7/(1-Inputs!$B$9)</f>
        <v>260270486.509091</v>
      </c>
      <c r="BP8" s="3" t="n">
        <f aca="false">BP7/(1-Inputs!$B$9)</f>
        <v>239527867.090909</v>
      </c>
      <c r="BQ8" s="3" t="n">
        <f aca="false">BQ7/(1-Inputs!$B$9)</f>
        <v>262822157.945455</v>
      </c>
      <c r="BR8" s="3" t="n">
        <f aca="false">BR7/(1-Inputs!$B$9)</f>
        <v>278132186.563636</v>
      </c>
      <c r="BS8" s="3" t="n">
        <f aca="false">BS7/(1-Inputs!$B$9)</f>
        <v>246935945.454545</v>
      </c>
      <c r="BT8" s="3" t="n">
        <f aca="false">BT7/(1-Inputs!$B$9)</f>
        <v>270477172.254545</v>
      </c>
      <c r="BU8" s="3" t="n">
        <f aca="false">BU7/(1-Inputs!$B$9)</f>
        <v>254344023.818182</v>
      </c>
      <c r="BV8" s="3" t="n">
        <f aca="false">BV7/(1-Inputs!$B$9)</f>
        <v>229650429.272727</v>
      </c>
      <c r="BW8" s="3" t="n">
        <f aca="false">BW7/(1-Inputs!$B$9)</f>
        <v>224895762</v>
      </c>
      <c r="BX8" s="3" t="n">
        <f aca="false">BX7/(1-Inputs!$B$9)</f>
        <v>217303632</v>
      </c>
      <c r="BY8" s="3" t="n">
        <f aca="false">BY7/(1-Inputs!$B$9)</f>
        <v>271966968</v>
      </c>
      <c r="BZ8" s="3" t="n">
        <f aca="false">BZ7/(1-Inputs!$B$9)</f>
        <v>273316680</v>
      </c>
      <c r="CA8" s="3" t="n">
        <f aca="false">CA7/(1-Inputs!$B$9)</f>
        <v>266736834</v>
      </c>
      <c r="CB8" s="3" t="n">
        <f aca="false">CB7/(1-Inputs!$B$9)</f>
        <v>245478870</v>
      </c>
      <c r="CC8" s="3" t="n">
        <f aca="false">CC7/(1-Inputs!$B$9)</f>
        <v>269351901</v>
      </c>
      <c r="CD8" s="3" t="n">
        <f aca="false">CD7/(1-Inputs!$B$9)</f>
        <v>285042303</v>
      </c>
      <c r="CE8" s="3" t="n">
        <f aca="false">CE7/(1-Inputs!$B$9)</f>
        <v>253071000</v>
      </c>
      <c r="CF8" s="3" t="n">
        <f aca="false">CF7/(1-Inputs!$B$9)</f>
        <v>277197102</v>
      </c>
      <c r="CG8" s="3" t="n">
        <f aca="false">CG7/(1-Inputs!$B$9)</f>
        <v>260663130</v>
      </c>
      <c r="CH8" s="3" t="n">
        <f aca="false">CH7/(1-Inputs!$B$9)</f>
        <v>235356030</v>
      </c>
      <c r="CI8" s="3" t="n">
        <f aca="false">CI7/(1-Inputs!$B$9)</f>
        <v>230557473.490909</v>
      </c>
      <c r="CJ8" s="3" t="n">
        <f aca="false">CJ7/(1-Inputs!$B$9)</f>
        <v>222774212.945455</v>
      </c>
      <c r="CK8" s="3" t="n">
        <f aca="false">CK7/(1-Inputs!$B$9)</f>
        <v>278813688.872727</v>
      </c>
      <c r="CL8" s="3" t="n">
        <f aca="false">CL7/(1-Inputs!$B$9)</f>
        <v>280197379.636364</v>
      </c>
      <c r="CM8" s="3" t="n">
        <f aca="false">CM7/(1-Inputs!$B$9)</f>
        <v>273451887.163636</v>
      </c>
      <c r="CN8" s="3" t="n">
        <f aca="false">CN7/(1-Inputs!$B$9)</f>
        <v>251658757.636364</v>
      </c>
      <c r="CO8" s="3" t="n">
        <f aca="false">CO7/(1-Inputs!$B$9)</f>
        <v>276132788.018182</v>
      </c>
      <c r="CP8" s="3" t="n">
        <f aca="false">CP7/(1-Inputs!$B$9)</f>
        <v>292218193.145455</v>
      </c>
      <c r="CQ8" s="3" t="n">
        <f aca="false">CQ7/(1-Inputs!$B$9)</f>
        <v>259442018.181818</v>
      </c>
      <c r="CR8" s="3" t="n">
        <f aca="false">CR7/(1-Inputs!$B$9)</f>
        <v>284175490.581818</v>
      </c>
      <c r="CS8" s="3" t="n">
        <f aca="false">CS7/(1-Inputs!$B$9)</f>
        <v>267225278.727273</v>
      </c>
      <c r="CT8" s="3" t="n">
        <f aca="false">CT7/(1-Inputs!$B$9)</f>
        <v>241281076.909091</v>
      </c>
      <c r="CU8" s="3" t="n">
        <f aca="false">CU7/(1-Inputs!$B$9)</f>
        <v>236324031.490909</v>
      </c>
      <c r="CV8" s="3" t="n">
        <f aca="false">CV7/(1-Inputs!$B$9)</f>
        <v>228346100.945455</v>
      </c>
      <c r="CW8" s="3" t="n">
        <f aca="false">CW7/(1-Inputs!$B$9)</f>
        <v>285787200.872727</v>
      </c>
      <c r="CX8" s="3" t="n">
        <f aca="false">CX7/(1-Inputs!$B$9)</f>
        <v>287205499.636364</v>
      </c>
      <c r="CY8" s="3" t="n">
        <f aca="false">CY7/(1-Inputs!$B$9)</f>
        <v>280291293.163636</v>
      </c>
      <c r="CZ8" s="3" t="n">
        <f aca="false">CZ7/(1-Inputs!$B$9)</f>
        <v>257953087.636364</v>
      </c>
      <c r="DA8" s="3" t="n">
        <f aca="false">DA7/(1-Inputs!$B$9)</f>
        <v>283039247.018182</v>
      </c>
      <c r="DB8" s="3" t="n">
        <f aca="false">DB7/(1-Inputs!$B$9)</f>
        <v>299526970.145455</v>
      </c>
      <c r="DC8" s="3" t="n">
        <f aca="false">DC7/(1-Inputs!$B$9)</f>
        <v>265931018.181818</v>
      </c>
      <c r="DD8" s="3" t="n">
        <f aca="false">DD7/(1-Inputs!$B$9)</f>
        <v>291283108.581818</v>
      </c>
      <c r="DE8" s="3" t="n">
        <f aca="false">DE7/(1-Inputs!$B$9)</f>
        <v>273908948.727273</v>
      </c>
      <c r="DF8" s="3" t="n">
        <f aca="false">DF7/(1-Inputs!$B$9)</f>
        <v>247315846.909091</v>
      </c>
      <c r="DG8" s="3" t="n">
        <f aca="false">DG7/(1-Inputs!$B$9)</f>
        <v>242195436</v>
      </c>
      <c r="DH8" s="3" t="n">
        <f aca="false">DH7/(1-Inputs!$B$9)</f>
        <v>242377128</v>
      </c>
      <c r="DI8" s="3" t="n">
        <f aca="false">DI7/(1-Inputs!$B$9)</f>
        <v>292887504</v>
      </c>
      <c r="DJ8" s="3" t="n">
        <f aca="false">DJ7/(1-Inputs!$B$9)</f>
        <v>294341040</v>
      </c>
      <c r="DK8" s="3" t="n">
        <f aca="false">DK7/(1-Inputs!$B$9)</f>
        <v>287255052</v>
      </c>
      <c r="DL8" s="3" t="n">
        <f aca="false">DL7/(1-Inputs!$B$9)</f>
        <v>264361860</v>
      </c>
      <c r="DM8" s="3" t="n">
        <f aca="false">DM7/(1-Inputs!$B$9)</f>
        <v>290071278</v>
      </c>
      <c r="DN8" s="3" t="n">
        <f aca="false">DN7/(1-Inputs!$B$9)</f>
        <v>306968634</v>
      </c>
      <c r="DO8" s="3" t="n">
        <f aca="false">DO7/(1-Inputs!$B$9)</f>
        <v>272538000</v>
      </c>
      <c r="DP8" s="3" t="n">
        <f aca="false">DP7/(1-Inputs!$B$9)</f>
        <v>298519956</v>
      </c>
      <c r="DQ8" s="3" t="n">
        <f aca="false">DQ7/(1-Inputs!$B$9)</f>
        <v>280714140</v>
      </c>
      <c r="DR8" s="3" t="n">
        <f aca="false">DR7/(1-Inputs!$B$9)</f>
        <v>253460340</v>
      </c>
    </row>
    <row r="9" customFormat="false" ht="15" hidden="false" customHeight="false" outlineLevel="0" collapsed="false">
      <c r="A9" s="0" t="s">
        <v>25</v>
      </c>
      <c r="B9" s="0" t="n">
        <f aca="false">B8*Inputs!$B$10</f>
        <v>0</v>
      </c>
      <c r="C9" s="0" t="n">
        <f aca="false">C8*Inputs!$B$10</f>
        <v>34574446.9540909</v>
      </c>
      <c r="D9" s="0" t="n">
        <f aca="false">D8*Inputs!$B$10</f>
        <v>34859757.4690909</v>
      </c>
      <c r="E9" s="0" t="n">
        <f aca="false">E8*Inputs!$B$10</f>
        <v>45446694.6818182</v>
      </c>
      <c r="F9" s="0" t="n">
        <f aca="false">F8*Inputs!$B$10</f>
        <v>47499126.0545455</v>
      </c>
      <c r="G9" s="0" t="n">
        <f aca="false">G8*Inputs!$B$10</f>
        <v>48138537.3668182</v>
      </c>
      <c r="H9" s="0" t="n">
        <f aca="false">H8*Inputs!$B$10</f>
        <v>45942886.8818182</v>
      </c>
      <c r="I9" s="0" t="n">
        <f aca="false">I8*Inputs!$B$10</f>
        <v>52211260.3902273</v>
      </c>
      <c r="J9" s="0" t="n">
        <f aca="false">J8*Inputs!$B$10</f>
        <v>57157958.3113636</v>
      </c>
      <c r="K9" s="0" t="n">
        <f aca="false">K8*Inputs!$B$10</f>
        <v>52438493.8636364</v>
      </c>
      <c r="L9" s="0" t="n">
        <f aca="false">L8*Inputs!$B$10</f>
        <v>59290457.0618182</v>
      </c>
      <c r="M9" s="0" t="n">
        <f aca="false">M8*Inputs!$B$10</f>
        <v>57496271.175</v>
      </c>
      <c r="N9" s="0" t="n">
        <f aca="false">N8*Inputs!$B$10</f>
        <v>53487263.7409091</v>
      </c>
      <c r="O9" s="0" t="n">
        <f aca="false">O8*Inputs!$B$10</f>
        <v>53921511.1603636</v>
      </c>
      <c r="P9" s="0" t="n">
        <f aca="false">P8*Inputs!$B$10</f>
        <v>55503732.7610182</v>
      </c>
      <c r="Q9" s="0" t="n">
        <f aca="false">Q8*Inputs!$B$10</f>
        <v>68933546.4933818</v>
      </c>
      <c r="R9" s="0" t="n">
        <f aca="false">R8*Inputs!$B$10</f>
        <v>71147963.2843636</v>
      </c>
      <c r="S9" s="0" t="n">
        <f aca="false">S8*Inputs!$B$10</f>
        <v>71262382.5235637</v>
      </c>
      <c r="T9" s="0" t="n">
        <f aca="false">T8*Inputs!$B$10</f>
        <v>67264643.6509091</v>
      </c>
      <c r="U9" s="0" t="n">
        <f aca="false">U8*Inputs!$B$10</f>
        <v>73806188.0334546</v>
      </c>
      <c r="V9" s="0" t="n">
        <f aca="false">V8*Inputs!$B$10</f>
        <v>78105577.6276364</v>
      </c>
      <c r="W9" s="0" t="n">
        <f aca="false">W8*Inputs!$B$10</f>
        <v>69344993.4545455</v>
      </c>
      <c r="X9" s="0" t="n">
        <f aca="false">X8*Inputs!$B$10</f>
        <v>75955882.8305455</v>
      </c>
      <c r="Y9" s="0" t="n">
        <f aca="false">Y8*Inputs!$B$10</f>
        <v>71425343.2581818</v>
      </c>
      <c r="Z9" s="0" t="n">
        <f aca="false">Z8*Inputs!$B$10</f>
        <v>64490843.9127273</v>
      </c>
      <c r="AA9" s="0" t="n">
        <f aca="false">AA8*Inputs!$B$10</f>
        <v>63184700.2385455</v>
      </c>
      <c r="AB9" s="0" t="n">
        <f aca="false">AB8*Inputs!$B$10</f>
        <v>61051683.3512727</v>
      </c>
      <c r="AC9" s="0" t="n">
        <f aca="false">AC8*Inputs!$B$10</f>
        <v>76409404.9396364</v>
      </c>
      <c r="AD9" s="0" t="n">
        <f aca="false">AD8*Inputs!$B$10</f>
        <v>76788607.9418182</v>
      </c>
      <c r="AE9" s="0" t="n">
        <f aca="false">AE8*Inputs!$B$10</f>
        <v>74939993.3061818</v>
      </c>
      <c r="AF9" s="0" t="n">
        <f aca="false">AF8*Inputs!$B$10</f>
        <v>68967546.0218182</v>
      </c>
      <c r="AG9" s="0" t="n">
        <f aca="false">AG8*Inputs!$B$10</f>
        <v>75674699.1229091</v>
      </c>
      <c r="AH9" s="0" t="n">
        <f aca="false">AH8*Inputs!$B$10</f>
        <v>80082934.0232727</v>
      </c>
      <c r="AI9" s="0" t="n">
        <f aca="false">AI8*Inputs!$B$10</f>
        <v>71100562.9090909</v>
      </c>
      <c r="AJ9" s="0" t="n">
        <f aca="false">AJ8*Inputs!$B$10</f>
        <v>77878816.5730909</v>
      </c>
      <c r="AK9" s="0" t="n">
        <f aca="false">AK8*Inputs!$B$10</f>
        <v>73233579.7963636</v>
      </c>
      <c r="AL9" s="0" t="n">
        <f aca="false">AL8*Inputs!$B$10</f>
        <v>66123523.5054545</v>
      </c>
      <c r="AM9" s="0" t="n">
        <f aca="false">AM8*Inputs!$B$10</f>
        <v>64744816.2938182</v>
      </c>
      <c r="AN9" s="0" t="n">
        <f aca="false">AN8*Inputs!$B$10</f>
        <v>62559132.3229091</v>
      </c>
      <c r="AO9" s="0" t="n">
        <f aca="false">AO8*Inputs!$B$10</f>
        <v>78296056.9134546</v>
      </c>
      <c r="AP9" s="0" t="n">
        <f aca="false">AP8*Inputs!$B$10</f>
        <v>78684622.9527273</v>
      </c>
      <c r="AQ9" s="0" t="n">
        <f aca="false">AQ8*Inputs!$B$10</f>
        <v>76790363.5112727</v>
      </c>
      <c r="AR9" s="0" t="n">
        <f aca="false">AR8*Inputs!$B$10</f>
        <v>70670448.3927273</v>
      </c>
      <c r="AS9" s="0" t="n">
        <f aca="false">AS8*Inputs!$B$10</f>
        <v>77543210.2123636</v>
      </c>
      <c r="AT9" s="0" t="n">
        <f aca="false">AT8*Inputs!$B$10</f>
        <v>82060290.4189091</v>
      </c>
      <c r="AU9" s="0" t="n">
        <f aca="false">AU8*Inputs!$B$10</f>
        <v>72856132.3636364</v>
      </c>
      <c r="AV9" s="0" t="n">
        <f aca="false">AV8*Inputs!$B$10</f>
        <v>79801750.3156364</v>
      </c>
      <c r="AW9" s="0" t="n">
        <f aca="false">AW8*Inputs!$B$10</f>
        <v>75041816.3345455</v>
      </c>
      <c r="AX9" s="0" t="n">
        <f aca="false">AX8*Inputs!$B$10</f>
        <v>67756203.0981818</v>
      </c>
      <c r="AY9" s="0" t="n">
        <f aca="false">AY8*Inputs!$B$10</f>
        <v>66369937.1847273</v>
      </c>
      <c r="AZ9" s="0" t="n">
        <f aca="false">AZ8*Inputs!$B$10</f>
        <v>64129391.6683636</v>
      </c>
      <c r="BA9" s="0" t="n">
        <f aca="false">BA8*Inputs!$B$10</f>
        <v>80261319.3861818</v>
      </c>
      <c r="BB9" s="0" t="n">
        <f aca="false">BB8*Inputs!$B$10</f>
        <v>80659638.5890909</v>
      </c>
      <c r="BC9" s="0" t="n">
        <f aca="false">BC8*Inputs!$B$10</f>
        <v>78717832.4749091</v>
      </c>
      <c r="BD9" s="0" t="n">
        <f aca="false">BD8*Inputs!$B$10</f>
        <v>72444305.0290909</v>
      </c>
      <c r="BE9" s="0" t="n">
        <f aca="false">BE8*Inputs!$B$10</f>
        <v>79489575.9305455</v>
      </c>
      <c r="BF9" s="0" t="n">
        <f aca="false">BF8*Inputs!$B$10</f>
        <v>84120036.6643637</v>
      </c>
      <c r="BG9" s="0" t="n">
        <f aca="false">BG8*Inputs!$B$10</f>
        <v>74684850.5454546</v>
      </c>
      <c r="BH9" s="0" t="n">
        <f aca="false">BH8*Inputs!$B$10</f>
        <v>81804806.2974546</v>
      </c>
      <c r="BI9" s="0" t="n">
        <f aca="false">BI8*Inputs!$B$10</f>
        <v>76925396.0618182</v>
      </c>
      <c r="BJ9" s="0" t="n">
        <f aca="false">BJ8*Inputs!$B$10</f>
        <v>69456911.0072727</v>
      </c>
      <c r="BK9" s="0" t="n">
        <f aca="false">BK8*Inputs!$B$10</f>
        <v>68027560.4934545</v>
      </c>
      <c r="BL9" s="0" t="n">
        <f aca="false">BL8*Inputs!$B$10</f>
        <v>68078593.9221818</v>
      </c>
      <c r="BM9" s="0" t="n">
        <f aca="false">BM8*Inputs!$B$10</f>
        <v>82265887.1083636</v>
      </c>
      <c r="BN9" s="0" t="n">
        <f aca="false">BN8*Inputs!$B$10</f>
        <v>82674154.5381818</v>
      </c>
      <c r="BO9" s="0" t="n">
        <f aca="false">BO8*Inputs!$B$10</f>
        <v>80683850.8178182</v>
      </c>
      <c r="BP9" s="0" t="n">
        <f aca="false">BP8*Inputs!$B$10</f>
        <v>74253638.7981818</v>
      </c>
      <c r="BQ9" s="0" t="n">
        <f aca="false">BQ8*Inputs!$B$10</f>
        <v>81474868.9630909</v>
      </c>
      <c r="BR9" s="0" t="n">
        <f aca="false">BR8*Inputs!$B$10</f>
        <v>86220977.8347273</v>
      </c>
      <c r="BS9" s="0" t="n">
        <f aca="false">BS8*Inputs!$B$10</f>
        <v>76550143.0909091</v>
      </c>
      <c r="BT9" s="0" t="n">
        <f aca="false">BT8*Inputs!$B$10</f>
        <v>83847923.3989091</v>
      </c>
      <c r="BU9" s="0" t="n">
        <f aca="false">BU8*Inputs!$B$10</f>
        <v>78846647.3836364</v>
      </c>
      <c r="BV9" s="0" t="n">
        <f aca="false">BV8*Inputs!$B$10</f>
        <v>71191633.0745454</v>
      </c>
      <c r="BW9" s="0" t="n">
        <f aca="false">BW8*Inputs!$B$10</f>
        <v>69717686.22</v>
      </c>
      <c r="BX9" s="0" t="n">
        <f aca="false">BX8*Inputs!$B$10</f>
        <v>67364125.92</v>
      </c>
      <c r="BY9" s="0" t="n">
        <f aca="false">BY8*Inputs!$B$10</f>
        <v>84309760.08</v>
      </c>
      <c r="BZ9" s="0" t="n">
        <f aca="false">BZ8*Inputs!$B$10</f>
        <v>84728170.8</v>
      </c>
      <c r="CA9" s="0" t="n">
        <f aca="false">CA8*Inputs!$B$10</f>
        <v>82688418.54</v>
      </c>
      <c r="CB9" s="0" t="n">
        <f aca="false">CB8*Inputs!$B$10</f>
        <v>76098449.7</v>
      </c>
      <c r="CC9" s="0" t="n">
        <f aca="false">CC8*Inputs!$B$10</f>
        <v>83499089.31</v>
      </c>
      <c r="CD9" s="0" t="n">
        <f aca="false">CD8*Inputs!$B$10</f>
        <v>88363113.93</v>
      </c>
      <c r="CE9" s="0" t="n">
        <f aca="false">CE8*Inputs!$B$10</f>
        <v>78452010</v>
      </c>
      <c r="CF9" s="0" t="n">
        <f aca="false">CF8*Inputs!$B$10</f>
        <v>85931101.62</v>
      </c>
      <c r="CG9" s="0" t="n">
        <f aca="false">CG8*Inputs!$B$10</f>
        <v>80805570.3</v>
      </c>
      <c r="CH9" s="0" t="n">
        <f aca="false">CH8*Inputs!$B$10</f>
        <v>72960369.3</v>
      </c>
      <c r="CI9" s="0" t="n">
        <f aca="false">CI8*Inputs!$B$10</f>
        <v>71472816.7821818</v>
      </c>
      <c r="CJ9" s="0" t="n">
        <f aca="false">CJ8*Inputs!$B$10</f>
        <v>69060006.0130909</v>
      </c>
      <c r="CK9" s="0" t="n">
        <f aca="false">CK8*Inputs!$B$10</f>
        <v>86432243.5505455</v>
      </c>
      <c r="CL9" s="0" t="n">
        <f aca="false">CL8*Inputs!$B$10</f>
        <v>86861187.6872727</v>
      </c>
      <c r="CM9" s="0" t="n">
        <f aca="false">CM8*Inputs!$B$10</f>
        <v>84770085.0207273</v>
      </c>
      <c r="CN9" s="0" t="n">
        <f aca="false">CN8*Inputs!$B$10</f>
        <v>78014214.8672727</v>
      </c>
      <c r="CO9" s="0" t="n">
        <f aca="false">CO8*Inputs!$B$10</f>
        <v>85601164.2856364</v>
      </c>
      <c r="CP9" s="0" t="n">
        <f aca="false">CP8*Inputs!$B$10</f>
        <v>90587639.8750909</v>
      </c>
      <c r="CQ9" s="0" t="n">
        <f aca="false">CQ8*Inputs!$B$10</f>
        <v>80427025.6363636</v>
      </c>
      <c r="CR9" s="0" t="n">
        <f aca="false">CR8*Inputs!$B$10</f>
        <v>88094402.0803637</v>
      </c>
      <c r="CS9" s="0" t="n">
        <f aca="false">CS8*Inputs!$B$10</f>
        <v>82839836.4054546</v>
      </c>
      <c r="CT9" s="0" t="n">
        <f aca="false">CT8*Inputs!$B$10</f>
        <v>74797133.8418182</v>
      </c>
      <c r="CU9" s="0" t="n">
        <f aca="false">CU8*Inputs!$B$10</f>
        <v>73260449.7621818</v>
      </c>
      <c r="CV9" s="0" t="n">
        <f aca="false">CV8*Inputs!$B$10</f>
        <v>70787291.2930909</v>
      </c>
      <c r="CW9" s="0" t="n">
        <f aca="false">CW8*Inputs!$B$10</f>
        <v>88594032.2705455</v>
      </c>
      <c r="CX9" s="0" t="n">
        <f aca="false">CX8*Inputs!$B$10</f>
        <v>89033704.8872727</v>
      </c>
      <c r="CY9" s="0" t="n">
        <f aca="false">CY8*Inputs!$B$10</f>
        <v>86890300.8807273</v>
      </c>
      <c r="CZ9" s="0" t="n">
        <f aca="false">CZ8*Inputs!$B$10</f>
        <v>79965457.1672727</v>
      </c>
      <c r="DA9" s="0" t="n">
        <f aca="false">DA8*Inputs!$B$10</f>
        <v>87742166.5756364</v>
      </c>
      <c r="DB9" s="0" t="n">
        <f aca="false">DB8*Inputs!$B$10</f>
        <v>92853360.7450909</v>
      </c>
      <c r="DC9" s="0" t="n">
        <f aca="false">DC8*Inputs!$B$10</f>
        <v>82438615.6363636</v>
      </c>
      <c r="DD9" s="0" t="n">
        <f aca="false">DD8*Inputs!$B$10</f>
        <v>90297763.6603636</v>
      </c>
      <c r="DE9" s="0" t="n">
        <f aca="false">DE8*Inputs!$B$10</f>
        <v>84911774.1054546</v>
      </c>
      <c r="DF9" s="0" t="n">
        <f aca="false">DF8*Inputs!$B$10</f>
        <v>76667912.5418182</v>
      </c>
      <c r="DG9" s="0" t="n">
        <f aca="false">DG8*Inputs!$B$10</f>
        <v>75080585.16</v>
      </c>
      <c r="DH9" s="0" t="n">
        <f aca="false">DH8*Inputs!$B$10</f>
        <v>75136909.68</v>
      </c>
      <c r="DI9" s="0" t="n">
        <f aca="false">DI8*Inputs!$B$10</f>
        <v>90795126.24</v>
      </c>
      <c r="DJ9" s="0" t="n">
        <f aca="false">DJ8*Inputs!$B$10</f>
        <v>91245722.4</v>
      </c>
      <c r="DK9" s="0" t="n">
        <f aca="false">DK8*Inputs!$B$10</f>
        <v>89049066.12</v>
      </c>
      <c r="DL9" s="0" t="n">
        <f aca="false">DL8*Inputs!$B$10</f>
        <v>81952176.6</v>
      </c>
      <c r="DM9" s="0" t="n">
        <f aca="false">DM8*Inputs!$B$10</f>
        <v>89922096.18</v>
      </c>
      <c r="DN9" s="0" t="n">
        <f aca="false">DN8*Inputs!$B$10</f>
        <v>95160276.54</v>
      </c>
      <c r="DO9" s="0" t="n">
        <f aca="false">DO8*Inputs!$B$10</f>
        <v>84486780</v>
      </c>
      <c r="DP9" s="0" t="n">
        <f aca="false">DP8*Inputs!$B$10</f>
        <v>92541186.36</v>
      </c>
      <c r="DQ9" s="0" t="n">
        <f aca="false">DQ8*Inputs!$B$10</f>
        <v>87021383.4</v>
      </c>
      <c r="DR9" s="0" t="n">
        <f aca="false">DR8*Inputs!$B$10</f>
        <v>78572705.4</v>
      </c>
    </row>
    <row r="10" customFormat="false" ht="15" hidden="false" customHeight="false" outlineLevel="0" collapsed="false">
      <c r="A10" s="0" t="s">
        <v>26</v>
      </c>
      <c r="B10" s="0" t="n">
        <f aca="false">0</f>
        <v>0</v>
      </c>
      <c r="C10" s="0" t="n">
        <f aca="false">Inputs!$B$11*(1+Inputs!$B$6)^INT((C$3-1)/12)</f>
        <v>62000000</v>
      </c>
      <c r="D10" s="0" t="n">
        <f aca="false">Inputs!$B$11*(1+Inputs!$B$6)^INT((D$3-1)/12)</f>
        <v>62000000</v>
      </c>
      <c r="E10" s="0" t="n">
        <f aca="false">Inputs!$B$11*(1+Inputs!$B$6)^INT((E$3-1)/12)</f>
        <v>62000000</v>
      </c>
      <c r="F10" s="0" t="n">
        <f aca="false">Inputs!$B$11*(1+Inputs!$B$6)^INT((F$3-1)/12)</f>
        <v>62000000</v>
      </c>
      <c r="G10" s="0" t="n">
        <f aca="false">Inputs!$B$11*(1+Inputs!$B$6)^INT((G$3-1)/12)</f>
        <v>62000000</v>
      </c>
      <c r="H10" s="0" t="n">
        <f aca="false">Inputs!$B$11*(1+Inputs!$B$6)^INT((H$3-1)/12)</f>
        <v>62000000</v>
      </c>
      <c r="I10" s="0" t="n">
        <f aca="false">Inputs!$B$11*(1+Inputs!$B$6)^INT((I$3-1)/12)</f>
        <v>62000000</v>
      </c>
      <c r="J10" s="0" t="n">
        <f aca="false">Inputs!$B$11*(1+Inputs!$B$6)^INT((J$3-1)/12)</f>
        <v>62000000</v>
      </c>
      <c r="K10" s="0" t="n">
        <f aca="false">Inputs!$B$11*(1+Inputs!$B$6)^INT((K$3-1)/12)</f>
        <v>62000000</v>
      </c>
      <c r="L10" s="0" t="n">
        <f aca="false">Inputs!$B$11*(1+Inputs!$B$6)^INT((L$3-1)/12)</f>
        <v>62000000</v>
      </c>
      <c r="M10" s="0" t="n">
        <f aca="false">Inputs!$B$11*(1+Inputs!$B$6)^INT((M$3-1)/12)</f>
        <v>62000000</v>
      </c>
      <c r="N10" s="0" t="n">
        <f aca="false">Inputs!$B$11*(1+Inputs!$B$6)^INT((N$3-1)/12)</f>
        <v>62000000</v>
      </c>
      <c r="O10" s="0" t="n">
        <f aca="false">Inputs!$B$11*(1+Inputs!$B$6)^INT((O$3-1)/12)</f>
        <v>63550000</v>
      </c>
      <c r="P10" s="0" t="n">
        <f aca="false">Inputs!$B$11*(1+Inputs!$B$6)^INT((P$3-1)/12)</f>
        <v>63550000</v>
      </c>
      <c r="Q10" s="0" t="n">
        <f aca="false">Inputs!$B$11*(1+Inputs!$B$6)^INT((Q$3-1)/12)</f>
        <v>63550000</v>
      </c>
      <c r="R10" s="0" t="n">
        <f aca="false">Inputs!$B$11*(1+Inputs!$B$6)^INT((R$3-1)/12)</f>
        <v>63550000</v>
      </c>
      <c r="S10" s="0" t="n">
        <f aca="false">Inputs!$B$11*(1+Inputs!$B$6)^INT((S$3-1)/12)</f>
        <v>63550000</v>
      </c>
      <c r="T10" s="0" t="n">
        <f aca="false">Inputs!$B$11*(1+Inputs!$B$6)^INT((T$3-1)/12)</f>
        <v>63550000</v>
      </c>
      <c r="U10" s="0" t="n">
        <f aca="false">Inputs!$B$11*(1+Inputs!$B$6)^INT((U$3-1)/12)</f>
        <v>63550000</v>
      </c>
      <c r="V10" s="0" t="n">
        <f aca="false">Inputs!$B$11*(1+Inputs!$B$6)^INT((V$3-1)/12)</f>
        <v>63550000</v>
      </c>
      <c r="W10" s="0" t="n">
        <f aca="false">Inputs!$B$11*(1+Inputs!$B$6)^INT((W$3-1)/12)</f>
        <v>63550000</v>
      </c>
      <c r="X10" s="0" t="n">
        <f aca="false">Inputs!$B$11*(1+Inputs!$B$6)^INT((X$3-1)/12)</f>
        <v>63550000</v>
      </c>
      <c r="Y10" s="0" t="n">
        <f aca="false">Inputs!$B$11*(1+Inputs!$B$6)^INT((Y$3-1)/12)</f>
        <v>63550000</v>
      </c>
      <c r="Z10" s="0" t="n">
        <f aca="false">Inputs!$B$11*(1+Inputs!$B$6)^INT((Z$3-1)/12)</f>
        <v>63550000</v>
      </c>
      <c r="AA10" s="0" t="n">
        <f aca="false">Inputs!$B$11*(1+Inputs!$B$6)^INT((AA$3-1)/12)</f>
        <v>65138750</v>
      </c>
      <c r="AB10" s="0" t="n">
        <f aca="false">Inputs!$B$11*(1+Inputs!$B$6)^INT((AB$3-1)/12)</f>
        <v>65138750</v>
      </c>
      <c r="AC10" s="0" t="n">
        <f aca="false">Inputs!$B$11*(1+Inputs!$B$6)^INT((AC$3-1)/12)</f>
        <v>65138750</v>
      </c>
      <c r="AD10" s="0" t="n">
        <f aca="false">Inputs!$B$11*(1+Inputs!$B$6)^INT((AD$3-1)/12)</f>
        <v>65138750</v>
      </c>
      <c r="AE10" s="0" t="n">
        <f aca="false">Inputs!$B$11*(1+Inputs!$B$6)^INT((AE$3-1)/12)</f>
        <v>65138750</v>
      </c>
      <c r="AF10" s="0" t="n">
        <f aca="false">Inputs!$B$11*(1+Inputs!$B$6)^INT((AF$3-1)/12)</f>
        <v>65138750</v>
      </c>
      <c r="AG10" s="0" t="n">
        <f aca="false">Inputs!$B$11*(1+Inputs!$B$6)^INT((AG$3-1)/12)</f>
        <v>65138750</v>
      </c>
      <c r="AH10" s="0" t="n">
        <f aca="false">Inputs!$B$11*(1+Inputs!$B$6)^INT((AH$3-1)/12)</f>
        <v>65138750</v>
      </c>
      <c r="AI10" s="0" t="n">
        <f aca="false">Inputs!$B$11*(1+Inputs!$B$6)^INT((AI$3-1)/12)</f>
        <v>65138750</v>
      </c>
      <c r="AJ10" s="0" t="n">
        <f aca="false">Inputs!$B$11*(1+Inputs!$B$6)^INT((AJ$3-1)/12)</f>
        <v>65138750</v>
      </c>
      <c r="AK10" s="0" t="n">
        <f aca="false">Inputs!$B$11*(1+Inputs!$B$6)^INT((AK$3-1)/12)</f>
        <v>65138750</v>
      </c>
      <c r="AL10" s="0" t="n">
        <f aca="false">Inputs!$B$11*(1+Inputs!$B$6)^INT((AL$3-1)/12)</f>
        <v>65138750</v>
      </c>
      <c r="AM10" s="0" t="n">
        <f aca="false">Inputs!$B$11*(1+Inputs!$B$6)^INT((AM$3-1)/12)</f>
        <v>66767218.75</v>
      </c>
      <c r="AN10" s="0" t="n">
        <f aca="false">Inputs!$B$11*(1+Inputs!$B$6)^INT((AN$3-1)/12)</f>
        <v>66767218.75</v>
      </c>
      <c r="AO10" s="0" t="n">
        <f aca="false">Inputs!$B$11*(1+Inputs!$B$6)^INT((AO$3-1)/12)</f>
        <v>66767218.75</v>
      </c>
      <c r="AP10" s="0" t="n">
        <f aca="false">Inputs!$B$11*(1+Inputs!$B$6)^INT((AP$3-1)/12)</f>
        <v>66767218.75</v>
      </c>
      <c r="AQ10" s="0" t="n">
        <f aca="false">Inputs!$B$11*(1+Inputs!$B$6)^INT((AQ$3-1)/12)</f>
        <v>66767218.75</v>
      </c>
      <c r="AR10" s="0" t="n">
        <f aca="false">Inputs!$B$11*(1+Inputs!$B$6)^INT((AR$3-1)/12)</f>
        <v>66767218.75</v>
      </c>
      <c r="AS10" s="0" t="n">
        <f aca="false">Inputs!$B$11*(1+Inputs!$B$6)^INT((AS$3-1)/12)</f>
        <v>66767218.75</v>
      </c>
      <c r="AT10" s="0" t="n">
        <f aca="false">Inputs!$B$11*(1+Inputs!$B$6)^INT((AT$3-1)/12)</f>
        <v>66767218.75</v>
      </c>
      <c r="AU10" s="0" t="n">
        <f aca="false">Inputs!$B$11*(1+Inputs!$B$6)^INT((AU$3-1)/12)</f>
        <v>66767218.75</v>
      </c>
      <c r="AV10" s="0" t="n">
        <f aca="false">Inputs!$B$11*(1+Inputs!$B$6)^INT((AV$3-1)/12)</f>
        <v>66767218.75</v>
      </c>
      <c r="AW10" s="0" t="n">
        <f aca="false">Inputs!$B$11*(1+Inputs!$B$6)^INT((AW$3-1)/12)</f>
        <v>66767218.75</v>
      </c>
      <c r="AX10" s="0" t="n">
        <f aca="false">Inputs!$B$11*(1+Inputs!$B$6)^INT((AX$3-1)/12)</f>
        <v>66767218.75</v>
      </c>
      <c r="AY10" s="0" t="n">
        <f aca="false">Inputs!$B$11*(1+Inputs!$B$6)^INT((AY$3-1)/12)</f>
        <v>68436399.21875</v>
      </c>
      <c r="AZ10" s="0" t="n">
        <f aca="false">Inputs!$B$11*(1+Inputs!$B$6)^INT((AZ$3-1)/12)</f>
        <v>68436399.21875</v>
      </c>
      <c r="BA10" s="0" t="n">
        <f aca="false">Inputs!$B$11*(1+Inputs!$B$6)^INT((BA$3-1)/12)</f>
        <v>68436399.21875</v>
      </c>
      <c r="BB10" s="0" t="n">
        <f aca="false">Inputs!$B$11*(1+Inputs!$B$6)^INT((BB$3-1)/12)</f>
        <v>68436399.21875</v>
      </c>
      <c r="BC10" s="0" t="n">
        <f aca="false">Inputs!$B$11*(1+Inputs!$B$6)^INT((BC$3-1)/12)</f>
        <v>68436399.21875</v>
      </c>
      <c r="BD10" s="0" t="n">
        <f aca="false">Inputs!$B$11*(1+Inputs!$B$6)^INT((BD$3-1)/12)</f>
        <v>68436399.21875</v>
      </c>
      <c r="BE10" s="0" t="n">
        <f aca="false">Inputs!$B$11*(1+Inputs!$B$6)^INT((BE$3-1)/12)</f>
        <v>68436399.21875</v>
      </c>
      <c r="BF10" s="0" t="n">
        <f aca="false">Inputs!$B$11*(1+Inputs!$B$6)^INT((BF$3-1)/12)</f>
        <v>68436399.21875</v>
      </c>
      <c r="BG10" s="0" t="n">
        <f aca="false">Inputs!$B$11*(1+Inputs!$B$6)^INT((BG$3-1)/12)</f>
        <v>68436399.21875</v>
      </c>
      <c r="BH10" s="0" t="n">
        <f aca="false">Inputs!$B$11*(1+Inputs!$B$6)^INT((BH$3-1)/12)</f>
        <v>68436399.21875</v>
      </c>
      <c r="BI10" s="0" t="n">
        <f aca="false">Inputs!$B$11*(1+Inputs!$B$6)^INT((BI$3-1)/12)</f>
        <v>68436399.21875</v>
      </c>
      <c r="BJ10" s="0" t="n">
        <f aca="false">Inputs!$B$11*(1+Inputs!$B$6)^INT((BJ$3-1)/12)</f>
        <v>68436399.21875</v>
      </c>
      <c r="BK10" s="0" t="n">
        <f aca="false">Inputs!$B$11*(1+Inputs!$B$6)^INT((BK$3-1)/12)</f>
        <v>70147309.1992187</v>
      </c>
      <c r="BL10" s="0" t="n">
        <f aca="false">Inputs!$B$11*(1+Inputs!$B$6)^INT((BL$3-1)/12)</f>
        <v>70147309.1992187</v>
      </c>
      <c r="BM10" s="0" t="n">
        <f aca="false">Inputs!$B$11*(1+Inputs!$B$6)^INT((BM$3-1)/12)</f>
        <v>70147309.1992187</v>
      </c>
      <c r="BN10" s="0" t="n">
        <f aca="false">Inputs!$B$11*(1+Inputs!$B$6)^INT((BN$3-1)/12)</f>
        <v>70147309.1992187</v>
      </c>
      <c r="BO10" s="0" t="n">
        <f aca="false">Inputs!$B$11*(1+Inputs!$B$6)^INT((BO$3-1)/12)</f>
        <v>70147309.1992187</v>
      </c>
      <c r="BP10" s="0" t="n">
        <f aca="false">Inputs!$B$11*(1+Inputs!$B$6)^INT((BP$3-1)/12)</f>
        <v>70147309.1992187</v>
      </c>
      <c r="BQ10" s="0" t="n">
        <f aca="false">Inputs!$B$11*(1+Inputs!$B$6)^INT((BQ$3-1)/12)</f>
        <v>70147309.1992187</v>
      </c>
      <c r="BR10" s="0" t="n">
        <f aca="false">Inputs!$B$11*(1+Inputs!$B$6)^INT((BR$3-1)/12)</f>
        <v>70147309.1992187</v>
      </c>
      <c r="BS10" s="0" t="n">
        <f aca="false">Inputs!$B$11*(1+Inputs!$B$6)^INT((BS$3-1)/12)</f>
        <v>70147309.1992187</v>
      </c>
      <c r="BT10" s="0" t="n">
        <f aca="false">Inputs!$B$11*(1+Inputs!$B$6)^INT((BT$3-1)/12)</f>
        <v>70147309.1992187</v>
      </c>
      <c r="BU10" s="0" t="n">
        <f aca="false">Inputs!$B$11*(1+Inputs!$B$6)^INT((BU$3-1)/12)</f>
        <v>70147309.1992187</v>
      </c>
      <c r="BV10" s="0" t="n">
        <f aca="false">Inputs!$B$11*(1+Inputs!$B$6)^INT((BV$3-1)/12)</f>
        <v>70147309.1992187</v>
      </c>
      <c r="BW10" s="0" t="n">
        <f aca="false">Inputs!$B$11*(1+Inputs!$B$6)^INT((BW$3-1)/12)</f>
        <v>71900991.9291992</v>
      </c>
      <c r="BX10" s="0" t="n">
        <f aca="false">Inputs!$B$11*(1+Inputs!$B$6)^INT((BX$3-1)/12)</f>
        <v>71900991.9291992</v>
      </c>
      <c r="BY10" s="0" t="n">
        <f aca="false">Inputs!$B$11*(1+Inputs!$B$6)^INT((BY$3-1)/12)</f>
        <v>71900991.9291992</v>
      </c>
      <c r="BZ10" s="0" t="n">
        <f aca="false">Inputs!$B$11*(1+Inputs!$B$6)^INT((BZ$3-1)/12)</f>
        <v>71900991.9291992</v>
      </c>
      <c r="CA10" s="0" t="n">
        <f aca="false">Inputs!$B$11*(1+Inputs!$B$6)^INT((CA$3-1)/12)</f>
        <v>71900991.9291992</v>
      </c>
      <c r="CB10" s="0" t="n">
        <f aca="false">Inputs!$B$11*(1+Inputs!$B$6)^INT((CB$3-1)/12)</f>
        <v>71900991.9291992</v>
      </c>
      <c r="CC10" s="0" t="n">
        <f aca="false">Inputs!$B$11*(1+Inputs!$B$6)^INT((CC$3-1)/12)</f>
        <v>71900991.9291992</v>
      </c>
      <c r="CD10" s="0" t="n">
        <f aca="false">Inputs!$B$11*(1+Inputs!$B$6)^INT((CD$3-1)/12)</f>
        <v>71900991.9291992</v>
      </c>
      <c r="CE10" s="0" t="n">
        <f aca="false">Inputs!$B$11*(1+Inputs!$B$6)^INT((CE$3-1)/12)</f>
        <v>71900991.9291992</v>
      </c>
      <c r="CF10" s="0" t="n">
        <f aca="false">Inputs!$B$11*(1+Inputs!$B$6)^INT((CF$3-1)/12)</f>
        <v>71900991.9291992</v>
      </c>
      <c r="CG10" s="0" t="n">
        <f aca="false">Inputs!$B$11*(1+Inputs!$B$6)^INT((CG$3-1)/12)</f>
        <v>71900991.9291992</v>
      </c>
      <c r="CH10" s="0" t="n">
        <f aca="false">Inputs!$B$11*(1+Inputs!$B$6)^INT((CH$3-1)/12)</f>
        <v>71900991.9291992</v>
      </c>
      <c r="CI10" s="0" t="n">
        <f aca="false">Inputs!$B$11*(1+Inputs!$B$6)^INT((CI$3-1)/12)</f>
        <v>73698516.7274292</v>
      </c>
      <c r="CJ10" s="0" t="n">
        <f aca="false">Inputs!$B$11*(1+Inputs!$B$6)^INT((CJ$3-1)/12)</f>
        <v>73698516.7274292</v>
      </c>
      <c r="CK10" s="0" t="n">
        <f aca="false">Inputs!$B$11*(1+Inputs!$B$6)^INT((CK$3-1)/12)</f>
        <v>73698516.7274292</v>
      </c>
      <c r="CL10" s="0" t="n">
        <f aca="false">Inputs!$B$11*(1+Inputs!$B$6)^INT((CL$3-1)/12)</f>
        <v>73698516.7274292</v>
      </c>
      <c r="CM10" s="0" t="n">
        <f aca="false">Inputs!$B$11*(1+Inputs!$B$6)^INT((CM$3-1)/12)</f>
        <v>73698516.7274292</v>
      </c>
      <c r="CN10" s="0" t="n">
        <f aca="false">Inputs!$B$11*(1+Inputs!$B$6)^INT((CN$3-1)/12)</f>
        <v>73698516.7274292</v>
      </c>
      <c r="CO10" s="0" t="n">
        <f aca="false">Inputs!$B$11*(1+Inputs!$B$6)^INT((CO$3-1)/12)</f>
        <v>73698516.7274292</v>
      </c>
      <c r="CP10" s="0" t="n">
        <f aca="false">Inputs!$B$11*(1+Inputs!$B$6)^INT((CP$3-1)/12)</f>
        <v>73698516.7274292</v>
      </c>
      <c r="CQ10" s="0" t="n">
        <f aca="false">Inputs!$B$11*(1+Inputs!$B$6)^INT((CQ$3-1)/12)</f>
        <v>73698516.7274292</v>
      </c>
      <c r="CR10" s="0" t="n">
        <f aca="false">Inputs!$B$11*(1+Inputs!$B$6)^INT((CR$3-1)/12)</f>
        <v>73698516.7274292</v>
      </c>
      <c r="CS10" s="0" t="n">
        <f aca="false">Inputs!$B$11*(1+Inputs!$B$6)^INT((CS$3-1)/12)</f>
        <v>73698516.7274292</v>
      </c>
      <c r="CT10" s="0" t="n">
        <f aca="false">Inputs!$B$11*(1+Inputs!$B$6)^INT((CT$3-1)/12)</f>
        <v>73698516.7274292</v>
      </c>
      <c r="CU10" s="0" t="n">
        <f aca="false">Inputs!$B$11*(1+Inputs!$B$6)^INT((CU$3-1)/12)</f>
        <v>75540979.6456149</v>
      </c>
      <c r="CV10" s="0" t="n">
        <f aca="false">Inputs!$B$11*(1+Inputs!$B$6)^INT((CV$3-1)/12)</f>
        <v>75540979.6456149</v>
      </c>
      <c r="CW10" s="0" t="n">
        <f aca="false">Inputs!$B$11*(1+Inputs!$B$6)^INT((CW$3-1)/12)</f>
        <v>75540979.6456149</v>
      </c>
      <c r="CX10" s="0" t="n">
        <f aca="false">Inputs!$B$11*(1+Inputs!$B$6)^INT((CX$3-1)/12)</f>
        <v>75540979.6456149</v>
      </c>
      <c r="CY10" s="0" t="n">
        <f aca="false">Inputs!$B$11*(1+Inputs!$B$6)^INT((CY$3-1)/12)</f>
        <v>75540979.6456149</v>
      </c>
      <c r="CZ10" s="0" t="n">
        <f aca="false">Inputs!$B$11*(1+Inputs!$B$6)^INT((CZ$3-1)/12)</f>
        <v>75540979.6456149</v>
      </c>
      <c r="DA10" s="0" t="n">
        <f aca="false">Inputs!$B$11*(1+Inputs!$B$6)^INT((DA$3-1)/12)</f>
        <v>75540979.6456149</v>
      </c>
      <c r="DB10" s="0" t="n">
        <f aca="false">Inputs!$B$11*(1+Inputs!$B$6)^INT((DB$3-1)/12)</f>
        <v>75540979.6456149</v>
      </c>
      <c r="DC10" s="0" t="n">
        <f aca="false">Inputs!$B$11*(1+Inputs!$B$6)^INT((DC$3-1)/12)</f>
        <v>75540979.6456149</v>
      </c>
      <c r="DD10" s="0" t="n">
        <f aca="false">Inputs!$B$11*(1+Inputs!$B$6)^INT((DD$3-1)/12)</f>
        <v>75540979.6456149</v>
      </c>
      <c r="DE10" s="0" t="n">
        <f aca="false">Inputs!$B$11*(1+Inputs!$B$6)^INT((DE$3-1)/12)</f>
        <v>75540979.6456149</v>
      </c>
      <c r="DF10" s="0" t="n">
        <f aca="false">Inputs!$B$11*(1+Inputs!$B$6)^INT((DF$3-1)/12)</f>
        <v>75540979.6456149</v>
      </c>
      <c r="DG10" s="0" t="n">
        <f aca="false">Inputs!$B$11*(1+Inputs!$B$6)^INT((DG$3-1)/12)</f>
        <v>77429504.1367552</v>
      </c>
      <c r="DH10" s="0" t="n">
        <f aca="false">Inputs!$B$11*(1+Inputs!$B$6)^INT((DH$3-1)/12)</f>
        <v>77429504.1367552</v>
      </c>
      <c r="DI10" s="0" t="n">
        <f aca="false">Inputs!$B$11*(1+Inputs!$B$6)^INT((DI$3-1)/12)</f>
        <v>77429504.1367552</v>
      </c>
      <c r="DJ10" s="0" t="n">
        <f aca="false">Inputs!$B$11*(1+Inputs!$B$6)^INT((DJ$3-1)/12)</f>
        <v>77429504.1367552</v>
      </c>
      <c r="DK10" s="0" t="n">
        <f aca="false">Inputs!$B$11*(1+Inputs!$B$6)^INT((DK$3-1)/12)</f>
        <v>77429504.1367552</v>
      </c>
      <c r="DL10" s="0" t="n">
        <f aca="false">Inputs!$B$11*(1+Inputs!$B$6)^INT((DL$3-1)/12)</f>
        <v>77429504.1367552</v>
      </c>
      <c r="DM10" s="0" t="n">
        <f aca="false">Inputs!$B$11*(1+Inputs!$B$6)^INT((DM$3-1)/12)</f>
        <v>77429504.1367552</v>
      </c>
      <c r="DN10" s="0" t="n">
        <f aca="false">Inputs!$B$11*(1+Inputs!$B$6)^INT((DN$3-1)/12)</f>
        <v>77429504.1367552</v>
      </c>
      <c r="DO10" s="0" t="n">
        <f aca="false">Inputs!$B$11*(1+Inputs!$B$6)^INT((DO$3-1)/12)</f>
        <v>77429504.1367552</v>
      </c>
      <c r="DP10" s="0" t="n">
        <f aca="false">Inputs!$B$11*(1+Inputs!$B$6)^INT((DP$3-1)/12)</f>
        <v>77429504.1367552</v>
      </c>
      <c r="DQ10" s="0" t="n">
        <f aca="false">Inputs!$B$11*(1+Inputs!$B$6)^INT((DQ$3-1)/12)</f>
        <v>77429504.1367552</v>
      </c>
      <c r="DR10" s="0" t="n">
        <f aca="false">Inputs!$B$11*(1+Inputs!$B$6)^INT((DR$3-1)/12)</f>
        <v>77429504.1367552</v>
      </c>
    </row>
    <row r="11" customFormat="false" ht="15" hidden="false" customHeight="false" outlineLevel="0" collapsed="false">
      <c r="A11" s="0" t="s">
        <v>27</v>
      </c>
      <c r="B11" s="3" t="n">
        <f aca="false">B8-B9-B10</f>
        <v>0</v>
      </c>
      <c r="C11" s="3" t="n">
        <f aca="false">C8-C9-C10</f>
        <v>14956027.0913636</v>
      </c>
      <c r="D11" s="3" t="n">
        <f aca="false">D8-D9-D10</f>
        <v>15591073.0763637</v>
      </c>
      <c r="E11" s="3" t="n">
        <f aca="false">E8-E9-E10</f>
        <v>39155546.2272728</v>
      </c>
      <c r="F11" s="3" t="n">
        <f aca="false">F8-F9-F10</f>
        <v>43723861.2181818</v>
      </c>
      <c r="G11" s="3" t="n">
        <f aca="false">G8-G9-G10</f>
        <v>45147067.0422728</v>
      </c>
      <c r="H11" s="3" t="n">
        <f aca="false">H8-H9-H10</f>
        <v>40259974.0272727</v>
      </c>
      <c r="I11" s="3" t="n">
        <f aca="false">I8-I9-I10</f>
        <v>54212160.2234091</v>
      </c>
      <c r="J11" s="3" t="n">
        <f aca="false">J8-J9-J10</f>
        <v>65222552.3704546</v>
      </c>
      <c r="K11" s="3" t="n">
        <f aca="false">K8-K9-K10</f>
        <v>54717937.9545455</v>
      </c>
      <c r="L11" s="3" t="n">
        <f aca="false">L8-L9-L10</f>
        <v>69969081.8472727</v>
      </c>
      <c r="M11" s="3" t="n">
        <f aca="false">M8-M9-M10</f>
        <v>65975571.325</v>
      </c>
      <c r="N11" s="3" t="n">
        <f aca="false">N8-N9-N10</f>
        <v>57052296.7136364</v>
      </c>
      <c r="O11" s="3" t="n">
        <f aca="false">O8-O9-O10</f>
        <v>56468847.4214545</v>
      </c>
      <c r="P11" s="3" t="n">
        <f aca="false">P8-P9-P10</f>
        <v>59990566.4680727</v>
      </c>
      <c r="Q11" s="3" t="n">
        <f aca="false">Q8-Q9-Q10</f>
        <v>89882732.5175273</v>
      </c>
      <c r="R11" s="3" t="n">
        <f aca="false">R8-R9-R10</f>
        <v>94811595.6974546</v>
      </c>
      <c r="S11" s="3" t="n">
        <f aca="false">S8-S9-S10</f>
        <v>95066270.7782546</v>
      </c>
      <c r="T11" s="3" t="n">
        <f aca="false">T8-T9-T10</f>
        <v>86168077.8036364</v>
      </c>
      <c r="U11" s="3" t="n">
        <f aca="false">U8-U9-U10</f>
        <v>100728289.493818</v>
      </c>
      <c r="V11" s="3" t="n">
        <f aca="false">V8-V9-V10</f>
        <v>110297898.590545</v>
      </c>
      <c r="W11" s="3" t="n">
        <f aca="false">W8-W9-W10</f>
        <v>90798533.8181818</v>
      </c>
      <c r="X11" s="3" t="n">
        <f aca="false">X8-X9-X10</f>
        <v>105513094.042182</v>
      </c>
      <c r="Y11" s="3" t="n">
        <f aca="false">Y8-Y9-Y10</f>
        <v>95428989.8327273</v>
      </c>
      <c r="Z11" s="3" t="n">
        <f aca="false">Z8-Z9-Z10</f>
        <v>79994136.4509091</v>
      </c>
      <c r="AA11" s="3" t="n">
        <f aca="false">AA8-AA9-AA10</f>
        <v>75498163.4341818</v>
      </c>
      <c r="AB11" s="3" t="n">
        <f aca="false">AB8-AB9-AB10</f>
        <v>70750480.6850909</v>
      </c>
      <c r="AC11" s="3" t="n">
        <f aca="false">AC8-AC9-AC10</f>
        <v>104933796.478545</v>
      </c>
      <c r="AD11" s="3" t="n">
        <f aca="false">AD8-AD9-AD10</f>
        <v>105777828.967273</v>
      </c>
      <c r="AE11" s="3" t="n">
        <f aca="false">AE8-AE9-AE10</f>
        <v>101663170.584727</v>
      </c>
      <c r="AF11" s="3" t="n">
        <f aca="false">AF8-AF9-AF10</f>
        <v>88369658.8872727</v>
      </c>
      <c r="AG11" s="3" t="n">
        <f aca="false">AG8-AG9-AG10</f>
        <v>103298483.531636</v>
      </c>
      <c r="AH11" s="3" t="n">
        <f aca="false">AH8-AH9-AH10</f>
        <v>113110361.213091</v>
      </c>
      <c r="AI11" s="3" t="n">
        <f aca="false">AI8-AI9-AI10</f>
        <v>93117341.6363636</v>
      </c>
      <c r="AJ11" s="3" t="n">
        <f aca="false">AJ8-AJ9-AJ10</f>
        <v>108204422.372364</v>
      </c>
      <c r="AK11" s="3" t="n">
        <f aca="false">AK8-AK9-AK10</f>
        <v>97865024.3854545</v>
      </c>
      <c r="AL11" s="3" t="n">
        <f aca="false">AL8-AL9-AL10</f>
        <v>82039415.2218182</v>
      </c>
      <c r="AM11" s="3" t="n">
        <f aca="false">AM8-AM9-AM10</f>
        <v>77342211.0652728</v>
      </c>
      <c r="AN11" s="3" t="n">
        <f aca="false">AN8-AN9-AN10</f>
        <v>72477301.5816364</v>
      </c>
      <c r="AO11" s="3" t="n">
        <f aca="false">AO8-AO9-AO10</f>
        <v>107504649.863818</v>
      </c>
      <c r="AP11" s="3" t="n">
        <f aca="false">AP8-AP9-AP10</f>
        <v>108369522.660909</v>
      </c>
      <c r="AQ11" s="3" t="n">
        <f aca="false">AQ8-AQ9-AQ10</f>
        <v>104153267.775091</v>
      </c>
      <c r="AR11" s="3" t="n">
        <f aca="false">AR8-AR9-AR10</f>
        <v>90531521.2209091</v>
      </c>
      <c r="AS11" s="3" t="n">
        <f aca="false">AS8-AS9-AS10</f>
        <v>105828958.819455</v>
      </c>
      <c r="AT11" s="3" t="n">
        <f aca="false">AT8-AT9-AT10</f>
        <v>115883105.085636</v>
      </c>
      <c r="AU11" s="3" t="n">
        <f aca="false">AU8-AU9-AU10</f>
        <v>95396430.7045455</v>
      </c>
      <c r="AV11" s="3" t="n">
        <f aca="false">AV8-AV9-AV10</f>
        <v>110856031.952546</v>
      </c>
      <c r="AW11" s="3" t="n">
        <f aca="false">AW8-AW9-AW10</f>
        <v>100261340.188182</v>
      </c>
      <c r="AX11" s="3" t="n">
        <f aca="false">AX8-AX9-AX10</f>
        <v>84044975.2427273</v>
      </c>
      <c r="AY11" s="3" t="n">
        <f aca="false">AY8-AY9-AY10</f>
        <v>79290235.1601591</v>
      </c>
      <c r="AZ11" s="3" t="n">
        <f aca="false">AZ8-AZ9-AZ10</f>
        <v>74303214.4947046</v>
      </c>
      <c r="BA11" s="3" t="n">
        <f aca="false">BA8-BA9-BA10</f>
        <v>110209763.285977</v>
      </c>
      <c r="BB11" s="3" t="n">
        <f aca="false">BB8-BB9-BB10</f>
        <v>111096344.737614</v>
      </c>
      <c r="BC11" s="3" t="n">
        <f aca="false">BC8-BC9-BC10</f>
        <v>106774260.160886</v>
      </c>
      <c r="BD11" s="3" t="n">
        <f aca="false">BD8-BD9-BD10</f>
        <v>92810602.2976137</v>
      </c>
      <c r="BE11" s="3" t="n">
        <f aca="false">BE8-BE9-BE10</f>
        <v>108492011.723432</v>
      </c>
      <c r="BF11" s="3" t="n">
        <f aca="false">BF8-BF9-BF10</f>
        <v>118798521.098705</v>
      </c>
      <c r="BG11" s="3" t="n">
        <f aca="false">BG8-BG9-BG10</f>
        <v>97797622.9630682</v>
      </c>
      <c r="BH11" s="3" t="n">
        <f aca="false">BH8-BH9-BH10</f>
        <v>113645266.411068</v>
      </c>
      <c r="BI11" s="3" t="n">
        <f aca="false">BI8-BI9-BI10</f>
        <v>102784643.628523</v>
      </c>
      <c r="BJ11" s="3" t="n">
        <f aca="false">BJ8-BJ9-BJ10</f>
        <v>86161241.4103409</v>
      </c>
      <c r="BK11" s="3" t="n">
        <f aca="false">BK8-BK9-BK10</f>
        <v>81268873.8345995</v>
      </c>
      <c r="BL11" s="3" t="n">
        <f aca="false">BL8-BL9-BL10</f>
        <v>81382464.3695085</v>
      </c>
      <c r="BM11" s="3" t="n">
        <f aca="false">BM8-BM9-BM10</f>
        <v>112960633.074236</v>
      </c>
      <c r="BN11" s="3" t="n">
        <f aca="false">BN8-BN9-BN10</f>
        <v>113869357.353509</v>
      </c>
      <c r="BO11" s="3" t="n">
        <f aca="false">BO8-BO9-BO10</f>
        <v>109439326.492054</v>
      </c>
      <c r="BP11" s="3" t="n">
        <f aca="false">BP8-BP9-BP10</f>
        <v>95126919.0935086</v>
      </c>
      <c r="BQ11" s="3" t="n">
        <f aca="false">BQ8-BQ9-BQ10</f>
        <v>111199979.783145</v>
      </c>
      <c r="BR11" s="3" t="n">
        <f aca="false">BR8-BR9-BR10</f>
        <v>121763899.52969</v>
      </c>
      <c r="BS11" s="3" t="n">
        <f aca="false">BS8-BS9-BS10</f>
        <v>100238493.164418</v>
      </c>
      <c r="BT11" s="3" t="n">
        <f aca="false">BT8-BT9-BT10</f>
        <v>116481939.656418</v>
      </c>
      <c r="BU11" s="3" t="n">
        <f aca="false">BU8-BU9-BU10</f>
        <v>105350067.235327</v>
      </c>
      <c r="BV11" s="3" t="n">
        <f aca="false">BV8-BV9-BV10</f>
        <v>88311486.9989631</v>
      </c>
      <c r="BW11" s="3" t="n">
        <f aca="false">BW8-BW9-BW10</f>
        <v>83277083.8508008</v>
      </c>
      <c r="BX11" s="3" t="n">
        <f aca="false">BX8-BX9-BX10</f>
        <v>78038514.1508008</v>
      </c>
      <c r="BY11" s="3" t="n">
        <f aca="false">BY8-BY9-BY10</f>
        <v>115756215.990801</v>
      </c>
      <c r="BZ11" s="3" t="n">
        <f aca="false">BZ8-BZ9-BZ10</f>
        <v>116687517.270801</v>
      </c>
      <c r="CA11" s="3" t="n">
        <f aca="false">CA8-CA9-CA10</f>
        <v>112147423.530801</v>
      </c>
      <c r="CB11" s="3" t="n">
        <f aca="false">CB8-CB9-CB10</f>
        <v>97479428.3708008</v>
      </c>
      <c r="CC11" s="3" t="n">
        <f aca="false">CC8-CC9-CC10</f>
        <v>113951819.760801</v>
      </c>
      <c r="CD11" s="3" t="n">
        <f aca="false">CD8-CD9-CD10</f>
        <v>124778197.140801</v>
      </c>
      <c r="CE11" s="3" t="n">
        <f aca="false">CE8-CE9-CE10</f>
        <v>102717998.070801</v>
      </c>
      <c r="CF11" s="3" t="n">
        <f aca="false">CF8-CF9-CF10</f>
        <v>119365008.450801</v>
      </c>
      <c r="CG11" s="3" t="n">
        <f aca="false">CG8-CG9-CG10</f>
        <v>107956567.770801</v>
      </c>
      <c r="CH11" s="3" t="n">
        <f aca="false">CH8-CH9-CH10</f>
        <v>90494668.7708008</v>
      </c>
      <c r="CI11" s="3" t="n">
        <f aca="false">CI8-CI9-CI10</f>
        <v>85386139.9812981</v>
      </c>
      <c r="CJ11" s="3" t="n">
        <f aca="false">CJ8-CJ9-CJ10</f>
        <v>80015690.2049345</v>
      </c>
      <c r="CK11" s="3" t="n">
        <f aca="false">CK8-CK9-CK10</f>
        <v>118682928.594753</v>
      </c>
      <c r="CL11" s="3" t="n">
        <f aca="false">CL8-CL9-CL10</f>
        <v>119637675.221662</v>
      </c>
      <c r="CM11" s="3" t="n">
        <f aca="false">CM8-CM9-CM10</f>
        <v>114983285.41548</v>
      </c>
      <c r="CN11" s="3" t="n">
        <f aca="false">CN8-CN9-CN10</f>
        <v>99946026.0416617</v>
      </c>
      <c r="CO11" s="3" t="n">
        <f aca="false">CO8-CO9-CO10</f>
        <v>116833107.005116</v>
      </c>
      <c r="CP11" s="3" t="n">
        <f aca="false">CP8-CP9-CP10</f>
        <v>127932036.542934</v>
      </c>
      <c r="CQ11" s="3" t="n">
        <f aca="false">CQ8-CQ9-CQ10</f>
        <v>105316475.818025</v>
      </c>
      <c r="CR11" s="3" t="n">
        <f aca="false">CR8-CR9-CR10</f>
        <v>122382571.774025</v>
      </c>
      <c r="CS11" s="3" t="n">
        <f aca="false">CS8-CS9-CS10</f>
        <v>110686925.594389</v>
      </c>
      <c r="CT11" s="3" t="n">
        <f aca="false">CT8-CT9-CT10</f>
        <v>92785426.3398436</v>
      </c>
      <c r="CU11" s="3" t="n">
        <f aca="false">CU8-CU9-CU10</f>
        <v>87522602.0831124</v>
      </c>
      <c r="CV11" s="3" t="n">
        <f aca="false">CV8-CV9-CV10</f>
        <v>82017830.0067488</v>
      </c>
      <c r="CW11" s="3" t="n">
        <f aca="false">CW8-CW9-CW10</f>
        <v>121652188.956567</v>
      </c>
      <c r="CX11" s="3" t="n">
        <f aca="false">CX8-CX9-CX10</f>
        <v>122630815.103476</v>
      </c>
      <c r="CY11" s="3" t="n">
        <f aca="false">CY8-CY9-CY10</f>
        <v>117860012.637294</v>
      </c>
      <c r="CZ11" s="3" t="n">
        <f aca="false">CZ8-CZ9-CZ10</f>
        <v>102446650.823476</v>
      </c>
      <c r="DA11" s="3" t="n">
        <f aca="false">DA8-DA9-DA10</f>
        <v>119756100.796931</v>
      </c>
      <c r="DB11" s="3" t="n">
        <f aca="false">DB8-DB9-DB10</f>
        <v>131132629.754749</v>
      </c>
      <c r="DC11" s="3" t="n">
        <f aca="false">DC8-DC9-DC10</f>
        <v>107951422.89984</v>
      </c>
      <c r="DD11" s="3" t="n">
        <f aca="false">DD8-DD9-DD10</f>
        <v>125444365.27584</v>
      </c>
      <c r="DE11" s="3" t="n">
        <f aca="false">DE8-DE9-DE10</f>
        <v>113456194.976203</v>
      </c>
      <c r="DF11" s="3" t="n">
        <f aca="false">DF8-DF9-DF10</f>
        <v>95106954.7216579</v>
      </c>
      <c r="DG11" s="3" t="n">
        <f aca="false">DG8-DG9-DG10</f>
        <v>89685346.7032448</v>
      </c>
      <c r="DH11" s="3" t="n">
        <f aca="false">DH8-DH9-DH10</f>
        <v>89810714.1832448</v>
      </c>
      <c r="DI11" s="3" t="n">
        <f aca="false">DI8-DI9-DI10</f>
        <v>124662873.623245</v>
      </c>
      <c r="DJ11" s="3" t="n">
        <f aca="false">DJ8-DJ9-DJ10</f>
        <v>125665813.463245</v>
      </c>
      <c r="DK11" s="3" t="n">
        <f aca="false">DK8-DK9-DK10</f>
        <v>120776481.743245</v>
      </c>
      <c r="DL11" s="3" t="n">
        <f aca="false">DL8-DL9-DL10</f>
        <v>104980179.263245</v>
      </c>
      <c r="DM11" s="3" t="n">
        <f aca="false">DM8-DM9-DM10</f>
        <v>122719677.683245</v>
      </c>
      <c r="DN11" s="3" t="n">
        <f aca="false">DN8-DN9-DN10</f>
        <v>134378853.323245</v>
      </c>
      <c r="DO11" s="3" t="n">
        <f aca="false">DO8-DO9-DO10</f>
        <v>110621715.863245</v>
      </c>
      <c r="DP11" s="3" t="n">
        <f aca="false">DP8-DP9-DP10</f>
        <v>128549265.503245</v>
      </c>
      <c r="DQ11" s="3" t="n">
        <f aca="false">DQ8-DQ9-DQ10</f>
        <v>116263252.463245</v>
      </c>
      <c r="DR11" s="3" t="n">
        <f aca="false">DR8-DR9-DR10</f>
        <v>97458130.4632448</v>
      </c>
    </row>
    <row r="12" customFormat="false" ht="15" hidden="false" customHeight="false" outlineLevel="0" collapsed="false">
      <c r="A12" s="0" t="s">
        <v>28</v>
      </c>
      <c r="B12" s="0" t="n">
        <f aca="false">B8*Inputs!$B$12</f>
        <v>0</v>
      </c>
      <c r="C12" s="0" t="n">
        <f aca="false">C8*Inputs!$B$12</f>
        <v>2788261.85113636</v>
      </c>
      <c r="D12" s="0" t="n">
        <f aca="false">D8*Inputs!$B$12</f>
        <v>2811270.76363636</v>
      </c>
      <c r="E12" s="0" t="n">
        <f aca="false">E8*Inputs!$B$12</f>
        <v>3665056.02272727</v>
      </c>
      <c r="F12" s="0" t="n">
        <f aca="false">F8*Inputs!$B$12</f>
        <v>3830574.68181818</v>
      </c>
      <c r="G12" s="0" t="n">
        <f aca="false">G8*Inputs!$B$12</f>
        <v>3882140.11022727</v>
      </c>
      <c r="H12" s="0" t="n">
        <f aca="false">H8*Inputs!$B$12</f>
        <v>3705071.52272727</v>
      </c>
      <c r="I12" s="0" t="n">
        <f aca="false">I8*Inputs!$B$12</f>
        <v>4210585.51534091</v>
      </c>
      <c r="J12" s="0" t="n">
        <f aca="false">J8*Inputs!$B$12</f>
        <v>4609512.76704546</v>
      </c>
      <c r="K12" s="0" t="n">
        <f aca="false">K8*Inputs!$B$12</f>
        <v>4228910.79545455</v>
      </c>
      <c r="L12" s="0" t="n">
        <f aca="false">L8*Inputs!$B$12</f>
        <v>4781488.47272727</v>
      </c>
      <c r="M12" s="0" t="n">
        <f aca="false">M8*Inputs!$B$12</f>
        <v>4636796.0625</v>
      </c>
      <c r="N12" s="0" t="n">
        <f aca="false">N8*Inputs!$B$12</f>
        <v>4313489.01136364</v>
      </c>
      <c r="O12" s="0" t="n">
        <f aca="false">O8*Inputs!$B$12</f>
        <v>4348508.96454545</v>
      </c>
      <c r="P12" s="0" t="n">
        <f aca="false">P8*Inputs!$B$12</f>
        <v>4476107.48072727</v>
      </c>
      <c r="Q12" s="0" t="n">
        <f aca="false">Q8*Inputs!$B$12</f>
        <v>5559156.97527273</v>
      </c>
      <c r="R12" s="0" t="n">
        <f aca="false">R8*Inputs!$B$12</f>
        <v>5737738.97454546</v>
      </c>
      <c r="S12" s="0" t="n">
        <f aca="false">S8*Inputs!$B$12</f>
        <v>5746966.33254546</v>
      </c>
      <c r="T12" s="0" t="n">
        <f aca="false">T8*Inputs!$B$12</f>
        <v>5424568.03636364</v>
      </c>
      <c r="U12" s="0" t="n">
        <f aca="false">U8*Inputs!$B$12</f>
        <v>5952111.93818182</v>
      </c>
      <c r="V12" s="0" t="n">
        <f aca="false">V8*Inputs!$B$12</f>
        <v>6298836.90545455</v>
      </c>
      <c r="W12" s="0" t="n">
        <f aca="false">W8*Inputs!$B$12</f>
        <v>5592338.18181818</v>
      </c>
      <c r="X12" s="0" t="n">
        <f aca="false">X8*Inputs!$B$12</f>
        <v>6125474.42181818</v>
      </c>
      <c r="Y12" s="0" t="n">
        <f aca="false">Y8*Inputs!$B$12</f>
        <v>5760108.32727273</v>
      </c>
      <c r="Z12" s="0" t="n">
        <f aca="false">Z8*Inputs!$B$12</f>
        <v>5200874.50909091</v>
      </c>
      <c r="AA12" s="0" t="n">
        <f aca="false">AA8*Inputs!$B$12</f>
        <v>5095540.34181818</v>
      </c>
      <c r="AB12" s="0" t="n">
        <f aca="false">AB8*Inputs!$B$12</f>
        <v>4923522.85090909</v>
      </c>
      <c r="AC12" s="0" t="n">
        <f aca="false">AC8*Inputs!$B$12</f>
        <v>6162048.78545455</v>
      </c>
      <c r="AD12" s="0" t="n">
        <f aca="false">AD8*Inputs!$B$12</f>
        <v>6192629.67272727</v>
      </c>
      <c r="AE12" s="0" t="n">
        <f aca="false">AE8*Inputs!$B$12</f>
        <v>6043547.84727273</v>
      </c>
      <c r="AF12" s="0" t="n">
        <f aca="false">AF8*Inputs!$B$12</f>
        <v>5561898.87272727</v>
      </c>
      <c r="AG12" s="0" t="n">
        <f aca="false">AG8*Inputs!$B$12</f>
        <v>6102798.31636364</v>
      </c>
      <c r="AH12" s="0" t="n">
        <f aca="false">AH8*Inputs!$B$12</f>
        <v>6458301.13090909</v>
      </c>
      <c r="AI12" s="0" t="n">
        <f aca="false">AI8*Inputs!$B$12</f>
        <v>5733916.36363636</v>
      </c>
      <c r="AJ12" s="0" t="n">
        <f aca="false">AJ8*Inputs!$B$12</f>
        <v>6280549.72363636</v>
      </c>
      <c r="AK12" s="0" t="n">
        <f aca="false">AK8*Inputs!$B$12</f>
        <v>5905933.85454545</v>
      </c>
      <c r="AL12" s="0" t="n">
        <f aca="false">AL8*Inputs!$B$12</f>
        <v>5332542.21818182</v>
      </c>
      <c r="AM12" s="0" t="n">
        <f aca="false">AM8*Inputs!$B$12</f>
        <v>5221356.15272727</v>
      </c>
      <c r="AN12" s="0" t="n">
        <f aca="false">AN8*Inputs!$B$12</f>
        <v>5045091.31636364</v>
      </c>
      <c r="AO12" s="0" t="n">
        <f aca="false">AO8*Inputs!$B$12</f>
        <v>6314198.13818182</v>
      </c>
      <c r="AP12" s="0" t="n">
        <f aca="false">AP8*Inputs!$B$12</f>
        <v>6345534.10909091</v>
      </c>
      <c r="AQ12" s="0" t="n">
        <f aca="false">AQ8*Inputs!$B$12</f>
        <v>6192771.25090909</v>
      </c>
      <c r="AR12" s="0" t="n">
        <f aca="false">AR8*Inputs!$B$12</f>
        <v>5699229.70909091</v>
      </c>
      <c r="AS12" s="0" t="n">
        <f aca="false">AS8*Inputs!$B$12</f>
        <v>6253484.69454546</v>
      </c>
      <c r="AT12" s="0" t="n">
        <f aca="false">AT8*Inputs!$B$12</f>
        <v>6617765.35636364</v>
      </c>
      <c r="AU12" s="0" t="n">
        <f aca="false">AU8*Inputs!$B$12</f>
        <v>5875494.54545455</v>
      </c>
      <c r="AV12" s="0" t="n">
        <f aca="false">AV8*Inputs!$B$12</f>
        <v>6435625.02545455</v>
      </c>
      <c r="AW12" s="0" t="n">
        <f aca="false">AW8*Inputs!$B$12</f>
        <v>6051759.38181818</v>
      </c>
      <c r="AX12" s="0" t="n">
        <f aca="false">AX8*Inputs!$B$12</f>
        <v>5464209.92727273</v>
      </c>
      <c r="AY12" s="0" t="n">
        <f aca="false">AY8*Inputs!$B$12</f>
        <v>5352414.28909091</v>
      </c>
      <c r="AZ12" s="0" t="n">
        <f aca="false">AZ8*Inputs!$B$12</f>
        <v>5171725.13454546</v>
      </c>
      <c r="BA12" s="0" t="n">
        <f aca="false">BA8*Inputs!$B$12</f>
        <v>6472687.04727273</v>
      </c>
      <c r="BB12" s="0" t="n">
        <f aca="false">BB8*Inputs!$B$12</f>
        <v>6504809.56363636</v>
      </c>
      <c r="BC12" s="0" t="n">
        <f aca="false">BC8*Inputs!$B$12</f>
        <v>6348212.29636364</v>
      </c>
      <c r="BD12" s="0" t="n">
        <f aca="false">BD8*Inputs!$B$12</f>
        <v>5842282.66363636</v>
      </c>
      <c r="BE12" s="0" t="n">
        <f aca="false">BE8*Inputs!$B$12</f>
        <v>6410449.67181818</v>
      </c>
      <c r="BF12" s="0" t="n">
        <f aca="false">BF8*Inputs!$B$12</f>
        <v>6783873.92454546</v>
      </c>
      <c r="BG12" s="0" t="n">
        <f aca="false">BG8*Inputs!$B$12</f>
        <v>6022971.81818182</v>
      </c>
      <c r="BH12" s="0" t="n">
        <f aca="false">BH8*Inputs!$B$12</f>
        <v>6597161.79818182</v>
      </c>
      <c r="BI12" s="0" t="n">
        <f aca="false">BI8*Inputs!$B$12</f>
        <v>6203660.97272727</v>
      </c>
      <c r="BJ12" s="0" t="n">
        <f aca="false">BJ8*Inputs!$B$12</f>
        <v>5601363.79090909</v>
      </c>
      <c r="BK12" s="0" t="n">
        <f aca="false">BK8*Inputs!$B$12</f>
        <v>5486093.58818182</v>
      </c>
      <c r="BL12" s="0" t="n">
        <f aca="false">BL8*Inputs!$B$12</f>
        <v>5490209.18727273</v>
      </c>
      <c r="BM12" s="0" t="n">
        <f aca="false">BM8*Inputs!$B$12</f>
        <v>6634345.73454545</v>
      </c>
      <c r="BN12" s="0" t="n">
        <f aca="false">BN8*Inputs!$B$12</f>
        <v>6667270.52727273</v>
      </c>
      <c r="BO12" s="0" t="n">
        <f aca="false">BO8*Inputs!$B$12</f>
        <v>6506762.16272727</v>
      </c>
      <c r="BP12" s="0" t="n">
        <f aca="false">BP8*Inputs!$B$12</f>
        <v>5988196.67727273</v>
      </c>
      <c r="BQ12" s="0" t="n">
        <f aca="false">BQ8*Inputs!$B$12</f>
        <v>6570553.94863636</v>
      </c>
      <c r="BR12" s="0" t="n">
        <f aca="false">BR8*Inputs!$B$12</f>
        <v>6953304.66409091</v>
      </c>
      <c r="BS12" s="0" t="n">
        <f aca="false">BS8*Inputs!$B$12</f>
        <v>6173398.63636364</v>
      </c>
      <c r="BT12" s="0" t="n">
        <f aca="false">BT8*Inputs!$B$12</f>
        <v>6761929.30636364</v>
      </c>
      <c r="BU12" s="0" t="n">
        <f aca="false">BU8*Inputs!$B$12</f>
        <v>6358600.59545455</v>
      </c>
      <c r="BV12" s="0" t="n">
        <f aca="false">BV8*Inputs!$B$12</f>
        <v>5741260.73181818</v>
      </c>
      <c r="BW12" s="0" t="n">
        <f aca="false">BW8*Inputs!$B$12</f>
        <v>5622394.05</v>
      </c>
      <c r="BX12" s="0" t="n">
        <f aca="false">BX8*Inputs!$B$12</f>
        <v>5432590.8</v>
      </c>
      <c r="BY12" s="0" t="n">
        <f aca="false">BY8*Inputs!$B$12</f>
        <v>6799174.2</v>
      </c>
      <c r="BZ12" s="0" t="n">
        <f aca="false">BZ8*Inputs!$B$12</f>
        <v>6832917</v>
      </c>
      <c r="CA12" s="0" t="n">
        <f aca="false">CA8*Inputs!$B$12</f>
        <v>6668420.85</v>
      </c>
      <c r="CB12" s="0" t="n">
        <f aca="false">CB8*Inputs!$B$12</f>
        <v>6136971.75</v>
      </c>
      <c r="CC12" s="0" t="n">
        <f aca="false">CC8*Inputs!$B$12</f>
        <v>6733797.525</v>
      </c>
      <c r="CD12" s="0" t="n">
        <f aca="false">CD8*Inputs!$B$12</f>
        <v>7126057.575</v>
      </c>
      <c r="CE12" s="0" t="n">
        <f aca="false">CE8*Inputs!$B$12</f>
        <v>6326775</v>
      </c>
      <c r="CF12" s="0" t="n">
        <f aca="false">CF8*Inputs!$B$12</f>
        <v>6929927.55</v>
      </c>
      <c r="CG12" s="0" t="n">
        <f aca="false">CG8*Inputs!$B$12</f>
        <v>6516578.25</v>
      </c>
      <c r="CH12" s="0" t="n">
        <f aca="false">CH8*Inputs!$B$12</f>
        <v>5883900.75</v>
      </c>
      <c r="CI12" s="0" t="n">
        <f aca="false">CI8*Inputs!$B$12</f>
        <v>5763936.83727273</v>
      </c>
      <c r="CJ12" s="0" t="n">
        <f aca="false">CJ8*Inputs!$B$12</f>
        <v>5569355.32363636</v>
      </c>
      <c r="CK12" s="0" t="n">
        <f aca="false">CK8*Inputs!$B$12</f>
        <v>6970342.22181818</v>
      </c>
      <c r="CL12" s="0" t="n">
        <f aca="false">CL8*Inputs!$B$12</f>
        <v>7004934.49090909</v>
      </c>
      <c r="CM12" s="0" t="n">
        <f aca="false">CM8*Inputs!$B$12</f>
        <v>6836297.17909091</v>
      </c>
      <c r="CN12" s="0" t="n">
        <f aca="false">CN8*Inputs!$B$12</f>
        <v>6291468.94090909</v>
      </c>
      <c r="CO12" s="0" t="n">
        <f aca="false">CO8*Inputs!$B$12</f>
        <v>6903319.70045455</v>
      </c>
      <c r="CP12" s="0" t="n">
        <f aca="false">CP8*Inputs!$B$12</f>
        <v>7305454.82863637</v>
      </c>
      <c r="CQ12" s="0" t="n">
        <f aca="false">CQ8*Inputs!$B$12</f>
        <v>6486050.45454546</v>
      </c>
      <c r="CR12" s="0" t="n">
        <f aca="false">CR8*Inputs!$B$12</f>
        <v>7104387.26454546</v>
      </c>
      <c r="CS12" s="0" t="n">
        <f aca="false">CS8*Inputs!$B$12</f>
        <v>6680631.96818182</v>
      </c>
      <c r="CT12" s="0" t="n">
        <f aca="false">CT8*Inputs!$B$12</f>
        <v>6032026.92272727</v>
      </c>
      <c r="CU12" s="0" t="n">
        <f aca="false">CU8*Inputs!$B$12</f>
        <v>5908100.78727273</v>
      </c>
      <c r="CV12" s="0" t="n">
        <f aca="false">CV8*Inputs!$B$12</f>
        <v>5708652.52363636</v>
      </c>
      <c r="CW12" s="0" t="n">
        <f aca="false">CW8*Inputs!$B$12</f>
        <v>7144680.02181818</v>
      </c>
      <c r="CX12" s="0" t="n">
        <f aca="false">CX8*Inputs!$B$12</f>
        <v>7180137.49090909</v>
      </c>
      <c r="CY12" s="0" t="n">
        <f aca="false">CY8*Inputs!$B$12</f>
        <v>7007282.32909091</v>
      </c>
      <c r="CZ12" s="0" t="n">
        <f aca="false">CZ8*Inputs!$B$12</f>
        <v>6448827.19090909</v>
      </c>
      <c r="DA12" s="0" t="n">
        <f aca="false">DA8*Inputs!$B$12</f>
        <v>7075981.17545455</v>
      </c>
      <c r="DB12" s="0" t="n">
        <f aca="false">DB8*Inputs!$B$12</f>
        <v>7488174.25363637</v>
      </c>
      <c r="DC12" s="0" t="n">
        <f aca="false">DC8*Inputs!$B$12</f>
        <v>6648275.45454546</v>
      </c>
      <c r="DD12" s="0" t="n">
        <f aca="false">DD8*Inputs!$B$12</f>
        <v>7282077.71454546</v>
      </c>
      <c r="DE12" s="0" t="n">
        <f aca="false">DE8*Inputs!$B$12</f>
        <v>6847723.71818182</v>
      </c>
      <c r="DF12" s="0" t="n">
        <f aca="false">DF8*Inputs!$B$12</f>
        <v>6182896.17272727</v>
      </c>
      <c r="DG12" s="0" t="n">
        <f aca="false">DG8*Inputs!$B$12</f>
        <v>6054885.9</v>
      </c>
      <c r="DH12" s="0" t="n">
        <f aca="false">DH8*Inputs!$B$12</f>
        <v>6059428.2</v>
      </c>
      <c r="DI12" s="0" t="n">
        <f aca="false">DI8*Inputs!$B$12</f>
        <v>7322187.6</v>
      </c>
      <c r="DJ12" s="0" t="n">
        <f aca="false">DJ8*Inputs!$B$12</f>
        <v>7358526</v>
      </c>
      <c r="DK12" s="0" t="n">
        <f aca="false">DK8*Inputs!$B$12</f>
        <v>7181376.3</v>
      </c>
      <c r="DL12" s="0" t="n">
        <f aca="false">DL8*Inputs!$B$12</f>
        <v>6609046.5</v>
      </c>
      <c r="DM12" s="0" t="n">
        <f aca="false">DM8*Inputs!$B$12</f>
        <v>7251781.95</v>
      </c>
      <c r="DN12" s="0" t="n">
        <f aca="false">DN8*Inputs!$B$12</f>
        <v>7674215.85</v>
      </c>
      <c r="DO12" s="0" t="n">
        <f aca="false">DO8*Inputs!$B$12</f>
        <v>6813450</v>
      </c>
      <c r="DP12" s="0" t="n">
        <f aca="false">DP8*Inputs!$B$12</f>
        <v>7462998.9</v>
      </c>
      <c r="DQ12" s="0" t="n">
        <f aca="false">DQ8*Inputs!$B$12</f>
        <v>7017853.5</v>
      </c>
      <c r="DR12" s="0" t="n">
        <f aca="false">DR8*Inputs!$B$12</f>
        <v>6336508.5</v>
      </c>
    </row>
    <row r="13" customFormat="false" ht="15" hidden="false" customHeight="false" outlineLevel="0" collapsed="false">
      <c r="A13" s="0" t="s">
        <v>29</v>
      </c>
      <c r="B13" s="0" t="n">
        <f aca="false">MAX(0,B11-B12-Inputs!$B$14/12)*Inputs!$B$13</f>
        <v>0</v>
      </c>
      <c r="C13" s="0" t="n">
        <f aca="false">MAX(0,C11-C12-Inputs!$B$14/12)*Inputs!$B$13</f>
        <v>0</v>
      </c>
      <c r="D13" s="0" t="n">
        <f aca="false">MAX(0,D11-D12-Inputs!$B$14/12)*Inputs!$B$13</f>
        <v>0</v>
      </c>
      <c r="E13" s="0" t="n">
        <f aca="false">MAX(0,E11-E12-Inputs!$B$14/12)*Inputs!$B$13</f>
        <v>0</v>
      </c>
      <c r="F13" s="0" t="n">
        <f aca="false">MAX(0,F11-F12-Inputs!$B$14/12)*Inputs!$B$13</f>
        <v>0</v>
      </c>
      <c r="G13" s="0" t="n">
        <f aca="false">MAX(0,G11-G12-Inputs!$B$14/12)*Inputs!$B$13</f>
        <v>0</v>
      </c>
      <c r="H13" s="0" t="n">
        <f aca="false">MAX(0,H11-H12-Inputs!$B$14/12)*Inputs!$B$13</f>
        <v>0</v>
      </c>
      <c r="I13" s="0" t="n">
        <f aca="false">MAX(0,I11-I12-Inputs!$B$14/12)*Inputs!$B$13</f>
        <v>0</v>
      </c>
      <c r="J13" s="0" t="n">
        <f aca="false">MAX(0,J11-J12-Inputs!$B$14/12)*Inputs!$B$13</f>
        <v>0</v>
      </c>
      <c r="K13" s="0" t="n">
        <f aca="false">MAX(0,K11-K12-Inputs!$B$14/12)*Inputs!$B$13</f>
        <v>0</v>
      </c>
      <c r="L13" s="0" t="n">
        <f aca="false">MAX(0,L11-L12-Inputs!$B$14/12)*Inputs!$B$13</f>
        <v>0</v>
      </c>
      <c r="M13" s="0" t="n">
        <f aca="false">MAX(0,M11-M12-Inputs!$B$14/12)*Inputs!$B$13</f>
        <v>0</v>
      </c>
      <c r="N13" s="0" t="n">
        <f aca="false">MAX(0,N11-N12-Inputs!$B$14/12)*Inputs!$B$13</f>
        <v>0</v>
      </c>
      <c r="O13" s="0" t="n">
        <f aca="false">MAX(0,O11-O12-Inputs!$B$14/12)*Inputs!$B$13</f>
        <v>0</v>
      </c>
      <c r="P13" s="0" t="n">
        <f aca="false">MAX(0,P11-P12-Inputs!$B$14/12)*Inputs!$B$13</f>
        <v>0</v>
      </c>
      <c r="Q13" s="0" t="n">
        <f aca="false">MAX(0,Q11-Q12-Inputs!$B$14/12)*Inputs!$B$13</f>
        <v>0</v>
      </c>
      <c r="R13" s="0" t="n">
        <f aca="false">MAX(0,R11-R12-Inputs!$B$14/12)*Inputs!$B$13</f>
        <v>0</v>
      </c>
      <c r="S13" s="0" t="n">
        <f aca="false">MAX(0,S11-S12-Inputs!$B$14/12)*Inputs!$B$13</f>
        <v>0</v>
      </c>
      <c r="T13" s="0" t="n">
        <f aca="false">MAX(0,T11-T12-Inputs!$B$14/12)*Inputs!$B$13</f>
        <v>0</v>
      </c>
      <c r="U13" s="0" t="n">
        <f aca="false">MAX(0,U11-U12-Inputs!$B$14/12)*Inputs!$B$13</f>
        <v>0</v>
      </c>
      <c r="V13" s="0" t="n">
        <f aca="false">MAX(0,V11-V12-Inputs!$B$14/12)*Inputs!$B$13</f>
        <v>0</v>
      </c>
      <c r="W13" s="0" t="n">
        <f aca="false">MAX(0,W11-W12-Inputs!$B$14/12)*Inputs!$B$13</f>
        <v>0</v>
      </c>
      <c r="X13" s="0" t="n">
        <f aca="false">MAX(0,X11-X12-Inputs!$B$14/12)*Inputs!$B$13</f>
        <v>0</v>
      </c>
      <c r="Y13" s="0" t="n">
        <f aca="false">MAX(0,Y11-Y12-Inputs!$B$14/12)*Inputs!$B$13</f>
        <v>0</v>
      </c>
      <c r="Z13" s="0" t="n">
        <f aca="false">MAX(0,Z11-Z12-Inputs!$B$14/12)*Inputs!$B$13</f>
        <v>0</v>
      </c>
      <c r="AA13" s="0" t="n">
        <f aca="false">MAX(0,AA11-AA12-Inputs!$B$14/12)*Inputs!$B$13</f>
        <v>0</v>
      </c>
      <c r="AB13" s="0" t="n">
        <f aca="false">MAX(0,AB11-AB12-Inputs!$B$14/12)*Inputs!$B$13</f>
        <v>0</v>
      </c>
      <c r="AC13" s="0" t="n">
        <f aca="false">MAX(0,AC11-AC12-Inputs!$B$14/12)*Inputs!$B$13</f>
        <v>0</v>
      </c>
      <c r="AD13" s="0" t="n">
        <f aca="false">MAX(0,AD11-AD12-Inputs!$B$14/12)*Inputs!$B$13</f>
        <v>0</v>
      </c>
      <c r="AE13" s="0" t="n">
        <f aca="false">MAX(0,AE11-AE12-Inputs!$B$14/12)*Inputs!$B$13</f>
        <v>0</v>
      </c>
      <c r="AF13" s="0" t="n">
        <f aca="false">MAX(0,AF11-AF12-Inputs!$B$14/12)*Inputs!$B$13</f>
        <v>0</v>
      </c>
      <c r="AG13" s="0" t="n">
        <f aca="false">MAX(0,AG11-AG12-Inputs!$B$14/12)*Inputs!$B$13</f>
        <v>0</v>
      </c>
      <c r="AH13" s="0" t="n">
        <f aca="false">MAX(0,AH11-AH12-Inputs!$B$14/12)*Inputs!$B$13</f>
        <v>0</v>
      </c>
      <c r="AI13" s="0" t="n">
        <f aca="false">MAX(0,AI11-AI12-Inputs!$B$14/12)*Inputs!$B$13</f>
        <v>0</v>
      </c>
      <c r="AJ13" s="0" t="n">
        <f aca="false">MAX(0,AJ11-AJ12-Inputs!$B$14/12)*Inputs!$B$13</f>
        <v>0</v>
      </c>
      <c r="AK13" s="0" t="n">
        <f aca="false">MAX(0,AK11-AK12-Inputs!$B$14/12)*Inputs!$B$13</f>
        <v>0</v>
      </c>
      <c r="AL13" s="0" t="n">
        <f aca="false">MAX(0,AL11-AL12-Inputs!$B$14/12)*Inputs!$B$13</f>
        <v>0</v>
      </c>
      <c r="AM13" s="0" t="n">
        <f aca="false">MAX(0,AM11-AM12-Inputs!$B$14/12)*Inputs!$B$13</f>
        <v>0</v>
      </c>
      <c r="AN13" s="0" t="n">
        <f aca="false">MAX(0,AN11-AN12-Inputs!$B$14/12)*Inputs!$B$13</f>
        <v>0</v>
      </c>
      <c r="AO13" s="0" t="n">
        <f aca="false">MAX(0,AO11-AO12-Inputs!$B$14/12)*Inputs!$B$13</f>
        <v>0</v>
      </c>
      <c r="AP13" s="0" t="n">
        <f aca="false">MAX(0,AP11-AP12-Inputs!$B$14/12)*Inputs!$B$13</f>
        <v>0</v>
      </c>
      <c r="AQ13" s="0" t="n">
        <f aca="false">MAX(0,AQ11-AQ12-Inputs!$B$14/12)*Inputs!$B$13</f>
        <v>0</v>
      </c>
      <c r="AR13" s="0" t="n">
        <f aca="false">MAX(0,AR11-AR12-Inputs!$B$14/12)*Inputs!$B$13</f>
        <v>0</v>
      </c>
      <c r="AS13" s="0" t="n">
        <f aca="false">MAX(0,AS11-AS12-Inputs!$B$14/12)*Inputs!$B$13</f>
        <v>0</v>
      </c>
      <c r="AT13" s="0" t="n">
        <f aca="false">MAX(0,AT11-AT12-Inputs!$B$14/12)*Inputs!$B$13</f>
        <v>0</v>
      </c>
      <c r="AU13" s="0" t="n">
        <f aca="false">MAX(0,AU11-AU12-Inputs!$B$14/12)*Inputs!$B$13</f>
        <v>0</v>
      </c>
      <c r="AV13" s="0" t="n">
        <f aca="false">MAX(0,AV11-AV12-Inputs!$B$14/12)*Inputs!$B$13</f>
        <v>0</v>
      </c>
      <c r="AW13" s="0" t="n">
        <f aca="false">MAX(0,AW11-AW12-Inputs!$B$14/12)*Inputs!$B$13</f>
        <v>0</v>
      </c>
      <c r="AX13" s="0" t="n">
        <f aca="false">MAX(0,AX11-AX12-Inputs!$B$14/12)*Inputs!$B$13</f>
        <v>0</v>
      </c>
      <c r="AY13" s="0" t="n">
        <f aca="false">MAX(0,AY11-AY12-Inputs!$B$14/12)*Inputs!$B$13</f>
        <v>0</v>
      </c>
      <c r="AZ13" s="0" t="n">
        <f aca="false">MAX(0,AZ11-AZ12-Inputs!$B$14/12)*Inputs!$B$13</f>
        <v>0</v>
      </c>
      <c r="BA13" s="0" t="n">
        <f aca="false">MAX(0,BA11-BA12-Inputs!$B$14/12)*Inputs!$B$13</f>
        <v>0</v>
      </c>
      <c r="BB13" s="0" t="n">
        <f aca="false">MAX(0,BB11-BB12-Inputs!$B$14/12)*Inputs!$B$13</f>
        <v>0</v>
      </c>
      <c r="BC13" s="0" t="n">
        <f aca="false">MAX(0,BC11-BC12-Inputs!$B$14/12)*Inputs!$B$13</f>
        <v>0</v>
      </c>
      <c r="BD13" s="0" t="n">
        <f aca="false">MAX(0,BD11-BD12-Inputs!$B$14/12)*Inputs!$B$13</f>
        <v>0</v>
      </c>
      <c r="BE13" s="0" t="n">
        <f aca="false">MAX(0,BE11-BE12-Inputs!$B$14/12)*Inputs!$B$13</f>
        <v>0</v>
      </c>
      <c r="BF13" s="0" t="n">
        <f aca="false">MAX(0,BF11-BF12-Inputs!$B$14/12)*Inputs!$B$13</f>
        <v>0</v>
      </c>
      <c r="BG13" s="0" t="n">
        <f aca="false">MAX(0,BG11-BG12-Inputs!$B$14/12)*Inputs!$B$13</f>
        <v>0</v>
      </c>
      <c r="BH13" s="0" t="n">
        <f aca="false">MAX(0,BH11-BH12-Inputs!$B$14/12)*Inputs!$B$13</f>
        <v>0</v>
      </c>
      <c r="BI13" s="0" t="n">
        <f aca="false">MAX(0,BI11-BI12-Inputs!$B$14/12)*Inputs!$B$13</f>
        <v>0</v>
      </c>
      <c r="BJ13" s="0" t="n">
        <f aca="false">MAX(0,BJ11-BJ12-Inputs!$B$14/12)*Inputs!$B$13</f>
        <v>0</v>
      </c>
      <c r="BK13" s="0" t="n">
        <f aca="false">MAX(0,BK11-BK12-Inputs!$B$14/12)*Inputs!$B$13</f>
        <v>0</v>
      </c>
      <c r="BL13" s="0" t="n">
        <f aca="false">MAX(0,BL11-BL12-Inputs!$B$14/12)*Inputs!$B$13</f>
        <v>0</v>
      </c>
      <c r="BM13" s="0" t="n">
        <f aca="false">MAX(0,BM11-BM12-Inputs!$B$14/12)*Inputs!$B$13</f>
        <v>0</v>
      </c>
      <c r="BN13" s="0" t="n">
        <f aca="false">MAX(0,BN11-BN12-Inputs!$B$14/12)*Inputs!$B$13</f>
        <v>0</v>
      </c>
      <c r="BO13" s="0" t="n">
        <f aca="false">MAX(0,BO11-BO12-Inputs!$B$14/12)*Inputs!$B$13</f>
        <v>0</v>
      </c>
      <c r="BP13" s="0" t="n">
        <f aca="false">MAX(0,BP11-BP12-Inputs!$B$14/12)*Inputs!$B$13</f>
        <v>0</v>
      </c>
      <c r="BQ13" s="0" t="n">
        <f aca="false">MAX(0,BQ11-BQ12-Inputs!$B$14/12)*Inputs!$B$13</f>
        <v>0</v>
      </c>
      <c r="BR13" s="0" t="n">
        <f aca="false">MAX(0,BR11-BR12-Inputs!$B$14/12)*Inputs!$B$13</f>
        <v>0</v>
      </c>
      <c r="BS13" s="0" t="n">
        <f aca="false">MAX(0,BS11-BS12-Inputs!$B$14/12)*Inputs!$B$13</f>
        <v>0</v>
      </c>
      <c r="BT13" s="0" t="n">
        <f aca="false">MAX(0,BT11-BT12-Inputs!$B$14/12)*Inputs!$B$13</f>
        <v>0</v>
      </c>
      <c r="BU13" s="0" t="n">
        <f aca="false">MAX(0,BU11-BU12-Inputs!$B$14/12)*Inputs!$B$13</f>
        <v>0</v>
      </c>
      <c r="BV13" s="0" t="n">
        <f aca="false">MAX(0,BV11-BV12-Inputs!$B$14/12)*Inputs!$B$13</f>
        <v>0</v>
      </c>
      <c r="BW13" s="0" t="n">
        <f aca="false">MAX(0,BW11-BW12-Inputs!$B$14/12)*Inputs!$B$13</f>
        <v>0</v>
      </c>
      <c r="BX13" s="0" t="n">
        <f aca="false">MAX(0,BX11-BX12-Inputs!$B$14/12)*Inputs!$B$13</f>
        <v>0</v>
      </c>
      <c r="BY13" s="0" t="n">
        <f aca="false">MAX(0,BY11-BY12-Inputs!$B$14/12)*Inputs!$B$13</f>
        <v>0</v>
      </c>
      <c r="BZ13" s="0" t="n">
        <f aca="false">MAX(0,BZ11-BZ12-Inputs!$B$14/12)*Inputs!$B$13</f>
        <v>0</v>
      </c>
      <c r="CA13" s="0" t="n">
        <f aca="false">MAX(0,CA11-CA12-Inputs!$B$14/12)*Inputs!$B$13</f>
        <v>0</v>
      </c>
      <c r="CB13" s="0" t="n">
        <f aca="false">MAX(0,CB11-CB12-Inputs!$B$14/12)*Inputs!$B$13</f>
        <v>0</v>
      </c>
      <c r="CC13" s="0" t="n">
        <f aca="false">MAX(0,CC11-CC12-Inputs!$B$14/12)*Inputs!$B$13</f>
        <v>0</v>
      </c>
      <c r="CD13" s="0" t="n">
        <f aca="false">MAX(0,CD11-CD12-Inputs!$B$14/12)*Inputs!$B$13</f>
        <v>0</v>
      </c>
      <c r="CE13" s="0" t="n">
        <f aca="false">MAX(0,CE11-CE12-Inputs!$B$14/12)*Inputs!$B$13</f>
        <v>0</v>
      </c>
      <c r="CF13" s="0" t="n">
        <f aca="false">MAX(0,CF11-CF12-Inputs!$B$14/12)*Inputs!$B$13</f>
        <v>0</v>
      </c>
      <c r="CG13" s="0" t="n">
        <f aca="false">MAX(0,CG11-CG12-Inputs!$B$14/12)*Inputs!$B$13</f>
        <v>0</v>
      </c>
      <c r="CH13" s="0" t="n">
        <f aca="false">MAX(0,CH11-CH12-Inputs!$B$14/12)*Inputs!$B$13</f>
        <v>0</v>
      </c>
      <c r="CI13" s="0" t="n">
        <f aca="false">MAX(0,CI11-CI12-Inputs!$B$14/12)*Inputs!$B$13</f>
        <v>0</v>
      </c>
      <c r="CJ13" s="0" t="n">
        <f aca="false">MAX(0,CJ11-CJ12-Inputs!$B$14/12)*Inputs!$B$13</f>
        <v>0</v>
      </c>
      <c r="CK13" s="0" t="n">
        <f aca="false">MAX(0,CK11-CK12-Inputs!$B$14/12)*Inputs!$B$13</f>
        <v>0</v>
      </c>
      <c r="CL13" s="0" t="n">
        <f aca="false">MAX(0,CL11-CL12-Inputs!$B$14/12)*Inputs!$B$13</f>
        <v>0</v>
      </c>
      <c r="CM13" s="0" t="n">
        <f aca="false">MAX(0,CM11-CM12-Inputs!$B$14/12)*Inputs!$B$13</f>
        <v>0</v>
      </c>
      <c r="CN13" s="0" t="n">
        <f aca="false">MAX(0,CN11-CN12-Inputs!$B$14/12)*Inputs!$B$13</f>
        <v>0</v>
      </c>
      <c r="CO13" s="0" t="n">
        <f aca="false">MAX(0,CO11-CO12-Inputs!$B$14/12)*Inputs!$B$13</f>
        <v>0</v>
      </c>
      <c r="CP13" s="0" t="n">
        <f aca="false">MAX(0,CP11-CP12-Inputs!$B$14/12)*Inputs!$B$13</f>
        <v>0</v>
      </c>
      <c r="CQ13" s="0" t="n">
        <f aca="false">MAX(0,CQ11-CQ12-Inputs!$B$14/12)*Inputs!$B$13</f>
        <v>0</v>
      </c>
      <c r="CR13" s="0" t="n">
        <f aca="false">MAX(0,CR11-CR12-Inputs!$B$14/12)*Inputs!$B$13</f>
        <v>0</v>
      </c>
      <c r="CS13" s="0" t="n">
        <f aca="false">MAX(0,CS11-CS12-Inputs!$B$14/12)*Inputs!$B$13</f>
        <v>0</v>
      </c>
      <c r="CT13" s="0" t="n">
        <f aca="false">MAX(0,CT11-CT12-Inputs!$B$14/12)*Inputs!$B$13</f>
        <v>0</v>
      </c>
      <c r="CU13" s="0" t="n">
        <f aca="false">MAX(0,CU11-CU12-Inputs!$B$14/12)*Inputs!$B$13</f>
        <v>0</v>
      </c>
      <c r="CV13" s="0" t="n">
        <f aca="false">MAX(0,CV11-CV12-Inputs!$B$14/12)*Inputs!$B$13</f>
        <v>0</v>
      </c>
      <c r="CW13" s="0" t="n">
        <f aca="false">MAX(0,CW11-CW12-Inputs!$B$14/12)*Inputs!$B$13</f>
        <v>0</v>
      </c>
      <c r="CX13" s="0" t="n">
        <f aca="false">MAX(0,CX11-CX12-Inputs!$B$14/12)*Inputs!$B$13</f>
        <v>0</v>
      </c>
      <c r="CY13" s="0" t="n">
        <f aca="false">MAX(0,CY11-CY12-Inputs!$B$14/12)*Inputs!$B$13</f>
        <v>0</v>
      </c>
      <c r="CZ13" s="0" t="n">
        <f aca="false">MAX(0,CZ11-CZ12-Inputs!$B$14/12)*Inputs!$B$13</f>
        <v>0</v>
      </c>
      <c r="DA13" s="0" t="n">
        <f aca="false">MAX(0,DA11-DA12-Inputs!$B$14/12)*Inputs!$B$13</f>
        <v>0</v>
      </c>
      <c r="DB13" s="0" t="n">
        <f aca="false">MAX(0,DB11-DB12-Inputs!$B$14/12)*Inputs!$B$13</f>
        <v>224889.773422329</v>
      </c>
      <c r="DC13" s="0" t="n">
        <f aca="false">MAX(0,DC11-DC12-Inputs!$B$14/12)*Inputs!$B$13</f>
        <v>0</v>
      </c>
      <c r="DD13" s="0" t="n">
        <f aca="false">MAX(0,DD11-DD12-Inputs!$B$14/12)*Inputs!$B$13</f>
        <v>0</v>
      </c>
      <c r="DE13" s="0" t="n">
        <f aca="false">MAX(0,DE11-DE12-Inputs!$B$14/12)*Inputs!$B$13</f>
        <v>0</v>
      </c>
      <c r="DF13" s="0" t="n">
        <f aca="false">MAX(0,DF11-DF12-Inputs!$B$14/12)*Inputs!$B$13</f>
        <v>0</v>
      </c>
      <c r="DG13" s="0" t="n">
        <f aca="false">MAX(0,DG11-DG12-Inputs!$B$14/12)*Inputs!$B$13</f>
        <v>0</v>
      </c>
      <c r="DH13" s="0" t="n">
        <f aca="false">MAX(0,DH11-DH12-Inputs!$B$14/12)*Inputs!$B$13</f>
        <v>0</v>
      </c>
      <c r="DI13" s="0" t="n">
        <f aca="false">MAX(0,DI11-DI12-Inputs!$B$14/12)*Inputs!$B$13</f>
        <v>0</v>
      </c>
      <c r="DJ13" s="0" t="n">
        <f aca="false">MAX(0,DJ11-DJ12-Inputs!$B$14/12)*Inputs!$B$13</f>
        <v>0</v>
      </c>
      <c r="DK13" s="0" t="n">
        <f aca="false">MAX(0,DK11-DK12-Inputs!$B$14/12)*Inputs!$B$13</f>
        <v>0</v>
      </c>
      <c r="DL13" s="0" t="n">
        <f aca="false">MAX(0,DL11-DL12-Inputs!$B$14/12)*Inputs!$B$13</f>
        <v>0</v>
      </c>
      <c r="DM13" s="0" t="n">
        <f aca="false">MAX(0,DM11-DM12-Inputs!$B$14/12)*Inputs!$B$13</f>
        <v>0</v>
      </c>
      <c r="DN13" s="0" t="n">
        <f aca="false">MAX(0,DN11-DN12-Inputs!$B$14/12)*Inputs!$B$13</f>
        <v>469704.331192914</v>
      </c>
      <c r="DO13" s="0" t="n">
        <f aca="false">MAX(0,DO11-DO12-Inputs!$B$14/12)*Inputs!$B$13</f>
        <v>0</v>
      </c>
      <c r="DP13" s="0" t="n">
        <f aca="false">MAX(0,DP11-DP12-Inputs!$B$14/12)*Inputs!$B$13</f>
        <v>20234.6615929127</v>
      </c>
      <c r="DQ13" s="0" t="n">
        <f aca="false">MAX(0,DQ11-DQ12-Inputs!$B$14/12)*Inputs!$B$13</f>
        <v>0</v>
      </c>
      <c r="DR13" s="0" t="n">
        <f aca="false">MAX(0,DR11-DR12-Inputs!$B$14/12)*Inputs!$B$13</f>
        <v>0</v>
      </c>
    </row>
    <row r="14" customFormat="false" ht="15" hidden="false" customHeight="false" outlineLevel="0" collapsed="false">
      <c r="A14" s="0" t="s">
        <v>13</v>
      </c>
      <c r="B14" s="0" t="n">
        <f aca="false">B8*Inputs!$B$15</f>
        <v>0</v>
      </c>
      <c r="C14" s="0" t="n">
        <f aca="false">C8*Inputs!$B$15</f>
        <v>4461218.96181818</v>
      </c>
      <c r="D14" s="0" t="n">
        <f aca="false">D8*Inputs!$B$15</f>
        <v>4498033.22181818</v>
      </c>
      <c r="E14" s="0" t="n">
        <f aca="false">E8*Inputs!$B$15</f>
        <v>5864089.63636364</v>
      </c>
      <c r="F14" s="0" t="n">
        <f aca="false">F8*Inputs!$B$15</f>
        <v>6128919.49090909</v>
      </c>
      <c r="G14" s="0" t="n">
        <f aca="false">G8*Inputs!$B$15</f>
        <v>6211424.17636364</v>
      </c>
      <c r="H14" s="0" t="n">
        <f aca="false">H8*Inputs!$B$15</f>
        <v>5928114.43636364</v>
      </c>
      <c r="I14" s="0" t="n">
        <f aca="false">I8*Inputs!$B$15</f>
        <v>6736936.82454546</v>
      </c>
      <c r="J14" s="0" t="n">
        <f aca="false">J8*Inputs!$B$15</f>
        <v>7375220.42727273</v>
      </c>
      <c r="K14" s="0" t="n">
        <f aca="false">K8*Inputs!$B$15</f>
        <v>6766257.27272727</v>
      </c>
      <c r="L14" s="0" t="n">
        <f aca="false">L8*Inputs!$B$15</f>
        <v>7650381.55636364</v>
      </c>
      <c r="M14" s="0" t="n">
        <f aca="false">M8*Inputs!$B$15</f>
        <v>7418873.7</v>
      </c>
      <c r="N14" s="0" t="n">
        <f aca="false">N8*Inputs!$B$15</f>
        <v>6901582.41818182</v>
      </c>
      <c r="O14" s="0" t="n">
        <f aca="false">O8*Inputs!$B$15</f>
        <v>6957614.34327273</v>
      </c>
      <c r="P14" s="0" t="n">
        <f aca="false">P8*Inputs!$B$15</f>
        <v>7161771.96916364</v>
      </c>
      <c r="Q14" s="0" t="n">
        <f aca="false">Q8*Inputs!$B$15</f>
        <v>8894651.16043636</v>
      </c>
      <c r="R14" s="0" t="n">
        <f aca="false">R8*Inputs!$B$15</f>
        <v>9180382.35927273</v>
      </c>
      <c r="S14" s="0" t="n">
        <f aca="false">S8*Inputs!$B$15</f>
        <v>9195146.13207273</v>
      </c>
      <c r="T14" s="0" t="n">
        <f aca="false">T8*Inputs!$B$15</f>
        <v>8679308.85818182</v>
      </c>
      <c r="U14" s="0" t="n">
        <f aca="false">U8*Inputs!$B$15</f>
        <v>9523379.10109091</v>
      </c>
      <c r="V14" s="0" t="n">
        <f aca="false">V8*Inputs!$B$15</f>
        <v>10078139.0487273</v>
      </c>
      <c r="W14" s="0" t="n">
        <f aca="false">W8*Inputs!$B$15</f>
        <v>8947741.09090909</v>
      </c>
      <c r="X14" s="0" t="n">
        <f aca="false">X8*Inputs!$B$15</f>
        <v>9800759.07490909</v>
      </c>
      <c r="Y14" s="0" t="n">
        <f aca="false">Y8*Inputs!$B$15</f>
        <v>9216173.32363636</v>
      </c>
      <c r="Z14" s="0" t="n">
        <f aca="false">Z8*Inputs!$B$15</f>
        <v>8321399.21454546</v>
      </c>
      <c r="AA14" s="0" t="n">
        <f aca="false">AA8*Inputs!$B$15</f>
        <v>8152864.54690909</v>
      </c>
      <c r="AB14" s="0" t="n">
        <f aca="false">AB8*Inputs!$B$15</f>
        <v>7877636.56145455</v>
      </c>
      <c r="AC14" s="0" t="n">
        <f aca="false">AC8*Inputs!$B$15</f>
        <v>9859278.05672727</v>
      </c>
      <c r="AD14" s="0" t="n">
        <f aca="false">AD8*Inputs!$B$15</f>
        <v>9908207.47636364</v>
      </c>
      <c r="AE14" s="0" t="n">
        <f aca="false">AE8*Inputs!$B$15</f>
        <v>9669676.55563637</v>
      </c>
      <c r="AF14" s="0" t="n">
        <f aca="false">AF8*Inputs!$B$15</f>
        <v>8899038.19636364</v>
      </c>
      <c r="AG14" s="0" t="n">
        <f aca="false">AG8*Inputs!$B$15</f>
        <v>9764477.30618182</v>
      </c>
      <c r="AH14" s="0" t="n">
        <f aca="false">AH8*Inputs!$B$15</f>
        <v>10333281.8094545</v>
      </c>
      <c r="AI14" s="0" t="n">
        <f aca="false">AI8*Inputs!$B$15</f>
        <v>9174266.18181818</v>
      </c>
      <c r="AJ14" s="0" t="n">
        <f aca="false">AJ8*Inputs!$B$15</f>
        <v>10048879.5578182</v>
      </c>
      <c r="AK14" s="0" t="n">
        <f aca="false">AK8*Inputs!$B$15</f>
        <v>9449494.16727273</v>
      </c>
      <c r="AL14" s="0" t="n">
        <f aca="false">AL8*Inputs!$B$15</f>
        <v>8532067.54909091</v>
      </c>
      <c r="AM14" s="0" t="n">
        <f aca="false">AM8*Inputs!$B$15</f>
        <v>8354169.84436364</v>
      </c>
      <c r="AN14" s="0" t="n">
        <f aca="false">AN8*Inputs!$B$15</f>
        <v>8072146.10618182</v>
      </c>
      <c r="AO14" s="0" t="n">
        <f aca="false">AO8*Inputs!$B$15</f>
        <v>10102717.0210909</v>
      </c>
      <c r="AP14" s="0" t="n">
        <f aca="false">AP8*Inputs!$B$15</f>
        <v>10152854.5745455</v>
      </c>
      <c r="AQ14" s="0" t="n">
        <f aca="false">AQ8*Inputs!$B$15</f>
        <v>9908434.00145455</v>
      </c>
      <c r="AR14" s="0" t="n">
        <f aca="false">AR8*Inputs!$B$15</f>
        <v>9118767.53454545</v>
      </c>
      <c r="AS14" s="0" t="n">
        <f aca="false">AS8*Inputs!$B$15</f>
        <v>10005575.5112727</v>
      </c>
      <c r="AT14" s="0" t="n">
        <f aca="false">AT8*Inputs!$B$15</f>
        <v>10588424.5701818</v>
      </c>
      <c r="AU14" s="0" t="n">
        <f aca="false">AU8*Inputs!$B$15</f>
        <v>9400791.27272727</v>
      </c>
      <c r="AV14" s="0" t="n">
        <f aca="false">AV8*Inputs!$B$15</f>
        <v>10297000.0407273</v>
      </c>
      <c r="AW14" s="0" t="n">
        <f aca="false">AW8*Inputs!$B$15</f>
        <v>9682815.01090909</v>
      </c>
      <c r="AX14" s="0" t="n">
        <f aca="false">AX8*Inputs!$B$15</f>
        <v>8742735.88363637</v>
      </c>
      <c r="AY14" s="0" t="n">
        <f aca="false">AY8*Inputs!$B$15</f>
        <v>8563862.86254546</v>
      </c>
      <c r="AZ14" s="0" t="n">
        <f aca="false">AZ8*Inputs!$B$15</f>
        <v>8274760.21527273</v>
      </c>
      <c r="BA14" s="0" t="n">
        <f aca="false">BA8*Inputs!$B$15</f>
        <v>10356299.2756364</v>
      </c>
      <c r="BB14" s="0" t="n">
        <f aca="false">BB8*Inputs!$B$15</f>
        <v>10407695.3018182</v>
      </c>
      <c r="BC14" s="0" t="n">
        <f aca="false">BC8*Inputs!$B$15</f>
        <v>10157139.6741818</v>
      </c>
      <c r="BD14" s="0" t="n">
        <f aca="false">BD8*Inputs!$B$15</f>
        <v>9347652.26181818</v>
      </c>
      <c r="BE14" s="0" t="n">
        <f aca="false">BE8*Inputs!$B$15</f>
        <v>10256719.4749091</v>
      </c>
      <c r="BF14" s="0" t="n">
        <f aca="false">BF8*Inputs!$B$15</f>
        <v>10854198.2792727</v>
      </c>
      <c r="BG14" s="0" t="n">
        <f aca="false">BG8*Inputs!$B$15</f>
        <v>9636754.90909091</v>
      </c>
      <c r="BH14" s="0" t="n">
        <f aca="false">BH8*Inputs!$B$15</f>
        <v>10555458.8770909</v>
      </c>
      <c r="BI14" s="0" t="n">
        <f aca="false">BI8*Inputs!$B$15</f>
        <v>9925857.55636364</v>
      </c>
      <c r="BJ14" s="0" t="n">
        <f aca="false">BJ8*Inputs!$B$15</f>
        <v>8962182.06545454</v>
      </c>
      <c r="BK14" s="0" t="n">
        <f aca="false">BK8*Inputs!$B$15</f>
        <v>8777749.74109091</v>
      </c>
      <c r="BL14" s="0" t="n">
        <f aca="false">BL8*Inputs!$B$15</f>
        <v>8784334.69963636</v>
      </c>
      <c r="BM14" s="0" t="n">
        <f aca="false">BM8*Inputs!$B$15</f>
        <v>10614953.1752727</v>
      </c>
      <c r="BN14" s="0" t="n">
        <f aca="false">BN8*Inputs!$B$15</f>
        <v>10667632.8436364</v>
      </c>
      <c r="BO14" s="0" t="n">
        <f aca="false">BO8*Inputs!$B$15</f>
        <v>10410819.4603636</v>
      </c>
      <c r="BP14" s="0" t="n">
        <f aca="false">BP8*Inputs!$B$15</f>
        <v>9581114.68363636</v>
      </c>
      <c r="BQ14" s="0" t="n">
        <f aca="false">BQ8*Inputs!$B$15</f>
        <v>10512886.3178182</v>
      </c>
      <c r="BR14" s="0" t="n">
        <f aca="false">BR8*Inputs!$B$15</f>
        <v>11125287.4625455</v>
      </c>
      <c r="BS14" s="0" t="n">
        <f aca="false">BS8*Inputs!$B$15</f>
        <v>9877437.81818182</v>
      </c>
      <c r="BT14" s="0" t="n">
        <f aca="false">BT8*Inputs!$B$15</f>
        <v>10819086.8901818</v>
      </c>
      <c r="BU14" s="0" t="n">
        <f aca="false">BU8*Inputs!$B$15</f>
        <v>10173760.9527273</v>
      </c>
      <c r="BV14" s="0" t="n">
        <f aca="false">BV8*Inputs!$B$15</f>
        <v>9186017.17090909</v>
      </c>
      <c r="BW14" s="0" t="n">
        <f aca="false">BW8*Inputs!$B$15</f>
        <v>8995830.48</v>
      </c>
      <c r="BX14" s="0" t="n">
        <f aca="false">BX8*Inputs!$B$15</f>
        <v>8692145.28</v>
      </c>
      <c r="BY14" s="0" t="n">
        <f aca="false">BY8*Inputs!$B$15</f>
        <v>10878678.72</v>
      </c>
      <c r="BZ14" s="0" t="n">
        <f aca="false">BZ8*Inputs!$B$15</f>
        <v>10932667.2</v>
      </c>
      <c r="CA14" s="0" t="n">
        <f aca="false">CA8*Inputs!$B$15</f>
        <v>10669473.36</v>
      </c>
      <c r="CB14" s="0" t="n">
        <f aca="false">CB8*Inputs!$B$15</f>
        <v>9819154.8</v>
      </c>
      <c r="CC14" s="0" t="n">
        <f aca="false">CC8*Inputs!$B$15</f>
        <v>10774076.04</v>
      </c>
      <c r="CD14" s="0" t="n">
        <f aca="false">CD8*Inputs!$B$15</f>
        <v>11401692.12</v>
      </c>
      <c r="CE14" s="0" t="n">
        <f aca="false">CE8*Inputs!$B$15</f>
        <v>10122840</v>
      </c>
      <c r="CF14" s="0" t="n">
        <f aca="false">CF8*Inputs!$B$15</f>
        <v>11087884.08</v>
      </c>
      <c r="CG14" s="0" t="n">
        <f aca="false">CG8*Inputs!$B$15</f>
        <v>10426525.2</v>
      </c>
      <c r="CH14" s="0" t="n">
        <f aca="false">CH8*Inputs!$B$15</f>
        <v>9414241.2</v>
      </c>
      <c r="CI14" s="0" t="n">
        <f aca="false">CI8*Inputs!$B$15</f>
        <v>9222298.93963636</v>
      </c>
      <c r="CJ14" s="0" t="n">
        <f aca="false">CJ8*Inputs!$B$15</f>
        <v>8910968.51781818</v>
      </c>
      <c r="CK14" s="0" t="n">
        <f aca="false">CK8*Inputs!$B$15</f>
        <v>11152547.5549091</v>
      </c>
      <c r="CL14" s="0" t="n">
        <f aca="false">CL8*Inputs!$B$15</f>
        <v>11207895.1854545</v>
      </c>
      <c r="CM14" s="0" t="n">
        <f aca="false">CM8*Inputs!$B$15</f>
        <v>10938075.4865455</v>
      </c>
      <c r="CN14" s="0" t="n">
        <f aca="false">CN8*Inputs!$B$15</f>
        <v>10066350.3054545</v>
      </c>
      <c r="CO14" s="0" t="n">
        <f aca="false">CO8*Inputs!$B$15</f>
        <v>11045311.5207273</v>
      </c>
      <c r="CP14" s="0" t="n">
        <f aca="false">CP8*Inputs!$B$15</f>
        <v>11688727.7258182</v>
      </c>
      <c r="CQ14" s="0" t="n">
        <f aca="false">CQ8*Inputs!$B$15</f>
        <v>10377680.7272727</v>
      </c>
      <c r="CR14" s="0" t="n">
        <f aca="false">CR8*Inputs!$B$15</f>
        <v>11367019.6232727</v>
      </c>
      <c r="CS14" s="0" t="n">
        <f aca="false">CS8*Inputs!$B$15</f>
        <v>10689011.1490909</v>
      </c>
      <c r="CT14" s="0" t="n">
        <f aca="false">CT8*Inputs!$B$15</f>
        <v>9651243.07636364</v>
      </c>
      <c r="CU14" s="0" t="n">
        <f aca="false">CU8*Inputs!$B$15</f>
        <v>9452961.25963637</v>
      </c>
      <c r="CV14" s="0" t="n">
        <f aca="false">CV8*Inputs!$B$15</f>
        <v>9133844.03781818</v>
      </c>
      <c r="CW14" s="0" t="n">
        <f aca="false">CW8*Inputs!$B$15</f>
        <v>11431488.0349091</v>
      </c>
      <c r="CX14" s="0" t="n">
        <f aca="false">CX8*Inputs!$B$15</f>
        <v>11488219.9854545</v>
      </c>
      <c r="CY14" s="0" t="n">
        <f aca="false">CY8*Inputs!$B$15</f>
        <v>11211651.7265455</v>
      </c>
      <c r="CZ14" s="0" t="n">
        <f aca="false">CZ8*Inputs!$B$15</f>
        <v>10318123.5054545</v>
      </c>
      <c r="DA14" s="0" t="n">
        <f aca="false">DA8*Inputs!$B$15</f>
        <v>11321569.8807273</v>
      </c>
      <c r="DB14" s="0" t="n">
        <f aca="false">DB8*Inputs!$B$15</f>
        <v>11981078.8058182</v>
      </c>
      <c r="DC14" s="0" t="n">
        <f aca="false">DC8*Inputs!$B$15</f>
        <v>10637240.7272727</v>
      </c>
      <c r="DD14" s="0" t="n">
        <f aca="false">DD8*Inputs!$B$15</f>
        <v>11651324.3432727</v>
      </c>
      <c r="DE14" s="0" t="n">
        <f aca="false">DE8*Inputs!$B$15</f>
        <v>10956357.9490909</v>
      </c>
      <c r="DF14" s="0" t="n">
        <f aca="false">DF8*Inputs!$B$15</f>
        <v>9892633.87636364</v>
      </c>
      <c r="DG14" s="0" t="n">
        <f aca="false">DG8*Inputs!$B$15</f>
        <v>9687817.44</v>
      </c>
      <c r="DH14" s="0" t="n">
        <f aca="false">DH8*Inputs!$B$15</f>
        <v>9695085.12</v>
      </c>
      <c r="DI14" s="0" t="n">
        <f aca="false">DI8*Inputs!$B$15</f>
        <v>11715500.16</v>
      </c>
      <c r="DJ14" s="0" t="n">
        <f aca="false">DJ8*Inputs!$B$15</f>
        <v>11773641.6</v>
      </c>
      <c r="DK14" s="0" t="n">
        <f aca="false">DK8*Inputs!$B$15</f>
        <v>11490202.08</v>
      </c>
      <c r="DL14" s="0" t="n">
        <f aca="false">DL8*Inputs!$B$15</f>
        <v>10574474.4</v>
      </c>
      <c r="DM14" s="0" t="n">
        <f aca="false">DM8*Inputs!$B$15</f>
        <v>11602851.12</v>
      </c>
      <c r="DN14" s="0" t="n">
        <f aca="false">DN8*Inputs!$B$15</f>
        <v>12278745.36</v>
      </c>
      <c r="DO14" s="0" t="n">
        <f aca="false">DO8*Inputs!$B$15</f>
        <v>10901520</v>
      </c>
      <c r="DP14" s="0" t="n">
        <f aca="false">DP8*Inputs!$B$15</f>
        <v>11940798.24</v>
      </c>
      <c r="DQ14" s="0" t="n">
        <f aca="false">DQ8*Inputs!$B$15</f>
        <v>11228565.6</v>
      </c>
      <c r="DR14" s="0" t="n">
        <f aca="false">DR8*Inputs!$B$15</f>
        <v>10138413.6</v>
      </c>
    </row>
    <row r="15" customFormat="false" ht="15" hidden="false" customHeight="false" outlineLevel="0" collapsed="false">
      <c r="A15" s="0" t="s">
        <v>30</v>
      </c>
      <c r="B15" s="3" t="n">
        <f aca="false">B11-B12-B13-B14</f>
        <v>0</v>
      </c>
      <c r="C15" s="3" t="n">
        <f aca="false">C11-C12-C13-C14</f>
        <v>7706546.27840909</v>
      </c>
      <c r="D15" s="3" t="n">
        <f aca="false">D11-D12-D13-D14</f>
        <v>8281769.09090911</v>
      </c>
      <c r="E15" s="3" t="n">
        <f aca="false">E11-E12-E13-E14</f>
        <v>29626400.5681818</v>
      </c>
      <c r="F15" s="3" t="n">
        <f aca="false">F11-F12-F13-F14</f>
        <v>33764367.0454546</v>
      </c>
      <c r="G15" s="3" t="n">
        <f aca="false">G11-G12-G13-G14</f>
        <v>35053502.7556818</v>
      </c>
      <c r="H15" s="3" t="n">
        <f aca="false">H11-H12-H13-H14</f>
        <v>30626788.0681818</v>
      </c>
      <c r="I15" s="3" t="n">
        <f aca="false">I11-I12-I13-I14</f>
        <v>43264637.8835227</v>
      </c>
      <c r="J15" s="3" t="n">
        <f aca="false">J11-J12-J13-J14</f>
        <v>53237819.1761364</v>
      </c>
      <c r="K15" s="3" t="n">
        <f aca="false">K11-K12-K13-K14</f>
        <v>43722769.8863636</v>
      </c>
      <c r="L15" s="3" t="n">
        <f aca="false">L11-L12-L13-L14</f>
        <v>57537211.8181818</v>
      </c>
      <c r="M15" s="3" t="n">
        <f aca="false">M11-M12-M13-M14</f>
        <v>53919901.5625</v>
      </c>
      <c r="N15" s="3" t="n">
        <f aca="false">N11-N12-N13-N14</f>
        <v>45837225.2840909</v>
      </c>
      <c r="O15" s="3" t="n">
        <f aca="false">O11-O12-O13-O14</f>
        <v>45162724.1136364</v>
      </c>
      <c r="P15" s="3" t="n">
        <f aca="false">P11-P12-P13-P14</f>
        <v>48352687.0181818</v>
      </c>
      <c r="Q15" s="3" t="n">
        <f aca="false">Q11-Q12-Q13-Q14</f>
        <v>75428924.3818182</v>
      </c>
      <c r="R15" s="3" t="n">
        <f aca="false">R11-R12-R13-R14</f>
        <v>79893474.3636364</v>
      </c>
      <c r="S15" s="3" t="n">
        <f aca="false">S11-S12-S13-S14</f>
        <v>80124158.3136364</v>
      </c>
      <c r="T15" s="3" t="n">
        <f aca="false">T11-T12-T13-T14</f>
        <v>72064200.9090909</v>
      </c>
      <c r="U15" s="3" t="n">
        <f aca="false">U11-U12-U13-U14</f>
        <v>85252798.4545454</v>
      </c>
      <c r="V15" s="3" t="n">
        <f aca="false">V11-V12-V13-V14</f>
        <v>93920922.6363637</v>
      </c>
      <c r="W15" s="3" t="n">
        <f aca="false">W11-W12-W13-W14</f>
        <v>76258454.5454545</v>
      </c>
      <c r="X15" s="3" t="n">
        <f aca="false">X11-X12-X13-X14</f>
        <v>89586860.5454546</v>
      </c>
      <c r="Y15" s="3" t="n">
        <f aca="false">Y11-Y12-Y13-Y14</f>
        <v>80452708.1818182</v>
      </c>
      <c r="Z15" s="3" t="n">
        <f aca="false">Z11-Z12-Z13-Z14</f>
        <v>66471862.7272727</v>
      </c>
      <c r="AA15" s="3" t="n">
        <f aca="false">AA11-AA12-AA13-AA14</f>
        <v>62249758.5454546</v>
      </c>
      <c r="AB15" s="3" t="n">
        <f aca="false">AB11-AB12-AB13-AB14</f>
        <v>57949321.2727273</v>
      </c>
      <c r="AC15" s="3" t="n">
        <f aca="false">AC11-AC12-AC13-AC14</f>
        <v>88912469.6363637</v>
      </c>
      <c r="AD15" s="3" t="n">
        <f aca="false">AD11-AD12-AD13-AD14</f>
        <v>89676991.8181818</v>
      </c>
      <c r="AE15" s="3" t="n">
        <f aca="false">AE11-AE12-AE13-AE14</f>
        <v>85949946.1818182</v>
      </c>
      <c r="AF15" s="3" t="n">
        <f aca="false">AF11-AF12-AF13-AF14</f>
        <v>73908721.8181818</v>
      </c>
      <c r="AG15" s="3" t="n">
        <f aca="false">AG11-AG12-AG13-AG14</f>
        <v>87431207.9090909</v>
      </c>
      <c r="AH15" s="3" t="n">
        <f aca="false">AH11-AH12-AH13-AH14</f>
        <v>96318778.2727273</v>
      </c>
      <c r="AI15" s="3" t="n">
        <f aca="false">AI11-AI12-AI13-AI14</f>
        <v>78209159.0909091</v>
      </c>
      <c r="AJ15" s="3" t="n">
        <f aca="false">AJ11-AJ12-AJ13-AJ14</f>
        <v>91874993.0909091</v>
      </c>
      <c r="AK15" s="3" t="n">
        <f aca="false">AK11-AK12-AK13-AK14</f>
        <v>82509596.3636363</v>
      </c>
      <c r="AL15" s="3" t="n">
        <f aca="false">AL11-AL12-AL13-AL14</f>
        <v>68174805.4545455</v>
      </c>
      <c r="AM15" s="3" t="n">
        <f aca="false">AM11-AM12-AM13-AM14</f>
        <v>63766685.0681819</v>
      </c>
      <c r="AN15" s="3" t="n">
        <f aca="false">AN11-AN12-AN13-AN14</f>
        <v>59360064.159091</v>
      </c>
      <c r="AO15" s="3" t="n">
        <f aca="false">AO11-AO12-AO13-AO14</f>
        <v>91087734.7045455</v>
      </c>
      <c r="AP15" s="3" t="n">
        <f aca="false">AP11-AP12-AP13-AP14</f>
        <v>91871133.9772728</v>
      </c>
      <c r="AQ15" s="3" t="n">
        <f aca="false">AQ11-AQ12-AQ13-AQ14</f>
        <v>88052062.5227273</v>
      </c>
      <c r="AR15" s="3" t="n">
        <f aca="false">AR11-AR12-AR13-AR14</f>
        <v>75713523.9772727</v>
      </c>
      <c r="AS15" s="3" t="n">
        <f aca="false">AS11-AS12-AS13-AS14</f>
        <v>89569898.6136364</v>
      </c>
      <c r="AT15" s="3" t="n">
        <f aca="false">AT11-AT12-AT13-AT14</f>
        <v>98676915.159091</v>
      </c>
      <c r="AU15" s="3" t="n">
        <f aca="false">AU11-AU12-AU13-AU14</f>
        <v>80120144.8863637</v>
      </c>
      <c r="AV15" s="3" t="n">
        <f aca="false">AV11-AV12-AV13-AV14</f>
        <v>94123406.8863637</v>
      </c>
      <c r="AW15" s="3" t="n">
        <f aca="false">AW11-AW12-AW13-AW14</f>
        <v>84526765.7954546</v>
      </c>
      <c r="AX15" s="3" t="n">
        <f aca="false">AX11-AX12-AX13-AX14</f>
        <v>69838029.4318182</v>
      </c>
      <c r="AY15" s="3" t="n">
        <f aca="false">AY11-AY12-AY13-AY14</f>
        <v>65373958.0085228</v>
      </c>
      <c r="AZ15" s="3" t="n">
        <f aca="false">AZ11-AZ12-AZ13-AZ14</f>
        <v>60856729.1448864</v>
      </c>
      <c r="BA15" s="3" t="n">
        <f aca="false">BA11-BA12-BA13-BA14</f>
        <v>93380776.9630683</v>
      </c>
      <c r="BB15" s="3" t="n">
        <f aca="false">BB11-BB12-BB13-BB14</f>
        <v>94183839.8721591</v>
      </c>
      <c r="BC15" s="3" t="n">
        <f aca="false">BC11-BC12-BC13-BC14</f>
        <v>90268908.190341</v>
      </c>
      <c r="BD15" s="3" t="n">
        <f aca="false">BD11-BD12-BD13-BD14</f>
        <v>77620667.3721591</v>
      </c>
      <c r="BE15" s="3" t="n">
        <f aca="false">BE11-BE12-BE13-BE14</f>
        <v>91824842.5767046</v>
      </c>
      <c r="BF15" s="3" t="n">
        <f aca="false">BF11-BF12-BF13-BF14</f>
        <v>101160448.894886</v>
      </c>
      <c r="BG15" s="3" t="n">
        <f aca="false">BG11-BG12-BG13-BG14</f>
        <v>82137896.2357955</v>
      </c>
      <c r="BH15" s="3" t="n">
        <f aca="false">BH11-BH12-BH13-BH14</f>
        <v>96492645.7357955</v>
      </c>
      <c r="BI15" s="3" t="n">
        <f aca="false">BI11-BI12-BI13-BI14</f>
        <v>86655125.0994318</v>
      </c>
      <c r="BJ15" s="3" t="n">
        <f aca="false">BJ11-BJ12-BJ13-BJ14</f>
        <v>71597695.5539773</v>
      </c>
      <c r="BK15" s="3" t="n">
        <f aca="false">BK11-BK12-BK13-BK14</f>
        <v>67005030.5053267</v>
      </c>
      <c r="BL15" s="3" t="n">
        <f aca="false">BL11-BL12-BL13-BL14</f>
        <v>67107920.4825994</v>
      </c>
      <c r="BM15" s="3" t="n">
        <f aca="false">BM11-BM12-BM13-BM14</f>
        <v>95711334.1644176</v>
      </c>
      <c r="BN15" s="3" t="n">
        <f aca="false">BN11-BN12-BN13-BN14</f>
        <v>96534453.9825995</v>
      </c>
      <c r="BO15" s="3" t="n">
        <f aca="false">BO11-BO12-BO13-BO14</f>
        <v>92521744.8689631</v>
      </c>
      <c r="BP15" s="3" t="n">
        <f aca="false">BP11-BP12-BP13-BP14</f>
        <v>79557607.7325995</v>
      </c>
      <c r="BQ15" s="3" t="n">
        <f aca="false">BQ11-BQ12-BQ13-BQ14</f>
        <v>94116539.5166904</v>
      </c>
      <c r="BR15" s="3" t="n">
        <f aca="false">BR11-BR12-BR13-BR14</f>
        <v>103685307.403054</v>
      </c>
      <c r="BS15" s="3" t="n">
        <f aca="false">BS11-BS12-BS13-BS14</f>
        <v>84187656.7098722</v>
      </c>
      <c r="BT15" s="3" t="n">
        <f aca="false">BT11-BT12-BT13-BT14</f>
        <v>98900923.4598722</v>
      </c>
      <c r="BU15" s="3" t="n">
        <f aca="false">BU11-BU12-BU13-BU14</f>
        <v>88817705.6871449</v>
      </c>
      <c r="BV15" s="3" t="n">
        <f aca="false">BV11-BV12-BV13-BV14</f>
        <v>73384209.0962358</v>
      </c>
      <c r="BW15" s="3" t="n">
        <f aca="false">BW11-BW12-BW13-BW14</f>
        <v>68658859.3208008</v>
      </c>
      <c r="BX15" s="3" t="n">
        <f aca="false">BX11-BX12-BX13-BX14</f>
        <v>63913778.0708008</v>
      </c>
      <c r="BY15" s="3" t="n">
        <f aca="false">BY11-BY12-BY13-BY14</f>
        <v>98078363.0708009</v>
      </c>
      <c r="BZ15" s="3" t="n">
        <f aca="false">BZ11-BZ12-BZ13-BZ14</f>
        <v>98921933.0708008</v>
      </c>
      <c r="CA15" s="3" t="n">
        <f aca="false">CA11-CA12-CA13-CA14</f>
        <v>94809529.3208009</v>
      </c>
      <c r="CB15" s="3" t="n">
        <f aca="false">CB11-CB12-CB13-CB14</f>
        <v>81523301.8208008</v>
      </c>
      <c r="CC15" s="3" t="n">
        <f aca="false">CC11-CC12-CC13-CC14</f>
        <v>96443946.1958008</v>
      </c>
      <c r="CD15" s="3" t="n">
        <f aca="false">CD11-CD12-CD13-CD14</f>
        <v>106250447.445801</v>
      </c>
      <c r="CE15" s="3" t="n">
        <f aca="false">CE11-CE12-CE13-CE14</f>
        <v>86268383.0708008</v>
      </c>
      <c r="CF15" s="3" t="n">
        <f aca="false">CF11-CF12-CF13-CF14</f>
        <v>101347196.820801</v>
      </c>
      <c r="CG15" s="3" t="n">
        <f aca="false">CG11-CG12-CG13-CG14</f>
        <v>91013464.3208008</v>
      </c>
      <c r="CH15" s="3" t="n">
        <f aca="false">CH11-CH12-CH13-CH14</f>
        <v>75196526.8208008</v>
      </c>
      <c r="CI15" s="3" t="n">
        <f aca="false">CI11-CI12-CI13-CI14</f>
        <v>70399904.204389</v>
      </c>
      <c r="CJ15" s="3" t="n">
        <f aca="false">CJ11-CJ12-CJ13-CJ14</f>
        <v>65535366.3634799</v>
      </c>
      <c r="CK15" s="3" t="n">
        <f aca="false">CK11-CK12-CK13-CK14</f>
        <v>100560038.818025</v>
      </c>
      <c r="CL15" s="3" t="n">
        <f aca="false">CL11-CL12-CL13-CL14</f>
        <v>101424845.545298</v>
      </c>
      <c r="CM15" s="3" t="n">
        <f aca="false">CM11-CM12-CM13-CM14</f>
        <v>97208912.7498436</v>
      </c>
      <c r="CN15" s="3" t="n">
        <f aca="false">CN11-CN12-CN13-CN14</f>
        <v>83588206.7952981</v>
      </c>
      <c r="CO15" s="3" t="n">
        <f aca="false">CO11-CO12-CO13-CO14</f>
        <v>98884475.7839344</v>
      </c>
      <c r="CP15" s="3" t="n">
        <f aca="false">CP11-CP12-CP13-CP14</f>
        <v>108937853.98848</v>
      </c>
      <c r="CQ15" s="3" t="n">
        <f aca="false">CQ11-CQ12-CQ13-CQ14</f>
        <v>88452744.6362072</v>
      </c>
      <c r="CR15" s="3" t="n">
        <f aca="false">CR11-CR12-CR13-CR14</f>
        <v>103911164.886207</v>
      </c>
      <c r="CS15" s="3" t="n">
        <f aca="false">CS11-CS12-CS13-CS14</f>
        <v>93317282.4771163</v>
      </c>
      <c r="CT15" s="3" t="n">
        <f aca="false">CT11-CT12-CT13-CT14</f>
        <v>77102156.3407527</v>
      </c>
      <c r="CU15" s="3" t="n">
        <f aca="false">CU11-CU12-CU13-CU14</f>
        <v>72161540.0362033</v>
      </c>
      <c r="CV15" s="3" t="n">
        <f aca="false">CV11-CV12-CV13-CV14</f>
        <v>67175333.4452942</v>
      </c>
      <c r="CW15" s="3" t="n">
        <f aca="false">CW11-CW12-CW13-CW14</f>
        <v>103076020.89984</v>
      </c>
      <c r="CX15" s="3" t="n">
        <f aca="false">CX11-CX12-CX13-CX14</f>
        <v>103962457.627112</v>
      </c>
      <c r="CY15" s="3" t="n">
        <f aca="false">CY11-CY12-CY13-CY14</f>
        <v>99641078.5816579</v>
      </c>
      <c r="CZ15" s="3" t="n">
        <f aca="false">CZ11-CZ12-CZ13-CZ14</f>
        <v>85679700.1271124</v>
      </c>
      <c r="DA15" s="3" t="n">
        <f aca="false">DA11-DA12-DA13-DA14</f>
        <v>101358549.740749</v>
      </c>
      <c r="DB15" s="3" t="n">
        <f aca="false">DB11-DB12-DB13-DB14</f>
        <v>111438486.921872</v>
      </c>
      <c r="DC15" s="3" t="n">
        <f aca="false">DC11-DC12-DC13-DC14</f>
        <v>90665906.7180215</v>
      </c>
      <c r="DD15" s="3" t="n">
        <f aca="false">DD11-DD12-DD13-DD14</f>
        <v>106510963.218021</v>
      </c>
      <c r="DE15" s="3" t="n">
        <f aca="false">DE11-DE12-DE13-DE14</f>
        <v>95652113.3089306</v>
      </c>
      <c r="DF15" s="3" t="n">
        <f aca="false">DF11-DF12-DF13-DF14</f>
        <v>79031424.672567</v>
      </c>
      <c r="DG15" s="3" t="n">
        <f aca="false">DG11-DG12-DG13-DG14</f>
        <v>73942643.3632448</v>
      </c>
      <c r="DH15" s="3" t="n">
        <f aca="false">DH11-DH12-DH13-DH14</f>
        <v>74056200.8632447</v>
      </c>
      <c r="DI15" s="3" t="n">
        <f aca="false">DI11-DI12-DI13-DI14</f>
        <v>105625185.863245</v>
      </c>
      <c r="DJ15" s="3" t="n">
        <f aca="false">DJ11-DJ12-DJ13-DJ14</f>
        <v>106533645.863245</v>
      </c>
      <c r="DK15" s="3" t="n">
        <f aca="false">DK11-DK12-DK13-DK14</f>
        <v>102104903.363245</v>
      </c>
      <c r="DL15" s="3" t="n">
        <f aca="false">DL11-DL12-DL13-DL14</f>
        <v>87796658.3632448</v>
      </c>
      <c r="DM15" s="3" t="n">
        <f aca="false">DM11-DM12-DM13-DM14</f>
        <v>103865044.613245</v>
      </c>
      <c r="DN15" s="3" t="n">
        <f aca="false">DN11-DN12-DN13-DN14</f>
        <v>113956187.782052</v>
      </c>
      <c r="DO15" s="3" t="n">
        <f aca="false">DO11-DO12-DO13-DO14</f>
        <v>92906745.8632448</v>
      </c>
      <c r="DP15" s="3" t="n">
        <f aca="false">DP11-DP12-DP13-DP14</f>
        <v>109125233.701652</v>
      </c>
      <c r="DQ15" s="3" t="n">
        <f aca="false">DQ11-DQ12-DQ13-DQ14</f>
        <v>98016833.3632448</v>
      </c>
      <c r="DR15" s="3" t="n">
        <f aca="false">DR11-DR12-DR13-DR14</f>
        <v>80983208.3632448</v>
      </c>
    </row>
    <row r="16" customFormat="false" ht="15" hidden="false" customHeight="false" outlineLevel="0" collapsed="false">
      <c r="A16" s="0" t="s">
        <v>31</v>
      </c>
      <c r="B16" s="0" t="n">
        <f aca="false">0</f>
        <v>0</v>
      </c>
      <c r="C16" s="0" t="n">
        <f aca="false">Inputs!$B$16*Inputs!$B$17*Inputs!$B$18/12</f>
        <v>13303125</v>
      </c>
      <c r="D16" s="0" t="n">
        <f aca="false">Inputs!$B$16*Inputs!$B$17*Inputs!$B$18/12</f>
        <v>13303125</v>
      </c>
      <c r="E16" s="0" t="n">
        <f aca="false">Inputs!$B$16*Inputs!$B$17*Inputs!$B$18/12</f>
        <v>13303125</v>
      </c>
      <c r="F16" s="0" t="n">
        <f aca="false">Inputs!$B$16*Inputs!$B$17*Inputs!$B$18/12</f>
        <v>13303125</v>
      </c>
      <c r="G16" s="0" t="n">
        <f aca="false">Inputs!$B$16*Inputs!$B$17*Inputs!$B$18/12</f>
        <v>13303125</v>
      </c>
      <c r="H16" s="0" t="n">
        <f aca="false">Inputs!$B$16*Inputs!$B$17*Inputs!$B$18/12</f>
        <v>13303125</v>
      </c>
      <c r="I16" s="0" t="n">
        <f aca="false">Inputs!$B$16*Inputs!$B$17*Inputs!$B$18/12</f>
        <v>13303125</v>
      </c>
      <c r="J16" s="0" t="n">
        <f aca="false">Inputs!$B$16*Inputs!$B$17*Inputs!$B$18/12</f>
        <v>13303125</v>
      </c>
      <c r="K16" s="0" t="n">
        <f aca="false">Inputs!$B$16*Inputs!$B$17*Inputs!$B$18/12</f>
        <v>13303125</v>
      </c>
      <c r="L16" s="0" t="n">
        <f aca="false">Inputs!$B$16*Inputs!$B$17*Inputs!$B$18/12</f>
        <v>13303125</v>
      </c>
      <c r="M16" s="0" t="n">
        <f aca="false">Inputs!$B$16*Inputs!$B$17*Inputs!$B$18/12</f>
        <v>13303125</v>
      </c>
      <c r="N16" s="0" t="n">
        <f aca="false">Inputs!$B$16*Inputs!$B$17*Inputs!$B$18/12</f>
        <v>13303125</v>
      </c>
      <c r="O16" s="0" t="n">
        <f aca="false">Inputs!$B$16*Inputs!$B$17*Inputs!$B$18/12</f>
        <v>13303125</v>
      </c>
      <c r="P16" s="0" t="n">
        <f aca="false">Inputs!$B$16*Inputs!$B$17*Inputs!$B$18/12</f>
        <v>13303125</v>
      </c>
      <c r="Q16" s="0" t="n">
        <f aca="false">Inputs!$B$16*Inputs!$B$17*Inputs!$B$18/12</f>
        <v>13303125</v>
      </c>
      <c r="R16" s="0" t="n">
        <f aca="false">Inputs!$B$16*Inputs!$B$17*Inputs!$B$18/12</f>
        <v>13303125</v>
      </c>
      <c r="S16" s="0" t="n">
        <f aca="false">Inputs!$B$16*Inputs!$B$17*Inputs!$B$18/12</f>
        <v>13303125</v>
      </c>
      <c r="T16" s="0" t="n">
        <f aca="false">Inputs!$B$16*Inputs!$B$17*Inputs!$B$18/12</f>
        <v>13303125</v>
      </c>
      <c r="U16" s="0" t="n">
        <f aca="false">Inputs!$B$16*Inputs!$B$17*Inputs!$B$18/12</f>
        <v>13303125</v>
      </c>
      <c r="V16" s="0" t="n">
        <f aca="false">Inputs!$B$16*Inputs!$B$17*Inputs!$B$18/12</f>
        <v>13303125</v>
      </c>
      <c r="W16" s="0" t="n">
        <f aca="false">Inputs!$B$16*Inputs!$B$17*Inputs!$B$18/12</f>
        <v>13303125</v>
      </c>
      <c r="X16" s="0" t="n">
        <f aca="false">Inputs!$B$16*Inputs!$B$17*Inputs!$B$18/12</f>
        <v>13303125</v>
      </c>
      <c r="Y16" s="0" t="n">
        <f aca="false">Inputs!$B$16*Inputs!$B$17*Inputs!$B$18/12</f>
        <v>13303125</v>
      </c>
      <c r="Z16" s="0" t="n">
        <f aca="false">Inputs!$B$16*Inputs!$B$17*Inputs!$B$18/12</f>
        <v>13303125</v>
      </c>
      <c r="AA16" s="0" t="n">
        <f aca="false">Inputs!$B$16*Inputs!$B$17*Inputs!$B$18/12</f>
        <v>13303125</v>
      </c>
      <c r="AB16" s="0" t="n">
        <f aca="false">Inputs!$B$16*Inputs!$B$17*Inputs!$B$18/12</f>
        <v>13303125</v>
      </c>
      <c r="AC16" s="0" t="n">
        <f aca="false">Inputs!$B$16*Inputs!$B$17*Inputs!$B$18/12</f>
        <v>13303125</v>
      </c>
      <c r="AD16" s="0" t="n">
        <f aca="false">Inputs!$B$16*Inputs!$B$17*Inputs!$B$18/12</f>
        <v>13303125</v>
      </c>
      <c r="AE16" s="0" t="n">
        <f aca="false">Inputs!$B$16*Inputs!$B$17*Inputs!$B$18/12</f>
        <v>13303125</v>
      </c>
      <c r="AF16" s="0" t="n">
        <f aca="false">Inputs!$B$16*Inputs!$B$17*Inputs!$B$18/12</f>
        <v>13303125</v>
      </c>
      <c r="AG16" s="0" t="n">
        <f aca="false">Inputs!$B$16*Inputs!$B$17*Inputs!$B$18/12</f>
        <v>13303125</v>
      </c>
      <c r="AH16" s="0" t="n">
        <f aca="false">Inputs!$B$16*Inputs!$B$17*Inputs!$B$18/12</f>
        <v>13303125</v>
      </c>
      <c r="AI16" s="0" t="n">
        <f aca="false">Inputs!$B$16*Inputs!$B$17*Inputs!$B$18/12</f>
        <v>13303125</v>
      </c>
      <c r="AJ16" s="0" t="n">
        <f aca="false">Inputs!$B$16*Inputs!$B$17*Inputs!$B$18/12</f>
        <v>13303125</v>
      </c>
      <c r="AK16" s="0" t="n">
        <f aca="false">Inputs!$B$16*Inputs!$B$17*Inputs!$B$18/12</f>
        <v>13303125</v>
      </c>
      <c r="AL16" s="0" t="n">
        <f aca="false">Inputs!$B$16*Inputs!$B$17*Inputs!$B$18/12</f>
        <v>13303125</v>
      </c>
      <c r="AM16" s="0" t="n">
        <f aca="false">Inputs!$B$16*Inputs!$B$17*Inputs!$B$18/12</f>
        <v>13303125</v>
      </c>
      <c r="AN16" s="0" t="n">
        <f aca="false">Inputs!$B$16*Inputs!$B$17*Inputs!$B$18/12</f>
        <v>13303125</v>
      </c>
      <c r="AO16" s="0" t="n">
        <f aca="false">Inputs!$B$16*Inputs!$B$17*Inputs!$B$18/12</f>
        <v>13303125</v>
      </c>
      <c r="AP16" s="0" t="n">
        <f aca="false">Inputs!$B$16*Inputs!$B$17*Inputs!$B$18/12</f>
        <v>13303125</v>
      </c>
      <c r="AQ16" s="0" t="n">
        <f aca="false">Inputs!$B$16*Inputs!$B$17*Inputs!$B$18/12</f>
        <v>13303125</v>
      </c>
      <c r="AR16" s="0" t="n">
        <f aca="false">Inputs!$B$16*Inputs!$B$17*Inputs!$B$18/12</f>
        <v>13303125</v>
      </c>
      <c r="AS16" s="0" t="n">
        <f aca="false">Inputs!$B$16*Inputs!$B$17*Inputs!$B$18/12</f>
        <v>13303125</v>
      </c>
      <c r="AT16" s="0" t="n">
        <f aca="false">Inputs!$B$16*Inputs!$B$17*Inputs!$B$18/12</f>
        <v>13303125</v>
      </c>
      <c r="AU16" s="0" t="n">
        <f aca="false">Inputs!$B$16*Inputs!$B$17*Inputs!$B$18/12</f>
        <v>13303125</v>
      </c>
      <c r="AV16" s="0" t="n">
        <f aca="false">Inputs!$B$16*Inputs!$B$17*Inputs!$B$18/12</f>
        <v>13303125</v>
      </c>
      <c r="AW16" s="0" t="n">
        <f aca="false">Inputs!$B$16*Inputs!$B$17*Inputs!$B$18/12</f>
        <v>13303125</v>
      </c>
      <c r="AX16" s="0" t="n">
        <f aca="false">Inputs!$B$16*Inputs!$B$17*Inputs!$B$18/12</f>
        <v>13303125</v>
      </c>
      <c r="AY16" s="0" t="n">
        <f aca="false">Inputs!$B$16*Inputs!$B$17*Inputs!$B$18/12</f>
        <v>13303125</v>
      </c>
      <c r="AZ16" s="0" t="n">
        <f aca="false">Inputs!$B$16*Inputs!$B$17*Inputs!$B$18/12</f>
        <v>13303125</v>
      </c>
      <c r="BA16" s="0" t="n">
        <f aca="false">Inputs!$B$16*Inputs!$B$17*Inputs!$B$18/12</f>
        <v>13303125</v>
      </c>
      <c r="BB16" s="0" t="n">
        <f aca="false">Inputs!$B$16*Inputs!$B$17*Inputs!$B$18/12</f>
        <v>13303125</v>
      </c>
      <c r="BC16" s="0" t="n">
        <f aca="false">Inputs!$B$16*Inputs!$B$17*Inputs!$B$18/12</f>
        <v>13303125</v>
      </c>
      <c r="BD16" s="0" t="n">
        <f aca="false">Inputs!$B$16*Inputs!$B$17*Inputs!$B$18/12</f>
        <v>13303125</v>
      </c>
      <c r="BE16" s="0" t="n">
        <f aca="false">Inputs!$B$16*Inputs!$B$17*Inputs!$B$18/12</f>
        <v>13303125</v>
      </c>
      <c r="BF16" s="0" t="n">
        <f aca="false">Inputs!$B$16*Inputs!$B$17*Inputs!$B$18/12</f>
        <v>13303125</v>
      </c>
      <c r="BG16" s="0" t="n">
        <f aca="false">Inputs!$B$16*Inputs!$B$17*Inputs!$B$18/12</f>
        <v>13303125</v>
      </c>
      <c r="BH16" s="0" t="n">
        <f aca="false">Inputs!$B$16*Inputs!$B$17*Inputs!$B$18/12</f>
        <v>13303125</v>
      </c>
      <c r="BI16" s="0" t="n">
        <f aca="false">Inputs!$B$16*Inputs!$B$17*Inputs!$B$18/12</f>
        <v>13303125</v>
      </c>
      <c r="BJ16" s="0" t="n">
        <f aca="false">Inputs!$B$16*Inputs!$B$17*Inputs!$B$18/12</f>
        <v>13303125</v>
      </c>
      <c r="BK16" s="0" t="n">
        <f aca="false">Inputs!$B$16*Inputs!$B$17*Inputs!$B$18/12</f>
        <v>13303125</v>
      </c>
      <c r="BL16" s="0" t="n">
        <f aca="false">Inputs!$B$16*Inputs!$B$17*Inputs!$B$18/12</f>
        <v>13303125</v>
      </c>
      <c r="BM16" s="0" t="n">
        <f aca="false">Inputs!$B$16*Inputs!$B$17*Inputs!$B$18/12</f>
        <v>13303125</v>
      </c>
      <c r="BN16" s="0" t="n">
        <f aca="false">Inputs!$B$16*Inputs!$B$17*Inputs!$B$18/12</f>
        <v>13303125</v>
      </c>
      <c r="BO16" s="0" t="n">
        <f aca="false">Inputs!$B$16*Inputs!$B$17*Inputs!$B$18/12</f>
        <v>13303125</v>
      </c>
      <c r="BP16" s="0" t="n">
        <f aca="false">Inputs!$B$16*Inputs!$B$17*Inputs!$B$18/12</f>
        <v>13303125</v>
      </c>
      <c r="BQ16" s="0" t="n">
        <f aca="false">Inputs!$B$16*Inputs!$B$17*Inputs!$B$18/12</f>
        <v>13303125</v>
      </c>
      <c r="BR16" s="0" t="n">
        <f aca="false">Inputs!$B$16*Inputs!$B$17*Inputs!$B$18/12</f>
        <v>13303125</v>
      </c>
      <c r="BS16" s="0" t="n">
        <f aca="false">Inputs!$B$16*Inputs!$B$17*Inputs!$B$18/12</f>
        <v>13303125</v>
      </c>
      <c r="BT16" s="0" t="n">
        <f aca="false">Inputs!$B$16*Inputs!$B$17*Inputs!$B$18/12</f>
        <v>13303125</v>
      </c>
      <c r="BU16" s="0" t="n">
        <f aca="false">Inputs!$B$16*Inputs!$B$17*Inputs!$B$18/12</f>
        <v>13303125</v>
      </c>
      <c r="BV16" s="0" t="n">
        <f aca="false">Inputs!$B$16*Inputs!$B$17*Inputs!$B$18/12</f>
        <v>13303125</v>
      </c>
      <c r="BW16" s="0" t="n">
        <f aca="false">Inputs!$B$16*Inputs!$B$17*Inputs!$B$18/12</f>
        <v>13303125</v>
      </c>
      <c r="BX16" s="0" t="n">
        <f aca="false">Inputs!$B$16*Inputs!$B$17*Inputs!$B$18/12</f>
        <v>13303125</v>
      </c>
      <c r="BY16" s="0" t="n">
        <f aca="false">Inputs!$B$16*Inputs!$B$17*Inputs!$B$18/12</f>
        <v>13303125</v>
      </c>
      <c r="BZ16" s="0" t="n">
        <f aca="false">Inputs!$B$16*Inputs!$B$17*Inputs!$B$18/12</f>
        <v>13303125</v>
      </c>
      <c r="CA16" s="0" t="n">
        <f aca="false">Inputs!$B$16*Inputs!$B$17*Inputs!$B$18/12</f>
        <v>13303125</v>
      </c>
      <c r="CB16" s="0" t="n">
        <f aca="false">Inputs!$B$16*Inputs!$B$17*Inputs!$B$18/12</f>
        <v>13303125</v>
      </c>
      <c r="CC16" s="0" t="n">
        <f aca="false">Inputs!$B$16*Inputs!$B$17*Inputs!$B$18/12</f>
        <v>13303125</v>
      </c>
      <c r="CD16" s="0" t="n">
        <f aca="false">Inputs!$B$16*Inputs!$B$17*Inputs!$B$18/12</f>
        <v>13303125</v>
      </c>
      <c r="CE16" s="0" t="n">
        <f aca="false">Inputs!$B$16*Inputs!$B$17*Inputs!$B$18/12</f>
        <v>13303125</v>
      </c>
      <c r="CF16" s="0" t="n">
        <f aca="false">Inputs!$B$16*Inputs!$B$17*Inputs!$B$18/12</f>
        <v>13303125</v>
      </c>
      <c r="CG16" s="0" t="n">
        <f aca="false">Inputs!$B$16*Inputs!$B$17*Inputs!$B$18/12</f>
        <v>13303125</v>
      </c>
      <c r="CH16" s="0" t="n">
        <f aca="false">Inputs!$B$16*Inputs!$B$17*Inputs!$B$18/12</f>
        <v>13303125</v>
      </c>
      <c r="CI16" s="0" t="n">
        <f aca="false">Inputs!$B$16*Inputs!$B$17*Inputs!$B$18/12</f>
        <v>13303125</v>
      </c>
      <c r="CJ16" s="0" t="n">
        <f aca="false">Inputs!$B$16*Inputs!$B$17*Inputs!$B$18/12</f>
        <v>13303125</v>
      </c>
      <c r="CK16" s="0" t="n">
        <f aca="false">Inputs!$B$16*Inputs!$B$17*Inputs!$B$18/12</f>
        <v>13303125</v>
      </c>
      <c r="CL16" s="0" t="n">
        <f aca="false">Inputs!$B$16*Inputs!$B$17*Inputs!$B$18/12</f>
        <v>13303125</v>
      </c>
      <c r="CM16" s="0" t="n">
        <f aca="false">Inputs!$B$16*Inputs!$B$17*Inputs!$B$18/12</f>
        <v>13303125</v>
      </c>
      <c r="CN16" s="0" t="n">
        <f aca="false">Inputs!$B$16*Inputs!$B$17*Inputs!$B$18/12</f>
        <v>13303125</v>
      </c>
      <c r="CO16" s="0" t="n">
        <f aca="false">Inputs!$B$16*Inputs!$B$17*Inputs!$B$18/12</f>
        <v>13303125</v>
      </c>
      <c r="CP16" s="0" t="n">
        <f aca="false">Inputs!$B$16*Inputs!$B$17*Inputs!$B$18/12</f>
        <v>13303125</v>
      </c>
      <c r="CQ16" s="0" t="n">
        <f aca="false">Inputs!$B$16*Inputs!$B$17*Inputs!$B$18/12</f>
        <v>13303125</v>
      </c>
      <c r="CR16" s="0" t="n">
        <f aca="false">Inputs!$B$16*Inputs!$B$17*Inputs!$B$18/12</f>
        <v>13303125</v>
      </c>
      <c r="CS16" s="0" t="n">
        <f aca="false">Inputs!$B$16*Inputs!$B$17*Inputs!$B$18/12</f>
        <v>13303125</v>
      </c>
      <c r="CT16" s="0" t="n">
        <f aca="false">Inputs!$B$16*Inputs!$B$17*Inputs!$B$18/12</f>
        <v>13303125</v>
      </c>
      <c r="CU16" s="0" t="n">
        <f aca="false">Inputs!$B$16*Inputs!$B$17*Inputs!$B$18/12</f>
        <v>13303125</v>
      </c>
      <c r="CV16" s="0" t="n">
        <f aca="false">Inputs!$B$16*Inputs!$B$17*Inputs!$B$18/12</f>
        <v>13303125</v>
      </c>
      <c r="CW16" s="0" t="n">
        <f aca="false">Inputs!$B$16*Inputs!$B$17*Inputs!$B$18/12</f>
        <v>13303125</v>
      </c>
      <c r="CX16" s="0" t="n">
        <f aca="false">Inputs!$B$16*Inputs!$B$17*Inputs!$B$18/12</f>
        <v>13303125</v>
      </c>
      <c r="CY16" s="0" t="n">
        <f aca="false">Inputs!$B$16*Inputs!$B$17*Inputs!$B$18/12</f>
        <v>13303125</v>
      </c>
      <c r="CZ16" s="0" t="n">
        <f aca="false">Inputs!$B$16*Inputs!$B$17*Inputs!$B$18/12</f>
        <v>13303125</v>
      </c>
      <c r="DA16" s="0" t="n">
        <f aca="false">Inputs!$B$16*Inputs!$B$17*Inputs!$B$18/12</f>
        <v>13303125</v>
      </c>
      <c r="DB16" s="0" t="n">
        <f aca="false">Inputs!$B$16*Inputs!$B$17*Inputs!$B$18/12</f>
        <v>13303125</v>
      </c>
      <c r="DC16" s="0" t="n">
        <f aca="false">Inputs!$B$16*Inputs!$B$17*Inputs!$B$18/12</f>
        <v>13303125</v>
      </c>
      <c r="DD16" s="0" t="n">
        <f aca="false">Inputs!$B$16*Inputs!$B$17*Inputs!$B$18/12</f>
        <v>13303125</v>
      </c>
      <c r="DE16" s="0" t="n">
        <f aca="false">Inputs!$B$16*Inputs!$B$17*Inputs!$B$18/12</f>
        <v>13303125</v>
      </c>
      <c r="DF16" s="0" t="n">
        <f aca="false">Inputs!$B$16*Inputs!$B$17*Inputs!$B$18/12</f>
        <v>13303125</v>
      </c>
      <c r="DG16" s="0" t="n">
        <f aca="false">Inputs!$B$16*Inputs!$B$17*Inputs!$B$18/12</f>
        <v>13303125</v>
      </c>
      <c r="DH16" s="0" t="n">
        <f aca="false">Inputs!$B$16*Inputs!$B$17*Inputs!$B$18/12</f>
        <v>13303125</v>
      </c>
      <c r="DI16" s="0" t="n">
        <f aca="false">Inputs!$B$16*Inputs!$B$17*Inputs!$B$18/12</f>
        <v>13303125</v>
      </c>
      <c r="DJ16" s="0" t="n">
        <f aca="false">Inputs!$B$16*Inputs!$B$17*Inputs!$B$18/12</f>
        <v>13303125</v>
      </c>
      <c r="DK16" s="0" t="n">
        <f aca="false">Inputs!$B$16*Inputs!$B$17*Inputs!$B$18/12</f>
        <v>13303125</v>
      </c>
      <c r="DL16" s="0" t="n">
        <f aca="false">Inputs!$B$16*Inputs!$B$17*Inputs!$B$18/12</f>
        <v>13303125</v>
      </c>
      <c r="DM16" s="0" t="n">
        <f aca="false">Inputs!$B$16*Inputs!$B$17*Inputs!$B$18/12</f>
        <v>13303125</v>
      </c>
      <c r="DN16" s="0" t="n">
        <f aca="false">Inputs!$B$16*Inputs!$B$17*Inputs!$B$18/12</f>
        <v>13303125</v>
      </c>
      <c r="DO16" s="0" t="n">
        <f aca="false">Inputs!$B$16*Inputs!$B$17*Inputs!$B$18/12</f>
        <v>13303125</v>
      </c>
      <c r="DP16" s="0" t="n">
        <f aca="false">Inputs!$B$16*Inputs!$B$17*Inputs!$B$18/12</f>
        <v>13303125</v>
      </c>
      <c r="DQ16" s="0" t="n">
        <f aca="false">Inputs!$B$16*Inputs!$B$17*Inputs!$B$18/12</f>
        <v>13303125</v>
      </c>
      <c r="DR16" s="0" t="n">
        <f aca="false">Inputs!$B$16*Inputs!$B$17*Inputs!$B$18/12</f>
        <v>13303125</v>
      </c>
    </row>
    <row r="17" customFormat="false" ht="15" hidden="false" customHeight="false" outlineLevel="0" collapsed="false">
      <c r="A17" s="0" t="s">
        <v>32</v>
      </c>
      <c r="B17" s="3" t="n">
        <f aca="false">-Inputs!$B$16*(1-Inputs!$B$17)</f>
        <v>-9675000000</v>
      </c>
      <c r="C17" s="3" t="n">
        <f aca="false">C15-C16+IF(C$3=120,SUM(B15:C15)/Inputs!$B$19-Inputs!$B$16*Inputs!$B$17,0)</f>
        <v>-5596578.72159091</v>
      </c>
      <c r="D17" s="3" t="n">
        <f aca="false">D15-D16+IF(D$3=120,SUM(B15:D15)/Inputs!$B$19-Inputs!$B$16*Inputs!$B$17,0)</f>
        <v>-5021355.9090909</v>
      </c>
      <c r="E17" s="3" t="n">
        <f aca="false">E15-E16+IF(E$3=120,SUM(B15:E15)/Inputs!$B$19-Inputs!$B$16*Inputs!$B$17,0)</f>
        <v>16323275.5681818</v>
      </c>
      <c r="F17" s="3" t="n">
        <f aca="false">F15-F16+IF(F$3=120,SUM(B15:F15)/Inputs!$B$19-Inputs!$B$16*Inputs!$B$17,0)</f>
        <v>20461242.0454545</v>
      </c>
      <c r="G17" s="3" t="n">
        <f aca="false">G15-G16+IF(G$3=120,SUM(B15:G15)/Inputs!$B$19-Inputs!$B$16*Inputs!$B$17,0)</f>
        <v>21750377.7556818</v>
      </c>
      <c r="H17" s="3" t="n">
        <f aca="false">H15-H16+IF(H$3=120,SUM(B15:H15)/Inputs!$B$19-Inputs!$B$16*Inputs!$B$17,0)</f>
        <v>17323663.0681818</v>
      </c>
      <c r="I17" s="3" t="n">
        <f aca="false">I15-I16+IF(I$3=120,SUM(B15:I15)/Inputs!$B$19-Inputs!$B$16*Inputs!$B$17,0)</f>
        <v>29961512.8835227</v>
      </c>
      <c r="J17" s="3" t="n">
        <f aca="false">J15-J16+IF(J$3=120,SUM(B15:J15)/Inputs!$B$19-Inputs!$B$16*Inputs!$B$17,0)</f>
        <v>39934694.1761364</v>
      </c>
      <c r="K17" s="3" t="n">
        <f aca="false">K15-K16+IF(K$3=120,SUM(B15:K15)/Inputs!$B$19-Inputs!$B$16*Inputs!$B$17,0)</f>
        <v>30419644.8863636</v>
      </c>
      <c r="L17" s="3" t="n">
        <f aca="false">L15-L16+IF(L$3=120,SUM(B15:L15)/Inputs!$B$19-Inputs!$B$16*Inputs!$B$17,0)</f>
        <v>44234086.8181818</v>
      </c>
      <c r="M17" s="3" t="n">
        <f aca="false">M15-M16+IF(M$3=120,SUM(B15:M15)/Inputs!$B$19-Inputs!$B$16*Inputs!$B$17,0)</f>
        <v>40616776.5625</v>
      </c>
      <c r="N17" s="3" t="n">
        <f aca="false">N15-N16+IF(N$3=120,SUM(C15:N15)/Inputs!$B$19-Inputs!$B$16*Inputs!$B$17,0)</f>
        <v>32534100.2840909</v>
      </c>
      <c r="O17" s="3" t="n">
        <f aca="false">O15-O16+IF(O$3=120,SUM(D15:O15)/Inputs!$B$19-Inputs!$B$16*Inputs!$B$17,0)</f>
        <v>31859599.1136364</v>
      </c>
      <c r="P17" s="3" t="n">
        <f aca="false">P15-P16+IF(P$3=120,SUM(E15:P15)/Inputs!$B$19-Inputs!$B$16*Inputs!$B$17,0)</f>
        <v>35049562.0181818</v>
      </c>
      <c r="Q17" s="3" t="n">
        <f aca="false">Q15-Q16+IF(Q$3=120,SUM(F15:Q15)/Inputs!$B$19-Inputs!$B$16*Inputs!$B$17,0)</f>
        <v>62125799.3818182</v>
      </c>
      <c r="R17" s="3" t="n">
        <f aca="false">R15-R16+IF(R$3=120,SUM(G15:R15)/Inputs!$B$19-Inputs!$B$16*Inputs!$B$17,0)</f>
        <v>66590349.3636364</v>
      </c>
      <c r="S17" s="3" t="n">
        <f aca="false">S15-S16+IF(S$3=120,SUM(H15:S15)/Inputs!$B$19-Inputs!$B$16*Inputs!$B$17,0)</f>
        <v>66821033.3136364</v>
      </c>
      <c r="T17" s="3" t="n">
        <f aca="false">T15-T16+IF(T$3=120,SUM(I15:T15)/Inputs!$B$19-Inputs!$B$16*Inputs!$B$17,0)</f>
        <v>58761075.9090909</v>
      </c>
      <c r="U17" s="3" t="n">
        <f aca="false">U15-U16+IF(U$3=120,SUM(J15:U15)/Inputs!$B$19-Inputs!$B$16*Inputs!$B$17,0)</f>
        <v>71949673.4545454</v>
      </c>
      <c r="V17" s="3" t="n">
        <f aca="false">V15-V16+IF(V$3=120,SUM(K15:V15)/Inputs!$B$19-Inputs!$B$16*Inputs!$B$17,0)</f>
        <v>80617797.6363637</v>
      </c>
      <c r="W17" s="3" t="n">
        <f aca="false">W15-W16+IF(W$3=120,SUM(L15:W15)/Inputs!$B$19-Inputs!$B$16*Inputs!$B$17,0)</f>
        <v>62955329.5454545</v>
      </c>
      <c r="X17" s="3" t="n">
        <f aca="false">X15-X16+IF(X$3=120,SUM(M15:X15)/Inputs!$B$19-Inputs!$B$16*Inputs!$B$17,0)</f>
        <v>76283735.5454546</v>
      </c>
      <c r="Y17" s="3" t="n">
        <f aca="false">Y15-Y16+IF(Y$3=120,SUM(N15:Y15)/Inputs!$B$19-Inputs!$B$16*Inputs!$B$17,0)</f>
        <v>67149583.1818182</v>
      </c>
      <c r="Z17" s="3" t="n">
        <f aca="false">Z15-Z16+IF(Z$3=120,SUM(O15:Z15)/Inputs!$B$19-Inputs!$B$16*Inputs!$B$17,0)</f>
        <v>53168737.7272727</v>
      </c>
      <c r="AA17" s="3" t="n">
        <f aca="false">AA15-AA16+IF(AA$3=120,SUM(P15:AA15)/Inputs!$B$19-Inputs!$B$16*Inputs!$B$17,0)</f>
        <v>48946633.5454546</v>
      </c>
      <c r="AB17" s="3" t="n">
        <f aca="false">AB15-AB16+IF(AB$3=120,SUM(Q15:AB15)/Inputs!$B$19-Inputs!$B$16*Inputs!$B$17,0)</f>
        <v>44646196.2727273</v>
      </c>
      <c r="AC17" s="3" t="n">
        <f aca="false">AC15-AC16+IF(AC$3=120,SUM(R15:AC15)/Inputs!$B$19-Inputs!$B$16*Inputs!$B$17,0)</f>
        <v>75609344.6363637</v>
      </c>
      <c r="AD17" s="3" t="n">
        <f aca="false">AD15-AD16+IF(AD$3=120,SUM(S15:AD15)/Inputs!$B$19-Inputs!$B$16*Inputs!$B$17,0)</f>
        <v>76373866.8181818</v>
      </c>
      <c r="AE17" s="3" t="n">
        <f aca="false">AE15-AE16+IF(AE$3=120,SUM(T15:AE15)/Inputs!$B$19-Inputs!$B$16*Inputs!$B$17,0)</f>
        <v>72646821.1818182</v>
      </c>
      <c r="AF17" s="3" t="n">
        <f aca="false">AF15-AF16+IF(AF$3=120,SUM(U15:AF15)/Inputs!$B$19-Inputs!$B$16*Inputs!$B$17,0)</f>
        <v>60605596.8181818</v>
      </c>
      <c r="AG17" s="3" t="n">
        <f aca="false">AG15-AG16+IF(AG$3=120,SUM(V15:AG15)/Inputs!$B$19-Inputs!$B$16*Inputs!$B$17,0)</f>
        <v>74128082.9090909</v>
      </c>
      <c r="AH17" s="3" t="n">
        <f aca="false">AH15-AH16+IF(AH$3=120,SUM(W15:AH15)/Inputs!$B$19-Inputs!$B$16*Inputs!$B$17,0)</f>
        <v>83015653.2727273</v>
      </c>
      <c r="AI17" s="3" t="n">
        <f aca="false">AI15-AI16+IF(AI$3=120,SUM(X15:AI15)/Inputs!$B$19-Inputs!$B$16*Inputs!$B$17,0)</f>
        <v>64906034.0909091</v>
      </c>
      <c r="AJ17" s="3" t="n">
        <f aca="false">AJ15-AJ16+IF(AJ$3=120,SUM(Y15:AJ15)/Inputs!$B$19-Inputs!$B$16*Inputs!$B$17,0)</f>
        <v>78571868.0909091</v>
      </c>
      <c r="AK17" s="3" t="n">
        <f aca="false">AK15-AK16+IF(AK$3=120,SUM(Z15:AK15)/Inputs!$B$19-Inputs!$B$16*Inputs!$B$17,0)</f>
        <v>69206471.3636363</v>
      </c>
      <c r="AL17" s="3" t="n">
        <f aca="false">AL15-AL16+IF(AL$3=120,SUM(AA15:AL15)/Inputs!$B$19-Inputs!$B$16*Inputs!$B$17,0)</f>
        <v>54871680.4545455</v>
      </c>
      <c r="AM17" s="3" t="n">
        <f aca="false">AM15-AM16+IF(AM$3=120,SUM(AB15:AM15)/Inputs!$B$19-Inputs!$B$16*Inputs!$B$17,0)</f>
        <v>50463560.0681819</v>
      </c>
      <c r="AN17" s="3" t="n">
        <f aca="false">AN15-AN16+IF(AN$3=120,SUM(AC15:AN15)/Inputs!$B$19-Inputs!$B$16*Inputs!$B$17,0)</f>
        <v>46056939.159091</v>
      </c>
      <c r="AO17" s="3" t="n">
        <f aca="false">AO15-AO16+IF(AO$3=120,SUM(AD15:AO15)/Inputs!$B$19-Inputs!$B$16*Inputs!$B$17,0)</f>
        <v>77784609.7045455</v>
      </c>
      <c r="AP17" s="3" t="n">
        <f aca="false">AP15-AP16+IF(AP$3=120,SUM(AE15:AP15)/Inputs!$B$19-Inputs!$B$16*Inputs!$B$17,0)</f>
        <v>78568008.9772728</v>
      </c>
      <c r="AQ17" s="3" t="n">
        <f aca="false">AQ15-AQ16+IF(AQ$3=120,SUM(AF15:AQ15)/Inputs!$B$19-Inputs!$B$16*Inputs!$B$17,0)</f>
        <v>74748937.5227273</v>
      </c>
      <c r="AR17" s="3" t="n">
        <f aca="false">AR15-AR16+IF(AR$3=120,SUM(AG15:AR15)/Inputs!$B$19-Inputs!$B$16*Inputs!$B$17,0)</f>
        <v>62410398.9772727</v>
      </c>
      <c r="AS17" s="3" t="n">
        <f aca="false">AS15-AS16+IF(AS$3=120,SUM(AH15:AS15)/Inputs!$B$19-Inputs!$B$16*Inputs!$B$17,0)</f>
        <v>76266773.6136364</v>
      </c>
      <c r="AT17" s="3" t="n">
        <f aca="false">AT15-AT16+IF(AT$3=120,SUM(AI15:AT15)/Inputs!$B$19-Inputs!$B$16*Inputs!$B$17,0)</f>
        <v>85373790.159091</v>
      </c>
      <c r="AU17" s="3" t="n">
        <f aca="false">AU15-AU16+IF(AU$3=120,SUM(AJ15:AU15)/Inputs!$B$19-Inputs!$B$16*Inputs!$B$17,0)</f>
        <v>66817019.8863637</v>
      </c>
      <c r="AV17" s="3" t="n">
        <f aca="false">AV15-AV16+IF(AV$3=120,SUM(AK15:AV15)/Inputs!$B$19-Inputs!$B$16*Inputs!$B$17,0)</f>
        <v>80820281.8863637</v>
      </c>
      <c r="AW17" s="3" t="n">
        <f aca="false">AW15-AW16+IF(AW$3=120,SUM(AL15:AW15)/Inputs!$B$19-Inputs!$B$16*Inputs!$B$17,0)</f>
        <v>71223640.7954546</v>
      </c>
      <c r="AX17" s="3" t="n">
        <f aca="false">AX15-AX16+IF(AX$3=120,SUM(AM15:AX15)/Inputs!$B$19-Inputs!$B$16*Inputs!$B$17,0)</f>
        <v>56534904.4318182</v>
      </c>
      <c r="AY17" s="3" t="n">
        <f aca="false">AY15-AY16+IF(AY$3=120,SUM(AN15:AY15)/Inputs!$B$19-Inputs!$B$16*Inputs!$B$17,0)</f>
        <v>52070833.0085228</v>
      </c>
      <c r="AZ17" s="3" t="n">
        <f aca="false">AZ15-AZ16+IF(AZ$3=120,SUM(AO15:AZ15)/Inputs!$B$19-Inputs!$B$16*Inputs!$B$17,0)</f>
        <v>47553604.1448864</v>
      </c>
      <c r="BA17" s="3" t="n">
        <f aca="false">BA15-BA16+IF(BA$3=120,SUM(AP15:BA15)/Inputs!$B$19-Inputs!$B$16*Inputs!$B$17,0)</f>
        <v>80077651.9630683</v>
      </c>
      <c r="BB17" s="3" t="n">
        <f aca="false">BB15-BB16+IF(BB$3=120,SUM(AQ15:BB15)/Inputs!$B$19-Inputs!$B$16*Inputs!$B$17,0)</f>
        <v>80880714.8721591</v>
      </c>
      <c r="BC17" s="3" t="n">
        <f aca="false">BC15-BC16+IF(BC$3=120,SUM(AR15:BC15)/Inputs!$B$19-Inputs!$B$16*Inputs!$B$17,0)</f>
        <v>76965783.190341</v>
      </c>
      <c r="BD17" s="3" t="n">
        <f aca="false">BD15-BD16+IF(BD$3=120,SUM(AS15:BD15)/Inputs!$B$19-Inputs!$B$16*Inputs!$B$17,0)</f>
        <v>64317542.3721591</v>
      </c>
      <c r="BE17" s="3" t="n">
        <f aca="false">BE15-BE16+IF(BE$3=120,SUM(AT15:BE15)/Inputs!$B$19-Inputs!$B$16*Inputs!$B$17,0)</f>
        <v>78521717.5767046</v>
      </c>
      <c r="BF17" s="3" t="n">
        <f aca="false">BF15-BF16+IF(BF$3=120,SUM(AU15:BF15)/Inputs!$B$19-Inputs!$B$16*Inputs!$B$17,0)</f>
        <v>87857323.8948865</v>
      </c>
      <c r="BG17" s="3" t="n">
        <f aca="false">BG15-BG16+IF(BG$3=120,SUM(AV15:BG15)/Inputs!$B$19-Inputs!$B$16*Inputs!$B$17,0)</f>
        <v>68834771.2357955</v>
      </c>
      <c r="BH17" s="3" t="n">
        <f aca="false">BH15-BH16+IF(BH$3=120,SUM(AW15:BH15)/Inputs!$B$19-Inputs!$B$16*Inputs!$B$17,0)</f>
        <v>83189520.7357955</v>
      </c>
      <c r="BI17" s="3" t="n">
        <f aca="false">BI15-BI16+IF(BI$3=120,SUM(AX15:BI15)/Inputs!$B$19-Inputs!$B$16*Inputs!$B$17,0)</f>
        <v>73352000.0994318</v>
      </c>
      <c r="BJ17" s="3" t="n">
        <f aca="false">BJ15-BJ16+IF(BJ$3=120,SUM(AY15:BJ15)/Inputs!$B$19-Inputs!$B$16*Inputs!$B$17,0)</f>
        <v>58294570.5539773</v>
      </c>
      <c r="BK17" s="3" t="n">
        <f aca="false">BK15-BK16+IF(BK$3=120,SUM(AZ15:BK15)/Inputs!$B$19-Inputs!$B$16*Inputs!$B$17,0)</f>
        <v>53701905.5053267</v>
      </c>
      <c r="BL17" s="3" t="n">
        <f aca="false">BL15-BL16+IF(BL$3=120,SUM(BA15:BL15)/Inputs!$B$19-Inputs!$B$16*Inputs!$B$17,0)</f>
        <v>53804795.4825994</v>
      </c>
      <c r="BM17" s="3" t="n">
        <f aca="false">BM15-BM16+IF(BM$3=120,SUM(BB15:BM15)/Inputs!$B$19-Inputs!$B$16*Inputs!$B$17,0)</f>
        <v>82408209.1644176</v>
      </c>
      <c r="BN17" s="3" t="n">
        <f aca="false">BN15-BN16+IF(BN$3=120,SUM(BC15:BN15)/Inputs!$B$19-Inputs!$B$16*Inputs!$B$17,0)</f>
        <v>83231328.9825995</v>
      </c>
      <c r="BO17" s="3" t="n">
        <f aca="false">BO15-BO16+IF(BO$3=120,SUM(BD15:BO15)/Inputs!$B$19-Inputs!$B$16*Inputs!$B$17,0)</f>
        <v>79218619.8689631</v>
      </c>
      <c r="BP17" s="3" t="n">
        <f aca="false">BP15-BP16+IF(BP$3=120,SUM(BE15:BP15)/Inputs!$B$19-Inputs!$B$16*Inputs!$B$17,0)</f>
        <v>66254482.7325995</v>
      </c>
      <c r="BQ17" s="3" t="n">
        <f aca="false">BQ15-BQ16+IF(BQ$3=120,SUM(BF15:BQ15)/Inputs!$B$19-Inputs!$B$16*Inputs!$B$17,0)</f>
        <v>80813414.5166904</v>
      </c>
      <c r="BR17" s="3" t="n">
        <f aca="false">BR15-BR16+IF(BR$3=120,SUM(BG15:BR15)/Inputs!$B$19-Inputs!$B$16*Inputs!$B$17,0)</f>
        <v>90382182.403054</v>
      </c>
      <c r="BS17" s="3" t="n">
        <f aca="false">BS15-BS16+IF(BS$3=120,SUM(BH15:BS15)/Inputs!$B$19-Inputs!$B$16*Inputs!$B$17,0)</f>
        <v>70884531.7098722</v>
      </c>
      <c r="BT17" s="3" t="n">
        <f aca="false">BT15-BT16+IF(BT$3=120,SUM(BI15:BT15)/Inputs!$B$19-Inputs!$B$16*Inputs!$B$17,0)</f>
        <v>85597798.4598722</v>
      </c>
      <c r="BU17" s="3" t="n">
        <f aca="false">BU15-BU16+IF(BU$3=120,SUM(BJ15:BU15)/Inputs!$B$19-Inputs!$B$16*Inputs!$B$17,0)</f>
        <v>75514580.6871449</v>
      </c>
      <c r="BV17" s="3" t="n">
        <f aca="false">BV15-BV16+IF(BV$3=120,SUM(BK15:BV15)/Inputs!$B$19-Inputs!$B$16*Inputs!$B$17,0)</f>
        <v>60081084.0962358</v>
      </c>
      <c r="BW17" s="3" t="n">
        <f aca="false">BW15-BW16+IF(BW$3=120,SUM(BL15:BW15)/Inputs!$B$19-Inputs!$B$16*Inputs!$B$17,0)</f>
        <v>55355734.3208008</v>
      </c>
      <c r="BX17" s="3" t="n">
        <f aca="false">BX15-BX16+IF(BX$3=120,SUM(BM15:BX15)/Inputs!$B$19-Inputs!$B$16*Inputs!$B$17,0)</f>
        <v>50610653.0708008</v>
      </c>
      <c r="BY17" s="3" t="n">
        <f aca="false">BY15-BY16+IF(BY$3=120,SUM(BN15:BY15)/Inputs!$B$19-Inputs!$B$16*Inputs!$B$17,0)</f>
        <v>84775238.0708009</v>
      </c>
      <c r="BZ17" s="3" t="n">
        <f aca="false">BZ15-BZ16+IF(BZ$3=120,SUM(BO15:BZ15)/Inputs!$B$19-Inputs!$B$16*Inputs!$B$17,0)</f>
        <v>85618808.0708008</v>
      </c>
      <c r="CA17" s="3" t="n">
        <f aca="false">CA15-CA16+IF(CA$3=120,SUM(BP15:CA15)/Inputs!$B$19-Inputs!$B$16*Inputs!$B$17,0)</f>
        <v>81506404.3208009</v>
      </c>
      <c r="CB17" s="3" t="n">
        <f aca="false">CB15-CB16+IF(CB$3=120,SUM(BQ15:CB15)/Inputs!$B$19-Inputs!$B$16*Inputs!$B$17,0)</f>
        <v>68220176.8208008</v>
      </c>
      <c r="CC17" s="3" t="n">
        <f aca="false">CC15-CC16+IF(CC$3=120,SUM(BR15:CC15)/Inputs!$B$19-Inputs!$B$16*Inputs!$B$17,0)</f>
        <v>83140821.1958008</v>
      </c>
      <c r="CD17" s="3" t="n">
        <f aca="false">CD15-CD16+IF(CD$3=120,SUM(BS15:CD15)/Inputs!$B$19-Inputs!$B$16*Inputs!$B$17,0)</f>
        <v>92947322.4458009</v>
      </c>
      <c r="CE17" s="3" t="n">
        <f aca="false">CE15-CE16+IF(CE$3=120,SUM(BT15:CE15)/Inputs!$B$19-Inputs!$B$16*Inputs!$B$17,0)</f>
        <v>72965258.0708008</v>
      </c>
      <c r="CF17" s="3" t="n">
        <f aca="false">CF15-CF16+IF(CF$3=120,SUM(BU15:CF15)/Inputs!$B$19-Inputs!$B$16*Inputs!$B$17,0)</f>
        <v>88044071.8208008</v>
      </c>
      <c r="CG17" s="3" t="n">
        <f aca="false">CG15-CG16+IF(CG$3=120,SUM(BV15:CG15)/Inputs!$B$19-Inputs!$B$16*Inputs!$B$17,0)</f>
        <v>77710339.3208008</v>
      </c>
      <c r="CH17" s="3" t="n">
        <f aca="false">CH15-CH16+IF(CH$3=120,SUM(BW15:CH15)/Inputs!$B$19-Inputs!$B$16*Inputs!$B$17,0)</f>
        <v>61893401.8208008</v>
      </c>
      <c r="CI17" s="3" t="n">
        <f aca="false">CI15-CI16+IF(CI$3=120,SUM(BX15:CI15)/Inputs!$B$19-Inputs!$B$16*Inputs!$B$17,0)</f>
        <v>57096779.204389</v>
      </c>
      <c r="CJ17" s="3" t="n">
        <f aca="false">CJ15-CJ16+IF(CJ$3=120,SUM(BY15:CJ15)/Inputs!$B$19-Inputs!$B$16*Inputs!$B$17,0)</f>
        <v>52232241.3634799</v>
      </c>
      <c r="CK17" s="3" t="n">
        <f aca="false">CK15-CK16+IF(CK$3=120,SUM(BZ15:CK15)/Inputs!$B$19-Inputs!$B$16*Inputs!$B$17,0)</f>
        <v>87256913.8180254</v>
      </c>
      <c r="CL17" s="3" t="n">
        <f aca="false">CL15-CL16+IF(CL$3=120,SUM(CA15:CL15)/Inputs!$B$19-Inputs!$B$16*Inputs!$B$17,0)</f>
        <v>88121720.5452981</v>
      </c>
      <c r="CM17" s="3" t="n">
        <f aca="false">CM15-CM16+IF(CM$3=120,SUM(CB15:CM15)/Inputs!$B$19-Inputs!$B$16*Inputs!$B$17,0)</f>
        <v>83905787.7498436</v>
      </c>
      <c r="CN17" s="3" t="n">
        <f aca="false">CN15-CN16+IF(CN$3=120,SUM(CC15:CN15)/Inputs!$B$19-Inputs!$B$16*Inputs!$B$17,0)</f>
        <v>70285081.7952981</v>
      </c>
      <c r="CO17" s="3" t="n">
        <f aca="false">CO15-CO16+IF(CO$3=120,SUM(CD15:CO15)/Inputs!$B$19-Inputs!$B$16*Inputs!$B$17,0)</f>
        <v>85581350.7839344</v>
      </c>
      <c r="CP17" s="3" t="n">
        <f aca="false">CP15-CP16+IF(CP$3=120,SUM(CE15:CP15)/Inputs!$B$19-Inputs!$B$16*Inputs!$B$17,0)</f>
        <v>95634728.9884799</v>
      </c>
      <c r="CQ17" s="3" t="n">
        <f aca="false">CQ15-CQ16+IF(CQ$3=120,SUM(CF15:CQ15)/Inputs!$B$19-Inputs!$B$16*Inputs!$B$17,0)</f>
        <v>75149619.6362072</v>
      </c>
      <c r="CR17" s="3" t="n">
        <f aca="false">CR15-CR16+IF(CR$3=120,SUM(CG15:CR15)/Inputs!$B$19-Inputs!$B$16*Inputs!$B$17,0)</f>
        <v>90608039.8862072</v>
      </c>
      <c r="CS17" s="3" t="n">
        <f aca="false">CS15-CS16+IF(CS$3=120,SUM(CH15:CS15)/Inputs!$B$19-Inputs!$B$16*Inputs!$B$17,0)</f>
        <v>80014157.4771163</v>
      </c>
      <c r="CT17" s="3" t="n">
        <f aca="false">CT15-CT16+IF(CT$3=120,SUM(CI15:CT15)/Inputs!$B$19-Inputs!$B$16*Inputs!$B$17,0)</f>
        <v>63799031.3407527</v>
      </c>
      <c r="CU17" s="3" t="n">
        <f aca="false">CU15-CU16+IF(CU$3=120,SUM(CJ15:CU15)/Inputs!$B$19-Inputs!$B$16*Inputs!$B$17,0)</f>
        <v>58858415.0362033</v>
      </c>
      <c r="CV17" s="3" t="n">
        <f aca="false">CV15-CV16+IF(CV$3=120,SUM(CK15:CV15)/Inputs!$B$19-Inputs!$B$16*Inputs!$B$17,0)</f>
        <v>53872208.4452942</v>
      </c>
      <c r="CW17" s="3" t="n">
        <f aca="false">CW15-CW16+IF(CW$3=120,SUM(CL15:CW15)/Inputs!$B$19-Inputs!$B$16*Inputs!$B$17,0)</f>
        <v>89772895.8998397</v>
      </c>
      <c r="CX17" s="3" t="n">
        <f aca="false">CX15-CX16+IF(CX$3=120,SUM(CM15:CX15)/Inputs!$B$19-Inputs!$B$16*Inputs!$B$17,0)</f>
        <v>90659332.6271124</v>
      </c>
      <c r="CY17" s="3" t="n">
        <f aca="false">CY15-CY16+IF(CY$3=120,SUM(CN15:CY15)/Inputs!$B$19-Inputs!$B$16*Inputs!$B$17,0)</f>
        <v>86337953.5816579</v>
      </c>
      <c r="CZ17" s="3" t="n">
        <f aca="false">CZ15-CZ16+IF(CZ$3=120,SUM(CO15:CZ15)/Inputs!$B$19-Inputs!$B$16*Inputs!$B$17,0)</f>
        <v>72376575.1271124</v>
      </c>
      <c r="DA17" s="3" t="n">
        <f aca="false">DA15-DA16+IF(DA$3=120,SUM(CP15:DA15)/Inputs!$B$19-Inputs!$B$16*Inputs!$B$17,0)</f>
        <v>88055424.7407488</v>
      </c>
      <c r="DB17" s="3" t="n">
        <f aca="false">DB15-DB16+IF(DB$3=120,SUM(CQ15:DB15)/Inputs!$B$19-Inputs!$B$16*Inputs!$B$17,0)</f>
        <v>98135361.9218719</v>
      </c>
      <c r="DC17" s="3" t="n">
        <f aca="false">DC15-DC16+IF(DC$3=120,SUM(CR15:DC15)/Inputs!$B$19-Inputs!$B$16*Inputs!$B$17,0)</f>
        <v>77362781.7180215</v>
      </c>
      <c r="DD17" s="3" t="n">
        <f aca="false">DD15-DD16+IF(DD$3=120,SUM(CS15:DD15)/Inputs!$B$19-Inputs!$B$16*Inputs!$B$17,0)</f>
        <v>93207838.2180215</v>
      </c>
      <c r="DE17" s="3" t="n">
        <f aca="false">DE15-DE16+IF(DE$3=120,SUM(CT15:DE15)/Inputs!$B$19-Inputs!$B$16*Inputs!$B$17,0)</f>
        <v>82348988.3089306</v>
      </c>
      <c r="DF17" s="3" t="n">
        <f aca="false">DF15-DF16+IF(DF$3=120,SUM(CU15:DF15)/Inputs!$B$19-Inputs!$B$16*Inputs!$B$17,0)</f>
        <v>65728299.672567</v>
      </c>
      <c r="DG17" s="3" t="n">
        <f aca="false">DG15-DG16+IF(DG$3=120,SUM(CV15:DG15)/Inputs!$B$19-Inputs!$B$16*Inputs!$B$17,0)</f>
        <v>60639518.3632448</v>
      </c>
      <c r="DH17" s="3" t="n">
        <f aca="false">DH15-DH16+IF(DH$3=120,SUM(CW15:DH15)/Inputs!$B$19-Inputs!$B$16*Inputs!$B$17,0)</f>
        <v>60753075.8632447</v>
      </c>
      <c r="DI17" s="3" t="n">
        <f aca="false">DI15-DI16+IF(DI$3=120,SUM(CX15:DI15)/Inputs!$B$19-Inputs!$B$16*Inputs!$B$17,0)</f>
        <v>92322060.8632448</v>
      </c>
      <c r="DJ17" s="3" t="n">
        <f aca="false">DJ15-DJ16+IF(DJ$3=120,SUM(CY15:DJ15)/Inputs!$B$19-Inputs!$B$16*Inputs!$B$17,0)</f>
        <v>93230520.8632448</v>
      </c>
      <c r="DK17" s="3" t="n">
        <f aca="false">DK15-DK16+IF(DK$3=120,SUM(CZ15:DK15)/Inputs!$B$19-Inputs!$B$16*Inputs!$B$17,0)</f>
        <v>88801778.3632448</v>
      </c>
      <c r="DL17" s="3" t="n">
        <f aca="false">DL15-DL16+IF(DL$3=120,SUM(DA15:DL15)/Inputs!$B$19-Inputs!$B$16*Inputs!$B$17,0)</f>
        <v>74493533.3632448</v>
      </c>
      <c r="DM17" s="3" t="n">
        <f aca="false">DM15-DM16+IF(DM$3=120,SUM(DB15:DM15)/Inputs!$B$19-Inputs!$B$16*Inputs!$B$17,0)</f>
        <v>90561919.6132447</v>
      </c>
      <c r="DN17" s="3" t="n">
        <f aca="false">DN15-DN16+IF(DN$3=120,SUM(DC15:DN15)/Inputs!$B$19-Inputs!$B$16*Inputs!$B$17,0)</f>
        <v>100653062.782052</v>
      </c>
      <c r="DO17" s="3" t="n">
        <f aca="false">DO15-DO16+IF(DO$3=120,SUM(DD15:DO15)/Inputs!$B$19-Inputs!$B$16*Inputs!$B$17,0)</f>
        <v>79603620.8632448</v>
      </c>
      <c r="DP17" s="3" t="n">
        <f aca="false">DP15-DP16+IF(DP$3=120,SUM(DE15:DP15)/Inputs!$B$19-Inputs!$B$16*Inputs!$B$17,0)</f>
        <v>95822108.7016518</v>
      </c>
      <c r="DQ17" s="3" t="n">
        <f aca="false">DQ15-DQ16+IF(DQ$3=120,SUM(DF15:DQ15)/Inputs!$B$19-Inputs!$B$16*Inputs!$B$17,0)</f>
        <v>84713708.3632448</v>
      </c>
      <c r="DR17" s="3" t="n">
        <f aca="false">DR15-DR16+IF(DR$3=120,SUM(DG15:DR15)/Inputs!$B$19-Inputs!$B$16*Inputs!$B$17,0)</f>
        <v>15597739401.6049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33</v>
      </c>
      <c r="B3" s="4" t="n">
        <f aca="false">(1+IRR('Cash Flow'!$B$17:$DR$17,0.005))^12-1</f>
        <v>0.117770754581411</v>
      </c>
    </row>
    <row r="4" customFormat="false" ht="15" hidden="false" customHeight="false" outlineLevel="0" collapsed="false">
      <c r="A4" s="0" t="s">
        <v>34</v>
      </c>
      <c r="B4" s="3" t="n">
        <f aca="false">SUM('Cash Flow'!$Z$7:$AK$7)/(Inputs!$B$4*365)</f>
        <v>16305.9382356164</v>
      </c>
    </row>
    <row r="5" customFormat="false" ht="15" hidden="false" customHeight="false" outlineLevel="0" collapsed="false">
      <c r="A5" s="0" t="s">
        <v>35</v>
      </c>
      <c r="B5" s="4" t="n">
        <f aca="false">AVERAGE('Cash Flow'!$C$5:$DR$5)</f>
        <v>0.813477</v>
      </c>
    </row>
    <row r="6" customFormat="false" ht="15" hidden="false" customHeight="false" outlineLevel="0" collapsed="false">
      <c r="A6" s="0" t="s">
        <v>36</v>
      </c>
      <c r="B6" s="4" t="n">
        <f aca="false">SUM('Cash Flow'!$B$11:$DR$11)/SUM('Cash Flow'!$B$8:$DR$8)</f>
        <v>0.402043887674306</v>
      </c>
    </row>
    <row r="7" customFormat="false" ht="15" hidden="false" customHeight="false" outlineLevel="0" collapsed="false">
      <c r="A7" s="0" t="s">
        <v>37</v>
      </c>
      <c r="B7" s="3" t="n">
        <f aca="false">SUM('Cash Flow'!$B$13:$DR$13)</f>
        <v>714828.766208156</v>
      </c>
    </row>
    <row r="8" customFormat="false" ht="15" hidden="false" customHeight="false" outlineLevel="0" collapsed="false">
      <c r="A8" s="0" t="s">
        <v>38</v>
      </c>
      <c r="B8" s="3" t="n">
        <f aca="false">SUM('Cash Flow'!$DG$15:$DR$15)/Inputs!$B$19</f>
        <v>27355059318.2417</v>
      </c>
    </row>
    <row r="9" customFormat="false" ht="15" hidden="false" customHeight="false" outlineLevel="0" collapsed="false">
      <c r="A9" s="0" t="s">
        <v>39</v>
      </c>
      <c r="B9" s="3" t="n">
        <f aca="false">SUM('Cash Flow'!$B$17:$DR$17)</f>
        <v>14014203864.3459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2026-10-17T22:07:25Z</dcterms:created>
  <dc:creator>openpyxl</dc:creator>
  <dc:description/>
  <dc:language>en-US</dc:language>
  <cp:lastModifiedBy/>
  <dcterms:modified xsi:type="dcterms:W3CDTF">2026-10-17T22:07:25Z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