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nt Roll" sheetId="1" state="visible" r:id="rId3"/>
    <sheet name="Inputs" sheetId="2" state="visible" r:id="rId4"/>
    <sheet name="CF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<sst xmlns="http://schemas.openxmlformats.org/spreadsheetml/2006/main" count="41" uniqueCount="41">
  <si>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1 FARRINGDON STREET – REFURBISHMENT (GBP)</t>
  </si>
  <si>
    <t xml:space="preserve">Tenant</t>
  </si>
  <si>
    <t xml:space="preserve">Area (sq ft)</t>
  </si>
  <si>
    <t xml:space="preserve">Passing rent (£/sq ft)</t>
  </si>
  <si>
    <t xml:space="preserve">Lease expiry (year)</t>
  </si>
  <si>
    <t xml:space="preserve">Renewal probability</t>
  </si>
  <si>
    <t xml:space="preserve">ERV (£/sq ft)</t>
  </si>
  <si>
    <t xml:space="preserve">Void if vacated (months)</t>
  </si>
  <si>
    <t xml:space="preserve">Arden Legal</t>
  </si>
  <si>
    <t xml:space="preserve">Blue Cedar Media</t>
  </si>
  <si>
    <t xml:space="preserve">Corvex Capital</t>
  </si>
  <si>
    <t xml:space="preserve">Dunmore Health</t>
  </si>
  <si>
    <t xml:space="preserve">Elmstone Partners</t>
  </si>
  <si>
    <t xml:space="preserve">REFURBISHMENT &amp; EXIT</t>
  </si>
  <si>
    <t xml:space="preserve">Purchase price</t>
  </si>
  <si>
    <t xml:space="preserve">Purchase costs</t>
  </si>
  <si>
    <t xml:space="preserve">Refurbishment cost (£/sq ft)</t>
  </si>
  <si>
    <t xml:space="preserve">Exit yield</t>
  </si>
  <si>
    <t xml:space="preserve">Hold (years)</t>
  </si>
  <si>
    <t xml:space="preserve">LTV</t>
  </si>
  <si>
    <t xml:space="preserve">Interest rate</t>
  </si>
  <si>
    <t xml:space="preserve">ERV growth</t>
  </si>
  <si>
    <t xml:space="preserve">ANNUAL CASH FLOW (£)</t>
  </si>
  <si>
    <t xml:space="preserve">Year</t>
  </si>
  <si>
    <t xml:space="preserve">Arden Legal rent</t>
  </si>
  <si>
    <t xml:space="preserve">Blue Cedar Media rent</t>
  </si>
  <si>
    <t xml:space="preserve">Corvex Capital rent</t>
  </si>
  <si>
    <t xml:space="preserve">Dunmore Health rent</t>
  </si>
  <si>
    <t xml:space="preserve">Elmstone Partners rent</t>
  </si>
  <si>
    <t xml:space="preserve">Net rent</t>
  </si>
  <si>
    <t xml:space="preserve">Refurbishment</t>
  </si>
  <si>
    <t xml:space="preserve">Acquisition</t>
  </si>
  <si>
    <t xml:space="preserve">Sale</t>
  </si>
  <si>
    <t xml:space="preserve">Unlevered</t>
  </si>
  <si>
    <t xml:space="preserve">Debt</t>
  </si>
  <si>
    <t xml:space="preserve">Levered</t>
  </si>
  <si>
    <t xml:space="preserve">Levered IRR</t>
  </si>
  <si>
    <t xml:space="preserve">Unlevered IRR</t>
  </si>
  <si>
    <t xml:space="preserve">Equity multiple</t>
  </si>
  <si>
    <t xml:space="preserve">Net profit</t>
  </si>
  <si>
    <t xml:space="preserve">WAULT at purchase (years)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</si>
</sst>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"/>
    <numFmt numFmtId="168" formatCode="0.00\x"/>
    <numFmt numFmtId="169" formatCode="0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</row>
    <row r="4" customFormat="false" ht="15" hidden="false" customHeight="false" outlineLevel="0" collapsed="false">
      <c r="A4" s="0" t="s">
        <v>8</v>
      </c>
      <c r="B4" s="0" t="n">
        <v>18000</v>
      </c>
      <c r="C4" s="0" t="n">
        <v>58</v>
      </c>
      <c r="D4" s="0" t="n">
        <v>2</v>
      </c>
      <c r="E4" s="0" t="n">
        <v>0.6</v>
      </c>
      <c r="F4" s="0" t="n">
        <v>72</v>
      </c>
      <c r="G4" s="0" t="n">
        <v>12</v>
      </c>
    </row>
    <row r="5" customFormat="false" ht="15" hidden="false" customHeight="false" outlineLevel="0" collapsed="false">
      <c r="A5" s="0" t="s">
        <v>9</v>
      </c>
      <c r="B5" s="0" t="n">
        <v>12500</v>
      </c>
      <c r="C5" s="0" t="n">
        <v>61</v>
      </c>
      <c r="D5" s="0" t="n">
        <v>3</v>
      </c>
      <c r="E5" s="0" t="n">
        <v>0.5</v>
      </c>
      <c r="F5" s="0" t="n">
        <v>72</v>
      </c>
      <c r="G5" s="0" t="n">
        <v>12</v>
      </c>
    </row>
    <row r="6" customFormat="false" ht="15" hidden="false" customHeight="false" outlineLevel="0" collapsed="false">
      <c r="A6" s="0" t="s">
        <v>10</v>
      </c>
      <c r="B6" s="0" t="n">
        <v>22000</v>
      </c>
      <c r="C6" s="0" t="n">
        <v>66</v>
      </c>
      <c r="D6" s="0" t="n">
        <v>5</v>
      </c>
      <c r="E6" s="0" t="n">
        <v>0.75</v>
      </c>
      <c r="F6" s="0" t="n">
        <v>74</v>
      </c>
      <c r="G6" s="0" t="n">
        <v>9</v>
      </c>
    </row>
    <row r="7" customFormat="false" ht="15" hidden="false" customHeight="false" outlineLevel="0" collapsed="false">
      <c r="A7" s="0" t="s">
        <v>11</v>
      </c>
      <c r="B7" s="0" t="n">
        <v>9000</v>
      </c>
      <c r="C7" s="0" t="n">
        <v>52</v>
      </c>
      <c r="D7" s="0" t="n">
        <v>1</v>
      </c>
      <c r="E7" s="0" t="n">
        <v>0.4</v>
      </c>
      <c r="F7" s="0" t="n">
        <v>70</v>
      </c>
      <c r="G7" s="0" t="n">
        <v>15</v>
      </c>
    </row>
    <row r="8" customFormat="false" ht="15" hidden="false" customHeight="false" outlineLevel="0" collapsed="false">
      <c r="A8" s="0" t="s">
        <v>12</v>
      </c>
      <c r="B8" s="0" t="n">
        <v>15500</v>
      </c>
      <c r="C8" s="0" t="n">
        <v>63</v>
      </c>
      <c r="D8" s="0" t="n">
        <v>4</v>
      </c>
      <c r="E8" s="0" t="n">
        <v>0.65</v>
      </c>
      <c r="F8" s="0" t="n">
        <v>73</v>
      </c>
      <c r="G8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13</v>
      </c>
    </row>
    <row r="3" customFormat="false" ht="15" hidden="false" customHeight="false" outlineLevel="0" collapsed="false">
      <c r="A3" s="0" t="s">
        <v>14</v>
      </c>
      <c r="C3" s="1" t="n">
        <v>78000000</v>
      </c>
    </row>
    <row r="4" customFormat="false" ht="15" hidden="false" customHeight="false" outlineLevel="0" collapsed="false">
      <c r="A4" s="0" t="s">
        <v>15</v>
      </c>
      <c r="C4" s="2" t="n">
        <v>0.068</v>
      </c>
    </row>
    <row r="5" customFormat="false" ht="15" hidden="false" customHeight="false" outlineLevel="0" collapsed="false">
      <c r="A5" s="0" t="s">
        <v>16</v>
      </c>
      <c r="C5" s="1" t="n">
        <v>145</v>
      </c>
    </row>
    <row r="6" customFormat="false" ht="15" hidden="false" customHeight="false" outlineLevel="0" collapsed="false">
      <c r="A6" s="0" t="s">
        <v>17</v>
      </c>
      <c r="C6" s="2" t="n">
        <v>0.0525</v>
      </c>
    </row>
    <row r="7" customFormat="false" ht="15" hidden="false" customHeight="false" outlineLevel="0" collapsed="false">
      <c r="A7" s="0" t="s">
        <v>18</v>
      </c>
      <c r="C7" s="3" t="n">
        <v>6</v>
      </c>
    </row>
    <row r="8" customFormat="false" ht="15" hidden="false" customHeight="false" outlineLevel="0" collapsed="false">
      <c r="A8" s="0" t="s">
        <v>19</v>
      </c>
      <c r="C8" s="2" t="n">
        <v>0.55</v>
      </c>
    </row>
    <row r="9" customFormat="false" ht="15" hidden="false" customHeight="false" outlineLevel="0" collapsed="false">
      <c r="A9" s="0" t="s">
        <v>20</v>
      </c>
      <c r="C9" s="2" t="n">
        <v>0.0595</v>
      </c>
    </row>
    <row r="10" customFormat="false" ht="15" hidden="false" customHeight="false" outlineLevel="0" collapsed="false">
      <c r="A10" s="0" t="s">
        <v>21</v>
      </c>
      <c r="C10" s="2" t="n">
        <v>0.025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22</v>
      </c>
    </row>
    <row r="3" customFormat="false" ht="15" hidden="false" customHeight="false" outlineLevel="0" collapsed="false">
      <c r="A3" s="0" t="s">
        <v>23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</row>
    <row r="5" customFormat="false" ht="15" hidden="false" customHeight="false" outlineLevel="0" collapsed="false">
      <c r="A5" s="0" t="s">
        <v>24</v>
      </c>
      <c r="B5" s="0" t="n">
        <f aca="false">IF(OR(B$3=0,B$3&gt;Inputs!$C$7+1),0,IF(B$3&lt;='Rent Roll'!$D$4,'Rent Roll'!$B$4*'Rent Roll'!$C$4,'Rent Roll'!$B$4*'Rent Roll'!$F$4*(1+Inputs!$C$10)^B$3*('Rent Roll'!$E$4+(1-'Rent Roll'!$E$4)*MAX(0,1-'Rent Roll'!$G$4/12*(B$3='Rent Roll'!$D$4+1)))))</f>
        <v>0</v>
      </c>
      <c r="C5" s="0" t="n">
        <f aca="false">IF(OR(C$3=0,C$3&gt;Inputs!$C$7+1),0,IF(C$3&lt;='Rent Roll'!$D$4,'Rent Roll'!$B$4*'Rent Roll'!$C$4,'Rent Roll'!$B$4*'Rent Roll'!$F$4*(1+Inputs!$C$10)^C$3*('Rent Roll'!$E$4+(1-'Rent Roll'!$E$4)*MAX(0,1-'Rent Roll'!$G$4/12*(C$3='Rent Roll'!$D$4+1)))))</f>
        <v>1044000</v>
      </c>
      <c r="D5" s="0" t="n">
        <f aca="false">IF(OR(D$3=0,D$3&gt;Inputs!$C$7+1),0,IF(D$3&lt;='Rent Roll'!$D$4,'Rent Roll'!$B$4*'Rent Roll'!$C$4,'Rent Roll'!$B$4*'Rent Roll'!$F$4*(1+Inputs!$C$10)^D$3*('Rent Roll'!$E$4+(1-'Rent Roll'!$E$4)*MAX(0,1-'Rent Roll'!$G$4/12*(D$3='Rent Roll'!$D$4+1)))))</f>
        <v>1044000</v>
      </c>
      <c r="E5" s="0" t="n">
        <f aca="false">IF(OR(E$3=0,E$3&gt;Inputs!$C$7+1),0,IF(E$3&lt;='Rent Roll'!$D$4,'Rent Roll'!$B$4*'Rent Roll'!$C$4,'Rent Roll'!$B$4*'Rent Roll'!$F$4*(1+Inputs!$C$10)^E$3*('Rent Roll'!$E$4+(1-'Rent Roll'!$E$4)*MAX(0,1-'Rent Roll'!$G$4/12*(E$3='Rent Roll'!$D$4+1)))))</f>
        <v>837390.15</v>
      </c>
      <c r="F5" s="0" t="n">
        <f aca="false">IF(OR(F$3=0,F$3&gt;Inputs!$C$7+1),0,IF(F$3&lt;='Rent Roll'!$D$4,'Rent Roll'!$B$4*'Rent Roll'!$C$4,'Rent Roll'!$B$4*'Rent Roll'!$F$4*(1+Inputs!$C$10)^F$3*('Rent Roll'!$E$4+(1-'Rent Roll'!$E$4)*MAX(0,1-'Rent Roll'!$G$4/12*(F$3='Rent Roll'!$D$4+1)))))</f>
        <v>1430541.50625</v>
      </c>
      <c r="G5" s="0" t="n">
        <f aca="false">IF(OR(G$3=0,G$3&gt;Inputs!$C$7+1),0,IF(G$3&lt;='Rent Roll'!$D$4,'Rent Roll'!$B$4*'Rent Roll'!$C$4,'Rent Roll'!$B$4*'Rent Roll'!$F$4*(1+Inputs!$C$10)^G$3*('Rent Roll'!$E$4+(1-'Rent Roll'!$E$4)*MAX(0,1-'Rent Roll'!$G$4/12*(G$3='Rent Roll'!$D$4+1)))))</f>
        <v>1466305.04390625</v>
      </c>
      <c r="H5" s="0" t="n">
        <f aca="false">IF(OR(H$3=0,H$3&gt;Inputs!$C$7+1),0,IF(H$3&lt;='Rent Roll'!$D$4,'Rent Roll'!$B$4*'Rent Roll'!$C$4,'Rent Roll'!$B$4*'Rent Roll'!$F$4*(1+Inputs!$C$10)^H$3*('Rent Roll'!$E$4+(1-'Rent Roll'!$E$4)*MAX(0,1-'Rent Roll'!$G$4/12*(H$3='Rent Roll'!$D$4+1)))))</f>
        <v>1502962.67000391</v>
      </c>
      <c r="I5" s="0" t="n">
        <f aca="false">IF(OR(I$3=0,I$3&gt;Inputs!$C$7+1),0,IF(I$3&lt;='Rent Roll'!$D$4,'Rent Roll'!$B$4*'Rent Roll'!$C$4,'Rent Roll'!$B$4*'Rent Roll'!$F$4*(1+Inputs!$C$10)^I$3*('Rent Roll'!$E$4+(1-'Rent Roll'!$E$4)*MAX(0,1-'Rent Roll'!$G$4/12*(I$3='Rent Roll'!$D$4+1)))))</f>
        <v>1540536.736754</v>
      </c>
    </row>
    <row r="6" customFormat="false" ht="15" hidden="false" customHeight="false" outlineLevel="0" collapsed="false">
      <c r="A6" s="0" t="s">
        <v>25</v>
      </c>
      <c r="B6" s="0" t="n">
        <f aca="false">IF(OR(B$3=0,B$3&gt;Inputs!$C$7+1),0,IF(B$3&lt;='Rent Roll'!$D$5,'Rent Roll'!$B$5*'Rent Roll'!$C$5,'Rent Roll'!$B$5*'Rent Roll'!$F$5*(1+Inputs!$C$10)^B$3*('Rent Roll'!$E$5+(1-'Rent Roll'!$E$5)*MAX(0,1-'Rent Roll'!$G$5/12*(B$3='Rent Roll'!$D$5+1)))))</f>
        <v>0</v>
      </c>
      <c r="C6" s="0" t="n">
        <f aca="false">IF(OR(C$3=0,C$3&gt;Inputs!$C$7+1),0,IF(C$3&lt;='Rent Roll'!$D$5,'Rent Roll'!$B$5*'Rent Roll'!$C$5,'Rent Roll'!$B$5*'Rent Roll'!$F$5*(1+Inputs!$C$10)^C$3*('Rent Roll'!$E$5+(1-'Rent Roll'!$E$5)*MAX(0,1-'Rent Roll'!$G$5/12*(C$3='Rent Roll'!$D$5+1)))))</f>
        <v>762500</v>
      </c>
      <c r="D6" s="0" t="n">
        <f aca="false">IF(OR(D$3=0,D$3&gt;Inputs!$C$7+1),0,IF(D$3&lt;='Rent Roll'!$D$5,'Rent Roll'!$B$5*'Rent Roll'!$C$5,'Rent Roll'!$B$5*'Rent Roll'!$F$5*(1+Inputs!$C$10)^D$3*('Rent Roll'!$E$5+(1-'Rent Roll'!$E$5)*MAX(0,1-'Rent Roll'!$G$5/12*(D$3='Rent Roll'!$D$5+1)))))</f>
        <v>762500</v>
      </c>
      <c r="E6" s="0" t="n">
        <f aca="false">IF(OR(E$3=0,E$3&gt;Inputs!$C$7+1),0,IF(E$3&lt;='Rent Roll'!$D$5,'Rent Roll'!$B$5*'Rent Roll'!$C$5,'Rent Roll'!$B$5*'Rent Roll'!$F$5*(1+Inputs!$C$10)^E$3*('Rent Roll'!$E$5+(1-'Rent Roll'!$E$5)*MAX(0,1-'Rent Roll'!$G$5/12*(E$3='Rent Roll'!$D$5+1)))))</f>
        <v>762500</v>
      </c>
      <c r="F6" s="0" t="n">
        <f aca="false">IF(OR(F$3=0,F$3&gt;Inputs!$C$7+1),0,IF(F$3&lt;='Rent Roll'!$D$5,'Rent Roll'!$B$5*'Rent Roll'!$C$5,'Rent Roll'!$B$5*'Rent Roll'!$F$5*(1+Inputs!$C$10)^F$3*('Rent Roll'!$E$5+(1-'Rent Roll'!$E$5)*MAX(0,1-'Rent Roll'!$G$5/12*(F$3='Rent Roll'!$D$5+1)))))</f>
        <v>496715.80078125</v>
      </c>
      <c r="G6" s="0" t="n">
        <f aca="false">IF(OR(G$3=0,G$3&gt;Inputs!$C$7+1),0,IF(G$3&lt;='Rent Roll'!$D$5,'Rent Roll'!$B$5*'Rent Roll'!$C$5,'Rent Roll'!$B$5*'Rent Roll'!$F$5*(1+Inputs!$C$10)^G$3*('Rent Roll'!$E$5+(1-'Rent Roll'!$E$5)*MAX(0,1-'Rent Roll'!$G$5/12*(G$3='Rent Roll'!$D$5+1)))))</f>
        <v>1018267.39160156</v>
      </c>
      <c r="H6" s="0" t="n">
        <f aca="false">IF(OR(H$3=0,H$3&gt;Inputs!$C$7+1),0,IF(H$3&lt;='Rent Roll'!$D$5,'Rent Roll'!$B$5*'Rent Roll'!$C$5,'Rent Roll'!$B$5*'Rent Roll'!$F$5*(1+Inputs!$C$10)^H$3*('Rent Roll'!$E$5+(1-'Rent Roll'!$E$5)*MAX(0,1-'Rent Roll'!$G$5/12*(H$3='Rent Roll'!$D$5+1)))))</f>
        <v>1043724.0763916</v>
      </c>
      <c r="I6" s="0" t="n">
        <f aca="false">IF(OR(I$3=0,I$3&gt;Inputs!$C$7+1),0,IF(I$3&lt;='Rent Roll'!$D$5,'Rent Roll'!$B$5*'Rent Roll'!$C$5,'Rent Roll'!$B$5*'Rent Roll'!$F$5*(1+Inputs!$C$10)^I$3*('Rent Roll'!$E$5+(1-'Rent Roll'!$E$5)*MAX(0,1-'Rent Roll'!$G$5/12*(I$3='Rent Roll'!$D$5+1)))))</f>
        <v>1069817.17830139</v>
      </c>
    </row>
    <row r="7" customFormat="false" ht="15" hidden="false" customHeight="false" outlineLevel="0" collapsed="false">
      <c r="A7" s="0" t="s">
        <v>26</v>
      </c>
      <c r="B7" s="0" t="n">
        <f aca="false">IF(OR(B$3=0,B$3&gt;Inputs!$C$7+1),0,IF(B$3&lt;='Rent Roll'!$D$6,'Rent Roll'!$B$6*'Rent Roll'!$C$6,'Rent Roll'!$B$6*'Rent Roll'!$F$6*(1+Inputs!$C$10)^B$3*('Rent Roll'!$E$6+(1-'Rent Roll'!$E$6)*MAX(0,1-'Rent Roll'!$G$6/12*(B$3='Rent Roll'!$D$6+1)))))</f>
        <v>0</v>
      </c>
      <c r="C7" s="0" t="n">
        <f aca="false">IF(OR(C$3=0,C$3&gt;Inputs!$C$7+1),0,IF(C$3&lt;='Rent Roll'!$D$6,'Rent Roll'!$B$6*'Rent Roll'!$C$6,'Rent Roll'!$B$6*'Rent Roll'!$F$6*(1+Inputs!$C$10)^C$3*('Rent Roll'!$E$6+(1-'Rent Roll'!$E$6)*MAX(0,1-'Rent Roll'!$G$6/12*(C$3='Rent Roll'!$D$6+1)))))</f>
        <v>1452000</v>
      </c>
      <c r="D7" s="0" t="n">
        <f aca="false">IF(OR(D$3=0,D$3&gt;Inputs!$C$7+1),0,IF(D$3&lt;='Rent Roll'!$D$6,'Rent Roll'!$B$6*'Rent Roll'!$C$6,'Rent Roll'!$B$6*'Rent Roll'!$F$6*(1+Inputs!$C$10)^D$3*('Rent Roll'!$E$6+(1-'Rent Roll'!$E$6)*MAX(0,1-'Rent Roll'!$G$6/12*(D$3='Rent Roll'!$D$6+1)))))</f>
        <v>1452000</v>
      </c>
      <c r="E7" s="0" t="n">
        <f aca="false">IF(OR(E$3=0,E$3&gt;Inputs!$C$7+1),0,IF(E$3&lt;='Rent Roll'!$D$6,'Rent Roll'!$B$6*'Rent Roll'!$C$6,'Rent Roll'!$B$6*'Rent Roll'!$F$6*(1+Inputs!$C$10)^E$3*('Rent Roll'!$E$6+(1-'Rent Roll'!$E$6)*MAX(0,1-'Rent Roll'!$G$6/12*(E$3='Rent Roll'!$D$6+1)))))</f>
        <v>1452000</v>
      </c>
      <c r="F7" s="0" t="n">
        <f aca="false">IF(OR(F$3=0,F$3&gt;Inputs!$C$7+1),0,IF(F$3&lt;='Rent Roll'!$D$6,'Rent Roll'!$B$6*'Rent Roll'!$C$6,'Rent Roll'!$B$6*'Rent Roll'!$F$6*(1+Inputs!$C$10)^F$3*('Rent Roll'!$E$6+(1-'Rent Roll'!$E$6)*MAX(0,1-'Rent Roll'!$G$6/12*(F$3='Rent Roll'!$D$6+1)))))</f>
        <v>1452000</v>
      </c>
      <c r="G7" s="0" t="n">
        <f aca="false">IF(OR(G$3=0,G$3&gt;Inputs!$C$7+1),0,IF(G$3&lt;='Rent Roll'!$D$6,'Rent Roll'!$B$6*'Rent Roll'!$C$6,'Rent Roll'!$B$6*'Rent Roll'!$F$6*(1+Inputs!$C$10)^G$3*('Rent Roll'!$E$6+(1-'Rent Roll'!$E$6)*MAX(0,1-'Rent Roll'!$G$6/12*(G$3='Rent Roll'!$D$6+1)))))</f>
        <v>1452000</v>
      </c>
      <c r="H7" s="0" t="n">
        <f aca="false">IF(OR(H$3=0,H$3&gt;Inputs!$C$7+1),0,IF(H$3&lt;='Rent Roll'!$D$6,'Rent Roll'!$B$6*'Rent Roll'!$C$6,'Rent Roll'!$B$6*'Rent Roll'!$F$6*(1+Inputs!$C$10)^H$3*('Rent Roll'!$E$6+(1-'Rent Roll'!$E$6)*MAX(0,1-'Rent Roll'!$G$6/12*(H$3='Rent Roll'!$D$6+1)))))</f>
        <v>1533984.4689411</v>
      </c>
      <c r="I7" s="0" t="n">
        <f aca="false">IF(OR(I$3=0,I$3&gt;Inputs!$C$7+1),0,IF(I$3&lt;='Rent Roll'!$D$6,'Rent Roll'!$B$6*'Rent Roll'!$C$6,'Rent Roll'!$B$6*'Rent Roll'!$F$6*(1+Inputs!$C$10)^I$3*('Rent Roll'!$E$6+(1-'Rent Roll'!$E$6)*MAX(0,1-'Rent Roll'!$G$6/12*(I$3='Rent Roll'!$D$6+1)))))</f>
        <v>1935180.40697185</v>
      </c>
    </row>
    <row r="8" customFormat="false" ht="15" hidden="false" customHeight="false" outlineLevel="0" collapsed="false">
      <c r="A8" s="0" t="s">
        <v>27</v>
      </c>
      <c r="B8" s="0" t="n">
        <f aca="false">IF(OR(B$3=0,B$3&gt;Inputs!$C$7+1),0,IF(B$3&lt;='Rent Roll'!$D$7,'Rent Roll'!$B$7*'Rent Roll'!$C$7,'Rent Roll'!$B$7*'Rent Roll'!$F$7*(1+Inputs!$C$10)^B$3*('Rent Roll'!$E$7+(1-'Rent Roll'!$E$7)*MAX(0,1-'Rent Roll'!$G$7/12*(B$3='Rent Roll'!$D$7+1)))))</f>
        <v>0</v>
      </c>
      <c r="C8" s="0" t="n">
        <f aca="false">IF(OR(C$3=0,C$3&gt;Inputs!$C$7+1),0,IF(C$3&lt;='Rent Roll'!$D$7,'Rent Roll'!$B$7*'Rent Roll'!$C$7,'Rent Roll'!$B$7*'Rent Roll'!$F$7*(1+Inputs!$C$10)^C$3*('Rent Roll'!$E$7+(1-'Rent Roll'!$E$7)*MAX(0,1-'Rent Roll'!$G$7/12*(C$3='Rent Roll'!$D$7+1)))))</f>
        <v>468000</v>
      </c>
      <c r="D8" s="0" t="n">
        <f aca="false">IF(OR(D$3=0,D$3&gt;Inputs!$C$7+1),0,IF(D$3&lt;='Rent Roll'!$D$7,'Rent Roll'!$B$7*'Rent Roll'!$C$7,'Rent Roll'!$B$7*'Rent Roll'!$F$7*(1+Inputs!$C$10)^D$3*('Rent Roll'!$E$7+(1-'Rent Roll'!$E$7)*MAX(0,1-'Rent Roll'!$G$7/12*(D$3='Rent Roll'!$D$7+1)))))</f>
        <v>264757.5</v>
      </c>
      <c r="E8" s="0" t="n">
        <f aca="false">IF(OR(E$3=0,E$3&gt;Inputs!$C$7+1),0,IF(E$3&lt;='Rent Roll'!$D$7,'Rent Roll'!$B$7*'Rent Roll'!$C$7,'Rent Roll'!$B$7*'Rent Roll'!$F$7*(1+Inputs!$C$10)^E$3*('Rent Roll'!$E$7+(1-'Rent Roll'!$E$7)*MAX(0,1-'Rent Roll'!$G$7/12*(E$3='Rent Roll'!$D$7+1)))))</f>
        <v>678441.09375</v>
      </c>
      <c r="F8" s="0" t="n">
        <f aca="false">IF(OR(F$3=0,F$3&gt;Inputs!$C$7+1),0,IF(F$3&lt;='Rent Roll'!$D$7,'Rent Roll'!$B$7*'Rent Roll'!$C$7,'Rent Roll'!$B$7*'Rent Roll'!$F$7*(1+Inputs!$C$10)^F$3*('Rent Roll'!$E$7+(1-'Rent Roll'!$E$7)*MAX(0,1-'Rent Roll'!$G$7/12*(F$3='Rent Roll'!$D$7+1)))))</f>
        <v>695402.12109375</v>
      </c>
      <c r="G8" s="0" t="n">
        <f aca="false">IF(OR(G$3=0,G$3&gt;Inputs!$C$7+1),0,IF(G$3&lt;='Rent Roll'!$D$7,'Rent Roll'!$B$7*'Rent Roll'!$C$7,'Rent Roll'!$B$7*'Rent Roll'!$F$7*(1+Inputs!$C$10)^G$3*('Rent Roll'!$E$7+(1-'Rent Roll'!$E$7)*MAX(0,1-'Rent Roll'!$G$7/12*(G$3='Rent Roll'!$D$7+1)))))</f>
        <v>712787.174121093</v>
      </c>
      <c r="H8" s="0" t="n">
        <f aca="false">IF(OR(H$3=0,H$3&gt;Inputs!$C$7+1),0,IF(H$3&lt;='Rent Roll'!$D$7,'Rent Roll'!$B$7*'Rent Roll'!$C$7,'Rent Roll'!$B$7*'Rent Roll'!$F$7*(1+Inputs!$C$10)^H$3*('Rent Roll'!$E$7+(1-'Rent Roll'!$E$7)*MAX(0,1-'Rent Roll'!$G$7/12*(H$3='Rent Roll'!$D$7+1)))))</f>
        <v>730606.853474121</v>
      </c>
      <c r="I8" s="0" t="n">
        <f aca="false">IF(OR(I$3=0,I$3&gt;Inputs!$C$7+1),0,IF(I$3&lt;='Rent Roll'!$D$7,'Rent Roll'!$B$7*'Rent Roll'!$C$7,'Rent Roll'!$B$7*'Rent Roll'!$F$7*(1+Inputs!$C$10)^I$3*('Rent Roll'!$E$7+(1-'Rent Roll'!$E$7)*MAX(0,1-'Rent Roll'!$G$7/12*(I$3='Rent Roll'!$D$7+1)))))</f>
        <v>748872.024810974</v>
      </c>
    </row>
    <row r="9" customFormat="false" ht="15" hidden="false" customHeight="false" outlineLevel="0" collapsed="false">
      <c r="A9" s="0" t="s">
        <v>28</v>
      </c>
      <c r="B9" s="0" t="n">
        <f aca="false">IF(OR(B$3=0,B$3&gt;Inputs!$C$7+1),0,IF(B$3&lt;='Rent Roll'!$D$8,'Rent Roll'!$B$8*'Rent Roll'!$C$8,'Rent Roll'!$B$8*'Rent Roll'!$F$8*(1+Inputs!$C$10)^B$3*('Rent Roll'!$E$8+(1-'Rent Roll'!$E$8)*MAX(0,1-'Rent Roll'!$G$8/12*(B$3='Rent Roll'!$D$8+1)))))</f>
        <v>0</v>
      </c>
      <c r="C9" s="0" t="n">
        <f aca="false">IF(OR(C$3=0,C$3&gt;Inputs!$C$7+1),0,IF(C$3&lt;='Rent Roll'!$D$8,'Rent Roll'!$B$8*'Rent Roll'!$C$8,'Rent Roll'!$B$8*'Rent Roll'!$F$8*(1+Inputs!$C$10)^C$3*('Rent Roll'!$E$8+(1-'Rent Roll'!$E$8)*MAX(0,1-'Rent Roll'!$G$8/12*(C$3='Rent Roll'!$D$8+1)))))</f>
        <v>976500</v>
      </c>
      <c r="D9" s="0" t="n">
        <f aca="false">IF(OR(D$3=0,D$3&gt;Inputs!$C$7+1),0,IF(D$3&lt;='Rent Roll'!$D$8,'Rent Roll'!$B$8*'Rent Roll'!$C$8,'Rent Roll'!$B$8*'Rent Roll'!$F$8*(1+Inputs!$C$10)^D$3*('Rent Roll'!$E$8+(1-'Rent Roll'!$E$8)*MAX(0,1-'Rent Roll'!$G$8/12*(D$3='Rent Roll'!$D$8+1)))))</f>
        <v>976500</v>
      </c>
      <c r="E9" s="0" t="n">
        <f aca="false">IF(OR(E$3=0,E$3&gt;Inputs!$C$7+1),0,IF(E$3&lt;='Rent Roll'!$D$8,'Rent Roll'!$B$8*'Rent Roll'!$C$8,'Rent Roll'!$B$8*'Rent Roll'!$F$8*(1+Inputs!$C$10)^E$3*('Rent Roll'!$E$8+(1-'Rent Roll'!$E$8)*MAX(0,1-'Rent Roll'!$G$8/12*(E$3='Rent Roll'!$D$8+1)))))</f>
        <v>976500</v>
      </c>
      <c r="F9" s="0" t="n">
        <f aca="false">IF(OR(F$3=0,F$3&gt;Inputs!$C$7+1),0,IF(F$3&lt;='Rent Roll'!$D$8,'Rent Roll'!$B$8*'Rent Roll'!$C$8,'Rent Roll'!$B$8*'Rent Roll'!$F$8*(1+Inputs!$C$10)^F$3*('Rent Roll'!$E$8+(1-'Rent Roll'!$E$8)*MAX(0,1-'Rent Roll'!$G$8/12*(F$3='Rent Roll'!$D$8+1)))))</f>
        <v>976500</v>
      </c>
      <c r="G9" s="0" t="n">
        <f aca="false">IF(OR(G$3=0,G$3&gt;Inputs!$C$7+1),0,IF(G$3&lt;='Rent Roll'!$D$8,'Rent Roll'!$B$8*'Rent Roll'!$C$8,'Rent Roll'!$B$8*'Rent Roll'!$F$8*(1+Inputs!$C$10)^G$3*('Rent Roll'!$E$8+(1-'Rent Roll'!$E$8)*MAX(0,1-'Rent Roll'!$G$8/12*(G$3='Rent Roll'!$D$8+1)))))</f>
        <v>832122.455375732</v>
      </c>
      <c r="H9" s="0" t="n">
        <f aca="false">IF(OR(H$3=0,H$3&gt;Inputs!$C$7+1),0,IF(H$3&lt;='Rent Roll'!$D$8,'Rent Roll'!$B$8*'Rent Roll'!$C$8,'Rent Roll'!$B$8*'Rent Roll'!$F$8*(1+Inputs!$C$10)^H$3*('Rent Roll'!$E$8+(1-'Rent Roll'!$E$8)*MAX(0,1-'Rent Roll'!$G$8/12*(H$3='Rent Roll'!$D$8+1)))))</f>
        <v>1312193.10270789</v>
      </c>
      <c r="I9" s="0" t="n">
        <f aca="false">IF(OR(I$3=0,I$3&gt;Inputs!$C$7+1),0,IF(I$3&lt;='Rent Roll'!$D$8,'Rent Roll'!$B$8*'Rent Roll'!$C$8,'Rent Roll'!$B$8*'Rent Roll'!$F$8*(1+Inputs!$C$10)^I$3*('Rent Roll'!$E$8+(1-'Rent Roll'!$E$8)*MAX(0,1-'Rent Roll'!$G$8/12*(I$3='Rent Roll'!$D$8+1)))))</f>
        <v>1344997.93027558</v>
      </c>
    </row>
    <row r="10" customFormat="false" ht="15" hidden="false" customHeight="false" outlineLevel="0" collapsed="false">
      <c r="A10" s="0" t="s">
        <v>29</v>
      </c>
      <c r="B10" s="0" t="n">
        <f aca="false">SUM(B5:B9)*0.95</f>
        <v>0</v>
      </c>
      <c r="C10" s="0" t="n">
        <f aca="false">SUM(C5:C9)*0.95</f>
        <v>4467850</v>
      </c>
      <c r="D10" s="0" t="n">
        <f aca="false">SUM(D5:D9)*0.95</f>
        <v>4274769.625</v>
      </c>
      <c r="E10" s="0" t="n">
        <f aca="false">SUM(E5:E9)*0.95</f>
        <v>4471489.6815625</v>
      </c>
      <c r="F10" s="0" t="n">
        <f aca="false">SUM(F5:F9)*0.95</f>
        <v>4798601.45671875</v>
      </c>
      <c r="G10" s="0" t="n">
        <f aca="false">SUM(G5:G9)*0.95</f>
        <v>5207407.9617544</v>
      </c>
      <c r="H10" s="0" t="n">
        <f aca="false">SUM(H5:H9)*0.95</f>
        <v>5817297.61294268</v>
      </c>
      <c r="I10" s="0" t="n">
        <f aca="false">SUM(I5:I9)*0.95</f>
        <v>6307434.06325811</v>
      </c>
    </row>
    <row r="11" customFormat="false" ht="15" hidden="false" customHeight="false" outlineLevel="0" collapsed="false">
      <c r="A11" s="0" t="s">
        <v>30</v>
      </c>
      <c r="B11" s="0" t="n">
        <f aca="false">IF(B$3=1,-SUM('Rent Roll'!$B$4:$B$8)*Inputs!$C$5,0)</f>
        <v>0</v>
      </c>
      <c r="C11" s="0" t="n">
        <f aca="false">IF(C$3=1,-SUM('Rent Roll'!$B$4:$B$8)*Inputs!$C$5,0)</f>
        <v>-11165000</v>
      </c>
      <c r="D11" s="0" t="n">
        <f aca="false">IF(D$3=1,-SUM('Rent Roll'!$B$4:$B$8)*Inputs!$C$5,0)</f>
        <v>0</v>
      </c>
      <c r="E11" s="0" t="n">
        <f aca="false">IF(E$3=1,-SUM('Rent Roll'!$B$4:$B$8)*Inputs!$C$5,0)</f>
        <v>0</v>
      </c>
      <c r="F11" s="0" t="n">
        <f aca="false">IF(F$3=1,-SUM('Rent Roll'!$B$4:$B$8)*Inputs!$C$5,0)</f>
        <v>0</v>
      </c>
      <c r="G11" s="0" t="n">
        <f aca="false">IF(G$3=1,-SUM('Rent Roll'!$B$4:$B$8)*Inputs!$C$5,0)</f>
        <v>0</v>
      </c>
      <c r="H11" s="0" t="n">
        <f aca="false">IF(H$3=1,-SUM('Rent Roll'!$B$4:$B$8)*Inputs!$C$5,0)</f>
        <v>0</v>
      </c>
      <c r="I11" s="0" t="n">
        <f aca="false">IF(I$3=1,-SUM('Rent Roll'!$B$4:$B$8)*Inputs!$C$5,0)</f>
        <v>0</v>
      </c>
    </row>
    <row r="12" customFormat="false" ht="15" hidden="false" customHeight="false" outlineLevel="0" collapsed="false">
      <c r="A12" s="0" t="s">
        <v>31</v>
      </c>
      <c r="B12" s="0" t="n">
        <f aca="false">IF(B$3=0,-Inputs!$C$3*(1+Inputs!$C$4),0)</f>
        <v>-83304000</v>
      </c>
      <c r="C12" s="0" t="n">
        <f aca="false">IF(C$3=0,-Inputs!$C$3*(1+Inputs!$C$4),0)</f>
        <v>0</v>
      </c>
      <c r="D12" s="0" t="n">
        <f aca="false">IF(D$3=0,-Inputs!$C$3*(1+Inputs!$C$4),0)</f>
        <v>0</v>
      </c>
      <c r="E12" s="0" t="n">
        <f aca="false">IF(E$3=0,-Inputs!$C$3*(1+Inputs!$C$4),0)</f>
        <v>0</v>
      </c>
      <c r="F12" s="0" t="n">
        <f aca="false">IF(F$3=0,-Inputs!$C$3*(1+Inputs!$C$4),0)</f>
        <v>0</v>
      </c>
      <c r="G12" s="0" t="n">
        <f aca="false">IF(G$3=0,-Inputs!$C$3*(1+Inputs!$C$4),0)</f>
        <v>0</v>
      </c>
      <c r="H12" s="0" t="n">
        <f aca="false">IF(H$3=0,-Inputs!$C$3*(1+Inputs!$C$4),0)</f>
        <v>0</v>
      </c>
      <c r="I12" s="0" t="n">
        <f aca="false">IF(I$3=0,-Inputs!$C$3*(1+Inputs!$C$4),0)</f>
        <v>0</v>
      </c>
    </row>
    <row r="13" customFormat="false" ht="15" hidden="false" customHeight="false" outlineLevel="0" collapsed="false">
      <c r="A13" s="0" t="s">
        <v>32</v>
      </c>
      <c r="B13" s="0" t="n">
        <f aca="false">IF(B$3=Inputs!$C$7,C10/Inputs!$C$6,0)</f>
        <v>0</v>
      </c>
      <c r="C13" s="0" t="n">
        <f aca="false">IF(C$3=Inputs!$C$7,D10/Inputs!$C$6,0)</f>
        <v>0</v>
      </c>
      <c r="D13" s="0" t="n">
        <f aca="false">IF(D$3=Inputs!$C$7,E10/Inputs!$C$6,0)</f>
        <v>0</v>
      </c>
      <c r="E13" s="0" t="n">
        <f aca="false">IF(E$3=Inputs!$C$7,F10/Inputs!$C$6,0)</f>
        <v>0</v>
      </c>
      <c r="F13" s="0" t="n">
        <f aca="false">IF(F$3=Inputs!$C$7,G10/Inputs!$C$6,0)</f>
        <v>0</v>
      </c>
      <c r="G13" s="0" t="n">
        <f aca="false">IF(G$3=Inputs!$C$7,H10/Inputs!$C$6,0)</f>
        <v>0</v>
      </c>
      <c r="H13" s="0" t="n">
        <f aca="false">IF(H$3=Inputs!$C$7,I10/Inputs!$C$6,0)</f>
        <v>120141601.204916</v>
      </c>
      <c r="I13" s="0" t="n">
        <f aca="false">0</f>
        <v>0</v>
      </c>
    </row>
    <row r="14" customFormat="false" ht="15" hidden="false" customHeight="false" outlineLevel="0" collapsed="false">
      <c r="A14" s="0" t="s">
        <v>33</v>
      </c>
      <c r="B14" s="0" t="n">
        <f aca="false">B10+B11+B12+B13</f>
        <v>-83304000</v>
      </c>
      <c r="C14" s="0" t="n">
        <f aca="false">C10+C11+C12+C13</f>
        <v>-6697150</v>
      </c>
      <c r="D14" s="0" t="n">
        <f aca="false">D10+D11+D12+D13</f>
        <v>4274769.625</v>
      </c>
      <c r="E14" s="0" t="n">
        <f aca="false">E10+E11+E12+E13</f>
        <v>4471489.6815625</v>
      </c>
      <c r="F14" s="0" t="n">
        <f aca="false">F10+F11+F12+F13</f>
        <v>4798601.45671875</v>
      </c>
      <c r="G14" s="0" t="n">
        <f aca="false">G10+G11+G12+G13</f>
        <v>5207407.9617544</v>
      </c>
      <c r="H14" s="0" t="n">
        <f aca="false">H10+H11+H12+H13</f>
        <v>125958898.817859</v>
      </c>
      <c r="I14" s="0" t="n">
        <f aca="false">I10+I11+I12+I13</f>
        <v>6307434.06325811</v>
      </c>
    </row>
    <row r="15" customFormat="false" ht="15" hidden="false" customHeight="false" outlineLevel="0" collapsed="false">
      <c r="A15" s="0" t="s">
        <v>34</v>
      </c>
      <c r="B15" s="0" t="n">
        <f aca="false">IF(B$3=0,Inputs!$C$3*Inputs!$C$8,IF(B$3&lt;=Inputs!$C$7,-Inputs!$C$3*Inputs!$C$8*Inputs!$C$9,0))-IF(B$3=Inputs!$C$7,Inputs!$C$3*Inputs!$C$8,0)</f>
        <v>42900000</v>
      </c>
      <c r="C15" s="0" t="n">
        <f aca="false">IF(C$3=0,Inputs!$C$3*Inputs!$C$8,IF(C$3&lt;=Inputs!$C$7,-Inputs!$C$3*Inputs!$C$8*Inputs!$C$9,0))-IF(C$3=Inputs!$C$7,Inputs!$C$3*Inputs!$C$8,0)</f>
        <v>-2552550</v>
      </c>
      <c r="D15" s="0" t="n">
        <f aca="false">IF(D$3=0,Inputs!$C$3*Inputs!$C$8,IF(D$3&lt;=Inputs!$C$7,-Inputs!$C$3*Inputs!$C$8*Inputs!$C$9,0))-IF(D$3=Inputs!$C$7,Inputs!$C$3*Inputs!$C$8,0)</f>
        <v>-2552550</v>
      </c>
      <c r="E15" s="0" t="n">
        <f aca="false">IF(E$3=0,Inputs!$C$3*Inputs!$C$8,IF(E$3&lt;=Inputs!$C$7,-Inputs!$C$3*Inputs!$C$8*Inputs!$C$9,0))-IF(E$3=Inputs!$C$7,Inputs!$C$3*Inputs!$C$8,0)</f>
        <v>-2552550</v>
      </c>
      <c r="F15" s="0" t="n">
        <f aca="false">IF(F$3=0,Inputs!$C$3*Inputs!$C$8,IF(F$3&lt;=Inputs!$C$7,-Inputs!$C$3*Inputs!$C$8*Inputs!$C$9,0))-IF(F$3=Inputs!$C$7,Inputs!$C$3*Inputs!$C$8,0)</f>
        <v>-2552550</v>
      </c>
      <c r="G15" s="0" t="n">
        <f aca="false">IF(G$3=0,Inputs!$C$3*Inputs!$C$8,IF(G$3&lt;=Inputs!$C$7,-Inputs!$C$3*Inputs!$C$8*Inputs!$C$9,0))-IF(G$3=Inputs!$C$7,Inputs!$C$3*Inputs!$C$8,0)</f>
        <v>-2552550</v>
      </c>
      <c r="H15" s="0" t="n">
        <f aca="false">IF(H$3=0,Inputs!$C$3*Inputs!$C$8,IF(H$3&lt;=Inputs!$C$7,-Inputs!$C$3*Inputs!$C$8*Inputs!$C$9,0))-IF(H$3=Inputs!$C$7,Inputs!$C$3*Inputs!$C$8,0)</f>
        <v>-45452550</v>
      </c>
      <c r="I15" s="0" t="n">
        <f aca="false">IF(I$3=0,Inputs!$C$3*Inputs!$C$8,IF(I$3&lt;=Inputs!$C$7,-Inputs!$C$3*Inputs!$C$8*Inputs!$C$9,0))-IF(I$3=Inputs!$C$7,Inputs!$C$3*Inputs!$C$8,0)</f>
        <v>0</v>
      </c>
    </row>
    <row r="16" customFormat="false" ht="15" hidden="false" customHeight="false" outlineLevel="0" collapsed="false">
      <c r="A16" s="0" t="s">
        <v>35</v>
      </c>
      <c r="B16" s="0" t="n">
        <f aca="false">B14+B15</f>
        <v>-40404000</v>
      </c>
      <c r="C16" s="0" t="n">
        <f aca="false">C14+C15</f>
        <v>-9249700</v>
      </c>
      <c r="D16" s="0" t="n">
        <f aca="false">D14+D15</f>
        <v>1722219.625</v>
      </c>
      <c r="E16" s="0" t="n">
        <f aca="false">E14+E15</f>
        <v>1918939.6815625</v>
      </c>
      <c r="F16" s="0" t="n">
        <f aca="false">F14+F15</f>
        <v>2246051.45671875</v>
      </c>
      <c r="G16" s="0" t="n">
        <f aca="false">G14+G15</f>
        <v>2654857.9617544</v>
      </c>
      <c r="H16" s="0" t="n">
        <f aca="false">H14+H15</f>
        <v>80506348.817859</v>
      </c>
      <c r="I16" s="0" t="n">
        <f aca="false">I14+I15</f>
        <v>6307434.06325811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36</v>
      </c>
      <c r="C3" s="2" t="n">
        <f aca="false">IRR(CF!$B$16:$I$16)</f>
        <v>0.122655531304529</v>
      </c>
    </row>
    <row r="4" customFormat="false" ht="15" hidden="false" customHeight="false" outlineLevel="0" collapsed="false">
      <c r="A4" s="0" t="s">
        <v>37</v>
      </c>
      <c r="C4" s="2" t="n">
        <f aca="false">IRR(CF!$B$14:$I$14)</f>
        <v>0.0963313332314157</v>
      </c>
    </row>
    <row r="5" customFormat="false" ht="15" hidden="false" customHeight="false" outlineLevel="0" collapsed="false">
      <c r="A5" s="0" t="s">
        <v>38</v>
      </c>
      <c r="C5" s="4" t="n">
        <f aca="false">SUMIF(CF!$B$16:$I$16,"&gt;0")/-SUMIF(CF!$B$16:$I$16,"&lt;0")</f>
        <v>1.92041784612532</v>
      </c>
    </row>
    <row r="6" customFormat="false" ht="15" hidden="false" customHeight="false" outlineLevel="0" collapsed="false">
      <c r="A6" s="0" t="s">
        <v>39</v>
      </c>
      <c r="C6" s="1" t="n">
        <f aca="false">SUM(CF!$B$16:$I$16)</f>
        <v>45702151.6061528</v>
      </c>
    </row>
    <row r="7" customFormat="false" ht="15" hidden="false" customHeight="false" outlineLevel="0" collapsed="false">
      <c r="A7" s="0" t="s">
        <v>40</v>
      </c>
      <c r="C7" s="5" t="n">
        <f aca="false">SUMPRODUCT('Rent Roll'!B4:B8,'Rent Roll'!C4:C8,'Rent Roll'!D4:D8)/SUMPRODUCT('Rent Roll'!B4:B8,'Rent Roll'!C4:C8)</f>
        <v>3.40410376355518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2026-10-16T15:19:41Z</dcterms:created>
  <dc:creator>openpyxl</dc:creator>
  <dc:description/>
  <dc:language>en-US</dc:language>
  <cp:lastModifiedBy/>
  <dcterms:modified xsi:type="dcterms:W3CDTF">2026-10-16T15:19:41Z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